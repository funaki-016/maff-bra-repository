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D:\入札関係\20220624_農林水産統計システムの農業経営統計調査集計プログラム修正業務\07_詳細仕様\No20\労働時間整理ファイル_WEB関数入り\労働時間整理ファイル_WEB関数入り\03_畜産物生産費\"/>
    </mc:Choice>
  </mc:AlternateContent>
  <xr:revisionPtr revIDLastSave="0" documentId="13_ncr:1_{C93C1B4F-DCAD-4200-9661-DD976D158BC1}" xr6:coauthVersionLast="47" xr6:coauthVersionMax="47" xr10:uidLastSave="{00000000-0000-0000-0000-000000000000}"/>
  <bookViews>
    <workbookView xWindow="732" yWindow="456" windowWidth="15276" windowHeight="10848" tabRatio="845" xr2:uid="{00000000-000D-0000-FFFF-FFFF00000000}"/>
  </bookViews>
  <sheets>
    <sheet name="設定" sheetId="78" r:id="rId1"/>
    <sheet name="日別入力" sheetId="71" r:id="rId2"/>
    <sheet name="日別入力xlsx" sheetId="89" state="hidden" r:id="rId3"/>
    <sheet name="【12】労働時間（個別・牛乳）" sheetId="80" r:id="rId4"/>
    <sheet name="【12】労働時間（個別・牛乳以外）" sheetId="85" r:id="rId5"/>
    <sheet name="【12】労働時間（経営分析・牛乳）" sheetId="84" r:id="rId6"/>
    <sheet name="【12】労働時間（経営分析・牛乳以外）" sheetId="88" r:id="rId7"/>
    <sheet name="アカウント情報" sheetId="90" r:id="rId8"/>
    <sheet name="リスト " sheetId="79" state="hidden" r:id="rId9"/>
  </sheets>
  <definedNames>
    <definedName name="_xlnm._FilterDatabase" localSheetId="5" hidden="1">'【12】労働時間（経営分析・牛乳）'!#REF!</definedName>
    <definedName name="_xlnm._FilterDatabase" localSheetId="6" hidden="1">'【12】労働時間（経営分析・牛乳以外）'!#REF!</definedName>
    <definedName name="_xlnm._FilterDatabase" localSheetId="3" hidden="1">'【12】労働時間（個別・牛乳）'!$A$10:$B$71</definedName>
    <definedName name="_xlnm._FilterDatabase" localSheetId="4" hidden="1">'【12】労働時間（個別・牛乳以外）'!$A$10:$B$71</definedName>
    <definedName name="_xlnm._FilterDatabase" localSheetId="0" hidden="1">設定!$B$8:$R$8</definedName>
    <definedName name="_xlnm._FilterDatabase" localSheetId="1" hidden="1">日別入力!$A$6:$AR$6</definedName>
    <definedName name="_xlnm._FilterDatabase" localSheetId="2" hidden="1">日別入力xlsx!$A$6:$AR$6</definedName>
    <definedName name="_xlnm.Print_Area" localSheetId="5">'【12】労働時間（経営分析・牛乳）'!$A$1:$AB$32</definedName>
    <definedName name="_xlnm.Print_Area" localSheetId="6">'【12】労働時間（経営分析・牛乳以外）'!$A$1:$AB$29</definedName>
    <definedName name="_xlnm.Print_Area" localSheetId="3">'【12】労働時間（個別・牛乳）'!$A$1:$BF$115</definedName>
    <definedName name="_xlnm.Print_Area" localSheetId="4">'【12】労働時間（個別・牛乳以外）'!$A$1:$BF$114</definedName>
    <definedName name="_xlnm.Print_Titles" localSheetId="0">設定!$1:$8</definedName>
    <definedName name="_xlnm.Print_Titles" localSheetId="1">日別入力!$1:$6</definedName>
    <definedName name="_xlnm.Print_Titles" localSheetId="2">日別入力xlsx!$1:$6</definedName>
    <definedName name="個別経営体">'リスト '!$D$2:$D$6</definedName>
    <definedName name="作業_Blank">'リスト '!$H$2</definedName>
    <definedName name="作業_牛乳">'リスト '!$F$2:$F$12</definedName>
    <definedName name="作業_牛乳以外">'リスト '!$G$2:$G$11</definedName>
    <definedName name="自給牧草給与割合">設定!#REF!</definedName>
    <definedName name="組織法人経営体">'リスト '!$E$2:$E$3</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537" i="71" l="1"/>
  <c r="D536" i="71"/>
  <c r="D535" i="71"/>
  <c r="D534" i="71"/>
  <c r="D533" i="71"/>
  <c r="D532" i="71"/>
  <c r="D531" i="71"/>
  <c r="D530" i="71"/>
  <c r="D529" i="71"/>
  <c r="D528" i="71"/>
  <c r="D527" i="71"/>
  <c r="D526" i="71"/>
  <c r="D525" i="71"/>
  <c r="D524" i="71"/>
  <c r="D523" i="71"/>
  <c r="D522" i="71"/>
  <c r="D521" i="71"/>
  <c r="D520" i="71"/>
  <c r="D519" i="71"/>
  <c r="D518" i="71"/>
  <c r="D517" i="71"/>
  <c r="D516" i="71"/>
  <c r="D515" i="71"/>
  <c r="D514" i="71"/>
  <c r="D513" i="71"/>
  <c r="D512" i="71"/>
  <c r="D511" i="71"/>
  <c r="D510" i="71"/>
  <c r="D509" i="71"/>
  <c r="D508" i="71"/>
  <c r="D507" i="71"/>
  <c r="D506" i="71"/>
  <c r="D505" i="71"/>
  <c r="D504" i="71"/>
  <c r="D503" i="71"/>
  <c r="D502" i="71"/>
  <c r="D501" i="71"/>
  <c r="D500" i="71"/>
  <c r="D499" i="71"/>
  <c r="D498" i="71"/>
  <c r="D497" i="71"/>
  <c r="D496" i="71"/>
  <c r="D495" i="71"/>
  <c r="D494" i="71"/>
  <c r="D493" i="71"/>
  <c r="D492" i="71"/>
  <c r="D491" i="71"/>
  <c r="D490" i="71"/>
  <c r="D489" i="71"/>
  <c r="D488" i="71"/>
  <c r="D487" i="71"/>
  <c r="D486" i="71"/>
  <c r="D485" i="71"/>
  <c r="D484" i="71"/>
  <c r="D483" i="71"/>
  <c r="D482" i="71"/>
  <c r="D481" i="71"/>
  <c r="D480" i="71"/>
  <c r="D479" i="71"/>
  <c r="D478" i="71"/>
  <c r="D477" i="71"/>
  <c r="D476" i="71"/>
  <c r="D475" i="71"/>
  <c r="D474" i="71"/>
  <c r="D473" i="71"/>
  <c r="D472" i="71"/>
  <c r="D471" i="71"/>
  <c r="D470" i="71"/>
  <c r="D469" i="71"/>
  <c r="D468" i="71"/>
  <c r="D467" i="71"/>
  <c r="D466" i="71"/>
  <c r="D465" i="71"/>
  <c r="D464" i="71"/>
  <c r="D463" i="71"/>
  <c r="D462" i="71"/>
  <c r="D461" i="71"/>
  <c r="D460" i="71"/>
  <c r="D459" i="71"/>
  <c r="D458" i="71"/>
  <c r="D457" i="71"/>
  <c r="D456" i="71"/>
  <c r="D455" i="71"/>
  <c r="D454" i="71"/>
  <c r="D453" i="71"/>
  <c r="D452" i="71"/>
  <c r="D451" i="71"/>
  <c r="D450" i="71"/>
  <c r="D449" i="71"/>
  <c r="D448" i="71"/>
  <c r="D447" i="71"/>
  <c r="D446" i="71"/>
  <c r="D445" i="71"/>
  <c r="D444" i="71"/>
  <c r="D443" i="71"/>
  <c r="D442" i="71"/>
  <c r="D441" i="71"/>
  <c r="D440" i="71"/>
  <c r="D439" i="71"/>
  <c r="D438" i="71"/>
  <c r="D437" i="71"/>
  <c r="D436" i="71"/>
  <c r="D435" i="71"/>
  <c r="D434" i="71"/>
  <c r="D433" i="71"/>
  <c r="D432" i="71"/>
  <c r="D431" i="71"/>
  <c r="D430" i="71"/>
  <c r="D429" i="71"/>
  <c r="D428" i="71"/>
  <c r="D427" i="71"/>
  <c r="D426" i="71"/>
  <c r="D425" i="71"/>
  <c r="D424" i="71"/>
  <c r="D423" i="71"/>
  <c r="D422" i="71"/>
  <c r="D421" i="71"/>
  <c r="D420" i="71"/>
  <c r="D419" i="71"/>
  <c r="D418" i="71"/>
  <c r="D417" i="71"/>
  <c r="D416" i="71"/>
  <c r="D415" i="71"/>
  <c r="D414" i="71"/>
  <c r="D413" i="71"/>
  <c r="D412" i="71"/>
  <c r="D411" i="71"/>
  <c r="D410" i="71"/>
  <c r="D409" i="71"/>
  <c r="D408" i="71"/>
  <c r="D407" i="71"/>
  <c r="D406" i="71"/>
  <c r="D405" i="71"/>
  <c r="D404" i="71"/>
  <c r="D403" i="71"/>
  <c r="D402" i="71"/>
  <c r="D401" i="71"/>
  <c r="D400" i="71"/>
  <c r="D399" i="71"/>
  <c r="D398" i="71"/>
  <c r="D397" i="71"/>
  <c r="D396" i="71"/>
  <c r="D395" i="71"/>
  <c r="D394" i="71"/>
  <c r="D393" i="71"/>
  <c r="D392" i="71"/>
  <c r="D391" i="71"/>
  <c r="D390" i="71"/>
  <c r="D389" i="71"/>
  <c r="D388" i="71"/>
  <c r="D387" i="71"/>
  <c r="D386" i="71"/>
  <c r="D385" i="71"/>
  <c r="D384" i="71"/>
  <c r="D383" i="71"/>
  <c r="D382" i="71"/>
  <c r="D381" i="71"/>
  <c r="D380" i="71"/>
  <c r="D379" i="71"/>
  <c r="D378" i="71"/>
  <c r="D377" i="71"/>
  <c r="D376" i="71"/>
  <c r="D375" i="71"/>
  <c r="D374" i="71"/>
  <c r="D373" i="71"/>
  <c r="D372" i="71"/>
  <c r="D371" i="71"/>
  <c r="D370" i="71"/>
  <c r="D369" i="71"/>
  <c r="D368" i="71"/>
  <c r="D367" i="71"/>
  <c r="D366" i="71"/>
  <c r="D365" i="71"/>
  <c r="D364" i="71"/>
  <c r="D363" i="71"/>
  <c r="D362" i="71"/>
  <c r="D361" i="71"/>
  <c r="D360" i="71"/>
  <c r="D359" i="71"/>
  <c r="D358" i="71"/>
  <c r="D357" i="71"/>
  <c r="D356" i="71"/>
  <c r="D355" i="71"/>
  <c r="D354" i="71"/>
  <c r="D353" i="71"/>
  <c r="D352" i="71"/>
  <c r="D351" i="71"/>
  <c r="D350" i="71"/>
  <c r="D349" i="71"/>
  <c r="D348" i="71"/>
  <c r="D347" i="71"/>
  <c r="D346" i="71"/>
  <c r="D345" i="71"/>
  <c r="D344" i="71"/>
  <c r="D343" i="71"/>
  <c r="D342" i="71"/>
  <c r="D341" i="71"/>
  <c r="D340" i="71"/>
  <c r="D339" i="71"/>
  <c r="D338" i="71"/>
  <c r="D337" i="71"/>
  <c r="D336" i="71"/>
  <c r="D335" i="71"/>
  <c r="D334" i="71"/>
  <c r="D333" i="71"/>
  <c r="D332" i="71"/>
  <c r="D331" i="71"/>
  <c r="D330" i="71"/>
  <c r="D329" i="71"/>
  <c r="D328" i="71"/>
  <c r="D327" i="71"/>
  <c r="D326" i="71"/>
  <c r="D325" i="71"/>
  <c r="D324" i="71"/>
  <c r="D323" i="71"/>
  <c r="D322" i="71"/>
  <c r="D321" i="71"/>
  <c r="D320" i="71"/>
  <c r="D319" i="71"/>
  <c r="D318" i="71"/>
  <c r="D317" i="71"/>
  <c r="D316" i="71"/>
  <c r="D315" i="71"/>
  <c r="D314" i="71"/>
  <c r="D313" i="71"/>
  <c r="D312" i="71"/>
  <c r="D311" i="71"/>
  <c r="D310" i="71"/>
  <c r="D309" i="71"/>
  <c r="D308" i="71"/>
  <c r="D307" i="71"/>
  <c r="D306" i="71"/>
  <c r="D305" i="71"/>
  <c r="D304" i="71"/>
  <c r="D303" i="71"/>
  <c r="D302" i="71"/>
  <c r="D301" i="71"/>
  <c r="D300" i="71"/>
  <c r="D299" i="71"/>
  <c r="D298" i="71"/>
  <c r="D297" i="71"/>
  <c r="D296" i="71"/>
  <c r="D295" i="71"/>
  <c r="D294" i="71"/>
  <c r="D293" i="71"/>
  <c r="D292" i="71"/>
  <c r="D291" i="71"/>
  <c r="D290" i="71"/>
  <c r="D289" i="71"/>
  <c r="D288" i="71"/>
  <c r="D287" i="71"/>
  <c r="D286" i="71"/>
  <c r="D285" i="71"/>
  <c r="D284" i="71"/>
  <c r="D283" i="71"/>
  <c r="D282" i="71"/>
  <c r="D281" i="71"/>
  <c r="D280" i="71"/>
  <c r="D279" i="71"/>
  <c r="D278" i="71"/>
  <c r="D277" i="71"/>
  <c r="D276" i="71"/>
  <c r="D275" i="71"/>
  <c r="D274" i="71"/>
  <c r="D273" i="71"/>
  <c r="D272" i="71"/>
  <c r="D271" i="71"/>
  <c r="D270" i="71"/>
  <c r="D269" i="71"/>
  <c r="D268" i="71"/>
  <c r="D267" i="71"/>
  <c r="D266" i="71"/>
  <c r="D265" i="71"/>
  <c r="D264" i="71"/>
  <c r="D263" i="71"/>
  <c r="D262" i="71"/>
  <c r="D261" i="71"/>
  <c r="D260" i="71"/>
  <c r="D259" i="71"/>
  <c r="D258" i="71"/>
  <c r="D257" i="71"/>
  <c r="D256" i="71"/>
  <c r="D255" i="71"/>
  <c r="D254" i="71"/>
  <c r="D253" i="71"/>
  <c r="D252" i="71"/>
  <c r="D251" i="71"/>
  <c r="D250" i="71"/>
  <c r="D249" i="71"/>
  <c r="D248" i="71"/>
  <c r="D247" i="71"/>
  <c r="D246" i="71"/>
  <c r="D245" i="71"/>
  <c r="D244" i="71"/>
  <c r="D243" i="71"/>
  <c r="D242" i="71"/>
  <c r="D241" i="71"/>
  <c r="D240" i="71"/>
  <c r="D239" i="71"/>
  <c r="D238" i="71"/>
  <c r="D237" i="71"/>
  <c r="D236" i="71"/>
  <c r="D235" i="71"/>
  <c r="D234" i="71"/>
  <c r="D233" i="71"/>
  <c r="D232" i="71"/>
  <c r="D231" i="71"/>
  <c r="D230" i="71"/>
  <c r="D229" i="71"/>
  <c r="D228" i="71"/>
  <c r="D227" i="71"/>
  <c r="D226" i="71"/>
  <c r="D225" i="71"/>
  <c r="D224" i="71"/>
  <c r="D223" i="71"/>
  <c r="D222" i="71"/>
  <c r="D221" i="71"/>
  <c r="D220" i="71"/>
  <c r="D219" i="71"/>
  <c r="D218" i="71"/>
  <c r="D217" i="71"/>
  <c r="D216" i="71"/>
  <c r="D215" i="71"/>
  <c r="D214" i="71"/>
  <c r="D213" i="71"/>
  <c r="D212" i="71"/>
  <c r="D211" i="71"/>
  <c r="D210" i="71"/>
  <c r="D209" i="71"/>
  <c r="D208" i="71"/>
  <c r="D207" i="71"/>
  <c r="D206" i="71"/>
  <c r="D205" i="71"/>
  <c r="D204" i="71"/>
  <c r="D203" i="71"/>
  <c r="D202" i="71"/>
  <c r="D201" i="71"/>
  <c r="D200" i="71"/>
  <c r="D199" i="71"/>
  <c r="D198" i="71"/>
  <c r="D197" i="71"/>
  <c r="D196" i="71"/>
  <c r="D195" i="71"/>
  <c r="D194" i="71"/>
  <c r="D193" i="71"/>
  <c r="D192" i="71"/>
  <c r="D191" i="71"/>
  <c r="D190" i="71"/>
  <c r="D189" i="71"/>
  <c r="D188" i="71"/>
  <c r="D187" i="71"/>
  <c r="D186" i="71"/>
  <c r="D185" i="71"/>
  <c r="D184" i="71"/>
  <c r="D183" i="71"/>
  <c r="D182" i="71"/>
  <c r="D181" i="71"/>
  <c r="D180" i="71"/>
  <c r="D179" i="71"/>
  <c r="D178" i="71"/>
  <c r="D177" i="71"/>
  <c r="D176" i="71"/>
  <c r="D175" i="71"/>
  <c r="D174" i="71"/>
  <c r="D173" i="71"/>
  <c r="D172" i="71"/>
  <c r="D171" i="71"/>
  <c r="D170" i="71"/>
  <c r="D169" i="71"/>
  <c r="D168" i="71"/>
  <c r="D167" i="71"/>
  <c r="D166" i="71"/>
  <c r="D165" i="71"/>
  <c r="D164" i="71"/>
  <c r="D163" i="71"/>
  <c r="D162" i="71"/>
  <c r="D161" i="71"/>
  <c r="D160" i="71"/>
  <c r="D159" i="71"/>
  <c r="D158" i="71"/>
  <c r="D157" i="71"/>
  <c r="D156" i="71"/>
  <c r="D155" i="71"/>
  <c r="D154" i="71"/>
  <c r="D153" i="71"/>
  <c r="D152" i="71"/>
  <c r="D151" i="71"/>
  <c r="D150" i="71"/>
  <c r="D149" i="71"/>
  <c r="D148" i="71"/>
  <c r="D147" i="71"/>
  <c r="D146" i="71"/>
  <c r="D145" i="71"/>
  <c r="D144" i="71"/>
  <c r="D143" i="71"/>
  <c r="D142" i="71"/>
  <c r="D141" i="71"/>
  <c r="D140" i="71"/>
  <c r="D139" i="71"/>
  <c r="D138" i="71"/>
  <c r="D137" i="71"/>
  <c r="D136" i="71"/>
  <c r="D135" i="71"/>
  <c r="D134" i="71"/>
  <c r="D133" i="71"/>
  <c r="D132" i="71"/>
  <c r="D131" i="71"/>
  <c r="D130" i="71"/>
  <c r="D129" i="71"/>
  <c r="D128" i="71"/>
  <c r="D127" i="71"/>
  <c r="D126" i="71"/>
  <c r="D125" i="71"/>
  <c r="D124" i="71"/>
  <c r="D123" i="71"/>
  <c r="D122" i="71"/>
  <c r="D121" i="71"/>
  <c r="D120" i="71"/>
  <c r="D119" i="71"/>
  <c r="D118" i="71"/>
  <c r="D117" i="71"/>
  <c r="D116" i="71"/>
  <c r="D115" i="71"/>
  <c r="D114" i="71"/>
  <c r="D113" i="71"/>
  <c r="D112" i="71"/>
  <c r="D111" i="71"/>
  <c r="D110" i="71"/>
  <c r="D109" i="71"/>
  <c r="D108" i="71"/>
  <c r="D107" i="71"/>
  <c r="D106" i="71"/>
  <c r="D105" i="71"/>
  <c r="D104" i="71"/>
  <c r="D103" i="71"/>
  <c r="D102" i="71"/>
  <c r="D101" i="71"/>
  <c r="D100" i="71"/>
  <c r="D99" i="71"/>
  <c r="D98" i="71"/>
  <c r="D97" i="71"/>
  <c r="D96" i="71"/>
  <c r="D95" i="71"/>
  <c r="D94" i="71"/>
  <c r="D93" i="71"/>
  <c r="D92" i="71"/>
  <c r="D91" i="71"/>
  <c r="D90" i="71"/>
  <c r="D89" i="71"/>
  <c r="D88" i="71"/>
  <c r="D87" i="71"/>
  <c r="D86" i="71"/>
  <c r="D85" i="71"/>
  <c r="D84" i="71"/>
  <c r="D83" i="71"/>
  <c r="D82" i="71"/>
  <c r="D81" i="71"/>
  <c r="D80" i="71"/>
  <c r="D79" i="71"/>
  <c r="D78" i="71"/>
  <c r="D77" i="71"/>
  <c r="D76" i="71"/>
  <c r="D75" i="71"/>
  <c r="D74" i="71"/>
  <c r="D73" i="71"/>
  <c r="D72" i="71"/>
  <c r="D71" i="71"/>
  <c r="D70" i="71"/>
  <c r="D69" i="71"/>
  <c r="D68" i="71"/>
  <c r="D67" i="71"/>
  <c r="D66" i="71"/>
  <c r="D65" i="71"/>
  <c r="D64" i="71"/>
  <c r="D63" i="71"/>
  <c r="D62" i="71"/>
  <c r="D61" i="71"/>
  <c r="D60" i="71"/>
  <c r="D59" i="71"/>
  <c r="D58" i="71"/>
  <c r="D57" i="71"/>
  <c r="D56" i="71"/>
  <c r="D55" i="71"/>
  <c r="D54" i="71"/>
  <c r="D53" i="71"/>
  <c r="D52" i="71"/>
  <c r="D51" i="71"/>
  <c r="D50" i="71"/>
  <c r="D49" i="71"/>
  <c r="D48" i="71"/>
  <c r="D47" i="71"/>
  <c r="D46" i="71"/>
  <c r="D45" i="71"/>
  <c r="D44" i="71"/>
  <c r="D43" i="71"/>
  <c r="D42" i="71"/>
  <c r="D41" i="71"/>
  <c r="D40" i="71"/>
  <c r="D39" i="71"/>
  <c r="D38" i="71"/>
  <c r="D37" i="71"/>
  <c r="D36" i="71"/>
  <c r="D35" i="71"/>
  <c r="D34" i="71"/>
  <c r="D33" i="71"/>
  <c r="D32" i="71"/>
  <c r="D31" i="71"/>
  <c r="D30" i="71"/>
  <c r="D29" i="71"/>
  <c r="D28" i="71"/>
  <c r="D27" i="71"/>
  <c r="D26" i="71"/>
  <c r="D25" i="71"/>
  <c r="D24" i="71"/>
  <c r="D23" i="71"/>
  <c r="D22" i="71"/>
  <c r="D21" i="71"/>
  <c r="D20" i="71"/>
  <c r="D19" i="71"/>
  <c r="D18" i="71"/>
  <c r="D17" i="71"/>
  <c r="D16" i="71"/>
  <c r="D15" i="71"/>
  <c r="D14" i="71"/>
  <c r="D13" i="71"/>
  <c r="D12" i="71"/>
  <c r="D11" i="71"/>
  <c r="D10" i="71"/>
  <c r="D9" i="71"/>
  <c r="D8" i="71"/>
  <c r="D7" i="71"/>
  <c r="AO537" i="89" l="1"/>
  <c r="H537" i="89"/>
  <c r="G537" i="89"/>
  <c r="F537" i="89"/>
  <c r="AO536" i="89"/>
  <c r="H536" i="89"/>
  <c r="G536" i="89"/>
  <c r="F536" i="89"/>
  <c r="AO535" i="89"/>
  <c r="H535" i="89"/>
  <c r="G535" i="89"/>
  <c r="F535" i="89"/>
  <c r="AO534" i="89"/>
  <c r="H534" i="89"/>
  <c r="G534" i="89"/>
  <c r="F534" i="89"/>
  <c r="AO533" i="89"/>
  <c r="H533" i="89"/>
  <c r="G533" i="89"/>
  <c r="F533" i="89"/>
  <c r="AO532" i="89"/>
  <c r="H532" i="89"/>
  <c r="G532" i="89"/>
  <c r="F532" i="89"/>
  <c r="AO531" i="89"/>
  <c r="H531" i="89"/>
  <c r="G531" i="89"/>
  <c r="F531" i="89"/>
  <c r="AO530" i="89"/>
  <c r="H530" i="89"/>
  <c r="G530" i="89"/>
  <c r="F530" i="89"/>
  <c r="AO529" i="89"/>
  <c r="H529" i="89"/>
  <c r="G529" i="89"/>
  <c r="F529" i="89"/>
  <c r="AO528" i="89"/>
  <c r="H528" i="89"/>
  <c r="G528" i="89"/>
  <c r="F528" i="89"/>
  <c r="AO527" i="89"/>
  <c r="H527" i="89"/>
  <c r="G527" i="89"/>
  <c r="F527" i="89"/>
  <c r="AO526" i="89"/>
  <c r="H526" i="89"/>
  <c r="G526" i="89"/>
  <c r="F526" i="89"/>
  <c r="AO525" i="89"/>
  <c r="H525" i="89"/>
  <c r="G525" i="89"/>
  <c r="F525" i="89"/>
  <c r="AO524" i="89"/>
  <c r="H524" i="89"/>
  <c r="G524" i="89"/>
  <c r="F524" i="89"/>
  <c r="AO523" i="89"/>
  <c r="H523" i="89"/>
  <c r="G523" i="89"/>
  <c r="F523" i="89"/>
  <c r="AO522" i="89"/>
  <c r="H522" i="89"/>
  <c r="G522" i="89"/>
  <c r="F522" i="89"/>
  <c r="AO521" i="89"/>
  <c r="H521" i="89"/>
  <c r="G521" i="89"/>
  <c r="F521" i="89"/>
  <c r="AO520" i="89"/>
  <c r="H520" i="89"/>
  <c r="G520" i="89"/>
  <c r="F520" i="89"/>
  <c r="AO519" i="89"/>
  <c r="H519" i="89"/>
  <c r="G519" i="89"/>
  <c r="F519" i="89"/>
  <c r="AO518" i="89"/>
  <c r="H518" i="89"/>
  <c r="G518" i="89"/>
  <c r="F518" i="89"/>
  <c r="AO517" i="89"/>
  <c r="H517" i="89"/>
  <c r="G517" i="89"/>
  <c r="F517" i="89"/>
  <c r="AO516" i="89"/>
  <c r="H516" i="89"/>
  <c r="G516" i="89"/>
  <c r="F516" i="89"/>
  <c r="AO515" i="89"/>
  <c r="H515" i="89"/>
  <c r="G515" i="89"/>
  <c r="F515" i="89"/>
  <c r="AO514" i="89"/>
  <c r="H514" i="89"/>
  <c r="G514" i="89"/>
  <c r="F514" i="89"/>
  <c r="AO513" i="89"/>
  <c r="H513" i="89"/>
  <c r="G513" i="89"/>
  <c r="F513" i="89"/>
  <c r="AO512" i="89"/>
  <c r="H512" i="89"/>
  <c r="G512" i="89"/>
  <c r="F512" i="89"/>
  <c r="AO511" i="89"/>
  <c r="H511" i="89"/>
  <c r="G511" i="89"/>
  <c r="F511" i="89"/>
  <c r="AO510" i="89"/>
  <c r="H510" i="89"/>
  <c r="G510" i="89"/>
  <c r="F510" i="89"/>
  <c r="AO509" i="89"/>
  <c r="H509" i="89"/>
  <c r="G509" i="89"/>
  <c r="F509" i="89"/>
  <c r="AO508" i="89"/>
  <c r="H508" i="89"/>
  <c r="G508" i="89"/>
  <c r="F508" i="89"/>
  <c r="AO507" i="89"/>
  <c r="H507" i="89"/>
  <c r="G507" i="89"/>
  <c r="F507" i="89"/>
  <c r="AO506" i="89"/>
  <c r="H506" i="89"/>
  <c r="G506" i="89"/>
  <c r="F506" i="89"/>
  <c r="AO505" i="89"/>
  <c r="H505" i="89"/>
  <c r="G505" i="89"/>
  <c r="F505" i="89"/>
  <c r="AO504" i="89"/>
  <c r="H504" i="89"/>
  <c r="G504" i="89"/>
  <c r="F504" i="89"/>
  <c r="AO503" i="89"/>
  <c r="H503" i="89"/>
  <c r="G503" i="89"/>
  <c r="F503" i="89"/>
  <c r="AO502" i="89"/>
  <c r="H502" i="89"/>
  <c r="G502" i="89"/>
  <c r="F502" i="89"/>
  <c r="AO501" i="89"/>
  <c r="H501" i="89"/>
  <c r="G501" i="89"/>
  <c r="F501" i="89"/>
  <c r="AO500" i="89"/>
  <c r="H500" i="89"/>
  <c r="G500" i="89"/>
  <c r="F500" i="89"/>
  <c r="AO499" i="89"/>
  <c r="H499" i="89"/>
  <c r="G499" i="89"/>
  <c r="F499" i="89"/>
  <c r="AO498" i="89"/>
  <c r="H498" i="89"/>
  <c r="G498" i="89"/>
  <c r="F498" i="89"/>
  <c r="AO497" i="89"/>
  <c r="H497" i="89"/>
  <c r="G497" i="89"/>
  <c r="F497" i="89"/>
  <c r="AO496" i="89"/>
  <c r="H496" i="89"/>
  <c r="G496" i="89"/>
  <c r="F496" i="89"/>
  <c r="AO495" i="89"/>
  <c r="H495" i="89"/>
  <c r="G495" i="89"/>
  <c r="F495" i="89"/>
  <c r="AO494" i="89"/>
  <c r="H494" i="89"/>
  <c r="G494" i="89"/>
  <c r="F494" i="89"/>
  <c r="AO493" i="89"/>
  <c r="H493" i="89"/>
  <c r="G493" i="89"/>
  <c r="F493" i="89"/>
  <c r="AO492" i="89"/>
  <c r="H492" i="89"/>
  <c r="G492" i="89"/>
  <c r="F492" i="89"/>
  <c r="AO491" i="89"/>
  <c r="H491" i="89"/>
  <c r="G491" i="89"/>
  <c r="F491" i="89"/>
  <c r="AO490" i="89"/>
  <c r="H490" i="89"/>
  <c r="G490" i="89"/>
  <c r="F490" i="89"/>
  <c r="AO489" i="89"/>
  <c r="H489" i="89"/>
  <c r="G489" i="89"/>
  <c r="F489" i="89"/>
  <c r="AO488" i="89"/>
  <c r="H488" i="89"/>
  <c r="G488" i="89"/>
  <c r="F488" i="89"/>
  <c r="AO487" i="89"/>
  <c r="H487" i="89"/>
  <c r="G487" i="89"/>
  <c r="F487" i="89"/>
  <c r="AO486" i="89"/>
  <c r="H486" i="89"/>
  <c r="G486" i="89"/>
  <c r="F486" i="89"/>
  <c r="AO485" i="89"/>
  <c r="H485" i="89"/>
  <c r="G485" i="89"/>
  <c r="F485" i="89"/>
  <c r="AO484" i="89"/>
  <c r="H484" i="89"/>
  <c r="G484" i="89"/>
  <c r="F484" i="89"/>
  <c r="AO483" i="89"/>
  <c r="H483" i="89"/>
  <c r="G483" i="89"/>
  <c r="F483" i="89"/>
  <c r="AO482" i="89"/>
  <c r="H482" i="89"/>
  <c r="G482" i="89"/>
  <c r="F482" i="89"/>
  <c r="AO481" i="89"/>
  <c r="H481" i="89"/>
  <c r="G481" i="89"/>
  <c r="F481" i="89"/>
  <c r="AO480" i="89"/>
  <c r="H480" i="89"/>
  <c r="G480" i="89"/>
  <c r="F480" i="89"/>
  <c r="AO479" i="89"/>
  <c r="H479" i="89"/>
  <c r="G479" i="89"/>
  <c r="F479" i="89"/>
  <c r="AO478" i="89"/>
  <c r="H478" i="89"/>
  <c r="G478" i="89"/>
  <c r="F478" i="89"/>
  <c r="AO477" i="89"/>
  <c r="H477" i="89"/>
  <c r="G477" i="89"/>
  <c r="F477" i="89"/>
  <c r="AO476" i="89"/>
  <c r="H476" i="89"/>
  <c r="G476" i="89"/>
  <c r="F476" i="89"/>
  <c r="AO475" i="89"/>
  <c r="H475" i="89"/>
  <c r="G475" i="89"/>
  <c r="F475" i="89"/>
  <c r="AO474" i="89"/>
  <c r="H474" i="89"/>
  <c r="G474" i="89"/>
  <c r="F474" i="89"/>
  <c r="AO473" i="89"/>
  <c r="H473" i="89"/>
  <c r="G473" i="89"/>
  <c r="F473" i="89"/>
  <c r="AO472" i="89"/>
  <c r="H472" i="89"/>
  <c r="G472" i="89"/>
  <c r="F472" i="89"/>
  <c r="AO471" i="89"/>
  <c r="H471" i="89"/>
  <c r="G471" i="89"/>
  <c r="F471" i="89"/>
  <c r="AO470" i="89"/>
  <c r="H470" i="89"/>
  <c r="G470" i="89"/>
  <c r="F470" i="89"/>
  <c r="AO469" i="89"/>
  <c r="H469" i="89"/>
  <c r="G469" i="89"/>
  <c r="F469" i="89"/>
  <c r="AO468" i="89"/>
  <c r="H468" i="89"/>
  <c r="G468" i="89"/>
  <c r="F468" i="89"/>
  <c r="AO467" i="89"/>
  <c r="H467" i="89"/>
  <c r="G467" i="89"/>
  <c r="F467" i="89"/>
  <c r="AO466" i="89"/>
  <c r="H466" i="89"/>
  <c r="G466" i="89"/>
  <c r="F466" i="89"/>
  <c r="AO465" i="89"/>
  <c r="H465" i="89"/>
  <c r="G465" i="89"/>
  <c r="F465" i="89"/>
  <c r="AO464" i="89"/>
  <c r="H464" i="89"/>
  <c r="G464" i="89"/>
  <c r="F464" i="89"/>
  <c r="AO463" i="89"/>
  <c r="H463" i="89"/>
  <c r="G463" i="89"/>
  <c r="F463" i="89"/>
  <c r="AO462" i="89"/>
  <c r="H462" i="89"/>
  <c r="G462" i="89"/>
  <c r="F462" i="89"/>
  <c r="AO461" i="89"/>
  <c r="H461" i="89"/>
  <c r="G461" i="89"/>
  <c r="F461" i="89"/>
  <c r="AO460" i="89"/>
  <c r="H460" i="89"/>
  <c r="G460" i="89"/>
  <c r="F460" i="89"/>
  <c r="AO459" i="89"/>
  <c r="H459" i="89"/>
  <c r="G459" i="89"/>
  <c r="F459" i="89"/>
  <c r="AO458" i="89"/>
  <c r="H458" i="89"/>
  <c r="G458" i="89"/>
  <c r="F458" i="89"/>
  <c r="AO457" i="89"/>
  <c r="H457" i="89"/>
  <c r="G457" i="89"/>
  <c r="F457" i="89"/>
  <c r="AO456" i="89"/>
  <c r="H456" i="89"/>
  <c r="G456" i="89"/>
  <c r="F456" i="89"/>
  <c r="AO455" i="89"/>
  <c r="H455" i="89"/>
  <c r="G455" i="89"/>
  <c r="F455" i="89"/>
  <c r="AO454" i="89"/>
  <c r="H454" i="89"/>
  <c r="G454" i="89"/>
  <c r="F454" i="89"/>
  <c r="AO453" i="89"/>
  <c r="H453" i="89"/>
  <c r="G453" i="89"/>
  <c r="F453" i="89"/>
  <c r="AO452" i="89"/>
  <c r="H452" i="89"/>
  <c r="G452" i="89"/>
  <c r="F452" i="89"/>
  <c r="AO451" i="89"/>
  <c r="H451" i="89"/>
  <c r="G451" i="89"/>
  <c r="F451" i="89"/>
  <c r="AO450" i="89"/>
  <c r="H450" i="89"/>
  <c r="G450" i="89"/>
  <c r="F450" i="89"/>
  <c r="AO449" i="89"/>
  <c r="H449" i="89"/>
  <c r="G449" i="89"/>
  <c r="F449" i="89"/>
  <c r="AO448" i="89"/>
  <c r="H448" i="89"/>
  <c r="G448" i="89"/>
  <c r="F448" i="89"/>
  <c r="AO447" i="89"/>
  <c r="H447" i="89"/>
  <c r="G447" i="89"/>
  <c r="F447" i="89"/>
  <c r="AO446" i="89"/>
  <c r="H446" i="89"/>
  <c r="G446" i="89"/>
  <c r="F446" i="89"/>
  <c r="AO445" i="89"/>
  <c r="H445" i="89"/>
  <c r="G445" i="89"/>
  <c r="F445" i="89"/>
  <c r="AO444" i="89"/>
  <c r="H444" i="89"/>
  <c r="G444" i="89"/>
  <c r="F444" i="89"/>
  <c r="AO443" i="89"/>
  <c r="H443" i="89"/>
  <c r="G443" i="89"/>
  <c r="F443" i="89"/>
  <c r="AO442" i="89"/>
  <c r="H442" i="89"/>
  <c r="G442" i="89"/>
  <c r="F442" i="89"/>
  <c r="AO441" i="89"/>
  <c r="H441" i="89"/>
  <c r="G441" i="89"/>
  <c r="F441" i="89"/>
  <c r="AO440" i="89"/>
  <c r="H440" i="89"/>
  <c r="G440" i="89"/>
  <c r="F440" i="89"/>
  <c r="AO439" i="89"/>
  <c r="H439" i="89"/>
  <c r="G439" i="89"/>
  <c r="F439" i="89"/>
  <c r="AO438" i="89"/>
  <c r="H438" i="89"/>
  <c r="G438" i="89"/>
  <c r="F438" i="89"/>
  <c r="AO437" i="89"/>
  <c r="H437" i="89"/>
  <c r="G437" i="89"/>
  <c r="F437" i="89"/>
  <c r="AO436" i="89"/>
  <c r="H436" i="89"/>
  <c r="G436" i="89"/>
  <c r="F436" i="89"/>
  <c r="AO435" i="89"/>
  <c r="H435" i="89"/>
  <c r="G435" i="89"/>
  <c r="F435" i="89"/>
  <c r="AO434" i="89"/>
  <c r="H434" i="89"/>
  <c r="G434" i="89"/>
  <c r="F434" i="89"/>
  <c r="AO433" i="89"/>
  <c r="H433" i="89"/>
  <c r="G433" i="89"/>
  <c r="F433" i="89"/>
  <c r="AO432" i="89"/>
  <c r="H432" i="89"/>
  <c r="G432" i="89"/>
  <c r="F432" i="89"/>
  <c r="AO431" i="89"/>
  <c r="H431" i="89"/>
  <c r="G431" i="89"/>
  <c r="F431" i="89"/>
  <c r="AO430" i="89"/>
  <c r="H430" i="89"/>
  <c r="G430" i="89"/>
  <c r="F430" i="89"/>
  <c r="AO429" i="89"/>
  <c r="H429" i="89"/>
  <c r="G429" i="89"/>
  <c r="F429" i="89"/>
  <c r="AO428" i="89"/>
  <c r="H428" i="89"/>
  <c r="G428" i="89"/>
  <c r="F428" i="89"/>
  <c r="AO427" i="89"/>
  <c r="H427" i="89"/>
  <c r="G427" i="89"/>
  <c r="F427" i="89"/>
  <c r="AO426" i="89"/>
  <c r="H426" i="89"/>
  <c r="G426" i="89"/>
  <c r="F426" i="89"/>
  <c r="AO425" i="89"/>
  <c r="H425" i="89"/>
  <c r="G425" i="89"/>
  <c r="F425" i="89"/>
  <c r="AO424" i="89"/>
  <c r="H424" i="89"/>
  <c r="G424" i="89"/>
  <c r="F424" i="89"/>
  <c r="AO423" i="89"/>
  <c r="H423" i="89"/>
  <c r="G423" i="89"/>
  <c r="F423" i="89"/>
  <c r="AO422" i="89"/>
  <c r="H422" i="89"/>
  <c r="G422" i="89"/>
  <c r="F422" i="89"/>
  <c r="AO421" i="89"/>
  <c r="H421" i="89"/>
  <c r="G421" i="89"/>
  <c r="F421" i="89"/>
  <c r="AO420" i="89"/>
  <c r="H420" i="89"/>
  <c r="G420" i="89"/>
  <c r="F420" i="89"/>
  <c r="AO419" i="89"/>
  <c r="H419" i="89"/>
  <c r="G419" i="89"/>
  <c r="F419" i="89"/>
  <c r="AO418" i="89"/>
  <c r="H418" i="89"/>
  <c r="G418" i="89"/>
  <c r="F418" i="89"/>
  <c r="AO417" i="89"/>
  <c r="H417" i="89"/>
  <c r="G417" i="89"/>
  <c r="F417" i="89"/>
  <c r="AO416" i="89"/>
  <c r="H416" i="89"/>
  <c r="G416" i="89"/>
  <c r="F416" i="89"/>
  <c r="AO415" i="89"/>
  <c r="H415" i="89"/>
  <c r="G415" i="89"/>
  <c r="F415" i="89"/>
  <c r="AO414" i="89"/>
  <c r="H414" i="89"/>
  <c r="G414" i="89"/>
  <c r="F414" i="89"/>
  <c r="AO413" i="89"/>
  <c r="H413" i="89"/>
  <c r="G413" i="89"/>
  <c r="F413" i="89"/>
  <c r="AO412" i="89"/>
  <c r="H412" i="89"/>
  <c r="G412" i="89"/>
  <c r="F412" i="89"/>
  <c r="AO411" i="89"/>
  <c r="H411" i="89"/>
  <c r="G411" i="89"/>
  <c r="F411" i="89"/>
  <c r="AO410" i="89"/>
  <c r="H410" i="89"/>
  <c r="G410" i="89"/>
  <c r="F410" i="89"/>
  <c r="AO409" i="89"/>
  <c r="H409" i="89"/>
  <c r="G409" i="89"/>
  <c r="F409" i="89"/>
  <c r="AO408" i="89"/>
  <c r="H408" i="89"/>
  <c r="G408" i="89"/>
  <c r="F408" i="89"/>
  <c r="AO407" i="89"/>
  <c r="H407" i="89"/>
  <c r="G407" i="89"/>
  <c r="F407" i="89"/>
  <c r="AO406" i="89"/>
  <c r="H406" i="89"/>
  <c r="G406" i="89"/>
  <c r="F406" i="89"/>
  <c r="AO405" i="89"/>
  <c r="H405" i="89"/>
  <c r="G405" i="89"/>
  <c r="F405" i="89"/>
  <c r="AO404" i="89"/>
  <c r="H404" i="89"/>
  <c r="G404" i="89"/>
  <c r="F404" i="89"/>
  <c r="AO403" i="89"/>
  <c r="H403" i="89"/>
  <c r="G403" i="89"/>
  <c r="F403" i="89"/>
  <c r="AO402" i="89"/>
  <c r="H402" i="89"/>
  <c r="G402" i="89"/>
  <c r="F402" i="89"/>
  <c r="AO401" i="89"/>
  <c r="H401" i="89"/>
  <c r="G401" i="89"/>
  <c r="F401" i="89"/>
  <c r="AO400" i="89"/>
  <c r="H400" i="89"/>
  <c r="G400" i="89"/>
  <c r="F400" i="89"/>
  <c r="AO399" i="89"/>
  <c r="H399" i="89"/>
  <c r="G399" i="89"/>
  <c r="F399" i="89"/>
  <c r="AO398" i="89"/>
  <c r="H398" i="89"/>
  <c r="G398" i="89"/>
  <c r="F398" i="89"/>
  <c r="AO397" i="89"/>
  <c r="H397" i="89"/>
  <c r="G397" i="89"/>
  <c r="F397" i="89"/>
  <c r="AO396" i="89"/>
  <c r="H396" i="89"/>
  <c r="G396" i="89"/>
  <c r="F396" i="89"/>
  <c r="AO395" i="89"/>
  <c r="H395" i="89"/>
  <c r="G395" i="89"/>
  <c r="F395" i="89"/>
  <c r="AO394" i="89"/>
  <c r="H394" i="89"/>
  <c r="G394" i="89"/>
  <c r="F394" i="89"/>
  <c r="AO393" i="89"/>
  <c r="H393" i="89"/>
  <c r="G393" i="89"/>
  <c r="F393" i="89"/>
  <c r="AO392" i="89"/>
  <c r="H392" i="89"/>
  <c r="G392" i="89"/>
  <c r="F392" i="89"/>
  <c r="AO391" i="89"/>
  <c r="H391" i="89"/>
  <c r="G391" i="89"/>
  <c r="F391" i="89"/>
  <c r="AO390" i="89"/>
  <c r="H390" i="89"/>
  <c r="G390" i="89"/>
  <c r="F390" i="89"/>
  <c r="AO389" i="89"/>
  <c r="H389" i="89"/>
  <c r="G389" i="89"/>
  <c r="F389" i="89"/>
  <c r="AO388" i="89"/>
  <c r="H388" i="89"/>
  <c r="G388" i="89"/>
  <c r="F388" i="89"/>
  <c r="AO387" i="89"/>
  <c r="H387" i="89"/>
  <c r="G387" i="89"/>
  <c r="F387" i="89"/>
  <c r="AO386" i="89"/>
  <c r="H386" i="89"/>
  <c r="G386" i="89"/>
  <c r="F386" i="89"/>
  <c r="AO385" i="89"/>
  <c r="H385" i="89"/>
  <c r="G385" i="89"/>
  <c r="F385" i="89"/>
  <c r="AO384" i="89"/>
  <c r="H384" i="89"/>
  <c r="G384" i="89"/>
  <c r="F384" i="89"/>
  <c r="AO383" i="89"/>
  <c r="H383" i="89"/>
  <c r="G383" i="89"/>
  <c r="F383" i="89"/>
  <c r="AO382" i="89"/>
  <c r="H382" i="89"/>
  <c r="G382" i="89"/>
  <c r="F382" i="89"/>
  <c r="AO381" i="89"/>
  <c r="H381" i="89"/>
  <c r="G381" i="89"/>
  <c r="F381" i="89"/>
  <c r="AO380" i="89"/>
  <c r="H380" i="89"/>
  <c r="G380" i="89"/>
  <c r="F380" i="89"/>
  <c r="AO379" i="89"/>
  <c r="H379" i="89"/>
  <c r="G379" i="89"/>
  <c r="F379" i="89"/>
  <c r="AO378" i="89"/>
  <c r="H378" i="89"/>
  <c r="G378" i="89"/>
  <c r="F378" i="89"/>
  <c r="AO377" i="89"/>
  <c r="H377" i="89"/>
  <c r="G377" i="89"/>
  <c r="F377" i="89"/>
  <c r="AO376" i="89"/>
  <c r="H376" i="89"/>
  <c r="G376" i="89"/>
  <c r="F376" i="89"/>
  <c r="AO375" i="89"/>
  <c r="H375" i="89"/>
  <c r="G375" i="89"/>
  <c r="F375" i="89"/>
  <c r="AO374" i="89"/>
  <c r="H374" i="89"/>
  <c r="G374" i="89"/>
  <c r="F374" i="89"/>
  <c r="AO373" i="89"/>
  <c r="H373" i="89"/>
  <c r="G373" i="89"/>
  <c r="F373" i="89"/>
  <c r="AO372" i="89"/>
  <c r="H372" i="89"/>
  <c r="G372" i="89"/>
  <c r="F372" i="89"/>
  <c r="AO371" i="89"/>
  <c r="H371" i="89"/>
  <c r="G371" i="89"/>
  <c r="F371" i="89"/>
  <c r="AO370" i="89"/>
  <c r="H370" i="89"/>
  <c r="G370" i="89"/>
  <c r="F370" i="89"/>
  <c r="AO369" i="89"/>
  <c r="H369" i="89"/>
  <c r="G369" i="89"/>
  <c r="F369" i="89"/>
  <c r="AO368" i="89"/>
  <c r="H368" i="89"/>
  <c r="G368" i="89"/>
  <c r="F368" i="89"/>
  <c r="AO367" i="89"/>
  <c r="H367" i="89"/>
  <c r="G367" i="89"/>
  <c r="F367" i="89"/>
  <c r="AO366" i="89"/>
  <c r="H366" i="89"/>
  <c r="G366" i="89"/>
  <c r="F366" i="89"/>
  <c r="AO365" i="89"/>
  <c r="H365" i="89"/>
  <c r="G365" i="89"/>
  <c r="F365" i="89"/>
  <c r="AO364" i="89"/>
  <c r="H364" i="89"/>
  <c r="G364" i="89"/>
  <c r="F364" i="89"/>
  <c r="AO363" i="89"/>
  <c r="H363" i="89"/>
  <c r="G363" i="89"/>
  <c r="F363" i="89"/>
  <c r="AO362" i="89"/>
  <c r="H362" i="89"/>
  <c r="G362" i="89"/>
  <c r="F362" i="89"/>
  <c r="AO361" i="89"/>
  <c r="H361" i="89"/>
  <c r="G361" i="89"/>
  <c r="F361" i="89"/>
  <c r="AO360" i="89"/>
  <c r="H360" i="89"/>
  <c r="G360" i="89"/>
  <c r="F360" i="89"/>
  <c r="AO359" i="89"/>
  <c r="H359" i="89"/>
  <c r="G359" i="89"/>
  <c r="F359" i="89"/>
  <c r="AO358" i="89"/>
  <c r="H358" i="89"/>
  <c r="G358" i="89"/>
  <c r="F358" i="89"/>
  <c r="AO357" i="89"/>
  <c r="H357" i="89"/>
  <c r="G357" i="89"/>
  <c r="F357" i="89"/>
  <c r="AO356" i="89"/>
  <c r="H356" i="89"/>
  <c r="G356" i="89"/>
  <c r="F356" i="89"/>
  <c r="AO355" i="89"/>
  <c r="H355" i="89"/>
  <c r="G355" i="89"/>
  <c r="F355" i="89"/>
  <c r="AO354" i="89"/>
  <c r="H354" i="89"/>
  <c r="G354" i="89"/>
  <c r="F354" i="89"/>
  <c r="AO353" i="89"/>
  <c r="H353" i="89"/>
  <c r="G353" i="89"/>
  <c r="F353" i="89"/>
  <c r="AO352" i="89"/>
  <c r="H352" i="89"/>
  <c r="G352" i="89"/>
  <c r="F352" i="89"/>
  <c r="AO351" i="89"/>
  <c r="H351" i="89"/>
  <c r="G351" i="89"/>
  <c r="F351" i="89"/>
  <c r="AO350" i="89"/>
  <c r="H350" i="89"/>
  <c r="G350" i="89"/>
  <c r="F350" i="89"/>
  <c r="AO349" i="89"/>
  <c r="H349" i="89"/>
  <c r="G349" i="89"/>
  <c r="F349" i="89"/>
  <c r="AO348" i="89"/>
  <c r="H348" i="89"/>
  <c r="G348" i="89"/>
  <c r="F348" i="89"/>
  <c r="AO347" i="89"/>
  <c r="H347" i="89"/>
  <c r="G347" i="89"/>
  <c r="F347" i="89"/>
  <c r="AO346" i="89"/>
  <c r="H346" i="89"/>
  <c r="G346" i="89"/>
  <c r="F346" i="89"/>
  <c r="AO345" i="89"/>
  <c r="H345" i="89"/>
  <c r="G345" i="89"/>
  <c r="F345" i="89"/>
  <c r="AO344" i="89"/>
  <c r="H344" i="89"/>
  <c r="G344" i="89"/>
  <c r="F344" i="89"/>
  <c r="AO343" i="89"/>
  <c r="H343" i="89"/>
  <c r="G343" i="89"/>
  <c r="F343" i="89"/>
  <c r="AO342" i="89"/>
  <c r="H342" i="89"/>
  <c r="G342" i="89"/>
  <c r="F342" i="89"/>
  <c r="AO341" i="89"/>
  <c r="H341" i="89"/>
  <c r="G341" i="89"/>
  <c r="F341" i="89"/>
  <c r="AO340" i="89"/>
  <c r="H340" i="89"/>
  <c r="G340" i="89"/>
  <c r="F340" i="89"/>
  <c r="AO339" i="89"/>
  <c r="H339" i="89"/>
  <c r="G339" i="89"/>
  <c r="F339" i="89"/>
  <c r="AO338" i="89"/>
  <c r="H338" i="89"/>
  <c r="G338" i="89"/>
  <c r="F338" i="89"/>
  <c r="AO337" i="89"/>
  <c r="H337" i="89"/>
  <c r="G337" i="89"/>
  <c r="F337" i="89"/>
  <c r="AO336" i="89"/>
  <c r="H336" i="89"/>
  <c r="G336" i="89"/>
  <c r="F336" i="89"/>
  <c r="AO335" i="89"/>
  <c r="H335" i="89"/>
  <c r="G335" i="89"/>
  <c r="F335" i="89"/>
  <c r="AO334" i="89"/>
  <c r="H334" i="89"/>
  <c r="G334" i="89"/>
  <c r="F334" i="89"/>
  <c r="AO333" i="89"/>
  <c r="H333" i="89"/>
  <c r="G333" i="89"/>
  <c r="F333" i="89"/>
  <c r="AO332" i="89"/>
  <c r="H332" i="89"/>
  <c r="G332" i="89"/>
  <c r="F332" i="89"/>
  <c r="AO331" i="89"/>
  <c r="H331" i="89"/>
  <c r="G331" i="89"/>
  <c r="F331" i="89"/>
  <c r="AO330" i="89"/>
  <c r="H330" i="89"/>
  <c r="G330" i="89"/>
  <c r="F330" i="89"/>
  <c r="AO329" i="89"/>
  <c r="H329" i="89"/>
  <c r="G329" i="89"/>
  <c r="F329" i="89"/>
  <c r="AO328" i="89"/>
  <c r="H328" i="89"/>
  <c r="G328" i="89"/>
  <c r="F328" i="89"/>
  <c r="AO327" i="89"/>
  <c r="H327" i="89"/>
  <c r="G327" i="89"/>
  <c r="F327" i="89"/>
  <c r="AO326" i="89"/>
  <c r="H326" i="89"/>
  <c r="G326" i="89"/>
  <c r="F326" i="89"/>
  <c r="AO325" i="89"/>
  <c r="H325" i="89"/>
  <c r="G325" i="89"/>
  <c r="F325" i="89"/>
  <c r="AO324" i="89"/>
  <c r="H324" i="89"/>
  <c r="G324" i="89"/>
  <c r="F324" i="89"/>
  <c r="AO323" i="89"/>
  <c r="H323" i="89"/>
  <c r="G323" i="89"/>
  <c r="F323" i="89"/>
  <c r="AO322" i="89"/>
  <c r="H322" i="89"/>
  <c r="G322" i="89"/>
  <c r="F322" i="89"/>
  <c r="AO321" i="89"/>
  <c r="H321" i="89"/>
  <c r="G321" i="89"/>
  <c r="F321" i="89"/>
  <c r="AO320" i="89"/>
  <c r="H320" i="89"/>
  <c r="G320" i="89"/>
  <c r="F320" i="89"/>
  <c r="AO319" i="89"/>
  <c r="H319" i="89"/>
  <c r="G319" i="89"/>
  <c r="F319" i="89"/>
  <c r="AO318" i="89"/>
  <c r="H318" i="89"/>
  <c r="G318" i="89"/>
  <c r="F318" i="89"/>
  <c r="AO317" i="89"/>
  <c r="H317" i="89"/>
  <c r="G317" i="89"/>
  <c r="F317" i="89"/>
  <c r="AO316" i="89"/>
  <c r="H316" i="89"/>
  <c r="G316" i="89"/>
  <c r="F316" i="89"/>
  <c r="AO315" i="89"/>
  <c r="H315" i="89"/>
  <c r="G315" i="89"/>
  <c r="F315" i="89"/>
  <c r="AO314" i="89"/>
  <c r="H314" i="89"/>
  <c r="G314" i="89"/>
  <c r="F314" i="89"/>
  <c r="AO313" i="89"/>
  <c r="H313" i="89"/>
  <c r="G313" i="89"/>
  <c r="F313" i="89"/>
  <c r="AO312" i="89"/>
  <c r="H312" i="89"/>
  <c r="G312" i="89"/>
  <c r="F312" i="89"/>
  <c r="AO311" i="89"/>
  <c r="H311" i="89"/>
  <c r="G311" i="89"/>
  <c r="F311" i="89"/>
  <c r="AO310" i="89"/>
  <c r="H310" i="89"/>
  <c r="G310" i="89"/>
  <c r="F310" i="89"/>
  <c r="AO309" i="89"/>
  <c r="H309" i="89"/>
  <c r="G309" i="89"/>
  <c r="F309" i="89"/>
  <c r="AO308" i="89"/>
  <c r="H308" i="89"/>
  <c r="G308" i="89"/>
  <c r="F308" i="89"/>
  <c r="AO307" i="89"/>
  <c r="H307" i="89"/>
  <c r="G307" i="89"/>
  <c r="F307" i="89"/>
  <c r="AO306" i="89"/>
  <c r="H306" i="89"/>
  <c r="G306" i="89"/>
  <c r="F306" i="89"/>
  <c r="AO305" i="89"/>
  <c r="H305" i="89"/>
  <c r="G305" i="89"/>
  <c r="F305" i="89"/>
  <c r="AO304" i="89"/>
  <c r="H304" i="89"/>
  <c r="G304" i="89"/>
  <c r="F304" i="89"/>
  <c r="AO303" i="89"/>
  <c r="H303" i="89"/>
  <c r="G303" i="89"/>
  <c r="F303" i="89"/>
  <c r="AO302" i="89"/>
  <c r="H302" i="89"/>
  <c r="G302" i="89"/>
  <c r="F302" i="89"/>
  <c r="AO301" i="89"/>
  <c r="H301" i="89"/>
  <c r="G301" i="89"/>
  <c r="F301" i="89"/>
  <c r="AO300" i="89"/>
  <c r="H300" i="89"/>
  <c r="G300" i="89"/>
  <c r="F300" i="89"/>
  <c r="AO299" i="89"/>
  <c r="H299" i="89"/>
  <c r="G299" i="89"/>
  <c r="F299" i="89"/>
  <c r="AO298" i="89"/>
  <c r="H298" i="89"/>
  <c r="G298" i="89"/>
  <c r="F298" i="89"/>
  <c r="AO297" i="89"/>
  <c r="H297" i="89"/>
  <c r="G297" i="89"/>
  <c r="F297" i="89"/>
  <c r="AO296" i="89"/>
  <c r="H296" i="89"/>
  <c r="G296" i="89"/>
  <c r="F296" i="89"/>
  <c r="AO295" i="89"/>
  <c r="H295" i="89"/>
  <c r="G295" i="89"/>
  <c r="F295" i="89"/>
  <c r="AO294" i="89"/>
  <c r="H294" i="89"/>
  <c r="G294" i="89"/>
  <c r="F294" i="89"/>
  <c r="AO293" i="89"/>
  <c r="H293" i="89"/>
  <c r="G293" i="89"/>
  <c r="F293" i="89"/>
  <c r="AO292" i="89"/>
  <c r="H292" i="89"/>
  <c r="G292" i="89"/>
  <c r="F292" i="89"/>
  <c r="AO291" i="89"/>
  <c r="H291" i="89"/>
  <c r="G291" i="89"/>
  <c r="F291" i="89"/>
  <c r="AO290" i="89"/>
  <c r="H290" i="89"/>
  <c r="G290" i="89"/>
  <c r="F290" i="89"/>
  <c r="AO289" i="89"/>
  <c r="H289" i="89"/>
  <c r="G289" i="89"/>
  <c r="F289" i="89"/>
  <c r="AO288" i="89"/>
  <c r="H288" i="89"/>
  <c r="G288" i="89"/>
  <c r="F288" i="89"/>
  <c r="AO287" i="89"/>
  <c r="H287" i="89"/>
  <c r="G287" i="89"/>
  <c r="F287" i="89"/>
  <c r="AO286" i="89"/>
  <c r="H286" i="89"/>
  <c r="G286" i="89"/>
  <c r="F286" i="89"/>
  <c r="AO285" i="89"/>
  <c r="H285" i="89"/>
  <c r="G285" i="89"/>
  <c r="F285" i="89"/>
  <c r="AO284" i="89"/>
  <c r="H284" i="89"/>
  <c r="G284" i="89"/>
  <c r="F284" i="89"/>
  <c r="AO283" i="89"/>
  <c r="H283" i="89"/>
  <c r="G283" i="89"/>
  <c r="F283" i="89"/>
  <c r="AO282" i="89"/>
  <c r="H282" i="89"/>
  <c r="G282" i="89"/>
  <c r="F282" i="89"/>
  <c r="AO281" i="89"/>
  <c r="H281" i="89"/>
  <c r="G281" i="89"/>
  <c r="F281" i="89"/>
  <c r="AO280" i="89"/>
  <c r="H280" i="89"/>
  <c r="G280" i="89"/>
  <c r="F280" i="89"/>
  <c r="AO279" i="89"/>
  <c r="H279" i="89"/>
  <c r="G279" i="89"/>
  <c r="F279" i="89"/>
  <c r="AO278" i="89"/>
  <c r="H278" i="89"/>
  <c r="G278" i="89"/>
  <c r="F278" i="89"/>
  <c r="AO277" i="89"/>
  <c r="H277" i="89"/>
  <c r="G277" i="89"/>
  <c r="F277" i="89"/>
  <c r="AO276" i="89"/>
  <c r="H276" i="89"/>
  <c r="G276" i="89"/>
  <c r="F276" i="89"/>
  <c r="AO275" i="89"/>
  <c r="H275" i="89"/>
  <c r="G275" i="89"/>
  <c r="F275" i="89"/>
  <c r="AO274" i="89"/>
  <c r="H274" i="89"/>
  <c r="G274" i="89"/>
  <c r="F274" i="89"/>
  <c r="AO273" i="89"/>
  <c r="H273" i="89"/>
  <c r="G273" i="89"/>
  <c r="F273" i="89"/>
  <c r="AO272" i="89"/>
  <c r="H272" i="89"/>
  <c r="G272" i="89"/>
  <c r="F272" i="89"/>
  <c r="AO271" i="89"/>
  <c r="H271" i="89"/>
  <c r="G271" i="89"/>
  <c r="F271" i="89"/>
  <c r="AO270" i="89"/>
  <c r="H270" i="89"/>
  <c r="G270" i="89"/>
  <c r="F270" i="89"/>
  <c r="AO269" i="89"/>
  <c r="H269" i="89"/>
  <c r="G269" i="89"/>
  <c r="F269" i="89"/>
  <c r="AO268" i="89"/>
  <c r="H268" i="89"/>
  <c r="G268" i="89"/>
  <c r="F268" i="89"/>
  <c r="AO267" i="89"/>
  <c r="H267" i="89"/>
  <c r="G267" i="89"/>
  <c r="F267" i="89"/>
  <c r="AO266" i="89"/>
  <c r="H266" i="89"/>
  <c r="G266" i="89"/>
  <c r="F266" i="89"/>
  <c r="AO265" i="89"/>
  <c r="H265" i="89"/>
  <c r="G265" i="89"/>
  <c r="F265" i="89"/>
  <c r="AO264" i="89"/>
  <c r="H264" i="89"/>
  <c r="G264" i="89"/>
  <c r="F264" i="89"/>
  <c r="AO263" i="89"/>
  <c r="H263" i="89"/>
  <c r="G263" i="89"/>
  <c r="F263" i="89"/>
  <c r="AO262" i="89"/>
  <c r="H262" i="89"/>
  <c r="G262" i="89"/>
  <c r="F262" i="89"/>
  <c r="AO261" i="89"/>
  <c r="H261" i="89"/>
  <c r="G261" i="89"/>
  <c r="F261" i="89"/>
  <c r="AO260" i="89"/>
  <c r="H260" i="89"/>
  <c r="G260" i="89"/>
  <c r="F260" i="89"/>
  <c r="AO259" i="89"/>
  <c r="H259" i="89"/>
  <c r="G259" i="89"/>
  <c r="F259" i="89"/>
  <c r="AO258" i="89"/>
  <c r="H258" i="89"/>
  <c r="G258" i="89"/>
  <c r="F258" i="89"/>
  <c r="AO257" i="89"/>
  <c r="H257" i="89"/>
  <c r="G257" i="89"/>
  <c r="F257" i="89"/>
  <c r="AO256" i="89"/>
  <c r="H256" i="89"/>
  <c r="G256" i="89"/>
  <c r="F256" i="89"/>
  <c r="AO255" i="89"/>
  <c r="H255" i="89"/>
  <c r="G255" i="89"/>
  <c r="F255" i="89"/>
  <c r="AO254" i="89"/>
  <c r="H254" i="89"/>
  <c r="G254" i="89"/>
  <c r="F254" i="89"/>
  <c r="AO253" i="89"/>
  <c r="H253" i="89"/>
  <c r="G253" i="89"/>
  <c r="F253" i="89"/>
  <c r="AO252" i="89"/>
  <c r="H252" i="89"/>
  <c r="G252" i="89"/>
  <c r="F252" i="89"/>
  <c r="AO251" i="89"/>
  <c r="H251" i="89"/>
  <c r="G251" i="89"/>
  <c r="F251" i="89"/>
  <c r="AO250" i="89"/>
  <c r="H250" i="89"/>
  <c r="G250" i="89"/>
  <c r="F250" i="89"/>
  <c r="AO249" i="89"/>
  <c r="H249" i="89"/>
  <c r="G249" i="89"/>
  <c r="F249" i="89"/>
  <c r="AO248" i="89"/>
  <c r="H248" i="89"/>
  <c r="G248" i="89"/>
  <c r="F248" i="89"/>
  <c r="AO247" i="89"/>
  <c r="H247" i="89"/>
  <c r="G247" i="89"/>
  <c r="F247" i="89"/>
  <c r="AO246" i="89"/>
  <c r="H246" i="89"/>
  <c r="G246" i="89"/>
  <c r="F246" i="89"/>
  <c r="AO245" i="89"/>
  <c r="H245" i="89"/>
  <c r="G245" i="89"/>
  <c r="F245" i="89"/>
  <c r="AO244" i="89"/>
  <c r="H244" i="89"/>
  <c r="G244" i="89"/>
  <c r="F244" i="89"/>
  <c r="AO243" i="89"/>
  <c r="H243" i="89"/>
  <c r="G243" i="89"/>
  <c r="F243" i="89"/>
  <c r="AO242" i="89"/>
  <c r="H242" i="89"/>
  <c r="G242" i="89"/>
  <c r="F242" i="89"/>
  <c r="AO241" i="89"/>
  <c r="H241" i="89"/>
  <c r="G241" i="89"/>
  <c r="F241" i="89"/>
  <c r="AO240" i="89"/>
  <c r="H240" i="89"/>
  <c r="G240" i="89"/>
  <c r="F240" i="89"/>
  <c r="AO239" i="89"/>
  <c r="H239" i="89"/>
  <c r="G239" i="89"/>
  <c r="F239" i="89"/>
  <c r="AO238" i="89"/>
  <c r="H238" i="89"/>
  <c r="G238" i="89"/>
  <c r="F238" i="89"/>
  <c r="AO237" i="89"/>
  <c r="H237" i="89"/>
  <c r="G237" i="89"/>
  <c r="F237" i="89"/>
  <c r="AO236" i="89"/>
  <c r="H236" i="89"/>
  <c r="G236" i="89"/>
  <c r="F236" i="89"/>
  <c r="AO235" i="89"/>
  <c r="H235" i="89"/>
  <c r="G235" i="89"/>
  <c r="F235" i="89"/>
  <c r="AO234" i="89"/>
  <c r="H234" i="89"/>
  <c r="G234" i="89"/>
  <c r="F234" i="89"/>
  <c r="AO233" i="89"/>
  <c r="H233" i="89"/>
  <c r="G233" i="89"/>
  <c r="F233" i="89"/>
  <c r="AO232" i="89"/>
  <c r="H232" i="89"/>
  <c r="G232" i="89"/>
  <c r="F232" i="89"/>
  <c r="AO231" i="89"/>
  <c r="H231" i="89"/>
  <c r="G231" i="89"/>
  <c r="F231" i="89"/>
  <c r="AO230" i="89"/>
  <c r="H230" i="89"/>
  <c r="G230" i="89"/>
  <c r="F230" i="89"/>
  <c r="AO229" i="89"/>
  <c r="H229" i="89"/>
  <c r="G229" i="89"/>
  <c r="F229" i="89"/>
  <c r="AO228" i="89"/>
  <c r="H228" i="89"/>
  <c r="G228" i="89"/>
  <c r="F228" i="89"/>
  <c r="AO227" i="89"/>
  <c r="H227" i="89"/>
  <c r="G227" i="89"/>
  <c r="F227" i="89"/>
  <c r="AO226" i="89"/>
  <c r="H226" i="89"/>
  <c r="G226" i="89"/>
  <c r="F226" i="89"/>
  <c r="AO225" i="89"/>
  <c r="H225" i="89"/>
  <c r="G225" i="89"/>
  <c r="F225" i="89"/>
  <c r="AO224" i="89"/>
  <c r="H224" i="89"/>
  <c r="G224" i="89"/>
  <c r="F224" i="89"/>
  <c r="AO223" i="89"/>
  <c r="H223" i="89"/>
  <c r="G223" i="89"/>
  <c r="F223" i="89"/>
  <c r="AO222" i="89"/>
  <c r="H222" i="89"/>
  <c r="G222" i="89"/>
  <c r="F222" i="89"/>
  <c r="AO221" i="89"/>
  <c r="H221" i="89"/>
  <c r="G221" i="89"/>
  <c r="F221" i="89"/>
  <c r="AO220" i="89"/>
  <c r="H220" i="89"/>
  <c r="G220" i="89"/>
  <c r="F220" i="89"/>
  <c r="AO219" i="89"/>
  <c r="H219" i="89"/>
  <c r="G219" i="89"/>
  <c r="F219" i="89"/>
  <c r="AO218" i="89"/>
  <c r="H218" i="89"/>
  <c r="G218" i="89"/>
  <c r="F218" i="89"/>
  <c r="AO217" i="89"/>
  <c r="H217" i="89"/>
  <c r="G217" i="89"/>
  <c r="F217" i="89"/>
  <c r="AO216" i="89"/>
  <c r="H216" i="89"/>
  <c r="G216" i="89"/>
  <c r="F216" i="89"/>
  <c r="AO215" i="89"/>
  <c r="H215" i="89"/>
  <c r="G215" i="89"/>
  <c r="F215" i="89"/>
  <c r="AO214" i="89"/>
  <c r="H214" i="89"/>
  <c r="G214" i="89"/>
  <c r="F214" i="89"/>
  <c r="AO213" i="89"/>
  <c r="H213" i="89"/>
  <c r="G213" i="89"/>
  <c r="F213" i="89"/>
  <c r="AO212" i="89"/>
  <c r="H212" i="89"/>
  <c r="G212" i="89"/>
  <c r="F212" i="89"/>
  <c r="AO211" i="89"/>
  <c r="H211" i="89"/>
  <c r="G211" i="89"/>
  <c r="F211" i="89"/>
  <c r="AO210" i="89"/>
  <c r="H210" i="89"/>
  <c r="G210" i="89"/>
  <c r="F210" i="89"/>
  <c r="AO209" i="89"/>
  <c r="H209" i="89"/>
  <c r="G209" i="89"/>
  <c r="F209" i="89"/>
  <c r="AO208" i="89"/>
  <c r="H208" i="89"/>
  <c r="G208" i="89"/>
  <c r="F208" i="89"/>
  <c r="AO207" i="89"/>
  <c r="H207" i="89"/>
  <c r="G207" i="89"/>
  <c r="F207" i="89"/>
  <c r="AO206" i="89"/>
  <c r="H206" i="89"/>
  <c r="G206" i="89"/>
  <c r="F206" i="89"/>
  <c r="AO205" i="89"/>
  <c r="H205" i="89"/>
  <c r="G205" i="89"/>
  <c r="F205" i="89"/>
  <c r="AO204" i="89"/>
  <c r="H204" i="89"/>
  <c r="G204" i="89"/>
  <c r="F204" i="89"/>
  <c r="AO203" i="89"/>
  <c r="H203" i="89"/>
  <c r="G203" i="89"/>
  <c r="F203" i="89"/>
  <c r="AO202" i="89"/>
  <c r="H202" i="89"/>
  <c r="G202" i="89"/>
  <c r="F202" i="89"/>
  <c r="AO201" i="89"/>
  <c r="H201" i="89"/>
  <c r="G201" i="89"/>
  <c r="F201" i="89"/>
  <c r="AO200" i="89"/>
  <c r="H200" i="89"/>
  <c r="G200" i="89"/>
  <c r="F200" i="89"/>
  <c r="AO199" i="89"/>
  <c r="H199" i="89"/>
  <c r="G199" i="89"/>
  <c r="F199" i="89"/>
  <c r="AO198" i="89"/>
  <c r="H198" i="89"/>
  <c r="G198" i="89"/>
  <c r="F198" i="89"/>
  <c r="AO197" i="89"/>
  <c r="H197" i="89"/>
  <c r="G197" i="89"/>
  <c r="F197" i="89"/>
  <c r="AO196" i="89"/>
  <c r="H196" i="89"/>
  <c r="G196" i="89"/>
  <c r="F196" i="89"/>
  <c r="AO195" i="89"/>
  <c r="H195" i="89"/>
  <c r="G195" i="89"/>
  <c r="F195" i="89"/>
  <c r="AO194" i="89"/>
  <c r="H194" i="89"/>
  <c r="G194" i="89"/>
  <c r="F194" i="89"/>
  <c r="AO193" i="89"/>
  <c r="H193" i="89"/>
  <c r="G193" i="89"/>
  <c r="F193" i="89"/>
  <c r="AO192" i="89"/>
  <c r="H192" i="89"/>
  <c r="G192" i="89"/>
  <c r="F192" i="89"/>
  <c r="AO191" i="89"/>
  <c r="H191" i="89"/>
  <c r="G191" i="89"/>
  <c r="F191" i="89"/>
  <c r="AO190" i="89"/>
  <c r="H190" i="89"/>
  <c r="G190" i="89"/>
  <c r="F190" i="89"/>
  <c r="AO189" i="89"/>
  <c r="H189" i="89"/>
  <c r="G189" i="89"/>
  <c r="F189" i="89"/>
  <c r="AO188" i="89"/>
  <c r="H188" i="89"/>
  <c r="G188" i="89"/>
  <c r="F188" i="89"/>
  <c r="AO187" i="89"/>
  <c r="H187" i="89"/>
  <c r="G187" i="89"/>
  <c r="F187" i="89"/>
  <c r="AO186" i="89"/>
  <c r="H186" i="89"/>
  <c r="G186" i="89"/>
  <c r="F186" i="89"/>
  <c r="AO185" i="89"/>
  <c r="H185" i="89"/>
  <c r="G185" i="89"/>
  <c r="F185" i="89"/>
  <c r="AO184" i="89"/>
  <c r="H184" i="89"/>
  <c r="G184" i="89"/>
  <c r="F184" i="89"/>
  <c r="AO183" i="89"/>
  <c r="H183" i="89"/>
  <c r="G183" i="89"/>
  <c r="F183" i="89"/>
  <c r="AO182" i="89"/>
  <c r="H182" i="89"/>
  <c r="G182" i="89"/>
  <c r="F182" i="89"/>
  <c r="AO181" i="89"/>
  <c r="H181" i="89"/>
  <c r="G181" i="89"/>
  <c r="F181" i="89"/>
  <c r="AO180" i="89"/>
  <c r="H180" i="89"/>
  <c r="G180" i="89"/>
  <c r="F180" i="89"/>
  <c r="AO179" i="89"/>
  <c r="H179" i="89"/>
  <c r="G179" i="89"/>
  <c r="F179" i="89"/>
  <c r="AO178" i="89"/>
  <c r="H178" i="89"/>
  <c r="G178" i="89"/>
  <c r="F178" i="89"/>
  <c r="AO177" i="89"/>
  <c r="H177" i="89"/>
  <c r="G177" i="89"/>
  <c r="F177" i="89"/>
  <c r="AO176" i="89"/>
  <c r="H176" i="89"/>
  <c r="G176" i="89"/>
  <c r="F176" i="89"/>
  <c r="AO175" i="89"/>
  <c r="H175" i="89"/>
  <c r="G175" i="89"/>
  <c r="F175" i="89"/>
  <c r="AO174" i="89"/>
  <c r="H174" i="89"/>
  <c r="G174" i="89"/>
  <c r="F174" i="89"/>
  <c r="AO173" i="89"/>
  <c r="H173" i="89"/>
  <c r="G173" i="89"/>
  <c r="F173" i="89"/>
  <c r="AO172" i="89"/>
  <c r="H172" i="89"/>
  <c r="G172" i="89"/>
  <c r="F172" i="89"/>
  <c r="AO171" i="89"/>
  <c r="H171" i="89"/>
  <c r="G171" i="89"/>
  <c r="F171" i="89"/>
  <c r="AO170" i="89"/>
  <c r="H170" i="89"/>
  <c r="G170" i="89"/>
  <c r="F170" i="89"/>
  <c r="AO169" i="89"/>
  <c r="H169" i="89"/>
  <c r="G169" i="89"/>
  <c r="F169" i="89"/>
  <c r="AO168" i="89"/>
  <c r="H168" i="89"/>
  <c r="G168" i="89"/>
  <c r="F168" i="89"/>
  <c r="AO167" i="89"/>
  <c r="H167" i="89"/>
  <c r="G167" i="89"/>
  <c r="F167" i="89"/>
  <c r="AO166" i="89"/>
  <c r="H166" i="89"/>
  <c r="G166" i="89"/>
  <c r="F166" i="89"/>
  <c r="AO165" i="89"/>
  <c r="H165" i="89"/>
  <c r="G165" i="89"/>
  <c r="F165" i="89"/>
  <c r="AO164" i="89"/>
  <c r="H164" i="89"/>
  <c r="G164" i="89"/>
  <c r="F164" i="89"/>
  <c r="AO163" i="89"/>
  <c r="H163" i="89"/>
  <c r="G163" i="89"/>
  <c r="F163" i="89"/>
  <c r="AO162" i="89"/>
  <c r="H162" i="89"/>
  <c r="G162" i="89"/>
  <c r="F162" i="89"/>
  <c r="AO161" i="89"/>
  <c r="H161" i="89"/>
  <c r="G161" i="89"/>
  <c r="F161" i="89"/>
  <c r="AO160" i="89"/>
  <c r="H160" i="89"/>
  <c r="G160" i="89"/>
  <c r="F160" i="89"/>
  <c r="AO159" i="89"/>
  <c r="H159" i="89"/>
  <c r="G159" i="89"/>
  <c r="F159" i="89"/>
  <c r="AO158" i="89"/>
  <c r="H158" i="89"/>
  <c r="G158" i="89"/>
  <c r="F158" i="89"/>
  <c r="AO157" i="89"/>
  <c r="H157" i="89"/>
  <c r="G157" i="89"/>
  <c r="F157" i="89"/>
  <c r="AO156" i="89"/>
  <c r="H156" i="89"/>
  <c r="G156" i="89"/>
  <c r="F156" i="89"/>
  <c r="AO155" i="89"/>
  <c r="H155" i="89"/>
  <c r="G155" i="89"/>
  <c r="F155" i="89"/>
  <c r="AO154" i="89"/>
  <c r="H154" i="89"/>
  <c r="G154" i="89"/>
  <c r="F154" i="89"/>
  <c r="AO153" i="89"/>
  <c r="H153" i="89"/>
  <c r="G153" i="89"/>
  <c r="F153" i="89"/>
  <c r="AO152" i="89"/>
  <c r="H152" i="89"/>
  <c r="G152" i="89"/>
  <c r="F152" i="89"/>
  <c r="AO151" i="89"/>
  <c r="H151" i="89"/>
  <c r="G151" i="89"/>
  <c r="F151" i="89"/>
  <c r="AO150" i="89"/>
  <c r="H150" i="89"/>
  <c r="G150" i="89"/>
  <c r="F150" i="89"/>
  <c r="AO149" i="89"/>
  <c r="H149" i="89"/>
  <c r="G149" i="89"/>
  <c r="F149" i="89"/>
  <c r="AO148" i="89"/>
  <c r="H148" i="89"/>
  <c r="G148" i="89"/>
  <c r="F148" i="89"/>
  <c r="AO147" i="89"/>
  <c r="H147" i="89"/>
  <c r="G147" i="89"/>
  <c r="F147" i="89"/>
  <c r="AO146" i="89"/>
  <c r="H146" i="89"/>
  <c r="G146" i="89"/>
  <c r="F146" i="89"/>
  <c r="AO145" i="89"/>
  <c r="H145" i="89"/>
  <c r="G145" i="89"/>
  <c r="F145" i="89"/>
  <c r="AO144" i="89"/>
  <c r="H144" i="89"/>
  <c r="G144" i="89"/>
  <c r="F144" i="89"/>
  <c r="AO143" i="89"/>
  <c r="H143" i="89"/>
  <c r="G143" i="89"/>
  <c r="F143" i="89"/>
  <c r="AO142" i="89"/>
  <c r="H142" i="89"/>
  <c r="G142" i="89"/>
  <c r="F142" i="89"/>
  <c r="AO141" i="89"/>
  <c r="H141" i="89"/>
  <c r="G141" i="89"/>
  <c r="F141" i="89"/>
  <c r="AO140" i="89"/>
  <c r="H140" i="89"/>
  <c r="G140" i="89"/>
  <c r="F140" i="89"/>
  <c r="AO139" i="89"/>
  <c r="H139" i="89"/>
  <c r="G139" i="89"/>
  <c r="F139" i="89"/>
  <c r="AO138" i="89"/>
  <c r="H138" i="89"/>
  <c r="G138" i="89"/>
  <c r="F138" i="89"/>
  <c r="AO137" i="89"/>
  <c r="H137" i="89"/>
  <c r="G137" i="89"/>
  <c r="F137" i="89"/>
  <c r="AO136" i="89"/>
  <c r="H136" i="89"/>
  <c r="G136" i="89"/>
  <c r="F136" i="89"/>
  <c r="AO135" i="89"/>
  <c r="H135" i="89"/>
  <c r="G135" i="89"/>
  <c r="F135" i="89"/>
  <c r="AO134" i="89"/>
  <c r="H134" i="89"/>
  <c r="G134" i="89"/>
  <c r="F134" i="89"/>
  <c r="AO133" i="89"/>
  <c r="H133" i="89"/>
  <c r="G133" i="89"/>
  <c r="F133" i="89"/>
  <c r="AO132" i="89"/>
  <c r="H132" i="89"/>
  <c r="G132" i="89"/>
  <c r="F132" i="89"/>
  <c r="AO131" i="89"/>
  <c r="H131" i="89"/>
  <c r="G131" i="89"/>
  <c r="F131" i="89"/>
  <c r="AO130" i="89"/>
  <c r="H130" i="89"/>
  <c r="G130" i="89"/>
  <c r="F130" i="89"/>
  <c r="AO129" i="89"/>
  <c r="H129" i="89"/>
  <c r="G129" i="89"/>
  <c r="F129" i="89"/>
  <c r="AO128" i="89"/>
  <c r="H128" i="89"/>
  <c r="G128" i="89"/>
  <c r="F128" i="89"/>
  <c r="AO127" i="89"/>
  <c r="H127" i="89"/>
  <c r="G127" i="89"/>
  <c r="F127" i="89"/>
  <c r="AO126" i="89"/>
  <c r="H126" i="89"/>
  <c r="G126" i="89"/>
  <c r="F126" i="89"/>
  <c r="AO125" i="89"/>
  <c r="H125" i="89"/>
  <c r="G125" i="89"/>
  <c r="F125" i="89"/>
  <c r="AO124" i="89"/>
  <c r="H124" i="89"/>
  <c r="G124" i="89"/>
  <c r="F124" i="89"/>
  <c r="AO123" i="89"/>
  <c r="H123" i="89"/>
  <c r="G123" i="89"/>
  <c r="F123" i="89"/>
  <c r="AO122" i="89"/>
  <c r="H122" i="89"/>
  <c r="G122" i="89"/>
  <c r="F122" i="89"/>
  <c r="AO121" i="89"/>
  <c r="H121" i="89"/>
  <c r="G121" i="89"/>
  <c r="F121" i="89"/>
  <c r="AO120" i="89"/>
  <c r="H120" i="89"/>
  <c r="G120" i="89"/>
  <c r="F120" i="89"/>
  <c r="AO119" i="89"/>
  <c r="H119" i="89"/>
  <c r="G119" i="89"/>
  <c r="F119" i="89"/>
  <c r="AO118" i="89"/>
  <c r="H118" i="89"/>
  <c r="G118" i="89"/>
  <c r="F118" i="89"/>
  <c r="AO117" i="89"/>
  <c r="H117" i="89"/>
  <c r="G117" i="89"/>
  <c r="F117" i="89"/>
  <c r="AO116" i="89"/>
  <c r="H116" i="89"/>
  <c r="G116" i="89"/>
  <c r="F116" i="89"/>
  <c r="AO115" i="89"/>
  <c r="H115" i="89"/>
  <c r="G115" i="89"/>
  <c r="F115" i="89"/>
  <c r="AO114" i="89"/>
  <c r="H114" i="89"/>
  <c r="G114" i="89"/>
  <c r="F114" i="89"/>
  <c r="AO113" i="89"/>
  <c r="H113" i="89"/>
  <c r="G113" i="89"/>
  <c r="F113" i="89"/>
  <c r="AO112" i="89"/>
  <c r="H112" i="89"/>
  <c r="G112" i="89"/>
  <c r="F112" i="89"/>
  <c r="AO111" i="89"/>
  <c r="H111" i="89"/>
  <c r="G111" i="89"/>
  <c r="F111" i="89"/>
  <c r="AO110" i="89"/>
  <c r="H110" i="89"/>
  <c r="G110" i="89"/>
  <c r="F110" i="89"/>
  <c r="AO109" i="89"/>
  <c r="H109" i="89"/>
  <c r="G109" i="89"/>
  <c r="F109" i="89"/>
  <c r="AO108" i="89"/>
  <c r="H108" i="89"/>
  <c r="G108" i="89"/>
  <c r="F108" i="89"/>
  <c r="AO107" i="89"/>
  <c r="H107" i="89"/>
  <c r="G107" i="89"/>
  <c r="F107" i="89"/>
  <c r="AO106" i="89"/>
  <c r="H106" i="89"/>
  <c r="G106" i="89"/>
  <c r="F106" i="89"/>
  <c r="AO105" i="89"/>
  <c r="H105" i="89"/>
  <c r="G105" i="89"/>
  <c r="F105" i="89"/>
  <c r="AO104" i="89"/>
  <c r="H104" i="89"/>
  <c r="G104" i="89"/>
  <c r="F104" i="89"/>
  <c r="AO103" i="89"/>
  <c r="H103" i="89"/>
  <c r="G103" i="89"/>
  <c r="F103" i="89"/>
  <c r="AO102" i="89"/>
  <c r="H102" i="89"/>
  <c r="G102" i="89"/>
  <c r="F102" i="89"/>
  <c r="AO101" i="89"/>
  <c r="H101" i="89"/>
  <c r="G101" i="89"/>
  <c r="F101" i="89"/>
  <c r="AO100" i="89"/>
  <c r="H100" i="89"/>
  <c r="G100" i="89"/>
  <c r="F100" i="89"/>
  <c r="AO99" i="89"/>
  <c r="H99" i="89"/>
  <c r="G99" i="89"/>
  <c r="F99" i="89"/>
  <c r="AO98" i="89"/>
  <c r="H98" i="89"/>
  <c r="G98" i="89"/>
  <c r="F98" i="89"/>
  <c r="AO97" i="89"/>
  <c r="H97" i="89"/>
  <c r="G97" i="89"/>
  <c r="F97" i="89"/>
  <c r="AO96" i="89"/>
  <c r="H96" i="89"/>
  <c r="G96" i="89"/>
  <c r="F96" i="89"/>
  <c r="AO95" i="89"/>
  <c r="H95" i="89"/>
  <c r="G95" i="89"/>
  <c r="F95" i="89"/>
  <c r="AO94" i="89"/>
  <c r="H94" i="89"/>
  <c r="G94" i="89"/>
  <c r="F94" i="89"/>
  <c r="AO93" i="89"/>
  <c r="H93" i="89"/>
  <c r="G93" i="89"/>
  <c r="F93" i="89"/>
  <c r="AO92" i="89"/>
  <c r="H92" i="89"/>
  <c r="G92" i="89"/>
  <c r="F92" i="89"/>
  <c r="AO91" i="89"/>
  <c r="H91" i="89"/>
  <c r="G91" i="89"/>
  <c r="F91" i="89"/>
  <c r="AO90" i="89"/>
  <c r="H90" i="89"/>
  <c r="G90" i="89"/>
  <c r="F90" i="89"/>
  <c r="AO89" i="89"/>
  <c r="H89" i="89"/>
  <c r="G89" i="89"/>
  <c r="F89" i="89"/>
  <c r="AO88" i="89"/>
  <c r="H88" i="89"/>
  <c r="G88" i="89"/>
  <c r="F88" i="89"/>
  <c r="AO87" i="89"/>
  <c r="H87" i="89"/>
  <c r="G87" i="89"/>
  <c r="F87" i="89"/>
  <c r="AO86" i="89"/>
  <c r="H86" i="89"/>
  <c r="G86" i="89"/>
  <c r="F86" i="89"/>
  <c r="AO85" i="89"/>
  <c r="H85" i="89"/>
  <c r="G85" i="89"/>
  <c r="F85" i="89"/>
  <c r="AO84" i="89"/>
  <c r="H84" i="89"/>
  <c r="G84" i="89"/>
  <c r="F84" i="89"/>
  <c r="AO83" i="89"/>
  <c r="H83" i="89"/>
  <c r="G83" i="89"/>
  <c r="F83" i="89"/>
  <c r="AO82" i="89"/>
  <c r="H82" i="89"/>
  <c r="G82" i="89"/>
  <c r="F82" i="89"/>
  <c r="AO81" i="89"/>
  <c r="H81" i="89"/>
  <c r="G81" i="89"/>
  <c r="F81" i="89"/>
  <c r="AO80" i="89"/>
  <c r="H80" i="89"/>
  <c r="G80" i="89"/>
  <c r="F80" i="89"/>
  <c r="AO79" i="89"/>
  <c r="H79" i="89"/>
  <c r="G79" i="89"/>
  <c r="F79" i="89"/>
  <c r="AO78" i="89"/>
  <c r="H78" i="89"/>
  <c r="G78" i="89"/>
  <c r="F78" i="89"/>
  <c r="AO77" i="89"/>
  <c r="H77" i="89"/>
  <c r="G77" i="89"/>
  <c r="F77" i="89"/>
  <c r="AO76" i="89"/>
  <c r="H76" i="89"/>
  <c r="G76" i="89"/>
  <c r="F76" i="89"/>
  <c r="AO75" i="89"/>
  <c r="H75" i="89"/>
  <c r="G75" i="89"/>
  <c r="F75" i="89"/>
  <c r="AO74" i="89"/>
  <c r="H74" i="89"/>
  <c r="G74" i="89"/>
  <c r="F74" i="89"/>
  <c r="AO73" i="89"/>
  <c r="H73" i="89"/>
  <c r="G73" i="89"/>
  <c r="F73" i="89"/>
  <c r="AO72" i="89"/>
  <c r="H72" i="89"/>
  <c r="G72" i="89"/>
  <c r="F72" i="89"/>
  <c r="AO71" i="89"/>
  <c r="H71" i="89"/>
  <c r="G71" i="89"/>
  <c r="F71" i="89"/>
  <c r="AO70" i="89"/>
  <c r="H70" i="89"/>
  <c r="G70" i="89"/>
  <c r="F70" i="89"/>
  <c r="AO69" i="89"/>
  <c r="H69" i="89"/>
  <c r="G69" i="89"/>
  <c r="F69" i="89"/>
  <c r="AO68" i="89"/>
  <c r="H68" i="89"/>
  <c r="G68" i="89"/>
  <c r="F68" i="89"/>
  <c r="AO67" i="89"/>
  <c r="H67" i="89"/>
  <c r="G67" i="89"/>
  <c r="F67" i="89"/>
  <c r="AO66" i="89"/>
  <c r="H66" i="89"/>
  <c r="G66" i="89"/>
  <c r="F66" i="89"/>
  <c r="AO65" i="89"/>
  <c r="H65" i="89"/>
  <c r="G65" i="89"/>
  <c r="F65" i="89"/>
  <c r="AO64" i="89"/>
  <c r="H64" i="89"/>
  <c r="G64" i="89"/>
  <c r="F64" i="89"/>
  <c r="AO63" i="89"/>
  <c r="H63" i="89"/>
  <c r="G63" i="89"/>
  <c r="F63" i="89"/>
  <c r="AO62" i="89"/>
  <c r="H62" i="89"/>
  <c r="G62" i="89"/>
  <c r="F62" i="89"/>
  <c r="AO61" i="89"/>
  <c r="H61" i="89"/>
  <c r="G61" i="89"/>
  <c r="F61" i="89"/>
  <c r="AO60" i="89"/>
  <c r="H60" i="89"/>
  <c r="G60" i="89"/>
  <c r="F60" i="89"/>
  <c r="AO59" i="89"/>
  <c r="H59" i="89"/>
  <c r="G59" i="89"/>
  <c r="F59" i="89"/>
  <c r="AO58" i="89"/>
  <c r="H58" i="89"/>
  <c r="G58" i="89"/>
  <c r="F58" i="89"/>
  <c r="AO57" i="89"/>
  <c r="H57" i="89"/>
  <c r="G57" i="89"/>
  <c r="F57" i="89"/>
  <c r="AO56" i="89"/>
  <c r="H56" i="89"/>
  <c r="G56" i="89"/>
  <c r="F56" i="89"/>
  <c r="AO55" i="89"/>
  <c r="H55" i="89"/>
  <c r="G55" i="89"/>
  <c r="F55" i="89"/>
  <c r="AO54" i="89"/>
  <c r="H54" i="89"/>
  <c r="G54" i="89"/>
  <c r="F54" i="89"/>
  <c r="AO53" i="89"/>
  <c r="H53" i="89"/>
  <c r="G53" i="89"/>
  <c r="F53" i="89"/>
  <c r="AO52" i="89"/>
  <c r="H52" i="89"/>
  <c r="G52" i="89"/>
  <c r="F52" i="89"/>
  <c r="AO51" i="89"/>
  <c r="H51" i="89"/>
  <c r="G51" i="89"/>
  <c r="F51" i="89"/>
  <c r="AO50" i="89"/>
  <c r="H50" i="89"/>
  <c r="G50" i="89"/>
  <c r="F50" i="89"/>
  <c r="AO49" i="89"/>
  <c r="H49" i="89"/>
  <c r="G49" i="89"/>
  <c r="F49" i="89"/>
  <c r="AO48" i="89"/>
  <c r="H48" i="89"/>
  <c r="G48" i="89"/>
  <c r="F48" i="89"/>
  <c r="AO47" i="89"/>
  <c r="H47" i="89"/>
  <c r="G47" i="89"/>
  <c r="F47" i="89"/>
  <c r="AO46" i="89"/>
  <c r="H46" i="89"/>
  <c r="G46" i="89"/>
  <c r="F46" i="89"/>
  <c r="AO45" i="89"/>
  <c r="H45" i="89"/>
  <c r="G45" i="89"/>
  <c r="F45" i="89"/>
  <c r="AO44" i="89"/>
  <c r="H44" i="89"/>
  <c r="G44" i="89"/>
  <c r="F44" i="89"/>
  <c r="AO43" i="89"/>
  <c r="H43" i="89"/>
  <c r="G43" i="89"/>
  <c r="F43" i="89"/>
  <c r="AO42" i="89"/>
  <c r="H42" i="89"/>
  <c r="G42" i="89"/>
  <c r="F42" i="89"/>
  <c r="AO41" i="89"/>
  <c r="H41" i="89"/>
  <c r="G41" i="89"/>
  <c r="F41" i="89"/>
  <c r="AO40" i="89"/>
  <c r="H40" i="89"/>
  <c r="G40" i="89"/>
  <c r="F40" i="89"/>
  <c r="AO39" i="89"/>
  <c r="H39" i="89"/>
  <c r="G39" i="89"/>
  <c r="F39" i="89"/>
  <c r="AO38" i="89"/>
  <c r="H38" i="89"/>
  <c r="G38" i="89"/>
  <c r="F38" i="89"/>
  <c r="AO37" i="89"/>
  <c r="H37" i="89"/>
  <c r="G37" i="89"/>
  <c r="F37" i="89"/>
  <c r="AO36" i="89"/>
  <c r="H36" i="89"/>
  <c r="G36" i="89"/>
  <c r="F36" i="89"/>
  <c r="AO35" i="89"/>
  <c r="H35" i="89"/>
  <c r="G35" i="89"/>
  <c r="F35" i="89"/>
  <c r="AO34" i="89"/>
  <c r="H34" i="89"/>
  <c r="G34" i="89"/>
  <c r="F34" i="89"/>
  <c r="AO33" i="89"/>
  <c r="H33" i="89"/>
  <c r="G33" i="89"/>
  <c r="F33" i="89"/>
  <c r="AO32" i="89"/>
  <c r="H32" i="89"/>
  <c r="G32" i="89"/>
  <c r="F32" i="89"/>
  <c r="AO31" i="89"/>
  <c r="H31" i="89"/>
  <c r="G31" i="89"/>
  <c r="F31" i="89"/>
  <c r="AO30" i="89"/>
  <c r="H30" i="89"/>
  <c r="G30" i="89"/>
  <c r="F30" i="89"/>
  <c r="AO29" i="89"/>
  <c r="H29" i="89"/>
  <c r="G29" i="89"/>
  <c r="F29" i="89"/>
  <c r="AO28" i="89"/>
  <c r="H28" i="89"/>
  <c r="G28" i="89"/>
  <c r="F28" i="89"/>
  <c r="AO27" i="89"/>
  <c r="H27" i="89"/>
  <c r="G27" i="89"/>
  <c r="F27" i="89"/>
  <c r="AO26" i="89"/>
  <c r="H26" i="89"/>
  <c r="G26" i="89"/>
  <c r="F26" i="89"/>
  <c r="AO25" i="89"/>
  <c r="H25" i="89"/>
  <c r="G25" i="89"/>
  <c r="F25" i="89"/>
  <c r="AO24" i="89"/>
  <c r="H24" i="89"/>
  <c r="G24" i="89"/>
  <c r="F24" i="89"/>
  <c r="AO23" i="89"/>
  <c r="H23" i="89"/>
  <c r="G23" i="89"/>
  <c r="F23" i="89"/>
  <c r="AO22" i="89"/>
  <c r="H22" i="89"/>
  <c r="G22" i="89"/>
  <c r="F22" i="89"/>
  <c r="AO21" i="89"/>
  <c r="H21" i="89"/>
  <c r="G21" i="89"/>
  <c r="F21" i="89"/>
  <c r="AO20" i="89"/>
  <c r="H20" i="89"/>
  <c r="G20" i="89"/>
  <c r="F20" i="89"/>
  <c r="AO19" i="89"/>
  <c r="H19" i="89"/>
  <c r="G19" i="89"/>
  <c r="F19" i="89"/>
  <c r="AO18" i="89"/>
  <c r="H18" i="89"/>
  <c r="G18" i="89"/>
  <c r="F18" i="89"/>
  <c r="AO17" i="89"/>
  <c r="H17" i="89"/>
  <c r="G17" i="89"/>
  <c r="F17" i="89"/>
  <c r="AO16" i="89"/>
  <c r="H16" i="89"/>
  <c r="G16" i="89"/>
  <c r="F16" i="89"/>
  <c r="AO15" i="89"/>
  <c r="H15" i="89"/>
  <c r="G15" i="89"/>
  <c r="F15" i="89"/>
  <c r="AO14" i="89"/>
  <c r="H14" i="89"/>
  <c r="G14" i="89"/>
  <c r="F14" i="89"/>
  <c r="AO13" i="89"/>
  <c r="H13" i="89"/>
  <c r="G13" i="89"/>
  <c r="F13" i="89"/>
  <c r="AO12" i="89"/>
  <c r="H12" i="89"/>
  <c r="G12" i="89"/>
  <c r="F12" i="89"/>
  <c r="AO11" i="89"/>
  <c r="H11" i="89"/>
  <c r="G11" i="89"/>
  <c r="F11" i="89"/>
  <c r="AO10" i="89"/>
  <c r="H10" i="89"/>
  <c r="G10" i="89"/>
  <c r="F10" i="89"/>
  <c r="AO9" i="89"/>
  <c r="H9" i="89"/>
  <c r="G9" i="89"/>
  <c r="F9" i="89"/>
  <c r="AO8" i="89"/>
  <c r="H8" i="89"/>
  <c r="G8" i="89"/>
  <c r="F8" i="89"/>
  <c r="AO7" i="89"/>
  <c r="H7" i="89"/>
  <c r="G7" i="89"/>
  <c r="F7" i="89"/>
  <c r="B3" i="89"/>
  <c r="AO535" i="71" l="1"/>
  <c r="AO536" i="71"/>
  <c r="AO537" i="71"/>
  <c r="F8" i="71" l="1"/>
  <c r="G8" i="71"/>
  <c r="H8" i="71"/>
  <c r="F9" i="71"/>
  <c r="G9" i="71"/>
  <c r="H9" i="71"/>
  <c r="F10" i="71"/>
  <c r="G10" i="71"/>
  <c r="H10" i="71"/>
  <c r="F11" i="71"/>
  <c r="G11" i="71"/>
  <c r="H11" i="71"/>
  <c r="F12" i="71"/>
  <c r="G12" i="71"/>
  <c r="H12" i="71"/>
  <c r="F13" i="71"/>
  <c r="G13" i="71"/>
  <c r="H13" i="71"/>
  <c r="F14" i="71"/>
  <c r="G14" i="71"/>
  <c r="H14" i="71"/>
  <c r="F15" i="71"/>
  <c r="G15" i="71"/>
  <c r="H15" i="71"/>
  <c r="F16" i="71"/>
  <c r="G16" i="71"/>
  <c r="H16" i="71"/>
  <c r="F17" i="71"/>
  <c r="G17" i="71"/>
  <c r="H17" i="71"/>
  <c r="F18" i="71"/>
  <c r="G18" i="71"/>
  <c r="H18" i="71"/>
  <c r="F19" i="71"/>
  <c r="G19" i="71"/>
  <c r="H19" i="71"/>
  <c r="F20" i="71"/>
  <c r="G20" i="71"/>
  <c r="H20" i="71"/>
  <c r="F21" i="71"/>
  <c r="G21" i="71"/>
  <c r="H21" i="71"/>
  <c r="F22" i="71"/>
  <c r="G22" i="71"/>
  <c r="H22" i="71"/>
  <c r="F23" i="71"/>
  <c r="G23" i="71"/>
  <c r="H23" i="71"/>
  <c r="F24" i="71"/>
  <c r="G24" i="71"/>
  <c r="H24" i="71"/>
  <c r="F25" i="71"/>
  <c r="G25" i="71"/>
  <c r="H25" i="71"/>
  <c r="F26" i="71"/>
  <c r="G26" i="71"/>
  <c r="H26" i="71"/>
  <c r="F27" i="71"/>
  <c r="G27" i="71"/>
  <c r="H27" i="71"/>
  <c r="F28" i="71"/>
  <c r="G28" i="71"/>
  <c r="H28" i="71"/>
  <c r="F29" i="71"/>
  <c r="G29" i="71"/>
  <c r="H29" i="71"/>
  <c r="F30" i="71"/>
  <c r="G30" i="71"/>
  <c r="F31" i="71"/>
  <c r="G31" i="71"/>
  <c r="F32" i="71"/>
  <c r="G32" i="71"/>
  <c r="F33" i="71"/>
  <c r="G33" i="71"/>
  <c r="F34" i="71"/>
  <c r="G34" i="71"/>
  <c r="F35" i="71"/>
  <c r="G35" i="71"/>
  <c r="F36" i="71"/>
  <c r="G36" i="71"/>
  <c r="F37" i="71"/>
  <c r="G37" i="71"/>
  <c r="F38" i="71"/>
  <c r="G38" i="71"/>
  <c r="F39" i="71"/>
  <c r="G39" i="71"/>
  <c r="F40" i="71"/>
  <c r="G40" i="71"/>
  <c r="F41" i="71"/>
  <c r="G41" i="71"/>
  <c r="F42" i="71"/>
  <c r="G42" i="71"/>
  <c r="F43" i="71"/>
  <c r="G43" i="71"/>
  <c r="F44" i="71"/>
  <c r="G44" i="71"/>
  <c r="F45" i="71"/>
  <c r="G45" i="71"/>
  <c r="F46" i="71"/>
  <c r="G46" i="71"/>
  <c r="F47" i="71"/>
  <c r="G47" i="71"/>
  <c r="F48" i="71"/>
  <c r="G48" i="71"/>
  <c r="F49" i="71"/>
  <c r="G49" i="71"/>
  <c r="F50" i="71"/>
  <c r="G50" i="71"/>
  <c r="F51" i="71"/>
  <c r="G51" i="71"/>
  <c r="F52" i="71"/>
  <c r="G52" i="71"/>
  <c r="F53" i="71"/>
  <c r="G53" i="71"/>
  <c r="F54" i="71"/>
  <c r="G54" i="71"/>
  <c r="F55" i="71"/>
  <c r="G55" i="71"/>
  <c r="H7" i="71"/>
  <c r="H11" i="78"/>
  <c r="I11" i="78"/>
  <c r="M11" i="78"/>
  <c r="H79" i="85" s="1"/>
  <c r="N11" i="78"/>
  <c r="O11" i="78"/>
  <c r="J79" i="80" s="1"/>
  <c r="P11" i="78"/>
  <c r="Q11" i="78"/>
  <c r="L79" i="85" s="1"/>
  <c r="R11" i="78"/>
  <c r="H12" i="78"/>
  <c r="I12" i="78"/>
  <c r="M12" i="78"/>
  <c r="N12" i="78"/>
  <c r="I80" i="85" s="1"/>
  <c r="O12" i="78"/>
  <c r="P12" i="78"/>
  <c r="K80" i="80" s="1"/>
  <c r="Q12" i="78"/>
  <c r="R12" i="78"/>
  <c r="M80" i="85" s="1"/>
  <c r="H13" i="78"/>
  <c r="I13" i="78"/>
  <c r="M13" i="78"/>
  <c r="H81" i="80" s="1"/>
  <c r="N13" i="78"/>
  <c r="O13" i="78"/>
  <c r="J81" i="85" s="1"/>
  <c r="P13" i="78"/>
  <c r="Q13" i="78"/>
  <c r="L81" i="80" s="1"/>
  <c r="R13" i="78"/>
  <c r="H14" i="78"/>
  <c r="I14" i="78"/>
  <c r="M14" i="78"/>
  <c r="N14" i="78"/>
  <c r="I82" i="80" s="1"/>
  <c r="O14" i="78"/>
  <c r="P14" i="78"/>
  <c r="K82" i="85" s="1"/>
  <c r="Q14" i="78"/>
  <c r="R14" i="78"/>
  <c r="M82" i="80" s="1"/>
  <c r="Z82" i="80" s="1"/>
  <c r="H15" i="78"/>
  <c r="I15" i="78"/>
  <c r="M15" i="78"/>
  <c r="H83" i="85" s="1"/>
  <c r="N15" i="78"/>
  <c r="O15" i="78"/>
  <c r="J83" i="80" s="1"/>
  <c r="P15" i="78"/>
  <c r="Q15" i="78"/>
  <c r="L83" i="85" s="1"/>
  <c r="R15" i="78"/>
  <c r="H16" i="78"/>
  <c r="I16" i="78"/>
  <c r="M16" i="78"/>
  <c r="N16" i="78"/>
  <c r="I84" i="85" s="1"/>
  <c r="O16" i="78"/>
  <c r="P16" i="78"/>
  <c r="K84" i="80" s="1"/>
  <c r="Q16" i="78"/>
  <c r="R16" i="78"/>
  <c r="M84" i="85" s="1"/>
  <c r="H17" i="78"/>
  <c r="I17" i="78"/>
  <c r="M17" i="78"/>
  <c r="H85" i="80" s="1"/>
  <c r="N17" i="78"/>
  <c r="O17" i="78"/>
  <c r="J85" i="85" s="1"/>
  <c r="P17" i="78"/>
  <c r="Q17" i="78"/>
  <c r="L85" i="80" s="1"/>
  <c r="R17" i="78"/>
  <c r="H18" i="78"/>
  <c r="I18" i="78"/>
  <c r="M18" i="78"/>
  <c r="N18" i="78"/>
  <c r="I86" i="80" s="1"/>
  <c r="O18" i="78"/>
  <c r="P18" i="78"/>
  <c r="K86" i="85" s="1"/>
  <c r="Q18" i="78"/>
  <c r="R18" i="78"/>
  <c r="M86" i="80" s="1"/>
  <c r="Z86" i="80" s="1"/>
  <c r="H19" i="78"/>
  <c r="I19" i="78"/>
  <c r="M19" i="78"/>
  <c r="H87" i="85" s="1"/>
  <c r="N19" i="78"/>
  <c r="O19" i="78"/>
  <c r="J87" i="80" s="1"/>
  <c r="P19" i="78"/>
  <c r="Q19" i="78"/>
  <c r="L87" i="85" s="1"/>
  <c r="R19" i="78"/>
  <c r="H20" i="78"/>
  <c r="I20" i="78"/>
  <c r="M20" i="78"/>
  <c r="N20" i="78"/>
  <c r="I88" i="85" s="1"/>
  <c r="O20" i="78"/>
  <c r="P20" i="78"/>
  <c r="K88" i="80" s="1"/>
  <c r="Q20" i="78"/>
  <c r="R20" i="78"/>
  <c r="M88" i="85" s="1"/>
  <c r="H21" i="78"/>
  <c r="I21" i="78"/>
  <c r="M21" i="78"/>
  <c r="H89" i="80" s="1"/>
  <c r="N21" i="78"/>
  <c r="O21" i="78"/>
  <c r="J89" i="85" s="1"/>
  <c r="P21" i="78"/>
  <c r="Q21" i="78"/>
  <c r="L89" i="80" s="1"/>
  <c r="R21" i="78"/>
  <c r="H22" i="78"/>
  <c r="I22" i="78"/>
  <c r="M22" i="78"/>
  <c r="N22" i="78"/>
  <c r="I90" i="80" s="1"/>
  <c r="O22" i="78"/>
  <c r="P22" i="78"/>
  <c r="K90" i="85" s="1"/>
  <c r="Q22" i="78"/>
  <c r="R22" i="78"/>
  <c r="M90" i="80" s="1"/>
  <c r="Z90" i="80" s="1"/>
  <c r="H23" i="78"/>
  <c r="I23" i="78"/>
  <c r="M23" i="78"/>
  <c r="H91" i="85" s="1"/>
  <c r="N23" i="78"/>
  <c r="O23" i="78"/>
  <c r="J91" i="80" s="1"/>
  <c r="P23" i="78"/>
  <c r="Q23" i="78"/>
  <c r="L91" i="85" s="1"/>
  <c r="R23" i="78"/>
  <c r="H24" i="78"/>
  <c r="I24" i="78"/>
  <c r="M24" i="78"/>
  <c r="N24" i="78"/>
  <c r="I92" i="85" s="1"/>
  <c r="O24" i="78"/>
  <c r="P24" i="78"/>
  <c r="K92" i="80" s="1"/>
  <c r="Q24" i="78"/>
  <c r="R24" i="78"/>
  <c r="M92" i="85" s="1"/>
  <c r="H25" i="78"/>
  <c r="I25" i="78"/>
  <c r="M25" i="78"/>
  <c r="H93" i="80" s="1"/>
  <c r="N25" i="78"/>
  <c r="I93" i="80" s="1"/>
  <c r="O25" i="78"/>
  <c r="J93" i="80" s="1"/>
  <c r="P25" i="78"/>
  <c r="K93" i="80" s="1"/>
  <c r="Q25" i="78"/>
  <c r="L93" i="80" s="1"/>
  <c r="R25" i="78"/>
  <c r="M93" i="80" s="1"/>
  <c r="Z93" i="80" s="1"/>
  <c r="H26" i="78"/>
  <c r="I26" i="78"/>
  <c r="M26" i="78"/>
  <c r="H94" i="80" s="1"/>
  <c r="N26" i="78"/>
  <c r="I94" i="80" s="1"/>
  <c r="O26" i="78"/>
  <c r="J94" i="80" s="1"/>
  <c r="P26" i="78"/>
  <c r="K94" i="80" s="1"/>
  <c r="Q26" i="78"/>
  <c r="L94" i="80" s="1"/>
  <c r="R26" i="78"/>
  <c r="M94" i="80" s="1"/>
  <c r="Z94" i="80" s="1"/>
  <c r="H27" i="78"/>
  <c r="I27" i="78"/>
  <c r="M27" i="78"/>
  <c r="H95" i="85" s="1"/>
  <c r="N27" i="78"/>
  <c r="I95" i="80" s="1"/>
  <c r="O27" i="78"/>
  <c r="J95" i="80" s="1"/>
  <c r="P27" i="78"/>
  <c r="K95" i="80" s="1"/>
  <c r="Q27" i="78"/>
  <c r="L95" i="80" s="1"/>
  <c r="R27" i="78"/>
  <c r="M95" i="80" s="1"/>
  <c r="Z95" i="80" s="1"/>
  <c r="H28" i="78"/>
  <c r="I28" i="78"/>
  <c r="M28" i="78"/>
  <c r="H96" i="80" s="1"/>
  <c r="N28" i="78"/>
  <c r="I96" i="80" s="1"/>
  <c r="O28" i="78"/>
  <c r="J96" i="80" s="1"/>
  <c r="P28" i="78"/>
  <c r="K96" i="80" s="1"/>
  <c r="Q28" i="78"/>
  <c r="L96" i="80" s="1"/>
  <c r="R28" i="78"/>
  <c r="M96" i="80" s="1"/>
  <c r="Z96" i="80" s="1"/>
  <c r="H29" i="78"/>
  <c r="I29" i="78"/>
  <c r="M29" i="78"/>
  <c r="H97" i="80" s="1"/>
  <c r="N29" i="78"/>
  <c r="I97" i="80" s="1"/>
  <c r="O29" i="78"/>
  <c r="J97" i="85" s="1"/>
  <c r="P29" i="78"/>
  <c r="K97" i="80" s="1"/>
  <c r="Q29" i="78"/>
  <c r="L97" i="80" s="1"/>
  <c r="R29" i="78"/>
  <c r="M97" i="80" s="1"/>
  <c r="Z97" i="80" s="1"/>
  <c r="H30" i="78"/>
  <c r="I30" i="78"/>
  <c r="M30" i="78"/>
  <c r="H98" i="80" s="1"/>
  <c r="N30" i="78"/>
  <c r="I98" i="80" s="1"/>
  <c r="O30" i="78"/>
  <c r="J98" i="80" s="1"/>
  <c r="P30" i="78"/>
  <c r="K98" i="80" s="1"/>
  <c r="Q30" i="78"/>
  <c r="L98" i="80" s="1"/>
  <c r="R30" i="78"/>
  <c r="M98" i="80" s="1"/>
  <c r="Z98" i="80" s="1"/>
  <c r="H31" i="78"/>
  <c r="I31" i="78"/>
  <c r="M31" i="78"/>
  <c r="H99" i="80" s="1"/>
  <c r="N31" i="78"/>
  <c r="I99" i="80" s="1"/>
  <c r="O31" i="78"/>
  <c r="J99" i="80" s="1"/>
  <c r="P31" i="78"/>
  <c r="K99" i="80" s="1"/>
  <c r="Q31" i="78"/>
  <c r="L99" i="85" s="1"/>
  <c r="R31" i="78"/>
  <c r="M99" i="80" s="1"/>
  <c r="Z99" i="80" s="1"/>
  <c r="H32" i="78"/>
  <c r="I32" i="78"/>
  <c r="M32" i="78"/>
  <c r="H100" i="80" s="1"/>
  <c r="N32" i="78"/>
  <c r="I100" i="80" s="1"/>
  <c r="O32" i="78"/>
  <c r="J100" i="80" s="1"/>
  <c r="P32" i="78"/>
  <c r="K100" i="80" s="1"/>
  <c r="Q32" i="78"/>
  <c r="L100" i="80" s="1"/>
  <c r="R32" i="78"/>
  <c r="M100" i="80" s="1"/>
  <c r="Z100" i="80" s="1"/>
  <c r="H33" i="78"/>
  <c r="I33" i="78"/>
  <c r="M33" i="78"/>
  <c r="H101" i="80" s="1"/>
  <c r="N33" i="78"/>
  <c r="I101" i="80" s="1"/>
  <c r="O33" i="78"/>
  <c r="J101" i="80" s="1"/>
  <c r="P33" i="78"/>
  <c r="K101" i="80" s="1"/>
  <c r="Q33" i="78"/>
  <c r="L101" i="80" s="1"/>
  <c r="R33" i="78"/>
  <c r="M101" i="80" s="1"/>
  <c r="Z101" i="80" s="1"/>
  <c r="H34" i="78"/>
  <c r="I34" i="78"/>
  <c r="M34" i="78"/>
  <c r="H102" i="80" s="1"/>
  <c r="N34" i="78"/>
  <c r="I102" i="80" s="1"/>
  <c r="O34" i="78"/>
  <c r="J102" i="80" s="1"/>
  <c r="P34" i="78"/>
  <c r="K102" i="80" s="1"/>
  <c r="Q34" i="78"/>
  <c r="L102" i="80" s="1"/>
  <c r="R34" i="78"/>
  <c r="M102" i="80" s="1"/>
  <c r="Z102" i="80" s="1"/>
  <c r="H35" i="78"/>
  <c r="I35" i="78"/>
  <c r="M35" i="78"/>
  <c r="H103" i="80" s="1"/>
  <c r="N35" i="78"/>
  <c r="I103" i="80" s="1"/>
  <c r="O35" i="78"/>
  <c r="J103" i="80" s="1"/>
  <c r="P35" i="78"/>
  <c r="K103" i="80" s="1"/>
  <c r="Q35" i="78"/>
  <c r="L103" i="80" s="1"/>
  <c r="R35" i="78"/>
  <c r="M103" i="80" s="1"/>
  <c r="Z103" i="80" s="1"/>
  <c r="H36" i="78"/>
  <c r="I36" i="78"/>
  <c r="M36" i="78"/>
  <c r="H104" i="80" s="1"/>
  <c r="N36" i="78"/>
  <c r="I104" i="85" s="1"/>
  <c r="O36" i="78"/>
  <c r="J104" i="80" s="1"/>
  <c r="P36" i="78"/>
  <c r="K104" i="80" s="1"/>
  <c r="Q36" i="78"/>
  <c r="L104" i="80" s="1"/>
  <c r="R36" i="78"/>
  <c r="M104" i="80" s="1"/>
  <c r="Z104" i="80" s="1"/>
  <c r="H37" i="78"/>
  <c r="I37" i="78"/>
  <c r="M37" i="78"/>
  <c r="H105" i="80" s="1"/>
  <c r="N37" i="78"/>
  <c r="I105" i="80" s="1"/>
  <c r="O37" i="78"/>
  <c r="J105" i="80" s="1"/>
  <c r="P37" i="78"/>
  <c r="K105" i="80" s="1"/>
  <c r="Q37" i="78"/>
  <c r="L105" i="80" s="1"/>
  <c r="R37" i="78"/>
  <c r="M105" i="80" s="1"/>
  <c r="Z105" i="80" s="1"/>
  <c r="H38" i="78"/>
  <c r="I38" i="78"/>
  <c r="M38" i="78"/>
  <c r="H106" i="80" s="1"/>
  <c r="N38" i="78"/>
  <c r="I106" i="80" s="1"/>
  <c r="O38" i="78"/>
  <c r="J106" i="80" s="1"/>
  <c r="P38" i="78"/>
  <c r="K106" i="85" s="1"/>
  <c r="Q38" i="78"/>
  <c r="L106" i="80" s="1"/>
  <c r="R38" i="78"/>
  <c r="M106" i="80" s="1"/>
  <c r="Z106" i="80" s="1"/>
  <c r="H39" i="78"/>
  <c r="I39" i="78"/>
  <c r="M39" i="78"/>
  <c r="N39" i="78"/>
  <c r="O39" i="78"/>
  <c r="P39" i="78"/>
  <c r="Q39" i="78"/>
  <c r="R39" i="78"/>
  <c r="H40" i="78"/>
  <c r="I40" i="78"/>
  <c r="M40" i="78"/>
  <c r="N40" i="78"/>
  <c r="O40" i="78"/>
  <c r="P40" i="78"/>
  <c r="Q40" i="78"/>
  <c r="R40" i="78"/>
  <c r="H41" i="78"/>
  <c r="I41" i="78"/>
  <c r="M41" i="78"/>
  <c r="N41" i="78"/>
  <c r="O41" i="78"/>
  <c r="P41" i="78"/>
  <c r="Q41" i="78"/>
  <c r="R41" i="78"/>
  <c r="H42" i="78"/>
  <c r="I42" i="78"/>
  <c r="M42" i="78"/>
  <c r="N42" i="78"/>
  <c r="O42" i="78"/>
  <c r="P42" i="78"/>
  <c r="Q42" i="78"/>
  <c r="R42" i="78"/>
  <c r="H43" i="78"/>
  <c r="I43" i="78"/>
  <c r="M43" i="78"/>
  <c r="N43" i="78"/>
  <c r="O43" i="78"/>
  <c r="P43" i="78"/>
  <c r="Q43" i="78"/>
  <c r="R43" i="78"/>
  <c r="H44" i="78"/>
  <c r="I44" i="78"/>
  <c r="M44" i="78"/>
  <c r="N44" i="78"/>
  <c r="O44" i="78"/>
  <c r="P44" i="78"/>
  <c r="Q44" i="78"/>
  <c r="R44" i="78"/>
  <c r="H45" i="78"/>
  <c r="I45" i="78"/>
  <c r="M45" i="78"/>
  <c r="N45" i="78"/>
  <c r="O45" i="78"/>
  <c r="P45" i="78"/>
  <c r="Q45" i="78"/>
  <c r="R45" i="78"/>
  <c r="H46" i="78"/>
  <c r="I46" i="78"/>
  <c r="M46" i="78"/>
  <c r="N46" i="78"/>
  <c r="O46" i="78"/>
  <c r="P46" i="78"/>
  <c r="Q46" i="78"/>
  <c r="R46" i="78"/>
  <c r="H47" i="78"/>
  <c r="I47" i="78"/>
  <c r="M47" i="78"/>
  <c r="N47" i="78"/>
  <c r="O47" i="78"/>
  <c r="P47" i="78"/>
  <c r="Q47" i="78"/>
  <c r="R47" i="78"/>
  <c r="H48" i="78"/>
  <c r="I48" i="78"/>
  <c r="M48" i="78"/>
  <c r="N48" i="78"/>
  <c r="O48" i="78"/>
  <c r="P48" i="78"/>
  <c r="Q48" i="78"/>
  <c r="R48" i="78"/>
  <c r="S106" i="85"/>
  <c r="E106" i="85"/>
  <c r="D106" i="85"/>
  <c r="S105" i="85"/>
  <c r="E105" i="85"/>
  <c r="D105" i="85"/>
  <c r="S104" i="85"/>
  <c r="E104" i="85"/>
  <c r="D104" i="85"/>
  <c r="S103" i="85"/>
  <c r="E103" i="85"/>
  <c r="D103" i="85"/>
  <c r="S102" i="85"/>
  <c r="E102" i="85"/>
  <c r="D102" i="85"/>
  <c r="S101" i="85"/>
  <c r="E101" i="85"/>
  <c r="D101" i="85"/>
  <c r="S100" i="85"/>
  <c r="E100" i="85"/>
  <c r="D100" i="85"/>
  <c r="S99" i="85"/>
  <c r="E99" i="85"/>
  <c r="D99" i="85"/>
  <c r="S98" i="85"/>
  <c r="E98" i="85"/>
  <c r="D98" i="85"/>
  <c r="S97" i="85"/>
  <c r="E97" i="85"/>
  <c r="D97" i="85"/>
  <c r="S96" i="85"/>
  <c r="E96" i="85"/>
  <c r="D96" i="85"/>
  <c r="S95" i="85"/>
  <c r="E95" i="85"/>
  <c r="D95" i="85"/>
  <c r="S94" i="85"/>
  <c r="E94" i="85"/>
  <c r="D94" i="85"/>
  <c r="S93" i="85"/>
  <c r="E93" i="85"/>
  <c r="D93" i="85"/>
  <c r="S92" i="85"/>
  <c r="E92" i="85"/>
  <c r="D92" i="85"/>
  <c r="S91" i="85"/>
  <c r="E91" i="85"/>
  <c r="D91" i="85"/>
  <c r="S90" i="85"/>
  <c r="E90" i="85"/>
  <c r="D90" i="85"/>
  <c r="S89" i="85"/>
  <c r="E89" i="85"/>
  <c r="D89" i="85"/>
  <c r="S88" i="85"/>
  <c r="E88" i="85"/>
  <c r="D88" i="85"/>
  <c r="S87" i="85"/>
  <c r="E87" i="85"/>
  <c r="D87" i="85"/>
  <c r="S86" i="85"/>
  <c r="E86" i="85"/>
  <c r="D86" i="85"/>
  <c r="S85" i="85"/>
  <c r="E85" i="85"/>
  <c r="D85" i="85"/>
  <c r="S84" i="85"/>
  <c r="E84" i="85"/>
  <c r="D84" i="85"/>
  <c r="S83" i="85"/>
  <c r="E83" i="85"/>
  <c r="D83" i="85"/>
  <c r="S82" i="85"/>
  <c r="E82" i="85"/>
  <c r="D82" i="85"/>
  <c r="S81" i="85"/>
  <c r="E81" i="85"/>
  <c r="D81" i="85"/>
  <c r="S80" i="85"/>
  <c r="E80" i="85"/>
  <c r="D80" i="85"/>
  <c r="S79" i="85"/>
  <c r="E79" i="85"/>
  <c r="D79" i="85"/>
  <c r="S78" i="85"/>
  <c r="E78" i="85"/>
  <c r="D78" i="85"/>
  <c r="S77" i="85"/>
  <c r="E77" i="85"/>
  <c r="D77" i="85"/>
  <c r="S106" i="80"/>
  <c r="E106" i="80"/>
  <c r="D106" i="80"/>
  <c r="C106" i="80"/>
  <c r="S105" i="80"/>
  <c r="E105" i="80"/>
  <c r="D105" i="80"/>
  <c r="C105" i="80"/>
  <c r="S104" i="80"/>
  <c r="E104" i="80"/>
  <c r="D104" i="80"/>
  <c r="C104" i="80"/>
  <c r="S103" i="80"/>
  <c r="E103" i="80"/>
  <c r="D103" i="80"/>
  <c r="C103" i="80"/>
  <c r="S102" i="80"/>
  <c r="E102" i="80"/>
  <c r="D102" i="80"/>
  <c r="C102" i="80"/>
  <c r="S101" i="80"/>
  <c r="E101" i="80"/>
  <c r="D101" i="80"/>
  <c r="C101" i="80"/>
  <c r="S100" i="80"/>
  <c r="E100" i="80"/>
  <c r="D100" i="80"/>
  <c r="C100" i="80"/>
  <c r="S99" i="80"/>
  <c r="E99" i="80"/>
  <c r="D99" i="80"/>
  <c r="C99" i="80"/>
  <c r="S98" i="80"/>
  <c r="E98" i="80"/>
  <c r="D98" i="80"/>
  <c r="C98" i="80"/>
  <c r="S97" i="80"/>
  <c r="E97" i="80"/>
  <c r="D97" i="80"/>
  <c r="C97" i="80"/>
  <c r="S96" i="80"/>
  <c r="E96" i="80"/>
  <c r="D96" i="80"/>
  <c r="C96" i="80"/>
  <c r="S95" i="80"/>
  <c r="E95" i="80"/>
  <c r="D95" i="80"/>
  <c r="C95" i="80"/>
  <c r="S94" i="80"/>
  <c r="E94" i="80"/>
  <c r="D94" i="80"/>
  <c r="C94" i="80"/>
  <c r="S93" i="80"/>
  <c r="E93" i="80"/>
  <c r="D93" i="80"/>
  <c r="C93" i="80"/>
  <c r="S92" i="80"/>
  <c r="E92" i="80"/>
  <c r="D92" i="80"/>
  <c r="C92" i="80"/>
  <c r="S91" i="80"/>
  <c r="E91" i="80"/>
  <c r="D91" i="80"/>
  <c r="C91" i="80"/>
  <c r="S90" i="80"/>
  <c r="E90" i="80"/>
  <c r="D90" i="80"/>
  <c r="C90" i="80"/>
  <c r="S89" i="80"/>
  <c r="E89" i="80"/>
  <c r="D89" i="80"/>
  <c r="C89" i="80"/>
  <c r="S88" i="80"/>
  <c r="E88" i="80"/>
  <c r="D88" i="80"/>
  <c r="C88" i="80"/>
  <c r="S87" i="80"/>
  <c r="E87" i="80"/>
  <c r="D87" i="80"/>
  <c r="C87" i="80"/>
  <c r="S86" i="80"/>
  <c r="E86" i="80"/>
  <c r="D86" i="80"/>
  <c r="C86" i="80"/>
  <c r="S85" i="80"/>
  <c r="E85" i="80"/>
  <c r="D85" i="80"/>
  <c r="C85" i="80"/>
  <c r="S84" i="80"/>
  <c r="E84" i="80"/>
  <c r="D84" i="80"/>
  <c r="C84" i="80"/>
  <c r="S83" i="80"/>
  <c r="E83" i="80"/>
  <c r="D83" i="80"/>
  <c r="C83" i="80"/>
  <c r="S82" i="80"/>
  <c r="E82" i="80"/>
  <c r="D82" i="80"/>
  <c r="C82" i="80"/>
  <c r="S81" i="80"/>
  <c r="E81" i="80"/>
  <c r="D81" i="80"/>
  <c r="C81" i="80"/>
  <c r="S80" i="80"/>
  <c r="E80" i="80"/>
  <c r="D80" i="80"/>
  <c r="C80" i="80"/>
  <c r="S79" i="80"/>
  <c r="E79" i="80"/>
  <c r="D79" i="80"/>
  <c r="C79" i="80"/>
  <c r="S78" i="80"/>
  <c r="E78" i="80"/>
  <c r="D78" i="80"/>
  <c r="C78" i="80"/>
  <c r="S77" i="80"/>
  <c r="E77" i="80"/>
  <c r="D77" i="80"/>
  <c r="C77" i="80"/>
  <c r="C79" i="85"/>
  <c r="C80" i="85"/>
  <c r="C81" i="85"/>
  <c r="C82" i="85"/>
  <c r="C83" i="85"/>
  <c r="C84" i="85"/>
  <c r="C85" i="85"/>
  <c r="C86" i="85"/>
  <c r="C87" i="85"/>
  <c r="C88" i="85"/>
  <c r="C89" i="85"/>
  <c r="C90" i="85"/>
  <c r="C91" i="85"/>
  <c r="C92" i="85"/>
  <c r="C93" i="85"/>
  <c r="C94" i="85"/>
  <c r="C95" i="85"/>
  <c r="C96" i="85"/>
  <c r="C97" i="85"/>
  <c r="C98" i="85"/>
  <c r="C99" i="85"/>
  <c r="C100" i="85"/>
  <c r="C101" i="85"/>
  <c r="C102" i="85"/>
  <c r="C103" i="85"/>
  <c r="C104" i="85"/>
  <c r="C105" i="85"/>
  <c r="C106" i="85"/>
  <c r="C78" i="85"/>
  <c r="C77" i="85"/>
  <c r="AR50" i="80" l="1"/>
  <c r="AQ47" i="80"/>
  <c r="AK47" i="80"/>
  <c r="AI48" i="80"/>
  <c r="AH48" i="80"/>
  <c r="AS50" i="80"/>
  <c r="AS48" i="80"/>
  <c r="AR48" i="80"/>
  <c r="AO46" i="80"/>
  <c r="AI50" i="80"/>
  <c r="AH50" i="80"/>
  <c r="AR47" i="80"/>
  <c r="AN46" i="80"/>
  <c r="AI49" i="80"/>
  <c r="AH49" i="80"/>
  <c r="AR49" i="80"/>
  <c r="AI47" i="80"/>
  <c r="AS47" i="80"/>
  <c r="AP47" i="80"/>
  <c r="AJ47" i="80"/>
  <c r="AH47" i="80"/>
  <c r="J83" i="85"/>
  <c r="H81" i="85"/>
  <c r="L106" i="85"/>
  <c r="H106" i="85"/>
  <c r="K105" i="85"/>
  <c r="J104" i="85"/>
  <c r="M103" i="85"/>
  <c r="I103" i="85"/>
  <c r="L102" i="85"/>
  <c r="H102" i="85"/>
  <c r="K101" i="85"/>
  <c r="J100" i="85"/>
  <c r="M99" i="85"/>
  <c r="I99" i="85"/>
  <c r="L98" i="85"/>
  <c r="H98" i="85"/>
  <c r="K97" i="85"/>
  <c r="J96" i="85"/>
  <c r="M95" i="85"/>
  <c r="I95" i="85"/>
  <c r="L94" i="85"/>
  <c r="H94" i="85"/>
  <c r="K93" i="85"/>
  <c r="K92" i="85"/>
  <c r="I90" i="85"/>
  <c r="L85" i="85"/>
  <c r="K106" i="80"/>
  <c r="I104" i="80"/>
  <c r="L99" i="80"/>
  <c r="J97" i="80"/>
  <c r="H95" i="80"/>
  <c r="M92" i="80"/>
  <c r="Z92" i="80" s="1"/>
  <c r="K90" i="80"/>
  <c r="I88" i="80"/>
  <c r="L83" i="80"/>
  <c r="J81" i="80"/>
  <c r="H79" i="80"/>
  <c r="L92" i="85"/>
  <c r="L92" i="80"/>
  <c r="H92" i="85"/>
  <c r="H92" i="80"/>
  <c r="K91" i="85"/>
  <c r="K91" i="80"/>
  <c r="J90" i="85"/>
  <c r="J90" i="80"/>
  <c r="M89" i="85"/>
  <c r="M89" i="80"/>
  <c r="Z89" i="80" s="1"/>
  <c r="I89" i="85"/>
  <c r="I89" i="80"/>
  <c r="L88" i="85"/>
  <c r="L88" i="80"/>
  <c r="H88" i="85"/>
  <c r="H88" i="80"/>
  <c r="K87" i="85"/>
  <c r="K87" i="80"/>
  <c r="J86" i="85"/>
  <c r="J86" i="80"/>
  <c r="M85" i="85"/>
  <c r="M85" i="80"/>
  <c r="Z85" i="80" s="1"/>
  <c r="I85" i="85"/>
  <c r="I85" i="80"/>
  <c r="L84" i="85"/>
  <c r="L84" i="80"/>
  <c r="H84" i="85"/>
  <c r="H84" i="80"/>
  <c r="K83" i="85"/>
  <c r="K83" i="80"/>
  <c r="J82" i="85"/>
  <c r="J82" i="80"/>
  <c r="M81" i="85"/>
  <c r="M81" i="80"/>
  <c r="Z81" i="80" s="1"/>
  <c r="I81" i="85"/>
  <c r="I81" i="80"/>
  <c r="L80" i="85"/>
  <c r="L80" i="80"/>
  <c r="H80" i="85"/>
  <c r="H80" i="80"/>
  <c r="K79" i="85"/>
  <c r="K79" i="80"/>
  <c r="J105" i="85"/>
  <c r="M104" i="85"/>
  <c r="L103" i="85"/>
  <c r="H103" i="85"/>
  <c r="K102" i="85"/>
  <c r="J101" i="85"/>
  <c r="M100" i="85"/>
  <c r="I100" i="85"/>
  <c r="H99" i="85"/>
  <c r="K98" i="85"/>
  <c r="M96" i="85"/>
  <c r="I96" i="85"/>
  <c r="L95" i="85"/>
  <c r="K94" i="85"/>
  <c r="J93" i="85"/>
  <c r="L89" i="85"/>
  <c r="J87" i="85"/>
  <c r="H85" i="85"/>
  <c r="M82" i="85"/>
  <c r="K80" i="85"/>
  <c r="I92" i="80"/>
  <c r="L87" i="80"/>
  <c r="J85" i="80"/>
  <c r="H83" i="80"/>
  <c r="M80" i="80"/>
  <c r="Z80" i="80" s="1"/>
  <c r="J106" i="85"/>
  <c r="M105" i="85"/>
  <c r="I105" i="85"/>
  <c r="L104" i="85"/>
  <c r="H104" i="85"/>
  <c r="K103" i="85"/>
  <c r="J102" i="85"/>
  <c r="M101" i="85"/>
  <c r="I101" i="85"/>
  <c r="L100" i="85"/>
  <c r="H100" i="85"/>
  <c r="K99" i="85"/>
  <c r="J98" i="85"/>
  <c r="M97" i="85"/>
  <c r="I97" i="85"/>
  <c r="L96" i="85"/>
  <c r="H96" i="85"/>
  <c r="K95" i="85"/>
  <c r="J94" i="85"/>
  <c r="M93" i="85"/>
  <c r="I93" i="85"/>
  <c r="J91" i="85"/>
  <c r="H89" i="85"/>
  <c r="M86" i="85"/>
  <c r="K84" i="85"/>
  <c r="I82" i="85"/>
  <c r="L91" i="80"/>
  <c r="J89" i="80"/>
  <c r="H87" i="80"/>
  <c r="M84" i="80"/>
  <c r="Z84" i="80" s="1"/>
  <c r="K82" i="80"/>
  <c r="I80" i="80"/>
  <c r="J92" i="80"/>
  <c r="J92" i="85"/>
  <c r="M91" i="80"/>
  <c r="Z91" i="80" s="1"/>
  <c r="M91" i="85"/>
  <c r="I91" i="80"/>
  <c r="I91" i="85"/>
  <c r="L90" i="80"/>
  <c r="L90" i="85"/>
  <c r="H90" i="80"/>
  <c r="H90" i="85"/>
  <c r="K89" i="80"/>
  <c r="K89" i="85"/>
  <c r="J88" i="80"/>
  <c r="J88" i="85"/>
  <c r="M87" i="80"/>
  <c r="Z87" i="80" s="1"/>
  <c r="M87" i="85"/>
  <c r="I87" i="80"/>
  <c r="I87" i="85"/>
  <c r="L86" i="80"/>
  <c r="L86" i="85"/>
  <c r="H86" i="80"/>
  <c r="H86" i="85"/>
  <c r="K85" i="80"/>
  <c r="K85" i="85"/>
  <c r="J84" i="80"/>
  <c r="J84" i="85"/>
  <c r="M83" i="80"/>
  <c r="Z83" i="80" s="1"/>
  <c r="M83" i="85"/>
  <c r="I83" i="80"/>
  <c r="I83" i="85"/>
  <c r="L82" i="80"/>
  <c r="L82" i="85"/>
  <c r="H82" i="80"/>
  <c r="H82" i="85"/>
  <c r="K81" i="80"/>
  <c r="K81" i="85"/>
  <c r="J80" i="80"/>
  <c r="J80" i="85"/>
  <c r="M79" i="80"/>
  <c r="Z79" i="80" s="1"/>
  <c r="M79" i="85"/>
  <c r="I79" i="80"/>
  <c r="I79" i="85"/>
  <c r="M106" i="85"/>
  <c r="I106" i="85"/>
  <c r="L105" i="85"/>
  <c r="H105" i="85"/>
  <c r="K104" i="85"/>
  <c r="J103" i="85"/>
  <c r="M102" i="85"/>
  <c r="I102" i="85"/>
  <c r="L101" i="85"/>
  <c r="H101" i="85"/>
  <c r="K100" i="85"/>
  <c r="J99" i="85"/>
  <c r="M98" i="85"/>
  <c r="I98" i="85"/>
  <c r="L97" i="85"/>
  <c r="H97" i="85"/>
  <c r="K96" i="85"/>
  <c r="J95" i="85"/>
  <c r="M94" i="85"/>
  <c r="I94" i="85"/>
  <c r="L93" i="85"/>
  <c r="H93" i="85"/>
  <c r="M90" i="85"/>
  <c r="K88" i="85"/>
  <c r="I86" i="85"/>
  <c r="L81" i="85"/>
  <c r="J79" i="85"/>
  <c r="H91" i="80"/>
  <c r="M88" i="80"/>
  <c r="Z88" i="80" s="1"/>
  <c r="K86" i="80"/>
  <c r="I84" i="80"/>
  <c r="L79" i="80"/>
  <c r="AA17" i="88"/>
  <c r="Z17" i="88"/>
  <c r="Y17" i="88"/>
  <c r="X17" i="88"/>
  <c r="AA16" i="88"/>
  <c r="Z16" i="88"/>
  <c r="Y16" i="88"/>
  <c r="X16" i="88"/>
  <c r="AA15" i="88"/>
  <c r="Z15" i="88"/>
  <c r="Y15" i="88"/>
  <c r="X15" i="88"/>
  <c r="AA14" i="88"/>
  <c r="Z14" i="88"/>
  <c r="Y14" i="88"/>
  <c r="X14" i="88"/>
  <c r="AA13" i="88"/>
  <c r="Z13" i="88"/>
  <c r="Y13" i="88"/>
  <c r="X13" i="88"/>
  <c r="AA12" i="88"/>
  <c r="Z12" i="88"/>
  <c r="Y12" i="88"/>
  <c r="X12" i="88"/>
  <c r="AA18" i="84"/>
  <c r="Z18" i="84"/>
  <c r="Y18" i="84"/>
  <c r="X18" i="84"/>
  <c r="AA17" i="84"/>
  <c r="Z17" i="84"/>
  <c r="Y17" i="84"/>
  <c r="X17" i="84"/>
  <c r="AA16" i="84"/>
  <c r="Z16" i="84"/>
  <c r="Y16" i="84"/>
  <c r="X16" i="84"/>
  <c r="AA15" i="84"/>
  <c r="Z15" i="84"/>
  <c r="Y15" i="84"/>
  <c r="X15" i="84"/>
  <c r="AA14" i="84"/>
  <c r="Z14" i="84"/>
  <c r="Y14" i="84"/>
  <c r="X14" i="84"/>
  <c r="AA13" i="84"/>
  <c r="Z13" i="84"/>
  <c r="Y13" i="84"/>
  <c r="X13" i="84"/>
  <c r="AA12" i="84"/>
  <c r="Z12" i="84"/>
  <c r="Y12" i="84"/>
  <c r="X12" i="84"/>
  <c r="U113" i="85" l="1"/>
  <c r="T113" i="85"/>
  <c r="U112" i="85"/>
  <c r="T112" i="85"/>
  <c r="F106" i="85"/>
  <c r="V106" i="85"/>
  <c r="U106" i="85"/>
  <c r="T106" i="85"/>
  <c r="F105" i="85"/>
  <c r="V105" i="85"/>
  <c r="U105" i="85"/>
  <c r="T105" i="85"/>
  <c r="F104" i="85"/>
  <c r="V104" i="85"/>
  <c r="U104" i="85"/>
  <c r="T104" i="85"/>
  <c r="F103" i="85"/>
  <c r="V103" i="85"/>
  <c r="U103" i="85"/>
  <c r="T103" i="85"/>
  <c r="F102" i="85"/>
  <c r="V102" i="85"/>
  <c r="U102" i="85"/>
  <c r="T102" i="85"/>
  <c r="F101" i="85"/>
  <c r="V101" i="85"/>
  <c r="U101" i="85"/>
  <c r="T101" i="85"/>
  <c r="F100" i="85"/>
  <c r="Z100" i="85"/>
  <c r="V100" i="85"/>
  <c r="U100" i="85"/>
  <c r="T100" i="85"/>
  <c r="Z99" i="85"/>
  <c r="Y99" i="85"/>
  <c r="F99" i="85"/>
  <c r="V99" i="85"/>
  <c r="U99" i="85"/>
  <c r="T99" i="85"/>
  <c r="F98" i="85"/>
  <c r="Z98" i="85"/>
  <c r="V98" i="85"/>
  <c r="U98" i="85"/>
  <c r="T98" i="85"/>
  <c r="F97" i="85"/>
  <c r="Z97" i="85"/>
  <c r="V97" i="85"/>
  <c r="U97" i="85"/>
  <c r="T97" i="85"/>
  <c r="Z96" i="85"/>
  <c r="F96" i="85"/>
  <c r="V96" i="85"/>
  <c r="U96" i="85"/>
  <c r="T96" i="85"/>
  <c r="Z95" i="85"/>
  <c r="Y95" i="85"/>
  <c r="F95" i="85"/>
  <c r="V95" i="85"/>
  <c r="U95" i="85"/>
  <c r="T95" i="85"/>
  <c r="F94" i="85"/>
  <c r="Z94" i="85"/>
  <c r="V94" i="85"/>
  <c r="U94" i="85"/>
  <c r="T94" i="85"/>
  <c r="F93" i="85"/>
  <c r="Z93" i="85"/>
  <c r="Y93" i="85"/>
  <c r="V93" i="85"/>
  <c r="U93" i="85"/>
  <c r="T93" i="85"/>
  <c r="F92" i="85"/>
  <c r="Z92" i="85"/>
  <c r="Y92" i="85"/>
  <c r="V92" i="85"/>
  <c r="U92" i="85"/>
  <c r="T92" i="85"/>
  <c r="F91" i="85"/>
  <c r="Z91" i="85"/>
  <c r="Y91" i="85"/>
  <c r="V91" i="85"/>
  <c r="U91" i="85"/>
  <c r="T91" i="85"/>
  <c r="F90" i="85"/>
  <c r="Z90" i="85"/>
  <c r="V90" i="85"/>
  <c r="U90" i="85"/>
  <c r="T90" i="85"/>
  <c r="T89" i="85"/>
  <c r="F89" i="85"/>
  <c r="Z89" i="85"/>
  <c r="V89" i="85"/>
  <c r="U89" i="85"/>
  <c r="Z88" i="85"/>
  <c r="F88" i="85"/>
  <c r="V88" i="85"/>
  <c r="U88" i="85"/>
  <c r="T88" i="85"/>
  <c r="F87" i="85"/>
  <c r="Z87" i="85"/>
  <c r="V87" i="85"/>
  <c r="U87" i="85"/>
  <c r="T87" i="85"/>
  <c r="U86" i="85"/>
  <c r="F86" i="85"/>
  <c r="Z86" i="85"/>
  <c r="Y86" i="85"/>
  <c r="V86" i="85"/>
  <c r="T86" i="85"/>
  <c r="F85" i="85"/>
  <c r="Z85" i="85"/>
  <c r="V85" i="85"/>
  <c r="U85" i="85"/>
  <c r="T85" i="85"/>
  <c r="F84" i="85"/>
  <c r="Z84" i="85"/>
  <c r="W84" i="85"/>
  <c r="V84" i="85"/>
  <c r="U84" i="85"/>
  <c r="T84" i="85"/>
  <c r="F83" i="85"/>
  <c r="Z83" i="85"/>
  <c r="Y83" i="85"/>
  <c r="V83" i="85"/>
  <c r="U83" i="85"/>
  <c r="T83" i="85"/>
  <c r="F82" i="85"/>
  <c r="Z82" i="85"/>
  <c r="W82" i="85"/>
  <c r="Y82" i="85"/>
  <c r="V82" i="85"/>
  <c r="U82" i="85"/>
  <c r="T82" i="85"/>
  <c r="F81" i="85"/>
  <c r="Z81" i="85"/>
  <c r="V81" i="85"/>
  <c r="U81" i="85"/>
  <c r="T81" i="85"/>
  <c r="Z80" i="85"/>
  <c r="F80" i="85"/>
  <c r="V80" i="85"/>
  <c r="U80" i="85"/>
  <c r="T80" i="85"/>
  <c r="F79" i="85"/>
  <c r="Z79" i="85"/>
  <c r="Y79" i="85"/>
  <c r="V79" i="85"/>
  <c r="U79" i="85"/>
  <c r="T79" i="85"/>
  <c r="V78" i="85"/>
  <c r="U78" i="85"/>
  <c r="T78" i="85"/>
  <c r="V77" i="85"/>
  <c r="U77" i="85"/>
  <c r="T77" i="85"/>
  <c r="U113" i="80"/>
  <c r="BD46" i="80" s="1"/>
  <c r="T113" i="80"/>
  <c r="U112" i="80"/>
  <c r="BC46" i="80" s="1"/>
  <c r="T112" i="80"/>
  <c r="F106" i="80"/>
  <c r="V106" i="80"/>
  <c r="U106" i="80"/>
  <c r="T106" i="80"/>
  <c r="F105" i="80"/>
  <c r="V105" i="80"/>
  <c r="U105" i="80"/>
  <c r="T105" i="80"/>
  <c r="F104" i="80"/>
  <c r="V104" i="80"/>
  <c r="U104" i="80"/>
  <c r="T104" i="80"/>
  <c r="F103" i="80"/>
  <c r="V103" i="80"/>
  <c r="U103" i="80"/>
  <c r="T103" i="80"/>
  <c r="F102" i="80"/>
  <c r="V102" i="80"/>
  <c r="U102" i="80"/>
  <c r="T102" i="80"/>
  <c r="F101" i="80"/>
  <c r="V101" i="80"/>
  <c r="U101" i="80"/>
  <c r="T101" i="80"/>
  <c r="F100" i="80"/>
  <c r="V100" i="80"/>
  <c r="U100" i="80"/>
  <c r="T100" i="80"/>
  <c r="F99" i="80"/>
  <c r="V99" i="80"/>
  <c r="U99" i="80"/>
  <c r="T99" i="80"/>
  <c r="F98" i="80"/>
  <c r="V98" i="80"/>
  <c r="U98" i="80"/>
  <c r="T98" i="80"/>
  <c r="F97" i="80"/>
  <c r="V97" i="80"/>
  <c r="U97" i="80"/>
  <c r="T97" i="80"/>
  <c r="F96" i="80"/>
  <c r="V96" i="80"/>
  <c r="U96" i="80"/>
  <c r="T96" i="80"/>
  <c r="F95" i="80"/>
  <c r="V95" i="80"/>
  <c r="U95" i="80"/>
  <c r="T95" i="80"/>
  <c r="F94" i="80"/>
  <c r="V94" i="80"/>
  <c r="U94" i="80"/>
  <c r="T94" i="80"/>
  <c r="F93" i="80"/>
  <c r="V93" i="80"/>
  <c r="U93" i="80"/>
  <c r="T93" i="80"/>
  <c r="F92" i="80"/>
  <c r="V92" i="80"/>
  <c r="U92" i="80"/>
  <c r="T92" i="80"/>
  <c r="F91" i="80"/>
  <c r="V91" i="80"/>
  <c r="U91" i="80"/>
  <c r="T91" i="80"/>
  <c r="F90" i="80"/>
  <c r="V90" i="80"/>
  <c r="U90" i="80"/>
  <c r="T90" i="80"/>
  <c r="F89" i="80"/>
  <c r="V89" i="80"/>
  <c r="U89" i="80"/>
  <c r="T89" i="80"/>
  <c r="F88" i="80"/>
  <c r="V88" i="80"/>
  <c r="U88" i="80"/>
  <c r="T88" i="80"/>
  <c r="F87" i="80"/>
  <c r="V87" i="80"/>
  <c r="U87" i="80"/>
  <c r="T87" i="80"/>
  <c r="F86" i="80"/>
  <c r="Y86" i="80"/>
  <c r="V86" i="80"/>
  <c r="U86" i="80"/>
  <c r="T86" i="80"/>
  <c r="F85" i="80"/>
  <c r="Y85" i="80"/>
  <c r="V85" i="80"/>
  <c r="U85" i="80"/>
  <c r="T85" i="80"/>
  <c r="F84" i="80"/>
  <c r="Y84" i="80"/>
  <c r="V84" i="80"/>
  <c r="U84" i="80"/>
  <c r="T84" i="80"/>
  <c r="F83" i="80"/>
  <c r="V83" i="80"/>
  <c r="U83" i="80"/>
  <c r="T83" i="80"/>
  <c r="V82" i="80"/>
  <c r="U82" i="80"/>
  <c r="T82" i="80"/>
  <c r="F81" i="80"/>
  <c r="V81" i="80"/>
  <c r="U81" i="80"/>
  <c r="T81" i="80"/>
  <c r="F80" i="80"/>
  <c r="V80" i="80"/>
  <c r="U80" i="80"/>
  <c r="T80" i="80"/>
  <c r="F79" i="80"/>
  <c r="V79" i="80"/>
  <c r="U79" i="80"/>
  <c r="T79" i="80"/>
  <c r="F78" i="80"/>
  <c r="V78" i="80"/>
  <c r="U78" i="80"/>
  <c r="T78" i="80"/>
  <c r="V77" i="80"/>
  <c r="U77" i="80"/>
  <c r="T77" i="80"/>
  <c r="Y85" i="85" l="1"/>
  <c r="Y87" i="85"/>
  <c r="W97" i="85"/>
  <c r="Y81" i="80"/>
  <c r="AH54" i="80" s="1"/>
  <c r="AF54" i="80" s="1"/>
  <c r="AY54" i="80" s="1"/>
  <c r="W91" i="85"/>
  <c r="Y98" i="85"/>
  <c r="Y100" i="85"/>
  <c r="Y94" i="80"/>
  <c r="W98" i="85"/>
  <c r="W100" i="85"/>
  <c r="Y89" i="80"/>
  <c r="Y91" i="80"/>
  <c r="W93" i="80"/>
  <c r="Y96" i="80"/>
  <c r="AS54" i="80" s="1"/>
  <c r="BF54" i="80" s="1"/>
  <c r="Y84" i="85"/>
  <c r="Y90" i="85"/>
  <c r="Y81" i="85"/>
  <c r="W85" i="85"/>
  <c r="Y88" i="85"/>
  <c r="W89" i="85"/>
  <c r="Y94" i="85"/>
  <c r="W95" i="85"/>
  <c r="W92" i="85"/>
  <c r="Y97" i="85"/>
  <c r="AI35" i="85" s="1"/>
  <c r="AG35" i="85" s="1"/>
  <c r="AZ35" i="85" s="1"/>
  <c r="Y80" i="85"/>
  <c r="W81" i="85"/>
  <c r="W88" i="85"/>
  <c r="W94" i="85"/>
  <c r="W80" i="85"/>
  <c r="W87" i="85"/>
  <c r="Y96" i="85"/>
  <c r="W83" i="85"/>
  <c r="W86" i="85"/>
  <c r="W90" i="85"/>
  <c r="W93" i="85"/>
  <c r="W99" i="85"/>
  <c r="W79" i="85"/>
  <c r="Y89" i="85"/>
  <c r="W96" i="85"/>
  <c r="AH34" i="85"/>
  <c r="AF34" i="85" s="1"/>
  <c r="AY34" i="85" s="1"/>
  <c r="AI33" i="85"/>
  <c r="AG33" i="85" s="1"/>
  <c r="AZ33" i="85" s="1"/>
  <c r="AN31" i="85"/>
  <c r="AR35" i="85"/>
  <c r="BE35" i="85" s="1"/>
  <c r="F78" i="85"/>
  <c r="AS32" i="85"/>
  <c r="AS33" i="85"/>
  <c r="BF33" i="85" s="1"/>
  <c r="AR33" i="85"/>
  <c r="BE33" i="85" s="1"/>
  <c r="AJ32" i="85"/>
  <c r="AR32" i="85"/>
  <c r="AS35" i="85"/>
  <c r="BF35" i="85" s="1"/>
  <c r="AK32" i="85"/>
  <c r="AP32" i="85"/>
  <c r="AP31" i="85" s="1"/>
  <c r="AH35" i="85"/>
  <c r="AF35" i="85" s="1"/>
  <c r="AY35" i="85" s="1"/>
  <c r="AI34" i="85"/>
  <c r="AG34" i="85" s="1"/>
  <c r="AZ34" i="85" s="1"/>
  <c r="AG41" i="85"/>
  <c r="F77" i="85"/>
  <c r="AR34" i="85"/>
  <c r="BE34" i="85" s="1"/>
  <c r="AQ32" i="85"/>
  <c r="AQ31" i="85" s="1"/>
  <c r="AS34" i="85"/>
  <c r="BF34" i="85" s="1"/>
  <c r="Y79" i="80"/>
  <c r="Y97" i="80"/>
  <c r="AI55" i="80" s="1"/>
  <c r="W79" i="80"/>
  <c r="Y98" i="80"/>
  <c r="W91" i="80"/>
  <c r="W98" i="80"/>
  <c r="Y82" i="80"/>
  <c r="AR55" i="80" s="1"/>
  <c r="BE55" i="80" s="1"/>
  <c r="W86" i="80"/>
  <c r="W82" i="80"/>
  <c r="W84" i="80"/>
  <c r="Y93" i="80"/>
  <c r="Y83" i="80"/>
  <c r="Y80" i="80"/>
  <c r="Y87" i="80"/>
  <c r="W88" i="80"/>
  <c r="W95" i="80"/>
  <c r="F82" i="80"/>
  <c r="W80" i="80"/>
  <c r="W87" i="80"/>
  <c r="Y90" i="80"/>
  <c r="W94" i="80"/>
  <c r="W83" i="80"/>
  <c r="W90" i="80"/>
  <c r="W97" i="80"/>
  <c r="Y100" i="80"/>
  <c r="AG48" i="80"/>
  <c r="AZ48" i="80" s="1"/>
  <c r="AS49" i="80"/>
  <c r="BF49" i="80" s="1"/>
  <c r="AG61" i="80"/>
  <c r="W89" i="80"/>
  <c r="Y92" i="80"/>
  <c r="AI54" i="80" s="1"/>
  <c r="AG54" i="80" s="1"/>
  <c r="AZ54" i="80" s="1"/>
  <c r="Y99" i="80"/>
  <c r="W100" i="80"/>
  <c r="BE50" i="80"/>
  <c r="W85" i="80"/>
  <c r="Y88" i="80"/>
  <c r="AH53" i="80" s="1"/>
  <c r="AF53" i="80" s="1"/>
  <c r="AY53" i="80" s="1"/>
  <c r="Y95" i="80"/>
  <c r="W96" i="80"/>
  <c r="AR54" i="80"/>
  <c r="BE54" i="80" s="1"/>
  <c r="W81" i="80"/>
  <c r="W92" i="80"/>
  <c r="W99" i="80"/>
  <c r="AR52" i="80"/>
  <c r="BE52" i="80" s="1"/>
  <c r="AH55" i="80"/>
  <c r="AF55" i="80" s="1"/>
  <c r="AY55" i="80" s="1"/>
  <c r="AF48" i="80"/>
  <c r="AY48" i="80" s="1"/>
  <c r="AG50" i="80"/>
  <c r="AZ50" i="80" s="1"/>
  <c r="AS52" i="80"/>
  <c r="BF52" i="80" s="1"/>
  <c r="AJ42" i="80"/>
  <c r="AK42" i="80"/>
  <c r="AF49" i="80"/>
  <c r="AY49" i="80" s="1"/>
  <c r="AN51" i="80"/>
  <c r="AS53" i="80"/>
  <c r="BF53" i="80" s="1"/>
  <c r="F77" i="80"/>
  <c r="AR53" i="80"/>
  <c r="BE53" i="80" s="1"/>
  <c r="AG49" i="80"/>
  <c r="AZ49" i="80" s="1"/>
  <c r="BE48" i="80"/>
  <c r="AS55" i="80"/>
  <c r="BF55" i="80" s="1"/>
  <c r="BE49" i="80"/>
  <c r="AH33" i="85" l="1"/>
  <c r="AF33" i="85" s="1"/>
  <c r="AY33" i="85" s="1"/>
  <c r="AI32" i="85"/>
  <c r="AG32" i="85" s="1"/>
  <c r="AI52" i="80"/>
  <c r="AG52" i="80" s="1"/>
  <c r="AZ52" i="80" s="1"/>
  <c r="AI53" i="80"/>
  <c r="AG53" i="80" s="1"/>
  <c r="AZ53" i="80" s="1"/>
  <c r="AZ43" i="80" s="1"/>
  <c r="BF32" i="85"/>
  <c r="BF31" i="85" s="1"/>
  <c r="AS42" i="80"/>
  <c r="AR44" i="80"/>
  <c r="BE47" i="80"/>
  <c r="BE42" i="80" s="1"/>
  <c r="AG47" i="80"/>
  <c r="AZ47" i="80" s="1"/>
  <c r="AZ46" i="80" s="1"/>
  <c r="BE32" i="85"/>
  <c r="BE31" i="85" s="1"/>
  <c r="AR31" i="85"/>
  <c r="AL31" i="85" s="1"/>
  <c r="AS31" i="85"/>
  <c r="AF47" i="80"/>
  <c r="BF47" i="80"/>
  <c r="AI45" i="80"/>
  <c r="AN41" i="80"/>
  <c r="BF51" i="80"/>
  <c r="BE45" i="80"/>
  <c r="BF44" i="80"/>
  <c r="AH45" i="80"/>
  <c r="BE44" i="80"/>
  <c r="AF43" i="80"/>
  <c r="AH43" i="80"/>
  <c r="AR51" i="80"/>
  <c r="AL51" i="80" s="1"/>
  <c r="AG55" i="80"/>
  <c r="AZ55" i="80" s="1"/>
  <c r="AZ45" i="80" s="1"/>
  <c r="AF44" i="80"/>
  <c r="AY43" i="80"/>
  <c r="AR42" i="80"/>
  <c r="AH44" i="80"/>
  <c r="AS51" i="80"/>
  <c r="AG44" i="80"/>
  <c r="AS46" i="80"/>
  <c r="AS44" i="80"/>
  <c r="AR45" i="80"/>
  <c r="AF50" i="80"/>
  <c r="AY50" i="80" s="1"/>
  <c r="AY45" i="80" s="1"/>
  <c r="AI44" i="80"/>
  <c r="BE43" i="80"/>
  <c r="AR46" i="80"/>
  <c r="AQ42" i="80"/>
  <c r="AQ41" i="80" s="1"/>
  <c r="AQ46" i="80"/>
  <c r="AP46" i="80"/>
  <c r="AP42" i="80"/>
  <c r="AP41" i="80" s="1"/>
  <c r="BF48" i="80"/>
  <c r="BF43" i="80" s="1"/>
  <c r="AS43" i="80"/>
  <c r="AR43" i="80"/>
  <c r="BF50" i="80"/>
  <c r="BF45" i="80" s="1"/>
  <c r="AS45" i="80"/>
  <c r="AY44" i="80"/>
  <c r="BE51" i="80"/>
  <c r="AZ44" i="80"/>
  <c r="BE46" i="80" l="1"/>
  <c r="BA46" i="80" s="1"/>
  <c r="AZ32" i="85"/>
  <c r="AZ31" i="85" s="1"/>
  <c r="AG31" i="85"/>
  <c r="AI42" i="80"/>
  <c r="AI43" i="80"/>
  <c r="AG43" i="80"/>
  <c r="AG46" i="80"/>
  <c r="AZ42" i="80"/>
  <c r="AZ41" i="80" s="1"/>
  <c r="AG42" i="80"/>
  <c r="AG45" i="80"/>
  <c r="AY47" i="80"/>
  <c r="AF46" i="80"/>
  <c r="BF46" i="80"/>
  <c r="BB46" i="80" s="1"/>
  <c r="BF42" i="80"/>
  <c r="AG51" i="80"/>
  <c r="AR41" i="80"/>
  <c r="AF45" i="80"/>
  <c r="AL46" i="80"/>
  <c r="AL41" i="80" s="1"/>
  <c r="AS41" i="80"/>
  <c r="AZ51" i="80"/>
  <c r="AG41" i="80" l="1"/>
  <c r="AY46" i="80"/>
  <c r="J1" i="79"/>
  <c r="I1" i="79"/>
  <c r="G5" i="79" l="1"/>
  <c r="F6" i="79"/>
  <c r="H537" i="71" l="1"/>
  <c r="G537" i="71"/>
  <c r="F537" i="71"/>
  <c r="H536" i="71"/>
  <c r="G536" i="71"/>
  <c r="F536" i="71"/>
  <c r="H535" i="71"/>
  <c r="G535" i="71"/>
  <c r="F535" i="71"/>
  <c r="H534" i="71"/>
  <c r="G534" i="71"/>
  <c r="F534" i="71"/>
  <c r="H533" i="71"/>
  <c r="G533" i="71"/>
  <c r="F533" i="71"/>
  <c r="H532" i="71"/>
  <c r="G532" i="71"/>
  <c r="F532" i="71"/>
  <c r="H531" i="71"/>
  <c r="G531" i="71"/>
  <c r="F531" i="71"/>
  <c r="H530" i="71"/>
  <c r="G530" i="71"/>
  <c r="F530" i="71"/>
  <c r="H529" i="71"/>
  <c r="G529" i="71"/>
  <c r="F529" i="71"/>
  <c r="H528" i="71"/>
  <c r="G528" i="71"/>
  <c r="F528" i="71"/>
  <c r="H527" i="71"/>
  <c r="G527" i="71"/>
  <c r="F527" i="71"/>
  <c r="H526" i="71"/>
  <c r="G526" i="71"/>
  <c r="F526" i="71"/>
  <c r="H525" i="71"/>
  <c r="G525" i="71"/>
  <c r="F525" i="71"/>
  <c r="H524" i="71"/>
  <c r="G524" i="71"/>
  <c r="F524" i="71"/>
  <c r="H523" i="71"/>
  <c r="G523" i="71"/>
  <c r="F523" i="71"/>
  <c r="H522" i="71"/>
  <c r="G522" i="71"/>
  <c r="F522" i="71"/>
  <c r="H521" i="71"/>
  <c r="G521" i="71"/>
  <c r="F521" i="71"/>
  <c r="H520" i="71"/>
  <c r="G520" i="71"/>
  <c r="F520" i="71"/>
  <c r="H519" i="71"/>
  <c r="G519" i="71"/>
  <c r="F519" i="71"/>
  <c r="H518" i="71"/>
  <c r="G518" i="71"/>
  <c r="F518" i="71"/>
  <c r="H517" i="71"/>
  <c r="G517" i="71"/>
  <c r="F517" i="71"/>
  <c r="H516" i="71"/>
  <c r="G516" i="71"/>
  <c r="F516" i="71"/>
  <c r="H515" i="71"/>
  <c r="G515" i="71"/>
  <c r="F515" i="71"/>
  <c r="H514" i="71"/>
  <c r="G514" i="71"/>
  <c r="F514" i="71"/>
  <c r="H513" i="71"/>
  <c r="G513" i="71"/>
  <c r="F513" i="71"/>
  <c r="H512" i="71"/>
  <c r="G512" i="71"/>
  <c r="F512" i="71"/>
  <c r="H511" i="71"/>
  <c r="G511" i="71"/>
  <c r="F511" i="71"/>
  <c r="H510" i="71"/>
  <c r="G510" i="71"/>
  <c r="F510" i="71"/>
  <c r="H509" i="71"/>
  <c r="G509" i="71"/>
  <c r="F509" i="71"/>
  <c r="H508" i="71"/>
  <c r="G508" i="71"/>
  <c r="F508" i="71"/>
  <c r="H507" i="71"/>
  <c r="G507" i="71"/>
  <c r="F507" i="71"/>
  <c r="H506" i="71"/>
  <c r="G506" i="71"/>
  <c r="F506" i="71"/>
  <c r="H505" i="71"/>
  <c r="G505" i="71"/>
  <c r="F505" i="71"/>
  <c r="H504" i="71"/>
  <c r="G504" i="71"/>
  <c r="F504" i="71"/>
  <c r="H503" i="71"/>
  <c r="G503" i="71"/>
  <c r="F503" i="71"/>
  <c r="H502" i="71"/>
  <c r="G502" i="71"/>
  <c r="F502" i="71"/>
  <c r="H501" i="71"/>
  <c r="G501" i="71"/>
  <c r="F501" i="71"/>
  <c r="H500" i="71"/>
  <c r="G500" i="71"/>
  <c r="F500" i="71"/>
  <c r="H499" i="71"/>
  <c r="G499" i="71"/>
  <c r="F499" i="71"/>
  <c r="H498" i="71"/>
  <c r="G498" i="71"/>
  <c r="F498" i="71"/>
  <c r="H497" i="71"/>
  <c r="G497" i="71"/>
  <c r="F497" i="71"/>
  <c r="H496" i="71"/>
  <c r="G496" i="71"/>
  <c r="F496" i="71"/>
  <c r="H495" i="71"/>
  <c r="G495" i="71"/>
  <c r="F495" i="71"/>
  <c r="H494" i="71"/>
  <c r="G494" i="71"/>
  <c r="F494" i="71"/>
  <c r="H493" i="71"/>
  <c r="G493" i="71"/>
  <c r="F493" i="71"/>
  <c r="H492" i="71"/>
  <c r="G492" i="71"/>
  <c r="F492" i="71"/>
  <c r="H491" i="71"/>
  <c r="G491" i="71"/>
  <c r="F491" i="71"/>
  <c r="H490" i="71"/>
  <c r="G490" i="71"/>
  <c r="F490" i="71"/>
  <c r="H489" i="71"/>
  <c r="G489" i="71"/>
  <c r="F489" i="71"/>
  <c r="H488" i="71"/>
  <c r="G488" i="71"/>
  <c r="F488" i="71"/>
  <c r="H487" i="71"/>
  <c r="G487" i="71"/>
  <c r="F487" i="71"/>
  <c r="H486" i="71"/>
  <c r="G486" i="71"/>
  <c r="F486" i="71"/>
  <c r="H485" i="71"/>
  <c r="G485" i="71"/>
  <c r="F485" i="71"/>
  <c r="H484" i="71"/>
  <c r="G484" i="71"/>
  <c r="F484" i="71"/>
  <c r="H483" i="71"/>
  <c r="G483" i="71"/>
  <c r="F483" i="71"/>
  <c r="H482" i="71"/>
  <c r="G482" i="71"/>
  <c r="F482" i="71"/>
  <c r="H481" i="71"/>
  <c r="G481" i="71"/>
  <c r="F481" i="71"/>
  <c r="H480" i="71"/>
  <c r="G480" i="71"/>
  <c r="F480" i="71"/>
  <c r="H479" i="71"/>
  <c r="G479" i="71"/>
  <c r="F479" i="71"/>
  <c r="H478" i="71"/>
  <c r="G478" i="71"/>
  <c r="F478" i="71"/>
  <c r="H477" i="71"/>
  <c r="G477" i="71"/>
  <c r="F477" i="71"/>
  <c r="H476" i="71"/>
  <c r="G476" i="71"/>
  <c r="F476" i="71"/>
  <c r="H475" i="71"/>
  <c r="G475" i="71"/>
  <c r="F475" i="71"/>
  <c r="H474" i="71"/>
  <c r="G474" i="71"/>
  <c r="F474" i="71"/>
  <c r="H473" i="71"/>
  <c r="G473" i="71"/>
  <c r="F473" i="71"/>
  <c r="H472" i="71"/>
  <c r="G472" i="71"/>
  <c r="F472" i="71"/>
  <c r="H471" i="71"/>
  <c r="G471" i="71"/>
  <c r="F471" i="71"/>
  <c r="H470" i="71"/>
  <c r="G470" i="71"/>
  <c r="F470" i="71"/>
  <c r="H469" i="71"/>
  <c r="G469" i="71"/>
  <c r="F469" i="71"/>
  <c r="H468" i="71"/>
  <c r="G468" i="71"/>
  <c r="F468" i="71"/>
  <c r="H467" i="71"/>
  <c r="G467" i="71"/>
  <c r="F467" i="71"/>
  <c r="H466" i="71"/>
  <c r="G466" i="71"/>
  <c r="F466" i="71"/>
  <c r="H465" i="71"/>
  <c r="G465" i="71"/>
  <c r="F465" i="71"/>
  <c r="H464" i="71"/>
  <c r="G464" i="71"/>
  <c r="F464" i="71"/>
  <c r="H463" i="71"/>
  <c r="G463" i="71"/>
  <c r="F463" i="71"/>
  <c r="H462" i="71"/>
  <c r="G462" i="71"/>
  <c r="F462" i="71"/>
  <c r="H461" i="71"/>
  <c r="G461" i="71"/>
  <c r="F461" i="71"/>
  <c r="H460" i="71"/>
  <c r="G460" i="71"/>
  <c r="F460" i="71"/>
  <c r="H459" i="71"/>
  <c r="G459" i="71"/>
  <c r="F459" i="71"/>
  <c r="H458" i="71"/>
  <c r="G458" i="71"/>
  <c r="F458" i="71"/>
  <c r="H457" i="71"/>
  <c r="G457" i="71"/>
  <c r="F457" i="71"/>
  <c r="H456" i="71"/>
  <c r="G456" i="71"/>
  <c r="F456" i="71"/>
  <c r="H455" i="71"/>
  <c r="G455" i="71"/>
  <c r="F455" i="71"/>
  <c r="H454" i="71"/>
  <c r="G454" i="71"/>
  <c r="F454" i="71"/>
  <c r="H453" i="71"/>
  <c r="G453" i="71"/>
  <c r="F453" i="71"/>
  <c r="H452" i="71"/>
  <c r="G452" i="71"/>
  <c r="F452" i="71"/>
  <c r="H451" i="71"/>
  <c r="G451" i="71"/>
  <c r="F451" i="71"/>
  <c r="H450" i="71"/>
  <c r="G450" i="71"/>
  <c r="F450" i="71"/>
  <c r="H449" i="71"/>
  <c r="G449" i="71"/>
  <c r="F449" i="71"/>
  <c r="H448" i="71"/>
  <c r="G448" i="71"/>
  <c r="F448" i="71"/>
  <c r="H447" i="71"/>
  <c r="G447" i="71"/>
  <c r="F447" i="71"/>
  <c r="H446" i="71"/>
  <c r="G446" i="71"/>
  <c r="F446" i="71"/>
  <c r="H445" i="71"/>
  <c r="G445" i="71"/>
  <c r="F445" i="71"/>
  <c r="H444" i="71"/>
  <c r="G444" i="71"/>
  <c r="F444" i="71"/>
  <c r="H443" i="71"/>
  <c r="G443" i="71"/>
  <c r="F443" i="71"/>
  <c r="H442" i="71"/>
  <c r="G442" i="71"/>
  <c r="F442" i="71"/>
  <c r="H441" i="71"/>
  <c r="G441" i="71"/>
  <c r="F441" i="71"/>
  <c r="H440" i="71"/>
  <c r="G440" i="71"/>
  <c r="F440" i="71"/>
  <c r="H439" i="71"/>
  <c r="G439" i="71"/>
  <c r="F439" i="71"/>
  <c r="H438" i="71"/>
  <c r="G438" i="71"/>
  <c r="F438" i="71"/>
  <c r="H437" i="71"/>
  <c r="G437" i="71"/>
  <c r="F437" i="71"/>
  <c r="H436" i="71"/>
  <c r="G436" i="71"/>
  <c r="F436" i="71"/>
  <c r="H435" i="71"/>
  <c r="G435" i="71"/>
  <c r="F435" i="71"/>
  <c r="H434" i="71"/>
  <c r="G434" i="71"/>
  <c r="F434" i="71"/>
  <c r="H433" i="71"/>
  <c r="G433" i="71"/>
  <c r="F433" i="71"/>
  <c r="H432" i="71"/>
  <c r="G432" i="71"/>
  <c r="F432" i="71"/>
  <c r="H431" i="71"/>
  <c r="G431" i="71"/>
  <c r="F431" i="71"/>
  <c r="H430" i="71"/>
  <c r="G430" i="71"/>
  <c r="F430" i="71"/>
  <c r="H429" i="71"/>
  <c r="G429" i="71"/>
  <c r="F429" i="71"/>
  <c r="H428" i="71"/>
  <c r="G428" i="71"/>
  <c r="F428" i="71"/>
  <c r="H427" i="71"/>
  <c r="G427" i="71"/>
  <c r="F427" i="71"/>
  <c r="H426" i="71"/>
  <c r="G426" i="71"/>
  <c r="F426" i="71"/>
  <c r="H425" i="71"/>
  <c r="G425" i="71"/>
  <c r="F425" i="71"/>
  <c r="H424" i="71"/>
  <c r="G424" i="71"/>
  <c r="F424" i="71"/>
  <c r="H423" i="71"/>
  <c r="G423" i="71"/>
  <c r="F423" i="71"/>
  <c r="H422" i="71"/>
  <c r="G422" i="71"/>
  <c r="F422" i="71"/>
  <c r="H421" i="71"/>
  <c r="G421" i="71"/>
  <c r="F421" i="71"/>
  <c r="H420" i="71"/>
  <c r="G420" i="71"/>
  <c r="F420" i="71"/>
  <c r="H419" i="71"/>
  <c r="G419" i="71"/>
  <c r="F419" i="71"/>
  <c r="H418" i="71"/>
  <c r="G418" i="71"/>
  <c r="F418" i="71"/>
  <c r="H417" i="71"/>
  <c r="G417" i="71"/>
  <c r="F417" i="71"/>
  <c r="H416" i="71"/>
  <c r="G416" i="71"/>
  <c r="F416" i="71"/>
  <c r="H415" i="71"/>
  <c r="G415" i="71"/>
  <c r="F415" i="71"/>
  <c r="H414" i="71"/>
  <c r="G414" i="71"/>
  <c r="F414" i="71"/>
  <c r="H413" i="71"/>
  <c r="G413" i="71"/>
  <c r="F413" i="71"/>
  <c r="H412" i="71"/>
  <c r="G412" i="71"/>
  <c r="F412" i="71"/>
  <c r="H411" i="71"/>
  <c r="G411" i="71"/>
  <c r="F411" i="71"/>
  <c r="H410" i="71"/>
  <c r="G410" i="71"/>
  <c r="F410" i="71"/>
  <c r="H409" i="71"/>
  <c r="G409" i="71"/>
  <c r="F409" i="71"/>
  <c r="H408" i="71"/>
  <c r="G408" i="71"/>
  <c r="F408" i="71"/>
  <c r="H407" i="71"/>
  <c r="G407" i="71"/>
  <c r="F407" i="71"/>
  <c r="H406" i="71"/>
  <c r="G406" i="71"/>
  <c r="F406" i="71"/>
  <c r="H405" i="71"/>
  <c r="G405" i="71"/>
  <c r="F405" i="71"/>
  <c r="H404" i="71"/>
  <c r="G404" i="71"/>
  <c r="F404" i="71"/>
  <c r="H403" i="71"/>
  <c r="G403" i="71"/>
  <c r="F403" i="71"/>
  <c r="H402" i="71"/>
  <c r="G402" i="71"/>
  <c r="F402" i="71"/>
  <c r="H401" i="71"/>
  <c r="G401" i="71"/>
  <c r="F401" i="71"/>
  <c r="H400" i="71"/>
  <c r="G400" i="71"/>
  <c r="F400" i="71"/>
  <c r="H399" i="71"/>
  <c r="G399" i="71"/>
  <c r="F399" i="71"/>
  <c r="H398" i="71"/>
  <c r="G398" i="71"/>
  <c r="F398" i="71"/>
  <c r="H397" i="71"/>
  <c r="G397" i="71"/>
  <c r="F397" i="71"/>
  <c r="H396" i="71"/>
  <c r="G396" i="71"/>
  <c r="F396" i="71"/>
  <c r="H395" i="71"/>
  <c r="G395" i="71"/>
  <c r="F395" i="71"/>
  <c r="H394" i="71"/>
  <c r="G394" i="71"/>
  <c r="F394" i="71"/>
  <c r="H393" i="71"/>
  <c r="G393" i="71"/>
  <c r="F393" i="71"/>
  <c r="H392" i="71"/>
  <c r="G392" i="71"/>
  <c r="F392" i="71"/>
  <c r="H391" i="71"/>
  <c r="G391" i="71"/>
  <c r="F391" i="71"/>
  <c r="H390" i="71"/>
  <c r="G390" i="71"/>
  <c r="F390" i="71"/>
  <c r="H389" i="71"/>
  <c r="G389" i="71"/>
  <c r="F389" i="71"/>
  <c r="H388" i="71"/>
  <c r="G388" i="71"/>
  <c r="F388" i="71"/>
  <c r="H387" i="71"/>
  <c r="G387" i="71"/>
  <c r="F387" i="71"/>
  <c r="H386" i="71"/>
  <c r="G386" i="71"/>
  <c r="F386" i="71"/>
  <c r="H385" i="71"/>
  <c r="G385" i="71"/>
  <c r="F385" i="71"/>
  <c r="H384" i="71"/>
  <c r="G384" i="71"/>
  <c r="F384" i="71"/>
  <c r="H383" i="71"/>
  <c r="G383" i="71"/>
  <c r="F383" i="71"/>
  <c r="H382" i="71"/>
  <c r="G382" i="71"/>
  <c r="F382" i="71"/>
  <c r="H381" i="71"/>
  <c r="G381" i="71"/>
  <c r="F381" i="71"/>
  <c r="H380" i="71"/>
  <c r="G380" i="71"/>
  <c r="F380" i="71"/>
  <c r="H379" i="71"/>
  <c r="G379" i="71"/>
  <c r="F379" i="71"/>
  <c r="H378" i="71"/>
  <c r="G378" i="71"/>
  <c r="F378" i="71"/>
  <c r="H377" i="71"/>
  <c r="G377" i="71"/>
  <c r="F377" i="71"/>
  <c r="H376" i="71"/>
  <c r="G376" i="71"/>
  <c r="F376" i="71"/>
  <c r="H375" i="71"/>
  <c r="G375" i="71"/>
  <c r="F375" i="71"/>
  <c r="H374" i="71"/>
  <c r="G374" i="71"/>
  <c r="F374" i="71"/>
  <c r="H373" i="71"/>
  <c r="G373" i="71"/>
  <c r="F373" i="71"/>
  <c r="H372" i="71"/>
  <c r="G372" i="71"/>
  <c r="F372" i="71"/>
  <c r="H371" i="71"/>
  <c r="G371" i="71"/>
  <c r="F371" i="71"/>
  <c r="H370" i="71"/>
  <c r="G370" i="71"/>
  <c r="F370" i="71"/>
  <c r="H369" i="71"/>
  <c r="G369" i="71"/>
  <c r="F369" i="71"/>
  <c r="H368" i="71"/>
  <c r="G368" i="71"/>
  <c r="F368" i="71"/>
  <c r="H367" i="71"/>
  <c r="G367" i="71"/>
  <c r="F367" i="71"/>
  <c r="H366" i="71"/>
  <c r="G366" i="71"/>
  <c r="F366" i="71"/>
  <c r="H365" i="71"/>
  <c r="G365" i="71"/>
  <c r="F365" i="71"/>
  <c r="H364" i="71"/>
  <c r="G364" i="71"/>
  <c r="F364" i="71"/>
  <c r="H363" i="71"/>
  <c r="G363" i="71"/>
  <c r="F363" i="71"/>
  <c r="H362" i="71"/>
  <c r="G362" i="71"/>
  <c r="F362" i="71"/>
  <c r="H361" i="71"/>
  <c r="G361" i="71"/>
  <c r="F361" i="71"/>
  <c r="H360" i="71"/>
  <c r="G360" i="71"/>
  <c r="F360" i="71"/>
  <c r="H359" i="71"/>
  <c r="G359" i="71"/>
  <c r="F359" i="71"/>
  <c r="H358" i="71"/>
  <c r="G358" i="71"/>
  <c r="F358" i="71"/>
  <c r="H357" i="71"/>
  <c r="G357" i="71"/>
  <c r="F357" i="71"/>
  <c r="H356" i="71"/>
  <c r="G356" i="71"/>
  <c r="F356" i="71"/>
  <c r="H355" i="71"/>
  <c r="G355" i="71"/>
  <c r="F355" i="71"/>
  <c r="H354" i="71"/>
  <c r="G354" i="71"/>
  <c r="F354" i="71"/>
  <c r="H353" i="71"/>
  <c r="G353" i="71"/>
  <c r="F353" i="71"/>
  <c r="H352" i="71"/>
  <c r="G352" i="71"/>
  <c r="F352" i="71"/>
  <c r="H351" i="71"/>
  <c r="G351" i="71"/>
  <c r="F351" i="71"/>
  <c r="H350" i="71"/>
  <c r="G350" i="71"/>
  <c r="F350" i="71"/>
  <c r="H349" i="71"/>
  <c r="G349" i="71"/>
  <c r="F349" i="71"/>
  <c r="H348" i="71"/>
  <c r="G348" i="71"/>
  <c r="F348" i="71"/>
  <c r="H347" i="71"/>
  <c r="G347" i="71"/>
  <c r="F347" i="71"/>
  <c r="H346" i="71"/>
  <c r="G346" i="71"/>
  <c r="F346" i="71"/>
  <c r="H345" i="71"/>
  <c r="G345" i="71"/>
  <c r="F345" i="71"/>
  <c r="H344" i="71"/>
  <c r="G344" i="71"/>
  <c r="F344" i="71"/>
  <c r="H343" i="71"/>
  <c r="G343" i="71"/>
  <c r="F343" i="71"/>
  <c r="H342" i="71"/>
  <c r="G342" i="71"/>
  <c r="F342" i="71"/>
  <c r="H341" i="71"/>
  <c r="G341" i="71"/>
  <c r="F341" i="71"/>
  <c r="H340" i="71"/>
  <c r="G340" i="71"/>
  <c r="F340" i="71"/>
  <c r="H339" i="71"/>
  <c r="G339" i="71"/>
  <c r="F339" i="71"/>
  <c r="H338" i="71"/>
  <c r="G338" i="71"/>
  <c r="F338" i="71"/>
  <c r="H337" i="71"/>
  <c r="G337" i="71"/>
  <c r="F337" i="71"/>
  <c r="H336" i="71"/>
  <c r="G336" i="71"/>
  <c r="F336" i="71"/>
  <c r="H335" i="71"/>
  <c r="G335" i="71"/>
  <c r="F335" i="71"/>
  <c r="H334" i="71"/>
  <c r="G334" i="71"/>
  <c r="F334" i="71"/>
  <c r="H333" i="71"/>
  <c r="G333" i="71"/>
  <c r="F333" i="71"/>
  <c r="H332" i="71"/>
  <c r="G332" i="71"/>
  <c r="F332" i="71"/>
  <c r="H331" i="71"/>
  <c r="G331" i="71"/>
  <c r="F331" i="71"/>
  <c r="H330" i="71"/>
  <c r="G330" i="71"/>
  <c r="F330" i="71"/>
  <c r="H329" i="71"/>
  <c r="G329" i="71"/>
  <c r="F329" i="71"/>
  <c r="H328" i="71"/>
  <c r="G328" i="71"/>
  <c r="F328" i="71"/>
  <c r="H327" i="71"/>
  <c r="G327" i="71"/>
  <c r="F327" i="71"/>
  <c r="H326" i="71"/>
  <c r="G326" i="71"/>
  <c r="F326" i="71"/>
  <c r="H325" i="71"/>
  <c r="G325" i="71"/>
  <c r="F325" i="71"/>
  <c r="H324" i="71"/>
  <c r="G324" i="71"/>
  <c r="F324" i="71"/>
  <c r="H323" i="71"/>
  <c r="G323" i="71"/>
  <c r="F323" i="71"/>
  <c r="H322" i="71"/>
  <c r="G322" i="71"/>
  <c r="F322" i="71"/>
  <c r="H321" i="71"/>
  <c r="G321" i="71"/>
  <c r="F321" i="71"/>
  <c r="H320" i="71"/>
  <c r="G320" i="71"/>
  <c r="F320" i="71"/>
  <c r="H319" i="71"/>
  <c r="G319" i="71"/>
  <c r="F319" i="71"/>
  <c r="H318" i="71"/>
  <c r="G318" i="71"/>
  <c r="F318" i="71"/>
  <c r="H317" i="71"/>
  <c r="G317" i="71"/>
  <c r="F317" i="71"/>
  <c r="H316" i="71"/>
  <c r="G316" i="71"/>
  <c r="F316" i="71"/>
  <c r="H315" i="71"/>
  <c r="G315" i="71"/>
  <c r="F315" i="71"/>
  <c r="H314" i="71"/>
  <c r="G314" i="71"/>
  <c r="F314" i="71"/>
  <c r="H313" i="71"/>
  <c r="G313" i="71"/>
  <c r="F313" i="71"/>
  <c r="H312" i="71"/>
  <c r="G312" i="71"/>
  <c r="F312" i="71"/>
  <c r="H311" i="71"/>
  <c r="G311" i="71"/>
  <c r="F311" i="71"/>
  <c r="H310" i="71"/>
  <c r="G310" i="71"/>
  <c r="F310" i="71"/>
  <c r="H309" i="71"/>
  <c r="G309" i="71"/>
  <c r="F309" i="71"/>
  <c r="H308" i="71"/>
  <c r="G308" i="71"/>
  <c r="F308" i="71"/>
  <c r="H307" i="71"/>
  <c r="G307" i="71"/>
  <c r="F307" i="71"/>
  <c r="H306" i="71"/>
  <c r="G306" i="71"/>
  <c r="F306" i="71"/>
  <c r="H305" i="71"/>
  <c r="G305" i="71"/>
  <c r="F305" i="71"/>
  <c r="H304" i="71"/>
  <c r="G304" i="71"/>
  <c r="F304" i="71"/>
  <c r="H303" i="71"/>
  <c r="G303" i="71"/>
  <c r="F303" i="71"/>
  <c r="H302" i="71"/>
  <c r="G302" i="71"/>
  <c r="F302" i="71"/>
  <c r="H301" i="71"/>
  <c r="G301" i="71"/>
  <c r="F301" i="71"/>
  <c r="H300" i="71"/>
  <c r="G300" i="71"/>
  <c r="F300" i="71"/>
  <c r="H299" i="71"/>
  <c r="G299" i="71"/>
  <c r="F299" i="71"/>
  <c r="H298" i="71"/>
  <c r="G298" i="71"/>
  <c r="F298" i="71"/>
  <c r="H297" i="71"/>
  <c r="G297" i="71"/>
  <c r="F297" i="71"/>
  <c r="H296" i="71"/>
  <c r="G296" i="71"/>
  <c r="F296" i="71"/>
  <c r="H295" i="71"/>
  <c r="G295" i="71"/>
  <c r="F295" i="71"/>
  <c r="H294" i="71"/>
  <c r="G294" i="71"/>
  <c r="F294" i="71"/>
  <c r="H293" i="71"/>
  <c r="G293" i="71"/>
  <c r="F293" i="71"/>
  <c r="H292" i="71"/>
  <c r="G292" i="71"/>
  <c r="F292" i="71"/>
  <c r="H291" i="71"/>
  <c r="G291" i="71"/>
  <c r="F291" i="71"/>
  <c r="H290" i="71"/>
  <c r="G290" i="71"/>
  <c r="F290" i="71"/>
  <c r="H289" i="71"/>
  <c r="G289" i="71"/>
  <c r="F289" i="71"/>
  <c r="H288" i="71"/>
  <c r="G288" i="71"/>
  <c r="F288" i="71"/>
  <c r="H287" i="71"/>
  <c r="G287" i="71"/>
  <c r="F287" i="71"/>
  <c r="H286" i="71"/>
  <c r="G286" i="71"/>
  <c r="F286" i="71"/>
  <c r="H285" i="71"/>
  <c r="G285" i="71"/>
  <c r="F285" i="71"/>
  <c r="H284" i="71"/>
  <c r="G284" i="71"/>
  <c r="F284" i="71"/>
  <c r="H283" i="71"/>
  <c r="G283" i="71"/>
  <c r="F283" i="71"/>
  <c r="H282" i="71"/>
  <c r="G282" i="71"/>
  <c r="F282" i="71"/>
  <c r="H281" i="71"/>
  <c r="G281" i="71"/>
  <c r="F281" i="71"/>
  <c r="H280" i="71"/>
  <c r="G280" i="71"/>
  <c r="F280" i="71"/>
  <c r="H279" i="71"/>
  <c r="G279" i="71"/>
  <c r="F279" i="71"/>
  <c r="H278" i="71"/>
  <c r="G278" i="71"/>
  <c r="F278" i="71"/>
  <c r="H277" i="71"/>
  <c r="G277" i="71"/>
  <c r="F277" i="71"/>
  <c r="H276" i="71"/>
  <c r="G276" i="71"/>
  <c r="F276" i="71"/>
  <c r="H275" i="71"/>
  <c r="G275" i="71"/>
  <c r="F275" i="71"/>
  <c r="H274" i="71"/>
  <c r="G274" i="71"/>
  <c r="F274" i="71"/>
  <c r="H273" i="71"/>
  <c r="G273" i="71"/>
  <c r="F273" i="71"/>
  <c r="H272" i="71"/>
  <c r="G272" i="71"/>
  <c r="F272" i="71"/>
  <c r="H271" i="71"/>
  <c r="G271" i="71"/>
  <c r="F271" i="71"/>
  <c r="H270" i="71"/>
  <c r="G270" i="71"/>
  <c r="F270" i="71"/>
  <c r="H269" i="71"/>
  <c r="G269" i="71"/>
  <c r="F269" i="71"/>
  <c r="H268" i="71"/>
  <c r="G268" i="71"/>
  <c r="F268" i="71"/>
  <c r="H267" i="71"/>
  <c r="G267" i="71"/>
  <c r="F267" i="71"/>
  <c r="H266" i="71"/>
  <c r="G266" i="71"/>
  <c r="F266" i="71"/>
  <c r="H265" i="71"/>
  <c r="G265" i="71"/>
  <c r="F265" i="71"/>
  <c r="H264" i="71"/>
  <c r="G264" i="71"/>
  <c r="F264" i="71"/>
  <c r="H263" i="71"/>
  <c r="G263" i="71"/>
  <c r="F263" i="71"/>
  <c r="H262" i="71"/>
  <c r="G262" i="71"/>
  <c r="F262" i="71"/>
  <c r="H261" i="71"/>
  <c r="G261" i="71"/>
  <c r="F261" i="71"/>
  <c r="H260" i="71"/>
  <c r="G260" i="71"/>
  <c r="F260" i="71"/>
  <c r="H259" i="71"/>
  <c r="G259" i="71"/>
  <c r="F259" i="71"/>
  <c r="H258" i="71"/>
  <c r="G258" i="71"/>
  <c r="F258" i="71"/>
  <c r="H257" i="71"/>
  <c r="G257" i="71"/>
  <c r="F257" i="71"/>
  <c r="H256" i="71"/>
  <c r="G256" i="71"/>
  <c r="F256" i="71"/>
  <c r="H255" i="71"/>
  <c r="G255" i="71"/>
  <c r="F255" i="71"/>
  <c r="H254" i="71"/>
  <c r="G254" i="71"/>
  <c r="F254" i="71"/>
  <c r="H253" i="71"/>
  <c r="G253" i="71"/>
  <c r="F253" i="71"/>
  <c r="H252" i="71"/>
  <c r="G252" i="71"/>
  <c r="F252" i="71"/>
  <c r="H251" i="71"/>
  <c r="G251" i="71"/>
  <c r="F251" i="71"/>
  <c r="H250" i="71"/>
  <c r="G250" i="71"/>
  <c r="F250" i="71"/>
  <c r="H249" i="71"/>
  <c r="G249" i="71"/>
  <c r="F249" i="71"/>
  <c r="H248" i="71"/>
  <c r="G248" i="71"/>
  <c r="F248" i="71"/>
  <c r="H247" i="71"/>
  <c r="G247" i="71"/>
  <c r="F247" i="71"/>
  <c r="H246" i="71"/>
  <c r="G246" i="71"/>
  <c r="F246" i="71"/>
  <c r="H245" i="71"/>
  <c r="G245" i="71"/>
  <c r="F245" i="71"/>
  <c r="H244" i="71"/>
  <c r="G244" i="71"/>
  <c r="F244" i="71"/>
  <c r="H243" i="71"/>
  <c r="G243" i="71"/>
  <c r="F243" i="71"/>
  <c r="H242" i="71"/>
  <c r="G242" i="71"/>
  <c r="F242" i="71"/>
  <c r="H241" i="71"/>
  <c r="G241" i="71"/>
  <c r="F241" i="71"/>
  <c r="H240" i="71"/>
  <c r="G240" i="71"/>
  <c r="F240" i="71"/>
  <c r="H239" i="71"/>
  <c r="G239" i="71"/>
  <c r="F239" i="71"/>
  <c r="H238" i="71"/>
  <c r="G238" i="71"/>
  <c r="F238" i="71"/>
  <c r="H237" i="71"/>
  <c r="G237" i="71"/>
  <c r="F237" i="71"/>
  <c r="H236" i="71"/>
  <c r="G236" i="71"/>
  <c r="F236" i="71"/>
  <c r="H235" i="71"/>
  <c r="G235" i="71"/>
  <c r="F235" i="71"/>
  <c r="H234" i="71"/>
  <c r="G234" i="71"/>
  <c r="F234" i="71"/>
  <c r="H233" i="71"/>
  <c r="G233" i="71"/>
  <c r="F233" i="71"/>
  <c r="H232" i="71"/>
  <c r="G232" i="71"/>
  <c r="F232" i="71"/>
  <c r="H231" i="71"/>
  <c r="G231" i="71"/>
  <c r="F231" i="71"/>
  <c r="H230" i="71"/>
  <c r="G230" i="71"/>
  <c r="F230" i="71"/>
  <c r="H229" i="71"/>
  <c r="G229" i="71"/>
  <c r="F229" i="71"/>
  <c r="H228" i="71"/>
  <c r="G228" i="71"/>
  <c r="F228" i="71"/>
  <c r="H227" i="71"/>
  <c r="G227" i="71"/>
  <c r="F227" i="71"/>
  <c r="H226" i="71"/>
  <c r="G226" i="71"/>
  <c r="F226" i="71"/>
  <c r="H225" i="71"/>
  <c r="G225" i="71"/>
  <c r="F225" i="71"/>
  <c r="H224" i="71"/>
  <c r="G224" i="71"/>
  <c r="F224" i="71"/>
  <c r="H223" i="71"/>
  <c r="G223" i="71"/>
  <c r="F223" i="71"/>
  <c r="H222" i="71"/>
  <c r="G222" i="71"/>
  <c r="F222" i="71"/>
  <c r="H221" i="71"/>
  <c r="G221" i="71"/>
  <c r="F221" i="71"/>
  <c r="H220" i="71"/>
  <c r="G220" i="71"/>
  <c r="F220" i="71"/>
  <c r="H219" i="71"/>
  <c r="G219" i="71"/>
  <c r="F219" i="71"/>
  <c r="H218" i="71"/>
  <c r="G218" i="71"/>
  <c r="F218" i="71"/>
  <c r="H217" i="71"/>
  <c r="G217" i="71"/>
  <c r="F217" i="71"/>
  <c r="H216" i="71"/>
  <c r="G216" i="71"/>
  <c r="F216" i="71"/>
  <c r="H215" i="71"/>
  <c r="G215" i="71"/>
  <c r="F215" i="71"/>
  <c r="H214" i="71"/>
  <c r="G214" i="71"/>
  <c r="F214" i="71"/>
  <c r="H213" i="71"/>
  <c r="G213" i="71"/>
  <c r="F213" i="71"/>
  <c r="H212" i="71"/>
  <c r="G212" i="71"/>
  <c r="F212" i="71"/>
  <c r="H211" i="71"/>
  <c r="G211" i="71"/>
  <c r="F211" i="71"/>
  <c r="H210" i="71"/>
  <c r="G210" i="71"/>
  <c r="F210" i="71"/>
  <c r="H209" i="71"/>
  <c r="G209" i="71"/>
  <c r="F209" i="71"/>
  <c r="H208" i="71"/>
  <c r="G208" i="71"/>
  <c r="F208" i="71"/>
  <c r="H207" i="71"/>
  <c r="G207" i="71"/>
  <c r="F207" i="71"/>
  <c r="H206" i="71"/>
  <c r="G206" i="71"/>
  <c r="F206" i="71"/>
  <c r="H205" i="71"/>
  <c r="G205" i="71"/>
  <c r="F205" i="71"/>
  <c r="H204" i="71"/>
  <c r="G204" i="71"/>
  <c r="F204" i="71"/>
  <c r="H203" i="71"/>
  <c r="G203" i="71"/>
  <c r="F203" i="71"/>
  <c r="H202" i="71"/>
  <c r="G202" i="71"/>
  <c r="F202" i="71"/>
  <c r="H201" i="71"/>
  <c r="G201" i="71"/>
  <c r="F201" i="71"/>
  <c r="H200" i="71"/>
  <c r="G200" i="71"/>
  <c r="F200" i="71"/>
  <c r="H199" i="71"/>
  <c r="G199" i="71"/>
  <c r="F199" i="71"/>
  <c r="H198" i="71"/>
  <c r="G198" i="71"/>
  <c r="F198" i="71"/>
  <c r="H197" i="71"/>
  <c r="G197" i="71"/>
  <c r="F197" i="71"/>
  <c r="H196" i="71"/>
  <c r="G196" i="71"/>
  <c r="F196" i="71"/>
  <c r="H195" i="71"/>
  <c r="G195" i="71"/>
  <c r="F195" i="71"/>
  <c r="H194" i="71"/>
  <c r="G194" i="71"/>
  <c r="F194" i="71"/>
  <c r="H193" i="71"/>
  <c r="G193" i="71"/>
  <c r="F193" i="71"/>
  <c r="H192" i="71"/>
  <c r="G192" i="71"/>
  <c r="F192" i="71"/>
  <c r="H191" i="71"/>
  <c r="G191" i="71"/>
  <c r="F191" i="71"/>
  <c r="H190" i="71"/>
  <c r="G190" i="71"/>
  <c r="F190" i="71"/>
  <c r="H189" i="71"/>
  <c r="G189" i="71"/>
  <c r="F189" i="71"/>
  <c r="H188" i="71"/>
  <c r="G188" i="71"/>
  <c r="F188" i="71"/>
  <c r="H187" i="71"/>
  <c r="G187" i="71"/>
  <c r="F187" i="71"/>
  <c r="H186" i="71"/>
  <c r="G186" i="71"/>
  <c r="F186" i="71"/>
  <c r="H185" i="71"/>
  <c r="G185" i="71"/>
  <c r="F185" i="71"/>
  <c r="H184" i="71"/>
  <c r="G184" i="71"/>
  <c r="F184" i="71"/>
  <c r="H183" i="71"/>
  <c r="G183" i="71"/>
  <c r="F183" i="71"/>
  <c r="H182" i="71"/>
  <c r="G182" i="71"/>
  <c r="F182" i="71"/>
  <c r="H181" i="71"/>
  <c r="G181" i="71"/>
  <c r="F181" i="71"/>
  <c r="H180" i="71"/>
  <c r="G180" i="71"/>
  <c r="F180" i="71"/>
  <c r="H179" i="71"/>
  <c r="G179" i="71"/>
  <c r="F179" i="71"/>
  <c r="H178" i="71"/>
  <c r="G178" i="71"/>
  <c r="F178" i="71"/>
  <c r="H177" i="71"/>
  <c r="G177" i="71"/>
  <c r="F177" i="71"/>
  <c r="H176" i="71"/>
  <c r="G176" i="71"/>
  <c r="F176" i="71"/>
  <c r="H175" i="71"/>
  <c r="G175" i="71"/>
  <c r="F175" i="71"/>
  <c r="H174" i="71"/>
  <c r="G174" i="71"/>
  <c r="F174" i="71"/>
  <c r="H173" i="71"/>
  <c r="G173" i="71"/>
  <c r="F173" i="71"/>
  <c r="H172" i="71"/>
  <c r="G172" i="71"/>
  <c r="F172" i="71"/>
  <c r="H171" i="71"/>
  <c r="G171" i="71"/>
  <c r="F171" i="71"/>
  <c r="H170" i="71"/>
  <c r="G170" i="71"/>
  <c r="F170" i="71"/>
  <c r="H169" i="71"/>
  <c r="G169" i="71"/>
  <c r="F169" i="71"/>
  <c r="H168" i="71"/>
  <c r="G168" i="71"/>
  <c r="F168" i="71"/>
  <c r="H167" i="71"/>
  <c r="G167" i="71"/>
  <c r="F167" i="71"/>
  <c r="H166" i="71"/>
  <c r="G166" i="71"/>
  <c r="F166" i="71"/>
  <c r="H165" i="71"/>
  <c r="G165" i="71"/>
  <c r="F165" i="71"/>
  <c r="H164" i="71"/>
  <c r="G164" i="71"/>
  <c r="F164" i="71"/>
  <c r="H163" i="71"/>
  <c r="G163" i="71"/>
  <c r="F163" i="71"/>
  <c r="H162" i="71"/>
  <c r="G162" i="71"/>
  <c r="F162" i="71"/>
  <c r="H161" i="71"/>
  <c r="G161" i="71"/>
  <c r="F161" i="71"/>
  <c r="H160" i="71"/>
  <c r="G160" i="71"/>
  <c r="F160" i="71"/>
  <c r="H159" i="71"/>
  <c r="G159" i="71"/>
  <c r="F159" i="71"/>
  <c r="H158" i="71"/>
  <c r="G158" i="71"/>
  <c r="F158" i="71"/>
  <c r="H157" i="71"/>
  <c r="G157" i="71"/>
  <c r="F157" i="71"/>
  <c r="H156" i="71"/>
  <c r="G156" i="71"/>
  <c r="F156" i="71"/>
  <c r="H155" i="71"/>
  <c r="G155" i="71"/>
  <c r="F155" i="71"/>
  <c r="H154" i="71"/>
  <c r="G154" i="71"/>
  <c r="F154" i="71"/>
  <c r="H153" i="71"/>
  <c r="G153" i="71"/>
  <c r="F153" i="71"/>
  <c r="H152" i="71"/>
  <c r="G152" i="71"/>
  <c r="F152" i="71"/>
  <c r="H151" i="71"/>
  <c r="G151" i="71"/>
  <c r="F151" i="71"/>
  <c r="H150" i="71"/>
  <c r="G150" i="71"/>
  <c r="F150" i="71"/>
  <c r="H149" i="71"/>
  <c r="G149" i="71"/>
  <c r="F149" i="71"/>
  <c r="H148" i="71"/>
  <c r="G148" i="71"/>
  <c r="F148" i="71"/>
  <c r="H147" i="71"/>
  <c r="G147" i="71"/>
  <c r="F147" i="71"/>
  <c r="H146" i="71"/>
  <c r="G146" i="71"/>
  <c r="F146" i="71"/>
  <c r="H145" i="71"/>
  <c r="G145" i="71"/>
  <c r="F145" i="71"/>
  <c r="H144" i="71"/>
  <c r="G144" i="71"/>
  <c r="F144" i="71"/>
  <c r="H143" i="71"/>
  <c r="G143" i="71"/>
  <c r="F143" i="71"/>
  <c r="H142" i="71"/>
  <c r="G142" i="71"/>
  <c r="F142" i="71"/>
  <c r="H141" i="71"/>
  <c r="G141" i="71"/>
  <c r="F141" i="71"/>
  <c r="H140" i="71"/>
  <c r="G140" i="71"/>
  <c r="F140" i="71"/>
  <c r="H139" i="71"/>
  <c r="G139" i="71"/>
  <c r="F139" i="71"/>
  <c r="H138" i="71"/>
  <c r="G138" i="71"/>
  <c r="F138" i="71"/>
  <c r="H137" i="71"/>
  <c r="G137" i="71"/>
  <c r="F137" i="71"/>
  <c r="H136" i="71"/>
  <c r="G136" i="71"/>
  <c r="F136" i="71"/>
  <c r="H135" i="71"/>
  <c r="G135" i="71"/>
  <c r="F135" i="71"/>
  <c r="H134" i="71"/>
  <c r="G134" i="71"/>
  <c r="F134" i="71"/>
  <c r="H133" i="71"/>
  <c r="G133" i="71"/>
  <c r="F133" i="71"/>
  <c r="H132" i="71"/>
  <c r="G132" i="71"/>
  <c r="F132" i="71"/>
  <c r="H131" i="71"/>
  <c r="G131" i="71"/>
  <c r="F131" i="71"/>
  <c r="H130" i="71"/>
  <c r="G130" i="71"/>
  <c r="F130" i="71"/>
  <c r="H129" i="71"/>
  <c r="G129" i="71"/>
  <c r="F129" i="71"/>
  <c r="H128" i="71"/>
  <c r="G128" i="71"/>
  <c r="F128" i="71"/>
  <c r="H127" i="71"/>
  <c r="G127" i="71"/>
  <c r="F127" i="71"/>
  <c r="H126" i="71"/>
  <c r="G126" i="71"/>
  <c r="F126" i="71"/>
  <c r="H125" i="71"/>
  <c r="G125" i="71"/>
  <c r="F125" i="71"/>
  <c r="H124" i="71"/>
  <c r="G124" i="71"/>
  <c r="F124" i="71"/>
  <c r="H123" i="71"/>
  <c r="G123" i="71"/>
  <c r="F123" i="71"/>
  <c r="H122" i="71"/>
  <c r="G122" i="71"/>
  <c r="F122" i="71"/>
  <c r="H121" i="71"/>
  <c r="G121" i="71"/>
  <c r="F121" i="71"/>
  <c r="H120" i="71"/>
  <c r="G120" i="71"/>
  <c r="F120" i="71"/>
  <c r="H119" i="71"/>
  <c r="G119" i="71"/>
  <c r="F119" i="71"/>
  <c r="H118" i="71"/>
  <c r="G118" i="71"/>
  <c r="F118" i="71"/>
  <c r="H117" i="71"/>
  <c r="G117" i="71"/>
  <c r="F117" i="71"/>
  <c r="H116" i="71"/>
  <c r="G116" i="71"/>
  <c r="F116" i="71"/>
  <c r="H115" i="71"/>
  <c r="G115" i="71"/>
  <c r="F115" i="71"/>
  <c r="H114" i="71"/>
  <c r="G114" i="71"/>
  <c r="F114" i="71"/>
  <c r="H113" i="71"/>
  <c r="G113" i="71"/>
  <c r="F113" i="71"/>
  <c r="H112" i="71"/>
  <c r="G112" i="71"/>
  <c r="F112" i="71"/>
  <c r="H111" i="71"/>
  <c r="G111" i="71"/>
  <c r="F111" i="71"/>
  <c r="H110" i="71"/>
  <c r="G110" i="71"/>
  <c r="F110" i="71"/>
  <c r="H109" i="71"/>
  <c r="G109" i="71"/>
  <c r="F109" i="71"/>
  <c r="H108" i="71"/>
  <c r="G108" i="71"/>
  <c r="F108" i="71"/>
  <c r="H107" i="71"/>
  <c r="G107" i="71"/>
  <c r="F107" i="71"/>
  <c r="H106" i="71"/>
  <c r="G106" i="71"/>
  <c r="F106" i="71"/>
  <c r="H105" i="71"/>
  <c r="G105" i="71"/>
  <c r="F105" i="71"/>
  <c r="H104" i="71"/>
  <c r="G104" i="71"/>
  <c r="F104" i="71"/>
  <c r="H103" i="71"/>
  <c r="G103" i="71"/>
  <c r="F103" i="71"/>
  <c r="H102" i="71"/>
  <c r="G102" i="71"/>
  <c r="F102" i="71"/>
  <c r="H101" i="71"/>
  <c r="G101" i="71"/>
  <c r="F101" i="71"/>
  <c r="H100" i="71"/>
  <c r="G100" i="71"/>
  <c r="F100" i="71"/>
  <c r="H99" i="71"/>
  <c r="G99" i="71"/>
  <c r="F99" i="71"/>
  <c r="H98" i="71"/>
  <c r="G98" i="71"/>
  <c r="F98" i="71"/>
  <c r="H97" i="71"/>
  <c r="G97" i="71"/>
  <c r="F97" i="71"/>
  <c r="H96" i="71"/>
  <c r="G96" i="71"/>
  <c r="F96" i="71"/>
  <c r="H95" i="71"/>
  <c r="G95" i="71"/>
  <c r="F95" i="71"/>
  <c r="H94" i="71"/>
  <c r="G94" i="71"/>
  <c r="F94" i="71"/>
  <c r="H93" i="71"/>
  <c r="G93" i="71"/>
  <c r="F93" i="71"/>
  <c r="H92" i="71"/>
  <c r="G92" i="71"/>
  <c r="F92" i="71"/>
  <c r="H91" i="71"/>
  <c r="G91" i="71"/>
  <c r="F91" i="71"/>
  <c r="H90" i="71"/>
  <c r="G90" i="71"/>
  <c r="F90" i="71"/>
  <c r="H89" i="71"/>
  <c r="G89" i="71"/>
  <c r="F89" i="71"/>
  <c r="H88" i="71"/>
  <c r="G88" i="71"/>
  <c r="F88" i="71"/>
  <c r="H87" i="71"/>
  <c r="G87" i="71"/>
  <c r="F87" i="71"/>
  <c r="H86" i="71"/>
  <c r="G86" i="71"/>
  <c r="F86" i="71"/>
  <c r="H85" i="71"/>
  <c r="G85" i="71"/>
  <c r="F85" i="71"/>
  <c r="H84" i="71"/>
  <c r="G84" i="71"/>
  <c r="F84" i="71"/>
  <c r="H83" i="71"/>
  <c r="G83" i="71"/>
  <c r="F83" i="71"/>
  <c r="H82" i="71"/>
  <c r="G82" i="71"/>
  <c r="F82" i="71"/>
  <c r="H81" i="71"/>
  <c r="G81" i="71"/>
  <c r="F81" i="71"/>
  <c r="H80" i="71"/>
  <c r="G80" i="71"/>
  <c r="F80" i="71"/>
  <c r="H79" i="71"/>
  <c r="G79" i="71"/>
  <c r="F79" i="71"/>
  <c r="H78" i="71"/>
  <c r="G78" i="71"/>
  <c r="F78" i="71"/>
  <c r="H77" i="71"/>
  <c r="G77" i="71"/>
  <c r="F77" i="71"/>
  <c r="H76" i="71"/>
  <c r="G76" i="71"/>
  <c r="F76" i="71"/>
  <c r="H75" i="71"/>
  <c r="G75" i="71"/>
  <c r="F75" i="71"/>
  <c r="H74" i="71"/>
  <c r="G74" i="71"/>
  <c r="F74" i="71"/>
  <c r="H73" i="71"/>
  <c r="G73" i="71"/>
  <c r="F73" i="71"/>
  <c r="H72" i="71"/>
  <c r="G72" i="71"/>
  <c r="F72" i="71"/>
  <c r="H71" i="71"/>
  <c r="G71" i="71"/>
  <c r="F71" i="71"/>
  <c r="H70" i="71"/>
  <c r="G70" i="71"/>
  <c r="F70" i="71"/>
  <c r="H69" i="71"/>
  <c r="G69" i="71"/>
  <c r="F69" i="71"/>
  <c r="H68" i="71"/>
  <c r="G68" i="71"/>
  <c r="F68" i="71"/>
  <c r="H67" i="71"/>
  <c r="G67" i="71"/>
  <c r="F67" i="71"/>
  <c r="H66" i="71"/>
  <c r="G66" i="71"/>
  <c r="F66" i="71"/>
  <c r="H65" i="71"/>
  <c r="G65" i="71"/>
  <c r="F65" i="71"/>
  <c r="H64" i="71"/>
  <c r="G64" i="71"/>
  <c r="F64" i="71"/>
  <c r="H63" i="71"/>
  <c r="G63" i="71"/>
  <c r="F63" i="71"/>
  <c r="H62" i="71"/>
  <c r="G62" i="71"/>
  <c r="F62" i="71"/>
  <c r="H61" i="71"/>
  <c r="G61" i="71"/>
  <c r="F61" i="71"/>
  <c r="H60" i="71"/>
  <c r="G60" i="71"/>
  <c r="F60" i="71"/>
  <c r="H59" i="71"/>
  <c r="G59" i="71"/>
  <c r="F59" i="71"/>
  <c r="H58" i="71"/>
  <c r="G58" i="71"/>
  <c r="F58" i="71"/>
  <c r="H57" i="71"/>
  <c r="G57" i="71"/>
  <c r="F57" i="71"/>
  <c r="H56" i="71"/>
  <c r="G56" i="71"/>
  <c r="F56" i="71"/>
  <c r="H55" i="71"/>
  <c r="H54" i="71"/>
  <c r="H53" i="71"/>
  <c r="H52" i="71"/>
  <c r="H51" i="71"/>
  <c r="H50" i="71"/>
  <c r="H49" i="71"/>
  <c r="H48" i="71"/>
  <c r="H47" i="71"/>
  <c r="H46" i="71"/>
  <c r="H45" i="71"/>
  <c r="H44" i="71"/>
  <c r="H43" i="71"/>
  <c r="H42" i="71"/>
  <c r="H41" i="71"/>
  <c r="H40" i="71"/>
  <c r="H39" i="71"/>
  <c r="H38" i="71"/>
  <c r="H37" i="71"/>
  <c r="H36" i="71"/>
  <c r="H35" i="71"/>
  <c r="H34" i="71"/>
  <c r="H33" i="71"/>
  <c r="H32" i="71"/>
  <c r="H31" i="71"/>
  <c r="H30" i="71"/>
  <c r="G7" i="71"/>
  <c r="F7" i="71"/>
  <c r="AO9" i="71"/>
  <c r="M9" i="78" l="1"/>
  <c r="N9" i="78"/>
  <c r="B108" i="78"/>
  <c r="A108" i="78"/>
  <c r="B107" i="78"/>
  <c r="A107" i="78"/>
  <c r="B106" i="78"/>
  <c r="A106" i="78"/>
  <c r="B105" i="78"/>
  <c r="A105" i="78"/>
  <c r="B104" i="78"/>
  <c r="A104" i="78"/>
  <c r="B103" i="78"/>
  <c r="A103" i="78"/>
  <c r="B102" i="78"/>
  <c r="A102" i="78"/>
  <c r="B101" i="78"/>
  <c r="A101" i="78"/>
  <c r="B100" i="78"/>
  <c r="A100" i="78"/>
  <c r="B99" i="78"/>
  <c r="A99" i="78"/>
  <c r="B98" i="78"/>
  <c r="A98" i="78"/>
  <c r="B97" i="78"/>
  <c r="A97" i="78"/>
  <c r="B96" i="78"/>
  <c r="A96" i="78"/>
  <c r="B95" i="78"/>
  <c r="A95" i="78"/>
  <c r="B94" i="78"/>
  <c r="A94" i="78"/>
  <c r="B93" i="78"/>
  <c r="A93" i="78"/>
  <c r="B92" i="78"/>
  <c r="A92" i="78"/>
  <c r="B91" i="78"/>
  <c r="A91" i="78"/>
  <c r="B90" i="78"/>
  <c r="A90" i="78"/>
  <c r="B89" i="78"/>
  <c r="A89" i="78"/>
  <c r="B88" i="78"/>
  <c r="A88" i="78"/>
  <c r="B87" i="78"/>
  <c r="A87" i="78"/>
  <c r="B86" i="78"/>
  <c r="A86" i="78"/>
  <c r="B85" i="78"/>
  <c r="A85" i="78"/>
  <c r="B84" i="78"/>
  <c r="A84" i="78"/>
  <c r="B83" i="78"/>
  <c r="A83" i="78"/>
  <c r="B82" i="78"/>
  <c r="A82" i="78"/>
  <c r="B81" i="78"/>
  <c r="A81" i="78"/>
  <c r="B80" i="78"/>
  <c r="A80" i="78"/>
  <c r="B79" i="78"/>
  <c r="A79" i="78"/>
  <c r="B78" i="78"/>
  <c r="A78" i="78"/>
  <c r="B77" i="78"/>
  <c r="A77" i="78"/>
  <c r="B76" i="78"/>
  <c r="A76" i="78"/>
  <c r="B75" i="78"/>
  <c r="A75" i="78"/>
  <c r="B74" i="78"/>
  <c r="A74" i="78"/>
  <c r="B73" i="78"/>
  <c r="A73" i="78"/>
  <c r="B72" i="78"/>
  <c r="A72" i="78"/>
  <c r="B71" i="78"/>
  <c r="A71" i="78"/>
  <c r="B70" i="78"/>
  <c r="A70" i="78"/>
  <c r="B69" i="78"/>
  <c r="A69" i="78"/>
  <c r="B68" i="78"/>
  <c r="A68" i="78"/>
  <c r="B67" i="78"/>
  <c r="A67" i="78"/>
  <c r="B66" i="78"/>
  <c r="A66" i="78"/>
  <c r="B65" i="78"/>
  <c r="A65" i="78"/>
  <c r="B64" i="78"/>
  <c r="A64" i="78"/>
  <c r="B63" i="78"/>
  <c r="A63" i="78"/>
  <c r="B62" i="78"/>
  <c r="A62" i="78"/>
  <c r="B61" i="78"/>
  <c r="A61" i="78"/>
  <c r="B60" i="78"/>
  <c r="A60" i="78"/>
  <c r="B59" i="78"/>
  <c r="A59" i="78"/>
  <c r="B58" i="78"/>
  <c r="A58" i="78"/>
  <c r="B57" i="78"/>
  <c r="A57" i="78"/>
  <c r="B56" i="78"/>
  <c r="A56" i="78"/>
  <c r="B55" i="78"/>
  <c r="A55" i="78"/>
  <c r="B54" i="78"/>
  <c r="A54" i="78"/>
  <c r="B53" i="78"/>
  <c r="A53" i="78"/>
  <c r="B52" i="78"/>
  <c r="P52" i="78" s="1"/>
  <c r="A52" i="78"/>
  <c r="B51" i="78"/>
  <c r="Q51" i="78" s="1"/>
  <c r="A51" i="78"/>
  <c r="B50" i="78"/>
  <c r="A50" i="78"/>
  <c r="B49" i="78"/>
  <c r="A49" i="78"/>
  <c r="B48" i="78"/>
  <c r="A48" i="78"/>
  <c r="B47" i="78"/>
  <c r="A47" i="78"/>
  <c r="B46" i="78"/>
  <c r="A46" i="78"/>
  <c r="B45" i="78"/>
  <c r="A45" i="78"/>
  <c r="B44" i="78"/>
  <c r="A44" i="78"/>
  <c r="B43" i="78"/>
  <c r="A43" i="78"/>
  <c r="B42" i="78"/>
  <c r="A42" i="78"/>
  <c r="B41" i="78"/>
  <c r="A41" i="78"/>
  <c r="B40" i="78"/>
  <c r="A40" i="78"/>
  <c r="B39" i="78"/>
  <c r="A39" i="78"/>
  <c r="B38" i="78"/>
  <c r="A38" i="78"/>
  <c r="A37" i="78"/>
  <c r="H77" i="80" l="1"/>
  <c r="H77" i="85"/>
  <c r="I77" i="80"/>
  <c r="I77" i="85"/>
  <c r="R52" i="78"/>
  <c r="N50" i="78"/>
  <c r="N51" i="78"/>
  <c r="O52" i="78"/>
  <c r="O51" i="78"/>
  <c r="Q49" i="78"/>
  <c r="O49" i="78"/>
  <c r="M49" i="78"/>
  <c r="H49" i="78"/>
  <c r="P49" i="78"/>
  <c r="R49" i="78"/>
  <c r="N49" i="78"/>
  <c r="I49" i="78"/>
  <c r="Q53" i="78"/>
  <c r="O53" i="78"/>
  <c r="M53" i="78"/>
  <c r="R53" i="78"/>
  <c r="N53" i="78"/>
  <c r="P53" i="78"/>
  <c r="Q54" i="78"/>
  <c r="O54" i="78"/>
  <c r="M54" i="78"/>
  <c r="P54" i="78"/>
  <c r="R54" i="78"/>
  <c r="N54" i="78"/>
  <c r="Q55" i="78"/>
  <c r="O55" i="78"/>
  <c r="M55" i="78"/>
  <c r="R55" i="78"/>
  <c r="N55" i="78"/>
  <c r="P55" i="78"/>
  <c r="Q56" i="78"/>
  <c r="O56" i="78"/>
  <c r="M56" i="78"/>
  <c r="H56" i="78"/>
  <c r="P56" i="78"/>
  <c r="R56" i="78"/>
  <c r="N56" i="78"/>
  <c r="I56" i="78"/>
  <c r="Q57" i="78"/>
  <c r="O57" i="78"/>
  <c r="M57" i="78"/>
  <c r="H57" i="78"/>
  <c r="R57" i="78"/>
  <c r="N57" i="78"/>
  <c r="I57" i="78"/>
  <c r="P57" i="78"/>
  <c r="Q58" i="78"/>
  <c r="O58" i="78"/>
  <c r="M58" i="78"/>
  <c r="H58" i="78"/>
  <c r="P58" i="78"/>
  <c r="R58" i="78"/>
  <c r="N58" i="78"/>
  <c r="I58" i="78"/>
  <c r="Q59" i="78"/>
  <c r="O59" i="78"/>
  <c r="M59" i="78"/>
  <c r="H59" i="78"/>
  <c r="R59" i="78"/>
  <c r="N59" i="78"/>
  <c r="I59" i="78"/>
  <c r="P59" i="78"/>
  <c r="Q60" i="78"/>
  <c r="O60" i="78"/>
  <c r="M60" i="78"/>
  <c r="H60" i="78"/>
  <c r="P60" i="78"/>
  <c r="R60" i="78"/>
  <c r="N60" i="78"/>
  <c r="I60" i="78"/>
  <c r="Q61" i="78"/>
  <c r="O61" i="78"/>
  <c r="M61" i="78"/>
  <c r="H61" i="78"/>
  <c r="R61" i="78"/>
  <c r="N61" i="78"/>
  <c r="I61" i="78"/>
  <c r="P61" i="78"/>
  <c r="Q62" i="78"/>
  <c r="O62" i="78"/>
  <c r="M62" i="78"/>
  <c r="H62" i="78"/>
  <c r="P62" i="78"/>
  <c r="R62" i="78"/>
  <c r="N62" i="78"/>
  <c r="I62" i="78"/>
  <c r="Q63" i="78"/>
  <c r="O63" i="78"/>
  <c r="M63" i="78"/>
  <c r="H63" i="78"/>
  <c r="R63" i="78"/>
  <c r="N63" i="78"/>
  <c r="I63" i="78"/>
  <c r="P63" i="78"/>
  <c r="Q64" i="78"/>
  <c r="O64" i="78"/>
  <c r="M64" i="78"/>
  <c r="H64" i="78"/>
  <c r="P64" i="78"/>
  <c r="R64" i="78"/>
  <c r="N64" i="78"/>
  <c r="I64" i="78"/>
  <c r="Q65" i="78"/>
  <c r="O65" i="78"/>
  <c r="M65" i="78"/>
  <c r="H65" i="78"/>
  <c r="R65" i="78"/>
  <c r="N65" i="78"/>
  <c r="I65" i="78"/>
  <c r="P65" i="78"/>
  <c r="Q66" i="78"/>
  <c r="O66" i="78"/>
  <c r="P66" i="78"/>
  <c r="M66" i="78"/>
  <c r="H66" i="78"/>
  <c r="R66" i="78"/>
  <c r="N66" i="78"/>
  <c r="I66" i="78"/>
  <c r="Q67" i="78"/>
  <c r="O67" i="78"/>
  <c r="M67" i="78"/>
  <c r="H67" i="78"/>
  <c r="R67" i="78"/>
  <c r="N67" i="78"/>
  <c r="I67" i="78"/>
  <c r="P67" i="78"/>
  <c r="Q68" i="78"/>
  <c r="O68" i="78"/>
  <c r="M68" i="78"/>
  <c r="H68" i="78"/>
  <c r="P68" i="78"/>
  <c r="N68" i="78"/>
  <c r="R68" i="78"/>
  <c r="I68" i="78"/>
  <c r="Q69" i="78"/>
  <c r="O69" i="78"/>
  <c r="M69" i="78"/>
  <c r="H69" i="78"/>
  <c r="R69" i="78"/>
  <c r="N69" i="78"/>
  <c r="I69" i="78"/>
  <c r="P69" i="78"/>
  <c r="Q70" i="78"/>
  <c r="O70" i="78"/>
  <c r="M70" i="78"/>
  <c r="H70" i="78"/>
  <c r="P70" i="78"/>
  <c r="R70" i="78"/>
  <c r="I70" i="78"/>
  <c r="N70" i="78"/>
  <c r="Q71" i="78"/>
  <c r="O71" i="78"/>
  <c r="M71" i="78"/>
  <c r="H71" i="78"/>
  <c r="R71" i="78"/>
  <c r="N71" i="78"/>
  <c r="I71" i="78"/>
  <c r="P71" i="78"/>
  <c r="Q72" i="78"/>
  <c r="O72" i="78"/>
  <c r="M72" i="78"/>
  <c r="H72" i="78"/>
  <c r="P72" i="78"/>
  <c r="N72" i="78"/>
  <c r="R72" i="78"/>
  <c r="I72" i="78"/>
  <c r="Q73" i="78"/>
  <c r="O73" i="78"/>
  <c r="M73" i="78"/>
  <c r="H73" i="78"/>
  <c r="R73" i="78"/>
  <c r="N73" i="78"/>
  <c r="I73" i="78"/>
  <c r="P73" i="78"/>
  <c r="Q74" i="78"/>
  <c r="O74" i="78"/>
  <c r="M74" i="78"/>
  <c r="H74" i="78"/>
  <c r="P74" i="78"/>
  <c r="R74" i="78"/>
  <c r="I74" i="78"/>
  <c r="N74" i="78"/>
  <c r="Q75" i="78"/>
  <c r="O75" i="78"/>
  <c r="M75" i="78"/>
  <c r="H75" i="78"/>
  <c r="R75" i="78"/>
  <c r="N75" i="78"/>
  <c r="I75" i="78"/>
  <c r="P75" i="78"/>
  <c r="Q76" i="78"/>
  <c r="O76" i="78"/>
  <c r="M76" i="78"/>
  <c r="H76" i="78"/>
  <c r="P76" i="78"/>
  <c r="N76" i="78"/>
  <c r="R76" i="78"/>
  <c r="I76" i="78"/>
  <c r="Q77" i="78"/>
  <c r="O77" i="78"/>
  <c r="M77" i="78"/>
  <c r="H77" i="78"/>
  <c r="R77" i="78"/>
  <c r="N77" i="78"/>
  <c r="I77" i="78"/>
  <c r="P77" i="78"/>
  <c r="Q78" i="78"/>
  <c r="O78" i="78"/>
  <c r="M78" i="78"/>
  <c r="H78" i="78"/>
  <c r="P78" i="78"/>
  <c r="R78" i="78"/>
  <c r="I78" i="78"/>
  <c r="N78" i="78"/>
  <c r="Q79" i="78"/>
  <c r="O79" i="78"/>
  <c r="M79" i="78"/>
  <c r="H79" i="78"/>
  <c r="R79" i="78"/>
  <c r="N79" i="78"/>
  <c r="I79" i="78"/>
  <c r="P79" i="78"/>
  <c r="Q80" i="78"/>
  <c r="O80" i="78"/>
  <c r="M80" i="78"/>
  <c r="H80" i="78"/>
  <c r="P80" i="78"/>
  <c r="N80" i="78"/>
  <c r="R80" i="78"/>
  <c r="I80" i="78"/>
  <c r="Q81" i="78"/>
  <c r="O81" i="78"/>
  <c r="M81" i="78"/>
  <c r="H81" i="78"/>
  <c r="R81" i="78"/>
  <c r="N81" i="78"/>
  <c r="I81" i="78"/>
  <c r="P81" i="78"/>
  <c r="Q82" i="78"/>
  <c r="O82" i="78"/>
  <c r="M82" i="78"/>
  <c r="H82" i="78"/>
  <c r="P82" i="78"/>
  <c r="R82" i="78"/>
  <c r="I82" i="78"/>
  <c r="N82" i="78"/>
  <c r="Q83" i="78"/>
  <c r="O83" i="78"/>
  <c r="M83" i="78"/>
  <c r="H83" i="78"/>
  <c r="R83" i="78"/>
  <c r="N83" i="78"/>
  <c r="I83" i="78"/>
  <c r="P83" i="78"/>
  <c r="Q84" i="78"/>
  <c r="O84" i="78"/>
  <c r="M84" i="78"/>
  <c r="H84" i="78"/>
  <c r="P84" i="78"/>
  <c r="N84" i="78"/>
  <c r="R84" i="78"/>
  <c r="I84" i="78"/>
  <c r="Q85" i="78"/>
  <c r="O85" i="78"/>
  <c r="M85" i="78"/>
  <c r="H85" i="78"/>
  <c r="R85" i="78"/>
  <c r="N85" i="78"/>
  <c r="I85" i="78"/>
  <c r="P85" i="78"/>
  <c r="Q86" i="78"/>
  <c r="O86" i="78"/>
  <c r="M86" i="78"/>
  <c r="H86" i="78"/>
  <c r="P86" i="78"/>
  <c r="R86" i="78"/>
  <c r="I86" i="78"/>
  <c r="N86" i="78"/>
  <c r="Q87" i="78"/>
  <c r="O87" i="78"/>
  <c r="M87" i="78"/>
  <c r="H87" i="78"/>
  <c r="R87" i="78"/>
  <c r="N87" i="78"/>
  <c r="I87" i="78"/>
  <c r="P87" i="78"/>
  <c r="Q88" i="78"/>
  <c r="O88" i="78"/>
  <c r="M88" i="78"/>
  <c r="H88" i="78"/>
  <c r="P88" i="78"/>
  <c r="N88" i="78"/>
  <c r="R88" i="78"/>
  <c r="I88" i="78"/>
  <c r="Q89" i="78"/>
  <c r="O89" i="78"/>
  <c r="M89" i="78"/>
  <c r="H89" i="78"/>
  <c r="R89" i="78"/>
  <c r="N89" i="78"/>
  <c r="I89" i="78"/>
  <c r="P89" i="78"/>
  <c r="Q90" i="78"/>
  <c r="O90" i="78"/>
  <c r="M90" i="78"/>
  <c r="H90" i="78"/>
  <c r="P90" i="78"/>
  <c r="R90" i="78"/>
  <c r="I90" i="78"/>
  <c r="N90" i="78"/>
  <c r="Q91" i="78"/>
  <c r="O91" i="78"/>
  <c r="M91" i="78"/>
  <c r="H91" i="78"/>
  <c r="R91" i="78"/>
  <c r="N91" i="78"/>
  <c r="I91" i="78"/>
  <c r="P91" i="78"/>
  <c r="R92" i="78"/>
  <c r="P92" i="78"/>
  <c r="N92" i="78"/>
  <c r="I92" i="78"/>
  <c r="Q92" i="78"/>
  <c r="M92" i="78"/>
  <c r="H92" i="78"/>
  <c r="O92" i="78"/>
  <c r="R93" i="78"/>
  <c r="P93" i="78"/>
  <c r="N93" i="78"/>
  <c r="I93" i="78"/>
  <c r="O93" i="78"/>
  <c r="M93" i="78"/>
  <c r="H93" i="78"/>
  <c r="Q93" i="78"/>
  <c r="R94" i="78"/>
  <c r="P94" i="78"/>
  <c r="N94" i="78"/>
  <c r="I94" i="78"/>
  <c r="Q94" i="78"/>
  <c r="M94" i="78"/>
  <c r="H94" i="78"/>
  <c r="O94" i="78"/>
  <c r="R95" i="78"/>
  <c r="P95" i="78"/>
  <c r="N95" i="78"/>
  <c r="I95" i="78"/>
  <c r="O95" i="78"/>
  <c r="Q95" i="78"/>
  <c r="H95" i="78"/>
  <c r="M95" i="78"/>
  <c r="R96" i="78"/>
  <c r="P96" i="78"/>
  <c r="N96" i="78"/>
  <c r="I96" i="78"/>
  <c r="Q96" i="78"/>
  <c r="M96" i="78"/>
  <c r="H96" i="78"/>
  <c r="O96" i="78"/>
  <c r="R97" i="78"/>
  <c r="P97" i="78"/>
  <c r="N97" i="78"/>
  <c r="I97" i="78"/>
  <c r="O97" i="78"/>
  <c r="M97" i="78"/>
  <c r="Q97" i="78"/>
  <c r="H97" i="78"/>
  <c r="R98" i="78"/>
  <c r="P98" i="78"/>
  <c r="N98" i="78"/>
  <c r="I98" i="78"/>
  <c r="Q98" i="78"/>
  <c r="M98" i="78"/>
  <c r="H98" i="78"/>
  <c r="O98" i="78"/>
  <c r="R99" i="78"/>
  <c r="P99" i="78"/>
  <c r="N99" i="78"/>
  <c r="I99" i="78"/>
  <c r="O99" i="78"/>
  <c r="Q99" i="78"/>
  <c r="H99" i="78"/>
  <c r="M99" i="78"/>
  <c r="R100" i="78"/>
  <c r="P100" i="78"/>
  <c r="N100" i="78"/>
  <c r="I100" i="78"/>
  <c r="Q100" i="78"/>
  <c r="M100" i="78"/>
  <c r="H100" i="78"/>
  <c r="O100" i="78"/>
  <c r="R101" i="78"/>
  <c r="P101" i="78"/>
  <c r="N101" i="78"/>
  <c r="I101" i="78"/>
  <c r="O101" i="78"/>
  <c r="M101" i="78"/>
  <c r="Q101" i="78"/>
  <c r="H101" i="78"/>
  <c r="R102" i="78"/>
  <c r="P102" i="78"/>
  <c r="N102" i="78"/>
  <c r="I102" i="78"/>
  <c r="Q102" i="78"/>
  <c r="M102" i="78"/>
  <c r="H102" i="78"/>
  <c r="O102" i="78"/>
  <c r="R103" i="78"/>
  <c r="P103" i="78"/>
  <c r="N103" i="78"/>
  <c r="I103" i="78"/>
  <c r="O103" i="78"/>
  <c r="Q103" i="78"/>
  <c r="H103" i="78"/>
  <c r="M103" i="78"/>
  <c r="R104" i="78"/>
  <c r="P104" i="78"/>
  <c r="N104" i="78"/>
  <c r="I104" i="78"/>
  <c r="Q104" i="78"/>
  <c r="M104" i="78"/>
  <c r="H104" i="78"/>
  <c r="O104" i="78"/>
  <c r="R105" i="78"/>
  <c r="P105" i="78"/>
  <c r="N105" i="78"/>
  <c r="I105" i="78"/>
  <c r="O105" i="78"/>
  <c r="M105" i="78"/>
  <c r="Q105" i="78"/>
  <c r="H105" i="78"/>
  <c r="R106" i="78"/>
  <c r="P106" i="78"/>
  <c r="N106" i="78"/>
  <c r="I106" i="78"/>
  <c r="Q106" i="78"/>
  <c r="M106" i="78"/>
  <c r="H106" i="78"/>
  <c r="O106" i="78"/>
  <c r="R107" i="78"/>
  <c r="P107" i="78"/>
  <c r="N107" i="78"/>
  <c r="I107" i="78"/>
  <c r="O107" i="78"/>
  <c r="Q107" i="78"/>
  <c r="H107" i="78"/>
  <c r="M107" i="78"/>
  <c r="R108" i="78"/>
  <c r="P108" i="78"/>
  <c r="N108" i="78"/>
  <c r="I108" i="78"/>
  <c r="Q108" i="78"/>
  <c r="M108" i="78"/>
  <c r="H108" i="78"/>
  <c r="O108" i="78"/>
  <c r="Q52" i="78"/>
  <c r="M50" i="78"/>
  <c r="P51" i="78"/>
  <c r="M51" i="78"/>
  <c r="L7" i="78"/>
  <c r="A69" i="85"/>
  <c r="A67" i="85"/>
  <c r="D67" i="85" s="1"/>
  <c r="U67" i="85" s="1"/>
  <c r="A65" i="85"/>
  <c r="A63" i="85"/>
  <c r="D63" i="85" s="1"/>
  <c r="U63" i="85" s="1"/>
  <c r="A61" i="85"/>
  <c r="A59" i="85"/>
  <c r="D59" i="85" s="1"/>
  <c r="U59" i="85" s="1"/>
  <c r="A57" i="85"/>
  <c r="A55" i="85"/>
  <c r="E55" i="85" s="1"/>
  <c r="V55" i="85" s="1"/>
  <c r="A53" i="85"/>
  <c r="S53" i="85" s="1"/>
  <c r="F53" i="85" s="1"/>
  <c r="A51" i="85"/>
  <c r="S51" i="85" s="1"/>
  <c r="F51" i="85" s="1"/>
  <c r="A49" i="85"/>
  <c r="C49" i="85" s="1"/>
  <c r="T49" i="85" s="1"/>
  <c r="C47" i="85"/>
  <c r="T47" i="85" s="1"/>
  <c r="A47" i="85"/>
  <c r="S47" i="85" s="1"/>
  <c r="F47" i="85" s="1"/>
  <c r="A45" i="85"/>
  <c r="S45" i="85" s="1"/>
  <c r="F45" i="85" s="1"/>
  <c r="S43" i="85"/>
  <c r="F43" i="85" s="1"/>
  <c r="C43" i="85"/>
  <c r="T43" i="85" s="1"/>
  <c r="A43" i="85"/>
  <c r="S41" i="85"/>
  <c r="F41" i="85" s="1"/>
  <c r="C41" i="85"/>
  <c r="T41" i="85" s="1"/>
  <c r="A41" i="85"/>
  <c r="A39" i="85"/>
  <c r="S39" i="85" s="1"/>
  <c r="F39" i="85" s="1"/>
  <c r="A37" i="85"/>
  <c r="S37" i="85" s="1"/>
  <c r="F37" i="85" s="1"/>
  <c r="A35" i="85"/>
  <c r="S35" i="85" s="1"/>
  <c r="F35" i="85" s="1"/>
  <c r="A33" i="85"/>
  <c r="S33" i="85" s="1"/>
  <c r="F33" i="85" s="1"/>
  <c r="C31" i="85"/>
  <c r="T31" i="85" s="1"/>
  <c r="A31" i="85"/>
  <c r="S31" i="85" s="1"/>
  <c r="F31" i="85" s="1"/>
  <c r="A29" i="85"/>
  <c r="C29" i="85" s="1"/>
  <c r="T29" i="85" s="1"/>
  <c r="S27" i="85"/>
  <c r="F27" i="85" s="1"/>
  <c r="A27" i="85"/>
  <c r="C27" i="85" s="1"/>
  <c r="T27" i="85" s="1"/>
  <c r="A25" i="85"/>
  <c r="C25" i="85" s="1"/>
  <c r="T25" i="85" s="1"/>
  <c r="A23" i="85"/>
  <c r="S23" i="85" s="1"/>
  <c r="F23" i="85" s="1"/>
  <c r="A21" i="85"/>
  <c r="A19" i="85"/>
  <c r="S19" i="85" s="1"/>
  <c r="F19" i="85" s="1"/>
  <c r="A17" i="85"/>
  <c r="S17" i="85" s="1"/>
  <c r="F17" i="85" s="1"/>
  <c r="A15" i="85"/>
  <c r="S15" i="85" s="1"/>
  <c r="F15" i="85" s="1"/>
  <c r="A13" i="85"/>
  <c r="S13" i="85" s="1"/>
  <c r="F13" i="85" s="1"/>
  <c r="A11" i="85"/>
  <c r="S11" i="85" s="1"/>
  <c r="K7" i="78"/>
  <c r="J7" i="78"/>
  <c r="A69" i="80"/>
  <c r="S69" i="80" s="1"/>
  <c r="F69" i="80" s="1"/>
  <c r="A67" i="80"/>
  <c r="S67" i="80" s="1"/>
  <c r="F67" i="80" s="1"/>
  <c r="A65" i="80"/>
  <c r="S65" i="80" s="1"/>
  <c r="F65" i="80" s="1"/>
  <c r="A63" i="80"/>
  <c r="S63" i="80" s="1"/>
  <c r="F63" i="80" s="1"/>
  <c r="A61" i="80"/>
  <c r="S61" i="80" s="1"/>
  <c r="F61" i="80" s="1"/>
  <c r="A59" i="80"/>
  <c r="D59" i="80" s="1"/>
  <c r="U59" i="80" s="1"/>
  <c r="A57" i="80"/>
  <c r="A55" i="80"/>
  <c r="A53" i="80"/>
  <c r="A51" i="80"/>
  <c r="D51" i="80" s="1"/>
  <c r="U51" i="80" s="1"/>
  <c r="A49" i="80"/>
  <c r="A47" i="80"/>
  <c r="A45" i="80"/>
  <c r="A43" i="80"/>
  <c r="D43" i="80" s="1"/>
  <c r="U43" i="80" s="1"/>
  <c r="A41" i="80"/>
  <c r="A39" i="80"/>
  <c r="A37" i="80"/>
  <c r="A35" i="80"/>
  <c r="S35" i="80" s="1"/>
  <c r="F35" i="80" s="1"/>
  <c r="A33" i="80"/>
  <c r="S33" i="80" s="1"/>
  <c r="F33" i="80" s="1"/>
  <c r="A31" i="80"/>
  <c r="S31" i="80" s="1"/>
  <c r="F31" i="80" s="1"/>
  <c r="A29" i="80"/>
  <c r="D29" i="80" s="1"/>
  <c r="U29" i="80" s="1"/>
  <c r="A27" i="80"/>
  <c r="A25" i="80"/>
  <c r="A23" i="80"/>
  <c r="S23" i="80" s="1"/>
  <c r="F23" i="80" s="1"/>
  <c r="A21" i="80"/>
  <c r="S21" i="80" s="1"/>
  <c r="F21" i="80" s="1"/>
  <c r="A19" i="80"/>
  <c r="S19" i="80" s="1"/>
  <c r="F19" i="80" s="1"/>
  <c r="A17" i="80"/>
  <c r="S17" i="80" s="1"/>
  <c r="F17" i="80" s="1"/>
  <c r="A15" i="80"/>
  <c r="S15" i="80" s="1"/>
  <c r="F15" i="80" s="1"/>
  <c r="A13" i="80"/>
  <c r="S13" i="80" s="1"/>
  <c r="F13" i="80" s="1"/>
  <c r="A11" i="80"/>
  <c r="H1" i="79"/>
  <c r="K13" i="78" l="1"/>
  <c r="M19" i="80" s="1"/>
  <c r="K21" i="78"/>
  <c r="M35" i="80" s="1"/>
  <c r="K29" i="78"/>
  <c r="M51" i="80" s="1"/>
  <c r="K37" i="78"/>
  <c r="M67" i="80" s="1"/>
  <c r="K45" i="78"/>
  <c r="K16" i="78"/>
  <c r="M25" i="80" s="1"/>
  <c r="K24" i="78"/>
  <c r="M41" i="80" s="1"/>
  <c r="K32" i="78"/>
  <c r="M57" i="80" s="1"/>
  <c r="K40" i="78"/>
  <c r="K48" i="78"/>
  <c r="K11" i="78"/>
  <c r="M15" i="80" s="1"/>
  <c r="K19" i="78"/>
  <c r="M31" i="80" s="1"/>
  <c r="K27" i="78"/>
  <c r="M47" i="80" s="1"/>
  <c r="K35" i="78"/>
  <c r="M63" i="80" s="1"/>
  <c r="K43" i="78"/>
  <c r="K14" i="78"/>
  <c r="M21" i="80" s="1"/>
  <c r="K22" i="78"/>
  <c r="M37" i="80" s="1"/>
  <c r="K30" i="78"/>
  <c r="M53" i="80" s="1"/>
  <c r="K38" i="78"/>
  <c r="M69" i="80" s="1"/>
  <c r="K46" i="78"/>
  <c r="K17" i="78"/>
  <c r="M27" i="80" s="1"/>
  <c r="K25" i="78"/>
  <c r="M43" i="80" s="1"/>
  <c r="K33" i="78"/>
  <c r="M59" i="80" s="1"/>
  <c r="K41" i="78"/>
  <c r="K12" i="78"/>
  <c r="M17" i="80" s="1"/>
  <c r="K20" i="78"/>
  <c r="M33" i="80" s="1"/>
  <c r="K28" i="78"/>
  <c r="M49" i="80" s="1"/>
  <c r="K36" i="78"/>
  <c r="M65" i="80" s="1"/>
  <c r="K44" i="78"/>
  <c r="K15" i="78"/>
  <c r="M23" i="80" s="1"/>
  <c r="K23" i="78"/>
  <c r="M39" i="80" s="1"/>
  <c r="K31" i="78"/>
  <c r="M55" i="80" s="1"/>
  <c r="K39" i="78"/>
  <c r="K47" i="78"/>
  <c r="K18" i="78"/>
  <c r="M29" i="80" s="1"/>
  <c r="K26" i="78"/>
  <c r="M45" i="80" s="1"/>
  <c r="K34" i="78"/>
  <c r="M61" i="80" s="1"/>
  <c r="K42" i="78"/>
  <c r="L18" i="78"/>
  <c r="L26" i="78"/>
  <c r="L34" i="78"/>
  <c r="L42" i="78"/>
  <c r="L13" i="78"/>
  <c r="L21" i="78"/>
  <c r="L29" i="78"/>
  <c r="L37" i="78"/>
  <c r="L45" i="78"/>
  <c r="L16" i="78"/>
  <c r="L24" i="78"/>
  <c r="L32" i="78"/>
  <c r="L40" i="78"/>
  <c r="L48" i="78"/>
  <c r="L11" i="78"/>
  <c r="L19" i="78"/>
  <c r="L27" i="78"/>
  <c r="L35" i="78"/>
  <c r="L43" i="78"/>
  <c r="L14" i="78"/>
  <c r="L22" i="78"/>
  <c r="L30" i="78"/>
  <c r="L38" i="78"/>
  <c r="L46" i="78"/>
  <c r="L17" i="78"/>
  <c r="L25" i="78"/>
  <c r="L33" i="78"/>
  <c r="L41" i="78"/>
  <c r="L12" i="78"/>
  <c r="L20" i="78"/>
  <c r="L28" i="78"/>
  <c r="L36" i="78"/>
  <c r="L44" i="78"/>
  <c r="L9" i="78"/>
  <c r="L15" i="78"/>
  <c r="L23" i="78"/>
  <c r="L31" i="78"/>
  <c r="L39" i="78"/>
  <c r="L47" i="78"/>
  <c r="J95" i="78"/>
  <c r="J16" i="78"/>
  <c r="J24" i="78"/>
  <c r="J32" i="78"/>
  <c r="J40" i="78"/>
  <c r="J11" i="78"/>
  <c r="J19" i="78"/>
  <c r="J27" i="78"/>
  <c r="J35" i="78"/>
  <c r="J43" i="78"/>
  <c r="J14" i="78"/>
  <c r="J22" i="78"/>
  <c r="G22" i="78" s="1"/>
  <c r="J30" i="78"/>
  <c r="J38" i="78"/>
  <c r="J46" i="78"/>
  <c r="J17" i="78"/>
  <c r="J25" i="78"/>
  <c r="J33" i="78"/>
  <c r="J41" i="78"/>
  <c r="J12" i="78"/>
  <c r="J20" i="78"/>
  <c r="J28" i="78"/>
  <c r="J36" i="78"/>
  <c r="J44" i="78"/>
  <c r="J15" i="78"/>
  <c r="J23" i="78"/>
  <c r="G23" i="78" s="1"/>
  <c r="J31" i="78"/>
  <c r="J39" i="78"/>
  <c r="J47" i="78"/>
  <c r="J18" i="78"/>
  <c r="J26" i="78"/>
  <c r="J34" i="78"/>
  <c r="G34" i="78" s="1"/>
  <c r="J42" i="78"/>
  <c r="G42" i="78" s="1"/>
  <c r="J13" i="78"/>
  <c r="G13" i="78" s="1"/>
  <c r="J21" i="78"/>
  <c r="G21" i="78" s="1"/>
  <c r="J29" i="78"/>
  <c r="J37" i="78"/>
  <c r="G37" i="78" s="1"/>
  <c r="J45" i="78"/>
  <c r="J48" i="78"/>
  <c r="G48" i="78" s="1"/>
  <c r="Y77" i="85"/>
  <c r="AH32" i="85" s="1"/>
  <c r="AF32" i="85" s="1"/>
  <c r="AF31" i="85" s="1"/>
  <c r="Y77" i="80"/>
  <c r="AH52" i="80" s="1"/>
  <c r="AF52" i="80" s="1"/>
  <c r="Z106" i="85"/>
  <c r="S25" i="85"/>
  <c r="F25" i="85" s="1"/>
  <c r="C33" i="85"/>
  <c r="T33" i="85" s="1"/>
  <c r="S49" i="85"/>
  <c r="F49" i="85" s="1"/>
  <c r="F11" i="85"/>
  <c r="C37" i="85"/>
  <c r="T37" i="85" s="1"/>
  <c r="C53" i="85"/>
  <c r="T53" i="85" s="1"/>
  <c r="C55" i="85"/>
  <c r="T55" i="85" s="1"/>
  <c r="C45" i="85"/>
  <c r="T45" i="85" s="1"/>
  <c r="S29" i="85"/>
  <c r="F29" i="85" s="1"/>
  <c r="C35" i="85"/>
  <c r="T35" i="85" s="1"/>
  <c r="C51" i="85"/>
  <c r="T51" i="85" s="1"/>
  <c r="C23" i="85"/>
  <c r="T23" i="85" s="1"/>
  <c r="C39" i="85"/>
  <c r="T39" i="85" s="1"/>
  <c r="J107" i="78"/>
  <c r="K53" i="78"/>
  <c r="K57" i="78"/>
  <c r="K59" i="78"/>
  <c r="K61" i="78"/>
  <c r="K63" i="78"/>
  <c r="K65" i="78"/>
  <c r="K66" i="78"/>
  <c r="K67" i="78"/>
  <c r="K71" i="78"/>
  <c r="K75" i="78"/>
  <c r="K79" i="78"/>
  <c r="K83" i="78"/>
  <c r="K87" i="78"/>
  <c r="K91" i="78"/>
  <c r="K92" i="78"/>
  <c r="K93" i="78"/>
  <c r="K94" i="78"/>
  <c r="K95" i="78"/>
  <c r="K96" i="78"/>
  <c r="K97" i="78"/>
  <c r="K98" i="78"/>
  <c r="K99" i="78"/>
  <c r="K100" i="78"/>
  <c r="K101" i="78"/>
  <c r="K102" i="78"/>
  <c r="K103" i="78"/>
  <c r="K104" i="78"/>
  <c r="K49" i="78"/>
  <c r="K56" i="78"/>
  <c r="K58" i="78"/>
  <c r="K60" i="78"/>
  <c r="K62" i="78"/>
  <c r="K64" i="78"/>
  <c r="K68" i="78"/>
  <c r="K69" i="78"/>
  <c r="K70" i="78"/>
  <c r="K72" i="78"/>
  <c r="K73" i="78"/>
  <c r="K74" i="78"/>
  <c r="K76" i="78"/>
  <c r="K77" i="78"/>
  <c r="K78" i="78"/>
  <c r="K80" i="78"/>
  <c r="K81" i="78"/>
  <c r="K82" i="78"/>
  <c r="K84" i="78"/>
  <c r="K85" i="78"/>
  <c r="K86" i="78"/>
  <c r="K88" i="78"/>
  <c r="K89" i="78"/>
  <c r="K90" i="78"/>
  <c r="J106" i="78"/>
  <c r="J105" i="78"/>
  <c r="J103" i="78"/>
  <c r="J101" i="78"/>
  <c r="J98" i="78"/>
  <c r="J49" i="78"/>
  <c r="J53" i="78"/>
  <c r="J56" i="78"/>
  <c r="J57" i="78"/>
  <c r="J58" i="78"/>
  <c r="J59" i="78"/>
  <c r="J60" i="78"/>
  <c r="J61" i="78"/>
  <c r="J62" i="78"/>
  <c r="J63" i="78"/>
  <c r="J64" i="78"/>
  <c r="J65" i="78"/>
  <c r="J67" i="78"/>
  <c r="J68" i="78"/>
  <c r="J69" i="78"/>
  <c r="J70" i="78"/>
  <c r="J71" i="78"/>
  <c r="J72" i="78"/>
  <c r="J73" i="78"/>
  <c r="J74" i="78"/>
  <c r="J75" i="78"/>
  <c r="J76" i="78"/>
  <c r="J77" i="78"/>
  <c r="J78" i="78"/>
  <c r="J79" i="78"/>
  <c r="J80" i="78"/>
  <c r="J81" i="78"/>
  <c r="J82" i="78"/>
  <c r="J83" i="78"/>
  <c r="J84" i="78"/>
  <c r="J85" i="78"/>
  <c r="J86" i="78"/>
  <c r="J87" i="78"/>
  <c r="J88" i="78"/>
  <c r="J89" i="78"/>
  <c r="J90" i="78"/>
  <c r="J91" i="78"/>
  <c r="J92" i="78"/>
  <c r="J96" i="78"/>
  <c r="J100" i="78"/>
  <c r="J104" i="78"/>
  <c r="J66" i="78"/>
  <c r="J93" i="78"/>
  <c r="J108" i="78"/>
  <c r="K108" i="78"/>
  <c r="K107" i="78"/>
  <c r="K106" i="78"/>
  <c r="K105" i="78"/>
  <c r="J102" i="78"/>
  <c r="J99" i="78"/>
  <c r="J97" i="78"/>
  <c r="J94" i="78"/>
  <c r="L108" i="78"/>
  <c r="L106" i="78"/>
  <c r="L104" i="78"/>
  <c r="L102" i="78"/>
  <c r="L100" i="78"/>
  <c r="L98" i="78"/>
  <c r="G98" i="78" s="1"/>
  <c r="L96" i="78"/>
  <c r="L94" i="78"/>
  <c r="L92" i="78"/>
  <c r="L90" i="78"/>
  <c r="L88" i="78"/>
  <c r="L86" i="78"/>
  <c r="L84" i="78"/>
  <c r="L82" i="78"/>
  <c r="L80" i="78"/>
  <c r="L78" i="78"/>
  <c r="L76" i="78"/>
  <c r="L74" i="78"/>
  <c r="L72" i="78"/>
  <c r="L70" i="78"/>
  <c r="L68" i="78"/>
  <c r="L66" i="78"/>
  <c r="L64" i="78"/>
  <c r="L62" i="78"/>
  <c r="L60" i="78"/>
  <c r="L58" i="78"/>
  <c r="L56" i="78"/>
  <c r="L54" i="78"/>
  <c r="L52" i="78"/>
  <c r="L107" i="78"/>
  <c r="L105" i="78"/>
  <c r="L103" i="78"/>
  <c r="L101" i="78"/>
  <c r="L99" i="78"/>
  <c r="L97" i="78"/>
  <c r="L95" i="78"/>
  <c r="L93" i="78"/>
  <c r="L91" i="78"/>
  <c r="L89" i="78"/>
  <c r="L87" i="78"/>
  <c r="L85" i="78"/>
  <c r="L83" i="78"/>
  <c r="L81" i="78"/>
  <c r="L79" i="78"/>
  <c r="L77" i="78"/>
  <c r="L75" i="78"/>
  <c r="L73" i="78"/>
  <c r="G73" i="78" s="1"/>
  <c r="L71" i="78"/>
  <c r="L69" i="78"/>
  <c r="L67" i="78"/>
  <c r="L65" i="78"/>
  <c r="L63" i="78"/>
  <c r="L61" i="78"/>
  <c r="L59" i="78"/>
  <c r="L57" i="78"/>
  <c r="L55" i="78"/>
  <c r="L53" i="78"/>
  <c r="L51" i="78"/>
  <c r="L49" i="78"/>
  <c r="G49" i="78" s="1"/>
  <c r="E23" i="85"/>
  <c r="V23" i="85" s="1"/>
  <c r="E25" i="85"/>
  <c r="V25" i="85" s="1"/>
  <c r="E27" i="85"/>
  <c r="V27" i="85" s="1"/>
  <c r="E29" i="85"/>
  <c r="V29" i="85" s="1"/>
  <c r="E31" i="85"/>
  <c r="V31" i="85" s="1"/>
  <c r="E33" i="85"/>
  <c r="V33" i="85" s="1"/>
  <c r="E35" i="85"/>
  <c r="V35" i="85" s="1"/>
  <c r="E37" i="85"/>
  <c r="V37" i="85" s="1"/>
  <c r="E39" i="85"/>
  <c r="V39" i="85" s="1"/>
  <c r="E41" i="85"/>
  <c r="V41" i="85" s="1"/>
  <c r="E43" i="85"/>
  <c r="V43" i="85" s="1"/>
  <c r="E45" i="85"/>
  <c r="V45" i="85" s="1"/>
  <c r="E47" i="85"/>
  <c r="V47" i="85" s="1"/>
  <c r="E49" i="85"/>
  <c r="V49" i="85" s="1"/>
  <c r="E51" i="85"/>
  <c r="V51" i="85" s="1"/>
  <c r="E53" i="85"/>
  <c r="V53" i="85" s="1"/>
  <c r="D11" i="85"/>
  <c r="U11" i="85" s="1"/>
  <c r="D13" i="85"/>
  <c r="U13" i="85" s="1"/>
  <c r="D19" i="85"/>
  <c r="U19" i="85" s="1"/>
  <c r="E21" i="85"/>
  <c r="V21" i="85" s="1"/>
  <c r="S57" i="85"/>
  <c r="F57" i="85" s="1"/>
  <c r="E57" i="85"/>
  <c r="V57" i="85" s="1"/>
  <c r="C57" i="85"/>
  <c r="T57" i="85" s="1"/>
  <c r="D57" i="85"/>
  <c r="U57" i="85" s="1"/>
  <c r="S61" i="85"/>
  <c r="F61" i="85" s="1"/>
  <c r="E61" i="85"/>
  <c r="V61" i="85" s="1"/>
  <c r="C61" i="85"/>
  <c r="T61" i="85" s="1"/>
  <c r="D61" i="85"/>
  <c r="U61" i="85" s="1"/>
  <c r="D15" i="85"/>
  <c r="U15" i="85" s="1"/>
  <c r="D17" i="85"/>
  <c r="U17" i="85" s="1"/>
  <c r="D21" i="85"/>
  <c r="U21" i="85" s="1"/>
  <c r="S65" i="85"/>
  <c r="F65" i="85" s="1"/>
  <c r="E65" i="85"/>
  <c r="V65" i="85" s="1"/>
  <c r="C65" i="85"/>
  <c r="T65" i="85" s="1"/>
  <c r="D65" i="85"/>
  <c r="U65" i="85" s="1"/>
  <c r="S69" i="85"/>
  <c r="F69" i="85" s="1"/>
  <c r="E69" i="85"/>
  <c r="V69" i="85" s="1"/>
  <c r="C69" i="85"/>
  <c r="T69" i="85" s="1"/>
  <c r="D69" i="85"/>
  <c r="U69" i="85" s="1"/>
  <c r="C11" i="85"/>
  <c r="T11" i="85" s="1"/>
  <c r="E11" i="85"/>
  <c r="V11" i="85" s="1"/>
  <c r="C13" i="85"/>
  <c r="T13" i="85" s="1"/>
  <c r="E13" i="85"/>
  <c r="V13" i="85" s="1"/>
  <c r="C15" i="85"/>
  <c r="T15" i="85" s="1"/>
  <c r="E15" i="85"/>
  <c r="V15" i="85" s="1"/>
  <c r="C17" i="85"/>
  <c r="T17" i="85" s="1"/>
  <c r="E17" i="85"/>
  <c r="V17" i="85" s="1"/>
  <c r="C19" i="85"/>
  <c r="T19" i="85" s="1"/>
  <c r="E19" i="85"/>
  <c r="V19" i="85" s="1"/>
  <c r="C21" i="85"/>
  <c r="T21" i="85" s="1"/>
  <c r="S21" i="85"/>
  <c r="F21" i="85" s="1"/>
  <c r="D23" i="85"/>
  <c r="U23" i="85" s="1"/>
  <c r="D25" i="85"/>
  <c r="U25" i="85" s="1"/>
  <c r="D27" i="85"/>
  <c r="U27" i="85" s="1"/>
  <c r="D29" i="85"/>
  <c r="U29" i="85" s="1"/>
  <c r="D31" i="85"/>
  <c r="U31" i="85" s="1"/>
  <c r="D33" i="85"/>
  <c r="U33" i="85" s="1"/>
  <c r="D35" i="85"/>
  <c r="U35" i="85" s="1"/>
  <c r="D37" i="85"/>
  <c r="U37" i="85" s="1"/>
  <c r="D39" i="85"/>
  <c r="U39" i="85" s="1"/>
  <c r="D41" i="85"/>
  <c r="U41" i="85" s="1"/>
  <c r="D43" i="85"/>
  <c r="U43" i="85" s="1"/>
  <c r="D45" i="85"/>
  <c r="U45" i="85" s="1"/>
  <c r="D47" i="85"/>
  <c r="U47" i="85" s="1"/>
  <c r="D49" i="85"/>
  <c r="U49" i="85" s="1"/>
  <c r="D51" i="85"/>
  <c r="U51" i="85" s="1"/>
  <c r="D53" i="85"/>
  <c r="U53" i="85" s="1"/>
  <c r="S55" i="85"/>
  <c r="F55" i="85" s="1"/>
  <c r="D55" i="85"/>
  <c r="U55" i="85" s="1"/>
  <c r="S59" i="85"/>
  <c r="F59" i="85" s="1"/>
  <c r="E59" i="85"/>
  <c r="V59" i="85" s="1"/>
  <c r="C59" i="85"/>
  <c r="T59" i="85" s="1"/>
  <c r="S63" i="85"/>
  <c r="F63" i="85" s="1"/>
  <c r="E63" i="85"/>
  <c r="V63" i="85" s="1"/>
  <c r="C63" i="85"/>
  <c r="T63" i="85" s="1"/>
  <c r="S67" i="85"/>
  <c r="F67" i="85" s="1"/>
  <c r="E67" i="85"/>
  <c r="V67" i="85" s="1"/>
  <c r="C67" i="85"/>
  <c r="T67" i="85" s="1"/>
  <c r="E13" i="80"/>
  <c r="V13" i="80" s="1"/>
  <c r="E17" i="80"/>
  <c r="V17" i="80" s="1"/>
  <c r="E21" i="80"/>
  <c r="V21" i="80" s="1"/>
  <c r="E37" i="80"/>
  <c r="V37" i="80" s="1"/>
  <c r="E39" i="80"/>
  <c r="V39" i="80" s="1"/>
  <c r="E41" i="80"/>
  <c r="V41" i="80" s="1"/>
  <c r="C17" i="80"/>
  <c r="T17" i="80" s="1"/>
  <c r="C21" i="80"/>
  <c r="T21" i="80" s="1"/>
  <c r="C37" i="80"/>
  <c r="T37" i="80" s="1"/>
  <c r="S37" i="80"/>
  <c r="F37" i="80" s="1"/>
  <c r="C39" i="80"/>
  <c r="T39" i="80" s="1"/>
  <c r="S39" i="80"/>
  <c r="F39" i="80" s="1"/>
  <c r="C41" i="80"/>
  <c r="T41" i="80" s="1"/>
  <c r="D47" i="80"/>
  <c r="U47" i="80" s="1"/>
  <c r="D55" i="80"/>
  <c r="U55" i="80" s="1"/>
  <c r="D69" i="80"/>
  <c r="U69" i="80" s="1"/>
  <c r="C69" i="80"/>
  <c r="T69" i="80" s="1"/>
  <c r="E69" i="80"/>
  <c r="V69" i="80" s="1"/>
  <c r="D61" i="80"/>
  <c r="U61" i="80" s="1"/>
  <c r="D63" i="80"/>
  <c r="U63" i="80" s="1"/>
  <c r="D65" i="80"/>
  <c r="U65" i="80" s="1"/>
  <c r="D67" i="80"/>
  <c r="U67" i="80" s="1"/>
  <c r="C61" i="80"/>
  <c r="T61" i="80" s="1"/>
  <c r="E61" i="80"/>
  <c r="V61" i="80" s="1"/>
  <c r="C63" i="80"/>
  <c r="T63" i="80" s="1"/>
  <c r="E63" i="80"/>
  <c r="V63" i="80" s="1"/>
  <c r="C65" i="80"/>
  <c r="T65" i="80" s="1"/>
  <c r="E65" i="80"/>
  <c r="V65" i="80" s="1"/>
  <c r="C67" i="80"/>
  <c r="T67" i="80" s="1"/>
  <c r="E67" i="80"/>
  <c r="V67" i="80" s="1"/>
  <c r="S45" i="80"/>
  <c r="F45" i="80" s="1"/>
  <c r="E45" i="80"/>
  <c r="V45" i="80" s="1"/>
  <c r="C45" i="80"/>
  <c r="T45" i="80" s="1"/>
  <c r="S49" i="80"/>
  <c r="F49" i="80" s="1"/>
  <c r="E49" i="80"/>
  <c r="V49" i="80" s="1"/>
  <c r="C49" i="80"/>
  <c r="T49" i="80" s="1"/>
  <c r="S53" i="80"/>
  <c r="F53" i="80" s="1"/>
  <c r="E53" i="80"/>
  <c r="V53" i="80" s="1"/>
  <c r="C53" i="80"/>
  <c r="T53" i="80" s="1"/>
  <c r="S57" i="80"/>
  <c r="F57" i="80" s="1"/>
  <c r="E57" i="80"/>
  <c r="V57" i="80" s="1"/>
  <c r="C57" i="80"/>
  <c r="T57" i="80" s="1"/>
  <c r="D37" i="80"/>
  <c r="U37" i="80" s="1"/>
  <c r="D39" i="80"/>
  <c r="U39" i="80" s="1"/>
  <c r="S41" i="80"/>
  <c r="F41" i="80" s="1"/>
  <c r="D41" i="80"/>
  <c r="U41" i="80" s="1"/>
  <c r="S43" i="80"/>
  <c r="F43" i="80" s="1"/>
  <c r="E43" i="80"/>
  <c r="V43" i="80" s="1"/>
  <c r="C43" i="80"/>
  <c r="T43" i="80" s="1"/>
  <c r="D45" i="80"/>
  <c r="U45" i="80" s="1"/>
  <c r="S47" i="80"/>
  <c r="F47" i="80" s="1"/>
  <c r="E47" i="80"/>
  <c r="V47" i="80" s="1"/>
  <c r="C47" i="80"/>
  <c r="T47" i="80" s="1"/>
  <c r="D49" i="80"/>
  <c r="U49" i="80" s="1"/>
  <c r="S51" i="80"/>
  <c r="F51" i="80" s="1"/>
  <c r="E51" i="80"/>
  <c r="V51" i="80" s="1"/>
  <c r="C51" i="80"/>
  <c r="T51" i="80" s="1"/>
  <c r="D53" i="80"/>
  <c r="U53" i="80" s="1"/>
  <c r="S55" i="80"/>
  <c r="F55" i="80" s="1"/>
  <c r="E55" i="80"/>
  <c r="V55" i="80" s="1"/>
  <c r="C55" i="80"/>
  <c r="T55" i="80" s="1"/>
  <c r="D57" i="80"/>
  <c r="U57" i="80" s="1"/>
  <c r="S59" i="80"/>
  <c r="F59" i="80" s="1"/>
  <c r="E59" i="80"/>
  <c r="V59" i="80" s="1"/>
  <c r="C59" i="80"/>
  <c r="T59" i="80" s="1"/>
  <c r="C15" i="80"/>
  <c r="T15" i="80" s="1"/>
  <c r="E15" i="80"/>
  <c r="V15" i="80" s="1"/>
  <c r="C19" i="80"/>
  <c r="T19" i="80" s="1"/>
  <c r="E19" i="80"/>
  <c r="V19" i="80" s="1"/>
  <c r="C23" i="80"/>
  <c r="T23" i="80" s="1"/>
  <c r="E23" i="80"/>
  <c r="V23" i="80" s="1"/>
  <c r="S11" i="80"/>
  <c r="D13" i="80"/>
  <c r="U13" i="80" s="1"/>
  <c r="D15" i="80"/>
  <c r="U15" i="80" s="1"/>
  <c r="D17" i="80"/>
  <c r="U17" i="80" s="1"/>
  <c r="D19" i="80"/>
  <c r="U19" i="80" s="1"/>
  <c r="D21" i="80"/>
  <c r="U21" i="80" s="1"/>
  <c r="D23" i="80"/>
  <c r="U23" i="80" s="1"/>
  <c r="D25" i="80"/>
  <c r="U25" i="80" s="1"/>
  <c r="S27" i="80"/>
  <c r="F27" i="80" s="1"/>
  <c r="E27" i="80"/>
  <c r="V27" i="80" s="1"/>
  <c r="C27" i="80"/>
  <c r="T27" i="80" s="1"/>
  <c r="S25" i="80"/>
  <c r="F25" i="80" s="1"/>
  <c r="E25" i="80"/>
  <c r="V25" i="80" s="1"/>
  <c r="C25" i="80"/>
  <c r="T25" i="80" s="1"/>
  <c r="D27" i="80"/>
  <c r="U27" i="80" s="1"/>
  <c r="S29" i="80"/>
  <c r="F29" i="80" s="1"/>
  <c r="E29" i="80"/>
  <c r="V29" i="80" s="1"/>
  <c r="C29" i="80"/>
  <c r="T29" i="80" s="1"/>
  <c r="D31" i="80"/>
  <c r="U31" i="80" s="1"/>
  <c r="D33" i="80"/>
  <c r="U33" i="80" s="1"/>
  <c r="D35" i="80"/>
  <c r="U35" i="80" s="1"/>
  <c r="C31" i="80"/>
  <c r="T31" i="80" s="1"/>
  <c r="E31" i="80"/>
  <c r="V31" i="80" s="1"/>
  <c r="C33" i="80"/>
  <c r="T33" i="80" s="1"/>
  <c r="E33" i="80"/>
  <c r="V33" i="80" s="1"/>
  <c r="C35" i="80"/>
  <c r="T35" i="80" s="1"/>
  <c r="E35" i="80"/>
  <c r="V35" i="80" s="1"/>
  <c r="C13" i="80"/>
  <c r="T13" i="80" s="1"/>
  <c r="E11" i="80"/>
  <c r="V11" i="80" s="1"/>
  <c r="C11" i="80"/>
  <c r="T11" i="80" s="1"/>
  <c r="D11" i="80"/>
  <c r="U11" i="80" s="1"/>
  <c r="G12" i="78" l="1"/>
  <c r="G82" i="78"/>
  <c r="G33" i="78"/>
  <c r="G43" i="78"/>
  <c r="G30" i="78"/>
  <c r="G40" i="78"/>
  <c r="G31" i="78"/>
  <c r="G15" i="78"/>
  <c r="G20" i="78"/>
  <c r="G16" i="78"/>
  <c r="G25" i="78"/>
  <c r="G35" i="78"/>
  <c r="G26" i="78"/>
  <c r="G38" i="78"/>
  <c r="G11" i="78"/>
  <c r="G47" i="78"/>
  <c r="G29" i="78"/>
  <c r="G39" i="78"/>
  <c r="G32" i="78"/>
  <c r="G41" i="78"/>
  <c r="G14" i="78"/>
  <c r="G24" i="78"/>
  <c r="G44" i="78"/>
  <c r="G17" i="78"/>
  <c r="G27" i="78"/>
  <c r="G63" i="78"/>
  <c r="G36" i="78"/>
  <c r="G46" i="78"/>
  <c r="G95" i="78"/>
  <c r="G45" i="78"/>
  <c r="G18" i="78"/>
  <c r="G28" i="78"/>
  <c r="G103" i="78"/>
  <c r="G77" i="85"/>
  <c r="X77" i="85" s="1"/>
  <c r="G77" i="80"/>
  <c r="X77" i="80" s="1"/>
  <c r="G93" i="80"/>
  <c r="X93" i="80" s="1"/>
  <c r="G93" i="85"/>
  <c r="X93" i="85" s="1"/>
  <c r="G103" i="80"/>
  <c r="G103" i="85"/>
  <c r="G84" i="80"/>
  <c r="X84" i="80" s="1"/>
  <c r="G84" i="85"/>
  <c r="X84" i="85" s="1"/>
  <c r="G94" i="80"/>
  <c r="X94" i="80" s="1"/>
  <c r="G94" i="85"/>
  <c r="X94" i="85" s="1"/>
  <c r="G85" i="80"/>
  <c r="X85" i="80" s="1"/>
  <c r="G85" i="85"/>
  <c r="X85" i="85" s="1"/>
  <c r="G95" i="80"/>
  <c r="X95" i="80" s="1"/>
  <c r="G95" i="85"/>
  <c r="X95" i="85" s="1"/>
  <c r="G86" i="85"/>
  <c r="X86" i="85" s="1"/>
  <c r="G86" i="80"/>
  <c r="X86" i="80" s="1"/>
  <c r="G104" i="80"/>
  <c r="G104" i="85"/>
  <c r="G87" i="85"/>
  <c r="X87" i="85" s="1"/>
  <c r="G87" i="80"/>
  <c r="X87" i="80" s="1"/>
  <c r="G105" i="80"/>
  <c r="G105" i="85"/>
  <c r="G96" i="80"/>
  <c r="X96" i="80" s="1"/>
  <c r="G96" i="85"/>
  <c r="X96" i="85" s="1"/>
  <c r="G106" i="80"/>
  <c r="X106" i="80" s="1"/>
  <c r="G106" i="85"/>
  <c r="G79" i="85"/>
  <c r="X79" i="85" s="1"/>
  <c r="G79" i="80"/>
  <c r="X79" i="80" s="1"/>
  <c r="G97" i="80"/>
  <c r="X97" i="80" s="1"/>
  <c r="G97" i="85"/>
  <c r="X97" i="85" s="1"/>
  <c r="G19" i="78"/>
  <c r="G88" i="80"/>
  <c r="X88" i="80" s="1"/>
  <c r="G88" i="85"/>
  <c r="X88" i="85" s="1"/>
  <c r="G98" i="80"/>
  <c r="X98" i="80" s="1"/>
  <c r="G98" i="85"/>
  <c r="X98" i="85" s="1"/>
  <c r="G89" i="80"/>
  <c r="X89" i="80" s="1"/>
  <c r="G89" i="85"/>
  <c r="X89" i="85" s="1"/>
  <c r="G99" i="80"/>
  <c r="X99" i="80" s="1"/>
  <c r="G99" i="85"/>
  <c r="X99" i="85" s="1"/>
  <c r="G80" i="80"/>
  <c r="X80" i="80" s="1"/>
  <c r="G80" i="85"/>
  <c r="X80" i="85" s="1"/>
  <c r="G90" i="85"/>
  <c r="X90" i="85" s="1"/>
  <c r="G90" i="80"/>
  <c r="X90" i="80" s="1"/>
  <c r="G81" i="80"/>
  <c r="X81" i="80" s="1"/>
  <c r="G81" i="85"/>
  <c r="X81" i="85" s="1"/>
  <c r="G91" i="85"/>
  <c r="X91" i="85" s="1"/>
  <c r="G91" i="80"/>
  <c r="X91" i="80" s="1"/>
  <c r="G82" i="85"/>
  <c r="X82" i="85" s="1"/>
  <c r="G82" i="80"/>
  <c r="X82" i="80" s="1"/>
  <c r="G100" i="80"/>
  <c r="X100" i="80" s="1"/>
  <c r="G100" i="85"/>
  <c r="X100" i="85" s="1"/>
  <c r="G83" i="85"/>
  <c r="X83" i="85" s="1"/>
  <c r="G83" i="80"/>
  <c r="X83" i="80" s="1"/>
  <c r="G101" i="80"/>
  <c r="G101" i="85"/>
  <c r="G92" i="80"/>
  <c r="X92" i="80" s="1"/>
  <c r="G92" i="85"/>
  <c r="X92" i="85" s="1"/>
  <c r="G102" i="85"/>
  <c r="G102" i="80"/>
  <c r="G75" i="78"/>
  <c r="G58" i="78"/>
  <c r="AY32" i="85"/>
  <c r="AY31" i="85" s="1"/>
  <c r="G81" i="78"/>
  <c r="AH42" i="80"/>
  <c r="W106" i="80"/>
  <c r="X106" i="85"/>
  <c r="W106" i="85"/>
  <c r="AY52" i="80"/>
  <c r="AF51" i="80"/>
  <c r="AF42" i="80"/>
  <c r="AF41" i="80" s="1"/>
  <c r="Y106" i="80"/>
  <c r="Y106" i="85"/>
  <c r="AQ22" i="85"/>
  <c r="AN21" i="85"/>
  <c r="AK17" i="85"/>
  <c r="AS28" i="85"/>
  <c r="AS22" i="85"/>
  <c r="AJ17" i="85"/>
  <c r="AJ22" i="85"/>
  <c r="AR23" i="85"/>
  <c r="BE18" i="85" s="1"/>
  <c r="AN16" i="85"/>
  <c r="AQ17" i="85"/>
  <c r="AS23" i="85"/>
  <c r="BF18" i="85" s="1"/>
  <c r="AS18" i="85"/>
  <c r="AR27" i="85"/>
  <c r="AN26" i="85"/>
  <c r="AP22" i="85"/>
  <c r="AK22" i="85"/>
  <c r="AP27" i="85"/>
  <c r="AR28" i="85"/>
  <c r="AS17" i="85"/>
  <c r="AS27" i="85"/>
  <c r="AR17" i="85"/>
  <c r="AK27" i="85"/>
  <c r="AQ27" i="85"/>
  <c r="AQ26" i="85" s="1"/>
  <c r="AR18" i="85"/>
  <c r="AJ27" i="85"/>
  <c r="AP17" i="85"/>
  <c r="AP16" i="85" s="1"/>
  <c r="AR22" i="85"/>
  <c r="F11" i="80"/>
  <c r="AR32" i="80"/>
  <c r="AK22" i="80"/>
  <c r="AR17" i="80"/>
  <c r="AQ17" i="80"/>
  <c r="AR27" i="80"/>
  <c r="AP17" i="80"/>
  <c r="AS27" i="80"/>
  <c r="AQ27" i="80"/>
  <c r="AS23" i="80"/>
  <c r="BF23" i="80" s="1"/>
  <c r="AK17" i="80"/>
  <c r="AJ17" i="80"/>
  <c r="AJ22" i="80"/>
  <c r="AP27" i="80"/>
  <c r="AR23" i="80"/>
  <c r="BE23" i="80" s="1"/>
  <c r="AS22" i="80"/>
  <c r="AS28" i="80"/>
  <c r="BF28" i="80" s="1"/>
  <c r="AK27" i="80"/>
  <c r="AR22" i="80"/>
  <c r="AS18" i="80"/>
  <c r="AS33" i="80"/>
  <c r="AR28" i="80"/>
  <c r="BE28" i="80" s="1"/>
  <c r="AJ27" i="80"/>
  <c r="AQ22" i="80"/>
  <c r="AR18" i="80"/>
  <c r="AR33" i="80"/>
  <c r="AS32" i="80"/>
  <c r="AP22" i="80"/>
  <c r="AS17" i="80"/>
  <c r="AN31" i="80"/>
  <c r="AN16" i="80"/>
  <c r="AP32" i="80"/>
  <c r="AN26" i="80"/>
  <c r="AJ32" i="80"/>
  <c r="AK32" i="80"/>
  <c r="AN21" i="80"/>
  <c r="AQ32" i="80"/>
  <c r="AQ31" i="80" s="1"/>
  <c r="G67" i="78"/>
  <c r="G83" i="78"/>
  <c r="G62" i="78"/>
  <c r="G104" i="78"/>
  <c r="G79" i="78"/>
  <c r="G74" i="78"/>
  <c r="G71" i="78"/>
  <c r="G102" i="78"/>
  <c r="G59" i="78"/>
  <c r="G107" i="78"/>
  <c r="G99" i="78"/>
  <c r="G90" i="78"/>
  <c r="G66" i="78"/>
  <c r="G106" i="78"/>
  <c r="G96" i="78"/>
  <c r="G89" i="78"/>
  <c r="G94" i="78"/>
  <c r="G86" i="78"/>
  <c r="G78" i="78"/>
  <c r="G70" i="78"/>
  <c r="G105" i="78"/>
  <c r="G57" i="78"/>
  <c r="G61" i="78"/>
  <c r="G65" i="78"/>
  <c r="G69" i="78"/>
  <c r="G77" i="78"/>
  <c r="G85" i="78"/>
  <c r="G93" i="78"/>
  <c r="G97" i="78"/>
  <c r="G101" i="78"/>
  <c r="G56" i="78"/>
  <c r="G60" i="78"/>
  <c r="G64" i="78"/>
  <c r="G68" i="78"/>
  <c r="G72" i="78"/>
  <c r="G76" i="78"/>
  <c r="G80" i="78"/>
  <c r="G84" i="78"/>
  <c r="G88" i="78"/>
  <c r="G92" i="78"/>
  <c r="G100" i="78"/>
  <c r="G108" i="78"/>
  <c r="G87" i="78"/>
  <c r="G91" i="78"/>
  <c r="AR13" i="85" l="1"/>
  <c r="AR38" i="85" s="1"/>
  <c r="AK12" i="85"/>
  <c r="AK37" i="85" s="1"/>
  <c r="AJ12" i="85"/>
  <c r="AJ37" i="85" s="1"/>
  <c r="AY51" i="80"/>
  <c r="AY42" i="80"/>
  <c r="AY41" i="80" s="1"/>
  <c r="AN11" i="85"/>
  <c r="AN36" i="85" s="1"/>
  <c r="BC16" i="85" s="1"/>
  <c r="AQ21" i="85"/>
  <c r="BF17" i="85"/>
  <c r="AP12" i="85"/>
  <c r="AP26" i="85"/>
  <c r="AS12" i="85"/>
  <c r="AS13" i="85"/>
  <c r="AP21" i="85"/>
  <c r="BE17" i="85"/>
  <c r="AQ16" i="85"/>
  <c r="AQ12" i="85"/>
  <c r="AR12" i="85"/>
  <c r="AJ12" i="80"/>
  <c r="AJ57" i="80" s="1"/>
  <c r="AN11" i="80"/>
  <c r="BC26" i="80" s="1"/>
  <c r="AN36" i="80"/>
  <c r="AS37" i="80"/>
  <c r="AS12" i="80"/>
  <c r="AQ26" i="80"/>
  <c r="BF27" i="80"/>
  <c r="AP21" i="80"/>
  <c r="BE22" i="80"/>
  <c r="AR37" i="80"/>
  <c r="AR12" i="80"/>
  <c r="AP37" i="80"/>
  <c r="AP31" i="80"/>
  <c r="AK12" i="80"/>
  <c r="AK57" i="80" s="1"/>
  <c r="AQ16" i="80"/>
  <c r="AQ37" i="80"/>
  <c r="AQ12" i="80"/>
  <c r="AS38" i="80"/>
  <c r="BF38" i="80" s="1"/>
  <c r="AS13" i="80"/>
  <c r="AP16" i="80"/>
  <c r="AP12" i="80"/>
  <c r="AR38" i="80"/>
  <c r="BE38" i="80" s="1"/>
  <c r="AR13" i="80"/>
  <c r="BF22" i="80"/>
  <c r="AQ21" i="80"/>
  <c r="BE27" i="80"/>
  <c r="AP26" i="80"/>
  <c r="B3" i="71"/>
  <c r="BE13" i="85" l="1"/>
  <c r="BE38" i="85" s="1"/>
  <c r="BF13" i="85"/>
  <c r="BF38" i="85" s="1"/>
  <c r="AS38" i="85"/>
  <c r="BF12" i="85"/>
  <c r="AQ37" i="85"/>
  <c r="AQ11" i="85"/>
  <c r="AQ36" i="85" s="1"/>
  <c r="BE12" i="85"/>
  <c r="AP37" i="85"/>
  <c r="AP11" i="85"/>
  <c r="AP36" i="85" s="1"/>
  <c r="AS37" i="85"/>
  <c r="AR37" i="85"/>
  <c r="BC11" i="85"/>
  <c r="BC31" i="85"/>
  <c r="BA31" i="85" s="1"/>
  <c r="BC21" i="80"/>
  <c r="AQ11" i="80"/>
  <c r="AQ56" i="80" s="1"/>
  <c r="BF12" i="80"/>
  <c r="AQ57" i="80"/>
  <c r="AQ36" i="80"/>
  <c r="BF37" i="80"/>
  <c r="BF13" i="80"/>
  <c r="AS58" i="80"/>
  <c r="BE13" i="80"/>
  <c r="AR58" i="80"/>
  <c r="AP36" i="80"/>
  <c r="BE37" i="80"/>
  <c r="BC36" i="80"/>
  <c r="AR57" i="80"/>
  <c r="AN56" i="80"/>
  <c r="BC11" i="80"/>
  <c r="BC51" i="80"/>
  <c r="BA51" i="80" s="1"/>
  <c r="BA41" i="80" s="1"/>
  <c r="AP11" i="80"/>
  <c r="AP56" i="80" s="1"/>
  <c r="BE12" i="80"/>
  <c r="AP57" i="80"/>
  <c r="AS57" i="80"/>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AO534" i="71"/>
  <c r="AO533" i="71"/>
  <c r="AO532" i="71"/>
  <c r="AO531" i="71"/>
  <c r="AO530" i="71"/>
  <c r="AO529" i="71"/>
  <c r="AO528" i="71"/>
  <c r="AO527" i="71"/>
  <c r="AO526" i="71"/>
  <c r="AO525" i="71"/>
  <c r="AO524" i="71"/>
  <c r="AO523" i="71"/>
  <c r="AO522" i="71"/>
  <c r="AO521" i="71"/>
  <c r="AO520" i="71"/>
  <c r="AO519" i="71"/>
  <c r="AO518" i="71"/>
  <c r="AO517" i="71"/>
  <c r="AO516" i="71"/>
  <c r="AO515" i="71"/>
  <c r="AO514" i="71"/>
  <c r="AO513" i="71"/>
  <c r="AO512" i="71"/>
  <c r="AO511" i="71"/>
  <c r="AO510" i="71"/>
  <c r="AO509" i="71"/>
  <c r="AO508" i="71"/>
  <c r="AO507" i="71"/>
  <c r="AO506" i="71"/>
  <c r="AO505" i="71"/>
  <c r="AO504" i="71"/>
  <c r="AO503" i="71"/>
  <c r="AO502" i="71"/>
  <c r="AO501" i="71"/>
  <c r="AO500" i="71"/>
  <c r="AO499" i="71"/>
  <c r="AO498" i="71"/>
  <c r="AO497" i="71"/>
  <c r="AO496" i="71"/>
  <c r="AO495" i="71"/>
  <c r="AO494" i="71"/>
  <c r="AO493" i="71"/>
  <c r="AO492" i="71"/>
  <c r="AO491" i="71"/>
  <c r="AO490" i="71"/>
  <c r="AO489" i="71"/>
  <c r="AO488" i="71"/>
  <c r="AO487" i="71"/>
  <c r="AO486" i="71"/>
  <c r="AO485" i="71"/>
  <c r="AO484" i="71"/>
  <c r="AO483" i="71"/>
  <c r="AO482" i="71"/>
  <c r="AO481" i="71"/>
  <c r="AO480" i="71"/>
  <c r="AO479" i="71"/>
  <c r="AO478" i="71"/>
  <c r="AO477" i="71"/>
  <c r="AO476" i="71"/>
  <c r="AO475" i="71"/>
  <c r="AO474" i="71"/>
  <c r="AO473" i="71"/>
  <c r="AO472" i="71"/>
  <c r="AO471" i="71"/>
  <c r="AO470" i="71"/>
  <c r="AO469" i="71"/>
  <c r="AO468" i="71"/>
  <c r="AO467" i="71"/>
  <c r="AO466" i="71"/>
  <c r="AO465" i="71"/>
  <c r="AO464" i="71"/>
  <c r="AO463" i="71"/>
  <c r="AO462" i="71"/>
  <c r="AO461" i="71"/>
  <c r="AO460" i="71"/>
  <c r="AO459" i="71"/>
  <c r="AO458" i="71"/>
  <c r="AO457" i="71"/>
  <c r="AO456" i="71"/>
  <c r="AO455" i="71"/>
  <c r="AO454" i="71"/>
  <c r="AO453" i="71"/>
  <c r="AO452" i="71"/>
  <c r="AO451" i="71"/>
  <c r="AO450" i="71"/>
  <c r="AO449" i="71"/>
  <c r="AO448" i="71"/>
  <c r="AO447" i="71"/>
  <c r="AO446" i="71"/>
  <c r="AO445" i="71"/>
  <c r="AO444" i="71"/>
  <c r="AO443" i="71"/>
  <c r="AO442" i="71"/>
  <c r="AO441" i="71"/>
  <c r="AO440" i="71"/>
  <c r="AO439" i="71"/>
  <c r="AO438" i="71"/>
  <c r="AO437" i="71"/>
  <c r="AO436" i="71"/>
  <c r="AO435" i="71"/>
  <c r="AO434" i="71"/>
  <c r="AO433" i="71"/>
  <c r="AO432" i="71"/>
  <c r="AO431" i="71"/>
  <c r="AO430" i="71"/>
  <c r="AO429" i="71"/>
  <c r="AO428" i="71"/>
  <c r="AO427" i="71"/>
  <c r="AO426" i="71"/>
  <c r="AO425" i="71"/>
  <c r="AO424" i="71"/>
  <c r="AO423" i="71"/>
  <c r="AO422" i="71"/>
  <c r="AO421" i="71"/>
  <c r="AO420" i="71"/>
  <c r="AO419" i="71"/>
  <c r="AO418" i="71"/>
  <c r="AO417" i="71"/>
  <c r="AO416" i="71"/>
  <c r="AO415" i="71"/>
  <c r="AO414" i="71"/>
  <c r="AO413" i="71"/>
  <c r="AO412" i="71"/>
  <c r="AO411" i="71"/>
  <c r="AO410" i="71"/>
  <c r="AO409" i="71"/>
  <c r="AO408" i="71"/>
  <c r="AO407" i="71"/>
  <c r="AO406" i="71"/>
  <c r="AO405" i="71"/>
  <c r="AO404" i="71"/>
  <c r="AO403" i="71"/>
  <c r="AO402" i="71"/>
  <c r="AO401" i="71"/>
  <c r="AO400" i="71"/>
  <c r="AO399" i="71"/>
  <c r="AO398" i="71"/>
  <c r="AO397" i="71"/>
  <c r="AO396" i="71"/>
  <c r="AO395" i="71"/>
  <c r="AO394" i="71"/>
  <c r="AO393" i="71"/>
  <c r="AO392" i="71"/>
  <c r="AO391" i="71"/>
  <c r="AO390" i="71"/>
  <c r="AO389" i="71"/>
  <c r="AO388" i="71"/>
  <c r="AO387" i="71"/>
  <c r="AO386" i="71"/>
  <c r="AO385" i="71"/>
  <c r="AO384" i="71"/>
  <c r="AO383" i="71"/>
  <c r="AO382" i="71"/>
  <c r="AO381" i="71"/>
  <c r="AO380" i="71"/>
  <c r="AO379" i="71"/>
  <c r="AO378" i="71"/>
  <c r="AO377" i="71"/>
  <c r="AO376" i="71"/>
  <c r="AO375" i="71"/>
  <c r="AO374" i="71"/>
  <c r="AO373" i="71"/>
  <c r="AO372" i="71"/>
  <c r="AO371" i="71"/>
  <c r="AO370" i="71"/>
  <c r="AO369" i="71"/>
  <c r="AO368" i="71"/>
  <c r="AO367" i="71"/>
  <c r="AO366" i="71"/>
  <c r="AO365" i="71"/>
  <c r="AO364" i="71"/>
  <c r="AO363" i="71"/>
  <c r="AO362" i="71"/>
  <c r="AO361" i="71"/>
  <c r="AO360" i="71"/>
  <c r="AO359" i="71"/>
  <c r="AO358" i="71"/>
  <c r="AO357" i="71"/>
  <c r="AO356" i="71"/>
  <c r="AO355" i="71"/>
  <c r="AO354" i="71"/>
  <c r="AO353" i="71"/>
  <c r="AO352" i="71"/>
  <c r="AO351" i="71"/>
  <c r="AO350" i="71"/>
  <c r="AO349" i="71"/>
  <c r="AO348" i="71"/>
  <c r="AO347" i="71"/>
  <c r="AO346" i="71"/>
  <c r="AO345" i="71"/>
  <c r="AO344" i="71"/>
  <c r="AO343" i="71"/>
  <c r="AO342" i="71"/>
  <c r="AO341" i="71"/>
  <c r="AO340" i="71"/>
  <c r="AO339" i="71"/>
  <c r="AO338" i="71"/>
  <c r="AO337" i="71"/>
  <c r="AO336" i="71"/>
  <c r="AO335" i="71"/>
  <c r="AO334" i="71"/>
  <c r="AO333" i="71"/>
  <c r="AO332" i="71"/>
  <c r="AO331" i="71"/>
  <c r="AO330" i="71"/>
  <c r="AO329" i="71"/>
  <c r="AO328" i="71"/>
  <c r="AO327" i="71"/>
  <c r="AO326" i="71"/>
  <c r="AO325" i="71"/>
  <c r="AO324" i="71"/>
  <c r="AO323" i="71"/>
  <c r="AO322" i="71"/>
  <c r="AO321" i="71"/>
  <c r="AO320" i="71"/>
  <c r="AO319" i="71"/>
  <c r="AO318" i="71"/>
  <c r="AO317" i="71"/>
  <c r="AO316" i="71"/>
  <c r="AO315" i="71"/>
  <c r="AO314" i="71"/>
  <c r="AO313" i="71"/>
  <c r="AO312" i="71"/>
  <c r="AO311" i="71"/>
  <c r="AO310" i="71"/>
  <c r="AO309" i="71"/>
  <c r="AO308" i="71"/>
  <c r="AO307" i="71"/>
  <c r="AO306" i="71"/>
  <c r="AO305" i="71"/>
  <c r="AO304" i="71"/>
  <c r="AO303" i="71"/>
  <c r="AO302" i="71"/>
  <c r="AO301" i="71"/>
  <c r="AO300" i="71"/>
  <c r="AO299" i="71"/>
  <c r="AO298" i="71"/>
  <c r="AO297" i="71"/>
  <c r="AO296" i="71"/>
  <c r="AO295" i="71"/>
  <c r="AO294" i="71"/>
  <c r="AO293" i="71"/>
  <c r="AO292" i="71"/>
  <c r="AO291" i="71"/>
  <c r="AO290" i="71"/>
  <c r="AO289" i="71"/>
  <c r="AO288" i="71"/>
  <c r="AO287" i="71"/>
  <c r="AO286" i="71"/>
  <c r="AO285" i="71"/>
  <c r="AO284" i="71"/>
  <c r="AO283" i="71"/>
  <c r="AO282" i="71"/>
  <c r="AO281" i="71"/>
  <c r="AO280" i="71"/>
  <c r="AO279" i="71"/>
  <c r="AO278" i="71"/>
  <c r="AO277" i="71"/>
  <c r="AO276" i="71"/>
  <c r="AO275" i="71"/>
  <c r="AO274" i="71"/>
  <c r="AO273" i="71"/>
  <c r="AO272" i="71"/>
  <c r="AO271" i="71"/>
  <c r="AO270" i="71"/>
  <c r="AO269" i="71"/>
  <c r="AO268" i="71"/>
  <c r="AO267" i="71"/>
  <c r="AO266" i="71"/>
  <c r="AO265" i="71"/>
  <c r="AO264" i="71"/>
  <c r="AO263" i="71"/>
  <c r="AO262" i="71"/>
  <c r="AO261" i="71"/>
  <c r="AO260" i="71"/>
  <c r="AO259" i="71"/>
  <c r="AO258" i="71"/>
  <c r="AO257" i="71"/>
  <c r="AO256" i="71"/>
  <c r="AO255" i="71"/>
  <c r="AO254" i="71"/>
  <c r="AO253" i="71"/>
  <c r="AO252" i="71"/>
  <c r="AO251" i="71"/>
  <c r="AO250" i="71"/>
  <c r="AO249" i="71"/>
  <c r="AO248" i="71"/>
  <c r="AO247" i="71"/>
  <c r="AO246" i="71"/>
  <c r="AO245" i="71"/>
  <c r="AO244" i="71"/>
  <c r="AO243" i="71"/>
  <c r="AO242" i="71"/>
  <c r="AO241" i="71"/>
  <c r="AO240" i="71"/>
  <c r="AO239" i="71"/>
  <c r="AO238" i="71"/>
  <c r="AO237" i="71"/>
  <c r="AO236" i="71"/>
  <c r="AO235" i="71"/>
  <c r="AO234" i="71"/>
  <c r="AO233" i="71"/>
  <c r="AO232" i="71"/>
  <c r="AO231" i="71"/>
  <c r="AO230" i="71"/>
  <c r="AO229" i="71"/>
  <c r="AO228" i="71"/>
  <c r="AO227" i="71"/>
  <c r="AO226" i="71"/>
  <c r="AO225" i="71"/>
  <c r="AO224" i="71"/>
  <c r="AO223" i="71"/>
  <c r="AO222" i="71"/>
  <c r="AO221" i="71"/>
  <c r="AO220" i="71"/>
  <c r="AO219" i="71"/>
  <c r="AO218" i="71"/>
  <c r="AO217" i="71"/>
  <c r="AO216" i="71"/>
  <c r="AO215" i="71"/>
  <c r="AO214" i="71"/>
  <c r="AO213" i="71"/>
  <c r="AO212" i="71"/>
  <c r="AO211" i="71"/>
  <c r="AO210" i="71"/>
  <c r="AO209" i="71"/>
  <c r="AO208" i="71"/>
  <c r="AO207" i="71"/>
  <c r="AO206" i="71"/>
  <c r="AO205" i="71"/>
  <c r="AO204" i="71"/>
  <c r="AO203" i="71"/>
  <c r="AO202" i="71"/>
  <c r="AO201" i="71"/>
  <c r="AO200" i="71"/>
  <c r="AO199" i="71"/>
  <c r="AO198" i="71"/>
  <c r="AO197" i="71"/>
  <c r="AO196" i="71"/>
  <c r="AO195" i="71"/>
  <c r="AO194" i="71"/>
  <c r="AO193" i="71"/>
  <c r="AO192" i="71"/>
  <c r="AO191" i="71"/>
  <c r="AO190" i="71"/>
  <c r="AO189" i="71"/>
  <c r="AO188" i="71"/>
  <c r="AO187" i="71"/>
  <c r="AO186" i="71"/>
  <c r="AO185" i="71"/>
  <c r="AO184" i="71"/>
  <c r="AO183" i="71"/>
  <c r="AO182" i="71"/>
  <c r="AO181" i="71"/>
  <c r="AO180" i="71"/>
  <c r="AO179" i="71"/>
  <c r="AO178" i="71"/>
  <c r="AO177" i="71"/>
  <c r="AO176" i="71"/>
  <c r="AO175" i="71"/>
  <c r="AO174" i="71"/>
  <c r="AO173" i="71"/>
  <c r="AO172" i="71"/>
  <c r="AO171" i="71"/>
  <c r="AO170" i="71"/>
  <c r="AO169" i="71"/>
  <c r="AO168" i="71"/>
  <c r="AO167" i="71"/>
  <c r="AO166" i="71"/>
  <c r="AO165" i="71"/>
  <c r="AO164" i="71"/>
  <c r="AO163" i="71"/>
  <c r="AO162" i="71"/>
  <c r="AO161" i="71"/>
  <c r="AO160" i="71"/>
  <c r="AO159" i="71"/>
  <c r="AO158" i="71"/>
  <c r="AO157" i="71"/>
  <c r="AO156" i="71"/>
  <c r="AO155" i="71"/>
  <c r="AO154" i="71"/>
  <c r="AO153" i="71"/>
  <c r="AO152" i="71"/>
  <c r="AO151" i="71"/>
  <c r="AO150" i="71"/>
  <c r="AO149" i="71"/>
  <c r="AO148" i="71"/>
  <c r="AO147" i="71"/>
  <c r="AO146" i="71"/>
  <c r="AO145" i="71"/>
  <c r="AO144" i="71"/>
  <c r="AO143" i="71"/>
  <c r="AO142" i="71"/>
  <c r="AO141" i="71"/>
  <c r="AO140" i="71"/>
  <c r="AO139" i="71"/>
  <c r="AO138" i="71"/>
  <c r="AO137" i="71"/>
  <c r="AO136" i="71"/>
  <c r="AO135" i="71"/>
  <c r="AO134" i="71"/>
  <c r="AO133" i="71"/>
  <c r="AO132" i="71"/>
  <c r="AO131" i="71"/>
  <c r="AO130" i="71"/>
  <c r="AO129" i="71"/>
  <c r="AO128" i="71"/>
  <c r="AO127" i="71"/>
  <c r="AO126" i="71"/>
  <c r="AO125" i="71"/>
  <c r="AO124" i="71"/>
  <c r="AO123" i="71"/>
  <c r="AO122" i="71"/>
  <c r="AO121" i="71"/>
  <c r="AO120" i="71"/>
  <c r="AO119" i="71"/>
  <c r="AO118" i="71"/>
  <c r="AO117" i="71"/>
  <c r="AO116" i="71"/>
  <c r="AO115" i="71"/>
  <c r="AO114" i="71"/>
  <c r="AO113" i="71"/>
  <c r="AO112" i="71"/>
  <c r="AO111" i="71"/>
  <c r="AO110" i="71"/>
  <c r="AO109" i="71"/>
  <c r="AO108" i="71"/>
  <c r="AO107" i="71"/>
  <c r="AO106" i="71"/>
  <c r="AO105" i="71"/>
  <c r="AO104" i="71"/>
  <c r="AO103" i="71"/>
  <c r="AO102" i="71"/>
  <c r="AO101" i="71"/>
  <c r="AO100" i="71"/>
  <c r="AO99" i="71"/>
  <c r="AO98" i="71"/>
  <c r="AO97" i="71"/>
  <c r="AO96" i="71"/>
  <c r="K55" i="78" s="1"/>
  <c r="AO95" i="71"/>
  <c r="J55" i="78" s="1"/>
  <c r="AO94" i="71"/>
  <c r="I55" i="78" s="1"/>
  <c r="AO93" i="71"/>
  <c r="H55" i="78" s="1"/>
  <c r="AO92" i="71"/>
  <c r="K54" i="78" s="1"/>
  <c r="AO91" i="71"/>
  <c r="J54" i="78" s="1"/>
  <c r="AO90" i="71"/>
  <c r="I54" i="78" s="1"/>
  <c r="AO89" i="71"/>
  <c r="H54" i="78" s="1"/>
  <c r="AO88" i="71"/>
  <c r="I53" i="78" s="1"/>
  <c r="AO87" i="71"/>
  <c r="H53" i="78" s="1"/>
  <c r="AO86" i="71"/>
  <c r="N52" i="78" s="1"/>
  <c r="AO85" i="71"/>
  <c r="M52" i="78" s="1"/>
  <c r="AO84" i="71"/>
  <c r="K52" i="78" s="1"/>
  <c r="AO83" i="71"/>
  <c r="J52" i="78" s="1"/>
  <c r="AO82" i="71"/>
  <c r="I52" i="78" s="1"/>
  <c r="AO81" i="71"/>
  <c r="H52" i="78" s="1"/>
  <c r="AO80" i="71"/>
  <c r="R51" i="78" s="1"/>
  <c r="AO79" i="71"/>
  <c r="K51" i="78" s="1"/>
  <c r="AO78" i="71"/>
  <c r="J51" i="78" s="1"/>
  <c r="AO77" i="71"/>
  <c r="I51" i="78" s="1"/>
  <c r="AO76" i="71"/>
  <c r="H51" i="78" s="1"/>
  <c r="AO75" i="71"/>
  <c r="AO74" i="71"/>
  <c r="AO73" i="71"/>
  <c r="AO72" i="71"/>
  <c r="AO71" i="71"/>
  <c r="AO70" i="71"/>
  <c r="AO69" i="71"/>
  <c r="AO68" i="71"/>
  <c r="AO67" i="71"/>
  <c r="AO66" i="71"/>
  <c r="AO65" i="71"/>
  <c r="AO64" i="71"/>
  <c r="AO63" i="71"/>
  <c r="AO62" i="71"/>
  <c r="AO61" i="71"/>
  <c r="AO60" i="71"/>
  <c r="AO59" i="71"/>
  <c r="AO58" i="71"/>
  <c r="AO57" i="71"/>
  <c r="AO56" i="71"/>
  <c r="AO55" i="71"/>
  <c r="AO54" i="71"/>
  <c r="AO53" i="71"/>
  <c r="AO52" i="71"/>
  <c r="AO51" i="71"/>
  <c r="AO50" i="71"/>
  <c r="AO49" i="71"/>
  <c r="AO48" i="71"/>
  <c r="AO47" i="71"/>
  <c r="AO46" i="71"/>
  <c r="AO45" i="71"/>
  <c r="AO44" i="71"/>
  <c r="AO43" i="71"/>
  <c r="AO42" i="71"/>
  <c r="AO41" i="71"/>
  <c r="AO40" i="71"/>
  <c r="AO39" i="71"/>
  <c r="AO38" i="71"/>
  <c r="AO37" i="71"/>
  <c r="AO36" i="71"/>
  <c r="AO35" i="71"/>
  <c r="AO34" i="71"/>
  <c r="AO33" i="71"/>
  <c r="AO32" i="71"/>
  <c r="AO31" i="71"/>
  <c r="AO30" i="71"/>
  <c r="AO29" i="71"/>
  <c r="AO28" i="71"/>
  <c r="AO27" i="71"/>
  <c r="AO26" i="71"/>
  <c r="BF37" i="85" l="1"/>
  <c r="BC36" i="85"/>
  <c r="BE37" i="85"/>
  <c r="G55" i="78"/>
  <c r="G51" i="78"/>
  <c r="I50" i="78"/>
  <c r="K50" i="78"/>
  <c r="P50" i="78"/>
  <c r="Q50" i="78"/>
  <c r="H50" i="78"/>
  <c r="J50" i="78"/>
  <c r="O50" i="78"/>
  <c r="L50" i="78"/>
  <c r="R50" i="78"/>
  <c r="G52" i="78"/>
  <c r="G53" i="78"/>
  <c r="G54" i="78"/>
  <c r="H19" i="85"/>
  <c r="G23" i="85"/>
  <c r="N23" i="80"/>
  <c r="K35" i="85"/>
  <c r="H35" i="85"/>
  <c r="N35" i="80"/>
  <c r="K39" i="85"/>
  <c r="G39" i="85"/>
  <c r="J39" i="85"/>
  <c r="I43" i="85"/>
  <c r="L47" i="80"/>
  <c r="H47" i="85"/>
  <c r="N47" i="80"/>
  <c r="K51" i="85"/>
  <c r="I51" i="85"/>
  <c r="K59" i="85"/>
  <c r="G59" i="85"/>
  <c r="J59" i="85"/>
  <c r="K63" i="85"/>
  <c r="N63" i="80"/>
  <c r="I63" i="85"/>
  <c r="K67" i="85"/>
  <c r="N67" i="80"/>
  <c r="Q10" i="78"/>
  <c r="N10" i="78"/>
  <c r="O10" i="78"/>
  <c r="P10" i="78"/>
  <c r="M10" i="78"/>
  <c r="L10" i="78"/>
  <c r="H17" i="85"/>
  <c r="H25" i="85"/>
  <c r="J25" i="85"/>
  <c r="K33" i="80"/>
  <c r="H33" i="85"/>
  <c r="J33" i="80"/>
  <c r="N33" i="80"/>
  <c r="K37" i="85"/>
  <c r="G37" i="85"/>
  <c r="I37" i="85"/>
  <c r="N37" i="80"/>
  <c r="L41" i="80"/>
  <c r="H41" i="85"/>
  <c r="N41" i="80"/>
  <c r="L45" i="85"/>
  <c r="H45" i="85"/>
  <c r="I45" i="85"/>
  <c r="L49" i="85"/>
  <c r="H49" i="85"/>
  <c r="I49" i="85"/>
  <c r="N49" i="80"/>
  <c r="K53" i="85"/>
  <c r="G53" i="85"/>
  <c r="I53" i="85"/>
  <c r="N53" i="80"/>
  <c r="K57" i="85"/>
  <c r="G57" i="85"/>
  <c r="I57" i="85"/>
  <c r="N57" i="80"/>
  <c r="K61" i="85"/>
  <c r="G61" i="85"/>
  <c r="J61" i="85"/>
  <c r="N61" i="80"/>
  <c r="L65" i="85"/>
  <c r="G65" i="85"/>
  <c r="J65" i="85"/>
  <c r="I17" i="85"/>
  <c r="J19" i="85"/>
  <c r="I27" i="85"/>
  <c r="K31" i="85"/>
  <c r="H31" i="85"/>
  <c r="J35" i="85"/>
  <c r="L43" i="85"/>
  <c r="G43" i="85"/>
  <c r="I47" i="85"/>
  <c r="G51" i="85"/>
  <c r="J55" i="85"/>
  <c r="G55" i="85"/>
  <c r="L55" i="85"/>
  <c r="N59" i="80"/>
  <c r="G63" i="85"/>
  <c r="I67" i="85"/>
  <c r="I69" i="85"/>
  <c r="J69" i="85"/>
  <c r="H69" i="85"/>
  <c r="G69" i="85"/>
  <c r="I59" i="85"/>
  <c r="G45" i="85"/>
  <c r="I41" i="85"/>
  <c r="J41" i="85"/>
  <c r="H39" i="85"/>
  <c r="G33" i="85"/>
  <c r="G31" i="85"/>
  <c r="I29" i="85"/>
  <c r="J27" i="85"/>
  <c r="G25" i="85"/>
  <c r="J23" i="85"/>
  <c r="I23" i="85"/>
  <c r="H23" i="85"/>
  <c r="K55" i="85"/>
  <c r="L35" i="85"/>
  <c r="L31" i="85"/>
  <c r="K23" i="85"/>
  <c r="L23" i="85"/>
  <c r="K69" i="85"/>
  <c r="L69" i="85"/>
  <c r="L37" i="85"/>
  <c r="K25" i="85"/>
  <c r="L25" i="85"/>
  <c r="I17" i="80"/>
  <c r="J69" i="80"/>
  <c r="I69" i="80"/>
  <c r="I41" i="80"/>
  <c r="J41" i="80"/>
  <c r="H31" i="80"/>
  <c r="J29" i="80"/>
  <c r="G23" i="80"/>
  <c r="H69" i="80"/>
  <c r="G69" i="80"/>
  <c r="J55" i="80"/>
  <c r="G45" i="80"/>
  <c r="H33" i="80"/>
  <c r="G25" i="80"/>
  <c r="J23" i="80"/>
  <c r="I23" i="80"/>
  <c r="N19" i="80"/>
  <c r="N69" i="80"/>
  <c r="N29" i="80"/>
  <c r="N51" i="80"/>
  <c r="N39" i="80"/>
  <c r="N31" i="80"/>
  <c r="N27" i="80"/>
  <c r="L43" i="80"/>
  <c r="K31" i="80"/>
  <c r="K23" i="80"/>
  <c r="L23" i="80"/>
  <c r="L69" i="80"/>
  <c r="K69" i="80"/>
  <c r="L37" i="80"/>
  <c r="L25" i="80"/>
  <c r="K25" i="80"/>
  <c r="J78" i="80" l="1"/>
  <c r="J78" i="85"/>
  <c r="G78" i="80"/>
  <c r="X78" i="80" s="1"/>
  <c r="G78" i="85"/>
  <c r="X78" i="85" s="1"/>
  <c r="I78" i="80"/>
  <c r="I78" i="85"/>
  <c r="H78" i="80"/>
  <c r="H78" i="85"/>
  <c r="L78" i="80"/>
  <c r="L78" i="85"/>
  <c r="K78" i="80"/>
  <c r="K78" i="85"/>
  <c r="X104" i="80"/>
  <c r="X104" i="85"/>
  <c r="Z102" i="85"/>
  <c r="X105" i="85"/>
  <c r="X105" i="80"/>
  <c r="Z104" i="85"/>
  <c r="Z101" i="85"/>
  <c r="Z103" i="85"/>
  <c r="X101" i="85"/>
  <c r="X101" i="80"/>
  <c r="Y101" i="85"/>
  <c r="X102" i="85"/>
  <c r="X102" i="80"/>
  <c r="Z105" i="85"/>
  <c r="X103" i="80"/>
  <c r="X103" i="85"/>
  <c r="X30" i="84"/>
  <c r="X27" i="88"/>
  <c r="X28" i="88"/>
  <c r="X31" i="84"/>
  <c r="N25" i="80"/>
  <c r="L33" i="85"/>
  <c r="L29" i="85"/>
  <c r="K47" i="85"/>
  <c r="K29" i="80"/>
  <c r="G35" i="85"/>
  <c r="H35" i="80"/>
  <c r="G37" i="80"/>
  <c r="K35" i="80"/>
  <c r="I27" i="80"/>
  <c r="H23" i="80"/>
  <c r="G24" i="80" s="1"/>
  <c r="K39" i="80"/>
  <c r="K49" i="85"/>
  <c r="N17" i="80"/>
  <c r="M18" i="80" s="1"/>
  <c r="H37" i="80"/>
  <c r="J63" i="85"/>
  <c r="I64" i="85" s="1"/>
  <c r="I33" i="80"/>
  <c r="I34" i="80" s="1"/>
  <c r="H37" i="85"/>
  <c r="G38" i="85" s="1"/>
  <c r="I31" i="85"/>
  <c r="L27" i="80"/>
  <c r="K27" i="80"/>
  <c r="L27" i="85"/>
  <c r="K27" i="85"/>
  <c r="H29" i="80"/>
  <c r="I25" i="85"/>
  <c r="G29" i="85"/>
  <c r="J25" i="80"/>
  <c r="G29" i="80"/>
  <c r="H29" i="85"/>
  <c r="K41" i="80"/>
  <c r="I25" i="80"/>
  <c r="L41" i="85"/>
  <c r="K41" i="85"/>
  <c r="K33" i="85"/>
  <c r="L33" i="80"/>
  <c r="K34" i="80" s="1"/>
  <c r="G19" i="80"/>
  <c r="G19" i="85"/>
  <c r="H19" i="80"/>
  <c r="G39" i="80"/>
  <c r="J49" i="85"/>
  <c r="I50" i="85" s="1"/>
  <c r="J49" i="80"/>
  <c r="J37" i="85"/>
  <c r="I38" i="85" s="1"/>
  <c r="G27" i="80"/>
  <c r="G27" i="85"/>
  <c r="J33" i="85"/>
  <c r="I33" i="85"/>
  <c r="H27" i="85"/>
  <c r="J31" i="85"/>
  <c r="L49" i="80"/>
  <c r="J31" i="80"/>
  <c r="J37" i="80"/>
  <c r="G41" i="80"/>
  <c r="L29" i="80"/>
  <c r="K37" i="80"/>
  <c r="L45" i="80"/>
  <c r="H25" i="80"/>
  <c r="G26" i="80" s="1"/>
  <c r="G33" i="80"/>
  <c r="I29" i="80"/>
  <c r="I37" i="80"/>
  <c r="K29" i="85"/>
  <c r="J29" i="85"/>
  <c r="I30" i="85" s="1"/>
  <c r="G41" i="85"/>
  <c r="G42" i="85" s="1"/>
  <c r="K45" i="85"/>
  <c r="J45" i="85"/>
  <c r="I46" i="85" s="1"/>
  <c r="L57" i="85"/>
  <c r="K58" i="85" s="1"/>
  <c r="H53" i="85"/>
  <c r="G54" i="85" s="1"/>
  <c r="G50" i="78"/>
  <c r="N45" i="80"/>
  <c r="M46" i="80" s="1"/>
  <c r="G49" i="80"/>
  <c r="J45" i="80"/>
  <c r="G49" i="85"/>
  <c r="K45" i="80"/>
  <c r="H41" i="80"/>
  <c r="I45" i="80"/>
  <c r="H57" i="85"/>
  <c r="G58" i="85" s="1"/>
  <c r="K53" i="80"/>
  <c r="G57" i="80"/>
  <c r="I53" i="80"/>
  <c r="L53" i="85"/>
  <c r="K54" i="85" s="1"/>
  <c r="J53" i="85"/>
  <c r="I54" i="85" s="1"/>
  <c r="K49" i="80"/>
  <c r="K57" i="80"/>
  <c r="H45" i="80"/>
  <c r="G46" i="80" s="1"/>
  <c r="G53" i="80"/>
  <c r="I49" i="80"/>
  <c r="J57" i="85"/>
  <c r="I58" i="85" s="1"/>
  <c r="H61" i="85"/>
  <c r="G62" i="85" s="1"/>
  <c r="G65" i="80"/>
  <c r="K65" i="85"/>
  <c r="L53" i="80"/>
  <c r="L61" i="80"/>
  <c r="H49" i="80"/>
  <c r="H57" i="80"/>
  <c r="J53" i="80"/>
  <c r="J61" i="80"/>
  <c r="L61" i="85"/>
  <c r="K62" i="85" s="1"/>
  <c r="I61" i="85"/>
  <c r="H65" i="85"/>
  <c r="G66" i="85" s="1"/>
  <c r="L65" i="80"/>
  <c r="H61" i="80"/>
  <c r="J57" i="80"/>
  <c r="I65" i="80"/>
  <c r="I65" i="85"/>
  <c r="L57" i="80"/>
  <c r="K65" i="80"/>
  <c r="H53" i="80"/>
  <c r="G61" i="80"/>
  <c r="I57" i="80"/>
  <c r="J65" i="80"/>
  <c r="N65" i="80"/>
  <c r="M66" i="80" s="1"/>
  <c r="K61" i="80"/>
  <c r="H65" i="80"/>
  <c r="I61" i="80"/>
  <c r="G47" i="85"/>
  <c r="I39" i="80"/>
  <c r="L39" i="85"/>
  <c r="K40" i="85" s="1"/>
  <c r="I35" i="80"/>
  <c r="I43" i="80"/>
  <c r="H51" i="80"/>
  <c r="K43" i="85"/>
  <c r="I35" i="85"/>
  <c r="J43" i="85"/>
  <c r="I44" i="85" s="1"/>
  <c r="J51" i="85"/>
  <c r="I52" i="85" s="1"/>
  <c r="L31" i="80"/>
  <c r="K32" i="80" s="1"/>
  <c r="L35" i="80"/>
  <c r="K43" i="80"/>
  <c r="N55" i="80"/>
  <c r="M56" i="80" s="1"/>
  <c r="J27" i="80"/>
  <c r="J35" i="80"/>
  <c r="J43" i="80"/>
  <c r="I51" i="80"/>
  <c r="H27" i="80"/>
  <c r="H39" i="80"/>
  <c r="H47" i="80"/>
  <c r="G59" i="80"/>
  <c r="H51" i="85"/>
  <c r="G52" i="85" s="1"/>
  <c r="H55" i="85"/>
  <c r="G56" i="85" s="1"/>
  <c r="L55" i="80"/>
  <c r="L47" i="85"/>
  <c r="I39" i="85"/>
  <c r="J47" i="85"/>
  <c r="I48" i="85" s="1"/>
  <c r="J59" i="80"/>
  <c r="J51" i="80"/>
  <c r="G47" i="80"/>
  <c r="G51" i="80"/>
  <c r="G55" i="80"/>
  <c r="H59" i="85"/>
  <c r="G60" i="85" s="1"/>
  <c r="I59" i="80"/>
  <c r="H55" i="80"/>
  <c r="H59" i="80"/>
  <c r="L39" i="80"/>
  <c r="L51" i="80"/>
  <c r="N43" i="80"/>
  <c r="M44" i="80" s="1"/>
  <c r="I31" i="80"/>
  <c r="J39" i="80"/>
  <c r="J47" i="80"/>
  <c r="G31" i="80"/>
  <c r="G35" i="80"/>
  <c r="G43" i="80"/>
  <c r="L51" i="85"/>
  <c r="K52" i="85" s="1"/>
  <c r="L59" i="85"/>
  <c r="K60" i="85" s="1"/>
  <c r="H43" i="85"/>
  <c r="G44" i="85" s="1"/>
  <c r="I55" i="85"/>
  <c r="K47" i="80"/>
  <c r="K51" i="80"/>
  <c r="K55" i="80"/>
  <c r="L59" i="80"/>
  <c r="I47" i="80"/>
  <c r="I55" i="80"/>
  <c r="H43" i="80"/>
  <c r="J63" i="80"/>
  <c r="K67" i="80"/>
  <c r="K59" i="80"/>
  <c r="K63" i="80"/>
  <c r="I63" i="80"/>
  <c r="L63" i="85"/>
  <c r="K64" i="85" s="1"/>
  <c r="L67" i="85"/>
  <c r="K68" i="85" s="1"/>
  <c r="H63" i="80"/>
  <c r="L63" i="80"/>
  <c r="L67" i="80"/>
  <c r="J67" i="80"/>
  <c r="J67" i="85"/>
  <c r="I68" i="85" s="1"/>
  <c r="J17" i="85"/>
  <c r="I18" i="85" s="1"/>
  <c r="H17" i="80"/>
  <c r="G17" i="85"/>
  <c r="J17" i="80"/>
  <c r="I18" i="80" s="1"/>
  <c r="G17" i="80"/>
  <c r="I19" i="80"/>
  <c r="I19" i="85"/>
  <c r="J19" i="80"/>
  <c r="H67" i="80"/>
  <c r="G67" i="85"/>
  <c r="I67" i="80"/>
  <c r="G63" i="80"/>
  <c r="G67" i="80"/>
  <c r="H63" i="85"/>
  <c r="G64" i="85" s="1"/>
  <c r="H67" i="85"/>
  <c r="I60" i="85"/>
  <c r="X59" i="85" s="1"/>
  <c r="K26" i="85"/>
  <c r="Y25" i="85" s="1"/>
  <c r="K38" i="85"/>
  <c r="Y37" i="85" s="1"/>
  <c r="G24" i="85"/>
  <c r="W23" i="85" s="1"/>
  <c r="G26" i="85"/>
  <c r="W25" i="85" s="1"/>
  <c r="G32" i="85"/>
  <c r="W31" i="85" s="1"/>
  <c r="G34" i="85"/>
  <c r="W33" i="85" s="1"/>
  <c r="G40" i="85"/>
  <c r="W39" i="85" s="1"/>
  <c r="G46" i="85"/>
  <c r="W45" i="85" s="1"/>
  <c r="G70" i="85"/>
  <c r="W69" i="85" s="1"/>
  <c r="K24" i="85"/>
  <c r="Y23" i="85" s="1"/>
  <c r="K32" i="85"/>
  <c r="Y31" i="85" s="1"/>
  <c r="K36" i="85"/>
  <c r="Y35" i="85" s="1"/>
  <c r="K56" i="85"/>
  <c r="Y55" i="85" s="1"/>
  <c r="I24" i="85"/>
  <c r="X23" i="85" s="1"/>
  <c r="I28" i="85"/>
  <c r="X27" i="85" s="1"/>
  <c r="AR24" i="85" s="1"/>
  <c r="I42" i="85"/>
  <c r="X41" i="85" s="1"/>
  <c r="AI24" i="85" s="1"/>
  <c r="AG24" i="85" s="1"/>
  <c r="AZ19" i="85" s="1"/>
  <c r="I70" i="85"/>
  <c r="X69" i="85" s="1"/>
  <c r="I21" i="85"/>
  <c r="J21" i="85"/>
  <c r="H21" i="85"/>
  <c r="G21" i="85"/>
  <c r="K19" i="80"/>
  <c r="L19" i="85"/>
  <c r="K19" i="85"/>
  <c r="K70" i="85"/>
  <c r="Y69" i="85" s="1"/>
  <c r="L21" i="85"/>
  <c r="K21" i="85"/>
  <c r="L17" i="80"/>
  <c r="L17" i="85"/>
  <c r="K17" i="85"/>
  <c r="K17" i="80"/>
  <c r="L19" i="80"/>
  <c r="M28" i="80"/>
  <c r="Z27" i="80" s="1"/>
  <c r="AR34" i="80" s="1"/>
  <c r="M32" i="80"/>
  <c r="Z31" i="80" s="1"/>
  <c r="M52" i="80"/>
  <c r="Z51" i="80" s="1"/>
  <c r="AI35" i="80" s="1"/>
  <c r="AG35" i="80" s="1"/>
  <c r="M26" i="80"/>
  <c r="M42" i="80"/>
  <c r="M50" i="80"/>
  <c r="Z49" i="80" s="1"/>
  <c r="AS34" i="80" s="1"/>
  <c r="I24" i="80"/>
  <c r="X23" i="80" s="1"/>
  <c r="G70" i="80"/>
  <c r="W69" i="80" s="1"/>
  <c r="I42" i="80"/>
  <c r="X41" i="80" s="1"/>
  <c r="AI24" i="80" s="1"/>
  <c r="AG24" i="80" s="1"/>
  <c r="AZ24" i="80" s="1"/>
  <c r="I70" i="80"/>
  <c r="X69" i="80" s="1"/>
  <c r="I21" i="80"/>
  <c r="J21" i="80"/>
  <c r="H21" i="80"/>
  <c r="G21" i="80"/>
  <c r="K26" i="80"/>
  <c r="Y25" i="80" s="1"/>
  <c r="K70" i="80"/>
  <c r="Y69" i="80" s="1"/>
  <c r="M40" i="80"/>
  <c r="Z39" i="80" s="1"/>
  <c r="M34" i="80"/>
  <c r="M38" i="80"/>
  <c r="Z37" i="80" s="1"/>
  <c r="M70" i="80"/>
  <c r="Z69" i="80" s="1"/>
  <c r="N21" i="80"/>
  <c r="M20" i="80"/>
  <c r="Z19" i="80" s="1"/>
  <c r="AH34" i="80" s="1"/>
  <c r="AF34" i="80" s="1"/>
  <c r="K21" i="80"/>
  <c r="L21" i="80"/>
  <c r="K24" i="80"/>
  <c r="Y23" i="80" s="1"/>
  <c r="K48" i="85" l="1"/>
  <c r="Y47" i="85" s="1"/>
  <c r="Y101" i="80"/>
  <c r="W101" i="85"/>
  <c r="Y103" i="80"/>
  <c r="Y78" i="80"/>
  <c r="AO51" i="80" s="1"/>
  <c r="AM51" i="80" s="1"/>
  <c r="Y104" i="85"/>
  <c r="W101" i="80"/>
  <c r="Y103" i="85"/>
  <c r="Y78" i="85"/>
  <c r="Y104" i="80"/>
  <c r="Y102" i="80"/>
  <c r="W104" i="80"/>
  <c r="W103" i="85"/>
  <c r="Y105" i="80"/>
  <c r="W25" i="80"/>
  <c r="Y102" i="85"/>
  <c r="W104" i="85"/>
  <c r="W103" i="80"/>
  <c r="Y105" i="85"/>
  <c r="BE19" i="85"/>
  <c r="AO31" i="85"/>
  <c r="AM31" i="85" s="1"/>
  <c r="W105" i="85"/>
  <c r="W78" i="80"/>
  <c r="W102" i="80"/>
  <c r="AM46" i="80"/>
  <c r="W105" i="80"/>
  <c r="W78" i="85"/>
  <c r="W102" i="85"/>
  <c r="Z25" i="80"/>
  <c r="Y51" i="85"/>
  <c r="AI30" i="85" s="1"/>
  <c r="AG30" i="85" s="1"/>
  <c r="W37" i="85"/>
  <c r="X29" i="85"/>
  <c r="AH25" i="85" s="1"/>
  <c r="AF25" i="85" s="1"/>
  <c r="AY20" i="85" s="1"/>
  <c r="K46" i="85"/>
  <c r="Y45" i="85" s="1"/>
  <c r="I56" i="85"/>
  <c r="X55" i="85" s="1"/>
  <c r="I40" i="85"/>
  <c r="X39" i="85" s="1"/>
  <c r="Y53" i="85"/>
  <c r="X43" i="85"/>
  <c r="AS25" i="85" s="1"/>
  <c r="BF20" i="85" s="1"/>
  <c r="Y63" i="85"/>
  <c r="G50" i="85"/>
  <c r="W49" i="85" s="1"/>
  <c r="AS19" i="85" s="1"/>
  <c r="W41" i="85"/>
  <c r="AI19" i="85" s="1"/>
  <c r="W43" i="85"/>
  <c r="AS20" i="85" s="1"/>
  <c r="X49" i="85"/>
  <c r="AS24" i="85" s="1"/>
  <c r="G18" i="85"/>
  <c r="W17" i="85" s="1"/>
  <c r="AH18" i="85" s="1"/>
  <c r="X51" i="85"/>
  <c r="AI25" i="85" s="1"/>
  <c r="AG25" i="85" s="1"/>
  <c r="AZ20" i="85" s="1"/>
  <c r="W53" i="85"/>
  <c r="Y57" i="85"/>
  <c r="Y67" i="85"/>
  <c r="G20" i="85"/>
  <c r="W19" i="85" s="1"/>
  <c r="AH19" i="85" s="1"/>
  <c r="Y59" i="85"/>
  <c r="Y39" i="85"/>
  <c r="W55" i="85"/>
  <c r="I26" i="85"/>
  <c r="X25" i="85" s="1"/>
  <c r="G48" i="85"/>
  <c r="W47" i="85" s="1"/>
  <c r="K44" i="85"/>
  <c r="Y43" i="85" s="1"/>
  <c r="AS30" i="85" s="1"/>
  <c r="X45" i="85"/>
  <c r="X57" i="85"/>
  <c r="W59" i="85"/>
  <c r="X53" i="85"/>
  <c r="W63" i="85"/>
  <c r="W51" i="85"/>
  <c r="AI20" i="85" s="1"/>
  <c r="X47" i="85"/>
  <c r="I36" i="85"/>
  <c r="X35" i="85" s="1"/>
  <c r="I20" i="85"/>
  <c r="X19" i="85" s="1"/>
  <c r="AH24" i="85" s="1"/>
  <c r="AF24" i="85" s="1"/>
  <c r="AY19" i="85" s="1"/>
  <c r="I62" i="85"/>
  <c r="X61" i="85" s="1"/>
  <c r="Y61" i="85"/>
  <c r="W61" i="85"/>
  <c r="X63" i="85"/>
  <c r="W65" i="85"/>
  <c r="I66" i="85"/>
  <c r="X65" i="85" s="1"/>
  <c r="K66" i="85"/>
  <c r="Y65" i="85" s="1"/>
  <c r="K50" i="85"/>
  <c r="Y49" i="85" s="1"/>
  <c r="AS29" i="85" s="1"/>
  <c r="G36" i="85"/>
  <c r="W35" i="85" s="1"/>
  <c r="X67" i="85"/>
  <c r="X37" i="85"/>
  <c r="X17" i="85"/>
  <c r="W57" i="85"/>
  <c r="M64" i="80"/>
  <c r="Z63" i="80" s="1"/>
  <c r="I56" i="80"/>
  <c r="X55" i="80" s="1"/>
  <c r="M58" i="80"/>
  <c r="Z57" i="80" s="1"/>
  <c r="I50" i="80"/>
  <c r="X49" i="80" s="1"/>
  <c r="AS24" i="80" s="1"/>
  <c r="K38" i="80"/>
  <c r="Y37" i="80" s="1"/>
  <c r="K42" i="80"/>
  <c r="Y41" i="80" s="1"/>
  <c r="AI29" i="80" s="1"/>
  <c r="AG29" i="80" s="1"/>
  <c r="AZ29" i="80" s="1"/>
  <c r="X33" i="80"/>
  <c r="K46" i="80"/>
  <c r="Y45" i="80" s="1"/>
  <c r="M60" i="80"/>
  <c r="Z59" i="80" s="1"/>
  <c r="Z45" i="80"/>
  <c r="I28" i="80"/>
  <c r="X27" i="80" s="1"/>
  <c r="AR24" i="80" s="1"/>
  <c r="M62" i="80"/>
  <c r="Z61" i="80" s="1"/>
  <c r="M54" i="80"/>
  <c r="Z53" i="80" s="1"/>
  <c r="M36" i="80"/>
  <c r="Z35" i="80" s="1"/>
  <c r="Z43" i="80"/>
  <c r="AS35" i="80" s="1"/>
  <c r="AS31" i="80" s="1"/>
  <c r="Y31" i="80"/>
  <c r="G32" i="80"/>
  <c r="W31" i="80" s="1"/>
  <c r="M48" i="80"/>
  <c r="Z47" i="80" s="1"/>
  <c r="I30" i="80"/>
  <c r="X29" i="80" s="1"/>
  <c r="AH25" i="80" s="1"/>
  <c r="AF25" i="80" s="1"/>
  <c r="AY25" i="80" s="1"/>
  <c r="Z65" i="80"/>
  <c r="W45" i="80"/>
  <c r="Z17" i="80"/>
  <c r="G30" i="80"/>
  <c r="W29" i="80" s="1"/>
  <c r="AH20" i="80" s="1"/>
  <c r="W23" i="80"/>
  <c r="K48" i="80"/>
  <c r="Y47" i="80" s="1"/>
  <c r="G40" i="80"/>
  <c r="W39" i="80" s="1"/>
  <c r="K44" i="80"/>
  <c r="Y43" i="80" s="1"/>
  <c r="AS30" i="80" s="1"/>
  <c r="BF30" i="80" s="1"/>
  <c r="G34" i="80"/>
  <c r="W33" i="80" s="1"/>
  <c r="M24" i="80"/>
  <c r="Z23" i="80" s="1"/>
  <c r="X17" i="80"/>
  <c r="Z41" i="80"/>
  <c r="AI34" i="80" s="1"/>
  <c r="AG34" i="80" s="1"/>
  <c r="Z55" i="80"/>
  <c r="M68" i="80"/>
  <c r="Z67" i="80" s="1"/>
  <c r="Z33" i="80"/>
  <c r="Y33" i="80"/>
  <c r="M30" i="80"/>
  <c r="Z29" i="80" s="1"/>
  <c r="AH35" i="80" s="1"/>
  <c r="AF35" i="80" s="1"/>
  <c r="K28" i="80"/>
  <c r="Y27" i="80" s="1"/>
  <c r="AR29" i="80" s="1"/>
  <c r="G38" i="80"/>
  <c r="W37" i="80" s="1"/>
  <c r="G42" i="80"/>
  <c r="W41" i="80" s="1"/>
  <c r="AI19" i="80" s="1"/>
  <c r="K34" i="85"/>
  <c r="Y33" i="85" s="1"/>
  <c r="K30" i="80"/>
  <c r="Y29" i="80" s="1"/>
  <c r="AH30" i="80" s="1"/>
  <c r="AF30" i="80" s="1"/>
  <c r="AY30" i="80" s="1"/>
  <c r="K28" i="85"/>
  <c r="Y27" i="85" s="1"/>
  <c r="AR29" i="85" s="1"/>
  <c r="G30" i="85"/>
  <c r="W29" i="85" s="1"/>
  <c r="AH20" i="85" s="1"/>
  <c r="K36" i="80"/>
  <c r="Y35" i="80" s="1"/>
  <c r="K30" i="85"/>
  <c r="Y29" i="85" s="1"/>
  <c r="AH30" i="85" s="1"/>
  <c r="AF30" i="85" s="1"/>
  <c r="G36" i="80"/>
  <c r="W35" i="80" s="1"/>
  <c r="K40" i="80"/>
  <c r="Y39" i="80" s="1"/>
  <c r="K50" i="80"/>
  <c r="Y49" i="80" s="1"/>
  <c r="AS29" i="80" s="1"/>
  <c r="I32" i="85"/>
  <c r="X31" i="85" s="1"/>
  <c r="K42" i="85"/>
  <c r="Y41" i="85" s="1"/>
  <c r="AI29" i="85" s="1"/>
  <c r="AG29" i="85" s="1"/>
  <c r="K52" i="80"/>
  <c r="Y51" i="80" s="1"/>
  <c r="AI30" i="80" s="1"/>
  <c r="AG30" i="80" s="1"/>
  <c r="AZ30" i="80" s="1"/>
  <c r="I32" i="80"/>
  <c r="X31" i="80" s="1"/>
  <c r="G28" i="85"/>
  <c r="W27" i="85" s="1"/>
  <c r="AR19" i="85" s="1"/>
  <c r="I26" i="80"/>
  <c r="X25" i="80" s="1"/>
  <c r="I34" i="85"/>
  <c r="X33" i="85" s="1"/>
  <c r="G28" i="80"/>
  <c r="W27" i="80" s="1"/>
  <c r="AR19" i="80" s="1"/>
  <c r="G20" i="80"/>
  <c r="W19" i="80" s="1"/>
  <c r="AH19" i="80" s="1"/>
  <c r="I60" i="80"/>
  <c r="X59" i="80" s="1"/>
  <c r="I38" i="80"/>
  <c r="X37" i="80" s="1"/>
  <c r="I68" i="80"/>
  <c r="X67" i="80" s="1"/>
  <c r="K62" i="80"/>
  <c r="Y61" i="80" s="1"/>
  <c r="I48" i="80"/>
  <c r="X47" i="80" s="1"/>
  <c r="I46" i="80"/>
  <c r="X45" i="80" s="1"/>
  <c r="G48" i="80"/>
  <c r="W47" i="80" s="1"/>
  <c r="G54" i="80"/>
  <c r="W53" i="80" s="1"/>
  <c r="G50" i="80"/>
  <c r="W49" i="80" s="1"/>
  <c r="AS19" i="80" s="1"/>
  <c r="I64" i="80"/>
  <c r="X63" i="80" s="1"/>
  <c r="K66" i="80"/>
  <c r="Y65" i="80" s="1"/>
  <c r="G58" i="80"/>
  <c r="W57" i="80" s="1"/>
  <c r="K54" i="80"/>
  <c r="Y53" i="80" s="1"/>
  <c r="I54" i="80"/>
  <c r="X53" i="80" s="1"/>
  <c r="G66" i="80"/>
  <c r="W65" i="80" s="1"/>
  <c r="K58" i="80"/>
  <c r="Y57" i="80" s="1"/>
  <c r="I62" i="80"/>
  <c r="X61" i="80" s="1"/>
  <c r="I66" i="80"/>
  <c r="X65" i="80" s="1"/>
  <c r="G62" i="80"/>
  <c r="W61" i="80" s="1"/>
  <c r="I58" i="80"/>
  <c r="X57" i="80" s="1"/>
  <c r="I40" i="80"/>
  <c r="X39" i="80" s="1"/>
  <c r="I44" i="80"/>
  <c r="X43" i="80" s="1"/>
  <c r="AS25" i="80" s="1"/>
  <c r="BF25" i="80" s="1"/>
  <c r="G52" i="80"/>
  <c r="W51" i="80" s="1"/>
  <c r="AI20" i="80" s="1"/>
  <c r="I36" i="80"/>
  <c r="X35" i="80" s="1"/>
  <c r="I52" i="80"/>
  <c r="X51" i="80" s="1"/>
  <c r="AI25" i="80" s="1"/>
  <c r="AG25" i="80" s="1"/>
  <c r="AZ25" i="80" s="1"/>
  <c r="G60" i="80"/>
  <c r="W59" i="80" s="1"/>
  <c r="G18" i="80"/>
  <c r="W17" i="80" s="1"/>
  <c r="K56" i="80"/>
  <c r="Y55" i="80" s="1"/>
  <c r="G56" i="80"/>
  <c r="W55" i="80" s="1"/>
  <c r="K60" i="80"/>
  <c r="Y59" i="80" s="1"/>
  <c r="G44" i="80"/>
  <c r="W43" i="80" s="1"/>
  <c r="AS20" i="80" s="1"/>
  <c r="K68" i="80"/>
  <c r="Y67" i="80" s="1"/>
  <c r="G68" i="80"/>
  <c r="W67" i="80" s="1"/>
  <c r="K64" i="80"/>
  <c r="Y63" i="80" s="1"/>
  <c r="G64" i="80"/>
  <c r="W63" i="80" s="1"/>
  <c r="I20" i="80"/>
  <c r="X19" i="80" s="1"/>
  <c r="AH24" i="80" s="1"/>
  <c r="AF24" i="80" s="1"/>
  <c r="AY24" i="80" s="1"/>
  <c r="K20" i="80"/>
  <c r="Y19" i="80" s="1"/>
  <c r="AH29" i="80" s="1"/>
  <c r="AF29" i="80" s="1"/>
  <c r="AY29" i="80" s="1"/>
  <c r="G68" i="85"/>
  <c r="W67" i="85" s="1"/>
  <c r="K18" i="80"/>
  <c r="Y17" i="80" s="1"/>
  <c r="I22" i="85"/>
  <c r="X21" i="85" s="1"/>
  <c r="AR25" i="85" s="1"/>
  <c r="BE20" i="85" s="1"/>
  <c r="K22" i="85"/>
  <c r="Y21" i="85" s="1"/>
  <c r="AR30" i="85" s="1"/>
  <c r="G22" i="85"/>
  <c r="W21" i="85" s="1"/>
  <c r="AR20" i="85" s="1"/>
  <c r="K20" i="85"/>
  <c r="Y19" i="85" s="1"/>
  <c r="AH29" i="85" s="1"/>
  <c r="AF29" i="85" s="1"/>
  <c r="K18" i="85"/>
  <c r="Y17" i="85" s="1"/>
  <c r="G22" i="80"/>
  <c r="W21" i="80" s="1"/>
  <c r="AR20" i="80" s="1"/>
  <c r="I22" i="80"/>
  <c r="X21" i="80" s="1"/>
  <c r="AR25" i="80" s="1"/>
  <c r="BE25" i="80" s="1"/>
  <c r="K22" i="80"/>
  <c r="Y21" i="80" s="1"/>
  <c r="AR30" i="80" s="1"/>
  <c r="BE30" i="80" s="1"/>
  <c r="M22" i="80"/>
  <c r="Z21" i="80" s="1"/>
  <c r="AR35" i="80" s="1"/>
  <c r="AR31" i="80" s="1"/>
  <c r="AL31" i="80" s="1"/>
  <c r="AO17" i="71"/>
  <c r="I10" i="78" s="1"/>
  <c r="AH28" i="85" l="1"/>
  <c r="AF28" i="85" s="1"/>
  <c r="AO41" i="80"/>
  <c r="AI28" i="85"/>
  <c r="AG28" i="85" s="1"/>
  <c r="AH28" i="80"/>
  <c r="AF28" i="80" s="1"/>
  <c r="AY28" i="80" s="1"/>
  <c r="AI27" i="85"/>
  <c r="AG27" i="85" s="1"/>
  <c r="AM41" i="80"/>
  <c r="AI33" i="80"/>
  <c r="AG33" i="80" s="1"/>
  <c r="AI32" i="80"/>
  <c r="AG32" i="80" s="1"/>
  <c r="AH18" i="80"/>
  <c r="AF18" i="80" s="1"/>
  <c r="AI18" i="85"/>
  <c r="AG18" i="85" s="1"/>
  <c r="AF19" i="80"/>
  <c r="AH14" i="80"/>
  <c r="AH59" i="80" s="1"/>
  <c r="AR14" i="85"/>
  <c r="AR16" i="85"/>
  <c r="AL16" i="85" s="1"/>
  <c r="BE29" i="80"/>
  <c r="BE26" i="80" s="1"/>
  <c r="BA26" i="80" s="1"/>
  <c r="AR26" i="80"/>
  <c r="AL26" i="80" s="1"/>
  <c r="AI22" i="80"/>
  <c r="AG22" i="80" s="1"/>
  <c r="AI18" i="80"/>
  <c r="AH15" i="80"/>
  <c r="AH60" i="80" s="1"/>
  <c r="AF20" i="80"/>
  <c r="BF24" i="80"/>
  <c r="BF21" i="80" s="1"/>
  <c r="AS21" i="80"/>
  <c r="AI22" i="85"/>
  <c r="AG22" i="85" s="1"/>
  <c r="AS26" i="85"/>
  <c r="BF19" i="85"/>
  <c r="BF16" i="85" s="1"/>
  <c r="AS21" i="85"/>
  <c r="AS15" i="80"/>
  <c r="AS40" i="80"/>
  <c r="BF40" i="80" s="1"/>
  <c r="AG20" i="80"/>
  <c r="AI15" i="80"/>
  <c r="AI60" i="80" s="1"/>
  <c r="AR16" i="80"/>
  <c r="AL16" i="80" s="1"/>
  <c r="AR14" i="80"/>
  <c r="AR39" i="80"/>
  <c r="AH33" i="80"/>
  <c r="AF33" i="80" s="1"/>
  <c r="BE24" i="80"/>
  <c r="BE21" i="80" s="1"/>
  <c r="BA21" i="80" s="1"/>
  <c r="AR21" i="80"/>
  <c r="AL21" i="80" s="1"/>
  <c r="AI15" i="85"/>
  <c r="AI40" i="85" s="1"/>
  <c r="AG20" i="85"/>
  <c r="AG15" i="85" s="1"/>
  <c r="AH14" i="85"/>
  <c r="AH39" i="85" s="1"/>
  <c r="AF19" i="85"/>
  <c r="AF14" i="85" s="1"/>
  <c r="AS15" i="85"/>
  <c r="AR15" i="80"/>
  <c r="AR40" i="80"/>
  <c r="BE40" i="80" s="1"/>
  <c r="BF29" i="80"/>
  <c r="BF26" i="80" s="1"/>
  <c r="AS26" i="80"/>
  <c r="AR15" i="85"/>
  <c r="AI28" i="80"/>
  <c r="AG28" i="80" s="1"/>
  <c r="AZ28" i="80" s="1"/>
  <c r="AF20" i="85"/>
  <c r="AF15" i="85" s="1"/>
  <c r="AH15" i="85"/>
  <c r="AH40" i="85" s="1"/>
  <c r="AI14" i="80"/>
  <c r="AI59" i="80" s="1"/>
  <c r="AG19" i="80"/>
  <c r="AH23" i="80"/>
  <c r="AF23" i="80" s="1"/>
  <c r="AY23" i="80" s="1"/>
  <c r="AF18" i="85"/>
  <c r="AI14" i="85"/>
  <c r="AI39" i="85" s="1"/>
  <c r="AG19" i="85"/>
  <c r="AG14" i="85" s="1"/>
  <c r="AR21" i="85"/>
  <c r="AL21" i="85" s="1"/>
  <c r="AI23" i="80"/>
  <c r="AG23" i="80" s="1"/>
  <c r="AZ23" i="80" s="1"/>
  <c r="AS14" i="80"/>
  <c r="AS16" i="80"/>
  <c r="AS39" i="80"/>
  <c r="AR26" i="85"/>
  <c r="AL26" i="85" s="1"/>
  <c r="AI17" i="80"/>
  <c r="AI27" i="80"/>
  <c r="AG27" i="80" s="1"/>
  <c r="AH23" i="85"/>
  <c r="AF23" i="85" s="1"/>
  <c r="AY18" i="85" s="1"/>
  <c r="AS14" i="85"/>
  <c r="AS16" i="85"/>
  <c r="AI23" i="85"/>
  <c r="AG23" i="85" s="1"/>
  <c r="AZ18" i="85" s="1"/>
  <c r="AI17" i="85"/>
  <c r="BE16" i="85"/>
  <c r="BA16" i="85" s="1"/>
  <c r="X25" i="88"/>
  <c r="X27" i="84"/>
  <c r="J13" i="85"/>
  <c r="I13" i="85"/>
  <c r="I13" i="80"/>
  <c r="J13" i="80"/>
  <c r="AO15" i="71"/>
  <c r="R9" i="78" s="1"/>
  <c r="AO14" i="71"/>
  <c r="Q9" i="78" s="1"/>
  <c r="AO10" i="71"/>
  <c r="K9" i="78" s="1"/>
  <c r="M11" i="80" s="1"/>
  <c r="AO8" i="71"/>
  <c r="I9" i="78" s="1"/>
  <c r="AO7" i="71"/>
  <c r="AO11" i="71"/>
  <c r="O9" i="78" s="1"/>
  <c r="AO12" i="71"/>
  <c r="P9" i="78" s="1"/>
  <c r="AO13" i="71"/>
  <c r="AO16" i="71"/>
  <c r="H10" i="78" s="1"/>
  <c r="AO18" i="71"/>
  <c r="J10" i="78" s="1"/>
  <c r="AO19" i="71"/>
  <c r="K10" i="78" s="1"/>
  <c r="AO20" i="71"/>
  <c r="R10" i="78" s="1"/>
  <c r="AO21" i="71"/>
  <c r="AO22" i="71"/>
  <c r="AO23" i="71"/>
  <c r="AO24" i="71"/>
  <c r="AO25" i="71"/>
  <c r="X29" i="84" l="1"/>
  <c r="M13" i="80"/>
  <c r="M78" i="80"/>
  <c r="Z78" i="80" s="1"/>
  <c r="M78" i="85"/>
  <c r="Z78" i="85" s="1"/>
  <c r="K77" i="80"/>
  <c r="K77" i="85"/>
  <c r="M77" i="80"/>
  <c r="Z77" i="80" s="1"/>
  <c r="AF61" i="80" s="1"/>
  <c r="M77" i="85"/>
  <c r="Z77" i="85" s="1"/>
  <c r="AF41" i="85" s="1"/>
  <c r="J77" i="80"/>
  <c r="J77" i="85"/>
  <c r="L77" i="80"/>
  <c r="L77" i="85"/>
  <c r="AG26" i="85"/>
  <c r="AG31" i="80"/>
  <c r="AL11" i="80"/>
  <c r="AL56" i="80" s="1"/>
  <c r="AZ27" i="80"/>
  <c r="AZ26" i="80" s="1"/>
  <c r="AG26" i="80"/>
  <c r="AZ14" i="85"/>
  <c r="AZ39" i="85" s="1"/>
  <c r="AG39" i="85"/>
  <c r="AY15" i="85"/>
  <c r="AY40" i="85" s="1"/>
  <c r="AF40" i="85"/>
  <c r="AR60" i="80"/>
  <c r="BE15" i="80"/>
  <c r="AG40" i="85"/>
  <c r="AZ15" i="85"/>
  <c r="AZ40" i="85" s="1"/>
  <c r="AG18" i="80"/>
  <c r="AI13" i="80"/>
  <c r="AI58" i="80" s="1"/>
  <c r="AL11" i="85"/>
  <c r="AL36" i="85" s="1"/>
  <c r="AI13" i="85"/>
  <c r="AI38" i="85" s="1"/>
  <c r="AG17" i="80"/>
  <c r="AI12" i="80"/>
  <c r="AI57" i="80" s="1"/>
  <c r="BF14" i="80"/>
  <c r="AS11" i="80"/>
  <c r="AS56" i="80" s="1"/>
  <c r="AS59" i="80"/>
  <c r="AG39" i="80"/>
  <c r="AZ39" i="80" s="1"/>
  <c r="AG14" i="80"/>
  <c r="AH13" i="80"/>
  <c r="AH58" i="80" s="1"/>
  <c r="AS40" i="85"/>
  <c r="BF15" i="85"/>
  <c r="BF40" i="85" s="1"/>
  <c r="BE39" i="80"/>
  <c r="BE36" i="80" s="1"/>
  <c r="BA36" i="80" s="1"/>
  <c r="AR36" i="80"/>
  <c r="AL36" i="80" s="1"/>
  <c r="AG40" i="80"/>
  <c r="AZ40" i="80" s="1"/>
  <c r="AG15" i="80"/>
  <c r="AZ22" i="80"/>
  <c r="AZ21" i="80" s="1"/>
  <c r="AG21" i="80"/>
  <c r="AR39" i="85"/>
  <c r="BE14" i="85"/>
  <c r="AR11" i="85"/>
  <c r="AR36" i="85" s="1"/>
  <c r="AG13" i="85"/>
  <c r="BF14" i="85"/>
  <c r="AS39" i="85"/>
  <c r="AS11" i="85"/>
  <c r="AS36" i="85" s="1"/>
  <c r="AH13" i="85"/>
  <c r="AH38" i="85" s="1"/>
  <c r="BE15" i="85"/>
  <c r="BE40" i="85" s="1"/>
  <c r="AR40" i="85"/>
  <c r="AF13" i="80"/>
  <c r="AF38" i="80"/>
  <c r="AY38" i="80" s="1"/>
  <c r="AY14" i="85"/>
  <c r="AY39" i="85" s="1"/>
  <c r="AF39" i="85"/>
  <c r="AR11" i="80"/>
  <c r="AR56" i="80" s="1"/>
  <c r="BE14" i="80"/>
  <c r="AR59" i="80"/>
  <c r="AF15" i="80"/>
  <c r="AF40" i="80"/>
  <c r="AY40" i="80" s="1"/>
  <c r="AG17" i="85"/>
  <c r="AI12" i="85"/>
  <c r="AI37" i="85" s="1"/>
  <c r="BF39" i="80"/>
  <c r="BF36" i="80" s="1"/>
  <c r="AS36" i="80"/>
  <c r="AF13" i="85"/>
  <c r="BF15" i="80"/>
  <c r="AS60" i="80"/>
  <c r="AZ17" i="85"/>
  <c r="AZ16" i="85" s="1"/>
  <c r="AG21" i="85"/>
  <c r="AF14" i="80"/>
  <c r="AF39" i="80"/>
  <c r="AY39" i="80" s="1"/>
  <c r="X28" i="84"/>
  <c r="X26" i="88"/>
  <c r="X24" i="88"/>
  <c r="X26" i="84"/>
  <c r="J11" i="80"/>
  <c r="I11" i="80"/>
  <c r="H9" i="78"/>
  <c r="J9" i="78"/>
  <c r="K11" i="80" s="1"/>
  <c r="N15" i="80"/>
  <c r="G10" i="78"/>
  <c r="N11" i="80"/>
  <c r="I14" i="85"/>
  <c r="X13" i="85" s="1"/>
  <c r="AO21" i="85" s="1"/>
  <c r="H13" i="85"/>
  <c r="G13" i="85"/>
  <c r="J11" i="85"/>
  <c r="I11" i="85"/>
  <c r="H13" i="80"/>
  <c r="G13" i="80"/>
  <c r="I14" i="80"/>
  <c r="X13" i="80" s="1"/>
  <c r="AO21" i="80" s="1"/>
  <c r="N13" i="80"/>
  <c r="K13" i="80"/>
  <c r="W77" i="85" l="1"/>
  <c r="BE11" i="80"/>
  <c r="BA11" i="80" s="1"/>
  <c r="W77" i="80"/>
  <c r="AF38" i="85"/>
  <c r="AY13" i="85"/>
  <c r="AY38" i="85" s="1"/>
  <c r="AG16" i="85"/>
  <c r="AG12" i="85"/>
  <c r="AY15" i="80"/>
  <c r="AF60" i="80"/>
  <c r="BE39" i="85"/>
  <c r="BE36" i="85" s="1"/>
  <c r="BE11" i="85"/>
  <c r="BA11" i="85" s="1"/>
  <c r="BA36" i="85" s="1"/>
  <c r="AG60" i="80"/>
  <c r="AZ15" i="80"/>
  <c r="BF39" i="85"/>
  <c r="BF36" i="85" s="1"/>
  <c r="BF11" i="85"/>
  <c r="AG37" i="80"/>
  <c r="AG12" i="80"/>
  <c r="AG16" i="80"/>
  <c r="AG38" i="80"/>
  <c r="AZ38" i="80" s="1"/>
  <c r="AG13" i="80"/>
  <c r="AG38" i="85"/>
  <c r="AZ13" i="85"/>
  <c r="AZ38" i="85" s="1"/>
  <c r="AF59" i="80"/>
  <c r="AY14" i="80"/>
  <c r="AF58" i="80"/>
  <c r="AY13" i="80"/>
  <c r="AZ14" i="80"/>
  <c r="AG59" i="80"/>
  <c r="BF11" i="80"/>
  <c r="G11" i="80"/>
  <c r="H11" i="80"/>
  <c r="AM21" i="85"/>
  <c r="AM21" i="80"/>
  <c r="G11" i="85"/>
  <c r="H11" i="85"/>
  <c r="M16" i="80"/>
  <c r="Z15" i="80" s="1"/>
  <c r="J15" i="85"/>
  <c r="I15" i="80"/>
  <c r="I15" i="85"/>
  <c r="J15" i="80"/>
  <c r="I12" i="80"/>
  <c r="X11" i="80" s="1"/>
  <c r="I12" i="85"/>
  <c r="X11" i="85" s="1"/>
  <c r="H15" i="80"/>
  <c r="G15" i="80"/>
  <c r="G14" i="85"/>
  <c r="W13" i="85" s="1"/>
  <c r="AO16" i="85" s="1"/>
  <c r="H15" i="85"/>
  <c r="G15" i="85"/>
  <c r="L15" i="85"/>
  <c r="K15" i="85"/>
  <c r="L11" i="80"/>
  <c r="K12" i="80" s="1"/>
  <c r="L11" i="85"/>
  <c r="K11" i="85"/>
  <c r="L13" i="80"/>
  <c r="K14" i="80" s="1"/>
  <c r="Y13" i="80" s="1"/>
  <c r="AO26" i="80" s="1"/>
  <c r="K13" i="85"/>
  <c r="L13" i="85"/>
  <c r="L15" i="80"/>
  <c r="K15" i="80"/>
  <c r="M14" i="80"/>
  <c r="Z13" i="80" s="1"/>
  <c r="AO31" i="80" s="1"/>
  <c r="AM31" i="80" s="1"/>
  <c r="G14" i="80"/>
  <c r="W13" i="80" s="1"/>
  <c r="AO16" i="80" s="1"/>
  <c r="G9" i="78"/>
  <c r="AG11" i="85" l="1"/>
  <c r="AZ12" i="85"/>
  <c r="AG37" i="85"/>
  <c r="AG36" i="85" s="1"/>
  <c r="G12" i="80"/>
  <c r="W11" i="80" s="1"/>
  <c r="AG57" i="80"/>
  <c r="AG11" i="80"/>
  <c r="AZ12" i="80"/>
  <c r="AG58" i="80"/>
  <c r="AZ13" i="80"/>
  <c r="AG36" i="80"/>
  <c r="AZ37" i="80"/>
  <c r="AZ36" i="80" s="1"/>
  <c r="AM16" i="85"/>
  <c r="AM26" i="80"/>
  <c r="AO36" i="80"/>
  <c r="AO11" i="80"/>
  <c r="AM16" i="80"/>
  <c r="Y11" i="80"/>
  <c r="M12" i="80"/>
  <c r="Z11" i="80" s="1"/>
  <c r="AH32" i="80" s="1"/>
  <c r="AF32" i="80" s="1"/>
  <c r="AF31" i="80" s="1"/>
  <c r="G12" i="85"/>
  <c r="W11" i="85" s="1"/>
  <c r="I16" i="85"/>
  <c r="X15" i="85" s="1"/>
  <c r="AH22" i="85" s="1"/>
  <c r="AF22" i="85" s="1"/>
  <c r="I16" i="80"/>
  <c r="X15" i="80" s="1"/>
  <c r="AH22" i="80" s="1"/>
  <c r="AF22" i="80" s="1"/>
  <c r="G16" i="80"/>
  <c r="W15" i="80" s="1"/>
  <c r="AH17" i="80" s="1"/>
  <c r="G16" i="85"/>
  <c r="W15" i="85" s="1"/>
  <c r="K12" i="85"/>
  <c r="Y11" i="85" s="1"/>
  <c r="K14" i="85"/>
  <c r="Y13" i="85" s="1"/>
  <c r="AO26" i="85" s="1"/>
  <c r="AM26" i="85" s="1"/>
  <c r="K16" i="85"/>
  <c r="Y15" i="85" s="1"/>
  <c r="K16" i="80"/>
  <c r="Y15" i="80" s="1"/>
  <c r="AM11" i="80" l="1"/>
  <c r="AM56" i="80" s="1"/>
  <c r="AZ11" i="80"/>
  <c r="AH17" i="85"/>
  <c r="AF17" i="85" s="1"/>
  <c r="AF21" i="85"/>
  <c r="AY17" i="85"/>
  <c r="AY16" i="85" s="1"/>
  <c r="AF21" i="80"/>
  <c r="AY22" i="80"/>
  <c r="AY21" i="80" s="1"/>
  <c r="AH27" i="80"/>
  <c r="AF27" i="80" s="1"/>
  <c r="AF26" i="80" s="1"/>
  <c r="AG56" i="80"/>
  <c r="AZ37" i="85"/>
  <c r="AZ36" i="85" s="1"/>
  <c r="AZ11" i="85"/>
  <c r="AH27" i="85"/>
  <c r="AF27" i="85" s="1"/>
  <c r="AF26" i="85" s="1"/>
  <c r="AM11" i="85"/>
  <c r="AM36" i="85" s="1"/>
  <c r="AO11" i="85"/>
  <c r="AO36" i="85" s="1"/>
  <c r="BD51" i="80"/>
  <c r="BB51" i="80" s="1"/>
  <c r="BB41" i="80" s="1"/>
  <c r="AO56" i="80"/>
  <c r="BD11" i="80"/>
  <c r="BB11" i="80" s="1"/>
  <c r="BD21" i="80"/>
  <c r="BB21" i="80" s="1"/>
  <c r="BD36" i="80"/>
  <c r="BB36" i="80" s="1"/>
  <c r="AM36" i="80"/>
  <c r="BD26" i="80"/>
  <c r="BB26" i="80" s="1"/>
  <c r="AF17" i="80"/>
  <c r="AY27" i="80" l="1"/>
  <c r="AY26" i="80" s="1"/>
  <c r="AH12" i="85"/>
  <c r="AH37" i="85" s="1"/>
  <c r="AH12" i="80"/>
  <c r="AH57" i="80" s="1"/>
  <c r="AF16" i="85"/>
  <c r="AF12" i="85"/>
  <c r="BD11" i="85"/>
  <c r="BD31" i="85"/>
  <c r="BB31" i="85" s="1"/>
  <c r="BD16" i="85"/>
  <c r="BB16" i="85" s="1"/>
  <c r="AF16" i="80"/>
  <c r="AF37" i="80"/>
  <c r="AF12" i="80"/>
  <c r="BB11" i="85" l="1"/>
  <c r="BB36" i="85" s="1"/>
  <c r="BD36" i="85"/>
  <c r="AY12" i="85"/>
  <c r="AF11" i="85"/>
  <c r="AF37" i="85"/>
  <c r="AF36" i="85" s="1"/>
  <c r="AF57" i="80"/>
  <c r="AF56" i="80" s="1"/>
  <c r="AY12" i="80"/>
  <c r="AY11" i="80" s="1"/>
  <c r="AF11" i="80"/>
  <c r="AF36" i="80"/>
  <c r="AY37" i="80"/>
  <c r="AY36" i="80" s="1"/>
  <c r="AY11" i="85" l="1"/>
  <c r="AY37" i="85"/>
  <c r="AY36" i="8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B9" authorId="0" shapeId="0" xr:uid="{BEABF8A7-2F67-445A-9334-FCBBD166CEAC}">
      <text>
        <r>
          <rPr>
            <sz val="9"/>
            <color indexed="81"/>
            <rFont val="ＭＳ 明朝"/>
            <family val="1"/>
            <charset val="128"/>
          </rPr>
          <t>「&lt;=12」は年計
「1」～「12」は各月の計</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J5" authorId="0" shapeId="0" xr:uid="{4F47DCBA-2D2E-40C5-922D-0F4F92C61B71}">
      <text>
        <r>
          <rPr>
            <sz val="9"/>
            <color indexed="81"/>
            <rFont val="ＭＳ 明朝"/>
            <family val="1"/>
            <charset val="128"/>
          </rPr>
          <t>【記入方法１】標準時間×作業の有無
・標準時間を入力
・作業を行った日に「1」を入力
【記入方法２】実際の作業時間
・標準時間に「1」を入力
・作業を行った日に作業時間を入力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J5" authorId="0" shapeId="0" xr:uid="{DCC34B13-8CD2-46B5-9FBF-7E4A234E6A19}">
      <text>
        <r>
          <rPr>
            <sz val="9"/>
            <color indexed="81"/>
            <rFont val="ＭＳ 明朝"/>
            <family val="1"/>
            <charset val="128"/>
          </rPr>
          <t>【記入方法１】標準時間×作業の有無
・標準時間を入力
・作業を行った日に「1」を入力
【記入方法２】実際の作業時間
・標準時間に「1」を入力
・作業を行った日に作業時間を入力</t>
        </r>
      </text>
    </comment>
  </commentList>
</comments>
</file>

<file path=xl/sharedStrings.xml><?xml version="1.0" encoding="utf-8"?>
<sst xmlns="http://schemas.openxmlformats.org/spreadsheetml/2006/main" count="536" uniqueCount="161">
  <si>
    <t>時間</t>
    <rPh sb="0" eb="2">
      <t>ジカン</t>
    </rPh>
    <phoneticPr fontId="2"/>
  </si>
  <si>
    <t>月</t>
    <rPh sb="0" eb="1">
      <t>ツキ</t>
    </rPh>
    <phoneticPr fontId="6"/>
  </si>
  <si>
    <t>性別</t>
    <rPh sb="0" eb="2">
      <t>セイベツ</t>
    </rPh>
    <phoneticPr fontId="2"/>
  </si>
  <si>
    <t>年齢</t>
    <rPh sb="0" eb="2">
      <t>ネンレイ</t>
    </rPh>
    <phoneticPr fontId="2"/>
  </si>
  <si>
    <t>雇用形態</t>
    <rPh sb="0" eb="2">
      <t>コヨウ</t>
    </rPh>
    <rPh sb="2" eb="4">
      <t>ケイタイ</t>
    </rPh>
    <phoneticPr fontId="2"/>
  </si>
  <si>
    <t>敷料搬入・きゅう肥搬出</t>
    <rPh sb="0" eb="2">
      <t>シキリョウ</t>
    </rPh>
    <rPh sb="2" eb="4">
      <t>ハンニュウ</t>
    </rPh>
    <rPh sb="8" eb="9">
      <t>ヒ</t>
    </rPh>
    <rPh sb="9" eb="11">
      <t>ハンシュツ</t>
    </rPh>
    <phoneticPr fontId="3"/>
  </si>
  <si>
    <t>氏　名</t>
    <rPh sb="0" eb="1">
      <t>シ</t>
    </rPh>
    <rPh sb="2" eb="3">
      <t>メイ</t>
    </rPh>
    <phoneticPr fontId="6"/>
  </si>
  <si>
    <t>性別</t>
    <rPh sb="0" eb="2">
      <t>セイベツ</t>
    </rPh>
    <phoneticPr fontId="6"/>
  </si>
  <si>
    <t>年齢</t>
    <rPh sb="0" eb="2">
      <t>ネンレイ</t>
    </rPh>
    <phoneticPr fontId="6"/>
  </si>
  <si>
    <t>家族
・
雇用</t>
    <rPh sb="0" eb="2">
      <t>カゾク</t>
    </rPh>
    <rPh sb="5" eb="7">
      <t>コヨウ</t>
    </rPh>
    <phoneticPr fontId="6"/>
  </si>
  <si>
    <t>飼料の調理・
給与・給水</t>
    <rPh sb="0" eb="2">
      <t>シリョウ</t>
    </rPh>
    <rPh sb="3" eb="5">
      <t>チョウリ</t>
    </rPh>
    <rPh sb="7" eb="9">
      <t>キュウヨ</t>
    </rPh>
    <rPh sb="10" eb="12">
      <t>キュウスイ</t>
    </rPh>
    <phoneticPr fontId="6"/>
  </si>
  <si>
    <t>敷料搬入・きゅう肥搬出</t>
    <rPh sb="0" eb="2">
      <t>シキリョウ</t>
    </rPh>
    <rPh sb="2" eb="4">
      <t>ハンニュウ</t>
    </rPh>
    <rPh sb="8" eb="9">
      <t>ヒ</t>
    </rPh>
    <rPh sb="9" eb="11">
      <t>ハンシュツ</t>
    </rPh>
    <phoneticPr fontId="6"/>
  </si>
  <si>
    <t>搾乳・牛乳
処理・運搬</t>
    <rPh sb="0" eb="2">
      <t>サクニュウ</t>
    </rPh>
    <rPh sb="3" eb="5">
      <t>ギュウニュウ</t>
    </rPh>
    <rPh sb="6" eb="8">
      <t>ショリ</t>
    </rPh>
    <rPh sb="9" eb="11">
      <t>ウンパン</t>
    </rPh>
    <phoneticPr fontId="6"/>
  </si>
  <si>
    <t>その他の
飼育作業</t>
    <rPh sb="2" eb="3">
      <t>タ</t>
    </rPh>
    <rPh sb="5" eb="7">
      <t>シイク</t>
    </rPh>
    <rPh sb="7" eb="9">
      <t>サギョウ</t>
    </rPh>
    <phoneticPr fontId="6"/>
  </si>
  <si>
    <t>65歳未満</t>
    <rPh sb="2" eb="3">
      <t>サイ</t>
    </rPh>
    <rPh sb="3" eb="5">
      <t>ミマン</t>
    </rPh>
    <phoneticPr fontId="6"/>
  </si>
  <si>
    <t>75歳以上</t>
    <rPh sb="2" eb="3">
      <t>サイ</t>
    </rPh>
    <rPh sb="3" eb="5">
      <t>イジョウ</t>
    </rPh>
    <phoneticPr fontId="6"/>
  </si>
  <si>
    <t>集計月</t>
    <rPh sb="0" eb="2">
      <t>シュウケイ</t>
    </rPh>
    <rPh sb="2" eb="3">
      <t>ツキ</t>
    </rPh>
    <phoneticPr fontId="2"/>
  </si>
  <si>
    <t>作業者</t>
    <rPh sb="0" eb="3">
      <t>サギョウシャ</t>
    </rPh>
    <phoneticPr fontId="6"/>
  </si>
  <si>
    <t>労働時間</t>
    <rPh sb="0" eb="2">
      <t>ロウドウ</t>
    </rPh>
    <rPh sb="2" eb="4">
      <t>ジカン</t>
    </rPh>
    <phoneticPr fontId="2"/>
  </si>
  <si>
    <t>定型</t>
    <rPh sb="0" eb="2">
      <t>テイケイ</t>
    </rPh>
    <phoneticPr fontId="2"/>
  </si>
  <si>
    <t>定型以外</t>
    <rPh sb="0" eb="2">
      <t>テイケイ</t>
    </rPh>
    <rPh sb="2" eb="4">
      <t>イガイ</t>
    </rPh>
    <phoneticPr fontId="2"/>
  </si>
  <si>
    <t>&lt;入力&gt;</t>
    <rPh sb="1" eb="3">
      <t>ニュウリョク</t>
    </rPh>
    <phoneticPr fontId="2"/>
  </si>
  <si>
    <t>&lt;選択&gt;</t>
    <rPh sb="1" eb="3">
      <t>センタク</t>
    </rPh>
    <phoneticPr fontId="2"/>
  </si>
  <si>
    <t>&lt;=12</t>
  </si>
  <si>
    <t/>
  </si>
  <si>
    <t>設定</t>
    <rPh sb="0" eb="2">
      <t>セッテイ</t>
    </rPh>
    <phoneticPr fontId="2"/>
  </si>
  <si>
    <t>１日当たり
標準労働
時間</t>
    <rPh sb="1" eb="2">
      <t>ニチ</t>
    </rPh>
    <rPh sb="2" eb="3">
      <t>ア</t>
    </rPh>
    <rPh sb="6" eb="8">
      <t>ヒョウジュン</t>
    </rPh>
    <rPh sb="8" eb="10">
      <t>ロウドウ</t>
    </rPh>
    <rPh sb="11" eb="13">
      <t>ジカン</t>
    </rPh>
    <phoneticPr fontId="6"/>
  </si>
  <si>
    <r>
      <t xml:space="preserve">作業
</t>
    </r>
    <r>
      <rPr>
        <sz val="6"/>
        <rFont val="ＭＳ Ｐゴシック"/>
        <family val="3"/>
        <charset val="128"/>
        <scheme val="minor"/>
      </rPr>
      <t>&lt;入力&gt;</t>
    </r>
    <rPh sb="0" eb="2">
      <t>サギョウ</t>
    </rPh>
    <rPh sb="4" eb="6">
      <t>ニュウリョク</t>
    </rPh>
    <phoneticPr fontId="6"/>
  </si>
  <si>
    <r>
      <t xml:space="preserve">→集計分類
</t>
    </r>
    <r>
      <rPr>
        <sz val="6"/>
        <rFont val="ＭＳ Ｐゴシック"/>
        <family val="3"/>
        <charset val="128"/>
        <scheme val="minor"/>
      </rPr>
      <t>&lt;選択&gt;</t>
    </r>
    <rPh sb="1" eb="3">
      <t>シュウケイ</t>
    </rPh>
    <rPh sb="3" eb="5">
      <t>ブンルイ</t>
    </rPh>
    <rPh sb="7" eb="9">
      <t>センタク</t>
    </rPh>
    <phoneticPr fontId="6"/>
  </si>
  <si>
    <r>
      <t xml:space="preserve">性別
</t>
    </r>
    <r>
      <rPr>
        <sz val="6"/>
        <color theme="1"/>
        <rFont val="ＭＳ Ｐゴシック"/>
        <family val="3"/>
        <charset val="128"/>
        <scheme val="minor"/>
      </rPr>
      <t>&lt;自動&gt;</t>
    </r>
    <rPh sb="0" eb="2">
      <t>セイベツ</t>
    </rPh>
    <rPh sb="4" eb="6">
      <t>ジドウ</t>
    </rPh>
    <phoneticPr fontId="2"/>
  </si>
  <si>
    <r>
      <t xml:space="preserve">年齢
</t>
    </r>
    <r>
      <rPr>
        <sz val="6"/>
        <color theme="1"/>
        <rFont val="ＭＳ Ｐゴシック"/>
        <family val="3"/>
        <charset val="128"/>
        <scheme val="minor"/>
      </rPr>
      <t>&lt;自動&gt;</t>
    </r>
    <rPh sb="0" eb="2">
      <t>ネンレイ</t>
    </rPh>
    <rPh sb="4" eb="6">
      <t>ジドウ</t>
    </rPh>
    <phoneticPr fontId="2"/>
  </si>
  <si>
    <r>
      <t xml:space="preserve">雇用
形態
</t>
    </r>
    <r>
      <rPr>
        <sz val="6"/>
        <color theme="1"/>
        <rFont val="ＭＳ Ｐゴシック"/>
        <family val="3"/>
        <charset val="128"/>
        <scheme val="minor"/>
      </rPr>
      <t>&lt;自動&gt;</t>
    </r>
    <rPh sb="0" eb="2">
      <t>コヨウ</t>
    </rPh>
    <rPh sb="3" eb="5">
      <t>ケイタイ</t>
    </rPh>
    <rPh sb="7" eb="9">
      <t>ジドウ</t>
    </rPh>
    <phoneticPr fontId="2"/>
  </si>
  <si>
    <r>
      <t xml:space="preserve">月計
</t>
    </r>
    <r>
      <rPr>
        <sz val="6"/>
        <rFont val="ＭＳ Ｐゴシック"/>
        <family val="3"/>
        <charset val="128"/>
        <scheme val="minor"/>
      </rPr>
      <t>&lt;自動&gt;</t>
    </r>
    <rPh sb="0" eb="1">
      <t>ツキ</t>
    </rPh>
    <rPh sb="1" eb="2">
      <t>ケイ</t>
    </rPh>
    <rPh sb="4" eb="6">
      <t>ジドウ</t>
    </rPh>
    <phoneticPr fontId="2"/>
  </si>
  <si>
    <r>
      <t xml:space="preserve">集計 </t>
    </r>
    <r>
      <rPr>
        <sz val="6"/>
        <rFont val="ＭＳ Ｐゴシック"/>
        <family val="3"/>
        <charset val="128"/>
      </rPr>
      <t>&lt;自動&gt;</t>
    </r>
    <rPh sb="0" eb="2">
      <t>シュウケイ</t>
    </rPh>
    <rPh sb="4" eb="6">
      <t>ジドウ</t>
    </rPh>
    <phoneticPr fontId="2"/>
  </si>
  <si>
    <r>
      <t xml:space="preserve">日別作業 </t>
    </r>
    <r>
      <rPr>
        <sz val="6"/>
        <rFont val="ＭＳ Ｐゴシック"/>
        <family val="3"/>
        <charset val="128"/>
        <scheme val="minor"/>
      </rPr>
      <t>&lt;入力&gt;</t>
    </r>
    <rPh sb="0" eb="1">
      <t>ニチ</t>
    </rPh>
    <rPh sb="1" eb="2">
      <t>ベツ</t>
    </rPh>
    <rPh sb="2" eb="4">
      <t>サギョウ</t>
    </rPh>
    <rPh sb="6" eb="8">
      <t>ニュウリョク</t>
    </rPh>
    <phoneticPr fontId="6"/>
  </si>
  <si>
    <t>労働時間</t>
    <rPh sb="0" eb="2">
      <t>ロウドウ</t>
    </rPh>
    <rPh sb="2" eb="4">
      <t>ジカン</t>
    </rPh>
    <phoneticPr fontId="6"/>
  </si>
  <si>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6"/>
  </si>
  <si>
    <t>自給飼料の生産</t>
    <rPh sb="0" eb="2">
      <t>ジキュウ</t>
    </rPh>
    <rPh sb="2" eb="4">
      <t>シリョウ</t>
    </rPh>
    <rPh sb="5" eb="7">
      <t>セイサン</t>
    </rPh>
    <phoneticPr fontId="27"/>
  </si>
  <si>
    <t>購入付帯労働時間</t>
    <rPh sb="0" eb="2">
      <t>コウニュウ</t>
    </rPh>
    <rPh sb="2" eb="4">
      <t>フタイ</t>
    </rPh>
    <rPh sb="4" eb="6">
      <t>ロウドウ</t>
    </rPh>
    <rPh sb="6" eb="8">
      <t>ジカン</t>
    </rPh>
    <phoneticPr fontId="27"/>
  </si>
  <si>
    <t>建物・農機具等の修繕</t>
    <rPh sb="0" eb="2">
      <t>タテモノ</t>
    </rPh>
    <rPh sb="3" eb="6">
      <t>ノウキグ</t>
    </rPh>
    <rPh sb="6" eb="7">
      <t>トウ</t>
    </rPh>
    <rPh sb="8" eb="10">
      <t>シュウゼン</t>
    </rPh>
    <phoneticPr fontId="27"/>
  </si>
  <si>
    <t>集会出席時間</t>
    <rPh sb="0" eb="2">
      <t>シュウカイ</t>
    </rPh>
    <rPh sb="2" eb="4">
      <t>シュッセキ</t>
    </rPh>
    <rPh sb="4" eb="6">
      <t>ジカン</t>
    </rPh>
    <phoneticPr fontId="27"/>
  </si>
  <si>
    <t>技術取得時間</t>
    <rPh sb="0" eb="2">
      <t>ギジュツ</t>
    </rPh>
    <rPh sb="2" eb="4">
      <t>シュトク</t>
    </rPh>
    <rPh sb="4" eb="6">
      <t>ジカン</t>
    </rPh>
    <phoneticPr fontId="27"/>
  </si>
  <si>
    <t>簿記記帳時間</t>
    <rPh sb="0" eb="2">
      <t>ボキ</t>
    </rPh>
    <rPh sb="2" eb="4">
      <t>キチョウ</t>
    </rPh>
    <rPh sb="4" eb="6">
      <t>ジカン</t>
    </rPh>
    <phoneticPr fontId="27"/>
  </si>
  <si>
    <t>経営管理労働時間</t>
    <rPh sb="0" eb="2">
      <t>ケイエイ</t>
    </rPh>
    <rPh sb="2" eb="4">
      <t>カンリ</t>
    </rPh>
    <rPh sb="4" eb="6">
      <t>ロウドウ</t>
    </rPh>
    <rPh sb="6" eb="8">
      <t>ジカン</t>
    </rPh>
    <phoneticPr fontId="27"/>
  </si>
  <si>
    <t>作　業　種　類</t>
    <rPh sb="0" eb="1">
      <t>サク</t>
    </rPh>
    <rPh sb="2" eb="3">
      <t>ギョウ</t>
    </rPh>
    <rPh sb="4" eb="5">
      <t>シュ</t>
    </rPh>
    <rPh sb="6" eb="7">
      <t>タグイ</t>
    </rPh>
    <phoneticPr fontId="6"/>
  </si>
  <si>
    <t>内　容　例　示</t>
    <rPh sb="0" eb="1">
      <t>ウチ</t>
    </rPh>
    <rPh sb="2" eb="3">
      <t>カタチ</t>
    </rPh>
    <rPh sb="4" eb="5">
      <t>レイ</t>
    </rPh>
    <rPh sb="6" eb="7">
      <t>シメス</t>
    </rPh>
    <phoneticPr fontId="6"/>
  </si>
  <si>
    <t>構成員の年齢別労働時間</t>
    <rPh sb="0" eb="3">
      <t>コウセイイン</t>
    </rPh>
    <rPh sb="4" eb="6">
      <t>ネンレイ</t>
    </rPh>
    <rPh sb="6" eb="7">
      <t>ベツ</t>
    </rPh>
    <rPh sb="7" eb="9">
      <t>ロウドウ</t>
    </rPh>
    <rPh sb="9" eb="11">
      <t>ジカン</t>
    </rPh>
    <phoneticPr fontId="6"/>
  </si>
  <si>
    <t>65～69歳</t>
    <rPh sb="5" eb="6">
      <t>サイ</t>
    </rPh>
    <phoneticPr fontId="6"/>
  </si>
  <si>
    <t>70～74歳</t>
    <rPh sb="5" eb="6">
      <t>サイ</t>
    </rPh>
    <phoneticPr fontId="6"/>
  </si>
  <si>
    <t>飼料の調理・給与・給水</t>
  </si>
  <si>
    <t>飼料材料の裁断・粉砕・挽割煮炊き、麦・豆類の水浸および芽出し、飼料の混配合などの調理・給与・給水</t>
    <rPh sb="0" eb="2">
      <t>シリョウ</t>
    </rPh>
    <rPh sb="2" eb="4">
      <t>ザイリョウ</t>
    </rPh>
    <rPh sb="5" eb="7">
      <t>サイダン</t>
    </rPh>
    <rPh sb="8" eb="10">
      <t>フンサイ</t>
    </rPh>
    <rPh sb="11" eb="12">
      <t>ヒ</t>
    </rPh>
    <rPh sb="12" eb="13">
      <t>ワ</t>
    </rPh>
    <rPh sb="13" eb="15">
      <t>ニタ</t>
    </rPh>
    <rPh sb="17" eb="18">
      <t>ムギ</t>
    </rPh>
    <rPh sb="19" eb="21">
      <t>マメルイ</t>
    </rPh>
    <rPh sb="22" eb="23">
      <t>ミズ</t>
    </rPh>
    <rPh sb="23" eb="24">
      <t>ヒタ</t>
    </rPh>
    <rPh sb="27" eb="28">
      <t>メ</t>
    </rPh>
    <rPh sb="28" eb="29">
      <t>ダ</t>
    </rPh>
    <rPh sb="31" eb="33">
      <t>シリョウ</t>
    </rPh>
    <rPh sb="34" eb="35">
      <t>コン</t>
    </rPh>
    <rPh sb="35" eb="37">
      <t>ハイゴウ</t>
    </rPh>
    <rPh sb="40" eb="42">
      <t>チョウリ</t>
    </rPh>
    <rPh sb="43" eb="45">
      <t>キュウヨ</t>
    </rPh>
    <rPh sb="46" eb="48">
      <t>キュウスイ</t>
    </rPh>
    <phoneticPr fontId="6"/>
  </si>
  <si>
    <t>敷料搬入・きゅう肥搬出</t>
    <phoneticPr fontId="6"/>
  </si>
  <si>
    <t>稲わら・敷草等敷料の畜舎への投入、ふんかき、きゅう肥（尿を含む。）の最寄り場所（たい肥舎等）までの運搬作業</t>
    <rPh sb="0" eb="1">
      <t>イナ</t>
    </rPh>
    <rPh sb="4" eb="5">
      <t>シキ</t>
    </rPh>
    <rPh sb="5" eb="6">
      <t>クサ</t>
    </rPh>
    <rPh sb="6" eb="7">
      <t>トウ</t>
    </rPh>
    <rPh sb="7" eb="9">
      <t>シキリョウ</t>
    </rPh>
    <rPh sb="10" eb="12">
      <t>チクシャ</t>
    </rPh>
    <rPh sb="14" eb="16">
      <t>トウニュウ</t>
    </rPh>
    <rPh sb="25" eb="26">
      <t>ヒ</t>
    </rPh>
    <rPh sb="27" eb="28">
      <t>ニョウ</t>
    </rPh>
    <rPh sb="29" eb="30">
      <t>フク</t>
    </rPh>
    <rPh sb="34" eb="36">
      <t>モヨ</t>
    </rPh>
    <rPh sb="37" eb="39">
      <t>バショ</t>
    </rPh>
    <rPh sb="42" eb="43">
      <t>ヒ</t>
    </rPh>
    <rPh sb="43" eb="44">
      <t>シャ</t>
    </rPh>
    <rPh sb="44" eb="45">
      <t>トウ</t>
    </rPh>
    <rPh sb="49" eb="51">
      <t>ウンパン</t>
    </rPh>
    <rPh sb="51" eb="53">
      <t>サギョウ</t>
    </rPh>
    <phoneticPr fontId="6"/>
  </si>
  <si>
    <t>搾乳・牛乳処理・運搬</t>
    <phoneticPr fontId="6"/>
  </si>
  <si>
    <t>乳房の清拭・搾乳準備・搾乳・搾乳後の濾過・冷却などの作業、搾乳関係器具の消毒・殺菌などの作業、販売のため最寄りの集乳所までの運搬作業</t>
    <rPh sb="0" eb="2">
      <t>チブサ</t>
    </rPh>
    <rPh sb="3" eb="5">
      <t>セイシキ</t>
    </rPh>
    <rPh sb="6" eb="8">
      <t>サクニュウ</t>
    </rPh>
    <rPh sb="8" eb="10">
      <t>ジュンビ</t>
    </rPh>
    <rPh sb="11" eb="13">
      <t>サクニュウ</t>
    </rPh>
    <rPh sb="14" eb="16">
      <t>サクニュウ</t>
    </rPh>
    <rPh sb="16" eb="17">
      <t>ゴ</t>
    </rPh>
    <rPh sb="18" eb="20">
      <t>ロカ</t>
    </rPh>
    <rPh sb="21" eb="23">
      <t>レイキャク</t>
    </rPh>
    <rPh sb="26" eb="28">
      <t>サギョウ</t>
    </rPh>
    <rPh sb="29" eb="31">
      <t>サクニュウ</t>
    </rPh>
    <rPh sb="31" eb="33">
      <t>カンケイ</t>
    </rPh>
    <rPh sb="33" eb="35">
      <t>キグ</t>
    </rPh>
    <rPh sb="36" eb="38">
      <t>ショウドク</t>
    </rPh>
    <rPh sb="39" eb="41">
      <t>サッキン</t>
    </rPh>
    <rPh sb="44" eb="46">
      <t>サギョウ</t>
    </rPh>
    <rPh sb="47" eb="49">
      <t>ハンバイ</t>
    </rPh>
    <rPh sb="52" eb="54">
      <t>モヨ</t>
    </rPh>
    <rPh sb="56" eb="57">
      <t>シュウ</t>
    </rPh>
    <rPh sb="57" eb="58">
      <t>ニュウ</t>
    </rPh>
    <rPh sb="58" eb="59">
      <t>ジョ</t>
    </rPh>
    <rPh sb="62" eb="64">
      <t>ウンパン</t>
    </rPh>
    <rPh sb="64" eb="66">
      <t>サギョウ</t>
    </rPh>
    <phoneticPr fontId="6"/>
  </si>
  <si>
    <t>その他の飼育作業</t>
    <phoneticPr fontId="6"/>
  </si>
  <si>
    <t>手入・運動・放牧作業、きゅう肥の処理（切り返し、加工）作業、衛生管理（殺虫剤の散布等）</t>
    <rPh sb="0" eb="2">
      <t>テイ</t>
    </rPh>
    <rPh sb="3" eb="5">
      <t>ウンドウ</t>
    </rPh>
    <rPh sb="6" eb="8">
      <t>ホウボク</t>
    </rPh>
    <rPh sb="8" eb="10">
      <t>サギョウ</t>
    </rPh>
    <rPh sb="14" eb="15">
      <t>ヒ</t>
    </rPh>
    <rPh sb="16" eb="18">
      <t>ショリ</t>
    </rPh>
    <rPh sb="19" eb="20">
      <t>キ</t>
    </rPh>
    <rPh sb="21" eb="22">
      <t>カエ</t>
    </rPh>
    <rPh sb="24" eb="26">
      <t>カコウ</t>
    </rPh>
    <rPh sb="27" eb="29">
      <t>サギョウ</t>
    </rPh>
    <rPh sb="30" eb="32">
      <t>エイセイ</t>
    </rPh>
    <rPh sb="32" eb="34">
      <t>カンリ</t>
    </rPh>
    <rPh sb="35" eb="37">
      <t>サッチュウ</t>
    </rPh>
    <rPh sb="37" eb="38">
      <t>ザイ</t>
    </rPh>
    <rPh sb="39" eb="41">
      <t>サンプ</t>
    </rPh>
    <rPh sb="41" eb="42">
      <t>トウ</t>
    </rPh>
    <phoneticPr fontId="6"/>
  </si>
  <si>
    <t>生産管理</t>
    <phoneticPr fontId="6"/>
  </si>
  <si>
    <t>集会出席、技術習得、簿記記帳（税務申告は含まない。）等</t>
    <rPh sb="0" eb="2">
      <t>シュウカイ</t>
    </rPh>
    <rPh sb="2" eb="4">
      <t>シュッセキ</t>
    </rPh>
    <rPh sb="5" eb="7">
      <t>ギジュツ</t>
    </rPh>
    <rPh sb="7" eb="9">
      <t>シュウトク</t>
    </rPh>
    <rPh sb="10" eb="12">
      <t>ボキ</t>
    </rPh>
    <rPh sb="12" eb="14">
      <t>キチョウ</t>
    </rPh>
    <rPh sb="15" eb="17">
      <t>ゼイム</t>
    </rPh>
    <rPh sb="17" eb="19">
      <t>シンコク</t>
    </rPh>
    <rPh sb="20" eb="21">
      <t>フク</t>
    </rPh>
    <rPh sb="26" eb="27">
      <t>トウ</t>
    </rPh>
    <phoneticPr fontId="6"/>
  </si>
  <si>
    <t>内給飼料（牧草等）の生産</t>
  </si>
  <si>
    <t>整地、耕起、施肥、種まき、肥培管理、収穫、乾燥、貯蔵等</t>
    <rPh sb="0" eb="2">
      <t>セイチ</t>
    </rPh>
    <rPh sb="3" eb="5">
      <t>コウキ</t>
    </rPh>
    <rPh sb="6" eb="8">
      <t>セヒ</t>
    </rPh>
    <rPh sb="9" eb="10">
      <t>タネ</t>
    </rPh>
    <rPh sb="13" eb="15">
      <t>ヒバイ</t>
    </rPh>
    <rPh sb="15" eb="17">
      <t>カンリ</t>
    </rPh>
    <rPh sb="18" eb="20">
      <t>シュウカク</t>
    </rPh>
    <rPh sb="21" eb="23">
      <t>カンソウ</t>
    </rPh>
    <rPh sb="24" eb="26">
      <t>チョゾウ</t>
    </rPh>
    <rPh sb="26" eb="27">
      <t>トウ</t>
    </rPh>
    <phoneticPr fontId="6"/>
  </si>
  <si>
    <t>上記以外の労働</t>
  </si>
  <si>
    <t>建物、自動車、農機具等の修繕や、購入資材の調達等</t>
    <rPh sb="0" eb="2">
      <t>タテモノ</t>
    </rPh>
    <rPh sb="3" eb="6">
      <t>ジドウシャ</t>
    </rPh>
    <rPh sb="7" eb="10">
      <t>ノウキグ</t>
    </rPh>
    <rPh sb="10" eb="11">
      <t>トウ</t>
    </rPh>
    <rPh sb="12" eb="14">
      <t>シュウゼン</t>
    </rPh>
    <rPh sb="16" eb="18">
      <t>コウニュウ</t>
    </rPh>
    <rPh sb="18" eb="20">
      <t>シザイ</t>
    </rPh>
    <rPh sb="21" eb="23">
      <t>チョウタツ</t>
    </rPh>
    <rPh sb="23" eb="24">
      <t>トウ</t>
    </rPh>
    <phoneticPr fontId="6"/>
  </si>
  <si>
    <t>飼料の調理・給与・給水</t>
    <phoneticPr fontId="6"/>
  </si>
  <si>
    <t>内給飼料（牧草等）の生産</t>
    <rPh sb="0" eb="1">
      <t>ナイ</t>
    </rPh>
    <rPh sb="1" eb="2">
      <t>キュウ</t>
    </rPh>
    <rPh sb="2" eb="4">
      <t>シリョウ</t>
    </rPh>
    <rPh sb="5" eb="7">
      <t>ボクソウ</t>
    </rPh>
    <rPh sb="7" eb="8">
      <t>トウ</t>
    </rPh>
    <rPh sb="10" eb="12">
      <t>セイサン</t>
    </rPh>
    <phoneticPr fontId="6"/>
  </si>
  <si>
    <t>上記以外の労働</t>
    <phoneticPr fontId="6"/>
  </si>
  <si>
    <t>&lt;選択&gt;</t>
  </si>
  <si>
    <t>経営種類</t>
    <rPh sb="0" eb="2">
      <t>ケイエイ</t>
    </rPh>
    <rPh sb="2" eb="4">
      <t>シュルイ</t>
    </rPh>
    <phoneticPr fontId="2"/>
  </si>
  <si>
    <t>生産費区分</t>
    <rPh sb="0" eb="3">
      <t>セイサンヒ</t>
    </rPh>
    <rPh sb="3" eb="5">
      <t>クブン</t>
    </rPh>
    <phoneticPr fontId="2"/>
  </si>
  <si>
    <t>個別経営体</t>
    <rPh sb="0" eb="2">
      <t>コベツ</t>
    </rPh>
    <rPh sb="2" eb="4">
      <t>ケイエイ</t>
    </rPh>
    <rPh sb="4" eb="5">
      <t>タイ</t>
    </rPh>
    <phoneticPr fontId="2"/>
  </si>
  <si>
    <t>組織法人経営体</t>
    <rPh sb="0" eb="2">
      <t>ソシキ</t>
    </rPh>
    <rPh sb="2" eb="4">
      <t>ホウジン</t>
    </rPh>
    <rPh sb="4" eb="6">
      <t>ケイエイ</t>
    </rPh>
    <phoneticPr fontId="2"/>
  </si>
  <si>
    <t>生産費区分</t>
    <rPh sb="0" eb="3">
      <t>セイサンヒ</t>
    </rPh>
    <rPh sb="3" eb="5">
      <t>クブン</t>
    </rPh>
    <phoneticPr fontId="37"/>
  </si>
  <si>
    <t>牛乳</t>
    <rPh sb="0" eb="2">
      <t>ギュウニュウ</t>
    </rPh>
    <phoneticPr fontId="2"/>
  </si>
  <si>
    <t>子牛</t>
    <rPh sb="0" eb="2">
      <t>コウシ</t>
    </rPh>
    <phoneticPr fontId="2"/>
  </si>
  <si>
    <t>乳用雄育成牛</t>
    <rPh sb="0" eb="2">
      <t>ニュウヨウ</t>
    </rPh>
    <rPh sb="2" eb="3">
      <t>オス</t>
    </rPh>
    <rPh sb="3" eb="5">
      <t>イクセイ</t>
    </rPh>
    <rPh sb="5" eb="6">
      <t>ウシ</t>
    </rPh>
    <phoneticPr fontId="2"/>
  </si>
  <si>
    <t>交雑種育成牛</t>
    <rPh sb="0" eb="3">
      <t>コウザツシュ</t>
    </rPh>
    <rPh sb="3" eb="5">
      <t>イクセイ</t>
    </rPh>
    <rPh sb="5" eb="6">
      <t>ウシ</t>
    </rPh>
    <phoneticPr fontId="2"/>
  </si>
  <si>
    <t>去勢若齢肥育牛</t>
    <rPh sb="0" eb="2">
      <t>キョセイ</t>
    </rPh>
    <rPh sb="2" eb="4">
      <t>ジャクレイ</t>
    </rPh>
    <rPh sb="4" eb="6">
      <t>ヒイク</t>
    </rPh>
    <rPh sb="6" eb="7">
      <t>ウシ</t>
    </rPh>
    <phoneticPr fontId="2"/>
  </si>
  <si>
    <t>乳用雄肥育牛</t>
    <rPh sb="0" eb="2">
      <t>ニュウヨウ</t>
    </rPh>
    <rPh sb="2" eb="3">
      <t>オス</t>
    </rPh>
    <rPh sb="3" eb="5">
      <t>ヒイク</t>
    </rPh>
    <rPh sb="5" eb="6">
      <t>ウシ</t>
    </rPh>
    <phoneticPr fontId="2"/>
  </si>
  <si>
    <t>交雑種肥育牛</t>
    <rPh sb="0" eb="3">
      <t>コウザツシュ</t>
    </rPh>
    <rPh sb="3" eb="5">
      <t>ヒイク</t>
    </rPh>
    <rPh sb="5" eb="6">
      <t>ウシ</t>
    </rPh>
    <phoneticPr fontId="2"/>
  </si>
  <si>
    <t>肥育豚</t>
    <rPh sb="0" eb="2">
      <t>ヒイク</t>
    </rPh>
    <rPh sb="2" eb="3">
      <t>ブタ</t>
    </rPh>
    <phoneticPr fontId="2"/>
  </si>
  <si>
    <t>性別</t>
    <rPh sb="0" eb="2">
      <t>セイベツ</t>
    </rPh>
    <phoneticPr fontId="37"/>
  </si>
  <si>
    <t>1：男</t>
    <rPh sb="2" eb="3">
      <t>オトコ</t>
    </rPh>
    <phoneticPr fontId="37"/>
  </si>
  <si>
    <t>2：女</t>
    <rPh sb="2" eb="3">
      <t>オンナ</t>
    </rPh>
    <phoneticPr fontId="37"/>
  </si>
  <si>
    <t>雇用形態（個別）</t>
    <rPh sb="0" eb="2">
      <t>コヨウ</t>
    </rPh>
    <rPh sb="2" eb="4">
      <t>ケイタイ</t>
    </rPh>
    <rPh sb="5" eb="7">
      <t>コベツ</t>
    </rPh>
    <phoneticPr fontId="2"/>
  </si>
  <si>
    <t>雇用形態（組織）</t>
    <rPh sb="0" eb="2">
      <t>コヨウ</t>
    </rPh>
    <rPh sb="2" eb="4">
      <t>ケイタイ</t>
    </rPh>
    <rPh sb="5" eb="7">
      <t>ソシキ</t>
    </rPh>
    <phoneticPr fontId="37"/>
  </si>
  <si>
    <t>1：家族</t>
  </si>
  <si>
    <t>2：雇用</t>
  </si>
  <si>
    <t>3：ゆい・手間替え受け</t>
  </si>
  <si>
    <t>4：手伝い・共同作業受け</t>
  </si>
  <si>
    <t>1：構成員</t>
    <rPh sb="2" eb="5">
      <t>コウセイイン</t>
    </rPh>
    <phoneticPr fontId="2"/>
  </si>
  <si>
    <t>作業_牛乳以外</t>
    <rPh sb="0" eb="2">
      <t>サギョウ</t>
    </rPh>
    <rPh sb="3" eb="5">
      <t>ギュウニュウ</t>
    </rPh>
    <rPh sb="5" eb="7">
      <t>イガイ</t>
    </rPh>
    <phoneticPr fontId="37"/>
  </si>
  <si>
    <t>購入付帯労働時間</t>
    <rPh sb="0" eb="2">
      <t>コウニュウ</t>
    </rPh>
    <rPh sb="2" eb="4">
      <t>フタイ</t>
    </rPh>
    <rPh sb="4" eb="6">
      <t>ロウドウ</t>
    </rPh>
    <rPh sb="6" eb="8">
      <t>ジカン</t>
    </rPh>
    <phoneticPr fontId="17"/>
  </si>
  <si>
    <t>建物・農機具等の修繕</t>
    <rPh sb="0" eb="2">
      <t>タテモノ</t>
    </rPh>
    <rPh sb="3" eb="6">
      <t>ノウキグ</t>
    </rPh>
    <rPh sb="6" eb="7">
      <t>トウ</t>
    </rPh>
    <rPh sb="8" eb="10">
      <t>シュウゼン</t>
    </rPh>
    <phoneticPr fontId="17"/>
  </si>
  <si>
    <t>集会出席時間</t>
    <rPh sb="0" eb="2">
      <t>シュウカイ</t>
    </rPh>
    <rPh sb="2" eb="4">
      <t>シュッセキ</t>
    </rPh>
    <rPh sb="4" eb="6">
      <t>ジカン</t>
    </rPh>
    <phoneticPr fontId="17"/>
  </si>
  <si>
    <t>技術習得時間</t>
    <rPh sb="0" eb="2">
      <t>ギジュツ</t>
    </rPh>
    <rPh sb="2" eb="4">
      <t>シュウトク</t>
    </rPh>
    <rPh sb="4" eb="6">
      <t>ジカン</t>
    </rPh>
    <phoneticPr fontId="17"/>
  </si>
  <si>
    <t>簿記記帳時間</t>
    <rPh sb="0" eb="2">
      <t>ボキ</t>
    </rPh>
    <rPh sb="2" eb="4">
      <t>キチョウ</t>
    </rPh>
    <rPh sb="4" eb="6">
      <t>ジカン</t>
    </rPh>
    <phoneticPr fontId="17"/>
  </si>
  <si>
    <t>経営管理労働時間</t>
    <rPh sb="0" eb="2">
      <t>ケイエイ</t>
    </rPh>
    <rPh sb="2" eb="4">
      <t>カンリ</t>
    </rPh>
    <rPh sb="4" eb="6">
      <t>ロウドウ</t>
    </rPh>
    <rPh sb="6" eb="8">
      <t>ジカン</t>
    </rPh>
    <phoneticPr fontId="17"/>
  </si>
  <si>
    <t>作業_牛乳</t>
    <rPh sb="0" eb="2">
      <t>サギョウ</t>
    </rPh>
    <rPh sb="3" eb="5">
      <t>ギュウニュウ</t>
    </rPh>
    <phoneticPr fontId="37"/>
  </si>
  <si>
    <t>飼料の調理・給与・給水</t>
    <rPh sb="0" eb="2">
      <t>シリョウ</t>
    </rPh>
    <rPh sb="3" eb="5">
      <t>チョウリ</t>
    </rPh>
    <rPh sb="6" eb="8">
      <t>キュウヨ</t>
    </rPh>
    <rPh sb="9" eb="11">
      <t>キュウスイ</t>
    </rPh>
    <phoneticPr fontId="3"/>
  </si>
  <si>
    <t>搾乳・牛乳処理・運搬</t>
    <rPh sb="0" eb="2">
      <t>サクニュウ</t>
    </rPh>
    <rPh sb="3" eb="5">
      <t>ギュウニュウ</t>
    </rPh>
    <rPh sb="5" eb="7">
      <t>ショリ</t>
    </rPh>
    <rPh sb="8" eb="10">
      <t>ウンパン</t>
    </rPh>
    <phoneticPr fontId="3"/>
  </si>
  <si>
    <t>その他の飼育作業</t>
    <rPh sb="2" eb="3">
      <t>タ</t>
    </rPh>
    <rPh sb="4" eb="6">
      <t>シイク</t>
    </rPh>
    <rPh sb="6" eb="8">
      <t>サギョウ</t>
    </rPh>
    <phoneticPr fontId="3"/>
  </si>
  <si>
    <r>
      <t xml:space="preserve">作業者
</t>
    </r>
    <r>
      <rPr>
        <sz val="6"/>
        <rFont val="ＭＳ Ｐゴシック"/>
        <family val="3"/>
        <charset val="128"/>
        <scheme val="minor"/>
      </rPr>
      <t>&lt;選択&gt;</t>
    </r>
    <rPh sb="0" eb="3">
      <t>サギョウシャ</t>
    </rPh>
    <rPh sb="5" eb="7">
      <t>センタク</t>
    </rPh>
    <phoneticPr fontId="6"/>
  </si>
  <si>
    <t>5：同居人</t>
    <phoneticPr fontId="2"/>
  </si>
  <si>
    <t>時間</t>
    <rPh sb="0" eb="2">
      <t>ジカン</t>
    </rPh>
    <phoneticPr fontId="2"/>
  </si>
  <si>
    <t>１　構成員</t>
    <rPh sb="2" eb="5">
      <t>コウセイイン</t>
    </rPh>
    <phoneticPr fontId="2"/>
  </si>
  <si>
    <t>２　雇用</t>
    <rPh sb="2" eb="4">
      <t>コヨウ</t>
    </rPh>
    <phoneticPr fontId="2"/>
  </si>
  <si>
    <t>畜産物生産費統計　設定シート</t>
    <rPh sb="0" eb="3">
      <t>チクサンブツ</t>
    </rPh>
    <rPh sb="3" eb="6">
      <t>セイサンヒ</t>
    </rPh>
    <rPh sb="6" eb="8">
      <t>トウケイ</t>
    </rPh>
    <rPh sb="9" eb="11">
      <t>セッテイ</t>
    </rPh>
    <phoneticPr fontId="2"/>
  </si>
  <si>
    <t>畜産物生産費統計　入力シート（日別）</t>
    <rPh sb="0" eb="3">
      <t>チクサンブツ</t>
    </rPh>
    <rPh sb="3" eb="6">
      <t>セイサンヒ</t>
    </rPh>
    <rPh sb="6" eb="8">
      <t>トウケイ</t>
    </rPh>
    <rPh sb="9" eb="11">
      <t>ニュウリョク</t>
    </rPh>
    <rPh sb="15" eb="16">
      <t>ヒ</t>
    </rPh>
    <rPh sb="16" eb="17">
      <t>ベツ</t>
    </rPh>
    <phoneticPr fontId="2"/>
  </si>
  <si>
    <t>畜産物生産費統計　調査票貼付シート</t>
    <rPh sb="9" eb="12">
      <t>チョウサヒョウ</t>
    </rPh>
    <rPh sb="12" eb="14">
      <t>ハリツケ</t>
    </rPh>
    <phoneticPr fontId="2"/>
  </si>
  <si>
    <r>
      <t>2020センサス番号</t>
    </r>
    <r>
      <rPr>
        <sz val="6"/>
        <rFont val="ＭＳ Ｐ明朝"/>
        <family val="1"/>
        <charset val="128"/>
      </rPr>
      <t>&lt;入力&gt;</t>
    </r>
    <rPh sb="8" eb="10">
      <t>バンゴウ</t>
    </rPh>
    <rPh sb="11" eb="13">
      <t>ニュウリョク</t>
    </rPh>
    <phoneticPr fontId="6"/>
  </si>
  <si>
    <r>
      <t xml:space="preserve">2020センサス番号 </t>
    </r>
    <r>
      <rPr>
        <sz val="6"/>
        <rFont val="ＭＳ Ｐ明朝"/>
        <family val="1"/>
        <charset val="128"/>
      </rPr>
      <t>&lt;自動&gt;</t>
    </r>
    <rPh sb="8" eb="10">
      <t>バンゴウ</t>
    </rPh>
    <rPh sb="12" eb="14">
      <t>ジドウ</t>
    </rPh>
    <phoneticPr fontId="6"/>
  </si>
  <si>
    <t>1：男
2：女</t>
    <rPh sb="2" eb="3">
      <t>オトコ</t>
    </rPh>
    <phoneticPr fontId="6"/>
  </si>
  <si>
    <t>飼料の調理・給与・給水</t>
    <rPh sb="0" eb="2">
      <t>シリョウ</t>
    </rPh>
    <rPh sb="3" eb="5">
      <t>チョウリ</t>
    </rPh>
    <rPh sb="6" eb="8">
      <t>キュウヨ</t>
    </rPh>
    <rPh sb="9" eb="11">
      <t>キュウスイ</t>
    </rPh>
    <phoneticPr fontId="6"/>
  </si>
  <si>
    <t>搾乳・牛乳処理・運搬</t>
    <rPh sb="0" eb="2">
      <t>サクニュウ</t>
    </rPh>
    <rPh sb="3" eb="5">
      <t>ギュウニュウ</t>
    </rPh>
    <rPh sb="5" eb="7">
      <t>ショリ</t>
    </rPh>
    <rPh sb="8" eb="10">
      <t>ウンパン</t>
    </rPh>
    <phoneticPr fontId="6"/>
  </si>
  <si>
    <t>家族労働</t>
    <rPh sb="0" eb="2">
      <t>カゾク</t>
    </rPh>
    <rPh sb="2" eb="4">
      <t>ロウドウ</t>
    </rPh>
    <phoneticPr fontId="6"/>
  </si>
  <si>
    <t>雇用労働</t>
    <rPh sb="0" eb="2">
      <t>コヨウ</t>
    </rPh>
    <rPh sb="2" eb="4">
      <t>ロウドウ</t>
    </rPh>
    <phoneticPr fontId="6"/>
  </si>
  <si>
    <t>計</t>
    <rPh sb="0" eb="1">
      <t>ケイ</t>
    </rPh>
    <phoneticPr fontId="6"/>
  </si>
  <si>
    <t>家族</t>
    <rPh sb="0" eb="2">
      <t>カゾク</t>
    </rPh>
    <phoneticPr fontId="6"/>
  </si>
  <si>
    <t>ゆい・手間替え受け</t>
    <rPh sb="3" eb="5">
      <t>テマ</t>
    </rPh>
    <rPh sb="5" eb="6">
      <t>ガ</t>
    </rPh>
    <rPh sb="7" eb="8">
      <t>ウ</t>
    </rPh>
    <phoneticPr fontId="6"/>
  </si>
  <si>
    <t>雇用</t>
    <rPh sb="0" eb="2">
      <t>コヨウ</t>
    </rPh>
    <phoneticPr fontId="6"/>
  </si>
  <si>
    <t>手伝い・共同作業受け</t>
    <phoneticPr fontId="6"/>
  </si>
  <si>
    <t>同居人</t>
    <rPh sb="0" eb="3">
      <t>ドウキョニン</t>
    </rPh>
    <phoneticPr fontId="6"/>
  </si>
  <si>
    <t>手伝い・共同作業受け、同居人</t>
    <rPh sb="11" eb="14">
      <t>ドウキョニン</t>
    </rPh>
    <phoneticPr fontId="6"/>
  </si>
  <si>
    <t>男</t>
    <rPh sb="0" eb="1">
      <t>オトコ</t>
    </rPh>
    <phoneticPr fontId="6"/>
  </si>
  <si>
    <t>女</t>
    <rPh sb="0" eb="1">
      <t>オンナ</t>
    </rPh>
    <phoneticPr fontId="6"/>
  </si>
  <si>
    <t>直接労働時間</t>
    <rPh sb="0" eb="2">
      <t>チョクセツ</t>
    </rPh>
    <rPh sb="2" eb="4">
      <t>ロウドウ</t>
    </rPh>
    <rPh sb="4" eb="6">
      <t>ジカン</t>
    </rPh>
    <phoneticPr fontId="6"/>
  </si>
  <si>
    <t>直接労働費</t>
    <rPh sb="0" eb="2">
      <t>チョクセツ</t>
    </rPh>
    <rPh sb="2" eb="4">
      <t>ロウドウ</t>
    </rPh>
    <rPh sb="4" eb="5">
      <t>ヒ</t>
    </rPh>
    <phoneticPr fontId="6"/>
  </si>
  <si>
    <t>65～70</t>
    <phoneticPr fontId="6"/>
  </si>
  <si>
    <t>70～75</t>
    <phoneticPr fontId="6"/>
  </si>
  <si>
    <t>敷料搬入・
きゅう肥搬出</t>
    <rPh sb="0" eb="1">
      <t>シキ</t>
    </rPh>
    <rPh sb="1" eb="2">
      <t>リョウ</t>
    </rPh>
    <rPh sb="2" eb="4">
      <t>ハンニュウ</t>
    </rPh>
    <rPh sb="9" eb="10">
      <t>ヒ</t>
    </rPh>
    <rPh sb="10" eb="12">
      <t>ハンシュツ</t>
    </rPh>
    <phoneticPr fontId="6"/>
  </si>
  <si>
    <t>搾乳・牛乳処理・運搬以外</t>
    <rPh sb="0" eb="2">
      <t>サクニュウ</t>
    </rPh>
    <rPh sb="3" eb="5">
      <t>ギュウニュウ</t>
    </rPh>
    <rPh sb="5" eb="7">
      <t>ショリ</t>
    </rPh>
    <rPh sb="8" eb="10">
      <t>ウンパン</t>
    </rPh>
    <rPh sb="10" eb="12">
      <t>イガイ</t>
    </rPh>
    <phoneticPr fontId="6"/>
  </si>
  <si>
    <t>間接労働時間</t>
    <rPh sb="0" eb="2">
      <t>カンセツ</t>
    </rPh>
    <rPh sb="2" eb="4">
      <t>ロウドウ</t>
    </rPh>
    <rPh sb="4" eb="6">
      <t>ジカン</t>
    </rPh>
    <phoneticPr fontId="6"/>
  </si>
  <si>
    <t>間接労働費</t>
    <rPh sb="0" eb="2">
      <t>カンセツ</t>
    </rPh>
    <rPh sb="2" eb="4">
      <t>ロウドウ</t>
    </rPh>
    <rPh sb="4" eb="5">
      <t>ヒ</t>
    </rPh>
    <phoneticPr fontId="6"/>
  </si>
  <si>
    <t>自給牧草</t>
    <rPh sb="0" eb="2">
      <t>ジキュウ</t>
    </rPh>
    <rPh sb="2" eb="4">
      <t>ボクソウ</t>
    </rPh>
    <phoneticPr fontId="6"/>
  </si>
  <si>
    <t>自給牧草以外</t>
    <rPh sb="0" eb="2">
      <t>ジキュウ</t>
    </rPh>
    <rPh sb="2" eb="4">
      <t>ボクソウ</t>
    </rPh>
    <rPh sb="4" eb="6">
      <t>イガイ</t>
    </rPh>
    <phoneticPr fontId="6"/>
  </si>
  <si>
    <t>労働時間合計</t>
    <rPh sb="0" eb="2">
      <t>ロウドウ</t>
    </rPh>
    <rPh sb="2" eb="4">
      <t>ジカン</t>
    </rPh>
    <rPh sb="4" eb="6">
      <t>ゴウケイ</t>
    </rPh>
    <phoneticPr fontId="6"/>
  </si>
  <si>
    <t>経営管理労働時間</t>
    <rPh sb="0" eb="2">
      <t>ケイエイ</t>
    </rPh>
    <rPh sb="2" eb="4">
      <t>カンリ</t>
    </rPh>
    <rPh sb="4" eb="6">
      <t>ロウドウ</t>
    </rPh>
    <rPh sb="6" eb="8">
      <t>ジカン</t>
    </rPh>
    <phoneticPr fontId="6"/>
  </si>
  <si>
    <t>生産管理
労働時間</t>
    <rPh sb="0" eb="2">
      <t>セイサン</t>
    </rPh>
    <rPh sb="2" eb="4">
      <t>カンリ</t>
    </rPh>
    <rPh sb="5" eb="7">
      <t>ロウドウ</t>
    </rPh>
    <rPh sb="7" eb="9">
      <t>ジカン</t>
    </rPh>
    <phoneticPr fontId="6"/>
  </si>
  <si>
    <t>自給飼料の
生産</t>
    <rPh sb="0" eb="2">
      <t>ジキュウ</t>
    </rPh>
    <rPh sb="2" eb="4">
      <t>シリョウ</t>
    </rPh>
    <rPh sb="6" eb="8">
      <t>セイサン</t>
    </rPh>
    <phoneticPr fontId="6"/>
  </si>
  <si>
    <t>建物等の修繕
購入付帯労働</t>
    <rPh sb="0" eb="2">
      <t>タテモノ</t>
    </rPh>
    <rPh sb="2" eb="3">
      <t>トウ</t>
    </rPh>
    <rPh sb="4" eb="6">
      <t>シュウゼン</t>
    </rPh>
    <rPh sb="7" eb="9">
      <t>コウニュウ</t>
    </rPh>
    <rPh sb="9" eb="11">
      <t>フタイ</t>
    </rPh>
    <rPh sb="11" eb="13">
      <t>ロウドウ</t>
    </rPh>
    <phoneticPr fontId="6"/>
  </si>
  <si>
    <t>　雇用者（ヘルパー、研修生等）に支払った賃金（現物支給も含む。）を男女別に入力してください。</t>
    <rPh sb="1" eb="4">
      <t>コヨウシャ</t>
    </rPh>
    <rPh sb="10" eb="13">
      <t>ケンシュウセイ</t>
    </rPh>
    <rPh sb="13" eb="14">
      <t>トウ</t>
    </rPh>
    <rPh sb="16" eb="18">
      <t>シハラ</t>
    </rPh>
    <rPh sb="20" eb="21">
      <t>チン</t>
    </rPh>
    <phoneticPr fontId="6"/>
  </si>
  <si>
    <t>支払賃金</t>
    <phoneticPr fontId="6"/>
  </si>
  <si>
    <t>区 分</t>
    <rPh sb="0" eb="1">
      <t>ク</t>
    </rPh>
    <rPh sb="2" eb="3">
      <t>ブン</t>
    </rPh>
    <phoneticPr fontId="6"/>
  </si>
  <si>
    <t>金　額（円）</t>
    <rPh sb="0" eb="1">
      <t>キン</t>
    </rPh>
    <rPh sb="2" eb="3">
      <t>ガク</t>
    </rPh>
    <rPh sb="4" eb="5">
      <t>エン</t>
    </rPh>
    <phoneticPr fontId="6"/>
  </si>
  <si>
    <t>負担割合（％）</t>
    <rPh sb="0" eb="2">
      <t>フタン</t>
    </rPh>
    <rPh sb="2" eb="4">
      <t>ワリアイ</t>
    </rPh>
    <phoneticPr fontId="6"/>
  </si>
  <si>
    <t>金額（円）</t>
    <rPh sb="0" eb="2">
      <t>キンガク</t>
    </rPh>
    <rPh sb="3" eb="4">
      <t>エン</t>
    </rPh>
    <phoneticPr fontId="6"/>
  </si>
  <si>
    <t>調査対象畜</t>
    <rPh sb="0" eb="2">
      <t>チョウサ</t>
    </rPh>
    <rPh sb="2" eb="4">
      <t>タイショウ</t>
    </rPh>
    <rPh sb="4" eb="5">
      <t>チク</t>
    </rPh>
    <phoneticPr fontId="6"/>
  </si>
  <si>
    <t>自給牧草</t>
    <phoneticPr fontId="6"/>
  </si>
  <si>
    <t>調査対象畜</t>
    <phoneticPr fontId="6"/>
  </si>
  <si>
    <t>　２　酪農に関する１以外の作業</t>
    <rPh sb="3" eb="5">
      <t>ラクノウ</t>
    </rPh>
    <rPh sb="6" eb="7">
      <t>カン</t>
    </rPh>
    <rPh sb="10" eb="12">
      <t>イガイ</t>
    </rPh>
    <rPh sb="13" eb="15">
      <t>サギョウ</t>
    </rPh>
    <phoneticPr fontId="6"/>
  </si>
  <si>
    <t>その他の飼育作業</t>
    <rPh sb="2" eb="3">
      <t>タ</t>
    </rPh>
    <rPh sb="4" eb="6">
      <t>シイク</t>
    </rPh>
    <rPh sb="6" eb="8">
      <t>サギョウ</t>
    </rPh>
    <phoneticPr fontId="6"/>
  </si>
  <si>
    <t>労働費</t>
    <rPh sb="0" eb="2">
      <t>ロウドウ</t>
    </rPh>
    <rPh sb="2" eb="3">
      <t>ヒ</t>
    </rPh>
    <phoneticPr fontId="6"/>
  </si>
  <si>
    <t>労賃単価</t>
    <rPh sb="0" eb="2">
      <t>ロウチン</t>
    </rPh>
    <rPh sb="2" eb="4">
      <t>タンカ</t>
    </rPh>
    <phoneticPr fontId="6"/>
  </si>
  <si>
    <t>【12】作業別労働時間</t>
    <rPh sb="4" eb="7">
      <t>サギョウベツ</t>
    </rPh>
    <rPh sb="7" eb="9">
      <t>ロウドウ</t>
    </rPh>
    <rPh sb="9" eb="11">
      <t>ジカン</t>
    </rPh>
    <phoneticPr fontId="6"/>
  </si>
  <si>
    <t>経営管理
労働時間</t>
    <rPh sb="0" eb="2">
      <t>ケイエイ</t>
    </rPh>
    <rPh sb="2" eb="4">
      <t>カンリ</t>
    </rPh>
    <rPh sb="5" eb="7">
      <t>ロウドウ</t>
    </rPh>
    <rPh sb="7" eb="9">
      <t>ジカン</t>
    </rPh>
    <phoneticPr fontId="6"/>
  </si>
  <si>
    <t>　２　調査対象畜に関する１以外の作業</t>
    <rPh sb="3" eb="8">
      <t>チョウサタイショウチク</t>
    </rPh>
    <rPh sb="9" eb="10">
      <t>カン</t>
    </rPh>
    <rPh sb="13" eb="15">
      <t>イガイ</t>
    </rPh>
    <rPh sb="16" eb="18">
      <t>サギョウ</t>
    </rPh>
    <phoneticPr fontId="6"/>
  </si>
  <si>
    <r>
      <t xml:space="preserve">→集計分類
</t>
    </r>
    <r>
      <rPr>
        <sz val="6"/>
        <rFont val="ＭＳ Ｐゴシック"/>
        <family val="3"/>
        <charset val="128"/>
        <scheme val="minor"/>
      </rPr>
      <t>&lt;自動&gt;</t>
    </r>
    <rPh sb="1" eb="3">
      <t>シュウケイ</t>
    </rPh>
    <rPh sb="3" eb="5">
      <t>ブンルイ</t>
    </rPh>
    <rPh sb="7" eb="9">
      <t>ジドウ</t>
    </rPh>
    <phoneticPr fontId="6"/>
  </si>
  <si>
    <t>id</t>
    <phoneticPr fontId="2"/>
  </si>
  <si>
    <t>maff-ontology</t>
    <phoneticPr fontId="2"/>
  </si>
  <si>
    <t>pwd</t>
    <phoneticPr fontId="2"/>
  </si>
  <si>
    <t>MWUxZjRjMDgxODQwZGJjN3MjM0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</si>
</sst>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00000000000000"/>
    <numFmt numFmtId="177" formatCode="00"/>
    <numFmt numFmtId="178" formatCode="0.0"/>
    <numFmt numFmtId="179" formatCode="#,##0.0\ "/>
    <numFmt numFmtId="180" formatCode="#,##0;[Red]\-#,##0;"/>
    <numFmt numFmtId="181" formatCode="0;;"/>
    <numFmt numFmtId="182" formatCode="#,##0_);[Red]\(#,##0\)"/>
    <numFmt numFmtId="183" formatCode="#,##0_ "/>
    <numFmt numFmtId="184" formatCode="0.0_ "/>
    <numFmt numFmtId="185" formatCode="#,##0.0"/>
    <numFmt numFmtId="186" formatCode="#,##0.0;[Red]\-#,##0.0"/>
    <numFmt numFmtId="187" formatCode="&quot;****&quot;;&quot;****&quot;;&quot;****&quot;;&quot;****&quot;"/>
  </numFmts>
  <fonts count="47" x14ac:knownFonts="1">
    <font>
      <sz val="11"/>
      <color theme="1"/>
      <name val="ＭＳ Ｐゴシック"/>
      <family val="2"/>
      <scheme val="minor"/>
    </font>
    <font>
      <sz val="11"/>
      <color theme="1"/>
      <name val="ＭＳ Ｐゴシック"/>
      <family val="2"/>
      <charset val="128"/>
      <scheme val="minor"/>
    </font>
    <font>
      <sz val="6"/>
      <name val="ＭＳ Ｐゴシック"/>
      <family val="3"/>
      <charset val="128"/>
      <scheme val="minor"/>
    </font>
    <font>
      <sz val="24"/>
      <color theme="1"/>
      <name val="ＭＳ Ｐゴシック"/>
      <family val="3"/>
      <charset val="128"/>
      <scheme val="minor"/>
    </font>
    <font>
      <sz val="11"/>
      <name val="ＭＳ Ｐゴシック"/>
      <family val="3"/>
      <charset val="128"/>
    </font>
    <font>
      <sz val="11"/>
      <name val="ＭＳ 明朝"/>
      <family val="1"/>
      <charset val="128"/>
    </font>
    <font>
      <sz val="6"/>
      <name val="ＭＳ Ｐゴシック"/>
      <family val="3"/>
      <charset val="128"/>
    </font>
    <font>
      <sz val="9"/>
      <name val="ＭＳ Ｐ明朝"/>
      <family val="1"/>
      <charset val="128"/>
    </font>
    <font>
      <sz val="11"/>
      <name val="ＭＳ Ｐ明朝"/>
      <family val="1"/>
      <charset val="128"/>
    </font>
    <font>
      <b/>
      <sz val="14"/>
      <name val="ＭＳ Ｐゴシック"/>
      <family val="3"/>
      <charset val="128"/>
    </font>
    <font>
      <sz val="9"/>
      <name val="ＭＳ Ｐゴシック"/>
      <family val="3"/>
      <charset val="128"/>
      <scheme val="minor"/>
    </font>
    <font>
      <sz val="9"/>
      <color theme="1"/>
      <name val="ＭＳ Ｐゴシック"/>
      <family val="2"/>
      <scheme val="minor"/>
    </font>
    <font>
      <b/>
      <sz val="12"/>
      <name val="ＭＳ ゴシック"/>
      <family val="3"/>
      <charset val="128"/>
    </font>
    <font>
      <sz val="11"/>
      <color indexed="8"/>
      <name val="ＭＳ 明朝"/>
      <family val="1"/>
      <charset val="128"/>
    </font>
    <font>
      <b/>
      <sz val="12"/>
      <color indexed="8"/>
      <name val="ＭＳ ゴシック"/>
      <family val="3"/>
      <charset val="128"/>
    </font>
    <font>
      <sz val="11"/>
      <name val="ＭＳ ゴシック"/>
      <family val="3"/>
      <charset val="128"/>
    </font>
    <font>
      <sz val="9"/>
      <name val="ＭＳ ゴシック"/>
      <family val="3"/>
      <charset val="128"/>
    </font>
    <font>
      <sz val="6"/>
      <name val="ＭＳ ゴシック"/>
      <family val="3"/>
      <charset val="128"/>
    </font>
    <font>
      <sz val="12"/>
      <color indexed="8"/>
      <name val="ＭＳ ゴシック"/>
      <family val="3"/>
      <charset val="128"/>
    </font>
    <font>
      <sz val="12"/>
      <name val="ＭＳ ゴシック"/>
      <family val="3"/>
      <charset val="128"/>
    </font>
    <font>
      <sz val="12"/>
      <color indexed="8"/>
      <name val="ＭＳ 明朝"/>
      <family val="1"/>
      <charset val="128"/>
    </font>
    <font>
      <u/>
      <sz val="11"/>
      <name val="ＭＳ 明朝"/>
      <family val="1"/>
      <charset val="128"/>
    </font>
    <font>
      <sz val="10"/>
      <name val="ＭＳ ゴシック"/>
      <family val="3"/>
      <charset val="128"/>
    </font>
    <font>
      <sz val="16"/>
      <name val="ＭＳ ゴシック"/>
      <family val="3"/>
      <charset val="128"/>
    </font>
    <font>
      <sz val="11"/>
      <color theme="1"/>
      <name val="ＭＳ ゴシック"/>
      <family val="3"/>
      <charset val="128"/>
    </font>
    <font>
      <sz val="16"/>
      <color theme="1"/>
      <name val="ＭＳ ゴシック"/>
      <family val="3"/>
      <charset val="128"/>
    </font>
    <font>
      <b/>
      <sz val="11"/>
      <color indexed="8"/>
      <name val="ＭＳ 明朝"/>
      <family val="1"/>
      <charset val="128"/>
    </font>
    <font>
      <sz val="6"/>
      <name val="ＭＳ Ｐゴシック"/>
      <family val="2"/>
      <charset val="128"/>
      <scheme val="minor"/>
    </font>
    <font>
      <sz val="6"/>
      <name val="ＭＳ Ｐ明朝"/>
      <family val="1"/>
      <charset val="128"/>
    </font>
    <font>
      <sz val="9"/>
      <color indexed="81"/>
      <name val="ＭＳ 明朝"/>
      <family val="1"/>
      <charset val="128"/>
    </font>
    <font>
      <sz val="6"/>
      <color theme="1"/>
      <name val="ＭＳ Ｐゴシック"/>
      <family val="3"/>
      <charset val="128"/>
      <scheme val="minor"/>
    </font>
    <font>
      <sz val="11"/>
      <color theme="1"/>
      <name val="ＭＳ Ｐゴシック"/>
      <family val="3"/>
      <charset val="128"/>
      <scheme val="minor"/>
    </font>
    <font>
      <sz val="14"/>
      <name val="ＭＳ ゴシック"/>
      <family val="3"/>
      <charset val="128"/>
    </font>
    <font>
      <sz val="12"/>
      <color theme="1"/>
      <name val="ＭＳ ゴシック"/>
      <family val="3"/>
      <charset val="128"/>
    </font>
    <font>
      <sz val="10"/>
      <name val="ＭＳ 明朝"/>
      <family val="1"/>
      <charset val="128"/>
    </font>
    <font>
      <b/>
      <sz val="12"/>
      <color indexed="8"/>
      <name val="ＭＳ 明朝"/>
      <family val="1"/>
      <charset val="128"/>
    </font>
    <font>
      <sz val="9"/>
      <name val="ＭＳ 明朝"/>
      <family val="1"/>
      <charset val="128"/>
    </font>
    <font>
      <sz val="10"/>
      <color rgb="FF3F3F76"/>
      <name val="ＭＳ Ｐゴシック"/>
      <family val="2"/>
      <charset val="128"/>
    </font>
    <font>
      <sz val="9"/>
      <name val="ＭＳ Ｐゴシック"/>
      <family val="3"/>
      <charset val="128"/>
    </font>
    <font>
      <sz val="16"/>
      <color indexed="8"/>
      <name val="ＭＳ ゴシック"/>
      <family val="3"/>
      <charset val="128"/>
    </font>
    <font>
      <sz val="18"/>
      <color indexed="8"/>
      <name val="ＭＳ ゴシック"/>
      <family val="3"/>
      <charset val="128"/>
    </font>
    <font>
      <sz val="18"/>
      <name val="ＭＳ ゴシック"/>
      <family val="3"/>
      <charset val="128"/>
    </font>
    <font>
      <sz val="14"/>
      <color indexed="8"/>
      <name val="ＭＳ ゴシック"/>
      <family val="3"/>
      <charset val="128"/>
    </font>
    <font>
      <sz val="16"/>
      <name val="ＭＳ 明朝"/>
      <family val="1"/>
      <charset val="128"/>
    </font>
    <font>
      <sz val="8"/>
      <name val="ＭＳ ゴシック"/>
      <family val="3"/>
      <charset val="128"/>
    </font>
    <font>
      <sz val="12"/>
      <color rgb="FFFF0000"/>
      <name val="ＭＳ ゴシック"/>
      <family val="3"/>
      <charset val="128"/>
    </font>
    <font>
      <b/>
      <sz val="16"/>
      <color indexed="8"/>
      <name val="ＭＳ ゴシック"/>
      <family val="3"/>
      <charset val="128"/>
    </font>
  </fonts>
  <fills count="1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rgb="FFFFFF99"/>
        <bgColor indexed="64"/>
      </patternFill>
    </fill>
    <fill>
      <patternFill patternType="solid">
        <fgColor rgb="FFCCFFCC"/>
        <bgColor indexed="64"/>
      </patternFill>
    </fill>
    <fill>
      <patternFill patternType="solid">
        <fgColor theme="5" tint="0.59999389629810485"/>
        <bgColor indexed="64"/>
      </patternFill>
    </fill>
    <fill>
      <patternFill patternType="solid">
        <fgColor rgb="FFFCD5B4"/>
        <bgColor indexed="64"/>
      </patternFill>
    </fill>
    <fill>
      <patternFill patternType="solid">
        <fgColor theme="9" tint="0.59999389629810485"/>
        <bgColor indexed="64"/>
      </patternFill>
    </fill>
    <fill>
      <patternFill patternType="solid">
        <fgColor rgb="FFFFCF80"/>
        <bgColor indexed="64"/>
      </patternFill>
    </fill>
  </fills>
  <borders count="191">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diagonal/>
    </border>
    <border>
      <left style="medium">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bottom style="thin">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medium">
        <color auto="1"/>
      </left>
      <right/>
      <top style="medium">
        <color auto="1"/>
      </top>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style="medium">
        <color indexed="64"/>
      </right>
      <top style="medium">
        <color indexed="64"/>
      </top>
      <bottom style="medium">
        <color indexed="64"/>
      </bottom>
      <diagonal/>
    </border>
    <border>
      <left/>
      <right style="medium">
        <color auto="1"/>
      </right>
      <top/>
      <bottom style="medium">
        <color auto="1"/>
      </bottom>
      <diagonal/>
    </border>
    <border>
      <left/>
      <right style="medium">
        <color auto="1"/>
      </right>
      <top style="medium">
        <color auto="1"/>
      </top>
      <bottom/>
      <diagonal/>
    </border>
    <border>
      <left/>
      <right/>
      <top/>
      <bottom style="medium">
        <color auto="1"/>
      </bottom>
      <diagonal/>
    </border>
    <border>
      <left style="thin">
        <color indexed="64"/>
      </left>
      <right/>
      <top/>
      <bottom style="medium">
        <color auto="1"/>
      </bottom>
      <diagonal/>
    </border>
    <border>
      <left style="hair">
        <color indexed="64"/>
      </left>
      <right style="hair">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thin">
        <color auto="1"/>
      </left>
      <right style="hair">
        <color indexed="64"/>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style="thin">
        <color indexed="64"/>
      </left>
      <right style="hair">
        <color indexed="64"/>
      </right>
      <top style="thin">
        <color auto="1"/>
      </top>
      <bottom style="thin">
        <color auto="1"/>
      </bottom>
      <diagonal/>
    </border>
    <border>
      <left style="hair">
        <color indexed="64"/>
      </left>
      <right style="thin">
        <color indexed="64"/>
      </right>
      <top style="thin">
        <color auto="1"/>
      </top>
      <bottom style="thin">
        <color auto="1"/>
      </bottom>
      <diagonal/>
    </border>
    <border>
      <left/>
      <right/>
      <top style="thin">
        <color auto="1"/>
      </top>
      <bottom style="medium">
        <color auto="1"/>
      </bottom>
      <diagonal/>
    </border>
    <border>
      <left style="medium">
        <color auto="1"/>
      </left>
      <right style="thin">
        <color auto="1"/>
      </right>
      <top/>
      <bottom style="medium">
        <color auto="1"/>
      </bottom>
      <diagonal/>
    </border>
    <border>
      <left style="thin">
        <color auto="1"/>
      </left>
      <right style="thin">
        <color indexed="64"/>
      </right>
      <top/>
      <bottom style="medium">
        <color auto="1"/>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medium">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style="double">
        <color indexed="57"/>
      </left>
      <right/>
      <top/>
      <bottom/>
      <diagonal/>
    </border>
    <border>
      <left style="thin">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thin">
        <color indexed="64"/>
      </left>
      <right/>
      <top/>
      <bottom style="double">
        <color indexed="57"/>
      </bottom>
      <diagonal/>
    </border>
    <border>
      <left/>
      <right style="thin">
        <color indexed="64"/>
      </right>
      <top/>
      <bottom style="double">
        <color indexed="57"/>
      </bottom>
      <diagonal/>
    </border>
    <border>
      <left/>
      <right style="medium">
        <color indexed="64"/>
      </right>
      <top/>
      <bottom style="double">
        <color indexed="57"/>
      </bottom>
      <diagonal/>
    </border>
    <border>
      <left style="double">
        <color indexed="57"/>
      </left>
      <right/>
      <top style="double">
        <color indexed="57"/>
      </top>
      <bottom/>
      <diagonal/>
    </border>
    <border>
      <left style="thin">
        <color indexed="64"/>
      </left>
      <right/>
      <top style="double">
        <color indexed="57"/>
      </top>
      <bottom/>
      <diagonal/>
    </border>
    <border>
      <left style="double">
        <color indexed="57"/>
      </left>
      <right/>
      <top/>
      <bottom style="double">
        <color indexed="57"/>
      </bottom>
      <diagonal/>
    </border>
    <border>
      <left/>
      <right style="double">
        <color indexed="57"/>
      </right>
      <top style="thin">
        <color indexed="64"/>
      </top>
      <bottom/>
      <diagonal/>
    </border>
    <border>
      <left style="thin">
        <color indexed="64"/>
      </left>
      <right/>
      <top style="medium">
        <color indexed="64"/>
      </top>
      <bottom style="thin">
        <color indexed="64"/>
      </bottom>
      <diagonal/>
    </border>
    <border>
      <left/>
      <right/>
      <top style="medium">
        <color auto="1"/>
      </top>
      <bottom style="thin">
        <color auto="1"/>
      </bottom>
      <diagonal/>
    </border>
    <border>
      <left/>
      <right style="thin">
        <color indexed="64"/>
      </right>
      <top style="medium">
        <color indexed="64"/>
      </top>
      <bottom style="thin">
        <color indexed="64"/>
      </bottom>
      <diagonal/>
    </border>
    <border>
      <left/>
      <right/>
      <top style="medium">
        <color indexed="64"/>
      </top>
      <bottom style="medium">
        <color indexed="64"/>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indexed="64"/>
      </left>
      <right style="medium">
        <color indexed="64"/>
      </right>
      <top style="thin">
        <color indexed="64"/>
      </top>
      <bottom/>
      <diagonal/>
    </border>
    <border>
      <left style="medium">
        <color auto="1"/>
      </left>
      <right style="medium">
        <color auto="1"/>
      </right>
      <top/>
      <bottom style="medium">
        <color auto="1"/>
      </bottom>
      <diagonal/>
    </border>
    <border>
      <left style="thin">
        <color indexed="64"/>
      </left>
      <right style="medium">
        <color auto="1"/>
      </right>
      <top/>
      <bottom style="medium">
        <color auto="1"/>
      </bottom>
      <diagonal/>
    </border>
    <border>
      <left style="thin">
        <color auto="1"/>
      </left>
      <right style="medium">
        <color indexed="64"/>
      </right>
      <top/>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hair">
        <color indexed="64"/>
      </left>
      <right style="thin">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bottom style="double">
        <color indexed="57"/>
      </bottom>
      <diagonal/>
    </border>
    <border>
      <left style="thin">
        <color indexed="64"/>
      </left>
      <right style="thin">
        <color indexed="64"/>
      </right>
      <top/>
      <bottom style="double">
        <color indexed="57"/>
      </bottom>
      <diagonal/>
    </border>
    <border>
      <left style="thin">
        <color auto="1"/>
      </left>
      <right style="thin">
        <color auto="1"/>
      </right>
      <top/>
      <bottom style="double">
        <color indexed="64"/>
      </bottom>
      <diagonal/>
    </border>
    <border>
      <left style="medium">
        <color auto="1"/>
      </left>
      <right style="double">
        <color indexed="57"/>
      </right>
      <top style="medium">
        <color auto="1"/>
      </top>
      <bottom/>
      <diagonal/>
    </border>
    <border>
      <left style="thin">
        <color auto="1"/>
      </left>
      <right/>
      <top style="double">
        <color indexed="57"/>
      </top>
      <bottom style="thin">
        <color auto="1"/>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double">
        <color indexed="64"/>
      </left>
      <right style="double">
        <color indexed="64"/>
      </right>
      <top style="double">
        <color indexed="64"/>
      </top>
      <bottom/>
      <diagonal/>
    </border>
    <border>
      <left style="medium">
        <color auto="1"/>
      </left>
      <right style="double">
        <color indexed="57"/>
      </right>
      <top/>
      <bottom style="thin">
        <color auto="1"/>
      </bottom>
      <diagonal/>
    </border>
    <border>
      <left style="double">
        <color indexed="64"/>
      </left>
      <right style="double">
        <color indexed="64"/>
      </right>
      <top/>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left style="medium">
        <color auto="1"/>
      </left>
      <right style="double">
        <color indexed="57"/>
      </right>
      <top/>
      <bottom style="medium">
        <color indexed="64"/>
      </bottom>
      <diagonal/>
    </border>
    <border>
      <left style="double">
        <color indexed="64"/>
      </left>
      <right style="double">
        <color indexed="64"/>
      </right>
      <top/>
      <bottom style="double">
        <color indexed="64"/>
      </bottom>
      <diagonal/>
    </border>
    <border>
      <left style="double">
        <color indexed="57"/>
      </left>
      <right style="thin">
        <color auto="1"/>
      </right>
      <top style="double">
        <color indexed="57"/>
      </top>
      <bottom/>
      <diagonal/>
    </border>
    <border>
      <left style="thin">
        <color indexed="64"/>
      </left>
      <right style="double">
        <color indexed="57"/>
      </right>
      <top/>
      <bottom/>
      <diagonal/>
    </border>
    <border>
      <left style="medium">
        <color indexed="64"/>
      </left>
      <right style="double">
        <color indexed="57"/>
      </right>
      <top style="medium">
        <color indexed="64"/>
      </top>
      <bottom style="thin">
        <color indexed="64"/>
      </bottom>
      <diagonal/>
    </border>
    <border>
      <left style="double">
        <color indexed="57"/>
      </left>
      <right/>
      <top style="double">
        <color indexed="57"/>
      </top>
      <bottom style="thin">
        <color auto="1"/>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double">
        <color indexed="57"/>
      </left>
      <right/>
      <top style="thin">
        <color indexed="64"/>
      </top>
      <bottom style="thin">
        <color indexed="64"/>
      </bottom>
      <diagonal/>
    </border>
    <border>
      <left style="medium">
        <color auto="1"/>
      </left>
      <right style="double">
        <color indexed="57"/>
      </right>
      <top style="thin">
        <color auto="1"/>
      </top>
      <bottom style="medium">
        <color indexed="64"/>
      </bottom>
      <diagonal/>
    </border>
    <border>
      <left style="thin">
        <color indexed="64"/>
      </left>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top style="double">
        <color rgb="FF35A16B"/>
      </top>
      <bottom/>
      <diagonal/>
    </border>
    <border>
      <left style="thin">
        <color indexed="64"/>
      </left>
      <right style="double">
        <color rgb="FF339966"/>
      </right>
      <top style="double">
        <color rgb="FF35A16B"/>
      </top>
      <bottom/>
      <diagonal/>
    </border>
    <border>
      <left/>
      <right style="double">
        <color rgb="FF35A16B"/>
      </right>
      <top style="thin">
        <color auto="1"/>
      </top>
      <bottom/>
      <diagonal/>
    </border>
    <border>
      <left style="double">
        <color rgb="FF35A16B"/>
      </left>
      <right/>
      <top style="thin">
        <color indexed="64"/>
      </top>
      <bottom/>
      <diagonal/>
    </border>
    <border>
      <left style="thin">
        <color indexed="64"/>
      </left>
      <right style="double">
        <color rgb="FF339966"/>
      </right>
      <top style="thin">
        <color indexed="64"/>
      </top>
      <bottom/>
      <diagonal/>
    </border>
    <border>
      <left style="medium">
        <color indexed="64"/>
      </left>
      <right/>
      <top style="thin">
        <color indexed="64"/>
      </top>
      <bottom style="thin">
        <color auto="1"/>
      </bottom>
      <diagonal/>
    </border>
    <border>
      <left/>
      <right style="double">
        <color rgb="FF35A16B"/>
      </right>
      <top style="thin">
        <color indexed="64"/>
      </top>
      <bottom style="thin">
        <color indexed="64"/>
      </bottom>
      <diagonal/>
    </border>
    <border>
      <left style="double">
        <color rgb="FF35A16B"/>
      </left>
      <right/>
      <top style="thin">
        <color auto="1"/>
      </top>
      <bottom style="thin">
        <color auto="1"/>
      </bottom>
      <diagonal/>
    </border>
    <border>
      <left style="thin">
        <color indexed="64"/>
      </left>
      <right style="double">
        <color rgb="FF339966"/>
      </right>
      <top style="thin">
        <color auto="1"/>
      </top>
      <bottom style="thin">
        <color auto="1"/>
      </bottom>
      <diagonal/>
    </border>
    <border>
      <left style="double">
        <color rgb="FF35A16B"/>
      </left>
      <right/>
      <top/>
      <bottom/>
      <diagonal/>
    </border>
    <border>
      <left style="thin">
        <color indexed="64"/>
      </left>
      <right style="double">
        <color rgb="FF339966"/>
      </right>
      <top/>
      <bottom/>
      <diagonal/>
    </border>
    <border>
      <left style="double">
        <color rgb="FF35A16B"/>
      </left>
      <right/>
      <top style="thin">
        <color indexed="64"/>
      </top>
      <bottom style="double">
        <color theme="1"/>
      </bottom>
      <diagonal/>
    </border>
    <border>
      <left style="thin">
        <color indexed="64"/>
      </left>
      <right/>
      <top style="thin">
        <color indexed="64"/>
      </top>
      <bottom style="double">
        <color theme="1"/>
      </bottom>
      <diagonal/>
    </border>
    <border>
      <left style="thin">
        <color indexed="64"/>
      </left>
      <right style="double">
        <color rgb="FF339966"/>
      </right>
      <top style="thin">
        <color indexed="64"/>
      </top>
      <bottom style="double">
        <color theme="1"/>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top/>
      <bottom style="double">
        <color rgb="FF35A16B"/>
      </bottom>
      <diagonal/>
    </border>
    <border>
      <left style="thin">
        <color indexed="64"/>
      </left>
      <right style="double">
        <color rgb="FF339966"/>
      </right>
      <top/>
      <bottom style="double">
        <color rgb="FF35A16B"/>
      </bottom>
      <diagonal/>
    </border>
    <border>
      <left style="medium">
        <color indexed="64"/>
      </left>
      <right style="medium">
        <color indexed="64"/>
      </right>
      <top/>
      <bottom style="double">
        <color rgb="FF35A16B"/>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auto="1"/>
      </top>
      <bottom style="thin">
        <color indexed="64"/>
      </bottom>
      <diagonal/>
    </border>
    <border>
      <left style="double">
        <color rgb="FF35A16B"/>
      </left>
      <right style="double">
        <color rgb="FF35A16B"/>
      </right>
      <top style="thin">
        <color indexed="64"/>
      </top>
      <bottom style="double">
        <color auto="1"/>
      </bottom>
      <diagonal/>
    </border>
    <border>
      <left style="double">
        <color rgb="FF35A16B"/>
      </left>
      <right style="double">
        <color rgb="FF35A16B"/>
      </right>
      <top/>
      <bottom style="double">
        <color rgb="FF35A16B"/>
      </bottom>
      <diagonal/>
    </border>
    <border>
      <left style="medium">
        <color auto="1"/>
      </left>
      <right style="medium">
        <color auto="1"/>
      </right>
      <top style="medium">
        <color auto="1"/>
      </top>
      <bottom style="thin">
        <color indexed="64"/>
      </bottom>
      <diagonal/>
    </border>
    <border>
      <left style="thin">
        <color indexed="64"/>
      </left>
      <right/>
      <top style="thin">
        <color indexed="64"/>
      </top>
      <bottom style="double">
        <color indexed="57"/>
      </bottom>
      <diagonal/>
    </border>
    <border>
      <left/>
      <right/>
      <top style="thin">
        <color indexed="64"/>
      </top>
      <bottom style="double">
        <color indexed="57"/>
      </bottom>
      <diagonal/>
    </border>
    <border>
      <left/>
      <right style="double">
        <color indexed="57"/>
      </right>
      <top style="thin">
        <color indexed="64"/>
      </top>
      <bottom style="double">
        <color indexed="57"/>
      </bottom>
      <diagonal/>
    </border>
    <border>
      <left style="double">
        <color indexed="64"/>
      </left>
      <right style="double">
        <color indexed="64"/>
      </right>
      <top style="thin">
        <color auto="1"/>
      </top>
      <bottom style="double">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style="thin">
        <color auto="1"/>
      </left>
      <right style="medium">
        <color auto="1"/>
      </right>
      <top/>
      <bottom style="double">
        <color indexed="57"/>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indexed="64"/>
      </left>
      <right style="thin">
        <color indexed="64"/>
      </right>
      <top/>
      <bottom style="hair">
        <color indexed="64"/>
      </bottom>
      <diagonal/>
    </border>
    <border>
      <left style="thin">
        <color auto="1"/>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diagonalDown="1">
      <left style="thin">
        <color indexed="64"/>
      </left>
      <right style="thin">
        <color indexed="64"/>
      </right>
      <top style="hair">
        <color indexed="64"/>
      </top>
      <bottom style="hair">
        <color indexed="64"/>
      </bottom>
      <diagonal style="hair">
        <color indexed="64"/>
      </diagonal>
    </border>
    <border>
      <left style="thin">
        <color auto="1"/>
      </left>
      <right/>
      <top style="hair">
        <color auto="1"/>
      </top>
      <bottom style="thin">
        <color auto="1"/>
      </bottom>
      <diagonal/>
    </border>
    <border>
      <left/>
      <right style="thin">
        <color indexed="64"/>
      </right>
      <top style="hair">
        <color indexed="64"/>
      </top>
      <bottom style="thin">
        <color indexed="64"/>
      </bottom>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right style="medium">
        <color indexed="64"/>
      </right>
      <top style="thin">
        <color indexed="64"/>
      </top>
      <bottom/>
      <diagonal/>
    </border>
    <border>
      <left style="thin">
        <color indexed="64"/>
      </left>
      <right style="thin">
        <color indexed="64"/>
      </right>
      <top style="hair">
        <color auto="1"/>
      </top>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auto="1"/>
      </top>
      <bottom style="hair">
        <color auto="1"/>
      </bottom>
      <diagonal/>
    </border>
    <border>
      <left/>
      <right/>
      <top style="hair">
        <color auto="1"/>
      </top>
      <bottom style="hair">
        <color auto="1"/>
      </bottom>
      <diagonal/>
    </border>
    <border>
      <left style="thin">
        <color indexed="64"/>
      </left>
      <right/>
      <top style="hair">
        <color auto="1"/>
      </top>
      <bottom style="double">
        <color indexed="64"/>
      </bottom>
      <diagonal/>
    </border>
    <border>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thin">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bottom/>
      <diagonal/>
    </border>
    <border>
      <left style="thin">
        <color indexed="64"/>
      </left>
      <right style="double">
        <color indexed="64"/>
      </right>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thin">
        <color indexed="64"/>
      </top>
      <bottom style="double">
        <color indexed="57"/>
      </bottom>
      <diagonal/>
    </border>
    <border>
      <left style="double">
        <color rgb="FF339966"/>
      </left>
      <right/>
      <top style="double">
        <color indexed="57"/>
      </top>
      <bottom/>
      <diagonal/>
    </border>
    <border>
      <left style="thin">
        <color auto="1"/>
      </left>
      <right style="double">
        <color indexed="57"/>
      </right>
      <top style="double">
        <color indexed="57"/>
      </top>
      <bottom style="thin">
        <color auto="1"/>
      </bottom>
      <diagonal/>
    </border>
    <border>
      <left style="double">
        <color rgb="FF339966"/>
      </left>
      <right/>
      <top style="thin">
        <color indexed="64"/>
      </top>
      <bottom style="double">
        <color indexed="57"/>
      </bottom>
      <diagonal/>
    </border>
    <border>
      <left style="thick">
        <color indexed="64"/>
      </left>
      <right style="thick">
        <color indexed="64"/>
      </right>
      <top style="thick">
        <color indexed="64"/>
      </top>
      <bottom style="thick">
        <color indexed="64"/>
      </bottom>
      <diagonal/>
    </border>
    <border>
      <left/>
      <right/>
      <top/>
      <bottom style="thick">
        <color indexed="64"/>
      </bottom>
      <diagonal/>
    </border>
    <border>
      <left/>
      <right/>
      <top style="hair">
        <color indexed="64"/>
      </top>
      <bottom style="thin">
        <color indexed="64"/>
      </bottom>
      <diagonal/>
    </border>
    <border>
      <left style="double">
        <color indexed="64"/>
      </left>
      <right style="double">
        <color indexed="64"/>
      </right>
      <top style="double">
        <color indexed="64"/>
      </top>
      <bottom style="double">
        <color indexed="64"/>
      </bottom>
      <diagonal/>
    </border>
    <border>
      <left style="thin">
        <color indexed="64"/>
      </left>
      <right style="double">
        <color indexed="57"/>
      </right>
      <top style="thin">
        <color indexed="64"/>
      </top>
      <bottom style="double">
        <color rgb="FF00B050"/>
      </bottom>
      <diagonal/>
    </border>
    <border>
      <left style="thin">
        <color indexed="64"/>
      </left>
      <right/>
      <top style="thin">
        <color indexed="64"/>
      </top>
      <bottom style="double">
        <color rgb="FF00B050"/>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hair">
        <color indexed="64"/>
      </right>
      <top/>
      <bottom style="thin">
        <color auto="1"/>
      </bottom>
      <diagonal/>
    </border>
    <border>
      <left style="hair">
        <color indexed="64"/>
      </left>
      <right style="hair">
        <color indexed="64"/>
      </right>
      <top/>
      <bottom style="thin">
        <color indexed="64"/>
      </bottom>
      <diagonal/>
    </border>
    <border>
      <left style="hair">
        <color indexed="64"/>
      </left>
      <right style="thin">
        <color indexed="64"/>
      </right>
      <top/>
      <bottom style="thin">
        <color auto="1"/>
      </bottom>
      <diagonal/>
    </border>
  </borders>
  <cellStyleXfs count="9">
    <xf numFmtId="0" fontId="0" fillId="0" borderId="0"/>
    <xf numFmtId="0" fontId="1" fillId="0" borderId="0">
      <alignment vertical="center"/>
    </xf>
    <xf numFmtId="0" fontId="4" fillId="0" borderId="0">
      <alignment vertical="center"/>
    </xf>
    <xf numFmtId="0" fontId="4" fillId="0" borderId="0"/>
    <xf numFmtId="0" fontId="5" fillId="0" borderId="0"/>
    <xf numFmtId="38" fontId="4" fillId="0" borderId="0" applyFont="0" applyFill="0" applyBorder="0" applyAlignment="0" applyProtection="0">
      <alignment vertical="center"/>
    </xf>
    <xf numFmtId="0" fontId="1" fillId="0" borderId="0">
      <alignment vertical="center"/>
    </xf>
    <xf numFmtId="0" fontId="31" fillId="0" borderId="0">
      <alignment vertical="center"/>
    </xf>
    <xf numFmtId="0" fontId="34" fillId="0" borderId="0">
      <alignment vertical="center"/>
    </xf>
  </cellStyleXfs>
  <cellXfs count="623">
    <xf numFmtId="0" fontId="0" fillId="0" borderId="0" xfId="0"/>
    <xf numFmtId="0" fontId="0" fillId="0" borderId="0" xfId="0" applyAlignment="1">
      <alignment vertical="center"/>
    </xf>
    <xf numFmtId="0" fontId="4" fillId="0" borderId="0" xfId="2">
      <alignment vertical="center"/>
    </xf>
    <xf numFmtId="0" fontId="4" fillId="0" borderId="0" xfId="2" applyAlignment="1">
      <alignment horizontal="left" vertical="center"/>
    </xf>
    <xf numFmtId="0" fontId="8" fillId="0" borderId="0" xfId="2" applyFont="1">
      <alignment vertical="center"/>
    </xf>
    <xf numFmtId="0" fontId="9" fillId="0" borderId="0" xfId="2" applyFont="1">
      <alignment vertical="center"/>
    </xf>
    <xf numFmtId="0" fontId="7" fillId="0" borderId="1" xfId="2" applyFont="1" applyBorder="1" applyAlignment="1">
      <alignment horizontal="center" vertical="center" shrinkToFit="1"/>
    </xf>
    <xf numFmtId="0" fontId="7" fillId="0" borderId="19" xfId="2" applyFont="1" applyBorder="1" applyAlignment="1">
      <alignment horizontal="center" vertical="center" shrinkToFit="1"/>
    </xf>
    <xf numFmtId="0" fontId="7" fillId="0" borderId="43" xfId="2" applyFont="1" applyBorder="1" applyAlignment="1">
      <alignment vertical="center" shrinkToFit="1"/>
    </xf>
    <xf numFmtId="0" fontId="7" fillId="0" borderId="40" xfId="2" applyFont="1" applyBorder="1" applyAlignment="1">
      <alignment vertical="center" shrinkToFit="1"/>
    </xf>
    <xf numFmtId="0" fontId="7" fillId="0" borderId="44" xfId="2" applyFont="1" applyBorder="1" applyAlignment="1">
      <alignment vertical="center" shrinkToFit="1"/>
    </xf>
    <xf numFmtId="0" fontId="7" fillId="0" borderId="41" xfId="2" applyFont="1" applyBorder="1" applyAlignment="1">
      <alignment vertical="center" shrinkToFit="1"/>
    </xf>
    <xf numFmtId="0" fontId="7" fillId="0" borderId="39" xfId="2" applyFont="1" applyBorder="1" applyAlignment="1">
      <alignment vertical="center" shrinkToFit="1"/>
    </xf>
    <xf numFmtId="0" fontId="7" fillId="0" borderId="42" xfId="2" applyFont="1" applyBorder="1" applyAlignment="1">
      <alignment vertical="center" shrinkToFit="1"/>
    </xf>
    <xf numFmtId="0" fontId="7" fillId="0" borderId="13" xfId="2" applyFont="1" applyBorder="1" applyAlignment="1">
      <alignment horizontal="distributed" vertical="center" shrinkToFit="1"/>
    </xf>
    <xf numFmtId="0" fontId="7" fillId="0" borderId="16" xfId="2" applyFont="1" applyBorder="1" applyAlignment="1">
      <alignment horizontal="distributed" vertical="center" shrinkToFit="1"/>
    </xf>
    <xf numFmtId="0" fontId="7" fillId="0" borderId="8" xfId="2" applyFont="1" applyBorder="1" applyAlignment="1">
      <alignment horizontal="center" vertical="center"/>
    </xf>
    <xf numFmtId="0" fontId="7" fillId="0" borderId="17" xfId="2" applyFont="1" applyBorder="1" applyAlignment="1">
      <alignment horizontal="center" vertical="center"/>
    </xf>
    <xf numFmtId="0" fontId="4" fillId="0" borderId="0" xfId="3"/>
    <xf numFmtId="0" fontId="5" fillId="0" borderId="0" xfId="3" applyFont="1"/>
    <xf numFmtId="0" fontId="5" fillId="0" borderId="0" xfId="3" applyFont="1" applyAlignment="1">
      <alignment vertical="center"/>
    </xf>
    <xf numFmtId="0" fontId="7" fillId="0" borderId="3" xfId="2" applyFont="1" applyBorder="1" applyAlignment="1">
      <alignment horizontal="center" vertical="center" shrinkToFit="1"/>
    </xf>
    <xf numFmtId="0" fontId="7" fillId="0" borderId="45" xfId="2" applyFont="1" applyBorder="1" applyAlignment="1">
      <alignment horizontal="center" vertical="center" shrinkToFit="1"/>
    </xf>
    <xf numFmtId="0" fontId="7" fillId="0" borderId="8" xfId="2" applyFont="1" applyBorder="1" applyAlignment="1">
      <alignment horizontal="center" vertical="center" shrinkToFit="1"/>
    </xf>
    <xf numFmtId="0" fontId="7" fillId="0" borderId="17" xfId="2" applyFont="1" applyBorder="1" applyAlignment="1">
      <alignment horizontal="center" vertical="center" shrinkToFit="1"/>
    </xf>
    <xf numFmtId="0" fontId="19" fillId="0" borderId="0" xfId="3" applyFont="1"/>
    <xf numFmtId="0" fontId="5" fillId="0" borderId="0" xfId="3" applyFont="1" applyAlignment="1">
      <alignment horizontal="center" vertical="center"/>
    </xf>
    <xf numFmtId="0" fontId="20" fillId="0" borderId="0" xfId="3" applyFont="1"/>
    <xf numFmtId="0" fontId="21" fillId="0" borderId="0" xfId="3" applyFont="1" applyAlignment="1">
      <alignment vertical="center"/>
    </xf>
    <xf numFmtId="0" fontId="26" fillId="0" borderId="0" xfId="3" applyFont="1"/>
    <xf numFmtId="0" fontId="9" fillId="0" borderId="0" xfId="2" applyFont="1" applyAlignment="1">
      <alignment horizontal="left" vertical="center"/>
    </xf>
    <xf numFmtId="0" fontId="4" fillId="0" borderId="34" xfId="2" applyBorder="1">
      <alignment vertical="center"/>
    </xf>
    <xf numFmtId="0" fontId="7" fillId="7" borderId="71" xfId="2" applyFont="1" applyFill="1" applyBorder="1" applyAlignment="1">
      <alignment horizontal="distributed" vertical="center" indent="1"/>
    </xf>
    <xf numFmtId="0" fontId="7" fillId="7" borderId="32" xfId="2" applyFont="1" applyFill="1" applyBorder="1" applyAlignment="1">
      <alignment horizontal="distributed" vertical="center" indent="1"/>
    </xf>
    <xf numFmtId="0" fontId="7" fillId="7" borderId="25" xfId="2" applyFont="1" applyFill="1" applyBorder="1" applyAlignment="1">
      <alignment horizontal="center" vertical="center" justifyLastLine="1"/>
    </xf>
    <xf numFmtId="0" fontId="7" fillId="7" borderId="26" xfId="2" applyFont="1" applyFill="1" applyBorder="1" applyAlignment="1">
      <alignment horizontal="center" vertical="center" justifyLastLine="1"/>
    </xf>
    <xf numFmtId="0" fontId="7" fillId="4" borderId="32" xfId="2" applyFont="1" applyFill="1" applyBorder="1" applyAlignment="1">
      <alignment horizontal="center" vertical="center" justifyLastLine="1"/>
    </xf>
    <xf numFmtId="0" fontId="7" fillId="4" borderId="29" xfId="2" applyFont="1" applyFill="1" applyBorder="1" applyAlignment="1">
      <alignment horizontal="center" vertical="center" justifyLastLine="1"/>
    </xf>
    <xf numFmtId="0" fontId="7" fillId="4" borderId="36" xfId="2" applyFont="1" applyFill="1" applyBorder="1" applyAlignment="1">
      <alignment horizontal="center" vertical="center" justifyLastLine="1"/>
    </xf>
    <xf numFmtId="0" fontId="7" fillId="7" borderId="46" xfId="2" applyFont="1" applyFill="1" applyBorder="1" applyAlignment="1">
      <alignment horizontal="center" vertical="center" justifyLastLine="1"/>
    </xf>
    <xf numFmtId="0" fontId="7" fillId="7" borderId="53" xfId="2" applyFont="1" applyFill="1" applyBorder="1" applyAlignment="1">
      <alignment horizontal="center" vertical="center" justifyLastLine="1"/>
    </xf>
    <xf numFmtId="0" fontId="7" fillId="7" borderId="47" xfId="2" applyFont="1" applyFill="1" applyBorder="1" applyAlignment="1">
      <alignment horizontal="center" vertical="center" justifyLastLine="1"/>
    </xf>
    <xf numFmtId="0" fontId="7" fillId="4" borderId="46" xfId="2" applyFont="1" applyFill="1" applyBorder="1" applyAlignment="1">
      <alignment horizontal="center" vertical="center" justifyLastLine="1"/>
    </xf>
    <xf numFmtId="0" fontId="7" fillId="3" borderId="72" xfId="2" applyFont="1" applyFill="1" applyBorder="1" applyAlignment="1">
      <alignment vertical="center" justifyLastLine="1"/>
    </xf>
    <xf numFmtId="0" fontId="7" fillId="3" borderId="14" xfId="2" applyFont="1" applyFill="1" applyBorder="1" applyAlignment="1">
      <alignment vertical="center" justifyLastLine="1"/>
    </xf>
    <xf numFmtId="0" fontId="28" fillId="3" borderId="50" xfId="2" applyFont="1" applyFill="1" applyBorder="1" applyAlignment="1">
      <alignment horizontal="right" vertical="top"/>
    </xf>
    <xf numFmtId="0" fontId="28" fillId="3" borderId="10" xfId="2" applyFont="1" applyFill="1" applyBorder="1" applyAlignment="1">
      <alignment horizontal="right" vertical="top"/>
    </xf>
    <xf numFmtId="0" fontId="28" fillId="3" borderId="14" xfId="2" applyFont="1" applyFill="1" applyBorder="1" applyAlignment="1">
      <alignment horizontal="right" vertical="top"/>
    </xf>
    <xf numFmtId="0" fontId="28" fillId="3" borderId="76" xfId="2" applyFont="1" applyFill="1" applyBorder="1" applyAlignment="1">
      <alignment horizontal="right" vertical="top"/>
    </xf>
    <xf numFmtId="0" fontId="7" fillId="3" borderId="77" xfId="2" applyFont="1" applyFill="1" applyBorder="1" applyAlignment="1">
      <alignment vertical="center" justifyLastLine="1"/>
    </xf>
    <xf numFmtId="0" fontId="7" fillId="3" borderId="15" xfId="2" applyFont="1" applyFill="1" applyBorder="1" applyAlignment="1">
      <alignment vertical="center" justifyLastLine="1"/>
    </xf>
    <xf numFmtId="0" fontId="7" fillId="3" borderId="54" xfId="2" applyFont="1" applyFill="1" applyBorder="1">
      <alignment vertical="center"/>
    </xf>
    <xf numFmtId="0" fontId="7" fillId="3" borderId="6" xfId="2" applyFont="1" applyFill="1" applyBorder="1">
      <alignment vertical="center"/>
    </xf>
    <xf numFmtId="0" fontId="7" fillId="4" borderId="78" xfId="2" applyFont="1" applyFill="1" applyBorder="1" applyAlignment="1">
      <alignment vertical="center" justifyLastLine="1"/>
    </xf>
    <xf numFmtId="0" fontId="7" fillId="3" borderId="13" xfId="2" applyFont="1" applyFill="1" applyBorder="1" applyAlignment="1">
      <alignment vertical="center" justifyLastLine="1"/>
    </xf>
    <xf numFmtId="0" fontId="7" fillId="3" borderId="1" xfId="2" applyFont="1" applyFill="1" applyBorder="1">
      <alignment vertical="center"/>
    </xf>
    <xf numFmtId="0" fontId="7" fillId="4" borderId="78" xfId="2" quotePrefix="1" applyFont="1" applyFill="1" applyBorder="1" applyAlignment="1">
      <alignment vertical="center" justifyLastLine="1"/>
    </xf>
    <xf numFmtId="0" fontId="7" fillId="3" borderId="13" xfId="2" quotePrefix="1" applyFont="1" applyFill="1" applyBorder="1" applyAlignment="1">
      <alignment vertical="center" justifyLastLine="1"/>
    </xf>
    <xf numFmtId="0" fontId="7" fillId="3" borderId="3" xfId="2" applyFont="1" applyFill="1" applyBorder="1">
      <alignment vertical="center"/>
    </xf>
    <xf numFmtId="0" fontId="7" fillId="3" borderId="1" xfId="2" applyFont="1" applyFill="1" applyBorder="1" applyAlignment="1">
      <alignment vertical="center" shrinkToFit="1"/>
    </xf>
    <xf numFmtId="0" fontId="7" fillId="4" borderId="74" xfId="2" applyFont="1" applyFill="1" applyBorder="1" applyAlignment="1">
      <alignment vertical="center" justifyLastLine="1"/>
    </xf>
    <xf numFmtId="0" fontId="7" fillId="3" borderId="46" xfId="2" applyFont="1" applyFill="1" applyBorder="1" applyAlignment="1">
      <alignment vertical="center" justifyLastLine="1"/>
    </xf>
    <xf numFmtId="0" fontId="7" fillId="3" borderId="37" xfId="2" applyFont="1" applyFill="1" applyBorder="1">
      <alignment vertical="center"/>
    </xf>
    <xf numFmtId="0" fontId="7" fillId="3" borderId="38" xfId="2" applyFont="1" applyFill="1" applyBorder="1">
      <alignment vertical="center"/>
    </xf>
    <xf numFmtId="0" fontId="7" fillId="3" borderId="38" xfId="2" applyFont="1" applyFill="1" applyBorder="1" applyAlignment="1">
      <alignment vertical="center" shrinkToFit="1"/>
    </xf>
    <xf numFmtId="0" fontId="7" fillId="0" borderId="12" xfId="2" applyFont="1" applyBorder="1" applyAlignment="1">
      <alignment vertical="center" shrinkToFit="1"/>
    </xf>
    <xf numFmtId="0" fontId="7" fillId="0" borderId="18" xfId="2" applyFont="1" applyBorder="1" applyAlignment="1">
      <alignment vertical="center" shrinkToFit="1"/>
    </xf>
    <xf numFmtId="0" fontId="19" fillId="0" borderId="0" xfId="3" applyFont="1" applyAlignment="1">
      <alignment vertical="center" shrinkToFit="1"/>
    </xf>
    <xf numFmtId="0" fontId="14" fillId="0" borderId="0" xfId="3" applyFont="1"/>
    <xf numFmtId="0" fontId="19" fillId="0" borderId="0" xfId="7" applyFont="1">
      <alignment vertical="center"/>
    </xf>
    <xf numFmtId="0" fontId="18" fillId="0" borderId="0" xfId="3" applyFont="1"/>
    <xf numFmtId="0" fontId="12" fillId="0" borderId="0" xfId="3" applyFont="1" applyAlignment="1">
      <alignment horizontal="right" vertical="center"/>
    </xf>
    <xf numFmtId="0" fontId="12" fillId="0" borderId="0" xfId="3" applyFont="1"/>
    <xf numFmtId="0" fontId="19" fillId="6" borderId="84" xfId="3" applyFont="1" applyFill="1" applyBorder="1" applyAlignment="1">
      <alignment vertical="center" wrapText="1"/>
    </xf>
    <xf numFmtId="0" fontId="33" fillId="5" borderId="63" xfId="3" applyFont="1" applyFill="1" applyBorder="1" applyAlignment="1">
      <alignment vertical="center"/>
    </xf>
    <xf numFmtId="0" fontId="25" fillId="5" borderId="64" xfId="3" applyFont="1" applyFill="1" applyBorder="1" applyAlignment="1">
      <alignment vertical="center"/>
    </xf>
    <xf numFmtId="0" fontId="24" fillId="5" borderId="64" xfId="3" applyFont="1" applyFill="1" applyBorder="1" applyAlignment="1">
      <alignment vertical="center" wrapText="1"/>
    </xf>
    <xf numFmtId="177" fontId="23" fillId="5" borderId="86" xfId="3" applyNumberFormat="1" applyFont="1" applyFill="1" applyBorder="1"/>
    <xf numFmtId="177" fontId="23" fillId="5" borderId="87" xfId="3" applyNumberFormat="1" applyFont="1" applyFill="1" applyBorder="1"/>
    <xf numFmtId="0" fontId="32" fillId="8" borderId="88" xfId="3" applyFont="1" applyFill="1" applyBorder="1" applyAlignment="1">
      <alignment vertical="center"/>
    </xf>
    <xf numFmtId="0" fontId="19" fillId="0" borderId="89" xfId="3" applyFont="1" applyBorder="1" applyAlignment="1">
      <alignment vertical="center" wrapText="1"/>
    </xf>
    <xf numFmtId="0" fontId="33" fillId="0" borderId="57" xfId="3" applyFont="1" applyBorder="1" applyAlignment="1">
      <alignment vertical="center"/>
    </xf>
    <xf numFmtId="0" fontId="25" fillId="0" borderId="49" xfId="3" applyFont="1" applyBorder="1" applyAlignment="1">
      <alignment vertical="center"/>
    </xf>
    <xf numFmtId="0" fontId="24" fillId="0" borderId="49" xfId="3" applyFont="1" applyBorder="1" applyAlignment="1">
      <alignment vertical="center" wrapText="1"/>
    </xf>
    <xf numFmtId="38" fontId="23" fillId="5" borderId="4" xfId="5" applyFont="1" applyFill="1" applyBorder="1" applyAlignment="1"/>
    <xf numFmtId="0" fontId="23" fillId="0" borderId="56" xfId="3" applyFont="1" applyBorder="1"/>
    <xf numFmtId="0" fontId="23" fillId="0" borderId="66" xfId="3" applyFont="1" applyBorder="1"/>
    <xf numFmtId="0" fontId="32" fillId="0" borderId="90" xfId="3" applyFont="1" applyBorder="1" applyAlignment="1">
      <alignment vertical="center"/>
    </xf>
    <xf numFmtId="0" fontId="19" fillId="6" borderId="91" xfId="3" applyFont="1" applyFill="1" applyBorder="1" applyAlignment="1">
      <alignment vertical="center" wrapText="1"/>
    </xf>
    <xf numFmtId="0" fontId="32" fillId="8" borderId="92" xfId="3" applyFont="1" applyFill="1" applyBorder="1" applyAlignment="1">
      <alignment vertical="center"/>
    </xf>
    <xf numFmtId="0" fontId="19" fillId="0" borderId="93" xfId="3" applyFont="1" applyBorder="1" applyAlignment="1">
      <alignment vertical="center" wrapText="1"/>
    </xf>
    <xf numFmtId="0" fontId="32" fillId="0" borderId="94" xfId="3" applyFont="1" applyBorder="1" applyAlignment="1">
      <alignment vertical="center"/>
    </xf>
    <xf numFmtId="0" fontId="25" fillId="0" borderId="0" xfId="3" applyFont="1" applyAlignment="1">
      <alignment vertical="center"/>
    </xf>
    <xf numFmtId="0" fontId="23" fillId="0" borderId="0" xfId="3" applyFont="1"/>
    <xf numFmtId="0" fontId="19" fillId="0" borderId="0" xfId="3" applyFont="1" applyAlignment="1">
      <alignment vertical="center"/>
    </xf>
    <xf numFmtId="178" fontId="19" fillId="0" borderId="0" xfId="3" applyNumberFormat="1" applyFont="1" applyAlignment="1">
      <alignment vertical="center"/>
    </xf>
    <xf numFmtId="0" fontId="19" fillId="6" borderId="97" xfId="3" applyFont="1" applyFill="1" applyBorder="1" applyAlignment="1">
      <alignment vertical="center" shrinkToFit="1"/>
    </xf>
    <xf numFmtId="0" fontId="24" fillId="5" borderId="98" xfId="3" applyFont="1" applyFill="1" applyBorder="1" applyAlignment="1">
      <alignment vertical="center"/>
    </xf>
    <xf numFmtId="0" fontId="23" fillId="5" borderId="85" xfId="3" applyFont="1" applyFill="1" applyBorder="1" applyAlignment="1">
      <alignment vertical="center"/>
    </xf>
    <xf numFmtId="0" fontId="24" fillId="5" borderId="85" xfId="3" applyFont="1" applyFill="1" applyBorder="1" applyAlignment="1">
      <alignment vertical="center" wrapText="1"/>
    </xf>
    <xf numFmtId="0" fontId="19" fillId="6" borderId="100" xfId="3" applyFont="1" applyFill="1" applyBorder="1" applyAlignment="1">
      <alignment vertical="center" shrinkToFit="1"/>
    </xf>
    <xf numFmtId="0" fontId="24" fillId="5" borderId="101" xfId="3" applyFont="1" applyFill="1" applyBorder="1" applyAlignment="1">
      <alignment vertical="center"/>
    </xf>
    <xf numFmtId="0" fontId="23" fillId="5" borderId="1" xfId="3" applyFont="1" applyFill="1" applyBorder="1" applyAlignment="1">
      <alignment vertical="center"/>
    </xf>
    <xf numFmtId="0" fontId="24" fillId="5" borderId="1" xfId="3" applyFont="1" applyFill="1" applyBorder="1" applyAlignment="1">
      <alignment vertical="center" wrapText="1"/>
    </xf>
    <xf numFmtId="0" fontId="19" fillId="6" borderId="102" xfId="3" applyFont="1" applyFill="1" applyBorder="1" applyAlignment="1">
      <alignment vertical="center" shrinkToFit="1"/>
    </xf>
    <xf numFmtId="0" fontId="15" fillId="0" borderId="0" xfId="3" applyFont="1" applyAlignment="1">
      <alignment horizontal="center" vertical="center" wrapText="1"/>
    </xf>
    <xf numFmtId="0" fontId="15" fillId="0" borderId="0" xfId="3" applyFont="1" applyAlignment="1">
      <alignment vertical="center" wrapText="1"/>
    </xf>
    <xf numFmtId="0" fontId="15" fillId="0" borderId="48" xfId="3" applyFont="1" applyBorder="1" applyAlignment="1">
      <alignment horizontal="distributed" vertical="center" wrapText="1"/>
    </xf>
    <xf numFmtId="177" fontId="17" fillId="0" borderId="0" xfId="3" applyNumberFormat="1" applyFont="1" applyAlignment="1">
      <alignment vertical="center"/>
    </xf>
    <xf numFmtId="177" fontId="17" fillId="0" borderId="0" xfId="3" applyNumberFormat="1" applyFont="1" applyAlignment="1">
      <alignment horizontal="right" vertical="top"/>
    </xf>
    <xf numFmtId="0" fontId="13" fillId="0" borderId="0" xfId="3" applyFont="1"/>
    <xf numFmtId="0" fontId="15" fillId="0" borderId="55" xfId="3" applyFont="1" applyBorder="1" applyAlignment="1">
      <alignment horizontal="distributed" vertical="center"/>
    </xf>
    <xf numFmtId="1" fontId="15" fillId="0" borderId="0" xfId="3" applyNumberFormat="1" applyFont="1" applyAlignment="1">
      <alignment vertical="center"/>
    </xf>
    <xf numFmtId="0" fontId="5" fillId="0" borderId="0" xfId="4" applyAlignment="1">
      <alignment vertical="center"/>
    </xf>
    <xf numFmtId="0" fontId="15" fillId="0" borderId="120" xfId="3" applyFont="1" applyBorder="1" applyAlignment="1">
      <alignment horizontal="distributed" vertical="center"/>
    </xf>
    <xf numFmtId="0" fontId="15" fillId="0" borderId="0" xfId="3" applyFont="1" applyAlignment="1">
      <alignment vertical="center"/>
    </xf>
    <xf numFmtId="177" fontId="17" fillId="0" borderId="115" xfId="3" applyNumberFormat="1" applyFont="1" applyBorder="1" applyAlignment="1">
      <alignment vertical="top"/>
    </xf>
    <xf numFmtId="0" fontId="35" fillId="0" borderId="0" xfId="3" applyFont="1" applyAlignment="1">
      <alignment horizontal="left" vertical="center" wrapText="1"/>
    </xf>
    <xf numFmtId="177" fontId="17" fillId="0" borderId="0" xfId="3" applyNumberFormat="1" applyFont="1" applyAlignment="1">
      <alignment vertical="top"/>
    </xf>
    <xf numFmtId="0" fontId="16" fillId="0" borderId="0" xfId="3" applyFont="1" applyAlignment="1">
      <alignment vertical="center" wrapText="1"/>
    </xf>
    <xf numFmtId="0" fontId="4" fillId="0" borderId="0" xfId="3" applyAlignment="1">
      <alignment horizontal="distributed" vertical="center" justifyLastLine="1"/>
    </xf>
    <xf numFmtId="0" fontId="17" fillId="0" borderId="0" xfId="3" applyFont="1" applyAlignment="1">
      <alignment horizontal="right" vertical="top" wrapText="1"/>
    </xf>
    <xf numFmtId="0" fontId="15" fillId="0" borderId="0" xfId="3" applyFont="1" applyAlignment="1">
      <alignment vertical="center" justifyLastLine="1"/>
    </xf>
    <xf numFmtId="0" fontId="28" fillId="7" borderId="74" xfId="2" applyFont="1" applyFill="1" applyBorder="1" applyAlignment="1">
      <alignment horizontal="center" vertical="center" justifyLastLine="1"/>
    </xf>
    <xf numFmtId="0" fontId="7" fillId="4" borderId="25" xfId="2" applyFont="1" applyFill="1" applyBorder="1" applyAlignment="1">
      <alignment horizontal="center" vertical="center" justifyLastLine="1"/>
    </xf>
    <xf numFmtId="0" fontId="7" fillId="4" borderId="17" xfId="2" applyFont="1" applyFill="1" applyBorder="1" applyAlignment="1">
      <alignment horizontal="center" vertical="center" wrapText="1" justifyLastLine="1"/>
    </xf>
    <xf numFmtId="0" fontId="7" fillId="4" borderId="18" xfId="2" applyFont="1" applyFill="1" applyBorder="1" applyAlignment="1">
      <alignment horizontal="center" vertical="center" wrapText="1" justifyLastLine="1"/>
    </xf>
    <xf numFmtId="0" fontId="38" fillId="7" borderId="130" xfId="2" applyFont="1" applyFill="1" applyBorder="1" applyAlignment="1">
      <alignment horizontal="center" vertical="center"/>
    </xf>
    <xf numFmtId="0" fontId="38" fillId="0" borderId="74" xfId="2" applyFont="1" applyBorder="1" applyAlignment="1">
      <alignment horizontal="center" vertical="center"/>
    </xf>
    <xf numFmtId="0" fontId="0" fillId="4" borderId="9" xfId="0" applyFill="1" applyBorder="1" applyAlignment="1">
      <alignment horizontal="center"/>
    </xf>
    <xf numFmtId="0" fontId="0" fillId="0" borderId="8" xfId="0" applyBorder="1"/>
    <xf numFmtId="0" fontId="28" fillId="0" borderId="8" xfId="2" applyFont="1" applyBorder="1" applyAlignment="1">
      <alignment horizontal="center" vertical="center" wrapText="1"/>
    </xf>
    <xf numFmtId="0" fontId="0" fillId="4" borderId="8" xfId="0" applyFill="1" applyBorder="1" applyAlignment="1">
      <alignment horizontal="center"/>
    </xf>
    <xf numFmtId="0" fontId="28" fillId="0" borderId="17" xfId="2" applyFont="1" applyBorder="1" applyAlignment="1">
      <alignment horizontal="center" vertical="center" wrapText="1"/>
    </xf>
    <xf numFmtId="180" fontId="23" fillId="5" borderId="85" xfId="5" applyNumberFormat="1" applyFont="1" applyFill="1" applyBorder="1" applyAlignment="1"/>
    <xf numFmtId="0" fontId="16" fillId="0" borderId="0" xfId="3" applyFont="1" applyAlignment="1">
      <alignment horizontal="left"/>
    </xf>
    <xf numFmtId="0" fontId="16" fillId="0" borderId="0" xfId="3" applyFont="1" applyAlignment="1">
      <alignment horizontal="left" vertical="center"/>
    </xf>
    <xf numFmtId="0" fontId="33" fillId="5" borderId="95" xfId="3" applyFont="1" applyFill="1" applyBorder="1" applyAlignment="1">
      <alignment vertical="center"/>
    </xf>
    <xf numFmtId="0" fontId="33" fillId="0" borderId="65" xfId="3" applyFont="1" applyBorder="1" applyAlignment="1">
      <alignment vertical="center"/>
    </xf>
    <xf numFmtId="0" fontId="25" fillId="0" borderId="60" xfId="3" applyFont="1" applyBorder="1" applyAlignment="1">
      <alignment vertical="center"/>
    </xf>
    <xf numFmtId="0" fontId="24" fillId="0" borderId="60" xfId="3" applyFont="1" applyBorder="1" applyAlignment="1">
      <alignment vertical="center" wrapText="1"/>
    </xf>
    <xf numFmtId="38" fontId="23" fillId="5" borderId="131" xfId="5" applyFont="1" applyFill="1" applyBorder="1" applyAlignment="1"/>
    <xf numFmtId="0" fontId="23" fillId="0" borderId="132" xfId="3" applyFont="1" applyBorder="1"/>
    <xf numFmtId="0" fontId="23" fillId="0" borderId="133" xfId="3" applyFont="1" applyBorder="1"/>
    <xf numFmtId="0" fontId="18" fillId="0" borderId="0" xfId="3" applyFont="1" applyAlignment="1">
      <alignment vertical="center"/>
    </xf>
    <xf numFmtId="179" fontId="19" fillId="0" borderId="0" xfId="3" applyNumberFormat="1" applyFont="1" applyAlignment="1">
      <alignment vertical="center"/>
    </xf>
    <xf numFmtId="178" fontId="19" fillId="0" borderId="0" xfId="3" applyNumberFormat="1" applyFont="1" applyAlignment="1">
      <alignment horizontal="center" vertical="center"/>
    </xf>
    <xf numFmtId="179" fontId="4" fillId="0" borderId="0" xfId="3" applyNumberFormat="1" applyAlignment="1">
      <alignment vertical="center"/>
    </xf>
    <xf numFmtId="0" fontId="4" fillId="0" borderId="0" xfId="3" applyAlignment="1">
      <alignment vertical="center"/>
    </xf>
    <xf numFmtId="38" fontId="32" fillId="0" borderId="0" xfId="5" applyFont="1" applyFill="1" applyBorder="1" applyAlignment="1">
      <alignment vertical="center"/>
    </xf>
    <xf numFmtId="0" fontId="24" fillId="5" borderId="135" xfId="3" applyFont="1" applyFill="1" applyBorder="1" applyAlignment="1">
      <alignment vertical="center"/>
    </xf>
    <xf numFmtId="0" fontId="23" fillId="5" borderId="131" xfId="3" applyFont="1" applyFill="1" applyBorder="1" applyAlignment="1">
      <alignment vertical="center"/>
    </xf>
    <xf numFmtId="0" fontId="24" fillId="5" borderId="131" xfId="3" applyFont="1" applyFill="1" applyBorder="1" applyAlignment="1">
      <alignment vertical="center" wrapText="1"/>
    </xf>
    <xf numFmtId="177" fontId="23" fillId="0" borderId="0" xfId="3" applyNumberFormat="1" applyFont="1"/>
    <xf numFmtId="180" fontId="23" fillId="0" borderId="0" xfId="5" applyNumberFormat="1" applyFont="1" applyFill="1" applyBorder="1" applyAlignment="1"/>
    <xf numFmtId="38" fontId="23" fillId="0" borderId="0" xfId="5" applyFont="1" applyFill="1" applyBorder="1" applyAlignment="1"/>
    <xf numFmtId="181" fontId="7" fillId="0" borderId="8" xfId="2" applyNumberFormat="1" applyFont="1" applyBorder="1" applyAlignment="1">
      <alignment horizontal="center" vertical="center"/>
    </xf>
    <xf numFmtId="181" fontId="7" fillId="0" borderId="17" xfId="2" applyNumberFormat="1" applyFont="1" applyBorder="1" applyAlignment="1">
      <alignment horizontal="center" vertical="center"/>
    </xf>
    <xf numFmtId="0" fontId="0" fillId="2" borderId="8" xfId="0" applyFill="1" applyBorder="1"/>
    <xf numFmtId="0" fontId="39" fillId="0" borderId="0" xfId="3" applyFont="1"/>
    <xf numFmtId="0" fontId="40" fillId="0" borderId="0" xfId="3" applyFont="1"/>
    <xf numFmtId="0" fontId="0" fillId="4" borderId="8" xfId="0" applyFill="1" applyBorder="1" applyAlignment="1">
      <alignment horizontal="left"/>
    </xf>
    <xf numFmtId="0" fontId="41" fillId="0" borderId="0" xfId="3" applyFont="1"/>
    <xf numFmtId="0" fontId="42" fillId="0" borderId="0" xfId="3" applyFont="1"/>
    <xf numFmtId="0" fontId="15" fillId="0" borderId="55" xfId="3" applyFont="1" applyBorder="1" applyAlignment="1">
      <alignment horizontal="center" vertical="center" wrapText="1"/>
    </xf>
    <xf numFmtId="0" fontId="15" fillId="0" borderId="4" xfId="3" applyFont="1" applyBorder="1" applyAlignment="1">
      <alignment horizontal="center" vertical="center" wrapText="1"/>
    </xf>
    <xf numFmtId="0" fontId="15" fillId="0" borderId="73" xfId="3" applyFont="1" applyBorder="1" applyAlignment="1">
      <alignment horizontal="center" vertical="center" wrapText="1"/>
    </xf>
    <xf numFmtId="0" fontId="15" fillId="0" borderId="71" xfId="3" applyFont="1" applyBorder="1" applyAlignment="1">
      <alignment horizontal="center" vertical="center" wrapText="1"/>
    </xf>
    <xf numFmtId="0" fontId="15" fillId="0" borderId="34" xfId="3" applyFont="1" applyBorder="1" applyAlignment="1">
      <alignment horizontal="center" vertical="center" justifyLastLine="1"/>
    </xf>
    <xf numFmtId="0" fontId="15" fillId="0" borderId="0" xfId="0" applyFont="1" applyAlignment="1">
      <alignment vertical="center" wrapText="1" justifyLastLine="1"/>
    </xf>
    <xf numFmtId="0" fontId="15" fillId="0" borderId="0" xfId="0" applyFont="1" applyAlignment="1">
      <alignment horizontal="center" vertical="center" wrapText="1" justifyLastLine="1"/>
    </xf>
    <xf numFmtId="0" fontId="19" fillId="0" borderId="5" xfId="0" applyFont="1" applyBorder="1" applyAlignment="1">
      <alignment horizontal="center" vertical="center"/>
    </xf>
    <xf numFmtId="0" fontId="19" fillId="0" borderId="56" xfId="0" applyFont="1" applyBorder="1" applyAlignment="1">
      <alignment vertical="center"/>
    </xf>
    <xf numFmtId="0" fontId="19" fillId="0" borderId="5" xfId="0" applyFont="1" applyBorder="1" applyAlignment="1">
      <alignment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80" xfId="0" applyFont="1" applyBorder="1" applyAlignment="1">
      <alignment vertical="center" shrinkToFit="1"/>
    </xf>
    <xf numFmtId="0" fontId="32" fillId="0" borderId="80" xfId="0" applyFont="1" applyBorder="1" applyAlignment="1">
      <alignment horizontal="center" vertical="center"/>
    </xf>
    <xf numFmtId="0" fontId="32" fillId="0" borderId="80" xfId="0" applyFont="1" applyBorder="1" applyAlignment="1">
      <alignment vertical="center"/>
    </xf>
    <xf numFmtId="178" fontId="32" fillId="0" borderId="0" xfId="0" applyNumberFormat="1" applyFont="1" applyAlignment="1">
      <alignment vertical="center" shrinkToFit="1"/>
    </xf>
    <xf numFmtId="178" fontId="32" fillId="0" borderId="49" xfId="0" applyNumberFormat="1" applyFont="1" applyBorder="1" applyAlignment="1">
      <alignment vertical="center" shrinkToFit="1"/>
    </xf>
    <xf numFmtId="178" fontId="32" fillId="0" borderId="80" xfId="0" applyNumberFormat="1" applyFont="1" applyBorder="1" applyAlignment="1">
      <alignment vertical="center" shrinkToFit="1"/>
    </xf>
    <xf numFmtId="178" fontId="32" fillId="0" borderId="0" xfId="0" applyNumberFormat="1" applyFont="1" applyAlignment="1">
      <alignment vertical="center"/>
    </xf>
    <xf numFmtId="178" fontId="19" fillId="0" borderId="0" xfId="0" applyNumberFormat="1" applyFont="1" applyAlignment="1">
      <alignment vertical="center"/>
    </xf>
    <xf numFmtId="179" fontId="19" fillId="0" borderId="8" xfId="0" applyNumberFormat="1" applyFont="1" applyBorder="1" applyAlignment="1">
      <alignment vertical="center" shrinkToFit="1"/>
    </xf>
    <xf numFmtId="179" fontId="19" fillId="0" borderId="3" xfId="0" applyNumberFormat="1" applyFont="1" applyBorder="1" applyAlignment="1">
      <alignment vertical="center"/>
    </xf>
    <xf numFmtId="0" fontId="19" fillId="0" borderId="8" xfId="0" applyFont="1" applyBorder="1" applyAlignment="1">
      <alignment vertical="center" shrinkToFit="1"/>
    </xf>
    <xf numFmtId="0" fontId="19" fillId="0" borderId="34" xfId="0" applyFont="1" applyBorder="1" applyAlignment="1">
      <alignment vertical="center" shrinkToFit="1"/>
    </xf>
    <xf numFmtId="0" fontId="19" fillId="0" borderId="13" xfId="0" applyFont="1" applyBorder="1" applyAlignment="1">
      <alignment vertical="center" shrinkToFit="1"/>
    </xf>
    <xf numFmtId="178" fontId="32" fillId="0" borderId="6" xfId="0" applyNumberFormat="1" applyFont="1" applyBorder="1" applyAlignment="1">
      <alignment vertical="center" shrinkToFit="1"/>
    </xf>
    <xf numFmtId="178" fontId="32" fillId="0" borderId="11" xfId="0" applyNumberFormat="1" applyFont="1" applyBorder="1" applyAlignment="1">
      <alignment vertical="center" shrinkToFit="1"/>
    </xf>
    <xf numFmtId="0" fontId="19" fillId="0" borderId="80" xfId="0" applyFont="1" applyBorder="1" applyAlignment="1">
      <alignment vertical="center"/>
    </xf>
    <xf numFmtId="179" fontId="19" fillId="0" borderId="140" xfId="0" applyNumberFormat="1" applyFont="1" applyBorder="1" applyAlignment="1">
      <alignment vertical="center" shrinkToFit="1"/>
    </xf>
    <xf numFmtId="179" fontId="19" fillId="0" borderId="141" xfId="0" applyNumberFormat="1" applyFont="1" applyBorder="1" applyAlignment="1">
      <alignment vertical="center" shrinkToFit="1"/>
    </xf>
    <xf numFmtId="179" fontId="19" fillId="0" borderId="49" xfId="0" applyNumberFormat="1" applyFont="1" applyBorder="1" applyAlignment="1">
      <alignment vertical="center"/>
    </xf>
    <xf numFmtId="179" fontId="19" fillId="0" borderId="0" xfId="0" applyNumberFormat="1" applyFont="1" applyAlignment="1">
      <alignment vertical="center"/>
    </xf>
    <xf numFmtId="179" fontId="19" fillId="0" borderId="56" xfId="0" applyNumberFormat="1" applyFont="1" applyBorder="1" applyAlignment="1">
      <alignment vertical="center"/>
    </xf>
    <xf numFmtId="0" fontId="19" fillId="0" borderId="49" xfId="0" applyFont="1" applyBorder="1"/>
    <xf numFmtId="0" fontId="19" fillId="0" borderId="140" xfId="0" applyFont="1" applyBorder="1" applyAlignment="1">
      <alignment vertical="center" shrinkToFit="1"/>
    </xf>
    <xf numFmtId="0" fontId="19" fillId="0" borderId="0" xfId="0" applyFont="1" applyAlignment="1">
      <alignment vertical="center"/>
    </xf>
    <xf numFmtId="0" fontId="19" fillId="0" borderId="50" xfId="0" applyFont="1" applyBorder="1" applyAlignment="1">
      <alignment vertical="center"/>
    </xf>
    <xf numFmtId="0" fontId="19" fillId="0" borderId="9" xfId="0" applyFont="1" applyBorder="1" applyAlignment="1">
      <alignment vertical="center" shrinkToFit="1"/>
    </xf>
    <xf numFmtId="0" fontId="32" fillId="0" borderId="9" xfId="0" applyFont="1" applyBorder="1" applyAlignment="1">
      <alignment horizontal="center" vertical="center"/>
    </xf>
    <xf numFmtId="0" fontId="32" fillId="0" borderId="9" xfId="0" applyFont="1" applyBorder="1" applyAlignment="1">
      <alignment vertical="center"/>
    </xf>
    <xf numFmtId="179" fontId="19" fillId="0" borderId="144" xfId="0" applyNumberFormat="1" applyFont="1" applyBorder="1" applyAlignment="1">
      <alignment vertical="center" shrinkToFit="1"/>
    </xf>
    <xf numFmtId="179" fontId="19" fillId="0" borderId="145" xfId="0" applyNumberFormat="1" applyFont="1" applyBorder="1" applyAlignment="1">
      <alignment vertical="center"/>
    </xf>
    <xf numFmtId="0" fontId="19" fillId="0" borderId="144" xfId="0" applyFont="1" applyBorder="1" applyAlignment="1">
      <alignment vertical="center" shrinkToFit="1"/>
    </xf>
    <xf numFmtId="179" fontId="19" fillId="0" borderId="148" xfId="0" applyNumberFormat="1" applyFont="1" applyBorder="1" applyAlignment="1">
      <alignment vertical="center" shrinkToFit="1"/>
    </xf>
    <xf numFmtId="179" fontId="19" fillId="0" borderId="149" xfId="0" applyNumberFormat="1" applyFont="1" applyBorder="1" applyAlignment="1">
      <alignment vertical="center"/>
    </xf>
    <xf numFmtId="179" fontId="19" fillId="0" borderId="6" xfId="0" applyNumberFormat="1" applyFont="1" applyBorder="1" applyAlignment="1">
      <alignment vertical="center"/>
    </xf>
    <xf numFmtId="179" fontId="19" fillId="0" borderId="54" xfId="0" applyNumberFormat="1" applyFont="1" applyBorder="1" applyAlignment="1">
      <alignment vertical="center"/>
    </xf>
    <xf numFmtId="0" fontId="19" fillId="0" borderId="148" xfId="0" applyFont="1" applyBorder="1" applyAlignment="1">
      <alignment vertical="center" shrinkToFit="1"/>
    </xf>
    <xf numFmtId="0" fontId="19" fillId="0" borderId="6" xfId="0" applyFont="1" applyBorder="1" applyAlignment="1">
      <alignment vertical="center"/>
    </xf>
    <xf numFmtId="0" fontId="19" fillId="0" borderId="7" xfId="0" applyFont="1" applyBorder="1" applyAlignment="1">
      <alignment vertical="center"/>
    </xf>
    <xf numFmtId="0" fontId="19" fillId="0" borderId="54" xfId="0" applyFont="1" applyBorder="1" applyAlignment="1">
      <alignment vertical="center"/>
    </xf>
    <xf numFmtId="178" fontId="19" fillId="0" borderId="49" xfId="0" applyNumberFormat="1" applyFont="1" applyBorder="1" applyAlignment="1">
      <alignment vertical="center"/>
    </xf>
    <xf numFmtId="179" fontId="19" fillId="0" borderId="34" xfId="0" applyNumberFormat="1" applyFont="1" applyBorder="1" applyAlignment="1">
      <alignment vertical="center" shrinkToFit="1"/>
    </xf>
    <xf numFmtId="179" fontId="19" fillId="0" borderId="1" xfId="0" applyNumberFormat="1" applyFont="1" applyBorder="1" applyAlignment="1">
      <alignment vertical="center"/>
    </xf>
    <xf numFmtId="179" fontId="19" fillId="0" borderId="2" xfId="0" applyNumberFormat="1" applyFont="1" applyBorder="1" applyAlignment="1">
      <alignment vertical="center" shrinkToFit="1"/>
    </xf>
    <xf numFmtId="0" fontId="0" fillId="0" borderId="49" xfId="0" applyBorder="1"/>
    <xf numFmtId="0" fontId="19" fillId="0" borderId="0" xfId="0" applyFont="1"/>
    <xf numFmtId="0" fontId="19" fillId="0" borderId="50" xfId="0" applyFont="1" applyBorder="1"/>
    <xf numFmtId="178" fontId="19" fillId="0" borderId="141" xfId="0" applyNumberFormat="1" applyFont="1" applyBorder="1" applyAlignment="1">
      <alignment horizontal="center" vertical="center"/>
    </xf>
    <xf numFmtId="178" fontId="19" fillId="0" borderId="144" xfId="0" applyNumberFormat="1" applyFont="1" applyBorder="1" applyAlignment="1">
      <alignment horizontal="center" vertical="center"/>
    </xf>
    <xf numFmtId="178" fontId="19" fillId="0" borderId="80" xfId="0" applyNumberFormat="1" applyFont="1" applyBorder="1" applyAlignment="1">
      <alignment vertical="center"/>
    </xf>
    <xf numFmtId="178" fontId="19" fillId="0" borderId="6" xfId="0" applyNumberFormat="1" applyFont="1" applyBorder="1" applyAlignment="1">
      <alignment vertical="center"/>
    </xf>
    <xf numFmtId="178" fontId="19" fillId="0" borderId="148" xfId="0" applyNumberFormat="1" applyFont="1" applyBorder="1" applyAlignment="1">
      <alignment horizontal="center" vertical="center"/>
    </xf>
    <xf numFmtId="179" fontId="19" fillId="0" borderId="2" xfId="0" applyNumberFormat="1" applyFont="1" applyBorder="1" applyAlignment="1">
      <alignment vertical="center"/>
    </xf>
    <xf numFmtId="0" fontId="19" fillId="0" borderId="31" xfId="0" applyFont="1" applyBorder="1" applyAlignment="1">
      <alignment vertical="center" shrinkToFit="1"/>
    </xf>
    <xf numFmtId="0" fontId="19" fillId="0" borderId="2" xfId="0" applyFont="1" applyBorder="1" applyAlignment="1">
      <alignment vertical="center" shrinkToFit="1"/>
    </xf>
    <xf numFmtId="179" fontId="19" fillId="0" borderId="4" xfId="0" applyNumberFormat="1" applyFont="1" applyBorder="1" applyAlignment="1">
      <alignment vertical="center"/>
    </xf>
    <xf numFmtId="0" fontId="19" fillId="0" borderId="141" xfId="0" applyFont="1" applyBorder="1" applyAlignment="1">
      <alignment vertical="center" shrinkToFit="1"/>
    </xf>
    <xf numFmtId="0" fontId="19" fillId="0" borderId="11" xfId="0" applyFont="1" applyBorder="1" applyAlignment="1">
      <alignment vertical="center" shrinkToFit="1"/>
    </xf>
    <xf numFmtId="0" fontId="32" fillId="0" borderId="11" xfId="0" applyFont="1" applyBorder="1" applyAlignment="1">
      <alignment horizontal="center" vertical="center"/>
    </xf>
    <xf numFmtId="0" fontId="32" fillId="0" borderId="11" xfId="0" applyFont="1" applyBorder="1" applyAlignment="1">
      <alignment vertical="center"/>
    </xf>
    <xf numFmtId="179" fontId="19" fillId="0" borderId="144" xfId="0" applyNumberFormat="1" applyFont="1" applyBorder="1" applyAlignment="1">
      <alignment vertical="center"/>
    </xf>
    <xf numFmtId="0" fontId="19" fillId="0" borderId="144" xfId="0" applyFont="1" applyBorder="1" applyAlignment="1">
      <alignment vertical="center"/>
    </xf>
    <xf numFmtId="178" fontId="19" fillId="0" borderId="11" xfId="0" applyNumberFormat="1" applyFont="1" applyBorder="1" applyAlignment="1">
      <alignment vertical="center"/>
    </xf>
    <xf numFmtId="179" fontId="19" fillId="0" borderId="148" xfId="0" applyNumberFormat="1" applyFont="1" applyBorder="1" applyAlignment="1">
      <alignment vertical="center"/>
    </xf>
    <xf numFmtId="0" fontId="19" fillId="0" borderId="148" xfId="0" applyFont="1" applyBorder="1" applyAlignment="1">
      <alignment vertical="center"/>
    </xf>
    <xf numFmtId="179" fontId="19" fillId="0" borderId="34" xfId="0" applyNumberFormat="1" applyFont="1" applyBorder="1" applyAlignment="1">
      <alignment vertical="center"/>
    </xf>
    <xf numFmtId="179" fontId="19" fillId="0" borderId="8" xfId="0" applyNumberFormat="1" applyFont="1" applyBorder="1" applyAlignment="1">
      <alignment vertical="center"/>
    </xf>
    <xf numFmtId="178" fontId="19" fillId="0" borderId="4" xfId="0" applyNumberFormat="1" applyFont="1" applyBorder="1" applyAlignment="1">
      <alignment vertical="center"/>
    </xf>
    <xf numFmtId="178" fontId="19" fillId="0" borderId="5" xfId="0" applyNumberFormat="1" applyFont="1" applyBorder="1" applyAlignment="1">
      <alignment vertical="center"/>
    </xf>
    <xf numFmtId="179" fontId="19" fillId="0" borderId="141" xfId="0" applyNumberFormat="1" applyFont="1" applyBorder="1" applyAlignment="1">
      <alignment vertical="center"/>
    </xf>
    <xf numFmtId="178" fontId="19" fillId="0" borderId="50" xfId="0" applyNumberFormat="1" applyFont="1" applyBorder="1" applyAlignment="1">
      <alignment vertical="center"/>
    </xf>
    <xf numFmtId="0" fontId="19" fillId="0" borderId="49" xfId="0" applyFont="1" applyBorder="1" applyAlignment="1">
      <alignment vertical="center"/>
    </xf>
    <xf numFmtId="178" fontId="19" fillId="0" borderId="7" xfId="0" applyNumberFormat="1" applyFont="1" applyBorder="1" applyAlignment="1">
      <alignment vertical="center"/>
    </xf>
    <xf numFmtId="0" fontId="19" fillId="0" borderId="8" xfId="0" applyFont="1" applyBorder="1" applyAlignment="1">
      <alignment vertical="center"/>
    </xf>
    <xf numFmtId="0" fontId="19" fillId="0" borderId="2" xfId="0" applyFont="1" applyBorder="1" applyAlignment="1">
      <alignment vertical="center"/>
    </xf>
    <xf numFmtId="0" fontId="15" fillId="0" borderId="49" xfId="0" applyFont="1" applyBorder="1" applyAlignment="1">
      <alignment horizontal="center" vertical="center" wrapText="1" justifyLastLine="1"/>
    </xf>
    <xf numFmtId="179" fontId="19" fillId="0" borderId="5" xfId="0" applyNumberFormat="1" applyFont="1" applyBorder="1" applyAlignment="1">
      <alignment vertical="center"/>
    </xf>
    <xf numFmtId="0" fontId="19" fillId="0" borderId="140" xfId="0" applyFont="1" applyBorder="1" applyAlignment="1">
      <alignment vertical="center"/>
    </xf>
    <xf numFmtId="0" fontId="19" fillId="0" borderId="141" xfId="0" applyFont="1" applyBorder="1" applyAlignment="1">
      <alignment vertical="center"/>
    </xf>
    <xf numFmtId="179" fontId="19" fillId="0" borderId="50" xfId="0" applyNumberFormat="1" applyFont="1" applyBorder="1" applyAlignment="1">
      <alignment vertical="center"/>
    </xf>
    <xf numFmtId="178" fontId="19" fillId="0" borderId="151" xfId="0" applyNumberFormat="1" applyFont="1" applyBorder="1" applyAlignment="1">
      <alignment horizontal="center" vertical="center"/>
    </xf>
    <xf numFmtId="179" fontId="19" fillId="0" borderId="7" xfId="0" applyNumberFormat="1" applyFont="1" applyBorder="1" applyAlignment="1">
      <alignment vertical="center"/>
    </xf>
    <xf numFmtId="0" fontId="19" fillId="0" borderId="34" xfId="0" applyFont="1" applyBorder="1" applyAlignment="1">
      <alignment horizontal="right" vertical="center"/>
    </xf>
    <xf numFmtId="0" fontId="19" fillId="0" borderId="3" xfId="0" applyFont="1" applyBorder="1"/>
    <xf numFmtId="0" fontId="19" fillId="0" borderId="2" xfId="0" applyFont="1" applyBorder="1"/>
    <xf numFmtId="0" fontId="19" fillId="0" borderId="151" xfId="0" applyFont="1" applyBorder="1" applyAlignment="1">
      <alignment vertical="center"/>
    </xf>
    <xf numFmtId="38" fontId="19" fillId="0" borderId="8" xfId="0" applyNumberFormat="1" applyFont="1" applyBorder="1" applyAlignment="1">
      <alignment vertical="center"/>
    </xf>
    <xf numFmtId="38" fontId="19" fillId="0" borderId="2" xfId="0" applyNumberFormat="1" applyFont="1" applyBorder="1" applyAlignment="1">
      <alignment vertical="center"/>
    </xf>
    <xf numFmtId="178" fontId="19" fillId="0" borderId="138" xfId="0" applyNumberFormat="1" applyFont="1" applyBorder="1" applyAlignment="1">
      <alignment horizontal="center" vertical="center"/>
    </xf>
    <xf numFmtId="178" fontId="19" fillId="0" borderId="142" xfId="0" applyNumberFormat="1" applyFont="1" applyBorder="1" applyAlignment="1">
      <alignment horizontal="center" vertical="center"/>
    </xf>
    <xf numFmtId="178" fontId="19" fillId="0" borderId="146" xfId="0" applyNumberFormat="1" applyFont="1" applyBorder="1" applyAlignment="1">
      <alignment horizontal="center" vertical="center"/>
    </xf>
    <xf numFmtId="179" fontId="0" fillId="0" borderId="49" xfId="0" applyNumberFormat="1" applyBorder="1" applyAlignment="1">
      <alignment vertical="center"/>
    </xf>
    <xf numFmtId="179" fontId="0" fillId="0" borderId="50" xfId="0" applyNumberFormat="1" applyBorder="1" applyAlignment="1">
      <alignment vertical="center"/>
    </xf>
    <xf numFmtId="0" fontId="0" fillId="0" borderId="11" xfId="0" applyBorder="1"/>
    <xf numFmtId="179" fontId="19" fillId="0" borderId="155" xfId="0" applyNumberFormat="1" applyFont="1" applyBorder="1" applyAlignment="1">
      <alignment vertical="center"/>
    </xf>
    <xf numFmtId="179" fontId="19" fillId="0" borderId="156" xfId="0" applyNumberFormat="1" applyFont="1" applyBorder="1" applyAlignment="1">
      <alignment vertical="center"/>
    </xf>
    <xf numFmtId="179" fontId="19" fillId="0" borderId="157" xfId="0" applyNumberFormat="1" applyFont="1" applyBorder="1" applyAlignment="1">
      <alignment vertical="center"/>
    </xf>
    <xf numFmtId="179" fontId="19" fillId="0" borderId="158" xfId="0" applyNumberFormat="1" applyFont="1" applyBorder="1" applyAlignment="1">
      <alignment vertical="center"/>
    </xf>
    <xf numFmtId="179" fontId="19" fillId="0" borderId="159" xfId="0" applyNumberFormat="1" applyFont="1" applyBorder="1" applyAlignment="1">
      <alignment vertical="center"/>
    </xf>
    <xf numFmtId="179" fontId="19" fillId="0" borderId="139" xfId="0" applyNumberFormat="1" applyFont="1" applyBorder="1" applyAlignment="1">
      <alignment vertical="center"/>
    </xf>
    <xf numFmtId="179" fontId="19" fillId="0" borderId="143" xfId="0" applyNumberFormat="1" applyFont="1" applyBorder="1" applyAlignment="1">
      <alignment vertical="center"/>
    </xf>
    <xf numFmtId="178" fontId="19" fillId="0" borderId="83" xfId="0" applyNumberFormat="1" applyFont="1" applyBorder="1" applyAlignment="1">
      <alignment vertical="center"/>
    </xf>
    <xf numFmtId="179" fontId="19" fillId="0" borderId="151" xfId="0" applyNumberFormat="1" applyFont="1" applyBorder="1" applyAlignment="1">
      <alignment vertical="center"/>
    </xf>
    <xf numFmtId="179" fontId="19" fillId="0" borderId="164" xfId="0" applyNumberFormat="1" applyFont="1" applyBorder="1" applyAlignment="1">
      <alignment vertical="center"/>
    </xf>
    <xf numFmtId="179" fontId="19" fillId="0" borderId="165" xfId="0" applyNumberFormat="1" applyFont="1" applyBorder="1" applyAlignment="1">
      <alignment vertical="center"/>
    </xf>
    <xf numFmtId="179" fontId="19" fillId="0" borderId="166" xfId="0" applyNumberFormat="1" applyFont="1" applyBorder="1" applyAlignment="1">
      <alignment vertical="center"/>
    </xf>
    <xf numFmtId="179" fontId="19" fillId="0" borderId="167" xfId="0" applyNumberFormat="1" applyFont="1" applyBorder="1" applyAlignment="1">
      <alignment vertical="center"/>
    </xf>
    <xf numFmtId="179" fontId="19" fillId="0" borderId="168" xfId="0" applyNumberFormat="1" applyFont="1" applyBorder="1" applyAlignment="1">
      <alignment vertical="center"/>
    </xf>
    <xf numFmtId="179" fontId="19" fillId="0" borderId="30" xfId="0" applyNumberFormat="1" applyFont="1" applyBorder="1" applyAlignment="1">
      <alignment vertical="center"/>
    </xf>
    <xf numFmtId="179" fontId="19" fillId="0" borderId="153" xfId="0" applyNumberFormat="1" applyFont="1" applyBorder="1" applyAlignment="1">
      <alignment vertical="center"/>
    </xf>
    <xf numFmtId="179" fontId="0" fillId="0" borderId="0" xfId="0" applyNumberFormat="1" applyAlignment="1">
      <alignment vertical="center"/>
    </xf>
    <xf numFmtId="0" fontId="43" fillId="0" borderId="0" xfId="0" applyFont="1" applyAlignment="1">
      <alignment vertical="center"/>
    </xf>
    <xf numFmtId="0" fontId="5" fillId="0" borderId="0" xfId="3" applyFont="1" applyAlignment="1">
      <alignment vertical="top"/>
    </xf>
    <xf numFmtId="0" fontId="19" fillId="9" borderId="88" xfId="3" applyFont="1" applyFill="1" applyBorder="1" applyAlignment="1">
      <alignment vertical="center"/>
    </xf>
    <xf numFmtId="0" fontId="19" fillId="0" borderId="0" xfId="0" applyFont="1" applyAlignment="1">
      <alignment horizontal="center" vertical="center"/>
    </xf>
    <xf numFmtId="0" fontId="19" fillId="9" borderId="92" xfId="3" applyFont="1" applyFill="1" applyBorder="1" applyAlignment="1">
      <alignment vertical="center"/>
    </xf>
    <xf numFmtId="0" fontId="19" fillId="0" borderId="56" xfId="0" applyFont="1" applyBorder="1" applyAlignment="1">
      <alignment horizontal="center" vertical="center"/>
    </xf>
    <xf numFmtId="0" fontId="19" fillId="0" borderId="4" xfId="0" applyFont="1" applyBorder="1" applyAlignment="1">
      <alignment vertical="center"/>
    </xf>
    <xf numFmtId="0" fontId="19" fillId="0" borderId="3" xfId="0" applyFont="1" applyBorder="1" applyAlignment="1">
      <alignment horizontal="center" vertical="center"/>
    </xf>
    <xf numFmtId="0" fontId="19" fillId="0" borderId="1" xfId="0" applyFont="1" applyBorder="1" applyAlignment="1">
      <alignment vertical="center"/>
    </xf>
    <xf numFmtId="0" fontId="19" fillId="9" borderId="134" xfId="3" applyFont="1" applyFill="1" applyBorder="1" applyAlignment="1">
      <alignment vertical="center"/>
    </xf>
    <xf numFmtId="0" fontId="19" fillId="0" borderId="174" xfId="0" applyFont="1" applyBorder="1" applyAlignment="1">
      <alignment vertical="center"/>
    </xf>
    <xf numFmtId="0" fontId="5" fillId="0" borderId="0" xfId="0" applyFont="1"/>
    <xf numFmtId="0" fontId="5" fillId="0" borderId="0" xfId="0" applyFont="1" applyAlignment="1">
      <alignment vertical="center"/>
    </xf>
    <xf numFmtId="0" fontId="5" fillId="0" borderId="0" xfId="0" quotePrefix="1" applyFont="1"/>
    <xf numFmtId="0" fontId="44" fillId="0" borderId="0" xfId="0" applyFont="1" applyAlignment="1">
      <alignment vertical="center" justifyLastLine="1"/>
    </xf>
    <xf numFmtId="0" fontId="15" fillId="0" borderId="131" xfId="0" applyFont="1" applyBorder="1" applyAlignment="1">
      <alignment horizontal="center" vertical="center" wrapText="1"/>
    </xf>
    <xf numFmtId="0" fontId="15" fillId="0" borderId="175" xfId="0" applyFont="1" applyBorder="1" applyAlignment="1">
      <alignment horizontal="center" vertical="center" wrapText="1"/>
    </xf>
    <xf numFmtId="0" fontId="44" fillId="0" borderId="0" xfId="0" applyFont="1" applyAlignment="1">
      <alignment vertical="center" wrapText="1"/>
    </xf>
    <xf numFmtId="0" fontId="15" fillId="0" borderId="11" xfId="0" applyFont="1" applyBorder="1" applyAlignment="1">
      <alignment horizontal="center" vertical="center"/>
    </xf>
    <xf numFmtId="0" fontId="15" fillId="0" borderId="7" xfId="0" applyFont="1" applyBorder="1" applyAlignment="1">
      <alignment horizontal="center" vertical="center"/>
    </xf>
    <xf numFmtId="0" fontId="15" fillId="0" borderId="97" xfId="0" applyFont="1" applyBorder="1" applyAlignment="1">
      <alignment horizontal="center" vertical="center" justifyLastLine="1"/>
    </xf>
    <xf numFmtId="38" fontId="23" fillId="5" borderId="63" xfId="5" applyFont="1" applyFill="1" applyBorder="1" applyAlignment="1" applyProtection="1">
      <alignment vertical="center" shrinkToFit="1"/>
      <protection locked="0"/>
    </xf>
    <xf numFmtId="0" fontId="23" fillId="5" borderId="176" xfId="0" applyFont="1" applyFill="1" applyBorder="1" applyAlignment="1" applyProtection="1">
      <alignment horizontal="center" vertical="center" justifyLastLine="1"/>
      <protection locked="0"/>
    </xf>
    <xf numFmtId="0" fontId="23" fillId="5" borderId="177" xfId="0" applyFont="1" applyFill="1" applyBorder="1" applyAlignment="1" applyProtection="1">
      <alignment horizontal="center" vertical="center" justifyLastLine="1"/>
      <protection locked="0"/>
    </xf>
    <xf numFmtId="0" fontId="45" fillId="0" borderId="0" xfId="7" applyFont="1" applyAlignment="1">
      <alignment horizontal="center" vertical="center" shrinkToFit="1"/>
    </xf>
    <xf numFmtId="0" fontId="15" fillId="0" borderId="8" xfId="0" applyFont="1" applyBorder="1" applyAlignment="1">
      <alignment horizontal="center" vertical="center" justifyLastLine="1"/>
    </xf>
    <xf numFmtId="38" fontId="19" fillId="0" borderId="80" xfId="5" applyFont="1" applyFill="1" applyBorder="1" applyAlignment="1" applyProtection="1">
      <alignment vertical="center" shrinkToFit="1"/>
    </xf>
    <xf numFmtId="38" fontId="19" fillId="0" borderId="50" xfId="5" applyFont="1" applyFill="1" applyBorder="1" applyAlignment="1" applyProtection="1">
      <alignment vertical="center" shrinkToFit="1"/>
    </xf>
    <xf numFmtId="0" fontId="15" fillId="0" borderId="93" xfId="0" applyFont="1" applyBorder="1" applyAlignment="1">
      <alignment horizontal="center" vertical="center" justifyLastLine="1"/>
    </xf>
    <xf numFmtId="38" fontId="23" fillId="5" borderId="135" xfId="5" applyFont="1" applyFill="1" applyBorder="1" applyAlignment="1" applyProtection="1">
      <alignment vertical="center" shrinkToFit="1"/>
      <protection locked="0"/>
    </xf>
    <xf numFmtId="0" fontId="23" fillId="5" borderId="178" xfId="0" applyFont="1" applyFill="1" applyBorder="1" applyAlignment="1" applyProtection="1">
      <alignment horizontal="center" vertical="center" justifyLastLine="1"/>
      <protection locked="0"/>
    </xf>
    <xf numFmtId="0" fontId="23" fillId="5" borderId="136" xfId="0" applyFont="1" applyFill="1" applyBorder="1" applyAlignment="1" applyProtection="1">
      <alignment horizontal="center" vertical="center" justifyLastLine="1"/>
      <protection locked="0"/>
    </xf>
    <xf numFmtId="0" fontId="15" fillId="0" borderId="6" xfId="0" applyFont="1" applyBorder="1" applyAlignment="1">
      <alignment horizontal="center" vertical="center" justifyLastLine="1"/>
    </xf>
    <xf numFmtId="38" fontId="19" fillId="0" borderId="8" xfId="5" applyFont="1" applyFill="1" applyBorder="1" applyAlignment="1" applyProtection="1">
      <alignment vertical="center" shrinkToFit="1"/>
    </xf>
    <xf numFmtId="38" fontId="19" fillId="0" borderId="2" xfId="5" applyFont="1" applyFill="1" applyBorder="1" applyAlignment="1" applyProtection="1">
      <alignment vertical="center" shrinkToFit="1"/>
    </xf>
    <xf numFmtId="0" fontId="46" fillId="0" borderId="0" xfId="0" applyFont="1" applyAlignment="1">
      <alignment vertical="center"/>
    </xf>
    <xf numFmtId="178" fontId="32" fillId="0" borderId="49" xfId="0" applyNumberFormat="1" applyFont="1" applyBorder="1" applyAlignment="1">
      <alignment vertical="center"/>
    </xf>
    <xf numFmtId="178" fontId="32" fillId="0" borderId="80" xfId="0" applyNumberFormat="1" applyFont="1" applyBorder="1" applyAlignment="1">
      <alignment vertical="center"/>
    </xf>
    <xf numFmtId="182" fontId="19" fillId="0" borderId="179" xfId="0" applyNumberFormat="1" applyFont="1" applyBorder="1" applyAlignment="1">
      <alignment horizontal="right" vertical="center"/>
    </xf>
    <xf numFmtId="182" fontId="19" fillId="0" borderId="2" xfId="0" applyNumberFormat="1" applyFont="1" applyBorder="1" applyAlignment="1">
      <alignment horizontal="right" vertical="center"/>
    </xf>
    <xf numFmtId="182" fontId="19" fillId="0" borderId="8" xfId="0" applyNumberFormat="1" applyFont="1" applyBorder="1" applyAlignment="1">
      <alignment horizontal="right" vertical="center"/>
    </xf>
    <xf numFmtId="179" fontId="19" fillId="0" borderId="140" xfId="0" applyNumberFormat="1" applyFont="1" applyBorder="1" applyAlignment="1">
      <alignment vertical="center"/>
    </xf>
    <xf numFmtId="182" fontId="19" fillId="0" borderId="140" xfId="0" applyNumberFormat="1" applyFont="1" applyBorder="1" applyAlignment="1">
      <alignment horizontal="right" vertical="center"/>
    </xf>
    <xf numFmtId="182" fontId="19" fillId="0" borderId="0" xfId="0" applyNumberFormat="1" applyFont="1" applyAlignment="1">
      <alignment horizontal="right" vertical="center"/>
    </xf>
    <xf numFmtId="182" fontId="19" fillId="0" borderId="50" xfId="0" applyNumberFormat="1" applyFont="1" applyBorder="1" applyAlignment="1">
      <alignment horizontal="right" vertical="center"/>
    </xf>
    <xf numFmtId="178" fontId="32" fillId="0" borderId="56" xfId="0" applyNumberFormat="1" applyFont="1" applyBorder="1" applyAlignment="1">
      <alignment vertical="center"/>
    </xf>
    <xf numFmtId="178" fontId="32" fillId="0" borderId="4" xfId="0" applyNumberFormat="1" applyFont="1" applyBorder="1" applyAlignment="1">
      <alignment vertical="center"/>
    </xf>
    <xf numFmtId="178" fontId="32" fillId="0" borderId="9" xfId="0" applyNumberFormat="1" applyFont="1" applyBorder="1" applyAlignment="1">
      <alignment vertical="center"/>
    </xf>
    <xf numFmtId="182" fontId="19" fillId="0" borderId="144" xfId="0" applyNumberFormat="1" applyFont="1" applyBorder="1" applyAlignment="1">
      <alignment horizontal="right" vertical="center"/>
    </xf>
    <xf numFmtId="182" fontId="19" fillId="0" borderId="151" xfId="0" applyNumberFormat="1" applyFont="1" applyBorder="1" applyAlignment="1">
      <alignment horizontal="right" vertical="center"/>
    </xf>
    <xf numFmtId="182" fontId="19" fillId="0" borderId="54" xfId="0" applyNumberFormat="1" applyFont="1" applyBorder="1" applyAlignment="1">
      <alignment horizontal="right" vertical="center"/>
    </xf>
    <xf numFmtId="182" fontId="19" fillId="0" borderId="148" xfId="0" applyNumberFormat="1" applyFont="1" applyBorder="1" applyAlignment="1">
      <alignment horizontal="right" vertical="center"/>
    </xf>
    <xf numFmtId="179" fontId="19" fillId="0" borderId="179" xfId="0" applyNumberFormat="1" applyFont="1" applyBorder="1" applyAlignment="1">
      <alignment vertical="center"/>
    </xf>
    <xf numFmtId="182" fontId="19" fillId="0" borderId="56" xfId="0" applyNumberFormat="1" applyFont="1" applyBorder="1" applyAlignment="1">
      <alignment horizontal="right" vertical="center"/>
    </xf>
    <xf numFmtId="182" fontId="19" fillId="0" borderId="141" xfId="0" applyNumberFormat="1" applyFont="1" applyBorder="1" applyAlignment="1">
      <alignment horizontal="right" vertical="center"/>
    </xf>
    <xf numFmtId="182" fontId="19" fillId="0" borderId="7" xfId="0" applyNumberFormat="1" applyFont="1" applyBorder="1" applyAlignment="1">
      <alignment horizontal="right" vertical="center"/>
    </xf>
    <xf numFmtId="0" fontId="19" fillId="0" borderId="4" xfId="0" applyFont="1" applyBorder="1"/>
    <xf numFmtId="0" fontId="19" fillId="0" borderId="56" xfId="0" applyFont="1" applyBorder="1"/>
    <xf numFmtId="0" fontId="19" fillId="0" borderId="56" xfId="0" applyFont="1" applyBorder="1" applyAlignment="1">
      <alignment horizontal="right"/>
    </xf>
    <xf numFmtId="0" fontId="19" fillId="0" borderId="0" xfId="0" applyFont="1" applyAlignment="1">
      <alignment horizontal="right"/>
    </xf>
    <xf numFmtId="0" fontId="19" fillId="0" borderId="50" xfId="0" applyFont="1" applyBorder="1" applyAlignment="1">
      <alignment horizontal="right"/>
    </xf>
    <xf numFmtId="0" fontId="19" fillId="0" borderId="6" xfId="0" applyFont="1" applyBorder="1"/>
    <xf numFmtId="0" fontId="19" fillId="0" borderId="54" xfId="0" applyFont="1" applyBorder="1"/>
    <xf numFmtId="178" fontId="19" fillId="0" borderId="56" xfId="0" applyNumberFormat="1" applyFont="1" applyBorder="1" applyAlignment="1">
      <alignment vertical="center"/>
    </xf>
    <xf numFmtId="0" fontId="19" fillId="0" borderId="56" xfId="0" applyFont="1" applyBorder="1" applyAlignment="1">
      <alignment horizontal="right" vertical="center"/>
    </xf>
    <xf numFmtId="0" fontId="19" fillId="0" borderId="5" xfId="0" applyFont="1" applyBorder="1" applyAlignment="1">
      <alignment horizontal="right" vertical="center"/>
    </xf>
    <xf numFmtId="0" fontId="19" fillId="0" borderId="0" xfId="0" applyFont="1" applyAlignment="1">
      <alignment horizontal="right" vertical="center"/>
    </xf>
    <xf numFmtId="0" fontId="19" fillId="0" borderId="50" xfId="0" applyFont="1" applyBorder="1" applyAlignment="1">
      <alignment horizontal="right" vertical="center"/>
    </xf>
    <xf numFmtId="178" fontId="32" fillId="0" borderId="6" xfId="0" applyNumberFormat="1" applyFont="1" applyBorder="1" applyAlignment="1">
      <alignment vertical="center"/>
    </xf>
    <xf numFmtId="178" fontId="32" fillId="0" borderId="11" xfId="0" applyNumberFormat="1" applyFont="1" applyBorder="1" applyAlignment="1">
      <alignment vertical="center"/>
    </xf>
    <xf numFmtId="178" fontId="19" fillId="0" borderId="54" xfId="0" applyNumberFormat="1" applyFont="1" applyBorder="1" applyAlignment="1">
      <alignment vertical="center"/>
    </xf>
    <xf numFmtId="0" fontId="19" fillId="0" borderId="180" xfId="0" applyFont="1" applyBorder="1" applyAlignment="1">
      <alignment horizontal="right" vertical="center"/>
    </xf>
    <xf numFmtId="183" fontId="19" fillId="0" borderId="179" xfId="0" applyNumberFormat="1" applyFont="1" applyBorder="1" applyAlignment="1">
      <alignment horizontal="right" vertical="center"/>
    </xf>
    <xf numFmtId="183" fontId="19" fillId="0" borderId="1" xfId="0" applyNumberFormat="1" applyFont="1" applyBorder="1" applyAlignment="1">
      <alignment horizontal="right" vertical="center"/>
    </xf>
    <xf numFmtId="183" fontId="19" fillId="0" borderId="2" xfId="0" applyNumberFormat="1" applyFont="1" applyBorder="1" applyAlignment="1">
      <alignment horizontal="right" vertical="center"/>
    </xf>
    <xf numFmtId="183" fontId="19" fillId="0" borderId="8" xfId="0" applyNumberFormat="1" applyFont="1" applyBorder="1" applyAlignment="1">
      <alignment horizontal="right" vertical="center"/>
    </xf>
    <xf numFmtId="184" fontId="19" fillId="0" borderId="141" xfId="0" applyNumberFormat="1" applyFont="1" applyBorder="1" applyAlignment="1">
      <alignment vertical="center"/>
    </xf>
    <xf numFmtId="183" fontId="19" fillId="0" borderId="140" xfId="0" applyNumberFormat="1" applyFont="1" applyBorder="1" applyAlignment="1">
      <alignment horizontal="right" vertical="center"/>
    </xf>
    <xf numFmtId="183" fontId="19" fillId="0" borderId="0" xfId="0" applyNumberFormat="1" applyFont="1" applyAlignment="1">
      <alignment horizontal="right" vertical="center"/>
    </xf>
    <xf numFmtId="183" fontId="19" fillId="0" borderId="50" xfId="0" applyNumberFormat="1" applyFont="1" applyBorder="1" applyAlignment="1">
      <alignment horizontal="right" vertical="center"/>
    </xf>
    <xf numFmtId="183" fontId="19" fillId="0" borderId="144" xfId="0" applyNumberFormat="1" applyFont="1" applyBorder="1" applyAlignment="1">
      <alignment horizontal="right" vertical="center"/>
    </xf>
    <xf numFmtId="183" fontId="19" fillId="0" borderId="151" xfId="0" applyNumberFormat="1" applyFont="1" applyBorder="1" applyAlignment="1">
      <alignment horizontal="right" vertical="center"/>
    </xf>
    <xf numFmtId="183" fontId="19" fillId="0" borderId="54" xfId="0" applyNumberFormat="1" applyFont="1" applyBorder="1" applyAlignment="1">
      <alignment horizontal="right" vertical="center"/>
    </xf>
    <xf numFmtId="183" fontId="19" fillId="0" borderId="148" xfId="0" applyNumberFormat="1" applyFont="1" applyBorder="1" applyAlignment="1">
      <alignment horizontal="right" vertical="center"/>
    </xf>
    <xf numFmtId="183" fontId="19" fillId="0" borderId="9" xfId="0" applyNumberFormat="1" applyFont="1" applyBorder="1" applyAlignment="1">
      <alignment horizontal="right" vertical="center"/>
    </xf>
    <xf numFmtId="183" fontId="19" fillId="0" borderId="3" xfId="0" applyNumberFormat="1" applyFont="1" applyBorder="1" applyAlignment="1">
      <alignment horizontal="right" vertical="center"/>
    </xf>
    <xf numFmtId="183" fontId="19" fillId="0" borderId="7" xfId="0" applyNumberFormat="1" applyFont="1" applyBorder="1" applyAlignment="1">
      <alignment horizontal="right" vertical="center"/>
    </xf>
    <xf numFmtId="0" fontId="12" fillId="0" borderId="0" xfId="0" applyFont="1" applyAlignment="1">
      <alignment horizontal="right" vertical="center"/>
    </xf>
    <xf numFmtId="38" fontId="32" fillId="10" borderId="182" xfId="5" applyFont="1" applyFill="1" applyBorder="1" applyAlignment="1" applyProtection="1">
      <alignment vertical="center"/>
      <protection locked="0"/>
    </xf>
    <xf numFmtId="0" fontId="46" fillId="0" borderId="0" xfId="0" applyFont="1"/>
    <xf numFmtId="0" fontId="10" fillId="7" borderId="58" xfId="2" applyFont="1" applyFill="1" applyBorder="1" applyAlignment="1">
      <alignment horizontal="center" vertical="center"/>
    </xf>
    <xf numFmtId="0" fontId="10" fillId="7" borderId="59" xfId="2" applyFont="1" applyFill="1" applyBorder="1" applyAlignment="1">
      <alignment horizontal="center" vertical="center"/>
    </xf>
    <xf numFmtId="0" fontId="10" fillId="7" borderId="79" xfId="2" applyFont="1" applyFill="1" applyBorder="1" applyAlignment="1">
      <alignment horizontal="center" vertical="center"/>
    </xf>
    <xf numFmtId="185" fontId="23" fillId="5" borderId="126" xfId="3" applyNumberFormat="1" applyFont="1" applyFill="1" applyBorder="1" applyAlignment="1">
      <alignment vertical="center"/>
    </xf>
    <xf numFmtId="185" fontId="23" fillId="5" borderId="109" xfId="3" applyNumberFormat="1" applyFont="1" applyFill="1" applyBorder="1" applyAlignment="1">
      <alignment vertical="center"/>
    </xf>
    <xf numFmtId="185" fontId="23" fillId="5" borderId="127" xfId="3" applyNumberFormat="1" applyFont="1" applyFill="1" applyBorder="1" applyAlignment="1">
      <alignment vertical="center"/>
    </xf>
    <xf numFmtId="185" fontId="23" fillId="5" borderId="128" xfId="3" applyNumberFormat="1" applyFont="1" applyFill="1" applyBorder="1" applyAlignment="1">
      <alignment vertical="center"/>
    </xf>
    <xf numFmtId="185" fontId="23" fillId="5" borderId="129" xfId="3" applyNumberFormat="1" applyFont="1" applyFill="1" applyBorder="1" applyAlignment="1">
      <alignment vertical="center"/>
    </xf>
    <xf numFmtId="185" fontId="23" fillId="5" borderId="105" xfId="3" applyNumberFormat="1" applyFont="1" applyFill="1" applyBorder="1" applyAlignment="1">
      <alignment vertical="center"/>
    </xf>
    <xf numFmtId="185" fontId="23" fillId="5" borderId="106" xfId="3" applyNumberFormat="1" applyFont="1" applyFill="1" applyBorder="1" applyAlignment="1">
      <alignment vertical="center"/>
    </xf>
    <xf numFmtId="185" fontId="23" fillId="5" borderId="107" xfId="3" applyNumberFormat="1" applyFont="1" applyFill="1" applyBorder="1" applyAlignment="1">
      <alignment vertical="center" wrapText="1"/>
    </xf>
    <xf numFmtId="185" fontId="23" fillId="5" borderId="4" xfId="3" applyNumberFormat="1" applyFont="1" applyFill="1" applyBorder="1" applyAlignment="1">
      <alignment vertical="center"/>
    </xf>
    <xf numFmtId="185" fontId="23" fillId="5" borderId="110" xfId="3" applyNumberFormat="1" applyFont="1" applyFill="1" applyBorder="1" applyAlignment="1">
      <alignment vertical="center"/>
    </xf>
    <xf numFmtId="185" fontId="23" fillId="5" borderId="113" xfId="3" applyNumberFormat="1" applyFont="1" applyFill="1" applyBorder="1" applyAlignment="1">
      <alignment vertical="center"/>
    </xf>
    <xf numFmtId="185" fontId="23" fillId="5" borderId="1" xfId="3" applyNumberFormat="1" applyFont="1" applyFill="1" applyBorder="1" applyAlignment="1">
      <alignment vertical="center"/>
    </xf>
    <xf numFmtId="185" fontId="23" fillId="5" borderId="114" xfId="3" applyNumberFormat="1" applyFont="1" applyFill="1" applyBorder="1" applyAlignment="1">
      <alignment vertical="center"/>
    </xf>
    <xf numFmtId="185" fontId="23" fillId="5" borderId="115" xfId="3" applyNumberFormat="1" applyFont="1" applyFill="1" applyBorder="1" applyAlignment="1">
      <alignment vertical="center"/>
    </xf>
    <xf numFmtId="185" fontId="23" fillId="5" borderId="49" xfId="3" applyNumberFormat="1" applyFont="1" applyFill="1" applyBorder="1" applyAlignment="1">
      <alignment vertical="center"/>
    </xf>
    <xf numFmtId="185" fontId="23" fillId="5" borderId="116" xfId="3" applyNumberFormat="1" applyFont="1" applyFill="1" applyBorder="1" applyAlignment="1">
      <alignment vertical="center"/>
    </xf>
    <xf numFmtId="185" fontId="23" fillId="5" borderId="117" xfId="3" applyNumberFormat="1" applyFont="1" applyFill="1" applyBorder="1" applyAlignment="1">
      <alignment vertical="center"/>
    </xf>
    <xf numFmtId="185" fontId="23" fillId="5" borderId="118" xfId="3" applyNumberFormat="1" applyFont="1" applyFill="1" applyBorder="1" applyAlignment="1">
      <alignment vertical="center"/>
    </xf>
    <xf numFmtId="185" fontId="23" fillId="5" borderId="119" xfId="3" applyNumberFormat="1" applyFont="1" applyFill="1" applyBorder="1" applyAlignment="1">
      <alignment vertical="center"/>
    </xf>
    <xf numFmtId="185" fontId="23" fillId="5" borderId="123" xfId="3" applyNumberFormat="1" applyFont="1" applyFill="1" applyBorder="1" applyAlignment="1">
      <alignment vertical="center"/>
    </xf>
    <xf numFmtId="185" fontId="23" fillId="5" borderId="103" xfId="3" applyNumberFormat="1" applyFont="1" applyFill="1" applyBorder="1" applyAlignment="1">
      <alignment vertical="center"/>
    </xf>
    <xf numFmtId="185" fontId="23" fillId="5" borderId="124" xfId="3" applyNumberFormat="1" applyFont="1" applyFill="1" applyBorder="1" applyAlignment="1">
      <alignment vertical="center"/>
    </xf>
    <xf numFmtId="0" fontId="7" fillId="0" borderId="1" xfId="2" applyFont="1" applyBorder="1" applyAlignment="1">
      <alignment vertical="center" shrinkToFit="1"/>
    </xf>
    <xf numFmtId="0" fontId="7" fillId="0" borderId="17" xfId="2" applyFont="1" applyBorder="1" applyAlignment="1">
      <alignment vertical="center" shrinkToFit="1"/>
    </xf>
    <xf numFmtId="0" fontId="7" fillId="3" borderId="15" xfId="2" applyFont="1" applyFill="1" applyBorder="1">
      <alignment vertical="center"/>
    </xf>
    <xf numFmtId="0" fontId="7" fillId="3" borderId="20" xfId="2" applyFont="1" applyFill="1" applyBorder="1">
      <alignment vertical="center"/>
    </xf>
    <xf numFmtId="0" fontId="7" fillId="3" borderId="13" xfId="2" applyFont="1" applyFill="1" applyBorder="1">
      <alignment vertical="center"/>
    </xf>
    <xf numFmtId="0" fontId="7" fillId="3" borderId="12" xfId="2" applyFont="1" applyFill="1" applyBorder="1">
      <alignment vertical="center"/>
    </xf>
    <xf numFmtId="0" fontId="7" fillId="3" borderId="46" xfId="2" applyFont="1" applyFill="1" applyBorder="1">
      <alignment vertical="center"/>
    </xf>
    <xf numFmtId="0" fontId="7" fillId="3" borderId="75" xfId="2" applyFont="1" applyFill="1" applyBorder="1">
      <alignment vertical="center"/>
    </xf>
    <xf numFmtId="186" fontId="23" fillId="5" borderId="49" xfId="5" applyNumberFormat="1" applyFont="1" applyFill="1" applyBorder="1" applyAlignment="1"/>
    <xf numFmtId="186" fontId="23" fillId="5" borderId="96" xfId="5" applyNumberFormat="1" applyFont="1" applyFill="1" applyBorder="1" applyAlignment="1"/>
    <xf numFmtId="186" fontId="23" fillId="5" borderId="4" xfId="5" applyNumberFormat="1" applyFont="1" applyFill="1" applyBorder="1" applyAlignment="1"/>
    <xf numFmtId="186" fontId="23" fillId="5" borderId="99" xfId="5" applyNumberFormat="1" applyFont="1" applyFill="1" applyBorder="1" applyAlignment="1"/>
    <xf numFmtId="0" fontId="19" fillId="6" borderId="84" xfId="3" applyFont="1" applyFill="1" applyBorder="1" applyAlignment="1">
      <alignment vertical="center" shrinkToFit="1"/>
    </xf>
    <xf numFmtId="186" fontId="23" fillId="5" borderId="184" xfId="5" applyNumberFormat="1" applyFont="1" applyFill="1" applyBorder="1" applyAlignment="1"/>
    <xf numFmtId="186" fontId="23" fillId="5" borderId="183" xfId="5" applyNumberFormat="1" applyFont="1" applyFill="1" applyBorder="1" applyAlignment="1"/>
    <xf numFmtId="185" fontId="19" fillId="0" borderId="173" xfId="0" applyNumberFormat="1" applyFont="1" applyBorder="1" applyAlignment="1">
      <alignment vertical="center" shrinkToFit="1"/>
    </xf>
    <xf numFmtId="185" fontId="19" fillId="0" borderId="8" xfId="0" applyNumberFormat="1" applyFont="1" applyBorder="1" applyAlignment="1">
      <alignment vertical="center" shrinkToFit="1"/>
    </xf>
    <xf numFmtId="185" fontId="19" fillId="0" borderId="173" xfId="0" applyNumberFormat="1" applyFont="1" applyBorder="1" applyAlignment="1">
      <alignment vertical="center"/>
    </xf>
    <xf numFmtId="185" fontId="19" fillId="0" borderId="8" xfId="0" applyNumberFormat="1" applyFont="1" applyBorder="1" applyAlignment="1">
      <alignment vertical="center"/>
    </xf>
    <xf numFmtId="187" fontId="0" fillId="0" borderId="0" xfId="0" applyNumberFormat="1" applyProtection="1">
      <protection locked="0" hidden="1"/>
    </xf>
    <xf numFmtId="0" fontId="7" fillId="0" borderId="15" xfId="2" applyFont="1" applyBorder="1" applyAlignment="1">
      <alignment horizontal="distributed" vertical="center" shrinkToFit="1"/>
    </xf>
    <xf numFmtId="0" fontId="7" fillId="0" borderId="11" xfId="2" applyFont="1" applyBorder="1" applyAlignment="1">
      <alignment horizontal="center" vertical="center" shrinkToFit="1"/>
    </xf>
    <xf numFmtId="0" fontId="7" fillId="0" borderId="54" xfId="2" applyFont="1" applyBorder="1" applyAlignment="1">
      <alignment horizontal="center" vertical="center" shrinkToFit="1"/>
    </xf>
    <xf numFmtId="0" fontId="7" fillId="0" borderId="6" xfId="2" applyFont="1" applyBorder="1" applyAlignment="1">
      <alignment horizontal="center" vertical="center" shrinkToFit="1"/>
    </xf>
    <xf numFmtId="0" fontId="7" fillId="0" borderId="11" xfId="2" applyFont="1" applyBorder="1" applyAlignment="1">
      <alignment horizontal="center" vertical="center"/>
    </xf>
    <xf numFmtId="181" fontId="7" fillId="0" borderId="11" xfId="2" applyNumberFormat="1" applyFont="1" applyBorder="1" applyAlignment="1">
      <alignment horizontal="center" vertical="center"/>
    </xf>
    <xf numFmtId="0" fontId="28" fillId="0" borderId="11" xfId="2" applyFont="1" applyBorder="1" applyAlignment="1">
      <alignment horizontal="center" vertical="center" wrapText="1"/>
    </xf>
    <xf numFmtId="0" fontId="7" fillId="0" borderId="6" xfId="2" applyFont="1" applyBorder="1" applyAlignment="1">
      <alignment vertical="center" shrinkToFit="1"/>
    </xf>
    <xf numFmtId="0" fontId="7" fillId="0" borderId="188" xfId="2" applyFont="1" applyBorder="1" applyAlignment="1">
      <alignment vertical="center" shrinkToFit="1"/>
    </xf>
    <xf numFmtId="0" fontId="7" fillId="0" borderId="189" xfId="2" applyFont="1" applyBorder="1" applyAlignment="1">
      <alignment vertical="center" shrinkToFit="1"/>
    </xf>
    <xf numFmtId="0" fontId="7" fillId="0" borderId="190" xfId="2" applyFont="1" applyBorder="1" applyAlignment="1">
      <alignment vertical="center" shrinkToFit="1"/>
    </xf>
    <xf numFmtId="0" fontId="7" fillId="0" borderId="20" xfId="2" applyFont="1" applyBorder="1" applyAlignment="1">
      <alignment vertical="center" shrinkToFit="1"/>
    </xf>
    <xf numFmtId="0" fontId="10" fillId="7" borderId="41" xfId="2" applyFont="1" applyFill="1" applyBorder="1" applyAlignment="1">
      <alignment horizontal="center" vertical="center"/>
    </xf>
    <xf numFmtId="0" fontId="10" fillId="7" borderId="39" xfId="2" applyFont="1" applyFill="1" applyBorder="1" applyAlignment="1">
      <alignment horizontal="center" vertical="center"/>
    </xf>
    <xf numFmtId="0" fontId="10" fillId="7" borderId="42" xfId="2" applyFont="1" applyFill="1" applyBorder="1" applyAlignment="1">
      <alignment horizontal="center" vertical="center"/>
    </xf>
    <xf numFmtId="0" fontId="32" fillId="0" borderId="0" xfId="2" applyFont="1" applyAlignment="1">
      <alignment horizontal="center" vertical="center"/>
    </xf>
    <xf numFmtId="0" fontId="4" fillId="3" borderId="30" xfId="2" applyFill="1" applyBorder="1" applyAlignment="1">
      <alignment horizontal="center" vertical="center"/>
    </xf>
    <xf numFmtId="0" fontId="4" fillId="3" borderId="70" xfId="2" applyFill="1" applyBorder="1" applyAlignment="1">
      <alignment horizontal="center" vertical="center"/>
    </xf>
    <xf numFmtId="0" fontId="4" fillId="0" borderId="30" xfId="2" applyBorder="1" applyAlignment="1">
      <alignment horizontal="center" vertical="center"/>
    </xf>
    <xf numFmtId="0" fontId="4" fillId="0" borderId="70" xfId="2" applyBorder="1" applyAlignment="1">
      <alignment horizontal="center" vertical="center"/>
    </xf>
    <xf numFmtId="0" fontId="4" fillId="0" borderId="31" xfId="2" applyBorder="1" applyAlignment="1">
      <alignment horizontal="center" vertical="center"/>
    </xf>
    <xf numFmtId="0" fontId="7" fillId="7" borderId="21" xfId="0" applyFont="1" applyFill="1" applyBorder="1" applyAlignment="1">
      <alignment horizontal="center" vertical="center" shrinkToFit="1"/>
    </xf>
    <xf numFmtId="0" fontId="7" fillId="7" borderId="22" xfId="0" applyFont="1" applyFill="1" applyBorder="1" applyAlignment="1">
      <alignment horizontal="center" vertical="center" shrinkToFit="1"/>
    </xf>
    <xf numFmtId="176" fontId="36" fillId="0" borderId="23" xfId="0" applyNumberFormat="1" applyFont="1" applyBorder="1" applyAlignment="1">
      <alignment horizontal="center" vertical="center"/>
    </xf>
    <xf numFmtId="176" fontId="36" fillId="0" borderId="24" xfId="0" applyNumberFormat="1" applyFont="1" applyBorder="1" applyAlignment="1">
      <alignment horizontal="center" vertical="center"/>
    </xf>
    <xf numFmtId="49" fontId="36" fillId="0" borderId="23" xfId="0" quotePrefix="1" applyNumberFormat="1" applyFont="1" applyBorder="1" applyAlignment="1">
      <alignment horizontal="center" vertical="center"/>
    </xf>
    <xf numFmtId="49" fontId="36" fillId="0" borderId="24" xfId="0" applyNumberFormat="1" applyFont="1" applyBorder="1" applyAlignment="1">
      <alignment horizontal="center" vertical="center"/>
    </xf>
    <xf numFmtId="0" fontId="7" fillId="4" borderId="1" xfId="0" applyFont="1" applyFill="1" applyBorder="1" applyAlignment="1">
      <alignment horizontal="center" vertical="center" shrinkToFit="1"/>
    </xf>
    <xf numFmtId="0" fontId="7" fillId="4" borderId="3" xfId="0" applyFont="1" applyFill="1" applyBorder="1" applyAlignment="1">
      <alignment horizontal="center" vertical="center" shrinkToFit="1"/>
    </xf>
    <xf numFmtId="0" fontId="7" fillId="4" borderId="2" xfId="0" applyFont="1" applyFill="1" applyBorder="1" applyAlignment="1">
      <alignment horizontal="center" vertical="center" shrinkToFit="1"/>
    </xf>
    <xf numFmtId="0" fontId="10" fillId="7" borderId="186" xfId="2" applyFont="1" applyFill="1" applyBorder="1" applyAlignment="1">
      <alignment horizontal="center" vertical="center" wrapText="1" justifyLastLine="1"/>
    </xf>
    <xf numFmtId="0" fontId="10" fillId="7" borderId="17" xfId="2" applyFont="1" applyFill="1" applyBorder="1" applyAlignment="1">
      <alignment horizontal="center" vertical="center" justifyLastLine="1"/>
    </xf>
    <xf numFmtId="0" fontId="11" fillId="4" borderId="186" xfId="0" applyFont="1" applyFill="1" applyBorder="1" applyAlignment="1">
      <alignment horizontal="center" vertical="center" wrapText="1"/>
    </xf>
    <xf numFmtId="0" fontId="11" fillId="4" borderId="17" xfId="0" applyFont="1" applyFill="1" applyBorder="1" applyAlignment="1">
      <alignment horizontal="center" vertical="center"/>
    </xf>
    <xf numFmtId="176" fontId="5" fillId="0" borderId="1" xfId="0" applyNumberFormat="1" applyFont="1" applyBorder="1" applyAlignment="1">
      <alignment horizontal="center" vertical="center"/>
    </xf>
    <xf numFmtId="176" fontId="5" fillId="0" borderId="3" xfId="0" applyNumberFormat="1" applyFont="1" applyBorder="1" applyAlignment="1">
      <alignment horizontal="center" vertical="center"/>
    </xf>
    <xf numFmtId="176" fontId="5" fillId="0" borderId="2" xfId="0" applyNumberFormat="1" applyFont="1" applyBorder="1" applyAlignment="1">
      <alignment horizontal="center" vertical="center"/>
    </xf>
    <xf numFmtId="0" fontId="10" fillId="4" borderId="68" xfId="2" applyFont="1" applyFill="1" applyBorder="1" applyAlignment="1">
      <alignment horizontal="center" vertical="center" wrapText="1" justifyLastLine="1"/>
    </xf>
    <xf numFmtId="0" fontId="10" fillId="4" borderId="45" xfId="2" applyFont="1" applyFill="1" applyBorder="1" applyAlignment="1">
      <alignment horizontal="center" vertical="center" justifyLastLine="1"/>
    </xf>
    <xf numFmtId="0" fontId="10" fillId="7" borderId="185" xfId="2" applyFont="1" applyFill="1" applyBorder="1" applyAlignment="1">
      <alignment horizontal="distributed" vertical="center" wrapText="1" justifyLastLine="1"/>
    </xf>
    <xf numFmtId="0" fontId="10" fillId="7" borderId="16" xfId="2" applyFont="1" applyFill="1" applyBorder="1" applyAlignment="1">
      <alignment horizontal="distributed" vertical="center" justifyLastLine="1"/>
    </xf>
    <xf numFmtId="0" fontId="10" fillId="7" borderId="67" xfId="2" applyFont="1" applyFill="1" applyBorder="1" applyAlignment="1">
      <alignment horizontal="center" vertical="center" wrapText="1" justifyLastLine="1"/>
    </xf>
    <xf numFmtId="0" fontId="10" fillId="7" borderId="19" xfId="2" applyFont="1" applyFill="1" applyBorder="1" applyAlignment="1">
      <alignment horizontal="center" vertical="center" justifyLastLine="1"/>
    </xf>
    <xf numFmtId="0" fontId="10" fillId="4" borderId="187" xfId="2" applyFont="1" applyFill="1" applyBorder="1" applyAlignment="1">
      <alignment horizontal="center" vertical="center" wrapText="1" justifyLastLine="1"/>
    </xf>
    <xf numFmtId="0" fontId="10" fillId="4" borderId="18" xfId="2" applyFont="1" applyFill="1" applyBorder="1" applyAlignment="1">
      <alignment horizontal="center" vertical="center" justifyLastLine="1"/>
    </xf>
    <xf numFmtId="0" fontId="2" fillId="7" borderId="67" xfId="2" applyFont="1" applyFill="1" applyBorder="1" applyAlignment="1">
      <alignment horizontal="distributed" vertical="center" wrapText="1"/>
    </xf>
    <xf numFmtId="0" fontId="2" fillId="7" borderId="19" xfId="2" applyFont="1" applyFill="1" applyBorder="1" applyAlignment="1">
      <alignment horizontal="distributed" vertical="center" wrapText="1"/>
    </xf>
    <xf numFmtId="0" fontId="10" fillId="7" borderId="67" xfId="2" applyFont="1" applyFill="1" applyBorder="1" applyAlignment="1">
      <alignment horizontal="center" vertical="center" justifyLastLine="1"/>
    </xf>
    <xf numFmtId="0" fontId="10" fillId="7" borderId="68" xfId="2" applyFont="1" applyFill="1" applyBorder="1" applyAlignment="1">
      <alignment horizontal="center" vertical="center" justifyLastLine="1"/>
    </xf>
    <xf numFmtId="0" fontId="10" fillId="7" borderId="69" xfId="2" applyFont="1" applyFill="1" applyBorder="1" applyAlignment="1">
      <alignment horizontal="center" vertical="center" justifyLastLine="1"/>
    </xf>
    <xf numFmtId="0" fontId="2" fillId="7" borderId="27" xfId="2" applyFont="1" applyFill="1" applyBorder="1" applyAlignment="1">
      <alignment horizontal="distributed" vertical="center" wrapText="1"/>
    </xf>
    <xf numFmtId="0" fontId="2" fillId="7" borderId="38" xfId="2" applyFont="1" applyFill="1" applyBorder="1" applyAlignment="1">
      <alignment horizontal="distributed" vertical="center" wrapText="1"/>
    </xf>
    <xf numFmtId="0" fontId="10" fillId="4" borderId="33" xfId="2" applyFont="1" applyFill="1" applyBorder="1" applyAlignment="1">
      <alignment horizontal="center" vertical="center" wrapText="1" justifyLastLine="1"/>
    </xf>
    <xf numFmtId="0" fontId="10" fillId="4" borderId="75" xfId="2" applyFont="1" applyFill="1" applyBorder="1" applyAlignment="1">
      <alignment horizontal="center" vertical="center" justifyLastLine="1"/>
    </xf>
    <xf numFmtId="0" fontId="10" fillId="7" borderId="32" xfId="2" applyFont="1" applyFill="1" applyBorder="1" applyAlignment="1">
      <alignment horizontal="distributed" vertical="center" wrapText="1" justifyLastLine="1"/>
    </xf>
    <xf numFmtId="0" fontId="10" fillId="7" borderId="46" xfId="2" applyFont="1" applyFill="1" applyBorder="1" applyAlignment="1">
      <alignment horizontal="distributed" vertical="center" justifyLastLine="1"/>
    </xf>
    <xf numFmtId="0" fontId="10" fillId="7" borderId="26" xfId="2" applyFont="1" applyFill="1" applyBorder="1" applyAlignment="1">
      <alignment horizontal="center" vertical="center" wrapText="1" justifyLastLine="1"/>
    </xf>
    <xf numFmtId="0" fontId="10" fillId="7" borderId="47" xfId="2" applyFont="1" applyFill="1" applyBorder="1" applyAlignment="1">
      <alignment horizontal="center" vertical="center" justifyLastLine="1"/>
    </xf>
    <xf numFmtId="0" fontId="10" fillId="7" borderId="29" xfId="2" applyFont="1" applyFill="1" applyBorder="1" applyAlignment="1">
      <alignment horizontal="center" vertical="center" wrapText="1" justifyLastLine="1"/>
    </xf>
    <xf numFmtId="0" fontId="10" fillId="7" borderId="37" xfId="2" applyFont="1" applyFill="1" applyBorder="1" applyAlignment="1">
      <alignment horizontal="center" vertical="center" justifyLastLine="1"/>
    </xf>
    <xf numFmtId="0" fontId="10" fillId="7" borderId="27" xfId="2" applyFont="1" applyFill="1" applyBorder="1" applyAlignment="1">
      <alignment horizontal="center" vertical="center" wrapText="1" justifyLastLine="1"/>
    </xf>
    <xf numFmtId="0" fontId="10" fillId="7" borderId="38" xfId="2" applyFont="1" applyFill="1" applyBorder="1" applyAlignment="1">
      <alignment horizontal="center" vertical="center" justifyLastLine="1"/>
    </xf>
    <xf numFmtId="0" fontId="11" fillId="4" borderId="26" xfId="0" applyFont="1" applyFill="1" applyBorder="1" applyAlignment="1">
      <alignment horizontal="center" vertical="center" wrapText="1"/>
    </xf>
    <xf numFmtId="0" fontId="11" fillId="4" borderId="47" xfId="0" applyFont="1" applyFill="1" applyBorder="1" applyAlignment="1">
      <alignment horizontal="center" vertical="center"/>
    </xf>
    <xf numFmtId="0" fontId="15" fillId="0" borderId="9" xfId="0" applyFont="1" applyBorder="1" applyAlignment="1">
      <alignment horizontal="center" vertical="center" wrapText="1" justifyLastLine="1"/>
    </xf>
    <xf numFmtId="0" fontId="15" fillId="0" borderId="80" xfId="0" applyFont="1" applyBorder="1" applyAlignment="1">
      <alignment horizontal="center" vertical="center" wrapText="1" justifyLastLine="1"/>
    </xf>
    <xf numFmtId="0" fontId="15" fillId="0" borderId="11" xfId="0" applyFont="1" applyBorder="1" applyAlignment="1">
      <alignment horizontal="center" vertical="center" wrapText="1" justifyLastLine="1"/>
    </xf>
    <xf numFmtId="0" fontId="15" fillId="0" borderId="26" xfId="3" applyFont="1" applyBorder="1" applyAlignment="1">
      <alignment horizontal="center" vertical="center" wrapText="1" justifyLastLine="1"/>
    </xf>
    <xf numFmtId="0" fontId="15" fillId="0" borderId="82" xfId="3" applyFont="1" applyBorder="1" applyAlignment="1">
      <alignment horizontal="center" vertical="center" wrapText="1" justifyLastLine="1"/>
    </xf>
    <xf numFmtId="0" fontId="15" fillId="0" borderId="71" xfId="3" applyFont="1" applyBorder="1" applyAlignment="1">
      <alignment horizontal="center" vertical="center" justifyLastLine="1"/>
    </xf>
    <xf numFmtId="0" fontId="15" fillId="0" borderId="74" xfId="3" applyFont="1" applyBorder="1" applyAlignment="1">
      <alignment horizontal="center" vertical="center" justifyLastLine="1"/>
    </xf>
    <xf numFmtId="0" fontId="15" fillId="0" borderId="25" xfId="3" applyFont="1" applyBorder="1" applyAlignment="1">
      <alignment horizontal="center" vertical="center" justifyLastLine="1"/>
    </xf>
    <xf numFmtId="0" fontId="15" fillId="0" borderId="50" xfId="3" applyFont="1" applyBorder="1" applyAlignment="1">
      <alignment horizontal="center" vertical="center" justifyLastLine="1"/>
    </xf>
    <xf numFmtId="0" fontId="15" fillId="0" borderId="26" xfId="3" applyFont="1" applyBorder="1" applyAlignment="1">
      <alignment horizontal="center" vertical="center" justifyLastLine="1"/>
    </xf>
    <xf numFmtId="0" fontId="15" fillId="0" borderId="80" xfId="3" applyFont="1" applyBorder="1" applyAlignment="1">
      <alignment horizontal="center" vertical="center" justifyLastLine="1"/>
    </xf>
    <xf numFmtId="0" fontId="15" fillId="0" borderId="71" xfId="0" applyFont="1" applyBorder="1" applyAlignment="1">
      <alignment horizontal="center" vertical="center"/>
    </xf>
    <xf numFmtId="0" fontId="15" fillId="0" borderId="74" xfId="0" applyFont="1" applyBorder="1" applyAlignment="1">
      <alignment horizontal="center" vertical="center"/>
    </xf>
    <xf numFmtId="0" fontId="15" fillId="0" borderId="32" xfId="0" applyFont="1" applyBorder="1" applyAlignment="1">
      <alignment horizontal="center" vertical="center"/>
    </xf>
    <xf numFmtId="0" fontId="15" fillId="0" borderId="81" xfId="0" applyFont="1" applyBorder="1" applyAlignment="1">
      <alignment horizontal="center" vertical="center"/>
    </xf>
    <xf numFmtId="0" fontId="15" fillId="0" borderId="67" xfId="0" applyFont="1" applyBorder="1" applyAlignment="1">
      <alignment horizontal="center" vertical="center" justifyLastLine="1"/>
    </xf>
    <xf numFmtId="0" fontId="15" fillId="0" borderId="22" xfId="0" applyFont="1" applyBorder="1" applyAlignment="1">
      <alignment horizontal="center" vertical="center" justifyLastLine="1"/>
    </xf>
    <xf numFmtId="0" fontId="15" fillId="0" borderId="4" xfId="0" applyFont="1" applyBorder="1" applyAlignment="1">
      <alignment horizontal="center" vertical="center"/>
    </xf>
    <xf numFmtId="0" fontId="15" fillId="0" borderId="6" xfId="0" applyFont="1" applyBorder="1" applyAlignment="1">
      <alignment horizontal="center" vertical="center"/>
    </xf>
    <xf numFmtId="0" fontId="15" fillId="0" borderId="1" xfId="0" applyFont="1" applyBorder="1" applyAlignment="1">
      <alignment horizontal="center" vertical="center"/>
    </xf>
    <xf numFmtId="0" fontId="15" fillId="0" borderId="2" xfId="0" applyFont="1" applyBorder="1" applyAlignment="1">
      <alignment horizontal="center" vertical="center"/>
    </xf>
    <xf numFmtId="0" fontId="16" fillId="0" borderId="27" xfId="3" applyFont="1" applyBorder="1" applyAlignment="1">
      <alignment horizontal="center" vertical="center" wrapText="1"/>
    </xf>
    <xf numFmtId="0" fontId="16" fillId="0" borderId="49" xfId="3" applyFont="1" applyBorder="1" applyAlignment="1">
      <alignment horizontal="center" vertical="center" wrapText="1"/>
    </xf>
    <xf numFmtId="0" fontId="15" fillId="0" borderId="32" xfId="3" applyFont="1" applyBorder="1" applyAlignment="1">
      <alignment horizontal="center" vertical="center" wrapText="1" justifyLastLine="1"/>
    </xf>
    <xf numFmtId="0" fontId="15" fillId="0" borderId="81" xfId="3" applyFont="1" applyBorder="1" applyAlignment="1">
      <alignment horizontal="center" vertical="center" wrapText="1" justifyLastLine="1"/>
    </xf>
    <xf numFmtId="178" fontId="19" fillId="0" borderId="156" xfId="0" applyNumberFormat="1" applyFont="1" applyBorder="1" applyAlignment="1">
      <alignment horizontal="center" vertical="center"/>
    </xf>
    <xf numFmtId="178" fontId="19" fillId="0" borderId="157" xfId="0" applyNumberFormat="1" applyFont="1" applyBorder="1" applyAlignment="1">
      <alignment horizontal="center" vertical="center"/>
    </xf>
    <xf numFmtId="178" fontId="19" fillId="0" borderId="169" xfId="0" applyNumberFormat="1" applyFont="1" applyBorder="1" applyAlignment="1">
      <alignment horizontal="center" vertical="center"/>
    </xf>
    <xf numFmtId="0" fontId="16" fillId="0" borderId="9" xfId="3" applyFont="1" applyBorder="1" applyAlignment="1">
      <alignment vertical="center" wrapText="1"/>
    </xf>
    <xf numFmtId="0" fontId="16" fillId="0" borderId="80" xfId="3" applyFont="1" applyBorder="1" applyAlignment="1">
      <alignment vertical="center" wrapText="1"/>
    </xf>
    <xf numFmtId="0" fontId="15" fillId="0" borderId="9" xfId="0" applyFont="1" applyBorder="1" applyAlignment="1">
      <alignment horizontal="center" vertical="center" justifyLastLine="1"/>
    </xf>
    <xf numFmtId="0" fontId="15" fillId="0" borderId="80" xfId="0" applyFont="1" applyBorder="1" applyAlignment="1">
      <alignment horizontal="center" vertical="center" justifyLastLine="1"/>
    </xf>
    <xf numFmtId="0" fontId="15" fillId="0" borderId="11" xfId="0" applyFont="1" applyBorder="1" applyAlignment="1">
      <alignment horizontal="center" vertical="center" justifyLastLine="1"/>
    </xf>
    <xf numFmtId="0" fontId="15" fillId="0" borderId="170" xfId="0" applyFont="1" applyBorder="1" applyAlignment="1">
      <alignment horizontal="center" vertical="center" justifyLastLine="1"/>
    </xf>
    <xf numFmtId="0" fontId="15" fillId="0" borderId="171" xfId="0" applyFont="1" applyBorder="1" applyAlignment="1">
      <alignment horizontal="center" vertical="center" justifyLastLine="1"/>
    </xf>
    <xf numFmtId="0" fontId="15" fillId="0" borderId="172" xfId="0" applyFont="1" applyBorder="1" applyAlignment="1">
      <alignment horizontal="center" vertical="center" justifyLastLine="1"/>
    </xf>
    <xf numFmtId="0" fontId="15" fillId="0" borderId="5" xfId="0" applyFont="1" applyBorder="1" applyAlignment="1">
      <alignment horizontal="center" vertical="center" wrapText="1" justifyLastLine="1"/>
    </xf>
    <xf numFmtId="0" fontId="15" fillId="0" borderId="50" xfId="0" applyFont="1" applyBorder="1" applyAlignment="1">
      <alignment horizontal="center" vertical="center" wrapText="1" justifyLastLine="1"/>
    </xf>
    <xf numFmtId="0" fontId="15" fillId="0" borderId="7" xfId="0" applyFont="1" applyBorder="1" applyAlignment="1">
      <alignment horizontal="center" vertical="center" wrapText="1" justifyLastLine="1"/>
    </xf>
    <xf numFmtId="0" fontId="15" fillId="0" borderId="8" xfId="0" applyFont="1" applyBorder="1" applyAlignment="1">
      <alignment horizontal="center" vertical="center" wrapText="1" justifyLastLine="1"/>
    </xf>
    <xf numFmtId="0" fontId="15" fillId="0" borderId="33" xfId="3" applyFont="1" applyBorder="1" applyAlignment="1">
      <alignment horizontal="center" vertical="center" wrapText="1" justifyLastLine="1"/>
    </xf>
    <xf numFmtId="0" fontId="15" fillId="0" borderId="137" xfId="3" applyFont="1" applyBorder="1" applyAlignment="1">
      <alignment horizontal="center" vertical="center" wrapText="1" justifyLastLine="1"/>
    </xf>
    <xf numFmtId="0" fontId="22" fillId="0" borderId="9" xfId="0" applyFont="1" applyBorder="1" applyAlignment="1">
      <alignment horizontal="center" vertical="center" wrapText="1" justifyLastLine="1"/>
    </xf>
    <xf numFmtId="0" fontId="22" fillId="0" borderId="11" xfId="0" applyFont="1" applyBorder="1" applyAlignment="1">
      <alignment horizontal="center" vertical="center" wrapText="1" justifyLastLine="1"/>
    </xf>
    <xf numFmtId="178" fontId="19" fillId="0" borderId="152" xfId="0" applyNumberFormat="1" applyFont="1" applyBorder="1" applyAlignment="1">
      <alignment horizontal="center" vertical="center"/>
    </xf>
    <xf numFmtId="178" fontId="19" fillId="0" borderId="153" xfId="0" applyNumberFormat="1" applyFont="1" applyBorder="1" applyAlignment="1">
      <alignment horizontal="center" vertical="center"/>
    </xf>
    <xf numFmtId="178" fontId="19" fillId="0" borderId="154" xfId="0" applyNumberFormat="1" applyFont="1" applyBorder="1" applyAlignment="1">
      <alignment horizontal="center" vertical="center"/>
    </xf>
    <xf numFmtId="178" fontId="19" fillId="0" borderId="138" xfId="0" applyNumberFormat="1" applyFont="1" applyBorder="1" applyAlignment="1">
      <alignment horizontal="center" vertical="center"/>
    </xf>
    <xf numFmtId="178" fontId="19" fillId="0" borderId="160" xfId="0" applyNumberFormat="1" applyFont="1" applyBorder="1" applyAlignment="1">
      <alignment horizontal="center" vertical="center"/>
    </xf>
    <xf numFmtId="178" fontId="19" fillId="0" borderId="142" xfId="0" applyNumberFormat="1" applyFont="1" applyBorder="1" applyAlignment="1">
      <alignment horizontal="center" vertical="center"/>
    </xf>
    <xf numFmtId="178" fontId="19" fillId="0" borderId="161" xfId="0" applyNumberFormat="1" applyFont="1" applyBorder="1" applyAlignment="1">
      <alignment horizontal="center" vertical="center"/>
    </xf>
    <xf numFmtId="178" fontId="19" fillId="0" borderId="162" xfId="0" applyNumberFormat="1" applyFont="1" applyBorder="1" applyAlignment="1">
      <alignment horizontal="center" vertical="center"/>
    </xf>
    <xf numFmtId="178" fontId="19" fillId="0" borderId="163" xfId="0" applyNumberFormat="1" applyFont="1" applyBorder="1" applyAlignment="1">
      <alignment horizontal="center" vertical="center"/>
    </xf>
    <xf numFmtId="178" fontId="19" fillId="0" borderId="146" xfId="0" applyNumberFormat="1" applyFont="1" applyBorder="1" applyAlignment="1">
      <alignment horizontal="center" vertical="center"/>
    </xf>
    <xf numFmtId="178" fontId="19" fillId="0" borderId="147" xfId="0" applyNumberFormat="1" applyFont="1" applyBorder="1" applyAlignment="1">
      <alignment horizontal="center" vertical="center"/>
    </xf>
    <xf numFmtId="178" fontId="19" fillId="0" borderId="4" xfId="0" applyNumberFormat="1" applyFont="1" applyBorder="1" applyAlignment="1">
      <alignment horizontal="center" vertical="center" wrapText="1"/>
    </xf>
    <xf numFmtId="178" fontId="19" fillId="0" borderId="150" xfId="0" applyNumberFormat="1" applyFont="1" applyBorder="1" applyAlignment="1">
      <alignment horizontal="center" vertical="center" wrapText="1"/>
    </xf>
    <xf numFmtId="178" fontId="19" fillId="0" borderId="56" xfId="0" applyNumberFormat="1" applyFont="1" applyBorder="1" applyAlignment="1">
      <alignment horizontal="center" vertical="center" wrapText="1"/>
    </xf>
    <xf numFmtId="178" fontId="19" fillId="0" borderId="4" xfId="0" applyNumberFormat="1" applyFont="1" applyBorder="1" applyAlignment="1">
      <alignment horizontal="center" vertical="center"/>
    </xf>
    <xf numFmtId="178" fontId="19" fillId="0" borderId="5" xfId="0" applyNumberFormat="1" applyFont="1" applyBorder="1" applyAlignment="1">
      <alignment horizontal="center" vertical="center"/>
    </xf>
    <xf numFmtId="178" fontId="19" fillId="0" borderId="139" xfId="0" applyNumberFormat="1" applyFont="1" applyBorder="1" applyAlignment="1">
      <alignment horizontal="center" vertical="center"/>
    </xf>
    <xf numFmtId="178" fontId="19" fillId="0" borderId="143" xfId="0" applyNumberFormat="1" applyFont="1" applyBorder="1" applyAlignment="1">
      <alignment horizontal="center" vertical="center"/>
    </xf>
    <xf numFmtId="178" fontId="19" fillId="0" borderId="5" xfId="0" applyNumberFormat="1" applyFont="1" applyBorder="1" applyAlignment="1">
      <alignment horizontal="center" vertical="center" wrapText="1"/>
    </xf>
    <xf numFmtId="178" fontId="19" fillId="0" borderId="56" xfId="0" applyNumberFormat="1" applyFont="1" applyBorder="1" applyAlignment="1">
      <alignment horizontal="center" vertical="center"/>
    </xf>
    <xf numFmtId="178" fontId="19" fillId="0" borderId="150" xfId="0" applyNumberFormat="1" applyFont="1" applyBorder="1" applyAlignment="1">
      <alignment horizontal="center" vertical="center"/>
    </xf>
    <xf numFmtId="178" fontId="19" fillId="0" borderId="49" xfId="0" applyNumberFormat="1" applyFont="1" applyBorder="1" applyAlignment="1">
      <alignment horizontal="center" vertical="center" wrapText="1"/>
    </xf>
    <xf numFmtId="178" fontId="19" fillId="0" borderId="51" xfId="0" applyNumberFormat="1" applyFont="1" applyBorder="1" applyAlignment="1">
      <alignment horizontal="center" vertical="center" wrapText="1"/>
    </xf>
    <xf numFmtId="0" fontId="19" fillId="0" borderId="1" xfId="0" applyFont="1" applyBorder="1" applyAlignment="1">
      <alignment horizontal="center" vertical="center"/>
    </xf>
    <xf numFmtId="0" fontId="19" fillId="0" borderId="2" xfId="0" applyFont="1" applyBorder="1" applyAlignment="1">
      <alignment horizontal="center" vertical="center"/>
    </xf>
    <xf numFmtId="0" fontId="22" fillId="0" borderId="1" xfId="0" applyFont="1" applyBorder="1" applyAlignment="1">
      <alignment horizontal="center" vertical="center" wrapText="1"/>
    </xf>
    <xf numFmtId="0" fontId="22" fillId="0" borderId="2" xfId="0" applyFont="1" applyBorder="1" applyAlignment="1">
      <alignment horizontal="center" vertical="center"/>
    </xf>
    <xf numFmtId="0" fontId="15" fillId="0" borderId="4" xfId="0" applyFont="1" applyBorder="1" applyAlignment="1">
      <alignment horizontal="center" vertical="center" wrapText="1" justifyLastLine="1"/>
    </xf>
    <xf numFmtId="0" fontId="15" fillId="0" borderId="56" xfId="0" applyFont="1" applyBorder="1" applyAlignment="1">
      <alignment horizontal="center" vertical="center" wrapText="1" justifyLastLine="1"/>
    </xf>
    <xf numFmtId="0" fontId="15" fillId="0" borderId="49" xfId="0" applyFont="1" applyBorder="1" applyAlignment="1">
      <alignment horizontal="center" vertical="center" wrapText="1" justifyLastLine="1"/>
    </xf>
    <xf numFmtId="0" fontId="15" fillId="0" borderId="0" xfId="0" applyFont="1" applyAlignment="1">
      <alignment horizontal="center" vertical="center" wrapText="1" justifyLastLine="1"/>
    </xf>
    <xf numFmtId="0" fontId="15" fillId="0" borderId="6" xfId="0" applyFont="1" applyBorder="1" applyAlignment="1">
      <alignment horizontal="center" vertical="center" wrapText="1" justifyLastLine="1"/>
    </xf>
    <xf numFmtId="0" fontId="15" fillId="0" borderId="54" xfId="0" applyFont="1" applyBorder="1" applyAlignment="1">
      <alignment horizontal="center" vertical="center" wrapText="1" justifyLastLine="1"/>
    </xf>
    <xf numFmtId="0" fontId="19" fillId="0" borderId="4"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7" xfId="0" applyFont="1" applyBorder="1" applyAlignment="1">
      <alignment horizontal="center" vertical="center"/>
    </xf>
    <xf numFmtId="0" fontId="19" fillId="0" borderId="56" xfId="0" applyFont="1" applyBorder="1" applyAlignment="1">
      <alignment horizontal="center" vertical="center"/>
    </xf>
    <xf numFmtId="0" fontId="19" fillId="0" borderId="54" xfId="0" applyFont="1" applyBorder="1" applyAlignment="1">
      <alignment horizontal="center" vertical="center"/>
    </xf>
    <xf numFmtId="0" fontId="19" fillId="0" borderId="1" xfId="0" applyFont="1" applyBorder="1" applyAlignment="1">
      <alignment horizontal="center" vertical="center" wrapText="1"/>
    </xf>
    <xf numFmtId="0" fontId="19" fillId="0" borderId="3" xfId="0" applyFont="1" applyBorder="1" applyAlignment="1">
      <alignment horizontal="center" vertical="center"/>
    </xf>
    <xf numFmtId="0" fontId="22" fillId="0" borderId="80" xfId="0" applyFont="1" applyBorder="1" applyAlignment="1">
      <alignment horizontal="center" vertical="center" wrapText="1" justifyLastLine="1"/>
    </xf>
    <xf numFmtId="0" fontId="15" fillId="0" borderId="27" xfId="3" applyFont="1" applyBorder="1" applyAlignment="1">
      <alignment horizontal="center" vertical="center" wrapText="1" justifyLastLine="1"/>
    </xf>
    <xf numFmtId="0" fontId="15" fillId="0" borderId="25" xfId="3" applyFont="1" applyBorder="1" applyAlignment="1">
      <alignment horizontal="center" vertical="center" wrapText="1" justifyLastLine="1"/>
    </xf>
    <xf numFmtId="0" fontId="15" fillId="0" borderId="49" xfId="3" applyFont="1" applyBorder="1" applyAlignment="1">
      <alignment horizontal="center" vertical="center" wrapText="1" justifyLastLine="1"/>
    </xf>
    <xf numFmtId="0" fontId="15" fillId="0" borderId="50" xfId="3" applyFont="1" applyBorder="1" applyAlignment="1">
      <alignment horizontal="center" vertical="center" wrapText="1" justifyLastLine="1"/>
    </xf>
    <xf numFmtId="0" fontId="15" fillId="0" borderId="60" xfId="3" applyFont="1" applyBorder="1" applyAlignment="1">
      <alignment horizontal="center" vertical="center" wrapText="1" justifyLastLine="1"/>
    </xf>
    <xf numFmtId="0" fontId="15" fillId="0" borderId="61" xfId="3" applyFont="1" applyBorder="1" applyAlignment="1">
      <alignment horizontal="center" vertical="center" wrapText="1" justifyLastLine="1"/>
    </xf>
    <xf numFmtId="0" fontId="15" fillId="0" borderId="36" xfId="3" applyFont="1" applyBorder="1" applyAlignment="1">
      <alignment horizontal="center" vertical="center" wrapText="1" justifyLastLine="1"/>
    </xf>
    <xf numFmtId="0" fontId="15" fillId="0" borderId="51" xfId="3" applyFont="1" applyBorder="1" applyAlignment="1">
      <alignment horizontal="center" vertical="center" wrapText="1" justifyLastLine="1"/>
    </xf>
    <xf numFmtId="0" fontId="15" fillId="0" borderId="62" xfId="3" applyFont="1" applyBorder="1" applyAlignment="1">
      <alignment horizontal="center" vertical="center" wrapText="1" justifyLastLine="1"/>
    </xf>
    <xf numFmtId="0" fontId="16" fillId="0" borderId="9" xfId="3" applyFont="1" applyBorder="1" applyAlignment="1">
      <alignment horizontal="left" vertical="center" wrapText="1"/>
    </xf>
    <xf numFmtId="0" fontId="16" fillId="0" borderId="80" xfId="3" applyFont="1" applyBorder="1" applyAlignment="1">
      <alignment horizontal="left" vertical="center" wrapText="1"/>
    </xf>
    <xf numFmtId="0" fontId="16" fillId="0" borderId="83" xfId="3" applyFont="1" applyBorder="1" applyAlignment="1">
      <alignment horizontal="left" vertical="center" wrapText="1"/>
    </xf>
    <xf numFmtId="0" fontId="15" fillId="0" borderId="28" xfId="3" applyFont="1" applyBorder="1" applyAlignment="1">
      <alignment horizontal="center" vertical="center" justifyLastLine="1"/>
    </xf>
    <xf numFmtId="0" fontId="15" fillId="0" borderId="48" xfId="3" applyFont="1" applyBorder="1" applyAlignment="1">
      <alignment horizontal="center" vertical="center" justifyLastLine="1"/>
    </xf>
    <xf numFmtId="0" fontId="15" fillId="0" borderId="52" xfId="3" applyFont="1" applyBorder="1" applyAlignment="1">
      <alignment horizontal="center" vertical="center" justifyLastLine="1"/>
    </xf>
    <xf numFmtId="0" fontId="15" fillId="0" borderId="32" xfId="3" applyFont="1" applyBorder="1" applyAlignment="1">
      <alignment horizontal="center" vertical="center" justifyLastLine="1"/>
    </xf>
    <xf numFmtId="0" fontId="15" fillId="0" borderId="14" xfId="3" applyFont="1" applyBorder="1" applyAlignment="1">
      <alignment horizontal="center" vertical="center" justifyLastLine="1"/>
    </xf>
    <xf numFmtId="0" fontId="15" fillId="0" borderId="81" xfId="3" applyFont="1" applyBorder="1" applyAlignment="1">
      <alignment horizontal="center" vertical="center" justifyLastLine="1"/>
    </xf>
    <xf numFmtId="0" fontId="15" fillId="0" borderId="82" xfId="3" applyFont="1" applyBorder="1" applyAlignment="1">
      <alignment horizontal="center" vertical="center" justifyLastLine="1"/>
    </xf>
    <xf numFmtId="0" fontId="16" fillId="0" borderId="26" xfId="3" applyFont="1" applyBorder="1" applyAlignment="1">
      <alignment horizontal="center" vertical="center" wrapText="1"/>
    </xf>
    <xf numFmtId="0" fontId="16" fillId="0" borderId="80" xfId="3" applyFont="1" applyBorder="1" applyAlignment="1">
      <alignment horizontal="center" vertical="center" wrapText="1"/>
    </xf>
    <xf numFmtId="0" fontId="16" fillId="0" borderId="82" xfId="3" applyFont="1" applyBorder="1" applyAlignment="1">
      <alignment horizontal="center" vertical="center" wrapText="1"/>
    </xf>
    <xf numFmtId="0" fontId="15" fillId="0" borderId="0" xfId="3" applyFont="1" applyAlignment="1">
      <alignment horizontal="center" vertical="center" wrapText="1" justifyLastLine="1"/>
    </xf>
    <xf numFmtId="178" fontId="19" fillId="0" borderId="0" xfId="0" applyNumberFormat="1" applyFont="1" applyAlignment="1">
      <alignment horizontal="center" vertical="center" wrapText="1"/>
    </xf>
    <xf numFmtId="178" fontId="19" fillId="0" borderId="181" xfId="0" applyNumberFormat="1" applyFont="1" applyBorder="1" applyAlignment="1">
      <alignment horizontal="center" vertical="center"/>
    </xf>
    <xf numFmtId="0" fontId="15" fillId="0" borderId="71" xfId="3" applyFont="1" applyBorder="1" applyAlignment="1">
      <alignment horizontal="center" vertical="center" wrapText="1"/>
    </xf>
    <xf numFmtId="0" fontId="15" fillId="0" borderId="125" xfId="3" applyFont="1" applyBorder="1" applyAlignment="1">
      <alignment horizontal="center" vertical="center" wrapText="1"/>
    </xf>
    <xf numFmtId="0" fontId="34" fillId="0" borderId="55" xfId="3" applyFont="1" applyBorder="1" applyAlignment="1">
      <alignment vertical="center"/>
    </xf>
    <xf numFmtId="0" fontId="34" fillId="0" borderId="56" xfId="3" applyFont="1" applyBorder="1" applyAlignment="1">
      <alignment vertical="center"/>
    </xf>
    <xf numFmtId="0" fontId="34" fillId="0" borderId="108" xfId="3" applyFont="1" applyBorder="1" applyAlignment="1">
      <alignment vertical="center"/>
    </xf>
    <xf numFmtId="0" fontId="34" fillId="0" borderId="120" xfId="3" applyFont="1" applyBorder="1" applyAlignment="1">
      <alignment vertical="center" wrapText="1"/>
    </xf>
    <xf numFmtId="0" fontId="34" fillId="0" borderId="121" xfId="3" applyFont="1" applyBorder="1" applyAlignment="1">
      <alignment vertical="center" wrapText="1"/>
    </xf>
    <xf numFmtId="0" fontId="34" fillId="0" borderId="122" xfId="3" applyFont="1" applyBorder="1" applyAlignment="1">
      <alignment vertical="center" wrapText="1"/>
    </xf>
    <xf numFmtId="0" fontId="15" fillId="0" borderId="29" xfId="3" applyFont="1" applyBorder="1" applyAlignment="1">
      <alignment horizontal="center" vertical="center" justifyLastLine="1"/>
    </xf>
    <xf numFmtId="0" fontId="15" fillId="0" borderId="36" xfId="3" applyFont="1" applyBorder="1" applyAlignment="1">
      <alignment horizontal="center" vertical="center" justifyLastLine="1"/>
    </xf>
    <xf numFmtId="0" fontId="15" fillId="0" borderId="37" xfId="3" applyFont="1" applyBorder="1" applyAlignment="1">
      <alignment horizontal="center" vertical="center" justifyLastLine="1"/>
    </xf>
    <xf numFmtId="0" fontId="15" fillId="0" borderId="35" xfId="3" applyFont="1" applyBorder="1" applyAlignment="1">
      <alignment horizontal="center" vertical="center" justifyLastLine="1"/>
    </xf>
    <xf numFmtId="0" fontId="34" fillId="0" borderId="55" xfId="3" applyFont="1" applyBorder="1" applyAlignment="1">
      <alignment vertical="center" wrapText="1"/>
    </xf>
    <xf numFmtId="0" fontId="34" fillId="0" borderId="56" xfId="3" applyFont="1" applyBorder="1" applyAlignment="1">
      <alignment vertical="center" wrapText="1"/>
    </xf>
    <xf numFmtId="0" fontId="34" fillId="0" borderId="108" xfId="3" applyFont="1" applyBorder="1" applyAlignment="1">
      <alignment vertical="center" wrapText="1"/>
    </xf>
    <xf numFmtId="0" fontId="34" fillId="0" borderId="111" xfId="3" applyFont="1" applyBorder="1" applyAlignment="1">
      <alignment vertical="center" wrapText="1"/>
    </xf>
    <xf numFmtId="0" fontId="34" fillId="0" borderId="3" xfId="3" applyFont="1" applyBorder="1" applyAlignment="1">
      <alignment vertical="center" wrapText="1"/>
    </xf>
    <xf numFmtId="0" fontId="34" fillId="0" borderId="112" xfId="3" applyFont="1" applyBorder="1" applyAlignment="1">
      <alignment vertical="center" wrapText="1"/>
    </xf>
    <xf numFmtId="0" fontId="34" fillId="0" borderId="28" xfId="3" applyFont="1" applyBorder="1" applyAlignment="1">
      <alignment vertical="center" wrapText="1" justifyLastLine="1"/>
    </xf>
    <xf numFmtId="0" fontId="34" fillId="0" borderId="29" xfId="3" applyFont="1" applyBorder="1" applyAlignment="1">
      <alignment vertical="center" wrapText="1" justifyLastLine="1"/>
    </xf>
    <xf numFmtId="0" fontId="34" fillId="0" borderId="104" xfId="3" applyFont="1" applyBorder="1" applyAlignment="1">
      <alignment vertical="center" wrapText="1" justifyLastLine="1"/>
    </xf>
    <xf numFmtId="0" fontId="15" fillId="0" borderId="0" xfId="3" applyFont="1" applyAlignment="1">
      <alignment horizontal="center" vertical="center" justifyLastLine="1"/>
    </xf>
    <xf numFmtId="0" fontId="15" fillId="0" borderId="51" xfId="3" applyFont="1" applyBorder="1" applyAlignment="1">
      <alignment horizontal="center" vertical="center" justifyLastLine="1"/>
    </xf>
    <xf numFmtId="0" fontId="15" fillId="0" borderId="28" xfId="3" applyFont="1" applyBorder="1" applyAlignment="1">
      <alignment horizontal="center" vertical="center" wrapText="1"/>
    </xf>
    <xf numFmtId="0" fontId="15" fillId="0" borderId="29" xfId="3" applyFont="1" applyBorder="1" applyAlignment="1">
      <alignment horizontal="center" vertical="center" wrapText="1"/>
    </xf>
    <xf numFmtId="0" fontId="15" fillId="0" borderId="36" xfId="3" applyFont="1" applyBorder="1" applyAlignment="1">
      <alignment horizontal="center" vertical="center" wrapText="1"/>
    </xf>
  </cellXfs>
  <cellStyles count="9">
    <cellStyle name="桁区切り 2" xfId="5" xr:uid="{21DE6491-01DC-46B7-9888-4D73A7B8240B}"/>
    <cellStyle name="標準" xfId="0" builtinId="0"/>
    <cellStyle name="標準 2" xfId="1" xr:uid="{00000000-0005-0000-0000-000001000000}"/>
    <cellStyle name="標準 3" xfId="2" xr:uid="{00000000-0005-0000-0000-000002000000}"/>
    <cellStyle name="標準 3 2" xfId="7" xr:uid="{F8BD606E-0460-4B93-9D3E-71EB4F91B003}"/>
    <cellStyle name="標準 4" xfId="3" xr:uid="{261F789D-11DF-4E9C-B2B1-ADE466ED17FA}"/>
    <cellStyle name="標準 5" xfId="8" xr:uid="{EC892A98-7C2F-44E6-A58C-9E9E8CA36DA7}"/>
    <cellStyle name="標準 6" xfId="6" xr:uid="{14EC6D3C-6B08-45EE-9AC8-599984C2B0DF}"/>
    <cellStyle name="標準_BDA1S0T07201" xfId="4" xr:uid="{DF594B88-9901-4831-B1E1-EEB0D4AEEF16}"/>
  </cellStyles>
  <dxfs count="89">
    <dxf>
      <font>
        <color rgb="FFFF0000"/>
      </font>
    </dxf>
    <dxf>
      <font>
        <color rgb="FFFF00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9"/>
  <colors>
    <mruColors>
      <color rgb="FF339966"/>
      <color rgb="FF000000"/>
      <color rgb="FF0000CC"/>
      <color rgb="FFFFCCCC"/>
      <color rgb="FFFFCC99"/>
      <color rgb="FFFFFF99"/>
      <color rgb="FFFFFFCC"/>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hyperlink" Target="https://www.ub8f2r8u94.com/#/login"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45720</xdr:colOff>
          <xdr:row>2</xdr:row>
          <xdr:rowOff>83820</xdr:rowOff>
        </xdr:to>
        <xdr:sp macro="" textlink="">
          <xdr:nvSpPr>
            <xdr:cNvPr id="11268" name="BtnOutputExcel" hidden="1">
              <a:extLst>
                <a:ext uri="{63B3BB69-23CF-44E3-9099-C40C66FF867C}">
                  <a14:compatExt spid="_x0000_s11268"/>
                </a:ext>
                <a:ext uri="{FF2B5EF4-FFF2-40B4-BE49-F238E27FC236}">
                  <a16:creationId xmlns:a16="http://schemas.microsoft.com/office/drawing/2014/main" id="{00000000-0008-0000-00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28</xdr:col>
      <xdr:colOff>140677</xdr:colOff>
      <xdr:row>1</xdr:row>
      <xdr:rowOff>0</xdr:rowOff>
    </xdr:from>
    <xdr:to>
      <xdr:col>40</xdr:col>
      <xdr:colOff>0</xdr:colOff>
      <xdr:row>2</xdr:row>
      <xdr:rowOff>170571</xdr:rowOff>
    </xdr:to>
    <xdr:sp macro="" textlink="">
      <xdr:nvSpPr>
        <xdr:cNvPr id="2" name="正方形/長方形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7859737" y="304800"/>
          <a:ext cx="1779563" cy="361071"/>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lvl="0" algn="ctr"/>
          <a:r>
            <a:rPr kumimoji="1" lang="ja-JP" altLang="en-US" sz="1100" b="1"/>
            <a:t>農作業名語彙管理を開く</a:t>
          </a:r>
          <a:endParaRPr kumimoji="1" lang="en-US" altLang="ja-JP"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47625</xdr:colOff>
      <xdr:row>110</xdr:row>
      <xdr:rowOff>57150</xdr:rowOff>
    </xdr:from>
    <xdr:to>
      <xdr:col>6</xdr:col>
      <xdr:colOff>597150</xdr:colOff>
      <xdr:row>110</xdr:row>
      <xdr:rowOff>57150</xdr:rowOff>
    </xdr:to>
    <xdr:cxnSp macro="">
      <xdr:nvCxnSpPr>
        <xdr:cNvPr id="2" name="直線矢印コネクタ 1">
          <a:extLst>
            <a:ext uri="{FF2B5EF4-FFF2-40B4-BE49-F238E27FC236}">
              <a16:creationId xmlns:a16="http://schemas.microsoft.com/office/drawing/2014/main" id="{00000000-0008-0000-0300-000002000000}"/>
            </a:ext>
          </a:extLst>
        </xdr:cNvPr>
        <xdr:cNvCxnSpPr/>
      </xdr:nvCxnSpPr>
      <xdr:spPr>
        <a:xfrm>
          <a:off x="5153025" y="40005000"/>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517524</xdr:colOff>
      <xdr:row>109</xdr:row>
      <xdr:rowOff>31750</xdr:rowOff>
    </xdr:from>
    <xdr:to>
      <xdr:col>11</xdr:col>
      <xdr:colOff>63500</xdr:colOff>
      <xdr:row>112</xdr:row>
      <xdr:rowOff>95250</xdr:rowOff>
    </xdr:to>
    <xdr:sp macro="" textlink="">
      <xdr:nvSpPr>
        <xdr:cNvPr id="3" name="角丸四角形 23">
          <a:extLst>
            <a:ext uri="{FF2B5EF4-FFF2-40B4-BE49-F238E27FC236}">
              <a16:creationId xmlns:a16="http://schemas.microsoft.com/office/drawing/2014/main" id="{00000000-0008-0000-0300-000003000000}"/>
            </a:ext>
          </a:extLst>
        </xdr:cNvPr>
        <xdr:cNvSpPr/>
      </xdr:nvSpPr>
      <xdr:spPr>
        <a:xfrm>
          <a:off x="5622924" y="39598600"/>
          <a:ext cx="3832226" cy="1206500"/>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　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47625</xdr:colOff>
      <xdr:row>110</xdr:row>
      <xdr:rowOff>57150</xdr:rowOff>
    </xdr:from>
    <xdr:to>
      <xdr:col>6</xdr:col>
      <xdr:colOff>597150</xdr:colOff>
      <xdr:row>110</xdr:row>
      <xdr:rowOff>57150</xdr:rowOff>
    </xdr:to>
    <xdr:cxnSp macro="">
      <xdr:nvCxnSpPr>
        <xdr:cNvPr id="2" name="直線矢印コネクタ 1">
          <a:extLst>
            <a:ext uri="{FF2B5EF4-FFF2-40B4-BE49-F238E27FC236}">
              <a16:creationId xmlns:a16="http://schemas.microsoft.com/office/drawing/2014/main" id="{00000000-0008-0000-0400-000002000000}"/>
            </a:ext>
          </a:extLst>
        </xdr:cNvPr>
        <xdr:cNvCxnSpPr/>
      </xdr:nvCxnSpPr>
      <xdr:spPr>
        <a:xfrm>
          <a:off x="5153025" y="39519225"/>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517524</xdr:colOff>
      <xdr:row>109</xdr:row>
      <xdr:rowOff>31750</xdr:rowOff>
    </xdr:from>
    <xdr:to>
      <xdr:col>11</xdr:col>
      <xdr:colOff>63500</xdr:colOff>
      <xdr:row>112</xdr:row>
      <xdr:rowOff>95250</xdr:rowOff>
    </xdr:to>
    <xdr:sp macro="" textlink="">
      <xdr:nvSpPr>
        <xdr:cNvPr id="3" name="角丸四角形 23">
          <a:extLst>
            <a:ext uri="{FF2B5EF4-FFF2-40B4-BE49-F238E27FC236}">
              <a16:creationId xmlns:a16="http://schemas.microsoft.com/office/drawing/2014/main" id="{00000000-0008-0000-0400-000003000000}"/>
            </a:ext>
          </a:extLst>
        </xdr:cNvPr>
        <xdr:cNvSpPr/>
      </xdr:nvSpPr>
      <xdr:spPr>
        <a:xfrm>
          <a:off x="5622924" y="39112825"/>
          <a:ext cx="3832226" cy="1206500"/>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　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7E2A-1BCE-47DD-945A-2BFE5EC03EFE}">
  <sheetPr codeName="Sheet1">
    <pageSetUpPr fitToPage="1"/>
  </sheetPr>
  <dimension ref="A1:AC570"/>
  <sheetViews>
    <sheetView showGridLines="0" tabSelected="1" zoomScaleNormal="100" workbookViewId="0">
      <pane ySplit="8" topLeftCell="A9" activePane="bottomLeft" state="frozen"/>
      <selection pane="bottomLeft"/>
    </sheetView>
  </sheetViews>
  <sheetFormatPr defaultColWidth="1.21875" defaultRowHeight="7.5" customHeight="1" x14ac:dyDescent="0.2"/>
  <cols>
    <col min="1" max="1" width="1" style="2" customWidth="1"/>
    <col min="2" max="2" width="4.77734375" style="2" customWidth="1"/>
    <col min="3" max="3" width="13" style="2" customWidth="1"/>
    <col min="4" max="5" width="7.77734375" style="2" customWidth="1"/>
    <col min="6" max="6" width="14.77734375" style="2" customWidth="1"/>
    <col min="7" max="18" width="9.77734375" style="2" customWidth="1"/>
    <col min="19" max="19" width="1.6640625" style="2" customWidth="1"/>
    <col min="20" max="26" width="9.77734375" style="2" customWidth="1"/>
    <col min="27" max="29" width="1.21875" style="2" customWidth="1"/>
    <col min="30" max="16384" width="1.21875" style="2"/>
  </cols>
  <sheetData>
    <row r="1" spans="2:29" ht="22.5" customHeight="1" thickBot="1" x14ac:dyDescent="0.25">
      <c r="C1" s="437" t="s">
        <v>106</v>
      </c>
      <c r="D1" s="437"/>
      <c r="E1" s="437"/>
      <c r="F1" s="437"/>
      <c r="G1" s="437"/>
      <c r="H1" s="437"/>
      <c r="I1" s="437"/>
      <c r="J1" s="437"/>
      <c r="K1" s="437"/>
      <c r="L1" s="437"/>
      <c r="M1" s="437"/>
      <c r="N1" s="437"/>
      <c r="O1" s="437"/>
      <c r="P1" s="437"/>
      <c r="Q1" s="437"/>
      <c r="R1" s="437"/>
      <c r="S1" s="30"/>
      <c r="T1" s="30"/>
      <c r="U1" s="30"/>
      <c r="V1" s="30"/>
      <c r="W1" s="30"/>
      <c r="X1" s="30"/>
      <c r="Y1" s="30"/>
      <c r="Z1" s="30"/>
      <c r="AA1" s="30"/>
      <c r="AB1" s="30"/>
      <c r="AC1" s="30"/>
    </row>
    <row r="2" spans="2:29" ht="22.5" customHeight="1" x14ac:dyDescent="0.2">
      <c r="B2" s="443" t="s">
        <v>109</v>
      </c>
      <c r="C2" s="444"/>
      <c r="D2" s="443" t="s">
        <v>67</v>
      </c>
      <c r="E2" s="444"/>
      <c r="F2" s="127" t="s">
        <v>68</v>
      </c>
      <c r="G2" s="5"/>
      <c r="H2" s="5"/>
      <c r="I2" s="5"/>
      <c r="J2" s="5"/>
      <c r="K2" s="5"/>
      <c r="L2" s="5"/>
      <c r="M2" s="5"/>
      <c r="N2" s="5"/>
      <c r="O2" s="5"/>
      <c r="P2" s="5"/>
      <c r="Q2" s="5"/>
      <c r="R2" s="30"/>
      <c r="S2" s="30"/>
      <c r="T2" s="30"/>
      <c r="U2" s="30"/>
      <c r="V2" s="30"/>
      <c r="W2" s="30"/>
      <c r="X2" s="30"/>
      <c r="Y2" s="30"/>
      <c r="Z2" s="30"/>
      <c r="AA2" s="30"/>
      <c r="AB2" s="30"/>
    </row>
    <row r="3" spans="2:29" ht="22.5" customHeight="1" thickBot="1" x14ac:dyDescent="0.25">
      <c r="B3" s="447"/>
      <c r="C3" s="448"/>
      <c r="D3" s="445"/>
      <c r="E3" s="446"/>
      <c r="F3" s="128"/>
      <c r="G3" s="30"/>
      <c r="H3" s="30"/>
      <c r="I3" s="30"/>
      <c r="J3" s="30"/>
      <c r="K3" s="30"/>
      <c r="L3" s="30"/>
      <c r="M3" s="30"/>
      <c r="N3" s="30"/>
      <c r="O3" s="30"/>
      <c r="P3" s="30"/>
      <c r="Q3" s="30"/>
      <c r="R3" s="30"/>
      <c r="S3" s="30"/>
      <c r="T3" s="30"/>
      <c r="U3" s="30"/>
      <c r="V3" s="30"/>
      <c r="W3" s="30"/>
      <c r="X3" s="30"/>
      <c r="Y3" s="30"/>
      <c r="Z3" s="30"/>
      <c r="AA3" s="30"/>
      <c r="AB3" s="30"/>
    </row>
    <row r="4" spans="2:29" ht="7.5" customHeight="1" thickBot="1" x14ac:dyDescent="0.25">
      <c r="F4" s="3"/>
    </row>
    <row r="5" spans="2:29" ht="15" customHeight="1" thickBot="1" x14ac:dyDescent="0.25">
      <c r="B5" s="31"/>
      <c r="C5" s="438" t="s">
        <v>25</v>
      </c>
      <c r="D5" s="439"/>
      <c r="E5" s="439"/>
      <c r="F5" s="439"/>
      <c r="G5" s="440" t="s">
        <v>33</v>
      </c>
      <c r="H5" s="441"/>
      <c r="I5" s="441"/>
      <c r="J5" s="441"/>
      <c r="K5" s="441"/>
      <c r="L5" s="441"/>
      <c r="M5" s="441"/>
      <c r="N5" s="441"/>
      <c r="O5" s="441"/>
      <c r="P5" s="441"/>
      <c r="Q5" s="441"/>
      <c r="R5" s="442"/>
    </row>
    <row r="6" spans="2:29" s="4" customFormat="1" ht="30" customHeight="1" x14ac:dyDescent="0.2">
      <c r="B6" s="32" t="s">
        <v>16</v>
      </c>
      <c r="C6" s="33" t="s">
        <v>17</v>
      </c>
      <c r="D6" s="34" t="s">
        <v>2</v>
      </c>
      <c r="E6" s="35" t="s">
        <v>3</v>
      </c>
      <c r="F6" s="35" t="s">
        <v>4</v>
      </c>
      <c r="G6" s="36" t="s">
        <v>18</v>
      </c>
      <c r="H6" s="37" t="s">
        <v>19</v>
      </c>
      <c r="I6" s="37"/>
      <c r="J6" s="37"/>
      <c r="K6" s="124"/>
      <c r="L6" s="37" t="s">
        <v>20</v>
      </c>
      <c r="M6" s="37"/>
      <c r="N6" s="37"/>
      <c r="O6" s="37"/>
      <c r="P6" s="37"/>
      <c r="Q6" s="37"/>
      <c r="R6" s="38"/>
    </row>
    <row r="7" spans="2:29" s="4" customFormat="1" ht="30" customHeight="1" thickBot="1" x14ac:dyDescent="0.25">
      <c r="B7" s="123" t="s">
        <v>66</v>
      </c>
      <c r="C7" s="39" t="s">
        <v>21</v>
      </c>
      <c r="D7" s="40" t="s">
        <v>22</v>
      </c>
      <c r="E7" s="41" t="s">
        <v>21</v>
      </c>
      <c r="F7" s="41" t="s">
        <v>22</v>
      </c>
      <c r="G7" s="42"/>
      <c r="H7" s="125" t="s">
        <v>98</v>
      </c>
      <c r="I7" s="125" t="s">
        <v>5</v>
      </c>
      <c r="J7" s="125" t="str">
        <f>IF($F$3="","",IF($F$3="牛乳","搾乳・牛乳処理・運搬","その他の飼育作業"))</f>
        <v/>
      </c>
      <c r="K7" s="125" t="str">
        <f>IF($F$3="","",IF($F$3="牛乳","その他の飼育作業",""))</f>
        <v/>
      </c>
      <c r="L7" s="125" t="str">
        <f>IF($D$3="組織法人経営体","内給飼料の生産","自給飼料の生産")</f>
        <v>自給飼料の生産</v>
      </c>
      <c r="M7" s="125" t="s">
        <v>91</v>
      </c>
      <c r="N7" s="125" t="s">
        <v>92</v>
      </c>
      <c r="O7" s="125" t="s">
        <v>93</v>
      </c>
      <c r="P7" s="125" t="s">
        <v>94</v>
      </c>
      <c r="Q7" s="125" t="s">
        <v>95</v>
      </c>
      <c r="R7" s="126" t="s">
        <v>96</v>
      </c>
    </row>
    <row r="8" spans="2:29" s="4" customFormat="1" ht="10.5" customHeight="1" x14ac:dyDescent="0.2">
      <c r="B8" s="43"/>
      <c r="C8" s="44"/>
      <c r="D8" s="45"/>
      <c r="E8" s="46"/>
      <c r="F8" s="46"/>
      <c r="G8" s="47" t="s">
        <v>0</v>
      </c>
      <c r="H8" s="46" t="s">
        <v>0</v>
      </c>
      <c r="I8" s="46" t="s">
        <v>0</v>
      </c>
      <c r="J8" s="46" t="s">
        <v>0</v>
      </c>
      <c r="K8" s="46" t="s">
        <v>0</v>
      </c>
      <c r="L8" s="46" t="s">
        <v>103</v>
      </c>
      <c r="M8" s="46" t="s">
        <v>0</v>
      </c>
      <c r="N8" s="46" t="s">
        <v>0</v>
      </c>
      <c r="O8" s="46" t="s">
        <v>0</v>
      </c>
      <c r="P8" s="46" t="s">
        <v>0</v>
      </c>
      <c r="Q8" s="46" t="s">
        <v>0</v>
      </c>
      <c r="R8" s="48" t="s">
        <v>0</v>
      </c>
    </row>
    <row r="9" spans="2:29" s="4" customFormat="1" ht="15" customHeight="1" x14ac:dyDescent="0.2">
      <c r="B9" s="49" t="s">
        <v>23</v>
      </c>
      <c r="C9" s="50"/>
      <c r="D9" s="51"/>
      <c r="E9" s="52"/>
      <c r="F9" s="52"/>
      <c r="G9" s="404">
        <f>SUM(H9:R9)</f>
        <v>0</v>
      </c>
      <c r="H9" s="52">
        <f>SUMIFS(日別入力!$AO:$AO,日別入力!$E:$E,$C9,日別入力!$B:$B,$B9,日別入力!$H:$H,$F9,日別入力!$D:$D,H$7)</f>
        <v>0</v>
      </c>
      <c r="I9" s="52">
        <f>SUMIFS(日別入力!$AO:$AO,日別入力!$E:$E,$C9,日別入力!$B:$B,$B9,日別入力!$H:$H,$F9,日別入力!$D:$D,I$7)</f>
        <v>0</v>
      </c>
      <c r="J9" s="52">
        <f>SUMIFS(日別入力!$AO:$AO,日別入力!$E:$E,$C9,日別入力!$B:$B,$B9,日別入力!$H:$H,$F9,日別入力!$D:$D,J$7)</f>
        <v>0</v>
      </c>
      <c r="K9" s="52">
        <f>SUMIFS(日別入力!$AO:$AO,日別入力!$E:$E,$C9,日別入力!$B:$B,$B9,日別入力!$H:$H,$F9,日別入力!$D:$D,K$7)</f>
        <v>0</v>
      </c>
      <c r="L9" s="55">
        <f>SUMIFS(日別入力!$AO:$AO,日別入力!$E:$E,$C9,日別入力!$B:$B,$B9,日別入力!$H:$H,$F9,日別入力!$D:$D,L$7)</f>
        <v>0</v>
      </c>
      <c r="M9" s="52">
        <f>SUMIFS(日別入力!$AO:$AO,日別入力!$E:$E,$C9,日別入力!$B:$B,$B9,日別入力!$H:$H,$F9,日別入力!$D:$D,M$7)</f>
        <v>0</v>
      </c>
      <c r="N9" s="52">
        <f>SUMIFS(日別入力!$AO:$AO,日別入力!$E:$E,$C9,日別入力!$B:$B,$B9,日別入力!$H:$H,$F9,日別入力!$D:$D,N$7)</f>
        <v>0</v>
      </c>
      <c r="O9" s="52">
        <f>SUMIFS(日別入力!$AO:$AO,日別入力!$E:$E,$C9,日別入力!$B:$B,$B9,日別入力!$H:$H,$F9,日別入力!$D:$D,O$7)</f>
        <v>0</v>
      </c>
      <c r="P9" s="52">
        <f>SUMIFS(日別入力!$AO:$AO,日別入力!$E:$E,$C9,日別入力!$B:$B,$B9,日別入力!$H:$H,$F9,日別入力!$D:$D,P$7)</f>
        <v>0</v>
      </c>
      <c r="Q9" s="52">
        <f>SUMIFS(日別入力!$AO:$AO,日別入力!$E:$E,$C9,日別入力!$B:$B,$B9,日別入力!$H:$H,$F9,日別入力!$D:$D,Q$7)</f>
        <v>0</v>
      </c>
      <c r="R9" s="405">
        <f>SUMIFS(日別入力!$AO:$AO,日別入力!$E:$E,$C9,日別入力!$B:$B,$B9,日別入力!$H:$H,$F9,日別入力!$D:$D,R$7)</f>
        <v>0</v>
      </c>
    </row>
    <row r="10" spans="2:29" s="4" customFormat="1" ht="15" customHeight="1" x14ac:dyDescent="0.2">
      <c r="B10" s="53" t="str">
        <f>B$9</f>
        <v>&lt;=12</v>
      </c>
      <c r="C10" s="54"/>
      <c r="D10" s="51"/>
      <c r="E10" s="55"/>
      <c r="F10" s="52"/>
      <c r="G10" s="406">
        <f t="shared" ref="G10:G73" si="0">SUM(H10:R10)</f>
        <v>0</v>
      </c>
      <c r="H10" s="55">
        <f>SUMIFS(日別入力!$AO:$AO,日別入力!$E:$E,$C10,日別入力!$B:$B,$B10,日別入力!$H:$H,$F10,日別入力!$D:$D,H$7)</f>
        <v>0</v>
      </c>
      <c r="I10" s="55">
        <f>SUMIFS(日別入力!$AO:$AO,日別入力!$E:$E,$C10,日別入力!$B:$B,$B10,日別入力!$H:$H,$F10,日別入力!$D:$D,I$7)</f>
        <v>0</v>
      </c>
      <c r="J10" s="55">
        <f>SUMIFS(日別入力!$AO:$AO,日別入力!$E:$E,$C10,日別入力!$B:$B,$B10,日別入力!$H:$H,$F10,日別入力!$D:$D,J$7)</f>
        <v>0</v>
      </c>
      <c r="K10" s="55">
        <f>SUMIFS(日別入力!$AO:$AO,日別入力!$E:$E,$C10,日別入力!$B:$B,$B10,日別入力!$H:$H,$F10,日別入力!$D:$D,K$7)</f>
        <v>0</v>
      </c>
      <c r="L10" s="55">
        <f>SUMIFS(日別入力!$AO:$AO,日別入力!$E:$E,$C10,日別入力!$B:$B,$B10,日別入力!$H:$H,$F10,日別入力!$D:$D,L$7)</f>
        <v>0</v>
      </c>
      <c r="M10" s="55">
        <f>SUMIFS(日別入力!$AO:$AO,日別入力!$E:$E,$C10,日別入力!$B:$B,$B10,日別入力!$H:$H,$F10,日別入力!$D:$D,M$7)</f>
        <v>0</v>
      </c>
      <c r="N10" s="55">
        <f>SUMIFS(日別入力!$AO:$AO,日別入力!$E:$E,$C10,日別入力!$B:$B,$B10,日別入力!$H:$H,$F10,日別入力!$D:$D,N$7)</f>
        <v>0</v>
      </c>
      <c r="O10" s="55">
        <f>SUMIFS(日別入力!$AO:$AO,日別入力!$E:$E,$C10,日別入力!$B:$B,$B10,日別入力!$H:$H,$F10,日別入力!$D:$D,O$7)</f>
        <v>0</v>
      </c>
      <c r="P10" s="55">
        <f>SUMIFS(日別入力!$AO:$AO,日別入力!$E:$E,$C10,日別入力!$B:$B,$B10,日別入力!$H:$H,$F10,日別入力!$D:$D,P$7)</f>
        <v>0</v>
      </c>
      <c r="Q10" s="55">
        <f>SUMIFS(日別入力!$AO:$AO,日別入力!$E:$E,$C10,日別入力!$B:$B,$B10,日別入力!$H:$H,$F10,日別入力!$D:$D,Q$7)</f>
        <v>0</v>
      </c>
      <c r="R10" s="407">
        <f>SUMIFS(日別入力!$AO:$AO,日別入力!$E:$E,$C10,日別入力!$B:$B,$B10,日別入力!$H:$H,$F10,日別入力!$D:$D,R$7)</f>
        <v>0</v>
      </c>
    </row>
    <row r="11" spans="2:29" s="4" customFormat="1" ht="15" customHeight="1" x14ac:dyDescent="0.2">
      <c r="B11" s="53" t="str">
        <f t="shared" ref="A11:B37" si="1">B$9</f>
        <v>&lt;=12</v>
      </c>
      <c r="C11" s="54"/>
      <c r="D11" s="51"/>
      <c r="E11" s="55"/>
      <c r="F11" s="52"/>
      <c r="G11" s="406">
        <f t="shared" ref="G11:G48" si="2">SUM(H11:R11)</f>
        <v>0</v>
      </c>
      <c r="H11" s="55">
        <f>SUMIFS(日別入力!$AO:$AO,日別入力!$E:$E,$C11,日別入力!$B:$B,$B11,日別入力!$H:$H,$F11,日別入力!$D:$D,H$7)</f>
        <v>0</v>
      </c>
      <c r="I11" s="55">
        <f>SUMIFS(日別入力!$AO:$AO,日別入力!$E:$E,$C11,日別入力!$B:$B,$B11,日別入力!$H:$H,$F11,日別入力!$D:$D,I$7)</f>
        <v>0</v>
      </c>
      <c r="J11" s="55">
        <f>SUMIFS(日別入力!$AO:$AO,日別入力!$E:$E,$C11,日別入力!$B:$B,$B11,日別入力!$H:$H,$F11,日別入力!$D:$D,J$7)</f>
        <v>0</v>
      </c>
      <c r="K11" s="55">
        <f>SUMIFS(日別入力!$AO:$AO,日別入力!$E:$E,$C11,日別入力!$B:$B,$B11,日別入力!$H:$H,$F11,日別入力!$D:$D,K$7)</f>
        <v>0</v>
      </c>
      <c r="L11" s="55">
        <f>SUMIFS(日別入力!$AO:$AO,日別入力!$E:$E,$C11,日別入力!$B:$B,$B11,日別入力!$H:$H,$F11,日別入力!$D:$D,L$7)</f>
        <v>0</v>
      </c>
      <c r="M11" s="55">
        <f>SUMIFS(日別入力!$AO:$AO,日別入力!$E:$E,$C11,日別入力!$B:$B,$B11,日別入力!$H:$H,$F11,日別入力!$D:$D,M$7)</f>
        <v>0</v>
      </c>
      <c r="N11" s="55">
        <f>SUMIFS(日別入力!$AO:$AO,日別入力!$E:$E,$C11,日別入力!$B:$B,$B11,日別入力!$H:$H,$F11,日別入力!$D:$D,N$7)</f>
        <v>0</v>
      </c>
      <c r="O11" s="55">
        <f>SUMIFS(日別入力!$AO:$AO,日別入力!$E:$E,$C11,日別入力!$B:$B,$B11,日別入力!$H:$H,$F11,日別入力!$D:$D,O$7)</f>
        <v>0</v>
      </c>
      <c r="P11" s="55">
        <f>SUMIFS(日別入力!$AO:$AO,日別入力!$E:$E,$C11,日別入力!$B:$B,$B11,日別入力!$H:$H,$F11,日別入力!$D:$D,P$7)</f>
        <v>0</v>
      </c>
      <c r="Q11" s="55">
        <f>SUMIFS(日別入力!$AO:$AO,日別入力!$E:$E,$C11,日別入力!$B:$B,$B11,日別入力!$H:$H,$F11,日別入力!$D:$D,Q$7)</f>
        <v>0</v>
      </c>
      <c r="R11" s="407">
        <f>SUMIFS(日別入力!$AO:$AO,日別入力!$E:$E,$C11,日別入力!$B:$B,$B11,日別入力!$H:$H,$F11,日別入力!$D:$D,R$7)</f>
        <v>0</v>
      </c>
    </row>
    <row r="12" spans="2:29" s="4" customFormat="1" ht="15" customHeight="1" x14ac:dyDescent="0.2">
      <c r="B12" s="53" t="str">
        <f t="shared" si="1"/>
        <v>&lt;=12</v>
      </c>
      <c r="C12" s="54"/>
      <c r="D12" s="51"/>
      <c r="E12" s="55"/>
      <c r="F12" s="52"/>
      <c r="G12" s="406">
        <f t="shared" si="2"/>
        <v>0</v>
      </c>
      <c r="H12" s="55">
        <f>SUMIFS(日別入力!$AO:$AO,日別入力!$E:$E,$C12,日別入力!$B:$B,$B12,日別入力!$H:$H,$F12,日別入力!$D:$D,H$7)</f>
        <v>0</v>
      </c>
      <c r="I12" s="55">
        <f>SUMIFS(日別入力!$AO:$AO,日別入力!$E:$E,$C12,日別入力!$B:$B,$B12,日別入力!$H:$H,$F12,日別入力!$D:$D,I$7)</f>
        <v>0</v>
      </c>
      <c r="J12" s="55">
        <f>SUMIFS(日別入力!$AO:$AO,日別入力!$E:$E,$C12,日別入力!$B:$B,$B12,日別入力!$H:$H,$F12,日別入力!$D:$D,J$7)</f>
        <v>0</v>
      </c>
      <c r="K12" s="55">
        <f>SUMIFS(日別入力!$AO:$AO,日別入力!$E:$E,$C12,日別入力!$B:$B,$B12,日別入力!$H:$H,$F12,日別入力!$D:$D,K$7)</f>
        <v>0</v>
      </c>
      <c r="L12" s="55">
        <f>SUMIFS(日別入力!$AO:$AO,日別入力!$E:$E,$C12,日別入力!$B:$B,$B12,日別入力!$H:$H,$F12,日別入力!$D:$D,L$7)</f>
        <v>0</v>
      </c>
      <c r="M12" s="55">
        <f>SUMIFS(日別入力!$AO:$AO,日別入力!$E:$E,$C12,日別入力!$B:$B,$B12,日別入力!$H:$H,$F12,日別入力!$D:$D,M$7)</f>
        <v>0</v>
      </c>
      <c r="N12" s="55">
        <f>SUMIFS(日別入力!$AO:$AO,日別入力!$E:$E,$C12,日別入力!$B:$B,$B12,日別入力!$H:$H,$F12,日別入力!$D:$D,N$7)</f>
        <v>0</v>
      </c>
      <c r="O12" s="55">
        <f>SUMIFS(日別入力!$AO:$AO,日別入力!$E:$E,$C12,日別入力!$B:$B,$B12,日別入力!$H:$H,$F12,日別入力!$D:$D,O$7)</f>
        <v>0</v>
      </c>
      <c r="P12" s="55">
        <f>SUMIFS(日別入力!$AO:$AO,日別入力!$E:$E,$C12,日別入力!$B:$B,$B12,日別入力!$H:$H,$F12,日別入力!$D:$D,P$7)</f>
        <v>0</v>
      </c>
      <c r="Q12" s="55">
        <f>SUMIFS(日別入力!$AO:$AO,日別入力!$E:$E,$C12,日別入力!$B:$B,$B12,日別入力!$H:$H,$F12,日別入力!$D:$D,Q$7)</f>
        <v>0</v>
      </c>
      <c r="R12" s="407">
        <f>SUMIFS(日別入力!$AO:$AO,日別入力!$E:$E,$C12,日別入力!$B:$B,$B12,日別入力!$H:$H,$F12,日別入力!$D:$D,R$7)</f>
        <v>0</v>
      </c>
    </row>
    <row r="13" spans="2:29" s="4" customFormat="1" ht="15" customHeight="1" x14ac:dyDescent="0.2">
      <c r="B13" s="53" t="str">
        <f t="shared" si="1"/>
        <v>&lt;=12</v>
      </c>
      <c r="C13" s="54"/>
      <c r="D13" s="51"/>
      <c r="E13" s="55"/>
      <c r="F13" s="52"/>
      <c r="G13" s="406">
        <f t="shared" si="2"/>
        <v>0</v>
      </c>
      <c r="H13" s="55">
        <f>SUMIFS(日別入力!$AO:$AO,日別入力!$E:$E,$C13,日別入力!$B:$B,$B13,日別入力!$H:$H,$F13,日別入力!$D:$D,H$7)</f>
        <v>0</v>
      </c>
      <c r="I13" s="55">
        <f>SUMIFS(日別入力!$AO:$AO,日別入力!$E:$E,$C13,日別入力!$B:$B,$B13,日別入力!$H:$H,$F13,日別入力!$D:$D,I$7)</f>
        <v>0</v>
      </c>
      <c r="J13" s="55">
        <f>SUMIFS(日別入力!$AO:$AO,日別入力!$E:$E,$C13,日別入力!$B:$B,$B13,日別入力!$H:$H,$F13,日別入力!$D:$D,J$7)</f>
        <v>0</v>
      </c>
      <c r="K13" s="55">
        <f>SUMIFS(日別入力!$AO:$AO,日別入力!$E:$E,$C13,日別入力!$B:$B,$B13,日別入力!$H:$H,$F13,日別入力!$D:$D,K$7)</f>
        <v>0</v>
      </c>
      <c r="L13" s="55">
        <f>SUMIFS(日別入力!$AO:$AO,日別入力!$E:$E,$C13,日別入力!$B:$B,$B13,日別入力!$H:$H,$F13,日別入力!$D:$D,L$7)</f>
        <v>0</v>
      </c>
      <c r="M13" s="55">
        <f>SUMIFS(日別入力!$AO:$AO,日別入力!$E:$E,$C13,日別入力!$B:$B,$B13,日別入力!$H:$H,$F13,日別入力!$D:$D,M$7)</f>
        <v>0</v>
      </c>
      <c r="N13" s="55">
        <f>SUMIFS(日別入力!$AO:$AO,日別入力!$E:$E,$C13,日別入力!$B:$B,$B13,日別入力!$H:$H,$F13,日別入力!$D:$D,N$7)</f>
        <v>0</v>
      </c>
      <c r="O13" s="55">
        <f>SUMIFS(日別入力!$AO:$AO,日別入力!$E:$E,$C13,日別入力!$B:$B,$B13,日別入力!$H:$H,$F13,日別入力!$D:$D,O$7)</f>
        <v>0</v>
      </c>
      <c r="P13" s="55">
        <f>SUMIFS(日別入力!$AO:$AO,日別入力!$E:$E,$C13,日別入力!$B:$B,$B13,日別入力!$H:$H,$F13,日別入力!$D:$D,P$7)</f>
        <v>0</v>
      </c>
      <c r="Q13" s="55">
        <f>SUMIFS(日別入力!$AO:$AO,日別入力!$E:$E,$C13,日別入力!$B:$B,$B13,日別入力!$H:$H,$F13,日別入力!$D:$D,Q$7)</f>
        <v>0</v>
      </c>
      <c r="R13" s="407">
        <f>SUMIFS(日別入力!$AO:$AO,日別入力!$E:$E,$C13,日別入力!$B:$B,$B13,日別入力!$H:$H,$F13,日別入力!$D:$D,R$7)</f>
        <v>0</v>
      </c>
    </row>
    <row r="14" spans="2:29" s="4" customFormat="1" ht="15" customHeight="1" x14ac:dyDescent="0.2">
      <c r="B14" s="56" t="str">
        <f t="shared" si="1"/>
        <v>&lt;=12</v>
      </c>
      <c r="C14" s="57"/>
      <c r="D14" s="58"/>
      <c r="E14" s="55"/>
      <c r="F14" s="52"/>
      <c r="G14" s="406">
        <f t="shared" si="2"/>
        <v>0</v>
      </c>
      <c r="H14" s="55">
        <f>SUMIFS(日別入力!$AO:$AO,日別入力!$E:$E,$C14,日別入力!$B:$B,$B14,日別入力!$H:$H,$F14,日別入力!$D:$D,H$7)</f>
        <v>0</v>
      </c>
      <c r="I14" s="55">
        <f>SUMIFS(日別入力!$AO:$AO,日別入力!$E:$E,$C14,日別入力!$B:$B,$B14,日別入力!$H:$H,$F14,日別入力!$D:$D,I$7)</f>
        <v>0</v>
      </c>
      <c r="J14" s="55">
        <f>SUMIFS(日別入力!$AO:$AO,日別入力!$E:$E,$C14,日別入力!$B:$B,$B14,日別入力!$H:$H,$F14,日別入力!$D:$D,J$7)</f>
        <v>0</v>
      </c>
      <c r="K14" s="55">
        <f>SUMIFS(日別入力!$AO:$AO,日別入力!$E:$E,$C14,日別入力!$B:$B,$B14,日別入力!$H:$H,$F14,日別入力!$D:$D,K$7)</f>
        <v>0</v>
      </c>
      <c r="L14" s="55">
        <f>SUMIFS(日別入力!$AO:$AO,日別入力!$E:$E,$C14,日別入力!$B:$B,$B14,日別入力!$H:$H,$F14,日別入力!$D:$D,L$7)</f>
        <v>0</v>
      </c>
      <c r="M14" s="55">
        <f>SUMIFS(日別入力!$AO:$AO,日別入力!$E:$E,$C14,日別入力!$B:$B,$B14,日別入力!$H:$H,$F14,日別入力!$D:$D,M$7)</f>
        <v>0</v>
      </c>
      <c r="N14" s="55">
        <f>SUMIFS(日別入力!$AO:$AO,日別入力!$E:$E,$C14,日別入力!$B:$B,$B14,日別入力!$H:$H,$F14,日別入力!$D:$D,N$7)</f>
        <v>0</v>
      </c>
      <c r="O14" s="55">
        <f>SUMIFS(日別入力!$AO:$AO,日別入力!$E:$E,$C14,日別入力!$B:$B,$B14,日別入力!$H:$H,$F14,日別入力!$D:$D,O$7)</f>
        <v>0</v>
      </c>
      <c r="P14" s="55">
        <f>SUMIFS(日別入力!$AO:$AO,日別入力!$E:$E,$C14,日別入力!$B:$B,$B14,日別入力!$H:$H,$F14,日別入力!$D:$D,P$7)</f>
        <v>0</v>
      </c>
      <c r="Q14" s="55">
        <f>SUMIFS(日別入力!$AO:$AO,日別入力!$E:$E,$C14,日別入力!$B:$B,$B14,日別入力!$H:$H,$F14,日別入力!$D:$D,Q$7)</f>
        <v>0</v>
      </c>
      <c r="R14" s="407">
        <f>SUMIFS(日別入力!$AO:$AO,日別入力!$E:$E,$C14,日別入力!$B:$B,$B14,日別入力!$H:$H,$F14,日別入力!$D:$D,R$7)</f>
        <v>0</v>
      </c>
    </row>
    <row r="15" spans="2:29" s="4" customFormat="1" ht="15" customHeight="1" x14ac:dyDescent="0.2">
      <c r="B15" s="56" t="str">
        <f t="shared" si="1"/>
        <v>&lt;=12</v>
      </c>
      <c r="C15" s="57"/>
      <c r="D15" s="58"/>
      <c r="E15" s="55"/>
      <c r="F15" s="59"/>
      <c r="G15" s="406">
        <f t="shared" si="2"/>
        <v>0</v>
      </c>
      <c r="H15" s="55">
        <f>SUMIFS(日別入力!$AO:$AO,日別入力!$E:$E,$C15,日別入力!$B:$B,$B15,日別入力!$H:$H,$F15,日別入力!$D:$D,H$7)</f>
        <v>0</v>
      </c>
      <c r="I15" s="55">
        <f>SUMIFS(日別入力!$AO:$AO,日別入力!$E:$E,$C15,日別入力!$B:$B,$B15,日別入力!$H:$H,$F15,日別入力!$D:$D,I$7)</f>
        <v>0</v>
      </c>
      <c r="J15" s="55">
        <f>SUMIFS(日別入力!$AO:$AO,日別入力!$E:$E,$C15,日別入力!$B:$B,$B15,日別入力!$H:$H,$F15,日別入力!$D:$D,J$7)</f>
        <v>0</v>
      </c>
      <c r="K15" s="55">
        <f>SUMIFS(日別入力!$AO:$AO,日別入力!$E:$E,$C15,日別入力!$B:$B,$B15,日別入力!$H:$H,$F15,日別入力!$D:$D,K$7)</f>
        <v>0</v>
      </c>
      <c r="L15" s="55">
        <f>SUMIFS(日別入力!$AO:$AO,日別入力!$E:$E,$C15,日別入力!$B:$B,$B15,日別入力!$H:$H,$F15,日別入力!$D:$D,L$7)</f>
        <v>0</v>
      </c>
      <c r="M15" s="55">
        <f>SUMIFS(日別入力!$AO:$AO,日別入力!$E:$E,$C15,日別入力!$B:$B,$B15,日別入力!$H:$H,$F15,日別入力!$D:$D,M$7)</f>
        <v>0</v>
      </c>
      <c r="N15" s="55">
        <f>SUMIFS(日別入力!$AO:$AO,日別入力!$E:$E,$C15,日別入力!$B:$B,$B15,日別入力!$H:$H,$F15,日別入力!$D:$D,N$7)</f>
        <v>0</v>
      </c>
      <c r="O15" s="55">
        <f>SUMIFS(日別入力!$AO:$AO,日別入力!$E:$E,$C15,日別入力!$B:$B,$B15,日別入力!$H:$H,$F15,日別入力!$D:$D,O$7)</f>
        <v>0</v>
      </c>
      <c r="P15" s="55">
        <f>SUMIFS(日別入力!$AO:$AO,日別入力!$E:$E,$C15,日別入力!$B:$B,$B15,日別入力!$H:$H,$F15,日別入力!$D:$D,P$7)</f>
        <v>0</v>
      </c>
      <c r="Q15" s="55">
        <f>SUMIFS(日別入力!$AO:$AO,日別入力!$E:$E,$C15,日別入力!$B:$B,$B15,日別入力!$H:$H,$F15,日別入力!$D:$D,Q$7)</f>
        <v>0</v>
      </c>
      <c r="R15" s="407">
        <f>SUMIFS(日別入力!$AO:$AO,日別入力!$E:$E,$C15,日別入力!$B:$B,$B15,日別入力!$H:$H,$F15,日別入力!$D:$D,R$7)</f>
        <v>0</v>
      </c>
    </row>
    <row r="16" spans="2:29" s="4" customFormat="1" ht="15" customHeight="1" x14ac:dyDescent="0.2">
      <c r="B16" s="56" t="str">
        <f t="shared" si="1"/>
        <v>&lt;=12</v>
      </c>
      <c r="C16" s="57"/>
      <c r="D16" s="58"/>
      <c r="E16" s="55"/>
      <c r="F16" s="59"/>
      <c r="G16" s="406">
        <f t="shared" si="2"/>
        <v>0</v>
      </c>
      <c r="H16" s="55">
        <f>SUMIFS(日別入力!$AO:$AO,日別入力!$E:$E,$C16,日別入力!$B:$B,$B16,日別入力!$H:$H,$F16,日別入力!$D:$D,H$7)</f>
        <v>0</v>
      </c>
      <c r="I16" s="55">
        <f>SUMIFS(日別入力!$AO:$AO,日別入力!$E:$E,$C16,日別入力!$B:$B,$B16,日別入力!$H:$H,$F16,日別入力!$D:$D,I$7)</f>
        <v>0</v>
      </c>
      <c r="J16" s="55">
        <f>SUMIFS(日別入力!$AO:$AO,日別入力!$E:$E,$C16,日別入力!$B:$B,$B16,日別入力!$H:$H,$F16,日別入力!$D:$D,J$7)</f>
        <v>0</v>
      </c>
      <c r="K16" s="55">
        <f>SUMIFS(日別入力!$AO:$AO,日別入力!$E:$E,$C16,日別入力!$B:$B,$B16,日別入力!$H:$H,$F16,日別入力!$D:$D,K$7)</f>
        <v>0</v>
      </c>
      <c r="L16" s="55">
        <f>SUMIFS(日別入力!$AO:$AO,日別入力!$E:$E,$C16,日別入力!$B:$B,$B16,日別入力!$H:$H,$F16,日別入力!$D:$D,L$7)</f>
        <v>0</v>
      </c>
      <c r="M16" s="55">
        <f>SUMIFS(日別入力!$AO:$AO,日別入力!$E:$E,$C16,日別入力!$B:$B,$B16,日別入力!$H:$H,$F16,日別入力!$D:$D,M$7)</f>
        <v>0</v>
      </c>
      <c r="N16" s="55">
        <f>SUMIFS(日別入力!$AO:$AO,日別入力!$E:$E,$C16,日別入力!$B:$B,$B16,日別入力!$H:$H,$F16,日別入力!$D:$D,N$7)</f>
        <v>0</v>
      </c>
      <c r="O16" s="55">
        <f>SUMIFS(日別入力!$AO:$AO,日別入力!$E:$E,$C16,日別入力!$B:$B,$B16,日別入力!$H:$H,$F16,日別入力!$D:$D,O$7)</f>
        <v>0</v>
      </c>
      <c r="P16" s="55">
        <f>SUMIFS(日別入力!$AO:$AO,日別入力!$E:$E,$C16,日別入力!$B:$B,$B16,日別入力!$H:$H,$F16,日別入力!$D:$D,P$7)</f>
        <v>0</v>
      </c>
      <c r="Q16" s="55">
        <f>SUMIFS(日別入力!$AO:$AO,日別入力!$E:$E,$C16,日別入力!$B:$B,$B16,日別入力!$H:$H,$F16,日別入力!$D:$D,Q$7)</f>
        <v>0</v>
      </c>
      <c r="R16" s="407">
        <f>SUMIFS(日別入力!$AO:$AO,日別入力!$E:$E,$C16,日別入力!$B:$B,$B16,日別入力!$H:$H,$F16,日別入力!$D:$D,R$7)</f>
        <v>0</v>
      </c>
    </row>
    <row r="17" spans="2:18" s="4" customFormat="1" ht="15" customHeight="1" x14ac:dyDescent="0.2">
      <c r="B17" s="56" t="str">
        <f t="shared" si="1"/>
        <v>&lt;=12</v>
      </c>
      <c r="C17" s="57"/>
      <c r="D17" s="58"/>
      <c r="E17" s="55"/>
      <c r="F17" s="59"/>
      <c r="G17" s="406">
        <f t="shared" si="2"/>
        <v>0</v>
      </c>
      <c r="H17" s="55">
        <f>SUMIFS(日別入力!$AO:$AO,日別入力!$E:$E,$C17,日別入力!$B:$B,$B17,日別入力!$H:$H,$F17,日別入力!$D:$D,H$7)</f>
        <v>0</v>
      </c>
      <c r="I17" s="55">
        <f>SUMIFS(日別入力!$AO:$AO,日別入力!$E:$E,$C17,日別入力!$B:$B,$B17,日別入力!$H:$H,$F17,日別入力!$D:$D,I$7)</f>
        <v>0</v>
      </c>
      <c r="J17" s="55">
        <f>SUMIFS(日別入力!$AO:$AO,日別入力!$E:$E,$C17,日別入力!$B:$B,$B17,日別入力!$H:$H,$F17,日別入力!$D:$D,J$7)</f>
        <v>0</v>
      </c>
      <c r="K17" s="55">
        <f>SUMIFS(日別入力!$AO:$AO,日別入力!$E:$E,$C17,日別入力!$B:$B,$B17,日別入力!$H:$H,$F17,日別入力!$D:$D,K$7)</f>
        <v>0</v>
      </c>
      <c r="L17" s="55">
        <f>SUMIFS(日別入力!$AO:$AO,日別入力!$E:$E,$C17,日別入力!$B:$B,$B17,日別入力!$H:$H,$F17,日別入力!$D:$D,L$7)</f>
        <v>0</v>
      </c>
      <c r="M17" s="55">
        <f>SUMIFS(日別入力!$AO:$AO,日別入力!$E:$E,$C17,日別入力!$B:$B,$B17,日別入力!$H:$H,$F17,日別入力!$D:$D,M$7)</f>
        <v>0</v>
      </c>
      <c r="N17" s="55">
        <f>SUMIFS(日別入力!$AO:$AO,日別入力!$E:$E,$C17,日別入力!$B:$B,$B17,日別入力!$H:$H,$F17,日別入力!$D:$D,N$7)</f>
        <v>0</v>
      </c>
      <c r="O17" s="55">
        <f>SUMIFS(日別入力!$AO:$AO,日別入力!$E:$E,$C17,日別入力!$B:$B,$B17,日別入力!$H:$H,$F17,日別入力!$D:$D,O$7)</f>
        <v>0</v>
      </c>
      <c r="P17" s="55">
        <f>SUMIFS(日別入力!$AO:$AO,日別入力!$E:$E,$C17,日別入力!$B:$B,$B17,日別入力!$H:$H,$F17,日別入力!$D:$D,P$7)</f>
        <v>0</v>
      </c>
      <c r="Q17" s="55">
        <f>SUMIFS(日別入力!$AO:$AO,日別入力!$E:$E,$C17,日別入力!$B:$B,$B17,日別入力!$H:$H,$F17,日別入力!$D:$D,Q$7)</f>
        <v>0</v>
      </c>
      <c r="R17" s="407">
        <f>SUMIFS(日別入力!$AO:$AO,日別入力!$E:$E,$C17,日別入力!$B:$B,$B17,日別入力!$H:$H,$F17,日別入力!$D:$D,R$7)</f>
        <v>0</v>
      </c>
    </row>
    <row r="18" spans="2:18" s="4" customFormat="1" ht="15" customHeight="1" x14ac:dyDescent="0.2">
      <c r="B18" s="56" t="str">
        <f t="shared" si="1"/>
        <v>&lt;=12</v>
      </c>
      <c r="C18" s="57"/>
      <c r="D18" s="58"/>
      <c r="E18" s="55"/>
      <c r="F18" s="59"/>
      <c r="G18" s="406">
        <f t="shared" si="2"/>
        <v>0</v>
      </c>
      <c r="H18" s="55">
        <f>SUMIFS(日別入力!$AO:$AO,日別入力!$E:$E,$C18,日別入力!$B:$B,$B18,日別入力!$H:$H,$F18,日別入力!$D:$D,H$7)</f>
        <v>0</v>
      </c>
      <c r="I18" s="55">
        <f>SUMIFS(日別入力!$AO:$AO,日別入力!$E:$E,$C18,日別入力!$B:$B,$B18,日別入力!$H:$H,$F18,日別入力!$D:$D,I$7)</f>
        <v>0</v>
      </c>
      <c r="J18" s="55">
        <f>SUMIFS(日別入力!$AO:$AO,日別入力!$E:$E,$C18,日別入力!$B:$B,$B18,日別入力!$H:$H,$F18,日別入力!$D:$D,J$7)</f>
        <v>0</v>
      </c>
      <c r="K18" s="55">
        <f>SUMIFS(日別入力!$AO:$AO,日別入力!$E:$E,$C18,日別入力!$B:$B,$B18,日別入力!$H:$H,$F18,日別入力!$D:$D,K$7)</f>
        <v>0</v>
      </c>
      <c r="L18" s="55">
        <f>SUMIFS(日別入力!$AO:$AO,日別入力!$E:$E,$C18,日別入力!$B:$B,$B18,日別入力!$H:$H,$F18,日別入力!$D:$D,L$7)</f>
        <v>0</v>
      </c>
      <c r="M18" s="55">
        <f>SUMIFS(日別入力!$AO:$AO,日別入力!$E:$E,$C18,日別入力!$B:$B,$B18,日別入力!$H:$H,$F18,日別入力!$D:$D,M$7)</f>
        <v>0</v>
      </c>
      <c r="N18" s="55">
        <f>SUMIFS(日別入力!$AO:$AO,日別入力!$E:$E,$C18,日別入力!$B:$B,$B18,日別入力!$H:$H,$F18,日別入力!$D:$D,N$7)</f>
        <v>0</v>
      </c>
      <c r="O18" s="55">
        <f>SUMIFS(日別入力!$AO:$AO,日別入力!$E:$E,$C18,日別入力!$B:$B,$B18,日別入力!$H:$H,$F18,日別入力!$D:$D,O$7)</f>
        <v>0</v>
      </c>
      <c r="P18" s="55">
        <f>SUMIFS(日別入力!$AO:$AO,日別入力!$E:$E,$C18,日別入力!$B:$B,$B18,日別入力!$H:$H,$F18,日別入力!$D:$D,P$7)</f>
        <v>0</v>
      </c>
      <c r="Q18" s="55">
        <f>SUMIFS(日別入力!$AO:$AO,日別入力!$E:$E,$C18,日別入力!$B:$B,$B18,日別入力!$H:$H,$F18,日別入力!$D:$D,Q$7)</f>
        <v>0</v>
      </c>
      <c r="R18" s="407">
        <f>SUMIFS(日別入力!$AO:$AO,日別入力!$E:$E,$C18,日別入力!$B:$B,$B18,日別入力!$H:$H,$F18,日別入力!$D:$D,R$7)</f>
        <v>0</v>
      </c>
    </row>
    <row r="19" spans="2:18" s="4" customFormat="1" ht="15" customHeight="1" x14ac:dyDescent="0.2">
      <c r="B19" s="56" t="str">
        <f t="shared" si="1"/>
        <v>&lt;=12</v>
      </c>
      <c r="C19" s="57"/>
      <c r="D19" s="58"/>
      <c r="E19" s="55"/>
      <c r="F19" s="59"/>
      <c r="G19" s="406">
        <f t="shared" si="2"/>
        <v>0</v>
      </c>
      <c r="H19" s="55">
        <f>SUMIFS(日別入力!$AO:$AO,日別入力!$E:$E,$C19,日別入力!$B:$B,$B19,日別入力!$H:$H,$F19,日別入力!$D:$D,H$7)</f>
        <v>0</v>
      </c>
      <c r="I19" s="55">
        <f>SUMIFS(日別入力!$AO:$AO,日別入力!$E:$E,$C19,日別入力!$B:$B,$B19,日別入力!$H:$H,$F19,日別入力!$D:$D,I$7)</f>
        <v>0</v>
      </c>
      <c r="J19" s="55">
        <f>SUMIFS(日別入力!$AO:$AO,日別入力!$E:$E,$C19,日別入力!$B:$B,$B19,日別入力!$H:$H,$F19,日別入力!$D:$D,J$7)</f>
        <v>0</v>
      </c>
      <c r="K19" s="55">
        <f>SUMIFS(日別入力!$AO:$AO,日別入力!$E:$E,$C19,日別入力!$B:$B,$B19,日別入力!$H:$H,$F19,日別入力!$D:$D,K$7)</f>
        <v>0</v>
      </c>
      <c r="L19" s="55">
        <f>SUMIFS(日別入力!$AO:$AO,日別入力!$E:$E,$C19,日別入力!$B:$B,$B19,日別入力!$H:$H,$F19,日別入力!$D:$D,L$7)</f>
        <v>0</v>
      </c>
      <c r="M19" s="55">
        <f>SUMIFS(日別入力!$AO:$AO,日別入力!$E:$E,$C19,日別入力!$B:$B,$B19,日別入力!$H:$H,$F19,日別入力!$D:$D,M$7)</f>
        <v>0</v>
      </c>
      <c r="N19" s="55">
        <f>SUMIFS(日別入力!$AO:$AO,日別入力!$E:$E,$C19,日別入力!$B:$B,$B19,日別入力!$H:$H,$F19,日別入力!$D:$D,N$7)</f>
        <v>0</v>
      </c>
      <c r="O19" s="55">
        <f>SUMIFS(日別入力!$AO:$AO,日別入力!$E:$E,$C19,日別入力!$B:$B,$B19,日別入力!$H:$H,$F19,日別入力!$D:$D,O$7)</f>
        <v>0</v>
      </c>
      <c r="P19" s="55">
        <f>SUMIFS(日別入力!$AO:$AO,日別入力!$E:$E,$C19,日別入力!$B:$B,$B19,日別入力!$H:$H,$F19,日別入力!$D:$D,P$7)</f>
        <v>0</v>
      </c>
      <c r="Q19" s="55">
        <f>SUMIFS(日別入力!$AO:$AO,日別入力!$E:$E,$C19,日別入力!$B:$B,$B19,日別入力!$H:$H,$F19,日別入力!$D:$D,Q$7)</f>
        <v>0</v>
      </c>
      <c r="R19" s="407">
        <f>SUMIFS(日別入力!$AO:$AO,日別入力!$E:$E,$C19,日別入力!$B:$B,$B19,日別入力!$H:$H,$F19,日別入力!$D:$D,R$7)</f>
        <v>0</v>
      </c>
    </row>
    <row r="20" spans="2:18" s="4" customFormat="1" ht="15" customHeight="1" x14ac:dyDescent="0.2">
      <c r="B20" s="56" t="str">
        <f t="shared" si="1"/>
        <v>&lt;=12</v>
      </c>
      <c r="C20" s="57"/>
      <c r="D20" s="58"/>
      <c r="E20" s="55"/>
      <c r="F20" s="59"/>
      <c r="G20" s="406">
        <f t="shared" si="2"/>
        <v>0</v>
      </c>
      <c r="H20" s="55">
        <f>SUMIFS(日別入力!$AO:$AO,日別入力!$E:$E,$C20,日別入力!$B:$B,$B20,日別入力!$H:$H,$F20,日別入力!$D:$D,H$7)</f>
        <v>0</v>
      </c>
      <c r="I20" s="55">
        <f>SUMIFS(日別入力!$AO:$AO,日別入力!$E:$E,$C20,日別入力!$B:$B,$B20,日別入力!$H:$H,$F20,日別入力!$D:$D,I$7)</f>
        <v>0</v>
      </c>
      <c r="J20" s="55">
        <f>SUMIFS(日別入力!$AO:$AO,日別入力!$E:$E,$C20,日別入力!$B:$B,$B20,日別入力!$H:$H,$F20,日別入力!$D:$D,J$7)</f>
        <v>0</v>
      </c>
      <c r="K20" s="55">
        <f>SUMIFS(日別入力!$AO:$AO,日別入力!$E:$E,$C20,日別入力!$B:$B,$B20,日別入力!$H:$H,$F20,日別入力!$D:$D,K$7)</f>
        <v>0</v>
      </c>
      <c r="L20" s="55">
        <f>SUMIFS(日別入力!$AO:$AO,日別入力!$E:$E,$C20,日別入力!$B:$B,$B20,日別入力!$H:$H,$F20,日別入力!$D:$D,L$7)</f>
        <v>0</v>
      </c>
      <c r="M20" s="55">
        <f>SUMIFS(日別入力!$AO:$AO,日別入力!$E:$E,$C20,日別入力!$B:$B,$B20,日別入力!$H:$H,$F20,日別入力!$D:$D,M$7)</f>
        <v>0</v>
      </c>
      <c r="N20" s="55">
        <f>SUMIFS(日別入力!$AO:$AO,日別入力!$E:$E,$C20,日別入力!$B:$B,$B20,日別入力!$H:$H,$F20,日別入力!$D:$D,N$7)</f>
        <v>0</v>
      </c>
      <c r="O20" s="55">
        <f>SUMIFS(日別入力!$AO:$AO,日別入力!$E:$E,$C20,日別入力!$B:$B,$B20,日別入力!$H:$H,$F20,日別入力!$D:$D,O$7)</f>
        <v>0</v>
      </c>
      <c r="P20" s="55">
        <f>SUMIFS(日別入力!$AO:$AO,日別入力!$E:$E,$C20,日別入力!$B:$B,$B20,日別入力!$H:$H,$F20,日別入力!$D:$D,P$7)</f>
        <v>0</v>
      </c>
      <c r="Q20" s="55">
        <f>SUMIFS(日別入力!$AO:$AO,日別入力!$E:$E,$C20,日別入力!$B:$B,$B20,日別入力!$H:$H,$F20,日別入力!$D:$D,Q$7)</f>
        <v>0</v>
      </c>
      <c r="R20" s="407">
        <f>SUMIFS(日別入力!$AO:$AO,日別入力!$E:$E,$C20,日別入力!$B:$B,$B20,日別入力!$H:$H,$F20,日別入力!$D:$D,R$7)</f>
        <v>0</v>
      </c>
    </row>
    <row r="21" spans="2:18" s="4" customFormat="1" ht="15" customHeight="1" x14ac:dyDescent="0.2">
      <c r="B21" s="56" t="str">
        <f t="shared" si="1"/>
        <v>&lt;=12</v>
      </c>
      <c r="C21" s="57"/>
      <c r="D21" s="58"/>
      <c r="E21" s="55"/>
      <c r="F21" s="59"/>
      <c r="G21" s="406">
        <f t="shared" si="2"/>
        <v>0</v>
      </c>
      <c r="H21" s="55">
        <f>SUMIFS(日別入力!$AO:$AO,日別入力!$E:$E,$C21,日別入力!$B:$B,$B21,日別入力!$H:$H,$F21,日別入力!$D:$D,H$7)</f>
        <v>0</v>
      </c>
      <c r="I21" s="55">
        <f>SUMIFS(日別入力!$AO:$AO,日別入力!$E:$E,$C21,日別入力!$B:$B,$B21,日別入力!$H:$H,$F21,日別入力!$D:$D,I$7)</f>
        <v>0</v>
      </c>
      <c r="J21" s="55">
        <f>SUMIFS(日別入力!$AO:$AO,日別入力!$E:$E,$C21,日別入力!$B:$B,$B21,日別入力!$H:$H,$F21,日別入力!$D:$D,J$7)</f>
        <v>0</v>
      </c>
      <c r="K21" s="55">
        <f>SUMIFS(日別入力!$AO:$AO,日別入力!$E:$E,$C21,日別入力!$B:$B,$B21,日別入力!$H:$H,$F21,日別入力!$D:$D,K$7)</f>
        <v>0</v>
      </c>
      <c r="L21" s="55">
        <f>SUMIFS(日別入力!$AO:$AO,日別入力!$E:$E,$C21,日別入力!$B:$B,$B21,日別入力!$H:$H,$F21,日別入力!$D:$D,L$7)</f>
        <v>0</v>
      </c>
      <c r="M21" s="55">
        <f>SUMIFS(日別入力!$AO:$AO,日別入力!$E:$E,$C21,日別入力!$B:$B,$B21,日別入力!$H:$H,$F21,日別入力!$D:$D,M$7)</f>
        <v>0</v>
      </c>
      <c r="N21" s="55">
        <f>SUMIFS(日別入力!$AO:$AO,日別入力!$E:$E,$C21,日別入力!$B:$B,$B21,日別入力!$H:$H,$F21,日別入力!$D:$D,N$7)</f>
        <v>0</v>
      </c>
      <c r="O21" s="55">
        <f>SUMIFS(日別入力!$AO:$AO,日別入力!$E:$E,$C21,日別入力!$B:$B,$B21,日別入力!$H:$H,$F21,日別入力!$D:$D,O$7)</f>
        <v>0</v>
      </c>
      <c r="P21" s="55">
        <f>SUMIFS(日別入力!$AO:$AO,日別入力!$E:$E,$C21,日別入力!$B:$B,$B21,日別入力!$H:$H,$F21,日別入力!$D:$D,P$7)</f>
        <v>0</v>
      </c>
      <c r="Q21" s="55">
        <f>SUMIFS(日別入力!$AO:$AO,日別入力!$E:$E,$C21,日別入力!$B:$B,$B21,日別入力!$H:$H,$F21,日別入力!$D:$D,Q$7)</f>
        <v>0</v>
      </c>
      <c r="R21" s="407">
        <f>SUMIFS(日別入力!$AO:$AO,日別入力!$E:$E,$C21,日別入力!$B:$B,$B21,日別入力!$H:$H,$F21,日別入力!$D:$D,R$7)</f>
        <v>0</v>
      </c>
    </row>
    <row r="22" spans="2:18" s="4" customFormat="1" ht="15" customHeight="1" x14ac:dyDescent="0.2">
      <c r="B22" s="56" t="str">
        <f t="shared" si="1"/>
        <v>&lt;=12</v>
      </c>
      <c r="C22" s="57"/>
      <c r="D22" s="58"/>
      <c r="E22" s="55"/>
      <c r="F22" s="59"/>
      <c r="G22" s="406">
        <f t="shared" si="2"/>
        <v>0</v>
      </c>
      <c r="H22" s="55">
        <f>SUMIFS(日別入力!$AO:$AO,日別入力!$E:$E,$C22,日別入力!$B:$B,$B22,日別入力!$H:$H,$F22,日別入力!$D:$D,H$7)</f>
        <v>0</v>
      </c>
      <c r="I22" s="55">
        <f>SUMIFS(日別入力!$AO:$AO,日別入力!$E:$E,$C22,日別入力!$B:$B,$B22,日別入力!$H:$H,$F22,日別入力!$D:$D,I$7)</f>
        <v>0</v>
      </c>
      <c r="J22" s="55">
        <f>SUMIFS(日別入力!$AO:$AO,日別入力!$E:$E,$C22,日別入力!$B:$B,$B22,日別入力!$H:$H,$F22,日別入力!$D:$D,J$7)</f>
        <v>0</v>
      </c>
      <c r="K22" s="55">
        <f>SUMIFS(日別入力!$AO:$AO,日別入力!$E:$E,$C22,日別入力!$B:$B,$B22,日別入力!$H:$H,$F22,日別入力!$D:$D,K$7)</f>
        <v>0</v>
      </c>
      <c r="L22" s="55">
        <f>SUMIFS(日別入力!$AO:$AO,日別入力!$E:$E,$C22,日別入力!$B:$B,$B22,日別入力!$H:$H,$F22,日別入力!$D:$D,L$7)</f>
        <v>0</v>
      </c>
      <c r="M22" s="55">
        <f>SUMIFS(日別入力!$AO:$AO,日別入力!$E:$E,$C22,日別入力!$B:$B,$B22,日別入力!$H:$H,$F22,日別入力!$D:$D,M$7)</f>
        <v>0</v>
      </c>
      <c r="N22" s="55">
        <f>SUMIFS(日別入力!$AO:$AO,日別入力!$E:$E,$C22,日別入力!$B:$B,$B22,日別入力!$H:$H,$F22,日別入力!$D:$D,N$7)</f>
        <v>0</v>
      </c>
      <c r="O22" s="55">
        <f>SUMIFS(日別入力!$AO:$AO,日別入力!$E:$E,$C22,日別入力!$B:$B,$B22,日別入力!$H:$H,$F22,日別入力!$D:$D,O$7)</f>
        <v>0</v>
      </c>
      <c r="P22" s="55">
        <f>SUMIFS(日別入力!$AO:$AO,日別入力!$E:$E,$C22,日別入力!$B:$B,$B22,日別入力!$H:$H,$F22,日別入力!$D:$D,P$7)</f>
        <v>0</v>
      </c>
      <c r="Q22" s="55">
        <f>SUMIFS(日別入力!$AO:$AO,日別入力!$E:$E,$C22,日別入力!$B:$B,$B22,日別入力!$H:$H,$F22,日別入力!$D:$D,Q$7)</f>
        <v>0</v>
      </c>
      <c r="R22" s="407">
        <f>SUMIFS(日別入力!$AO:$AO,日別入力!$E:$E,$C22,日別入力!$B:$B,$B22,日別入力!$H:$H,$F22,日別入力!$D:$D,R$7)</f>
        <v>0</v>
      </c>
    </row>
    <row r="23" spans="2:18" s="4" customFormat="1" ht="15" customHeight="1" x14ac:dyDescent="0.2">
      <c r="B23" s="56" t="str">
        <f t="shared" si="1"/>
        <v>&lt;=12</v>
      </c>
      <c r="C23" s="57"/>
      <c r="D23" s="58"/>
      <c r="E23" s="55"/>
      <c r="F23" s="59"/>
      <c r="G23" s="406">
        <f t="shared" si="2"/>
        <v>0</v>
      </c>
      <c r="H23" s="55">
        <f>SUMIFS(日別入力!$AO:$AO,日別入力!$E:$E,$C23,日別入力!$B:$B,$B23,日別入力!$H:$H,$F23,日別入力!$D:$D,H$7)</f>
        <v>0</v>
      </c>
      <c r="I23" s="55">
        <f>SUMIFS(日別入力!$AO:$AO,日別入力!$E:$E,$C23,日別入力!$B:$B,$B23,日別入力!$H:$H,$F23,日別入力!$D:$D,I$7)</f>
        <v>0</v>
      </c>
      <c r="J23" s="55">
        <f>SUMIFS(日別入力!$AO:$AO,日別入力!$E:$E,$C23,日別入力!$B:$B,$B23,日別入力!$H:$H,$F23,日別入力!$D:$D,J$7)</f>
        <v>0</v>
      </c>
      <c r="K23" s="55">
        <f>SUMIFS(日別入力!$AO:$AO,日別入力!$E:$E,$C23,日別入力!$B:$B,$B23,日別入力!$H:$H,$F23,日別入力!$D:$D,K$7)</f>
        <v>0</v>
      </c>
      <c r="L23" s="55">
        <f>SUMIFS(日別入力!$AO:$AO,日別入力!$E:$E,$C23,日別入力!$B:$B,$B23,日別入力!$H:$H,$F23,日別入力!$D:$D,L$7)</f>
        <v>0</v>
      </c>
      <c r="M23" s="55">
        <f>SUMIFS(日別入力!$AO:$AO,日別入力!$E:$E,$C23,日別入力!$B:$B,$B23,日別入力!$H:$H,$F23,日別入力!$D:$D,M$7)</f>
        <v>0</v>
      </c>
      <c r="N23" s="55">
        <f>SUMIFS(日別入力!$AO:$AO,日別入力!$E:$E,$C23,日別入力!$B:$B,$B23,日別入力!$H:$H,$F23,日別入力!$D:$D,N$7)</f>
        <v>0</v>
      </c>
      <c r="O23" s="55">
        <f>SUMIFS(日別入力!$AO:$AO,日別入力!$E:$E,$C23,日別入力!$B:$B,$B23,日別入力!$H:$H,$F23,日別入力!$D:$D,O$7)</f>
        <v>0</v>
      </c>
      <c r="P23" s="55">
        <f>SUMIFS(日別入力!$AO:$AO,日別入力!$E:$E,$C23,日別入力!$B:$B,$B23,日別入力!$H:$H,$F23,日別入力!$D:$D,P$7)</f>
        <v>0</v>
      </c>
      <c r="Q23" s="55">
        <f>SUMIFS(日別入力!$AO:$AO,日別入力!$E:$E,$C23,日別入力!$B:$B,$B23,日別入力!$H:$H,$F23,日別入力!$D:$D,Q$7)</f>
        <v>0</v>
      </c>
      <c r="R23" s="407">
        <f>SUMIFS(日別入力!$AO:$AO,日別入力!$E:$E,$C23,日別入力!$B:$B,$B23,日別入力!$H:$H,$F23,日別入力!$D:$D,R$7)</f>
        <v>0</v>
      </c>
    </row>
    <row r="24" spans="2:18" s="4" customFormat="1" ht="15" customHeight="1" x14ac:dyDescent="0.2">
      <c r="B24" s="56" t="str">
        <f t="shared" si="1"/>
        <v>&lt;=12</v>
      </c>
      <c r="C24" s="57"/>
      <c r="D24" s="58"/>
      <c r="E24" s="55"/>
      <c r="F24" s="59"/>
      <c r="G24" s="406">
        <f t="shared" si="2"/>
        <v>0</v>
      </c>
      <c r="H24" s="55">
        <f>SUMIFS(日別入力!$AO:$AO,日別入力!$E:$E,$C24,日別入力!$B:$B,$B24,日別入力!$H:$H,$F24,日別入力!$D:$D,H$7)</f>
        <v>0</v>
      </c>
      <c r="I24" s="55">
        <f>SUMIFS(日別入力!$AO:$AO,日別入力!$E:$E,$C24,日別入力!$B:$B,$B24,日別入力!$H:$H,$F24,日別入力!$D:$D,I$7)</f>
        <v>0</v>
      </c>
      <c r="J24" s="55">
        <f>SUMIFS(日別入力!$AO:$AO,日別入力!$E:$E,$C24,日別入力!$B:$B,$B24,日別入力!$H:$H,$F24,日別入力!$D:$D,J$7)</f>
        <v>0</v>
      </c>
      <c r="K24" s="55">
        <f>SUMIFS(日別入力!$AO:$AO,日別入力!$E:$E,$C24,日別入力!$B:$B,$B24,日別入力!$H:$H,$F24,日別入力!$D:$D,K$7)</f>
        <v>0</v>
      </c>
      <c r="L24" s="55">
        <f>SUMIFS(日別入力!$AO:$AO,日別入力!$E:$E,$C24,日別入力!$B:$B,$B24,日別入力!$H:$H,$F24,日別入力!$D:$D,L$7)</f>
        <v>0</v>
      </c>
      <c r="M24" s="55">
        <f>SUMIFS(日別入力!$AO:$AO,日別入力!$E:$E,$C24,日別入力!$B:$B,$B24,日別入力!$H:$H,$F24,日別入力!$D:$D,M$7)</f>
        <v>0</v>
      </c>
      <c r="N24" s="55">
        <f>SUMIFS(日別入力!$AO:$AO,日別入力!$E:$E,$C24,日別入力!$B:$B,$B24,日別入力!$H:$H,$F24,日別入力!$D:$D,N$7)</f>
        <v>0</v>
      </c>
      <c r="O24" s="55">
        <f>SUMIFS(日別入力!$AO:$AO,日別入力!$E:$E,$C24,日別入力!$B:$B,$B24,日別入力!$H:$H,$F24,日別入力!$D:$D,O$7)</f>
        <v>0</v>
      </c>
      <c r="P24" s="55">
        <f>SUMIFS(日別入力!$AO:$AO,日別入力!$E:$E,$C24,日別入力!$B:$B,$B24,日別入力!$H:$H,$F24,日別入力!$D:$D,P$7)</f>
        <v>0</v>
      </c>
      <c r="Q24" s="55">
        <f>SUMIFS(日別入力!$AO:$AO,日別入力!$E:$E,$C24,日別入力!$B:$B,$B24,日別入力!$H:$H,$F24,日別入力!$D:$D,Q$7)</f>
        <v>0</v>
      </c>
      <c r="R24" s="407">
        <f>SUMIFS(日別入力!$AO:$AO,日別入力!$E:$E,$C24,日別入力!$B:$B,$B24,日別入力!$H:$H,$F24,日別入力!$D:$D,R$7)</f>
        <v>0</v>
      </c>
    </row>
    <row r="25" spans="2:18" s="4" customFormat="1" ht="15" customHeight="1" x14ac:dyDescent="0.2">
      <c r="B25" s="56" t="str">
        <f t="shared" si="1"/>
        <v>&lt;=12</v>
      </c>
      <c r="C25" s="57"/>
      <c r="D25" s="58"/>
      <c r="E25" s="55"/>
      <c r="F25" s="59"/>
      <c r="G25" s="406">
        <f t="shared" si="2"/>
        <v>0</v>
      </c>
      <c r="H25" s="55">
        <f>SUMIFS(日別入力!$AO:$AO,日別入力!$E:$E,$C25,日別入力!$B:$B,$B25,日別入力!$H:$H,$F25,日別入力!$D:$D,H$7)</f>
        <v>0</v>
      </c>
      <c r="I25" s="55">
        <f>SUMIFS(日別入力!$AO:$AO,日別入力!$E:$E,$C25,日別入力!$B:$B,$B25,日別入力!$H:$H,$F25,日別入力!$D:$D,I$7)</f>
        <v>0</v>
      </c>
      <c r="J25" s="55">
        <f>SUMIFS(日別入力!$AO:$AO,日別入力!$E:$E,$C25,日別入力!$B:$B,$B25,日別入力!$H:$H,$F25,日別入力!$D:$D,J$7)</f>
        <v>0</v>
      </c>
      <c r="K25" s="55">
        <f>SUMIFS(日別入力!$AO:$AO,日別入力!$E:$E,$C25,日別入力!$B:$B,$B25,日別入力!$H:$H,$F25,日別入力!$D:$D,K$7)</f>
        <v>0</v>
      </c>
      <c r="L25" s="55">
        <f>SUMIFS(日別入力!$AO:$AO,日別入力!$E:$E,$C25,日別入力!$B:$B,$B25,日別入力!$H:$H,$F25,日別入力!$D:$D,L$7)</f>
        <v>0</v>
      </c>
      <c r="M25" s="55">
        <f>SUMIFS(日別入力!$AO:$AO,日別入力!$E:$E,$C25,日別入力!$B:$B,$B25,日別入力!$H:$H,$F25,日別入力!$D:$D,M$7)</f>
        <v>0</v>
      </c>
      <c r="N25" s="55">
        <f>SUMIFS(日別入力!$AO:$AO,日別入力!$E:$E,$C25,日別入力!$B:$B,$B25,日別入力!$H:$H,$F25,日別入力!$D:$D,N$7)</f>
        <v>0</v>
      </c>
      <c r="O25" s="55">
        <f>SUMIFS(日別入力!$AO:$AO,日別入力!$E:$E,$C25,日別入力!$B:$B,$B25,日別入力!$H:$H,$F25,日別入力!$D:$D,O$7)</f>
        <v>0</v>
      </c>
      <c r="P25" s="55">
        <f>SUMIFS(日別入力!$AO:$AO,日別入力!$E:$E,$C25,日別入力!$B:$B,$B25,日別入力!$H:$H,$F25,日別入力!$D:$D,P$7)</f>
        <v>0</v>
      </c>
      <c r="Q25" s="55">
        <f>SUMIFS(日別入力!$AO:$AO,日別入力!$E:$E,$C25,日別入力!$B:$B,$B25,日別入力!$H:$H,$F25,日別入力!$D:$D,Q$7)</f>
        <v>0</v>
      </c>
      <c r="R25" s="407">
        <f>SUMIFS(日別入力!$AO:$AO,日別入力!$E:$E,$C25,日別入力!$B:$B,$B25,日別入力!$H:$H,$F25,日別入力!$D:$D,R$7)</f>
        <v>0</v>
      </c>
    </row>
    <row r="26" spans="2:18" s="4" customFormat="1" ht="15" customHeight="1" x14ac:dyDescent="0.2">
      <c r="B26" s="56" t="str">
        <f t="shared" si="1"/>
        <v>&lt;=12</v>
      </c>
      <c r="C26" s="57"/>
      <c r="D26" s="58"/>
      <c r="E26" s="55"/>
      <c r="F26" s="59"/>
      <c r="G26" s="406">
        <f t="shared" si="2"/>
        <v>0</v>
      </c>
      <c r="H26" s="55">
        <f>SUMIFS(日別入力!$AO:$AO,日別入力!$E:$E,$C26,日別入力!$B:$B,$B26,日別入力!$H:$H,$F26,日別入力!$D:$D,H$7)</f>
        <v>0</v>
      </c>
      <c r="I26" s="55">
        <f>SUMIFS(日別入力!$AO:$AO,日別入力!$E:$E,$C26,日別入力!$B:$B,$B26,日別入力!$H:$H,$F26,日別入力!$D:$D,I$7)</f>
        <v>0</v>
      </c>
      <c r="J26" s="55">
        <f>SUMIFS(日別入力!$AO:$AO,日別入力!$E:$E,$C26,日別入力!$B:$B,$B26,日別入力!$H:$H,$F26,日別入力!$D:$D,J$7)</f>
        <v>0</v>
      </c>
      <c r="K26" s="55">
        <f>SUMIFS(日別入力!$AO:$AO,日別入力!$E:$E,$C26,日別入力!$B:$B,$B26,日別入力!$H:$H,$F26,日別入力!$D:$D,K$7)</f>
        <v>0</v>
      </c>
      <c r="L26" s="55">
        <f>SUMIFS(日別入力!$AO:$AO,日別入力!$E:$E,$C26,日別入力!$B:$B,$B26,日別入力!$H:$H,$F26,日別入力!$D:$D,L$7)</f>
        <v>0</v>
      </c>
      <c r="M26" s="55">
        <f>SUMIFS(日別入力!$AO:$AO,日別入力!$E:$E,$C26,日別入力!$B:$B,$B26,日別入力!$H:$H,$F26,日別入力!$D:$D,M$7)</f>
        <v>0</v>
      </c>
      <c r="N26" s="55">
        <f>SUMIFS(日別入力!$AO:$AO,日別入力!$E:$E,$C26,日別入力!$B:$B,$B26,日別入力!$H:$H,$F26,日別入力!$D:$D,N$7)</f>
        <v>0</v>
      </c>
      <c r="O26" s="55">
        <f>SUMIFS(日別入力!$AO:$AO,日別入力!$E:$E,$C26,日別入力!$B:$B,$B26,日別入力!$H:$H,$F26,日別入力!$D:$D,O$7)</f>
        <v>0</v>
      </c>
      <c r="P26" s="55">
        <f>SUMIFS(日別入力!$AO:$AO,日別入力!$E:$E,$C26,日別入力!$B:$B,$B26,日別入力!$H:$H,$F26,日別入力!$D:$D,P$7)</f>
        <v>0</v>
      </c>
      <c r="Q26" s="55">
        <f>SUMIFS(日別入力!$AO:$AO,日別入力!$E:$E,$C26,日別入力!$B:$B,$B26,日別入力!$H:$H,$F26,日別入力!$D:$D,Q$7)</f>
        <v>0</v>
      </c>
      <c r="R26" s="407">
        <f>SUMIFS(日別入力!$AO:$AO,日別入力!$E:$E,$C26,日別入力!$B:$B,$B26,日別入力!$H:$H,$F26,日別入力!$D:$D,R$7)</f>
        <v>0</v>
      </c>
    </row>
    <row r="27" spans="2:18" s="4" customFormat="1" ht="15" customHeight="1" x14ac:dyDescent="0.2">
      <c r="B27" s="56" t="str">
        <f t="shared" si="1"/>
        <v>&lt;=12</v>
      </c>
      <c r="C27" s="57"/>
      <c r="D27" s="58"/>
      <c r="E27" s="55"/>
      <c r="F27" s="59"/>
      <c r="G27" s="406">
        <f t="shared" si="2"/>
        <v>0</v>
      </c>
      <c r="H27" s="55">
        <f>SUMIFS(日別入力!$AO:$AO,日別入力!$E:$E,$C27,日別入力!$B:$B,$B27,日別入力!$H:$H,$F27,日別入力!$D:$D,H$7)</f>
        <v>0</v>
      </c>
      <c r="I27" s="55">
        <f>SUMIFS(日別入力!$AO:$AO,日別入力!$E:$E,$C27,日別入力!$B:$B,$B27,日別入力!$H:$H,$F27,日別入力!$D:$D,I$7)</f>
        <v>0</v>
      </c>
      <c r="J27" s="55">
        <f>SUMIFS(日別入力!$AO:$AO,日別入力!$E:$E,$C27,日別入力!$B:$B,$B27,日別入力!$H:$H,$F27,日別入力!$D:$D,J$7)</f>
        <v>0</v>
      </c>
      <c r="K27" s="55">
        <f>SUMIFS(日別入力!$AO:$AO,日別入力!$E:$E,$C27,日別入力!$B:$B,$B27,日別入力!$H:$H,$F27,日別入力!$D:$D,K$7)</f>
        <v>0</v>
      </c>
      <c r="L27" s="55">
        <f>SUMIFS(日別入力!$AO:$AO,日別入力!$E:$E,$C27,日別入力!$B:$B,$B27,日別入力!$H:$H,$F27,日別入力!$D:$D,L$7)</f>
        <v>0</v>
      </c>
      <c r="M27" s="55">
        <f>SUMIFS(日別入力!$AO:$AO,日別入力!$E:$E,$C27,日別入力!$B:$B,$B27,日別入力!$H:$H,$F27,日別入力!$D:$D,M$7)</f>
        <v>0</v>
      </c>
      <c r="N27" s="55">
        <f>SUMIFS(日別入力!$AO:$AO,日別入力!$E:$E,$C27,日別入力!$B:$B,$B27,日別入力!$H:$H,$F27,日別入力!$D:$D,N$7)</f>
        <v>0</v>
      </c>
      <c r="O27" s="55">
        <f>SUMIFS(日別入力!$AO:$AO,日別入力!$E:$E,$C27,日別入力!$B:$B,$B27,日別入力!$H:$H,$F27,日別入力!$D:$D,O$7)</f>
        <v>0</v>
      </c>
      <c r="P27" s="55">
        <f>SUMIFS(日別入力!$AO:$AO,日別入力!$E:$E,$C27,日別入力!$B:$B,$B27,日別入力!$H:$H,$F27,日別入力!$D:$D,P$7)</f>
        <v>0</v>
      </c>
      <c r="Q27" s="55">
        <f>SUMIFS(日別入力!$AO:$AO,日別入力!$E:$E,$C27,日別入力!$B:$B,$B27,日別入力!$H:$H,$F27,日別入力!$D:$D,Q$7)</f>
        <v>0</v>
      </c>
      <c r="R27" s="407">
        <f>SUMIFS(日別入力!$AO:$AO,日別入力!$E:$E,$C27,日別入力!$B:$B,$B27,日別入力!$H:$H,$F27,日別入力!$D:$D,R$7)</f>
        <v>0</v>
      </c>
    </row>
    <row r="28" spans="2:18" s="4" customFormat="1" ht="15" customHeight="1" x14ac:dyDescent="0.2">
      <c r="B28" s="56" t="str">
        <f t="shared" si="1"/>
        <v>&lt;=12</v>
      </c>
      <c r="C28" s="57"/>
      <c r="D28" s="58"/>
      <c r="E28" s="55"/>
      <c r="F28" s="59"/>
      <c r="G28" s="406">
        <f t="shared" si="2"/>
        <v>0</v>
      </c>
      <c r="H28" s="55">
        <f>SUMIFS(日別入力!$AO:$AO,日別入力!$E:$E,$C28,日別入力!$B:$B,$B28,日別入力!$H:$H,$F28,日別入力!$D:$D,H$7)</f>
        <v>0</v>
      </c>
      <c r="I28" s="55">
        <f>SUMIFS(日別入力!$AO:$AO,日別入力!$E:$E,$C28,日別入力!$B:$B,$B28,日別入力!$H:$H,$F28,日別入力!$D:$D,I$7)</f>
        <v>0</v>
      </c>
      <c r="J28" s="55">
        <f>SUMIFS(日別入力!$AO:$AO,日別入力!$E:$E,$C28,日別入力!$B:$B,$B28,日別入力!$H:$H,$F28,日別入力!$D:$D,J$7)</f>
        <v>0</v>
      </c>
      <c r="K28" s="55">
        <f>SUMIFS(日別入力!$AO:$AO,日別入力!$E:$E,$C28,日別入力!$B:$B,$B28,日別入力!$H:$H,$F28,日別入力!$D:$D,K$7)</f>
        <v>0</v>
      </c>
      <c r="L28" s="55">
        <f>SUMIFS(日別入力!$AO:$AO,日別入力!$E:$E,$C28,日別入力!$B:$B,$B28,日別入力!$H:$H,$F28,日別入力!$D:$D,L$7)</f>
        <v>0</v>
      </c>
      <c r="M28" s="55">
        <f>SUMIFS(日別入力!$AO:$AO,日別入力!$E:$E,$C28,日別入力!$B:$B,$B28,日別入力!$H:$H,$F28,日別入力!$D:$D,M$7)</f>
        <v>0</v>
      </c>
      <c r="N28" s="55">
        <f>SUMIFS(日別入力!$AO:$AO,日別入力!$E:$E,$C28,日別入力!$B:$B,$B28,日別入力!$H:$H,$F28,日別入力!$D:$D,N$7)</f>
        <v>0</v>
      </c>
      <c r="O28" s="55">
        <f>SUMIFS(日別入力!$AO:$AO,日別入力!$E:$E,$C28,日別入力!$B:$B,$B28,日別入力!$H:$H,$F28,日別入力!$D:$D,O$7)</f>
        <v>0</v>
      </c>
      <c r="P28" s="55">
        <f>SUMIFS(日別入力!$AO:$AO,日別入力!$E:$E,$C28,日別入力!$B:$B,$B28,日別入力!$H:$H,$F28,日別入力!$D:$D,P$7)</f>
        <v>0</v>
      </c>
      <c r="Q28" s="55">
        <f>SUMIFS(日別入力!$AO:$AO,日別入力!$E:$E,$C28,日別入力!$B:$B,$B28,日別入力!$H:$H,$F28,日別入力!$D:$D,Q$7)</f>
        <v>0</v>
      </c>
      <c r="R28" s="407">
        <f>SUMIFS(日別入力!$AO:$AO,日別入力!$E:$E,$C28,日別入力!$B:$B,$B28,日別入力!$H:$H,$F28,日別入力!$D:$D,R$7)</f>
        <v>0</v>
      </c>
    </row>
    <row r="29" spans="2:18" s="4" customFormat="1" ht="15" customHeight="1" x14ac:dyDescent="0.2">
      <c r="B29" s="56" t="str">
        <f t="shared" si="1"/>
        <v>&lt;=12</v>
      </c>
      <c r="C29" s="57"/>
      <c r="D29" s="58"/>
      <c r="E29" s="55"/>
      <c r="F29" s="59"/>
      <c r="G29" s="406">
        <f t="shared" si="2"/>
        <v>0</v>
      </c>
      <c r="H29" s="55">
        <f>SUMIFS(日別入力!$AO:$AO,日別入力!$E:$E,$C29,日別入力!$B:$B,$B29,日別入力!$H:$H,$F29,日別入力!$D:$D,H$7)</f>
        <v>0</v>
      </c>
      <c r="I29" s="55">
        <f>SUMIFS(日別入力!$AO:$AO,日別入力!$E:$E,$C29,日別入力!$B:$B,$B29,日別入力!$H:$H,$F29,日別入力!$D:$D,I$7)</f>
        <v>0</v>
      </c>
      <c r="J29" s="55">
        <f>SUMIFS(日別入力!$AO:$AO,日別入力!$E:$E,$C29,日別入力!$B:$B,$B29,日別入力!$H:$H,$F29,日別入力!$D:$D,J$7)</f>
        <v>0</v>
      </c>
      <c r="K29" s="55">
        <f>SUMIFS(日別入力!$AO:$AO,日別入力!$E:$E,$C29,日別入力!$B:$B,$B29,日別入力!$H:$H,$F29,日別入力!$D:$D,K$7)</f>
        <v>0</v>
      </c>
      <c r="L29" s="55">
        <f>SUMIFS(日別入力!$AO:$AO,日別入力!$E:$E,$C29,日別入力!$B:$B,$B29,日別入力!$H:$H,$F29,日別入力!$D:$D,L$7)</f>
        <v>0</v>
      </c>
      <c r="M29" s="55">
        <f>SUMIFS(日別入力!$AO:$AO,日別入力!$E:$E,$C29,日別入力!$B:$B,$B29,日別入力!$H:$H,$F29,日別入力!$D:$D,M$7)</f>
        <v>0</v>
      </c>
      <c r="N29" s="55">
        <f>SUMIFS(日別入力!$AO:$AO,日別入力!$E:$E,$C29,日別入力!$B:$B,$B29,日別入力!$H:$H,$F29,日別入力!$D:$D,N$7)</f>
        <v>0</v>
      </c>
      <c r="O29" s="55">
        <f>SUMIFS(日別入力!$AO:$AO,日別入力!$E:$E,$C29,日別入力!$B:$B,$B29,日別入力!$H:$H,$F29,日別入力!$D:$D,O$7)</f>
        <v>0</v>
      </c>
      <c r="P29" s="55">
        <f>SUMIFS(日別入力!$AO:$AO,日別入力!$E:$E,$C29,日別入力!$B:$B,$B29,日別入力!$H:$H,$F29,日別入力!$D:$D,P$7)</f>
        <v>0</v>
      </c>
      <c r="Q29" s="55">
        <f>SUMIFS(日別入力!$AO:$AO,日別入力!$E:$E,$C29,日別入力!$B:$B,$B29,日別入力!$H:$H,$F29,日別入力!$D:$D,Q$7)</f>
        <v>0</v>
      </c>
      <c r="R29" s="407">
        <f>SUMIFS(日別入力!$AO:$AO,日別入力!$E:$E,$C29,日別入力!$B:$B,$B29,日別入力!$H:$H,$F29,日別入力!$D:$D,R$7)</f>
        <v>0</v>
      </c>
    </row>
    <row r="30" spans="2:18" s="4" customFormat="1" ht="15" customHeight="1" x14ac:dyDescent="0.2">
      <c r="B30" s="56" t="str">
        <f t="shared" si="1"/>
        <v>&lt;=12</v>
      </c>
      <c r="C30" s="57"/>
      <c r="D30" s="58"/>
      <c r="E30" s="55"/>
      <c r="F30" s="59"/>
      <c r="G30" s="406">
        <f t="shared" si="2"/>
        <v>0</v>
      </c>
      <c r="H30" s="55">
        <f>SUMIFS(日別入力!$AO:$AO,日別入力!$E:$E,$C30,日別入力!$B:$B,$B30,日別入力!$H:$H,$F30,日別入力!$D:$D,H$7)</f>
        <v>0</v>
      </c>
      <c r="I30" s="55">
        <f>SUMIFS(日別入力!$AO:$AO,日別入力!$E:$E,$C30,日別入力!$B:$B,$B30,日別入力!$H:$H,$F30,日別入力!$D:$D,I$7)</f>
        <v>0</v>
      </c>
      <c r="J30" s="55">
        <f>SUMIFS(日別入力!$AO:$AO,日別入力!$E:$E,$C30,日別入力!$B:$B,$B30,日別入力!$H:$H,$F30,日別入力!$D:$D,J$7)</f>
        <v>0</v>
      </c>
      <c r="K30" s="55">
        <f>SUMIFS(日別入力!$AO:$AO,日別入力!$E:$E,$C30,日別入力!$B:$B,$B30,日別入力!$H:$H,$F30,日別入力!$D:$D,K$7)</f>
        <v>0</v>
      </c>
      <c r="L30" s="55">
        <f>SUMIFS(日別入力!$AO:$AO,日別入力!$E:$E,$C30,日別入力!$B:$B,$B30,日別入力!$H:$H,$F30,日別入力!$D:$D,L$7)</f>
        <v>0</v>
      </c>
      <c r="M30" s="55">
        <f>SUMIFS(日別入力!$AO:$AO,日別入力!$E:$E,$C30,日別入力!$B:$B,$B30,日別入力!$H:$H,$F30,日別入力!$D:$D,M$7)</f>
        <v>0</v>
      </c>
      <c r="N30" s="55">
        <f>SUMIFS(日別入力!$AO:$AO,日別入力!$E:$E,$C30,日別入力!$B:$B,$B30,日別入力!$H:$H,$F30,日別入力!$D:$D,N$7)</f>
        <v>0</v>
      </c>
      <c r="O30" s="55">
        <f>SUMIFS(日別入力!$AO:$AO,日別入力!$E:$E,$C30,日別入力!$B:$B,$B30,日別入力!$H:$H,$F30,日別入力!$D:$D,O$7)</f>
        <v>0</v>
      </c>
      <c r="P30" s="55">
        <f>SUMIFS(日別入力!$AO:$AO,日別入力!$E:$E,$C30,日別入力!$B:$B,$B30,日別入力!$H:$H,$F30,日別入力!$D:$D,P$7)</f>
        <v>0</v>
      </c>
      <c r="Q30" s="55">
        <f>SUMIFS(日別入力!$AO:$AO,日別入力!$E:$E,$C30,日別入力!$B:$B,$B30,日別入力!$H:$H,$F30,日別入力!$D:$D,Q$7)</f>
        <v>0</v>
      </c>
      <c r="R30" s="407">
        <f>SUMIFS(日別入力!$AO:$AO,日別入力!$E:$E,$C30,日別入力!$B:$B,$B30,日別入力!$H:$H,$F30,日別入力!$D:$D,R$7)</f>
        <v>0</v>
      </c>
    </row>
    <row r="31" spans="2:18" s="4" customFormat="1" ht="15" customHeight="1" x14ac:dyDescent="0.2">
      <c r="B31" s="56" t="str">
        <f t="shared" si="1"/>
        <v>&lt;=12</v>
      </c>
      <c r="C31" s="57"/>
      <c r="D31" s="58"/>
      <c r="E31" s="55"/>
      <c r="F31" s="59"/>
      <c r="G31" s="406">
        <f t="shared" si="2"/>
        <v>0</v>
      </c>
      <c r="H31" s="55">
        <f>SUMIFS(日別入力!$AO:$AO,日別入力!$E:$E,$C31,日別入力!$B:$B,$B31,日別入力!$H:$H,$F31,日別入力!$D:$D,H$7)</f>
        <v>0</v>
      </c>
      <c r="I31" s="55">
        <f>SUMIFS(日別入力!$AO:$AO,日別入力!$E:$E,$C31,日別入力!$B:$B,$B31,日別入力!$H:$H,$F31,日別入力!$D:$D,I$7)</f>
        <v>0</v>
      </c>
      <c r="J31" s="55">
        <f>SUMIFS(日別入力!$AO:$AO,日別入力!$E:$E,$C31,日別入力!$B:$B,$B31,日別入力!$H:$H,$F31,日別入力!$D:$D,J$7)</f>
        <v>0</v>
      </c>
      <c r="K31" s="55">
        <f>SUMIFS(日別入力!$AO:$AO,日別入力!$E:$E,$C31,日別入力!$B:$B,$B31,日別入力!$H:$H,$F31,日別入力!$D:$D,K$7)</f>
        <v>0</v>
      </c>
      <c r="L31" s="55">
        <f>SUMIFS(日別入力!$AO:$AO,日別入力!$E:$E,$C31,日別入力!$B:$B,$B31,日別入力!$H:$H,$F31,日別入力!$D:$D,L$7)</f>
        <v>0</v>
      </c>
      <c r="M31" s="55">
        <f>SUMIFS(日別入力!$AO:$AO,日別入力!$E:$E,$C31,日別入力!$B:$B,$B31,日別入力!$H:$H,$F31,日別入力!$D:$D,M$7)</f>
        <v>0</v>
      </c>
      <c r="N31" s="55">
        <f>SUMIFS(日別入力!$AO:$AO,日別入力!$E:$E,$C31,日別入力!$B:$B,$B31,日別入力!$H:$H,$F31,日別入力!$D:$D,N$7)</f>
        <v>0</v>
      </c>
      <c r="O31" s="55">
        <f>SUMIFS(日別入力!$AO:$AO,日別入力!$E:$E,$C31,日別入力!$B:$B,$B31,日別入力!$H:$H,$F31,日別入力!$D:$D,O$7)</f>
        <v>0</v>
      </c>
      <c r="P31" s="55">
        <f>SUMIFS(日別入力!$AO:$AO,日別入力!$E:$E,$C31,日別入力!$B:$B,$B31,日別入力!$H:$H,$F31,日別入力!$D:$D,P$7)</f>
        <v>0</v>
      </c>
      <c r="Q31" s="55">
        <f>SUMIFS(日別入力!$AO:$AO,日別入力!$E:$E,$C31,日別入力!$B:$B,$B31,日別入力!$H:$H,$F31,日別入力!$D:$D,Q$7)</f>
        <v>0</v>
      </c>
      <c r="R31" s="407">
        <f>SUMIFS(日別入力!$AO:$AO,日別入力!$E:$E,$C31,日別入力!$B:$B,$B31,日別入力!$H:$H,$F31,日別入力!$D:$D,R$7)</f>
        <v>0</v>
      </c>
    </row>
    <row r="32" spans="2:18" s="4" customFormat="1" ht="15" customHeight="1" x14ac:dyDescent="0.2">
      <c r="B32" s="56" t="str">
        <f t="shared" si="1"/>
        <v>&lt;=12</v>
      </c>
      <c r="C32" s="57"/>
      <c r="D32" s="58"/>
      <c r="E32" s="55"/>
      <c r="F32" s="59"/>
      <c r="G32" s="406">
        <f t="shared" si="2"/>
        <v>0</v>
      </c>
      <c r="H32" s="55">
        <f>SUMIFS(日別入力!$AO:$AO,日別入力!$E:$E,$C32,日別入力!$B:$B,$B32,日別入力!$H:$H,$F32,日別入力!$D:$D,H$7)</f>
        <v>0</v>
      </c>
      <c r="I32" s="55">
        <f>SUMIFS(日別入力!$AO:$AO,日別入力!$E:$E,$C32,日別入力!$B:$B,$B32,日別入力!$H:$H,$F32,日別入力!$D:$D,I$7)</f>
        <v>0</v>
      </c>
      <c r="J32" s="55">
        <f>SUMIFS(日別入力!$AO:$AO,日別入力!$E:$E,$C32,日別入力!$B:$B,$B32,日別入力!$H:$H,$F32,日別入力!$D:$D,J$7)</f>
        <v>0</v>
      </c>
      <c r="K32" s="55">
        <f>SUMIFS(日別入力!$AO:$AO,日別入力!$E:$E,$C32,日別入力!$B:$B,$B32,日別入力!$H:$H,$F32,日別入力!$D:$D,K$7)</f>
        <v>0</v>
      </c>
      <c r="L32" s="55">
        <f>SUMIFS(日別入力!$AO:$AO,日別入力!$E:$E,$C32,日別入力!$B:$B,$B32,日別入力!$H:$H,$F32,日別入力!$D:$D,L$7)</f>
        <v>0</v>
      </c>
      <c r="M32" s="55">
        <f>SUMIFS(日別入力!$AO:$AO,日別入力!$E:$E,$C32,日別入力!$B:$B,$B32,日別入力!$H:$H,$F32,日別入力!$D:$D,M$7)</f>
        <v>0</v>
      </c>
      <c r="N32" s="55">
        <f>SUMIFS(日別入力!$AO:$AO,日別入力!$E:$E,$C32,日別入力!$B:$B,$B32,日別入力!$H:$H,$F32,日別入力!$D:$D,N$7)</f>
        <v>0</v>
      </c>
      <c r="O32" s="55">
        <f>SUMIFS(日別入力!$AO:$AO,日別入力!$E:$E,$C32,日別入力!$B:$B,$B32,日別入力!$H:$H,$F32,日別入力!$D:$D,O$7)</f>
        <v>0</v>
      </c>
      <c r="P32" s="55">
        <f>SUMIFS(日別入力!$AO:$AO,日別入力!$E:$E,$C32,日別入力!$B:$B,$B32,日別入力!$H:$H,$F32,日別入力!$D:$D,P$7)</f>
        <v>0</v>
      </c>
      <c r="Q32" s="55">
        <f>SUMIFS(日別入力!$AO:$AO,日別入力!$E:$E,$C32,日別入力!$B:$B,$B32,日別入力!$H:$H,$F32,日別入力!$D:$D,Q$7)</f>
        <v>0</v>
      </c>
      <c r="R32" s="407">
        <f>SUMIFS(日別入力!$AO:$AO,日別入力!$E:$E,$C32,日別入力!$B:$B,$B32,日別入力!$H:$H,$F32,日別入力!$D:$D,R$7)</f>
        <v>0</v>
      </c>
    </row>
    <row r="33" spans="1:18" s="4" customFormat="1" ht="15" customHeight="1" x14ac:dyDescent="0.2">
      <c r="B33" s="56" t="str">
        <f t="shared" si="1"/>
        <v>&lt;=12</v>
      </c>
      <c r="C33" s="57"/>
      <c r="D33" s="58"/>
      <c r="E33" s="55"/>
      <c r="F33" s="59"/>
      <c r="G33" s="406">
        <f t="shared" si="2"/>
        <v>0</v>
      </c>
      <c r="H33" s="55">
        <f>SUMIFS(日別入力!$AO:$AO,日別入力!$E:$E,$C33,日別入力!$B:$B,$B33,日別入力!$H:$H,$F33,日別入力!$D:$D,H$7)</f>
        <v>0</v>
      </c>
      <c r="I33" s="55">
        <f>SUMIFS(日別入力!$AO:$AO,日別入力!$E:$E,$C33,日別入力!$B:$B,$B33,日別入力!$H:$H,$F33,日別入力!$D:$D,I$7)</f>
        <v>0</v>
      </c>
      <c r="J33" s="55">
        <f>SUMIFS(日別入力!$AO:$AO,日別入力!$E:$E,$C33,日別入力!$B:$B,$B33,日別入力!$H:$H,$F33,日別入力!$D:$D,J$7)</f>
        <v>0</v>
      </c>
      <c r="K33" s="55">
        <f>SUMIFS(日別入力!$AO:$AO,日別入力!$E:$E,$C33,日別入力!$B:$B,$B33,日別入力!$H:$H,$F33,日別入力!$D:$D,K$7)</f>
        <v>0</v>
      </c>
      <c r="L33" s="55">
        <f>SUMIFS(日別入力!$AO:$AO,日別入力!$E:$E,$C33,日別入力!$B:$B,$B33,日別入力!$H:$H,$F33,日別入力!$D:$D,L$7)</f>
        <v>0</v>
      </c>
      <c r="M33" s="55">
        <f>SUMIFS(日別入力!$AO:$AO,日別入力!$E:$E,$C33,日別入力!$B:$B,$B33,日別入力!$H:$H,$F33,日別入力!$D:$D,M$7)</f>
        <v>0</v>
      </c>
      <c r="N33" s="55">
        <f>SUMIFS(日別入力!$AO:$AO,日別入力!$E:$E,$C33,日別入力!$B:$B,$B33,日別入力!$H:$H,$F33,日別入力!$D:$D,N$7)</f>
        <v>0</v>
      </c>
      <c r="O33" s="55">
        <f>SUMIFS(日別入力!$AO:$AO,日別入力!$E:$E,$C33,日別入力!$B:$B,$B33,日別入力!$H:$H,$F33,日別入力!$D:$D,O$7)</f>
        <v>0</v>
      </c>
      <c r="P33" s="55">
        <f>SUMIFS(日別入力!$AO:$AO,日別入力!$E:$E,$C33,日別入力!$B:$B,$B33,日別入力!$H:$H,$F33,日別入力!$D:$D,P$7)</f>
        <v>0</v>
      </c>
      <c r="Q33" s="55">
        <f>SUMIFS(日別入力!$AO:$AO,日別入力!$E:$E,$C33,日別入力!$B:$B,$B33,日別入力!$H:$H,$F33,日別入力!$D:$D,Q$7)</f>
        <v>0</v>
      </c>
      <c r="R33" s="407">
        <f>SUMIFS(日別入力!$AO:$AO,日別入力!$E:$E,$C33,日別入力!$B:$B,$B33,日別入力!$H:$H,$F33,日別入力!$D:$D,R$7)</f>
        <v>0</v>
      </c>
    </row>
    <row r="34" spans="1:18" s="4" customFormat="1" ht="15" customHeight="1" x14ac:dyDescent="0.2">
      <c r="B34" s="56" t="str">
        <f t="shared" si="1"/>
        <v>&lt;=12</v>
      </c>
      <c r="C34" s="57"/>
      <c r="D34" s="58"/>
      <c r="E34" s="55"/>
      <c r="F34" s="59"/>
      <c r="G34" s="406">
        <f t="shared" si="2"/>
        <v>0</v>
      </c>
      <c r="H34" s="55">
        <f>SUMIFS(日別入力!$AO:$AO,日別入力!$E:$E,$C34,日別入力!$B:$B,$B34,日別入力!$H:$H,$F34,日別入力!$D:$D,H$7)</f>
        <v>0</v>
      </c>
      <c r="I34" s="55">
        <f>SUMIFS(日別入力!$AO:$AO,日別入力!$E:$E,$C34,日別入力!$B:$B,$B34,日別入力!$H:$H,$F34,日別入力!$D:$D,I$7)</f>
        <v>0</v>
      </c>
      <c r="J34" s="55">
        <f>SUMIFS(日別入力!$AO:$AO,日別入力!$E:$E,$C34,日別入力!$B:$B,$B34,日別入力!$H:$H,$F34,日別入力!$D:$D,J$7)</f>
        <v>0</v>
      </c>
      <c r="K34" s="55">
        <f>SUMIFS(日別入力!$AO:$AO,日別入力!$E:$E,$C34,日別入力!$B:$B,$B34,日別入力!$H:$H,$F34,日別入力!$D:$D,K$7)</f>
        <v>0</v>
      </c>
      <c r="L34" s="55">
        <f>SUMIFS(日別入力!$AO:$AO,日別入力!$E:$E,$C34,日別入力!$B:$B,$B34,日別入力!$H:$H,$F34,日別入力!$D:$D,L$7)</f>
        <v>0</v>
      </c>
      <c r="M34" s="55">
        <f>SUMIFS(日別入力!$AO:$AO,日別入力!$E:$E,$C34,日別入力!$B:$B,$B34,日別入力!$H:$H,$F34,日別入力!$D:$D,M$7)</f>
        <v>0</v>
      </c>
      <c r="N34" s="55">
        <f>SUMIFS(日別入力!$AO:$AO,日別入力!$E:$E,$C34,日別入力!$B:$B,$B34,日別入力!$H:$H,$F34,日別入力!$D:$D,N$7)</f>
        <v>0</v>
      </c>
      <c r="O34" s="55">
        <f>SUMIFS(日別入力!$AO:$AO,日別入力!$E:$E,$C34,日別入力!$B:$B,$B34,日別入力!$H:$H,$F34,日別入力!$D:$D,O$7)</f>
        <v>0</v>
      </c>
      <c r="P34" s="55">
        <f>SUMIFS(日別入力!$AO:$AO,日別入力!$E:$E,$C34,日別入力!$B:$B,$B34,日別入力!$H:$H,$F34,日別入力!$D:$D,P$7)</f>
        <v>0</v>
      </c>
      <c r="Q34" s="55">
        <f>SUMIFS(日別入力!$AO:$AO,日別入力!$E:$E,$C34,日別入力!$B:$B,$B34,日別入力!$H:$H,$F34,日別入力!$D:$D,Q$7)</f>
        <v>0</v>
      </c>
      <c r="R34" s="407">
        <f>SUMIFS(日別入力!$AO:$AO,日別入力!$E:$E,$C34,日別入力!$B:$B,$B34,日別入力!$H:$H,$F34,日別入力!$D:$D,R$7)</f>
        <v>0</v>
      </c>
    </row>
    <row r="35" spans="1:18" s="4" customFormat="1" ht="15" customHeight="1" x14ac:dyDescent="0.2">
      <c r="B35" s="56" t="str">
        <f t="shared" si="1"/>
        <v>&lt;=12</v>
      </c>
      <c r="C35" s="57"/>
      <c r="D35" s="58"/>
      <c r="E35" s="55"/>
      <c r="F35" s="59"/>
      <c r="G35" s="406">
        <f t="shared" si="2"/>
        <v>0</v>
      </c>
      <c r="H35" s="55">
        <f>SUMIFS(日別入力!$AO:$AO,日別入力!$E:$E,$C35,日別入力!$B:$B,$B35,日別入力!$H:$H,$F35,日別入力!$D:$D,H$7)</f>
        <v>0</v>
      </c>
      <c r="I35" s="55">
        <f>SUMIFS(日別入力!$AO:$AO,日別入力!$E:$E,$C35,日別入力!$B:$B,$B35,日別入力!$H:$H,$F35,日別入力!$D:$D,I$7)</f>
        <v>0</v>
      </c>
      <c r="J35" s="55">
        <f>SUMIFS(日別入力!$AO:$AO,日別入力!$E:$E,$C35,日別入力!$B:$B,$B35,日別入力!$H:$H,$F35,日別入力!$D:$D,J$7)</f>
        <v>0</v>
      </c>
      <c r="K35" s="55">
        <f>SUMIFS(日別入力!$AO:$AO,日別入力!$E:$E,$C35,日別入力!$B:$B,$B35,日別入力!$H:$H,$F35,日別入力!$D:$D,K$7)</f>
        <v>0</v>
      </c>
      <c r="L35" s="55">
        <f>SUMIFS(日別入力!$AO:$AO,日別入力!$E:$E,$C35,日別入力!$B:$B,$B35,日別入力!$H:$H,$F35,日別入力!$D:$D,L$7)</f>
        <v>0</v>
      </c>
      <c r="M35" s="55">
        <f>SUMIFS(日別入力!$AO:$AO,日別入力!$E:$E,$C35,日別入力!$B:$B,$B35,日別入力!$H:$H,$F35,日別入力!$D:$D,M$7)</f>
        <v>0</v>
      </c>
      <c r="N35" s="55">
        <f>SUMIFS(日別入力!$AO:$AO,日別入力!$E:$E,$C35,日別入力!$B:$B,$B35,日別入力!$H:$H,$F35,日別入力!$D:$D,N$7)</f>
        <v>0</v>
      </c>
      <c r="O35" s="55">
        <f>SUMIFS(日別入力!$AO:$AO,日別入力!$E:$E,$C35,日別入力!$B:$B,$B35,日別入力!$H:$H,$F35,日別入力!$D:$D,O$7)</f>
        <v>0</v>
      </c>
      <c r="P35" s="55">
        <f>SUMIFS(日別入力!$AO:$AO,日別入力!$E:$E,$C35,日別入力!$B:$B,$B35,日別入力!$H:$H,$F35,日別入力!$D:$D,P$7)</f>
        <v>0</v>
      </c>
      <c r="Q35" s="55">
        <f>SUMIFS(日別入力!$AO:$AO,日別入力!$E:$E,$C35,日別入力!$B:$B,$B35,日別入力!$H:$H,$F35,日別入力!$D:$D,Q$7)</f>
        <v>0</v>
      </c>
      <c r="R35" s="407">
        <f>SUMIFS(日別入力!$AO:$AO,日別入力!$E:$E,$C35,日別入力!$B:$B,$B35,日別入力!$H:$H,$F35,日別入力!$D:$D,R$7)</f>
        <v>0</v>
      </c>
    </row>
    <row r="36" spans="1:18" s="4" customFormat="1" ht="15" customHeight="1" x14ac:dyDescent="0.2">
      <c r="B36" s="56" t="str">
        <f t="shared" si="1"/>
        <v>&lt;=12</v>
      </c>
      <c r="C36" s="57"/>
      <c r="D36" s="58"/>
      <c r="E36" s="55"/>
      <c r="F36" s="59"/>
      <c r="G36" s="406">
        <f t="shared" si="2"/>
        <v>0</v>
      </c>
      <c r="H36" s="55">
        <f>SUMIFS(日別入力!$AO:$AO,日別入力!$E:$E,$C36,日別入力!$B:$B,$B36,日別入力!$H:$H,$F36,日別入力!$D:$D,H$7)</f>
        <v>0</v>
      </c>
      <c r="I36" s="55">
        <f>SUMIFS(日別入力!$AO:$AO,日別入力!$E:$E,$C36,日別入力!$B:$B,$B36,日別入力!$H:$H,$F36,日別入力!$D:$D,I$7)</f>
        <v>0</v>
      </c>
      <c r="J36" s="55">
        <f>SUMIFS(日別入力!$AO:$AO,日別入力!$E:$E,$C36,日別入力!$B:$B,$B36,日別入力!$H:$H,$F36,日別入力!$D:$D,J$7)</f>
        <v>0</v>
      </c>
      <c r="K36" s="55">
        <f>SUMIFS(日別入力!$AO:$AO,日別入力!$E:$E,$C36,日別入力!$B:$B,$B36,日別入力!$H:$H,$F36,日別入力!$D:$D,K$7)</f>
        <v>0</v>
      </c>
      <c r="L36" s="55">
        <f>SUMIFS(日別入力!$AO:$AO,日別入力!$E:$E,$C36,日別入力!$B:$B,$B36,日別入力!$H:$H,$F36,日別入力!$D:$D,L$7)</f>
        <v>0</v>
      </c>
      <c r="M36" s="55">
        <f>SUMIFS(日別入力!$AO:$AO,日別入力!$E:$E,$C36,日別入力!$B:$B,$B36,日別入力!$H:$H,$F36,日別入力!$D:$D,M$7)</f>
        <v>0</v>
      </c>
      <c r="N36" s="55">
        <f>SUMIFS(日別入力!$AO:$AO,日別入力!$E:$E,$C36,日別入力!$B:$B,$B36,日別入力!$H:$H,$F36,日別入力!$D:$D,N$7)</f>
        <v>0</v>
      </c>
      <c r="O36" s="55">
        <f>SUMIFS(日別入力!$AO:$AO,日別入力!$E:$E,$C36,日別入力!$B:$B,$B36,日別入力!$H:$H,$F36,日別入力!$D:$D,O$7)</f>
        <v>0</v>
      </c>
      <c r="P36" s="55">
        <f>SUMIFS(日別入力!$AO:$AO,日別入力!$E:$E,$C36,日別入力!$B:$B,$B36,日別入力!$H:$H,$F36,日別入力!$D:$D,P$7)</f>
        <v>0</v>
      </c>
      <c r="Q36" s="55">
        <f>SUMIFS(日別入力!$AO:$AO,日別入力!$E:$E,$C36,日別入力!$B:$B,$B36,日別入力!$H:$H,$F36,日別入力!$D:$D,Q$7)</f>
        <v>0</v>
      </c>
      <c r="R36" s="407">
        <f>SUMIFS(日別入力!$AO:$AO,日別入力!$E:$E,$C36,日別入力!$B:$B,$B36,日別入力!$H:$H,$F36,日別入力!$D:$D,R$7)</f>
        <v>0</v>
      </c>
    </row>
    <row r="37" spans="1:18" s="4" customFormat="1" ht="15" customHeight="1" x14ac:dyDescent="0.2">
      <c r="A37" s="4">
        <f t="shared" si="1"/>
        <v>0</v>
      </c>
      <c r="B37" s="56" t="str">
        <f t="shared" si="1"/>
        <v>&lt;=12</v>
      </c>
      <c r="C37" s="57"/>
      <c r="D37" s="58"/>
      <c r="E37" s="55"/>
      <c r="F37" s="59"/>
      <c r="G37" s="406">
        <f t="shared" si="2"/>
        <v>0</v>
      </c>
      <c r="H37" s="55">
        <f>SUMIFS(日別入力!$AO:$AO,日別入力!$E:$E,$C37,日別入力!$B:$B,$B37,日別入力!$H:$H,$F37,日別入力!$D:$D,H$7)</f>
        <v>0</v>
      </c>
      <c r="I37" s="55">
        <f>SUMIFS(日別入力!$AO:$AO,日別入力!$E:$E,$C37,日別入力!$B:$B,$B37,日別入力!$H:$H,$F37,日別入力!$D:$D,I$7)</f>
        <v>0</v>
      </c>
      <c r="J37" s="55">
        <f>SUMIFS(日別入力!$AO:$AO,日別入力!$E:$E,$C37,日別入力!$B:$B,$B37,日別入力!$H:$H,$F37,日別入力!$D:$D,J$7)</f>
        <v>0</v>
      </c>
      <c r="K37" s="55">
        <f>SUMIFS(日別入力!$AO:$AO,日別入力!$E:$E,$C37,日別入力!$B:$B,$B37,日別入力!$H:$H,$F37,日別入力!$D:$D,K$7)</f>
        <v>0</v>
      </c>
      <c r="L37" s="55">
        <f>SUMIFS(日別入力!$AO:$AO,日別入力!$E:$E,$C37,日別入力!$B:$B,$B37,日別入力!$H:$H,$F37,日別入力!$D:$D,L$7)</f>
        <v>0</v>
      </c>
      <c r="M37" s="55">
        <f>SUMIFS(日別入力!$AO:$AO,日別入力!$E:$E,$C37,日別入力!$B:$B,$B37,日別入力!$H:$H,$F37,日別入力!$D:$D,M$7)</f>
        <v>0</v>
      </c>
      <c r="N37" s="55">
        <f>SUMIFS(日別入力!$AO:$AO,日別入力!$E:$E,$C37,日別入力!$B:$B,$B37,日別入力!$H:$H,$F37,日別入力!$D:$D,N$7)</f>
        <v>0</v>
      </c>
      <c r="O37" s="55">
        <f>SUMIFS(日別入力!$AO:$AO,日別入力!$E:$E,$C37,日別入力!$B:$B,$B37,日別入力!$H:$H,$F37,日別入力!$D:$D,O$7)</f>
        <v>0</v>
      </c>
      <c r="P37" s="55">
        <f>SUMIFS(日別入力!$AO:$AO,日別入力!$E:$E,$C37,日別入力!$B:$B,$B37,日別入力!$H:$H,$F37,日別入力!$D:$D,P$7)</f>
        <v>0</v>
      </c>
      <c r="Q37" s="55">
        <f>SUMIFS(日別入力!$AO:$AO,日別入力!$E:$E,$C37,日別入力!$B:$B,$B37,日別入力!$H:$H,$F37,日別入力!$D:$D,Q$7)</f>
        <v>0</v>
      </c>
      <c r="R37" s="407">
        <f>SUMIFS(日別入力!$AO:$AO,日別入力!$E:$E,$C37,日別入力!$B:$B,$B37,日別入力!$H:$H,$F37,日別入力!$D:$D,R$7)</f>
        <v>0</v>
      </c>
    </row>
    <row r="38" spans="1:18" s="4" customFormat="1" ht="15" customHeight="1" x14ac:dyDescent="0.2">
      <c r="A38" s="4">
        <f t="shared" ref="A38:B101" si="3">A$9</f>
        <v>0</v>
      </c>
      <c r="B38" s="53" t="str">
        <f t="shared" si="3"/>
        <v>&lt;=12</v>
      </c>
      <c r="C38" s="54"/>
      <c r="D38" s="58"/>
      <c r="E38" s="55"/>
      <c r="F38" s="59"/>
      <c r="G38" s="406">
        <f t="shared" si="2"/>
        <v>0</v>
      </c>
      <c r="H38" s="55">
        <f>SUMIFS(日別入力!$AO:$AO,日別入力!$E:$E,$C38,日別入力!$B:$B,$B38,日別入力!$H:$H,$F38,日別入力!$D:$D,H$7)</f>
        <v>0</v>
      </c>
      <c r="I38" s="55">
        <f>SUMIFS(日別入力!$AO:$AO,日別入力!$E:$E,$C38,日別入力!$B:$B,$B38,日別入力!$H:$H,$F38,日別入力!$D:$D,I$7)</f>
        <v>0</v>
      </c>
      <c r="J38" s="55">
        <f>SUMIFS(日別入力!$AO:$AO,日別入力!$E:$E,$C38,日別入力!$B:$B,$B38,日別入力!$H:$H,$F38,日別入力!$D:$D,J$7)</f>
        <v>0</v>
      </c>
      <c r="K38" s="55">
        <f>SUMIFS(日別入力!$AO:$AO,日別入力!$E:$E,$C38,日別入力!$B:$B,$B38,日別入力!$H:$H,$F38,日別入力!$D:$D,K$7)</f>
        <v>0</v>
      </c>
      <c r="L38" s="55">
        <f>SUMIFS(日別入力!$AO:$AO,日別入力!$E:$E,$C38,日別入力!$B:$B,$B38,日別入力!$H:$H,$F38,日別入力!$D:$D,L$7)</f>
        <v>0</v>
      </c>
      <c r="M38" s="55">
        <f>SUMIFS(日別入力!$AO:$AO,日別入力!$E:$E,$C38,日別入力!$B:$B,$B38,日別入力!$H:$H,$F38,日別入力!$D:$D,M$7)</f>
        <v>0</v>
      </c>
      <c r="N38" s="55">
        <f>SUMIFS(日別入力!$AO:$AO,日別入力!$E:$E,$C38,日別入力!$B:$B,$B38,日別入力!$H:$H,$F38,日別入力!$D:$D,N$7)</f>
        <v>0</v>
      </c>
      <c r="O38" s="55">
        <f>SUMIFS(日別入力!$AO:$AO,日別入力!$E:$E,$C38,日別入力!$B:$B,$B38,日別入力!$H:$H,$F38,日別入力!$D:$D,O$7)</f>
        <v>0</v>
      </c>
      <c r="P38" s="55">
        <f>SUMIFS(日別入力!$AO:$AO,日別入力!$E:$E,$C38,日別入力!$B:$B,$B38,日別入力!$H:$H,$F38,日別入力!$D:$D,P$7)</f>
        <v>0</v>
      </c>
      <c r="Q38" s="55">
        <f>SUMIFS(日別入力!$AO:$AO,日別入力!$E:$E,$C38,日別入力!$B:$B,$B38,日別入力!$H:$H,$F38,日別入力!$D:$D,Q$7)</f>
        <v>0</v>
      </c>
      <c r="R38" s="407">
        <f>SUMIFS(日別入力!$AO:$AO,日別入力!$E:$E,$C38,日別入力!$B:$B,$B38,日別入力!$H:$H,$F38,日別入力!$D:$D,R$7)</f>
        <v>0</v>
      </c>
    </row>
    <row r="39" spans="1:18" s="4" customFormat="1" ht="15" customHeight="1" x14ac:dyDescent="0.2">
      <c r="A39" s="4">
        <f t="shared" si="3"/>
        <v>0</v>
      </c>
      <c r="B39" s="53" t="str">
        <f t="shared" si="3"/>
        <v>&lt;=12</v>
      </c>
      <c r="C39" s="54"/>
      <c r="D39" s="58"/>
      <c r="E39" s="55"/>
      <c r="F39" s="59"/>
      <c r="G39" s="406">
        <f t="shared" si="2"/>
        <v>0</v>
      </c>
      <c r="H39" s="55">
        <f>SUMIFS(日別入力!$AO:$AO,日別入力!$E:$E,$C39,日別入力!$B:$B,$B39,日別入力!$H:$H,$F39,日別入力!$D:$D,H$7)</f>
        <v>0</v>
      </c>
      <c r="I39" s="55">
        <f>SUMIFS(日別入力!$AO:$AO,日別入力!$E:$E,$C39,日別入力!$B:$B,$B39,日別入力!$H:$H,$F39,日別入力!$D:$D,I$7)</f>
        <v>0</v>
      </c>
      <c r="J39" s="55">
        <f>SUMIFS(日別入力!$AO:$AO,日別入力!$E:$E,$C39,日別入力!$B:$B,$B39,日別入力!$H:$H,$F39,日別入力!$D:$D,J$7)</f>
        <v>0</v>
      </c>
      <c r="K39" s="55">
        <f>SUMIFS(日別入力!$AO:$AO,日別入力!$E:$E,$C39,日別入力!$B:$B,$B39,日別入力!$H:$H,$F39,日別入力!$D:$D,K$7)</f>
        <v>0</v>
      </c>
      <c r="L39" s="55">
        <f>SUMIFS(日別入力!$AO:$AO,日別入力!$E:$E,$C39,日別入力!$B:$B,$B39,日別入力!$H:$H,$F39,日別入力!$D:$D,L$7)</f>
        <v>0</v>
      </c>
      <c r="M39" s="55">
        <f>SUMIFS(日別入力!$AO:$AO,日別入力!$E:$E,$C39,日別入力!$B:$B,$B39,日別入力!$H:$H,$F39,日別入力!$D:$D,M$7)</f>
        <v>0</v>
      </c>
      <c r="N39" s="55">
        <f>SUMIFS(日別入力!$AO:$AO,日別入力!$E:$E,$C39,日別入力!$B:$B,$B39,日別入力!$H:$H,$F39,日別入力!$D:$D,N$7)</f>
        <v>0</v>
      </c>
      <c r="O39" s="55">
        <f>SUMIFS(日別入力!$AO:$AO,日別入力!$E:$E,$C39,日別入力!$B:$B,$B39,日別入力!$H:$H,$F39,日別入力!$D:$D,O$7)</f>
        <v>0</v>
      </c>
      <c r="P39" s="55">
        <f>SUMIFS(日別入力!$AO:$AO,日別入力!$E:$E,$C39,日別入力!$B:$B,$B39,日別入力!$H:$H,$F39,日別入力!$D:$D,P$7)</f>
        <v>0</v>
      </c>
      <c r="Q39" s="55">
        <f>SUMIFS(日別入力!$AO:$AO,日別入力!$E:$E,$C39,日別入力!$B:$B,$B39,日別入力!$H:$H,$F39,日別入力!$D:$D,Q$7)</f>
        <v>0</v>
      </c>
      <c r="R39" s="407">
        <f>SUMIFS(日別入力!$AO:$AO,日別入力!$E:$E,$C39,日別入力!$B:$B,$B39,日別入力!$H:$H,$F39,日別入力!$D:$D,R$7)</f>
        <v>0</v>
      </c>
    </row>
    <row r="40" spans="1:18" s="4" customFormat="1" ht="15" customHeight="1" x14ac:dyDescent="0.2">
      <c r="A40" s="4">
        <f t="shared" si="3"/>
        <v>0</v>
      </c>
      <c r="B40" s="53" t="str">
        <f t="shared" si="3"/>
        <v>&lt;=12</v>
      </c>
      <c r="C40" s="54"/>
      <c r="D40" s="58"/>
      <c r="E40" s="55"/>
      <c r="F40" s="59"/>
      <c r="G40" s="406">
        <f t="shared" si="2"/>
        <v>0</v>
      </c>
      <c r="H40" s="55">
        <f>SUMIFS(日別入力!$AO:$AO,日別入力!$E:$E,$C40,日別入力!$B:$B,$B40,日別入力!$H:$H,$F40,日別入力!$D:$D,H$7)</f>
        <v>0</v>
      </c>
      <c r="I40" s="55">
        <f>SUMIFS(日別入力!$AO:$AO,日別入力!$E:$E,$C40,日別入力!$B:$B,$B40,日別入力!$H:$H,$F40,日別入力!$D:$D,I$7)</f>
        <v>0</v>
      </c>
      <c r="J40" s="55">
        <f>SUMIFS(日別入力!$AO:$AO,日別入力!$E:$E,$C40,日別入力!$B:$B,$B40,日別入力!$H:$H,$F40,日別入力!$D:$D,J$7)</f>
        <v>0</v>
      </c>
      <c r="K40" s="55">
        <f>SUMIFS(日別入力!$AO:$AO,日別入力!$E:$E,$C40,日別入力!$B:$B,$B40,日別入力!$H:$H,$F40,日別入力!$D:$D,K$7)</f>
        <v>0</v>
      </c>
      <c r="L40" s="55">
        <f>SUMIFS(日別入力!$AO:$AO,日別入力!$E:$E,$C40,日別入力!$B:$B,$B40,日別入力!$H:$H,$F40,日別入力!$D:$D,L$7)</f>
        <v>0</v>
      </c>
      <c r="M40" s="55">
        <f>SUMIFS(日別入力!$AO:$AO,日別入力!$E:$E,$C40,日別入力!$B:$B,$B40,日別入力!$H:$H,$F40,日別入力!$D:$D,M$7)</f>
        <v>0</v>
      </c>
      <c r="N40" s="55">
        <f>SUMIFS(日別入力!$AO:$AO,日別入力!$E:$E,$C40,日別入力!$B:$B,$B40,日別入力!$H:$H,$F40,日別入力!$D:$D,N$7)</f>
        <v>0</v>
      </c>
      <c r="O40" s="55">
        <f>SUMIFS(日別入力!$AO:$AO,日別入力!$E:$E,$C40,日別入力!$B:$B,$B40,日別入力!$H:$H,$F40,日別入力!$D:$D,O$7)</f>
        <v>0</v>
      </c>
      <c r="P40" s="55">
        <f>SUMIFS(日別入力!$AO:$AO,日別入力!$E:$E,$C40,日別入力!$B:$B,$B40,日別入力!$H:$H,$F40,日別入力!$D:$D,P$7)</f>
        <v>0</v>
      </c>
      <c r="Q40" s="55">
        <f>SUMIFS(日別入力!$AO:$AO,日別入力!$E:$E,$C40,日別入力!$B:$B,$B40,日別入力!$H:$H,$F40,日別入力!$D:$D,Q$7)</f>
        <v>0</v>
      </c>
      <c r="R40" s="407">
        <f>SUMIFS(日別入力!$AO:$AO,日別入力!$E:$E,$C40,日別入力!$B:$B,$B40,日別入力!$H:$H,$F40,日別入力!$D:$D,R$7)</f>
        <v>0</v>
      </c>
    </row>
    <row r="41" spans="1:18" s="4" customFormat="1" ht="15" customHeight="1" x14ac:dyDescent="0.2">
      <c r="A41" s="4">
        <f t="shared" si="3"/>
        <v>0</v>
      </c>
      <c r="B41" s="53" t="str">
        <f t="shared" si="3"/>
        <v>&lt;=12</v>
      </c>
      <c r="C41" s="54"/>
      <c r="D41" s="58"/>
      <c r="E41" s="55"/>
      <c r="F41" s="59"/>
      <c r="G41" s="406">
        <f t="shared" si="2"/>
        <v>0</v>
      </c>
      <c r="H41" s="55">
        <f>SUMIFS(日別入力!$AO:$AO,日別入力!$E:$E,$C41,日別入力!$B:$B,$B41,日別入力!$H:$H,$F41,日別入力!$D:$D,H$7)</f>
        <v>0</v>
      </c>
      <c r="I41" s="55">
        <f>SUMIFS(日別入力!$AO:$AO,日別入力!$E:$E,$C41,日別入力!$B:$B,$B41,日別入力!$H:$H,$F41,日別入力!$D:$D,I$7)</f>
        <v>0</v>
      </c>
      <c r="J41" s="55">
        <f>SUMIFS(日別入力!$AO:$AO,日別入力!$E:$E,$C41,日別入力!$B:$B,$B41,日別入力!$H:$H,$F41,日別入力!$D:$D,J$7)</f>
        <v>0</v>
      </c>
      <c r="K41" s="55">
        <f>SUMIFS(日別入力!$AO:$AO,日別入力!$E:$E,$C41,日別入力!$B:$B,$B41,日別入力!$H:$H,$F41,日別入力!$D:$D,K$7)</f>
        <v>0</v>
      </c>
      <c r="L41" s="55">
        <f>SUMIFS(日別入力!$AO:$AO,日別入力!$E:$E,$C41,日別入力!$B:$B,$B41,日別入力!$H:$H,$F41,日別入力!$D:$D,L$7)</f>
        <v>0</v>
      </c>
      <c r="M41" s="55">
        <f>SUMIFS(日別入力!$AO:$AO,日別入力!$E:$E,$C41,日別入力!$B:$B,$B41,日別入力!$H:$H,$F41,日別入力!$D:$D,M$7)</f>
        <v>0</v>
      </c>
      <c r="N41" s="55">
        <f>SUMIFS(日別入力!$AO:$AO,日別入力!$E:$E,$C41,日別入力!$B:$B,$B41,日別入力!$H:$H,$F41,日別入力!$D:$D,N$7)</f>
        <v>0</v>
      </c>
      <c r="O41" s="55">
        <f>SUMIFS(日別入力!$AO:$AO,日別入力!$E:$E,$C41,日別入力!$B:$B,$B41,日別入力!$H:$H,$F41,日別入力!$D:$D,O$7)</f>
        <v>0</v>
      </c>
      <c r="P41" s="55">
        <f>SUMIFS(日別入力!$AO:$AO,日別入力!$E:$E,$C41,日別入力!$B:$B,$B41,日別入力!$H:$H,$F41,日別入力!$D:$D,P$7)</f>
        <v>0</v>
      </c>
      <c r="Q41" s="55">
        <f>SUMIFS(日別入力!$AO:$AO,日別入力!$E:$E,$C41,日別入力!$B:$B,$B41,日別入力!$H:$H,$F41,日別入力!$D:$D,Q$7)</f>
        <v>0</v>
      </c>
      <c r="R41" s="407">
        <f>SUMIFS(日別入力!$AO:$AO,日別入力!$E:$E,$C41,日別入力!$B:$B,$B41,日別入力!$H:$H,$F41,日別入力!$D:$D,R$7)</f>
        <v>0</v>
      </c>
    </row>
    <row r="42" spans="1:18" s="4" customFormat="1" ht="15" customHeight="1" x14ac:dyDescent="0.2">
      <c r="A42" s="4">
        <f t="shared" si="3"/>
        <v>0</v>
      </c>
      <c r="B42" s="53" t="str">
        <f t="shared" si="3"/>
        <v>&lt;=12</v>
      </c>
      <c r="C42" s="54"/>
      <c r="D42" s="58"/>
      <c r="E42" s="55"/>
      <c r="F42" s="59"/>
      <c r="G42" s="406">
        <f t="shared" si="2"/>
        <v>0</v>
      </c>
      <c r="H42" s="55">
        <f>SUMIFS(日別入力!$AO:$AO,日別入力!$E:$E,$C42,日別入力!$B:$B,$B42,日別入力!$H:$H,$F42,日別入力!$D:$D,H$7)</f>
        <v>0</v>
      </c>
      <c r="I42" s="55">
        <f>SUMIFS(日別入力!$AO:$AO,日別入力!$E:$E,$C42,日別入力!$B:$B,$B42,日別入力!$H:$H,$F42,日別入力!$D:$D,I$7)</f>
        <v>0</v>
      </c>
      <c r="J42" s="55">
        <f>SUMIFS(日別入力!$AO:$AO,日別入力!$E:$E,$C42,日別入力!$B:$B,$B42,日別入力!$H:$H,$F42,日別入力!$D:$D,J$7)</f>
        <v>0</v>
      </c>
      <c r="K42" s="55">
        <f>SUMIFS(日別入力!$AO:$AO,日別入力!$E:$E,$C42,日別入力!$B:$B,$B42,日別入力!$H:$H,$F42,日別入力!$D:$D,K$7)</f>
        <v>0</v>
      </c>
      <c r="L42" s="55">
        <f>SUMIFS(日別入力!$AO:$AO,日別入力!$E:$E,$C42,日別入力!$B:$B,$B42,日別入力!$H:$H,$F42,日別入力!$D:$D,L$7)</f>
        <v>0</v>
      </c>
      <c r="M42" s="55">
        <f>SUMIFS(日別入力!$AO:$AO,日別入力!$E:$E,$C42,日別入力!$B:$B,$B42,日別入力!$H:$H,$F42,日別入力!$D:$D,M$7)</f>
        <v>0</v>
      </c>
      <c r="N42" s="55">
        <f>SUMIFS(日別入力!$AO:$AO,日別入力!$E:$E,$C42,日別入力!$B:$B,$B42,日別入力!$H:$H,$F42,日別入力!$D:$D,N$7)</f>
        <v>0</v>
      </c>
      <c r="O42" s="55">
        <f>SUMIFS(日別入力!$AO:$AO,日別入力!$E:$E,$C42,日別入力!$B:$B,$B42,日別入力!$H:$H,$F42,日別入力!$D:$D,O$7)</f>
        <v>0</v>
      </c>
      <c r="P42" s="55">
        <f>SUMIFS(日別入力!$AO:$AO,日別入力!$E:$E,$C42,日別入力!$B:$B,$B42,日別入力!$H:$H,$F42,日別入力!$D:$D,P$7)</f>
        <v>0</v>
      </c>
      <c r="Q42" s="55">
        <f>SUMIFS(日別入力!$AO:$AO,日別入力!$E:$E,$C42,日別入力!$B:$B,$B42,日別入力!$H:$H,$F42,日別入力!$D:$D,Q$7)</f>
        <v>0</v>
      </c>
      <c r="R42" s="407">
        <f>SUMIFS(日別入力!$AO:$AO,日別入力!$E:$E,$C42,日別入力!$B:$B,$B42,日別入力!$H:$H,$F42,日別入力!$D:$D,R$7)</f>
        <v>0</v>
      </c>
    </row>
    <row r="43" spans="1:18" s="4" customFormat="1" ht="15" customHeight="1" x14ac:dyDescent="0.2">
      <c r="A43" s="4">
        <f t="shared" si="3"/>
        <v>0</v>
      </c>
      <c r="B43" s="53" t="str">
        <f t="shared" si="3"/>
        <v>&lt;=12</v>
      </c>
      <c r="C43" s="54"/>
      <c r="D43" s="58"/>
      <c r="E43" s="55"/>
      <c r="F43" s="59"/>
      <c r="G43" s="406">
        <f t="shared" si="2"/>
        <v>0</v>
      </c>
      <c r="H43" s="55">
        <f>SUMIFS(日別入力!$AO:$AO,日別入力!$E:$E,$C43,日別入力!$B:$B,$B43,日別入力!$H:$H,$F43,日別入力!$D:$D,H$7)</f>
        <v>0</v>
      </c>
      <c r="I43" s="55">
        <f>SUMIFS(日別入力!$AO:$AO,日別入力!$E:$E,$C43,日別入力!$B:$B,$B43,日別入力!$H:$H,$F43,日別入力!$D:$D,I$7)</f>
        <v>0</v>
      </c>
      <c r="J43" s="55">
        <f>SUMIFS(日別入力!$AO:$AO,日別入力!$E:$E,$C43,日別入力!$B:$B,$B43,日別入力!$H:$H,$F43,日別入力!$D:$D,J$7)</f>
        <v>0</v>
      </c>
      <c r="K43" s="55">
        <f>SUMIFS(日別入力!$AO:$AO,日別入力!$E:$E,$C43,日別入力!$B:$B,$B43,日別入力!$H:$H,$F43,日別入力!$D:$D,K$7)</f>
        <v>0</v>
      </c>
      <c r="L43" s="55">
        <f>SUMIFS(日別入力!$AO:$AO,日別入力!$E:$E,$C43,日別入力!$B:$B,$B43,日別入力!$H:$H,$F43,日別入力!$D:$D,L$7)</f>
        <v>0</v>
      </c>
      <c r="M43" s="55">
        <f>SUMIFS(日別入力!$AO:$AO,日別入力!$E:$E,$C43,日別入力!$B:$B,$B43,日別入力!$H:$H,$F43,日別入力!$D:$D,M$7)</f>
        <v>0</v>
      </c>
      <c r="N43" s="55">
        <f>SUMIFS(日別入力!$AO:$AO,日別入力!$E:$E,$C43,日別入力!$B:$B,$B43,日別入力!$H:$H,$F43,日別入力!$D:$D,N$7)</f>
        <v>0</v>
      </c>
      <c r="O43" s="55">
        <f>SUMIFS(日別入力!$AO:$AO,日別入力!$E:$E,$C43,日別入力!$B:$B,$B43,日別入力!$H:$H,$F43,日別入力!$D:$D,O$7)</f>
        <v>0</v>
      </c>
      <c r="P43" s="55">
        <f>SUMIFS(日別入力!$AO:$AO,日別入力!$E:$E,$C43,日別入力!$B:$B,$B43,日別入力!$H:$H,$F43,日別入力!$D:$D,P$7)</f>
        <v>0</v>
      </c>
      <c r="Q43" s="55">
        <f>SUMIFS(日別入力!$AO:$AO,日別入力!$E:$E,$C43,日別入力!$B:$B,$B43,日別入力!$H:$H,$F43,日別入力!$D:$D,Q$7)</f>
        <v>0</v>
      </c>
      <c r="R43" s="407">
        <f>SUMIFS(日別入力!$AO:$AO,日別入力!$E:$E,$C43,日別入力!$B:$B,$B43,日別入力!$H:$H,$F43,日別入力!$D:$D,R$7)</f>
        <v>0</v>
      </c>
    </row>
    <row r="44" spans="1:18" s="4" customFormat="1" ht="15" customHeight="1" x14ac:dyDescent="0.2">
      <c r="A44" s="4">
        <f t="shared" si="3"/>
        <v>0</v>
      </c>
      <c r="B44" s="53" t="str">
        <f t="shared" si="3"/>
        <v>&lt;=12</v>
      </c>
      <c r="C44" s="54"/>
      <c r="D44" s="58"/>
      <c r="E44" s="55"/>
      <c r="F44" s="59"/>
      <c r="G44" s="406">
        <f t="shared" si="2"/>
        <v>0</v>
      </c>
      <c r="H44" s="55">
        <f>SUMIFS(日別入力!$AO:$AO,日別入力!$E:$E,$C44,日別入力!$B:$B,$B44,日別入力!$H:$H,$F44,日別入力!$D:$D,H$7)</f>
        <v>0</v>
      </c>
      <c r="I44" s="55">
        <f>SUMIFS(日別入力!$AO:$AO,日別入力!$E:$E,$C44,日別入力!$B:$B,$B44,日別入力!$H:$H,$F44,日別入力!$D:$D,I$7)</f>
        <v>0</v>
      </c>
      <c r="J44" s="55">
        <f>SUMIFS(日別入力!$AO:$AO,日別入力!$E:$E,$C44,日別入力!$B:$B,$B44,日別入力!$H:$H,$F44,日別入力!$D:$D,J$7)</f>
        <v>0</v>
      </c>
      <c r="K44" s="55">
        <f>SUMIFS(日別入力!$AO:$AO,日別入力!$E:$E,$C44,日別入力!$B:$B,$B44,日別入力!$H:$H,$F44,日別入力!$D:$D,K$7)</f>
        <v>0</v>
      </c>
      <c r="L44" s="55">
        <f>SUMIFS(日別入力!$AO:$AO,日別入力!$E:$E,$C44,日別入力!$B:$B,$B44,日別入力!$H:$H,$F44,日別入力!$D:$D,L$7)</f>
        <v>0</v>
      </c>
      <c r="M44" s="55">
        <f>SUMIFS(日別入力!$AO:$AO,日別入力!$E:$E,$C44,日別入力!$B:$B,$B44,日別入力!$H:$H,$F44,日別入力!$D:$D,M$7)</f>
        <v>0</v>
      </c>
      <c r="N44" s="55">
        <f>SUMIFS(日別入力!$AO:$AO,日別入力!$E:$E,$C44,日別入力!$B:$B,$B44,日別入力!$H:$H,$F44,日別入力!$D:$D,N$7)</f>
        <v>0</v>
      </c>
      <c r="O44" s="55">
        <f>SUMIFS(日別入力!$AO:$AO,日別入力!$E:$E,$C44,日別入力!$B:$B,$B44,日別入力!$H:$H,$F44,日別入力!$D:$D,O$7)</f>
        <v>0</v>
      </c>
      <c r="P44" s="55">
        <f>SUMIFS(日別入力!$AO:$AO,日別入力!$E:$E,$C44,日別入力!$B:$B,$B44,日別入力!$H:$H,$F44,日別入力!$D:$D,P$7)</f>
        <v>0</v>
      </c>
      <c r="Q44" s="55">
        <f>SUMIFS(日別入力!$AO:$AO,日別入力!$E:$E,$C44,日別入力!$B:$B,$B44,日別入力!$H:$H,$F44,日別入力!$D:$D,Q$7)</f>
        <v>0</v>
      </c>
      <c r="R44" s="407">
        <f>SUMIFS(日別入力!$AO:$AO,日別入力!$E:$E,$C44,日別入力!$B:$B,$B44,日別入力!$H:$H,$F44,日別入力!$D:$D,R$7)</f>
        <v>0</v>
      </c>
    </row>
    <row r="45" spans="1:18" s="4" customFormat="1" ht="15" customHeight="1" x14ac:dyDescent="0.2">
      <c r="A45" s="4">
        <f t="shared" si="3"/>
        <v>0</v>
      </c>
      <c r="B45" s="53" t="str">
        <f t="shared" si="3"/>
        <v>&lt;=12</v>
      </c>
      <c r="C45" s="54"/>
      <c r="D45" s="58"/>
      <c r="E45" s="55"/>
      <c r="F45" s="59"/>
      <c r="G45" s="406">
        <f t="shared" si="2"/>
        <v>0</v>
      </c>
      <c r="H45" s="55">
        <f>SUMIFS(日別入力!$AO:$AO,日別入力!$E:$E,$C45,日別入力!$B:$B,$B45,日別入力!$H:$H,$F45,日別入力!$D:$D,H$7)</f>
        <v>0</v>
      </c>
      <c r="I45" s="55">
        <f>SUMIFS(日別入力!$AO:$AO,日別入力!$E:$E,$C45,日別入力!$B:$B,$B45,日別入力!$H:$H,$F45,日別入力!$D:$D,I$7)</f>
        <v>0</v>
      </c>
      <c r="J45" s="55">
        <f>SUMIFS(日別入力!$AO:$AO,日別入力!$E:$E,$C45,日別入力!$B:$B,$B45,日別入力!$H:$H,$F45,日別入力!$D:$D,J$7)</f>
        <v>0</v>
      </c>
      <c r="K45" s="55">
        <f>SUMIFS(日別入力!$AO:$AO,日別入力!$E:$E,$C45,日別入力!$B:$B,$B45,日別入力!$H:$H,$F45,日別入力!$D:$D,K$7)</f>
        <v>0</v>
      </c>
      <c r="L45" s="55">
        <f>SUMIFS(日別入力!$AO:$AO,日別入力!$E:$E,$C45,日別入力!$B:$B,$B45,日別入力!$H:$H,$F45,日別入力!$D:$D,L$7)</f>
        <v>0</v>
      </c>
      <c r="M45" s="55">
        <f>SUMIFS(日別入力!$AO:$AO,日別入力!$E:$E,$C45,日別入力!$B:$B,$B45,日別入力!$H:$H,$F45,日別入力!$D:$D,M$7)</f>
        <v>0</v>
      </c>
      <c r="N45" s="55">
        <f>SUMIFS(日別入力!$AO:$AO,日別入力!$E:$E,$C45,日別入力!$B:$B,$B45,日別入力!$H:$H,$F45,日別入力!$D:$D,N$7)</f>
        <v>0</v>
      </c>
      <c r="O45" s="55">
        <f>SUMIFS(日別入力!$AO:$AO,日別入力!$E:$E,$C45,日別入力!$B:$B,$B45,日別入力!$H:$H,$F45,日別入力!$D:$D,O$7)</f>
        <v>0</v>
      </c>
      <c r="P45" s="55">
        <f>SUMIFS(日別入力!$AO:$AO,日別入力!$E:$E,$C45,日別入力!$B:$B,$B45,日別入力!$H:$H,$F45,日別入力!$D:$D,P$7)</f>
        <v>0</v>
      </c>
      <c r="Q45" s="55">
        <f>SUMIFS(日別入力!$AO:$AO,日別入力!$E:$E,$C45,日別入力!$B:$B,$B45,日別入力!$H:$H,$F45,日別入力!$D:$D,Q$7)</f>
        <v>0</v>
      </c>
      <c r="R45" s="407">
        <f>SUMIFS(日別入力!$AO:$AO,日別入力!$E:$E,$C45,日別入力!$B:$B,$B45,日別入力!$H:$H,$F45,日別入力!$D:$D,R$7)</f>
        <v>0</v>
      </c>
    </row>
    <row r="46" spans="1:18" s="4" customFormat="1" ht="15" customHeight="1" x14ac:dyDescent="0.2">
      <c r="A46" s="4">
        <f t="shared" si="3"/>
        <v>0</v>
      </c>
      <c r="B46" s="53" t="str">
        <f t="shared" si="3"/>
        <v>&lt;=12</v>
      </c>
      <c r="C46" s="54"/>
      <c r="D46" s="58"/>
      <c r="E46" s="55"/>
      <c r="F46" s="59"/>
      <c r="G46" s="406">
        <f t="shared" si="2"/>
        <v>0</v>
      </c>
      <c r="H46" s="55">
        <f>SUMIFS(日別入力!$AO:$AO,日別入力!$E:$E,$C46,日別入力!$B:$B,$B46,日別入力!$H:$H,$F46,日別入力!$D:$D,H$7)</f>
        <v>0</v>
      </c>
      <c r="I46" s="55">
        <f>SUMIFS(日別入力!$AO:$AO,日別入力!$E:$E,$C46,日別入力!$B:$B,$B46,日別入力!$H:$H,$F46,日別入力!$D:$D,I$7)</f>
        <v>0</v>
      </c>
      <c r="J46" s="55">
        <f>SUMIFS(日別入力!$AO:$AO,日別入力!$E:$E,$C46,日別入力!$B:$B,$B46,日別入力!$H:$H,$F46,日別入力!$D:$D,J$7)</f>
        <v>0</v>
      </c>
      <c r="K46" s="55">
        <f>SUMIFS(日別入力!$AO:$AO,日別入力!$E:$E,$C46,日別入力!$B:$B,$B46,日別入力!$H:$H,$F46,日別入力!$D:$D,K$7)</f>
        <v>0</v>
      </c>
      <c r="L46" s="55">
        <f>SUMIFS(日別入力!$AO:$AO,日別入力!$E:$E,$C46,日別入力!$B:$B,$B46,日別入力!$H:$H,$F46,日別入力!$D:$D,L$7)</f>
        <v>0</v>
      </c>
      <c r="M46" s="55">
        <f>SUMIFS(日別入力!$AO:$AO,日別入力!$E:$E,$C46,日別入力!$B:$B,$B46,日別入力!$H:$H,$F46,日別入力!$D:$D,M$7)</f>
        <v>0</v>
      </c>
      <c r="N46" s="55">
        <f>SUMIFS(日別入力!$AO:$AO,日別入力!$E:$E,$C46,日別入力!$B:$B,$B46,日別入力!$H:$H,$F46,日別入力!$D:$D,N$7)</f>
        <v>0</v>
      </c>
      <c r="O46" s="55">
        <f>SUMIFS(日別入力!$AO:$AO,日別入力!$E:$E,$C46,日別入力!$B:$B,$B46,日別入力!$H:$H,$F46,日別入力!$D:$D,O$7)</f>
        <v>0</v>
      </c>
      <c r="P46" s="55">
        <f>SUMIFS(日別入力!$AO:$AO,日別入力!$E:$E,$C46,日別入力!$B:$B,$B46,日別入力!$H:$H,$F46,日別入力!$D:$D,P$7)</f>
        <v>0</v>
      </c>
      <c r="Q46" s="55">
        <f>SUMIFS(日別入力!$AO:$AO,日別入力!$E:$E,$C46,日別入力!$B:$B,$B46,日別入力!$H:$H,$F46,日別入力!$D:$D,Q$7)</f>
        <v>0</v>
      </c>
      <c r="R46" s="407">
        <f>SUMIFS(日別入力!$AO:$AO,日別入力!$E:$E,$C46,日別入力!$B:$B,$B46,日別入力!$H:$H,$F46,日別入力!$D:$D,R$7)</f>
        <v>0</v>
      </c>
    </row>
    <row r="47" spans="1:18" s="4" customFormat="1" ht="15" customHeight="1" x14ac:dyDescent="0.2">
      <c r="A47" s="4">
        <f t="shared" si="3"/>
        <v>0</v>
      </c>
      <c r="B47" s="53" t="str">
        <f t="shared" si="3"/>
        <v>&lt;=12</v>
      </c>
      <c r="C47" s="54"/>
      <c r="D47" s="58"/>
      <c r="E47" s="55"/>
      <c r="F47" s="59"/>
      <c r="G47" s="406">
        <f t="shared" si="2"/>
        <v>0</v>
      </c>
      <c r="H47" s="55">
        <f>SUMIFS(日別入力!$AO:$AO,日別入力!$E:$E,$C47,日別入力!$B:$B,$B47,日別入力!$H:$H,$F47,日別入力!$D:$D,H$7)</f>
        <v>0</v>
      </c>
      <c r="I47" s="55">
        <f>SUMIFS(日別入力!$AO:$AO,日別入力!$E:$E,$C47,日別入力!$B:$B,$B47,日別入力!$H:$H,$F47,日別入力!$D:$D,I$7)</f>
        <v>0</v>
      </c>
      <c r="J47" s="55">
        <f>SUMIFS(日別入力!$AO:$AO,日別入力!$E:$E,$C47,日別入力!$B:$B,$B47,日別入力!$H:$H,$F47,日別入力!$D:$D,J$7)</f>
        <v>0</v>
      </c>
      <c r="K47" s="55">
        <f>SUMIFS(日別入力!$AO:$AO,日別入力!$E:$E,$C47,日別入力!$B:$B,$B47,日別入力!$H:$H,$F47,日別入力!$D:$D,K$7)</f>
        <v>0</v>
      </c>
      <c r="L47" s="55">
        <f>SUMIFS(日別入力!$AO:$AO,日別入力!$E:$E,$C47,日別入力!$B:$B,$B47,日別入力!$H:$H,$F47,日別入力!$D:$D,L$7)</f>
        <v>0</v>
      </c>
      <c r="M47" s="55">
        <f>SUMIFS(日別入力!$AO:$AO,日別入力!$E:$E,$C47,日別入力!$B:$B,$B47,日別入力!$H:$H,$F47,日別入力!$D:$D,M$7)</f>
        <v>0</v>
      </c>
      <c r="N47" s="55">
        <f>SUMIFS(日別入力!$AO:$AO,日別入力!$E:$E,$C47,日別入力!$B:$B,$B47,日別入力!$H:$H,$F47,日別入力!$D:$D,N$7)</f>
        <v>0</v>
      </c>
      <c r="O47" s="55">
        <f>SUMIFS(日別入力!$AO:$AO,日別入力!$E:$E,$C47,日別入力!$B:$B,$B47,日別入力!$H:$H,$F47,日別入力!$D:$D,O$7)</f>
        <v>0</v>
      </c>
      <c r="P47" s="55">
        <f>SUMIFS(日別入力!$AO:$AO,日別入力!$E:$E,$C47,日別入力!$B:$B,$B47,日別入力!$H:$H,$F47,日別入力!$D:$D,P$7)</f>
        <v>0</v>
      </c>
      <c r="Q47" s="55">
        <f>SUMIFS(日別入力!$AO:$AO,日別入力!$E:$E,$C47,日別入力!$B:$B,$B47,日別入力!$H:$H,$F47,日別入力!$D:$D,Q$7)</f>
        <v>0</v>
      </c>
      <c r="R47" s="407">
        <f>SUMIFS(日別入力!$AO:$AO,日別入力!$E:$E,$C47,日別入力!$B:$B,$B47,日別入力!$H:$H,$F47,日別入力!$D:$D,R$7)</f>
        <v>0</v>
      </c>
    </row>
    <row r="48" spans="1:18" s="4" customFormat="1" ht="15" customHeight="1" x14ac:dyDescent="0.2">
      <c r="A48" s="4">
        <f t="shared" si="3"/>
        <v>0</v>
      </c>
      <c r="B48" s="53" t="str">
        <f t="shared" si="3"/>
        <v>&lt;=12</v>
      </c>
      <c r="C48" s="54"/>
      <c r="D48" s="58"/>
      <c r="E48" s="55"/>
      <c r="F48" s="59"/>
      <c r="G48" s="406">
        <f t="shared" si="2"/>
        <v>0</v>
      </c>
      <c r="H48" s="55">
        <f>SUMIFS(日別入力!$AO:$AO,日別入力!$E:$E,$C48,日別入力!$B:$B,$B48,日別入力!$H:$H,$F48,日別入力!$D:$D,H$7)</f>
        <v>0</v>
      </c>
      <c r="I48" s="55">
        <f>SUMIFS(日別入力!$AO:$AO,日別入力!$E:$E,$C48,日別入力!$B:$B,$B48,日別入力!$H:$H,$F48,日別入力!$D:$D,I$7)</f>
        <v>0</v>
      </c>
      <c r="J48" s="55">
        <f>SUMIFS(日別入力!$AO:$AO,日別入力!$E:$E,$C48,日別入力!$B:$B,$B48,日別入力!$H:$H,$F48,日別入力!$D:$D,J$7)</f>
        <v>0</v>
      </c>
      <c r="K48" s="55">
        <f>SUMIFS(日別入力!$AO:$AO,日別入力!$E:$E,$C48,日別入力!$B:$B,$B48,日別入力!$H:$H,$F48,日別入力!$D:$D,K$7)</f>
        <v>0</v>
      </c>
      <c r="L48" s="55">
        <f>SUMIFS(日別入力!$AO:$AO,日別入力!$E:$E,$C48,日別入力!$B:$B,$B48,日別入力!$H:$H,$F48,日別入力!$D:$D,L$7)</f>
        <v>0</v>
      </c>
      <c r="M48" s="55">
        <f>SUMIFS(日別入力!$AO:$AO,日別入力!$E:$E,$C48,日別入力!$B:$B,$B48,日別入力!$H:$H,$F48,日別入力!$D:$D,M$7)</f>
        <v>0</v>
      </c>
      <c r="N48" s="55">
        <f>SUMIFS(日別入力!$AO:$AO,日別入力!$E:$E,$C48,日別入力!$B:$B,$B48,日別入力!$H:$H,$F48,日別入力!$D:$D,N$7)</f>
        <v>0</v>
      </c>
      <c r="O48" s="55">
        <f>SUMIFS(日別入力!$AO:$AO,日別入力!$E:$E,$C48,日別入力!$B:$B,$B48,日別入力!$H:$H,$F48,日別入力!$D:$D,O$7)</f>
        <v>0</v>
      </c>
      <c r="P48" s="55">
        <f>SUMIFS(日別入力!$AO:$AO,日別入力!$E:$E,$C48,日別入力!$B:$B,$B48,日別入力!$H:$H,$F48,日別入力!$D:$D,P$7)</f>
        <v>0</v>
      </c>
      <c r="Q48" s="55">
        <f>SUMIFS(日別入力!$AO:$AO,日別入力!$E:$E,$C48,日別入力!$B:$B,$B48,日別入力!$H:$H,$F48,日別入力!$D:$D,Q$7)</f>
        <v>0</v>
      </c>
      <c r="R48" s="407">
        <f>SUMIFS(日別入力!$AO:$AO,日別入力!$E:$E,$C48,日別入力!$B:$B,$B48,日別入力!$H:$H,$F48,日別入力!$D:$D,R$7)</f>
        <v>0</v>
      </c>
    </row>
    <row r="49" spans="1:18" s="4" customFormat="1" ht="15" customHeight="1" x14ac:dyDescent="0.2">
      <c r="A49" s="4">
        <f t="shared" si="3"/>
        <v>0</v>
      </c>
      <c r="B49" s="53" t="str">
        <f t="shared" si="3"/>
        <v>&lt;=12</v>
      </c>
      <c r="C49" s="54"/>
      <c r="D49" s="58"/>
      <c r="E49" s="55"/>
      <c r="F49" s="59"/>
      <c r="G49" s="406">
        <f t="shared" si="0"/>
        <v>0</v>
      </c>
      <c r="H49" s="55">
        <f>SUMIFS(日別入力!$AO:$AO,日別入力!$E:$E,$C49,日別入力!$B:$B,$B49,日別入力!$H:$H,$F49,日別入力!$D:$D,H$7)</f>
        <v>0</v>
      </c>
      <c r="I49" s="55">
        <f>SUMIFS(日別入力!$AO:$AO,日別入力!$E:$E,$C49,日別入力!$B:$B,$B49,日別入力!$H:$H,$F49,日別入力!$D:$D,I$7)</f>
        <v>0</v>
      </c>
      <c r="J49" s="55">
        <f>SUMIFS(日別入力!$AO:$AO,日別入力!$E:$E,$C49,日別入力!$B:$B,$B49,日別入力!$H:$H,$F49,日別入力!$D:$D,J$7)</f>
        <v>0</v>
      </c>
      <c r="K49" s="55">
        <f>SUMIFS(日別入力!$AO:$AO,日別入力!$E:$E,$C49,日別入力!$B:$B,$B49,日別入力!$H:$H,$F49,日別入力!$D:$D,K$7)</f>
        <v>0</v>
      </c>
      <c r="L49" s="55">
        <f>SUMIFS(日別入力!$AO:$AO,日別入力!$E:$E,$C49,日別入力!$B:$B,$B49,日別入力!$H:$H,$F49,日別入力!$D:$D,L$7)</f>
        <v>0</v>
      </c>
      <c r="M49" s="55">
        <f>SUMIFS(日別入力!$AO:$AO,日別入力!$E:$E,$C49,日別入力!$B:$B,$B49,日別入力!$H:$H,$F49,日別入力!$D:$D,M$7)</f>
        <v>0</v>
      </c>
      <c r="N49" s="55">
        <f>SUMIFS(日別入力!$AO:$AO,日別入力!$E:$E,$C49,日別入力!$B:$B,$B49,日別入力!$H:$H,$F49,日別入力!$D:$D,N$7)</f>
        <v>0</v>
      </c>
      <c r="O49" s="55">
        <f>SUMIFS(日別入力!$AO:$AO,日別入力!$E:$E,$C49,日別入力!$B:$B,$B49,日別入力!$H:$H,$F49,日別入力!$D:$D,O$7)</f>
        <v>0</v>
      </c>
      <c r="P49" s="55">
        <f>SUMIFS(日別入力!$AO:$AO,日別入力!$E:$E,$C49,日別入力!$B:$B,$B49,日別入力!$H:$H,$F49,日別入力!$D:$D,P$7)</f>
        <v>0</v>
      </c>
      <c r="Q49" s="55">
        <f>SUMIFS(日別入力!$AO:$AO,日別入力!$E:$E,$C49,日別入力!$B:$B,$B49,日別入力!$H:$H,$F49,日別入力!$D:$D,Q$7)</f>
        <v>0</v>
      </c>
      <c r="R49" s="407">
        <f>SUMIFS(日別入力!$AO:$AO,日別入力!$E:$E,$C49,日別入力!$B:$B,$B49,日別入力!$H:$H,$F49,日別入力!$D:$D,R$7)</f>
        <v>0</v>
      </c>
    </row>
    <row r="50" spans="1:18" s="4" customFormat="1" ht="15" customHeight="1" x14ac:dyDescent="0.2">
      <c r="A50" s="4">
        <f t="shared" si="3"/>
        <v>0</v>
      </c>
      <c r="B50" s="53" t="str">
        <f t="shared" si="3"/>
        <v>&lt;=12</v>
      </c>
      <c r="C50" s="54"/>
      <c r="D50" s="58"/>
      <c r="E50" s="55"/>
      <c r="F50" s="59"/>
      <c r="G50" s="406">
        <f t="shared" si="0"/>
        <v>0</v>
      </c>
      <c r="H50" s="55">
        <f>SUMIFS(日別入力!$AO:$AO,日別入力!$E:$E,$C50,日別入力!$B:$B,$B50,日別入力!$H:$H,$F50,日別入力!$D:$D,H$7)</f>
        <v>0</v>
      </c>
      <c r="I50" s="55">
        <f>SUMIFS(日別入力!$AO:$AO,日別入力!$E:$E,$C50,日別入力!$B:$B,$B50,日別入力!$H:$H,$F50,日別入力!$D:$D,I$7)</f>
        <v>0</v>
      </c>
      <c r="J50" s="55">
        <f>SUMIFS(日別入力!$AO:$AO,日別入力!$E:$E,$C50,日別入力!$B:$B,$B50,日別入力!$H:$H,$F50,日別入力!$D:$D,J$7)</f>
        <v>0</v>
      </c>
      <c r="K50" s="55">
        <f>SUMIFS(日別入力!$AO:$AO,日別入力!$E:$E,$C50,日別入力!$B:$B,$B50,日別入力!$H:$H,$F50,日別入力!$D:$D,K$7)</f>
        <v>0</v>
      </c>
      <c r="L50" s="55">
        <f>SUMIFS(日別入力!$AO:$AO,日別入力!$E:$E,$C50,日別入力!$B:$B,$B50,日別入力!$H:$H,$F50,日別入力!$D:$D,L$7)</f>
        <v>0</v>
      </c>
      <c r="M50" s="55">
        <f>SUMIFS(日別入力!$AO:$AO,日別入力!$E:$E,$C50,日別入力!$B:$B,$B50,日別入力!$H:$H,$F50,日別入力!$D:$D,M$7)</f>
        <v>0</v>
      </c>
      <c r="N50" s="55">
        <f>SUMIFS(日別入力!$AO:$AO,日別入力!$E:$E,$C50,日別入力!$B:$B,$B50,日別入力!$H:$H,$F50,日別入力!$D:$D,N$7)</f>
        <v>0</v>
      </c>
      <c r="O50" s="55">
        <f>SUMIFS(日別入力!$AO:$AO,日別入力!$E:$E,$C50,日別入力!$B:$B,$B50,日別入力!$H:$H,$F50,日別入力!$D:$D,O$7)</f>
        <v>0</v>
      </c>
      <c r="P50" s="55">
        <f>SUMIFS(日別入力!$AO:$AO,日別入力!$E:$E,$C50,日別入力!$B:$B,$B50,日別入力!$H:$H,$F50,日別入力!$D:$D,P$7)</f>
        <v>0</v>
      </c>
      <c r="Q50" s="55">
        <f>SUMIFS(日別入力!$AO:$AO,日別入力!$E:$E,$C50,日別入力!$B:$B,$B50,日別入力!$H:$H,$F50,日別入力!$D:$D,Q$7)</f>
        <v>0</v>
      </c>
      <c r="R50" s="407">
        <f>SUMIFS(日別入力!$AO:$AO,日別入力!$E:$E,$C50,日別入力!$B:$B,$B50,日別入力!$H:$H,$F50,日別入力!$D:$D,R$7)</f>
        <v>0</v>
      </c>
    </row>
    <row r="51" spans="1:18" s="4" customFormat="1" ht="15" customHeight="1" x14ac:dyDescent="0.2">
      <c r="A51" s="4">
        <f t="shared" si="3"/>
        <v>0</v>
      </c>
      <c r="B51" s="53" t="str">
        <f t="shared" si="3"/>
        <v>&lt;=12</v>
      </c>
      <c r="C51" s="54"/>
      <c r="D51" s="58"/>
      <c r="E51" s="55"/>
      <c r="F51" s="59"/>
      <c r="G51" s="406">
        <f t="shared" si="0"/>
        <v>0</v>
      </c>
      <c r="H51" s="55">
        <f>SUMIFS(日別入力!$AO:$AO,日別入力!$E:$E,$C51,日別入力!$B:$B,$B51,日別入力!$H:$H,$F51,日別入力!$D:$D,H$7)</f>
        <v>0</v>
      </c>
      <c r="I51" s="55">
        <f>SUMIFS(日別入力!$AO:$AO,日別入力!$E:$E,$C51,日別入力!$B:$B,$B51,日別入力!$H:$H,$F51,日別入力!$D:$D,I$7)</f>
        <v>0</v>
      </c>
      <c r="J51" s="55">
        <f>SUMIFS(日別入力!$AO:$AO,日別入力!$E:$E,$C51,日別入力!$B:$B,$B51,日別入力!$H:$H,$F51,日別入力!$D:$D,J$7)</f>
        <v>0</v>
      </c>
      <c r="K51" s="55">
        <f>SUMIFS(日別入力!$AO:$AO,日別入力!$E:$E,$C51,日別入力!$B:$B,$B51,日別入力!$H:$H,$F51,日別入力!$D:$D,K$7)</f>
        <v>0</v>
      </c>
      <c r="L51" s="55">
        <f>SUMIFS(日別入力!$AO:$AO,日別入力!$E:$E,$C51,日別入力!$B:$B,$B51,日別入力!$H:$H,$F51,日別入力!$D:$D,L$7)</f>
        <v>0</v>
      </c>
      <c r="M51" s="55">
        <f>SUMIFS(日別入力!$AO:$AO,日別入力!$E:$E,$C51,日別入力!$B:$B,$B51,日別入力!$H:$H,$F51,日別入力!$D:$D,M$7)</f>
        <v>0</v>
      </c>
      <c r="N51" s="55">
        <f>SUMIFS(日別入力!$AO:$AO,日別入力!$E:$E,$C51,日別入力!$B:$B,$B51,日別入力!$H:$H,$F51,日別入力!$D:$D,N$7)</f>
        <v>0</v>
      </c>
      <c r="O51" s="55">
        <f>SUMIFS(日別入力!$AO:$AO,日別入力!$E:$E,$C51,日別入力!$B:$B,$B51,日別入力!$H:$H,$F51,日別入力!$D:$D,O$7)</f>
        <v>0</v>
      </c>
      <c r="P51" s="55">
        <f>SUMIFS(日別入力!$AO:$AO,日別入力!$E:$E,$C51,日別入力!$B:$B,$B51,日別入力!$H:$H,$F51,日別入力!$D:$D,P$7)</f>
        <v>0</v>
      </c>
      <c r="Q51" s="55">
        <f>SUMIFS(日別入力!$AO:$AO,日別入力!$E:$E,$C51,日別入力!$B:$B,$B51,日別入力!$H:$H,$F51,日別入力!$D:$D,Q$7)</f>
        <v>0</v>
      </c>
      <c r="R51" s="407">
        <f>SUMIFS(日別入力!$AO:$AO,日別入力!$E:$E,$C51,日別入力!$B:$B,$B51,日別入力!$H:$H,$F51,日別入力!$D:$D,R$7)</f>
        <v>0</v>
      </c>
    </row>
    <row r="52" spans="1:18" s="4" customFormat="1" ht="15" customHeight="1" x14ac:dyDescent="0.2">
      <c r="A52" s="4">
        <f t="shared" si="3"/>
        <v>0</v>
      </c>
      <c r="B52" s="53" t="str">
        <f t="shared" si="3"/>
        <v>&lt;=12</v>
      </c>
      <c r="C52" s="54"/>
      <c r="D52" s="58"/>
      <c r="E52" s="55"/>
      <c r="F52" s="59"/>
      <c r="G52" s="406">
        <f t="shared" si="0"/>
        <v>0</v>
      </c>
      <c r="H52" s="55">
        <f>SUMIFS(日別入力!$AO:$AO,日別入力!$E:$E,$C52,日別入力!$B:$B,$B52,日別入力!$H:$H,$F52,日別入力!$D:$D,H$7)</f>
        <v>0</v>
      </c>
      <c r="I52" s="55">
        <f>SUMIFS(日別入力!$AO:$AO,日別入力!$E:$E,$C52,日別入力!$B:$B,$B52,日別入力!$H:$H,$F52,日別入力!$D:$D,I$7)</f>
        <v>0</v>
      </c>
      <c r="J52" s="55">
        <f>SUMIFS(日別入力!$AO:$AO,日別入力!$E:$E,$C52,日別入力!$B:$B,$B52,日別入力!$H:$H,$F52,日別入力!$D:$D,J$7)</f>
        <v>0</v>
      </c>
      <c r="K52" s="55">
        <f>SUMIFS(日別入力!$AO:$AO,日別入力!$E:$E,$C52,日別入力!$B:$B,$B52,日別入力!$H:$H,$F52,日別入力!$D:$D,K$7)</f>
        <v>0</v>
      </c>
      <c r="L52" s="55">
        <f>SUMIFS(日別入力!$AO:$AO,日別入力!$E:$E,$C52,日別入力!$B:$B,$B52,日別入力!$H:$H,$F52,日別入力!$D:$D,L$7)</f>
        <v>0</v>
      </c>
      <c r="M52" s="55">
        <f>SUMIFS(日別入力!$AO:$AO,日別入力!$E:$E,$C52,日別入力!$B:$B,$B52,日別入力!$H:$H,$F52,日別入力!$D:$D,M$7)</f>
        <v>0</v>
      </c>
      <c r="N52" s="55">
        <f>SUMIFS(日別入力!$AO:$AO,日別入力!$E:$E,$C52,日別入力!$B:$B,$B52,日別入力!$H:$H,$F52,日別入力!$D:$D,N$7)</f>
        <v>0</v>
      </c>
      <c r="O52" s="55">
        <f>SUMIFS(日別入力!$AO:$AO,日別入力!$E:$E,$C52,日別入力!$B:$B,$B52,日別入力!$H:$H,$F52,日別入力!$D:$D,O$7)</f>
        <v>0</v>
      </c>
      <c r="P52" s="55">
        <f>SUMIFS(日別入力!$AO:$AO,日別入力!$E:$E,$C52,日別入力!$B:$B,$B52,日別入力!$H:$H,$F52,日別入力!$D:$D,P$7)</f>
        <v>0</v>
      </c>
      <c r="Q52" s="55">
        <f>SUMIFS(日別入力!$AO:$AO,日別入力!$E:$E,$C52,日別入力!$B:$B,$B52,日別入力!$H:$H,$F52,日別入力!$D:$D,Q$7)</f>
        <v>0</v>
      </c>
      <c r="R52" s="407">
        <f>SUMIFS(日別入力!$AO:$AO,日別入力!$E:$E,$C52,日別入力!$B:$B,$B52,日別入力!$H:$H,$F52,日別入力!$D:$D,R$7)</f>
        <v>0</v>
      </c>
    </row>
    <row r="53" spans="1:18" s="4" customFormat="1" ht="15" customHeight="1" x14ac:dyDescent="0.2">
      <c r="A53" s="4">
        <f t="shared" si="3"/>
        <v>0</v>
      </c>
      <c r="B53" s="53" t="str">
        <f t="shared" si="3"/>
        <v>&lt;=12</v>
      </c>
      <c r="C53" s="54"/>
      <c r="D53" s="58"/>
      <c r="E53" s="55"/>
      <c r="F53" s="59"/>
      <c r="G53" s="406">
        <f t="shared" si="0"/>
        <v>0</v>
      </c>
      <c r="H53" s="55">
        <f>SUMIFS(日別入力!$AO:$AO,日別入力!$E:$E,$C53,日別入力!$B:$B,$B53,日別入力!$H:$H,$F53,日別入力!$D:$D,H$7)</f>
        <v>0</v>
      </c>
      <c r="I53" s="55">
        <f>SUMIFS(日別入力!$AO:$AO,日別入力!$E:$E,$C53,日別入力!$B:$B,$B53,日別入力!$H:$H,$F53,日別入力!$D:$D,I$7)</f>
        <v>0</v>
      </c>
      <c r="J53" s="55">
        <f>SUMIFS(日別入力!$AO:$AO,日別入力!$E:$E,$C53,日別入力!$B:$B,$B53,日別入力!$H:$H,$F53,日別入力!$D:$D,J$7)</f>
        <v>0</v>
      </c>
      <c r="K53" s="55">
        <f>SUMIFS(日別入力!$AO:$AO,日別入力!$E:$E,$C53,日別入力!$B:$B,$B53,日別入力!$H:$H,$F53,日別入力!$D:$D,K$7)</f>
        <v>0</v>
      </c>
      <c r="L53" s="55">
        <f>SUMIFS(日別入力!$AO:$AO,日別入力!$E:$E,$C53,日別入力!$B:$B,$B53,日別入力!$H:$H,$F53,日別入力!$D:$D,L$7)</f>
        <v>0</v>
      </c>
      <c r="M53" s="55">
        <f>SUMIFS(日別入力!$AO:$AO,日別入力!$E:$E,$C53,日別入力!$B:$B,$B53,日別入力!$H:$H,$F53,日別入力!$D:$D,M$7)</f>
        <v>0</v>
      </c>
      <c r="N53" s="55">
        <f>SUMIFS(日別入力!$AO:$AO,日別入力!$E:$E,$C53,日別入力!$B:$B,$B53,日別入力!$H:$H,$F53,日別入力!$D:$D,N$7)</f>
        <v>0</v>
      </c>
      <c r="O53" s="55">
        <f>SUMIFS(日別入力!$AO:$AO,日別入力!$E:$E,$C53,日別入力!$B:$B,$B53,日別入力!$H:$H,$F53,日別入力!$D:$D,O$7)</f>
        <v>0</v>
      </c>
      <c r="P53" s="55">
        <f>SUMIFS(日別入力!$AO:$AO,日別入力!$E:$E,$C53,日別入力!$B:$B,$B53,日別入力!$H:$H,$F53,日別入力!$D:$D,P$7)</f>
        <v>0</v>
      </c>
      <c r="Q53" s="55">
        <f>SUMIFS(日別入力!$AO:$AO,日別入力!$E:$E,$C53,日別入力!$B:$B,$B53,日別入力!$H:$H,$F53,日別入力!$D:$D,Q$7)</f>
        <v>0</v>
      </c>
      <c r="R53" s="407">
        <f>SUMIFS(日別入力!$AO:$AO,日別入力!$E:$E,$C53,日別入力!$B:$B,$B53,日別入力!$H:$H,$F53,日別入力!$D:$D,R$7)</f>
        <v>0</v>
      </c>
    </row>
    <row r="54" spans="1:18" s="4" customFormat="1" ht="15" customHeight="1" x14ac:dyDescent="0.2">
      <c r="A54" s="4">
        <f t="shared" si="3"/>
        <v>0</v>
      </c>
      <c r="B54" s="53" t="str">
        <f t="shared" si="3"/>
        <v>&lt;=12</v>
      </c>
      <c r="C54" s="54"/>
      <c r="D54" s="58"/>
      <c r="E54" s="55"/>
      <c r="F54" s="59"/>
      <c r="G54" s="406">
        <f t="shared" si="0"/>
        <v>0</v>
      </c>
      <c r="H54" s="55">
        <f>SUMIFS(日別入力!$AO:$AO,日別入力!$E:$E,$C54,日別入力!$B:$B,$B54,日別入力!$H:$H,$F54,日別入力!$D:$D,H$7)</f>
        <v>0</v>
      </c>
      <c r="I54" s="55">
        <f>SUMIFS(日別入力!$AO:$AO,日別入力!$E:$E,$C54,日別入力!$B:$B,$B54,日別入力!$H:$H,$F54,日別入力!$D:$D,I$7)</f>
        <v>0</v>
      </c>
      <c r="J54" s="55">
        <f>SUMIFS(日別入力!$AO:$AO,日別入力!$E:$E,$C54,日別入力!$B:$B,$B54,日別入力!$H:$H,$F54,日別入力!$D:$D,J$7)</f>
        <v>0</v>
      </c>
      <c r="K54" s="55">
        <f>SUMIFS(日別入力!$AO:$AO,日別入力!$E:$E,$C54,日別入力!$B:$B,$B54,日別入力!$H:$H,$F54,日別入力!$D:$D,K$7)</f>
        <v>0</v>
      </c>
      <c r="L54" s="55">
        <f>SUMIFS(日別入力!$AO:$AO,日別入力!$E:$E,$C54,日別入力!$B:$B,$B54,日別入力!$H:$H,$F54,日別入力!$D:$D,L$7)</f>
        <v>0</v>
      </c>
      <c r="M54" s="55">
        <f>SUMIFS(日別入力!$AO:$AO,日別入力!$E:$E,$C54,日別入力!$B:$B,$B54,日別入力!$H:$H,$F54,日別入力!$D:$D,M$7)</f>
        <v>0</v>
      </c>
      <c r="N54" s="55">
        <f>SUMIFS(日別入力!$AO:$AO,日別入力!$E:$E,$C54,日別入力!$B:$B,$B54,日別入力!$H:$H,$F54,日別入力!$D:$D,N$7)</f>
        <v>0</v>
      </c>
      <c r="O54" s="55">
        <f>SUMIFS(日別入力!$AO:$AO,日別入力!$E:$E,$C54,日別入力!$B:$B,$B54,日別入力!$H:$H,$F54,日別入力!$D:$D,O$7)</f>
        <v>0</v>
      </c>
      <c r="P54" s="55">
        <f>SUMIFS(日別入力!$AO:$AO,日別入力!$E:$E,$C54,日別入力!$B:$B,$B54,日別入力!$H:$H,$F54,日別入力!$D:$D,P$7)</f>
        <v>0</v>
      </c>
      <c r="Q54" s="55">
        <f>SUMIFS(日別入力!$AO:$AO,日別入力!$E:$E,$C54,日別入力!$B:$B,$B54,日別入力!$H:$H,$F54,日別入力!$D:$D,Q$7)</f>
        <v>0</v>
      </c>
      <c r="R54" s="407">
        <f>SUMIFS(日別入力!$AO:$AO,日別入力!$E:$E,$C54,日別入力!$B:$B,$B54,日別入力!$H:$H,$F54,日別入力!$D:$D,R$7)</f>
        <v>0</v>
      </c>
    </row>
    <row r="55" spans="1:18" s="4" customFormat="1" ht="15" customHeight="1" x14ac:dyDescent="0.2">
      <c r="A55" s="4">
        <f t="shared" si="3"/>
        <v>0</v>
      </c>
      <c r="B55" s="53" t="str">
        <f t="shared" si="3"/>
        <v>&lt;=12</v>
      </c>
      <c r="C55" s="54"/>
      <c r="D55" s="58"/>
      <c r="E55" s="55"/>
      <c r="F55" s="59"/>
      <c r="G55" s="406">
        <f t="shared" si="0"/>
        <v>0</v>
      </c>
      <c r="H55" s="55">
        <f>SUMIFS(日別入力!$AO:$AO,日別入力!$E:$E,$C55,日別入力!$B:$B,$B55,日別入力!$H:$H,$F55,日別入力!$D:$D,H$7)</f>
        <v>0</v>
      </c>
      <c r="I55" s="55">
        <f>SUMIFS(日別入力!$AO:$AO,日別入力!$E:$E,$C55,日別入力!$B:$B,$B55,日別入力!$H:$H,$F55,日別入力!$D:$D,I$7)</f>
        <v>0</v>
      </c>
      <c r="J55" s="55">
        <f>SUMIFS(日別入力!$AO:$AO,日別入力!$E:$E,$C55,日別入力!$B:$B,$B55,日別入力!$H:$H,$F55,日別入力!$D:$D,J$7)</f>
        <v>0</v>
      </c>
      <c r="K55" s="55">
        <f>SUMIFS(日別入力!$AO:$AO,日別入力!$E:$E,$C55,日別入力!$B:$B,$B55,日別入力!$H:$H,$F55,日別入力!$D:$D,K$7)</f>
        <v>0</v>
      </c>
      <c r="L55" s="55">
        <f>SUMIFS(日別入力!$AO:$AO,日別入力!$E:$E,$C55,日別入力!$B:$B,$B55,日別入力!$H:$H,$F55,日別入力!$D:$D,L$7)</f>
        <v>0</v>
      </c>
      <c r="M55" s="55">
        <f>SUMIFS(日別入力!$AO:$AO,日別入力!$E:$E,$C55,日別入力!$B:$B,$B55,日別入力!$H:$H,$F55,日別入力!$D:$D,M$7)</f>
        <v>0</v>
      </c>
      <c r="N55" s="55">
        <f>SUMIFS(日別入力!$AO:$AO,日別入力!$E:$E,$C55,日別入力!$B:$B,$B55,日別入力!$H:$H,$F55,日別入力!$D:$D,N$7)</f>
        <v>0</v>
      </c>
      <c r="O55" s="55">
        <f>SUMIFS(日別入力!$AO:$AO,日別入力!$E:$E,$C55,日別入力!$B:$B,$B55,日別入力!$H:$H,$F55,日別入力!$D:$D,O$7)</f>
        <v>0</v>
      </c>
      <c r="P55" s="55">
        <f>SUMIFS(日別入力!$AO:$AO,日別入力!$E:$E,$C55,日別入力!$B:$B,$B55,日別入力!$H:$H,$F55,日別入力!$D:$D,P$7)</f>
        <v>0</v>
      </c>
      <c r="Q55" s="55">
        <f>SUMIFS(日別入力!$AO:$AO,日別入力!$E:$E,$C55,日別入力!$B:$B,$B55,日別入力!$H:$H,$F55,日別入力!$D:$D,Q$7)</f>
        <v>0</v>
      </c>
      <c r="R55" s="407">
        <f>SUMIFS(日別入力!$AO:$AO,日別入力!$E:$E,$C55,日別入力!$B:$B,$B55,日別入力!$H:$H,$F55,日別入力!$D:$D,R$7)</f>
        <v>0</v>
      </c>
    </row>
    <row r="56" spans="1:18" s="4" customFormat="1" ht="15" customHeight="1" x14ac:dyDescent="0.2">
      <c r="A56" s="4">
        <f t="shared" si="3"/>
        <v>0</v>
      </c>
      <c r="B56" s="53" t="str">
        <f t="shared" si="3"/>
        <v>&lt;=12</v>
      </c>
      <c r="C56" s="54"/>
      <c r="D56" s="58"/>
      <c r="E56" s="55"/>
      <c r="F56" s="59"/>
      <c r="G56" s="406">
        <f t="shared" si="0"/>
        <v>0</v>
      </c>
      <c r="H56" s="55">
        <f>SUMIFS(日別入力!$AO:$AO,日別入力!$E:$E,$C56,日別入力!$B:$B,$B56,日別入力!$H:$H,$F56,日別入力!$D:$D,H$7)</f>
        <v>0</v>
      </c>
      <c r="I56" s="55">
        <f>SUMIFS(日別入力!$AO:$AO,日別入力!$E:$E,$C56,日別入力!$B:$B,$B56,日別入力!$H:$H,$F56,日別入力!$D:$D,I$7)</f>
        <v>0</v>
      </c>
      <c r="J56" s="55">
        <f>SUMIFS(日別入力!$AO:$AO,日別入力!$E:$E,$C56,日別入力!$B:$B,$B56,日別入力!$H:$H,$F56,日別入力!$D:$D,J$7)</f>
        <v>0</v>
      </c>
      <c r="K56" s="55">
        <f>SUMIFS(日別入力!$AO:$AO,日別入力!$E:$E,$C56,日別入力!$B:$B,$B56,日別入力!$H:$H,$F56,日別入力!$D:$D,K$7)</f>
        <v>0</v>
      </c>
      <c r="L56" s="55">
        <f>SUMIFS(日別入力!$AO:$AO,日別入力!$E:$E,$C56,日別入力!$B:$B,$B56,日別入力!$H:$H,$F56,日別入力!$D:$D,L$7)</f>
        <v>0</v>
      </c>
      <c r="M56" s="55">
        <f>SUMIFS(日別入力!$AO:$AO,日別入力!$E:$E,$C56,日別入力!$B:$B,$B56,日別入力!$H:$H,$F56,日別入力!$D:$D,M$7)</f>
        <v>0</v>
      </c>
      <c r="N56" s="55">
        <f>SUMIFS(日別入力!$AO:$AO,日別入力!$E:$E,$C56,日別入力!$B:$B,$B56,日別入力!$H:$H,$F56,日別入力!$D:$D,N$7)</f>
        <v>0</v>
      </c>
      <c r="O56" s="55">
        <f>SUMIFS(日別入力!$AO:$AO,日別入力!$E:$E,$C56,日別入力!$B:$B,$B56,日別入力!$H:$H,$F56,日別入力!$D:$D,O$7)</f>
        <v>0</v>
      </c>
      <c r="P56" s="55">
        <f>SUMIFS(日別入力!$AO:$AO,日別入力!$E:$E,$C56,日別入力!$B:$B,$B56,日別入力!$H:$H,$F56,日別入力!$D:$D,P$7)</f>
        <v>0</v>
      </c>
      <c r="Q56" s="55">
        <f>SUMIFS(日別入力!$AO:$AO,日別入力!$E:$E,$C56,日別入力!$B:$B,$B56,日別入力!$H:$H,$F56,日別入力!$D:$D,Q$7)</f>
        <v>0</v>
      </c>
      <c r="R56" s="407">
        <f>SUMIFS(日別入力!$AO:$AO,日別入力!$E:$E,$C56,日別入力!$B:$B,$B56,日別入力!$H:$H,$F56,日別入力!$D:$D,R$7)</f>
        <v>0</v>
      </c>
    </row>
    <row r="57" spans="1:18" s="4" customFormat="1" ht="15" customHeight="1" x14ac:dyDescent="0.2">
      <c r="A57" s="4">
        <f t="shared" si="3"/>
        <v>0</v>
      </c>
      <c r="B57" s="53" t="str">
        <f t="shared" si="3"/>
        <v>&lt;=12</v>
      </c>
      <c r="C57" s="54"/>
      <c r="D57" s="58"/>
      <c r="E57" s="55"/>
      <c r="F57" s="59"/>
      <c r="G57" s="406">
        <f t="shared" si="0"/>
        <v>0</v>
      </c>
      <c r="H57" s="55">
        <f>SUMIFS(日別入力!$AO:$AO,日別入力!$E:$E,$C57,日別入力!$B:$B,$B57,日別入力!$H:$H,$F57,日別入力!$D:$D,H$7)</f>
        <v>0</v>
      </c>
      <c r="I57" s="55">
        <f>SUMIFS(日別入力!$AO:$AO,日別入力!$E:$E,$C57,日別入力!$B:$B,$B57,日別入力!$H:$H,$F57,日別入力!$D:$D,I$7)</f>
        <v>0</v>
      </c>
      <c r="J57" s="55">
        <f>SUMIFS(日別入力!$AO:$AO,日別入力!$E:$E,$C57,日別入力!$B:$B,$B57,日別入力!$H:$H,$F57,日別入力!$D:$D,J$7)</f>
        <v>0</v>
      </c>
      <c r="K57" s="55">
        <f>SUMIFS(日別入力!$AO:$AO,日別入力!$E:$E,$C57,日別入力!$B:$B,$B57,日別入力!$H:$H,$F57,日別入力!$D:$D,K$7)</f>
        <v>0</v>
      </c>
      <c r="L57" s="55">
        <f>SUMIFS(日別入力!$AO:$AO,日別入力!$E:$E,$C57,日別入力!$B:$B,$B57,日別入力!$H:$H,$F57,日別入力!$D:$D,L$7)</f>
        <v>0</v>
      </c>
      <c r="M57" s="55">
        <f>SUMIFS(日別入力!$AO:$AO,日別入力!$E:$E,$C57,日別入力!$B:$B,$B57,日別入力!$H:$H,$F57,日別入力!$D:$D,M$7)</f>
        <v>0</v>
      </c>
      <c r="N57" s="55">
        <f>SUMIFS(日別入力!$AO:$AO,日別入力!$E:$E,$C57,日別入力!$B:$B,$B57,日別入力!$H:$H,$F57,日別入力!$D:$D,N$7)</f>
        <v>0</v>
      </c>
      <c r="O57" s="55">
        <f>SUMIFS(日別入力!$AO:$AO,日別入力!$E:$E,$C57,日別入力!$B:$B,$B57,日別入力!$H:$H,$F57,日別入力!$D:$D,O$7)</f>
        <v>0</v>
      </c>
      <c r="P57" s="55">
        <f>SUMIFS(日別入力!$AO:$AO,日別入力!$E:$E,$C57,日別入力!$B:$B,$B57,日別入力!$H:$H,$F57,日別入力!$D:$D,P$7)</f>
        <v>0</v>
      </c>
      <c r="Q57" s="55">
        <f>SUMIFS(日別入力!$AO:$AO,日別入力!$E:$E,$C57,日別入力!$B:$B,$B57,日別入力!$H:$H,$F57,日別入力!$D:$D,Q$7)</f>
        <v>0</v>
      </c>
      <c r="R57" s="407">
        <f>SUMIFS(日別入力!$AO:$AO,日別入力!$E:$E,$C57,日別入力!$B:$B,$B57,日別入力!$H:$H,$F57,日別入力!$D:$D,R$7)</f>
        <v>0</v>
      </c>
    </row>
    <row r="58" spans="1:18" s="4" customFormat="1" ht="15" customHeight="1" x14ac:dyDescent="0.2">
      <c r="A58" s="4">
        <f t="shared" si="3"/>
        <v>0</v>
      </c>
      <c r="B58" s="53" t="str">
        <f t="shared" si="3"/>
        <v>&lt;=12</v>
      </c>
      <c r="C58" s="54"/>
      <c r="D58" s="58"/>
      <c r="E58" s="55"/>
      <c r="F58" s="59"/>
      <c r="G58" s="406">
        <f t="shared" si="0"/>
        <v>0</v>
      </c>
      <c r="H58" s="55">
        <f>SUMIFS(日別入力!$AO:$AO,日別入力!$E:$E,$C58,日別入力!$B:$B,$B58,日別入力!$H:$H,$F58,日別入力!$D:$D,H$7)</f>
        <v>0</v>
      </c>
      <c r="I58" s="55">
        <f>SUMIFS(日別入力!$AO:$AO,日別入力!$E:$E,$C58,日別入力!$B:$B,$B58,日別入力!$H:$H,$F58,日別入力!$D:$D,I$7)</f>
        <v>0</v>
      </c>
      <c r="J58" s="55">
        <f>SUMIFS(日別入力!$AO:$AO,日別入力!$E:$E,$C58,日別入力!$B:$B,$B58,日別入力!$H:$H,$F58,日別入力!$D:$D,J$7)</f>
        <v>0</v>
      </c>
      <c r="K58" s="55">
        <f>SUMIFS(日別入力!$AO:$AO,日別入力!$E:$E,$C58,日別入力!$B:$B,$B58,日別入力!$H:$H,$F58,日別入力!$D:$D,K$7)</f>
        <v>0</v>
      </c>
      <c r="L58" s="55">
        <f>SUMIFS(日別入力!$AO:$AO,日別入力!$E:$E,$C58,日別入力!$B:$B,$B58,日別入力!$H:$H,$F58,日別入力!$D:$D,L$7)</f>
        <v>0</v>
      </c>
      <c r="M58" s="55">
        <f>SUMIFS(日別入力!$AO:$AO,日別入力!$E:$E,$C58,日別入力!$B:$B,$B58,日別入力!$H:$H,$F58,日別入力!$D:$D,M$7)</f>
        <v>0</v>
      </c>
      <c r="N58" s="55">
        <f>SUMIFS(日別入力!$AO:$AO,日別入力!$E:$E,$C58,日別入力!$B:$B,$B58,日別入力!$H:$H,$F58,日別入力!$D:$D,N$7)</f>
        <v>0</v>
      </c>
      <c r="O58" s="55">
        <f>SUMIFS(日別入力!$AO:$AO,日別入力!$E:$E,$C58,日別入力!$B:$B,$B58,日別入力!$H:$H,$F58,日別入力!$D:$D,O$7)</f>
        <v>0</v>
      </c>
      <c r="P58" s="55">
        <f>SUMIFS(日別入力!$AO:$AO,日別入力!$E:$E,$C58,日別入力!$B:$B,$B58,日別入力!$H:$H,$F58,日別入力!$D:$D,P$7)</f>
        <v>0</v>
      </c>
      <c r="Q58" s="55">
        <f>SUMIFS(日別入力!$AO:$AO,日別入力!$E:$E,$C58,日別入力!$B:$B,$B58,日別入力!$H:$H,$F58,日別入力!$D:$D,Q$7)</f>
        <v>0</v>
      </c>
      <c r="R58" s="407">
        <f>SUMIFS(日別入力!$AO:$AO,日別入力!$E:$E,$C58,日別入力!$B:$B,$B58,日別入力!$H:$H,$F58,日別入力!$D:$D,R$7)</f>
        <v>0</v>
      </c>
    </row>
    <row r="59" spans="1:18" s="4" customFormat="1" ht="15" customHeight="1" x14ac:dyDescent="0.2">
      <c r="A59" s="4">
        <f t="shared" si="3"/>
        <v>0</v>
      </c>
      <c r="B59" s="53" t="str">
        <f t="shared" si="3"/>
        <v>&lt;=12</v>
      </c>
      <c r="C59" s="54"/>
      <c r="D59" s="58"/>
      <c r="E59" s="55"/>
      <c r="F59" s="59"/>
      <c r="G59" s="406">
        <f t="shared" si="0"/>
        <v>0</v>
      </c>
      <c r="H59" s="55">
        <f>SUMIFS(日別入力!$AO:$AO,日別入力!$E:$E,$C59,日別入力!$B:$B,$B59,日別入力!$H:$H,$F59,日別入力!$D:$D,H$7)</f>
        <v>0</v>
      </c>
      <c r="I59" s="55">
        <f>SUMIFS(日別入力!$AO:$AO,日別入力!$E:$E,$C59,日別入力!$B:$B,$B59,日別入力!$H:$H,$F59,日別入力!$D:$D,I$7)</f>
        <v>0</v>
      </c>
      <c r="J59" s="55">
        <f>SUMIFS(日別入力!$AO:$AO,日別入力!$E:$E,$C59,日別入力!$B:$B,$B59,日別入力!$H:$H,$F59,日別入力!$D:$D,J$7)</f>
        <v>0</v>
      </c>
      <c r="K59" s="55">
        <f>SUMIFS(日別入力!$AO:$AO,日別入力!$E:$E,$C59,日別入力!$B:$B,$B59,日別入力!$H:$H,$F59,日別入力!$D:$D,K$7)</f>
        <v>0</v>
      </c>
      <c r="L59" s="55">
        <f>SUMIFS(日別入力!$AO:$AO,日別入力!$E:$E,$C59,日別入力!$B:$B,$B59,日別入力!$H:$H,$F59,日別入力!$D:$D,L$7)</f>
        <v>0</v>
      </c>
      <c r="M59" s="55">
        <f>SUMIFS(日別入力!$AO:$AO,日別入力!$E:$E,$C59,日別入力!$B:$B,$B59,日別入力!$H:$H,$F59,日別入力!$D:$D,M$7)</f>
        <v>0</v>
      </c>
      <c r="N59" s="55">
        <f>SUMIFS(日別入力!$AO:$AO,日別入力!$E:$E,$C59,日別入力!$B:$B,$B59,日別入力!$H:$H,$F59,日別入力!$D:$D,N$7)</f>
        <v>0</v>
      </c>
      <c r="O59" s="55">
        <f>SUMIFS(日別入力!$AO:$AO,日別入力!$E:$E,$C59,日別入力!$B:$B,$B59,日別入力!$H:$H,$F59,日別入力!$D:$D,O$7)</f>
        <v>0</v>
      </c>
      <c r="P59" s="55">
        <f>SUMIFS(日別入力!$AO:$AO,日別入力!$E:$E,$C59,日別入力!$B:$B,$B59,日別入力!$H:$H,$F59,日別入力!$D:$D,P$7)</f>
        <v>0</v>
      </c>
      <c r="Q59" s="55">
        <f>SUMIFS(日別入力!$AO:$AO,日別入力!$E:$E,$C59,日別入力!$B:$B,$B59,日別入力!$H:$H,$F59,日別入力!$D:$D,Q$7)</f>
        <v>0</v>
      </c>
      <c r="R59" s="407">
        <f>SUMIFS(日別入力!$AO:$AO,日別入力!$E:$E,$C59,日別入力!$B:$B,$B59,日別入力!$H:$H,$F59,日別入力!$D:$D,R$7)</f>
        <v>0</v>
      </c>
    </row>
    <row r="60" spans="1:18" s="4" customFormat="1" ht="15" customHeight="1" x14ac:dyDescent="0.2">
      <c r="A60" s="4">
        <f t="shared" si="3"/>
        <v>0</v>
      </c>
      <c r="B60" s="53" t="str">
        <f t="shared" si="3"/>
        <v>&lt;=12</v>
      </c>
      <c r="C60" s="54"/>
      <c r="D60" s="58"/>
      <c r="E60" s="55"/>
      <c r="F60" s="59"/>
      <c r="G60" s="406">
        <f t="shared" si="0"/>
        <v>0</v>
      </c>
      <c r="H60" s="55">
        <f>SUMIFS(日別入力!$AO:$AO,日別入力!$E:$E,$C60,日別入力!$B:$B,$B60,日別入力!$H:$H,$F60,日別入力!$D:$D,H$7)</f>
        <v>0</v>
      </c>
      <c r="I60" s="55">
        <f>SUMIFS(日別入力!$AO:$AO,日別入力!$E:$E,$C60,日別入力!$B:$B,$B60,日別入力!$H:$H,$F60,日別入力!$D:$D,I$7)</f>
        <v>0</v>
      </c>
      <c r="J60" s="55">
        <f>SUMIFS(日別入力!$AO:$AO,日別入力!$E:$E,$C60,日別入力!$B:$B,$B60,日別入力!$H:$H,$F60,日別入力!$D:$D,J$7)</f>
        <v>0</v>
      </c>
      <c r="K60" s="55">
        <f>SUMIFS(日別入力!$AO:$AO,日別入力!$E:$E,$C60,日別入力!$B:$B,$B60,日別入力!$H:$H,$F60,日別入力!$D:$D,K$7)</f>
        <v>0</v>
      </c>
      <c r="L60" s="55">
        <f>SUMIFS(日別入力!$AO:$AO,日別入力!$E:$E,$C60,日別入力!$B:$B,$B60,日別入力!$H:$H,$F60,日別入力!$D:$D,L$7)</f>
        <v>0</v>
      </c>
      <c r="M60" s="55">
        <f>SUMIFS(日別入力!$AO:$AO,日別入力!$E:$E,$C60,日別入力!$B:$B,$B60,日別入力!$H:$H,$F60,日別入力!$D:$D,M$7)</f>
        <v>0</v>
      </c>
      <c r="N60" s="55">
        <f>SUMIFS(日別入力!$AO:$AO,日別入力!$E:$E,$C60,日別入力!$B:$B,$B60,日別入力!$H:$H,$F60,日別入力!$D:$D,N$7)</f>
        <v>0</v>
      </c>
      <c r="O60" s="55">
        <f>SUMIFS(日別入力!$AO:$AO,日別入力!$E:$E,$C60,日別入力!$B:$B,$B60,日別入力!$H:$H,$F60,日別入力!$D:$D,O$7)</f>
        <v>0</v>
      </c>
      <c r="P60" s="55">
        <f>SUMIFS(日別入力!$AO:$AO,日別入力!$E:$E,$C60,日別入力!$B:$B,$B60,日別入力!$H:$H,$F60,日別入力!$D:$D,P$7)</f>
        <v>0</v>
      </c>
      <c r="Q60" s="55">
        <f>SUMIFS(日別入力!$AO:$AO,日別入力!$E:$E,$C60,日別入力!$B:$B,$B60,日別入力!$H:$H,$F60,日別入力!$D:$D,Q$7)</f>
        <v>0</v>
      </c>
      <c r="R60" s="407">
        <f>SUMIFS(日別入力!$AO:$AO,日別入力!$E:$E,$C60,日別入力!$B:$B,$B60,日別入力!$H:$H,$F60,日別入力!$D:$D,R$7)</f>
        <v>0</v>
      </c>
    </row>
    <row r="61" spans="1:18" s="4" customFormat="1" ht="15" customHeight="1" x14ac:dyDescent="0.2">
      <c r="A61" s="4">
        <f t="shared" si="3"/>
        <v>0</v>
      </c>
      <c r="B61" s="53" t="str">
        <f t="shared" si="3"/>
        <v>&lt;=12</v>
      </c>
      <c r="C61" s="54"/>
      <c r="D61" s="58"/>
      <c r="E61" s="55"/>
      <c r="F61" s="59"/>
      <c r="G61" s="406">
        <f t="shared" si="0"/>
        <v>0</v>
      </c>
      <c r="H61" s="55">
        <f>SUMIFS(日別入力!$AO:$AO,日別入力!$E:$E,$C61,日別入力!$B:$B,$B61,日別入力!$H:$H,$F61,日別入力!$D:$D,H$7)</f>
        <v>0</v>
      </c>
      <c r="I61" s="55">
        <f>SUMIFS(日別入力!$AO:$AO,日別入力!$E:$E,$C61,日別入力!$B:$B,$B61,日別入力!$H:$H,$F61,日別入力!$D:$D,I$7)</f>
        <v>0</v>
      </c>
      <c r="J61" s="55">
        <f>SUMIFS(日別入力!$AO:$AO,日別入力!$E:$E,$C61,日別入力!$B:$B,$B61,日別入力!$H:$H,$F61,日別入力!$D:$D,J$7)</f>
        <v>0</v>
      </c>
      <c r="K61" s="55">
        <f>SUMIFS(日別入力!$AO:$AO,日別入力!$E:$E,$C61,日別入力!$B:$B,$B61,日別入力!$H:$H,$F61,日別入力!$D:$D,K$7)</f>
        <v>0</v>
      </c>
      <c r="L61" s="55">
        <f>SUMIFS(日別入力!$AO:$AO,日別入力!$E:$E,$C61,日別入力!$B:$B,$B61,日別入力!$H:$H,$F61,日別入力!$D:$D,L$7)</f>
        <v>0</v>
      </c>
      <c r="M61" s="55">
        <f>SUMIFS(日別入力!$AO:$AO,日別入力!$E:$E,$C61,日別入力!$B:$B,$B61,日別入力!$H:$H,$F61,日別入力!$D:$D,M$7)</f>
        <v>0</v>
      </c>
      <c r="N61" s="55">
        <f>SUMIFS(日別入力!$AO:$AO,日別入力!$E:$E,$C61,日別入力!$B:$B,$B61,日別入力!$H:$H,$F61,日別入力!$D:$D,N$7)</f>
        <v>0</v>
      </c>
      <c r="O61" s="55">
        <f>SUMIFS(日別入力!$AO:$AO,日別入力!$E:$E,$C61,日別入力!$B:$B,$B61,日別入力!$H:$H,$F61,日別入力!$D:$D,O$7)</f>
        <v>0</v>
      </c>
      <c r="P61" s="55">
        <f>SUMIFS(日別入力!$AO:$AO,日別入力!$E:$E,$C61,日別入力!$B:$B,$B61,日別入力!$H:$H,$F61,日別入力!$D:$D,P$7)</f>
        <v>0</v>
      </c>
      <c r="Q61" s="55">
        <f>SUMIFS(日別入力!$AO:$AO,日別入力!$E:$E,$C61,日別入力!$B:$B,$B61,日別入力!$H:$H,$F61,日別入力!$D:$D,Q$7)</f>
        <v>0</v>
      </c>
      <c r="R61" s="407">
        <f>SUMIFS(日別入力!$AO:$AO,日別入力!$E:$E,$C61,日別入力!$B:$B,$B61,日別入力!$H:$H,$F61,日別入力!$D:$D,R$7)</f>
        <v>0</v>
      </c>
    </row>
    <row r="62" spans="1:18" s="4" customFormat="1" ht="15" customHeight="1" x14ac:dyDescent="0.2">
      <c r="A62" s="4">
        <f t="shared" si="3"/>
        <v>0</v>
      </c>
      <c r="B62" s="53" t="str">
        <f t="shared" si="3"/>
        <v>&lt;=12</v>
      </c>
      <c r="C62" s="54"/>
      <c r="D62" s="58"/>
      <c r="E62" s="55"/>
      <c r="F62" s="59"/>
      <c r="G62" s="406">
        <f t="shared" si="0"/>
        <v>0</v>
      </c>
      <c r="H62" s="55">
        <f>SUMIFS(日別入力!$AO:$AO,日別入力!$E:$E,$C62,日別入力!$B:$B,$B62,日別入力!$H:$H,$F62,日別入力!$D:$D,H$7)</f>
        <v>0</v>
      </c>
      <c r="I62" s="55">
        <f>SUMIFS(日別入力!$AO:$AO,日別入力!$E:$E,$C62,日別入力!$B:$B,$B62,日別入力!$H:$H,$F62,日別入力!$D:$D,I$7)</f>
        <v>0</v>
      </c>
      <c r="J62" s="55">
        <f>SUMIFS(日別入力!$AO:$AO,日別入力!$E:$E,$C62,日別入力!$B:$B,$B62,日別入力!$H:$H,$F62,日別入力!$D:$D,J$7)</f>
        <v>0</v>
      </c>
      <c r="K62" s="55">
        <f>SUMIFS(日別入力!$AO:$AO,日別入力!$E:$E,$C62,日別入力!$B:$B,$B62,日別入力!$H:$H,$F62,日別入力!$D:$D,K$7)</f>
        <v>0</v>
      </c>
      <c r="L62" s="55">
        <f>SUMIFS(日別入力!$AO:$AO,日別入力!$E:$E,$C62,日別入力!$B:$B,$B62,日別入力!$H:$H,$F62,日別入力!$D:$D,L$7)</f>
        <v>0</v>
      </c>
      <c r="M62" s="55">
        <f>SUMIFS(日別入力!$AO:$AO,日別入力!$E:$E,$C62,日別入力!$B:$B,$B62,日別入力!$H:$H,$F62,日別入力!$D:$D,M$7)</f>
        <v>0</v>
      </c>
      <c r="N62" s="55">
        <f>SUMIFS(日別入力!$AO:$AO,日別入力!$E:$E,$C62,日別入力!$B:$B,$B62,日別入力!$H:$H,$F62,日別入力!$D:$D,N$7)</f>
        <v>0</v>
      </c>
      <c r="O62" s="55">
        <f>SUMIFS(日別入力!$AO:$AO,日別入力!$E:$E,$C62,日別入力!$B:$B,$B62,日別入力!$H:$H,$F62,日別入力!$D:$D,O$7)</f>
        <v>0</v>
      </c>
      <c r="P62" s="55">
        <f>SUMIFS(日別入力!$AO:$AO,日別入力!$E:$E,$C62,日別入力!$B:$B,$B62,日別入力!$H:$H,$F62,日別入力!$D:$D,P$7)</f>
        <v>0</v>
      </c>
      <c r="Q62" s="55">
        <f>SUMIFS(日別入力!$AO:$AO,日別入力!$E:$E,$C62,日別入力!$B:$B,$B62,日別入力!$H:$H,$F62,日別入力!$D:$D,Q$7)</f>
        <v>0</v>
      </c>
      <c r="R62" s="407">
        <f>SUMIFS(日別入力!$AO:$AO,日別入力!$E:$E,$C62,日別入力!$B:$B,$B62,日別入力!$H:$H,$F62,日別入力!$D:$D,R$7)</f>
        <v>0</v>
      </c>
    </row>
    <row r="63" spans="1:18" s="4" customFormat="1" ht="15" customHeight="1" x14ac:dyDescent="0.2">
      <c r="A63" s="4">
        <f t="shared" si="3"/>
        <v>0</v>
      </c>
      <c r="B63" s="53" t="str">
        <f t="shared" si="3"/>
        <v>&lt;=12</v>
      </c>
      <c r="C63" s="54"/>
      <c r="D63" s="58"/>
      <c r="E63" s="55"/>
      <c r="F63" s="59"/>
      <c r="G63" s="406">
        <f t="shared" si="0"/>
        <v>0</v>
      </c>
      <c r="H63" s="55">
        <f>SUMIFS(日別入力!$AO:$AO,日別入力!$E:$E,$C63,日別入力!$B:$B,$B63,日別入力!$H:$H,$F63,日別入力!$D:$D,H$7)</f>
        <v>0</v>
      </c>
      <c r="I63" s="55">
        <f>SUMIFS(日別入力!$AO:$AO,日別入力!$E:$E,$C63,日別入力!$B:$B,$B63,日別入力!$H:$H,$F63,日別入力!$D:$D,I$7)</f>
        <v>0</v>
      </c>
      <c r="J63" s="55">
        <f>SUMIFS(日別入力!$AO:$AO,日別入力!$E:$E,$C63,日別入力!$B:$B,$B63,日別入力!$H:$H,$F63,日別入力!$D:$D,J$7)</f>
        <v>0</v>
      </c>
      <c r="K63" s="55">
        <f>SUMIFS(日別入力!$AO:$AO,日別入力!$E:$E,$C63,日別入力!$B:$B,$B63,日別入力!$H:$H,$F63,日別入力!$D:$D,K$7)</f>
        <v>0</v>
      </c>
      <c r="L63" s="55">
        <f>SUMIFS(日別入力!$AO:$AO,日別入力!$E:$E,$C63,日別入力!$B:$B,$B63,日別入力!$H:$H,$F63,日別入力!$D:$D,L$7)</f>
        <v>0</v>
      </c>
      <c r="M63" s="55">
        <f>SUMIFS(日別入力!$AO:$AO,日別入力!$E:$E,$C63,日別入力!$B:$B,$B63,日別入力!$H:$H,$F63,日別入力!$D:$D,M$7)</f>
        <v>0</v>
      </c>
      <c r="N63" s="55">
        <f>SUMIFS(日別入力!$AO:$AO,日別入力!$E:$E,$C63,日別入力!$B:$B,$B63,日別入力!$H:$H,$F63,日別入力!$D:$D,N$7)</f>
        <v>0</v>
      </c>
      <c r="O63" s="55">
        <f>SUMIFS(日別入力!$AO:$AO,日別入力!$E:$E,$C63,日別入力!$B:$B,$B63,日別入力!$H:$H,$F63,日別入力!$D:$D,O$7)</f>
        <v>0</v>
      </c>
      <c r="P63" s="55">
        <f>SUMIFS(日別入力!$AO:$AO,日別入力!$E:$E,$C63,日別入力!$B:$B,$B63,日別入力!$H:$H,$F63,日別入力!$D:$D,P$7)</f>
        <v>0</v>
      </c>
      <c r="Q63" s="55">
        <f>SUMIFS(日別入力!$AO:$AO,日別入力!$E:$E,$C63,日別入力!$B:$B,$B63,日別入力!$H:$H,$F63,日別入力!$D:$D,Q$7)</f>
        <v>0</v>
      </c>
      <c r="R63" s="407">
        <f>SUMIFS(日別入力!$AO:$AO,日別入力!$E:$E,$C63,日別入力!$B:$B,$B63,日別入力!$H:$H,$F63,日別入力!$D:$D,R$7)</f>
        <v>0</v>
      </c>
    </row>
    <row r="64" spans="1:18" s="4" customFormat="1" ht="15" customHeight="1" x14ac:dyDescent="0.2">
      <c r="A64" s="4">
        <f t="shared" si="3"/>
        <v>0</v>
      </c>
      <c r="B64" s="53" t="str">
        <f t="shared" si="3"/>
        <v>&lt;=12</v>
      </c>
      <c r="C64" s="54"/>
      <c r="D64" s="58"/>
      <c r="E64" s="55"/>
      <c r="F64" s="59"/>
      <c r="G64" s="406">
        <f t="shared" si="0"/>
        <v>0</v>
      </c>
      <c r="H64" s="55">
        <f>SUMIFS(日別入力!$AO:$AO,日別入力!$E:$E,$C64,日別入力!$B:$B,$B64,日別入力!$H:$H,$F64,日別入力!$D:$D,H$7)</f>
        <v>0</v>
      </c>
      <c r="I64" s="55">
        <f>SUMIFS(日別入力!$AO:$AO,日別入力!$E:$E,$C64,日別入力!$B:$B,$B64,日別入力!$H:$H,$F64,日別入力!$D:$D,I$7)</f>
        <v>0</v>
      </c>
      <c r="J64" s="55">
        <f>SUMIFS(日別入力!$AO:$AO,日別入力!$E:$E,$C64,日別入力!$B:$B,$B64,日別入力!$H:$H,$F64,日別入力!$D:$D,J$7)</f>
        <v>0</v>
      </c>
      <c r="K64" s="55">
        <f>SUMIFS(日別入力!$AO:$AO,日別入力!$E:$E,$C64,日別入力!$B:$B,$B64,日別入力!$H:$H,$F64,日別入力!$D:$D,K$7)</f>
        <v>0</v>
      </c>
      <c r="L64" s="55">
        <f>SUMIFS(日別入力!$AO:$AO,日別入力!$E:$E,$C64,日別入力!$B:$B,$B64,日別入力!$H:$H,$F64,日別入力!$D:$D,L$7)</f>
        <v>0</v>
      </c>
      <c r="M64" s="55">
        <f>SUMIFS(日別入力!$AO:$AO,日別入力!$E:$E,$C64,日別入力!$B:$B,$B64,日別入力!$H:$H,$F64,日別入力!$D:$D,M$7)</f>
        <v>0</v>
      </c>
      <c r="N64" s="55">
        <f>SUMIFS(日別入力!$AO:$AO,日別入力!$E:$E,$C64,日別入力!$B:$B,$B64,日別入力!$H:$H,$F64,日別入力!$D:$D,N$7)</f>
        <v>0</v>
      </c>
      <c r="O64" s="55">
        <f>SUMIFS(日別入力!$AO:$AO,日別入力!$E:$E,$C64,日別入力!$B:$B,$B64,日別入力!$H:$H,$F64,日別入力!$D:$D,O$7)</f>
        <v>0</v>
      </c>
      <c r="P64" s="55">
        <f>SUMIFS(日別入力!$AO:$AO,日別入力!$E:$E,$C64,日別入力!$B:$B,$B64,日別入力!$H:$H,$F64,日別入力!$D:$D,P$7)</f>
        <v>0</v>
      </c>
      <c r="Q64" s="55">
        <f>SUMIFS(日別入力!$AO:$AO,日別入力!$E:$E,$C64,日別入力!$B:$B,$B64,日別入力!$H:$H,$F64,日別入力!$D:$D,Q$7)</f>
        <v>0</v>
      </c>
      <c r="R64" s="407">
        <f>SUMIFS(日別入力!$AO:$AO,日別入力!$E:$E,$C64,日別入力!$B:$B,$B64,日別入力!$H:$H,$F64,日別入力!$D:$D,R$7)</f>
        <v>0</v>
      </c>
    </row>
    <row r="65" spans="1:18" s="4" customFormat="1" ht="15" customHeight="1" x14ac:dyDescent="0.2">
      <c r="A65" s="4">
        <f t="shared" si="3"/>
        <v>0</v>
      </c>
      <c r="B65" s="53" t="str">
        <f t="shared" si="3"/>
        <v>&lt;=12</v>
      </c>
      <c r="C65" s="54"/>
      <c r="D65" s="58"/>
      <c r="E65" s="55"/>
      <c r="F65" s="59"/>
      <c r="G65" s="406">
        <f t="shared" si="0"/>
        <v>0</v>
      </c>
      <c r="H65" s="55">
        <f>SUMIFS(日別入力!$AO:$AO,日別入力!$E:$E,$C65,日別入力!$B:$B,$B65,日別入力!$H:$H,$F65,日別入力!$D:$D,H$7)</f>
        <v>0</v>
      </c>
      <c r="I65" s="55">
        <f>SUMIFS(日別入力!$AO:$AO,日別入力!$E:$E,$C65,日別入力!$B:$B,$B65,日別入力!$H:$H,$F65,日別入力!$D:$D,I$7)</f>
        <v>0</v>
      </c>
      <c r="J65" s="55">
        <f>SUMIFS(日別入力!$AO:$AO,日別入力!$E:$E,$C65,日別入力!$B:$B,$B65,日別入力!$H:$H,$F65,日別入力!$D:$D,J$7)</f>
        <v>0</v>
      </c>
      <c r="K65" s="55">
        <f>SUMIFS(日別入力!$AO:$AO,日別入力!$E:$E,$C65,日別入力!$B:$B,$B65,日別入力!$H:$H,$F65,日別入力!$D:$D,K$7)</f>
        <v>0</v>
      </c>
      <c r="L65" s="55">
        <f>SUMIFS(日別入力!$AO:$AO,日別入力!$E:$E,$C65,日別入力!$B:$B,$B65,日別入力!$H:$H,$F65,日別入力!$D:$D,L$7)</f>
        <v>0</v>
      </c>
      <c r="M65" s="55">
        <f>SUMIFS(日別入力!$AO:$AO,日別入力!$E:$E,$C65,日別入力!$B:$B,$B65,日別入力!$H:$H,$F65,日別入力!$D:$D,M$7)</f>
        <v>0</v>
      </c>
      <c r="N65" s="55">
        <f>SUMIFS(日別入力!$AO:$AO,日別入力!$E:$E,$C65,日別入力!$B:$B,$B65,日別入力!$H:$H,$F65,日別入力!$D:$D,N$7)</f>
        <v>0</v>
      </c>
      <c r="O65" s="55">
        <f>SUMIFS(日別入力!$AO:$AO,日別入力!$E:$E,$C65,日別入力!$B:$B,$B65,日別入力!$H:$H,$F65,日別入力!$D:$D,O$7)</f>
        <v>0</v>
      </c>
      <c r="P65" s="55">
        <f>SUMIFS(日別入力!$AO:$AO,日別入力!$E:$E,$C65,日別入力!$B:$B,$B65,日別入力!$H:$H,$F65,日別入力!$D:$D,P$7)</f>
        <v>0</v>
      </c>
      <c r="Q65" s="55">
        <f>SUMIFS(日別入力!$AO:$AO,日別入力!$E:$E,$C65,日別入力!$B:$B,$B65,日別入力!$H:$H,$F65,日別入力!$D:$D,Q$7)</f>
        <v>0</v>
      </c>
      <c r="R65" s="407">
        <f>SUMIFS(日別入力!$AO:$AO,日別入力!$E:$E,$C65,日別入力!$B:$B,$B65,日別入力!$H:$H,$F65,日別入力!$D:$D,R$7)</f>
        <v>0</v>
      </c>
    </row>
    <row r="66" spans="1:18" s="4" customFormat="1" ht="15" customHeight="1" x14ac:dyDescent="0.2">
      <c r="A66" s="4">
        <f t="shared" si="3"/>
        <v>0</v>
      </c>
      <c r="B66" s="53" t="str">
        <f t="shared" si="3"/>
        <v>&lt;=12</v>
      </c>
      <c r="C66" s="54"/>
      <c r="D66" s="58"/>
      <c r="E66" s="55"/>
      <c r="F66" s="59"/>
      <c r="G66" s="406">
        <f t="shared" si="0"/>
        <v>0</v>
      </c>
      <c r="H66" s="55">
        <f>SUMIFS(日別入力!$AO:$AO,日別入力!$E:$E,$C66,日別入力!$B:$B,$B66,日別入力!$H:$H,$F66,日別入力!$D:$D,H$7)</f>
        <v>0</v>
      </c>
      <c r="I66" s="55">
        <f>SUMIFS(日別入力!$AO:$AO,日別入力!$E:$E,$C66,日別入力!$B:$B,$B66,日別入力!$H:$H,$F66,日別入力!$D:$D,I$7)</f>
        <v>0</v>
      </c>
      <c r="J66" s="55">
        <f>SUMIFS(日別入力!$AO:$AO,日別入力!$E:$E,$C66,日別入力!$B:$B,$B66,日別入力!$H:$H,$F66,日別入力!$D:$D,J$7)</f>
        <v>0</v>
      </c>
      <c r="K66" s="55">
        <f>SUMIFS(日別入力!$AO:$AO,日別入力!$E:$E,$C66,日別入力!$B:$B,$B66,日別入力!$H:$H,$F66,日別入力!$D:$D,K$7)</f>
        <v>0</v>
      </c>
      <c r="L66" s="55">
        <f>SUMIFS(日別入力!$AO:$AO,日別入力!$E:$E,$C66,日別入力!$B:$B,$B66,日別入力!$H:$H,$F66,日別入力!$D:$D,L$7)</f>
        <v>0</v>
      </c>
      <c r="M66" s="55">
        <f>SUMIFS(日別入力!$AO:$AO,日別入力!$E:$E,$C66,日別入力!$B:$B,$B66,日別入力!$H:$H,$F66,日別入力!$D:$D,M$7)</f>
        <v>0</v>
      </c>
      <c r="N66" s="55">
        <f>SUMIFS(日別入力!$AO:$AO,日別入力!$E:$E,$C66,日別入力!$B:$B,$B66,日別入力!$H:$H,$F66,日別入力!$D:$D,N$7)</f>
        <v>0</v>
      </c>
      <c r="O66" s="55">
        <f>SUMIFS(日別入力!$AO:$AO,日別入力!$E:$E,$C66,日別入力!$B:$B,$B66,日別入力!$H:$H,$F66,日別入力!$D:$D,O$7)</f>
        <v>0</v>
      </c>
      <c r="P66" s="55">
        <f>SUMIFS(日別入力!$AO:$AO,日別入力!$E:$E,$C66,日別入力!$B:$B,$B66,日別入力!$H:$H,$F66,日別入力!$D:$D,P$7)</f>
        <v>0</v>
      </c>
      <c r="Q66" s="55">
        <f>SUMIFS(日別入力!$AO:$AO,日別入力!$E:$E,$C66,日別入力!$B:$B,$B66,日別入力!$H:$H,$F66,日別入力!$D:$D,Q$7)</f>
        <v>0</v>
      </c>
      <c r="R66" s="407">
        <f>SUMIFS(日別入力!$AO:$AO,日別入力!$E:$E,$C66,日別入力!$B:$B,$B66,日別入力!$H:$H,$F66,日別入力!$D:$D,R$7)</f>
        <v>0</v>
      </c>
    </row>
    <row r="67" spans="1:18" s="4" customFormat="1" ht="15" customHeight="1" x14ac:dyDescent="0.2">
      <c r="A67" s="4">
        <f t="shared" si="3"/>
        <v>0</v>
      </c>
      <c r="B67" s="53" t="str">
        <f t="shared" si="3"/>
        <v>&lt;=12</v>
      </c>
      <c r="C67" s="54"/>
      <c r="D67" s="58"/>
      <c r="E67" s="55"/>
      <c r="F67" s="59"/>
      <c r="G67" s="406">
        <f t="shared" si="0"/>
        <v>0</v>
      </c>
      <c r="H67" s="55">
        <f>SUMIFS(日別入力!$AO:$AO,日別入力!$E:$E,$C67,日別入力!$B:$B,$B67,日別入力!$H:$H,$F67,日別入力!$D:$D,H$7)</f>
        <v>0</v>
      </c>
      <c r="I67" s="55">
        <f>SUMIFS(日別入力!$AO:$AO,日別入力!$E:$E,$C67,日別入力!$B:$B,$B67,日別入力!$H:$H,$F67,日別入力!$D:$D,I$7)</f>
        <v>0</v>
      </c>
      <c r="J67" s="55">
        <f>SUMIFS(日別入力!$AO:$AO,日別入力!$E:$E,$C67,日別入力!$B:$B,$B67,日別入力!$H:$H,$F67,日別入力!$D:$D,J$7)</f>
        <v>0</v>
      </c>
      <c r="K67" s="55">
        <f>SUMIFS(日別入力!$AO:$AO,日別入力!$E:$E,$C67,日別入力!$B:$B,$B67,日別入力!$H:$H,$F67,日別入力!$D:$D,K$7)</f>
        <v>0</v>
      </c>
      <c r="L67" s="55">
        <f>SUMIFS(日別入力!$AO:$AO,日別入力!$E:$E,$C67,日別入力!$B:$B,$B67,日別入力!$H:$H,$F67,日別入力!$D:$D,L$7)</f>
        <v>0</v>
      </c>
      <c r="M67" s="55">
        <f>SUMIFS(日別入力!$AO:$AO,日別入力!$E:$E,$C67,日別入力!$B:$B,$B67,日別入力!$H:$H,$F67,日別入力!$D:$D,M$7)</f>
        <v>0</v>
      </c>
      <c r="N67" s="55">
        <f>SUMIFS(日別入力!$AO:$AO,日別入力!$E:$E,$C67,日別入力!$B:$B,$B67,日別入力!$H:$H,$F67,日別入力!$D:$D,N$7)</f>
        <v>0</v>
      </c>
      <c r="O67" s="55">
        <f>SUMIFS(日別入力!$AO:$AO,日別入力!$E:$E,$C67,日別入力!$B:$B,$B67,日別入力!$H:$H,$F67,日別入力!$D:$D,O$7)</f>
        <v>0</v>
      </c>
      <c r="P67" s="55">
        <f>SUMIFS(日別入力!$AO:$AO,日別入力!$E:$E,$C67,日別入力!$B:$B,$B67,日別入力!$H:$H,$F67,日別入力!$D:$D,P$7)</f>
        <v>0</v>
      </c>
      <c r="Q67" s="55">
        <f>SUMIFS(日別入力!$AO:$AO,日別入力!$E:$E,$C67,日別入力!$B:$B,$B67,日別入力!$H:$H,$F67,日別入力!$D:$D,Q$7)</f>
        <v>0</v>
      </c>
      <c r="R67" s="407">
        <f>SUMIFS(日別入力!$AO:$AO,日別入力!$E:$E,$C67,日別入力!$B:$B,$B67,日別入力!$H:$H,$F67,日別入力!$D:$D,R$7)</f>
        <v>0</v>
      </c>
    </row>
    <row r="68" spans="1:18" s="4" customFormat="1" ht="15" customHeight="1" x14ac:dyDescent="0.2">
      <c r="A68" s="4">
        <f t="shared" si="3"/>
        <v>0</v>
      </c>
      <c r="B68" s="53" t="str">
        <f t="shared" si="3"/>
        <v>&lt;=12</v>
      </c>
      <c r="C68" s="54"/>
      <c r="D68" s="58"/>
      <c r="E68" s="55"/>
      <c r="F68" s="59"/>
      <c r="G68" s="406">
        <f t="shared" si="0"/>
        <v>0</v>
      </c>
      <c r="H68" s="55">
        <f>SUMIFS(日別入力!$AO:$AO,日別入力!$E:$E,$C68,日別入力!$B:$B,$B68,日別入力!$H:$H,$F68,日別入力!$D:$D,H$7)</f>
        <v>0</v>
      </c>
      <c r="I68" s="55">
        <f>SUMIFS(日別入力!$AO:$AO,日別入力!$E:$E,$C68,日別入力!$B:$B,$B68,日別入力!$H:$H,$F68,日別入力!$D:$D,I$7)</f>
        <v>0</v>
      </c>
      <c r="J68" s="55">
        <f>SUMIFS(日別入力!$AO:$AO,日別入力!$E:$E,$C68,日別入力!$B:$B,$B68,日別入力!$H:$H,$F68,日別入力!$D:$D,J$7)</f>
        <v>0</v>
      </c>
      <c r="K68" s="55">
        <f>SUMIFS(日別入力!$AO:$AO,日別入力!$E:$E,$C68,日別入力!$B:$B,$B68,日別入力!$H:$H,$F68,日別入力!$D:$D,K$7)</f>
        <v>0</v>
      </c>
      <c r="L68" s="55">
        <f>SUMIFS(日別入力!$AO:$AO,日別入力!$E:$E,$C68,日別入力!$B:$B,$B68,日別入力!$H:$H,$F68,日別入力!$D:$D,L$7)</f>
        <v>0</v>
      </c>
      <c r="M68" s="55">
        <f>SUMIFS(日別入力!$AO:$AO,日別入力!$E:$E,$C68,日別入力!$B:$B,$B68,日別入力!$H:$H,$F68,日別入力!$D:$D,M$7)</f>
        <v>0</v>
      </c>
      <c r="N68" s="55">
        <f>SUMIFS(日別入力!$AO:$AO,日別入力!$E:$E,$C68,日別入力!$B:$B,$B68,日別入力!$H:$H,$F68,日別入力!$D:$D,N$7)</f>
        <v>0</v>
      </c>
      <c r="O68" s="55">
        <f>SUMIFS(日別入力!$AO:$AO,日別入力!$E:$E,$C68,日別入力!$B:$B,$B68,日別入力!$H:$H,$F68,日別入力!$D:$D,O$7)</f>
        <v>0</v>
      </c>
      <c r="P68" s="55">
        <f>SUMIFS(日別入力!$AO:$AO,日別入力!$E:$E,$C68,日別入力!$B:$B,$B68,日別入力!$H:$H,$F68,日別入力!$D:$D,P$7)</f>
        <v>0</v>
      </c>
      <c r="Q68" s="55">
        <f>SUMIFS(日別入力!$AO:$AO,日別入力!$E:$E,$C68,日別入力!$B:$B,$B68,日別入力!$H:$H,$F68,日別入力!$D:$D,Q$7)</f>
        <v>0</v>
      </c>
      <c r="R68" s="407">
        <f>SUMIFS(日別入力!$AO:$AO,日別入力!$E:$E,$C68,日別入力!$B:$B,$B68,日別入力!$H:$H,$F68,日別入力!$D:$D,R$7)</f>
        <v>0</v>
      </c>
    </row>
    <row r="69" spans="1:18" s="4" customFormat="1" ht="15" customHeight="1" x14ac:dyDescent="0.2">
      <c r="A69" s="4">
        <f t="shared" si="3"/>
        <v>0</v>
      </c>
      <c r="B69" s="53" t="str">
        <f t="shared" si="3"/>
        <v>&lt;=12</v>
      </c>
      <c r="C69" s="54"/>
      <c r="D69" s="58"/>
      <c r="E69" s="55"/>
      <c r="F69" s="59"/>
      <c r="G69" s="406">
        <f t="shared" si="0"/>
        <v>0</v>
      </c>
      <c r="H69" s="55">
        <f>SUMIFS(日別入力!$AO:$AO,日別入力!$E:$E,$C69,日別入力!$B:$B,$B69,日別入力!$H:$H,$F69,日別入力!$D:$D,H$7)</f>
        <v>0</v>
      </c>
      <c r="I69" s="55">
        <f>SUMIFS(日別入力!$AO:$AO,日別入力!$E:$E,$C69,日別入力!$B:$B,$B69,日別入力!$H:$H,$F69,日別入力!$D:$D,I$7)</f>
        <v>0</v>
      </c>
      <c r="J69" s="55">
        <f>SUMIFS(日別入力!$AO:$AO,日別入力!$E:$E,$C69,日別入力!$B:$B,$B69,日別入力!$H:$H,$F69,日別入力!$D:$D,J$7)</f>
        <v>0</v>
      </c>
      <c r="K69" s="55">
        <f>SUMIFS(日別入力!$AO:$AO,日別入力!$E:$E,$C69,日別入力!$B:$B,$B69,日別入力!$H:$H,$F69,日別入力!$D:$D,K$7)</f>
        <v>0</v>
      </c>
      <c r="L69" s="55">
        <f>SUMIFS(日別入力!$AO:$AO,日別入力!$E:$E,$C69,日別入力!$B:$B,$B69,日別入力!$H:$H,$F69,日別入力!$D:$D,L$7)</f>
        <v>0</v>
      </c>
      <c r="M69" s="55">
        <f>SUMIFS(日別入力!$AO:$AO,日別入力!$E:$E,$C69,日別入力!$B:$B,$B69,日別入力!$H:$H,$F69,日別入力!$D:$D,M$7)</f>
        <v>0</v>
      </c>
      <c r="N69" s="55">
        <f>SUMIFS(日別入力!$AO:$AO,日別入力!$E:$E,$C69,日別入力!$B:$B,$B69,日別入力!$H:$H,$F69,日別入力!$D:$D,N$7)</f>
        <v>0</v>
      </c>
      <c r="O69" s="55">
        <f>SUMIFS(日別入力!$AO:$AO,日別入力!$E:$E,$C69,日別入力!$B:$B,$B69,日別入力!$H:$H,$F69,日別入力!$D:$D,O$7)</f>
        <v>0</v>
      </c>
      <c r="P69" s="55">
        <f>SUMIFS(日別入力!$AO:$AO,日別入力!$E:$E,$C69,日別入力!$B:$B,$B69,日別入力!$H:$H,$F69,日別入力!$D:$D,P$7)</f>
        <v>0</v>
      </c>
      <c r="Q69" s="55">
        <f>SUMIFS(日別入力!$AO:$AO,日別入力!$E:$E,$C69,日別入力!$B:$B,$B69,日別入力!$H:$H,$F69,日別入力!$D:$D,Q$7)</f>
        <v>0</v>
      </c>
      <c r="R69" s="407">
        <f>SUMIFS(日別入力!$AO:$AO,日別入力!$E:$E,$C69,日別入力!$B:$B,$B69,日別入力!$H:$H,$F69,日別入力!$D:$D,R$7)</f>
        <v>0</v>
      </c>
    </row>
    <row r="70" spans="1:18" s="4" customFormat="1" ht="15" customHeight="1" x14ac:dyDescent="0.2">
      <c r="A70" s="4">
        <f t="shared" si="3"/>
        <v>0</v>
      </c>
      <c r="B70" s="53" t="str">
        <f t="shared" si="3"/>
        <v>&lt;=12</v>
      </c>
      <c r="C70" s="54"/>
      <c r="D70" s="58"/>
      <c r="E70" s="55"/>
      <c r="F70" s="59"/>
      <c r="G70" s="406">
        <f t="shared" si="0"/>
        <v>0</v>
      </c>
      <c r="H70" s="55">
        <f>SUMIFS(日別入力!$AO:$AO,日別入力!$E:$E,$C70,日別入力!$B:$B,$B70,日別入力!$H:$H,$F70,日別入力!$D:$D,H$7)</f>
        <v>0</v>
      </c>
      <c r="I70" s="55">
        <f>SUMIFS(日別入力!$AO:$AO,日別入力!$E:$E,$C70,日別入力!$B:$B,$B70,日別入力!$H:$H,$F70,日別入力!$D:$D,I$7)</f>
        <v>0</v>
      </c>
      <c r="J70" s="55">
        <f>SUMIFS(日別入力!$AO:$AO,日別入力!$E:$E,$C70,日別入力!$B:$B,$B70,日別入力!$H:$H,$F70,日別入力!$D:$D,J$7)</f>
        <v>0</v>
      </c>
      <c r="K70" s="55">
        <f>SUMIFS(日別入力!$AO:$AO,日別入力!$E:$E,$C70,日別入力!$B:$B,$B70,日別入力!$H:$H,$F70,日別入力!$D:$D,K$7)</f>
        <v>0</v>
      </c>
      <c r="L70" s="55">
        <f>SUMIFS(日別入力!$AO:$AO,日別入力!$E:$E,$C70,日別入力!$B:$B,$B70,日別入力!$H:$H,$F70,日別入力!$D:$D,L$7)</f>
        <v>0</v>
      </c>
      <c r="M70" s="55">
        <f>SUMIFS(日別入力!$AO:$AO,日別入力!$E:$E,$C70,日別入力!$B:$B,$B70,日別入力!$H:$H,$F70,日別入力!$D:$D,M$7)</f>
        <v>0</v>
      </c>
      <c r="N70" s="55">
        <f>SUMIFS(日別入力!$AO:$AO,日別入力!$E:$E,$C70,日別入力!$B:$B,$B70,日別入力!$H:$H,$F70,日別入力!$D:$D,N$7)</f>
        <v>0</v>
      </c>
      <c r="O70" s="55">
        <f>SUMIFS(日別入力!$AO:$AO,日別入力!$E:$E,$C70,日別入力!$B:$B,$B70,日別入力!$H:$H,$F70,日別入力!$D:$D,O$7)</f>
        <v>0</v>
      </c>
      <c r="P70" s="55">
        <f>SUMIFS(日別入力!$AO:$AO,日別入力!$E:$E,$C70,日別入力!$B:$B,$B70,日別入力!$H:$H,$F70,日別入力!$D:$D,P$7)</f>
        <v>0</v>
      </c>
      <c r="Q70" s="55">
        <f>SUMIFS(日別入力!$AO:$AO,日別入力!$E:$E,$C70,日別入力!$B:$B,$B70,日別入力!$H:$H,$F70,日別入力!$D:$D,Q$7)</f>
        <v>0</v>
      </c>
      <c r="R70" s="407">
        <f>SUMIFS(日別入力!$AO:$AO,日別入力!$E:$E,$C70,日別入力!$B:$B,$B70,日別入力!$H:$H,$F70,日別入力!$D:$D,R$7)</f>
        <v>0</v>
      </c>
    </row>
    <row r="71" spans="1:18" s="4" customFormat="1" ht="15" customHeight="1" x14ac:dyDescent="0.2">
      <c r="A71" s="4">
        <f t="shared" si="3"/>
        <v>0</v>
      </c>
      <c r="B71" s="53" t="str">
        <f t="shared" si="3"/>
        <v>&lt;=12</v>
      </c>
      <c r="C71" s="54"/>
      <c r="D71" s="58"/>
      <c r="E71" s="55"/>
      <c r="F71" s="59"/>
      <c r="G71" s="406">
        <f t="shared" si="0"/>
        <v>0</v>
      </c>
      <c r="H71" s="55">
        <f>SUMIFS(日別入力!$AO:$AO,日別入力!$E:$E,$C71,日別入力!$B:$B,$B71,日別入力!$H:$H,$F71,日別入力!$D:$D,H$7)</f>
        <v>0</v>
      </c>
      <c r="I71" s="55">
        <f>SUMIFS(日別入力!$AO:$AO,日別入力!$E:$E,$C71,日別入力!$B:$B,$B71,日別入力!$H:$H,$F71,日別入力!$D:$D,I$7)</f>
        <v>0</v>
      </c>
      <c r="J71" s="55">
        <f>SUMIFS(日別入力!$AO:$AO,日別入力!$E:$E,$C71,日別入力!$B:$B,$B71,日別入力!$H:$H,$F71,日別入力!$D:$D,J$7)</f>
        <v>0</v>
      </c>
      <c r="K71" s="55">
        <f>SUMIFS(日別入力!$AO:$AO,日別入力!$E:$E,$C71,日別入力!$B:$B,$B71,日別入力!$H:$H,$F71,日別入力!$D:$D,K$7)</f>
        <v>0</v>
      </c>
      <c r="L71" s="55">
        <f>SUMIFS(日別入力!$AO:$AO,日別入力!$E:$E,$C71,日別入力!$B:$B,$B71,日別入力!$H:$H,$F71,日別入力!$D:$D,L$7)</f>
        <v>0</v>
      </c>
      <c r="M71" s="55">
        <f>SUMIFS(日別入力!$AO:$AO,日別入力!$E:$E,$C71,日別入力!$B:$B,$B71,日別入力!$H:$H,$F71,日別入力!$D:$D,M$7)</f>
        <v>0</v>
      </c>
      <c r="N71" s="55">
        <f>SUMIFS(日別入力!$AO:$AO,日別入力!$E:$E,$C71,日別入力!$B:$B,$B71,日別入力!$H:$H,$F71,日別入力!$D:$D,N$7)</f>
        <v>0</v>
      </c>
      <c r="O71" s="55">
        <f>SUMIFS(日別入力!$AO:$AO,日別入力!$E:$E,$C71,日別入力!$B:$B,$B71,日別入力!$H:$H,$F71,日別入力!$D:$D,O$7)</f>
        <v>0</v>
      </c>
      <c r="P71" s="55">
        <f>SUMIFS(日別入力!$AO:$AO,日別入力!$E:$E,$C71,日別入力!$B:$B,$B71,日別入力!$H:$H,$F71,日別入力!$D:$D,P$7)</f>
        <v>0</v>
      </c>
      <c r="Q71" s="55">
        <f>SUMIFS(日別入力!$AO:$AO,日別入力!$E:$E,$C71,日別入力!$B:$B,$B71,日別入力!$H:$H,$F71,日別入力!$D:$D,Q$7)</f>
        <v>0</v>
      </c>
      <c r="R71" s="407">
        <f>SUMIFS(日別入力!$AO:$AO,日別入力!$E:$E,$C71,日別入力!$B:$B,$B71,日別入力!$H:$H,$F71,日別入力!$D:$D,R$7)</f>
        <v>0</v>
      </c>
    </row>
    <row r="72" spans="1:18" s="4" customFormat="1" ht="15" customHeight="1" x14ac:dyDescent="0.2">
      <c r="A72" s="4">
        <f t="shared" si="3"/>
        <v>0</v>
      </c>
      <c r="B72" s="53" t="str">
        <f t="shared" si="3"/>
        <v>&lt;=12</v>
      </c>
      <c r="C72" s="54"/>
      <c r="D72" s="58"/>
      <c r="E72" s="55"/>
      <c r="F72" s="59"/>
      <c r="G72" s="406">
        <f t="shared" si="0"/>
        <v>0</v>
      </c>
      <c r="H72" s="55">
        <f>SUMIFS(日別入力!$AO:$AO,日別入力!$E:$E,$C72,日別入力!$B:$B,$B72,日別入力!$H:$H,$F72,日別入力!$D:$D,H$7)</f>
        <v>0</v>
      </c>
      <c r="I72" s="55">
        <f>SUMIFS(日別入力!$AO:$AO,日別入力!$E:$E,$C72,日別入力!$B:$B,$B72,日別入力!$H:$H,$F72,日別入力!$D:$D,I$7)</f>
        <v>0</v>
      </c>
      <c r="J72" s="55">
        <f>SUMIFS(日別入力!$AO:$AO,日別入力!$E:$E,$C72,日別入力!$B:$B,$B72,日別入力!$H:$H,$F72,日別入力!$D:$D,J$7)</f>
        <v>0</v>
      </c>
      <c r="K72" s="55">
        <f>SUMIFS(日別入力!$AO:$AO,日別入力!$E:$E,$C72,日別入力!$B:$B,$B72,日別入力!$H:$H,$F72,日別入力!$D:$D,K$7)</f>
        <v>0</v>
      </c>
      <c r="L72" s="55">
        <f>SUMIFS(日別入力!$AO:$AO,日別入力!$E:$E,$C72,日別入力!$B:$B,$B72,日別入力!$H:$H,$F72,日別入力!$D:$D,L$7)</f>
        <v>0</v>
      </c>
      <c r="M72" s="55">
        <f>SUMIFS(日別入力!$AO:$AO,日別入力!$E:$E,$C72,日別入力!$B:$B,$B72,日別入力!$H:$H,$F72,日別入力!$D:$D,M$7)</f>
        <v>0</v>
      </c>
      <c r="N72" s="55">
        <f>SUMIFS(日別入力!$AO:$AO,日別入力!$E:$E,$C72,日別入力!$B:$B,$B72,日別入力!$H:$H,$F72,日別入力!$D:$D,N$7)</f>
        <v>0</v>
      </c>
      <c r="O72" s="55">
        <f>SUMIFS(日別入力!$AO:$AO,日別入力!$E:$E,$C72,日別入力!$B:$B,$B72,日別入力!$H:$H,$F72,日別入力!$D:$D,O$7)</f>
        <v>0</v>
      </c>
      <c r="P72" s="55">
        <f>SUMIFS(日別入力!$AO:$AO,日別入力!$E:$E,$C72,日別入力!$B:$B,$B72,日別入力!$H:$H,$F72,日別入力!$D:$D,P$7)</f>
        <v>0</v>
      </c>
      <c r="Q72" s="55">
        <f>SUMIFS(日別入力!$AO:$AO,日別入力!$E:$E,$C72,日別入力!$B:$B,$B72,日別入力!$H:$H,$F72,日別入力!$D:$D,Q$7)</f>
        <v>0</v>
      </c>
      <c r="R72" s="407">
        <f>SUMIFS(日別入力!$AO:$AO,日別入力!$E:$E,$C72,日別入力!$B:$B,$B72,日別入力!$H:$H,$F72,日別入力!$D:$D,R$7)</f>
        <v>0</v>
      </c>
    </row>
    <row r="73" spans="1:18" s="4" customFormat="1" ht="15" customHeight="1" x14ac:dyDescent="0.2">
      <c r="A73" s="4">
        <f t="shared" si="3"/>
        <v>0</v>
      </c>
      <c r="B73" s="53" t="str">
        <f t="shared" si="3"/>
        <v>&lt;=12</v>
      </c>
      <c r="C73" s="54"/>
      <c r="D73" s="58"/>
      <c r="E73" s="55"/>
      <c r="F73" s="59"/>
      <c r="G73" s="406">
        <f t="shared" si="0"/>
        <v>0</v>
      </c>
      <c r="H73" s="55">
        <f>SUMIFS(日別入力!$AO:$AO,日別入力!$E:$E,$C73,日別入力!$B:$B,$B73,日別入力!$H:$H,$F73,日別入力!$D:$D,H$7)</f>
        <v>0</v>
      </c>
      <c r="I73" s="55">
        <f>SUMIFS(日別入力!$AO:$AO,日別入力!$E:$E,$C73,日別入力!$B:$B,$B73,日別入力!$H:$H,$F73,日別入力!$D:$D,I$7)</f>
        <v>0</v>
      </c>
      <c r="J73" s="55">
        <f>SUMIFS(日別入力!$AO:$AO,日別入力!$E:$E,$C73,日別入力!$B:$B,$B73,日別入力!$H:$H,$F73,日別入力!$D:$D,J$7)</f>
        <v>0</v>
      </c>
      <c r="K73" s="55">
        <f>SUMIFS(日別入力!$AO:$AO,日別入力!$E:$E,$C73,日別入力!$B:$B,$B73,日別入力!$H:$H,$F73,日別入力!$D:$D,K$7)</f>
        <v>0</v>
      </c>
      <c r="L73" s="55">
        <f>SUMIFS(日別入力!$AO:$AO,日別入力!$E:$E,$C73,日別入力!$B:$B,$B73,日別入力!$H:$H,$F73,日別入力!$D:$D,L$7)</f>
        <v>0</v>
      </c>
      <c r="M73" s="55">
        <f>SUMIFS(日別入力!$AO:$AO,日別入力!$E:$E,$C73,日別入力!$B:$B,$B73,日別入力!$H:$H,$F73,日別入力!$D:$D,M$7)</f>
        <v>0</v>
      </c>
      <c r="N73" s="55">
        <f>SUMIFS(日別入力!$AO:$AO,日別入力!$E:$E,$C73,日別入力!$B:$B,$B73,日別入力!$H:$H,$F73,日別入力!$D:$D,N$7)</f>
        <v>0</v>
      </c>
      <c r="O73" s="55">
        <f>SUMIFS(日別入力!$AO:$AO,日別入力!$E:$E,$C73,日別入力!$B:$B,$B73,日別入力!$H:$H,$F73,日別入力!$D:$D,O$7)</f>
        <v>0</v>
      </c>
      <c r="P73" s="55">
        <f>SUMIFS(日別入力!$AO:$AO,日別入力!$E:$E,$C73,日別入力!$B:$B,$B73,日別入力!$H:$H,$F73,日別入力!$D:$D,P$7)</f>
        <v>0</v>
      </c>
      <c r="Q73" s="55">
        <f>SUMIFS(日別入力!$AO:$AO,日別入力!$E:$E,$C73,日別入力!$B:$B,$B73,日別入力!$H:$H,$F73,日別入力!$D:$D,Q$7)</f>
        <v>0</v>
      </c>
      <c r="R73" s="407">
        <f>SUMIFS(日別入力!$AO:$AO,日別入力!$E:$E,$C73,日別入力!$B:$B,$B73,日別入力!$H:$H,$F73,日別入力!$D:$D,R$7)</f>
        <v>0</v>
      </c>
    </row>
    <row r="74" spans="1:18" s="4" customFormat="1" ht="15" customHeight="1" x14ac:dyDescent="0.2">
      <c r="A74" s="4">
        <f t="shared" si="3"/>
        <v>0</v>
      </c>
      <c r="B74" s="53" t="str">
        <f t="shared" si="3"/>
        <v>&lt;=12</v>
      </c>
      <c r="C74" s="54"/>
      <c r="D74" s="58"/>
      <c r="E74" s="55"/>
      <c r="F74" s="59"/>
      <c r="G74" s="406">
        <f t="shared" ref="G74:G108" si="4">SUM(H74:R74)</f>
        <v>0</v>
      </c>
      <c r="H74" s="55">
        <f>SUMIFS(日別入力!$AO:$AO,日別入力!$E:$E,$C74,日別入力!$B:$B,$B74,日別入力!$H:$H,$F74,日別入力!$D:$D,H$7)</f>
        <v>0</v>
      </c>
      <c r="I74" s="55">
        <f>SUMIFS(日別入力!$AO:$AO,日別入力!$E:$E,$C74,日別入力!$B:$B,$B74,日別入力!$H:$H,$F74,日別入力!$D:$D,I$7)</f>
        <v>0</v>
      </c>
      <c r="J74" s="55">
        <f>SUMIFS(日別入力!$AO:$AO,日別入力!$E:$E,$C74,日別入力!$B:$B,$B74,日別入力!$H:$H,$F74,日別入力!$D:$D,J$7)</f>
        <v>0</v>
      </c>
      <c r="K74" s="55">
        <f>SUMIFS(日別入力!$AO:$AO,日別入力!$E:$E,$C74,日別入力!$B:$B,$B74,日別入力!$H:$H,$F74,日別入力!$D:$D,K$7)</f>
        <v>0</v>
      </c>
      <c r="L74" s="55">
        <f>SUMIFS(日別入力!$AO:$AO,日別入力!$E:$E,$C74,日別入力!$B:$B,$B74,日別入力!$H:$H,$F74,日別入力!$D:$D,L$7)</f>
        <v>0</v>
      </c>
      <c r="M74" s="55">
        <f>SUMIFS(日別入力!$AO:$AO,日別入力!$E:$E,$C74,日別入力!$B:$B,$B74,日別入力!$H:$H,$F74,日別入力!$D:$D,M$7)</f>
        <v>0</v>
      </c>
      <c r="N74" s="55">
        <f>SUMIFS(日別入力!$AO:$AO,日別入力!$E:$E,$C74,日別入力!$B:$B,$B74,日別入力!$H:$H,$F74,日別入力!$D:$D,N$7)</f>
        <v>0</v>
      </c>
      <c r="O74" s="55">
        <f>SUMIFS(日別入力!$AO:$AO,日別入力!$E:$E,$C74,日別入力!$B:$B,$B74,日別入力!$H:$H,$F74,日別入力!$D:$D,O$7)</f>
        <v>0</v>
      </c>
      <c r="P74" s="55">
        <f>SUMIFS(日別入力!$AO:$AO,日別入力!$E:$E,$C74,日別入力!$B:$B,$B74,日別入力!$H:$H,$F74,日別入力!$D:$D,P$7)</f>
        <v>0</v>
      </c>
      <c r="Q74" s="55">
        <f>SUMIFS(日別入力!$AO:$AO,日別入力!$E:$E,$C74,日別入力!$B:$B,$B74,日別入力!$H:$H,$F74,日別入力!$D:$D,Q$7)</f>
        <v>0</v>
      </c>
      <c r="R74" s="407">
        <f>SUMIFS(日別入力!$AO:$AO,日別入力!$E:$E,$C74,日別入力!$B:$B,$B74,日別入力!$H:$H,$F74,日別入力!$D:$D,R$7)</f>
        <v>0</v>
      </c>
    </row>
    <row r="75" spans="1:18" s="4" customFormat="1" ht="15" customHeight="1" x14ac:dyDescent="0.2">
      <c r="A75" s="4">
        <f t="shared" si="3"/>
        <v>0</v>
      </c>
      <c r="B75" s="53" t="str">
        <f t="shared" si="3"/>
        <v>&lt;=12</v>
      </c>
      <c r="C75" s="54"/>
      <c r="D75" s="58"/>
      <c r="E75" s="55"/>
      <c r="F75" s="59"/>
      <c r="G75" s="406">
        <f t="shared" si="4"/>
        <v>0</v>
      </c>
      <c r="H75" s="55">
        <f>SUMIFS(日別入力!$AO:$AO,日別入力!$E:$E,$C75,日別入力!$B:$B,$B75,日別入力!$H:$H,$F75,日別入力!$D:$D,H$7)</f>
        <v>0</v>
      </c>
      <c r="I75" s="55">
        <f>SUMIFS(日別入力!$AO:$AO,日別入力!$E:$E,$C75,日別入力!$B:$B,$B75,日別入力!$H:$H,$F75,日別入力!$D:$D,I$7)</f>
        <v>0</v>
      </c>
      <c r="J75" s="55">
        <f>SUMIFS(日別入力!$AO:$AO,日別入力!$E:$E,$C75,日別入力!$B:$B,$B75,日別入力!$H:$H,$F75,日別入力!$D:$D,J$7)</f>
        <v>0</v>
      </c>
      <c r="K75" s="55">
        <f>SUMIFS(日別入力!$AO:$AO,日別入力!$E:$E,$C75,日別入力!$B:$B,$B75,日別入力!$H:$H,$F75,日別入力!$D:$D,K$7)</f>
        <v>0</v>
      </c>
      <c r="L75" s="55">
        <f>SUMIFS(日別入力!$AO:$AO,日別入力!$E:$E,$C75,日別入力!$B:$B,$B75,日別入力!$H:$H,$F75,日別入力!$D:$D,L$7)</f>
        <v>0</v>
      </c>
      <c r="M75" s="55">
        <f>SUMIFS(日別入力!$AO:$AO,日別入力!$E:$E,$C75,日別入力!$B:$B,$B75,日別入力!$H:$H,$F75,日別入力!$D:$D,M$7)</f>
        <v>0</v>
      </c>
      <c r="N75" s="55">
        <f>SUMIFS(日別入力!$AO:$AO,日別入力!$E:$E,$C75,日別入力!$B:$B,$B75,日別入力!$H:$H,$F75,日別入力!$D:$D,N$7)</f>
        <v>0</v>
      </c>
      <c r="O75" s="55">
        <f>SUMIFS(日別入力!$AO:$AO,日別入力!$E:$E,$C75,日別入力!$B:$B,$B75,日別入力!$H:$H,$F75,日別入力!$D:$D,O$7)</f>
        <v>0</v>
      </c>
      <c r="P75" s="55">
        <f>SUMIFS(日別入力!$AO:$AO,日別入力!$E:$E,$C75,日別入力!$B:$B,$B75,日別入力!$H:$H,$F75,日別入力!$D:$D,P$7)</f>
        <v>0</v>
      </c>
      <c r="Q75" s="55">
        <f>SUMIFS(日別入力!$AO:$AO,日別入力!$E:$E,$C75,日別入力!$B:$B,$B75,日別入力!$H:$H,$F75,日別入力!$D:$D,Q$7)</f>
        <v>0</v>
      </c>
      <c r="R75" s="407">
        <f>SUMIFS(日別入力!$AO:$AO,日別入力!$E:$E,$C75,日別入力!$B:$B,$B75,日別入力!$H:$H,$F75,日別入力!$D:$D,R$7)</f>
        <v>0</v>
      </c>
    </row>
    <row r="76" spans="1:18" s="4" customFormat="1" ht="15" customHeight="1" x14ac:dyDescent="0.2">
      <c r="A76" s="4">
        <f t="shared" si="3"/>
        <v>0</v>
      </c>
      <c r="B76" s="53" t="str">
        <f t="shared" si="3"/>
        <v>&lt;=12</v>
      </c>
      <c r="C76" s="54"/>
      <c r="D76" s="58"/>
      <c r="E76" s="55"/>
      <c r="F76" s="59"/>
      <c r="G76" s="406">
        <f t="shared" si="4"/>
        <v>0</v>
      </c>
      <c r="H76" s="55">
        <f>SUMIFS(日別入力!$AO:$AO,日別入力!$E:$E,$C76,日別入力!$B:$B,$B76,日別入力!$H:$H,$F76,日別入力!$D:$D,H$7)</f>
        <v>0</v>
      </c>
      <c r="I76" s="55">
        <f>SUMIFS(日別入力!$AO:$AO,日別入力!$E:$E,$C76,日別入力!$B:$B,$B76,日別入力!$H:$H,$F76,日別入力!$D:$D,I$7)</f>
        <v>0</v>
      </c>
      <c r="J76" s="55">
        <f>SUMIFS(日別入力!$AO:$AO,日別入力!$E:$E,$C76,日別入力!$B:$B,$B76,日別入力!$H:$H,$F76,日別入力!$D:$D,J$7)</f>
        <v>0</v>
      </c>
      <c r="K76" s="55">
        <f>SUMIFS(日別入力!$AO:$AO,日別入力!$E:$E,$C76,日別入力!$B:$B,$B76,日別入力!$H:$H,$F76,日別入力!$D:$D,K$7)</f>
        <v>0</v>
      </c>
      <c r="L76" s="55">
        <f>SUMIFS(日別入力!$AO:$AO,日別入力!$E:$E,$C76,日別入力!$B:$B,$B76,日別入力!$H:$H,$F76,日別入力!$D:$D,L$7)</f>
        <v>0</v>
      </c>
      <c r="M76" s="55">
        <f>SUMIFS(日別入力!$AO:$AO,日別入力!$E:$E,$C76,日別入力!$B:$B,$B76,日別入力!$H:$H,$F76,日別入力!$D:$D,M$7)</f>
        <v>0</v>
      </c>
      <c r="N76" s="55">
        <f>SUMIFS(日別入力!$AO:$AO,日別入力!$E:$E,$C76,日別入力!$B:$B,$B76,日別入力!$H:$H,$F76,日別入力!$D:$D,N$7)</f>
        <v>0</v>
      </c>
      <c r="O76" s="55">
        <f>SUMIFS(日別入力!$AO:$AO,日別入力!$E:$E,$C76,日別入力!$B:$B,$B76,日別入力!$H:$H,$F76,日別入力!$D:$D,O$7)</f>
        <v>0</v>
      </c>
      <c r="P76" s="55">
        <f>SUMIFS(日別入力!$AO:$AO,日別入力!$E:$E,$C76,日別入力!$B:$B,$B76,日別入力!$H:$H,$F76,日別入力!$D:$D,P$7)</f>
        <v>0</v>
      </c>
      <c r="Q76" s="55">
        <f>SUMIFS(日別入力!$AO:$AO,日別入力!$E:$E,$C76,日別入力!$B:$B,$B76,日別入力!$H:$H,$F76,日別入力!$D:$D,Q$7)</f>
        <v>0</v>
      </c>
      <c r="R76" s="407">
        <f>SUMIFS(日別入力!$AO:$AO,日別入力!$E:$E,$C76,日別入力!$B:$B,$B76,日別入力!$H:$H,$F76,日別入力!$D:$D,R$7)</f>
        <v>0</v>
      </c>
    </row>
    <row r="77" spans="1:18" s="4" customFormat="1" ht="15" customHeight="1" x14ac:dyDescent="0.2">
      <c r="A77" s="4">
        <f t="shared" si="3"/>
        <v>0</v>
      </c>
      <c r="B77" s="53" t="str">
        <f t="shared" si="3"/>
        <v>&lt;=12</v>
      </c>
      <c r="C77" s="54"/>
      <c r="D77" s="58"/>
      <c r="E77" s="55"/>
      <c r="F77" s="59"/>
      <c r="G77" s="406">
        <f t="shared" si="4"/>
        <v>0</v>
      </c>
      <c r="H77" s="55">
        <f>SUMIFS(日別入力!$AO:$AO,日別入力!$E:$E,$C77,日別入力!$B:$B,$B77,日別入力!$H:$H,$F77,日別入力!$D:$D,H$7)</f>
        <v>0</v>
      </c>
      <c r="I77" s="55">
        <f>SUMIFS(日別入力!$AO:$AO,日別入力!$E:$E,$C77,日別入力!$B:$B,$B77,日別入力!$H:$H,$F77,日別入力!$D:$D,I$7)</f>
        <v>0</v>
      </c>
      <c r="J77" s="55">
        <f>SUMIFS(日別入力!$AO:$AO,日別入力!$E:$E,$C77,日別入力!$B:$B,$B77,日別入力!$H:$H,$F77,日別入力!$D:$D,J$7)</f>
        <v>0</v>
      </c>
      <c r="K77" s="55">
        <f>SUMIFS(日別入力!$AO:$AO,日別入力!$E:$E,$C77,日別入力!$B:$B,$B77,日別入力!$H:$H,$F77,日別入力!$D:$D,K$7)</f>
        <v>0</v>
      </c>
      <c r="L77" s="55">
        <f>SUMIFS(日別入力!$AO:$AO,日別入力!$E:$E,$C77,日別入力!$B:$B,$B77,日別入力!$H:$H,$F77,日別入力!$D:$D,L$7)</f>
        <v>0</v>
      </c>
      <c r="M77" s="55">
        <f>SUMIFS(日別入力!$AO:$AO,日別入力!$E:$E,$C77,日別入力!$B:$B,$B77,日別入力!$H:$H,$F77,日別入力!$D:$D,M$7)</f>
        <v>0</v>
      </c>
      <c r="N77" s="55">
        <f>SUMIFS(日別入力!$AO:$AO,日別入力!$E:$E,$C77,日別入力!$B:$B,$B77,日別入力!$H:$H,$F77,日別入力!$D:$D,N$7)</f>
        <v>0</v>
      </c>
      <c r="O77" s="55">
        <f>SUMIFS(日別入力!$AO:$AO,日別入力!$E:$E,$C77,日別入力!$B:$B,$B77,日別入力!$H:$H,$F77,日別入力!$D:$D,O$7)</f>
        <v>0</v>
      </c>
      <c r="P77" s="55">
        <f>SUMIFS(日別入力!$AO:$AO,日別入力!$E:$E,$C77,日別入力!$B:$B,$B77,日別入力!$H:$H,$F77,日別入力!$D:$D,P$7)</f>
        <v>0</v>
      </c>
      <c r="Q77" s="55">
        <f>SUMIFS(日別入力!$AO:$AO,日別入力!$E:$E,$C77,日別入力!$B:$B,$B77,日別入力!$H:$H,$F77,日別入力!$D:$D,Q$7)</f>
        <v>0</v>
      </c>
      <c r="R77" s="407">
        <f>SUMIFS(日別入力!$AO:$AO,日別入力!$E:$E,$C77,日別入力!$B:$B,$B77,日別入力!$H:$H,$F77,日別入力!$D:$D,R$7)</f>
        <v>0</v>
      </c>
    </row>
    <row r="78" spans="1:18" s="4" customFormat="1" ht="15" customHeight="1" x14ac:dyDescent="0.2">
      <c r="A78" s="4">
        <f t="shared" si="3"/>
        <v>0</v>
      </c>
      <c r="B78" s="53" t="str">
        <f t="shared" si="3"/>
        <v>&lt;=12</v>
      </c>
      <c r="C78" s="54"/>
      <c r="D78" s="58"/>
      <c r="E78" s="55"/>
      <c r="F78" s="59"/>
      <c r="G78" s="406">
        <f t="shared" si="4"/>
        <v>0</v>
      </c>
      <c r="H78" s="55">
        <f>SUMIFS(日別入力!$AO:$AO,日別入力!$E:$E,$C78,日別入力!$B:$B,$B78,日別入力!$H:$H,$F78,日別入力!$D:$D,H$7)</f>
        <v>0</v>
      </c>
      <c r="I78" s="55">
        <f>SUMIFS(日別入力!$AO:$AO,日別入力!$E:$E,$C78,日別入力!$B:$B,$B78,日別入力!$H:$H,$F78,日別入力!$D:$D,I$7)</f>
        <v>0</v>
      </c>
      <c r="J78" s="55">
        <f>SUMIFS(日別入力!$AO:$AO,日別入力!$E:$E,$C78,日別入力!$B:$B,$B78,日別入力!$H:$H,$F78,日別入力!$D:$D,J$7)</f>
        <v>0</v>
      </c>
      <c r="K78" s="55">
        <f>SUMIFS(日別入力!$AO:$AO,日別入力!$E:$E,$C78,日別入力!$B:$B,$B78,日別入力!$H:$H,$F78,日別入力!$D:$D,K$7)</f>
        <v>0</v>
      </c>
      <c r="L78" s="55">
        <f>SUMIFS(日別入力!$AO:$AO,日別入力!$E:$E,$C78,日別入力!$B:$B,$B78,日別入力!$H:$H,$F78,日別入力!$D:$D,L$7)</f>
        <v>0</v>
      </c>
      <c r="M78" s="55">
        <f>SUMIFS(日別入力!$AO:$AO,日別入力!$E:$E,$C78,日別入力!$B:$B,$B78,日別入力!$H:$H,$F78,日別入力!$D:$D,M$7)</f>
        <v>0</v>
      </c>
      <c r="N78" s="55">
        <f>SUMIFS(日別入力!$AO:$AO,日別入力!$E:$E,$C78,日別入力!$B:$B,$B78,日別入力!$H:$H,$F78,日別入力!$D:$D,N$7)</f>
        <v>0</v>
      </c>
      <c r="O78" s="55">
        <f>SUMIFS(日別入力!$AO:$AO,日別入力!$E:$E,$C78,日別入力!$B:$B,$B78,日別入力!$H:$H,$F78,日別入力!$D:$D,O$7)</f>
        <v>0</v>
      </c>
      <c r="P78" s="55">
        <f>SUMIFS(日別入力!$AO:$AO,日別入力!$E:$E,$C78,日別入力!$B:$B,$B78,日別入力!$H:$H,$F78,日別入力!$D:$D,P$7)</f>
        <v>0</v>
      </c>
      <c r="Q78" s="55">
        <f>SUMIFS(日別入力!$AO:$AO,日別入力!$E:$E,$C78,日別入力!$B:$B,$B78,日別入力!$H:$H,$F78,日別入力!$D:$D,Q$7)</f>
        <v>0</v>
      </c>
      <c r="R78" s="407">
        <f>SUMIFS(日別入力!$AO:$AO,日別入力!$E:$E,$C78,日別入力!$B:$B,$B78,日別入力!$H:$H,$F78,日別入力!$D:$D,R$7)</f>
        <v>0</v>
      </c>
    </row>
    <row r="79" spans="1:18" s="4" customFormat="1" ht="15" customHeight="1" x14ac:dyDescent="0.2">
      <c r="A79" s="4">
        <f t="shared" si="3"/>
        <v>0</v>
      </c>
      <c r="B79" s="53" t="str">
        <f t="shared" si="3"/>
        <v>&lt;=12</v>
      </c>
      <c r="C79" s="54"/>
      <c r="D79" s="58"/>
      <c r="E79" s="55"/>
      <c r="F79" s="59"/>
      <c r="G79" s="406">
        <f t="shared" si="4"/>
        <v>0</v>
      </c>
      <c r="H79" s="55">
        <f>SUMIFS(日別入力!$AO:$AO,日別入力!$E:$E,$C79,日別入力!$B:$B,$B79,日別入力!$H:$H,$F79,日別入力!$D:$D,H$7)</f>
        <v>0</v>
      </c>
      <c r="I79" s="55">
        <f>SUMIFS(日別入力!$AO:$AO,日別入力!$E:$E,$C79,日別入力!$B:$B,$B79,日別入力!$H:$H,$F79,日別入力!$D:$D,I$7)</f>
        <v>0</v>
      </c>
      <c r="J79" s="55">
        <f>SUMIFS(日別入力!$AO:$AO,日別入力!$E:$E,$C79,日別入力!$B:$B,$B79,日別入力!$H:$H,$F79,日別入力!$D:$D,J$7)</f>
        <v>0</v>
      </c>
      <c r="K79" s="55">
        <f>SUMIFS(日別入力!$AO:$AO,日別入力!$E:$E,$C79,日別入力!$B:$B,$B79,日別入力!$H:$H,$F79,日別入力!$D:$D,K$7)</f>
        <v>0</v>
      </c>
      <c r="L79" s="55">
        <f>SUMIFS(日別入力!$AO:$AO,日別入力!$E:$E,$C79,日別入力!$B:$B,$B79,日別入力!$H:$H,$F79,日別入力!$D:$D,L$7)</f>
        <v>0</v>
      </c>
      <c r="M79" s="55">
        <f>SUMIFS(日別入力!$AO:$AO,日別入力!$E:$E,$C79,日別入力!$B:$B,$B79,日別入力!$H:$H,$F79,日別入力!$D:$D,M$7)</f>
        <v>0</v>
      </c>
      <c r="N79" s="55">
        <f>SUMIFS(日別入力!$AO:$AO,日別入力!$E:$E,$C79,日別入力!$B:$B,$B79,日別入力!$H:$H,$F79,日別入力!$D:$D,N$7)</f>
        <v>0</v>
      </c>
      <c r="O79" s="55">
        <f>SUMIFS(日別入力!$AO:$AO,日別入力!$E:$E,$C79,日別入力!$B:$B,$B79,日別入力!$H:$H,$F79,日別入力!$D:$D,O$7)</f>
        <v>0</v>
      </c>
      <c r="P79" s="55">
        <f>SUMIFS(日別入力!$AO:$AO,日別入力!$E:$E,$C79,日別入力!$B:$B,$B79,日別入力!$H:$H,$F79,日別入力!$D:$D,P$7)</f>
        <v>0</v>
      </c>
      <c r="Q79" s="55">
        <f>SUMIFS(日別入力!$AO:$AO,日別入力!$E:$E,$C79,日別入力!$B:$B,$B79,日別入力!$H:$H,$F79,日別入力!$D:$D,Q$7)</f>
        <v>0</v>
      </c>
      <c r="R79" s="407">
        <f>SUMIFS(日別入力!$AO:$AO,日別入力!$E:$E,$C79,日別入力!$B:$B,$B79,日別入力!$H:$H,$F79,日別入力!$D:$D,R$7)</f>
        <v>0</v>
      </c>
    </row>
    <row r="80" spans="1:18" s="4" customFormat="1" ht="15" customHeight="1" x14ac:dyDescent="0.2">
      <c r="A80" s="4">
        <f t="shared" si="3"/>
        <v>0</v>
      </c>
      <c r="B80" s="53" t="str">
        <f t="shared" si="3"/>
        <v>&lt;=12</v>
      </c>
      <c r="C80" s="54"/>
      <c r="D80" s="58"/>
      <c r="E80" s="55"/>
      <c r="F80" s="59"/>
      <c r="G80" s="406">
        <f t="shared" si="4"/>
        <v>0</v>
      </c>
      <c r="H80" s="55">
        <f>SUMIFS(日別入力!$AO:$AO,日別入力!$E:$E,$C80,日別入力!$B:$B,$B80,日別入力!$H:$H,$F80,日別入力!$D:$D,H$7)</f>
        <v>0</v>
      </c>
      <c r="I80" s="55">
        <f>SUMIFS(日別入力!$AO:$AO,日別入力!$E:$E,$C80,日別入力!$B:$B,$B80,日別入力!$H:$H,$F80,日別入力!$D:$D,I$7)</f>
        <v>0</v>
      </c>
      <c r="J80" s="55">
        <f>SUMIFS(日別入力!$AO:$AO,日別入力!$E:$E,$C80,日別入力!$B:$B,$B80,日別入力!$H:$H,$F80,日別入力!$D:$D,J$7)</f>
        <v>0</v>
      </c>
      <c r="K80" s="55">
        <f>SUMIFS(日別入力!$AO:$AO,日別入力!$E:$E,$C80,日別入力!$B:$B,$B80,日別入力!$H:$H,$F80,日別入力!$D:$D,K$7)</f>
        <v>0</v>
      </c>
      <c r="L80" s="55">
        <f>SUMIFS(日別入力!$AO:$AO,日別入力!$E:$E,$C80,日別入力!$B:$B,$B80,日別入力!$H:$H,$F80,日別入力!$D:$D,L$7)</f>
        <v>0</v>
      </c>
      <c r="M80" s="55">
        <f>SUMIFS(日別入力!$AO:$AO,日別入力!$E:$E,$C80,日別入力!$B:$B,$B80,日別入力!$H:$H,$F80,日別入力!$D:$D,M$7)</f>
        <v>0</v>
      </c>
      <c r="N80" s="55">
        <f>SUMIFS(日別入力!$AO:$AO,日別入力!$E:$E,$C80,日別入力!$B:$B,$B80,日別入力!$H:$H,$F80,日別入力!$D:$D,N$7)</f>
        <v>0</v>
      </c>
      <c r="O80" s="55">
        <f>SUMIFS(日別入力!$AO:$AO,日別入力!$E:$E,$C80,日別入力!$B:$B,$B80,日別入力!$H:$H,$F80,日別入力!$D:$D,O$7)</f>
        <v>0</v>
      </c>
      <c r="P80" s="55">
        <f>SUMIFS(日別入力!$AO:$AO,日別入力!$E:$E,$C80,日別入力!$B:$B,$B80,日別入力!$H:$H,$F80,日別入力!$D:$D,P$7)</f>
        <v>0</v>
      </c>
      <c r="Q80" s="55">
        <f>SUMIFS(日別入力!$AO:$AO,日別入力!$E:$E,$C80,日別入力!$B:$B,$B80,日別入力!$H:$H,$F80,日別入力!$D:$D,Q$7)</f>
        <v>0</v>
      </c>
      <c r="R80" s="407">
        <f>SUMIFS(日別入力!$AO:$AO,日別入力!$E:$E,$C80,日別入力!$B:$B,$B80,日別入力!$H:$H,$F80,日別入力!$D:$D,R$7)</f>
        <v>0</v>
      </c>
    </row>
    <row r="81" spans="1:18" s="4" customFormat="1" ht="15" customHeight="1" x14ac:dyDescent="0.2">
      <c r="A81" s="4">
        <f t="shared" si="3"/>
        <v>0</v>
      </c>
      <c r="B81" s="53" t="str">
        <f t="shared" si="3"/>
        <v>&lt;=12</v>
      </c>
      <c r="C81" s="54"/>
      <c r="D81" s="58"/>
      <c r="E81" s="55"/>
      <c r="F81" s="59"/>
      <c r="G81" s="406">
        <f t="shared" si="4"/>
        <v>0</v>
      </c>
      <c r="H81" s="55">
        <f>SUMIFS(日別入力!$AO:$AO,日別入力!$E:$E,$C81,日別入力!$B:$B,$B81,日別入力!$H:$H,$F81,日別入力!$D:$D,H$7)</f>
        <v>0</v>
      </c>
      <c r="I81" s="55">
        <f>SUMIFS(日別入力!$AO:$AO,日別入力!$E:$E,$C81,日別入力!$B:$B,$B81,日別入力!$H:$H,$F81,日別入力!$D:$D,I$7)</f>
        <v>0</v>
      </c>
      <c r="J81" s="55">
        <f>SUMIFS(日別入力!$AO:$AO,日別入力!$E:$E,$C81,日別入力!$B:$B,$B81,日別入力!$H:$H,$F81,日別入力!$D:$D,J$7)</f>
        <v>0</v>
      </c>
      <c r="K81" s="55">
        <f>SUMIFS(日別入力!$AO:$AO,日別入力!$E:$E,$C81,日別入力!$B:$B,$B81,日別入力!$H:$H,$F81,日別入力!$D:$D,K$7)</f>
        <v>0</v>
      </c>
      <c r="L81" s="55">
        <f>SUMIFS(日別入力!$AO:$AO,日別入力!$E:$E,$C81,日別入力!$B:$B,$B81,日別入力!$H:$H,$F81,日別入力!$D:$D,L$7)</f>
        <v>0</v>
      </c>
      <c r="M81" s="55">
        <f>SUMIFS(日別入力!$AO:$AO,日別入力!$E:$E,$C81,日別入力!$B:$B,$B81,日別入力!$H:$H,$F81,日別入力!$D:$D,M$7)</f>
        <v>0</v>
      </c>
      <c r="N81" s="55">
        <f>SUMIFS(日別入力!$AO:$AO,日別入力!$E:$E,$C81,日別入力!$B:$B,$B81,日別入力!$H:$H,$F81,日別入力!$D:$D,N$7)</f>
        <v>0</v>
      </c>
      <c r="O81" s="55">
        <f>SUMIFS(日別入力!$AO:$AO,日別入力!$E:$E,$C81,日別入力!$B:$B,$B81,日別入力!$H:$H,$F81,日別入力!$D:$D,O$7)</f>
        <v>0</v>
      </c>
      <c r="P81" s="55">
        <f>SUMIFS(日別入力!$AO:$AO,日別入力!$E:$E,$C81,日別入力!$B:$B,$B81,日別入力!$H:$H,$F81,日別入力!$D:$D,P$7)</f>
        <v>0</v>
      </c>
      <c r="Q81" s="55">
        <f>SUMIFS(日別入力!$AO:$AO,日別入力!$E:$E,$C81,日別入力!$B:$B,$B81,日別入力!$H:$H,$F81,日別入力!$D:$D,Q$7)</f>
        <v>0</v>
      </c>
      <c r="R81" s="407">
        <f>SUMIFS(日別入力!$AO:$AO,日別入力!$E:$E,$C81,日別入力!$B:$B,$B81,日別入力!$H:$H,$F81,日別入力!$D:$D,R$7)</f>
        <v>0</v>
      </c>
    </row>
    <row r="82" spans="1:18" s="4" customFormat="1" ht="15" customHeight="1" x14ac:dyDescent="0.2">
      <c r="A82" s="4">
        <f t="shared" si="3"/>
        <v>0</v>
      </c>
      <c r="B82" s="53" t="str">
        <f t="shared" si="3"/>
        <v>&lt;=12</v>
      </c>
      <c r="C82" s="54"/>
      <c r="D82" s="58"/>
      <c r="E82" s="55"/>
      <c r="F82" s="59"/>
      <c r="G82" s="406">
        <f t="shared" si="4"/>
        <v>0</v>
      </c>
      <c r="H82" s="55">
        <f>SUMIFS(日別入力!$AO:$AO,日別入力!$E:$E,$C82,日別入力!$B:$B,$B82,日別入力!$H:$H,$F82,日別入力!$D:$D,H$7)</f>
        <v>0</v>
      </c>
      <c r="I82" s="55">
        <f>SUMIFS(日別入力!$AO:$AO,日別入力!$E:$E,$C82,日別入力!$B:$B,$B82,日別入力!$H:$H,$F82,日別入力!$D:$D,I$7)</f>
        <v>0</v>
      </c>
      <c r="J82" s="55">
        <f>SUMIFS(日別入力!$AO:$AO,日別入力!$E:$E,$C82,日別入力!$B:$B,$B82,日別入力!$H:$H,$F82,日別入力!$D:$D,J$7)</f>
        <v>0</v>
      </c>
      <c r="K82" s="55">
        <f>SUMIFS(日別入力!$AO:$AO,日別入力!$E:$E,$C82,日別入力!$B:$B,$B82,日別入力!$H:$H,$F82,日別入力!$D:$D,K$7)</f>
        <v>0</v>
      </c>
      <c r="L82" s="55">
        <f>SUMIFS(日別入力!$AO:$AO,日別入力!$E:$E,$C82,日別入力!$B:$B,$B82,日別入力!$H:$H,$F82,日別入力!$D:$D,L$7)</f>
        <v>0</v>
      </c>
      <c r="M82" s="55">
        <f>SUMIFS(日別入力!$AO:$AO,日別入力!$E:$E,$C82,日別入力!$B:$B,$B82,日別入力!$H:$H,$F82,日別入力!$D:$D,M$7)</f>
        <v>0</v>
      </c>
      <c r="N82" s="55">
        <f>SUMIFS(日別入力!$AO:$AO,日別入力!$E:$E,$C82,日別入力!$B:$B,$B82,日別入力!$H:$H,$F82,日別入力!$D:$D,N$7)</f>
        <v>0</v>
      </c>
      <c r="O82" s="55">
        <f>SUMIFS(日別入力!$AO:$AO,日別入力!$E:$E,$C82,日別入力!$B:$B,$B82,日別入力!$H:$H,$F82,日別入力!$D:$D,O$7)</f>
        <v>0</v>
      </c>
      <c r="P82" s="55">
        <f>SUMIFS(日別入力!$AO:$AO,日別入力!$E:$E,$C82,日別入力!$B:$B,$B82,日別入力!$H:$H,$F82,日別入力!$D:$D,P$7)</f>
        <v>0</v>
      </c>
      <c r="Q82" s="55">
        <f>SUMIFS(日別入力!$AO:$AO,日別入力!$E:$E,$C82,日別入力!$B:$B,$B82,日別入力!$H:$H,$F82,日別入力!$D:$D,Q$7)</f>
        <v>0</v>
      </c>
      <c r="R82" s="407">
        <f>SUMIFS(日別入力!$AO:$AO,日別入力!$E:$E,$C82,日別入力!$B:$B,$B82,日別入力!$H:$H,$F82,日別入力!$D:$D,R$7)</f>
        <v>0</v>
      </c>
    </row>
    <row r="83" spans="1:18" s="4" customFormat="1" ht="15" customHeight="1" x14ac:dyDescent="0.2">
      <c r="A83" s="4">
        <f t="shared" si="3"/>
        <v>0</v>
      </c>
      <c r="B83" s="53" t="str">
        <f t="shared" si="3"/>
        <v>&lt;=12</v>
      </c>
      <c r="C83" s="54"/>
      <c r="D83" s="58"/>
      <c r="E83" s="55"/>
      <c r="F83" s="59"/>
      <c r="G83" s="406">
        <f t="shared" si="4"/>
        <v>0</v>
      </c>
      <c r="H83" s="55">
        <f>SUMIFS(日別入力!$AO:$AO,日別入力!$E:$E,$C83,日別入力!$B:$B,$B83,日別入力!$H:$H,$F83,日別入力!$D:$D,H$7)</f>
        <v>0</v>
      </c>
      <c r="I83" s="55">
        <f>SUMIFS(日別入力!$AO:$AO,日別入力!$E:$E,$C83,日別入力!$B:$B,$B83,日別入力!$H:$H,$F83,日別入力!$D:$D,I$7)</f>
        <v>0</v>
      </c>
      <c r="J83" s="55">
        <f>SUMIFS(日別入力!$AO:$AO,日別入力!$E:$E,$C83,日別入力!$B:$B,$B83,日別入力!$H:$H,$F83,日別入力!$D:$D,J$7)</f>
        <v>0</v>
      </c>
      <c r="K83" s="55">
        <f>SUMIFS(日別入力!$AO:$AO,日別入力!$E:$E,$C83,日別入力!$B:$B,$B83,日別入力!$H:$H,$F83,日別入力!$D:$D,K$7)</f>
        <v>0</v>
      </c>
      <c r="L83" s="55">
        <f>SUMIFS(日別入力!$AO:$AO,日別入力!$E:$E,$C83,日別入力!$B:$B,$B83,日別入力!$H:$H,$F83,日別入力!$D:$D,L$7)</f>
        <v>0</v>
      </c>
      <c r="M83" s="55">
        <f>SUMIFS(日別入力!$AO:$AO,日別入力!$E:$E,$C83,日別入力!$B:$B,$B83,日別入力!$H:$H,$F83,日別入力!$D:$D,M$7)</f>
        <v>0</v>
      </c>
      <c r="N83" s="55">
        <f>SUMIFS(日別入力!$AO:$AO,日別入力!$E:$E,$C83,日別入力!$B:$B,$B83,日別入力!$H:$H,$F83,日別入力!$D:$D,N$7)</f>
        <v>0</v>
      </c>
      <c r="O83" s="55">
        <f>SUMIFS(日別入力!$AO:$AO,日別入力!$E:$E,$C83,日別入力!$B:$B,$B83,日別入力!$H:$H,$F83,日別入力!$D:$D,O$7)</f>
        <v>0</v>
      </c>
      <c r="P83" s="55">
        <f>SUMIFS(日別入力!$AO:$AO,日別入力!$E:$E,$C83,日別入力!$B:$B,$B83,日別入力!$H:$H,$F83,日別入力!$D:$D,P$7)</f>
        <v>0</v>
      </c>
      <c r="Q83" s="55">
        <f>SUMIFS(日別入力!$AO:$AO,日別入力!$E:$E,$C83,日別入力!$B:$B,$B83,日別入力!$H:$H,$F83,日別入力!$D:$D,Q$7)</f>
        <v>0</v>
      </c>
      <c r="R83" s="407">
        <f>SUMIFS(日別入力!$AO:$AO,日別入力!$E:$E,$C83,日別入力!$B:$B,$B83,日別入力!$H:$H,$F83,日別入力!$D:$D,R$7)</f>
        <v>0</v>
      </c>
    </row>
    <row r="84" spans="1:18" s="4" customFormat="1" ht="15" customHeight="1" x14ac:dyDescent="0.2">
      <c r="A84" s="4">
        <f t="shared" si="3"/>
        <v>0</v>
      </c>
      <c r="B84" s="53" t="str">
        <f t="shared" si="3"/>
        <v>&lt;=12</v>
      </c>
      <c r="C84" s="54"/>
      <c r="D84" s="58"/>
      <c r="E84" s="55"/>
      <c r="F84" s="59"/>
      <c r="G84" s="406">
        <f t="shared" si="4"/>
        <v>0</v>
      </c>
      <c r="H84" s="55">
        <f>SUMIFS(日別入力!$AO:$AO,日別入力!$E:$E,$C84,日別入力!$B:$B,$B84,日別入力!$H:$H,$F84,日別入力!$D:$D,H$7)</f>
        <v>0</v>
      </c>
      <c r="I84" s="55">
        <f>SUMIFS(日別入力!$AO:$AO,日別入力!$E:$E,$C84,日別入力!$B:$B,$B84,日別入力!$H:$H,$F84,日別入力!$D:$D,I$7)</f>
        <v>0</v>
      </c>
      <c r="J84" s="55">
        <f>SUMIFS(日別入力!$AO:$AO,日別入力!$E:$E,$C84,日別入力!$B:$B,$B84,日別入力!$H:$H,$F84,日別入力!$D:$D,J$7)</f>
        <v>0</v>
      </c>
      <c r="K84" s="55">
        <f>SUMIFS(日別入力!$AO:$AO,日別入力!$E:$E,$C84,日別入力!$B:$B,$B84,日別入力!$H:$H,$F84,日別入力!$D:$D,K$7)</f>
        <v>0</v>
      </c>
      <c r="L84" s="55">
        <f>SUMIFS(日別入力!$AO:$AO,日別入力!$E:$E,$C84,日別入力!$B:$B,$B84,日別入力!$H:$H,$F84,日別入力!$D:$D,L$7)</f>
        <v>0</v>
      </c>
      <c r="M84" s="55">
        <f>SUMIFS(日別入力!$AO:$AO,日別入力!$E:$E,$C84,日別入力!$B:$B,$B84,日別入力!$H:$H,$F84,日別入力!$D:$D,M$7)</f>
        <v>0</v>
      </c>
      <c r="N84" s="55">
        <f>SUMIFS(日別入力!$AO:$AO,日別入力!$E:$E,$C84,日別入力!$B:$B,$B84,日別入力!$H:$H,$F84,日別入力!$D:$D,N$7)</f>
        <v>0</v>
      </c>
      <c r="O84" s="55">
        <f>SUMIFS(日別入力!$AO:$AO,日別入力!$E:$E,$C84,日別入力!$B:$B,$B84,日別入力!$H:$H,$F84,日別入力!$D:$D,O$7)</f>
        <v>0</v>
      </c>
      <c r="P84" s="55">
        <f>SUMIFS(日別入力!$AO:$AO,日別入力!$E:$E,$C84,日別入力!$B:$B,$B84,日別入力!$H:$H,$F84,日別入力!$D:$D,P$7)</f>
        <v>0</v>
      </c>
      <c r="Q84" s="55">
        <f>SUMIFS(日別入力!$AO:$AO,日別入力!$E:$E,$C84,日別入力!$B:$B,$B84,日別入力!$H:$H,$F84,日別入力!$D:$D,Q$7)</f>
        <v>0</v>
      </c>
      <c r="R84" s="407">
        <f>SUMIFS(日別入力!$AO:$AO,日別入力!$E:$E,$C84,日別入力!$B:$B,$B84,日別入力!$H:$H,$F84,日別入力!$D:$D,R$7)</f>
        <v>0</v>
      </c>
    </row>
    <row r="85" spans="1:18" s="4" customFormat="1" ht="15" customHeight="1" x14ac:dyDescent="0.2">
      <c r="A85" s="4">
        <f t="shared" si="3"/>
        <v>0</v>
      </c>
      <c r="B85" s="53" t="str">
        <f t="shared" si="3"/>
        <v>&lt;=12</v>
      </c>
      <c r="C85" s="54"/>
      <c r="D85" s="58"/>
      <c r="E85" s="55"/>
      <c r="F85" s="59"/>
      <c r="G85" s="406">
        <f t="shared" si="4"/>
        <v>0</v>
      </c>
      <c r="H85" s="55">
        <f>SUMIFS(日別入力!$AO:$AO,日別入力!$E:$E,$C85,日別入力!$B:$B,$B85,日別入力!$H:$H,$F85,日別入力!$D:$D,H$7)</f>
        <v>0</v>
      </c>
      <c r="I85" s="55">
        <f>SUMIFS(日別入力!$AO:$AO,日別入力!$E:$E,$C85,日別入力!$B:$B,$B85,日別入力!$H:$H,$F85,日別入力!$D:$D,I$7)</f>
        <v>0</v>
      </c>
      <c r="J85" s="55">
        <f>SUMIFS(日別入力!$AO:$AO,日別入力!$E:$E,$C85,日別入力!$B:$B,$B85,日別入力!$H:$H,$F85,日別入力!$D:$D,J$7)</f>
        <v>0</v>
      </c>
      <c r="K85" s="55">
        <f>SUMIFS(日別入力!$AO:$AO,日別入力!$E:$E,$C85,日別入力!$B:$B,$B85,日別入力!$H:$H,$F85,日別入力!$D:$D,K$7)</f>
        <v>0</v>
      </c>
      <c r="L85" s="55">
        <f>SUMIFS(日別入力!$AO:$AO,日別入力!$E:$E,$C85,日別入力!$B:$B,$B85,日別入力!$H:$H,$F85,日別入力!$D:$D,L$7)</f>
        <v>0</v>
      </c>
      <c r="M85" s="55">
        <f>SUMIFS(日別入力!$AO:$AO,日別入力!$E:$E,$C85,日別入力!$B:$B,$B85,日別入力!$H:$H,$F85,日別入力!$D:$D,M$7)</f>
        <v>0</v>
      </c>
      <c r="N85" s="55">
        <f>SUMIFS(日別入力!$AO:$AO,日別入力!$E:$E,$C85,日別入力!$B:$B,$B85,日別入力!$H:$H,$F85,日別入力!$D:$D,N$7)</f>
        <v>0</v>
      </c>
      <c r="O85" s="55">
        <f>SUMIFS(日別入力!$AO:$AO,日別入力!$E:$E,$C85,日別入力!$B:$B,$B85,日別入力!$H:$H,$F85,日別入力!$D:$D,O$7)</f>
        <v>0</v>
      </c>
      <c r="P85" s="55">
        <f>SUMIFS(日別入力!$AO:$AO,日別入力!$E:$E,$C85,日別入力!$B:$B,$B85,日別入力!$H:$H,$F85,日別入力!$D:$D,P$7)</f>
        <v>0</v>
      </c>
      <c r="Q85" s="55">
        <f>SUMIFS(日別入力!$AO:$AO,日別入力!$E:$E,$C85,日別入力!$B:$B,$B85,日別入力!$H:$H,$F85,日別入力!$D:$D,Q$7)</f>
        <v>0</v>
      </c>
      <c r="R85" s="407">
        <f>SUMIFS(日別入力!$AO:$AO,日別入力!$E:$E,$C85,日別入力!$B:$B,$B85,日別入力!$H:$H,$F85,日別入力!$D:$D,R$7)</f>
        <v>0</v>
      </c>
    </row>
    <row r="86" spans="1:18" s="4" customFormat="1" ht="15" customHeight="1" x14ac:dyDescent="0.2">
      <c r="A86" s="4">
        <f t="shared" si="3"/>
        <v>0</v>
      </c>
      <c r="B86" s="53" t="str">
        <f t="shared" si="3"/>
        <v>&lt;=12</v>
      </c>
      <c r="C86" s="54"/>
      <c r="D86" s="58"/>
      <c r="E86" s="55"/>
      <c r="F86" s="59"/>
      <c r="G86" s="406">
        <f t="shared" si="4"/>
        <v>0</v>
      </c>
      <c r="H86" s="55">
        <f>SUMIFS(日別入力!$AO:$AO,日別入力!$E:$E,$C86,日別入力!$B:$B,$B86,日別入力!$H:$H,$F86,日別入力!$D:$D,H$7)</f>
        <v>0</v>
      </c>
      <c r="I86" s="55">
        <f>SUMIFS(日別入力!$AO:$AO,日別入力!$E:$E,$C86,日別入力!$B:$B,$B86,日別入力!$H:$H,$F86,日別入力!$D:$D,I$7)</f>
        <v>0</v>
      </c>
      <c r="J86" s="55">
        <f>SUMIFS(日別入力!$AO:$AO,日別入力!$E:$E,$C86,日別入力!$B:$B,$B86,日別入力!$H:$H,$F86,日別入力!$D:$D,J$7)</f>
        <v>0</v>
      </c>
      <c r="K86" s="55">
        <f>SUMIFS(日別入力!$AO:$AO,日別入力!$E:$E,$C86,日別入力!$B:$B,$B86,日別入力!$H:$H,$F86,日別入力!$D:$D,K$7)</f>
        <v>0</v>
      </c>
      <c r="L86" s="55">
        <f>SUMIFS(日別入力!$AO:$AO,日別入力!$E:$E,$C86,日別入力!$B:$B,$B86,日別入力!$H:$H,$F86,日別入力!$D:$D,L$7)</f>
        <v>0</v>
      </c>
      <c r="M86" s="55">
        <f>SUMIFS(日別入力!$AO:$AO,日別入力!$E:$E,$C86,日別入力!$B:$B,$B86,日別入力!$H:$H,$F86,日別入力!$D:$D,M$7)</f>
        <v>0</v>
      </c>
      <c r="N86" s="55">
        <f>SUMIFS(日別入力!$AO:$AO,日別入力!$E:$E,$C86,日別入力!$B:$B,$B86,日別入力!$H:$H,$F86,日別入力!$D:$D,N$7)</f>
        <v>0</v>
      </c>
      <c r="O86" s="55">
        <f>SUMIFS(日別入力!$AO:$AO,日別入力!$E:$E,$C86,日別入力!$B:$B,$B86,日別入力!$H:$H,$F86,日別入力!$D:$D,O$7)</f>
        <v>0</v>
      </c>
      <c r="P86" s="55">
        <f>SUMIFS(日別入力!$AO:$AO,日別入力!$E:$E,$C86,日別入力!$B:$B,$B86,日別入力!$H:$H,$F86,日別入力!$D:$D,P$7)</f>
        <v>0</v>
      </c>
      <c r="Q86" s="55">
        <f>SUMIFS(日別入力!$AO:$AO,日別入力!$E:$E,$C86,日別入力!$B:$B,$B86,日別入力!$H:$H,$F86,日別入力!$D:$D,Q$7)</f>
        <v>0</v>
      </c>
      <c r="R86" s="407">
        <f>SUMIFS(日別入力!$AO:$AO,日別入力!$E:$E,$C86,日別入力!$B:$B,$B86,日別入力!$H:$H,$F86,日別入力!$D:$D,R$7)</f>
        <v>0</v>
      </c>
    </row>
    <row r="87" spans="1:18" s="4" customFormat="1" ht="15" customHeight="1" x14ac:dyDescent="0.2">
      <c r="A87" s="4">
        <f t="shared" si="3"/>
        <v>0</v>
      </c>
      <c r="B87" s="53" t="str">
        <f t="shared" si="3"/>
        <v>&lt;=12</v>
      </c>
      <c r="C87" s="54"/>
      <c r="D87" s="58"/>
      <c r="E87" s="55"/>
      <c r="F87" s="59"/>
      <c r="G87" s="406">
        <f t="shared" si="4"/>
        <v>0</v>
      </c>
      <c r="H87" s="55">
        <f>SUMIFS(日別入力!$AO:$AO,日別入力!$E:$E,$C87,日別入力!$B:$B,$B87,日別入力!$H:$H,$F87,日別入力!$D:$D,H$7)</f>
        <v>0</v>
      </c>
      <c r="I87" s="55">
        <f>SUMIFS(日別入力!$AO:$AO,日別入力!$E:$E,$C87,日別入力!$B:$B,$B87,日別入力!$H:$H,$F87,日別入力!$D:$D,I$7)</f>
        <v>0</v>
      </c>
      <c r="J87" s="55">
        <f>SUMIFS(日別入力!$AO:$AO,日別入力!$E:$E,$C87,日別入力!$B:$B,$B87,日別入力!$H:$H,$F87,日別入力!$D:$D,J$7)</f>
        <v>0</v>
      </c>
      <c r="K87" s="55">
        <f>SUMIFS(日別入力!$AO:$AO,日別入力!$E:$E,$C87,日別入力!$B:$B,$B87,日別入力!$H:$H,$F87,日別入力!$D:$D,K$7)</f>
        <v>0</v>
      </c>
      <c r="L87" s="55">
        <f>SUMIFS(日別入力!$AO:$AO,日別入力!$E:$E,$C87,日別入力!$B:$B,$B87,日別入力!$H:$H,$F87,日別入力!$D:$D,L$7)</f>
        <v>0</v>
      </c>
      <c r="M87" s="55">
        <f>SUMIFS(日別入力!$AO:$AO,日別入力!$E:$E,$C87,日別入力!$B:$B,$B87,日別入力!$H:$H,$F87,日別入力!$D:$D,M$7)</f>
        <v>0</v>
      </c>
      <c r="N87" s="55">
        <f>SUMIFS(日別入力!$AO:$AO,日別入力!$E:$E,$C87,日別入力!$B:$B,$B87,日別入力!$H:$H,$F87,日別入力!$D:$D,N$7)</f>
        <v>0</v>
      </c>
      <c r="O87" s="55">
        <f>SUMIFS(日別入力!$AO:$AO,日別入力!$E:$E,$C87,日別入力!$B:$B,$B87,日別入力!$H:$H,$F87,日別入力!$D:$D,O$7)</f>
        <v>0</v>
      </c>
      <c r="P87" s="55">
        <f>SUMIFS(日別入力!$AO:$AO,日別入力!$E:$E,$C87,日別入力!$B:$B,$B87,日別入力!$H:$H,$F87,日別入力!$D:$D,P$7)</f>
        <v>0</v>
      </c>
      <c r="Q87" s="55">
        <f>SUMIFS(日別入力!$AO:$AO,日別入力!$E:$E,$C87,日別入力!$B:$B,$B87,日別入力!$H:$H,$F87,日別入力!$D:$D,Q$7)</f>
        <v>0</v>
      </c>
      <c r="R87" s="407">
        <f>SUMIFS(日別入力!$AO:$AO,日別入力!$E:$E,$C87,日別入力!$B:$B,$B87,日別入力!$H:$H,$F87,日別入力!$D:$D,R$7)</f>
        <v>0</v>
      </c>
    </row>
    <row r="88" spans="1:18" s="4" customFormat="1" ht="15" customHeight="1" x14ac:dyDescent="0.2">
      <c r="A88" s="4">
        <f t="shared" si="3"/>
        <v>0</v>
      </c>
      <c r="B88" s="53" t="str">
        <f t="shared" si="3"/>
        <v>&lt;=12</v>
      </c>
      <c r="C88" s="54"/>
      <c r="D88" s="58"/>
      <c r="E88" s="55"/>
      <c r="F88" s="59"/>
      <c r="G88" s="406">
        <f t="shared" si="4"/>
        <v>0</v>
      </c>
      <c r="H88" s="55">
        <f>SUMIFS(日別入力!$AO:$AO,日別入力!$E:$E,$C88,日別入力!$B:$B,$B88,日別入力!$H:$H,$F88,日別入力!$D:$D,H$7)</f>
        <v>0</v>
      </c>
      <c r="I88" s="55">
        <f>SUMIFS(日別入力!$AO:$AO,日別入力!$E:$E,$C88,日別入力!$B:$B,$B88,日別入力!$H:$H,$F88,日別入力!$D:$D,I$7)</f>
        <v>0</v>
      </c>
      <c r="J88" s="55">
        <f>SUMIFS(日別入力!$AO:$AO,日別入力!$E:$E,$C88,日別入力!$B:$B,$B88,日別入力!$H:$H,$F88,日別入力!$D:$D,J$7)</f>
        <v>0</v>
      </c>
      <c r="K88" s="55">
        <f>SUMIFS(日別入力!$AO:$AO,日別入力!$E:$E,$C88,日別入力!$B:$B,$B88,日別入力!$H:$H,$F88,日別入力!$D:$D,K$7)</f>
        <v>0</v>
      </c>
      <c r="L88" s="55">
        <f>SUMIFS(日別入力!$AO:$AO,日別入力!$E:$E,$C88,日別入力!$B:$B,$B88,日別入力!$H:$H,$F88,日別入力!$D:$D,L$7)</f>
        <v>0</v>
      </c>
      <c r="M88" s="55">
        <f>SUMIFS(日別入力!$AO:$AO,日別入力!$E:$E,$C88,日別入力!$B:$B,$B88,日別入力!$H:$H,$F88,日別入力!$D:$D,M$7)</f>
        <v>0</v>
      </c>
      <c r="N88" s="55">
        <f>SUMIFS(日別入力!$AO:$AO,日別入力!$E:$E,$C88,日別入力!$B:$B,$B88,日別入力!$H:$H,$F88,日別入力!$D:$D,N$7)</f>
        <v>0</v>
      </c>
      <c r="O88" s="55">
        <f>SUMIFS(日別入力!$AO:$AO,日別入力!$E:$E,$C88,日別入力!$B:$B,$B88,日別入力!$H:$H,$F88,日別入力!$D:$D,O$7)</f>
        <v>0</v>
      </c>
      <c r="P88" s="55">
        <f>SUMIFS(日別入力!$AO:$AO,日別入力!$E:$E,$C88,日別入力!$B:$B,$B88,日別入力!$H:$H,$F88,日別入力!$D:$D,P$7)</f>
        <v>0</v>
      </c>
      <c r="Q88" s="55">
        <f>SUMIFS(日別入力!$AO:$AO,日別入力!$E:$E,$C88,日別入力!$B:$B,$B88,日別入力!$H:$H,$F88,日別入力!$D:$D,Q$7)</f>
        <v>0</v>
      </c>
      <c r="R88" s="407">
        <f>SUMIFS(日別入力!$AO:$AO,日別入力!$E:$E,$C88,日別入力!$B:$B,$B88,日別入力!$H:$H,$F88,日別入力!$D:$D,R$7)</f>
        <v>0</v>
      </c>
    </row>
    <row r="89" spans="1:18" s="4" customFormat="1" ht="15" customHeight="1" x14ac:dyDescent="0.2">
      <c r="A89" s="4">
        <f t="shared" si="3"/>
        <v>0</v>
      </c>
      <c r="B89" s="53" t="str">
        <f t="shared" si="3"/>
        <v>&lt;=12</v>
      </c>
      <c r="C89" s="54"/>
      <c r="D89" s="58"/>
      <c r="E89" s="55"/>
      <c r="F89" s="59"/>
      <c r="G89" s="406">
        <f t="shared" si="4"/>
        <v>0</v>
      </c>
      <c r="H89" s="55">
        <f>SUMIFS(日別入力!$AO:$AO,日別入力!$E:$E,$C89,日別入力!$B:$B,$B89,日別入力!$H:$H,$F89,日別入力!$D:$D,H$7)</f>
        <v>0</v>
      </c>
      <c r="I89" s="55">
        <f>SUMIFS(日別入力!$AO:$AO,日別入力!$E:$E,$C89,日別入力!$B:$B,$B89,日別入力!$H:$H,$F89,日別入力!$D:$D,I$7)</f>
        <v>0</v>
      </c>
      <c r="J89" s="55">
        <f>SUMIFS(日別入力!$AO:$AO,日別入力!$E:$E,$C89,日別入力!$B:$B,$B89,日別入力!$H:$H,$F89,日別入力!$D:$D,J$7)</f>
        <v>0</v>
      </c>
      <c r="K89" s="55">
        <f>SUMIFS(日別入力!$AO:$AO,日別入力!$E:$E,$C89,日別入力!$B:$B,$B89,日別入力!$H:$H,$F89,日別入力!$D:$D,K$7)</f>
        <v>0</v>
      </c>
      <c r="L89" s="55">
        <f>SUMIFS(日別入力!$AO:$AO,日別入力!$E:$E,$C89,日別入力!$B:$B,$B89,日別入力!$H:$H,$F89,日別入力!$D:$D,L$7)</f>
        <v>0</v>
      </c>
      <c r="M89" s="55">
        <f>SUMIFS(日別入力!$AO:$AO,日別入力!$E:$E,$C89,日別入力!$B:$B,$B89,日別入力!$H:$H,$F89,日別入力!$D:$D,M$7)</f>
        <v>0</v>
      </c>
      <c r="N89" s="55">
        <f>SUMIFS(日別入力!$AO:$AO,日別入力!$E:$E,$C89,日別入力!$B:$B,$B89,日別入力!$H:$H,$F89,日別入力!$D:$D,N$7)</f>
        <v>0</v>
      </c>
      <c r="O89" s="55">
        <f>SUMIFS(日別入力!$AO:$AO,日別入力!$E:$E,$C89,日別入力!$B:$B,$B89,日別入力!$H:$H,$F89,日別入力!$D:$D,O$7)</f>
        <v>0</v>
      </c>
      <c r="P89" s="55">
        <f>SUMIFS(日別入力!$AO:$AO,日別入力!$E:$E,$C89,日別入力!$B:$B,$B89,日別入力!$H:$H,$F89,日別入力!$D:$D,P$7)</f>
        <v>0</v>
      </c>
      <c r="Q89" s="55">
        <f>SUMIFS(日別入力!$AO:$AO,日別入力!$E:$E,$C89,日別入力!$B:$B,$B89,日別入力!$H:$H,$F89,日別入力!$D:$D,Q$7)</f>
        <v>0</v>
      </c>
      <c r="R89" s="407">
        <f>SUMIFS(日別入力!$AO:$AO,日別入力!$E:$E,$C89,日別入力!$B:$B,$B89,日別入力!$H:$H,$F89,日別入力!$D:$D,R$7)</f>
        <v>0</v>
      </c>
    </row>
    <row r="90" spans="1:18" s="4" customFormat="1" ht="15" customHeight="1" x14ac:dyDescent="0.2">
      <c r="A90" s="4">
        <f t="shared" si="3"/>
        <v>0</v>
      </c>
      <c r="B90" s="53" t="str">
        <f t="shared" si="3"/>
        <v>&lt;=12</v>
      </c>
      <c r="C90" s="54"/>
      <c r="D90" s="58"/>
      <c r="E90" s="55"/>
      <c r="F90" s="59"/>
      <c r="G90" s="406">
        <f t="shared" si="4"/>
        <v>0</v>
      </c>
      <c r="H90" s="55">
        <f>SUMIFS(日別入力!$AO:$AO,日別入力!$E:$E,$C90,日別入力!$B:$B,$B90,日別入力!$H:$H,$F90,日別入力!$D:$D,H$7)</f>
        <v>0</v>
      </c>
      <c r="I90" s="55">
        <f>SUMIFS(日別入力!$AO:$AO,日別入力!$E:$E,$C90,日別入力!$B:$B,$B90,日別入力!$H:$H,$F90,日別入力!$D:$D,I$7)</f>
        <v>0</v>
      </c>
      <c r="J90" s="55">
        <f>SUMIFS(日別入力!$AO:$AO,日別入力!$E:$E,$C90,日別入力!$B:$B,$B90,日別入力!$H:$H,$F90,日別入力!$D:$D,J$7)</f>
        <v>0</v>
      </c>
      <c r="K90" s="55">
        <f>SUMIFS(日別入力!$AO:$AO,日別入力!$E:$E,$C90,日別入力!$B:$B,$B90,日別入力!$H:$H,$F90,日別入力!$D:$D,K$7)</f>
        <v>0</v>
      </c>
      <c r="L90" s="55">
        <f>SUMIFS(日別入力!$AO:$AO,日別入力!$E:$E,$C90,日別入力!$B:$B,$B90,日別入力!$H:$H,$F90,日別入力!$D:$D,L$7)</f>
        <v>0</v>
      </c>
      <c r="M90" s="55">
        <f>SUMIFS(日別入力!$AO:$AO,日別入力!$E:$E,$C90,日別入力!$B:$B,$B90,日別入力!$H:$H,$F90,日別入力!$D:$D,M$7)</f>
        <v>0</v>
      </c>
      <c r="N90" s="55">
        <f>SUMIFS(日別入力!$AO:$AO,日別入力!$E:$E,$C90,日別入力!$B:$B,$B90,日別入力!$H:$H,$F90,日別入力!$D:$D,N$7)</f>
        <v>0</v>
      </c>
      <c r="O90" s="55">
        <f>SUMIFS(日別入力!$AO:$AO,日別入力!$E:$E,$C90,日別入力!$B:$B,$B90,日別入力!$H:$H,$F90,日別入力!$D:$D,O$7)</f>
        <v>0</v>
      </c>
      <c r="P90" s="55">
        <f>SUMIFS(日別入力!$AO:$AO,日別入力!$E:$E,$C90,日別入力!$B:$B,$B90,日別入力!$H:$H,$F90,日別入力!$D:$D,P$7)</f>
        <v>0</v>
      </c>
      <c r="Q90" s="55">
        <f>SUMIFS(日別入力!$AO:$AO,日別入力!$E:$E,$C90,日別入力!$B:$B,$B90,日別入力!$H:$H,$F90,日別入力!$D:$D,Q$7)</f>
        <v>0</v>
      </c>
      <c r="R90" s="407">
        <f>SUMIFS(日別入力!$AO:$AO,日別入力!$E:$E,$C90,日別入力!$B:$B,$B90,日別入力!$H:$H,$F90,日別入力!$D:$D,R$7)</f>
        <v>0</v>
      </c>
    </row>
    <row r="91" spans="1:18" s="4" customFormat="1" ht="15" customHeight="1" x14ac:dyDescent="0.2">
      <c r="A91" s="4">
        <f t="shared" si="3"/>
        <v>0</v>
      </c>
      <c r="B91" s="53" t="str">
        <f t="shared" si="3"/>
        <v>&lt;=12</v>
      </c>
      <c r="C91" s="54"/>
      <c r="D91" s="58"/>
      <c r="E91" s="55"/>
      <c r="F91" s="59"/>
      <c r="G91" s="406">
        <f t="shared" si="4"/>
        <v>0</v>
      </c>
      <c r="H91" s="55">
        <f>SUMIFS(日別入力!$AO:$AO,日別入力!$E:$E,$C91,日別入力!$B:$B,$B91,日別入力!$H:$H,$F91,日別入力!$D:$D,H$7)</f>
        <v>0</v>
      </c>
      <c r="I91" s="55">
        <f>SUMIFS(日別入力!$AO:$AO,日別入力!$E:$E,$C91,日別入力!$B:$B,$B91,日別入力!$H:$H,$F91,日別入力!$D:$D,I$7)</f>
        <v>0</v>
      </c>
      <c r="J91" s="55">
        <f>SUMIFS(日別入力!$AO:$AO,日別入力!$E:$E,$C91,日別入力!$B:$B,$B91,日別入力!$H:$H,$F91,日別入力!$D:$D,J$7)</f>
        <v>0</v>
      </c>
      <c r="K91" s="55">
        <f>SUMIFS(日別入力!$AO:$AO,日別入力!$E:$E,$C91,日別入力!$B:$B,$B91,日別入力!$H:$H,$F91,日別入力!$D:$D,K$7)</f>
        <v>0</v>
      </c>
      <c r="L91" s="55">
        <f>SUMIFS(日別入力!$AO:$AO,日別入力!$E:$E,$C91,日別入力!$B:$B,$B91,日別入力!$H:$H,$F91,日別入力!$D:$D,L$7)</f>
        <v>0</v>
      </c>
      <c r="M91" s="55">
        <f>SUMIFS(日別入力!$AO:$AO,日別入力!$E:$E,$C91,日別入力!$B:$B,$B91,日別入力!$H:$H,$F91,日別入力!$D:$D,M$7)</f>
        <v>0</v>
      </c>
      <c r="N91" s="55">
        <f>SUMIFS(日別入力!$AO:$AO,日別入力!$E:$E,$C91,日別入力!$B:$B,$B91,日別入力!$H:$H,$F91,日別入力!$D:$D,N$7)</f>
        <v>0</v>
      </c>
      <c r="O91" s="55">
        <f>SUMIFS(日別入力!$AO:$AO,日別入力!$E:$E,$C91,日別入力!$B:$B,$B91,日別入力!$H:$H,$F91,日別入力!$D:$D,O$7)</f>
        <v>0</v>
      </c>
      <c r="P91" s="55">
        <f>SUMIFS(日別入力!$AO:$AO,日別入力!$E:$E,$C91,日別入力!$B:$B,$B91,日別入力!$H:$H,$F91,日別入力!$D:$D,P$7)</f>
        <v>0</v>
      </c>
      <c r="Q91" s="55">
        <f>SUMIFS(日別入力!$AO:$AO,日別入力!$E:$E,$C91,日別入力!$B:$B,$B91,日別入力!$H:$H,$F91,日別入力!$D:$D,Q$7)</f>
        <v>0</v>
      </c>
      <c r="R91" s="407">
        <f>SUMIFS(日別入力!$AO:$AO,日別入力!$E:$E,$C91,日別入力!$B:$B,$B91,日別入力!$H:$H,$F91,日別入力!$D:$D,R$7)</f>
        <v>0</v>
      </c>
    </row>
    <row r="92" spans="1:18" s="4" customFormat="1" ht="15" customHeight="1" x14ac:dyDescent="0.2">
      <c r="A92" s="4">
        <f t="shared" si="3"/>
        <v>0</v>
      </c>
      <c r="B92" s="53" t="str">
        <f t="shared" si="3"/>
        <v>&lt;=12</v>
      </c>
      <c r="C92" s="54"/>
      <c r="D92" s="58"/>
      <c r="E92" s="55"/>
      <c r="F92" s="59"/>
      <c r="G92" s="406">
        <f t="shared" si="4"/>
        <v>0</v>
      </c>
      <c r="H92" s="55">
        <f>SUMIFS(日別入力!$AO:$AO,日別入力!$E:$E,$C92,日別入力!$B:$B,$B92,日別入力!$H:$H,$F92,日別入力!$D:$D,H$7)</f>
        <v>0</v>
      </c>
      <c r="I92" s="55">
        <f>SUMIFS(日別入力!$AO:$AO,日別入力!$E:$E,$C92,日別入力!$B:$B,$B92,日別入力!$H:$H,$F92,日別入力!$D:$D,I$7)</f>
        <v>0</v>
      </c>
      <c r="J92" s="55">
        <f>SUMIFS(日別入力!$AO:$AO,日別入力!$E:$E,$C92,日別入力!$B:$B,$B92,日別入力!$H:$H,$F92,日別入力!$D:$D,J$7)</f>
        <v>0</v>
      </c>
      <c r="K92" s="55">
        <f>SUMIFS(日別入力!$AO:$AO,日別入力!$E:$E,$C92,日別入力!$B:$B,$B92,日別入力!$H:$H,$F92,日別入力!$D:$D,K$7)</f>
        <v>0</v>
      </c>
      <c r="L92" s="55">
        <f>SUMIFS(日別入力!$AO:$AO,日別入力!$E:$E,$C92,日別入力!$B:$B,$B92,日別入力!$H:$H,$F92,日別入力!$D:$D,L$7)</f>
        <v>0</v>
      </c>
      <c r="M92" s="55">
        <f>SUMIFS(日別入力!$AO:$AO,日別入力!$E:$E,$C92,日別入力!$B:$B,$B92,日別入力!$H:$H,$F92,日別入力!$D:$D,M$7)</f>
        <v>0</v>
      </c>
      <c r="N92" s="55">
        <f>SUMIFS(日別入力!$AO:$AO,日別入力!$E:$E,$C92,日別入力!$B:$B,$B92,日別入力!$H:$H,$F92,日別入力!$D:$D,N$7)</f>
        <v>0</v>
      </c>
      <c r="O92" s="55">
        <f>SUMIFS(日別入力!$AO:$AO,日別入力!$E:$E,$C92,日別入力!$B:$B,$B92,日別入力!$H:$H,$F92,日別入力!$D:$D,O$7)</f>
        <v>0</v>
      </c>
      <c r="P92" s="55">
        <f>SUMIFS(日別入力!$AO:$AO,日別入力!$E:$E,$C92,日別入力!$B:$B,$B92,日別入力!$H:$H,$F92,日別入力!$D:$D,P$7)</f>
        <v>0</v>
      </c>
      <c r="Q92" s="55">
        <f>SUMIFS(日別入力!$AO:$AO,日別入力!$E:$E,$C92,日別入力!$B:$B,$B92,日別入力!$H:$H,$F92,日別入力!$D:$D,Q$7)</f>
        <v>0</v>
      </c>
      <c r="R92" s="407">
        <f>SUMIFS(日別入力!$AO:$AO,日別入力!$E:$E,$C92,日別入力!$B:$B,$B92,日別入力!$H:$H,$F92,日別入力!$D:$D,R$7)</f>
        <v>0</v>
      </c>
    </row>
    <row r="93" spans="1:18" s="4" customFormat="1" ht="15" customHeight="1" x14ac:dyDescent="0.2">
      <c r="A93" s="4">
        <f t="shared" si="3"/>
        <v>0</v>
      </c>
      <c r="B93" s="53" t="str">
        <f t="shared" si="3"/>
        <v>&lt;=12</v>
      </c>
      <c r="C93" s="54"/>
      <c r="D93" s="58"/>
      <c r="E93" s="55"/>
      <c r="F93" s="59"/>
      <c r="G93" s="406">
        <f t="shared" si="4"/>
        <v>0</v>
      </c>
      <c r="H93" s="55">
        <f>SUMIFS(日別入力!$AO:$AO,日別入力!$E:$E,$C93,日別入力!$B:$B,$B93,日別入力!$H:$H,$F93,日別入力!$D:$D,H$7)</f>
        <v>0</v>
      </c>
      <c r="I93" s="55">
        <f>SUMIFS(日別入力!$AO:$AO,日別入力!$E:$E,$C93,日別入力!$B:$B,$B93,日別入力!$H:$H,$F93,日別入力!$D:$D,I$7)</f>
        <v>0</v>
      </c>
      <c r="J93" s="55">
        <f>SUMIFS(日別入力!$AO:$AO,日別入力!$E:$E,$C93,日別入力!$B:$B,$B93,日別入力!$H:$H,$F93,日別入力!$D:$D,J$7)</f>
        <v>0</v>
      </c>
      <c r="K93" s="55">
        <f>SUMIFS(日別入力!$AO:$AO,日別入力!$E:$E,$C93,日別入力!$B:$B,$B93,日別入力!$H:$H,$F93,日別入力!$D:$D,K$7)</f>
        <v>0</v>
      </c>
      <c r="L93" s="55">
        <f>SUMIFS(日別入力!$AO:$AO,日別入力!$E:$E,$C93,日別入力!$B:$B,$B93,日別入力!$H:$H,$F93,日別入力!$D:$D,L$7)</f>
        <v>0</v>
      </c>
      <c r="M93" s="55">
        <f>SUMIFS(日別入力!$AO:$AO,日別入力!$E:$E,$C93,日別入力!$B:$B,$B93,日別入力!$H:$H,$F93,日別入力!$D:$D,M$7)</f>
        <v>0</v>
      </c>
      <c r="N93" s="55">
        <f>SUMIFS(日別入力!$AO:$AO,日別入力!$E:$E,$C93,日別入力!$B:$B,$B93,日別入力!$H:$H,$F93,日別入力!$D:$D,N$7)</f>
        <v>0</v>
      </c>
      <c r="O93" s="55">
        <f>SUMIFS(日別入力!$AO:$AO,日別入力!$E:$E,$C93,日別入力!$B:$B,$B93,日別入力!$H:$H,$F93,日別入力!$D:$D,O$7)</f>
        <v>0</v>
      </c>
      <c r="P93" s="55">
        <f>SUMIFS(日別入力!$AO:$AO,日別入力!$E:$E,$C93,日別入力!$B:$B,$B93,日別入力!$H:$H,$F93,日別入力!$D:$D,P$7)</f>
        <v>0</v>
      </c>
      <c r="Q93" s="55">
        <f>SUMIFS(日別入力!$AO:$AO,日別入力!$E:$E,$C93,日別入力!$B:$B,$B93,日別入力!$H:$H,$F93,日別入力!$D:$D,Q$7)</f>
        <v>0</v>
      </c>
      <c r="R93" s="407">
        <f>SUMIFS(日別入力!$AO:$AO,日別入力!$E:$E,$C93,日別入力!$B:$B,$B93,日別入力!$H:$H,$F93,日別入力!$D:$D,R$7)</f>
        <v>0</v>
      </c>
    </row>
    <row r="94" spans="1:18" s="4" customFormat="1" ht="15" customHeight="1" x14ac:dyDescent="0.2">
      <c r="A94" s="4">
        <f t="shared" si="3"/>
        <v>0</v>
      </c>
      <c r="B94" s="53" t="str">
        <f t="shared" si="3"/>
        <v>&lt;=12</v>
      </c>
      <c r="C94" s="54"/>
      <c r="D94" s="58"/>
      <c r="E94" s="55"/>
      <c r="F94" s="59"/>
      <c r="G94" s="406">
        <f t="shared" si="4"/>
        <v>0</v>
      </c>
      <c r="H94" s="55">
        <f>SUMIFS(日別入力!$AO:$AO,日別入力!$E:$E,$C94,日別入力!$B:$B,$B94,日別入力!$H:$H,$F94,日別入力!$D:$D,H$7)</f>
        <v>0</v>
      </c>
      <c r="I94" s="55">
        <f>SUMIFS(日別入力!$AO:$AO,日別入力!$E:$E,$C94,日別入力!$B:$B,$B94,日別入力!$H:$H,$F94,日別入力!$D:$D,I$7)</f>
        <v>0</v>
      </c>
      <c r="J94" s="55">
        <f>SUMIFS(日別入力!$AO:$AO,日別入力!$E:$E,$C94,日別入力!$B:$B,$B94,日別入力!$H:$H,$F94,日別入力!$D:$D,J$7)</f>
        <v>0</v>
      </c>
      <c r="K94" s="55">
        <f>SUMIFS(日別入力!$AO:$AO,日別入力!$E:$E,$C94,日別入力!$B:$B,$B94,日別入力!$H:$H,$F94,日別入力!$D:$D,K$7)</f>
        <v>0</v>
      </c>
      <c r="L94" s="55">
        <f>SUMIFS(日別入力!$AO:$AO,日別入力!$E:$E,$C94,日別入力!$B:$B,$B94,日別入力!$H:$H,$F94,日別入力!$D:$D,L$7)</f>
        <v>0</v>
      </c>
      <c r="M94" s="55">
        <f>SUMIFS(日別入力!$AO:$AO,日別入力!$E:$E,$C94,日別入力!$B:$B,$B94,日別入力!$H:$H,$F94,日別入力!$D:$D,M$7)</f>
        <v>0</v>
      </c>
      <c r="N94" s="55">
        <f>SUMIFS(日別入力!$AO:$AO,日別入力!$E:$E,$C94,日別入力!$B:$B,$B94,日別入力!$H:$H,$F94,日別入力!$D:$D,N$7)</f>
        <v>0</v>
      </c>
      <c r="O94" s="55">
        <f>SUMIFS(日別入力!$AO:$AO,日別入力!$E:$E,$C94,日別入力!$B:$B,$B94,日別入力!$H:$H,$F94,日別入力!$D:$D,O$7)</f>
        <v>0</v>
      </c>
      <c r="P94" s="55">
        <f>SUMIFS(日別入力!$AO:$AO,日別入力!$E:$E,$C94,日別入力!$B:$B,$B94,日別入力!$H:$H,$F94,日別入力!$D:$D,P$7)</f>
        <v>0</v>
      </c>
      <c r="Q94" s="55">
        <f>SUMIFS(日別入力!$AO:$AO,日別入力!$E:$E,$C94,日別入力!$B:$B,$B94,日別入力!$H:$H,$F94,日別入力!$D:$D,Q$7)</f>
        <v>0</v>
      </c>
      <c r="R94" s="407">
        <f>SUMIFS(日別入力!$AO:$AO,日別入力!$E:$E,$C94,日別入力!$B:$B,$B94,日別入力!$H:$H,$F94,日別入力!$D:$D,R$7)</f>
        <v>0</v>
      </c>
    </row>
    <row r="95" spans="1:18" s="4" customFormat="1" ht="15" customHeight="1" x14ac:dyDescent="0.2">
      <c r="A95" s="4">
        <f t="shared" si="3"/>
        <v>0</v>
      </c>
      <c r="B95" s="53" t="str">
        <f t="shared" si="3"/>
        <v>&lt;=12</v>
      </c>
      <c r="C95" s="54"/>
      <c r="D95" s="58"/>
      <c r="E95" s="55"/>
      <c r="F95" s="59"/>
      <c r="G95" s="406">
        <f t="shared" si="4"/>
        <v>0</v>
      </c>
      <c r="H95" s="55">
        <f>SUMIFS(日別入力!$AO:$AO,日別入力!$E:$E,$C95,日別入力!$B:$B,$B95,日別入力!$H:$H,$F95,日別入力!$D:$D,H$7)</f>
        <v>0</v>
      </c>
      <c r="I95" s="55">
        <f>SUMIFS(日別入力!$AO:$AO,日別入力!$E:$E,$C95,日別入力!$B:$B,$B95,日別入力!$H:$H,$F95,日別入力!$D:$D,I$7)</f>
        <v>0</v>
      </c>
      <c r="J95" s="55">
        <f>SUMIFS(日別入力!$AO:$AO,日別入力!$E:$E,$C95,日別入力!$B:$B,$B95,日別入力!$H:$H,$F95,日別入力!$D:$D,J$7)</f>
        <v>0</v>
      </c>
      <c r="K95" s="55">
        <f>SUMIFS(日別入力!$AO:$AO,日別入力!$E:$E,$C95,日別入力!$B:$B,$B95,日別入力!$H:$H,$F95,日別入力!$D:$D,K$7)</f>
        <v>0</v>
      </c>
      <c r="L95" s="55">
        <f>SUMIFS(日別入力!$AO:$AO,日別入力!$E:$E,$C95,日別入力!$B:$B,$B95,日別入力!$H:$H,$F95,日別入力!$D:$D,L$7)</f>
        <v>0</v>
      </c>
      <c r="M95" s="55">
        <f>SUMIFS(日別入力!$AO:$AO,日別入力!$E:$E,$C95,日別入力!$B:$B,$B95,日別入力!$H:$H,$F95,日別入力!$D:$D,M$7)</f>
        <v>0</v>
      </c>
      <c r="N95" s="55">
        <f>SUMIFS(日別入力!$AO:$AO,日別入力!$E:$E,$C95,日別入力!$B:$B,$B95,日別入力!$H:$H,$F95,日別入力!$D:$D,N$7)</f>
        <v>0</v>
      </c>
      <c r="O95" s="55">
        <f>SUMIFS(日別入力!$AO:$AO,日別入力!$E:$E,$C95,日別入力!$B:$B,$B95,日別入力!$H:$H,$F95,日別入力!$D:$D,O$7)</f>
        <v>0</v>
      </c>
      <c r="P95" s="55">
        <f>SUMIFS(日別入力!$AO:$AO,日別入力!$E:$E,$C95,日別入力!$B:$B,$B95,日別入力!$H:$H,$F95,日別入力!$D:$D,P$7)</f>
        <v>0</v>
      </c>
      <c r="Q95" s="55">
        <f>SUMIFS(日別入力!$AO:$AO,日別入力!$E:$E,$C95,日別入力!$B:$B,$B95,日別入力!$H:$H,$F95,日別入力!$D:$D,Q$7)</f>
        <v>0</v>
      </c>
      <c r="R95" s="407">
        <f>SUMIFS(日別入力!$AO:$AO,日別入力!$E:$E,$C95,日別入力!$B:$B,$B95,日別入力!$H:$H,$F95,日別入力!$D:$D,R$7)</f>
        <v>0</v>
      </c>
    </row>
    <row r="96" spans="1:18" s="4" customFormat="1" ht="15" customHeight="1" x14ac:dyDescent="0.2">
      <c r="A96" s="4">
        <f t="shared" si="3"/>
        <v>0</v>
      </c>
      <c r="B96" s="53" t="str">
        <f t="shared" si="3"/>
        <v>&lt;=12</v>
      </c>
      <c r="C96" s="54"/>
      <c r="D96" s="58"/>
      <c r="E96" s="55"/>
      <c r="F96" s="59"/>
      <c r="G96" s="406">
        <f t="shared" si="4"/>
        <v>0</v>
      </c>
      <c r="H96" s="55">
        <f>SUMIFS(日別入力!$AO:$AO,日別入力!$E:$E,$C96,日別入力!$B:$B,$B96,日別入力!$H:$H,$F96,日別入力!$D:$D,H$7)</f>
        <v>0</v>
      </c>
      <c r="I96" s="55">
        <f>SUMIFS(日別入力!$AO:$AO,日別入力!$E:$E,$C96,日別入力!$B:$B,$B96,日別入力!$H:$H,$F96,日別入力!$D:$D,I$7)</f>
        <v>0</v>
      </c>
      <c r="J96" s="55">
        <f>SUMIFS(日別入力!$AO:$AO,日別入力!$E:$E,$C96,日別入力!$B:$B,$B96,日別入力!$H:$H,$F96,日別入力!$D:$D,J$7)</f>
        <v>0</v>
      </c>
      <c r="K96" s="55">
        <f>SUMIFS(日別入力!$AO:$AO,日別入力!$E:$E,$C96,日別入力!$B:$B,$B96,日別入力!$H:$H,$F96,日別入力!$D:$D,K$7)</f>
        <v>0</v>
      </c>
      <c r="L96" s="55">
        <f>SUMIFS(日別入力!$AO:$AO,日別入力!$E:$E,$C96,日別入力!$B:$B,$B96,日別入力!$H:$H,$F96,日別入力!$D:$D,L$7)</f>
        <v>0</v>
      </c>
      <c r="M96" s="55">
        <f>SUMIFS(日別入力!$AO:$AO,日別入力!$E:$E,$C96,日別入力!$B:$B,$B96,日別入力!$H:$H,$F96,日別入力!$D:$D,M$7)</f>
        <v>0</v>
      </c>
      <c r="N96" s="55">
        <f>SUMIFS(日別入力!$AO:$AO,日別入力!$E:$E,$C96,日別入力!$B:$B,$B96,日別入力!$H:$H,$F96,日別入力!$D:$D,N$7)</f>
        <v>0</v>
      </c>
      <c r="O96" s="55">
        <f>SUMIFS(日別入力!$AO:$AO,日別入力!$E:$E,$C96,日別入力!$B:$B,$B96,日別入力!$H:$H,$F96,日別入力!$D:$D,O$7)</f>
        <v>0</v>
      </c>
      <c r="P96" s="55">
        <f>SUMIFS(日別入力!$AO:$AO,日別入力!$E:$E,$C96,日別入力!$B:$B,$B96,日別入力!$H:$H,$F96,日別入力!$D:$D,P$7)</f>
        <v>0</v>
      </c>
      <c r="Q96" s="55">
        <f>SUMIFS(日別入力!$AO:$AO,日別入力!$E:$E,$C96,日別入力!$B:$B,$B96,日別入力!$H:$H,$F96,日別入力!$D:$D,Q$7)</f>
        <v>0</v>
      </c>
      <c r="R96" s="407">
        <f>SUMIFS(日別入力!$AO:$AO,日別入力!$E:$E,$C96,日別入力!$B:$B,$B96,日別入力!$H:$H,$F96,日別入力!$D:$D,R$7)</f>
        <v>0</v>
      </c>
    </row>
    <row r="97" spans="1:18" s="4" customFormat="1" ht="15" customHeight="1" x14ac:dyDescent="0.2">
      <c r="A97" s="4">
        <f t="shared" si="3"/>
        <v>0</v>
      </c>
      <c r="B97" s="53" t="str">
        <f t="shared" si="3"/>
        <v>&lt;=12</v>
      </c>
      <c r="C97" s="54"/>
      <c r="D97" s="58" t="s">
        <v>24</v>
      </c>
      <c r="E97" s="55" t="s">
        <v>24</v>
      </c>
      <c r="F97" s="59" t="s">
        <v>24</v>
      </c>
      <c r="G97" s="406">
        <f t="shared" si="4"/>
        <v>0</v>
      </c>
      <c r="H97" s="55">
        <f>SUMIFS(日別入力!$AO:$AO,日別入力!$E:$E,$C97,日別入力!$B:$B,$B97,日別入力!$H:$H,$F97,日別入力!$D:$D,H$7)</f>
        <v>0</v>
      </c>
      <c r="I97" s="55">
        <f>SUMIFS(日別入力!$AO:$AO,日別入力!$E:$E,$C97,日別入力!$B:$B,$B97,日別入力!$H:$H,$F97,日別入力!$D:$D,I$7)</f>
        <v>0</v>
      </c>
      <c r="J97" s="55">
        <f>SUMIFS(日別入力!$AO:$AO,日別入力!$E:$E,$C97,日別入力!$B:$B,$B97,日別入力!$H:$H,$F97,日別入力!$D:$D,J$7)</f>
        <v>0</v>
      </c>
      <c r="K97" s="55">
        <f>SUMIFS(日別入力!$AO:$AO,日別入力!$E:$E,$C97,日別入力!$B:$B,$B97,日別入力!$H:$H,$F97,日別入力!$D:$D,K$7)</f>
        <v>0</v>
      </c>
      <c r="L97" s="55">
        <f>SUMIFS(日別入力!$AO:$AO,日別入力!$E:$E,$C97,日別入力!$B:$B,$B97,日別入力!$H:$H,$F97,日別入力!$D:$D,L$7)</f>
        <v>0</v>
      </c>
      <c r="M97" s="55">
        <f>SUMIFS(日別入力!$AO:$AO,日別入力!$E:$E,$C97,日別入力!$B:$B,$B97,日別入力!$H:$H,$F97,日別入力!$D:$D,M$7)</f>
        <v>0</v>
      </c>
      <c r="N97" s="55">
        <f>SUMIFS(日別入力!$AO:$AO,日別入力!$E:$E,$C97,日別入力!$B:$B,$B97,日別入力!$H:$H,$F97,日別入力!$D:$D,N$7)</f>
        <v>0</v>
      </c>
      <c r="O97" s="55">
        <f>SUMIFS(日別入力!$AO:$AO,日別入力!$E:$E,$C97,日別入力!$B:$B,$B97,日別入力!$H:$H,$F97,日別入力!$D:$D,O$7)</f>
        <v>0</v>
      </c>
      <c r="P97" s="55">
        <f>SUMIFS(日別入力!$AO:$AO,日別入力!$E:$E,$C97,日別入力!$B:$B,$B97,日別入力!$H:$H,$F97,日別入力!$D:$D,P$7)</f>
        <v>0</v>
      </c>
      <c r="Q97" s="55">
        <f>SUMIFS(日別入力!$AO:$AO,日別入力!$E:$E,$C97,日別入力!$B:$B,$B97,日別入力!$H:$H,$F97,日別入力!$D:$D,Q$7)</f>
        <v>0</v>
      </c>
      <c r="R97" s="407">
        <f>SUMIFS(日別入力!$AO:$AO,日別入力!$E:$E,$C97,日別入力!$B:$B,$B97,日別入力!$H:$H,$F97,日別入力!$D:$D,R$7)</f>
        <v>0</v>
      </c>
    </row>
    <row r="98" spans="1:18" s="4" customFormat="1" ht="15" customHeight="1" x14ac:dyDescent="0.2">
      <c r="A98" s="4">
        <f t="shared" si="3"/>
        <v>0</v>
      </c>
      <c r="B98" s="53" t="str">
        <f t="shared" si="3"/>
        <v>&lt;=12</v>
      </c>
      <c r="C98" s="54"/>
      <c r="D98" s="58" t="s">
        <v>24</v>
      </c>
      <c r="E98" s="55" t="s">
        <v>24</v>
      </c>
      <c r="F98" s="59" t="s">
        <v>24</v>
      </c>
      <c r="G98" s="406">
        <f t="shared" si="4"/>
        <v>0</v>
      </c>
      <c r="H98" s="55">
        <f>SUMIFS(日別入力!$AO:$AO,日別入力!$E:$E,$C98,日別入力!$B:$B,$B98,日別入力!$H:$H,$F98,日別入力!$D:$D,H$7)</f>
        <v>0</v>
      </c>
      <c r="I98" s="55">
        <f>SUMIFS(日別入力!$AO:$AO,日別入力!$E:$E,$C98,日別入力!$B:$B,$B98,日別入力!$H:$H,$F98,日別入力!$D:$D,I$7)</f>
        <v>0</v>
      </c>
      <c r="J98" s="55">
        <f>SUMIFS(日別入力!$AO:$AO,日別入力!$E:$E,$C98,日別入力!$B:$B,$B98,日別入力!$H:$H,$F98,日別入力!$D:$D,J$7)</f>
        <v>0</v>
      </c>
      <c r="K98" s="55">
        <f>SUMIFS(日別入力!$AO:$AO,日別入力!$E:$E,$C98,日別入力!$B:$B,$B98,日別入力!$H:$H,$F98,日別入力!$D:$D,K$7)</f>
        <v>0</v>
      </c>
      <c r="L98" s="55">
        <f>SUMIFS(日別入力!$AO:$AO,日別入力!$E:$E,$C98,日別入力!$B:$B,$B98,日別入力!$H:$H,$F98,日別入力!$D:$D,L$7)</f>
        <v>0</v>
      </c>
      <c r="M98" s="55">
        <f>SUMIFS(日別入力!$AO:$AO,日別入力!$E:$E,$C98,日別入力!$B:$B,$B98,日別入力!$H:$H,$F98,日別入力!$D:$D,M$7)</f>
        <v>0</v>
      </c>
      <c r="N98" s="55">
        <f>SUMIFS(日別入力!$AO:$AO,日別入力!$E:$E,$C98,日別入力!$B:$B,$B98,日別入力!$H:$H,$F98,日別入力!$D:$D,N$7)</f>
        <v>0</v>
      </c>
      <c r="O98" s="55">
        <f>SUMIFS(日別入力!$AO:$AO,日別入力!$E:$E,$C98,日別入力!$B:$B,$B98,日別入力!$H:$H,$F98,日別入力!$D:$D,O$7)</f>
        <v>0</v>
      </c>
      <c r="P98" s="55">
        <f>SUMIFS(日別入力!$AO:$AO,日別入力!$E:$E,$C98,日別入力!$B:$B,$B98,日別入力!$H:$H,$F98,日別入力!$D:$D,P$7)</f>
        <v>0</v>
      </c>
      <c r="Q98" s="55">
        <f>SUMIFS(日別入力!$AO:$AO,日別入力!$E:$E,$C98,日別入力!$B:$B,$B98,日別入力!$H:$H,$F98,日別入力!$D:$D,Q$7)</f>
        <v>0</v>
      </c>
      <c r="R98" s="407">
        <f>SUMIFS(日別入力!$AO:$AO,日別入力!$E:$E,$C98,日別入力!$B:$B,$B98,日別入力!$H:$H,$F98,日別入力!$D:$D,R$7)</f>
        <v>0</v>
      </c>
    </row>
    <row r="99" spans="1:18" s="4" customFormat="1" ht="15" customHeight="1" x14ac:dyDescent="0.2">
      <c r="A99" s="4">
        <f t="shared" si="3"/>
        <v>0</v>
      </c>
      <c r="B99" s="53" t="str">
        <f t="shared" si="3"/>
        <v>&lt;=12</v>
      </c>
      <c r="C99" s="54"/>
      <c r="D99" s="58" t="s">
        <v>24</v>
      </c>
      <c r="E99" s="55" t="s">
        <v>24</v>
      </c>
      <c r="F99" s="59" t="s">
        <v>24</v>
      </c>
      <c r="G99" s="406">
        <f t="shared" si="4"/>
        <v>0</v>
      </c>
      <c r="H99" s="55">
        <f>SUMIFS(日別入力!$AO:$AO,日別入力!$E:$E,$C99,日別入力!$B:$B,$B99,日別入力!$H:$H,$F99,日別入力!$D:$D,H$7)</f>
        <v>0</v>
      </c>
      <c r="I99" s="55">
        <f>SUMIFS(日別入力!$AO:$AO,日別入力!$E:$E,$C99,日別入力!$B:$B,$B99,日別入力!$H:$H,$F99,日別入力!$D:$D,I$7)</f>
        <v>0</v>
      </c>
      <c r="J99" s="55">
        <f>SUMIFS(日別入力!$AO:$AO,日別入力!$E:$E,$C99,日別入力!$B:$B,$B99,日別入力!$H:$H,$F99,日別入力!$D:$D,J$7)</f>
        <v>0</v>
      </c>
      <c r="K99" s="55">
        <f>SUMIFS(日別入力!$AO:$AO,日別入力!$E:$E,$C99,日別入力!$B:$B,$B99,日別入力!$H:$H,$F99,日別入力!$D:$D,K$7)</f>
        <v>0</v>
      </c>
      <c r="L99" s="55">
        <f>SUMIFS(日別入力!$AO:$AO,日別入力!$E:$E,$C99,日別入力!$B:$B,$B99,日別入力!$H:$H,$F99,日別入力!$D:$D,L$7)</f>
        <v>0</v>
      </c>
      <c r="M99" s="55">
        <f>SUMIFS(日別入力!$AO:$AO,日別入力!$E:$E,$C99,日別入力!$B:$B,$B99,日別入力!$H:$H,$F99,日別入力!$D:$D,M$7)</f>
        <v>0</v>
      </c>
      <c r="N99" s="55">
        <f>SUMIFS(日別入力!$AO:$AO,日別入力!$E:$E,$C99,日別入力!$B:$B,$B99,日別入力!$H:$H,$F99,日別入力!$D:$D,N$7)</f>
        <v>0</v>
      </c>
      <c r="O99" s="55">
        <f>SUMIFS(日別入力!$AO:$AO,日別入力!$E:$E,$C99,日別入力!$B:$B,$B99,日別入力!$H:$H,$F99,日別入力!$D:$D,O$7)</f>
        <v>0</v>
      </c>
      <c r="P99" s="55">
        <f>SUMIFS(日別入力!$AO:$AO,日別入力!$E:$E,$C99,日別入力!$B:$B,$B99,日別入力!$H:$H,$F99,日別入力!$D:$D,P$7)</f>
        <v>0</v>
      </c>
      <c r="Q99" s="55">
        <f>SUMIFS(日別入力!$AO:$AO,日別入力!$E:$E,$C99,日別入力!$B:$B,$B99,日別入力!$H:$H,$F99,日別入力!$D:$D,Q$7)</f>
        <v>0</v>
      </c>
      <c r="R99" s="407">
        <f>SUMIFS(日別入力!$AO:$AO,日別入力!$E:$E,$C99,日別入力!$B:$B,$B99,日別入力!$H:$H,$F99,日別入力!$D:$D,R$7)</f>
        <v>0</v>
      </c>
    </row>
    <row r="100" spans="1:18" s="4" customFormat="1" ht="15" customHeight="1" x14ac:dyDescent="0.2">
      <c r="A100" s="4">
        <f t="shared" si="3"/>
        <v>0</v>
      </c>
      <c r="B100" s="53" t="str">
        <f t="shared" si="3"/>
        <v>&lt;=12</v>
      </c>
      <c r="C100" s="54"/>
      <c r="D100" s="58" t="s">
        <v>24</v>
      </c>
      <c r="E100" s="55" t="s">
        <v>24</v>
      </c>
      <c r="F100" s="59" t="s">
        <v>24</v>
      </c>
      <c r="G100" s="406">
        <f t="shared" si="4"/>
        <v>0</v>
      </c>
      <c r="H100" s="55">
        <f>SUMIFS(日別入力!$AO:$AO,日別入力!$E:$E,$C100,日別入力!$B:$B,$B100,日別入力!$H:$H,$F100,日別入力!$D:$D,H$7)</f>
        <v>0</v>
      </c>
      <c r="I100" s="55">
        <f>SUMIFS(日別入力!$AO:$AO,日別入力!$E:$E,$C100,日別入力!$B:$B,$B100,日別入力!$H:$H,$F100,日別入力!$D:$D,I$7)</f>
        <v>0</v>
      </c>
      <c r="J100" s="55">
        <f>SUMIFS(日別入力!$AO:$AO,日別入力!$E:$E,$C100,日別入力!$B:$B,$B100,日別入力!$H:$H,$F100,日別入力!$D:$D,J$7)</f>
        <v>0</v>
      </c>
      <c r="K100" s="55">
        <f>SUMIFS(日別入力!$AO:$AO,日別入力!$E:$E,$C100,日別入力!$B:$B,$B100,日別入力!$H:$H,$F100,日別入力!$D:$D,K$7)</f>
        <v>0</v>
      </c>
      <c r="L100" s="55">
        <f>SUMIFS(日別入力!$AO:$AO,日別入力!$E:$E,$C100,日別入力!$B:$B,$B100,日別入力!$H:$H,$F100,日別入力!$D:$D,L$7)</f>
        <v>0</v>
      </c>
      <c r="M100" s="55">
        <f>SUMIFS(日別入力!$AO:$AO,日別入力!$E:$E,$C100,日別入力!$B:$B,$B100,日別入力!$H:$H,$F100,日別入力!$D:$D,M$7)</f>
        <v>0</v>
      </c>
      <c r="N100" s="55">
        <f>SUMIFS(日別入力!$AO:$AO,日別入力!$E:$E,$C100,日別入力!$B:$B,$B100,日別入力!$H:$H,$F100,日別入力!$D:$D,N$7)</f>
        <v>0</v>
      </c>
      <c r="O100" s="55">
        <f>SUMIFS(日別入力!$AO:$AO,日別入力!$E:$E,$C100,日別入力!$B:$B,$B100,日別入力!$H:$H,$F100,日別入力!$D:$D,O$7)</f>
        <v>0</v>
      </c>
      <c r="P100" s="55">
        <f>SUMIFS(日別入力!$AO:$AO,日別入力!$E:$E,$C100,日別入力!$B:$B,$B100,日別入力!$H:$H,$F100,日別入力!$D:$D,P$7)</f>
        <v>0</v>
      </c>
      <c r="Q100" s="55">
        <f>SUMIFS(日別入力!$AO:$AO,日別入力!$E:$E,$C100,日別入力!$B:$B,$B100,日別入力!$H:$H,$F100,日別入力!$D:$D,Q$7)</f>
        <v>0</v>
      </c>
      <c r="R100" s="407">
        <f>SUMIFS(日別入力!$AO:$AO,日別入力!$E:$E,$C100,日別入力!$B:$B,$B100,日別入力!$H:$H,$F100,日別入力!$D:$D,R$7)</f>
        <v>0</v>
      </c>
    </row>
    <row r="101" spans="1:18" s="4" customFormat="1" ht="15" customHeight="1" x14ac:dyDescent="0.2">
      <c r="A101" s="4">
        <f t="shared" si="3"/>
        <v>0</v>
      </c>
      <c r="B101" s="53" t="str">
        <f t="shared" si="3"/>
        <v>&lt;=12</v>
      </c>
      <c r="C101" s="54"/>
      <c r="D101" s="58" t="s">
        <v>24</v>
      </c>
      <c r="E101" s="55" t="s">
        <v>24</v>
      </c>
      <c r="F101" s="59" t="s">
        <v>24</v>
      </c>
      <c r="G101" s="406">
        <f t="shared" si="4"/>
        <v>0</v>
      </c>
      <c r="H101" s="55">
        <f>SUMIFS(日別入力!$AO:$AO,日別入力!$E:$E,$C101,日別入力!$B:$B,$B101,日別入力!$H:$H,$F101,日別入力!$D:$D,H$7)</f>
        <v>0</v>
      </c>
      <c r="I101" s="55">
        <f>SUMIFS(日別入力!$AO:$AO,日別入力!$E:$E,$C101,日別入力!$B:$B,$B101,日別入力!$H:$H,$F101,日別入力!$D:$D,I$7)</f>
        <v>0</v>
      </c>
      <c r="J101" s="55">
        <f>SUMIFS(日別入力!$AO:$AO,日別入力!$E:$E,$C101,日別入力!$B:$B,$B101,日別入力!$H:$H,$F101,日別入力!$D:$D,J$7)</f>
        <v>0</v>
      </c>
      <c r="K101" s="55">
        <f>SUMIFS(日別入力!$AO:$AO,日別入力!$E:$E,$C101,日別入力!$B:$B,$B101,日別入力!$H:$H,$F101,日別入力!$D:$D,K$7)</f>
        <v>0</v>
      </c>
      <c r="L101" s="55">
        <f>SUMIFS(日別入力!$AO:$AO,日別入力!$E:$E,$C101,日別入力!$B:$B,$B101,日別入力!$H:$H,$F101,日別入力!$D:$D,L$7)</f>
        <v>0</v>
      </c>
      <c r="M101" s="55">
        <f>SUMIFS(日別入力!$AO:$AO,日別入力!$E:$E,$C101,日別入力!$B:$B,$B101,日別入力!$H:$H,$F101,日別入力!$D:$D,M$7)</f>
        <v>0</v>
      </c>
      <c r="N101" s="55">
        <f>SUMIFS(日別入力!$AO:$AO,日別入力!$E:$E,$C101,日別入力!$B:$B,$B101,日別入力!$H:$H,$F101,日別入力!$D:$D,N$7)</f>
        <v>0</v>
      </c>
      <c r="O101" s="55">
        <f>SUMIFS(日別入力!$AO:$AO,日別入力!$E:$E,$C101,日別入力!$B:$B,$B101,日別入力!$H:$H,$F101,日別入力!$D:$D,O$7)</f>
        <v>0</v>
      </c>
      <c r="P101" s="55">
        <f>SUMIFS(日別入力!$AO:$AO,日別入力!$E:$E,$C101,日別入力!$B:$B,$B101,日別入力!$H:$H,$F101,日別入力!$D:$D,P$7)</f>
        <v>0</v>
      </c>
      <c r="Q101" s="55">
        <f>SUMIFS(日別入力!$AO:$AO,日別入力!$E:$E,$C101,日別入力!$B:$B,$B101,日別入力!$H:$H,$F101,日別入力!$D:$D,Q$7)</f>
        <v>0</v>
      </c>
      <c r="R101" s="407">
        <f>SUMIFS(日別入力!$AO:$AO,日別入力!$E:$E,$C101,日別入力!$B:$B,$B101,日別入力!$H:$H,$F101,日別入力!$D:$D,R$7)</f>
        <v>0</v>
      </c>
    </row>
    <row r="102" spans="1:18" s="4" customFormat="1" ht="15" customHeight="1" x14ac:dyDescent="0.2">
      <c r="A102" s="4">
        <f t="shared" ref="A102:B108" si="5">A$9</f>
        <v>0</v>
      </c>
      <c r="B102" s="53" t="str">
        <f t="shared" si="5"/>
        <v>&lt;=12</v>
      </c>
      <c r="C102" s="54"/>
      <c r="D102" s="58" t="s">
        <v>24</v>
      </c>
      <c r="E102" s="55" t="s">
        <v>24</v>
      </c>
      <c r="F102" s="59" t="s">
        <v>24</v>
      </c>
      <c r="G102" s="406">
        <f t="shared" si="4"/>
        <v>0</v>
      </c>
      <c r="H102" s="55">
        <f>SUMIFS(日別入力!$AO:$AO,日別入力!$E:$E,$C102,日別入力!$B:$B,$B102,日別入力!$H:$H,$F102,日別入力!$D:$D,H$7)</f>
        <v>0</v>
      </c>
      <c r="I102" s="55">
        <f>SUMIFS(日別入力!$AO:$AO,日別入力!$E:$E,$C102,日別入力!$B:$B,$B102,日別入力!$H:$H,$F102,日別入力!$D:$D,I$7)</f>
        <v>0</v>
      </c>
      <c r="J102" s="55">
        <f>SUMIFS(日別入力!$AO:$AO,日別入力!$E:$E,$C102,日別入力!$B:$B,$B102,日別入力!$H:$H,$F102,日別入力!$D:$D,J$7)</f>
        <v>0</v>
      </c>
      <c r="K102" s="55">
        <f>SUMIFS(日別入力!$AO:$AO,日別入力!$E:$E,$C102,日別入力!$B:$B,$B102,日別入力!$H:$H,$F102,日別入力!$D:$D,K$7)</f>
        <v>0</v>
      </c>
      <c r="L102" s="55">
        <f>SUMIFS(日別入力!$AO:$AO,日別入力!$E:$E,$C102,日別入力!$B:$B,$B102,日別入力!$H:$H,$F102,日別入力!$D:$D,L$7)</f>
        <v>0</v>
      </c>
      <c r="M102" s="55">
        <f>SUMIFS(日別入力!$AO:$AO,日別入力!$E:$E,$C102,日別入力!$B:$B,$B102,日別入力!$H:$H,$F102,日別入力!$D:$D,M$7)</f>
        <v>0</v>
      </c>
      <c r="N102" s="55">
        <f>SUMIFS(日別入力!$AO:$AO,日別入力!$E:$E,$C102,日別入力!$B:$B,$B102,日別入力!$H:$H,$F102,日別入力!$D:$D,N$7)</f>
        <v>0</v>
      </c>
      <c r="O102" s="55">
        <f>SUMIFS(日別入力!$AO:$AO,日別入力!$E:$E,$C102,日別入力!$B:$B,$B102,日別入力!$H:$H,$F102,日別入力!$D:$D,O$7)</f>
        <v>0</v>
      </c>
      <c r="P102" s="55">
        <f>SUMIFS(日別入力!$AO:$AO,日別入力!$E:$E,$C102,日別入力!$B:$B,$B102,日別入力!$H:$H,$F102,日別入力!$D:$D,P$7)</f>
        <v>0</v>
      </c>
      <c r="Q102" s="55">
        <f>SUMIFS(日別入力!$AO:$AO,日別入力!$E:$E,$C102,日別入力!$B:$B,$B102,日別入力!$H:$H,$F102,日別入力!$D:$D,Q$7)</f>
        <v>0</v>
      </c>
      <c r="R102" s="407">
        <f>SUMIFS(日別入力!$AO:$AO,日別入力!$E:$E,$C102,日別入力!$B:$B,$B102,日別入力!$H:$H,$F102,日別入力!$D:$D,R$7)</f>
        <v>0</v>
      </c>
    </row>
    <row r="103" spans="1:18" s="4" customFormat="1" ht="15" customHeight="1" x14ac:dyDescent="0.2">
      <c r="A103" s="4">
        <f t="shared" si="5"/>
        <v>0</v>
      </c>
      <c r="B103" s="53" t="str">
        <f t="shared" si="5"/>
        <v>&lt;=12</v>
      </c>
      <c r="C103" s="54"/>
      <c r="D103" s="58" t="s">
        <v>24</v>
      </c>
      <c r="E103" s="55" t="s">
        <v>24</v>
      </c>
      <c r="F103" s="59" t="s">
        <v>24</v>
      </c>
      <c r="G103" s="406">
        <f t="shared" si="4"/>
        <v>0</v>
      </c>
      <c r="H103" s="55">
        <f>SUMIFS(日別入力!$AO:$AO,日別入力!$E:$E,$C103,日別入力!$B:$B,$B103,日別入力!$H:$H,$F103,日別入力!$D:$D,H$7)</f>
        <v>0</v>
      </c>
      <c r="I103" s="55">
        <f>SUMIFS(日別入力!$AO:$AO,日別入力!$E:$E,$C103,日別入力!$B:$B,$B103,日別入力!$H:$H,$F103,日別入力!$D:$D,I$7)</f>
        <v>0</v>
      </c>
      <c r="J103" s="55">
        <f>SUMIFS(日別入力!$AO:$AO,日別入力!$E:$E,$C103,日別入力!$B:$B,$B103,日別入力!$H:$H,$F103,日別入力!$D:$D,J$7)</f>
        <v>0</v>
      </c>
      <c r="K103" s="55">
        <f>SUMIFS(日別入力!$AO:$AO,日別入力!$E:$E,$C103,日別入力!$B:$B,$B103,日別入力!$H:$H,$F103,日別入力!$D:$D,K$7)</f>
        <v>0</v>
      </c>
      <c r="L103" s="55">
        <f>SUMIFS(日別入力!$AO:$AO,日別入力!$E:$E,$C103,日別入力!$B:$B,$B103,日別入力!$H:$H,$F103,日別入力!$D:$D,L$7)</f>
        <v>0</v>
      </c>
      <c r="M103" s="55">
        <f>SUMIFS(日別入力!$AO:$AO,日別入力!$E:$E,$C103,日別入力!$B:$B,$B103,日別入力!$H:$H,$F103,日別入力!$D:$D,M$7)</f>
        <v>0</v>
      </c>
      <c r="N103" s="55">
        <f>SUMIFS(日別入力!$AO:$AO,日別入力!$E:$E,$C103,日別入力!$B:$B,$B103,日別入力!$H:$H,$F103,日別入力!$D:$D,N$7)</f>
        <v>0</v>
      </c>
      <c r="O103" s="55">
        <f>SUMIFS(日別入力!$AO:$AO,日別入力!$E:$E,$C103,日別入力!$B:$B,$B103,日別入力!$H:$H,$F103,日別入力!$D:$D,O$7)</f>
        <v>0</v>
      </c>
      <c r="P103" s="55">
        <f>SUMIFS(日別入力!$AO:$AO,日別入力!$E:$E,$C103,日別入力!$B:$B,$B103,日別入力!$H:$H,$F103,日別入力!$D:$D,P$7)</f>
        <v>0</v>
      </c>
      <c r="Q103" s="55">
        <f>SUMIFS(日別入力!$AO:$AO,日別入力!$E:$E,$C103,日別入力!$B:$B,$B103,日別入力!$H:$H,$F103,日別入力!$D:$D,Q$7)</f>
        <v>0</v>
      </c>
      <c r="R103" s="407">
        <f>SUMIFS(日別入力!$AO:$AO,日別入力!$E:$E,$C103,日別入力!$B:$B,$B103,日別入力!$H:$H,$F103,日別入力!$D:$D,R$7)</f>
        <v>0</v>
      </c>
    </row>
    <row r="104" spans="1:18" s="4" customFormat="1" ht="15" customHeight="1" x14ac:dyDescent="0.2">
      <c r="A104" s="4">
        <f t="shared" si="5"/>
        <v>0</v>
      </c>
      <c r="B104" s="53" t="str">
        <f t="shared" si="5"/>
        <v>&lt;=12</v>
      </c>
      <c r="C104" s="54"/>
      <c r="D104" s="58" t="s">
        <v>24</v>
      </c>
      <c r="E104" s="55" t="s">
        <v>24</v>
      </c>
      <c r="F104" s="59" t="s">
        <v>24</v>
      </c>
      <c r="G104" s="406">
        <f t="shared" si="4"/>
        <v>0</v>
      </c>
      <c r="H104" s="55">
        <f>SUMIFS(日別入力!$AO:$AO,日別入力!$E:$E,$C104,日別入力!$B:$B,$B104,日別入力!$H:$H,$F104,日別入力!$D:$D,H$7)</f>
        <v>0</v>
      </c>
      <c r="I104" s="55">
        <f>SUMIFS(日別入力!$AO:$AO,日別入力!$E:$E,$C104,日別入力!$B:$B,$B104,日別入力!$H:$H,$F104,日別入力!$D:$D,I$7)</f>
        <v>0</v>
      </c>
      <c r="J104" s="55">
        <f>SUMIFS(日別入力!$AO:$AO,日別入力!$E:$E,$C104,日別入力!$B:$B,$B104,日別入力!$H:$H,$F104,日別入力!$D:$D,J$7)</f>
        <v>0</v>
      </c>
      <c r="K104" s="55">
        <f>SUMIFS(日別入力!$AO:$AO,日別入力!$E:$E,$C104,日別入力!$B:$B,$B104,日別入力!$H:$H,$F104,日別入力!$D:$D,K$7)</f>
        <v>0</v>
      </c>
      <c r="L104" s="55">
        <f>SUMIFS(日別入力!$AO:$AO,日別入力!$E:$E,$C104,日別入力!$B:$B,$B104,日別入力!$H:$H,$F104,日別入力!$D:$D,L$7)</f>
        <v>0</v>
      </c>
      <c r="M104" s="55">
        <f>SUMIFS(日別入力!$AO:$AO,日別入力!$E:$E,$C104,日別入力!$B:$B,$B104,日別入力!$H:$H,$F104,日別入力!$D:$D,M$7)</f>
        <v>0</v>
      </c>
      <c r="N104" s="55">
        <f>SUMIFS(日別入力!$AO:$AO,日別入力!$E:$E,$C104,日別入力!$B:$B,$B104,日別入力!$H:$H,$F104,日別入力!$D:$D,N$7)</f>
        <v>0</v>
      </c>
      <c r="O104" s="55">
        <f>SUMIFS(日別入力!$AO:$AO,日別入力!$E:$E,$C104,日別入力!$B:$B,$B104,日別入力!$H:$H,$F104,日別入力!$D:$D,O$7)</f>
        <v>0</v>
      </c>
      <c r="P104" s="55">
        <f>SUMIFS(日別入力!$AO:$AO,日別入力!$E:$E,$C104,日別入力!$B:$B,$B104,日別入力!$H:$H,$F104,日別入力!$D:$D,P$7)</f>
        <v>0</v>
      </c>
      <c r="Q104" s="55">
        <f>SUMIFS(日別入力!$AO:$AO,日別入力!$E:$E,$C104,日別入力!$B:$B,$B104,日別入力!$H:$H,$F104,日別入力!$D:$D,Q$7)</f>
        <v>0</v>
      </c>
      <c r="R104" s="407">
        <f>SUMIFS(日別入力!$AO:$AO,日別入力!$E:$E,$C104,日別入力!$B:$B,$B104,日別入力!$H:$H,$F104,日別入力!$D:$D,R$7)</f>
        <v>0</v>
      </c>
    </row>
    <row r="105" spans="1:18" s="4" customFormat="1" ht="15" customHeight="1" x14ac:dyDescent="0.2">
      <c r="A105" s="4">
        <f t="shared" si="5"/>
        <v>0</v>
      </c>
      <c r="B105" s="53" t="str">
        <f t="shared" si="5"/>
        <v>&lt;=12</v>
      </c>
      <c r="C105" s="54"/>
      <c r="D105" s="58" t="s">
        <v>24</v>
      </c>
      <c r="E105" s="55" t="s">
        <v>24</v>
      </c>
      <c r="F105" s="59" t="s">
        <v>24</v>
      </c>
      <c r="G105" s="406">
        <f t="shared" si="4"/>
        <v>0</v>
      </c>
      <c r="H105" s="55">
        <f>SUMIFS(日別入力!$AO:$AO,日別入力!$E:$E,$C105,日別入力!$B:$B,$B105,日別入力!$H:$H,$F105,日別入力!$D:$D,H$7)</f>
        <v>0</v>
      </c>
      <c r="I105" s="55">
        <f>SUMIFS(日別入力!$AO:$AO,日別入力!$E:$E,$C105,日別入力!$B:$B,$B105,日別入力!$H:$H,$F105,日別入力!$D:$D,I$7)</f>
        <v>0</v>
      </c>
      <c r="J105" s="55">
        <f>SUMIFS(日別入力!$AO:$AO,日別入力!$E:$E,$C105,日別入力!$B:$B,$B105,日別入力!$H:$H,$F105,日別入力!$D:$D,J$7)</f>
        <v>0</v>
      </c>
      <c r="K105" s="55">
        <f>SUMIFS(日別入力!$AO:$AO,日別入力!$E:$E,$C105,日別入力!$B:$B,$B105,日別入力!$H:$H,$F105,日別入力!$D:$D,K$7)</f>
        <v>0</v>
      </c>
      <c r="L105" s="55">
        <f>SUMIFS(日別入力!$AO:$AO,日別入力!$E:$E,$C105,日別入力!$B:$B,$B105,日別入力!$H:$H,$F105,日別入力!$D:$D,L$7)</f>
        <v>0</v>
      </c>
      <c r="M105" s="55">
        <f>SUMIFS(日別入力!$AO:$AO,日別入力!$E:$E,$C105,日別入力!$B:$B,$B105,日別入力!$H:$H,$F105,日別入力!$D:$D,M$7)</f>
        <v>0</v>
      </c>
      <c r="N105" s="55">
        <f>SUMIFS(日別入力!$AO:$AO,日別入力!$E:$E,$C105,日別入力!$B:$B,$B105,日別入力!$H:$H,$F105,日別入力!$D:$D,N$7)</f>
        <v>0</v>
      </c>
      <c r="O105" s="55">
        <f>SUMIFS(日別入力!$AO:$AO,日別入力!$E:$E,$C105,日別入力!$B:$B,$B105,日別入力!$H:$H,$F105,日別入力!$D:$D,O$7)</f>
        <v>0</v>
      </c>
      <c r="P105" s="55">
        <f>SUMIFS(日別入力!$AO:$AO,日別入力!$E:$E,$C105,日別入力!$B:$B,$B105,日別入力!$H:$H,$F105,日別入力!$D:$D,P$7)</f>
        <v>0</v>
      </c>
      <c r="Q105" s="55">
        <f>SUMIFS(日別入力!$AO:$AO,日別入力!$E:$E,$C105,日別入力!$B:$B,$B105,日別入力!$H:$H,$F105,日別入力!$D:$D,Q$7)</f>
        <v>0</v>
      </c>
      <c r="R105" s="407">
        <f>SUMIFS(日別入力!$AO:$AO,日別入力!$E:$E,$C105,日別入力!$B:$B,$B105,日別入力!$H:$H,$F105,日別入力!$D:$D,R$7)</f>
        <v>0</v>
      </c>
    </row>
    <row r="106" spans="1:18" s="4" customFormat="1" ht="15" customHeight="1" x14ac:dyDescent="0.2">
      <c r="A106" s="4">
        <f t="shared" si="5"/>
        <v>0</v>
      </c>
      <c r="B106" s="53" t="str">
        <f t="shared" si="5"/>
        <v>&lt;=12</v>
      </c>
      <c r="C106" s="54"/>
      <c r="D106" s="58" t="s">
        <v>24</v>
      </c>
      <c r="E106" s="55" t="s">
        <v>24</v>
      </c>
      <c r="F106" s="59" t="s">
        <v>24</v>
      </c>
      <c r="G106" s="406">
        <f t="shared" si="4"/>
        <v>0</v>
      </c>
      <c r="H106" s="55">
        <f>SUMIFS(日別入力!$AO:$AO,日別入力!$E:$E,$C106,日別入力!$B:$B,$B106,日別入力!$H:$H,$F106,日別入力!$D:$D,H$7)</f>
        <v>0</v>
      </c>
      <c r="I106" s="55">
        <f>SUMIFS(日別入力!$AO:$AO,日別入力!$E:$E,$C106,日別入力!$B:$B,$B106,日別入力!$H:$H,$F106,日別入力!$D:$D,I$7)</f>
        <v>0</v>
      </c>
      <c r="J106" s="55">
        <f>SUMIFS(日別入力!$AO:$AO,日別入力!$E:$E,$C106,日別入力!$B:$B,$B106,日別入力!$H:$H,$F106,日別入力!$D:$D,J$7)</f>
        <v>0</v>
      </c>
      <c r="K106" s="55">
        <f>SUMIFS(日別入力!$AO:$AO,日別入力!$E:$E,$C106,日別入力!$B:$B,$B106,日別入力!$H:$H,$F106,日別入力!$D:$D,K$7)</f>
        <v>0</v>
      </c>
      <c r="L106" s="55">
        <f>SUMIFS(日別入力!$AO:$AO,日別入力!$E:$E,$C106,日別入力!$B:$B,$B106,日別入力!$H:$H,$F106,日別入力!$D:$D,L$7)</f>
        <v>0</v>
      </c>
      <c r="M106" s="55">
        <f>SUMIFS(日別入力!$AO:$AO,日別入力!$E:$E,$C106,日別入力!$B:$B,$B106,日別入力!$H:$H,$F106,日別入力!$D:$D,M$7)</f>
        <v>0</v>
      </c>
      <c r="N106" s="55">
        <f>SUMIFS(日別入力!$AO:$AO,日別入力!$E:$E,$C106,日別入力!$B:$B,$B106,日別入力!$H:$H,$F106,日別入力!$D:$D,N$7)</f>
        <v>0</v>
      </c>
      <c r="O106" s="55">
        <f>SUMIFS(日別入力!$AO:$AO,日別入力!$E:$E,$C106,日別入力!$B:$B,$B106,日別入力!$H:$H,$F106,日別入力!$D:$D,O$7)</f>
        <v>0</v>
      </c>
      <c r="P106" s="55">
        <f>SUMIFS(日別入力!$AO:$AO,日別入力!$E:$E,$C106,日別入力!$B:$B,$B106,日別入力!$H:$H,$F106,日別入力!$D:$D,P$7)</f>
        <v>0</v>
      </c>
      <c r="Q106" s="55">
        <f>SUMIFS(日別入力!$AO:$AO,日別入力!$E:$E,$C106,日別入力!$B:$B,$B106,日別入力!$H:$H,$F106,日別入力!$D:$D,Q$7)</f>
        <v>0</v>
      </c>
      <c r="R106" s="407">
        <f>SUMIFS(日別入力!$AO:$AO,日別入力!$E:$E,$C106,日別入力!$B:$B,$B106,日別入力!$H:$H,$F106,日別入力!$D:$D,R$7)</f>
        <v>0</v>
      </c>
    </row>
    <row r="107" spans="1:18" s="4" customFormat="1" ht="15" customHeight="1" x14ac:dyDescent="0.2">
      <c r="A107" s="4">
        <f t="shared" si="5"/>
        <v>0</v>
      </c>
      <c r="B107" s="53" t="str">
        <f t="shared" si="5"/>
        <v>&lt;=12</v>
      </c>
      <c r="C107" s="54"/>
      <c r="D107" s="58" t="s">
        <v>24</v>
      </c>
      <c r="E107" s="55" t="s">
        <v>24</v>
      </c>
      <c r="F107" s="59" t="s">
        <v>24</v>
      </c>
      <c r="G107" s="406">
        <f t="shared" si="4"/>
        <v>0</v>
      </c>
      <c r="H107" s="55">
        <f>SUMIFS(日別入力!$AO:$AO,日別入力!$E:$E,$C107,日別入力!$B:$B,$B107,日別入力!$H:$H,$F107,日別入力!$D:$D,H$7)</f>
        <v>0</v>
      </c>
      <c r="I107" s="55">
        <f>SUMIFS(日別入力!$AO:$AO,日別入力!$E:$E,$C107,日別入力!$B:$B,$B107,日別入力!$H:$H,$F107,日別入力!$D:$D,I$7)</f>
        <v>0</v>
      </c>
      <c r="J107" s="55">
        <f>SUMIFS(日別入力!$AO:$AO,日別入力!$E:$E,$C107,日別入力!$B:$B,$B107,日別入力!$H:$H,$F107,日別入力!$D:$D,J$7)</f>
        <v>0</v>
      </c>
      <c r="K107" s="55">
        <f>SUMIFS(日別入力!$AO:$AO,日別入力!$E:$E,$C107,日別入力!$B:$B,$B107,日別入力!$H:$H,$F107,日別入力!$D:$D,K$7)</f>
        <v>0</v>
      </c>
      <c r="L107" s="55">
        <f>SUMIFS(日別入力!$AO:$AO,日別入力!$E:$E,$C107,日別入力!$B:$B,$B107,日別入力!$H:$H,$F107,日別入力!$D:$D,L$7)</f>
        <v>0</v>
      </c>
      <c r="M107" s="55">
        <f>SUMIFS(日別入力!$AO:$AO,日別入力!$E:$E,$C107,日別入力!$B:$B,$B107,日別入力!$H:$H,$F107,日別入力!$D:$D,M$7)</f>
        <v>0</v>
      </c>
      <c r="N107" s="55">
        <f>SUMIFS(日別入力!$AO:$AO,日別入力!$E:$E,$C107,日別入力!$B:$B,$B107,日別入力!$H:$H,$F107,日別入力!$D:$D,N$7)</f>
        <v>0</v>
      </c>
      <c r="O107" s="55">
        <f>SUMIFS(日別入力!$AO:$AO,日別入力!$E:$E,$C107,日別入力!$B:$B,$B107,日別入力!$H:$H,$F107,日別入力!$D:$D,O$7)</f>
        <v>0</v>
      </c>
      <c r="P107" s="55">
        <f>SUMIFS(日別入力!$AO:$AO,日別入力!$E:$E,$C107,日別入力!$B:$B,$B107,日別入力!$H:$H,$F107,日別入力!$D:$D,P$7)</f>
        <v>0</v>
      </c>
      <c r="Q107" s="55">
        <f>SUMIFS(日別入力!$AO:$AO,日別入力!$E:$E,$C107,日別入力!$B:$B,$B107,日別入力!$H:$H,$F107,日別入力!$D:$D,Q$7)</f>
        <v>0</v>
      </c>
      <c r="R107" s="407">
        <f>SUMIFS(日別入力!$AO:$AO,日別入力!$E:$E,$C107,日別入力!$B:$B,$B107,日別入力!$H:$H,$F107,日別入力!$D:$D,R$7)</f>
        <v>0</v>
      </c>
    </row>
    <row r="108" spans="1:18" s="4" customFormat="1" ht="15" customHeight="1" thickBot="1" x14ac:dyDescent="0.25">
      <c r="A108" s="4">
        <f t="shared" si="5"/>
        <v>0</v>
      </c>
      <c r="B108" s="60" t="str">
        <f t="shared" si="5"/>
        <v>&lt;=12</v>
      </c>
      <c r="C108" s="61"/>
      <c r="D108" s="62" t="s">
        <v>24</v>
      </c>
      <c r="E108" s="63" t="s">
        <v>24</v>
      </c>
      <c r="F108" s="64" t="s">
        <v>24</v>
      </c>
      <c r="G108" s="408">
        <f t="shared" si="4"/>
        <v>0</v>
      </c>
      <c r="H108" s="63">
        <f>SUMIFS(日別入力!$AO:$AO,日別入力!$E:$E,$C108,日別入力!$B:$B,$B108,日別入力!$H:$H,$F108,日別入力!$D:$D,H$7)</f>
        <v>0</v>
      </c>
      <c r="I108" s="63">
        <f>SUMIFS(日別入力!$AO:$AO,日別入力!$E:$E,$C108,日別入力!$B:$B,$B108,日別入力!$H:$H,$F108,日別入力!$D:$D,I$7)</f>
        <v>0</v>
      </c>
      <c r="J108" s="63">
        <f>SUMIFS(日別入力!$AO:$AO,日別入力!$E:$E,$C108,日別入力!$B:$B,$B108,日別入力!$H:$H,$F108,日別入力!$D:$D,J$7)</f>
        <v>0</v>
      </c>
      <c r="K108" s="63">
        <f>SUMIFS(日別入力!$AO:$AO,日別入力!$E:$E,$C108,日別入力!$B:$B,$B108,日別入力!$H:$H,$F108,日別入力!$D:$D,K$7)</f>
        <v>0</v>
      </c>
      <c r="L108" s="63">
        <f>SUMIFS(日別入力!$AO:$AO,日別入力!$E:$E,$C108,日別入力!$B:$B,$B108,日別入力!$H:$H,$F108,日別入力!$D:$D,L$7)</f>
        <v>0</v>
      </c>
      <c r="M108" s="63">
        <f>SUMIFS(日別入力!$AO:$AO,日別入力!$E:$E,$C108,日別入力!$B:$B,$B108,日別入力!$H:$H,$F108,日別入力!$D:$D,M$7)</f>
        <v>0</v>
      </c>
      <c r="N108" s="63">
        <f>SUMIFS(日別入力!$AO:$AO,日別入力!$E:$E,$C108,日別入力!$B:$B,$B108,日別入力!$H:$H,$F108,日別入力!$D:$D,N$7)</f>
        <v>0</v>
      </c>
      <c r="O108" s="63">
        <f>SUMIFS(日別入力!$AO:$AO,日別入力!$E:$E,$C108,日別入力!$B:$B,$B108,日別入力!$H:$H,$F108,日別入力!$D:$D,O$7)</f>
        <v>0</v>
      </c>
      <c r="P108" s="63">
        <f>SUMIFS(日別入力!$AO:$AO,日別入力!$E:$E,$C108,日別入力!$B:$B,$B108,日別入力!$H:$H,$F108,日別入力!$D:$D,P$7)</f>
        <v>0</v>
      </c>
      <c r="Q108" s="63">
        <f>SUMIFS(日別入力!$AO:$AO,日別入力!$E:$E,$C108,日別入力!$B:$B,$B108,日別入力!$H:$H,$F108,日別入力!$D:$D,Q$7)</f>
        <v>0</v>
      </c>
      <c r="R108" s="409">
        <f>SUMIFS(日別入力!$AO:$AO,日別入力!$E:$E,$C108,日別入力!$B:$B,$B108,日別入力!$H:$H,$F108,日別入力!$D:$D,R$7)</f>
        <v>0</v>
      </c>
    </row>
    <row r="109" spans="1:18" ht="15" customHeight="1" x14ac:dyDescent="0.2"/>
    <row r="110" spans="1:18" ht="22.5" customHeight="1" x14ac:dyDescent="0.2"/>
    <row r="111" spans="1:18" ht="22.5" customHeight="1" x14ac:dyDescent="0.2"/>
    <row r="112" spans="1:18" ht="22.5" customHeight="1" x14ac:dyDescent="0.2"/>
    <row r="113" ht="22.5" customHeight="1" x14ac:dyDescent="0.2"/>
    <row r="114" ht="22.5" customHeight="1" x14ac:dyDescent="0.2"/>
    <row r="115" ht="22.5" customHeight="1" x14ac:dyDescent="0.2"/>
    <row r="116" ht="22.5" customHeight="1" x14ac:dyDescent="0.2"/>
    <row r="117" ht="22.5" customHeight="1" x14ac:dyDescent="0.2"/>
    <row r="118" ht="22.5" customHeight="1" x14ac:dyDescent="0.2"/>
    <row r="119" ht="22.5" customHeight="1" x14ac:dyDescent="0.2"/>
    <row r="120" ht="22.5" customHeight="1" x14ac:dyDescent="0.2"/>
    <row r="121" ht="22.5" customHeight="1" x14ac:dyDescent="0.2"/>
    <row r="122" ht="22.5" customHeight="1" x14ac:dyDescent="0.2"/>
    <row r="123" ht="22.5" customHeight="1" x14ac:dyDescent="0.2"/>
    <row r="124" ht="22.5" customHeight="1" x14ac:dyDescent="0.2"/>
    <row r="125" ht="22.5" customHeight="1" x14ac:dyDescent="0.2"/>
    <row r="126" ht="22.5" customHeight="1" x14ac:dyDescent="0.2"/>
    <row r="127" ht="22.5" customHeight="1" x14ac:dyDescent="0.2"/>
    <row r="128" ht="22.5" customHeight="1" x14ac:dyDescent="0.2"/>
    <row r="129" ht="22.5" customHeight="1" x14ac:dyDescent="0.2"/>
    <row r="130" ht="22.5" customHeight="1" x14ac:dyDescent="0.2"/>
    <row r="131" ht="22.5" customHeight="1" x14ac:dyDescent="0.2"/>
    <row r="132" ht="22.5" customHeight="1" x14ac:dyDescent="0.2"/>
    <row r="133" ht="22.5" customHeight="1" x14ac:dyDescent="0.2"/>
    <row r="134" ht="22.5" customHeight="1" x14ac:dyDescent="0.2"/>
    <row r="135" ht="22.5" customHeight="1" x14ac:dyDescent="0.2"/>
    <row r="136" ht="22.5" customHeight="1" x14ac:dyDescent="0.2"/>
    <row r="137" ht="22.5" customHeight="1" x14ac:dyDescent="0.2"/>
    <row r="138" ht="22.5" customHeight="1" x14ac:dyDescent="0.2"/>
    <row r="139" ht="22.5" customHeight="1" x14ac:dyDescent="0.2"/>
    <row r="140" ht="22.5" customHeight="1" x14ac:dyDescent="0.2"/>
    <row r="141" ht="22.5" customHeight="1" x14ac:dyDescent="0.2"/>
    <row r="142" ht="22.5" customHeight="1" x14ac:dyDescent="0.2"/>
    <row r="143" ht="22.5" customHeight="1" x14ac:dyDescent="0.2"/>
    <row r="144" ht="22.5" customHeight="1" x14ac:dyDescent="0.2"/>
    <row r="145" ht="22.5" customHeight="1" x14ac:dyDescent="0.2"/>
    <row r="146" ht="22.5" customHeight="1" x14ac:dyDescent="0.2"/>
    <row r="147" ht="22.5" customHeight="1" x14ac:dyDescent="0.2"/>
    <row r="148" ht="22.5" customHeight="1" x14ac:dyDescent="0.2"/>
    <row r="149" ht="22.5" customHeight="1" x14ac:dyDescent="0.2"/>
    <row r="150" ht="22.5" customHeight="1" x14ac:dyDescent="0.2"/>
    <row r="151" ht="22.5" customHeight="1" x14ac:dyDescent="0.2"/>
    <row r="152" ht="22.5" customHeight="1" x14ac:dyDescent="0.2"/>
    <row r="153" ht="22.5" customHeight="1" x14ac:dyDescent="0.2"/>
    <row r="154" ht="22.5" customHeight="1" x14ac:dyDescent="0.2"/>
    <row r="155" ht="22.5" customHeight="1" x14ac:dyDescent="0.2"/>
    <row r="156" ht="22.5" customHeight="1" x14ac:dyDescent="0.2"/>
    <row r="157" ht="22.5" customHeight="1" x14ac:dyDescent="0.2"/>
    <row r="158" ht="22.5" customHeight="1" x14ac:dyDescent="0.2"/>
    <row r="159" ht="22.5" customHeight="1" x14ac:dyDescent="0.2"/>
    <row r="160" ht="22.5" customHeight="1" x14ac:dyDescent="0.2"/>
    <row r="161" ht="22.5" customHeight="1" x14ac:dyDescent="0.2"/>
    <row r="162" ht="22.5" customHeight="1" x14ac:dyDescent="0.2"/>
    <row r="163" ht="22.5" customHeight="1" x14ac:dyDescent="0.2"/>
    <row r="164" ht="22.5" customHeight="1" x14ac:dyDescent="0.2"/>
    <row r="165" ht="22.5" customHeight="1" x14ac:dyDescent="0.2"/>
    <row r="166" ht="22.5" customHeight="1" x14ac:dyDescent="0.2"/>
    <row r="167" ht="22.5" customHeight="1" x14ac:dyDescent="0.2"/>
    <row r="168" ht="22.5" customHeight="1" x14ac:dyDescent="0.2"/>
    <row r="169" ht="22.5" customHeight="1" x14ac:dyDescent="0.2"/>
    <row r="170" ht="22.5" customHeight="1" x14ac:dyDescent="0.2"/>
    <row r="171" ht="22.5" customHeight="1" x14ac:dyDescent="0.2"/>
    <row r="172" ht="22.5" customHeight="1" x14ac:dyDescent="0.2"/>
    <row r="173" ht="22.5" customHeight="1" x14ac:dyDescent="0.2"/>
    <row r="174" ht="22.5" customHeight="1" x14ac:dyDescent="0.2"/>
    <row r="175" ht="22.5" customHeight="1" x14ac:dyDescent="0.2"/>
    <row r="176" ht="22.5" customHeight="1" x14ac:dyDescent="0.2"/>
    <row r="177" ht="22.5" customHeight="1" x14ac:dyDescent="0.2"/>
    <row r="178" ht="22.5" customHeight="1" x14ac:dyDescent="0.2"/>
    <row r="179" ht="22.5" customHeight="1" x14ac:dyDescent="0.2"/>
    <row r="180" ht="22.5" customHeight="1" x14ac:dyDescent="0.2"/>
    <row r="181" ht="22.5" customHeight="1" x14ac:dyDescent="0.2"/>
    <row r="182" ht="22.5" customHeight="1" x14ac:dyDescent="0.2"/>
    <row r="183" ht="22.5" customHeight="1" x14ac:dyDescent="0.2"/>
    <row r="184" ht="22.5" customHeight="1" x14ac:dyDescent="0.2"/>
    <row r="185" ht="22.5" customHeight="1" x14ac:dyDescent="0.2"/>
    <row r="186" ht="22.5" customHeight="1" x14ac:dyDescent="0.2"/>
    <row r="187" ht="22.5" customHeight="1" x14ac:dyDescent="0.2"/>
    <row r="188" ht="22.5" customHeight="1" x14ac:dyDescent="0.2"/>
    <row r="189" ht="22.5" customHeight="1" x14ac:dyDescent="0.2"/>
    <row r="190" ht="22.5" customHeight="1" x14ac:dyDescent="0.2"/>
    <row r="191" ht="22.5" customHeight="1" x14ac:dyDescent="0.2"/>
    <row r="192" ht="22.5" customHeight="1" x14ac:dyDescent="0.2"/>
    <row r="193" ht="22.5" customHeight="1" x14ac:dyDescent="0.2"/>
    <row r="194" ht="22.5" customHeight="1" x14ac:dyDescent="0.2"/>
    <row r="195" ht="22.5" customHeight="1" x14ac:dyDescent="0.2"/>
    <row r="196" ht="22.5" customHeight="1" x14ac:dyDescent="0.2"/>
    <row r="197" ht="22.5" customHeight="1" x14ac:dyDescent="0.2"/>
    <row r="198" ht="22.5" customHeight="1" x14ac:dyDescent="0.2"/>
    <row r="199" ht="22.5" customHeight="1" x14ac:dyDescent="0.2"/>
    <row r="200" ht="22.5" customHeight="1" x14ac:dyDescent="0.2"/>
    <row r="201" ht="22.5" customHeight="1" x14ac:dyDescent="0.2"/>
    <row r="202" ht="22.5" customHeight="1" x14ac:dyDescent="0.2"/>
    <row r="203" ht="22.5" customHeight="1" x14ac:dyDescent="0.2"/>
    <row r="204" ht="22.5" customHeight="1" x14ac:dyDescent="0.2"/>
    <row r="205" ht="22.5" customHeight="1" x14ac:dyDescent="0.2"/>
    <row r="206" ht="22.5" customHeight="1" x14ac:dyDescent="0.2"/>
    <row r="207" ht="22.5" customHeight="1" x14ac:dyDescent="0.2"/>
    <row r="208" ht="22.5" customHeight="1" x14ac:dyDescent="0.2"/>
    <row r="209" ht="22.5" customHeight="1" x14ac:dyDescent="0.2"/>
    <row r="210" ht="22.5" customHeight="1" x14ac:dyDescent="0.2"/>
    <row r="211" ht="22.5" customHeight="1" x14ac:dyDescent="0.2"/>
    <row r="212" ht="22.5" customHeight="1" x14ac:dyDescent="0.2"/>
    <row r="213" ht="22.5" customHeight="1" x14ac:dyDescent="0.2"/>
    <row r="214" ht="22.5" customHeight="1" x14ac:dyDescent="0.2"/>
    <row r="215" ht="22.5" customHeight="1" x14ac:dyDescent="0.2"/>
    <row r="216" ht="22.5" customHeight="1" x14ac:dyDescent="0.2"/>
    <row r="217" ht="22.5" customHeight="1" x14ac:dyDescent="0.2"/>
    <row r="218" ht="22.5" customHeight="1" x14ac:dyDescent="0.2"/>
    <row r="219" ht="22.5" customHeight="1" x14ac:dyDescent="0.2"/>
    <row r="220" ht="22.5" customHeight="1" x14ac:dyDescent="0.2"/>
    <row r="221" ht="22.5" customHeight="1" x14ac:dyDescent="0.2"/>
    <row r="222" ht="22.5" customHeight="1" x14ac:dyDescent="0.2"/>
    <row r="223" ht="22.5" customHeight="1" x14ac:dyDescent="0.2"/>
    <row r="224" ht="22.5" customHeight="1" x14ac:dyDescent="0.2"/>
    <row r="225" ht="22.5" customHeight="1" x14ac:dyDescent="0.2"/>
    <row r="226" ht="22.5" customHeight="1" x14ac:dyDescent="0.2"/>
    <row r="227" ht="22.5" customHeight="1" x14ac:dyDescent="0.2"/>
    <row r="228" ht="22.5" customHeight="1" x14ac:dyDescent="0.2"/>
    <row r="229" ht="22.5" customHeight="1" x14ac:dyDescent="0.2"/>
    <row r="230" ht="22.5" customHeight="1" x14ac:dyDescent="0.2"/>
    <row r="231" ht="22.5" customHeight="1" x14ac:dyDescent="0.2"/>
    <row r="232" ht="22.5" customHeight="1" x14ac:dyDescent="0.2"/>
    <row r="233" ht="22.5" customHeight="1" x14ac:dyDescent="0.2"/>
    <row r="234" ht="22.5" customHeight="1" x14ac:dyDescent="0.2"/>
    <row r="235" ht="22.5" customHeight="1" x14ac:dyDescent="0.2"/>
    <row r="236" ht="22.5" customHeight="1" x14ac:dyDescent="0.2"/>
    <row r="237" ht="22.5" customHeight="1" x14ac:dyDescent="0.2"/>
    <row r="238" ht="22.5" customHeight="1" x14ac:dyDescent="0.2"/>
    <row r="239" ht="22.5" customHeight="1" x14ac:dyDescent="0.2"/>
    <row r="240" ht="22.5" customHeight="1" x14ac:dyDescent="0.2"/>
    <row r="241" ht="22.5" customHeight="1" x14ac:dyDescent="0.2"/>
    <row r="242" ht="22.5" customHeight="1" x14ac:dyDescent="0.2"/>
    <row r="243" ht="22.5" customHeight="1" x14ac:dyDescent="0.2"/>
    <row r="244" ht="22.5" customHeight="1" x14ac:dyDescent="0.2"/>
    <row r="245" ht="22.5" customHeight="1" x14ac:dyDescent="0.2"/>
    <row r="246" ht="22.5" customHeight="1" x14ac:dyDescent="0.2"/>
    <row r="247" ht="22.5" customHeight="1" x14ac:dyDescent="0.2"/>
    <row r="248" ht="22.5" customHeight="1" x14ac:dyDescent="0.2"/>
    <row r="249" ht="22.5" customHeight="1" x14ac:dyDescent="0.2"/>
    <row r="250" ht="22.5" customHeight="1" x14ac:dyDescent="0.2"/>
    <row r="251" ht="22.5" customHeight="1" x14ac:dyDescent="0.2"/>
    <row r="252" ht="22.5" customHeight="1" x14ac:dyDescent="0.2"/>
    <row r="253" ht="22.5" customHeight="1" x14ac:dyDescent="0.2"/>
    <row r="254" ht="22.5" customHeight="1" x14ac:dyDescent="0.2"/>
    <row r="255" ht="22.5" customHeight="1" x14ac:dyDescent="0.2"/>
    <row r="256" ht="22.5" customHeight="1" x14ac:dyDescent="0.2"/>
    <row r="257" ht="22.5" customHeight="1" x14ac:dyDescent="0.2"/>
    <row r="258" ht="22.5" customHeight="1" x14ac:dyDescent="0.2"/>
    <row r="259" ht="22.5" customHeight="1" x14ac:dyDescent="0.2"/>
    <row r="260" ht="22.5" customHeight="1" x14ac:dyDescent="0.2"/>
    <row r="261" ht="22.5" customHeight="1" x14ac:dyDescent="0.2"/>
    <row r="262" ht="22.5" customHeight="1" x14ac:dyDescent="0.2"/>
    <row r="263" ht="22.5" customHeight="1" x14ac:dyDescent="0.2"/>
    <row r="264" ht="22.5" customHeight="1" x14ac:dyDescent="0.2"/>
    <row r="265" ht="22.5" customHeight="1" x14ac:dyDescent="0.2"/>
    <row r="266" ht="22.5" customHeight="1" x14ac:dyDescent="0.2"/>
    <row r="267" ht="22.5" customHeight="1" x14ac:dyDescent="0.2"/>
    <row r="268" ht="22.5" customHeight="1" x14ac:dyDescent="0.2"/>
    <row r="269" ht="22.5" customHeight="1" x14ac:dyDescent="0.2"/>
    <row r="270" ht="22.5" customHeight="1" x14ac:dyDescent="0.2"/>
    <row r="271" ht="22.5" customHeight="1" x14ac:dyDescent="0.2"/>
    <row r="272" ht="22.5" customHeight="1" x14ac:dyDescent="0.2"/>
    <row r="273" ht="22.5" customHeight="1" x14ac:dyDescent="0.2"/>
    <row r="274" ht="22.5" customHeight="1" x14ac:dyDescent="0.2"/>
    <row r="275" ht="22.5" customHeight="1" x14ac:dyDescent="0.2"/>
    <row r="276" ht="22.5" customHeight="1" x14ac:dyDescent="0.2"/>
    <row r="277" ht="22.5" customHeight="1" x14ac:dyDescent="0.2"/>
    <row r="278" ht="22.5" customHeight="1" x14ac:dyDescent="0.2"/>
    <row r="279" ht="22.5" customHeight="1" x14ac:dyDescent="0.2"/>
    <row r="280" ht="22.5" customHeight="1" x14ac:dyDescent="0.2"/>
    <row r="281" ht="22.5" customHeight="1" x14ac:dyDescent="0.2"/>
    <row r="282" ht="22.5" customHeight="1" x14ac:dyDescent="0.2"/>
    <row r="283" ht="22.5" customHeight="1" x14ac:dyDescent="0.2"/>
    <row r="284" ht="22.5" customHeight="1" x14ac:dyDescent="0.2"/>
    <row r="285" ht="22.5" customHeight="1" x14ac:dyDescent="0.2"/>
    <row r="286" ht="22.5" customHeight="1" x14ac:dyDescent="0.2"/>
    <row r="287" ht="22.5" customHeight="1" x14ac:dyDescent="0.2"/>
    <row r="288" ht="22.5" customHeight="1" x14ac:dyDescent="0.2"/>
    <row r="289" ht="22.5" customHeight="1" x14ac:dyDescent="0.2"/>
    <row r="290" ht="22.5" customHeight="1" x14ac:dyDescent="0.2"/>
    <row r="291" ht="22.5" customHeight="1" x14ac:dyDescent="0.2"/>
    <row r="292" ht="22.5" customHeight="1" x14ac:dyDescent="0.2"/>
    <row r="293" ht="22.5" customHeight="1" x14ac:dyDescent="0.2"/>
    <row r="294" ht="22.5" customHeight="1" x14ac:dyDescent="0.2"/>
    <row r="295" ht="22.5" customHeight="1" x14ac:dyDescent="0.2"/>
    <row r="296" ht="22.5" customHeight="1" x14ac:dyDescent="0.2"/>
    <row r="297" ht="22.5" customHeight="1" x14ac:dyDescent="0.2"/>
    <row r="298" ht="22.5" customHeight="1" x14ac:dyDescent="0.2"/>
    <row r="299" ht="22.5" customHeight="1" x14ac:dyDescent="0.2"/>
    <row r="300" ht="22.5" customHeight="1" x14ac:dyDescent="0.2"/>
    <row r="301" ht="22.5" customHeight="1" x14ac:dyDescent="0.2"/>
    <row r="302" ht="22.5" customHeight="1" x14ac:dyDescent="0.2"/>
    <row r="303" ht="22.5" customHeight="1" x14ac:dyDescent="0.2"/>
    <row r="304" ht="22.5" customHeight="1" x14ac:dyDescent="0.2"/>
    <row r="305" ht="22.5" customHeight="1" x14ac:dyDescent="0.2"/>
    <row r="306" ht="22.5" customHeight="1" x14ac:dyDescent="0.2"/>
    <row r="307" ht="22.5" customHeight="1" x14ac:dyDescent="0.2"/>
    <row r="308" ht="22.5" customHeight="1" x14ac:dyDescent="0.2"/>
    <row r="309" ht="22.5" customHeight="1" x14ac:dyDescent="0.2"/>
    <row r="310" ht="22.5" customHeight="1" x14ac:dyDescent="0.2"/>
    <row r="311" ht="22.5" customHeight="1" x14ac:dyDescent="0.2"/>
    <row r="312" ht="22.5" customHeight="1" x14ac:dyDescent="0.2"/>
    <row r="313" ht="22.5" customHeight="1" x14ac:dyDescent="0.2"/>
    <row r="314" ht="22.5" customHeight="1" x14ac:dyDescent="0.2"/>
    <row r="315" ht="22.5" customHeight="1" x14ac:dyDescent="0.2"/>
    <row r="316" ht="22.5" customHeight="1" x14ac:dyDescent="0.2"/>
    <row r="317" ht="22.5" customHeight="1" x14ac:dyDescent="0.2"/>
    <row r="318" ht="22.5" customHeight="1" x14ac:dyDescent="0.2"/>
    <row r="319" ht="22.5" customHeight="1" x14ac:dyDescent="0.2"/>
    <row r="320" ht="22.5" customHeight="1" x14ac:dyDescent="0.2"/>
    <row r="321" ht="22.5" customHeight="1" x14ac:dyDescent="0.2"/>
    <row r="322" ht="22.5" customHeight="1" x14ac:dyDescent="0.2"/>
    <row r="323" ht="22.5" customHeight="1" x14ac:dyDescent="0.2"/>
    <row r="324" ht="22.5" customHeight="1" x14ac:dyDescent="0.2"/>
    <row r="325" ht="22.5" customHeight="1" x14ac:dyDescent="0.2"/>
    <row r="326" ht="22.5" customHeight="1" x14ac:dyDescent="0.2"/>
    <row r="327" ht="22.5" customHeight="1" x14ac:dyDescent="0.2"/>
    <row r="328" ht="22.5" customHeight="1" x14ac:dyDescent="0.2"/>
    <row r="329" ht="22.5" customHeight="1" x14ac:dyDescent="0.2"/>
    <row r="330" ht="22.5" customHeight="1" x14ac:dyDescent="0.2"/>
    <row r="331" ht="22.5" customHeight="1" x14ac:dyDescent="0.2"/>
    <row r="332" ht="22.5" customHeight="1" x14ac:dyDescent="0.2"/>
    <row r="333" ht="22.5" customHeight="1" x14ac:dyDescent="0.2"/>
    <row r="334" ht="22.5" customHeight="1" x14ac:dyDescent="0.2"/>
    <row r="335" ht="22.5" customHeight="1" x14ac:dyDescent="0.2"/>
    <row r="336" ht="22.5" customHeight="1" x14ac:dyDescent="0.2"/>
    <row r="337" ht="22.5" customHeight="1" x14ac:dyDescent="0.2"/>
    <row r="338" ht="22.5" customHeight="1" x14ac:dyDescent="0.2"/>
    <row r="339" ht="22.5" customHeight="1" x14ac:dyDescent="0.2"/>
    <row r="340" ht="22.5" customHeight="1" x14ac:dyDescent="0.2"/>
    <row r="341" ht="22.5" customHeight="1" x14ac:dyDescent="0.2"/>
    <row r="342" ht="22.5" customHeight="1" x14ac:dyDescent="0.2"/>
    <row r="343" ht="22.5" customHeight="1" x14ac:dyDescent="0.2"/>
    <row r="344" ht="22.5" customHeight="1" x14ac:dyDescent="0.2"/>
    <row r="345" ht="22.5" customHeight="1" x14ac:dyDescent="0.2"/>
    <row r="346" ht="22.5" customHeight="1" x14ac:dyDescent="0.2"/>
    <row r="347" ht="22.5" customHeight="1" x14ac:dyDescent="0.2"/>
    <row r="348" ht="22.5" customHeight="1" x14ac:dyDescent="0.2"/>
    <row r="349" ht="22.5" customHeight="1" x14ac:dyDescent="0.2"/>
    <row r="350" ht="22.5" customHeight="1" x14ac:dyDescent="0.2"/>
    <row r="351" ht="22.5" customHeight="1" x14ac:dyDescent="0.2"/>
    <row r="352" ht="22.5" customHeight="1" x14ac:dyDescent="0.2"/>
    <row r="353" ht="22.5" customHeight="1" x14ac:dyDescent="0.2"/>
    <row r="354" ht="22.5" customHeight="1" x14ac:dyDescent="0.2"/>
    <row r="355" ht="22.5" customHeight="1" x14ac:dyDescent="0.2"/>
    <row r="356" ht="22.5" customHeight="1" x14ac:dyDescent="0.2"/>
    <row r="357" ht="22.5" customHeight="1" x14ac:dyDescent="0.2"/>
    <row r="358" ht="22.5" customHeight="1" x14ac:dyDescent="0.2"/>
    <row r="359" ht="22.5" customHeight="1" x14ac:dyDescent="0.2"/>
    <row r="360" ht="22.5" customHeight="1" x14ac:dyDescent="0.2"/>
    <row r="361" ht="22.5" customHeight="1" x14ac:dyDescent="0.2"/>
    <row r="362" ht="22.5" customHeight="1" x14ac:dyDescent="0.2"/>
    <row r="363" ht="22.5" customHeight="1" x14ac:dyDescent="0.2"/>
    <row r="364" ht="22.5" customHeight="1" x14ac:dyDescent="0.2"/>
    <row r="365" ht="22.5" customHeight="1" x14ac:dyDescent="0.2"/>
    <row r="366" ht="22.5" customHeight="1" x14ac:dyDescent="0.2"/>
    <row r="367" ht="22.5" customHeight="1" x14ac:dyDescent="0.2"/>
    <row r="368" ht="22.5" customHeight="1" x14ac:dyDescent="0.2"/>
    <row r="369" ht="22.5" customHeight="1" x14ac:dyDescent="0.2"/>
    <row r="370" ht="22.5" customHeight="1" x14ac:dyDescent="0.2"/>
    <row r="371" ht="22.5" customHeight="1" x14ac:dyDescent="0.2"/>
    <row r="372" ht="22.5" customHeight="1" x14ac:dyDescent="0.2"/>
    <row r="373" ht="22.5" customHeight="1" x14ac:dyDescent="0.2"/>
    <row r="374" ht="22.5" customHeight="1" x14ac:dyDescent="0.2"/>
    <row r="375" ht="22.5" customHeight="1" x14ac:dyDescent="0.2"/>
    <row r="376" ht="22.5" customHeight="1" x14ac:dyDescent="0.2"/>
    <row r="377" ht="22.5" customHeight="1" x14ac:dyDescent="0.2"/>
    <row r="378" ht="22.5" customHeight="1" x14ac:dyDescent="0.2"/>
    <row r="379" ht="22.5" customHeight="1" x14ac:dyDescent="0.2"/>
    <row r="380" ht="22.5" customHeight="1" x14ac:dyDescent="0.2"/>
    <row r="381" ht="22.5" customHeight="1" x14ac:dyDescent="0.2"/>
    <row r="382" ht="22.5" customHeight="1" x14ac:dyDescent="0.2"/>
    <row r="383" ht="22.5" customHeight="1" x14ac:dyDescent="0.2"/>
    <row r="384" ht="22.5" customHeight="1" x14ac:dyDescent="0.2"/>
    <row r="385" ht="22.5" customHeight="1" x14ac:dyDescent="0.2"/>
    <row r="386" ht="22.5" customHeight="1" x14ac:dyDescent="0.2"/>
    <row r="387" ht="22.5" customHeight="1" x14ac:dyDescent="0.2"/>
    <row r="388" ht="22.5" customHeight="1" x14ac:dyDescent="0.2"/>
    <row r="389" ht="22.5" customHeight="1" x14ac:dyDescent="0.2"/>
    <row r="390" ht="22.5" customHeight="1" x14ac:dyDescent="0.2"/>
    <row r="391" ht="22.5" customHeight="1" x14ac:dyDescent="0.2"/>
    <row r="392" ht="22.5" customHeight="1" x14ac:dyDescent="0.2"/>
    <row r="393" ht="22.5" customHeight="1" x14ac:dyDescent="0.2"/>
    <row r="394" ht="22.5" customHeight="1" x14ac:dyDescent="0.2"/>
    <row r="395" ht="22.5" customHeight="1" x14ac:dyDescent="0.2"/>
    <row r="396" ht="22.5" customHeight="1" x14ac:dyDescent="0.2"/>
    <row r="397" ht="22.5" customHeight="1" x14ac:dyDescent="0.2"/>
    <row r="398" ht="22.5" customHeight="1" x14ac:dyDescent="0.2"/>
    <row r="399" ht="22.5" customHeight="1" x14ac:dyDescent="0.2"/>
    <row r="400" ht="22.5" customHeight="1" x14ac:dyDescent="0.2"/>
    <row r="401" ht="22.5" customHeight="1" x14ac:dyDescent="0.2"/>
    <row r="402" ht="22.5" customHeight="1" x14ac:dyDescent="0.2"/>
    <row r="403" ht="22.5" customHeight="1" x14ac:dyDescent="0.2"/>
    <row r="404" ht="22.5" customHeight="1" x14ac:dyDescent="0.2"/>
    <row r="405" ht="22.5" customHeight="1" x14ac:dyDescent="0.2"/>
    <row r="406" ht="22.5" customHeight="1" x14ac:dyDescent="0.2"/>
    <row r="407" ht="22.5" customHeight="1" x14ac:dyDescent="0.2"/>
    <row r="408" ht="22.5" customHeight="1" x14ac:dyDescent="0.2"/>
    <row r="409" ht="22.5" customHeight="1" x14ac:dyDescent="0.2"/>
    <row r="410" ht="22.5" customHeight="1" x14ac:dyDescent="0.2"/>
    <row r="411" ht="22.5" customHeight="1" x14ac:dyDescent="0.2"/>
    <row r="412" ht="22.5" customHeight="1" x14ac:dyDescent="0.2"/>
    <row r="413" ht="22.5" customHeight="1" x14ac:dyDescent="0.2"/>
    <row r="414" ht="22.5" customHeight="1" x14ac:dyDescent="0.2"/>
    <row r="415" ht="22.5" customHeight="1" x14ac:dyDescent="0.2"/>
    <row r="416" ht="22.5" customHeight="1" x14ac:dyDescent="0.2"/>
    <row r="417" ht="22.5" customHeight="1" x14ac:dyDescent="0.2"/>
    <row r="418" ht="22.5" customHeight="1" x14ac:dyDescent="0.2"/>
    <row r="419" ht="22.5" customHeight="1" x14ac:dyDescent="0.2"/>
    <row r="420" ht="22.5" customHeight="1" x14ac:dyDescent="0.2"/>
    <row r="421" ht="22.5" customHeight="1" x14ac:dyDescent="0.2"/>
    <row r="422" ht="22.5" customHeight="1" x14ac:dyDescent="0.2"/>
    <row r="423" ht="22.5" customHeight="1" x14ac:dyDescent="0.2"/>
    <row r="424" ht="22.5" customHeight="1" x14ac:dyDescent="0.2"/>
    <row r="425" ht="22.5" customHeight="1" x14ac:dyDescent="0.2"/>
    <row r="426" ht="22.5" customHeight="1" x14ac:dyDescent="0.2"/>
    <row r="427" ht="22.5" customHeight="1" x14ac:dyDescent="0.2"/>
    <row r="428" ht="22.5" customHeight="1" x14ac:dyDescent="0.2"/>
    <row r="429" ht="22.5" customHeight="1" x14ac:dyDescent="0.2"/>
    <row r="430" ht="22.5" customHeight="1" x14ac:dyDescent="0.2"/>
    <row r="431" ht="22.5" customHeight="1" x14ac:dyDescent="0.2"/>
    <row r="432" ht="22.5" customHeight="1" x14ac:dyDescent="0.2"/>
    <row r="433" ht="22.5" customHeight="1" x14ac:dyDescent="0.2"/>
    <row r="434" ht="22.5" customHeight="1" x14ac:dyDescent="0.2"/>
    <row r="435" ht="22.5" customHeight="1" x14ac:dyDescent="0.2"/>
    <row r="436" ht="22.5" customHeight="1" x14ac:dyDescent="0.2"/>
    <row r="437" ht="22.5" customHeight="1" x14ac:dyDescent="0.2"/>
    <row r="438" ht="22.5" customHeight="1" x14ac:dyDescent="0.2"/>
    <row r="439" ht="22.5" customHeight="1" x14ac:dyDescent="0.2"/>
    <row r="440" ht="22.5" customHeight="1" x14ac:dyDescent="0.2"/>
    <row r="441" ht="22.5" customHeight="1" x14ac:dyDescent="0.2"/>
    <row r="442" ht="22.5" customHeight="1" x14ac:dyDescent="0.2"/>
    <row r="443" ht="22.5" customHeight="1" x14ac:dyDescent="0.2"/>
    <row r="444" ht="22.5" customHeight="1" x14ac:dyDescent="0.2"/>
    <row r="445" ht="22.5" customHeight="1" x14ac:dyDescent="0.2"/>
    <row r="446" ht="22.5" customHeight="1" x14ac:dyDescent="0.2"/>
    <row r="447" ht="22.5" customHeight="1" x14ac:dyDescent="0.2"/>
    <row r="448" ht="22.5" customHeight="1" x14ac:dyDescent="0.2"/>
    <row r="449" ht="22.5" customHeight="1" x14ac:dyDescent="0.2"/>
    <row r="450" ht="22.5" customHeight="1" x14ac:dyDescent="0.2"/>
    <row r="451" ht="22.5" customHeight="1" x14ac:dyDescent="0.2"/>
    <row r="452" ht="22.5" customHeight="1" x14ac:dyDescent="0.2"/>
    <row r="453" ht="22.5" customHeight="1" x14ac:dyDescent="0.2"/>
    <row r="454" ht="22.5" customHeight="1" x14ac:dyDescent="0.2"/>
    <row r="455" ht="22.5" customHeight="1" x14ac:dyDescent="0.2"/>
    <row r="456" ht="22.5" customHeight="1" x14ac:dyDescent="0.2"/>
    <row r="457" ht="22.5" customHeight="1" x14ac:dyDescent="0.2"/>
    <row r="458" ht="22.5" customHeight="1" x14ac:dyDescent="0.2"/>
    <row r="459" ht="22.5" customHeight="1" x14ac:dyDescent="0.2"/>
    <row r="460" ht="22.5" customHeight="1" x14ac:dyDescent="0.2"/>
    <row r="461" ht="22.5" customHeight="1" x14ac:dyDescent="0.2"/>
    <row r="462" ht="22.5" customHeight="1" x14ac:dyDescent="0.2"/>
    <row r="463" ht="22.5" customHeight="1" x14ac:dyDescent="0.2"/>
    <row r="464" ht="22.5" customHeight="1" x14ac:dyDescent="0.2"/>
    <row r="465" ht="22.5" customHeight="1" x14ac:dyDescent="0.2"/>
    <row r="466" ht="22.5" customHeight="1" x14ac:dyDescent="0.2"/>
    <row r="467" ht="22.5" customHeight="1" x14ac:dyDescent="0.2"/>
    <row r="468" ht="22.5" customHeight="1" x14ac:dyDescent="0.2"/>
    <row r="469" ht="22.5" customHeight="1" x14ac:dyDescent="0.2"/>
    <row r="470" ht="22.5" customHeight="1" x14ac:dyDescent="0.2"/>
    <row r="471" ht="22.5" customHeight="1" x14ac:dyDescent="0.2"/>
    <row r="472" ht="22.5" customHeight="1" x14ac:dyDescent="0.2"/>
    <row r="473" ht="22.5" customHeight="1" x14ac:dyDescent="0.2"/>
    <row r="474" ht="22.5" customHeight="1" x14ac:dyDescent="0.2"/>
    <row r="475" ht="22.5" customHeight="1" x14ac:dyDescent="0.2"/>
    <row r="476" ht="22.5" customHeight="1" x14ac:dyDescent="0.2"/>
    <row r="477" ht="22.5" customHeight="1" x14ac:dyDescent="0.2"/>
    <row r="478" ht="22.5" customHeight="1" x14ac:dyDescent="0.2"/>
    <row r="479" ht="22.5" customHeight="1" x14ac:dyDescent="0.2"/>
    <row r="480" ht="22.5" customHeight="1" x14ac:dyDescent="0.2"/>
    <row r="481" ht="22.5" customHeight="1" x14ac:dyDescent="0.2"/>
    <row r="482" ht="22.5" customHeight="1" x14ac:dyDescent="0.2"/>
    <row r="483" ht="22.5" customHeight="1" x14ac:dyDescent="0.2"/>
    <row r="484" ht="22.5" customHeight="1" x14ac:dyDescent="0.2"/>
    <row r="485" ht="22.5" customHeight="1" x14ac:dyDescent="0.2"/>
    <row r="486" ht="22.5" customHeight="1" x14ac:dyDescent="0.2"/>
    <row r="487" ht="22.5" customHeight="1" x14ac:dyDescent="0.2"/>
    <row r="488" ht="22.5" customHeight="1" x14ac:dyDescent="0.2"/>
    <row r="489" ht="22.5" customHeight="1" x14ac:dyDescent="0.2"/>
    <row r="490" ht="22.5" customHeight="1" x14ac:dyDescent="0.2"/>
    <row r="491" ht="22.5" customHeight="1" x14ac:dyDescent="0.2"/>
    <row r="492" ht="22.5" customHeight="1" x14ac:dyDescent="0.2"/>
    <row r="493" ht="22.5" customHeight="1" x14ac:dyDescent="0.2"/>
    <row r="494" ht="22.5" customHeight="1" x14ac:dyDescent="0.2"/>
    <row r="495" ht="22.5" customHeight="1" x14ac:dyDescent="0.2"/>
    <row r="496" ht="22.5" customHeight="1" x14ac:dyDescent="0.2"/>
    <row r="497" ht="22.5" customHeight="1" x14ac:dyDescent="0.2"/>
    <row r="498" ht="22.5" customHeight="1" x14ac:dyDescent="0.2"/>
    <row r="499" ht="22.5" customHeight="1" x14ac:dyDescent="0.2"/>
    <row r="500" ht="22.5" customHeight="1" x14ac:dyDescent="0.2"/>
    <row r="501" ht="22.5" customHeight="1" x14ac:dyDescent="0.2"/>
    <row r="502" ht="22.5" customHeight="1" x14ac:dyDescent="0.2"/>
    <row r="503" ht="22.5" customHeight="1" x14ac:dyDescent="0.2"/>
    <row r="504" ht="22.5" customHeight="1" x14ac:dyDescent="0.2"/>
    <row r="505" ht="22.5" customHeight="1" x14ac:dyDescent="0.2"/>
    <row r="506" ht="22.5" customHeight="1" x14ac:dyDescent="0.2"/>
    <row r="507" ht="22.5" customHeight="1" x14ac:dyDescent="0.2"/>
    <row r="508" ht="22.5" customHeight="1" x14ac:dyDescent="0.2"/>
    <row r="509" ht="22.5" customHeight="1" x14ac:dyDescent="0.2"/>
    <row r="510" ht="22.5" customHeight="1" x14ac:dyDescent="0.2"/>
    <row r="511" ht="22.5" customHeight="1" x14ac:dyDescent="0.2"/>
    <row r="512" ht="22.5" customHeight="1" x14ac:dyDescent="0.2"/>
    <row r="513" ht="22.5" customHeight="1" x14ac:dyDescent="0.2"/>
    <row r="514" ht="22.5" customHeight="1" x14ac:dyDescent="0.2"/>
    <row r="515" ht="22.5" customHeight="1" x14ac:dyDescent="0.2"/>
    <row r="516" ht="22.5" customHeight="1" x14ac:dyDescent="0.2"/>
    <row r="517" ht="22.5" customHeight="1" x14ac:dyDescent="0.2"/>
    <row r="518" ht="22.5" customHeight="1" x14ac:dyDescent="0.2"/>
    <row r="519" ht="22.5" customHeight="1" x14ac:dyDescent="0.2"/>
    <row r="520" ht="22.5" customHeight="1" x14ac:dyDescent="0.2"/>
    <row r="521" ht="22.5" customHeight="1" x14ac:dyDescent="0.2"/>
    <row r="522" ht="22.5" customHeight="1" x14ac:dyDescent="0.2"/>
    <row r="523" ht="22.5" customHeight="1" x14ac:dyDescent="0.2"/>
    <row r="524" ht="22.5" customHeight="1" x14ac:dyDescent="0.2"/>
    <row r="525" ht="22.5" customHeight="1" x14ac:dyDescent="0.2"/>
    <row r="526" ht="22.5" customHeight="1" x14ac:dyDescent="0.2"/>
    <row r="527" ht="22.5" customHeight="1" x14ac:dyDescent="0.2"/>
    <row r="528" ht="22.5" customHeight="1" x14ac:dyDescent="0.2"/>
    <row r="529" ht="22.5" customHeight="1" x14ac:dyDescent="0.2"/>
    <row r="530" ht="22.5" customHeight="1" x14ac:dyDescent="0.2"/>
    <row r="531" ht="22.5" customHeight="1" x14ac:dyDescent="0.2"/>
    <row r="532" ht="22.5" customHeight="1" x14ac:dyDescent="0.2"/>
    <row r="533" ht="22.5" customHeight="1" x14ac:dyDescent="0.2"/>
    <row r="534" ht="22.5" customHeight="1" x14ac:dyDescent="0.2"/>
    <row r="535" ht="22.5" customHeight="1" x14ac:dyDescent="0.2"/>
    <row r="536" ht="22.5" customHeight="1" x14ac:dyDescent="0.2"/>
    <row r="537" ht="22.5" customHeight="1" x14ac:dyDescent="0.2"/>
    <row r="538" ht="22.5" customHeight="1" x14ac:dyDescent="0.2"/>
    <row r="539" ht="22.5" customHeight="1" x14ac:dyDescent="0.2"/>
    <row r="540" ht="22.5" customHeight="1" x14ac:dyDescent="0.2"/>
    <row r="541" ht="22.5" customHeight="1" x14ac:dyDescent="0.2"/>
    <row r="542" ht="22.5" customHeight="1" x14ac:dyDescent="0.2"/>
    <row r="543" ht="22.5" customHeight="1" x14ac:dyDescent="0.2"/>
    <row r="544" ht="22.5" customHeight="1" x14ac:dyDescent="0.2"/>
    <row r="545" ht="22.5" customHeight="1" x14ac:dyDescent="0.2"/>
    <row r="546" ht="22.5" customHeight="1" x14ac:dyDescent="0.2"/>
    <row r="547" ht="22.5" customHeight="1" x14ac:dyDescent="0.2"/>
    <row r="548" ht="22.5" customHeight="1" x14ac:dyDescent="0.2"/>
    <row r="549" ht="22.5" customHeight="1" x14ac:dyDescent="0.2"/>
    <row r="550" ht="22.5" customHeight="1" x14ac:dyDescent="0.2"/>
    <row r="551" ht="22.5" customHeight="1" x14ac:dyDescent="0.2"/>
    <row r="552" ht="22.5" customHeight="1" x14ac:dyDescent="0.2"/>
    <row r="553" ht="22.5" customHeight="1" x14ac:dyDescent="0.2"/>
    <row r="554" ht="22.5" customHeight="1" x14ac:dyDescent="0.2"/>
    <row r="555" ht="22.5" customHeight="1" x14ac:dyDescent="0.2"/>
    <row r="556" ht="22.5" customHeight="1" x14ac:dyDescent="0.2"/>
    <row r="557" ht="22.5" customHeight="1" x14ac:dyDescent="0.2"/>
    <row r="558" ht="22.5" customHeight="1" x14ac:dyDescent="0.2"/>
    <row r="559" ht="22.5" customHeight="1" x14ac:dyDescent="0.2"/>
    <row r="560" ht="22.5" customHeight="1" x14ac:dyDescent="0.2"/>
    <row r="561" ht="22.5" customHeight="1" x14ac:dyDescent="0.2"/>
    <row r="562" ht="22.5" customHeight="1" x14ac:dyDescent="0.2"/>
    <row r="563" ht="22.5" customHeight="1" x14ac:dyDescent="0.2"/>
    <row r="564" ht="22.5" customHeight="1" x14ac:dyDescent="0.2"/>
    <row r="565" ht="22.5" customHeight="1" x14ac:dyDescent="0.2"/>
    <row r="566" ht="22.5" customHeight="1" x14ac:dyDescent="0.2"/>
    <row r="567" ht="22.5" customHeight="1" x14ac:dyDescent="0.2"/>
    <row r="568" ht="22.5" customHeight="1" x14ac:dyDescent="0.2"/>
    <row r="569" ht="22.5" customHeight="1" x14ac:dyDescent="0.2"/>
    <row r="570" ht="22.5" customHeight="1" x14ac:dyDescent="0.2"/>
  </sheetData>
  <autoFilter ref="B8:R8" xr:uid="{CE337E2A-1BCE-47DD-945A-2BFE5EC03EFE}"/>
  <mergeCells count="7">
    <mergeCell ref="C1:R1"/>
    <mergeCell ref="C5:F5"/>
    <mergeCell ref="G5:R5"/>
    <mergeCell ref="D2:E2"/>
    <mergeCell ref="D3:E3"/>
    <mergeCell ref="B2:C2"/>
    <mergeCell ref="B3:C3"/>
  </mergeCells>
  <phoneticPr fontId="2"/>
  <conditionalFormatting sqref="Y9:Y17 Y108">
    <cfRule type="expression" dxfId="88" priority="1">
      <formula>#REF!&lt;&gt;Y30</formula>
    </cfRule>
  </conditionalFormatting>
  <conditionalFormatting sqref="Y18:Y107">
    <cfRule type="expression" dxfId="87" priority="2">
      <formula>#REF!&lt;&gt;Y108</formula>
    </cfRule>
  </conditionalFormatting>
  <dataValidations count="2">
    <dataValidation type="list" allowBlank="1" showInputMessage="1" showErrorMessage="1" sqref="B9" xr:uid="{EF318C2F-40F4-4870-8622-EC162C2566EF}">
      <formula1>"&lt;=12,1,2,3,4,5,6,7,8,9,10,11,12"</formula1>
    </dataValidation>
    <dataValidation type="list" allowBlank="1" showInputMessage="1" showErrorMessage="1" sqref="F9:F108" xr:uid="{C120A488-C407-4B34-8482-9D20EE8062A1}">
      <formula1>INDIRECT($D$3)</formula1>
    </dataValidation>
  </dataValidations>
  <pageMargins left="0.59055118110236227" right="0.59055118110236227" top="0.59055118110236227" bottom="0.59055118110236227" header="0" footer="0.27559055118110237"/>
  <pageSetup paperSize="9" scale="81" fitToHeight="0" orientation="landscape" r:id="rId1"/>
  <headerFooter alignWithMargins="0"/>
  <drawing r:id="rId2"/>
  <legacyDrawing r:id="rId3"/>
  <controls>
    <mc:AlternateContent xmlns:mc="http://schemas.openxmlformats.org/markup-compatibility/2006">
      <mc:Choice Requires="x14">
        <control shapeId="11268" r:id="rId4" name="BtnOutputExcel">
          <controlPr defaultSize="0" autoLine="0" r:id="rId5">
            <anchor moveWithCells="1">
              <from>
                <xdr:col>15</xdr:col>
                <xdr:colOff>0</xdr:colOff>
                <xdr:row>1</xdr:row>
                <xdr:rowOff>0</xdr:rowOff>
              </from>
              <to>
                <xdr:col>17</xdr:col>
                <xdr:colOff>45720</xdr:colOff>
                <xdr:row>2</xdr:row>
                <xdr:rowOff>83820</xdr:rowOff>
              </to>
            </anchor>
          </controlPr>
        </control>
      </mc:Choice>
      <mc:Fallback>
        <control shapeId="11268" r:id="rId4" name="BtnOutputExcel"/>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E06C15E9-75CE-4766-BB45-2686C31FB723}">
          <x14:formula1>
            <xm:f>'リスト '!$C$2:$C$3</xm:f>
          </x14:formula1>
          <xm:sqref>D11:D108 D9:D10</xm:sqref>
        </x14:dataValidation>
        <x14:dataValidation type="list" allowBlank="1" showInputMessage="1" showErrorMessage="1" xr:uid="{DE9536B1-D831-4701-9441-FE4CA64392AE}">
          <x14:formula1>
            <xm:f>'リスト '!$A$2:$A$3</xm:f>
          </x14:formula1>
          <xm:sqref>D3:E3</xm:sqref>
        </x14:dataValidation>
        <x14:dataValidation type="list" allowBlank="1" showInputMessage="1" showErrorMessage="1" xr:uid="{C3D87043-E94B-4DE7-836C-5A4F2A05A1C7}">
          <x14:formula1>
            <xm:f>'リスト '!$B$2:$B$9</xm:f>
          </x14:formula1>
          <xm:sqref>F3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AO537"/>
  <sheetViews>
    <sheetView showGridLines="0" zoomScaleNormal="100" workbookViewId="0">
      <pane ySplit="6" topLeftCell="A7" activePane="bottomLeft" state="frozen"/>
      <selection pane="bottomLeft"/>
    </sheetView>
  </sheetViews>
  <sheetFormatPr defaultColWidth="1.21875" defaultRowHeight="7.5" customHeight="1" x14ac:dyDescent="0.2"/>
  <cols>
    <col min="1" max="1" width="1" style="2" customWidth="1"/>
    <col min="2" max="2" width="3.77734375" style="2" customWidth="1"/>
    <col min="3" max="3" width="12.77734375" style="2" customWidth="1"/>
    <col min="4" max="4" width="16.77734375" style="2" customWidth="1"/>
    <col min="5" max="5" width="12.77734375" style="2" customWidth="1"/>
    <col min="6" max="8" width="4.77734375" style="2" customWidth="1"/>
    <col min="9" max="9" width="6.77734375" style="2" customWidth="1"/>
    <col min="10" max="40" width="2.33203125" style="2" customWidth="1"/>
    <col min="41" max="41" width="4.77734375" style="2" customWidth="1"/>
    <col min="42" max="42" width="0.88671875" style="2" customWidth="1"/>
    <col min="43" max="43" width="1.21875" style="2"/>
    <col min="44" max="44" width="3.44140625" style="2" bestFit="1" customWidth="1"/>
    <col min="45" max="16384" width="1.21875" style="2"/>
  </cols>
  <sheetData>
    <row r="1" spans="2:41" ht="24" customHeight="1" x14ac:dyDescent="0.2">
      <c r="B1" s="437" t="s">
        <v>107</v>
      </c>
      <c r="C1" s="437"/>
      <c r="D1" s="437"/>
      <c r="E1" s="437"/>
      <c r="F1" s="437"/>
      <c r="G1" s="437"/>
      <c r="H1" s="437"/>
      <c r="I1" s="437"/>
      <c r="J1" s="437"/>
      <c r="K1" s="437"/>
      <c r="L1" s="437"/>
      <c r="M1" s="437"/>
      <c r="N1" s="437"/>
      <c r="O1" s="437"/>
      <c r="P1" s="437"/>
      <c r="Q1" s="437"/>
      <c r="R1" s="437"/>
      <c r="S1" s="437"/>
      <c r="T1" s="437"/>
      <c r="U1" s="437"/>
      <c r="V1" s="437"/>
      <c r="W1" s="437"/>
      <c r="X1" s="437"/>
      <c r="Y1" s="437"/>
      <c r="Z1" s="437"/>
      <c r="AA1" s="437"/>
      <c r="AB1" s="437"/>
      <c r="AC1" s="437"/>
      <c r="AD1" s="437"/>
      <c r="AE1" s="437"/>
      <c r="AF1" s="437"/>
      <c r="AG1" s="437"/>
      <c r="AH1" s="437"/>
      <c r="AI1" s="437"/>
      <c r="AJ1" s="437"/>
      <c r="AK1" s="437"/>
      <c r="AL1" s="437"/>
      <c r="AM1" s="437"/>
      <c r="AN1" s="437"/>
      <c r="AO1" s="437"/>
    </row>
    <row r="2" spans="2:41" ht="15" customHeight="1" x14ac:dyDescent="0.2">
      <c r="B2" s="449" t="s">
        <v>110</v>
      </c>
      <c r="C2" s="450"/>
      <c r="D2" s="451"/>
      <c r="P2" s="5"/>
      <c r="Q2" s="5"/>
      <c r="R2" s="5"/>
      <c r="S2" s="5"/>
      <c r="T2" s="5"/>
      <c r="U2" s="5"/>
      <c r="V2" s="5"/>
      <c r="W2" s="5"/>
      <c r="X2" s="5"/>
      <c r="Y2" s="5"/>
      <c r="Z2" s="5"/>
      <c r="AA2" s="5"/>
      <c r="AB2" s="5"/>
      <c r="AC2" s="5"/>
      <c r="AD2" s="5"/>
      <c r="AE2" s="5"/>
      <c r="AF2" s="5"/>
      <c r="AG2" s="5"/>
      <c r="AH2" s="5"/>
      <c r="AI2" s="5"/>
      <c r="AJ2" s="5"/>
      <c r="AK2" s="5"/>
      <c r="AL2" s="5"/>
      <c r="AM2" s="5"/>
      <c r="AN2" s="5"/>
      <c r="AO2" s="5"/>
    </row>
    <row r="3" spans="2:41" ht="24" customHeight="1" x14ac:dyDescent="0.2">
      <c r="B3" s="456">
        <f>設定!B3</f>
        <v>0</v>
      </c>
      <c r="C3" s="457"/>
      <c r="D3" s="458"/>
    </row>
    <row r="4" spans="2:41" ht="7.5" customHeight="1" thickBot="1" x14ac:dyDescent="0.25">
      <c r="J4" s="3"/>
    </row>
    <row r="5" spans="2:41" s="4" customFormat="1" ht="15" customHeight="1" x14ac:dyDescent="0.2">
      <c r="B5" s="461" t="s">
        <v>1</v>
      </c>
      <c r="C5" s="452" t="s">
        <v>27</v>
      </c>
      <c r="D5" s="459" t="s">
        <v>156</v>
      </c>
      <c r="E5" s="463" t="s">
        <v>101</v>
      </c>
      <c r="F5" s="454" t="s">
        <v>29</v>
      </c>
      <c r="G5" s="454" t="s">
        <v>30</v>
      </c>
      <c r="H5" s="454" t="s">
        <v>31</v>
      </c>
      <c r="I5" s="467" t="s">
        <v>26</v>
      </c>
      <c r="J5" s="469" t="s">
        <v>34</v>
      </c>
      <c r="K5" s="470"/>
      <c r="L5" s="470"/>
      <c r="M5" s="470"/>
      <c r="N5" s="470"/>
      <c r="O5" s="470"/>
      <c r="P5" s="470"/>
      <c r="Q5" s="470"/>
      <c r="R5" s="470"/>
      <c r="S5" s="470"/>
      <c r="T5" s="470"/>
      <c r="U5" s="470"/>
      <c r="V5" s="470"/>
      <c r="W5" s="470"/>
      <c r="X5" s="470"/>
      <c r="Y5" s="470"/>
      <c r="Z5" s="470"/>
      <c r="AA5" s="470"/>
      <c r="AB5" s="470"/>
      <c r="AC5" s="470"/>
      <c r="AD5" s="470"/>
      <c r="AE5" s="470"/>
      <c r="AF5" s="470"/>
      <c r="AG5" s="470"/>
      <c r="AH5" s="470"/>
      <c r="AI5" s="470"/>
      <c r="AJ5" s="470"/>
      <c r="AK5" s="470"/>
      <c r="AL5" s="470"/>
      <c r="AM5" s="470"/>
      <c r="AN5" s="471"/>
      <c r="AO5" s="465" t="s">
        <v>32</v>
      </c>
    </row>
    <row r="6" spans="2:41" s="4" customFormat="1" ht="15" customHeight="1" thickBot="1" x14ac:dyDescent="0.25">
      <c r="B6" s="462"/>
      <c r="C6" s="453"/>
      <c r="D6" s="460"/>
      <c r="E6" s="464"/>
      <c r="F6" s="455"/>
      <c r="G6" s="455"/>
      <c r="H6" s="455"/>
      <c r="I6" s="468"/>
      <c r="J6" s="434">
        <v>1</v>
      </c>
      <c r="K6" s="435">
        <v>2</v>
      </c>
      <c r="L6" s="435">
        <v>3</v>
      </c>
      <c r="M6" s="435">
        <v>4</v>
      </c>
      <c r="N6" s="435">
        <v>5</v>
      </c>
      <c r="O6" s="435">
        <v>6</v>
      </c>
      <c r="P6" s="435">
        <v>7</v>
      </c>
      <c r="Q6" s="435">
        <v>8</v>
      </c>
      <c r="R6" s="435">
        <v>9</v>
      </c>
      <c r="S6" s="435">
        <v>10</v>
      </c>
      <c r="T6" s="435">
        <v>11</v>
      </c>
      <c r="U6" s="435">
        <v>12</v>
      </c>
      <c r="V6" s="435">
        <v>13</v>
      </c>
      <c r="W6" s="435">
        <v>14</v>
      </c>
      <c r="X6" s="435">
        <v>15</v>
      </c>
      <c r="Y6" s="435">
        <v>16</v>
      </c>
      <c r="Z6" s="435">
        <v>17</v>
      </c>
      <c r="AA6" s="435">
        <v>18</v>
      </c>
      <c r="AB6" s="435">
        <v>19</v>
      </c>
      <c r="AC6" s="435">
        <v>20</v>
      </c>
      <c r="AD6" s="435">
        <v>21</v>
      </c>
      <c r="AE6" s="435">
        <v>22</v>
      </c>
      <c r="AF6" s="435">
        <v>23</v>
      </c>
      <c r="AG6" s="435">
        <v>24</v>
      </c>
      <c r="AH6" s="435">
        <v>25</v>
      </c>
      <c r="AI6" s="435">
        <v>26</v>
      </c>
      <c r="AJ6" s="435">
        <v>27</v>
      </c>
      <c r="AK6" s="435">
        <v>28</v>
      </c>
      <c r="AL6" s="435">
        <v>29</v>
      </c>
      <c r="AM6" s="435">
        <v>30</v>
      </c>
      <c r="AN6" s="436">
        <v>31</v>
      </c>
      <c r="AO6" s="466"/>
    </row>
    <row r="7" spans="2:41" s="4" customFormat="1" ht="24" customHeight="1" x14ac:dyDescent="0.2">
      <c r="B7" s="422"/>
      <c r="C7" s="423"/>
      <c r="D7" s="424" t="str">
        <f>IF(ISBLANK(C7), "",
_xlfn.WEBSERVICE(
"https://d16nxf5gxyt1xz.cloudfront.net/Prod/translation?id="
&amp;アカウント情報!$C$2&amp;
"&amp;pwd="
&amp;アカウント情報!$C$3&amp;
"&amp;item="
&amp;_xlfn.ENCODEURL(設定!$F$3)&amp;
"&amp;word="
&amp;_xlfn.ENCODEURL(C7)
)
)</f>
        <v/>
      </c>
      <c r="E7" s="425"/>
      <c r="F7" s="426" t="str">
        <f>IFERROR(VLOOKUP($E7,設定!$C:$F,2,0),"")</f>
        <v/>
      </c>
      <c r="G7" s="427" t="str">
        <f>IFERROR(VLOOKUP($E7,設定!$C:$F,3,0),"")</f>
        <v/>
      </c>
      <c r="H7" s="428" t="str">
        <f>IFERROR(VLOOKUP($E7,設定!$C:$F,4,0),"")</f>
        <v/>
      </c>
      <c r="I7" s="429"/>
      <c r="J7" s="430"/>
      <c r="K7" s="431"/>
      <c r="L7" s="431"/>
      <c r="M7" s="431"/>
      <c r="N7" s="431"/>
      <c r="O7" s="431"/>
      <c r="P7" s="431"/>
      <c r="Q7" s="431"/>
      <c r="R7" s="431"/>
      <c r="S7" s="431"/>
      <c r="T7" s="431"/>
      <c r="U7" s="431"/>
      <c r="V7" s="431"/>
      <c r="W7" s="431"/>
      <c r="X7" s="431"/>
      <c r="Y7" s="431"/>
      <c r="Z7" s="431"/>
      <c r="AA7" s="431"/>
      <c r="AB7" s="431"/>
      <c r="AC7" s="431"/>
      <c r="AD7" s="431"/>
      <c r="AE7" s="431"/>
      <c r="AF7" s="431"/>
      <c r="AG7" s="431"/>
      <c r="AH7" s="431"/>
      <c r="AI7" s="431"/>
      <c r="AJ7" s="431"/>
      <c r="AK7" s="431"/>
      <c r="AL7" s="431"/>
      <c r="AM7" s="431"/>
      <c r="AN7" s="432"/>
      <c r="AO7" s="433">
        <f t="shared" ref="AO7:AO53" si="0">I7*SUM(J7:AN7)</f>
        <v>0</v>
      </c>
    </row>
    <row r="8" spans="2:41" s="4" customFormat="1" ht="24" customHeight="1" x14ac:dyDescent="0.2">
      <c r="B8" s="14"/>
      <c r="C8" s="23"/>
      <c r="D8" s="21" t="str">
        <f>IF(ISBLANK(C8), "",
_xlfn.WEBSERVICE(
"https://d16nxf5gxyt1xz.cloudfront.net/Prod/translation?id="
&amp;アカウント情報!$C$2&amp;
"&amp;pwd="
&amp;アカウント情報!$C$3&amp;
"&amp;item="
&amp;_xlfn.ENCODEURL(設定!$F$3)&amp;
"&amp;word="
&amp;_xlfn.ENCODEURL(C8)
)
)</f>
        <v/>
      </c>
      <c r="E8" s="6"/>
      <c r="F8" s="16" t="str">
        <f>IFERROR(VLOOKUP($E8,設定!$C:$F,2,0),"")</f>
        <v/>
      </c>
      <c r="G8" s="156" t="str">
        <f>IFERROR(VLOOKUP($E8,設定!$C:$F,3,0),"")</f>
        <v/>
      </c>
      <c r="H8" s="131" t="str">
        <f>IFERROR(VLOOKUP($E8,設定!$C:$F,4,0),"")</f>
        <v/>
      </c>
      <c r="I8" s="402"/>
      <c r="J8" s="8"/>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10"/>
      <c r="AO8" s="65">
        <f t="shared" ref="AO8" si="1">I8*SUM(J8:AN8)</f>
        <v>0</v>
      </c>
    </row>
    <row r="9" spans="2:41" s="4" customFormat="1" ht="24" customHeight="1" x14ac:dyDescent="0.2">
      <c r="B9" s="14"/>
      <c r="C9" s="23"/>
      <c r="D9" s="21" t="str">
        <f>IF(ISBLANK(C9), "",
_xlfn.WEBSERVICE(
"https://d16nxf5gxyt1xz.cloudfront.net/Prod/translation?id="
&amp;アカウント情報!$C$2&amp;
"&amp;pwd="
&amp;アカウント情報!$C$3&amp;
"&amp;item="
&amp;_xlfn.ENCODEURL(設定!$F$3)&amp;
"&amp;word="
&amp;_xlfn.ENCODEURL(C9)
)
)</f>
        <v/>
      </c>
      <c r="E9" s="6"/>
      <c r="F9" s="16" t="str">
        <f>IFERROR(VLOOKUP($E9,設定!$C:$F,2,0),"")</f>
        <v/>
      </c>
      <c r="G9" s="156" t="str">
        <f>IFERROR(VLOOKUP($E9,設定!$C:$F,3,0),"")</f>
        <v/>
      </c>
      <c r="H9" s="131" t="str">
        <f>IFERROR(VLOOKUP($E9,設定!$C:$F,4,0),"")</f>
        <v/>
      </c>
      <c r="I9" s="402"/>
      <c r="J9" s="8"/>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10"/>
      <c r="AO9" s="65">
        <f>I9*SUM(J9:AN9)</f>
        <v>0</v>
      </c>
    </row>
    <row r="10" spans="2:41" s="4" customFormat="1" ht="24" customHeight="1" x14ac:dyDescent="0.2">
      <c r="B10" s="14"/>
      <c r="C10" s="23"/>
      <c r="D10" s="21" t="str">
        <f>IF(ISBLANK(C10), "",
_xlfn.WEBSERVICE(
"https://d16nxf5gxyt1xz.cloudfront.net/Prod/translation?id="
&amp;アカウント情報!$C$2&amp;
"&amp;pwd="
&amp;アカウント情報!$C$3&amp;
"&amp;item="
&amp;_xlfn.ENCODEURL(設定!$F$3)&amp;
"&amp;word="
&amp;_xlfn.ENCODEURL(C10)
)
)</f>
        <v/>
      </c>
      <c r="E10" s="6"/>
      <c r="F10" s="16" t="str">
        <f>IFERROR(VLOOKUP($E10,設定!$C:$F,2,0),"")</f>
        <v/>
      </c>
      <c r="G10" s="156" t="str">
        <f>IFERROR(VLOOKUP($E10,設定!$C:$F,3,0),"")</f>
        <v/>
      </c>
      <c r="H10" s="131" t="str">
        <f>IFERROR(VLOOKUP($E10,設定!$C:$F,4,0),"")</f>
        <v/>
      </c>
      <c r="I10" s="402"/>
      <c r="J10" s="8"/>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10"/>
      <c r="AO10" s="65">
        <f t="shared" ref="AO10" si="2">I10*SUM(J10:AN10)</f>
        <v>0</v>
      </c>
    </row>
    <row r="11" spans="2:41" s="4" customFormat="1" ht="24" customHeight="1" x14ac:dyDescent="0.2">
      <c r="B11" s="14"/>
      <c r="C11" s="23"/>
      <c r="D11" s="21" t="str">
        <f>IF(ISBLANK(C11), "",
_xlfn.WEBSERVICE(
"https://d16nxf5gxyt1xz.cloudfront.net/Prod/translation?id="
&amp;アカウント情報!$C$2&amp;
"&amp;pwd="
&amp;アカウント情報!$C$3&amp;
"&amp;item="
&amp;_xlfn.ENCODEURL(設定!$F$3)&amp;
"&amp;word="
&amp;_xlfn.ENCODEURL(C11)
)
)</f>
        <v/>
      </c>
      <c r="E11" s="6"/>
      <c r="F11" s="16" t="str">
        <f>IFERROR(VLOOKUP($E11,設定!$C:$F,2,0),"")</f>
        <v/>
      </c>
      <c r="G11" s="156" t="str">
        <f>IFERROR(VLOOKUP($E11,設定!$C:$F,3,0),"")</f>
        <v/>
      </c>
      <c r="H11" s="131" t="str">
        <f>IFERROR(VLOOKUP($E11,設定!$C:$F,4,0),"")</f>
        <v/>
      </c>
      <c r="I11" s="402"/>
      <c r="J11" s="8"/>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10"/>
      <c r="AO11" s="65">
        <f t="shared" si="0"/>
        <v>0</v>
      </c>
    </row>
    <row r="12" spans="2:41" s="4" customFormat="1" ht="24" customHeight="1" x14ac:dyDescent="0.2">
      <c r="B12" s="14"/>
      <c r="C12" s="23"/>
      <c r="D12" s="21" t="str">
        <f>IF(ISBLANK(C12), "",
_xlfn.WEBSERVICE(
"https://d16nxf5gxyt1xz.cloudfront.net/Prod/translation?id="
&amp;アカウント情報!$C$2&amp;
"&amp;pwd="
&amp;アカウント情報!$C$3&amp;
"&amp;item="
&amp;_xlfn.ENCODEURL(設定!$F$3)&amp;
"&amp;word="
&amp;_xlfn.ENCODEURL(C12)
)
)</f>
        <v/>
      </c>
      <c r="E12" s="6"/>
      <c r="F12" s="16" t="str">
        <f>IFERROR(VLOOKUP($E12,設定!$C:$F,2,0),"")</f>
        <v/>
      </c>
      <c r="G12" s="156" t="str">
        <f>IFERROR(VLOOKUP($E12,設定!$C:$F,3,0),"")</f>
        <v/>
      </c>
      <c r="H12" s="131" t="str">
        <f>IFERROR(VLOOKUP($E12,設定!$C:$F,4,0),"")</f>
        <v/>
      </c>
      <c r="I12" s="402"/>
      <c r="J12" s="8"/>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10"/>
      <c r="AO12" s="65">
        <f t="shared" si="0"/>
        <v>0</v>
      </c>
    </row>
    <row r="13" spans="2:41" s="4" customFormat="1" ht="24" customHeight="1" x14ac:dyDescent="0.2">
      <c r="B13" s="14"/>
      <c r="C13" s="23"/>
      <c r="D13" s="21" t="str">
        <f>IF(ISBLANK(C13), "",
_xlfn.WEBSERVICE(
"https://d16nxf5gxyt1xz.cloudfront.net/Prod/translation?id="
&amp;アカウント情報!$C$2&amp;
"&amp;pwd="
&amp;アカウント情報!$C$3&amp;
"&amp;item="
&amp;_xlfn.ENCODEURL(設定!$F$3)&amp;
"&amp;word="
&amp;_xlfn.ENCODEURL(C13)
)
)</f>
        <v/>
      </c>
      <c r="E13" s="6"/>
      <c r="F13" s="16" t="str">
        <f>IFERROR(VLOOKUP($E13,設定!$C:$F,2,0),"")</f>
        <v/>
      </c>
      <c r="G13" s="156" t="str">
        <f>IFERROR(VLOOKUP($E13,設定!$C:$F,3,0),"")</f>
        <v/>
      </c>
      <c r="H13" s="131" t="str">
        <f>IFERROR(VLOOKUP($E13,設定!$C:$F,4,0),"")</f>
        <v/>
      </c>
      <c r="I13" s="402"/>
      <c r="J13" s="8"/>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10"/>
      <c r="AO13" s="65">
        <f t="shared" si="0"/>
        <v>0</v>
      </c>
    </row>
    <row r="14" spans="2:41" s="4" customFormat="1" ht="24" customHeight="1" x14ac:dyDescent="0.2">
      <c r="B14" s="14"/>
      <c r="C14" s="23"/>
      <c r="D14" s="21" t="str">
        <f>IF(ISBLANK(C14), "",
_xlfn.WEBSERVICE(
"https://d16nxf5gxyt1xz.cloudfront.net/Prod/translation?id="
&amp;アカウント情報!$C$2&amp;
"&amp;pwd="
&amp;アカウント情報!$C$3&amp;
"&amp;item="
&amp;_xlfn.ENCODEURL(設定!$F$3)&amp;
"&amp;word="
&amp;_xlfn.ENCODEURL(C14)
)
)</f>
        <v/>
      </c>
      <c r="E14" s="6"/>
      <c r="F14" s="16" t="str">
        <f>IFERROR(VLOOKUP($E14,設定!$C:$F,2,0),"")</f>
        <v/>
      </c>
      <c r="G14" s="156" t="str">
        <f>IFERROR(VLOOKUP($E14,設定!$C:$F,3,0),"")</f>
        <v/>
      </c>
      <c r="H14" s="131" t="str">
        <f>IFERROR(VLOOKUP($E14,設定!$C:$F,4,0),"")</f>
        <v/>
      </c>
      <c r="I14" s="402"/>
      <c r="J14" s="8"/>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10"/>
      <c r="AO14" s="65">
        <f t="shared" ref="AO14:AO15" si="3">I14*SUM(J14:AN14)</f>
        <v>0</v>
      </c>
    </row>
    <row r="15" spans="2:41" s="4" customFormat="1" ht="24" customHeight="1" x14ac:dyDescent="0.2">
      <c r="B15" s="14"/>
      <c r="C15" s="23"/>
      <c r="D15" s="21" t="str">
        <f>IF(ISBLANK(C15), "",
_xlfn.WEBSERVICE(
"https://d16nxf5gxyt1xz.cloudfront.net/Prod/translation?id="
&amp;アカウント情報!$C$2&amp;
"&amp;pwd="
&amp;アカウント情報!$C$3&amp;
"&amp;item="
&amp;_xlfn.ENCODEURL(設定!$F$3)&amp;
"&amp;word="
&amp;_xlfn.ENCODEURL(C15)
)
)</f>
        <v/>
      </c>
      <c r="E15" s="6"/>
      <c r="F15" s="16" t="str">
        <f>IFERROR(VLOOKUP($E15,設定!$C:$F,2,0),"")</f>
        <v/>
      </c>
      <c r="G15" s="156" t="str">
        <f>IFERROR(VLOOKUP($E15,設定!$C:$F,3,0),"")</f>
        <v/>
      </c>
      <c r="H15" s="131" t="str">
        <f>IFERROR(VLOOKUP($E15,設定!$C:$F,4,0),"")</f>
        <v/>
      </c>
      <c r="I15" s="402"/>
      <c r="J15" s="8"/>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10"/>
      <c r="AO15" s="65">
        <f t="shared" si="3"/>
        <v>0</v>
      </c>
    </row>
    <row r="16" spans="2:41" s="4" customFormat="1" ht="24" customHeight="1" x14ac:dyDescent="0.2">
      <c r="B16" s="14"/>
      <c r="C16" s="23"/>
      <c r="D16" s="21" t="str">
        <f>IF(ISBLANK(C16), "",
_xlfn.WEBSERVICE(
"https://d16nxf5gxyt1xz.cloudfront.net/Prod/translation?id="
&amp;アカウント情報!$C$2&amp;
"&amp;pwd="
&amp;アカウント情報!$C$3&amp;
"&amp;item="
&amp;_xlfn.ENCODEURL(設定!$F$3)&amp;
"&amp;word="
&amp;_xlfn.ENCODEURL(C16)
)
)</f>
        <v/>
      </c>
      <c r="E16" s="6"/>
      <c r="F16" s="16" t="str">
        <f>IFERROR(VLOOKUP($E16,設定!$C:$F,2,0),"")</f>
        <v/>
      </c>
      <c r="G16" s="156" t="str">
        <f>IFERROR(VLOOKUP($E16,設定!$C:$F,3,0),"")</f>
        <v/>
      </c>
      <c r="H16" s="131" t="str">
        <f>IFERROR(VLOOKUP($E16,設定!$C:$F,4,0),"")</f>
        <v/>
      </c>
      <c r="I16" s="402"/>
      <c r="J16" s="8"/>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10"/>
      <c r="AO16" s="65">
        <f t="shared" si="0"/>
        <v>0</v>
      </c>
    </row>
    <row r="17" spans="2:41" s="4" customFormat="1" ht="24" customHeight="1" x14ac:dyDescent="0.2">
      <c r="B17" s="14"/>
      <c r="C17" s="23"/>
      <c r="D17" s="21" t="str">
        <f>IF(ISBLANK(C17), "",
_xlfn.WEBSERVICE(
"https://d16nxf5gxyt1xz.cloudfront.net/Prod/translation?id="
&amp;アカウント情報!$C$2&amp;
"&amp;pwd="
&amp;アカウント情報!$C$3&amp;
"&amp;item="
&amp;_xlfn.ENCODEURL(設定!$F$3)&amp;
"&amp;word="
&amp;_xlfn.ENCODEURL(C17)
)
)</f>
        <v/>
      </c>
      <c r="E17" s="6"/>
      <c r="F17" s="16" t="str">
        <f>IFERROR(VLOOKUP($E17,設定!$C:$F,2,0),"")</f>
        <v/>
      </c>
      <c r="G17" s="156" t="str">
        <f>IFERROR(VLOOKUP($E17,設定!$C:$F,3,0),"")</f>
        <v/>
      </c>
      <c r="H17" s="131" t="str">
        <f>IFERROR(VLOOKUP($E17,設定!$C:$F,4,0),"")</f>
        <v/>
      </c>
      <c r="I17" s="402"/>
      <c r="J17" s="8"/>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10"/>
      <c r="AO17" s="65">
        <f t="shared" ref="AO17" si="4">I17*SUM(J17:AN17)</f>
        <v>0</v>
      </c>
    </row>
    <row r="18" spans="2:41" s="4" customFormat="1" ht="24" customHeight="1" x14ac:dyDescent="0.2">
      <c r="B18" s="14"/>
      <c r="C18" s="23"/>
      <c r="D18" s="21" t="str">
        <f>IF(ISBLANK(C18), "",
_xlfn.WEBSERVICE(
"https://d16nxf5gxyt1xz.cloudfront.net/Prod/translation?id="
&amp;アカウント情報!$C$2&amp;
"&amp;pwd="
&amp;アカウント情報!$C$3&amp;
"&amp;item="
&amp;_xlfn.ENCODEURL(設定!$F$3)&amp;
"&amp;word="
&amp;_xlfn.ENCODEURL(C18)
)
)</f>
        <v/>
      </c>
      <c r="E18" s="6"/>
      <c r="F18" s="16" t="str">
        <f>IFERROR(VLOOKUP($E18,設定!$C:$F,2,0),"")</f>
        <v/>
      </c>
      <c r="G18" s="156" t="str">
        <f>IFERROR(VLOOKUP($E18,設定!$C:$F,3,0),"")</f>
        <v/>
      </c>
      <c r="H18" s="131" t="str">
        <f>IFERROR(VLOOKUP($E18,設定!$C:$F,4,0),"")</f>
        <v/>
      </c>
      <c r="I18" s="402"/>
      <c r="J18" s="8"/>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10"/>
      <c r="AO18" s="65">
        <f t="shared" si="0"/>
        <v>0</v>
      </c>
    </row>
    <row r="19" spans="2:41" s="4" customFormat="1" ht="24" customHeight="1" x14ac:dyDescent="0.2">
      <c r="B19" s="14"/>
      <c r="C19" s="23"/>
      <c r="D19" s="21" t="str">
        <f>IF(ISBLANK(C19), "",
_xlfn.WEBSERVICE(
"https://d16nxf5gxyt1xz.cloudfront.net/Prod/translation?id="
&amp;アカウント情報!$C$2&amp;
"&amp;pwd="
&amp;アカウント情報!$C$3&amp;
"&amp;item="
&amp;_xlfn.ENCODEURL(設定!$F$3)&amp;
"&amp;word="
&amp;_xlfn.ENCODEURL(C19)
)
)</f>
        <v/>
      </c>
      <c r="E19" s="6"/>
      <c r="F19" s="16" t="str">
        <f>IFERROR(VLOOKUP($E19,設定!$C:$F,2,0),"")</f>
        <v/>
      </c>
      <c r="G19" s="156" t="str">
        <f>IFERROR(VLOOKUP($E19,設定!$C:$F,3,0),"")</f>
        <v/>
      </c>
      <c r="H19" s="131" t="str">
        <f>IFERROR(VLOOKUP($E19,設定!$C:$F,4,0),"")</f>
        <v/>
      </c>
      <c r="I19" s="402"/>
      <c r="J19" s="8"/>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10"/>
      <c r="AO19" s="65">
        <f t="shared" si="0"/>
        <v>0</v>
      </c>
    </row>
    <row r="20" spans="2:41" s="4" customFormat="1" ht="24" customHeight="1" x14ac:dyDescent="0.2">
      <c r="B20" s="14"/>
      <c r="C20" s="23"/>
      <c r="D20" s="21" t="str">
        <f>IF(ISBLANK(C20), "",
_xlfn.WEBSERVICE(
"https://d16nxf5gxyt1xz.cloudfront.net/Prod/translation?id="
&amp;アカウント情報!$C$2&amp;
"&amp;pwd="
&amp;アカウント情報!$C$3&amp;
"&amp;item="
&amp;_xlfn.ENCODEURL(設定!$F$3)&amp;
"&amp;word="
&amp;_xlfn.ENCODEURL(C20)
)
)</f>
        <v/>
      </c>
      <c r="E20" s="6"/>
      <c r="F20" s="16" t="str">
        <f>IFERROR(VLOOKUP($E20,設定!$C:$F,2,0),"")</f>
        <v/>
      </c>
      <c r="G20" s="156" t="str">
        <f>IFERROR(VLOOKUP($E20,設定!$C:$F,3,0),"")</f>
        <v/>
      </c>
      <c r="H20" s="131" t="str">
        <f>IFERROR(VLOOKUP($E20,設定!$C:$F,4,0),"")</f>
        <v/>
      </c>
      <c r="I20" s="402"/>
      <c r="J20" s="8"/>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10"/>
      <c r="AO20" s="65">
        <f t="shared" si="0"/>
        <v>0</v>
      </c>
    </row>
    <row r="21" spans="2:41" s="4" customFormat="1" ht="24" customHeight="1" x14ac:dyDescent="0.2">
      <c r="B21" s="14"/>
      <c r="C21" s="23"/>
      <c r="D21" s="21" t="str">
        <f>IF(ISBLANK(C21), "",
_xlfn.WEBSERVICE(
"https://d16nxf5gxyt1xz.cloudfront.net/Prod/translation?id="
&amp;アカウント情報!$C$2&amp;
"&amp;pwd="
&amp;アカウント情報!$C$3&amp;
"&amp;item="
&amp;_xlfn.ENCODEURL(設定!$F$3)&amp;
"&amp;word="
&amp;_xlfn.ENCODEURL(C21)
)
)</f>
        <v/>
      </c>
      <c r="E21" s="6"/>
      <c r="F21" s="16" t="str">
        <f>IFERROR(VLOOKUP($E21,設定!$C:$F,2,0),"")</f>
        <v/>
      </c>
      <c r="G21" s="156" t="str">
        <f>IFERROR(VLOOKUP($E21,設定!$C:$F,3,0),"")</f>
        <v/>
      </c>
      <c r="H21" s="131" t="str">
        <f>IFERROR(VLOOKUP($E21,設定!$C:$F,4,0),"")</f>
        <v/>
      </c>
      <c r="I21" s="402"/>
      <c r="J21" s="8"/>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10"/>
      <c r="AO21" s="65">
        <f t="shared" si="0"/>
        <v>0</v>
      </c>
    </row>
    <row r="22" spans="2:41" s="4" customFormat="1" ht="24" customHeight="1" x14ac:dyDescent="0.2">
      <c r="B22" s="14"/>
      <c r="C22" s="23"/>
      <c r="D22" s="21" t="str">
        <f>IF(ISBLANK(C22), "",
_xlfn.WEBSERVICE(
"https://d16nxf5gxyt1xz.cloudfront.net/Prod/translation?id="
&amp;アカウント情報!$C$2&amp;
"&amp;pwd="
&amp;アカウント情報!$C$3&amp;
"&amp;item="
&amp;_xlfn.ENCODEURL(設定!$F$3)&amp;
"&amp;word="
&amp;_xlfn.ENCODEURL(C22)
)
)</f>
        <v/>
      </c>
      <c r="E22" s="6"/>
      <c r="F22" s="16" t="str">
        <f>IFERROR(VLOOKUP($E22,設定!$C:$F,2,0),"")</f>
        <v/>
      </c>
      <c r="G22" s="156" t="str">
        <f>IFERROR(VLOOKUP($E22,設定!$C:$F,3,0),"")</f>
        <v/>
      </c>
      <c r="H22" s="131" t="str">
        <f>IFERROR(VLOOKUP($E22,設定!$C:$F,4,0),"")</f>
        <v/>
      </c>
      <c r="I22" s="402"/>
      <c r="J22" s="8"/>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10"/>
      <c r="AO22" s="65">
        <f t="shared" si="0"/>
        <v>0</v>
      </c>
    </row>
    <row r="23" spans="2:41" s="4" customFormat="1" ht="24" customHeight="1" x14ac:dyDescent="0.2">
      <c r="B23" s="14"/>
      <c r="C23" s="23"/>
      <c r="D23" s="21" t="str">
        <f>IF(ISBLANK(C23), "",
_xlfn.WEBSERVICE(
"https://d16nxf5gxyt1xz.cloudfront.net/Prod/translation?id="
&amp;アカウント情報!$C$2&amp;
"&amp;pwd="
&amp;アカウント情報!$C$3&amp;
"&amp;item="
&amp;_xlfn.ENCODEURL(設定!$F$3)&amp;
"&amp;word="
&amp;_xlfn.ENCODEURL(C23)
)
)</f>
        <v/>
      </c>
      <c r="E23" s="6"/>
      <c r="F23" s="16" t="str">
        <f>IFERROR(VLOOKUP($E23,設定!$C:$F,2,0),"")</f>
        <v/>
      </c>
      <c r="G23" s="156" t="str">
        <f>IFERROR(VLOOKUP($E23,設定!$C:$F,3,0),"")</f>
        <v/>
      </c>
      <c r="H23" s="131" t="str">
        <f>IFERROR(VLOOKUP($E23,設定!$C:$F,4,0),"")</f>
        <v/>
      </c>
      <c r="I23" s="402"/>
      <c r="J23" s="8"/>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10"/>
      <c r="AO23" s="65">
        <f t="shared" si="0"/>
        <v>0</v>
      </c>
    </row>
    <row r="24" spans="2:41" s="4" customFormat="1" ht="24" customHeight="1" x14ac:dyDescent="0.2">
      <c r="B24" s="14"/>
      <c r="C24" s="23"/>
      <c r="D24" s="21" t="str">
        <f>IF(ISBLANK(C24), "",
_xlfn.WEBSERVICE(
"https://d16nxf5gxyt1xz.cloudfront.net/Prod/translation?id="
&amp;アカウント情報!$C$2&amp;
"&amp;pwd="
&amp;アカウント情報!$C$3&amp;
"&amp;item="
&amp;_xlfn.ENCODEURL(設定!$F$3)&amp;
"&amp;word="
&amp;_xlfn.ENCODEURL(C24)
)
)</f>
        <v/>
      </c>
      <c r="E24" s="6"/>
      <c r="F24" s="16" t="str">
        <f>IFERROR(VLOOKUP($E24,設定!$C:$F,2,0),"")</f>
        <v/>
      </c>
      <c r="G24" s="156" t="str">
        <f>IFERROR(VLOOKUP($E24,設定!$C:$F,3,0),"")</f>
        <v/>
      </c>
      <c r="H24" s="131" t="str">
        <f>IFERROR(VLOOKUP($E24,設定!$C:$F,4,0),"")</f>
        <v/>
      </c>
      <c r="I24" s="402"/>
      <c r="J24" s="8"/>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10"/>
      <c r="AO24" s="65">
        <f t="shared" si="0"/>
        <v>0</v>
      </c>
    </row>
    <row r="25" spans="2:41" s="4" customFormat="1" ht="24" customHeight="1" x14ac:dyDescent="0.2">
      <c r="B25" s="14"/>
      <c r="C25" s="23"/>
      <c r="D25" s="21" t="str">
        <f>IF(ISBLANK(C25), "",
_xlfn.WEBSERVICE(
"https://d16nxf5gxyt1xz.cloudfront.net/Prod/translation?id="
&amp;アカウント情報!$C$2&amp;
"&amp;pwd="
&amp;アカウント情報!$C$3&amp;
"&amp;item="
&amp;_xlfn.ENCODEURL(設定!$F$3)&amp;
"&amp;word="
&amp;_xlfn.ENCODEURL(C25)
)
)</f>
        <v/>
      </c>
      <c r="E25" s="6"/>
      <c r="F25" s="16" t="str">
        <f>IFERROR(VLOOKUP($E25,設定!$C:$F,2,0),"")</f>
        <v/>
      </c>
      <c r="G25" s="156" t="str">
        <f>IFERROR(VLOOKUP($E25,設定!$C:$F,3,0),"")</f>
        <v/>
      </c>
      <c r="H25" s="131" t="str">
        <f>IFERROR(VLOOKUP($E25,設定!$C:$F,4,0),"")</f>
        <v/>
      </c>
      <c r="I25" s="402"/>
      <c r="J25" s="8"/>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10"/>
      <c r="AO25" s="65">
        <f t="shared" si="0"/>
        <v>0</v>
      </c>
    </row>
    <row r="26" spans="2:41" s="4" customFormat="1" ht="24" customHeight="1" x14ac:dyDescent="0.2">
      <c r="B26" s="14"/>
      <c r="C26" s="23"/>
      <c r="D26" s="21" t="str">
        <f>IF(ISBLANK(C26), "",
_xlfn.WEBSERVICE(
"https://d16nxf5gxyt1xz.cloudfront.net/Prod/translation?id="
&amp;アカウント情報!$C$2&amp;
"&amp;pwd="
&amp;アカウント情報!$C$3&amp;
"&amp;item="
&amp;_xlfn.ENCODEURL(設定!$F$3)&amp;
"&amp;word="
&amp;_xlfn.ENCODEURL(C26)
)
)</f>
        <v/>
      </c>
      <c r="E26" s="6"/>
      <c r="F26" s="16" t="str">
        <f>IFERROR(VLOOKUP($E26,設定!$C:$F,2,0),"")</f>
        <v/>
      </c>
      <c r="G26" s="156" t="str">
        <f>IFERROR(VLOOKUP($E26,設定!$C:$F,3,0),"")</f>
        <v/>
      </c>
      <c r="H26" s="131" t="str">
        <f>IFERROR(VLOOKUP($E26,設定!$C:$F,4,0),"")</f>
        <v/>
      </c>
      <c r="I26" s="402"/>
      <c r="J26" s="8"/>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10"/>
      <c r="AO26" s="65">
        <f t="shared" si="0"/>
        <v>0</v>
      </c>
    </row>
    <row r="27" spans="2:41" s="4" customFormat="1" ht="24" customHeight="1" x14ac:dyDescent="0.2">
      <c r="B27" s="14"/>
      <c r="C27" s="23"/>
      <c r="D27" s="21" t="str">
        <f>IF(ISBLANK(C27), "",
_xlfn.WEBSERVICE(
"https://d16nxf5gxyt1xz.cloudfront.net/Prod/translation?id="
&amp;アカウント情報!$C$2&amp;
"&amp;pwd="
&amp;アカウント情報!$C$3&amp;
"&amp;item="
&amp;_xlfn.ENCODEURL(設定!$F$3)&amp;
"&amp;word="
&amp;_xlfn.ENCODEURL(C27)
)
)</f>
        <v/>
      </c>
      <c r="E27" s="6"/>
      <c r="F27" s="16" t="str">
        <f>IFERROR(VLOOKUP($E27,設定!$C:$F,2,0),"")</f>
        <v/>
      </c>
      <c r="G27" s="156" t="str">
        <f>IFERROR(VLOOKUP($E27,設定!$C:$F,3,0),"")</f>
        <v/>
      </c>
      <c r="H27" s="131" t="str">
        <f>IFERROR(VLOOKUP($E27,設定!$C:$F,4,0),"")</f>
        <v/>
      </c>
      <c r="I27" s="402"/>
      <c r="J27" s="8"/>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10"/>
      <c r="AO27" s="65">
        <f t="shared" si="0"/>
        <v>0</v>
      </c>
    </row>
    <row r="28" spans="2:41" s="4" customFormat="1" ht="24" customHeight="1" x14ac:dyDescent="0.2">
      <c r="B28" s="14"/>
      <c r="C28" s="23"/>
      <c r="D28" s="21" t="str">
        <f>IF(ISBLANK(C28), "",
_xlfn.WEBSERVICE(
"https://d16nxf5gxyt1xz.cloudfront.net/Prod/translation?id="
&amp;アカウント情報!$C$2&amp;
"&amp;pwd="
&amp;アカウント情報!$C$3&amp;
"&amp;item="
&amp;_xlfn.ENCODEURL(設定!$F$3)&amp;
"&amp;word="
&amp;_xlfn.ENCODEURL(C28)
)
)</f>
        <v/>
      </c>
      <c r="E28" s="6"/>
      <c r="F28" s="16" t="str">
        <f>IFERROR(VLOOKUP($E28,設定!$C:$F,2,0),"")</f>
        <v/>
      </c>
      <c r="G28" s="156" t="str">
        <f>IFERROR(VLOOKUP($E28,設定!$C:$F,3,0),"")</f>
        <v/>
      </c>
      <c r="H28" s="131" t="str">
        <f>IFERROR(VLOOKUP($E28,設定!$C:$F,4,0),"")</f>
        <v/>
      </c>
      <c r="I28" s="402"/>
      <c r="J28" s="8"/>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10"/>
      <c r="AO28" s="65">
        <f t="shared" si="0"/>
        <v>0</v>
      </c>
    </row>
    <row r="29" spans="2:41" s="4" customFormat="1" ht="24" customHeight="1" x14ac:dyDescent="0.2">
      <c r="B29" s="14"/>
      <c r="C29" s="23"/>
      <c r="D29" s="21" t="str">
        <f>IF(ISBLANK(C29), "",
_xlfn.WEBSERVICE(
"https://d16nxf5gxyt1xz.cloudfront.net/Prod/translation?id="
&amp;アカウント情報!$C$2&amp;
"&amp;pwd="
&amp;アカウント情報!$C$3&amp;
"&amp;item="
&amp;_xlfn.ENCODEURL(設定!$F$3)&amp;
"&amp;word="
&amp;_xlfn.ENCODEURL(C29)
)
)</f>
        <v/>
      </c>
      <c r="E29" s="6"/>
      <c r="F29" s="16" t="str">
        <f>IFERROR(VLOOKUP($E29,設定!$C:$F,2,0),"")</f>
        <v/>
      </c>
      <c r="G29" s="156" t="str">
        <f>IFERROR(VLOOKUP($E29,設定!$C:$F,3,0),"")</f>
        <v/>
      </c>
      <c r="H29" s="131" t="str">
        <f>IFERROR(VLOOKUP($E29,設定!$C:$F,4,0),"")</f>
        <v/>
      </c>
      <c r="I29" s="402"/>
      <c r="J29" s="8"/>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10"/>
      <c r="AO29" s="65">
        <f t="shared" si="0"/>
        <v>0</v>
      </c>
    </row>
    <row r="30" spans="2:41" s="4" customFormat="1" ht="24" customHeight="1" x14ac:dyDescent="0.2">
      <c r="B30" s="14"/>
      <c r="C30" s="23"/>
      <c r="D30" s="21" t="str">
        <f>IF(ISBLANK(C30), "",
_xlfn.WEBSERVICE(
"https://d16nxf5gxyt1xz.cloudfront.net/Prod/translation?id="
&amp;アカウント情報!$C$2&amp;
"&amp;pwd="
&amp;アカウント情報!$C$3&amp;
"&amp;item="
&amp;_xlfn.ENCODEURL(設定!$F$3)&amp;
"&amp;word="
&amp;_xlfn.ENCODEURL(C30)
)
)</f>
        <v/>
      </c>
      <c r="E30" s="6"/>
      <c r="F30" s="16" t="str">
        <f>IFERROR(VLOOKUP($E30,設定!$C:$F,2,0),"")</f>
        <v/>
      </c>
      <c r="G30" s="156" t="str">
        <f>IFERROR(VLOOKUP($E30,設定!$C:$F,3,0),"")</f>
        <v/>
      </c>
      <c r="H30" s="131" t="str">
        <f>IFERROR(VLOOKUP($E30,設定!$C:$F,4,0),"")</f>
        <v/>
      </c>
      <c r="I30" s="402"/>
      <c r="J30" s="8"/>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10"/>
      <c r="AO30" s="65">
        <f t="shared" si="0"/>
        <v>0</v>
      </c>
    </row>
    <row r="31" spans="2:41" s="4" customFormat="1" ht="24" customHeight="1" x14ac:dyDescent="0.2">
      <c r="B31" s="14"/>
      <c r="C31" s="23"/>
      <c r="D31" s="21" t="str">
        <f>IF(ISBLANK(C31), "",
_xlfn.WEBSERVICE(
"https://d16nxf5gxyt1xz.cloudfront.net/Prod/translation?id="
&amp;アカウント情報!$C$2&amp;
"&amp;pwd="
&amp;アカウント情報!$C$3&amp;
"&amp;item="
&amp;_xlfn.ENCODEURL(設定!$F$3)&amp;
"&amp;word="
&amp;_xlfn.ENCODEURL(C31)
)
)</f>
        <v/>
      </c>
      <c r="E31" s="6"/>
      <c r="F31" s="16" t="str">
        <f>IFERROR(VLOOKUP($E31,設定!$C:$F,2,0),"")</f>
        <v/>
      </c>
      <c r="G31" s="156" t="str">
        <f>IFERROR(VLOOKUP($E31,設定!$C:$F,3,0),"")</f>
        <v/>
      </c>
      <c r="H31" s="131" t="str">
        <f>IFERROR(VLOOKUP($E31,設定!$C:$F,4,0),"")</f>
        <v/>
      </c>
      <c r="I31" s="402"/>
      <c r="J31" s="8"/>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10"/>
      <c r="AO31" s="65">
        <f t="shared" si="0"/>
        <v>0</v>
      </c>
    </row>
    <row r="32" spans="2:41" s="4" customFormat="1" ht="24" customHeight="1" x14ac:dyDescent="0.2">
      <c r="B32" s="14"/>
      <c r="C32" s="23"/>
      <c r="D32" s="21" t="str">
        <f>IF(ISBLANK(C32), "",
_xlfn.WEBSERVICE(
"https://d16nxf5gxyt1xz.cloudfront.net/Prod/translation?id="
&amp;アカウント情報!$C$2&amp;
"&amp;pwd="
&amp;アカウント情報!$C$3&amp;
"&amp;item="
&amp;_xlfn.ENCODEURL(設定!$F$3)&amp;
"&amp;word="
&amp;_xlfn.ENCODEURL(C32)
)
)</f>
        <v/>
      </c>
      <c r="E32" s="6"/>
      <c r="F32" s="16" t="str">
        <f>IFERROR(VLOOKUP($E32,設定!$C:$F,2,0),"")</f>
        <v/>
      </c>
      <c r="G32" s="156" t="str">
        <f>IFERROR(VLOOKUP($E32,設定!$C:$F,3,0),"")</f>
        <v/>
      </c>
      <c r="H32" s="131" t="str">
        <f>IFERROR(VLOOKUP($E32,設定!$C:$F,4,0),"")</f>
        <v/>
      </c>
      <c r="I32" s="402"/>
      <c r="J32" s="8"/>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10"/>
      <c r="AO32" s="65">
        <f t="shared" si="0"/>
        <v>0</v>
      </c>
    </row>
    <row r="33" spans="2:41" s="4" customFormat="1" ht="24" customHeight="1" x14ac:dyDescent="0.2">
      <c r="B33" s="14"/>
      <c r="C33" s="23"/>
      <c r="D33" s="21" t="str">
        <f>IF(ISBLANK(C33), "",
_xlfn.WEBSERVICE(
"https://d16nxf5gxyt1xz.cloudfront.net/Prod/translation?id="
&amp;アカウント情報!$C$2&amp;
"&amp;pwd="
&amp;アカウント情報!$C$3&amp;
"&amp;item="
&amp;_xlfn.ENCODEURL(設定!$F$3)&amp;
"&amp;word="
&amp;_xlfn.ENCODEURL(C33)
)
)</f>
        <v/>
      </c>
      <c r="E33" s="6"/>
      <c r="F33" s="16" t="str">
        <f>IFERROR(VLOOKUP($E33,設定!$C:$F,2,0),"")</f>
        <v/>
      </c>
      <c r="G33" s="156" t="str">
        <f>IFERROR(VLOOKUP($E33,設定!$C:$F,3,0),"")</f>
        <v/>
      </c>
      <c r="H33" s="131" t="str">
        <f>IFERROR(VLOOKUP($E33,設定!$C:$F,4,0),"")</f>
        <v/>
      </c>
      <c r="I33" s="402"/>
      <c r="J33" s="8"/>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10"/>
      <c r="AO33" s="65">
        <f t="shared" si="0"/>
        <v>0</v>
      </c>
    </row>
    <row r="34" spans="2:41" s="4" customFormat="1" ht="24" customHeight="1" x14ac:dyDescent="0.2">
      <c r="B34" s="14"/>
      <c r="C34" s="23"/>
      <c r="D34" s="21" t="str">
        <f>IF(ISBLANK(C34), "",
_xlfn.WEBSERVICE(
"https://d16nxf5gxyt1xz.cloudfront.net/Prod/translation?id="
&amp;アカウント情報!$C$2&amp;
"&amp;pwd="
&amp;アカウント情報!$C$3&amp;
"&amp;item="
&amp;_xlfn.ENCODEURL(設定!$F$3)&amp;
"&amp;word="
&amp;_xlfn.ENCODEURL(C34)
)
)</f>
        <v/>
      </c>
      <c r="E34" s="6"/>
      <c r="F34" s="16" t="str">
        <f>IFERROR(VLOOKUP($E34,設定!$C:$F,2,0),"")</f>
        <v/>
      </c>
      <c r="G34" s="156" t="str">
        <f>IFERROR(VLOOKUP($E34,設定!$C:$F,3,0),"")</f>
        <v/>
      </c>
      <c r="H34" s="131" t="str">
        <f>IFERROR(VLOOKUP($E34,設定!$C:$F,4,0),"")</f>
        <v/>
      </c>
      <c r="I34" s="402"/>
      <c r="J34" s="8"/>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10"/>
      <c r="AO34" s="65">
        <f t="shared" si="0"/>
        <v>0</v>
      </c>
    </row>
    <row r="35" spans="2:41" s="4" customFormat="1" ht="24" customHeight="1" x14ac:dyDescent="0.2">
      <c r="B35" s="14"/>
      <c r="C35" s="23"/>
      <c r="D35" s="21" t="str">
        <f>IF(ISBLANK(C35), "",
_xlfn.WEBSERVICE(
"https://d16nxf5gxyt1xz.cloudfront.net/Prod/translation?id="
&amp;アカウント情報!$C$2&amp;
"&amp;pwd="
&amp;アカウント情報!$C$3&amp;
"&amp;item="
&amp;_xlfn.ENCODEURL(設定!$F$3)&amp;
"&amp;word="
&amp;_xlfn.ENCODEURL(C35)
)
)</f>
        <v/>
      </c>
      <c r="E35" s="6"/>
      <c r="F35" s="16" t="str">
        <f>IFERROR(VLOOKUP($E35,設定!$C:$F,2,0),"")</f>
        <v/>
      </c>
      <c r="G35" s="156" t="str">
        <f>IFERROR(VLOOKUP($E35,設定!$C:$F,3,0),"")</f>
        <v/>
      </c>
      <c r="H35" s="131" t="str">
        <f>IFERROR(VLOOKUP($E35,設定!$C:$F,4,0),"")</f>
        <v/>
      </c>
      <c r="I35" s="402"/>
      <c r="J35" s="8"/>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10"/>
      <c r="AO35" s="65">
        <f t="shared" si="0"/>
        <v>0</v>
      </c>
    </row>
    <row r="36" spans="2:41" s="4" customFormat="1" ht="24" customHeight="1" x14ac:dyDescent="0.2">
      <c r="B36" s="14"/>
      <c r="C36" s="23"/>
      <c r="D36" s="21" t="str">
        <f>IF(ISBLANK(C36), "",
_xlfn.WEBSERVICE(
"https://d16nxf5gxyt1xz.cloudfront.net/Prod/translation?id="
&amp;アカウント情報!$C$2&amp;
"&amp;pwd="
&amp;アカウント情報!$C$3&amp;
"&amp;item="
&amp;_xlfn.ENCODEURL(設定!$F$3)&amp;
"&amp;word="
&amp;_xlfn.ENCODEURL(C36)
)
)</f>
        <v/>
      </c>
      <c r="E36" s="6"/>
      <c r="F36" s="16" t="str">
        <f>IFERROR(VLOOKUP($E36,設定!$C:$F,2,0),"")</f>
        <v/>
      </c>
      <c r="G36" s="156" t="str">
        <f>IFERROR(VLOOKUP($E36,設定!$C:$F,3,0),"")</f>
        <v/>
      </c>
      <c r="H36" s="131" t="str">
        <f>IFERROR(VLOOKUP($E36,設定!$C:$F,4,0),"")</f>
        <v/>
      </c>
      <c r="I36" s="402"/>
      <c r="J36" s="8"/>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10"/>
      <c r="AO36" s="65">
        <f t="shared" si="0"/>
        <v>0</v>
      </c>
    </row>
    <row r="37" spans="2:41" s="4" customFormat="1" ht="24" customHeight="1" x14ac:dyDescent="0.2">
      <c r="B37" s="14"/>
      <c r="C37" s="23"/>
      <c r="D37" s="21" t="str">
        <f>IF(ISBLANK(C37), "",
_xlfn.WEBSERVICE(
"https://d16nxf5gxyt1xz.cloudfront.net/Prod/translation?id="
&amp;アカウント情報!$C$2&amp;
"&amp;pwd="
&amp;アカウント情報!$C$3&amp;
"&amp;item="
&amp;_xlfn.ENCODEURL(設定!$F$3)&amp;
"&amp;word="
&amp;_xlfn.ENCODEURL(C37)
)
)</f>
        <v/>
      </c>
      <c r="E37" s="6"/>
      <c r="F37" s="16" t="str">
        <f>IFERROR(VLOOKUP($E37,設定!$C:$F,2,0),"")</f>
        <v/>
      </c>
      <c r="G37" s="156" t="str">
        <f>IFERROR(VLOOKUP($E37,設定!$C:$F,3,0),"")</f>
        <v/>
      </c>
      <c r="H37" s="131" t="str">
        <f>IFERROR(VLOOKUP($E37,設定!$C:$F,4,0),"")</f>
        <v/>
      </c>
      <c r="I37" s="402"/>
      <c r="J37" s="8"/>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10"/>
      <c r="AO37" s="65">
        <f t="shared" si="0"/>
        <v>0</v>
      </c>
    </row>
    <row r="38" spans="2:41" s="4" customFormat="1" ht="24" customHeight="1" x14ac:dyDescent="0.2">
      <c r="B38" s="14"/>
      <c r="C38" s="23"/>
      <c r="D38" s="21" t="str">
        <f>IF(ISBLANK(C38), "",
_xlfn.WEBSERVICE(
"https://d16nxf5gxyt1xz.cloudfront.net/Prod/translation?id="
&amp;アカウント情報!$C$2&amp;
"&amp;pwd="
&amp;アカウント情報!$C$3&amp;
"&amp;item="
&amp;_xlfn.ENCODEURL(設定!$F$3)&amp;
"&amp;word="
&amp;_xlfn.ENCODEURL(C38)
)
)</f>
        <v/>
      </c>
      <c r="E38" s="6"/>
      <c r="F38" s="16" t="str">
        <f>IFERROR(VLOOKUP($E38,設定!$C:$F,2,0),"")</f>
        <v/>
      </c>
      <c r="G38" s="156" t="str">
        <f>IFERROR(VLOOKUP($E38,設定!$C:$F,3,0),"")</f>
        <v/>
      </c>
      <c r="H38" s="131" t="str">
        <f>IFERROR(VLOOKUP($E38,設定!$C:$F,4,0),"")</f>
        <v/>
      </c>
      <c r="I38" s="402"/>
      <c r="J38" s="8"/>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10"/>
      <c r="AO38" s="65">
        <f t="shared" si="0"/>
        <v>0</v>
      </c>
    </row>
    <row r="39" spans="2:41" s="4" customFormat="1" ht="24" customHeight="1" x14ac:dyDescent="0.2">
      <c r="B39" s="14"/>
      <c r="C39" s="23"/>
      <c r="D39" s="21" t="str">
        <f>IF(ISBLANK(C39), "",
_xlfn.WEBSERVICE(
"https://d16nxf5gxyt1xz.cloudfront.net/Prod/translation?id="
&amp;アカウント情報!$C$2&amp;
"&amp;pwd="
&amp;アカウント情報!$C$3&amp;
"&amp;item="
&amp;_xlfn.ENCODEURL(設定!$F$3)&amp;
"&amp;word="
&amp;_xlfn.ENCODEURL(C39)
)
)</f>
        <v/>
      </c>
      <c r="E39" s="6"/>
      <c r="F39" s="16" t="str">
        <f>IFERROR(VLOOKUP($E39,設定!$C:$F,2,0),"")</f>
        <v/>
      </c>
      <c r="G39" s="156" t="str">
        <f>IFERROR(VLOOKUP($E39,設定!$C:$F,3,0),"")</f>
        <v/>
      </c>
      <c r="H39" s="131" t="str">
        <f>IFERROR(VLOOKUP($E39,設定!$C:$F,4,0),"")</f>
        <v/>
      </c>
      <c r="I39" s="402"/>
      <c r="J39" s="8"/>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10"/>
      <c r="AO39" s="65">
        <f t="shared" si="0"/>
        <v>0</v>
      </c>
    </row>
    <row r="40" spans="2:41" s="4" customFormat="1" ht="24" customHeight="1" x14ac:dyDescent="0.2">
      <c r="B40" s="14"/>
      <c r="C40" s="23"/>
      <c r="D40" s="21" t="str">
        <f>IF(ISBLANK(C40), "",
_xlfn.WEBSERVICE(
"https://d16nxf5gxyt1xz.cloudfront.net/Prod/translation?id="
&amp;アカウント情報!$C$2&amp;
"&amp;pwd="
&amp;アカウント情報!$C$3&amp;
"&amp;item="
&amp;_xlfn.ENCODEURL(設定!$F$3)&amp;
"&amp;word="
&amp;_xlfn.ENCODEURL(C40)
)
)</f>
        <v/>
      </c>
      <c r="E40" s="6"/>
      <c r="F40" s="16" t="str">
        <f>IFERROR(VLOOKUP($E40,設定!$C:$F,2,0),"")</f>
        <v/>
      </c>
      <c r="G40" s="156" t="str">
        <f>IFERROR(VLOOKUP($E40,設定!$C:$F,3,0),"")</f>
        <v/>
      </c>
      <c r="H40" s="131" t="str">
        <f>IFERROR(VLOOKUP($E40,設定!$C:$F,4,0),"")</f>
        <v/>
      </c>
      <c r="I40" s="402"/>
      <c r="J40" s="8"/>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10"/>
      <c r="AO40" s="65">
        <f t="shared" si="0"/>
        <v>0</v>
      </c>
    </row>
    <row r="41" spans="2:41" s="4" customFormat="1" ht="24" customHeight="1" x14ac:dyDescent="0.2">
      <c r="B41" s="14"/>
      <c r="C41" s="23"/>
      <c r="D41" s="21" t="str">
        <f>IF(ISBLANK(C41), "",
_xlfn.WEBSERVICE(
"https://d16nxf5gxyt1xz.cloudfront.net/Prod/translation?id="
&amp;アカウント情報!$C$2&amp;
"&amp;pwd="
&amp;アカウント情報!$C$3&amp;
"&amp;item="
&amp;_xlfn.ENCODEURL(設定!$F$3)&amp;
"&amp;word="
&amp;_xlfn.ENCODEURL(C41)
)
)</f>
        <v/>
      </c>
      <c r="E41" s="6"/>
      <c r="F41" s="16" t="str">
        <f>IFERROR(VLOOKUP($E41,設定!$C:$F,2,0),"")</f>
        <v/>
      </c>
      <c r="G41" s="156" t="str">
        <f>IFERROR(VLOOKUP($E41,設定!$C:$F,3,0),"")</f>
        <v/>
      </c>
      <c r="H41" s="131" t="str">
        <f>IFERROR(VLOOKUP($E41,設定!$C:$F,4,0),"")</f>
        <v/>
      </c>
      <c r="I41" s="402"/>
      <c r="J41" s="8"/>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10"/>
      <c r="AO41" s="65">
        <f t="shared" si="0"/>
        <v>0</v>
      </c>
    </row>
    <row r="42" spans="2:41" s="4" customFormat="1" ht="24" customHeight="1" x14ac:dyDescent="0.2">
      <c r="B42" s="14"/>
      <c r="C42" s="23"/>
      <c r="D42" s="21" t="str">
        <f>IF(ISBLANK(C42), "",
_xlfn.WEBSERVICE(
"https://d16nxf5gxyt1xz.cloudfront.net/Prod/translation?id="
&amp;アカウント情報!$C$2&amp;
"&amp;pwd="
&amp;アカウント情報!$C$3&amp;
"&amp;item="
&amp;_xlfn.ENCODEURL(設定!$F$3)&amp;
"&amp;word="
&amp;_xlfn.ENCODEURL(C42)
)
)</f>
        <v/>
      </c>
      <c r="E42" s="6"/>
      <c r="F42" s="16" t="str">
        <f>IFERROR(VLOOKUP($E42,設定!$C:$F,2,0),"")</f>
        <v/>
      </c>
      <c r="G42" s="156" t="str">
        <f>IFERROR(VLOOKUP($E42,設定!$C:$F,3,0),"")</f>
        <v/>
      </c>
      <c r="H42" s="131" t="str">
        <f>IFERROR(VLOOKUP($E42,設定!$C:$F,4,0),"")</f>
        <v/>
      </c>
      <c r="I42" s="402"/>
      <c r="J42" s="8"/>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10"/>
      <c r="AO42" s="65">
        <f t="shared" si="0"/>
        <v>0</v>
      </c>
    </row>
    <row r="43" spans="2:41" s="4" customFormat="1" ht="24" customHeight="1" x14ac:dyDescent="0.2">
      <c r="B43" s="14"/>
      <c r="C43" s="23"/>
      <c r="D43" s="21" t="str">
        <f>IF(ISBLANK(C43), "",
_xlfn.WEBSERVICE(
"https://d16nxf5gxyt1xz.cloudfront.net/Prod/translation?id="
&amp;アカウント情報!$C$2&amp;
"&amp;pwd="
&amp;アカウント情報!$C$3&amp;
"&amp;item="
&amp;_xlfn.ENCODEURL(設定!$F$3)&amp;
"&amp;word="
&amp;_xlfn.ENCODEURL(C43)
)
)</f>
        <v/>
      </c>
      <c r="E43" s="6"/>
      <c r="F43" s="16" t="str">
        <f>IFERROR(VLOOKUP($E43,設定!$C:$F,2,0),"")</f>
        <v/>
      </c>
      <c r="G43" s="156" t="str">
        <f>IFERROR(VLOOKUP($E43,設定!$C:$F,3,0),"")</f>
        <v/>
      </c>
      <c r="H43" s="131" t="str">
        <f>IFERROR(VLOOKUP($E43,設定!$C:$F,4,0),"")</f>
        <v/>
      </c>
      <c r="I43" s="402"/>
      <c r="J43" s="8"/>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10"/>
      <c r="AO43" s="65">
        <f t="shared" si="0"/>
        <v>0</v>
      </c>
    </row>
    <row r="44" spans="2:41" s="4" customFormat="1" ht="24" customHeight="1" x14ac:dyDescent="0.2">
      <c r="B44" s="14"/>
      <c r="C44" s="23"/>
      <c r="D44" s="21" t="str">
        <f>IF(ISBLANK(C44), "",
_xlfn.WEBSERVICE(
"https://d16nxf5gxyt1xz.cloudfront.net/Prod/translation?id="
&amp;アカウント情報!$C$2&amp;
"&amp;pwd="
&amp;アカウント情報!$C$3&amp;
"&amp;item="
&amp;_xlfn.ENCODEURL(設定!$F$3)&amp;
"&amp;word="
&amp;_xlfn.ENCODEURL(C44)
)
)</f>
        <v/>
      </c>
      <c r="E44" s="6"/>
      <c r="F44" s="16" t="str">
        <f>IFERROR(VLOOKUP($E44,設定!$C:$F,2,0),"")</f>
        <v/>
      </c>
      <c r="G44" s="156" t="str">
        <f>IFERROR(VLOOKUP($E44,設定!$C:$F,3,0),"")</f>
        <v/>
      </c>
      <c r="H44" s="131" t="str">
        <f>IFERROR(VLOOKUP($E44,設定!$C:$F,4,0),"")</f>
        <v/>
      </c>
      <c r="I44" s="402"/>
      <c r="J44" s="8"/>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10"/>
      <c r="AO44" s="65">
        <f t="shared" si="0"/>
        <v>0</v>
      </c>
    </row>
    <row r="45" spans="2:41" s="4" customFormat="1" ht="24" customHeight="1" x14ac:dyDescent="0.2">
      <c r="B45" s="14"/>
      <c r="C45" s="23"/>
      <c r="D45" s="21" t="str">
        <f>IF(ISBLANK(C45), "",
_xlfn.WEBSERVICE(
"https://d16nxf5gxyt1xz.cloudfront.net/Prod/translation?id="
&amp;アカウント情報!$C$2&amp;
"&amp;pwd="
&amp;アカウント情報!$C$3&amp;
"&amp;item="
&amp;_xlfn.ENCODEURL(設定!$F$3)&amp;
"&amp;word="
&amp;_xlfn.ENCODEURL(C45)
)
)</f>
        <v/>
      </c>
      <c r="E45" s="6"/>
      <c r="F45" s="16" t="str">
        <f>IFERROR(VLOOKUP($E45,設定!$C:$F,2,0),"")</f>
        <v/>
      </c>
      <c r="G45" s="156" t="str">
        <f>IFERROR(VLOOKUP($E45,設定!$C:$F,3,0),"")</f>
        <v/>
      </c>
      <c r="H45" s="131" t="str">
        <f>IFERROR(VLOOKUP($E45,設定!$C:$F,4,0),"")</f>
        <v/>
      </c>
      <c r="I45" s="402"/>
      <c r="J45" s="8"/>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10"/>
      <c r="AO45" s="65">
        <f t="shared" si="0"/>
        <v>0</v>
      </c>
    </row>
    <row r="46" spans="2:41" s="4" customFormat="1" ht="24" customHeight="1" x14ac:dyDescent="0.2">
      <c r="B46" s="14"/>
      <c r="C46" s="23"/>
      <c r="D46" s="21" t="str">
        <f>IF(ISBLANK(C46), "",
_xlfn.WEBSERVICE(
"https://d16nxf5gxyt1xz.cloudfront.net/Prod/translation?id="
&amp;アカウント情報!$C$2&amp;
"&amp;pwd="
&amp;アカウント情報!$C$3&amp;
"&amp;item="
&amp;_xlfn.ENCODEURL(設定!$F$3)&amp;
"&amp;word="
&amp;_xlfn.ENCODEURL(C46)
)
)</f>
        <v/>
      </c>
      <c r="E46" s="6"/>
      <c r="F46" s="16" t="str">
        <f>IFERROR(VLOOKUP($E46,設定!$C:$F,2,0),"")</f>
        <v/>
      </c>
      <c r="G46" s="156" t="str">
        <f>IFERROR(VLOOKUP($E46,設定!$C:$F,3,0),"")</f>
        <v/>
      </c>
      <c r="H46" s="131" t="str">
        <f>IFERROR(VLOOKUP($E46,設定!$C:$F,4,0),"")</f>
        <v/>
      </c>
      <c r="I46" s="402"/>
      <c r="J46" s="8"/>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10"/>
      <c r="AO46" s="65">
        <f t="shared" si="0"/>
        <v>0</v>
      </c>
    </row>
    <row r="47" spans="2:41" s="4" customFormat="1" ht="24" customHeight="1" x14ac:dyDescent="0.2">
      <c r="B47" s="14"/>
      <c r="C47" s="23"/>
      <c r="D47" s="21" t="str">
        <f>IF(ISBLANK(C47), "",
_xlfn.WEBSERVICE(
"https://d16nxf5gxyt1xz.cloudfront.net/Prod/translation?id="
&amp;アカウント情報!$C$2&amp;
"&amp;pwd="
&amp;アカウント情報!$C$3&amp;
"&amp;item="
&amp;_xlfn.ENCODEURL(設定!$F$3)&amp;
"&amp;word="
&amp;_xlfn.ENCODEURL(C47)
)
)</f>
        <v/>
      </c>
      <c r="E47" s="6"/>
      <c r="F47" s="16" t="str">
        <f>IFERROR(VLOOKUP($E47,設定!$C:$F,2,0),"")</f>
        <v/>
      </c>
      <c r="G47" s="156" t="str">
        <f>IFERROR(VLOOKUP($E47,設定!$C:$F,3,0),"")</f>
        <v/>
      </c>
      <c r="H47" s="131" t="str">
        <f>IFERROR(VLOOKUP($E47,設定!$C:$F,4,0),"")</f>
        <v/>
      </c>
      <c r="I47" s="402"/>
      <c r="J47" s="8"/>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10"/>
      <c r="AO47" s="65">
        <f t="shared" si="0"/>
        <v>0</v>
      </c>
    </row>
    <row r="48" spans="2:41" s="4" customFormat="1" ht="24" customHeight="1" x14ac:dyDescent="0.2">
      <c r="B48" s="14"/>
      <c r="C48" s="23"/>
      <c r="D48" s="21" t="str">
        <f>IF(ISBLANK(C48), "",
_xlfn.WEBSERVICE(
"https://d16nxf5gxyt1xz.cloudfront.net/Prod/translation?id="
&amp;アカウント情報!$C$2&amp;
"&amp;pwd="
&amp;アカウント情報!$C$3&amp;
"&amp;item="
&amp;_xlfn.ENCODEURL(設定!$F$3)&amp;
"&amp;word="
&amp;_xlfn.ENCODEURL(C48)
)
)</f>
        <v/>
      </c>
      <c r="E48" s="6"/>
      <c r="F48" s="16" t="str">
        <f>IFERROR(VLOOKUP($E48,設定!$C:$F,2,0),"")</f>
        <v/>
      </c>
      <c r="G48" s="156" t="str">
        <f>IFERROR(VLOOKUP($E48,設定!$C:$F,3,0),"")</f>
        <v/>
      </c>
      <c r="H48" s="131" t="str">
        <f>IFERROR(VLOOKUP($E48,設定!$C:$F,4,0),"")</f>
        <v/>
      </c>
      <c r="I48" s="402"/>
      <c r="J48" s="8"/>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10"/>
      <c r="AO48" s="65">
        <f t="shared" si="0"/>
        <v>0</v>
      </c>
    </row>
    <row r="49" spans="2:41" s="4" customFormat="1" ht="24" customHeight="1" x14ac:dyDescent="0.2">
      <c r="B49" s="14"/>
      <c r="C49" s="23"/>
      <c r="D49" s="21" t="str">
        <f>IF(ISBLANK(C49), "",
_xlfn.WEBSERVICE(
"https://d16nxf5gxyt1xz.cloudfront.net/Prod/translation?id="
&amp;アカウント情報!$C$2&amp;
"&amp;pwd="
&amp;アカウント情報!$C$3&amp;
"&amp;item="
&amp;_xlfn.ENCODEURL(設定!$F$3)&amp;
"&amp;word="
&amp;_xlfn.ENCODEURL(C49)
)
)</f>
        <v/>
      </c>
      <c r="E49" s="6"/>
      <c r="F49" s="16" t="str">
        <f>IFERROR(VLOOKUP($E49,設定!$C:$F,2,0),"")</f>
        <v/>
      </c>
      <c r="G49" s="156" t="str">
        <f>IFERROR(VLOOKUP($E49,設定!$C:$F,3,0),"")</f>
        <v/>
      </c>
      <c r="H49" s="131" t="str">
        <f>IFERROR(VLOOKUP($E49,設定!$C:$F,4,0),"")</f>
        <v/>
      </c>
      <c r="I49" s="402"/>
      <c r="J49" s="8"/>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10"/>
      <c r="AO49" s="65">
        <f t="shared" si="0"/>
        <v>0</v>
      </c>
    </row>
    <row r="50" spans="2:41" s="4" customFormat="1" ht="24" customHeight="1" x14ac:dyDescent="0.2">
      <c r="B50" s="14"/>
      <c r="C50" s="23"/>
      <c r="D50" s="21" t="str">
        <f>IF(ISBLANK(C50), "",
_xlfn.WEBSERVICE(
"https://d16nxf5gxyt1xz.cloudfront.net/Prod/translation?id="
&amp;アカウント情報!$C$2&amp;
"&amp;pwd="
&amp;アカウント情報!$C$3&amp;
"&amp;item="
&amp;_xlfn.ENCODEURL(設定!$F$3)&amp;
"&amp;word="
&amp;_xlfn.ENCODEURL(C50)
)
)</f>
        <v/>
      </c>
      <c r="E50" s="6"/>
      <c r="F50" s="16" t="str">
        <f>IFERROR(VLOOKUP($E50,設定!$C:$F,2,0),"")</f>
        <v/>
      </c>
      <c r="G50" s="156" t="str">
        <f>IFERROR(VLOOKUP($E50,設定!$C:$F,3,0),"")</f>
        <v/>
      </c>
      <c r="H50" s="131" t="str">
        <f>IFERROR(VLOOKUP($E50,設定!$C:$F,4,0),"")</f>
        <v/>
      </c>
      <c r="I50" s="402"/>
      <c r="J50" s="8"/>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10"/>
      <c r="AO50" s="65">
        <f t="shared" si="0"/>
        <v>0</v>
      </c>
    </row>
    <row r="51" spans="2:41" s="4" customFormat="1" ht="24" customHeight="1" x14ac:dyDescent="0.2">
      <c r="B51" s="14"/>
      <c r="C51" s="23"/>
      <c r="D51" s="21" t="str">
        <f>IF(ISBLANK(C51), "",
_xlfn.WEBSERVICE(
"https://d16nxf5gxyt1xz.cloudfront.net/Prod/translation?id="
&amp;アカウント情報!$C$2&amp;
"&amp;pwd="
&amp;アカウント情報!$C$3&amp;
"&amp;item="
&amp;_xlfn.ENCODEURL(設定!$F$3)&amp;
"&amp;word="
&amp;_xlfn.ENCODEURL(C51)
)
)</f>
        <v/>
      </c>
      <c r="E51" s="6"/>
      <c r="F51" s="16" t="str">
        <f>IFERROR(VLOOKUP($E51,設定!$C:$F,2,0),"")</f>
        <v/>
      </c>
      <c r="G51" s="156" t="str">
        <f>IFERROR(VLOOKUP($E51,設定!$C:$F,3,0),"")</f>
        <v/>
      </c>
      <c r="H51" s="131" t="str">
        <f>IFERROR(VLOOKUP($E51,設定!$C:$F,4,0),"")</f>
        <v/>
      </c>
      <c r="I51" s="402"/>
      <c r="J51" s="8"/>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10"/>
      <c r="AO51" s="65">
        <f t="shared" si="0"/>
        <v>0</v>
      </c>
    </row>
    <row r="52" spans="2:41" s="4" customFormat="1" ht="24" customHeight="1" x14ac:dyDescent="0.2">
      <c r="B52" s="14"/>
      <c r="C52" s="23"/>
      <c r="D52" s="21" t="str">
        <f>IF(ISBLANK(C52), "",
_xlfn.WEBSERVICE(
"https://d16nxf5gxyt1xz.cloudfront.net/Prod/translation?id="
&amp;アカウント情報!$C$2&amp;
"&amp;pwd="
&amp;アカウント情報!$C$3&amp;
"&amp;item="
&amp;_xlfn.ENCODEURL(設定!$F$3)&amp;
"&amp;word="
&amp;_xlfn.ENCODEURL(C52)
)
)</f>
        <v/>
      </c>
      <c r="E52" s="6"/>
      <c r="F52" s="16" t="str">
        <f>IFERROR(VLOOKUP($E52,設定!$C:$F,2,0),"")</f>
        <v/>
      </c>
      <c r="G52" s="156" t="str">
        <f>IFERROR(VLOOKUP($E52,設定!$C:$F,3,0),"")</f>
        <v/>
      </c>
      <c r="H52" s="131" t="str">
        <f>IFERROR(VLOOKUP($E52,設定!$C:$F,4,0),"")</f>
        <v/>
      </c>
      <c r="I52" s="402"/>
      <c r="J52" s="8"/>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10"/>
      <c r="AO52" s="65">
        <f t="shared" si="0"/>
        <v>0</v>
      </c>
    </row>
    <row r="53" spans="2:41" s="4" customFormat="1" ht="24" customHeight="1" x14ac:dyDescent="0.2">
      <c r="B53" s="14"/>
      <c r="C53" s="23"/>
      <c r="D53" s="21" t="str">
        <f>IF(ISBLANK(C53), "",
_xlfn.WEBSERVICE(
"https://d16nxf5gxyt1xz.cloudfront.net/Prod/translation?id="
&amp;アカウント情報!$C$2&amp;
"&amp;pwd="
&amp;アカウント情報!$C$3&amp;
"&amp;item="
&amp;_xlfn.ENCODEURL(設定!$F$3)&amp;
"&amp;word="
&amp;_xlfn.ENCODEURL(C53)
)
)</f>
        <v/>
      </c>
      <c r="E53" s="6"/>
      <c r="F53" s="16" t="str">
        <f>IFERROR(VLOOKUP($E53,設定!$C:$F,2,0),"")</f>
        <v/>
      </c>
      <c r="G53" s="156" t="str">
        <f>IFERROR(VLOOKUP($E53,設定!$C:$F,3,0),"")</f>
        <v/>
      </c>
      <c r="H53" s="131" t="str">
        <f>IFERROR(VLOOKUP($E53,設定!$C:$F,4,0),"")</f>
        <v/>
      </c>
      <c r="I53" s="402"/>
      <c r="J53" s="8"/>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10"/>
      <c r="AO53" s="65">
        <f t="shared" si="0"/>
        <v>0</v>
      </c>
    </row>
    <row r="54" spans="2:41" s="4" customFormat="1" ht="24" customHeight="1" x14ac:dyDescent="0.2">
      <c r="B54" s="14"/>
      <c r="C54" s="23"/>
      <c r="D54" s="21" t="str">
        <f>IF(ISBLANK(C54), "",
_xlfn.WEBSERVICE(
"https://d16nxf5gxyt1xz.cloudfront.net/Prod/translation?id="
&amp;アカウント情報!$C$2&amp;
"&amp;pwd="
&amp;アカウント情報!$C$3&amp;
"&amp;item="
&amp;_xlfn.ENCODEURL(設定!$F$3)&amp;
"&amp;word="
&amp;_xlfn.ENCODEURL(C54)
)
)</f>
        <v/>
      </c>
      <c r="E54" s="6"/>
      <c r="F54" s="16" t="str">
        <f>IFERROR(VLOOKUP($E54,設定!$C:$F,2,0),"")</f>
        <v/>
      </c>
      <c r="G54" s="156" t="str">
        <f>IFERROR(VLOOKUP($E54,設定!$C:$F,3,0),"")</f>
        <v/>
      </c>
      <c r="H54" s="131" t="str">
        <f>IFERROR(VLOOKUP($E54,設定!$C:$F,4,0),"")</f>
        <v/>
      </c>
      <c r="I54" s="402"/>
      <c r="J54" s="8"/>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10"/>
      <c r="AO54" s="65">
        <f t="shared" ref="AO54:AO101" si="5">I54*SUM(J54:AN54)</f>
        <v>0</v>
      </c>
    </row>
    <row r="55" spans="2:41" s="4" customFormat="1" ht="24" customHeight="1" x14ac:dyDescent="0.2">
      <c r="B55" s="14"/>
      <c r="C55" s="23"/>
      <c r="D55" s="21" t="str">
        <f>IF(ISBLANK(C55), "",
_xlfn.WEBSERVICE(
"https://d16nxf5gxyt1xz.cloudfront.net/Prod/translation?id="
&amp;アカウント情報!$C$2&amp;
"&amp;pwd="
&amp;アカウント情報!$C$3&amp;
"&amp;item="
&amp;_xlfn.ENCODEURL(設定!$F$3)&amp;
"&amp;word="
&amp;_xlfn.ENCODEURL(C55)
)
)</f>
        <v/>
      </c>
      <c r="E55" s="6"/>
      <c r="F55" s="16" t="str">
        <f>IFERROR(VLOOKUP($E55,設定!$C:$F,2,0),"")</f>
        <v/>
      </c>
      <c r="G55" s="156" t="str">
        <f>IFERROR(VLOOKUP($E55,設定!$C:$F,3,0),"")</f>
        <v/>
      </c>
      <c r="H55" s="131" t="str">
        <f>IFERROR(VLOOKUP($E55,設定!$C:$F,4,0),"")</f>
        <v/>
      </c>
      <c r="I55" s="402"/>
      <c r="J55" s="8"/>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10"/>
      <c r="AO55" s="65">
        <f t="shared" si="5"/>
        <v>0</v>
      </c>
    </row>
    <row r="56" spans="2:41" s="4" customFormat="1" ht="24" customHeight="1" x14ac:dyDescent="0.2">
      <c r="B56" s="14"/>
      <c r="C56" s="23"/>
      <c r="D56" s="21" t="str">
        <f>IF(ISBLANK(C56), "",
_xlfn.WEBSERVICE(
"https://d16nxf5gxyt1xz.cloudfront.net/Prod/translation?id="
&amp;アカウント情報!$C$2&amp;
"&amp;pwd="
&amp;アカウント情報!$C$3&amp;
"&amp;item="
&amp;_xlfn.ENCODEURL(設定!$F$3)&amp;
"&amp;word="
&amp;_xlfn.ENCODEURL(C56)
)
)</f>
        <v/>
      </c>
      <c r="E56" s="6"/>
      <c r="F56" s="16" t="str">
        <f>IFERROR(VLOOKUP($E56,設定!$C:$F,2,0),"")</f>
        <v/>
      </c>
      <c r="G56" s="156" t="str">
        <f>IFERROR(VLOOKUP($E56,設定!$C:$F,3,0),"")</f>
        <v/>
      </c>
      <c r="H56" s="131" t="str">
        <f>IFERROR(VLOOKUP($E56,設定!$C:$F,4,0),"")</f>
        <v/>
      </c>
      <c r="I56" s="402"/>
      <c r="J56" s="8"/>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10"/>
      <c r="AO56" s="65">
        <f t="shared" si="5"/>
        <v>0</v>
      </c>
    </row>
    <row r="57" spans="2:41" s="4" customFormat="1" ht="24" customHeight="1" x14ac:dyDescent="0.2">
      <c r="B57" s="14"/>
      <c r="C57" s="23"/>
      <c r="D57" s="21" t="str">
        <f>IF(ISBLANK(C57), "",
_xlfn.WEBSERVICE(
"https://d16nxf5gxyt1xz.cloudfront.net/Prod/translation?id="
&amp;アカウント情報!$C$2&amp;
"&amp;pwd="
&amp;アカウント情報!$C$3&amp;
"&amp;item="
&amp;_xlfn.ENCODEURL(設定!$F$3)&amp;
"&amp;word="
&amp;_xlfn.ENCODEURL(C57)
)
)</f>
        <v/>
      </c>
      <c r="E57" s="6"/>
      <c r="F57" s="16" t="str">
        <f>IFERROR(VLOOKUP($E57,設定!$C:$F,2,0),"")</f>
        <v/>
      </c>
      <c r="G57" s="156" t="str">
        <f>IFERROR(VLOOKUP($E57,設定!$C:$F,3,0),"")</f>
        <v/>
      </c>
      <c r="H57" s="131" t="str">
        <f>IFERROR(VLOOKUP($E57,設定!$C:$F,4,0),"")</f>
        <v/>
      </c>
      <c r="I57" s="402"/>
      <c r="J57" s="8"/>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10"/>
      <c r="AO57" s="65">
        <f t="shared" si="5"/>
        <v>0</v>
      </c>
    </row>
    <row r="58" spans="2:41" s="4" customFormat="1" ht="24" customHeight="1" x14ac:dyDescent="0.2">
      <c r="B58" s="14"/>
      <c r="C58" s="23"/>
      <c r="D58" s="21" t="str">
        <f>IF(ISBLANK(C58), "",
_xlfn.WEBSERVICE(
"https://d16nxf5gxyt1xz.cloudfront.net/Prod/translation?id="
&amp;アカウント情報!$C$2&amp;
"&amp;pwd="
&amp;アカウント情報!$C$3&amp;
"&amp;item="
&amp;_xlfn.ENCODEURL(設定!$F$3)&amp;
"&amp;word="
&amp;_xlfn.ENCODEURL(C58)
)
)</f>
        <v/>
      </c>
      <c r="E58" s="6"/>
      <c r="F58" s="16" t="str">
        <f>IFERROR(VLOOKUP($E58,設定!$C:$F,2,0),"")</f>
        <v/>
      </c>
      <c r="G58" s="156" t="str">
        <f>IFERROR(VLOOKUP($E58,設定!$C:$F,3,0),"")</f>
        <v/>
      </c>
      <c r="H58" s="131" t="str">
        <f>IFERROR(VLOOKUP($E58,設定!$C:$F,4,0),"")</f>
        <v/>
      </c>
      <c r="I58" s="402"/>
      <c r="J58" s="8"/>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10"/>
      <c r="AO58" s="65">
        <f t="shared" si="5"/>
        <v>0</v>
      </c>
    </row>
    <row r="59" spans="2:41" s="4" customFormat="1" ht="24" customHeight="1" x14ac:dyDescent="0.2">
      <c r="B59" s="14"/>
      <c r="C59" s="23"/>
      <c r="D59" s="21" t="str">
        <f>IF(ISBLANK(C59), "",
_xlfn.WEBSERVICE(
"https://d16nxf5gxyt1xz.cloudfront.net/Prod/translation?id="
&amp;アカウント情報!$C$2&amp;
"&amp;pwd="
&amp;アカウント情報!$C$3&amp;
"&amp;item="
&amp;_xlfn.ENCODEURL(設定!$F$3)&amp;
"&amp;word="
&amp;_xlfn.ENCODEURL(C59)
)
)</f>
        <v/>
      </c>
      <c r="E59" s="6"/>
      <c r="F59" s="16" t="str">
        <f>IFERROR(VLOOKUP($E59,設定!$C:$F,2,0),"")</f>
        <v/>
      </c>
      <c r="G59" s="156" t="str">
        <f>IFERROR(VLOOKUP($E59,設定!$C:$F,3,0),"")</f>
        <v/>
      </c>
      <c r="H59" s="131" t="str">
        <f>IFERROR(VLOOKUP($E59,設定!$C:$F,4,0),"")</f>
        <v/>
      </c>
      <c r="I59" s="402"/>
      <c r="J59" s="8"/>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10"/>
      <c r="AO59" s="65">
        <f t="shared" si="5"/>
        <v>0</v>
      </c>
    </row>
    <row r="60" spans="2:41" s="4" customFormat="1" ht="24" customHeight="1" x14ac:dyDescent="0.2">
      <c r="B60" s="14"/>
      <c r="C60" s="23"/>
      <c r="D60" s="21" t="str">
        <f>IF(ISBLANK(C60), "",
_xlfn.WEBSERVICE(
"https://d16nxf5gxyt1xz.cloudfront.net/Prod/translation?id="
&amp;アカウント情報!$C$2&amp;
"&amp;pwd="
&amp;アカウント情報!$C$3&amp;
"&amp;item="
&amp;_xlfn.ENCODEURL(設定!$F$3)&amp;
"&amp;word="
&amp;_xlfn.ENCODEURL(C60)
)
)</f>
        <v/>
      </c>
      <c r="E60" s="6"/>
      <c r="F60" s="16" t="str">
        <f>IFERROR(VLOOKUP($E60,設定!$C:$F,2,0),"")</f>
        <v/>
      </c>
      <c r="G60" s="156" t="str">
        <f>IFERROR(VLOOKUP($E60,設定!$C:$F,3,0),"")</f>
        <v/>
      </c>
      <c r="H60" s="131" t="str">
        <f>IFERROR(VLOOKUP($E60,設定!$C:$F,4,0),"")</f>
        <v/>
      </c>
      <c r="I60" s="402"/>
      <c r="J60" s="8"/>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10"/>
      <c r="AO60" s="65">
        <f t="shared" si="5"/>
        <v>0</v>
      </c>
    </row>
    <row r="61" spans="2:41" s="4" customFormat="1" ht="24" customHeight="1" x14ac:dyDescent="0.2">
      <c r="B61" s="14"/>
      <c r="C61" s="23"/>
      <c r="D61" s="21" t="str">
        <f>IF(ISBLANK(C61), "",
_xlfn.WEBSERVICE(
"https://d16nxf5gxyt1xz.cloudfront.net/Prod/translation?id="
&amp;アカウント情報!$C$2&amp;
"&amp;pwd="
&amp;アカウント情報!$C$3&amp;
"&amp;item="
&amp;_xlfn.ENCODEURL(設定!$F$3)&amp;
"&amp;word="
&amp;_xlfn.ENCODEURL(C61)
)
)</f>
        <v/>
      </c>
      <c r="E61" s="6"/>
      <c r="F61" s="16" t="str">
        <f>IFERROR(VLOOKUP($E61,設定!$C:$F,2,0),"")</f>
        <v/>
      </c>
      <c r="G61" s="156" t="str">
        <f>IFERROR(VLOOKUP($E61,設定!$C:$F,3,0),"")</f>
        <v/>
      </c>
      <c r="H61" s="131" t="str">
        <f>IFERROR(VLOOKUP($E61,設定!$C:$F,4,0),"")</f>
        <v/>
      </c>
      <c r="I61" s="402"/>
      <c r="J61" s="8"/>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10"/>
      <c r="AO61" s="65">
        <f t="shared" si="5"/>
        <v>0</v>
      </c>
    </row>
    <row r="62" spans="2:41" s="4" customFormat="1" ht="24" customHeight="1" x14ac:dyDescent="0.2">
      <c r="B62" s="14"/>
      <c r="C62" s="23"/>
      <c r="D62" s="21" t="str">
        <f>IF(ISBLANK(C62), "",
_xlfn.WEBSERVICE(
"https://d16nxf5gxyt1xz.cloudfront.net/Prod/translation?id="
&amp;アカウント情報!$C$2&amp;
"&amp;pwd="
&amp;アカウント情報!$C$3&amp;
"&amp;item="
&amp;_xlfn.ENCODEURL(設定!$F$3)&amp;
"&amp;word="
&amp;_xlfn.ENCODEURL(C62)
)
)</f>
        <v/>
      </c>
      <c r="E62" s="6"/>
      <c r="F62" s="16" t="str">
        <f>IFERROR(VLOOKUP($E62,設定!$C:$F,2,0),"")</f>
        <v/>
      </c>
      <c r="G62" s="156" t="str">
        <f>IFERROR(VLOOKUP($E62,設定!$C:$F,3,0),"")</f>
        <v/>
      </c>
      <c r="H62" s="131" t="str">
        <f>IFERROR(VLOOKUP($E62,設定!$C:$F,4,0),"")</f>
        <v/>
      </c>
      <c r="I62" s="402"/>
      <c r="J62" s="8"/>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10"/>
      <c r="AO62" s="65">
        <f t="shared" si="5"/>
        <v>0</v>
      </c>
    </row>
    <row r="63" spans="2:41" s="4" customFormat="1" ht="24" customHeight="1" x14ac:dyDescent="0.2">
      <c r="B63" s="14"/>
      <c r="C63" s="23"/>
      <c r="D63" s="21" t="str">
        <f>IF(ISBLANK(C63), "",
_xlfn.WEBSERVICE(
"https://d16nxf5gxyt1xz.cloudfront.net/Prod/translation?id="
&amp;アカウント情報!$C$2&amp;
"&amp;pwd="
&amp;アカウント情報!$C$3&amp;
"&amp;item="
&amp;_xlfn.ENCODEURL(設定!$F$3)&amp;
"&amp;word="
&amp;_xlfn.ENCODEURL(C63)
)
)</f>
        <v/>
      </c>
      <c r="E63" s="6"/>
      <c r="F63" s="16" t="str">
        <f>IFERROR(VLOOKUP($E63,設定!$C:$F,2,0),"")</f>
        <v/>
      </c>
      <c r="G63" s="156" t="str">
        <f>IFERROR(VLOOKUP($E63,設定!$C:$F,3,0),"")</f>
        <v/>
      </c>
      <c r="H63" s="131" t="str">
        <f>IFERROR(VLOOKUP($E63,設定!$C:$F,4,0),"")</f>
        <v/>
      </c>
      <c r="I63" s="402"/>
      <c r="J63" s="8"/>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10"/>
      <c r="AO63" s="65">
        <f t="shared" si="5"/>
        <v>0</v>
      </c>
    </row>
    <row r="64" spans="2:41" s="4" customFormat="1" ht="24" customHeight="1" x14ac:dyDescent="0.2">
      <c r="B64" s="14"/>
      <c r="C64" s="23"/>
      <c r="D64" s="21" t="str">
        <f>IF(ISBLANK(C64), "",
_xlfn.WEBSERVICE(
"https://d16nxf5gxyt1xz.cloudfront.net/Prod/translation?id="
&amp;アカウント情報!$C$2&amp;
"&amp;pwd="
&amp;アカウント情報!$C$3&amp;
"&amp;item="
&amp;_xlfn.ENCODEURL(設定!$F$3)&amp;
"&amp;word="
&amp;_xlfn.ENCODEURL(C64)
)
)</f>
        <v/>
      </c>
      <c r="E64" s="6"/>
      <c r="F64" s="16" t="str">
        <f>IFERROR(VLOOKUP($E64,設定!$C:$F,2,0),"")</f>
        <v/>
      </c>
      <c r="G64" s="156" t="str">
        <f>IFERROR(VLOOKUP($E64,設定!$C:$F,3,0),"")</f>
        <v/>
      </c>
      <c r="H64" s="131" t="str">
        <f>IFERROR(VLOOKUP($E64,設定!$C:$F,4,0),"")</f>
        <v/>
      </c>
      <c r="I64" s="402"/>
      <c r="J64" s="8"/>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10"/>
      <c r="AO64" s="65">
        <f t="shared" si="5"/>
        <v>0</v>
      </c>
    </row>
    <row r="65" spans="2:41" s="4" customFormat="1" ht="24" customHeight="1" x14ac:dyDescent="0.2">
      <c r="B65" s="14"/>
      <c r="C65" s="23"/>
      <c r="D65" s="21" t="str">
        <f>IF(ISBLANK(C65), "",
_xlfn.WEBSERVICE(
"https://d16nxf5gxyt1xz.cloudfront.net/Prod/translation?id="
&amp;アカウント情報!$C$2&amp;
"&amp;pwd="
&amp;アカウント情報!$C$3&amp;
"&amp;item="
&amp;_xlfn.ENCODEURL(設定!$F$3)&amp;
"&amp;word="
&amp;_xlfn.ENCODEURL(C65)
)
)</f>
        <v/>
      </c>
      <c r="E65" s="6"/>
      <c r="F65" s="16" t="str">
        <f>IFERROR(VLOOKUP($E65,設定!$C:$F,2,0),"")</f>
        <v/>
      </c>
      <c r="G65" s="156" t="str">
        <f>IFERROR(VLOOKUP($E65,設定!$C:$F,3,0),"")</f>
        <v/>
      </c>
      <c r="H65" s="131" t="str">
        <f>IFERROR(VLOOKUP($E65,設定!$C:$F,4,0),"")</f>
        <v/>
      </c>
      <c r="I65" s="402"/>
      <c r="J65" s="8"/>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10"/>
      <c r="AO65" s="65">
        <f t="shared" si="5"/>
        <v>0</v>
      </c>
    </row>
    <row r="66" spans="2:41" s="4" customFormat="1" ht="24" customHeight="1" x14ac:dyDescent="0.2">
      <c r="B66" s="14"/>
      <c r="C66" s="23"/>
      <c r="D66" s="21" t="str">
        <f>IF(ISBLANK(C66), "",
_xlfn.WEBSERVICE(
"https://d16nxf5gxyt1xz.cloudfront.net/Prod/translation?id="
&amp;アカウント情報!$C$2&amp;
"&amp;pwd="
&amp;アカウント情報!$C$3&amp;
"&amp;item="
&amp;_xlfn.ENCODEURL(設定!$F$3)&amp;
"&amp;word="
&amp;_xlfn.ENCODEURL(C66)
)
)</f>
        <v/>
      </c>
      <c r="E66" s="6"/>
      <c r="F66" s="16" t="str">
        <f>IFERROR(VLOOKUP($E66,設定!$C:$F,2,0),"")</f>
        <v/>
      </c>
      <c r="G66" s="156" t="str">
        <f>IFERROR(VLOOKUP($E66,設定!$C:$F,3,0),"")</f>
        <v/>
      </c>
      <c r="H66" s="131" t="str">
        <f>IFERROR(VLOOKUP($E66,設定!$C:$F,4,0),"")</f>
        <v/>
      </c>
      <c r="I66" s="402"/>
      <c r="J66" s="8"/>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10"/>
      <c r="AO66" s="65">
        <f t="shared" si="5"/>
        <v>0</v>
      </c>
    </row>
    <row r="67" spans="2:41" s="4" customFormat="1" ht="24" customHeight="1" x14ac:dyDescent="0.2">
      <c r="B67" s="14"/>
      <c r="C67" s="23"/>
      <c r="D67" s="21" t="str">
        <f>IF(ISBLANK(C67), "",
_xlfn.WEBSERVICE(
"https://d16nxf5gxyt1xz.cloudfront.net/Prod/translation?id="
&amp;アカウント情報!$C$2&amp;
"&amp;pwd="
&amp;アカウント情報!$C$3&amp;
"&amp;item="
&amp;_xlfn.ENCODEURL(設定!$F$3)&amp;
"&amp;word="
&amp;_xlfn.ENCODEURL(C67)
)
)</f>
        <v/>
      </c>
      <c r="E67" s="6"/>
      <c r="F67" s="16" t="str">
        <f>IFERROR(VLOOKUP($E67,設定!$C:$F,2,0),"")</f>
        <v/>
      </c>
      <c r="G67" s="156" t="str">
        <f>IFERROR(VLOOKUP($E67,設定!$C:$F,3,0),"")</f>
        <v/>
      </c>
      <c r="H67" s="131" t="str">
        <f>IFERROR(VLOOKUP($E67,設定!$C:$F,4,0),"")</f>
        <v/>
      </c>
      <c r="I67" s="402"/>
      <c r="J67" s="8"/>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10"/>
      <c r="AO67" s="65">
        <f t="shared" si="5"/>
        <v>0</v>
      </c>
    </row>
    <row r="68" spans="2:41" s="4" customFormat="1" ht="24" customHeight="1" x14ac:dyDescent="0.2">
      <c r="B68" s="14"/>
      <c r="C68" s="23"/>
      <c r="D68" s="21" t="str">
        <f>IF(ISBLANK(C68), "",
_xlfn.WEBSERVICE(
"https://d16nxf5gxyt1xz.cloudfront.net/Prod/translation?id="
&amp;アカウント情報!$C$2&amp;
"&amp;pwd="
&amp;アカウント情報!$C$3&amp;
"&amp;item="
&amp;_xlfn.ENCODEURL(設定!$F$3)&amp;
"&amp;word="
&amp;_xlfn.ENCODEURL(C68)
)
)</f>
        <v/>
      </c>
      <c r="E68" s="6"/>
      <c r="F68" s="16" t="str">
        <f>IFERROR(VLOOKUP($E68,設定!$C:$F,2,0),"")</f>
        <v/>
      </c>
      <c r="G68" s="156" t="str">
        <f>IFERROR(VLOOKUP($E68,設定!$C:$F,3,0),"")</f>
        <v/>
      </c>
      <c r="H68" s="131" t="str">
        <f>IFERROR(VLOOKUP($E68,設定!$C:$F,4,0),"")</f>
        <v/>
      </c>
      <c r="I68" s="402"/>
      <c r="J68" s="8"/>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10"/>
      <c r="AO68" s="65">
        <f t="shared" si="5"/>
        <v>0</v>
      </c>
    </row>
    <row r="69" spans="2:41" s="4" customFormat="1" ht="24" customHeight="1" x14ac:dyDescent="0.2">
      <c r="B69" s="14"/>
      <c r="C69" s="23"/>
      <c r="D69" s="21" t="str">
        <f>IF(ISBLANK(C69), "",
_xlfn.WEBSERVICE(
"https://d16nxf5gxyt1xz.cloudfront.net/Prod/translation?id="
&amp;アカウント情報!$C$2&amp;
"&amp;pwd="
&amp;アカウント情報!$C$3&amp;
"&amp;item="
&amp;_xlfn.ENCODEURL(設定!$F$3)&amp;
"&amp;word="
&amp;_xlfn.ENCODEURL(C69)
)
)</f>
        <v/>
      </c>
      <c r="E69" s="6"/>
      <c r="F69" s="16" t="str">
        <f>IFERROR(VLOOKUP($E69,設定!$C:$F,2,0),"")</f>
        <v/>
      </c>
      <c r="G69" s="156" t="str">
        <f>IFERROR(VLOOKUP($E69,設定!$C:$F,3,0),"")</f>
        <v/>
      </c>
      <c r="H69" s="131" t="str">
        <f>IFERROR(VLOOKUP($E69,設定!$C:$F,4,0),"")</f>
        <v/>
      </c>
      <c r="I69" s="402"/>
      <c r="J69" s="8"/>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10"/>
      <c r="AO69" s="65">
        <f t="shared" si="5"/>
        <v>0</v>
      </c>
    </row>
    <row r="70" spans="2:41" s="4" customFormat="1" ht="24" customHeight="1" x14ac:dyDescent="0.2">
      <c r="B70" s="14"/>
      <c r="C70" s="23"/>
      <c r="D70" s="21" t="str">
        <f>IF(ISBLANK(C70), "",
_xlfn.WEBSERVICE(
"https://d16nxf5gxyt1xz.cloudfront.net/Prod/translation?id="
&amp;アカウント情報!$C$2&amp;
"&amp;pwd="
&amp;アカウント情報!$C$3&amp;
"&amp;item="
&amp;_xlfn.ENCODEURL(設定!$F$3)&amp;
"&amp;word="
&amp;_xlfn.ENCODEURL(C70)
)
)</f>
        <v/>
      </c>
      <c r="E70" s="6"/>
      <c r="F70" s="16" t="str">
        <f>IFERROR(VLOOKUP($E70,設定!$C:$F,2,0),"")</f>
        <v/>
      </c>
      <c r="G70" s="156" t="str">
        <f>IFERROR(VLOOKUP($E70,設定!$C:$F,3,0),"")</f>
        <v/>
      </c>
      <c r="H70" s="131" t="str">
        <f>IFERROR(VLOOKUP($E70,設定!$C:$F,4,0),"")</f>
        <v/>
      </c>
      <c r="I70" s="402"/>
      <c r="J70" s="8"/>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10"/>
      <c r="AO70" s="65">
        <f t="shared" si="5"/>
        <v>0</v>
      </c>
    </row>
    <row r="71" spans="2:41" s="4" customFormat="1" ht="24" customHeight="1" x14ac:dyDescent="0.2">
      <c r="B71" s="14"/>
      <c r="C71" s="23"/>
      <c r="D71" s="21" t="str">
        <f>IF(ISBLANK(C71), "",
_xlfn.WEBSERVICE(
"https://d16nxf5gxyt1xz.cloudfront.net/Prod/translation?id="
&amp;アカウント情報!$C$2&amp;
"&amp;pwd="
&amp;アカウント情報!$C$3&amp;
"&amp;item="
&amp;_xlfn.ENCODEURL(設定!$F$3)&amp;
"&amp;word="
&amp;_xlfn.ENCODEURL(C71)
)
)</f>
        <v/>
      </c>
      <c r="E71" s="6"/>
      <c r="F71" s="16" t="str">
        <f>IFERROR(VLOOKUP($E71,設定!$C:$F,2,0),"")</f>
        <v/>
      </c>
      <c r="G71" s="156" t="str">
        <f>IFERROR(VLOOKUP($E71,設定!$C:$F,3,0),"")</f>
        <v/>
      </c>
      <c r="H71" s="131" t="str">
        <f>IFERROR(VLOOKUP($E71,設定!$C:$F,4,0),"")</f>
        <v/>
      </c>
      <c r="I71" s="402"/>
      <c r="J71" s="8"/>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10"/>
      <c r="AO71" s="65">
        <f t="shared" si="5"/>
        <v>0</v>
      </c>
    </row>
    <row r="72" spans="2:41" s="4" customFormat="1" ht="24" customHeight="1" x14ac:dyDescent="0.2">
      <c r="B72" s="14"/>
      <c r="C72" s="23"/>
      <c r="D72" s="21" t="str">
        <f>IF(ISBLANK(C72), "",
_xlfn.WEBSERVICE(
"https://d16nxf5gxyt1xz.cloudfront.net/Prod/translation?id="
&amp;アカウント情報!$C$2&amp;
"&amp;pwd="
&amp;アカウント情報!$C$3&amp;
"&amp;item="
&amp;_xlfn.ENCODEURL(設定!$F$3)&amp;
"&amp;word="
&amp;_xlfn.ENCODEURL(C72)
)
)</f>
        <v/>
      </c>
      <c r="E72" s="6"/>
      <c r="F72" s="16" t="str">
        <f>IFERROR(VLOOKUP($E72,設定!$C:$F,2,0),"")</f>
        <v/>
      </c>
      <c r="G72" s="156" t="str">
        <f>IFERROR(VLOOKUP($E72,設定!$C:$F,3,0),"")</f>
        <v/>
      </c>
      <c r="H72" s="131" t="str">
        <f>IFERROR(VLOOKUP($E72,設定!$C:$F,4,0),"")</f>
        <v/>
      </c>
      <c r="I72" s="402"/>
      <c r="J72" s="8"/>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10"/>
      <c r="AO72" s="65">
        <f t="shared" si="5"/>
        <v>0</v>
      </c>
    </row>
    <row r="73" spans="2:41" s="4" customFormat="1" ht="24" customHeight="1" x14ac:dyDescent="0.2">
      <c r="B73" s="14"/>
      <c r="C73" s="23"/>
      <c r="D73" s="21" t="str">
        <f>IF(ISBLANK(C73), "",
_xlfn.WEBSERVICE(
"https://d16nxf5gxyt1xz.cloudfront.net/Prod/translation?id="
&amp;アカウント情報!$C$2&amp;
"&amp;pwd="
&amp;アカウント情報!$C$3&amp;
"&amp;item="
&amp;_xlfn.ENCODEURL(設定!$F$3)&amp;
"&amp;word="
&amp;_xlfn.ENCODEURL(C73)
)
)</f>
        <v/>
      </c>
      <c r="E73" s="6"/>
      <c r="F73" s="16" t="str">
        <f>IFERROR(VLOOKUP($E73,設定!$C:$F,2,0),"")</f>
        <v/>
      </c>
      <c r="G73" s="156" t="str">
        <f>IFERROR(VLOOKUP($E73,設定!$C:$F,3,0),"")</f>
        <v/>
      </c>
      <c r="H73" s="131" t="str">
        <f>IFERROR(VLOOKUP($E73,設定!$C:$F,4,0),"")</f>
        <v/>
      </c>
      <c r="I73" s="402"/>
      <c r="J73" s="8"/>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10"/>
      <c r="AO73" s="65">
        <f t="shared" si="5"/>
        <v>0</v>
      </c>
    </row>
    <row r="74" spans="2:41" s="4" customFormat="1" ht="24" customHeight="1" x14ac:dyDescent="0.2">
      <c r="B74" s="14"/>
      <c r="C74" s="23"/>
      <c r="D74" s="21" t="str">
        <f>IF(ISBLANK(C74), "",
_xlfn.WEBSERVICE(
"https://d16nxf5gxyt1xz.cloudfront.net/Prod/translation?id="
&amp;アカウント情報!$C$2&amp;
"&amp;pwd="
&amp;アカウント情報!$C$3&amp;
"&amp;item="
&amp;_xlfn.ENCODEURL(設定!$F$3)&amp;
"&amp;word="
&amp;_xlfn.ENCODEURL(C74)
)
)</f>
        <v/>
      </c>
      <c r="E74" s="6"/>
      <c r="F74" s="16" t="str">
        <f>IFERROR(VLOOKUP($E74,設定!$C:$F,2,0),"")</f>
        <v/>
      </c>
      <c r="G74" s="156" t="str">
        <f>IFERROR(VLOOKUP($E74,設定!$C:$F,3,0),"")</f>
        <v/>
      </c>
      <c r="H74" s="131" t="str">
        <f>IFERROR(VLOOKUP($E74,設定!$C:$F,4,0),"")</f>
        <v/>
      </c>
      <c r="I74" s="402"/>
      <c r="J74" s="8"/>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10"/>
      <c r="AO74" s="65">
        <f t="shared" si="5"/>
        <v>0</v>
      </c>
    </row>
    <row r="75" spans="2:41" s="4" customFormat="1" ht="24" customHeight="1" x14ac:dyDescent="0.2">
      <c r="B75" s="14"/>
      <c r="C75" s="23"/>
      <c r="D75" s="21" t="str">
        <f>IF(ISBLANK(C75), "",
_xlfn.WEBSERVICE(
"https://d16nxf5gxyt1xz.cloudfront.net/Prod/translation?id="
&amp;アカウント情報!$C$2&amp;
"&amp;pwd="
&amp;アカウント情報!$C$3&amp;
"&amp;item="
&amp;_xlfn.ENCODEURL(設定!$F$3)&amp;
"&amp;word="
&amp;_xlfn.ENCODEURL(C75)
)
)</f>
        <v/>
      </c>
      <c r="E75" s="6"/>
      <c r="F75" s="16" t="str">
        <f>IFERROR(VLOOKUP($E75,設定!$C:$F,2,0),"")</f>
        <v/>
      </c>
      <c r="G75" s="156" t="str">
        <f>IFERROR(VLOOKUP($E75,設定!$C:$F,3,0),"")</f>
        <v/>
      </c>
      <c r="H75" s="131" t="str">
        <f>IFERROR(VLOOKUP($E75,設定!$C:$F,4,0),"")</f>
        <v/>
      </c>
      <c r="I75" s="402"/>
      <c r="J75" s="8"/>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10"/>
      <c r="AO75" s="65">
        <f t="shared" si="5"/>
        <v>0</v>
      </c>
    </row>
    <row r="76" spans="2:41" s="4" customFormat="1" ht="24" customHeight="1" x14ac:dyDescent="0.2">
      <c r="B76" s="14"/>
      <c r="C76" s="23"/>
      <c r="D76" s="21" t="str">
        <f>IF(ISBLANK(C76), "",
_xlfn.WEBSERVICE(
"https://d16nxf5gxyt1xz.cloudfront.net/Prod/translation?id="
&amp;アカウント情報!$C$2&amp;
"&amp;pwd="
&amp;アカウント情報!$C$3&amp;
"&amp;item="
&amp;_xlfn.ENCODEURL(設定!$F$3)&amp;
"&amp;word="
&amp;_xlfn.ENCODEURL(C76)
)
)</f>
        <v/>
      </c>
      <c r="E76" s="6"/>
      <c r="F76" s="16" t="str">
        <f>IFERROR(VLOOKUP($E76,設定!$C:$F,2,0),"")</f>
        <v/>
      </c>
      <c r="G76" s="156" t="str">
        <f>IFERROR(VLOOKUP($E76,設定!$C:$F,3,0),"")</f>
        <v/>
      </c>
      <c r="H76" s="131" t="str">
        <f>IFERROR(VLOOKUP($E76,設定!$C:$F,4,0),"")</f>
        <v/>
      </c>
      <c r="I76" s="402"/>
      <c r="J76" s="8"/>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10"/>
      <c r="AO76" s="65">
        <f t="shared" si="5"/>
        <v>0</v>
      </c>
    </row>
    <row r="77" spans="2:41" s="4" customFormat="1" ht="24" customHeight="1" x14ac:dyDescent="0.2">
      <c r="B77" s="14"/>
      <c r="C77" s="23"/>
      <c r="D77" s="21" t="str">
        <f>IF(ISBLANK(C77), "",
_xlfn.WEBSERVICE(
"https://d16nxf5gxyt1xz.cloudfront.net/Prod/translation?id="
&amp;アカウント情報!$C$2&amp;
"&amp;pwd="
&amp;アカウント情報!$C$3&amp;
"&amp;item="
&amp;_xlfn.ENCODEURL(設定!$F$3)&amp;
"&amp;word="
&amp;_xlfn.ENCODEURL(C77)
)
)</f>
        <v/>
      </c>
      <c r="E77" s="6"/>
      <c r="F77" s="16" t="str">
        <f>IFERROR(VLOOKUP($E77,設定!$C:$F,2,0),"")</f>
        <v/>
      </c>
      <c r="G77" s="156" t="str">
        <f>IFERROR(VLOOKUP($E77,設定!$C:$F,3,0),"")</f>
        <v/>
      </c>
      <c r="H77" s="131" t="str">
        <f>IFERROR(VLOOKUP($E77,設定!$C:$F,4,0),"")</f>
        <v/>
      </c>
      <c r="I77" s="402"/>
      <c r="J77" s="8"/>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10"/>
      <c r="AO77" s="65">
        <f t="shared" si="5"/>
        <v>0</v>
      </c>
    </row>
    <row r="78" spans="2:41" s="4" customFormat="1" ht="24" customHeight="1" x14ac:dyDescent="0.2">
      <c r="B78" s="14"/>
      <c r="C78" s="23"/>
      <c r="D78" s="21" t="str">
        <f>IF(ISBLANK(C78), "",
_xlfn.WEBSERVICE(
"https://d16nxf5gxyt1xz.cloudfront.net/Prod/translation?id="
&amp;アカウント情報!$C$2&amp;
"&amp;pwd="
&amp;アカウント情報!$C$3&amp;
"&amp;item="
&amp;_xlfn.ENCODEURL(設定!$F$3)&amp;
"&amp;word="
&amp;_xlfn.ENCODEURL(C78)
)
)</f>
        <v/>
      </c>
      <c r="E78" s="6"/>
      <c r="F78" s="16" t="str">
        <f>IFERROR(VLOOKUP($E78,設定!$C:$F,2,0),"")</f>
        <v/>
      </c>
      <c r="G78" s="156" t="str">
        <f>IFERROR(VLOOKUP($E78,設定!$C:$F,3,0),"")</f>
        <v/>
      </c>
      <c r="H78" s="131" t="str">
        <f>IFERROR(VLOOKUP($E78,設定!$C:$F,4,0),"")</f>
        <v/>
      </c>
      <c r="I78" s="402"/>
      <c r="J78" s="8"/>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10"/>
      <c r="AO78" s="65">
        <f t="shared" si="5"/>
        <v>0</v>
      </c>
    </row>
    <row r="79" spans="2:41" s="4" customFormat="1" ht="24" customHeight="1" x14ac:dyDescent="0.2">
      <c r="B79" s="14"/>
      <c r="C79" s="23"/>
      <c r="D79" s="21" t="str">
        <f>IF(ISBLANK(C79), "",
_xlfn.WEBSERVICE(
"https://d16nxf5gxyt1xz.cloudfront.net/Prod/translation?id="
&amp;アカウント情報!$C$2&amp;
"&amp;pwd="
&amp;アカウント情報!$C$3&amp;
"&amp;item="
&amp;_xlfn.ENCODEURL(設定!$F$3)&amp;
"&amp;word="
&amp;_xlfn.ENCODEURL(C79)
)
)</f>
        <v/>
      </c>
      <c r="E79" s="6"/>
      <c r="F79" s="16" t="str">
        <f>IFERROR(VLOOKUP($E79,設定!$C:$F,2,0),"")</f>
        <v/>
      </c>
      <c r="G79" s="156" t="str">
        <f>IFERROR(VLOOKUP($E79,設定!$C:$F,3,0),"")</f>
        <v/>
      </c>
      <c r="H79" s="131" t="str">
        <f>IFERROR(VLOOKUP($E79,設定!$C:$F,4,0),"")</f>
        <v/>
      </c>
      <c r="I79" s="402"/>
      <c r="J79" s="8"/>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10"/>
      <c r="AO79" s="65">
        <f t="shared" si="5"/>
        <v>0</v>
      </c>
    </row>
    <row r="80" spans="2:41" s="4" customFormat="1" ht="24" customHeight="1" x14ac:dyDescent="0.2">
      <c r="B80" s="14"/>
      <c r="C80" s="23"/>
      <c r="D80" s="21" t="str">
        <f>IF(ISBLANK(C80), "",
_xlfn.WEBSERVICE(
"https://d16nxf5gxyt1xz.cloudfront.net/Prod/translation?id="
&amp;アカウント情報!$C$2&amp;
"&amp;pwd="
&amp;アカウント情報!$C$3&amp;
"&amp;item="
&amp;_xlfn.ENCODEURL(設定!$F$3)&amp;
"&amp;word="
&amp;_xlfn.ENCODEURL(C80)
)
)</f>
        <v/>
      </c>
      <c r="E80" s="6"/>
      <c r="F80" s="16" t="str">
        <f>IFERROR(VLOOKUP($E80,設定!$C:$F,2,0),"")</f>
        <v/>
      </c>
      <c r="G80" s="156" t="str">
        <f>IFERROR(VLOOKUP($E80,設定!$C:$F,3,0),"")</f>
        <v/>
      </c>
      <c r="H80" s="131" t="str">
        <f>IFERROR(VLOOKUP($E80,設定!$C:$F,4,0),"")</f>
        <v/>
      </c>
      <c r="I80" s="402"/>
      <c r="J80" s="8"/>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10"/>
      <c r="AO80" s="65">
        <f t="shared" si="5"/>
        <v>0</v>
      </c>
    </row>
    <row r="81" spans="2:41" s="4" customFormat="1" ht="24" customHeight="1" x14ac:dyDescent="0.2">
      <c r="B81" s="14"/>
      <c r="C81" s="23"/>
      <c r="D81" s="21" t="str">
        <f>IF(ISBLANK(C81), "",
_xlfn.WEBSERVICE(
"https://d16nxf5gxyt1xz.cloudfront.net/Prod/translation?id="
&amp;アカウント情報!$C$2&amp;
"&amp;pwd="
&amp;アカウント情報!$C$3&amp;
"&amp;item="
&amp;_xlfn.ENCODEURL(設定!$F$3)&amp;
"&amp;word="
&amp;_xlfn.ENCODEURL(C81)
)
)</f>
        <v/>
      </c>
      <c r="E81" s="6"/>
      <c r="F81" s="16" t="str">
        <f>IFERROR(VLOOKUP($E81,設定!$C:$F,2,0),"")</f>
        <v/>
      </c>
      <c r="G81" s="156" t="str">
        <f>IFERROR(VLOOKUP($E81,設定!$C:$F,3,0),"")</f>
        <v/>
      </c>
      <c r="H81" s="131" t="str">
        <f>IFERROR(VLOOKUP($E81,設定!$C:$F,4,0),"")</f>
        <v/>
      </c>
      <c r="I81" s="402"/>
      <c r="J81" s="8"/>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10"/>
      <c r="AO81" s="65">
        <f t="shared" si="5"/>
        <v>0</v>
      </c>
    </row>
    <row r="82" spans="2:41" s="4" customFormat="1" ht="24" customHeight="1" x14ac:dyDescent="0.2">
      <c r="B82" s="14"/>
      <c r="C82" s="23"/>
      <c r="D82" s="21" t="str">
        <f>IF(ISBLANK(C82), "",
_xlfn.WEBSERVICE(
"https://d16nxf5gxyt1xz.cloudfront.net/Prod/translation?id="
&amp;アカウント情報!$C$2&amp;
"&amp;pwd="
&amp;アカウント情報!$C$3&amp;
"&amp;item="
&amp;_xlfn.ENCODEURL(設定!$F$3)&amp;
"&amp;word="
&amp;_xlfn.ENCODEURL(C82)
)
)</f>
        <v/>
      </c>
      <c r="E82" s="6"/>
      <c r="F82" s="16" t="str">
        <f>IFERROR(VLOOKUP($E82,設定!$C:$F,2,0),"")</f>
        <v/>
      </c>
      <c r="G82" s="156" t="str">
        <f>IFERROR(VLOOKUP($E82,設定!$C:$F,3,0),"")</f>
        <v/>
      </c>
      <c r="H82" s="131" t="str">
        <f>IFERROR(VLOOKUP($E82,設定!$C:$F,4,0),"")</f>
        <v/>
      </c>
      <c r="I82" s="402"/>
      <c r="J82" s="8"/>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10"/>
      <c r="AO82" s="65">
        <f t="shared" si="5"/>
        <v>0</v>
      </c>
    </row>
    <row r="83" spans="2:41" s="4" customFormat="1" ht="24" customHeight="1" x14ac:dyDescent="0.2">
      <c r="B83" s="14"/>
      <c r="C83" s="23"/>
      <c r="D83" s="21" t="str">
        <f>IF(ISBLANK(C83), "",
_xlfn.WEBSERVICE(
"https://d16nxf5gxyt1xz.cloudfront.net/Prod/translation?id="
&amp;アカウント情報!$C$2&amp;
"&amp;pwd="
&amp;アカウント情報!$C$3&amp;
"&amp;item="
&amp;_xlfn.ENCODEURL(設定!$F$3)&amp;
"&amp;word="
&amp;_xlfn.ENCODEURL(C83)
)
)</f>
        <v/>
      </c>
      <c r="E83" s="6"/>
      <c r="F83" s="16" t="str">
        <f>IFERROR(VLOOKUP($E83,設定!$C:$F,2,0),"")</f>
        <v/>
      </c>
      <c r="G83" s="156" t="str">
        <f>IFERROR(VLOOKUP($E83,設定!$C:$F,3,0),"")</f>
        <v/>
      </c>
      <c r="H83" s="131" t="str">
        <f>IFERROR(VLOOKUP($E83,設定!$C:$F,4,0),"")</f>
        <v/>
      </c>
      <c r="I83" s="402"/>
      <c r="J83" s="8"/>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10"/>
      <c r="AO83" s="65">
        <f t="shared" si="5"/>
        <v>0</v>
      </c>
    </row>
    <row r="84" spans="2:41" s="4" customFormat="1" ht="24" customHeight="1" x14ac:dyDescent="0.2">
      <c r="B84" s="14"/>
      <c r="C84" s="23"/>
      <c r="D84" s="21" t="str">
        <f>IF(ISBLANK(C84), "",
_xlfn.WEBSERVICE(
"https://d16nxf5gxyt1xz.cloudfront.net/Prod/translation?id="
&amp;アカウント情報!$C$2&amp;
"&amp;pwd="
&amp;アカウント情報!$C$3&amp;
"&amp;item="
&amp;_xlfn.ENCODEURL(設定!$F$3)&amp;
"&amp;word="
&amp;_xlfn.ENCODEURL(C84)
)
)</f>
        <v/>
      </c>
      <c r="E84" s="6"/>
      <c r="F84" s="16" t="str">
        <f>IFERROR(VLOOKUP($E84,設定!$C:$F,2,0),"")</f>
        <v/>
      </c>
      <c r="G84" s="156" t="str">
        <f>IFERROR(VLOOKUP($E84,設定!$C:$F,3,0),"")</f>
        <v/>
      </c>
      <c r="H84" s="131" t="str">
        <f>IFERROR(VLOOKUP($E84,設定!$C:$F,4,0),"")</f>
        <v/>
      </c>
      <c r="I84" s="402"/>
      <c r="J84" s="8"/>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10"/>
      <c r="AO84" s="65">
        <f t="shared" si="5"/>
        <v>0</v>
      </c>
    </row>
    <row r="85" spans="2:41" s="4" customFormat="1" ht="24" customHeight="1" x14ac:dyDescent="0.2">
      <c r="B85" s="14"/>
      <c r="C85" s="23"/>
      <c r="D85" s="21" t="str">
        <f>IF(ISBLANK(C85), "",
_xlfn.WEBSERVICE(
"https://d16nxf5gxyt1xz.cloudfront.net/Prod/translation?id="
&amp;アカウント情報!$C$2&amp;
"&amp;pwd="
&amp;アカウント情報!$C$3&amp;
"&amp;item="
&amp;_xlfn.ENCODEURL(設定!$F$3)&amp;
"&amp;word="
&amp;_xlfn.ENCODEURL(C85)
)
)</f>
        <v/>
      </c>
      <c r="E85" s="6"/>
      <c r="F85" s="16" t="str">
        <f>IFERROR(VLOOKUP($E85,設定!$C:$F,2,0),"")</f>
        <v/>
      </c>
      <c r="G85" s="156" t="str">
        <f>IFERROR(VLOOKUP($E85,設定!$C:$F,3,0),"")</f>
        <v/>
      </c>
      <c r="H85" s="131" t="str">
        <f>IFERROR(VLOOKUP($E85,設定!$C:$F,4,0),"")</f>
        <v/>
      </c>
      <c r="I85" s="402"/>
      <c r="J85" s="8"/>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10"/>
      <c r="AO85" s="65">
        <f t="shared" si="5"/>
        <v>0</v>
      </c>
    </row>
    <row r="86" spans="2:41" s="4" customFormat="1" ht="24" customHeight="1" x14ac:dyDescent="0.2">
      <c r="B86" s="14"/>
      <c r="C86" s="23"/>
      <c r="D86" s="21" t="str">
        <f>IF(ISBLANK(C86), "",
_xlfn.WEBSERVICE(
"https://d16nxf5gxyt1xz.cloudfront.net/Prod/translation?id="
&amp;アカウント情報!$C$2&amp;
"&amp;pwd="
&amp;アカウント情報!$C$3&amp;
"&amp;item="
&amp;_xlfn.ENCODEURL(設定!$F$3)&amp;
"&amp;word="
&amp;_xlfn.ENCODEURL(C86)
)
)</f>
        <v/>
      </c>
      <c r="E86" s="6"/>
      <c r="F86" s="16" t="str">
        <f>IFERROR(VLOOKUP($E86,設定!$C:$F,2,0),"")</f>
        <v/>
      </c>
      <c r="G86" s="156" t="str">
        <f>IFERROR(VLOOKUP($E86,設定!$C:$F,3,0),"")</f>
        <v/>
      </c>
      <c r="H86" s="131" t="str">
        <f>IFERROR(VLOOKUP($E86,設定!$C:$F,4,0),"")</f>
        <v/>
      </c>
      <c r="I86" s="402"/>
      <c r="J86" s="8"/>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10"/>
      <c r="AO86" s="65">
        <f t="shared" si="5"/>
        <v>0</v>
      </c>
    </row>
    <row r="87" spans="2:41" s="4" customFormat="1" ht="24" customHeight="1" x14ac:dyDescent="0.2">
      <c r="B87" s="14"/>
      <c r="C87" s="23"/>
      <c r="D87" s="21" t="str">
        <f>IF(ISBLANK(C87), "",
_xlfn.WEBSERVICE(
"https://d16nxf5gxyt1xz.cloudfront.net/Prod/translation?id="
&amp;アカウント情報!$C$2&amp;
"&amp;pwd="
&amp;アカウント情報!$C$3&amp;
"&amp;item="
&amp;_xlfn.ENCODEURL(設定!$F$3)&amp;
"&amp;word="
&amp;_xlfn.ENCODEURL(C87)
)
)</f>
        <v/>
      </c>
      <c r="E87" s="6"/>
      <c r="F87" s="16" t="str">
        <f>IFERROR(VLOOKUP($E87,設定!$C:$F,2,0),"")</f>
        <v/>
      </c>
      <c r="G87" s="156" t="str">
        <f>IFERROR(VLOOKUP($E87,設定!$C:$F,3,0),"")</f>
        <v/>
      </c>
      <c r="H87" s="131" t="str">
        <f>IFERROR(VLOOKUP($E87,設定!$C:$F,4,0),"")</f>
        <v/>
      </c>
      <c r="I87" s="402"/>
      <c r="J87" s="8"/>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10"/>
      <c r="AO87" s="65">
        <f t="shared" si="5"/>
        <v>0</v>
      </c>
    </row>
    <row r="88" spans="2:41" s="4" customFormat="1" ht="24" customHeight="1" x14ac:dyDescent="0.2">
      <c r="B88" s="14"/>
      <c r="C88" s="23"/>
      <c r="D88" s="21" t="str">
        <f>IF(ISBLANK(C88), "",
_xlfn.WEBSERVICE(
"https://d16nxf5gxyt1xz.cloudfront.net/Prod/translation?id="
&amp;アカウント情報!$C$2&amp;
"&amp;pwd="
&amp;アカウント情報!$C$3&amp;
"&amp;item="
&amp;_xlfn.ENCODEURL(設定!$F$3)&amp;
"&amp;word="
&amp;_xlfn.ENCODEURL(C88)
)
)</f>
        <v/>
      </c>
      <c r="E88" s="6"/>
      <c r="F88" s="16" t="str">
        <f>IFERROR(VLOOKUP($E88,設定!$C:$F,2,0),"")</f>
        <v/>
      </c>
      <c r="G88" s="156" t="str">
        <f>IFERROR(VLOOKUP($E88,設定!$C:$F,3,0),"")</f>
        <v/>
      </c>
      <c r="H88" s="131" t="str">
        <f>IFERROR(VLOOKUP($E88,設定!$C:$F,4,0),"")</f>
        <v/>
      </c>
      <c r="I88" s="402"/>
      <c r="J88" s="8"/>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10"/>
      <c r="AO88" s="65">
        <f t="shared" si="5"/>
        <v>0</v>
      </c>
    </row>
    <row r="89" spans="2:41" s="4" customFormat="1" ht="24" customHeight="1" x14ac:dyDescent="0.2">
      <c r="B89" s="14"/>
      <c r="C89" s="23"/>
      <c r="D89" s="21" t="str">
        <f>IF(ISBLANK(C89), "",
_xlfn.WEBSERVICE(
"https://d16nxf5gxyt1xz.cloudfront.net/Prod/translation?id="
&amp;アカウント情報!$C$2&amp;
"&amp;pwd="
&amp;アカウント情報!$C$3&amp;
"&amp;item="
&amp;_xlfn.ENCODEURL(設定!$F$3)&amp;
"&amp;word="
&amp;_xlfn.ENCODEURL(C89)
)
)</f>
        <v/>
      </c>
      <c r="E89" s="6"/>
      <c r="F89" s="16" t="str">
        <f>IFERROR(VLOOKUP($E89,設定!$C:$F,2,0),"")</f>
        <v/>
      </c>
      <c r="G89" s="156" t="str">
        <f>IFERROR(VLOOKUP($E89,設定!$C:$F,3,0),"")</f>
        <v/>
      </c>
      <c r="H89" s="131" t="str">
        <f>IFERROR(VLOOKUP($E89,設定!$C:$F,4,0),"")</f>
        <v/>
      </c>
      <c r="I89" s="402"/>
      <c r="J89" s="8"/>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10"/>
      <c r="AO89" s="65">
        <f t="shared" si="5"/>
        <v>0</v>
      </c>
    </row>
    <row r="90" spans="2:41" s="4" customFormat="1" ht="24" customHeight="1" x14ac:dyDescent="0.2">
      <c r="B90" s="14"/>
      <c r="C90" s="23"/>
      <c r="D90" s="21" t="str">
        <f>IF(ISBLANK(C90), "",
_xlfn.WEBSERVICE(
"https://d16nxf5gxyt1xz.cloudfront.net/Prod/translation?id="
&amp;アカウント情報!$C$2&amp;
"&amp;pwd="
&amp;アカウント情報!$C$3&amp;
"&amp;item="
&amp;_xlfn.ENCODEURL(設定!$F$3)&amp;
"&amp;word="
&amp;_xlfn.ENCODEURL(C90)
)
)</f>
        <v/>
      </c>
      <c r="E90" s="6"/>
      <c r="F90" s="16" t="str">
        <f>IFERROR(VLOOKUP($E90,設定!$C:$F,2,0),"")</f>
        <v/>
      </c>
      <c r="G90" s="156" t="str">
        <f>IFERROR(VLOOKUP($E90,設定!$C:$F,3,0),"")</f>
        <v/>
      </c>
      <c r="H90" s="131" t="str">
        <f>IFERROR(VLOOKUP($E90,設定!$C:$F,4,0),"")</f>
        <v/>
      </c>
      <c r="I90" s="402"/>
      <c r="J90" s="8"/>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10"/>
      <c r="AO90" s="65">
        <f t="shared" si="5"/>
        <v>0</v>
      </c>
    </row>
    <row r="91" spans="2:41" s="4" customFormat="1" ht="24" customHeight="1" x14ac:dyDescent="0.2">
      <c r="B91" s="14"/>
      <c r="C91" s="23"/>
      <c r="D91" s="21" t="str">
        <f>IF(ISBLANK(C91), "",
_xlfn.WEBSERVICE(
"https://d16nxf5gxyt1xz.cloudfront.net/Prod/translation?id="
&amp;アカウント情報!$C$2&amp;
"&amp;pwd="
&amp;アカウント情報!$C$3&amp;
"&amp;item="
&amp;_xlfn.ENCODEURL(設定!$F$3)&amp;
"&amp;word="
&amp;_xlfn.ENCODEURL(C91)
)
)</f>
        <v/>
      </c>
      <c r="E91" s="6"/>
      <c r="F91" s="16" t="str">
        <f>IFERROR(VLOOKUP($E91,設定!$C:$F,2,0),"")</f>
        <v/>
      </c>
      <c r="G91" s="156" t="str">
        <f>IFERROR(VLOOKUP($E91,設定!$C:$F,3,0),"")</f>
        <v/>
      </c>
      <c r="H91" s="131" t="str">
        <f>IFERROR(VLOOKUP($E91,設定!$C:$F,4,0),"")</f>
        <v/>
      </c>
      <c r="I91" s="402"/>
      <c r="J91" s="8"/>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10"/>
      <c r="AO91" s="65">
        <f t="shared" si="5"/>
        <v>0</v>
      </c>
    </row>
    <row r="92" spans="2:41" s="4" customFormat="1" ht="24" customHeight="1" x14ac:dyDescent="0.2">
      <c r="B92" s="14"/>
      <c r="C92" s="23"/>
      <c r="D92" s="21" t="str">
        <f>IF(ISBLANK(C92), "",
_xlfn.WEBSERVICE(
"https://d16nxf5gxyt1xz.cloudfront.net/Prod/translation?id="
&amp;アカウント情報!$C$2&amp;
"&amp;pwd="
&amp;アカウント情報!$C$3&amp;
"&amp;item="
&amp;_xlfn.ENCODEURL(設定!$F$3)&amp;
"&amp;word="
&amp;_xlfn.ENCODEURL(C92)
)
)</f>
        <v/>
      </c>
      <c r="E92" s="6"/>
      <c r="F92" s="16" t="str">
        <f>IFERROR(VLOOKUP($E92,設定!$C:$F,2,0),"")</f>
        <v/>
      </c>
      <c r="G92" s="156" t="str">
        <f>IFERROR(VLOOKUP($E92,設定!$C:$F,3,0),"")</f>
        <v/>
      </c>
      <c r="H92" s="131" t="str">
        <f>IFERROR(VLOOKUP($E92,設定!$C:$F,4,0),"")</f>
        <v/>
      </c>
      <c r="I92" s="402"/>
      <c r="J92" s="8"/>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10"/>
      <c r="AO92" s="65">
        <f t="shared" si="5"/>
        <v>0</v>
      </c>
    </row>
    <row r="93" spans="2:41" s="4" customFormat="1" ht="24" customHeight="1" x14ac:dyDescent="0.2">
      <c r="B93" s="14"/>
      <c r="C93" s="23"/>
      <c r="D93" s="21" t="str">
        <f>IF(ISBLANK(C93), "",
_xlfn.WEBSERVICE(
"https://d16nxf5gxyt1xz.cloudfront.net/Prod/translation?id="
&amp;アカウント情報!$C$2&amp;
"&amp;pwd="
&amp;アカウント情報!$C$3&amp;
"&amp;item="
&amp;_xlfn.ENCODEURL(設定!$F$3)&amp;
"&amp;word="
&amp;_xlfn.ENCODEURL(C93)
)
)</f>
        <v/>
      </c>
      <c r="E93" s="6"/>
      <c r="F93" s="16" t="str">
        <f>IFERROR(VLOOKUP($E93,設定!$C:$F,2,0),"")</f>
        <v/>
      </c>
      <c r="G93" s="156" t="str">
        <f>IFERROR(VLOOKUP($E93,設定!$C:$F,3,0),"")</f>
        <v/>
      </c>
      <c r="H93" s="131" t="str">
        <f>IFERROR(VLOOKUP($E93,設定!$C:$F,4,0),"")</f>
        <v/>
      </c>
      <c r="I93" s="402"/>
      <c r="J93" s="8"/>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10"/>
      <c r="AO93" s="65">
        <f t="shared" si="5"/>
        <v>0</v>
      </c>
    </row>
    <row r="94" spans="2:41" s="4" customFormat="1" ht="24" customHeight="1" x14ac:dyDescent="0.2">
      <c r="B94" s="14"/>
      <c r="C94" s="23"/>
      <c r="D94" s="21" t="str">
        <f>IF(ISBLANK(C94), "",
_xlfn.WEBSERVICE(
"https://d16nxf5gxyt1xz.cloudfront.net/Prod/translation?id="
&amp;アカウント情報!$C$2&amp;
"&amp;pwd="
&amp;アカウント情報!$C$3&amp;
"&amp;item="
&amp;_xlfn.ENCODEURL(設定!$F$3)&amp;
"&amp;word="
&amp;_xlfn.ENCODEURL(C94)
)
)</f>
        <v/>
      </c>
      <c r="E94" s="6"/>
      <c r="F94" s="16" t="str">
        <f>IFERROR(VLOOKUP($E94,設定!$C:$F,2,0),"")</f>
        <v/>
      </c>
      <c r="G94" s="156" t="str">
        <f>IFERROR(VLOOKUP($E94,設定!$C:$F,3,0),"")</f>
        <v/>
      </c>
      <c r="H94" s="131" t="str">
        <f>IFERROR(VLOOKUP($E94,設定!$C:$F,4,0),"")</f>
        <v/>
      </c>
      <c r="I94" s="402"/>
      <c r="J94" s="8"/>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10"/>
      <c r="AO94" s="65">
        <f t="shared" si="5"/>
        <v>0</v>
      </c>
    </row>
    <row r="95" spans="2:41" s="4" customFormat="1" ht="24" customHeight="1" x14ac:dyDescent="0.2">
      <c r="B95" s="14"/>
      <c r="C95" s="23"/>
      <c r="D95" s="21" t="str">
        <f>IF(ISBLANK(C95), "",
_xlfn.WEBSERVICE(
"https://d16nxf5gxyt1xz.cloudfront.net/Prod/translation?id="
&amp;アカウント情報!$C$2&amp;
"&amp;pwd="
&amp;アカウント情報!$C$3&amp;
"&amp;item="
&amp;_xlfn.ENCODEURL(設定!$F$3)&amp;
"&amp;word="
&amp;_xlfn.ENCODEURL(C95)
)
)</f>
        <v/>
      </c>
      <c r="E95" s="6"/>
      <c r="F95" s="16" t="str">
        <f>IFERROR(VLOOKUP($E95,設定!$C:$F,2,0),"")</f>
        <v/>
      </c>
      <c r="G95" s="156" t="str">
        <f>IFERROR(VLOOKUP($E95,設定!$C:$F,3,0),"")</f>
        <v/>
      </c>
      <c r="H95" s="131" t="str">
        <f>IFERROR(VLOOKUP($E95,設定!$C:$F,4,0),"")</f>
        <v/>
      </c>
      <c r="I95" s="402"/>
      <c r="J95" s="8"/>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10"/>
      <c r="AO95" s="65">
        <f t="shared" si="5"/>
        <v>0</v>
      </c>
    </row>
    <row r="96" spans="2:41" s="4" customFormat="1" ht="24" customHeight="1" x14ac:dyDescent="0.2">
      <c r="B96" s="14"/>
      <c r="C96" s="23"/>
      <c r="D96" s="21" t="str">
        <f>IF(ISBLANK(C96), "",
_xlfn.WEBSERVICE(
"https://d16nxf5gxyt1xz.cloudfront.net/Prod/translation?id="
&amp;アカウント情報!$C$2&amp;
"&amp;pwd="
&amp;アカウント情報!$C$3&amp;
"&amp;item="
&amp;_xlfn.ENCODEURL(設定!$F$3)&amp;
"&amp;word="
&amp;_xlfn.ENCODEURL(C96)
)
)</f>
        <v/>
      </c>
      <c r="E96" s="6"/>
      <c r="F96" s="16" t="str">
        <f>IFERROR(VLOOKUP($E96,設定!$C:$F,2,0),"")</f>
        <v/>
      </c>
      <c r="G96" s="156" t="str">
        <f>IFERROR(VLOOKUP($E96,設定!$C:$F,3,0),"")</f>
        <v/>
      </c>
      <c r="H96" s="131" t="str">
        <f>IFERROR(VLOOKUP($E96,設定!$C:$F,4,0),"")</f>
        <v/>
      </c>
      <c r="I96" s="402"/>
      <c r="J96" s="8"/>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10"/>
      <c r="AO96" s="65">
        <f t="shared" si="5"/>
        <v>0</v>
      </c>
    </row>
    <row r="97" spans="2:41" s="4" customFormat="1" ht="24" customHeight="1" x14ac:dyDescent="0.2">
      <c r="B97" s="14"/>
      <c r="C97" s="23"/>
      <c r="D97" s="21" t="str">
        <f>IF(ISBLANK(C97), "",
_xlfn.WEBSERVICE(
"https://d16nxf5gxyt1xz.cloudfront.net/Prod/translation?id="
&amp;アカウント情報!$C$2&amp;
"&amp;pwd="
&amp;アカウント情報!$C$3&amp;
"&amp;item="
&amp;_xlfn.ENCODEURL(設定!$F$3)&amp;
"&amp;word="
&amp;_xlfn.ENCODEURL(C97)
)
)</f>
        <v/>
      </c>
      <c r="E97" s="6"/>
      <c r="F97" s="16" t="str">
        <f>IFERROR(VLOOKUP($E97,設定!$C:$F,2,0),"")</f>
        <v/>
      </c>
      <c r="G97" s="156" t="str">
        <f>IFERROR(VLOOKUP($E97,設定!$C:$F,3,0),"")</f>
        <v/>
      </c>
      <c r="H97" s="131" t="str">
        <f>IFERROR(VLOOKUP($E97,設定!$C:$F,4,0),"")</f>
        <v/>
      </c>
      <c r="I97" s="402"/>
      <c r="J97" s="8"/>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10"/>
      <c r="AO97" s="65">
        <f t="shared" si="5"/>
        <v>0</v>
      </c>
    </row>
    <row r="98" spans="2:41" s="4" customFormat="1" ht="24" customHeight="1" x14ac:dyDescent="0.2">
      <c r="B98" s="14"/>
      <c r="C98" s="23"/>
      <c r="D98" s="21" t="str">
        <f>IF(ISBLANK(C98), "",
_xlfn.WEBSERVICE(
"https://d16nxf5gxyt1xz.cloudfront.net/Prod/translation?id="
&amp;アカウント情報!$C$2&amp;
"&amp;pwd="
&amp;アカウント情報!$C$3&amp;
"&amp;item="
&amp;_xlfn.ENCODEURL(設定!$F$3)&amp;
"&amp;word="
&amp;_xlfn.ENCODEURL(C98)
)
)</f>
        <v/>
      </c>
      <c r="E98" s="6"/>
      <c r="F98" s="16" t="str">
        <f>IFERROR(VLOOKUP($E98,設定!$C:$F,2,0),"")</f>
        <v/>
      </c>
      <c r="G98" s="156" t="str">
        <f>IFERROR(VLOOKUP($E98,設定!$C:$F,3,0),"")</f>
        <v/>
      </c>
      <c r="H98" s="131" t="str">
        <f>IFERROR(VLOOKUP($E98,設定!$C:$F,4,0),"")</f>
        <v/>
      </c>
      <c r="I98" s="402"/>
      <c r="J98" s="8"/>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10"/>
      <c r="AO98" s="65">
        <f t="shared" si="5"/>
        <v>0</v>
      </c>
    </row>
    <row r="99" spans="2:41" s="4" customFormat="1" ht="24" customHeight="1" x14ac:dyDescent="0.2">
      <c r="B99" s="14"/>
      <c r="C99" s="23"/>
      <c r="D99" s="21" t="str">
        <f>IF(ISBLANK(C99), "",
_xlfn.WEBSERVICE(
"https://d16nxf5gxyt1xz.cloudfront.net/Prod/translation?id="
&amp;アカウント情報!$C$2&amp;
"&amp;pwd="
&amp;アカウント情報!$C$3&amp;
"&amp;item="
&amp;_xlfn.ENCODEURL(設定!$F$3)&amp;
"&amp;word="
&amp;_xlfn.ENCODEURL(C99)
)
)</f>
        <v/>
      </c>
      <c r="E99" s="6"/>
      <c r="F99" s="16" t="str">
        <f>IFERROR(VLOOKUP($E99,設定!$C:$F,2,0),"")</f>
        <v/>
      </c>
      <c r="G99" s="156" t="str">
        <f>IFERROR(VLOOKUP($E99,設定!$C:$F,3,0),"")</f>
        <v/>
      </c>
      <c r="H99" s="131" t="str">
        <f>IFERROR(VLOOKUP($E99,設定!$C:$F,4,0),"")</f>
        <v/>
      </c>
      <c r="I99" s="402"/>
      <c r="J99" s="8"/>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10"/>
      <c r="AO99" s="65">
        <f t="shared" si="5"/>
        <v>0</v>
      </c>
    </row>
    <row r="100" spans="2:41" s="4" customFormat="1" ht="24" customHeight="1" x14ac:dyDescent="0.2">
      <c r="B100" s="14"/>
      <c r="C100" s="23"/>
      <c r="D100" s="21" t="str">
        <f>IF(ISBLANK(C100), "",
_xlfn.WEBSERVICE(
"https://d16nxf5gxyt1xz.cloudfront.net/Prod/translation?id="
&amp;アカウント情報!$C$2&amp;
"&amp;pwd="
&amp;アカウント情報!$C$3&amp;
"&amp;item="
&amp;_xlfn.ENCODEURL(設定!$F$3)&amp;
"&amp;word="
&amp;_xlfn.ENCODEURL(C100)
)
)</f>
        <v/>
      </c>
      <c r="E100" s="6"/>
      <c r="F100" s="16" t="str">
        <f>IFERROR(VLOOKUP($E100,設定!$C:$F,2,0),"")</f>
        <v/>
      </c>
      <c r="G100" s="156" t="str">
        <f>IFERROR(VLOOKUP($E100,設定!$C:$F,3,0),"")</f>
        <v/>
      </c>
      <c r="H100" s="131" t="str">
        <f>IFERROR(VLOOKUP($E100,設定!$C:$F,4,0),"")</f>
        <v/>
      </c>
      <c r="I100" s="402"/>
      <c r="J100" s="8"/>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10"/>
      <c r="AO100" s="65">
        <f t="shared" si="5"/>
        <v>0</v>
      </c>
    </row>
    <row r="101" spans="2:41" s="4" customFormat="1" ht="24" customHeight="1" x14ac:dyDescent="0.2">
      <c r="B101" s="14"/>
      <c r="C101" s="23"/>
      <c r="D101" s="21" t="str">
        <f>IF(ISBLANK(C101), "",
_xlfn.WEBSERVICE(
"https://d16nxf5gxyt1xz.cloudfront.net/Prod/translation?id="
&amp;アカウント情報!$C$2&amp;
"&amp;pwd="
&amp;アカウント情報!$C$3&amp;
"&amp;item="
&amp;_xlfn.ENCODEURL(設定!$F$3)&amp;
"&amp;word="
&amp;_xlfn.ENCODEURL(C101)
)
)</f>
        <v/>
      </c>
      <c r="E101" s="6"/>
      <c r="F101" s="16" t="str">
        <f>IFERROR(VLOOKUP($E101,設定!$C:$F,2,0),"")</f>
        <v/>
      </c>
      <c r="G101" s="156" t="str">
        <f>IFERROR(VLOOKUP($E101,設定!$C:$F,3,0),"")</f>
        <v/>
      </c>
      <c r="H101" s="131" t="str">
        <f>IFERROR(VLOOKUP($E101,設定!$C:$F,4,0),"")</f>
        <v/>
      </c>
      <c r="I101" s="402"/>
      <c r="J101" s="8"/>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10"/>
      <c r="AO101" s="65">
        <f t="shared" si="5"/>
        <v>0</v>
      </c>
    </row>
    <row r="102" spans="2:41" s="4" customFormat="1" ht="24" customHeight="1" x14ac:dyDescent="0.2">
      <c r="B102" s="14"/>
      <c r="C102" s="23"/>
      <c r="D102" s="21" t="str">
        <f>IF(ISBLANK(C102), "",
_xlfn.WEBSERVICE(
"https://d16nxf5gxyt1xz.cloudfront.net/Prod/translation?id="
&amp;アカウント情報!$C$2&amp;
"&amp;pwd="
&amp;アカウント情報!$C$3&amp;
"&amp;item="
&amp;_xlfn.ENCODEURL(設定!$F$3)&amp;
"&amp;word="
&amp;_xlfn.ENCODEURL(C102)
)
)</f>
        <v/>
      </c>
      <c r="E102" s="6"/>
      <c r="F102" s="16" t="str">
        <f>IFERROR(VLOOKUP($E102,設定!$C:$F,2,0),"")</f>
        <v/>
      </c>
      <c r="G102" s="156" t="str">
        <f>IFERROR(VLOOKUP($E102,設定!$C:$F,3,0),"")</f>
        <v/>
      </c>
      <c r="H102" s="131" t="str">
        <f>IFERROR(VLOOKUP($E102,設定!$C:$F,4,0),"")</f>
        <v/>
      </c>
      <c r="I102" s="402"/>
      <c r="J102" s="8"/>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10"/>
      <c r="AO102" s="65">
        <f t="shared" ref="AO102:AO148" si="6">I102*SUM(J102:AN102)</f>
        <v>0</v>
      </c>
    </row>
    <row r="103" spans="2:41" s="4" customFormat="1" ht="24" customHeight="1" x14ac:dyDescent="0.2">
      <c r="B103" s="14"/>
      <c r="C103" s="23"/>
      <c r="D103" s="21" t="str">
        <f>IF(ISBLANK(C103), "",
_xlfn.WEBSERVICE(
"https://d16nxf5gxyt1xz.cloudfront.net/Prod/translation?id="
&amp;アカウント情報!$C$2&amp;
"&amp;pwd="
&amp;アカウント情報!$C$3&amp;
"&amp;item="
&amp;_xlfn.ENCODEURL(設定!$F$3)&amp;
"&amp;word="
&amp;_xlfn.ENCODEURL(C103)
)
)</f>
        <v/>
      </c>
      <c r="E103" s="6"/>
      <c r="F103" s="16" t="str">
        <f>IFERROR(VLOOKUP($E103,設定!$C:$F,2,0),"")</f>
        <v/>
      </c>
      <c r="G103" s="156" t="str">
        <f>IFERROR(VLOOKUP($E103,設定!$C:$F,3,0),"")</f>
        <v/>
      </c>
      <c r="H103" s="131" t="str">
        <f>IFERROR(VLOOKUP($E103,設定!$C:$F,4,0),"")</f>
        <v/>
      </c>
      <c r="I103" s="402"/>
      <c r="J103" s="8"/>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10"/>
      <c r="AO103" s="65">
        <f t="shared" si="6"/>
        <v>0</v>
      </c>
    </row>
    <row r="104" spans="2:41" s="4" customFormat="1" ht="24" customHeight="1" x14ac:dyDescent="0.2">
      <c r="B104" s="14"/>
      <c r="C104" s="23"/>
      <c r="D104" s="21" t="str">
        <f>IF(ISBLANK(C104), "",
_xlfn.WEBSERVICE(
"https://d16nxf5gxyt1xz.cloudfront.net/Prod/translation?id="
&amp;アカウント情報!$C$2&amp;
"&amp;pwd="
&amp;アカウント情報!$C$3&amp;
"&amp;item="
&amp;_xlfn.ENCODEURL(設定!$F$3)&amp;
"&amp;word="
&amp;_xlfn.ENCODEURL(C104)
)
)</f>
        <v/>
      </c>
      <c r="E104" s="6"/>
      <c r="F104" s="16" t="str">
        <f>IFERROR(VLOOKUP($E104,設定!$C:$F,2,0),"")</f>
        <v/>
      </c>
      <c r="G104" s="156" t="str">
        <f>IFERROR(VLOOKUP($E104,設定!$C:$F,3,0),"")</f>
        <v/>
      </c>
      <c r="H104" s="131" t="str">
        <f>IFERROR(VLOOKUP($E104,設定!$C:$F,4,0),"")</f>
        <v/>
      </c>
      <c r="I104" s="402"/>
      <c r="J104" s="8"/>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10"/>
      <c r="AO104" s="65">
        <f t="shared" si="6"/>
        <v>0</v>
      </c>
    </row>
    <row r="105" spans="2:41" s="4" customFormat="1" ht="24" customHeight="1" x14ac:dyDescent="0.2">
      <c r="B105" s="14"/>
      <c r="C105" s="23"/>
      <c r="D105" s="21" t="str">
        <f>IF(ISBLANK(C105), "",
_xlfn.WEBSERVICE(
"https://d16nxf5gxyt1xz.cloudfront.net/Prod/translation?id="
&amp;アカウント情報!$C$2&amp;
"&amp;pwd="
&amp;アカウント情報!$C$3&amp;
"&amp;item="
&amp;_xlfn.ENCODEURL(設定!$F$3)&amp;
"&amp;word="
&amp;_xlfn.ENCODEURL(C105)
)
)</f>
        <v/>
      </c>
      <c r="E105" s="6"/>
      <c r="F105" s="16" t="str">
        <f>IFERROR(VLOOKUP($E105,設定!$C:$F,2,0),"")</f>
        <v/>
      </c>
      <c r="G105" s="156" t="str">
        <f>IFERROR(VLOOKUP($E105,設定!$C:$F,3,0),"")</f>
        <v/>
      </c>
      <c r="H105" s="131" t="str">
        <f>IFERROR(VLOOKUP($E105,設定!$C:$F,4,0),"")</f>
        <v/>
      </c>
      <c r="I105" s="402"/>
      <c r="J105" s="8"/>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10"/>
      <c r="AO105" s="65">
        <f t="shared" si="6"/>
        <v>0</v>
      </c>
    </row>
    <row r="106" spans="2:41" s="4" customFormat="1" ht="24" customHeight="1" x14ac:dyDescent="0.2">
      <c r="B106" s="14"/>
      <c r="C106" s="23"/>
      <c r="D106" s="21" t="str">
        <f>IF(ISBLANK(C106), "",
_xlfn.WEBSERVICE(
"https://d16nxf5gxyt1xz.cloudfront.net/Prod/translation?id="
&amp;アカウント情報!$C$2&amp;
"&amp;pwd="
&amp;アカウント情報!$C$3&amp;
"&amp;item="
&amp;_xlfn.ENCODEURL(設定!$F$3)&amp;
"&amp;word="
&amp;_xlfn.ENCODEURL(C106)
)
)</f>
        <v/>
      </c>
      <c r="E106" s="6"/>
      <c r="F106" s="16" t="str">
        <f>IFERROR(VLOOKUP($E106,設定!$C:$F,2,0),"")</f>
        <v/>
      </c>
      <c r="G106" s="156" t="str">
        <f>IFERROR(VLOOKUP($E106,設定!$C:$F,3,0),"")</f>
        <v/>
      </c>
      <c r="H106" s="131" t="str">
        <f>IFERROR(VLOOKUP($E106,設定!$C:$F,4,0),"")</f>
        <v/>
      </c>
      <c r="I106" s="402"/>
      <c r="J106" s="8"/>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10"/>
      <c r="AO106" s="65">
        <f t="shared" si="6"/>
        <v>0</v>
      </c>
    </row>
    <row r="107" spans="2:41" s="4" customFormat="1" ht="24" customHeight="1" x14ac:dyDescent="0.2">
      <c r="B107" s="14"/>
      <c r="C107" s="23"/>
      <c r="D107" s="21" t="str">
        <f>IF(ISBLANK(C107), "",
_xlfn.WEBSERVICE(
"https://d16nxf5gxyt1xz.cloudfront.net/Prod/translation?id="
&amp;アカウント情報!$C$2&amp;
"&amp;pwd="
&amp;アカウント情報!$C$3&amp;
"&amp;item="
&amp;_xlfn.ENCODEURL(設定!$F$3)&amp;
"&amp;word="
&amp;_xlfn.ENCODEURL(C107)
)
)</f>
        <v/>
      </c>
      <c r="E107" s="6"/>
      <c r="F107" s="16" t="str">
        <f>IFERROR(VLOOKUP($E107,設定!$C:$F,2,0),"")</f>
        <v/>
      </c>
      <c r="G107" s="156" t="str">
        <f>IFERROR(VLOOKUP($E107,設定!$C:$F,3,0),"")</f>
        <v/>
      </c>
      <c r="H107" s="131" t="str">
        <f>IFERROR(VLOOKUP($E107,設定!$C:$F,4,0),"")</f>
        <v/>
      </c>
      <c r="I107" s="402"/>
      <c r="J107" s="8"/>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10"/>
      <c r="AO107" s="65">
        <f t="shared" si="6"/>
        <v>0</v>
      </c>
    </row>
    <row r="108" spans="2:41" s="4" customFormat="1" ht="24" customHeight="1" x14ac:dyDescent="0.2">
      <c r="B108" s="14"/>
      <c r="C108" s="23"/>
      <c r="D108" s="21" t="str">
        <f>IF(ISBLANK(C108), "",
_xlfn.WEBSERVICE(
"https://d16nxf5gxyt1xz.cloudfront.net/Prod/translation?id="
&amp;アカウント情報!$C$2&amp;
"&amp;pwd="
&amp;アカウント情報!$C$3&amp;
"&amp;item="
&amp;_xlfn.ENCODEURL(設定!$F$3)&amp;
"&amp;word="
&amp;_xlfn.ENCODEURL(C108)
)
)</f>
        <v/>
      </c>
      <c r="E108" s="6"/>
      <c r="F108" s="16" t="str">
        <f>IFERROR(VLOOKUP($E108,設定!$C:$F,2,0),"")</f>
        <v/>
      </c>
      <c r="G108" s="156" t="str">
        <f>IFERROR(VLOOKUP($E108,設定!$C:$F,3,0),"")</f>
        <v/>
      </c>
      <c r="H108" s="131" t="str">
        <f>IFERROR(VLOOKUP($E108,設定!$C:$F,4,0),"")</f>
        <v/>
      </c>
      <c r="I108" s="402"/>
      <c r="J108" s="8"/>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10"/>
      <c r="AO108" s="65">
        <f t="shared" si="6"/>
        <v>0</v>
      </c>
    </row>
    <row r="109" spans="2:41" s="4" customFormat="1" ht="24" customHeight="1" x14ac:dyDescent="0.2">
      <c r="B109" s="14"/>
      <c r="C109" s="23"/>
      <c r="D109" s="21" t="str">
        <f>IF(ISBLANK(C109), "",
_xlfn.WEBSERVICE(
"https://d16nxf5gxyt1xz.cloudfront.net/Prod/translation?id="
&amp;アカウント情報!$C$2&amp;
"&amp;pwd="
&amp;アカウント情報!$C$3&amp;
"&amp;item="
&amp;_xlfn.ENCODEURL(設定!$F$3)&amp;
"&amp;word="
&amp;_xlfn.ENCODEURL(C109)
)
)</f>
        <v/>
      </c>
      <c r="E109" s="6"/>
      <c r="F109" s="16" t="str">
        <f>IFERROR(VLOOKUP($E109,設定!$C:$F,2,0),"")</f>
        <v/>
      </c>
      <c r="G109" s="156" t="str">
        <f>IFERROR(VLOOKUP($E109,設定!$C:$F,3,0),"")</f>
        <v/>
      </c>
      <c r="H109" s="131" t="str">
        <f>IFERROR(VLOOKUP($E109,設定!$C:$F,4,0),"")</f>
        <v/>
      </c>
      <c r="I109" s="402"/>
      <c r="J109" s="8"/>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10"/>
      <c r="AO109" s="65">
        <f t="shared" si="6"/>
        <v>0</v>
      </c>
    </row>
    <row r="110" spans="2:41" s="4" customFormat="1" ht="24" customHeight="1" x14ac:dyDescent="0.2">
      <c r="B110" s="14"/>
      <c r="C110" s="23"/>
      <c r="D110" s="21" t="str">
        <f>IF(ISBLANK(C110), "",
_xlfn.WEBSERVICE(
"https://d16nxf5gxyt1xz.cloudfront.net/Prod/translation?id="
&amp;アカウント情報!$C$2&amp;
"&amp;pwd="
&amp;アカウント情報!$C$3&amp;
"&amp;item="
&amp;_xlfn.ENCODEURL(設定!$F$3)&amp;
"&amp;word="
&amp;_xlfn.ENCODEURL(C110)
)
)</f>
        <v/>
      </c>
      <c r="E110" s="6"/>
      <c r="F110" s="16" t="str">
        <f>IFERROR(VLOOKUP($E110,設定!$C:$F,2,0),"")</f>
        <v/>
      </c>
      <c r="G110" s="156" t="str">
        <f>IFERROR(VLOOKUP($E110,設定!$C:$F,3,0),"")</f>
        <v/>
      </c>
      <c r="H110" s="131" t="str">
        <f>IFERROR(VLOOKUP($E110,設定!$C:$F,4,0),"")</f>
        <v/>
      </c>
      <c r="I110" s="402"/>
      <c r="J110" s="8"/>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10"/>
      <c r="AO110" s="65">
        <f t="shared" si="6"/>
        <v>0</v>
      </c>
    </row>
    <row r="111" spans="2:41" s="4" customFormat="1" ht="24" customHeight="1" x14ac:dyDescent="0.2">
      <c r="B111" s="14"/>
      <c r="C111" s="23"/>
      <c r="D111" s="21" t="str">
        <f>IF(ISBLANK(C111), "",
_xlfn.WEBSERVICE(
"https://d16nxf5gxyt1xz.cloudfront.net/Prod/translation?id="
&amp;アカウント情報!$C$2&amp;
"&amp;pwd="
&amp;アカウント情報!$C$3&amp;
"&amp;item="
&amp;_xlfn.ENCODEURL(設定!$F$3)&amp;
"&amp;word="
&amp;_xlfn.ENCODEURL(C111)
)
)</f>
        <v/>
      </c>
      <c r="E111" s="6"/>
      <c r="F111" s="16" t="str">
        <f>IFERROR(VLOOKUP($E111,設定!$C:$F,2,0),"")</f>
        <v/>
      </c>
      <c r="G111" s="156" t="str">
        <f>IFERROR(VLOOKUP($E111,設定!$C:$F,3,0),"")</f>
        <v/>
      </c>
      <c r="H111" s="131" t="str">
        <f>IFERROR(VLOOKUP($E111,設定!$C:$F,4,0),"")</f>
        <v/>
      </c>
      <c r="I111" s="402"/>
      <c r="J111" s="8"/>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10"/>
      <c r="AO111" s="65">
        <f t="shared" si="6"/>
        <v>0</v>
      </c>
    </row>
    <row r="112" spans="2:41" s="4" customFormat="1" ht="24" customHeight="1" x14ac:dyDescent="0.2">
      <c r="B112" s="14"/>
      <c r="C112" s="23"/>
      <c r="D112" s="21" t="str">
        <f>IF(ISBLANK(C112), "",
_xlfn.WEBSERVICE(
"https://d16nxf5gxyt1xz.cloudfront.net/Prod/translation?id="
&amp;アカウント情報!$C$2&amp;
"&amp;pwd="
&amp;アカウント情報!$C$3&amp;
"&amp;item="
&amp;_xlfn.ENCODEURL(設定!$F$3)&amp;
"&amp;word="
&amp;_xlfn.ENCODEURL(C112)
)
)</f>
        <v/>
      </c>
      <c r="E112" s="6"/>
      <c r="F112" s="16" t="str">
        <f>IFERROR(VLOOKUP($E112,設定!$C:$F,2,0),"")</f>
        <v/>
      </c>
      <c r="G112" s="156" t="str">
        <f>IFERROR(VLOOKUP($E112,設定!$C:$F,3,0),"")</f>
        <v/>
      </c>
      <c r="H112" s="131" t="str">
        <f>IFERROR(VLOOKUP($E112,設定!$C:$F,4,0),"")</f>
        <v/>
      </c>
      <c r="I112" s="402"/>
      <c r="J112" s="8"/>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10"/>
      <c r="AO112" s="65">
        <f t="shared" si="6"/>
        <v>0</v>
      </c>
    </row>
    <row r="113" spans="2:41" s="4" customFormat="1" ht="24" customHeight="1" x14ac:dyDescent="0.2">
      <c r="B113" s="14"/>
      <c r="C113" s="23"/>
      <c r="D113" s="21" t="str">
        <f>IF(ISBLANK(C113), "",
_xlfn.WEBSERVICE(
"https://d16nxf5gxyt1xz.cloudfront.net/Prod/translation?id="
&amp;アカウント情報!$C$2&amp;
"&amp;pwd="
&amp;アカウント情報!$C$3&amp;
"&amp;item="
&amp;_xlfn.ENCODEURL(設定!$F$3)&amp;
"&amp;word="
&amp;_xlfn.ENCODEURL(C113)
)
)</f>
        <v/>
      </c>
      <c r="E113" s="6"/>
      <c r="F113" s="16" t="str">
        <f>IFERROR(VLOOKUP($E113,設定!$C:$F,2,0),"")</f>
        <v/>
      </c>
      <c r="G113" s="156" t="str">
        <f>IFERROR(VLOOKUP($E113,設定!$C:$F,3,0),"")</f>
        <v/>
      </c>
      <c r="H113" s="131" t="str">
        <f>IFERROR(VLOOKUP($E113,設定!$C:$F,4,0),"")</f>
        <v/>
      </c>
      <c r="I113" s="402"/>
      <c r="J113" s="8"/>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10"/>
      <c r="AO113" s="65">
        <f t="shared" si="6"/>
        <v>0</v>
      </c>
    </row>
    <row r="114" spans="2:41" s="4" customFormat="1" ht="24" customHeight="1" x14ac:dyDescent="0.2">
      <c r="B114" s="14"/>
      <c r="C114" s="23"/>
      <c r="D114" s="21" t="str">
        <f>IF(ISBLANK(C114), "",
_xlfn.WEBSERVICE(
"https://d16nxf5gxyt1xz.cloudfront.net/Prod/translation?id="
&amp;アカウント情報!$C$2&amp;
"&amp;pwd="
&amp;アカウント情報!$C$3&amp;
"&amp;item="
&amp;_xlfn.ENCODEURL(設定!$F$3)&amp;
"&amp;word="
&amp;_xlfn.ENCODEURL(C114)
)
)</f>
        <v/>
      </c>
      <c r="E114" s="6"/>
      <c r="F114" s="16" t="str">
        <f>IFERROR(VLOOKUP($E114,設定!$C:$F,2,0),"")</f>
        <v/>
      </c>
      <c r="G114" s="156" t="str">
        <f>IFERROR(VLOOKUP($E114,設定!$C:$F,3,0),"")</f>
        <v/>
      </c>
      <c r="H114" s="131" t="str">
        <f>IFERROR(VLOOKUP($E114,設定!$C:$F,4,0),"")</f>
        <v/>
      </c>
      <c r="I114" s="402"/>
      <c r="J114" s="8"/>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10"/>
      <c r="AO114" s="65">
        <f t="shared" si="6"/>
        <v>0</v>
      </c>
    </row>
    <row r="115" spans="2:41" s="4" customFormat="1" ht="24" customHeight="1" x14ac:dyDescent="0.2">
      <c r="B115" s="14"/>
      <c r="C115" s="23"/>
      <c r="D115" s="21" t="str">
        <f>IF(ISBLANK(C115), "",
_xlfn.WEBSERVICE(
"https://d16nxf5gxyt1xz.cloudfront.net/Prod/translation?id="
&amp;アカウント情報!$C$2&amp;
"&amp;pwd="
&amp;アカウント情報!$C$3&amp;
"&amp;item="
&amp;_xlfn.ENCODEURL(設定!$F$3)&amp;
"&amp;word="
&amp;_xlfn.ENCODEURL(C115)
)
)</f>
        <v/>
      </c>
      <c r="E115" s="6"/>
      <c r="F115" s="16" t="str">
        <f>IFERROR(VLOOKUP($E115,設定!$C:$F,2,0),"")</f>
        <v/>
      </c>
      <c r="G115" s="156" t="str">
        <f>IFERROR(VLOOKUP($E115,設定!$C:$F,3,0),"")</f>
        <v/>
      </c>
      <c r="H115" s="131" t="str">
        <f>IFERROR(VLOOKUP($E115,設定!$C:$F,4,0),"")</f>
        <v/>
      </c>
      <c r="I115" s="402"/>
      <c r="J115" s="8"/>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10"/>
      <c r="AO115" s="65">
        <f t="shared" si="6"/>
        <v>0</v>
      </c>
    </row>
    <row r="116" spans="2:41" s="4" customFormat="1" ht="24" customHeight="1" x14ac:dyDescent="0.2">
      <c r="B116" s="14"/>
      <c r="C116" s="23"/>
      <c r="D116" s="21" t="str">
        <f>IF(ISBLANK(C116), "",
_xlfn.WEBSERVICE(
"https://d16nxf5gxyt1xz.cloudfront.net/Prod/translation?id="
&amp;アカウント情報!$C$2&amp;
"&amp;pwd="
&amp;アカウント情報!$C$3&amp;
"&amp;item="
&amp;_xlfn.ENCODEURL(設定!$F$3)&amp;
"&amp;word="
&amp;_xlfn.ENCODEURL(C116)
)
)</f>
        <v/>
      </c>
      <c r="E116" s="6"/>
      <c r="F116" s="16" t="str">
        <f>IFERROR(VLOOKUP($E116,設定!$C:$F,2,0),"")</f>
        <v/>
      </c>
      <c r="G116" s="156" t="str">
        <f>IFERROR(VLOOKUP($E116,設定!$C:$F,3,0),"")</f>
        <v/>
      </c>
      <c r="H116" s="131" t="str">
        <f>IFERROR(VLOOKUP($E116,設定!$C:$F,4,0),"")</f>
        <v/>
      </c>
      <c r="I116" s="402"/>
      <c r="J116" s="8"/>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10"/>
      <c r="AO116" s="65">
        <f t="shared" si="6"/>
        <v>0</v>
      </c>
    </row>
    <row r="117" spans="2:41" s="4" customFormat="1" ht="24" customHeight="1" x14ac:dyDescent="0.2">
      <c r="B117" s="14"/>
      <c r="C117" s="23"/>
      <c r="D117" s="21" t="str">
        <f>IF(ISBLANK(C117), "",
_xlfn.WEBSERVICE(
"https://d16nxf5gxyt1xz.cloudfront.net/Prod/translation?id="
&amp;アカウント情報!$C$2&amp;
"&amp;pwd="
&amp;アカウント情報!$C$3&amp;
"&amp;item="
&amp;_xlfn.ENCODEURL(設定!$F$3)&amp;
"&amp;word="
&amp;_xlfn.ENCODEURL(C117)
)
)</f>
        <v/>
      </c>
      <c r="E117" s="6"/>
      <c r="F117" s="16" t="str">
        <f>IFERROR(VLOOKUP($E117,設定!$C:$F,2,0),"")</f>
        <v/>
      </c>
      <c r="G117" s="156" t="str">
        <f>IFERROR(VLOOKUP($E117,設定!$C:$F,3,0),"")</f>
        <v/>
      </c>
      <c r="H117" s="131" t="str">
        <f>IFERROR(VLOOKUP($E117,設定!$C:$F,4,0),"")</f>
        <v/>
      </c>
      <c r="I117" s="402"/>
      <c r="J117" s="8"/>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10"/>
      <c r="AO117" s="65">
        <f t="shared" si="6"/>
        <v>0</v>
      </c>
    </row>
    <row r="118" spans="2:41" s="4" customFormat="1" ht="24" customHeight="1" x14ac:dyDescent="0.2">
      <c r="B118" s="14"/>
      <c r="C118" s="23"/>
      <c r="D118" s="21" t="str">
        <f>IF(ISBLANK(C118), "",
_xlfn.WEBSERVICE(
"https://d16nxf5gxyt1xz.cloudfront.net/Prod/translation?id="
&amp;アカウント情報!$C$2&amp;
"&amp;pwd="
&amp;アカウント情報!$C$3&amp;
"&amp;item="
&amp;_xlfn.ENCODEURL(設定!$F$3)&amp;
"&amp;word="
&amp;_xlfn.ENCODEURL(C118)
)
)</f>
        <v/>
      </c>
      <c r="E118" s="6"/>
      <c r="F118" s="16" t="str">
        <f>IFERROR(VLOOKUP($E118,設定!$C:$F,2,0),"")</f>
        <v/>
      </c>
      <c r="G118" s="156" t="str">
        <f>IFERROR(VLOOKUP($E118,設定!$C:$F,3,0),"")</f>
        <v/>
      </c>
      <c r="H118" s="131" t="str">
        <f>IFERROR(VLOOKUP($E118,設定!$C:$F,4,0),"")</f>
        <v/>
      </c>
      <c r="I118" s="402"/>
      <c r="J118" s="8"/>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10"/>
      <c r="AO118" s="65">
        <f t="shared" si="6"/>
        <v>0</v>
      </c>
    </row>
    <row r="119" spans="2:41" s="4" customFormat="1" ht="24" customHeight="1" x14ac:dyDescent="0.2">
      <c r="B119" s="14"/>
      <c r="C119" s="23"/>
      <c r="D119" s="21" t="str">
        <f>IF(ISBLANK(C119), "",
_xlfn.WEBSERVICE(
"https://d16nxf5gxyt1xz.cloudfront.net/Prod/translation?id="
&amp;アカウント情報!$C$2&amp;
"&amp;pwd="
&amp;アカウント情報!$C$3&amp;
"&amp;item="
&amp;_xlfn.ENCODEURL(設定!$F$3)&amp;
"&amp;word="
&amp;_xlfn.ENCODEURL(C119)
)
)</f>
        <v/>
      </c>
      <c r="E119" s="6"/>
      <c r="F119" s="16" t="str">
        <f>IFERROR(VLOOKUP($E119,設定!$C:$F,2,0),"")</f>
        <v/>
      </c>
      <c r="G119" s="156" t="str">
        <f>IFERROR(VLOOKUP($E119,設定!$C:$F,3,0),"")</f>
        <v/>
      </c>
      <c r="H119" s="131" t="str">
        <f>IFERROR(VLOOKUP($E119,設定!$C:$F,4,0),"")</f>
        <v/>
      </c>
      <c r="I119" s="402"/>
      <c r="J119" s="8"/>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10"/>
      <c r="AO119" s="65">
        <f t="shared" si="6"/>
        <v>0</v>
      </c>
    </row>
    <row r="120" spans="2:41" s="4" customFormat="1" ht="24" customHeight="1" x14ac:dyDescent="0.2">
      <c r="B120" s="14"/>
      <c r="C120" s="23"/>
      <c r="D120" s="21" t="str">
        <f>IF(ISBLANK(C120), "",
_xlfn.WEBSERVICE(
"https://d16nxf5gxyt1xz.cloudfront.net/Prod/translation?id="
&amp;アカウント情報!$C$2&amp;
"&amp;pwd="
&amp;アカウント情報!$C$3&amp;
"&amp;item="
&amp;_xlfn.ENCODEURL(設定!$F$3)&amp;
"&amp;word="
&amp;_xlfn.ENCODEURL(C120)
)
)</f>
        <v/>
      </c>
      <c r="E120" s="6"/>
      <c r="F120" s="16" t="str">
        <f>IFERROR(VLOOKUP($E120,設定!$C:$F,2,0),"")</f>
        <v/>
      </c>
      <c r="G120" s="156" t="str">
        <f>IFERROR(VLOOKUP($E120,設定!$C:$F,3,0),"")</f>
        <v/>
      </c>
      <c r="H120" s="131" t="str">
        <f>IFERROR(VLOOKUP($E120,設定!$C:$F,4,0),"")</f>
        <v/>
      </c>
      <c r="I120" s="402"/>
      <c r="J120" s="8"/>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10"/>
      <c r="AO120" s="65">
        <f t="shared" si="6"/>
        <v>0</v>
      </c>
    </row>
    <row r="121" spans="2:41" s="4" customFormat="1" ht="24" customHeight="1" x14ac:dyDescent="0.2">
      <c r="B121" s="14"/>
      <c r="C121" s="23"/>
      <c r="D121" s="21" t="str">
        <f>IF(ISBLANK(C121), "",
_xlfn.WEBSERVICE(
"https://d16nxf5gxyt1xz.cloudfront.net/Prod/translation?id="
&amp;アカウント情報!$C$2&amp;
"&amp;pwd="
&amp;アカウント情報!$C$3&amp;
"&amp;item="
&amp;_xlfn.ENCODEURL(設定!$F$3)&amp;
"&amp;word="
&amp;_xlfn.ENCODEURL(C121)
)
)</f>
        <v/>
      </c>
      <c r="E121" s="6"/>
      <c r="F121" s="16" t="str">
        <f>IFERROR(VLOOKUP($E121,設定!$C:$F,2,0),"")</f>
        <v/>
      </c>
      <c r="G121" s="156" t="str">
        <f>IFERROR(VLOOKUP($E121,設定!$C:$F,3,0),"")</f>
        <v/>
      </c>
      <c r="H121" s="131" t="str">
        <f>IFERROR(VLOOKUP($E121,設定!$C:$F,4,0),"")</f>
        <v/>
      </c>
      <c r="I121" s="402"/>
      <c r="J121" s="8"/>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10"/>
      <c r="AO121" s="65">
        <f t="shared" si="6"/>
        <v>0</v>
      </c>
    </row>
    <row r="122" spans="2:41" s="4" customFormat="1" ht="24" customHeight="1" x14ac:dyDescent="0.2">
      <c r="B122" s="14"/>
      <c r="C122" s="23"/>
      <c r="D122" s="21" t="str">
        <f>IF(ISBLANK(C122), "",
_xlfn.WEBSERVICE(
"https://d16nxf5gxyt1xz.cloudfront.net/Prod/translation?id="
&amp;アカウント情報!$C$2&amp;
"&amp;pwd="
&amp;アカウント情報!$C$3&amp;
"&amp;item="
&amp;_xlfn.ENCODEURL(設定!$F$3)&amp;
"&amp;word="
&amp;_xlfn.ENCODEURL(C122)
)
)</f>
        <v/>
      </c>
      <c r="E122" s="6"/>
      <c r="F122" s="16" t="str">
        <f>IFERROR(VLOOKUP($E122,設定!$C:$F,2,0),"")</f>
        <v/>
      </c>
      <c r="G122" s="156" t="str">
        <f>IFERROR(VLOOKUP($E122,設定!$C:$F,3,0),"")</f>
        <v/>
      </c>
      <c r="H122" s="131" t="str">
        <f>IFERROR(VLOOKUP($E122,設定!$C:$F,4,0),"")</f>
        <v/>
      </c>
      <c r="I122" s="402"/>
      <c r="J122" s="8"/>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10"/>
      <c r="AO122" s="65">
        <f t="shared" si="6"/>
        <v>0</v>
      </c>
    </row>
    <row r="123" spans="2:41" s="4" customFormat="1" ht="24" customHeight="1" x14ac:dyDescent="0.2">
      <c r="B123" s="14"/>
      <c r="C123" s="23"/>
      <c r="D123" s="21" t="str">
        <f>IF(ISBLANK(C123), "",
_xlfn.WEBSERVICE(
"https://d16nxf5gxyt1xz.cloudfront.net/Prod/translation?id="
&amp;アカウント情報!$C$2&amp;
"&amp;pwd="
&amp;アカウント情報!$C$3&amp;
"&amp;item="
&amp;_xlfn.ENCODEURL(設定!$F$3)&amp;
"&amp;word="
&amp;_xlfn.ENCODEURL(C123)
)
)</f>
        <v/>
      </c>
      <c r="E123" s="6"/>
      <c r="F123" s="16" t="str">
        <f>IFERROR(VLOOKUP($E123,設定!$C:$F,2,0),"")</f>
        <v/>
      </c>
      <c r="G123" s="156" t="str">
        <f>IFERROR(VLOOKUP($E123,設定!$C:$F,3,0),"")</f>
        <v/>
      </c>
      <c r="H123" s="131" t="str">
        <f>IFERROR(VLOOKUP($E123,設定!$C:$F,4,0),"")</f>
        <v/>
      </c>
      <c r="I123" s="402"/>
      <c r="J123" s="8"/>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10"/>
      <c r="AO123" s="65">
        <f t="shared" si="6"/>
        <v>0</v>
      </c>
    </row>
    <row r="124" spans="2:41" s="4" customFormat="1" ht="24" customHeight="1" x14ac:dyDescent="0.2">
      <c r="B124" s="14"/>
      <c r="C124" s="23"/>
      <c r="D124" s="21" t="str">
        <f>IF(ISBLANK(C124), "",
_xlfn.WEBSERVICE(
"https://d16nxf5gxyt1xz.cloudfront.net/Prod/translation?id="
&amp;アカウント情報!$C$2&amp;
"&amp;pwd="
&amp;アカウント情報!$C$3&amp;
"&amp;item="
&amp;_xlfn.ENCODEURL(設定!$F$3)&amp;
"&amp;word="
&amp;_xlfn.ENCODEURL(C124)
)
)</f>
        <v/>
      </c>
      <c r="E124" s="6"/>
      <c r="F124" s="16" t="str">
        <f>IFERROR(VLOOKUP($E124,設定!$C:$F,2,0),"")</f>
        <v/>
      </c>
      <c r="G124" s="156" t="str">
        <f>IFERROR(VLOOKUP($E124,設定!$C:$F,3,0),"")</f>
        <v/>
      </c>
      <c r="H124" s="131" t="str">
        <f>IFERROR(VLOOKUP($E124,設定!$C:$F,4,0),"")</f>
        <v/>
      </c>
      <c r="I124" s="402"/>
      <c r="J124" s="8"/>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10"/>
      <c r="AO124" s="65">
        <f t="shared" si="6"/>
        <v>0</v>
      </c>
    </row>
    <row r="125" spans="2:41" s="4" customFormat="1" ht="24" customHeight="1" x14ac:dyDescent="0.2">
      <c r="B125" s="14"/>
      <c r="C125" s="23"/>
      <c r="D125" s="21" t="str">
        <f>IF(ISBLANK(C125), "",
_xlfn.WEBSERVICE(
"https://d16nxf5gxyt1xz.cloudfront.net/Prod/translation?id="
&amp;アカウント情報!$C$2&amp;
"&amp;pwd="
&amp;アカウント情報!$C$3&amp;
"&amp;item="
&amp;_xlfn.ENCODEURL(設定!$F$3)&amp;
"&amp;word="
&amp;_xlfn.ENCODEURL(C125)
)
)</f>
        <v/>
      </c>
      <c r="E125" s="6"/>
      <c r="F125" s="16" t="str">
        <f>IFERROR(VLOOKUP($E125,設定!$C:$F,2,0),"")</f>
        <v/>
      </c>
      <c r="G125" s="156" t="str">
        <f>IFERROR(VLOOKUP($E125,設定!$C:$F,3,0),"")</f>
        <v/>
      </c>
      <c r="H125" s="131" t="str">
        <f>IFERROR(VLOOKUP($E125,設定!$C:$F,4,0),"")</f>
        <v/>
      </c>
      <c r="I125" s="402"/>
      <c r="J125" s="8"/>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10"/>
      <c r="AO125" s="65">
        <f t="shared" si="6"/>
        <v>0</v>
      </c>
    </row>
    <row r="126" spans="2:41" s="4" customFormat="1" ht="24" customHeight="1" x14ac:dyDescent="0.2">
      <c r="B126" s="14"/>
      <c r="C126" s="23"/>
      <c r="D126" s="21" t="str">
        <f>IF(ISBLANK(C126), "",
_xlfn.WEBSERVICE(
"https://d16nxf5gxyt1xz.cloudfront.net/Prod/translation?id="
&amp;アカウント情報!$C$2&amp;
"&amp;pwd="
&amp;アカウント情報!$C$3&amp;
"&amp;item="
&amp;_xlfn.ENCODEURL(設定!$F$3)&amp;
"&amp;word="
&amp;_xlfn.ENCODEURL(C126)
)
)</f>
        <v/>
      </c>
      <c r="E126" s="6"/>
      <c r="F126" s="16" t="str">
        <f>IFERROR(VLOOKUP($E126,設定!$C:$F,2,0),"")</f>
        <v/>
      </c>
      <c r="G126" s="156" t="str">
        <f>IFERROR(VLOOKUP($E126,設定!$C:$F,3,0),"")</f>
        <v/>
      </c>
      <c r="H126" s="131" t="str">
        <f>IFERROR(VLOOKUP($E126,設定!$C:$F,4,0),"")</f>
        <v/>
      </c>
      <c r="I126" s="402"/>
      <c r="J126" s="8"/>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10"/>
      <c r="AO126" s="65">
        <f t="shared" si="6"/>
        <v>0</v>
      </c>
    </row>
    <row r="127" spans="2:41" s="4" customFormat="1" ht="24" customHeight="1" x14ac:dyDescent="0.2">
      <c r="B127" s="14"/>
      <c r="C127" s="23"/>
      <c r="D127" s="21" t="str">
        <f>IF(ISBLANK(C127), "",
_xlfn.WEBSERVICE(
"https://d16nxf5gxyt1xz.cloudfront.net/Prod/translation?id="
&amp;アカウント情報!$C$2&amp;
"&amp;pwd="
&amp;アカウント情報!$C$3&amp;
"&amp;item="
&amp;_xlfn.ENCODEURL(設定!$F$3)&amp;
"&amp;word="
&amp;_xlfn.ENCODEURL(C127)
)
)</f>
        <v/>
      </c>
      <c r="E127" s="6"/>
      <c r="F127" s="16" t="str">
        <f>IFERROR(VLOOKUP($E127,設定!$C:$F,2,0),"")</f>
        <v/>
      </c>
      <c r="G127" s="156" t="str">
        <f>IFERROR(VLOOKUP($E127,設定!$C:$F,3,0),"")</f>
        <v/>
      </c>
      <c r="H127" s="131" t="str">
        <f>IFERROR(VLOOKUP($E127,設定!$C:$F,4,0),"")</f>
        <v/>
      </c>
      <c r="I127" s="402"/>
      <c r="J127" s="8"/>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10"/>
      <c r="AO127" s="65">
        <f t="shared" si="6"/>
        <v>0</v>
      </c>
    </row>
    <row r="128" spans="2:41" s="4" customFormat="1" ht="24" customHeight="1" x14ac:dyDescent="0.2">
      <c r="B128" s="14"/>
      <c r="C128" s="23"/>
      <c r="D128" s="21" t="str">
        <f>IF(ISBLANK(C128), "",
_xlfn.WEBSERVICE(
"https://d16nxf5gxyt1xz.cloudfront.net/Prod/translation?id="
&amp;アカウント情報!$C$2&amp;
"&amp;pwd="
&amp;アカウント情報!$C$3&amp;
"&amp;item="
&amp;_xlfn.ENCODEURL(設定!$F$3)&amp;
"&amp;word="
&amp;_xlfn.ENCODEURL(C128)
)
)</f>
        <v/>
      </c>
      <c r="E128" s="6"/>
      <c r="F128" s="16" t="str">
        <f>IFERROR(VLOOKUP($E128,設定!$C:$F,2,0),"")</f>
        <v/>
      </c>
      <c r="G128" s="156" t="str">
        <f>IFERROR(VLOOKUP($E128,設定!$C:$F,3,0),"")</f>
        <v/>
      </c>
      <c r="H128" s="131" t="str">
        <f>IFERROR(VLOOKUP($E128,設定!$C:$F,4,0),"")</f>
        <v/>
      </c>
      <c r="I128" s="402"/>
      <c r="J128" s="8"/>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10"/>
      <c r="AO128" s="65">
        <f t="shared" si="6"/>
        <v>0</v>
      </c>
    </row>
    <row r="129" spans="2:41" s="4" customFormat="1" ht="24" customHeight="1" x14ac:dyDescent="0.2">
      <c r="B129" s="14"/>
      <c r="C129" s="23"/>
      <c r="D129" s="21" t="str">
        <f>IF(ISBLANK(C129), "",
_xlfn.WEBSERVICE(
"https://d16nxf5gxyt1xz.cloudfront.net/Prod/translation?id="
&amp;アカウント情報!$C$2&amp;
"&amp;pwd="
&amp;アカウント情報!$C$3&amp;
"&amp;item="
&amp;_xlfn.ENCODEURL(設定!$F$3)&amp;
"&amp;word="
&amp;_xlfn.ENCODEURL(C129)
)
)</f>
        <v/>
      </c>
      <c r="E129" s="6"/>
      <c r="F129" s="16" t="str">
        <f>IFERROR(VLOOKUP($E129,設定!$C:$F,2,0),"")</f>
        <v/>
      </c>
      <c r="G129" s="156" t="str">
        <f>IFERROR(VLOOKUP($E129,設定!$C:$F,3,0),"")</f>
        <v/>
      </c>
      <c r="H129" s="131" t="str">
        <f>IFERROR(VLOOKUP($E129,設定!$C:$F,4,0),"")</f>
        <v/>
      </c>
      <c r="I129" s="402"/>
      <c r="J129" s="8"/>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10"/>
      <c r="AO129" s="65">
        <f t="shared" si="6"/>
        <v>0</v>
      </c>
    </row>
    <row r="130" spans="2:41" s="4" customFormat="1" ht="24" customHeight="1" x14ac:dyDescent="0.2">
      <c r="B130" s="14"/>
      <c r="C130" s="23"/>
      <c r="D130" s="21" t="str">
        <f>IF(ISBLANK(C130), "",
_xlfn.WEBSERVICE(
"https://d16nxf5gxyt1xz.cloudfront.net/Prod/translation?id="
&amp;アカウント情報!$C$2&amp;
"&amp;pwd="
&amp;アカウント情報!$C$3&amp;
"&amp;item="
&amp;_xlfn.ENCODEURL(設定!$F$3)&amp;
"&amp;word="
&amp;_xlfn.ENCODEURL(C130)
)
)</f>
        <v/>
      </c>
      <c r="E130" s="6"/>
      <c r="F130" s="16" t="str">
        <f>IFERROR(VLOOKUP($E130,設定!$C:$F,2,0),"")</f>
        <v/>
      </c>
      <c r="G130" s="156" t="str">
        <f>IFERROR(VLOOKUP($E130,設定!$C:$F,3,0),"")</f>
        <v/>
      </c>
      <c r="H130" s="131" t="str">
        <f>IFERROR(VLOOKUP($E130,設定!$C:$F,4,0),"")</f>
        <v/>
      </c>
      <c r="I130" s="402"/>
      <c r="J130" s="8"/>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10"/>
      <c r="AO130" s="65">
        <f t="shared" si="6"/>
        <v>0</v>
      </c>
    </row>
    <row r="131" spans="2:41" s="4" customFormat="1" ht="24" customHeight="1" x14ac:dyDescent="0.2">
      <c r="B131" s="14"/>
      <c r="C131" s="23"/>
      <c r="D131" s="21" t="str">
        <f>IF(ISBLANK(C131), "",
_xlfn.WEBSERVICE(
"https://d16nxf5gxyt1xz.cloudfront.net/Prod/translation?id="
&amp;アカウント情報!$C$2&amp;
"&amp;pwd="
&amp;アカウント情報!$C$3&amp;
"&amp;item="
&amp;_xlfn.ENCODEURL(設定!$F$3)&amp;
"&amp;word="
&amp;_xlfn.ENCODEURL(C131)
)
)</f>
        <v/>
      </c>
      <c r="E131" s="6"/>
      <c r="F131" s="16" t="str">
        <f>IFERROR(VLOOKUP($E131,設定!$C:$F,2,0),"")</f>
        <v/>
      </c>
      <c r="G131" s="156" t="str">
        <f>IFERROR(VLOOKUP($E131,設定!$C:$F,3,0),"")</f>
        <v/>
      </c>
      <c r="H131" s="131" t="str">
        <f>IFERROR(VLOOKUP($E131,設定!$C:$F,4,0),"")</f>
        <v/>
      </c>
      <c r="I131" s="402"/>
      <c r="J131" s="8"/>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10"/>
      <c r="AO131" s="65">
        <f t="shared" si="6"/>
        <v>0</v>
      </c>
    </row>
    <row r="132" spans="2:41" s="4" customFormat="1" ht="24" customHeight="1" x14ac:dyDescent="0.2">
      <c r="B132" s="14"/>
      <c r="C132" s="23"/>
      <c r="D132" s="21" t="str">
        <f>IF(ISBLANK(C132), "",
_xlfn.WEBSERVICE(
"https://d16nxf5gxyt1xz.cloudfront.net/Prod/translation?id="
&amp;アカウント情報!$C$2&amp;
"&amp;pwd="
&amp;アカウント情報!$C$3&amp;
"&amp;item="
&amp;_xlfn.ENCODEURL(設定!$F$3)&amp;
"&amp;word="
&amp;_xlfn.ENCODEURL(C132)
)
)</f>
        <v/>
      </c>
      <c r="E132" s="6"/>
      <c r="F132" s="16" t="str">
        <f>IFERROR(VLOOKUP($E132,設定!$C:$F,2,0),"")</f>
        <v/>
      </c>
      <c r="G132" s="156" t="str">
        <f>IFERROR(VLOOKUP($E132,設定!$C:$F,3,0),"")</f>
        <v/>
      </c>
      <c r="H132" s="131" t="str">
        <f>IFERROR(VLOOKUP($E132,設定!$C:$F,4,0),"")</f>
        <v/>
      </c>
      <c r="I132" s="402"/>
      <c r="J132" s="8"/>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10"/>
      <c r="AO132" s="65">
        <f t="shared" si="6"/>
        <v>0</v>
      </c>
    </row>
    <row r="133" spans="2:41" s="4" customFormat="1" ht="24" customHeight="1" x14ac:dyDescent="0.2">
      <c r="B133" s="14"/>
      <c r="C133" s="23"/>
      <c r="D133" s="21" t="str">
        <f>IF(ISBLANK(C133), "",
_xlfn.WEBSERVICE(
"https://d16nxf5gxyt1xz.cloudfront.net/Prod/translation?id="
&amp;アカウント情報!$C$2&amp;
"&amp;pwd="
&amp;アカウント情報!$C$3&amp;
"&amp;item="
&amp;_xlfn.ENCODEURL(設定!$F$3)&amp;
"&amp;word="
&amp;_xlfn.ENCODEURL(C133)
)
)</f>
        <v/>
      </c>
      <c r="E133" s="6"/>
      <c r="F133" s="16" t="str">
        <f>IFERROR(VLOOKUP($E133,設定!$C:$F,2,0),"")</f>
        <v/>
      </c>
      <c r="G133" s="156" t="str">
        <f>IFERROR(VLOOKUP($E133,設定!$C:$F,3,0),"")</f>
        <v/>
      </c>
      <c r="H133" s="131" t="str">
        <f>IFERROR(VLOOKUP($E133,設定!$C:$F,4,0),"")</f>
        <v/>
      </c>
      <c r="I133" s="402"/>
      <c r="J133" s="8"/>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10"/>
      <c r="AO133" s="65">
        <f t="shared" si="6"/>
        <v>0</v>
      </c>
    </row>
    <row r="134" spans="2:41" s="4" customFormat="1" ht="24" customHeight="1" x14ac:dyDescent="0.2">
      <c r="B134" s="14"/>
      <c r="C134" s="23"/>
      <c r="D134" s="21" t="str">
        <f>IF(ISBLANK(C134), "",
_xlfn.WEBSERVICE(
"https://d16nxf5gxyt1xz.cloudfront.net/Prod/translation?id="
&amp;アカウント情報!$C$2&amp;
"&amp;pwd="
&amp;アカウント情報!$C$3&amp;
"&amp;item="
&amp;_xlfn.ENCODEURL(設定!$F$3)&amp;
"&amp;word="
&amp;_xlfn.ENCODEURL(C134)
)
)</f>
        <v/>
      </c>
      <c r="E134" s="6"/>
      <c r="F134" s="16" t="str">
        <f>IFERROR(VLOOKUP($E134,設定!$C:$F,2,0),"")</f>
        <v/>
      </c>
      <c r="G134" s="156" t="str">
        <f>IFERROR(VLOOKUP($E134,設定!$C:$F,3,0),"")</f>
        <v/>
      </c>
      <c r="H134" s="131" t="str">
        <f>IFERROR(VLOOKUP($E134,設定!$C:$F,4,0),"")</f>
        <v/>
      </c>
      <c r="I134" s="402"/>
      <c r="J134" s="8"/>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10"/>
      <c r="AO134" s="65">
        <f t="shared" si="6"/>
        <v>0</v>
      </c>
    </row>
    <row r="135" spans="2:41" s="4" customFormat="1" ht="24" customHeight="1" x14ac:dyDescent="0.2">
      <c r="B135" s="14"/>
      <c r="C135" s="23"/>
      <c r="D135" s="21" t="str">
        <f>IF(ISBLANK(C135), "",
_xlfn.WEBSERVICE(
"https://d16nxf5gxyt1xz.cloudfront.net/Prod/translation?id="
&amp;アカウント情報!$C$2&amp;
"&amp;pwd="
&amp;アカウント情報!$C$3&amp;
"&amp;item="
&amp;_xlfn.ENCODEURL(設定!$F$3)&amp;
"&amp;word="
&amp;_xlfn.ENCODEURL(C135)
)
)</f>
        <v/>
      </c>
      <c r="E135" s="6"/>
      <c r="F135" s="16" t="str">
        <f>IFERROR(VLOOKUP($E135,設定!$C:$F,2,0),"")</f>
        <v/>
      </c>
      <c r="G135" s="156" t="str">
        <f>IFERROR(VLOOKUP($E135,設定!$C:$F,3,0),"")</f>
        <v/>
      </c>
      <c r="H135" s="131" t="str">
        <f>IFERROR(VLOOKUP($E135,設定!$C:$F,4,0),"")</f>
        <v/>
      </c>
      <c r="I135" s="402"/>
      <c r="J135" s="8"/>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10"/>
      <c r="AO135" s="65">
        <f t="shared" si="6"/>
        <v>0</v>
      </c>
    </row>
    <row r="136" spans="2:41" s="4" customFormat="1" ht="24" customHeight="1" x14ac:dyDescent="0.2">
      <c r="B136" s="14"/>
      <c r="C136" s="23"/>
      <c r="D136" s="21" t="str">
        <f>IF(ISBLANK(C136), "",
_xlfn.WEBSERVICE(
"https://d16nxf5gxyt1xz.cloudfront.net/Prod/translation?id="
&amp;アカウント情報!$C$2&amp;
"&amp;pwd="
&amp;アカウント情報!$C$3&amp;
"&amp;item="
&amp;_xlfn.ENCODEURL(設定!$F$3)&amp;
"&amp;word="
&amp;_xlfn.ENCODEURL(C136)
)
)</f>
        <v/>
      </c>
      <c r="E136" s="6"/>
      <c r="F136" s="16" t="str">
        <f>IFERROR(VLOOKUP($E136,設定!$C:$F,2,0),"")</f>
        <v/>
      </c>
      <c r="G136" s="156" t="str">
        <f>IFERROR(VLOOKUP($E136,設定!$C:$F,3,0),"")</f>
        <v/>
      </c>
      <c r="H136" s="131" t="str">
        <f>IFERROR(VLOOKUP($E136,設定!$C:$F,4,0),"")</f>
        <v/>
      </c>
      <c r="I136" s="402"/>
      <c r="J136" s="8"/>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10"/>
      <c r="AO136" s="65">
        <f t="shared" si="6"/>
        <v>0</v>
      </c>
    </row>
    <row r="137" spans="2:41" s="4" customFormat="1" ht="24" customHeight="1" x14ac:dyDescent="0.2">
      <c r="B137" s="14"/>
      <c r="C137" s="23"/>
      <c r="D137" s="21" t="str">
        <f>IF(ISBLANK(C137), "",
_xlfn.WEBSERVICE(
"https://d16nxf5gxyt1xz.cloudfront.net/Prod/translation?id="
&amp;アカウント情報!$C$2&amp;
"&amp;pwd="
&amp;アカウント情報!$C$3&amp;
"&amp;item="
&amp;_xlfn.ENCODEURL(設定!$F$3)&amp;
"&amp;word="
&amp;_xlfn.ENCODEURL(C137)
)
)</f>
        <v/>
      </c>
      <c r="E137" s="6"/>
      <c r="F137" s="16" t="str">
        <f>IFERROR(VLOOKUP($E137,設定!$C:$F,2,0),"")</f>
        <v/>
      </c>
      <c r="G137" s="156" t="str">
        <f>IFERROR(VLOOKUP($E137,設定!$C:$F,3,0),"")</f>
        <v/>
      </c>
      <c r="H137" s="131" t="str">
        <f>IFERROR(VLOOKUP($E137,設定!$C:$F,4,0),"")</f>
        <v/>
      </c>
      <c r="I137" s="402"/>
      <c r="J137" s="8"/>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10"/>
      <c r="AO137" s="65">
        <f t="shared" si="6"/>
        <v>0</v>
      </c>
    </row>
    <row r="138" spans="2:41" s="4" customFormat="1" ht="24" customHeight="1" x14ac:dyDescent="0.2">
      <c r="B138" s="14"/>
      <c r="C138" s="23"/>
      <c r="D138" s="21" t="str">
        <f>IF(ISBLANK(C138), "",
_xlfn.WEBSERVICE(
"https://d16nxf5gxyt1xz.cloudfront.net/Prod/translation?id="
&amp;アカウント情報!$C$2&amp;
"&amp;pwd="
&amp;アカウント情報!$C$3&amp;
"&amp;item="
&amp;_xlfn.ENCODEURL(設定!$F$3)&amp;
"&amp;word="
&amp;_xlfn.ENCODEURL(C138)
)
)</f>
        <v/>
      </c>
      <c r="E138" s="6"/>
      <c r="F138" s="16" t="str">
        <f>IFERROR(VLOOKUP($E138,設定!$C:$F,2,0),"")</f>
        <v/>
      </c>
      <c r="G138" s="156" t="str">
        <f>IFERROR(VLOOKUP($E138,設定!$C:$F,3,0),"")</f>
        <v/>
      </c>
      <c r="H138" s="131" t="str">
        <f>IFERROR(VLOOKUP($E138,設定!$C:$F,4,0),"")</f>
        <v/>
      </c>
      <c r="I138" s="402"/>
      <c r="J138" s="8"/>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10"/>
      <c r="AO138" s="65">
        <f t="shared" si="6"/>
        <v>0</v>
      </c>
    </row>
    <row r="139" spans="2:41" s="4" customFormat="1" ht="24" customHeight="1" x14ac:dyDescent="0.2">
      <c r="B139" s="14"/>
      <c r="C139" s="23"/>
      <c r="D139" s="21" t="str">
        <f>IF(ISBLANK(C139), "",
_xlfn.WEBSERVICE(
"https://d16nxf5gxyt1xz.cloudfront.net/Prod/translation?id="
&amp;アカウント情報!$C$2&amp;
"&amp;pwd="
&amp;アカウント情報!$C$3&amp;
"&amp;item="
&amp;_xlfn.ENCODEURL(設定!$F$3)&amp;
"&amp;word="
&amp;_xlfn.ENCODEURL(C139)
)
)</f>
        <v/>
      </c>
      <c r="E139" s="6"/>
      <c r="F139" s="16" t="str">
        <f>IFERROR(VLOOKUP($E139,設定!$C:$F,2,0),"")</f>
        <v/>
      </c>
      <c r="G139" s="156" t="str">
        <f>IFERROR(VLOOKUP($E139,設定!$C:$F,3,0),"")</f>
        <v/>
      </c>
      <c r="H139" s="131" t="str">
        <f>IFERROR(VLOOKUP($E139,設定!$C:$F,4,0),"")</f>
        <v/>
      </c>
      <c r="I139" s="402"/>
      <c r="J139" s="8"/>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10"/>
      <c r="AO139" s="65">
        <f t="shared" si="6"/>
        <v>0</v>
      </c>
    </row>
    <row r="140" spans="2:41" s="4" customFormat="1" ht="24" customHeight="1" x14ac:dyDescent="0.2">
      <c r="B140" s="14"/>
      <c r="C140" s="23"/>
      <c r="D140" s="21" t="str">
        <f>IF(ISBLANK(C140), "",
_xlfn.WEBSERVICE(
"https://d16nxf5gxyt1xz.cloudfront.net/Prod/translation?id="
&amp;アカウント情報!$C$2&amp;
"&amp;pwd="
&amp;アカウント情報!$C$3&amp;
"&amp;item="
&amp;_xlfn.ENCODEURL(設定!$F$3)&amp;
"&amp;word="
&amp;_xlfn.ENCODEURL(C140)
)
)</f>
        <v/>
      </c>
      <c r="E140" s="6"/>
      <c r="F140" s="16" t="str">
        <f>IFERROR(VLOOKUP($E140,設定!$C:$F,2,0),"")</f>
        <v/>
      </c>
      <c r="G140" s="156" t="str">
        <f>IFERROR(VLOOKUP($E140,設定!$C:$F,3,0),"")</f>
        <v/>
      </c>
      <c r="H140" s="131" t="str">
        <f>IFERROR(VLOOKUP($E140,設定!$C:$F,4,0),"")</f>
        <v/>
      </c>
      <c r="I140" s="402"/>
      <c r="J140" s="8"/>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10"/>
      <c r="AO140" s="65">
        <f t="shared" si="6"/>
        <v>0</v>
      </c>
    </row>
    <row r="141" spans="2:41" s="4" customFormat="1" ht="24" customHeight="1" x14ac:dyDescent="0.2">
      <c r="B141" s="14"/>
      <c r="C141" s="23"/>
      <c r="D141" s="21" t="str">
        <f>IF(ISBLANK(C141), "",
_xlfn.WEBSERVICE(
"https://d16nxf5gxyt1xz.cloudfront.net/Prod/translation?id="
&amp;アカウント情報!$C$2&amp;
"&amp;pwd="
&amp;アカウント情報!$C$3&amp;
"&amp;item="
&amp;_xlfn.ENCODEURL(設定!$F$3)&amp;
"&amp;word="
&amp;_xlfn.ENCODEURL(C141)
)
)</f>
        <v/>
      </c>
      <c r="E141" s="6"/>
      <c r="F141" s="16" t="str">
        <f>IFERROR(VLOOKUP($E141,設定!$C:$F,2,0),"")</f>
        <v/>
      </c>
      <c r="G141" s="156" t="str">
        <f>IFERROR(VLOOKUP($E141,設定!$C:$F,3,0),"")</f>
        <v/>
      </c>
      <c r="H141" s="131" t="str">
        <f>IFERROR(VLOOKUP($E141,設定!$C:$F,4,0),"")</f>
        <v/>
      </c>
      <c r="I141" s="402"/>
      <c r="J141" s="8"/>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10"/>
      <c r="AO141" s="65">
        <f t="shared" si="6"/>
        <v>0</v>
      </c>
    </row>
    <row r="142" spans="2:41" s="4" customFormat="1" ht="24" customHeight="1" x14ac:dyDescent="0.2">
      <c r="B142" s="14"/>
      <c r="C142" s="23"/>
      <c r="D142" s="21" t="str">
        <f>IF(ISBLANK(C142), "",
_xlfn.WEBSERVICE(
"https://d16nxf5gxyt1xz.cloudfront.net/Prod/translation?id="
&amp;アカウント情報!$C$2&amp;
"&amp;pwd="
&amp;アカウント情報!$C$3&amp;
"&amp;item="
&amp;_xlfn.ENCODEURL(設定!$F$3)&amp;
"&amp;word="
&amp;_xlfn.ENCODEURL(C142)
)
)</f>
        <v/>
      </c>
      <c r="E142" s="6"/>
      <c r="F142" s="16" t="str">
        <f>IFERROR(VLOOKUP($E142,設定!$C:$F,2,0),"")</f>
        <v/>
      </c>
      <c r="G142" s="156" t="str">
        <f>IFERROR(VLOOKUP($E142,設定!$C:$F,3,0),"")</f>
        <v/>
      </c>
      <c r="H142" s="131" t="str">
        <f>IFERROR(VLOOKUP($E142,設定!$C:$F,4,0),"")</f>
        <v/>
      </c>
      <c r="I142" s="402"/>
      <c r="J142" s="8"/>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10"/>
      <c r="AO142" s="65">
        <f t="shared" si="6"/>
        <v>0</v>
      </c>
    </row>
    <row r="143" spans="2:41" s="4" customFormat="1" ht="24" customHeight="1" x14ac:dyDescent="0.2">
      <c r="B143" s="14"/>
      <c r="C143" s="23"/>
      <c r="D143" s="21" t="str">
        <f>IF(ISBLANK(C143), "",
_xlfn.WEBSERVICE(
"https://d16nxf5gxyt1xz.cloudfront.net/Prod/translation?id="
&amp;アカウント情報!$C$2&amp;
"&amp;pwd="
&amp;アカウント情報!$C$3&amp;
"&amp;item="
&amp;_xlfn.ENCODEURL(設定!$F$3)&amp;
"&amp;word="
&amp;_xlfn.ENCODEURL(C143)
)
)</f>
        <v/>
      </c>
      <c r="E143" s="6"/>
      <c r="F143" s="16" t="str">
        <f>IFERROR(VLOOKUP($E143,設定!$C:$F,2,0),"")</f>
        <v/>
      </c>
      <c r="G143" s="156" t="str">
        <f>IFERROR(VLOOKUP($E143,設定!$C:$F,3,0),"")</f>
        <v/>
      </c>
      <c r="H143" s="131" t="str">
        <f>IFERROR(VLOOKUP($E143,設定!$C:$F,4,0),"")</f>
        <v/>
      </c>
      <c r="I143" s="402"/>
      <c r="J143" s="8"/>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10"/>
      <c r="AO143" s="65">
        <f t="shared" si="6"/>
        <v>0</v>
      </c>
    </row>
    <row r="144" spans="2:41" s="4" customFormat="1" ht="24" customHeight="1" x14ac:dyDescent="0.2">
      <c r="B144" s="14"/>
      <c r="C144" s="23"/>
      <c r="D144" s="21" t="str">
        <f>IF(ISBLANK(C144), "",
_xlfn.WEBSERVICE(
"https://d16nxf5gxyt1xz.cloudfront.net/Prod/translation?id="
&amp;アカウント情報!$C$2&amp;
"&amp;pwd="
&amp;アカウント情報!$C$3&amp;
"&amp;item="
&amp;_xlfn.ENCODEURL(設定!$F$3)&amp;
"&amp;word="
&amp;_xlfn.ENCODEURL(C144)
)
)</f>
        <v/>
      </c>
      <c r="E144" s="6"/>
      <c r="F144" s="16" t="str">
        <f>IFERROR(VLOOKUP($E144,設定!$C:$F,2,0),"")</f>
        <v/>
      </c>
      <c r="G144" s="156" t="str">
        <f>IFERROR(VLOOKUP($E144,設定!$C:$F,3,0),"")</f>
        <v/>
      </c>
      <c r="H144" s="131" t="str">
        <f>IFERROR(VLOOKUP($E144,設定!$C:$F,4,0),"")</f>
        <v/>
      </c>
      <c r="I144" s="402"/>
      <c r="J144" s="8"/>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10"/>
      <c r="AO144" s="65">
        <f t="shared" si="6"/>
        <v>0</v>
      </c>
    </row>
    <row r="145" spans="2:41" s="4" customFormat="1" ht="24" customHeight="1" x14ac:dyDescent="0.2">
      <c r="B145" s="14"/>
      <c r="C145" s="23"/>
      <c r="D145" s="21" t="str">
        <f>IF(ISBLANK(C145), "",
_xlfn.WEBSERVICE(
"https://d16nxf5gxyt1xz.cloudfront.net/Prod/translation?id="
&amp;アカウント情報!$C$2&amp;
"&amp;pwd="
&amp;アカウント情報!$C$3&amp;
"&amp;item="
&amp;_xlfn.ENCODEURL(設定!$F$3)&amp;
"&amp;word="
&amp;_xlfn.ENCODEURL(C145)
)
)</f>
        <v/>
      </c>
      <c r="E145" s="6"/>
      <c r="F145" s="16" t="str">
        <f>IFERROR(VLOOKUP($E145,設定!$C:$F,2,0),"")</f>
        <v/>
      </c>
      <c r="G145" s="156" t="str">
        <f>IFERROR(VLOOKUP($E145,設定!$C:$F,3,0),"")</f>
        <v/>
      </c>
      <c r="H145" s="131" t="str">
        <f>IFERROR(VLOOKUP($E145,設定!$C:$F,4,0),"")</f>
        <v/>
      </c>
      <c r="I145" s="402"/>
      <c r="J145" s="8"/>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10"/>
      <c r="AO145" s="65">
        <f t="shared" si="6"/>
        <v>0</v>
      </c>
    </row>
    <row r="146" spans="2:41" s="4" customFormat="1" ht="24" customHeight="1" x14ac:dyDescent="0.2">
      <c r="B146" s="14"/>
      <c r="C146" s="23"/>
      <c r="D146" s="21" t="str">
        <f>IF(ISBLANK(C146), "",
_xlfn.WEBSERVICE(
"https://d16nxf5gxyt1xz.cloudfront.net/Prod/translation?id="
&amp;アカウント情報!$C$2&amp;
"&amp;pwd="
&amp;アカウント情報!$C$3&amp;
"&amp;item="
&amp;_xlfn.ENCODEURL(設定!$F$3)&amp;
"&amp;word="
&amp;_xlfn.ENCODEURL(C146)
)
)</f>
        <v/>
      </c>
      <c r="E146" s="6"/>
      <c r="F146" s="16" t="str">
        <f>IFERROR(VLOOKUP($E146,設定!$C:$F,2,0),"")</f>
        <v/>
      </c>
      <c r="G146" s="156" t="str">
        <f>IFERROR(VLOOKUP($E146,設定!$C:$F,3,0),"")</f>
        <v/>
      </c>
      <c r="H146" s="131" t="str">
        <f>IFERROR(VLOOKUP($E146,設定!$C:$F,4,0),"")</f>
        <v/>
      </c>
      <c r="I146" s="402"/>
      <c r="J146" s="8"/>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10"/>
      <c r="AO146" s="65">
        <f t="shared" si="6"/>
        <v>0</v>
      </c>
    </row>
    <row r="147" spans="2:41" s="4" customFormat="1" ht="24" customHeight="1" x14ac:dyDescent="0.2">
      <c r="B147" s="14"/>
      <c r="C147" s="23"/>
      <c r="D147" s="21" t="str">
        <f>IF(ISBLANK(C147), "",
_xlfn.WEBSERVICE(
"https://d16nxf5gxyt1xz.cloudfront.net/Prod/translation?id="
&amp;アカウント情報!$C$2&amp;
"&amp;pwd="
&amp;アカウント情報!$C$3&amp;
"&amp;item="
&amp;_xlfn.ENCODEURL(設定!$F$3)&amp;
"&amp;word="
&amp;_xlfn.ENCODEURL(C147)
)
)</f>
        <v/>
      </c>
      <c r="E147" s="6"/>
      <c r="F147" s="16" t="str">
        <f>IFERROR(VLOOKUP($E147,設定!$C:$F,2,0),"")</f>
        <v/>
      </c>
      <c r="G147" s="156" t="str">
        <f>IFERROR(VLOOKUP($E147,設定!$C:$F,3,0),"")</f>
        <v/>
      </c>
      <c r="H147" s="131" t="str">
        <f>IFERROR(VLOOKUP($E147,設定!$C:$F,4,0),"")</f>
        <v/>
      </c>
      <c r="I147" s="402"/>
      <c r="J147" s="8"/>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10"/>
      <c r="AO147" s="65">
        <f t="shared" si="6"/>
        <v>0</v>
      </c>
    </row>
    <row r="148" spans="2:41" s="4" customFormat="1" ht="24" customHeight="1" x14ac:dyDescent="0.2">
      <c r="B148" s="14"/>
      <c r="C148" s="23"/>
      <c r="D148" s="21" t="str">
        <f>IF(ISBLANK(C148), "",
_xlfn.WEBSERVICE(
"https://d16nxf5gxyt1xz.cloudfront.net/Prod/translation?id="
&amp;アカウント情報!$C$2&amp;
"&amp;pwd="
&amp;アカウント情報!$C$3&amp;
"&amp;item="
&amp;_xlfn.ENCODEURL(設定!$F$3)&amp;
"&amp;word="
&amp;_xlfn.ENCODEURL(C148)
)
)</f>
        <v/>
      </c>
      <c r="E148" s="6"/>
      <c r="F148" s="16" t="str">
        <f>IFERROR(VLOOKUP($E148,設定!$C:$F,2,0),"")</f>
        <v/>
      </c>
      <c r="G148" s="156" t="str">
        <f>IFERROR(VLOOKUP($E148,設定!$C:$F,3,0),"")</f>
        <v/>
      </c>
      <c r="H148" s="131" t="str">
        <f>IFERROR(VLOOKUP($E148,設定!$C:$F,4,0),"")</f>
        <v/>
      </c>
      <c r="I148" s="402"/>
      <c r="J148" s="8"/>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10"/>
      <c r="AO148" s="65">
        <f t="shared" si="6"/>
        <v>0</v>
      </c>
    </row>
    <row r="149" spans="2:41" s="4" customFormat="1" ht="24" customHeight="1" x14ac:dyDescent="0.2">
      <c r="B149" s="14"/>
      <c r="C149" s="23"/>
      <c r="D149" s="21" t="str">
        <f>IF(ISBLANK(C149), "",
_xlfn.WEBSERVICE(
"https://d16nxf5gxyt1xz.cloudfront.net/Prod/translation?id="
&amp;アカウント情報!$C$2&amp;
"&amp;pwd="
&amp;アカウント情報!$C$3&amp;
"&amp;item="
&amp;_xlfn.ENCODEURL(設定!$F$3)&amp;
"&amp;word="
&amp;_xlfn.ENCODEURL(C149)
)
)</f>
        <v/>
      </c>
      <c r="E149" s="6"/>
      <c r="F149" s="16" t="str">
        <f>IFERROR(VLOOKUP($E149,設定!$C:$F,2,0),"")</f>
        <v/>
      </c>
      <c r="G149" s="156" t="str">
        <f>IFERROR(VLOOKUP($E149,設定!$C:$F,3,0),"")</f>
        <v/>
      </c>
      <c r="H149" s="131" t="str">
        <f>IFERROR(VLOOKUP($E149,設定!$C:$F,4,0),"")</f>
        <v/>
      </c>
      <c r="I149" s="402"/>
      <c r="J149" s="8"/>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10"/>
      <c r="AO149" s="65">
        <f t="shared" ref="AO149:AO196" si="7">I149*SUM(J149:AN149)</f>
        <v>0</v>
      </c>
    </row>
    <row r="150" spans="2:41" s="4" customFormat="1" ht="24" customHeight="1" x14ac:dyDescent="0.2">
      <c r="B150" s="14"/>
      <c r="C150" s="23"/>
      <c r="D150" s="21" t="str">
        <f>IF(ISBLANK(C150), "",
_xlfn.WEBSERVICE(
"https://d16nxf5gxyt1xz.cloudfront.net/Prod/translation?id="
&amp;アカウント情報!$C$2&amp;
"&amp;pwd="
&amp;アカウント情報!$C$3&amp;
"&amp;item="
&amp;_xlfn.ENCODEURL(設定!$F$3)&amp;
"&amp;word="
&amp;_xlfn.ENCODEURL(C150)
)
)</f>
        <v/>
      </c>
      <c r="E150" s="6"/>
      <c r="F150" s="16" t="str">
        <f>IFERROR(VLOOKUP($E150,設定!$C:$F,2,0),"")</f>
        <v/>
      </c>
      <c r="G150" s="156" t="str">
        <f>IFERROR(VLOOKUP($E150,設定!$C:$F,3,0),"")</f>
        <v/>
      </c>
      <c r="H150" s="131" t="str">
        <f>IFERROR(VLOOKUP($E150,設定!$C:$F,4,0),"")</f>
        <v/>
      </c>
      <c r="I150" s="402"/>
      <c r="J150" s="8"/>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10"/>
      <c r="AO150" s="65">
        <f t="shared" si="7"/>
        <v>0</v>
      </c>
    </row>
    <row r="151" spans="2:41" s="4" customFormat="1" ht="24" customHeight="1" x14ac:dyDescent="0.2">
      <c r="B151" s="14"/>
      <c r="C151" s="23"/>
      <c r="D151" s="21" t="str">
        <f>IF(ISBLANK(C151), "",
_xlfn.WEBSERVICE(
"https://d16nxf5gxyt1xz.cloudfront.net/Prod/translation?id="
&amp;アカウント情報!$C$2&amp;
"&amp;pwd="
&amp;アカウント情報!$C$3&amp;
"&amp;item="
&amp;_xlfn.ENCODEURL(設定!$F$3)&amp;
"&amp;word="
&amp;_xlfn.ENCODEURL(C151)
)
)</f>
        <v/>
      </c>
      <c r="E151" s="6"/>
      <c r="F151" s="16" t="str">
        <f>IFERROR(VLOOKUP($E151,設定!$C:$F,2,0),"")</f>
        <v/>
      </c>
      <c r="G151" s="156" t="str">
        <f>IFERROR(VLOOKUP($E151,設定!$C:$F,3,0),"")</f>
        <v/>
      </c>
      <c r="H151" s="131" t="str">
        <f>IFERROR(VLOOKUP($E151,設定!$C:$F,4,0),"")</f>
        <v/>
      </c>
      <c r="I151" s="402"/>
      <c r="J151" s="8"/>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10"/>
      <c r="AO151" s="65">
        <f t="shared" si="7"/>
        <v>0</v>
      </c>
    </row>
    <row r="152" spans="2:41" s="4" customFormat="1" ht="24" customHeight="1" x14ac:dyDescent="0.2">
      <c r="B152" s="14"/>
      <c r="C152" s="23"/>
      <c r="D152" s="21" t="str">
        <f>IF(ISBLANK(C152), "",
_xlfn.WEBSERVICE(
"https://d16nxf5gxyt1xz.cloudfront.net/Prod/translation?id="
&amp;アカウント情報!$C$2&amp;
"&amp;pwd="
&amp;アカウント情報!$C$3&amp;
"&amp;item="
&amp;_xlfn.ENCODEURL(設定!$F$3)&amp;
"&amp;word="
&amp;_xlfn.ENCODEURL(C152)
)
)</f>
        <v/>
      </c>
      <c r="E152" s="6"/>
      <c r="F152" s="16" t="str">
        <f>IFERROR(VLOOKUP($E152,設定!$C:$F,2,0),"")</f>
        <v/>
      </c>
      <c r="G152" s="156" t="str">
        <f>IFERROR(VLOOKUP($E152,設定!$C:$F,3,0),"")</f>
        <v/>
      </c>
      <c r="H152" s="131" t="str">
        <f>IFERROR(VLOOKUP($E152,設定!$C:$F,4,0),"")</f>
        <v/>
      </c>
      <c r="I152" s="402"/>
      <c r="J152" s="8"/>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10"/>
      <c r="AO152" s="65">
        <f t="shared" si="7"/>
        <v>0</v>
      </c>
    </row>
    <row r="153" spans="2:41" s="4" customFormat="1" ht="24" customHeight="1" x14ac:dyDescent="0.2">
      <c r="B153" s="14"/>
      <c r="C153" s="23"/>
      <c r="D153" s="21" t="str">
        <f>IF(ISBLANK(C153), "",
_xlfn.WEBSERVICE(
"https://d16nxf5gxyt1xz.cloudfront.net/Prod/translation?id="
&amp;アカウント情報!$C$2&amp;
"&amp;pwd="
&amp;アカウント情報!$C$3&amp;
"&amp;item="
&amp;_xlfn.ENCODEURL(設定!$F$3)&amp;
"&amp;word="
&amp;_xlfn.ENCODEURL(C153)
)
)</f>
        <v/>
      </c>
      <c r="E153" s="6"/>
      <c r="F153" s="16" t="str">
        <f>IFERROR(VLOOKUP($E153,設定!$C:$F,2,0),"")</f>
        <v/>
      </c>
      <c r="G153" s="156" t="str">
        <f>IFERROR(VLOOKUP($E153,設定!$C:$F,3,0),"")</f>
        <v/>
      </c>
      <c r="H153" s="131" t="str">
        <f>IFERROR(VLOOKUP($E153,設定!$C:$F,4,0),"")</f>
        <v/>
      </c>
      <c r="I153" s="402"/>
      <c r="J153" s="8"/>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10"/>
      <c r="AO153" s="65">
        <f t="shared" si="7"/>
        <v>0</v>
      </c>
    </row>
    <row r="154" spans="2:41" s="4" customFormat="1" ht="24" customHeight="1" x14ac:dyDescent="0.2">
      <c r="B154" s="14"/>
      <c r="C154" s="23"/>
      <c r="D154" s="21" t="str">
        <f>IF(ISBLANK(C154), "",
_xlfn.WEBSERVICE(
"https://d16nxf5gxyt1xz.cloudfront.net/Prod/translation?id="
&amp;アカウント情報!$C$2&amp;
"&amp;pwd="
&amp;アカウント情報!$C$3&amp;
"&amp;item="
&amp;_xlfn.ENCODEURL(設定!$F$3)&amp;
"&amp;word="
&amp;_xlfn.ENCODEURL(C154)
)
)</f>
        <v/>
      </c>
      <c r="E154" s="6"/>
      <c r="F154" s="16" t="str">
        <f>IFERROR(VLOOKUP($E154,設定!$C:$F,2,0),"")</f>
        <v/>
      </c>
      <c r="G154" s="156" t="str">
        <f>IFERROR(VLOOKUP($E154,設定!$C:$F,3,0),"")</f>
        <v/>
      </c>
      <c r="H154" s="131" t="str">
        <f>IFERROR(VLOOKUP($E154,設定!$C:$F,4,0),"")</f>
        <v/>
      </c>
      <c r="I154" s="402"/>
      <c r="J154" s="8"/>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10"/>
      <c r="AO154" s="65">
        <f t="shared" si="7"/>
        <v>0</v>
      </c>
    </row>
    <row r="155" spans="2:41" s="4" customFormat="1" ht="24" customHeight="1" x14ac:dyDescent="0.2">
      <c r="B155" s="14"/>
      <c r="C155" s="23"/>
      <c r="D155" s="21" t="str">
        <f>IF(ISBLANK(C155), "",
_xlfn.WEBSERVICE(
"https://d16nxf5gxyt1xz.cloudfront.net/Prod/translation?id="
&amp;アカウント情報!$C$2&amp;
"&amp;pwd="
&amp;アカウント情報!$C$3&amp;
"&amp;item="
&amp;_xlfn.ENCODEURL(設定!$F$3)&amp;
"&amp;word="
&amp;_xlfn.ENCODEURL(C155)
)
)</f>
        <v/>
      </c>
      <c r="E155" s="6"/>
      <c r="F155" s="16" t="str">
        <f>IFERROR(VLOOKUP($E155,設定!$C:$F,2,0),"")</f>
        <v/>
      </c>
      <c r="G155" s="156" t="str">
        <f>IFERROR(VLOOKUP($E155,設定!$C:$F,3,0),"")</f>
        <v/>
      </c>
      <c r="H155" s="131" t="str">
        <f>IFERROR(VLOOKUP($E155,設定!$C:$F,4,0),"")</f>
        <v/>
      </c>
      <c r="I155" s="402"/>
      <c r="J155" s="8"/>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10"/>
      <c r="AO155" s="65">
        <f t="shared" si="7"/>
        <v>0</v>
      </c>
    </row>
    <row r="156" spans="2:41" s="4" customFormat="1" ht="24" customHeight="1" x14ac:dyDescent="0.2">
      <c r="B156" s="14"/>
      <c r="C156" s="23"/>
      <c r="D156" s="21" t="str">
        <f>IF(ISBLANK(C156), "",
_xlfn.WEBSERVICE(
"https://d16nxf5gxyt1xz.cloudfront.net/Prod/translation?id="
&amp;アカウント情報!$C$2&amp;
"&amp;pwd="
&amp;アカウント情報!$C$3&amp;
"&amp;item="
&amp;_xlfn.ENCODEURL(設定!$F$3)&amp;
"&amp;word="
&amp;_xlfn.ENCODEURL(C156)
)
)</f>
        <v/>
      </c>
      <c r="E156" s="6"/>
      <c r="F156" s="16" t="str">
        <f>IFERROR(VLOOKUP($E156,設定!$C:$F,2,0),"")</f>
        <v/>
      </c>
      <c r="G156" s="156" t="str">
        <f>IFERROR(VLOOKUP($E156,設定!$C:$F,3,0),"")</f>
        <v/>
      </c>
      <c r="H156" s="131" t="str">
        <f>IFERROR(VLOOKUP($E156,設定!$C:$F,4,0),"")</f>
        <v/>
      </c>
      <c r="I156" s="402"/>
      <c r="J156" s="8"/>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10"/>
      <c r="AO156" s="65">
        <f t="shared" si="7"/>
        <v>0</v>
      </c>
    </row>
    <row r="157" spans="2:41" s="4" customFormat="1" ht="24" customHeight="1" x14ac:dyDescent="0.2">
      <c r="B157" s="14"/>
      <c r="C157" s="23"/>
      <c r="D157" s="21" t="str">
        <f>IF(ISBLANK(C157), "",
_xlfn.WEBSERVICE(
"https://d16nxf5gxyt1xz.cloudfront.net/Prod/translation?id="
&amp;アカウント情報!$C$2&amp;
"&amp;pwd="
&amp;アカウント情報!$C$3&amp;
"&amp;item="
&amp;_xlfn.ENCODEURL(設定!$F$3)&amp;
"&amp;word="
&amp;_xlfn.ENCODEURL(C157)
)
)</f>
        <v/>
      </c>
      <c r="E157" s="6"/>
      <c r="F157" s="16" t="str">
        <f>IFERROR(VLOOKUP($E157,設定!$C:$F,2,0),"")</f>
        <v/>
      </c>
      <c r="G157" s="156" t="str">
        <f>IFERROR(VLOOKUP($E157,設定!$C:$F,3,0),"")</f>
        <v/>
      </c>
      <c r="H157" s="131" t="str">
        <f>IFERROR(VLOOKUP($E157,設定!$C:$F,4,0),"")</f>
        <v/>
      </c>
      <c r="I157" s="402"/>
      <c r="J157" s="8"/>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10"/>
      <c r="AO157" s="65">
        <f t="shared" si="7"/>
        <v>0</v>
      </c>
    </row>
    <row r="158" spans="2:41" s="4" customFormat="1" ht="24" customHeight="1" x14ac:dyDescent="0.2">
      <c r="B158" s="14"/>
      <c r="C158" s="23"/>
      <c r="D158" s="21" t="str">
        <f>IF(ISBLANK(C158), "",
_xlfn.WEBSERVICE(
"https://d16nxf5gxyt1xz.cloudfront.net/Prod/translation?id="
&amp;アカウント情報!$C$2&amp;
"&amp;pwd="
&amp;アカウント情報!$C$3&amp;
"&amp;item="
&amp;_xlfn.ENCODEURL(設定!$F$3)&amp;
"&amp;word="
&amp;_xlfn.ENCODEURL(C158)
)
)</f>
        <v/>
      </c>
      <c r="E158" s="6"/>
      <c r="F158" s="16" t="str">
        <f>IFERROR(VLOOKUP($E158,設定!$C:$F,2,0),"")</f>
        <v/>
      </c>
      <c r="G158" s="156" t="str">
        <f>IFERROR(VLOOKUP($E158,設定!$C:$F,3,0),"")</f>
        <v/>
      </c>
      <c r="H158" s="131" t="str">
        <f>IFERROR(VLOOKUP($E158,設定!$C:$F,4,0),"")</f>
        <v/>
      </c>
      <c r="I158" s="402"/>
      <c r="J158" s="8"/>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10"/>
      <c r="AO158" s="65">
        <f t="shared" si="7"/>
        <v>0</v>
      </c>
    </row>
    <row r="159" spans="2:41" s="4" customFormat="1" ht="24" customHeight="1" x14ac:dyDescent="0.2">
      <c r="B159" s="14"/>
      <c r="C159" s="23"/>
      <c r="D159" s="21" t="str">
        <f>IF(ISBLANK(C159), "",
_xlfn.WEBSERVICE(
"https://d16nxf5gxyt1xz.cloudfront.net/Prod/translation?id="
&amp;アカウント情報!$C$2&amp;
"&amp;pwd="
&amp;アカウント情報!$C$3&amp;
"&amp;item="
&amp;_xlfn.ENCODEURL(設定!$F$3)&amp;
"&amp;word="
&amp;_xlfn.ENCODEURL(C159)
)
)</f>
        <v/>
      </c>
      <c r="E159" s="6"/>
      <c r="F159" s="16" t="str">
        <f>IFERROR(VLOOKUP($E159,設定!$C:$F,2,0),"")</f>
        <v/>
      </c>
      <c r="G159" s="156" t="str">
        <f>IFERROR(VLOOKUP($E159,設定!$C:$F,3,0),"")</f>
        <v/>
      </c>
      <c r="H159" s="131" t="str">
        <f>IFERROR(VLOOKUP($E159,設定!$C:$F,4,0),"")</f>
        <v/>
      </c>
      <c r="I159" s="402"/>
      <c r="J159" s="8"/>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10"/>
      <c r="AO159" s="65">
        <f t="shared" si="7"/>
        <v>0</v>
      </c>
    </row>
    <row r="160" spans="2:41" s="4" customFormat="1" ht="24" customHeight="1" x14ac:dyDescent="0.2">
      <c r="B160" s="14"/>
      <c r="C160" s="23"/>
      <c r="D160" s="21" t="str">
        <f>IF(ISBLANK(C160), "",
_xlfn.WEBSERVICE(
"https://d16nxf5gxyt1xz.cloudfront.net/Prod/translation?id="
&amp;アカウント情報!$C$2&amp;
"&amp;pwd="
&amp;アカウント情報!$C$3&amp;
"&amp;item="
&amp;_xlfn.ENCODEURL(設定!$F$3)&amp;
"&amp;word="
&amp;_xlfn.ENCODEURL(C160)
)
)</f>
        <v/>
      </c>
      <c r="E160" s="6"/>
      <c r="F160" s="16" t="str">
        <f>IFERROR(VLOOKUP($E160,設定!$C:$F,2,0),"")</f>
        <v/>
      </c>
      <c r="G160" s="156" t="str">
        <f>IFERROR(VLOOKUP($E160,設定!$C:$F,3,0),"")</f>
        <v/>
      </c>
      <c r="H160" s="131" t="str">
        <f>IFERROR(VLOOKUP($E160,設定!$C:$F,4,0),"")</f>
        <v/>
      </c>
      <c r="I160" s="402"/>
      <c r="J160" s="8"/>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10"/>
      <c r="AO160" s="65">
        <f t="shared" si="7"/>
        <v>0</v>
      </c>
    </row>
    <row r="161" spans="2:41" s="4" customFormat="1" ht="24" customHeight="1" x14ac:dyDescent="0.2">
      <c r="B161" s="14"/>
      <c r="C161" s="23"/>
      <c r="D161" s="21" t="str">
        <f>IF(ISBLANK(C161), "",
_xlfn.WEBSERVICE(
"https://d16nxf5gxyt1xz.cloudfront.net/Prod/translation?id="
&amp;アカウント情報!$C$2&amp;
"&amp;pwd="
&amp;アカウント情報!$C$3&amp;
"&amp;item="
&amp;_xlfn.ENCODEURL(設定!$F$3)&amp;
"&amp;word="
&amp;_xlfn.ENCODEURL(C161)
)
)</f>
        <v/>
      </c>
      <c r="E161" s="6"/>
      <c r="F161" s="16" t="str">
        <f>IFERROR(VLOOKUP($E161,設定!$C:$F,2,0),"")</f>
        <v/>
      </c>
      <c r="G161" s="156" t="str">
        <f>IFERROR(VLOOKUP($E161,設定!$C:$F,3,0),"")</f>
        <v/>
      </c>
      <c r="H161" s="131" t="str">
        <f>IFERROR(VLOOKUP($E161,設定!$C:$F,4,0),"")</f>
        <v/>
      </c>
      <c r="I161" s="402"/>
      <c r="J161" s="8"/>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10"/>
      <c r="AO161" s="65">
        <f t="shared" si="7"/>
        <v>0</v>
      </c>
    </row>
    <row r="162" spans="2:41" s="4" customFormat="1" ht="24" customHeight="1" x14ac:dyDescent="0.2">
      <c r="B162" s="14"/>
      <c r="C162" s="23"/>
      <c r="D162" s="21" t="str">
        <f>IF(ISBLANK(C162), "",
_xlfn.WEBSERVICE(
"https://d16nxf5gxyt1xz.cloudfront.net/Prod/translation?id="
&amp;アカウント情報!$C$2&amp;
"&amp;pwd="
&amp;アカウント情報!$C$3&amp;
"&amp;item="
&amp;_xlfn.ENCODEURL(設定!$F$3)&amp;
"&amp;word="
&amp;_xlfn.ENCODEURL(C162)
)
)</f>
        <v/>
      </c>
      <c r="E162" s="6"/>
      <c r="F162" s="16" t="str">
        <f>IFERROR(VLOOKUP($E162,設定!$C:$F,2,0),"")</f>
        <v/>
      </c>
      <c r="G162" s="156" t="str">
        <f>IFERROR(VLOOKUP($E162,設定!$C:$F,3,0),"")</f>
        <v/>
      </c>
      <c r="H162" s="131" t="str">
        <f>IFERROR(VLOOKUP($E162,設定!$C:$F,4,0),"")</f>
        <v/>
      </c>
      <c r="I162" s="402"/>
      <c r="J162" s="8"/>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10"/>
      <c r="AO162" s="65">
        <f t="shared" si="7"/>
        <v>0</v>
      </c>
    </row>
    <row r="163" spans="2:41" s="4" customFormat="1" ht="24" customHeight="1" x14ac:dyDescent="0.2">
      <c r="B163" s="14"/>
      <c r="C163" s="23"/>
      <c r="D163" s="21" t="str">
        <f>IF(ISBLANK(C163), "",
_xlfn.WEBSERVICE(
"https://d16nxf5gxyt1xz.cloudfront.net/Prod/translation?id="
&amp;アカウント情報!$C$2&amp;
"&amp;pwd="
&amp;アカウント情報!$C$3&amp;
"&amp;item="
&amp;_xlfn.ENCODEURL(設定!$F$3)&amp;
"&amp;word="
&amp;_xlfn.ENCODEURL(C163)
)
)</f>
        <v/>
      </c>
      <c r="E163" s="6"/>
      <c r="F163" s="16" t="str">
        <f>IFERROR(VLOOKUP($E163,設定!$C:$F,2,0),"")</f>
        <v/>
      </c>
      <c r="G163" s="156" t="str">
        <f>IFERROR(VLOOKUP($E163,設定!$C:$F,3,0),"")</f>
        <v/>
      </c>
      <c r="H163" s="131" t="str">
        <f>IFERROR(VLOOKUP($E163,設定!$C:$F,4,0),"")</f>
        <v/>
      </c>
      <c r="I163" s="402"/>
      <c r="J163" s="8"/>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10"/>
      <c r="AO163" s="65">
        <f t="shared" si="7"/>
        <v>0</v>
      </c>
    </row>
    <row r="164" spans="2:41" s="4" customFormat="1" ht="24" customHeight="1" x14ac:dyDescent="0.2">
      <c r="B164" s="14"/>
      <c r="C164" s="23"/>
      <c r="D164" s="21" t="str">
        <f>IF(ISBLANK(C164), "",
_xlfn.WEBSERVICE(
"https://d16nxf5gxyt1xz.cloudfront.net/Prod/translation?id="
&amp;アカウント情報!$C$2&amp;
"&amp;pwd="
&amp;アカウント情報!$C$3&amp;
"&amp;item="
&amp;_xlfn.ENCODEURL(設定!$F$3)&amp;
"&amp;word="
&amp;_xlfn.ENCODEURL(C164)
)
)</f>
        <v/>
      </c>
      <c r="E164" s="6"/>
      <c r="F164" s="16" t="str">
        <f>IFERROR(VLOOKUP($E164,設定!$C:$F,2,0),"")</f>
        <v/>
      </c>
      <c r="G164" s="156" t="str">
        <f>IFERROR(VLOOKUP($E164,設定!$C:$F,3,0),"")</f>
        <v/>
      </c>
      <c r="H164" s="131" t="str">
        <f>IFERROR(VLOOKUP($E164,設定!$C:$F,4,0),"")</f>
        <v/>
      </c>
      <c r="I164" s="402"/>
      <c r="J164" s="8"/>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10"/>
      <c r="AO164" s="65">
        <f t="shared" si="7"/>
        <v>0</v>
      </c>
    </row>
    <row r="165" spans="2:41" s="4" customFormat="1" ht="24" customHeight="1" x14ac:dyDescent="0.2">
      <c r="B165" s="14"/>
      <c r="C165" s="23"/>
      <c r="D165" s="21" t="str">
        <f>IF(ISBLANK(C165), "",
_xlfn.WEBSERVICE(
"https://d16nxf5gxyt1xz.cloudfront.net/Prod/translation?id="
&amp;アカウント情報!$C$2&amp;
"&amp;pwd="
&amp;アカウント情報!$C$3&amp;
"&amp;item="
&amp;_xlfn.ENCODEURL(設定!$F$3)&amp;
"&amp;word="
&amp;_xlfn.ENCODEURL(C165)
)
)</f>
        <v/>
      </c>
      <c r="E165" s="6"/>
      <c r="F165" s="16" t="str">
        <f>IFERROR(VLOOKUP($E165,設定!$C:$F,2,0),"")</f>
        <v/>
      </c>
      <c r="G165" s="156" t="str">
        <f>IFERROR(VLOOKUP($E165,設定!$C:$F,3,0),"")</f>
        <v/>
      </c>
      <c r="H165" s="131" t="str">
        <f>IFERROR(VLOOKUP($E165,設定!$C:$F,4,0),"")</f>
        <v/>
      </c>
      <c r="I165" s="402"/>
      <c r="J165" s="8"/>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10"/>
      <c r="AO165" s="65">
        <f t="shared" si="7"/>
        <v>0</v>
      </c>
    </row>
    <row r="166" spans="2:41" s="4" customFormat="1" ht="24" customHeight="1" x14ac:dyDescent="0.2">
      <c r="B166" s="14"/>
      <c r="C166" s="23"/>
      <c r="D166" s="21" t="str">
        <f>IF(ISBLANK(C166), "",
_xlfn.WEBSERVICE(
"https://d16nxf5gxyt1xz.cloudfront.net/Prod/translation?id="
&amp;アカウント情報!$C$2&amp;
"&amp;pwd="
&amp;アカウント情報!$C$3&amp;
"&amp;item="
&amp;_xlfn.ENCODEURL(設定!$F$3)&amp;
"&amp;word="
&amp;_xlfn.ENCODEURL(C166)
)
)</f>
        <v/>
      </c>
      <c r="E166" s="6"/>
      <c r="F166" s="16" t="str">
        <f>IFERROR(VLOOKUP($E166,設定!$C:$F,2,0),"")</f>
        <v/>
      </c>
      <c r="G166" s="156" t="str">
        <f>IFERROR(VLOOKUP($E166,設定!$C:$F,3,0),"")</f>
        <v/>
      </c>
      <c r="H166" s="131" t="str">
        <f>IFERROR(VLOOKUP($E166,設定!$C:$F,4,0),"")</f>
        <v/>
      </c>
      <c r="I166" s="402"/>
      <c r="J166" s="8"/>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10"/>
      <c r="AO166" s="65">
        <f t="shared" si="7"/>
        <v>0</v>
      </c>
    </row>
    <row r="167" spans="2:41" s="4" customFormat="1" ht="24" customHeight="1" x14ac:dyDescent="0.2">
      <c r="B167" s="14"/>
      <c r="C167" s="23"/>
      <c r="D167" s="21" t="str">
        <f>IF(ISBLANK(C167), "",
_xlfn.WEBSERVICE(
"https://d16nxf5gxyt1xz.cloudfront.net/Prod/translation?id="
&amp;アカウント情報!$C$2&amp;
"&amp;pwd="
&amp;アカウント情報!$C$3&amp;
"&amp;item="
&amp;_xlfn.ENCODEURL(設定!$F$3)&amp;
"&amp;word="
&amp;_xlfn.ENCODEURL(C167)
)
)</f>
        <v/>
      </c>
      <c r="E167" s="6"/>
      <c r="F167" s="16" t="str">
        <f>IFERROR(VLOOKUP($E167,設定!$C:$F,2,0),"")</f>
        <v/>
      </c>
      <c r="G167" s="156" t="str">
        <f>IFERROR(VLOOKUP($E167,設定!$C:$F,3,0),"")</f>
        <v/>
      </c>
      <c r="H167" s="131" t="str">
        <f>IFERROR(VLOOKUP($E167,設定!$C:$F,4,0),"")</f>
        <v/>
      </c>
      <c r="I167" s="402"/>
      <c r="J167" s="8"/>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10"/>
      <c r="AO167" s="65">
        <f t="shared" si="7"/>
        <v>0</v>
      </c>
    </row>
    <row r="168" spans="2:41" s="4" customFormat="1" ht="24" customHeight="1" x14ac:dyDescent="0.2">
      <c r="B168" s="14"/>
      <c r="C168" s="23"/>
      <c r="D168" s="21" t="str">
        <f>IF(ISBLANK(C168), "",
_xlfn.WEBSERVICE(
"https://d16nxf5gxyt1xz.cloudfront.net/Prod/translation?id="
&amp;アカウント情報!$C$2&amp;
"&amp;pwd="
&amp;アカウント情報!$C$3&amp;
"&amp;item="
&amp;_xlfn.ENCODEURL(設定!$F$3)&amp;
"&amp;word="
&amp;_xlfn.ENCODEURL(C168)
)
)</f>
        <v/>
      </c>
      <c r="E168" s="6"/>
      <c r="F168" s="16" t="str">
        <f>IFERROR(VLOOKUP($E168,設定!$C:$F,2,0),"")</f>
        <v/>
      </c>
      <c r="G168" s="156" t="str">
        <f>IFERROR(VLOOKUP($E168,設定!$C:$F,3,0),"")</f>
        <v/>
      </c>
      <c r="H168" s="131" t="str">
        <f>IFERROR(VLOOKUP($E168,設定!$C:$F,4,0),"")</f>
        <v/>
      </c>
      <c r="I168" s="402"/>
      <c r="J168" s="8"/>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10"/>
      <c r="AO168" s="65">
        <f t="shared" si="7"/>
        <v>0</v>
      </c>
    </row>
    <row r="169" spans="2:41" s="4" customFormat="1" ht="24" customHeight="1" x14ac:dyDescent="0.2">
      <c r="B169" s="14"/>
      <c r="C169" s="23"/>
      <c r="D169" s="21" t="str">
        <f>IF(ISBLANK(C169), "",
_xlfn.WEBSERVICE(
"https://d16nxf5gxyt1xz.cloudfront.net/Prod/translation?id="
&amp;アカウント情報!$C$2&amp;
"&amp;pwd="
&amp;アカウント情報!$C$3&amp;
"&amp;item="
&amp;_xlfn.ENCODEURL(設定!$F$3)&amp;
"&amp;word="
&amp;_xlfn.ENCODEURL(C169)
)
)</f>
        <v/>
      </c>
      <c r="E169" s="6"/>
      <c r="F169" s="16" t="str">
        <f>IFERROR(VLOOKUP($E169,設定!$C:$F,2,0),"")</f>
        <v/>
      </c>
      <c r="G169" s="156" t="str">
        <f>IFERROR(VLOOKUP($E169,設定!$C:$F,3,0),"")</f>
        <v/>
      </c>
      <c r="H169" s="131" t="str">
        <f>IFERROR(VLOOKUP($E169,設定!$C:$F,4,0),"")</f>
        <v/>
      </c>
      <c r="I169" s="402"/>
      <c r="J169" s="8"/>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10"/>
      <c r="AO169" s="65">
        <f t="shared" si="7"/>
        <v>0</v>
      </c>
    </row>
    <row r="170" spans="2:41" s="4" customFormat="1" ht="24" customHeight="1" x14ac:dyDescent="0.2">
      <c r="B170" s="14"/>
      <c r="C170" s="23"/>
      <c r="D170" s="21" t="str">
        <f>IF(ISBLANK(C170), "",
_xlfn.WEBSERVICE(
"https://d16nxf5gxyt1xz.cloudfront.net/Prod/translation?id="
&amp;アカウント情報!$C$2&amp;
"&amp;pwd="
&amp;アカウント情報!$C$3&amp;
"&amp;item="
&amp;_xlfn.ENCODEURL(設定!$F$3)&amp;
"&amp;word="
&amp;_xlfn.ENCODEURL(C170)
)
)</f>
        <v/>
      </c>
      <c r="E170" s="6"/>
      <c r="F170" s="16" t="str">
        <f>IFERROR(VLOOKUP($E170,設定!$C:$F,2,0),"")</f>
        <v/>
      </c>
      <c r="G170" s="156" t="str">
        <f>IFERROR(VLOOKUP($E170,設定!$C:$F,3,0),"")</f>
        <v/>
      </c>
      <c r="H170" s="131" t="str">
        <f>IFERROR(VLOOKUP($E170,設定!$C:$F,4,0),"")</f>
        <v/>
      </c>
      <c r="I170" s="402"/>
      <c r="J170" s="8"/>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10"/>
      <c r="AO170" s="65">
        <f t="shared" si="7"/>
        <v>0</v>
      </c>
    </row>
    <row r="171" spans="2:41" s="4" customFormat="1" ht="24" customHeight="1" x14ac:dyDescent="0.2">
      <c r="B171" s="14"/>
      <c r="C171" s="23"/>
      <c r="D171" s="21" t="str">
        <f>IF(ISBLANK(C171), "",
_xlfn.WEBSERVICE(
"https://d16nxf5gxyt1xz.cloudfront.net/Prod/translation?id="
&amp;アカウント情報!$C$2&amp;
"&amp;pwd="
&amp;アカウント情報!$C$3&amp;
"&amp;item="
&amp;_xlfn.ENCODEURL(設定!$F$3)&amp;
"&amp;word="
&amp;_xlfn.ENCODEURL(C171)
)
)</f>
        <v/>
      </c>
      <c r="E171" s="6"/>
      <c r="F171" s="16" t="str">
        <f>IFERROR(VLOOKUP($E171,設定!$C:$F,2,0),"")</f>
        <v/>
      </c>
      <c r="G171" s="156" t="str">
        <f>IFERROR(VLOOKUP($E171,設定!$C:$F,3,0),"")</f>
        <v/>
      </c>
      <c r="H171" s="131" t="str">
        <f>IFERROR(VLOOKUP($E171,設定!$C:$F,4,0),"")</f>
        <v/>
      </c>
      <c r="I171" s="402"/>
      <c r="J171" s="8"/>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10"/>
      <c r="AO171" s="65">
        <f t="shared" si="7"/>
        <v>0</v>
      </c>
    </row>
    <row r="172" spans="2:41" s="4" customFormat="1" ht="24" customHeight="1" x14ac:dyDescent="0.2">
      <c r="B172" s="14"/>
      <c r="C172" s="23"/>
      <c r="D172" s="21" t="str">
        <f>IF(ISBLANK(C172), "",
_xlfn.WEBSERVICE(
"https://d16nxf5gxyt1xz.cloudfront.net/Prod/translation?id="
&amp;アカウント情報!$C$2&amp;
"&amp;pwd="
&amp;アカウント情報!$C$3&amp;
"&amp;item="
&amp;_xlfn.ENCODEURL(設定!$F$3)&amp;
"&amp;word="
&amp;_xlfn.ENCODEURL(C172)
)
)</f>
        <v/>
      </c>
      <c r="E172" s="6"/>
      <c r="F172" s="16" t="str">
        <f>IFERROR(VLOOKUP($E172,設定!$C:$F,2,0),"")</f>
        <v/>
      </c>
      <c r="G172" s="156" t="str">
        <f>IFERROR(VLOOKUP($E172,設定!$C:$F,3,0),"")</f>
        <v/>
      </c>
      <c r="H172" s="131" t="str">
        <f>IFERROR(VLOOKUP($E172,設定!$C:$F,4,0),"")</f>
        <v/>
      </c>
      <c r="I172" s="402"/>
      <c r="J172" s="8"/>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10"/>
      <c r="AO172" s="65">
        <f t="shared" si="7"/>
        <v>0</v>
      </c>
    </row>
    <row r="173" spans="2:41" s="4" customFormat="1" ht="24" customHeight="1" x14ac:dyDescent="0.2">
      <c r="B173" s="14"/>
      <c r="C173" s="23"/>
      <c r="D173" s="21" t="str">
        <f>IF(ISBLANK(C173), "",
_xlfn.WEBSERVICE(
"https://d16nxf5gxyt1xz.cloudfront.net/Prod/translation?id="
&amp;アカウント情報!$C$2&amp;
"&amp;pwd="
&amp;アカウント情報!$C$3&amp;
"&amp;item="
&amp;_xlfn.ENCODEURL(設定!$F$3)&amp;
"&amp;word="
&amp;_xlfn.ENCODEURL(C173)
)
)</f>
        <v/>
      </c>
      <c r="E173" s="6"/>
      <c r="F173" s="16" t="str">
        <f>IFERROR(VLOOKUP($E173,設定!$C:$F,2,0),"")</f>
        <v/>
      </c>
      <c r="G173" s="156" t="str">
        <f>IFERROR(VLOOKUP($E173,設定!$C:$F,3,0),"")</f>
        <v/>
      </c>
      <c r="H173" s="131" t="str">
        <f>IFERROR(VLOOKUP($E173,設定!$C:$F,4,0),"")</f>
        <v/>
      </c>
      <c r="I173" s="402"/>
      <c r="J173" s="8"/>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10"/>
      <c r="AO173" s="65">
        <f t="shared" si="7"/>
        <v>0</v>
      </c>
    </row>
    <row r="174" spans="2:41" s="4" customFormat="1" ht="24" customHeight="1" x14ac:dyDescent="0.2">
      <c r="B174" s="14"/>
      <c r="C174" s="23"/>
      <c r="D174" s="21" t="str">
        <f>IF(ISBLANK(C174), "",
_xlfn.WEBSERVICE(
"https://d16nxf5gxyt1xz.cloudfront.net/Prod/translation?id="
&amp;アカウント情報!$C$2&amp;
"&amp;pwd="
&amp;アカウント情報!$C$3&amp;
"&amp;item="
&amp;_xlfn.ENCODEURL(設定!$F$3)&amp;
"&amp;word="
&amp;_xlfn.ENCODEURL(C174)
)
)</f>
        <v/>
      </c>
      <c r="E174" s="6"/>
      <c r="F174" s="16" t="str">
        <f>IFERROR(VLOOKUP($E174,設定!$C:$F,2,0),"")</f>
        <v/>
      </c>
      <c r="G174" s="156" t="str">
        <f>IFERROR(VLOOKUP($E174,設定!$C:$F,3,0),"")</f>
        <v/>
      </c>
      <c r="H174" s="131" t="str">
        <f>IFERROR(VLOOKUP($E174,設定!$C:$F,4,0),"")</f>
        <v/>
      </c>
      <c r="I174" s="402"/>
      <c r="J174" s="8"/>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10"/>
      <c r="AO174" s="65">
        <f t="shared" si="7"/>
        <v>0</v>
      </c>
    </row>
    <row r="175" spans="2:41" s="4" customFormat="1" ht="24" customHeight="1" x14ac:dyDescent="0.2">
      <c r="B175" s="14"/>
      <c r="C175" s="23"/>
      <c r="D175" s="21" t="str">
        <f>IF(ISBLANK(C175), "",
_xlfn.WEBSERVICE(
"https://d16nxf5gxyt1xz.cloudfront.net/Prod/translation?id="
&amp;アカウント情報!$C$2&amp;
"&amp;pwd="
&amp;アカウント情報!$C$3&amp;
"&amp;item="
&amp;_xlfn.ENCODEURL(設定!$F$3)&amp;
"&amp;word="
&amp;_xlfn.ENCODEURL(C175)
)
)</f>
        <v/>
      </c>
      <c r="E175" s="6"/>
      <c r="F175" s="16" t="str">
        <f>IFERROR(VLOOKUP($E175,設定!$C:$F,2,0),"")</f>
        <v/>
      </c>
      <c r="G175" s="156" t="str">
        <f>IFERROR(VLOOKUP($E175,設定!$C:$F,3,0),"")</f>
        <v/>
      </c>
      <c r="H175" s="131" t="str">
        <f>IFERROR(VLOOKUP($E175,設定!$C:$F,4,0),"")</f>
        <v/>
      </c>
      <c r="I175" s="402"/>
      <c r="J175" s="8"/>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10"/>
      <c r="AO175" s="65">
        <f t="shared" si="7"/>
        <v>0</v>
      </c>
    </row>
    <row r="176" spans="2:41" s="4" customFormat="1" ht="24" customHeight="1" x14ac:dyDescent="0.2">
      <c r="B176" s="14"/>
      <c r="C176" s="23"/>
      <c r="D176" s="21" t="str">
        <f>IF(ISBLANK(C176), "",
_xlfn.WEBSERVICE(
"https://d16nxf5gxyt1xz.cloudfront.net/Prod/translation?id="
&amp;アカウント情報!$C$2&amp;
"&amp;pwd="
&amp;アカウント情報!$C$3&amp;
"&amp;item="
&amp;_xlfn.ENCODEURL(設定!$F$3)&amp;
"&amp;word="
&amp;_xlfn.ENCODEURL(C176)
)
)</f>
        <v/>
      </c>
      <c r="E176" s="6"/>
      <c r="F176" s="16" t="str">
        <f>IFERROR(VLOOKUP($E176,設定!$C:$F,2,0),"")</f>
        <v/>
      </c>
      <c r="G176" s="156" t="str">
        <f>IFERROR(VLOOKUP($E176,設定!$C:$F,3,0),"")</f>
        <v/>
      </c>
      <c r="H176" s="131" t="str">
        <f>IFERROR(VLOOKUP($E176,設定!$C:$F,4,0),"")</f>
        <v/>
      </c>
      <c r="I176" s="402"/>
      <c r="J176" s="8"/>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10"/>
      <c r="AO176" s="65">
        <f t="shared" si="7"/>
        <v>0</v>
      </c>
    </row>
    <row r="177" spans="2:41" s="4" customFormat="1" ht="24" customHeight="1" x14ac:dyDescent="0.2">
      <c r="B177" s="14"/>
      <c r="C177" s="23"/>
      <c r="D177" s="21" t="str">
        <f>IF(ISBLANK(C177), "",
_xlfn.WEBSERVICE(
"https://d16nxf5gxyt1xz.cloudfront.net/Prod/translation?id="
&amp;アカウント情報!$C$2&amp;
"&amp;pwd="
&amp;アカウント情報!$C$3&amp;
"&amp;item="
&amp;_xlfn.ENCODEURL(設定!$F$3)&amp;
"&amp;word="
&amp;_xlfn.ENCODEURL(C177)
)
)</f>
        <v/>
      </c>
      <c r="E177" s="6"/>
      <c r="F177" s="16" t="str">
        <f>IFERROR(VLOOKUP($E177,設定!$C:$F,2,0),"")</f>
        <v/>
      </c>
      <c r="G177" s="156" t="str">
        <f>IFERROR(VLOOKUP($E177,設定!$C:$F,3,0),"")</f>
        <v/>
      </c>
      <c r="H177" s="131" t="str">
        <f>IFERROR(VLOOKUP($E177,設定!$C:$F,4,0),"")</f>
        <v/>
      </c>
      <c r="I177" s="402"/>
      <c r="J177" s="8"/>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10"/>
      <c r="AO177" s="65">
        <f t="shared" si="7"/>
        <v>0</v>
      </c>
    </row>
    <row r="178" spans="2:41" s="4" customFormat="1" ht="24" customHeight="1" x14ac:dyDescent="0.2">
      <c r="B178" s="14"/>
      <c r="C178" s="23"/>
      <c r="D178" s="21" t="str">
        <f>IF(ISBLANK(C178), "",
_xlfn.WEBSERVICE(
"https://d16nxf5gxyt1xz.cloudfront.net/Prod/translation?id="
&amp;アカウント情報!$C$2&amp;
"&amp;pwd="
&amp;アカウント情報!$C$3&amp;
"&amp;item="
&amp;_xlfn.ENCODEURL(設定!$F$3)&amp;
"&amp;word="
&amp;_xlfn.ENCODEURL(C178)
)
)</f>
        <v/>
      </c>
      <c r="E178" s="6"/>
      <c r="F178" s="16" t="str">
        <f>IFERROR(VLOOKUP($E178,設定!$C:$F,2,0),"")</f>
        <v/>
      </c>
      <c r="G178" s="156" t="str">
        <f>IFERROR(VLOOKUP($E178,設定!$C:$F,3,0),"")</f>
        <v/>
      </c>
      <c r="H178" s="131" t="str">
        <f>IFERROR(VLOOKUP($E178,設定!$C:$F,4,0),"")</f>
        <v/>
      </c>
      <c r="I178" s="402"/>
      <c r="J178" s="8"/>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10"/>
      <c r="AO178" s="65">
        <f t="shared" si="7"/>
        <v>0</v>
      </c>
    </row>
    <row r="179" spans="2:41" s="4" customFormat="1" ht="24" customHeight="1" x14ac:dyDescent="0.2">
      <c r="B179" s="14"/>
      <c r="C179" s="23"/>
      <c r="D179" s="21" t="str">
        <f>IF(ISBLANK(C179), "",
_xlfn.WEBSERVICE(
"https://d16nxf5gxyt1xz.cloudfront.net/Prod/translation?id="
&amp;アカウント情報!$C$2&amp;
"&amp;pwd="
&amp;アカウント情報!$C$3&amp;
"&amp;item="
&amp;_xlfn.ENCODEURL(設定!$F$3)&amp;
"&amp;word="
&amp;_xlfn.ENCODEURL(C179)
)
)</f>
        <v/>
      </c>
      <c r="E179" s="6"/>
      <c r="F179" s="16" t="str">
        <f>IFERROR(VLOOKUP($E179,設定!$C:$F,2,0),"")</f>
        <v/>
      </c>
      <c r="G179" s="156" t="str">
        <f>IFERROR(VLOOKUP($E179,設定!$C:$F,3,0),"")</f>
        <v/>
      </c>
      <c r="H179" s="131" t="str">
        <f>IFERROR(VLOOKUP($E179,設定!$C:$F,4,0),"")</f>
        <v/>
      </c>
      <c r="I179" s="402"/>
      <c r="J179" s="8"/>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10"/>
      <c r="AO179" s="65">
        <f t="shared" si="7"/>
        <v>0</v>
      </c>
    </row>
    <row r="180" spans="2:41" s="4" customFormat="1" ht="24" customHeight="1" x14ac:dyDescent="0.2">
      <c r="B180" s="14"/>
      <c r="C180" s="23"/>
      <c r="D180" s="21" t="str">
        <f>IF(ISBLANK(C180), "",
_xlfn.WEBSERVICE(
"https://d16nxf5gxyt1xz.cloudfront.net/Prod/translation?id="
&amp;アカウント情報!$C$2&amp;
"&amp;pwd="
&amp;アカウント情報!$C$3&amp;
"&amp;item="
&amp;_xlfn.ENCODEURL(設定!$F$3)&amp;
"&amp;word="
&amp;_xlfn.ENCODEURL(C180)
)
)</f>
        <v/>
      </c>
      <c r="E180" s="6"/>
      <c r="F180" s="16" t="str">
        <f>IFERROR(VLOOKUP($E180,設定!$C:$F,2,0),"")</f>
        <v/>
      </c>
      <c r="G180" s="156" t="str">
        <f>IFERROR(VLOOKUP($E180,設定!$C:$F,3,0),"")</f>
        <v/>
      </c>
      <c r="H180" s="131" t="str">
        <f>IFERROR(VLOOKUP($E180,設定!$C:$F,4,0),"")</f>
        <v/>
      </c>
      <c r="I180" s="402"/>
      <c r="J180" s="8"/>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10"/>
      <c r="AO180" s="65">
        <f t="shared" si="7"/>
        <v>0</v>
      </c>
    </row>
    <row r="181" spans="2:41" s="4" customFormat="1" ht="24" customHeight="1" x14ac:dyDescent="0.2">
      <c r="B181" s="14"/>
      <c r="C181" s="23"/>
      <c r="D181" s="21" t="str">
        <f>IF(ISBLANK(C181), "",
_xlfn.WEBSERVICE(
"https://d16nxf5gxyt1xz.cloudfront.net/Prod/translation?id="
&amp;アカウント情報!$C$2&amp;
"&amp;pwd="
&amp;アカウント情報!$C$3&amp;
"&amp;item="
&amp;_xlfn.ENCODEURL(設定!$F$3)&amp;
"&amp;word="
&amp;_xlfn.ENCODEURL(C181)
)
)</f>
        <v/>
      </c>
      <c r="E181" s="6"/>
      <c r="F181" s="16" t="str">
        <f>IFERROR(VLOOKUP($E181,設定!$C:$F,2,0),"")</f>
        <v/>
      </c>
      <c r="G181" s="156" t="str">
        <f>IFERROR(VLOOKUP($E181,設定!$C:$F,3,0),"")</f>
        <v/>
      </c>
      <c r="H181" s="131" t="str">
        <f>IFERROR(VLOOKUP($E181,設定!$C:$F,4,0),"")</f>
        <v/>
      </c>
      <c r="I181" s="402"/>
      <c r="J181" s="8"/>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10"/>
      <c r="AO181" s="65">
        <f t="shared" si="7"/>
        <v>0</v>
      </c>
    </row>
    <row r="182" spans="2:41" s="4" customFormat="1" ht="24" customHeight="1" x14ac:dyDescent="0.2">
      <c r="B182" s="14"/>
      <c r="C182" s="23"/>
      <c r="D182" s="21" t="str">
        <f>IF(ISBLANK(C182), "",
_xlfn.WEBSERVICE(
"https://d16nxf5gxyt1xz.cloudfront.net/Prod/translation?id="
&amp;アカウント情報!$C$2&amp;
"&amp;pwd="
&amp;アカウント情報!$C$3&amp;
"&amp;item="
&amp;_xlfn.ENCODEURL(設定!$F$3)&amp;
"&amp;word="
&amp;_xlfn.ENCODEURL(C182)
)
)</f>
        <v/>
      </c>
      <c r="E182" s="6"/>
      <c r="F182" s="16" t="str">
        <f>IFERROR(VLOOKUP($E182,設定!$C:$F,2,0),"")</f>
        <v/>
      </c>
      <c r="G182" s="156" t="str">
        <f>IFERROR(VLOOKUP($E182,設定!$C:$F,3,0),"")</f>
        <v/>
      </c>
      <c r="H182" s="131" t="str">
        <f>IFERROR(VLOOKUP($E182,設定!$C:$F,4,0),"")</f>
        <v/>
      </c>
      <c r="I182" s="402"/>
      <c r="J182" s="8"/>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10"/>
      <c r="AO182" s="65">
        <f t="shared" si="7"/>
        <v>0</v>
      </c>
    </row>
    <row r="183" spans="2:41" s="4" customFormat="1" ht="24" customHeight="1" x14ac:dyDescent="0.2">
      <c r="B183" s="14"/>
      <c r="C183" s="23"/>
      <c r="D183" s="21" t="str">
        <f>IF(ISBLANK(C183), "",
_xlfn.WEBSERVICE(
"https://d16nxf5gxyt1xz.cloudfront.net/Prod/translation?id="
&amp;アカウント情報!$C$2&amp;
"&amp;pwd="
&amp;アカウント情報!$C$3&amp;
"&amp;item="
&amp;_xlfn.ENCODEURL(設定!$F$3)&amp;
"&amp;word="
&amp;_xlfn.ENCODEURL(C183)
)
)</f>
        <v/>
      </c>
      <c r="E183" s="6"/>
      <c r="F183" s="16" t="str">
        <f>IFERROR(VLOOKUP($E183,設定!$C:$F,2,0),"")</f>
        <v/>
      </c>
      <c r="G183" s="156" t="str">
        <f>IFERROR(VLOOKUP($E183,設定!$C:$F,3,0),"")</f>
        <v/>
      </c>
      <c r="H183" s="131" t="str">
        <f>IFERROR(VLOOKUP($E183,設定!$C:$F,4,0),"")</f>
        <v/>
      </c>
      <c r="I183" s="402"/>
      <c r="J183" s="8"/>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10"/>
      <c r="AO183" s="65">
        <f t="shared" si="7"/>
        <v>0</v>
      </c>
    </row>
    <row r="184" spans="2:41" s="4" customFormat="1" ht="24" customHeight="1" x14ac:dyDescent="0.2">
      <c r="B184" s="14"/>
      <c r="C184" s="23"/>
      <c r="D184" s="21" t="str">
        <f>IF(ISBLANK(C184), "",
_xlfn.WEBSERVICE(
"https://d16nxf5gxyt1xz.cloudfront.net/Prod/translation?id="
&amp;アカウント情報!$C$2&amp;
"&amp;pwd="
&amp;アカウント情報!$C$3&amp;
"&amp;item="
&amp;_xlfn.ENCODEURL(設定!$F$3)&amp;
"&amp;word="
&amp;_xlfn.ENCODEURL(C184)
)
)</f>
        <v/>
      </c>
      <c r="E184" s="6"/>
      <c r="F184" s="16" t="str">
        <f>IFERROR(VLOOKUP($E184,設定!$C:$F,2,0),"")</f>
        <v/>
      </c>
      <c r="G184" s="156" t="str">
        <f>IFERROR(VLOOKUP($E184,設定!$C:$F,3,0),"")</f>
        <v/>
      </c>
      <c r="H184" s="131" t="str">
        <f>IFERROR(VLOOKUP($E184,設定!$C:$F,4,0),"")</f>
        <v/>
      </c>
      <c r="I184" s="402"/>
      <c r="J184" s="8"/>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10"/>
      <c r="AO184" s="65">
        <f t="shared" si="7"/>
        <v>0</v>
      </c>
    </row>
    <row r="185" spans="2:41" s="4" customFormat="1" ht="24" customHeight="1" x14ac:dyDescent="0.2">
      <c r="B185" s="14"/>
      <c r="C185" s="23"/>
      <c r="D185" s="21" t="str">
        <f>IF(ISBLANK(C185), "",
_xlfn.WEBSERVICE(
"https://d16nxf5gxyt1xz.cloudfront.net/Prod/translation?id="
&amp;アカウント情報!$C$2&amp;
"&amp;pwd="
&amp;アカウント情報!$C$3&amp;
"&amp;item="
&amp;_xlfn.ENCODEURL(設定!$F$3)&amp;
"&amp;word="
&amp;_xlfn.ENCODEURL(C185)
)
)</f>
        <v/>
      </c>
      <c r="E185" s="6"/>
      <c r="F185" s="16" t="str">
        <f>IFERROR(VLOOKUP($E185,設定!$C:$F,2,0),"")</f>
        <v/>
      </c>
      <c r="G185" s="156" t="str">
        <f>IFERROR(VLOOKUP($E185,設定!$C:$F,3,0),"")</f>
        <v/>
      </c>
      <c r="H185" s="131" t="str">
        <f>IFERROR(VLOOKUP($E185,設定!$C:$F,4,0),"")</f>
        <v/>
      </c>
      <c r="I185" s="402"/>
      <c r="J185" s="8"/>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10"/>
      <c r="AO185" s="65">
        <f t="shared" si="7"/>
        <v>0</v>
      </c>
    </row>
    <row r="186" spans="2:41" s="4" customFormat="1" ht="24" customHeight="1" x14ac:dyDescent="0.2">
      <c r="B186" s="14"/>
      <c r="C186" s="23"/>
      <c r="D186" s="21" t="str">
        <f>IF(ISBLANK(C186), "",
_xlfn.WEBSERVICE(
"https://d16nxf5gxyt1xz.cloudfront.net/Prod/translation?id="
&amp;アカウント情報!$C$2&amp;
"&amp;pwd="
&amp;アカウント情報!$C$3&amp;
"&amp;item="
&amp;_xlfn.ENCODEURL(設定!$F$3)&amp;
"&amp;word="
&amp;_xlfn.ENCODEURL(C186)
)
)</f>
        <v/>
      </c>
      <c r="E186" s="6"/>
      <c r="F186" s="16" t="str">
        <f>IFERROR(VLOOKUP($E186,設定!$C:$F,2,0),"")</f>
        <v/>
      </c>
      <c r="G186" s="156" t="str">
        <f>IFERROR(VLOOKUP($E186,設定!$C:$F,3,0),"")</f>
        <v/>
      </c>
      <c r="H186" s="131" t="str">
        <f>IFERROR(VLOOKUP($E186,設定!$C:$F,4,0),"")</f>
        <v/>
      </c>
      <c r="I186" s="402"/>
      <c r="J186" s="8"/>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10"/>
      <c r="AO186" s="65">
        <f t="shared" si="7"/>
        <v>0</v>
      </c>
    </row>
    <row r="187" spans="2:41" s="4" customFormat="1" ht="24" customHeight="1" x14ac:dyDescent="0.2">
      <c r="B187" s="14"/>
      <c r="C187" s="23"/>
      <c r="D187" s="21" t="str">
        <f>IF(ISBLANK(C187), "",
_xlfn.WEBSERVICE(
"https://d16nxf5gxyt1xz.cloudfront.net/Prod/translation?id="
&amp;アカウント情報!$C$2&amp;
"&amp;pwd="
&amp;アカウント情報!$C$3&amp;
"&amp;item="
&amp;_xlfn.ENCODEURL(設定!$F$3)&amp;
"&amp;word="
&amp;_xlfn.ENCODEURL(C187)
)
)</f>
        <v/>
      </c>
      <c r="E187" s="6"/>
      <c r="F187" s="16" t="str">
        <f>IFERROR(VLOOKUP($E187,設定!$C:$F,2,0),"")</f>
        <v/>
      </c>
      <c r="G187" s="156" t="str">
        <f>IFERROR(VLOOKUP($E187,設定!$C:$F,3,0),"")</f>
        <v/>
      </c>
      <c r="H187" s="131" t="str">
        <f>IFERROR(VLOOKUP($E187,設定!$C:$F,4,0),"")</f>
        <v/>
      </c>
      <c r="I187" s="402"/>
      <c r="J187" s="8"/>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10"/>
      <c r="AO187" s="65">
        <f t="shared" si="7"/>
        <v>0</v>
      </c>
    </row>
    <row r="188" spans="2:41" s="4" customFormat="1" ht="24" customHeight="1" x14ac:dyDescent="0.2">
      <c r="B188" s="14"/>
      <c r="C188" s="23"/>
      <c r="D188" s="21" t="str">
        <f>IF(ISBLANK(C188), "",
_xlfn.WEBSERVICE(
"https://d16nxf5gxyt1xz.cloudfront.net/Prod/translation?id="
&amp;アカウント情報!$C$2&amp;
"&amp;pwd="
&amp;アカウント情報!$C$3&amp;
"&amp;item="
&amp;_xlfn.ENCODEURL(設定!$F$3)&amp;
"&amp;word="
&amp;_xlfn.ENCODEURL(C188)
)
)</f>
        <v/>
      </c>
      <c r="E188" s="6"/>
      <c r="F188" s="16" t="str">
        <f>IFERROR(VLOOKUP($E188,設定!$C:$F,2,0),"")</f>
        <v/>
      </c>
      <c r="G188" s="156" t="str">
        <f>IFERROR(VLOOKUP($E188,設定!$C:$F,3,0),"")</f>
        <v/>
      </c>
      <c r="H188" s="131" t="str">
        <f>IFERROR(VLOOKUP($E188,設定!$C:$F,4,0),"")</f>
        <v/>
      </c>
      <c r="I188" s="402"/>
      <c r="J188" s="8"/>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10"/>
      <c r="AO188" s="65">
        <f t="shared" si="7"/>
        <v>0</v>
      </c>
    </row>
    <row r="189" spans="2:41" s="4" customFormat="1" ht="24" customHeight="1" x14ac:dyDescent="0.2">
      <c r="B189" s="14"/>
      <c r="C189" s="23"/>
      <c r="D189" s="21" t="str">
        <f>IF(ISBLANK(C189), "",
_xlfn.WEBSERVICE(
"https://d16nxf5gxyt1xz.cloudfront.net/Prod/translation?id="
&amp;アカウント情報!$C$2&amp;
"&amp;pwd="
&amp;アカウント情報!$C$3&amp;
"&amp;item="
&amp;_xlfn.ENCODEURL(設定!$F$3)&amp;
"&amp;word="
&amp;_xlfn.ENCODEURL(C189)
)
)</f>
        <v/>
      </c>
      <c r="E189" s="6"/>
      <c r="F189" s="16" t="str">
        <f>IFERROR(VLOOKUP($E189,設定!$C:$F,2,0),"")</f>
        <v/>
      </c>
      <c r="G189" s="156" t="str">
        <f>IFERROR(VLOOKUP($E189,設定!$C:$F,3,0),"")</f>
        <v/>
      </c>
      <c r="H189" s="131" t="str">
        <f>IFERROR(VLOOKUP($E189,設定!$C:$F,4,0),"")</f>
        <v/>
      </c>
      <c r="I189" s="402"/>
      <c r="J189" s="8"/>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10"/>
      <c r="AO189" s="65">
        <f t="shared" si="7"/>
        <v>0</v>
      </c>
    </row>
    <row r="190" spans="2:41" s="4" customFormat="1" ht="24" customHeight="1" x14ac:dyDescent="0.2">
      <c r="B190" s="14"/>
      <c r="C190" s="23"/>
      <c r="D190" s="21" t="str">
        <f>IF(ISBLANK(C190), "",
_xlfn.WEBSERVICE(
"https://d16nxf5gxyt1xz.cloudfront.net/Prod/translation?id="
&amp;アカウント情報!$C$2&amp;
"&amp;pwd="
&amp;アカウント情報!$C$3&amp;
"&amp;item="
&amp;_xlfn.ENCODEURL(設定!$F$3)&amp;
"&amp;word="
&amp;_xlfn.ENCODEURL(C190)
)
)</f>
        <v/>
      </c>
      <c r="E190" s="6"/>
      <c r="F190" s="16" t="str">
        <f>IFERROR(VLOOKUP($E190,設定!$C:$F,2,0),"")</f>
        <v/>
      </c>
      <c r="G190" s="156" t="str">
        <f>IFERROR(VLOOKUP($E190,設定!$C:$F,3,0),"")</f>
        <v/>
      </c>
      <c r="H190" s="131" t="str">
        <f>IFERROR(VLOOKUP($E190,設定!$C:$F,4,0),"")</f>
        <v/>
      </c>
      <c r="I190" s="402"/>
      <c r="J190" s="8"/>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10"/>
      <c r="AO190" s="65">
        <f t="shared" si="7"/>
        <v>0</v>
      </c>
    </row>
    <row r="191" spans="2:41" s="4" customFormat="1" ht="24" customHeight="1" x14ac:dyDescent="0.2">
      <c r="B191" s="14"/>
      <c r="C191" s="23"/>
      <c r="D191" s="21" t="str">
        <f>IF(ISBLANK(C191), "",
_xlfn.WEBSERVICE(
"https://d16nxf5gxyt1xz.cloudfront.net/Prod/translation?id="
&amp;アカウント情報!$C$2&amp;
"&amp;pwd="
&amp;アカウント情報!$C$3&amp;
"&amp;item="
&amp;_xlfn.ENCODEURL(設定!$F$3)&amp;
"&amp;word="
&amp;_xlfn.ENCODEURL(C191)
)
)</f>
        <v/>
      </c>
      <c r="E191" s="6"/>
      <c r="F191" s="16" t="str">
        <f>IFERROR(VLOOKUP($E191,設定!$C:$F,2,0),"")</f>
        <v/>
      </c>
      <c r="G191" s="156" t="str">
        <f>IFERROR(VLOOKUP($E191,設定!$C:$F,3,0),"")</f>
        <v/>
      </c>
      <c r="H191" s="131" t="str">
        <f>IFERROR(VLOOKUP($E191,設定!$C:$F,4,0),"")</f>
        <v/>
      </c>
      <c r="I191" s="402"/>
      <c r="J191" s="8"/>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10"/>
      <c r="AO191" s="65">
        <f t="shared" si="7"/>
        <v>0</v>
      </c>
    </row>
    <row r="192" spans="2:41" s="4" customFormat="1" ht="24" customHeight="1" x14ac:dyDescent="0.2">
      <c r="B192" s="14"/>
      <c r="C192" s="23"/>
      <c r="D192" s="21" t="str">
        <f>IF(ISBLANK(C192), "",
_xlfn.WEBSERVICE(
"https://d16nxf5gxyt1xz.cloudfront.net/Prod/translation?id="
&amp;アカウント情報!$C$2&amp;
"&amp;pwd="
&amp;アカウント情報!$C$3&amp;
"&amp;item="
&amp;_xlfn.ENCODEURL(設定!$F$3)&amp;
"&amp;word="
&amp;_xlfn.ENCODEURL(C192)
)
)</f>
        <v/>
      </c>
      <c r="E192" s="6"/>
      <c r="F192" s="16" t="str">
        <f>IFERROR(VLOOKUP($E192,設定!$C:$F,2,0),"")</f>
        <v/>
      </c>
      <c r="G192" s="156" t="str">
        <f>IFERROR(VLOOKUP($E192,設定!$C:$F,3,0),"")</f>
        <v/>
      </c>
      <c r="H192" s="131" t="str">
        <f>IFERROR(VLOOKUP($E192,設定!$C:$F,4,0),"")</f>
        <v/>
      </c>
      <c r="I192" s="402"/>
      <c r="J192" s="8"/>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10"/>
      <c r="AO192" s="65">
        <f t="shared" si="7"/>
        <v>0</v>
      </c>
    </row>
    <row r="193" spans="2:41" s="4" customFormat="1" ht="24" customHeight="1" x14ac:dyDescent="0.2">
      <c r="B193" s="14"/>
      <c r="C193" s="23"/>
      <c r="D193" s="21" t="str">
        <f>IF(ISBLANK(C193), "",
_xlfn.WEBSERVICE(
"https://d16nxf5gxyt1xz.cloudfront.net/Prod/translation?id="
&amp;アカウント情報!$C$2&amp;
"&amp;pwd="
&amp;アカウント情報!$C$3&amp;
"&amp;item="
&amp;_xlfn.ENCODEURL(設定!$F$3)&amp;
"&amp;word="
&amp;_xlfn.ENCODEURL(C193)
)
)</f>
        <v/>
      </c>
      <c r="E193" s="6"/>
      <c r="F193" s="16" t="str">
        <f>IFERROR(VLOOKUP($E193,設定!$C:$F,2,0),"")</f>
        <v/>
      </c>
      <c r="G193" s="156" t="str">
        <f>IFERROR(VLOOKUP($E193,設定!$C:$F,3,0),"")</f>
        <v/>
      </c>
      <c r="H193" s="131" t="str">
        <f>IFERROR(VLOOKUP($E193,設定!$C:$F,4,0),"")</f>
        <v/>
      </c>
      <c r="I193" s="402"/>
      <c r="J193" s="8"/>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10"/>
      <c r="AO193" s="65">
        <f t="shared" si="7"/>
        <v>0</v>
      </c>
    </row>
    <row r="194" spans="2:41" s="4" customFormat="1" ht="24" customHeight="1" x14ac:dyDescent="0.2">
      <c r="B194" s="14"/>
      <c r="C194" s="23"/>
      <c r="D194" s="21" t="str">
        <f>IF(ISBLANK(C194), "",
_xlfn.WEBSERVICE(
"https://d16nxf5gxyt1xz.cloudfront.net/Prod/translation?id="
&amp;アカウント情報!$C$2&amp;
"&amp;pwd="
&amp;アカウント情報!$C$3&amp;
"&amp;item="
&amp;_xlfn.ENCODEURL(設定!$F$3)&amp;
"&amp;word="
&amp;_xlfn.ENCODEURL(C194)
)
)</f>
        <v/>
      </c>
      <c r="E194" s="6"/>
      <c r="F194" s="16" t="str">
        <f>IFERROR(VLOOKUP($E194,設定!$C:$F,2,0),"")</f>
        <v/>
      </c>
      <c r="G194" s="156" t="str">
        <f>IFERROR(VLOOKUP($E194,設定!$C:$F,3,0),"")</f>
        <v/>
      </c>
      <c r="H194" s="131" t="str">
        <f>IFERROR(VLOOKUP($E194,設定!$C:$F,4,0),"")</f>
        <v/>
      </c>
      <c r="I194" s="402"/>
      <c r="J194" s="8"/>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10"/>
      <c r="AO194" s="65">
        <f t="shared" si="7"/>
        <v>0</v>
      </c>
    </row>
    <row r="195" spans="2:41" s="4" customFormat="1" ht="24" customHeight="1" x14ac:dyDescent="0.2">
      <c r="B195" s="14"/>
      <c r="C195" s="23"/>
      <c r="D195" s="21" t="str">
        <f>IF(ISBLANK(C195), "",
_xlfn.WEBSERVICE(
"https://d16nxf5gxyt1xz.cloudfront.net/Prod/translation?id="
&amp;アカウント情報!$C$2&amp;
"&amp;pwd="
&amp;アカウント情報!$C$3&amp;
"&amp;item="
&amp;_xlfn.ENCODEURL(設定!$F$3)&amp;
"&amp;word="
&amp;_xlfn.ENCODEURL(C195)
)
)</f>
        <v/>
      </c>
      <c r="E195" s="6"/>
      <c r="F195" s="16" t="str">
        <f>IFERROR(VLOOKUP($E195,設定!$C:$F,2,0),"")</f>
        <v/>
      </c>
      <c r="G195" s="156" t="str">
        <f>IFERROR(VLOOKUP($E195,設定!$C:$F,3,0),"")</f>
        <v/>
      </c>
      <c r="H195" s="131" t="str">
        <f>IFERROR(VLOOKUP($E195,設定!$C:$F,4,0),"")</f>
        <v/>
      </c>
      <c r="I195" s="402"/>
      <c r="J195" s="8"/>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10"/>
      <c r="AO195" s="65">
        <f t="shared" si="7"/>
        <v>0</v>
      </c>
    </row>
    <row r="196" spans="2:41" s="4" customFormat="1" ht="24" customHeight="1" x14ac:dyDescent="0.2">
      <c r="B196" s="14"/>
      <c r="C196" s="23"/>
      <c r="D196" s="21" t="str">
        <f>IF(ISBLANK(C196), "",
_xlfn.WEBSERVICE(
"https://d16nxf5gxyt1xz.cloudfront.net/Prod/translation?id="
&amp;アカウント情報!$C$2&amp;
"&amp;pwd="
&amp;アカウント情報!$C$3&amp;
"&amp;item="
&amp;_xlfn.ENCODEURL(設定!$F$3)&amp;
"&amp;word="
&amp;_xlfn.ENCODEURL(C196)
)
)</f>
        <v/>
      </c>
      <c r="E196" s="6"/>
      <c r="F196" s="16" t="str">
        <f>IFERROR(VLOOKUP($E196,設定!$C:$F,2,0),"")</f>
        <v/>
      </c>
      <c r="G196" s="156" t="str">
        <f>IFERROR(VLOOKUP($E196,設定!$C:$F,3,0),"")</f>
        <v/>
      </c>
      <c r="H196" s="131" t="str">
        <f>IFERROR(VLOOKUP($E196,設定!$C:$F,4,0),"")</f>
        <v/>
      </c>
      <c r="I196" s="402"/>
      <c r="J196" s="8"/>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10"/>
      <c r="AO196" s="65">
        <f t="shared" si="7"/>
        <v>0</v>
      </c>
    </row>
    <row r="197" spans="2:41" s="4" customFormat="1" ht="24" customHeight="1" x14ac:dyDescent="0.2">
      <c r="B197" s="14"/>
      <c r="C197" s="23"/>
      <c r="D197" s="21" t="str">
        <f>IF(ISBLANK(C197), "",
_xlfn.WEBSERVICE(
"https://d16nxf5gxyt1xz.cloudfront.net/Prod/translation?id="
&amp;アカウント情報!$C$2&amp;
"&amp;pwd="
&amp;アカウント情報!$C$3&amp;
"&amp;item="
&amp;_xlfn.ENCODEURL(設定!$F$3)&amp;
"&amp;word="
&amp;_xlfn.ENCODEURL(C197)
)
)</f>
        <v/>
      </c>
      <c r="E197" s="6"/>
      <c r="F197" s="16" t="str">
        <f>IFERROR(VLOOKUP($E197,設定!$C:$F,2,0),"")</f>
        <v/>
      </c>
      <c r="G197" s="156" t="str">
        <f>IFERROR(VLOOKUP($E197,設定!$C:$F,3,0),"")</f>
        <v/>
      </c>
      <c r="H197" s="131" t="str">
        <f>IFERROR(VLOOKUP($E197,設定!$C:$F,4,0),"")</f>
        <v/>
      </c>
      <c r="I197" s="402"/>
      <c r="J197" s="8"/>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10"/>
      <c r="AO197" s="65">
        <f t="shared" ref="AO197:AO244" si="8">I197*SUM(J197:AN197)</f>
        <v>0</v>
      </c>
    </row>
    <row r="198" spans="2:41" s="4" customFormat="1" ht="24" customHeight="1" x14ac:dyDescent="0.2">
      <c r="B198" s="14"/>
      <c r="C198" s="23"/>
      <c r="D198" s="21" t="str">
        <f>IF(ISBLANK(C198), "",
_xlfn.WEBSERVICE(
"https://d16nxf5gxyt1xz.cloudfront.net/Prod/translation?id="
&amp;アカウント情報!$C$2&amp;
"&amp;pwd="
&amp;アカウント情報!$C$3&amp;
"&amp;item="
&amp;_xlfn.ENCODEURL(設定!$F$3)&amp;
"&amp;word="
&amp;_xlfn.ENCODEURL(C198)
)
)</f>
        <v/>
      </c>
      <c r="E198" s="6"/>
      <c r="F198" s="16" t="str">
        <f>IFERROR(VLOOKUP($E198,設定!$C:$F,2,0),"")</f>
        <v/>
      </c>
      <c r="G198" s="156" t="str">
        <f>IFERROR(VLOOKUP($E198,設定!$C:$F,3,0),"")</f>
        <v/>
      </c>
      <c r="H198" s="131" t="str">
        <f>IFERROR(VLOOKUP($E198,設定!$C:$F,4,0),"")</f>
        <v/>
      </c>
      <c r="I198" s="402"/>
      <c r="J198" s="8"/>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10"/>
      <c r="AO198" s="65">
        <f t="shared" si="8"/>
        <v>0</v>
      </c>
    </row>
    <row r="199" spans="2:41" s="4" customFormat="1" ht="24" customHeight="1" x14ac:dyDescent="0.2">
      <c r="B199" s="14"/>
      <c r="C199" s="23"/>
      <c r="D199" s="21" t="str">
        <f>IF(ISBLANK(C199), "",
_xlfn.WEBSERVICE(
"https://d16nxf5gxyt1xz.cloudfront.net/Prod/translation?id="
&amp;アカウント情報!$C$2&amp;
"&amp;pwd="
&amp;アカウント情報!$C$3&amp;
"&amp;item="
&amp;_xlfn.ENCODEURL(設定!$F$3)&amp;
"&amp;word="
&amp;_xlfn.ENCODEURL(C199)
)
)</f>
        <v/>
      </c>
      <c r="E199" s="6"/>
      <c r="F199" s="16" t="str">
        <f>IFERROR(VLOOKUP($E199,設定!$C:$F,2,0),"")</f>
        <v/>
      </c>
      <c r="G199" s="156" t="str">
        <f>IFERROR(VLOOKUP($E199,設定!$C:$F,3,0),"")</f>
        <v/>
      </c>
      <c r="H199" s="131" t="str">
        <f>IFERROR(VLOOKUP($E199,設定!$C:$F,4,0),"")</f>
        <v/>
      </c>
      <c r="I199" s="402"/>
      <c r="J199" s="8"/>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10"/>
      <c r="AO199" s="65">
        <f t="shared" si="8"/>
        <v>0</v>
      </c>
    </row>
    <row r="200" spans="2:41" s="4" customFormat="1" ht="24" customHeight="1" x14ac:dyDescent="0.2">
      <c r="B200" s="14"/>
      <c r="C200" s="23"/>
      <c r="D200" s="21" t="str">
        <f>IF(ISBLANK(C200), "",
_xlfn.WEBSERVICE(
"https://d16nxf5gxyt1xz.cloudfront.net/Prod/translation?id="
&amp;アカウント情報!$C$2&amp;
"&amp;pwd="
&amp;アカウント情報!$C$3&amp;
"&amp;item="
&amp;_xlfn.ENCODEURL(設定!$F$3)&amp;
"&amp;word="
&amp;_xlfn.ENCODEURL(C200)
)
)</f>
        <v/>
      </c>
      <c r="E200" s="6"/>
      <c r="F200" s="16" t="str">
        <f>IFERROR(VLOOKUP($E200,設定!$C:$F,2,0),"")</f>
        <v/>
      </c>
      <c r="G200" s="156" t="str">
        <f>IFERROR(VLOOKUP($E200,設定!$C:$F,3,0),"")</f>
        <v/>
      </c>
      <c r="H200" s="131" t="str">
        <f>IFERROR(VLOOKUP($E200,設定!$C:$F,4,0),"")</f>
        <v/>
      </c>
      <c r="I200" s="402"/>
      <c r="J200" s="8"/>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10"/>
      <c r="AO200" s="65">
        <f t="shared" si="8"/>
        <v>0</v>
      </c>
    </row>
    <row r="201" spans="2:41" s="4" customFormat="1" ht="24" customHeight="1" x14ac:dyDescent="0.2">
      <c r="B201" s="14"/>
      <c r="C201" s="23"/>
      <c r="D201" s="21" t="str">
        <f>IF(ISBLANK(C201), "",
_xlfn.WEBSERVICE(
"https://d16nxf5gxyt1xz.cloudfront.net/Prod/translation?id="
&amp;アカウント情報!$C$2&amp;
"&amp;pwd="
&amp;アカウント情報!$C$3&amp;
"&amp;item="
&amp;_xlfn.ENCODEURL(設定!$F$3)&amp;
"&amp;word="
&amp;_xlfn.ENCODEURL(C201)
)
)</f>
        <v/>
      </c>
      <c r="E201" s="6"/>
      <c r="F201" s="16" t="str">
        <f>IFERROR(VLOOKUP($E201,設定!$C:$F,2,0),"")</f>
        <v/>
      </c>
      <c r="G201" s="156" t="str">
        <f>IFERROR(VLOOKUP($E201,設定!$C:$F,3,0),"")</f>
        <v/>
      </c>
      <c r="H201" s="131" t="str">
        <f>IFERROR(VLOOKUP($E201,設定!$C:$F,4,0),"")</f>
        <v/>
      </c>
      <c r="I201" s="402"/>
      <c r="J201" s="8"/>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10"/>
      <c r="AO201" s="65">
        <f t="shared" si="8"/>
        <v>0</v>
      </c>
    </row>
    <row r="202" spans="2:41" s="4" customFormat="1" ht="24" customHeight="1" x14ac:dyDescent="0.2">
      <c r="B202" s="14"/>
      <c r="C202" s="23"/>
      <c r="D202" s="21" t="str">
        <f>IF(ISBLANK(C202), "",
_xlfn.WEBSERVICE(
"https://d16nxf5gxyt1xz.cloudfront.net/Prod/translation?id="
&amp;アカウント情報!$C$2&amp;
"&amp;pwd="
&amp;アカウント情報!$C$3&amp;
"&amp;item="
&amp;_xlfn.ENCODEURL(設定!$F$3)&amp;
"&amp;word="
&amp;_xlfn.ENCODEURL(C202)
)
)</f>
        <v/>
      </c>
      <c r="E202" s="6"/>
      <c r="F202" s="16" t="str">
        <f>IFERROR(VLOOKUP($E202,設定!$C:$F,2,0),"")</f>
        <v/>
      </c>
      <c r="G202" s="156" t="str">
        <f>IFERROR(VLOOKUP($E202,設定!$C:$F,3,0),"")</f>
        <v/>
      </c>
      <c r="H202" s="131" t="str">
        <f>IFERROR(VLOOKUP($E202,設定!$C:$F,4,0),"")</f>
        <v/>
      </c>
      <c r="I202" s="402"/>
      <c r="J202" s="8"/>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10"/>
      <c r="AO202" s="65">
        <f t="shared" si="8"/>
        <v>0</v>
      </c>
    </row>
    <row r="203" spans="2:41" s="4" customFormat="1" ht="24" customHeight="1" x14ac:dyDescent="0.2">
      <c r="B203" s="14"/>
      <c r="C203" s="23"/>
      <c r="D203" s="21" t="str">
        <f>IF(ISBLANK(C203), "",
_xlfn.WEBSERVICE(
"https://d16nxf5gxyt1xz.cloudfront.net/Prod/translation?id="
&amp;アカウント情報!$C$2&amp;
"&amp;pwd="
&amp;アカウント情報!$C$3&amp;
"&amp;item="
&amp;_xlfn.ENCODEURL(設定!$F$3)&amp;
"&amp;word="
&amp;_xlfn.ENCODEURL(C203)
)
)</f>
        <v/>
      </c>
      <c r="E203" s="6"/>
      <c r="F203" s="16" t="str">
        <f>IFERROR(VLOOKUP($E203,設定!$C:$F,2,0),"")</f>
        <v/>
      </c>
      <c r="G203" s="156" t="str">
        <f>IFERROR(VLOOKUP($E203,設定!$C:$F,3,0),"")</f>
        <v/>
      </c>
      <c r="H203" s="131" t="str">
        <f>IFERROR(VLOOKUP($E203,設定!$C:$F,4,0),"")</f>
        <v/>
      </c>
      <c r="I203" s="402"/>
      <c r="J203" s="8"/>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10"/>
      <c r="AO203" s="65">
        <f t="shared" si="8"/>
        <v>0</v>
      </c>
    </row>
    <row r="204" spans="2:41" s="4" customFormat="1" ht="24" customHeight="1" x14ac:dyDescent="0.2">
      <c r="B204" s="14"/>
      <c r="C204" s="23"/>
      <c r="D204" s="21" t="str">
        <f>IF(ISBLANK(C204), "",
_xlfn.WEBSERVICE(
"https://d16nxf5gxyt1xz.cloudfront.net/Prod/translation?id="
&amp;アカウント情報!$C$2&amp;
"&amp;pwd="
&amp;アカウント情報!$C$3&amp;
"&amp;item="
&amp;_xlfn.ENCODEURL(設定!$F$3)&amp;
"&amp;word="
&amp;_xlfn.ENCODEURL(C204)
)
)</f>
        <v/>
      </c>
      <c r="E204" s="6"/>
      <c r="F204" s="16" t="str">
        <f>IFERROR(VLOOKUP($E204,設定!$C:$F,2,0),"")</f>
        <v/>
      </c>
      <c r="G204" s="156" t="str">
        <f>IFERROR(VLOOKUP($E204,設定!$C:$F,3,0),"")</f>
        <v/>
      </c>
      <c r="H204" s="131" t="str">
        <f>IFERROR(VLOOKUP($E204,設定!$C:$F,4,0),"")</f>
        <v/>
      </c>
      <c r="I204" s="402"/>
      <c r="J204" s="8"/>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10"/>
      <c r="AO204" s="65">
        <f t="shared" si="8"/>
        <v>0</v>
      </c>
    </row>
    <row r="205" spans="2:41" s="4" customFormat="1" ht="24" customHeight="1" x14ac:dyDescent="0.2">
      <c r="B205" s="14"/>
      <c r="C205" s="23"/>
      <c r="D205" s="21" t="str">
        <f>IF(ISBLANK(C205), "",
_xlfn.WEBSERVICE(
"https://d16nxf5gxyt1xz.cloudfront.net/Prod/translation?id="
&amp;アカウント情報!$C$2&amp;
"&amp;pwd="
&amp;アカウント情報!$C$3&amp;
"&amp;item="
&amp;_xlfn.ENCODEURL(設定!$F$3)&amp;
"&amp;word="
&amp;_xlfn.ENCODEURL(C205)
)
)</f>
        <v/>
      </c>
      <c r="E205" s="6"/>
      <c r="F205" s="16" t="str">
        <f>IFERROR(VLOOKUP($E205,設定!$C:$F,2,0),"")</f>
        <v/>
      </c>
      <c r="G205" s="156" t="str">
        <f>IFERROR(VLOOKUP($E205,設定!$C:$F,3,0),"")</f>
        <v/>
      </c>
      <c r="H205" s="131" t="str">
        <f>IFERROR(VLOOKUP($E205,設定!$C:$F,4,0),"")</f>
        <v/>
      </c>
      <c r="I205" s="402"/>
      <c r="J205" s="8"/>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10"/>
      <c r="AO205" s="65">
        <f t="shared" si="8"/>
        <v>0</v>
      </c>
    </row>
    <row r="206" spans="2:41" s="4" customFormat="1" ht="24" customHeight="1" x14ac:dyDescent="0.2">
      <c r="B206" s="14"/>
      <c r="C206" s="23"/>
      <c r="D206" s="21" t="str">
        <f>IF(ISBLANK(C206), "",
_xlfn.WEBSERVICE(
"https://d16nxf5gxyt1xz.cloudfront.net/Prod/translation?id="
&amp;アカウント情報!$C$2&amp;
"&amp;pwd="
&amp;アカウント情報!$C$3&amp;
"&amp;item="
&amp;_xlfn.ENCODEURL(設定!$F$3)&amp;
"&amp;word="
&amp;_xlfn.ENCODEURL(C206)
)
)</f>
        <v/>
      </c>
      <c r="E206" s="6"/>
      <c r="F206" s="16" t="str">
        <f>IFERROR(VLOOKUP($E206,設定!$C:$F,2,0),"")</f>
        <v/>
      </c>
      <c r="G206" s="156" t="str">
        <f>IFERROR(VLOOKUP($E206,設定!$C:$F,3,0),"")</f>
        <v/>
      </c>
      <c r="H206" s="131" t="str">
        <f>IFERROR(VLOOKUP($E206,設定!$C:$F,4,0),"")</f>
        <v/>
      </c>
      <c r="I206" s="402"/>
      <c r="J206" s="8"/>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10"/>
      <c r="AO206" s="65">
        <f t="shared" si="8"/>
        <v>0</v>
      </c>
    </row>
    <row r="207" spans="2:41" s="4" customFormat="1" ht="24" customHeight="1" x14ac:dyDescent="0.2">
      <c r="B207" s="14"/>
      <c r="C207" s="23"/>
      <c r="D207" s="21" t="str">
        <f>IF(ISBLANK(C207), "",
_xlfn.WEBSERVICE(
"https://d16nxf5gxyt1xz.cloudfront.net/Prod/translation?id="
&amp;アカウント情報!$C$2&amp;
"&amp;pwd="
&amp;アカウント情報!$C$3&amp;
"&amp;item="
&amp;_xlfn.ENCODEURL(設定!$F$3)&amp;
"&amp;word="
&amp;_xlfn.ENCODEURL(C207)
)
)</f>
        <v/>
      </c>
      <c r="E207" s="6"/>
      <c r="F207" s="16" t="str">
        <f>IFERROR(VLOOKUP($E207,設定!$C:$F,2,0),"")</f>
        <v/>
      </c>
      <c r="G207" s="156" t="str">
        <f>IFERROR(VLOOKUP($E207,設定!$C:$F,3,0),"")</f>
        <v/>
      </c>
      <c r="H207" s="131" t="str">
        <f>IFERROR(VLOOKUP($E207,設定!$C:$F,4,0),"")</f>
        <v/>
      </c>
      <c r="I207" s="402"/>
      <c r="J207" s="8"/>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10"/>
      <c r="AO207" s="65">
        <f t="shared" si="8"/>
        <v>0</v>
      </c>
    </row>
    <row r="208" spans="2:41" s="4" customFormat="1" ht="24" customHeight="1" x14ac:dyDescent="0.2">
      <c r="B208" s="14"/>
      <c r="C208" s="23"/>
      <c r="D208" s="21" t="str">
        <f>IF(ISBLANK(C208), "",
_xlfn.WEBSERVICE(
"https://d16nxf5gxyt1xz.cloudfront.net/Prod/translation?id="
&amp;アカウント情報!$C$2&amp;
"&amp;pwd="
&amp;アカウント情報!$C$3&amp;
"&amp;item="
&amp;_xlfn.ENCODEURL(設定!$F$3)&amp;
"&amp;word="
&amp;_xlfn.ENCODEURL(C208)
)
)</f>
        <v/>
      </c>
      <c r="E208" s="6"/>
      <c r="F208" s="16" t="str">
        <f>IFERROR(VLOOKUP($E208,設定!$C:$F,2,0),"")</f>
        <v/>
      </c>
      <c r="G208" s="156" t="str">
        <f>IFERROR(VLOOKUP($E208,設定!$C:$F,3,0),"")</f>
        <v/>
      </c>
      <c r="H208" s="131" t="str">
        <f>IFERROR(VLOOKUP($E208,設定!$C:$F,4,0),"")</f>
        <v/>
      </c>
      <c r="I208" s="402"/>
      <c r="J208" s="8"/>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10"/>
      <c r="AO208" s="65">
        <f t="shared" si="8"/>
        <v>0</v>
      </c>
    </row>
    <row r="209" spans="2:41" s="4" customFormat="1" ht="24" customHeight="1" x14ac:dyDescent="0.2">
      <c r="B209" s="14"/>
      <c r="C209" s="23"/>
      <c r="D209" s="21" t="str">
        <f>IF(ISBLANK(C209), "",
_xlfn.WEBSERVICE(
"https://d16nxf5gxyt1xz.cloudfront.net/Prod/translation?id="
&amp;アカウント情報!$C$2&amp;
"&amp;pwd="
&amp;アカウント情報!$C$3&amp;
"&amp;item="
&amp;_xlfn.ENCODEURL(設定!$F$3)&amp;
"&amp;word="
&amp;_xlfn.ENCODEURL(C209)
)
)</f>
        <v/>
      </c>
      <c r="E209" s="6"/>
      <c r="F209" s="16" t="str">
        <f>IFERROR(VLOOKUP($E209,設定!$C:$F,2,0),"")</f>
        <v/>
      </c>
      <c r="G209" s="156" t="str">
        <f>IFERROR(VLOOKUP($E209,設定!$C:$F,3,0),"")</f>
        <v/>
      </c>
      <c r="H209" s="131" t="str">
        <f>IFERROR(VLOOKUP($E209,設定!$C:$F,4,0),"")</f>
        <v/>
      </c>
      <c r="I209" s="402"/>
      <c r="J209" s="8"/>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10"/>
      <c r="AO209" s="65">
        <f t="shared" si="8"/>
        <v>0</v>
      </c>
    </row>
    <row r="210" spans="2:41" s="4" customFormat="1" ht="24" customHeight="1" x14ac:dyDescent="0.2">
      <c r="B210" s="14"/>
      <c r="C210" s="23"/>
      <c r="D210" s="21" t="str">
        <f>IF(ISBLANK(C210), "",
_xlfn.WEBSERVICE(
"https://d16nxf5gxyt1xz.cloudfront.net/Prod/translation?id="
&amp;アカウント情報!$C$2&amp;
"&amp;pwd="
&amp;アカウント情報!$C$3&amp;
"&amp;item="
&amp;_xlfn.ENCODEURL(設定!$F$3)&amp;
"&amp;word="
&amp;_xlfn.ENCODEURL(C210)
)
)</f>
        <v/>
      </c>
      <c r="E210" s="6"/>
      <c r="F210" s="16" t="str">
        <f>IFERROR(VLOOKUP($E210,設定!$C:$F,2,0),"")</f>
        <v/>
      </c>
      <c r="G210" s="156" t="str">
        <f>IFERROR(VLOOKUP($E210,設定!$C:$F,3,0),"")</f>
        <v/>
      </c>
      <c r="H210" s="131" t="str">
        <f>IFERROR(VLOOKUP($E210,設定!$C:$F,4,0),"")</f>
        <v/>
      </c>
      <c r="I210" s="402"/>
      <c r="J210" s="8"/>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10"/>
      <c r="AO210" s="65">
        <f t="shared" si="8"/>
        <v>0</v>
      </c>
    </row>
    <row r="211" spans="2:41" s="4" customFormat="1" ht="24" customHeight="1" x14ac:dyDescent="0.2">
      <c r="B211" s="14"/>
      <c r="C211" s="23"/>
      <c r="D211" s="21" t="str">
        <f>IF(ISBLANK(C211), "",
_xlfn.WEBSERVICE(
"https://d16nxf5gxyt1xz.cloudfront.net/Prod/translation?id="
&amp;アカウント情報!$C$2&amp;
"&amp;pwd="
&amp;アカウント情報!$C$3&amp;
"&amp;item="
&amp;_xlfn.ENCODEURL(設定!$F$3)&amp;
"&amp;word="
&amp;_xlfn.ENCODEURL(C211)
)
)</f>
        <v/>
      </c>
      <c r="E211" s="6"/>
      <c r="F211" s="16" t="str">
        <f>IFERROR(VLOOKUP($E211,設定!$C:$F,2,0),"")</f>
        <v/>
      </c>
      <c r="G211" s="156" t="str">
        <f>IFERROR(VLOOKUP($E211,設定!$C:$F,3,0),"")</f>
        <v/>
      </c>
      <c r="H211" s="131" t="str">
        <f>IFERROR(VLOOKUP($E211,設定!$C:$F,4,0),"")</f>
        <v/>
      </c>
      <c r="I211" s="402"/>
      <c r="J211" s="8"/>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10"/>
      <c r="AO211" s="65">
        <f t="shared" si="8"/>
        <v>0</v>
      </c>
    </row>
    <row r="212" spans="2:41" s="4" customFormat="1" ht="24" customHeight="1" x14ac:dyDescent="0.2">
      <c r="B212" s="14"/>
      <c r="C212" s="23"/>
      <c r="D212" s="21" t="str">
        <f>IF(ISBLANK(C212), "",
_xlfn.WEBSERVICE(
"https://d16nxf5gxyt1xz.cloudfront.net/Prod/translation?id="
&amp;アカウント情報!$C$2&amp;
"&amp;pwd="
&amp;アカウント情報!$C$3&amp;
"&amp;item="
&amp;_xlfn.ENCODEURL(設定!$F$3)&amp;
"&amp;word="
&amp;_xlfn.ENCODEURL(C212)
)
)</f>
        <v/>
      </c>
      <c r="E212" s="6"/>
      <c r="F212" s="16" t="str">
        <f>IFERROR(VLOOKUP($E212,設定!$C:$F,2,0),"")</f>
        <v/>
      </c>
      <c r="G212" s="156" t="str">
        <f>IFERROR(VLOOKUP($E212,設定!$C:$F,3,0),"")</f>
        <v/>
      </c>
      <c r="H212" s="131" t="str">
        <f>IFERROR(VLOOKUP($E212,設定!$C:$F,4,0),"")</f>
        <v/>
      </c>
      <c r="I212" s="402"/>
      <c r="J212" s="8"/>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10"/>
      <c r="AO212" s="65">
        <f t="shared" si="8"/>
        <v>0</v>
      </c>
    </row>
    <row r="213" spans="2:41" s="4" customFormat="1" ht="24" customHeight="1" x14ac:dyDescent="0.2">
      <c r="B213" s="14"/>
      <c r="C213" s="23"/>
      <c r="D213" s="21" t="str">
        <f>IF(ISBLANK(C213), "",
_xlfn.WEBSERVICE(
"https://d16nxf5gxyt1xz.cloudfront.net/Prod/translation?id="
&amp;アカウント情報!$C$2&amp;
"&amp;pwd="
&amp;アカウント情報!$C$3&amp;
"&amp;item="
&amp;_xlfn.ENCODEURL(設定!$F$3)&amp;
"&amp;word="
&amp;_xlfn.ENCODEURL(C213)
)
)</f>
        <v/>
      </c>
      <c r="E213" s="6"/>
      <c r="F213" s="16" t="str">
        <f>IFERROR(VLOOKUP($E213,設定!$C:$F,2,0),"")</f>
        <v/>
      </c>
      <c r="G213" s="156" t="str">
        <f>IFERROR(VLOOKUP($E213,設定!$C:$F,3,0),"")</f>
        <v/>
      </c>
      <c r="H213" s="131" t="str">
        <f>IFERROR(VLOOKUP($E213,設定!$C:$F,4,0),"")</f>
        <v/>
      </c>
      <c r="I213" s="402"/>
      <c r="J213" s="8"/>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10"/>
      <c r="AO213" s="65">
        <f t="shared" si="8"/>
        <v>0</v>
      </c>
    </row>
    <row r="214" spans="2:41" s="4" customFormat="1" ht="24" customHeight="1" x14ac:dyDescent="0.2">
      <c r="B214" s="14"/>
      <c r="C214" s="23"/>
      <c r="D214" s="21" t="str">
        <f>IF(ISBLANK(C214), "",
_xlfn.WEBSERVICE(
"https://d16nxf5gxyt1xz.cloudfront.net/Prod/translation?id="
&amp;アカウント情報!$C$2&amp;
"&amp;pwd="
&amp;アカウント情報!$C$3&amp;
"&amp;item="
&amp;_xlfn.ENCODEURL(設定!$F$3)&amp;
"&amp;word="
&amp;_xlfn.ENCODEURL(C214)
)
)</f>
        <v/>
      </c>
      <c r="E214" s="6"/>
      <c r="F214" s="16" t="str">
        <f>IFERROR(VLOOKUP($E214,設定!$C:$F,2,0),"")</f>
        <v/>
      </c>
      <c r="G214" s="156" t="str">
        <f>IFERROR(VLOOKUP($E214,設定!$C:$F,3,0),"")</f>
        <v/>
      </c>
      <c r="H214" s="131" t="str">
        <f>IFERROR(VLOOKUP($E214,設定!$C:$F,4,0),"")</f>
        <v/>
      </c>
      <c r="I214" s="402"/>
      <c r="J214" s="8"/>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10"/>
      <c r="AO214" s="65">
        <f t="shared" si="8"/>
        <v>0</v>
      </c>
    </row>
    <row r="215" spans="2:41" s="4" customFormat="1" ht="24" customHeight="1" x14ac:dyDescent="0.2">
      <c r="B215" s="14"/>
      <c r="C215" s="23"/>
      <c r="D215" s="21" t="str">
        <f>IF(ISBLANK(C215), "",
_xlfn.WEBSERVICE(
"https://d16nxf5gxyt1xz.cloudfront.net/Prod/translation?id="
&amp;アカウント情報!$C$2&amp;
"&amp;pwd="
&amp;アカウント情報!$C$3&amp;
"&amp;item="
&amp;_xlfn.ENCODEURL(設定!$F$3)&amp;
"&amp;word="
&amp;_xlfn.ENCODEURL(C215)
)
)</f>
        <v/>
      </c>
      <c r="E215" s="6"/>
      <c r="F215" s="16" t="str">
        <f>IFERROR(VLOOKUP($E215,設定!$C:$F,2,0),"")</f>
        <v/>
      </c>
      <c r="G215" s="156" t="str">
        <f>IFERROR(VLOOKUP($E215,設定!$C:$F,3,0),"")</f>
        <v/>
      </c>
      <c r="H215" s="131" t="str">
        <f>IFERROR(VLOOKUP($E215,設定!$C:$F,4,0),"")</f>
        <v/>
      </c>
      <c r="I215" s="402"/>
      <c r="J215" s="8"/>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10"/>
      <c r="AO215" s="65">
        <f t="shared" si="8"/>
        <v>0</v>
      </c>
    </row>
    <row r="216" spans="2:41" s="4" customFormat="1" ht="24" customHeight="1" x14ac:dyDescent="0.2">
      <c r="B216" s="14"/>
      <c r="C216" s="23"/>
      <c r="D216" s="21" t="str">
        <f>IF(ISBLANK(C216), "",
_xlfn.WEBSERVICE(
"https://d16nxf5gxyt1xz.cloudfront.net/Prod/translation?id="
&amp;アカウント情報!$C$2&amp;
"&amp;pwd="
&amp;アカウント情報!$C$3&amp;
"&amp;item="
&amp;_xlfn.ENCODEURL(設定!$F$3)&amp;
"&amp;word="
&amp;_xlfn.ENCODEURL(C216)
)
)</f>
        <v/>
      </c>
      <c r="E216" s="6"/>
      <c r="F216" s="16" t="str">
        <f>IFERROR(VLOOKUP($E216,設定!$C:$F,2,0),"")</f>
        <v/>
      </c>
      <c r="G216" s="156" t="str">
        <f>IFERROR(VLOOKUP($E216,設定!$C:$F,3,0),"")</f>
        <v/>
      </c>
      <c r="H216" s="131" t="str">
        <f>IFERROR(VLOOKUP($E216,設定!$C:$F,4,0),"")</f>
        <v/>
      </c>
      <c r="I216" s="402"/>
      <c r="J216" s="8"/>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10"/>
      <c r="AO216" s="65">
        <f t="shared" si="8"/>
        <v>0</v>
      </c>
    </row>
    <row r="217" spans="2:41" s="4" customFormat="1" ht="24" customHeight="1" x14ac:dyDescent="0.2">
      <c r="B217" s="14"/>
      <c r="C217" s="23"/>
      <c r="D217" s="21" t="str">
        <f>IF(ISBLANK(C217), "",
_xlfn.WEBSERVICE(
"https://d16nxf5gxyt1xz.cloudfront.net/Prod/translation?id="
&amp;アカウント情報!$C$2&amp;
"&amp;pwd="
&amp;アカウント情報!$C$3&amp;
"&amp;item="
&amp;_xlfn.ENCODEURL(設定!$F$3)&amp;
"&amp;word="
&amp;_xlfn.ENCODEURL(C217)
)
)</f>
        <v/>
      </c>
      <c r="E217" s="6"/>
      <c r="F217" s="16" t="str">
        <f>IFERROR(VLOOKUP($E217,設定!$C:$F,2,0),"")</f>
        <v/>
      </c>
      <c r="G217" s="156" t="str">
        <f>IFERROR(VLOOKUP($E217,設定!$C:$F,3,0),"")</f>
        <v/>
      </c>
      <c r="H217" s="131" t="str">
        <f>IFERROR(VLOOKUP($E217,設定!$C:$F,4,0),"")</f>
        <v/>
      </c>
      <c r="I217" s="402"/>
      <c r="J217" s="8"/>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10"/>
      <c r="AO217" s="65">
        <f t="shared" si="8"/>
        <v>0</v>
      </c>
    </row>
    <row r="218" spans="2:41" s="4" customFormat="1" ht="24" customHeight="1" x14ac:dyDescent="0.2">
      <c r="B218" s="14"/>
      <c r="C218" s="23"/>
      <c r="D218" s="21" t="str">
        <f>IF(ISBLANK(C218), "",
_xlfn.WEBSERVICE(
"https://d16nxf5gxyt1xz.cloudfront.net/Prod/translation?id="
&amp;アカウント情報!$C$2&amp;
"&amp;pwd="
&amp;アカウント情報!$C$3&amp;
"&amp;item="
&amp;_xlfn.ENCODEURL(設定!$F$3)&amp;
"&amp;word="
&amp;_xlfn.ENCODEURL(C218)
)
)</f>
        <v/>
      </c>
      <c r="E218" s="6"/>
      <c r="F218" s="16" t="str">
        <f>IFERROR(VLOOKUP($E218,設定!$C:$F,2,0),"")</f>
        <v/>
      </c>
      <c r="G218" s="156" t="str">
        <f>IFERROR(VLOOKUP($E218,設定!$C:$F,3,0),"")</f>
        <v/>
      </c>
      <c r="H218" s="131" t="str">
        <f>IFERROR(VLOOKUP($E218,設定!$C:$F,4,0),"")</f>
        <v/>
      </c>
      <c r="I218" s="402"/>
      <c r="J218" s="8"/>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10"/>
      <c r="AO218" s="65">
        <f t="shared" si="8"/>
        <v>0</v>
      </c>
    </row>
    <row r="219" spans="2:41" s="4" customFormat="1" ht="24" customHeight="1" x14ac:dyDescent="0.2">
      <c r="B219" s="14"/>
      <c r="C219" s="23"/>
      <c r="D219" s="21" t="str">
        <f>IF(ISBLANK(C219), "",
_xlfn.WEBSERVICE(
"https://d16nxf5gxyt1xz.cloudfront.net/Prod/translation?id="
&amp;アカウント情報!$C$2&amp;
"&amp;pwd="
&amp;アカウント情報!$C$3&amp;
"&amp;item="
&amp;_xlfn.ENCODEURL(設定!$F$3)&amp;
"&amp;word="
&amp;_xlfn.ENCODEURL(C219)
)
)</f>
        <v/>
      </c>
      <c r="E219" s="6"/>
      <c r="F219" s="16" t="str">
        <f>IFERROR(VLOOKUP($E219,設定!$C:$F,2,0),"")</f>
        <v/>
      </c>
      <c r="G219" s="156" t="str">
        <f>IFERROR(VLOOKUP($E219,設定!$C:$F,3,0),"")</f>
        <v/>
      </c>
      <c r="H219" s="131" t="str">
        <f>IFERROR(VLOOKUP($E219,設定!$C:$F,4,0),"")</f>
        <v/>
      </c>
      <c r="I219" s="402"/>
      <c r="J219" s="8"/>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10"/>
      <c r="AO219" s="65">
        <f t="shared" si="8"/>
        <v>0</v>
      </c>
    </row>
    <row r="220" spans="2:41" s="4" customFormat="1" ht="24" customHeight="1" x14ac:dyDescent="0.2">
      <c r="B220" s="14"/>
      <c r="C220" s="23"/>
      <c r="D220" s="21" t="str">
        <f>IF(ISBLANK(C220), "",
_xlfn.WEBSERVICE(
"https://d16nxf5gxyt1xz.cloudfront.net/Prod/translation?id="
&amp;アカウント情報!$C$2&amp;
"&amp;pwd="
&amp;アカウント情報!$C$3&amp;
"&amp;item="
&amp;_xlfn.ENCODEURL(設定!$F$3)&amp;
"&amp;word="
&amp;_xlfn.ENCODEURL(C220)
)
)</f>
        <v/>
      </c>
      <c r="E220" s="6"/>
      <c r="F220" s="16" t="str">
        <f>IFERROR(VLOOKUP($E220,設定!$C:$F,2,0),"")</f>
        <v/>
      </c>
      <c r="G220" s="156" t="str">
        <f>IFERROR(VLOOKUP($E220,設定!$C:$F,3,0),"")</f>
        <v/>
      </c>
      <c r="H220" s="131" t="str">
        <f>IFERROR(VLOOKUP($E220,設定!$C:$F,4,0),"")</f>
        <v/>
      </c>
      <c r="I220" s="402"/>
      <c r="J220" s="8"/>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10"/>
      <c r="AO220" s="65">
        <f t="shared" si="8"/>
        <v>0</v>
      </c>
    </row>
    <row r="221" spans="2:41" s="4" customFormat="1" ht="24" customHeight="1" x14ac:dyDescent="0.2">
      <c r="B221" s="14"/>
      <c r="C221" s="23"/>
      <c r="D221" s="21" t="str">
        <f>IF(ISBLANK(C221), "",
_xlfn.WEBSERVICE(
"https://d16nxf5gxyt1xz.cloudfront.net/Prod/translation?id="
&amp;アカウント情報!$C$2&amp;
"&amp;pwd="
&amp;アカウント情報!$C$3&amp;
"&amp;item="
&amp;_xlfn.ENCODEURL(設定!$F$3)&amp;
"&amp;word="
&amp;_xlfn.ENCODEURL(C221)
)
)</f>
        <v/>
      </c>
      <c r="E221" s="6"/>
      <c r="F221" s="16" t="str">
        <f>IFERROR(VLOOKUP($E221,設定!$C:$F,2,0),"")</f>
        <v/>
      </c>
      <c r="G221" s="156" t="str">
        <f>IFERROR(VLOOKUP($E221,設定!$C:$F,3,0),"")</f>
        <v/>
      </c>
      <c r="H221" s="131" t="str">
        <f>IFERROR(VLOOKUP($E221,設定!$C:$F,4,0),"")</f>
        <v/>
      </c>
      <c r="I221" s="402"/>
      <c r="J221" s="8"/>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10"/>
      <c r="AO221" s="65">
        <f t="shared" si="8"/>
        <v>0</v>
      </c>
    </row>
    <row r="222" spans="2:41" s="4" customFormat="1" ht="24" customHeight="1" x14ac:dyDescent="0.2">
      <c r="B222" s="14"/>
      <c r="C222" s="23"/>
      <c r="D222" s="21" t="str">
        <f>IF(ISBLANK(C222), "",
_xlfn.WEBSERVICE(
"https://d16nxf5gxyt1xz.cloudfront.net/Prod/translation?id="
&amp;アカウント情報!$C$2&amp;
"&amp;pwd="
&amp;アカウント情報!$C$3&amp;
"&amp;item="
&amp;_xlfn.ENCODEURL(設定!$F$3)&amp;
"&amp;word="
&amp;_xlfn.ENCODEURL(C222)
)
)</f>
        <v/>
      </c>
      <c r="E222" s="6"/>
      <c r="F222" s="16" t="str">
        <f>IFERROR(VLOOKUP($E222,設定!$C:$F,2,0),"")</f>
        <v/>
      </c>
      <c r="G222" s="156" t="str">
        <f>IFERROR(VLOOKUP($E222,設定!$C:$F,3,0),"")</f>
        <v/>
      </c>
      <c r="H222" s="131" t="str">
        <f>IFERROR(VLOOKUP($E222,設定!$C:$F,4,0),"")</f>
        <v/>
      </c>
      <c r="I222" s="402"/>
      <c r="J222" s="8"/>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10"/>
      <c r="AO222" s="65">
        <f t="shared" si="8"/>
        <v>0</v>
      </c>
    </row>
    <row r="223" spans="2:41" s="4" customFormat="1" ht="24" customHeight="1" x14ac:dyDescent="0.2">
      <c r="B223" s="14"/>
      <c r="C223" s="23"/>
      <c r="D223" s="21" t="str">
        <f>IF(ISBLANK(C223), "",
_xlfn.WEBSERVICE(
"https://d16nxf5gxyt1xz.cloudfront.net/Prod/translation?id="
&amp;アカウント情報!$C$2&amp;
"&amp;pwd="
&amp;アカウント情報!$C$3&amp;
"&amp;item="
&amp;_xlfn.ENCODEURL(設定!$F$3)&amp;
"&amp;word="
&amp;_xlfn.ENCODEURL(C223)
)
)</f>
        <v/>
      </c>
      <c r="E223" s="6"/>
      <c r="F223" s="16" t="str">
        <f>IFERROR(VLOOKUP($E223,設定!$C:$F,2,0),"")</f>
        <v/>
      </c>
      <c r="G223" s="156" t="str">
        <f>IFERROR(VLOOKUP($E223,設定!$C:$F,3,0),"")</f>
        <v/>
      </c>
      <c r="H223" s="131" t="str">
        <f>IFERROR(VLOOKUP($E223,設定!$C:$F,4,0),"")</f>
        <v/>
      </c>
      <c r="I223" s="402"/>
      <c r="J223" s="8"/>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10"/>
      <c r="AO223" s="65">
        <f t="shared" si="8"/>
        <v>0</v>
      </c>
    </row>
    <row r="224" spans="2:41" s="4" customFormat="1" ht="24" customHeight="1" x14ac:dyDescent="0.2">
      <c r="B224" s="14"/>
      <c r="C224" s="23"/>
      <c r="D224" s="21" t="str">
        <f>IF(ISBLANK(C224), "",
_xlfn.WEBSERVICE(
"https://d16nxf5gxyt1xz.cloudfront.net/Prod/translation?id="
&amp;アカウント情報!$C$2&amp;
"&amp;pwd="
&amp;アカウント情報!$C$3&amp;
"&amp;item="
&amp;_xlfn.ENCODEURL(設定!$F$3)&amp;
"&amp;word="
&amp;_xlfn.ENCODEURL(C224)
)
)</f>
        <v/>
      </c>
      <c r="E224" s="6"/>
      <c r="F224" s="16" t="str">
        <f>IFERROR(VLOOKUP($E224,設定!$C:$F,2,0),"")</f>
        <v/>
      </c>
      <c r="G224" s="156" t="str">
        <f>IFERROR(VLOOKUP($E224,設定!$C:$F,3,0),"")</f>
        <v/>
      </c>
      <c r="H224" s="131" t="str">
        <f>IFERROR(VLOOKUP($E224,設定!$C:$F,4,0),"")</f>
        <v/>
      </c>
      <c r="I224" s="402"/>
      <c r="J224" s="8"/>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10"/>
      <c r="AO224" s="65">
        <f t="shared" si="8"/>
        <v>0</v>
      </c>
    </row>
    <row r="225" spans="2:41" s="4" customFormat="1" ht="24" customHeight="1" x14ac:dyDescent="0.2">
      <c r="B225" s="14"/>
      <c r="C225" s="23"/>
      <c r="D225" s="21" t="str">
        <f>IF(ISBLANK(C225), "",
_xlfn.WEBSERVICE(
"https://d16nxf5gxyt1xz.cloudfront.net/Prod/translation?id="
&amp;アカウント情報!$C$2&amp;
"&amp;pwd="
&amp;アカウント情報!$C$3&amp;
"&amp;item="
&amp;_xlfn.ENCODEURL(設定!$F$3)&amp;
"&amp;word="
&amp;_xlfn.ENCODEURL(C225)
)
)</f>
        <v/>
      </c>
      <c r="E225" s="6"/>
      <c r="F225" s="16" t="str">
        <f>IFERROR(VLOOKUP($E225,設定!$C:$F,2,0),"")</f>
        <v/>
      </c>
      <c r="G225" s="156" t="str">
        <f>IFERROR(VLOOKUP($E225,設定!$C:$F,3,0),"")</f>
        <v/>
      </c>
      <c r="H225" s="131" t="str">
        <f>IFERROR(VLOOKUP($E225,設定!$C:$F,4,0),"")</f>
        <v/>
      </c>
      <c r="I225" s="402"/>
      <c r="J225" s="8"/>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10"/>
      <c r="AO225" s="65">
        <f t="shared" si="8"/>
        <v>0</v>
      </c>
    </row>
    <row r="226" spans="2:41" s="4" customFormat="1" ht="24" customHeight="1" x14ac:dyDescent="0.2">
      <c r="B226" s="14"/>
      <c r="C226" s="23"/>
      <c r="D226" s="21" t="str">
        <f>IF(ISBLANK(C226), "",
_xlfn.WEBSERVICE(
"https://d16nxf5gxyt1xz.cloudfront.net/Prod/translation?id="
&amp;アカウント情報!$C$2&amp;
"&amp;pwd="
&amp;アカウント情報!$C$3&amp;
"&amp;item="
&amp;_xlfn.ENCODEURL(設定!$F$3)&amp;
"&amp;word="
&amp;_xlfn.ENCODEURL(C226)
)
)</f>
        <v/>
      </c>
      <c r="E226" s="6"/>
      <c r="F226" s="16" t="str">
        <f>IFERROR(VLOOKUP($E226,設定!$C:$F,2,0),"")</f>
        <v/>
      </c>
      <c r="G226" s="156" t="str">
        <f>IFERROR(VLOOKUP($E226,設定!$C:$F,3,0),"")</f>
        <v/>
      </c>
      <c r="H226" s="131" t="str">
        <f>IFERROR(VLOOKUP($E226,設定!$C:$F,4,0),"")</f>
        <v/>
      </c>
      <c r="I226" s="402"/>
      <c r="J226" s="8"/>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10"/>
      <c r="AO226" s="65">
        <f t="shared" si="8"/>
        <v>0</v>
      </c>
    </row>
    <row r="227" spans="2:41" s="4" customFormat="1" ht="24" customHeight="1" x14ac:dyDescent="0.2">
      <c r="B227" s="14"/>
      <c r="C227" s="23"/>
      <c r="D227" s="21" t="str">
        <f>IF(ISBLANK(C227), "",
_xlfn.WEBSERVICE(
"https://d16nxf5gxyt1xz.cloudfront.net/Prod/translation?id="
&amp;アカウント情報!$C$2&amp;
"&amp;pwd="
&amp;アカウント情報!$C$3&amp;
"&amp;item="
&amp;_xlfn.ENCODEURL(設定!$F$3)&amp;
"&amp;word="
&amp;_xlfn.ENCODEURL(C227)
)
)</f>
        <v/>
      </c>
      <c r="E227" s="6"/>
      <c r="F227" s="16" t="str">
        <f>IFERROR(VLOOKUP($E227,設定!$C:$F,2,0),"")</f>
        <v/>
      </c>
      <c r="G227" s="156" t="str">
        <f>IFERROR(VLOOKUP($E227,設定!$C:$F,3,0),"")</f>
        <v/>
      </c>
      <c r="H227" s="131" t="str">
        <f>IFERROR(VLOOKUP($E227,設定!$C:$F,4,0),"")</f>
        <v/>
      </c>
      <c r="I227" s="402"/>
      <c r="J227" s="8"/>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10"/>
      <c r="AO227" s="65">
        <f t="shared" si="8"/>
        <v>0</v>
      </c>
    </row>
    <row r="228" spans="2:41" s="4" customFormat="1" ht="24" customHeight="1" x14ac:dyDescent="0.2">
      <c r="B228" s="14"/>
      <c r="C228" s="23"/>
      <c r="D228" s="21" t="str">
        <f>IF(ISBLANK(C228), "",
_xlfn.WEBSERVICE(
"https://d16nxf5gxyt1xz.cloudfront.net/Prod/translation?id="
&amp;アカウント情報!$C$2&amp;
"&amp;pwd="
&amp;アカウント情報!$C$3&amp;
"&amp;item="
&amp;_xlfn.ENCODEURL(設定!$F$3)&amp;
"&amp;word="
&amp;_xlfn.ENCODEURL(C228)
)
)</f>
        <v/>
      </c>
      <c r="E228" s="6"/>
      <c r="F228" s="16" t="str">
        <f>IFERROR(VLOOKUP($E228,設定!$C:$F,2,0),"")</f>
        <v/>
      </c>
      <c r="G228" s="156" t="str">
        <f>IFERROR(VLOOKUP($E228,設定!$C:$F,3,0),"")</f>
        <v/>
      </c>
      <c r="H228" s="131" t="str">
        <f>IFERROR(VLOOKUP($E228,設定!$C:$F,4,0),"")</f>
        <v/>
      </c>
      <c r="I228" s="402"/>
      <c r="J228" s="8"/>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10"/>
      <c r="AO228" s="65">
        <f t="shared" si="8"/>
        <v>0</v>
      </c>
    </row>
    <row r="229" spans="2:41" s="4" customFormat="1" ht="24" customHeight="1" x14ac:dyDescent="0.2">
      <c r="B229" s="14"/>
      <c r="C229" s="23"/>
      <c r="D229" s="21" t="str">
        <f>IF(ISBLANK(C229), "",
_xlfn.WEBSERVICE(
"https://d16nxf5gxyt1xz.cloudfront.net/Prod/translation?id="
&amp;アカウント情報!$C$2&amp;
"&amp;pwd="
&amp;アカウント情報!$C$3&amp;
"&amp;item="
&amp;_xlfn.ENCODEURL(設定!$F$3)&amp;
"&amp;word="
&amp;_xlfn.ENCODEURL(C229)
)
)</f>
        <v/>
      </c>
      <c r="E229" s="6"/>
      <c r="F229" s="16" t="str">
        <f>IFERROR(VLOOKUP($E229,設定!$C:$F,2,0),"")</f>
        <v/>
      </c>
      <c r="G229" s="156" t="str">
        <f>IFERROR(VLOOKUP($E229,設定!$C:$F,3,0),"")</f>
        <v/>
      </c>
      <c r="H229" s="131" t="str">
        <f>IFERROR(VLOOKUP($E229,設定!$C:$F,4,0),"")</f>
        <v/>
      </c>
      <c r="I229" s="402"/>
      <c r="J229" s="8"/>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10"/>
      <c r="AO229" s="65">
        <f t="shared" si="8"/>
        <v>0</v>
      </c>
    </row>
    <row r="230" spans="2:41" s="4" customFormat="1" ht="24" customHeight="1" x14ac:dyDescent="0.2">
      <c r="B230" s="14"/>
      <c r="C230" s="23"/>
      <c r="D230" s="21" t="str">
        <f>IF(ISBLANK(C230), "",
_xlfn.WEBSERVICE(
"https://d16nxf5gxyt1xz.cloudfront.net/Prod/translation?id="
&amp;アカウント情報!$C$2&amp;
"&amp;pwd="
&amp;アカウント情報!$C$3&amp;
"&amp;item="
&amp;_xlfn.ENCODEURL(設定!$F$3)&amp;
"&amp;word="
&amp;_xlfn.ENCODEURL(C230)
)
)</f>
        <v/>
      </c>
      <c r="E230" s="6"/>
      <c r="F230" s="16" t="str">
        <f>IFERROR(VLOOKUP($E230,設定!$C:$F,2,0),"")</f>
        <v/>
      </c>
      <c r="G230" s="156" t="str">
        <f>IFERROR(VLOOKUP($E230,設定!$C:$F,3,0),"")</f>
        <v/>
      </c>
      <c r="H230" s="131" t="str">
        <f>IFERROR(VLOOKUP($E230,設定!$C:$F,4,0),"")</f>
        <v/>
      </c>
      <c r="I230" s="402"/>
      <c r="J230" s="8"/>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10"/>
      <c r="AO230" s="65">
        <f t="shared" si="8"/>
        <v>0</v>
      </c>
    </row>
    <row r="231" spans="2:41" s="4" customFormat="1" ht="24" customHeight="1" x14ac:dyDescent="0.2">
      <c r="B231" s="14"/>
      <c r="C231" s="23"/>
      <c r="D231" s="21" t="str">
        <f>IF(ISBLANK(C231), "",
_xlfn.WEBSERVICE(
"https://d16nxf5gxyt1xz.cloudfront.net/Prod/translation?id="
&amp;アカウント情報!$C$2&amp;
"&amp;pwd="
&amp;アカウント情報!$C$3&amp;
"&amp;item="
&amp;_xlfn.ENCODEURL(設定!$F$3)&amp;
"&amp;word="
&amp;_xlfn.ENCODEURL(C231)
)
)</f>
        <v/>
      </c>
      <c r="E231" s="6"/>
      <c r="F231" s="16" t="str">
        <f>IFERROR(VLOOKUP($E231,設定!$C:$F,2,0),"")</f>
        <v/>
      </c>
      <c r="G231" s="156" t="str">
        <f>IFERROR(VLOOKUP($E231,設定!$C:$F,3,0),"")</f>
        <v/>
      </c>
      <c r="H231" s="131" t="str">
        <f>IFERROR(VLOOKUP($E231,設定!$C:$F,4,0),"")</f>
        <v/>
      </c>
      <c r="I231" s="402"/>
      <c r="J231" s="8"/>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10"/>
      <c r="AO231" s="65">
        <f t="shared" si="8"/>
        <v>0</v>
      </c>
    </row>
    <row r="232" spans="2:41" s="4" customFormat="1" ht="24" customHeight="1" x14ac:dyDescent="0.2">
      <c r="B232" s="14"/>
      <c r="C232" s="23"/>
      <c r="D232" s="21" t="str">
        <f>IF(ISBLANK(C232), "",
_xlfn.WEBSERVICE(
"https://d16nxf5gxyt1xz.cloudfront.net/Prod/translation?id="
&amp;アカウント情報!$C$2&amp;
"&amp;pwd="
&amp;アカウント情報!$C$3&amp;
"&amp;item="
&amp;_xlfn.ENCODEURL(設定!$F$3)&amp;
"&amp;word="
&amp;_xlfn.ENCODEURL(C232)
)
)</f>
        <v/>
      </c>
      <c r="E232" s="6"/>
      <c r="F232" s="16" t="str">
        <f>IFERROR(VLOOKUP($E232,設定!$C:$F,2,0),"")</f>
        <v/>
      </c>
      <c r="G232" s="156" t="str">
        <f>IFERROR(VLOOKUP($E232,設定!$C:$F,3,0),"")</f>
        <v/>
      </c>
      <c r="H232" s="131" t="str">
        <f>IFERROR(VLOOKUP($E232,設定!$C:$F,4,0),"")</f>
        <v/>
      </c>
      <c r="I232" s="402"/>
      <c r="J232" s="8"/>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10"/>
      <c r="AO232" s="65">
        <f t="shared" si="8"/>
        <v>0</v>
      </c>
    </row>
    <row r="233" spans="2:41" s="4" customFormat="1" ht="24" customHeight="1" x14ac:dyDescent="0.2">
      <c r="B233" s="14"/>
      <c r="C233" s="23"/>
      <c r="D233" s="21" t="str">
        <f>IF(ISBLANK(C233), "",
_xlfn.WEBSERVICE(
"https://d16nxf5gxyt1xz.cloudfront.net/Prod/translation?id="
&amp;アカウント情報!$C$2&amp;
"&amp;pwd="
&amp;アカウント情報!$C$3&amp;
"&amp;item="
&amp;_xlfn.ENCODEURL(設定!$F$3)&amp;
"&amp;word="
&amp;_xlfn.ENCODEURL(C233)
)
)</f>
        <v/>
      </c>
      <c r="E233" s="6"/>
      <c r="F233" s="16" t="str">
        <f>IFERROR(VLOOKUP($E233,設定!$C:$F,2,0),"")</f>
        <v/>
      </c>
      <c r="G233" s="156" t="str">
        <f>IFERROR(VLOOKUP($E233,設定!$C:$F,3,0),"")</f>
        <v/>
      </c>
      <c r="H233" s="131" t="str">
        <f>IFERROR(VLOOKUP($E233,設定!$C:$F,4,0),"")</f>
        <v/>
      </c>
      <c r="I233" s="402"/>
      <c r="J233" s="8"/>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10"/>
      <c r="AO233" s="65">
        <f t="shared" si="8"/>
        <v>0</v>
      </c>
    </row>
    <row r="234" spans="2:41" s="4" customFormat="1" ht="24" customHeight="1" x14ac:dyDescent="0.2">
      <c r="B234" s="14"/>
      <c r="C234" s="23"/>
      <c r="D234" s="21" t="str">
        <f>IF(ISBLANK(C234), "",
_xlfn.WEBSERVICE(
"https://d16nxf5gxyt1xz.cloudfront.net/Prod/translation?id="
&amp;アカウント情報!$C$2&amp;
"&amp;pwd="
&amp;アカウント情報!$C$3&amp;
"&amp;item="
&amp;_xlfn.ENCODEURL(設定!$F$3)&amp;
"&amp;word="
&amp;_xlfn.ENCODEURL(C234)
)
)</f>
        <v/>
      </c>
      <c r="E234" s="6"/>
      <c r="F234" s="16" t="str">
        <f>IFERROR(VLOOKUP($E234,設定!$C:$F,2,0),"")</f>
        <v/>
      </c>
      <c r="G234" s="156" t="str">
        <f>IFERROR(VLOOKUP($E234,設定!$C:$F,3,0),"")</f>
        <v/>
      </c>
      <c r="H234" s="131" t="str">
        <f>IFERROR(VLOOKUP($E234,設定!$C:$F,4,0),"")</f>
        <v/>
      </c>
      <c r="I234" s="402"/>
      <c r="J234" s="8"/>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10"/>
      <c r="AO234" s="65">
        <f t="shared" si="8"/>
        <v>0</v>
      </c>
    </row>
    <row r="235" spans="2:41" s="4" customFormat="1" ht="24" customHeight="1" x14ac:dyDescent="0.2">
      <c r="B235" s="14"/>
      <c r="C235" s="23"/>
      <c r="D235" s="21" t="str">
        <f>IF(ISBLANK(C235), "",
_xlfn.WEBSERVICE(
"https://d16nxf5gxyt1xz.cloudfront.net/Prod/translation?id="
&amp;アカウント情報!$C$2&amp;
"&amp;pwd="
&amp;アカウント情報!$C$3&amp;
"&amp;item="
&amp;_xlfn.ENCODEURL(設定!$F$3)&amp;
"&amp;word="
&amp;_xlfn.ENCODEURL(C235)
)
)</f>
        <v/>
      </c>
      <c r="E235" s="6"/>
      <c r="F235" s="16" t="str">
        <f>IFERROR(VLOOKUP($E235,設定!$C:$F,2,0),"")</f>
        <v/>
      </c>
      <c r="G235" s="156" t="str">
        <f>IFERROR(VLOOKUP($E235,設定!$C:$F,3,0),"")</f>
        <v/>
      </c>
      <c r="H235" s="131" t="str">
        <f>IFERROR(VLOOKUP($E235,設定!$C:$F,4,0),"")</f>
        <v/>
      </c>
      <c r="I235" s="402"/>
      <c r="J235" s="8"/>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10"/>
      <c r="AO235" s="65">
        <f t="shared" si="8"/>
        <v>0</v>
      </c>
    </row>
    <row r="236" spans="2:41" s="4" customFormat="1" ht="24" customHeight="1" x14ac:dyDescent="0.2">
      <c r="B236" s="14"/>
      <c r="C236" s="23"/>
      <c r="D236" s="21" t="str">
        <f>IF(ISBLANK(C236), "",
_xlfn.WEBSERVICE(
"https://d16nxf5gxyt1xz.cloudfront.net/Prod/translation?id="
&amp;アカウント情報!$C$2&amp;
"&amp;pwd="
&amp;アカウント情報!$C$3&amp;
"&amp;item="
&amp;_xlfn.ENCODEURL(設定!$F$3)&amp;
"&amp;word="
&amp;_xlfn.ENCODEURL(C236)
)
)</f>
        <v/>
      </c>
      <c r="E236" s="6"/>
      <c r="F236" s="16" t="str">
        <f>IFERROR(VLOOKUP($E236,設定!$C:$F,2,0),"")</f>
        <v/>
      </c>
      <c r="G236" s="156" t="str">
        <f>IFERROR(VLOOKUP($E236,設定!$C:$F,3,0),"")</f>
        <v/>
      </c>
      <c r="H236" s="131" t="str">
        <f>IFERROR(VLOOKUP($E236,設定!$C:$F,4,0),"")</f>
        <v/>
      </c>
      <c r="I236" s="402"/>
      <c r="J236" s="8"/>
      <c r="K236" s="9"/>
      <c r="L236" s="9"/>
      <c r="M236" s="9"/>
      <c r="N236" s="9"/>
      <c r="O236" s="9"/>
      <c r="P236" s="9"/>
      <c r="Q236" s="9"/>
      <c r="R236" s="9"/>
      <c r="S236" s="9"/>
      <c r="T236" s="9"/>
      <c r="U236" s="9"/>
      <c r="V236" s="9"/>
      <c r="W236" s="9"/>
      <c r="X236" s="9"/>
      <c r="Y236" s="9"/>
      <c r="Z236" s="9"/>
      <c r="AA236" s="9"/>
      <c r="AB236" s="9"/>
      <c r="AC236" s="9"/>
      <c r="AD236" s="9"/>
      <c r="AE236" s="9"/>
      <c r="AF236" s="9"/>
      <c r="AG236" s="9"/>
      <c r="AH236" s="9"/>
      <c r="AI236" s="9"/>
      <c r="AJ236" s="9"/>
      <c r="AK236" s="9"/>
      <c r="AL236" s="9"/>
      <c r="AM236" s="9"/>
      <c r="AN236" s="10"/>
      <c r="AO236" s="65">
        <f t="shared" si="8"/>
        <v>0</v>
      </c>
    </row>
    <row r="237" spans="2:41" s="4" customFormat="1" ht="24" customHeight="1" x14ac:dyDescent="0.2">
      <c r="B237" s="14"/>
      <c r="C237" s="23"/>
      <c r="D237" s="21" t="str">
        <f>IF(ISBLANK(C237), "",
_xlfn.WEBSERVICE(
"https://d16nxf5gxyt1xz.cloudfront.net/Prod/translation?id="
&amp;アカウント情報!$C$2&amp;
"&amp;pwd="
&amp;アカウント情報!$C$3&amp;
"&amp;item="
&amp;_xlfn.ENCODEURL(設定!$F$3)&amp;
"&amp;word="
&amp;_xlfn.ENCODEURL(C237)
)
)</f>
        <v/>
      </c>
      <c r="E237" s="6"/>
      <c r="F237" s="16" t="str">
        <f>IFERROR(VLOOKUP($E237,設定!$C:$F,2,0),"")</f>
        <v/>
      </c>
      <c r="G237" s="156" t="str">
        <f>IFERROR(VLOOKUP($E237,設定!$C:$F,3,0),"")</f>
        <v/>
      </c>
      <c r="H237" s="131" t="str">
        <f>IFERROR(VLOOKUP($E237,設定!$C:$F,4,0),"")</f>
        <v/>
      </c>
      <c r="I237" s="402"/>
      <c r="J237" s="8"/>
      <c r="K237" s="9"/>
      <c r="L237" s="9"/>
      <c r="M237" s="9"/>
      <c r="N237" s="9"/>
      <c r="O237" s="9"/>
      <c r="P237" s="9"/>
      <c r="Q237" s="9"/>
      <c r="R237" s="9"/>
      <c r="S237" s="9"/>
      <c r="T237" s="9"/>
      <c r="U237" s="9"/>
      <c r="V237" s="9"/>
      <c r="W237" s="9"/>
      <c r="X237" s="9"/>
      <c r="Y237" s="9"/>
      <c r="Z237" s="9"/>
      <c r="AA237" s="9"/>
      <c r="AB237" s="9"/>
      <c r="AC237" s="9"/>
      <c r="AD237" s="9"/>
      <c r="AE237" s="9"/>
      <c r="AF237" s="9"/>
      <c r="AG237" s="9"/>
      <c r="AH237" s="9"/>
      <c r="AI237" s="9"/>
      <c r="AJ237" s="9"/>
      <c r="AK237" s="9"/>
      <c r="AL237" s="9"/>
      <c r="AM237" s="9"/>
      <c r="AN237" s="10"/>
      <c r="AO237" s="65">
        <f t="shared" si="8"/>
        <v>0</v>
      </c>
    </row>
    <row r="238" spans="2:41" s="4" customFormat="1" ht="24" customHeight="1" x14ac:dyDescent="0.2">
      <c r="B238" s="14"/>
      <c r="C238" s="23"/>
      <c r="D238" s="21" t="str">
        <f>IF(ISBLANK(C238), "",
_xlfn.WEBSERVICE(
"https://d16nxf5gxyt1xz.cloudfront.net/Prod/translation?id="
&amp;アカウント情報!$C$2&amp;
"&amp;pwd="
&amp;アカウント情報!$C$3&amp;
"&amp;item="
&amp;_xlfn.ENCODEURL(設定!$F$3)&amp;
"&amp;word="
&amp;_xlfn.ENCODEURL(C238)
)
)</f>
        <v/>
      </c>
      <c r="E238" s="6"/>
      <c r="F238" s="16" t="str">
        <f>IFERROR(VLOOKUP($E238,設定!$C:$F,2,0),"")</f>
        <v/>
      </c>
      <c r="G238" s="156" t="str">
        <f>IFERROR(VLOOKUP($E238,設定!$C:$F,3,0),"")</f>
        <v/>
      </c>
      <c r="H238" s="131" t="str">
        <f>IFERROR(VLOOKUP($E238,設定!$C:$F,4,0),"")</f>
        <v/>
      </c>
      <c r="I238" s="402"/>
      <c r="J238" s="8"/>
      <c r="K238" s="9"/>
      <c r="L238" s="9"/>
      <c r="M238" s="9"/>
      <c r="N238" s="9"/>
      <c r="O238" s="9"/>
      <c r="P238" s="9"/>
      <c r="Q238" s="9"/>
      <c r="R238" s="9"/>
      <c r="S238" s="9"/>
      <c r="T238" s="9"/>
      <c r="U238" s="9"/>
      <c r="V238" s="9"/>
      <c r="W238" s="9"/>
      <c r="X238" s="9"/>
      <c r="Y238" s="9"/>
      <c r="Z238" s="9"/>
      <c r="AA238" s="9"/>
      <c r="AB238" s="9"/>
      <c r="AC238" s="9"/>
      <c r="AD238" s="9"/>
      <c r="AE238" s="9"/>
      <c r="AF238" s="9"/>
      <c r="AG238" s="9"/>
      <c r="AH238" s="9"/>
      <c r="AI238" s="9"/>
      <c r="AJ238" s="9"/>
      <c r="AK238" s="9"/>
      <c r="AL238" s="9"/>
      <c r="AM238" s="9"/>
      <c r="AN238" s="10"/>
      <c r="AO238" s="65">
        <f t="shared" si="8"/>
        <v>0</v>
      </c>
    </row>
    <row r="239" spans="2:41" s="4" customFormat="1" ht="24" customHeight="1" x14ac:dyDescent="0.2">
      <c r="B239" s="14"/>
      <c r="C239" s="23"/>
      <c r="D239" s="21" t="str">
        <f>IF(ISBLANK(C239), "",
_xlfn.WEBSERVICE(
"https://d16nxf5gxyt1xz.cloudfront.net/Prod/translation?id="
&amp;アカウント情報!$C$2&amp;
"&amp;pwd="
&amp;アカウント情報!$C$3&amp;
"&amp;item="
&amp;_xlfn.ENCODEURL(設定!$F$3)&amp;
"&amp;word="
&amp;_xlfn.ENCODEURL(C239)
)
)</f>
        <v/>
      </c>
      <c r="E239" s="6"/>
      <c r="F239" s="16" t="str">
        <f>IFERROR(VLOOKUP($E239,設定!$C:$F,2,0),"")</f>
        <v/>
      </c>
      <c r="G239" s="156" t="str">
        <f>IFERROR(VLOOKUP($E239,設定!$C:$F,3,0),"")</f>
        <v/>
      </c>
      <c r="H239" s="131" t="str">
        <f>IFERROR(VLOOKUP($E239,設定!$C:$F,4,0),"")</f>
        <v/>
      </c>
      <c r="I239" s="402"/>
      <c r="J239" s="8"/>
      <c r="K239" s="9"/>
      <c r="L239" s="9"/>
      <c r="M239" s="9"/>
      <c r="N239" s="9"/>
      <c r="O239" s="9"/>
      <c r="P239" s="9"/>
      <c r="Q239" s="9"/>
      <c r="R239" s="9"/>
      <c r="S239" s="9"/>
      <c r="T239" s="9"/>
      <c r="U239" s="9"/>
      <c r="V239" s="9"/>
      <c r="W239" s="9"/>
      <c r="X239" s="9"/>
      <c r="Y239" s="9"/>
      <c r="Z239" s="9"/>
      <c r="AA239" s="9"/>
      <c r="AB239" s="9"/>
      <c r="AC239" s="9"/>
      <c r="AD239" s="9"/>
      <c r="AE239" s="9"/>
      <c r="AF239" s="9"/>
      <c r="AG239" s="9"/>
      <c r="AH239" s="9"/>
      <c r="AI239" s="9"/>
      <c r="AJ239" s="9"/>
      <c r="AK239" s="9"/>
      <c r="AL239" s="9"/>
      <c r="AM239" s="9"/>
      <c r="AN239" s="10"/>
      <c r="AO239" s="65">
        <f t="shared" si="8"/>
        <v>0</v>
      </c>
    </row>
    <row r="240" spans="2:41" s="4" customFormat="1" ht="24" customHeight="1" x14ac:dyDescent="0.2">
      <c r="B240" s="14"/>
      <c r="C240" s="23"/>
      <c r="D240" s="21" t="str">
        <f>IF(ISBLANK(C240), "",
_xlfn.WEBSERVICE(
"https://d16nxf5gxyt1xz.cloudfront.net/Prod/translation?id="
&amp;アカウント情報!$C$2&amp;
"&amp;pwd="
&amp;アカウント情報!$C$3&amp;
"&amp;item="
&amp;_xlfn.ENCODEURL(設定!$F$3)&amp;
"&amp;word="
&amp;_xlfn.ENCODEURL(C240)
)
)</f>
        <v/>
      </c>
      <c r="E240" s="6"/>
      <c r="F240" s="16" t="str">
        <f>IFERROR(VLOOKUP($E240,設定!$C:$F,2,0),"")</f>
        <v/>
      </c>
      <c r="G240" s="156" t="str">
        <f>IFERROR(VLOOKUP($E240,設定!$C:$F,3,0),"")</f>
        <v/>
      </c>
      <c r="H240" s="131" t="str">
        <f>IFERROR(VLOOKUP($E240,設定!$C:$F,4,0),"")</f>
        <v/>
      </c>
      <c r="I240" s="402"/>
      <c r="J240" s="8"/>
      <c r="K240" s="9"/>
      <c r="L240" s="9"/>
      <c r="M240" s="9"/>
      <c r="N240" s="9"/>
      <c r="O240" s="9"/>
      <c r="P240" s="9"/>
      <c r="Q240" s="9"/>
      <c r="R240" s="9"/>
      <c r="S240" s="9"/>
      <c r="T240" s="9"/>
      <c r="U240" s="9"/>
      <c r="V240" s="9"/>
      <c r="W240" s="9"/>
      <c r="X240" s="9"/>
      <c r="Y240" s="9"/>
      <c r="Z240" s="9"/>
      <c r="AA240" s="9"/>
      <c r="AB240" s="9"/>
      <c r="AC240" s="9"/>
      <c r="AD240" s="9"/>
      <c r="AE240" s="9"/>
      <c r="AF240" s="9"/>
      <c r="AG240" s="9"/>
      <c r="AH240" s="9"/>
      <c r="AI240" s="9"/>
      <c r="AJ240" s="9"/>
      <c r="AK240" s="9"/>
      <c r="AL240" s="9"/>
      <c r="AM240" s="9"/>
      <c r="AN240" s="10"/>
      <c r="AO240" s="65">
        <f t="shared" si="8"/>
        <v>0</v>
      </c>
    </row>
    <row r="241" spans="2:41" s="4" customFormat="1" ht="24" customHeight="1" x14ac:dyDescent="0.2">
      <c r="B241" s="14"/>
      <c r="C241" s="23"/>
      <c r="D241" s="21" t="str">
        <f>IF(ISBLANK(C241), "",
_xlfn.WEBSERVICE(
"https://d16nxf5gxyt1xz.cloudfront.net/Prod/translation?id="
&amp;アカウント情報!$C$2&amp;
"&amp;pwd="
&amp;アカウント情報!$C$3&amp;
"&amp;item="
&amp;_xlfn.ENCODEURL(設定!$F$3)&amp;
"&amp;word="
&amp;_xlfn.ENCODEURL(C241)
)
)</f>
        <v/>
      </c>
      <c r="E241" s="6"/>
      <c r="F241" s="16" t="str">
        <f>IFERROR(VLOOKUP($E241,設定!$C:$F,2,0),"")</f>
        <v/>
      </c>
      <c r="G241" s="156" t="str">
        <f>IFERROR(VLOOKUP($E241,設定!$C:$F,3,0),"")</f>
        <v/>
      </c>
      <c r="H241" s="131" t="str">
        <f>IFERROR(VLOOKUP($E241,設定!$C:$F,4,0),"")</f>
        <v/>
      </c>
      <c r="I241" s="402"/>
      <c r="J241" s="8"/>
      <c r="K241" s="9"/>
      <c r="L241" s="9"/>
      <c r="M241" s="9"/>
      <c r="N241" s="9"/>
      <c r="O241" s="9"/>
      <c r="P241" s="9"/>
      <c r="Q241" s="9"/>
      <c r="R241" s="9"/>
      <c r="S241" s="9"/>
      <c r="T241" s="9"/>
      <c r="U241" s="9"/>
      <c r="V241" s="9"/>
      <c r="W241" s="9"/>
      <c r="X241" s="9"/>
      <c r="Y241" s="9"/>
      <c r="Z241" s="9"/>
      <c r="AA241" s="9"/>
      <c r="AB241" s="9"/>
      <c r="AC241" s="9"/>
      <c r="AD241" s="9"/>
      <c r="AE241" s="9"/>
      <c r="AF241" s="9"/>
      <c r="AG241" s="9"/>
      <c r="AH241" s="9"/>
      <c r="AI241" s="9"/>
      <c r="AJ241" s="9"/>
      <c r="AK241" s="9"/>
      <c r="AL241" s="9"/>
      <c r="AM241" s="9"/>
      <c r="AN241" s="10"/>
      <c r="AO241" s="65">
        <f t="shared" si="8"/>
        <v>0</v>
      </c>
    </row>
    <row r="242" spans="2:41" s="4" customFormat="1" ht="24" customHeight="1" x14ac:dyDescent="0.2">
      <c r="B242" s="14"/>
      <c r="C242" s="23"/>
      <c r="D242" s="21" t="str">
        <f>IF(ISBLANK(C242), "",
_xlfn.WEBSERVICE(
"https://d16nxf5gxyt1xz.cloudfront.net/Prod/translation?id="
&amp;アカウント情報!$C$2&amp;
"&amp;pwd="
&amp;アカウント情報!$C$3&amp;
"&amp;item="
&amp;_xlfn.ENCODEURL(設定!$F$3)&amp;
"&amp;word="
&amp;_xlfn.ENCODEURL(C242)
)
)</f>
        <v/>
      </c>
      <c r="E242" s="6"/>
      <c r="F242" s="16" t="str">
        <f>IFERROR(VLOOKUP($E242,設定!$C:$F,2,0),"")</f>
        <v/>
      </c>
      <c r="G242" s="156" t="str">
        <f>IFERROR(VLOOKUP($E242,設定!$C:$F,3,0),"")</f>
        <v/>
      </c>
      <c r="H242" s="131" t="str">
        <f>IFERROR(VLOOKUP($E242,設定!$C:$F,4,0),"")</f>
        <v/>
      </c>
      <c r="I242" s="402"/>
      <c r="J242" s="8"/>
      <c r="K242" s="9"/>
      <c r="L242" s="9"/>
      <c r="M242" s="9"/>
      <c r="N242" s="9"/>
      <c r="O242" s="9"/>
      <c r="P242" s="9"/>
      <c r="Q242" s="9"/>
      <c r="R242" s="9"/>
      <c r="S242" s="9"/>
      <c r="T242" s="9"/>
      <c r="U242" s="9"/>
      <c r="V242" s="9"/>
      <c r="W242" s="9"/>
      <c r="X242" s="9"/>
      <c r="Y242" s="9"/>
      <c r="Z242" s="9"/>
      <c r="AA242" s="9"/>
      <c r="AB242" s="9"/>
      <c r="AC242" s="9"/>
      <c r="AD242" s="9"/>
      <c r="AE242" s="9"/>
      <c r="AF242" s="9"/>
      <c r="AG242" s="9"/>
      <c r="AH242" s="9"/>
      <c r="AI242" s="9"/>
      <c r="AJ242" s="9"/>
      <c r="AK242" s="9"/>
      <c r="AL242" s="9"/>
      <c r="AM242" s="9"/>
      <c r="AN242" s="10"/>
      <c r="AO242" s="65">
        <f t="shared" si="8"/>
        <v>0</v>
      </c>
    </row>
    <row r="243" spans="2:41" s="4" customFormat="1" ht="24" customHeight="1" x14ac:dyDescent="0.2">
      <c r="B243" s="14"/>
      <c r="C243" s="23"/>
      <c r="D243" s="21" t="str">
        <f>IF(ISBLANK(C243), "",
_xlfn.WEBSERVICE(
"https://d16nxf5gxyt1xz.cloudfront.net/Prod/translation?id="
&amp;アカウント情報!$C$2&amp;
"&amp;pwd="
&amp;アカウント情報!$C$3&amp;
"&amp;item="
&amp;_xlfn.ENCODEURL(設定!$F$3)&amp;
"&amp;word="
&amp;_xlfn.ENCODEURL(C243)
)
)</f>
        <v/>
      </c>
      <c r="E243" s="6"/>
      <c r="F243" s="16" t="str">
        <f>IFERROR(VLOOKUP($E243,設定!$C:$F,2,0),"")</f>
        <v/>
      </c>
      <c r="G243" s="156" t="str">
        <f>IFERROR(VLOOKUP($E243,設定!$C:$F,3,0),"")</f>
        <v/>
      </c>
      <c r="H243" s="131" t="str">
        <f>IFERROR(VLOOKUP($E243,設定!$C:$F,4,0),"")</f>
        <v/>
      </c>
      <c r="I243" s="402"/>
      <c r="J243" s="8"/>
      <c r="K243" s="9"/>
      <c r="L243" s="9"/>
      <c r="M243" s="9"/>
      <c r="N243" s="9"/>
      <c r="O243" s="9"/>
      <c r="P243" s="9"/>
      <c r="Q243" s="9"/>
      <c r="R243" s="9"/>
      <c r="S243" s="9"/>
      <c r="T243" s="9"/>
      <c r="U243" s="9"/>
      <c r="V243" s="9"/>
      <c r="W243" s="9"/>
      <c r="X243" s="9"/>
      <c r="Y243" s="9"/>
      <c r="Z243" s="9"/>
      <c r="AA243" s="9"/>
      <c r="AB243" s="9"/>
      <c r="AC243" s="9"/>
      <c r="AD243" s="9"/>
      <c r="AE243" s="9"/>
      <c r="AF243" s="9"/>
      <c r="AG243" s="9"/>
      <c r="AH243" s="9"/>
      <c r="AI243" s="9"/>
      <c r="AJ243" s="9"/>
      <c r="AK243" s="9"/>
      <c r="AL243" s="9"/>
      <c r="AM243" s="9"/>
      <c r="AN243" s="10"/>
      <c r="AO243" s="65">
        <f t="shared" si="8"/>
        <v>0</v>
      </c>
    </row>
    <row r="244" spans="2:41" s="4" customFormat="1" ht="24" customHeight="1" x14ac:dyDescent="0.2">
      <c r="B244" s="14"/>
      <c r="C244" s="23"/>
      <c r="D244" s="21" t="str">
        <f>IF(ISBLANK(C244), "",
_xlfn.WEBSERVICE(
"https://d16nxf5gxyt1xz.cloudfront.net/Prod/translation?id="
&amp;アカウント情報!$C$2&amp;
"&amp;pwd="
&amp;アカウント情報!$C$3&amp;
"&amp;item="
&amp;_xlfn.ENCODEURL(設定!$F$3)&amp;
"&amp;word="
&amp;_xlfn.ENCODEURL(C244)
)
)</f>
        <v/>
      </c>
      <c r="E244" s="6"/>
      <c r="F244" s="16" t="str">
        <f>IFERROR(VLOOKUP($E244,設定!$C:$F,2,0),"")</f>
        <v/>
      </c>
      <c r="G244" s="156" t="str">
        <f>IFERROR(VLOOKUP($E244,設定!$C:$F,3,0),"")</f>
        <v/>
      </c>
      <c r="H244" s="131" t="str">
        <f>IFERROR(VLOOKUP($E244,設定!$C:$F,4,0),"")</f>
        <v/>
      </c>
      <c r="I244" s="402"/>
      <c r="J244" s="8"/>
      <c r="K244" s="9"/>
      <c r="L244" s="9"/>
      <c r="M244" s="9"/>
      <c r="N244" s="9"/>
      <c r="O244" s="9"/>
      <c r="P244" s="9"/>
      <c r="Q244" s="9"/>
      <c r="R244" s="9"/>
      <c r="S244" s="9"/>
      <c r="T244" s="9"/>
      <c r="U244" s="9"/>
      <c r="V244" s="9"/>
      <c r="W244" s="9"/>
      <c r="X244" s="9"/>
      <c r="Y244" s="9"/>
      <c r="Z244" s="9"/>
      <c r="AA244" s="9"/>
      <c r="AB244" s="9"/>
      <c r="AC244" s="9"/>
      <c r="AD244" s="9"/>
      <c r="AE244" s="9"/>
      <c r="AF244" s="9"/>
      <c r="AG244" s="9"/>
      <c r="AH244" s="9"/>
      <c r="AI244" s="9"/>
      <c r="AJ244" s="9"/>
      <c r="AK244" s="9"/>
      <c r="AL244" s="9"/>
      <c r="AM244" s="9"/>
      <c r="AN244" s="10"/>
      <c r="AO244" s="65">
        <f t="shared" si="8"/>
        <v>0</v>
      </c>
    </row>
    <row r="245" spans="2:41" s="4" customFormat="1" ht="24" customHeight="1" x14ac:dyDescent="0.2">
      <c r="B245" s="14"/>
      <c r="C245" s="23"/>
      <c r="D245" s="21" t="str">
        <f>IF(ISBLANK(C245), "",
_xlfn.WEBSERVICE(
"https://d16nxf5gxyt1xz.cloudfront.net/Prod/translation?id="
&amp;アカウント情報!$C$2&amp;
"&amp;pwd="
&amp;アカウント情報!$C$3&amp;
"&amp;item="
&amp;_xlfn.ENCODEURL(設定!$F$3)&amp;
"&amp;word="
&amp;_xlfn.ENCODEURL(C245)
)
)</f>
        <v/>
      </c>
      <c r="E245" s="6"/>
      <c r="F245" s="16" t="str">
        <f>IFERROR(VLOOKUP($E245,設定!$C:$F,2,0),"")</f>
        <v/>
      </c>
      <c r="G245" s="156" t="str">
        <f>IFERROR(VLOOKUP($E245,設定!$C:$F,3,0),"")</f>
        <v/>
      </c>
      <c r="H245" s="131" t="str">
        <f>IFERROR(VLOOKUP($E245,設定!$C:$F,4,0),"")</f>
        <v/>
      </c>
      <c r="I245" s="402"/>
      <c r="J245" s="8"/>
      <c r="K245" s="9"/>
      <c r="L245" s="9"/>
      <c r="M245" s="9"/>
      <c r="N245" s="9"/>
      <c r="O245" s="9"/>
      <c r="P245" s="9"/>
      <c r="Q245" s="9"/>
      <c r="R245" s="9"/>
      <c r="S245" s="9"/>
      <c r="T245" s="9"/>
      <c r="U245" s="9"/>
      <c r="V245" s="9"/>
      <c r="W245" s="9"/>
      <c r="X245" s="9"/>
      <c r="Y245" s="9"/>
      <c r="Z245" s="9"/>
      <c r="AA245" s="9"/>
      <c r="AB245" s="9"/>
      <c r="AC245" s="9"/>
      <c r="AD245" s="9"/>
      <c r="AE245" s="9"/>
      <c r="AF245" s="9"/>
      <c r="AG245" s="9"/>
      <c r="AH245" s="9"/>
      <c r="AI245" s="9"/>
      <c r="AJ245" s="9"/>
      <c r="AK245" s="9"/>
      <c r="AL245" s="9"/>
      <c r="AM245" s="9"/>
      <c r="AN245" s="10"/>
      <c r="AO245" s="65">
        <f t="shared" ref="AO245:AO291" si="9">I245*SUM(J245:AN245)</f>
        <v>0</v>
      </c>
    </row>
    <row r="246" spans="2:41" s="4" customFormat="1" ht="24" customHeight="1" x14ac:dyDescent="0.2">
      <c r="B246" s="14"/>
      <c r="C246" s="23"/>
      <c r="D246" s="21" t="str">
        <f>IF(ISBLANK(C246), "",
_xlfn.WEBSERVICE(
"https://d16nxf5gxyt1xz.cloudfront.net/Prod/translation?id="
&amp;アカウント情報!$C$2&amp;
"&amp;pwd="
&amp;アカウント情報!$C$3&amp;
"&amp;item="
&amp;_xlfn.ENCODEURL(設定!$F$3)&amp;
"&amp;word="
&amp;_xlfn.ENCODEURL(C246)
)
)</f>
        <v/>
      </c>
      <c r="E246" s="6"/>
      <c r="F246" s="16" t="str">
        <f>IFERROR(VLOOKUP($E246,設定!$C:$F,2,0),"")</f>
        <v/>
      </c>
      <c r="G246" s="156" t="str">
        <f>IFERROR(VLOOKUP($E246,設定!$C:$F,3,0),"")</f>
        <v/>
      </c>
      <c r="H246" s="131" t="str">
        <f>IFERROR(VLOOKUP($E246,設定!$C:$F,4,0),"")</f>
        <v/>
      </c>
      <c r="I246" s="402"/>
      <c r="J246" s="8"/>
      <c r="K246" s="9"/>
      <c r="L246" s="9"/>
      <c r="M246" s="9"/>
      <c r="N246" s="9"/>
      <c r="O246" s="9"/>
      <c r="P246" s="9"/>
      <c r="Q246" s="9"/>
      <c r="R246" s="9"/>
      <c r="S246" s="9"/>
      <c r="T246" s="9"/>
      <c r="U246" s="9"/>
      <c r="V246" s="9"/>
      <c r="W246" s="9"/>
      <c r="X246" s="9"/>
      <c r="Y246" s="9"/>
      <c r="Z246" s="9"/>
      <c r="AA246" s="9"/>
      <c r="AB246" s="9"/>
      <c r="AC246" s="9"/>
      <c r="AD246" s="9"/>
      <c r="AE246" s="9"/>
      <c r="AF246" s="9"/>
      <c r="AG246" s="9"/>
      <c r="AH246" s="9"/>
      <c r="AI246" s="9"/>
      <c r="AJ246" s="9"/>
      <c r="AK246" s="9"/>
      <c r="AL246" s="9"/>
      <c r="AM246" s="9"/>
      <c r="AN246" s="10"/>
      <c r="AO246" s="65">
        <f t="shared" si="9"/>
        <v>0</v>
      </c>
    </row>
    <row r="247" spans="2:41" s="4" customFormat="1" ht="24" customHeight="1" x14ac:dyDescent="0.2">
      <c r="B247" s="14"/>
      <c r="C247" s="23"/>
      <c r="D247" s="21" t="str">
        <f>IF(ISBLANK(C247), "",
_xlfn.WEBSERVICE(
"https://d16nxf5gxyt1xz.cloudfront.net/Prod/translation?id="
&amp;アカウント情報!$C$2&amp;
"&amp;pwd="
&amp;アカウント情報!$C$3&amp;
"&amp;item="
&amp;_xlfn.ENCODEURL(設定!$F$3)&amp;
"&amp;word="
&amp;_xlfn.ENCODEURL(C247)
)
)</f>
        <v/>
      </c>
      <c r="E247" s="6"/>
      <c r="F247" s="16" t="str">
        <f>IFERROR(VLOOKUP($E247,設定!$C:$F,2,0),"")</f>
        <v/>
      </c>
      <c r="G247" s="156" t="str">
        <f>IFERROR(VLOOKUP($E247,設定!$C:$F,3,0),"")</f>
        <v/>
      </c>
      <c r="H247" s="131" t="str">
        <f>IFERROR(VLOOKUP($E247,設定!$C:$F,4,0),"")</f>
        <v/>
      </c>
      <c r="I247" s="402"/>
      <c r="J247" s="8"/>
      <c r="K247" s="9"/>
      <c r="L247" s="9"/>
      <c r="M247" s="9"/>
      <c r="N247" s="9"/>
      <c r="O247" s="9"/>
      <c r="P247" s="9"/>
      <c r="Q247" s="9"/>
      <c r="R247" s="9"/>
      <c r="S247" s="9"/>
      <c r="T247" s="9"/>
      <c r="U247" s="9"/>
      <c r="V247" s="9"/>
      <c r="W247" s="9"/>
      <c r="X247" s="9"/>
      <c r="Y247" s="9"/>
      <c r="Z247" s="9"/>
      <c r="AA247" s="9"/>
      <c r="AB247" s="9"/>
      <c r="AC247" s="9"/>
      <c r="AD247" s="9"/>
      <c r="AE247" s="9"/>
      <c r="AF247" s="9"/>
      <c r="AG247" s="9"/>
      <c r="AH247" s="9"/>
      <c r="AI247" s="9"/>
      <c r="AJ247" s="9"/>
      <c r="AK247" s="9"/>
      <c r="AL247" s="9"/>
      <c r="AM247" s="9"/>
      <c r="AN247" s="10"/>
      <c r="AO247" s="65">
        <f t="shared" si="9"/>
        <v>0</v>
      </c>
    </row>
    <row r="248" spans="2:41" s="4" customFormat="1" ht="24" customHeight="1" x14ac:dyDescent="0.2">
      <c r="B248" s="14"/>
      <c r="C248" s="23"/>
      <c r="D248" s="21" t="str">
        <f>IF(ISBLANK(C248), "",
_xlfn.WEBSERVICE(
"https://d16nxf5gxyt1xz.cloudfront.net/Prod/translation?id="
&amp;アカウント情報!$C$2&amp;
"&amp;pwd="
&amp;アカウント情報!$C$3&amp;
"&amp;item="
&amp;_xlfn.ENCODEURL(設定!$F$3)&amp;
"&amp;word="
&amp;_xlfn.ENCODEURL(C248)
)
)</f>
        <v/>
      </c>
      <c r="E248" s="6"/>
      <c r="F248" s="16" t="str">
        <f>IFERROR(VLOOKUP($E248,設定!$C:$F,2,0),"")</f>
        <v/>
      </c>
      <c r="G248" s="156" t="str">
        <f>IFERROR(VLOOKUP($E248,設定!$C:$F,3,0),"")</f>
        <v/>
      </c>
      <c r="H248" s="131" t="str">
        <f>IFERROR(VLOOKUP($E248,設定!$C:$F,4,0),"")</f>
        <v/>
      </c>
      <c r="I248" s="402"/>
      <c r="J248" s="8"/>
      <c r="K248" s="9"/>
      <c r="L248" s="9"/>
      <c r="M248" s="9"/>
      <c r="N248" s="9"/>
      <c r="O248" s="9"/>
      <c r="P248" s="9"/>
      <c r="Q248" s="9"/>
      <c r="R248" s="9"/>
      <c r="S248" s="9"/>
      <c r="T248" s="9"/>
      <c r="U248" s="9"/>
      <c r="V248" s="9"/>
      <c r="W248" s="9"/>
      <c r="X248" s="9"/>
      <c r="Y248" s="9"/>
      <c r="Z248" s="9"/>
      <c r="AA248" s="9"/>
      <c r="AB248" s="9"/>
      <c r="AC248" s="9"/>
      <c r="AD248" s="9"/>
      <c r="AE248" s="9"/>
      <c r="AF248" s="9"/>
      <c r="AG248" s="9"/>
      <c r="AH248" s="9"/>
      <c r="AI248" s="9"/>
      <c r="AJ248" s="9"/>
      <c r="AK248" s="9"/>
      <c r="AL248" s="9"/>
      <c r="AM248" s="9"/>
      <c r="AN248" s="10"/>
      <c r="AO248" s="65">
        <f t="shared" si="9"/>
        <v>0</v>
      </c>
    </row>
    <row r="249" spans="2:41" s="4" customFormat="1" ht="24" customHeight="1" x14ac:dyDescent="0.2">
      <c r="B249" s="14"/>
      <c r="C249" s="23"/>
      <c r="D249" s="21" t="str">
        <f>IF(ISBLANK(C249), "",
_xlfn.WEBSERVICE(
"https://d16nxf5gxyt1xz.cloudfront.net/Prod/translation?id="
&amp;アカウント情報!$C$2&amp;
"&amp;pwd="
&amp;アカウント情報!$C$3&amp;
"&amp;item="
&amp;_xlfn.ENCODEURL(設定!$F$3)&amp;
"&amp;word="
&amp;_xlfn.ENCODEURL(C249)
)
)</f>
        <v/>
      </c>
      <c r="E249" s="6"/>
      <c r="F249" s="16" t="str">
        <f>IFERROR(VLOOKUP($E249,設定!$C:$F,2,0),"")</f>
        <v/>
      </c>
      <c r="G249" s="156" t="str">
        <f>IFERROR(VLOOKUP($E249,設定!$C:$F,3,0),"")</f>
        <v/>
      </c>
      <c r="H249" s="131" t="str">
        <f>IFERROR(VLOOKUP($E249,設定!$C:$F,4,0),"")</f>
        <v/>
      </c>
      <c r="I249" s="402"/>
      <c r="J249" s="8"/>
      <c r="K249" s="9"/>
      <c r="L249" s="9"/>
      <c r="M249" s="9"/>
      <c r="N249" s="9"/>
      <c r="O249" s="9"/>
      <c r="P249" s="9"/>
      <c r="Q249" s="9"/>
      <c r="R249" s="9"/>
      <c r="S249" s="9"/>
      <c r="T249" s="9"/>
      <c r="U249" s="9"/>
      <c r="V249" s="9"/>
      <c r="W249" s="9"/>
      <c r="X249" s="9"/>
      <c r="Y249" s="9"/>
      <c r="Z249" s="9"/>
      <c r="AA249" s="9"/>
      <c r="AB249" s="9"/>
      <c r="AC249" s="9"/>
      <c r="AD249" s="9"/>
      <c r="AE249" s="9"/>
      <c r="AF249" s="9"/>
      <c r="AG249" s="9"/>
      <c r="AH249" s="9"/>
      <c r="AI249" s="9"/>
      <c r="AJ249" s="9"/>
      <c r="AK249" s="9"/>
      <c r="AL249" s="9"/>
      <c r="AM249" s="9"/>
      <c r="AN249" s="10"/>
      <c r="AO249" s="65">
        <f t="shared" si="9"/>
        <v>0</v>
      </c>
    </row>
    <row r="250" spans="2:41" s="4" customFormat="1" ht="24" customHeight="1" x14ac:dyDescent="0.2">
      <c r="B250" s="14"/>
      <c r="C250" s="23"/>
      <c r="D250" s="21" t="str">
        <f>IF(ISBLANK(C250), "",
_xlfn.WEBSERVICE(
"https://d16nxf5gxyt1xz.cloudfront.net/Prod/translation?id="
&amp;アカウント情報!$C$2&amp;
"&amp;pwd="
&amp;アカウント情報!$C$3&amp;
"&amp;item="
&amp;_xlfn.ENCODEURL(設定!$F$3)&amp;
"&amp;word="
&amp;_xlfn.ENCODEURL(C250)
)
)</f>
        <v/>
      </c>
      <c r="E250" s="6"/>
      <c r="F250" s="16" t="str">
        <f>IFERROR(VLOOKUP($E250,設定!$C:$F,2,0),"")</f>
        <v/>
      </c>
      <c r="G250" s="156" t="str">
        <f>IFERROR(VLOOKUP($E250,設定!$C:$F,3,0),"")</f>
        <v/>
      </c>
      <c r="H250" s="131" t="str">
        <f>IFERROR(VLOOKUP($E250,設定!$C:$F,4,0),"")</f>
        <v/>
      </c>
      <c r="I250" s="402"/>
      <c r="J250" s="8"/>
      <c r="K250" s="9"/>
      <c r="L250" s="9"/>
      <c r="M250" s="9"/>
      <c r="N250" s="9"/>
      <c r="O250" s="9"/>
      <c r="P250" s="9"/>
      <c r="Q250" s="9"/>
      <c r="R250" s="9"/>
      <c r="S250" s="9"/>
      <c r="T250" s="9"/>
      <c r="U250" s="9"/>
      <c r="V250" s="9"/>
      <c r="W250" s="9"/>
      <c r="X250" s="9"/>
      <c r="Y250" s="9"/>
      <c r="Z250" s="9"/>
      <c r="AA250" s="9"/>
      <c r="AB250" s="9"/>
      <c r="AC250" s="9"/>
      <c r="AD250" s="9"/>
      <c r="AE250" s="9"/>
      <c r="AF250" s="9"/>
      <c r="AG250" s="9"/>
      <c r="AH250" s="9"/>
      <c r="AI250" s="9"/>
      <c r="AJ250" s="9"/>
      <c r="AK250" s="9"/>
      <c r="AL250" s="9"/>
      <c r="AM250" s="9"/>
      <c r="AN250" s="10"/>
      <c r="AO250" s="65">
        <f t="shared" si="9"/>
        <v>0</v>
      </c>
    </row>
    <row r="251" spans="2:41" s="4" customFormat="1" ht="24" customHeight="1" x14ac:dyDescent="0.2">
      <c r="B251" s="14"/>
      <c r="C251" s="23"/>
      <c r="D251" s="21" t="str">
        <f>IF(ISBLANK(C251), "",
_xlfn.WEBSERVICE(
"https://d16nxf5gxyt1xz.cloudfront.net/Prod/translation?id="
&amp;アカウント情報!$C$2&amp;
"&amp;pwd="
&amp;アカウント情報!$C$3&amp;
"&amp;item="
&amp;_xlfn.ENCODEURL(設定!$F$3)&amp;
"&amp;word="
&amp;_xlfn.ENCODEURL(C251)
)
)</f>
        <v/>
      </c>
      <c r="E251" s="6"/>
      <c r="F251" s="16" t="str">
        <f>IFERROR(VLOOKUP($E251,設定!$C:$F,2,0),"")</f>
        <v/>
      </c>
      <c r="G251" s="156" t="str">
        <f>IFERROR(VLOOKUP($E251,設定!$C:$F,3,0),"")</f>
        <v/>
      </c>
      <c r="H251" s="131" t="str">
        <f>IFERROR(VLOOKUP($E251,設定!$C:$F,4,0),"")</f>
        <v/>
      </c>
      <c r="I251" s="402"/>
      <c r="J251" s="8"/>
      <c r="K251" s="9"/>
      <c r="L251" s="9"/>
      <c r="M251" s="9"/>
      <c r="N251" s="9"/>
      <c r="O251" s="9"/>
      <c r="P251" s="9"/>
      <c r="Q251" s="9"/>
      <c r="R251" s="9"/>
      <c r="S251" s="9"/>
      <c r="T251" s="9"/>
      <c r="U251" s="9"/>
      <c r="V251" s="9"/>
      <c r="W251" s="9"/>
      <c r="X251" s="9"/>
      <c r="Y251" s="9"/>
      <c r="Z251" s="9"/>
      <c r="AA251" s="9"/>
      <c r="AB251" s="9"/>
      <c r="AC251" s="9"/>
      <c r="AD251" s="9"/>
      <c r="AE251" s="9"/>
      <c r="AF251" s="9"/>
      <c r="AG251" s="9"/>
      <c r="AH251" s="9"/>
      <c r="AI251" s="9"/>
      <c r="AJ251" s="9"/>
      <c r="AK251" s="9"/>
      <c r="AL251" s="9"/>
      <c r="AM251" s="9"/>
      <c r="AN251" s="10"/>
      <c r="AO251" s="65">
        <f t="shared" si="9"/>
        <v>0</v>
      </c>
    </row>
    <row r="252" spans="2:41" s="4" customFormat="1" ht="24" customHeight="1" x14ac:dyDescent="0.2">
      <c r="B252" s="14"/>
      <c r="C252" s="23"/>
      <c r="D252" s="21" t="str">
        <f>IF(ISBLANK(C252), "",
_xlfn.WEBSERVICE(
"https://d16nxf5gxyt1xz.cloudfront.net/Prod/translation?id="
&amp;アカウント情報!$C$2&amp;
"&amp;pwd="
&amp;アカウント情報!$C$3&amp;
"&amp;item="
&amp;_xlfn.ENCODEURL(設定!$F$3)&amp;
"&amp;word="
&amp;_xlfn.ENCODEURL(C252)
)
)</f>
        <v/>
      </c>
      <c r="E252" s="6"/>
      <c r="F252" s="16" t="str">
        <f>IFERROR(VLOOKUP($E252,設定!$C:$F,2,0),"")</f>
        <v/>
      </c>
      <c r="G252" s="156" t="str">
        <f>IFERROR(VLOOKUP($E252,設定!$C:$F,3,0),"")</f>
        <v/>
      </c>
      <c r="H252" s="131" t="str">
        <f>IFERROR(VLOOKUP($E252,設定!$C:$F,4,0),"")</f>
        <v/>
      </c>
      <c r="I252" s="402"/>
      <c r="J252" s="8"/>
      <c r="K252" s="9"/>
      <c r="L252" s="9"/>
      <c r="M252" s="9"/>
      <c r="N252" s="9"/>
      <c r="O252" s="9"/>
      <c r="P252" s="9"/>
      <c r="Q252" s="9"/>
      <c r="R252" s="9"/>
      <c r="S252" s="9"/>
      <c r="T252" s="9"/>
      <c r="U252" s="9"/>
      <c r="V252" s="9"/>
      <c r="W252" s="9"/>
      <c r="X252" s="9"/>
      <c r="Y252" s="9"/>
      <c r="Z252" s="9"/>
      <c r="AA252" s="9"/>
      <c r="AB252" s="9"/>
      <c r="AC252" s="9"/>
      <c r="AD252" s="9"/>
      <c r="AE252" s="9"/>
      <c r="AF252" s="9"/>
      <c r="AG252" s="9"/>
      <c r="AH252" s="9"/>
      <c r="AI252" s="9"/>
      <c r="AJ252" s="9"/>
      <c r="AK252" s="9"/>
      <c r="AL252" s="9"/>
      <c r="AM252" s="9"/>
      <c r="AN252" s="10"/>
      <c r="AO252" s="65">
        <f t="shared" si="9"/>
        <v>0</v>
      </c>
    </row>
    <row r="253" spans="2:41" s="4" customFormat="1" ht="24" customHeight="1" x14ac:dyDescent="0.2">
      <c r="B253" s="14"/>
      <c r="C253" s="23"/>
      <c r="D253" s="21" t="str">
        <f>IF(ISBLANK(C253), "",
_xlfn.WEBSERVICE(
"https://d16nxf5gxyt1xz.cloudfront.net/Prod/translation?id="
&amp;アカウント情報!$C$2&amp;
"&amp;pwd="
&amp;アカウント情報!$C$3&amp;
"&amp;item="
&amp;_xlfn.ENCODEURL(設定!$F$3)&amp;
"&amp;word="
&amp;_xlfn.ENCODEURL(C253)
)
)</f>
        <v/>
      </c>
      <c r="E253" s="6"/>
      <c r="F253" s="16" t="str">
        <f>IFERROR(VLOOKUP($E253,設定!$C:$F,2,0),"")</f>
        <v/>
      </c>
      <c r="G253" s="156" t="str">
        <f>IFERROR(VLOOKUP($E253,設定!$C:$F,3,0),"")</f>
        <v/>
      </c>
      <c r="H253" s="131" t="str">
        <f>IFERROR(VLOOKUP($E253,設定!$C:$F,4,0),"")</f>
        <v/>
      </c>
      <c r="I253" s="402"/>
      <c r="J253" s="8"/>
      <c r="K253" s="9"/>
      <c r="L253" s="9"/>
      <c r="M253" s="9"/>
      <c r="N253" s="9"/>
      <c r="O253" s="9"/>
      <c r="P253" s="9"/>
      <c r="Q253" s="9"/>
      <c r="R253" s="9"/>
      <c r="S253" s="9"/>
      <c r="T253" s="9"/>
      <c r="U253" s="9"/>
      <c r="V253" s="9"/>
      <c r="W253" s="9"/>
      <c r="X253" s="9"/>
      <c r="Y253" s="9"/>
      <c r="Z253" s="9"/>
      <c r="AA253" s="9"/>
      <c r="AB253" s="9"/>
      <c r="AC253" s="9"/>
      <c r="AD253" s="9"/>
      <c r="AE253" s="9"/>
      <c r="AF253" s="9"/>
      <c r="AG253" s="9"/>
      <c r="AH253" s="9"/>
      <c r="AI253" s="9"/>
      <c r="AJ253" s="9"/>
      <c r="AK253" s="9"/>
      <c r="AL253" s="9"/>
      <c r="AM253" s="9"/>
      <c r="AN253" s="10"/>
      <c r="AO253" s="65">
        <f t="shared" si="9"/>
        <v>0</v>
      </c>
    </row>
    <row r="254" spans="2:41" s="4" customFormat="1" ht="24" customHeight="1" x14ac:dyDescent="0.2">
      <c r="B254" s="14"/>
      <c r="C254" s="23"/>
      <c r="D254" s="21" t="str">
        <f>IF(ISBLANK(C254), "",
_xlfn.WEBSERVICE(
"https://d16nxf5gxyt1xz.cloudfront.net/Prod/translation?id="
&amp;アカウント情報!$C$2&amp;
"&amp;pwd="
&amp;アカウント情報!$C$3&amp;
"&amp;item="
&amp;_xlfn.ENCODEURL(設定!$F$3)&amp;
"&amp;word="
&amp;_xlfn.ENCODEURL(C254)
)
)</f>
        <v/>
      </c>
      <c r="E254" s="6"/>
      <c r="F254" s="16" t="str">
        <f>IFERROR(VLOOKUP($E254,設定!$C:$F,2,0),"")</f>
        <v/>
      </c>
      <c r="G254" s="156" t="str">
        <f>IFERROR(VLOOKUP($E254,設定!$C:$F,3,0),"")</f>
        <v/>
      </c>
      <c r="H254" s="131" t="str">
        <f>IFERROR(VLOOKUP($E254,設定!$C:$F,4,0),"")</f>
        <v/>
      </c>
      <c r="I254" s="402"/>
      <c r="J254" s="8"/>
      <c r="K254" s="9"/>
      <c r="L254" s="9"/>
      <c r="M254" s="9"/>
      <c r="N254" s="9"/>
      <c r="O254" s="9"/>
      <c r="P254" s="9"/>
      <c r="Q254" s="9"/>
      <c r="R254" s="9"/>
      <c r="S254" s="9"/>
      <c r="T254" s="9"/>
      <c r="U254" s="9"/>
      <c r="V254" s="9"/>
      <c r="W254" s="9"/>
      <c r="X254" s="9"/>
      <c r="Y254" s="9"/>
      <c r="Z254" s="9"/>
      <c r="AA254" s="9"/>
      <c r="AB254" s="9"/>
      <c r="AC254" s="9"/>
      <c r="AD254" s="9"/>
      <c r="AE254" s="9"/>
      <c r="AF254" s="9"/>
      <c r="AG254" s="9"/>
      <c r="AH254" s="9"/>
      <c r="AI254" s="9"/>
      <c r="AJ254" s="9"/>
      <c r="AK254" s="9"/>
      <c r="AL254" s="9"/>
      <c r="AM254" s="9"/>
      <c r="AN254" s="10"/>
      <c r="AO254" s="65">
        <f t="shared" si="9"/>
        <v>0</v>
      </c>
    </row>
    <row r="255" spans="2:41" s="4" customFormat="1" ht="24" customHeight="1" x14ac:dyDescent="0.2">
      <c r="B255" s="14"/>
      <c r="C255" s="23"/>
      <c r="D255" s="21" t="str">
        <f>IF(ISBLANK(C255), "",
_xlfn.WEBSERVICE(
"https://d16nxf5gxyt1xz.cloudfront.net/Prod/translation?id="
&amp;アカウント情報!$C$2&amp;
"&amp;pwd="
&amp;アカウント情報!$C$3&amp;
"&amp;item="
&amp;_xlfn.ENCODEURL(設定!$F$3)&amp;
"&amp;word="
&amp;_xlfn.ENCODEURL(C255)
)
)</f>
        <v/>
      </c>
      <c r="E255" s="6"/>
      <c r="F255" s="16" t="str">
        <f>IFERROR(VLOOKUP($E255,設定!$C:$F,2,0),"")</f>
        <v/>
      </c>
      <c r="G255" s="156" t="str">
        <f>IFERROR(VLOOKUP($E255,設定!$C:$F,3,0),"")</f>
        <v/>
      </c>
      <c r="H255" s="131" t="str">
        <f>IFERROR(VLOOKUP($E255,設定!$C:$F,4,0),"")</f>
        <v/>
      </c>
      <c r="I255" s="402"/>
      <c r="J255" s="8"/>
      <c r="K255" s="9"/>
      <c r="L255" s="9"/>
      <c r="M255" s="9"/>
      <c r="N255" s="9"/>
      <c r="O255" s="9"/>
      <c r="P255" s="9"/>
      <c r="Q255" s="9"/>
      <c r="R255" s="9"/>
      <c r="S255" s="9"/>
      <c r="T255" s="9"/>
      <c r="U255" s="9"/>
      <c r="V255" s="9"/>
      <c r="W255" s="9"/>
      <c r="X255" s="9"/>
      <c r="Y255" s="9"/>
      <c r="Z255" s="9"/>
      <c r="AA255" s="9"/>
      <c r="AB255" s="9"/>
      <c r="AC255" s="9"/>
      <c r="AD255" s="9"/>
      <c r="AE255" s="9"/>
      <c r="AF255" s="9"/>
      <c r="AG255" s="9"/>
      <c r="AH255" s="9"/>
      <c r="AI255" s="9"/>
      <c r="AJ255" s="9"/>
      <c r="AK255" s="9"/>
      <c r="AL255" s="9"/>
      <c r="AM255" s="9"/>
      <c r="AN255" s="10"/>
      <c r="AO255" s="65">
        <f t="shared" si="9"/>
        <v>0</v>
      </c>
    </row>
    <row r="256" spans="2:41" s="4" customFormat="1" ht="24" customHeight="1" x14ac:dyDescent="0.2">
      <c r="B256" s="14"/>
      <c r="C256" s="23"/>
      <c r="D256" s="21" t="str">
        <f>IF(ISBLANK(C256), "",
_xlfn.WEBSERVICE(
"https://d16nxf5gxyt1xz.cloudfront.net/Prod/translation?id="
&amp;アカウント情報!$C$2&amp;
"&amp;pwd="
&amp;アカウント情報!$C$3&amp;
"&amp;item="
&amp;_xlfn.ENCODEURL(設定!$F$3)&amp;
"&amp;word="
&amp;_xlfn.ENCODEURL(C256)
)
)</f>
        <v/>
      </c>
      <c r="E256" s="6"/>
      <c r="F256" s="16" t="str">
        <f>IFERROR(VLOOKUP($E256,設定!$C:$F,2,0),"")</f>
        <v/>
      </c>
      <c r="G256" s="156" t="str">
        <f>IFERROR(VLOOKUP($E256,設定!$C:$F,3,0),"")</f>
        <v/>
      </c>
      <c r="H256" s="131" t="str">
        <f>IFERROR(VLOOKUP($E256,設定!$C:$F,4,0),"")</f>
        <v/>
      </c>
      <c r="I256" s="402"/>
      <c r="J256" s="8"/>
      <c r="K256" s="9"/>
      <c r="L256" s="9"/>
      <c r="M256" s="9"/>
      <c r="N256" s="9"/>
      <c r="O256" s="9"/>
      <c r="P256" s="9"/>
      <c r="Q256" s="9"/>
      <c r="R256" s="9"/>
      <c r="S256" s="9"/>
      <c r="T256" s="9"/>
      <c r="U256" s="9"/>
      <c r="V256" s="9"/>
      <c r="W256" s="9"/>
      <c r="X256" s="9"/>
      <c r="Y256" s="9"/>
      <c r="Z256" s="9"/>
      <c r="AA256" s="9"/>
      <c r="AB256" s="9"/>
      <c r="AC256" s="9"/>
      <c r="AD256" s="9"/>
      <c r="AE256" s="9"/>
      <c r="AF256" s="9"/>
      <c r="AG256" s="9"/>
      <c r="AH256" s="9"/>
      <c r="AI256" s="9"/>
      <c r="AJ256" s="9"/>
      <c r="AK256" s="9"/>
      <c r="AL256" s="9"/>
      <c r="AM256" s="9"/>
      <c r="AN256" s="10"/>
      <c r="AO256" s="65">
        <f t="shared" si="9"/>
        <v>0</v>
      </c>
    </row>
    <row r="257" spans="2:41" s="4" customFormat="1" ht="24" customHeight="1" x14ac:dyDescent="0.2">
      <c r="B257" s="14"/>
      <c r="C257" s="23"/>
      <c r="D257" s="21" t="str">
        <f>IF(ISBLANK(C257), "",
_xlfn.WEBSERVICE(
"https://d16nxf5gxyt1xz.cloudfront.net/Prod/translation?id="
&amp;アカウント情報!$C$2&amp;
"&amp;pwd="
&amp;アカウント情報!$C$3&amp;
"&amp;item="
&amp;_xlfn.ENCODEURL(設定!$F$3)&amp;
"&amp;word="
&amp;_xlfn.ENCODEURL(C257)
)
)</f>
        <v/>
      </c>
      <c r="E257" s="6"/>
      <c r="F257" s="16" t="str">
        <f>IFERROR(VLOOKUP($E257,設定!$C:$F,2,0),"")</f>
        <v/>
      </c>
      <c r="G257" s="156" t="str">
        <f>IFERROR(VLOOKUP($E257,設定!$C:$F,3,0),"")</f>
        <v/>
      </c>
      <c r="H257" s="131" t="str">
        <f>IFERROR(VLOOKUP($E257,設定!$C:$F,4,0),"")</f>
        <v/>
      </c>
      <c r="I257" s="402"/>
      <c r="J257" s="8"/>
      <c r="K257" s="9"/>
      <c r="L257" s="9"/>
      <c r="M257" s="9"/>
      <c r="N257" s="9"/>
      <c r="O257" s="9"/>
      <c r="P257" s="9"/>
      <c r="Q257" s="9"/>
      <c r="R257" s="9"/>
      <c r="S257" s="9"/>
      <c r="T257" s="9"/>
      <c r="U257" s="9"/>
      <c r="V257" s="9"/>
      <c r="W257" s="9"/>
      <c r="X257" s="9"/>
      <c r="Y257" s="9"/>
      <c r="Z257" s="9"/>
      <c r="AA257" s="9"/>
      <c r="AB257" s="9"/>
      <c r="AC257" s="9"/>
      <c r="AD257" s="9"/>
      <c r="AE257" s="9"/>
      <c r="AF257" s="9"/>
      <c r="AG257" s="9"/>
      <c r="AH257" s="9"/>
      <c r="AI257" s="9"/>
      <c r="AJ257" s="9"/>
      <c r="AK257" s="9"/>
      <c r="AL257" s="9"/>
      <c r="AM257" s="9"/>
      <c r="AN257" s="10"/>
      <c r="AO257" s="65">
        <f t="shared" si="9"/>
        <v>0</v>
      </c>
    </row>
    <row r="258" spans="2:41" s="4" customFormat="1" ht="24" customHeight="1" x14ac:dyDescent="0.2">
      <c r="B258" s="14"/>
      <c r="C258" s="23"/>
      <c r="D258" s="21" t="str">
        <f>IF(ISBLANK(C258), "",
_xlfn.WEBSERVICE(
"https://d16nxf5gxyt1xz.cloudfront.net/Prod/translation?id="
&amp;アカウント情報!$C$2&amp;
"&amp;pwd="
&amp;アカウント情報!$C$3&amp;
"&amp;item="
&amp;_xlfn.ENCODEURL(設定!$F$3)&amp;
"&amp;word="
&amp;_xlfn.ENCODEURL(C258)
)
)</f>
        <v/>
      </c>
      <c r="E258" s="6"/>
      <c r="F258" s="16" t="str">
        <f>IFERROR(VLOOKUP($E258,設定!$C:$F,2,0),"")</f>
        <v/>
      </c>
      <c r="G258" s="156" t="str">
        <f>IFERROR(VLOOKUP($E258,設定!$C:$F,3,0),"")</f>
        <v/>
      </c>
      <c r="H258" s="131" t="str">
        <f>IFERROR(VLOOKUP($E258,設定!$C:$F,4,0),"")</f>
        <v/>
      </c>
      <c r="I258" s="402"/>
      <c r="J258" s="8"/>
      <c r="K258" s="9"/>
      <c r="L258" s="9"/>
      <c r="M258" s="9"/>
      <c r="N258" s="9"/>
      <c r="O258" s="9"/>
      <c r="P258" s="9"/>
      <c r="Q258" s="9"/>
      <c r="R258" s="9"/>
      <c r="S258" s="9"/>
      <c r="T258" s="9"/>
      <c r="U258" s="9"/>
      <c r="V258" s="9"/>
      <c r="W258" s="9"/>
      <c r="X258" s="9"/>
      <c r="Y258" s="9"/>
      <c r="Z258" s="9"/>
      <c r="AA258" s="9"/>
      <c r="AB258" s="9"/>
      <c r="AC258" s="9"/>
      <c r="AD258" s="9"/>
      <c r="AE258" s="9"/>
      <c r="AF258" s="9"/>
      <c r="AG258" s="9"/>
      <c r="AH258" s="9"/>
      <c r="AI258" s="9"/>
      <c r="AJ258" s="9"/>
      <c r="AK258" s="9"/>
      <c r="AL258" s="9"/>
      <c r="AM258" s="9"/>
      <c r="AN258" s="10"/>
      <c r="AO258" s="65">
        <f t="shared" si="9"/>
        <v>0</v>
      </c>
    </row>
    <row r="259" spans="2:41" s="4" customFormat="1" ht="24" customHeight="1" x14ac:dyDescent="0.2">
      <c r="B259" s="14"/>
      <c r="C259" s="23"/>
      <c r="D259" s="21" t="str">
        <f>IF(ISBLANK(C259), "",
_xlfn.WEBSERVICE(
"https://d16nxf5gxyt1xz.cloudfront.net/Prod/translation?id="
&amp;アカウント情報!$C$2&amp;
"&amp;pwd="
&amp;アカウント情報!$C$3&amp;
"&amp;item="
&amp;_xlfn.ENCODEURL(設定!$F$3)&amp;
"&amp;word="
&amp;_xlfn.ENCODEURL(C259)
)
)</f>
        <v/>
      </c>
      <c r="E259" s="6"/>
      <c r="F259" s="16" t="str">
        <f>IFERROR(VLOOKUP($E259,設定!$C:$F,2,0),"")</f>
        <v/>
      </c>
      <c r="G259" s="156" t="str">
        <f>IFERROR(VLOOKUP($E259,設定!$C:$F,3,0),"")</f>
        <v/>
      </c>
      <c r="H259" s="131" t="str">
        <f>IFERROR(VLOOKUP($E259,設定!$C:$F,4,0),"")</f>
        <v/>
      </c>
      <c r="I259" s="402"/>
      <c r="J259" s="8"/>
      <c r="K259" s="9"/>
      <c r="L259" s="9"/>
      <c r="M259" s="9"/>
      <c r="N259" s="9"/>
      <c r="O259" s="9"/>
      <c r="P259" s="9"/>
      <c r="Q259" s="9"/>
      <c r="R259" s="9"/>
      <c r="S259" s="9"/>
      <c r="T259" s="9"/>
      <c r="U259" s="9"/>
      <c r="V259" s="9"/>
      <c r="W259" s="9"/>
      <c r="X259" s="9"/>
      <c r="Y259" s="9"/>
      <c r="Z259" s="9"/>
      <c r="AA259" s="9"/>
      <c r="AB259" s="9"/>
      <c r="AC259" s="9"/>
      <c r="AD259" s="9"/>
      <c r="AE259" s="9"/>
      <c r="AF259" s="9"/>
      <c r="AG259" s="9"/>
      <c r="AH259" s="9"/>
      <c r="AI259" s="9"/>
      <c r="AJ259" s="9"/>
      <c r="AK259" s="9"/>
      <c r="AL259" s="9"/>
      <c r="AM259" s="9"/>
      <c r="AN259" s="10"/>
      <c r="AO259" s="65">
        <f t="shared" si="9"/>
        <v>0</v>
      </c>
    </row>
    <row r="260" spans="2:41" s="4" customFormat="1" ht="24" customHeight="1" x14ac:dyDescent="0.2">
      <c r="B260" s="14"/>
      <c r="C260" s="23"/>
      <c r="D260" s="21" t="str">
        <f>IF(ISBLANK(C260), "",
_xlfn.WEBSERVICE(
"https://d16nxf5gxyt1xz.cloudfront.net/Prod/translation?id="
&amp;アカウント情報!$C$2&amp;
"&amp;pwd="
&amp;アカウント情報!$C$3&amp;
"&amp;item="
&amp;_xlfn.ENCODEURL(設定!$F$3)&amp;
"&amp;word="
&amp;_xlfn.ENCODEURL(C260)
)
)</f>
        <v/>
      </c>
      <c r="E260" s="6"/>
      <c r="F260" s="16" t="str">
        <f>IFERROR(VLOOKUP($E260,設定!$C:$F,2,0),"")</f>
        <v/>
      </c>
      <c r="G260" s="156" t="str">
        <f>IFERROR(VLOOKUP($E260,設定!$C:$F,3,0),"")</f>
        <v/>
      </c>
      <c r="H260" s="131" t="str">
        <f>IFERROR(VLOOKUP($E260,設定!$C:$F,4,0),"")</f>
        <v/>
      </c>
      <c r="I260" s="402"/>
      <c r="J260" s="8"/>
      <c r="K260" s="9"/>
      <c r="L260" s="9"/>
      <c r="M260" s="9"/>
      <c r="N260" s="9"/>
      <c r="O260" s="9"/>
      <c r="P260" s="9"/>
      <c r="Q260" s="9"/>
      <c r="R260" s="9"/>
      <c r="S260" s="9"/>
      <c r="T260" s="9"/>
      <c r="U260" s="9"/>
      <c r="V260" s="9"/>
      <c r="W260" s="9"/>
      <c r="X260" s="9"/>
      <c r="Y260" s="9"/>
      <c r="Z260" s="9"/>
      <c r="AA260" s="9"/>
      <c r="AB260" s="9"/>
      <c r="AC260" s="9"/>
      <c r="AD260" s="9"/>
      <c r="AE260" s="9"/>
      <c r="AF260" s="9"/>
      <c r="AG260" s="9"/>
      <c r="AH260" s="9"/>
      <c r="AI260" s="9"/>
      <c r="AJ260" s="9"/>
      <c r="AK260" s="9"/>
      <c r="AL260" s="9"/>
      <c r="AM260" s="9"/>
      <c r="AN260" s="10"/>
      <c r="AO260" s="65">
        <f t="shared" si="9"/>
        <v>0</v>
      </c>
    </row>
    <row r="261" spans="2:41" s="4" customFormat="1" ht="24" customHeight="1" x14ac:dyDescent="0.2">
      <c r="B261" s="14"/>
      <c r="C261" s="23"/>
      <c r="D261" s="21" t="str">
        <f>IF(ISBLANK(C261), "",
_xlfn.WEBSERVICE(
"https://d16nxf5gxyt1xz.cloudfront.net/Prod/translation?id="
&amp;アカウント情報!$C$2&amp;
"&amp;pwd="
&amp;アカウント情報!$C$3&amp;
"&amp;item="
&amp;_xlfn.ENCODEURL(設定!$F$3)&amp;
"&amp;word="
&amp;_xlfn.ENCODEURL(C261)
)
)</f>
        <v/>
      </c>
      <c r="E261" s="6"/>
      <c r="F261" s="16" t="str">
        <f>IFERROR(VLOOKUP($E261,設定!$C:$F,2,0),"")</f>
        <v/>
      </c>
      <c r="G261" s="156" t="str">
        <f>IFERROR(VLOOKUP($E261,設定!$C:$F,3,0),"")</f>
        <v/>
      </c>
      <c r="H261" s="131" t="str">
        <f>IFERROR(VLOOKUP($E261,設定!$C:$F,4,0),"")</f>
        <v/>
      </c>
      <c r="I261" s="402"/>
      <c r="J261" s="8"/>
      <c r="K261" s="9"/>
      <c r="L261" s="9"/>
      <c r="M261" s="9"/>
      <c r="N261" s="9"/>
      <c r="O261" s="9"/>
      <c r="P261" s="9"/>
      <c r="Q261" s="9"/>
      <c r="R261" s="9"/>
      <c r="S261" s="9"/>
      <c r="T261" s="9"/>
      <c r="U261" s="9"/>
      <c r="V261" s="9"/>
      <c r="W261" s="9"/>
      <c r="X261" s="9"/>
      <c r="Y261" s="9"/>
      <c r="Z261" s="9"/>
      <c r="AA261" s="9"/>
      <c r="AB261" s="9"/>
      <c r="AC261" s="9"/>
      <c r="AD261" s="9"/>
      <c r="AE261" s="9"/>
      <c r="AF261" s="9"/>
      <c r="AG261" s="9"/>
      <c r="AH261" s="9"/>
      <c r="AI261" s="9"/>
      <c r="AJ261" s="9"/>
      <c r="AK261" s="9"/>
      <c r="AL261" s="9"/>
      <c r="AM261" s="9"/>
      <c r="AN261" s="10"/>
      <c r="AO261" s="65">
        <f t="shared" si="9"/>
        <v>0</v>
      </c>
    </row>
    <row r="262" spans="2:41" s="4" customFormat="1" ht="24" customHeight="1" x14ac:dyDescent="0.2">
      <c r="B262" s="14"/>
      <c r="C262" s="23"/>
      <c r="D262" s="21" t="str">
        <f>IF(ISBLANK(C262), "",
_xlfn.WEBSERVICE(
"https://d16nxf5gxyt1xz.cloudfront.net/Prod/translation?id="
&amp;アカウント情報!$C$2&amp;
"&amp;pwd="
&amp;アカウント情報!$C$3&amp;
"&amp;item="
&amp;_xlfn.ENCODEURL(設定!$F$3)&amp;
"&amp;word="
&amp;_xlfn.ENCODEURL(C262)
)
)</f>
        <v/>
      </c>
      <c r="E262" s="6"/>
      <c r="F262" s="16" t="str">
        <f>IFERROR(VLOOKUP($E262,設定!$C:$F,2,0),"")</f>
        <v/>
      </c>
      <c r="G262" s="156" t="str">
        <f>IFERROR(VLOOKUP($E262,設定!$C:$F,3,0),"")</f>
        <v/>
      </c>
      <c r="H262" s="131" t="str">
        <f>IFERROR(VLOOKUP($E262,設定!$C:$F,4,0),"")</f>
        <v/>
      </c>
      <c r="I262" s="402"/>
      <c r="J262" s="8"/>
      <c r="K262" s="9"/>
      <c r="L262" s="9"/>
      <c r="M262" s="9"/>
      <c r="N262" s="9"/>
      <c r="O262" s="9"/>
      <c r="P262" s="9"/>
      <c r="Q262" s="9"/>
      <c r="R262" s="9"/>
      <c r="S262" s="9"/>
      <c r="T262" s="9"/>
      <c r="U262" s="9"/>
      <c r="V262" s="9"/>
      <c r="W262" s="9"/>
      <c r="X262" s="9"/>
      <c r="Y262" s="9"/>
      <c r="Z262" s="9"/>
      <c r="AA262" s="9"/>
      <c r="AB262" s="9"/>
      <c r="AC262" s="9"/>
      <c r="AD262" s="9"/>
      <c r="AE262" s="9"/>
      <c r="AF262" s="9"/>
      <c r="AG262" s="9"/>
      <c r="AH262" s="9"/>
      <c r="AI262" s="9"/>
      <c r="AJ262" s="9"/>
      <c r="AK262" s="9"/>
      <c r="AL262" s="9"/>
      <c r="AM262" s="9"/>
      <c r="AN262" s="10"/>
      <c r="AO262" s="65">
        <f t="shared" si="9"/>
        <v>0</v>
      </c>
    </row>
    <row r="263" spans="2:41" s="4" customFormat="1" ht="24" customHeight="1" x14ac:dyDescent="0.2">
      <c r="B263" s="14"/>
      <c r="C263" s="23"/>
      <c r="D263" s="21" t="str">
        <f>IF(ISBLANK(C263), "",
_xlfn.WEBSERVICE(
"https://d16nxf5gxyt1xz.cloudfront.net/Prod/translation?id="
&amp;アカウント情報!$C$2&amp;
"&amp;pwd="
&amp;アカウント情報!$C$3&amp;
"&amp;item="
&amp;_xlfn.ENCODEURL(設定!$F$3)&amp;
"&amp;word="
&amp;_xlfn.ENCODEURL(C263)
)
)</f>
        <v/>
      </c>
      <c r="E263" s="6"/>
      <c r="F263" s="16" t="str">
        <f>IFERROR(VLOOKUP($E263,設定!$C:$F,2,0),"")</f>
        <v/>
      </c>
      <c r="G263" s="156" t="str">
        <f>IFERROR(VLOOKUP($E263,設定!$C:$F,3,0),"")</f>
        <v/>
      </c>
      <c r="H263" s="131" t="str">
        <f>IFERROR(VLOOKUP($E263,設定!$C:$F,4,0),"")</f>
        <v/>
      </c>
      <c r="I263" s="402"/>
      <c r="J263" s="8"/>
      <c r="K263" s="9"/>
      <c r="L263" s="9"/>
      <c r="M263" s="9"/>
      <c r="N263" s="9"/>
      <c r="O263" s="9"/>
      <c r="P263" s="9"/>
      <c r="Q263" s="9"/>
      <c r="R263" s="9"/>
      <c r="S263" s="9"/>
      <c r="T263" s="9"/>
      <c r="U263" s="9"/>
      <c r="V263" s="9"/>
      <c r="W263" s="9"/>
      <c r="X263" s="9"/>
      <c r="Y263" s="9"/>
      <c r="Z263" s="9"/>
      <c r="AA263" s="9"/>
      <c r="AB263" s="9"/>
      <c r="AC263" s="9"/>
      <c r="AD263" s="9"/>
      <c r="AE263" s="9"/>
      <c r="AF263" s="9"/>
      <c r="AG263" s="9"/>
      <c r="AH263" s="9"/>
      <c r="AI263" s="9"/>
      <c r="AJ263" s="9"/>
      <c r="AK263" s="9"/>
      <c r="AL263" s="9"/>
      <c r="AM263" s="9"/>
      <c r="AN263" s="10"/>
      <c r="AO263" s="65">
        <f t="shared" si="9"/>
        <v>0</v>
      </c>
    </row>
    <row r="264" spans="2:41" s="4" customFormat="1" ht="24" customHeight="1" x14ac:dyDescent="0.2">
      <c r="B264" s="14"/>
      <c r="C264" s="23"/>
      <c r="D264" s="21" t="str">
        <f>IF(ISBLANK(C264), "",
_xlfn.WEBSERVICE(
"https://d16nxf5gxyt1xz.cloudfront.net/Prod/translation?id="
&amp;アカウント情報!$C$2&amp;
"&amp;pwd="
&amp;アカウント情報!$C$3&amp;
"&amp;item="
&amp;_xlfn.ENCODEURL(設定!$F$3)&amp;
"&amp;word="
&amp;_xlfn.ENCODEURL(C264)
)
)</f>
        <v/>
      </c>
      <c r="E264" s="6"/>
      <c r="F264" s="16" t="str">
        <f>IFERROR(VLOOKUP($E264,設定!$C:$F,2,0),"")</f>
        <v/>
      </c>
      <c r="G264" s="156" t="str">
        <f>IFERROR(VLOOKUP($E264,設定!$C:$F,3,0),"")</f>
        <v/>
      </c>
      <c r="H264" s="131" t="str">
        <f>IFERROR(VLOOKUP($E264,設定!$C:$F,4,0),"")</f>
        <v/>
      </c>
      <c r="I264" s="402"/>
      <c r="J264" s="8"/>
      <c r="K264" s="9"/>
      <c r="L264" s="9"/>
      <c r="M264" s="9"/>
      <c r="N264" s="9"/>
      <c r="O264" s="9"/>
      <c r="P264" s="9"/>
      <c r="Q264" s="9"/>
      <c r="R264" s="9"/>
      <c r="S264" s="9"/>
      <c r="T264" s="9"/>
      <c r="U264" s="9"/>
      <c r="V264" s="9"/>
      <c r="W264" s="9"/>
      <c r="X264" s="9"/>
      <c r="Y264" s="9"/>
      <c r="Z264" s="9"/>
      <c r="AA264" s="9"/>
      <c r="AB264" s="9"/>
      <c r="AC264" s="9"/>
      <c r="AD264" s="9"/>
      <c r="AE264" s="9"/>
      <c r="AF264" s="9"/>
      <c r="AG264" s="9"/>
      <c r="AH264" s="9"/>
      <c r="AI264" s="9"/>
      <c r="AJ264" s="9"/>
      <c r="AK264" s="9"/>
      <c r="AL264" s="9"/>
      <c r="AM264" s="9"/>
      <c r="AN264" s="10"/>
      <c r="AO264" s="65">
        <f t="shared" si="9"/>
        <v>0</v>
      </c>
    </row>
    <row r="265" spans="2:41" s="4" customFormat="1" ht="24" customHeight="1" x14ac:dyDescent="0.2">
      <c r="B265" s="14"/>
      <c r="C265" s="23"/>
      <c r="D265" s="21" t="str">
        <f>IF(ISBLANK(C265), "",
_xlfn.WEBSERVICE(
"https://d16nxf5gxyt1xz.cloudfront.net/Prod/translation?id="
&amp;アカウント情報!$C$2&amp;
"&amp;pwd="
&amp;アカウント情報!$C$3&amp;
"&amp;item="
&amp;_xlfn.ENCODEURL(設定!$F$3)&amp;
"&amp;word="
&amp;_xlfn.ENCODEURL(C265)
)
)</f>
        <v/>
      </c>
      <c r="E265" s="6"/>
      <c r="F265" s="16" t="str">
        <f>IFERROR(VLOOKUP($E265,設定!$C:$F,2,0),"")</f>
        <v/>
      </c>
      <c r="G265" s="156" t="str">
        <f>IFERROR(VLOOKUP($E265,設定!$C:$F,3,0),"")</f>
        <v/>
      </c>
      <c r="H265" s="131" t="str">
        <f>IFERROR(VLOOKUP($E265,設定!$C:$F,4,0),"")</f>
        <v/>
      </c>
      <c r="I265" s="402"/>
      <c r="J265" s="8"/>
      <c r="K265" s="9"/>
      <c r="L265" s="9"/>
      <c r="M265" s="9"/>
      <c r="N265" s="9"/>
      <c r="O265" s="9"/>
      <c r="P265" s="9"/>
      <c r="Q265" s="9"/>
      <c r="R265" s="9"/>
      <c r="S265" s="9"/>
      <c r="T265" s="9"/>
      <c r="U265" s="9"/>
      <c r="V265" s="9"/>
      <c r="W265" s="9"/>
      <c r="X265" s="9"/>
      <c r="Y265" s="9"/>
      <c r="Z265" s="9"/>
      <c r="AA265" s="9"/>
      <c r="AB265" s="9"/>
      <c r="AC265" s="9"/>
      <c r="AD265" s="9"/>
      <c r="AE265" s="9"/>
      <c r="AF265" s="9"/>
      <c r="AG265" s="9"/>
      <c r="AH265" s="9"/>
      <c r="AI265" s="9"/>
      <c r="AJ265" s="9"/>
      <c r="AK265" s="9"/>
      <c r="AL265" s="9"/>
      <c r="AM265" s="9"/>
      <c r="AN265" s="10"/>
      <c r="AO265" s="65">
        <f t="shared" si="9"/>
        <v>0</v>
      </c>
    </row>
    <row r="266" spans="2:41" s="4" customFormat="1" ht="24" customHeight="1" x14ac:dyDescent="0.2">
      <c r="B266" s="14"/>
      <c r="C266" s="23"/>
      <c r="D266" s="21" t="str">
        <f>IF(ISBLANK(C266), "",
_xlfn.WEBSERVICE(
"https://d16nxf5gxyt1xz.cloudfront.net/Prod/translation?id="
&amp;アカウント情報!$C$2&amp;
"&amp;pwd="
&amp;アカウント情報!$C$3&amp;
"&amp;item="
&amp;_xlfn.ENCODEURL(設定!$F$3)&amp;
"&amp;word="
&amp;_xlfn.ENCODEURL(C266)
)
)</f>
        <v/>
      </c>
      <c r="E266" s="6"/>
      <c r="F266" s="16" t="str">
        <f>IFERROR(VLOOKUP($E266,設定!$C:$F,2,0),"")</f>
        <v/>
      </c>
      <c r="G266" s="156" t="str">
        <f>IFERROR(VLOOKUP($E266,設定!$C:$F,3,0),"")</f>
        <v/>
      </c>
      <c r="H266" s="131" t="str">
        <f>IFERROR(VLOOKUP($E266,設定!$C:$F,4,0),"")</f>
        <v/>
      </c>
      <c r="I266" s="402"/>
      <c r="J266" s="8"/>
      <c r="K266" s="9"/>
      <c r="L266" s="9"/>
      <c r="M266" s="9"/>
      <c r="N266" s="9"/>
      <c r="O266" s="9"/>
      <c r="P266" s="9"/>
      <c r="Q266" s="9"/>
      <c r="R266" s="9"/>
      <c r="S266" s="9"/>
      <c r="T266" s="9"/>
      <c r="U266" s="9"/>
      <c r="V266" s="9"/>
      <c r="W266" s="9"/>
      <c r="X266" s="9"/>
      <c r="Y266" s="9"/>
      <c r="Z266" s="9"/>
      <c r="AA266" s="9"/>
      <c r="AB266" s="9"/>
      <c r="AC266" s="9"/>
      <c r="AD266" s="9"/>
      <c r="AE266" s="9"/>
      <c r="AF266" s="9"/>
      <c r="AG266" s="9"/>
      <c r="AH266" s="9"/>
      <c r="AI266" s="9"/>
      <c r="AJ266" s="9"/>
      <c r="AK266" s="9"/>
      <c r="AL266" s="9"/>
      <c r="AM266" s="9"/>
      <c r="AN266" s="10"/>
      <c r="AO266" s="65">
        <f t="shared" si="9"/>
        <v>0</v>
      </c>
    </row>
    <row r="267" spans="2:41" s="4" customFormat="1" ht="24" customHeight="1" x14ac:dyDescent="0.2">
      <c r="B267" s="14"/>
      <c r="C267" s="23"/>
      <c r="D267" s="21" t="str">
        <f>IF(ISBLANK(C267), "",
_xlfn.WEBSERVICE(
"https://d16nxf5gxyt1xz.cloudfront.net/Prod/translation?id="
&amp;アカウント情報!$C$2&amp;
"&amp;pwd="
&amp;アカウント情報!$C$3&amp;
"&amp;item="
&amp;_xlfn.ENCODEURL(設定!$F$3)&amp;
"&amp;word="
&amp;_xlfn.ENCODEURL(C267)
)
)</f>
        <v/>
      </c>
      <c r="E267" s="6"/>
      <c r="F267" s="16" t="str">
        <f>IFERROR(VLOOKUP($E267,設定!$C:$F,2,0),"")</f>
        <v/>
      </c>
      <c r="G267" s="156" t="str">
        <f>IFERROR(VLOOKUP($E267,設定!$C:$F,3,0),"")</f>
        <v/>
      </c>
      <c r="H267" s="131" t="str">
        <f>IFERROR(VLOOKUP($E267,設定!$C:$F,4,0),"")</f>
        <v/>
      </c>
      <c r="I267" s="402"/>
      <c r="J267" s="8"/>
      <c r="K267" s="9"/>
      <c r="L267" s="9"/>
      <c r="M267" s="9"/>
      <c r="N267" s="9"/>
      <c r="O267" s="9"/>
      <c r="P267" s="9"/>
      <c r="Q267" s="9"/>
      <c r="R267" s="9"/>
      <c r="S267" s="9"/>
      <c r="T267" s="9"/>
      <c r="U267" s="9"/>
      <c r="V267" s="9"/>
      <c r="W267" s="9"/>
      <c r="X267" s="9"/>
      <c r="Y267" s="9"/>
      <c r="Z267" s="9"/>
      <c r="AA267" s="9"/>
      <c r="AB267" s="9"/>
      <c r="AC267" s="9"/>
      <c r="AD267" s="9"/>
      <c r="AE267" s="9"/>
      <c r="AF267" s="9"/>
      <c r="AG267" s="9"/>
      <c r="AH267" s="9"/>
      <c r="AI267" s="9"/>
      <c r="AJ267" s="9"/>
      <c r="AK267" s="9"/>
      <c r="AL267" s="9"/>
      <c r="AM267" s="9"/>
      <c r="AN267" s="10"/>
      <c r="AO267" s="65">
        <f t="shared" si="9"/>
        <v>0</v>
      </c>
    </row>
    <row r="268" spans="2:41" s="4" customFormat="1" ht="24" customHeight="1" x14ac:dyDescent="0.2">
      <c r="B268" s="14"/>
      <c r="C268" s="23"/>
      <c r="D268" s="21" t="str">
        <f>IF(ISBLANK(C268), "",
_xlfn.WEBSERVICE(
"https://d16nxf5gxyt1xz.cloudfront.net/Prod/translation?id="
&amp;アカウント情報!$C$2&amp;
"&amp;pwd="
&amp;アカウント情報!$C$3&amp;
"&amp;item="
&amp;_xlfn.ENCODEURL(設定!$F$3)&amp;
"&amp;word="
&amp;_xlfn.ENCODEURL(C268)
)
)</f>
        <v/>
      </c>
      <c r="E268" s="6"/>
      <c r="F268" s="16" t="str">
        <f>IFERROR(VLOOKUP($E268,設定!$C:$F,2,0),"")</f>
        <v/>
      </c>
      <c r="G268" s="156" t="str">
        <f>IFERROR(VLOOKUP($E268,設定!$C:$F,3,0),"")</f>
        <v/>
      </c>
      <c r="H268" s="131" t="str">
        <f>IFERROR(VLOOKUP($E268,設定!$C:$F,4,0),"")</f>
        <v/>
      </c>
      <c r="I268" s="402"/>
      <c r="J268" s="8"/>
      <c r="K268" s="9"/>
      <c r="L268" s="9"/>
      <c r="M268" s="9"/>
      <c r="N268" s="9"/>
      <c r="O268" s="9"/>
      <c r="P268" s="9"/>
      <c r="Q268" s="9"/>
      <c r="R268" s="9"/>
      <c r="S268" s="9"/>
      <c r="T268" s="9"/>
      <c r="U268" s="9"/>
      <c r="V268" s="9"/>
      <c r="W268" s="9"/>
      <c r="X268" s="9"/>
      <c r="Y268" s="9"/>
      <c r="Z268" s="9"/>
      <c r="AA268" s="9"/>
      <c r="AB268" s="9"/>
      <c r="AC268" s="9"/>
      <c r="AD268" s="9"/>
      <c r="AE268" s="9"/>
      <c r="AF268" s="9"/>
      <c r="AG268" s="9"/>
      <c r="AH268" s="9"/>
      <c r="AI268" s="9"/>
      <c r="AJ268" s="9"/>
      <c r="AK268" s="9"/>
      <c r="AL268" s="9"/>
      <c r="AM268" s="9"/>
      <c r="AN268" s="10"/>
      <c r="AO268" s="65">
        <f t="shared" si="9"/>
        <v>0</v>
      </c>
    </row>
    <row r="269" spans="2:41" s="4" customFormat="1" ht="24" customHeight="1" x14ac:dyDescent="0.2">
      <c r="B269" s="14"/>
      <c r="C269" s="23"/>
      <c r="D269" s="21" t="str">
        <f>IF(ISBLANK(C269), "",
_xlfn.WEBSERVICE(
"https://d16nxf5gxyt1xz.cloudfront.net/Prod/translation?id="
&amp;アカウント情報!$C$2&amp;
"&amp;pwd="
&amp;アカウント情報!$C$3&amp;
"&amp;item="
&amp;_xlfn.ENCODEURL(設定!$F$3)&amp;
"&amp;word="
&amp;_xlfn.ENCODEURL(C269)
)
)</f>
        <v/>
      </c>
      <c r="E269" s="6"/>
      <c r="F269" s="16" t="str">
        <f>IFERROR(VLOOKUP($E269,設定!$C:$F,2,0),"")</f>
        <v/>
      </c>
      <c r="G269" s="156" t="str">
        <f>IFERROR(VLOOKUP($E269,設定!$C:$F,3,0),"")</f>
        <v/>
      </c>
      <c r="H269" s="131" t="str">
        <f>IFERROR(VLOOKUP($E269,設定!$C:$F,4,0),"")</f>
        <v/>
      </c>
      <c r="I269" s="402"/>
      <c r="J269" s="8"/>
      <c r="K269" s="9"/>
      <c r="L269" s="9"/>
      <c r="M269" s="9"/>
      <c r="N269" s="9"/>
      <c r="O269" s="9"/>
      <c r="P269" s="9"/>
      <c r="Q269" s="9"/>
      <c r="R269" s="9"/>
      <c r="S269" s="9"/>
      <c r="T269" s="9"/>
      <c r="U269" s="9"/>
      <c r="V269" s="9"/>
      <c r="W269" s="9"/>
      <c r="X269" s="9"/>
      <c r="Y269" s="9"/>
      <c r="Z269" s="9"/>
      <c r="AA269" s="9"/>
      <c r="AB269" s="9"/>
      <c r="AC269" s="9"/>
      <c r="AD269" s="9"/>
      <c r="AE269" s="9"/>
      <c r="AF269" s="9"/>
      <c r="AG269" s="9"/>
      <c r="AH269" s="9"/>
      <c r="AI269" s="9"/>
      <c r="AJ269" s="9"/>
      <c r="AK269" s="9"/>
      <c r="AL269" s="9"/>
      <c r="AM269" s="9"/>
      <c r="AN269" s="10"/>
      <c r="AO269" s="65">
        <f t="shared" si="9"/>
        <v>0</v>
      </c>
    </row>
    <row r="270" spans="2:41" s="4" customFormat="1" ht="24" customHeight="1" x14ac:dyDescent="0.2">
      <c r="B270" s="14"/>
      <c r="C270" s="23"/>
      <c r="D270" s="21" t="str">
        <f>IF(ISBLANK(C270), "",
_xlfn.WEBSERVICE(
"https://d16nxf5gxyt1xz.cloudfront.net/Prod/translation?id="
&amp;アカウント情報!$C$2&amp;
"&amp;pwd="
&amp;アカウント情報!$C$3&amp;
"&amp;item="
&amp;_xlfn.ENCODEURL(設定!$F$3)&amp;
"&amp;word="
&amp;_xlfn.ENCODEURL(C270)
)
)</f>
        <v/>
      </c>
      <c r="E270" s="6"/>
      <c r="F270" s="16" t="str">
        <f>IFERROR(VLOOKUP($E270,設定!$C:$F,2,0),"")</f>
        <v/>
      </c>
      <c r="G270" s="156" t="str">
        <f>IFERROR(VLOOKUP($E270,設定!$C:$F,3,0),"")</f>
        <v/>
      </c>
      <c r="H270" s="131" t="str">
        <f>IFERROR(VLOOKUP($E270,設定!$C:$F,4,0),"")</f>
        <v/>
      </c>
      <c r="I270" s="402"/>
      <c r="J270" s="8"/>
      <c r="K270" s="9"/>
      <c r="L270" s="9"/>
      <c r="M270" s="9"/>
      <c r="N270" s="9"/>
      <c r="O270" s="9"/>
      <c r="P270" s="9"/>
      <c r="Q270" s="9"/>
      <c r="R270" s="9"/>
      <c r="S270" s="9"/>
      <c r="T270" s="9"/>
      <c r="U270" s="9"/>
      <c r="V270" s="9"/>
      <c r="W270" s="9"/>
      <c r="X270" s="9"/>
      <c r="Y270" s="9"/>
      <c r="Z270" s="9"/>
      <c r="AA270" s="9"/>
      <c r="AB270" s="9"/>
      <c r="AC270" s="9"/>
      <c r="AD270" s="9"/>
      <c r="AE270" s="9"/>
      <c r="AF270" s="9"/>
      <c r="AG270" s="9"/>
      <c r="AH270" s="9"/>
      <c r="AI270" s="9"/>
      <c r="AJ270" s="9"/>
      <c r="AK270" s="9"/>
      <c r="AL270" s="9"/>
      <c r="AM270" s="9"/>
      <c r="AN270" s="10"/>
      <c r="AO270" s="65">
        <f t="shared" si="9"/>
        <v>0</v>
      </c>
    </row>
    <row r="271" spans="2:41" s="4" customFormat="1" ht="24" customHeight="1" x14ac:dyDescent="0.2">
      <c r="B271" s="14"/>
      <c r="C271" s="23"/>
      <c r="D271" s="21" t="str">
        <f>IF(ISBLANK(C271), "",
_xlfn.WEBSERVICE(
"https://d16nxf5gxyt1xz.cloudfront.net/Prod/translation?id="
&amp;アカウント情報!$C$2&amp;
"&amp;pwd="
&amp;アカウント情報!$C$3&amp;
"&amp;item="
&amp;_xlfn.ENCODEURL(設定!$F$3)&amp;
"&amp;word="
&amp;_xlfn.ENCODEURL(C271)
)
)</f>
        <v/>
      </c>
      <c r="E271" s="6"/>
      <c r="F271" s="16" t="str">
        <f>IFERROR(VLOOKUP($E271,設定!$C:$F,2,0),"")</f>
        <v/>
      </c>
      <c r="G271" s="156" t="str">
        <f>IFERROR(VLOOKUP($E271,設定!$C:$F,3,0),"")</f>
        <v/>
      </c>
      <c r="H271" s="131" t="str">
        <f>IFERROR(VLOOKUP($E271,設定!$C:$F,4,0),"")</f>
        <v/>
      </c>
      <c r="I271" s="402"/>
      <c r="J271" s="8"/>
      <c r="K271" s="9"/>
      <c r="L271" s="9"/>
      <c r="M271" s="9"/>
      <c r="N271" s="9"/>
      <c r="O271" s="9"/>
      <c r="P271" s="9"/>
      <c r="Q271" s="9"/>
      <c r="R271" s="9"/>
      <c r="S271" s="9"/>
      <c r="T271" s="9"/>
      <c r="U271" s="9"/>
      <c r="V271" s="9"/>
      <c r="W271" s="9"/>
      <c r="X271" s="9"/>
      <c r="Y271" s="9"/>
      <c r="Z271" s="9"/>
      <c r="AA271" s="9"/>
      <c r="AB271" s="9"/>
      <c r="AC271" s="9"/>
      <c r="AD271" s="9"/>
      <c r="AE271" s="9"/>
      <c r="AF271" s="9"/>
      <c r="AG271" s="9"/>
      <c r="AH271" s="9"/>
      <c r="AI271" s="9"/>
      <c r="AJ271" s="9"/>
      <c r="AK271" s="9"/>
      <c r="AL271" s="9"/>
      <c r="AM271" s="9"/>
      <c r="AN271" s="10"/>
      <c r="AO271" s="65">
        <f t="shared" si="9"/>
        <v>0</v>
      </c>
    </row>
    <row r="272" spans="2:41" s="4" customFormat="1" ht="24" customHeight="1" x14ac:dyDescent="0.2">
      <c r="B272" s="14"/>
      <c r="C272" s="23"/>
      <c r="D272" s="21" t="str">
        <f>IF(ISBLANK(C272), "",
_xlfn.WEBSERVICE(
"https://d16nxf5gxyt1xz.cloudfront.net/Prod/translation?id="
&amp;アカウント情報!$C$2&amp;
"&amp;pwd="
&amp;アカウント情報!$C$3&amp;
"&amp;item="
&amp;_xlfn.ENCODEURL(設定!$F$3)&amp;
"&amp;word="
&amp;_xlfn.ENCODEURL(C272)
)
)</f>
        <v/>
      </c>
      <c r="E272" s="6"/>
      <c r="F272" s="16" t="str">
        <f>IFERROR(VLOOKUP($E272,設定!$C:$F,2,0),"")</f>
        <v/>
      </c>
      <c r="G272" s="156" t="str">
        <f>IFERROR(VLOOKUP($E272,設定!$C:$F,3,0),"")</f>
        <v/>
      </c>
      <c r="H272" s="131" t="str">
        <f>IFERROR(VLOOKUP($E272,設定!$C:$F,4,0),"")</f>
        <v/>
      </c>
      <c r="I272" s="402"/>
      <c r="J272" s="8"/>
      <c r="K272" s="9"/>
      <c r="L272" s="9"/>
      <c r="M272" s="9"/>
      <c r="N272" s="9"/>
      <c r="O272" s="9"/>
      <c r="P272" s="9"/>
      <c r="Q272" s="9"/>
      <c r="R272" s="9"/>
      <c r="S272" s="9"/>
      <c r="T272" s="9"/>
      <c r="U272" s="9"/>
      <c r="V272" s="9"/>
      <c r="W272" s="9"/>
      <c r="X272" s="9"/>
      <c r="Y272" s="9"/>
      <c r="Z272" s="9"/>
      <c r="AA272" s="9"/>
      <c r="AB272" s="9"/>
      <c r="AC272" s="9"/>
      <c r="AD272" s="9"/>
      <c r="AE272" s="9"/>
      <c r="AF272" s="9"/>
      <c r="AG272" s="9"/>
      <c r="AH272" s="9"/>
      <c r="AI272" s="9"/>
      <c r="AJ272" s="9"/>
      <c r="AK272" s="9"/>
      <c r="AL272" s="9"/>
      <c r="AM272" s="9"/>
      <c r="AN272" s="10"/>
      <c r="AO272" s="65">
        <f t="shared" si="9"/>
        <v>0</v>
      </c>
    </row>
    <row r="273" spans="2:41" s="4" customFormat="1" ht="24" customHeight="1" x14ac:dyDescent="0.2">
      <c r="B273" s="14"/>
      <c r="C273" s="23"/>
      <c r="D273" s="21" t="str">
        <f>IF(ISBLANK(C273), "",
_xlfn.WEBSERVICE(
"https://d16nxf5gxyt1xz.cloudfront.net/Prod/translation?id="
&amp;アカウント情報!$C$2&amp;
"&amp;pwd="
&amp;アカウント情報!$C$3&amp;
"&amp;item="
&amp;_xlfn.ENCODEURL(設定!$F$3)&amp;
"&amp;word="
&amp;_xlfn.ENCODEURL(C273)
)
)</f>
        <v/>
      </c>
      <c r="E273" s="6"/>
      <c r="F273" s="16" t="str">
        <f>IFERROR(VLOOKUP($E273,設定!$C:$F,2,0),"")</f>
        <v/>
      </c>
      <c r="G273" s="156" t="str">
        <f>IFERROR(VLOOKUP($E273,設定!$C:$F,3,0),"")</f>
        <v/>
      </c>
      <c r="H273" s="131" t="str">
        <f>IFERROR(VLOOKUP($E273,設定!$C:$F,4,0),"")</f>
        <v/>
      </c>
      <c r="I273" s="402"/>
      <c r="J273" s="8"/>
      <c r="K273" s="9"/>
      <c r="L273" s="9"/>
      <c r="M273" s="9"/>
      <c r="N273" s="9"/>
      <c r="O273" s="9"/>
      <c r="P273" s="9"/>
      <c r="Q273" s="9"/>
      <c r="R273" s="9"/>
      <c r="S273" s="9"/>
      <c r="T273" s="9"/>
      <c r="U273" s="9"/>
      <c r="V273" s="9"/>
      <c r="W273" s="9"/>
      <c r="X273" s="9"/>
      <c r="Y273" s="9"/>
      <c r="Z273" s="9"/>
      <c r="AA273" s="9"/>
      <c r="AB273" s="9"/>
      <c r="AC273" s="9"/>
      <c r="AD273" s="9"/>
      <c r="AE273" s="9"/>
      <c r="AF273" s="9"/>
      <c r="AG273" s="9"/>
      <c r="AH273" s="9"/>
      <c r="AI273" s="9"/>
      <c r="AJ273" s="9"/>
      <c r="AK273" s="9"/>
      <c r="AL273" s="9"/>
      <c r="AM273" s="9"/>
      <c r="AN273" s="10"/>
      <c r="AO273" s="65">
        <f t="shared" si="9"/>
        <v>0</v>
      </c>
    </row>
    <row r="274" spans="2:41" s="4" customFormat="1" ht="24" customHeight="1" x14ac:dyDescent="0.2">
      <c r="B274" s="14"/>
      <c r="C274" s="23"/>
      <c r="D274" s="21" t="str">
        <f>IF(ISBLANK(C274), "",
_xlfn.WEBSERVICE(
"https://d16nxf5gxyt1xz.cloudfront.net/Prod/translation?id="
&amp;アカウント情報!$C$2&amp;
"&amp;pwd="
&amp;アカウント情報!$C$3&amp;
"&amp;item="
&amp;_xlfn.ENCODEURL(設定!$F$3)&amp;
"&amp;word="
&amp;_xlfn.ENCODEURL(C274)
)
)</f>
        <v/>
      </c>
      <c r="E274" s="6"/>
      <c r="F274" s="16" t="str">
        <f>IFERROR(VLOOKUP($E274,設定!$C:$F,2,0),"")</f>
        <v/>
      </c>
      <c r="G274" s="156" t="str">
        <f>IFERROR(VLOOKUP($E274,設定!$C:$F,3,0),"")</f>
        <v/>
      </c>
      <c r="H274" s="131" t="str">
        <f>IFERROR(VLOOKUP($E274,設定!$C:$F,4,0),"")</f>
        <v/>
      </c>
      <c r="I274" s="402"/>
      <c r="J274" s="8"/>
      <c r="K274" s="9"/>
      <c r="L274" s="9"/>
      <c r="M274" s="9"/>
      <c r="N274" s="9"/>
      <c r="O274" s="9"/>
      <c r="P274" s="9"/>
      <c r="Q274" s="9"/>
      <c r="R274" s="9"/>
      <c r="S274" s="9"/>
      <c r="T274" s="9"/>
      <c r="U274" s="9"/>
      <c r="V274" s="9"/>
      <c r="W274" s="9"/>
      <c r="X274" s="9"/>
      <c r="Y274" s="9"/>
      <c r="Z274" s="9"/>
      <c r="AA274" s="9"/>
      <c r="AB274" s="9"/>
      <c r="AC274" s="9"/>
      <c r="AD274" s="9"/>
      <c r="AE274" s="9"/>
      <c r="AF274" s="9"/>
      <c r="AG274" s="9"/>
      <c r="AH274" s="9"/>
      <c r="AI274" s="9"/>
      <c r="AJ274" s="9"/>
      <c r="AK274" s="9"/>
      <c r="AL274" s="9"/>
      <c r="AM274" s="9"/>
      <c r="AN274" s="10"/>
      <c r="AO274" s="65">
        <f t="shared" si="9"/>
        <v>0</v>
      </c>
    </row>
    <row r="275" spans="2:41" s="4" customFormat="1" ht="24" customHeight="1" x14ac:dyDescent="0.2">
      <c r="B275" s="14"/>
      <c r="C275" s="23"/>
      <c r="D275" s="21" t="str">
        <f>IF(ISBLANK(C275), "",
_xlfn.WEBSERVICE(
"https://d16nxf5gxyt1xz.cloudfront.net/Prod/translation?id="
&amp;アカウント情報!$C$2&amp;
"&amp;pwd="
&amp;アカウント情報!$C$3&amp;
"&amp;item="
&amp;_xlfn.ENCODEURL(設定!$F$3)&amp;
"&amp;word="
&amp;_xlfn.ENCODEURL(C275)
)
)</f>
        <v/>
      </c>
      <c r="E275" s="6"/>
      <c r="F275" s="16" t="str">
        <f>IFERROR(VLOOKUP($E275,設定!$C:$F,2,0),"")</f>
        <v/>
      </c>
      <c r="G275" s="156" t="str">
        <f>IFERROR(VLOOKUP($E275,設定!$C:$F,3,0),"")</f>
        <v/>
      </c>
      <c r="H275" s="131" t="str">
        <f>IFERROR(VLOOKUP($E275,設定!$C:$F,4,0),"")</f>
        <v/>
      </c>
      <c r="I275" s="402"/>
      <c r="J275" s="8"/>
      <c r="K275" s="9"/>
      <c r="L275" s="9"/>
      <c r="M275" s="9"/>
      <c r="N275" s="9"/>
      <c r="O275" s="9"/>
      <c r="P275" s="9"/>
      <c r="Q275" s="9"/>
      <c r="R275" s="9"/>
      <c r="S275" s="9"/>
      <c r="T275" s="9"/>
      <c r="U275" s="9"/>
      <c r="V275" s="9"/>
      <c r="W275" s="9"/>
      <c r="X275" s="9"/>
      <c r="Y275" s="9"/>
      <c r="Z275" s="9"/>
      <c r="AA275" s="9"/>
      <c r="AB275" s="9"/>
      <c r="AC275" s="9"/>
      <c r="AD275" s="9"/>
      <c r="AE275" s="9"/>
      <c r="AF275" s="9"/>
      <c r="AG275" s="9"/>
      <c r="AH275" s="9"/>
      <c r="AI275" s="9"/>
      <c r="AJ275" s="9"/>
      <c r="AK275" s="9"/>
      <c r="AL275" s="9"/>
      <c r="AM275" s="9"/>
      <c r="AN275" s="10"/>
      <c r="AO275" s="65">
        <f t="shared" si="9"/>
        <v>0</v>
      </c>
    </row>
    <row r="276" spans="2:41" s="4" customFormat="1" ht="24" customHeight="1" x14ac:dyDescent="0.2">
      <c r="B276" s="14"/>
      <c r="C276" s="23"/>
      <c r="D276" s="21" t="str">
        <f>IF(ISBLANK(C276), "",
_xlfn.WEBSERVICE(
"https://d16nxf5gxyt1xz.cloudfront.net/Prod/translation?id="
&amp;アカウント情報!$C$2&amp;
"&amp;pwd="
&amp;アカウント情報!$C$3&amp;
"&amp;item="
&amp;_xlfn.ENCODEURL(設定!$F$3)&amp;
"&amp;word="
&amp;_xlfn.ENCODEURL(C276)
)
)</f>
        <v/>
      </c>
      <c r="E276" s="6"/>
      <c r="F276" s="16" t="str">
        <f>IFERROR(VLOOKUP($E276,設定!$C:$F,2,0),"")</f>
        <v/>
      </c>
      <c r="G276" s="156" t="str">
        <f>IFERROR(VLOOKUP($E276,設定!$C:$F,3,0),"")</f>
        <v/>
      </c>
      <c r="H276" s="131" t="str">
        <f>IFERROR(VLOOKUP($E276,設定!$C:$F,4,0),"")</f>
        <v/>
      </c>
      <c r="I276" s="402"/>
      <c r="J276" s="8"/>
      <c r="K276" s="9"/>
      <c r="L276" s="9"/>
      <c r="M276" s="9"/>
      <c r="N276" s="9"/>
      <c r="O276" s="9"/>
      <c r="P276" s="9"/>
      <c r="Q276" s="9"/>
      <c r="R276" s="9"/>
      <c r="S276" s="9"/>
      <c r="T276" s="9"/>
      <c r="U276" s="9"/>
      <c r="V276" s="9"/>
      <c r="W276" s="9"/>
      <c r="X276" s="9"/>
      <c r="Y276" s="9"/>
      <c r="Z276" s="9"/>
      <c r="AA276" s="9"/>
      <c r="AB276" s="9"/>
      <c r="AC276" s="9"/>
      <c r="AD276" s="9"/>
      <c r="AE276" s="9"/>
      <c r="AF276" s="9"/>
      <c r="AG276" s="9"/>
      <c r="AH276" s="9"/>
      <c r="AI276" s="9"/>
      <c r="AJ276" s="9"/>
      <c r="AK276" s="9"/>
      <c r="AL276" s="9"/>
      <c r="AM276" s="9"/>
      <c r="AN276" s="10"/>
      <c r="AO276" s="65">
        <f t="shared" si="9"/>
        <v>0</v>
      </c>
    </row>
    <row r="277" spans="2:41" s="4" customFormat="1" ht="24" customHeight="1" x14ac:dyDescent="0.2">
      <c r="B277" s="14"/>
      <c r="C277" s="23"/>
      <c r="D277" s="21" t="str">
        <f>IF(ISBLANK(C277), "",
_xlfn.WEBSERVICE(
"https://d16nxf5gxyt1xz.cloudfront.net/Prod/translation?id="
&amp;アカウント情報!$C$2&amp;
"&amp;pwd="
&amp;アカウント情報!$C$3&amp;
"&amp;item="
&amp;_xlfn.ENCODEURL(設定!$F$3)&amp;
"&amp;word="
&amp;_xlfn.ENCODEURL(C277)
)
)</f>
        <v/>
      </c>
      <c r="E277" s="6"/>
      <c r="F277" s="16" t="str">
        <f>IFERROR(VLOOKUP($E277,設定!$C:$F,2,0),"")</f>
        <v/>
      </c>
      <c r="G277" s="156" t="str">
        <f>IFERROR(VLOOKUP($E277,設定!$C:$F,3,0),"")</f>
        <v/>
      </c>
      <c r="H277" s="131" t="str">
        <f>IFERROR(VLOOKUP($E277,設定!$C:$F,4,0),"")</f>
        <v/>
      </c>
      <c r="I277" s="402"/>
      <c r="J277" s="8"/>
      <c r="K277" s="9"/>
      <c r="L277" s="9"/>
      <c r="M277" s="9"/>
      <c r="N277" s="9"/>
      <c r="O277" s="9"/>
      <c r="P277" s="9"/>
      <c r="Q277" s="9"/>
      <c r="R277" s="9"/>
      <c r="S277" s="9"/>
      <c r="T277" s="9"/>
      <c r="U277" s="9"/>
      <c r="V277" s="9"/>
      <c r="W277" s="9"/>
      <c r="X277" s="9"/>
      <c r="Y277" s="9"/>
      <c r="Z277" s="9"/>
      <c r="AA277" s="9"/>
      <c r="AB277" s="9"/>
      <c r="AC277" s="9"/>
      <c r="AD277" s="9"/>
      <c r="AE277" s="9"/>
      <c r="AF277" s="9"/>
      <c r="AG277" s="9"/>
      <c r="AH277" s="9"/>
      <c r="AI277" s="9"/>
      <c r="AJ277" s="9"/>
      <c r="AK277" s="9"/>
      <c r="AL277" s="9"/>
      <c r="AM277" s="9"/>
      <c r="AN277" s="10"/>
      <c r="AO277" s="65">
        <f t="shared" si="9"/>
        <v>0</v>
      </c>
    </row>
    <row r="278" spans="2:41" s="4" customFormat="1" ht="24" customHeight="1" x14ac:dyDescent="0.2">
      <c r="B278" s="14"/>
      <c r="C278" s="23"/>
      <c r="D278" s="21" t="str">
        <f>IF(ISBLANK(C278), "",
_xlfn.WEBSERVICE(
"https://d16nxf5gxyt1xz.cloudfront.net/Prod/translation?id="
&amp;アカウント情報!$C$2&amp;
"&amp;pwd="
&amp;アカウント情報!$C$3&amp;
"&amp;item="
&amp;_xlfn.ENCODEURL(設定!$F$3)&amp;
"&amp;word="
&amp;_xlfn.ENCODEURL(C278)
)
)</f>
        <v/>
      </c>
      <c r="E278" s="6"/>
      <c r="F278" s="16" t="str">
        <f>IFERROR(VLOOKUP($E278,設定!$C:$F,2,0),"")</f>
        <v/>
      </c>
      <c r="G278" s="156" t="str">
        <f>IFERROR(VLOOKUP($E278,設定!$C:$F,3,0),"")</f>
        <v/>
      </c>
      <c r="H278" s="131" t="str">
        <f>IFERROR(VLOOKUP($E278,設定!$C:$F,4,0),"")</f>
        <v/>
      </c>
      <c r="I278" s="402"/>
      <c r="J278" s="8"/>
      <c r="K278" s="9"/>
      <c r="L278" s="9"/>
      <c r="M278" s="9"/>
      <c r="N278" s="9"/>
      <c r="O278" s="9"/>
      <c r="P278" s="9"/>
      <c r="Q278" s="9"/>
      <c r="R278" s="9"/>
      <c r="S278" s="9"/>
      <c r="T278" s="9"/>
      <c r="U278" s="9"/>
      <c r="V278" s="9"/>
      <c r="W278" s="9"/>
      <c r="X278" s="9"/>
      <c r="Y278" s="9"/>
      <c r="Z278" s="9"/>
      <c r="AA278" s="9"/>
      <c r="AB278" s="9"/>
      <c r="AC278" s="9"/>
      <c r="AD278" s="9"/>
      <c r="AE278" s="9"/>
      <c r="AF278" s="9"/>
      <c r="AG278" s="9"/>
      <c r="AH278" s="9"/>
      <c r="AI278" s="9"/>
      <c r="AJ278" s="9"/>
      <c r="AK278" s="9"/>
      <c r="AL278" s="9"/>
      <c r="AM278" s="9"/>
      <c r="AN278" s="10"/>
      <c r="AO278" s="65">
        <f t="shared" si="9"/>
        <v>0</v>
      </c>
    </row>
    <row r="279" spans="2:41" s="4" customFormat="1" ht="24" customHeight="1" x14ac:dyDescent="0.2">
      <c r="B279" s="14"/>
      <c r="C279" s="23"/>
      <c r="D279" s="21" t="str">
        <f>IF(ISBLANK(C279), "",
_xlfn.WEBSERVICE(
"https://d16nxf5gxyt1xz.cloudfront.net/Prod/translation?id="
&amp;アカウント情報!$C$2&amp;
"&amp;pwd="
&amp;アカウント情報!$C$3&amp;
"&amp;item="
&amp;_xlfn.ENCODEURL(設定!$F$3)&amp;
"&amp;word="
&amp;_xlfn.ENCODEURL(C279)
)
)</f>
        <v/>
      </c>
      <c r="E279" s="6"/>
      <c r="F279" s="16" t="str">
        <f>IFERROR(VLOOKUP($E279,設定!$C:$F,2,0),"")</f>
        <v/>
      </c>
      <c r="G279" s="156" t="str">
        <f>IFERROR(VLOOKUP($E279,設定!$C:$F,3,0),"")</f>
        <v/>
      </c>
      <c r="H279" s="131" t="str">
        <f>IFERROR(VLOOKUP($E279,設定!$C:$F,4,0),"")</f>
        <v/>
      </c>
      <c r="I279" s="402"/>
      <c r="J279" s="8"/>
      <c r="K279" s="9"/>
      <c r="L279" s="9"/>
      <c r="M279" s="9"/>
      <c r="N279" s="9"/>
      <c r="O279" s="9"/>
      <c r="P279" s="9"/>
      <c r="Q279" s="9"/>
      <c r="R279" s="9"/>
      <c r="S279" s="9"/>
      <c r="T279" s="9"/>
      <c r="U279" s="9"/>
      <c r="V279" s="9"/>
      <c r="W279" s="9"/>
      <c r="X279" s="9"/>
      <c r="Y279" s="9"/>
      <c r="Z279" s="9"/>
      <c r="AA279" s="9"/>
      <c r="AB279" s="9"/>
      <c r="AC279" s="9"/>
      <c r="AD279" s="9"/>
      <c r="AE279" s="9"/>
      <c r="AF279" s="9"/>
      <c r="AG279" s="9"/>
      <c r="AH279" s="9"/>
      <c r="AI279" s="9"/>
      <c r="AJ279" s="9"/>
      <c r="AK279" s="9"/>
      <c r="AL279" s="9"/>
      <c r="AM279" s="9"/>
      <c r="AN279" s="10"/>
      <c r="AO279" s="65">
        <f t="shared" si="9"/>
        <v>0</v>
      </c>
    </row>
    <row r="280" spans="2:41" s="4" customFormat="1" ht="24" customHeight="1" x14ac:dyDescent="0.2">
      <c r="B280" s="14"/>
      <c r="C280" s="23"/>
      <c r="D280" s="21" t="str">
        <f>IF(ISBLANK(C280), "",
_xlfn.WEBSERVICE(
"https://d16nxf5gxyt1xz.cloudfront.net/Prod/translation?id="
&amp;アカウント情報!$C$2&amp;
"&amp;pwd="
&amp;アカウント情報!$C$3&amp;
"&amp;item="
&amp;_xlfn.ENCODEURL(設定!$F$3)&amp;
"&amp;word="
&amp;_xlfn.ENCODEURL(C280)
)
)</f>
        <v/>
      </c>
      <c r="E280" s="6"/>
      <c r="F280" s="16" t="str">
        <f>IFERROR(VLOOKUP($E280,設定!$C:$F,2,0),"")</f>
        <v/>
      </c>
      <c r="G280" s="156" t="str">
        <f>IFERROR(VLOOKUP($E280,設定!$C:$F,3,0),"")</f>
        <v/>
      </c>
      <c r="H280" s="131" t="str">
        <f>IFERROR(VLOOKUP($E280,設定!$C:$F,4,0),"")</f>
        <v/>
      </c>
      <c r="I280" s="402"/>
      <c r="J280" s="8"/>
      <c r="K280" s="9"/>
      <c r="L280" s="9"/>
      <c r="M280" s="9"/>
      <c r="N280" s="9"/>
      <c r="O280" s="9"/>
      <c r="P280" s="9"/>
      <c r="Q280" s="9"/>
      <c r="R280" s="9"/>
      <c r="S280" s="9"/>
      <c r="T280" s="9"/>
      <c r="U280" s="9"/>
      <c r="V280" s="9"/>
      <c r="W280" s="9"/>
      <c r="X280" s="9"/>
      <c r="Y280" s="9"/>
      <c r="Z280" s="9"/>
      <c r="AA280" s="9"/>
      <c r="AB280" s="9"/>
      <c r="AC280" s="9"/>
      <c r="AD280" s="9"/>
      <c r="AE280" s="9"/>
      <c r="AF280" s="9"/>
      <c r="AG280" s="9"/>
      <c r="AH280" s="9"/>
      <c r="AI280" s="9"/>
      <c r="AJ280" s="9"/>
      <c r="AK280" s="9"/>
      <c r="AL280" s="9"/>
      <c r="AM280" s="9"/>
      <c r="AN280" s="10"/>
      <c r="AO280" s="65">
        <f t="shared" si="9"/>
        <v>0</v>
      </c>
    </row>
    <row r="281" spans="2:41" s="4" customFormat="1" ht="24" customHeight="1" x14ac:dyDescent="0.2">
      <c r="B281" s="14"/>
      <c r="C281" s="23"/>
      <c r="D281" s="21" t="str">
        <f>IF(ISBLANK(C281), "",
_xlfn.WEBSERVICE(
"https://d16nxf5gxyt1xz.cloudfront.net/Prod/translation?id="
&amp;アカウント情報!$C$2&amp;
"&amp;pwd="
&amp;アカウント情報!$C$3&amp;
"&amp;item="
&amp;_xlfn.ENCODEURL(設定!$F$3)&amp;
"&amp;word="
&amp;_xlfn.ENCODEURL(C281)
)
)</f>
        <v/>
      </c>
      <c r="E281" s="6"/>
      <c r="F281" s="16" t="str">
        <f>IFERROR(VLOOKUP($E281,設定!$C:$F,2,0),"")</f>
        <v/>
      </c>
      <c r="G281" s="156" t="str">
        <f>IFERROR(VLOOKUP($E281,設定!$C:$F,3,0),"")</f>
        <v/>
      </c>
      <c r="H281" s="131" t="str">
        <f>IFERROR(VLOOKUP($E281,設定!$C:$F,4,0),"")</f>
        <v/>
      </c>
      <c r="I281" s="402"/>
      <c r="J281" s="8"/>
      <c r="K281" s="9"/>
      <c r="L281" s="9"/>
      <c r="M281" s="9"/>
      <c r="N281" s="9"/>
      <c r="O281" s="9"/>
      <c r="P281" s="9"/>
      <c r="Q281" s="9"/>
      <c r="R281" s="9"/>
      <c r="S281" s="9"/>
      <c r="T281" s="9"/>
      <c r="U281" s="9"/>
      <c r="V281" s="9"/>
      <c r="W281" s="9"/>
      <c r="X281" s="9"/>
      <c r="Y281" s="9"/>
      <c r="Z281" s="9"/>
      <c r="AA281" s="9"/>
      <c r="AB281" s="9"/>
      <c r="AC281" s="9"/>
      <c r="AD281" s="9"/>
      <c r="AE281" s="9"/>
      <c r="AF281" s="9"/>
      <c r="AG281" s="9"/>
      <c r="AH281" s="9"/>
      <c r="AI281" s="9"/>
      <c r="AJ281" s="9"/>
      <c r="AK281" s="9"/>
      <c r="AL281" s="9"/>
      <c r="AM281" s="9"/>
      <c r="AN281" s="10"/>
      <c r="AO281" s="65">
        <f t="shared" si="9"/>
        <v>0</v>
      </c>
    </row>
    <row r="282" spans="2:41" s="4" customFormat="1" ht="24" customHeight="1" x14ac:dyDescent="0.2">
      <c r="B282" s="14"/>
      <c r="C282" s="23"/>
      <c r="D282" s="21" t="str">
        <f>IF(ISBLANK(C282), "",
_xlfn.WEBSERVICE(
"https://d16nxf5gxyt1xz.cloudfront.net/Prod/translation?id="
&amp;アカウント情報!$C$2&amp;
"&amp;pwd="
&amp;アカウント情報!$C$3&amp;
"&amp;item="
&amp;_xlfn.ENCODEURL(設定!$F$3)&amp;
"&amp;word="
&amp;_xlfn.ENCODEURL(C282)
)
)</f>
        <v/>
      </c>
      <c r="E282" s="6"/>
      <c r="F282" s="16" t="str">
        <f>IFERROR(VLOOKUP($E282,設定!$C:$F,2,0),"")</f>
        <v/>
      </c>
      <c r="G282" s="156" t="str">
        <f>IFERROR(VLOOKUP($E282,設定!$C:$F,3,0),"")</f>
        <v/>
      </c>
      <c r="H282" s="131" t="str">
        <f>IFERROR(VLOOKUP($E282,設定!$C:$F,4,0),"")</f>
        <v/>
      </c>
      <c r="I282" s="402"/>
      <c r="J282" s="8"/>
      <c r="K282" s="9"/>
      <c r="L282" s="9"/>
      <c r="M282" s="9"/>
      <c r="N282" s="9"/>
      <c r="O282" s="9"/>
      <c r="P282" s="9"/>
      <c r="Q282" s="9"/>
      <c r="R282" s="9"/>
      <c r="S282" s="9"/>
      <c r="T282" s="9"/>
      <c r="U282" s="9"/>
      <c r="V282" s="9"/>
      <c r="W282" s="9"/>
      <c r="X282" s="9"/>
      <c r="Y282" s="9"/>
      <c r="Z282" s="9"/>
      <c r="AA282" s="9"/>
      <c r="AB282" s="9"/>
      <c r="AC282" s="9"/>
      <c r="AD282" s="9"/>
      <c r="AE282" s="9"/>
      <c r="AF282" s="9"/>
      <c r="AG282" s="9"/>
      <c r="AH282" s="9"/>
      <c r="AI282" s="9"/>
      <c r="AJ282" s="9"/>
      <c r="AK282" s="9"/>
      <c r="AL282" s="9"/>
      <c r="AM282" s="9"/>
      <c r="AN282" s="10"/>
      <c r="AO282" s="65">
        <f t="shared" si="9"/>
        <v>0</v>
      </c>
    </row>
    <row r="283" spans="2:41" s="4" customFormat="1" ht="24" customHeight="1" x14ac:dyDescent="0.2">
      <c r="B283" s="14"/>
      <c r="C283" s="23"/>
      <c r="D283" s="21" t="str">
        <f>IF(ISBLANK(C283), "",
_xlfn.WEBSERVICE(
"https://d16nxf5gxyt1xz.cloudfront.net/Prod/translation?id="
&amp;アカウント情報!$C$2&amp;
"&amp;pwd="
&amp;アカウント情報!$C$3&amp;
"&amp;item="
&amp;_xlfn.ENCODEURL(設定!$F$3)&amp;
"&amp;word="
&amp;_xlfn.ENCODEURL(C283)
)
)</f>
        <v/>
      </c>
      <c r="E283" s="6"/>
      <c r="F283" s="16" t="str">
        <f>IFERROR(VLOOKUP($E283,設定!$C:$F,2,0),"")</f>
        <v/>
      </c>
      <c r="G283" s="156" t="str">
        <f>IFERROR(VLOOKUP($E283,設定!$C:$F,3,0),"")</f>
        <v/>
      </c>
      <c r="H283" s="131" t="str">
        <f>IFERROR(VLOOKUP($E283,設定!$C:$F,4,0),"")</f>
        <v/>
      </c>
      <c r="I283" s="402"/>
      <c r="J283" s="8"/>
      <c r="K283" s="9"/>
      <c r="L283" s="9"/>
      <c r="M283" s="9"/>
      <c r="N283" s="9"/>
      <c r="O283" s="9"/>
      <c r="P283" s="9"/>
      <c r="Q283" s="9"/>
      <c r="R283" s="9"/>
      <c r="S283" s="9"/>
      <c r="T283" s="9"/>
      <c r="U283" s="9"/>
      <c r="V283" s="9"/>
      <c r="W283" s="9"/>
      <c r="X283" s="9"/>
      <c r="Y283" s="9"/>
      <c r="Z283" s="9"/>
      <c r="AA283" s="9"/>
      <c r="AB283" s="9"/>
      <c r="AC283" s="9"/>
      <c r="AD283" s="9"/>
      <c r="AE283" s="9"/>
      <c r="AF283" s="9"/>
      <c r="AG283" s="9"/>
      <c r="AH283" s="9"/>
      <c r="AI283" s="9"/>
      <c r="AJ283" s="9"/>
      <c r="AK283" s="9"/>
      <c r="AL283" s="9"/>
      <c r="AM283" s="9"/>
      <c r="AN283" s="10"/>
      <c r="AO283" s="65">
        <f t="shared" si="9"/>
        <v>0</v>
      </c>
    </row>
    <row r="284" spans="2:41" s="4" customFormat="1" ht="24" customHeight="1" x14ac:dyDescent="0.2">
      <c r="B284" s="14"/>
      <c r="C284" s="23"/>
      <c r="D284" s="21" t="str">
        <f>IF(ISBLANK(C284), "",
_xlfn.WEBSERVICE(
"https://d16nxf5gxyt1xz.cloudfront.net/Prod/translation?id="
&amp;アカウント情報!$C$2&amp;
"&amp;pwd="
&amp;アカウント情報!$C$3&amp;
"&amp;item="
&amp;_xlfn.ENCODEURL(設定!$F$3)&amp;
"&amp;word="
&amp;_xlfn.ENCODEURL(C284)
)
)</f>
        <v/>
      </c>
      <c r="E284" s="6"/>
      <c r="F284" s="16" t="str">
        <f>IFERROR(VLOOKUP($E284,設定!$C:$F,2,0),"")</f>
        <v/>
      </c>
      <c r="G284" s="156" t="str">
        <f>IFERROR(VLOOKUP($E284,設定!$C:$F,3,0),"")</f>
        <v/>
      </c>
      <c r="H284" s="131" t="str">
        <f>IFERROR(VLOOKUP($E284,設定!$C:$F,4,0),"")</f>
        <v/>
      </c>
      <c r="I284" s="402"/>
      <c r="J284" s="8"/>
      <c r="K284" s="9"/>
      <c r="L284" s="9"/>
      <c r="M284" s="9"/>
      <c r="N284" s="9"/>
      <c r="O284" s="9"/>
      <c r="P284" s="9"/>
      <c r="Q284" s="9"/>
      <c r="R284" s="9"/>
      <c r="S284" s="9"/>
      <c r="T284" s="9"/>
      <c r="U284" s="9"/>
      <c r="V284" s="9"/>
      <c r="W284" s="9"/>
      <c r="X284" s="9"/>
      <c r="Y284" s="9"/>
      <c r="Z284" s="9"/>
      <c r="AA284" s="9"/>
      <c r="AB284" s="9"/>
      <c r="AC284" s="9"/>
      <c r="AD284" s="9"/>
      <c r="AE284" s="9"/>
      <c r="AF284" s="9"/>
      <c r="AG284" s="9"/>
      <c r="AH284" s="9"/>
      <c r="AI284" s="9"/>
      <c r="AJ284" s="9"/>
      <c r="AK284" s="9"/>
      <c r="AL284" s="9"/>
      <c r="AM284" s="9"/>
      <c r="AN284" s="10"/>
      <c r="AO284" s="65">
        <f t="shared" si="9"/>
        <v>0</v>
      </c>
    </row>
    <row r="285" spans="2:41" s="4" customFormat="1" ht="24" customHeight="1" x14ac:dyDescent="0.2">
      <c r="B285" s="14"/>
      <c r="C285" s="23"/>
      <c r="D285" s="21" t="str">
        <f>IF(ISBLANK(C285), "",
_xlfn.WEBSERVICE(
"https://d16nxf5gxyt1xz.cloudfront.net/Prod/translation?id="
&amp;アカウント情報!$C$2&amp;
"&amp;pwd="
&amp;アカウント情報!$C$3&amp;
"&amp;item="
&amp;_xlfn.ENCODEURL(設定!$F$3)&amp;
"&amp;word="
&amp;_xlfn.ENCODEURL(C285)
)
)</f>
        <v/>
      </c>
      <c r="E285" s="6"/>
      <c r="F285" s="16" t="str">
        <f>IFERROR(VLOOKUP($E285,設定!$C:$F,2,0),"")</f>
        <v/>
      </c>
      <c r="G285" s="156" t="str">
        <f>IFERROR(VLOOKUP($E285,設定!$C:$F,3,0),"")</f>
        <v/>
      </c>
      <c r="H285" s="131" t="str">
        <f>IFERROR(VLOOKUP($E285,設定!$C:$F,4,0),"")</f>
        <v/>
      </c>
      <c r="I285" s="402"/>
      <c r="J285" s="8"/>
      <c r="K285" s="9"/>
      <c r="L285" s="9"/>
      <c r="M285" s="9"/>
      <c r="N285" s="9"/>
      <c r="O285" s="9"/>
      <c r="P285" s="9"/>
      <c r="Q285" s="9"/>
      <c r="R285" s="9"/>
      <c r="S285" s="9"/>
      <c r="T285" s="9"/>
      <c r="U285" s="9"/>
      <c r="V285" s="9"/>
      <c r="W285" s="9"/>
      <c r="X285" s="9"/>
      <c r="Y285" s="9"/>
      <c r="Z285" s="9"/>
      <c r="AA285" s="9"/>
      <c r="AB285" s="9"/>
      <c r="AC285" s="9"/>
      <c r="AD285" s="9"/>
      <c r="AE285" s="9"/>
      <c r="AF285" s="9"/>
      <c r="AG285" s="9"/>
      <c r="AH285" s="9"/>
      <c r="AI285" s="9"/>
      <c r="AJ285" s="9"/>
      <c r="AK285" s="9"/>
      <c r="AL285" s="9"/>
      <c r="AM285" s="9"/>
      <c r="AN285" s="10"/>
      <c r="AO285" s="65">
        <f t="shared" si="9"/>
        <v>0</v>
      </c>
    </row>
    <row r="286" spans="2:41" s="4" customFormat="1" ht="24" customHeight="1" x14ac:dyDescent="0.2">
      <c r="B286" s="14"/>
      <c r="C286" s="23"/>
      <c r="D286" s="21" t="str">
        <f>IF(ISBLANK(C286), "",
_xlfn.WEBSERVICE(
"https://d16nxf5gxyt1xz.cloudfront.net/Prod/translation?id="
&amp;アカウント情報!$C$2&amp;
"&amp;pwd="
&amp;アカウント情報!$C$3&amp;
"&amp;item="
&amp;_xlfn.ENCODEURL(設定!$F$3)&amp;
"&amp;word="
&amp;_xlfn.ENCODEURL(C286)
)
)</f>
        <v/>
      </c>
      <c r="E286" s="6"/>
      <c r="F286" s="16" t="str">
        <f>IFERROR(VLOOKUP($E286,設定!$C:$F,2,0),"")</f>
        <v/>
      </c>
      <c r="G286" s="156" t="str">
        <f>IFERROR(VLOOKUP($E286,設定!$C:$F,3,0),"")</f>
        <v/>
      </c>
      <c r="H286" s="131" t="str">
        <f>IFERROR(VLOOKUP($E286,設定!$C:$F,4,0),"")</f>
        <v/>
      </c>
      <c r="I286" s="402"/>
      <c r="J286" s="8"/>
      <c r="K286" s="9"/>
      <c r="L286" s="9"/>
      <c r="M286" s="9"/>
      <c r="N286" s="9"/>
      <c r="O286" s="9"/>
      <c r="P286" s="9"/>
      <c r="Q286" s="9"/>
      <c r="R286" s="9"/>
      <c r="S286" s="9"/>
      <c r="T286" s="9"/>
      <c r="U286" s="9"/>
      <c r="V286" s="9"/>
      <c r="W286" s="9"/>
      <c r="X286" s="9"/>
      <c r="Y286" s="9"/>
      <c r="Z286" s="9"/>
      <c r="AA286" s="9"/>
      <c r="AB286" s="9"/>
      <c r="AC286" s="9"/>
      <c r="AD286" s="9"/>
      <c r="AE286" s="9"/>
      <c r="AF286" s="9"/>
      <c r="AG286" s="9"/>
      <c r="AH286" s="9"/>
      <c r="AI286" s="9"/>
      <c r="AJ286" s="9"/>
      <c r="AK286" s="9"/>
      <c r="AL286" s="9"/>
      <c r="AM286" s="9"/>
      <c r="AN286" s="10"/>
      <c r="AO286" s="65">
        <f t="shared" si="9"/>
        <v>0</v>
      </c>
    </row>
    <row r="287" spans="2:41" s="4" customFormat="1" ht="24" customHeight="1" x14ac:dyDescent="0.2">
      <c r="B287" s="14"/>
      <c r="C287" s="23"/>
      <c r="D287" s="21" t="str">
        <f>IF(ISBLANK(C287), "",
_xlfn.WEBSERVICE(
"https://d16nxf5gxyt1xz.cloudfront.net/Prod/translation?id="
&amp;アカウント情報!$C$2&amp;
"&amp;pwd="
&amp;アカウント情報!$C$3&amp;
"&amp;item="
&amp;_xlfn.ENCODEURL(設定!$F$3)&amp;
"&amp;word="
&amp;_xlfn.ENCODEURL(C287)
)
)</f>
        <v/>
      </c>
      <c r="E287" s="6"/>
      <c r="F287" s="16" t="str">
        <f>IFERROR(VLOOKUP($E287,設定!$C:$F,2,0),"")</f>
        <v/>
      </c>
      <c r="G287" s="156" t="str">
        <f>IFERROR(VLOOKUP($E287,設定!$C:$F,3,0),"")</f>
        <v/>
      </c>
      <c r="H287" s="131" t="str">
        <f>IFERROR(VLOOKUP($E287,設定!$C:$F,4,0),"")</f>
        <v/>
      </c>
      <c r="I287" s="402"/>
      <c r="J287" s="8"/>
      <c r="K287" s="9"/>
      <c r="L287" s="9"/>
      <c r="M287" s="9"/>
      <c r="N287" s="9"/>
      <c r="O287" s="9"/>
      <c r="P287" s="9"/>
      <c r="Q287" s="9"/>
      <c r="R287" s="9"/>
      <c r="S287" s="9"/>
      <c r="T287" s="9"/>
      <c r="U287" s="9"/>
      <c r="V287" s="9"/>
      <c r="W287" s="9"/>
      <c r="X287" s="9"/>
      <c r="Y287" s="9"/>
      <c r="Z287" s="9"/>
      <c r="AA287" s="9"/>
      <c r="AB287" s="9"/>
      <c r="AC287" s="9"/>
      <c r="AD287" s="9"/>
      <c r="AE287" s="9"/>
      <c r="AF287" s="9"/>
      <c r="AG287" s="9"/>
      <c r="AH287" s="9"/>
      <c r="AI287" s="9"/>
      <c r="AJ287" s="9"/>
      <c r="AK287" s="9"/>
      <c r="AL287" s="9"/>
      <c r="AM287" s="9"/>
      <c r="AN287" s="10"/>
      <c r="AO287" s="65">
        <f t="shared" si="9"/>
        <v>0</v>
      </c>
    </row>
    <row r="288" spans="2:41" s="4" customFormat="1" ht="24" customHeight="1" x14ac:dyDescent="0.2">
      <c r="B288" s="14"/>
      <c r="C288" s="23"/>
      <c r="D288" s="21" t="str">
        <f>IF(ISBLANK(C288), "",
_xlfn.WEBSERVICE(
"https://d16nxf5gxyt1xz.cloudfront.net/Prod/translation?id="
&amp;アカウント情報!$C$2&amp;
"&amp;pwd="
&amp;アカウント情報!$C$3&amp;
"&amp;item="
&amp;_xlfn.ENCODEURL(設定!$F$3)&amp;
"&amp;word="
&amp;_xlfn.ENCODEURL(C288)
)
)</f>
        <v/>
      </c>
      <c r="E288" s="6"/>
      <c r="F288" s="16" t="str">
        <f>IFERROR(VLOOKUP($E288,設定!$C:$F,2,0),"")</f>
        <v/>
      </c>
      <c r="G288" s="156" t="str">
        <f>IFERROR(VLOOKUP($E288,設定!$C:$F,3,0),"")</f>
        <v/>
      </c>
      <c r="H288" s="131" t="str">
        <f>IFERROR(VLOOKUP($E288,設定!$C:$F,4,0),"")</f>
        <v/>
      </c>
      <c r="I288" s="402"/>
      <c r="J288" s="8"/>
      <c r="K288" s="9"/>
      <c r="L288" s="9"/>
      <c r="M288" s="9"/>
      <c r="N288" s="9"/>
      <c r="O288" s="9"/>
      <c r="P288" s="9"/>
      <c r="Q288" s="9"/>
      <c r="R288" s="9"/>
      <c r="S288" s="9"/>
      <c r="T288" s="9"/>
      <c r="U288" s="9"/>
      <c r="V288" s="9"/>
      <c r="W288" s="9"/>
      <c r="X288" s="9"/>
      <c r="Y288" s="9"/>
      <c r="Z288" s="9"/>
      <c r="AA288" s="9"/>
      <c r="AB288" s="9"/>
      <c r="AC288" s="9"/>
      <c r="AD288" s="9"/>
      <c r="AE288" s="9"/>
      <c r="AF288" s="9"/>
      <c r="AG288" s="9"/>
      <c r="AH288" s="9"/>
      <c r="AI288" s="9"/>
      <c r="AJ288" s="9"/>
      <c r="AK288" s="9"/>
      <c r="AL288" s="9"/>
      <c r="AM288" s="9"/>
      <c r="AN288" s="10"/>
      <c r="AO288" s="65">
        <f t="shared" si="9"/>
        <v>0</v>
      </c>
    </row>
    <row r="289" spans="2:41" s="4" customFormat="1" ht="24" customHeight="1" x14ac:dyDescent="0.2">
      <c r="B289" s="14"/>
      <c r="C289" s="23"/>
      <c r="D289" s="21" t="str">
        <f>IF(ISBLANK(C289), "",
_xlfn.WEBSERVICE(
"https://d16nxf5gxyt1xz.cloudfront.net/Prod/translation?id="
&amp;アカウント情報!$C$2&amp;
"&amp;pwd="
&amp;アカウント情報!$C$3&amp;
"&amp;item="
&amp;_xlfn.ENCODEURL(設定!$F$3)&amp;
"&amp;word="
&amp;_xlfn.ENCODEURL(C289)
)
)</f>
        <v/>
      </c>
      <c r="E289" s="6"/>
      <c r="F289" s="16" t="str">
        <f>IFERROR(VLOOKUP($E289,設定!$C:$F,2,0),"")</f>
        <v/>
      </c>
      <c r="G289" s="156" t="str">
        <f>IFERROR(VLOOKUP($E289,設定!$C:$F,3,0),"")</f>
        <v/>
      </c>
      <c r="H289" s="131" t="str">
        <f>IFERROR(VLOOKUP($E289,設定!$C:$F,4,0),"")</f>
        <v/>
      </c>
      <c r="I289" s="402"/>
      <c r="J289" s="8"/>
      <c r="K289" s="9"/>
      <c r="L289" s="9"/>
      <c r="M289" s="9"/>
      <c r="N289" s="9"/>
      <c r="O289" s="9"/>
      <c r="P289" s="9"/>
      <c r="Q289" s="9"/>
      <c r="R289" s="9"/>
      <c r="S289" s="9"/>
      <c r="T289" s="9"/>
      <c r="U289" s="9"/>
      <c r="V289" s="9"/>
      <c r="W289" s="9"/>
      <c r="X289" s="9"/>
      <c r="Y289" s="9"/>
      <c r="Z289" s="9"/>
      <c r="AA289" s="9"/>
      <c r="AB289" s="9"/>
      <c r="AC289" s="9"/>
      <c r="AD289" s="9"/>
      <c r="AE289" s="9"/>
      <c r="AF289" s="9"/>
      <c r="AG289" s="9"/>
      <c r="AH289" s="9"/>
      <c r="AI289" s="9"/>
      <c r="AJ289" s="9"/>
      <c r="AK289" s="9"/>
      <c r="AL289" s="9"/>
      <c r="AM289" s="9"/>
      <c r="AN289" s="10"/>
      <c r="AO289" s="65">
        <f t="shared" si="9"/>
        <v>0</v>
      </c>
    </row>
    <row r="290" spans="2:41" s="4" customFormat="1" ht="24" customHeight="1" x14ac:dyDescent="0.2">
      <c r="B290" s="14"/>
      <c r="C290" s="23"/>
      <c r="D290" s="21" t="str">
        <f>IF(ISBLANK(C290), "",
_xlfn.WEBSERVICE(
"https://d16nxf5gxyt1xz.cloudfront.net/Prod/translation?id="
&amp;アカウント情報!$C$2&amp;
"&amp;pwd="
&amp;アカウント情報!$C$3&amp;
"&amp;item="
&amp;_xlfn.ENCODEURL(設定!$F$3)&amp;
"&amp;word="
&amp;_xlfn.ENCODEURL(C290)
)
)</f>
        <v/>
      </c>
      <c r="E290" s="6"/>
      <c r="F290" s="16" t="str">
        <f>IFERROR(VLOOKUP($E290,設定!$C:$F,2,0),"")</f>
        <v/>
      </c>
      <c r="G290" s="156" t="str">
        <f>IFERROR(VLOOKUP($E290,設定!$C:$F,3,0),"")</f>
        <v/>
      </c>
      <c r="H290" s="131" t="str">
        <f>IFERROR(VLOOKUP($E290,設定!$C:$F,4,0),"")</f>
        <v/>
      </c>
      <c r="I290" s="402"/>
      <c r="J290" s="8"/>
      <c r="K290" s="9"/>
      <c r="L290" s="9"/>
      <c r="M290" s="9"/>
      <c r="N290" s="9"/>
      <c r="O290" s="9"/>
      <c r="P290" s="9"/>
      <c r="Q290" s="9"/>
      <c r="R290" s="9"/>
      <c r="S290" s="9"/>
      <c r="T290" s="9"/>
      <c r="U290" s="9"/>
      <c r="V290" s="9"/>
      <c r="W290" s="9"/>
      <c r="X290" s="9"/>
      <c r="Y290" s="9"/>
      <c r="Z290" s="9"/>
      <c r="AA290" s="9"/>
      <c r="AB290" s="9"/>
      <c r="AC290" s="9"/>
      <c r="AD290" s="9"/>
      <c r="AE290" s="9"/>
      <c r="AF290" s="9"/>
      <c r="AG290" s="9"/>
      <c r="AH290" s="9"/>
      <c r="AI290" s="9"/>
      <c r="AJ290" s="9"/>
      <c r="AK290" s="9"/>
      <c r="AL290" s="9"/>
      <c r="AM290" s="9"/>
      <c r="AN290" s="10"/>
      <c r="AO290" s="65">
        <f t="shared" si="9"/>
        <v>0</v>
      </c>
    </row>
    <row r="291" spans="2:41" s="4" customFormat="1" ht="24" customHeight="1" x14ac:dyDescent="0.2">
      <c r="B291" s="14"/>
      <c r="C291" s="23"/>
      <c r="D291" s="21" t="str">
        <f>IF(ISBLANK(C291), "",
_xlfn.WEBSERVICE(
"https://d16nxf5gxyt1xz.cloudfront.net/Prod/translation?id="
&amp;アカウント情報!$C$2&amp;
"&amp;pwd="
&amp;アカウント情報!$C$3&amp;
"&amp;item="
&amp;_xlfn.ENCODEURL(設定!$F$3)&amp;
"&amp;word="
&amp;_xlfn.ENCODEURL(C291)
)
)</f>
        <v/>
      </c>
      <c r="E291" s="6"/>
      <c r="F291" s="16" t="str">
        <f>IFERROR(VLOOKUP($E291,設定!$C:$F,2,0),"")</f>
        <v/>
      </c>
      <c r="G291" s="156" t="str">
        <f>IFERROR(VLOOKUP($E291,設定!$C:$F,3,0),"")</f>
        <v/>
      </c>
      <c r="H291" s="131" t="str">
        <f>IFERROR(VLOOKUP($E291,設定!$C:$F,4,0),"")</f>
        <v/>
      </c>
      <c r="I291" s="402"/>
      <c r="J291" s="8"/>
      <c r="K291" s="9"/>
      <c r="L291" s="9"/>
      <c r="M291" s="9"/>
      <c r="N291" s="9"/>
      <c r="O291" s="9"/>
      <c r="P291" s="9"/>
      <c r="Q291" s="9"/>
      <c r="R291" s="9"/>
      <c r="S291" s="9"/>
      <c r="T291" s="9"/>
      <c r="U291" s="9"/>
      <c r="V291" s="9"/>
      <c r="W291" s="9"/>
      <c r="X291" s="9"/>
      <c r="Y291" s="9"/>
      <c r="Z291" s="9"/>
      <c r="AA291" s="9"/>
      <c r="AB291" s="9"/>
      <c r="AC291" s="9"/>
      <c r="AD291" s="9"/>
      <c r="AE291" s="9"/>
      <c r="AF291" s="9"/>
      <c r="AG291" s="9"/>
      <c r="AH291" s="9"/>
      <c r="AI291" s="9"/>
      <c r="AJ291" s="9"/>
      <c r="AK291" s="9"/>
      <c r="AL291" s="9"/>
      <c r="AM291" s="9"/>
      <c r="AN291" s="10"/>
      <c r="AO291" s="65">
        <f t="shared" si="9"/>
        <v>0</v>
      </c>
    </row>
    <row r="292" spans="2:41" s="4" customFormat="1" ht="24" customHeight="1" x14ac:dyDescent="0.2">
      <c r="B292" s="14"/>
      <c r="C292" s="23"/>
      <c r="D292" s="21" t="str">
        <f>IF(ISBLANK(C292), "",
_xlfn.WEBSERVICE(
"https://d16nxf5gxyt1xz.cloudfront.net/Prod/translation?id="
&amp;アカウント情報!$C$2&amp;
"&amp;pwd="
&amp;アカウント情報!$C$3&amp;
"&amp;item="
&amp;_xlfn.ENCODEURL(設定!$F$3)&amp;
"&amp;word="
&amp;_xlfn.ENCODEURL(C292)
)
)</f>
        <v/>
      </c>
      <c r="E292" s="6"/>
      <c r="F292" s="16" t="str">
        <f>IFERROR(VLOOKUP($E292,設定!$C:$F,2,0),"")</f>
        <v/>
      </c>
      <c r="G292" s="156" t="str">
        <f>IFERROR(VLOOKUP($E292,設定!$C:$F,3,0),"")</f>
        <v/>
      </c>
      <c r="H292" s="131" t="str">
        <f>IFERROR(VLOOKUP($E292,設定!$C:$F,4,0),"")</f>
        <v/>
      </c>
      <c r="I292" s="402"/>
      <c r="J292" s="8"/>
      <c r="K292" s="9"/>
      <c r="L292" s="9"/>
      <c r="M292" s="9"/>
      <c r="N292" s="9"/>
      <c r="O292" s="9"/>
      <c r="P292" s="9"/>
      <c r="Q292" s="9"/>
      <c r="R292" s="9"/>
      <c r="S292" s="9"/>
      <c r="T292" s="9"/>
      <c r="U292" s="9"/>
      <c r="V292" s="9"/>
      <c r="W292" s="9"/>
      <c r="X292" s="9"/>
      <c r="Y292" s="9"/>
      <c r="Z292" s="9"/>
      <c r="AA292" s="9"/>
      <c r="AB292" s="9"/>
      <c r="AC292" s="9"/>
      <c r="AD292" s="9"/>
      <c r="AE292" s="9"/>
      <c r="AF292" s="9"/>
      <c r="AG292" s="9"/>
      <c r="AH292" s="9"/>
      <c r="AI292" s="9"/>
      <c r="AJ292" s="9"/>
      <c r="AK292" s="9"/>
      <c r="AL292" s="9"/>
      <c r="AM292" s="9"/>
      <c r="AN292" s="10"/>
      <c r="AO292" s="65">
        <f t="shared" ref="AO292:AO339" si="10">I292*SUM(J292:AN292)</f>
        <v>0</v>
      </c>
    </row>
    <row r="293" spans="2:41" s="4" customFormat="1" ht="24" customHeight="1" x14ac:dyDescent="0.2">
      <c r="B293" s="14"/>
      <c r="C293" s="23"/>
      <c r="D293" s="21" t="str">
        <f>IF(ISBLANK(C293), "",
_xlfn.WEBSERVICE(
"https://d16nxf5gxyt1xz.cloudfront.net/Prod/translation?id="
&amp;アカウント情報!$C$2&amp;
"&amp;pwd="
&amp;アカウント情報!$C$3&amp;
"&amp;item="
&amp;_xlfn.ENCODEURL(設定!$F$3)&amp;
"&amp;word="
&amp;_xlfn.ENCODEURL(C293)
)
)</f>
        <v/>
      </c>
      <c r="E293" s="6"/>
      <c r="F293" s="16" t="str">
        <f>IFERROR(VLOOKUP($E293,設定!$C:$F,2,0),"")</f>
        <v/>
      </c>
      <c r="G293" s="156" t="str">
        <f>IFERROR(VLOOKUP($E293,設定!$C:$F,3,0),"")</f>
        <v/>
      </c>
      <c r="H293" s="131" t="str">
        <f>IFERROR(VLOOKUP($E293,設定!$C:$F,4,0),"")</f>
        <v/>
      </c>
      <c r="I293" s="402"/>
      <c r="J293" s="8"/>
      <c r="K293" s="9"/>
      <c r="L293" s="9"/>
      <c r="M293" s="9"/>
      <c r="N293" s="9"/>
      <c r="O293" s="9"/>
      <c r="P293" s="9"/>
      <c r="Q293" s="9"/>
      <c r="R293" s="9"/>
      <c r="S293" s="9"/>
      <c r="T293" s="9"/>
      <c r="U293" s="9"/>
      <c r="V293" s="9"/>
      <c r="W293" s="9"/>
      <c r="X293" s="9"/>
      <c r="Y293" s="9"/>
      <c r="Z293" s="9"/>
      <c r="AA293" s="9"/>
      <c r="AB293" s="9"/>
      <c r="AC293" s="9"/>
      <c r="AD293" s="9"/>
      <c r="AE293" s="9"/>
      <c r="AF293" s="9"/>
      <c r="AG293" s="9"/>
      <c r="AH293" s="9"/>
      <c r="AI293" s="9"/>
      <c r="AJ293" s="9"/>
      <c r="AK293" s="9"/>
      <c r="AL293" s="9"/>
      <c r="AM293" s="9"/>
      <c r="AN293" s="10"/>
      <c r="AO293" s="65">
        <f t="shared" si="10"/>
        <v>0</v>
      </c>
    </row>
    <row r="294" spans="2:41" s="4" customFormat="1" ht="24" customHeight="1" x14ac:dyDescent="0.2">
      <c r="B294" s="14"/>
      <c r="C294" s="23"/>
      <c r="D294" s="21" t="str">
        <f>IF(ISBLANK(C294), "",
_xlfn.WEBSERVICE(
"https://d16nxf5gxyt1xz.cloudfront.net/Prod/translation?id="
&amp;アカウント情報!$C$2&amp;
"&amp;pwd="
&amp;アカウント情報!$C$3&amp;
"&amp;item="
&amp;_xlfn.ENCODEURL(設定!$F$3)&amp;
"&amp;word="
&amp;_xlfn.ENCODEURL(C294)
)
)</f>
        <v/>
      </c>
      <c r="E294" s="6"/>
      <c r="F294" s="16" t="str">
        <f>IFERROR(VLOOKUP($E294,設定!$C:$F,2,0),"")</f>
        <v/>
      </c>
      <c r="G294" s="156" t="str">
        <f>IFERROR(VLOOKUP($E294,設定!$C:$F,3,0),"")</f>
        <v/>
      </c>
      <c r="H294" s="131" t="str">
        <f>IFERROR(VLOOKUP($E294,設定!$C:$F,4,0),"")</f>
        <v/>
      </c>
      <c r="I294" s="402"/>
      <c r="J294" s="8"/>
      <c r="K294" s="9"/>
      <c r="L294" s="9"/>
      <c r="M294" s="9"/>
      <c r="N294" s="9"/>
      <c r="O294" s="9"/>
      <c r="P294" s="9"/>
      <c r="Q294" s="9"/>
      <c r="R294" s="9"/>
      <c r="S294" s="9"/>
      <c r="T294" s="9"/>
      <c r="U294" s="9"/>
      <c r="V294" s="9"/>
      <c r="W294" s="9"/>
      <c r="X294" s="9"/>
      <c r="Y294" s="9"/>
      <c r="Z294" s="9"/>
      <c r="AA294" s="9"/>
      <c r="AB294" s="9"/>
      <c r="AC294" s="9"/>
      <c r="AD294" s="9"/>
      <c r="AE294" s="9"/>
      <c r="AF294" s="9"/>
      <c r="AG294" s="9"/>
      <c r="AH294" s="9"/>
      <c r="AI294" s="9"/>
      <c r="AJ294" s="9"/>
      <c r="AK294" s="9"/>
      <c r="AL294" s="9"/>
      <c r="AM294" s="9"/>
      <c r="AN294" s="10"/>
      <c r="AO294" s="65">
        <f t="shared" si="10"/>
        <v>0</v>
      </c>
    </row>
    <row r="295" spans="2:41" s="4" customFormat="1" ht="24" customHeight="1" x14ac:dyDescent="0.2">
      <c r="B295" s="14"/>
      <c r="C295" s="23"/>
      <c r="D295" s="21" t="str">
        <f>IF(ISBLANK(C295), "",
_xlfn.WEBSERVICE(
"https://d16nxf5gxyt1xz.cloudfront.net/Prod/translation?id="
&amp;アカウント情報!$C$2&amp;
"&amp;pwd="
&amp;アカウント情報!$C$3&amp;
"&amp;item="
&amp;_xlfn.ENCODEURL(設定!$F$3)&amp;
"&amp;word="
&amp;_xlfn.ENCODEURL(C295)
)
)</f>
        <v/>
      </c>
      <c r="E295" s="6"/>
      <c r="F295" s="16" t="str">
        <f>IFERROR(VLOOKUP($E295,設定!$C:$F,2,0),"")</f>
        <v/>
      </c>
      <c r="G295" s="156" t="str">
        <f>IFERROR(VLOOKUP($E295,設定!$C:$F,3,0),"")</f>
        <v/>
      </c>
      <c r="H295" s="131" t="str">
        <f>IFERROR(VLOOKUP($E295,設定!$C:$F,4,0),"")</f>
        <v/>
      </c>
      <c r="I295" s="402"/>
      <c r="J295" s="8"/>
      <c r="K295" s="9"/>
      <c r="L295" s="9"/>
      <c r="M295" s="9"/>
      <c r="N295" s="9"/>
      <c r="O295" s="9"/>
      <c r="P295" s="9"/>
      <c r="Q295" s="9"/>
      <c r="R295" s="9"/>
      <c r="S295" s="9"/>
      <c r="T295" s="9"/>
      <c r="U295" s="9"/>
      <c r="V295" s="9"/>
      <c r="W295" s="9"/>
      <c r="X295" s="9"/>
      <c r="Y295" s="9"/>
      <c r="Z295" s="9"/>
      <c r="AA295" s="9"/>
      <c r="AB295" s="9"/>
      <c r="AC295" s="9"/>
      <c r="AD295" s="9"/>
      <c r="AE295" s="9"/>
      <c r="AF295" s="9"/>
      <c r="AG295" s="9"/>
      <c r="AH295" s="9"/>
      <c r="AI295" s="9"/>
      <c r="AJ295" s="9"/>
      <c r="AK295" s="9"/>
      <c r="AL295" s="9"/>
      <c r="AM295" s="9"/>
      <c r="AN295" s="10"/>
      <c r="AO295" s="65">
        <f t="shared" si="10"/>
        <v>0</v>
      </c>
    </row>
    <row r="296" spans="2:41" s="4" customFormat="1" ht="24" customHeight="1" x14ac:dyDescent="0.2">
      <c r="B296" s="14"/>
      <c r="C296" s="23"/>
      <c r="D296" s="21" t="str">
        <f>IF(ISBLANK(C296), "",
_xlfn.WEBSERVICE(
"https://d16nxf5gxyt1xz.cloudfront.net/Prod/translation?id="
&amp;アカウント情報!$C$2&amp;
"&amp;pwd="
&amp;アカウント情報!$C$3&amp;
"&amp;item="
&amp;_xlfn.ENCODEURL(設定!$F$3)&amp;
"&amp;word="
&amp;_xlfn.ENCODEURL(C296)
)
)</f>
        <v/>
      </c>
      <c r="E296" s="6"/>
      <c r="F296" s="16" t="str">
        <f>IFERROR(VLOOKUP($E296,設定!$C:$F,2,0),"")</f>
        <v/>
      </c>
      <c r="G296" s="156" t="str">
        <f>IFERROR(VLOOKUP($E296,設定!$C:$F,3,0),"")</f>
        <v/>
      </c>
      <c r="H296" s="131" t="str">
        <f>IFERROR(VLOOKUP($E296,設定!$C:$F,4,0),"")</f>
        <v/>
      </c>
      <c r="I296" s="402"/>
      <c r="J296" s="8"/>
      <c r="K296" s="9"/>
      <c r="L296" s="9"/>
      <c r="M296" s="9"/>
      <c r="N296" s="9"/>
      <c r="O296" s="9"/>
      <c r="P296" s="9"/>
      <c r="Q296" s="9"/>
      <c r="R296" s="9"/>
      <c r="S296" s="9"/>
      <c r="T296" s="9"/>
      <c r="U296" s="9"/>
      <c r="V296" s="9"/>
      <c r="W296" s="9"/>
      <c r="X296" s="9"/>
      <c r="Y296" s="9"/>
      <c r="Z296" s="9"/>
      <c r="AA296" s="9"/>
      <c r="AB296" s="9"/>
      <c r="AC296" s="9"/>
      <c r="AD296" s="9"/>
      <c r="AE296" s="9"/>
      <c r="AF296" s="9"/>
      <c r="AG296" s="9"/>
      <c r="AH296" s="9"/>
      <c r="AI296" s="9"/>
      <c r="AJ296" s="9"/>
      <c r="AK296" s="9"/>
      <c r="AL296" s="9"/>
      <c r="AM296" s="9"/>
      <c r="AN296" s="10"/>
      <c r="AO296" s="65">
        <f t="shared" si="10"/>
        <v>0</v>
      </c>
    </row>
    <row r="297" spans="2:41" s="4" customFormat="1" ht="24" customHeight="1" x14ac:dyDescent="0.2">
      <c r="B297" s="14"/>
      <c r="C297" s="23"/>
      <c r="D297" s="21" t="str">
        <f>IF(ISBLANK(C297), "",
_xlfn.WEBSERVICE(
"https://d16nxf5gxyt1xz.cloudfront.net/Prod/translation?id="
&amp;アカウント情報!$C$2&amp;
"&amp;pwd="
&amp;アカウント情報!$C$3&amp;
"&amp;item="
&amp;_xlfn.ENCODEURL(設定!$F$3)&amp;
"&amp;word="
&amp;_xlfn.ENCODEURL(C297)
)
)</f>
        <v/>
      </c>
      <c r="E297" s="6"/>
      <c r="F297" s="16" t="str">
        <f>IFERROR(VLOOKUP($E297,設定!$C:$F,2,0),"")</f>
        <v/>
      </c>
      <c r="G297" s="156" t="str">
        <f>IFERROR(VLOOKUP($E297,設定!$C:$F,3,0),"")</f>
        <v/>
      </c>
      <c r="H297" s="131" t="str">
        <f>IFERROR(VLOOKUP($E297,設定!$C:$F,4,0),"")</f>
        <v/>
      </c>
      <c r="I297" s="402"/>
      <c r="J297" s="8"/>
      <c r="K297" s="9"/>
      <c r="L297" s="9"/>
      <c r="M297" s="9"/>
      <c r="N297" s="9"/>
      <c r="O297" s="9"/>
      <c r="P297" s="9"/>
      <c r="Q297" s="9"/>
      <c r="R297" s="9"/>
      <c r="S297" s="9"/>
      <c r="T297" s="9"/>
      <c r="U297" s="9"/>
      <c r="V297" s="9"/>
      <c r="W297" s="9"/>
      <c r="X297" s="9"/>
      <c r="Y297" s="9"/>
      <c r="Z297" s="9"/>
      <c r="AA297" s="9"/>
      <c r="AB297" s="9"/>
      <c r="AC297" s="9"/>
      <c r="AD297" s="9"/>
      <c r="AE297" s="9"/>
      <c r="AF297" s="9"/>
      <c r="AG297" s="9"/>
      <c r="AH297" s="9"/>
      <c r="AI297" s="9"/>
      <c r="AJ297" s="9"/>
      <c r="AK297" s="9"/>
      <c r="AL297" s="9"/>
      <c r="AM297" s="9"/>
      <c r="AN297" s="10"/>
      <c r="AO297" s="65">
        <f t="shared" si="10"/>
        <v>0</v>
      </c>
    </row>
    <row r="298" spans="2:41" s="4" customFormat="1" ht="24" customHeight="1" x14ac:dyDescent="0.2">
      <c r="B298" s="14"/>
      <c r="C298" s="23"/>
      <c r="D298" s="21" t="str">
        <f>IF(ISBLANK(C298), "",
_xlfn.WEBSERVICE(
"https://d16nxf5gxyt1xz.cloudfront.net/Prod/translation?id="
&amp;アカウント情報!$C$2&amp;
"&amp;pwd="
&amp;アカウント情報!$C$3&amp;
"&amp;item="
&amp;_xlfn.ENCODEURL(設定!$F$3)&amp;
"&amp;word="
&amp;_xlfn.ENCODEURL(C298)
)
)</f>
        <v/>
      </c>
      <c r="E298" s="6"/>
      <c r="F298" s="16" t="str">
        <f>IFERROR(VLOOKUP($E298,設定!$C:$F,2,0),"")</f>
        <v/>
      </c>
      <c r="G298" s="156" t="str">
        <f>IFERROR(VLOOKUP($E298,設定!$C:$F,3,0),"")</f>
        <v/>
      </c>
      <c r="H298" s="131" t="str">
        <f>IFERROR(VLOOKUP($E298,設定!$C:$F,4,0),"")</f>
        <v/>
      </c>
      <c r="I298" s="402"/>
      <c r="J298" s="8"/>
      <c r="K298" s="9"/>
      <c r="L298" s="9"/>
      <c r="M298" s="9"/>
      <c r="N298" s="9"/>
      <c r="O298" s="9"/>
      <c r="P298" s="9"/>
      <c r="Q298" s="9"/>
      <c r="R298" s="9"/>
      <c r="S298" s="9"/>
      <c r="T298" s="9"/>
      <c r="U298" s="9"/>
      <c r="V298" s="9"/>
      <c r="W298" s="9"/>
      <c r="X298" s="9"/>
      <c r="Y298" s="9"/>
      <c r="Z298" s="9"/>
      <c r="AA298" s="9"/>
      <c r="AB298" s="9"/>
      <c r="AC298" s="9"/>
      <c r="AD298" s="9"/>
      <c r="AE298" s="9"/>
      <c r="AF298" s="9"/>
      <c r="AG298" s="9"/>
      <c r="AH298" s="9"/>
      <c r="AI298" s="9"/>
      <c r="AJ298" s="9"/>
      <c r="AK298" s="9"/>
      <c r="AL298" s="9"/>
      <c r="AM298" s="9"/>
      <c r="AN298" s="10"/>
      <c r="AO298" s="65">
        <f t="shared" si="10"/>
        <v>0</v>
      </c>
    </row>
    <row r="299" spans="2:41" s="4" customFormat="1" ht="24" customHeight="1" x14ac:dyDescent="0.2">
      <c r="B299" s="14"/>
      <c r="C299" s="23"/>
      <c r="D299" s="21" t="str">
        <f>IF(ISBLANK(C299), "",
_xlfn.WEBSERVICE(
"https://d16nxf5gxyt1xz.cloudfront.net/Prod/translation?id="
&amp;アカウント情報!$C$2&amp;
"&amp;pwd="
&amp;アカウント情報!$C$3&amp;
"&amp;item="
&amp;_xlfn.ENCODEURL(設定!$F$3)&amp;
"&amp;word="
&amp;_xlfn.ENCODEURL(C299)
)
)</f>
        <v/>
      </c>
      <c r="E299" s="6"/>
      <c r="F299" s="16" t="str">
        <f>IFERROR(VLOOKUP($E299,設定!$C:$F,2,0),"")</f>
        <v/>
      </c>
      <c r="G299" s="156" t="str">
        <f>IFERROR(VLOOKUP($E299,設定!$C:$F,3,0),"")</f>
        <v/>
      </c>
      <c r="H299" s="131" t="str">
        <f>IFERROR(VLOOKUP($E299,設定!$C:$F,4,0),"")</f>
        <v/>
      </c>
      <c r="I299" s="402"/>
      <c r="J299" s="8"/>
      <c r="K299" s="9"/>
      <c r="L299" s="9"/>
      <c r="M299" s="9"/>
      <c r="N299" s="9"/>
      <c r="O299" s="9"/>
      <c r="P299" s="9"/>
      <c r="Q299" s="9"/>
      <c r="R299" s="9"/>
      <c r="S299" s="9"/>
      <c r="T299" s="9"/>
      <c r="U299" s="9"/>
      <c r="V299" s="9"/>
      <c r="W299" s="9"/>
      <c r="X299" s="9"/>
      <c r="Y299" s="9"/>
      <c r="Z299" s="9"/>
      <c r="AA299" s="9"/>
      <c r="AB299" s="9"/>
      <c r="AC299" s="9"/>
      <c r="AD299" s="9"/>
      <c r="AE299" s="9"/>
      <c r="AF299" s="9"/>
      <c r="AG299" s="9"/>
      <c r="AH299" s="9"/>
      <c r="AI299" s="9"/>
      <c r="AJ299" s="9"/>
      <c r="AK299" s="9"/>
      <c r="AL299" s="9"/>
      <c r="AM299" s="9"/>
      <c r="AN299" s="10"/>
      <c r="AO299" s="65">
        <f t="shared" si="10"/>
        <v>0</v>
      </c>
    </row>
    <row r="300" spans="2:41" s="4" customFormat="1" ht="24" customHeight="1" x14ac:dyDescent="0.2">
      <c r="B300" s="14"/>
      <c r="C300" s="23"/>
      <c r="D300" s="21" t="str">
        <f>IF(ISBLANK(C300), "",
_xlfn.WEBSERVICE(
"https://d16nxf5gxyt1xz.cloudfront.net/Prod/translation?id="
&amp;アカウント情報!$C$2&amp;
"&amp;pwd="
&amp;アカウント情報!$C$3&amp;
"&amp;item="
&amp;_xlfn.ENCODEURL(設定!$F$3)&amp;
"&amp;word="
&amp;_xlfn.ENCODEURL(C300)
)
)</f>
        <v/>
      </c>
      <c r="E300" s="6"/>
      <c r="F300" s="16" t="str">
        <f>IFERROR(VLOOKUP($E300,設定!$C:$F,2,0),"")</f>
        <v/>
      </c>
      <c r="G300" s="156" t="str">
        <f>IFERROR(VLOOKUP($E300,設定!$C:$F,3,0),"")</f>
        <v/>
      </c>
      <c r="H300" s="131" t="str">
        <f>IFERROR(VLOOKUP($E300,設定!$C:$F,4,0),"")</f>
        <v/>
      </c>
      <c r="I300" s="402"/>
      <c r="J300" s="8"/>
      <c r="K300" s="9"/>
      <c r="L300" s="9"/>
      <c r="M300" s="9"/>
      <c r="N300" s="9"/>
      <c r="O300" s="9"/>
      <c r="P300" s="9"/>
      <c r="Q300" s="9"/>
      <c r="R300" s="9"/>
      <c r="S300" s="9"/>
      <c r="T300" s="9"/>
      <c r="U300" s="9"/>
      <c r="V300" s="9"/>
      <c r="W300" s="9"/>
      <c r="X300" s="9"/>
      <c r="Y300" s="9"/>
      <c r="Z300" s="9"/>
      <c r="AA300" s="9"/>
      <c r="AB300" s="9"/>
      <c r="AC300" s="9"/>
      <c r="AD300" s="9"/>
      <c r="AE300" s="9"/>
      <c r="AF300" s="9"/>
      <c r="AG300" s="9"/>
      <c r="AH300" s="9"/>
      <c r="AI300" s="9"/>
      <c r="AJ300" s="9"/>
      <c r="AK300" s="9"/>
      <c r="AL300" s="9"/>
      <c r="AM300" s="9"/>
      <c r="AN300" s="10"/>
      <c r="AO300" s="65">
        <f t="shared" si="10"/>
        <v>0</v>
      </c>
    </row>
    <row r="301" spans="2:41" s="4" customFormat="1" ht="24" customHeight="1" x14ac:dyDescent="0.2">
      <c r="B301" s="14"/>
      <c r="C301" s="23"/>
      <c r="D301" s="21" t="str">
        <f>IF(ISBLANK(C301), "",
_xlfn.WEBSERVICE(
"https://d16nxf5gxyt1xz.cloudfront.net/Prod/translation?id="
&amp;アカウント情報!$C$2&amp;
"&amp;pwd="
&amp;アカウント情報!$C$3&amp;
"&amp;item="
&amp;_xlfn.ENCODEURL(設定!$F$3)&amp;
"&amp;word="
&amp;_xlfn.ENCODEURL(C301)
)
)</f>
        <v/>
      </c>
      <c r="E301" s="6"/>
      <c r="F301" s="16" t="str">
        <f>IFERROR(VLOOKUP($E301,設定!$C:$F,2,0),"")</f>
        <v/>
      </c>
      <c r="G301" s="156" t="str">
        <f>IFERROR(VLOOKUP($E301,設定!$C:$F,3,0),"")</f>
        <v/>
      </c>
      <c r="H301" s="131" t="str">
        <f>IFERROR(VLOOKUP($E301,設定!$C:$F,4,0),"")</f>
        <v/>
      </c>
      <c r="I301" s="402"/>
      <c r="J301" s="8"/>
      <c r="K301" s="9"/>
      <c r="L301" s="9"/>
      <c r="M301" s="9"/>
      <c r="N301" s="9"/>
      <c r="O301" s="9"/>
      <c r="P301" s="9"/>
      <c r="Q301" s="9"/>
      <c r="R301" s="9"/>
      <c r="S301" s="9"/>
      <c r="T301" s="9"/>
      <c r="U301" s="9"/>
      <c r="V301" s="9"/>
      <c r="W301" s="9"/>
      <c r="X301" s="9"/>
      <c r="Y301" s="9"/>
      <c r="Z301" s="9"/>
      <c r="AA301" s="9"/>
      <c r="AB301" s="9"/>
      <c r="AC301" s="9"/>
      <c r="AD301" s="9"/>
      <c r="AE301" s="9"/>
      <c r="AF301" s="9"/>
      <c r="AG301" s="9"/>
      <c r="AH301" s="9"/>
      <c r="AI301" s="9"/>
      <c r="AJ301" s="9"/>
      <c r="AK301" s="9"/>
      <c r="AL301" s="9"/>
      <c r="AM301" s="9"/>
      <c r="AN301" s="10"/>
      <c r="AO301" s="65">
        <f t="shared" si="10"/>
        <v>0</v>
      </c>
    </row>
    <row r="302" spans="2:41" s="4" customFormat="1" ht="24" customHeight="1" x14ac:dyDescent="0.2">
      <c r="B302" s="14"/>
      <c r="C302" s="23"/>
      <c r="D302" s="21" t="str">
        <f>IF(ISBLANK(C302), "",
_xlfn.WEBSERVICE(
"https://d16nxf5gxyt1xz.cloudfront.net/Prod/translation?id="
&amp;アカウント情報!$C$2&amp;
"&amp;pwd="
&amp;アカウント情報!$C$3&amp;
"&amp;item="
&amp;_xlfn.ENCODEURL(設定!$F$3)&amp;
"&amp;word="
&amp;_xlfn.ENCODEURL(C302)
)
)</f>
        <v/>
      </c>
      <c r="E302" s="6"/>
      <c r="F302" s="16" t="str">
        <f>IFERROR(VLOOKUP($E302,設定!$C:$F,2,0),"")</f>
        <v/>
      </c>
      <c r="G302" s="156" t="str">
        <f>IFERROR(VLOOKUP($E302,設定!$C:$F,3,0),"")</f>
        <v/>
      </c>
      <c r="H302" s="131" t="str">
        <f>IFERROR(VLOOKUP($E302,設定!$C:$F,4,0),"")</f>
        <v/>
      </c>
      <c r="I302" s="402"/>
      <c r="J302" s="8"/>
      <c r="K302" s="9"/>
      <c r="L302" s="9"/>
      <c r="M302" s="9"/>
      <c r="N302" s="9"/>
      <c r="O302" s="9"/>
      <c r="P302" s="9"/>
      <c r="Q302" s="9"/>
      <c r="R302" s="9"/>
      <c r="S302" s="9"/>
      <c r="T302" s="9"/>
      <c r="U302" s="9"/>
      <c r="V302" s="9"/>
      <c r="W302" s="9"/>
      <c r="X302" s="9"/>
      <c r="Y302" s="9"/>
      <c r="Z302" s="9"/>
      <c r="AA302" s="9"/>
      <c r="AB302" s="9"/>
      <c r="AC302" s="9"/>
      <c r="AD302" s="9"/>
      <c r="AE302" s="9"/>
      <c r="AF302" s="9"/>
      <c r="AG302" s="9"/>
      <c r="AH302" s="9"/>
      <c r="AI302" s="9"/>
      <c r="AJ302" s="9"/>
      <c r="AK302" s="9"/>
      <c r="AL302" s="9"/>
      <c r="AM302" s="9"/>
      <c r="AN302" s="10"/>
      <c r="AO302" s="65">
        <f t="shared" si="10"/>
        <v>0</v>
      </c>
    </row>
    <row r="303" spans="2:41" s="4" customFormat="1" ht="24" customHeight="1" x14ac:dyDescent="0.2">
      <c r="B303" s="14"/>
      <c r="C303" s="23"/>
      <c r="D303" s="21" t="str">
        <f>IF(ISBLANK(C303), "",
_xlfn.WEBSERVICE(
"https://d16nxf5gxyt1xz.cloudfront.net/Prod/translation?id="
&amp;アカウント情報!$C$2&amp;
"&amp;pwd="
&amp;アカウント情報!$C$3&amp;
"&amp;item="
&amp;_xlfn.ENCODEURL(設定!$F$3)&amp;
"&amp;word="
&amp;_xlfn.ENCODEURL(C303)
)
)</f>
        <v/>
      </c>
      <c r="E303" s="6"/>
      <c r="F303" s="16" t="str">
        <f>IFERROR(VLOOKUP($E303,設定!$C:$F,2,0),"")</f>
        <v/>
      </c>
      <c r="G303" s="156" t="str">
        <f>IFERROR(VLOOKUP($E303,設定!$C:$F,3,0),"")</f>
        <v/>
      </c>
      <c r="H303" s="131" t="str">
        <f>IFERROR(VLOOKUP($E303,設定!$C:$F,4,0),"")</f>
        <v/>
      </c>
      <c r="I303" s="402"/>
      <c r="J303" s="8"/>
      <c r="K303" s="9"/>
      <c r="L303" s="9"/>
      <c r="M303" s="9"/>
      <c r="N303" s="9"/>
      <c r="O303" s="9"/>
      <c r="P303" s="9"/>
      <c r="Q303" s="9"/>
      <c r="R303" s="9"/>
      <c r="S303" s="9"/>
      <c r="T303" s="9"/>
      <c r="U303" s="9"/>
      <c r="V303" s="9"/>
      <c r="W303" s="9"/>
      <c r="X303" s="9"/>
      <c r="Y303" s="9"/>
      <c r="Z303" s="9"/>
      <c r="AA303" s="9"/>
      <c r="AB303" s="9"/>
      <c r="AC303" s="9"/>
      <c r="AD303" s="9"/>
      <c r="AE303" s="9"/>
      <c r="AF303" s="9"/>
      <c r="AG303" s="9"/>
      <c r="AH303" s="9"/>
      <c r="AI303" s="9"/>
      <c r="AJ303" s="9"/>
      <c r="AK303" s="9"/>
      <c r="AL303" s="9"/>
      <c r="AM303" s="9"/>
      <c r="AN303" s="10"/>
      <c r="AO303" s="65">
        <f t="shared" si="10"/>
        <v>0</v>
      </c>
    </row>
    <row r="304" spans="2:41" s="4" customFormat="1" ht="24" customHeight="1" x14ac:dyDescent="0.2">
      <c r="B304" s="14"/>
      <c r="C304" s="23"/>
      <c r="D304" s="21" t="str">
        <f>IF(ISBLANK(C304), "",
_xlfn.WEBSERVICE(
"https://d16nxf5gxyt1xz.cloudfront.net/Prod/translation?id="
&amp;アカウント情報!$C$2&amp;
"&amp;pwd="
&amp;アカウント情報!$C$3&amp;
"&amp;item="
&amp;_xlfn.ENCODEURL(設定!$F$3)&amp;
"&amp;word="
&amp;_xlfn.ENCODEURL(C304)
)
)</f>
        <v/>
      </c>
      <c r="E304" s="6"/>
      <c r="F304" s="16" t="str">
        <f>IFERROR(VLOOKUP($E304,設定!$C:$F,2,0),"")</f>
        <v/>
      </c>
      <c r="G304" s="156" t="str">
        <f>IFERROR(VLOOKUP($E304,設定!$C:$F,3,0),"")</f>
        <v/>
      </c>
      <c r="H304" s="131" t="str">
        <f>IFERROR(VLOOKUP($E304,設定!$C:$F,4,0),"")</f>
        <v/>
      </c>
      <c r="I304" s="402"/>
      <c r="J304" s="8"/>
      <c r="K304" s="9"/>
      <c r="L304" s="9"/>
      <c r="M304" s="9"/>
      <c r="N304" s="9"/>
      <c r="O304" s="9"/>
      <c r="P304" s="9"/>
      <c r="Q304" s="9"/>
      <c r="R304" s="9"/>
      <c r="S304" s="9"/>
      <c r="T304" s="9"/>
      <c r="U304" s="9"/>
      <c r="V304" s="9"/>
      <c r="W304" s="9"/>
      <c r="X304" s="9"/>
      <c r="Y304" s="9"/>
      <c r="Z304" s="9"/>
      <c r="AA304" s="9"/>
      <c r="AB304" s="9"/>
      <c r="AC304" s="9"/>
      <c r="AD304" s="9"/>
      <c r="AE304" s="9"/>
      <c r="AF304" s="9"/>
      <c r="AG304" s="9"/>
      <c r="AH304" s="9"/>
      <c r="AI304" s="9"/>
      <c r="AJ304" s="9"/>
      <c r="AK304" s="9"/>
      <c r="AL304" s="9"/>
      <c r="AM304" s="9"/>
      <c r="AN304" s="10"/>
      <c r="AO304" s="65">
        <f t="shared" si="10"/>
        <v>0</v>
      </c>
    </row>
    <row r="305" spans="2:41" s="4" customFormat="1" ht="24" customHeight="1" x14ac:dyDescent="0.2">
      <c r="B305" s="14"/>
      <c r="C305" s="23"/>
      <c r="D305" s="21" t="str">
        <f>IF(ISBLANK(C305), "",
_xlfn.WEBSERVICE(
"https://d16nxf5gxyt1xz.cloudfront.net/Prod/translation?id="
&amp;アカウント情報!$C$2&amp;
"&amp;pwd="
&amp;アカウント情報!$C$3&amp;
"&amp;item="
&amp;_xlfn.ENCODEURL(設定!$F$3)&amp;
"&amp;word="
&amp;_xlfn.ENCODEURL(C305)
)
)</f>
        <v/>
      </c>
      <c r="E305" s="6"/>
      <c r="F305" s="16" t="str">
        <f>IFERROR(VLOOKUP($E305,設定!$C:$F,2,0),"")</f>
        <v/>
      </c>
      <c r="G305" s="156" t="str">
        <f>IFERROR(VLOOKUP($E305,設定!$C:$F,3,0),"")</f>
        <v/>
      </c>
      <c r="H305" s="131" t="str">
        <f>IFERROR(VLOOKUP($E305,設定!$C:$F,4,0),"")</f>
        <v/>
      </c>
      <c r="I305" s="402"/>
      <c r="J305" s="8"/>
      <c r="K305" s="9"/>
      <c r="L305" s="9"/>
      <c r="M305" s="9"/>
      <c r="N305" s="9"/>
      <c r="O305" s="9"/>
      <c r="P305" s="9"/>
      <c r="Q305" s="9"/>
      <c r="R305" s="9"/>
      <c r="S305" s="9"/>
      <c r="T305" s="9"/>
      <c r="U305" s="9"/>
      <c r="V305" s="9"/>
      <c r="W305" s="9"/>
      <c r="X305" s="9"/>
      <c r="Y305" s="9"/>
      <c r="Z305" s="9"/>
      <c r="AA305" s="9"/>
      <c r="AB305" s="9"/>
      <c r="AC305" s="9"/>
      <c r="AD305" s="9"/>
      <c r="AE305" s="9"/>
      <c r="AF305" s="9"/>
      <c r="AG305" s="9"/>
      <c r="AH305" s="9"/>
      <c r="AI305" s="9"/>
      <c r="AJ305" s="9"/>
      <c r="AK305" s="9"/>
      <c r="AL305" s="9"/>
      <c r="AM305" s="9"/>
      <c r="AN305" s="10"/>
      <c r="AO305" s="65">
        <f t="shared" si="10"/>
        <v>0</v>
      </c>
    </row>
    <row r="306" spans="2:41" s="4" customFormat="1" ht="24" customHeight="1" x14ac:dyDescent="0.2">
      <c r="B306" s="14"/>
      <c r="C306" s="23"/>
      <c r="D306" s="21" t="str">
        <f>IF(ISBLANK(C306), "",
_xlfn.WEBSERVICE(
"https://d16nxf5gxyt1xz.cloudfront.net/Prod/translation?id="
&amp;アカウント情報!$C$2&amp;
"&amp;pwd="
&amp;アカウント情報!$C$3&amp;
"&amp;item="
&amp;_xlfn.ENCODEURL(設定!$F$3)&amp;
"&amp;word="
&amp;_xlfn.ENCODEURL(C306)
)
)</f>
        <v/>
      </c>
      <c r="E306" s="6"/>
      <c r="F306" s="16" t="str">
        <f>IFERROR(VLOOKUP($E306,設定!$C:$F,2,0),"")</f>
        <v/>
      </c>
      <c r="G306" s="156" t="str">
        <f>IFERROR(VLOOKUP($E306,設定!$C:$F,3,0),"")</f>
        <v/>
      </c>
      <c r="H306" s="131" t="str">
        <f>IFERROR(VLOOKUP($E306,設定!$C:$F,4,0),"")</f>
        <v/>
      </c>
      <c r="I306" s="402"/>
      <c r="J306" s="8"/>
      <c r="K306" s="9"/>
      <c r="L306" s="9"/>
      <c r="M306" s="9"/>
      <c r="N306" s="9"/>
      <c r="O306" s="9"/>
      <c r="P306" s="9"/>
      <c r="Q306" s="9"/>
      <c r="R306" s="9"/>
      <c r="S306" s="9"/>
      <c r="T306" s="9"/>
      <c r="U306" s="9"/>
      <c r="V306" s="9"/>
      <c r="W306" s="9"/>
      <c r="X306" s="9"/>
      <c r="Y306" s="9"/>
      <c r="Z306" s="9"/>
      <c r="AA306" s="9"/>
      <c r="AB306" s="9"/>
      <c r="AC306" s="9"/>
      <c r="AD306" s="9"/>
      <c r="AE306" s="9"/>
      <c r="AF306" s="9"/>
      <c r="AG306" s="9"/>
      <c r="AH306" s="9"/>
      <c r="AI306" s="9"/>
      <c r="AJ306" s="9"/>
      <c r="AK306" s="9"/>
      <c r="AL306" s="9"/>
      <c r="AM306" s="9"/>
      <c r="AN306" s="10"/>
      <c r="AO306" s="65">
        <f t="shared" si="10"/>
        <v>0</v>
      </c>
    </row>
    <row r="307" spans="2:41" s="4" customFormat="1" ht="24" customHeight="1" x14ac:dyDescent="0.2">
      <c r="B307" s="14"/>
      <c r="C307" s="23"/>
      <c r="D307" s="21" t="str">
        <f>IF(ISBLANK(C307), "",
_xlfn.WEBSERVICE(
"https://d16nxf5gxyt1xz.cloudfront.net/Prod/translation?id="
&amp;アカウント情報!$C$2&amp;
"&amp;pwd="
&amp;アカウント情報!$C$3&amp;
"&amp;item="
&amp;_xlfn.ENCODEURL(設定!$F$3)&amp;
"&amp;word="
&amp;_xlfn.ENCODEURL(C307)
)
)</f>
        <v/>
      </c>
      <c r="E307" s="6"/>
      <c r="F307" s="16" t="str">
        <f>IFERROR(VLOOKUP($E307,設定!$C:$F,2,0),"")</f>
        <v/>
      </c>
      <c r="G307" s="156" t="str">
        <f>IFERROR(VLOOKUP($E307,設定!$C:$F,3,0),"")</f>
        <v/>
      </c>
      <c r="H307" s="131" t="str">
        <f>IFERROR(VLOOKUP($E307,設定!$C:$F,4,0),"")</f>
        <v/>
      </c>
      <c r="I307" s="402"/>
      <c r="J307" s="8"/>
      <c r="K307" s="9"/>
      <c r="L307" s="9"/>
      <c r="M307" s="9"/>
      <c r="N307" s="9"/>
      <c r="O307" s="9"/>
      <c r="P307" s="9"/>
      <c r="Q307" s="9"/>
      <c r="R307" s="9"/>
      <c r="S307" s="9"/>
      <c r="T307" s="9"/>
      <c r="U307" s="9"/>
      <c r="V307" s="9"/>
      <c r="W307" s="9"/>
      <c r="X307" s="9"/>
      <c r="Y307" s="9"/>
      <c r="Z307" s="9"/>
      <c r="AA307" s="9"/>
      <c r="AB307" s="9"/>
      <c r="AC307" s="9"/>
      <c r="AD307" s="9"/>
      <c r="AE307" s="9"/>
      <c r="AF307" s="9"/>
      <c r="AG307" s="9"/>
      <c r="AH307" s="9"/>
      <c r="AI307" s="9"/>
      <c r="AJ307" s="9"/>
      <c r="AK307" s="9"/>
      <c r="AL307" s="9"/>
      <c r="AM307" s="9"/>
      <c r="AN307" s="10"/>
      <c r="AO307" s="65">
        <f t="shared" si="10"/>
        <v>0</v>
      </c>
    </row>
    <row r="308" spans="2:41" s="4" customFormat="1" ht="24" customHeight="1" x14ac:dyDescent="0.2">
      <c r="B308" s="14"/>
      <c r="C308" s="23"/>
      <c r="D308" s="21" t="str">
        <f>IF(ISBLANK(C308), "",
_xlfn.WEBSERVICE(
"https://d16nxf5gxyt1xz.cloudfront.net/Prod/translation?id="
&amp;アカウント情報!$C$2&amp;
"&amp;pwd="
&amp;アカウント情報!$C$3&amp;
"&amp;item="
&amp;_xlfn.ENCODEURL(設定!$F$3)&amp;
"&amp;word="
&amp;_xlfn.ENCODEURL(C308)
)
)</f>
        <v/>
      </c>
      <c r="E308" s="6"/>
      <c r="F308" s="16" t="str">
        <f>IFERROR(VLOOKUP($E308,設定!$C:$F,2,0),"")</f>
        <v/>
      </c>
      <c r="G308" s="156" t="str">
        <f>IFERROR(VLOOKUP($E308,設定!$C:$F,3,0),"")</f>
        <v/>
      </c>
      <c r="H308" s="131" t="str">
        <f>IFERROR(VLOOKUP($E308,設定!$C:$F,4,0),"")</f>
        <v/>
      </c>
      <c r="I308" s="402"/>
      <c r="J308" s="8"/>
      <c r="K308" s="9"/>
      <c r="L308" s="9"/>
      <c r="M308" s="9"/>
      <c r="N308" s="9"/>
      <c r="O308" s="9"/>
      <c r="P308" s="9"/>
      <c r="Q308" s="9"/>
      <c r="R308" s="9"/>
      <c r="S308" s="9"/>
      <c r="T308" s="9"/>
      <c r="U308" s="9"/>
      <c r="V308" s="9"/>
      <c r="W308" s="9"/>
      <c r="X308" s="9"/>
      <c r="Y308" s="9"/>
      <c r="Z308" s="9"/>
      <c r="AA308" s="9"/>
      <c r="AB308" s="9"/>
      <c r="AC308" s="9"/>
      <c r="AD308" s="9"/>
      <c r="AE308" s="9"/>
      <c r="AF308" s="9"/>
      <c r="AG308" s="9"/>
      <c r="AH308" s="9"/>
      <c r="AI308" s="9"/>
      <c r="AJ308" s="9"/>
      <c r="AK308" s="9"/>
      <c r="AL308" s="9"/>
      <c r="AM308" s="9"/>
      <c r="AN308" s="10"/>
      <c r="AO308" s="65">
        <f t="shared" si="10"/>
        <v>0</v>
      </c>
    </row>
    <row r="309" spans="2:41" s="4" customFormat="1" ht="24" customHeight="1" x14ac:dyDescent="0.2">
      <c r="B309" s="14"/>
      <c r="C309" s="23"/>
      <c r="D309" s="21" t="str">
        <f>IF(ISBLANK(C309), "",
_xlfn.WEBSERVICE(
"https://d16nxf5gxyt1xz.cloudfront.net/Prod/translation?id="
&amp;アカウント情報!$C$2&amp;
"&amp;pwd="
&amp;アカウント情報!$C$3&amp;
"&amp;item="
&amp;_xlfn.ENCODEURL(設定!$F$3)&amp;
"&amp;word="
&amp;_xlfn.ENCODEURL(C309)
)
)</f>
        <v/>
      </c>
      <c r="E309" s="6"/>
      <c r="F309" s="16" t="str">
        <f>IFERROR(VLOOKUP($E309,設定!$C:$F,2,0),"")</f>
        <v/>
      </c>
      <c r="G309" s="156" t="str">
        <f>IFERROR(VLOOKUP($E309,設定!$C:$F,3,0),"")</f>
        <v/>
      </c>
      <c r="H309" s="131" t="str">
        <f>IFERROR(VLOOKUP($E309,設定!$C:$F,4,0),"")</f>
        <v/>
      </c>
      <c r="I309" s="402"/>
      <c r="J309" s="8"/>
      <c r="K309" s="9"/>
      <c r="L309" s="9"/>
      <c r="M309" s="9"/>
      <c r="N309" s="9"/>
      <c r="O309" s="9"/>
      <c r="P309" s="9"/>
      <c r="Q309" s="9"/>
      <c r="R309" s="9"/>
      <c r="S309" s="9"/>
      <c r="T309" s="9"/>
      <c r="U309" s="9"/>
      <c r="V309" s="9"/>
      <c r="W309" s="9"/>
      <c r="X309" s="9"/>
      <c r="Y309" s="9"/>
      <c r="Z309" s="9"/>
      <c r="AA309" s="9"/>
      <c r="AB309" s="9"/>
      <c r="AC309" s="9"/>
      <c r="AD309" s="9"/>
      <c r="AE309" s="9"/>
      <c r="AF309" s="9"/>
      <c r="AG309" s="9"/>
      <c r="AH309" s="9"/>
      <c r="AI309" s="9"/>
      <c r="AJ309" s="9"/>
      <c r="AK309" s="9"/>
      <c r="AL309" s="9"/>
      <c r="AM309" s="9"/>
      <c r="AN309" s="10"/>
      <c r="AO309" s="65">
        <f t="shared" si="10"/>
        <v>0</v>
      </c>
    </row>
    <row r="310" spans="2:41" s="4" customFormat="1" ht="24" customHeight="1" x14ac:dyDescent="0.2">
      <c r="B310" s="14"/>
      <c r="C310" s="23"/>
      <c r="D310" s="21" t="str">
        <f>IF(ISBLANK(C310), "",
_xlfn.WEBSERVICE(
"https://d16nxf5gxyt1xz.cloudfront.net/Prod/translation?id="
&amp;アカウント情報!$C$2&amp;
"&amp;pwd="
&amp;アカウント情報!$C$3&amp;
"&amp;item="
&amp;_xlfn.ENCODEURL(設定!$F$3)&amp;
"&amp;word="
&amp;_xlfn.ENCODEURL(C310)
)
)</f>
        <v/>
      </c>
      <c r="E310" s="6"/>
      <c r="F310" s="16" t="str">
        <f>IFERROR(VLOOKUP($E310,設定!$C:$F,2,0),"")</f>
        <v/>
      </c>
      <c r="G310" s="156" t="str">
        <f>IFERROR(VLOOKUP($E310,設定!$C:$F,3,0),"")</f>
        <v/>
      </c>
      <c r="H310" s="131" t="str">
        <f>IFERROR(VLOOKUP($E310,設定!$C:$F,4,0),"")</f>
        <v/>
      </c>
      <c r="I310" s="402"/>
      <c r="J310" s="8"/>
      <c r="K310" s="9"/>
      <c r="L310" s="9"/>
      <c r="M310" s="9"/>
      <c r="N310" s="9"/>
      <c r="O310" s="9"/>
      <c r="P310" s="9"/>
      <c r="Q310" s="9"/>
      <c r="R310" s="9"/>
      <c r="S310" s="9"/>
      <c r="T310" s="9"/>
      <c r="U310" s="9"/>
      <c r="V310" s="9"/>
      <c r="W310" s="9"/>
      <c r="X310" s="9"/>
      <c r="Y310" s="9"/>
      <c r="Z310" s="9"/>
      <c r="AA310" s="9"/>
      <c r="AB310" s="9"/>
      <c r="AC310" s="9"/>
      <c r="AD310" s="9"/>
      <c r="AE310" s="9"/>
      <c r="AF310" s="9"/>
      <c r="AG310" s="9"/>
      <c r="AH310" s="9"/>
      <c r="AI310" s="9"/>
      <c r="AJ310" s="9"/>
      <c r="AK310" s="9"/>
      <c r="AL310" s="9"/>
      <c r="AM310" s="9"/>
      <c r="AN310" s="10"/>
      <c r="AO310" s="65">
        <f t="shared" si="10"/>
        <v>0</v>
      </c>
    </row>
    <row r="311" spans="2:41" s="4" customFormat="1" ht="24" customHeight="1" x14ac:dyDescent="0.2">
      <c r="B311" s="14"/>
      <c r="C311" s="23"/>
      <c r="D311" s="21" t="str">
        <f>IF(ISBLANK(C311), "",
_xlfn.WEBSERVICE(
"https://d16nxf5gxyt1xz.cloudfront.net/Prod/translation?id="
&amp;アカウント情報!$C$2&amp;
"&amp;pwd="
&amp;アカウント情報!$C$3&amp;
"&amp;item="
&amp;_xlfn.ENCODEURL(設定!$F$3)&amp;
"&amp;word="
&amp;_xlfn.ENCODEURL(C311)
)
)</f>
        <v/>
      </c>
      <c r="E311" s="6"/>
      <c r="F311" s="16" t="str">
        <f>IFERROR(VLOOKUP($E311,設定!$C:$F,2,0),"")</f>
        <v/>
      </c>
      <c r="G311" s="156" t="str">
        <f>IFERROR(VLOOKUP($E311,設定!$C:$F,3,0),"")</f>
        <v/>
      </c>
      <c r="H311" s="131" t="str">
        <f>IFERROR(VLOOKUP($E311,設定!$C:$F,4,0),"")</f>
        <v/>
      </c>
      <c r="I311" s="402"/>
      <c r="J311" s="8"/>
      <c r="K311" s="9"/>
      <c r="L311" s="9"/>
      <c r="M311" s="9"/>
      <c r="N311" s="9"/>
      <c r="O311" s="9"/>
      <c r="P311" s="9"/>
      <c r="Q311" s="9"/>
      <c r="R311" s="9"/>
      <c r="S311" s="9"/>
      <c r="T311" s="9"/>
      <c r="U311" s="9"/>
      <c r="V311" s="9"/>
      <c r="W311" s="9"/>
      <c r="X311" s="9"/>
      <c r="Y311" s="9"/>
      <c r="Z311" s="9"/>
      <c r="AA311" s="9"/>
      <c r="AB311" s="9"/>
      <c r="AC311" s="9"/>
      <c r="AD311" s="9"/>
      <c r="AE311" s="9"/>
      <c r="AF311" s="9"/>
      <c r="AG311" s="9"/>
      <c r="AH311" s="9"/>
      <c r="AI311" s="9"/>
      <c r="AJ311" s="9"/>
      <c r="AK311" s="9"/>
      <c r="AL311" s="9"/>
      <c r="AM311" s="9"/>
      <c r="AN311" s="10"/>
      <c r="AO311" s="65">
        <f t="shared" si="10"/>
        <v>0</v>
      </c>
    </row>
    <row r="312" spans="2:41" s="4" customFormat="1" ht="24" customHeight="1" x14ac:dyDescent="0.2">
      <c r="B312" s="14"/>
      <c r="C312" s="23"/>
      <c r="D312" s="21" t="str">
        <f>IF(ISBLANK(C312), "",
_xlfn.WEBSERVICE(
"https://d16nxf5gxyt1xz.cloudfront.net/Prod/translation?id="
&amp;アカウント情報!$C$2&amp;
"&amp;pwd="
&amp;アカウント情報!$C$3&amp;
"&amp;item="
&amp;_xlfn.ENCODEURL(設定!$F$3)&amp;
"&amp;word="
&amp;_xlfn.ENCODEURL(C312)
)
)</f>
        <v/>
      </c>
      <c r="E312" s="6"/>
      <c r="F312" s="16" t="str">
        <f>IFERROR(VLOOKUP($E312,設定!$C:$F,2,0),"")</f>
        <v/>
      </c>
      <c r="G312" s="156" t="str">
        <f>IFERROR(VLOOKUP($E312,設定!$C:$F,3,0),"")</f>
        <v/>
      </c>
      <c r="H312" s="131" t="str">
        <f>IFERROR(VLOOKUP($E312,設定!$C:$F,4,0),"")</f>
        <v/>
      </c>
      <c r="I312" s="402"/>
      <c r="J312" s="8"/>
      <c r="K312" s="9"/>
      <c r="L312" s="9"/>
      <c r="M312" s="9"/>
      <c r="N312" s="9"/>
      <c r="O312" s="9"/>
      <c r="P312" s="9"/>
      <c r="Q312" s="9"/>
      <c r="R312" s="9"/>
      <c r="S312" s="9"/>
      <c r="T312" s="9"/>
      <c r="U312" s="9"/>
      <c r="V312" s="9"/>
      <c r="W312" s="9"/>
      <c r="X312" s="9"/>
      <c r="Y312" s="9"/>
      <c r="Z312" s="9"/>
      <c r="AA312" s="9"/>
      <c r="AB312" s="9"/>
      <c r="AC312" s="9"/>
      <c r="AD312" s="9"/>
      <c r="AE312" s="9"/>
      <c r="AF312" s="9"/>
      <c r="AG312" s="9"/>
      <c r="AH312" s="9"/>
      <c r="AI312" s="9"/>
      <c r="AJ312" s="9"/>
      <c r="AK312" s="9"/>
      <c r="AL312" s="9"/>
      <c r="AM312" s="9"/>
      <c r="AN312" s="10"/>
      <c r="AO312" s="65">
        <f t="shared" si="10"/>
        <v>0</v>
      </c>
    </row>
    <row r="313" spans="2:41" s="4" customFormat="1" ht="24" customHeight="1" x14ac:dyDescent="0.2">
      <c r="B313" s="14"/>
      <c r="C313" s="23"/>
      <c r="D313" s="21" t="str">
        <f>IF(ISBLANK(C313), "",
_xlfn.WEBSERVICE(
"https://d16nxf5gxyt1xz.cloudfront.net/Prod/translation?id="
&amp;アカウント情報!$C$2&amp;
"&amp;pwd="
&amp;アカウント情報!$C$3&amp;
"&amp;item="
&amp;_xlfn.ENCODEURL(設定!$F$3)&amp;
"&amp;word="
&amp;_xlfn.ENCODEURL(C313)
)
)</f>
        <v/>
      </c>
      <c r="E313" s="6"/>
      <c r="F313" s="16" t="str">
        <f>IFERROR(VLOOKUP($E313,設定!$C:$F,2,0),"")</f>
        <v/>
      </c>
      <c r="G313" s="156" t="str">
        <f>IFERROR(VLOOKUP($E313,設定!$C:$F,3,0),"")</f>
        <v/>
      </c>
      <c r="H313" s="131" t="str">
        <f>IFERROR(VLOOKUP($E313,設定!$C:$F,4,0),"")</f>
        <v/>
      </c>
      <c r="I313" s="402"/>
      <c r="J313" s="8"/>
      <c r="K313" s="9"/>
      <c r="L313" s="9"/>
      <c r="M313" s="9"/>
      <c r="N313" s="9"/>
      <c r="O313" s="9"/>
      <c r="P313" s="9"/>
      <c r="Q313" s="9"/>
      <c r="R313" s="9"/>
      <c r="S313" s="9"/>
      <c r="T313" s="9"/>
      <c r="U313" s="9"/>
      <c r="V313" s="9"/>
      <c r="W313" s="9"/>
      <c r="X313" s="9"/>
      <c r="Y313" s="9"/>
      <c r="Z313" s="9"/>
      <c r="AA313" s="9"/>
      <c r="AB313" s="9"/>
      <c r="AC313" s="9"/>
      <c r="AD313" s="9"/>
      <c r="AE313" s="9"/>
      <c r="AF313" s="9"/>
      <c r="AG313" s="9"/>
      <c r="AH313" s="9"/>
      <c r="AI313" s="9"/>
      <c r="AJ313" s="9"/>
      <c r="AK313" s="9"/>
      <c r="AL313" s="9"/>
      <c r="AM313" s="9"/>
      <c r="AN313" s="10"/>
      <c r="AO313" s="65">
        <f t="shared" si="10"/>
        <v>0</v>
      </c>
    </row>
    <row r="314" spans="2:41" s="4" customFormat="1" ht="24" customHeight="1" x14ac:dyDescent="0.2">
      <c r="B314" s="14"/>
      <c r="C314" s="23"/>
      <c r="D314" s="21" t="str">
        <f>IF(ISBLANK(C314), "",
_xlfn.WEBSERVICE(
"https://d16nxf5gxyt1xz.cloudfront.net/Prod/translation?id="
&amp;アカウント情報!$C$2&amp;
"&amp;pwd="
&amp;アカウント情報!$C$3&amp;
"&amp;item="
&amp;_xlfn.ENCODEURL(設定!$F$3)&amp;
"&amp;word="
&amp;_xlfn.ENCODEURL(C314)
)
)</f>
        <v/>
      </c>
      <c r="E314" s="6"/>
      <c r="F314" s="16" t="str">
        <f>IFERROR(VLOOKUP($E314,設定!$C:$F,2,0),"")</f>
        <v/>
      </c>
      <c r="G314" s="156" t="str">
        <f>IFERROR(VLOOKUP($E314,設定!$C:$F,3,0),"")</f>
        <v/>
      </c>
      <c r="H314" s="131" t="str">
        <f>IFERROR(VLOOKUP($E314,設定!$C:$F,4,0),"")</f>
        <v/>
      </c>
      <c r="I314" s="402"/>
      <c r="J314" s="8"/>
      <c r="K314" s="9"/>
      <c r="L314" s="9"/>
      <c r="M314" s="9"/>
      <c r="N314" s="9"/>
      <c r="O314" s="9"/>
      <c r="P314" s="9"/>
      <c r="Q314" s="9"/>
      <c r="R314" s="9"/>
      <c r="S314" s="9"/>
      <c r="T314" s="9"/>
      <c r="U314" s="9"/>
      <c r="V314" s="9"/>
      <c r="W314" s="9"/>
      <c r="X314" s="9"/>
      <c r="Y314" s="9"/>
      <c r="Z314" s="9"/>
      <c r="AA314" s="9"/>
      <c r="AB314" s="9"/>
      <c r="AC314" s="9"/>
      <c r="AD314" s="9"/>
      <c r="AE314" s="9"/>
      <c r="AF314" s="9"/>
      <c r="AG314" s="9"/>
      <c r="AH314" s="9"/>
      <c r="AI314" s="9"/>
      <c r="AJ314" s="9"/>
      <c r="AK314" s="9"/>
      <c r="AL314" s="9"/>
      <c r="AM314" s="9"/>
      <c r="AN314" s="10"/>
      <c r="AO314" s="65">
        <f t="shared" si="10"/>
        <v>0</v>
      </c>
    </row>
    <row r="315" spans="2:41" s="4" customFormat="1" ht="24" customHeight="1" x14ac:dyDescent="0.2">
      <c r="B315" s="14"/>
      <c r="C315" s="23"/>
      <c r="D315" s="21" t="str">
        <f>IF(ISBLANK(C315), "",
_xlfn.WEBSERVICE(
"https://d16nxf5gxyt1xz.cloudfront.net/Prod/translation?id="
&amp;アカウント情報!$C$2&amp;
"&amp;pwd="
&amp;アカウント情報!$C$3&amp;
"&amp;item="
&amp;_xlfn.ENCODEURL(設定!$F$3)&amp;
"&amp;word="
&amp;_xlfn.ENCODEURL(C315)
)
)</f>
        <v/>
      </c>
      <c r="E315" s="6"/>
      <c r="F315" s="16" t="str">
        <f>IFERROR(VLOOKUP($E315,設定!$C:$F,2,0),"")</f>
        <v/>
      </c>
      <c r="G315" s="156" t="str">
        <f>IFERROR(VLOOKUP($E315,設定!$C:$F,3,0),"")</f>
        <v/>
      </c>
      <c r="H315" s="131" t="str">
        <f>IFERROR(VLOOKUP($E315,設定!$C:$F,4,0),"")</f>
        <v/>
      </c>
      <c r="I315" s="402"/>
      <c r="J315" s="8"/>
      <c r="K315" s="9"/>
      <c r="L315" s="9"/>
      <c r="M315" s="9"/>
      <c r="N315" s="9"/>
      <c r="O315" s="9"/>
      <c r="P315" s="9"/>
      <c r="Q315" s="9"/>
      <c r="R315" s="9"/>
      <c r="S315" s="9"/>
      <c r="T315" s="9"/>
      <c r="U315" s="9"/>
      <c r="V315" s="9"/>
      <c r="W315" s="9"/>
      <c r="X315" s="9"/>
      <c r="Y315" s="9"/>
      <c r="Z315" s="9"/>
      <c r="AA315" s="9"/>
      <c r="AB315" s="9"/>
      <c r="AC315" s="9"/>
      <c r="AD315" s="9"/>
      <c r="AE315" s="9"/>
      <c r="AF315" s="9"/>
      <c r="AG315" s="9"/>
      <c r="AH315" s="9"/>
      <c r="AI315" s="9"/>
      <c r="AJ315" s="9"/>
      <c r="AK315" s="9"/>
      <c r="AL315" s="9"/>
      <c r="AM315" s="9"/>
      <c r="AN315" s="10"/>
      <c r="AO315" s="65">
        <f t="shared" si="10"/>
        <v>0</v>
      </c>
    </row>
    <row r="316" spans="2:41" s="4" customFormat="1" ht="24" customHeight="1" x14ac:dyDescent="0.2">
      <c r="B316" s="14"/>
      <c r="C316" s="23"/>
      <c r="D316" s="21" t="str">
        <f>IF(ISBLANK(C316), "",
_xlfn.WEBSERVICE(
"https://d16nxf5gxyt1xz.cloudfront.net/Prod/translation?id="
&amp;アカウント情報!$C$2&amp;
"&amp;pwd="
&amp;アカウント情報!$C$3&amp;
"&amp;item="
&amp;_xlfn.ENCODEURL(設定!$F$3)&amp;
"&amp;word="
&amp;_xlfn.ENCODEURL(C316)
)
)</f>
        <v/>
      </c>
      <c r="E316" s="6"/>
      <c r="F316" s="16" t="str">
        <f>IFERROR(VLOOKUP($E316,設定!$C:$F,2,0),"")</f>
        <v/>
      </c>
      <c r="G316" s="156" t="str">
        <f>IFERROR(VLOOKUP($E316,設定!$C:$F,3,0),"")</f>
        <v/>
      </c>
      <c r="H316" s="131" t="str">
        <f>IFERROR(VLOOKUP($E316,設定!$C:$F,4,0),"")</f>
        <v/>
      </c>
      <c r="I316" s="402"/>
      <c r="J316" s="8"/>
      <c r="K316" s="9"/>
      <c r="L316" s="9"/>
      <c r="M316" s="9"/>
      <c r="N316" s="9"/>
      <c r="O316" s="9"/>
      <c r="P316" s="9"/>
      <c r="Q316" s="9"/>
      <c r="R316" s="9"/>
      <c r="S316" s="9"/>
      <c r="T316" s="9"/>
      <c r="U316" s="9"/>
      <c r="V316" s="9"/>
      <c r="W316" s="9"/>
      <c r="X316" s="9"/>
      <c r="Y316" s="9"/>
      <c r="Z316" s="9"/>
      <c r="AA316" s="9"/>
      <c r="AB316" s="9"/>
      <c r="AC316" s="9"/>
      <c r="AD316" s="9"/>
      <c r="AE316" s="9"/>
      <c r="AF316" s="9"/>
      <c r="AG316" s="9"/>
      <c r="AH316" s="9"/>
      <c r="AI316" s="9"/>
      <c r="AJ316" s="9"/>
      <c r="AK316" s="9"/>
      <c r="AL316" s="9"/>
      <c r="AM316" s="9"/>
      <c r="AN316" s="10"/>
      <c r="AO316" s="65">
        <f t="shared" si="10"/>
        <v>0</v>
      </c>
    </row>
    <row r="317" spans="2:41" s="4" customFormat="1" ht="24" customHeight="1" x14ac:dyDescent="0.2">
      <c r="B317" s="14"/>
      <c r="C317" s="23"/>
      <c r="D317" s="21" t="str">
        <f>IF(ISBLANK(C317), "",
_xlfn.WEBSERVICE(
"https://d16nxf5gxyt1xz.cloudfront.net/Prod/translation?id="
&amp;アカウント情報!$C$2&amp;
"&amp;pwd="
&amp;アカウント情報!$C$3&amp;
"&amp;item="
&amp;_xlfn.ENCODEURL(設定!$F$3)&amp;
"&amp;word="
&amp;_xlfn.ENCODEURL(C317)
)
)</f>
        <v/>
      </c>
      <c r="E317" s="6"/>
      <c r="F317" s="16" t="str">
        <f>IFERROR(VLOOKUP($E317,設定!$C:$F,2,0),"")</f>
        <v/>
      </c>
      <c r="G317" s="156" t="str">
        <f>IFERROR(VLOOKUP($E317,設定!$C:$F,3,0),"")</f>
        <v/>
      </c>
      <c r="H317" s="131" t="str">
        <f>IFERROR(VLOOKUP($E317,設定!$C:$F,4,0),"")</f>
        <v/>
      </c>
      <c r="I317" s="402"/>
      <c r="J317" s="8"/>
      <c r="K317" s="9"/>
      <c r="L317" s="9"/>
      <c r="M317" s="9"/>
      <c r="N317" s="9"/>
      <c r="O317" s="9"/>
      <c r="P317" s="9"/>
      <c r="Q317" s="9"/>
      <c r="R317" s="9"/>
      <c r="S317" s="9"/>
      <c r="T317" s="9"/>
      <c r="U317" s="9"/>
      <c r="V317" s="9"/>
      <c r="W317" s="9"/>
      <c r="X317" s="9"/>
      <c r="Y317" s="9"/>
      <c r="Z317" s="9"/>
      <c r="AA317" s="9"/>
      <c r="AB317" s="9"/>
      <c r="AC317" s="9"/>
      <c r="AD317" s="9"/>
      <c r="AE317" s="9"/>
      <c r="AF317" s="9"/>
      <c r="AG317" s="9"/>
      <c r="AH317" s="9"/>
      <c r="AI317" s="9"/>
      <c r="AJ317" s="9"/>
      <c r="AK317" s="9"/>
      <c r="AL317" s="9"/>
      <c r="AM317" s="9"/>
      <c r="AN317" s="10"/>
      <c r="AO317" s="65">
        <f t="shared" si="10"/>
        <v>0</v>
      </c>
    </row>
    <row r="318" spans="2:41" s="4" customFormat="1" ht="24" customHeight="1" x14ac:dyDescent="0.2">
      <c r="B318" s="14"/>
      <c r="C318" s="23"/>
      <c r="D318" s="21" t="str">
        <f>IF(ISBLANK(C318), "",
_xlfn.WEBSERVICE(
"https://d16nxf5gxyt1xz.cloudfront.net/Prod/translation?id="
&amp;アカウント情報!$C$2&amp;
"&amp;pwd="
&amp;アカウント情報!$C$3&amp;
"&amp;item="
&amp;_xlfn.ENCODEURL(設定!$F$3)&amp;
"&amp;word="
&amp;_xlfn.ENCODEURL(C318)
)
)</f>
        <v/>
      </c>
      <c r="E318" s="6"/>
      <c r="F318" s="16" t="str">
        <f>IFERROR(VLOOKUP($E318,設定!$C:$F,2,0),"")</f>
        <v/>
      </c>
      <c r="G318" s="156" t="str">
        <f>IFERROR(VLOOKUP($E318,設定!$C:$F,3,0),"")</f>
        <v/>
      </c>
      <c r="H318" s="131" t="str">
        <f>IFERROR(VLOOKUP($E318,設定!$C:$F,4,0),"")</f>
        <v/>
      </c>
      <c r="I318" s="402"/>
      <c r="J318" s="8"/>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9"/>
      <c r="AJ318" s="9"/>
      <c r="AK318" s="9"/>
      <c r="AL318" s="9"/>
      <c r="AM318" s="9"/>
      <c r="AN318" s="10"/>
      <c r="AO318" s="65">
        <f t="shared" si="10"/>
        <v>0</v>
      </c>
    </row>
    <row r="319" spans="2:41" s="4" customFormat="1" ht="24" customHeight="1" x14ac:dyDescent="0.2">
      <c r="B319" s="14"/>
      <c r="C319" s="23"/>
      <c r="D319" s="21" t="str">
        <f>IF(ISBLANK(C319), "",
_xlfn.WEBSERVICE(
"https://d16nxf5gxyt1xz.cloudfront.net/Prod/translation?id="
&amp;アカウント情報!$C$2&amp;
"&amp;pwd="
&amp;アカウント情報!$C$3&amp;
"&amp;item="
&amp;_xlfn.ENCODEURL(設定!$F$3)&amp;
"&amp;word="
&amp;_xlfn.ENCODEURL(C319)
)
)</f>
        <v/>
      </c>
      <c r="E319" s="6"/>
      <c r="F319" s="16" t="str">
        <f>IFERROR(VLOOKUP($E319,設定!$C:$F,2,0),"")</f>
        <v/>
      </c>
      <c r="G319" s="156" t="str">
        <f>IFERROR(VLOOKUP($E319,設定!$C:$F,3,0),"")</f>
        <v/>
      </c>
      <c r="H319" s="131" t="str">
        <f>IFERROR(VLOOKUP($E319,設定!$C:$F,4,0),"")</f>
        <v/>
      </c>
      <c r="I319" s="402"/>
      <c r="J319" s="8"/>
      <c r="K319" s="9"/>
      <c r="L319" s="9"/>
      <c r="M319" s="9"/>
      <c r="N319" s="9"/>
      <c r="O319" s="9"/>
      <c r="P319" s="9"/>
      <c r="Q319" s="9"/>
      <c r="R319" s="9"/>
      <c r="S319" s="9"/>
      <c r="T319" s="9"/>
      <c r="U319" s="9"/>
      <c r="V319" s="9"/>
      <c r="W319" s="9"/>
      <c r="X319" s="9"/>
      <c r="Y319" s="9"/>
      <c r="Z319" s="9"/>
      <c r="AA319" s="9"/>
      <c r="AB319" s="9"/>
      <c r="AC319" s="9"/>
      <c r="AD319" s="9"/>
      <c r="AE319" s="9"/>
      <c r="AF319" s="9"/>
      <c r="AG319" s="9"/>
      <c r="AH319" s="9"/>
      <c r="AI319" s="9"/>
      <c r="AJ319" s="9"/>
      <c r="AK319" s="9"/>
      <c r="AL319" s="9"/>
      <c r="AM319" s="9"/>
      <c r="AN319" s="10"/>
      <c r="AO319" s="65">
        <f t="shared" si="10"/>
        <v>0</v>
      </c>
    </row>
    <row r="320" spans="2:41" s="4" customFormat="1" ht="24" customHeight="1" x14ac:dyDescent="0.2">
      <c r="B320" s="14"/>
      <c r="C320" s="23"/>
      <c r="D320" s="21" t="str">
        <f>IF(ISBLANK(C320), "",
_xlfn.WEBSERVICE(
"https://d16nxf5gxyt1xz.cloudfront.net/Prod/translation?id="
&amp;アカウント情報!$C$2&amp;
"&amp;pwd="
&amp;アカウント情報!$C$3&amp;
"&amp;item="
&amp;_xlfn.ENCODEURL(設定!$F$3)&amp;
"&amp;word="
&amp;_xlfn.ENCODEURL(C320)
)
)</f>
        <v/>
      </c>
      <c r="E320" s="6"/>
      <c r="F320" s="16" t="str">
        <f>IFERROR(VLOOKUP($E320,設定!$C:$F,2,0),"")</f>
        <v/>
      </c>
      <c r="G320" s="156" t="str">
        <f>IFERROR(VLOOKUP($E320,設定!$C:$F,3,0),"")</f>
        <v/>
      </c>
      <c r="H320" s="131" t="str">
        <f>IFERROR(VLOOKUP($E320,設定!$C:$F,4,0),"")</f>
        <v/>
      </c>
      <c r="I320" s="402"/>
      <c r="J320" s="8"/>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10"/>
      <c r="AO320" s="65">
        <f t="shared" si="10"/>
        <v>0</v>
      </c>
    </row>
    <row r="321" spans="2:41" s="4" customFormat="1" ht="24" customHeight="1" x14ac:dyDescent="0.2">
      <c r="B321" s="14"/>
      <c r="C321" s="23"/>
      <c r="D321" s="21" t="str">
        <f>IF(ISBLANK(C321), "",
_xlfn.WEBSERVICE(
"https://d16nxf5gxyt1xz.cloudfront.net/Prod/translation?id="
&amp;アカウント情報!$C$2&amp;
"&amp;pwd="
&amp;アカウント情報!$C$3&amp;
"&amp;item="
&amp;_xlfn.ENCODEURL(設定!$F$3)&amp;
"&amp;word="
&amp;_xlfn.ENCODEURL(C321)
)
)</f>
        <v/>
      </c>
      <c r="E321" s="6"/>
      <c r="F321" s="16" t="str">
        <f>IFERROR(VLOOKUP($E321,設定!$C:$F,2,0),"")</f>
        <v/>
      </c>
      <c r="G321" s="156" t="str">
        <f>IFERROR(VLOOKUP($E321,設定!$C:$F,3,0),"")</f>
        <v/>
      </c>
      <c r="H321" s="131" t="str">
        <f>IFERROR(VLOOKUP($E321,設定!$C:$F,4,0),"")</f>
        <v/>
      </c>
      <c r="I321" s="402"/>
      <c r="J321" s="8"/>
      <c r="K321" s="9"/>
      <c r="L321" s="9"/>
      <c r="M321" s="9"/>
      <c r="N321" s="9"/>
      <c r="O321" s="9"/>
      <c r="P321" s="9"/>
      <c r="Q321" s="9"/>
      <c r="R321" s="9"/>
      <c r="S321" s="9"/>
      <c r="T321" s="9"/>
      <c r="U321" s="9"/>
      <c r="V321" s="9"/>
      <c r="W321" s="9"/>
      <c r="X321" s="9"/>
      <c r="Y321" s="9"/>
      <c r="Z321" s="9"/>
      <c r="AA321" s="9"/>
      <c r="AB321" s="9"/>
      <c r="AC321" s="9"/>
      <c r="AD321" s="9"/>
      <c r="AE321" s="9"/>
      <c r="AF321" s="9"/>
      <c r="AG321" s="9"/>
      <c r="AH321" s="9"/>
      <c r="AI321" s="9"/>
      <c r="AJ321" s="9"/>
      <c r="AK321" s="9"/>
      <c r="AL321" s="9"/>
      <c r="AM321" s="9"/>
      <c r="AN321" s="10"/>
      <c r="AO321" s="65">
        <f t="shared" si="10"/>
        <v>0</v>
      </c>
    </row>
    <row r="322" spans="2:41" s="4" customFormat="1" ht="24" customHeight="1" x14ac:dyDescent="0.2">
      <c r="B322" s="14"/>
      <c r="C322" s="23"/>
      <c r="D322" s="21" t="str">
        <f>IF(ISBLANK(C322), "",
_xlfn.WEBSERVICE(
"https://d16nxf5gxyt1xz.cloudfront.net/Prod/translation?id="
&amp;アカウント情報!$C$2&amp;
"&amp;pwd="
&amp;アカウント情報!$C$3&amp;
"&amp;item="
&amp;_xlfn.ENCODEURL(設定!$F$3)&amp;
"&amp;word="
&amp;_xlfn.ENCODEURL(C322)
)
)</f>
        <v/>
      </c>
      <c r="E322" s="6"/>
      <c r="F322" s="16" t="str">
        <f>IFERROR(VLOOKUP($E322,設定!$C:$F,2,0),"")</f>
        <v/>
      </c>
      <c r="G322" s="156" t="str">
        <f>IFERROR(VLOOKUP($E322,設定!$C:$F,3,0),"")</f>
        <v/>
      </c>
      <c r="H322" s="131" t="str">
        <f>IFERROR(VLOOKUP($E322,設定!$C:$F,4,0),"")</f>
        <v/>
      </c>
      <c r="I322" s="402"/>
      <c r="J322" s="8"/>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10"/>
      <c r="AO322" s="65">
        <f t="shared" si="10"/>
        <v>0</v>
      </c>
    </row>
    <row r="323" spans="2:41" s="4" customFormat="1" ht="24" customHeight="1" x14ac:dyDescent="0.2">
      <c r="B323" s="14"/>
      <c r="C323" s="23"/>
      <c r="D323" s="21" t="str">
        <f>IF(ISBLANK(C323), "",
_xlfn.WEBSERVICE(
"https://d16nxf5gxyt1xz.cloudfront.net/Prod/translation?id="
&amp;アカウント情報!$C$2&amp;
"&amp;pwd="
&amp;アカウント情報!$C$3&amp;
"&amp;item="
&amp;_xlfn.ENCODEURL(設定!$F$3)&amp;
"&amp;word="
&amp;_xlfn.ENCODEURL(C323)
)
)</f>
        <v/>
      </c>
      <c r="E323" s="6"/>
      <c r="F323" s="16" t="str">
        <f>IFERROR(VLOOKUP($E323,設定!$C:$F,2,0),"")</f>
        <v/>
      </c>
      <c r="G323" s="156" t="str">
        <f>IFERROR(VLOOKUP($E323,設定!$C:$F,3,0),"")</f>
        <v/>
      </c>
      <c r="H323" s="131" t="str">
        <f>IFERROR(VLOOKUP($E323,設定!$C:$F,4,0),"")</f>
        <v/>
      </c>
      <c r="I323" s="402"/>
      <c r="J323" s="8"/>
      <c r="K323" s="9"/>
      <c r="L323" s="9"/>
      <c r="M323" s="9"/>
      <c r="N323" s="9"/>
      <c r="O323" s="9"/>
      <c r="P323" s="9"/>
      <c r="Q323" s="9"/>
      <c r="R323" s="9"/>
      <c r="S323" s="9"/>
      <c r="T323" s="9"/>
      <c r="U323" s="9"/>
      <c r="V323" s="9"/>
      <c r="W323" s="9"/>
      <c r="X323" s="9"/>
      <c r="Y323" s="9"/>
      <c r="Z323" s="9"/>
      <c r="AA323" s="9"/>
      <c r="AB323" s="9"/>
      <c r="AC323" s="9"/>
      <c r="AD323" s="9"/>
      <c r="AE323" s="9"/>
      <c r="AF323" s="9"/>
      <c r="AG323" s="9"/>
      <c r="AH323" s="9"/>
      <c r="AI323" s="9"/>
      <c r="AJ323" s="9"/>
      <c r="AK323" s="9"/>
      <c r="AL323" s="9"/>
      <c r="AM323" s="9"/>
      <c r="AN323" s="10"/>
      <c r="AO323" s="65">
        <f t="shared" si="10"/>
        <v>0</v>
      </c>
    </row>
    <row r="324" spans="2:41" s="4" customFormat="1" ht="24" customHeight="1" x14ac:dyDescent="0.2">
      <c r="B324" s="14"/>
      <c r="C324" s="23"/>
      <c r="D324" s="21" t="str">
        <f>IF(ISBLANK(C324), "",
_xlfn.WEBSERVICE(
"https://d16nxf5gxyt1xz.cloudfront.net/Prod/translation?id="
&amp;アカウント情報!$C$2&amp;
"&amp;pwd="
&amp;アカウント情報!$C$3&amp;
"&amp;item="
&amp;_xlfn.ENCODEURL(設定!$F$3)&amp;
"&amp;word="
&amp;_xlfn.ENCODEURL(C324)
)
)</f>
        <v/>
      </c>
      <c r="E324" s="6"/>
      <c r="F324" s="16" t="str">
        <f>IFERROR(VLOOKUP($E324,設定!$C:$F,2,0),"")</f>
        <v/>
      </c>
      <c r="G324" s="156" t="str">
        <f>IFERROR(VLOOKUP($E324,設定!$C:$F,3,0),"")</f>
        <v/>
      </c>
      <c r="H324" s="131" t="str">
        <f>IFERROR(VLOOKUP($E324,設定!$C:$F,4,0),"")</f>
        <v/>
      </c>
      <c r="I324" s="402"/>
      <c r="J324" s="8"/>
      <c r="K324" s="9"/>
      <c r="L324" s="9"/>
      <c r="M324" s="9"/>
      <c r="N324" s="9"/>
      <c r="O324" s="9"/>
      <c r="P324" s="9"/>
      <c r="Q324" s="9"/>
      <c r="R324" s="9"/>
      <c r="S324" s="9"/>
      <c r="T324" s="9"/>
      <c r="U324" s="9"/>
      <c r="V324" s="9"/>
      <c r="W324" s="9"/>
      <c r="X324" s="9"/>
      <c r="Y324" s="9"/>
      <c r="Z324" s="9"/>
      <c r="AA324" s="9"/>
      <c r="AB324" s="9"/>
      <c r="AC324" s="9"/>
      <c r="AD324" s="9"/>
      <c r="AE324" s="9"/>
      <c r="AF324" s="9"/>
      <c r="AG324" s="9"/>
      <c r="AH324" s="9"/>
      <c r="AI324" s="9"/>
      <c r="AJ324" s="9"/>
      <c r="AK324" s="9"/>
      <c r="AL324" s="9"/>
      <c r="AM324" s="9"/>
      <c r="AN324" s="10"/>
      <c r="AO324" s="65">
        <f t="shared" si="10"/>
        <v>0</v>
      </c>
    </row>
    <row r="325" spans="2:41" s="4" customFormat="1" ht="24" customHeight="1" x14ac:dyDescent="0.2">
      <c r="B325" s="14"/>
      <c r="C325" s="23"/>
      <c r="D325" s="21" t="str">
        <f>IF(ISBLANK(C325), "",
_xlfn.WEBSERVICE(
"https://d16nxf5gxyt1xz.cloudfront.net/Prod/translation?id="
&amp;アカウント情報!$C$2&amp;
"&amp;pwd="
&amp;アカウント情報!$C$3&amp;
"&amp;item="
&amp;_xlfn.ENCODEURL(設定!$F$3)&amp;
"&amp;word="
&amp;_xlfn.ENCODEURL(C325)
)
)</f>
        <v/>
      </c>
      <c r="E325" s="6"/>
      <c r="F325" s="16" t="str">
        <f>IFERROR(VLOOKUP($E325,設定!$C:$F,2,0),"")</f>
        <v/>
      </c>
      <c r="G325" s="156" t="str">
        <f>IFERROR(VLOOKUP($E325,設定!$C:$F,3,0),"")</f>
        <v/>
      </c>
      <c r="H325" s="131" t="str">
        <f>IFERROR(VLOOKUP($E325,設定!$C:$F,4,0),"")</f>
        <v/>
      </c>
      <c r="I325" s="402"/>
      <c r="J325" s="8"/>
      <c r="K325" s="9"/>
      <c r="L325" s="9"/>
      <c r="M325" s="9"/>
      <c r="N325" s="9"/>
      <c r="O325" s="9"/>
      <c r="P325" s="9"/>
      <c r="Q325" s="9"/>
      <c r="R325" s="9"/>
      <c r="S325" s="9"/>
      <c r="T325" s="9"/>
      <c r="U325" s="9"/>
      <c r="V325" s="9"/>
      <c r="W325" s="9"/>
      <c r="X325" s="9"/>
      <c r="Y325" s="9"/>
      <c r="Z325" s="9"/>
      <c r="AA325" s="9"/>
      <c r="AB325" s="9"/>
      <c r="AC325" s="9"/>
      <c r="AD325" s="9"/>
      <c r="AE325" s="9"/>
      <c r="AF325" s="9"/>
      <c r="AG325" s="9"/>
      <c r="AH325" s="9"/>
      <c r="AI325" s="9"/>
      <c r="AJ325" s="9"/>
      <c r="AK325" s="9"/>
      <c r="AL325" s="9"/>
      <c r="AM325" s="9"/>
      <c r="AN325" s="10"/>
      <c r="AO325" s="65">
        <f t="shared" si="10"/>
        <v>0</v>
      </c>
    </row>
    <row r="326" spans="2:41" s="4" customFormat="1" ht="24" customHeight="1" x14ac:dyDescent="0.2">
      <c r="B326" s="14"/>
      <c r="C326" s="23"/>
      <c r="D326" s="21" t="str">
        <f>IF(ISBLANK(C326), "",
_xlfn.WEBSERVICE(
"https://d16nxf5gxyt1xz.cloudfront.net/Prod/translation?id="
&amp;アカウント情報!$C$2&amp;
"&amp;pwd="
&amp;アカウント情報!$C$3&amp;
"&amp;item="
&amp;_xlfn.ENCODEURL(設定!$F$3)&amp;
"&amp;word="
&amp;_xlfn.ENCODEURL(C326)
)
)</f>
        <v/>
      </c>
      <c r="E326" s="6"/>
      <c r="F326" s="16" t="str">
        <f>IFERROR(VLOOKUP($E326,設定!$C:$F,2,0),"")</f>
        <v/>
      </c>
      <c r="G326" s="156" t="str">
        <f>IFERROR(VLOOKUP($E326,設定!$C:$F,3,0),"")</f>
        <v/>
      </c>
      <c r="H326" s="131" t="str">
        <f>IFERROR(VLOOKUP($E326,設定!$C:$F,4,0),"")</f>
        <v/>
      </c>
      <c r="I326" s="402"/>
      <c r="J326" s="8"/>
      <c r="K326" s="9"/>
      <c r="L326" s="9"/>
      <c r="M326" s="9"/>
      <c r="N326" s="9"/>
      <c r="O326" s="9"/>
      <c r="P326" s="9"/>
      <c r="Q326" s="9"/>
      <c r="R326" s="9"/>
      <c r="S326" s="9"/>
      <c r="T326" s="9"/>
      <c r="U326" s="9"/>
      <c r="V326" s="9"/>
      <c r="W326" s="9"/>
      <c r="X326" s="9"/>
      <c r="Y326" s="9"/>
      <c r="Z326" s="9"/>
      <c r="AA326" s="9"/>
      <c r="AB326" s="9"/>
      <c r="AC326" s="9"/>
      <c r="AD326" s="9"/>
      <c r="AE326" s="9"/>
      <c r="AF326" s="9"/>
      <c r="AG326" s="9"/>
      <c r="AH326" s="9"/>
      <c r="AI326" s="9"/>
      <c r="AJ326" s="9"/>
      <c r="AK326" s="9"/>
      <c r="AL326" s="9"/>
      <c r="AM326" s="9"/>
      <c r="AN326" s="10"/>
      <c r="AO326" s="65">
        <f t="shared" si="10"/>
        <v>0</v>
      </c>
    </row>
    <row r="327" spans="2:41" s="4" customFormat="1" ht="24" customHeight="1" x14ac:dyDescent="0.2">
      <c r="B327" s="14"/>
      <c r="C327" s="23"/>
      <c r="D327" s="21" t="str">
        <f>IF(ISBLANK(C327), "",
_xlfn.WEBSERVICE(
"https://d16nxf5gxyt1xz.cloudfront.net/Prod/translation?id="
&amp;アカウント情報!$C$2&amp;
"&amp;pwd="
&amp;アカウント情報!$C$3&amp;
"&amp;item="
&amp;_xlfn.ENCODEURL(設定!$F$3)&amp;
"&amp;word="
&amp;_xlfn.ENCODEURL(C327)
)
)</f>
        <v/>
      </c>
      <c r="E327" s="6"/>
      <c r="F327" s="16" t="str">
        <f>IFERROR(VLOOKUP($E327,設定!$C:$F,2,0),"")</f>
        <v/>
      </c>
      <c r="G327" s="156" t="str">
        <f>IFERROR(VLOOKUP($E327,設定!$C:$F,3,0),"")</f>
        <v/>
      </c>
      <c r="H327" s="131" t="str">
        <f>IFERROR(VLOOKUP($E327,設定!$C:$F,4,0),"")</f>
        <v/>
      </c>
      <c r="I327" s="402"/>
      <c r="J327" s="8"/>
      <c r="K327" s="9"/>
      <c r="L327" s="9"/>
      <c r="M327" s="9"/>
      <c r="N327" s="9"/>
      <c r="O327" s="9"/>
      <c r="P327" s="9"/>
      <c r="Q327" s="9"/>
      <c r="R327" s="9"/>
      <c r="S327" s="9"/>
      <c r="T327" s="9"/>
      <c r="U327" s="9"/>
      <c r="V327" s="9"/>
      <c r="W327" s="9"/>
      <c r="X327" s="9"/>
      <c r="Y327" s="9"/>
      <c r="Z327" s="9"/>
      <c r="AA327" s="9"/>
      <c r="AB327" s="9"/>
      <c r="AC327" s="9"/>
      <c r="AD327" s="9"/>
      <c r="AE327" s="9"/>
      <c r="AF327" s="9"/>
      <c r="AG327" s="9"/>
      <c r="AH327" s="9"/>
      <c r="AI327" s="9"/>
      <c r="AJ327" s="9"/>
      <c r="AK327" s="9"/>
      <c r="AL327" s="9"/>
      <c r="AM327" s="9"/>
      <c r="AN327" s="10"/>
      <c r="AO327" s="65">
        <f t="shared" si="10"/>
        <v>0</v>
      </c>
    </row>
    <row r="328" spans="2:41" s="4" customFormat="1" ht="24" customHeight="1" x14ac:dyDescent="0.2">
      <c r="B328" s="14"/>
      <c r="C328" s="23"/>
      <c r="D328" s="21" t="str">
        <f>IF(ISBLANK(C328), "",
_xlfn.WEBSERVICE(
"https://d16nxf5gxyt1xz.cloudfront.net/Prod/translation?id="
&amp;アカウント情報!$C$2&amp;
"&amp;pwd="
&amp;アカウント情報!$C$3&amp;
"&amp;item="
&amp;_xlfn.ENCODEURL(設定!$F$3)&amp;
"&amp;word="
&amp;_xlfn.ENCODEURL(C328)
)
)</f>
        <v/>
      </c>
      <c r="E328" s="6"/>
      <c r="F328" s="16" t="str">
        <f>IFERROR(VLOOKUP($E328,設定!$C:$F,2,0),"")</f>
        <v/>
      </c>
      <c r="G328" s="156" t="str">
        <f>IFERROR(VLOOKUP($E328,設定!$C:$F,3,0),"")</f>
        <v/>
      </c>
      <c r="H328" s="131" t="str">
        <f>IFERROR(VLOOKUP($E328,設定!$C:$F,4,0),"")</f>
        <v/>
      </c>
      <c r="I328" s="402"/>
      <c r="J328" s="8"/>
      <c r="K328" s="9"/>
      <c r="L328" s="9"/>
      <c r="M328" s="9"/>
      <c r="N328" s="9"/>
      <c r="O328" s="9"/>
      <c r="P328" s="9"/>
      <c r="Q328" s="9"/>
      <c r="R328" s="9"/>
      <c r="S328" s="9"/>
      <c r="T328" s="9"/>
      <c r="U328" s="9"/>
      <c r="V328" s="9"/>
      <c r="W328" s="9"/>
      <c r="X328" s="9"/>
      <c r="Y328" s="9"/>
      <c r="Z328" s="9"/>
      <c r="AA328" s="9"/>
      <c r="AB328" s="9"/>
      <c r="AC328" s="9"/>
      <c r="AD328" s="9"/>
      <c r="AE328" s="9"/>
      <c r="AF328" s="9"/>
      <c r="AG328" s="9"/>
      <c r="AH328" s="9"/>
      <c r="AI328" s="9"/>
      <c r="AJ328" s="9"/>
      <c r="AK328" s="9"/>
      <c r="AL328" s="9"/>
      <c r="AM328" s="9"/>
      <c r="AN328" s="10"/>
      <c r="AO328" s="65">
        <f t="shared" si="10"/>
        <v>0</v>
      </c>
    </row>
    <row r="329" spans="2:41" s="4" customFormat="1" ht="24" customHeight="1" x14ac:dyDescent="0.2">
      <c r="B329" s="14"/>
      <c r="C329" s="23"/>
      <c r="D329" s="21" t="str">
        <f>IF(ISBLANK(C329), "",
_xlfn.WEBSERVICE(
"https://d16nxf5gxyt1xz.cloudfront.net/Prod/translation?id="
&amp;アカウント情報!$C$2&amp;
"&amp;pwd="
&amp;アカウント情報!$C$3&amp;
"&amp;item="
&amp;_xlfn.ENCODEURL(設定!$F$3)&amp;
"&amp;word="
&amp;_xlfn.ENCODEURL(C329)
)
)</f>
        <v/>
      </c>
      <c r="E329" s="6"/>
      <c r="F329" s="16" t="str">
        <f>IFERROR(VLOOKUP($E329,設定!$C:$F,2,0),"")</f>
        <v/>
      </c>
      <c r="G329" s="156" t="str">
        <f>IFERROR(VLOOKUP($E329,設定!$C:$F,3,0),"")</f>
        <v/>
      </c>
      <c r="H329" s="131" t="str">
        <f>IFERROR(VLOOKUP($E329,設定!$C:$F,4,0),"")</f>
        <v/>
      </c>
      <c r="I329" s="402"/>
      <c r="J329" s="8"/>
      <c r="K329" s="9"/>
      <c r="L329" s="9"/>
      <c r="M329" s="9"/>
      <c r="N329" s="9"/>
      <c r="O329" s="9"/>
      <c r="P329" s="9"/>
      <c r="Q329" s="9"/>
      <c r="R329" s="9"/>
      <c r="S329" s="9"/>
      <c r="T329" s="9"/>
      <c r="U329" s="9"/>
      <c r="V329" s="9"/>
      <c r="W329" s="9"/>
      <c r="X329" s="9"/>
      <c r="Y329" s="9"/>
      <c r="Z329" s="9"/>
      <c r="AA329" s="9"/>
      <c r="AB329" s="9"/>
      <c r="AC329" s="9"/>
      <c r="AD329" s="9"/>
      <c r="AE329" s="9"/>
      <c r="AF329" s="9"/>
      <c r="AG329" s="9"/>
      <c r="AH329" s="9"/>
      <c r="AI329" s="9"/>
      <c r="AJ329" s="9"/>
      <c r="AK329" s="9"/>
      <c r="AL329" s="9"/>
      <c r="AM329" s="9"/>
      <c r="AN329" s="10"/>
      <c r="AO329" s="65">
        <f t="shared" si="10"/>
        <v>0</v>
      </c>
    </row>
    <row r="330" spans="2:41" s="4" customFormat="1" ht="24" customHeight="1" x14ac:dyDescent="0.2">
      <c r="B330" s="14"/>
      <c r="C330" s="23"/>
      <c r="D330" s="21" t="str">
        <f>IF(ISBLANK(C330), "",
_xlfn.WEBSERVICE(
"https://d16nxf5gxyt1xz.cloudfront.net/Prod/translation?id="
&amp;アカウント情報!$C$2&amp;
"&amp;pwd="
&amp;アカウント情報!$C$3&amp;
"&amp;item="
&amp;_xlfn.ENCODEURL(設定!$F$3)&amp;
"&amp;word="
&amp;_xlfn.ENCODEURL(C330)
)
)</f>
        <v/>
      </c>
      <c r="E330" s="6"/>
      <c r="F330" s="16" t="str">
        <f>IFERROR(VLOOKUP($E330,設定!$C:$F,2,0),"")</f>
        <v/>
      </c>
      <c r="G330" s="156" t="str">
        <f>IFERROR(VLOOKUP($E330,設定!$C:$F,3,0),"")</f>
        <v/>
      </c>
      <c r="H330" s="131" t="str">
        <f>IFERROR(VLOOKUP($E330,設定!$C:$F,4,0),"")</f>
        <v/>
      </c>
      <c r="I330" s="402"/>
      <c r="J330" s="8"/>
      <c r="K330" s="9"/>
      <c r="L330" s="9"/>
      <c r="M330" s="9"/>
      <c r="N330" s="9"/>
      <c r="O330" s="9"/>
      <c r="P330" s="9"/>
      <c r="Q330" s="9"/>
      <c r="R330" s="9"/>
      <c r="S330" s="9"/>
      <c r="T330" s="9"/>
      <c r="U330" s="9"/>
      <c r="V330" s="9"/>
      <c r="W330" s="9"/>
      <c r="X330" s="9"/>
      <c r="Y330" s="9"/>
      <c r="Z330" s="9"/>
      <c r="AA330" s="9"/>
      <c r="AB330" s="9"/>
      <c r="AC330" s="9"/>
      <c r="AD330" s="9"/>
      <c r="AE330" s="9"/>
      <c r="AF330" s="9"/>
      <c r="AG330" s="9"/>
      <c r="AH330" s="9"/>
      <c r="AI330" s="9"/>
      <c r="AJ330" s="9"/>
      <c r="AK330" s="9"/>
      <c r="AL330" s="9"/>
      <c r="AM330" s="9"/>
      <c r="AN330" s="10"/>
      <c r="AO330" s="65">
        <f t="shared" si="10"/>
        <v>0</v>
      </c>
    </row>
    <row r="331" spans="2:41" s="4" customFormat="1" ht="24" customHeight="1" x14ac:dyDescent="0.2">
      <c r="B331" s="14"/>
      <c r="C331" s="23"/>
      <c r="D331" s="21" t="str">
        <f>IF(ISBLANK(C331), "",
_xlfn.WEBSERVICE(
"https://d16nxf5gxyt1xz.cloudfront.net/Prod/translation?id="
&amp;アカウント情報!$C$2&amp;
"&amp;pwd="
&amp;アカウント情報!$C$3&amp;
"&amp;item="
&amp;_xlfn.ENCODEURL(設定!$F$3)&amp;
"&amp;word="
&amp;_xlfn.ENCODEURL(C331)
)
)</f>
        <v/>
      </c>
      <c r="E331" s="6"/>
      <c r="F331" s="16" t="str">
        <f>IFERROR(VLOOKUP($E331,設定!$C:$F,2,0),"")</f>
        <v/>
      </c>
      <c r="G331" s="156" t="str">
        <f>IFERROR(VLOOKUP($E331,設定!$C:$F,3,0),"")</f>
        <v/>
      </c>
      <c r="H331" s="131" t="str">
        <f>IFERROR(VLOOKUP($E331,設定!$C:$F,4,0),"")</f>
        <v/>
      </c>
      <c r="I331" s="402"/>
      <c r="J331" s="8"/>
      <c r="K331" s="9"/>
      <c r="L331" s="9"/>
      <c r="M331" s="9"/>
      <c r="N331" s="9"/>
      <c r="O331" s="9"/>
      <c r="P331" s="9"/>
      <c r="Q331" s="9"/>
      <c r="R331" s="9"/>
      <c r="S331" s="9"/>
      <c r="T331" s="9"/>
      <c r="U331" s="9"/>
      <c r="V331" s="9"/>
      <c r="W331" s="9"/>
      <c r="X331" s="9"/>
      <c r="Y331" s="9"/>
      <c r="Z331" s="9"/>
      <c r="AA331" s="9"/>
      <c r="AB331" s="9"/>
      <c r="AC331" s="9"/>
      <c r="AD331" s="9"/>
      <c r="AE331" s="9"/>
      <c r="AF331" s="9"/>
      <c r="AG331" s="9"/>
      <c r="AH331" s="9"/>
      <c r="AI331" s="9"/>
      <c r="AJ331" s="9"/>
      <c r="AK331" s="9"/>
      <c r="AL331" s="9"/>
      <c r="AM331" s="9"/>
      <c r="AN331" s="10"/>
      <c r="AO331" s="65">
        <f t="shared" si="10"/>
        <v>0</v>
      </c>
    </row>
    <row r="332" spans="2:41" s="4" customFormat="1" ht="24" customHeight="1" x14ac:dyDescent="0.2">
      <c r="B332" s="14"/>
      <c r="C332" s="23"/>
      <c r="D332" s="21" t="str">
        <f>IF(ISBLANK(C332), "",
_xlfn.WEBSERVICE(
"https://d16nxf5gxyt1xz.cloudfront.net/Prod/translation?id="
&amp;アカウント情報!$C$2&amp;
"&amp;pwd="
&amp;アカウント情報!$C$3&amp;
"&amp;item="
&amp;_xlfn.ENCODEURL(設定!$F$3)&amp;
"&amp;word="
&amp;_xlfn.ENCODEURL(C332)
)
)</f>
        <v/>
      </c>
      <c r="E332" s="6"/>
      <c r="F332" s="16" t="str">
        <f>IFERROR(VLOOKUP($E332,設定!$C:$F,2,0),"")</f>
        <v/>
      </c>
      <c r="G332" s="156" t="str">
        <f>IFERROR(VLOOKUP($E332,設定!$C:$F,3,0),"")</f>
        <v/>
      </c>
      <c r="H332" s="131" t="str">
        <f>IFERROR(VLOOKUP($E332,設定!$C:$F,4,0),"")</f>
        <v/>
      </c>
      <c r="I332" s="402"/>
      <c r="J332" s="8"/>
      <c r="K332" s="9"/>
      <c r="L332" s="9"/>
      <c r="M332" s="9"/>
      <c r="N332" s="9"/>
      <c r="O332" s="9"/>
      <c r="P332" s="9"/>
      <c r="Q332" s="9"/>
      <c r="R332" s="9"/>
      <c r="S332" s="9"/>
      <c r="T332" s="9"/>
      <c r="U332" s="9"/>
      <c r="V332" s="9"/>
      <c r="W332" s="9"/>
      <c r="X332" s="9"/>
      <c r="Y332" s="9"/>
      <c r="Z332" s="9"/>
      <c r="AA332" s="9"/>
      <c r="AB332" s="9"/>
      <c r="AC332" s="9"/>
      <c r="AD332" s="9"/>
      <c r="AE332" s="9"/>
      <c r="AF332" s="9"/>
      <c r="AG332" s="9"/>
      <c r="AH332" s="9"/>
      <c r="AI332" s="9"/>
      <c r="AJ332" s="9"/>
      <c r="AK332" s="9"/>
      <c r="AL332" s="9"/>
      <c r="AM332" s="9"/>
      <c r="AN332" s="10"/>
      <c r="AO332" s="65">
        <f t="shared" si="10"/>
        <v>0</v>
      </c>
    </row>
    <row r="333" spans="2:41" s="4" customFormat="1" ht="24" customHeight="1" x14ac:dyDescent="0.2">
      <c r="B333" s="14"/>
      <c r="C333" s="23"/>
      <c r="D333" s="21" t="str">
        <f>IF(ISBLANK(C333), "",
_xlfn.WEBSERVICE(
"https://d16nxf5gxyt1xz.cloudfront.net/Prod/translation?id="
&amp;アカウント情報!$C$2&amp;
"&amp;pwd="
&amp;アカウント情報!$C$3&amp;
"&amp;item="
&amp;_xlfn.ENCODEURL(設定!$F$3)&amp;
"&amp;word="
&amp;_xlfn.ENCODEURL(C333)
)
)</f>
        <v/>
      </c>
      <c r="E333" s="6"/>
      <c r="F333" s="16" t="str">
        <f>IFERROR(VLOOKUP($E333,設定!$C:$F,2,0),"")</f>
        <v/>
      </c>
      <c r="G333" s="156" t="str">
        <f>IFERROR(VLOOKUP($E333,設定!$C:$F,3,0),"")</f>
        <v/>
      </c>
      <c r="H333" s="131" t="str">
        <f>IFERROR(VLOOKUP($E333,設定!$C:$F,4,0),"")</f>
        <v/>
      </c>
      <c r="I333" s="402"/>
      <c r="J333" s="8"/>
      <c r="K333" s="9"/>
      <c r="L333" s="9"/>
      <c r="M333" s="9"/>
      <c r="N333" s="9"/>
      <c r="O333" s="9"/>
      <c r="P333" s="9"/>
      <c r="Q333" s="9"/>
      <c r="R333" s="9"/>
      <c r="S333" s="9"/>
      <c r="T333" s="9"/>
      <c r="U333" s="9"/>
      <c r="V333" s="9"/>
      <c r="W333" s="9"/>
      <c r="X333" s="9"/>
      <c r="Y333" s="9"/>
      <c r="Z333" s="9"/>
      <c r="AA333" s="9"/>
      <c r="AB333" s="9"/>
      <c r="AC333" s="9"/>
      <c r="AD333" s="9"/>
      <c r="AE333" s="9"/>
      <c r="AF333" s="9"/>
      <c r="AG333" s="9"/>
      <c r="AH333" s="9"/>
      <c r="AI333" s="9"/>
      <c r="AJ333" s="9"/>
      <c r="AK333" s="9"/>
      <c r="AL333" s="9"/>
      <c r="AM333" s="9"/>
      <c r="AN333" s="10"/>
      <c r="AO333" s="65">
        <f t="shared" si="10"/>
        <v>0</v>
      </c>
    </row>
    <row r="334" spans="2:41" s="4" customFormat="1" ht="24" customHeight="1" x14ac:dyDescent="0.2">
      <c r="B334" s="14"/>
      <c r="C334" s="23"/>
      <c r="D334" s="21" t="str">
        <f>IF(ISBLANK(C334), "",
_xlfn.WEBSERVICE(
"https://d16nxf5gxyt1xz.cloudfront.net/Prod/translation?id="
&amp;アカウント情報!$C$2&amp;
"&amp;pwd="
&amp;アカウント情報!$C$3&amp;
"&amp;item="
&amp;_xlfn.ENCODEURL(設定!$F$3)&amp;
"&amp;word="
&amp;_xlfn.ENCODEURL(C334)
)
)</f>
        <v/>
      </c>
      <c r="E334" s="6"/>
      <c r="F334" s="16" t="str">
        <f>IFERROR(VLOOKUP($E334,設定!$C:$F,2,0),"")</f>
        <v/>
      </c>
      <c r="G334" s="156" t="str">
        <f>IFERROR(VLOOKUP($E334,設定!$C:$F,3,0),"")</f>
        <v/>
      </c>
      <c r="H334" s="131" t="str">
        <f>IFERROR(VLOOKUP($E334,設定!$C:$F,4,0),"")</f>
        <v/>
      </c>
      <c r="I334" s="402"/>
      <c r="J334" s="8"/>
      <c r="K334" s="9"/>
      <c r="L334" s="9"/>
      <c r="M334" s="9"/>
      <c r="N334" s="9"/>
      <c r="O334" s="9"/>
      <c r="P334" s="9"/>
      <c r="Q334" s="9"/>
      <c r="R334" s="9"/>
      <c r="S334" s="9"/>
      <c r="T334" s="9"/>
      <c r="U334" s="9"/>
      <c r="V334" s="9"/>
      <c r="W334" s="9"/>
      <c r="X334" s="9"/>
      <c r="Y334" s="9"/>
      <c r="Z334" s="9"/>
      <c r="AA334" s="9"/>
      <c r="AB334" s="9"/>
      <c r="AC334" s="9"/>
      <c r="AD334" s="9"/>
      <c r="AE334" s="9"/>
      <c r="AF334" s="9"/>
      <c r="AG334" s="9"/>
      <c r="AH334" s="9"/>
      <c r="AI334" s="9"/>
      <c r="AJ334" s="9"/>
      <c r="AK334" s="9"/>
      <c r="AL334" s="9"/>
      <c r="AM334" s="9"/>
      <c r="AN334" s="10"/>
      <c r="AO334" s="65">
        <f t="shared" si="10"/>
        <v>0</v>
      </c>
    </row>
    <row r="335" spans="2:41" s="4" customFormat="1" ht="24" customHeight="1" x14ac:dyDescent="0.2">
      <c r="B335" s="14"/>
      <c r="C335" s="23"/>
      <c r="D335" s="21" t="str">
        <f>IF(ISBLANK(C335), "",
_xlfn.WEBSERVICE(
"https://d16nxf5gxyt1xz.cloudfront.net/Prod/translation?id="
&amp;アカウント情報!$C$2&amp;
"&amp;pwd="
&amp;アカウント情報!$C$3&amp;
"&amp;item="
&amp;_xlfn.ENCODEURL(設定!$F$3)&amp;
"&amp;word="
&amp;_xlfn.ENCODEURL(C335)
)
)</f>
        <v/>
      </c>
      <c r="E335" s="6"/>
      <c r="F335" s="16" t="str">
        <f>IFERROR(VLOOKUP($E335,設定!$C:$F,2,0),"")</f>
        <v/>
      </c>
      <c r="G335" s="156" t="str">
        <f>IFERROR(VLOOKUP($E335,設定!$C:$F,3,0),"")</f>
        <v/>
      </c>
      <c r="H335" s="131" t="str">
        <f>IFERROR(VLOOKUP($E335,設定!$C:$F,4,0),"")</f>
        <v/>
      </c>
      <c r="I335" s="402"/>
      <c r="J335" s="8"/>
      <c r="K335" s="9"/>
      <c r="L335" s="9"/>
      <c r="M335" s="9"/>
      <c r="N335" s="9"/>
      <c r="O335" s="9"/>
      <c r="P335" s="9"/>
      <c r="Q335" s="9"/>
      <c r="R335" s="9"/>
      <c r="S335" s="9"/>
      <c r="T335" s="9"/>
      <c r="U335" s="9"/>
      <c r="V335" s="9"/>
      <c r="W335" s="9"/>
      <c r="X335" s="9"/>
      <c r="Y335" s="9"/>
      <c r="Z335" s="9"/>
      <c r="AA335" s="9"/>
      <c r="AB335" s="9"/>
      <c r="AC335" s="9"/>
      <c r="AD335" s="9"/>
      <c r="AE335" s="9"/>
      <c r="AF335" s="9"/>
      <c r="AG335" s="9"/>
      <c r="AH335" s="9"/>
      <c r="AI335" s="9"/>
      <c r="AJ335" s="9"/>
      <c r="AK335" s="9"/>
      <c r="AL335" s="9"/>
      <c r="AM335" s="9"/>
      <c r="AN335" s="10"/>
      <c r="AO335" s="65">
        <f t="shared" si="10"/>
        <v>0</v>
      </c>
    </row>
    <row r="336" spans="2:41" s="4" customFormat="1" ht="24" customHeight="1" x14ac:dyDescent="0.2">
      <c r="B336" s="14"/>
      <c r="C336" s="23"/>
      <c r="D336" s="21" t="str">
        <f>IF(ISBLANK(C336), "",
_xlfn.WEBSERVICE(
"https://d16nxf5gxyt1xz.cloudfront.net/Prod/translation?id="
&amp;アカウント情報!$C$2&amp;
"&amp;pwd="
&amp;アカウント情報!$C$3&amp;
"&amp;item="
&amp;_xlfn.ENCODEURL(設定!$F$3)&amp;
"&amp;word="
&amp;_xlfn.ENCODEURL(C336)
)
)</f>
        <v/>
      </c>
      <c r="E336" s="6"/>
      <c r="F336" s="16" t="str">
        <f>IFERROR(VLOOKUP($E336,設定!$C:$F,2,0),"")</f>
        <v/>
      </c>
      <c r="G336" s="156" t="str">
        <f>IFERROR(VLOOKUP($E336,設定!$C:$F,3,0),"")</f>
        <v/>
      </c>
      <c r="H336" s="131" t="str">
        <f>IFERROR(VLOOKUP($E336,設定!$C:$F,4,0),"")</f>
        <v/>
      </c>
      <c r="I336" s="402"/>
      <c r="J336" s="8"/>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10"/>
      <c r="AO336" s="65">
        <f t="shared" si="10"/>
        <v>0</v>
      </c>
    </row>
    <row r="337" spans="2:41" s="4" customFormat="1" ht="24" customHeight="1" x14ac:dyDescent="0.2">
      <c r="B337" s="14"/>
      <c r="C337" s="23"/>
      <c r="D337" s="21" t="str">
        <f>IF(ISBLANK(C337), "",
_xlfn.WEBSERVICE(
"https://d16nxf5gxyt1xz.cloudfront.net/Prod/translation?id="
&amp;アカウント情報!$C$2&amp;
"&amp;pwd="
&amp;アカウント情報!$C$3&amp;
"&amp;item="
&amp;_xlfn.ENCODEURL(設定!$F$3)&amp;
"&amp;word="
&amp;_xlfn.ENCODEURL(C337)
)
)</f>
        <v/>
      </c>
      <c r="E337" s="6"/>
      <c r="F337" s="16" t="str">
        <f>IFERROR(VLOOKUP($E337,設定!$C:$F,2,0),"")</f>
        <v/>
      </c>
      <c r="G337" s="156" t="str">
        <f>IFERROR(VLOOKUP($E337,設定!$C:$F,3,0),"")</f>
        <v/>
      </c>
      <c r="H337" s="131" t="str">
        <f>IFERROR(VLOOKUP($E337,設定!$C:$F,4,0),"")</f>
        <v/>
      </c>
      <c r="I337" s="402"/>
      <c r="J337" s="8"/>
      <c r="K337" s="9"/>
      <c r="L337" s="9"/>
      <c r="M337" s="9"/>
      <c r="N337" s="9"/>
      <c r="O337" s="9"/>
      <c r="P337" s="9"/>
      <c r="Q337" s="9"/>
      <c r="R337" s="9"/>
      <c r="S337" s="9"/>
      <c r="T337" s="9"/>
      <c r="U337" s="9"/>
      <c r="V337" s="9"/>
      <c r="W337" s="9"/>
      <c r="X337" s="9"/>
      <c r="Y337" s="9"/>
      <c r="Z337" s="9"/>
      <c r="AA337" s="9"/>
      <c r="AB337" s="9"/>
      <c r="AC337" s="9"/>
      <c r="AD337" s="9"/>
      <c r="AE337" s="9"/>
      <c r="AF337" s="9"/>
      <c r="AG337" s="9"/>
      <c r="AH337" s="9"/>
      <c r="AI337" s="9"/>
      <c r="AJ337" s="9"/>
      <c r="AK337" s="9"/>
      <c r="AL337" s="9"/>
      <c r="AM337" s="9"/>
      <c r="AN337" s="10"/>
      <c r="AO337" s="65">
        <f t="shared" si="10"/>
        <v>0</v>
      </c>
    </row>
    <row r="338" spans="2:41" s="4" customFormat="1" ht="24" customHeight="1" x14ac:dyDescent="0.2">
      <c r="B338" s="14"/>
      <c r="C338" s="23"/>
      <c r="D338" s="21" t="str">
        <f>IF(ISBLANK(C338), "",
_xlfn.WEBSERVICE(
"https://d16nxf5gxyt1xz.cloudfront.net/Prod/translation?id="
&amp;アカウント情報!$C$2&amp;
"&amp;pwd="
&amp;アカウント情報!$C$3&amp;
"&amp;item="
&amp;_xlfn.ENCODEURL(設定!$F$3)&amp;
"&amp;word="
&amp;_xlfn.ENCODEURL(C338)
)
)</f>
        <v/>
      </c>
      <c r="E338" s="6"/>
      <c r="F338" s="16" t="str">
        <f>IFERROR(VLOOKUP($E338,設定!$C:$F,2,0),"")</f>
        <v/>
      </c>
      <c r="G338" s="156" t="str">
        <f>IFERROR(VLOOKUP($E338,設定!$C:$F,3,0),"")</f>
        <v/>
      </c>
      <c r="H338" s="131" t="str">
        <f>IFERROR(VLOOKUP($E338,設定!$C:$F,4,0),"")</f>
        <v/>
      </c>
      <c r="I338" s="402"/>
      <c r="J338" s="8"/>
      <c r="K338" s="9"/>
      <c r="L338" s="9"/>
      <c r="M338" s="9"/>
      <c r="N338" s="9"/>
      <c r="O338" s="9"/>
      <c r="P338" s="9"/>
      <c r="Q338" s="9"/>
      <c r="R338" s="9"/>
      <c r="S338" s="9"/>
      <c r="T338" s="9"/>
      <c r="U338" s="9"/>
      <c r="V338" s="9"/>
      <c r="W338" s="9"/>
      <c r="X338" s="9"/>
      <c r="Y338" s="9"/>
      <c r="Z338" s="9"/>
      <c r="AA338" s="9"/>
      <c r="AB338" s="9"/>
      <c r="AC338" s="9"/>
      <c r="AD338" s="9"/>
      <c r="AE338" s="9"/>
      <c r="AF338" s="9"/>
      <c r="AG338" s="9"/>
      <c r="AH338" s="9"/>
      <c r="AI338" s="9"/>
      <c r="AJ338" s="9"/>
      <c r="AK338" s="9"/>
      <c r="AL338" s="9"/>
      <c r="AM338" s="9"/>
      <c r="AN338" s="10"/>
      <c r="AO338" s="65">
        <f t="shared" si="10"/>
        <v>0</v>
      </c>
    </row>
    <row r="339" spans="2:41" s="4" customFormat="1" ht="24" customHeight="1" x14ac:dyDescent="0.2">
      <c r="B339" s="14"/>
      <c r="C339" s="23"/>
      <c r="D339" s="21" t="str">
        <f>IF(ISBLANK(C339), "",
_xlfn.WEBSERVICE(
"https://d16nxf5gxyt1xz.cloudfront.net/Prod/translation?id="
&amp;アカウント情報!$C$2&amp;
"&amp;pwd="
&amp;アカウント情報!$C$3&amp;
"&amp;item="
&amp;_xlfn.ENCODEURL(設定!$F$3)&amp;
"&amp;word="
&amp;_xlfn.ENCODEURL(C339)
)
)</f>
        <v/>
      </c>
      <c r="E339" s="6"/>
      <c r="F339" s="16" t="str">
        <f>IFERROR(VLOOKUP($E339,設定!$C:$F,2,0),"")</f>
        <v/>
      </c>
      <c r="G339" s="156" t="str">
        <f>IFERROR(VLOOKUP($E339,設定!$C:$F,3,0),"")</f>
        <v/>
      </c>
      <c r="H339" s="131" t="str">
        <f>IFERROR(VLOOKUP($E339,設定!$C:$F,4,0),"")</f>
        <v/>
      </c>
      <c r="I339" s="402"/>
      <c r="J339" s="8"/>
      <c r="K339" s="9"/>
      <c r="L339" s="9"/>
      <c r="M339" s="9"/>
      <c r="N339" s="9"/>
      <c r="O339" s="9"/>
      <c r="P339" s="9"/>
      <c r="Q339" s="9"/>
      <c r="R339" s="9"/>
      <c r="S339" s="9"/>
      <c r="T339" s="9"/>
      <c r="U339" s="9"/>
      <c r="V339" s="9"/>
      <c r="W339" s="9"/>
      <c r="X339" s="9"/>
      <c r="Y339" s="9"/>
      <c r="Z339" s="9"/>
      <c r="AA339" s="9"/>
      <c r="AB339" s="9"/>
      <c r="AC339" s="9"/>
      <c r="AD339" s="9"/>
      <c r="AE339" s="9"/>
      <c r="AF339" s="9"/>
      <c r="AG339" s="9"/>
      <c r="AH339" s="9"/>
      <c r="AI339" s="9"/>
      <c r="AJ339" s="9"/>
      <c r="AK339" s="9"/>
      <c r="AL339" s="9"/>
      <c r="AM339" s="9"/>
      <c r="AN339" s="10"/>
      <c r="AO339" s="65">
        <f t="shared" si="10"/>
        <v>0</v>
      </c>
    </row>
    <row r="340" spans="2:41" s="4" customFormat="1" ht="24" customHeight="1" x14ac:dyDescent="0.2">
      <c r="B340" s="14"/>
      <c r="C340" s="23"/>
      <c r="D340" s="21" t="str">
        <f>IF(ISBLANK(C340), "",
_xlfn.WEBSERVICE(
"https://d16nxf5gxyt1xz.cloudfront.net/Prod/translation?id="
&amp;アカウント情報!$C$2&amp;
"&amp;pwd="
&amp;アカウント情報!$C$3&amp;
"&amp;item="
&amp;_xlfn.ENCODEURL(設定!$F$3)&amp;
"&amp;word="
&amp;_xlfn.ENCODEURL(C340)
)
)</f>
        <v/>
      </c>
      <c r="E340" s="6"/>
      <c r="F340" s="16" t="str">
        <f>IFERROR(VLOOKUP($E340,設定!$C:$F,2,0),"")</f>
        <v/>
      </c>
      <c r="G340" s="156" t="str">
        <f>IFERROR(VLOOKUP($E340,設定!$C:$F,3,0),"")</f>
        <v/>
      </c>
      <c r="H340" s="131" t="str">
        <f>IFERROR(VLOOKUP($E340,設定!$C:$F,4,0),"")</f>
        <v/>
      </c>
      <c r="I340" s="402"/>
      <c r="J340" s="8"/>
      <c r="K340" s="9"/>
      <c r="L340" s="9"/>
      <c r="M340" s="9"/>
      <c r="N340" s="9"/>
      <c r="O340" s="9"/>
      <c r="P340" s="9"/>
      <c r="Q340" s="9"/>
      <c r="R340" s="9"/>
      <c r="S340" s="9"/>
      <c r="T340" s="9"/>
      <c r="U340" s="9"/>
      <c r="V340" s="9"/>
      <c r="W340" s="9"/>
      <c r="X340" s="9"/>
      <c r="Y340" s="9"/>
      <c r="Z340" s="9"/>
      <c r="AA340" s="9"/>
      <c r="AB340" s="9"/>
      <c r="AC340" s="9"/>
      <c r="AD340" s="9"/>
      <c r="AE340" s="9"/>
      <c r="AF340" s="9"/>
      <c r="AG340" s="9"/>
      <c r="AH340" s="9"/>
      <c r="AI340" s="9"/>
      <c r="AJ340" s="9"/>
      <c r="AK340" s="9"/>
      <c r="AL340" s="9"/>
      <c r="AM340" s="9"/>
      <c r="AN340" s="10"/>
      <c r="AO340" s="65">
        <f t="shared" ref="AO340:AO386" si="11">I340*SUM(J340:AN340)</f>
        <v>0</v>
      </c>
    </row>
    <row r="341" spans="2:41" s="4" customFormat="1" ht="24" customHeight="1" x14ac:dyDescent="0.2">
      <c r="B341" s="14"/>
      <c r="C341" s="23"/>
      <c r="D341" s="21" t="str">
        <f>IF(ISBLANK(C341), "",
_xlfn.WEBSERVICE(
"https://d16nxf5gxyt1xz.cloudfront.net/Prod/translation?id="
&amp;アカウント情報!$C$2&amp;
"&amp;pwd="
&amp;アカウント情報!$C$3&amp;
"&amp;item="
&amp;_xlfn.ENCODEURL(設定!$F$3)&amp;
"&amp;word="
&amp;_xlfn.ENCODEURL(C341)
)
)</f>
        <v/>
      </c>
      <c r="E341" s="6"/>
      <c r="F341" s="16" t="str">
        <f>IFERROR(VLOOKUP($E341,設定!$C:$F,2,0),"")</f>
        <v/>
      </c>
      <c r="G341" s="156" t="str">
        <f>IFERROR(VLOOKUP($E341,設定!$C:$F,3,0),"")</f>
        <v/>
      </c>
      <c r="H341" s="131" t="str">
        <f>IFERROR(VLOOKUP($E341,設定!$C:$F,4,0),"")</f>
        <v/>
      </c>
      <c r="I341" s="402"/>
      <c r="J341" s="8"/>
      <c r="K341" s="9"/>
      <c r="L341" s="9"/>
      <c r="M341" s="9"/>
      <c r="N341" s="9"/>
      <c r="O341" s="9"/>
      <c r="P341" s="9"/>
      <c r="Q341" s="9"/>
      <c r="R341" s="9"/>
      <c r="S341" s="9"/>
      <c r="T341" s="9"/>
      <c r="U341" s="9"/>
      <c r="V341" s="9"/>
      <c r="W341" s="9"/>
      <c r="X341" s="9"/>
      <c r="Y341" s="9"/>
      <c r="Z341" s="9"/>
      <c r="AA341" s="9"/>
      <c r="AB341" s="9"/>
      <c r="AC341" s="9"/>
      <c r="AD341" s="9"/>
      <c r="AE341" s="9"/>
      <c r="AF341" s="9"/>
      <c r="AG341" s="9"/>
      <c r="AH341" s="9"/>
      <c r="AI341" s="9"/>
      <c r="AJ341" s="9"/>
      <c r="AK341" s="9"/>
      <c r="AL341" s="9"/>
      <c r="AM341" s="9"/>
      <c r="AN341" s="10"/>
      <c r="AO341" s="65">
        <f t="shared" si="11"/>
        <v>0</v>
      </c>
    </row>
    <row r="342" spans="2:41" s="4" customFormat="1" ht="24" customHeight="1" x14ac:dyDescent="0.2">
      <c r="B342" s="14"/>
      <c r="C342" s="23"/>
      <c r="D342" s="21" t="str">
        <f>IF(ISBLANK(C342), "",
_xlfn.WEBSERVICE(
"https://d16nxf5gxyt1xz.cloudfront.net/Prod/translation?id="
&amp;アカウント情報!$C$2&amp;
"&amp;pwd="
&amp;アカウント情報!$C$3&amp;
"&amp;item="
&amp;_xlfn.ENCODEURL(設定!$F$3)&amp;
"&amp;word="
&amp;_xlfn.ENCODEURL(C342)
)
)</f>
        <v/>
      </c>
      <c r="E342" s="6"/>
      <c r="F342" s="16" t="str">
        <f>IFERROR(VLOOKUP($E342,設定!$C:$F,2,0),"")</f>
        <v/>
      </c>
      <c r="G342" s="156" t="str">
        <f>IFERROR(VLOOKUP($E342,設定!$C:$F,3,0),"")</f>
        <v/>
      </c>
      <c r="H342" s="131" t="str">
        <f>IFERROR(VLOOKUP($E342,設定!$C:$F,4,0),"")</f>
        <v/>
      </c>
      <c r="I342" s="402"/>
      <c r="J342" s="8"/>
      <c r="K342" s="9"/>
      <c r="L342" s="9"/>
      <c r="M342" s="9"/>
      <c r="N342" s="9"/>
      <c r="O342" s="9"/>
      <c r="P342" s="9"/>
      <c r="Q342" s="9"/>
      <c r="R342" s="9"/>
      <c r="S342" s="9"/>
      <c r="T342" s="9"/>
      <c r="U342" s="9"/>
      <c r="V342" s="9"/>
      <c r="W342" s="9"/>
      <c r="X342" s="9"/>
      <c r="Y342" s="9"/>
      <c r="Z342" s="9"/>
      <c r="AA342" s="9"/>
      <c r="AB342" s="9"/>
      <c r="AC342" s="9"/>
      <c r="AD342" s="9"/>
      <c r="AE342" s="9"/>
      <c r="AF342" s="9"/>
      <c r="AG342" s="9"/>
      <c r="AH342" s="9"/>
      <c r="AI342" s="9"/>
      <c r="AJ342" s="9"/>
      <c r="AK342" s="9"/>
      <c r="AL342" s="9"/>
      <c r="AM342" s="9"/>
      <c r="AN342" s="10"/>
      <c r="AO342" s="65">
        <f t="shared" si="11"/>
        <v>0</v>
      </c>
    </row>
    <row r="343" spans="2:41" s="4" customFormat="1" ht="24" customHeight="1" x14ac:dyDescent="0.2">
      <c r="B343" s="14"/>
      <c r="C343" s="23"/>
      <c r="D343" s="21" t="str">
        <f>IF(ISBLANK(C343), "",
_xlfn.WEBSERVICE(
"https://d16nxf5gxyt1xz.cloudfront.net/Prod/translation?id="
&amp;アカウント情報!$C$2&amp;
"&amp;pwd="
&amp;アカウント情報!$C$3&amp;
"&amp;item="
&amp;_xlfn.ENCODEURL(設定!$F$3)&amp;
"&amp;word="
&amp;_xlfn.ENCODEURL(C343)
)
)</f>
        <v/>
      </c>
      <c r="E343" s="6"/>
      <c r="F343" s="16" t="str">
        <f>IFERROR(VLOOKUP($E343,設定!$C:$F,2,0),"")</f>
        <v/>
      </c>
      <c r="G343" s="156" t="str">
        <f>IFERROR(VLOOKUP($E343,設定!$C:$F,3,0),"")</f>
        <v/>
      </c>
      <c r="H343" s="131" t="str">
        <f>IFERROR(VLOOKUP($E343,設定!$C:$F,4,0),"")</f>
        <v/>
      </c>
      <c r="I343" s="402"/>
      <c r="J343" s="8"/>
      <c r="K343" s="9"/>
      <c r="L343" s="9"/>
      <c r="M343" s="9"/>
      <c r="N343" s="9"/>
      <c r="O343" s="9"/>
      <c r="P343" s="9"/>
      <c r="Q343" s="9"/>
      <c r="R343" s="9"/>
      <c r="S343" s="9"/>
      <c r="T343" s="9"/>
      <c r="U343" s="9"/>
      <c r="V343" s="9"/>
      <c r="W343" s="9"/>
      <c r="X343" s="9"/>
      <c r="Y343" s="9"/>
      <c r="Z343" s="9"/>
      <c r="AA343" s="9"/>
      <c r="AB343" s="9"/>
      <c r="AC343" s="9"/>
      <c r="AD343" s="9"/>
      <c r="AE343" s="9"/>
      <c r="AF343" s="9"/>
      <c r="AG343" s="9"/>
      <c r="AH343" s="9"/>
      <c r="AI343" s="9"/>
      <c r="AJ343" s="9"/>
      <c r="AK343" s="9"/>
      <c r="AL343" s="9"/>
      <c r="AM343" s="9"/>
      <c r="AN343" s="10"/>
      <c r="AO343" s="65">
        <f t="shared" si="11"/>
        <v>0</v>
      </c>
    </row>
    <row r="344" spans="2:41" s="4" customFormat="1" ht="24" customHeight="1" x14ac:dyDescent="0.2">
      <c r="B344" s="14"/>
      <c r="C344" s="23"/>
      <c r="D344" s="21" t="str">
        <f>IF(ISBLANK(C344), "",
_xlfn.WEBSERVICE(
"https://d16nxf5gxyt1xz.cloudfront.net/Prod/translation?id="
&amp;アカウント情報!$C$2&amp;
"&amp;pwd="
&amp;アカウント情報!$C$3&amp;
"&amp;item="
&amp;_xlfn.ENCODEURL(設定!$F$3)&amp;
"&amp;word="
&amp;_xlfn.ENCODEURL(C344)
)
)</f>
        <v/>
      </c>
      <c r="E344" s="6"/>
      <c r="F344" s="16" t="str">
        <f>IFERROR(VLOOKUP($E344,設定!$C:$F,2,0),"")</f>
        <v/>
      </c>
      <c r="G344" s="156" t="str">
        <f>IFERROR(VLOOKUP($E344,設定!$C:$F,3,0),"")</f>
        <v/>
      </c>
      <c r="H344" s="131" t="str">
        <f>IFERROR(VLOOKUP($E344,設定!$C:$F,4,0),"")</f>
        <v/>
      </c>
      <c r="I344" s="402"/>
      <c r="J344" s="8"/>
      <c r="K344" s="9"/>
      <c r="L344" s="9"/>
      <c r="M344" s="9"/>
      <c r="N344" s="9"/>
      <c r="O344" s="9"/>
      <c r="P344" s="9"/>
      <c r="Q344" s="9"/>
      <c r="R344" s="9"/>
      <c r="S344" s="9"/>
      <c r="T344" s="9"/>
      <c r="U344" s="9"/>
      <c r="V344" s="9"/>
      <c r="W344" s="9"/>
      <c r="X344" s="9"/>
      <c r="Y344" s="9"/>
      <c r="Z344" s="9"/>
      <c r="AA344" s="9"/>
      <c r="AB344" s="9"/>
      <c r="AC344" s="9"/>
      <c r="AD344" s="9"/>
      <c r="AE344" s="9"/>
      <c r="AF344" s="9"/>
      <c r="AG344" s="9"/>
      <c r="AH344" s="9"/>
      <c r="AI344" s="9"/>
      <c r="AJ344" s="9"/>
      <c r="AK344" s="9"/>
      <c r="AL344" s="9"/>
      <c r="AM344" s="9"/>
      <c r="AN344" s="10"/>
      <c r="AO344" s="65">
        <f t="shared" si="11"/>
        <v>0</v>
      </c>
    </row>
    <row r="345" spans="2:41" s="4" customFormat="1" ht="24" customHeight="1" x14ac:dyDescent="0.2">
      <c r="B345" s="14"/>
      <c r="C345" s="23"/>
      <c r="D345" s="21" t="str">
        <f>IF(ISBLANK(C345), "",
_xlfn.WEBSERVICE(
"https://d16nxf5gxyt1xz.cloudfront.net/Prod/translation?id="
&amp;アカウント情報!$C$2&amp;
"&amp;pwd="
&amp;アカウント情報!$C$3&amp;
"&amp;item="
&amp;_xlfn.ENCODEURL(設定!$F$3)&amp;
"&amp;word="
&amp;_xlfn.ENCODEURL(C345)
)
)</f>
        <v/>
      </c>
      <c r="E345" s="6"/>
      <c r="F345" s="16" t="str">
        <f>IFERROR(VLOOKUP($E345,設定!$C:$F,2,0),"")</f>
        <v/>
      </c>
      <c r="G345" s="156" t="str">
        <f>IFERROR(VLOOKUP($E345,設定!$C:$F,3,0),"")</f>
        <v/>
      </c>
      <c r="H345" s="131" t="str">
        <f>IFERROR(VLOOKUP($E345,設定!$C:$F,4,0),"")</f>
        <v/>
      </c>
      <c r="I345" s="402"/>
      <c r="J345" s="8"/>
      <c r="K345" s="9"/>
      <c r="L345" s="9"/>
      <c r="M345" s="9"/>
      <c r="N345" s="9"/>
      <c r="O345" s="9"/>
      <c r="P345" s="9"/>
      <c r="Q345" s="9"/>
      <c r="R345" s="9"/>
      <c r="S345" s="9"/>
      <c r="T345" s="9"/>
      <c r="U345" s="9"/>
      <c r="V345" s="9"/>
      <c r="W345" s="9"/>
      <c r="X345" s="9"/>
      <c r="Y345" s="9"/>
      <c r="Z345" s="9"/>
      <c r="AA345" s="9"/>
      <c r="AB345" s="9"/>
      <c r="AC345" s="9"/>
      <c r="AD345" s="9"/>
      <c r="AE345" s="9"/>
      <c r="AF345" s="9"/>
      <c r="AG345" s="9"/>
      <c r="AH345" s="9"/>
      <c r="AI345" s="9"/>
      <c r="AJ345" s="9"/>
      <c r="AK345" s="9"/>
      <c r="AL345" s="9"/>
      <c r="AM345" s="9"/>
      <c r="AN345" s="10"/>
      <c r="AO345" s="65">
        <f t="shared" si="11"/>
        <v>0</v>
      </c>
    </row>
    <row r="346" spans="2:41" s="4" customFormat="1" ht="24" customHeight="1" x14ac:dyDescent="0.2">
      <c r="B346" s="14"/>
      <c r="C346" s="23"/>
      <c r="D346" s="21" t="str">
        <f>IF(ISBLANK(C346), "",
_xlfn.WEBSERVICE(
"https://d16nxf5gxyt1xz.cloudfront.net/Prod/translation?id="
&amp;アカウント情報!$C$2&amp;
"&amp;pwd="
&amp;アカウント情報!$C$3&amp;
"&amp;item="
&amp;_xlfn.ENCODEURL(設定!$F$3)&amp;
"&amp;word="
&amp;_xlfn.ENCODEURL(C346)
)
)</f>
        <v/>
      </c>
      <c r="E346" s="6"/>
      <c r="F346" s="16" t="str">
        <f>IFERROR(VLOOKUP($E346,設定!$C:$F,2,0),"")</f>
        <v/>
      </c>
      <c r="G346" s="156" t="str">
        <f>IFERROR(VLOOKUP($E346,設定!$C:$F,3,0),"")</f>
        <v/>
      </c>
      <c r="H346" s="131" t="str">
        <f>IFERROR(VLOOKUP($E346,設定!$C:$F,4,0),"")</f>
        <v/>
      </c>
      <c r="I346" s="402"/>
      <c r="J346" s="8"/>
      <c r="K346" s="9"/>
      <c r="L346" s="9"/>
      <c r="M346" s="9"/>
      <c r="N346" s="9"/>
      <c r="O346" s="9"/>
      <c r="P346" s="9"/>
      <c r="Q346" s="9"/>
      <c r="R346" s="9"/>
      <c r="S346" s="9"/>
      <c r="T346" s="9"/>
      <c r="U346" s="9"/>
      <c r="V346" s="9"/>
      <c r="W346" s="9"/>
      <c r="X346" s="9"/>
      <c r="Y346" s="9"/>
      <c r="Z346" s="9"/>
      <c r="AA346" s="9"/>
      <c r="AB346" s="9"/>
      <c r="AC346" s="9"/>
      <c r="AD346" s="9"/>
      <c r="AE346" s="9"/>
      <c r="AF346" s="9"/>
      <c r="AG346" s="9"/>
      <c r="AH346" s="9"/>
      <c r="AI346" s="9"/>
      <c r="AJ346" s="9"/>
      <c r="AK346" s="9"/>
      <c r="AL346" s="9"/>
      <c r="AM346" s="9"/>
      <c r="AN346" s="10"/>
      <c r="AO346" s="65">
        <f t="shared" si="11"/>
        <v>0</v>
      </c>
    </row>
    <row r="347" spans="2:41" s="4" customFormat="1" ht="24" customHeight="1" x14ac:dyDescent="0.2">
      <c r="B347" s="14"/>
      <c r="C347" s="23"/>
      <c r="D347" s="21" t="str">
        <f>IF(ISBLANK(C347), "",
_xlfn.WEBSERVICE(
"https://d16nxf5gxyt1xz.cloudfront.net/Prod/translation?id="
&amp;アカウント情報!$C$2&amp;
"&amp;pwd="
&amp;アカウント情報!$C$3&amp;
"&amp;item="
&amp;_xlfn.ENCODEURL(設定!$F$3)&amp;
"&amp;word="
&amp;_xlfn.ENCODEURL(C347)
)
)</f>
        <v/>
      </c>
      <c r="E347" s="6"/>
      <c r="F347" s="16" t="str">
        <f>IFERROR(VLOOKUP($E347,設定!$C:$F,2,0),"")</f>
        <v/>
      </c>
      <c r="G347" s="156" t="str">
        <f>IFERROR(VLOOKUP($E347,設定!$C:$F,3,0),"")</f>
        <v/>
      </c>
      <c r="H347" s="131" t="str">
        <f>IFERROR(VLOOKUP($E347,設定!$C:$F,4,0),"")</f>
        <v/>
      </c>
      <c r="I347" s="402"/>
      <c r="J347" s="8"/>
      <c r="K347" s="9"/>
      <c r="L347" s="9"/>
      <c r="M347" s="9"/>
      <c r="N347" s="9"/>
      <c r="O347" s="9"/>
      <c r="P347" s="9"/>
      <c r="Q347" s="9"/>
      <c r="R347" s="9"/>
      <c r="S347" s="9"/>
      <c r="T347" s="9"/>
      <c r="U347" s="9"/>
      <c r="V347" s="9"/>
      <c r="W347" s="9"/>
      <c r="X347" s="9"/>
      <c r="Y347" s="9"/>
      <c r="Z347" s="9"/>
      <c r="AA347" s="9"/>
      <c r="AB347" s="9"/>
      <c r="AC347" s="9"/>
      <c r="AD347" s="9"/>
      <c r="AE347" s="9"/>
      <c r="AF347" s="9"/>
      <c r="AG347" s="9"/>
      <c r="AH347" s="9"/>
      <c r="AI347" s="9"/>
      <c r="AJ347" s="9"/>
      <c r="AK347" s="9"/>
      <c r="AL347" s="9"/>
      <c r="AM347" s="9"/>
      <c r="AN347" s="10"/>
      <c r="AO347" s="65">
        <f t="shared" si="11"/>
        <v>0</v>
      </c>
    </row>
    <row r="348" spans="2:41" s="4" customFormat="1" ht="24" customHeight="1" x14ac:dyDescent="0.2">
      <c r="B348" s="14"/>
      <c r="C348" s="23"/>
      <c r="D348" s="21" t="str">
        <f>IF(ISBLANK(C348), "",
_xlfn.WEBSERVICE(
"https://d16nxf5gxyt1xz.cloudfront.net/Prod/translation?id="
&amp;アカウント情報!$C$2&amp;
"&amp;pwd="
&amp;アカウント情報!$C$3&amp;
"&amp;item="
&amp;_xlfn.ENCODEURL(設定!$F$3)&amp;
"&amp;word="
&amp;_xlfn.ENCODEURL(C348)
)
)</f>
        <v/>
      </c>
      <c r="E348" s="6"/>
      <c r="F348" s="16" t="str">
        <f>IFERROR(VLOOKUP($E348,設定!$C:$F,2,0),"")</f>
        <v/>
      </c>
      <c r="G348" s="156" t="str">
        <f>IFERROR(VLOOKUP($E348,設定!$C:$F,3,0),"")</f>
        <v/>
      </c>
      <c r="H348" s="131" t="str">
        <f>IFERROR(VLOOKUP($E348,設定!$C:$F,4,0),"")</f>
        <v/>
      </c>
      <c r="I348" s="402"/>
      <c r="J348" s="8"/>
      <c r="K348" s="9"/>
      <c r="L348" s="9"/>
      <c r="M348" s="9"/>
      <c r="N348" s="9"/>
      <c r="O348" s="9"/>
      <c r="P348" s="9"/>
      <c r="Q348" s="9"/>
      <c r="R348" s="9"/>
      <c r="S348" s="9"/>
      <c r="T348" s="9"/>
      <c r="U348" s="9"/>
      <c r="V348" s="9"/>
      <c r="W348" s="9"/>
      <c r="X348" s="9"/>
      <c r="Y348" s="9"/>
      <c r="Z348" s="9"/>
      <c r="AA348" s="9"/>
      <c r="AB348" s="9"/>
      <c r="AC348" s="9"/>
      <c r="AD348" s="9"/>
      <c r="AE348" s="9"/>
      <c r="AF348" s="9"/>
      <c r="AG348" s="9"/>
      <c r="AH348" s="9"/>
      <c r="AI348" s="9"/>
      <c r="AJ348" s="9"/>
      <c r="AK348" s="9"/>
      <c r="AL348" s="9"/>
      <c r="AM348" s="9"/>
      <c r="AN348" s="10"/>
      <c r="AO348" s="65">
        <f t="shared" si="11"/>
        <v>0</v>
      </c>
    </row>
    <row r="349" spans="2:41" s="4" customFormat="1" ht="24" customHeight="1" x14ac:dyDescent="0.2">
      <c r="B349" s="14"/>
      <c r="C349" s="23"/>
      <c r="D349" s="21" t="str">
        <f>IF(ISBLANK(C349), "",
_xlfn.WEBSERVICE(
"https://d16nxf5gxyt1xz.cloudfront.net/Prod/translation?id="
&amp;アカウント情報!$C$2&amp;
"&amp;pwd="
&amp;アカウント情報!$C$3&amp;
"&amp;item="
&amp;_xlfn.ENCODEURL(設定!$F$3)&amp;
"&amp;word="
&amp;_xlfn.ENCODEURL(C349)
)
)</f>
        <v/>
      </c>
      <c r="E349" s="6"/>
      <c r="F349" s="16" t="str">
        <f>IFERROR(VLOOKUP($E349,設定!$C:$F,2,0),"")</f>
        <v/>
      </c>
      <c r="G349" s="156" t="str">
        <f>IFERROR(VLOOKUP($E349,設定!$C:$F,3,0),"")</f>
        <v/>
      </c>
      <c r="H349" s="131" t="str">
        <f>IFERROR(VLOOKUP($E349,設定!$C:$F,4,0),"")</f>
        <v/>
      </c>
      <c r="I349" s="402"/>
      <c r="J349" s="8"/>
      <c r="K349" s="9"/>
      <c r="L349" s="9"/>
      <c r="M349" s="9"/>
      <c r="N349" s="9"/>
      <c r="O349" s="9"/>
      <c r="P349" s="9"/>
      <c r="Q349" s="9"/>
      <c r="R349" s="9"/>
      <c r="S349" s="9"/>
      <c r="T349" s="9"/>
      <c r="U349" s="9"/>
      <c r="V349" s="9"/>
      <c r="W349" s="9"/>
      <c r="X349" s="9"/>
      <c r="Y349" s="9"/>
      <c r="Z349" s="9"/>
      <c r="AA349" s="9"/>
      <c r="AB349" s="9"/>
      <c r="AC349" s="9"/>
      <c r="AD349" s="9"/>
      <c r="AE349" s="9"/>
      <c r="AF349" s="9"/>
      <c r="AG349" s="9"/>
      <c r="AH349" s="9"/>
      <c r="AI349" s="9"/>
      <c r="AJ349" s="9"/>
      <c r="AK349" s="9"/>
      <c r="AL349" s="9"/>
      <c r="AM349" s="9"/>
      <c r="AN349" s="10"/>
      <c r="AO349" s="65">
        <f t="shared" si="11"/>
        <v>0</v>
      </c>
    </row>
    <row r="350" spans="2:41" s="4" customFormat="1" ht="24" customHeight="1" x14ac:dyDescent="0.2">
      <c r="B350" s="14"/>
      <c r="C350" s="23"/>
      <c r="D350" s="21" t="str">
        <f>IF(ISBLANK(C350), "",
_xlfn.WEBSERVICE(
"https://d16nxf5gxyt1xz.cloudfront.net/Prod/translation?id="
&amp;アカウント情報!$C$2&amp;
"&amp;pwd="
&amp;アカウント情報!$C$3&amp;
"&amp;item="
&amp;_xlfn.ENCODEURL(設定!$F$3)&amp;
"&amp;word="
&amp;_xlfn.ENCODEURL(C350)
)
)</f>
        <v/>
      </c>
      <c r="E350" s="6"/>
      <c r="F350" s="16" t="str">
        <f>IFERROR(VLOOKUP($E350,設定!$C:$F,2,0),"")</f>
        <v/>
      </c>
      <c r="G350" s="156" t="str">
        <f>IFERROR(VLOOKUP($E350,設定!$C:$F,3,0),"")</f>
        <v/>
      </c>
      <c r="H350" s="131" t="str">
        <f>IFERROR(VLOOKUP($E350,設定!$C:$F,4,0),"")</f>
        <v/>
      </c>
      <c r="I350" s="402"/>
      <c r="J350" s="8"/>
      <c r="K350" s="9"/>
      <c r="L350" s="9"/>
      <c r="M350" s="9"/>
      <c r="N350" s="9"/>
      <c r="O350" s="9"/>
      <c r="P350" s="9"/>
      <c r="Q350" s="9"/>
      <c r="R350" s="9"/>
      <c r="S350" s="9"/>
      <c r="T350" s="9"/>
      <c r="U350" s="9"/>
      <c r="V350" s="9"/>
      <c r="W350" s="9"/>
      <c r="X350" s="9"/>
      <c r="Y350" s="9"/>
      <c r="Z350" s="9"/>
      <c r="AA350" s="9"/>
      <c r="AB350" s="9"/>
      <c r="AC350" s="9"/>
      <c r="AD350" s="9"/>
      <c r="AE350" s="9"/>
      <c r="AF350" s="9"/>
      <c r="AG350" s="9"/>
      <c r="AH350" s="9"/>
      <c r="AI350" s="9"/>
      <c r="AJ350" s="9"/>
      <c r="AK350" s="9"/>
      <c r="AL350" s="9"/>
      <c r="AM350" s="9"/>
      <c r="AN350" s="10"/>
      <c r="AO350" s="65">
        <f t="shared" si="11"/>
        <v>0</v>
      </c>
    </row>
    <row r="351" spans="2:41" s="4" customFormat="1" ht="24" customHeight="1" x14ac:dyDescent="0.2">
      <c r="B351" s="14"/>
      <c r="C351" s="23"/>
      <c r="D351" s="21" t="str">
        <f>IF(ISBLANK(C351), "",
_xlfn.WEBSERVICE(
"https://d16nxf5gxyt1xz.cloudfront.net/Prod/translation?id="
&amp;アカウント情報!$C$2&amp;
"&amp;pwd="
&amp;アカウント情報!$C$3&amp;
"&amp;item="
&amp;_xlfn.ENCODEURL(設定!$F$3)&amp;
"&amp;word="
&amp;_xlfn.ENCODEURL(C351)
)
)</f>
        <v/>
      </c>
      <c r="E351" s="6"/>
      <c r="F351" s="16" t="str">
        <f>IFERROR(VLOOKUP($E351,設定!$C:$F,2,0),"")</f>
        <v/>
      </c>
      <c r="G351" s="156" t="str">
        <f>IFERROR(VLOOKUP($E351,設定!$C:$F,3,0),"")</f>
        <v/>
      </c>
      <c r="H351" s="131" t="str">
        <f>IFERROR(VLOOKUP($E351,設定!$C:$F,4,0),"")</f>
        <v/>
      </c>
      <c r="I351" s="402"/>
      <c r="J351" s="8"/>
      <c r="K351" s="9"/>
      <c r="L351" s="9"/>
      <c r="M351" s="9"/>
      <c r="N351" s="9"/>
      <c r="O351" s="9"/>
      <c r="P351" s="9"/>
      <c r="Q351" s="9"/>
      <c r="R351" s="9"/>
      <c r="S351" s="9"/>
      <c r="T351" s="9"/>
      <c r="U351" s="9"/>
      <c r="V351" s="9"/>
      <c r="W351" s="9"/>
      <c r="X351" s="9"/>
      <c r="Y351" s="9"/>
      <c r="Z351" s="9"/>
      <c r="AA351" s="9"/>
      <c r="AB351" s="9"/>
      <c r="AC351" s="9"/>
      <c r="AD351" s="9"/>
      <c r="AE351" s="9"/>
      <c r="AF351" s="9"/>
      <c r="AG351" s="9"/>
      <c r="AH351" s="9"/>
      <c r="AI351" s="9"/>
      <c r="AJ351" s="9"/>
      <c r="AK351" s="9"/>
      <c r="AL351" s="9"/>
      <c r="AM351" s="9"/>
      <c r="AN351" s="10"/>
      <c r="AO351" s="65">
        <f t="shared" si="11"/>
        <v>0</v>
      </c>
    </row>
    <row r="352" spans="2:41" s="4" customFormat="1" ht="24" customHeight="1" x14ac:dyDescent="0.2">
      <c r="B352" s="14"/>
      <c r="C352" s="23"/>
      <c r="D352" s="21" t="str">
        <f>IF(ISBLANK(C352), "",
_xlfn.WEBSERVICE(
"https://d16nxf5gxyt1xz.cloudfront.net/Prod/translation?id="
&amp;アカウント情報!$C$2&amp;
"&amp;pwd="
&amp;アカウント情報!$C$3&amp;
"&amp;item="
&amp;_xlfn.ENCODEURL(設定!$F$3)&amp;
"&amp;word="
&amp;_xlfn.ENCODEURL(C352)
)
)</f>
        <v/>
      </c>
      <c r="E352" s="6"/>
      <c r="F352" s="16" t="str">
        <f>IFERROR(VLOOKUP($E352,設定!$C:$F,2,0),"")</f>
        <v/>
      </c>
      <c r="G352" s="156" t="str">
        <f>IFERROR(VLOOKUP($E352,設定!$C:$F,3,0),"")</f>
        <v/>
      </c>
      <c r="H352" s="131" t="str">
        <f>IFERROR(VLOOKUP($E352,設定!$C:$F,4,0),"")</f>
        <v/>
      </c>
      <c r="I352" s="402"/>
      <c r="J352" s="8"/>
      <c r="K352" s="9"/>
      <c r="L352" s="9"/>
      <c r="M352" s="9"/>
      <c r="N352" s="9"/>
      <c r="O352" s="9"/>
      <c r="P352" s="9"/>
      <c r="Q352" s="9"/>
      <c r="R352" s="9"/>
      <c r="S352" s="9"/>
      <c r="T352" s="9"/>
      <c r="U352" s="9"/>
      <c r="V352" s="9"/>
      <c r="W352" s="9"/>
      <c r="X352" s="9"/>
      <c r="Y352" s="9"/>
      <c r="Z352" s="9"/>
      <c r="AA352" s="9"/>
      <c r="AB352" s="9"/>
      <c r="AC352" s="9"/>
      <c r="AD352" s="9"/>
      <c r="AE352" s="9"/>
      <c r="AF352" s="9"/>
      <c r="AG352" s="9"/>
      <c r="AH352" s="9"/>
      <c r="AI352" s="9"/>
      <c r="AJ352" s="9"/>
      <c r="AK352" s="9"/>
      <c r="AL352" s="9"/>
      <c r="AM352" s="9"/>
      <c r="AN352" s="10"/>
      <c r="AO352" s="65">
        <f t="shared" si="11"/>
        <v>0</v>
      </c>
    </row>
    <row r="353" spans="2:41" s="4" customFormat="1" ht="24" customHeight="1" x14ac:dyDescent="0.2">
      <c r="B353" s="14"/>
      <c r="C353" s="23"/>
      <c r="D353" s="21" t="str">
        <f>IF(ISBLANK(C353), "",
_xlfn.WEBSERVICE(
"https://d16nxf5gxyt1xz.cloudfront.net/Prod/translation?id="
&amp;アカウント情報!$C$2&amp;
"&amp;pwd="
&amp;アカウント情報!$C$3&amp;
"&amp;item="
&amp;_xlfn.ENCODEURL(設定!$F$3)&amp;
"&amp;word="
&amp;_xlfn.ENCODEURL(C353)
)
)</f>
        <v/>
      </c>
      <c r="E353" s="6"/>
      <c r="F353" s="16" t="str">
        <f>IFERROR(VLOOKUP($E353,設定!$C:$F,2,0),"")</f>
        <v/>
      </c>
      <c r="G353" s="156" t="str">
        <f>IFERROR(VLOOKUP($E353,設定!$C:$F,3,0),"")</f>
        <v/>
      </c>
      <c r="H353" s="131" t="str">
        <f>IFERROR(VLOOKUP($E353,設定!$C:$F,4,0),"")</f>
        <v/>
      </c>
      <c r="I353" s="402"/>
      <c r="J353" s="8"/>
      <c r="K353" s="9"/>
      <c r="L353" s="9"/>
      <c r="M353" s="9"/>
      <c r="N353" s="9"/>
      <c r="O353" s="9"/>
      <c r="P353" s="9"/>
      <c r="Q353" s="9"/>
      <c r="R353" s="9"/>
      <c r="S353" s="9"/>
      <c r="T353" s="9"/>
      <c r="U353" s="9"/>
      <c r="V353" s="9"/>
      <c r="W353" s="9"/>
      <c r="X353" s="9"/>
      <c r="Y353" s="9"/>
      <c r="Z353" s="9"/>
      <c r="AA353" s="9"/>
      <c r="AB353" s="9"/>
      <c r="AC353" s="9"/>
      <c r="AD353" s="9"/>
      <c r="AE353" s="9"/>
      <c r="AF353" s="9"/>
      <c r="AG353" s="9"/>
      <c r="AH353" s="9"/>
      <c r="AI353" s="9"/>
      <c r="AJ353" s="9"/>
      <c r="AK353" s="9"/>
      <c r="AL353" s="9"/>
      <c r="AM353" s="9"/>
      <c r="AN353" s="10"/>
      <c r="AO353" s="65">
        <f t="shared" si="11"/>
        <v>0</v>
      </c>
    </row>
    <row r="354" spans="2:41" s="4" customFormat="1" ht="24" customHeight="1" x14ac:dyDescent="0.2">
      <c r="B354" s="14"/>
      <c r="C354" s="23"/>
      <c r="D354" s="21" t="str">
        <f>IF(ISBLANK(C354), "",
_xlfn.WEBSERVICE(
"https://d16nxf5gxyt1xz.cloudfront.net/Prod/translation?id="
&amp;アカウント情報!$C$2&amp;
"&amp;pwd="
&amp;アカウント情報!$C$3&amp;
"&amp;item="
&amp;_xlfn.ENCODEURL(設定!$F$3)&amp;
"&amp;word="
&amp;_xlfn.ENCODEURL(C354)
)
)</f>
        <v/>
      </c>
      <c r="E354" s="6"/>
      <c r="F354" s="16" t="str">
        <f>IFERROR(VLOOKUP($E354,設定!$C:$F,2,0),"")</f>
        <v/>
      </c>
      <c r="G354" s="156" t="str">
        <f>IFERROR(VLOOKUP($E354,設定!$C:$F,3,0),"")</f>
        <v/>
      </c>
      <c r="H354" s="131" t="str">
        <f>IFERROR(VLOOKUP($E354,設定!$C:$F,4,0),"")</f>
        <v/>
      </c>
      <c r="I354" s="402"/>
      <c r="J354" s="8"/>
      <c r="K354" s="9"/>
      <c r="L354" s="9"/>
      <c r="M354" s="9"/>
      <c r="N354" s="9"/>
      <c r="O354" s="9"/>
      <c r="P354" s="9"/>
      <c r="Q354" s="9"/>
      <c r="R354" s="9"/>
      <c r="S354" s="9"/>
      <c r="T354" s="9"/>
      <c r="U354" s="9"/>
      <c r="V354" s="9"/>
      <c r="W354" s="9"/>
      <c r="X354" s="9"/>
      <c r="Y354" s="9"/>
      <c r="Z354" s="9"/>
      <c r="AA354" s="9"/>
      <c r="AB354" s="9"/>
      <c r="AC354" s="9"/>
      <c r="AD354" s="9"/>
      <c r="AE354" s="9"/>
      <c r="AF354" s="9"/>
      <c r="AG354" s="9"/>
      <c r="AH354" s="9"/>
      <c r="AI354" s="9"/>
      <c r="AJ354" s="9"/>
      <c r="AK354" s="9"/>
      <c r="AL354" s="9"/>
      <c r="AM354" s="9"/>
      <c r="AN354" s="10"/>
      <c r="AO354" s="65">
        <f t="shared" si="11"/>
        <v>0</v>
      </c>
    </row>
    <row r="355" spans="2:41" s="4" customFormat="1" ht="24" customHeight="1" x14ac:dyDescent="0.2">
      <c r="B355" s="14"/>
      <c r="C355" s="23"/>
      <c r="D355" s="21" t="str">
        <f>IF(ISBLANK(C355), "",
_xlfn.WEBSERVICE(
"https://d16nxf5gxyt1xz.cloudfront.net/Prod/translation?id="
&amp;アカウント情報!$C$2&amp;
"&amp;pwd="
&amp;アカウント情報!$C$3&amp;
"&amp;item="
&amp;_xlfn.ENCODEURL(設定!$F$3)&amp;
"&amp;word="
&amp;_xlfn.ENCODEURL(C355)
)
)</f>
        <v/>
      </c>
      <c r="E355" s="6"/>
      <c r="F355" s="16" t="str">
        <f>IFERROR(VLOOKUP($E355,設定!$C:$F,2,0),"")</f>
        <v/>
      </c>
      <c r="G355" s="156" t="str">
        <f>IFERROR(VLOOKUP($E355,設定!$C:$F,3,0),"")</f>
        <v/>
      </c>
      <c r="H355" s="131" t="str">
        <f>IFERROR(VLOOKUP($E355,設定!$C:$F,4,0),"")</f>
        <v/>
      </c>
      <c r="I355" s="402"/>
      <c r="J355" s="8"/>
      <c r="K355" s="9"/>
      <c r="L355" s="9"/>
      <c r="M355" s="9"/>
      <c r="N355" s="9"/>
      <c r="O355" s="9"/>
      <c r="P355" s="9"/>
      <c r="Q355" s="9"/>
      <c r="R355" s="9"/>
      <c r="S355" s="9"/>
      <c r="T355" s="9"/>
      <c r="U355" s="9"/>
      <c r="V355" s="9"/>
      <c r="W355" s="9"/>
      <c r="X355" s="9"/>
      <c r="Y355" s="9"/>
      <c r="Z355" s="9"/>
      <c r="AA355" s="9"/>
      <c r="AB355" s="9"/>
      <c r="AC355" s="9"/>
      <c r="AD355" s="9"/>
      <c r="AE355" s="9"/>
      <c r="AF355" s="9"/>
      <c r="AG355" s="9"/>
      <c r="AH355" s="9"/>
      <c r="AI355" s="9"/>
      <c r="AJ355" s="9"/>
      <c r="AK355" s="9"/>
      <c r="AL355" s="9"/>
      <c r="AM355" s="9"/>
      <c r="AN355" s="10"/>
      <c r="AO355" s="65">
        <f t="shared" si="11"/>
        <v>0</v>
      </c>
    </row>
    <row r="356" spans="2:41" s="4" customFormat="1" ht="24" customHeight="1" x14ac:dyDescent="0.2">
      <c r="B356" s="14"/>
      <c r="C356" s="23"/>
      <c r="D356" s="21" t="str">
        <f>IF(ISBLANK(C356), "",
_xlfn.WEBSERVICE(
"https://d16nxf5gxyt1xz.cloudfront.net/Prod/translation?id="
&amp;アカウント情報!$C$2&amp;
"&amp;pwd="
&amp;アカウント情報!$C$3&amp;
"&amp;item="
&amp;_xlfn.ENCODEURL(設定!$F$3)&amp;
"&amp;word="
&amp;_xlfn.ENCODEURL(C356)
)
)</f>
        <v/>
      </c>
      <c r="E356" s="6"/>
      <c r="F356" s="16" t="str">
        <f>IFERROR(VLOOKUP($E356,設定!$C:$F,2,0),"")</f>
        <v/>
      </c>
      <c r="G356" s="156" t="str">
        <f>IFERROR(VLOOKUP($E356,設定!$C:$F,3,0),"")</f>
        <v/>
      </c>
      <c r="H356" s="131" t="str">
        <f>IFERROR(VLOOKUP($E356,設定!$C:$F,4,0),"")</f>
        <v/>
      </c>
      <c r="I356" s="402"/>
      <c r="J356" s="8"/>
      <c r="K356" s="9"/>
      <c r="L356" s="9"/>
      <c r="M356" s="9"/>
      <c r="N356" s="9"/>
      <c r="O356" s="9"/>
      <c r="P356" s="9"/>
      <c r="Q356" s="9"/>
      <c r="R356" s="9"/>
      <c r="S356" s="9"/>
      <c r="T356" s="9"/>
      <c r="U356" s="9"/>
      <c r="V356" s="9"/>
      <c r="W356" s="9"/>
      <c r="X356" s="9"/>
      <c r="Y356" s="9"/>
      <c r="Z356" s="9"/>
      <c r="AA356" s="9"/>
      <c r="AB356" s="9"/>
      <c r="AC356" s="9"/>
      <c r="AD356" s="9"/>
      <c r="AE356" s="9"/>
      <c r="AF356" s="9"/>
      <c r="AG356" s="9"/>
      <c r="AH356" s="9"/>
      <c r="AI356" s="9"/>
      <c r="AJ356" s="9"/>
      <c r="AK356" s="9"/>
      <c r="AL356" s="9"/>
      <c r="AM356" s="9"/>
      <c r="AN356" s="10"/>
      <c r="AO356" s="65">
        <f t="shared" si="11"/>
        <v>0</v>
      </c>
    </row>
    <row r="357" spans="2:41" s="4" customFormat="1" ht="24" customHeight="1" x14ac:dyDescent="0.2">
      <c r="B357" s="14"/>
      <c r="C357" s="23"/>
      <c r="D357" s="21" t="str">
        <f>IF(ISBLANK(C357), "",
_xlfn.WEBSERVICE(
"https://d16nxf5gxyt1xz.cloudfront.net/Prod/translation?id="
&amp;アカウント情報!$C$2&amp;
"&amp;pwd="
&amp;アカウント情報!$C$3&amp;
"&amp;item="
&amp;_xlfn.ENCODEURL(設定!$F$3)&amp;
"&amp;word="
&amp;_xlfn.ENCODEURL(C357)
)
)</f>
        <v/>
      </c>
      <c r="E357" s="6"/>
      <c r="F357" s="16" t="str">
        <f>IFERROR(VLOOKUP($E357,設定!$C:$F,2,0),"")</f>
        <v/>
      </c>
      <c r="G357" s="156" t="str">
        <f>IFERROR(VLOOKUP($E357,設定!$C:$F,3,0),"")</f>
        <v/>
      </c>
      <c r="H357" s="131" t="str">
        <f>IFERROR(VLOOKUP($E357,設定!$C:$F,4,0),"")</f>
        <v/>
      </c>
      <c r="I357" s="402"/>
      <c r="J357" s="8"/>
      <c r="K357" s="9"/>
      <c r="L357" s="9"/>
      <c r="M357" s="9"/>
      <c r="N357" s="9"/>
      <c r="O357" s="9"/>
      <c r="P357" s="9"/>
      <c r="Q357" s="9"/>
      <c r="R357" s="9"/>
      <c r="S357" s="9"/>
      <c r="T357" s="9"/>
      <c r="U357" s="9"/>
      <c r="V357" s="9"/>
      <c r="W357" s="9"/>
      <c r="X357" s="9"/>
      <c r="Y357" s="9"/>
      <c r="Z357" s="9"/>
      <c r="AA357" s="9"/>
      <c r="AB357" s="9"/>
      <c r="AC357" s="9"/>
      <c r="AD357" s="9"/>
      <c r="AE357" s="9"/>
      <c r="AF357" s="9"/>
      <c r="AG357" s="9"/>
      <c r="AH357" s="9"/>
      <c r="AI357" s="9"/>
      <c r="AJ357" s="9"/>
      <c r="AK357" s="9"/>
      <c r="AL357" s="9"/>
      <c r="AM357" s="9"/>
      <c r="AN357" s="10"/>
      <c r="AO357" s="65">
        <f t="shared" si="11"/>
        <v>0</v>
      </c>
    </row>
    <row r="358" spans="2:41" s="4" customFormat="1" ht="24" customHeight="1" x14ac:dyDescent="0.2">
      <c r="B358" s="14"/>
      <c r="C358" s="23"/>
      <c r="D358" s="21" t="str">
        <f>IF(ISBLANK(C358), "",
_xlfn.WEBSERVICE(
"https://d16nxf5gxyt1xz.cloudfront.net/Prod/translation?id="
&amp;アカウント情報!$C$2&amp;
"&amp;pwd="
&amp;アカウント情報!$C$3&amp;
"&amp;item="
&amp;_xlfn.ENCODEURL(設定!$F$3)&amp;
"&amp;word="
&amp;_xlfn.ENCODEURL(C358)
)
)</f>
        <v/>
      </c>
      <c r="E358" s="6"/>
      <c r="F358" s="16" t="str">
        <f>IFERROR(VLOOKUP($E358,設定!$C:$F,2,0),"")</f>
        <v/>
      </c>
      <c r="G358" s="156" t="str">
        <f>IFERROR(VLOOKUP($E358,設定!$C:$F,3,0),"")</f>
        <v/>
      </c>
      <c r="H358" s="131" t="str">
        <f>IFERROR(VLOOKUP($E358,設定!$C:$F,4,0),"")</f>
        <v/>
      </c>
      <c r="I358" s="402"/>
      <c r="J358" s="8"/>
      <c r="K358" s="9"/>
      <c r="L358" s="9"/>
      <c r="M358" s="9"/>
      <c r="N358" s="9"/>
      <c r="O358" s="9"/>
      <c r="P358" s="9"/>
      <c r="Q358" s="9"/>
      <c r="R358" s="9"/>
      <c r="S358" s="9"/>
      <c r="T358" s="9"/>
      <c r="U358" s="9"/>
      <c r="V358" s="9"/>
      <c r="W358" s="9"/>
      <c r="X358" s="9"/>
      <c r="Y358" s="9"/>
      <c r="Z358" s="9"/>
      <c r="AA358" s="9"/>
      <c r="AB358" s="9"/>
      <c r="AC358" s="9"/>
      <c r="AD358" s="9"/>
      <c r="AE358" s="9"/>
      <c r="AF358" s="9"/>
      <c r="AG358" s="9"/>
      <c r="AH358" s="9"/>
      <c r="AI358" s="9"/>
      <c r="AJ358" s="9"/>
      <c r="AK358" s="9"/>
      <c r="AL358" s="9"/>
      <c r="AM358" s="9"/>
      <c r="AN358" s="10"/>
      <c r="AO358" s="65">
        <f t="shared" si="11"/>
        <v>0</v>
      </c>
    </row>
    <row r="359" spans="2:41" s="4" customFormat="1" ht="24" customHeight="1" x14ac:dyDescent="0.2">
      <c r="B359" s="14"/>
      <c r="C359" s="23"/>
      <c r="D359" s="21" t="str">
        <f>IF(ISBLANK(C359), "",
_xlfn.WEBSERVICE(
"https://d16nxf5gxyt1xz.cloudfront.net/Prod/translation?id="
&amp;アカウント情報!$C$2&amp;
"&amp;pwd="
&amp;アカウント情報!$C$3&amp;
"&amp;item="
&amp;_xlfn.ENCODEURL(設定!$F$3)&amp;
"&amp;word="
&amp;_xlfn.ENCODEURL(C359)
)
)</f>
        <v/>
      </c>
      <c r="E359" s="6"/>
      <c r="F359" s="16" t="str">
        <f>IFERROR(VLOOKUP($E359,設定!$C:$F,2,0),"")</f>
        <v/>
      </c>
      <c r="G359" s="156" t="str">
        <f>IFERROR(VLOOKUP($E359,設定!$C:$F,3,0),"")</f>
        <v/>
      </c>
      <c r="H359" s="131" t="str">
        <f>IFERROR(VLOOKUP($E359,設定!$C:$F,4,0),"")</f>
        <v/>
      </c>
      <c r="I359" s="402"/>
      <c r="J359" s="8"/>
      <c r="K359" s="9"/>
      <c r="L359" s="9"/>
      <c r="M359" s="9"/>
      <c r="N359" s="9"/>
      <c r="O359" s="9"/>
      <c r="P359" s="9"/>
      <c r="Q359" s="9"/>
      <c r="R359" s="9"/>
      <c r="S359" s="9"/>
      <c r="T359" s="9"/>
      <c r="U359" s="9"/>
      <c r="V359" s="9"/>
      <c r="W359" s="9"/>
      <c r="X359" s="9"/>
      <c r="Y359" s="9"/>
      <c r="Z359" s="9"/>
      <c r="AA359" s="9"/>
      <c r="AB359" s="9"/>
      <c r="AC359" s="9"/>
      <c r="AD359" s="9"/>
      <c r="AE359" s="9"/>
      <c r="AF359" s="9"/>
      <c r="AG359" s="9"/>
      <c r="AH359" s="9"/>
      <c r="AI359" s="9"/>
      <c r="AJ359" s="9"/>
      <c r="AK359" s="9"/>
      <c r="AL359" s="9"/>
      <c r="AM359" s="9"/>
      <c r="AN359" s="10"/>
      <c r="AO359" s="65">
        <f t="shared" si="11"/>
        <v>0</v>
      </c>
    </row>
    <row r="360" spans="2:41" s="4" customFormat="1" ht="24" customHeight="1" x14ac:dyDescent="0.2">
      <c r="B360" s="14"/>
      <c r="C360" s="23"/>
      <c r="D360" s="21" t="str">
        <f>IF(ISBLANK(C360), "",
_xlfn.WEBSERVICE(
"https://d16nxf5gxyt1xz.cloudfront.net/Prod/translation?id="
&amp;アカウント情報!$C$2&amp;
"&amp;pwd="
&amp;アカウント情報!$C$3&amp;
"&amp;item="
&amp;_xlfn.ENCODEURL(設定!$F$3)&amp;
"&amp;word="
&amp;_xlfn.ENCODEURL(C360)
)
)</f>
        <v/>
      </c>
      <c r="E360" s="6"/>
      <c r="F360" s="16" t="str">
        <f>IFERROR(VLOOKUP($E360,設定!$C:$F,2,0),"")</f>
        <v/>
      </c>
      <c r="G360" s="156" t="str">
        <f>IFERROR(VLOOKUP($E360,設定!$C:$F,3,0),"")</f>
        <v/>
      </c>
      <c r="H360" s="131" t="str">
        <f>IFERROR(VLOOKUP($E360,設定!$C:$F,4,0),"")</f>
        <v/>
      </c>
      <c r="I360" s="402"/>
      <c r="J360" s="8"/>
      <c r="K360" s="9"/>
      <c r="L360" s="9"/>
      <c r="M360" s="9"/>
      <c r="N360" s="9"/>
      <c r="O360" s="9"/>
      <c r="P360" s="9"/>
      <c r="Q360" s="9"/>
      <c r="R360" s="9"/>
      <c r="S360" s="9"/>
      <c r="T360" s="9"/>
      <c r="U360" s="9"/>
      <c r="V360" s="9"/>
      <c r="W360" s="9"/>
      <c r="X360" s="9"/>
      <c r="Y360" s="9"/>
      <c r="Z360" s="9"/>
      <c r="AA360" s="9"/>
      <c r="AB360" s="9"/>
      <c r="AC360" s="9"/>
      <c r="AD360" s="9"/>
      <c r="AE360" s="9"/>
      <c r="AF360" s="9"/>
      <c r="AG360" s="9"/>
      <c r="AH360" s="9"/>
      <c r="AI360" s="9"/>
      <c r="AJ360" s="9"/>
      <c r="AK360" s="9"/>
      <c r="AL360" s="9"/>
      <c r="AM360" s="9"/>
      <c r="AN360" s="10"/>
      <c r="AO360" s="65">
        <f t="shared" si="11"/>
        <v>0</v>
      </c>
    </row>
    <row r="361" spans="2:41" s="4" customFormat="1" ht="24" customHeight="1" x14ac:dyDescent="0.2">
      <c r="B361" s="14"/>
      <c r="C361" s="23"/>
      <c r="D361" s="21" t="str">
        <f>IF(ISBLANK(C361), "",
_xlfn.WEBSERVICE(
"https://d16nxf5gxyt1xz.cloudfront.net/Prod/translation?id="
&amp;アカウント情報!$C$2&amp;
"&amp;pwd="
&amp;アカウント情報!$C$3&amp;
"&amp;item="
&amp;_xlfn.ENCODEURL(設定!$F$3)&amp;
"&amp;word="
&amp;_xlfn.ENCODEURL(C361)
)
)</f>
        <v/>
      </c>
      <c r="E361" s="6"/>
      <c r="F361" s="16" t="str">
        <f>IFERROR(VLOOKUP($E361,設定!$C:$F,2,0),"")</f>
        <v/>
      </c>
      <c r="G361" s="156" t="str">
        <f>IFERROR(VLOOKUP($E361,設定!$C:$F,3,0),"")</f>
        <v/>
      </c>
      <c r="H361" s="131" t="str">
        <f>IFERROR(VLOOKUP($E361,設定!$C:$F,4,0),"")</f>
        <v/>
      </c>
      <c r="I361" s="402"/>
      <c r="J361" s="8"/>
      <c r="K361" s="9"/>
      <c r="L361" s="9"/>
      <c r="M361" s="9"/>
      <c r="N361" s="9"/>
      <c r="O361" s="9"/>
      <c r="P361" s="9"/>
      <c r="Q361" s="9"/>
      <c r="R361" s="9"/>
      <c r="S361" s="9"/>
      <c r="T361" s="9"/>
      <c r="U361" s="9"/>
      <c r="V361" s="9"/>
      <c r="W361" s="9"/>
      <c r="X361" s="9"/>
      <c r="Y361" s="9"/>
      <c r="Z361" s="9"/>
      <c r="AA361" s="9"/>
      <c r="AB361" s="9"/>
      <c r="AC361" s="9"/>
      <c r="AD361" s="9"/>
      <c r="AE361" s="9"/>
      <c r="AF361" s="9"/>
      <c r="AG361" s="9"/>
      <c r="AH361" s="9"/>
      <c r="AI361" s="9"/>
      <c r="AJ361" s="9"/>
      <c r="AK361" s="9"/>
      <c r="AL361" s="9"/>
      <c r="AM361" s="9"/>
      <c r="AN361" s="10"/>
      <c r="AO361" s="65">
        <f t="shared" si="11"/>
        <v>0</v>
      </c>
    </row>
    <row r="362" spans="2:41" s="4" customFormat="1" ht="24" customHeight="1" x14ac:dyDescent="0.2">
      <c r="B362" s="14"/>
      <c r="C362" s="23"/>
      <c r="D362" s="21" t="str">
        <f>IF(ISBLANK(C362), "",
_xlfn.WEBSERVICE(
"https://d16nxf5gxyt1xz.cloudfront.net/Prod/translation?id="
&amp;アカウント情報!$C$2&amp;
"&amp;pwd="
&amp;アカウント情報!$C$3&amp;
"&amp;item="
&amp;_xlfn.ENCODEURL(設定!$F$3)&amp;
"&amp;word="
&amp;_xlfn.ENCODEURL(C362)
)
)</f>
        <v/>
      </c>
      <c r="E362" s="6"/>
      <c r="F362" s="16" t="str">
        <f>IFERROR(VLOOKUP($E362,設定!$C:$F,2,0),"")</f>
        <v/>
      </c>
      <c r="G362" s="156" t="str">
        <f>IFERROR(VLOOKUP($E362,設定!$C:$F,3,0),"")</f>
        <v/>
      </c>
      <c r="H362" s="131" t="str">
        <f>IFERROR(VLOOKUP($E362,設定!$C:$F,4,0),"")</f>
        <v/>
      </c>
      <c r="I362" s="402"/>
      <c r="J362" s="8"/>
      <c r="K362" s="9"/>
      <c r="L362" s="9"/>
      <c r="M362" s="9"/>
      <c r="N362" s="9"/>
      <c r="O362" s="9"/>
      <c r="P362" s="9"/>
      <c r="Q362" s="9"/>
      <c r="R362" s="9"/>
      <c r="S362" s="9"/>
      <c r="T362" s="9"/>
      <c r="U362" s="9"/>
      <c r="V362" s="9"/>
      <c r="W362" s="9"/>
      <c r="X362" s="9"/>
      <c r="Y362" s="9"/>
      <c r="Z362" s="9"/>
      <c r="AA362" s="9"/>
      <c r="AB362" s="9"/>
      <c r="AC362" s="9"/>
      <c r="AD362" s="9"/>
      <c r="AE362" s="9"/>
      <c r="AF362" s="9"/>
      <c r="AG362" s="9"/>
      <c r="AH362" s="9"/>
      <c r="AI362" s="9"/>
      <c r="AJ362" s="9"/>
      <c r="AK362" s="9"/>
      <c r="AL362" s="9"/>
      <c r="AM362" s="9"/>
      <c r="AN362" s="10"/>
      <c r="AO362" s="65">
        <f t="shared" si="11"/>
        <v>0</v>
      </c>
    </row>
    <row r="363" spans="2:41" s="4" customFormat="1" ht="24" customHeight="1" x14ac:dyDescent="0.2">
      <c r="B363" s="14"/>
      <c r="C363" s="23"/>
      <c r="D363" s="21" t="str">
        <f>IF(ISBLANK(C363), "",
_xlfn.WEBSERVICE(
"https://d16nxf5gxyt1xz.cloudfront.net/Prod/translation?id="
&amp;アカウント情報!$C$2&amp;
"&amp;pwd="
&amp;アカウント情報!$C$3&amp;
"&amp;item="
&amp;_xlfn.ENCODEURL(設定!$F$3)&amp;
"&amp;word="
&amp;_xlfn.ENCODEURL(C363)
)
)</f>
        <v/>
      </c>
      <c r="E363" s="6"/>
      <c r="F363" s="16" t="str">
        <f>IFERROR(VLOOKUP($E363,設定!$C:$F,2,0),"")</f>
        <v/>
      </c>
      <c r="G363" s="156" t="str">
        <f>IFERROR(VLOOKUP($E363,設定!$C:$F,3,0),"")</f>
        <v/>
      </c>
      <c r="H363" s="131" t="str">
        <f>IFERROR(VLOOKUP($E363,設定!$C:$F,4,0),"")</f>
        <v/>
      </c>
      <c r="I363" s="402"/>
      <c r="J363" s="8"/>
      <c r="K363" s="9"/>
      <c r="L363" s="9"/>
      <c r="M363" s="9"/>
      <c r="N363" s="9"/>
      <c r="O363" s="9"/>
      <c r="P363" s="9"/>
      <c r="Q363" s="9"/>
      <c r="R363" s="9"/>
      <c r="S363" s="9"/>
      <c r="T363" s="9"/>
      <c r="U363" s="9"/>
      <c r="V363" s="9"/>
      <c r="W363" s="9"/>
      <c r="X363" s="9"/>
      <c r="Y363" s="9"/>
      <c r="Z363" s="9"/>
      <c r="AA363" s="9"/>
      <c r="AB363" s="9"/>
      <c r="AC363" s="9"/>
      <c r="AD363" s="9"/>
      <c r="AE363" s="9"/>
      <c r="AF363" s="9"/>
      <c r="AG363" s="9"/>
      <c r="AH363" s="9"/>
      <c r="AI363" s="9"/>
      <c r="AJ363" s="9"/>
      <c r="AK363" s="9"/>
      <c r="AL363" s="9"/>
      <c r="AM363" s="9"/>
      <c r="AN363" s="10"/>
      <c r="AO363" s="65">
        <f t="shared" si="11"/>
        <v>0</v>
      </c>
    </row>
    <row r="364" spans="2:41" s="4" customFormat="1" ht="24" customHeight="1" x14ac:dyDescent="0.2">
      <c r="B364" s="14"/>
      <c r="C364" s="23"/>
      <c r="D364" s="21" t="str">
        <f>IF(ISBLANK(C364), "",
_xlfn.WEBSERVICE(
"https://d16nxf5gxyt1xz.cloudfront.net/Prod/translation?id="
&amp;アカウント情報!$C$2&amp;
"&amp;pwd="
&amp;アカウント情報!$C$3&amp;
"&amp;item="
&amp;_xlfn.ENCODEURL(設定!$F$3)&amp;
"&amp;word="
&amp;_xlfn.ENCODEURL(C364)
)
)</f>
        <v/>
      </c>
      <c r="E364" s="6"/>
      <c r="F364" s="16" t="str">
        <f>IFERROR(VLOOKUP($E364,設定!$C:$F,2,0),"")</f>
        <v/>
      </c>
      <c r="G364" s="156" t="str">
        <f>IFERROR(VLOOKUP($E364,設定!$C:$F,3,0),"")</f>
        <v/>
      </c>
      <c r="H364" s="131" t="str">
        <f>IFERROR(VLOOKUP($E364,設定!$C:$F,4,0),"")</f>
        <v/>
      </c>
      <c r="I364" s="402"/>
      <c r="J364" s="8"/>
      <c r="K364" s="9"/>
      <c r="L364" s="9"/>
      <c r="M364" s="9"/>
      <c r="N364" s="9"/>
      <c r="O364" s="9"/>
      <c r="P364" s="9"/>
      <c r="Q364" s="9"/>
      <c r="R364" s="9"/>
      <c r="S364" s="9"/>
      <c r="T364" s="9"/>
      <c r="U364" s="9"/>
      <c r="V364" s="9"/>
      <c r="W364" s="9"/>
      <c r="X364" s="9"/>
      <c r="Y364" s="9"/>
      <c r="Z364" s="9"/>
      <c r="AA364" s="9"/>
      <c r="AB364" s="9"/>
      <c r="AC364" s="9"/>
      <c r="AD364" s="9"/>
      <c r="AE364" s="9"/>
      <c r="AF364" s="9"/>
      <c r="AG364" s="9"/>
      <c r="AH364" s="9"/>
      <c r="AI364" s="9"/>
      <c r="AJ364" s="9"/>
      <c r="AK364" s="9"/>
      <c r="AL364" s="9"/>
      <c r="AM364" s="9"/>
      <c r="AN364" s="10"/>
      <c r="AO364" s="65">
        <f t="shared" si="11"/>
        <v>0</v>
      </c>
    </row>
    <row r="365" spans="2:41" s="4" customFormat="1" ht="24" customHeight="1" x14ac:dyDescent="0.2">
      <c r="B365" s="14"/>
      <c r="C365" s="23"/>
      <c r="D365" s="21" t="str">
        <f>IF(ISBLANK(C365), "",
_xlfn.WEBSERVICE(
"https://d16nxf5gxyt1xz.cloudfront.net/Prod/translation?id="
&amp;アカウント情報!$C$2&amp;
"&amp;pwd="
&amp;アカウント情報!$C$3&amp;
"&amp;item="
&amp;_xlfn.ENCODEURL(設定!$F$3)&amp;
"&amp;word="
&amp;_xlfn.ENCODEURL(C365)
)
)</f>
        <v/>
      </c>
      <c r="E365" s="6"/>
      <c r="F365" s="16" t="str">
        <f>IFERROR(VLOOKUP($E365,設定!$C:$F,2,0),"")</f>
        <v/>
      </c>
      <c r="G365" s="156" t="str">
        <f>IFERROR(VLOOKUP($E365,設定!$C:$F,3,0),"")</f>
        <v/>
      </c>
      <c r="H365" s="131" t="str">
        <f>IFERROR(VLOOKUP($E365,設定!$C:$F,4,0),"")</f>
        <v/>
      </c>
      <c r="I365" s="402"/>
      <c r="J365" s="8"/>
      <c r="K365" s="9"/>
      <c r="L365" s="9"/>
      <c r="M365" s="9"/>
      <c r="N365" s="9"/>
      <c r="O365" s="9"/>
      <c r="P365" s="9"/>
      <c r="Q365" s="9"/>
      <c r="R365" s="9"/>
      <c r="S365" s="9"/>
      <c r="T365" s="9"/>
      <c r="U365" s="9"/>
      <c r="V365" s="9"/>
      <c r="W365" s="9"/>
      <c r="X365" s="9"/>
      <c r="Y365" s="9"/>
      <c r="Z365" s="9"/>
      <c r="AA365" s="9"/>
      <c r="AB365" s="9"/>
      <c r="AC365" s="9"/>
      <c r="AD365" s="9"/>
      <c r="AE365" s="9"/>
      <c r="AF365" s="9"/>
      <c r="AG365" s="9"/>
      <c r="AH365" s="9"/>
      <c r="AI365" s="9"/>
      <c r="AJ365" s="9"/>
      <c r="AK365" s="9"/>
      <c r="AL365" s="9"/>
      <c r="AM365" s="9"/>
      <c r="AN365" s="10"/>
      <c r="AO365" s="65">
        <f t="shared" si="11"/>
        <v>0</v>
      </c>
    </row>
    <row r="366" spans="2:41" s="4" customFormat="1" ht="24" customHeight="1" x14ac:dyDescent="0.2">
      <c r="B366" s="14"/>
      <c r="C366" s="23"/>
      <c r="D366" s="21" t="str">
        <f>IF(ISBLANK(C366), "",
_xlfn.WEBSERVICE(
"https://d16nxf5gxyt1xz.cloudfront.net/Prod/translation?id="
&amp;アカウント情報!$C$2&amp;
"&amp;pwd="
&amp;アカウント情報!$C$3&amp;
"&amp;item="
&amp;_xlfn.ENCODEURL(設定!$F$3)&amp;
"&amp;word="
&amp;_xlfn.ENCODEURL(C366)
)
)</f>
        <v/>
      </c>
      <c r="E366" s="6"/>
      <c r="F366" s="16" t="str">
        <f>IFERROR(VLOOKUP($E366,設定!$C:$F,2,0),"")</f>
        <v/>
      </c>
      <c r="G366" s="156" t="str">
        <f>IFERROR(VLOOKUP($E366,設定!$C:$F,3,0),"")</f>
        <v/>
      </c>
      <c r="H366" s="131" t="str">
        <f>IFERROR(VLOOKUP($E366,設定!$C:$F,4,0),"")</f>
        <v/>
      </c>
      <c r="I366" s="402"/>
      <c r="J366" s="8"/>
      <c r="K366" s="9"/>
      <c r="L366" s="9"/>
      <c r="M366" s="9"/>
      <c r="N366" s="9"/>
      <c r="O366" s="9"/>
      <c r="P366" s="9"/>
      <c r="Q366" s="9"/>
      <c r="R366" s="9"/>
      <c r="S366" s="9"/>
      <c r="T366" s="9"/>
      <c r="U366" s="9"/>
      <c r="V366" s="9"/>
      <c r="W366" s="9"/>
      <c r="X366" s="9"/>
      <c r="Y366" s="9"/>
      <c r="Z366" s="9"/>
      <c r="AA366" s="9"/>
      <c r="AB366" s="9"/>
      <c r="AC366" s="9"/>
      <c r="AD366" s="9"/>
      <c r="AE366" s="9"/>
      <c r="AF366" s="9"/>
      <c r="AG366" s="9"/>
      <c r="AH366" s="9"/>
      <c r="AI366" s="9"/>
      <c r="AJ366" s="9"/>
      <c r="AK366" s="9"/>
      <c r="AL366" s="9"/>
      <c r="AM366" s="9"/>
      <c r="AN366" s="10"/>
      <c r="AO366" s="65">
        <f t="shared" si="11"/>
        <v>0</v>
      </c>
    </row>
    <row r="367" spans="2:41" s="4" customFormat="1" ht="24" customHeight="1" x14ac:dyDescent="0.2">
      <c r="B367" s="14"/>
      <c r="C367" s="23"/>
      <c r="D367" s="21" t="str">
        <f>IF(ISBLANK(C367), "",
_xlfn.WEBSERVICE(
"https://d16nxf5gxyt1xz.cloudfront.net/Prod/translation?id="
&amp;アカウント情報!$C$2&amp;
"&amp;pwd="
&amp;アカウント情報!$C$3&amp;
"&amp;item="
&amp;_xlfn.ENCODEURL(設定!$F$3)&amp;
"&amp;word="
&amp;_xlfn.ENCODEURL(C367)
)
)</f>
        <v/>
      </c>
      <c r="E367" s="6"/>
      <c r="F367" s="16" t="str">
        <f>IFERROR(VLOOKUP($E367,設定!$C:$F,2,0),"")</f>
        <v/>
      </c>
      <c r="G367" s="156" t="str">
        <f>IFERROR(VLOOKUP($E367,設定!$C:$F,3,0),"")</f>
        <v/>
      </c>
      <c r="H367" s="131" t="str">
        <f>IFERROR(VLOOKUP($E367,設定!$C:$F,4,0),"")</f>
        <v/>
      </c>
      <c r="I367" s="402"/>
      <c r="J367" s="8"/>
      <c r="K367" s="9"/>
      <c r="L367" s="9"/>
      <c r="M367" s="9"/>
      <c r="N367" s="9"/>
      <c r="O367" s="9"/>
      <c r="P367" s="9"/>
      <c r="Q367" s="9"/>
      <c r="R367" s="9"/>
      <c r="S367" s="9"/>
      <c r="T367" s="9"/>
      <c r="U367" s="9"/>
      <c r="V367" s="9"/>
      <c r="W367" s="9"/>
      <c r="X367" s="9"/>
      <c r="Y367" s="9"/>
      <c r="Z367" s="9"/>
      <c r="AA367" s="9"/>
      <c r="AB367" s="9"/>
      <c r="AC367" s="9"/>
      <c r="AD367" s="9"/>
      <c r="AE367" s="9"/>
      <c r="AF367" s="9"/>
      <c r="AG367" s="9"/>
      <c r="AH367" s="9"/>
      <c r="AI367" s="9"/>
      <c r="AJ367" s="9"/>
      <c r="AK367" s="9"/>
      <c r="AL367" s="9"/>
      <c r="AM367" s="9"/>
      <c r="AN367" s="10"/>
      <c r="AO367" s="65">
        <f t="shared" si="11"/>
        <v>0</v>
      </c>
    </row>
    <row r="368" spans="2:41" s="4" customFormat="1" ht="24" customHeight="1" x14ac:dyDescent="0.2">
      <c r="B368" s="14"/>
      <c r="C368" s="23"/>
      <c r="D368" s="21" t="str">
        <f>IF(ISBLANK(C368), "",
_xlfn.WEBSERVICE(
"https://d16nxf5gxyt1xz.cloudfront.net/Prod/translation?id="
&amp;アカウント情報!$C$2&amp;
"&amp;pwd="
&amp;アカウント情報!$C$3&amp;
"&amp;item="
&amp;_xlfn.ENCODEURL(設定!$F$3)&amp;
"&amp;word="
&amp;_xlfn.ENCODEURL(C368)
)
)</f>
        <v/>
      </c>
      <c r="E368" s="6"/>
      <c r="F368" s="16" t="str">
        <f>IFERROR(VLOOKUP($E368,設定!$C:$F,2,0),"")</f>
        <v/>
      </c>
      <c r="G368" s="156" t="str">
        <f>IFERROR(VLOOKUP($E368,設定!$C:$F,3,0),"")</f>
        <v/>
      </c>
      <c r="H368" s="131" t="str">
        <f>IFERROR(VLOOKUP($E368,設定!$C:$F,4,0),"")</f>
        <v/>
      </c>
      <c r="I368" s="402"/>
      <c r="J368" s="8"/>
      <c r="K368" s="9"/>
      <c r="L368" s="9"/>
      <c r="M368" s="9"/>
      <c r="N368" s="9"/>
      <c r="O368" s="9"/>
      <c r="P368" s="9"/>
      <c r="Q368" s="9"/>
      <c r="R368" s="9"/>
      <c r="S368" s="9"/>
      <c r="T368" s="9"/>
      <c r="U368" s="9"/>
      <c r="V368" s="9"/>
      <c r="W368" s="9"/>
      <c r="X368" s="9"/>
      <c r="Y368" s="9"/>
      <c r="Z368" s="9"/>
      <c r="AA368" s="9"/>
      <c r="AB368" s="9"/>
      <c r="AC368" s="9"/>
      <c r="AD368" s="9"/>
      <c r="AE368" s="9"/>
      <c r="AF368" s="9"/>
      <c r="AG368" s="9"/>
      <c r="AH368" s="9"/>
      <c r="AI368" s="9"/>
      <c r="AJ368" s="9"/>
      <c r="AK368" s="9"/>
      <c r="AL368" s="9"/>
      <c r="AM368" s="9"/>
      <c r="AN368" s="10"/>
      <c r="AO368" s="65">
        <f t="shared" si="11"/>
        <v>0</v>
      </c>
    </row>
    <row r="369" spans="2:41" s="4" customFormat="1" ht="24" customHeight="1" x14ac:dyDescent="0.2">
      <c r="B369" s="14"/>
      <c r="C369" s="23"/>
      <c r="D369" s="21" t="str">
        <f>IF(ISBLANK(C369), "",
_xlfn.WEBSERVICE(
"https://d16nxf5gxyt1xz.cloudfront.net/Prod/translation?id="
&amp;アカウント情報!$C$2&amp;
"&amp;pwd="
&amp;アカウント情報!$C$3&amp;
"&amp;item="
&amp;_xlfn.ENCODEURL(設定!$F$3)&amp;
"&amp;word="
&amp;_xlfn.ENCODEURL(C369)
)
)</f>
        <v/>
      </c>
      <c r="E369" s="6"/>
      <c r="F369" s="16" t="str">
        <f>IFERROR(VLOOKUP($E369,設定!$C:$F,2,0),"")</f>
        <v/>
      </c>
      <c r="G369" s="156" t="str">
        <f>IFERROR(VLOOKUP($E369,設定!$C:$F,3,0),"")</f>
        <v/>
      </c>
      <c r="H369" s="131" t="str">
        <f>IFERROR(VLOOKUP($E369,設定!$C:$F,4,0),"")</f>
        <v/>
      </c>
      <c r="I369" s="402"/>
      <c r="J369" s="8"/>
      <c r="K369" s="9"/>
      <c r="L369" s="9"/>
      <c r="M369" s="9"/>
      <c r="N369" s="9"/>
      <c r="O369" s="9"/>
      <c r="P369" s="9"/>
      <c r="Q369" s="9"/>
      <c r="R369" s="9"/>
      <c r="S369" s="9"/>
      <c r="T369" s="9"/>
      <c r="U369" s="9"/>
      <c r="V369" s="9"/>
      <c r="W369" s="9"/>
      <c r="X369" s="9"/>
      <c r="Y369" s="9"/>
      <c r="Z369" s="9"/>
      <c r="AA369" s="9"/>
      <c r="AB369" s="9"/>
      <c r="AC369" s="9"/>
      <c r="AD369" s="9"/>
      <c r="AE369" s="9"/>
      <c r="AF369" s="9"/>
      <c r="AG369" s="9"/>
      <c r="AH369" s="9"/>
      <c r="AI369" s="9"/>
      <c r="AJ369" s="9"/>
      <c r="AK369" s="9"/>
      <c r="AL369" s="9"/>
      <c r="AM369" s="9"/>
      <c r="AN369" s="10"/>
      <c r="AO369" s="65">
        <f t="shared" si="11"/>
        <v>0</v>
      </c>
    </row>
    <row r="370" spans="2:41" s="4" customFormat="1" ht="24" customHeight="1" x14ac:dyDescent="0.2">
      <c r="B370" s="14"/>
      <c r="C370" s="23"/>
      <c r="D370" s="21" t="str">
        <f>IF(ISBLANK(C370), "",
_xlfn.WEBSERVICE(
"https://d16nxf5gxyt1xz.cloudfront.net/Prod/translation?id="
&amp;アカウント情報!$C$2&amp;
"&amp;pwd="
&amp;アカウント情報!$C$3&amp;
"&amp;item="
&amp;_xlfn.ENCODEURL(設定!$F$3)&amp;
"&amp;word="
&amp;_xlfn.ENCODEURL(C370)
)
)</f>
        <v/>
      </c>
      <c r="E370" s="6"/>
      <c r="F370" s="16" t="str">
        <f>IFERROR(VLOOKUP($E370,設定!$C:$F,2,0),"")</f>
        <v/>
      </c>
      <c r="G370" s="156" t="str">
        <f>IFERROR(VLOOKUP($E370,設定!$C:$F,3,0),"")</f>
        <v/>
      </c>
      <c r="H370" s="131" t="str">
        <f>IFERROR(VLOOKUP($E370,設定!$C:$F,4,0),"")</f>
        <v/>
      </c>
      <c r="I370" s="402"/>
      <c r="J370" s="8"/>
      <c r="K370" s="9"/>
      <c r="L370" s="9"/>
      <c r="M370" s="9"/>
      <c r="N370" s="9"/>
      <c r="O370" s="9"/>
      <c r="P370" s="9"/>
      <c r="Q370" s="9"/>
      <c r="R370" s="9"/>
      <c r="S370" s="9"/>
      <c r="T370" s="9"/>
      <c r="U370" s="9"/>
      <c r="V370" s="9"/>
      <c r="W370" s="9"/>
      <c r="X370" s="9"/>
      <c r="Y370" s="9"/>
      <c r="Z370" s="9"/>
      <c r="AA370" s="9"/>
      <c r="AB370" s="9"/>
      <c r="AC370" s="9"/>
      <c r="AD370" s="9"/>
      <c r="AE370" s="9"/>
      <c r="AF370" s="9"/>
      <c r="AG370" s="9"/>
      <c r="AH370" s="9"/>
      <c r="AI370" s="9"/>
      <c r="AJ370" s="9"/>
      <c r="AK370" s="9"/>
      <c r="AL370" s="9"/>
      <c r="AM370" s="9"/>
      <c r="AN370" s="10"/>
      <c r="AO370" s="65">
        <f t="shared" si="11"/>
        <v>0</v>
      </c>
    </row>
    <row r="371" spans="2:41" s="4" customFormat="1" ht="24" customHeight="1" x14ac:dyDescent="0.2">
      <c r="B371" s="14"/>
      <c r="C371" s="23"/>
      <c r="D371" s="21" t="str">
        <f>IF(ISBLANK(C371), "",
_xlfn.WEBSERVICE(
"https://d16nxf5gxyt1xz.cloudfront.net/Prod/translation?id="
&amp;アカウント情報!$C$2&amp;
"&amp;pwd="
&amp;アカウント情報!$C$3&amp;
"&amp;item="
&amp;_xlfn.ENCODEURL(設定!$F$3)&amp;
"&amp;word="
&amp;_xlfn.ENCODEURL(C371)
)
)</f>
        <v/>
      </c>
      <c r="E371" s="6"/>
      <c r="F371" s="16" t="str">
        <f>IFERROR(VLOOKUP($E371,設定!$C:$F,2,0),"")</f>
        <v/>
      </c>
      <c r="G371" s="156" t="str">
        <f>IFERROR(VLOOKUP($E371,設定!$C:$F,3,0),"")</f>
        <v/>
      </c>
      <c r="H371" s="131" t="str">
        <f>IFERROR(VLOOKUP($E371,設定!$C:$F,4,0),"")</f>
        <v/>
      </c>
      <c r="I371" s="402"/>
      <c r="J371" s="8"/>
      <c r="K371" s="9"/>
      <c r="L371" s="9"/>
      <c r="M371" s="9"/>
      <c r="N371" s="9"/>
      <c r="O371" s="9"/>
      <c r="P371" s="9"/>
      <c r="Q371" s="9"/>
      <c r="R371" s="9"/>
      <c r="S371" s="9"/>
      <c r="T371" s="9"/>
      <c r="U371" s="9"/>
      <c r="V371" s="9"/>
      <c r="W371" s="9"/>
      <c r="X371" s="9"/>
      <c r="Y371" s="9"/>
      <c r="Z371" s="9"/>
      <c r="AA371" s="9"/>
      <c r="AB371" s="9"/>
      <c r="AC371" s="9"/>
      <c r="AD371" s="9"/>
      <c r="AE371" s="9"/>
      <c r="AF371" s="9"/>
      <c r="AG371" s="9"/>
      <c r="AH371" s="9"/>
      <c r="AI371" s="9"/>
      <c r="AJ371" s="9"/>
      <c r="AK371" s="9"/>
      <c r="AL371" s="9"/>
      <c r="AM371" s="9"/>
      <c r="AN371" s="10"/>
      <c r="AO371" s="65">
        <f t="shared" si="11"/>
        <v>0</v>
      </c>
    </row>
    <row r="372" spans="2:41" s="4" customFormat="1" ht="24" customHeight="1" x14ac:dyDescent="0.2">
      <c r="B372" s="14"/>
      <c r="C372" s="23"/>
      <c r="D372" s="21" t="str">
        <f>IF(ISBLANK(C372), "",
_xlfn.WEBSERVICE(
"https://d16nxf5gxyt1xz.cloudfront.net/Prod/translation?id="
&amp;アカウント情報!$C$2&amp;
"&amp;pwd="
&amp;アカウント情報!$C$3&amp;
"&amp;item="
&amp;_xlfn.ENCODEURL(設定!$F$3)&amp;
"&amp;word="
&amp;_xlfn.ENCODEURL(C372)
)
)</f>
        <v/>
      </c>
      <c r="E372" s="6"/>
      <c r="F372" s="16" t="str">
        <f>IFERROR(VLOOKUP($E372,設定!$C:$F,2,0),"")</f>
        <v/>
      </c>
      <c r="G372" s="156" t="str">
        <f>IFERROR(VLOOKUP($E372,設定!$C:$F,3,0),"")</f>
        <v/>
      </c>
      <c r="H372" s="131" t="str">
        <f>IFERROR(VLOOKUP($E372,設定!$C:$F,4,0),"")</f>
        <v/>
      </c>
      <c r="I372" s="402"/>
      <c r="J372" s="8"/>
      <c r="K372" s="9"/>
      <c r="L372" s="9"/>
      <c r="M372" s="9"/>
      <c r="N372" s="9"/>
      <c r="O372" s="9"/>
      <c r="P372" s="9"/>
      <c r="Q372" s="9"/>
      <c r="R372" s="9"/>
      <c r="S372" s="9"/>
      <c r="T372" s="9"/>
      <c r="U372" s="9"/>
      <c r="V372" s="9"/>
      <c r="W372" s="9"/>
      <c r="X372" s="9"/>
      <c r="Y372" s="9"/>
      <c r="Z372" s="9"/>
      <c r="AA372" s="9"/>
      <c r="AB372" s="9"/>
      <c r="AC372" s="9"/>
      <c r="AD372" s="9"/>
      <c r="AE372" s="9"/>
      <c r="AF372" s="9"/>
      <c r="AG372" s="9"/>
      <c r="AH372" s="9"/>
      <c r="AI372" s="9"/>
      <c r="AJ372" s="9"/>
      <c r="AK372" s="9"/>
      <c r="AL372" s="9"/>
      <c r="AM372" s="9"/>
      <c r="AN372" s="10"/>
      <c r="AO372" s="65">
        <f t="shared" si="11"/>
        <v>0</v>
      </c>
    </row>
    <row r="373" spans="2:41" s="4" customFormat="1" ht="24" customHeight="1" x14ac:dyDescent="0.2">
      <c r="B373" s="14"/>
      <c r="C373" s="23"/>
      <c r="D373" s="21" t="str">
        <f>IF(ISBLANK(C373), "",
_xlfn.WEBSERVICE(
"https://d16nxf5gxyt1xz.cloudfront.net/Prod/translation?id="
&amp;アカウント情報!$C$2&amp;
"&amp;pwd="
&amp;アカウント情報!$C$3&amp;
"&amp;item="
&amp;_xlfn.ENCODEURL(設定!$F$3)&amp;
"&amp;word="
&amp;_xlfn.ENCODEURL(C373)
)
)</f>
        <v/>
      </c>
      <c r="E373" s="6"/>
      <c r="F373" s="16" t="str">
        <f>IFERROR(VLOOKUP($E373,設定!$C:$F,2,0),"")</f>
        <v/>
      </c>
      <c r="G373" s="156" t="str">
        <f>IFERROR(VLOOKUP($E373,設定!$C:$F,3,0),"")</f>
        <v/>
      </c>
      <c r="H373" s="131" t="str">
        <f>IFERROR(VLOOKUP($E373,設定!$C:$F,4,0),"")</f>
        <v/>
      </c>
      <c r="I373" s="402"/>
      <c r="J373" s="8"/>
      <c r="K373" s="9"/>
      <c r="L373" s="9"/>
      <c r="M373" s="9"/>
      <c r="N373" s="9"/>
      <c r="O373" s="9"/>
      <c r="P373" s="9"/>
      <c r="Q373" s="9"/>
      <c r="R373" s="9"/>
      <c r="S373" s="9"/>
      <c r="T373" s="9"/>
      <c r="U373" s="9"/>
      <c r="V373" s="9"/>
      <c r="W373" s="9"/>
      <c r="X373" s="9"/>
      <c r="Y373" s="9"/>
      <c r="Z373" s="9"/>
      <c r="AA373" s="9"/>
      <c r="AB373" s="9"/>
      <c r="AC373" s="9"/>
      <c r="AD373" s="9"/>
      <c r="AE373" s="9"/>
      <c r="AF373" s="9"/>
      <c r="AG373" s="9"/>
      <c r="AH373" s="9"/>
      <c r="AI373" s="9"/>
      <c r="AJ373" s="9"/>
      <c r="AK373" s="9"/>
      <c r="AL373" s="9"/>
      <c r="AM373" s="9"/>
      <c r="AN373" s="10"/>
      <c r="AO373" s="65">
        <f t="shared" si="11"/>
        <v>0</v>
      </c>
    </row>
    <row r="374" spans="2:41" s="4" customFormat="1" ht="24" customHeight="1" x14ac:dyDescent="0.2">
      <c r="B374" s="14"/>
      <c r="C374" s="23"/>
      <c r="D374" s="21" t="str">
        <f>IF(ISBLANK(C374), "",
_xlfn.WEBSERVICE(
"https://d16nxf5gxyt1xz.cloudfront.net/Prod/translation?id="
&amp;アカウント情報!$C$2&amp;
"&amp;pwd="
&amp;アカウント情報!$C$3&amp;
"&amp;item="
&amp;_xlfn.ENCODEURL(設定!$F$3)&amp;
"&amp;word="
&amp;_xlfn.ENCODEURL(C374)
)
)</f>
        <v/>
      </c>
      <c r="E374" s="6"/>
      <c r="F374" s="16" t="str">
        <f>IFERROR(VLOOKUP($E374,設定!$C:$F,2,0),"")</f>
        <v/>
      </c>
      <c r="G374" s="156" t="str">
        <f>IFERROR(VLOOKUP($E374,設定!$C:$F,3,0),"")</f>
        <v/>
      </c>
      <c r="H374" s="131" t="str">
        <f>IFERROR(VLOOKUP($E374,設定!$C:$F,4,0),"")</f>
        <v/>
      </c>
      <c r="I374" s="402"/>
      <c r="J374" s="8"/>
      <c r="K374" s="9"/>
      <c r="L374" s="9"/>
      <c r="M374" s="9"/>
      <c r="N374" s="9"/>
      <c r="O374" s="9"/>
      <c r="P374" s="9"/>
      <c r="Q374" s="9"/>
      <c r="R374" s="9"/>
      <c r="S374" s="9"/>
      <c r="T374" s="9"/>
      <c r="U374" s="9"/>
      <c r="V374" s="9"/>
      <c r="W374" s="9"/>
      <c r="X374" s="9"/>
      <c r="Y374" s="9"/>
      <c r="Z374" s="9"/>
      <c r="AA374" s="9"/>
      <c r="AB374" s="9"/>
      <c r="AC374" s="9"/>
      <c r="AD374" s="9"/>
      <c r="AE374" s="9"/>
      <c r="AF374" s="9"/>
      <c r="AG374" s="9"/>
      <c r="AH374" s="9"/>
      <c r="AI374" s="9"/>
      <c r="AJ374" s="9"/>
      <c r="AK374" s="9"/>
      <c r="AL374" s="9"/>
      <c r="AM374" s="9"/>
      <c r="AN374" s="10"/>
      <c r="AO374" s="65">
        <f t="shared" si="11"/>
        <v>0</v>
      </c>
    </row>
    <row r="375" spans="2:41" s="4" customFormat="1" ht="24" customHeight="1" x14ac:dyDescent="0.2">
      <c r="B375" s="14"/>
      <c r="C375" s="23"/>
      <c r="D375" s="21" t="str">
        <f>IF(ISBLANK(C375), "",
_xlfn.WEBSERVICE(
"https://d16nxf5gxyt1xz.cloudfront.net/Prod/translation?id="
&amp;アカウント情報!$C$2&amp;
"&amp;pwd="
&amp;アカウント情報!$C$3&amp;
"&amp;item="
&amp;_xlfn.ENCODEURL(設定!$F$3)&amp;
"&amp;word="
&amp;_xlfn.ENCODEURL(C375)
)
)</f>
        <v/>
      </c>
      <c r="E375" s="6"/>
      <c r="F375" s="16" t="str">
        <f>IFERROR(VLOOKUP($E375,設定!$C:$F,2,0),"")</f>
        <v/>
      </c>
      <c r="G375" s="156" t="str">
        <f>IFERROR(VLOOKUP($E375,設定!$C:$F,3,0),"")</f>
        <v/>
      </c>
      <c r="H375" s="131" t="str">
        <f>IFERROR(VLOOKUP($E375,設定!$C:$F,4,0),"")</f>
        <v/>
      </c>
      <c r="I375" s="402"/>
      <c r="J375" s="8"/>
      <c r="K375" s="9"/>
      <c r="L375" s="9"/>
      <c r="M375" s="9"/>
      <c r="N375" s="9"/>
      <c r="O375" s="9"/>
      <c r="P375" s="9"/>
      <c r="Q375" s="9"/>
      <c r="R375" s="9"/>
      <c r="S375" s="9"/>
      <c r="T375" s="9"/>
      <c r="U375" s="9"/>
      <c r="V375" s="9"/>
      <c r="W375" s="9"/>
      <c r="X375" s="9"/>
      <c r="Y375" s="9"/>
      <c r="Z375" s="9"/>
      <c r="AA375" s="9"/>
      <c r="AB375" s="9"/>
      <c r="AC375" s="9"/>
      <c r="AD375" s="9"/>
      <c r="AE375" s="9"/>
      <c r="AF375" s="9"/>
      <c r="AG375" s="9"/>
      <c r="AH375" s="9"/>
      <c r="AI375" s="9"/>
      <c r="AJ375" s="9"/>
      <c r="AK375" s="9"/>
      <c r="AL375" s="9"/>
      <c r="AM375" s="9"/>
      <c r="AN375" s="10"/>
      <c r="AO375" s="65">
        <f t="shared" si="11"/>
        <v>0</v>
      </c>
    </row>
    <row r="376" spans="2:41" s="4" customFormat="1" ht="24" customHeight="1" x14ac:dyDescent="0.2">
      <c r="B376" s="14"/>
      <c r="C376" s="23"/>
      <c r="D376" s="21" t="str">
        <f>IF(ISBLANK(C376), "",
_xlfn.WEBSERVICE(
"https://d16nxf5gxyt1xz.cloudfront.net/Prod/translation?id="
&amp;アカウント情報!$C$2&amp;
"&amp;pwd="
&amp;アカウント情報!$C$3&amp;
"&amp;item="
&amp;_xlfn.ENCODEURL(設定!$F$3)&amp;
"&amp;word="
&amp;_xlfn.ENCODEURL(C376)
)
)</f>
        <v/>
      </c>
      <c r="E376" s="6"/>
      <c r="F376" s="16" t="str">
        <f>IFERROR(VLOOKUP($E376,設定!$C:$F,2,0),"")</f>
        <v/>
      </c>
      <c r="G376" s="156" t="str">
        <f>IFERROR(VLOOKUP($E376,設定!$C:$F,3,0),"")</f>
        <v/>
      </c>
      <c r="H376" s="131" t="str">
        <f>IFERROR(VLOOKUP($E376,設定!$C:$F,4,0),"")</f>
        <v/>
      </c>
      <c r="I376" s="402"/>
      <c r="J376" s="8"/>
      <c r="K376" s="9"/>
      <c r="L376" s="9"/>
      <c r="M376" s="9"/>
      <c r="N376" s="9"/>
      <c r="O376" s="9"/>
      <c r="P376" s="9"/>
      <c r="Q376" s="9"/>
      <c r="R376" s="9"/>
      <c r="S376" s="9"/>
      <c r="T376" s="9"/>
      <c r="U376" s="9"/>
      <c r="V376" s="9"/>
      <c r="W376" s="9"/>
      <c r="X376" s="9"/>
      <c r="Y376" s="9"/>
      <c r="Z376" s="9"/>
      <c r="AA376" s="9"/>
      <c r="AB376" s="9"/>
      <c r="AC376" s="9"/>
      <c r="AD376" s="9"/>
      <c r="AE376" s="9"/>
      <c r="AF376" s="9"/>
      <c r="AG376" s="9"/>
      <c r="AH376" s="9"/>
      <c r="AI376" s="9"/>
      <c r="AJ376" s="9"/>
      <c r="AK376" s="9"/>
      <c r="AL376" s="9"/>
      <c r="AM376" s="9"/>
      <c r="AN376" s="10"/>
      <c r="AO376" s="65">
        <f t="shared" si="11"/>
        <v>0</v>
      </c>
    </row>
    <row r="377" spans="2:41" s="4" customFormat="1" ht="24" customHeight="1" x14ac:dyDescent="0.2">
      <c r="B377" s="14"/>
      <c r="C377" s="23"/>
      <c r="D377" s="21" t="str">
        <f>IF(ISBLANK(C377), "",
_xlfn.WEBSERVICE(
"https://d16nxf5gxyt1xz.cloudfront.net/Prod/translation?id="
&amp;アカウント情報!$C$2&amp;
"&amp;pwd="
&amp;アカウント情報!$C$3&amp;
"&amp;item="
&amp;_xlfn.ENCODEURL(設定!$F$3)&amp;
"&amp;word="
&amp;_xlfn.ENCODEURL(C377)
)
)</f>
        <v/>
      </c>
      <c r="E377" s="6"/>
      <c r="F377" s="16" t="str">
        <f>IFERROR(VLOOKUP($E377,設定!$C:$F,2,0),"")</f>
        <v/>
      </c>
      <c r="G377" s="156" t="str">
        <f>IFERROR(VLOOKUP($E377,設定!$C:$F,3,0),"")</f>
        <v/>
      </c>
      <c r="H377" s="131" t="str">
        <f>IFERROR(VLOOKUP($E377,設定!$C:$F,4,0),"")</f>
        <v/>
      </c>
      <c r="I377" s="402"/>
      <c r="J377" s="8"/>
      <c r="K377" s="9"/>
      <c r="L377" s="9"/>
      <c r="M377" s="9"/>
      <c r="N377" s="9"/>
      <c r="O377" s="9"/>
      <c r="P377" s="9"/>
      <c r="Q377" s="9"/>
      <c r="R377" s="9"/>
      <c r="S377" s="9"/>
      <c r="T377" s="9"/>
      <c r="U377" s="9"/>
      <c r="V377" s="9"/>
      <c r="W377" s="9"/>
      <c r="X377" s="9"/>
      <c r="Y377" s="9"/>
      <c r="Z377" s="9"/>
      <c r="AA377" s="9"/>
      <c r="AB377" s="9"/>
      <c r="AC377" s="9"/>
      <c r="AD377" s="9"/>
      <c r="AE377" s="9"/>
      <c r="AF377" s="9"/>
      <c r="AG377" s="9"/>
      <c r="AH377" s="9"/>
      <c r="AI377" s="9"/>
      <c r="AJ377" s="9"/>
      <c r="AK377" s="9"/>
      <c r="AL377" s="9"/>
      <c r="AM377" s="9"/>
      <c r="AN377" s="10"/>
      <c r="AO377" s="65">
        <f t="shared" si="11"/>
        <v>0</v>
      </c>
    </row>
    <row r="378" spans="2:41" s="4" customFormat="1" ht="24" customHeight="1" x14ac:dyDescent="0.2">
      <c r="B378" s="14"/>
      <c r="C378" s="23"/>
      <c r="D378" s="21" t="str">
        <f>IF(ISBLANK(C378), "",
_xlfn.WEBSERVICE(
"https://d16nxf5gxyt1xz.cloudfront.net/Prod/translation?id="
&amp;アカウント情報!$C$2&amp;
"&amp;pwd="
&amp;アカウント情報!$C$3&amp;
"&amp;item="
&amp;_xlfn.ENCODEURL(設定!$F$3)&amp;
"&amp;word="
&amp;_xlfn.ENCODEURL(C378)
)
)</f>
        <v/>
      </c>
      <c r="E378" s="6"/>
      <c r="F378" s="16" t="str">
        <f>IFERROR(VLOOKUP($E378,設定!$C:$F,2,0),"")</f>
        <v/>
      </c>
      <c r="G378" s="156" t="str">
        <f>IFERROR(VLOOKUP($E378,設定!$C:$F,3,0),"")</f>
        <v/>
      </c>
      <c r="H378" s="131" t="str">
        <f>IFERROR(VLOOKUP($E378,設定!$C:$F,4,0),"")</f>
        <v/>
      </c>
      <c r="I378" s="402"/>
      <c r="J378" s="8"/>
      <c r="K378" s="9"/>
      <c r="L378" s="9"/>
      <c r="M378" s="9"/>
      <c r="N378" s="9"/>
      <c r="O378" s="9"/>
      <c r="P378" s="9"/>
      <c r="Q378" s="9"/>
      <c r="R378" s="9"/>
      <c r="S378" s="9"/>
      <c r="T378" s="9"/>
      <c r="U378" s="9"/>
      <c r="V378" s="9"/>
      <c r="W378" s="9"/>
      <c r="X378" s="9"/>
      <c r="Y378" s="9"/>
      <c r="Z378" s="9"/>
      <c r="AA378" s="9"/>
      <c r="AB378" s="9"/>
      <c r="AC378" s="9"/>
      <c r="AD378" s="9"/>
      <c r="AE378" s="9"/>
      <c r="AF378" s="9"/>
      <c r="AG378" s="9"/>
      <c r="AH378" s="9"/>
      <c r="AI378" s="9"/>
      <c r="AJ378" s="9"/>
      <c r="AK378" s="9"/>
      <c r="AL378" s="9"/>
      <c r="AM378" s="9"/>
      <c r="AN378" s="10"/>
      <c r="AO378" s="65">
        <f t="shared" si="11"/>
        <v>0</v>
      </c>
    </row>
    <row r="379" spans="2:41" s="4" customFormat="1" ht="24" customHeight="1" x14ac:dyDescent="0.2">
      <c r="B379" s="14"/>
      <c r="C379" s="23"/>
      <c r="D379" s="21" t="str">
        <f>IF(ISBLANK(C379), "",
_xlfn.WEBSERVICE(
"https://d16nxf5gxyt1xz.cloudfront.net/Prod/translation?id="
&amp;アカウント情報!$C$2&amp;
"&amp;pwd="
&amp;アカウント情報!$C$3&amp;
"&amp;item="
&amp;_xlfn.ENCODEURL(設定!$F$3)&amp;
"&amp;word="
&amp;_xlfn.ENCODEURL(C379)
)
)</f>
        <v/>
      </c>
      <c r="E379" s="6"/>
      <c r="F379" s="16" t="str">
        <f>IFERROR(VLOOKUP($E379,設定!$C:$F,2,0),"")</f>
        <v/>
      </c>
      <c r="G379" s="156" t="str">
        <f>IFERROR(VLOOKUP($E379,設定!$C:$F,3,0),"")</f>
        <v/>
      </c>
      <c r="H379" s="131" t="str">
        <f>IFERROR(VLOOKUP($E379,設定!$C:$F,4,0),"")</f>
        <v/>
      </c>
      <c r="I379" s="402"/>
      <c r="J379" s="8"/>
      <c r="K379" s="9"/>
      <c r="L379" s="9"/>
      <c r="M379" s="9"/>
      <c r="N379" s="9"/>
      <c r="O379" s="9"/>
      <c r="P379" s="9"/>
      <c r="Q379" s="9"/>
      <c r="R379" s="9"/>
      <c r="S379" s="9"/>
      <c r="T379" s="9"/>
      <c r="U379" s="9"/>
      <c r="V379" s="9"/>
      <c r="W379" s="9"/>
      <c r="X379" s="9"/>
      <c r="Y379" s="9"/>
      <c r="Z379" s="9"/>
      <c r="AA379" s="9"/>
      <c r="AB379" s="9"/>
      <c r="AC379" s="9"/>
      <c r="AD379" s="9"/>
      <c r="AE379" s="9"/>
      <c r="AF379" s="9"/>
      <c r="AG379" s="9"/>
      <c r="AH379" s="9"/>
      <c r="AI379" s="9"/>
      <c r="AJ379" s="9"/>
      <c r="AK379" s="9"/>
      <c r="AL379" s="9"/>
      <c r="AM379" s="9"/>
      <c r="AN379" s="10"/>
      <c r="AO379" s="65">
        <f t="shared" si="11"/>
        <v>0</v>
      </c>
    </row>
    <row r="380" spans="2:41" s="4" customFormat="1" ht="24" customHeight="1" x14ac:dyDescent="0.2">
      <c r="B380" s="14"/>
      <c r="C380" s="23"/>
      <c r="D380" s="21" t="str">
        <f>IF(ISBLANK(C380), "",
_xlfn.WEBSERVICE(
"https://d16nxf5gxyt1xz.cloudfront.net/Prod/translation?id="
&amp;アカウント情報!$C$2&amp;
"&amp;pwd="
&amp;アカウント情報!$C$3&amp;
"&amp;item="
&amp;_xlfn.ENCODEURL(設定!$F$3)&amp;
"&amp;word="
&amp;_xlfn.ENCODEURL(C380)
)
)</f>
        <v/>
      </c>
      <c r="E380" s="6"/>
      <c r="F380" s="16" t="str">
        <f>IFERROR(VLOOKUP($E380,設定!$C:$F,2,0),"")</f>
        <v/>
      </c>
      <c r="G380" s="156" t="str">
        <f>IFERROR(VLOOKUP($E380,設定!$C:$F,3,0),"")</f>
        <v/>
      </c>
      <c r="H380" s="131" t="str">
        <f>IFERROR(VLOOKUP($E380,設定!$C:$F,4,0),"")</f>
        <v/>
      </c>
      <c r="I380" s="402"/>
      <c r="J380" s="8"/>
      <c r="K380" s="9"/>
      <c r="L380" s="9"/>
      <c r="M380" s="9"/>
      <c r="N380" s="9"/>
      <c r="O380" s="9"/>
      <c r="P380" s="9"/>
      <c r="Q380" s="9"/>
      <c r="R380" s="9"/>
      <c r="S380" s="9"/>
      <c r="T380" s="9"/>
      <c r="U380" s="9"/>
      <c r="V380" s="9"/>
      <c r="W380" s="9"/>
      <c r="X380" s="9"/>
      <c r="Y380" s="9"/>
      <c r="Z380" s="9"/>
      <c r="AA380" s="9"/>
      <c r="AB380" s="9"/>
      <c r="AC380" s="9"/>
      <c r="AD380" s="9"/>
      <c r="AE380" s="9"/>
      <c r="AF380" s="9"/>
      <c r="AG380" s="9"/>
      <c r="AH380" s="9"/>
      <c r="AI380" s="9"/>
      <c r="AJ380" s="9"/>
      <c r="AK380" s="9"/>
      <c r="AL380" s="9"/>
      <c r="AM380" s="9"/>
      <c r="AN380" s="10"/>
      <c r="AO380" s="65">
        <f t="shared" si="11"/>
        <v>0</v>
      </c>
    </row>
    <row r="381" spans="2:41" s="4" customFormat="1" ht="24" customHeight="1" x14ac:dyDescent="0.2">
      <c r="B381" s="14"/>
      <c r="C381" s="23"/>
      <c r="D381" s="21" t="str">
        <f>IF(ISBLANK(C381), "",
_xlfn.WEBSERVICE(
"https://d16nxf5gxyt1xz.cloudfront.net/Prod/translation?id="
&amp;アカウント情報!$C$2&amp;
"&amp;pwd="
&amp;アカウント情報!$C$3&amp;
"&amp;item="
&amp;_xlfn.ENCODEURL(設定!$F$3)&amp;
"&amp;word="
&amp;_xlfn.ENCODEURL(C381)
)
)</f>
        <v/>
      </c>
      <c r="E381" s="6"/>
      <c r="F381" s="16" t="str">
        <f>IFERROR(VLOOKUP($E381,設定!$C:$F,2,0),"")</f>
        <v/>
      </c>
      <c r="G381" s="156" t="str">
        <f>IFERROR(VLOOKUP($E381,設定!$C:$F,3,0),"")</f>
        <v/>
      </c>
      <c r="H381" s="131" t="str">
        <f>IFERROR(VLOOKUP($E381,設定!$C:$F,4,0),"")</f>
        <v/>
      </c>
      <c r="I381" s="402"/>
      <c r="J381" s="8"/>
      <c r="K381" s="9"/>
      <c r="L381" s="9"/>
      <c r="M381" s="9"/>
      <c r="N381" s="9"/>
      <c r="O381" s="9"/>
      <c r="P381" s="9"/>
      <c r="Q381" s="9"/>
      <c r="R381" s="9"/>
      <c r="S381" s="9"/>
      <c r="T381" s="9"/>
      <c r="U381" s="9"/>
      <c r="V381" s="9"/>
      <c r="W381" s="9"/>
      <c r="X381" s="9"/>
      <c r="Y381" s="9"/>
      <c r="Z381" s="9"/>
      <c r="AA381" s="9"/>
      <c r="AB381" s="9"/>
      <c r="AC381" s="9"/>
      <c r="AD381" s="9"/>
      <c r="AE381" s="9"/>
      <c r="AF381" s="9"/>
      <c r="AG381" s="9"/>
      <c r="AH381" s="9"/>
      <c r="AI381" s="9"/>
      <c r="AJ381" s="9"/>
      <c r="AK381" s="9"/>
      <c r="AL381" s="9"/>
      <c r="AM381" s="9"/>
      <c r="AN381" s="10"/>
      <c r="AO381" s="65">
        <f t="shared" si="11"/>
        <v>0</v>
      </c>
    </row>
    <row r="382" spans="2:41" s="4" customFormat="1" ht="24" customHeight="1" x14ac:dyDescent="0.2">
      <c r="B382" s="14"/>
      <c r="C382" s="23"/>
      <c r="D382" s="21" t="str">
        <f>IF(ISBLANK(C382), "",
_xlfn.WEBSERVICE(
"https://d16nxf5gxyt1xz.cloudfront.net/Prod/translation?id="
&amp;アカウント情報!$C$2&amp;
"&amp;pwd="
&amp;アカウント情報!$C$3&amp;
"&amp;item="
&amp;_xlfn.ENCODEURL(設定!$F$3)&amp;
"&amp;word="
&amp;_xlfn.ENCODEURL(C382)
)
)</f>
        <v/>
      </c>
      <c r="E382" s="6"/>
      <c r="F382" s="16" t="str">
        <f>IFERROR(VLOOKUP($E382,設定!$C:$F,2,0),"")</f>
        <v/>
      </c>
      <c r="G382" s="156" t="str">
        <f>IFERROR(VLOOKUP($E382,設定!$C:$F,3,0),"")</f>
        <v/>
      </c>
      <c r="H382" s="131" t="str">
        <f>IFERROR(VLOOKUP($E382,設定!$C:$F,4,0),"")</f>
        <v/>
      </c>
      <c r="I382" s="402"/>
      <c r="J382" s="8"/>
      <c r="K382" s="9"/>
      <c r="L382" s="9"/>
      <c r="M382" s="9"/>
      <c r="N382" s="9"/>
      <c r="O382" s="9"/>
      <c r="P382" s="9"/>
      <c r="Q382" s="9"/>
      <c r="R382" s="9"/>
      <c r="S382" s="9"/>
      <c r="T382" s="9"/>
      <c r="U382" s="9"/>
      <c r="V382" s="9"/>
      <c r="W382" s="9"/>
      <c r="X382" s="9"/>
      <c r="Y382" s="9"/>
      <c r="Z382" s="9"/>
      <c r="AA382" s="9"/>
      <c r="AB382" s="9"/>
      <c r="AC382" s="9"/>
      <c r="AD382" s="9"/>
      <c r="AE382" s="9"/>
      <c r="AF382" s="9"/>
      <c r="AG382" s="9"/>
      <c r="AH382" s="9"/>
      <c r="AI382" s="9"/>
      <c r="AJ382" s="9"/>
      <c r="AK382" s="9"/>
      <c r="AL382" s="9"/>
      <c r="AM382" s="9"/>
      <c r="AN382" s="10"/>
      <c r="AO382" s="65">
        <f t="shared" si="11"/>
        <v>0</v>
      </c>
    </row>
    <row r="383" spans="2:41" s="4" customFormat="1" ht="24" customHeight="1" x14ac:dyDescent="0.2">
      <c r="B383" s="14"/>
      <c r="C383" s="23"/>
      <c r="D383" s="21" t="str">
        <f>IF(ISBLANK(C383), "",
_xlfn.WEBSERVICE(
"https://d16nxf5gxyt1xz.cloudfront.net/Prod/translation?id="
&amp;アカウント情報!$C$2&amp;
"&amp;pwd="
&amp;アカウント情報!$C$3&amp;
"&amp;item="
&amp;_xlfn.ENCODEURL(設定!$F$3)&amp;
"&amp;word="
&amp;_xlfn.ENCODEURL(C383)
)
)</f>
        <v/>
      </c>
      <c r="E383" s="6"/>
      <c r="F383" s="16" t="str">
        <f>IFERROR(VLOOKUP($E383,設定!$C:$F,2,0),"")</f>
        <v/>
      </c>
      <c r="G383" s="156" t="str">
        <f>IFERROR(VLOOKUP($E383,設定!$C:$F,3,0),"")</f>
        <v/>
      </c>
      <c r="H383" s="131" t="str">
        <f>IFERROR(VLOOKUP($E383,設定!$C:$F,4,0),"")</f>
        <v/>
      </c>
      <c r="I383" s="402"/>
      <c r="J383" s="8"/>
      <c r="K383" s="9"/>
      <c r="L383" s="9"/>
      <c r="M383" s="9"/>
      <c r="N383" s="9"/>
      <c r="O383" s="9"/>
      <c r="P383" s="9"/>
      <c r="Q383" s="9"/>
      <c r="R383" s="9"/>
      <c r="S383" s="9"/>
      <c r="T383" s="9"/>
      <c r="U383" s="9"/>
      <c r="V383" s="9"/>
      <c r="W383" s="9"/>
      <c r="X383" s="9"/>
      <c r="Y383" s="9"/>
      <c r="Z383" s="9"/>
      <c r="AA383" s="9"/>
      <c r="AB383" s="9"/>
      <c r="AC383" s="9"/>
      <c r="AD383" s="9"/>
      <c r="AE383" s="9"/>
      <c r="AF383" s="9"/>
      <c r="AG383" s="9"/>
      <c r="AH383" s="9"/>
      <c r="AI383" s="9"/>
      <c r="AJ383" s="9"/>
      <c r="AK383" s="9"/>
      <c r="AL383" s="9"/>
      <c r="AM383" s="9"/>
      <c r="AN383" s="10"/>
      <c r="AO383" s="65">
        <f t="shared" si="11"/>
        <v>0</v>
      </c>
    </row>
    <row r="384" spans="2:41" s="4" customFormat="1" ht="24" customHeight="1" x14ac:dyDescent="0.2">
      <c r="B384" s="14"/>
      <c r="C384" s="23"/>
      <c r="D384" s="21" t="str">
        <f>IF(ISBLANK(C384), "",
_xlfn.WEBSERVICE(
"https://d16nxf5gxyt1xz.cloudfront.net/Prod/translation?id="
&amp;アカウント情報!$C$2&amp;
"&amp;pwd="
&amp;アカウント情報!$C$3&amp;
"&amp;item="
&amp;_xlfn.ENCODEURL(設定!$F$3)&amp;
"&amp;word="
&amp;_xlfn.ENCODEURL(C384)
)
)</f>
        <v/>
      </c>
      <c r="E384" s="6"/>
      <c r="F384" s="16" t="str">
        <f>IFERROR(VLOOKUP($E384,設定!$C:$F,2,0),"")</f>
        <v/>
      </c>
      <c r="G384" s="156" t="str">
        <f>IFERROR(VLOOKUP($E384,設定!$C:$F,3,0),"")</f>
        <v/>
      </c>
      <c r="H384" s="131" t="str">
        <f>IFERROR(VLOOKUP($E384,設定!$C:$F,4,0),"")</f>
        <v/>
      </c>
      <c r="I384" s="402"/>
      <c r="J384" s="8"/>
      <c r="K384" s="9"/>
      <c r="L384" s="9"/>
      <c r="M384" s="9"/>
      <c r="N384" s="9"/>
      <c r="O384" s="9"/>
      <c r="P384" s="9"/>
      <c r="Q384" s="9"/>
      <c r="R384" s="9"/>
      <c r="S384" s="9"/>
      <c r="T384" s="9"/>
      <c r="U384" s="9"/>
      <c r="V384" s="9"/>
      <c r="W384" s="9"/>
      <c r="X384" s="9"/>
      <c r="Y384" s="9"/>
      <c r="Z384" s="9"/>
      <c r="AA384" s="9"/>
      <c r="AB384" s="9"/>
      <c r="AC384" s="9"/>
      <c r="AD384" s="9"/>
      <c r="AE384" s="9"/>
      <c r="AF384" s="9"/>
      <c r="AG384" s="9"/>
      <c r="AH384" s="9"/>
      <c r="AI384" s="9"/>
      <c r="AJ384" s="9"/>
      <c r="AK384" s="9"/>
      <c r="AL384" s="9"/>
      <c r="AM384" s="9"/>
      <c r="AN384" s="10"/>
      <c r="AO384" s="65">
        <f t="shared" si="11"/>
        <v>0</v>
      </c>
    </row>
    <row r="385" spans="2:41" s="4" customFormat="1" ht="24" customHeight="1" x14ac:dyDescent="0.2">
      <c r="B385" s="14"/>
      <c r="C385" s="23"/>
      <c r="D385" s="21" t="str">
        <f>IF(ISBLANK(C385), "",
_xlfn.WEBSERVICE(
"https://d16nxf5gxyt1xz.cloudfront.net/Prod/translation?id="
&amp;アカウント情報!$C$2&amp;
"&amp;pwd="
&amp;アカウント情報!$C$3&amp;
"&amp;item="
&amp;_xlfn.ENCODEURL(設定!$F$3)&amp;
"&amp;word="
&amp;_xlfn.ENCODEURL(C385)
)
)</f>
        <v/>
      </c>
      <c r="E385" s="6"/>
      <c r="F385" s="16" t="str">
        <f>IFERROR(VLOOKUP($E385,設定!$C:$F,2,0),"")</f>
        <v/>
      </c>
      <c r="G385" s="156" t="str">
        <f>IFERROR(VLOOKUP($E385,設定!$C:$F,3,0),"")</f>
        <v/>
      </c>
      <c r="H385" s="131" t="str">
        <f>IFERROR(VLOOKUP($E385,設定!$C:$F,4,0),"")</f>
        <v/>
      </c>
      <c r="I385" s="402"/>
      <c r="J385" s="8"/>
      <c r="K385" s="9"/>
      <c r="L385" s="9"/>
      <c r="M385" s="9"/>
      <c r="N385" s="9"/>
      <c r="O385" s="9"/>
      <c r="P385" s="9"/>
      <c r="Q385" s="9"/>
      <c r="R385" s="9"/>
      <c r="S385" s="9"/>
      <c r="T385" s="9"/>
      <c r="U385" s="9"/>
      <c r="V385" s="9"/>
      <c r="W385" s="9"/>
      <c r="X385" s="9"/>
      <c r="Y385" s="9"/>
      <c r="Z385" s="9"/>
      <c r="AA385" s="9"/>
      <c r="AB385" s="9"/>
      <c r="AC385" s="9"/>
      <c r="AD385" s="9"/>
      <c r="AE385" s="9"/>
      <c r="AF385" s="9"/>
      <c r="AG385" s="9"/>
      <c r="AH385" s="9"/>
      <c r="AI385" s="9"/>
      <c r="AJ385" s="9"/>
      <c r="AK385" s="9"/>
      <c r="AL385" s="9"/>
      <c r="AM385" s="9"/>
      <c r="AN385" s="10"/>
      <c r="AO385" s="65">
        <f t="shared" si="11"/>
        <v>0</v>
      </c>
    </row>
    <row r="386" spans="2:41" s="4" customFormat="1" ht="24" customHeight="1" x14ac:dyDescent="0.2">
      <c r="B386" s="14"/>
      <c r="C386" s="23"/>
      <c r="D386" s="21" t="str">
        <f>IF(ISBLANK(C386), "",
_xlfn.WEBSERVICE(
"https://d16nxf5gxyt1xz.cloudfront.net/Prod/translation?id="
&amp;アカウント情報!$C$2&amp;
"&amp;pwd="
&amp;アカウント情報!$C$3&amp;
"&amp;item="
&amp;_xlfn.ENCODEURL(設定!$F$3)&amp;
"&amp;word="
&amp;_xlfn.ENCODEURL(C386)
)
)</f>
        <v/>
      </c>
      <c r="E386" s="6"/>
      <c r="F386" s="16" t="str">
        <f>IFERROR(VLOOKUP($E386,設定!$C:$F,2,0),"")</f>
        <v/>
      </c>
      <c r="G386" s="156" t="str">
        <f>IFERROR(VLOOKUP($E386,設定!$C:$F,3,0),"")</f>
        <v/>
      </c>
      <c r="H386" s="131" t="str">
        <f>IFERROR(VLOOKUP($E386,設定!$C:$F,4,0),"")</f>
        <v/>
      </c>
      <c r="I386" s="402"/>
      <c r="J386" s="8"/>
      <c r="K386" s="9"/>
      <c r="L386" s="9"/>
      <c r="M386" s="9"/>
      <c r="N386" s="9"/>
      <c r="O386" s="9"/>
      <c r="P386" s="9"/>
      <c r="Q386" s="9"/>
      <c r="R386" s="9"/>
      <c r="S386" s="9"/>
      <c r="T386" s="9"/>
      <c r="U386" s="9"/>
      <c r="V386" s="9"/>
      <c r="W386" s="9"/>
      <c r="X386" s="9"/>
      <c r="Y386" s="9"/>
      <c r="Z386" s="9"/>
      <c r="AA386" s="9"/>
      <c r="AB386" s="9"/>
      <c r="AC386" s="9"/>
      <c r="AD386" s="9"/>
      <c r="AE386" s="9"/>
      <c r="AF386" s="9"/>
      <c r="AG386" s="9"/>
      <c r="AH386" s="9"/>
      <c r="AI386" s="9"/>
      <c r="AJ386" s="9"/>
      <c r="AK386" s="9"/>
      <c r="AL386" s="9"/>
      <c r="AM386" s="9"/>
      <c r="AN386" s="10"/>
      <c r="AO386" s="65">
        <f t="shared" si="11"/>
        <v>0</v>
      </c>
    </row>
    <row r="387" spans="2:41" s="4" customFormat="1" ht="24" customHeight="1" x14ac:dyDescent="0.2">
      <c r="B387" s="14"/>
      <c r="C387" s="23"/>
      <c r="D387" s="21" t="str">
        <f>IF(ISBLANK(C387), "",
_xlfn.WEBSERVICE(
"https://d16nxf5gxyt1xz.cloudfront.net/Prod/translation?id="
&amp;アカウント情報!$C$2&amp;
"&amp;pwd="
&amp;アカウント情報!$C$3&amp;
"&amp;item="
&amp;_xlfn.ENCODEURL(設定!$F$3)&amp;
"&amp;word="
&amp;_xlfn.ENCODEURL(C387)
)
)</f>
        <v/>
      </c>
      <c r="E387" s="6"/>
      <c r="F387" s="16" t="str">
        <f>IFERROR(VLOOKUP($E387,設定!$C:$F,2,0),"")</f>
        <v/>
      </c>
      <c r="G387" s="156" t="str">
        <f>IFERROR(VLOOKUP($E387,設定!$C:$F,3,0),"")</f>
        <v/>
      </c>
      <c r="H387" s="131" t="str">
        <f>IFERROR(VLOOKUP($E387,設定!$C:$F,4,0),"")</f>
        <v/>
      </c>
      <c r="I387" s="402"/>
      <c r="J387" s="8"/>
      <c r="K387" s="9"/>
      <c r="L387" s="9"/>
      <c r="M387" s="9"/>
      <c r="N387" s="9"/>
      <c r="O387" s="9"/>
      <c r="P387" s="9"/>
      <c r="Q387" s="9"/>
      <c r="R387" s="9"/>
      <c r="S387" s="9"/>
      <c r="T387" s="9"/>
      <c r="U387" s="9"/>
      <c r="V387" s="9"/>
      <c r="W387" s="9"/>
      <c r="X387" s="9"/>
      <c r="Y387" s="9"/>
      <c r="Z387" s="9"/>
      <c r="AA387" s="9"/>
      <c r="AB387" s="9"/>
      <c r="AC387" s="9"/>
      <c r="AD387" s="9"/>
      <c r="AE387" s="9"/>
      <c r="AF387" s="9"/>
      <c r="AG387" s="9"/>
      <c r="AH387" s="9"/>
      <c r="AI387" s="9"/>
      <c r="AJ387" s="9"/>
      <c r="AK387" s="9"/>
      <c r="AL387" s="9"/>
      <c r="AM387" s="9"/>
      <c r="AN387" s="10"/>
      <c r="AO387" s="65">
        <f t="shared" ref="AO387:AO434" si="12">I387*SUM(J387:AN387)</f>
        <v>0</v>
      </c>
    </row>
    <row r="388" spans="2:41" s="4" customFormat="1" ht="24" customHeight="1" x14ac:dyDescent="0.2">
      <c r="B388" s="14"/>
      <c r="C388" s="23"/>
      <c r="D388" s="21" t="str">
        <f>IF(ISBLANK(C388), "",
_xlfn.WEBSERVICE(
"https://d16nxf5gxyt1xz.cloudfront.net/Prod/translation?id="
&amp;アカウント情報!$C$2&amp;
"&amp;pwd="
&amp;アカウント情報!$C$3&amp;
"&amp;item="
&amp;_xlfn.ENCODEURL(設定!$F$3)&amp;
"&amp;word="
&amp;_xlfn.ENCODEURL(C388)
)
)</f>
        <v/>
      </c>
      <c r="E388" s="6"/>
      <c r="F388" s="16" t="str">
        <f>IFERROR(VLOOKUP($E388,設定!$C:$F,2,0),"")</f>
        <v/>
      </c>
      <c r="G388" s="156" t="str">
        <f>IFERROR(VLOOKUP($E388,設定!$C:$F,3,0),"")</f>
        <v/>
      </c>
      <c r="H388" s="131" t="str">
        <f>IFERROR(VLOOKUP($E388,設定!$C:$F,4,0),"")</f>
        <v/>
      </c>
      <c r="I388" s="402"/>
      <c r="J388" s="8"/>
      <c r="K388" s="9"/>
      <c r="L388" s="9"/>
      <c r="M388" s="9"/>
      <c r="N388" s="9"/>
      <c r="O388" s="9"/>
      <c r="P388" s="9"/>
      <c r="Q388" s="9"/>
      <c r="R388" s="9"/>
      <c r="S388" s="9"/>
      <c r="T388" s="9"/>
      <c r="U388" s="9"/>
      <c r="V388" s="9"/>
      <c r="W388" s="9"/>
      <c r="X388" s="9"/>
      <c r="Y388" s="9"/>
      <c r="Z388" s="9"/>
      <c r="AA388" s="9"/>
      <c r="AB388" s="9"/>
      <c r="AC388" s="9"/>
      <c r="AD388" s="9"/>
      <c r="AE388" s="9"/>
      <c r="AF388" s="9"/>
      <c r="AG388" s="9"/>
      <c r="AH388" s="9"/>
      <c r="AI388" s="9"/>
      <c r="AJ388" s="9"/>
      <c r="AK388" s="9"/>
      <c r="AL388" s="9"/>
      <c r="AM388" s="9"/>
      <c r="AN388" s="10"/>
      <c r="AO388" s="65">
        <f t="shared" si="12"/>
        <v>0</v>
      </c>
    </row>
    <row r="389" spans="2:41" s="4" customFormat="1" ht="24" customHeight="1" x14ac:dyDescent="0.2">
      <c r="B389" s="14"/>
      <c r="C389" s="23"/>
      <c r="D389" s="21" t="str">
        <f>IF(ISBLANK(C389), "",
_xlfn.WEBSERVICE(
"https://d16nxf5gxyt1xz.cloudfront.net/Prod/translation?id="
&amp;アカウント情報!$C$2&amp;
"&amp;pwd="
&amp;アカウント情報!$C$3&amp;
"&amp;item="
&amp;_xlfn.ENCODEURL(設定!$F$3)&amp;
"&amp;word="
&amp;_xlfn.ENCODEURL(C389)
)
)</f>
        <v/>
      </c>
      <c r="E389" s="6"/>
      <c r="F389" s="16" t="str">
        <f>IFERROR(VLOOKUP($E389,設定!$C:$F,2,0),"")</f>
        <v/>
      </c>
      <c r="G389" s="156" t="str">
        <f>IFERROR(VLOOKUP($E389,設定!$C:$F,3,0),"")</f>
        <v/>
      </c>
      <c r="H389" s="131" t="str">
        <f>IFERROR(VLOOKUP($E389,設定!$C:$F,4,0),"")</f>
        <v/>
      </c>
      <c r="I389" s="402"/>
      <c r="J389" s="8"/>
      <c r="K389" s="9"/>
      <c r="L389" s="9"/>
      <c r="M389" s="9"/>
      <c r="N389" s="9"/>
      <c r="O389" s="9"/>
      <c r="P389" s="9"/>
      <c r="Q389" s="9"/>
      <c r="R389" s="9"/>
      <c r="S389" s="9"/>
      <c r="T389" s="9"/>
      <c r="U389" s="9"/>
      <c r="V389" s="9"/>
      <c r="W389" s="9"/>
      <c r="X389" s="9"/>
      <c r="Y389" s="9"/>
      <c r="Z389" s="9"/>
      <c r="AA389" s="9"/>
      <c r="AB389" s="9"/>
      <c r="AC389" s="9"/>
      <c r="AD389" s="9"/>
      <c r="AE389" s="9"/>
      <c r="AF389" s="9"/>
      <c r="AG389" s="9"/>
      <c r="AH389" s="9"/>
      <c r="AI389" s="9"/>
      <c r="AJ389" s="9"/>
      <c r="AK389" s="9"/>
      <c r="AL389" s="9"/>
      <c r="AM389" s="9"/>
      <c r="AN389" s="10"/>
      <c r="AO389" s="65">
        <f t="shared" si="12"/>
        <v>0</v>
      </c>
    </row>
    <row r="390" spans="2:41" s="4" customFormat="1" ht="24" customHeight="1" x14ac:dyDescent="0.2">
      <c r="B390" s="14"/>
      <c r="C390" s="23"/>
      <c r="D390" s="21" t="str">
        <f>IF(ISBLANK(C390), "",
_xlfn.WEBSERVICE(
"https://d16nxf5gxyt1xz.cloudfront.net/Prod/translation?id="
&amp;アカウント情報!$C$2&amp;
"&amp;pwd="
&amp;アカウント情報!$C$3&amp;
"&amp;item="
&amp;_xlfn.ENCODEURL(設定!$F$3)&amp;
"&amp;word="
&amp;_xlfn.ENCODEURL(C390)
)
)</f>
        <v/>
      </c>
      <c r="E390" s="6"/>
      <c r="F390" s="16" t="str">
        <f>IFERROR(VLOOKUP($E390,設定!$C:$F,2,0),"")</f>
        <v/>
      </c>
      <c r="G390" s="156" t="str">
        <f>IFERROR(VLOOKUP($E390,設定!$C:$F,3,0),"")</f>
        <v/>
      </c>
      <c r="H390" s="131" t="str">
        <f>IFERROR(VLOOKUP($E390,設定!$C:$F,4,0),"")</f>
        <v/>
      </c>
      <c r="I390" s="402"/>
      <c r="J390" s="8"/>
      <c r="K390" s="9"/>
      <c r="L390" s="9"/>
      <c r="M390" s="9"/>
      <c r="N390" s="9"/>
      <c r="O390" s="9"/>
      <c r="P390" s="9"/>
      <c r="Q390" s="9"/>
      <c r="R390" s="9"/>
      <c r="S390" s="9"/>
      <c r="T390" s="9"/>
      <c r="U390" s="9"/>
      <c r="V390" s="9"/>
      <c r="W390" s="9"/>
      <c r="X390" s="9"/>
      <c r="Y390" s="9"/>
      <c r="Z390" s="9"/>
      <c r="AA390" s="9"/>
      <c r="AB390" s="9"/>
      <c r="AC390" s="9"/>
      <c r="AD390" s="9"/>
      <c r="AE390" s="9"/>
      <c r="AF390" s="9"/>
      <c r="AG390" s="9"/>
      <c r="AH390" s="9"/>
      <c r="AI390" s="9"/>
      <c r="AJ390" s="9"/>
      <c r="AK390" s="9"/>
      <c r="AL390" s="9"/>
      <c r="AM390" s="9"/>
      <c r="AN390" s="10"/>
      <c r="AO390" s="65">
        <f t="shared" si="12"/>
        <v>0</v>
      </c>
    </row>
    <row r="391" spans="2:41" s="4" customFormat="1" ht="24" customHeight="1" x14ac:dyDescent="0.2">
      <c r="B391" s="14"/>
      <c r="C391" s="23"/>
      <c r="D391" s="21" t="str">
        <f>IF(ISBLANK(C391), "",
_xlfn.WEBSERVICE(
"https://d16nxf5gxyt1xz.cloudfront.net/Prod/translation?id="
&amp;アカウント情報!$C$2&amp;
"&amp;pwd="
&amp;アカウント情報!$C$3&amp;
"&amp;item="
&amp;_xlfn.ENCODEURL(設定!$F$3)&amp;
"&amp;word="
&amp;_xlfn.ENCODEURL(C391)
)
)</f>
        <v/>
      </c>
      <c r="E391" s="6"/>
      <c r="F391" s="16" t="str">
        <f>IFERROR(VLOOKUP($E391,設定!$C:$F,2,0),"")</f>
        <v/>
      </c>
      <c r="G391" s="156" t="str">
        <f>IFERROR(VLOOKUP($E391,設定!$C:$F,3,0),"")</f>
        <v/>
      </c>
      <c r="H391" s="131" t="str">
        <f>IFERROR(VLOOKUP($E391,設定!$C:$F,4,0),"")</f>
        <v/>
      </c>
      <c r="I391" s="402"/>
      <c r="J391" s="8"/>
      <c r="K391" s="9"/>
      <c r="L391" s="9"/>
      <c r="M391" s="9"/>
      <c r="N391" s="9"/>
      <c r="O391" s="9"/>
      <c r="P391" s="9"/>
      <c r="Q391" s="9"/>
      <c r="R391" s="9"/>
      <c r="S391" s="9"/>
      <c r="T391" s="9"/>
      <c r="U391" s="9"/>
      <c r="V391" s="9"/>
      <c r="W391" s="9"/>
      <c r="X391" s="9"/>
      <c r="Y391" s="9"/>
      <c r="Z391" s="9"/>
      <c r="AA391" s="9"/>
      <c r="AB391" s="9"/>
      <c r="AC391" s="9"/>
      <c r="AD391" s="9"/>
      <c r="AE391" s="9"/>
      <c r="AF391" s="9"/>
      <c r="AG391" s="9"/>
      <c r="AH391" s="9"/>
      <c r="AI391" s="9"/>
      <c r="AJ391" s="9"/>
      <c r="AK391" s="9"/>
      <c r="AL391" s="9"/>
      <c r="AM391" s="9"/>
      <c r="AN391" s="10"/>
      <c r="AO391" s="65">
        <f t="shared" si="12"/>
        <v>0</v>
      </c>
    </row>
    <row r="392" spans="2:41" s="4" customFormat="1" ht="24" customHeight="1" x14ac:dyDescent="0.2">
      <c r="B392" s="14"/>
      <c r="C392" s="23"/>
      <c r="D392" s="21" t="str">
        <f>IF(ISBLANK(C392), "",
_xlfn.WEBSERVICE(
"https://d16nxf5gxyt1xz.cloudfront.net/Prod/translation?id="
&amp;アカウント情報!$C$2&amp;
"&amp;pwd="
&amp;アカウント情報!$C$3&amp;
"&amp;item="
&amp;_xlfn.ENCODEURL(設定!$F$3)&amp;
"&amp;word="
&amp;_xlfn.ENCODEURL(C392)
)
)</f>
        <v/>
      </c>
      <c r="E392" s="6"/>
      <c r="F392" s="16" t="str">
        <f>IFERROR(VLOOKUP($E392,設定!$C:$F,2,0),"")</f>
        <v/>
      </c>
      <c r="G392" s="156" t="str">
        <f>IFERROR(VLOOKUP($E392,設定!$C:$F,3,0),"")</f>
        <v/>
      </c>
      <c r="H392" s="131" t="str">
        <f>IFERROR(VLOOKUP($E392,設定!$C:$F,4,0),"")</f>
        <v/>
      </c>
      <c r="I392" s="402"/>
      <c r="J392" s="8"/>
      <c r="K392" s="9"/>
      <c r="L392" s="9"/>
      <c r="M392" s="9"/>
      <c r="N392" s="9"/>
      <c r="O392" s="9"/>
      <c r="P392" s="9"/>
      <c r="Q392" s="9"/>
      <c r="R392" s="9"/>
      <c r="S392" s="9"/>
      <c r="T392" s="9"/>
      <c r="U392" s="9"/>
      <c r="V392" s="9"/>
      <c r="W392" s="9"/>
      <c r="X392" s="9"/>
      <c r="Y392" s="9"/>
      <c r="Z392" s="9"/>
      <c r="AA392" s="9"/>
      <c r="AB392" s="9"/>
      <c r="AC392" s="9"/>
      <c r="AD392" s="9"/>
      <c r="AE392" s="9"/>
      <c r="AF392" s="9"/>
      <c r="AG392" s="9"/>
      <c r="AH392" s="9"/>
      <c r="AI392" s="9"/>
      <c r="AJ392" s="9"/>
      <c r="AK392" s="9"/>
      <c r="AL392" s="9"/>
      <c r="AM392" s="9"/>
      <c r="AN392" s="10"/>
      <c r="AO392" s="65">
        <f t="shared" si="12"/>
        <v>0</v>
      </c>
    </row>
    <row r="393" spans="2:41" s="4" customFormat="1" ht="24" customHeight="1" x14ac:dyDescent="0.2">
      <c r="B393" s="14"/>
      <c r="C393" s="23"/>
      <c r="D393" s="21" t="str">
        <f>IF(ISBLANK(C393), "",
_xlfn.WEBSERVICE(
"https://d16nxf5gxyt1xz.cloudfront.net/Prod/translation?id="
&amp;アカウント情報!$C$2&amp;
"&amp;pwd="
&amp;アカウント情報!$C$3&amp;
"&amp;item="
&amp;_xlfn.ENCODEURL(設定!$F$3)&amp;
"&amp;word="
&amp;_xlfn.ENCODEURL(C393)
)
)</f>
        <v/>
      </c>
      <c r="E393" s="6"/>
      <c r="F393" s="16" t="str">
        <f>IFERROR(VLOOKUP($E393,設定!$C:$F,2,0),"")</f>
        <v/>
      </c>
      <c r="G393" s="156" t="str">
        <f>IFERROR(VLOOKUP($E393,設定!$C:$F,3,0),"")</f>
        <v/>
      </c>
      <c r="H393" s="131" t="str">
        <f>IFERROR(VLOOKUP($E393,設定!$C:$F,4,0),"")</f>
        <v/>
      </c>
      <c r="I393" s="402"/>
      <c r="J393" s="8"/>
      <c r="K393" s="9"/>
      <c r="L393" s="9"/>
      <c r="M393" s="9"/>
      <c r="N393" s="9"/>
      <c r="O393" s="9"/>
      <c r="P393" s="9"/>
      <c r="Q393" s="9"/>
      <c r="R393" s="9"/>
      <c r="S393" s="9"/>
      <c r="T393" s="9"/>
      <c r="U393" s="9"/>
      <c r="V393" s="9"/>
      <c r="W393" s="9"/>
      <c r="X393" s="9"/>
      <c r="Y393" s="9"/>
      <c r="Z393" s="9"/>
      <c r="AA393" s="9"/>
      <c r="AB393" s="9"/>
      <c r="AC393" s="9"/>
      <c r="AD393" s="9"/>
      <c r="AE393" s="9"/>
      <c r="AF393" s="9"/>
      <c r="AG393" s="9"/>
      <c r="AH393" s="9"/>
      <c r="AI393" s="9"/>
      <c r="AJ393" s="9"/>
      <c r="AK393" s="9"/>
      <c r="AL393" s="9"/>
      <c r="AM393" s="9"/>
      <c r="AN393" s="10"/>
      <c r="AO393" s="65">
        <f t="shared" si="12"/>
        <v>0</v>
      </c>
    </row>
    <row r="394" spans="2:41" s="4" customFormat="1" ht="24" customHeight="1" x14ac:dyDescent="0.2">
      <c r="B394" s="14"/>
      <c r="C394" s="23"/>
      <c r="D394" s="21" t="str">
        <f>IF(ISBLANK(C394), "",
_xlfn.WEBSERVICE(
"https://d16nxf5gxyt1xz.cloudfront.net/Prod/translation?id="
&amp;アカウント情報!$C$2&amp;
"&amp;pwd="
&amp;アカウント情報!$C$3&amp;
"&amp;item="
&amp;_xlfn.ENCODEURL(設定!$F$3)&amp;
"&amp;word="
&amp;_xlfn.ENCODEURL(C394)
)
)</f>
        <v/>
      </c>
      <c r="E394" s="6"/>
      <c r="F394" s="16" t="str">
        <f>IFERROR(VLOOKUP($E394,設定!$C:$F,2,0),"")</f>
        <v/>
      </c>
      <c r="G394" s="156" t="str">
        <f>IFERROR(VLOOKUP($E394,設定!$C:$F,3,0),"")</f>
        <v/>
      </c>
      <c r="H394" s="131" t="str">
        <f>IFERROR(VLOOKUP($E394,設定!$C:$F,4,0),"")</f>
        <v/>
      </c>
      <c r="I394" s="402"/>
      <c r="J394" s="8"/>
      <c r="K394" s="9"/>
      <c r="L394" s="9"/>
      <c r="M394" s="9"/>
      <c r="N394" s="9"/>
      <c r="O394" s="9"/>
      <c r="P394" s="9"/>
      <c r="Q394" s="9"/>
      <c r="R394" s="9"/>
      <c r="S394" s="9"/>
      <c r="T394" s="9"/>
      <c r="U394" s="9"/>
      <c r="V394" s="9"/>
      <c r="W394" s="9"/>
      <c r="X394" s="9"/>
      <c r="Y394" s="9"/>
      <c r="Z394" s="9"/>
      <c r="AA394" s="9"/>
      <c r="AB394" s="9"/>
      <c r="AC394" s="9"/>
      <c r="AD394" s="9"/>
      <c r="AE394" s="9"/>
      <c r="AF394" s="9"/>
      <c r="AG394" s="9"/>
      <c r="AH394" s="9"/>
      <c r="AI394" s="9"/>
      <c r="AJ394" s="9"/>
      <c r="AK394" s="9"/>
      <c r="AL394" s="9"/>
      <c r="AM394" s="9"/>
      <c r="AN394" s="10"/>
      <c r="AO394" s="65">
        <f t="shared" si="12"/>
        <v>0</v>
      </c>
    </row>
    <row r="395" spans="2:41" s="4" customFormat="1" ht="24" customHeight="1" x14ac:dyDescent="0.2">
      <c r="B395" s="14"/>
      <c r="C395" s="23"/>
      <c r="D395" s="21" t="str">
        <f>IF(ISBLANK(C395), "",
_xlfn.WEBSERVICE(
"https://d16nxf5gxyt1xz.cloudfront.net/Prod/translation?id="
&amp;アカウント情報!$C$2&amp;
"&amp;pwd="
&amp;アカウント情報!$C$3&amp;
"&amp;item="
&amp;_xlfn.ENCODEURL(設定!$F$3)&amp;
"&amp;word="
&amp;_xlfn.ENCODEURL(C395)
)
)</f>
        <v/>
      </c>
      <c r="E395" s="6"/>
      <c r="F395" s="16" t="str">
        <f>IFERROR(VLOOKUP($E395,設定!$C:$F,2,0),"")</f>
        <v/>
      </c>
      <c r="G395" s="156" t="str">
        <f>IFERROR(VLOOKUP($E395,設定!$C:$F,3,0),"")</f>
        <v/>
      </c>
      <c r="H395" s="131" t="str">
        <f>IFERROR(VLOOKUP($E395,設定!$C:$F,4,0),"")</f>
        <v/>
      </c>
      <c r="I395" s="402"/>
      <c r="J395" s="8"/>
      <c r="K395" s="9"/>
      <c r="L395" s="9"/>
      <c r="M395" s="9"/>
      <c r="N395" s="9"/>
      <c r="O395" s="9"/>
      <c r="P395" s="9"/>
      <c r="Q395" s="9"/>
      <c r="R395" s="9"/>
      <c r="S395" s="9"/>
      <c r="T395" s="9"/>
      <c r="U395" s="9"/>
      <c r="V395" s="9"/>
      <c r="W395" s="9"/>
      <c r="X395" s="9"/>
      <c r="Y395" s="9"/>
      <c r="Z395" s="9"/>
      <c r="AA395" s="9"/>
      <c r="AB395" s="9"/>
      <c r="AC395" s="9"/>
      <c r="AD395" s="9"/>
      <c r="AE395" s="9"/>
      <c r="AF395" s="9"/>
      <c r="AG395" s="9"/>
      <c r="AH395" s="9"/>
      <c r="AI395" s="9"/>
      <c r="AJ395" s="9"/>
      <c r="AK395" s="9"/>
      <c r="AL395" s="9"/>
      <c r="AM395" s="9"/>
      <c r="AN395" s="10"/>
      <c r="AO395" s="65">
        <f t="shared" si="12"/>
        <v>0</v>
      </c>
    </row>
    <row r="396" spans="2:41" s="4" customFormat="1" ht="24" customHeight="1" x14ac:dyDescent="0.2">
      <c r="B396" s="14"/>
      <c r="C396" s="23"/>
      <c r="D396" s="21" t="str">
        <f>IF(ISBLANK(C396), "",
_xlfn.WEBSERVICE(
"https://d16nxf5gxyt1xz.cloudfront.net/Prod/translation?id="
&amp;アカウント情報!$C$2&amp;
"&amp;pwd="
&amp;アカウント情報!$C$3&amp;
"&amp;item="
&amp;_xlfn.ENCODEURL(設定!$F$3)&amp;
"&amp;word="
&amp;_xlfn.ENCODEURL(C396)
)
)</f>
        <v/>
      </c>
      <c r="E396" s="6"/>
      <c r="F396" s="16" t="str">
        <f>IFERROR(VLOOKUP($E396,設定!$C:$F,2,0),"")</f>
        <v/>
      </c>
      <c r="G396" s="156" t="str">
        <f>IFERROR(VLOOKUP($E396,設定!$C:$F,3,0),"")</f>
        <v/>
      </c>
      <c r="H396" s="131" t="str">
        <f>IFERROR(VLOOKUP($E396,設定!$C:$F,4,0),"")</f>
        <v/>
      </c>
      <c r="I396" s="402"/>
      <c r="J396" s="8"/>
      <c r="K396" s="9"/>
      <c r="L396" s="9"/>
      <c r="M396" s="9"/>
      <c r="N396" s="9"/>
      <c r="O396" s="9"/>
      <c r="P396" s="9"/>
      <c r="Q396" s="9"/>
      <c r="R396" s="9"/>
      <c r="S396" s="9"/>
      <c r="T396" s="9"/>
      <c r="U396" s="9"/>
      <c r="V396" s="9"/>
      <c r="W396" s="9"/>
      <c r="X396" s="9"/>
      <c r="Y396" s="9"/>
      <c r="Z396" s="9"/>
      <c r="AA396" s="9"/>
      <c r="AB396" s="9"/>
      <c r="AC396" s="9"/>
      <c r="AD396" s="9"/>
      <c r="AE396" s="9"/>
      <c r="AF396" s="9"/>
      <c r="AG396" s="9"/>
      <c r="AH396" s="9"/>
      <c r="AI396" s="9"/>
      <c r="AJ396" s="9"/>
      <c r="AK396" s="9"/>
      <c r="AL396" s="9"/>
      <c r="AM396" s="9"/>
      <c r="AN396" s="10"/>
      <c r="AO396" s="65">
        <f t="shared" si="12"/>
        <v>0</v>
      </c>
    </row>
    <row r="397" spans="2:41" s="4" customFormat="1" ht="24" customHeight="1" x14ac:dyDescent="0.2">
      <c r="B397" s="14"/>
      <c r="C397" s="23"/>
      <c r="D397" s="21" t="str">
        <f>IF(ISBLANK(C397), "",
_xlfn.WEBSERVICE(
"https://d16nxf5gxyt1xz.cloudfront.net/Prod/translation?id="
&amp;アカウント情報!$C$2&amp;
"&amp;pwd="
&amp;アカウント情報!$C$3&amp;
"&amp;item="
&amp;_xlfn.ENCODEURL(設定!$F$3)&amp;
"&amp;word="
&amp;_xlfn.ENCODEURL(C397)
)
)</f>
        <v/>
      </c>
      <c r="E397" s="6"/>
      <c r="F397" s="16" t="str">
        <f>IFERROR(VLOOKUP($E397,設定!$C:$F,2,0),"")</f>
        <v/>
      </c>
      <c r="G397" s="156" t="str">
        <f>IFERROR(VLOOKUP($E397,設定!$C:$F,3,0),"")</f>
        <v/>
      </c>
      <c r="H397" s="131" t="str">
        <f>IFERROR(VLOOKUP($E397,設定!$C:$F,4,0),"")</f>
        <v/>
      </c>
      <c r="I397" s="402"/>
      <c r="J397" s="8"/>
      <c r="K397" s="9"/>
      <c r="L397" s="9"/>
      <c r="M397" s="9"/>
      <c r="N397" s="9"/>
      <c r="O397" s="9"/>
      <c r="P397" s="9"/>
      <c r="Q397" s="9"/>
      <c r="R397" s="9"/>
      <c r="S397" s="9"/>
      <c r="T397" s="9"/>
      <c r="U397" s="9"/>
      <c r="V397" s="9"/>
      <c r="W397" s="9"/>
      <c r="X397" s="9"/>
      <c r="Y397" s="9"/>
      <c r="Z397" s="9"/>
      <c r="AA397" s="9"/>
      <c r="AB397" s="9"/>
      <c r="AC397" s="9"/>
      <c r="AD397" s="9"/>
      <c r="AE397" s="9"/>
      <c r="AF397" s="9"/>
      <c r="AG397" s="9"/>
      <c r="AH397" s="9"/>
      <c r="AI397" s="9"/>
      <c r="AJ397" s="9"/>
      <c r="AK397" s="9"/>
      <c r="AL397" s="9"/>
      <c r="AM397" s="9"/>
      <c r="AN397" s="10"/>
      <c r="AO397" s="65">
        <f t="shared" si="12"/>
        <v>0</v>
      </c>
    </row>
    <row r="398" spans="2:41" s="4" customFormat="1" ht="24" customHeight="1" x14ac:dyDescent="0.2">
      <c r="B398" s="14"/>
      <c r="C398" s="23"/>
      <c r="D398" s="21" t="str">
        <f>IF(ISBLANK(C398), "",
_xlfn.WEBSERVICE(
"https://d16nxf5gxyt1xz.cloudfront.net/Prod/translation?id="
&amp;アカウント情報!$C$2&amp;
"&amp;pwd="
&amp;アカウント情報!$C$3&amp;
"&amp;item="
&amp;_xlfn.ENCODEURL(設定!$F$3)&amp;
"&amp;word="
&amp;_xlfn.ENCODEURL(C398)
)
)</f>
        <v/>
      </c>
      <c r="E398" s="6"/>
      <c r="F398" s="16" t="str">
        <f>IFERROR(VLOOKUP($E398,設定!$C:$F,2,0),"")</f>
        <v/>
      </c>
      <c r="G398" s="156" t="str">
        <f>IFERROR(VLOOKUP($E398,設定!$C:$F,3,0),"")</f>
        <v/>
      </c>
      <c r="H398" s="131" t="str">
        <f>IFERROR(VLOOKUP($E398,設定!$C:$F,4,0),"")</f>
        <v/>
      </c>
      <c r="I398" s="402"/>
      <c r="J398" s="8"/>
      <c r="K398" s="9"/>
      <c r="L398" s="9"/>
      <c r="M398" s="9"/>
      <c r="N398" s="9"/>
      <c r="O398" s="9"/>
      <c r="P398" s="9"/>
      <c r="Q398" s="9"/>
      <c r="R398" s="9"/>
      <c r="S398" s="9"/>
      <c r="T398" s="9"/>
      <c r="U398" s="9"/>
      <c r="V398" s="9"/>
      <c r="W398" s="9"/>
      <c r="X398" s="9"/>
      <c r="Y398" s="9"/>
      <c r="Z398" s="9"/>
      <c r="AA398" s="9"/>
      <c r="AB398" s="9"/>
      <c r="AC398" s="9"/>
      <c r="AD398" s="9"/>
      <c r="AE398" s="9"/>
      <c r="AF398" s="9"/>
      <c r="AG398" s="9"/>
      <c r="AH398" s="9"/>
      <c r="AI398" s="9"/>
      <c r="AJ398" s="9"/>
      <c r="AK398" s="9"/>
      <c r="AL398" s="9"/>
      <c r="AM398" s="9"/>
      <c r="AN398" s="10"/>
      <c r="AO398" s="65">
        <f t="shared" si="12"/>
        <v>0</v>
      </c>
    </row>
    <row r="399" spans="2:41" s="4" customFormat="1" ht="24" customHeight="1" x14ac:dyDescent="0.2">
      <c r="B399" s="14"/>
      <c r="C399" s="23"/>
      <c r="D399" s="21" t="str">
        <f>IF(ISBLANK(C399), "",
_xlfn.WEBSERVICE(
"https://d16nxf5gxyt1xz.cloudfront.net/Prod/translation?id="
&amp;アカウント情報!$C$2&amp;
"&amp;pwd="
&amp;アカウント情報!$C$3&amp;
"&amp;item="
&amp;_xlfn.ENCODEURL(設定!$F$3)&amp;
"&amp;word="
&amp;_xlfn.ENCODEURL(C399)
)
)</f>
        <v/>
      </c>
      <c r="E399" s="6"/>
      <c r="F399" s="16" t="str">
        <f>IFERROR(VLOOKUP($E399,設定!$C:$F,2,0),"")</f>
        <v/>
      </c>
      <c r="G399" s="156" t="str">
        <f>IFERROR(VLOOKUP($E399,設定!$C:$F,3,0),"")</f>
        <v/>
      </c>
      <c r="H399" s="131" t="str">
        <f>IFERROR(VLOOKUP($E399,設定!$C:$F,4,0),"")</f>
        <v/>
      </c>
      <c r="I399" s="402"/>
      <c r="J399" s="8"/>
      <c r="K399" s="9"/>
      <c r="L399" s="9"/>
      <c r="M399" s="9"/>
      <c r="N399" s="9"/>
      <c r="O399" s="9"/>
      <c r="P399" s="9"/>
      <c r="Q399" s="9"/>
      <c r="R399" s="9"/>
      <c r="S399" s="9"/>
      <c r="T399" s="9"/>
      <c r="U399" s="9"/>
      <c r="V399" s="9"/>
      <c r="W399" s="9"/>
      <c r="X399" s="9"/>
      <c r="Y399" s="9"/>
      <c r="Z399" s="9"/>
      <c r="AA399" s="9"/>
      <c r="AB399" s="9"/>
      <c r="AC399" s="9"/>
      <c r="AD399" s="9"/>
      <c r="AE399" s="9"/>
      <c r="AF399" s="9"/>
      <c r="AG399" s="9"/>
      <c r="AH399" s="9"/>
      <c r="AI399" s="9"/>
      <c r="AJ399" s="9"/>
      <c r="AK399" s="9"/>
      <c r="AL399" s="9"/>
      <c r="AM399" s="9"/>
      <c r="AN399" s="10"/>
      <c r="AO399" s="65">
        <f t="shared" si="12"/>
        <v>0</v>
      </c>
    </row>
    <row r="400" spans="2:41" s="4" customFormat="1" ht="24" customHeight="1" x14ac:dyDescent="0.2">
      <c r="B400" s="14"/>
      <c r="C400" s="23"/>
      <c r="D400" s="21" t="str">
        <f>IF(ISBLANK(C400), "",
_xlfn.WEBSERVICE(
"https://d16nxf5gxyt1xz.cloudfront.net/Prod/translation?id="
&amp;アカウント情報!$C$2&amp;
"&amp;pwd="
&amp;アカウント情報!$C$3&amp;
"&amp;item="
&amp;_xlfn.ENCODEURL(設定!$F$3)&amp;
"&amp;word="
&amp;_xlfn.ENCODEURL(C400)
)
)</f>
        <v/>
      </c>
      <c r="E400" s="6"/>
      <c r="F400" s="16" t="str">
        <f>IFERROR(VLOOKUP($E400,設定!$C:$F,2,0),"")</f>
        <v/>
      </c>
      <c r="G400" s="156" t="str">
        <f>IFERROR(VLOOKUP($E400,設定!$C:$F,3,0),"")</f>
        <v/>
      </c>
      <c r="H400" s="131" t="str">
        <f>IFERROR(VLOOKUP($E400,設定!$C:$F,4,0),"")</f>
        <v/>
      </c>
      <c r="I400" s="402"/>
      <c r="J400" s="8"/>
      <c r="K400" s="9"/>
      <c r="L400" s="9"/>
      <c r="M400" s="9"/>
      <c r="N400" s="9"/>
      <c r="O400" s="9"/>
      <c r="P400" s="9"/>
      <c r="Q400" s="9"/>
      <c r="R400" s="9"/>
      <c r="S400" s="9"/>
      <c r="T400" s="9"/>
      <c r="U400" s="9"/>
      <c r="V400" s="9"/>
      <c r="W400" s="9"/>
      <c r="X400" s="9"/>
      <c r="Y400" s="9"/>
      <c r="Z400" s="9"/>
      <c r="AA400" s="9"/>
      <c r="AB400" s="9"/>
      <c r="AC400" s="9"/>
      <c r="AD400" s="9"/>
      <c r="AE400" s="9"/>
      <c r="AF400" s="9"/>
      <c r="AG400" s="9"/>
      <c r="AH400" s="9"/>
      <c r="AI400" s="9"/>
      <c r="AJ400" s="9"/>
      <c r="AK400" s="9"/>
      <c r="AL400" s="9"/>
      <c r="AM400" s="9"/>
      <c r="AN400" s="10"/>
      <c r="AO400" s="65">
        <f t="shared" si="12"/>
        <v>0</v>
      </c>
    </row>
    <row r="401" spans="2:41" s="4" customFormat="1" ht="24" customHeight="1" x14ac:dyDescent="0.2">
      <c r="B401" s="14"/>
      <c r="C401" s="23"/>
      <c r="D401" s="21" t="str">
        <f>IF(ISBLANK(C401), "",
_xlfn.WEBSERVICE(
"https://d16nxf5gxyt1xz.cloudfront.net/Prod/translation?id="
&amp;アカウント情報!$C$2&amp;
"&amp;pwd="
&amp;アカウント情報!$C$3&amp;
"&amp;item="
&amp;_xlfn.ENCODEURL(設定!$F$3)&amp;
"&amp;word="
&amp;_xlfn.ENCODEURL(C401)
)
)</f>
        <v/>
      </c>
      <c r="E401" s="6"/>
      <c r="F401" s="16" t="str">
        <f>IFERROR(VLOOKUP($E401,設定!$C:$F,2,0),"")</f>
        <v/>
      </c>
      <c r="G401" s="156" t="str">
        <f>IFERROR(VLOOKUP($E401,設定!$C:$F,3,0),"")</f>
        <v/>
      </c>
      <c r="H401" s="131" t="str">
        <f>IFERROR(VLOOKUP($E401,設定!$C:$F,4,0),"")</f>
        <v/>
      </c>
      <c r="I401" s="402"/>
      <c r="J401" s="8"/>
      <c r="K401" s="9"/>
      <c r="L401" s="9"/>
      <c r="M401" s="9"/>
      <c r="N401" s="9"/>
      <c r="O401" s="9"/>
      <c r="P401" s="9"/>
      <c r="Q401" s="9"/>
      <c r="R401" s="9"/>
      <c r="S401" s="9"/>
      <c r="T401" s="9"/>
      <c r="U401" s="9"/>
      <c r="V401" s="9"/>
      <c r="W401" s="9"/>
      <c r="X401" s="9"/>
      <c r="Y401" s="9"/>
      <c r="Z401" s="9"/>
      <c r="AA401" s="9"/>
      <c r="AB401" s="9"/>
      <c r="AC401" s="9"/>
      <c r="AD401" s="9"/>
      <c r="AE401" s="9"/>
      <c r="AF401" s="9"/>
      <c r="AG401" s="9"/>
      <c r="AH401" s="9"/>
      <c r="AI401" s="9"/>
      <c r="AJ401" s="9"/>
      <c r="AK401" s="9"/>
      <c r="AL401" s="9"/>
      <c r="AM401" s="9"/>
      <c r="AN401" s="10"/>
      <c r="AO401" s="65">
        <f t="shared" si="12"/>
        <v>0</v>
      </c>
    </row>
    <row r="402" spans="2:41" s="4" customFormat="1" ht="24" customHeight="1" x14ac:dyDescent="0.2">
      <c r="B402" s="14"/>
      <c r="C402" s="23"/>
      <c r="D402" s="21" t="str">
        <f>IF(ISBLANK(C402), "",
_xlfn.WEBSERVICE(
"https://d16nxf5gxyt1xz.cloudfront.net/Prod/translation?id="
&amp;アカウント情報!$C$2&amp;
"&amp;pwd="
&amp;アカウント情報!$C$3&amp;
"&amp;item="
&amp;_xlfn.ENCODEURL(設定!$F$3)&amp;
"&amp;word="
&amp;_xlfn.ENCODEURL(C402)
)
)</f>
        <v/>
      </c>
      <c r="E402" s="6"/>
      <c r="F402" s="16" t="str">
        <f>IFERROR(VLOOKUP($E402,設定!$C:$F,2,0),"")</f>
        <v/>
      </c>
      <c r="G402" s="156" t="str">
        <f>IFERROR(VLOOKUP($E402,設定!$C:$F,3,0),"")</f>
        <v/>
      </c>
      <c r="H402" s="131" t="str">
        <f>IFERROR(VLOOKUP($E402,設定!$C:$F,4,0),"")</f>
        <v/>
      </c>
      <c r="I402" s="402"/>
      <c r="J402" s="8"/>
      <c r="K402" s="9"/>
      <c r="L402" s="9"/>
      <c r="M402" s="9"/>
      <c r="N402" s="9"/>
      <c r="O402" s="9"/>
      <c r="P402" s="9"/>
      <c r="Q402" s="9"/>
      <c r="R402" s="9"/>
      <c r="S402" s="9"/>
      <c r="T402" s="9"/>
      <c r="U402" s="9"/>
      <c r="V402" s="9"/>
      <c r="W402" s="9"/>
      <c r="X402" s="9"/>
      <c r="Y402" s="9"/>
      <c r="Z402" s="9"/>
      <c r="AA402" s="9"/>
      <c r="AB402" s="9"/>
      <c r="AC402" s="9"/>
      <c r="AD402" s="9"/>
      <c r="AE402" s="9"/>
      <c r="AF402" s="9"/>
      <c r="AG402" s="9"/>
      <c r="AH402" s="9"/>
      <c r="AI402" s="9"/>
      <c r="AJ402" s="9"/>
      <c r="AK402" s="9"/>
      <c r="AL402" s="9"/>
      <c r="AM402" s="9"/>
      <c r="AN402" s="10"/>
      <c r="AO402" s="65">
        <f t="shared" si="12"/>
        <v>0</v>
      </c>
    </row>
    <row r="403" spans="2:41" s="4" customFormat="1" ht="24" customHeight="1" x14ac:dyDescent="0.2">
      <c r="B403" s="14"/>
      <c r="C403" s="23"/>
      <c r="D403" s="21" t="str">
        <f>IF(ISBLANK(C403), "",
_xlfn.WEBSERVICE(
"https://d16nxf5gxyt1xz.cloudfront.net/Prod/translation?id="
&amp;アカウント情報!$C$2&amp;
"&amp;pwd="
&amp;アカウント情報!$C$3&amp;
"&amp;item="
&amp;_xlfn.ENCODEURL(設定!$F$3)&amp;
"&amp;word="
&amp;_xlfn.ENCODEURL(C403)
)
)</f>
        <v/>
      </c>
      <c r="E403" s="6"/>
      <c r="F403" s="16" t="str">
        <f>IFERROR(VLOOKUP($E403,設定!$C:$F,2,0),"")</f>
        <v/>
      </c>
      <c r="G403" s="156" t="str">
        <f>IFERROR(VLOOKUP($E403,設定!$C:$F,3,0),"")</f>
        <v/>
      </c>
      <c r="H403" s="131" t="str">
        <f>IFERROR(VLOOKUP($E403,設定!$C:$F,4,0),"")</f>
        <v/>
      </c>
      <c r="I403" s="402"/>
      <c r="J403" s="8"/>
      <c r="K403" s="9"/>
      <c r="L403" s="9"/>
      <c r="M403" s="9"/>
      <c r="N403" s="9"/>
      <c r="O403" s="9"/>
      <c r="P403" s="9"/>
      <c r="Q403" s="9"/>
      <c r="R403" s="9"/>
      <c r="S403" s="9"/>
      <c r="T403" s="9"/>
      <c r="U403" s="9"/>
      <c r="V403" s="9"/>
      <c r="W403" s="9"/>
      <c r="X403" s="9"/>
      <c r="Y403" s="9"/>
      <c r="Z403" s="9"/>
      <c r="AA403" s="9"/>
      <c r="AB403" s="9"/>
      <c r="AC403" s="9"/>
      <c r="AD403" s="9"/>
      <c r="AE403" s="9"/>
      <c r="AF403" s="9"/>
      <c r="AG403" s="9"/>
      <c r="AH403" s="9"/>
      <c r="AI403" s="9"/>
      <c r="AJ403" s="9"/>
      <c r="AK403" s="9"/>
      <c r="AL403" s="9"/>
      <c r="AM403" s="9"/>
      <c r="AN403" s="10"/>
      <c r="AO403" s="65">
        <f t="shared" si="12"/>
        <v>0</v>
      </c>
    </row>
    <row r="404" spans="2:41" s="4" customFormat="1" ht="24" customHeight="1" x14ac:dyDescent="0.2">
      <c r="B404" s="14"/>
      <c r="C404" s="23"/>
      <c r="D404" s="21" t="str">
        <f>IF(ISBLANK(C404), "",
_xlfn.WEBSERVICE(
"https://d16nxf5gxyt1xz.cloudfront.net/Prod/translation?id="
&amp;アカウント情報!$C$2&amp;
"&amp;pwd="
&amp;アカウント情報!$C$3&amp;
"&amp;item="
&amp;_xlfn.ENCODEURL(設定!$F$3)&amp;
"&amp;word="
&amp;_xlfn.ENCODEURL(C404)
)
)</f>
        <v/>
      </c>
      <c r="E404" s="6"/>
      <c r="F404" s="16" t="str">
        <f>IFERROR(VLOOKUP($E404,設定!$C:$F,2,0),"")</f>
        <v/>
      </c>
      <c r="G404" s="156" t="str">
        <f>IFERROR(VLOOKUP($E404,設定!$C:$F,3,0),"")</f>
        <v/>
      </c>
      <c r="H404" s="131" t="str">
        <f>IFERROR(VLOOKUP($E404,設定!$C:$F,4,0),"")</f>
        <v/>
      </c>
      <c r="I404" s="402"/>
      <c r="J404" s="8"/>
      <c r="K404" s="9"/>
      <c r="L404" s="9"/>
      <c r="M404" s="9"/>
      <c r="N404" s="9"/>
      <c r="O404" s="9"/>
      <c r="P404" s="9"/>
      <c r="Q404" s="9"/>
      <c r="R404" s="9"/>
      <c r="S404" s="9"/>
      <c r="T404" s="9"/>
      <c r="U404" s="9"/>
      <c r="V404" s="9"/>
      <c r="W404" s="9"/>
      <c r="X404" s="9"/>
      <c r="Y404" s="9"/>
      <c r="Z404" s="9"/>
      <c r="AA404" s="9"/>
      <c r="AB404" s="9"/>
      <c r="AC404" s="9"/>
      <c r="AD404" s="9"/>
      <c r="AE404" s="9"/>
      <c r="AF404" s="9"/>
      <c r="AG404" s="9"/>
      <c r="AH404" s="9"/>
      <c r="AI404" s="9"/>
      <c r="AJ404" s="9"/>
      <c r="AK404" s="9"/>
      <c r="AL404" s="9"/>
      <c r="AM404" s="9"/>
      <c r="AN404" s="10"/>
      <c r="AO404" s="65">
        <f t="shared" si="12"/>
        <v>0</v>
      </c>
    </row>
    <row r="405" spans="2:41" s="4" customFormat="1" ht="24" customHeight="1" x14ac:dyDescent="0.2">
      <c r="B405" s="14"/>
      <c r="C405" s="23"/>
      <c r="D405" s="21" t="str">
        <f>IF(ISBLANK(C405), "",
_xlfn.WEBSERVICE(
"https://d16nxf5gxyt1xz.cloudfront.net/Prod/translation?id="
&amp;アカウント情報!$C$2&amp;
"&amp;pwd="
&amp;アカウント情報!$C$3&amp;
"&amp;item="
&amp;_xlfn.ENCODEURL(設定!$F$3)&amp;
"&amp;word="
&amp;_xlfn.ENCODEURL(C405)
)
)</f>
        <v/>
      </c>
      <c r="E405" s="6"/>
      <c r="F405" s="16" t="str">
        <f>IFERROR(VLOOKUP($E405,設定!$C:$F,2,0),"")</f>
        <v/>
      </c>
      <c r="G405" s="156" t="str">
        <f>IFERROR(VLOOKUP($E405,設定!$C:$F,3,0),"")</f>
        <v/>
      </c>
      <c r="H405" s="131" t="str">
        <f>IFERROR(VLOOKUP($E405,設定!$C:$F,4,0),"")</f>
        <v/>
      </c>
      <c r="I405" s="402"/>
      <c r="J405" s="8"/>
      <c r="K405" s="9"/>
      <c r="L405" s="9"/>
      <c r="M405" s="9"/>
      <c r="N405" s="9"/>
      <c r="O405" s="9"/>
      <c r="P405" s="9"/>
      <c r="Q405" s="9"/>
      <c r="R405" s="9"/>
      <c r="S405" s="9"/>
      <c r="T405" s="9"/>
      <c r="U405" s="9"/>
      <c r="V405" s="9"/>
      <c r="W405" s="9"/>
      <c r="X405" s="9"/>
      <c r="Y405" s="9"/>
      <c r="Z405" s="9"/>
      <c r="AA405" s="9"/>
      <c r="AB405" s="9"/>
      <c r="AC405" s="9"/>
      <c r="AD405" s="9"/>
      <c r="AE405" s="9"/>
      <c r="AF405" s="9"/>
      <c r="AG405" s="9"/>
      <c r="AH405" s="9"/>
      <c r="AI405" s="9"/>
      <c r="AJ405" s="9"/>
      <c r="AK405" s="9"/>
      <c r="AL405" s="9"/>
      <c r="AM405" s="9"/>
      <c r="AN405" s="10"/>
      <c r="AO405" s="65">
        <f t="shared" si="12"/>
        <v>0</v>
      </c>
    </row>
    <row r="406" spans="2:41" s="4" customFormat="1" ht="24" customHeight="1" x14ac:dyDescent="0.2">
      <c r="B406" s="14"/>
      <c r="C406" s="23"/>
      <c r="D406" s="21" t="str">
        <f>IF(ISBLANK(C406), "",
_xlfn.WEBSERVICE(
"https://d16nxf5gxyt1xz.cloudfront.net/Prod/translation?id="
&amp;アカウント情報!$C$2&amp;
"&amp;pwd="
&amp;アカウント情報!$C$3&amp;
"&amp;item="
&amp;_xlfn.ENCODEURL(設定!$F$3)&amp;
"&amp;word="
&amp;_xlfn.ENCODEURL(C406)
)
)</f>
        <v/>
      </c>
      <c r="E406" s="6"/>
      <c r="F406" s="16" t="str">
        <f>IFERROR(VLOOKUP($E406,設定!$C:$F,2,0),"")</f>
        <v/>
      </c>
      <c r="G406" s="156" t="str">
        <f>IFERROR(VLOOKUP($E406,設定!$C:$F,3,0),"")</f>
        <v/>
      </c>
      <c r="H406" s="131" t="str">
        <f>IFERROR(VLOOKUP($E406,設定!$C:$F,4,0),"")</f>
        <v/>
      </c>
      <c r="I406" s="402"/>
      <c r="J406" s="8"/>
      <c r="K406" s="9"/>
      <c r="L406" s="9"/>
      <c r="M406" s="9"/>
      <c r="N406" s="9"/>
      <c r="O406" s="9"/>
      <c r="P406" s="9"/>
      <c r="Q406" s="9"/>
      <c r="R406" s="9"/>
      <c r="S406" s="9"/>
      <c r="T406" s="9"/>
      <c r="U406" s="9"/>
      <c r="V406" s="9"/>
      <c r="W406" s="9"/>
      <c r="X406" s="9"/>
      <c r="Y406" s="9"/>
      <c r="Z406" s="9"/>
      <c r="AA406" s="9"/>
      <c r="AB406" s="9"/>
      <c r="AC406" s="9"/>
      <c r="AD406" s="9"/>
      <c r="AE406" s="9"/>
      <c r="AF406" s="9"/>
      <c r="AG406" s="9"/>
      <c r="AH406" s="9"/>
      <c r="AI406" s="9"/>
      <c r="AJ406" s="9"/>
      <c r="AK406" s="9"/>
      <c r="AL406" s="9"/>
      <c r="AM406" s="9"/>
      <c r="AN406" s="10"/>
      <c r="AO406" s="65">
        <f t="shared" si="12"/>
        <v>0</v>
      </c>
    </row>
    <row r="407" spans="2:41" s="4" customFormat="1" ht="24" customHeight="1" x14ac:dyDescent="0.2">
      <c r="B407" s="14"/>
      <c r="C407" s="23"/>
      <c r="D407" s="21" t="str">
        <f>IF(ISBLANK(C407), "",
_xlfn.WEBSERVICE(
"https://d16nxf5gxyt1xz.cloudfront.net/Prod/translation?id="
&amp;アカウント情報!$C$2&amp;
"&amp;pwd="
&amp;アカウント情報!$C$3&amp;
"&amp;item="
&amp;_xlfn.ENCODEURL(設定!$F$3)&amp;
"&amp;word="
&amp;_xlfn.ENCODEURL(C407)
)
)</f>
        <v/>
      </c>
      <c r="E407" s="6"/>
      <c r="F407" s="16" t="str">
        <f>IFERROR(VLOOKUP($E407,設定!$C:$F,2,0),"")</f>
        <v/>
      </c>
      <c r="G407" s="156" t="str">
        <f>IFERROR(VLOOKUP($E407,設定!$C:$F,3,0),"")</f>
        <v/>
      </c>
      <c r="H407" s="131" t="str">
        <f>IFERROR(VLOOKUP($E407,設定!$C:$F,4,0),"")</f>
        <v/>
      </c>
      <c r="I407" s="402"/>
      <c r="J407" s="8"/>
      <c r="K407" s="9"/>
      <c r="L407" s="9"/>
      <c r="M407" s="9"/>
      <c r="N407" s="9"/>
      <c r="O407" s="9"/>
      <c r="P407" s="9"/>
      <c r="Q407" s="9"/>
      <c r="R407" s="9"/>
      <c r="S407" s="9"/>
      <c r="T407" s="9"/>
      <c r="U407" s="9"/>
      <c r="V407" s="9"/>
      <c r="W407" s="9"/>
      <c r="X407" s="9"/>
      <c r="Y407" s="9"/>
      <c r="Z407" s="9"/>
      <c r="AA407" s="9"/>
      <c r="AB407" s="9"/>
      <c r="AC407" s="9"/>
      <c r="AD407" s="9"/>
      <c r="AE407" s="9"/>
      <c r="AF407" s="9"/>
      <c r="AG407" s="9"/>
      <c r="AH407" s="9"/>
      <c r="AI407" s="9"/>
      <c r="AJ407" s="9"/>
      <c r="AK407" s="9"/>
      <c r="AL407" s="9"/>
      <c r="AM407" s="9"/>
      <c r="AN407" s="10"/>
      <c r="AO407" s="65">
        <f t="shared" si="12"/>
        <v>0</v>
      </c>
    </row>
    <row r="408" spans="2:41" s="4" customFormat="1" ht="24" customHeight="1" x14ac:dyDescent="0.2">
      <c r="B408" s="14"/>
      <c r="C408" s="23"/>
      <c r="D408" s="21" t="str">
        <f>IF(ISBLANK(C408), "",
_xlfn.WEBSERVICE(
"https://d16nxf5gxyt1xz.cloudfront.net/Prod/translation?id="
&amp;アカウント情報!$C$2&amp;
"&amp;pwd="
&amp;アカウント情報!$C$3&amp;
"&amp;item="
&amp;_xlfn.ENCODEURL(設定!$F$3)&amp;
"&amp;word="
&amp;_xlfn.ENCODEURL(C408)
)
)</f>
        <v/>
      </c>
      <c r="E408" s="6"/>
      <c r="F408" s="16" t="str">
        <f>IFERROR(VLOOKUP($E408,設定!$C:$F,2,0),"")</f>
        <v/>
      </c>
      <c r="G408" s="156" t="str">
        <f>IFERROR(VLOOKUP($E408,設定!$C:$F,3,0),"")</f>
        <v/>
      </c>
      <c r="H408" s="131" t="str">
        <f>IFERROR(VLOOKUP($E408,設定!$C:$F,4,0),"")</f>
        <v/>
      </c>
      <c r="I408" s="402"/>
      <c r="J408" s="8"/>
      <c r="K408" s="9"/>
      <c r="L408" s="9"/>
      <c r="M408" s="9"/>
      <c r="N408" s="9"/>
      <c r="O408" s="9"/>
      <c r="P408" s="9"/>
      <c r="Q408" s="9"/>
      <c r="R408" s="9"/>
      <c r="S408" s="9"/>
      <c r="T408" s="9"/>
      <c r="U408" s="9"/>
      <c r="V408" s="9"/>
      <c r="W408" s="9"/>
      <c r="X408" s="9"/>
      <c r="Y408" s="9"/>
      <c r="Z408" s="9"/>
      <c r="AA408" s="9"/>
      <c r="AB408" s="9"/>
      <c r="AC408" s="9"/>
      <c r="AD408" s="9"/>
      <c r="AE408" s="9"/>
      <c r="AF408" s="9"/>
      <c r="AG408" s="9"/>
      <c r="AH408" s="9"/>
      <c r="AI408" s="9"/>
      <c r="AJ408" s="9"/>
      <c r="AK408" s="9"/>
      <c r="AL408" s="9"/>
      <c r="AM408" s="9"/>
      <c r="AN408" s="10"/>
      <c r="AO408" s="65">
        <f t="shared" si="12"/>
        <v>0</v>
      </c>
    </row>
    <row r="409" spans="2:41" s="4" customFormat="1" ht="24" customHeight="1" x14ac:dyDescent="0.2">
      <c r="B409" s="14"/>
      <c r="C409" s="23"/>
      <c r="D409" s="21" t="str">
        <f>IF(ISBLANK(C409), "",
_xlfn.WEBSERVICE(
"https://d16nxf5gxyt1xz.cloudfront.net/Prod/translation?id="
&amp;アカウント情報!$C$2&amp;
"&amp;pwd="
&amp;アカウント情報!$C$3&amp;
"&amp;item="
&amp;_xlfn.ENCODEURL(設定!$F$3)&amp;
"&amp;word="
&amp;_xlfn.ENCODEURL(C409)
)
)</f>
        <v/>
      </c>
      <c r="E409" s="6"/>
      <c r="F409" s="16" t="str">
        <f>IFERROR(VLOOKUP($E409,設定!$C:$F,2,0),"")</f>
        <v/>
      </c>
      <c r="G409" s="156" t="str">
        <f>IFERROR(VLOOKUP($E409,設定!$C:$F,3,0),"")</f>
        <v/>
      </c>
      <c r="H409" s="131" t="str">
        <f>IFERROR(VLOOKUP($E409,設定!$C:$F,4,0),"")</f>
        <v/>
      </c>
      <c r="I409" s="402"/>
      <c r="J409" s="8"/>
      <c r="K409" s="9"/>
      <c r="L409" s="9"/>
      <c r="M409" s="9"/>
      <c r="N409" s="9"/>
      <c r="O409" s="9"/>
      <c r="P409" s="9"/>
      <c r="Q409" s="9"/>
      <c r="R409" s="9"/>
      <c r="S409" s="9"/>
      <c r="T409" s="9"/>
      <c r="U409" s="9"/>
      <c r="V409" s="9"/>
      <c r="W409" s="9"/>
      <c r="X409" s="9"/>
      <c r="Y409" s="9"/>
      <c r="Z409" s="9"/>
      <c r="AA409" s="9"/>
      <c r="AB409" s="9"/>
      <c r="AC409" s="9"/>
      <c r="AD409" s="9"/>
      <c r="AE409" s="9"/>
      <c r="AF409" s="9"/>
      <c r="AG409" s="9"/>
      <c r="AH409" s="9"/>
      <c r="AI409" s="9"/>
      <c r="AJ409" s="9"/>
      <c r="AK409" s="9"/>
      <c r="AL409" s="9"/>
      <c r="AM409" s="9"/>
      <c r="AN409" s="10"/>
      <c r="AO409" s="65">
        <f t="shared" si="12"/>
        <v>0</v>
      </c>
    </row>
    <row r="410" spans="2:41" s="4" customFormat="1" ht="24" customHeight="1" x14ac:dyDescent="0.2">
      <c r="B410" s="14"/>
      <c r="C410" s="23"/>
      <c r="D410" s="21" t="str">
        <f>IF(ISBLANK(C410), "",
_xlfn.WEBSERVICE(
"https://d16nxf5gxyt1xz.cloudfront.net/Prod/translation?id="
&amp;アカウント情報!$C$2&amp;
"&amp;pwd="
&amp;アカウント情報!$C$3&amp;
"&amp;item="
&amp;_xlfn.ENCODEURL(設定!$F$3)&amp;
"&amp;word="
&amp;_xlfn.ENCODEURL(C410)
)
)</f>
        <v/>
      </c>
      <c r="E410" s="6"/>
      <c r="F410" s="16" t="str">
        <f>IFERROR(VLOOKUP($E410,設定!$C:$F,2,0),"")</f>
        <v/>
      </c>
      <c r="G410" s="156" t="str">
        <f>IFERROR(VLOOKUP($E410,設定!$C:$F,3,0),"")</f>
        <v/>
      </c>
      <c r="H410" s="131" t="str">
        <f>IFERROR(VLOOKUP($E410,設定!$C:$F,4,0),"")</f>
        <v/>
      </c>
      <c r="I410" s="402"/>
      <c r="J410" s="8"/>
      <c r="K410" s="9"/>
      <c r="L410" s="9"/>
      <c r="M410" s="9"/>
      <c r="N410" s="9"/>
      <c r="O410" s="9"/>
      <c r="P410" s="9"/>
      <c r="Q410" s="9"/>
      <c r="R410" s="9"/>
      <c r="S410" s="9"/>
      <c r="T410" s="9"/>
      <c r="U410" s="9"/>
      <c r="V410" s="9"/>
      <c r="W410" s="9"/>
      <c r="X410" s="9"/>
      <c r="Y410" s="9"/>
      <c r="Z410" s="9"/>
      <c r="AA410" s="9"/>
      <c r="AB410" s="9"/>
      <c r="AC410" s="9"/>
      <c r="AD410" s="9"/>
      <c r="AE410" s="9"/>
      <c r="AF410" s="9"/>
      <c r="AG410" s="9"/>
      <c r="AH410" s="9"/>
      <c r="AI410" s="9"/>
      <c r="AJ410" s="9"/>
      <c r="AK410" s="9"/>
      <c r="AL410" s="9"/>
      <c r="AM410" s="9"/>
      <c r="AN410" s="10"/>
      <c r="AO410" s="65">
        <f t="shared" si="12"/>
        <v>0</v>
      </c>
    </row>
    <row r="411" spans="2:41" s="4" customFormat="1" ht="24" customHeight="1" x14ac:dyDescent="0.2">
      <c r="B411" s="14"/>
      <c r="C411" s="23"/>
      <c r="D411" s="21" t="str">
        <f>IF(ISBLANK(C411), "",
_xlfn.WEBSERVICE(
"https://d16nxf5gxyt1xz.cloudfront.net/Prod/translation?id="
&amp;アカウント情報!$C$2&amp;
"&amp;pwd="
&amp;アカウント情報!$C$3&amp;
"&amp;item="
&amp;_xlfn.ENCODEURL(設定!$F$3)&amp;
"&amp;word="
&amp;_xlfn.ENCODEURL(C411)
)
)</f>
        <v/>
      </c>
      <c r="E411" s="6"/>
      <c r="F411" s="16" t="str">
        <f>IFERROR(VLOOKUP($E411,設定!$C:$F,2,0),"")</f>
        <v/>
      </c>
      <c r="G411" s="156" t="str">
        <f>IFERROR(VLOOKUP($E411,設定!$C:$F,3,0),"")</f>
        <v/>
      </c>
      <c r="H411" s="131" t="str">
        <f>IFERROR(VLOOKUP($E411,設定!$C:$F,4,0),"")</f>
        <v/>
      </c>
      <c r="I411" s="402"/>
      <c r="J411" s="8"/>
      <c r="K411" s="9"/>
      <c r="L411" s="9"/>
      <c r="M411" s="9"/>
      <c r="N411" s="9"/>
      <c r="O411" s="9"/>
      <c r="P411" s="9"/>
      <c r="Q411" s="9"/>
      <c r="R411" s="9"/>
      <c r="S411" s="9"/>
      <c r="T411" s="9"/>
      <c r="U411" s="9"/>
      <c r="V411" s="9"/>
      <c r="W411" s="9"/>
      <c r="X411" s="9"/>
      <c r="Y411" s="9"/>
      <c r="Z411" s="9"/>
      <c r="AA411" s="9"/>
      <c r="AB411" s="9"/>
      <c r="AC411" s="9"/>
      <c r="AD411" s="9"/>
      <c r="AE411" s="9"/>
      <c r="AF411" s="9"/>
      <c r="AG411" s="9"/>
      <c r="AH411" s="9"/>
      <c r="AI411" s="9"/>
      <c r="AJ411" s="9"/>
      <c r="AK411" s="9"/>
      <c r="AL411" s="9"/>
      <c r="AM411" s="9"/>
      <c r="AN411" s="10"/>
      <c r="AO411" s="65">
        <f t="shared" si="12"/>
        <v>0</v>
      </c>
    </row>
    <row r="412" spans="2:41" s="4" customFormat="1" ht="24" customHeight="1" x14ac:dyDescent="0.2">
      <c r="B412" s="14"/>
      <c r="C412" s="23"/>
      <c r="D412" s="21" t="str">
        <f>IF(ISBLANK(C412), "",
_xlfn.WEBSERVICE(
"https://d16nxf5gxyt1xz.cloudfront.net/Prod/translation?id="
&amp;アカウント情報!$C$2&amp;
"&amp;pwd="
&amp;アカウント情報!$C$3&amp;
"&amp;item="
&amp;_xlfn.ENCODEURL(設定!$F$3)&amp;
"&amp;word="
&amp;_xlfn.ENCODEURL(C412)
)
)</f>
        <v/>
      </c>
      <c r="E412" s="6"/>
      <c r="F412" s="16" t="str">
        <f>IFERROR(VLOOKUP($E412,設定!$C:$F,2,0),"")</f>
        <v/>
      </c>
      <c r="G412" s="156" t="str">
        <f>IFERROR(VLOOKUP($E412,設定!$C:$F,3,0),"")</f>
        <v/>
      </c>
      <c r="H412" s="131" t="str">
        <f>IFERROR(VLOOKUP($E412,設定!$C:$F,4,0),"")</f>
        <v/>
      </c>
      <c r="I412" s="402"/>
      <c r="J412" s="8"/>
      <c r="K412" s="9"/>
      <c r="L412" s="9"/>
      <c r="M412" s="9"/>
      <c r="N412" s="9"/>
      <c r="O412" s="9"/>
      <c r="P412" s="9"/>
      <c r="Q412" s="9"/>
      <c r="R412" s="9"/>
      <c r="S412" s="9"/>
      <c r="T412" s="9"/>
      <c r="U412" s="9"/>
      <c r="V412" s="9"/>
      <c r="W412" s="9"/>
      <c r="X412" s="9"/>
      <c r="Y412" s="9"/>
      <c r="Z412" s="9"/>
      <c r="AA412" s="9"/>
      <c r="AB412" s="9"/>
      <c r="AC412" s="9"/>
      <c r="AD412" s="9"/>
      <c r="AE412" s="9"/>
      <c r="AF412" s="9"/>
      <c r="AG412" s="9"/>
      <c r="AH412" s="9"/>
      <c r="AI412" s="9"/>
      <c r="AJ412" s="9"/>
      <c r="AK412" s="9"/>
      <c r="AL412" s="9"/>
      <c r="AM412" s="9"/>
      <c r="AN412" s="10"/>
      <c r="AO412" s="65">
        <f t="shared" si="12"/>
        <v>0</v>
      </c>
    </row>
    <row r="413" spans="2:41" s="4" customFormat="1" ht="24" customHeight="1" x14ac:dyDescent="0.2">
      <c r="B413" s="14"/>
      <c r="C413" s="23"/>
      <c r="D413" s="21" t="str">
        <f>IF(ISBLANK(C413), "",
_xlfn.WEBSERVICE(
"https://d16nxf5gxyt1xz.cloudfront.net/Prod/translation?id="
&amp;アカウント情報!$C$2&amp;
"&amp;pwd="
&amp;アカウント情報!$C$3&amp;
"&amp;item="
&amp;_xlfn.ENCODEURL(設定!$F$3)&amp;
"&amp;word="
&amp;_xlfn.ENCODEURL(C413)
)
)</f>
        <v/>
      </c>
      <c r="E413" s="6"/>
      <c r="F413" s="16" t="str">
        <f>IFERROR(VLOOKUP($E413,設定!$C:$F,2,0),"")</f>
        <v/>
      </c>
      <c r="G413" s="156" t="str">
        <f>IFERROR(VLOOKUP($E413,設定!$C:$F,3,0),"")</f>
        <v/>
      </c>
      <c r="H413" s="131" t="str">
        <f>IFERROR(VLOOKUP($E413,設定!$C:$F,4,0),"")</f>
        <v/>
      </c>
      <c r="I413" s="402"/>
      <c r="J413" s="8"/>
      <c r="K413" s="9"/>
      <c r="L413" s="9"/>
      <c r="M413" s="9"/>
      <c r="N413" s="9"/>
      <c r="O413" s="9"/>
      <c r="P413" s="9"/>
      <c r="Q413" s="9"/>
      <c r="R413" s="9"/>
      <c r="S413" s="9"/>
      <c r="T413" s="9"/>
      <c r="U413" s="9"/>
      <c r="V413" s="9"/>
      <c r="W413" s="9"/>
      <c r="X413" s="9"/>
      <c r="Y413" s="9"/>
      <c r="Z413" s="9"/>
      <c r="AA413" s="9"/>
      <c r="AB413" s="9"/>
      <c r="AC413" s="9"/>
      <c r="AD413" s="9"/>
      <c r="AE413" s="9"/>
      <c r="AF413" s="9"/>
      <c r="AG413" s="9"/>
      <c r="AH413" s="9"/>
      <c r="AI413" s="9"/>
      <c r="AJ413" s="9"/>
      <c r="AK413" s="9"/>
      <c r="AL413" s="9"/>
      <c r="AM413" s="9"/>
      <c r="AN413" s="10"/>
      <c r="AO413" s="65">
        <f t="shared" si="12"/>
        <v>0</v>
      </c>
    </row>
    <row r="414" spans="2:41" s="4" customFormat="1" ht="24" customHeight="1" x14ac:dyDescent="0.2">
      <c r="B414" s="14"/>
      <c r="C414" s="23"/>
      <c r="D414" s="21" t="str">
        <f>IF(ISBLANK(C414), "",
_xlfn.WEBSERVICE(
"https://d16nxf5gxyt1xz.cloudfront.net/Prod/translation?id="
&amp;アカウント情報!$C$2&amp;
"&amp;pwd="
&amp;アカウント情報!$C$3&amp;
"&amp;item="
&amp;_xlfn.ENCODEURL(設定!$F$3)&amp;
"&amp;word="
&amp;_xlfn.ENCODEURL(C414)
)
)</f>
        <v/>
      </c>
      <c r="E414" s="6"/>
      <c r="F414" s="16" t="str">
        <f>IFERROR(VLOOKUP($E414,設定!$C:$F,2,0),"")</f>
        <v/>
      </c>
      <c r="G414" s="156" t="str">
        <f>IFERROR(VLOOKUP($E414,設定!$C:$F,3,0),"")</f>
        <v/>
      </c>
      <c r="H414" s="131" t="str">
        <f>IFERROR(VLOOKUP($E414,設定!$C:$F,4,0),"")</f>
        <v/>
      </c>
      <c r="I414" s="402"/>
      <c r="J414" s="8"/>
      <c r="K414" s="9"/>
      <c r="L414" s="9"/>
      <c r="M414" s="9"/>
      <c r="N414" s="9"/>
      <c r="O414" s="9"/>
      <c r="P414" s="9"/>
      <c r="Q414" s="9"/>
      <c r="R414" s="9"/>
      <c r="S414" s="9"/>
      <c r="T414" s="9"/>
      <c r="U414" s="9"/>
      <c r="V414" s="9"/>
      <c r="W414" s="9"/>
      <c r="X414" s="9"/>
      <c r="Y414" s="9"/>
      <c r="Z414" s="9"/>
      <c r="AA414" s="9"/>
      <c r="AB414" s="9"/>
      <c r="AC414" s="9"/>
      <c r="AD414" s="9"/>
      <c r="AE414" s="9"/>
      <c r="AF414" s="9"/>
      <c r="AG414" s="9"/>
      <c r="AH414" s="9"/>
      <c r="AI414" s="9"/>
      <c r="AJ414" s="9"/>
      <c r="AK414" s="9"/>
      <c r="AL414" s="9"/>
      <c r="AM414" s="9"/>
      <c r="AN414" s="10"/>
      <c r="AO414" s="65">
        <f t="shared" si="12"/>
        <v>0</v>
      </c>
    </row>
    <row r="415" spans="2:41" s="4" customFormat="1" ht="24" customHeight="1" x14ac:dyDescent="0.2">
      <c r="B415" s="14"/>
      <c r="C415" s="23"/>
      <c r="D415" s="21" t="str">
        <f>IF(ISBLANK(C415), "",
_xlfn.WEBSERVICE(
"https://d16nxf5gxyt1xz.cloudfront.net/Prod/translation?id="
&amp;アカウント情報!$C$2&amp;
"&amp;pwd="
&amp;アカウント情報!$C$3&amp;
"&amp;item="
&amp;_xlfn.ENCODEURL(設定!$F$3)&amp;
"&amp;word="
&amp;_xlfn.ENCODEURL(C415)
)
)</f>
        <v/>
      </c>
      <c r="E415" s="6"/>
      <c r="F415" s="16" t="str">
        <f>IFERROR(VLOOKUP($E415,設定!$C:$F,2,0),"")</f>
        <v/>
      </c>
      <c r="G415" s="156" t="str">
        <f>IFERROR(VLOOKUP($E415,設定!$C:$F,3,0),"")</f>
        <v/>
      </c>
      <c r="H415" s="131" t="str">
        <f>IFERROR(VLOOKUP($E415,設定!$C:$F,4,0),"")</f>
        <v/>
      </c>
      <c r="I415" s="402"/>
      <c r="J415" s="8"/>
      <c r="K415" s="9"/>
      <c r="L415" s="9"/>
      <c r="M415" s="9"/>
      <c r="N415" s="9"/>
      <c r="O415" s="9"/>
      <c r="P415" s="9"/>
      <c r="Q415" s="9"/>
      <c r="R415" s="9"/>
      <c r="S415" s="9"/>
      <c r="T415" s="9"/>
      <c r="U415" s="9"/>
      <c r="V415" s="9"/>
      <c r="W415" s="9"/>
      <c r="X415" s="9"/>
      <c r="Y415" s="9"/>
      <c r="Z415" s="9"/>
      <c r="AA415" s="9"/>
      <c r="AB415" s="9"/>
      <c r="AC415" s="9"/>
      <c r="AD415" s="9"/>
      <c r="AE415" s="9"/>
      <c r="AF415" s="9"/>
      <c r="AG415" s="9"/>
      <c r="AH415" s="9"/>
      <c r="AI415" s="9"/>
      <c r="AJ415" s="9"/>
      <c r="AK415" s="9"/>
      <c r="AL415" s="9"/>
      <c r="AM415" s="9"/>
      <c r="AN415" s="10"/>
      <c r="AO415" s="65">
        <f t="shared" si="12"/>
        <v>0</v>
      </c>
    </row>
    <row r="416" spans="2:41" s="4" customFormat="1" ht="24" customHeight="1" x14ac:dyDescent="0.2">
      <c r="B416" s="14"/>
      <c r="C416" s="23"/>
      <c r="D416" s="21" t="str">
        <f>IF(ISBLANK(C416), "",
_xlfn.WEBSERVICE(
"https://d16nxf5gxyt1xz.cloudfront.net/Prod/translation?id="
&amp;アカウント情報!$C$2&amp;
"&amp;pwd="
&amp;アカウント情報!$C$3&amp;
"&amp;item="
&amp;_xlfn.ENCODEURL(設定!$F$3)&amp;
"&amp;word="
&amp;_xlfn.ENCODEURL(C416)
)
)</f>
        <v/>
      </c>
      <c r="E416" s="6"/>
      <c r="F416" s="16" t="str">
        <f>IFERROR(VLOOKUP($E416,設定!$C:$F,2,0),"")</f>
        <v/>
      </c>
      <c r="G416" s="156" t="str">
        <f>IFERROR(VLOOKUP($E416,設定!$C:$F,3,0),"")</f>
        <v/>
      </c>
      <c r="H416" s="131" t="str">
        <f>IFERROR(VLOOKUP($E416,設定!$C:$F,4,0),"")</f>
        <v/>
      </c>
      <c r="I416" s="402"/>
      <c r="J416" s="8"/>
      <c r="K416" s="9"/>
      <c r="L416" s="9"/>
      <c r="M416" s="9"/>
      <c r="N416" s="9"/>
      <c r="O416" s="9"/>
      <c r="P416" s="9"/>
      <c r="Q416" s="9"/>
      <c r="R416" s="9"/>
      <c r="S416" s="9"/>
      <c r="T416" s="9"/>
      <c r="U416" s="9"/>
      <c r="V416" s="9"/>
      <c r="W416" s="9"/>
      <c r="X416" s="9"/>
      <c r="Y416" s="9"/>
      <c r="Z416" s="9"/>
      <c r="AA416" s="9"/>
      <c r="AB416" s="9"/>
      <c r="AC416" s="9"/>
      <c r="AD416" s="9"/>
      <c r="AE416" s="9"/>
      <c r="AF416" s="9"/>
      <c r="AG416" s="9"/>
      <c r="AH416" s="9"/>
      <c r="AI416" s="9"/>
      <c r="AJ416" s="9"/>
      <c r="AK416" s="9"/>
      <c r="AL416" s="9"/>
      <c r="AM416" s="9"/>
      <c r="AN416" s="10"/>
      <c r="AO416" s="65">
        <f t="shared" si="12"/>
        <v>0</v>
      </c>
    </row>
    <row r="417" spans="2:41" s="4" customFormat="1" ht="24" customHeight="1" x14ac:dyDescent="0.2">
      <c r="B417" s="14"/>
      <c r="C417" s="23"/>
      <c r="D417" s="21" t="str">
        <f>IF(ISBLANK(C417), "",
_xlfn.WEBSERVICE(
"https://d16nxf5gxyt1xz.cloudfront.net/Prod/translation?id="
&amp;アカウント情報!$C$2&amp;
"&amp;pwd="
&amp;アカウント情報!$C$3&amp;
"&amp;item="
&amp;_xlfn.ENCODEURL(設定!$F$3)&amp;
"&amp;word="
&amp;_xlfn.ENCODEURL(C417)
)
)</f>
        <v/>
      </c>
      <c r="E417" s="6"/>
      <c r="F417" s="16" t="str">
        <f>IFERROR(VLOOKUP($E417,設定!$C:$F,2,0),"")</f>
        <v/>
      </c>
      <c r="G417" s="156" t="str">
        <f>IFERROR(VLOOKUP($E417,設定!$C:$F,3,0),"")</f>
        <v/>
      </c>
      <c r="H417" s="131" t="str">
        <f>IFERROR(VLOOKUP($E417,設定!$C:$F,4,0),"")</f>
        <v/>
      </c>
      <c r="I417" s="402"/>
      <c r="J417" s="8"/>
      <c r="K417" s="9"/>
      <c r="L417" s="9"/>
      <c r="M417" s="9"/>
      <c r="N417" s="9"/>
      <c r="O417" s="9"/>
      <c r="P417" s="9"/>
      <c r="Q417" s="9"/>
      <c r="R417" s="9"/>
      <c r="S417" s="9"/>
      <c r="T417" s="9"/>
      <c r="U417" s="9"/>
      <c r="V417" s="9"/>
      <c r="W417" s="9"/>
      <c r="X417" s="9"/>
      <c r="Y417" s="9"/>
      <c r="Z417" s="9"/>
      <c r="AA417" s="9"/>
      <c r="AB417" s="9"/>
      <c r="AC417" s="9"/>
      <c r="AD417" s="9"/>
      <c r="AE417" s="9"/>
      <c r="AF417" s="9"/>
      <c r="AG417" s="9"/>
      <c r="AH417" s="9"/>
      <c r="AI417" s="9"/>
      <c r="AJ417" s="9"/>
      <c r="AK417" s="9"/>
      <c r="AL417" s="9"/>
      <c r="AM417" s="9"/>
      <c r="AN417" s="10"/>
      <c r="AO417" s="65">
        <f t="shared" si="12"/>
        <v>0</v>
      </c>
    </row>
    <row r="418" spans="2:41" s="4" customFormat="1" ht="24" customHeight="1" x14ac:dyDescent="0.2">
      <c r="B418" s="14"/>
      <c r="C418" s="23"/>
      <c r="D418" s="21" t="str">
        <f>IF(ISBLANK(C418), "",
_xlfn.WEBSERVICE(
"https://d16nxf5gxyt1xz.cloudfront.net/Prod/translation?id="
&amp;アカウント情報!$C$2&amp;
"&amp;pwd="
&amp;アカウント情報!$C$3&amp;
"&amp;item="
&amp;_xlfn.ENCODEURL(設定!$F$3)&amp;
"&amp;word="
&amp;_xlfn.ENCODEURL(C418)
)
)</f>
        <v/>
      </c>
      <c r="E418" s="6"/>
      <c r="F418" s="16" t="str">
        <f>IFERROR(VLOOKUP($E418,設定!$C:$F,2,0),"")</f>
        <v/>
      </c>
      <c r="G418" s="156" t="str">
        <f>IFERROR(VLOOKUP($E418,設定!$C:$F,3,0),"")</f>
        <v/>
      </c>
      <c r="H418" s="131" t="str">
        <f>IFERROR(VLOOKUP($E418,設定!$C:$F,4,0),"")</f>
        <v/>
      </c>
      <c r="I418" s="402"/>
      <c r="J418" s="8"/>
      <c r="K418" s="9"/>
      <c r="L418" s="9"/>
      <c r="M418" s="9"/>
      <c r="N418" s="9"/>
      <c r="O418" s="9"/>
      <c r="P418" s="9"/>
      <c r="Q418" s="9"/>
      <c r="R418" s="9"/>
      <c r="S418" s="9"/>
      <c r="T418" s="9"/>
      <c r="U418" s="9"/>
      <c r="V418" s="9"/>
      <c r="W418" s="9"/>
      <c r="X418" s="9"/>
      <c r="Y418" s="9"/>
      <c r="Z418" s="9"/>
      <c r="AA418" s="9"/>
      <c r="AB418" s="9"/>
      <c r="AC418" s="9"/>
      <c r="AD418" s="9"/>
      <c r="AE418" s="9"/>
      <c r="AF418" s="9"/>
      <c r="AG418" s="9"/>
      <c r="AH418" s="9"/>
      <c r="AI418" s="9"/>
      <c r="AJ418" s="9"/>
      <c r="AK418" s="9"/>
      <c r="AL418" s="9"/>
      <c r="AM418" s="9"/>
      <c r="AN418" s="10"/>
      <c r="AO418" s="65">
        <f t="shared" si="12"/>
        <v>0</v>
      </c>
    </row>
    <row r="419" spans="2:41" s="4" customFormat="1" ht="24" customHeight="1" x14ac:dyDescent="0.2">
      <c r="B419" s="14"/>
      <c r="C419" s="23"/>
      <c r="D419" s="21" t="str">
        <f>IF(ISBLANK(C419), "",
_xlfn.WEBSERVICE(
"https://d16nxf5gxyt1xz.cloudfront.net/Prod/translation?id="
&amp;アカウント情報!$C$2&amp;
"&amp;pwd="
&amp;アカウント情報!$C$3&amp;
"&amp;item="
&amp;_xlfn.ENCODEURL(設定!$F$3)&amp;
"&amp;word="
&amp;_xlfn.ENCODEURL(C419)
)
)</f>
        <v/>
      </c>
      <c r="E419" s="6"/>
      <c r="F419" s="16" t="str">
        <f>IFERROR(VLOOKUP($E419,設定!$C:$F,2,0),"")</f>
        <v/>
      </c>
      <c r="G419" s="156" t="str">
        <f>IFERROR(VLOOKUP($E419,設定!$C:$F,3,0),"")</f>
        <v/>
      </c>
      <c r="H419" s="131" t="str">
        <f>IFERROR(VLOOKUP($E419,設定!$C:$F,4,0),"")</f>
        <v/>
      </c>
      <c r="I419" s="402"/>
      <c r="J419" s="8"/>
      <c r="K419" s="9"/>
      <c r="L419" s="9"/>
      <c r="M419" s="9"/>
      <c r="N419" s="9"/>
      <c r="O419" s="9"/>
      <c r="P419" s="9"/>
      <c r="Q419" s="9"/>
      <c r="R419" s="9"/>
      <c r="S419" s="9"/>
      <c r="T419" s="9"/>
      <c r="U419" s="9"/>
      <c r="V419" s="9"/>
      <c r="W419" s="9"/>
      <c r="X419" s="9"/>
      <c r="Y419" s="9"/>
      <c r="Z419" s="9"/>
      <c r="AA419" s="9"/>
      <c r="AB419" s="9"/>
      <c r="AC419" s="9"/>
      <c r="AD419" s="9"/>
      <c r="AE419" s="9"/>
      <c r="AF419" s="9"/>
      <c r="AG419" s="9"/>
      <c r="AH419" s="9"/>
      <c r="AI419" s="9"/>
      <c r="AJ419" s="9"/>
      <c r="AK419" s="9"/>
      <c r="AL419" s="9"/>
      <c r="AM419" s="9"/>
      <c r="AN419" s="10"/>
      <c r="AO419" s="65">
        <f t="shared" si="12"/>
        <v>0</v>
      </c>
    </row>
    <row r="420" spans="2:41" s="4" customFormat="1" ht="24" customHeight="1" x14ac:dyDescent="0.2">
      <c r="B420" s="14"/>
      <c r="C420" s="23"/>
      <c r="D420" s="21" t="str">
        <f>IF(ISBLANK(C420), "",
_xlfn.WEBSERVICE(
"https://d16nxf5gxyt1xz.cloudfront.net/Prod/translation?id="
&amp;アカウント情報!$C$2&amp;
"&amp;pwd="
&amp;アカウント情報!$C$3&amp;
"&amp;item="
&amp;_xlfn.ENCODEURL(設定!$F$3)&amp;
"&amp;word="
&amp;_xlfn.ENCODEURL(C420)
)
)</f>
        <v/>
      </c>
      <c r="E420" s="6"/>
      <c r="F420" s="16" t="str">
        <f>IFERROR(VLOOKUP($E420,設定!$C:$F,2,0),"")</f>
        <v/>
      </c>
      <c r="G420" s="156" t="str">
        <f>IFERROR(VLOOKUP($E420,設定!$C:$F,3,0),"")</f>
        <v/>
      </c>
      <c r="H420" s="131" t="str">
        <f>IFERROR(VLOOKUP($E420,設定!$C:$F,4,0),"")</f>
        <v/>
      </c>
      <c r="I420" s="402"/>
      <c r="J420" s="8"/>
      <c r="K420" s="9"/>
      <c r="L420" s="9"/>
      <c r="M420" s="9"/>
      <c r="N420" s="9"/>
      <c r="O420" s="9"/>
      <c r="P420" s="9"/>
      <c r="Q420" s="9"/>
      <c r="R420" s="9"/>
      <c r="S420" s="9"/>
      <c r="T420" s="9"/>
      <c r="U420" s="9"/>
      <c r="V420" s="9"/>
      <c r="W420" s="9"/>
      <c r="X420" s="9"/>
      <c r="Y420" s="9"/>
      <c r="Z420" s="9"/>
      <c r="AA420" s="9"/>
      <c r="AB420" s="9"/>
      <c r="AC420" s="9"/>
      <c r="AD420" s="9"/>
      <c r="AE420" s="9"/>
      <c r="AF420" s="9"/>
      <c r="AG420" s="9"/>
      <c r="AH420" s="9"/>
      <c r="AI420" s="9"/>
      <c r="AJ420" s="9"/>
      <c r="AK420" s="9"/>
      <c r="AL420" s="9"/>
      <c r="AM420" s="9"/>
      <c r="AN420" s="10"/>
      <c r="AO420" s="65">
        <f t="shared" si="12"/>
        <v>0</v>
      </c>
    </row>
    <row r="421" spans="2:41" s="4" customFormat="1" ht="24" customHeight="1" x14ac:dyDescent="0.2">
      <c r="B421" s="14"/>
      <c r="C421" s="23"/>
      <c r="D421" s="21" t="str">
        <f>IF(ISBLANK(C421), "",
_xlfn.WEBSERVICE(
"https://d16nxf5gxyt1xz.cloudfront.net/Prod/translation?id="
&amp;アカウント情報!$C$2&amp;
"&amp;pwd="
&amp;アカウント情報!$C$3&amp;
"&amp;item="
&amp;_xlfn.ENCODEURL(設定!$F$3)&amp;
"&amp;word="
&amp;_xlfn.ENCODEURL(C421)
)
)</f>
        <v/>
      </c>
      <c r="E421" s="6"/>
      <c r="F421" s="16" t="str">
        <f>IFERROR(VLOOKUP($E421,設定!$C:$F,2,0),"")</f>
        <v/>
      </c>
      <c r="G421" s="156" t="str">
        <f>IFERROR(VLOOKUP($E421,設定!$C:$F,3,0),"")</f>
        <v/>
      </c>
      <c r="H421" s="131" t="str">
        <f>IFERROR(VLOOKUP($E421,設定!$C:$F,4,0),"")</f>
        <v/>
      </c>
      <c r="I421" s="402"/>
      <c r="J421" s="8"/>
      <c r="K421" s="9"/>
      <c r="L421" s="9"/>
      <c r="M421" s="9"/>
      <c r="N421" s="9"/>
      <c r="O421" s="9"/>
      <c r="P421" s="9"/>
      <c r="Q421" s="9"/>
      <c r="R421" s="9"/>
      <c r="S421" s="9"/>
      <c r="T421" s="9"/>
      <c r="U421" s="9"/>
      <c r="V421" s="9"/>
      <c r="W421" s="9"/>
      <c r="X421" s="9"/>
      <c r="Y421" s="9"/>
      <c r="Z421" s="9"/>
      <c r="AA421" s="9"/>
      <c r="AB421" s="9"/>
      <c r="AC421" s="9"/>
      <c r="AD421" s="9"/>
      <c r="AE421" s="9"/>
      <c r="AF421" s="9"/>
      <c r="AG421" s="9"/>
      <c r="AH421" s="9"/>
      <c r="AI421" s="9"/>
      <c r="AJ421" s="9"/>
      <c r="AK421" s="9"/>
      <c r="AL421" s="9"/>
      <c r="AM421" s="9"/>
      <c r="AN421" s="10"/>
      <c r="AO421" s="65">
        <f t="shared" si="12"/>
        <v>0</v>
      </c>
    </row>
    <row r="422" spans="2:41" s="4" customFormat="1" ht="24" customHeight="1" x14ac:dyDescent="0.2">
      <c r="B422" s="14"/>
      <c r="C422" s="23"/>
      <c r="D422" s="21" t="str">
        <f>IF(ISBLANK(C422), "",
_xlfn.WEBSERVICE(
"https://d16nxf5gxyt1xz.cloudfront.net/Prod/translation?id="
&amp;アカウント情報!$C$2&amp;
"&amp;pwd="
&amp;アカウント情報!$C$3&amp;
"&amp;item="
&amp;_xlfn.ENCODEURL(設定!$F$3)&amp;
"&amp;word="
&amp;_xlfn.ENCODEURL(C422)
)
)</f>
        <v/>
      </c>
      <c r="E422" s="6"/>
      <c r="F422" s="16" t="str">
        <f>IFERROR(VLOOKUP($E422,設定!$C:$F,2,0),"")</f>
        <v/>
      </c>
      <c r="G422" s="156" t="str">
        <f>IFERROR(VLOOKUP($E422,設定!$C:$F,3,0),"")</f>
        <v/>
      </c>
      <c r="H422" s="131" t="str">
        <f>IFERROR(VLOOKUP($E422,設定!$C:$F,4,0),"")</f>
        <v/>
      </c>
      <c r="I422" s="402"/>
      <c r="J422" s="8"/>
      <c r="K422" s="9"/>
      <c r="L422" s="9"/>
      <c r="M422" s="9"/>
      <c r="N422" s="9"/>
      <c r="O422" s="9"/>
      <c r="P422" s="9"/>
      <c r="Q422" s="9"/>
      <c r="R422" s="9"/>
      <c r="S422" s="9"/>
      <c r="T422" s="9"/>
      <c r="U422" s="9"/>
      <c r="V422" s="9"/>
      <c r="W422" s="9"/>
      <c r="X422" s="9"/>
      <c r="Y422" s="9"/>
      <c r="Z422" s="9"/>
      <c r="AA422" s="9"/>
      <c r="AB422" s="9"/>
      <c r="AC422" s="9"/>
      <c r="AD422" s="9"/>
      <c r="AE422" s="9"/>
      <c r="AF422" s="9"/>
      <c r="AG422" s="9"/>
      <c r="AH422" s="9"/>
      <c r="AI422" s="9"/>
      <c r="AJ422" s="9"/>
      <c r="AK422" s="9"/>
      <c r="AL422" s="9"/>
      <c r="AM422" s="9"/>
      <c r="AN422" s="10"/>
      <c r="AO422" s="65">
        <f t="shared" si="12"/>
        <v>0</v>
      </c>
    </row>
    <row r="423" spans="2:41" s="4" customFormat="1" ht="24" customHeight="1" x14ac:dyDescent="0.2">
      <c r="B423" s="14"/>
      <c r="C423" s="23"/>
      <c r="D423" s="21" t="str">
        <f>IF(ISBLANK(C423), "",
_xlfn.WEBSERVICE(
"https://d16nxf5gxyt1xz.cloudfront.net/Prod/translation?id="
&amp;アカウント情報!$C$2&amp;
"&amp;pwd="
&amp;アカウント情報!$C$3&amp;
"&amp;item="
&amp;_xlfn.ENCODEURL(設定!$F$3)&amp;
"&amp;word="
&amp;_xlfn.ENCODEURL(C423)
)
)</f>
        <v/>
      </c>
      <c r="E423" s="6"/>
      <c r="F423" s="16" t="str">
        <f>IFERROR(VLOOKUP($E423,設定!$C:$F,2,0),"")</f>
        <v/>
      </c>
      <c r="G423" s="156" t="str">
        <f>IFERROR(VLOOKUP($E423,設定!$C:$F,3,0),"")</f>
        <v/>
      </c>
      <c r="H423" s="131" t="str">
        <f>IFERROR(VLOOKUP($E423,設定!$C:$F,4,0),"")</f>
        <v/>
      </c>
      <c r="I423" s="402"/>
      <c r="J423" s="8"/>
      <c r="K423" s="9"/>
      <c r="L423" s="9"/>
      <c r="M423" s="9"/>
      <c r="N423" s="9"/>
      <c r="O423" s="9"/>
      <c r="P423" s="9"/>
      <c r="Q423" s="9"/>
      <c r="R423" s="9"/>
      <c r="S423" s="9"/>
      <c r="T423" s="9"/>
      <c r="U423" s="9"/>
      <c r="V423" s="9"/>
      <c r="W423" s="9"/>
      <c r="X423" s="9"/>
      <c r="Y423" s="9"/>
      <c r="Z423" s="9"/>
      <c r="AA423" s="9"/>
      <c r="AB423" s="9"/>
      <c r="AC423" s="9"/>
      <c r="AD423" s="9"/>
      <c r="AE423" s="9"/>
      <c r="AF423" s="9"/>
      <c r="AG423" s="9"/>
      <c r="AH423" s="9"/>
      <c r="AI423" s="9"/>
      <c r="AJ423" s="9"/>
      <c r="AK423" s="9"/>
      <c r="AL423" s="9"/>
      <c r="AM423" s="9"/>
      <c r="AN423" s="10"/>
      <c r="AO423" s="65">
        <f t="shared" si="12"/>
        <v>0</v>
      </c>
    </row>
    <row r="424" spans="2:41" s="4" customFormat="1" ht="24" customHeight="1" x14ac:dyDescent="0.2">
      <c r="B424" s="14"/>
      <c r="C424" s="23"/>
      <c r="D424" s="21" t="str">
        <f>IF(ISBLANK(C424), "",
_xlfn.WEBSERVICE(
"https://d16nxf5gxyt1xz.cloudfront.net/Prod/translation?id="
&amp;アカウント情報!$C$2&amp;
"&amp;pwd="
&amp;アカウント情報!$C$3&amp;
"&amp;item="
&amp;_xlfn.ENCODEURL(設定!$F$3)&amp;
"&amp;word="
&amp;_xlfn.ENCODEURL(C424)
)
)</f>
        <v/>
      </c>
      <c r="E424" s="6"/>
      <c r="F424" s="16" t="str">
        <f>IFERROR(VLOOKUP($E424,設定!$C:$F,2,0),"")</f>
        <v/>
      </c>
      <c r="G424" s="156" t="str">
        <f>IFERROR(VLOOKUP($E424,設定!$C:$F,3,0),"")</f>
        <v/>
      </c>
      <c r="H424" s="131" t="str">
        <f>IFERROR(VLOOKUP($E424,設定!$C:$F,4,0),"")</f>
        <v/>
      </c>
      <c r="I424" s="402"/>
      <c r="J424" s="8"/>
      <c r="K424" s="9"/>
      <c r="L424" s="9"/>
      <c r="M424" s="9"/>
      <c r="N424" s="9"/>
      <c r="O424" s="9"/>
      <c r="P424" s="9"/>
      <c r="Q424" s="9"/>
      <c r="R424" s="9"/>
      <c r="S424" s="9"/>
      <c r="T424" s="9"/>
      <c r="U424" s="9"/>
      <c r="V424" s="9"/>
      <c r="W424" s="9"/>
      <c r="X424" s="9"/>
      <c r="Y424" s="9"/>
      <c r="Z424" s="9"/>
      <c r="AA424" s="9"/>
      <c r="AB424" s="9"/>
      <c r="AC424" s="9"/>
      <c r="AD424" s="9"/>
      <c r="AE424" s="9"/>
      <c r="AF424" s="9"/>
      <c r="AG424" s="9"/>
      <c r="AH424" s="9"/>
      <c r="AI424" s="9"/>
      <c r="AJ424" s="9"/>
      <c r="AK424" s="9"/>
      <c r="AL424" s="9"/>
      <c r="AM424" s="9"/>
      <c r="AN424" s="10"/>
      <c r="AO424" s="65">
        <f t="shared" si="12"/>
        <v>0</v>
      </c>
    </row>
    <row r="425" spans="2:41" s="4" customFormat="1" ht="24" customHeight="1" x14ac:dyDescent="0.2">
      <c r="B425" s="14"/>
      <c r="C425" s="23"/>
      <c r="D425" s="21" t="str">
        <f>IF(ISBLANK(C425), "",
_xlfn.WEBSERVICE(
"https://d16nxf5gxyt1xz.cloudfront.net/Prod/translation?id="
&amp;アカウント情報!$C$2&amp;
"&amp;pwd="
&amp;アカウント情報!$C$3&amp;
"&amp;item="
&amp;_xlfn.ENCODEURL(設定!$F$3)&amp;
"&amp;word="
&amp;_xlfn.ENCODEURL(C425)
)
)</f>
        <v/>
      </c>
      <c r="E425" s="6"/>
      <c r="F425" s="16" t="str">
        <f>IFERROR(VLOOKUP($E425,設定!$C:$F,2,0),"")</f>
        <v/>
      </c>
      <c r="G425" s="156" t="str">
        <f>IFERROR(VLOOKUP($E425,設定!$C:$F,3,0),"")</f>
        <v/>
      </c>
      <c r="H425" s="131" t="str">
        <f>IFERROR(VLOOKUP($E425,設定!$C:$F,4,0),"")</f>
        <v/>
      </c>
      <c r="I425" s="402"/>
      <c r="J425" s="8"/>
      <c r="K425" s="9"/>
      <c r="L425" s="9"/>
      <c r="M425" s="9"/>
      <c r="N425" s="9"/>
      <c r="O425" s="9"/>
      <c r="P425" s="9"/>
      <c r="Q425" s="9"/>
      <c r="R425" s="9"/>
      <c r="S425" s="9"/>
      <c r="T425" s="9"/>
      <c r="U425" s="9"/>
      <c r="V425" s="9"/>
      <c r="W425" s="9"/>
      <c r="X425" s="9"/>
      <c r="Y425" s="9"/>
      <c r="Z425" s="9"/>
      <c r="AA425" s="9"/>
      <c r="AB425" s="9"/>
      <c r="AC425" s="9"/>
      <c r="AD425" s="9"/>
      <c r="AE425" s="9"/>
      <c r="AF425" s="9"/>
      <c r="AG425" s="9"/>
      <c r="AH425" s="9"/>
      <c r="AI425" s="9"/>
      <c r="AJ425" s="9"/>
      <c r="AK425" s="9"/>
      <c r="AL425" s="9"/>
      <c r="AM425" s="9"/>
      <c r="AN425" s="10"/>
      <c r="AO425" s="65">
        <f t="shared" si="12"/>
        <v>0</v>
      </c>
    </row>
    <row r="426" spans="2:41" s="4" customFormat="1" ht="24" customHeight="1" x14ac:dyDescent="0.2">
      <c r="B426" s="14"/>
      <c r="C426" s="23"/>
      <c r="D426" s="21" t="str">
        <f>IF(ISBLANK(C426), "",
_xlfn.WEBSERVICE(
"https://d16nxf5gxyt1xz.cloudfront.net/Prod/translation?id="
&amp;アカウント情報!$C$2&amp;
"&amp;pwd="
&amp;アカウント情報!$C$3&amp;
"&amp;item="
&amp;_xlfn.ENCODEURL(設定!$F$3)&amp;
"&amp;word="
&amp;_xlfn.ENCODEURL(C426)
)
)</f>
        <v/>
      </c>
      <c r="E426" s="6"/>
      <c r="F426" s="16" t="str">
        <f>IFERROR(VLOOKUP($E426,設定!$C:$F,2,0),"")</f>
        <v/>
      </c>
      <c r="G426" s="156" t="str">
        <f>IFERROR(VLOOKUP($E426,設定!$C:$F,3,0),"")</f>
        <v/>
      </c>
      <c r="H426" s="131" t="str">
        <f>IFERROR(VLOOKUP($E426,設定!$C:$F,4,0),"")</f>
        <v/>
      </c>
      <c r="I426" s="402"/>
      <c r="J426" s="8"/>
      <c r="K426" s="9"/>
      <c r="L426" s="9"/>
      <c r="M426" s="9"/>
      <c r="N426" s="9"/>
      <c r="O426" s="9"/>
      <c r="P426" s="9"/>
      <c r="Q426" s="9"/>
      <c r="R426" s="9"/>
      <c r="S426" s="9"/>
      <c r="T426" s="9"/>
      <c r="U426" s="9"/>
      <c r="V426" s="9"/>
      <c r="W426" s="9"/>
      <c r="X426" s="9"/>
      <c r="Y426" s="9"/>
      <c r="Z426" s="9"/>
      <c r="AA426" s="9"/>
      <c r="AB426" s="9"/>
      <c r="AC426" s="9"/>
      <c r="AD426" s="9"/>
      <c r="AE426" s="9"/>
      <c r="AF426" s="9"/>
      <c r="AG426" s="9"/>
      <c r="AH426" s="9"/>
      <c r="AI426" s="9"/>
      <c r="AJ426" s="9"/>
      <c r="AK426" s="9"/>
      <c r="AL426" s="9"/>
      <c r="AM426" s="9"/>
      <c r="AN426" s="10"/>
      <c r="AO426" s="65">
        <f t="shared" si="12"/>
        <v>0</v>
      </c>
    </row>
    <row r="427" spans="2:41" s="4" customFormat="1" ht="24" customHeight="1" x14ac:dyDescent="0.2">
      <c r="B427" s="14"/>
      <c r="C427" s="23"/>
      <c r="D427" s="21" t="str">
        <f>IF(ISBLANK(C427), "",
_xlfn.WEBSERVICE(
"https://d16nxf5gxyt1xz.cloudfront.net/Prod/translation?id="
&amp;アカウント情報!$C$2&amp;
"&amp;pwd="
&amp;アカウント情報!$C$3&amp;
"&amp;item="
&amp;_xlfn.ENCODEURL(設定!$F$3)&amp;
"&amp;word="
&amp;_xlfn.ENCODEURL(C427)
)
)</f>
        <v/>
      </c>
      <c r="E427" s="6"/>
      <c r="F427" s="16" t="str">
        <f>IFERROR(VLOOKUP($E427,設定!$C:$F,2,0),"")</f>
        <v/>
      </c>
      <c r="G427" s="156" t="str">
        <f>IFERROR(VLOOKUP($E427,設定!$C:$F,3,0),"")</f>
        <v/>
      </c>
      <c r="H427" s="131" t="str">
        <f>IFERROR(VLOOKUP($E427,設定!$C:$F,4,0),"")</f>
        <v/>
      </c>
      <c r="I427" s="402"/>
      <c r="J427" s="8"/>
      <c r="K427" s="9"/>
      <c r="L427" s="9"/>
      <c r="M427" s="9"/>
      <c r="N427" s="9"/>
      <c r="O427" s="9"/>
      <c r="P427" s="9"/>
      <c r="Q427" s="9"/>
      <c r="R427" s="9"/>
      <c r="S427" s="9"/>
      <c r="T427" s="9"/>
      <c r="U427" s="9"/>
      <c r="V427" s="9"/>
      <c r="W427" s="9"/>
      <c r="X427" s="9"/>
      <c r="Y427" s="9"/>
      <c r="Z427" s="9"/>
      <c r="AA427" s="9"/>
      <c r="AB427" s="9"/>
      <c r="AC427" s="9"/>
      <c r="AD427" s="9"/>
      <c r="AE427" s="9"/>
      <c r="AF427" s="9"/>
      <c r="AG427" s="9"/>
      <c r="AH427" s="9"/>
      <c r="AI427" s="9"/>
      <c r="AJ427" s="9"/>
      <c r="AK427" s="9"/>
      <c r="AL427" s="9"/>
      <c r="AM427" s="9"/>
      <c r="AN427" s="10"/>
      <c r="AO427" s="65">
        <f t="shared" si="12"/>
        <v>0</v>
      </c>
    </row>
    <row r="428" spans="2:41" s="4" customFormat="1" ht="24" customHeight="1" x14ac:dyDescent="0.2">
      <c r="B428" s="14"/>
      <c r="C428" s="23"/>
      <c r="D428" s="21" t="str">
        <f>IF(ISBLANK(C428), "",
_xlfn.WEBSERVICE(
"https://d16nxf5gxyt1xz.cloudfront.net/Prod/translation?id="
&amp;アカウント情報!$C$2&amp;
"&amp;pwd="
&amp;アカウント情報!$C$3&amp;
"&amp;item="
&amp;_xlfn.ENCODEURL(設定!$F$3)&amp;
"&amp;word="
&amp;_xlfn.ENCODEURL(C428)
)
)</f>
        <v/>
      </c>
      <c r="E428" s="6"/>
      <c r="F428" s="16" t="str">
        <f>IFERROR(VLOOKUP($E428,設定!$C:$F,2,0),"")</f>
        <v/>
      </c>
      <c r="G428" s="156" t="str">
        <f>IFERROR(VLOOKUP($E428,設定!$C:$F,3,0),"")</f>
        <v/>
      </c>
      <c r="H428" s="131" t="str">
        <f>IFERROR(VLOOKUP($E428,設定!$C:$F,4,0),"")</f>
        <v/>
      </c>
      <c r="I428" s="402"/>
      <c r="J428" s="8"/>
      <c r="K428" s="9"/>
      <c r="L428" s="9"/>
      <c r="M428" s="9"/>
      <c r="N428" s="9"/>
      <c r="O428" s="9"/>
      <c r="P428" s="9"/>
      <c r="Q428" s="9"/>
      <c r="R428" s="9"/>
      <c r="S428" s="9"/>
      <c r="T428" s="9"/>
      <c r="U428" s="9"/>
      <c r="V428" s="9"/>
      <c r="W428" s="9"/>
      <c r="X428" s="9"/>
      <c r="Y428" s="9"/>
      <c r="Z428" s="9"/>
      <c r="AA428" s="9"/>
      <c r="AB428" s="9"/>
      <c r="AC428" s="9"/>
      <c r="AD428" s="9"/>
      <c r="AE428" s="9"/>
      <c r="AF428" s="9"/>
      <c r="AG428" s="9"/>
      <c r="AH428" s="9"/>
      <c r="AI428" s="9"/>
      <c r="AJ428" s="9"/>
      <c r="AK428" s="9"/>
      <c r="AL428" s="9"/>
      <c r="AM428" s="9"/>
      <c r="AN428" s="10"/>
      <c r="AO428" s="65">
        <f t="shared" si="12"/>
        <v>0</v>
      </c>
    </row>
    <row r="429" spans="2:41" s="4" customFormat="1" ht="24" customHeight="1" x14ac:dyDescent="0.2">
      <c r="B429" s="14"/>
      <c r="C429" s="23"/>
      <c r="D429" s="21" t="str">
        <f>IF(ISBLANK(C429), "",
_xlfn.WEBSERVICE(
"https://d16nxf5gxyt1xz.cloudfront.net/Prod/translation?id="
&amp;アカウント情報!$C$2&amp;
"&amp;pwd="
&amp;アカウント情報!$C$3&amp;
"&amp;item="
&amp;_xlfn.ENCODEURL(設定!$F$3)&amp;
"&amp;word="
&amp;_xlfn.ENCODEURL(C429)
)
)</f>
        <v/>
      </c>
      <c r="E429" s="6"/>
      <c r="F429" s="16" t="str">
        <f>IFERROR(VLOOKUP($E429,設定!$C:$F,2,0),"")</f>
        <v/>
      </c>
      <c r="G429" s="156" t="str">
        <f>IFERROR(VLOOKUP($E429,設定!$C:$F,3,0),"")</f>
        <v/>
      </c>
      <c r="H429" s="131" t="str">
        <f>IFERROR(VLOOKUP($E429,設定!$C:$F,4,0),"")</f>
        <v/>
      </c>
      <c r="I429" s="402"/>
      <c r="J429" s="8"/>
      <c r="K429" s="9"/>
      <c r="L429" s="9"/>
      <c r="M429" s="9"/>
      <c r="N429" s="9"/>
      <c r="O429" s="9"/>
      <c r="P429" s="9"/>
      <c r="Q429" s="9"/>
      <c r="R429" s="9"/>
      <c r="S429" s="9"/>
      <c r="T429" s="9"/>
      <c r="U429" s="9"/>
      <c r="V429" s="9"/>
      <c r="W429" s="9"/>
      <c r="X429" s="9"/>
      <c r="Y429" s="9"/>
      <c r="Z429" s="9"/>
      <c r="AA429" s="9"/>
      <c r="AB429" s="9"/>
      <c r="AC429" s="9"/>
      <c r="AD429" s="9"/>
      <c r="AE429" s="9"/>
      <c r="AF429" s="9"/>
      <c r="AG429" s="9"/>
      <c r="AH429" s="9"/>
      <c r="AI429" s="9"/>
      <c r="AJ429" s="9"/>
      <c r="AK429" s="9"/>
      <c r="AL429" s="9"/>
      <c r="AM429" s="9"/>
      <c r="AN429" s="10"/>
      <c r="AO429" s="65">
        <f t="shared" si="12"/>
        <v>0</v>
      </c>
    </row>
    <row r="430" spans="2:41" s="4" customFormat="1" ht="24" customHeight="1" x14ac:dyDescent="0.2">
      <c r="B430" s="14"/>
      <c r="C430" s="23"/>
      <c r="D430" s="21" t="str">
        <f>IF(ISBLANK(C430), "",
_xlfn.WEBSERVICE(
"https://d16nxf5gxyt1xz.cloudfront.net/Prod/translation?id="
&amp;アカウント情報!$C$2&amp;
"&amp;pwd="
&amp;アカウント情報!$C$3&amp;
"&amp;item="
&amp;_xlfn.ENCODEURL(設定!$F$3)&amp;
"&amp;word="
&amp;_xlfn.ENCODEURL(C430)
)
)</f>
        <v/>
      </c>
      <c r="E430" s="6"/>
      <c r="F430" s="16" t="str">
        <f>IFERROR(VLOOKUP($E430,設定!$C:$F,2,0),"")</f>
        <v/>
      </c>
      <c r="G430" s="156" t="str">
        <f>IFERROR(VLOOKUP($E430,設定!$C:$F,3,0),"")</f>
        <v/>
      </c>
      <c r="H430" s="131" t="str">
        <f>IFERROR(VLOOKUP($E430,設定!$C:$F,4,0),"")</f>
        <v/>
      </c>
      <c r="I430" s="402"/>
      <c r="J430" s="8"/>
      <c r="K430" s="9"/>
      <c r="L430" s="9"/>
      <c r="M430" s="9"/>
      <c r="N430" s="9"/>
      <c r="O430" s="9"/>
      <c r="P430" s="9"/>
      <c r="Q430" s="9"/>
      <c r="R430" s="9"/>
      <c r="S430" s="9"/>
      <c r="T430" s="9"/>
      <c r="U430" s="9"/>
      <c r="V430" s="9"/>
      <c r="W430" s="9"/>
      <c r="X430" s="9"/>
      <c r="Y430" s="9"/>
      <c r="Z430" s="9"/>
      <c r="AA430" s="9"/>
      <c r="AB430" s="9"/>
      <c r="AC430" s="9"/>
      <c r="AD430" s="9"/>
      <c r="AE430" s="9"/>
      <c r="AF430" s="9"/>
      <c r="AG430" s="9"/>
      <c r="AH430" s="9"/>
      <c r="AI430" s="9"/>
      <c r="AJ430" s="9"/>
      <c r="AK430" s="9"/>
      <c r="AL430" s="9"/>
      <c r="AM430" s="9"/>
      <c r="AN430" s="10"/>
      <c r="AO430" s="65">
        <f t="shared" si="12"/>
        <v>0</v>
      </c>
    </row>
    <row r="431" spans="2:41" s="4" customFormat="1" ht="24" customHeight="1" x14ac:dyDescent="0.2">
      <c r="B431" s="14"/>
      <c r="C431" s="23"/>
      <c r="D431" s="21" t="str">
        <f>IF(ISBLANK(C431), "",
_xlfn.WEBSERVICE(
"https://d16nxf5gxyt1xz.cloudfront.net/Prod/translation?id="
&amp;アカウント情報!$C$2&amp;
"&amp;pwd="
&amp;アカウント情報!$C$3&amp;
"&amp;item="
&amp;_xlfn.ENCODEURL(設定!$F$3)&amp;
"&amp;word="
&amp;_xlfn.ENCODEURL(C431)
)
)</f>
        <v/>
      </c>
      <c r="E431" s="6"/>
      <c r="F431" s="16" t="str">
        <f>IFERROR(VLOOKUP($E431,設定!$C:$F,2,0),"")</f>
        <v/>
      </c>
      <c r="G431" s="156" t="str">
        <f>IFERROR(VLOOKUP($E431,設定!$C:$F,3,0),"")</f>
        <v/>
      </c>
      <c r="H431" s="131" t="str">
        <f>IFERROR(VLOOKUP($E431,設定!$C:$F,4,0),"")</f>
        <v/>
      </c>
      <c r="I431" s="402"/>
      <c r="J431" s="8"/>
      <c r="K431" s="9"/>
      <c r="L431" s="9"/>
      <c r="M431" s="9"/>
      <c r="N431" s="9"/>
      <c r="O431" s="9"/>
      <c r="P431" s="9"/>
      <c r="Q431" s="9"/>
      <c r="R431" s="9"/>
      <c r="S431" s="9"/>
      <c r="T431" s="9"/>
      <c r="U431" s="9"/>
      <c r="V431" s="9"/>
      <c r="W431" s="9"/>
      <c r="X431" s="9"/>
      <c r="Y431" s="9"/>
      <c r="Z431" s="9"/>
      <c r="AA431" s="9"/>
      <c r="AB431" s="9"/>
      <c r="AC431" s="9"/>
      <c r="AD431" s="9"/>
      <c r="AE431" s="9"/>
      <c r="AF431" s="9"/>
      <c r="AG431" s="9"/>
      <c r="AH431" s="9"/>
      <c r="AI431" s="9"/>
      <c r="AJ431" s="9"/>
      <c r="AK431" s="9"/>
      <c r="AL431" s="9"/>
      <c r="AM431" s="9"/>
      <c r="AN431" s="10"/>
      <c r="AO431" s="65">
        <f t="shared" si="12"/>
        <v>0</v>
      </c>
    </row>
    <row r="432" spans="2:41" s="4" customFormat="1" ht="24" customHeight="1" x14ac:dyDescent="0.2">
      <c r="B432" s="14"/>
      <c r="C432" s="23"/>
      <c r="D432" s="21" t="str">
        <f>IF(ISBLANK(C432), "",
_xlfn.WEBSERVICE(
"https://d16nxf5gxyt1xz.cloudfront.net/Prod/translation?id="
&amp;アカウント情報!$C$2&amp;
"&amp;pwd="
&amp;アカウント情報!$C$3&amp;
"&amp;item="
&amp;_xlfn.ENCODEURL(設定!$F$3)&amp;
"&amp;word="
&amp;_xlfn.ENCODEURL(C432)
)
)</f>
        <v/>
      </c>
      <c r="E432" s="6"/>
      <c r="F432" s="16" t="str">
        <f>IFERROR(VLOOKUP($E432,設定!$C:$F,2,0),"")</f>
        <v/>
      </c>
      <c r="G432" s="156" t="str">
        <f>IFERROR(VLOOKUP($E432,設定!$C:$F,3,0),"")</f>
        <v/>
      </c>
      <c r="H432" s="131" t="str">
        <f>IFERROR(VLOOKUP($E432,設定!$C:$F,4,0),"")</f>
        <v/>
      </c>
      <c r="I432" s="402"/>
      <c r="J432" s="8"/>
      <c r="K432" s="9"/>
      <c r="L432" s="9"/>
      <c r="M432" s="9"/>
      <c r="N432" s="9"/>
      <c r="O432" s="9"/>
      <c r="P432" s="9"/>
      <c r="Q432" s="9"/>
      <c r="R432" s="9"/>
      <c r="S432" s="9"/>
      <c r="T432" s="9"/>
      <c r="U432" s="9"/>
      <c r="V432" s="9"/>
      <c r="W432" s="9"/>
      <c r="X432" s="9"/>
      <c r="Y432" s="9"/>
      <c r="Z432" s="9"/>
      <c r="AA432" s="9"/>
      <c r="AB432" s="9"/>
      <c r="AC432" s="9"/>
      <c r="AD432" s="9"/>
      <c r="AE432" s="9"/>
      <c r="AF432" s="9"/>
      <c r="AG432" s="9"/>
      <c r="AH432" s="9"/>
      <c r="AI432" s="9"/>
      <c r="AJ432" s="9"/>
      <c r="AK432" s="9"/>
      <c r="AL432" s="9"/>
      <c r="AM432" s="9"/>
      <c r="AN432" s="10"/>
      <c r="AO432" s="65">
        <f t="shared" si="12"/>
        <v>0</v>
      </c>
    </row>
    <row r="433" spans="2:41" s="4" customFormat="1" ht="24" customHeight="1" x14ac:dyDescent="0.2">
      <c r="B433" s="14"/>
      <c r="C433" s="23"/>
      <c r="D433" s="21" t="str">
        <f>IF(ISBLANK(C433), "",
_xlfn.WEBSERVICE(
"https://d16nxf5gxyt1xz.cloudfront.net/Prod/translation?id="
&amp;アカウント情報!$C$2&amp;
"&amp;pwd="
&amp;アカウント情報!$C$3&amp;
"&amp;item="
&amp;_xlfn.ENCODEURL(設定!$F$3)&amp;
"&amp;word="
&amp;_xlfn.ENCODEURL(C433)
)
)</f>
        <v/>
      </c>
      <c r="E433" s="6"/>
      <c r="F433" s="16" t="str">
        <f>IFERROR(VLOOKUP($E433,設定!$C:$F,2,0),"")</f>
        <v/>
      </c>
      <c r="G433" s="156" t="str">
        <f>IFERROR(VLOOKUP($E433,設定!$C:$F,3,0),"")</f>
        <v/>
      </c>
      <c r="H433" s="131" t="str">
        <f>IFERROR(VLOOKUP($E433,設定!$C:$F,4,0),"")</f>
        <v/>
      </c>
      <c r="I433" s="402"/>
      <c r="J433" s="8"/>
      <c r="K433" s="9"/>
      <c r="L433" s="9"/>
      <c r="M433" s="9"/>
      <c r="N433" s="9"/>
      <c r="O433" s="9"/>
      <c r="P433" s="9"/>
      <c r="Q433" s="9"/>
      <c r="R433" s="9"/>
      <c r="S433" s="9"/>
      <c r="T433" s="9"/>
      <c r="U433" s="9"/>
      <c r="V433" s="9"/>
      <c r="W433" s="9"/>
      <c r="X433" s="9"/>
      <c r="Y433" s="9"/>
      <c r="Z433" s="9"/>
      <c r="AA433" s="9"/>
      <c r="AB433" s="9"/>
      <c r="AC433" s="9"/>
      <c r="AD433" s="9"/>
      <c r="AE433" s="9"/>
      <c r="AF433" s="9"/>
      <c r="AG433" s="9"/>
      <c r="AH433" s="9"/>
      <c r="AI433" s="9"/>
      <c r="AJ433" s="9"/>
      <c r="AK433" s="9"/>
      <c r="AL433" s="9"/>
      <c r="AM433" s="9"/>
      <c r="AN433" s="10"/>
      <c r="AO433" s="65">
        <f t="shared" si="12"/>
        <v>0</v>
      </c>
    </row>
    <row r="434" spans="2:41" s="4" customFormat="1" ht="24" customHeight="1" x14ac:dyDescent="0.2">
      <c r="B434" s="14"/>
      <c r="C434" s="23"/>
      <c r="D434" s="21" t="str">
        <f>IF(ISBLANK(C434), "",
_xlfn.WEBSERVICE(
"https://d16nxf5gxyt1xz.cloudfront.net/Prod/translation?id="
&amp;アカウント情報!$C$2&amp;
"&amp;pwd="
&amp;アカウント情報!$C$3&amp;
"&amp;item="
&amp;_xlfn.ENCODEURL(設定!$F$3)&amp;
"&amp;word="
&amp;_xlfn.ENCODEURL(C434)
)
)</f>
        <v/>
      </c>
      <c r="E434" s="6"/>
      <c r="F434" s="16" t="str">
        <f>IFERROR(VLOOKUP($E434,設定!$C:$F,2,0),"")</f>
        <v/>
      </c>
      <c r="G434" s="156" t="str">
        <f>IFERROR(VLOOKUP($E434,設定!$C:$F,3,0),"")</f>
        <v/>
      </c>
      <c r="H434" s="131" t="str">
        <f>IFERROR(VLOOKUP($E434,設定!$C:$F,4,0),"")</f>
        <v/>
      </c>
      <c r="I434" s="402"/>
      <c r="J434" s="8"/>
      <c r="K434" s="9"/>
      <c r="L434" s="9"/>
      <c r="M434" s="9"/>
      <c r="N434" s="9"/>
      <c r="O434" s="9"/>
      <c r="P434" s="9"/>
      <c r="Q434" s="9"/>
      <c r="R434" s="9"/>
      <c r="S434" s="9"/>
      <c r="T434" s="9"/>
      <c r="U434" s="9"/>
      <c r="V434" s="9"/>
      <c r="W434" s="9"/>
      <c r="X434" s="9"/>
      <c r="Y434" s="9"/>
      <c r="Z434" s="9"/>
      <c r="AA434" s="9"/>
      <c r="AB434" s="9"/>
      <c r="AC434" s="9"/>
      <c r="AD434" s="9"/>
      <c r="AE434" s="9"/>
      <c r="AF434" s="9"/>
      <c r="AG434" s="9"/>
      <c r="AH434" s="9"/>
      <c r="AI434" s="9"/>
      <c r="AJ434" s="9"/>
      <c r="AK434" s="9"/>
      <c r="AL434" s="9"/>
      <c r="AM434" s="9"/>
      <c r="AN434" s="10"/>
      <c r="AO434" s="65">
        <f t="shared" si="12"/>
        <v>0</v>
      </c>
    </row>
    <row r="435" spans="2:41" s="4" customFormat="1" ht="24" customHeight="1" x14ac:dyDescent="0.2">
      <c r="B435" s="14"/>
      <c r="C435" s="23"/>
      <c r="D435" s="21" t="str">
        <f>IF(ISBLANK(C435), "",
_xlfn.WEBSERVICE(
"https://d16nxf5gxyt1xz.cloudfront.net/Prod/translation?id="
&amp;アカウント情報!$C$2&amp;
"&amp;pwd="
&amp;アカウント情報!$C$3&amp;
"&amp;item="
&amp;_xlfn.ENCODEURL(設定!$F$3)&amp;
"&amp;word="
&amp;_xlfn.ENCODEURL(C435)
)
)</f>
        <v/>
      </c>
      <c r="E435" s="6"/>
      <c r="F435" s="16" t="str">
        <f>IFERROR(VLOOKUP($E435,設定!$C:$F,2,0),"")</f>
        <v/>
      </c>
      <c r="G435" s="156" t="str">
        <f>IFERROR(VLOOKUP($E435,設定!$C:$F,3,0),"")</f>
        <v/>
      </c>
      <c r="H435" s="131" t="str">
        <f>IFERROR(VLOOKUP($E435,設定!$C:$F,4,0),"")</f>
        <v/>
      </c>
      <c r="I435" s="402"/>
      <c r="J435" s="8"/>
      <c r="K435" s="9"/>
      <c r="L435" s="9"/>
      <c r="M435" s="9"/>
      <c r="N435" s="9"/>
      <c r="O435" s="9"/>
      <c r="P435" s="9"/>
      <c r="Q435" s="9"/>
      <c r="R435" s="9"/>
      <c r="S435" s="9"/>
      <c r="T435" s="9"/>
      <c r="U435" s="9"/>
      <c r="V435" s="9"/>
      <c r="W435" s="9"/>
      <c r="X435" s="9"/>
      <c r="Y435" s="9"/>
      <c r="Z435" s="9"/>
      <c r="AA435" s="9"/>
      <c r="AB435" s="9"/>
      <c r="AC435" s="9"/>
      <c r="AD435" s="9"/>
      <c r="AE435" s="9"/>
      <c r="AF435" s="9"/>
      <c r="AG435" s="9"/>
      <c r="AH435" s="9"/>
      <c r="AI435" s="9"/>
      <c r="AJ435" s="9"/>
      <c r="AK435" s="9"/>
      <c r="AL435" s="9"/>
      <c r="AM435" s="9"/>
      <c r="AN435" s="10"/>
      <c r="AO435" s="65">
        <f t="shared" ref="AO435:AO482" si="13">I435*SUM(J435:AN435)</f>
        <v>0</v>
      </c>
    </row>
    <row r="436" spans="2:41" s="4" customFormat="1" ht="24" customHeight="1" x14ac:dyDescent="0.2">
      <c r="B436" s="14"/>
      <c r="C436" s="23"/>
      <c r="D436" s="21" t="str">
        <f>IF(ISBLANK(C436), "",
_xlfn.WEBSERVICE(
"https://d16nxf5gxyt1xz.cloudfront.net/Prod/translation?id="
&amp;アカウント情報!$C$2&amp;
"&amp;pwd="
&amp;アカウント情報!$C$3&amp;
"&amp;item="
&amp;_xlfn.ENCODEURL(設定!$F$3)&amp;
"&amp;word="
&amp;_xlfn.ENCODEURL(C436)
)
)</f>
        <v/>
      </c>
      <c r="E436" s="6"/>
      <c r="F436" s="16" t="str">
        <f>IFERROR(VLOOKUP($E436,設定!$C:$F,2,0),"")</f>
        <v/>
      </c>
      <c r="G436" s="156" t="str">
        <f>IFERROR(VLOOKUP($E436,設定!$C:$F,3,0),"")</f>
        <v/>
      </c>
      <c r="H436" s="131" t="str">
        <f>IFERROR(VLOOKUP($E436,設定!$C:$F,4,0),"")</f>
        <v/>
      </c>
      <c r="I436" s="402"/>
      <c r="J436" s="8"/>
      <c r="K436" s="9"/>
      <c r="L436" s="9"/>
      <c r="M436" s="9"/>
      <c r="N436" s="9"/>
      <c r="O436" s="9"/>
      <c r="P436" s="9"/>
      <c r="Q436" s="9"/>
      <c r="R436" s="9"/>
      <c r="S436" s="9"/>
      <c r="T436" s="9"/>
      <c r="U436" s="9"/>
      <c r="V436" s="9"/>
      <c r="W436" s="9"/>
      <c r="X436" s="9"/>
      <c r="Y436" s="9"/>
      <c r="Z436" s="9"/>
      <c r="AA436" s="9"/>
      <c r="AB436" s="9"/>
      <c r="AC436" s="9"/>
      <c r="AD436" s="9"/>
      <c r="AE436" s="9"/>
      <c r="AF436" s="9"/>
      <c r="AG436" s="9"/>
      <c r="AH436" s="9"/>
      <c r="AI436" s="9"/>
      <c r="AJ436" s="9"/>
      <c r="AK436" s="9"/>
      <c r="AL436" s="9"/>
      <c r="AM436" s="9"/>
      <c r="AN436" s="10"/>
      <c r="AO436" s="65">
        <f t="shared" si="13"/>
        <v>0</v>
      </c>
    </row>
    <row r="437" spans="2:41" s="4" customFormat="1" ht="24" customHeight="1" x14ac:dyDescent="0.2">
      <c r="B437" s="14"/>
      <c r="C437" s="23"/>
      <c r="D437" s="21" t="str">
        <f>IF(ISBLANK(C437), "",
_xlfn.WEBSERVICE(
"https://d16nxf5gxyt1xz.cloudfront.net/Prod/translation?id="
&amp;アカウント情報!$C$2&amp;
"&amp;pwd="
&amp;アカウント情報!$C$3&amp;
"&amp;item="
&amp;_xlfn.ENCODEURL(設定!$F$3)&amp;
"&amp;word="
&amp;_xlfn.ENCODEURL(C437)
)
)</f>
        <v/>
      </c>
      <c r="E437" s="6"/>
      <c r="F437" s="16" t="str">
        <f>IFERROR(VLOOKUP($E437,設定!$C:$F,2,0),"")</f>
        <v/>
      </c>
      <c r="G437" s="156" t="str">
        <f>IFERROR(VLOOKUP($E437,設定!$C:$F,3,0),"")</f>
        <v/>
      </c>
      <c r="H437" s="131" t="str">
        <f>IFERROR(VLOOKUP($E437,設定!$C:$F,4,0),"")</f>
        <v/>
      </c>
      <c r="I437" s="402"/>
      <c r="J437" s="8"/>
      <c r="K437" s="9"/>
      <c r="L437" s="9"/>
      <c r="M437" s="9"/>
      <c r="N437" s="9"/>
      <c r="O437" s="9"/>
      <c r="P437" s="9"/>
      <c r="Q437" s="9"/>
      <c r="R437" s="9"/>
      <c r="S437" s="9"/>
      <c r="T437" s="9"/>
      <c r="U437" s="9"/>
      <c r="V437" s="9"/>
      <c r="W437" s="9"/>
      <c r="X437" s="9"/>
      <c r="Y437" s="9"/>
      <c r="Z437" s="9"/>
      <c r="AA437" s="9"/>
      <c r="AB437" s="9"/>
      <c r="AC437" s="9"/>
      <c r="AD437" s="9"/>
      <c r="AE437" s="9"/>
      <c r="AF437" s="9"/>
      <c r="AG437" s="9"/>
      <c r="AH437" s="9"/>
      <c r="AI437" s="9"/>
      <c r="AJ437" s="9"/>
      <c r="AK437" s="9"/>
      <c r="AL437" s="9"/>
      <c r="AM437" s="9"/>
      <c r="AN437" s="10"/>
      <c r="AO437" s="65">
        <f t="shared" si="13"/>
        <v>0</v>
      </c>
    </row>
    <row r="438" spans="2:41" s="4" customFormat="1" ht="24" customHeight="1" x14ac:dyDescent="0.2">
      <c r="B438" s="14"/>
      <c r="C438" s="23"/>
      <c r="D438" s="21" t="str">
        <f>IF(ISBLANK(C438), "",
_xlfn.WEBSERVICE(
"https://d16nxf5gxyt1xz.cloudfront.net/Prod/translation?id="
&amp;アカウント情報!$C$2&amp;
"&amp;pwd="
&amp;アカウント情報!$C$3&amp;
"&amp;item="
&amp;_xlfn.ENCODEURL(設定!$F$3)&amp;
"&amp;word="
&amp;_xlfn.ENCODEURL(C438)
)
)</f>
        <v/>
      </c>
      <c r="E438" s="6"/>
      <c r="F438" s="16" t="str">
        <f>IFERROR(VLOOKUP($E438,設定!$C:$F,2,0),"")</f>
        <v/>
      </c>
      <c r="G438" s="156" t="str">
        <f>IFERROR(VLOOKUP($E438,設定!$C:$F,3,0),"")</f>
        <v/>
      </c>
      <c r="H438" s="131" t="str">
        <f>IFERROR(VLOOKUP($E438,設定!$C:$F,4,0),"")</f>
        <v/>
      </c>
      <c r="I438" s="402"/>
      <c r="J438" s="8"/>
      <c r="K438" s="9"/>
      <c r="L438" s="9"/>
      <c r="M438" s="9"/>
      <c r="N438" s="9"/>
      <c r="O438" s="9"/>
      <c r="P438" s="9"/>
      <c r="Q438" s="9"/>
      <c r="R438" s="9"/>
      <c r="S438" s="9"/>
      <c r="T438" s="9"/>
      <c r="U438" s="9"/>
      <c r="V438" s="9"/>
      <c r="W438" s="9"/>
      <c r="X438" s="9"/>
      <c r="Y438" s="9"/>
      <c r="Z438" s="9"/>
      <c r="AA438" s="9"/>
      <c r="AB438" s="9"/>
      <c r="AC438" s="9"/>
      <c r="AD438" s="9"/>
      <c r="AE438" s="9"/>
      <c r="AF438" s="9"/>
      <c r="AG438" s="9"/>
      <c r="AH438" s="9"/>
      <c r="AI438" s="9"/>
      <c r="AJ438" s="9"/>
      <c r="AK438" s="9"/>
      <c r="AL438" s="9"/>
      <c r="AM438" s="9"/>
      <c r="AN438" s="10"/>
      <c r="AO438" s="65">
        <f t="shared" si="13"/>
        <v>0</v>
      </c>
    </row>
    <row r="439" spans="2:41" s="4" customFormat="1" ht="24" customHeight="1" x14ac:dyDescent="0.2">
      <c r="B439" s="14"/>
      <c r="C439" s="23"/>
      <c r="D439" s="21" t="str">
        <f>IF(ISBLANK(C439), "",
_xlfn.WEBSERVICE(
"https://d16nxf5gxyt1xz.cloudfront.net/Prod/translation?id="
&amp;アカウント情報!$C$2&amp;
"&amp;pwd="
&amp;アカウント情報!$C$3&amp;
"&amp;item="
&amp;_xlfn.ENCODEURL(設定!$F$3)&amp;
"&amp;word="
&amp;_xlfn.ENCODEURL(C439)
)
)</f>
        <v/>
      </c>
      <c r="E439" s="6"/>
      <c r="F439" s="16" t="str">
        <f>IFERROR(VLOOKUP($E439,設定!$C:$F,2,0),"")</f>
        <v/>
      </c>
      <c r="G439" s="156" t="str">
        <f>IFERROR(VLOOKUP($E439,設定!$C:$F,3,0),"")</f>
        <v/>
      </c>
      <c r="H439" s="131" t="str">
        <f>IFERROR(VLOOKUP($E439,設定!$C:$F,4,0),"")</f>
        <v/>
      </c>
      <c r="I439" s="402"/>
      <c r="J439" s="8"/>
      <c r="K439" s="9"/>
      <c r="L439" s="9"/>
      <c r="M439" s="9"/>
      <c r="N439" s="9"/>
      <c r="O439" s="9"/>
      <c r="P439" s="9"/>
      <c r="Q439" s="9"/>
      <c r="R439" s="9"/>
      <c r="S439" s="9"/>
      <c r="T439" s="9"/>
      <c r="U439" s="9"/>
      <c r="V439" s="9"/>
      <c r="W439" s="9"/>
      <c r="X439" s="9"/>
      <c r="Y439" s="9"/>
      <c r="Z439" s="9"/>
      <c r="AA439" s="9"/>
      <c r="AB439" s="9"/>
      <c r="AC439" s="9"/>
      <c r="AD439" s="9"/>
      <c r="AE439" s="9"/>
      <c r="AF439" s="9"/>
      <c r="AG439" s="9"/>
      <c r="AH439" s="9"/>
      <c r="AI439" s="9"/>
      <c r="AJ439" s="9"/>
      <c r="AK439" s="9"/>
      <c r="AL439" s="9"/>
      <c r="AM439" s="9"/>
      <c r="AN439" s="10"/>
      <c r="AO439" s="65">
        <f t="shared" si="13"/>
        <v>0</v>
      </c>
    </row>
    <row r="440" spans="2:41" s="4" customFormat="1" ht="24" customHeight="1" x14ac:dyDescent="0.2">
      <c r="B440" s="14"/>
      <c r="C440" s="23"/>
      <c r="D440" s="21" t="str">
        <f>IF(ISBLANK(C440), "",
_xlfn.WEBSERVICE(
"https://d16nxf5gxyt1xz.cloudfront.net/Prod/translation?id="
&amp;アカウント情報!$C$2&amp;
"&amp;pwd="
&amp;アカウント情報!$C$3&amp;
"&amp;item="
&amp;_xlfn.ENCODEURL(設定!$F$3)&amp;
"&amp;word="
&amp;_xlfn.ENCODEURL(C440)
)
)</f>
        <v/>
      </c>
      <c r="E440" s="6"/>
      <c r="F440" s="16" t="str">
        <f>IFERROR(VLOOKUP($E440,設定!$C:$F,2,0),"")</f>
        <v/>
      </c>
      <c r="G440" s="156" t="str">
        <f>IFERROR(VLOOKUP($E440,設定!$C:$F,3,0),"")</f>
        <v/>
      </c>
      <c r="H440" s="131" t="str">
        <f>IFERROR(VLOOKUP($E440,設定!$C:$F,4,0),"")</f>
        <v/>
      </c>
      <c r="I440" s="402"/>
      <c r="J440" s="8"/>
      <c r="K440" s="9"/>
      <c r="L440" s="9"/>
      <c r="M440" s="9"/>
      <c r="N440" s="9"/>
      <c r="O440" s="9"/>
      <c r="P440" s="9"/>
      <c r="Q440" s="9"/>
      <c r="R440" s="9"/>
      <c r="S440" s="9"/>
      <c r="T440" s="9"/>
      <c r="U440" s="9"/>
      <c r="V440" s="9"/>
      <c r="W440" s="9"/>
      <c r="X440" s="9"/>
      <c r="Y440" s="9"/>
      <c r="Z440" s="9"/>
      <c r="AA440" s="9"/>
      <c r="AB440" s="9"/>
      <c r="AC440" s="9"/>
      <c r="AD440" s="9"/>
      <c r="AE440" s="9"/>
      <c r="AF440" s="9"/>
      <c r="AG440" s="9"/>
      <c r="AH440" s="9"/>
      <c r="AI440" s="9"/>
      <c r="AJ440" s="9"/>
      <c r="AK440" s="9"/>
      <c r="AL440" s="9"/>
      <c r="AM440" s="9"/>
      <c r="AN440" s="10"/>
      <c r="AO440" s="65">
        <f t="shared" si="13"/>
        <v>0</v>
      </c>
    </row>
    <row r="441" spans="2:41" s="4" customFormat="1" ht="24" customHeight="1" x14ac:dyDescent="0.2">
      <c r="B441" s="14"/>
      <c r="C441" s="23"/>
      <c r="D441" s="21" t="str">
        <f>IF(ISBLANK(C441), "",
_xlfn.WEBSERVICE(
"https://d16nxf5gxyt1xz.cloudfront.net/Prod/translation?id="
&amp;アカウント情報!$C$2&amp;
"&amp;pwd="
&amp;アカウント情報!$C$3&amp;
"&amp;item="
&amp;_xlfn.ENCODEURL(設定!$F$3)&amp;
"&amp;word="
&amp;_xlfn.ENCODEURL(C441)
)
)</f>
        <v/>
      </c>
      <c r="E441" s="6"/>
      <c r="F441" s="16" t="str">
        <f>IFERROR(VLOOKUP($E441,設定!$C:$F,2,0),"")</f>
        <v/>
      </c>
      <c r="G441" s="156" t="str">
        <f>IFERROR(VLOOKUP($E441,設定!$C:$F,3,0),"")</f>
        <v/>
      </c>
      <c r="H441" s="131" t="str">
        <f>IFERROR(VLOOKUP($E441,設定!$C:$F,4,0),"")</f>
        <v/>
      </c>
      <c r="I441" s="402"/>
      <c r="J441" s="8"/>
      <c r="K441" s="9"/>
      <c r="L441" s="9"/>
      <c r="M441" s="9"/>
      <c r="N441" s="9"/>
      <c r="O441" s="9"/>
      <c r="P441" s="9"/>
      <c r="Q441" s="9"/>
      <c r="R441" s="9"/>
      <c r="S441" s="9"/>
      <c r="T441" s="9"/>
      <c r="U441" s="9"/>
      <c r="V441" s="9"/>
      <c r="W441" s="9"/>
      <c r="X441" s="9"/>
      <c r="Y441" s="9"/>
      <c r="Z441" s="9"/>
      <c r="AA441" s="9"/>
      <c r="AB441" s="9"/>
      <c r="AC441" s="9"/>
      <c r="AD441" s="9"/>
      <c r="AE441" s="9"/>
      <c r="AF441" s="9"/>
      <c r="AG441" s="9"/>
      <c r="AH441" s="9"/>
      <c r="AI441" s="9"/>
      <c r="AJ441" s="9"/>
      <c r="AK441" s="9"/>
      <c r="AL441" s="9"/>
      <c r="AM441" s="9"/>
      <c r="AN441" s="10"/>
      <c r="AO441" s="65">
        <f t="shared" si="13"/>
        <v>0</v>
      </c>
    </row>
    <row r="442" spans="2:41" s="4" customFormat="1" ht="24" customHeight="1" x14ac:dyDescent="0.2">
      <c r="B442" s="14"/>
      <c r="C442" s="23"/>
      <c r="D442" s="21" t="str">
        <f>IF(ISBLANK(C442), "",
_xlfn.WEBSERVICE(
"https://d16nxf5gxyt1xz.cloudfront.net/Prod/translation?id="
&amp;アカウント情報!$C$2&amp;
"&amp;pwd="
&amp;アカウント情報!$C$3&amp;
"&amp;item="
&amp;_xlfn.ENCODEURL(設定!$F$3)&amp;
"&amp;word="
&amp;_xlfn.ENCODEURL(C442)
)
)</f>
        <v/>
      </c>
      <c r="E442" s="6"/>
      <c r="F442" s="16" t="str">
        <f>IFERROR(VLOOKUP($E442,設定!$C:$F,2,0),"")</f>
        <v/>
      </c>
      <c r="G442" s="156" t="str">
        <f>IFERROR(VLOOKUP($E442,設定!$C:$F,3,0),"")</f>
        <v/>
      </c>
      <c r="H442" s="131" t="str">
        <f>IFERROR(VLOOKUP($E442,設定!$C:$F,4,0),"")</f>
        <v/>
      </c>
      <c r="I442" s="402"/>
      <c r="J442" s="8"/>
      <c r="K442" s="9"/>
      <c r="L442" s="9"/>
      <c r="M442" s="9"/>
      <c r="N442" s="9"/>
      <c r="O442" s="9"/>
      <c r="P442" s="9"/>
      <c r="Q442" s="9"/>
      <c r="R442" s="9"/>
      <c r="S442" s="9"/>
      <c r="T442" s="9"/>
      <c r="U442" s="9"/>
      <c r="V442" s="9"/>
      <c r="W442" s="9"/>
      <c r="X442" s="9"/>
      <c r="Y442" s="9"/>
      <c r="Z442" s="9"/>
      <c r="AA442" s="9"/>
      <c r="AB442" s="9"/>
      <c r="AC442" s="9"/>
      <c r="AD442" s="9"/>
      <c r="AE442" s="9"/>
      <c r="AF442" s="9"/>
      <c r="AG442" s="9"/>
      <c r="AH442" s="9"/>
      <c r="AI442" s="9"/>
      <c r="AJ442" s="9"/>
      <c r="AK442" s="9"/>
      <c r="AL442" s="9"/>
      <c r="AM442" s="9"/>
      <c r="AN442" s="10"/>
      <c r="AO442" s="65">
        <f t="shared" si="13"/>
        <v>0</v>
      </c>
    </row>
    <row r="443" spans="2:41" s="4" customFormat="1" ht="24" customHeight="1" x14ac:dyDescent="0.2">
      <c r="B443" s="14"/>
      <c r="C443" s="23"/>
      <c r="D443" s="21" t="str">
        <f>IF(ISBLANK(C443), "",
_xlfn.WEBSERVICE(
"https://d16nxf5gxyt1xz.cloudfront.net/Prod/translation?id="
&amp;アカウント情報!$C$2&amp;
"&amp;pwd="
&amp;アカウント情報!$C$3&amp;
"&amp;item="
&amp;_xlfn.ENCODEURL(設定!$F$3)&amp;
"&amp;word="
&amp;_xlfn.ENCODEURL(C443)
)
)</f>
        <v/>
      </c>
      <c r="E443" s="6"/>
      <c r="F443" s="16" t="str">
        <f>IFERROR(VLOOKUP($E443,設定!$C:$F,2,0),"")</f>
        <v/>
      </c>
      <c r="G443" s="156" t="str">
        <f>IFERROR(VLOOKUP($E443,設定!$C:$F,3,0),"")</f>
        <v/>
      </c>
      <c r="H443" s="131" t="str">
        <f>IFERROR(VLOOKUP($E443,設定!$C:$F,4,0),"")</f>
        <v/>
      </c>
      <c r="I443" s="402"/>
      <c r="J443" s="8"/>
      <c r="K443" s="9"/>
      <c r="L443" s="9"/>
      <c r="M443" s="9"/>
      <c r="N443" s="9"/>
      <c r="O443" s="9"/>
      <c r="P443" s="9"/>
      <c r="Q443" s="9"/>
      <c r="R443" s="9"/>
      <c r="S443" s="9"/>
      <c r="T443" s="9"/>
      <c r="U443" s="9"/>
      <c r="V443" s="9"/>
      <c r="W443" s="9"/>
      <c r="X443" s="9"/>
      <c r="Y443" s="9"/>
      <c r="Z443" s="9"/>
      <c r="AA443" s="9"/>
      <c r="AB443" s="9"/>
      <c r="AC443" s="9"/>
      <c r="AD443" s="9"/>
      <c r="AE443" s="9"/>
      <c r="AF443" s="9"/>
      <c r="AG443" s="9"/>
      <c r="AH443" s="9"/>
      <c r="AI443" s="9"/>
      <c r="AJ443" s="9"/>
      <c r="AK443" s="9"/>
      <c r="AL443" s="9"/>
      <c r="AM443" s="9"/>
      <c r="AN443" s="10"/>
      <c r="AO443" s="65">
        <f t="shared" si="13"/>
        <v>0</v>
      </c>
    </row>
    <row r="444" spans="2:41" s="4" customFormat="1" ht="24" customHeight="1" x14ac:dyDescent="0.2">
      <c r="B444" s="14"/>
      <c r="C444" s="23"/>
      <c r="D444" s="21" t="str">
        <f>IF(ISBLANK(C444), "",
_xlfn.WEBSERVICE(
"https://d16nxf5gxyt1xz.cloudfront.net/Prod/translation?id="
&amp;アカウント情報!$C$2&amp;
"&amp;pwd="
&amp;アカウント情報!$C$3&amp;
"&amp;item="
&amp;_xlfn.ENCODEURL(設定!$F$3)&amp;
"&amp;word="
&amp;_xlfn.ENCODEURL(C444)
)
)</f>
        <v/>
      </c>
      <c r="E444" s="6"/>
      <c r="F444" s="16" t="str">
        <f>IFERROR(VLOOKUP($E444,設定!$C:$F,2,0),"")</f>
        <v/>
      </c>
      <c r="G444" s="156" t="str">
        <f>IFERROR(VLOOKUP($E444,設定!$C:$F,3,0),"")</f>
        <v/>
      </c>
      <c r="H444" s="131" t="str">
        <f>IFERROR(VLOOKUP($E444,設定!$C:$F,4,0),"")</f>
        <v/>
      </c>
      <c r="I444" s="402"/>
      <c r="J444" s="8"/>
      <c r="K444" s="9"/>
      <c r="L444" s="9"/>
      <c r="M444" s="9"/>
      <c r="N444" s="9"/>
      <c r="O444" s="9"/>
      <c r="P444" s="9"/>
      <c r="Q444" s="9"/>
      <c r="R444" s="9"/>
      <c r="S444" s="9"/>
      <c r="T444" s="9"/>
      <c r="U444" s="9"/>
      <c r="V444" s="9"/>
      <c r="W444" s="9"/>
      <c r="X444" s="9"/>
      <c r="Y444" s="9"/>
      <c r="Z444" s="9"/>
      <c r="AA444" s="9"/>
      <c r="AB444" s="9"/>
      <c r="AC444" s="9"/>
      <c r="AD444" s="9"/>
      <c r="AE444" s="9"/>
      <c r="AF444" s="9"/>
      <c r="AG444" s="9"/>
      <c r="AH444" s="9"/>
      <c r="AI444" s="9"/>
      <c r="AJ444" s="9"/>
      <c r="AK444" s="9"/>
      <c r="AL444" s="9"/>
      <c r="AM444" s="9"/>
      <c r="AN444" s="10"/>
      <c r="AO444" s="65">
        <f t="shared" si="13"/>
        <v>0</v>
      </c>
    </row>
    <row r="445" spans="2:41" s="4" customFormat="1" ht="24" customHeight="1" x14ac:dyDescent="0.2">
      <c r="B445" s="14"/>
      <c r="C445" s="23"/>
      <c r="D445" s="21" t="str">
        <f>IF(ISBLANK(C445), "",
_xlfn.WEBSERVICE(
"https://d16nxf5gxyt1xz.cloudfront.net/Prod/translation?id="
&amp;アカウント情報!$C$2&amp;
"&amp;pwd="
&amp;アカウント情報!$C$3&amp;
"&amp;item="
&amp;_xlfn.ENCODEURL(設定!$F$3)&amp;
"&amp;word="
&amp;_xlfn.ENCODEURL(C445)
)
)</f>
        <v/>
      </c>
      <c r="E445" s="6"/>
      <c r="F445" s="16" t="str">
        <f>IFERROR(VLOOKUP($E445,設定!$C:$F,2,0),"")</f>
        <v/>
      </c>
      <c r="G445" s="156" t="str">
        <f>IFERROR(VLOOKUP($E445,設定!$C:$F,3,0),"")</f>
        <v/>
      </c>
      <c r="H445" s="131" t="str">
        <f>IFERROR(VLOOKUP($E445,設定!$C:$F,4,0),"")</f>
        <v/>
      </c>
      <c r="I445" s="402"/>
      <c r="J445" s="8"/>
      <c r="K445" s="9"/>
      <c r="L445" s="9"/>
      <c r="M445" s="9"/>
      <c r="N445" s="9"/>
      <c r="O445" s="9"/>
      <c r="P445" s="9"/>
      <c r="Q445" s="9"/>
      <c r="R445" s="9"/>
      <c r="S445" s="9"/>
      <c r="T445" s="9"/>
      <c r="U445" s="9"/>
      <c r="V445" s="9"/>
      <c r="W445" s="9"/>
      <c r="X445" s="9"/>
      <c r="Y445" s="9"/>
      <c r="Z445" s="9"/>
      <c r="AA445" s="9"/>
      <c r="AB445" s="9"/>
      <c r="AC445" s="9"/>
      <c r="AD445" s="9"/>
      <c r="AE445" s="9"/>
      <c r="AF445" s="9"/>
      <c r="AG445" s="9"/>
      <c r="AH445" s="9"/>
      <c r="AI445" s="9"/>
      <c r="AJ445" s="9"/>
      <c r="AK445" s="9"/>
      <c r="AL445" s="9"/>
      <c r="AM445" s="9"/>
      <c r="AN445" s="10"/>
      <c r="AO445" s="65">
        <f t="shared" si="13"/>
        <v>0</v>
      </c>
    </row>
    <row r="446" spans="2:41" s="4" customFormat="1" ht="24" customHeight="1" x14ac:dyDescent="0.2">
      <c r="B446" s="14"/>
      <c r="C446" s="23"/>
      <c r="D446" s="21" t="str">
        <f>IF(ISBLANK(C446), "",
_xlfn.WEBSERVICE(
"https://d16nxf5gxyt1xz.cloudfront.net/Prod/translation?id="
&amp;アカウント情報!$C$2&amp;
"&amp;pwd="
&amp;アカウント情報!$C$3&amp;
"&amp;item="
&amp;_xlfn.ENCODEURL(設定!$F$3)&amp;
"&amp;word="
&amp;_xlfn.ENCODEURL(C446)
)
)</f>
        <v/>
      </c>
      <c r="E446" s="6"/>
      <c r="F446" s="16" t="str">
        <f>IFERROR(VLOOKUP($E446,設定!$C:$F,2,0),"")</f>
        <v/>
      </c>
      <c r="G446" s="156" t="str">
        <f>IFERROR(VLOOKUP($E446,設定!$C:$F,3,0),"")</f>
        <v/>
      </c>
      <c r="H446" s="131" t="str">
        <f>IFERROR(VLOOKUP($E446,設定!$C:$F,4,0),"")</f>
        <v/>
      </c>
      <c r="I446" s="402"/>
      <c r="J446" s="8"/>
      <c r="K446" s="9"/>
      <c r="L446" s="9"/>
      <c r="M446" s="9"/>
      <c r="N446" s="9"/>
      <c r="O446" s="9"/>
      <c r="P446" s="9"/>
      <c r="Q446" s="9"/>
      <c r="R446" s="9"/>
      <c r="S446" s="9"/>
      <c r="T446" s="9"/>
      <c r="U446" s="9"/>
      <c r="V446" s="9"/>
      <c r="W446" s="9"/>
      <c r="X446" s="9"/>
      <c r="Y446" s="9"/>
      <c r="Z446" s="9"/>
      <c r="AA446" s="9"/>
      <c r="AB446" s="9"/>
      <c r="AC446" s="9"/>
      <c r="AD446" s="9"/>
      <c r="AE446" s="9"/>
      <c r="AF446" s="9"/>
      <c r="AG446" s="9"/>
      <c r="AH446" s="9"/>
      <c r="AI446" s="9"/>
      <c r="AJ446" s="9"/>
      <c r="AK446" s="9"/>
      <c r="AL446" s="9"/>
      <c r="AM446" s="9"/>
      <c r="AN446" s="10"/>
      <c r="AO446" s="65">
        <f t="shared" si="13"/>
        <v>0</v>
      </c>
    </row>
    <row r="447" spans="2:41" s="4" customFormat="1" ht="24" customHeight="1" x14ac:dyDescent="0.2">
      <c r="B447" s="14"/>
      <c r="C447" s="23"/>
      <c r="D447" s="21" t="str">
        <f>IF(ISBLANK(C447), "",
_xlfn.WEBSERVICE(
"https://d16nxf5gxyt1xz.cloudfront.net/Prod/translation?id="
&amp;アカウント情報!$C$2&amp;
"&amp;pwd="
&amp;アカウント情報!$C$3&amp;
"&amp;item="
&amp;_xlfn.ENCODEURL(設定!$F$3)&amp;
"&amp;word="
&amp;_xlfn.ENCODEURL(C447)
)
)</f>
        <v/>
      </c>
      <c r="E447" s="6"/>
      <c r="F447" s="16" t="str">
        <f>IFERROR(VLOOKUP($E447,設定!$C:$F,2,0),"")</f>
        <v/>
      </c>
      <c r="G447" s="156" t="str">
        <f>IFERROR(VLOOKUP($E447,設定!$C:$F,3,0),"")</f>
        <v/>
      </c>
      <c r="H447" s="131" t="str">
        <f>IFERROR(VLOOKUP($E447,設定!$C:$F,4,0),"")</f>
        <v/>
      </c>
      <c r="I447" s="402"/>
      <c r="J447" s="8"/>
      <c r="K447" s="9"/>
      <c r="L447" s="9"/>
      <c r="M447" s="9"/>
      <c r="N447" s="9"/>
      <c r="O447" s="9"/>
      <c r="P447" s="9"/>
      <c r="Q447" s="9"/>
      <c r="R447" s="9"/>
      <c r="S447" s="9"/>
      <c r="T447" s="9"/>
      <c r="U447" s="9"/>
      <c r="V447" s="9"/>
      <c r="W447" s="9"/>
      <c r="X447" s="9"/>
      <c r="Y447" s="9"/>
      <c r="Z447" s="9"/>
      <c r="AA447" s="9"/>
      <c r="AB447" s="9"/>
      <c r="AC447" s="9"/>
      <c r="AD447" s="9"/>
      <c r="AE447" s="9"/>
      <c r="AF447" s="9"/>
      <c r="AG447" s="9"/>
      <c r="AH447" s="9"/>
      <c r="AI447" s="9"/>
      <c r="AJ447" s="9"/>
      <c r="AK447" s="9"/>
      <c r="AL447" s="9"/>
      <c r="AM447" s="9"/>
      <c r="AN447" s="10"/>
      <c r="AO447" s="65">
        <f t="shared" si="13"/>
        <v>0</v>
      </c>
    </row>
    <row r="448" spans="2:41" s="4" customFormat="1" ht="24" customHeight="1" x14ac:dyDescent="0.2">
      <c r="B448" s="14"/>
      <c r="C448" s="23"/>
      <c r="D448" s="21" t="str">
        <f>IF(ISBLANK(C448), "",
_xlfn.WEBSERVICE(
"https://d16nxf5gxyt1xz.cloudfront.net/Prod/translation?id="
&amp;アカウント情報!$C$2&amp;
"&amp;pwd="
&amp;アカウント情報!$C$3&amp;
"&amp;item="
&amp;_xlfn.ENCODEURL(設定!$F$3)&amp;
"&amp;word="
&amp;_xlfn.ENCODEURL(C448)
)
)</f>
        <v/>
      </c>
      <c r="E448" s="6"/>
      <c r="F448" s="16" t="str">
        <f>IFERROR(VLOOKUP($E448,設定!$C:$F,2,0),"")</f>
        <v/>
      </c>
      <c r="G448" s="156" t="str">
        <f>IFERROR(VLOOKUP($E448,設定!$C:$F,3,0),"")</f>
        <v/>
      </c>
      <c r="H448" s="131" t="str">
        <f>IFERROR(VLOOKUP($E448,設定!$C:$F,4,0),"")</f>
        <v/>
      </c>
      <c r="I448" s="402"/>
      <c r="J448" s="8"/>
      <c r="K448" s="9"/>
      <c r="L448" s="9"/>
      <c r="M448" s="9"/>
      <c r="N448" s="9"/>
      <c r="O448" s="9"/>
      <c r="P448" s="9"/>
      <c r="Q448" s="9"/>
      <c r="R448" s="9"/>
      <c r="S448" s="9"/>
      <c r="T448" s="9"/>
      <c r="U448" s="9"/>
      <c r="V448" s="9"/>
      <c r="W448" s="9"/>
      <c r="X448" s="9"/>
      <c r="Y448" s="9"/>
      <c r="Z448" s="9"/>
      <c r="AA448" s="9"/>
      <c r="AB448" s="9"/>
      <c r="AC448" s="9"/>
      <c r="AD448" s="9"/>
      <c r="AE448" s="9"/>
      <c r="AF448" s="9"/>
      <c r="AG448" s="9"/>
      <c r="AH448" s="9"/>
      <c r="AI448" s="9"/>
      <c r="AJ448" s="9"/>
      <c r="AK448" s="9"/>
      <c r="AL448" s="9"/>
      <c r="AM448" s="9"/>
      <c r="AN448" s="10"/>
      <c r="AO448" s="65">
        <f t="shared" si="13"/>
        <v>0</v>
      </c>
    </row>
    <row r="449" spans="2:41" s="4" customFormat="1" ht="24" customHeight="1" x14ac:dyDescent="0.2">
      <c r="B449" s="14"/>
      <c r="C449" s="23"/>
      <c r="D449" s="21" t="str">
        <f>IF(ISBLANK(C449), "",
_xlfn.WEBSERVICE(
"https://d16nxf5gxyt1xz.cloudfront.net/Prod/translation?id="
&amp;アカウント情報!$C$2&amp;
"&amp;pwd="
&amp;アカウント情報!$C$3&amp;
"&amp;item="
&amp;_xlfn.ENCODEURL(設定!$F$3)&amp;
"&amp;word="
&amp;_xlfn.ENCODEURL(C449)
)
)</f>
        <v/>
      </c>
      <c r="E449" s="6"/>
      <c r="F449" s="16" t="str">
        <f>IFERROR(VLOOKUP($E449,設定!$C:$F,2,0),"")</f>
        <v/>
      </c>
      <c r="G449" s="156" t="str">
        <f>IFERROR(VLOOKUP($E449,設定!$C:$F,3,0),"")</f>
        <v/>
      </c>
      <c r="H449" s="131" t="str">
        <f>IFERROR(VLOOKUP($E449,設定!$C:$F,4,0),"")</f>
        <v/>
      </c>
      <c r="I449" s="402"/>
      <c r="J449" s="8"/>
      <c r="K449" s="9"/>
      <c r="L449" s="9"/>
      <c r="M449" s="9"/>
      <c r="N449" s="9"/>
      <c r="O449" s="9"/>
      <c r="P449" s="9"/>
      <c r="Q449" s="9"/>
      <c r="R449" s="9"/>
      <c r="S449" s="9"/>
      <c r="T449" s="9"/>
      <c r="U449" s="9"/>
      <c r="V449" s="9"/>
      <c r="W449" s="9"/>
      <c r="X449" s="9"/>
      <c r="Y449" s="9"/>
      <c r="Z449" s="9"/>
      <c r="AA449" s="9"/>
      <c r="AB449" s="9"/>
      <c r="AC449" s="9"/>
      <c r="AD449" s="9"/>
      <c r="AE449" s="9"/>
      <c r="AF449" s="9"/>
      <c r="AG449" s="9"/>
      <c r="AH449" s="9"/>
      <c r="AI449" s="9"/>
      <c r="AJ449" s="9"/>
      <c r="AK449" s="9"/>
      <c r="AL449" s="9"/>
      <c r="AM449" s="9"/>
      <c r="AN449" s="10"/>
      <c r="AO449" s="65">
        <f t="shared" si="13"/>
        <v>0</v>
      </c>
    </row>
    <row r="450" spans="2:41" s="4" customFormat="1" ht="24" customHeight="1" x14ac:dyDescent="0.2">
      <c r="B450" s="14"/>
      <c r="C450" s="23"/>
      <c r="D450" s="21" t="str">
        <f>IF(ISBLANK(C450), "",
_xlfn.WEBSERVICE(
"https://d16nxf5gxyt1xz.cloudfront.net/Prod/translation?id="
&amp;アカウント情報!$C$2&amp;
"&amp;pwd="
&amp;アカウント情報!$C$3&amp;
"&amp;item="
&amp;_xlfn.ENCODEURL(設定!$F$3)&amp;
"&amp;word="
&amp;_xlfn.ENCODEURL(C450)
)
)</f>
        <v/>
      </c>
      <c r="E450" s="6"/>
      <c r="F450" s="16" t="str">
        <f>IFERROR(VLOOKUP($E450,設定!$C:$F,2,0),"")</f>
        <v/>
      </c>
      <c r="G450" s="156" t="str">
        <f>IFERROR(VLOOKUP($E450,設定!$C:$F,3,0),"")</f>
        <v/>
      </c>
      <c r="H450" s="131" t="str">
        <f>IFERROR(VLOOKUP($E450,設定!$C:$F,4,0),"")</f>
        <v/>
      </c>
      <c r="I450" s="402"/>
      <c r="J450" s="8"/>
      <c r="K450" s="9"/>
      <c r="L450" s="9"/>
      <c r="M450" s="9"/>
      <c r="N450" s="9"/>
      <c r="O450" s="9"/>
      <c r="P450" s="9"/>
      <c r="Q450" s="9"/>
      <c r="R450" s="9"/>
      <c r="S450" s="9"/>
      <c r="T450" s="9"/>
      <c r="U450" s="9"/>
      <c r="V450" s="9"/>
      <c r="W450" s="9"/>
      <c r="X450" s="9"/>
      <c r="Y450" s="9"/>
      <c r="Z450" s="9"/>
      <c r="AA450" s="9"/>
      <c r="AB450" s="9"/>
      <c r="AC450" s="9"/>
      <c r="AD450" s="9"/>
      <c r="AE450" s="9"/>
      <c r="AF450" s="9"/>
      <c r="AG450" s="9"/>
      <c r="AH450" s="9"/>
      <c r="AI450" s="9"/>
      <c r="AJ450" s="9"/>
      <c r="AK450" s="9"/>
      <c r="AL450" s="9"/>
      <c r="AM450" s="9"/>
      <c r="AN450" s="10"/>
      <c r="AO450" s="65">
        <f t="shared" si="13"/>
        <v>0</v>
      </c>
    </row>
    <row r="451" spans="2:41" s="4" customFormat="1" ht="24" customHeight="1" x14ac:dyDescent="0.2">
      <c r="B451" s="14"/>
      <c r="C451" s="23"/>
      <c r="D451" s="21" t="str">
        <f>IF(ISBLANK(C451), "",
_xlfn.WEBSERVICE(
"https://d16nxf5gxyt1xz.cloudfront.net/Prod/translation?id="
&amp;アカウント情報!$C$2&amp;
"&amp;pwd="
&amp;アカウント情報!$C$3&amp;
"&amp;item="
&amp;_xlfn.ENCODEURL(設定!$F$3)&amp;
"&amp;word="
&amp;_xlfn.ENCODEURL(C451)
)
)</f>
        <v/>
      </c>
      <c r="E451" s="6"/>
      <c r="F451" s="16" t="str">
        <f>IFERROR(VLOOKUP($E451,設定!$C:$F,2,0),"")</f>
        <v/>
      </c>
      <c r="G451" s="156" t="str">
        <f>IFERROR(VLOOKUP($E451,設定!$C:$F,3,0),"")</f>
        <v/>
      </c>
      <c r="H451" s="131" t="str">
        <f>IFERROR(VLOOKUP($E451,設定!$C:$F,4,0),"")</f>
        <v/>
      </c>
      <c r="I451" s="402"/>
      <c r="J451" s="8"/>
      <c r="K451" s="9"/>
      <c r="L451" s="9"/>
      <c r="M451" s="9"/>
      <c r="N451" s="9"/>
      <c r="O451" s="9"/>
      <c r="P451" s="9"/>
      <c r="Q451" s="9"/>
      <c r="R451" s="9"/>
      <c r="S451" s="9"/>
      <c r="T451" s="9"/>
      <c r="U451" s="9"/>
      <c r="V451" s="9"/>
      <c r="W451" s="9"/>
      <c r="X451" s="9"/>
      <c r="Y451" s="9"/>
      <c r="Z451" s="9"/>
      <c r="AA451" s="9"/>
      <c r="AB451" s="9"/>
      <c r="AC451" s="9"/>
      <c r="AD451" s="9"/>
      <c r="AE451" s="9"/>
      <c r="AF451" s="9"/>
      <c r="AG451" s="9"/>
      <c r="AH451" s="9"/>
      <c r="AI451" s="9"/>
      <c r="AJ451" s="9"/>
      <c r="AK451" s="9"/>
      <c r="AL451" s="9"/>
      <c r="AM451" s="9"/>
      <c r="AN451" s="10"/>
      <c r="AO451" s="65">
        <f t="shared" si="13"/>
        <v>0</v>
      </c>
    </row>
    <row r="452" spans="2:41" s="4" customFormat="1" ht="24" customHeight="1" x14ac:dyDescent="0.2">
      <c r="B452" s="14"/>
      <c r="C452" s="23"/>
      <c r="D452" s="21" t="str">
        <f>IF(ISBLANK(C452), "",
_xlfn.WEBSERVICE(
"https://d16nxf5gxyt1xz.cloudfront.net/Prod/translation?id="
&amp;アカウント情報!$C$2&amp;
"&amp;pwd="
&amp;アカウント情報!$C$3&amp;
"&amp;item="
&amp;_xlfn.ENCODEURL(設定!$F$3)&amp;
"&amp;word="
&amp;_xlfn.ENCODEURL(C452)
)
)</f>
        <v/>
      </c>
      <c r="E452" s="6"/>
      <c r="F452" s="16" t="str">
        <f>IFERROR(VLOOKUP($E452,設定!$C:$F,2,0),"")</f>
        <v/>
      </c>
      <c r="G452" s="156" t="str">
        <f>IFERROR(VLOOKUP($E452,設定!$C:$F,3,0),"")</f>
        <v/>
      </c>
      <c r="H452" s="131" t="str">
        <f>IFERROR(VLOOKUP($E452,設定!$C:$F,4,0),"")</f>
        <v/>
      </c>
      <c r="I452" s="402"/>
      <c r="J452" s="8"/>
      <c r="K452" s="9"/>
      <c r="L452" s="9"/>
      <c r="M452" s="9"/>
      <c r="N452" s="9"/>
      <c r="O452" s="9"/>
      <c r="P452" s="9"/>
      <c r="Q452" s="9"/>
      <c r="R452" s="9"/>
      <c r="S452" s="9"/>
      <c r="T452" s="9"/>
      <c r="U452" s="9"/>
      <c r="V452" s="9"/>
      <c r="W452" s="9"/>
      <c r="X452" s="9"/>
      <c r="Y452" s="9"/>
      <c r="Z452" s="9"/>
      <c r="AA452" s="9"/>
      <c r="AB452" s="9"/>
      <c r="AC452" s="9"/>
      <c r="AD452" s="9"/>
      <c r="AE452" s="9"/>
      <c r="AF452" s="9"/>
      <c r="AG452" s="9"/>
      <c r="AH452" s="9"/>
      <c r="AI452" s="9"/>
      <c r="AJ452" s="9"/>
      <c r="AK452" s="9"/>
      <c r="AL452" s="9"/>
      <c r="AM452" s="9"/>
      <c r="AN452" s="10"/>
      <c r="AO452" s="65">
        <f t="shared" si="13"/>
        <v>0</v>
      </c>
    </row>
    <row r="453" spans="2:41" s="4" customFormat="1" ht="24" customHeight="1" x14ac:dyDescent="0.2">
      <c r="B453" s="14"/>
      <c r="C453" s="23"/>
      <c r="D453" s="21" t="str">
        <f>IF(ISBLANK(C453), "",
_xlfn.WEBSERVICE(
"https://d16nxf5gxyt1xz.cloudfront.net/Prod/translation?id="
&amp;アカウント情報!$C$2&amp;
"&amp;pwd="
&amp;アカウント情報!$C$3&amp;
"&amp;item="
&amp;_xlfn.ENCODEURL(設定!$F$3)&amp;
"&amp;word="
&amp;_xlfn.ENCODEURL(C453)
)
)</f>
        <v/>
      </c>
      <c r="E453" s="6"/>
      <c r="F453" s="16" t="str">
        <f>IFERROR(VLOOKUP($E453,設定!$C:$F,2,0),"")</f>
        <v/>
      </c>
      <c r="G453" s="156" t="str">
        <f>IFERROR(VLOOKUP($E453,設定!$C:$F,3,0),"")</f>
        <v/>
      </c>
      <c r="H453" s="131" t="str">
        <f>IFERROR(VLOOKUP($E453,設定!$C:$F,4,0),"")</f>
        <v/>
      </c>
      <c r="I453" s="402"/>
      <c r="J453" s="8"/>
      <c r="K453" s="9"/>
      <c r="L453" s="9"/>
      <c r="M453" s="9"/>
      <c r="N453" s="9"/>
      <c r="O453" s="9"/>
      <c r="P453" s="9"/>
      <c r="Q453" s="9"/>
      <c r="R453" s="9"/>
      <c r="S453" s="9"/>
      <c r="T453" s="9"/>
      <c r="U453" s="9"/>
      <c r="V453" s="9"/>
      <c r="W453" s="9"/>
      <c r="X453" s="9"/>
      <c r="Y453" s="9"/>
      <c r="Z453" s="9"/>
      <c r="AA453" s="9"/>
      <c r="AB453" s="9"/>
      <c r="AC453" s="9"/>
      <c r="AD453" s="9"/>
      <c r="AE453" s="9"/>
      <c r="AF453" s="9"/>
      <c r="AG453" s="9"/>
      <c r="AH453" s="9"/>
      <c r="AI453" s="9"/>
      <c r="AJ453" s="9"/>
      <c r="AK453" s="9"/>
      <c r="AL453" s="9"/>
      <c r="AM453" s="9"/>
      <c r="AN453" s="10"/>
      <c r="AO453" s="65">
        <f t="shared" si="13"/>
        <v>0</v>
      </c>
    </row>
    <row r="454" spans="2:41" s="4" customFormat="1" ht="24" customHeight="1" x14ac:dyDescent="0.2">
      <c r="B454" s="14"/>
      <c r="C454" s="23"/>
      <c r="D454" s="21" t="str">
        <f>IF(ISBLANK(C454), "",
_xlfn.WEBSERVICE(
"https://d16nxf5gxyt1xz.cloudfront.net/Prod/translation?id="
&amp;アカウント情報!$C$2&amp;
"&amp;pwd="
&amp;アカウント情報!$C$3&amp;
"&amp;item="
&amp;_xlfn.ENCODEURL(設定!$F$3)&amp;
"&amp;word="
&amp;_xlfn.ENCODEURL(C454)
)
)</f>
        <v/>
      </c>
      <c r="E454" s="6"/>
      <c r="F454" s="16" t="str">
        <f>IFERROR(VLOOKUP($E454,設定!$C:$F,2,0),"")</f>
        <v/>
      </c>
      <c r="G454" s="156" t="str">
        <f>IFERROR(VLOOKUP($E454,設定!$C:$F,3,0),"")</f>
        <v/>
      </c>
      <c r="H454" s="131" t="str">
        <f>IFERROR(VLOOKUP($E454,設定!$C:$F,4,0),"")</f>
        <v/>
      </c>
      <c r="I454" s="402"/>
      <c r="J454" s="8"/>
      <c r="K454" s="9"/>
      <c r="L454" s="9"/>
      <c r="M454" s="9"/>
      <c r="N454" s="9"/>
      <c r="O454" s="9"/>
      <c r="P454" s="9"/>
      <c r="Q454" s="9"/>
      <c r="R454" s="9"/>
      <c r="S454" s="9"/>
      <c r="T454" s="9"/>
      <c r="U454" s="9"/>
      <c r="V454" s="9"/>
      <c r="W454" s="9"/>
      <c r="X454" s="9"/>
      <c r="Y454" s="9"/>
      <c r="Z454" s="9"/>
      <c r="AA454" s="9"/>
      <c r="AB454" s="9"/>
      <c r="AC454" s="9"/>
      <c r="AD454" s="9"/>
      <c r="AE454" s="9"/>
      <c r="AF454" s="9"/>
      <c r="AG454" s="9"/>
      <c r="AH454" s="9"/>
      <c r="AI454" s="9"/>
      <c r="AJ454" s="9"/>
      <c r="AK454" s="9"/>
      <c r="AL454" s="9"/>
      <c r="AM454" s="9"/>
      <c r="AN454" s="10"/>
      <c r="AO454" s="65">
        <f t="shared" si="13"/>
        <v>0</v>
      </c>
    </row>
    <row r="455" spans="2:41" s="4" customFormat="1" ht="24" customHeight="1" x14ac:dyDescent="0.2">
      <c r="B455" s="14"/>
      <c r="C455" s="23"/>
      <c r="D455" s="21" t="str">
        <f>IF(ISBLANK(C455), "",
_xlfn.WEBSERVICE(
"https://d16nxf5gxyt1xz.cloudfront.net/Prod/translation?id="
&amp;アカウント情報!$C$2&amp;
"&amp;pwd="
&amp;アカウント情報!$C$3&amp;
"&amp;item="
&amp;_xlfn.ENCODEURL(設定!$F$3)&amp;
"&amp;word="
&amp;_xlfn.ENCODEURL(C455)
)
)</f>
        <v/>
      </c>
      <c r="E455" s="6"/>
      <c r="F455" s="16" t="str">
        <f>IFERROR(VLOOKUP($E455,設定!$C:$F,2,0),"")</f>
        <v/>
      </c>
      <c r="G455" s="156" t="str">
        <f>IFERROR(VLOOKUP($E455,設定!$C:$F,3,0),"")</f>
        <v/>
      </c>
      <c r="H455" s="131" t="str">
        <f>IFERROR(VLOOKUP($E455,設定!$C:$F,4,0),"")</f>
        <v/>
      </c>
      <c r="I455" s="402"/>
      <c r="J455" s="8"/>
      <c r="K455" s="9"/>
      <c r="L455" s="9"/>
      <c r="M455" s="9"/>
      <c r="N455" s="9"/>
      <c r="O455" s="9"/>
      <c r="P455" s="9"/>
      <c r="Q455" s="9"/>
      <c r="R455" s="9"/>
      <c r="S455" s="9"/>
      <c r="T455" s="9"/>
      <c r="U455" s="9"/>
      <c r="V455" s="9"/>
      <c r="W455" s="9"/>
      <c r="X455" s="9"/>
      <c r="Y455" s="9"/>
      <c r="Z455" s="9"/>
      <c r="AA455" s="9"/>
      <c r="AB455" s="9"/>
      <c r="AC455" s="9"/>
      <c r="AD455" s="9"/>
      <c r="AE455" s="9"/>
      <c r="AF455" s="9"/>
      <c r="AG455" s="9"/>
      <c r="AH455" s="9"/>
      <c r="AI455" s="9"/>
      <c r="AJ455" s="9"/>
      <c r="AK455" s="9"/>
      <c r="AL455" s="9"/>
      <c r="AM455" s="9"/>
      <c r="AN455" s="10"/>
      <c r="AO455" s="65">
        <f t="shared" si="13"/>
        <v>0</v>
      </c>
    </row>
    <row r="456" spans="2:41" s="4" customFormat="1" ht="24" customHeight="1" x14ac:dyDescent="0.2">
      <c r="B456" s="14"/>
      <c r="C456" s="23"/>
      <c r="D456" s="21" t="str">
        <f>IF(ISBLANK(C456), "",
_xlfn.WEBSERVICE(
"https://d16nxf5gxyt1xz.cloudfront.net/Prod/translation?id="
&amp;アカウント情報!$C$2&amp;
"&amp;pwd="
&amp;アカウント情報!$C$3&amp;
"&amp;item="
&amp;_xlfn.ENCODEURL(設定!$F$3)&amp;
"&amp;word="
&amp;_xlfn.ENCODEURL(C456)
)
)</f>
        <v/>
      </c>
      <c r="E456" s="6"/>
      <c r="F456" s="16" t="str">
        <f>IFERROR(VLOOKUP($E456,設定!$C:$F,2,0),"")</f>
        <v/>
      </c>
      <c r="G456" s="156" t="str">
        <f>IFERROR(VLOOKUP($E456,設定!$C:$F,3,0),"")</f>
        <v/>
      </c>
      <c r="H456" s="131" t="str">
        <f>IFERROR(VLOOKUP($E456,設定!$C:$F,4,0),"")</f>
        <v/>
      </c>
      <c r="I456" s="402"/>
      <c r="J456" s="8"/>
      <c r="K456" s="9"/>
      <c r="L456" s="9"/>
      <c r="M456" s="9"/>
      <c r="N456" s="9"/>
      <c r="O456" s="9"/>
      <c r="P456" s="9"/>
      <c r="Q456" s="9"/>
      <c r="R456" s="9"/>
      <c r="S456" s="9"/>
      <c r="T456" s="9"/>
      <c r="U456" s="9"/>
      <c r="V456" s="9"/>
      <c r="W456" s="9"/>
      <c r="X456" s="9"/>
      <c r="Y456" s="9"/>
      <c r="Z456" s="9"/>
      <c r="AA456" s="9"/>
      <c r="AB456" s="9"/>
      <c r="AC456" s="9"/>
      <c r="AD456" s="9"/>
      <c r="AE456" s="9"/>
      <c r="AF456" s="9"/>
      <c r="AG456" s="9"/>
      <c r="AH456" s="9"/>
      <c r="AI456" s="9"/>
      <c r="AJ456" s="9"/>
      <c r="AK456" s="9"/>
      <c r="AL456" s="9"/>
      <c r="AM456" s="9"/>
      <c r="AN456" s="10"/>
      <c r="AO456" s="65">
        <f t="shared" si="13"/>
        <v>0</v>
      </c>
    </row>
    <row r="457" spans="2:41" s="4" customFormat="1" ht="24" customHeight="1" x14ac:dyDescent="0.2">
      <c r="B457" s="14"/>
      <c r="C457" s="23"/>
      <c r="D457" s="21" t="str">
        <f>IF(ISBLANK(C457), "",
_xlfn.WEBSERVICE(
"https://d16nxf5gxyt1xz.cloudfront.net/Prod/translation?id="
&amp;アカウント情報!$C$2&amp;
"&amp;pwd="
&amp;アカウント情報!$C$3&amp;
"&amp;item="
&amp;_xlfn.ENCODEURL(設定!$F$3)&amp;
"&amp;word="
&amp;_xlfn.ENCODEURL(C457)
)
)</f>
        <v/>
      </c>
      <c r="E457" s="6"/>
      <c r="F457" s="16" t="str">
        <f>IFERROR(VLOOKUP($E457,設定!$C:$F,2,0),"")</f>
        <v/>
      </c>
      <c r="G457" s="156" t="str">
        <f>IFERROR(VLOOKUP($E457,設定!$C:$F,3,0),"")</f>
        <v/>
      </c>
      <c r="H457" s="131" t="str">
        <f>IFERROR(VLOOKUP($E457,設定!$C:$F,4,0),"")</f>
        <v/>
      </c>
      <c r="I457" s="402"/>
      <c r="J457" s="8"/>
      <c r="K457" s="9"/>
      <c r="L457" s="9"/>
      <c r="M457" s="9"/>
      <c r="N457" s="9"/>
      <c r="O457" s="9"/>
      <c r="P457" s="9"/>
      <c r="Q457" s="9"/>
      <c r="R457" s="9"/>
      <c r="S457" s="9"/>
      <c r="T457" s="9"/>
      <c r="U457" s="9"/>
      <c r="V457" s="9"/>
      <c r="W457" s="9"/>
      <c r="X457" s="9"/>
      <c r="Y457" s="9"/>
      <c r="Z457" s="9"/>
      <c r="AA457" s="9"/>
      <c r="AB457" s="9"/>
      <c r="AC457" s="9"/>
      <c r="AD457" s="9"/>
      <c r="AE457" s="9"/>
      <c r="AF457" s="9"/>
      <c r="AG457" s="9"/>
      <c r="AH457" s="9"/>
      <c r="AI457" s="9"/>
      <c r="AJ457" s="9"/>
      <c r="AK457" s="9"/>
      <c r="AL457" s="9"/>
      <c r="AM457" s="9"/>
      <c r="AN457" s="10"/>
      <c r="AO457" s="65">
        <f t="shared" si="13"/>
        <v>0</v>
      </c>
    </row>
    <row r="458" spans="2:41" s="4" customFormat="1" ht="24" customHeight="1" x14ac:dyDescent="0.2">
      <c r="B458" s="14"/>
      <c r="C458" s="23"/>
      <c r="D458" s="21" t="str">
        <f>IF(ISBLANK(C458), "",
_xlfn.WEBSERVICE(
"https://d16nxf5gxyt1xz.cloudfront.net/Prod/translation?id="
&amp;アカウント情報!$C$2&amp;
"&amp;pwd="
&amp;アカウント情報!$C$3&amp;
"&amp;item="
&amp;_xlfn.ENCODEURL(設定!$F$3)&amp;
"&amp;word="
&amp;_xlfn.ENCODEURL(C458)
)
)</f>
        <v/>
      </c>
      <c r="E458" s="6"/>
      <c r="F458" s="16" t="str">
        <f>IFERROR(VLOOKUP($E458,設定!$C:$F,2,0),"")</f>
        <v/>
      </c>
      <c r="G458" s="156" t="str">
        <f>IFERROR(VLOOKUP($E458,設定!$C:$F,3,0),"")</f>
        <v/>
      </c>
      <c r="H458" s="131" t="str">
        <f>IFERROR(VLOOKUP($E458,設定!$C:$F,4,0),"")</f>
        <v/>
      </c>
      <c r="I458" s="402"/>
      <c r="J458" s="8"/>
      <c r="K458" s="9"/>
      <c r="L458" s="9"/>
      <c r="M458" s="9"/>
      <c r="N458" s="9"/>
      <c r="O458" s="9"/>
      <c r="P458" s="9"/>
      <c r="Q458" s="9"/>
      <c r="R458" s="9"/>
      <c r="S458" s="9"/>
      <c r="T458" s="9"/>
      <c r="U458" s="9"/>
      <c r="V458" s="9"/>
      <c r="W458" s="9"/>
      <c r="X458" s="9"/>
      <c r="Y458" s="9"/>
      <c r="Z458" s="9"/>
      <c r="AA458" s="9"/>
      <c r="AB458" s="9"/>
      <c r="AC458" s="9"/>
      <c r="AD458" s="9"/>
      <c r="AE458" s="9"/>
      <c r="AF458" s="9"/>
      <c r="AG458" s="9"/>
      <c r="AH458" s="9"/>
      <c r="AI458" s="9"/>
      <c r="AJ458" s="9"/>
      <c r="AK458" s="9"/>
      <c r="AL458" s="9"/>
      <c r="AM458" s="9"/>
      <c r="AN458" s="10"/>
      <c r="AO458" s="65">
        <f t="shared" si="13"/>
        <v>0</v>
      </c>
    </row>
    <row r="459" spans="2:41" s="4" customFormat="1" ht="24" customHeight="1" x14ac:dyDescent="0.2">
      <c r="B459" s="14"/>
      <c r="C459" s="23"/>
      <c r="D459" s="21" t="str">
        <f>IF(ISBLANK(C459), "",
_xlfn.WEBSERVICE(
"https://d16nxf5gxyt1xz.cloudfront.net/Prod/translation?id="
&amp;アカウント情報!$C$2&amp;
"&amp;pwd="
&amp;アカウント情報!$C$3&amp;
"&amp;item="
&amp;_xlfn.ENCODEURL(設定!$F$3)&amp;
"&amp;word="
&amp;_xlfn.ENCODEURL(C459)
)
)</f>
        <v/>
      </c>
      <c r="E459" s="6"/>
      <c r="F459" s="16" t="str">
        <f>IFERROR(VLOOKUP($E459,設定!$C:$F,2,0),"")</f>
        <v/>
      </c>
      <c r="G459" s="156" t="str">
        <f>IFERROR(VLOOKUP($E459,設定!$C:$F,3,0),"")</f>
        <v/>
      </c>
      <c r="H459" s="131" t="str">
        <f>IFERROR(VLOOKUP($E459,設定!$C:$F,4,0),"")</f>
        <v/>
      </c>
      <c r="I459" s="402"/>
      <c r="J459" s="8"/>
      <c r="K459" s="9"/>
      <c r="L459" s="9"/>
      <c r="M459" s="9"/>
      <c r="N459" s="9"/>
      <c r="O459" s="9"/>
      <c r="P459" s="9"/>
      <c r="Q459" s="9"/>
      <c r="R459" s="9"/>
      <c r="S459" s="9"/>
      <c r="T459" s="9"/>
      <c r="U459" s="9"/>
      <c r="V459" s="9"/>
      <c r="W459" s="9"/>
      <c r="X459" s="9"/>
      <c r="Y459" s="9"/>
      <c r="Z459" s="9"/>
      <c r="AA459" s="9"/>
      <c r="AB459" s="9"/>
      <c r="AC459" s="9"/>
      <c r="AD459" s="9"/>
      <c r="AE459" s="9"/>
      <c r="AF459" s="9"/>
      <c r="AG459" s="9"/>
      <c r="AH459" s="9"/>
      <c r="AI459" s="9"/>
      <c r="AJ459" s="9"/>
      <c r="AK459" s="9"/>
      <c r="AL459" s="9"/>
      <c r="AM459" s="9"/>
      <c r="AN459" s="10"/>
      <c r="AO459" s="65">
        <f t="shared" si="13"/>
        <v>0</v>
      </c>
    </row>
    <row r="460" spans="2:41" s="4" customFormat="1" ht="24" customHeight="1" x14ac:dyDescent="0.2">
      <c r="B460" s="14"/>
      <c r="C460" s="23"/>
      <c r="D460" s="21" t="str">
        <f>IF(ISBLANK(C460), "",
_xlfn.WEBSERVICE(
"https://d16nxf5gxyt1xz.cloudfront.net/Prod/translation?id="
&amp;アカウント情報!$C$2&amp;
"&amp;pwd="
&amp;アカウント情報!$C$3&amp;
"&amp;item="
&amp;_xlfn.ENCODEURL(設定!$F$3)&amp;
"&amp;word="
&amp;_xlfn.ENCODEURL(C460)
)
)</f>
        <v/>
      </c>
      <c r="E460" s="6"/>
      <c r="F460" s="16" t="str">
        <f>IFERROR(VLOOKUP($E460,設定!$C:$F,2,0),"")</f>
        <v/>
      </c>
      <c r="G460" s="156" t="str">
        <f>IFERROR(VLOOKUP($E460,設定!$C:$F,3,0),"")</f>
        <v/>
      </c>
      <c r="H460" s="131" t="str">
        <f>IFERROR(VLOOKUP($E460,設定!$C:$F,4,0),"")</f>
        <v/>
      </c>
      <c r="I460" s="402"/>
      <c r="J460" s="8"/>
      <c r="K460" s="9"/>
      <c r="L460" s="9"/>
      <c r="M460" s="9"/>
      <c r="N460" s="9"/>
      <c r="O460" s="9"/>
      <c r="P460" s="9"/>
      <c r="Q460" s="9"/>
      <c r="R460" s="9"/>
      <c r="S460" s="9"/>
      <c r="T460" s="9"/>
      <c r="U460" s="9"/>
      <c r="V460" s="9"/>
      <c r="W460" s="9"/>
      <c r="X460" s="9"/>
      <c r="Y460" s="9"/>
      <c r="Z460" s="9"/>
      <c r="AA460" s="9"/>
      <c r="AB460" s="9"/>
      <c r="AC460" s="9"/>
      <c r="AD460" s="9"/>
      <c r="AE460" s="9"/>
      <c r="AF460" s="9"/>
      <c r="AG460" s="9"/>
      <c r="AH460" s="9"/>
      <c r="AI460" s="9"/>
      <c r="AJ460" s="9"/>
      <c r="AK460" s="9"/>
      <c r="AL460" s="9"/>
      <c r="AM460" s="9"/>
      <c r="AN460" s="10"/>
      <c r="AO460" s="65">
        <f t="shared" si="13"/>
        <v>0</v>
      </c>
    </row>
    <row r="461" spans="2:41" s="4" customFormat="1" ht="24" customHeight="1" x14ac:dyDescent="0.2">
      <c r="B461" s="14"/>
      <c r="C461" s="23"/>
      <c r="D461" s="21" t="str">
        <f>IF(ISBLANK(C461), "",
_xlfn.WEBSERVICE(
"https://d16nxf5gxyt1xz.cloudfront.net/Prod/translation?id="
&amp;アカウント情報!$C$2&amp;
"&amp;pwd="
&amp;アカウント情報!$C$3&amp;
"&amp;item="
&amp;_xlfn.ENCODEURL(設定!$F$3)&amp;
"&amp;word="
&amp;_xlfn.ENCODEURL(C461)
)
)</f>
        <v/>
      </c>
      <c r="E461" s="6"/>
      <c r="F461" s="16" t="str">
        <f>IFERROR(VLOOKUP($E461,設定!$C:$F,2,0),"")</f>
        <v/>
      </c>
      <c r="G461" s="156" t="str">
        <f>IFERROR(VLOOKUP($E461,設定!$C:$F,3,0),"")</f>
        <v/>
      </c>
      <c r="H461" s="131" t="str">
        <f>IFERROR(VLOOKUP($E461,設定!$C:$F,4,0),"")</f>
        <v/>
      </c>
      <c r="I461" s="402"/>
      <c r="J461" s="8"/>
      <c r="K461" s="9"/>
      <c r="L461" s="9"/>
      <c r="M461" s="9"/>
      <c r="N461" s="9"/>
      <c r="O461" s="9"/>
      <c r="P461" s="9"/>
      <c r="Q461" s="9"/>
      <c r="R461" s="9"/>
      <c r="S461" s="9"/>
      <c r="T461" s="9"/>
      <c r="U461" s="9"/>
      <c r="V461" s="9"/>
      <c r="W461" s="9"/>
      <c r="X461" s="9"/>
      <c r="Y461" s="9"/>
      <c r="Z461" s="9"/>
      <c r="AA461" s="9"/>
      <c r="AB461" s="9"/>
      <c r="AC461" s="9"/>
      <c r="AD461" s="9"/>
      <c r="AE461" s="9"/>
      <c r="AF461" s="9"/>
      <c r="AG461" s="9"/>
      <c r="AH461" s="9"/>
      <c r="AI461" s="9"/>
      <c r="AJ461" s="9"/>
      <c r="AK461" s="9"/>
      <c r="AL461" s="9"/>
      <c r="AM461" s="9"/>
      <c r="AN461" s="10"/>
      <c r="AO461" s="65">
        <f t="shared" si="13"/>
        <v>0</v>
      </c>
    </row>
    <row r="462" spans="2:41" s="4" customFormat="1" ht="24" customHeight="1" x14ac:dyDescent="0.2">
      <c r="B462" s="14"/>
      <c r="C462" s="23"/>
      <c r="D462" s="21" t="str">
        <f>IF(ISBLANK(C462), "",
_xlfn.WEBSERVICE(
"https://d16nxf5gxyt1xz.cloudfront.net/Prod/translation?id="
&amp;アカウント情報!$C$2&amp;
"&amp;pwd="
&amp;アカウント情報!$C$3&amp;
"&amp;item="
&amp;_xlfn.ENCODEURL(設定!$F$3)&amp;
"&amp;word="
&amp;_xlfn.ENCODEURL(C462)
)
)</f>
        <v/>
      </c>
      <c r="E462" s="6"/>
      <c r="F462" s="16" t="str">
        <f>IFERROR(VLOOKUP($E462,設定!$C:$F,2,0),"")</f>
        <v/>
      </c>
      <c r="G462" s="156" t="str">
        <f>IFERROR(VLOOKUP($E462,設定!$C:$F,3,0),"")</f>
        <v/>
      </c>
      <c r="H462" s="131" t="str">
        <f>IFERROR(VLOOKUP($E462,設定!$C:$F,4,0),"")</f>
        <v/>
      </c>
      <c r="I462" s="402"/>
      <c r="J462" s="8"/>
      <c r="K462" s="9"/>
      <c r="L462" s="9"/>
      <c r="M462" s="9"/>
      <c r="N462" s="9"/>
      <c r="O462" s="9"/>
      <c r="P462" s="9"/>
      <c r="Q462" s="9"/>
      <c r="R462" s="9"/>
      <c r="S462" s="9"/>
      <c r="T462" s="9"/>
      <c r="U462" s="9"/>
      <c r="V462" s="9"/>
      <c r="W462" s="9"/>
      <c r="X462" s="9"/>
      <c r="Y462" s="9"/>
      <c r="Z462" s="9"/>
      <c r="AA462" s="9"/>
      <c r="AB462" s="9"/>
      <c r="AC462" s="9"/>
      <c r="AD462" s="9"/>
      <c r="AE462" s="9"/>
      <c r="AF462" s="9"/>
      <c r="AG462" s="9"/>
      <c r="AH462" s="9"/>
      <c r="AI462" s="9"/>
      <c r="AJ462" s="9"/>
      <c r="AK462" s="9"/>
      <c r="AL462" s="9"/>
      <c r="AM462" s="9"/>
      <c r="AN462" s="10"/>
      <c r="AO462" s="65">
        <f t="shared" si="13"/>
        <v>0</v>
      </c>
    </row>
    <row r="463" spans="2:41" s="4" customFormat="1" ht="24" customHeight="1" x14ac:dyDescent="0.2">
      <c r="B463" s="14"/>
      <c r="C463" s="23"/>
      <c r="D463" s="21" t="str">
        <f>IF(ISBLANK(C463), "",
_xlfn.WEBSERVICE(
"https://d16nxf5gxyt1xz.cloudfront.net/Prod/translation?id="
&amp;アカウント情報!$C$2&amp;
"&amp;pwd="
&amp;アカウント情報!$C$3&amp;
"&amp;item="
&amp;_xlfn.ENCODEURL(設定!$F$3)&amp;
"&amp;word="
&amp;_xlfn.ENCODEURL(C463)
)
)</f>
        <v/>
      </c>
      <c r="E463" s="6"/>
      <c r="F463" s="16" t="str">
        <f>IFERROR(VLOOKUP($E463,設定!$C:$F,2,0),"")</f>
        <v/>
      </c>
      <c r="G463" s="156" t="str">
        <f>IFERROR(VLOOKUP($E463,設定!$C:$F,3,0),"")</f>
        <v/>
      </c>
      <c r="H463" s="131" t="str">
        <f>IFERROR(VLOOKUP($E463,設定!$C:$F,4,0),"")</f>
        <v/>
      </c>
      <c r="I463" s="402"/>
      <c r="J463" s="8"/>
      <c r="K463" s="9"/>
      <c r="L463" s="9"/>
      <c r="M463" s="9"/>
      <c r="N463" s="9"/>
      <c r="O463" s="9"/>
      <c r="P463" s="9"/>
      <c r="Q463" s="9"/>
      <c r="R463" s="9"/>
      <c r="S463" s="9"/>
      <c r="T463" s="9"/>
      <c r="U463" s="9"/>
      <c r="V463" s="9"/>
      <c r="W463" s="9"/>
      <c r="X463" s="9"/>
      <c r="Y463" s="9"/>
      <c r="Z463" s="9"/>
      <c r="AA463" s="9"/>
      <c r="AB463" s="9"/>
      <c r="AC463" s="9"/>
      <c r="AD463" s="9"/>
      <c r="AE463" s="9"/>
      <c r="AF463" s="9"/>
      <c r="AG463" s="9"/>
      <c r="AH463" s="9"/>
      <c r="AI463" s="9"/>
      <c r="AJ463" s="9"/>
      <c r="AK463" s="9"/>
      <c r="AL463" s="9"/>
      <c r="AM463" s="9"/>
      <c r="AN463" s="10"/>
      <c r="AO463" s="65">
        <f t="shared" si="13"/>
        <v>0</v>
      </c>
    </row>
    <row r="464" spans="2:41" s="4" customFormat="1" ht="24" customHeight="1" x14ac:dyDescent="0.2">
      <c r="B464" s="14"/>
      <c r="C464" s="23"/>
      <c r="D464" s="21" t="str">
        <f>IF(ISBLANK(C464), "",
_xlfn.WEBSERVICE(
"https://d16nxf5gxyt1xz.cloudfront.net/Prod/translation?id="
&amp;アカウント情報!$C$2&amp;
"&amp;pwd="
&amp;アカウント情報!$C$3&amp;
"&amp;item="
&amp;_xlfn.ENCODEURL(設定!$F$3)&amp;
"&amp;word="
&amp;_xlfn.ENCODEURL(C464)
)
)</f>
        <v/>
      </c>
      <c r="E464" s="6"/>
      <c r="F464" s="16" t="str">
        <f>IFERROR(VLOOKUP($E464,設定!$C:$F,2,0),"")</f>
        <v/>
      </c>
      <c r="G464" s="156" t="str">
        <f>IFERROR(VLOOKUP($E464,設定!$C:$F,3,0),"")</f>
        <v/>
      </c>
      <c r="H464" s="131" t="str">
        <f>IFERROR(VLOOKUP($E464,設定!$C:$F,4,0),"")</f>
        <v/>
      </c>
      <c r="I464" s="402"/>
      <c r="J464" s="8"/>
      <c r="K464" s="9"/>
      <c r="L464" s="9"/>
      <c r="M464" s="9"/>
      <c r="N464" s="9"/>
      <c r="O464" s="9"/>
      <c r="P464" s="9"/>
      <c r="Q464" s="9"/>
      <c r="R464" s="9"/>
      <c r="S464" s="9"/>
      <c r="T464" s="9"/>
      <c r="U464" s="9"/>
      <c r="V464" s="9"/>
      <c r="W464" s="9"/>
      <c r="X464" s="9"/>
      <c r="Y464" s="9"/>
      <c r="Z464" s="9"/>
      <c r="AA464" s="9"/>
      <c r="AB464" s="9"/>
      <c r="AC464" s="9"/>
      <c r="AD464" s="9"/>
      <c r="AE464" s="9"/>
      <c r="AF464" s="9"/>
      <c r="AG464" s="9"/>
      <c r="AH464" s="9"/>
      <c r="AI464" s="9"/>
      <c r="AJ464" s="9"/>
      <c r="AK464" s="9"/>
      <c r="AL464" s="9"/>
      <c r="AM464" s="9"/>
      <c r="AN464" s="10"/>
      <c r="AO464" s="65">
        <f t="shared" si="13"/>
        <v>0</v>
      </c>
    </row>
    <row r="465" spans="2:41" s="4" customFormat="1" ht="24" customHeight="1" x14ac:dyDescent="0.2">
      <c r="B465" s="14"/>
      <c r="C465" s="23"/>
      <c r="D465" s="21" t="str">
        <f>IF(ISBLANK(C465), "",
_xlfn.WEBSERVICE(
"https://d16nxf5gxyt1xz.cloudfront.net/Prod/translation?id="
&amp;アカウント情報!$C$2&amp;
"&amp;pwd="
&amp;アカウント情報!$C$3&amp;
"&amp;item="
&amp;_xlfn.ENCODEURL(設定!$F$3)&amp;
"&amp;word="
&amp;_xlfn.ENCODEURL(C465)
)
)</f>
        <v/>
      </c>
      <c r="E465" s="6"/>
      <c r="F465" s="16" t="str">
        <f>IFERROR(VLOOKUP($E465,設定!$C:$F,2,0),"")</f>
        <v/>
      </c>
      <c r="G465" s="156" t="str">
        <f>IFERROR(VLOOKUP($E465,設定!$C:$F,3,0),"")</f>
        <v/>
      </c>
      <c r="H465" s="131" t="str">
        <f>IFERROR(VLOOKUP($E465,設定!$C:$F,4,0),"")</f>
        <v/>
      </c>
      <c r="I465" s="402"/>
      <c r="J465" s="8"/>
      <c r="K465" s="9"/>
      <c r="L465" s="9"/>
      <c r="M465" s="9"/>
      <c r="N465" s="9"/>
      <c r="O465" s="9"/>
      <c r="P465" s="9"/>
      <c r="Q465" s="9"/>
      <c r="R465" s="9"/>
      <c r="S465" s="9"/>
      <c r="T465" s="9"/>
      <c r="U465" s="9"/>
      <c r="V465" s="9"/>
      <c r="W465" s="9"/>
      <c r="X465" s="9"/>
      <c r="Y465" s="9"/>
      <c r="Z465" s="9"/>
      <c r="AA465" s="9"/>
      <c r="AB465" s="9"/>
      <c r="AC465" s="9"/>
      <c r="AD465" s="9"/>
      <c r="AE465" s="9"/>
      <c r="AF465" s="9"/>
      <c r="AG465" s="9"/>
      <c r="AH465" s="9"/>
      <c r="AI465" s="9"/>
      <c r="AJ465" s="9"/>
      <c r="AK465" s="9"/>
      <c r="AL465" s="9"/>
      <c r="AM465" s="9"/>
      <c r="AN465" s="10"/>
      <c r="AO465" s="65">
        <f t="shared" si="13"/>
        <v>0</v>
      </c>
    </row>
    <row r="466" spans="2:41" s="4" customFormat="1" ht="24" customHeight="1" x14ac:dyDescent="0.2">
      <c r="B466" s="14"/>
      <c r="C466" s="23"/>
      <c r="D466" s="21" t="str">
        <f>IF(ISBLANK(C466), "",
_xlfn.WEBSERVICE(
"https://d16nxf5gxyt1xz.cloudfront.net/Prod/translation?id="
&amp;アカウント情報!$C$2&amp;
"&amp;pwd="
&amp;アカウント情報!$C$3&amp;
"&amp;item="
&amp;_xlfn.ENCODEURL(設定!$F$3)&amp;
"&amp;word="
&amp;_xlfn.ENCODEURL(C466)
)
)</f>
        <v/>
      </c>
      <c r="E466" s="6"/>
      <c r="F466" s="16" t="str">
        <f>IFERROR(VLOOKUP($E466,設定!$C:$F,2,0),"")</f>
        <v/>
      </c>
      <c r="G466" s="156" t="str">
        <f>IFERROR(VLOOKUP($E466,設定!$C:$F,3,0),"")</f>
        <v/>
      </c>
      <c r="H466" s="131" t="str">
        <f>IFERROR(VLOOKUP($E466,設定!$C:$F,4,0),"")</f>
        <v/>
      </c>
      <c r="I466" s="402"/>
      <c r="J466" s="8"/>
      <c r="K466" s="9"/>
      <c r="L466" s="9"/>
      <c r="M466" s="9"/>
      <c r="N466" s="9"/>
      <c r="O466" s="9"/>
      <c r="P466" s="9"/>
      <c r="Q466" s="9"/>
      <c r="R466" s="9"/>
      <c r="S466" s="9"/>
      <c r="T466" s="9"/>
      <c r="U466" s="9"/>
      <c r="V466" s="9"/>
      <c r="W466" s="9"/>
      <c r="X466" s="9"/>
      <c r="Y466" s="9"/>
      <c r="Z466" s="9"/>
      <c r="AA466" s="9"/>
      <c r="AB466" s="9"/>
      <c r="AC466" s="9"/>
      <c r="AD466" s="9"/>
      <c r="AE466" s="9"/>
      <c r="AF466" s="9"/>
      <c r="AG466" s="9"/>
      <c r="AH466" s="9"/>
      <c r="AI466" s="9"/>
      <c r="AJ466" s="9"/>
      <c r="AK466" s="9"/>
      <c r="AL466" s="9"/>
      <c r="AM466" s="9"/>
      <c r="AN466" s="10"/>
      <c r="AO466" s="65">
        <f t="shared" si="13"/>
        <v>0</v>
      </c>
    </row>
    <row r="467" spans="2:41" s="4" customFormat="1" ht="24" customHeight="1" x14ac:dyDescent="0.2">
      <c r="B467" s="14"/>
      <c r="C467" s="23"/>
      <c r="D467" s="21" t="str">
        <f>IF(ISBLANK(C467), "",
_xlfn.WEBSERVICE(
"https://d16nxf5gxyt1xz.cloudfront.net/Prod/translation?id="
&amp;アカウント情報!$C$2&amp;
"&amp;pwd="
&amp;アカウント情報!$C$3&amp;
"&amp;item="
&amp;_xlfn.ENCODEURL(設定!$F$3)&amp;
"&amp;word="
&amp;_xlfn.ENCODEURL(C467)
)
)</f>
        <v/>
      </c>
      <c r="E467" s="6"/>
      <c r="F467" s="16" t="str">
        <f>IFERROR(VLOOKUP($E467,設定!$C:$F,2,0),"")</f>
        <v/>
      </c>
      <c r="G467" s="156" t="str">
        <f>IFERROR(VLOOKUP($E467,設定!$C:$F,3,0),"")</f>
        <v/>
      </c>
      <c r="H467" s="131" t="str">
        <f>IFERROR(VLOOKUP($E467,設定!$C:$F,4,0),"")</f>
        <v/>
      </c>
      <c r="I467" s="402"/>
      <c r="J467" s="8"/>
      <c r="K467" s="9"/>
      <c r="L467" s="9"/>
      <c r="M467" s="9"/>
      <c r="N467" s="9"/>
      <c r="O467" s="9"/>
      <c r="P467" s="9"/>
      <c r="Q467" s="9"/>
      <c r="R467" s="9"/>
      <c r="S467" s="9"/>
      <c r="T467" s="9"/>
      <c r="U467" s="9"/>
      <c r="V467" s="9"/>
      <c r="W467" s="9"/>
      <c r="X467" s="9"/>
      <c r="Y467" s="9"/>
      <c r="Z467" s="9"/>
      <c r="AA467" s="9"/>
      <c r="AB467" s="9"/>
      <c r="AC467" s="9"/>
      <c r="AD467" s="9"/>
      <c r="AE467" s="9"/>
      <c r="AF467" s="9"/>
      <c r="AG467" s="9"/>
      <c r="AH467" s="9"/>
      <c r="AI467" s="9"/>
      <c r="AJ467" s="9"/>
      <c r="AK467" s="9"/>
      <c r="AL467" s="9"/>
      <c r="AM467" s="9"/>
      <c r="AN467" s="10"/>
      <c r="AO467" s="65">
        <f t="shared" si="13"/>
        <v>0</v>
      </c>
    </row>
    <row r="468" spans="2:41" s="4" customFormat="1" ht="24" customHeight="1" x14ac:dyDescent="0.2">
      <c r="B468" s="14"/>
      <c r="C468" s="23"/>
      <c r="D468" s="21" t="str">
        <f>IF(ISBLANK(C468), "",
_xlfn.WEBSERVICE(
"https://d16nxf5gxyt1xz.cloudfront.net/Prod/translation?id="
&amp;アカウント情報!$C$2&amp;
"&amp;pwd="
&amp;アカウント情報!$C$3&amp;
"&amp;item="
&amp;_xlfn.ENCODEURL(設定!$F$3)&amp;
"&amp;word="
&amp;_xlfn.ENCODEURL(C468)
)
)</f>
        <v/>
      </c>
      <c r="E468" s="6"/>
      <c r="F468" s="16" t="str">
        <f>IFERROR(VLOOKUP($E468,設定!$C:$F,2,0),"")</f>
        <v/>
      </c>
      <c r="G468" s="156" t="str">
        <f>IFERROR(VLOOKUP($E468,設定!$C:$F,3,0),"")</f>
        <v/>
      </c>
      <c r="H468" s="131" t="str">
        <f>IFERROR(VLOOKUP($E468,設定!$C:$F,4,0),"")</f>
        <v/>
      </c>
      <c r="I468" s="402"/>
      <c r="J468" s="8"/>
      <c r="K468" s="9"/>
      <c r="L468" s="9"/>
      <c r="M468" s="9"/>
      <c r="N468" s="9"/>
      <c r="O468" s="9"/>
      <c r="P468" s="9"/>
      <c r="Q468" s="9"/>
      <c r="R468" s="9"/>
      <c r="S468" s="9"/>
      <c r="T468" s="9"/>
      <c r="U468" s="9"/>
      <c r="V468" s="9"/>
      <c r="W468" s="9"/>
      <c r="X468" s="9"/>
      <c r="Y468" s="9"/>
      <c r="Z468" s="9"/>
      <c r="AA468" s="9"/>
      <c r="AB468" s="9"/>
      <c r="AC468" s="9"/>
      <c r="AD468" s="9"/>
      <c r="AE468" s="9"/>
      <c r="AF468" s="9"/>
      <c r="AG468" s="9"/>
      <c r="AH468" s="9"/>
      <c r="AI468" s="9"/>
      <c r="AJ468" s="9"/>
      <c r="AK468" s="9"/>
      <c r="AL468" s="9"/>
      <c r="AM468" s="9"/>
      <c r="AN468" s="10"/>
      <c r="AO468" s="65">
        <f t="shared" si="13"/>
        <v>0</v>
      </c>
    </row>
    <row r="469" spans="2:41" s="4" customFormat="1" ht="24" customHeight="1" x14ac:dyDescent="0.2">
      <c r="B469" s="14"/>
      <c r="C469" s="23"/>
      <c r="D469" s="21" t="str">
        <f>IF(ISBLANK(C469), "",
_xlfn.WEBSERVICE(
"https://d16nxf5gxyt1xz.cloudfront.net/Prod/translation?id="
&amp;アカウント情報!$C$2&amp;
"&amp;pwd="
&amp;アカウント情報!$C$3&amp;
"&amp;item="
&amp;_xlfn.ENCODEURL(設定!$F$3)&amp;
"&amp;word="
&amp;_xlfn.ENCODEURL(C469)
)
)</f>
        <v/>
      </c>
      <c r="E469" s="6"/>
      <c r="F469" s="16" t="str">
        <f>IFERROR(VLOOKUP($E469,設定!$C:$F,2,0),"")</f>
        <v/>
      </c>
      <c r="G469" s="156" t="str">
        <f>IFERROR(VLOOKUP($E469,設定!$C:$F,3,0),"")</f>
        <v/>
      </c>
      <c r="H469" s="131" t="str">
        <f>IFERROR(VLOOKUP($E469,設定!$C:$F,4,0),"")</f>
        <v/>
      </c>
      <c r="I469" s="402"/>
      <c r="J469" s="8"/>
      <c r="K469" s="9"/>
      <c r="L469" s="9"/>
      <c r="M469" s="9"/>
      <c r="N469" s="9"/>
      <c r="O469" s="9"/>
      <c r="P469" s="9"/>
      <c r="Q469" s="9"/>
      <c r="R469" s="9"/>
      <c r="S469" s="9"/>
      <c r="T469" s="9"/>
      <c r="U469" s="9"/>
      <c r="V469" s="9"/>
      <c r="W469" s="9"/>
      <c r="X469" s="9"/>
      <c r="Y469" s="9"/>
      <c r="Z469" s="9"/>
      <c r="AA469" s="9"/>
      <c r="AB469" s="9"/>
      <c r="AC469" s="9"/>
      <c r="AD469" s="9"/>
      <c r="AE469" s="9"/>
      <c r="AF469" s="9"/>
      <c r="AG469" s="9"/>
      <c r="AH469" s="9"/>
      <c r="AI469" s="9"/>
      <c r="AJ469" s="9"/>
      <c r="AK469" s="9"/>
      <c r="AL469" s="9"/>
      <c r="AM469" s="9"/>
      <c r="AN469" s="10"/>
      <c r="AO469" s="65">
        <f t="shared" si="13"/>
        <v>0</v>
      </c>
    </row>
    <row r="470" spans="2:41" s="4" customFormat="1" ht="24" customHeight="1" x14ac:dyDescent="0.2">
      <c r="B470" s="14"/>
      <c r="C470" s="23"/>
      <c r="D470" s="21" t="str">
        <f>IF(ISBLANK(C470), "",
_xlfn.WEBSERVICE(
"https://d16nxf5gxyt1xz.cloudfront.net/Prod/translation?id="
&amp;アカウント情報!$C$2&amp;
"&amp;pwd="
&amp;アカウント情報!$C$3&amp;
"&amp;item="
&amp;_xlfn.ENCODEURL(設定!$F$3)&amp;
"&amp;word="
&amp;_xlfn.ENCODEURL(C470)
)
)</f>
        <v/>
      </c>
      <c r="E470" s="6"/>
      <c r="F470" s="16" t="str">
        <f>IFERROR(VLOOKUP($E470,設定!$C:$F,2,0),"")</f>
        <v/>
      </c>
      <c r="G470" s="156" t="str">
        <f>IFERROR(VLOOKUP($E470,設定!$C:$F,3,0),"")</f>
        <v/>
      </c>
      <c r="H470" s="131" t="str">
        <f>IFERROR(VLOOKUP($E470,設定!$C:$F,4,0),"")</f>
        <v/>
      </c>
      <c r="I470" s="402"/>
      <c r="J470" s="8"/>
      <c r="K470" s="9"/>
      <c r="L470" s="9"/>
      <c r="M470" s="9"/>
      <c r="N470" s="9"/>
      <c r="O470" s="9"/>
      <c r="P470" s="9"/>
      <c r="Q470" s="9"/>
      <c r="R470" s="9"/>
      <c r="S470" s="9"/>
      <c r="T470" s="9"/>
      <c r="U470" s="9"/>
      <c r="V470" s="9"/>
      <c r="W470" s="9"/>
      <c r="X470" s="9"/>
      <c r="Y470" s="9"/>
      <c r="Z470" s="9"/>
      <c r="AA470" s="9"/>
      <c r="AB470" s="9"/>
      <c r="AC470" s="9"/>
      <c r="AD470" s="9"/>
      <c r="AE470" s="9"/>
      <c r="AF470" s="9"/>
      <c r="AG470" s="9"/>
      <c r="AH470" s="9"/>
      <c r="AI470" s="9"/>
      <c r="AJ470" s="9"/>
      <c r="AK470" s="9"/>
      <c r="AL470" s="9"/>
      <c r="AM470" s="9"/>
      <c r="AN470" s="10"/>
      <c r="AO470" s="65">
        <f t="shared" si="13"/>
        <v>0</v>
      </c>
    </row>
    <row r="471" spans="2:41" s="4" customFormat="1" ht="24" customHeight="1" x14ac:dyDescent="0.2">
      <c r="B471" s="14"/>
      <c r="C471" s="23"/>
      <c r="D471" s="21" t="str">
        <f>IF(ISBLANK(C471), "",
_xlfn.WEBSERVICE(
"https://d16nxf5gxyt1xz.cloudfront.net/Prod/translation?id="
&amp;アカウント情報!$C$2&amp;
"&amp;pwd="
&amp;アカウント情報!$C$3&amp;
"&amp;item="
&amp;_xlfn.ENCODEURL(設定!$F$3)&amp;
"&amp;word="
&amp;_xlfn.ENCODEURL(C471)
)
)</f>
        <v/>
      </c>
      <c r="E471" s="6"/>
      <c r="F471" s="16" t="str">
        <f>IFERROR(VLOOKUP($E471,設定!$C:$F,2,0),"")</f>
        <v/>
      </c>
      <c r="G471" s="156" t="str">
        <f>IFERROR(VLOOKUP($E471,設定!$C:$F,3,0),"")</f>
        <v/>
      </c>
      <c r="H471" s="131" t="str">
        <f>IFERROR(VLOOKUP($E471,設定!$C:$F,4,0),"")</f>
        <v/>
      </c>
      <c r="I471" s="402"/>
      <c r="J471" s="8"/>
      <c r="K471" s="9"/>
      <c r="L471" s="9"/>
      <c r="M471" s="9"/>
      <c r="N471" s="9"/>
      <c r="O471" s="9"/>
      <c r="P471" s="9"/>
      <c r="Q471" s="9"/>
      <c r="R471" s="9"/>
      <c r="S471" s="9"/>
      <c r="T471" s="9"/>
      <c r="U471" s="9"/>
      <c r="V471" s="9"/>
      <c r="W471" s="9"/>
      <c r="X471" s="9"/>
      <c r="Y471" s="9"/>
      <c r="Z471" s="9"/>
      <c r="AA471" s="9"/>
      <c r="AB471" s="9"/>
      <c r="AC471" s="9"/>
      <c r="AD471" s="9"/>
      <c r="AE471" s="9"/>
      <c r="AF471" s="9"/>
      <c r="AG471" s="9"/>
      <c r="AH471" s="9"/>
      <c r="AI471" s="9"/>
      <c r="AJ471" s="9"/>
      <c r="AK471" s="9"/>
      <c r="AL471" s="9"/>
      <c r="AM471" s="9"/>
      <c r="AN471" s="10"/>
      <c r="AO471" s="65">
        <f t="shared" si="13"/>
        <v>0</v>
      </c>
    </row>
    <row r="472" spans="2:41" s="4" customFormat="1" ht="24" customHeight="1" x14ac:dyDescent="0.2">
      <c r="B472" s="14"/>
      <c r="C472" s="23"/>
      <c r="D472" s="21" t="str">
        <f>IF(ISBLANK(C472), "",
_xlfn.WEBSERVICE(
"https://d16nxf5gxyt1xz.cloudfront.net/Prod/translation?id="
&amp;アカウント情報!$C$2&amp;
"&amp;pwd="
&amp;アカウント情報!$C$3&amp;
"&amp;item="
&amp;_xlfn.ENCODEURL(設定!$F$3)&amp;
"&amp;word="
&amp;_xlfn.ENCODEURL(C472)
)
)</f>
        <v/>
      </c>
      <c r="E472" s="6"/>
      <c r="F472" s="16" t="str">
        <f>IFERROR(VLOOKUP($E472,設定!$C:$F,2,0),"")</f>
        <v/>
      </c>
      <c r="G472" s="156" t="str">
        <f>IFERROR(VLOOKUP($E472,設定!$C:$F,3,0),"")</f>
        <v/>
      </c>
      <c r="H472" s="131" t="str">
        <f>IFERROR(VLOOKUP($E472,設定!$C:$F,4,0),"")</f>
        <v/>
      </c>
      <c r="I472" s="402"/>
      <c r="J472" s="8"/>
      <c r="K472" s="9"/>
      <c r="L472" s="9"/>
      <c r="M472" s="9"/>
      <c r="N472" s="9"/>
      <c r="O472" s="9"/>
      <c r="P472" s="9"/>
      <c r="Q472" s="9"/>
      <c r="R472" s="9"/>
      <c r="S472" s="9"/>
      <c r="T472" s="9"/>
      <c r="U472" s="9"/>
      <c r="V472" s="9"/>
      <c r="W472" s="9"/>
      <c r="X472" s="9"/>
      <c r="Y472" s="9"/>
      <c r="Z472" s="9"/>
      <c r="AA472" s="9"/>
      <c r="AB472" s="9"/>
      <c r="AC472" s="9"/>
      <c r="AD472" s="9"/>
      <c r="AE472" s="9"/>
      <c r="AF472" s="9"/>
      <c r="AG472" s="9"/>
      <c r="AH472" s="9"/>
      <c r="AI472" s="9"/>
      <c r="AJ472" s="9"/>
      <c r="AK472" s="9"/>
      <c r="AL472" s="9"/>
      <c r="AM472" s="9"/>
      <c r="AN472" s="10"/>
      <c r="AO472" s="65">
        <f t="shared" si="13"/>
        <v>0</v>
      </c>
    </row>
    <row r="473" spans="2:41" s="4" customFormat="1" ht="24" customHeight="1" x14ac:dyDescent="0.2">
      <c r="B473" s="14"/>
      <c r="C473" s="23"/>
      <c r="D473" s="21" t="str">
        <f>IF(ISBLANK(C473), "",
_xlfn.WEBSERVICE(
"https://d16nxf5gxyt1xz.cloudfront.net/Prod/translation?id="
&amp;アカウント情報!$C$2&amp;
"&amp;pwd="
&amp;アカウント情報!$C$3&amp;
"&amp;item="
&amp;_xlfn.ENCODEURL(設定!$F$3)&amp;
"&amp;word="
&amp;_xlfn.ENCODEURL(C473)
)
)</f>
        <v/>
      </c>
      <c r="E473" s="6"/>
      <c r="F473" s="16" t="str">
        <f>IFERROR(VLOOKUP($E473,設定!$C:$F,2,0),"")</f>
        <v/>
      </c>
      <c r="G473" s="156" t="str">
        <f>IFERROR(VLOOKUP($E473,設定!$C:$F,3,0),"")</f>
        <v/>
      </c>
      <c r="H473" s="131" t="str">
        <f>IFERROR(VLOOKUP($E473,設定!$C:$F,4,0),"")</f>
        <v/>
      </c>
      <c r="I473" s="402"/>
      <c r="J473" s="8"/>
      <c r="K473" s="9"/>
      <c r="L473" s="9"/>
      <c r="M473" s="9"/>
      <c r="N473" s="9"/>
      <c r="O473" s="9"/>
      <c r="P473" s="9"/>
      <c r="Q473" s="9"/>
      <c r="R473" s="9"/>
      <c r="S473" s="9"/>
      <c r="T473" s="9"/>
      <c r="U473" s="9"/>
      <c r="V473" s="9"/>
      <c r="W473" s="9"/>
      <c r="X473" s="9"/>
      <c r="Y473" s="9"/>
      <c r="Z473" s="9"/>
      <c r="AA473" s="9"/>
      <c r="AB473" s="9"/>
      <c r="AC473" s="9"/>
      <c r="AD473" s="9"/>
      <c r="AE473" s="9"/>
      <c r="AF473" s="9"/>
      <c r="AG473" s="9"/>
      <c r="AH473" s="9"/>
      <c r="AI473" s="9"/>
      <c r="AJ473" s="9"/>
      <c r="AK473" s="9"/>
      <c r="AL473" s="9"/>
      <c r="AM473" s="9"/>
      <c r="AN473" s="10"/>
      <c r="AO473" s="65">
        <f t="shared" si="13"/>
        <v>0</v>
      </c>
    </row>
    <row r="474" spans="2:41" s="4" customFormat="1" ht="24" customHeight="1" x14ac:dyDescent="0.2">
      <c r="B474" s="14"/>
      <c r="C474" s="23"/>
      <c r="D474" s="21" t="str">
        <f>IF(ISBLANK(C474), "",
_xlfn.WEBSERVICE(
"https://d16nxf5gxyt1xz.cloudfront.net/Prod/translation?id="
&amp;アカウント情報!$C$2&amp;
"&amp;pwd="
&amp;アカウント情報!$C$3&amp;
"&amp;item="
&amp;_xlfn.ENCODEURL(設定!$F$3)&amp;
"&amp;word="
&amp;_xlfn.ENCODEURL(C474)
)
)</f>
        <v/>
      </c>
      <c r="E474" s="6"/>
      <c r="F474" s="16" t="str">
        <f>IFERROR(VLOOKUP($E474,設定!$C:$F,2,0),"")</f>
        <v/>
      </c>
      <c r="G474" s="156" t="str">
        <f>IFERROR(VLOOKUP($E474,設定!$C:$F,3,0),"")</f>
        <v/>
      </c>
      <c r="H474" s="131" t="str">
        <f>IFERROR(VLOOKUP($E474,設定!$C:$F,4,0),"")</f>
        <v/>
      </c>
      <c r="I474" s="402"/>
      <c r="J474" s="8"/>
      <c r="K474" s="9"/>
      <c r="L474" s="9"/>
      <c r="M474" s="9"/>
      <c r="N474" s="9"/>
      <c r="O474" s="9"/>
      <c r="P474" s="9"/>
      <c r="Q474" s="9"/>
      <c r="R474" s="9"/>
      <c r="S474" s="9"/>
      <c r="T474" s="9"/>
      <c r="U474" s="9"/>
      <c r="V474" s="9"/>
      <c r="W474" s="9"/>
      <c r="X474" s="9"/>
      <c r="Y474" s="9"/>
      <c r="Z474" s="9"/>
      <c r="AA474" s="9"/>
      <c r="AB474" s="9"/>
      <c r="AC474" s="9"/>
      <c r="AD474" s="9"/>
      <c r="AE474" s="9"/>
      <c r="AF474" s="9"/>
      <c r="AG474" s="9"/>
      <c r="AH474" s="9"/>
      <c r="AI474" s="9"/>
      <c r="AJ474" s="9"/>
      <c r="AK474" s="9"/>
      <c r="AL474" s="9"/>
      <c r="AM474" s="9"/>
      <c r="AN474" s="10"/>
      <c r="AO474" s="65">
        <f t="shared" si="13"/>
        <v>0</v>
      </c>
    </row>
    <row r="475" spans="2:41" s="4" customFormat="1" ht="24" customHeight="1" x14ac:dyDescent="0.2">
      <c r="B475" s="14"/>
      <c r="C475" s="23"/>
      <c r="D475" s="21" t="str">
        <f>IF(ISBLANK(C475), "",
_xlfn.WEBSERVICE(
"https://d16nxf5gxyt1xz.cloudfront.net/Prod/translation?id="
&amp;アカウント情報!$C$2&amp;
"&amp;pwd="
&amp;アカウント情報!$C$3&amp;
"&amp;item="
&amp;_xlfn.ENCODEURL(設定!$F$3)&amp;
"&amp;word="
&amp;_xlfn.ENCODEURL(C475)
)
)</f>
        <v/>
      </c>
      <c r="E475" s="6"/>
      <c r="F475" s="16" t="str">
        <f>IFERROR(VLOOKUP($E475,設定!$C:$F,2,0),"")</f>
        <v/>
      </c>
      <c r="G475" s="156" t="str">
        <f>IFERROR(VLOOKUP($E475,設定!$C:$F,3,0),"")</f>
        <v/>
      </c>
      <c r="H475" s="131" t="str">
        <f>IFERROR(VLOOKUP($E475,設定!$C:$F,4,0),"")</f>
        <v/>
      </c>
      <c r="I475" s="402"/>
      <c r="J475" s="8"/>
      <c r="K475" s="9"/>
      <c r="L475" s="9"/>
      <c r="M475" s="9"/>
      <c r="N475" s="9"/>
      <c r="O475" s="9"/>
      <c r="P475" s="9"/>
      <c r="Q475" s="9"/>
      <c r="R475" s="9"/>
      <c r="S475" s="9"/>
      <c r="T475" s="9"/>
      <c r="U475" s="9"/>
      <c r="V475" s="9"/>
      <c r="W475" s="9"/>
      <c r="X475" s="9"/>
      <c r="Y475" s="9"/>
      <c r="Z475" s="9"/>
      <c r="AA475" s="9"/>
      <c r="AB475" s="9"/>
      <c r="AC475" s="9"/>
      <c r="AD475" s="9"/>
      <c r="AE475" s="9"/>
      <c r="AF475" s="9"/>
      <c r="AG475" s="9"/>
      <c r="AH475" s="9"/>
      <c r="AI475" s="9"/>
      <c r="AJ475" s="9"/>
      <c r="AK475" s="9"/>
      <c r="AL475" s="9"/>
      <c r="AM475" s="9"/>
      <c r="AN475" s="10"/>
      <c r="AO475" s="65">
        <f t="shared" si="13"/>
        <v>0</v>
      </c>
    </row>
    <row r="476" spans="2:41" s="4" customFormat="1" ht="24" customHeight="1" x14ac:dyDescent="0.2">
      <c r="B476" s="14"/>
      <c r="C476" s="23"/>
      <c r="D476" s="21" t="str">
        <f>IF(ISBLANK(C476), "",
_xlfn.WEBSERVICE(
"https://d16nxf5gxyt1xz.cloudfront.net/Prod/translation?id="
&amp;アカウント情報!$C$2&amp;
"&amp;pwd="
&amp;アカウント情報!$C$3&amp;
"&amp;item="
&amp;_xlfn.ENCODEURL(設定!$F$3)&amp;
"&amp;word="
&amp;_xlfn.ENCODEURL(C476)
)
)</f>
        <v/>
      </c>
      <c r="E476" s="6"/>
      <c r="F476" s="16" t="str">
        <f>IFERROR(VLOOKUP($E476,設定!$C:$F,2,0),"")</f>
        <v/>
      </c>
      <c r="G476" s="156" t="str">
        <f>IFERROR(VLOOKUP($E476,設定!$C:$F,3,0),"")</f>
        <v/>
      </c>
      <c r="H476" s="131" t="str">
        <f>IFERROR(VLOOKUP($E476,設定!$C:$F,4,0),"")</f>
        <v/>
      </c>
      <c r="I476" s="402"/>
      <c r="J476" s="8"/>
      <c r="K476" s="9"/>
      <c r="L476" s="9"/>
      <c r="M476" s="9"/>
      <c r="N476" s="9"/>
      <c r="O476" s="9"/>
      <c r="P476" s="9"/>
      <c r="Q476" s="9"/>
      <c r="R476" s="9"/>
      <c r="S476" s="9"/>
      <c r="T476" s="9"/>
      <c r="U476" s="9"/>
      <c r="V476" s="9"/>
      <c r="W476" s="9"/>
      <c r="X476" s="9"/>
      <c r="Y476" s="9"/>
      <c r="Z476" s="9"/>
      <c r="AA476" s="9"/>
      <c r="AB476" s="9"/>
      <c r="AC476" s="9"/>
      <c r="AD476" s="9"/>
      <c r="AE476" s="9"/>
      <c r="AF476" s="9"/>
      <c r="AG476" s="9"/>
      <c r="AH476" s="9"/>
      <c r="AI476" s="9"/>
      <c r="AJ476" s="9"/>
      <c r="AK476" s="9"/>
      <c r="AL476" s="9"/>
      <c r="AM476" s="9"/>
      <c r="AN476" s="10"/>
      <c r="AO476" s="65">
        <f t="shared" si="13"/>
        <v>0</v>
      </c>
    </row>
    <row r="477" spans="2:41" s="4" customFormat="1" ht="24" customHeight="1" x14ac:dyDescent="0.2">
      <c r="B477" s="14"/>
      <c r="C477" s="23"/>
      <c r="D477" s="21" t="str">
        <f>IF(ISBLANK(C477), "",
_xlfn.WEBSERVICE(
"https://d16nxf5gxyt1xz.cloudfront.net/Prod/translation?id="
&amp;アカウント情報!$C$2&amp;
"&amp;pwd="
&amp;アカウント情報!$C$3&amp;
"&amp;item="
&amp;_xlfn.ENCODEURL(設定!$F$3)&amp;
"&amp;word="
&amp;_xlfn.ENCODEURL(C477)
)
)</f>
        <v/>
      </c>
      <c r="E477" s="6"/>
      <c r="F477" s="16" t="str">
        <f>IFERROR(VLOOKUP($E477,設定!$C:$F,2,0),"")</f>
        <v/>
      </c>
      <c r="G477" s="156" t="str">
        <f>IFERROR(VLOOKUP($E477,設定!$C:$F,3,0),"")</f>
        <v/>
      </c>
      <c r="H477" s="131" t="str">
        <f>IFERROR(VLOOKUP($E477,設定!$C:$F,4,0),"")</f>
        <v/>
      </c>
      <c r="I477" s="402"/>
      <c r="J477" s="8"/>
      <c r="K477" s="9"/>
      <c r="L477" s="9"/>
      <c r="M477" s="9"/>
      <c r="N477" s="9"/>
      <c r="O477" s="9"/>
      <c r="P477" s="9"/>
      <c r="Q477" s="9"/>
      <c r="R477" s="9"/>
      <c r="S477" s="9"/>
      <c r="T477" s="9"/>
      <c r="U477" s="9"/>
      <c r="V477" s="9"/>
      <c r="W477" s="9"/>
      <c r="X477" s="9"/>
      <c r="Y477" s="9"/>
      <c r="Z477" s="9"/>
      <c r="AA477" s="9"/>
      <c r="AB477" s="9"/>
      <c r="AC477" s="9"/>
      <c r="AD477" s="9"/>
      <c r="AE477" s="9"/>
      <c r="AF477" s="9"/>
      <c r="AG477" s="9"/>
      <c r="AH477" s="9"/>
      <c r="AI477" s="9"/>
      <c r="AJ477" s="9"/>
      <c r="AK477" s="9"/>
      <c r="AL477" s="9"/>
      <c r="AM477" s="9"/>
      <c r="AN477" s="10"/>
      <c r="AO477" s="65">
        <f t="shared" si="13"/>
        <v>0</v>
      </c>
    </row>
    <row r="478" spans="2:41" s="4" customFormat="1" ht="24" customHeight="1" x14ac:dyDescent="0.2">
      <c r="B478" s="14"/>
      <c r="C478" s="23"/>
      <c r="D478" s="21" t="str">
        <f>IF(ISBLANK(C478), "",
_xlfn.WEBSERVICE(
"https://d16nxf5gxyt1xz.cloudfront.net/Prod/translation?id="
&amp;アカウント情報!$C$2&amp;
"&amp;pwd="
&amp;アカウント情報!$C$3&amp;
"&amp;item="
&amp;_xlfn.ENCODEURL(設定!$F$3)&amp;
"&amp;word="
&amp;_xlfn.ENCODEURL(C478)
)
)</f>
        <v/>
      </c>
      <c r="E478" s="6"/>
      <c r="F478" s="16" t="str">
        <f>IFERROR(VLOOKUP($E478,設定!$C:$F,2,0),"")</f>
        <v/>
      </c>
      <c r="G478" s="156" t="str">
        <f>IFERROR(VLOOKUP($E478,設定!$C:$F,3,0),"")</f>
        <v/>
      </c>
      <c r="H478" s="131" t="str">
        <f>IFERROR(VLOOKUP($E478,設定!$C:$F,4,0),"")</f>
        <v/>
      </c>
      <c r="I478" s="402"/>
      <c r="J478" s="8"/>
      <c r="K478" s="9"/>
      <c r="L478" s="9"/>
      <c r="M478" s="9"/>
      <c r="N478" s="9"/>
      <c r="O478" s="9"/>
      <c r="P478" s="9"/>
      <c r="Q478" s="9"/>
      <c r="R478" s="9"/>
      <c r="S478" s="9"/>
      <c r="T478" s="9"/>
      <c r="U478" s="9"/>
      <c r="V478" s="9"/>
      <c r="W478" s="9"/>
      <c r="X478" s="9"/>
      <c r="Y478" s="9"/>
      <c r="Z478" s="9"/>
      <c r="AA478" s="9"/>
      <c r="AB478" s="9"/>
      <c r="AC478" s="9"/>
      <c r="AD478" s="9"/>
      <c r="AE478" s="9"/>
      <c r="AF478" s="9"/>
      <c r="AG478" s="9"/>
      <c r="AH478" s="9"/>
      <c r="AI478" s="9"/>
      <c r="AJ478" s="9"/>
      <c r="AK478" s="9"/>
      <c r="AL478" s="9"/>
      <c r="AM478" s="9"/>
      <c r="AN478" s="10"/>
      <c r="AO478" s="65">
        <f t="shared" si="13"/>
        <v>0</v>
      </c>
    </row>
    <row r="479" spans="2:41" s="4" customFormat="1" ht="24" customHeight="1" x14ac:dyDescent="0.2">
      <c r="B479" s="14"/>
      <c r="C479" s="23"/>
      <c r="D479" s="21" t="str">
        <f>IF(ISBLANK(C479), "",
_xlfn.WEBSERVICE(
"https://d16nxf5gxyt1xz.cloudfront.net/Prod/translation?id="
&amp;アカウント情報!$C$2&amp;
"&amp;pwd="
&amp;アカウント情報!$C$3&amp;
"&amp;item="
&amp;_xlfn.ENCODEURL(設定!$F$3)&amp;
"&amp;word="
&amp;_xlfn.ENCODEURL(C479)
)
)</f>
        <v/>
      </c>
      <c r="E479" s="6"/>
      <c r="F479" s="16" t="str">
        <f>IFERROR(VLOOKUP($E479,設定!$C:$F,2,0),"")</f>
        <v/>
      </c>
      <c r="G479" s="156" t="str">
        <f>IFERROR(VLOOKUP($E479,設定!$C:$F,3,0),"")</f>
        <v/>
      </c>
      <c r="H479" s="131" t="str">
        <f>IFERROR(VLOOKUP($E479,設定!$C:$F,4,0),"")</f>
        <v/>
      </c>
      <c r="I479" s="402"/>
      <c r="J479" s="8"/>
      <c r="K479" s="9"/>
      <c r="L479" s="9"/>
      <c r="M479" s="9"/>
      <c r="N479" s="9"/>
      <c r="O479" s="9"/>
      <c r="P479" s="9"/>
      <c r="Q479" s="9"/>
      <c r="R479" s="9"/>
      <c r="S479" s="9"/>
      <c r="T479" s="9"/>
      <c r="U479" s="9"/>
      <c r="V479" s="9"/>
      <c r="W479" s="9"/>
      <c r="X479" s="9"/>
      <c r="Y479" s="9"/>
      <c r="Z479" s="9"/>
      <c r="AA479" s="9"/>
      <c r="AB479" s="9"/>
      <c r="AC479" s="9"/>
      <c r="AD479" s="9"/>
      <c r="AE479" s="9"/>
      <c r="AF479" s="9"/>
      <c r="AG479" s="9"/>
      <c r="AH479" s="9"/>
      <c r="AI479" s="9"/>
      <c r="AJ479" s="9"/>
      <c r="AK479" s="9"/>
      <c r="AL479" s="9"/>
      <c r="AM479" s="9"/>
      <c r="AN479" s="10"/>
      <c r="AO479" s="65">
        <f t="shared" si="13"/>
        <v>0</v>
      </c>
    </row>
    <row r="480" spans="2:41" s="4" customFormat="1" ht="24" customHeight="1" x14ac:dyDescent="0.2">
      <c r="B480" s="14"/>
      <c r="C480" s="23"/>
      <c r="D480" s="21" t="str">
        <f>IF(ISBLANK(C480), "",
_xlfn.WEBSERVICE(
"https://d16nxf5gxyt1xz.cloudfront.net/Prod/translation?id="
&amp;アカウント情報!$C$2&amp;
"&amp;pwd="
&amp;アカウント情報!$C$3&amp;
"&amp;item="
&amp;_xlfn.ENCODEURL(設定!$F$3)&amp;
"&amp;word="
&amp;_xlfn.ENCODEURL(C480)
)
)</f>
        <v/>
      </c>
      <c r="E480" s="6"/>
      <c r="F480" s="16" t="str">
        <f>IFERROR(VLOOKUP($E480,設定!$C:$F,2,0),"")</f>
        <v/>
      </c>
      <c r="G480" s="156" t="str">
        <f>IFERROR(VLOOKUP($E480,設定!$C:$F,3,0),"")</f>
        <v/>
      </c>
      <c r="H480" s="131" t="str">
        <f>IFERROR(VLOOKUP($E480,設定!$C:$F,4,0),"")</f>
        <v/>
      </c>
      <c r="I480" s="402"/>
      <c r="J480" s="8"/>
      <c r="K480" s="9"/>
      <c r="L480" s="9"/>
      <c r="M480" s="9"/>
      <c r="N480" s="9"/>
      <c r="O480" s="9"/>
      <c r="P480" s="9"/>
      <c r="Q480" s="9"/>
      <c r="R480" s="9"/>
      <c r="S480" s="9"/>
      <c r="T480" s="9"/>
      <c r="U480" s="9"/>
      <c r="V480" s="9"/>
      <c r="W480" s="9"/>
      <c r="X480" s="9"/>
      <c r="Y480" s="9"/>
      <c r="Z480" s="9"/>
      <c r="AA480" s="9"/>
      <c r="AB480" s="9"/>
      <c r="AC480" s="9"/>
      <c r="AD480" s="9"/>
      <c r="AE480" s="9"/>
      <c r="AF480" s="9"/>
      <c r="AG480" s="9"/>
      <c r="AH480" s="9"/>
      <c r="AI480" s="9"/>
      <c r="AJ480" s="9"/>
      <c r="AK480" s="9"/>
      <c r="AL480" s="9"/>
      <c r="AM480" s="9"/>
      <c r="AN480" s="10"/>
      <c r="AO480" s="65">
        <f t="shared" si="13"/>
        <v>0</v>
      </c>
    </row>
    <row r="481" spans="2:41" s="4" customFormat="1" ht="24" customHeight="1" x14ac:dyDescent="0.2">
      <c r="B481" s="14"/>
      <c r="C481" s="23"/>
      <c r="D481" s="21" t="str">
        <f>IF(ISBLANK(C481), "",
_xlfn.WEBSERVICE(
"https://d16nxf5gxyt1xz.cloudfront.net/Prod/translation?id="
&amp;アカウント情報!$C$2&amp;
"&amp;pwd="
&amp;アカウント情報!$C$3&amp;
"&amp;item="
&amp;_xlfn.ENCODEURL(設定!$F$3)&amp;
"&amp;word="
&amp;_xlfn.ENCODEURL(C481)
)
)</f>
        <v/>
      </c>
      <c r="E481" s="6"/>
      <c r="F481" s="16" t="str">
        <f>IFERROR(VLOOKUP($E481,設定!$C:$F,2,0),"")</f>
        <v/>
      </c>
      <c r="G481" s="156" t="str">
        <f>IFERROR(VLOOKUP($E481,設定!$C:$F,3,0),"")</f>
        <v/>
      </c>
      <c r="H481" s="131" t="str">
        <f>IFERROR(VLOOKUP($E481,設定!$C:$F,4,0),"")</f>
        <v/>
      </c>
      <c r="I481" s="402"/>
      <c r="J481" s="8"/>
      <c r="K481" s="9"/>
      <c r="L481" s="9"/>
      <c r="M481" s="9"/>
      <c r="N481" s="9"/>
      <c r="O481" s="9"/>
      <c r="P481" s="9"/>
      <c r="Q481" s="9"/>
      <c r="R481" s="9"/>
      <c r="S481" s="9"/>
      <c r="T481" s="9"/>
      <c r="U481" s="9"/>
      <c r="V481" s="9"/>
      <c r="W481" s="9"/>
      <c r="X481" s="9"/>
      <c r="Y481" s="9"/>
      <c r="Z481" s="9"/>
      <c r="AA481" s="9"/>
      <c r="AB481" s="9"/>
      <c r="AC481" s="9"/>
      <c r="AD481" s="9"/>
      <c r="AE481" s="9"/>
      <c r="AF481" s="9"/>
      <c r="AG481" s="9"/>
      <c r="AH481" s="9"/>
      <c r="AI481" s="9"/>
      <c r="AJ481" s="9"/>
      <c r="AK481" s="9"/>
      <c r="AL481" s="9"/>
      <c r="AM481" s="9"/>
      <c r="AN481" s="10"/>
      <c r="AO481" s="65">
        <f t="shared" si="13"/>
        <v>0</v>
      </c>
    </row>
    <row r="482" spans="2:41" s="4" customFormat="1" ht="24" customHeight="1" x14ac:dyDescent="0.2">
      <c r="B482" s="14"/>
      <c r="C482" s="23"/>
      <c r="D482" s="21" t="str">
        <f>IF(ISBLANK(C482), "",
_xlfn.WEBSERVICE(
"https://d16nxf5gxyt1xz.cloudfront.net/Prod/translation?id="
&amp;アカウント情報!$C$2&amp;
"&amp;pwd="
&amp;アカウント情報!$C$3&amp;
"&amp;item="
&amp;_xlfn.ENCODEURL(設定!$F$3)&amp;
"&amp;word="
&amp;_xlfn.ENCODEURL(C482)
)
)</f>
        <v/>
      </c>
      <c r="E482" s="6"/>
      <c r="F482" s="16" t="str">
        <f>IFERROR(VLOOKUP($E482,設定!$C:$F,2,0),"")</f>
        <v/>
      </c>
      <c r="G482" s="156" t="str">
        <f>IFERROR(VLOOKUP($E482,設定!$C:$F,3,0),"")</f>
        <v/>
      </c>
      <c r="H482" s="131" t="str">
        <f>IFERROR(VLOOKUP($E482,設定!$C:$F,4,0),"")</f>
        <v/>
      </c>
      <c r="I482" s="402"/>
      <c r="J482" s="8"/>
      <c r="K482" s="9"/>
      <c r="L482" s="9"/>
      <c r="M482" s="9"/>
      <c r="N482" s="9"/>
      <c r="O482" s="9"/>
      <c r="P482" s="9"/>
      <c r="Q482" s="9"/>
      <c r="R482" s="9"/>
      <c r="S482" s="9"/>
      <c r="T482" s="9"/>
      <c r="U482" s="9"/>
      <c r="V482" s="9"/>
      <c r="W482" s="9"/>
      <c r="X482" s="9"/>
      <c r="Y482" s="9"/>
      <c r="Z482" s="9"/>
      <c r="AA482" s="9"/>
      <c r="AB482" s="9"/>
      <c r="AC482" s="9"/>
      <c r="AD482" s="9"/>
      <c r="AE482" s="9"/>
      <c r="AF482" s="9"/>
      <c r="AG482" s="9"/>
      <c r="AH482" s="9"/>
      <c r="AI482" s="9"/>
      <c r="AJ482" s="9"/>
      <c r="AK482" s="9"/>
      <c r="AL482" s="9"/>
      <c r="AM482" s="9"/>
      <c r="AN482" s="10"/>
      <c r="AO482" s="65">
        <f t="shared" si="13"/>
        <v>0</v>
      </c>
    </row>
    <row r="483" spans="2:41" s="4" customFormat="1" ht="24" customHeight="1" x14ac:dyDescent="0.2">
      <c r="B483" s="14"/>
      <c r="C483" s="23"/>
      <c r="D483" s="21" t="str">
        <f>IF(ISBLANK(C483), "",
_xlfn.WEBSERVICE(
"https://d16nxf5gxyt1xz.cloudfront.net/Prod/translation?id="
&amp;アカウント情報!$C$2&amp;
"&amp;pwd="
&amp;アカウント情報!$C$3&amp;
"&amp;item="
&amp;_xlfn.ENCODEURL(設定!$F$3)&amp;
"&amp;word="
&amp;_xlfn.ENCODEURL(C483)
)
)</f>
        <v/>
      </c>
      <c r="E483" s="6"/>
      <c r="F483" s="16" t="str">
        <f>IFERROR(VLOOKUP($E483,設定!$C:$F,2,0),"")</f>
        <v/>
      </c>
      <c r="G483" s="156" t="str">
        <f>IFERROR(VLOOKUP($E483,設定!$C:$F,3,0),"")</f>
        <v/>
      </c>
      <c r="H483" s="131" t="str">
        <f>IFERROR(VLOOKUP($E483,設定!$C:$F,4,0),"")</f>
        <v/>
      </c>
      <c r="I483" s="402"/>
      <c r="J483" s="8"/>
      <c r="K483" s="9"/>
      <c r="L483" s="9"/>
      <c r="M483" s="9"/>
      <c r="N483" s="9"/>
      <c r="O483" s="9"/>
      <c r="P483" s="9"/>
      <c r="Q483" s="9"/>
      <c r="R483" s="9"/>
      <c r="S483" s="9"/>
      <c r="T483" s="9"/>
      <c r="U483" s="9"/>
      <c r="V483" s="9"/>
      <c r="W483" s="9"/>
      <c r="X483" s="9"/>
      <c r="Y483" s="9"/>
      <c r="Z483" s="9"/>
      <c r="AA483" s="9"/>
      <c r="AB483" s="9"/>
      <c r="AC483" s="9"/>
      <c r="AD483" s="9"/>
      <c r="AE483" s="9"/>
      <c r="AF483" s="9"/>
      <c r="AG483" s="9"/>
      <c r="AH483" s="9"/>
      <c r="AI483" s="9"/>
      <c r="AJ483" s="9"/>
      <c r="AK483" s="9"/>
      <c r="AL483" s="9"/>
      <c r="AM483" s="9"/>
      <c r="AN483" s="10"/>
      <c r="AO483" s="65">
        <f t="shared" ref="AO483:AO529" si="14">I483*SUM(J483:AN483)</f>
        <v>0</v>
      </c>
    </row>
    <row r="484" spans="2:41" s="4" customFormat="1" ht="24" customHeight="1" x14ac:dyDescent="0.2">
      <c r="B484" s="14"/>
      <c r="C484" s="23"/>
      <c r="D484" s="21" t="str">
        <f>IF(ISBLANK(C484), "",
_xlfn.WEBSERVICE(
"https://d16nxf5gxyt1xz.cloudfront.net/Prod/translation?id="
&amp;アカウント情報!$C$2&amp;
"&amp;pwd="
&amp;アカウント情報!$C$3&amp;
"&amp;item="
&amp;_xlfn.ENCODEURL(設定!$F$3)&amp;
"&amp;word="
&amp;_xlfn.ENCODEURL(C484)
)
)</f>
        <v/>
      </c>
      <c r="E484" s="6"/>
      <c r="F484" s="16" t="str">
        <f>IFERROR(VLOOKUP($E484,設定!$C:$F,2,0),"")</f>
        <v/>
      </c>
      <c r="G484" s="156" t="str">
        <f>IFERROR(VLOOKUP($E484,設定!$C:$F,3,0),"")</f>
        <v/>
      </c>
      <c r="H484" s="131" t="str">
        <f>IFERROR(VLOOKUP($E484,設定!$C:$F,4,0),"")</f>
        <v/>
      </c>
      <c r="I484" s="402"/>
      <c r="J484" s="8"/>
      <c r="K484" s="9"/>
      <c r="L484" s="9"/>
      <c r="M484" s="9"/>
      <c r="N484" s="9"/>
      <c r="O484" s="9"/>
      <c r="P484" s="9"/>
      <c r="Q484" s="9"/>
      <c r="R484" s="9"/>
      <c r="S484" s="9"/>
      <c r="T484" s="9"/>
      <c r="U484" s="9"/>
      <c r="V484" s="9"/>
      <c r="W484" s="9"/>
      <c r="X484" s="9"/>
      <c r="Y484" s="9"/>
      <c r="Z484" s="9"/>
      <c r="AA484" s="9"/>
      <c r="AB484" s="9"/>
      <c r="AC484" s="9"/>
      <c r="AD484" s="9"/>
      <c r="AE484" s="9"/>
      <c r="AF484" s="9"/>
      <c r="AG484" s="9"/>
      <c r="AH484" s="9"/>
      <c r="AI484" s="9"/>
      <c r="AJ484" s="9"/>
      <c r="AK484" s="9"/>
      <c r="AL484" s="9"/>
      <c r="AM484" s="9"/>
      <c r="AN484" s="10"/>
      <c r="AO484" s="65">
        <f t="shared" si="14"/>
        <v>0</v>
      </c>
    </row>
    <row r="485" spans="2:41" s="4" customFormat="1" ht="24" customHeight="1" x14ac:dyDescent="0.2">
      <c r="B485" s="14"/>
      <c r="C485" s="23"/>
      <c r="D485" s="21" t="str">
        <f>IF(ISBLANK(C485), "",
_xlfn.WEBSERVICE(
"https://d16nxf5gxyt1xz.cloudfront.net/Prod/translation?id="
&amp;アカウント情報!$C$2&amp;
"&amp;pwd="
&amp;アカウント情報!$C$3&amp;
"&amp;item="
&amp;_xlfn.ENCODEURL(設定!$F$3)&amp;
"&amp;word="
&amp;_xlfn.ENCODEURL(C485)
)
)</f>
        <v/>
      </c>
      <c r="E485" s="6"/>
      <c r="F485" s="16" t="str">
        <f>IFERROR(VLOOKUP($E485,設定!$C:$F,2,0),"")</f>
        <v/>
      </c>
      <c r="G485" s="156" t="str">
        <f>IFERROR(VLOOKUP($E485,設定!$C:$F,3,0),"")</f>
        <v/>
      </c>
      <c r="H485" s="131" t="str">
        <f>IFERROR(VLOOKUP($E485,設定!$C:$F,4,0),"")</f>
        <v/>
      </c>
      <c r="I485" s="402"/>
      <c r="J485" s="8"/>
      <c r="K485" s="9"/>
      <c r="L485" s="9"/>
      <c r="M485" s="9"/>
      <c r="N485" s="9"/>
      <c r="O485" s="9"/>
      <c r="P485" s="9"/>
      <c r="Q485" s="9"/>
      <c r="R485" s="9"/>
      <c r="S485" s="9"/>
      <c r="T485" s="9"/>
      <c r="U485" s="9"/>
      <c r="V485" s="9"/>
      <c r="W485" s="9"/>
      <c r="X485" s="9"/>
      <c r="Y485" s="9"/>
      <c r="Z485" s="9"/>
      <c r="AA485" s="9"/>
      <c r="AB485" s="9"/>
      <c r="AC485" s="9"/>
      <c r="AD485" s="9"/>
      <c r="AE485" s="9"/>
      <c r="AF485" s="9"/>
      <c r="AG485" s="9"/>
      <c r="AH485" s="9"/>
      <c r="AI485" s="9"/>
      <c r="AJ485" s="9"/>
      <c r="AK485" s="9"/>
      <c r="AL485" s="9"/>
      <c r="AM485" s="9"/>
      <c r="AN485" s="10"/>
      <c r="AO485" s="65">
        <f t="shared" si="14"/>
        <v>0</v>
      </c>
    </row>
    <row r="486" spans="2:41" s="4" customFormat="1" ht="24" customHeight="1" x14ac:dyDescent="0.2">
      <c r="B486" s="14"/>
      <c r="C486" s="23"/>
      <c r="D486" s="21" t="str">
        <f>IF(ISBLANK(C486), "",
_xlfn.WEBSERVICE(
"https://d16nxf5gxyt1xz.cloudfront.net/Prod/translation?id="
&amp;アカウント情報!$C$2&amp;
"&amp;pwd="
&amp;アカウント情報!$C$3&amp;
"&amp;item="
&amp;_xlfn.ENCODEURL(設定!$F$3)&amp;
"&amp;word="
&amp;_xlfn.ENCODEURL(C486)
)
)</f>
        <v/>
      </c>
      <c r="E486" s="6"/>
      <c r="F486" s="16" t="str">
        <f>IFERROR(VLOOKUP($E486,設定!$C:$F,2,0),"")</f>
        <v/>
      </c>
      <c r="G486" s="156" t="str">
        <f>IFERROR(VLOOKUP($E486,設定!$C:$F,3,0),"")</f>
        <v/>
      </c>
      <c r="H486" s="131" t="str">
        <f>IFERROR(VLOOKUP($E486,設定!$C:$F,4,0),"")</f>
        <v/>
      </c>
      <c r="I486" s="402"/>
      <c r="J486" s="8"/>
      <c r="K486" s="9"/>
      <c r="L486" s="9"/>
      <c r="M486" s="9"/>
      <c r="N486" s="9"/>
      <c r="O486" s="9"/>
      <c r="P486" s="9"/>
      <c r="Q486" s="9"/>
      <c r="R486" s="9"/>
      <c r="S486" s="9"/>
      <c r="T486" s="9"/>
      <c r="U486" s="9"/>
      <c r="V486" s="9"/>
      <c r="W486" s="9"/>
      <c r="X486" s="9"/>
      <c r="Y486" s="9"/>
      <c r="Z486" s="9"/>
      <c r="AA486" s="9"/>
      <c r="AB486" s="9"/>
      <c r="AC486" s="9"/>
      <c r="AD486" s="9"/>
      <c r="AE486" s="9"/>
      <c r="AF486" s="9"/>
      <c r="AG486" s="9"/>
      <c r="AH486" s="9"/>
      <c r="AI486" s="9"/>
      <c r="AJ486" s="9"/>
      <c r="AK486" s="9"/>
      <c r="AL486" s="9"/>
      <c r="AM486" s="9"/>
      <c r="AN486" s="10"/>
      <c r="AO486" s="65">
        <f t="shared" si="14"/>
        <v>0</v>
      </c>
    </row>
    <row r="487" spans="2:41" s="4" customFormat="1" ht="24" customHeight="1" x14ac:dyDescent="0.2">
      <c r="B487" s="14"/>
      <c r="C487" s="23"/>
      <c r="D487" s="21" t="str">
        <f>IF(ISBLANK(C487), "",
_xlfn.WEBSERVICE(
"https://d16nxf5gxyt1xz.cloudfront.net/Prod/translation?id="
&amp;アカウント情報!$C$2&amp;
"&amp;pwd="
&amp;アカウント情報!$C$3&amp;
"&amp;item="
&amp;_xlfn.ENCODEURL(設定!$F$3)&amp;
"&amp;word="
&amp;_xlfn.ENCODEURL(C487)
)
)</f>
        <v/>
      </c>
      <c r="E487" s="6"/>
      <c r="F487" s="16" t="str">
        <f>IFERROR(VLOOKUP($E487,設定!$C:$F,2,0),"")</f>
        <v/>
      </c>
      <c r="G487" s="156" t="str">
        <f>IFERROR(VLOOKUP($E487,設定!$C:$F,3,0),"")</f>
        <v/>
      </c>
      <c r="H487" s="131" t="str">
        <f>IFERROR(VLOOKUP($E487,設定!$C:$F,4,0),"")</f>
        <v/>
      </c>
      <c r="I487" s="402"/>
      <c r="J487" s="8"/>
      <c r="K487" s="9"/>
      <c r="L487" s="9"/>
      <c r="M487" s="9"/>
      <c r="N487" s="9"/>
      <c r="O487" s="9"/>
      <c r="P487" s="9"/>
      <c r="Q487" s="9"/>
      <c r="R487" s="9"/>
      <c r="S487" s="9"/>
      <c r="T487" s="9"/>
      <c r="U487" s="9"/>
      <c r="V487" s="9"/>
      <c r="W487" s="9"/>
      <c r="X487" s="9"/>
      <c r="Y487" s="9"/>
      <c r="Z487" s="9"/>
      <c r="AA487" s="9"/>
      <c r="AB487" s="9"/>
      <c r="AC487" s="9"/>
      <c r="AD487" s="9"/>
      <c r="AE487" s="9"/>
      <c r="AF487" s="9"/>
      <c r="AG487" s="9"/>
      <c r="AH487" s="9"/>
      <c r="AI487" s="9"/>
      <c r="AJ487" s="9"/>
      <c r="AK487" s="9"/>
      <c r="AL487" s="9"/>
      <c r="AM487" s="9"/>
      <c r="AN487" s="10"/>
      <c r="AO487" s="65">
        <f t="shared" si="14"/>
        <v>0</v>
      </c>
    </row>
    <row r="488" spans="2:41" s="4" customFormat="1" ht="24" customHeight="1" x14ac:dyDescent="0.2">
      <c r="B488" s="14"/>
      <c r="C488" s="23"/>
      <c r="D488" s="21" t="str">
        <f>IF(ISBLANK(C488), "",
_xlfn.WEBSERVICE(
"https://d16nxf5gxyt1xz.cloudfront.net/Prod/translation?id="
&amp;アカウント情報!$C$2&amp;
"&amp;pwd="
&amp;アカウント情報!$C$3&amp;
"&amp;item="
&amp;_xlfn.ENCODEURL(設定!$F$3)&amp;
"&amp;word="
&amp;_xlfn.ENCODEURL(C488)
)
)</f>
        <v/>
      </c>
      <c r="E488" s="6"/>
      <c r="F488" s="16" t="str">
        <f>IFERROR(VLOOKUP($E488,設定!$C:$F,2,0),"")</f>
        <v/>
      </c>
      <c r="G488" s="156" t="str">
        <f>IFERROR(VLOOKUP($E488,設定!$C:$F,3,0),"")</f>
        <v/>
      </c>
      <c r="H488" s="131" t="str">
        <f>IFERROR(VLOOKUP($E488,設定!$C:$F,4,0),"")</f>
        <v/>
      </c>
      <c r="I488" s="402"/>
      <c r="J488" s="8"/>
      <c r="K488" s="9"/>
      <c r="L488" s="9"/>
      <c r="M488" s="9"/>
      <c r="N488" s="9"/>
      <c r="O488" s="9"/>
      <c r="P488" s="9"/>
      <c r="Q488" s="9"/>
      <c r="R488" s="9"/>
      <c r="S488" s="9"/>
      <c r="T488" s="9"/>
      <c r="U488" s="9"/>
      <c r="V488" s="9"/>
      <c r="W488" s="9"/>
      <c r="X488" s="9"/>
      <c r="Y488" s="9"/>
      <c r="Z488" s="9"/>
      <c r="AA488" s="9"/>
      <c r="AB488" s="9"/>
      <c r="AC488" s="9"/>
      <c r="AD488" s="9"/>
      <c r="AE488" s="9"/>
      <c r="AF488" s="9"/>
      <c r="AG488" s="9"/>
      <c r="AH488" s="9"/>
      <c r="AI488" s="9"/>
      <c r="AJ488" s="9"/>
      <c r="AK488" s="9"/>
      <c r="AL488" s="9"/>
      <c r="AM488" s="9"/>
      <c r="AN488" s="10"/>
      <c r="AO488" s="65">
        <f t="shared" si="14"/>
        <v>0</v>
      </c>
    </row>
    <row r="489" spans="2:41" s="4" customFormat="1" ht="24" customHeight="1" x14ac:dyDescent="0.2">
      <c r="B489" s="14"/>
      <c r="C489" s="23"/>
      <c r="D489" s="21" t="str">
        <f>IF(ISBLANK(C489), "",
_xlfn.WEBSERVICE(
"https://d16nxf5gxyt1xz.cloudfront.net/Prod/translation?id="
&amp;アカウント情報!$C$2&amp;
"&amp;pwd="
&amp;アカウント情報!$C$3&amp;
"&amp;item="
&amp;_xlfn.ENCODEURL(設定!$F$3)&amp;
"&amp;word="
&amp;_xlfn.ENCODEURL(C489)
)
)</f>
        <v/>
      </c>
      <c r="E489" s="6"/>
      <c r="F489" s="16" t="str">
        <f>IFERROR(VLOOKUP($E489,設定!$C:$F,2,0),"")</f>
        <v/>
      </c>
      <c r="G489" s="156" t="str">
        <f>IFERROR(VLOOKUP($E489,設定!$C:$F,3,0),"")</f>
        <v/>
      </c>
      <c r="H489" s="131" t="str">
        <f>IFERROR(VLOOKUP($E489,設定!$C:$F,4,0),"")</f>
        <v/>
      </c>
      <c r="I489" s="402"/>
      <c r="J489" s="8"/>
      <c r="K489" s="9"/>
      <c r="L489" s="9"/>
      <c r="M489" s="9"/>
      <c r="N489" s="9"/>
      <c r="O489" s="9"/>
      <c r="P489" s="9"/>
      <c r="Q489" s="9"/>
      <c r="R489" s="9"/>
      <c r="S489" s="9"/>
      <c r="T489" s="9"/>
      <c r="U489" s="9"/>
      <c r="V489" s="9"/>
      <c r="W489" s="9"/>
      <c r="X489" s="9"/>
      <c r="Y489" s="9"/>
      <c r="Z489" s="9"/>
      <c r="AA489" s="9"/>
      <c r="AB489" s="9"/>
      <c r="AC489" s="9"/>
      <c r="AD489" s="9"/>
      <c r="AE489" s="9"/>
      <c r="AF489" s="9"/>
      <c r="AG489" s="9"/>
      <c r="AH489" s="9"/>
      <c r="AI489" s="9"/>
      <c r="AJ489" s="9"/>
      <c r="AK489" s="9"/>
      <c r="AL489" s="9"/>
      <c r="AM489" s="9"/>
      <c r="AN489" s="10"/>
      <c r="AO489" s="65">
        <f t="shared" si="14"/>
        <v>0</v>
      </c>
    </row>
    <row r="490" spans="2:41" s="4" customFormat="1" ht="24" customHeight="1" x14ac:dyDescent="0.2">
      <c r="B490" s="14"/>
      <c r="C490" s="23"/>
      <c r="D490" s="21" t="str">
        <f>IF(ISBLANK(C490), "",
_xlfn.WEBSERVICE(
"https://d16nxf5gxyt1xz.cloudfront.net/Prod/translation?id="
&amp;アカウント情報!$C$2&amp;
"&amp;pwd="
&amp;アカウント情報!$C$3&amp;
"&amp;item="
&amp;_xlfn.ENCODEURL(設定!$F$3)&amp;
"&amp;word="
&amp;_xlfn.ENCODEURL(C490)
)
)</f>
        <v/>
      </c>
      <c r="E490" s="6"/>
      <c r="F490" s="16" t="str">
        <f>IFERROR(VLOOKUP($E490,設定!$C:$F,2,0),"")</f>
        <v/>
      </c>
      <c r="G490" s="156" t="str">
        <f>IFERROR(VLOOKUP($E490,設定!$C:$F,3,0),"")</f>
        <v/>
      </c>
      <c r="H490" s="131" t="str">
        <f>IFERROR(VLOOKUP($E490,設定!$C:$F,4,0),"")</f>
        <v/>
      </c>
      <c r="I490" s="402"/>
      <c r="J490" s="8"/>
      <c r="K490" s="9"/>
      <c r="L490" s="9"/>
      <c r="M490" s="9"/>
      <c r="N490" s="9"/>
      <c r="O490" s="9"/>
      <c r="P490" s="9"/>
      <c r="Q490" s="9"/>
      <c r="R490" s="9"/>
      <c r="S490" s="9"/>
      <c r="T490" s="9"/>
      <c r="U490" s="9"/>
      <c r="V490" s="9"/>
      <c r="W490" s="9"/>
      <c r="X490" s="9"/>
      <c r="Y490" s="9"/>
      <c r="Z490" s="9"/>
      <c r="AA490" s="9"/>
      <c r="AB490" s="9"/>
      <c r="AC490" s="9"/>
      <c r="AD490" s="9"/>
      <c r="AE490" s="9"/>
      <c r="AF490" s="9"/>
      <c r="AG490" s="9"/>
      <c r="AH490" s="9"/>
      <c r="AI490" s="9"/>
      <c r="AJ490" s="9"/>
      <c r="AK490" s="9"/>
      <c r="AL490" s="9"/>
      <c r="AM490" s="9"/>
      <c r="AN490" s="10"/>
      <c r="AO490" s="65">
        <f t="shared" si="14"/>
        <v>0</v>
      </c>
    </row>
    <row r="491" spans="2:41" s="4" customFormat="1" ht="24" customHeight="1" x14ac:dyDescent="0.2">
      <c r="B491" s="14"/>
      <c r="C491" s="23"/>
      <c r="D491" s="21" t="str">
        <f>IF(ISBLANK(C491), "",
_xlfn.WEBSERVICE(
"https://d16nxf5gxyt1xz.cloudfront.net/Prod/translation?id="
&amp;アカウント情報!$C$2&amp;
"&amp;pwd="
&amp;アカウント情報!$C$3&amp;
"&amp;item="
&amp;_xlfn.ENCODEURL(設定!$F$3)&amp;
"&amp;word="
&amp;_xlfn.ENCODEURL(C491)
)
)</f>
        <v/>
      </c>
      <c r="E491" s="6"/>
      <c r="F491" s="16" t="str">
        <f>IFERROR(VLOOKUP($E491,設定!$C:$F,2,0),"")</f>
        <v/>
      </c>
      <c r="G491" s="156" t="str">
        <f>IFERROR(VLOOKUP($E491,設定!$C:$F,3,0),"")</f>
        <v/>
      </c>
      <c r="H491" s="131" t="str">
        <f>IFERROR(VLOOKUP($E491,設定!$C:$F,4,0),"")</f>
        <v/>
      </c>
      <c r="I491" s="402"/>
      <c r="J491" s="8"/>
      <c r="K491" s="9"/>
      <c r="L491" s="9"/>
      <c r="M491" s="9"/>
      <c r="N491" s="9"/>
      <c r="O491" s="9"/>
      <c r="P491" s="9"/>
      <c r="Q491" s="9"/>
      <c r="R491" s="9"/>
      <c r="S491" s="9"/>
      <c r="T491" s="9"/>
      <c r="U491" s="9"/>
      <c r="V491" s="9"/>
      <c r="W491" s="9"/>
      <c r="X491" s="9"/>
      <c r="Y491" s="9"/>
      <c r="Z491" s="9"/>
      <c r="AA491" s="9"/>
      <c r="AB491" s="9"/>
      <c r="AC491" s="9"/>
      <c r="AD491" s="9"/>
      <c r="AE491" s="9"/>
      <c r="AF491" s="9"/>
      <c r="AG491" s="9"/>
      <c r="AH491" s="9"/>
      <c r="AI491" s="9"/>
      <c r="AJ491" s="9"/>
      <c r="AK491" s="9"/>
      <c r="AL491" s="9"/>
      <c r="AM491" s="9"/>
      <c r="AN491" s="10"/>
      <c r="AO491" s="65">
        <f t="shared" si="14"/>
        <v>0</v>
      </c>
    </row>
    <row r="492" spans="2:41" s="4" customFormat="1" ht="24" customHeight="1" x14ac:dyDescent="0.2">
      <c r="B492" s="14"/>
      <c r="C492" s="23"/>
      <c r="D492" s="21" t="str">
        <f>IF(ISBLANK(C492), "",
_xlfn.WEBSERVICE(
"https://d16nxf5gxyt1xz.cloudfront.net/Prod/translation?id="
&amp;アカウント情報!$C$2&amp;
"&amp;pwd="
&amp;アカウント情報!$C$3&amp;
"&amp;item="
&amp;_xlfn.ENCODEURL(設定!$F$3)&amp;
"&amp;word="
&amp;_xlfn.ENCODEURL(C492)
)
)</f>
        <v/>
      </c>
      <c r="E492" s="6"/>
      <c r="F492" s="16" t="str">
        <f>IFERROR(VLOOKUP($E492,設定!$C:$F,2,0),"")</f>
        <v/>
      </c>
      <c r="G492" s="156" t="str">
        <f>IFERROR(VLOOKUP($E492,設定!$C:$F,3,0),"")</f>
        <v/>
      </c>
      <c r="H492" s="131" t="str">
        <f>IFERROR(VLOOKUP($E492,設定!$C:$F,4,0),"")</f>
        <v/>
      </c>
      <c r="I492" s="402"/>
      <c r="J492" s="8"/>
      <c r="K492" s="9"/>
      <c r="L492" s="9"/>
      <c r="M492" s="9"/>
      <c r="N492" s="9"/>
      <c r="O492" s="9"/>
      <c r="P492" s="9"/>
      <c r="Q492" s="9"/>
      <c r="R492" s="9"/>
      <c r="S492" s="9"/>
      <c r="T492" s="9"/>
      <c r="U492" s="9"/>
      <c r="V492" s="9"/>
      <c r="W492" s="9"/>
      <c r="X492" s="9"/>
      <c r="Y492" s="9"/>
      <c r="Z492" s="9"/>
      <c r="AA492" s="9"/>
      <c r="AB492" s="9"/>
      <c r="AC492" s="9"/>
      <c r="AD492" s="9"/>
      <c r="AE492" s="9"/>
      <c r="AF492" s="9"/>
      <c r="AG492" s="9"/>
      <c r="AH492" s="9"/>
      <c r="AI492" s="9"/>
      <c r="AJ492" s="9"/>
      <c r="AK492" s="9"/>
      <c r="AL492" s="9"/>
      <c r="AM492" s="9"/>
      <c r="AN492" s="10"/>
      <c r="AO492" s="65">
        <f t="shared" si="14"/>
        <v>0</v>
      </c>
    </row>
    <row r="493" spans="2:41" s="4" customFormat="1" ht="24" customHeight="1" x14ac:dyDescent="0.2">
      <c r="B493" s="14"/>
      <c r="C493" s="23"/>
      <c r="D493" s="21" t="str">
        <f>IF(ISBLANK(C493), "",
_xlfn.WEBSERVICE(
"https://d16nxf5gxyt1xz.cloudfront.net/Prod/translation?id="
&amp;アカウント情報!$C$2&amp;
"&amp;pwd="
&amp;アカウント情報!$C$3&amp;
"&amp;item="
&amp;_xlfn.ENCODEURL(設定!$F$3)&amp;
"&amp;word="
&amp;_xlfn.ENCODEURL(C493)
)
)</f>
        <v/>
      </c>
      <c r="E493" s="6"/>
      <c r="F493" s="16" t="str">
        <f>IFERROR(VLOOKUP($E493,設定!$C:$F,2,0),"")</f>
        <v/>
      </c>
      <c r="G493" s="156" t="str">
        <f>IFERROR(VLOOKUP($E493,設定!$C:$F,3,0),"")</f>
        <v/>
      </c>
      <c r="H493" s="131" t="str">
        <f>IFERROR(VLOOKUP($E493,設定!$C:$F,4,0),"")</f>
        <v/>
      </c>
      <c r="I493" s="402"/>
      <c r="J493" s="8"/>
      <c r="K493" s="9"/>
      <c r="L493" s="9"/>
      <c r="M493" s="9"/>
      <c r="N493" s="9"/>
      <c r="O493" s="9"/>
      <c r="P493" s="9"/>
      <c r="Q493" s="9"/>
      <c r="R493" s="9"/>
      <c r="S493" s="9"/>
      <c r="T493" s="9"/>
      <c r="U493" s="9"/>
      <c r="V493" s="9"/>
      <c r="W493" s="9"/>
      <c r="X493" s="9"/>
      <c r="Y493" s="9"/>
      <c r="Z493" s="9"/>
      <c r="AA493" s="9"/>
      <c r="AB493" s="9"/>
      <c r="AC493" s="9"/>
      <c r="AD493" s="9"/>
      <c r="AE493" s="9"/>
      <c r="AF493" s="9"/>
      <c r="AG493" s="9"/>
      <c r="AH493" s="9"/>
      <c r="AI493" s="9"/>
      <c r="AJ493" s="9"/>
      <c r="AK493" s="9"/>
      <c r="AL493" s="9"/>
      <c r="AM493" s="9"/>
      <c r="AN493" s="10"/>
      <c r="AO493" s="65">
        <f t="shared" si="14"/>
        <v>0</v>
      </c>
    </row>
    <row r="494" spans="2:41" s="4" customFormat="1" ht="24" customHeight="1" x14ac:dyDescent="0.2">
      <c r="B494" s="14"/>
      <c r="C494" s="23"/>
      <c r="D494" s="21" t="str">
        <f>IF(ISBLANK(C494), "",
_xlfn.WEBSERVICE(
"https://d16nxf5gxyt1xz.cloudfront.net/Prod/translation?id="
&amp;アカウント情報!$C$2&amp;
"&amp;pwd="
&amp;アカウント情報!$C$3&amp;
"&amp;item="
&amp;_xlfn.ENCODEURL(設定!$F$3)&amp;
"&amp;word="
&amp;_xlfn.ENCODEURL(C494)
)
)</f>
        <v/>
      </c>
      <c r="E494" s="6"/>
      <c r="F494" s="16" t="str">
        <f>IFERROR(VLOOKUP($E494,設定!$C:$F,2,0),"")</f>
        <v/>
      </c>
      <c r="G494" s="156" t="str">
        <f>IFERROR(VLOOKUP($E494,設定!$C:$F,3,0),"")</f>
        <v/>
      </c>
      <c r="H494" s="131" t="str">
        <f>IFERROR(VLOOKUP($E494,設定!$C:$F,4,0),"")</f>
        <v/>
      </c>
      <c r="I494" s="402"/>
      <c r="J494" s="8"/>
      <c r="K494" s="9"/>
      <c r="L494" s="9"/>
      <c r="M494" s="9"/>
      <c r="N494" s="9"/>
      <c r="O494" s="9"/>
      <c r="P494" s="9"/>
      <c r="Q494" s="9"/>
      <c r="R494" s="9"/>
      <c r="S494" s="9"/>
      <c r="T494" s="9"/>
      <c r="U494" s="9"/>
      <c r="V494" s="9"/>
      <c r="W494" s="9"/>
      <c r="X494" s="9"/>
      <c r="Y494" s="9"/>
      <c r="Z494" s="9"/>
      <c r="AA494" s="9"/>
      <c r="AB494" s="9"/>
      <c r="AC494" s="9"/>
      <c r="AD494" s="9"/>
      <c r="AE494" s="9"/>
      <c r="AF494" s="9"/>
      <c r="AG494" s="9"/>
      <c r="AH494" s="9"/>
      <c r="AI494" s="9"/>
      <c r="AJ494" s="9"/>
      <c r="AK494" s="9"/>
      <c r="AL494" s="9"/>
      <c r="AM494" s="9"/>
      <c r="AN494" s="10"/>
      <c r="AO494" s="65">
        <f t="shared" si="14"/>
        <v>0</v>
      </c>
    </row>
    <row r="495" spans="2:41" s="4" customFormat="1" ht="24" customHeight="1" x14ac:dyDescent="0.2">
      <c r="B495" s="14"/>
      <c r="C495" s="23"/>
      <c r="D495" s="21" t="str">
        <f>IF(ISBLANK(C495), "",
_xlfn.WEBSERVICE(
"https://d16nxf5gxyt1xz.cloudfront.net/Prod/translation?id="
&amp;アカウント情報!$C$2&amp;
"&amp;pwd="
&amp;アカウント情報!$C$3&amp;
"&amp;item="
&amp;_xlfn.ENCODEURL(設定!$F$3)&amp;
"&amp;word="
&amp;_xlfn.ENCODEURL(C495)
)
)</f>
        <v/>
      </c>
      <c r="E495" s="6"/>
      <c r="F495" s="16" t="str">
        <f>IFERROR(VLOOKUP($E495,設定!$C:$F,2,0),"")</f>
        <v/>
      </c>
      <c r="G495" s="156" t="str">
        <f>IFERROR(VLOOKUP($E495,設定!$C:$F,3,0),"")</f>
        <v/>
      </c>
      <c r="H495" s="131" t="str">
        <f>IFERROR(VLOOKUP($E495,設定!$C:$F,4,0),"")</f>
        <v/>
      </c>
      <c r="I495" s="402"/>
      <c r="J495" s="8"/>
      <c r="K495" s="9"/>
      <c r="L495" s="9"/>
      <c r="M495" s="9"/>
      <c r="N495" s="9"/>
      <c r="O495" s="9"/>
      <c r="P495" s="9"/>
      <c r="Q495" s="9"/>
      <c r="R495" s="9"/>
      <c r="S495" s="9"/>
      <c r="T495" s="9"/>
      <c r="U495" s="9"/>
      <c r="V495" s="9"/>
      <c r="W495" s="9"/>
      <c r="X495" s="9"/>
      <c r="Y495" s="9"/>
      <c r="Z495" s="9"/>
      <c r="AA495" s="9"/>
      <c r="AB495" s="9"/>
      <c r="AC495" s="9"/>
      <c r="AD495" s="9"/>
      <c r="AE495" s="9"/>
      <c r="AF495" s="9"/>
      <c r="AG495" s="9"/>
      <c r="AH495" s="9"/>
      <c r="AI495" s="9"/>
      <c r="AJ495" s="9"/>
      <c r="AK495" s="9"/>
      <c r="AL495" s="9"/>
      <c r="AM495" s="9"/>
      <c r="AN495" s="10"/>
      <c r="AO495" s="65">
        <f t="shared" si="14"/>
        <v>0</v>
      </c>
    </row>
    <row r="496" spans="2:41" s="4" customFormat="1" ht="24" customHeight="1" x14ac:dyDescent="0.2">
      <c r="B496" s="14"/>
      <c r="C496" s="23"/>
      <c r="D496" s="21" t="str">
        <f>IF(ISBLANK(C496), "",
_xlfn.WEBSERVICE(
"https://d16nxf5gxyt1xz.cloudfront.net/Prod/translation?id="
&amp;アカウント情報!$C$2&amp;
"&amp;pwd="
&amp;アカウント情報!$C$3&amp;
"&amp;item="
&amp;_xlfn.ENCODEURL(設定!$F$3)&amp;
"&amp;word="
&amp;_xlfn.ENCODEURL(C496)
)
)</f>
        <v/>
      </c>
      <c r="E496" s="6"/>
      <c r="F496" s="16" t="str">
        <f>IFERROR(VLOOKUP($E496,設定!$C:$F,2,0),"")</f>
        <v/>
      </c>
      <c r="G496" s="156" t="str">
        <f>IFERROR(VLOOKUP($E496,設定!$C:$F,3,0),"")</f>
        <v/>
      </c>
      <c r="H496" s="131" t="str">
        <f>IFERROR(VLOOKUP($E496,設定!$C:$F,4,0),"")</f>
        <v/>
      </c>
      <c r="I496" s="402"/>
      <c r="J496" s="8"/>
      <c r="K496" s="9"/>
      <c r="L496" s="9"/>
      <c r="M496" s="9"/>
      <c r="N496" s="9"/>
      <c r="O496" s="9"/>
      <c r="P496" s="9"/>
      <c r="Q496" s="9"/>
      <c r="R496" s="9"/>
      <c r="S496" s="9"/>
      <c r="T496" s="9"/>
      <c r="U496" s="9"/>
      <c r="V496" s="9"/>
      <c r="W496" s="9"/>
      <c r="X496" s="9"/>
      <c r="Y496" s="9"/>
      <c r="Z496" s="9"/>
      <c r="AA496" s="9"/>
      <c r="AB496" s="9"/>
      <c r="AC496" s="9"/>
      <c r="AD496" s="9"/>
      <c r="AE496" s="9"/>
      <c r="AF496" s="9"/>
      <c r="AG496" s="9"/>
      <c r="AH496" s="9"/>
      <c r="AI496" s="9"/>
      <c r="AJ496" s="9"/>
      <c r="AK496" s="9"/>
      <c r="AL496" s="9"/>
      <c r="AM496" s="9"/>
      <c r="AN496" s="10"/>
      <c r="AO496" s="65">
        <f t="shared" si="14"/>
        <v>0</v>
      </c>
    </row>
    <row r="497" spans="2:41" s="4" customFormat="1" ht="24" customHeight="1" x14ac:dyDescent="0.2">
      <c r="B497" s="14"/>
      <c r="C497" s="23"/>
      <c r="D497" s="21" t="str">
        <f>IF(ISBLANK(C497), "",
_xlfn.WEBSERVICE(
"https://d16nxf5gxyt1xz.cloudfront.net/Prod/translation?id="
&amp;アカウント情報!$C$2&amp;
"&amp;pwd="
&amp;アカウント情報!$C$3&amp;
"&amp;item="
&amp;_xlfn.ENCODEURL(設定!$F$3)&amp;
"&amp;word="
&amp;_xlfn.ENCODEURL(C497)
)
)</f>
        <v/>
      </c>
      <c r="E497" s="6"/>
      <c r="F497" s="16" t="str">
        <f>IFERROR(VLOOKUP($E497,設定!$C:$F,2,0),"")</f>
        <v/>
      </c>
      <c r="G497" s="156" t="str">
        <f>IFERROR(VLOOKUP($E497,設定!$C:$F,3,0),"")</f>
        <v/>
      </c>
      <c r="H497" s="131" t="str">
        <f>IFERROR(VLOOKUP($E497,設定!$C:$F,4,0),"")</f>
        <v/>
      </c>
      <c r="I497" s="402"/>
      <c r="J497" s="8"/>
      <c r="K497" s="9"/>
      <c r="L497" s="9"/>
      <c r="M497" s="9"/>
      <c r="N497" s="9"/>
      <c r="O497" s="9"/>
      <c r="P497" s="9"/>
      <c r="Q497" s="9"/>
      <c r="R497" s="9"/>
      <c r="S497" s="9"/>
      <c r="T497" s="9"/>
      <c r="U497" s="9"/>
      <c r="V497" s="9"/>
      <c r="W497" s="9"/>
      <c r="X497" s="9"/>
      <c r="Y497" s="9"/>
      <c r="Z497" s="9"/>
      <c r="AA497" s="9"/>
      <c r="AB497" s="9"/>
      <c r="AC497" s="9"/>
      <c r="AD497" s="9"/>
      <c r="AE497" s="9"/>
      <c r="AF497" s="9"/>
      <c r="AG497" s="9"/>
      <c r="AH497" s="9"/>
      <c r="AI497" s="9"/>
      <c r="AJ497" s="9"/>
      <c r="AK497" s="9"/>
      <c r="AL497" s="9"/>
      <c r="AM497" s="9"/>
      <c r="AN497" s="10"/>
      <c r="AO497" s="65">
        <f t="shared" si="14"/>
        <v>0</v>
      </c>
    </row>
    <row r="498" spans="2:41" s="4" customFormat="1" ht="24" customHeight="1" x14ac:dyDescent="0.2">
      <c r="B498" s="14"/>
      <c r="C498" s="23"/>
      <c r="D498" s="21" t="str">
        <f>IF(ISBLANK(C498), "",
_xlfn.WEBSERVICE(
"https://d16nxf5gxyt1xz.cloudfront.net/Prod/translation?id="
&amp;アカウント情報!$C$2&amp;
"&amp;pwd="
&amp;アカウント情報!$C$3&amp;
"&amp;item="
&amp;_xlfn.ENCODEURL(設定!$F$3)&amp;
"&amp;word="
&amp;_xlfn.ENCODEURL(C498)
)
)</f>
        <v/>
      </c>
      <c r="E498" s="6"/>
      <c r="F498" s="16" t="str">
        <f>IFERROR(VLOOKUP($E498,設定!$C:$F,2,0),"")</f>
        <v/>
      </c>
      <c r="G498" s="156" t="str">
        <f>IFERROR(VLOOKUP($E498,設定!$C:$F,3,0),"")</f>
        <v/>
      </c>
      <c r="H498" s="131" t="str">
        <f>IFERROR(VLOOKUP($E498,設定!$C:$F,4,0),"")</f>
        <v/>
      </c>
      <c r="I498" s="402"/>
      <c r="J498" s="8"/>
      <c r="K498" s="9"/>
      <c r="L498" s="9"/>
      <c r="M498" s="9"/>
      <c r="N498" s="9"/>
      <c r="O498" s="9"/>
      <c r="P498" s="9"/>
      <c r="Q498" s="9"/>
      <c r="R498" s="9"/>
      <c r="S498" s="9"/>
      <c r="T498" s="9"/>
      <c r="U498" s="9"/>
      <c r="V498" s="9"/>
      <c r="W498" s="9"/>
      <c r="X498" s="9"/>
      <c r="Y498" s="9"/>
      <c r="Z498" s="9"/>
      <c r="AA498" s="9"/>
      <c r="AB498" s="9"/>
      <c r="AC498" s="9"/>
      <c r="AD498" s="9"/>
      <c r="AE498" s="9"/>
      <c r="AF498" s="9"/>
      <c r="AG498" s="9"/>
      <c r="AH498" s="9"/>
      <c r="AI498" s="9"/>
      <c r="AJ498" s="9"/>
      <c r="AK498" s="9"/>
      <c r="AL498" s="9"/>
      <c r="AM498" s="9"/>
      <c r="AN498" s="10"/>
      <c r="AO498" s="65">
        <f t="shared" si="14"/>
        <v>0</v>
      </c>
    </row>
    <row r="499" spans="2:41" s="4" customFormat="1" ht="24" customHeight="1" x14ac:dyDescent="0.2">
      <c r="B499" s="14"/>
      <c r="C499" s="23"/>
      <c r="D499" s="21" t="str">
        <f>IF(ISBLANK(C499), "",
_xlfn.WEBSERVICE(
"https://d16nxf5gxyt1xz.cloudfront.net/Prod/translation?id="
&amp;アカウント情報!$C$2&amp;
"&amp;pwd="
&amp;アカウント情報!$C$3&amp;
"&amp;item="
&amp;_xlfn.ENCODEURL(設定!$F$3)&amp;
"&amp;word="
&amp;_xlfn.ENCODEURL(C499)
)
)</f>
        <v/>
      </c>
      <c r="E499" s="6"/>
      <c r="F499" s="16" t="str">
        <f>IFERROR(VLOOKUP($E499,設定!$C:$F,2,0),"")</f>
        <v/>
      </c>
      <c r="G499" s="156" t="str">
        <f>IFERROR(VLOOKUP($E499,設定!$C:$F,3,0),"")</f>
        <v/>
      </c>
      <c r="H499" s="131" t="str">
        <f>IFERROR(VLOOKUP($E499,設定!$C:$F,4,0),"")</f>
        <v/>
      </c>
      <c r="I499" s="402"/>
      <c r="J499" s="8"/>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10"/>
      <c r="AO499" s="65">
        <f t="shared" si="14"/>
        <v>0</v>
      </c>
    </row>
    <row r="500" spans="2:41" s="4" customFormat="1" ht="24" customHeight="1" x14ac:dyDescent="0.2">
      <c r="B500" s="14"/>
      <c r="C500" s="23"/>
      <c r="D500" s="21" t="str">
        <f>IF(ISBLANK(C500), "",
_xlfn.WEBSERVICE(
"https://d16nxf5gxyt1xz.cloudfront.net/Prod/translation?id="
&amp;アカウント情報!$C$2&amp;
"&amp;pwd="
&amp;アカウント情報!$C$3&amp;
"&amp;item="
&amp;_xlfn.ENCODEURL(設定!$F$3)&amp;
"&amp;word="
&amp;_xlfn.ENCODEURL(C500)
)
)</f>
        <v/>
      </c>
      <c r="E500" s="6"/>
      <c r="F500" s="16" t="str">
        <f>IFERROR(VLOOKUP($E500,設定!$C:$F,2,0),"")</f>
        <v/>
      </c>
      <c r="G500" s="156" t="str">
        <f>IFERROR(VLOOKUP($E500,設定!$C:$F,3,0),"")</f>
        <v/>
      </c>
      <c r="H500" s="131" t="str">
        <f>IFERROR(VLOOKUP($E500,設定!$C:$F,4,0),"")</f>
        <v/>
      </c>
      <c r="I500" s="402"/>
      <c r="J500" s="8"/>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9"/>
      <c r="AJ500" s="9"/>
      <c r="AK500" s="9"/>
      <c r="AL500" s="9"/>
      <c r="AM500" s="9"/>
      <c r="AN500" s="10"/>
      <c r="AO500" s="65">
        <f t="shared" si="14"/>
        <v>0</v>
      </c>
    </row>
    <row r="501" spans="2:41" s="4" customFormat="1" ht="24" customHeight="1" x14ac:dyDescent="0.2">
      <c r="B501" s="14"/>
      <c r="C501" s="23"/>
      <c r="D501" s="21" t="str">
        <f>IF(ISBLANK(C501), "",
_xlfn.WEBSERVICE(
"https://d16nxf5gxyt1xz.cloudfront.net/Prod/translation?id="
&amp;アカウント情報!$C$2&amp;
"&amp;pwd="
&amp;アカウント情報!$C$3&amp;
"&amp;item="
&amp;_xlfn.ENCODEURL(設定!$F$3)&amp;
"&amp;word="
&amp;_xlfn.ENCODEURL(C501)
)
)</f>
        <v/>
      </c>
      <c r="E501" s="6"/>
      <c r="F501" s="16" t="str">
        <f>IFERROR(VLOOKUP($E501,設定!$C:$F,2,0),"")</f>
        <v/>
      </c>
      <c r="G501" s="156" t="str">
        <f>IFERROR(VLOOKUP($E501,設定!$C:$F,3,0),"")</f>
        <v/>
      </c>
      <c r="H501" s="131" t="str">
        <f>IFERROR(VLOOKUP($E501,設定!$C:$F,4,0),"")</f>
        <v/>
      </c>
      <c r="I501" s="402"/>
      <c r="J501" s="8"/>
      <c r="K501" s="9"/>
      <c r="L501" s="9"/>
      <c r="M501" s="9"/>
      <c r="N501" s="9"/>
      <c r="O501" s="9"/>
      <c r="P501" s="9"/>
      <c r="Q501" s="9"/>
      <c r="R501" s="9"/>
      <c r="S501" s="9"/>
      <c r="T501" s="9"/>
      <c r="U501" s="9"/>
      <c r="V501" s="9"/>
      <c r="W501" s="9"/>
      <c r="X501" s="9"/>
      <c r="Y501" s="9"/>
      <c r="Z501" s="9"/>
      <c r="AA501" s="9"/>
      <c r="AB501" s="9"/>
      <c r="AC501" s="9"/>
      <c r="AD501" s="9"/>
      <c r="AE501" s="9"/>
      <c r="AF501" s="9"/>
      <c r="AG501" s="9"/>
      <c r="AH501" s="9"/>
      <c r="AI501" s="9"/>
      <c r="AJ501" s="9"/>
      <c r="AK501" s="9"/>
      <c r="AL501" s="9"/>
      <c r="AM501" s="9"/>
      <c r="AN501" s="10"/>
      <c r="AO501" s="65">
        <f t="shared" si="14"/>
        <v>0</v>
      </c>
    </row>
    <row r="502" spans="2:41" s="4" customFormat="1" ht="24" customHeight="1" x14ac:dyDescent="0.2">
      <c r="B502" s="14"/>
      <c r="C502" s="23"/>
      <c r="D502" s="21" t="str">
        <f>IF(ISBLANK(C502), "",
_xlfn.WEBSERVICE(
"https://d16nxf5gxyt1xz.cloudfront.net/Prod/translation?id="
&amp;アカウント情報!$C$2&amp;
"&amp;pwd="
&amp;アカウント情報!$C$3&amp;
"&amp;item="
&amp;_xlfn.ENCODEURL(設定!$F$3)&amp;
"&amp;word="
&amp;_xlfn.ENCODEURL(C502)
)
)</f>
        <v/>
      </c>
      <c r="E502" s="6"/>
      <c r="F502" s="16" t="str">
        <f>IFERROR(VLOOKUP($E502,設定!$C:$F,2,0),"")</f>
        <v/>
      </c>
      <c r="G502" s="156" t="str">
        <f>IFERROR(VLOOKUP($E502,設定!$C:$F,3,0),"")</f>
        <v/>
      </c>
      <c r="H502" s="131" t="str">
        <f>IFERROR(VLOOKUP($E502,設定!$C:$F,4,0),"")</f>
        <v/>
      </c>
      <c r="I502" s="402"/>
      <c r="J502" s="8"/>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9"/>
      <c r="AJ502" s="9"/>
      <c r="AK502" s="9"/>
      <c r="AL502" s="9"/>
      <c r="AM502" s="9"/>
      <c r="AN502" s="10"/>
      <c r="AO502" s="65">
        <f t="shared" si="14"/>
        <v>0</v>
      </c>
    </row>
    <row r="503" spans="2:41" s="4" customFormat="1" ht="24" customHeight="1" x14ac:dyDescent="0.2">
      <c r="B503" s="14"/>
      <c r="C503" s="23"/>
      <c r="D503" s="21" t="str">
        <f>IF(ISBLANK(C503), "",
_xlfn.WEBSERVICE(
"https://d16nxf5gxyt1xz.cloudfront.net/Prod/translation?id="
&amp;アカウント情報!$C$2&amp;
"&amp;pwd="
&amp;アカウント情報!$C$3&amp;
"&amp;item="
&amp;_xlfn.ENCODEURL(設定!$F$3)&amp;
"&amp;word="
&amp;_xlfn.ENCODEURL(C503)
)
)</f>
        <v/>
      </c>
      <c r="E503" s="6"/>
      <c r="F503" s="16" t="str">
        <f>IFERROR(VLOOKUP($E503,設定!$C:$F,2,0),"")</f>
        <v/>
      </c>
      <c r="G503" s="156" t="str">
        <f>IFERROR(VLOOKUP($E503,設定!$C:$F,3,0),"")</f>
        <v/>
      </c>
      <c r="H503" s="131" t="str">
        <f>IFERROR(VLOOKUP($E503,設定!$C:$F,4,0),"")</f>
        <v/>
      </c>
      <c r="I503" s="402"/>
      <c r="J503" s="8"/>
      <c r="K503" s="9"/>
      <c r="L503" s="9"/>
      <c r="M503" s="9"/>
      <c r="N503" s="9"/>
      <c r="O503" s="9"/>
      <c r="P503" s="9"/>
      <c r="Q503" s="9"/>
      <c r="R503" s="9"/>
      <c r="S503" s="9"/>
      <c r="T503" s="9"/>
      <c r="U503" s="9"/>
      <c r="V503" s="9"/>
      <c r="W503" s="9"/>
      <c r="X503" s="9"/>
      <c r="Y503" s="9"/>
      <c r="Z503" s="9"/>
      <c r="AA503" s="9"/>
      <c r="AB503" s="9"/>
      <c r="AC503" s="9"/>
      <c r="AD503" s="9"/>
      <c r="AE503" s="9"/>
      <c r="AF503" s="9"/>
      <c r="AG503" s="9"/>
      <c r="AH503" s="9"/>
      <c r="AI503" s="9"/>
      <c r="AJ503" s="9"/>
      <c r="AK503" s="9"/>
      <c r="AL503" s="9"/>
      <c r="AM503" s="9"/>
      <c r="AN503" s="10"/>
      <c r="AO503" s="65">
        <f t="shared" si="14"/>
        <v>0</v>
      </c>
    </row>
    <row r="504" spans="2:41" s="4" customFormat="1" ht="24" customHeight="1" x14ac:dyDescent="0.2">
      <c r="B504" s="14"/>
      <c r="C504" s="23"/>
      <c r="D504" s="21" t="str">
        <f>IF(ISBLANK(C504), "",
_xlfn.WEBSERVICE(
"https://d16nxf5gxyt1xz.cloudfront.net/Prod/translation?id="
&amp;アカウント情報!$C$2&amp;
"&amp;pwd="
&amp;アカウント情報!$C$3&amp;
"&amp;item="
&amp;_xlfn.ENCODEURL(設定!$F$3)&amp;
"&amp;word="
&amp;_xlfn.ENCODEURL(C504)
)
)</f>
        <v/>
      </c>
      <c r="E504" s="6"/>
      <c r="F504" s="16" t="str">
        <f>IFERROR(VLOOKUP($E504,設定!$C:$F,2,0),"")</f>
        <v/>
      </c>
      <c r="G504" s="156" t="str">
        <f>IFERROR(VLOOKUP($E504,設定!$C:$F,3,0),"")</f>
        <v/>
      </c>
      <c r="H504" s="131" t="str">
        <f>IFERROR(VLOOKUP($E504,設定!$C:$F,4,0),"")</f>
        <v/>
      </c>
      <c r="I504" s="402"/>
      <c r="J504" s="8"/>
      <c r="K504" s="9"/>
      <c r="L504" s="9"/>
      <c r="M504" s="9"/>
      <c r="N504" s="9"/>
      <c r="O504" s="9"/>
      <c r="P504" s="9"/>
      <c r="Q504" s="9"/>
      <c r="R504" s="9"/>
      <c r="S504" s="9"/>
      <c r="T504" s="9"/>
      <c r="U504" s="9"/>
      <c r="V504" s="9"/>
      <c r="W504" s="9"/>
      <c r="X504" s="9"/>
      <c r="Y504" s="9"/>
      <c r="Z504" s="9"/>
      <c r="AA504" s="9"/>
      <c r="AB504" s="9"/>
      <c r="AC504" s="9"/>
      <c r="AD504" s="9"/>
      <c r="AE504" s="9"/>
      <c r="AF504" s="9"/>
      <c r="AG504" s="9"/>
      <c r="AH504" s="9"/>
      <c r="AI504" s="9"/>
      <c r="AJ504" s="9"/>
      <c r="AK504" s="9"/>
      <c r="AL504" s="9"/>
      <c r="AM504" s="9"/>
      <c r="AN504" s="10"/>
      <c r="AO504" s="65">
        <f t="shared" si="14"/>
        <v>0</v>
      </c>
    </row>
    <row r="505" spans="2:41" s="4" customFormat="1" ht="24" customHeight="1" x14ac:dyDescent="0.2">
      <c r="B505" s="14"/>
      <c r="C505" s="23"/>
      <c r="D505" s="21" t="str">
        <f>IF(ISBLANK(C505), "",
_xlfn.WEBSERVICE(
"https://d16nxf5gxyt1xz.cloudfront.net/Prod/translation?id="
&amp;アカウント情報!$C$2&amp;
"&amp;pwd="
&amp;アカウント情報!$C$3&amp;
"&amp;item="
&amp;_xlfn.ENCODEURL(設定!$F$3)&amp;
"&amp;word="
&amp;_xlfn.ENCODEURL(C505)
)
)</f>
        <v/>
      </c>
      <c r="E505" s="6"/>
      <c r="F505" s="16" t="str">
        <f>IFERROR(VLOOKUP($E505,設定!$C:$F,2,0),"")</f>
        <v/>
      </c>
      <c r="G505" s="156" t="str">
        <f>IFERROR(VLOOKUP($E505,設定!$C:$F,3,0),"")</f>
        <v/>
      </c>
      <c r="H505" s="131" t="str">
        <f>IFERROR(VLOOKUP($E505,設定!$C:$F,4,0),"")</f>
        <v/>
      </c>
      <c r="I505" s="402"/>
      <c r="J505" s="8"/>
      <c r="K505" s="9"/>
      <c r="L505" s="9"/>
      <c r="M505" s="9"/>
      <c r="N505" s="9"/>
      <c r="O505" s="9"/>
      <c r="P505" s="9"/>
      <c r="Q505" s="9"/>
      <c r="R505" s="9"/>
      <c r="S505" s="9"/>
      <c r="T505" s="9"/>
      <c r="U505" s="9"/>
      <c r="V505" s="9"/>
      <c r="W505" s="9"/>
      <c r="X505" s="9"/>
      <c r="Y505" s="9"/>
      <c r="Z505" s="9"/>
      <c r="AA505" s="9"/>
      <c r="AB505" s="9"/>
      <c r="AC505" s="9"/>
      <c r="AD505" s="9"/>
      <c r="AE505" s="9"/>
      <c r="AF505" s="9"/>
      <c r="AG505" s="9"/>
      <c r="AH505" s="9"/>
      <c r="AI505" s="9"/>
      <c r="AJ505" s="9"/>
      <c r="AK505" s="9"/>
      <c r="AL505" s="9"/>
      <c r="AM505" s="9"/>
      <c r="AN505" s="10"/>
      <c r="AO505" s="65">
        <f t="shared" si="14"/>
        <v>0</v>
      </c>
    </row>
    <row r="506" spans="2:41" s="4" customFormat="1" ht="24" customHeight="1" x14ac:dyDescent="0.2">
      <c r="B506" s="14"/>
      <c r="C506" s="23"/>
      <c r="D506" s="21" t="str">
        <f>IF(ISBLANK(C506), "",
_xlfn.WEBSERVICE(
"https://d16nxf5gxyt1xz.cloudfront.net/Prod/translation?id="
&amp;アカウント情報!$C$2&amp;
"&amp;pwd="
&amp;アカウント情報!$C$3&amp;
"&amp;item="
&amp;_xlfn.ENCODEURL(設定!$F$3)&amp;
"&amp;word="
&amp;_xlfn.ENCODEURL(C506)
)
)</f>
        <v/>
      </c>
      <c r="E506" s="6"/>
      <c r="F506" s="16" t="str">
        <f>IFERROR(VLOOKUP($E506,設定!$C:$F,2,0),"")</f>
        <v/>
      </c>
      <c r="G506" s="156" t="str">
        <f>IFERROR(VLOOKUP($E506,設定!$C:$F,3,0),"")</f>
        <v/>
      </c>
      <c r="H506" s="131" t="str">
        <f>IFERROR(VLOOKUP($E506,設定!$C:$F,4,0),"")</f>
        <v/>
      </c>
      <c r="I506" s="402"/>
      <c r="J506" s="8"/>
      <c r="K506" s="9"/>
      <c r="L506" s="9"/>
      <c r="M506" s="9"/>
      <c r="N506" s="9"/>
      <c r="O506" s="9"/>
      <c r="P506" s="9"/>
      <c r="Q506" s="9"/>
      <c r="R506" s="9"/>
      <c r="S506" s="9"/>
      <c r="T506" s="9"/>
      <c r="U506" s="9"/>
      <c r="V506" s="9"/>
      <c r="W506" s="9"/>
      <c r="X506" s="9"/>
      <c r="Y506" s="9"/>
      <c r="Z506" s="9"/>
      <c r="AA506" s="9"/>
      <c r="AB506" s="9"/>
      <c r="AC506" s="9"/>
      <c r="AD506" s="9"/>
      <c r="AE506" s="9"/>
      <c r="AF506" s="9"/>
      <c r="AG506" s="9"/>
      <c r="AH506" s="9"/>
      <c r="AI506" s="9"/>
      <c r="AJ506" s="9"/>
      <c r="AK506" s="9"/>
      <c r="AL506" s="9"/>
      <c r="AM506" s="9"/>
      <c r="AN506" s="10"/>
      <c r="AO506" s="65">
        <f t="shared" si="14"/>
        <v>0</v>
      </c>
    </row>
    <row r="507" spans="2:41" s="4" customFormat="1" ht="24" customHeight="1" x14ac:dyDescent="0.2">
      <c r="B507" s="14"/>
      <c r="C507" s="23"/>
      <c r="D507" s="21" t="str">
        <f>IF(ISBLANK(C507), "",
_xlfn.WEBSERVICE(
"https://d16nxf5gxyt1xz.cloudfront.net/Prod/translation?id="
&amp;アカウント情報!$C$2&amp;
"&amp;pwd="
&amp;アカウント情報!$C$3&amp;
"&amp;item="
&amp;_xlfn.ENCODEURL(設定!$F$3)&amp;
"&amp;word="
&amp;_xlfn.ENCODEURL(C507)
)
)</f>
        <v/>
      </c>
      <c r="E507" s="6"/>
      <c r="F507" s="16" t="str">
        <f>IFERROR(VLOOKUP($E507,設定!$C:$F,2,0),"")</f>
        <v/>
      </c>
      <c r="G507" s="156" t="str">
        <f>IFERROR(VLOOKUP($E507,設定!$C:$F,3,0),"")</f>
        <v/>
      </c>
      <c r="H507" s="131" t="str">
        <f>IFERROR(VLOOKUP($E507,設定!$C:$F,4,0),"")</f>
        <v/>
      </c>
      <c r="I507" s="402"/>
      <c r="J507" s="8"/>
      <c r="K507" s="9"/>
      <c r="L507" s="9"/>
      <c r="M507" s="9"/>
      <c r="N507" s="9"/>
      <c r="O507" s="9"/>
      <c r="P507" s="9"/>
      <c r="Q507" s="9"/>
      <c r="R507" s="9"/>
      <c r="S507" s="9"/>
      <c r="T507" s="9"/>
      <c r="U507" s="9"/>
      <c r="V507" s="9"/>
      <c r="W507" s="9"/>
      <c r="X507" s="9"/>
      <c r="Y507" s="9"/>
      <c r="Z507" s="9"/>
      <c r="AA507" s="9"/>
      <c r="AB507" s="9"/>
      <c r="AC507" s="9"/>
      <c r="AD507" s="9"/>
      <c r="AE507" s="9"/>
      <c r="AF507" s="9"/>
      <c r="AG507" s="9"/>
      <c r="AH507" s="9"/>
      <c r="AI507" s="9"/>
      <c r="AJ507" s="9"/>
      <c r="AK507" s="9"/>
      <c r="AL507" s="9"/>
      <c r="AM507" s="9"/>
      <c r="AN507" s="10"/>
      <c r="AO507" s="65">
        <f t="shared" si="14"/>
        <v>0</v>
      </c>
    </row>
    <row r="508" spans="2:41" s="4" customFormat="1" ht="24" customHeight="1" x14ac:dyDescent="0.2">
      <c r="B508" s="14"/>
      <c r="C508" s="23"/>
      <c r="D508" s="21" t="str">
        <f>IF(ISBLANK(C508), "",
_xlfn.WEBSERVICE(
"https://d16nxf5gxyt1xz.cloudfront.net/Prod/translation?id="
&amp;アカウント情報!$C$2&amp;
"&amp;pwd="
&amp;アカウント情報!$C$3&amp;
"&amp;item="
&amp;_xlfn.ENCODEURL(設定!$F$3)&amp;
"&amp;word="
&amp;_xlfn.ENCODEURL(C508)
)
)</f>
        <v/>
      </c>
      <c r="E508" s="6"/>
      <c r="F508" s="16" t="str">
        <f>IFERROR(VLOOKUP($E508,設定!$C:$F,2,0),"")</f>
        <v/>
      </c>
      <c r="G508" s="156" t="str">
        <f>IFERROR(VLOOKUP($E508,設定!$C:$F,3,0),"")</f>
        <v/>
      </c>
      <c r="H508" s="131" t="str">
        <f>IFERROR(VLOOKUP($E508,設定!$C:$F,4,0),"")</f>
        <v/>
      </c>
      <c r="I508" s="402"/>
      <c r="J508" s="8"/>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9"/>
      <c r="AJ508" s="9"/>
      <c r="AK508" s="9"/>
      <c r="AL508" s="9"/>
      <c r="AM508" s="9"/>
      <c r="AN508" s="10"/>
      <c r="AO508" s="65">
        <f t="shared" si="14"/>
        <v>0</v>
      </c>
    </row>
    <row r="509" spans="2:41" s="4" customFormat="1" ht="24" customHeight="1" x14ac:dyDescent="0.2">
      <c r="B509" s="14"/>
      <c r="C509" s="23"/>
      <c r="D509" s="21" t="str">
        <f>IF(ISBLANK(C509), "",
_xlfn.WEBSERVICE(
"https://d16nxf5gxyt1xz.cloudfront.net/Prod/translation?id="
&amp;アカウント情報!$C$2&amp;
"&amp;pwd="
&amp;アカウント情報!$C$3&amp;
"&amp;item="
&amp;_xlfn.ENCODEURL(設定!$F$3)&amp;
"&amp;word="
&amp;_xlfn.ENCODEURL(C509)
)
)</f>
        <v/>
      </c>
      <c r="E509" s="6"/>
      <c r="F509" s="16" t="str">
        <f>IFERROR(VLOOKUP($E509,設定!$C:$F,2,0),"")</f>
        <v/>
      </c>
      <c r="G509" s="156" t="str">
        <f>IFERROR(VLOOKUP($E509,設定!$C:$F,3,0),"")</f>
        <v/>
      </c>
      <c r="H509" s="131" t="str">
        <f>IFERROR(VLOOKUP($E509,設定!$C:$F,4,0),"")</f>
        <v/>
      </c>
      <c r="I509" s="402"/>
      <c r="J509" s="8"/>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9"/>
      <c r="AJ509" s="9"/>
      <c r="AK509" s="9"/>
      <c r="AL509" s="9"/>
      <c r="AM509" s="9"/>
      <c r="AN509" s="10"/>
      <c r="AO509" s="65">
        <f t="shared" si="14"/>
        <v>0</v>
      </c>
    </row>
    <row r="510" spans="2:41" s="4" customFormat="1" ht="24" customHeight="1" x14ac:dyDescent="0.2">
      <c r="B510" s="14"/>
      <c r="C510" s="23"/>
      <c r="D510" s="21" t="str">
        <f>IF(ISBLANK(C510), "",
_xlfn.WEBSERVICE(
"https://d16nxf5gxyt1xz.cloudfront.net/Prod/translation?id="
&amp;アカウント情報!$C$2&amp;
"&amp;pwd="
&amp;アカウント情報!$C$3&amp;
"&amp;item="
&amp;_xlfn.ENCODEURL(設定!$F$3)&amp;
"&amp;word="
&amp;_xlfn.ENCODEURL(C510)
)
)</f>
        <v/>
      </c>
      <c r="E510" s="6"/>
      <c r="F510" s="16" t="str">
        <f>IFERROR(VLOOKUP($E510,設定!$C:$F,2,0),"")</f>
        <v/>
      </c>
      <c r="G510" s="156" t="str">
        <f>IFERROR(VLOOKUP($E510,設定!$C:$F,3,0),"")</f>
        <v/>
      </c>
      <c r="H510" s="131" t="str">
        <f>IFERROR(VLOOKUP($E510,設定!$C:$F,4,0),"")</f>
        <v/>
      </c>
      <c r="I510" s="402"/>
      <c r="J510" s="8"/>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9"/>
      <c r="AL510" s="9"/>
      <c r="AM510" s="9"/>
      <c r="AN510" s="10"/>
      <c r="AO510" s="65">
        <f t="shared" si="14"/>
        <v>0</v>
      </c>
    </row>
    <row r="511" spans="2:41" s="4" customFormat="1" ht="24" customHeight="1" x14ac:dyDescent="0.2">
      <c r="B511" s="14"/>
      <c r="C511" s="23"/>
      <c r="D511" s="21" t="str">
        <f>IF(ISBLANK(C511), "",
_xlfn.WEBSERVICE(
"https://d16nxf5gxyt1xz.cloudfront.net/Prod/translation?id="
&amp;アカウント情報!$C$2&amp;
"&amp;pwd="
&amp;アカウント情報!$C$3&amp;
"&amp;item="
&amp;_xlfn.ENCODEURL(設定!$F$3)&amp;
"&amp;word="
&amp;_xlfn.ENCODEURL(C511)
)
)</f>
        <v/>
      </c>
      <c r="E511" s="6"/>
      <c r="F511" s="16" t="str">
        <f>IFERROR(VLOOKUP($E511,設定!$C:$F,2,0),"")</f>
        <v/>
      </c>
      <c r="G511" s="156" t="str">
        <f>IFERROR(VLOOKUP($E511,設定!$C:$F,3,0),"")</f>
        <v/>
      </c>
      <c r="H511" s="131" t="str">
        <f>IFERROR(VLOOKUP($E511,設定!$C:$F,4,0),"")</f>
        <v/>
      </c>
      <c r="I511" s="402"/>
      <c r="J511" s="8"/>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10"/>
      <c r="AO511" s="65">
        <f t="shared" si="14"/>
        <v>0</v>
      </c>
    </row>
    <row r="512" spans="2:41" s="4" customFormat="1" ht="24" customHeight="1" x14ac:dyDescent="0.2">
      <c r="B512" s="14"/>
      <c r="C512" s="23"/>
      <c r="D512" s="21" t="str">
        <f>IF(ISBLANK(C512), "",
_xlfn.WEBSERVICE(
"https://d16nxf5gxyt1xz.cloudfront.net/Prod/translation?id="
&amp;アカウント情報!$C$2&amp;
"&amp;pwd="
&amp;アカウント情報!$C$3&amp;
"&amp;item="
&amp;_xlfn.ENCODEURL(設定!$F$3)&amp;
"&amp;word="
&amp;_xlfn.ENCODEURL(C512)
)
)</f>
        <v/>
      </c>
      <c r="E512" s="6"/>
      <c r="F512" s="16" t="str">
        <f>IFERROR(VLOOKUP($E512,設定!$C:$F,2,0),"")</f>
        <v/>
      </c>
      <c r="G512" s="156" t="str">
        <f>IFERROR(VLOOKUP($E512,設定!$C:$F,3,0),"")</f>
        <v/>
      </c>
      <c r="H512" s="131" t="str">
        <f>IFERROR(VLOOKUP($E512,設定!$C:$F,4,0),"")</f>
        <v/>
      </c>
      <c r="I512" s="402"/>
      <c r="J512" s="8"/>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9"/>
      <c r="AJ512" s="9"/>
      <c r="AK512" s="9"/>
      <c r="AL512" s="9"/>
      <c r="AM512" s="9"/>
      <c r="AN512" s="10"/>
      <c r="AO512" s="65">
        <f t="shared" si="14"/>
        <v>0</v>
      </c>
    </row>
    <row r="513" spans="2:41" s="4" customFormat="1" ht="24" customHeight="1" x14ac:dyDescent="0.2">
      <c r="B513" s="14"/>
      <c r="C513" s="23"/>
      <c r="D513" s="21" t="str">
        <f>IF(ISBLANK(C513), "",
_xlfn.WEBSERVICE(
"https://d16nxf5gxyt1xz.cloudfront.net/Prod/translation?id="
&amp;アカウント情報!$C$2&amp;
"&amp;pwd="
&amp;アカウント情報!$C$3&amp;
"&amp;item="
&amp;_xlfn.ENCODEURL(設定!$F$3)&amp;
"&amp;word="
&amp;_xlfn.ENCODEURL(C513)
)
)</f>
        <v/>
      </c>
      <c r="E513" s="6"/>
      <c r="F513" s="16" t="str">
        <f>IFERROR(VLOOKUP($E513,設定!$C:$F,2,0),"")</f>
        <v/>
      </c>
      <c r="G513" s="156" t="str">
        <f>IFERROR(VLOOKUP($E513,設定!$C:$F,3,0),"")</f>
        <v/>
      </c>
      <c r="H513" s="131" t="str">
        <f>IFERROR(VLOOKUP($E513,設定!$C:$F,4,0),"")</f>
        <v/>
      </c>
      <c r="I513" s="402"/>
      <c r="J513" s="8"/>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9"/>
      <c r="AL513" s="9"/>
      <c r="AM513" s="9"/>
      <c r="AN513" s="10"/>
      <c r="AO513" s="65">
        <f t="shared" si="14"/>
        <v>0</v>
      </c>
    </row>
    <row r="514" spans="2:41" s="4" customFormat="1" ht="24" customHeight="1" x14ac:dyDescent="0.2">
      <c r="B514" s="14"/>
      <c r="C514" s="23"/>
      <c r="D514" s="21" t="str">
        <f>IF(ISBLANK(C514), "",
_xlfn.WEBSERVICE(
"https://d16nxf5gxyt1xz.cloudfront.net/Prod/translation?id="
&amp;アカウント情報!$C$2&amp;
"&amp;pwd="
&amp;アカウント情報!$C$3&amp;
"&amp;item="
&amp;_xlfn.ENCODEURL(設定!$F$3)&amp;
"&amp;word="
&amp;_xlfn.ENCODEURL(C514)
)
)</f>
        <v/>
      </c>
      <c r="E514" s="6"/>
      <c r="F514" s="16" t="str">
        <f>IFERROR(VLOOKUP($E514,設定!$C:$F,2,0),"")</f>
        <v/>
      </c>
      <c r="G514" s="156" t="str">
        <f>IFERROR(VLOOKUP($E514,設定!$C:$F,3,0),"")</f>
        <v/>
      </c>
      <c r="H514" s="131" t="str">
        <f>IFERROR(VLOOKUP($E514,設定!$C:$F,4,0),"")</f>
        <v/>
      </c>
      <c r="I514" s="402"/>
      <c r="J514" s="8"/>
      <c r="K514" s="9"/>
      <c r="L514" s="9"/>
      <c r="M514" s="9"/>
      <c r="N514" s="9"/>
      <c r="O514" s="9"/>
      <c r="P514" s="9"/>
      <c r="Q514" s="9"/>
      <c r="R514" s="9"/>
      <c r="S514" s="9"/>
      <c r="T514" s="9"/>
      <c r="U514" s="9"/>
      <c r="V514" s="9"/>
      <c r="W514" s="9"/>
      <c r="X514" s="9"/>
      <c r="Y514" s="9"/>
      <c r="Z514" s="9"/>
      <c r="AA514" s="9"/>
      <c r="AB514" s="9"/>
      <c r="AC514" s="9"/>
      <c r="AD514" s="9"/>
      <c r="AE514" s="9"/>
      <c r="AF514" s="9"/>
      <c r="AG514" s="9"/>
      <c r="AH514" s="9"/>
      <c r="AI514" s="9"/>
      <c r="AJ514" s="9"/>
      <c r="AK514" s="9"/>
      <c r="AL514" s="9"/>
      <c r="AM514" s="9"/>
      <c r="AN514" s="10"/>
      <c r="AO514" s="65">
        <f t="shared" si="14"/>
        <v>0</v>
      </c>
    </row>
    <row r="515" spans="2:41" s="4" customFormat="1" ht="24" customHeight="1" x14ac:dyDescent="0.2">
      <c r="B515" s="14"/>
      <c r="C515" s="23"/>
      <c r="D515" s="21" t="str">
        <f>IF(ISBLANK(C515), "",
_xlfn.WEBSERVICE(
"https://d16nxf5gxyt1xz.cloudfront.net/Prod/translation?id="
&amp;アカウント情報!$C$2&amp;
"&amp;pwd="
&amp;アカウント情報!$C$3&amp;
"&amp;item="
&amp;_xlfn.ENCODEURL(設定!$F$3)&amp;
"&amp;word="
&amp;_xlfn.ENCODEURL(C515)
)
)</f>
        <v/>
      </c>
      <c r="E515" s="6"/>
      <c r="F515" s="16" t="str">
        <f>IFERROR(VLOOKUP($E515,設定!$C:$F,2,0),"")</f>
        <v/>
      </c>
      <c r="G515" s="156" t="str">
        <f>IFERROR(VLOOKUP($E515,設定!$C:$F,3,0),"")</f>
        <v/>
      </c>
      <c r="H515" s="131" t="str">
        <f>IFERROR(VLOOKUP($E515,設定!$C:$F,4,0),"")</f>
        <v/>
      </c>
      <c r="I515" s="402"/>
      <c r="J515" s="8"/>
      <c r="K515" s="9"/>
      <c r="L515" s="9"/>
      <c r="M515" s="9"/>
      <c r="N515" s="9"/>
      <c r="O515" s="9"/>
      <c r="P515" s="9"/>
      <c r="Q515" s="9"/>
      <c r="R515" s="9"/>
      <c r="S515" s="9"/>
      <c r="T515" s="9"/>
      <c r="U515" s="9"/>
      <c r="V515" s="9"/>
      <c r="W515" s="9"/>
      <c r="X515" s="9"/>
      <c r="Y515" s="9"/>
      <c r="Z515" s="9"/>
      <c r="AA515" s="9"/>
      <c r="AB515" s="9"/>
      <c r="AC515" s="9"/>
      <c r="AD515" s="9"/>
      <c r="AE515" s="9"/>
      <c r="AF515" s="9"/>
      <c r="AG515" s="9"/>
      <c r="AH515" s="9"/>
      <c r="AI515" s="9"/>
      <c r="AJ515" s="9"/>
      <c r="AK515" s="9"/>
      <c r="AL515" s="9"/>
      <c r="AM515" s="9"/>
      <c r="AN515" s="10"/>
      <c r="AO515" s="65">
        <f t="shared" si="14"/>
        <v>0</v>
      </c>
    </row>
    <row r="516" spans="2:41" s="4" customFormat="1" ht="24" customHeight="1" x14ac:dyDescent="0.2">
      <c r="B516" s="14"/>
      <c r="C516" s="23"/>
      <c r="D516" s="21" t="str">
        <f>IF(ISBLANK(C516), "",
_xlfn.WEBSERVICE(
"https://d16nxf5gxyt1xz.cloudfront.net/Prod/translation?id="
&amp;アカウント情報!$C$2&amp;
"&amp;pwd="
&amp;アカウント情報!$C$3&amp;
"&amp;item="
&amp;_xlfn.ENCODEURL(設定!$F$3)&amp;
"&amp;word="
&amp;_xlfn.ENCODEURL(C516)
)
)</f>
        <v/>
      </c>
      <c r="E516" s="6"/>
      <c r="F516" s="16" t="str">
        <f>IFERROR(VLOOKUP($E516,設定!$C:$F,2,0),"")</f>
        <v/>
      </c>
      <c r="G516" s="156" t="str">
        <f>IFERROR(VLOOKUP($E516,設定!$C:$F,3,0),"")</f>
        <v/>
      </c>
      <c r="H516" s="131" t="str">
        <f>IFERROR(VLOOKUP($E516,設定!$C:$F,4,0),"")</f>
        <v/>
      </c>
      <c r="I516" s="402"/>
      <c r="J516" s="8"/>
      <c r="K516" s="9"/>
      <c r="L516" s="9"/>
      <c r="M516" s="9"/>
      <c r="N516" s="9"/>
      <c r="O516" s="9"/>
      <c r="P516" s="9"/>
      <c r="Q516" s="9"/>
      <c r="R516" s="9"/>
      <c r="S516" s="9"/>
      <c r="T516" s="9"/>
      <c r="U516" s="9"/>
      <c r="V516" s="9"/>
      <c r="W516" s="9"/>
      <c r="X516" s="9"/>
      <c r="Y516" s="9"/>
      <c r="Z516" s="9"/>
      <c r="AA516" s="9"/>
      <c r="AB516" s="9"/>
      <c r="AC516" s="9"/>
      <c r="AD516" s="9"/>
      <c r="AE516" s="9"/>
      <c r="AF516" s="9"/>
      <c r="AG516" s="9"/>
      <c r="AH516" s="9"/>
      <c r="AI516" s="9"/>
      <c r="AJ516" s="9"/>
      <c r="AK516" s="9"/>
      <c r="AL516" s="9"/>
      <c r="AM516" s="9"/>
      <c r="AN516" s="10"/>
      <c r="AO516" s="65">
        <f t="shared" si="14"/>
        <v>0</v>
      </c>
    </row>
    <row r="517" spans="2:41" s="4" customFormat="1" ht="24" customHeight="1" x14ac:dyDescent="0.2">
      <c r="B517" s="14"/>
      <c r="C517" s="23"/>
      <c r="D517" s="21" t="str">
        <f>IF(ISBLANK(C517), "",
_xlfn.WEBSERVICE(
"https://d16nxf5gxyt1xz.cloudfront.net/Prod/translation?id="
&amp;アカウント情報!$C$2&amp;
"&amp;pwd="
&amp;アカウント情報!$C$3&amp;
"&amp;item="
&amp;_xlfn.ENCODEURL(設定!$F$3)&amp;
"&amp;word="
&amp;_xlfn.ENCODEURL(C517)
)
)</f>
        <v/>
      </c>
      <c r="E517" s="6"/>
      <c r="F517" s="16" t="str">
        <f>IFERROR(VLOOKUP($E517,設定!$C:$F,2,0),"")</f>
        <v/>
      </c>
      <c r="G517" s="156" t="str">
        <f>IFERROR(VLOOKUP($E517,設定!$C:$F,3,0),"")</f>
        <v/>
      </c>
      <c r="H517" s="131" t="str">
        <f>IFERROR(VLOOKUP($E517,設定!$C:$F,4,0),"")</f>
        <v/>
      </c>
      <c r="I517" s="402"/>
      <c r="J517" s="8"/>
      <c r="K517" s="9"/>
      <c r="L517" s="9"/>
      <c r="M517" s="9"/>
      <c r="N517" s="9"/>
      <c r="O517" s="9"/>
      <c r="P517" s="9"/>
      <c r="Q517" s="9"/>
      <c r="R517" s="9"/>
      <c r="S517" s="9"/>
      <c r="T517" s="9"/>
      <c r="U517" s="9"/>
      <c r="V517" s="9"/>
      <c r="W517" s="9"/>
      <c r="X517" s="9"/>
      <c r="Y517" s="9"/>
      <c r="Z517" s="9"/>
      <c r="AA517" s="9"/>
      <c r="AB517" s="9"/>
      <c r="AC517" s="9"/>
      <c r="AD517" s="9"/>
      <c r="AE517" s="9"/>
      <c r="AF517" s="9"/>
      <c r="AG517" s="9"/>
      <c r="AH517" s="9"/>
      <c r="AI517" s="9"/>
      <c r="AJ517" s="9"/>
      <c r="AK517" s="9"/>
      <c r="AL517" s="9"/>
      <c r="AM517" s="9"/>
      <c r="AN517" s="10"/>
      <c r="AO517" s="65">
        <f t="shared" si="14"/>
        <v>0</v>
      </c>
    </row>
    <row r="518" spans="2:41" s="4" customFormat="1" ht="24" customHeight="1" x14ac:dyDescent="0.2">
      <c r="B518" s="14"/>
      <c r="C518" s="23"/>
      <c r="D518" s="21" t="str">
        <f>IF(ISBLANK(C518), "",
_xlfn.WEBSERVICE(
"https://d16nxf5gxyt1xz.cloudfront.net/Prod/translation?id="
&amp;アカウント情報!$C$2&amp;
"&amp;pwd="
&amp;アカウント情報!$C$3&amp;
"&amp;item="
&amp;_xlfn.ENCODEURL(設定!$F$3)&amp;
"&amp;word="
&amp;_xlfn.ENCODEURL(C518)
)
)</f>
        <v/>
      </c>
      <c r="E518" s="6"/>
      <c r="F518" s="16" t="str">
        <f>IFERROR(VLOOKUP($E518,設定!$C:$F,2,0),"")</f>
        <v/>
      </c>
      <c r="G518" s="156" t="str">
        <f>IFERROR(VLOOKUP($E518,設定!$C:$F,3,0),"")</f>
        <v/>
      </c>
      <c r="H518" s="131" t="str">
        <f>IFERROR(VLOOKUP($E518,設定!$C:$F,4,0),"")</f>
        <v/>
      </c>
      <c r="I518" s="402"/>
      <c r="J518" s="8"/>
      <c r="K518" s="9"/>
      <c r="L518" s="9"/>
      <c r="M518" s="9"/>
      <c r="N518" s="9"/>
      <c r="O518" s="9"/>
      <c r="P518" s="9"/>
      <c r="Q518" s="9"/>
      <c r="R518" s="9"/>
      <c r="S518" s="9"/>
      <c r="T518" s="9"/>
      <c r="U518" s="9"/>
      <c r="V518" s="9"/>
      <c r="W518" s="9"/>
      <c r="X518" s="9"/>
      <c r="Y518" s="9"/>
      <c r="Z518" s="9"/>
      <c r="AA518" s="9"/>
      <c r="AB518" s="9"/>
      <c r="AC518" s="9"/>
      <c r="AD518" s="9"/>
      <c r="AE518" s="9"/>
      <c r="AF518" s="9"/>
      <c r="AG518" s="9"/>
      <c r="AH518" s="9"/>
      <c r="AI518" s="9"/>
      <c r="AJ518" s="9"/>
      <c r="AK518" s="9"/>
      <c r="AL518" s="9"/>
      <c r="AM518" s="9"/>
      <c r="AN518" s="10"/>
      <c r="AO518" s="65">
        <f t="shared" si="14"/>
        <v>0</v>
      </c>
    </row>
    <row r="519" spans="2:41" s="4" customFormat="1" ht="24" customHeight="1" x14ac:dyDescent="0.2">
      <c r="B519" s="14"/>
      <c r="C519" s="23"/>
      <c r="D519" s="21" t="str">
        <f>IF(ISBLANK(C519), "",
_xlfn.WEBSERVICE(
"https://d16nxf5gxyt1xz.cloudfront.net/Prod/translation?id="
&amp;アカウント情報!$C$2&amp;
"&amp;pwd="
&amp;アカウント情報!$C$3&amp;
"&amp;item="
&amp;_xlfn.ENCODEURL(設定!$F$3)&amp;
"&amp;word="
&amp;_xlfn.ENCODEURL(C519)
)
)</f>
        <v/>
      </c>
      <c r="E519" s="6"/>
      <c r="F519" s="16" t="str">
        <f>IFERROR(VLOOKUP($E519,設定!$C:$F,2,0),"")</f>
        <v/>
      </c>
      <c r="G519" s="156" t="str">
        <f>IFERROR(VLOOKUP($E519,設定!$C:$F,3,0),"")</f>
        <v/>
      </c>
      <c r="H519" s="131" t="str">
        <f>IFERROR(VLOOKUP($E519,設定!$C:$F,4,0),"")</f>
        <v/>
      </c>
      <c r="I519" s="402"/>
      <c r="J519" s="8"/>
      <c r="K519" s="9"/>
      <c r="L519" s="9"/>
      <c r="M519" s="9"/>
      <c r="N519" s="9"/>
      <c r="O519" s="9"/>
      <c r="P519" s="9"/>
      <c r="Q519" s="9"/>
      <c r="R519" s="9"/>
      <c r="S519" s="9"/>
      <c r="T519" s="9"/>
      <c r="U519" s="9"/>
      <c r="V519" s="9"/>
      <c r="W519" s="9"/>
      <c r="X519" s="9"/>
      <c r="Y519" s="9"/>
      <c r="Z519" s="9"/>
      <c r="AA519" s="9"/>
      <c r="AB519" s="9"/>
      <c r="AC519" s="9"/>
      <c r="AD519" s="9"/>
      <c r="AE519" s="9"/>
      <c r="AF519" s="9"/>
      <c r="AG519" s="9"/>
      <c r="AH519" s="9"/>
      <c r="AI519" s="9"/>
      <c r="AJ519" s="9"/>
      <c r="AK519" s="9"/>
      <c r="AL519" s="9"/>
      <c r="AM519" s="9"/>
      <c r="AN519" s="10"/>
      <c r="AO519" s="65">
        <f t="shared" si="14"/>
        <v>0</v>
      </c>
    </row>
    <row r="520" spans="2:41" s="4" customFormat="1" ht="24" customHeight="1" x14ac:dyDescent="0.2">
      <c r="B520" s="14"/>
      <c r="C520" s="23"/>
      <c r="D520" s="21" t="str">
        <f>IF(ISBLANK(C520), "",
_xlfn.WEBSERVICE(
"https://d16nxf5gxyt1xz.cloudfront.net/Prod/translation?id="
&amp;アカウント情報!$C$2&amp;
"&amp;pwd="
&amp;アカウント情報!$C$3&amp;
"&amp;item="
&amp;_xlfn.ENCODEURL(設定!$F$3)&amp;
"&amp;word="
&amp;_xlfn.ENCODEURL(C520)
)
)</f>
        <v/>
      </c>
      <c r="E520" s="6"/>
      <c r="F520" s="16" t="str">
        <f>IFERROR(VLOOKUP($E520,設定!$C:$F,2,0),"")</f>
        <v/>
      </c>
      <c r="G520" s="156" t="str">
        <f>IFERROR(VLOOKUP($E520,設定!$C:$F,3,0),"")</f>
        <v/>
      </c>
      <c r="H520" s="131" t="str">
        <f>IFERROR(VLOOKUP($E520,設定!$C:$F,4,0),"")</f>
        <v/>
      </c>
      <c r="I520" s="402"/>
      <c r="J520" s="8"/>
      <c r="K520" s="9"/>
      <c r="L520" s="9"/>
      <c r="M520" s="9"/>
      <c r="N520" s="9"/>
      <c r="O520" s="9"/>
      <c r="P520" s="9"/>
      <c r="Q520" s="9"/>
      <c r="R520" s="9"/>
      <c r="S520" s="9"/>
      <c r="T520" s="9"/>
      <c r="U520" s="9"/>
      <c r="V520" s="9"/>
      <c r="W520" s="9"/>
      <c r="X520" s="9"/>
      <c r="Y520" s="9"/>
      <c r="Z520" s="9"/>
      <c r="AA520" s="9"/>
      <c r="AB520" s="9"/>
      <c r="AC520" s="9"/>
      <c r="AD520" s="9"/>
      <c r="AE520" s="9"/>
      <c r="AF520" s="9"/>
      <c r="AG520" s="9"/>
      <c r="AH520" s="9"/>
      <c r="AI520" s="9"/>
      <c r="AJ520" s="9"/>
      <c r="AK520" s="9"/>
      <c r="AL520" s="9"/>
      <c r="AM520" s="9"/>
      <c r="AN520" s="10"/>
      <c r="AO520" s="65">
        <f t="shared" si="14"/>
        <v>0</v>
      </c>
    </row>
    <row r="521" spans="2:41" s="4" customFormat="1" ht="24" customHeight="1" x14ac:dyDescent="0.2">
      <c r="B521" s="14"/>
      <c r="C521" s="23"/>
      <c r="D521" s="21" t="str">
        <f>IF(ISBLANK(C521), "",
_xlfn.WEBSERVICE(
"https://d16nxf5gxyt1xz.cloudfront.net/Prod/translation?id="
&amp;アカウント情報!$C$2&amp;
"&amp;pwd="
&amp;アカウント情報!$C$3&amp;
"&amp;item="
&amp;_xlfn.ENCODEURL(設定!$F$3)&amp;
"&amp;word="
&amp;_xlfn.ENCODEURL(C521)
)
)</f>
        <v/>
      </c>
      <c r="E521" s="6"/>
      <c r="F521" s="16" t="str">
        <f>IFERROR(VLOOKUP($E521,設定!$C:$F,2,0),"")</f>
        <v/>
      </c>
      <c r="G521" s="156" t="str">
        <f>IFERROR(VLOOKUP($E521,設定!$C:$F,3,0),"")</f>
        <v/>
      </c>
      <c r="H521" s="131" t="str">
        <f>IFERROR(VLOOKUP($E521,設定!$C:$F,4,0),"")</f>
        <v/>
      </c>
      <c r="I521" s="402"/>
      <c r="J521" s="8"/>
      <c r="K521" s="9"/>
      <c r="L521" s="9"/>
      <c r="M521" s="9"/>
      <c r="N521" s="9"/>
      <c r="O521" s="9"/>
      <c r="P521" s="9"/>
      <c r="Q521" s="9"/>
      <c r="R521" s="9"/>
      <c r="S521" s="9"/>
      <c r="T521" s="9"/>
      <c r="U521" s="9"/>
      <c r="V521" s="9"/>
      <c r="W521" s="9"/>
      <c r="X521" s="9"/>
      <c r="Y521" s="9"/>
      <c r="Z521" s="9"/>
      <c r="AA521" s="9"/>
      <c r="AB521" s="9"/>
      <c r="AC521" s="9"/>
      <c r="AD521" s="9"/>
      <c r="AE521" s="9"/>
      <c r="AF521" s="9"/>
      <c r="AG521" s="9"/>
      <c r="AH521" s="9"/>
      <c r="AI521" s="9"/>
      <c r="AJ521" s="9"/>
      <c r="AK521" s="9"/>
      <c r="AL521" s="9"/>
      <c r="AM521" s="9"/>
      <c r="AN521" s="10"/>
      <c r="AO521" s="65">
        <f t="shared" si="14"/>
        <v>0</v>
      </c>
    </row>
    <row r="522" spans="2:41" s="4" customFormat="1" ht="24" customHeight="1" x14ac:dyDescent="0.2">
      <c r="B522" s="14"/>
      <c r="C522" s="23"/>
      <c r="D522" s="21" t="str">
        <f>IF(ISBLANK(C522), "",
_xlfn.WEBSERVICE(
"https://d16nxf5gxyt1xz.cloudfront.net/Prod/translation?id="
&amp;アカウント情報!$C$2&amp;
"&amp;pwd="
&amp;アカウント情報!$C$3&amp;
"&amp;item="
&amp;_xlfn.ENCODEURL(設定!$F$3)&amp;
"&amp;word="
&amp;_xlfn.ENCODEURL(C522)
)
)</f>
        <v/>
      </c>
      <c r="E522" s="6"/>
      <c r="F522" s="16" t="str">
        <f>IFERROR(VLOOKUP($E522,設定!$C:$F,2,0),"")</f>
        <v/>
      </c>
      <c r="G522" s="156" t="str">
        <f>IFERROR(VLOOKUP($E522,設定!$C:$F,3,0),"")</f>
        <v/>
      </c>
      <c r="H522" s="131" t="str">
        <f>IFERROR(VLOOKUP($E522,設定!$C:$F,4,0),"")</f>
        <v/>
      </c>
      <c r="I522" s="402"/>
      <c r="J522" s="8"/>
      <c r="K522" s="9"/>
      <c r="L522" s="9"/>
      <c r="M522" s="9"/>
      <c r="N522" s="9"/>
      <c r="O522" s="9"/>
      <c r="P522" s="9"/>
      <c r="Q522" s="9"/>
      <c r="R522" s="9"/>
      <c r="S522" s="9"/>
      <c r="T522" s="9"/>
      <c r="U522" s="9"/>
      <c r="V522" s="9"/>
      <c r="W522" s="9"/>
      <c r="X522" s="9"/>
      <c r="Y522" s="9"/>
      <c r="Z522" s="9"/>
      <c r="AA522" s="9"/>
      <c r="AB522" s="9"/>
      <c r="AC522" s="9"/>
      <c r="AD522" s="9"/>
      <c r="AE522" s="9"/>
      <c r="AF522" s="9"/>
      <c r="AG522" s="9"/>
      <c r="AH522" s="9"/>
      <c r="AI522" s="9"/>
      <c r="AJ522" s="9"/>
      <c r="AK522" s="9"/>
      <c r="AL522" s="9"/>
      <c r="AM522" s="9"/>
      <c r="AN522" s="10"/>
      <c r="AO522" s="65">
        <f t="shared" si="14"/>
        <v>0</v>
      </c>
    </row>
    <row r="523" spans="2:41" s="4" customFormat="1" ht="24" customHeight="1" x14ac:dyDescent="0.2">
      <c r="B523" s="14"/>
      <c r="C523" s="23"/>
      <c r="D523" s="21" t="str">
        <f>IF(ISBLANK(C523), "",
_xlfn.WEBSERVICE(
"https://d16nxf5gxyt1xz.cloudfront.net/Prod/translation?id="
&amp;アカウント情報!$C$2&amp;
"&amp;pwd="
&amp;アカウント情報!$C$3&amp;
"&amp;item="
&amp;_xlfn.ENCODEURL(設定!$F$3)&amp;
"&amp;word="
&amp;_xlfn.ENCODEURL(C523)
)
)</f>
        <v/>
      </c>
      <c r="E523" s="6"/>
      <c r="F523" s="16" t="str">
        <f>IFERROR(VLOOKUP($E523,設定!$C:$F,2,0),"")</f>
        <v/>
      </c>
      <c r="G523" s="156" t="str">
        <f>IFERROR(VLOOKUP($E523,設定!$C:$F,3,0),"")</f>
        <v/>
      </c>
      <c r="H523" s="131" t="str">
        <f>IFERROR(VLOOKUP($E523,設定!$C:$F,4,0),"")</f>
        <v/>
      </c>
      <c r="I523" s="402"/>
      <c r="J523" s="8"/>
      <c r="K523" s="9"/>
      <c r="L523" s="9"/>
      <c r="M523" s="9"/>
      <c r="N523" s="9"/>
      <c r="O523" s="9"/>
      <c r="P523" s="9"/>
      <c r="Q523" s="9"/>
      <c r="R523" s="9"/>
      <c r="S523" s="9"/>
      <c r="T523" s="9"/>
      <c r="U523" s="9"/>
      <c r="V523" s="9"/>
      <c r="W523" s="9"/>
      <c r="X523" s="9"/>
      <c r="Y523" s="9"/>
      <c r="Z523" s="9"/>
      <c r="AA523" s="9"/>
      <c r="AB523" s="9"/>
      <c r="AC523" s="9"/>
      <c r="AD523" s="9"/>
      <c r="AE523" s="9"/>
      <c r="AF523" s="9"/>
      <c r="AG523" s="9"/>
      <c r="AH523" s="9"/>
      <c r="AI523" s="9"/>
      <c r="AJ523" s="9"/>
      <c r="AK523" s="9"/>
      <c r="AL523" s="9"/>
      <c r="AM523" s="9"/>
      <c r="AN523" s="10"/>
      <c r="AO523" s="65">
        <f t="shared" si="14"/>
        <v>0</v>
      </c>
    </row>
    <row r="524" spans="2:41" s="4" customFormat="1" ht="24" customHeight="1" x14ac:dyDescent="0.2">
      <c r="B524" s="14"/>
      <c r="C524" s="23"/>
      <c r="D524" s="21" t="str">
        <f>IF(ISBLANK(C524), "",
_xlfn.WEBSERVICE(
"https://d16nxf5gxyt1xz.cloudfront.net/Prod/translation?id="
&amp;アカウント情報!$C$2&amp;
"&amp;pwd="
&amp;アカウント情報!$C$3&amp;
"&amp;item="
&amp;_xlfn.ENCODEURL(設定!$F$3)&amp;
"&amp;word="
&amp;_xlfn.ENCODEURL(C524)
)
)</f>
        <v/>
      </c>
      <c r="E524" s="6"/>
      <c r="F524" s="16" t="str">
        <f>IFERROR(VLOOKUP($E524,設定!$C:$F,2,0),"")</f>
        <v/>
      </c>
      <c r="G524" s="156" t="str">
        <f>IFERROR(VLOOKUP($E524,設定!$C:$F,3,0),"")</f>
        <v/>
      </c>
      <c r="H524" s="131" t="str">
        <f>IFERROR(VLOOKUP($E524,設定!$C:$F,4,0),"")</f>
        <v/>
      </c>
      <c r="I524" s="402"/>
      <c r="J524" s="8"/>
      <c r="K524" s="9"/>
      <c r="L524" s="9"/>
      <c r="M524" s="9"/>
      <c r="N524" s="9"/>
      <c r="O524" s="9"/>
      <c r="P524" s="9"/>
      <c r="Q524" s="9"/>
      <c r="R524" s="9"/>
      <c r="S524" s="9"/>
      <c r="T524" s="9"/>
      <c r="U524" s="9"/>
      <c r="V524" s="9"/>
      <c r="W524" s="9"/>
      <c r="X524" s="9"/>
      <c r="Y524" s="9"/>
      <c r="Z524" s="9"/>
      <c r="AA524" s="9"/>
      <c r="AB524" s="9"/>
      <c r="AC524" s="9"/>
      <c r="AD524" s="9"/>
      <c r="AE524" s="9"/>
      <c r="AF524" s="9"/>
      <c r="AG524" s="9"/>
      <c r="AH524" s="9"/>
      <c r="AI524" s="9"/>
      <c r="AJ524" s="9"/>
      <c r="AK524" s="9"/>
      <c r="AL524" s="9"/>
      <c r="AM524" s="9"/>
      <c r="AN524" s="10"/>
      <c r="AO524" s="65">
        <f t="shared" si="14"/>
        <v>0</v>
      </c>
    </row>
    <row r="525" spans="2:41" s="4" customFormat="1" ht="24" customHeight="1" x14ac:dyDescent="0.2">
      <c r="B525" s="14"/>
      <c r="C525" s="23"/>
      <c r="D525" s="21" t="str">
        <f>IF(ISBLANK(C525), "",
_xlfn.WEBSERVICE(
"https://d16nxf5gxyt1xz.cloudfront.net/Prod/translation?id="
&amp;アカウント情報!$C$2&amp;
"&amp;pwd="
&amp;アカウント情報!$C$3&amp;
"&amp;item="
&amp;_xlfn.ENCODEURL(設定!$F$3)&amp;
"&amp;word="
&amp;_xlfn.ENCODEURL(C525)
)
)</f>
        <v/>
      </c>
      <c r="E525" s="6"/>
      <c r="F525" s="16" t="str">
        <f>IFERROR(VLOOKUP($E525,設定!$C:$F,2,0),"")</f>
        <v/>
      </c>
      <c r="G525" s="156" t="str">
        <f>IFERROR(VLOOKUP($E525,設定!$C:$F,3,0),"")</f>
        <v/>
      </c>
      <c r="H525" s="131" t="str">
        <f>IFERROR(VLOOKUP($E525,設定!$C:$F,4,0),"")</f>
        <v/>
      </c>
      <c r="I525" s="402"/>
      <c r="J525" s="8"/>
      <c r="K525" s="9"/>
      <c r="L525" s="9"/>
      <c r="M525" s="9"/>
      <c r="N525" s="9"/>
      <c r="O525" s="9"/>
      <c r="P525" s="9"/>
      <c r="Q525" s="9"/>
      <c r="R525" s="9"/>
      <c r="S525" s="9"/>
      <c r="T525" s="9"/>
      <c r="U525" s="9"/>
      <c r="V525" s="9"/>
      <c r="W525" s="9"/>
      <c r="X525" s="9"/>
      <c r="Y525" s="9"/>
      <c r="Z525" s="9"/>
      <c r="AA525" s="9"/>
      <c r="AB525" s="9"/>
      <c r="AC525" s="9"/>
      <c r="AD525" s="9"/>
      <c r="AE525" s="9"/>
      <c r="AF525" s="9"/>
      <c r="AG525" s="9"/>
      <c r="AH525" s="9"/>
      <c r="AI525" s="9"/>
      <c r="AJ525" s="9"/>
      <c r="AK525" s="9"/>
      <c r="AL525" s="9"/>
      <c r="AM525" s="9"/>
      <c r="AN525" s="10"/>
      <c r="AO525" s="65">
        <f t="shared" si="14"/>
        <v>0</v>
      </c>
    </row>
    <row r="526" spans="2:41" s="4" customFormat="1" ht="24" customHeight="1" x14ac:dyDescent="0.2">
      <c r="B526" s="14"/>
      <c r="C526" s="23"/>
      <c r="D526" s="21" t="str">
        <f>IF(ISBLANK(C526), "",
_xlfn.WEBSERVICE(
"https://d16nxf5gxyt1xz.cloudfront.net/Prod/translation?id="
&amp;アカウント情報!$C$2&amp;
"&amp;pwd="
&amp;アカウント情報!$C$3&amp;
"&amp;item="
&amp;_xlfn.ENCODEURL(設定!$F$3)&amp;
"&amp;word="
&amp;_xlfn.ENCODEURL(C526)
)
)</f>
        <v/>
      </c>
      <c r="E526" s="6"/>
      <c r="F526" s="16" t="str">
        <f>IFERROR(VLOOKUP($E526,設定!$C:$F,2,0),"")</f>
        <v/>
      </c>
      <c r="G526" s="156" t="str">
        <f>IFERROR(VLOOKUP($E526,設定!$C:$F,3,0),"")</f>
        <v/>
      </c>
      <c r="H526" s="131" t="str">
        <f>IFERROR(VLOOKUP($E526,設定!$C:$F,4,0),"")</f>
        <v/>
      </c>
      <c r="I526" s="402"/>
      <c r="J526" s="8"/>
      <c r="K526" s="9"/>
      <c r="L526" s="9"/>
      <c r="M526" s="9"/>
      <c r="N526" s="9"/>
      <c r="O526" s="9"/>
      <c r="P526" s="9"/>
      <c r="Q526" s="9"/>
      <c r="R526" s="9"/>
      <c r="S526" s="9"/>
      <c r="T526" s="9"/>
      <c r="U526" s="9"/>
      <c r="V526" s="9"/>
      <c r="W526" s="9"/>
      <c r="X526" s="9"/>
      <c r="Y526" s="9"/>
      <c r="Z526" s="9"/>
      <c r="AA526" s="9"/>
      <c r="AB526" s="9"/>
      <c r="AC526" s="9"/>
      <c r="AD526" s="9"/>
      <c r="AE526" s="9"/>
      <c r="AF526" s="9"/>
      <c r="AG526" s="9"/>
      <c r="AH526" s="9"/>
      <c r="AI526" s="9"/>
      <c r="AJ526" s="9"/>
      <c r="AK526" s="9"/>
      <c r="AL526" s="9"/>
      <c r="AM526" s="9"/>
      <c r="AN526" s="10"/>
      <c r="AO526" s="65">
        <f t="shared" si="14"/>
        <v>0</v>
      </c>
    </row>
    <row r="527" spans="2:41" s="4" customFormat="1" ht="24" customHeight="1" x14ac:dyDescent="0.2">
      <c r="B527" s="14"/>
      <c r="C527" s="23"/>
      <c r="D527" s="21" t="str">
        <f>IF(ISBLANK(C527), "",
_xlfn.WEBSERVICE(
"https://d16nxf5gxyt1xz.cloudfront.net/Prod/translation?id="
&amp;アカウント情報!$C$2&amp;
"&amp;pwd="
&amp;アカウント情報!$C$3&amp;
"&amp;item="
&amp;_xlfn.ENCODEURL(設定!$F$3)&amp;
"&amp;word="
&amp;_xlfn.ENCODEURL(C527)
)
)</f>
        <v/>
      </c>
      <c r="E527" s="6"/>
      <c r="F527" s="16" t="str">
        <f>IFERROR(VLOOKUP($E527,設定!$C:$F,2,0),"")</f>
        <v/>
      </c>
      <c r="G527" s="156" t="str">
        <f>IFERROR(VLOOKUP($E527,設定!$C:$F,3,0),"")</f>
        <v/>
      </c>
      <c r="H527" s="131" t="str">
        <f>IFERROR(VLOOKUP($E527,設定!$C:$F,4,0),"")</f>
        <v/>
      </c>
      <c r="I527" s="402"/>
      <c r="J527" s="8"/>
      <c r="K527" s="9"/>
      <c r="L527" s="9"/>
      <c r="M527" s="9"/>
      <c r="N527" s="9"/>
      <c r="O527" s="9"/>
      <c r="P527" s="9"/>
      <c r="Q527" s="9"/>
      <c r="R527" s="9"/>
      <c r="S527" s="9"/>
      <c r="T527" s="9"/>
      <c r="U527" s="9"/>
      <c r="V527" s="9"/>
      <c r="W527" s="9"/>
      <c r="X527" s="9"/>
      <c r="Y527" s="9"/>
      <c r="Z527" s="9"/>
      <c r="AA527" s="9"/>
      <c r="AB527" s="9"/>
      <c r="AC527" s="9"/>
      <c r="AD527" s="9"/>
      <c r="AE527" s="9"/>
      <c r="AF527" s="9"/>
      <c r="AG527" s="9"/>
      <c r="AH527" s="9"/>
      <c r="AI527" s="9"/>
      <c r="AJ527" s="9"/>
      <c r="AK527" s="9"/>
      <c r="AL527" s="9"/>
      <c r="AM527" s="9"/>
      <c r="AN527" s="10"/>
      <c r="AO527" s="65">
        <f t="shared" si="14"/>
        <v>0</v>
      </c>
    </row>
    <row r="528" spans="2:41" s="4" customFormat="1" ht="24" customHeight="1" x14ac:dyDescent="0.2">
      <c r="B528" s="14"/>
      <c r="C528" s="23"/>
      <c r="D528" s="21" t="str">
        <f>IF(ISBLANK(C528), "",
_xlfn.WEBSERVICE(
"https://d16nxf5gxyt1xz.cloudfront.net/Prod/translation?id="
&amp;アカウント情報!$C$2&amp;
"&amp;pwd="
&amp;アカウント情報!$C$3&amp;
"&amp;item="
&amp;_xlfn.ENCODEURL(設定!$F$3)&amp;
"&amp;word="
&amp;_xlfn.ENCODEURL(C528)
)
)</f>
        <v/>
      </c>
      <c r="E528" s="6"/>
      <c r="F528" s="16" t="str">
        <f>IFERROR(VLOOKUP($E528,設定!$C:$F,2,0),"")</f>
        <v/>
      </c>
      <c r="G528" s="156" t="str">
        <f>IFERROR(VLOOKUP($E528,設定!$C:$F,3,0),"")</f>
        <v/>
      </c>
      <c r="H528" s="131" t="str">
        <f>IFERROR(VLOOKUP($E528,設定!$C:$F,4,0),"")</f>
        <v/>
      </c>
      <c r="I528" s="402"/>
      <c r="J528" s="8"/>
      <c r="K528" s="9"/>
      <c r="L528" s="9"/>
      <c r="M528" s="9"/>
      <c r="N528" s="9"/>
      <c r="O528" s="9"/>
      <c r="P528" s="9"/>
      <c r="Q528" s="9"/>
      <c r="R528" s="9"/>
      <c r="S528" s="9"/>
      <c r="T528" s="9"/>
      <c r="U528" s="9"/>
      <c r="V528" s="9"/>
      <c r="W528" s="9"/>
      <c r="X528" s="9"/>
      <c r="Y528" s="9"/>
      <c r="Z528" s="9"/>
      <c r="AA528" s="9"/>
      <c r="AB528" s="9"/>
      <c r="AC528" s="9"/>
      <c r="AD528" s="9"/>
      <c r="AE528" s="9"/>
      <c r="AF528" s="9"/>
      <c r="AG528" s="9"/>
      <c r="AH528" s="9"/>
      <c r="AI528" s="9"/>
      <c r="AJ528" s="9"/>
      <c r="AK528" s="9"/>
      <c r="AL528" s="9"/>
      <c r="AM528" s="9"/>
      <c r="AN528" s="10"/>
      <c r="AO528" s="65">
        <f t="shared" si="14"/>
        <v>0</v>
      </c>
    </row>
    <row r="529" spans="2:41" s="4" customFormat="1" ht="24" customHeight="1" x14ac:dyDescent="0.2">
      <c r="B529" s="14"/>
      <c r="C529" s="23"/>
      <c r="D529" s="21" t="str">
        <f>IF(ISBLANK(C529), "",
_xlfn.WEBSERVICE(
"https://d16nxf5gxyt1xz.cloudfront.net/Prod/translation?id="
&amp;アカウント情報!$C$2&amp;
"&amp;pwd="
&amp;アカウント情報!$C$3&amp;
"&amp;item="
&amp;_xlfn.ENCODEURL(設定!$F$3)&amp;
"&amp;word="
&amp;_xlfn.ENCODEURL(C529)
)
)</f>
        <v/>
      </c>
      <c r="E529" s="6"/>
      <c r="F529" s="16" t="str">
        <f>IFERROR(VLOOKUP($E529,設定!$C:$F,2,0),"")</f>
        <v/>
      </c>
      <c r="G529" s="156" t="str">
        <f>IFERROR(VLOOKUP($E529,設定!$C:$F,3,0),"")</f>
        <v/>
      </c>
      <c r="H529" s="131" t="str">
        <f>IFERROR(VLOOKUP($E529,設定!$C:$F,4,0),"")</f>
        <v/>
      </c>
      <c r="I529" s="402"/>
      <c r="J529" s="8"/>
      <c r="K529" s="9"/>
      <c r="L529" s="9"/>
      <c r="M529" s="9"/>
      <c r="N529" s="9"/>
      <c r="O529" s="9"/>
      <c r="P529" s="9"/>
      <c r="Q529" s="9"/>
      <c r="R529" s="9"/>
      <c r="S529" s="9"/>
      <c r="T529" s="9"/>
      <c r="U529" s="9"/>
      <c r="V529" s="9"/>
      <c r="W529" s="9"/>
      <c r="X529" s="9"/>
      <c r="Y529" s="9"/>
      <c r="Z529" s="9"/>
      <c r="AA529" s="9"/>
      <c r="AB529" s="9"/>
      <c r="AC529" s="9"/>
      <c r="AD529" s="9"/>
      <c r="AE529" s="9"/>
      <c r="AF529" s="9"/>
      <c r="AG529" s="9"/>
      <c r="AH529" s="9"/>
      <c r="AI529" s="9"/>
      <c r="AJ529" s="9"/>
      <c r="AK529" s="9"/>
      <c r="AL529" s="9"/>
      <c r="AM529" s="9"/>
      <c r="AN529" s="10"/>
      <c r="AO529" s="65">
        <f t="shared" si="14"/>
        <v>0</v>
      </c>
    </row>
    <row r="530" spans="2:41" s="4" customFormat="1" ht="24" customHeight="1" x14ac:dyDescent="0.2">
      <c r="B530" s="14"/>
      <c r="C530" s="23"/>
      <c r="D530" s="21" t="str">
        <f>IF(ISBLANK(C530), "",
_xlfn.WEBSERVICE(
"https://d16nxf5gxyt1xz.cloudfront.net/Prod/translation?id="
&amp;アカウント情報!$C$2&amp;
"&amp;pwd="
&amp;アカウント情報!$C$3&amp;
"&amp;item="
&amp;_xlfn.ENCODEURL(設定!$F$3)&amp;
"&amp;word="
&amp;_xlfn.ENCODEURL(C530)
)
)</f>
        <v/>
      </c>
      <c r="E530" s="6"/>
      <c r="F530" s="16" t="str">
        <f>IFERROR(VLOOKUP($E530,設定!$C:$F,2,0),"")</f>
        <v/>
      </c>
      <c r="G530" s="156" t="str">
        <f>IFERROR(VLOOKUP($E530,設定!$C:$F,3,0),"")</f>
        <v/>
      </c>
      <c r="H530" s="131" t="str">
        <f>IFERROR(VLOOKUP($E530,設定!$C:$F,4,0),"")</f>
        <v/>
      </c>
      <c r="I530" s="402"/>
      <c r="J530" s="8"/>
      <c r="K530" s="9"/>
      <c r="L530" s="9"/>
      <c r="M530" s="9"/>
      <c r="N530" s="9"/>
      <c r="O530" s="9"/>
      <c r="P530" s="9"/>
      <c r="Q530" s="9"/>
      <c r="R530" s="9"/>
      <c r="S530" s="9"/>
      <c r="T530" s="9"/>
      <c r="U530" s="9"/>
      <c r="V530" s="9"/>
      <c r="W530" s="9"/>
      <c r="X530" s="9"/>
      <c r="Y530" s="9"/>
      <c r="Z530" s="9"/>
      <c r="AA530" s="9"/>
      <c r="AB530" s="9"/>
      <c r="AC530" s="9"/>
      <c r="AD530" s="9"/>
      <c r="AE530" s="9"/>
      <c r="AF530" s="9"/>
      <c r="AG530" s="9"/>
      <c r="AH530" s="9"/>
      <c r="AI530" s="9"/>
      <c r="AJ530" s="9"/>
      <c r="AK530" s="9"/>
      <c r="AL530" s="9"/>
      <c r="AM530" s="9"/>
      <c r="AN530" s="10"/>
      <c r="AO530" s="65">
        <f t="shared" ref="AO530:AO537" si="15">I530*SUM(J530:AN530)</f>
        <v>0</v>
      </c>
    </row>
    <row r="531" spans="2:41" s="4" customFormat="1" ht="24" customHeight="1" x14ac:dyDescent="0.2">
      <c r="B531" s="14"/>
      <c r="C531" s="23"/>
      <c r="D531" s="21" t="str">
        <f>IF(ISBLANK(C531), "",
_xlfn.WEBSERVICE(
"https://d16nxf5gxyt1xz.cloudfront.net/Prod/translation?id="
&amp;アカウント情報!$C$2&amp;
"&amp;pwd="
&amp;アカウント情報!$C$3&amp;
"&amp;item="
&amp;_xlfn.ENCODEURL(設定!$F$3)&amp;
"&amp;word="
&amp;_xlfn.ENCODEURL(C531)
)
)</f>
        <v/>
      </c>
      <c r="E531" s="6"/>
      <c r="F531" s="16" t="str">
        <f>IFERROR(VLOOKUP($E531,設定!$C:$F,2,0),"")</f>
        <v/>
      </c>
      <c r="G531" s="156" t="str">
        <f>IFERROR(VLOOKUP($E531,設定!$C:$F,3,0),"")</f>
        <v/>
      </c>
      <c r="H531" s="131" t="str">
        <f>IFERROR(VLOOKUP($E531,設定!$C:$F,4,0),"")</f>
        <v/>
      </c>
      <c r="I531" s="402"/>
      <c r="J531" s="8"/>
      <c r="K531" s="9"/>
      <c r="L531" s="9"/>
      <c r="M531" s="9"/>
      <c r="N531" s="9"/>
      <c r="O531" s="9"/>
      <c r="P531" s="9"/>
      <c r="Q531" s="9"/>
      <c r="R531" s="9"/>
      <c r="S531" s="9"/>
      <c r="T531" s="9"/>
      <c r="U531" s="9"/>
      <c r="V531" s="9"/>
      <c r="W531" s="9"/>
      <c r="X531" s="9"/>
      <c r="Y531" s="9"/>
      <c r="Z531" s="9"/>
      <c r="AA531" s="9"/>
      <c r="AB531" s="9"/>
      <c r="AC531" s="9"/>
      <c r="AD531" s="9"/>
      <c r="AE531" s="9"/>
      <c r="AF531" s="9"/>
      <c r="AG531" s="9"/>
      <c r="AH531" s="9"/>
      <c r="AI531" s="9"/>
      <c r="AJ531" s="9"/>
      <c r="AK531" s="9"/>
      <c r="AL531" s="9"/>
      <c r="AM531" s="9"/>
      <c r="AN531" s="10"/>
      <c r="AO531" s="65">
        <f t="shared" si="15"/>
        <v>0</v>
      </c>
    </row>
    <row r="532" spans="2:41" s="4" customFormat="1" ht="24" customHeight="1" x14ac:dyDescent="0.2">
      <c r="B532" s="14"/>
      <c r="C532" s="23"/>
      <c r="D532" s="21" t="str">
        <f>IF(ISBLANK(C532), "",
_xlfn.WEBSERVICE(
"https://d16nxf5gxyt1xz.cloudfront.net/Prod/translation?id="
&amp;アカウント情報!$C$2&amp;
"&amp;pwd="
&amp;アカウント情報!$C$3&amp;
"&amp;item="
&amp;_xlfn.ENCODEURL(設定!$F$3)&amp;
"&amp;word="
&amp;_xlfn.ENCODEURL(C532)
)
)</f>
        <v/>
      </c>
      <c r="E532" s="6"/>
      <c r="F532" s="16" t="str">
        <f>IFERROR(VLOOKUP($E532,設定!$C:$F,2,0),"")</f>
        <v/>
      </c>
      <c r="G532" s="156" t="str">
        <f>IFERROR(VLOOKUP($E532,設定!$C:$F,3,0),"")</f>
        <v/>
      </c>
      <c r="H532" s="131" t="str">
        <f>IFERROR(VLOOKUP($E532,設定!$C:$F,4,0),"")</f>
        <v/>
      </c>
      <c r="I532" s="402"/>
      <c r="J532" s="8"/>
      <c r="K532" s="9"/>
      <c r="L532" s="9"/>
      <c r="M532" s="9"/>
      <c r="N532" s="9"/>
      <c r="O532" s="9"/>
      <c r="P532" s="9"/>
      <c r="Q532" s="9"/>
      <c r="R532" s="9"/>
      <c r="S532" s="9"/>
      <c r="T532" s="9"/>
      <c r="U532" s="9"/>
      <c r="V532" s="9"/>
      <c r="W532" s="9"/>
      <c r="X532" s="9"/>
      <c r="Y532" s="9"/>
      <c r="Z532" s="9"/>
      <c r="AA532" s="9"/>
      <c r="AB532" s="9"/>
      <c r="AC532" s="9"/>
      <c r="AD532" s="9"/>
      <c r="AE532" s="9"/>
      <c r="AF532" s="9"/>
      <c r="AG532" s="9"/>
      <c r="AH532" s="9"/>
      <c r="AI532" s="9"/>
      <c r="AJ532" s="9"/>
      <c r="AK532" s="9"/>
      <c r="AL532" s="9"/>
      <c r="AM532" s="9"/>
      <c r="AN532" s="10"/>
      <c r="AO532" s="65">
        <f t="shared" si="15"/>
        <v>0</v>
      </c>
    </row>
    <row r="533" spans="2:41" s="4" customFormat="1" ht="24" customHeight="1" x14ac:dyDescent="0.2">
      <c r="B533" s="14"/>
      <c r="C533" s="23"/>
      <c r="D533" s="21" t="str">
        <f>IF(ISBLANK(C533), "",
_xlfn.WEBSERVICE(
"https://d16nxf5gxyt1xz.cloudfront.net/Prod/translation?id="
&amp;アカウント情報!$C$2&amp;
"&amp;pwd="
&amp;アカウント情報!$C$3&amp;
"&amp;item="
&amp;_xlfn.ENCODEURL(設定!$F$3)&amp;
"&amp;word="
&amp;_xlfn.ENCODEURL(C533)
)
)</f>
        <v/>
      </c>
      <c r="E533" s="6"/>
      <c r="F533" s="16" t="str">
        <f>IFERROR(VLOOKUP($E533,設定!$C:$F,2,0),"")</f>
        <v/>
      </c>
      <c r="G533" s="156" t="str">
        <f>IFERROR(VLOOKUP($E533,設定!$C:$F,3,0),"")</f>
        <v/>
      </c>
      <c r="H533" s="131" t="str">
        <f>IFERROR(VLOOKUP($E533,設定!$C:$F,4,0),"")</f>
        <v/>
      </c>
      <c r="I533" s="402"/>
      <c r="J533" s="8"/>
      <c r="K533" s="9"/>
      <c r="L533" s="9"/>
      <c r="M533" s="9"/>
      <c r="N533" s="9"/>
      <c r="O533" s="9"/>
      <c r="P533" s="9"/>
      <c r="Q533" s="9"/>
      <c r="R533" s="9"/>
      <c r="S533" s="9"/>
      <c r="T533" s="9"/>
      <c r="U533" s="9"/>
      <c r="V533" s="9"/>
      <c r="W533" s="9"/>
      <c r="X533" s="9"/>
      <c r="Y533" s="9"/>
      <c r="Z533" s="9"/>
      <c r="AA533" s="9"/>
      <c r="AB533" s="9"/>
      <c r="AC533" s="9"/>
      <c r="AD533" s="9"/>
      <c r="AE533" s="9"/>
      <c r="AF533" s="9"/>
      <c r="AG533" s="9"/>
      <c r="AH533" s="9"/>
      <c r="AI533" s="9"/>
      <c r="AJ533" s="9"/>
      <c r="AK533" s="9"/>
      <c r="AL533" s="9"/>
      <c r="AM533" s="9"/>
      <c r="AN533" s="10"/>
      <c r="AO533" s="65">
        <f t="shared" si="15"/>
        <v>0</v>
      </c>
    </row>
    <row r="534" spans="2:41" s="4" customFormat="1" ht="24" customHeight="1" x14ac:dyDescent="0.2">
      <c r="B534" s="14"/>
      <c r="C534" s="23"/>
      <c r="D534" s="21" t="str">
        <f>IF(ISBLANK(C534), "",
_xlfn.WEBSERVICE(
"https://d16nxf5gxyt1xz.cloudfront.net/Prod/translation?id="
&amp;アカウント情報!$C$2&amp;
"&amp;pwd="
&amp;アカウント情報!$C$3&amp;
"&amp;item="
&amp;_xlfn.ENCODEURL(設定!$F$3)&amp;
"&amp;word="
&amp;_xlfn.ENCODEURL(C534)
)
)</f>
        <v/>
      </c>
      <c r="E534" s="6"/>
      <c r="F534" s="16" t="str">
        <f>IFERROR(VLOOKUP($E534,設定!$C:$F,2,0),"")</f>
        <v/>
      </c>
      <c r="G534" s="156" t="str">
        <f>IFERROR(VLOOKUP($E534,設定!$C:$F,3,0),"")</f>
        <v/>
      </c>
      <c r="H534" s="131" t="str">
        <f>IFERROR(VLOOKUP($E534,設定!$C:$F,4,0),"")</f>
        <v/>
      </c>
      <c r="I534" s="402"/>
      <c r="J534" s="8"/>
      <c r="K534" s="9"/>
      <c r="L534" s="9"/>
      <c r="M534" s="9"/>
      <c r="N534" s="9"/>
      <c r="O534" s="9"/>
      <c r="P534" s="9"/>
      <c r="Q534" s="9"/>
      <c r="R534" s="9"/>
      <c r="S534" s="9"/>
      <c r="T534" s="9"/>
      <c r="U534" s="9"/>
      <c r="V534" s="9"/>
      <c r="W534" s="9"/>
      <c r="X534" s="9"/>
      <c r="Y534" s="9"/>
      <c r="Z534" s="9"/>
      <c r="AA534" s="9"/>
      <c r="AB534" s="9"/>
      <c r="AC534" s="9"/>
      <c r="AD534" s="9"/>
      <c r="AE534" s="9"/>
      <c r="AF534" s="9"/>
      <c r="AG534" s="9"/>
      <c r="AH534" s="9"/>
      <c r="AI534" s="9"/>
      <c r="AJ534" s="9"/>
      <c r="AK534" s="9"/>
      <c r="AL534" s="9"/>
      <c r="AM534" s="9"/>
      <c r="AN534" s="10"/>
      <c r="AO534" s="65">
        <f t="shared" si="15"/>
        <v>0</v>
      </c>
    </row>
    <row r="535" spans="2:41" s="4" customFormat="1" ht="24" customHeight="1" x14ac:dyDescent="0.2">
      <c r="B535" s="14"/>
      <c r="C535" s="23"/>
      <c r="D535" s="21" t="str">
        <f>IF(ISBLANK(C535), "",
_xlfn.WEBSERVICE(
"https://d16nxf5gxyt1xz.cloudfront.net/Prod/translation?id="
&amp;アカウント情報!$C$2&amp;
"&amp;pwd="
&amp;アカウント情報!$C$3&amp;
"&amp;item="
&amp;_xlfn.ENCODEURL(設定!$F$3)&amp;
"&amp;word="
&amp;_xlfn.ENCODEURL(C535)
)
)</f>
        <v/>
      </c>
      <c r="E535" s="6"/>
      <c r="F535" s="16" t="str">
        <f>IFERROR(VLOOKUP($E535,設定!$C:$F,2,0),"")</f>
        <v/>
      </c>
      <c r="G535" s="156" t="str">
        <f>IFERROR(VLOOKUP($E535,設定!$C:$F,3,0),"")</f>
        <v/>
      </c>
      <c r="H535" s="131" t="str">
        <f>IFERROR(VLOOKUP($E535,設定!$C:$F,4,0),"")</f>
        <v/>
      </c>
      <c r="I535" s="402"/>
      <c r="J535" s="8"/>
      <c r="K535" s="9"/>
      <c r="L535" s="9"/>
      <c r="M535" s="9"/>
      <c r="N535" s="9"/>
      <c r="O535" s="9"/>
      <c r="P535" s="9"/>
      <c r="Q535" s="9"/>
      <c r="R535" s="9"/>
      <c r="S535" s="9"/>
      <c r="T535" s="9"/>
      <c r="U535" s="9"/>
      <c r="V535" s="9"/>
      <c r="W535" s="9"/>
      <c r="X535" s="9"/>
      <c r="Y535" s="9"/>
      <c r="Z535" s="9"/>
      <c r="AA535" s="9"/>
      <c r="AB535" s="9"/>
      <c r="AC535" s="9"/>
      <c r="AD535" s="9"/>
      <c r="AE535" s="9"/>
      <c r="AF535" s="9"/>
      <c r="AG535" s="9"/>
      <c r="AH535" s="9"/>
      <c r="AI535" s="9"/>
      <c r="AJ535" s="9"/>
      <c r="AK535" s="9"/>
      <c r="AL535" s="9"/>
      <c r="AM535" s="9"/>
      <c r="AN535" s="10"/>
      <c r="AO535" s="65">
        <f t="shared" si="15"/>
        <v>0</v>
      </c>
    </row>
    <row r="536" spans="2:41" s="4" customFormat="1" ht="24" customHeight="1" x14ac:dyDescent="0.2">
      <c r="B536" s="14"/>
      <c r="C536" s="23"/>
      <c r="D536" s="21" t="str">
        <f>IF(ISBLANK(C536), "",
_xlfn.WEBSERVICE(
"https://d16nxf5gxyt1xz.cloudfront.net/Prod/translation?id="
&amp;アカウント情報!$C$2&amp;
"&amp;pwd="
&amp;アカウント情報!$C$3&amp;
"&amp;item="
&amp;_xlfn.ENCODEURL(設定!$F$3)&amp;
"&amp;word="
&amp;_xlfn.ENCODEURL(C536)
)
)</f>
        <v/>
      </c>
      <c r="E536" s="6"/>
      <c r="F536" s="16" t="str">
        <f>IFERROR(VLOOKUP($E536,設定!$C:$F,2,0),"")</f>
        <v/>
      </c>
      <c r="G536" s="156" t="str">
        <f>IFERROR(VLOOKUP($E536,設定!$C:$F,3,0),"")</f>
        <v/>
      </c>
      <c r="H536" s="131" t="str">
        <f>IFERROR(VLOOKUP($E536,設定!$C:$F,4,0),"")</f>
        <v/>
      </c>
      <c r="I536" s="402"/>
      <c r="J536" s="8"/>
      <c r="K536" s="9"/>
      <c r="L536" s="9"/>
      <c r="M536" s="9"/>
      <c r="N536" s="9"/>
      <c r="O536" s="9"/>
      <c r="P536" s="9"/>
      <c r="Q536" s="9"/>
      <c r="R536" s="9"/>
      <c r="S536" s="9"/>
      <c r="T536" s="9"/>
      <c r="U536" s="9"/>
      <c r="V536" s="9"/>
      <c r="W536" s="9"/>
      <c r="X536" s="9"/>
      <c r="Y536" s="9"/>
      <c r="Z536" s="9"/>
      <c r="AA536" s="9"/>
      <c r="AB536" s="9"/>
      <c r="AC536" s="9"/>
      <c r="AD536" s="9"/>
      <c r="AE536" s="9"/>
      <c r="AF536" s="9"/>
      <c r="AG536" s="9"/>
      <c r="AH536" s="9"/>
      <c r="AI536" s="9"/>
      <c r="AJ536" s="9"/>
      <c r="AK536" s="9"/>
      <c r="AL536" s="9"/>
      <c r="AM536" s="9"/>
      <c r="AN536" s="10"/>
      <c r="AO536" s="65">
        <f t="shared" si="15"/>
        <v>0</v>
      </c>
    </row>
    <row r="537" spans="2:41" s="4" customFormat="1" ht="24" customHeight="1" thickBot="1" x14ac:dyDescent="0.25">
      <c r="B537" s="15"/>
      <c r="C537" s="24"/>
      <c r="D537" s="22" t="str">
        <f>IF(ISBLANK(C537), "",
_xlfn.WEBSERVICE(
"https://d16nxf5gxyt1xz.cloudfront.net/Prod/translation?id="
&amp;アカウント情報!$C$2&amp;
"&amp;pwd="
&amp;アカウント情報!$C$3&amp;
"&amp;item="
&amp;_xlfn.ENCODEURL(設定!$F$3)&amp;
"&amp;word="
&amp;_xlfn.ENCODEURL(C537)
)
)</f>
        <v/>
      </c>
      <c r="E537" s="7"/>
      <c r="F537" s="17" t="str">
        <f>IFERROR(VLOOKUP($E537,設定!$C:$F,2,0),"")</f>
        <v/>
      </c>
      <c r="G537" s="157" t="str">
        <f>IFERROR(VLOOKUP($E537,設定!$C:$F,3,0),"")</f>
        <v/>
      </c>
      <c r="H537" s="133" t="str">
        <f>IFERROR(VLOOKUP($E537,設定!$C:$F,4,0),"")</f>
        <v/>
      </c>
      <c r="I537" s="403"/>
      <c r="J537" s="11"/>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c r="AM537" s="12"/>
      <c r="AN537" s="13"/>
      <c r="AO537" s="66">
        <f t="shared" si="15"/>
        <v>0</v>
      </c>
    </row>
  </sheetData>
  <mergeCells count="13">
    <mergeCell ref="B1:AO1"/>
    <mergeCell ref="B2:D2"/>
    <mergeCell ref="C5:C6"/>
    <mergeCell ref="H5:H6"/>
    <mergeCell ref="G5:G6"/>
    <mergeCell ref="F5:F6"/>
    <mergeCell ref="B3:D3"/>
    <mergeCell ref="D5:D6"/>
    <mergeCell ref="B5:B6"/>
    <mergeCell ref="E5:E6"/>
    <mergeCell ref="AO5:AO6"/>
    <mergeCell ref="I5:I6"/>
    <mergeCell ref="J5:AN5"/>
  </mergeCells>
  <phoneticPr fontId="2"/>
  <pageMargins left="0.59055118110236227" right="0.59055118110236227" top="0.59055118110236227" bottom="0.59055118110236227" header="0" footer="0.27559055118110237"/>
  <pageSetup paperSize="9" scale="94"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BB018755-685F-4436-AA13-F13041DB6588}">
          <x14:formula1>
            <xm:f>設定!$C$9:$C$108</xm:f>
          </x14:formula1>
          <xm:sqref>E7:E534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E2A02-3986-469D-A54B-2ACD599EA1A5}">
  <sheetPr codeName="Sheet3">
    <pageSetUpPr fitToPage="1"/>
  </sheetPr>
  <dimension ref="B1:AO537"/>
  <sheetViews>
    <sheetView showGridLines="0" zoomScaleNormal="100" workbookViewId="0">
      <pane ySplit="6" topLeftCell="A7" activePane="bottomLeft" state="frozen"/>
      <selection pane="bottomLeft"/>
    </sheetView>
  </sheetViews>
  <sheetFormatPr defaultColWidth="1.21875" defaultRowHeight="7.5" customHeight="1" x14ac:dyDescent="0.2"/>
  <cols>
    <col min="1" max="1" width="1" style="2" customWidth="1"/>
    <col min="2" max="2" width="3.77734375" style="2" customWidth="1"/>
    <col min="3" max="3" width="12.77734375" style="2" customWidth="1"/>
    <col min="4" max="4" width="16.77734375" style="2" customWidth="1"/>
    <col min="5" max="5" width="12.77734375" style="2" customWidth="1"/>
    <col min="6" max="8" width="4.77734375" style="2" customWidth="1"/>
    <col min="9" max="9" width="6.77734375" style="2" customWidth="1"/>
    <col min="10" max="40" width="2.33203125" style="2" customWidth="1"/>
    <col min="41" max="41" width="4.77734375" style="2" customWidth="1"/>
    <col min="42" max="42" width="0.88671875" style="2" customWidth="1"/>
    <col min="43" max="43" width="1.21875" style="2"/>
    <col min="44" max="44" width="3.44140625" style="2" bestFit="1" customWidth="1"/>
    <col min="45" max="16384" width="1.21875" style="2"/>
  </cols>
  <sheetData>
    <row r="1" spans="2:41" ht="24" customHeight="1" x14ac:dyDescent="0.2">
      <c r="B1" s="437" t="s">
        <v>107</v>
      </c>
      <c r="C1" s="437"/>
      <c r="D1" s="437"/>
      <c r="E1" s="437"/>
      <c r="F1" s="437"/>
      <c r="G1" s="437"/>
      <c r="H1" s="437"/>
      <c r="I1" s="437"/>
      <c r="J1" s="437"/>
      <c r="K1" s="437"/>
      <c r="L1" s="437"/>
      <c r="M1" s="437"/>
      <c r="N1" s="437"/>
      <c r="O1" s="437"/>
      <c r="P1" s="437"/>
      <c r="Q1" s="437"/>
      <c r="R1" s="437"/>
      <c r="S1" s="437"/>
      <c r="T1" s="437"/>
      <c r="U1" s="437"/>
      <c r="V1" s="437"/>
      <c r="W1" s="437"/>
      <c r="X1" s="437"/>
      <c r="Y1" s="437"/>
      <c r="Z1" s="437"/>
      <c r="AA1" s="437"/>
      <c r="AB1" s="437"/>
      <c r="AC1" s="437"/>
      <c r="AD1" s="437"/>
      <c r="AE1" s="437"/>
      <c r="AF1" s="437"/>
      <c r="AG1" s="437"/>
      <c r="AH1" s="437"/>
      <c r="AI1" s="437"/>
      <c r="AJ1" s="437"/>
      <c r="AK1" s="437"/>
      <c r="AL1" s="437"/>
      <c r="AM1" s="437"/>
      <c r="AN1" s="437"/>
      <c r="AO1" s="437"/>
    </row>
    <row r="2" spans="2:41" ht="15" customHeight="1" x14ac:dyDescent="0.2">
      <c r="B2" s="449" t="s">
        <v>110</v>
      </c>
      <c r="C2" s="450"/>
      <c r="D2" s="451"/>
      <c r="P2" s="5"/>
      <c r="Q2" s="5"/>
      <c r="R2" s="5"/>
      <c r="S2" s="5"/>
      <c r="T2" s="5"/>
      <c r="U2" s="5"/>
      <c r="V2" s="5"/>
      <c r="W2" s="5"/>
      <c r="X2" s="5"/>
      <c r="Y2" s="5"/>
      <c r="Z2" s="5"/>
      <c r="AA2" s="5"/>
      <c r="AB2" s="5"/>
      <c r="AC2" s="5"/>
      <c r="AD2" s="5"/>
      <c r="AE2" s="5"/>
      <c r="AF2" s="5"/>
      <c r="AG2" s="5"/>
      <c r="AH2" s="5"/>
      <c r="AI2" s="5"/>
      <c r="AJ2" s="5"/>
      <c r="AK2" s="5"/>
      <c r="AL2" s="5"/>
      <c r="AM2" s="5"/>
      <c r="AN2" s="5"/>
      <c r="AO2" s="5"/>
    </row>
    <row r="3" spans="2:41" ht="24" customHeight="1" x14ac:dyDescent="0.2">
      <c r="B3" s="456">
        <f>設定!B3</f>
        <v>0</v>
      </c>
      <c r="C3" s="457"/>
      <c r="D3" s="458"/>
    </row>
    <row r="4" spans="2:41" ht="7.5" customHeight="1" thickBot="1" x14ac:dyDescent="0.25">
      <c r="J4" s="3"/>
    </row>
    <row r="5" spans="2:41" s="4" customFormat="1" ht="15" customHeight="1" x14ac:dyDescent="0.2">
      <c r="B5" s="476" t="s">
        <v>1</v>
      </c>
      <c r="C5" s="478" t="s">
        <v>27</v>
      </c>
      <c r="D5" s="480" t="s">
        <v>28</v>
      </c>
      <c r="E5" s="482" t="s">
        <v>101</v>
      </c>
      <c r="F5" s="484" t="s">
        <v>29</v>
      </c>
      <c r="G5" s="484" t="s">
        <v>30</v>
      </c>
      <c r="H5" s="484" t="s">
        <v>31</v>
      </c>
      <c r="I5" s="472" t="s">
        <v>26</v>
      </c>
      <c r="J5" s="469" t="s">
        <v>34</v>
      </c>
      <c r="K5" s="470"/>
      <c r="L5" s="470"/>
      <c r="M5" s="470"/>
      <c r="N5" s="470"/>
      <c r="O5" s="470"/>
      <c r="P5" s="470"/>
      <c r="Q5" s="470"/>
      <c r="R5" s="470"/>
      <c r="S5" s="470"/>
      <c r="T5" s="470"/>
      <c r="U5" s="470"/>
      <c r="V5" s="470"/>
      <c r="W5" s="470"/>
      <c r="X5" s="470"/>
      <c r="Y5" s="470"/>
      <c r="Z5" s="470"/>
      <c r="AA5" s="470"/>
      <c r="AB5" s="470"/>
      <c r="AC5" s="470"/>
      <c r="AD5" s="470"/>
      <c r="AE5" s="470"/>
      <c r="AF5" s="470"/>
      <c r="AG5" s="470"/>
      <c r="AH5" s="470"/>
      <c r="AI5" s="470"/>
      <c r="AJ5" s="470"/>
      <c r="AK5" s="470"/>
      <c r="AL5" s="470"/>
      <c r="AM5" s="470"/>
      <c r="AN5" s="471"/>
      <c r="AO5" s="474" t="s">
        <v>32</v>
      </c>
    </row>
    <row r="6" spans="2:41" s="4" customFormat="1" ht="15" customHeight="1" thickBot="1" x14ac:dyDescent="0.25">
      <c r="B6" s="477"/>
      <c r="C6" s="479"/>
      <c r="D6" s="481"/>
      <c r="E6" s="483"/>
      <c r="F6" s="485"/>
      <c r="G6" s="485"/>
      <c r="H6" s="485"/>
      <c r="I6" s="473"/>
      <c r="J6" s="377">
        <v>1</v>
      </c>
      <c r="K6" s="378">
        <v>2</v>
      </c>
      <c r="L6" s="378">
        <v>3</v>
      </c>
      <c r="M6" s="378">
        <v>4</v>
      </c>
      <c r="N6" s="378">
        <v>5</v>
      </c>
      <c r="O6" s="378">
        <v>6</v>
      </c>
      <c r="P6" s="378">
        <v>7</v>
      </c>
      <c r="Q6" s="378">
        <v>8</v>
      </c>
      <c r="R6" s="378">
        <v>9</v>
      </c>
      <c r="S6" s="378">
        <v>10</v>
      </c>
      <c r="T6" s="378">
        <v>11</v>
      </c>
      <c r="U6" s="378">
        <v>12</v>
      </c>
      <c r="V6" s="378">
        <v>13</v>
      </c>
      <c r="W6" s="378">
        <v>14</v>
      </c>
      <c r="X6" s="378">
        <v>15</v>
      </c>
      <c r="Y6" s="378">
        <v>16</v>
      </c>
      <c r="Z6" s="378">
        <v>17</v>
      </c>
      <c r="AA6" s="378">
        <v>18</v>
      </c>
      <c r="AB6" s="378">
        <v>19</v>
      </c>
      <c r="AC6" s="378">
        <v>20</v>
      </c>
      <c r="AD6" s="378">
        <v>21</v>
      </c>
      <c r="AE6" s="378">
        <v>22</v>
      </c>
      <c r="AF6" s="378">
        <v>23</v>
      </c>
      <c r="AG6" s="378">
        <v>24</v>
      </c>
      <c r="AH6" s="378">
        <v>25</v>
      </c>
      <c r="AI6" s="378">
        <v>26</v>
      </c>
      <c r="AJ6" s="378">
        <v>27</v>
      </c>
      <c r="AK6" s="378">
        <v>28</v>
      </c>
      <c r="AL6" s="378">
        <v>29</v>
      </c>
      <c r="AM6" s="378">
        <v>30</v>
      </c>
      <c r="AN6" s="379">
        <v>31</v>
      </c>
      <c r="AO6" s="475"/>
    </row>
    <row r="7" spans="2:41" s="4" customFormat="1" ht="24" customHeight="1" x14ac:dyDescent="0.2">
      <c r="B7" s="14"/>
      <c r="C7" s="23"/>
      <c r="D7" s="21"/>
      <c r="E7" s="6"/>
      <c r="F7" s="16" t="str">
        <f>IFERROR(VLOOKUP($E7,設定!$C:$F,2,0),"")</f>
        <v/>
      </c>
      <c r="G7" s="156" t="str">
        <f>IFERROR(VLOOKUP($E7,設定!$C:$F,3,0),"")</f>
        <v/>
      </c>
      <c r="H7" s="131" t="str">
        <f>IFERROR(VLOOKUP($E7,設定!$C:$F,4,0),"")</f>
        <v/>
      </c>
      <c r="I7" s="402"/>
      <c r="J7" s="8"/>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10"/>
      <c r="AO7" s="65">
        <f t="shared" ref="AO7:AO70" si="0">I7*SUM(J7:AN7)</f>
        <v>0</v>
      </c>
    </row>
    <row r="8" spans="2:41" s="4" customFormat="1" ht="24" customHeight="1" x14ac:dyDescent="0.2">
      <c r="B8" s="14"/>
      <c r="C8" s="23"/>
      <c r="D8" s="21"/>
      <c r="E8" s="6"/>
      <c r="F8" s="16" t="str">
        <f>IFERROR(VLOOKUP($E8,設定!$C:$F,2,0),"")</f>
        <v/>
      </c>
      <c r="G8" s="156" t="str">
        <f>IFERROR(VLOOKUP($E8,設定!$C:$F,3,0),"")</f>
        <v/>
      </c>
      <c r="H8" s="131" t="str">
        <f>IFERROR(VLOOKUP($E8,設定!$C:$F,4,0),"")</f>
        <v/>
      </c>
      <c r="I8" s="402"/>
      <c r="J8" s="8"/>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10"/>
      <c r="AO8" s="65">
        <f t="shared" si="0"/>
        <v>0</v>
      </c>
    </row>
    <row r="9" spans="2:41" s="4" customFormat="1" ht="24" customHeight="1" x14ac:dyDescent="0.2">
      <c r="B9" s="14"/>
      <c r="C9" s="23"/>
      <c r="D9" s="21"/>
      <c r="E9" s="6"/>
      <c r="F9" s="16" t="str">
        <f>IFERROR(VLOOKUP($E9,設定!$C:$F,2,0),"")</f>
        <v/>
      </c>
      <c r="G9" s="156" t="str">
        <f>IFERROR(VLOOKUP($E9,設定!$C:$F,3,0),"")</f>
        <v/>
      </c>
      <c r="H9" s="131" t="str">
        <f>IFERROR(VLOOKUP($E9,設定!$C:$F,4,0),"")</f>
        <v/>
      </c>
      <c r="I9" s="402"/>
      <c r="J9" s="8"/>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10"/>
      <c r="AO9" s="65">
        <f>I9*SUM(J9:AN9)</f>
        <v>0</v>
      </c>
    </row>
    <row r="10" spans="2:41" s="4" customFormat="1" ht="24" customHeight="1" x14ac:dyDescent="0.2">
      <c r="B10" s="14"/>
      <c r="C10" s="23"/>
      <c r="D10" s="21"/>
      <c r="E10" s="6"/>
      <c r="F10" s="16" t="str">
        <f>IFERROR(VLOOKUP($E10,設定!$C:$F,2,0),"")</f>
        <v/>
      </c>
      <c r="G10" s="156" t="str">
        <f>IFERROR(VLOOKUP($E10,設定!$C:$F,3,0),"")</f>
        <v/>
      </c>
      <c r="H10" s="131" t="str">
        <f>IFERROR(VLOOKUP($E10,設定!$C:$F,4,0),"")</f>
        <v/>
      </c>
      <c r="I10" s="402"/>
      <c r="J10" s="8"/>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10"/>
      <c r="AO10" s="65">
        <f t="shared" ref="AO10" si="1">I10*SUM(J10:AN10)</f>
        <v>0</v>
      </c>
    </row>
    <row r="11" spans="2:41" s="4" customFormat="1" ht="24" customHeight="1" x14ac:dyDescent="0.2">
      <c r="B11" s="14"/>
      <c r="C11" s="23"/>
      <c r="D11" s="21"/>
      <c r="E11" s="6"/>
      <c r="F11" s="16" t="str">
        <f>IFERROR(VLOOKUP($E11,設定!$C:$F,2,0),"")</f>
        <v/>
      </c>
      <c r="G11" s="156" t="str">
        <f>IFERROR(VLOOKUP($E11,設定!$C:$F,3,0),"")</f>
        <v/>
      </c>
      <c r="H11" s="131" t="str">
        <f>IFERROR(VLOOKUP($E11,設定!$C:$F,4,0),"")</f>
        <v/>
      </c>
      <c r="I11" s="402"/>
      <c r="J11" s="8"/>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10"/>
      <c r="AO11" s="65">
        <f t="shared" si="0"/>
        <v>0</v>
      </c>
    </row>
    <row r="12" spans="2:41" s="4" customFormat="1" ht="24" customHeight="1" x14ac:dyDescent="0.2">
      <c r="B12" s="14"/>
      <c r="C12" s="23"/>
      <c r="D12" s="21"/>
      <c r="E12" s="6"/>
      <c r="F12" s="16" t="str">
        <f>IFERROR(VLOOKUP($E12,設定!$C:$F,2,0),"")</f>
        <v/>
      </c>
      <c r="G12" s="156" t="str">
        <f>IFERROR(VLOOKUP($E12,設定!$C:$F,3,0),"")</f>
        <v/>
      </c>
      <c r="H12" s="131" t="str">
        <f>IFERROR(VLOOKUP($E12,設定!$C:$F,4,0),"")</f>
        <v/>
      </c>
      <c r="I12" s="402"/>
      <c r="J12" s="8"/>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10"/>
      <c r="AO12" s="65">
        <f t="shared" si="0"/>
        <v>0</v>
      </c>
    </row>
    <row r="13" spans="2:41" s="4" customFormat="1" ht="24" customHeight="1" x14ac:dyDescent="0.2">
      <c r="B13" s="14"/>
      <c r="C13" s="23"/>
      <c r="D13" s="21"/>
      <c r="E13" s="6"/>
      <c r="F13" s="16" t="str">
        <f>IFERROR(VLOOKUP($E13,設定!$C:$F,2,0),"")</f>
        <v/>
      </c>
      <c r="G13" s="156" t="str">
        <f>IFERROR(VLOOKUP($E13,設定!$C:$F,3,0),"")</f>
        <v/>
      </c>
      <c r="H13" s="131" t="str">
        <f>IFERROR(VLOOKUP($E13,設定!$C:$F,4,0),"")</f>
        <v/>
      </c>
      <c r="I13" s="402"/>
      <c r="J13" s="8"/>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10"/>
      <c r="AO13" s="65">
        <f t="shared" si="0"/>
        <v>0</v>
      </c>
    </row>
    <row r="14" spans="2:41" s="4" customFormat="1" ht="24" customHeight="1" x14ac:dyDescent="0.2">
      <c r="B14" s="14"/>
      <c r="C14" s="23"/>
      <c r="D14" s="21"/>
      <c r="E14" s="6"/>
      <c r="F14" s="16" t="str">
        <f>IFERROR(VLOOKUP($E14,設定!$C:$F,2,0),"")</f>
        <v/>
      </c>
      <c r="G14" s="156" t="str">
        <f>IFERROR(VLOOKUP($E14,設定!$C:$F,3,0),"")</f>
        <v/>
      </c>
      <c r="H14" s="131" t="str">
        <f>IFERROR(VLOOKUP($E14,設定!$C:$F,4,0),"")</f>
        <v/>
      </c>
      <c r="I14" s="402"/>
      <c r="J14" s="8"/>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10"/>
      <c r="AO14" s="65">
        <f t="shared" si="0"/>
        <v>0</v>
      </c>
    </row>
    <row r="15" spans="2:41" s="4" customFormat="1" ht="24" customHeight="1" x14ac:dyDescent="0.2">
      <c r="B15" s="14"/>
      <c r="C15" s="23"/>
      <c r="D15" s="21"/>
      <c r="E15" s="6"/>
      <c r="F15" s="16" t="str">
        <f>IFERROR(VLOOKUP($E15,設定!$C:$F,2,0),"")</f>
        <v/>
      </c>
      <c r="G15" s="156" t="str">
        <f>IFERROR(VLOOKUP($E15,設定!$C:$F,3,0),"")</f>
        <v/>
      </c>
      <c r="H15" s="131" t="str">
        <f>IFERROR(VLOOKUP($E15,設定!$C:$F,4,0),"")</f>
        <v/>
      </c>
      <c r="I15" s="402"/>
      <c r="J15" s="8"/>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10"/>
      <c r="AO15" s="65">
        <f t="shared" si="0"/>
        <v>0</v>
      </c>
    </row>
    <row r="16" spans="2:41" s="4" customFormat="1" ht="24" customHeight="1" x14ac:dyDescent="0.2">
      <c r="B16" s="14"/>
      <c r="C16" s="23"/>
      <c r="D16" s="21"/>
      <c r="E16" s="6"/>
      <c r="F16" s="16" t="str">
        <f>IFERROR(VLOOKUP($E16,設定!$C:$F,2,0),"")</f>
        <v/>
      </c>
      <c r="G16" s="156" t="str">
        <f>IFERROR(VLOOKUP($E16,設定!$C:$F,3,0),"")</f>
        <v/>
      </c>
      <c r="H16" s="131" t="str">
        <f>IFERROR(VLOOKUP($E16,設定!$C:$F,4,0),"")</f>
        <v/>
      </c>
      <c r="I16" s="402"/>
      <c r="J16" s="8"/>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10"/>
      <c r="AO16" s="65">
        <f t="shared" si="0"/>
        <v>0</v>
      </c>
    </row>
    <row r="17" spans="2:41" s="4" customFormat="1" ht="24" customHeight="1" x14ac:dyDescent="0.2">
      <c r="B17" s="14"/>
      <c r="C17" s="23"/>
      <c r="D17" s="21"/>
      <c r="E17" s="6"/>
      <c r="F17" s="16" t="str">
        <f>IFERROR(VLOOKUP($E17,設定!$C:$F,2,0),"")</f>
        <v/>
      </c>
      <c r="G17" s="156" t="str">
        <f>IFERROR(VLOOKUP($E17,設定!$C:$F,3,0),"")</f>
        <v/>
      </c>
      <c r="H17" s="131" t="str">
        <f>IFERROR(VLOOKUP($E17,設定!$C:$F,4,0),"")</f>
        <v/>
      </c>
      <c r="I17" s="402"/>
      <c r="J17" s="8"/>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10"/>
      <c r="AO17" s="65">
        <f t="shared" si="0"/>
        <v>0</v>
      </c>
    </row>
    <row r="18" spans="2:41" s="4" customFormat="1" ht="24" customHeight="1" x14ac:dyDescent="0.2">
      <c r="B18" s="14"/>
      <c r="C18" s="23"/>
      <c r="D18" s="21"/>
      <c r="E18" s="6"/>
      <c r="F18" s="16" t="str">
        <f>IFERROR(VLOOKUP($E18,設定!$C:$F,2,0),"")</f>
        <v/>
      </c>
      <c r="G18" s="156" t="str">
        <f>IFERROR(VLOOKUP($E18,設定!$C:$F,3,0),"")</f>
        <v/>
      </c>
      <c r="H18" s="131" t="str">
        <f>IFERROR(VLOOKUP($E18,設定!$C:$F,4,0),"")</f>
        <v/>
      </c>
      <c r="I18" s="402"/>
      <c r="J18" s="8"/>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10"/>
      <c r="AO18" s="65">
        <f t="shared" si="0"/>
        <v>0</v>
      </c>
    </row>
    <row r="19" spans="2:41" s="4" customFormat="1" ht="24" customHeight="1" x14ac:dyDescent="0.2">
      <c r="B19" s="14"/>
      <c r="C19" s="23"/>
      <c r="D19" s="21"/>
      <c r="E19" s="6"/>
      <c r="F19" s="16" t="str">
        <f>IFERROR(VLOOKUP($E19,設定!$C:$F,2,0),"")</f>
        <v/>
      </c>
      <c r="G19" s="156" t="str">
        <f>IFERROR(VLOOKUP($E19,設定!$C:$F,3,0),"")</f>
        <v/>
      </c>
      <c r="H19" s="131" t="str">
        <f>IFERROR(VLOOKUP($E19,設定!$C:$F,4,0),"")</f>
        <v/>
      </c>
      <c r="I19" s="402"/>
      <c r="J19" s="8"/>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10"/>
      <c r="AO19" s="65">
        <f t="shared" si="0"/>
        <v>0</v>
      </c>
    </row>
    <row r="20" spans="2:41" s="4" customFormat="1" ht="24" customHeight="1" x14ac:dyDescent="0.2">
      <c r="B20" s="14"/>
      <c r="C20" s="23"/>
      <c r="D20" s="21"/>
      <c r="E20" s="6"/>
      <c r="F20" s="16" t="str">
        <f>IFERROR(VLOOKUP($E20,設定!$C:$F,2,0),"")</f>
        <v/>
      </c>
      <c r="G20" s="156" t="str">
        <f>IFERROR(VLOOKUP($E20,設定!$C:$F,3,0),"")</f>
        <v/>
      </c>
      <c r="H20" s="131" t="str">
        <f>IFERROR(VLOOKUP($E20,設定!$C:$F,4,0),"")</f>
        <v/>
      </c>
      <c r="I20" s="402"/>
      <c r="J20" s="8"/>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10"/>
      <c r="AO20" s="65">
        <f t="shared" si="0"/>
        <v>0</v>
      </c>
    </row>
    <row r="21" spans="2:41" s="4" customFormat="1" ht="24" customHeight="1" x14ac:dyDescent="0.2">
      <c r="B21" s="14"/>
      <c r="C21" s="23"/>
      <c r="D21" s="21"/>
      <c r="E21" s="6"/>
      <c r="F21" s="16" t="str">
        <f>IFERROR(VLOOKUP($E21,設定!$C:$F,2,0),"")</f>
        <v/>
      </c>
      <c r="G21" s="156" t="str">
        <f>IFERROR(VLOOKUP($E21,設定!$C:$F,3,0),"")</f>
        <v/>
      </c>
      <c r="H21" s="131" t="str">
        <f>IFERROR(VLOOKUP($E21,設定!$C:$F,4,0),"")</f>
        <v/>
      </c>
      <c r="I21" s="402"/>
      <c r="J21" s="8"/>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10"/>
      <c r="AO21" s="65">
        <f t="shared" si="0"/>
        <v>0</v>
      </c>
    </row>
    <row r="22" spans="2:41" s="4" customFormat="1" ht="24" customHeight="1" x14ac:dyDescent="0.2">
      <c r="B22" s="14"/>
      <c r="C22" s="23"/>
      <c r="D22" s="21"/>
      <c r="E22" s="6"/>
      <c r="F22" s="16" t="str">
        <f>IFERROR(VLOOKUP($E22,設定!$C:$F,2,0),"")</f>
        <v/>
      </c>
      <c r="G22" s="156" t="str">
        <f>IFERROR(VLOOKUP($E22,設定!$C:$F,3,0),"")</f>
        <v/>
      </c>
      <c r="H22" s="131" t="str">
        <f>IFERROR(VLOOKUP($E22,設定!$C:$F,4,0),"")</f>
        <v/>
      </c>
      <c r="I22" s="402"/>
      <c r="J22" s="8"/>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10"/>
      <c r="AO22" s="65">
        <f t="shared" si="0"/>
        <v>0</v>
      </c>
    </row>
    <row r="23" spans="2:41" s="4" customFormat="1" ht="24" customHeight="1" x14ac:dyDescent="0.2">
      <c r="B23" s="14"/>
      <c r="C23" s="23"/>
      <c r="D23" s="21"/>
      <c r="E23" s="6"/>
      <c r="F23" s="16" t="str">
        <f>IFERROR(VLOOKUP($E23,設定!$C:$F,2,0),"")</f>
        <v/>
      </c>
      <c r="G23" s="156" t="str">
        <f>IFERROR(VLOOKUP($E23,設定!$C:$F,3,0),"")</f>
        <v/>
      </c>
      <c r="H23" s="131" t="str">
        <f>IFERROR(VLOOKUP($E23,設定!$C:$F,4,0),"")</f>
        <v/>
      </c>
      <c r="I23" s="402"/>
      <c r="J23" s="8"/>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10"/>
      <c r="AO23" s="65">
        <f t="shared" si="0"/>
        <v>0</v>
      </c>
    </row>
    <row r="24" spans="2:41" s="4" customFormat="1" ht="24" customHeight="1" x14ac:dyDescent="0.2">
      <c r="B24" s="14"/>
      <c r="C24" s="23"/>
      <c r="D24" s="21"/>
      <c r="E24" s="6"/>
      <c r="F24" s="16" t="str">
        <f>IFERROR(VLOOKUP($E24,設定!$C:$F,2,0),"")</f>
        <v/>
      </c>
      <c r="G24" s="156" t="str">
        <f>IFERROR(VLOOKUP($E24,設定!$C:$F,3,0),"")</f>
        <v/>
      </c>
      <c r="H24" s="131" t="str">
        <f>IFERROR(VLOOKUP($E24,設定!$C:$F,4,0),"")</f>
        <v/>
      </c>
      <c r="I24" s="402"/>
      <c r="J24" s="8"/>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10"/>
      <c r="AO24" s="65">
        <f t="shared" si="0"/>
        <v>0</v>
      </c>
    </row>
    <row r="25" spans="2:41" s="4" customFormat="1" ht="24" customHeight="1" x14ac:dyDescent="0.2">
      <c r="B25" s="14"/>
      <c r="C25" s="23"/>
      <c r="D25" s="21"/>
      <c r="E25" s="6"/>
      <c r="F25" s="16" t="str">
        <f>IFERROR(VLOOKUP($E25,設定!$C:$F,2,0),"")</f>
        <v/>
      </c>
      <c r="G25" s="156" t="str">
        <f>IFERROR(VLOOKUP($E25,設定!$C:$F,3,0),"")</f>
        <v/>
      </c>
      <c r="H25" s="131" t="str">
        <f>IFERROR(VLOOKUP($E25,設定!$C:$F,4,0),"")</f>
        <v/>
      </c>
      <c r="I25" s="402"/>
      <c r="J25" s="8"/>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10"/>
      <c r="AO25" s="65">
        <f t="shared" si="0"/>
        <v>0</v>
      </c>
    </row>
    <row r="26" spans="2:41" s="4" customFormat="1" ht="24" customHeight="1" x14ac:dyDescent="0.2">
      <c r="B26" s="14"/>
      <c r="C26" s="23"/>
      <c r="D26" s="21"/>
      <c r="E26" s="6"/>
      <c r="F26" s="16" t="str">
        <f>IFERROR(VLOOKUP($E26,設定!$C:$F,2,0),"")</f>
        <v/>
      </c>
      <c r="G26" s="156" t="str">
        <f>IFERROR(VLOOKUP($E26,設定!$C:$F,3,0),"")</f>
        <v/>
      </c>
      <c r="H26" s="131" t="str">
        <f>IFERROR(VLOOKUP($E26,設定!$C:$F,4,0),"")</f>
        <v/>
      </c>
      <c r="I26" s="402"/>
      <c r="J26" s="8"/>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10"/>
      <c r="AO26" s="65">
        <f t="shared" si="0"/>
        <v>0</v>
      </c>
    </row>
    <row r="27" spans="2:41" s="4" customFormat="1" ht="24" customHeight="1" x14ac:dyDescent="0.2">
      <c r="B27" s="14"/>
      <c r="C27" s="23"/>
      <c r="D27" s="21"/>
      <c r="E27" s="6"/>
      <c r="F27" s="16" t="str">
        <f>IFERROR(VLOOKUP($E27,設定!$C:$F,2,0),"")</f>
        <v/>
      </c>
      <c r="G27" s="156" t="str">
        <f>IFERROR(VLOOKUP($E27,設定!$C:$F,3,0),"")</f>
        <v/>
      </c>
      <c r="H27" s="131" t="str">
        <f>IFERROR(VLOOKUP($E27,設定!$C:$F,4,0),"")</f>
        <v/>
      </c>
      <c r="I27" s="402"/>
      <c r="J27" s="8"/>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10"/>
      <c r="AO27" s="65">
        <f t="shared" si="0"/>
        <v>0</v>
      </c>
    </row>
    <row r="28" spans="2:41" s="4" customFormat="1" ht="24" customHeight="1" x14ac:dyDescent="0.2">
      <c r="B28" s="14"/>
      <c r="C28" s="23"/>
      <c r="D28" s="21"/>
      <c r="E28" s="6"/>
      <c r="F28" s="16" t="str">
        <f>IFERROR(VLOOKUP($E28,設定!$C:$F,2,0),"")</f>
        <v/>
      </c>
      <c r="G28" s="156" t="str">
        <f>IFERROR(VLOOKUP($E28,設定!$C:$F,3,0),"")</f>
        <v/>
      </c>
      <c r="H28" s="131" t="str">
        <f>IFERROR(VLOOKUP($E28,設定!$C:$F,4,0),"")</f>
        <v/>
      </c>
      <c r="I28" s="402"/>
      <c r="J28" s="8"/>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10"/>
      <c r="AO28" s="65">
        <f t="shared" si="0"/>
        <v>0</v>
      </c>
    </row>
    <row r="29" spans="2:41" s="4" customFormat="1" ht="24" customHeight="1" x14ac:dyDescent="0.2">
      <c r="B29" s="14"/>
      <c r="C29" s="23"/>
      <c r="D29" s="21"/>
      <c r="E29" s="6"/>
      <c r="F29" s="16" t="str">
        <f>IFERROR(VLOOKUP($E29,設定!$C:$F,2,0),"")</f>
        <v/>
      </c>
      <c r="G29" s="156" t="str">
        <f>IFERROR(VLOOKUP($E29,設定!$C:$F,3,0),"")</f>
        <v/>
      </c>
      <c r="H29" s="131" t="str">
        <f>IFERROR(VLOOKUP($E29,設定!$C:$F,4,0),"")</f>
        <v/>
      </c>
      <c r="I29" s="402"/>
      <c r="J29" s="8"/>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10"/>
      <c r="AO29" s="65">
        <f t="shared" si="0"/>
        <v>0</v>
      </c>
    </row>
    <row r="30" spans="2:41" s="4" customFormat="1" ht="24" customHeight="1" x14ac:dyDescent="0.2">
      <c r="B30" s="14"/>
      <c r="C30" s="23"/>
      <c r="D30" s="21"/>
      <c r="E30" s="6"/>
      <c r="F30" s="16" t="str">
        <f>IFERROR(VLOOKUP($E30,設定!$C:$F,2,0),"")</f>
        <v/>
      </c>
      <c r="G30" s="156" t="str">
        <f>IFERROR(VLOOKUP($E30,設定!$C:$F,3,0),"")</f>
        <v/>
      </c>
      <c r="H30" s="131" t="str">
        <f>IFERROR(VLOOKUP($E30,設定!$C:$F,4,0),"")</f>
        <v/>
      </c>
      <c r="I30" s="402"/>
      <c r="J30" s="8"/>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10"/>
      <c r="AO30" s="65">
        <f t="shared" si="0"/>
        <v>0</v>
      </c>
    </row>
    <row r="31" spans="2:41" s="4" customFormat="1" ht="24" customHeight="1" x14ac:dyDescent="0.2">
      <c r="B31" s="14"/>
      <c r="C31" s="23"/>
      <c r="D31" s="21"/>
      <c r="E31" s="6"/>
      <c r="F31" s="16" t="str">
        <f>IFERROR(VLOOKUP($E31,設定!$C:$F,2,0),"")</f>
        <v/>
      </c>
      <c r="G31" s="156" t="str">
        <f>IFERROR(VLOOKUP($E31,設定!$C:$F,3,0),"")</f>
        <v/>
      </c>
      <c r="H31" s="131" t="str">
        <f>IFERROR(VLOOKUP($E31,設定!$C:$F,4,0),"")</f>
        <v/>
      </c>
      <c r="I31" s="402"/>
      <c r="J31" s="8"/>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10"/>
      <c r="AO31" s="65">
        <f t="shared" si="0"/>
        <v>0</v>
      </c>
    </row>
    <row r="32" spans="2:41" s="4" customFormat="1" ht="24" customHeight="1" x14ac:dyDescent="0.2">
      <c r="B32" s="14"/>
      <c r="C32" s="23"/>
      <c r="D32" s="21"/>
      <c r="E32" s="6"/>
      <c r="F32" s="16" t="str">
        <f>IFERROR(VLOOKUP($E32,設定!$C:$F,2,0),"")</f>
        <v/>
      </c>
      <c r="G32" s="156" t="str">
        <f>IFERROR(VLOOKUP($E32,設定!$C:$F,3,0),"")</f>
        <v/>
      </c>
      <c r="H32" s="131" t="str">
        <f>IFERROR(VLOOKUP($E32,設定!$C:$F,4,0),"")</f>
        <v/>
      </c>
      <c r="I32" s="402"/>
      <c r="J32" s="8"/>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10"/>
      <c r="AO32" s="65">
        <f t="shared" si="0"/>
        <v>0</v>
      </c>
    </row>
    <row r="33" spans="2:41" s="4" customFormat="1" ht="24" customHeight="1" x14ac:dyDescent="0.2">
      <c r="B33" s="14"/>
      <c r="C33" s="23"/>
      <c r="D33" s="21"/>
      <c r="E33" s="6"/>
      <c r="F33" s="16" t="str">
        <f>IFERROR(VLOOKUP($E33,設定!$C:$F,2,0),"")</f>
        <v/>
      </c>
      <c r="G33" s="156" t="str">
        <f>IFERROR(VLOOKUP($E33,設定!$C:$F,3,0),"")</f>
        <v/>
      </c>
      <c r="H33" s="131" t="str">
        <f>IFERROR(VLOOKUP($E33,設定!$C:$F,4,0),"")</f>
        <v/>
      </c>
      <c r="I33" s="402"/>
      <c r="J33" s="8"/>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10"/>
      <c r="AO33" s="65">
        <f t="shared" si="0"/>
        <v>0</v>
      </c>
    </row>
    <row r="34" spans="2:41" s="4" customFormat="1" ht="24" customHeight="1" x14ac:dyDescent="0.2">
      <c r="B34" s="14"/>
      <c r="C34" s="23"/>
      <c r="D34" s="21"/>
      <c r="E34" s="6"/>
      <c r="F34" s="16" t="str">
        <f>IFERROR(VLOOKUP($E34,設定!$C:$F,2,0),"")</f>
        <v/>
      </c>
      <c r="G34" s="156" t="str">
        <f>IFERROR(VLOOKUP($E34,設定!$C:$F,3,0),"")</f>
        <v/>
      </c>
      <c r="H34" s="131" t="str">
        <f>IFERROR(VLOOKUP($E34,設定!$C:$F,4,0),"")</f>
        <v/>
      </c>
      <c r="I34" s="402"/>
      <c r="J34" s="8"/>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10"/>
      <c r="AO34" s="65">
        <f t="shared" si="0"/>
        <v>0</v>
      </c>
    </row>
    <row r="35" spans="2:41" s="4" customFormat="1" ht="24" customHeight="1" x14ac:dyDescent="0.2">
      <c r="B35" s="14"/>
      <c r="C35" s="23"/>
      <c r="D35" s="21"/>
      <c r="E35" s="6"/>
      <c r="F35" s="16" t="str">
        <f>IFERROR(VLOOKUP($E35,設定!$C:$F,2,0),"")</f>
        <v/>
      </c>
      <c r="G35" s="156" t="str">
        <f>IFERROR(VLOOKUP($E35,設定!$C:$F,3,0),"")</f>
        <v/>
      </c>
      <c r="H35" s="131" t="str">
        <f>IFERROR(VLOOKUP($E35,設定!$C:$F,4,0),"")</f>
        <v/>
      </c>
      <c r="I35" s="402"/>
      <c r="J35" s="8"/>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10"/>
      <c r="AO35" s="65">
        <f t="shared" si="0"/>
        <v>0</v>
      </c>
    </row>
    <row r="36" spans="2:41" s="4" customFormat="1" ht="24" customHeight="1" x14ac:dyDescent="0.2">
      <c r="B36" s="14"/>
      <c r="C36" s="23"/>
      <c r="D36" s="21"/>
      <c r="E36" s="6"/>
      <c r="F36" s="16" t="str">
        <f>IFERROR(VLOOKUP($E36,設定!$C:$F,2,0),"")</f>
        <v/>
      </c>
      <c r="G36" s="156" t="str">
        <f>IFERROR(VLOOKUP($E36,設定!$C:$F,3,0),"")</f>
        <v/>
      </c>
      <c r="H36" s="131" t="str">
        <f>IFERROR(VLOOKUP($E36,設定!$C:$F,4,0),"")</f>
        <v/>
      </c>
      <c r="I36" s="402"/>
      <c r="J36" s="8"/>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10"/>
      <c r="AO36" s="65">
        <f t="shared" si="0"/>
        <v>0</v>
      </c>
    </row>
    <row r="37" spans="2:41" s="4" customFormat="1" ht="24" customHeight="1" x14ac:dyDescent="0.2">
      <c r="B37" s="14"/>
      <c r="C37" s="23"/>
      <c r="D37" s="21"/>
      <c r="E37" s="6"/>
      <c r="F37" s="16" t="str">
        <f>IFERROR(VLOOKUP($E37,設定!$C:$F,2,0),"")</f>
        <v/>
      </c>
      <c r="G37" s="156" t="str">
        <f>IFERROR(VLOOKUP($E37,設定!$C:$F,3,0),"")</f>
        <v/>
      </c>
      <c r="H37" s="131" t="str">
        <f>IFERROR(VLOOKUP($E37,設定!$C:$F,4,0),"")</f>
        <v/>
      </c>
      <c r="I37" s="402"/>
      <c r="J37" s="8"/>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10"/>
      <c r="AO37" s="65">
        <f t="shared" si="0"/>
        <v>0</v>
      </c>
    </row>
    <row r="38" spans="2:41" s="4" customFormat="1" ht="24" customHeight="1" x14ac:dyDescent="0.2">
      <c r="B38" s="14"/>
      <c r="C38" s="23"/>
      <c r="D38" s="21"/>
      <c r="E38" s="6"/>
      <c r="F38" s="16" t="str">
        <f>IFERROR(VLOOKUP($E38,設定!$C:$F,2,0),"")</f>
        <v/>
      </c>
      <c r="G38" s="156" t="str">
        <f>IFERROR(VLOOKUP($E38,設定!$C:$F,3,0),"")</f>
        <v/>
      </c>
      <c r="H38" s="131" t="str">
        <f>IFERROR(VLOOKUP($E38,設定!$C:$F,4,0),"")</f>
        <v/>
      </c>
      <c r="I38" s="402"/>
      <c r="J38" s="8"/>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10"/>
      <c r="AO38" s="65">
        <f t="shared" si="0"/>
        <v>0</v>
      </c>
    </row>
    <row r="39" spans="2:41" s="4" customFormat="1" ht="24" customHeight="1" x14ac:dyDescent="0.2">
      <c r="B39" s="14"/>
      <c r="C39" s="23"/>
      <c r="D39" s="21"/>
      <c r="E39" s="6"/>
      <c r="F39" s="16" t="str">
        <f>IFERROR(VLOOKUP($E39,設定!$C:$F,2,0),"")</f>
        <v/>
      </c>
      <c r="G39" s="156" t="str">
        <f>IFERROR(VLOOKUP($E39,設定!$C:$F,3,0),"")</f>
        <v/>
      </c>
      <c r="H39" s="131" t="str">
        <f>IFERROR(VLOOKUP($E39,設定!$C:$F,4,0),"")</f>
        <v/>
      </c>
      <c r="I39" s="402"/>
      <c r="J39" s="8"/>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10"/>
      <c r="AO39" s="65">
        <f t="shared" si="0"/>
        <v>0</v>
      </c>
    </row>
    <row r="40" spans="2:41" s="4" customFormat="1" ht="24" customHeight="1" x14ac:dyDescent="0.2">
      <c r="B40" s="14"/>
      <c r="C40" s="23"/>
      <c r="D40" s="21"/>
      <c r="E40" s="6"/>
      <c r="F40" s="16" t="str">
        <f>IFERROR(VLOOKUP($E40,設定!$C:$F,2,0),"")</f>
        <v/>
      </c>
      <c r="G40" s="156" t="str">
        <f>IFERROR(VLOOKUP($E40,設定!$C:$F,3,0),"")</f>
        <v/>
      </c>
      <c r="H40" s="131" t="str">
        <f>IFERROR(VLOOKUP($E40,設定!$C:$F,4,0),"")</f>
        <v/>
      </c>
      <c r="I40" s="402"/>
      <c r="J40" s="8"/>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10"/>
      <c r="AO40" s="65">
        <f t="shared" si="0"/>
        <v>0</v>
      </c>
    </row>
    <row r="41" spans="2:41" s="4" customFormat="1" ht="24" customHeight="1" x14ac:dyDescent="0.2">
      <c r="B41" s="14"/>
      <c r="C41" s="23"/>
      <c r="D41" s="21"/>
      <c r="E41" s="6"/>
      <c r="F41" s="16" t="str">
        <f>IFERROR(VLOOKUP($E41,設定!$C:$F,2,0),"")</f>
        <v/>
      </c>
      <c r="G41" s="156" t="str">
        <f>IFERROR(VLOOKUP($E41,設定!$C:$F,3,0),"")</f>
        <v/>
      </c>
      <c r="H41" s="131" t="str">
        <f>IFERROR(VLOOKUP($E41,設定!$C:$F,4,0),"")</f>
        <v/>
      </c>
      <c r="I41" s="402"/>
      <c r="J41" s="8"/>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10"/>
      <c r="AO41" s="65">
        <f t="shared" si="0"/>
        <v>0</v>
      </c>
    </row>
    <row r="42" spans="2:41" s="4" customFormat="1" ht="24" customHeight="1" x14ac:dyDescent="0.2">
      <c r="B42" s="14"/>
      <c r="C42" s="23"/>
      <c r="D42" s="21"/>
      <c r="E42" s="6"/>
      <c r="F42" s="16" t="str">
        <f>IFERROR(VLOOKUP($E42,設定!$C:$F,2,0),"")</f>
        <v/>
      </c>
      <c r="G42" s="156" t="str">
        <f>IFERROR(VLOOKUP($E42,設定!$C:$F,3,0),"")</f>
        <v/>
      </c>
      <c r="H42" s="131" t="str">
        <f>IFERROR(VLOOKUP($E42,設定!$C:$F,4,0),"")</f>
        <v/>
      </c>
      <c r="I42" s="402"/>
      <c r="J42" s="8"/>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10"/>
      <c r="AO42" s="65">
        <f t="shared" si="0"/>
        <v>0</v>
      </c>
    </row>
    <row r="43" spans="2:41" s="4" customFormat="1" ht="24" customHeight="1" x14ac:dyDescent="0.2">
      <c r="B43" s="14"/>
      <c r="C43" s="23"/>
      <c r="D43" s="21"/>
      <c r="E43" s="6"/>
      <c r="F43" s="16" t="str">
        <f>IFERROR(VLOOKUP($E43,設定!$C:$F,2,0),"")</f>
        <v/>
      </c>
      <c r="G43" s="156" t="str">
        <f>IFERROR(VLOOKUP($E43,設定!$C:$F,3,0),"")</f>
        <v/>
      </c>
      <c r="H43" s="131" t="str">
        <f>IFERROR(VLOOKUP($E43,設定!$C:$F,4,0),"")</f>
        <v/>
      </c>
      <c r="I43" s="402"/>
      <c r="J43" s="8"/>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10"/>
      <c r="AO43" s="65">
        <f t="shared" si="0"/>
        <v>0</v>
      </c>
    </row>
    <row r="44" spans="2:41" s="4" customFormat="1" ht="24" customHeight="1" x14ac:dyDescent="0.2">
      <c r="B44" s="14"/>
      <c r="C44" s="23"/>
      <c r="D44" s="21"/>
      <c r="E44" s="6"/>
      <c r="F44" s="16" t="str">
        <f>IFERROR(VLOOKUP($E44,設定!$C:$F,2,0),"")</f>
        <v/>
      </c>
      <c r="G44" s="156" t="str">
        <f>IFERROR(VLOOKUP($E44,設定!$C:$F,3,0),"")</f>
        <v/>
      </c>
      <c r="H44" s="131" t="str">
        <f>IFERROR(VLOOKUP($E44,設定!$C:$F,4,0),"")</f>
        <v/>
      </c>
      <c r="I44" s="402"/>
      <c r="J44" s="8"/>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10"/>
      <c r="AO44" s="65">
        <f t="shared" si="0"/>
        <v>0</v>
      </c>
    </row>
    <row r="45" spans="2:41" s="4" customFormat="1" ht="24" customHeight="1" x14ac:dyDescent="0.2">
      <c r="B45" s="14"/>
      <c r="C45" s="23"/>
      <c r="D45" s="21"/>
      <c r="E45" s="6"/>
      <c r="F45" s="16" t="str">
        <f>IFERROR(VLOOKUP($E45,設定!$C:$F,2,0),"")</f>
        <v/>
      </c>
      <c r="G45" s="156" t="str">
        <f>IFERROR(VLOOKUP($E45,設定!$C:$F,3,0),"")</f>
        <v/>
      </c>
      <c r="H45" s="131" t="str">
        <f>IFERROR(VLOOKUP($E45,設定!$C:$F,4,0),"")</f>
        <v/>
      </c>
      <c r="I45" s="402"/>
      <c r="J45" s="8"/>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10"/>
      <c r="AO45" s="65">
        <f t="shared" si="0"/>
        <v>0</v>
      </c>
    </row>
    <row r="46" spans="2:41" s="4" customFormat="1" ht="24" customHeight="1" x14ac:dyDescent="0.2">
      <c r="B46" s="14"/>
      <c r="C46" s="23"/>
      <c r="D46" s="21"/>
      <c r="E46" s="6"/>
      <c r="F46" s="16" t="str">
        <f>IFERROR(VLOOKUP($E46,設定!$C:$F,2,0),"")</f>
        <v/>
      </c>
      <c r="G46" s="156" t="str">
        <f>IFERROR(VLOOKUP($E46,設定!$C:$F,3,0),"")</f>
        <v/>
      </c>
      <c r="H46" s="131" t="str">
        <f>IFERROR(VLOOKUP($E46,設定!$C:$F,4,0),"")</f>
        <v/>
      </c>
      <c r="I46" s="402"/>
      <c r="J46" s="8"/>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10"/>
      <c r="AO46" s="65">
        <f t="shared" si="0"/>
        <v>0</v>
      </c>
    </row>
    <row r="47" spans="2:41" s="4" customFormat="1" ht="24" customHeight="1" x14ac:dyDescent="0.2">
      <c r="B47" s="14"/>
      <c r="C47" s="23"/>
      <c r="D47" s="21"/>
      <c r="E47" s="6"/>
      <c r="F47" s="16" t="str">
        <f>IFERROR(VLOOKUP($E47,設定!$C:$F,2,0),"")</f>
        <v/>
      </c>
      <c r="G47" s="156" t="str">
        <f>IFERROR(VLOOKUP($E47,設定!$C:$F,3,0),"")</f>
        <v/>
      </c>
      <c r="H47" s="131" t="str">
        <f>IFERROR(VLOOKUP($E47,設定!$C:$F,4,0),"")</f>
        <v/>
      </c>
      <c r="I47" s="402"/>
      <c r="J47" s="8"/>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10"/>
      <c r="AO47" s="65">
        <f t="shared" si="0"/>
        <v>0</v>
      </c>
    </row>
    <row r="48" spans="2:41" s="4" customFormat="1" ht="24" customHeight="1" x14ac:dyDescent="0.2">
      <c r="B48" s="14"/>
      <c r="C48" s="23"/>
      <c r="D48" s="21"/>
      <c r="E48" s="6"/>
      <c r="F48" s="16" t="str">
        <f>IFERROR(VLOOKUP($E48,設定!$C:$F,2,0),"")</f>
        <v/>
      </c>
      <c r="G48" s="156" t="str">
        <f>IFERROR(VLOOKUP($E48,設定!$C:$F,3,0),"")</f>
        <v/>
      </c>
      <c r="H48" s="131" t="str">
        <f>IFERROR(VLOOKUP($E48,設定!$C:$F,4,0),"")</f>
        <v/>
      </c>
      <c r="I48" s="402"/>
      <c r="J48" s="8"/>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10"/>
      <c r="AO48" s="65">
        <f t="shared" si="0"/>
        <v>0</v>
      </c>
    </row>
    <row r="49" spans="2:41" s="4" customFormat="1" ht="24" customHeight="1" x14ac:dyDescent="0.2">
      <c r="B49" s="14"/>
      <c r="C49" s="23"/>
      <c r="D49" s="21"/>
      <c r="E49" s="6"/>
      <c r="F49" s="16" t="str">
        <f>IFERROR(VLOOKUP($E49,設定!$C:$F,2,0),"")</f>
        <v/>
      </c>
      <c r="G49" s="156" t="str">
        <f>IFERROR(VLOOKUP($E49,設定!$C:$F,3,0),"")</f>
        <v/>
      </c>
      <c r="H49" s="131" t="str">
        <f>IFERROR(VLOOKUP($E49,設定!$C:$F,4,0),"")</f>
        <v/>
      </c>
      <c r="I49" s="402"/>
      <c r="J49" s="8"/>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10"/>
      <c r="AO49" s="65">
        <f t="shared" si="0"/>
        <v>0</v>
      </c>
    </row>
    <row r="50" spans="2:41" s="4" customFormat="1" ht="24" customHeight="1" x14ac:dyDescent="0.2">
      <c r="B50" s="14"/>
      <c r="C50" s="23"/>
      <c r="D50" s="21"/>
      <c r="E50" s="6"/>
      <c r="F50" s="16" t="str">
        <f>IFERROR(VLOOKUP($E50,設定!$C:$F,2,0),"")</f>
        <v/>
      </c>
      <c r="G50" s="156" t="str">
        <f>IFERROR(VLOOKUP($E50,設定!$C:$F,3,0),"")</f>
        <v/>
      </c>
      <c r="H50" s="131" t="str">
        <f>IFERROR(VLOOKUP($E50,設定!$C:$F,4,0),"")</f>
        <v/>
      </c>
      <c r="I50" s="402"/>
      <c r="J50" s="8"/>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10"/>
      <c r="AO50" s="65">
        <f t="shared" si="0"/>
        <v>0</v>
      </c>
    </row>
    <row r="51" spans="2:41" s="4" customFormat="1" ht="24" customHeight="1" x14ac:dyDescent="0.2">
      <c r="B51" s="14"/>
      <c r="C51" s="23"/>
      <c r="D51" s="21"/>
      <c r="E51" s="6"/>
      <c r="F51" s="16" t="str">
        <f>IFERROR(VLOOKUP($E51,設定!$C:$F,2,0),"")</f>
        <v/>
      </c>
      <c r="G51" s="156" t="str">
        <f>IFERROR(VLOOKUP($E51,設定!$C:$F,3,0),"")</f>
        <v/>
      </c>
      <c r="H51" s="131" t="str">
        <f>IFERROR(VLOOKUP($E51,設定!$C:$F,4,0),"")</f>
        <v/>
      </c>
      <c r="I51" s="402"/>
      <c r="J51" s="8"/>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10"/>
      <c r="AO51" s="65">
        <f t="shared" si="0"/>
        <v>0</v>
      </c>
    </row>
    <row r="52" spans="2:41" s="4" customFormat="1" ht="24" customHeight="1" x14ac:dyDescent="0.2">
      <c r="B52" s="14"/>
      <c r="C52" s="23"/>
      <c r="D52" s="21"/>
      <c r="E52" s="6"/>
      <c r="F52" s="16" t="str">
        <f>IFERROR(VLOOKUP($E52,設定!$C:$F,2,0),"")</f>
        <v/>
      </c>
      <c r="G52" s="156" t="str">
        <f>IFERROR(VLOOKUP($E52,設定!$C:$F,3,0),"")</f>
        <v/>
      </c>
      <c r="H52" s="131" t="str">
        <f>IFERROR(VLOOKUP($E52,設定!$C:$F,4,0),"")</f>
        <v/>
      </c>
      <c r="I52" s="402"/>
      <c r="J52" s="8"/>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10"/>
      <c r="AO52" s="65">
        <f t="shared" si="0"/>
        <v>0</v>
      </c>
    </row>
    <row r="53" spans="2:41" s="4" customFormat="1" ht="24" customHeight="1" x14ac:dyDescent="0.2">
      <c r="B53" s="14"/>
      <c r="C53" s="23"/>
      <c r="D53" s="21"/>
      <c r="E53" s="6"/>
      <c r="F53" s="16" t="str">
        <f>IFERROR(VLOOKUP($E53,設定!$C:$F,2,0),"")</f>
        <v/>
      </c>
      <c r="G53" s="156" t="str">
        <f>IFERROR(VLOOKUP($E53,設定!$C:$F,3,0),"")</f>
        <v/>
      </c>
      <c r="H53" s="131" t="str">
        <f>IFERROR(VLOOKUP($E53,設定!$C:$F,4,0),"")</f>
        <v/>
      </c>
      <c r="I53" s="402"/>
      <c r="J53" s="8"/>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10"/>
      <c r="AO53" s="65">
        <f t="shared" si="0"/>
        <v>0</v>
      </c>
    </row>
    <row r="54" spans="2:41" s="4" customFormat="1" ht="24" customHeight="1" x14ac:dyDescent="0.2">
      <c r="B54" s="14"/>
      <c r="C54" s="23"/>
      <c r="D54" s="21"/>
      <c r="E54" s="6"/>
      <c r="F54" s="16" t="str">
        <f>IFERROR(VLOOKUP($E54,設定!$C:$F,2,0),"")</f>
        <v/>
      </c>
      <c r="G54" s="156" t="str">
        <f>IFERROR(VLOOKUP($E54,設定!$C:$F,3,0),"")</f>
        <v/>
      </c>
      <c r="H54" s="131" t="str">
        <f>IFERROR(VLOOKUP($E54,設定!$C:$F,4,0),"")</f>
        <v/>
      </c>
      <c r="I54" s="402"/>
      <c r="J54" s="8"/>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10"/>
      <c r="AO54" s="65">
        <f t="shared" si="0"/>
        <v>0</v>
      </c>
    </row>
    <row r="55" spans="2:41" s="4" customFormat="1" ht="24" customHeight="1" x14ac:dyDescent="0.2">
      <c r="B55" s="14"/>
      <c r="C55" s="23"/>
      <c r="D55" s="21"/>
      <c r="E55" s="6"/>
      <c r="F55" s="16" t="str">
        <f>IFERROR(VLOOKUP($E55,設定!$C:$F,2,0),"")</f>
        <v/>
      </c>
      <c r="G55" s="156" t="str">
        <f>IFERROR(VLOOKUP($E55,設定!$C:$F,3,0),"")</f>
        <v/>
      </c>
      <c r="H55" s="131" t="str">
        <f>IFERROR(VLOOKUP($E55,設定!$C:$F,4,0),"")</f>
        <v/>
      </c>
      <c r="I55" s="402"/>
      <c r="J55" s="8"/>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10"/>
      <c r="AO55" s="65">
        <f t="shared" si="0"/>
        <v>0</v>
      </c>
    </row>
    <row r="56" spans="2:41" s="4" customFormat="1" ht="24" customHeight="1" x14ac:dyDescent="0.2">
      <c r="B56" s="14"/>
      <c r="C56" s="23"/>
      <c r="D56" s="21"/>
      <c r="E56" s="6"/>
      <c r="F56" s="16" t="str">
        <f>IFERROR(VLOOKUP($E56,設定!$C:$F,2,0),"")</f>
        <v/>
      </c>
      <c r="G56" s="156" t="str">
        <f>IFERROR(VLOOKUP($E56,設定!$C:$F,3,0),"")</f>
        <v/>
      </c>
      <c r="H56" s="131" t="str">
        <f>IFERROR(VLOOKUP($E56,設定!$C:$F,4,0),"")</f>
        <v/>
      </c>
      <c r="I56" s="402"/>
      <c r="J56" s="8"/>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10"/>
      <c r="AO56" s="65">
        <f t="shared" si="0"/>
        <v>0</v>
      </c>
    </row>
    <row r="57" spans="2:41" s="4" customFormat="1" ht="24" customHeight="1" x14ac:dyDescent="0.2">
      <c r="B57" s="14"/>
      <c r="C57" s="23"/>
      <c r="D57" s="21"/>
      <c r="E57" s="6"/>
      <c r="F57" s="16" t="str">
        <f>IFERROR(VLOOKUP($E57,設定!$C:$F,2,0),"")</f>
        <v/>
      </c>
      <c r="G57" s="156" t="str">
        <f>IFERROR(VLOOKUP($E57,設定!$C:$F,3,0),"")</f>
        <v/>
      </c>
      <c r="H57" s="131" t="str">
        <f>IFERROR(VLOOKUP($E57,設定!$C:$F,4,0),"")</f>
        <v/>
      </c>
      <c r="I57" s="402"/>
      <c r="J57" s="8"/>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10"/>
      <c r="AO57" s="65">
        <f t="shared" si="0"/>
        <v>0</v>
      </c>
    </row>
    <row r="58" spans="2:41" s="4" customFormat="1" ht="24" customHeight="1" x14ac:dyDescent="0.2">
      <c r="B58" s="14"/>
      <c r="C58" s="23"/>
      <c r="D58" s="21"/>
      <c r="E58" s="6"/>
      <c r="F58" s="16" t="str">
        <f>IFERROR(VLOOKUP($E58,設定!$C:$F,2,0),"")</f>
        <v/>
      </c>
      <c r="G58" s="156" t="str">
        <f>IFERROR(VLOOKUP($E58,設定!$C:$F,3,0),"")</f>
        <v/>
      </c>
      <c r="H58" s="131" t="str">
        <f>IFERROR(VLOOKUP($E58,設定!$C:$F,4,0),"")</f>
        <v/>
      </c>
      <c r="I58" s="402"/>
      <c r="J58" s="8"/>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10"/>
      <c r="AO58" s="65">
        <f t="shared" si="0"/>
        <v>0</v>
      </c>
    </row>
    <row r="59" spans="2:41" s="4" customFormat="1" ht="24" customHeight="1" x14ac:dyDescent="0.2">
      <c r="B59" s="14"/>
      <c r="C59" s="23"/>
      <c r="D59" s="21"/>
      <c r="E59" s="6"/>
      <c r="F59" s="16" t="str">
        <f>IFERROR(VLOOKUP($E59,設定!$C:$F,2,0),"")</f>
        <v/>
      </c>
      <c r="G59" s="156" t="str">
        <f>IFERROR(VLOOKUP($E59,設定!$C:$F,3,0),"")</f>
        <v/>
      </c>
      <c r="H59" s="131" t="str">
        <f>IFERROR(VLOOKUP($E59,設定!$C:$F,4,0),"")</f>
        <v/>
      </c>
      <c r="I59" s="402"/>
      <c r="J59" s="8"/>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10"/>
      <c r="AO59" s="65">
        <f t="shared" si="0"/>
        <v>0</v>
      </c>
    </row>
    <row r="60" spans="2:41" s="4" customFormat="1" ht="24" customHeight="1" x14ac:dyDescent="0.2">
      <c r="B60" s="14"/>
      <c r="C60" s="23"/>
      <c r="D60" s="21"/>
      <c r="E60" s="6"/>
      <c r="F60" s="16" t="str">
        <f>IFERROR(VLOOKUP($E60,設定!$C:$F,2,0),"")</f>
        <v/>
      </c>
      <c r="G60" s="156" t="str">
        <f>IFERROR(VLOOKUP($E60,設定!$C:$F,3,0),"")</f>
        <v/>
      </c>
      <c r="H60" s="131" t="str">
        <f>IFERROR(VLOOKUP($E60,設定!$C:$F,4,0),"")</f>
        <v/>
      </c>
      <c r="I60" s="402"/>
      <c r="J60" s="8"/>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10"/>
      <c r="AO60" s="65">
        <f t="shared" si="0"/>
        <v>0</v>
      </c>
    </row>
    <row r="61" spans="2:41" s="4" customFormat="1" ht="24" customHeight="1" x14ac:dyDescent="0.2">
      <c r="B61" s="14"/>
      <c r="C61" s="23"/>
      <c r="D61" s="21"/>
      <c r="E61" s="6"/>
      <c r="F61" s="16" t="str">
        <f>IFERROR(VLOOKUP($E61,設定!$C:$F,2,0),"")</f>
        <v/>
      </c>
      <c r="G61" s="156" t="str">
        <f>IFERROR(VLOOKUP($E61,設定!$C:$F,3,0),"")</f>
        <v/>
      </c>
      <c r="H61" s="131" t="str">
        <f>IFERROR(VLOOKUP($E61,設定!$C:$F,4,0),"")</f>
        <v/>
      </c>
      <c r="I61" s="402"/>
      <c r="J61" s="8"/>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10"/>
      <c r="AO61" s="65">
        <f t="shared" si="0"/>
        <v>0</v>
      </c>
    </row>
    <row r="62" spans="2:41" s="4" customFormat="1" ht="24" customHeight="1" x14ac:dyDescent="0.2">
      <c r="B62" s="14"/>
      <c r="C62" s="23"/>
      <c r="D62" s="21"/>
      <c r="E62" s="6"/>
      <c r="F62" s="16" t="str">
        <f>IFERROR(VLOOKUP($E62,設定!$C:$F,2,0),"")</f>
        <v/>
      </c>
      <c r="G62" s="156" t="str">
        <f>IFERROR(VLOOKUP($E62,設定!$C:$F,3,0),"")</f>
        <v/>
      </c>
      <c r="H62" s="131" t="str">
        <f>IFERROR(VLOOKUP($E62,設定!$C:$F,4,0),"")</f>
        <v/>
      </c>
      <c r="I62" s="402"/>
      <c r="J62" s="8"/>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10"/>
      <c r="AO62" s="65">
        <f t="shared" si="0"/>
        <v>0</v>
      </c>
    </row>
    <row r="63" spans="2:41" s="4" customFormat="1" ht="24" customHeight="1" x14ac:dyDescent="0.2">
      <c r="B63" s="14"/>
      <c r="C63" s="23"/>
      <c r="D63" s="21"/>
      <c r="E63" s="6"/>
      <c r="F63" s="16" t="str">
        <f>IFERROR(VLOOKUP($E63,設定!$C:$F,2,0),"")</f>
        <v/>
      </c>
      <c r="G63" s="156" t="str">
        <f>IFERROR(VLOOKUP($E63,設定!$C:$F,3,0),"")</f>
        <v/>
      </c>
      <c r="H63" s="131" t="str">
        <f>IFERROR(VLOOKUP($E63,設定!$C:$F,4,0),"")</f>
        <v/>
      </c>
      <c r="I63" s="402"/>
      <c r="J63" s="8"/>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10"/>
      <c r="AO63" s="65">
        <f t="shared" si="0"/>
        <v>0</v>
      </c>
    </row>
    <row r="64" spans="2:41" s="4" customFormat="1" ht="24" customHeight="1" x14ac:dyDescent="0.2">
      <c r="B64" s="14"/>
      <c r="C64" s="23"/>
      <c r="D64" s="21"/>
      <c r="E64" s="6"/>
      <c r="F64" s="16" t="str">
        <f>IFERROR(VLOOKUP($E64,設定!$C:$F,2,0),"")</f>
        <v/>
      </c>
      <c r="G64" s="156" t="str">
        <f>IFERROR(VLOOKUP($E64,設定!$C:$F,3,0),"")</f>
        <v/>
      </c>
      <c r="H64" s="131" t="str">
        <f>IFERROR(VLOOKUP($E64,設定!$C:$F,4,0),"")</f>
        <v/>
      </c>
      <c r="I64" s="402"/>
      <c r="J64" s="8"/>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10"/>
      <c r="AO64" s="65">
        <f t="shared" si="0"/>
        <v>0</v>
      </c>
    </row>
    <row r="65" spans="2:41" s="4" customFormat="1" ht="24" customHeight="1" x14ac:dyDescent="0.2">
      <c r="B65" s="14"/>
      <c r="C65" s="23"/>
      <c r="D65" s="21"/>
      <c r="E65" s="6"/>
      <c r="F65" s="16" t="str">
        <f>IFERROR(VLOOKUP($E65,設定!$C:$F,2,0),"")</f>
        <v/>
      </c>
      <c r="G65" s="156" t="str">
        <f>IFERROR(VLOOKUP($E65,設定!$C:$F,3,0),"")</f>
        <v/>
      </c>
      <c r="H65" s="131" t="str">
        <f>IFERROR(VLOOKUP($E65,設定!$C:$F,4,0),"")</f>
        <v/>
      </c>
      <c r="I65" s="402"/>
      <c r="J65" s="8"/>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10"/>
      <c r="AO65" s="65">
        <f t="shared" si="0"/>
        <v>0</v>
      </c>
    </row>
    <row r="66" spans="2:41" s="4" customFormat="1" ht="24" customHeight="1" x14ac:dyDescent="0.2">
      <c r="B66" s="14"/>
      <c r="C66" s="23"/>
      <c r="D66" s="21"/>
      <c r="E66" s="6"/>
      <c r="F66" s="16" t="str">
        <f>IFERROR(VLOOKUP($E66,設定!$C:$F,2,0),"")</f>
        <v/>
      </c>
      <c r="G66" s="156" t="str">
        <f>IFERROR(VLOOKUP($E66,設定!$C:$F,3,0),"")</f>
        <v/>
      </c>
      <c r="H66" s="131" t="str">
        <f>IFERROR(VLOOKUP($E66,設定!$C:$F,4,0),"")</f>
        <v/>
      </c>
      <c r="I66" s="402"/>
      <c r="J66" s="8"/>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10"/>
      <c r="AO66" s="65">
        <f t="shared" si="0"/>
        <v>0</v>
      </c>
    </row>
    <row r="67" spans="2:41" s="4" customFormat="1" ht="24" customHeight="1" x14ac:dyDescent="0.2">
      <c r="B67" s="14"/>
      <c r="C67" s="23"/>
      <c r="D67" s="21"/>
      <c r="E67" s="6"/>
      <c r="F67" s="16" t="str">
        <f>IFERROR(VLOOKUP($E67,設定!$C:$F,2,0),"")</f>
        <v/>
      </c>
      <c r="G67" s="156" t="str">
        <f>IFERROR(VLOOKUP($E67,設定!$C:$F,3,0),"")</f>
        <v/>
      </c>
      <c r="H67" s="131" t="str">
        <f>IFERROR(VLOOKUP($E67,設定!$C:$F,4,0),"")</f>
        <v/>
      </c>
      <c r="I67" s="402"/>
      <c r="J67" s="8"/>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10"/>
      <c r="AO67" s="65">
        <f t="shared" si="0"/>
        <v>0</v>
      </c>
    </row>
    <row r="68" spans="2:41" s="4" customFormat="1" ht="24" customHeight="1" x14ac:dyDescent="0.2">
      <c r="B68" s="14"/>
      <c r="C68" s="23"/>
      <c r="D68" s="21"/>
      <c r="E68" s="6"/>
      <c r="F68" s="16" t="str">
        <f>IFERROR(VLOOKUP($E68,設定!$C:$F,2,0),"")</f>
        <v/>
      </c>
      <c r="G68" s="156" t="str">
        <f>IFERROR(VLOOKUP($E68,設定!$C:$F,3,0),"")</f>
        <v/>
      </c>
      <c r="H68" s="131" t="str">
        <f>IFERROR(VLOOKUP($E68,設定!$C:$F,4,0),"")</f>
        <v/>
      </c>
      <c r="I68" s="402"/>
      <c r="J68" s="8"/>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10"/>
      <c r="AO68" s="65">
        <f t="shared" si="0"/>
        <v>0</v>
      </c>
    </row>
    <row r="69" spans="2:41" s="4" customFormat="1" ht="24" customHeight="1" x14ac:dyDescent="0.2">
      <c r="B69" s="14"/>
      <c r="C69" s="23"/>
      <c r="D69" s="21"/>
      <c r="E69" s="6"/>
      <c r="F69" s="16" t="str">
        <f>IFERROR(VLOOKUP($E69,設定!$C:$F,2,0),"")</f>
        <v/>
      </c>
      <c r="G69" s="156" t="str">
        <f>IFERROR(VLOOKUP($E69,設定!$C:$F,3,0),"")</f>
        <v/>
      </c>
      <c r="H69" s="131" t="str">
        <f>IFERROR(VLOOKUP($E69,設定!$C:$F,4,0),"")</f>
        <v/>
      </c>
      <c r="I69" s="402"/>
      <c r="J69" s="8"/>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10"/>
      <c r="AO69" s="65">
        <f t="shared" si="0"/>
        <v>0</v>
      </c>
    </row>
    <row r="70" spans="2:41" s="4" customFormat="1" ht="24" customHeight="1" x14ac:dyDescent="0.2">
      <c r="B70" s="14"/>
      <c r="C70" s="23"/>
      <c r="D70" s="21"/>
      <c r="E70" s="6"/>
      <c r="F70" s="16" t="str">
        <f>IFERROR(VLOOKUP($E70,設定!$C:$F,2,0),"")</f>
        <v/>
      </c>
      <c r="G70" s="156" t="str">
        <f>IFERROR(VLOOKUP($E70,設定!$C:$F,3,0),"")</f>
        <v/>
      </c>
      <c r="H70" s="131" t="str">
        <f>IFERROR(VLOOKUP($E70,設定!$C:$F,4,0),"")</f>
        <v/>
      </c>
      <c r="I70" s="402"/>
      <c r="J70" s="8"/>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10"/>
      <c r="AO70" s="65">
        <f t="shared" si="0"/>
        <v>0</v>
      </c>
    </row>
    <row r="71" spans="2:41" s="4" customFormat="1" ht="24" customHeight="1" x14ac:dyDescent="0.2">
      <c r="B71" s="14"/>
      <c r="C71" s="23"/>
      <c r="D71" s="21"/>
      <c r="E71" s="6"/>
      <c r="F71" s="16" t="str">
        <f>IFERROR(VLOOKUP($E71,設定!$C:$F,2,0),"")</f>
        <v/>
      </c>
      <c r="G71" s="156" t="str">
        <f>IFERROR(VLOOKUP($E71,設定!$C:$F,3,0),"")</f>
        <v/>
      </c>
      <c r="H71" s="131" t="str">
        <f>IFERROR(VLOOKUP($E71,設定!$C:$F,4,0),"")</f>
        <v/>
      </c>
      <c r="I71" s="402"/>
      <c r="J71" s="8"/>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10"/>
      <c r="AO71" s="65">
        <f t="shared" ref="AO71:AO134" si="2">I71*SUM(J71:AN71)</f>
        <v>0</v>
      </c>
    </row>
    <row r="72" spans="2:41" s="4" customFormat="1" ht="24" customHeight="1" x14ac:dyDescent="0.2">
      <c r="B72" s="14"/>
      <c r="C72" s="23"/>
      <c r="D72" s="21"/>
      <c r="E72" s="6"/>
      <c r="F72" s="16" t="str">
        <f>IFERROR(VLOOKUP($E72,設定!$C:$F,2,0),"")</f>
        <v/>
      </c>
      <c r="G72" s="156" t="str">
        <f>IFERROR(VLOOKUP($E72,設定!$C:$F,3,0),"")</f>
        <v/>
      </c>
      <c r="H72" s="131" t="str">
        <f>IFERROR(VLOOKUP($E72,設定!$C:$F,4,0),"")</f>
        <v/>
      </c>
      <c r="I72" s="402"/>
      <c r="J72" s="8"/>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10"/>
      <c r="AO72" s="65">
        <f t="shared" si="2"/>
        <v>0</v>
      </c>
    </row>
    <row r="73" spans="2:41" s="4" customFormat="1" ht="24" customHeight="1" x14ac:dyDescent="0.2">
      <c r="B73" s="14"/>
      <c r="C73" s="23"/>
      <c r="D73" s="21"/>
      <c r="E73" s="6"/>
      <c r="F73" s="16" t="str">
        <f>IFERROR(VLOOKUP($E73,設定!$C:$F,2,0),"")</f>
        <v/>
      </c>
      <c r="G73" s="156" t="str">
        <f>IFERROR(VLOOKUP($E73,設定!$C:$F,3,0),"")</f>
        <v/>
      </c>
      <c r="H73" s="131" t="str">
        <f>IFERROR(VLOOKUP($E73,設定!$C:$F,4,0),"")</f>
        <v/>
      </c>
      <c r="I73" s="402"/>
      <c r="J73" s="8"/>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10"/>
      <c r="AO73" s="65">
        <f t="shared" si="2"/>
        <v>0</v>
      </c>
    </row>
    <row r="74" spans="2:41" s="4" customFormat="1" ht="24" customHeight="1" x14ac:dyDescent="0.2">
      <c r="B74" s="14"/>
      <c r="C74" s="23"/>
      <c r="D74" s="21"/>
      <c r="E74" s="6"/>
      <c r="F74" s="16" t="str">
        <f>IFERROR(VLOOKUP($E74,設定!$C:$F,2,0),"")</f>
        <v/>
      </c>
      <c r="G74" s="156" t="str">
        <f>IFERROR(VLOOKUP($E74,設定!$C:$F,3,0),"")</f>
        <v/>
      </c>
      <c r="H74" s="131" t="str">
        <f>IFERROR(VLOOKUP($E74,設定!$C:$F,4,0),"")</f>
        <v/>
      </c>
      <c r="I74" s="402"/>
      <c r="J74" s="8"/>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10"/>
      <c r="AO74" s="65">
        <f t="shared" si="2"/>
        <v>0</v>
      </c>
    </row>
    <row r="75" spans="2:41" s="4" customFormat="1" ht="24" customHeight="1" x14ac:dyDescent="0.2">
      <c r="B75" s="14"/>
      <c r="C75" s="23"/>
      <c r="D75" s="21"/>
      <c r="E75" s="6"/>
      <c r="F75" s="16" t="str">
        <f>IFERROR(VLOOKUP($E75,設定!$C:$F,2,0),"")</f>
        <v/>
      </c>
      <c r="G75" s="156" t="str">
        <f>IFERROR(VLOOKUP($E75,設定!$C:$F,3,0),"")</f>
        <v/>
      </c>
      <c r="H75" s="131" t="str">
        <f>IFERROR(VLOOKUP($E75,設定!$C:$F,4,0),"")</f>
        <v/>
      </c>
      <c r="I75" s="402"/>
      <c r="J75" s="8"/>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10"/>
      <c r="AO75" s="65">
        <f t="shared" si="2"/>
        <v>0</v>
      </c>
    </row>
    <row r="76" spans="2:41" s="4" customFormat="1" ht="24" customHeight="1" x14ac:dyDescent="0.2">
      <c r="B76" s="14"/>
      <c r="C76" s="23"/>
      <c r="D76" s="21"/>
      <c r="E76" s="6"/>
      <c r="F76" s="16" t="str">
        <f>IFERROR(VLOOKUP($E76,設定!$C:$F,2,0),"")</f>
        <v/>
      </c>
      <c r="G76" s="156" t="str">
        <f>IFERROR(VLOOKUP($E76,設定!$C:$F,3,0),"")</f>
        <v/>
      </c>
      <c r="H76" s="131" t="str">
        <f>IFERROR(VLOOKUP($E76,設定!$C:$F,4,0),"")</f>
        <v/>
      </c>
      <c r="I76" s="402"/>
      <c r="J76" s="8"/>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10"/>
      <c r="AO76" s="65">
        <f t="shared" si="2"/>
        <v>0</v>
      </c>
    </row>
    <row r="77" spans="2:41" s="4" customFormat="1" ht="24" customHeight="1" x14ac:dyDescent="0.2">
      <c r="B77" s="14"/>
      <c r="C77" s="23"/>
      <c r="D77" s="21"/>
      <c r="E77" s="6"/>
      <c r="F77" s="16" t="str">
        <f>IFERROR(VLOOKUP($E77,設定!$C:$F,2,0),"")</f>
        <v/>
      </c>
      <c r="G77" s="156" t="str">
        <f>IFERROR(VLOOKUP($E77,設定!$C:$F,3,0),"")</f>
        <v/>
      </c>
      <c r="H77" s="131" t="str">
        <f>IFERROR(VLOOKUP($E77,設定!$C:$F,4,0),"")</f>
        <v/>
      </c>
      <c r="I77" s="402"/>
      <c r="J77" s="8"/>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10"/>
      <c r="AO77" s="65">
        <f t="shared" si="2"/>
        <v>0</v>
      </c>
    </row>
    <row r="78" spans="2:41" s="4" customFormat="1" ht="24" customHeight="1" x14ac:dyDescent="0.2">
      <c r="B78" s="14"/>
      <c r="C78" s="23"/>
      <c r="D78" s="21"/>
      <c r="E78" s="6"/>
      <c r="F78" s="16" t="str">
        <f>IFERROR(VLOOKUP($E78,設定!$C:$F,2,0),"")</f>
        <v/>
      </c>
      <c r="G78" s="156" t="str">
        <f>IFERROR(VLOOKUP($E78,設定!$C:$F,3,0),"")</f>
        <v/>
      </c>
      <c r="H78" s="131" t="str">
        <f>IFERROR(VLOOKUP($E78,設定!$C:$F,4,0),"")</f>
        <v/>
      </c>
      <c r="I78" s="402"/>
      <c r="J78" s="8"/>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10"/>
      <c r="AO78" s="65">
        <f t="shared" si="2"/>
        <v>0</v>
      </c>
    </row>
    <row r="79" spans="2:41" s="4" customFormat="1" ht="24" customHeight="1" x14ac:dyDescent="0.2">
      <c r="B79" s="14"/>
      <c r="C79" s="23"/>
      <c r="D79" s="21"/>
      <c r="E79" s="6"/>
      <c r="F79" s="16" t="str">
        <f>IFERROR(VLOOKUP($E79,設定!$C:$F,2,0),"")</f>
        <v/>
      </c>
      <c r="G79" s="156" t="str">
        <f>IFERROR(VLOOKUP($E79,設定!$C:$F,3,0),"")</f>
        <v/>
      </c>
      <c r="H79" s="131" t="str">
        <f>IFERROR(VLOOKUP($E79,設定!$C:$F,4,0),"")</f>
        <v/>
      </c>
      <c r="I79" s="402"/>
      <c r="J79" s="8"/>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10"/>
      <c r="AO79" s="65">
        <f t="shared" si="2"/>
        <v>0</v>
      </c>
    </row>
    <row r="80" spans="2:41" s="4" customFormat="1" ht="24" customHeight="1" x14ac:dyDescent="0.2">
      <c r="B80" s="14"/>
      <c r="C80" s="23"/>
      <c r="D80" s="21"/>
      <c r="E80" s="6"/>
      <c r="F80" s="16" t="str">
        <f>IFERROR(VLOOKUP($E80,設定!$C:$F,2,0),"")</f>
        <v/>
      </c>
      <c r="G80" s="156" t="str">
        <f>IFERROR(VLOOKUP($E80,設定!$C:$F,3,0),"")</f>
        <v/>
      </c>
      <c r="H80" s="131" t="str">
        <f>IFERROR(VLOOKUP($E80,設定!$C:$F,4,0),"")</f>
        <v/>
      </c>
      <c r="I80" s="402"/>
      <c r="J80" s="8"/>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10"/>
      <c r="AO80" s="65">
        <f t="shared" si="2"/>
        <v>0</v>
      </c>
    </row>
    <row r="81" spans="2:41" s="4" customFormat="1" ht="24" customHeight="1" x14ac:dyDescent="0.2">
      <c r="B81" s="14"/>
      <c r="C81" s="23"/>
      <c r="D81" s="21"/>
      <c r="E81" s="6"/>
      <c r="F81" s="16" t="str">
        <f>IFERROR(VLOOKUP($E81,設定!$C:$F,2,0),"")</f>
        <v/>
      </c>
      <c r="G81" s="156" t="str">
        <f>IFERROR(VLOOKUP($E81,設定!$C:$F,3,0),"")</f>
        <v/>
      </c>
      <c r="H81" s="131" t="str">
        <f>IFERROR(VLOOKUP($E81,設定!$C:$F,4,0),"")</f>
        <v/>
      </c>
      <c r="I81" s="402"/>
      <c r="J81" s="8"/>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10"/>
      <c r="AO81" s="65">
        <f t="shared" si="2"/>
        <v>0</v>
      </c>
    </row>
    <row r="82" spans="2:41" s="4" customFormat="1" ht="24" customHeight="1" x14ac:dyDescent="0.2">
      <c r="B82" s="14"/>
      <c r="C82" s="23"/>
      <c r="D82" s="21"/>
      <c r="E82" s="6"/>
      <c r="F82" s="16" t="str">
        <f>IFERROR(VLOOKUP($E82,設定!$C:$F,2,0),"")</f>
        <v/>
      </c>
      <c r="G82" s="156" t="str">
        <f>IFERROR(VLOOKUP($E82,設定!$C:$F,3,0),"")</f>
        <v/>
      </c>
      <c r="H82" s="131" t="str">
        <f>IFERROR(VLOOKUP($E82,設定!$C:$F,4,0),"")</f>
        <v/>
      </c>
      <c r="I82" s="402"/>
      <c r="J82" s="8"/>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10"/>
      <c r="AO82" s="65">
        <f t="shared" si="2"/>
        <v>0</v>
      </c>
    </row>
    <row r="83" spans="2:41" s="4" customFormat="1" ht="24" customHeight="1" x14ac:dyDescent="0.2">
      <c r="B83" s="14"/>
      <c r="C83" s="23"/>
      <c r="D83" s="21"/>
      <c r="E83" s="6"/>
      <c r="F83" s="16" t="str">
        <f>IFERROR(VLOOKUP($E83,設定!$C:$F,2,0),"")</f>
        <v/>
      </c>
      <c r="G83" s="156" t="str">
        <f>IFERROR(VLOOKUP($E83,設定!$C:$F,3,0),"")</f>
        <v/>
      </c>
      <c r="H83" s="131" t="str">
        <f>IFERROR(VLOOKUP($E83,設定!$C:$F,4,0),"")</f>
        <v/>
      </c>
      <c r="I83" s="402"/>
      <c r="J83" s="8"/>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10"/>
      <c r="AO83" s="65">
        <f t="shared" si="2"/>
        <v>0</v>
      </c>
    </row>
    <row r="84" spans="2:41" s="4" customFormat="1" ht="24" customHeight="1" x14ac:dyDescent="0.2">
      <c r="B84" s="14"/>
      <c r="C84" s="23"/>
      <c r="D84" s="21"/>
      <c r="E84" s="6"/>
      <c r="F84" s="16" t="str">
        <f>IFERROR(VLOOKUP($E84,設定!$C:$F,2,0),"")</f>
        <v/>
      </c>
      <c r="G84" s="156" t="str">
        <f>IFERROR(VLOOKUP($E84,設定!$C:$F,3,0),"")</f>
        <v/>
      </c>
      <c r="H84" s="131" t="str">
        <f>IFERROR(VLOOKUP($E84,設定!$C:$F,4,0),"")</f>
        <v/>
      </c>
      <c r="I84" s="402"/>
      <c r="J84" s="8"/>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10"/>
      <c r="AO84" s="65">
        <f t="shared" si="2"/>
        <v>0</v>
      </c>
    </row>
    <row r="85" spans="2:41" s="4" customFormat="1" ht="24" customHeight="1" x14ac:dyDescent="0.2">
      <c r="B85" s="14"/>
      <c r="C85" s="23"/>
      <c r="D85" s="21"/>
      <c r="E85" s="6"/>
      <c r="F85" s="16" t="str">
        <f>IFERROR(VLOOKUP($E85,設定!$C:$F,2,0),"")</f>
        <v/>
      </c>
      <c r="G85" s="156" t="str">
        <f>IFERROR(VLOOKUP($E85,設定!$C:$F,3,0),"")</f>
        <v/>
      </c>
      <c r="H85" s="131" t="str">
        <f>IFERROR(VLOOKUP($E85,設定!$C:$F,4,0),"")</f>
        <v/>
      </c>
      <c r="I85" s="402"/>
      <c r="J85" s="8"/>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10"/>
      <c r="AO85" s="65">
        <f t="shared" si="2"/>
        <v>0</v>
      </c>
    </row>
    <row r="86" spans="2:41" s="4" customFormat="1" ht="24" customHeight="1" x14ac:dyDescent="0.2">
      <c r="B86" s="14"/>
      <c r="C86" s="23"/>
      <c r="D86" s="21"/>
      <c r="E86" s="6"/>
      <c r="F86" s="16" t="str">
        <f>IFERROR(VLOOKUP($E86,設定!$C:$F,2,0),"")</f>
        <v/>
      </c>
      <c r="G86" s="156" t="str">
        <f>IFERROR(VLOOKUP($E86,設定!$C:$F,3,0),"")</f>
        <v/>
      </c>
      <c r="H86" s="131" t="str">
        <f>IFERROR(VLOOKUP($E86,設定!$C:$F,4,0),"")</f>
        <v/>
      </c>
      <c r="I86" s="402"/>
      <c r="J86" s="8"/>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10"/>
      <c r="AO86" s="65">
        <f t="shared" si="2"/>
        <v>0</v>
      </c>
    </row>
    <row r="87" spans="2:41" s="4" customFormat="1" ht="24" customHeight="1" x14ac:dyDescent="0.2">
      <c r="B87" s="14"/>
      <c r="C87" s="23"/>
      <c r="D87" s="21"/>
      <c r="E87" s="6"/>
      <c r="F87" s="16" t="str">
        <f>IFERROR(VLOOKUP($E87,設定!$C:$F,2,0),"")</f>
        <v/>
      </c>
      <c r="G87" s="156" t="str">
        <f>IFERROR(VLOOKUP($E87,設定!$C:$F,3,0),"")</f>
        <v/>
      </c>
      <c r="H87" s="131" t="str">
        <f>IFERROR(VLOOKUP($E87,設定!$C:$F,4,0),"")</f>
        <v/>
      </c>
      <c r="I87" s="402"/>
      <c r="J87" s="8"/>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10"/>
      <c r="AO87" s="65">
        <f t="shared" si="2"/>
        <v>0</v>
      </c>
    </row>
    <row r="88" spans="2:41" s="4" customFormat="1" ht="24" customHeight="1" x14ac:dyDescent="0.2">
      <c r="B88" s="14"/>
      <c r="C88" s="23"/>
      <c r="D88" s="21"/>
      <c r="E88" s="6"/>
      <c r="F88" s="16" t="str">
        <f>IFERROR(VLOOKUP($E88,設定!$C:$F,2,0),"")</f>
        <v/>
      </c>
      <c r="G88" s="156" t="str">
        <f>IFERROR(VLOOKUP($E88,設定!$C:$F,3,0),"")</f>
        <v/>
      </c>
      <c r="H88" s="131" t="str">
        <f>IFERROR(VLOOKUP($E88,設定!$C:$F,4,0),"")</f>
        <v/>
      </c>
      <c r="I88" s="402"/>
      <c r="J88" s="8"/>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10"/>
      <c r="AO88" s="65">
        <f t="shared" si="2"/>
        <v>0</v>
      </c>
    </row>
    <row r="89" spans="2:41" s="4" customFormat="1" ht="24" customHeight="1" x14ac:dyDescent="0.2">
      <c r="B89" s="14"/>
      <c r="C89" s="23"/>
      <c r="D89" s="21"/>
      <c r="E89" s="6"/>
      <c r="F89" s="16" t="str">
        <f>IFERROR(VLOOKUP($E89,設定!$C:$F,2,0),"")</f>
        <v/>
      </c>
      <c r="G89" s="156" t="str">
        <f>IFERROR(VLOOKUP($E89,設定!$C:$F,3,0),"")</f>
        <v/>
      </c>
      <c r="H89" s="131" t="str">
        <f>IFERROR(VLOOKUP($E89,設定!$C:$F,4,0),"")</f>
        <v/>
      </c>
      <c r="I89" s="402"/>
      <c r="J89" s="8"/>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10"/>
      <c r="AO89" s="65">
        <f t="shared" si="2"/>
        <v>0</v>
      </c>
    </row>
    <row r="90" spans="2:41" s="4" customFormat="1" ht="24" customHeight="1" x14ac:dyDescent="0.2">
      <c r="B90" s="14"/>
      <c r="C90" s="23"/>
      <c r="D90" s="21"/>
      <c r="E90" s="6"/>
      <c r="F90" s="16" t="str">
        <f>IFERROR(VLOOKUP($E90,設定!$C:$F,2,0),"")</f>
        <v/>
      </c>
      <c r="G90" s="156" t="str">
        <f>IFERROR(VLOOKUP($E90,設定!$C:$F,3,0),"")</f>
        <v/>
      </c>
      <c r="H90" s="131" t="str">
        <f>IFERROR(VLOOKUP($E90,設定!$C:$F,4,0),"")</f>
        <v/>
      </c>
      <c r="I90" s="402"/>
      <c r="J90" s="8"/>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10"/>
      <c r="AO90" s="65">
        <f t="shared" si="2"/>
        <v>0</v>
      </c>
    </row>
    <row r="91" spans="2:41" s="4" customFormat="1" ht="24" customHeight="1" x14ac:dyDescent="0.2">
      <c r="B91" s="14"/>
      <c r="C91" s="23"/>
      <c r="D91" s="21"/>
      <c r="E91" s="6"/>
      <c r="F91" s="16" t="str">
        <f>IFERROR(VLOOKUP($E91,設定!$C:$F,2,0),"")</f>
        <v/>
      </c>
      <c r="G91" s="156" t="str">
        <f>IFERROR(VLOOKUP($E91,設定!$C:$F,3,0),"")</f>
        <v/>
      </c>
      <c r="H91" s="131" t="str">
        <f>IFERROR(VLOOKUP($E91,設定!$C:$F,4,0),"")</f>
        <v/>
      </c>
      <c r="I91" s="402"/>
      <c r="J91" s="8"/>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10"/>
      <c r="AO91" s="65">
        <f t="shared" si="2"/>
        <v>0</v>
      </c>
    </row>
    <row r="92" spans="2:41" s="4" customFormat="1" ht="24" customHeight="1" x14ac:dyDescent="0.2">
      <c r="B92" s="14"/>
      <c r="C92" s="23"/>
      <c r="D92" s="21"/>
      <c r="E92" s="6"/>
      <c r="F92" s="16" t="str">
        <f>IFERROR(VLOOKUP($E92,設定!$C:$F,2,0),"")</f>
        <v/>
      </c>
      <c r="G92" s="156" t="str">
        <f>IFERROR(VLOOKUP($E92,設定!$C:$F,3,0),"")</f>
        <v/>
      </c>
      <c r="H92" s="131" t="str">
        <f>IFERROR(VLOOKUP($E92,設定!$C:$F,4,0),"")</f>
        <v/>
      </c>
      <c r="I92" s="402"/>
      <c r="J92" s="8"/>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10"/>
      <c r="AO92" s="65">
        <f t="shared" si="2"/>
        <v>0</v>
      </c>
    </row>
    <row r="93" spans="2:41" s="4" customFormat="1" ht="24" customHeight="1" x14ac:dyDescent="0.2">
      <c r="B93" s="14"/>
      <c r="C93" s="23"/>
      <c r="D93" s="21"/>
      <c r="E93" s="6"/>
      <c r="F93" s="16" t="str">
        <f>IFERROR(VLOOKUP($E93,設定!$C:$F,2,0),"")</f>
        <v/>
      </c>
      <c r="G93" s="156" t="str">
        <f>IFERROR(VLOOKUP($E93,設定!$C:$F,3,0),"")</f>
        <v/>
      </c>
      <c r="H93" s="131" t="str">
        <f>IFERROR(VLOOKUP($E93,設定!$C:$F,4,0),"")</f>
        <v/>
      </c>
      <c r="I93" s="402"/>
      <c r="J93" s="8"/>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10"/>
      <c r="AO93" s="65">
        <f t="shared" si="2"/>
        <v>0</v>
      </c>
    </row>
    <row r="94" spans="2:41" s="4" customFormat="1" ht="24" customHeight="1" x14ac:dyDescent="0.2">
      <c r="B94" s="14"/>
      <c r="C94" s="23"/>
      <c r="D94" s="21"/>
      <c r="E94" s="6"/>
      <c r="F94" s="16" t="str">
        <f>IFERROR(VLOOKUP($E94,設定!$C:$F,2,0),"")</f>
        <v/>
      </c>
      <c r="G94" s="156" t="str">
        <f>IFERROR(VLOOKUP($E94,設定!$C:$F,3,0),"")</f>
        <v/>
      </c>
      <c r="H94" s="131" t="str">
        <f>IFERROR(VLOOKUP($E94,設定!$C:$F,4,0),"")</f>
        <v/>
      </c>
      <c r="I94" s="402"/>
      <c r="J94" s="8"/>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10"/>
      <c r="AO94" s="65">
        <f t="shared" si="2"/>
        <v>0</v>
      </c>
    </row>
    <row r="95" spans="2:41" s="4" customFormat="1" ht="24" customHeight="1" x14ac:dyDescent="0.2">
      <c r="B95" s="14"/>
      <c r="C95" s="23"/>
      <c r="D95" s="21"/>
      <c r="E95" s="6"/>
      <c r="F95" s="16" t="str">
        <f>IFERROR(VLOOKUP($E95,設定!$C:$F,2,0),"")</f>
        <v/>
      </c>
      <c r="G95" s="156" t="str">
        <f>IFERROR(VLOOKUP($E95,設定!$C:$F,3,0),"")</f>
        <v/>
      </c>
      <c r="H95" s="131" t="str">
        <f>IFERROR(VLOOKUP($E95,設定!$C:$F,4,0),"")</f>
        <v/>
      </c>
      <c r="I95" s="402"/>
      <c r="J95" s="8"/>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10"/>
      <c r="AO95" s="65">
        <f t="shared" si="2"/>
        <v>0</v>
      </c>
    </row>
    <row r="96" spans="2:41" s="4" customFormat="1" ht="24" customHeight="1" x14ac:dyDescent="0.2">
      <c r="B96" s="14"/>
      <c r="C96" s="23"/>
      <c r="D96" s="21"/>
      <c r="E96" s="6"/>
      <c r="F96" s="16" t="str">
        <f>IFERROR(VLOOKUP($E96,設定!$C:$F,2,0),"")</f>
        <v/>
      </c>
      <c r="G96" s="156" t="str">
        <f>IFERROR(VLOOKUP($E96,設定!$C:$F,3,0),"")</f>
        <v/>
      </c>
      <c r="H96" s="131" t="str">
        <f>IFERROR(VLOOKUP($E96,設定!$C:$F,4,0),"")</f>
        <v/>
      </c>
      <c r="I96" s="402"/>
      <c r="J96" s="8"/>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10"/>
      <c r="AO96" s="65">
        <f t="shared" si="2"/>
        <v>0</v>
      </c>
    </row>
    <row r="97" spans="2:41" s="4" customFormat="1" ht="24" customHeight="1" x14ac:dyDescent="0.2">
      <c r="B97" s="14"/>
      <c r="C97" s="23"/>
      <c r="D97" s="21"/>
      <c r="E97" s="6"/>
      <c r="F97" s="16" t="str">
        <f>IFERROR(VLOOKUP($E97,設定!$C:$F,2,0),"")</f>
        <v/>
      </c>
      <c r="G97" s="156" t="str">
        <f>IFERROR(VLOOKUP($E97,設定!$C:$F,3,0),"")</f>
        <v/>
      </c>
      <c r="H97" s="131" t="str">
        <f>IFERROR(VLOOKUP($E97,設定!$C:$F,4,0),"")</f>
        <v/>
      </c>
      <c r="I97" s="402"/>
      <c r="J97" s="8"/>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10"/>
      <c r="AO97" s="65">
        <f t="shared" si="2"/>
        <v>0</v>
      </c>
    </row>
    <row r="98" spans="2:41" s="4" customFormat="1" ht="24" customHeight="1" x14ac:dyDescent="0.2">
      <c r="B98" s="14"/>
      <c r="C98" s="23"/>
      <c r="D98" s="21"/>
      <c r="E98" s="6"/>
      <c r="F98" s="16" t="str">
        <f>IFERROR(VLOOKUP($E98,設定!$C:$F,2,0),"")</f>
        <v/>
      </c>
      <c r="G98" s="156" t="str">
        <f>IFERROR(VLOOKUP($E98,設定!$C:$F,3,0),"")</f>
        <v/>
      </c>
      <c r="H98" s="131" t="str">
        <f>IFERROR(VLOOKUP($E98,設定!$C:$F,4,0),"")</f>
        <v/>
      </c>
      <c r="I98" s="402"/>
      <c r="J98" s="8"/>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10"/>
      <c r="AO98" s="65">
        <f t="shared" si="2"/>
        <v>0</v>
      </c>
    </row>
    <row r="99" spans="2:41" s="4" customFormat="1" ht="24" customHeight="1" x14ac:dyDescent="0.2">
      <c r="B99" s="14"/>
      <c r="C99" s="23"/>
      <c r="D99" s="21"/>
      <c r="E99" s="6"/>
      <c r="F99" s="16" t="str">
        <f>IFERROR(VLOOKUP($E99,設定!$C:$F,2,0),"")</f>
        <v/>
      </c>
      <c r="G99" s="156" t="str">
        <f>IFERROR(VLOOKUP($E99,設定!$C:$F,3,0),"")</f>
        <v/>
      </c>
      <c r="H99" s="131" t="str">
        <f>IFERROR(VLOOKUP($E99,設定!$C:$F,4,0),"")</f>
        <v/>
      </c>
      <c r="I99" s="402"/>
      <c r="J99" s="8"/>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10"/>
      <c r="AO99" s="65">
        <f t="shared" si="2"/>
        <v>0</v>
      </c>
    </row>
    <row r="100" spans="2:41" s="4" customFormat="1" ht="24" customHeight="1" x14ac:dyDescent="0.2">
      <c r="B100" s="14"/>
      <c r="C100" s="23"/>
      <c r="D100" s="21"/>
      <c r="E100" s="6"/>
      <c r="F100" s="16" t="str">
        <f>IFERROR(VLOOKUP($E100,設定!$C:$F,2,0),"")</f>
        <v/>
      </c>
      <c r="G100" s="156" t="str">
        <f>IFERROR(VLOOKUP($E100,設定!$C:$F,3,0),"")</f>
        <v/>
      </c>
      <c r="H100" s="131" t="str">
        <f>IFERROR(VLOOKUP($E100,設定!$C:$F,4,0),"")</f>
        <v/>
      </c>
      <c r="I100" s="402"/>
      <c r="J100" s="8"/>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10"/>
      <c r="AO100" s="65">
        <f t="shared" si="2"/>
        <v>0</v>
      </c>
    </row>
    <row r="101" spans="2:41" s="4" customFormat="1" ht="24" customHeight="1" x14ac:dyDescent="0.2">
      <c r="B101" s="14"/>
      <c r="C101" s="23"/>
      <c r="D101" s="21"/>
      <c r="E101" s="6"/>
      <c r="F101" s="16" t="str">
        <f>IFERROR(VLOOKUP($E101,設定!$C:$F,2,0),"")</f>
        <v/>
      </c>
      <c r="G101" s="156" t="str">
        <f>IFERROR(VLOOKUP($E101,設定!$C:$F,3,0),"")</f>
        <v/>
      </c>
      <c r="H101" s="131" t="str">
        <f>IFERROR(VLOOKUP($E101,設定!$C:$F,4,0),"")</f>
        <v/>
      </c>
      <c r="I101" s="402"/>
      <c r="J101" s="8"/>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10"/>
      <c r="AO101" s="65">
        <f t="shared" si="2"/>
        <v>0</v>
      </c>
    </row>
    <row r="102" spans="2:41" s="4" customFormat="1" ht="24" customHeight="1" x14ac:dyDescent="0.2">
      <c r="B102" s="14"/>
      <c r="C102" s="23"/>
      <c r="D102" s="21"/>
      <c r="E102" s="6"/>
      <c r="F102" s="16" t="str">
        <f>IFERROR(VLOOKUP($E102,設定!$C:$F,2,0),"")</f>
        <v/>
      </c>
      <c r="G102" s="156" t="str">
        <f>IFERROR(VLOOKUP($E102,設定!$C:$F,3,0),"")</f>
        <v/>
      </c>
      <c r="H102" s="131" t="str">
        <f>IFERROR(VLOOKUP($E102,設定!$C:$F,4,0),"")</f>
        <v/>
      </c>
      <c r="I102" s="402"/>
      <c r="J102" s="8"/>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10"/>
      <c r="AO102" s="65">
        <f t="shared" si="2"/>
        <v>0</v>
      </c>
    </row>
    <row r="103" spans="2:41" s="4" customFormat="1" ht="24" customHeight="1" x14ac:dyDescent="0.2">
      <c r="B103" s="14"/>
      <c r="C103" s="23"/>
      <c r="D103" s="21"/>
      <c r="E103" s="6"/>
      <c r="F103" s="16" t="str">
        <f>IFERROR(VLOOKUP($E103,設定!$C:$F,2,0),"")</f>
        <v/>
      </c>
      <c r="G103" s="156" t="str">
        <f>IFERROR(VLOOKUP($E103,設定!$C:$F,3,0),"")</f>
        <v/>
      </c>
      <c r="H103" s="131" t="str">
        <f>IFERROR(VLOOKUP($E103,設定!$C:$F,4,0),"")</f>
        <v/>
      </c>
      <c r="I103" s="402"/>
      <c r="J103" s="8"/>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10"/>
      <c r="AO103" s="65">
        <f t="shared" si="2"/>
        <v>0</v>
      </c>
    </row>
    <row r="104" spans="2:41" s="4" customFormat="1" ht="24" customHeight="1" x14ac:dyDescent="0.2">
      <c r="B104" s="14"/>
      <c r="C104" s="23"/>
      <c r="D104" s="21"/>
      <c r="E104" s="6"/>
      <c r="F104" s="16" t="str">
        <f>IFERROR(VLOOKUP($E104,設定!$C:$F,2,0),"")</f>
        <v/>
      </c>
      <c r="G104" s="156" t="str">
        <f>IFERROR(VLOOKUP($E104,設定!$C:$F,3,0),"")</f>
        <v/>
      </c>
      <c r="H104" s="131" t="str">
        <f>IFERROR(VLOOKUP($E104,設定!$C:$F,4,0),"")</f>
        <v/>
      </c>
      <c r="I104" s="402"/>
      <c r="J104" s="8"/>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10"/>
      <c r="AO104" s="65">
        <f t="shared" si="2"/>
        <v>0</v>
      </c>
    </row>
    <row r="105" spans="2:41" s="4" customFormat="1" ht="24" customHeight="1" x14ac:dyDescent="0.2">
      <c r="B105" s="14"/>
      <c r="C105" s="23"/>
      <c r="D105" s="21"/>
      <c r="E105" s="6"/>
      <c r="F105" s="16" t="str">
        <f>IFERROR(VLOOKUP($E105,設定!$C:$F,2,0),"")</f>
        <v/>
      </c>
      <c r="G105" s="156" t="str">
        <f>IFERROR(VLOOKUP($E105,設定!$C:$F,3,0),"")</f>
        <v/>
      </c>
      <c r="H105" s="131" t="str">
        <f>IFERROR(VLOOKUP($E105,設定!$C:$F,4,0),"")</f>
        <v/>
      </c>
      <c r="I105" s="402"/>
      <c r="J105" s="8"/>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10"/>
      <c r="AO105" s="65">
        <f t="shared" si="2"/>
        <v>0</v>
      </c>
    </row>
    <row r="106" spans="2:41" s="4" customFormat="1" ht="24" customHeight="1" x14ac:dyDescent="0.2">
      <c r="B106" s="14"/>
      <c r="C106" s="23"/>
      <c r="D106" s="21"/>
      <c r="E106" s="6"/>
      <c r="F106" s="16" t="str">
        <f>IFERROR(VLOOKUP($E106,設定!$C:$F,2,0),"")</f>
        <v/>
      </c>
      <c r="G106" s="156" t="str">
        <f>IFERROR(VLOOKUP($E106,設定!$C:$F,3,0),"")</f>
        <v/>
      </c>
      <c r="H106" s="131" t="str">
        <f>IFERROR(VLOOKUP($E106,設定!$C:$F,4,0),"")</f>
        <v/>
      </c>
      <c r="I106" s="402"/>
      <c r="J106" s="8"/>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10"/>
      <c r="AO106" s="65">
        <f t="shared" si="2"/>
        <v>0</v>
      </c>
    </row>
    <row r="107" spans="2:41" s="4" customFormat="1" ht="24" customHeight="1" x14ac:dyDescent="0.2">
      <c r="B107" s="14"/>
      <c r="C107" s="23"/>
      <c r="D107" s="21"/>
      <c r="E107" s="6"/>
      <c r="F107" s="16" t="str">
        <f>IFERROR(VLOOKUP($E107,設定!$C:$F,2,0),"")</f>
        <v/>
      </c>
      <c r="G107" s="156" t="str">
        <f>IFERROR(VLOOKUP($E107,設定!$C:$F,3,0),"")</f>
        <v/>
      </c>
      <c r="H107" s="131" t="str">
        <f>IFERROR(VLOOKUP($E107,設定!$C:$F,4,0),"")</f>
        <v/>
      </c>
      <c r="I107" s="402"/>
      <c r="J107" s="8"/>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10"/>
      <c r="AO107" s="65">
        <f t="shared" si="2"/>
        <v>0</v>
      </c>
    </row>
    <row r="108" spans="2:41" s="4" customFormat="1" ht="24" customHeight="1" x14ac:dyDescent="0.2">
      <c r="B108" s="14"/>
      <c r="C108" s="23"/>
      <c r="D108" s="21"/>
      <c r="E108" s="6"/>
      <c r="F108" s="16" t="str">
        <f>IFERROR(VLOOKUP($E108,設定!$C:$F,2,0),"")</f>
        <v/>
      </c>
      <c r="G108" s="156" t="str">
        <f>IFERROR(VLOOKUP($E108,設定!$C:$F,3,0),"")</f>
        <v/>
      </c>
      <c r="H108" s="131" t="str">
        <f>IFERROR(VLOOKUP($E108,設定!$C:$F,4,0),"")</f>
        <v/>
      </c>
      <c r="I108" s="402"/>
      <c r="J108" s="8"/>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10"/>
      <c r="AO108" s="65">
        <f t="shared" si="2"/>
        <v>0</v>
      </c>
    </row>
    <row r="109" spans="2:41" s="4" customFormat="1" ht="24" customHeight="1" x14ac:dyDescent="0.2">
      <c r="B109" s="14"/>
      <c r="C109" s="23"/>
      <c r="D109" s="21"/>
      <c r="E109" s="6"/>
      <c r="F109" s="16" t="str">
        <f>IFERROR(VLOOKUP($E109,設定!$C:$F,2,0),"")</f>
        <v/>
      </c>
      <c r="G109" s="156" t="str">
        <f>IFERROR(VLOOKUP($E109,設定!$C:$F,3,0),"")</f>
        <v/>
      </c>
      <c r="H109" s="131" t="str">
        <f>IFERROR(VLOOKUP($E109,設定!$C:$F,4,0),"")</f>
        <v/>
      </c>
      <c r="I109" s="402"/>
      <c r="J109" s="8"/>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10"/>
      <c r="AO109" s="65">
        <f t="shared" si="2"/>
        <v>0</v>
      </c>
    </row>
    <row r="110" spans="2:41" s="4" customFormat="1" ht="24" customHeight="1" x14ac:dyDescent="0.2">
      <c r="B110" s="14"/>
      <c r="C110" s="23"/>
      <c r="D110" s="21"/>
      <c r="E110" s="6"/>
      <c r="F110" s="16" t="str">
        <f>IFERROR(VLOOKUP($E110,設定!$C:$F,2,0),"")</f>
        <v/>
      </c>
      <c r="G110" s="156" t="str">
        <f>IFERROR(VLOOKUP($E110,設定!$C:$F,3,0),"")</f>
        <v/>
      </c>
      <c r="H110" s="131" t="str">
        <f>IFERROR(VLOOKUP($E110,設定!$C:$F,4,0),"")</f>
        <v/>
      </c>
      <c r="I110" s="402"/>
      <c r="J110" s="8"/>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10"/>
      <c r="AO110" s="65">
        <f t="shared" si="2"/>
        <v>0</v>
      </c>
    </row>
    <row r="111" spans="2:41" s="4" customFormat="1" ht="24" customHeight="1" x14ac:dyDescent="0.2">
      <c r="B111" s="14"/>
      <c r="C111" s="23"/>
      <c r="D111" s="21"/>
      <c r="E111" s="6"/>
      <c r="F111" s="16" t="str">
        <f>IFERROR(VLOOKUP($E111,設定!$C:$F,2,0),"")</f>
        <v/>
      </c>
      <c r="G111" s="156" t="str">
        <f>IFERROR(VLOOKUP($E111,設定!$C:$F,3,0),"")</f>
        <v/>
      </c>
      <c r="H111" s="131" t="str">
        <f>IFERROR(VLOOKUP($E111,設定!$C:$F,4,0),"")</f>
        <v/>
      </c>
      <c r="I111" s="402"/>
      <c r="J111" s="8"/>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10"/>
      <c r="AO111" s="65">
        <f t="shared" si="2"/>
        <v>0</v>
      </c>
    </row>
    <row r="112" spans="2:41" s="4" customFormat="1" ht="24" customHeight="1" x14ac:dyDescent="0.2">
      <c r="B112" s="14"/>
      <c r="C112" s="23"/>
      <c r="D112" s="21"/>
      <c r="E112" s="6"/>
      <c r="F112" s="16" t="str">
        <f>IFERROR(VLOOKUP($E112,設定!$C:$F,2,0),"")</f>
        <v/>
      </c>
      <c r="G112" s="156" t="str">
        <f>IFERROR(VLOOKUP($E112,設定!$C:$F,3,0),"")</f>
        <v/>
      </c>
      <c r="H112" s="131" t="str">
        <f>IFERROR(VLOOKUP($E112,設定!$C:$F,4,0),"")</f>
        <v/>
      </c>
      <c r="I112" s="402"/>
      <c r="J112" s="8"/>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10"/>
      <c r="AO112" s="65">
        <f t="shared" si="2"/>
        <v>0</v>
      </c>
    </row>
    <row r="113" spans="2:41" s="4" customFormat="1" ht="24" customHeight="1" x14ac:dyDescent="0.2">
      <c r="B113" s="14"/>
      <c r="C113" s="23"/>
      <c r="D113" s="21"/>
      <c r="E113" s="6"/>
      <c r="F113" s="16" t="str">
        <f>IFERROR(VLOOKUP($E113,設定!$C:$F,2,0),"")</f>
        <v/>
      </c>
      <c r="G113" s="156" t="str">
        <f>IFERROR(VLOOKUP($E113,設定!$C:$F,3,0),"")</f>
        <v/>
      </c>
      <c r="H113" s="131" t="str">
        <f>IFERROR(VLOOKUP($E113,設定!$C:$F,4,0),"")</f>
        <v/>
      </c>
      <c r="I113" s="402"/>
      <c r="J113" s="8"/>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10"/>
      <c r="AO113" s="65">
        <f t="shared" si="2"/>
        <v>0</v>
      </c>
    </row>
    <row r="114" spans="2:41" s="4" customFormat="1" ht="24" customHeight="1" x14ac:dyDescent="0.2">
      <c r="B114" s="14"/>
      <c r="C114" s="23"/>
      <c r="D114" s="21"/>
      <c r="E114" s="6"/>
      <c r="F114" s="16" t="str">
        <f>IFERROR(VLOOKUP($E114,設定!$C:$F,2,0),"")</f>
        <v/>
      </c>
      <c r="G114" s="156" t="str">
        <f>IFERROR(VLOOKUP($E114,設定!$C:$F,3,0),"")</f>
        <v/>
      </c>
      <c r="H114" s="131" t="str">
        <f>IFERROR(VLOOKUP($E114,設定!$C:$F,4,0),"")</f>
        <v/>
      </c>
      <c r="I114" s="402"/>
      <c r="J114" s="8"/>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10"/>
      <c r="AO114" s="65">
        <f t="shared" si="2"/>
        <v>0</v>
      </c>
    </row>
    <row r="115" spans="2:41" s="4" customFormat="1" ht="24" customHeight="1" x14ac:dyDescent="0.2">
      <c r="B115" s="14"/>
      <c r="C115" s="23"/>
      <c r="D115" s="21"/>
      <c r="E115" s="6"/>
      <c r="F115" s="16" t="str">
        <f>IFERROR(VLOOKUP($E115,設定!$C:$F,2,0),"")</f>
        <v/>
      </c>
      <c r="G115" s="156" t="str">
        <f>IFERROR(VLOOKUP($E115,設定!$C:$F,3,0),"")</f>
        <v/>
      </c>
      <c r="H115" s="131" t="str">
        <f>IFERROR(VLOOKUP($E115,設定!$C:$F,4,0),"")</f>
        <v/>
      </c>
      <c r="I115" s="402"/>
      <c r="J115" s="8"/>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10"/>
      <c r="AO115" s="65">
        <f t="shared" si="2"/>
        <v>0</v>
      </c>
    </row>
    <row r="116" spans="2:41" s="4" customFormat="1" ht="24" customHeight="1" x14ac:dyDescent="0.2">
      <c r="B116" s="14"/>
      <c r="C116" s="23"/>
      <c r="D116" s="21"/>
      <c r="E116" s="6"/>
      <c r="F116" s="16" t="str">
        <f>IFERROR(VLOOKUP($E116,設定!$C:$F,2,0),"")</f>
        <v/>
      </c>
      <c r="G116" s="156" t="str">
        <f>IFERROR(VLOOKUP($E116,設定!$C:$F,3,0),"")</f>
        <v/>
      </c>
      <c r="H116" s="131" t="str">
        <f>IFERROR(VLOOKUP($E116,設定!$C:$F,4,0),"")</f>
        <v/>
      </c>
      <c r="I116" s="402"/>
      <c r="J116" s="8"/>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10"/>
      <c r="AO116" s="65">
        <f t="shared" si="2"/>
        <v>0</v>
      </c>
    </row>
    <row r="117" spans="2:41" s="4" customFormat="1" ht="24" customHeight="1" x14ac:dyDescent="0.2">
      <c r="B117" s="14"/>
      <c r="C117" s="23"/>
      <c r="D117" s="21"/>
      <c r="E117" s="6"/>
      <c r="F117" s="16" t="str">
        <f>IFERROR(VLOOKUP($E117,設定!$C:$F,2,0),"")</f>
        <v/>
      </c>
      <c r="G117" s="156" t="str">
        <f>IFERROR(VLOOKUP($E117,設定!$C:$F,3,0),"")</f>
        <v/>
      </c>
      <c r="H117" s="131" t="str">
        <f>IFERROR(VLOOKUP($E117,設定!$C:$F,4,0),"")</f>
        <v/>
      </c>
      <c r="I117" s="402"/>
      <c r="J117" s="8"/>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10"/>
      <c r="AO117" s="65">
        <f t="shared" si="2"/>
        <v>0</v>
      </c>
    </row>
    <row r="118" spans="2:41" s="4" customFormat="1" ht="24" customHeight="1" x14ac:dyDescent="0.2">
      <c r="B118" s="14"/>
      <c r="C118" s="23"/>
      <c r="D118" s="21"/>
      <c r="E118" s="6"/>
      <c r="F118" s="16" t="str">
        <f>IFERROR(VLOOKUP($E118,設定!$C:$F,2,0),"")</f>
        <v/>
      </c>
      <c r="G118" s="156" t="str">
        <f>IFERROR(VLOOKUP($E118,設定!$C:$F,3,0),"")</f>
        <v/>
      </c>
      <c r="H118" s="131" t="str">
        <f>IFERROR(VLOOKUP($E118,設定!$C:$F,4,0),"")</f>
        <v/>
      </c>
      <c r="I118" s="402"/>
      <c r="J118" s="8"/>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10"/>
      <c r="AO118" s="65">
        <f t="shared" si="2"/>
        <v>0</v>
      </c>
    </row>
    <row r="119" spans="2:41" s="4" customFormat="1" ht="24" customHeight="1" x14ac:dyDescent="0.2">
      <c r="B119" s="14"/>
      <c r="C119" s="23"/>
      <c r="D119" s="21"/>
      <c r="E119" s="6"/>
      <c r="F119" s="16" t="str">
        <f>IFERROR(VLOOKUP($E119,設定!$C:$F,2,0),"")</f>
        <v/>
      </c>
      <c r="G119" s="156" t="str">
        <f>IFERROR(VLOOKUP($E119,設定!$C:$F,3,0),"")</f>
        <v/>
      </c>
      <c r="H119" s="131" t="str">
        <f>IFERROR(VLOOKUP($E119,設定!$C:$F,4,0),"")</f>
        <v/>
      </c>
      <c r="I119" s="402"/>
      <c r="J119" s="8"/>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10"/>
      <c r="AO119" s="65">
        <f t="shared" si="2"/>
        <v>0</v>
      </c>
    </row>
    <row r="120" spans="2:41" s="4" customFormat="1" ht="24" customHeight="1" x14ac:dyDescent="0.2">
      <c r="B120" s="14"/>
      <c r="C120" s="23"/>
      <c r="D120" s="21"/>
      <c r="E120" s="6"/>
      <c r="F120" s="16" t="str">
        <f>IFERROR(VLOOKUP($E120,設定!$C:$F,2,0),"")</f>
        <v/>
      </c>
      <c r="G120" s="156" t="str">
        <f>IFERROR(VLOOKUP($E120,設定!$C:$F,3,0),"")</f>
        <v/>
      </c>
      <c r="H120" s="131" t="str">
        <f>IFERROR(VLOOKUP($E120,設定!$C:$F,4,0),"")</f>
        <v/>
      </c>
      <c r="I120" s="402"/>
      <c r="J120" s="8"/>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10"/>
      <c r="AO120" s="65">
        <f t="shared" si="2"/>
        <v>0</v>
      </c>
    </row>
    <row r="121" spans="2:41" s="4" customFormat="1" ht="24" customHeight="1" x14ac:dyDescent="0.2">
      <c r="B121" s="14"/>
      <c r="C121" s="23"/>
      <c r="D121" s="21"/>
      <c r="E121" s="6"/>
      <c r="F121" s="16" t="str">
        <f>IFERROR(VLOOKUP($E121,設定!$C:$F,2,0),"")</f>
        <v/>
      </c>
      <c r="G121" s="156" t="str">
        <f>IFERROR(VLOOKUP($E121,設定!$C:$F,3,0),"")</f>
        <v/>
      </c>
      <c r="H121" s="131" t="str">
        <f>IFERROR(VLOOKUP($E121,設定!$C:$F,4,0),"")</f>
        <v/>
      </c>
      <c r="I121" s="402"/>
      <c r="J121" s="8"/>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10"/>
      <c r="AO121" s="65">
        <f t="shared" si="2"/>
        <v>0</v>
      </c>
    </row>
    <row r="122" spans="2:41" s="4" customFormat="1" ht="24" customHeight="1" x14ac:dyDescent="0.2">
      <c r="B122" s="14"/>
      <c r="C122" s="23"/>
      <c r="D122" s="21"/>
      <c r="E122" s="6"/>
      <c r="F122" s="16" t="str">
        <f>IFERROR(VLOOKUP($E122,設定!$C:$F,2,0),"")</f>
        <v/>
      </c>
      <c r="G122" s="156" t="str">
        <f>IFERROR(VLOOKUP($E122,設定!$C:$F,3,0),"")</f>
        <v/>
      </c>
      <c r="H122" s="131" t="str">
        <f>IFERROR(VLOOKUP($E122,設定!$C:$F,4,0),"")</f>
        <v/>
      </c>
      <c r="I122" s="402"/>
      <c r="J122" s="8"/>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10"/>
      <c r="AO122" s="65">
        <f t="shared" si="2"/>
        <v>0</v>
      </c>
    </row>
    <row r="123" spans="2:41" s="4" customFormat="1" ht="24" customHeight="1" x14ac:dyDescent="0.2">
      <c r="B123" s="14"/>
      <c r="C123" s="23"/>
      <c r="D123" s="21"/>
      <c r="E123" s="6"/>
      <c r="F123" s="16" t="str">
        <f>IFERROR(VLOOKUP($E123,設定!$C:$F,2,0),"")</f>
        <v/>
      </c>
      <c r="G123" s="156" t="str">
        <f>IFERROR(VLOOKUP($E123,設定!$C:$F,3,0),"")</f>
        <v/>
      </c>
      <c r="H123" s="131" t="str">
        <f>IFERROR(VLOOKUP($E123,設定!$C:$F,4,0),"")</f>
        <v/>
      </c>
      <c r="I123" s="402"/>
      <c r="J123" s="8"/>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10"/>
      <c r="AO123" s="65">
        <f t="shared" si="2"/>
        <v>0</v>
      </c>
    </row>
    <row r="124" spans="2:41" s="4" customFormat="1" ht="24" customHeight="1" x14ac:dyDescent="0.2">
      <c r="B124" s="14"/>
      <c r="C124" s="23"/>
      <c r="D124" s="21"/>
      <c r="E124" s="6"/>
      <c r="F124" s="16" t="str">
        <f>IFERROR(VLOOKUP($E124,設定!$C:$F,2,0),"")</f>
        <v/>
      </c>
      <c r="G124" s="156" t="str">
        <f>IFERROR(VLOOKUP($E124,設定!$C:$F,3,0),"")</f>
        <v/>
      </c>
      <c r="H124" s="131" t="str">
        <f>IFERROR(VLOOKUP($E124,設定!$C:$F,4,0),"")</f>
        <v/>
      </c>
      <c r="I124" s="402"/>
      <c r="J124" s="8"/>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10"/>
      <c r="AO124" s="65">
        <f t="shared" si="2"/>
        <v>0</v>
      </c>
    </row>
    <row r="125" spans="2:41" s="4" customFormat="1" ht="24" customHeight="1" x14ac:dyDescent="0.2">
      <c r="B125" s="14"/>
      <c r="C125" s="23"/>
      <c r="D125" s="21"/>
      <c r="E125" s="6"/>
      <c r="F125" s="16" t="str">
        <f>IFERROR(VLOOKUP($E125,設定!$C:$F,2,0),"")</f>
        <v/>
      </c>
      <c r="G125" s="156" t="str">
        <f>IFERROR(VLOOKUP($E125,設定!$C:$F,3,0),"")</f>
        <v/>
      </c>
      <c r="H125" s="131" t="str">
        <f>IFERROR(VLOOKUP($E125,設定!$C:$F,4,0),"")</f>
        <v/>
      </c>
      <c r="I125" s="402"/>
      <c r="J125" s="8"/>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10"/>
      <c r="AO125" s="65">
        <f t="shared" si="2"/>
        <v>0</v>
      </c>
    </row>
    <row r="126" spans="2:41" s="4" customFormat="1" ht="24" customHeight="1" x14ac:dyDescent="0.2">
      <c r="B126" s="14"/>
      <c r="C126" s="23"/>
      <c r="D126" s="21"/>
      <c r="E126" s="6"/>
      <c r="F126" s="16" t="str">
        <f>IFERROR(VLOOKUP($E126,設定!$C:$F,2,0),"")</f>
        <v/>
      </c>
      <c r="G126" s="156" t="str">
        <f>IFERROR(VLOOKUP($E126,設定!$C:$F,3,0),"")</f>
        <v/>
      </c>
      <c r="H126" s="131" t="str">
        <f>IFERROR(VLOOKUP($E126,設定!$C:$F,4,0),"")</f>
        <v/>
      </c>
      <c r="I126" s="402"/>
      <c r="J126" s="8"/>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10"/>
      <c r="AO126" s="65">
        <f t="shared" si="2"/>
        <v>0</v>
      </c>
    </row>
    <row r="127" spans="2:41" s="4" customFormat="1" ht="24" customHeight="1" x14ac:dyDescent="0.2">
      <c r="B127" s="14"/>
      <c r="C127" s="23"/>
      <c r="D127" s="21"/>
      <c r="E127" s="6"/>
      <c r="F127" s="16" t="str">
        <f>IFERROR(VLOOKUP($E127,設定!$C:$F,2,0),"")</f>
        <v/>
      </c>
      <c r="G127" s="156" t="str">
        <f>IFERROR(VLOOKUP($E127,設定!$C:$F,3,0),"")</f>
        <v/>
      </c>
      <c r="H127" s="131" t="str">
        <f>IFERROR(VLOOKUP($E127,設定!$C:$F,4,0),"")</f>
        <v/>
      </c>
      <c r="I127" s="402"/>
      <c r="J127" s="8"/>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10"/>
      <c r="AO127" s="65">
        <f t="shared" si="2"/>
        <v>0</v>
      </c>
    </row>
    <row r="128" spans="2:41" s="4" customFormat="1" ht="24" customHeight="1" x14ac:dyDescent="0.2">
      <c r="B128" s="14"/>
      <c r="C128" s="23"/>
      <c r="D128" s="21"/>
      <c r="E128" s="6"/>
      <c r="F128" s="16" t="str">
        <f>IFERROR(VLOOKUP($E128,設定!$C:$F,2,0),"")</f>
        <v/>
      </c>
      <c r="G128" s="156" t="str">
        <f>IFERROR(VLOOKUP($E128,設定!$C:$F,3,0),"")</f>
        <v/>
      </c>
      <c r="H128" s="131" t="str">
        <f>IFERROR(VLOOKUP($E128,設定!$C:$F,4,0),"")</f>
        <v/>
      </c>
      <c r="I128" s="402"/>
      <c r="J128" s="8"/>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10"/>
      <c r="AO128" s="65">
        <f t="shared" si="2"/>
        <v>0</v>
      </c>
    </row>
    <row r="129" spans="2:41" s="4" customFormat="1" ht="24" customHeight="1" x14ac:dyDescent="0.2">
      <c r="B129" s="14"/>
      <c r="C129" s="23"/>
      <c r="D129" s="21"/>
      <c r="E129" s="6"/>
      <c r="F129" s="16" t="str">
        <f>IFERROR(VLOOKUP($E129,設定!$C:$F,2,0),"")</f>
        <v/>
      </c>
      <c r="G129" s="156" t="str">
        <f>IFERROR(VLOOKUP($E129,設定!$C:$F,3,0),"")</f>
        <v/>
      </c>
      <c r="H129" s="131" t="str">
        <f>IFERROR(VLOOKUP($E129,設定!$C:$F,4,0),"")</f>
        <v/>
      </c>
      <c r="I129" s="402"/>
      <c r="J129" s="8"/>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10"/>
      <c r="AO129" s="65">
        <f t="shared" si="2"/>
        <v>0</v>
      </c>
    </row>
    <row r="130" spans="2:41" s="4" customFormat="1" ht="24" customHeight="1" x14ac:dyDescent="0.2">
      <c r="B130" s="14"/>
      <c r="C130" s="23"/>
      <c r="D130" s="21"/>
      <c r="E130" s="6"/>
      <c r="F130" s="16" t="str">
        <f>IFERROR(VLOOKUP($E130,設定!$C:$F,2,0),"")</f>
        <v/>
      </c>
      <c r="G130" s="156" t="str">
        <f>IFERROR(VLOOKUP($E130,設定!$C:$F,3,0),"")</f>
        <v/>
      </c>
      <c r="H130" s="131" t="str">
        <f>IFERROR(VLOOKUP($E130,設定!$C:$F,4,0),"")</f>
        <v/>
      </c>
      <c r="I130" s="402"/>
      <c r="J130" s="8"/>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10"/>
      <c r="AO130" s="65">
        <f t="shared" si="2"/>
        <v>0</v>
      </c>
    </row>
    <row r="131" spans="2:41" s="4" customFormat="1" ht="24" customHeight="1" x14ac:dyDescent="0.2">
      <c r="B131" s="14"/>
      <c r="C131" s="23"/>
      <c r="D131" s="21"/>
      <c r="E131" s="6"/>
      <c r="F131" s="16" t="str">
        <f>IFERROR(VLOOKUP($E131,設定!$C:$F,2,0),"")</f>
        <v/>
      </c>
      <c r="G131" s="156" t="str">
        <f>IFERROR(VLOOKUP($E131,設定!$C:$F,3,0),"")</f>
        <v/>
      </c>
      <c r="H131" s="131" t="str">
        <f>IFERROR(VLOOKUP($E131,設定!$C:$F,4,0),"")</f>
        <v/>
      </c>
      <c r="I131" s="402"/>
      <c r="J131" s="8"/>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10"/>
      <c r="AO131" s="65">
        <f t="shared" si="2"/>
        <v>0</v>
      </c>
    </row>
    <row r="132" spans="2:41" s="4" customFormat="1" ht="24" customHeight="1" x14ac:dyDescent="0.2">
      <c r="B132" s="14"/>
      <c r="C132" s="23"/>
      <c r="D132" s="21"/>
      <c r="E132" s="6"/>
      <c r="F132" s="16" t="str">
        <f>IFERROR(VLOOKUP($E132,設定!$C:$F,2,0),"")</f>
        <v/>
      </c>
      <c r="G132" s="156" t="str">
        <f>IFERROR(VLOOKUP($E132,設定!$C:$F,3,0),"")</f>
        <v/>
      </c>
      <c r="H132" s="131" t="str">
        <f>IFERROR(VLOOKUP($E132,設定!$C:$F,4,0),"")</f>
        <v/>
      </c>
      <c r="I132" s="402"/>
      <c r="J132" s="8"/>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10"/>
      <c r="AO132" s="65">
        <f t="shared" si="2"/>
        <v>0</v>
      </c>
    </row>
    <row r="133" spans="2:41" s="4" customFormat="1" ht="24" customHeight="1" x14ac:dyDescent="0.2">
      <c r="B133" s="14"/>
      <c r="C133" s="23"/>
      <c r="D133" s="21"/>
      <c r="E133" s="6"/>
      <c r="F133" s="16" t="str">
        <f>IFERROR(VLOOKUP($E133,設定!$C:$F,2,0),"")</f>
        <v/>
      </c>
      <c r="G133" s="156" t="str">
        <f>IFERROR(VLOOKUP($E133,設定!$C:$F,3,0),"")</f>
        <v/>
      </c>
      <c r="H133" s="131" t="str">
        <f>IFERROR(VLOOKUP($E133,設定!$C:$F,4,0),"")</f>
        <v/>
      </c>
      <c r="I133" s="402"/>
      <c r="J133" s="8"/>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10"/>
      <c r="AO133" s="65">
        <f t="shared" si="2"/>
        <v>0</v>
      </c>
    </row>
    <row r="134" spans="2:41" s="4" customFormat="1" ht="24" customHeight="1" x14ac:dyDescent="0.2">
      <c r="B134" s="14"/>
      <c r="C134" s="23"/>
      <c r="D134" s="21"/>
      <c r="E134" s="6"/>
      <c r="F134" s="16" t="str">
        <f>IFERROR(VLOOKUP($E134,設定!$C:$F,2,0),"")</f>
        <v/>
      </c>
      <c r="G134" s="156" t="str">
        <f>IFERROR(VLOOKUP($E134,設定!$C:$F,3,0),"")</f>
        <v/>
      </c>
      <c r="H134" s="131" t="str">
        <f>IFERROR(VLOOKUP($E134,設定!$C:$F,4,0),"")</f>
        <v/>
      </c>
      <c r="I134" s="402"/>
      <c r="J134" s="8"/>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10"/>
      <c r="AO134" s="65">
        <f t="shared" si="2"/>
        <v>0</v>
      </c>
    </row>
    <row r="135" spans="2:41" s="4" customFormat="1" ht="24" customHeight="1" x14ac:dyDescent="0.2">
      <c r="B135" s="14"/>
      <c r="C135" s="23"/>
      <c r="D135" s="21"/>
      <c r="E135" s="6"/>
      <c r="F135" s="16" t="str">
        <f>IFERROR(VLOOKUP($E135,設定!$C:$F,2,0),"")</f>
        <v/>
      </c>
      <c r="G135" s="156" t="str">
        <f>IFERROR(VLOOKUP($E135,設定!$C:$F,3,0),"")</f>
        <v/>
      </c>
      <c r="H135" s="131" t="str">
        <f>IFERROR(VLOOKUP($E135,設定!$C:$F,4,0),"")</f>
        <v/>
      </c>
      <c r="I135" s="402"/>
      <c r="J135" s="8"/>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10"/>
      <c r="AO135" s="65">
        <f t="shared" ref="AO135:AO198" si="3">I135*SUM(J135:AN135)</f>
        <v>0</v>
      </c>
    </row>
    <row r="136" spans="2:41" s="4" customFormat="1" ht="24" customHeight="1" x14ac:dyDescent="0.2">
      <c r="B136" s="14"/>
      <c r="C136" s="23"/>
      <c r="D136" s="21"/>
      <c r="E136" s="6"/>
      <c r="F136" s="16" t="str">
        <f>IFERROR(VLOOKUP($E136,設定!$C:$F,2,0),"")</f>
        <v/>
      </c>
      <c r="G136" s="156" t="str">
        <f>IFERROR(VLOOKUP($E136,設定!$C:$F,3,0),"")</f>
        <v/>
      </c>
      <c r="H136" s="131" t="str">
        <f>IFERROR(VLOOKUP($E136,設定!$C:$F,4,0),"")</f>
        <v/>
      </c>
      <c r="I136" s="402"/>
      <c r="J136" s="8"/>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10"/>
      <c r="AO136" s="65">
        <f t="shared" si="3"/>
        <v>0</v>
      </c>
    </row>
    <row r="137" spans="2:41" s="4" customFormat="1" ht="24" customHeight="1" x14ac:dyDescent="0.2">
      <c r="B137" s="14"/>
      <c r="C137" s="23"/>
      <c r="D137" s="21"/>
      <c r="E137" s="6"/>
      <c r="F137" s="16" t="str">
        <f>IFERROR(VLOOKUP($E137,設定!$C:$F,2,0),"")</f>
        <v/>
      </c>
      <c r="G137" s="156" t="str">
        <f>IFERROR(VLOOKUP($E137,設定!$C:$F,3,0),"")</f>
        <v/>
      </c>
      <c r="H137" s="131" t="str">
        <f>IFERROR(VLOOKUP($E137,設定!$C:$F,4,0),"")</f>
        <v/>
      </c>
      <c r="I137" s="402"/>
      <c r="J137" s="8"/>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10"/>
      <c r="AO137" s="65">
        <f t="shared" si="3"/>
        <v>0</v>
      </c>
    </row>
    <row r="138" spans="2:41" s="4" customFormat="1" ht="24" customHeight="1" x14ac:dyDescent="0.2">
      <c r="B138" s="14"/>
      <c r="C138" s="23"/>
      <c r="D138" s="21"/>
      <c r="E138" s="6"/>
      <c r="F138" s="16" t="str">
        <f>IFERROR(VLOOKUP($E138,設定!$C:$F,2,0),"")</f>
        <v/>
      </c>
      <c r="G138" s="156" t="str">
        <f>IFERROR(VLOOKUP($E138,設定!$C:$F,3,0),"")</f>
        <v/>
      </c>
      <c r="H138" s="131" t="str">
        <f>IFERROR(VLOOKUP($E138,設定!$C:$F,4,0),"")</f>
        <v/>
      </c>
      <c r="I138" s="402"/>
      <c r="J138" s="8"/>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10"/>
      <c r="AO138" s="65">
        <f t="shared" si="3"/>
        <v>0</v>
      </c>
    </row>
    <row r="139" spans="2:41" s="4" customFormat="1" ht="24" customHeight="1" x14ac:dyDescent="0.2">
      <c r="B139" s="14"/>
      <c r="C139" s="23"/>
      <c r="D139" s="21"/>
      <c r="E139" s="6"/>
      <c r="F139" s="16" t="str">
        <f>IFERROR(VLOOKUP($E139,設定!$C:$F,2,0),"")</f>
        <v/>
      </c>
      <c r="G139" s="156" t="str">
        <f>IFERROR(VLOOKUP($E139,設定!$C:$F,3,0),"")</f>
        <v/>
      </c>
      <c r="H139" s="131" t="str">
        <f>IFERROR(VLOOKUP($E139,設定!$C:$F,4,0),"")</f>
        <v/>
      </c>
      <c r="I139" s="402"/>
      <c r="J139" s="8"/>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10"/>
      <c r="AO139" s="65">
        <f t="shared" si="3"/>
        <v>0</v>
      </c>
    </row>
    <row r="140" spans="2:41" s="4" customFormat="1" ht="24" customHeight="1" x14ac:dyDescent="0.2">
      <c r="B140" s="14"/>
      <c r="C140" s="23"/>
      <c r="D140" s="21"/>
      <c r="E140" s="6"/>
      <c r="F140" s="16" t="str">
        <f>IFERROR(VLOOKUP($E140,設定!$C:$F,2,0),"")</f>
        <v/>
      </c>
      <c r="G140" s="156" t="str">
        <f>IFERROR(VLOOKUP($E140,設定!$C:$F,3,0),"")</f>
        <v/>
      </c>
      <c r="H140" s="131" t="str">
        <f>IFERROR(VLOOKUP($E140,設定!$C:$F,4,0),"")</f>
        <v/>
      </c>
      <c r="I140" s="402"/>
      <c r="J140" s="8"/>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10"/>
      <c r="AO140" s="65">
        <f t="shared" si="3"/>
        <v>0</v>
      </c>
    </row>
    <row r="141" spans="2:41" s="4" customFormat="1" ht="24" customHeight="1" x14ac:dyDescent="0.2">
      <c r="B141" s="14"/>
      <c r="C141" s="23"/>
      <c r="D141" s="21"/>
      <c r="E141" s="6"/>
      <c r="F141" s="16" t="str">
        <f>IFERROR(VLOOKUP($E141,設定!$C:$F,2,0),"")</f>
        <v/>
      </c>
      <c r="G141" s="156" t="str">
        <f>IFERROR(VLOOKUP($E141,設定!$C:$F,3,0),"")</f>
        <v/>
      </c>
      <c r="H141" s="131" t="str">
        <f>IFERROR(VLOOKUP($E141,設定!$C:$F,4,0),"")</f>
        <v/>
      </c>
      <c r="I141" s="402"/>
      <c r="J141" s="8"/>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10"/>
      <c r="AO141" s="65">
        <f t="shared" si="3"/>
        <v>0</v>
      </c>
    </row>
    <row r="142" spans="2:41" s="4" customFormat="1" ht="24" customHeight="1" x14ac:dyDescent="0.2">
      <c r="B142" s="14"/>
      <c r="C142" s="23"/>
      <c r="D142" s="21"/>
      <c r="E142" s="6"/>
      <c r="F142" s="16" t="str">
        <f>IFERROR(VLOOKUP($E142,設定!$C:$F,2,0),"")</f>
        <v/>
      </c>
      <c r="G142" s="156" t="str">
        <f>IFERROR(VLOOKUP($E142,設定!$C:$F,3,0),"")</f>
        <v/>
      </c>
      <c r="H142" s="131" t="str">
        <f>IFERROR(VLOOKUP($E142,設定!$C:$F,4,0),"")</f>
        <v/>
      </c>
      <c r="I142" s="402"/>
      <c r="J142" s="8"/>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10"/>
      <c r="AO142" s="65">
        <f t="shared" si="3"/>
        <v>0</v>
      </c>
    </row>
    <row r="143" spans="2:41" s="4" customFormat="1" ht="24" customHeight="1" x14ac:dyDescent="0.2">
      <c r="B143" s="14"/>
      <c r="C143" s="23"/>
      <c r="D143" s="21"/>
      <c r="E143" s="6"/>
      <c r="F143" s="16" t="str">
        <f>IFERROR(VLOOKUP($E143,設定!$C:$F,2,0),"")</f>
        <v/>
      </c>
      <c r="G143" s="156" t="str">
        <f>IFERROR(VLOOKUP($E143,設定!$C:$F,3,0),"")</f>
        <v/>
      </c>
      <c r="H143" s="131" t="str">
        <f>IFERROR(VLOOKUP($E143,設定!$C:$F,4,0),"")</f>
        <v/>
      </c>
      <c r="I143" s="402"/>
      <c r="J143" s="8"/>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10"/>
      <c r="AO143" s="65">
        <f t="shared" si="3"/>
        <v>0</v>
      </c>
    </row>
    <row r="144" spans="2:41" s="4" customFormat="1" ht="24" customHeight="1" x14ac:dyDescent="0.2">
      <c r="B144" s="14"/>
      <c r="C144" s="23"/>
      <c r="D144" s="21"/>
      <c r="E144" s="6"/>
      <c r="F144" s="16" t="str">
        <f>IFERROR(VLOOKUP($E144,設定!$C:$F,2,0),"")</f>
        <v/>
      </c>
      <c r="G144" s="156" t="str">
        <f>IFERROR(VLOOKUP($E144,設定!$C:$F,3,0),"")</f>
        <v/>
      </c>
      <c r="H144" s="131" t="str">
        <f>IFERROR(VLOOKUP($E144,設定!$C:$F,4,0),"")</f>
        <v/>
      </c>
      <c r="I144" s="402"/>
      <c r="J144" s="8"/>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10"/>
      <c r="AO144" s="65">
        <f t="shared" si="3"/>
        <v>0</v>
      </c>
    </row>
    <row r="145" spans="2:41" s="4" customFormat="1" ht="24" customHeight="1" x14ac:dyDescent="0.2">
      <c r="B145" s="14"/>
      <c r="C145" s="23"/>
      <c r="D145" s="21"/>
      <c r="E145" s="6"/>
      <c r="F145" s="16" t="str">
        <f>IFERROR(VLOOKUP($E145,設定!$C:$F,2,0),"")</f>
        <v/>
      </c>
      <c r="G145" s="156" t="str">
        <f>IFERROR(VLOOKUP($E145,設定!$C:$F,3,0),"")</f>
        <v/>
      </c>
      <c r="H145" s="131" t="str">
        <f>IFERROR(VLOOKUP($E145,設定!$C:$F,4,0),"")</f>
        <v/>
      </c>
      <c r="I145" s="402"/>
      <c r="J145" s="8"/>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10"/>
      <c r="AO145" s="65">
        <f t="shared" si="3"/>
        <v>0</v>
      </c>
    </row>
    <row r="146" spans="2:41" s="4" customFormat="1" ht="24" customHeight="1" x14ac:dyDescent="0.2">
      <c r="B146" s="14"/>
      <c r="C146" s="23"/>
      <c r="D146" s="21"/>
      <c r="E146" s="6"/>
      <c r="F146" s="16" t="str">
        <f>IFERROR(VLOOKUP($E146,設定!$C:$F,2,0),"")</f>
        <v/>
      </c>
      <c r="G146" s="156" t="str">
        <f>IFERROR(VLOOKUP($E146,設定!$C:$F,3,0),"")</f>
        <v/>
      </c>
      <c r="H146" s="131" t="str">
        <f>IFERROR(VLOOKUP($E146,設定!$C:$F,4,0),"")</f>
        <v/>
      </c>
      <c r="I146" s="402"/>
      <c r="J146" s="8"/>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10"/>
      <c r="AO146" s="65">
        <f t="shared" si="3"/>
        <v>0</v>
      </c>
    </row>
    <row r="147" spans="2:41" s="4" customFormat="1" ht="24" customHeight="1" x14ac:dyDescent="0.2">
      <c r="B147" s="14"/>
      <c r="C147" s="23"/>
      <c r="D147" s="21"/>
      <c r="E147" s="6"/>
      <c r="F147" s="16" t="str">
        <f>IFERROR(VLOOKUP($E147,設定!$C:$F,2,0),"")</f>
        <v/>
      </c>
      <c r="G147" s="156" t="str">
        <f>IFERROR(VLOOKUP($E147,設定!$C:$F,3,0),"")</f>
        <v/>
      </c>
      <c r="H147" s="131" t="str">
        <f>IFERROR(VLOOKUP($E147,設定!$C:$F,4,0),"")</f>
        <v/>
      </c>
      <c r="I147" s="402"/>
      <c r="J147" s="8"/>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10"/>
      <c r="AO147" s="65">
        <f t="shared" si="3"/>
        <v>0</v>
      </c>
    </row>
    <row r="148" spans="2:41" s="4" customFormat="1" ht="24" customHeight="1" x14ac:dyDescent="0.2">
      <c r="B148" s="14"/>
      <c r="C148" s="23"/>
      <c r="D148" s="21"/>
      <c r="E148" s="6"/>
      <c r="F148" s="16" t="str">
        <f>IFERROR(VLOOKUP($E148,設定!$C:$F,2,0),"")</f>
        <v/>
      </c>
      <c r="G148" s="156" t="str">
        <f>IFERROR(VLOOKUP($E148,設定!$C:$F,3,0),"")</f>
        <v/>
      </c>
      <c r="H148" s="131" t="str">
        <f>IFERROR(VLOOKUP($E148,設定!$C:$F,4,0),"")</f>
        <v/>
      </c>
      <c r="I148" s="402"/>
      <c r="J148" s="8"/>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10"/>
      <c r="AO148" s="65">
        <f t="shared" si="3"/>
        <v>0</v>
      </c>
    </row>
    <row r="149" spans="2:41" s="4" customFormat="1" ht="24" customHeight="1" x14ac:dyDescent="0.2">
      <c r="B149" s="14"/>
      <c r="C149" s="23"/>
      <c r="D149" s="21"/>
      <c r="E149" s="6"/>
      <c r="F149" s="16" t="str">
        <f>IFERROR(VLOOKUP($E149,設定!$C:$F,2,0),"")</f>
        <v/>
      </c>
      <c r="G149" s="156" t="str">
        <f>IFERROR(VLOOKUP($E149,設定!$C:$F,3,0),"")</f>
        <v/>
      </c>
      <c r="H149" s="131" t="str">
        <f>IFERROR(VLOOKUP($E149,設定!$C:$F,4,0),"")</f>
        <v/>
      </c>
      <c r="I149" s="402"/>
      <c r="J149" s="8"/>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10"/>
      <c r="AO149" s="65">
        <f t="shared" si="3"/>
        <v>0</v>
      </c>
    </row>
    <row r="150" spans="2:41" s="4" customFormat="1" ht="24" customHeight="1" x14ac:dyDescent="0.2">
      <c r="B150" s="14"/>
      <c r="C150" s="23"/>
      <c r="D150" s="21"/>
      <c r="E150" s="6"/>
      <c r="F150" s="16" t="str">
        <f>IFERROR(VLOOKUP($E150,設定!$C:$F,2,0),"")</f>
        <v/>
      </c>
      <c r="G150" s="156" t="str">
        <f>IFERROR(VLOOKUP($E150,設定!$C:$F,3,0),"")</f>
        <v/>
      </c>
      <c r="H150" s="131" t="str">
        <f>IFERROR(VLOOKUP($E150,設定!$C:$F,4,0),"")</f>
        <v/>
      </c>
      <c r="I150" s="402"/>
      <c r="J150" s="8"/>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10"/>
      <c r="AO150" s="65">
        <f t="shared" si="3"/>
        <v>0</v>
      </c>
    </row>
    <row r="151" spans="2:41" s="4" customFormat="1" ht="24" customHeight="1" x14ac:dyDescent="0.2">
      <c r="B151" s="14"/>
      <c r="C151" s="23"/>
      <c r="D151" s="21"/>
      <c r="E151" s="6"/>
      <c r="F151" s="16" t="str">
        <f>IFERROR(VLOOKUP($E151,設定!$C:$F,2,0),"")</f>
        <v/>
      </c>
      <c r="G151" s="156" t="str">
        <f>IFERROR(VLOOKUP($E151,設定!$C:$F,3,0),"")</f>
        <v/>
      </c>
      <c r="H151" s="131" t="str">
        <f>IFERROR(VLOOKUP($E151,設定!$C:$F,4,0),"")</f>
        <v/>
      </c>
      <c r="I151" s="402"/>
      <c r="J151" s="8"/>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10"/>
      <c r="AO151" s="65">
        <f t="shared" si="3"/>
        <v>0</v>
      </c>
    </row>
    <row r="152" spans="2:41" s="4" customFormat="1" ht="24" customHeight="1" x14ac:dyDescent="0.2">
      <c r="B152" s="14"/>
      <c r="C152" s="23"/>
      <c r="D152" s="21"/>
      <c r="E152" s="6"/>
      <c r="F152" s="16" t="str">
        <f>IFERROR(VLOOKUP($E152,設定!$C:$F,2,0),"")</f>
        <v/>
      </c>
      <c r="G152" s="156" t="str">
        <f>IFERROR(VLOOKUP($E152,設定!$C:$F,3,0),"")</f>
        <v/>
      </c>
      <c r="H152" s="131" t="str">
        <f>IFERROR(VLOOKUP($E152,設定!$C:$F,4,0),"")</f>
        <v/>
      </c>
      <c r="I152" s="402"/>
      <c r="J152" s="8"/>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10"/>
      <c r="AO152" s="65">
        <f t="shared" si="3"/>
        <v>0</v>
      </c>
    </row>
    <row r="153" spans="2:41" s="4" customFormat="1" ht="24" customHeight="1" x14ac:dyDescent="0.2">
      <c r="B153" s="14"/>
      <c r="C153" s="23"/>
      <c r="D153" s="21"/>
      <c r="E153" s="6"/>
      <c r="F153" s="16" t="str">
        <f>IFERROR(VLOOKUP($E153,設定!$C:$F,2,0),"")</f>
        <v/>
      </c>
      <c r="G153" s="156" t="str">
        <f>IFERROR(VLOOKUP($E153,設定!$C:$F,3,0),"")</f>
        <v/>
      </c>
      <c r="H153" s="131" t="str">
        <f>IFERROR(VLOOKUP($E153,設定!$C:$F,4,0),"")</f>
        <v/>
      </c>
      <c r="I153" s="402"/>
      <c r="J153" s="8"/>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10"/>
      <c r="AO153" s="65">
        <f t="shared" si="3"/>
        <v>0</v>
      </c>
    </row>
    <row r="154" spans="2:41" s="4" customFormat="1" ht="24" customHeight="1" x14ac:dyDescent="0.2">
      <c r="B154" s="14"/>
      <c r="C154" s="23"/>
      <c r="D154" s="21"/>
      <c r="E154" s="6"/>
      <c r="F154" s="16" t="str">
        <f>IFERROR(VLOOKUP($E154,設定!$C:$F,2,0),"")</f>
        <v/>
      </c>
      <c r="G154" s="156" t="str">
        <f>IFERROR(VLOOKUP($E154,設定!$C:$F,3,0),"")</f>
        <v/>
      </c>
      <c r="H154" s="131" t="str">
        <f>IFERROR(VLOOKUP($E154,設定!$C:$F,4,0),"")</f>
        <v/>
      </c>
      <c r="I154" s="402"/>
      <c r="J154" s="8"/>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10"/>
      <c r="AO154" s="65">
        <f t="shared" si="3"/>
        <v>0</v>
      </c>
    </row>
    <row r="155" spans="2:41" s="4" customFormat="1" ht="24" customHeight="1" x14ac:dyDescent="0.2">
      <c r="B155" s="14"/>
      <c r="C155" s="23"/>
      <c r="D155" s="21"/>
      <c r="E155" s="6"/>
      <c r="F155" s="16" t="str">
        <f>IFERROR(VLOOKUP($E155,設定!$C:$F,2,0),"")</f>
        <v/>
      </c>
      <c r="G155" s="156" t="str">
        <f>IFERROR(VLOOKUP($E155,設定!$C:$F,3,0),"")</f>
        <v/>
      </c>
      <c r="H155" s="131" t="str">
        <f>IFERROR(VLOOKUP($E155,設定!$C:$F,4,0),"")</f>
        <v/>
      </c>
      <c r="I155" s="402"/>
      <c r="J155" s="8"/>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10"/>
      <c r="AO155" s="65">
        <f t="shared" si="3"/>
        <v>0</v>
      </c>
    </row>
    <row r="156" spans="2:41" s="4" customFormat="1" ht="24" customHeight="1" x14ac:dyDescent="0.2">
      <c r="B156" s="14"/>
      <c r="C156" s="23"/>
      <c r="D156" s="21"/>
      <c r="E156" s="6"/>
      <c r="F156" s="16" t="str">
        <f>IFERROR(VLOOKUP($E156,設定!$C:$F,2,0),"")</f>
        <v/>
      </c>
      <c r="G156" s="156" t="str">
        <f>IFERROR(VLOOKUP($E156,設定!$C:$F,3,0),"")</f>
        <v/>
      </c>
      <c r="H156" s="131" t="str">
        <f>IFERROR(VLOOKUP($E156,設定!$C:$F,4,0),"")</f>
        <v/>
      </c>
      <c r="I156" s="402"/>
      <c r="J156" s="8"/>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10"/>
      <c r="AO156" s="65">
        <f t="shared" si="3"/>
        <v>0</v>
      </c>
    </row>
    <row r="157" spans="2:41" s="4" customFormat="1" ht="24" customHeight="1" x14ac:dyDescent="0.2">
      <c r="B157" s="14"/>
      <c r="C157" s="23"/>
      <c r="D157" s="21"/>
      <c r="E157" s="6"/>
      <c r="F157" s="16" t="str">
        <f>IFERROR(VLOOKUP($E157,設定!$C:$F,2,0),"")</f>
        <v/>
      </c>
      <c r="G157" s="156" t="str">
        <f>IFERROR(VLOOKUP($E157,設定!$C:$F,3,0),"")</f>
        <v/>
      </c>
      <c r="H157" s="131" t="str">
        <f>IFERROR(VLOOKUP($E157,設定!$C:$F,4,0),"")</f>
        <v/>
      </c>
      <c r="I157" s="402"/>
      <c r="J157" s="8"/>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10"/>
      <c r="AO157" s="65">
        <f t="shared" si="3"/>
        <v>0</v>
      </c>
    </row>
    <row r="158" spans="2:41" s="4" customFormat="1" ht="24" customHeight="1" x14ac:dyDescent="0.2">
      <c r="B158" s="14"/>
      <c r="C158" s="23"/>
      <c r="D158" s="21"/>
      <c r="E158" s="6"/>
      <c r="F158" s="16" t="str">
        <f>IFERROR(VLOOKUP($E158,設定!$C:$F,2,0),"")</f>
        <v/>
      </c>
      <c r="G158" s="156" t="str">
        <f>IFERROR(VLOOKUP($E158,設定!$C:$F,3,0),"")</f>
        <v/>
      </c>
      <c r="H158" s="131" t="str">
        <f>IFERROR(VLOOKUP($E158,設定!$C:$F,4,0),"")</f>
        <v/>
      </c>
      <c r="I158" s="402"/>
      <c r="J158" s="8"/>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10"/>
      <c r="AO158" s="65">
        <f t="shared" si="3"/>
        <v>0</v>
      </c>
    </row>
    <row r="159" spans="2:41" s="4" customFormat="1" ht="24" customHeight="1" x14ac:dyDescent="0.2">
      <c r="B159" s="14"/>
      <c r="C159" s="23"/>
      <c r="D159" s="21"/>
      <c r="E159" s="6"/>
      <c r="F159" s="16" t="str">
        <f>IFERROR(VLOOKUP($E159,設定!$C:$F,2,0),"")</f>
        <v/>
      </c>
      <c r="G159" s="156" t="str">
        <f>IFERROR(VLOOKUP($E159,設定!$C:$F,3,0),"")</f>
        <v/>
      </c>
      <c r="H159" s="131" t="str">
        <f>IFERROR(VLOOKUP($E159,設定!$C:$F,4,0),"")</f>
        <v/>
      </c>
      <c r="I159" s="402"/>
      <c r="J159" s="8"/>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10"/>
      <c r="AO159" s="65">
        <f t="shared" si="3"/>
        <v>0</v>
      </c>
    </row>
    <row r="160" spans="2:41" s="4" customFormat="1" ht="24" customHeight="1" x14ac:dyDescent="0.2">
      <c r="B160" s="14"/>
      <c r="C160" s="23"/>
      <c r="D160" s="21"/>
      <c r="E160" s="6"/>
      <c r="F160" s="16" t="str">
        <f>IFERROR(VLOOKUP($E160,設定!$C:$F,2,0),"")</f>
        <v/>
      </c>
      <c r="G160" s="156" t="str">
        <f>IFERROR(VLOOKUP($E160,設定!$C:$F,3,0),"")</f>
        <v/>
      </c>
      <c r="H160" s="131" t="str">
        <f>IFERROR(VLOOKUP($E160,設定!$C:$F,4,0),"")</f>
        <v/>
      </c>
      <c r="I160" s="402"/>
      <c r="J160" s="8"/>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10"/>
      <c r="AO160" s="65">
        <f t="shared" si="3"/>
        <v>0</v>
      </c>
    </row>
    <row r="161" spans="2:41" s="4" customFormat="1" ht="24" customHeight="1" x14ac:dyDescent="0.2">
      <c r="B161" s="14"/>
      <c r="C161" s="23"/>
      <c r="D161" s="21"/>
      <c r="E161" s="6"/>
      <c r="F161" s="16" t="str">
        <f>IFERROR(VLOOKUP($E161,設定!$C:$F,2,0),"")</f>
        <v/>
      </c>
      <c r="G161" s="156" t="str">
        <f>IFERROR(VLOOKUP($E161,設定!$C:$F,3,0),"")</f>
        <v/>
      </c>
      <c r="H161" s="131" t="str">
        <f>IFERROR(VLOOKUP($E161,設定!$C:$F,4,0),"")</f>
        <v/>
      </c>
      <c r="I161" s="402"/>
      <c r="J161" s="8"/>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10"/>
      <c r="AO161" s="65">
        <f t="shared" si="3"/>
        <v>0</v>
      </c>
    </row>
    <row r="162" spans="2:41" s="4" customFormat="1" ht="24" customHeight="1" x14ac:dyDescent="0.2">
      <c r="B162" s="14"/>
      <c r="C162" s="23"/>
      <c r="D162" s="21"/>
      <c r="E162" s="6"/>
      <c r="F162" s="16" t="str">
        <f>IFERROR(VLOOKUP($E162,設定!$C:$F,2,0),"")</f>
        <v/>
      </c>
      <c r="G162" s="156" t="str">
        <f>IFERROR(VLOOKUP($E162,設定!$C:$F,3,0),"")</f>
        <v/>
      </c>
      <c r="H162" s="131" t="str">
        <f>IFERROR(VLOOKUP($E162,設定!$C:$F,4,0),"")</f>
        <v/>
      </c>
      <c r="I162" s="402"/>
      <c r="J162" s="8"/>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10"/>
      <c r="AO162" s="65">
        <f t="shared" si="3"/>
        <v>0</v>
      </c>
    </row>
    <row r="163" spans="2:41" s="4" customFormat="1" ht="24" customHeight="1" x14ac:dyDescent="0.2">
      <c r="B163" s="14"/>
      <c r="C163" s="23"/>
      <c r="D163" s="21"/>
      <c r="E163" s="6"/>
      <c r="F163" s="16" t="str">
        <f>IFERROR(VLOOKUP($E163,設定!$C:$F,2,0),"")</f>
        <v/>
      </c>
      <c r="G163" s="156" t="str">
        <f>IFERROR(VLOOKUP($E163,設定!$C:$F,3,0),"")</f>
        <v/>
      </c>
      <c r="H163" s="131" t="str">
        <f>IFERROR(VLOOKUP($E163,設定!$C:$F,4,0),"")</f>
        <v/>
      </c>
      <c r="I163" s="402"/>
      <c r="J163" s="8"/>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10"/>
      <c r="AO163" s="65">
        <f t="shared" si="3"/>
        <v>0</v>
      </c>
    </row>
    <row r="164" spans="2:41" s="4" customFormat="1" ht="24" customHeight="1" x14ac:dyDescent="0.2">
      <c r="B164" s="14"/>
      <c r="C164" s="23"/>
      <c r="D164" s="21"/>
      <c r="E164" s="6"/>
      <c r="F164" s="16" t="str">
        <f>IFERROR(VLOOKUP($E164,設定!$C:$F,2,0),"")</f>
        <v/>
      </c>
      <c r="G164" s="156" t="str">
        <f>IFERROR(VLOOKUP($E164,設定!$C:$F,3,0),"")</f>
        <v/>
      </c>
      <c r="H164" s="131" t="str">
        <f>IFERROR(VLOOKUP($E164,設定!$C:$F,4,0),"")</f>
        <v/>
      </c>
      <c r="I164" s="402"/>
      <c r="J164" s="8"/>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10"/>
      <c r="AO164" s="65">
        <f t="shared" si="3"/>
        <v>0</v>
      </c>
    </row>
    <row r="165" spans="2:41" s="4" customFormat="1" ht="24" customHeight="1" x14ac:dyDescent="0.2">
      <c r="B165" s="14"/>
      <c r="C165" s="23"/>
      <c r="D165" s="21"/>
      <c r="E165" s="6"/>
      <c r="F165" s="16" t="str">
        <f>IFERROR(VLOOKUP($E165,設定!$C:$F,2,0),"")</f>
        <v/>
      </c>
      <c r="G165" s="156" t="str">
        <f>IFERROR(VLOOKUP($E165,設定!$C:$F,3,0),"")</f>
        <v/>
      </c>
      <c r="H165" s="131" t="str">
        <f>IFERROR(VLOOKUP($E165,設定!$C:$F,4,0),"")</f>
        <v/>
      </c>
      <c r="I165" s="402"/>
      <c r="J165" s="8"/>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10"/>
      <c r="AO165" s="65">
        <f t="shared" si="3"/>
        <v>0</v>
      </c>
    </row>
    <row r="166" spans="2:41" s="4" customFormat="1" ht="24" customHeight="1" x14ac:dyDescent="0.2">
      <c r="B166" s="14"/>
      <c r="C166" s="23"/>
      <c r="D166" s="21"/>
      <c r="E166" s="6"/>
      <c r="F166" s="16" t="str">
        <f>IFERROR(VLOOKUP($E166,設定!$C:$F,2,0),"")</f>
        <v/>
      </c>
      <c r="G166" s="156" t="str">
        <f>IFERROR(VLOOKUP($E166,設定!$C:$F,3,0),"")</f>
        <v/>
      </c>
      <c r="H166" s="131" t="str">
        <f>IFERROR(VLOOKUP($E166,設定!$C:$F,4,0),"")</f>
        <v/>
      </c>
      <c r="I166" s="402"/>
      <c r="J166" s="8"/>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10"/>
      <c r="AO166" s="65">
        <f t="shared" si="3"/>
        <v>0</v>
      </c>
    </row>
    <row r="167" spans="2:41" s="4" customFormat="1" ht="24" customHeight="1" x14ac:dyDescent="0.2">
      <c r="B167" s="14"/>
      <c r="C167" s="23"/>
      <c r="D167" s="21"/>
      <c r="E167" s="6"/>
      <c r="F167" s="16" t="str">
        <f>IFERROR(VLOOKUP($E167,設定!$C:$F,2,0),"")</f>
        <v/>
      </c>
      <c r="G167" s="156" t="str">
        <f>IFERROR(VLOOKUP($E167,設定!$C:$F,3,0),"")</f>
        <v/>
      </c>
      <c r="H167" s="131" t="str">
        <f>IFERROR(VLOOKUP($E167,設定!$C:$F,4,0),"")</f>
        <v/>
      </c>
      <c r="I167" s="402"/>
      <c r="J167" s="8"/>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10"/>
      <c r="AO167" s="65">
        <f t="shared" si="3"/>
        <v>0</v>
      </c>
    </row>
    <row r="168" spans="2:41" s="4" customFormat="1" ht="24" customHeight="1" x14ac:dyDescent="0.2">
      <c r="B168" s="14"/>
      <c r="C168" s="23"/>
      <c r="D168" s="21"/>
      <c r="E168" s="6"/>
      <c r="F168" s="16" t="str">
        <f>IFERROR(VLOOKUP($E168,設定!$C:$F,2,0),"")</f>
        <v/>
      </c>
      <c r="G168" s="156" t="str">
        <f>IFERROR(VLOOKUP($E168,設定!$C:$F,3,0),"")</f>
        <v/>
      </c>
      <c r="H168" s="131" t="str">
        <f>IFERROR(VLOOKUP($E168,設定!$C:$F,4,0),"")</f>
        <v/>
      </c>
      <c r="I168" s="402"/>
      <c r="J168" s="8"/>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10"/>
      <c r="AO168" s="65">
        <f t="shared" si="3"/>
        <v>0</v>
      </c>
    </row>
    <row r="169" spans="2:41" s="4" customFormat="1" ht="24" customHeight="1" x14ac:dyDescent="0.2">
      <c r="B169" s="14"/>
      <c r="C169" s="23"/>
      <c r="D169" s="21"/>
      <c r="E169" s="6"/>
      <c r="F169" s="16" t="str">
        <f>IFERROR(VLOOKUP($E169,設定!$C:$F,2,0),"")</f>
        <v/>
      </c>
      <c r="G169" s="156" t="str">
        <f>IFERROR(VLOOKUP($E169,設定!$C:$F,3,0),"")</f>
        <v/>
      </c>
      <c r="H169" s="131" t="str">
        <f>IFERROR(VLOOKUP($E169,設定!$C:$F,4,0),"")</f>
        <v/>
      </c>
      <c r="I169" s="402"/>
      <c r="J169" s="8"/>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10"/>
      <c r="AO169" s="65">
        <f t="shared" si="3"/>
        <v>0</v>
      </c>
    </row>
    <row r="170" spans="2:41" s="4" customFormat="1" ht="24" customHeight="1" x14ac:dyDescent="0.2">
      <c r="B170" s="14"/>
      <c r="C170" s="23"/>
      <c r="D170" s="21"/>
      <c r="E170" s="6"/>
      <c r="F170" s="16" t="str">
        <f>IFERROR(VLOOKUP($E170,設定!$C:$F,2,0),"")</f>
        <v/>
      </c>
      <c r="G170" s="156" t="str">
        <f>IFERROR(VLOOKUP($E170,設定!$C:$F,3,0),"")</f>
        <v/>
      </c>
      <c r="H170" s="131" t="str">
        <f>IFERROR(VLOOKUP($E170,設定!$C:$F,4,0),"")</f>
        <v/>
      </c>
      <c r="I170" s="402"/>
      <c r="J170" s="8"/>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10"/>
      <c r="AO170" s="65">
        <f t="shared" si="3"/>
        <v>0</v>
      </c>
    </row>
    <row r="171" spans="2:41" s="4" customFormat="1" ht="24" customHeight="1" x14ac:dyDescent="0.2">
      <c r="B171" s="14"/>
      <c r="C171" s="23"/>
      <c r="D171" s="21"/>
      <c r="E171" s="6"/>
      <c r="F171" s="16" t="str">
        <f>IFERROR(VLOOKUP($E171,設定!$C:$F,2,0),"")</f>
        <v/>
      </c>
      <c r="G171" s="156" t="str">
        <f>IFERROR(VLOOKUP($E171,設定!$C:$F,3,0),"")</f>
        <v/>
      </c>
      <c r="H171" s="131" t="str">
        <f>IFERROR(VLOOKUP($E171,設定!$C:$F,4,0),"")</f>
        <v/>
      </c>
      <c r="I171" s="402"/>
      <c r="J171" s="8"/>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10"/>
      <c r="AO171" s="65">
        <f t="shared" si="3"/>
        <v>0</v>
      </c>
    </row>
    <row r="172" spans="2:41" s="4" customFormat="1" ht="24" customHeight="1" x14ac:dyDescent="0.2">
      <c r="B172" s="14"/>
      <c r="C172" s="23"/>
      <c r="D172" s="21"/>
      <c r="E172" s="6"/>
      <c r="F172" s="16" t="str">
        <f>IFERROR(VLOOKUP($E172,設定!$C:$F,2,0),"")</f>
        <v/>
      </c>
      <c r="G172" s="156" t="str">
        <f>IFERROR(VLOOKUP($E172,設定!$C:$F,3,0),"")</f>
        <v/>
      </c>
      <c r="H172" s="131" t="str">
        <f>IFERROR(VLOOKUP($E172,設定!$C:$F,4,0),"")</f>
        <v/>
      </c>
      <c r="I172" s="402"/>
      <c r="J172" s="8"/>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10"/>
      <c r="AO172" s="65">
        <f t="shared" si="3"/>
        <v>0</v>
      </c>
    </row>
    <row r="173" spans="2:41" s="4" customFormat="1" ht="24" customHeight="1" x14ac:dyDescent="0.2">
      <c r="B173" s="14"/>
      <c r="C173" s="23"/>
      <c r="D173" s="21"/>
      <c r="E173" s="6"/>
      <c r="F173" s="16" t="str">
        <f>IFERROR(VLOOKUP($E173,設定!$C:$F,2,0),"")</f>
        <v/>
      </c>
      <c r="G173" s="156" t="str">
        <f>IFERROR(VLOOKUP($E173,設定!$C:$F,3,0),"")</f>
        <v/>
      </c>
      <c r="H173" s="131" t="str">
        <f>IFERROR(VLOOKUP($E173,設定!$C:$F,4,0),"")</f>
        <v/>
      </c>
      <c r="I173" s="402"/>
      <c r="J173" s="8"/>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10"/>
      <c r="AO173" s="65">
        <f t="shared" si="3"/>
        <v>0</v>
      </c>
    </row>
    <row r="174" spans="2:41" s="4" customFormat="1" ht="24" customHeight="1" x14ac:dyDescent="0.2">
      <c r="B174" s="14"/>
      <c r="C174" s="23"/>
      <c r="D174" s="21"/>
      <c r="E174" s="6"/>
      <c r="F174" s="16" t="str">
        <f>IFERROR(VLOOKUP($E174,設定!$C:$F,2,0),"")</f>
        <v/>
      </c>
      <c r="G174" s="156" t="str">
        <f>IFERROR(VLOOKUP($E174,設定!$C:$F,3,0),"")</f>
        <v/>
      </c>
      <c r="H174" s="131" t="str">
        <f>IFERROR(VLOOKUP($E174,設定!$C:$F,4,0),"")</f>
        <v/>
      </c>
      <c r="I174" s="402"/>
      <c r="J174" s="8"/>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10"/>
      <c r="AO174" s="65">
        <f t="shared" si="3"/>
        <v>0</v>
      </c>
    </row>
    <row r="175" spans="2:41" s="4" customFormat="1" ht="24" customHeight="1" x14ac:dyDescent="0.2">
      <c r="B175" s="14"/>
      <c r="C175" s="23"/>
      <c r="D175" s="21"/>
      <c r="E175" s="6"/>
      <c r="F175" s="16" t="str">
        <f>IFERROR(VLOOKUP($E175,設定!$C:$F,2,0),"")</f>
        <v/>
      </c>
      <c r="G175" s="156" t="str">
        <f>IFERROR(VLOOKUP($E175,設定!$C:$F,3,0),"")</f>
        <v/>
      </c>
      <c r="H175" s="131" t="str">
        <f>IFERROR(VLOOKUP($E175,設定!$C:$F,4,0),"")</f>
        <v/>
      </c>
      <c r="I175" s="402"/>
      <c r="J175" s="8"/>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10"/>
      <c r="AO175" s="65">
        <f t="shared" si="3"/>
        <v>0</v>
      </c>
    </row>
    <row r="176" spans="2:41" s="4" customFormat="1" ht="24" customHeight="1" x14ac:dyDescent="0.2">
      <c r="B176" s="14"/>
      <c r="C176" s="23"/>
      <c r="D176" s="21"/>
      <c r="E176" s="6"/>
      <c r="F176" s="16" t="str">
        <f>IFERROR(VLOOKUP($E176,設定!$C:$F,2,0),"")</f>
        <v/>
      </c>
      <c r="G176" s="156" t="str">
        <f>IFERROR(VLOOKUP($E176,設定!$C:$F,3,0),"")</f>
        <v/>
      </c>
      <c r="H176" s="131" t="str">
        <f>IFERROR(VLOOKUP($E176,設定!$C:$F,4,0),"")</f>
        <v/>
      </c>
      <c r="I176" s="402"/>
      <c r="J176" s="8"/>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10"/>
      <c r="AO176" s="65">
        <f t="shared" si="3"/>
        <v>0</v>
      </c>
    </row>
    <row r="177" spans="2:41" s="4" customFormat="1" ht="24" customHeight="1" x14ac:dyDescent="0.2">
      <c r="B177" s="14"/>
      <c r="C177" s="23"/>
      <c r="D177" s="21"/>
      <c r="E177" s="6"/>
      <c r="F177" s="16" t="str">
        <f>IFERROR(VLOOKUP($E177,設定!$C:$F,2,0),"")</f>
        <v/>
      </c>
      <c r="G177" s="156" t="str">
        <f>IFERROR(VLOOKUP($E177,設定!$C:$F,3,0),"")</f>
        <v/>
      </c>
      <c r="H177" s="131" t="str">
        <f>IFERROR(VLOOKUP($E177,設定!$C:$F,4,0),"")</f>
        <v/>
      </c>
      <c r="I177" s="402"/>
      <c r="J177" s="8"/>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10"/>
      <c r="AO177" s="65">
        <f t="shared" si="3"/>
        <v>0</v>
      </c>
    </row>
    <row r="178" spans="2:41" s="4" customFormat="1" ht="24" customHeight="1" x14ac:dyDescent="0.2">
      <c r="B178" s="14"/>
      <c r="C178" s="23"/>
      <c r="D178" s="21"/>
      <c r="E178" s="6"/>
      <c r="F178" s="16" t="str">
        <f>IFERROR(VLOOKUP($E178,設定!$C:$F,2,0),"")</f>
        <v/>
      </c>
      <c r="G178" s="156" t="str">
        <f>IFERROR(VLOOKUP($E178,設定!$C:$F,3,0),"")</f>
        <v/>
      </c>
      <c r="H178" s="131" t="str">
        <f>IFERROR(VLOOKUP($E178,設定!$C:$F,4,0),"")</f>
        <v/>
      </c>
      <c r="I178" s="402"/>
      <c r="J178" s="8"/>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10"/>
      <c r="AO178" s="65">
        <f t="shared" si="3"/>
        <v>0</v>
      </c>
    </row>
    <row r="179" spans="2:41" s="4" customFormat="1" ht="24" customHeight="1" x14ac:dyDescent="0.2">
      <c r="B179" s="14"/>
      <c r="C179" s="23"/>
      <c r="D179" s="21"/>
      <c r="E179" s="6"/>
      <c r="F179" s="16" t="str">
        <f>IFERROR(VLOOKUP($E179,設定!$C:$F,2,0),"")</f>
        <v/>
      </c>
      <c r="G179" s="156" t="str">
        <f>IFERROR(VLOOKUP($E179,設定!$C:$F,3,0),"")</f>
        <v/>
      </c>
      <c r="H179" s="131" t="str">
        <f>IFERROR(VLOOKUP($E179,設定!$C:$F,4,0),"")</f>
        <v/>
      </c>
      <c r="I179" s="402"/>
      <c r="J179" s="8"/>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10"/>
      <c r="AO179" s="65">
        <f t="shared" si="3"/>
        <v>0</v>
      </c>
    </row>
    <row r="180" spans="2:41" s="4" customFormat="1" ht="24" customHeight="1" x14ac:dyDescent="0.2">
      <c r="B180" s="14"/>
      <c r="C180" s="23"/>
      <c r="D180" s="21"/>
      <c r="E180" s="6"/>
      <c r="F180" s="16" t="str">
        <f>IFERROR(VLOOKUP($E180,設定!$C:$F,2,0),"")</f>
        <v/>
      </c>
      <c r="G180" s="156" t="str">
        <f>IFERROR(VLOOKUP($E180,設定!$C:$F,3,0),"")</f>
        <v/>
      </c>
      <c r="H180" s="131" t="str">
        <f>IFERROR(VLOOKUP($E180,設定!$C:$F,4,0),"")</f>
        <v/>
      </c>
      <c r="I180" s="402"/>
      <c r="J180" s="8"/>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10"/>
      <c r="AO180" s="65">
        <f t="shared" si="3"/>
        <v>0</v>
      </c>
    </row>
    <row r="181" spans="2:41" s="4" customFormat="1" ht="24" customHeight="1" x14ac:dyDescent="0.2">
      <c r="B181" s="14"/>
      <c r="C181" s="23"/>
      <c r="D181" s="21"/>
      <c r="E181" s="6"/>
      <c r="F181" s="16" t="str">
        <f>IFERROR(VLOOKUP($E181,設定!$C:$F,2,0),"")</f>
        <v/>
      </c>
      <c r="G181" s="156" t="str">
        <f>IFERROR(VLOOKUP($E181,設定!$C:$F,3,0),"")</f>
        <v/>
      </c>
      <c r="H181" s="131" t="str">
        <f>IFERROR(VLOOKUP($E181,設定!$C:$F,4,0),"")</f>
        <v/>
      </c>
      <c r="I181" s="402"/>
      <c r="J181" s="8"/>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10"/>
      <c r="AO181" s="65">
        <f t="shared" si="3"/>
        <v>0</v>
      </c>
    </row>
    <row r="182" spans="2:41" s="4" customFormat="1" ht="24" customHeight="1" x14ac:dyDescent="0.2">
      <c r="B182" s="14"/>
      <c r="C182" s="23"/>
      <c r="D182" s="21"/>
      <c r="E182" s="6"/>
      <c r="F182" s="16" t="str">
        <f>IFERROR(VLOOKUP($E182,設定!$C:$F,2,0),"")</f>
        <v/>
      </c>
      <c r="G182" s="156" t="str">
        <f>IFERROR(VLOOKUP($E182,設定!$C:$F,3,0),"")</f>
        <v/>
      </c>
      <c r="H182" s="131" t="str">
        <f>IFERROR(VLOOKUP($E182,設定!$C:$F,4,0),"")</f>
        <v/>
      </c>
      <c r="I182" s="402"/>
      <c r="J182" s="8"/>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10"/>
      <c r="AO182" s="65">
        <f t="shared" si="3"/>
        <v>0</v>
      </c>
    </row>
    <row r="183" spans="2:41" s="4" customFormat="1" ht="24" customHeight="1" x14ac:dyDescent="0.2">
      <c r="B183" s="14"/>
      <c r="C183" s="23"/>
      <c r="D183" s="21"/>
      <c r="E183" s="6"/>
      <c r="F183" s="16" t="str">
        <f>IFERROR(VLOOKUP($E183,設定!$C:$F,2,0),"")</f>
        <v/>
      </c>
      <c r="G183" s="156" t="str">
        <f>IFERROR(VLOOKUP($E183,設定!$C:$F,3,0),"")</f>
        <v/>
      </c>
      <c r="H183" s="131" t="str">
        <f>IFERROR(VLOOKUP($E183,設定!$C:$F,4,0),"")</f>
        <v/>
      </c>
      <c r="I183" s="402"/>
      <c r="J183" s="8"/>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10"/>
      <c r="AO183" s="65">
        <f t="shared" si="3"/>
        <v>0</v>
      </c>
    </row>
    <row r="184" spans="2:41" s="4" customFormat="1" ht="24" customHeight="1" x14ac:dyDescent="0.2">
      <c r="B184" s="14"/>
      <c r="C184" s="23"/>
      <c r="D184" s="21"/>
      <c r="E184" s="6"/>
      <c r="F184" s="16" t="str">
        <f>IFERROR(VLOOKUP($E184,設定!$C:$F,2,0),"")</f>
        <v/>
      </c>
      <c r="G184" s="156" t="str">
        <f>IFERROR(VLOOKUP($E184,設定!$C:$F,3,0),"")</f>
        <v/>
      </c>
      <c r="H184" s="131" t="str">
        <f>IFERROR(VLOOKUP($E184,設定!$C:$F,4,0),"")</f>
        <v/>
      </c>
      <c r="I184" s="402"/>
      <c r="J184" s="8"/>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10"/>
      <c r="AO184" s="65">
        <f t="shared" si="3"/>
        <v>0</v>
      </c>
    </row>
    <row r="185" spans="2:41" s="4" customFormat="1" ht="24" customHeight="1" x14ac:dyDescent="0.2">
      <c r="B185" s="14"/>
      <c r="C185" s="23"/>
      <c r="D185" s="21"/>
      <c r="E185" s="6"/>
      <c r="F185" s="16" t="str">
        <f>IFERROR(VLOOKUP($E185,設定!$C:$F,2,0),"")</f>
        <v/>
      </c>
      <c r="G185" s="156" t="str">
        <f>IFERROR(VLOOKUP($E185,設定!$C:$F,3,0),"")</f>
        <v/>
      </c>
      <c r="H185" s="131" t="str">
        <f>IFERROR(VLOOKUP($E185,設定!$C:$F,4,0),"")</f>
        <v/>
      </c>
      <c r="I185" s="402"/>
      <c r="J185" s="8"/>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10"/>
      <c r="AO185" s="65">
        <f t="shared" si="3"/>
        <v>0</v>
      </c>
    </row>
    <row r="186" spans="2:41" s="4" customFormat="1" ht="24" customHeight="1" x14ac:dyDescent="0.2">
      <c r="B186" s="14"/>
      <c r="C186" s="23"/>
      <c r="D186" s="21"/>
      <c r="E186" s="6"/>
      <c r="F186" s="16" t="str">
        <f>IFERROR(VLOOKUP($E186,設定!$C:$F,2,0),"")</f>
        <v/>
      </c>
      <c r="G186" s="156" t="str">
        <f>IFERROR(VLOOKUP($E186,設定!$C:$F,3,0),"")</f>
        <v/>
      </c>
      <c r="H186" s="131" t="str">
        <f>IFERROR(VLOOKUP($E186,設定!$C:$F,4,0),"")</f>
        <v/>
      </c>
      <c r="I186" s="402"/>
      <c r="J186" s="8"/>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10"/>
      <c r="AO186" s="65">
        <f t="shared" si="3"/>
        <v>0</v>
      </c>
    </row>
    <row r="187" spans="2:41" s="4" customFormat="1" ht="24" customHeight="1" x14ac:dyDescent="0.2">
      <c r="B187" s="14"/>
      <c r="C187" s="23"/>
      <c r="D187" s="21"/>
      <c r="E187" s="6"/>
      <c r="F187" s="16" t="str">
        <f>IFERROR(VLOOKUP($E187,設定!$C:$F,2,0),"")</f>
        <v/>
      </c>
      <c r="G187" s="156" t="str">
        <f>IFERROR(VLOOKUP($E187,設定!$C:$F,3,0),"")</f>
        <v/>
      </c>
      <c r="H187" s="131" t="str">
        <f>IFERROR(VLOOKUP($E187,設定!$C:$F,4,0),"")</f>
        <v/>
      </c>
      <c r="I187" s="402"/>
      <c r="J187" s="8"/>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10"/>
      <c r="AO187" s="65">
        <f t="shared" si="3"/>
        <v>0</v>
      </c>
    </row>
    <row r="188" spans="2:41" s="4" customFormat="1" ht="24" customHeight="1" x14ac:dyDescent="0.2">
      <c r="B188" s="14"/>
      <c r="C188" s="23"/>
      <c r="D188" s="21"/>
      <c r="E188" s="6"/>
      <c r="F188" s="16" t="str">
        <f>IFERROR(VLOOKUP($E188,設定!$C:$F,2,0),"")</f>
        <v/>
      </c>
      <c r="G188" s="156" t="str">
        <f>IFERROR(VLOOKUP($E188,設定!$C:$F,3,0),"")</f>
        <v/>
      </c>
      <c r="H188" s="131" t="str">
        <f>IFERROR(VLOOKUP($E188,設定!$C:$F,4,0),"")</f>
        <v/>
      </c>
      <c r="I188" s="402"/>
      <c r="J188" s="8"/>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10"/>
      <c r="AO188" s="65">
        <f t="shared" si="3"/>
        <v>0</v>
      </c>
    </row>
    <row r="189" spans="2:41" s="4" customFormat="1" ht="24" customHeight="1" x14ac:dyDescent="0.2">
      <c r="B189" s="14"/>
      <c r="C189" s="23"/>
      <c r="D189" s="21"/>
      <c r="E189" s="6"/>
      <c r="F189" s="16" t="str">
        <f>IFERROR(VLOOKUP($E189,設定!$C:$F,2,0),"")</f>
        <v/>
      </c>
      <c r="G189" s="156" t="str">
        <f>IFERROR(VLOOKUP($E189,設定!$C:$F,3,0),"")</f>
        <v/>
      </c>
      <c r="H189" s="131" t="str">
        <f>IFERROR(VLOOKUP($E189,設定!$C:$F,4,0),"")</f>
        <v/>
      </c>
      <c r="I189" s="402"/>
      <c r="J189" s="8"/>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10"/>
      <c r="AO189" s="65">
        <f t="shared" si="3"/>
        <v>0</v>
      </c>
    </row>
    <row r="190" spans="2:41" s="4" customFormat="1" ht="24" customHeight="1" x14ac:dyDescent="0.2">
      <c r="B190" s="14"/>
      <c r="C190" s="23"/>
      <c r="D190" s="21"/>
      <c r="E190" s="6"/>
      <c r="F190" s="16" t="str">
        <f>IFERROR(VLOOKUP($E190,設定!$C:$F,2,0),"")</f>
        <v/>
      </c>
      <c r="G190" s="156" t="str">
        <f>IFERROR(VLOOKUP($E190,設定!$C:$F,3,0),"")</f>
        <v/>
      </c>
      <c r="H190" s="131" t="str">
        <f>IFERROR(VLOOKUP($E190,設定!$C:$F,4,0),"")</f>
        <v/>
      </c>
      <c r="I190" s="402"/>
      <c r="J190" s="8"/>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10"/>
      <c r="AO190" s="65">
        <f t="shared" si="3"/>
        <v>0</v>
      </c>
    </row>
    <row r="191" spans="2:41" s="4" customFormat="1" ht="24" customHeight="1" x14ac:dyDescent="0.2">
      <c r="B191" s="14"/>
      <c r="C191" s="23"/>
      <c r="D191" s="21"/>
      <c r="E191" s="6"/>
      <c r="F191" s="16" t="str">
        <f>IFERROR(VLOOKUP($E191,設定!$C:$F,2,0),"")</f>
        <v/>
      </c>
      <c r="G191" s="156" t="str">
        <f>IFERROR(VLOOKUP($E191,設定!$C:$F,3,0),"")</f>
        <v/>
      </c>
      <c r="H191" s="131" t="str">
        <f>IFERROR(VLOOKUP($E191,設定!$C:$F,4,0),"")</f>
        <v/>
      </c>
      <c r="I191" s="402"/>
      <c r="J191" s="8"/>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10"/>
      <c r="AO191" s="65">
        <f t="shared" si="3"/>
        <v>0</v>
      </c>
    </row>
    <row r="192" spans="2:41" s="4" customFormat="1" ht="24" customHeight="1" x14ac:dyDescent="0.2">
      <c r="B192" s="14"/>
      <c r="C192" s="23"/>
      <c r="D192" s="21"/>
      <c r="E192" s="6"/>
      <c r="F192" s="16" t="str">
        <f>IFERROR(VLOOKUP($E192,設定!$C:$F,2,0),"")</f>
        <v/>
      </c>
      <c r="G192" s="156" t="str">
        <f>IFERROR(VLOOKUP($E192,設定!$C:$F,3,0),"")</f>
        <v/>
      </c>
      <c r="H192" s="131" t="str">
        <f>IFERROR(VLOOKUP($E192,設定!$C:$F,4,0),"")</f>
        <v/>
      </c>
      <c r="I192" s="402"/>
      <c r="J192" s="8"/>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10"/>
      <c r="AO192" s="65">
        <f t="shared" si="3"/>
        <v>0</v>
      </c>
    </row>
    <row r="193" spans="2:41" s="4" customFormat="1" ht="24" customHeight="1" x14ac:dyDescent="0.2">
      <c r="B193" s="14"/>
      <c r="C193" s="23"/>
      <c r="D193" s="21"/>
      <c r="E193" s="6"/>
      <c r="F193" s="16" t="str">
        <f>IFERROR(VLOOKUP($E193,設定!$C:$F,2,0),"")</f>
        <v/>
      </c>
      <c r="G193" s="156" t="str">
        <f>IFERROR(VLOOKUP($E193,設定!$C:$F,3,0),"")</f>
        <v/>
      </c>
      <c r="H193" s="131" t="str">
        <f>IFERROR(VLOOKUP($E193,設定!$C:$F,4,0),"")</f>
        <v/>
      </c>
      <c r="I193" s="402"/>
      <c r="J193" s="8"/>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10"/>
      <c r="AO193" s="65">
        <f t="shared" si="3"/>
        <v>0</v>
      </c>
    </row>
    <row r="194" spans="2:41" s="4" customFormat="1" ht="24" customHeight="1" x14ac:dyDescent="0.2">
      <c r="B194" s="14"/>
      <c r="C194" s="23"/>
      <c r="D194" s="21"/>
      <c r="E194" s="6"/>
      <c r="F194" s="16" t="str">
        <f>IFERROR(VLOOKUP($E194,設定!$C:$F,2,0),"")</f>
        <v/>
      </c>
      <c r="G194" s="156" t="str">
        <f>IFERROR(VLOOKUP($E194,設定!$C:$F,3,0),"")</f>
        <v/>
      </c>
      <c r="H194" s="131" t="str">
        <f>IFERROR(VLOOKUP($E194,設定!$C:$F,4,0),"")</f>
        <v/>
      </c>
      <c r="I194" s="402"/>
      <c r="J194" s="8"/>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10"/>
      <c r="AO194" s="65">
        <f t="shared" si="3"/>
        <v>0</v>
      </c>
    </row>
    <row r="195" spans="2:41" s="4" customFormat="1" ht="24" customHeight="1" x14ac:dyDescent="0.2">
      <c r="B195" s="14"/>
      <c r="C195" s="23"/>
      <c r="D195" s="21"/>
      <c r="E195" s="6"/>
      <c r="F195" s="16" t="str">
        <f>IFERROR(VLOOKUP($E195,設定!$C:$F,2,0),"")</f>
        <v/>
      </c>
      <c r="G195" s="156" t="str">
        <f>IFERROR(VLOOKUP($E195,設定!$C:$F,3,0),"")</f>
        <v/>
      </c>
      <c r="H195" s="131" t="str">
        <f>IFERROR(VLOOKUP($E195,設定!$C:$F,4,0),"")</f>
        <v/>
      </c>
      <c r="I195" s="402"/>
      <c r="J195" s="8"/>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10"/>
      <c r="AO195" s="65">
        <f t="shared" si="3"/>
        <v>0</v>
      </c>
    </row>
    <row r="196" spans="2:41" s="4" customFormat="1" ht="24" customHeight="1" x14ac:dyDescent="0.2">
      <c r="B196" s="14"/>
      <c r="C196" s="23"/>
      <c r="D196" s="21"/>
      <c r="E196" s="6"/>
      <c r="F196" s="16" t="str">
        <f>IFERROR(VLOOKUP($E196,設定!$C:$F,2,0),"")</f>
        <v/>
      </c>
      <c r="G196" s="156" t="str">
        <f>IFERROR(VLOOKUP($E196,設定!$C:$F,3,0),"")</f>
        <v/>
      </c>
      <c r="H196" s="131" t="str">
        <f>IFERROR(VLOOKUP($E196,設定!$C:$F,4,0),"")</f>
        <v/>
      </c>
      <c r="I196" s="402"/>
      <c r="J196" s="8"/>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10"/>
      <c r="AO196" s="65">
        <f t="shared" si="3"/>
        <v>0</v>
      </c>
    </row>
    <row r="197" spans="2:41" s="4" customFormat="1" ht="24" customHeight="1" x14ac:dyDescent="0.2">
      <c r="B197" s="14"/>
      <c r="C197" s="23"/>
      <c r="D197" s="21"/>
      <c r="E197" s="6"/>
      <c r="F197" s="16" t="str">
        <f>IFERROR(VLOOKUP($E197,設定!$C:$F,2,0),"")</f>
        <v/>
      </c>
      <c r="G197" s="156" t="str">
        <f>IFERROR(VLOOKUP($E197,設定!$C:$F,3,0),"")</f>
        <v/>
      </c>
      <c r="H197" s="131" t="str">
        <f>IFERROR(VLOOKUP($E197,設定!$C:$F,4,0),"")</f>
        <v/>
      </c>
      <c r="I197" s="402"/>
      <c r="J197" s="8"/>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10"/>
      <c r="AO197" s="65">
        <f t="shared" si="3"/>
        <v>0</v>
      </c>
    </row>
    <row r="198" spans="2:41" s="4" customFormat="1" ht="24" customHeight="1" x14ac:dyDescent="0.2">
      <c r="B198" s="14"/>
      <c r="C198" s="23"/>
      <c r="D198" s="21"/>
      <c r="E198" s="6"/>
      <c r="F198" s="16" t="str">
        <f>IFERROR(VLOOKUP($E198,設定!$C:$F,2,0),"")</f>
        <v/>
      </c>
      <c r="G198" s="156" t="str">
        <f>IFERROR(VLOOKUP($E198,設定!$C:$F,3,0),"")</f>
        <v/>
      </c>
      <c r="H198" s="131" t="str">
        <f>IFERROR(VLOOKUP($E198,設定!$C:$F,4,0),"")</f>
        <v/>
      </c>
      <c r="I198" s="402"/>
      <c r="J198" s="8"/>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10"/>
      <c r="AO198" s="65">
        <f t="shared" si="3"/>
        <v>0</v>
      </c>
    </row>
    <row r="199" spans="2:41" s="4" customFormat="1" ht="24" customHeight="1" x14ac:dyDescent="0.2">
      <c r="B199" s="14"/>
      <c r="C199" s="23"/>
      <c r="D199" s="21"/>
      <c r="E199" s="6"/>
      <c r="F199" s="16" t="str">
        <f>IFERROR(VLOOKUP($E199,設定!$C:$F,2,0),"")</f>
        <v/>
      </c>
      <c r="G199" s="156" t="str">
        <f>IFERROR(VLOOKUP($E199,設定!$C:$F,3,0),"")</f>
        <v/>
      </c>
      <c r="H199" s="131" t="str">
        <f>IFERROR(VLOOKUP($E199,設定!$C:$F,4,0),"")</f>
        <v/>
      </c>
      <c r="I199" s="402"/>
      <c r="J199" s="8"/>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10"/>
      <c r="AO199" s="65">
        <f t="shared" ref="AO199:AO262" si="4">I199*SUM(J199:AN199)</f>
        <v>0</v>
      </c>
    </row>
    <row r="200" spans="2:41" s="4" customFormat="1" ht="24" customHeight="1" x14ac:dyDescent="0.2">
      <c r="B200" s="14"/>
      <c r="C200" s="23"/>
      <c r="D200" s="21"/>
      <c r="E200" s="6"/>
      <c r="F200" s="16" t="str">
        <f>IFERROR(VLOOKUP($E200,設定!$C:$F,2,0),"")</f>
        <v/>
      </c>
      <c r="G200" s="156" t="str">
        <f>IFERROR(VLOOKUP($E200,設定!$C:$F,3,0),"")</f>
        <v/>
      </c>
      <c r="H200" s="131" t="str">
        <f>IFERROR(VLOOKUP($E200,設定!$C:$F,4,0),"")</f>
        <v/>
      </c>
      <c r="I200" s="402"/>
      <c r="J200" s="8"/>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10"/>
      <c r="AO200" s="65">
        <f t="shared" si="4"/>
        <v>0</v>
      </c>
    </row>
    <row r="201" spans="2:41" s="4" customFormat="1" ht="24" customHeight="1" x14ac:dyDescent="0.2">
      <c r="B201" s="14"/>
      <c r="C201" s="23"/>
      <c r="D201" s="21"/>
      <c r="E201" s="6"/>
      <c r="F201" s="16" t="str">
        <f>IFERROR(VLOOKUP($E201,設定!$C:$F,2,0),"")</f>
        <v/>
      </c>
      <c r="G201" s="156" t="str">
        <f>IFERROR(VLOOKUP($E201,設定!$C:$F,3,0),"")</f>
        <v/>
      </c>
      <c r="H201" s="131" t="str">
        <f>IFERROR(VLOOKUP($E201,設定!$C:$F,4,0),"")</f>
        <v/>
      </c>
      <c r="I201" s="402"/>
      <c r="J201" s="8"/>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10"/>
      <c r="AO201" s="65">
        <f t="shared" si="4"/>
        <v>0</v>
      </c>
    </row>
    <row r="202" spans="2:41" s="4" customFormat="1" ht="24" customHeight="1" x14ac:dyDescent="0.2">
      <c r="B202" s="14"/>
      <c r="C202" s="23"/>
      <c r="D202" s="21"/>
      <c r="E202" s="6"/>
      <c r="F202" s="16" t="str">
        <f>IFERROR(VLOOKUP($E202,設定!$C:$F,2,0),"")</f>
        <v/>
      </c>
      <c r="G202" s="156" t="str">
        <f>IFERROR(VLOOKUP($E202,設定!$C:$F,3,0),"")</f>
        <v/>
      </c>
      <c r="H202" s="131" t="str">
        <f>IFERROR(VLOOKUP($E202,設定!$C:$F,4,0),"")</f>
        <v/>
      </c>
      <c r="I202" s="402"/>
      <c r="J202" s="8"/>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10"/>
      <c r="AO202" s="65">
        <f t="shared" si="4"/>
        <v>0</v>
      </c>
    </row>
    <row r="203" spans="2:41" s="4" customFormat="1" ht="24" customHeight="1" x14ac:dyDescent="0.2">
      <c r="B203" s="14"/>
      <c r="C203" s="23"/>
      <c r="D203" s="21"/>
      <c r="E203" s="6"/>
      <c r="F203" s="16" t="str">
        <f>IFERROR(VLOOKUP($E203,設定!$C:$F,2,0),"")</f>
        <v/>
      </c>
      <c r="G203" s="156" t="str">
        <f>IFERROR(VLOOKUP($E203,設定!$C:$F,3,0),"")</f>
        <v/>
      </c>
      <c r="H203" s="131" t="str">
        <f>IFERROR(VLOOKUP($E203,設定!$C:$F,4,0),"")</f>
        <v/>
      </c>
      <c r="I203" s="402"/>
      <c r="J203" s="8"/>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10"/>
      <c r="AO203" s="65">
        <f t="shared" si="4"/>
        <v>0</v>
      </c>
    </row>
    <row r="204" spans="2:41" s="4" customFormat="1" ht="24" customHeight="1" x14ac:dyDescent="0.2">
      <c r="B204" s="14"/>
      <c r="C204" s="23"/>
      <c r="D204" s="21"/>
      <c r="E204" s="6"/>
      <c r="F204" s="16" t="str">
        <f>IFERROR(VLOOKUP($E204,設定!$C:$F,2,0),"")</f>
        <v/>
      </c>
      <c r="G204" s="156" t="str">
        <f>IFERROR(VLOOKUP($E204,設定!$C:$F,3,0),"")</f>
        <v/>
      </c>
      <c r="H204" s="131" t="str">
        <f>IFERROR(VLOOKUP($E204,設定!$C:$F,4,0),"")</f>
        <v/>
      </c>
      <c r="I204" s="402"/>
      <c r="J204" s="8"/>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10"/>
      <c r="AO204" s="65">
        <f t="shared" si="4"/>
        <v>0</v>
      </c>
    </row>
    <row r="205" spans="2:41" s="4" customFormat="1" ht="24" customHeight="1" x14ac:dyDescent="0.2">
      <c r="B205" s="14"/>
      <c r="C205" s="23"/>
      <c r="D205" s="21"/>
      <c r="E205" s="6"/>
      <c r="F205" s="16" t="str">
        <f>IFERROR(VLOOKUP($E205,設定!$C:$F,2,0),"")</f>
        <v/>
      </c>
      <c r="G205" s="156" t="str">
        <f>IFERROR(VLOOKUP($E205,設定!$C:$F,3,0),"")</f>
        <v/>
      </c>
      <c r="H205" s="131" t="str">
        <f>IFERROR(VLOOKUP($E205,設定!$C:$F,4,0),"")</f>
        <v/>
      </c>
      <c r="I205" s="402"/>
      <c r="J205" s="8"/>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10"/>
      <c r="AO205" s="65">
        <f t="shared" si="4"/>
        <v>0</v>
      </c>
    </row>
    <row r="206" spans="2:41" s="4" customFormat="1" ht="24" customHeight="1" x14ac:dyDescent="0.2">
      <c r="B206" s="14"/>
      <c r="C206" s="23"/>
      <c r="D206" s="21"/>
      <c r="E206" s="6"/>
      <c r="F206" s="16" t="str">
        <f>IFERROR(VLOOKUP($E206,設定!$C:$F,2,0),"")</f>
        <v/>
      </c>
      <c r="G206" s="156" t="str">
        <f>IFERROR(VLOOKUP($E206,設定!$C:$F,3,0),"")</f>
        <v/>
      </c>
      <c r="H206" s="131" t="str">
        <f>IFERROR(VLOOKUP($E206,設定!$C:$F,4,0),"")</f>
        <v/>
      </c>
      <c r="I206" s="402"/>
      <c r="J206" s="8"/>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10"/>
      <c r="AO206" s="65">
        <f t="shared" si="4"/>
        <v>0</v>
      </c>
    </row>
    <row r="207" spans="2:41" s="4" customFormat="1" ht="24" customHeight="1" x14ac:dyDescent="0.2">
      <c r="B207" s="14"/>
      <c r="C207" s="23"/>
      <c r="D207" s="21"/>
      <c r="E207" s="6"/>
      <c r="F207" s="16" t="str">
        <f>IFERROR(VLOOKUP($E207,設定!$C:$F,2,0),"")</f>
        <v/>
      </c>
      <c r="G207" s="156" t="str">
        <f>IFERROR(VLOOKUP($E207,設定!$C:$F,3,0),"")</f>
        <v/>
      </c>
      <c r="H207" s="131" t="str">
        <f>IFERROR(VLOOKUP($E207,設定!$C:$F,4,0),"")</f>
        <v/>
      </c>
      <c r="I207" s="402"/>
      <c r="J207" s="8"/>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10"/>
      <c r="AO207" s="65">
        <f t="shared" si="4"/>
        <v>0</v>
      </c>
    </row>
    <row r="208" spans="2:41" s="4" customFormat="1" ht="24" customHeight="1" x14ac:dyDescent="0.2">
      <c r="B208" s="14"/>
      <c r="C208" s="23"/>
      <c r="D208" s="21"/>
      <c r="E208" s="6"/>
      <c r="F208" s="16" t="str">
        <f>IFERROR(VLOOKUP($E208,設定!$C:$F,2,0),"")</f>
        <v/>
      </c>
      <c r="G208" s="156" t="str">
        <f>IFERROR(VLOOKUP($E208,設定!$C:$F,3,0),"")</f>
        <v/>
      </c>
      <c r="H208" s="131" t="str">
        <f>IFERROR(VLOOKUP($E208,設定!$C:$F,4,0),"")</f>
        <v/>
      </c>
      <c r="I208" s="402"/>
      <c r="J208" s="8"/>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10"/>
      <c r="AO208" s="65">
        <f t="shared" si="4"/>
        <v>0</v>
      </c>
    </row>
    <row r="209" spans="2:41" s="4" customFormat="1" ht="24" customHeight="1" x14ac:dyDescent="0.2">
      <c r="B209" s="14"/>
      <c r="C209" s="23"/>
      <c r="D209" s="21"/>
      <c r="E209" s="6"/>
      <c r="F209" s="16" t="str">
        <f>IFERROR(VLOOKUP($E209,設定!$C:$F,2,0),"")</f>
        <v/>
      </c>
      <c r="G209" s="156" t="str">
        <f>IFERROR(VLOOKUP($E209,設定!$C:$F,3,0),"")</f>
        <v/>
      </c>
      <c r="H209" s="131" t="str">
        <f>IFERROR(VLOOKUP($E209,設定!$C:$F,4,0),"")</f>
        <v/>
      </c>
      <c r="I209" s="402"/>
      <c r="J209" s="8"/>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10"/>
      <c r="AO209" s="65">
        <f t="shared" si="4"/>
        <v>0</v>
      </c>
    </row>
    <row r="210" spans="2:41" s="4" customFormat="1" ht="24" customHeight="1" x14ac:dyDescent="0.2">
      <c r="B210" s="14"/>
      <c r="C210" s="23"/>
      <c r="D210" s="21"/>
      <c r="E210" s="6"/>
      <c r="F210" s="16" t="str">
        <f>IFERROR(VLOOKUP($E210,設定!$C:$F,2,0),"")</f>
        <v/>
      </c>
      <c r="G210" s="156" t="str">
        <f>IFERROR(VLOOKUP($E210,設定!$C:$F,3,0),"")</f>
        <v/>
      </c>
      <c r="H210" s="131" t="str">
        <f>IFERROR(VLOOKUP($E210,設定!$C:$F,4,0),"")</f>
        <v/>
      </c>
      <c r="I210" s="402"/>
      <c r="J210" s="8"/>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10"/>
      <c r="AO210" s="65">
        <f t="shared" si="4"/>
        <v>0</v>
      </c>
    </row>
    <row r="211" spans="2:41" s="4" customFormat="1" ht="24" customHeight="1" x14ac:dyDescent="0.2">
      <c r="B211" s="14"/>
      <c r="C211" s="23"/>
      <c r="D211" s="21"/>
      <c r="E211" s="6"/>
      <c r="F211" s="16" t="str">
        <f>IFERROR(VLOOKUP($E211,設定!$C:$F,2,0),"")</f>
        <v/>
      </c>
      <c r="G211" s="156" t="str">
        <f>IFERROR(VLOOKUP($E211,設定!$C:$F,3,0),"")</f>
        <v/>
      </c>
      <c r="H211" s="131" t="str">
        <f>IFERROR(VLOOKUP($E211,設定!$C:$F,4,0),"")</f>
        <v/>
      </c>
      <c r="I211" s="402"/>
      <c r="J211" s="8"/>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10"/>
      <c r="AO211" s="65">
        <f t="shared" si="4"/>
        <v>0</v>
      </c>
    </row>
    <row r="212" spans="2:41" s="4" customFormat="1" ht="24" customHeight="1" x14ac:dyDescent="0.2">
      <c r="B212" s="14"/>
      <c r="C212" s="23"/>
      <c r="D212" s="21"/>
      <c r="E212" s="6"/>
      <c r="F212" s="16" t="str">
        <f>IFERROR(VLOOKUP($E212,設定!$C:$F,2,0),"")</f>
        <v/>
      </c>
      <c r="G212" s="156" t="str">
        <f>IFERROR(VLOOKUP($E212,設定!$C:$F,3,0),"")</f>
        <v/>
      </c>
      <c r="H212" s="131" t="str">
        <f>IFERROR(VLOOKUP($E212,設定!$C:$F,4,0),"")</f>
        <v/>
      </c>
      <c r="I212" s="402"/>
      <c r="J212" s="8"/>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10"/>
      <c r="AO212" s="65">
        <f t="shared" si="4"/>
        <v>0</v>
      </c>
    </row>
    <row r="213" spans="2:41" s="4" customFormat="1" ht="24" customHeight="1" x14ac:dyDescent="0.2">
      <c r="B213" s="14"/>
      <c r="C213" s="23"/>
      <c r="D213" s="21"/>
      <c r="E213" s="6"/>
      <c r="F213" s="16" t="str">
        <f>IFERROR(VLOOKUP($E213,設定!$C:$F,2,0),"")</f>
        <v/>
      </c>
      <c r="G213" s="156" t="str">
        <f>IFERROR(VLOOKUP($E213,設定!$C:$F,3,0),"")</f>
        <v/>
      </c>
      <c r="H213" s="131" t="str">
        <f>IFERROR(VLOOKUP($E213,設定!$C:$F,4,0),"")</f>
        <v/>
      </c>
      <c r="I213" s="402"/>
      <c r="J213" s="8"/>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10"/>
      <c r="AO213" s="65">
        <f t="shared" si="4"/>
        <v>0</v>
      </c>
    </row>
    <row r="214" spans="2:41" s="4" customFormat="1" ht="24" customHeight="1" x14ac:dyDescent="0.2">
      <c r="B214" s="14"/>
      <c r="C214" s="23"/>
      <c r="D214" s="21"/>
      <c r="E214" s="6"/>
      <c r="F214" s="16" t="str">
        <f>IFERROR(VLOOKUP($E214,設定!$C:$F,2,0),"")</f>
        <v/>
      </c>
      <c r="G214" s="156" t="str">
        <f>IFERROR(VLOOKUP($E214,設定!$C:$F,3,0),"")</f>
        <v/>
      </c>
      <c r="H214" s="131" t="str">
        <f>IFERROR(VLOOKUP($E214,設定!$C:$F,4,0),"")</f>
        <v/>
      </c>
      <c r="I214" s="402"/>
      <c r="J214" s="8"/>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10"/>
      <c r="AO214" s="65">
        <f t="shared" si="4"/>
        <v>0</v>
      </c>
    </row>
    <row r="215" spans="2:41" s="4" customFormat="1" ht="24" customHeight="1" x14ac:dyDescent="0.2">
      <c r="B215" s="14"/>
      <c r="C215" s="23"/>
      <c r="D215" s="21"/>
      <c r="E215" s="6"/>
      <c r="F215" s="16" t="str">
        <f>IFERROR(VLOOKUP($E215,設定!$C:$F,2,0),"")</f>
        <v/>
      </c>
      <c r="G215" s="156" t="str">
        <f>IFERROR(VLOOKUP($E215,設定!$C:$F,3,0),"")</f>
        <v/>
      </c>
      <c r="H215" s="131" t="str">
        <f>IFERROR(VLOOKUP($E215,設定!$C:$F,4,0),"")</f>
        <v/>
      </c>
      <c r="I215" s="402"/>
      <c r="J215" s="8"/>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10"/>
      <c r="AO215" s="65">
        <f t="shared" si="4"/>
        <v>0</v>
      </c>
    </row>
    <row r="216" spans="2:41" s="4" customFormat="1" ht="24" customHeight="1" x14ac:dyDescent="0.2">
      <c r="B216" s="14"/>
      <c r="C216" s="23"/>
      <c r="D216" s="21"/>
      <c r="E216" s="6"/>
      <c r="F216" s="16" t="str">
        <f>IFERROR(VLOOKUP($E216,設定!$C:$F,2,0),"")</f>
        <v/>
      </c>
      <c r="G216" s="156" t="str">
        <f>IFERROR(VLOOKUP($E216,設定!$C:$F,3,0),"")</f>
        <v/>
      </c>
      <c r="H216" s="131" t="str">
        <f>IFERROR(VLOOKUP($E216,設定!$C:$F,4,0),"")</f>
        <v/>
      </c>
      <c r="I216" s="402"/>
      <c r="J216" s="8"/>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10"/>
      <c r="AO216" s="65">
        <f t="shared" si="4"/>
        <v>0</v>
      </c>
    </row>
    <row r="217" spans="2:41" s="4" customFormat="1" ht="24" customHeight="1" x14ac:dyDescent="0.2">
      <c r="B217" s="14"/>
      <c r="C217" s="23"/>
      <c r="D217" s="21"/>
      <c r="E217" s="6"/>
      <c r="F217" s="16" t="str">
        <f>IFERROR(VLOOKUP($E217,設定!$C:$F,2,0),"")</f>
        <v/>
      </c>
      <c r="G217" s="156" t="str">
        <f>IFERROR(VLOOKUP($E217,設定!$C:$F,3,0),"")</f>
        <v/>
      </c>
      <c r="H217" s="131" t="str">
        <f>IFERROR(VLOOKUP($E217,設定!$C:$F,4,0),"")</f>
        <v/>
      </c>
      <c r="I217" s="402"/>
      <c r="J217" s="8"/>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10"/>
      <c r="AO217" s="65">
        <f t="shared" si="4"/>
        <v>0</v>
      </c>
    </row>
    <row r="218" spans="2:41" s="4" customFormat="1" ht="24" customHeight="1" x14ac:dyDescent="0.2">
      <c r="B218" s="14"/>
      <c r="C218" s="23"/>
      <c r="D218" s="21"/>
      <c r="E218" s="6"/>
      <c r="F218" s="16" t="str">
        <f>IFERROR(VLOOKUP($E218,設定!$C:$F,2,0),"")</f>
        <v/>
      </c>
      <c r="G218" s="156" t="str">
        <f>IFERROR(VLOOKUP($E218,設定!$C:$F,3,0),"")</f>
        <v/>
      </c>
      <c r="H218" s="131" t="str">
        <f>IFERROR(VLOOKUP($E218,設定!$C:$F,4,0),"")</f>
        <v/>
      </c>
      <c r="I218" s="402"/>
      <c r="J218" s="8"/>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10"/>
      <c r="AO218" s="65">
        <f t="shared" si="4"/>
        <v>0</v>
      </c>
    </row>
    <row r="219" spans="2:41" s="4" customFormat="1" ht="24" customHeight="1" x14ac:dyDescent="0.2">
      <c r="B219" s="14"/>
      <c r="C219" s="23"/>
      <c r="D219" s="21"/>
      <c r="E219" s="6"/>
      <c r="F219" s="16" t="str">
        <f>IFERROR(VLOOKUP($E219,設定!$C:$F,2,0),"")</f>
        <v/>
      </c>
      <c r="G219" s="156" t="str">
        <f>IFERROR(VLOOKUP($E219,設定!$C:$F,3,0),"")</f>
        <v/>
      </c>
      <c r="H219" s="131" t="str">
        <f>IFERROR(VLOOKUP($E219,設定!$C:$F,4,0),"")</f>
        <v/>
      </c>
      <c r="I219" s="402"/>
      <c r="J219" s="8"/>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10"/>
      <c r="AO219" s="65">
        <f t="shared" si="4"/>
        <v>0</v>
      </c>
    </row>
    <row r="220" spans="2:41" s="4" customFormat="1" ht="24" customHeight="1" x14ac:dyDescent="0.2">
      <c r="B220" s="14"/>
      <c r="C220" s="23"/>
      <c r="D220" s="21"/>
      <c r="E220" s="6"/>
      <c r="F220" s="16" t="str">
        <f>IFERROR(VLOOKUP($E220,設定!$C:$F,2,0),"")</f>
        <v/>
      </c>
      <c r="G220" s="156" t="str">
        <f>IFERROR(VLOOKUP($E220,設定!$C:$F,3,0),"")</f>
        <v/>
      </c>
      <c r="H220" s="131" t="str">
        <f>IFERROR(VLOOKUP($E220,設定!$C:$F,4,0),"")</f>
        <v/>
      </c>
      <c r="I220" s="402"/>
      <c r="J220" s="8"/>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10"/>
      <c r="AO220" s="65">
        <f t="shared" si="4"/>
        <v>0</v>
      </c>
    </row>
    <row r="221" spans="2:41" s="4" customFormat="1" ht="24" customHeight="1" x14ac:dyDescent="0.2">
      <c r="B221" s="14"/>
      <c r="C221" s="23"/>
      <c r="D221" s="21"/>
      <c r="E221" s="6"/>
      <c r="F221" s="16" t="str">
        <f>IFERROR(VLOOKUP($E221,設定!$C:$F,2,0),"")</f>
        <v/>
      </c>
      <c r="G221" s="156" t="str">
        <f>IFERROR(VLOOKUP($E221,設定!$C:$F,3,0),"")</f>
        <v/>
      </c>
      <c r="H221" s="131" t="str">
        <f>IFERROR(VLOOKUP($E221,設定!$C:$F,4,0),"")</f>
        <v/>
      </c>
      <c r="I221" s="402"/>
      <c r="J221" s="8"/>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10"/>
      <c r="AO221" s="65">
        <f t="shared" si="4"/>
        <v>0</v>
      </c>
    </row>
    <row r="222" spans="2:41" s="4" customFormat="1" ht="24" customHeight="1" x14ac:dyDescent="0.2">
      <c r="B222" s="14"/>
      <c r="C222" s="23"/>
      <c r="D222" s="21"/>
      <c r="E222" s="6"/>
      <c r="F222" s="16" t="str">
        <f>IFERROR(VLOOKUP($E222,設定!$C:$F,2,0),"")</f>
        <v/>
      </c>
      <c r="G222" s="156" t="str">
        <f>IFERROR(VLOOKUP($E222,設定!$C:$F,3,0),"")</f>
        <v/>
      </c>
      <c r="H222" s="131" t="str">
        <f>IFERROR(VLOOKUP($E222,設定!$C:$F,4,0),"")</f>
        <v/>
      </c>
      <c r="I222" s="402"/>
      <c r="J222" s="8"/>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10"/>
      <c r="AO222" s="65">
        <f t="shared" si="4"/>
        <v>0</v>
      </c>
    </row>
    <row r="223" spans="2:41" s="4" customFormat="1" ht="24" customHeight="1" x14ac:dyDescent="0.2">
      <c r="B223" s="14"/>
      <c r="C223" s="23"/>
      <c r="D223" s="21"/>
      <c r="E223" s="6"/>
      <c r="F223" s="16" t="str">
        <f>IFERROR(VLOOKUP($E223,設定!$C:$F,2,0),"")</f>
        <v/>
      </c>
      <c r="G223" s="156" t="str">
        <f>IFERROR(VLOOKUP($E223,設定!$C:$F,3,0),"")</f>
        <v/>
      </c>
      <c r="H223" s="131" t="str">
        <f>IFERROR(VLOOKUP($E223,設定!$C:$F,4,0),"")</f>
        <v/>
      </c>
      <c r="I223" s="402"/>
      <c r="J223" s="8"/>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10"/>
      <c r="AO223" s="65">
        <f t="shared" si="4"/>
        <v>0</v>
      </c>
    </row>
    <row r="224" spans="2:41" s="4" customFormat="1" ht="24" customHeight="1" x14ac:dyDescent="0.2">
      <c r="B224" s="14"/>
      <c r="C224" s="23"/>
      <c r="D224" s="21"/>
      <c r="E224" s="6"/>
      <c r="F224" s="16" t="str">
        <f>IFERROR(VLOOKUP($E224,設定!$C:$F,2,0),"")</f>
        <v/>
      </c>
      <c r="G224" s="156" t="str">
        <f>IFERROR(VLOOKUP($E224,設定!$C:$F,3,0),"")</f>
        <v/>
      </c>
      <c r="H224" s="131" t="str">
        <f>IFERROR(VLOOKUP($E224,設定!$C:$F,4,0),"")</f>
        <v/>
      </c>
      <c r="I224" s="402"/>
      <c r="J224" s="8"/>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10"/>
      <c r="AO224" s="65">
        <f t="shared" si="4"/>
        <v>0</v>
      </c>
    </row>
    <row r="225" spans="2:41" s="4" customFormat="1" ht="24" customHeight="1" x14ac:dyDescent="0.2">
      <c r="B225" s="14"/>
      <c r="C225" s="23"/>
      <c r="D225" s="21"/>
      <c r="E225" s="6"/>
      <c r="F225" s="16" t="str">
        <f>IFERROR(VLOOKUP($E225,設定!$C:$F,2,0),"")</f>
        <v/>
      </c>
      <c r="G225" s="156" t="str">
        <f>IFERROR(VLOOKUP($E225,設定!$C:$F,3,0),"")</f>
        <v/>
      </c>
      <c r="H225" s="131" t="str">
        <f>IFERROR(VLOOKUP($E225,設定!$C:$F,4,0),"")</f>
        <v/>
      </c>
      <c r="I225" s="402"/>
      <c r="J225" s="8"/>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10"/>
      <c r="AO225" s="65">
        <f t="shared" si="4"/>
        <v>0</v>
      </c>
    </row>
    <row r="226" spans="2:41" s="4" customFormat="1" ht="24" customHeight="1" x14ac:dyDescent="0.2">
      <c r="B226" s="14"/>
      <c r="C226" s="23"/>
      <c r="D226" s="21"/>
      <c r="E226" s="6"/>
      <c r="F226" s="16" t="str">
        <f>IFERROR(VLOOKUP($E226,設定!$C:$F,2,0),"")</f>
        <v/>
      </c>
      <c r="G226" s="156" t="str">
        <f>IFERROR(VLOOKUP($E226,設定!$C:$F,3,0),"")</f>
        <v/>
      </c>
      <c r="H226" s="131" t="str">
        <f>IFERROR(VLOOKUP($E226,設定!$C:$F,4,0),"")</f>
        <v/>
      </c>
      <c r="I226" s="402"/>
      <c r="J226" s="8"/>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10"/>
      <c r="AO226" s="65">
        <f t="shared" si="4"/>
        <v>0</v>
      </c>
    </row>
    <row r="227" spans="2:41" s="4" customFormat="1" ht="24" customHeight="1" x14ac:dyDescent="0.2">
      <c r="B227" s="14"/>
      <c r="C227" s="23"/>
      <c r="D227" s="21"/>
      <c r="E227" s="6"/>
      <c r="F227" s="16" t="str">
        <f>IFERROR(VLOOKUP($E227,設定!$C:$F,2,0),"")</f>
        <v/>
      </c>
      <c r="G227" s="156" t="str">
        <f>IFERROR(VLOOKUP($E227,設定!$C:$F,3,0),"")</f>
        <v/>
      </c>
      <c r="H227" s="131" t="str">
        <f>IFERROR(VLOOKUP($E227,設定!$C:$F,4,0),"")</f>
        <v/>
      </c>
      <c r="I227" s="402"/>
      <c r="J227" s="8"/>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10"/>
      <c r="AO227" s="65">
        <f t="shared" si="4"/>
        <v>0</v>
      </c>
    </row>
    <row r="228" spans="2:41" s="4" customFormat="1" ht="24" customHeight="1" x14ac:dyDescent="0.2">
      <c r="B228" s="14"/>
      <c r="C228" s="23"/>
      <c r="D228" s="21"/>
      <c r="E228" s="6"/>
      <c r="F228" s="16" t="str">
        <f>IFERROR(VLOOKUP($E228,設定!$C:$F,2,0),"")</f>
        <v/>
      </c>
      <c r="G228" s="156" t="str">
        <f>IFERROR(VLOOKUP($E228,設定!$C:$F,3,0),"")</f>
        <v/>
      </c>
      <c r="H228" s="131" t="str">
        <f>IFERROR(VLOOKUP($E228,設定!$C:$F,4,0),"")</f>
        <v/>
      </c>
      <c r="I228" s="402"/>
      <c r="J228" s="8"/>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10"/>
      <c r="AO228" s="65">
        <f t="shared" si="4"/>
        <v>0</v>
      </c>
    </row>
    <row r="229" spans="2:41" s="4" customFormat="1" ht="24" customHeight="1" x14ac:dyDescent="0.2">
      <c r="B229" s="14"/>
      <c r="C229" s="23"/>
      <c r="D229" s="21"/>
      <c r="E229" s="6"/>
      <c r="F229" s="16" t="str">
        <f>IFERROR(VLOOKUP($E229,設定!$C:$F,2,0),"")</f>
        <v/>
      </c>
      <c r="G229" s="156" t="str">
        <f>IFERROR(VLOOKUP($E229,設定!$C:$F,3,0),"")</f>
        <v/>
      </c>
      <c r="H229" s="131" t="str">
        <f>IFERROR(VLOOKUP($E229,設定!$C:$F,4,0),"")</f>
        <v/>
      </c>
      <c r="I229" s="402"/>
      <c r="J229" s="8"/>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10"/>
      <c r="AO229" s="65">
        <f t="shared" si="4"/>
        <v>0</v>
      </c>
    </row>
    <row r="230" spans="2:41" s="4" customFormat="1" ht="24" customHeight="1" x14ac:dyDescent="0.2">
      <c r="B230" s="14"/>
      <c r="C230" s="23"/>
      <c r="D230" s="21"/>
      <c r="E230" s="6"/>
      <c r="F230" s="16" t="str">
        <f>IFERROR(VLOOKUP($E230,設定!$C:$F,2,0),"")</f>
        <v/>
      </c>
      <c r="G230" s="156" t="str">
        <f>IFERROR(VLOOKUP($E230,設定!$C:$F,3,0),"")</f>
        <v/>
      </c>
      <c r="H230" s="131" t="str">
        <f>IFERROR(VLOOKUP($E230,設定!$C:$F,4,0),"")</f>
        <v/>
      </c>
      <c r="I230" s="402"/>
      <c r="J230" s="8"/>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10"/>
      <c r="AO230" s="65">
        <f t="shared" si="4"/>
        <v>0</v>
      </c>
    </row>
    <row r="231" spans="2:41" s="4" customFormat="1" ht="24" customHeight="1" x14ac:dyDescent="0.2">
      <c r="B231" s="14"/>
      <c r="C231" s="23"/>
      <c r="D231" s="21"/>
      <c r="E231" s="6"/>
      <c r="F231" s="16" t="str">
        <f>IFERROR(VLOOKUP($E231,設定!$C:$F,2,0),"")</f>
        <v/>
      </c>
      <c r="G231" s="156" t="str">
        <f>IFERROR(VLOOKUP($E231,設定!$C:$F,3,0),"")</f>
        <v/>
      </c>
      <c r="H231" s="131" t="str">
        <f>IFERROR(VLOOKUP($E231,設定!$C:$F,4,0),"")</f>
        <v/>
      </c>
      <c r="I231" s="402"/>
      <c r="J231" s="8"/>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10"/>
      <c r="AO231" s="65">
        <f t="shared" si="4"/>
        <v>0</v>
      </c>
    </row>
    <row r="232" spans="2:41" s="4" customFormat="1" ht="24" customHeight="1" x14ac:dyDescent="0.2">
      <c r="B232" s="14"/>
      <c r="C232" s="23"/>
      <c r="D232" s="21"/>
      <c r="E232" s="6"/>
      <c r="F232" s="16" t="str">
        <f>IFERROR(VLOOKUP($E232,設定!$C:$F,2,0),"")</f>
        <v/>
      </c>
      <c r="G232" s="156" t="str">
        <f>IFERROR(VLOOKUP($E232,設定!$C:$F,3,0),"")</f>
        <v/>
      </c>
      <c r="H232" s="131" t="str">
        <f>IFERROR(VLOOKUP($E232,設定!$C:$F,4,0),"")</f>
        <v/>
      </c>
      <c r="I232" s="402"/>
      <c r="J232" s="8"/>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10"/>
      <c r="AO232" s="65">
        <f t="shared" si="4"/>
        <v>0</v>
      </c>
    </row>
    <row r="233" spans="2:41" s="4" customFormat="1" ht="24" customHeight="1" x14ac:dyDescent="0.2">
      <c r="B233" s="14"/>
      <c r="C233" s="23"/>
      <c r="D233" s="21"/>
      <c r="E233" s="6"/>
      <c r="F233" s="16" t="str">
        <f>IFERROR(VLOOKUP($E233,設定!$C:$F,2,0),"")</f>
        <v/>
      </c>
      <c r="G233" s="156" t="str">
        <f>IFERROR(VLOOKUP($E233,設定!$C:$F,3,0),"")</f>
        <v/>
      </c>
      <c r="H233" s="131" t="str">
        <f>IFERROR(VLOOKUP($E233,設定!$C:$F,4,0),"")</f>
        <v/>
      </c>
      <c r="I233" s="402"/>
      <c r="J233" s="8"/>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10"/>
      <c r="AO233" s="65">
        <f t="shared" si="4"/>
        <v>0</v>
      </c>
    </row>
    <row r="234" spans="2:41" s="4" customFormat="1" ht="24" customHeight="1" x14ac:dyDescent="0.2">
      <c r="B234" s="14"/>
      <c r="C234" s="23"/>
      <c r="D234" s="21"/>
      <c r="E234" s="6"/>
      <c r="F234" s="16" t="str">
        <f>IFERROR(VLOOKUP($E234,設定!$C:$F,2,0),"")</f>
        <v/>
      </c>
      <c r="G234" s="156" t="str">
        <f>IFERROR(VLOOKUP($E234,設定!$C:$F,3,0),"")</f>
        <v/>
      </c>
      <c r="H234" s="131" t="str">
        <f>IFERROR(VLOOKUP($E234,設定!$C:$F,4,0),"")</f>
        <v/>
      </c>
      <c r="I234" s="402"/>
      <c r="J234" s="8"/>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10"/>
      <c r="AO234" s="65">
        <f t="shared" si="4"/>
        <v>0</v>
      </c>
    </row>
    <row r="235" spans="2:41" s="4" customFormat="1" ht="24" customHeight="1" x14ac:dyDescent="0.2">
      <c r="B235" s="14"/>
      <c r="C235" s="23"/>
      <c r="D235" s="21"/>
      <c r="E235" s="6"/>
      <c r="F235" s="16" t="str">
        <f>IFERROR(VLOOKUP($E235,設定!$C:$F,2,0),"")</f>
        <v/>
      </c>
      <c r="G235" s="156" t="str">
        <f>IFERROR(VLOOKUP($E235,設定!$C:$F,3,0),"")</f>
        <v/>
      </c>
      <c r="H235" s="131" t="str">
        <f>IFERROR(VLOOKUP($E235,設定!$C:$F,4,0),"")</f>
        <v/>
      </c>
      <c r="I235" s="402"/>
      <c r="J235" s="8"/>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10"/>
      <c r="AO235" s="65">
        <f t="shared" si="4"/>
        <v>0</v>
      </c>
    </row>
    <row r="236" spans="2:41" s="4" customFormat="1" ht="24" customHeight="1" x14ac:dyDescent="0.2">
      <c r="B236" s="14"/>
      <c r="C236" s="23"/>
      <c r="D236" s="21"/>
      <c r="E236" s="6"/>
      <c r="F236" s="16" t="str">
        <f>IFERROR(VLOOKUP($E236,設定!$C:$F,2,0),"")</f>
        <v/>
      </c>
      <c r="G236" s="156" t="str">
        <f>IFERROR(VLOOKUP($E236,設定!$C:$F,3,0),"")</f>
        <v/>
      </c>
      <c r="H236" s="131" t="str">
        <f>IFERROR(VLOOKUP($E236,設定!$C:$F,4,0),"")</f>
        <v/>
      </c>
      <c r="I236" s="402"/>
      <c r="J236" s="8"/>
      <c r="K236" s="9"/>
      <c r="L236" s="9"/>
      <c r="M236" s="9"/>
      <c r="N236" s="9"/>
      <c r="O236" s="9"/>
      <c r="P236" s="9"/>
      <c r="Q236" s="9"/>
      <c r="R236" s="9"/>
      <c r="S236" s="9"/>
      <c r="T236" s="9"/>
      <c r="U236" s="9"/>
      <c r="V236" s="9"/>
      <c r="W236" s="9"/>
      <c r="X236" s="9"/>
      <c r="Y236" s="9"/>
      <c r="Z236" s="9"/>
      <c r="AA236" s="9"/>
      <c r="AB236" s="9"/>
      <c r="AC236" s="9"/>
      <c r="AD236" s="9"/>
      <c r="AE236" s="9"/>
      <c r="AF236" s="9"/>
      <c r="AG236" s="9"/>
      <c r="AH236" s="9"/>
      <c r="AI236" s="9"/>
      <c r="AJ236" s="9"/>
      <c r="AK236" s="9"/>
      <c r="AL236" s="9"/>
      <c r="AM236" s="9"/>
      <c r="AN236" s="10"/>
      <c r="AO236" s="65">
        <f t="shared" si="4"/>
        <v>0</v>
      </c>
    </row>
    <row r="237" spans="2:41" s="4" customFormat="1" ht="24" customHeight="1" x14ac:dyDescent="0.2">
      <c r="B237" s="14"/>
      <c r="C237" s="23"/>
      <c r="D237" s="21"/>
      <c r="E237" s="6"/>
      <c r="F237" s="16" t="str">
        <f>IFERROR(VLOOKUP($E237,設定!$C:$F,2,0),"")</f>
        <v/>
      </c>
      <c r="G237" s="156" t="str">
        <f>IFERROR(VLOOKUP($E237,設定!$C:$F,3,0),"")</f>
        <v/>
      </c>
      <c r="H237" s="131" t="str">
        <f>IFERROR(VLOOKUP($E237,設定!$C:$F,4,0),"")</f>
        <v/>
      </c>
      <c r="I237" s="402"/>
      <c r="J237" s="8"/>
      <c r="K237" s="9"/>
      <c r="L237" s="9"/>
      <c r="M237" s="9"/>
      <c r="N237" s="9"/>
      <c r="O237" s="9"/>
      <c r="P237" s="9"/>
      <c r="Q237" s="9"/>
      <c r="R237" s="9"/>
      <c r="S237" s="9"/>
      <c r="T237" s="9"/>
      <c r="U237" s="9"/>
      <c r="V237" s="9"/>
      <c r="W237" s="9"/>
      <c r="X237" s="9"/>
      <c r="Y237" s="9"/>
      <c r="Z237" s="9"/>
      <c r="AA237" s="9"/>
      <c r="AB237" s="9"/>
      <c r="AC237" s="9"/>
      <c r="AD237" s="9"/>
      <c r="AE237" s="9"/>
      <c r="AF237" s="9"/>
      <c r="AG237" s="9"/>
      <c r="AH237" s="9"/>
      <c r="AI237" s="9"/>
      <c r="AJ237" s="9"/>
      <c r="AK237" s="9"/>
      <c r="AL237" s="9"/>
      <c r="AM237" s="9"/>
      <c r="AN237" s="10"/>
      <c r="AO237" s="65">
        <f t="shared" si="4"/>
        <v>0</v>
      </c>
    </row>
    <row r="238" spans="2:41" s="4" customFormat="1" ht="24" customHeight="1" x14ac:dyDescent="0.2">
      <c r="B238" s="14"/>
      <c r="C238" s="23"/>
      <c r="D238" s="21"/>
      <c r="E238" s="6"/>
      <c r="F238" s="16" t="str">
        <f>IFERROR(VLOOKUP($E238,設定!$C:$F,2,0),"")</f>
        <v/>
      </c>
      <c r="G238" s="156" t="str">
        <f>IFERROR(VLOOKUP($E238,設定!$C:$F,3,0),"")</f>
        <v/>
      </c>
      <c r="H238" s="131" t="str">
        <f>IFERROR(VLOOKUP($E238,設定!$C:$F,4,0),"")</f>
        <v/>
      </c>
      <c r="I238" s="402"/>
      <c r="J238" s="8"/>
      <c r="K238" s="9"/>
      <c r="L238" s="9"/>
      <c r="M238" s="9"/>
      <c r="N238" s="9"/>
      <c r="O238" s="9"/>
      <c r="P238" s="9"/>
      <c r="Q238" s="9"/>
      <c r="R238" s="9"/>
      <c r="S238" s="9"/>
      <c r="T238" s="9"/>
      <c r="U238" s="9"/>
      <c r="V238" s="9"/>
      <c r="W238" s="9"/>
      <c r="X238" s="9"/>
      <c r="Y238" s="9"/>
      <c r="Z238" s="9"/>
      <c r="AA238" s="9"/>
      <c r="AB238" s="9"/>
      <c r="AC238" s="9"/>
      <c r="AD238" s="9"/>
      <c r="AE238" s="9"/>
      <c r="AF238" s="9"/>
      <c r="AG238" s="9"/>
      <c r="AH238" s="9"/>
      <c r="AI238" s="9"/>
      <c r="AJ238" s="9"/>
      <c r="AK238" s="9"/>
      <c r="AL238" s="9"/>
      <c r="AM238" s="9"/>
      <c r="AN238" s="10"/>
      <c r="AO238" s="65">
        <f t="shared" si="4"/>
        <v>0</v>
      </c>
    </row>
    <row r="239" spans="2:41" s="4" customFormat="1" ht="24" customHeight="1" x14ac:dyDescent="0.2">
      <c r="B239" s="14"/>
      <c r="C239" s="23"/>
      <c r="D239" s="21"/>
      <c r="E239" s="6"/>
      <c r="F239" s="16" t="str">
        <f>IFERROR(VLOOKUP($E239,設定!$C:$F,2,0),"")</f>
        <v/>
      </c>
      <c r="G239" s="156" t="str">
        <f>IFERROR(VLOOKUP($E239,設定!$C:$F,3,0),"")</f>
        <v/>
      </c>
      <c r="H239" s="131" t="str">
        <f>IFERROR(VLOOKUP($E239,設定!$C:$F,4,0),"")</f>
        <v/>
      </c>
      <c r="I239" s="402"/>
      <c r="J239" s="8"/>
      <c r="K239" s="9"/>
      <c r="L239" s="9"/>
      <c r="M239" s="9"/>
      <c r="N239" s="9"/>
      <c r="O239" s="9"/>
      <c r="P239" s="9"/>
      <c r="Q239" s="9"/>
      <c r="R239" s="9"/>
      <c r="S239" s="9"/>
      <c r="T239" s="9"/>
      <c r="U239" s="9"/>
      <c r="V239" s="9"/>
      <c r="W239" s="9"/>
      <c r="X239" s="9"/>
      <c r="Y239" s="9"/>
      <c r="Z239" s="9"/>
      <c r="AA239" s="9"/>
      <c r="AB239" s="9"/>
      <c r="AC239" s="9"/>
      <c r="AD239" s="9"/>
      <c r="AE239" s="9"/>
      <c r="AF239" s="9"/>
      <c r="AG239" s="9"/>
      <c r="AH239" s="9"/>
      <c r="AI239" s="9"/>
      <c r="AJ239" s="9"/>
      <c r="AK239" s="9"/>
      <c r="AL239" s="9"/>
      <c r="AM239" s="9"/>
      <c r="AN239" s="10"/>
      <c r="AO239" s="65">
        <f t="shared" si="4"/>
        <v>0</v>
      </c>
    </row>
    <row r="240" spans="2:41" s="4" customFormat="1" ht="24" customHeight="1" x14ac:dyDescent="0.2">
      <c r="B240" s="14"/>
      <c r="C240" s="23"/>
      <c r="D240" s="21"/>
      <c r="E240" s="6"/>
      <c r="F240" s="16" t="str">
        <f>IFERROR(VLOOKUP($E240,設定!$C:$F,2,0),"")</f>
        <v/>
      </c>
      <c r="G240" s="156" t="str">
        <f>IFERROR(VLOOKUP($E240,設定!$C:$F,3,0),"")</f>
        <v/>
      </c>
      <c r="H240" s="131" t="str">
        <f>IFERROR(VLOOKUP($E240,設定!$C:$F,4,0),"")</f>
        <v/>
      </c>
      <c r="I240" s="402"/>
      <c r="J240" s="8"/>
      <c r="K240" s="9"/>
      <c r="L240" s="9"/>
      <c r="M240" s="9"/>
      <c r="N240" s="9"/>
      <c r="O240" s="9"/>
      <c r="P240" s="9"/>
      <c r="Q240" s="9"/>
      <c r="R240" s="9"/>
      <c r="S240" s="9"/>
      <c r="T240" s="9"/>
      <c r="U240" s="9"/>
      <c r="V240" s="9"/>
      <c r="W240" s="9"/>
      <c r="X240" s="9"/>
      <c r="Y240" s="9"/>
      <c r="Z240" s="9"/>
      <c r="AA240" s="9"/>
      <c r="AB240" s="9"/>
      <c r="AC240" s="9"/>
      <c r="AD240" s="9"/>
      <c r="AE240" s="9"/>
      <c r="AF240" s="9"/>
      <c r="AG240" s="9"/>
      <c r="AH240" s="9"/>
      <c r="AI240" s="9"/>
      <c r="AJ240" s="9"/>
      <c r="AK240" s="9"/>
      <c r="AL240" s="9"/>
      <c r="AM240" s="9"/>
      <c r="AN240" s="10"/>
      <c r="AO240" s="65">
        <f t="shared" si="4"/>
        <v>0</v>
      </c>
    </row>
    <row r="241" spans="2:41" s="4" customFormat="1" ht="24" customHeight="1" x14ac:dyDescent="0.2">
      <c r="B241" s="14"/>
      <c r="C241" s="23"/>
      <c r="D241" s="21"/>
      <c r="E241" s="6"/>
      <c r="F241" s="16" t="str">
        <f>IFERROR(VLOOKUP($E241,設定!$C:$F,2,0),"")</f>
        <v/>
      </c>
      <c r="G241" s="156" t="str">
        <f>IFERROR(VLOOKUP($E241,設定!$C:$F,3,0),"")</f>
        <v/>
      </c>
      <c r="H241" s="131" t="str">
        <f>IFERROR(VLOOKUP($E241,設定!$C:$F,4,0),"")</f>
        <v/>
      </c>
      <c r="I241" s="402"/>
      <c r="J241" s="8"/>
      <c r="K241" s="9"/>
      <c r="L241" s="9"/>
      <c r="M241" s="9"/>
      <c r="N241" s="9"/>
      <c r="O241" s="9"/>
      <c r="P241" s="9"/>
      <c r="Q241" s="9"/>
      <c r="R241" s="9"/>
      <c r="S241" s="9"/>
      <c r="T241" s="9"/>
      <c r="U241" s="9"/>
      <c r="V241" s="9"/>
      <c r="W241" s="9"/>
      <c r="X241" s="9"/>
      <c r="Y241" s="9"/>
      <c r="Z241" s="9"/>
      <c r="AA241" s="9"/>
      <c r="AB241" s="9"/>
      <c r="AC241" s="9"/>
      <c r="AD241" s="9"/>
      <c r="AE241" s="9"/>
      <c r="AF241" s="9"/>
      <c r="AG241" s="9"/>
      <c r="AH241" s="9"/>
      <c r="AI241" s="9"/>
      <c r="AJ241" s="9"/>
      <c r="AK241" s="9"/>
      <c r="AL241" s="9"/>
      <c r="AM241" s="9"/>
      <c r="AN241" s="10"/>
      <c r="AO241" s="65">
        <f t="shared" si="4"/>
        <v>0</v>
      </c>
    </row>
    <row r="242" spans="2:41" s="4" customFormat="1" ht="24" customHeight="1" x14ac:dyDescent="0.2">
      <c r="B242" s="14"/>
      <c r="C242" s="23"/>
      <c r="D242" s="21"/>
      <c r="E242" s="6"/>
      <c r="F242" s="16" t="str">
        <f>IFERROR(VLOOKUP($E242,設定!$C:$F,2,0),"")</f>
        <v/>
      </c>
      <c r="G242" s="156" t="str">
        <f>IFERROR(VLOOKUP($E242,設定!$C:$F,3,0),"")</f>
        <v/>
      </c>
      <c r="H242" s="131" t="str">
        <f>IFERROR(VLOOKUP($E242,設定!$C:$F,4,0),"")</f>
        <v/>
      </c>
      <c r="I242" s="402"/>
      <c r="J242" s="8"/>
      <c r="K242" s="9"/>
      <c r="L242" s="9"/>
      <c r="M242" s="9"/>
      <c r="N242" s="9"/>
      <c r="O242" s="9"/>
      <c r="P242" s="9"/>
      <c r="Q242" s="9"/>
      <c r="R242" s="9"/>
      <c r="S242" s="9"/>
      <c r="T242" s="9"/>
      <c r="U242" s="9"/>
      <c r="V242" s="9"/>
      <c r="W242" s="9"/>
      <c r="X242" s="9"/>
      <c r="Y242" s="9"/>
      <c r="Z242" s="9"/>
      <c r="AA242" s="9"/>
      <c r="AB242" s="9"/>
      <c r="AC242" s="9"/>
      <c r="AD242" s="9"/>
      <c r="AE242" s="9"/>
      <c r="AF242" s="9"/>
      <c r="AG242" s="9"/>
      <c r="AH242" s="9"/>
      <c r="AI242" s="9"/>
      <c r="AJ242" s="9"/>
      <c r="AK242" s="9"/>
      <c r="AL242" s="9"/>
      <c r="AM242" s="9"/>
      <c r="AN242" s="10"/>
      <c r="AO242" s="65">
        <f t="shared" si="4"/>
        <v>0</v>
      </c>
    </row>
    <row r="243" spans="2:41" s="4" customFormat="1" ht="24" customHeight="1" x14ac:dyDescent="0.2">
      <c r="B243" s="14"/>
      <c r="C243" s="23"/>
      <c r="D243" s="21"/>
      <c r="E243" s="6"/>
      <c r="F243" s="16" t="str">
        <f>IFERROR(VLOOKUP($E243,設定!$C:$F,2,0),"")</f>
        <v/>
      </c>
      <c r="G243" s="156" t="str">
        <f>IFERROR(VLOOKUP($E243,設定!$C:$F,3,0),"")</f>
        <v/>
      </c>
      <c r="H243" s="131" t="str">
        <f>IFERROR(VLOOKUP($E243,設定!$C:$F,4,0),"")</f>
        <v/>
      </c>
      <c r="I243" s="402"/>
      <c r="J243" s="8"/>
      <c r="K243" s="9"/>
      <c r="L243" s="9"/>
      <c r="M243" s="9"/>
      <c r="N243" s="9"/>
      <c r="O243" s="9"/>
      <c r="P243" s="9"/>
      <c r="Q243" s="9"/>
      <c r="R243" s="9"/>
      <c r="S243" s="9"/>
      <c r="T243" s="9"/>
      <c r="U243" s="9"/>
      <c r="V243" s="9"/>
      <c r="W243" s="9"/>
      <c r="X243" s="9"/>
      <c r="Y243" s="9"/>
      <c r="Z243" s="9"/>
      <c r="AA243" s="9"/>
      <c r="AB243" s="9"/>
      <c r="AC243" s="9"/>
      <c r="AD243" s="9"/>
      <c r="AE243" s="9"/>
      <c r="AF243" s="9"/>
      <c r="AG243" s="9"/>
      <c r="AH243" s="9"/>
      <c r="AI243" s="9"/>
      <c r="AJ243" s="9"/>
      <c r="AK243" s="9"/>
      <c r="AL243" s="9"/>
      <c r="AM243" s="9"/>
      <c r="AN243" s="10"/>
      <c r="AO243" s="65">
        <f t="shared" si="4"/>
        <v>0</v>
      </c>
    </row>
    <row r="244" spans="2:41" s="4" customFormat="1" ht="24" customHeight="1" x14ac:dyDescent="0.2">
      <c r="B244" s="14"/>
      <c r="C244" s="23"/>
      <c r="D244" s="21"/>
      <c r="E244" s="6"/>
      <c r="F244" s="16" t="str">
        <f>IFERROR(VLOOKUP($E244,設定!$C:$F,2,0),"")</f>
        <v/>
      </c>
      <c r="G244" s="156" t="str">
        <f>IFERROR(VLOOKUP($E244,設定!$C:$F,3,0),"")</f>
        <v/>
      </c>
      <c r="H244" s="131" t="str">
        <f>IFERROR(VLOOKUP($E244,設定!$C:$F,4,0),"")</f>
        <v/>
      </c>
      <c r="I244" s="402"/>
      <c r="J244" s="8"/>
      <c r="K244" s="9"/>
      <c r="L244" s="9"/>
      <c r="M244" s="9"/>
      <c r="N244" s="9"/>
      <c r="O244" s="9"/>
      <c r="P244" s="9"/>
      <c r="Q244" s="9"/>
      <c r="R244" s="9"/>
      <c r="S244" s="9"/>
      <c r="T244" s="9"/>
      <c r="U244" s="9"/>
      <c r="V244" s="9"/>
      <c r="W244" s="9"/>
      <c r="X244" s="9"/>
      <c r="Y244" s="9"/>
      <c r="Z244" s="9"/>
      <c r="AA244" s="9"/>
      <c r="AB244" s="9"/>
      <c r="AC244" s="9"/>
      <c r="AD244" s="9"/>
      <c r="AE244" s="9"/>
      <c r="AF244" s="9"/>
      <c r="AG244" s="9"/>
      <c r="AH244" s="9"/>
      <c r="AI244" s="9"/>
      <c r="AJ244" s="9"/>
      <c r="AK244" s="9"/>
      <c r="AL244" s="9"/>
      <c r="AM244" s="9"/>
      <c r="AN244" s="10"/>
      <c r="AO244" s="65">
        <f t="shared" si="4"/>
        <v>0</v>
      </c>
    </row>
    <row r="245" spans="2:41" s="4" customFormat="1" ht="24" customHeight="1" x14ac:dyDescent="0.2">
      <c r="B245" s="14"/>
      <c r="C245" s="23"/>
      <c r="D245" s="21"/>
      <c r="E245" s="6"/>
      <c r="F245" s="16" t="str">
        <f>IFERROR(VLOOKUP($E245,設定!$C:$F,2,0),"")</f>
        <v/>
      </c>
      <c r="G245" s="156" t="str">
        <f>IFERROR(VLOOKUP($E245,設定!$C:$F,3,0),"")</f>
        <v/>
      </c>
      <c r="H245" s="131" t="str">
        <f>IFERROR(VLOOKUP($E245,設定!$C:$F,4,0),"")</f>
        <v/>
      </c>
      <c r="I245" s="402"/>
      <c r="J245" s="8"/>
      <c r="K245" s="9"/>
      <c r="L245" s="9"/>
      <c r="M245" s="9"/>
      <c r="N245" s="9"/>
      <c r="O245" s="9"/>
      <c r="P245" s="9"/>
      <c r="Q245" s="9"/>
      <c r="R245" s="9"/>
      <c r="S245" s="9"/>
      <c r="T245" s="9"/>
      <c r="U245" s="9"/>
      <c r="V245" s="9"/>
      <c r="W245" s="9"/>
      <c r="X245" s="9"/>
      <c r="Y245" s="9"/>
      <c r="Z245" s="9"/>
      <c r="AA245" s="9"/>
      <c r="AB245" s="9"/>
      <c r="AC245" s="9"/>
      <c r="AD245" s="9"/>
      <c r="AE245" s="9"/>
      <c r="AF245" s="9"/>
      <c r="AG245" s="9"/>
      <c r="AH245" s="9"/>
      <c r="AI245" s="9"/>
      <c r="AJ245" s="9"/>
      <c r="AK245" s="9"/>
      <c r="AL245" s="9"/>
      <c r="AM245" s="9"/>
      <c r="AN245" s="10"/>
      <c r="AO245" s="65">
        <f t="shared" si="4"/>
        <v>0</v>
      </c>
    </row>
    <row r="246" spans="2:41" s="4" customFormat="1" ht="24" customHeight="1" x14ac:dyDescent="0.2">
      <c r="B246" s="14"/>
      <c r="C246" s="23"/>
      <c r="D246" s="21"/>
      <c r="E246" s="6"/>
      <c r="F246" s="16" t="str">
        <f>IFERROR(VLOOKUP($E246,設定!$C:$F,2,0),"")</f>
        <v/>
      </c>
      <c r="G246" s="156" t="str">
        <f>IFERROR(VLOOKUP($E246,設定!$C:$F,3,0),"")</f>
        <v/>
      </c>
      <c r="H246" s="131" t="str">
        <f>IFERROR(VLOOKUP($E246,設定!$C:$F,4,0),"")</f>
        <v/>
      </c>
      <c r="I246" s="402"/>
      <c r="J246" s="8"/>
      <c r="K246" s="9"/>
      <c r="L246" s="9"/>
      <c r="M246" s="9"/>
      <c r="N246" s="9"/>
      <c r="O246" s="9"/>
      <c r="P246" s="9"/>
      <c r="Q246" s="9"/>
      <c r="R246" s="9"/>
      <c r="S246" s="9"/>
      <c r="T246" s="9"/>
      <c r="U246" s="9"/>
      <c r="V246" s="9"/>
      <c r="W246" s="9"/>
      <c r="X246" s="9"/>
      <c r="Y246" s="9"/>
      <c r="Z246" s="9"/>
      <c r="AA246" s="9"/>
      <c r="AB246" s="9"/>
      <c r="AC246" s="9"/>
      <c r="AD246" s="9"/>
      <c r="AE246" s="9"/>
      <c r="AF246" s="9"/>
      <c r="AG246" s="9"/>
      <c r="AH246" s="9"/>
      <c r="AI246" s="9"/>
      <c r="AJ246" s="9"/>
      <c r="AK246" s="9"/>
      <c r="AL246" s="9"/>
      <c r="AM246" s="9"/>
      <c r="AN246" s="10"/>
      <c r="AO246" s="65">
        <f t="shared" si="4"/>
        <v>0</v>
      </c>
    </row>
    <row r="247" spans="2:41" s="4" customFormat="1" ht="24" customHeight="1" x14ac:dyDescent="0.2">
      <c r="B247" s="14"/>
      <c r="C247" s="23"/>
      <c r="D247" s="21"/>
      <c r="E247" s="6"/>
      <c r="F247" s="16" t="str">
        <f>IFERROR(VLOOKUP($E247,設定!$C:$F,2,0),"")</f>
        <v/>
      </c>
      <c r="G247" s="156" t="str">
        <f>IFERROR(VLOOKUP($E247,設定!$C:$F,3,0),"")</f>
        <v/>
      </c>
      <c r="H247" s="131" t="str">
        <f>IFERROR(VLOOKUP($E247,設定!$C:$F,4,0),"")</f>
        <v/>
      </c>
      <c r="I247" s="402"/>
      <c r="J247" s="8"/>
      <c r="K247" s="9"/>
      <c r="L247" s="9"/>
      <c r="M247" s="9"/>
      <c r="N247" s="9"/>
      <c r="O247" s="9"/>
      <c r="P247" s="9"/>
      <c r="Q247" s="9"/>
      <c r="R247" s="9"/>
      <c r="S247" s="9"/>
      <c r="T247" s="9"/>
      <c r="U247" s="9"/>
      <c r="V247" s="9"/>
      <c r="W247" s="9"/>
      <c r="X247" s="9"/>
      <c r="Y247" s="9"/>
      <c r="Z247" s="9"/>
      <c r="AA247" s="9"/>
      <c r="AB247" s="9"/>
      <c r="AC247" s="9"/>
      <c r="AD247" s="9"/>
      <c r="AE247" s="9"/>
      <c r="AF247" s="9"/>
      <c r="AG247" s="9"/>
      <c r="AH247" s="9"/>
      <c r="AI247" s="9"/>
      <c r="AJ247" s="9"/>
      <c r="AK247" s="9"/>
      <c r="AL247" s="9"/>
      <c r="AM247" s="9"/>
      <c r="AN247" s="10"/>
      <c r="AO247" s="65">
        <f t="shared" si="4"/>
        <v>0</v>
      </c>
    </row>
    <row r="248" spans="2:41" s="4" customFormat="1" ht="24" customHeight="1" x14ac:dyDescent="0.2">
      <c r="B248" s="14"/>
      <c r="C248" s="23"/>
      <c r="D248" s="21"/>
      <c r="E248" s="6"/>
      <c r="F248" s="16" t="str">
        <f>IFERROR(VLOOKUP($E248,設定!$C:$F,2,0),"")</f>
        <v/>
      </c>
      <c r="G248" s="156" t="str">
        <f>IFERROR(VLOOKUP($E248,設定!$C:$F,3,0),"")</f>
        <v/>
      </c>
      <c r="H248" s="131" t="str">
        <f>IFERROR(VLOOKUP($E248,設定!$C:$F,4,0),"")</f>
        <v/>
      </c>
      <c r="I248" s="402"/>
      <c r="J248" s="8"/>
      <c r="K248" s="9"/>
      <c r="L248" s="9"/>
      <c r="M248" s="9"/>
      <c r="N248" s="9"/>
      <c r="O248" s="9"/>
      <c r="P248" s="9"/>
      <c r="Q248" s="9"/>
      <c r="R248" s="9"/>
      <c r="S248" s="9"/>
      <c r="T248" s="9"/>
      <c r="U248" s="9"/>
      <c r="V248" s="9"/>
      <c r="W248" s="9"/>
      <c r="X248" s="9"/>
      <c r="Y248" s="9"/>
      <c r="Z248" s="9"/>
      <c r="AA248" s="9"/>
      <c r="AB248" s="9"/>
      <c r="AC248" s="9"/>
      <c r="AD248" s="9"/>
      <c r="AE248" s="9"/>
      <c r="AF248" s="9"/>
      <c r="AG248" s="9"/>
      <c r="AH248" s="9"/>
      <c r="AI248" s="9"/>
      <c r="AJ248" s="9"/>
      <c r="AK248" s="9"/>
      <c r="AL248" s="9"/>
      <c r="AM248" s="9"/>
      <c r="AN248" s="10"/>
      <c r="AO248" s="65">
        <f t="shared" si="4"/>
        <v>0</v>
      </c>
    </row>
    <row r="249" spans="2:41" s="4" customFormat="1" ht="24" customHeight="1" x14ac:dyDescent="0.2">
      <c r="B249" s="14"/>
      <c r="C249" s="23"/>
      <c r="D249" s="21"/>
      <c r="E249" s="6"/>
      <c r="F249" s="16" t="str">
        <f>IFERROR(VLOOKUP($E249,設定!$C:$F,2,0),"")</f>
        <v/>
      </c>
      <c r="G249" s="156" t="str">
        <f>IFERROR(VLOOKUP($E249,設定!$C:$F,3,0),"")</f>
        <v/>
      </c>
      <c r="H249" s="131" t="str">
        <f>IFERROR(VLOOKUP($E249,設定!$C:$F,4,0),"")</f>
        <v/>
      </c>
      <c r="I249" s="402"/>
      <c r="J249" s="8"/>
      <c r="K249" s="9"/>
      <c r="L249" s="9"/>
      <c r="M249" s="9"/>
      <c r="N249" s="9"/>
      <c r="O249" s="9"/>
      <c r="P249" s="9"/>
      <c r="Q249" s="9"/>
      <c r="R249" s="9"/>
      <c r="S249" s="9"/>
      <c r="T249" s="9"/>
      <c r="U249" s="9"/>
      <c r="V249" s="9"/>
      <c r="W249" s="9"/>
      <c r="X249" s="9"/>
      <c r="Y249" s="9"/>
      <c r="Z249" s="9"/>
      <c r="AA249" s="9"/>
      <c r="AB249" s="9"/>
      <c r="AC249" s="9"/>
      <c r="AD249" s="9"/>
      <c r="AE249" s="9"/>
      <c r="AF249" s="9"/>
      <c r="AG249" s="9"/>
      <c r="AH249" s="9"/>
      <c r="AI249" s="9"/>
      <c r="AJ249" s="9"/>
      <c r="AK249" s="9"/>
      <c r="AL249" s="9"/>
      <c r="AM249" s="9"/>
      <c r="AN249" s="10"/>
      <c r="AO249" s="65">
        <f t="shared" si="4"/>
        <v>0</v>
      </c>
    </row>
    <row r="250" spans="2:41" s="4" customFormat="1" ht="24" customHeight="1" x14ac:dyDescent="0.2">
      <c r="B250" s="14"/>
      <c r="C250" s="23"/>
      <c r="D250" s="21"/>
      <c r="E250" s="6"/>
      <c r="F250" s="16" t="str">
        <f>IFERROR(VLOOKUP($E250,設定!$C:$F,2,0),"")</f>
        <v/>
      </c>
      <c r="G250" s="156" t="str">
        <f>IFERROR(VLOOKUP($E250,設定!$C:$F,3,0),"")</f>
        <v/>
      </c>
      <c r="H250" s="131" t="str">
        <f>IFERROR(VLOOKUP($E250,設定!$C:$F,4,0),"")</f>
        <v/>
      </c>
      <c r="I250" s="402"/>
      <c r="J250" s="8"/>
      <c r="K250" s="9"/>
      <c r="L250" s="9"/>
      <c r="M250" s="9"/>
      <c r="N250" s="9"/>
      <c r="O250" s="9"/>
      <c r="P250" s="9"/>
      <c r="Q250" s="9"/>
      <c r="R250" s="9"/>
      <c r="S250" s="9"/>
      <c r="T250" s="9"/>
      <c r="U250" s="9"/>
      <c r="V250" s="9"/>
      <c r="W250" s="9"/>
      <c r="X250" s="9"/>
      <c r="Y250" s="9"/>
      <c r="Z250" s="9"/>
      <c r="AA250" s="9"/>
      <c r="AB250" s="9"/>
      <c r="AC250" s="9"/>
      <c r="AD250" s="9"/>
      <c r="AE250" s="9"/>
      <c r="AF250" s="9"/>
      <c r="AG250" s="9"/>
      <c r="AH250" s="9"/>
      <c r="AI250" s="9"/>
      <c r="AJ250" s="9"/>
      <c r="AK250" s="9"/>
      <c r="AL250" s="9"/>
      <c r="AM250" s="9"/>
      <c r="AN250" s="10"/>
      <c r="AO250" s="65">
        <f t="shared" si="4"/>
        <v>0</v>
      </c>
    </row>
    <row r="251" spans="2:41" s="4" customFormat="1" ht="24" customHeight="1" x14ac:dyDescent="0.2">
      <c r="B251" s="14"/>
      <c r="C251" s="23"/>
      <c r="D251" s="21"/>
      <c r="E251" s="6"/>
      <c r="F251" s="16" t="str">
        <f>IFERROR(VLOOKUP($E251,設定!$C:$F,2,0),"")</f>
        <v/>
      </c>
      <c r="G251" s="156" t="str">
        <f>IFERROR(VLOOKUP($E251,設定!$C:$F,3,0),"")</f>
        <v/>
      </c>
      <c r="H251" s="131" t="str">
        <f>IFERROR(VLOOKUP($E251,設定!$C:$F,4,0),"")</f>
        <v/>
      </c>
      <c r="I251" s="402"/>
      <c r="J251" s="8"/>
      <c r="K251" s="9"/>
      <c r="L251" s="9"/>
      <c r="M251" s="9"/>
      <c r="N251" s="9"/>
      <c r="O251" s="9"/>
      <c r="P251" s="9"/>
      <c r="Q251" s="9"/>
      <c r="R251" s="9"/>
      <c r="S251" s="9"/>
      <c r="T251" s="9"/>
      <c r="U251" s="9"/>
      <c r="V251" s="9"/>
      <c r="W251" s="9"/>
      <c r="X251" s="9"/>
      <c r="Y251" s="9"/>
      <c r="Z251" s="9"/>
      <c r="AA251" s="9"/>
      <c r="AB251" s="9"/>
      <c r="AC251" s="9"/>
      <c r="AD251" s="9"/>
      <c r="AE251" s="9"/>
      <c r="AF251" s="9"/>
      <c r="AG251" s="9"/>
      <c r="AH251" s="9"/>
      <c r="AI251" s="9"/>
      <c r="AJ251" s="9"/>
      <c r="AK251" s="9"/>
      <c r="AL251" s="9"/>
      <c r="AM251" s="9"/>
      <c r="AN251" s="10"/>
      <c r="AO251" s="65">
        <f t="shared" si="4"/>
        <v>0</v>
      </c>
    </row>
    <row r="252" spans="2:41" s="4" customFormat="1" ht="24" customHeight="1" x14ac:dyDescent="0.2">
      <c r="B252" s="14"/>
      <c r="C252" s="23"/>
      <c r="D252" s="21"/>
      <c r="E252" s="6"/>
      <c r="F252" s="16" t="str">
        <f>IFERROR(VLOOKUP($E252,設定!$C:$F,2,0),"")</f>
        <v/>
      </c>
      <c r="G252" s="156" t="str">
        <f>IFERROR(VLOOKUP($E252,設定!$C:$F,3,0),"")</f>
        <v/>
      </c>
      <c r="H252" s="131" t="str">
        <f>IFERROR(VLOOKUP($E252,設定!$C:$F,4,0),"")</f>
        <v/>
      </c>
      <c r="I252" s="402"/>
      <c r="J252" s="8"/>
      <c r="K252" s="9"/>
      <c r="L252" s="9"/>
      <c r="M252" s="9"/>
      <c r="N252" s="9"/>
      <c r="O252" s="9"/>
      <c r="P252" s="9"/>
      <c r="Q252" s="9"/>
      <c r="R252" s="9"/>
      <c r="S252" s="9"/>
      <c r="T252" s="9"/>
      <c r="U252" s="9"/>
      <c r="V252" s="9"/>
      <c r="W252" s="9"/>
      <c r="X252" s="9"/>
      <c r="Y252" s="9"/>
      <c r="Z252" s="9"/>
      <c r="AA252" s="9"/>
      <c r="AB252" s="9"/>
      <c r="AC252" s="9"/>
      <c r="AD252" s="9"/>
      <c r="AE252" s="9"/>
      <c r="AF252" s="9"/>
      <c r="AG252" s="9"/>
      <c r="AH252" s="9"/>
      <c r="AI252" s="9"/>
      <c r="AJ252" s="9"/>
      <c r="AK252" s="9"/>
      <c r="AL252" s="9"/>
      <c r="AM252" s="9"/>
      <c r="AN252" s="10"/>
      <c r="AO252" s="65">
        <f t="shared" si="4"/>
        <v>0</v>
      </c>
    </row>
    <row r="253" spans="2:41" s="4" customFormat="1" ht="24" customHeight="1" x14ac:dyDescent="0.2">
      <c r="B253" s="14"/>
      <c r="C253" s="23"/>
      <c r="D253" s="21"/>
      <c r="E253" s="6"/>
      <c r="F253" s="16" t="str">
        <f>IFERROR(VLOOKUP($E253,設定!$C:$F,2,0),"")</f>
        <v/>
      </c>
      <c r="G253" s="156" t="str">
        <f>IFERROR(VLOOKUP($E253,設定!$C:$F,3,0),"")</f>
        <v/>
      </c>
      <c r="H253" s="131" t="str">
        <f>IFERROR(VLOOKUP($E253,設定!$C:$F,4,0),"")</f>
        <v/>
      </c>
      <c r="I253" s="402"/>
      <c r="J253" s="8"/>
      <c r="K253" s="9"/>
      <c r="L253" s="9"/>
      <c r="M253" s="9"/>
      <c r="N253" s="9"/>
      <c r="O253" s="9"/>
      <c r="P253" s="9"/>
      <c r="Q253" s="9"/>
      <c r="R253" s="9"/>
      <c r="S253" s="9"/>
      <c r="T253" s="9"/>
      <c r="U253" s="9"/>
      <c r="V253" s="9"/>
      <c r="W253" s="9"/>
      <c r="X253" s="9"/>
      <c r="Y253" s="9"/>
      <c r="Z253" s="9"/>
      <c r="AA253" s="9"/>
      <c r="AB253" s="9"/>
      <c r="AC253" s="9"/>
      <c r="AD253" s="9"/>
      <c r="AE253" s="9"/>
      <c r="AF253" s="9"/>
      <c r="AG253" s="9"/>
      <c r="AH253" s="9"/>
      <c r="AI253" s="9"/>
      <c r="AJ253" s="9"/>
      <c r="AK253" s="9"/>
      <c r="AL253" s="9"/>
      <c r="AM253" s="9"/>
      <c r="AN253" s="10"/>
      <c r="AO253" s="65">
        <f t="shared" si="4"/>
        <v>0</v>
      </c>
    </row>
    <row r="254" spans="2:41" s="4" customFormat="1" ht="24" customHeight="1" x14ac:dyDescent="0.2">
      <c r="B254" s="14"/>
      <c r="C254" s="23"/>
      <c r="D254" s="21"/>
      <c r="E254" s="6"/>
      <c r="F254" s="16" t="str">
        <f>IFERROR(VLOOKUP($E254,設定!$C:$F,2,0),"")</f>
        <v/>
      </c>
      <c r="G254" s="156" t="str">
        <f>IFERROR(VLOOKUP($E254,設定!$C:$F,3,0),"")</f>
        <v/>
      </c>
      <c r="H254" s="131" t="str">
        <f>IFERROR(VLOOKUP($E254,設定!$C:$F,4,0),"")</f>
        <v/>
      </c>
      <c r="I254" s="402"/>
      <c r="J254" s="8"/>
      <c r="K254" s="9"/>
      <c r="L254" s="9"/>
      <c r="M254" s="9"/>
      <c r="N254" s="9"/>
      <c r="O254" s="9"/>
      <c r="P254" s="9"/>
      <c r="Q254" s="9"/>
      <c r="R254" s="9"/>
      <c r="S254" s="9"/>
      <c r="T254" s="9"/>
      <c r="U254" s="9"/>
      <c r="V254" s="9"/>
      <c r="W254" s="9"/>
      <c r="X254" s="9"/>
      <c r="Y254" s="9"/>
      <c r="Z254" s="9"/>
      <c r="AA254" s="9"/>
      <c r="AB254" s="9"/>
      <c r="AC254" s="9"/>
      <c r="AD254" s="9"/>
      <c r="AE254" s="9"/>
      <c r="AF254" s="9"/>
      <c r="AG254" s="9"/>
      <c r="AH254" s="9"/>
      <c r="AI254" s="9"/>
      <c r="AJ254" s="9"/>
      <c r="AK254" s="9"/>
      <c r="AL254" s="9"/>
      <c r="AM254" s="9"/>
      <c r="AN254" s="10"/>
      <c r="AO254" s="65">
        <f t="shared" si="4"/>
        <v>0</v>
      </c>
    </row>
    <row r="255" spans="2:41" s="4" customFormat="1" ht="24" customHeight="1" x14ac:dyDescent="0.2">
      <c r="B255" s="14"/>
      <c r="C255" s="23"/>
      <c r="D255" s="21"/>
      <c r="E255" s="6"/>
      <c r="F255" s="16" t="str">
        <f>IFERROR(VLOOKUP($E255,設定!$C:$F,2,0),"")</f>
        <v/>
      </c>
      <c r="G255" s="156" t="str">
        <f>IFERROR(VLOOKUP($E255,設定!$C:$F,3,0),"")</f>
        <v/>
      </c>
      <c r="H255" s="131" t="str">
        <f>IFERROR(VLOOKUP($E255,設定!$C:$F,4,0),"")</f>
        <v/>
      </c>
      <c r="I255" s="402"/>
      <c r="J255" s="8"/>
      <c r="K255" s="9"/>
      <c r="L255" s="9"/>
      <c r="M255" s="9"/>
      <c r="N255" s="9"/>
      <c r="O255" s="9"/>
      <c r="P255" s="9"/>
      <c r="Q255" s="9"/>
      <c r="R255" s="9"/>
      <c r="S255" s="9"/>
      <c r="T255" s="9"/>
      <c r="U255" s="9"/>
      <c r="V255" s="9"/>
      <c r="W255" s="9"/>
      <c r="X255" s="9"/>
      <c r="Y255" s="9"/>
      <c r="Z255" s="9"/>
      <c r="AA255" s="9"/>
      <c r="AB255" s="9"/>
      <c r="AC255" s="9"/>
      <c r="AD255" s="9"/>
      <c r="AE255" s="9"/>
      <c r="AF255" s="9"/>
      <c r="AG255" s="9"/>
      <c r="AH255" s="9"/>
      <c r="AI255" s="9"/>
      <c r="AJ255" s="9"/>
      <c r="AK255" s="9"/>
      <c r="AL255" s="9"/>
      <c r="AM255" s="9"/>
      <c r="AN255" s="10"/>
      <c r="AO255" s="65">
        <f t="shared" si="4"/>
        <v>0</v>
      </c>
    </row>
    <row r="256" spans="2:41" s="4" customFormat="1" ht="24" customHeight="1" x14ac:dyDescent="0.2">
      <c r="B256" s="14"/>
      <c r="C256" s="23"/>
      <c r="D256" s="21"/>
      <c r="E256" s="6"/>
      <c r="F256" s="16" t="str">
        <f>IFERROR(VLOOKUP($E256,設定!$C:$F,2,0),"")</f>
        <v/>
      </c>
      <c r="G256" s="156" t="str">
        <f>IFERROR(VLOOKUP($E256,設定!$C:$F,3,0),"")</f>
        <v/>
      </c>
      <c r="H256" s="131" t="str">
        <f>IFERROR(VLOOKUP($E256,設定!$C:$F,4,0),"")</f>
        <v/>
      </c>
      <c r="I256" s="402"/>
      <c r="J256" s="8"/>
      <c r="K256" s="9"/>
      <c r="L256" s="9"/>
      <c r="M256" s="9"/>
      <c r="N256" s="9"/>
      <c r="O256" s="9"/>
      <c r="P256" s="9"/>
      <c r="Q256" s="9"/>
      <c r="R256" s="9"/>
      <c r="S256" s="9"/>
      <c r="T256" s="9"/>
      <c r="U256" s="9"/>
      <c r="V256" s="9"/>
      <c r="W256" s="9"/>
      <c r="X256" s="9"/>
      <c r="Y256" s="9"/>
      <c r="Z256" s="9"/>
      <c r="AA256" s="9"/>
      <c r="AB256" s="9"/>
      <c r="AC256" s="9"/>
      <c r="AD256" s="9"/>
      <c r="AE256" s="9"/>
      <c r="AF256" s="9"/>
      <c r="AG256" s="9"/>
      <c r="AH256" s="9"/>
      <c r="AI256" s="9"/>
      <c r="AJ256" s="9"/>
      <c r="AK256" s="9"/>
      <c r="AL256" s="9"/>
      <c r="AM256" s="9"/>
      <c r="AN256" s="10"/>
      <c r="AO256" s="65">
        <f t="shared" si="4"/>
        <v>0</v>
      </c>
    </row>
    <row r="257" spans="2:41" s="4" customFormat="1" ht="24" customHeight="1" x14ac:dyDescent="0.2">
      <c r="B257" s="14"/>
      <c r="C257" s="23"/>
      <c r="D257" s="21"/>
      <c r="E257" s="6"/>
      <c r="F257" s="16" t="str">
        <f>IFERROR(VLOOKUP($E257,設定!$C:$F,2,0),"")</f>
        <v/>
      </c>
      <c r="G257" s="156" t="str">
        <f>IFERROR(VLOOKUP($E257,設定!$C:$F,3,0),"")</f>
        <v/>
      </c>
      <c r="H257" s="131" t="str">
        <f>IFERROR(VLOOKUP($E257,設定!$C:$F,4,0),"")</f>
        <v/>
      </c>
      <c r="I257" s="402"/>
      <c r="J257" s="8"/>
      <c r="K257" s="9"/>
      <c r="L257" s="9"/>
      <c r="M257" s="9"/>
      <c r="N257" s="9"/>
      <c r="O257" s="9"/>
      <c r="P257" s="9"/>
      <c r="Q257" s="9"/>
      <c r="R257" s="9"/>
      <c r="S257" s="9"/>
      <c r="T257" s="9"/>
      <c r="U257" s="9"/>
      <c r="V257" s="9"/>
      <c r="W257" s="9"/>
      <c r="X257" s="9"/>
      <c r="Y257" s="9"/>
      <c r="Z257" s="9"/>
      <c r="AA257" s="9"/>
      <c r="AB257" s="9"/>
      <c r="AC257" s="9"/>
      <c r="AD257" s="9"/>
      <c r="AE257" s="9"/>
      <c r="AF257" s="9"/>
      <c r="AG257" s="9"/>
      <c r="AH257" s="9"/>
      <c r="AI257" s="9"/>
      <c r="AJ257" s="9"/>
      <c r="AK257" s="9"/>
      <c r="AL257" s="9"/>
      <c r="AM257" s="9"/>
      <c r="AN257" s="10"/>
      <c r="AO257" s="65">
        <f t="shared" si="4"/>
        <v>0</v>
      </c>
    </row>
    <row r="258" spans="2:41" s="4" customFormat="1" ht="24" customHeight="1" x14ac:dyDescent="0.2">
      <c r="B258" s="14"/>
      <c r="C258" s="23"/>
      <c r="D258" s="21"/>
      <c r="E258" s="6"/>
      <c r="F258" s="16" t="str">
        <f>IFERROR(VLOOKUP($E258,設定!$C:$F,2,0),"")</f>
        <v/>
      </c>
      <c r="G258" s="156" t="str">
        <f>IFERROR(VLOOKUP($E258,設定!$C:$F,3,0),"")</f>
        <v/>
      </c>
      <c r="H258" s="131" t="str">
        <f>IFERROR(VLOOKUP($E258,設定!$C:$F,4,0),"")</f>
        <v/>
      </c>
      <c r="I258" s="402"/>
      <c r="J258" s="8"/>
      <c r="K258" s="9"/>
      <c r="L258" s="9"/>
      <c r="M258" s="9"/>
      <c r="N258" s="9"/>
      <c r="O258" s="9"/>
      <c r="P258" s="9"/>
      <c r="Q258" s="9"/>
      <c r="R258" s="9"/>
      <c r="S258" s="9"/>
      <c r="T258" s="9"/>
      <c r="U258" s="9"/>
      <c r="V258" s="9"/>
      <c r="W258" s="9"/>
      <c r="X258" s="9"/>
      <c r="Y258" s="9"/>
      <c r="Z258" s="9"/>
      <c r="AA258" s="9"/>
      <c r="AB258" s="9"/>
      <c r="AC258" s="9"/>
      <c r="AD258" s="9"/>
      <c r="AE258" s="9"/>
      <c r="AF258" s="9"/>
      <c r="AG258" s="9"/>
      <c r="AH258" s="9"/>
      <c r="AI258" s="9"/>
      <c r="AJ258" s="9"/>
      <c r="AK258" s="9"/>
      <c r="AL258" s="9"/>
      <c r="AM258" s="9"/>
      <c r="AN258" s="10"/>
      <c r="AO258" s="65">
        <f t="shared" si="4"/>
        <v>0</v>
      </c>
    </row>
    <row r="259" spans="2:41" s="4" customFormat="1" ht="24" customHeight="1" x14ac:dyDescent="0.2">
      <c r="B259" s="14"/>
      <c r="C259" s="23"/>
      <c r="D259" s="21"/>
      <c r="E259" s="6"/>
      <c r="F259" s="16" t="str">
        <f>IFERROR(VLOOKUP($E259,設定!$C:$F,2,0),"")</f>
        <v/>
      </c>
      <c r="G259" s="156" t="str">
        <f>IFERROR(VLOOKUP($E259,設定!$C:$F,3,0),"")</f>
        <v/>
      </c>
      <c r="H259" s="131" t="str">
        <f>IFERROR(VLOOKUP($E259,設定!$C:$F,4,0),"")</f>
        <v/>
      </c>
      <c r="I259" s="402"/>
      <c r="J259" s="8"/>
      <c r="K259" s="9"/>
      <c r="L259" s="9"/>
      <c r="M259" s="9"/>
      <c r="N259" s="9"/>
      <c r="O259" s="9"/>
      <c r="P259" s="9"/>
      <c r="Q259" s="9"/>
      <c r="R259" s="9"/>
      <c r="S259" s="9"/>
      <c r="T259" s="9"/>
      <c r="U259" s="9"/>
      <c r="V259" s="9"/>
      <c r="W259" s="9"/>
      <c r="X259" s="9"/>
      <c r="Y259" s="9"/>
      <c r="Z259" s="9"/>
      <c r="AA259" s="9"/>
      <c r="AB259" s="9"/>
      <c r="AC259" s="9"/>
      <c r="AD259" s="9"/>
      <c r="AE259" s="9"/>
      <c r="AF259" s="9"/>
      <c r="AG259" s="9"/>
      <c r="AH259" s="9"/>
      <c r="AI259" s="9"/>
      <c r="AJ259" s="9"/>
      <c r="AK259" s="9"/>
      <c r="AL259" s="9"/>
      <c r="AM259" s="9"/>
      <c r="AN259" s="10"/>
      <c r="AO259" s="65">
        <f t="shared" si="4"/>
        <v>0</v>
      </c>
    </row>
    <row r="260" spans="2:41" s="4" customFormat="1" ht="24" customHeight="1" x14ac:dyDescent="0.2">
      <c r="B260" s="14"/>
      <c r="C260" s="23"/>
      <c r="D260" s="21"/>
      <c r="E260" s="6"/>
      <c r="F260" s="16" t="str">
        <f>IFERROR(VLOOKUP($E260,設定!$C:$F,2,0),"")</f>
        <v/>
      </c>
      <c r="G260" s="156" t="str">
        <f>IFERROR(VLOOKUP($E260,設定!$C:$F,3,0),"")</f>
        <v/>
      </c>
      <c r="H260" s="131" t="str">
        <f>IFERROR(VLOOKUP($E260,設定!$C:$F,4,0),"")</f>
        <v/>
      </c>
      <c r="I260" s="402"/>
      <c r="J260" s="8"/>
      <c r="K260" s="9"/>
      <c r="L260" s="9"/>
      <c r="M260" s="9"/>
      <c r="N260" s="9"/>
      <c r="O260" s="9"/>
      <c r="P260" s="9"/>
      <c r="Q260" s="9"/>
      <c r="R260" s="9"/>
      <c r="S260" s="9"/>
      <c r="T260" s="9"/>
      <c r="U260" s="9"/>
      <c r="V260" s="9"/>
      <c r="W260" s="9"/>
      <c r="X260" s="9"/>
      <c r="Y260" s="9"/>
      <c r="Z260" s="9"/>
      <c r="AA260" s="9"/>
      <c r="AB260" s="9"/>
      <c r="AC260" s="9"/>
      <c r="AD260" s="9"/>
      <c r="AE260" s="9"/>
      <c r="AF260" s="9"/>
      <c r="AG260" s="9"/>
      <c r="AH260" s="9"/>
      <c r="AI260" s="9"/>
      <c r="AJ260" s="9"/>
      <c r="AK260" s="9"/>
      <c r="AL260" s="9"/>
      <c r="AM260" s="9"/>
      <c r="AN260" s="10"/>
      <c r="AO260" s="65">
        <f t="shared" si="4"/>
        <v>0</v>
      </c>
    </row>
    <row r="261" spans="2:41" s="4" customFormat="1" ht="24" customHeight="1" x14ac:dyDescent="0.2">
      <c r="B261" s="14"/>
      <c r="C261" s="23"/>
      <c r="D261" s="21"/>
      <c r="E261" s="6"/>
      <c r="F261" s="16" t="str">
        <f>IFERROR(VLOOKUP($E261,設定!$C:$F,2,0),"")</f>
        <v/>
      </c>
      <c r="G261" s="156" t="str">
        <f>IFERROR(VLOOKUP($E261,設定!$C:$F,3,0),"")</f>
        <v/>
      </c>
      <c r="H261" s="131" t="str">
        <f>IFERROR(VLOOKUP($E261,設定!$C:$F,4,0),"")</f>
        <v/>
      </c>
      <c r="I261" s="402"/>
      <c r="J261" s="8"/>
      <c r="K261" s="9"/>
      <c r="L261" s="9"/>
      <c r="M261" s="9"/>
      <c r="N261" s="9"/>
      <c r="O261" s="9"/>
      <c r="P261" s="9"/>
      <c r="Q261" s="9"/>
      <c r="R261" s="9"/>
      <c r="S261" s="9"/>
      <c r="T261" s="9"/>
      <c r="U261" s="9"/>
      <c r="V261" s="9"/>
      <c r="W261" s="9"/>
      <c r="X261" s="9"/>
      <c r="Y261" s="9"/>
      <c r="Z261" s="9"/>
      <c r="AA261" s="9"/>
      <c r="AB261" s="9"/>
      <c r="AC261" s="9"/>
      <c r="AD261" s="9"/>
      <c r="AE261" s="9"/>
      <c r="AF261" s="9"/>
      <c r="AG261" s="9"/>
      <c r="AH261" s="9"/>
      <c r="AI261" s="9"/>
      <c r="AJ261" s="9"/>
      <c r="AK261" s="9"/>
      <c r="AL261" s="9"/>
      <c r="AM261" s="9"/>
      <c r="AN261" s="10"/>
      <c r="AO261" s="65">
        <f t="shared" si="4"/>
        <v>0</v>
      </c>
    </row>
    <row r="262" spans="2:41" s="4" customFormat="1" ht="24" customHeight="1" x14ac:dyDescent="0.2">
      <c r="B262" s="14"/>
      <c r="C262" s="23"/>
      <c r="D262" s="21"/>
      <c r="E262" s="6"/>
      <c r="F262" s="16" t="str">
        <f>IFERROR(VLOOKUP($E262,設定!$C:$F,2,0),"")</f>
        <v/>
      </c>
      <c r="G262" s="156" t="str">
        <f>IFERROR(VLOOKUP($E262,設定!$C:$F,3,0),"")</f>
        <v/>
      </c>
      <c r="H262" s="131" t="str">
        <f>IFERROR(VLOOKUP($E262,設定!$C:$F,4,0),"")</f>
        <v/>
      </c>
      <c r="I262" s="402"/>
      <c r="J262" s="8"/>
      <c r="K262" s="9"/>
      <c r="L262" s="9"/>
      <c r="M262" s="9"/>
      <c r="N262" s="9"/>
      <c r="O262" s="9"/>
      <c r="P262" s="9"/>
      <c r="Q262" s="9"/>
      <c r="R262" s="9"/>
      <c r="S262" s="9"/>
      <c r="T262" s="9"/>
      <c r="U262" s="9"/>
      <c r="V262" s="9"/>
      <c r="W262" s="9"/>
      <c r="X262" s="9"/>
      <c r="Y262" s="9"/>
      <c r="Z262" s="9"/>
      <c r="AA262" s="9"/>
      <c r="AB262" s="9"/>
      <c r="AC262" s="9"/>
      <c r="AD262" s="9"/>
      <c r="AE262" s="9"/>
      <c r="AF262" s="9"/>
      <c r="AG262" s="9"/>
      <c r="AH262" s="9"/>
      <c r="AI262" s="9"/>
      <c r="AJ262" s="9"/>
      <c r="AK262" s="9"/>
      <c r="AL262" s="9"/>
      <c r="AM262" s="9"/>
      <c r="AN262" s="10"/>
      <c r="AO262" s="65">
        <f t="shared" si="4"/>
        <v>0</v>
      </c>
    </row>
    <row r="263" spans="2:41" s="4" customFormat="1" ht="24" customHeight="1" x14ac:dyDescent="0.2">
      <c r="B263" s="14"/>
      <c r="C263" s="23"/>
      <c r="D263" s="21"/>
      <c r="E263" s="6"/>
      <c r="F263" s="16" t="str">
        <f>IFERROR(VLOOKUP($E263,設定!$C:$F,2,0),"")</f>
        <v/>
      </c>
      <c r="G263" s="156" t="str">
        <f>IFERROR(VLOOKUP($E263,設定!$C:$F,3,0),"")</f>
        <v/>
      </c>
      <c r="H263" s="131" t="str">
        <f>IFERROR(VLOOKUP($E263,設定!$C:$F,4,0),"")</f>
        <v/>
      </c>
      <c r="I263" s="402"/>
      <c r="J263" s="8"/>
      <c r="K263" s="9"/>
      <c r="L263" s="9"/>
      <c r="M263" s="9"/>
      <c r="N263" s="9"/>
      <c r="O263" s="9"/>
      <c r="P263" s="9"/>
      <c r="Q263" s="9"/>
      <c r="R263" s="9"/>
      <c r="S263" s="9"/>
      <c r="T263" s="9"/>
      <c r="U263" s="9"/>
      <c r="V263" s="9"/>
      <c r="W263" s="9"/>
      <c r="X263" s="9"/>
      <c r="Y263" s="9"/>
      <c r="Z263" s="9"/>
      <c r="AA263" s="9"/>
      <c r="AB263" s="9"/>
      <c r="AC263" s="9"/>
      <c r="AD263" s="9"/>
      <c r="AE263" s="9"/>
      <c r="AF263" s="9"/>
      <c r="AG263" s="9"/>
      <c r="AH263" s="9"/>
      <c r="AI263" s="9"/>
      <c r="AJ263" s="9"/>
      <c r="AK263" s="9"/>
      <c r="AL263" s="9"/>
      <c r="AM263" s="9"/>
      <c r="AN263" s="10"/>
      <c r="AO263" s="65">
        <f t="shared" ref="AO263:AO326" si="5">I263*SUM(J263:AN263)</f>
        <v>0</v>
      </c>
    </row>
    <row r="264" spans="2:41" s="4" customFormat="1" ht="24" customHeight="1" x14ac:dyDescent="0.2">
      <c r="B264" s="14"/>
      <c r="C264" s="23"/>
      <c r="D264" s="21"/>
      <c r="E264" s="6"/>
      <c r="F264" s="16" t="str">
        <f>IFERROR(VLOOKUP($E264,設定!$C:$F,2,0),"")</f>
        <v/>
      </c>
      <c r="G264" s="156" t="str">
        <f>IFERROR(VLOOKUP($E264,設定!$C:$F,3,0),"")</f>
        <v/>
      </c>
      <c r="H264" s="131" t="str">
        <f>IFERROR(VLOOKUP($E264,設定!$C:$F,4,0),"")</f>
        <v/>
      </c>
      <c r="I264" s="402"/>
      <c r="J264" s="8"/>
      <c r="K264" s="9"/>
      <c r="L264" s="9"/>
      <c r="M264" s="9"/>
      <c r="N264" s="9"/>
      <c r="O264" s="9"/>
      <c r="P264" s="9"/>
      <c r="Q264" s="9"/>
      <c r="R264" s="9"/>
      <c r="S264" s="9"/>
      <c r="T264" s="9"/>
      <c r="U264" s="9"/>
      <c r="V264" s="9"/>
      <c r="W264" s="9"/>
      <c r="X264" s="9"/>
      <c r="Y264" s="9"/>
      <c r="Z264" s="9"/>
      <c r="AA264" s="9"/>
      <c r="AB264" s="9"/>
      <c r="AC264" s="9"/>
      <c r="AD264" s="9"/>
      <c r="AE264" s="9"/>
      <c r="AF264" s="9"/>
      <c r="AG264" s="9"/>
      <c r="AH264" s="9"/>
      <c r="AI264" s="9"/>
      <c r="AJ264" s="9"/>
      <c r="AK264" s="9"/>
      <c r="AL264" s="9"/>
      <c r="AM264" s="9"/>
      <c r="AN264" s="10"/>
      <c r="AO264" s="65">
        <f t="shared" si="5"/>
        <v>0</v>
      </c>
    </row>
    <row r="265" spans="2:41" s="4" customFormat="1" ht="24" customHeight="1" x14ac:dyDescent="0.2">
      <c r="B265" s="14"/>
      <c r="C265" s="23"/>
      <c r="D265" s="21"/>
      <c r="E265" s="6"/>
      <c r="F265" s="16" t="str">
        <f>IFERROR(VLOOKUP($E265,設定!$C:$F,2,0),"")</f>
        <v/>
      </c>
      <c r="G265" s="156" t="str">
        <f>IFERROR(VLOOKUP($E265,設定!$C:$F,3,0),"")</f>
        <v/>
      </c>
      <c r="H265" s="131" t="str">
        <f>IFERROR(VLOOKUP($E265,設定!$C:$F,4,0),"")</f>
        <v/>
      </c>
      <c r="I265" s="402"/>
      <c r="J265" s="8"/>
      <c r="K265" s="9"/>
      <c r="L265" s="9"/>
      <c r="M265" s="9"/>
      <c r="N265" s="9"/>
      <c r="O265" s="9"/>
      <c r="P265" s="9"/>
      <c r="Q265" s="9"/>
      <c r="R265" s="9"/>
      <c r="S265" s="9"/>
      <c r="T265" s="9"/>
      <c r="U265" s="9"/>
      <c r="V265" s="9"/>
      <c r="W265" s="9"/>
      <c r="X265" s="9"/>
      <c r="Y265" s="9"/>
      <c r="Z265" s="9"/>
      <c r="AA265" s="9"/>
      <c r="AB265" s="9"/>
      <c r="AC265" s="9"/>
      <c r="AD265" s="9"/>
      <c r="AE265" s="9"/>
      <c r="AF265" s="9"/>
      <c r="AG265" s="9"/>
      <c r="AH265" s="9"/>
      <c r="AI265" s="9"/>
      <c r="AJ265" s="9"/>
      <c r="AK265" s="9"/>
      <c r="AL265" s="9"/>
      <c r="AM265" s="9"/>
      <c r="AN265" s="10"/>
      <c r="AO265" s="65">
        <f t="shared" si="5"/>
        <v>0</v>
      </c>
    </row>
    <row r="266" spans="2:41" s="4" customFormat="1" ht="24" customHeight="1" x14ac:dyDescent="0.2">
      <c r="B266" s="14"/>
      <c r="C266" s="23"/>
      <c r="D266" s="21"/>
      <c r="E266" s="6"/>
      <c r="F266" s="16" t="str">
        <f>IFERROR(VLOOKUP($E266,設定!$C:$F,2,0),"")</f>
        <v/>
      </c>
      <c r="G266" s="156" t="str">
        <f>IFERROR(VLOOKUP($E266,設定!$C:$F,3,0),"")</f>
        <v/>
      </c>
      <c r="H266" s="131" t="str">
        <f>IFERROR(VLOOKUP($E266,設定!$C:$F,4,0),"")</f>
        <v/>
      </c>
      <c r="I266" s="402"/>
      <c r="J266" s="8"/>
      <c r="K266" s="9"/>
      <c r="L266" s="9"/>
      <c r="M266" s="9"/>
      <c r="N266" s="9"/>
      <c r="O266" s="9"/>
      <c r="P266" s="9"/>
      <c r="Q266" s="9"/>
      <c r="R266" s="9"/>
      <c r="S266" s="9"/>
      <c r="T266" s="9"/>
      <c r="U266" s="9"/>
      <c r="V266" s="9"/>
      <c r="W266" s="9"/>
      <c r="X266" s="9"/>
      <c r="Y266" s="9"/>
      <c r="Z266" s="9"/>
      <c r="AA266" s="9"/>
      <c r="AB266" s="9"/>
      <c r="AC266" s="9"/>
      <c r="AD266" s="9"/>
      <c r="AE266" s="9"/>
      <c r="AF266" s="9"/>
      <c r="AG266" s="9"/>
      <c r="AH266" s="9"/>
      <c r="AI266" s="9"/>
      <c r="AJ266" s="9"/>
      <c r="AK266" s="9"/>
      <c r="AL266" s="9"/>
      <c r="AM266" s="9"/>
      <c r="AN266" s="10"/>
      <c r="AO266" s="65">
        <f t="shared" si="5"/>
        <v>0</v>
      </c>
    </row>
    <row r="267" spans="2:41" s="4" customFormat="1" ht="24" customHeight="1" x14ac:dyDescent="0.2">
      <c r="B267" s="14"/>
      <c r="C267" s="23"/>
      <c r="D267" s="21"/>
      <c r="E267" s="6"/>
      <c r="F267" s="16" t="str">
        <f>IFERROR(VLOOKUP($E267,設定!$C:$F,2,0),"")</f>
        <v/>
      </c>
      <c r="G267" s="156" t="str">
        <f>IFERROR(VLOOKUP($E267,設定!$C:$F,3,0),"")</f>
        <v/>
      </c>
      <c r="H267" s="131" t="str">
        <f>IFERROR(VLOOKUP($E267,設定!$C:$F,4,0),"")</f>
        <v/>
      </c>
      <c r="I267" s="402"/>
      <c r="J267" s="8"/>
      <c r="K267" s="9"/>
      <c r="L267" s="9"/>
      <c r="M267" s="9"/>
      <c r="N267" s="9"/>
      <c r="O267" s="9"/>
      <c r="P267" s="9"/>
      <c r="Q267" s="9"/>
      <c r="R267" s="9"/>
      <c r="S267" s="9"/>
      <c r="T267" s="9"/>
      <c r="U267" s="9"/>
      <c r="V267" s="9"/>
      <c r="W267" s="9"/>
      <c r="X267" s="9"/>
      <c r="Y267" s="9"/>
      <c r="Z267" s="9"/>
      <c r="AA267" s="9"/>
      <c r="AB267" s="9"/>
      <c r="AC267" s="9"/>
      <c r="AD267" s="9"/>
      <c r="AE267" s="9"/>
      <c r="AF267" s="9"/>
      <c r="AG267" s="9"/>
      <c r="AH267" s="9"/>
      <c r="AI267" s="9"/>
      <c r="AJ267" s="9"/>
      <c r="AK267" s="9"/>
      <c r="AL267" s="9"/>
      <c r="AM267" s="9"/>
      <c r="AN267" s="10"/>
      <c r="AO267" s="65">
        <f t="shared" si="5"/>
        <v>0</v>
      </c>
    </row>
    <row r="268" spans="2:41" s="4" customFormat="1" ht="24" customHeight="1" x14ac:dyDescent="0.2">
      <c r="B268" s="14"/>
      <c r="C268" s="23"/>
      <c r="D268" s="21"/>
      <c r="E268" s="6"/>
      <c r="F268" s="16" t="str">
        <f>IFERROR(VLOOKUP($E268,設定!$C:$F,2,0),"")</f>
        <v/>
      </c>
      <c r="G268" s="156" t="str">
        <f>IFERROR(VLOOKUP($E268,設定!$C:$F,3,0),"")</f>
        <v/>
      </c>
      <c r="H268" s="131" t="str">
        <f>IFERROR(VLOOKUP($E268,設定!$C:$F,4,0),"")</f>
        <v/>
      </c>
      <c r="I268" s="402"/>
      <c r="J268" s="8"/>
      <c r="K268" s="9"/>
      <c r="L268" s="9"/>
      <c r="M268" s="9"/>
      <c r="N268" s="9"/>
      <c r="O268" s="9"/>
      <c r="P268" s="9"/>
      <c r="Q268" s="9"/>
      <c r="R268" s="9"/>
      <c r="S268" s="9"/>
      <c r="T268" s="9"/>
      <c r="U268" s="9"/>
      <c r="V268" s="9"/>
      <c r="W268" s="9"/>
      <c r="X268" s="9"/>
      <c r="Y268" s="9"/>
      <c r="Z268" s="9"/>
      <c r="AA268" s="9"/>
      <c r="AB268" s="9"/>
      <c r="AC268" s="9"/>
      <c r="AD268" s="9"/>
      <c r="AE268" s="9"/>
      <c r="AF268" s="9"/>
      <c r="AG268" s="9"/>
      <c r="AH268" s="9"/>
      <c r="AI268" s="9"/>
      <c r="AJ268" s="9"/>
      <c r="AK268" s="9"/>
      <c r="AL268" s="9"/>
      <c r="AM268" s="9"/>
      <c r="AN268" s="10"/>
      <c r="AO268" s="65">
        <f t="shared" si="5"/>
        <v>0</v>
      </c>
    </row>
    <row r="269" spans="2:41" s="4" customFormat="1" ht="24" customHeight="1" x14ac:dyDescent="0.2">
      <c r="B269" s="14"/>
      <c r="C269" s="23"/>
      <c r="D269" s="21"/>
      <c r="E269" s="6"/>
      <c r="F269" s="16" t="str">
        <f>IFERROR(VLOOKUP($E269,設定!$C:$F,2,0),"")</f>
        <v/>
      </c>
      <c r="G269" s="156" t="str">
        <f>IFERROR(VLOOKUP($E269,設定!$C:$F,3,0),"")</f>
        <v/>
      </c>
      <c r="H269" s="131" t="str">
        <f>IFERROR(VLOOKUP($E269,設定!$C:$F,4,0),"")</f>
        <v/>
      </c>
      <c r="I269" s="402"/>
      <c r="J269" s="8"/>
      <c r="K269" s="9"/>
      <c r="L269" s="9"/>
      <c r="M269" s="9"/>
      <c r="N269" s="9"/>
      <c r="O269" s="9"/>
      <c r="P269" s="9"/>
      <c r="Q269" s="9"/>
      <c r="R269" s="9"/>
      <c r="S269" s="9"/>
      <c r="T269" s="9"/>
      <c r="U269" s="9"/>
      <c r="V269" s="9"/>
      <c r="W269" s="9"/>
      <c r="X269" s="9"/>
      <c r="Y269" s="9"/>
      <c r="Z269" s="9"/>
      <c r="AA269" s="9"/>
      <c r="AB269" s="9"/>
      <c r="AC269" s="9"/>
      <c r="AD269" s="9"/>
      <c r="AE269" s="9"/>
      <c r="AF269" s="9"/>
      <c r="AG269" s="9"/>
      <c r="AH269" s="9"/>
      <c r="AI269" s="9"/>
      <c r="AJ269" s="9"/>
      <c r="AK269" s="9"/>
      <c r="AL269" s="9"/>
      <c r="AM269" s="9"/>
      <c r="AN269" s="10"/>
      <c r="AO269" s="65">
        <f t="shared" si="5"/>
        <v>0</v>
      </c>
    </row>
    <row r="270" spans="2:41" s="4" customFormat="1" ht="24" customHeight="1" x14ac:dyDescent="0.2">
      <c r="B270" s="14"/>
      <c r="C270" s="23"/>
      <c r="D270" s="21"/>
      <c r="E270" s="6"/>
      <c r="F270" s="16" t="str">
        <f>IFERROR(VLOOKUP($E270,設定!$C:$F,2,0),"")</f>
        <v/>
      </c>
      <c r="G270" s="156" t="str">
        <f>IFERROR(VLOOKUP($E270,設定!$C:$F,3,0),"")</f>
        <v/>
      </c>
      <c r="H270" s="131" t="str">
        <f>IFERROR(VLOOKUP($E270,設定!$C:$F,4,0),"")</f>
        <v/>
      </c>
      <c r="I270" s="402"/>
      <c r="J270" s="8"/>
      <c r="K270" s="9"/>
      <c r="L270" s="9"/>
      <c r="M270" s="9"/>
      <c r="N270" s="9"/>
      <c r="O270" s="9"/>
      <c r="P270" s="9"/>
      <c r="Q270" s="9"/>
      <c r="R270" s="9"/>
      <c r="S270" s="9"/>
      <c r="T270" s="9"/>
      <c r="U270" s="9"/>
      <c r="V270" s="9"/>
      <c r="W270" s="9"/>
      <c r="X270" s="9"/>
      <c r="Y270" s="9"/>
      <c r="Z270" s="9"/>
      <c r="AA270" s="9"/>
      <c r="AB270" s="9"/>
      <c r="AC270" s="9"/>
      <c r="AD270" s="9"/>
      <c r="AE270" s="9"/>
      <c r="AF270" s="9"/>
      <c r="AG270" s="9"/>
      <c r="AH270" s="9"/>
      <c r="AI270" s="9"/>
      <c r="AJ270" s="9"/>
      <c r="AK270" s="9"/>
      <c r="AL270" s="9"/>
      <c r="AM270" s="9"/>
      <c r="AN270" s="10"/>
      <c r="AO270" s="65">
        <f t="shared" si="5"/>
        <v>0</v>
      </c>
    </row>
    <row r="271" spans="2:41" s="4" customFormat="1" ht="24" customHeight="1" x14ac:dyDescent="0.2">
      <c r="B271" s="14"/>
      <c r="C271" s="23"/>
      <c r="D271" s="21"/>
      <c r="E271" s="6"/>
      <c r="F271" s="16" t="str">
        <f>IFERROR(VLOOKUP($E271,設定!$C:$F,2,0),"")</f>
        <v/>
      </c>
      <c r="G271" s="156" t="str">
        <f>IFERROR(VLOOKUP($E271,設定!$C:$F,3,0),"")</f>
        <v/>
      </c>
      <c r="H271" s="131" t="str">
        <f>IFERROR(VLOOKUP($E271,設定!$C:$F,4,0),"")</f>
        <v/>
      </c>
      <c r="I271" s="402"/>
      <c r="J271" s="8"/>
      <c r="K271" s="9"/>
      <c r="L271" s="9"/>
      <c r="M271" s="9"/>
      <c r="N271" s="9"/>
      <c r="O271" s="9"/>
      <c r="P271" s="9"/>
      <c r="Q271" s="9"/>
      <c r="R271" s="9"/>
      <c r="S271" s="9"/>
      <c r="T271" s="9"/>
      <c r="U271" s="9"/>
      <c r="V271" s="9"/>
      <c r="W271" s="9"/>
      <c r="X271" s="9"/>
      <c r="Y271" s="9"/>
      <c r="Z271" s="9"/>
      <c r="AA271" s="9"/>
      <c r="AB271" s="9"/>
      <c r="AC271" s="9"/>
      <c r="AD271" s="9"/>
      <c r="AE271" s="9"/>
      <c r="AF271" s="9"/>
      <c r="AG271" s="9"/>
      <c r="AH271" s="9"/>
      <c r="AI271" s="9"/>
      <c r="AJ271" s="9"/>
      <c r="AK271" s="9"/>
      <c r="AL271" s="9"/>
      <c r="AM271" s="9"/>
      <c r="AN271" s="10"/>
      <c r="AO271" s="65">
        <f t="shared" si="5"/>
        <v>0</v>
      </c>
    </row>
    <row r="272" spans="2:41" s="4" customFormat="1" ht="24" customHeight="1" x14ac:dyDescent="0.2">
      <c r="B272" s="14"/>
      <c r="C272" s="23"/>
      <c r="D272" s="21"/>
      <c r="E272" s="6"/>
      <c r="F272" s="16" t="str">
        <f>IFERROR(VLOOKUP($E272,設定!$C:$F,2,0),"")</f>
        <v/>
      </c>
      <c r="G272" s="156" t="str">
        <f>IFERROR(VLOOKUP($E272,設定!$C:$F,3,0),"")</f>
        <v/>
      </c>
      <c r="H272" s="131" t="str">
        <f>IFERROR(VLOOKUP($E272,設定!$C:$F,4,0),"")</f>
        <v/>
      </c>
      <c r="I272" s="402"/>
      <c r="J272" s="8"/>
      <c r="K272" s="9"/>
      <c r="L272" s="9"/>
      <c r="M272" s="9"/>
      <c r="N272" s="9"/>
      <c r="O272" s="9"/>
      <c r="P272" s="9"/>
      <c r="Q272" s="9"/>
      <c r="R272" s="9"/>
      <c r="S272" s="9"/>
      <c r="T272" s="9"/>
      <c r="U272" s="9"/>
      <c r="V272" s="9"/>
      <c r="W272" s="9"/>
      <c r="X272" s="9"/>
      <c r="Y272" s="9"/>
      <c r="Z272" s="9"/>
      <c r="AA272" s="9"/>
      <c r="AB272" s="9"/>
      <c r="AC272" s="9"/>
      <c r="AD272" s="9"/>
      <c r="AE272" s="9"/>
      <c r="AF272" s="9"/>
      <c r="AG272" s="9"/>
      <c r="AH272" s="9"/>
      <c r="AI272" s="9"/>
      <c r="AJ272" s="9"/>
      <c r="AK272" s="9"/>
      <c r="AL272" s="9"/>
      <c r="AM272" s="9"/>
      <c r="AN272" s="10"/>
      <c r="AO272" s="65">
        <f t="shared" si="5"/>
        <v>0</v>
      </c>
    </row>
    <row r="273" spans="2:41" s="4" customFormat="1" ht="24" customHeight="1" x14ac:dyDescent="0.2">
      <c r="B273" s="14"/>
      <c r="C273" s="23"/>
      <c r="D273" s="21"/>
      <c r="E273" s="6"/>
      <c r="F273" s="16" t="str">
        <f>IFERROR(VLOOKUP($E273,設定!$C:$F,2,0),"")</f>
        <v/>
      </c>
      <c r="G273" s="156" t="str">
        <f>IFERROR(VLOOKUP($E273,設定!$C:$F,3,0),"")</f>
        <v/>
      </c>
      <c r="H273" s="131" t="str">
        <f>IFERROR(VLOOKUP($E273,設定!$C:$F,4,0),"")</f>
        <v/>
      </c>
      <c r="I273" s="402"/>
      <c r="J273" s="8"/>
      <c r="K273" s="9"/>
      <c r="L273" s="9"/>
      <c r="M273" s="9"/>
      <c r="N273" s="9"/>
      <c r="O273" s="9"/>
      <c r="P273" s="9"/>
      <c r="Q273" s="9"/>
      <c r="R273" s="9"/>
      <c r="S273" s="9"/>
      <c r="T273" s="9"/>
      <c r="U273" s="9"/>
      <c r="V273" s="9"/>
      <c r="W273" s="9"/>
      <c r="X273" s="9"/>
      <c r="Y273" s="9"/>
      <c r="Z273" s="9"/>
      <c r="AA273" s="9"/>
      <c r="AB273" s="9"/>
      <c r="AC273" s="9"/>
      <c r="AD273" s="9"/>
      <c r="AE273" s="9"/>
      <c r="AF273" s="9"/>
      <c r="AG273" s="9"/>
      <c r="AH273" s="9"/>
      <c r="AI273" s="9"/>
      <c r="AJ273" s="9"/>
      <c r="AK273" s="9"/>
      <c r="AL273" s="9"/>
      <c r="AM273" s="9"/>
      <c r="AN273" s="10"/>
      <c r="AO273" s="65">
        <f t="shared" si="5"/>
        <v>0</v>
      </c>
    </row>
    <row r="274" spans="2:41" s="4" customFormat="1" ht="24" customHeight="1" x14ac:dyDescent="0.2">
      <c r="B274" s="14"/>
      <c r="C274" s="23"/>
      <c r="D274" s="21"/>
      <c r="E274" s="6"/>
      <c r="F274" s="16" t="str">
        <f>IFERROR(VLOOKUP($E274,設定!$C:$F,2,0),"")</f>
        <v/>
      </c>
      <c r="G274" s="156" t="str">
        <f>IFERROR(VLOOKUP($E274,設定!$C:$F,3,0),"")</f>
        <v/>
      </c>
      <c r="H274" s="131" t="str">
        <f>IFERROR(VLOOKUP($E274,設定!$C:$F,4,0),"")</f>
        <v/>
      </c>
      <c r="I274" s="402"/>
      <c r="J274" s="8"/>
      <c r="K274" s="9"/>
      <c r="L274" s="9"/>
      <c r="M274" s="9"/>
      <c r="N274" s="9"/>
      <c r="O274" s="9"/>
      <c r="P274" s="9"/>
      <c r="Q274" s="9"/>
      <c r="R274" s="9"/>
      <c r="S274" s="9"/>
      <c r="T274" s="9"/>
      <c r="U274" s="9"/>
      <c r="V274" s="9"/>
      <c r="W274" s="9"/>
      <c r="X274" s="9"/>
      <c r="Y274" s="9"/>
      <c r="Z274" s="9"/>
      <c r="AA274" s="9"/>
      <c r="AB274" s="9"/>
      <c r="AC274" s="9"/>
      <c r="AD274" s="9"/>
      <c r="AE274" s="9"/>
      <c r="AF274" s="9"/>
      <c r="AG274" s="9"/>
      <c r="AH274" s="9"/>
      <c r="AI274" s="9"/>
      <c r="AJ274" s="9"/>
      <c r="AK274" s="9"/>
      <c r="AL274" s="9"/>
      <c r="AM274" s="9"/>
      <c r="AN274" s="10"/>
      <c r="AO274" s="65">
        <f t="shared" si="5"/>
        <v>0</v>
      </c>
    </row>
    <row r="275" spans="2:41" s="4" customFormat="1" ht="24" customHeight="1" x14ac:dyDescent="0.2">
      <c r="B275" s="14"/>
      <c r="C275" s="23"/>
      <c r="D275" s="21"/>
      <c r="E275" s="6"/>
      <c r="F275" s="16" t="str">
        <f>IFERROR(VLOOKUP($E275,設定!$C:$F,2,0),"")</f>
        <v/>
      </c>
      <c r="G275" s="156" t="str">
        <f>IFERROR(VLOOKUP($E275,設定!$C:$F,3,0),"")</f>
        <v/>
      </c>
      <c r="H275" s="131" t="str">
        <f>IFERROR(VLOOKUP($E275,設定!$C:$F,4,0),"")</f>
        <v/>
      </c>
      <c r="I275" s="402"/>
      <c r="J275" s="8"/>
      <c r="K275" s="9"/>
      <c r="L275" s="9"/>
      <c r="M275" s="9"/>
      <c r="N275" s="9"/>
      <c r="O275" s="9"/>
      <c r="P275" s="9"/>
      <c r="Q275" s="9"/>
      <c r="R275" s="9"/>
      <c r="S275" s="9"/>
      <c r="T275" s="9"/>
      <c r="U275" s="9"/>
      <c r="V275" s="9"/>
      <c r="W275" s="9"/>
      <c r="X275" s="9"/>
      <c r="Y275" s="9"/>
      <c r="Z275" s="9"/>
      <c r="AA275" s="9"/>
      <c r="AB275" s="9"/>
      <c r="AC275" s="9"/>
      <c r="AD275" s="9"/>
      <c r="AE275" s="9"/>
      <c r="AF275" s="9"/>
      <c r="AG275" s="9"/>
      <c r="AH275" s="9"/>
      <c r="AI275" s="9"/>
      <c r="AJ275" s="9"/>
      <c r="AK275" s="9"/>
      <c r="AL275" s="9"/>
      <c r="AM275" s="9"/>
      <c r="AN275" s="10"/>
      <c r="AO275" s="65">
        <f t="shared" si="5"/>
        <v>0</v>
      </c>
    </row>
    <row r="276" spans="2:41" s="4" customFormat="1" ht="24" customHeight="1" x14ac:dyDescent="0.2">
      <c r="B276" s="14"/>
      <c r="C276" s="23"/>
      <c r="D276" s="21"/>
      <c r="E276" s="6"/>
      <c r="F276" s="16" t="str">
        <f>IFERROR(VLOOKUP($E276,設定!$C:$F,2,0),"")</f>
        <v/>
      </c>
      <c r="G276" s="156" t="str">
        <f>IFERROR(VLOOKUP($E276,設定!$C:$F,3,0),"")</f>
        <v/>
      </c>
      <c r="H276" s="131" t="str">
        <f>IFERROR(VLOOKUP($E276,設定!$C:$F,4,0),"")</f>
        <v/>
      </c>
      <c r="I276" s="402"/>
      <c r="J276" s="8"/>
      <c r="K276" s="9"/>
      <c r="L276" s="9"/>
      <c r="M276" s="9"/>
      <c r="N276" s="9"/>
      <c r="O276" s="9"/>
      <c r="P276" s="9"/>
      <c r="Q276" s="9"/>
      <c r="R276" s="9"/>
      <c r="S276" s="9"/>
      <c r="T276" s="9"/>
      <c r="U276" s="9"/>
      <c r="V276" s="9"/>
      <c r="W276" s="9"/>
      <c r="X276" s="9"/>
      <c r="Y276" s="9"/>
      <c r="Z276" s="9"/>
      <c r="AA276" s="9"/>
      <c r="AB276" s="9"/>
      <c r="AC276" s="9"/>
      <c r="AD276" s="9"/>
      <c r="AE276" s="9"/>
      <c r="AF276" s="9"/>
      <c r="AG276" s="9"/>
      <c r="AH276" s="9"/>
      <c r="AI276" s="9"/>
      <c r="AJ276" s="9"/>
      <c r="AK276" s="9"/>
      <c r="AL276" s="9"/>
      <c r="AM276" s="9"/>
      <c r="AN276" s="10"/>
      <c r="AO276" s="65">
        <f t="shared" si="5"/>
        <v>0</v>
      </c>
    </row>
    <row r="277" spans="2:41" s="4" customFormat="1" ht="24" customHeight="1" x14ac:dyDescent="0.2">
      <c r="B277" s="14"/>
      <c r="C277" s="23"/>
      <c r="D277" s="21"/>
      <c r="E277" s="6"/>
      <c r="F277" s="16" t="str">
        <f>IFERROR(VLOOKUP($E277,設定!$C:$F,2,0),"")</f>
        <v/>
      </c>
      <c r="G277" s="156" t="str">
        <f>IFERROR(VLOOKUP($E277,設定!$C:$F,3,0),"")</f>
        <v/>
      </c>
      <c r="H277" s="131" t="str">
        <f>IFERROR(VLOOKUP($E277,設定!$C:$F,4,0),"")</f>
        <v/>
      </c>
      <c r="I277" s="402"/>
      <c r="J277" s="8"/>
      <c r="K277" s="9"/>
      <c r="L277" s="9"/>
      <c r="M277" s="9"/>
      <c r="N277" s="9"/>
      <c r="O277" s="9"/>
      <c r="P277" s="9"/>
      <c r="Q277" s="9"/>
      <c r="R277" s="9"/>
      <c r="S277" s="9"/>
      <c r="T277" s="9"/>
      <c r="U277" s="9"/>
      <c r="V277" s="9"/>
      <c r="W277" s="9"/>
      <c r="X277" s="9"/>
      <c r="Y277" s="9"/>
      <c r="Z277" s="9"/>
      <c r="AA277" s="9"/>
      <c r="AB277" s="9"/>
      <c r="AC277" s="9"/>
      <c r="AD277" s="9"/>
      <c r="AE277" s="9"/>
      <c r="AF277" s="9"/>
      <c r="AG277" s="9"/>
      <c r="AH277" s="9"/>
      <c r="AI277" s="9"/>
      <c r="AJ277" s="9"/>
      <c r="AK277" s="9"/>
      <c r="AL277" s="9"/>
      <c r="AM277" s="9"/>
      <c r="AN277" s="10"/>
      <c r="AO277" s="65">
        <f t="shared" si="5"/>
        <v>0</v>
      </c>
    </row>
    <row r="278" spans="2:41" s="4" customFormat="1" ht="24" customHeight="1" x14ac:dyDescent="0.2">
      <c r="B278" s="14"/>
      <c r="C278" s="23"/>
      <c r="D278" s="21"/>
      <c r="E278" s="6"/>
      <c r="F278" s="16" t="str">
        <f>IFERROR(VLOOKUP($E278,設定!$C:$F,2,0),"")</f>
        <v/>
      </c>
      <c r="G278" s="156" t="str">
        <f>IFERROR(VLOOKUP($E278,設定!$C:$F,3,0),"")</f>
        <v/>
      </c>
      <c r="H278" s="131" t="str">
        <f>IFERROR(VLOOKUP($E278,設定!$C:$F,4,0),"")</f>
        <v/>
      </c>
      <c r="I278" s="402"/>
      <c r="J278" s="8"/>
      <c r="K278" s="9"/>
      <c r="L278" s="9"/>
      <c r="M278" s="9"/>
      <c r="N278" s="9"/>
      <c r="O278" s="9"/>
      <c r="P278" s="9"/>
      <c r="Q278" s="9"/>
      <c r="R278" s="9"/>
      <c r="S278" s="9"/>
      <c r="T278" s="9"/>
      <c r="U278" s="9"/>
      <c r="V278" s="9"/>
      <c r="W278" s="9"/>
      <c r="X278" s="9"/>
      <c r="Y278" s="9"/>
      <c r="Z278" s="9"/>
      <c r="AA278" s="9"/>
      <c r="AB278" s="9"/>
      <c r="AC278" s="9"/>
      <c r="AD278" s="9"/>
      <c r="AE278" s="9"/>
      <c r="AF278" s="9"/>
      <c r="AG278" s="9"/>
      <c r="AH278" s="9"/>
      <c r="AI278" s="9"/>
      <c r="AJ278" s="9"/>
      <c r="AK278" s="9"/>
      <c r="AL278" s="9"/>
      <c r="AM278" s="9"/>
      <c r="AN278" s="10"/>
      <c r="AO278" s="65">
        <f t="shared" si="5"/>
        <v>0</v>
      </c>
    </row>
    <row r="279" spans="2:41" s="4" customFormat="1" ht="24" customHeight="1" x14ac:dyDescent="0.2">
      <c r="B279" s="14"/>
      <c r="C279" s="23"/>
      <c r="D279" s="21"/>
      <c r="E279" s="6"/>
      <c r="F279" s="16" t="str">
        <f>IFERROR(VLOOKUP($E279,設定!$C:$F,2,0),"")</f>
        <v/>
      </c>
      <c r="G279" s="156" t="str">
        <f>IFERROR(VLOOKUP($E279,設定!$C:$F,3,0),"")</f>
        <v/>
      </c>
      <c r="H279" s="131" t="str">
        <f>IFERROR(VLOOKUP($E279,設定!$C:$F,4,0),"")</f>
        <v/>
      </c>
      <c r="I279" s="402"/>
      <c r="J279" s="8"/>
      <c r="K279" s="9"/>
      <c r="L279" s="9"/>
      <c r="M279" s="9"/>
      <c r="N279" s="9"/>
      <c r="O279" s="9"/>
      <c r="P279" s="9"/>
      <c r="Q279" s="9"/>
      <c r="R279" s="9"/>
      <c r="S279" s="9"/>
      <c r="T279" s="9"/>
      <c r="U279" s="9"/>
      <c r="V279" s="9"/>
      <c r="W279" s="9"/>
      <c r="X279" s="9"/>
      <c r="Y279" s="9"/>
      <c r="Z279" s="9"/>
      <c r="AA279" s="9"/>
      <c r="AB279" s="9"/>
      <c r="AC279" s="9"/>
      <c r="AD279" s="9"/>
      <c r="AE279" s="9"/>
      <c r="AF279" s="9"/>
      <c r="AG279" s="9"/>
      <c r="AH279" s="9"/>
      <c r="AI279" s="9"/>
      <c r="AJ279" s="9"/>
      <c r="AK279" s="9"/>
      <c r="AL279" s="9"/>
      <c r="AM279" s="9"/>
      <c r="AN279" s="10"/>
      <c r="AO279" s="65">
        <f t="shared" si="5"/>
        <v>0</v>
      </c>
    </row>
    <row r="280" spans="2:41" s="4" customFormat="1" ht="24" customHeight="1" x14ac:dyDescent="0.2">
      <c r="B280" s="14"/>
      <c r="C280" s="23"/>
      <c r="D280" s="21"/>
      <c r="E280" s="6"/>
      <c r="F280" s="16" t="str">
        <f>IFERROR(VLOOKUP($E280,設定!$C:$F,2,0),"")</f>
        <v/>
      </c>
      <c r="G280" s="156" t="str">
        <f>IFERROR(VLOOKUP($E280,設定!$C:$F,3,0),"")</f>
        <v/>
      </c>
      <c r="H280" s="131" t="str">
        <f>IFERROR(VLOOKUP($E280,設定!$C:$F,4,0),"")</f>
        <v/>
      </c>
      <c r="I280" s="402"/>
      <c r="J280" s="8"/>
      <c r="K280" s="9"/>
      <c r="L280" s="9"/>
      <c r="M280" s="9"/>
      <c r="N280" s="9"/>
      <c r="O280" s="9"/>
      <c r="P280" s="9"/>
      <c r="Q280" s="9"/>
      <c r="R280" s="9"/>
      <c r="S280" s="9"/>
      <c r="T280" s="9"/>
      <c r="U280" s="9"/>
      <c r="V280" s="9"/>
      <c r="W280" s="9"/>
      <c r="X280" s="9"/>
      <c r="Y280" s="9"/>
      <c r="Z280" s="9"/>
      <c r="AA280" s="9"/>
      <c r="AB280" s="9"/>
      <c r="AC280" s="9"/>
      <c r="AD280" s="9"/>
      <c r="AE280" s="9"/>
      <c r="AF280" s="9"/>
      <c r="AG280" s="9"/>
      <c r="AH280" s="9"/>
      <c r="AI280" s="9"/>
      <c r="AJ280" s="9"/>
      <c r="AK280" s="9"/>
      <c r="AL280" s="9"/>
      <c r="AM280" s="9"/>
      <c r="AN280" s="10"/>
      <c r="AO280" s="65">
        <f t="shared" si="5"/>
        <v>0</v>
      </c>
    </row>
    <row r="281" spans="2:41" s="4" customFormat="1" ht="24" customHeight="1" x14ac:dyDescent="0.2">
      <c r="B281" s="14"/>
      <c r="C281" s="23"/>
      <c r="D281" s="21"/>
      <c r="E281" s="6"/>
      <c r="F281" s="16" t="str">
        <f>IFERROR(VLOOKUP($E281,設定!$C:$F,2,0),"")</f>
        <v/>
      </c>
      <c r="G281" s="156" t="str">
        <f>IFERROR(VLOOKUP($E281,設定!$C:$F,3,0),"")</f>
        <v/>
      </c>
      <c r="H281" s="131" t="str">
        <f>IFERROR(VLOOKUP($E281,設定!$C:$F,4,0),"")</f>
        <v/>
      </c>
      <c r="I281" s="402"/>
      <c r="J281" s="8"/>
      <c r="K281" s="9"/>
      <c r="L281" s="9"/>
      <c r="M281" s="9"/>
      <c r="N281" s="9"/>
      <c r="O281" s="9"/>
      <c r="P281" s="9"/>
      <c r="Q281" s="9"/>
      <c r="R281" s="9"/>
      <c r="S281" s="9"/>
      <c r="T281" s="9"/>
      <c r="U281" s="9"/>
      <c r="V281" s="9"/>
      <c r="W281" s="9"/>
      <c r="X281" s="9"/>
      <c r="Y281" s="9"/>
      <c r="Z281" s="9"/>
      <c r="AA281" s="9"/>
      <c r="AB281" s="9"/>
      <c r="AC281" s="9"/>
      <c r="AD281" s="9"/>
      <c r="AE281" s="9"/>
      <c r="AF281" s="9"/>
      <c r="AG281" s="9"/>
      <c r="AH281" s="9"/>
      <c r="AI281" s="9"/>
      <c r="AJ281" s="9"/>
      <c r="AK281" s="9"/>
      <c r="AL281" s="9"/>
      <c r="AM281" s="9"/>
      <c r="AN281" s="10"/>
      <c r="AO281" s="65">
        <f t="shared" si="5"/>
        <v>0</v>
      </c>
    </row>
    <row r="282" spans="2:41" s="4" customFormat="1" ht="24" customHeight="1" x14ac:dyDescent="0.2">
      <c r="B282" s="14"/>
      <c r="C282" s="23"/>
      <c r="D282" s="21"/>
      <c r="E282" s="6"/>
      <c r="F282" s="16" t="str">
        <f>IFERROR(VLOOKUP($E282,設定!$C:$F,2,0),"")</f>
        <v/>
      </c>
      <c r="G282" s="156" t="str">
        <f>IFERROR(VLOOKUP($E282,設定!$C:$F,3,0),"")</f>
        <v/>
      </c>
      <c r="H282" s="131" t="str">
        <f>IFERROR(VLOOKUP($E282,設定!$C:$F,4,0),"")</f>
        <v/>
      </c>
      <c r="I282" s="402"/>
      <c r="J282" s="8"/>
      <c r="K282" s="9"/>
      <c r="L282" s="9"/>
      <c r="M282" s="9"/>
      <c r="N282" s="9"/>
      <c r="O282" s="9"/>
      <c r="P282" s="9"/>
      <c r="Q282" s="9"/>
      <c r="R282" s="9"/>
      <c r="S282" s="9"/>
      <c r="T282" s="9"/>
      <c r="U282" s="9"/>
      <c r="V282" s="9"/>
      <c r="W282" s="9"/>
      <c r="X282" s="9"/>
      <c r="Y282" s="9"/>
      <c r="Z282" s="9"/>
      <c r="AA282" s="9"/>
      <c r="AB282" s="9"/>
      <c r="AC282" s="9"/>
      <c r="AD282" s="9"/>
      <c r="AE282" s="9"/>
      <c r="AF282" s="9"/>
      <c r="AG282" s="9"/>
      <c r="AH282" s="9"/>
      <c r="AI282" s="9"/>
      <c r="AJ282" s="9"/>
      <c r="AK282" s="9"/>
      <c r="AL282" s="9"/>
      <c r="AM282" s="9"/>
      <c r="AN282" s="10"/>
      <c r="AO282" s="65">
        <f t="shared" si="5"/>
        <v>0</v>
      </c>
    </row>
    <row r="283" spans="2:41" s="4" customFormat="1" ht="24" customHeight="1" x14ac:dyDescent="0.2">
      <c r="B283" s="14"/>
      <c r="C283" s="23"/>
      <c r="D283" s="21"/>
      <c r="E283" s="6"/>
      <c r="F283" s="16" t="str">
        <f>IFERROR(VLOOKUP($E283,設定!$C:$F,2,0),"")</f>
        <v/>
      </c>
      <c r="G283" s="156" t="str">
        <f>IFERROR(VLOOKUP($E283,設定!$C:$F,3,0),"")</f>
        <v/>
      </c>
      <c r="H283" s="131" t="str">
        <f>IFERROR(VLOOKUP($E283,設定!$C:$F,4,0),"")</f>
        <v/>
      </c>
      <c r="I283" s="402"/>
      <c r="J283" s="8"/>
      <c r="K283" s="9"/>
      <c r="L283" s="9"/>
      <c r="M283" s="9"/>
      <c r="N283" s="9"/>
      <c r="O283" s="9"/>
      <c r="P283" s="9"/>
      <c r="Q283" s="9"/>
      <c r="R283" s="9"/>
      <c r="S283" s="9"/>
      <c r="T283" s="9"/>
      <c r="U283" s="9"/>
      <c r="V283" s="9"/>
      <c r="W283" s="9"/>
      <c r="X283" s="9"/>
      <c r="Y283" s="9"/>
      <c r="Z283" s="9"/>
      <c r="AA283" s="9"/>
      <c r="AB283" s="9"/>
      <c r="AC283" s="9"/>
      <c r="AD283" s="9"/>
      <c r="AE283" s="9"/>
      <c r="AF283" s="9"/>
      <c r="AG283" s="9"/>
      <c r="AH283" s="9"/>
      <c r="AI283" s="9"/>
      <c r="AJ283" s="9"/>
      <c r="AK283" s="9"/>
      <c r="AL283" s="9"/>
      <c r="AM283" s="9"/>
      <c r="AN283" s="10"/>
      <c r="AO283" s="65">
        <f t="shared" si="5"/>
        <v>0</v>
      </c>
    </row>
    <row r="284" spans="2:41" s="4" customFormat="1" ht="24" customHeight="1" x14ac:dyDescent="0.2">
      <c r="B284" s="14"/>
      <c r="C284" s="23"/>
      <c r="D284" s="21"/>
      <c r="E284" s="6"/>
      <c r="F284" s="16" t="str">
        <f>IFERROR(VLOOKUP($E284,設定!$C:$F,2,0),"")</f>
        <v/>
      </c>
      <c r="G284" s="156" t="str">
        <f>IFERROR(VLOOKUP($E284,設定!$C:$F,3,0),"")</f>
        <v/>
      </c>
      <c r="H284" s="131" t="str">
        <f>IFERROR(VLOOKUP($E284,設定!$C:$F,4,0),"")</f>
        <v/>
      </c>
      <c r="I284" s="402"/>
      <c r="J284" s="8"/>
      <c r="K284" s="9"/>
      <c r="L284" s="9"/>
      <c r="M284" s="9"/>
      <c r="N284" s="9"/>
      <c r="O284" s="9"/>
      <c r="P284" s="9"/>
      <c r="Q284" s="9"/>
      <c r="R284" s="9"/>
      <c r="S284" s="9"/>
      <c r="T284" s="9"/>
      <c r="U284" s="9"/>
      <c r="V284" s="9"/>
      <c r="W284" s="9"/>
      <c r="X284" s="9"/>
      <c r="Y284" s="9"/>
      <c r="Z284" s="9"/>
      <c r="AA284" s="9"/>
      <c r="AB284" s="9"/>
      <c r="AC284" s="9"/>
      <c r="AD284" s="9"/>
      <c r="AE284" s="9"/>
      <c r="AF284" s="9"/>
      <c r="AG284" s="9"/>
      <c r="AH284" s="9"/>
      <c r="AI284" s="9"/>
      <c r="AJ284" s="9"/>
      <c r="AK284" s="9"/>
      <c r="AL284" s="9"/>
      <c r="AM284" s="9"/>
      <c r="AN284" s="10"/>
      <c r="AO284" s="65">
        <f t="shared" si="5"/>
        <v>0</v>
      </c>
    </row>
    <row r="285" spans="2:41" s="4" customFormat="1" ht="24" customHeight="1" x14ac:dyDescent="0.2">
      <c r="B285" s="14"/>
      <c r="C285" s="23"/>
      <c r="D285" s="21"/>
      <c r="E285" s="6"/>
      <c r="F285" s="16" t="str">
        <f>IFERROR(VLOOKUP($E285,設定!$C:$F,2,0),"")</f>
        <v/>
      </c>
      <c r="G285" s="156" t="str">
        <f>IFERROR(VLOOKUP($E285,設定!$C:$F,3,0),"")</f>
        <v/>
      </c>
      <c r="H285" s="131" t="str">
        <f>IFERROR(VLOOKUP($E285,設定!$C:$F,4,0),"")</f>
        <v/>
      </c>
      <c r="I285" s="402"/>
      <c r="J285" s="8"/>
      <c r="K285" s="9"/>
      <c r="L285" s="9"/>
      <c r="M285" s="9"/>
      <c r="N285" s="9"/>
      <c r="O285" s="9"/>
      <c r="P285" s="9"/>
      <c r="Q285" s="9"/>
      <c r="R285" s="9"/>
      <c r="S285" s="9"/>
      <c r="T285" s="9"/>
      <c r="U285" s="9"/>
      <c r="V285" s="9"/>
      <c r="W285" s="9"/>
      <c r="X285" s="9"/>
      <c r="Y285" s="9"/>
      <c r="Z285" s="9"/>
      <c r="AA285" s="9"/>
      <c r="AB285" s="9"/>
      <c r="AC285" s="9"/>
      <c r="AD285" s="9"/>
      <c r="AE285" s="9"/>
      <c r="AF285" s="9"/>
      <c r="AG285" s="9"/>
      <c r="AH285" s="9"/>
      <c r="AI285" s="9"/>
      <c r="AJ285" s="9"/>
      <c r="AK285" s="9"/>
      <c r="AL285" s="9"/>
      <c r="AM285" s="9"/>
      <c r="AN285" s="10"/>
      <c r="AO285" s="65">
        <f t="shared" si="5"/>
        <v>0</v>
      </c>
    </row>
    <row r="286" spans="2:41" s="4" customFormat="1" ht="24" customHeight="1" x14ac:dyDescent="0.2">
      <c r="B286" s="14"/>
      <c r="C286" s="23"/>
      <c r="D286" s="21"/>
      <c r="E286" s="6"/>
      <c r="F286" s="16" t="str">
        <f>IFERROR(VLOOKUP($E286,設定!$C:$F,2,0),"")</f>
        <v/>
      </c>
      <c r="G286" s="156" t="str">
        <f>IFERROR(VLOOKUP($E286,設定!$C:$F,3,0),"")</f>
        <v/>
      </c>
      <c r="H286" s="131" t="str">
        <f>IFERROR(VLOOKUP($E286,設定!$C:$F,4,0),"")</f>
        <v/>
      </c>
      <c r="I286" s="402"/>
      <c r="J286" s="8"/>
      <c r="K286" s="9"/>
      <c r="L286" s="9"/>
      <c r="M286" s="9"/>
      <c r="N286" s="9"/>
      <c r="O286" s="9"/>
      <c r="P286" s="9"/>
      <c r="Q286" s="9"/>
      <c r="R286" s="9"/>
      <c r="S286" s="9"/>
      <c r="T286" s="9"/>
      <c r="U286" s="9"/>
      <c r="V286" s="9"/>
      <c r="W286" s="9"/>
      <c r="X286" s="9"/>
      <c r="Y286" s="9"/>
      <c r="Z286" s="9"/>
      <c r="AA286" s="9"/>
      <c r="AB286" s="9"/>
      <c r="AC286" s="9"/>
      <c r="AD286" s="9"/>
      <c r="AE286" s="9"/>
      <c r="AF286" s="9"/>
      <c r="AG286" s="9"/>
      <c r="AH286" s="9"/>
      <c r="AI286" s="9"/>
      <c r="AJ286" s="9"/>
      <c r="AK286" s="9"/>
      <c r="AL286" s="9"/>
      <c r="AM286" s="9"/>
      <c r="AN286" s="10"/>
      <c r="AO286" s="65">
        <f t="shared" si="5"/>
        <v>0</v>
      </c>
    </row>
    <row r="287" spans="2:41" s="4" customFormat="1" ht="24" customHeight="1" x14ac:dyDescent="0.2">
      <c r="B287" s="14"/>
      <c r="C287" s="23"/>
      <c r="D287" s="21"/>
      <c r="E287" s="6"/>
      <c r="F287" s="16" t="str">
        <f>IFERROR(VLOOKUP($E287,設定!$C:$F,2,0),"")</f>
        <v/>
      </c>
      <c r="G287" s="156" t="str">
        <f>IFERROR(VLOOKUP($E287,設定!$C:$F,3,0),"")</f>
        <v/>
      </c>
      <c r="H287" s="131" t="str">
        <f>IFERROR(VLOOKUP($E287,設定!$C:$F,4,0),"")</f>
        <v/>
      </c>
      <c r="I287" s="402"/>
      <c r="J287" s="8"/>
      <c r="K287" s="9"/>
      <c r="L287" s="9"/>
      <c r="M287" s="9"/>
      <c r="N287" s="9"/>
      <c r="O287" s="9"/>
      <c r="P287" s="9"/>
      <c r="Q287" s="9"/>
      <c r="R287" s="9"/>
      <c r="S287" s="9"/>
      <c r="T287" s="9"/>
      <c r="U287" s="9"/>
      <c r="V287" s="9"/>
      <c r="W287" s="9"/>
      <c r="X287" s="9"/>
      <c r="Y287" s="9"/>
      <c r="Z287" s="9"/>
      <c r="AA287" s="9"/>
      <c r="AB287" s="9"/>
      <c r="AC287" s="9"/>
      <c r="AD287" s="9"/>
      <c r="AE287" s="9"/>
      <c r="AF287" s="9"/>
      <c r="AG287" s="9"/>
      <c r="AH287" s="9"/>
      <c r="AI287" s="9"/>
      <c r="AJ287" s="9"/>
      <c r="AK287" s="9"/>
      <c r="AL287" s="9"/>
      <c r="AM287" s="9"/>
      <c r="AN287" s="10"/>
      <c r="AO287" s="65">
        <f t="shared" si="5"/>
        <v>0</v>
      </c>
    </row>
    <row r="288" spans="2:41" s="4" customFormat="1" ht="24" customHeight="1" x14ac:dyDescent="0.2">
      <c r="B288" s="14"/>
      <c r="C288" s="23"/>
      <c r="D288" s="21"/>
      <c r="E288" s="6"/>
      <c r="F288" s="16" t="str">
        <f>IFERROR(VLOOKUP($E288,設定!$C:$F,2,0),"")</f>
        <v/>
      </c>
      <c r="G288" s="156" t="str">
        <f>IFERROR(VLOOKUP($E288,設定!$C:$F,3,0),"")</f>
        <v/>
      </c>
      <c r="H288" s="131" t="str">
        <f>IFERROR(VLOOKUP($E288,設定!$C:$F,4,0),"")</f>
        <v/>
      </c>
      <c r="I288" s="402"/>
      <c r="J288" s="8"/>
      <c r="K288" s="9"/>
      <c r="L288" s="9"/>
      <c r="M288" s="9"/>
      <c r="N288" s="9"/>
      <c r="O288" s="9"/>
      <c r="P288" s="9"/>
      <c r="Q288" s="9"/>
      <c r="R288" s="9"/>
      <c r="S288" s="9"/>
      <c r="T288" s="9"/>
      <c r="U288" s="9"/>
      <c r="V288" s="9"/>
      <c r="W288" s="9"/>
      <c r="X288" s="9"/>
      <c r="Y288" s="9"/>
      <c r="Z288" s="9"/>
      <c r="AA288" s="9"/>
      <c r="AB288" s="9"/>
      <c r="AC288" s="9"/>
      <c r="AD288" s="9"/>
      <c r="AE288" s="9"/>
      <c r="AF288" s="9"/>
      <c r="AG288" s="9"/>
      <c r="AH288" s="9"/>
      <c r="AI288" s="9"/>
      <c r="AJ288" s="9"/>
      <c r="AK288" s="9"/>
      <c r="AL288" s="9"/>
      <c r="AM288" s="9"/>
      <c r="AN288" s="10"/>
      <c r="AO288" s="65">
        <f t="shared" si="5"/>
        <v>0</v>
      </c>
    </row>
    <row r="289" spans="2:41" s="4" customFormat="1" ht="24" customHeight="1" x14ac:dyDescent="0.2">
      <c r="B289" s="14"/>
      <c r="C289" s="23"/>
      <c r="D289" s="21"/>
      <c r="E289" s="6"/>
      <c r="F289" s="16" t="str">
        <f>IFERROR(VLOOKUP($E289,設定!$C:$F,2,0),"")</f>
        <v/>
      </c>
      <c r="G289" s="156" t="str">
        <f>IFERROR(VLOOKUP($E289,設定!$C:$F,3,0),"")</f>
        <v/>
      </c>
      <c r="H289" s="131" t="str">
        <f>IFERROR(VLOOKUP($E289,設定!$C:$F,4,0),"")</f>
        <v/>
      </c>
      <c r="I289" s="402"/>
      <c r="J289" s="8"/>
      <c r="K289" s="9"/>
      <c r="L289" s="9"/>
      <c r="M289" s="9"/>
      <c r="N289" s="9"/>
      <c r="O289" s="9"/>
      <c r="P289" s="9"/>
      <c r="Q289" s="9"/>
      <c r="R289" s="9"/>
      <c r="S289" s="9"/>
      <c r="T289" s="9"/>
      <c r="U289" s="9"/>
      <c r="V289" s="9"/>
      <c r="W289" s="9"/>
      <c r="X289" s="9"/>
      <c r="Y289" s="9"/>
      <c r="Z289" s="9"/>
      <c r="AA289" s="9"/>
      <c r="AB289" s="9"/>
      <c r="AC289" s="9"/>
      <c r="AD289" s="9"/>
      <c r="AE289" s="9"/>
      <c r="AF289" s="9"/>
      <c r="AG289" s="9"/>
      <c r="AH289" s="9"/>
      <c r="AI289" s="9"/>
      <c r="AJ289" s="9"/>
      <c r="AK289" s="9"/>
      <c r="AL289" s="9"/>
      <c r="AM289" s="9"/>
      <c r="AN289" s="10"/>
      <c r="AO289" s="65">
        <f t="shared" si="5"/>
        <v>0</v>
      </c>
    </row>
    <row r="290" spans="2:41" s="4" customFormat="1" ht="24" customHeight="1" x14ac:dyDescent="0.2">
      <c r="B290" s="14"/>
      <c r="C290" s="23"/>
      <c r="D290" s="21"/>
      <c r="E290" s="6"/>
      <c r="F290" s="16" t="str">
        <f>IFERROR(VLOOKUP($E290,設定!$C:$F,2,0),"")</f>
        <v/>
      </c>
      <c r="G290" s="156" t="str">
        <f>IFERROR(VLOOKUP($E290,設定!$C:$F,3,0),"")</f>
        <v/>
      </c>
      <c r="H290" s="131" t="str">
        <f>IFERROR(VLOOKUP($E290,設定!$C:$F,4,0),"")</f>
        <v/>
      </c>
      <c r="I290" s="402"/>
      <c r="J290" s="8"/>
      <c r="K290" s="9"/>
      <c r="L290" s="9"/>
      <c r="M290" s="9"/>
      <c r="N290" s="9"/>
      <c r="O290" s="9"/>
      <c r="P290" s="9"/>
      <c r="Q290" s="9"/>
      <c r="R290" s="9"/>
      <c r="S290" s="9"/>
      <c r="T290" s="9"/>
      <c r="U290" s="9"/>
      <c r="V290" s="9"/>
      <c r="W290" s="9"/>
      <c r="X290" s="9"/>
      <c r="Y290" s="9"/>
      <c r="Z290" s="9"/>
      <c r="AA290" s="9"/>
      <c r="AB290" s="9"/>
      <c r="AC290" s="9"/>
      <c r="AD290" s="9"/>
      <c r="AE290" s="9"/>
      <c r="AF290" s="9"/>
      <c r="AG290" s="9"/>
      <c r="AH290" s="9"/>
      <c r="AI290" s="9"/>
      <c r="AJ290" s="9"/>
      <c r="AK290" s="9"/>
      <c r="AL290" s="9"/>
      <c r="AM290" s="9"/>
      <c r="AN290" s="10"/>
      <c r="AO290" s="65">
        <f t="shared" si="5"/>
        <v>0</v>
      </c>
    </row>
    <row r="291" spans="2:41" s="4" customFormat="1" ht="24" customHeight="1" x14ac:dyDescent="0.2">
      <c r="B291" s="14"/>
      <c r="C291" s="23"/>
      <c r="D291" s="21"/>
      <c r="E291" s="6"/>
      <c r="F291" s="16" t="str">
        <f>IFERROR(VLOOKUP($E291,設定!$C:$F,2,0),"")</f>
        <v/>
      </c>
      <c r="G291" s="156" t="str">
        <f>IFERROR(VLOOKUP($E291,設定!$C:$F,3,0),"")</f>
        <v/>
      </c>
      <c r="H291" s="131" t="str">
        <f>IFERROR(VLOOKUP($E291,設定!$C:$F,4,0),"")</f>
        <v/>
      </c>
      <c r="I291" s="402"/>
      <c r="J291" s="8"/>
      <c r="K291" s="9"/>
      <c r="L291" s="9"/>
      <c r="M291" s="9"/>
      <c r="N291" s="9"/>
      <c r="O291" s="9"/>
      <c r="P291" s="9"/>
      <c r="Q291" s="9"/>
      <c r="R291" s="9"/>
      <c r="S291" s="9"/>
      <c r="T291" s="9"/>
      <c r="U291" s="9"/>
      <c r="V291" s="9"/>
      <c r="W291" s="9"/>
      <c r="X291" s="9"/>
      <c r="Y291" s="9"/>
      <c r="Z291" s="9"/>
      <c r="AA291" s="9"/>
      <c r="AB291" s="9"/>
      <c r="AC291" s="9"/>
      <c r="AD291" s="9"/>
      <c r="AE291" s="9"/>
      <c r="AF291" s="9"/>
      <c r="AG291" s="9"/>
      <c r="AH291" s="9"/>
      <c r="AI291" s="9"/>
      <c r="AJ291" s="9"/>
      <c r="AK291" s="9"/>
      <c r="AL291" s="9"/>
      <c r="AM291" s="9"/>
      <c r="AN291" s="10"/>
      <c r="AO291" s="65">
        <f t="shared" si="5"/>
        <v>0</v>
      </c>
    </row>
    <row r="292" spans="2:41" s="4" customFormat="1" ht="24" customHeight="1" x14ac:dyDescent="0.2">
      <c r="B292" s="14"/>
      <c r="C292" s="23"/>
      <c r="D292" s="21"/>
      <c r="E292" s="6"/>
      <c r="F292" s="16" t="str">
        <f>IFERROR(VLOOKUP($E292,設定!$C:$F,2,0),"")</f>
        <v/>
      </c>
      <c r="G292" s="156" t="str">
        <f>IFERROR(VLOOKUP($E292,設定!$C:$F,3,0),"")</f>
        <v/>
      </c>
      <c r="H292" s="131" t="str">
        <f>IFERROR(VLOOKUP($E292,設定!$C:$F,4,0),"")</f>
        <v/>
      </c>
      <c r="I292" s="402"/>
      <c r="J292" s="8"/>
      <c r="K292" s="9"/>
      <c r="L292" s="9"/>
      <c r="M292" s="9"/>
      <c r="N292" s="9"/>
      <c r="O292" s="9"/>
      <c r="P292" s="9"/>
      <c r="Q292" s="9"/>
      <c r="R292" s="9"/>
      <c r="S292" s="9"/>
      <c r="T292" s="9"/>
      <c r="U292" s="9"/>
      <c r="V292" s="9"/>
      <c r="W292" s="9"/>
      <c r="X292" s="9"/>
      <c r="Y292" s="9"/>
      <c r="Z292" s="9"/>
      <c r="AA292" s="9"/>
      <c r="AB292" s="9"/>
      <c r="AC292" s="9"/>
      <c r="AD292" s="9"/>
      <c r="AE292" s="9"/>
      <c r="AF292" s="9"/>
      <c r="AG292" s="9"/>
      <c r="AH292" s="9"/>
      <c r="AI292" s="9"/>
      <c r="AJ292" s="9"/>
      <c r="AK292" s="9"/>
      <c r="AL292" s="9"/>
      <c r="AM292" s="9"/>
      <c r="AN292" s="10"/>
      <c r="AO292" s="65">
        <f t="shared" si="5"/>
        <v>0</v>
      </c>
    </row>
    <row r="293" spans="2:41" s="4" customFormat="1" ht="24" customHeight="1" x14ac:dyDescent="0.2">
      <c r="B293" s="14"/>
      <c r="C293" s="23"/>
      <c r="D293" s="21"/>
      <c r="E293" s="6"/>
      <c r="F293" s="16" t="str">
        <f>IFERROR(VLOOKUP($E293,設定!$C:$F,2,0),"")</f>
        <v/>
      </c>
      <c r="G293" s="156" t="str">
        <f>IFERROR(VLOOKUP($E293,設定!$C:$F,3,0),"")</f>
        <v/>
      </c>
      <c r="H293" s="131" t="str">
        <f>IFERROR(VLOOKUP($E293,設定!$C:$F,4,0),"")</f>
        <v/>
      </c>
      <c r="I293" s="402"/>
      <c r="J293" s="8"/>
      <c r="K293" s="9"/>
      <c r="L293" s="9"/>
      <c r="M293" s="9"/>
      <c r="N293" s="9"/>
      <c r="O293" s="9"/>
      <c r="P293" s="9"/>
      <c r="Q293" s="9"/>
      <c r="R293" s="9"/>
      <c r="S293" s="9"/>
      <c r="T293" s="9"/>
      <c r="U293" s="9"/>
      <c r="V293" s="9"/>
      <c r="W293" s="9"/>
      <c r="X293" s="9"/>
      <c r="Y293" s="9"/>
      <c r="Z293" s="9"/>
      <c r="AA293" s="9"/>
      <c r="AB293" s="9"/>
      <c r="AC293" s="9"/>
      <c r="AD293" s="9"/>
      <c r="AE293" s="9"/>
      <c r="AF293" s="9"/>
      <c r="AG293" s="9"/>
      <c r="AH293" s="9"/>
      <c r="AI293" s="9"/>
      <c r="AJ293" s="9"/>
      <c r="AK293" s="9"/>
      <c r="AL293" s="9"/>
      <c r="AM293" s="9"/>
      <c r="AN293" s="10"/>
      <c r="AO293" s="65">
        <f t="shared" si="5"/>
        <v>0</v>
      </c>
    </row>
    <row r="294" spans="2:41" s="4" customFormat="1" ht="24" customHeight="1" x14ac:dyDescent="0.2">
      <c r="B294" s="14"/>
      <c r="C294" s="23"/>
      <c r="D294" s="21"/>
      <c r="E294" s="6"/>
      <c r="F294" s="16" t="str">
        <f>IFERROR(VLOOKUP($E294,設定!$C:$F,2,0),"")</f>
        <v/>
      </c>
      <c r="G294" s="156" t="str">
        <f>IFERROR(VLOOKUP($E294,設定!$C:$F,3,0),"")</f>
        <v/>
      </c>
      <c r="H294" s="131" t="str">
        <f>IFERROR(VLOOKUP($E294,設定!$C:$F,4,0),"")</f>
        <v/>
      </c>
      <c r="I294" s="402"/>
      <c r="J294" s="8"/>
      <c r="K294" s="9"/>
      <c r="L294" s="9"/>
      <c r="M294" s="9"/>
      <c r="N294" s="9"/>
      <c r="O294" s="9"/>
      <c r="P294" s="9"/>
      <c r="Q294" s="9"/>
      <c r="R294" s="9"/>
      <c r="S294" s="9"/>
      <c r="T294" s="9"/>
      <c r="U294" s="9"/>
      <c r="V294" s="9"/>
      <c r="W294" s="9"/>
      <c r="X294" s="9"/>
      <c r="Y294" s="9"/>
      <c r="Z294" s="9"/>
      <c r="AA294" s="9"/>
      <c r="AB294" s="9"/>
      <c r="AC294" s="9"/>
      <c r="AD294" s="9"/>
      <c r="AE294" s="9"/>
      <c r="AF294" s="9"/>
      <c r="AG294" s="9"/>
      <c r="AH294" s="9"/>
      <c r="AI294" s="9"/>
      <c r="AJ294" s="9"/>
      <c r="AK294" s="9"/>
      <c r="AL294" s="9"/>
      <c r="AM294" s="9"/>
      <c r="AN294" s="10"/>
      <c r="AO294" s="65">
        <f t="shared" si="5"/>
        <v>0</v>
      </c>
    </row>
    <row r="295" spans="2:41" s="4" customFormat="1" ht="24" customHeight="1" x14ac:dyDescent="0.2">
      <c r="B295" s="14"/>
      <c r="C295" s="23"/>
      <c r="D295" s="21"/>
      <c r="E295" s="6"/>
      <c r="F295" s="16" t="str">
        <f>IFERROR(VLOOKUP($E295,設定!$C:$F,2,0),"")</f>
        <v/>
      </c>
      <c r="G295" s="156" t="str">
        <f>IFERROR(VLOOKUP($E295,設定!$C:$F,3,0),"")</f>
        <v/>
      </c>
      <c r="H295" s="131" t="str">
        <f>IFERROR(VLOOKUP($E295,設定!$C:$F,4,0),"")</f>
        <v/>
      </c>
      <c r="I295" s="402"/>
      <c r="J295" s="8"/>
      <c r="K295" s="9"/>
      <c r="L295" s="9"/>
      <c r="M295" s="9"/>
      <c r="N295" s="9"/>
      <c r="O295" s="9"/>
      <c r="P295" s="9"/>
      <c r="Q295" s="9"/>
      <c r="R295" s="9"/>
      <c r="S295" s="9"/>
      <c r="T295" s="9"/>
      <c r="U295" s="9"/>
      <c r="V295" s="9"/>
      <c r="W295" s="9"/>
      <c r="X295" s="9"/>
      <c r="Y295" s="9"/>
      <c r="Z295" s="9"/>
      <c r="AA295" s="9"/>
      <c r="AB295" s="9"/>
      <c r="AC295" s="9"/>
      <c r="AD295" s="9"/>
      <c r="AE295" s="9"/>
      <c r="AF295" s="9"/>
      <c r="AG295" s="9"/>
      <c r="AH295" s="9"/>
      <c r="AI295" s="9"/>
      <c r="AJ295" s="9"/>
      <c r="AK295" s="9"/>
      <c r="AL295" s="9"/>
      <c r="AM295" s="9"/>
      <c r="AN295" s="10"/>
      <c r="AO295" s="65">
        <f t="shared" si="5"/>
        <v>0</v>
      </c>
    </row>
    <row r="296" spans="2:41" s="4" customFormat="1" ht="24" customHeight="1" x14ac:dyDescent="0.2">
      <c r="B296" s="14"/>
      <c r="C296" s="23"/>
      <c r="D296" s="21"/>
      <c r="E296" s="6"/>
      <c r="F296" s="16" t="str">
        <f>IFERROR(VLOOKUP($E296,設定!$C:$F,2,0),"")</f>
        <v/>
      </c>
      <c r="G296" s="156" t="str">
        <f>IFERROR(VLOOKUP($E296,設定!$C:$F,3,0),"")</f>
        <v/>
      </c>
      <c r="H296" s="131" t="str">
        <f>IFERROR(VLOOKUP($E296,設定!$C:$F,4,0),"")</f>
        <v/>
      </c>
      <c r="I296" s="402"/>
      <c r="J296" s="8"/>
      <c r="K296" s="9"/>
      <c r="L296" s="9"/>
      <c r="M296" s="9"/>
      <c r="N296" s="9"/>
      <c r="O296" s="9"/>
      <c r="P296" s="9"/>
      <c r="Q296" s="9"/>
      <c r="R296" s="9"/>
      <c r="S296" s="9"/>
      <c r="T296" s="9"/>
      <c r="U296" s="9"/>
      <c r="V296" s="9"/>
      <c r="W296" s="9"/>
      <c r="X296" s="9"/>
      <c r="Y296" s="9"/>
      <c r="Z296" s="9"/>
      <c r="AA296" s="9"/>
      <c r="AB296" s="9"/>
      <c r="AC296" s="9"/>
      <c r="AD296" s="9"/>
      <c r="AE296" s="9"/>
      <c r="AF296" s="9"/>
      <c r="AG296" s="9"/>
      <c r="AH296" s="9"/>
      <c r="AI296" s="9"/>
      <c r="AJ296" s="9"/>
      <c r="AK296" s="9"/>
      <c r="AL296" s="9"/>
      <c r="AM296" s="9"/>
      <c r="AN296" s="10"/>
      <c r="AO296" s="65">
        <f t="shared" si="5"/>
        <v>0</v>
      </c>
    </row>
    <row r="297" spans="2:41" s="4" customFormat="1" ht="24" customHeight="1" x14ac:dyDescent="0.2">
      <c r="B297" s="14"/>
      <c r="C297" s="23"/>
      <c r="D297" s="21"/>
      <c r="E297" s="6"/>
      <c r="F297" s="16" t="str">
        <f>IFERROR(VLOOKUP($E297,設定!$C:$F,2,0),"")</f>
        <v/>
      </c>
      <c r="G297" s="156" t="str">
        <f>IFERROR(VLOOKUP($E297,設定!$C:$F,3,0),"")</f>
        <v/>
      </c>
      <c r="H297" s="131" t="str">
        <f>IFERROR(VLOOKUP($E297,設定!$C:$F,4,0),"")</f>
        <v/>
      </c>
      <c r="I297" s="402"/>
      <c r="J297" s="8"/>
      <c r="K297" s="9"/>
      <c r="L297" s="9"/>
      <c r="M297" s="9"/>
      <c r="N297" s="9"/>
      <c r="O297" s="9"/>
      <c r="P297" s="9"/>
      <c r="Q297" s="9"/>
      <c r="R297" s="9"/>
      <c r="S297" s="9"/>
      <c r="T297" s="9"/>
      <c r="U297" s="9"/>
      <c r="V297" s="9"/>
      <c r="W297" s="9"/>
      <c r="X297" s="9"/>
      <c r="Y297" s="9"/>
      <c r="Z297" s="9"/>
      <c r="AA297" s="9"/>
      <c r="AB297" s="9"/>
      <c r="AC297" s="9"/>
      <c r="AD297" s="9"/>
      <c r="AE297" s="9"/>
      <c r="AF297" s="9"/>
      <c r="AG297" s="9"/>
      <c r="AH297" s="9"/>
      <c r="AI297" s="9"/>
      <c r="AJ297" s="9"/>
      <c r="AK297" s="9"/>
      <c r="AL297" s="9"/>
      <c r="AM297" s="9"/>
      <c r="AN297" s="10"/>
      <c r="AO297" s="65">
        <f t="shared" si="5"/>
        <v>0</v>
      </c>
    </row>
    <row r="298" spans="2:41" s="4" customFormat="1" ht="24" customHeight="1" x14ac:dyDescent="0.2">
      <c r="B298" s="14"/>
      <c r="C298" s="23"/>
      <c r="D298" s="21"/>
      <c r="E298" s="6"/>
      <c r="F298" s="16" t="str">
        <f>IFERROR(VLOOKUP($E298,設定!$C:$F,2,0),"")</f>
        <v/>
      </c>
      <c r="G298" s="156" t="str">
        <f>IFERROR(VLOOKUP($E298,設定!$C:$F,3,0),"")</f>
        <v/>
      </c>
      <c r="H298" s="131" t="str">
        <f>IFERROR(VLOOKUP($E298,設定!$C:$F,4,0),"")</f>
        <v/>
      </c>
      <c r="I298" s="402"/>
      <c r="J298" s="8"/>
      <c r="K298" s="9"/>
      <c r="L298" s="9"/>
      <c r="M298" s="9"/>
      <c r="N298" s="9"/>
      <c r="O298" s="9"/>
      <c r="P298" s="9"/>
      <c r="Q298" s="9"/>
      <c r="R298" s="9"/>
      <c r="S298" s="9"/>
      <c r="T298" s="9"/>
      <c r="U298" s="9"/>
      <c r="V298" s="9"/>
      <c r="W298" s="9"/>
      <c r="X298" s="9"/>
      <c r="Y298" s="9"/>
      <c r="Z298" s="9"/>
      <c r="AA298" s="9"/>
      <c r="AB298" s="9"/>
      <c r="AC298" s="9"/>
      <c r="AD298" s="9"/>
      <c r="AE298" s="9"/>
      <c r="AF298" s="9"/>
      <c r="AG298" s="9"/>
      <c r="AH298" s="9"/>
      <c r="AI298" s="9"/>
      <c r="AJ298" s="9"/>
      <c r="AK298" s="9"/>
      <c r="AL298" s="9"/>
      <c r="AM298" s="9"/>
      <c r="AN298" s="10"/>
      <c r="AO298" s="65">
        <f t="shared" si="5"/>
        <v>0</v>
      </c>
    </row>
    <row r="299" spans="2:41" s="4" customFormat="1" ht="24" customHeight="1" x14ac:dyDescent="0.2">
      <c r="B299" s="14"/>
      <c r="C299" s="23"/>
      <c r="D299" s="21"/>
      <c r="E299" s="6"/>
      <c r="F299" s="16" t="str">
        <f>IFERROR(VLOOKUP($E299,設定!$C:$F,2,0),"")</f>
        <v/>
      </c>
      <c r="G299" s="156" t="str">
        <f>IFERROR(VLOOKUP($E299,設定!$C:$F,3,0),"")</f>
        <v/>
      </c>
      <c r="H299" s="131" t="str">
        <f>IFERROR(VLOOKUP($E299,設定!$C:$F,4,0),"")</f>
        <v/>
      </c>
      <c r="I299" s="402"/>
      <c r="J299" s="8"/>
      <c r="K299" s="9"/>
      <c r="L299" s="9"/>
      <c r="M299" s="9"/>
      <c r="N299" s="9"/>
      <c r="O299" s="9"/>
      <c r="P299" s="9"/>
      <c r="Q299" s="9"/>
      <c r="R299" s="9"/>
      <c r="S299" s="9"/>
      <c r="T299" s="9"/>
      <c r="U299" s="9"/>
      <c r="V299" s="9"/>
      <c r="W299" s="9"/>
      <c r="X299" s="9"/>
      <c r="Y299" s="9"/>
      <c r="Z299" s="9"/>
      <c r="AA299" s="9"/>
      <c r="AB299" s="9"/>
      <c r="AC299" s="9"/>
      <c r="AD299" s="9"/>
      <c r="AE299" s="9"/>
      <c r="AF299" s="9"/>
      <c r="AG299" s="9"/>
      <c r="AH299" s="9"/>
      <c r="AI299" s="9"/>
      <c r="AJ299" s="9"/>
      <c r="AK299" s="9"/>
      <c r="AL299" s="9"/>
      <c r="AM299" s="9"/>
      <c r="AN299" s="10"/>
      <c r="AO299" s="65">
        <f t="shared" si="5"/>
        <v>0</v>
      </c>
    </row>
    <row r="300" spans="2:41" s="4" customFormat="1" ht="24" customHeight="1" x14ac:dyDescent="0.2">
      <c r="B300" s="14"/>
      <c r="C300" s="23"/>
      <c r="D300" s="21"/>
      <c r="E300" s="6"/>
      <c r="F300" s="16" t="str">
        <f>IFERROR(VLOOKUP($E300,設定!$C:$F,2,0),"")</f>
        <v/>
      </c>
      <c r="G300" s="156" t="str">
        <f>IFERROR(VLOOKUP($E300,設定!$C:$F,3,0),"")</f>
        <v/>
      </c>
      <c r="H300" s="131" t="str">
        <f>IFERROR(VLOOKUP($E300,設定!$C:$F,4,0),"")</f>
        <v/>
      </c>
      <c r="I300" s="402"/>
      <c r="J300" s="8"/>
      <c r="K300" s="9"/>
      <c r="L300" s="9"/>
      <c r="M300" s="9"/>
      <c r="N300" s="9"/>
      <c r="O300" s="9"/>
      <c r="P300" s="9"/>
      <c r="Q300" s="9"/>
      <c r="R300" s="9"/>
      <c r="S300" s="9"/>
      <c r="T300" s="9"/>
      <c r="U300" s="9"/>
      <c r="V300" s="9"/>
      <c r="W300" s="9"/>
      <c r="X300" s="9"/>
      <c r="Y300" s="9"/>
      <c r="Z300" s="9"/>
      <c r="AA300" s="9"/>
      <c r="AB300" s="9"/>
      <c r="AC300" s="9"/>
      <c r="AD300" s="9"/>
      <c r="AE300" s="9"/>
      <c r="AF300" s="9"/>
      <c r="AG300" s="9"/>
      <c r="AH300" s="9"/>
      <c r="AI300" s="9"/>
      <c r="AJ300" s="9"/>
      <c r="AK300" s="9"/>
      <c r="AL300" s="9"/>
      <c r="AM300" s="9"/>
      <c r="AN300" s="10"/>
      <c r="AO300" s="65">
        <f t="shared" si="5"/>
        <v>0</v>
      </c>
    </row>
    <row r="301" spans="2:41" s="4" customFormat="1" ht="24" customHeight="1" x14ac:dyDescent="0.2">
      <c r="B301" s="14"/>
      <c r="C301" s="23"/>
      <c r="D301" s="21"/>
      <c r="E301" s="6"/>
      <c r="F301" s="16" t="str">
        <f>IFERROR(VLOOKUP($E301,設定!$C:$F,2,0),"")</f>
        <v/>
      </c>
      <c r="G301" s="156" t="str">
        <f>IFERROR(VLOOKUP($E301,設定!$C:$F,3,0),"")</f>
        <v/>
      </c>
      <c r="H301" s="131" t="str">
        <f>IFERROR(VLOOKUP($E301,設定!$C:$F,4,0),"")</f>
        <v/>
      </c>
      <c r="I301" s="402"/>
      <c r="J301" s="8"/>
      <c r="K301" s="9"/>
      <c r="L301" s="9"/>
      <c r="M301" s="9"/>
      <c r="N301" s="9"/>
      <c r="O301" s="9"/>
      <c r="P301" s="9"/>
      <c r="Q301" s="9"/>
      <c r="R301" s="9"/>
      <c r="S301" s="9"/>
      <c r="T301" s="9"/>
      <c r="U301" s="9"/>
      <c r="V301" s="9"/>
      <c r="W301" s="9"/>
      <c r="X301" s="9"/>
      <c r="Y301" s="9"/>
      <c r="Z301" s="9"/>
      <c r="AA301" s="9"/>
      <c r="AB301" s="9"/>
      <c r="AC301" s="9"/>
      <c r="AD301" s="9"/>
      <c r="AE301" s="9"/>
      <c r="AF301" s="9"/>
      <c r="AG301" s="9"/>
      <c r="AH301" s="9"/>
      <c r="AI301" s="9"/>
      <c r="AJ301" s="9"/>
      <c r="AK301" s="9"/>
      <c r="AL301" s="9"/>
      <c r="AM301" s="9"/>
      <c r="AN301" s="10"/>
      <c r="AO301" s="65">
        <f t="shared" si="5"/>
        <v>0</v>
      </c>
    </row>
    <row r="302" spans="2:41" s="4" customFormat="1" ht="24" customHeight="1" x14ac:dyDescent="0.2">
      <c r="B302" s="14"/>
      <c r="C302" s="23"/>
      <c r="D302" s="21"/>
      <c r="E302" s="6"/>
      <c r="F302" s="16" t="str">
        <f>IFERROR(VLOOKUP($E302,設定!$C:$F,2,0),"")</f>
        <v/>
      </c>
      <c r="G302" s="156" t="str">
        <f>IFERROR(VLOOKUP($E302,設定!$C:$F,3,0),"")</f>
        <v/>
      </c>
      <c r="H302" s="131" t="str">
        <f>IFERROR(VLOOKUP($E302,設定!$C:$F,4,0),"")</f>
        <v/>
      </c>
      <c r="I302" s="402"/>
      <c r="J302" s="8"/>
      <c r="K302" s="9"/>
      <c r="L302" s="9"/>
      <c r="M302" s="9"/>
      <c r="N302" s="9"/>
      <c r="O302" s="9"/>
      <c r="P302" s="9"/>
      <c r="Q302" s="9"/>
      <c r="R302" s="9"/>
      <c r="S302" s="9"/>
      <c r="T302" s="9"/>
      <c r="U302" s="9"/>
      <c r="V302" s="9"/>
      <c r="W302" s="9"/>
      <c r="X302" s="9"/>
      <c r="Y302" s="9"/>
      <c r="Z302" s="9"/>
      <c r="AA302" s="9"/>
      <c r="AB302" s="9"/>
      <c r="AC302" s="9"/>
      <c r="AD302" s="9"/>
      <c r="AE302" s="9"/>
      <c r="AF302" s="9"/>
      <c r="AG302" s="9"/>
      <c r="AH302" s="9"/>
      <c r="AI302" s="9"/>
      <c r="AJ302" s="9"/>
      <c r="AK302" s="9"/>
      <c r="AL302" s="9"/>
      <c r="AM302" s="9"/>
      <c r="AN302" s="10"/>
      <c r="AO302" s="65">
        <f t="shared" si="5"/>
        <v>0</v>
      </c>
    </row>
    <row r="303" spans="2:41" s="4" customFormat="1" ht="24" customHeight="1" x14ac:dyDescent="0.2">
      <c r="B303" s="14"/>
      <c r="C303" s="23"/>
      <c r="D303" s="21"/>
      <c r="E303" s="6"/>
      <c r="F303" s="16" t="str">
        <f>IFERROR(VLOOKUP($E303,設定!$C:$F,2,0),"")</f>
        <v/>
      </c>
      <c r="G303" s="156" t="str">
        <f>IFERROR(VLOOKUP($E303,設定!$C:$F,3,0),"")</f>
        <v/>
      </c>
      <c r="H303" s="131" t="str">
        <f>IFERROR(VLOOKUP($E303,設定!$C:$F,4,0),"")</f>
        <v/>
      </c>
      <c r="I303" s="402"/>
      <c r="J303" s="8"/>
      <c r="K303" s="9"/>
      <c r="L303" s="9"/>
      <c r="M303" s="9"/>
      <c r="N303" s="9"/>
      <c r="O303" s="9"/>
      <c r="P303" s="9"/>
      <c r="Q303" s="9"/>
      <c r="R303" s="9"/>
      <c r="S303" s="9"/>
      <c r="T303" s="9"/>
      <c r="U303" s="9"/>
      <c r="V303" s="9"/>
      <c r="W303" s="9"/>
      <c r="X303" s="9"/>
      <c r="Y303" s="9"/>
      <c r="Z303" s="9"/>
      <c r="AA303" s="9"/>
      <c r="AB303" s="9"/>
      <c r="AC303" s="9"/>
      <c r="AD303" s="9"/>
      <c r="AE303" s="9"/>
      <c r="AF303" s="9"/>
      <c r="AG303" s="9"/>
      <c r="AH303" s="9"/>
      <c r="AI303" s="9"/>
      <c r="AJ303" s="9"/>
      <c r="AK303" s="9"/>
      <c r="AL303" s="9"/>
      <c r="AM303" s="9"/>
      <c r="AN303" s="10"/>
      <c r="AO303" s="65">
        <f t="shared" si="5"/>
        <v>0</v>
      </c>
    </row>
    <row r="304" spans="2:41" s="4" customFormat="1" ht="24" customHeight="1" x14ac:dyDescent="0.2">
      <c r="B304" s="14"/>
      <c r="C304" s="23"/>
      <c r="D304" s="21"/>
      <c r="E304" s="6"/>
      <c r="F304" s="16" t="str">
        <f>IFERROR(VLOOKUP($E304,設定!$C:$F,2,0),"")</f>
        <v/>
      </c>
      <c r="G304" s="156" t="str">
        <f>IFERROR(VLOOKUP($E304,設定!$C:$F,3,0),"")</f>
        <v/>
      </c>
      <c r="H304" s="131" t="str">
        <f>IFERROR(VLOOKUP($E304,設定!$C:$F,4,0),"")</f>
        <v/>
      </c>
      <c r="I304" s="402"/>
      <c r="J304" s="8"/>
      <c r="K304" s="9"/>
      <c r="L304" s="9"/>
      <c r="M304" s="9"/>
      <c r="N304" s="9"/>
      <c r="O304" s="9"/>
      <c r="P304" s="9"/>
      <c r="Q304" s="9"/>
      <c r="R304" s="9"/>
      <c r="S304" s="9"/>
      <c r="T304" s="9"/>
      <c r="U304" s="9"/>
      <c r="V304" s="9"/>
      <c r="W304" s="9"/>
      <c r="X304" s="9"/>
      <c r="Y304" s="9"/>
      <c r="Z304" s="9"/>
      <c r="AA304" s="9"/>
      <c r="AB304" s="9"/>
      <c r="AC304" s="9"/>
      <c r="AD304" s="9"/>
      <c r="AE304" s="9"/>
      <c r="AF304" s="9"/>
      <c r="AG304" s="9"/>
      <c r="AH304" s="9"/>
      <c r="AI304" s="9"/>
      <c r="AJ304" s="9"/>
      <c r="AK304" s="9"/>
      <c r="AL304" s="9"/>
      <c r="AM304" s="9"/>
      <c r="AN304" s="10"/>
      <c r="AO304" s="65">
        <f t="shared" si="5"/>
        <v>0</v>
      </c>
    </row>
    <row r="305" spans="2:41" s="4" customFormat="1" ht="24" customHeight="1" x14ac:dyDescent="0.2">
      <c r="B305" s="14"/>
      <c r="C305" s="23"/>
      <c r="D305" s="21"/>
      <c r="E305" s="6"/>
      <c r="F305" s="16" t="str">
        <f>IFERROR(VLOOKUP($E305,設定!$C:$F,2,0),"")</f>
        <v/>
      </c>
      <c r="G305" s="156" t="str">
        <f>IFERROR(VLOOKUP($E305,設定!$C:$F,3,0),"")</f>
        <v/>
      </c>
      <c r="H305" s="131" t="str">
        <f>IFERROR(VLOOKUP($E305,設定!$C:$F,4,0),"")</f>
        <v/>
      </c>
      <c r="I305" s="402"/>
      <c r="J305" s="8"/>
      <c r="K305" s="9"/>
      <c r="L305" s="9"/>
      <c r="M305" s="9"/>
      <c r="N305" s="9"/>
      <c r="O305" s="9"/>
      <c r="P305" s="9"/>
      <c r="Q305" s="9"/>
      <c r="R305" s="9"/>
      <c r="S305" s="9"/>
      <c r="T305" s="9"/>
      <c r="U305" s="9"/>
      <c r="V305" s="9"/>
      <c r="W305" s="9"/>
      <c r="X305" s="9"/>
      <c r="Y305" s="9"/>
      <c r="Z305" s="9"/>
      <c r="AA305" s="9"/>
      <c r="AB305" s="9"/>
      <c r="AC305" s="9"/>
      <c r="AD305" s="9"/>
      <c r="AE305" s="9"/>
      <c r="AF305" s="9"/>
      <c r="AG305" s="9"/>
      <c r="AH305" s="9"/>
      <c r="AI305" s="9"/>
      <c r="AJ305" s="9"/>
      <c r="AK305" s="9"/>
      <c r="AL305" s="9"/>
      <c r="AM305" s="9"/>
      <c r="AN305" s="10"/>
      <c r="AO305" s="65">
        <f t="shared" si="5"/>
        <v>0</v>
      </c>
    </row>
    <row r="306" spans="2:41" s="4" customFormat="1" ht="24" customHeight="1" x14ac:dyDescent="0.2">
      <c r="B306" s="14"/>
      <c r="C306" s="23"/>
      <c r="D306" s="21"/>
      <c r="E306" s="6"/>
      <c r="F306" s="16" t="str">
        <f>IFERROR(VLOOKUP($E306,設定!$C:$F,2,0),"")</f>
        <v/>
      </c>
      <c r="G306" s="156" t="str">
        <f>IFERROR(VLOOKUP($E306,設定!$C:$F,3,0),"")</f>
        <v/>
      </c>
      <c r="H306" s="131" t="str">
        <f>IFERROR(VLOOKUP($E306,設定!$C:$F,4,0),"")</f>
        <v/>
      </c>
      <c r="I306" s="402"/>
      <c r="J306" s="8"/>
      <c r="K306" s="9"/>
      <c r="L306" s="9"/>
      <c r="M306" s="9"/>
      <c r="N306" s="9"/>
      <c r="O306" s="9"/>
      <c r="P306" s="9"/>
      <c r="Q306" s="9"/>
      <c r="R306" s="9"/>
      <c r="S306" s="9"/>
      <c r="T306" s="9"/>
      <c r="U306" s="9"/>
      <c r="V306" s="9"/>
      <c r="W306" s="9"/>
      <c r="X306" s="9"/>
      <c r="Y306" s="9"/>
      <c r="Z306" s="9"/>
      <c r="AA306" s="9"/>
      <c r="AB306" s="9"/>
      <c r="AC306" s="9"/>
      <c r="AD306" s="9"/>
      <c r="AE306" s="9"/>
      <c r="AF306" s="9"/>
      <c r="AG306" s="9"/>
      <c r="AH306" s="9"/>
      <c r="AI306" s="9"/>
      <c r="AJ306" s="9"/>
      <c r="AK306" s="9"/>
      <c r="AL306" s="9"/>
      <c r="AM306" s="9"/>
      <c r="AN306" s="10"/>
      <c r="AO306" s="65">
        <f t="shared" si="5"/>
        <v>0</v>
      </c>
    </row>
    <row r="307" spans="2:41" s="4" customFormat="1" ht="24" customHeight="1" x14ac:dyDescent="0.2">
      <c r="B307" s="14"/>
      <c r="C307" s="23"/>
      <c r="D307" s="21"/>
      <c r="E307" s="6"/>
      <c r="F307" s="16" t="str">
        <f>IFERROR(VLOOKUP($E307,設定!$C:$F,2,0),"")</f>
        <v/>
      </c>
      <c r="G307" s="156" t="str">
        <f>IFERROR(VLOOKUP($E307,設定!$C:$F,3,0),"")</f>
        <v/>
      </c>
      <c r="H307" s="131" t="str">
        <f>IFERROR(VLOOKUP($E307,設定!$C:$F,4,0),"")</f>
        <v/>
      </c>
      <c r="I307" s="402"/>
      <c r="J307" s="8"/>
      <c r="K307" s="9"/>
      <c r="L307" s="9"/>
      <c r="M307" s="9"/>
      <c r="N307" s="9"/>
      <c r="O307" s="9"/>
      <c r="P307" s="9"/>
      <c r="Q307" s="9"/>
      <c r="R307" s="9"/>
      <c r="S307" s="9"/>
      <c r="T307" s="9"/>
      <c r="U307" s="9"/>
      <c r="V307" s="9"/>
      <c r="W307" s="9"/>
      <c r="X307" s="9"/>
      <c r="Y307" s="9"/>
      <c r="Z307" s="9"/>
      <c r="AA307" s="9"/>
      <c r="AB307" s="9"/>
      <c r="AC307" s="9"/>
      <c r="AD307" s="9"/>
      <c r="AE307" s="9"/>
      <c r="AF307" s="9"/>
      <c r="AG307" s="9"/>
      <c r="AH307" s="9"/>
      <c r="AI307" s="9"/>
      <c r="AJ307" s="9"/>
      <c r="AK307" s="9"/>
      <c r="AL307" s="9"/>
      <c r="AM307" s="9"/>
      <c r="AN307" s="10"/>
      <c r="AO307" s="65">
        <f t="shared" si="5"/>
        <v>0</v>
      </c>
    </row>
    <row r="308" spans="2:41" s="4" customFormat="1" ht="24" customHeight="1" x14ac:dyDescent="0.2">
      <c r="B308" s="14"/>
      <c r="C308" s="23"/>
      <c r="D308" s="21"/>
      <c r="E308" s="6"/>
      <c r="F308" s="16" t="str">
        <f>IFERROR(VLOOKUP($E308,設定!$C:$F,2,0),"")</f>
        <v/>
      </c>
      <c r="G308" s="156" t="str">
        <f>IFERROR(VLOOKUP($E308,設定!$C:$F,3,0),"")</f>
        <v/>
      </c>
      <c r="H308" s="131" t="str">
        <f>IFERROR(VLOOKUP($E308,設定!$C:$F,4,0),"")</f>
        <v/>
      </c>
      <c r="I308" s="402"/>
      <c r="J308" s="8"/>
      <c r="K308" s="9"/>
      <c r="L308" s="9"/>
      <c r="M308" s="9"/>
      <c r="N308" s="9"/>
      <c r="O308" s="9"/>
      <c r="P308" s="9"/>
      <c r="Q308" s="9"/>
      <c r="R308" s="9"/>
      <c r="S308" s="9"/>
      <c r="T308" s="9"/>
      <c r="U308" s="9"/>
      <c r="V308" s="9"/>
      <c r="W308" s="9"/>
      <c r="X308" s="9"/>
      <c r="Y308" s="9"/>
      <c r="Z308" s="9"/>
      <c r="AA308" s="9"/>
      <c r="AB308" s="9"/>
      <c r="AC308" s="9"/>
      <c r="AD308" s="9"/>
      <c r="AE308" s="9"/>
      <c r="AF308" s="9"/>
      <c r="AG308" s="9"/>
      <c r="AH308" s="9"/>
      <c r="AI308" s="9"/>
      <c r="AJ308" s="9"/>
      <c r="AK308" s="9"/>
      <c r="AL308" s="9"/>
      <c r="AM308" s="9"/>
      <c r="AN308" s="10"/>
      <c r="AO308" s="65">
        <f t="shared" si="5"/>
        <v>0</v>
      </c>
    </row>
    <row r="309" spans="2:41" s="4" customFormat="1" ht="24" customHeight="1" x14ac:dyDescent="0.2">
      <c r="B309" s="14"/>
      <c r="C309" s="23"/>
      <c r="D309" s="21"/>
      <c r="E309" s="6"/>
      <c r="F309" s="16" t="str">
        <f>IFERROR(VLOOKUP($E309,設定!$C:$F,2,0),"")</f>
        <v/>
      </c>
      <c r="G309" s="156" t="str">
        <f>IFERROR(VLOOKUP($E309,設定!$C:$F,3,0),"")</f>
        <v/>
      </c>
      <c r="H309" s="131" t="str">
        <f>IFERROR(VLOOKUP($E309,設定!$C:$F,4,0),"")</f>
        <v/>
      </c>
      <c r="I309" s="402"/>
      <c r="J309" s="8"/>
      <c r="K309" s="9"/>
      <c r="L309" s="9"/>
      <c r="M309" s="9"/>
      <c r="N309" s="9"/>
      <c r="O309" s="9"/>
      <c r="P309" s="9"/>
      <c r="Q309" s="9"/>
      <c r="R309" s="9"/>
      <c r="S309" s="9"/>
      <c r="T309" s="9"/>
      <c r="U309" s="9"/>
      <c r="V309" s="9"/>
      <c r="W309" s="9"/>
      <c r="X309" s="9"/>
      <c r="Y309" s="9"/>
      <c r="Z309" s="9"/>
      <c r="AA309" s="9"/>
      <c r="AB309" s="9"/>
      <c r="AC309" s="9"/>
      <c r="AD309" s="9"/>
      <c r="AE309" s="9"/>
      <c r="AF309" s="9"/>
      <c r="AG309" s="9"/>
      <c r="AH309" s="9"/>
      <c r="AI309" s="9"/>
      <c r="AJ309" s="9"/>
      <c r="AK309" s="9"/>
      <c r="AL309" s="9"/>
      <c r="AM309" s="9"/>
      <c r="AN309" s="10"/>
      <c r="AO309" s="65">
        <f t="shared" si="5"/>
        <v>0</v>
      </c>
    </row>
    <row r="310" spans="2:41" s="4" customFormat="1" ht="24" customHeight="1" x14ac:dyDescent="0.2">
      <c r="B310" s="14"/>
      <c r="C310" s="23"/>
      <c r="D310" s="21"/>
      <c r="E310" s="6"/>
      <c r="F310" s="16" t="str">
        <f>IFERROR(VLOOKUP($E310,設定!$C:$F,2,0),"")</f>
        <v/>
      </c>
      <c r="G310" s="156" t="str">
        <f>IFERROR(VLOOKUP($E310,設定!$C:$F,3,0),"")</f>
        <v/>
      </c>
      <c r="H310" s="131" t="str">
        <f>IFERROR(VLOOKUP($E310,設定!$C:$F,4,0),"")</f>
        <v/>
      </c>
      <c r="I310" s="402"/>
      <c r="J310" s="8"/>
      <c r="K310" s="9"/>
      <c r="L310" s="9"/>
      <c r="M310" s="9"/>
      <c r="N310" s="9"/>
      <c r="O310" s="9"/>
      <c r="P310" s="9"/>
      <c r="Q310" s="9"/>
      <c r="R310" s="9"/>
      <c r="S310" s="9"/>
      <c r="T310" s="9"/>
      <c r="U310" s="9"/>
      <c r="V310" s="9"/>
      <c r="W310" s="9"/>
      <c r="X310" s="9"/>
      <c r="Y310" s="9"/>
      <c r="Z310" s="9"/>
      <c r="AA310" s="9"/>
      <c r="AB310" s="9"/>
      <c r="AC310" s="9"/>
      <c r="AD310" s="9"/>
      <c r="AE310" s="9"/>
      <c r="AF310" s="9"/>
      <c r="AG310" s="9"/>
      <c r="AH310" s="9"/>
      <c r="AI310" s="9"/>
      <c r="AJ310" s="9"/>
      <c r="AK310" s="9"/>
      <c r="AL310" s="9"/>
      <c r="AM310" s="9"/>
      <c r="AN310" s="10"/>
      <c r="AO310" s="65">
        <f t="shared" si="5"/>
        <v>0</v>
      </c>
    </row>
    <row r="311" spans="2:41" s="4" customFormat="1" ht="24" customHeight="1" x14ac:dyDescent="0.2">
      <c r="B311" s="14"/>
      <c r="C311" s="23"/>
      <c r="D311" s="21"/>
      <c r="E311" s="6"/>
      <c r="F311" s="16" t="str">
        <f>IFERROR(VLOOKUP($E311,設定!$C:$F,2,0),"")</f>
        <v/>
      </c>
      <c r="G311" s="156" t="str">
        <f>IFERROR(VLOOKUP($E311,設定!$C:$F,3,0),"")</f>
        <v/>
      </c>
      <c r="H311" s="131" t="str">
        <f>IFERROR(VLOOKUP($E311,設定!$C:$F,4,0),"")</f>
        <v/>
      </c>
      <c r="I311" s="402"/>
      <c r="J311" s="8"/>
      <c r="K311" s="9"/>
      <c r="L311" s="9"/>
      <c r="M311" s="9"/>
      <c r="N311" s="9"/>
      <c r="O311" s="9"/>
      <c r="P311" s="9"/>
      <c r="Q311" s="9"/>
      <c r="R311" s="9"/>
      <c r="S311" s="9"/>
      <c r="T311" s="9"/>
      <c r="U311" s="9"/>
      <c r="V311" s="9"/>
      <c r="W311" s="9"/>
      <c r="X311" s="9"/>
      <c r="Y311" s="9"/>
      <c r="Z311" s="9"/>
      <c r="AA311" s="9"/>
      <c r="AB311" s="9"/>
      <c r="AC311" s="9"/>
      <c r="AD311" s="9"/>
      <c r="AE311" s="9"/>
      <c r="AF311" s="9"/>
      <c r="AG311" s="9"/>
      <c r="AH311" s="9"/>
      <c r="AI311" s="9"/>
      <c r="AJ311" s="9"/>
      <c r="AK311" s="9"/>
      <c r="AL311" s="9"/>
      <c r="AM311" s="9"/>
      <c r="AN311" s="10"/>
      <c r="AO311" s="65">
        <f t="shared" si="5"/>
        <v>0</v>
      </c>
    </row>
    <row r="312" spans="2:41" s="4" customFormat="1" ht="24" customHeight="1" x14ac:dyDescent="0.2">
      <c r="B312" s="14"/>
      <c r="C312" s="23"/>
      <c r="D312" s="21"/>
      <c r="E312" s="6"/>
      <c r="F312" s="16" t="str">
        <f>IFERROR(VLOOKUP($E312,設定!$C:$F,2,0),"")</f>
        <v/>
      </c>
      <c r="G312" s="156" t="str">
        <f>IFERROR(VLOOKUP($E312,設定!$C:$F,3,0),"")</f>
        <v/>
      </c>
      <c r="H312" s="131" t="str">
        <f>IFERROR(VLOOKUP($E312,設定!$C:$F,4,0),"")</f>
        <v/>
      </c>
      <c r="I312" s="402"/>
      <c r="J312" s="8"/>
      <c r="K312" s="9"/>
      <c r="L312" s="9"/>
      <c r="M312" s="9"/>
      <c r="N312" s="9"/>
      <c r="O312" s="9"/>
      <c r="P312" s="9"/>
      <c r="Q312" s="9"/>
      <c r="R312" s="9"/>
      <c r="S312" s="9"/>
      <c r="T312" s="9"/>
      <c r="U312" s="9"/>
      <c r="V312" s="9"/>
      <c r="W312" s="9"/>
      <c r="X312" s="9"/>
      <c r="Y312" s="9"/>
      <c r="Z312" s="9"/>
      <c r="AA312" s="9"/>
      <c r="AB312" s="9"/>
      <c r="AC312" s="9"/>
      <c r="AD312" s="9"/>
      <c r="AE312" s="9"/>
      <c r="AF312" s="9"/>
      <c r="AG312" s="9"/>
      <c r="AH312" s="9"/>
      <c r="AI312" s="9"/>
      <c r="AJ312" s="9"/>
      <c r="AK312" s="9"/>
      <c r="AL312" s="9"/>
      <c r="AM312" s="9"/>
      <c r="AN312" s="10"/>
      <c r="AO312" s="65">
        <f t="shared" si="5"/>
        <v>0</v>
      </c>
    </row>
    <row r="313" spans="2:41" s="4" customFormat="1" ht="24" customHeight="1" x14ac:dyDescent="0.2">
      <c r="B313" s="14"/>
      <c r="C313" s="23"/>
      <c r="D313" s="21"/>
      <c r="E313" s="6"/>
      <c r="F313" s="16" t="str">
        <f>IFERROR(VLOOKUP($E313,設定!$C:$F,2,0),"")</f>
        <v/>
      </c>
      <c r="G313" s="156" t="str">
        <f>IFERROR(VLOOKUP($E313,設定!$C:$F,3,0),"")</f>
        <v/>
      </c>
      <c r="H313" s="131" t="str">
        <f>IFERROR(VLOOKUP($E313,設定!$C:$F,4,0),"")</f>
        <v/>
      </c>
      <c r="I313" s="402"/>
      <c r="J313" s="8"/>
      <c r="K313" s="9"/>
      <c r="L313" s="9"/>
      <c r="M313" s="9"/>
      <c r="N313" s="9"/>
      <c r="O313" s="9"/>
      <c r="P313" s="9"/>
      <c r="Q313" s="9"/>
      <c r="R313" s="9"/>
      <c r="S313" s="9"/>
      <c r="T313" s="9"/>
      <c r="U313" s="9"/>
      <c r="V313" s="9"/>
      <c r="W313" s="9"/>
      <c r="X313" s="9"/>
      <c r="Y313" s="9"/>
      <c r="Z313" s="9"/>
      <c r="AA313" s="9"/>
      <c r="AB313" s="9"/>
      <c r="AC313" s="9"/>
      <c r="AD313" s="9"/>
      <c r="AE313" s="9"/>
      <c r="AF313" s="9"/>
      <c r="AG313" s="9"/>
      <c r="AH313" s="9"/>
      <c r="AI313" s="9"/>
      <c r="AJ313" s="9"/>
      <c r="AK313" s="9"/>
      <c r="AL313" s="9"/>
      <c r="AM313" s="9"/>
      <c r="AN313" s="10"/>
      <c r="AO313" s="65">
        <f t="shared" si="5"/>
        <v>0</v>
      </c>
    </row>
    <row r="314" spans="2:41" s="4" customFormat="1" ht="24" customHeight="1" x14ac:dyDescent="0.2">
      <c r="B314" s="14"/>
      <c r="C314" s="23"/>
      <c r="D314" s="21"/>
      <c r="E314" s="6"/>
      <c r="F314" s="16" t="str">
        <f>IFERROR(VLOOKUP($E314,設定!$C:$F,2,0),"")</f>
        <v/>
      </c>
      <c r="G314" s="156" t="str">
        <f>IFERROR(VLOOKUP($E314,設定!$C:$F,3,0),"")</f>
        <v/>
      </c>
      <c r="H314" s="131" t="str">
        <f>IFERROR(VLOOKUP($E314,設定!$C:$F,4,0),"")</f>
        <v/>
      </c>
      <c r="I314" s="402"/>
      <c r="J314" s="8"/>
      <c r="K314" s="9"/>
      <c r="L314" s="9"/>
      <c r="M314" s="9"/>
      <c r="N314" s="9"/>
      <c r="O314" s="9"/>
      <c r="P314" s="9"/>
      <c r="Q314" s="9"/>
      <c r="R314" s="9"/>
      <c r="S314" s="9"/>
      <c r="T314" s="9"/>
      <c r="U314" s="9"/>
      <c r="V314" s="9"/>
      <c r="W314" s="9"/>
      <c r="X314" s="9"/>
      <c r="Y314" s="9"/>
      <c r="Z314" s="9"/>
      <c r="AA314" s="9"/>
      <c r="AB314" s="9"/>
      <c r="AC314" s="9"/>
      <c r="AD314" s="9"/>
      <c r="AE314" s="9"/>
      <c r="AF314" s="9"/>
      <c r="AG314" s="9"/>
      <c r="AH314" s="9"/>
      <c r="AI314" s="9"/>
      <c r="AJ314" s="9"/>
      <c r="AK314" s="9"/>
      <c r="AL314" s="9"/>
      <c r="AM314" s="9"/>
      <c r="AN314" s="10"/>
      <c r="AO314" s="65">
        <f t="shared" si="5"/>
        <v>0</v>
      </c>
    </row>
    <row r="315" spans="2:41" s="4" customFormat="1" ht="24" customHeight="1" x14ac:dyDescent="0.2">
      <c r="B315" s="14"/>
      <c r="C315" s="23"/>
      <c r="D315" s="21"/>
      <c r="E315" s="6"/>
      <c r="F315" s="16" t="str">
        <f>IFERROR(VLOOKUP($E315,設定!$C:$F,2,0),"")</f>
        <v/>
      </c>
      <c r="G315" s="156" t="str">
        <f>IFERROR(VLOOKUP($E315,設定!$C:$F,3,0),"")</f>
        <v/>
      </c>
      <c r="H315" s="131" t="str">
        <f>IFERROR(VLOOKUP($E315,設定!$C:$F,4,0),"")</f>
        <v/>
      </c>
      <c r="I315" s="402"/>
      <c r="J315" s="8"/>
      <c r="K315" s="9"/>
      <c r="L315" s="9"/>
      <c r="M315" s="9"/>
      <c r="N315" s="9"/>
      <c r="O315" s="9"/>
      <c r="P315" s="9"/>
      <c r="Q315" s="9"/>
      <c r="R315" s="9"/>
      <c r="S315" s="9"/>
      <c r="T315" s="9"/>
      <c r="U315" s="9"/>
      <c r="V315" s="9"/>
      <c r="W315" s="9"/>
      <c r="X315" s="9"/>
      <c r="Y315" s="9"/>
      <c r="Z315" s="9"/>
      <c r="AA315" s="9"/>
      <c r="AB315" s="9"/>
      <c r="AC315" s="9"/>
      <c r="AD315" s="9"/>
      <c r="AE315" s="9"/>
      <c r="AF315" s="9"/>
      <c r="AG315" s="9"/>
      <c r="AH315" s="9"/>
      <c r="AI315" s="9"/>
      <c r="AJ315" s="9"/>
      <c r="AK315" s="9"/>
      <c r="AL315" s="9"/>
      <c r="AM315" s="9"/>
      <c r="AN315" s="10"/>
      <c r="AO315" s="65">
        <f t="shared" si="5"/>
        <v>0</v>
      </c>
    </row>
    <row r="316" spans="2:41" s="4" customFormat="1" ht="24" customHeight="1" x14ac:dyDescent="0.2">
      <c r="B316" s="14"/>
      <c r="C316" s="23"/>
      <c r="D316" s="21"/>
      <c r="E316" s="6"/>
      <c r="F316" s="16" t="str">
        <f>IFERROR(VLOOKUP($E316,設定!$C:$F,2,0),"")</f>
        <v/>
      </c>
      <c r="G316" s="156" t="str">
        <f>IFERROR(VLOOKUP($E316,設定!$C:$F,3,0),"")</f>
        <v/>
      </c>
      <c r="H316" s="131" t="str">
        <f>IFERROR(VLOOKUP($E316,設定!$C:$F,4,0),"")</f>
        <v/>
      </c>
      <c r="I316" s="402"/>
      <c r="J316" s="8"/>
      <c r="K316" s="9"/>
      <c r="L316" s="9"/>
      <c r="M316" s="9"/>
      <c r="N316" s="9"/>
      <c r="O316" s="9"/>
      <c r="P316" s="9"/>
      <c r="Q316" s="9"/>
      <c r="R316" s="9"/>
      <c r="S316" s="9"/>
      <c r="T316" s="9"/>
      <c r="U316" s="9"/>
      <c r="V316" s="9"/>
      <c r="W316" s="9"/>
      <c r="X316" s="9"/>
      <c r="Y316" s="9"/>
      <c r="Z316" s="9"/>
      <c r="AA316" s="9"/>
      <c r="AB316" s="9"/>
      <c r="AC316" s="9"/>
      <c r="AD316" s="9"/>
      <c r="AE316" s="9"/>
      <c r="AF316" s="9"/>
      <c r="AG316" s="9"/>
      <c r="AH316" s="9"/>
      <c r="AI316" s="9"/>
      <c r="AJ316" s="9"/>
      <c r="AK316" s="9"/>
      <c r="AL316" s="9"/>
      <c r="AM316" s="9"/>
      <c r="AN316" s="10"/>
      <c r="AO316" s="65">
        <f t="shared" si="5"/>
        <v>0</v>
      </c>
    </row>
    <row r="317" spans="2:41" s="4" customFormat="1" ht="24" customHeight="1" x14ac:dyDescent="0.2">
      <c r="B317" s="14"/>
      <c r="C317" s="23"/>
      <c r="D317" s="21"/>
      <c r="E317" s="6"/>
      <c r="F317" s="16" t="str">
        <f>IFERROR(VLOOKUP($E317,設定!$C:$F,2,0),"")</f>
        <v/>
      </c>
      <c r="G317" s="156" t="str">
        <f>IFERROR(VLOOKUP($E317,設定!$C:$F,3,0),"")</f>
        <v/>
      </c>
      <c r="H317" s="131" t="str">
        <f>IFERROR(VLOOKUP($E317,設定!$C:$F,4,0),"")</f>
        <v/>
      </c>
      <c r="I317" s="402"/>
      <c r="J317" s="8"/>
      <c r="K317" s="9"/>
      <c r="L317" s="9"/>
      <c r="M317" s="9"/>
      <c r="N317" s="9"/>
      <c r="O317" s="9"/>
      <c r="P317" s="9"/>
      <c r="Q317" s="9"/>
      <c r="R317" s="9"/>
      <c r="S317" s="9"/>
      <c r="T317" s="9"/>
      <c r="U317" s="9"/>
      <c r="V317" s="9"/>
      <c r="W317" s="9"/>
      <c r="X317" s="9"/>
      <c r="Y317" s="9"/>
      <c r="Z317" s="9"/>
      <c r="AA317" s="9"/>
      <c r="AB317" s="9"/>
      <c r="AC317" s="9"/>
      <c r="AD317" s="9"/>
      <c r="AE317" s="9"/>
      <c r="AF317" s="9"/>
      <c r="AG317" s="9"/>
      <c r="AH317" s="9"/>
      <c r="AI317" s="9"/>
      <c r="AJ317" s="9"/>
      <c r="AK317" s="9"/>
      <c r="AL317" s="9"/>
      <c r="AM317" s="9"/>
      <c r="AN317" s="10"/>
      <c r="AO317" s="65">
        <f t="shared" si="5"/>
        <v>0</v>
      </c>
    </row>
    <row r="318" spans="2:41" s="4" customFormat="1" ht="24" customHeight="1" x14ac:dyDescent="0.2">
      <c r="B318" s="14"/>
      <c r="C318" s="23"/>
      <c r="D318" s="21"/>
      <c r="E318" s="6"/>
      <c r="F318" s="16" t="str">
        <f>IFERROR(VLOOKUP($E318,設定!$C:$F,2,0),"")</f>
        <v/>
      </c>
      <c r="G318" s="156" t="str">
        <f>IFERROR(VLOOKUP($E318,設定!$C:$F,3,0),"")</f>
        <v/>
      </c>
      <c r="H318" s="131" t="str">
        <f>IFERROR(VLOOKUP($E318,設定!$C:$F,4,0),"")</f>
        <v/>
      </c>
      <c r="I318" s="402"/>
      <c r="J318" s="8"/>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9"/>
      <c r="AJ318" s="9"/>
      <c r="AK318" s="9"/>
      <c r="AL318" s="9"/>
      <c r="AM318" s="9"/>
      <c r="AN318" s="10"/>
      <c r="AO318" s="65">
        <f t="shared" si="5"/>
        <v>0</v>
      </c>
    </row>
    <row r="319" spans="2:41" s="4" customFormat="1" ht="24" customHeight="1" x14ac:dyDescent="0.2">
      <c r="B319" s="14"/>
      <c r="C319" s="23"/>
      <c r="D319" s="21"/>
      <c r="E319" s="6"/>
      <c r="F319" s="16" t="str">
        <f>IFERROR(VLOOKUP($E319,設定!$C:$F,2,0),"")</f>
        <v/>
      </c>
      <c r="G319" s="156" t="str">
        <f>IFERROR(VLOOKUP($E319,設定!$C:$F,3,0),"")</f>
        <v/>
      </c>
      <c r="H319" s="131" t="str">
        <f>IFERROR(VLOOKUP($E319,設定!$C:$F,4,0),"")</f>
        <v/>
      </c>
      <c r="I319" s="402"/>
      <c r="J319" s="8"/>
      <c r="K319" s="9"/>
      <c r="L319" s="9"/>
      <c r="M319" s="9"/>
      <c r="N319" s="9"/>
      <c r="O319" s="9"/>
      <c r="P319" s="9"/>
      <c r="Q319" s="9"/>
      <c r="R319" s="9"/>
      <c r="S319" s="9"/>
      <c r="T319" s="9"/>
      <c r="U319" s="9"/>
      <c r="V319" s="9"/>
      <c r="W319" s="9"/>
      <c r="X319" s="9"/>
      <c r="Y319" s="9"/>
      <c r="Z319" s="9"/>
      <c r="AA319" s="9"/>
      <c r="AB319" s="9"/>
      <c r="AC319" s="9"/>
      <c r="AD319" s="9"/>
      <c r="AE319" s="9"/>
      <c r="AF319" s="9"/>
      <c r="AG319" s="9"/>
      <c r="AH319" s="9"/>
      <c r="AI319" s="9"/>
      <c r="AJ319" s="9"/>
      <c r="AK319" s="9"/>
      <c r="AL319" s="9"/>
      <c r="AM319" s="9"/>
      <c r="AN319" s="10"/>
      <c r="AO319" s="65">
        <f t="shared" si="5"/>
        <v>0</v>
      </c>
    </row>
    <row r="320" spans="2:41" s="4" customFormat="1" ht="24" customHeight="1" x14ac:dyDescent="0.2">
      <c r="B320" s="14"/>
      <c r="C320" s="23"/>
      <c r="D320" s="21"/>
      <c r="E320" s="6"/>
      <c r="F320" s="16" t="str">
        <f>IFERROR(VLOOKUP($E320,設定!$C:$F,2,0),"")</f>
        <v/>
      </c>
      <c r="G320" s="156" t="str">
        <f>IFERROR(VLOOKUP($E320,設定!$C:$F,3,0),"")</f>
        <v/>
      </c>
      <c r="H320" s="131" t="str">
        <f>IFERROR(VLOOKUP($E320,設定!$C:$F,4,0),"")</f>
        <v/>
      </c>
      <c r="I320" s="402"/>
      <c r="J320" s="8"/>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10"/>
      <c r="AO320" s="65">
        <f t="shared" si="5"/>
        <v>0</v>
      </c>
    </row>
    <row r="321" spans="2:41" s="4" customFormat="1" ht="24" customHeight="1" x14ac:dyDescent="0.2">
      <c r="B321" s="14"/>
      <c r="C321" s="23"/>
      <c r="D321" s="21"/>
      <c r="E321" s="6"/>
      <c r="F321" s="16" t="str">
        <f>IFERROR(VLOOKUP($E321,設定!$C:$F,2,0),"")</f>
        <v/>
      </c>
      <c r="G321" s="156" t="str">
        <f>IFERROR(VLOOKUP($E321,設定!$C:$F,3,0),"")</f>
        <v/>
      </c>
      <c r="H321" s="131" t="str">
        <f>IFERROR(VLOOKUP($E321,設定!$C:$F,4,0),"")</f>
        <v/>
      </c>
      <c r="I321" s="402"/>
      <c r="J321" s="8"/>
      <c r="K321" s="9"/>
      <c r="L321" s="9"/>
      <c r="M321" s="9"/>
      <c r="N321" s="9"/>
      <c r="O321" s="9"/>
      <c r="P321" s="9"/>
      <c r="Q321" s="9"/>
      <c r="R321" s="9"/>
      <c r="S321" s="9"/>
      <c r="T321" s="9"/>
      <c r="U321" s="9"/>
      <c r="V321" s="9"/>
      <c r="W321" s="9"/>
      <c r="X321" s="9"/>
      <c r="Y321" s="9"/>
      <c r="Z321" s="9"/>
      <c r="AA321" s="9"/>
      <c r="AB321" s="9"/>
      <c r="AC321" s="9"/>
      <c r="AD321" s="9"/>
      <c r="AE321" s="9"/>
      <c r="AF321" s="9"/>
      <c r="AG321" s="9"/>
      <c r="AH321" s="9"/>
      <c r="AI321" s="9"/>
      <c r="AJ321" s="9"/>
      <c r="AK321" s="9"/>
      <c r="AL321" s="9"/>
      <c r="AM321" s="9"/>
      <c r="AN321" s="10"/>
      <c r="AO321" s="65">
        <f t="shared" si="5"/>
        <v>0</v>
      </c>
    </row>
    <row r="322" spans="2:41" s="4" customFormat="1" ht="24" customHeight="1" x14ac:dyDescent="0.2">
      <c r="B322" s="14"/>
      <c r="C322" s="23"/>
      <c r="D322" s="21"/>
      <c r="E322" s="6"/>
      <c r="F322" s="16" t="str">
        <f>IFERROR(VLOOKUP($E322,設定!$C:$F,2,0),"")</f>
        <v/>
      </c>
      <c r="G322" s="156" t="str">
        <f>IFERROR(VLOOKUP($E322,設定!$C:$F,3,0),"")</f>
        <v/>
      </c>
      <c r="H322" s="131" t="str">
        <f>IFERROR(VLOOKUP($E322,設定!$C:$F,4,0),"")</f>
        <v/>
      </c>
      <c r="I322" s="402"/>
      <c r="J322" s="8"/>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10"/>
      <c r="AO322" s="65">
        <f t="shared" si="5"/>
        <v>0</v>
      </c>
    </row>
    <row r="323" spans="2:41" s="4" customFormat="1" ht="24" customHeight="1" x14ac:dyDescent="0.2">
      <c r="B323" s="14"/>
      <c r="C323" s="23"/>
      <c r="D323" s="21"/>
      <c r="E323" s="6"/>
      <c r="F323" s="16" t="str">
        <f>IFERROR(VLOOKUP($E323,設定!$C:$F,2,0),"")</f>
        <v/>
      </c>
      <c r="G323" s="156" t="str">
        <f>IFERROR(VLOOKUP($E323,設定!$C:$F,3,0),"")</f>
        <v/>
      </c>
      <c r="H323" s="131" t="str">
        <f>IFERROR(VLOOKUP($E323,設定!$C:$F,4,0),"")</f>
        <v/>
      </c>
      <c r="I323" s="402"/>
      <c r="J323" s="8"/>
      <c r="K323" s="9"/>
      <c r="L323" s="9"/>
      <c r="M323" s="9"/>
      <c r="N323" s="9"/>
      <c r="O323" s="9"/>
      <c r="P323" s="9"/>
      <c r="Q323" s="9"/>
      <c r="R323" s="9"/>
      <c r="S323" s="9"/>
      <c r="T323" s="9"/>
      <c r="U323" s="9"/>
      <c r="V323" s="9"/>
      <c r="W323" s="9"/>
      <c r="X323" s="9"/>
      <c r="Y323" s="9"/>
      <c r="Z323" s="9"/>
      <c r="AA323" s="9"/>
      <c r="AB323" s="9"/>
      <c r="AC323" s="9"/>
      <c r="AD323" s="9"/>
      <c r="AE323" s="9"/>
      <c r="AF323" s="9"/>
      <c r="AG323" s="9"/>
      <c r="AH323" s="9"/>
      <c r="AI323" s="9"/>
      <c r="AJ323" s="9"/>
      <c r="AK323" s="9"/>
      <c r="AL323" s="9"/>
      <c r="AM323" s="9"/>
      <c r="AN323" s="10"/>
      <c r="AO323" s="65">
        <f t="shared" si="5"/>
        <v>0</v>
      </c>
    </row>
    <row r="324" spans="2:41" s="4" customFormat="1" ht="24" customHeight="1" x14ac:dyDescent="0.2">
      <c r="B324" s="14"/>
      <c r="C324" s="23"/>
      <c r="D324" s="21"/>
      <c r="E324" s="6"/>
      <c r="F324" s="16" t="str">
        <f>IFERROR(VLOOKUP($E324,設定!$C:$F,2,0),"")</f>
        <v/>
      </c>
      <c r="G324" s="156" t="str">
        <f>IFERROR(VLOOKUP($E324,設定!$C:$F,3,0),"")</f>
        <v/>
      </c>
      <c r="H324" s="131" t="str">
        <f>IFERROR(VLOOKUP($E324,設定!$C:$F,4,0),"")</f>
        <v/>
      </c>
      <c r="I324" s="402"/>
      <c r="J324" s="8"/>
      <c r="K324" s="9"/>
      <c r="L324" s="9"/>
      <c r="M324" s="9"/>
      <c r="N324" s="9"/>
      <c r="O324" s="9"/>
      <c r="P324" s="9"/>
      <c r="Q324" s="9"/>
      <c r="R324" s="9"/>
      <c r="S324" s="9"/>
      <c r="T324" s="9"/>
      <c r="U324" s="9"/>
      <c r="V324" s="9"/>
      <c r="W324" s="9"/>
      <c r="X324" s="9"/>
      <c r="Y324" s="9"/>
      <c r="Z324" s="9"/>
      <c r="AA324" s="9"/>
      <c r="AB324" s="9"/>
      <c r="AC324" s="9"/>
      <c r="AD324" s="9"/>
      <c r="AE324" s="9"/>
      <c r="AF324" s="9"/>
      <c r="AG324" s="9"/>
      <c r="AH324" s="9"/>
      <c r="AI324" s="9"/>
      <c r="AJ324" s="9"/>
      <c r="AK324" s="9"/>
      <c r="AL324" s="9"/>
      <c r="AM324" s="9"/>
      <c r="AN324" s="10"/>
      <c r="AO324" s="65">
        <f t="shared" si="5"/>
        <v>0</v>
      </c>
    </row>
    <row r="325" spans="2:41" s="4" customFormat="1" ht="24" customHeight="1" x14ac:dyDescent="0.2">
      <c r="B325" s="14"/>
      <c r="C325" s="23"/>
      <c r="D325" s="21"/>
      <c r="E325" s="6"/>
      <c r="F325" s="16" t="str">
        <f>IFERROR(VLOOKUP($E325,設定!$C:$F,2,0),"")</f>
        <v/>
      </c>
      <c r="G325" s="156" t="str">
        <f>IFERROR(VLOOKUP($E325,設定!$C:$F,3,0),"")</f>
        <v/>
      </c>
      <c r="H325" s="131" t="str">
        <f>IFERROR(VLOOKUP($E325,設定!$C:$F,4,0),"")</f>
        <v/>
      </c>
      <c r="I325" s="402"/>
      <c r="J325" s="8"/>
      <c r="K325" s="9"/>
      <c r="L325" s="9"/>
      <c r="M325" s="9"/>
      <c r="N325" s="9"/>
      <c r="O325" s="9"/>
      <c r="P325" s="9"/>
      <c r="Q325" s="9"/>
      <c r="R325" s="9"/>
      <c r="S325" s="9"/>
      <c r="T325" s="9"/>
      <c r="U325" s="9"/>
      <c r="V325" s="9"/>
      <c r="W325" s="9"/>
      <c r="X325" s="9"/>
      <c r="Y325" s="9"/>
      <c r="Z325" s="9"/>
      <c r="AA325" s="9"/>
      <c r="AB325" s="9"/>
      <c r="AC325" s="9"/>
      <c r="AD325" s="9"/>
      <c r="AE325" s="9"/>
      <c r="AF325" s="9"/>
      <c r="AG325" s="9"/>
      <c r="AH325" s="9"/>
      <c r="AI325" s="9"/>
      <c r="AJ325" s="9"/>
      <c r="AK325" s="9"/>
      <c r="AL325" s="9"/>
      <c r="AM325" s="9"/>
      <c r="AN325" s="10"/>
      <c r="AO325" s="65">
        <f t="shared" si="5"/>
        <v>0</v>
      </c>
    </row>
    <row r="326" spans="2:41" s="4" customFormat="1" ht="24" customHeight="1" x14ac:dyDescent="0.2">
      <c r="B326" s="14"/>
      <c r="C326" s="23"/>
      <c r="D326" s="21"/>
      <c r="E326" s="6"/>
      <c r="F326" s="16" t="str">
        <f>IFERROR(VLOOKUP($E326,設定!$C:$F,2,0),"")</f>
        <v/>
      </c>
      <c r="G326" s="156" t="str">
        <f>IFERROR(VLOOKUP($E326,設定!$C:$F,3,0),"")</f>
        <v/>
      </c>
      <c r="H326" s="131" t="str">
        <f>IFERROR(VLOOKUP($E326,設定!$C:$F,4,0),"")</f>
        <v/>
      </c>
      <c r="I326" s="402"/>
      <c r="J326" s="8"/>
      <c r="K326" s="9"/>
      <c r="L326" s="9"/>
      <c r="M326" s="9"/>
      <c r="N326" s="9"/>
      <c r="O326" s="9"/>
      <c r="P326" s="9"/>
      <c r="Q326" s="9"/>
      <c r="R326" s="9"/>
      <c r="S326" s="9"/>
      <c r="T326" s="9"/>
      <c r="U326" s="9"/>
      <c r="V326" s="9"/>
      <c r="W326" s="9"/>
      <c r="X326" s="9"/>
      <c r="Y326" s="9"/>
      <c r="Z326" s="9"/>
      <c r="AA326" s="9"/>
      <c r="AB326" s="9"/>
      <c r="AC326" s="9"/>
      <c r="AD326" s="9"/>
      <c r="AE326" s="9"/>
      <c r="AF326" s="9"/>
      <c r="AG326" s="9"/>
      <c r="AH326" s="9"/>
      <c r="AI326" s="9"/>
      <c r="AJ326" s="9"/>
      <c r="AK326" s="9"/>
      <c r="AL326" s="9"/>
      <c r="AM326" s="9"/>
      <c r="AN326" s="10"/>
      <c r="AO326" s="65">
        <f t="shared" si="5"/>
        <v>0</v>
      </c>
    </row>
    <row r="327" spans="2:41" s="4" customFormat="1" ht="24" customHeight="1" x14ac:dyDescent="0.2">
      <c r="B327" s="14"/>
      <c r="C327" s="23"/>
      <c r="D327" s="21"/>
      <c r="E327" s="6"/>
      <c r="F327" s="16" t="str">
        <f>IFERROR(VLOOKUP($E327,設定!$C:$F,2,0),"")</f>
        <v/>
      </c>
      <c r="G327" s="156" t="str">
        <f>IFERROR(VLOOKUP($E327,設定!$C:$F,3,0),"")</f>
        <v/>
      </c>
      <c r="H327" s="131" t="str">
        <f>IFERROR(VLOOKUP($E327,設定!$C:$F,4,0),"")</f>
        <v/>
      </c>
      <c r="I327" s="402"/>
      <c r="J327" s="8"/>
      <c r="K327" s="9"/>
      <c r="L327" s="9"/>
      <c r="M327" s="9"/>
      <c r="N327" s="9"/>
      <c r="O327" s="9"/>
      <c r="P327" s="9"/>
      <c r="Q327" s="9"/>
      <c r="R327" s="9"/>
      <c r="S327" s="9"/>
      <c r="T327" s="9"/>
      <c r="U327" s="9"/>
      <c r="V327" s="9"/>
      <c r="W327" s="9"/>
      <c r="X327" s="9"/>
      <c r="Y327" s="9"/>
      <c r="Z327" s="9"/>
      <c r="AA327" s="9"/>
      <c r="AB327" s="9"/>
      <c r="AC327" s="9"/>
      <c r="AD327" s="9"/>
      <c r="AE327" s="9"/>
      <c r="AF327" s="9"/>
      <c r="AG327" s="9"/>
      <c r="AH327" s="9"/>
      <c r="AI327" s="9"/>
      <c r="AJ327" s="9"/>
      <c r="AK327" s="9"/>
      <c r="AL327" s="9"/>
      <c r="AM327" s="9"/>
      <c r="AN327" s="10"/>
      <c r="AO327" s="65">
        <f t="shared" ref="AO327:AO390" si="6">I327*SUM(J327:AN327)</f>
        <v>0</v>
      </c>
    </row>
    <row r="328" spans="2:41" s="4" customFormat="1" ht="24" customHeight="1" x14ac:dyDescent="0.2">
      <c r="B328" s="14"/>
      <c r="C328" s="23"/>
      <c r="D328" s="21"/>
      <c r="E328" s="6"/>
      <c r="F328" s="16" t="str">
        <f>IFERROR(VLOOKUP($E328,設定!$C:$F,2,0),"")</f>
        <v/>
      </c>
      <c r="G328" s="156" t="str">
        <f>IFERROR(VLOOKUP($E328,設定!$C:$F,3,0),"")</f>
        <v/>
      </c>
      <c r="H328" s="131" t="str">
        <f>IFERROR(VLOOKUP($E328,設定!$C:$F,4,0),"")</f>
        <v/>
      </c>
      <c r="I328" s="402"/>
      <c r="J328" s="8"/>
      <c r="K328" s="9"/>
      <c r="L328" s="9"/>
      <c r="M328" s="9"/>
      <c r="N328" s="9"/>
      <c r="O328" s="9"/>
      <c r="P328" s="9"/>
      <c r="Q328" s="9"/>
      <c r="R328" s="9"/>
      <c r="S328" s="9"/>
      <c r="T328" s="9"/>
      <c r="U328" s="9"/>
      <c r="V328" s="9"/>
      <c r="W328" s="9"/>
      <c r="X328" s="9"/>
      <c r="Y328" s="9"/>
      <c r="Z328" s="9"/>
      <c r="AA328" s="9"/>
      <c r="AB328" s="9"/>
      <c r="AC328" s="9"/>
      <c r="AD328" s="9"/>
      <c r="AE328" s="9"/>
      <c r="AF328" s="9"/>
      <c r="AG328" s="9"/>
      <c r="AH328" s="9"/>
      <c r="AI328" s="9"/>
      <c r="AJ328" s="9"/>
      <c r="AK328" s="9"/>
      <c r="AL328" s="9"/>
      <c r="AM328" s="9"/>
      <c r="AN328" s="10"/>
      <c r="AO328" s="65">
        <f t="shared" si="6"/>
        <v>0</v>
      </c>
    </row>
    <row r="329" spans="2:41" s="4" customFormat="1" ht="24" customHeight="1" x14ac:dyDescent="0.2">
      <c r="B329" s="14"/>
      <c r="C329" s="23"/>
      <c r="D329" s="21"/>
      <c r="E329" s="6"/>
      <c r="F329" s="16" t="str">
        <f>IFERROR(VLOOKUP($E329,設定!$C:$F,2,0),"")</f>
        <v/>
      </c>
      <c r="G329" s="156" t="str">
        <f>IFERROR(VLOOKUP($E329,設定!$C:$F,3,0),"")</f>
        <v/>
      </c>
      <c r="H329" s="131" t="str">
        <f>IFERROR(VLOOKUP($E329,設定!$C:$F,4,0),"")</f>
        <v/>
      </c>
      <c r="I329" s="402"/>
      <c r="J329" s="8"/>
      <c r="K329" s="9"/>
      <c r="L329" s="9"/>
      <c r="M329" s="9"/>
      <c r="N329" s="9"/>
      <c r="O329" s="9"/>
      <c r="P329" s="9"/>
      <c r="Q329" s="9"/>
      <c r="R329" s="9"/>
      <c r="S329" s="9"/>
      <c r="T329" s="9"/>
      <c r="U329" s="9"/>
      <c r="V329" s="9"/>
      <c r="W329" s="9"/>
      <c r="X329" s="9"/>
      <c r="Y329" s="9"/>
      <c r="Z329" s="9"/>
      <c r="AA329" s="9"/>
      <c r="AB329" s="9"/>
      <c r="AC329" s="9"/>
      <c r="AD329" s="9"/>
      <c r="AE329" s="9"/>
      <c r="AF329" s="9"/>
      <c r="AG329" s="9"/>
      <c r="AH329" s="9"/>
      <c r="AI329" s="9"/>
      <c r="AJ329" s="9"/>
      <c r="AK329" s="9"/>
      <c r="AL329" s="9"/>
      <c r="AM329" s="9"/>
      <c r="AN329" s="10"/>
      <c r="AO329" s="65">
        <f t="shared" si="6"/>
        <v>0</v>
      </c>
    </row>
    <row r="330" spans="2:41" s="4" customFormat="1" ht="24" customHeight="1" x14ac:dyDescent="0.2">
      <c r="B330" s="14"/>
      <c r="C330" s="23"/>
      <c r="D330" s="21"/>
      <c r="E330" s="6"/>
      <c r="F330" s="16" t="str">
        <f>IFERROR(VLOOKUP($E330,設定!$C:$F,2,0),"")</f>
        <v/>
      </c>
      <c r="G330" s="156" t="str">
        <f>IFERROR(VLOOKUP($E330,設定!$C:$F,3,0),"")</f>
        <v/>
      </c>
      <c r="H330" s="131" t="str">
        <f>IFERROR(VLOOKUP($E330,設定!$C:$F,4,0),"")</f>
        <v/>
      </c>
      <c r="I330" s="402"/>
      <c r="J330" s="8"/>
      <c r="K330" s="9"/>
      <c r="L330" s="9"/>
      <c r="M330" s="9"/>
      <c r="N330" s="9"/>
      <c r="O330" s="9"/>
      <c r="P330" s="9"/>
      <c r="Q330" s="9"/>
      <c r="R330" s="9"/>
      <c r="S330" s="9"/>
      <c r="T330" s="9"/>
      <c r="U330" s="9"/>
      <c r="V330" s="9"/>
      <c r="W330" s="9"/>
      <c r="X330" s="9"/>
      <c r="Y330" s="9"/>
      <c r="Z330" s="9"/>
      <c r="AA330" s="9"/>
      <c r="AB330" s="9"/>
      <c r="AC330" s="9"/>
      <c r="AD330" s="9"/>
      <c r="AE330" s="9"/>
      <c r="AF330" s="9"/>
      <c r="AG330" s="9"/>
      <c r="AH330" s="9"/>
      <c r="AI330" s="9"/>
      <c r="AJ330" s="9"/>
      <c r="AK330" s="9"/>
      <c r="AL330" s="9"/>
      <c r="AM330" s="9"/>
      <c r="AN330" s="10"/>
      <c r="AO330" s="65">
        <f t="shared" si="6"/>
        <v>0</v>
      </c>
    </row>
    <row r="331" spans="2:41" s="4" customFormat="1" ht="24" customHeight="1" x14ac:dyDescent="0.2">
      <c r="B331" s="14"/>
      <c r="C331" s="23"/>
      <c r="D331" s="21"/>
      <c r="E331" s="6"/>
      <c r="F331" s="16" t="str">
        <f>IFERROR(VLOOKUP($E331,設定!$C:$F,2,0),"")</f>
        <v/>
      </c>
      <c r="G331" s="156" t="str">
        <f>IFERROR(VLOOKUP($E331,設定!$C:$F,3,0),"")</f>
        <v/>
      </c>
      <c r="H331" s="131" t="str">
        <f>IFERROR(VLOOKUP($E331,設定!$C:$F,4,0),"")</f>
        <v/>
      </c>
      <c r="I331" s="402"/>
      <c r="J331" s="8"/>
      <c r="K331" s="9"/>
      <c r="L331" s="9"/>
      <c r="M331" s="9"/>
      <c r="N331" s="9"/>
      <c r="O331" s="9"/>
      <c r="P331" s="9"/>
      <c r="Q331" s="9"/>
      <c r="R331" s="9"/>
      <c r="S331" s="9"/>
      <c r="T331" s="9"/>
      <c r="U331" s="9"/>
      <c r="V331" s="9"/>
      <c r="W331" s="9"/>
      <c r="X331" s="9"/>
      <c r="Y331" s="9"/>
      <c r="Z331" s="9"/>
      <c r="AA331" s="9"/>
      <c r="AB331" s="9"/>
      <c r="AC331" s="9"/>
      <c r="AD331" s="9"/>
      <c r="AE331" s="9"/>
      <c r="AF331" s="9"/>
      <c r="AG331" s="9"/>
      <c r="AH331" s="9"/>
      <c r="AI331" s="9"/>
      <c r="AJ331" s="9"/>
      <c r="AK331" s="9"/>
      <c r="AL331" s="9"/>
      <c r="AM331" s="9"/>
      <c r="AN331" s="10"/>
      <c r="AO331" s="65">
        <f t="shared" si="6"/>
        <v>0</v>
      </c>
    </row>
    <row r="332" spans="2:41" s="4" customFormat="1" ht="24" customHeight="1" x14ac:dyDescent="0.2">
      <c r="B332" s="14"/>
      <c r="C332" s="23"/>
      <c r="D332" s="21"/>
      <c r="E332" s="6"/>
      <c r="F332" s="16" t="str">
        <f>IFERROR(VLOOKUP($E332,設定!$C:$F,2,0),"")</f>
        <v/>
      </c>
      <c r="G332" s="156" t="str">
        <f>IFERROR(VLOOKUP($E332,設定!$C:$F,3,0),"")</f>
        <v/>
      </c>
      <c r="H332" s="131" t="str">
        <f>IFERROR(VLOOKUP($E332,設定!$C:$F,4,0),"")</f>
        <v/>
      </c>
      <c r="I332" s="402"/>
      <c r="J332" s="8"/>
      <c r="K332" s="9"/>
      <c r="L332" s="9"/>
      <c r="M332" s="9"/>
      <c r="N332" s="9"/>
      <c r="O332" s="9"/>
      <c r="P332" s="9"/>
      <c r="Q332" s="9"/>
      <c r="R332" s="9"/>
      <c r="S332" s="9"/>
      <c r="T332" s="9"/>
      <c r="U332" s="9"/>
      <c r="V332" s="9"/>
      <c r="W332" s="9"/>
      <c r="X332" s="9"/>
      <c r="Y332" s="9"/>
      <c r="Z332" s="9"/>
      <c r="AA332" s="9"/>
      <c r="AB332" s="9"/>
      <c r="AC332" s="9"/>
      <c r="AD332" s="9"/>
      <c r="AE332" s="9"/>
      <c r="AF332" s="9"/>
      <c r="AG332" s="9"/>
      <c r="AH332" s="9"/>
      <c r="AI332" s="9"/>
      <c r="AJ332" s="9"/>
      <c r="AK332" s="9"/>
      <c r="AL332" s="9"/>
      <c r="AM332" s="9"/>
      <c r="AN332" s="10"/>
      <c r="AO332" s="65">
        <f t="shared" si="6"/>
        <v>0</v>
      </c>
    </row>
    <row r="333" spans="2:41" s="4" customFormat="1" ht="24" customHeight="1" x14ac:dyDescent="0.2">
      <c r="B333" s="14"/>
      <c r="C333" s="23"/>
      <c r="D333" s="21"/>
      <c r="E333" s="6"/>
      <c r="F333" s="16" t="str">
        <f>IFERROR(VLOOKUP($E333,設定!$C:$F,2,0),"")</f>
        <v/>
      </c>
      <c r="G333" s="156" t="str">
        <f>IFERROR(VLOOKUP($E333,設定!$C:$F,3,0),"")</f>
        <v/>
      </c>
      <c r="H333" s="131" t="str">
        <f>IFERROR(VLOOKUP($E333,設定!$C:$F,4,0),"")</f>
        <v/>
      </c>
      <c r="I333" s="402"/>
      <c r="J333" s="8"/>
      <c r="K333" s="9"/>
      <c r="L333" s="9"/>
      <c r="M333" s="9"/>
      <c r="N333" s="9"/>
      <c r="O333" s="9"/>
      <c r="P333" s="9"/>
      <c r="Q333" s="9"/>
      <c r="R333" s="9"/>
      <c r="S333" s="9"/>
      <c r="T333" s="9"/>
      <c r="U333" s="9"/>
      <c r="V333" s="9"/>
      <c r="W333" s="9"/>
      <c r="X333" s="9"/>
      <c r="Y333" s="9"/>
      <c r="Z333" s="9"/>
      <c r="AA333" s="9"/>
      <c r="AB333" s="9"/>
      <c r="AC333" s="9"/>
      <c r="AD333" s="9"/>
      <c r="AE333" s="9"/>
      <c r="AF333" s="9"/>
      <c r="AG333" s="9"/>
      <c r="AH333" s="9"/>
      <c r="AI333" s="9"/>
      <c r="AJ333" s="9"/>
      <c r="AK333" s="9"/>
      <c r="AL333" s="9"/>
      <c r="AM333" s="9"/>
      <c r="AN333" s="10"/>
      <c r="AO333" s="65">
        <f t="shared" si="6"/>
        <v>0</v>
      </c>
    </row>
    <row r="334" spans="2:41" s="4" customFormat="1" ht="24" customHeight="1" x14ac:dyDescent="0.2">
      <c r="B334" s="14"/>
      <c r="C334" s="23"/>
      <c r="D334" s="21"/>
      <c r="E334" s="6"/>
      <c r="F334" s="16" t="str">
        <f>IFERROR(VLOOKUP($E334,設定!$C:$F,2,0),"")</f>
        <v/>
      </c>
      <c r="G334" s="156" t="str">
        <f>IFERROR(VLOOKUP($E334,設定!$C:$F,3,0),"")</f>
        <v/>
      </c>
      <c r="H334" s="131" t="str">
        <f>IFERROR(VLOOKUP($E334,設定!$C:$F,4,0),"")</f>
        <v/>
      </c>
      <c r="I334" s="402"/>
      <c r="J334" s="8"/>
      <c r="K334" s="9"/>
      <c r="L334" s="9"/>
      <c r="M334" s="9"/>
      <c r="N334" s="9"/>
      <c r="O334" s="9"/>
      <c r="P334" s="9"/>
      <c r="Q334" s="9"/>
      <c r="R334" s="9"/>
      <c r="S334" s="9"/>
      <c r="T334" s="9"/>
      <c r="U334" s="9"/>
      <c r="V334" s="9"/>
      <c r="W334" s="9"/>
      <c r="X334" s="9"/>
      <c r="Y334" s="9"/>
      <c r="Z334" s="9"/>
      <c r="AA334" s="9"/>
      <c r="AB334" s="9"/>
      <c r="AC334" s="9"/>
      <c r="AD334" s="9"/>
      <c r="AE334" s="9"/>
      <c r="AF334" s="9"/>
      <c r="AG334" s="9"/>
      <c r="AH334" s="9"/>
      <c r="AI334" s="9"/>
      <c r="AJ334" s="9"/>
      <c r="AK334" s="9"/>
      <c r="AL334" s="9"/>
      <c r="AM334" s="9"/>
      <c r="AN334" s="10"/>
      <c r="AO334" s="65">
        <f t="shared" si="6"/>
        <v>0</v>
      </c>
    </row>
    <row r="335" spans="2:41" s="4" customFormat="1" ht="24" customHeight="1" x14ac:dyDescent="0.2">
      <c r="B335" s="14"/>
      <c r="C335" s="23"/>
      <c r="D335" s="21"/>
      <c r="E335" s="6"/>
      <c r="F335" s="16" t="str">
        <f>IFERROR(VLOOKUP($E335,設定!$C:$F,2,0),"")</f>
        <v/>
      </c>
      <c r="G335" s="156" t="str">
        <f>IFERROR(VLOOKUP($E335,設定!$C:$F,3,0),"")</f>
        <v/>
      </c>
      <c r="H335" s="131" t="str">
        <f>IFERROR(VLOOKUP($E335,設定!$C:$F,4,0),"")</f>
        <v/>
      </c>
      <c r="I335" s="402"/>
      <c r="J335" s="8"/>
      <c r="K335" s="9"/>
      <c r="L335" s="9"/>
      <c r="M335" s="9"/>
      <c r="N335" s="9"/>
      <c r="O335" s="9"/>
      <c r="P335" s="9"/>
      <c r="Q335" s="9"/>
      <c r="R335" s="9"/>
      <c r="S335" s="9"/>
      <c r="T335" s="9"/>
      <c r="U335" s="9"/>
      <c r="V335" s="9"/>
      <c r="W335" s="9"/>
      <c r="X335" s="9"/>
      <c r="Y335" s="9"/>
      <c r="Z335" s="9"/>
      <c r="AA335" s="9"/>
      <c r="AB335" s="9"/>
      <c r="AC335" s="9"/>
      <c r="AD335" s="9"/>
      <c r="AE335" s="9"/>
      <c r="AF335" s="9"/>
      <c r="AG335" s="9"/>
      <c r="AH335" s="9"/>
      <c r="AI335" s="9"/>
      <c r="AJ335" s="9"/>
      <c r="AK335" s="9"/>
      <c r="AL335" s="9"/>
      <c r="AM335" s="9"/>
      <c r="AN335" s="10"/>
      <c r="AO335" s="65">
        <f t="shared" si="6"/>
        <v>0</v>
      </c>
    </row>
    <row r="336" spans="2:41" s="4" customFormat="1" ht="24" customHeight="1" x14ac:dyDescent="0.2">
      <c r="B336" s="14"/>
      <c r="C336" s="23"/>
      <c r="D336" s="21"/>
      <c r="E336" s="6"/>
      <c r="F336" s="16" t="str">
        <f>IFERROR(VLOOKUP($E336,設定!$C:$F,2,0),"")</f>
        <v/>
      </c>
      <c r="G336" s="156" t="str">
        <f>IFERROR(VLOOKUP($E336,設定!$C:$F,3,0),"")</f>
        <v/>
      </c>
      <c r="H336" s="131" t="str">
        <f>IFERROR(VLOOKUP($E336,設定!$C:$F,4,0),"")</f>
        <v/>
      </c>
      <c r="I336" s="402"/>
      <c r="J336" s="8"/>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10"/>
      <c r="AO336" s="65">
        <f t="shared" si="6"/>
        <v>0</v>
      </c>
    </row>
    <row r="337" spans="2:41" s="4" customFormat="1" ht="24" customHeight="1" x14ac:dyDescent="0.2">
      <c r="B337" s="14"/>
      <c r="C337" s="23"/>
      <c r="D337" s="21"/>
      <c r="E337" s="6"/>
      <c r="F337" s="16" t="str">
        <f>IFERROR(VLOOKUP($E337,設定!$C:$F,2,0),"")</f>
        <v/>
      </c>
      <c r="G337" s="156" t="str">
        <f>IFERROR(VLOOKUP($E337,設定!$C:$F,3,0),"")</f>
        <v/>
      </c>
      <c r="H337" s="131" t="str">
        <f>IFERROR(VLOOKUP($E337,設定!$C:$F,4,0),"")</f>
        <v/>
      </c>
      <c r="I337" s="402"/>
      <c r="J337" s="8"/>
      <c r="K337" s="9"/>
      <c r="L337" s="9"/>
      <c r="M337" s="9"/>
      <c r="N337" s="9"/>
      <c r="O337" s="9"/>
      <c r="P337" s="9"/>
      <c r="Q337" s="9"/>
      <c r="R337" s="9"/>
      <c r="S337" s="9"/>
      <c r="T337" s="9"/>
      <c r="U337" s="9"/>
      <c r="V337" s="9"/>
      <c r="W337" s="9"/>
      <c r="X337" s="9"/>
      <c r="Y337" s="9"/>
      <c r="Z337" s="9"/>
      <c r="AA337" s="9"/>
      <c r="AB337" s="9"/>
      <c r="AC337" s="9"/>
      <c r="AD337" s="9"/>
      <c r="AE337" s="9"/>
      <c r="AF337" s="9"/>
      <c r="AG337" s="9"/>
      <c r="AH337" s="9"/>
      <c r="AI337" s="9"/>
      <c r="AJ337" s="9"/>
      <c r="AK337" s="9"/>
      <c r="AL337" s="9"/>
      <c r="AM337" s="9"/>
      <c r="AN337" s="10"/>
      <c r="AO337" s="65">
        <f t="shared" si="6"/>
        <v>0</v>
      </c>
    </row>
    <row r="338" spans="2:41" s="4" customFormat="1" ht="24" customHeight="1" x14ac:dyDescent="0.2">
      <c r="B338" s="14"/>
      <c r="C338" s="23"/>
      <c r="D338" s="21"/>
      <c r="E338" s="6"/>
      <c r="F338" s="16" t="str">
        <f>IFERROR(VLOOKUP($E338,設定!$C:$F,2,0),"")</f>
        <v/>
      </c>
      <c r="G338" s="156" t="str">
        <f>IFERROR(VLOOKUP($E338,設定!$C:$F,3,0),"")</f>
        <v/>
      </c>
      <c r="H338" s="131" t="str">
        <f>IFERROR(VLOOKUP($E338,設定!$C:$F,4,0),"")</f>
        <v/>
      </c>
      <c r="I338" s="402"/>
      <c r="J338" s="8"/>
      <c r="K338" s="9"/>
      <c r="L338" s="9"/>
      <c r="M338" s="9"/>
      <c r="N338" s="9"/>
      <c r="O338" s="9"/>
      <c r="P338" s="9"/>
      <c r="Q338" s="9"/>
      <c r="R338" s="9"/>
      <c r="S338" s="9"/>
      <c r="T338" s="9"/>
      <c r="U338" s="9"/>
      <c r="V338" s="9"/>
      <c r="W338" s="9"/>
      <c r="X338" s="9"/>
      <c r="Y338" s="9"/>
      <c r="Z338" s="9"/>
      <c r="AA338" s="9"/>
      <c r="AB338" s="9"/>
      <c r="AC338" s="9"/>
      <c r="AD338" s="9"/>
      <c r="AE338" s="9"/>
      <c r="AF338" s="9"/>
      <c r="AG338" s="9"/>
      <c r="AH338" s="9"/>
      <c r="AI338" s="9"/>
      <c r="AJ338" s="9"/>
      <c r="AK338" s="9"/>
      <c r="AL338" s="9"/>
      <c r="AM338" s="9"/>
      <c r="AN338" s="10"/>
      <c r="AO338" s="65">
        <f t="shared" si="6"/>
        <v>0</v>
      </c>
    </row>
    <row r="339" spans="2:41" s="4" customFormat="1" ht="24" customHeight="1" x14ac:dyDescent="0.2">
      <c r="B339" s="14"/>
      <c r="C339" s="23"/>
      <c r="D339" s="21"/>
      <c r="E339" s="6"/>
      <c r="F339" s="16" t="str">
        <f>IFERROR(VLOOKUP($E339,設定!$C:$F,2,0),"")</f>
        <v/>
      </c>
      <c r="G339" s="156" t="str">
        <f>IFERROR(VLOOKUP($E339,設定!$C:$F,3,0),"")</f>
        <v/>
      </c>
      <c r="H339" s="131" t="str">
        <f>IFERROR(VLOOKUP($E339,設定!$C:$F,4,0),"")</f>
        <v/>
      </c>
      <c r="I339" s="402"/>
      <c r="J339" s="8"/>
      <c r="K339" s="9"/>
      <c r="L339" s="9"/>
      <c r="M339" s="9"/>
      <c r="N339" s="9"/>
      <c r="O339" s="9"/>
      <c r="P339" s="9"/>
      <c r="Q339" s="9"/>
      <c r="R339" s="9"/>
      <c r="S339" s="9"/>
      <c r="T339" s="9"/>
      <c r="U339" s="9"/>
      <c r="V339" s="9"/>
      <c r="W339" s="9"/>
      <c r="X339" s="9"/>
      <c r="Y339" s="9"/>
      <c r="Z339" s="9"/>
      <c r="AA339" s="9"/>
      <c r="AB339" s="9"/>
      <c r="AC339" s="9"/>
      <c r="AD339" s="9"/>
      <c r="AE339" s="9"/>
      <c r="AF339" s="9"/>
      <c r="AG339" s="9"/>
      <c r="AH339" s="9"/>
      <c r="AI339" s="9"/>
      <c r="AJ339" s="9"/>
      <c r="AK339" s="9"/>
      <c r="AL339" s="9"/>
      <c r="AM339" s="9"/>
      <c r="AN339" s="10"/>
      <c r="AO339" s="65">
        <f t="shared" si="6"/>
        <v>0</v>
      </c>
    </row>
    <row r="340" spans="2:41" s="4" customFormat="1" ht="24" customHeight="1" x14ac:dyDescent="0.2">
      <c r="B340" s="14"/>
      <c r="C340" s="23"/>
      <c r="D340" s="21"/>
      <c r="E340" s="6"/>
      <c r="F340" s="16" t="str">
        <f>IFERROR(VLOOKUP($E340,設定!$C:$F,2,0),"")</f>
        <v/>
      </c>
      <c r="G340" s="156" t="str">
        <f>IFERROR(VLOOKUP($E340,設定!$C:$F,3,0),"")</f>
        <v/>
      </c>
      <c r="H340" s="131" t="str">
        <f>IFERROR(VLOOKUP($E340,設定!$C:$F,4,0),"")</f>
        <v/>
      </c>
      <c r="I340" s="402"/>
      <c r="J340" s="8"/>
      <c r="K340" s="9"/>
      <c r="L340" s="9"/>
      <c r="M340" s="9"/>
      <c r="N340" s="9"/>
      <c r="O340" s="9"/>
      <c r="P340" s="9"/>
      <c r="Q340" s="9"/>
      <c r="R340" s="9"/>
      <c r="S340" s="9"/>
      <c r="T340" s="9"/>
      <c r="U340" s="9"/>
      <c r="V340" s="9"/>
      <c r="W340" s="9"/>
      <c r="X340" s="9"/>
      <c r="Y340" s="9"/>
      <c r="Z340" s="9"/>
      <c r="AA340" s="9"/>
      <c r="AB340" s="9"/>
      <c r="AC340" s="9"/>
      <c r="AD340" s="9"/>
      <c r="AE340" s="9"/>
      <c r="AF340" s="9"/>
      <c r="AG340" s="9"/>
      <c r="AH340" s="9"/>
      <c r="AI340" s="9"/>
      <c r="AJ340" s="9"/>
      <c r="AK340" s="9"/>
      <c r="AL340" s="9"/>
      <c r="AM340" s="9"/>
      <c r="AN340" s="10"/>
      <c r="AO340" s="65">
        <f t="shared" si="6"/>
        <v>0</v>
      </c>
    </row>
    <row r="341" spans="2:41" s="4" customFormat="1" ht="24" customHeight="1" x14ac:dyDescent="0.2">
      <c r="B341" s="14"/>
      <c r="C341" s="23"/>
      <c r="D341" s="21"/>
      <c r="E341" s="6"/>
      <c r="F341" s="16" t="str">
        <f>IFERROR(VLOOKUP($E341,設定!$C:$F,2,0),"")</f>
        <v/>
      </c>
      <c r="G341" s="156" t="str">
        <f>IFERROR(VLOOKUP($E341,設定!$C:$F,3,0),"")</f>
        <v/>
      </c>
      <c r="H341" s="131" t="str">
        <f>IFERROR(VLOOKUP($E341,設定!$C:$F,4,0),"")</f>
        <v/>
      </c>
      <c r="I341" s="402"/>
      <c r="J341" s="8"/>
      <c r="K341" s="9"/>
      <c r="L341" s="9"/>
      <c r="M341" s="9"/>
      <c r="N341" s="9"/>
      <c r="O341" s="9"/>
      <c r="P341" s="9"/>
      <c r="Q341" s="9"/>
      <c r="R341" s="9"/>
      <c r="S341" s="9"/>
      <c r="T341" s="9"/>
      <c r="U341" s="9"/>
      <c r="V341" s="9"/>
      <c r="W341" s="9"/>
      <c r="X341" s="9"/>
      <c r="Y341" s="9"/>
      <c r="Z341" s="9"/>
      <c r="AA341" s="9"/>
      <c r="AB341" s="9"/>
      <c r="AC341" s="9"/>
      <c r="AD341" s="9"/>
      <c r="AE341" s="9"/>
      <c r="AF341" s="9"/>
      <c r="AG341" s="9"/>
      <c r="AH341" s="9"/>
      <c r="AI341" s="9"/>
      <c r="AJ341" s="9"/>
      <c r="AK341" s="9"/>
      <c r="AL341" s="9"/>
      <c r="AM341" s="9"/>
      <c r="AN341" s="10"/>
      <c r="AO341" s="65">
        <f t="shared" si="6"/>
        <v>0</v>
      </c>
    </row>
    <row r="342" spans="2:41" s="4" customFormat="1" ht="24" customHeight="1" x14ac:dyDescent="0.2">
      <c r="B342" s="14"/>
      <c r="C342" s="23"/>
      <c r="D342" s="21"/>
      <c r="E342" s="6"/>
      <c r="F342" s="16" t="str">
        <f>IFERROR(VLOOKUP($E342,設定!$C:$F,2,0),"")</f>
        <v/>
      </c>
      <c r="G342" s="156" t="str">
        <f>IFERROR(VLOOKUP($E342,設定!$C:$F,3,0),"")</f>
        <v/>
      </c>
      <c r="H342" s="131" t="str">
        <f>IFERROR(VLOOKUP($E342,設定!$C:$F,4,0),"")</f>
        <v/>
      </c>
      <c r="I342" s="402"/>
      <c r="J342" s="8"/>
      <c r="K342" s="9"/>
      <c r="L342" s="9"/>
      <c r="M342" s="9"/>
      <c r="N342" s="9"/>
      <c r="O342" s="9"/>
      <c r="P342" s="9"/>
      <c r="Q342" s="9"/>
      <c r="R342" s="9"/>
      <c r="S342" s="9"/>
      <c r="T342" s="9"/>
      <c r="U342" s="9"/>
      <c r="V342" s="9"/>
      <c r="W342" s="9"/>
      <c r="X342" s="9"/>
      <c r="Y342" s="9"/>
      <c r="Z342" s="9"/>
      <c r="AA342" s="9"/>
      <c r="AB342" s="9"/>
      <c r="AC342" s="9"/>
      <c r="AD342" s="9"/>
      <c r="AE342" s="9"/>
      <c r="AF342" s="9"/>
      <c r="AG342" s="9"/>
      <c r="AH342" s="9"/>
      <c r="AI342" s="9"/>
      <c r="AJ342" s="9"/>
      <c r="AK342" s="9"/>
      <c r="AL342" s="9"/>
      <c r="AM342" s="9"/>
      <c r="AN342" s="10"/>
      <c r="AO342" s="65">
        <f t="shared" si="6"/>
        <v>0</v>
      </c>
    </row>
    <row r="343" spans="2:41" s="4" customFormat="1" ht="24" customHeight="1" x14ac:dyDescent="0.2">
      <c r="B343" s="14"/>
      <c r="C343" s="23"/>
      <c r="D343" s="21"/>
      <c r="E343" s="6"/>
      <c r="F343" s="16" t="str">
        <f>IFERROR(VLOOKUP($E343,設定!$C:$F,2,0),"")</f>
        <v/>
      </c>
      <c r="G343" s="156" t="str">
        <f>IFERROR(VLOOKUP($E343,設定!$C:$F,3,0),"")</f>
        <v/>
      </c>
      <c r="H343" s="131" t="str">
        <f>IFERROR(VLOOKUP($E343,設定!$C:$F,4,0),"")</f>
        <v/>
      </c>
      <c r="I343" s="402"/>
      <c r="J343" s="8"/>
      <c r="K343" s="9"/>
      <c r="L343" s="9"/>
      <c r="M343" s="9"/>
      <c r="N343" s="9"/>
      <c r="O343" s="9"/>
      <c r="P343" s="9"/>
      <c r="Q343" s="9"/>
      <c r="R343" s="9"/>
      <c r="S343" s="9"/>
      <c r="T343" s="9"/>
      <c r="U343" s="9"/>
      <c r="V343" s="9"/>
      <c r="W343" s="9"/>
      <c r="X343" s="9"/>
      <c r="Y343" s="9"/>
      <c r="Z343" s="9"/>
      <c r="AA343" s="9"/>
      <c r="AB343" s="9"/>
      <c r="AC343" s="9"/>
      <c r="AD343" s="9"/>
      <c r="AE343" s="9"/>
      <c r="AF343" s="9"/>
      <c r="AG343" s="9"/>
      <c r="AH343" s="9"/>
      <c r="AI343" s="9"/>
      <c r="AJ343" s="9"/>
      <c r="AK343" s="9"/>
      <c r="AL343" s="9"/>
      <c r="AM343" s="9"/>
      <c r="AN343" s="10"/>
      <c r="AO343" s="65">
        <f t="shared" si="6"/>
        <v>0</v>
      </c>
    </row>
    <row r="344" spans="2:41" s="4" customFormat="1" ht="24" customHeight="1" x14ac:dyDescent="0.2">
      <c r="B344" s="14"/>
      <c r="C344" s="23"/>
      <c r="D344" s="21"/>
      <c r="E344" s="6"/>
      <c r="F344" s="16" t="str">
        <f>IFERROR(VLOOKUP($E344,設定!$C:$F,2,0),"")</f>
        <v/>
      </c>
      <c r="G344" s="156" t="str">
        <f>IFERROR(VLOOKUP($E344,設定!$C:$F,3,0),"")</f>
        <v/>
      </c>
      <c r="H344" s="131" t="str">
        <f>IFERROR(VLOOKUP($E344,設定!$C:$F,4,0),"")</f>
        <v/>
      </c>
      <c r="I344" s="402"/>
      <c r="J344" s="8"/>
      <c r="K344" s="9"/>
      <c r="L344" s="9"/>
      <c r="M344" s="9"/>
      <c r="N344" s="9"/>
      <c r="O344" s="9"/>
      <c r="P344" s="9"/>
      <c r="Q344" s="9"/>
      <c r="R344" s="9"/>
      <c r="S344" s="9"/>
      <c r="T344" s="9"/>
      <c r="U344" s="9"/>
      <c r="V344" s="9"/>
      <c r="W344" s="9"/>
      <c r="X344" s="9"/>
      <c r="Y344" s="9"/>
      <c r="Z344" s="9"/>
      <c r="AA344" s="9"/>
      <c r="AB344" s="9"/>
      <c r="AC344" s="9"/>
      <c r="AD344" s="9"/>
      <c r="AE344" s="9"/>
      <c r="AF344" s="9"/>
      <c r="AG344" s="9"/>
      <c r="AH344" s="9"/>
      <c r="AI344" s="9"/>
      <c r="AJ344" s="9"/>
      <c r="AK344" s="9"/>
      <c r="AL344" s="9"/>
      <c r="AM344" s="9"/>
      <c r="AN344" s="10"/>
      <c r="AO344" s="65">
        <f t="shared" si="6"/>
        <v>0</v>
      </c>
    </row>
    <row r="345" spans="2:41" s="4" customFormat="1" ht="24" customHeight="1" x14ac:dyDescent="0.2">
      <c r="B345" s="14"/>
      <c r="C345" s="23"/>
      <c r="D345" s="21"/>
      <c r="E345" s="6"/>
      <c r="F345" s="16" t="str">
        <f>IFERROR(VLOOKUP($E345,設定!$C:$F,2,0),"")</f>
        <v/>
      </c>
      <c r="G345" s="156" t="str">
        <f>IFERROR(VLOOKUP($E345,設定!$C:$F,3,0),"")</f>
        <v/>
      </c>
      <c r="H345" s="131" t="str">
        <f>IFERROR(VLOOKUP($E345,設定!$C:$F,4,0),"")</f>
        <v/>
      </c>
      <c r="I345" s="402"/>
      <c r="J345" s="8"/>
      <c r="K345" s="9"/>
      <c r="L345" s="9"/>
      <c r="M345" s="9"/>
      <c r="N345" s="9"/>
      <c r="O345" s="9"/>
      <c r="P345" s="9"/>
      <c r="Q345" s="9"/>
      <c r="R345" s="9"/>
      <c r="S345" s="9"/>
      <c r="T345" s="9"/>
      <c r="U345" s="9"/>
      <c r="V345" s="9"/>
      <c r="W345" s="9"/>
      <c r="X345" s="9"/>
      <c r="Y345" s="9"/>
      <c r="Z345" s="9"/>
      <c r="AA345" s="9"/>
      <c r="AB345" s="9"/>
      <c r="AC345" s="9"/>
      <c r="AD345" s="9"/>
      <c r="AE345" s="9"/>
      <c r="AF345" s="9"/>
      <c r="AG345" s="9"/>
      <c r="AH345" s="9"/>
      <c r="AI345" s="9"/>
      <c r="AJ345" s="9"/>
      <c r="AK345" s="9"/>
      <c r="AL345" s="9"/>
      <c r="AM345" s="9"/>
      <c r="AN345" s="10"/>
      <c r="AO345" s="65">
        <f t="shared" si="6"/>
        <v>0</v>
      </c>
    </row>
    <row r="346" spans="2:41" s="4" customFormat="1" ht="24" customHeight="1" x14ac:dyDescent="0.2">
      <c r="B346" s="14"/>
      <c r="C346" s="23"/>
      <c r="D346" s="21"/>
      <c r="E346" s="6"/>
      <c r="F346" s="16" t="str">
        <f>IFERROR(VLOOKUP($E346,設定!$C:$F,2,0),"")</f>
        <v/>
      </c>
      <c r="G346" s="156" t="str">
        <f>IFERROR(VLOOKUP($E346,設定!$C:$F,3,0),"")</f>
        <v/>
      </c>
      <c r="H346" s="131" t="str">
        <f>IFERROR(VLOOKUP($E346,設定!$C:$F,4,0),"")</f>
        <v/>
      </c>
      <c r="I346" s="402"/>
      <c r="J346" s="8"/>
      <c r="K346" s="9"/>
      <c r="L346" s="9"/>
      <c r="M346" s="9"/>
      <c r="N346" s="9"/>
      <c r="O346" s="9"/>
      <c r="P346" s="9"/>
      <c r="Q346" s="9"/>
      <c r="R346" s="9"/>
      <c r="S346" s="9"/>
      <c r="T346" s="9"/>
      <c r="U346" s="9"/>
      <c r="V346" s="9"/>
      <c r="W346" s="9"/>
      <c r="X346" s="9"/>
      <c r="Y346" s="9"/>
      <c r="Z346" s="9"/>
      <c r="AA346" s="9"/>
      <c r="AB346" s="9"/>
      <c r="AC346" s="9"/>
      <c r="AD346" s="9"/>
      <c r="AE346" s="9"/>
      <c r="AF346" s="9"/>
      <c r="AG346" s="9"/>
      <c r="AH346" s="9"/>
      <c r="AI346" s="9"/>
      <c r="AJ346" s="9"/>
      <c r="AK346" s="9"/>
      <c r="AL346" s="9"/>
      <c r="AM346" s="9"/>
      <c r="AN346" s="10"/>
      <c r="AO346" s="65">
        <f t="shared" si="6"/>
        <v>0</v>
      </c>
    </row>
    <row r="347" spans="2:41" s="4" customFormat="1" ht="24" customHeight="1" x14ac:dyDescent="0.2">
      <c r="B347" s="14"/>
      <c r="C347" s="23"/>
      <c r="D347" s="21"/>
      <c r="E347" s="6"/>
      <c r="F347" s="16" t="str">
        <f>IFERROR(VLOOKUP($E347,設定!$C:$F,2,0),"")</f>
        <v/>
      </c>
      <c r="G347" s="156" t="str">
        <f>IFERROR(VLOOKUP($E347,設定!$C:$F,3,0),"")</f>
        <v/>
      </c>
      <c r="H347" s="131" t="str">
        <f>IFERROR(VLOOKUP($E347,設定!$C:$F,4,0),"")</f>
        <v/>
      </c>
      <c r="I347" s="402"/>
      <c r="J347" s="8"/>
      <c r="K347" s="9"/>
      <c r="L347" s="9"/>
      <c r="M347" s="9"/>
      <c r="N347" s="9"/>
      <c r="O347" s="9"/>
      <c r="P347" s="9"/>
      <c r="Q347" s="9"/>
      <c r="R347" s="9"/>
      <c r="S347" s="9"/>
      <c r="T347" s="9"/>
      <c r="U347" s="9"/>
      <c r="V347" s="9"/>
      <c r="W347" s="9"/>
      <c r="X347" s="9"/>
      <c r="Y347" s="9"/>
      <c r="Z347" s="9"/>
      <c r="AA347" s="9"/>
      <c r="AB347" s="9"/>
      <c r="AC347" s="9"/>
      <c r="AD347" s="9"/>
      <c r="AE347" s="9"/>
      <c r="AF347" s="9"/>
      <c r="AG347" s="9"/>
      <c r="AH347" s="9"/>
      <c r="AI347" s="9"/>
      <c r="AJ347" s="9"/>
      <c r="AK347" s="9"/>
      <c r="AL347" s="9"/>
      <c r="AM347" s="9"/>
      <c r="AN347" s="10"/>
      <c r="AO347" s="65">
        <f t="shared" si="6"/>
        <v>0</v>
      </c>
    </row>
    <row r="348" spans="2:41" s="4" customFormat="1" ht="24" customHeight="1" x14ac:dyDescent="0.2">
      <c r="B348" s="14"/>
      <c r="C348" s="23"/>
      <c r="D348" s="21"/>
      <c r="E348" s="6"/>
      <c r="F348" s="16" t="str">
        <f>IFERROR(VLOOKUP($E348,設定!$C:$F,2,0),"")</f>
        <v/>
      </c>
      <c r="G348" s="156" t="str">
        <f>IFERROR(VLOOKUP($E348,設定!$C:$F,3,0),"")</f>
        <v/>
      </c>
      <c r="H348" s="131" t="str">
        <f>IFERROR(VLOOKUP($E348,設定!$C:$F,4,0),"")</f>
        <v/>
      </c>
      <c r="I348" s="402"/>
      <c r="J348" s="8"/>
      <c r="K348" s="9"/>
      <c r="L348" s="9"/>
      <c r="M348" s="9"/>
      <c r="N348" s="9"/>
      <c r="O348" s="9"/>
      <c r="P348" s="9"/>
      <c r="Q348" s="9"/>
      <c r="R348" s="9"/>
      <c r="S348" s="9"/>
      <c r="T348" s="9"/>
      <c r="U348" s="9"/>
      <c r="V348" s="9"/>
      <c r="W348" s="9"/>
      <c r="X348" s="9"/>
      <c r="Y348" s="9"/>
      <c r="Z348" s="9"/>
      <c r="AA348" s="9"/>
      <c r="AB348" s="9"/>
      <c r="AC348" s="9"/>
      <c r="AD348" s="9"/>
      <c r="AE348" s="9"/>
      <c r="AF348" s="9"/>
      <c r="AG348" s="9"/>
      <c r="AH348" s="9"/>
      <c r="AI348" s="9"/>
      <c r="AJ348" s="9"/>
      <c r="AK348" s="9"/>
      <c r="AL348" s="9"/>
      <c r="AM348" s="9"/>
      <c r="AN348" s="10"/>
      <c r="AO348" s="65">
        <f t="shared" si="6"/>
        <v>0</v>
      </c>
    </row>
    <row r="349" spans="2:41" s="4" customFormat="1" ht="24" customHeight="1" x14ac:dyDescent="0.2">
      <c r="B349" s="14"/>
      <c r="C349" s="23"/>
      <c r="D349" s="21"/>
      <c r="E349" s="6"/>
      <c r="F349" s="16" t="str">
        <f>IFERROR(VLOOKUP($E349,設定!$C:$F,2,0),"")</f>
        <v/>
      </c>
      <c r="G349" s="156" t="str">
        <f>IFERROR(VLOOKUP($E349,設定!$C:$F,3,0),"")</f>
        <v/>
      </c>
      <c r="H349" s="131" t="str">
        <f>IFERROR(VLOOKUP($E349,設定!$C:$F,4,0),"")</f>
        <v/>
      </c>
      <c r="I349" s="402"/>
      <c r="J349" s="8"/>
      <c r="K349" s="9"/>
      <c r="L349" s="9"/>
      <c r="M349" s="9"/>
      <c r="N349" s="9"/>
      <c r="O349" s="9"/>
      <c r="P349" s="9"/>
      <c r="Q349" s="9"/>
      <c r="R349" s="9"/>
      <c r="S349" s="9"/>
      <c r="T349" s="9"/>
      <c r="U349" s="9"/>
      <c r="V349" s="9"/>
      <c r="W349" s="9"/>
      <c r="X349" s="9"/>
      <c r="Y349" s="9"/>
      <c r="Z349" s="9"/>
      <c r="AA349" s="9"/>
      <c r="AB349" s="9"/>
      <c r="AC349" s="9"/>
      <c r="AD349" s="9"/>
      <c r="AE349" s="9"/>
      <c r="AF349" s="9"/>
      <c r="AG349" s="9"/>
      <c r="AH349" s="9"/>
      <c r="AI349" s="9"/>
      <c r="AJ349" s="9"/>
      <c r="AK349" s="9"/>
      <c r="AL349" s="9"/>
      <c r="AM349" s="9"/>
      <c r="AN349" s="10"/>
      <c r="AO349" s="65">
        <f t="shared" si="6"/>
        <v>0</v>
      </c>
    </row>
    <row r="350" spans="2:41" s="4" customFormat="1" ht="24" customHeight="1" x14ac:dyDescent="0.2">
      <c r="B350" s="14"/>
      <c r="C350" s="23"/>
      <c r="D350" s="21"/>
      <c r="E350" s="6"/>
      <c r="F350" s="16" t="str">
        <f>IFERROR(VLOOKUP($E350,設定!$C:$F,2,0),"")</f>
        <v/>
      </c>
      <c r="G350" s="156" t="str">
        <f>IFERROR(VLOOKUP($E350,設定!$C:$F,3,0),"")</f>
        <v/>
      </c>
      <c r="H350" s="131" t="str">
        <f>IFERROR(VLOOKUP($E350,設定!$C:$F,4,0),"")</f>
        <v/>
      </c>
      <c r="I350" s="402"/>
      <c r="J350" s="8"/>
      <c r="K350" s="9"/>
      <c r="L350" s="9"/>
      <c r="M350" s="9"/>
      <c r="N350" s="9"/>
      <c r="O350" s="9"/>
      <c r="P350" s="9"/>
      <c r="Q350" s="9"/>
      <c r="R350" s="9"/>
      <c r="S350" s="9"/>
      <c r="T350" s="9"/>
      <c r="U350" s="9"/>
      <c r="V350" s="9"/>
      <c r="W350" s="9"/>
      <c r="X350" s="9"/>
      <c r="Y350" s="9"/>
      <c r="Z350" s="9"/>
      <c r="AA350" s="9"/>
      <c r="AB350" s="9"/>
      <c r="AC350" s="9"/>
      <c r="AD350" s="9"/>
      <c r="AE350" s="9"/>
      <c r="AF350" s="9"/>
      <c r="AG350" s="9"/>
      <c r="AH350" s="9"/>
      <c r="AI350" s="9"/>
      <c r="AJ350" s="9"/>
      <c r="AK350" s="9"/>
      <c r="AL350" s="9"/>
      <c r="AM350" s="9"/>
      <c r="AN350" s="10"/>
      <c r="AO350" s="65">
        <f t="shared" si="6"/>
        <v>0</v>
      </c>
    </row>
    <row r="351" spans="2:41" s="4" customFormat="1" ht="24" customHeight="1" x14ac:dyDescent="0.2">
      <c r="B351" s="14"/>
      <c r="C351" s="23"/>
      <c r="D351" s="21"/>
      <c r="E351" s="6"/>
      <c r="F351" s="16" t="str">
        <f>IFERROR(VLOOKUP($E351,設定!$C:$F,2,0),"")</f>
        <v/>
      </c>
      <c r="G351" s="156" t="str">
        <f>IFERROR(VLOOKUP($E351,設定!$C:$F,3,0),"")</f>
        <v/>
      </c>
      <c r="H351" s="131" t="str">
        <f>IFERROR(VLOOKUP($E351,設定!$C:$F,4,0),"")</f>
        <v/>
      </c>
      <c r="I351" s="402"/>
      <c r="J351" s="8"/>
      <c r="K351" s="9"/>
      <c r="L351" s="9"/>
      <c r="M351" s="9"/>
      <c r="N351" s="9"/>
      <c r="O351" s="9"/>
      <c r="P351" s="9"/>
      <c r="Q351" s="9"/>
      <c r="R351" s="9"/>
      <c r="S351" s="9"/>
      <c r="T351" s="9"/>
      <c r="U351" s="9"/>
      <c r="V351" s="9"/>
      <c r="W351" s="9"/>
      <c r="X351" s="9"/>
      <c r="Y351" s="9"/>
      <c r="Z351" s="9"/>
      <c r="AA351" s="9"/>
      <c r="AB351" s="9"/>
      <c r="AC351" s="9"/>
      <c r="AD351" s="9"/>
      <c r="AE351" s="9"/>
      <c r="AF351" s="9"/>
      <c r="AG351" s="9"/>
      <c r="AH351" s="9"/>
      <c r="AI351" s="9"/>
      <c r="AJ351" s="9"/>
      <c r="AK351" s="9"/>
      <c r="AL351" s="9"/>
      <c r="AM351" s="9"/>
      <c r="AN351" s="10"/>
      <c r="AO351" s="65">
        <f t="shared" si="6"/>
        <v>0</v>
      </c>
    </row>
    <row r="352" spans="2:41" s="4" customFormat="1" ht="24" customHeight="1" x14ac:dyDescent="0.2">
      <c r="B352" s="14"/>
      <c r="C352" s="23"/>
      <c r="D352" s="21"/>
      <c r="E352" s="6"/>
      <c r="F352" s="16" t="str">
        <f>IFERROR(VLOOKUP($E352,設定!$C:$F,2,0),"")</f>
        <v/>
      </c>
      <c r="G352" s="156" t="str">
        <f>IFERROR(VLOOKUP($E352,設定!$C:$F,3,0),"")</f>
        <v/>
      </c>
      <c r="H352" s="131" t="str">
        <f>IFERROR(VLOOKUP($E352,設定!$C:$F,4,0),"")</f>
        <v/>
      </c>
      <c r="I352" s="402"/>
      <c r="J352" s="8"/>
      <c r="K352" s="9"/>
      <c r="L352" s="9"/>
      <c r="M352" s="9"/>
      <c r="N352" s="9"/>
      <c r="O352" s="9"/>
      <c r="P352" s="9"/>
      <c r="Q352" s="9"/>
      <c r="R352" s="9"/>
      <c r="S352" s="9"/>
      <c r="T352" s="9"/>
      <c r="U352" s="9"/>
      <c r="V352" s="9"/>
      <c r="W352" s="9"/>
      <c r="X352" s="9"/>
      <c r="Y352" s="9"/>
      <c r="Z352" s="9"/>
      <c r="AA352" s="9"/>
      <c r="AB352" s="9"/>
      <c r="AC352" s="9"/>
      <c r="AD352" s="9"/>
      <c r="AE352" s="9"/>
      <c r="AF352" s="9"/>
      <c r="AG352" s="9"/>
      <c r="AH352" s="9"/>
      <c r="AI352" s="9"/>
      <c r="AJ352" s="9"/>
      <c r="AK352" s="9"/>
      <c r="AL352" s="9"/>
      <c r="AM352" s="9"/>
      <c r="AN352" s="10"/>
      <c r="AO352" s="65">
        <f t="shared" si="6"/>
        <v>0</v>
      </c>
    </row>
    <row r="353" spans="2:41" s="4" customFormat="1" ht="24" customHeight="1" x14ac:dyDescent="0.2">
      <c r="B353" s="14"/>
      <c r="C353" s="23"/>
      <c r="D353" s="21"/>
      <c r="E353" s="6"/>
      <c r="F353" s="16" t="str">
        <f>IFERROR(VLOOKUP($E353,設定!$C:$F,2,0),"")</f>
        <v/>
      </c>
      <c r="G353" s="156" t="str">
        <f>IFERROR(VLOOKUP($E353,設定!$C:$F,3,0),"")</f>
        <v/>
      </c>
      <c r="H353" s="131" t="str">
        <f>IFERROR(VLOOKUP($E353,設定!$C:$F,4,0),"")</f>
        <v/>
      </c>
      <c r="I353" s="402"/>
      <c r="J353" s="8"/>
      <c r="K353" s="9"/>
      <c r="L353" s="9"/>
      <c r="M353" s="9"/>
      <c r="N353" s="9"/>
      <c r="O353" s="9"/>
      <c r="P353" s="9"/>
      <c r="Q353" s="9"/>
      <c r="R353" s="9"/>
      <c r="S353" s="9"/>
      <c r="T353" s="9"/>
      <c r="U353" s="9"/>
      <c r="V353" s="9"/>
      <c r="W353" s="9"/>
      <c r="X353" s="9"/>
      <c r="Y353" s="9"/>
      <c r="Z353" s="9"/>
      <c r="AA353" s="9"/>
      <c r="AB353" s="9"/>
      <c r="AC353" s="9"/>
      <c r="AD353" s="9"/>
      <c r="AE353" s="9"/>
      <c r="AF353" s="9"/>
      <c r="AG353" s="9"/>
      <c r="AH353" s="9"/>
      <c r="AI353" s="9"/>
      <c r="AJ353" s="9"/>
      <c r="AK353" s="9"/>
      <c r="AL353" s="9"/>
      <c r="AM353" s="9"/>
      <c r="AN353" s="10"/>
      <c r="AO353" s="65">
        <f t="shared" si="6"/>
        <v>0</v>
      </c>
    </row>
    <row r="354" spans="2:41" s="4" customFormat="1" ht="24" customHeight="1" x14ac:dyDescent="0.2">
      <c r="B354" s="14"/>
      <c r="C354" s="23"/>
      <c r="D354" s="21"/>
      <c r="E354" s="6"/>
      <c r="F354" s="16" t="str">
        <f>IFERROR(VLOOKUP($E354,設定!$C:$F,2,0),"")</f>
        <v/>
      </c>
      <c r="G354" s="156" t="str">
        <f>IFERROR(VLOOKUP($E354,設定!$C:$F,3,0),"")</f>
        <v/>
      </c>
      <c r="H354" s="131" t="str">
        <f>IFERROR(VLOOKUP($E354,設定!$C:$F,4,0),"")</f>
        <v/>
      </c>
      <c r="I354" s="402"/>
      <c r="J354" s="8"/>
      <c r="K354" s="9"/>
      <c r="L354" s="9"/>
      <c r="M354" s="9"/>
      <c r="N354" s="9"/>
      <c r="O354" s="9"/>
      <c r="P354" s="9"/>
      <c r="Q354" s="9"/>
      <c r="R354" s="9"/>
      <c r="S354" s="9"/>
      <c r="T354" s="9"/>
      <c r="U354" s="9"/>
      <c r="V354" s="9"/>
      <c r="W354" s="9"/>
      <c r="X354" s="9"/>
      <c r="Y354" s="9"/>
      <c r="Z354" s="9"/>
      <c r="AA354" s="9"/>
      <c r="AB354" s="9"/>
      <c r="AC354" s="9"/>
      <c r="AD354" s="9"/>
      <c r="AE354" s="9"/>
      <c r="AF354" s="9"/>
      <c r="AG354" s="9"/>
      <c r="AH354" s="9"/>
      <c r="AI354" s="9"/>
      <c r="AJ354" s="9"/>
      <c r="AK354" s="9"/>
      <c r="AL354" s="9"/>
      <c r="AM354" s="9"/>
      <c r="AN354" s="10"/>
      <c r="AO354" s="65">
        <f t="shared" si="6"/>
        <v>0</v>
      </c>
    </row>
    <row r="355" spans="2:41" s="4" customFormat="1" ht="24" customHeight="1" x14ac:dyDescent="0.2">
      <c r="B355" s="14"/>
      <c r="C355" s="23"/>
      <c r="D355" s="21"/>
      <c r="E355" s="6"/>
      <c r="F355" s="16" t="str">
        <f>IFERROR(VLOOKUP($E355,設定!$C:$F,2,0),"")</f>
        <v/>
      </c>
      <c r="G355" s="156" t="str">
        <f>IFERROR(VLOOKUP($E355,設定!$C:$F,3,0),"")</f>
        <v/>
      </c>
      <c r="H355" s="131" t="str">
        <f>IFERROR(VLOOKUP($E355,設定!$C:$F,4,0),"")</f>
        <v/>
      </c>
      <c r="I355" s="402"/>
      <c r="J355" s="8"/>
      <c r="K355" s="9"/>
      <c r="L355" s="9"/>
      <c r="M355" s="9"/>
      <c r="N355" s="9"/>
      <c r="O355" s="9"/>
      <c r="P355" s="9"/>
      <c r="Q355" s="9"/>
      <c r="R355" s="9"/>
      <c r="S355" s="9"/>
      <c r="T355" s="9"/>
      <c r="U355" s="9"/>
      <c r="V355" s="9"/>
      <c r="W355" s="9"/>
      <c r="X355" s="9"/>
      <c r="Y355" s="9"/>
      <c r="Z355" s="9"/>
      <c r="AA355" s="9"/>
      <c r="AB355" s="9"/>
      <c r="AC355" s="9"/>
      <c r="AD355" s="9"/>
      <c r="AE355" s="9"/>
      <c r="AF355" s="9"/>
      <c r="AG355" s="9"/>
      <c r="AH355" s="9"/>
      <c r="AI355" s="9"/>
      <c r="AJ355" s="9"/>
      <c r="AK355" s="9"/>
      <c r="AL355" s="9"/>
      <c r="AM355" s="9"/>
      <c r="AN355" s="10"/>
      <c r="AO355" s="65">
        <f t="shared" si="6"/>
        <v>0</v>
      </c>
    </row>
    <row r="356" spans="2:41" s="4" customFormat="1" ht="24" customHeight="1" x14ac:dyDescent="0.2">
      <c r="B356" s="14"/>
      <c r="C356" s="23"/>
      <c r="D356" s="21"/>
      <c r="E356" s="6"/>
      <c r="F356" s="16" t="str">
        <f>IFERROR(VLOOKUP($E356,設定!$C:$F,2,0),"")</f>
        <v/>
      </c>
      <c r="G356" s="156" t="str">
        <f>IFERROR(VLOOKUP($E356,設定!$C:$F,3,0),"")</f>
        <v/>
      </c>
      <c r="H356" s="131" t="str">
        <f>IFERROR(VLOOKUP($E356,設定!$C:$F,4,0),"")</f>
        <v/>
      </c>
      <c r="I356" s="402"/>
      <c r="J356" s="8"/>
      <c r="K356" s="9"/>
      <c r="L356" s="9"/>
      <c r="M356" s="9"/>
      <c r="N356" s="9"/>
      <c r="O356" s="9"/>
      <c r="P356" s="9"/>
      <c r="Q356" s="9"/>
      <c r="R356" s="9"/>
      <c r="S356" s="9"/>
      <c r="T356" s="9"/>
      <c r="U356" s="9"/>
      <c r="V356" s="9"/>
      <c r="W356" s="9"/>
      <c r="X356" s="9"/>
      <c r="Y356" s="9"/>
      <c r="Z356" s="9"/>
      <c r="AA356" s="9"/>
      <c r="AB356" s="9"/>
      <c r="AC356" s="9"/>
      <c r="AD356" s="9"/>
      <c r="AE356" s="9"/>
      <c r="AF356" s="9"/>
      <c r="AG356" s="9"/>
      <c r="AH356" s="9"/>
      <c r="AI356" s="9"/>
      <c r="AJ356" s="9"/>
      <c r="AK356" s="9"/>
      <c r="AL356" s="9"/>
      <c r="AM356" s="9"/>
      <c r="AN356" s="10"/>
      <c r="AO356" s="65">
        <f t="shared" si="6"/>
        <v>0</v>
      </c>
    </row>
    <row r="357" spans="2:41" s="4" customFormat="1" ht="24" customHeight="1" x14ac:dyDescent="0.2">
      <c r="B357" s="14"/>
      <c r="C357" s="23"/>
      <c r="D357" s="21"/>
      <c r="E357" s="6"/>
      <c r="F357" s="16" t="str">
        <f>IFERROR(VLOOKUP($E357,設定!$C:$F,2,0),"")</f>
        <v/>
      </c>
      <c r="G357" s="156" t="str">
        <f>IFERROR(VLOOKUP($E357,設定!$C:$F,3,0),"")</f>
        <v/>
      </c>
      <c r="H357" s="131" t="str">
        <f>IFERROR(VLOOKUP($E357,設定!$C:$F,4,0),"")</f>
        <v/>
      </c>
      <c r="I357" s="402"/>
      <c r="J357" s="8"/>
      <c r="K357" s="9"/>
      <c r="L357" s="9"/>
      <c r="M357" s="9"/>
      <c r="N357" s="9"/>
      <c r="O357" s="9"/>
      <c r="P357" s="9"/>
      <c r="Q357" s="9"/>
      <c r="R357" s="9"/>
      <c r="S357" s="9"/>
      <c r="T357" s="9"/>
      <c r="U357" s="9"/>
      <c r="V357" s="9"/>
      <c r="W357" s="9"/>
      <c r="X357" s="9"/>
      <c r="Y357" s="9"/>
      <c r="Z357" s="9"/>
      <c r="AA357" s="9"/>
      <c r="AB357" s="9"/>
      <c r="AC357" s="9"/>
      <c r="AD357" s="9"/>
      <c r="AE357" s="9"/>
      <c r="AF357" s="9"/>
      <c r="AG357" s="9"/>
      <c r="AH357" s="9"/>
      <c r="AI357" s="9"/>
      <c r="AJ357" s="9"/>
      <c r="AK357" s="9"/>
      <c r="AL357" s="9"/>
      <c r="AM357" s="9"/>
      <c r="AN357" s="10"/>
      <c r="AO357" s="65">
        <f t="shared" si="6"/>
        <v>0</v>
      </c>
    </row>
    <row r="358" spans="2:41" s="4" customFormat="1" ht="24" customHeight="1" x14ac:dyDescent="0.2">
      <c r="B358" s="14"/>
      <c r="C358" s="23"/>
      <c r="D358" s="21"/>
      <c r="E358" s="6"/>
      <c r="F358" s="16" t="str">
        <f>IFERROR(VLOOKUP($E358,設定!$C:$F,2,0),"")</f>
        <v/>
      </c>
      <c r="G358" s="156" t="str">
        <f>IFERROR(VLOOKUP($E358,設定!$C:$F,3,0),"")</f>
        <v/>
      </c>
      <c r="H358" s="131" t="str">
        <f>IFERROR(VLOOKUP($E358,設定!$C:$F,4,0),"")</f>
        <v/>
      </c>
      <c r="I358" s="402"/>
      <c r="J358" s="8"/>
      <c r="K358" s="9"/>
      <c r="L358" s="9"/>
      <c r="M358" s="9"/>
      <c r="N358" s="9"/>
      <c r="O358" s="9"/>
      <c r="P358" s="9"/>
      <c r="Q358" s="9"/>
      <c r="R358" s="9"/>
      <c r="S358" s="9"/>
      <c r="T358" s="9"/>
      <c r="U358" s="9"/>
      <c r="V358" s="9"/>
      <c r="W358" s="9"/>
      <c r="X358" s="9"/>
      <c r="Y358" s="9"/>
      <c r="Z358" s="9"/>
      <c r="AA358" s="9"/>
      <c r="AB358" s="9"/>
      <c r="AC358" s="9"/>
      <c r="AD358" s="9"/>
      <c r="AE358" s="9"/>
      <c r="AF358" s="9"/>
      <c r="AG358" s="9"/>
      <c r="AH358" s="9"/>
      <c r="AI358" s="9"/>
      <c r="AJ358" s="9"/>
      <c r="AK358" s="9"/>
      <c r="AL358" s="9"/>
      <c r="AM358" s="9"/>
      <c r="AN358" s="10"/>
      <c r="AO358" s="65">
        <f t="shared" si="6"/>
        <v>0</v>
      </c>
    </row>
    <row r="359" spans="2:41" s="4" customFormat="1" ht="24" customHeight="1" x14ac:dyDescent="0.2">
      <c r="B359" s="14"/>
      <c r="C359" s="23"/>
      <c r="D359" s="21"/>
      <c r="E359" s="6"/>
      <c r="F359" s="16" t="str">
        <f>IFERROR(VLOOKUP($E359,設定!$C:$F,2,0),"")</f>
        <v/>
      </c>
      <c r="G359" s="156" t="str">
        <f>IFERROR(VLOOKUP($E359,設定!$C:$F,3,0),"")</f>
        <v/>
      </c>
      <c r="H359" s="131" t="str">
        <f>IFERROR(VLOOKUP($E359,設定!$C:$F,4,0),"")</f>
        <v/>
      </c>
      <c r="I359" s="402"/>
      <c r="J359" s="8"/>
      <c r="K359" s="9"/>
      <c r="L359" s="9"/>
      <c r="M359" s="9"/>
      <c r="N359" s="9"/>
      <c r="O359" s="9"/>
      <c r="P359" s="9"/>
      <c r="Q359" s="9"/>
      <c r="R359" s="9"/>
      <c r="S359" s="9"/>
      <c r="T359" s="9"/>
      <c r="U359" s="9"/>
      <c r="V359" s="9"/>
      <c r="W359" s="9"/>
      <c r="X359" s="9"/>
      <c r="Y359" s="9"/>
      <c r="Z359" s="9"/>
      <c r="AA359" s="9"/>
      <c r="AB359" s="9"/>
      <c r="AC359" s="9"/>
      <c r="AD359" s="9"/>
      <c r="AE359" s="9"/>
      <c r="AF359" s="9"/>
      <c r="AG359" s="9"/>
      <c r="AH359" s="9"/>
      <c r="AI359" s="9"/>
      <c r="AJ359" s="9"/>
      <c r="AK359" s="9"/>
      <c r="AL359" s="9"/>
      <c r="AM359" s="9"/>
      <c r="AN359" s="10"/>
      <c r="AO359" s="65">
        <f t="shared" si="6"/>
        <v>0</v>
      </c>
    </row>
    <row r="360" spans="2:41" s="4" customFormat="1" ht="24" customHeight="1" x14ac:dyDescent="0.2">
      <c r="B360" s="14"/>
      <c r="C360" s="23"/>
      <c r="D360" s="21"/>
      <c r="E360" s="6"/>
      <c r="F360" s="16" t="str">
        <f>IFERROR(VLOOKUP($E360,設定!$C:$F,2,0),"")</f>
        <v/>
      </c>
      <c r="G360" s="156" t="str">
        <f>IFERROR(VLOOKUP($E360,設定!$C:$F,3,0),"")</f>
        <v/>
      </c>
      <c r="H360" s="131" t="str">
        <f>IFERROR(VLOOKUP($E360,設定!$C:$F,4,0),"")</f>
        <v/>
      </c>
      <c r="I360" s="402"/>
      <c r="J360" s="8"/>
      <c r="K360" s="9"/>
      <c r="L360" s="9"/>
      <c r="M360" s="9"/>
      <c r="N360" s="9"/>
      <c r="O360" s="9"/>
      <c r="P360" s="9"/>
      <c r="Q360" s="9"/>
      <c r="R360" s="9"/>
      <c r="S360" s="9"/>
      <c r="T360" s="9"/>
      <c r="U360" s="9"/>
      <c r="V360" s="9"/>
      <c r="W360" s="9"/>
      <c r="X360" s="9"/>
      <c r="Y360" s="9"/>
      <c r="Z360" s="9"/>
      <c r="AA360" s="9"/>
      <c r="AB360" s="9"/>
      <c r="AC360" s="9"/>
      <c r="AD360" s="9"/>
      <c r="AE360" s="9"/>
      <c r="AF360" s="9"/>
      <c r="AG360" s="9"/>
      <c r="AH360" s="9"/>
      <c r="AI360" s="9"/>
      <c r="AJ360" s="9"/>
      <c r="AK360" s="9"/>
      <c r="AL360" s="9"/>
      <c r="AM360" s="9"/>
      <c r="AN360" s="10"/>
      <c r="AO360" s="65">
        <f t="shared" si="6"/>
        <v>0</v>
      </c>
    </row>
    <row r="361" spans="2:41" s="4" customFormat="1" ht="24" customHeight="1" x14ac:dyDescent="0.2">
      <c r="B361" s="14"/>
      <c r="C361" s="23"/>
      <c r="D361" s="21"/>
      <c r="E361" s="6"/>
      <c r="F361" s="16" t="str">
        <f>IFERROR(VLOOKUP($E361,設定!$C:$F,2,0),"")</f>
        <v/>
      </c>
      <c r="G361" s="156" t="str">
        <f>IFERROR(VLOOKUP($E361,設定!$C:$F,3,0),"")</f>
        <v/>
      </c>
      <c r="H361" s="131" t="str">
        <f>IFERROR(VLOOKUP($E361,設定!$C:$F,4,0),"")</f>
        <v/>
      </c>
      <c r="I361" s="402"/>
      <c r="J361" s="8"/>
      <c r="K361" s="9"/>
      <c r="L361" s="9"/>
      <c r="M361" s="9"/>
      <c r="N361" s="9"/>
      <c r="O361" s="9"/>
      <c r="P361" s="9"/>
      <c r="Q361" s="9"/>
      <c r="R361" s="9"/>
      <c r="S361" s="9"/>
      <c r="T361" s="9"/>
      <c r="U361" s="9"/>
      <c r="V361" s="9"/>
      <c r="W361" s="9"/>
      <c r="X361" s="9"/>
      <c r="Y361" s="9"/>
      <c r="Z361" s="9"/>
      <c r="AA361" s="9"/>
      <c r="AB361" s="9"/>
      <c r="AC361" s="9"/>
      <c r="AD361" s="9"/>
      <c r="AE361" s="9"/>
      <c r="AF361" s="9"/>
      <c r="AG361" s="9"/>
      <c r="AH361" s="9"/>
      <c r="AI361" s="9"/>
      <c r="AJ361" s="9"/>
      <c r="AK361" s="9"/>
      <c r="AL361" s="9"/>
      <c r="AM361" s="9"/>
      <c r="AN361" s="10"/>
      <c r="AO361" s="65">
        <f t="shared" si="6"/>
        <v>0</v>
      </c>
    </row>
    <row r="362" spans="2:41" s="4" customFormat="1" ht="24" customHeight="1" x14ac:dyDescent="0.2">
      <c r="B362" s="14"/>
      <c r="C362" s="23"/>
      <c r="D362" s="21"/>
      <c r="E362" s="6"/>
      <c r="F362" s="16" t="str">
        <f>IFERROR(VLOOKUP($E362,設定!$C:$F,2,0),"")</f>
        <v/>
      </c>
      <c r="G362" s="156" t="str">
        <f>IFERROR(VLOOKUP($E362,設定!$C:$F,3,0),"")</f>
        <v/>
      </c>
      <c r="H362" s="131" t="str">
        <f>IFERROR(VLOOKUP($E362,設定!$C:$F,4,0),"")</f>
        <v/>
      </c>
      <c r="I362" s="402"/>
      <c r="J362" s="8"/>
      <c r="K362" s="9"/>
      <c r="L362" s="9"/>
      <c r="M362" s="9"/>
      <c r="N362" s="9"/>
      <c r="O362" s="9"/>
      <c r="P362" s="9"/>
      <c r="Q362" s="9"/>
      <c r="R362" s="9"/>
      <c r="S362" s="9"/>
      <c r="T362" s="9"/>
      <c r="U362" s="9"/>
      <c r="V362" s="9"/>
      <c r="W362" s="9"/>
      <c r="X362" s="9"/>
      <c r="Y362" s="9"/>
      <c r="Z362" s="9"/>
      <c r="AA362" s="9"/>
      <c r="AB362" s="9"/>
      <c r="AC362" s="9"/>
      <c r="AD362" s="9"/>
      <c r="AE362" s="9"/>
      <c r="AF362" s="9"/>
      <c r="AG362" s="9"/>
      <c r="AH362" s="9"/>
      <c r="AI362" s="9"/>
      <c r="AJ362" s="9"/>
      <c r="AK362" s="9"/>
      <c r="AL362" s="9"/>
      <c r="AM362" s="9"/>
      <c r="AN362" s="10"/>
      <c r="AO362" s="65">
        <f t="shared" si="6"/>
        <v>0</v>
      </c>
    </row>
    <row r="363" spans="2:41" s="4" customFormat="1" ht="24" customHeight="1" x14ac:dyDescent="0.2">
      <c r="B363" s="14"/>
      <c r="C363" s="23"/>
      <c r="D363" s="21"/>
      <c r="E363" s="6"/>
      <c r="F363" s="16" t="str">
        <f>IFERROR(VLOOKUP($E363,設定!$C:$F,2,0),"")</f>
        <v/>
      </c>
      <c r="G363" s="156" t="str">
        <f>IFERROR(VLOOKUP($E363,設定!$C:$F,3,0),"")</f>
        <v/>
      </c>
      <c r="H363" s="131" t="str">
        <f>IFERROR(VLOOKUP($E363,設定!$C:$F,4,0),"")</f>
        <v/>
      </c>
      <c r="I363" s="402"/>
      <c r="J363" s="8"/>
      <c r="K363" s="9"/>
      <c r="L363" s="9"/>
      <c r="M363" s="9"/>
      <c r="N363" s="9"/>
      <c r="O363" s="9"/>
      <c r="P363" s="9"/>
      <c r="Q363" s="9"/>
      <c r="R363" s="9"/>
      <c r="S363" s="9"/>
      <c r="T363" s="9"/>
      <c r="U363" s="9"/>
      <c r="V363" s="9"/>
      <c r="W363" s="9"/>
      <c r="X363" s="9"/>
      <c r="Y363" s="9"/>
      <c r="Z363" s="9"/>
      <c r="AA363" s="9"/>
      <c r="AB363" s="9"/>
      <c r="AC363" s="9"/>
      <c r="AD363" s="9"/>
      <c r="AE363" s="9"/>
      <c r="AF363" s="9"/>
      <c r="AG363" s="9"/>
      <c r="AH363" s="9"/>
      <c r="AI363" s="9"/>
      <c r="AJ363" s="9"/>
      <c r="AK363" s="9"/>
      <c r="AL363" s="9"/>
      <c r="AM363" s="9"/>
      <c r="AN363" s="10"/>
      <c r="AO363" s="65">
        <f t="shared" si="6"/>
        <v>0</v>
      </c>
    </row>
    <row r="364" spans="2:41" s="4" customFormat="1" ht="24" customHeight="1" x14ac:dyDescent="0.2">
      <c r="B364" s="14"/>
      <c r="C364" s="23"/>
      <c r="D364" s="21"/>
      <c r="E364" s="6"/>
      <c r="F364" s="16" t="str">
        <f>IFERROR(VLOOKUP($E364,設定!$C:$F,2,0),"")</f>
        <v/>
      </c>
      <c r="G364" s="156" t="str">
        <f>IFERROR(VLOOKUP($E364,設定!$C:$F,3,0),"")</f>
        <v/>
      </c>
      <c r="H364" s="131" t="str">
        <f>IFERROR(VLOOKUP($E364,設定!$C:$F,4,0),"")</f>
        <v/>
      </c>
      <c r="I364" s="402"/>
      <c r="J364" s="8"/>
      <c r="K364" s="9"/>
      <c r="L364" s="9"/>
      <c r="M364" s="9"/>
      <c r="N364" s="9"/>
      <c r="O364" s="9"/>
      <c r="P364" s="9"/>
      <c r="Q364" s="9"/>
      <c r="R364" s="9"/>
      <c r="S364" s="9"/>
      <c r="T364" s="9"/>
      <c r="U364" s="9"/>
      <c r="V364" s="9"/>
      <c r="W364" s="9"/>
      <c r="X364" s="9"/>
      <c r="Y364" s="9"/>
      <c r="Z364" s="9"/>
      <c r="AA364" s="9"/>
      <c r="AB364" s="9"/>
      <c r="AC364" s="9"/>
      <c r="AD364" s="9"/>
      <c r="AE364" s="9"/>
      <c r="AF364" s="9"/>
      <c r="AG364" s="9"/>
      <c r="AH364" s="9"/>
      <c r="AI364" s="9"/>
      <c r="AJ364" s="9"/>
      <c r="AK364" s="9"/>
      <c r="AL364" s="9"/>
      <c r="AM364" s="9"/>
      <c r="AN364" s="10"/>
      <c r="AO364" s="65">
        <f t="shared" si="6"/>
        <v>0</v>
      </c>
    </row>
    <row r="365" spans="2:41" s="4" customFormat="1" ht="24" customHeight="1" x14ac:dyDescent="0.2">
      <c r="B365" s="14"/>
      <c r="C365" s="23"/>
      <c r="D365" s="21"/>
      <c r="E365" s="6"/>
      <c r="F365" s="16" t="str">
        <f>IFERROR(VLOOKUP($E365,設定!$C:$F,2,0),"")</f>
        <v/>
      </c>
      <c r="G365" s="156" t="str">
        <f>IFERROR(VLOOKUP($E365,設定!$C:$F,3,0),"")</f>
        <v/>
      </c>
      <c r="H365" s="131" t="str">
        <f>IFERROR(VLOOKUP($E365,設定!$C:$F,4,0),"")</f>
        <v/>
      </c>
      <c r="I365" s="402"/>
      <c r="J365" s="8"/>
      <c r="K365" s="9"/>
      <c r="L365" s="9"/>
      <c r="M365" s="9"/>
      <c r="N365" s="9"/>
      <c r="O365" s="9"/>
      <c r="P365" s="9"/>
      <c r="Q365" s="9"/>
      <c r="R365" s="9"/>
      <c r="S365" s="9"/>
      <c r="T365" s="9"/>
      <c r="U365" s="9"/>
      <c r="V365" s="9"/>
      <c r="W365" s="9"/>
      <c r="X365" s="9"/>
      <c r="Y365" s="9"/>
      <c r="Z365" s="9"/>
      <c r="AA365" s="9"/>
      <c r="AB365" s="9"/>
      <c r="AC365" s="9"/>
      <c r="AD365" s="9"/>
      <c r="AE365" s="9"/>
      <c r="AF365" s="9"/>
      <c r="AG365" s="9"/>
      <c r="AH365" s="9"/>
      <c r="AI365" s="9"/>
      <c r="AJ365" s="9"/>
      <c r="AK365" s="9"/>
      <c r="AL365" s="9"/>
      <c r="AM365" s="9"/>
      <c r="AN365" s="10"/>
      <c r="AO365" s="65">
        <f t="shared" si="6"/>
        <v>0</v>
      </c>
    </row>
    <row r="366" spans="2:41" s="4" customFormat="1" ht="24" customHeight="1" x14ac:dyDescent="0.2">
      <c r="B366" s="14"/>
      <c r="C366" s="23"/>
      <c r="D366" s="21"/>
      <c r="E366" s="6"/>
      <c r="F366" s="16" t="str">
        <f>IFERROR(VLOOKUP($E366,設定!$C:$F,2,0),"")</f>
        <v/>
      </c>
      <c r="G366" s="156" t="str">
        <f>IFERROR(VLOOKUP($E366,設定!$C:$F,3,0),"")</f>
        <v/>
      </c>
      <c r="H366" s="131" t="str">
        <f>IFERROR(VLOOKUP($E366,設定!$C:$F,4,0),"")</f>
        <v/>
      </c>
      <c r="I366" s="402"/>
      <c r="J366" s="8"/>
      <c r="K366" s="9"/>
      <c r="L366" s="9"/>
      <c r="M366" s="9"/>
      <c r="N366" s="9"/>
      <c r="O366" s="9"/>
      <c r="P366" s="9"/>
      <c r="Q366" s="9"/>
      <c r="R366" s="9"/>
      <c r="S366" s="9"/>
      <c r="T366" s="9"/>
      <c r="U366" s="9"/>
      <c r="V366" s="9"/>
      <c r="W366" s="9"/>
      <c r="X366" s="9"/>
      <c r="Y366" s="9"/>
      <c r="Z366" s="9"/>
      <c r="AA366" s="9"/>
      <c r="AB366" s="9"/>
      <c r="AC366" s="9"/>
      <c r="AD366" s="9"/>
      <c r="AE366" s="9"/>
      <c r="AF366" s="9"/>
      <c r="AG366" s="9"/>
      <c r="AH366" s="9"/>
      <c r="AI366" s="9"/>
      <c r="AJ366" s="9"/>
      <c r="AK366" s="9"/>
      <c r="AL366" s="9"/>
      <c r="AM366" s="9"/>
      <c r="AN366" s="10"/>
      <c r="AO366" s="65">
        <f t="shared" si="6"/>
        <v>0</v>
      </c>
    </row>
    <row r="367" spans="2:41" s="4" customFormat="1" ht="24" customHeight="1" x14ac:dyDescent="0.2">
      <c r="B367" s="14"/>
      <c r="C367" s="23"/>
      <c r="D367" s="21"/>
      <c r="E367" s="6"/>
      <c r="F367" s="16" t="str">
        <f>IFERROR(VLOOKUP($E367,設定!$C:$F,2,0),"")</f>
        <v/>
      </c>
      <c r="G367" s="156" t="str">
        <f>IFERROR(VLOOKUP($E367,設定!$C:$F,3,0),"")</f>
        <v/>
      </c>
      <c r="H367" s="131" t="str">
        <f>IFERROR(VLOOKUP($E367,設定!$C:$F,4,0),"")</f>
        <v/>
      </c>
      <c r="I367" s="402"/>
      <c r="J367" s="8"/>
      <c r="K367" s="9"/>
      <c r="L367" s="9"/>
      <c r="M367" s="9"/>
      <c r="N367" s="9"/>
      <c r="O367" s="9"/>
      <c r="P367" s="9"/>
      <c r="Q367" s="9"/>
      <c r="R367" s="9"/>
      <c r="S367" s="9"/>
      <c r="T367" s="9"/>
      <c r="U367" s="9"/>
      <c r="V367" s="9"/>
      <c r="W367" s="9"/>
      <c r="X367" s="9"/>
      <c r="Y367" s="9"/>
      <c r="Z367" s="9"/>
      <c r="AA367" s="9"/>
      <c r="AB367" s="9"/>
      <c r="AC367" s="9"/>
      <c r="AD367" s="9"/>
      <c r="AE367" s="9"/>
      <c r="AF367" s="9"/>
      <c r="AG367" s="9"/>
      <c r="AH367" s="9"/>
      <c r="AI367" s="9"/>
      <c r="AJ367" s="9"/>
      <c r="AK367" s="9"/>
      <c r="AL367" s="9"/>
      <c r="AM367" s="9"/>
      <c r="AN367" s="10"/>
      <c r="AO367" s="65">
        <f t="shared" si="6"/>
        <v>0</v>
      </c>
    </row>
    <row r="368" spans="2:41" s="4" customFormat="1" ht="24" customHeight="1" x14ac:dyDescent="0.2">
      <c r="B368" s="14"/>
      <c r="C368" s="23"/>
      <c r="D368" s="21"/>
      <c r="E368" s="6"/>
      <c r="F368" s="16" t="str">
        <f>IFERROR(VLOOKUP($E368,設定!$C:$F,2,0),"")</f>
        <v/>
      </c>
      <c r="G368" s="156" t="str">
        <f>IFERROR(VLOOKUP($E368,設定!$C:$F,3,0),"")</f>
        <v/>
      </c>
      <c r="H368" s="131" t="str">
        <f>IFERROR(VLOOKUP($E368,設定!$C:$F,4,0),"")</f>
        <v/>
      </c>
      <c r="I368" s="402"/>
      <c r="J368" s="8"/>
      <c r="K368" s="9"/>
      <c r="L368" s="9"/>
      <c r="M368" s="9"/>
      <c r="N368" s="9"/>
      <c r="O368" s="9"/>
      <c r="P368" s="9"/>
      <c r="Q368" s="9"/>
      <c r="R368" s="9"/>
      <c r="S368" s="9"/>
      <c r="T368" s="9"/>
      <c r="U368" s="9"/>
      <c r="V368" s="9"/>
      <c r="W368" s="9"/>
      <c r="X368" s="9"/>
      <c r="Y368" s="9"/>
      <c r="Z368" s="9"/>
      <c r="AA368" s="9"/>
      <c r="AB368" s="9"/>
      <c r="AC368" s="9"/>
      <c r="AD368" s="9"/>
      <c r="AE368" s="9"/>
      <c r="AF368" s="9"/>
      <c r="AG368" s="9"/>
      <c r="AH368" s="9"/>
      <c r="AI368" s="9"/>
      <c r="AJ368" s="9"/>
      <c r="AK368" s="9"/>
      <c r="AL368" s="9"/>
      <c r="AM368" s="9"/>
      <c r="AN368" s="10"/>
      <c r="AO368" s="65">
        <f t="shared" si="6"/>
        <v>0</v>
      </c>
    </row>
    <row r="369" spans="2:41" s="4" customFormat="1" ht="24" customHeight="1" x14ac:dyDescent="0.2">
      <c r="B369" s="14"/>
      <c r="C369" s="23"/>
      <c r="D369" s="21"/>
      <c r="E369" s="6"/>
      <c r="F369" s="16" t="str">
        <f>IFERROR(VLOOKUP($E369,設定!$C:$F,2,0),"")</f>
        <v/>
      </c>
      <c r="G369" s="156" t="str">
        <f>IFERROR(VLOOKUP($E369,設定!$C:$F,3,0),"")</f>
        <v/>
      </c>
      <c r="H369" s="131" t="str">
        <f>IFERROR(VLOOKUP($E369,設定!$C:$F,4,0),"")</f>
        <v/>
      </c>
      <c r="I369" s="402"/>
      <c r="J369" s="8"/>
      <c r="K369" s="9"/>
      <c r="L369" s="9"/>
      <c r="M369" s="9"/>
      <c r="N369" s="9"/>
      <c r="O369" s="9"/>
      <c r="P369" s="9"/>
      <c r="Q369" s="9"/>
      <c r="R369" s="9"/>
      <c r="S369" s="9"/>
      <c r="T369" s="9"/>
      <c r="U369" s="9"/>
      <c r="V369" s="9"/>
      <c r="W369" s="9"/>
      <c r="X369" s="9"/>
      <c r="Y369" s="9"/>
      <c r="Z369" s="9"/>
      <c r="AA369" s="9"/>
      <c r="AB369" s="9"/>
      <c r="AC369" s="9"/>
      <c r="AD369" s="9"/>
      <c r="AE369" s="9"/>
      <c r="AF369" s="9"/>
      <c r="AG369" s="9"/>
      <c r="AH369" s="9"/>
      <c r="AI369" s="9"/>
      <c r="AJ369" s="9"/>
      <c r="AK369" s="9"/>
      <c r="AL369" s="9"/>
      <c r="AM369" s="9"/>
      <c r="AN369" s="10"/>
      <c r="AO369" s="65">
        <f t="shared" si="6"/>
        <v>0</v>
      </c>
    </row>
    <row r="370" spans="2:41" s="4" customFormat="1" ht="24" customHeight="1" x14ac:dyDescent="0.2">
      <c r="B370" s="14"/>
      <c r="C370" s="23"/>
      <c r="D370" s="21"/>
      <c r="E370" s="6"/>
      <c r="F370" s="16" t="str">
        <f>IFERROR(VLOOKUP($E370,設定!$C:$F,2,0),"")</f>
        <v/>
      </c>
      <c r="G370" s="156" t="str">
        <f>IFERROR(VLOOKUP($E370,設定!$C:$F,3,0),"")</f>
        <v/>
      </c>
      <c r="H370" s="131" t="str">
        <f>IFERROR(VLOOKUP($E370,設定!$C:$F,4,0),"")</f>
        <v/>
      </c>
      <c r="I370" s="402"/>
      <c r="J370" s="8"/>
      <c r="K370" s="9"/>
      <c r="L370" s="9"/>
      <c r="M370" s="9"/>
      <c r="N370" s="9"/>
      <c r="O370" s="9"/>
      <c r="P370" s="9"/>
      <c r="Q370" s="9"/>
      <c r="R370" s="9"/>
      <c r="S370" s="9"/>
      <c r="T370" s="9"/>
      <c r="U370" s="9"/>
      <c r="V370" s="9"/>
      <c r="W370" s="9"/>
      <c r="X370" s="9"/>
      <c r="Y370" s="9"/>
      <c r="Z370" s="9"/>
      <c r="AA370" s="9"/>
      <c r="AB370" s="9"/>
      <c r="AC370" s="9"/>
      <c r="AD370" s="9"/>
      <c r="AE370" s="9"/>
      <c r="AF370" s="9"/>
      <c r="AG370" s="9"/>
      <c r="AH370" s="9"/>
      <c r="AI370" s="9"/>
      <c r="AJ370" s="9"/>
      <c r="AK370" s="9"/>
      <c r="AL370" s="9"/>
      <c r="AM370" s="9"/>
      <c r="AN370" s="10"/>
      <c r="AO370" s="65">
        <f t="shared" si="6"/>
        <v>0</v>
      </c>
    </row>
    <row r="371" spans="2:41" s="4" customFormat="1" ht="24" customHeight="1" x14ac:dyDescent="0.2">
      <c r="B371" s="14"/>
      <c r="C371" s="23"/>
      <c r="D371" s="21"/>
      <c r="E371" s="6"/>
      <c r="F371" s="16" t="str">
        <f>IFERROR(VLOOKUP($E371,設定!$C:$F,2,0),"")</f>
        <v/>
      </c>
      <c r="G371" s="156" t="str">
        <f>IFERROR(VLOOKUP($E371,設定!$C:$F,3,0),"")</f>
        <v/>
      </c>
      <c r="H371" s="131" t="str">
        <f>IFERROR(VLOOKUP($E371,設定!$C:$F,4,0),"")</f>
        <v/>
      </c>
      <c r="I371" s="402"/>
      <c r="J371" s="8"/>
      <c r="K371" s="9"/>
      <c r="L371" s="9"/>
      <c r="M371" s="9"/>
      <c r="N371" s="9"/>
      <c r="O371" s="9"/>
      <c r="P371" s="9"/>
      <c r="Q371" s="9"/>
      <c r="R371" s="9"/>
      <c r="S371" s="9"/>
      <c r="T371" s="9"/>
      <c r="U371" s="9"/>
      <c r="V371" s="9"/>
      <c r="W371" s="9"/>
      <c r="X371" s="9"/>
      <c r="Y371" s="9"/>
      <c r="Z371" s="9"/>
      <c r="AA371" s="9"/>
      <c r="AB371" s="9"/>
      <c r="AC371" s="9"/>
      <c r="AD371" s="9"/>
      <c r="AE371" s="9"/>
      <c r="AF371" s="9"/>
      <c r="AG371" s="9"/>
      <c r="AH371" s="9"/>
      <c r="AI371" s="9"/>
      <c r="AJ371" s="9"/>
      <c r="AK371" s="9"/>
      <c r="AL371" s="9"/>
      <c r="AM371" s="9"/>
      <c r="AN371" s="10"/>
      <c r="AO371" s="65">
        <f t="shared" si="6"/>
        <v>0</v>
      </c>
    </row>
    <row r="372" spans="2:41" s="4" customFormat="1" ht="24" customHeight="1" x14ac:dyDescent="0.2">
      <c r="B372" s="14"/>
      <c r="C372" s="23"/>
      <c r="D372" s="21"/>
      <c r="E372" s="6"/>
      <c r="F372" s="16" t="str">
        <f>IFERROR(VLOOKUP($E372,設定!$C:$F,2,0),"")</f>
        <v/>
      </c>
      <c r="G372" s="156" t="str">
        <f>IFERROR(VLOOKUP($E372,設定!$C:$F,3,0),"")</f>
        <v/>
      </c>
      <c r="H372" s="131" t="str">
        <f>IFERROR(VLOOKUP($E372,設定!$C:$F,4,0),"")</f>
        <v/>
      </c>
      <c r="I372" s="402"/>
      <c r="J372" s="8"/>
      <c r="K372" s="9"/>
      <c r="L372" s="9"/>
      <c r="M372" s="9"/>
      <c r="N372" s="9"/>
      <c r="O372" s="9"/>
      <c r="P372" s="9"/>
      <c r="Q372" s="9"/>
      <c r="R372" s="9"/>
      <c r="S372" s="9"/>
      <c r="T372" s="9"/>
      <c r="U372" s="9"/>
      <c r="V372" s="9"/>
      <c r="W372" s="9"/>
      <c r="X372" s="9"/>
      <c r="Y372" s="9"/>
      <c r="Z372" s="9"/>
      <c r="AA372" s="9"/>
      <c r="AB372" s="9"/>
      <c r="AC372" s="9"/>
      <c r="AD372" s="9"/>
      <c r="AE372" s="9"/>
      <c r="AF372" s="9"/>
      <c r="AG372" s="9"/>
      <c r="AH372" s="9"/>
      <c r="AI372" s="9"/>
      <c r="AJ372" s="9"/>
      <c r="AK372" s="9"/>
      <c r="AL372" s="9"/>
      <c r="AM372" s="9"/>
      <c r="AN372" s="10"/>
      <c r="AO372" s="65">
        <f t="shared" si="6"/>
        <v>0</v>
      </c>
    </row>
    <row r="373" spans="2:41" s="4" customFormat="1" ht="24" customHeight="1" x14ac:dyDescent="0.2">
      <c r="B373" s="14"/>
      <c r="C373" s="23"/>
      <c r="D373" s="21"/>
      <c r="E373" s="6"/>
      <c r="F373" s="16" t="str">
        <f>IFERROR(VLOOKUP($E373,設定!$C:$F,2,0),"")</f>
        <v/>
      </c>
      <c r="G373" s="156" t="str">
        <f>IFERROR(VLOOKUP($E373,設定!$C:$F,3,0),"")</f>
        <v/>
      </c>
      <c r="H373" s="131" t="str">
        <f>IFERROR(VLOOKUP($E373,設定!$C:$F,4,0),"")</f>
        <v/>
      </c>
      <c r="I373" s="402"/>
      <c r="J373" s="8"/>
      <c r="K373" s="9"/>
      <c r="L373" s="9"/>
      <c r="M373" s="9"/>
      <c r="N373" s="9"/>
      <c r="O373" s="9"/>
      <c r="P373" s="9"/>
      <c r="Q373" s="9"/>
      <c r="R373" s="9"/>
      <c r="S373" s="9"/>
      <c r="T373" s="9"/>
      <c r="U373" s="9"/>
      <c r="V373" s="9"/>
      <c r="W373" s="9"/>
      <c r="X373" s="9"/>
      <c r="Y373" s="9"/>
      <c r="Z373" s="9"/>
      <c r="AA373" s="9"/>
      <c r="AB373" s="9"/>
      <c r="AC373" s="9"/>
      <c r="AD373" s="9"/>
      <c r="AE373" s="9"/>
      <c r="AF373" s="9"/>
      <c r="AG373" s="9"/>
      <c r="AH373" s="9"/>
      <c r="AI373" s="9"/>
      <c r="AJ373" s="9"/>
      <c r="AK373" s="9"/>
      <c r="AL373" s="9"/>
      <c r="AM373" s="9"/>
      <c r="AN373" s="10"/>
      <c r="AO373" s="65">
        <f t="shared" si="6"/>
        <v>0</v>
      </c>
    </row>
    <row r="374" spans="2:41" s="4" customFormat="1" ht="24" customHeight="1" x14ac:dyDescent="0.2">
      <c r="B374" s="14"/>
      <c r="C374" s="23"/>
      <c r="D374" s="21"/>
      <c r="E374" s="6"/>
      <c r="F374" s="16" t="str">
        <f>IFERROR(VLOOKUP($E374,設定!$C:$F,2,0),"")</f>
        <v/>
      </c>
      <c r="G374" s="156" t="str">
        <f>IFERROR(VLOOKUP($E374,設定!$C:$F,3,0),"")</f>
        <v/>
      </c>
      <c r="H374" s="131" t="str">
        <f>IFERROR(VLOOKUP($E374,設定!$C:$F,4,0),"")</f>
        <v/>
      </c>
      <c r="I374" s="402"/>
      <c r="J374" s="8"/>
      <c r="K374" s="9"/>
      <c r="L374" s="9"/>
      <c r="M374" s="9"/>
      <c r="N374" s="9"/>
      <c r="O374" s="9"/>
      <c r="P374" s="9"/>
      <c r="Q374" s="9"/>
      <c r="R374" s="9"/>
      <c r="S374" s="9"/>
      <c r="T374" s="9"/>
      <c r="U374" s="9"/>
      <c r="V374" s="9"/>
      <c r="W374" s="9"/>
      <c r="X374" s="9"/>
      <c r="Y374" s="9"/>
      <c r="Z374" s="9"/>
      <c r="AA374" s="9"/>
      <c r="AB374" s="9"/>
      <c r="AC374" s="9"/>
      <c r="AD374" s="9"/>
      <c r="AE374" s="9"/>
      <c r="AF374" s="9"/>
      <c r="AG374" s="9"/>
      <c r="AH374" s="9"/>
      <c r="AI374" s="9"/>
      <c r="AJ374" s="9"/>
      <c r="AK374" s="9"/>
      <c r="AL374" s="9"/>
      <c r="AM374" s="9"/>
      <c r="AN374" s="10"/>
      <c r="AO374" s="65">
        <f t="shared" si="6"/>
        <v>0</v>
      </c>
    </row>
    <row r="375" spans="2:41" s="4" customFormat="1" ht="24" customHeight="1" x14ac:dyDescent="0.2">
      <c r="B375" s="14"/>
      <c r="C375" s="23"/>
      <c r="D375" s="21"/>
      <c r="E375" s="6"/>
      <c r="F375" s="16" t="str">
        <f>IFERROR(VLOOKUP($E375,設定!$C:$F,2,0),"")</f>
        <v/>
      </c>
      <c r="G375" s="156" t="str">
        <f>IFERROR(VLOOKUP($E375,設定!$C:$F,3,0),"")</f>
        <v/>
      </c>
      <c r="H375" s="131" t="str">
        <f>IFERROR(VLOOKUP($E375,設定!$C:$F,4,0),"")</f>
        <v/>
      </c>
      <c r="I375" s="402"/>
      <c r="J375" s="8"/>
      <c r="K375" s="9"/>
      <c r="L375" s="9"/>
      <c r="M375" s="9"/>
      <c r="N375" s="9"/>
      <c r="O375" s="9"/>
      <c r="P375" s="9"/>
      <c r="Q375" s="9"/>
      <c r="R375" s="9"/>
      <c r="S375" s="9"/>
      <c r="T375" s="9"/>
      <c r="U375" s="9"/>
      <c r="V375" s="9"/>
      <c r="W375" s="9"/>
      <c r="X375" s="9"/>
      <c r="Y375" s="9"/>
      <c r="Z375" s="9"/>
      <c r="AA375" s="9"/>
      <c r="AB375" s="9"/>
      <c r="AC375" s="9"/>
      <c r="AD375" s="9"/>
      <c r="AE375" s="9"/>
      <c r="AF375" s="9"/>
      <c r="AG375" s="9"/>
      <c r="AH375" s="9"/>
      <c r="AI375" s="9"/>
      <c r="AJ375" s="9"/>
      <c r="AK375" s="9"/>
      <c r="AL375" s="9"/>
      <c r="AM375" s="9"/>
      <c r="AN375" s="10"/>
      <c r="AO375" s="65">
        <f t="shared" si="6"/>
        <v>0</v>
      </c>
    </row>
    <row r="376" spans="2:41" s="4" customFormat="1" ht="24" customHeight="1" x14ac:dyDescent="0.2">
      <c r="B376" s="14"/>
      <c r="C376" s="23"/>
      <c r="D376" s="21"/>
      <c r="E376" s="6"/>
      <c r="F376" s="16" t="str">
        <f>IFERROR(VLOOKUP($E376,設定!$C:$F,2,0),"")</f>
        <v/>
      </c>
      <c r="G376" s="156" t="str">
        <f>IFERROR(VLOOKUP($E376,設定!$C:$F,3,0),"")</f>
        <v/>
      </c>
      <c r="H376" s="131" t="str">
        <f>IFERROR(VLOOKUP($E376,設定!$C:$F,4,0),"")</f>
        <v/>
      </c>
      <c r="I376" s="402"/>
      <c r="J376" s="8"/>
      <c r="K376" s="9"/>
      <c r="L376" s="9"/>
      <c r="M376" s="9"/>
      <c r="N376" s="9"/>
      <c r="O376" s="9"/>
      <c r="P376" s="9"/>
      <c r="Q376" s="9"/>
      <c r="R376" s="9"/>
      <c r="S376" s="9"/>
      <c r="T376" s="9"/>
      <c r="U376" s="9"/>
      <c r="V376" s="9"/>
      <c r="W376" s="9"/>
      <c r="X376" s="9"/>
      <c r="Y376" s="9"/>
      <c r="Z376" s="9"/>
      <c r="AA376" s="9"/>
      <c r="AB376" s="9"/>
      <c r="AC376" s="9"/>
      <c r="AD376" s="9"/>
      <c r="AE376" s="9"/>
      <c r="AF376" s="9"/>
      <c r="AG376" s="9"/>
      <c r="AH376" s="9"/>
      <c r="AI376" s="9"/>
      <c r="AJ376" s="9"/>
      <c r="AK376" s="9"/>
      <c r="AL376" s="9"/>
      <c r="AM376" s="9"/>
      <c r="AN376" s="10"/>
      <c r="AO376" s="65">
        <f t="shared" si="6"/>
        <v>0</v>
      </c>
    </row>
    <row r="377" spans="2:41" s="4" customFormat="1" ht="24" customHeight="1" x14ac:dyDescent="0.2">
      <c r="B377" s="14"/>
      <c r="C377" s="23"/>
      <c r="D377" s="21"/>
      <c r="E377" s="6"/>
      <c r="F377" s="16" t="str">
        <f>IFERROR(VLOOKUP($E377,設定!$C:$F,2,0),"")</f>
        <v/>
      </c>
      <c r="G377" s="156" t="str">
        <f>IFERROR(VLOOKUP($E377,設定!$C:$F,3,0),"")</f>
        <v/>
      </c>
      <c r="H377" s="131" t="str">
        <f>IFERROR(VLOOKUP($E377,設定!$C:$F,4,0),"")</f>
        <v/>
      </c>
      <c r="I377" s="402"/>
      <c r="J377" s="8"/>
      <c r="K377" s="9"/>
      <c r="L377" s="9"/>
      <c r="M377" s="9"/>
      <c r="N377" s="9"/>
      <c r="O377" s="9"/>
      <c r="P377" s="9"/>
      <c r="Q377" s="9"/>
      <c r="R377" s="9"/>
      <c r="S377" s="9"/>
      <c r="T377" s="9"/>
      <c r="U377" s="9"/>
      <c r="V377" s="9"/>
      <c r="W377" s="9"/>
      <c r="X377" s="9"/>
      <c r="Y377" s="9"/>
      <c r="Z377" s="9"/>
      <c r="AA377" s="9"/>
      <c r="AB377" s="9"/>
      <c r="AC377" s="9"/>
      <c r="AD377" s="9"/>
      <c r="AE377" s="9"/>
      <c r="AF377" s="9"/>
      <c r="AG377" s="9"/>
      <c r="AH377" s="9"/>
      <c r="AI377" s="9"/>
      <c r="AJ377" s="9"/>
      <c r="AK377" s="9"/>
      <c r="AL377" s="9"/>
      <c r="AM377" s="9"/>
      <c r="AN377" s="10"/>
      <c r="AO377" s="65">
        <f t="shared" si="6"/>
        <v>0</v>
      </c>
    </row>
    <row r="378" spans="2:41" s="4" customFormat="1" ht="24" customHeight="1" x14ac:dyDescent="0.2">
      <c r="B378" s="14"/>
      <c r="C378" s="23"/>
      <c r="D378" s="21"/>
      <c r="E378" s="6"/>
      <c r="F378" s="16" t="str">
        <f>IFERROR(VLOOKUP($E378,設定!$C:$F,2,0),"")</f>
        <v/>
      </c>
      <c r="G378" s="156" t="str">
        <f>IFERROR(VLOOKUP($E378,設定!$C:$F,3,0),"")</f>
        <v/>
      </c>
      <c r="H378" s="131" t="str">
        <f>IFERROR(VLOOKUP($E378,設定!$C:$F,4,0),"")</f>
        <v/>
      </c>
      <c r="I378" s="402"/>
      <c r="J378" s="8"/>
      <c r="K378" s="9"/>
      <c r="L378" s="9"/>
      <c r="M378" s="9"/>
      <c r="N378" s="9"/>
      <c r="O378" s="9"/>
      <c r="P378" s="9"/>
      <c r="Q378" s="9"/>
      <c r="R378" s="9"/>
      <c r="S378" s="9"/>
      <c r="T378" s="9"/>
      <c r="U378" s="9"/>
      <c r="V378" s="9"/>
      <c r="W378" s="9"/>
      <c r="X378" s="9"/>
      <c r="Y378" s="9"/>
      <c r="Z378" s="9"/>
      <c r="AA378" s="9"/>
      <c r="AB378" s="9"/>
      <c r="AC378" s="9"/>
      <c r="AD378" s="9"/>
      <c r="AE378" s="9"/>
      <c r="AF378" s="9"/>
      <c r="AG378" s="9"/>
      <c r="AH378" s="9"/>
      <c r="AI378" s="9"/>
      <c r="AJ378" s="9"/>
      <c r="AK378" s="9"/>
      <c r="AL378" s="9"/>
      <c r="AM378" s="9"/>
      <c r="AN378" s="10"/>
      <c r="AO378" s="65">
        <f t="shared" si="6"/>
        <v>0</v>
      </c>
    </row>
    <row r="379" spans="2:41" s="4" customFormat="1" ht="24" customHeight="1" x14ac:dyDescent="0.2">
      <c r="B379" s="14"/>
      <c r="C379" s="23"/>
      <c r="D379" s="21"/>
      <c r="E379" s="6"/>
      <c r="F379" s="16" t="str">
        <f>IFERROR(VLOOKUP($E379,設定!$C:$F,2,0),"")</f>
        <v/>
      </c>
      <c r="G379" s="156" t="str">
        <f>IFERROR(VLOOKUP($E379,設定!$C:$F,3,0),"")</f>
        <v/>
      </c>
      <c r="H379" s="131" t="str">
        <f>IFERROR(VLOOKUP($E379,設定!$C:$F,4,0),"")</f>
        <v/>
      </c>
      <c r="I379" s="402"/>
      <c r="J379" s="8"/>
      <c r="K379" s="9"/>
      <c r="L379" s="9"/>
      <c r="M379" s="9"/>
      <c r="N379" s="9"/>
      <c r="O379" s="9"/>
      <c r="P379" s="9"/>
      <c r="Q379" s="9"/>
      <c r="R379" s="9"/>
      <c r="S379" s="9"/>
      <c r="T379" s="9"/>
      <c r="U379" s="9"/>
      <c r="V379" s="9"/>
      <c r="W379" s="9"/>
      <c r="X379" s="9"/>
      <c r="Y379" s="9"/>
      <c r="Z379" s="9"/>
      <c r="AA379" s="9"/>
      <c r="AB379" s="9"/>
      <c r="AC379" s="9"/>
      <c r="AD379" s="9"/>
      <c r="AE379" s="9"/>
      <c r="AF379" s="9"/>
      <c r="AG379" s="9"/>
      <c r="AH379" s="9"/>
      <c r="AI379" s="9"/>
      <c r="AJ379" s="9"/>
      <c r="AK379" s="9"/>
      <c r="AL379" s="9"/>
      <c r="AM379" s="9"/>
      <c r="AN379" s="10"/>
      <c r="AO379" s="65">
        <f t="shared" si="6"/>
        <v>0</v>
      </c>
    </row>
    <row r="380" spans="2:41" s="4" customFormat="1" ht="24" customHeight="1" x14ac:dyDescent="0.2">
      <c r="B380" s="14"/>
      <c r="C380" s="23"/>
      <c r="D380" s="21"/>
      <c r="E380" s="6"/>
      <c r="F380" s="16" t="str">
        <f>IFERROR(VLOOKUP($E380,設定!$C:$F,2,0),"")</f>
        <v/>
      </c>
      <c r="G380" s="156" t="str">
        <f>IFERROR(VLOOKUP($E380,設定!$C:$F,3,0),"")</f>
        <v/>
      </c>
      <c r="H380" s="131" t="str">
        <f>IFERROR(VLOOKUP($E380,設定!$C:$F,4,0),"")</f>
        <v/>
      </c>
      <c r="I380" s="402"/>
      <c r="J380" s="8"/>
      <c r="K380" s="9"/>
      <c r="L380" s="9"/>
      <c r="M380" s="9"/>
      <c r="N380" s="9"/>
      <c r="O380" s="9"/>
      <c r="P380" s="9"/>
      <c r="Q380" s="9"/>
      <c r="R380" s="9"/>
      <c r="S380" s="9"/>
      <c r="T380" s="9"/>
      <c r="U380" s="9"/>
      <c r="V380" s="9"/>
      <c r="W380" s="9"/>
      <c r="X380" s="9"/>
      <c r="Y380" s="9"/>
      <c r="Z380" s="9"/>
      <c r="AA380" s="9"/>
      <c r="AB380" s="9"/>
      <c r="AC380" s="9"/>
      <c r="AD380" s="9"/>
      <c r="AE380" s="9"/>
      <c r="AF380" s="9"/>
      <c r="AG380" s="9"/>
      <c r="AH380" s="9"/>
      <c r="AI380" s="9"/>
      <c r="AJ380" s="9"/>
      <c r="AK380" s="9"/>
      <c r="AL380" s="9"/>
      <c r="AM380" s="9"/>
      <c r="AN380" s="10"/>
      <c r="AO380" s="65">
        <f t="shared" si="6"/>
        <v>0</v>
      </c>
    </row>
    <row r="381" spans="2:41" s="4" customFormat="1" ht="24" customHeight="1" x14ac:dyDescent="0.2">
      <c r="B381" s="14"/>
      <c r="C381" s="23"/>
      <c r="D381" s="21"/>
      <c r="E381" s="6"/>
      <c r="F381" s="16" t="str">
        <f>IFERROR(VLOOKUP($E381,設定!$C:$F,2,0),"")</f>
        <v/>
      </c>
      <c r="G381" s="156" t="str">
        <f>IFERROR(VLOOKUP($E381,設定!$C:$F,3,0),"")</f>
        <v/>
      </c>
      <c r="H381" s="131" t="str">
        <f>IFERROR(VLOOKUP($E381,設定!$C:$F,4,0),"")</f>
        <v/>
      </c>
      <c r="I381" s="402"/>
      <c r="J381" s="8"/>
      <c r="K381" s="9"/>
      <c r="L381" s="9"/>
      <c r="M381" s="9"/>
      <c r="N381" s="9"/>
      <c r="O381" s="9"/>
      <c r="P381" s="9"/>
      <c r="Q381" s="9"/>
      <c r="R381" s="9"/>
      <c r="S381" s="9"/>
      <c r="T381" s="9"/>
      <c r="U381" s="9"/>
      <c r="V381" s="9"/>
      <c r="W381" s="9"/>
      <c r="X381" s="9"/>
      <c r="Y381" s="9"/>
      <c r="Z381" s="9"/>
      <c r="AA381" s="9"/>
      <c r="AB381" s="9"/>
      <c r="AC381" s="9"/>
      <c r="AD381" s="9"/>
      <c r="AE381" s="9"/>
      <c r="AF381" s="9"/>
      <c r="AG381" s="9"/>
      <c r="AH381" s="9"/>
      <c r="AI381" s="9"/>
      <c r="AJ381" s="9"/>
      <c r="AK381" s="9"/>
      <c r="AL381" s="9"/>
      <c r="AM381" s="9"/>
      <c r="AN381" s="10"/>
      <c r="AO381" s="65">
        <f t="shared" si="6"/>
        <v>0</v>
      </c>
    </row>
    <row r="382" spans="2:41" s="4" customFormat="1" ht="24" customHeight="1" x14ac:dyDescent="0.2">
      <c r="B382" s="14"/>
      <c r="C382" s="23"/>
      <c r="D382" s="21"/>
      <c r="E382" s="6"/>
      <c r="F382" s="16" t="str">
        <f>IFERROR(VLOOKUP($E382,設定!$C:$F,2,0),"")</f>
        <v/>
      </c>
      <c r="G382" s="156" t="str">
        <f>IFERROR(VLOOKUP($E382,設定!$C:$F,3,0),"")</f>
        <v/>
      </c>
      <c r="H382" s="131" t="str">
        <f>IFERROR(VLOOKUP($E382,設定!$C:$F,4,0),"")</f>
        <v/>
      </c>
      <c r="I382" s="402"/>
      <c r="J382" s="8"/>
      <c r="K382" s="9"/>
      <c r="L382" s="9"/>
      <c r="M382" s="9"/>
      <c r="N382" s="9"/>
      <c r="O382" s="9"/>
      <c r="P382" s="9"/>
      <c r="Q382" s="9"/>
      <c r="R382" s="9"/>
      <c r="S382" s="9"/>
      <c r="T382" s="9"/>
      <c r="U382" s="9"/>
      <c r="V382" s="9"/>
      <c r="W382" s="9"/>
      <c r="X382" s="9"/>
      <c r="Y382" s="9"/>
      <c r="Z382" s="9"/>
      <c r="AA382" s="9"/>
      <c r="AB382" s="9"/>
      <c r="AC382" s="9"/>
      <c r="AD382" s="9"/>
      <c r="AE382" s="9"/>
      <c r="AF382" s="9"/>
      <c r="AG382" s="9"/>
      <c r="AH382" s="9"/>
      <c r="AI382" s="9"/>
      <c r="AJ382" s="9"/>
      <c r="AK382" s="9"/>
      <c r="AL382" s="9"/>
      <c r="AM382" s="9"/>
      <c r="AN382" s="10"/>
      <c r="AO382" s="65">
        <f t="shared" si="6"/>
        <v>0</v>
      </c>
    </row>
    <row r="383" spans="2:41" s="4" customFormat="1" ht="24" customHeight="1" x14ac:dyDescent="0.2">
      <c r="B383" s="14"/>
      <c r="C383" s="23"/>
      <c r="D383" s="21"/>
      <c r="E383" s="6"/>
      <c r="F383" s="16" t="str">
        <f>IFERROR(VLOOKUP($E383,設定!$C:$F,2,0),"")</f>
        <v/>
      </c>
      <c r="G383" s="156" t="str">
        <f>IFERROR(VLOOKUP($E383,設定!$C:$F,3,0),"")</f>
        <v/>
      </c>
      <c r="H383" s="131" t="str">
        <f>IFERROR(VLOOKUP($E383,設定!$C:$F,4,0),"")</f>
        <v/>
      </c>
      <c r="I383" s="402"/>
      <c r="J383" s="8"/>
      <c r="K383" s="9"/>
      <c r="L383" s="9"/>
      <c r="M383" s="9"/>
      <c r="N383" s="9"/>
      <c r="O383" s="9"/>
      <c r="P383" s="9"/>
      <c r="Q383" s="9"/>
      <c r="R383" s="9"/>
      <c r="S383" s="9"/>
      <c r="T383" s="9"/>
      <c r="U383" s="9"/>
      <c r="V383" s="9"/>
      <c r="W383" s="9"/>
      <c r="X383" s="9"/>
      <c r="Y383" s="9"/>
      <c r="Z383" s="9"/>
      <c r="AA383" s="9"/>
      <c r="AB383" s="9"/>
      <c r="AC383" s="9"/>
      <c r="AD383" s="9"/>
      <c r="AE383" s="9"/>
      <c r="AF383" s="9"/>
      <c r="AG383" s="9"/>
      <c r="AH383" s="9"/>
      <c r="AI383" s="9"/>
      <c r="AJ383" s="9"/>
      <c r="AK383" s="9"/>
      <c r="AL383" s="9"/>
      <c r="AM383" s="9"/>
      <c r="AN383" s="10"/>
      <c r="AO383" s="65">
        <f t="shared" si="6"/>
        <v>0</v>
      </c>
    </row>
    <row r="384" spans="2:41" s="4" customFormat="1" ht="24" customHeight="1" x14ac:dyDescent="0.2">
      <c r="B384" s="14"/>
      <c r="C384" s="23"/>
      <c r="D384" s="21"/>
      <c r="E384" s="6"/>
      <c r="F384" s="16" t="str">
        <f>IFERROR(VLOOKUP($E384,設定!$C:$F,2,0),"")</f>
        <v/>
      </c>
      <c r="G384" s="156" t="str">
        <f>IFERROR(VLOOKUP($E384,設定!$C:$F,3,0),"")</f>
        <v/>
      </c>
      <c r="H384" s="131" t="str">
        <f>IFERROR(VLOOKUP($E384,設定!$C:$F,4,0),"")</f>
        <v/>
      </c>
      <c r="I384" s="402"/>
      <c r="J384" s="8"/>
      <c r="K384" s="9"/>
      <c r="L384" s="9"/>
      <c r="M384" s="9"/>
      <c r="N384" s="9"/>
      <c r="O384" s="9"/>
      <c r="P384" s="9"/>
      <c r="Q384" s="9"/>
      <c r="R384" s="9"/>
      <c r="S384" s="9"/>
      <c r="T384" s="9"/>
      <c r="U384" s="9"/>
      <c r="V384" s="9"/>
      <c r="W384" s="9"/>
      <c r="X384" s="9"/>
      <c r="Y384" s="9"/>
      <c r="Z384" s="9"/>
      <c r="AA384" s="9"/>
      <c r="AB384" s="9"/>
      <c r="AC384" s="9"/>
      <c r="AD384" s="9"/>
      <c r="AE384" s="9"/>
      <c r="AF384" s="9"/>
      <c r="AG384" s="9"/>
      <c r="AH384" s="9"/>
      <c r="AI384" s="9"/>
      <c r="AJ384" s="9"/>
      <c r="AK384" s="9"/>
      <c r="AL384" s="9"/>
      <c r="AM384" s="9"/>
      <c r="AN384" s="10"/>
      <c r="AO384" s="65">
        <f t="shared" si="6"/>
        <v>0</v>
      </c>
    </row>
    <row r="385" spans="2:41" s="4" customFormat="1" ht="24" customHeight="1" x14ac:dyDescent="0.2">
      <c r="B385" s="14"/>
      <c r="C385" s="23"/>
      <c r="D385" s="21"/>
      <c r="E385" s="6"/>
      <c r="F385" s="16" t="str">
        <f>IFERROR(VLOOKUP($E385,設定!$C:$F,2,0),"")</f>
        <v/>
      </c>
      <c r="G385" s="156" t="str">
        <f>IFERROR(VLOOKUP($E385,設定!$C:$F,3,0),"")</f>
        <v/>
      </c>
      <c r="H385" s="131" t="str">
        <f>IFERROR(VLOOKUP($E385,設定!$C:$F,4,0),"")</f>
        <v/>
      </c>
      <c r="I385" s="402"/>
      <c r="J385" s="8"/>
      <c r="K385" s="9"/>
      <c r="L385" s="9"/>
      <c r="M385" s="9"/>
      <c r="N385" s="9"/>
      <c r="O385" s="9"/>
      <c r="P385" s="9"/>
      <c r="Q385" s="9"/>
      <c r="R385" s="9"/>
      <c r="S385" s="9"/>
      <c r="T385" s="9"/>
      <c r="U385" s="9"/>
      <c r="V385" s="9"/>
      <c r="W385" s="9"/>
      <c r="X385" s="9"/>
      <c r="Y385" s="9"/>
      <c r="Z385" s="9"/>
      <c r="AA385" s="9"/>
      <c r="AB385" s="9"/>
      <c r="AC385" s="9"/>
      <c r="AD385" s="9"/>
      <c r="AE385" s="9"/>
      <c r="AF385" s="9"/>
      <c r="AG385" s="9"/>
      <c r="AH385" s="9"/>
      <c r="AI385" s="9"/>
      <c r="AJ385" s="9"/>
      <c r="AK385" s="9"/>
      <c r="AL385" s="9"/>
      <c r="AM385" s="9"/>
      <c r="AN385" s="10"/>
      <c r="AO385" s="65">
        <f t="shared" si="6"/>
        <v>0</v>
      </c>
    </row>
    <row r="386" spans="2:41" s="4" customFormat="1" ht="24" customHeight="1" x14ac:dyDescent="0.2">
      <c r="B386" s="14"/>
      <c r="C386" s="23"/>
      <c r="D386" s="21"/>
      <c r="E386" s="6"/>
      <c r="F386" s="16" t="str">
        <f>IFERROR(VLOOKUP($E386,設定!$C:$F,2,0),"")</f>
        <v/>
      </c>
      <c r="G386" s="156" t="str">
        <f>IFERROR(VLOOKUP($E386,設定!$C:$F,3,0),"")</f>
        <v/>
      </c>
      <c r="H386" s="131" t="str">
        <f>IFERROR(VLOOKUP($E386,設定!$C:$F,4,0),"")</f>
        <v/>
      </c>
      <c r="I386" s="402"/>
      <c r="J386" s="8"/>
      <c r="K386" s="9"/>
      <c r="L386" s="9"/>
      <c r="M386" s="9"/>
      <c r="N386" s="9"/>
      <c r="O386" s="9"/>
      <c r="P386" s="9"/>
      <c r="Q386" s="9"/>
      <c r="R386" s="9"/>
      <c r="S386" s="9"/>
      <c r="T386" s="9"/>
      <c r="U386" s="9"/>
      <c r="V386" s="9"/>
      <c r="W386" s="9"/>
      <c r="X386" s="9"/>
      <c r="Y386" s="9"/>
      <c r="Z386" s="9"/>
      <c r="AA386" s="9"/>
      <c r="AB386" s="9"/>
      <c r="AC386" s="9"/>
      <c r="AD386" s="9"/>
      <c r="AE386" s="9"/>
      <c r="AF386" s="9"/>
      <c r="AG386" s="9"/>
      <c r="AH386" s="9"/>
      <c r="AI386" s="9"/>
      <c r="AJ386" s="9"/>
      <c r="AK386" s="9"/>
      <c r="AL386" s="9"/>
      <c r="AM386" s="9"/>
      <c r="AN386" s="10"/>
      <c r="AO386" s="65">
        <f t="shared" si="6"/>
        <v>0</v>
      </c>
    </row>
    <row r="387" spans="2:41" s="4" customFormat="1" ht="24" customHeight="1" x14ac:dyDescent="0.2">
      <c r="B387" s="14"/>
      <c r="C387" s="23"/>
      <c r="D387" s="21"/>
      <c r="E387" s="6"/>
      <c r="F387" s="16" t="str">
        <f>IFERROR(VLOOKUP($E387,設定!$C:$F,2,0),"")</f>
        <v/>
      </c>
      <c r="G387" s="156" t="str">
        <f>IFERROR(VLOOKUP($E387,設定!$C:$F,3,0),"")</f>
        <v/>
      </c>
      <c r="H387" s="131" t="str">
        <f>IFERROR(VLOOKUP($E387,設定!$C:$F,4,0),"")</f>
        <v/>
      </c>
      <c r="I387" s="402"/>
      <c r="J387" s="8"/>
      <c r="K387" s="9"/>
      <c r="L387" s="9"/>
      <c r="M387" s="9"/>
      <c r="N387" s="9"/>
      <c r="O387" s="9"/>
      <c r="P387" s="9"/>
      <c r="Q387" s="9"/>
      <c r="R387" s="9"/>
      <c r="S387" s="9"/>
      <c r="T387" s="9"/>
      <c r="U387" s="9"/>
      <c r="V387" s="9"/>
      <c r="W387" s="9"/>
      <c r="X387" s="9"/>
      <c r="Y387" s="9"/>
      <c r="Z387" s="9"/>
      <c r="AA387" s="9"/>
      <c r="AB387" s="9"/>
      <c r="AC387" s="9"/>
      <c r="AD387" s="9"/>
      <c r="AE387" s="9"/>
      <c r="AF387" s="9"/>
      <c r="AG387" s="9"/>
      <c r="AH387" s="9"/>
      <c r="AI387" s="9"/>
      <c r="AJ387" s="9"/>
      <c r="AK387" s="9"/>
      <c r="AL387" s="9"/>
      <c r="AM387" s="9"/>
      <c r="AN387" s="10"/>
      <c r="AO387" s="65">
        <f t="shared" si="6"/>
        <v>0</v>
      </c>
    </row>
    <row r="388" spans="2:41" s="4" customFormat="1" ht="24" customHeight="1" x14ac:dyDescent="0.2">
      <c r="B388" s="14"/>
      <c r="C388" s="23"/>
      <c r="D388" s="21"/>
      <c r="E388" s="6"/>
      <c r="F388" s="16" t="str">
        <f>IFERROR(VLOOKUP($E388,設定!$C:$F,2,0),"")</f>
        <v/>
      </c>
      <c r="G388" s="156" t="str">
        <f>IFERROR(VLOOKUP($E388,設定!$C:$F,3,0),"")</f>
        <v/>
      </c>
      <c r="H388" s="131" t="str">
        <f>IFERROR(VLOOKUP($E388,設定!$C:$F,4,0),"")</f>
        <v/>
      </c>
      <c r="I388" s="402"/>
      <c r="J388" s="8"/>
      <c r="K388" s="9"/>
      <c r="L388" s="9"/>
      <c r="M388" s="9"/>
      <c r="N388" s="9"/>
      <c r="O388" s="9"/>
      <c r="P388" s="9"/>
      <c r="Q388" s="9"/>
      <c r="R388" s="9"/>
      <c r="S388" s="9"/>
      <c r="T388" s="9"/>
      <c r="U388" s="9"/>
      <c r="V388" s="9"/>
      <c r="W388" s="9"/>
      <c r="X388" s="9"/>
      <c r="Y388" s="9"/>
      <c r="Z388" s="9"/>
      <c r="AA388" s="9"/>
      <c r="AB388" s="9"/>
      <c r="AC388" s="9"/>
      <c r="AD388" s="9"/>
      <c r="AE388" s="9"/>
      <c r="AF388" s="9"/>
      <c r="AG388" s="9"/>
      <c r="AH388" s="9"/>
      <c r="AI388" s="9"/>
      <c r="AJ388" s="9"/>
      <c r="AK388" s="9"/>
      <c r="AL388" s="9"/>
      <c r="AM388" s="9"/>
      <c r="AN388" s="10"/>
      <c r="AO388" s="65">
        <f t="shared" si="6"/>
        <v>0</v>
      </c>
    </row>
    <row r="389" spans="2:41" s="4" customFormat="1" ht="24" customHeight="1" x14ac:dyDescent="0.2">
      <c r="B389" s="14"/>
      <c r="C389" s="23"/>
      <c r="D389" s="21"/>
      <c r="E389" s="6"/>
      <c r="F389" s="16" t="str">
        <f>IFERROR(VLOOKUP($E389,設定!$C:$F,2,0),"")</f>
        <v/>
      </c>
      <c r="G389" s="156" t="str">
        <f>IFERROR(VLOOKUP($E389,設定!$C:$F,3,0),"")</f>
        <v/>
      </c>
      <c r="H389" s="131" t="str">
        <f>IFERROR(VLOOKUP($E389,設定!$C:$F,4,0),"")</f>
        <v/>
      </c>
      <c r="I389" s="402"/>
      <c r="J389" s="8"/>
      <c r="K389" s="9"/>
      <c r="L389" s="9"/>
      <c r="M389" s="9"/>
      <c r="N389" s="9"/>
      <c r="O389" s="9"/>
      <c r="P389" s="9"/>
      <c r="Q389" s="9"/>
      <c r="R389" s="9"/>
      <c r="S389" s="9"/>
      <c r="T389" s="9"/>
      <c r="U389" s="9"/>
      <c r="V389" s="9"/>
      <c r="W389" s="9"/>
      <c r="X389" s="9"/>
      <c r="Y389" s="9"/>
      <c r="Z389" s="9"/>
      <c r="AA389" s="9"/>
      <c r="AB389" s="9"/>
      <c r="AC389" s="9"/>
      <c r="AD389" s="9"/>
      <c r="AE389" s="9"/>
      <c r="AF389" s="9"/>
      <c r="AG389" s="9"/>
      <c r="AH389" s="9"/>
      <c r="AI389" s="9"/>
      <c r="AJ389" s="9"/>
      <c r="AK389" s="9"/>
      <c r="AL389" s="9"/>
      <c r="AM389" s="9"/>
      <c r="AN389" s="10"/>
      <c r="AO389" s="65">
        <f t="shared" si="6"/>
        <v>0</v>
      </c>
    </row>
    <row r="390" spans="2:41" s="4" customFormat="1" ht="24" customHeight="1" x14ac:dyDescent="0.2">
      <c r="B390" s="14"/>
      <c r="C390" s="23"/>
      <c r="D390" s="21"/>
      <c r="E390" s="6"/>
      <c r="F390" s="16" t="str">
        <f>IFERROR(VLOOKUP($E390,設定!$C:$F,2,0),"")</f>
        <v/>
      </c>
      <c r="G390" s="156" t="str">
        <f>IFERROR(VLOOKUP($E390,設定!$C:$F,3,0),"")</f>
        <v/>
      </c>
      <c r="H390" s="131" t="str">
        <f>IFERROR(VLOOKUP($E390,設定!$C:$F,4,0),"")</f>
        <v/>
      </c>
      <c r="I390" s="402"/>
      <c r="J390" s="8"/>
      <c r="K390" s="9"/>
      <c r="L390" s="9"/>
      <c r="M390" s="9"/>
      <c r="N390" s="9"/>
      <c r="O390" s="9"/>
      <c r="P390" s="9"/>
      <c r="Q390" s="9"/>
      <c r="R390" s="9"/>
      <c r="S390" s="9"/>
      <c r="T390" s="9"/>
      <c r="U390" s="9"/>
      <c r="V390" s="9"/>
      <c r="W390" s="9"/>
      <c r="X390" s="9"/>
      <c r="Y390" s="9"/>
      <c r="Z390" s="9"/>
      <c r="AA390" s="9"/>
      <c r="AB390" s="9"/>
      <c r="AC390" s="9"/>
      <c r="AD390" s="9"/>
      <c r="AE390" s="9"/>
      <c r="AF390" s="9"/>
      <c r="AG390" s="9"/>
      <c r="AH390" s="9"/>
      <c r="AI390" s="9"/>
      <c r="AJ390" s="9"/>
      <c r="AK390" s="9"/>
      <c r="AL390" s="9"/>
      <c r="AM390" s="9"/>
      <c r="AN390" s="10"/>
      <c r="AO390" s="65">
        <f t="shared" si="6"/>
        <v>0</v>
      </c>
    </row>
    <row r="391" spans="2:41" s="4" customFormat="1" ht="24" customHeight="1" x14ac:dyDescent="0.2">
      <c r="B391" s="14"/>
      <c r="C391" s="23"/>
      <c r="D391" s="21"/>
      <c r="E391" s="6"/>
      <c r="F391" s="16" t="str">
        <f>IFERROR(VLOOKUP($E391,設定!$C:$F,2,0),"")</f>
        <v/>
      </c>
      <c r="G391" s="156" t="str">
        <f>IFERROR(VLOOKUP($E391,設定!$C:$F,3,0),"")</f>
        <v/>
      </c>
      <c r="H391" s="131" t="str">
        <f>IFERROR(VLOOKUP($E391,設定!$C:$F,4,0),"")</f>
        <v/>
      </c>
      <c r="I391" s="402"/>
      <c r="J391" s="8"/>
      <c r="K391" s="9"/>
      <c r="L391" s="9"/>
      <c r="M391" s="9"/>
      <c r="N391" s="9"/>
      <c r="O391" s="9"/>
      <c r="P391" s="9"/>
      <c r="Q391" s="9"/>
      <c r="R391" s="9"/>
      <c r="S391" s="9"/>
      <c r="T391" s="9"/>
      <c r="U391" s="9"/>
      <c r="V391" s="9"/>
      <c r="W391" s="9"/>
      <c r="X391" s="9"/>
      <c r="Y391" s="9"/>
      <c r="Z391" s="9"/>
      <c r="AA391" s="9"/>
      <c r="AB391" s="9"/>
      <c r="AC391" s="9"/>
      <c r="AD391" s="9"/>
      <c r="AE391" s="9"/>
      <c r="AF391" s="9"/>
      <c r="AG391" s="9"/>
      <c r="AH391" s="9"/>
      <c r="AI391" s="9"/>
      <c r="AJ391" s="9"/>
      <c r="AK391" s="9"/>
      <c r="AL391" s="9"/>
      <c r="AM391" s="9"/>
      <c r="AN391" s="10"/>
      <c r="AO391" s="65">
        <f t="shared" ref="AO391:AO454" si="7">I391*SUM(J391:AN391)</f>
        <v>0</v>
      </c>
    </row>
    <row r="392" spans="2:41" s="4" customFormat="1" ht="24" customHeight="1" x14ac:dyDescent="0.2">
      <c r="B392" s="14"/>
      <c r="C392" s="23"/>
      <c r="D392" s="21"/>
      <c r="E392" s="6"/>
      <c r="F392" s="16" t="str">
        <f>IFERROR(VLOOKUP($E392,設定!$C:$F,2,0),"")</f>
        <v/>
      </c>
      <c r="G392" s="156" t="str">
        <f>IFERROR(VLOOKUP($E392,設定!$C:$F,3,0),"")</f>
        <v/>
      </c>
      <c r="H392" s="131" t="str">
        <f>IFERROR(VLOOKUP($E392,設定!$C:$F,4,0),"")</f>
        <v/>
      </c>
      <c r="I392" s="402"/>
      <c r="J392" s="8"/>
      <c r="K392" s="9"/>
      <c r="L392" s="9"/>
      <c r="M392" s="9"/>
      <c r="N392" s="9"/>
      <c r="O392" s="9"/>
      <c r="P392" s="9"/>
      <c r="Q392" s="9"/>
      <c r="R392" s="9"/>
      <c r="S392" s="9"/>
      <c r="T392" s="9"/>
      <c r="U392" s="9"/>
      <c r="V392" s="9"/>
      <c r="W392" s="9"/>
      <c r="X392" s="9"/>
      <c r="Y392" s="9"/>
      <c r="Z392" s="9"/>
      <c r="AA392" s="9"/>
      <c r="AB392" s="9"/>
      <c r="AC392" s="9"/>
      <c r="AD392" s="9"/>
      <c r="AE392" s="9"/>
      <c r="AF392" s="9"/>
      <c r="AG392" s="9"/>
      <c r="AH392" s="9"/>
      <c r="AI392" s="9"/>
      <c r="AJ392" s="9"/>
      <c r="AK392" s="9"/>
      <c r="AL392" s="9"/>
      <c r="AM392" s="9"/>
      <c r="AN392" s="10"/>
      <c r="AO392" s="65">
        <f t="shared" si="7"/>
        <v>0</v>
      </c>
    </row>
    <row r="393" spans="2:41" s="4" customFormat="1" ht="24" customHeight="1" x14ac:dyDescent="0.2">
      <c r="B393" s="14"/>
      <c r="C393" s="23"/>
      <c r="D393" s="21"/>
      <c r="E393" s="6"/>
      <c r="F393" s="16" t="str">
        <f>IFERROR(VLOOKUP($E393,設定!$C:$F,2,0),"")</f>
        <v/>
      </c>
      <c r="G393" s="156" t="str">
        <f>IFERROR(VLOOKUP($E393,設定!$C:$F,3,0),"")</f>
        <v/>
      </c>
      <c r="H393" s="131" t="str">
        <f>IFERROR(VLOOKUP($E393,設定!$C:$F,4,0),"")</f>
        <v/>
      </c>
      <c r="I393" s="402"/>
      <c r="J393" s="8"/>
      <c r="K393" s="9"/>
      <c r="L393" s="9"/>
      <c r="M393" s="9"/>
      <c r="N393" s="9"/>
      <c r="O393" s="9"/>
      <c r="P393" s="9"/>
      <c r="Q393" s="9"/>
      <c r="R393" s="9"/>
      <c r="S393" s="9"/>
      <c r="T393" s="9"/>
      <c r="U393" s="9"/>
      <c r="V393" s="9"/>
      <c r="W393" s="9"/>
      <c r="X393" s="9"/>
      <c r="Y393" s="9"/>
      <c r="Z393" s="9"/>
      <c r="AA393" s="9"/>
      <c r="AB393" s="9"/>
      <c r="AC393" s="9"/>
      <c r="AD393" s="9"/>
      <c r="AE393" s="9"/>
      <c r="AF393" s="9"/>
      <c r="AG393" s="9"/>
      <c r="AH393" s="9"/>
      <c r="AI393" s="9"/>
      <c r="AJ393" s="9"/>
      <c r="AK393" s="9"/>
      <c r="AL393" s="9"/>
      <c r="AM393" s="9"/>
      <c r="AN393" s="10"/>
      <c r="AO393" s="65">
        <f t="shared" si="7"/>
        <v>0</v>
      </c>
    </row>
    <row r="394" spans="2:41" s="4" customFormat="1" ht="24" customHeight="1" x14ac:dyDescent="0.2">
      <c r="B394" s="14"/>
      <c r="C394" s="23"/>
      <c r="D394" s="21"/>
      <c r="E394" s="6"/>
      <c r="F394" s="16" t="str">
        <f>IFERROR(VLOOKUP($E394,設定!$C:$F,2,0),"")</f>
        <v/>
      </c>
      <c r="G394" s="156" t="str">
        <f>IFERROR(VLOOKUP($E394,設定!$C:$F,3,0),"")</f>
        <v/>
      </c>
      <c r="H394" s="131" t="str">
        <f>IFERROR(VLOOKUP($E394,設定!$C:$F,4,0),"")</f>
        <v/>
      </c>
      <c r="I394" s="402"/>
      <c r="J394" s="8"/>
      <c r="K394" s="9"/>
      <c r="L394" s="9"/>
      <c r="M394" s="9"/>
      <c r="N394" s="9"/>
      <c r="O394" s="9"/>
      <c r="P394" s="9"/>
      <c r="Q394" s="9"/>
      <c r="R394" s="9"/>
      <c r="S394" s="9"/>
      <c r="T394" s="9"/>
      <c r="U394" s="9"/>
      <c r="V394" s="9"/>
      <c r="W394" s="9"/>
      <c r="X394" s="9"/>
      <c r="Y394" s="9"/>
      <c r="Z394" s="9"/>
      <c r="AA394" s="9"/>
      <c r="AB394" s="9"/>
      <c r="AC394" s="9"/>
      <c r="AD394" s="9"/>
      <c r="AE394" s="9"/>
      <c r="AF394" s="9"/>
      <c r="AG394" s="9"/>
      <c r="AH394" s="9"/>
      <c r="AI394" s="9"/>
      <c r="AJ394" s="9"/>
      <c r="AK394" s="9"/>
      <c r="AL394" s="9"/>
      <c r="AM394" s="9"/>
      <c r="AN394" s="10"/>
      <c r="AO394" s="65">
        <f t="shared" si="7"/>
        <v>0</v>
      </c>
    </row>
    <row r="395" spans="2:41" s="4" customFormat="1" ht="24" customHeight="1" x14ac:dyDescent="0.2">
      <c r="B395" s="14"/>
      <c r="C395" s="23"/>
      <c r="D395" s="21"/>
      <c r="E395" s="6"/>
      <c r="F395" s="16" t="str">
        <f>IFERROR(VLOOKUP($E395,設定!$C:$F,2,0),"")</f>
        <v/>
      </c>
      <c r="G395" s="156" t="str">
        <f>IFERROR(VLOOKUP($E395,設定!$C:$F,3,0),"")</f>
        <v/>
      </c>
      <c r="H395" s="131" t="str">
        <f>IFERROR(VLOOKUP($E395,設定!$C:$F,4,0),"")</f>
        <v/>
      </c>
      <c r="I395" s="402"/>
      <c r="J395" s="8"/>
      <c r="K395" s="9"/>
      <c r="L395" s="9"/>
      <c r="M395" s="9"/>
      <c r="N395" s="9"/>
      <c r="O395" s="9"/>
      <c r="P395" s="9"/>
      <c r="Q395" s="9"/>
      <c r="R395" s="9"/>
      <c r="S395" s="9"/>
      <c r="T395" s="9"/>
      <c r="U395" s="9"/>
      <c r="V395" s="9"/>
      <c r="W395" s="9"/>
      <c r="X395" s="9"/>
      <c r="Y395" s="9"/>
      <c r="Z395" s="9"/>
      <c r="AA395" s="9"/>
      <c r="AB395" s="9"/>
      <c r="AC395" s="9"/>
      <c r="AD395" s="9"/>
      <c r="AE395" s="9"/>
      <c r="AF395" s="9"/>
      <c r="AG395" s="9"/>
      <c r="AH395" s="9"/>
      <c r="AI395" s="9"/>
      <c r="AJ395" s="9"/>
      <c r="AK395" s="9"/>
      <c r="AL395" s="9"/>
      <c r="AM395" s="9"/>
      <c r="AN395" s="10"/>
      <c r="AO395" s="65">
        <f t="shared" si="7"/>
        <v>0</v>
      </c>
    </row>
    <row r="396" spans="2:41" s="4" customFormat="1" ht="24" customHeight="1" x14ac:dyDescent="0.2">
      <c r="B396" s="14"/>
      <c r="C396" s="23"/>
      <c r="D396" s="21"/>
      <c r="E396" s="6"/>
      <c r="F396" s="16" t="str">
        <f>IFERROR(VLOOKUP($E396,設定!$C:$F,2,0),"")</f>
        <v/>
      </c>
      <c r="G396" s="156" t="str">
        <f>IFERROR(VLOOKUP($E396,設定!$C:$F,3,0),"")</f>
        <v/>
      </c>
      <c r="H396" s="131" t="str">
        <f>IFERROR(VLOOKUP($E396,設定!$C:$F,4,0),"")</f>
        <v/>
      </c>
      <c r="I396" s="402"/>
      <c r="J396" s="8"/>
      <c r="K396" s="9"/>
      <c r="L396" s="9"/>
      <c r="M396" s="9"/>
      <c r="N396" s="9"/>
      <c r="O396" s="9"/>
      <c r="P396" s="9"/>
      <c r="Q396" s="9"/>
      <c r="R396" s="9"/>
      <c r="S396" s="9"/>
      <c r="T396" s="9"/>
      <c r="U396" s="9"/>
      <c r="V396" s="9"/>
      <c r="W396" s="9"/>
      <c r="X396" s="9"/>
      <c r="Y396" s="9"/>
      <c r="Z396" s="9"/>
      <c r="AA396" s="9"/>
      <c r="AB396" s="9"/>
      <c r="AC396" s="9"/>
      <c r="AD396" s="9"/>
      <c r="AE396" s="9"/>
      <c r="AF396" s="9"/>
      <c r="AG396" s="9"/>
      <c r="AH396" s="9"/>
      <c r="AI396" s="9"/>
      <c r="AJ396" s="9"/>
      <c r="AK396" s="9"/>
      <c r="AL396" s="9"/>
      <c r="AM396" s="9"/>
      <c r="AN396" s="10"/>
      <c r="AO396" s="65">
        <f t="shared" si="7"/>
        <v>0</v>
      </c>
    </row>
    <row r="397" spans="2:41" s="4" customFormat="1" ht="24" customHeight="1" x14ac:dyDescent="0.2">
      <c r="B397" s="14"/>
      <c r="C397" s="23"/>
      <c r="D397" s="21"/>
      <c r="E397" s="6"/>
      <c r="F397" s="16" t="str">
        <f>IFERROR(VLOOKUP($E397,設定!$C:$F,2,0),"")</f>
        <v/>
      </c>
      <c r="G397" s="156" t="str">
        <f>IFERROR(VLOOKUP($E397,設定!$C:$F,3,0),"")</f>
        <v/>
      </c>
      <c r="H397" s="131" t="str">
        <f>IFERROR(VLOOKUP($E397,設定!$C:$F,4,0),"")</f>
        <v/>
      </c>
      <c r="I397" s="402"/>
      <c r="J397" s="8"/>
      <c r="K397" s="9"/>
      <c r="L397" s="9"/>
      <c r="M397" s="9"/>
      <c r="N397" s="9"/>
      <c r="O397" s="9"/>
      <c r="P397" s="9"/>
      <c r="Q397" s="9"/>
      <c r="R397" s="9"/>
      <c r="S397" s="9"/>
      <c r="T397" s="9"/>
      <c r="U397" s="9"/>
      <c r="V397" s="9"/>
      <c r="W397" s="9"/>
      <c r="X397" s="9"/>
      <c r="Y397" s="9"/>
      <c r="Z397" s="9"/>
      <c r="AA397" s="9"/>
      <c r="AB397" s="9"/>
      <c r="AC397" s="9"/>
      <c r="AD397" s="9"/>
      <c r="AE397" s="9"/>
      <c r="AF397" s="9"/>
      <c r="AG397" s="9"/>
      <c r="AH397" s="9"/>
      <c r="AI397" s="9"/>
      <c r="AJ397" s="9"/>
      <c r="AK397" s="9"/>
      <c r="AL397" s="9"/>
      <c r="AM397" s="9"/>
      <c r="AN397" s="10"/>
      <c r="AO397" s="65">
        <f t="shared" si="7"/>
        <v>0</v>
      </c>
    </row>
    <row r="398" spans="2:41" s="4" customFormat="1" ht="24" customHeight="1" x14ac:dyDescent="0.2">
      <c r="B398" s="14"/>
      <c r="C398" s="23"/>
      <c r="D398" s="21"/>
      <c r="E398" s="6"/>
      <c r="F398" s="16" t="str">
        <f>IFERROR(VLOOKUP($E398,設定!$C:$F,2,0),"")</f>
        <v/>
      </c>
      <c r="G398" s="156" t="str">
        <f>IFERROR(VLOOKUP($E398,設定!$C:$F,3,0),"")</f>
        <v/>
      </c>
      <c r="H398" s="131" t="str">
        <f>IFERROR(VLOOKUP($E398,設定!$C:$F,4,0),"")</f>
        <v/>
      </c>
      <c r="I398" s="402"/>
      <c r="J398" s="8"/>
      <c r="K398" s="9"/>
      <c r="L398" s="9"/>
      <c r="M398" s="9"/>
      <c r="N398" s="9"/>
      <c r="O398" s="9"/>
      <c r="P398" s="9"/>
      <c r="Q398" s="9"/>
      <c r="R398" s="9"/>
      <c r="S398" s="9"/>
      <c r="T398" s="9"/>
      <c r="U398" s="9"/>
      <c r="V398" s="9"/>
      <c r="W398" s="9"/>
      <c r="X398" s="9"/>
      <c r="Y398" s="9"/>
      <c r="Z398" s="9"/>
      <c r="AA398" s="9"/>
      <c r="AB398" s="9"/>
      <c r="AC398" s="9"/>
      <c r="AD398" s="9"/>
      <c r="AE398" s="9"/>
      <c r="AF398" s="9"/>
      <c r="AG398" s="9"/>
      <c r="AH398" s="9"/>
      <c r="AI398" s="9"/>
      <c r="AJ398" s="9"/>
      <c r="AK398" s="9"/>
      <c r="AL398" s="9"/>
      <c r="AM398" s="9"/>
      <c r="AN398" s="10"/>
      <c r="AO398" s="65">
        <f t="shared" si="7"/>
        <v>0</v>
      </c>
    </row>
    <row r="399" spans="2:41" s="4" customFormat="1" ht="24" customHeight="1" x14ac:dyDescent="0.2">
      <c r="B399" s="14"/>
      <c r="C399" s="23"/>
      <c r="D399" s="21"/>
      <c r="E399" s="6"/>
      <c r="F399" s="16" t="str">
        <f>IFERROR(VLOOKUP($E399,設定!$C:$F,2,0),"")</f>
        <v/>
      </c>
      <c r="G399" s="156" t="str">
        <f>IFERROR(VLOOKUP($E399,設定!$C:$F,3,0),"")</f>
        <v/>
      </c>
      <c r="H399" s="131" t="str">
        <f>IFERROR(VLOOKUP($E399,設定!$C:$F,4,0),"")</f>
        <v/>
      </c>
      <c r="I399" s="402"/>
      <c r="J399" s="8"/>
      <c r="K399" s="9"/>
      <c r="L399" s="9"/>
      <c r="M399" s="9"/>
      <c r="N399" s="9"/>
      <c r="O399" s="9"/>
      <c r="P399" s="9"/>
      <c r="Q399" s="9"/>
      <c r="R399" s="9"/>
      <c r="S399" s="9"/>
      <c r="T399" s="9"/>
      <c r="U399" s="9"/>
      <c r="V399" s="9"/>
      <c r="W399" s="9"/>
      <c r="X399" s="9"/>
      <c r="Y399" s="9"/>
      <c r="Z399" s="9"/>
      <c r="AA399" s="9"/>
      <c r="AB399" s="9"/>
      <c r="AC399" s="9"/>
      <c r="AD399" s="9"/>
      <c r="AE399" s="9"/>
      <c r="AF399" s="9"/>
      <c r="AG399" s="9"/>
      <c r="AH399" s="9"/>
      <c r="AI399" s="9"/>
      <c r="AJ399" s="9"/>
      <c r="AK399" s="9"/>
      <c r="AL399" s="9"/>
      <c r="AM399" s="9"/>
      <c r="AN399" s="10"/>
      <c r="AO399" s="65">
        <f t="shared" si="7"/>
        <v>0</v>
      </c>
    </row>
    <row r="400" spans="2:41" s="4" customFormat="1" ht="24" customHeight="1" x14ac:dyDescent="0.2">
      <c r="B400" s="14"/>
      <c r="C400" s="23"/>
      <c r="D400" s="21"/>
      <c r="E400" s="6"/>
      <c r="F400" s="16" t="str">
        <f>IFERROR(VLOOKUP($E400,設定!$C:$F,2,0),"")</f>
        <v/>
      </c>
      <c r="G400" s="156" t="str">
        <f>IFERROR(VLOOKUP($E400,設定!$C:$F,3,0),"")</f>
        <v/>
      </c>
      <c r="H400" s="131" t="str">
        <f>IFERROR(VLOOKUP($E400,設定!$C:$F,4,0),"")</f>
        <v/>
      </c>
      <c r="I400" s="402"/>
      <c r="J400" s="8"/>
      <c r="K400" s="9"/>
      <c r="L400" s="9"/>
      <c r="M400" s="9"/>
      <c r="N400" s="9"/>
      <c r="O400" s="9"/>
      <c r="P400" s="9"/>
      <c r="Q400" s="9"/>
      <c r="R400" s="9"/>
      <c r="S400" s="9"/>
      <c r="T400" s="9"/>
      <c r="U400" s="9"/>
      <c r="V400" s="9"/>
      <c r="W400" s="9"/>
      <c r="X400" s="9"/>
      <c r="Y400" s="9"/>
      <c r="Z400" s="9"/>
      <c r="AA400" s="9"/>
      <c r="AB400" s="9"/>
      <c r="AC400" s="9"/>
      <c r="AD400" s="9"/>
      <c r="AE400" s="9"/>
      <c r="AF400" s="9"/>
      <c r="AG400" s="9"/>
      <c r="AH400" s="9"/>
      <c r="AI400" s="9"/>
      <c r="AJ400" s="9"/>
      <c r="AK400" s="9"/>
      <c r="AL400" s="9"/>
      <c r="AM400" s="9"/>
      <c r="AN400" s="10"/>
      <c r="AO400" s="65">
        <f t="shared" si="7"/>
        <v>0</v>
      </c>
    </row>
    <row r="401" spans="2:41" s="4" customFormat="1" ht="24" customHeight="1" x14ac:dyDescent="0.2">
      <c r="B401" s="14"/>
      <c r="C401" s="23"/>
      <c r="D401" s="21"/>
      <c r="E401" s="6"/>
      <c r="F401" s="16" t="str">
        <f>IFERROR(VLOOKUP($E401,設定!$C:$F,2,0),"")</f>
        <v/>
      </c>
      <c r="G401" s="156" t="str">
        <f>IFERROR(VLOOKUP($E401,設定!$C:$F,3,0),"")</f>
        <v/>
      </c>
      <c r="H401" s="131" t="str">
        <f>IFERROR(VLOOKUP($E401,設定!$C:$F,4,0),"")</f>
        <v/>
      </c>
      <c r="I401" s="402"/>
      <c r="J401" s="8"/>
      <c r="K401" s="9"/>
      <c r="L401" s="9"/>
      <c r="M401" s="9"/>
      <c r="N401" s="9"/>
      <c r="O401" s="9"/>
      <c r="P401" s="9"/>
      <c r="Q401" s="9"/>
      <c r="R401" s="9"/>
      <c r="S401" s="9"/>
      <c r="T401" s="9"/>
      <c r="U401" s="9"/>
      <c r="V401" s="9"/>
      <c r="W401" s="9"/>
      <c r="X401" s="9"/>
      <c r="Y401" s="9"/>
      <c r="Z401" s="9"/>
      <c r="AA401" s="9"/>
      <c r="AB401" s="9"/>
      <c r="AC401" s="9"/>
      <c r="AD401" s="9"/>
      <c r="AE401" s="9"/>
      <c r="AF401" s="9"/>
      <c r="AG401" s="9"/>
      <c r="AH401" s="9"/>
      <c r="AI401" s="9"/>
      <c r="AJ401" s="9"/>
      <c r="AK401" s="9"/>
      <c r="AL401" s="9"/>
      <c r="AM401" s="9"/>
      <c r="AN401" s="10"/>
      <c r="AO401" s="65">
        <f t="shared" si="7"/>
        <v>0</v>
      </c>
    </row>
    <row r="402" spans="2:41" s="4" customFormat="1" ht="24" customHeight="1" x14ac:dyDescent="0.2">
      <c r="B402" s="14"/>
      <c r="C402" s="23"/>
      <c r="D402" s="21"/>
      <c r="E402" s="6"/>
      <c r="F402" s="16" t="str">
        <f>IFERROR(VLOOKUP($E402,設定!$C:$F,2,0),"")</f>
        <v/>
      </c>
      <c r="G402" s="156" t="str">
        <f>IFERROR(VLOOKUP($E402,設定!$C:$F,3,0),"")</f>
        <v/>
      </c>
      <c r="H402" s="131" t="str">
        <f>IFERROR(VLOOKUP($E402,設定!$C:$F,4,0),"")</f>
        <v/>
      </c>
      <c r="I402" s="402"/>
      <c r="J402" s="8"/>
      <c r="K402" s="9"/>
      <c r="L402" s="9"/>
      <c r="M402" s="9"/>
      <c r="N402" s="9"/>
      <c r="O402" s="9"/>
      <c r="P402" s="9"/>
      <c r="Q402" s="9"/>
      <c r="R402" s="9"/>
      <c r="S402" s="9"/>
      <c r="T402" s="9"/>
      <c r="U402" s="9"/>
      <c r="V402" s="9"/>
      <c r="W402" s="9"/>
      <c r="X402" s="9"/>
      <c r="Y402" s="9"/>
      <c r="Z402" s="9"/>
      <c r="AA402" s="9"/>
      <c r="AB402" s="9"/>
      <c r="AC402" s="9"/>
      <c r="AD402" s="9"/>
      <c r="AE402" s="9"/>
      <c r="AF402" s="9"/>
      <c r="AG402" s="9"/>
      <c r="AH402" s="9"/>
      <c r="AI402" s="9"/>
      <c r="AJ402" s="9"/>
      <c r="AK402" s="9"/>
      <c r="AL402" s="9"/>
      <c r="AM402" s="9"/>
      <c r="AN402" s="10"/>
      <c r="AO402" s="65">
        <f t="shared" si="7"/>
        <v>0</v>
      </c>
    </row>
    <row r="403" spans="2:41" s="4" customFormat="1" ht="24" customHeight="1" x14ac:dyDescent="0.2">
      <c r="B403" s="14"/>
      <c r="C403" s="23"/>
      <c r="D403" s="21"/>
      <c r="E403" s="6"/>
      <c r="F403" s="16" t="str">
        <f>IFERROR(VLOOKUP($E403,設定!$C:$F,2,0),"")</f>
        <v/>
      </c>
      <c r="G403" s="156" t="str">
        <f>IFERROR(VLOOKUP($E403,設定!$C:$F,3,0),"")</f>
        <v/>
      </c>
      <c r="H403" s="131" t="str">
        <f>IFERROR(VLOOKUP($E403,設定!$C:$F,4,0),"")</f>
        <v/>
      </c>
      <c r="I403" s="402"/>
      <c r="J403" s="8"/>
      <c r="K403" s="9"/>
      <c r="L403" s="9"/>
      <c r="M403" s="9"/>
      <c r="N403" s="9"/>
      <c r="O403" s="9"/>
      <c r="P403" s="9"/>
      <c r="Q403" s="9"/>
      <c r="R403" s="9"/>
      <c r="S403" s="9"/>
      <c r="T403" s="9"/>
      <c r="U403" s="9"/>
      <c r="V403" s="9"/>
      <c r="W403" s="9"/>
      <c r="X403" s="9"/>
      <c r="Y403" s="9"/>
      <c r="Z403" s="9"/>
      <c r="AA403" s="9"/>
      <c r="AB403" s="9"/>
      <c r="AC403" s="9"/>
      <c r="AD403" s="9"/>
      <c r="AE403" s="9"/>
      <c r="AF403" s="9"/>
      <c r="AG403" s="9"/>
      <c r="AH403" s="9"/>
      <c r="AI403" s="9"/>
      <c r="AJ403" s="9"/>
      <c r="AK403" s="9"/>
      <c r="AL403" s="9"/>
      <c r="AM403" s="9"/>
      <c r="AN403" s="10"/>
      <c r="AO403" s="65">
        <f t="shared" si="7"/>
        <v>0</v>
      </c>
    </row>
    <row r="404" spans="2:41" s="4" customFormat="1" ht="24" customHeight="1" x14ac:dyDescent="0.2">
      <c r="B404" s="14"/>
      <c r="C404" s="23"/>
      <c r="D404" s="21"/>
      <c r="E404" s="6"/>
      <c r="F404" s="16" t="str">
        <f>IFERROR(VLOOKUP($E404,設定!$C:$F,2,0),"")</f>
        <v/>
      </c>
      <c r="G404" s="156" t="str">
        <f>IFERROR(VLOOKUP($E404,設定!$C:$F,3,0),"")</f>
        <v/>
      </c>
      <c r="H404" s="131" t="str">
        <f>IFERROR(VLOOKUP($E404,設定!$C:$F,4,0),"")</f>
        <v/>
      </c>
      <c r="I404" s="402"/>
      <c r="J404" s="8"/>
      <c r="K404" s="9"/>
      <c r="L404" s="9"/>
      <c r="M404" s="9"/>
      <c r="N404" s="9"/>
      <c r="O404" s="9"/>
      <c r="P404" s="9"/>
      <c r="Q404" s="9"/>
      <c r="R404" s="9"/>
      <c r="S404" s="9"/>
      <c r="T404" s="9"/>
      <c r="U404" s="9"/>
      <c r="V404" s="9"/>
      <c r="W404" s="9"/>
      <c r="X404" s="9"/>
      <c r="Y404" s="9"/>
      <c r="Z404" s="9"/>
      <c r="AA404" s="9"/>
      <c r="AB404" s="9"/>
      <c r="AC404" s="9"/>
      <c r="AD404" s="9"/>
      <c r="AE404" s="9"/>
      <c r="AF404" s="9"/>
      <c r="AG404" s="9"/>
      <c r="AH404" s="9"/>
      <c r="AI404" s="9"/>
      <c r="AJ404" s="9"/>
      <c r="AK404" s="9"/>
      <c r="AL404" s="9"/>
      <c r="AM404" s="9"/>
      <c r="AN404" s="10"/>
      <c r="AO404" s="65">
        <f t="shared" si="7"/>
        <v>0</v>
      </c>
    </row>
    <row r="405" spans="2:41" s="4" customFormat="1" ht="24" customHeight="1" x14ac:dyDescent="0.2">
      <c r="B405" s="14"/>
      <c r="C405" s="23"/>
      <c r="D405" s="21"/>
      <c r="E405" s="6"/>
      <c r="F405" s="16" t="str">
        <f>IFERROR(VLOOKUP($E405,設定!$C:$F,2,0),"")</f>
        <v/>
      </c>
      <c r="G405" s="156" t="str">
        <f>IFERROR(VLOOKUP($E405,設定!$C:$F,3,0),"")</f>
        <v/>
      </c>
      <c r="H405" s="131" t="str">
        <f>IFERROR(VLOOKUP($E405,設定!$C:$F,4,0),"")</f>
        <v/>
      </c>
      <c r="I405" s="402"/>
      <c r="J405" s="8"/>
      <c r="K405" s="9"/>
      <c r="L405" s="9"/>
      <c r="M405" s="9"/>
      <c r="N405" s="9"/>
      <c r="O405" s="9"/>
      <c r="P405" s="9"/>
      <c r="Q405" s="9"/>
      <c r="R405" s="9"/>
      <c r="S405" s="9"/>
      <c r="T405" s="9"/>
      <c r="U405" s="9"/>
      <c r="V405" s="9"/>
      <c r="W405" s="9"/>
      <c r="X405" s="9"/>
      <c r="Y405" s="9"/>
      <c r="Z405" s="9"/>
      <c r="AA405" s="9"/>
      <c r="AB405" s="9"/>
      <c r="AC405" s="9"/>
      <c r="AD405" s="9"/>
      <c r="AE405" s="9"/>
      <c r="AF405" s="9"/>
      <c r="AG405" s="9"/>
      <c r="AH405" s="9"/>
      <c r="AI405" s="9"/>
      <c r="AJ405" s="9"/>
      <c r="AK405" s="9"/>
      <c r="AL405" s="9"/>
      <c r="AM405" s="9"/>
      <c r="AN405" s="10"/>
      <c r="AO405" s="65">
        <f t="shared" si="7"/>
        <v>0</v>
      </c>
    </row>
    <row r="406" spans="2:41" s="4" customFormat="1" ht="24" customHeight="1" x14ac:dyDescent="0.2">
      <c r="B406" s="14"/>
      <c r="C406" s="23"/>
      <c r="D406" s="21"/>
      <c r="E406" s="6"/>
      <c r="F406" s="16" t="str">
        <f>IFERROR(VLOOKUP($E406,設定!$C:$F,2,0),"")</f>
        <v/>
      </c>
      <c r="G406" s="156" t="str">
        <f>IFERROR(VLOOKUP($E406,設定!$C:$F,3,0),"")</f>
        <v/>
      </c>
      <c r="H406" s="131" t="str">
        <f>IFERROR(VLOOKUP($E406,設定!$C:$F,4,0),"")</f>
        <v/>
      </c>
      <c r="I406" s="402"/>
      <c r="J406" s="8"/>
      <c r="K406" s="9"/>
      <c r="L406" s="9"/>
      <c r="M406" s="9"/>
      <c r="N406" s="9"/>
      <c r="O406" s="9"/>
      <c r="P406" s="9"/>
      <c r="Q406" s="9"/>
      <c r="R406" s="9"/>
      <c r="S406" s="9"/>
      <c r="T406" s="9"/>
      <c r="U406" s="9"/>
      <c r="V406" s="9"/>
      <c r="W406" s="9"/>
      <c r="X406" s="9"/>
      <c r="Y406" s="9"/>
      <c r="Z406" s="9"/>
      <c r="AA406" s="9"/>
      <c r="AB406" s="9"/>
      <c r="AC406" s="9"/>
      <c r="AD406" s="9"/>
      <c r="AE406" s="9"/>
      <c r="AF406" s="9"/>
      <c r="AG406" s="9"/>
      <c r="AH406" s="9"/>
      <c r="AI406" s="9"/>
      <c r="AJ406" s="9"/>
      <c r="AK406" s="9"/>
      <c r="AL406" s="9"/>
      <c r="AM406" s="9"/>
      <c r="AN406" s="10"/>
      <c r="AO406" s="65">
        <f t="shared" si="7"/>
        <v>0</v>
      </c>
    </row>
    <row r="407" spans="2:41" s="4" customFormat="1" ht="24" customHeight="1" x14ac:dyDescent="0.2">
      <c r="B407" s="14"/>
      <c r="C407" s="23"/>
      <c r="D407" s="21"/>
      <c r="E407" s="6"/>
      <c r="F407" s="16" t="str">
        <f>IFERROR(VLOOKUP($E407,設定!$C:$F,2,0),"")</f>
        <v/>
      </c>
      <c r="G407" s="156" t="str">
        <f>IFERROR(VLOOKUP($E407,設定!$C:$F,3,0),"")</f>
        <v/>
      </c>
      <c r="H407" s="131" t="str">
        <f>IFERROR(VLOOKUP($E407,設定!$C:$F,4,0),"")</f>
        <v/>
      </c>
      <c r="I407" s="402"/>
      <c r="J407" s="8"/>
      <c r="K407" s="9"/>
      <c r="L407" s="9"/>
      <c r="M407" s="9"/>
      <c r="N407" s="9"/>
      <c r="O407" s="9"/>
      <c r="P407" s="9"/>
      <c r="Q407" s="9"/>
      <c r="R407" s="9"/>
      <c r="S407" s="9"/>
      <c r="T407" s="9"/>
      <c r="U407" s="9"/>
      <c r="V407" s="9"/>
      <c r="W407" s="9"/>
      <c r="X407" s="9"/>
      <c r="Y407" s="9"/>
      <c r="Z407" s="9"/>
      <c r="AA407" s="9"/>
      <c r="AB407" s="9"/>
      <c r="AC407" s="9"/>
      <c r="AD407" s="9"/>
      <c r="AE407" s="9"/>
      <c r="AF407" s="9"/>
      <c r="AG407" s="9"/>
      <c r="AH407" s="9"/>
      <c r="AI407" s="9"/>
      <c r="AJ407" s="9"/>
      <c r="AK407" s="9"/>
      <c r="AL407" s="9"/>
      <c r="AM407" s="9"/>
      <c r="AN407" s="10"/>
      <c r="AO407" s="65">
        <f t="shared" si="7"/>
        <v>0</v>
      </c>
    </row>
    <row r="408" spans="2:41" s="4" customFormat="1" ht="24" customHeight="1" x14ac:dyDescent="0.2">
      <c r="B408" s="14"/>
      <c r="C408" s="23"/>
      <c r="D408" s="21"/>
      <c r="E408" s="6"/>
      <c r="F408" s="16" t="str">
        <f>IFERROR(VLOOKUP($E408,設定!$C:$F,2,0),"")</f>
        <v/>
      </c>
      <c r="G408" s="156" t="str">
        <f>IFERROR(VLOOKUP($E408,設定!$C:$F,3,0),"")</f>
        <v/>
      </c>
      <c r="H408" s="131" t="str">
        <f>IFERROR(VLOOKUP($E408,設定!$C:$F,4,0),"")</f>
        <v/>
      </c>
      <c r="I408" s="402"/>
      <c r="J408" s="8"/>
      <c r="K408" s="9"/>
      <c r="L408" s="9"/>
      <c r="M408" s="9"/>
      <c r="N408" s="9"/>
      <c r="O408" s="9"/>
      <c r="P408" s="9"/>
      <c r="Q408" s="9"/>
      <c r="R408" s="9"/>
      <c r="S408" s="9"/>
      <c r="T408" s="9"/>
      <c r="U408" s="9"/>
      <c r="V408" s="9"/>
      <c r="W408" s="9"/>
      <c r="X408" s="9"/>
      <c r="Y408" s="9"/>
      <c r="Z408" s="9"/>
      <c r="AA408" s="9"/>
      <c r="AB408" s="9"/>
      <c r="AC408" s="9"/>
      <c r="AD408" s="9"/>
      <c r="AE408" s="9"/>
      <c r="AF408" s="9"/>
      <c r="AG408" s="9"/>
      <c r="AH408" s="9"/>
      <c r="AI408" s="9"/>
      <c r="AJ408" s="9"/>
      <c r="AK408" s="9"/>
      <c r="AL408" s="9"/>
      <c r="AM408" s="9"/>
      <c r="AN408" s="10"/>
      <c r="AO408" s="65">
        <f t="shared" si="7"/>
        <v>0</v>
      </c>
    </row>
    <row r="409" spans="2:41" s="4" customFormat="1" ht="24" customHeight="1" x14ac:dyDescent="0.2">
      <c r="B409" s="14"/>
      <c r="C409" s="23"/>
      <c r="D409" s="21"/>
      <c r="E409" s="6"/>
      <c r="F409" s="16" t="str">
        <f>IFERROR(VLOOKUP($E409,設定!$C:$F,2,0),"")</f>
        <v/>
      </c>
      <c r="G409" s="156" t="str">
        <f>IFERROR(VLOOKUP($E409,設定!$C:$F,3,0),"")</f>
        <v/>
      </c>
      <c r="H409" s="131" t="str">
        <f>IFERROR(VLOOKUP($E409,設定!$C:$F,4,0),"")</f>
        <v/>
      </c>
      <c r="I409" s="402"/>
      <c r="J409" s="8"/>
      <c r="K409" s="9"/>
      <c r="L409" s="9"/>
      <c r="M409" s="9"/>
      <c r="N409" s="9"/>
      <c r="O409" s="9"/>
      <c r="P409" s="9"/>
      <c r="Q409" s="9"/>
      <c r="R409" s="9"/>
      <c r="S409" s="9"/>
      <c r="T409" s="9"/>
      <c r="U409" s="9"/>
      <c r="V409" s="9"/>
      <c r="W409" s="9"/>
      <c r="X409" s="9"/>
      <c r="Y409" s="9"/>
      <c r="Z409" s="9"/>
      <c r="AA409" s="9"/>
      <c r="AB409" s="9"/>
      <c r="AC409" s="9"/>
      <c r="AD409" s="9"/>
      <c r="AE409" s="9"/>
      <c r="AF409" s="9"/>
      <c r="AG409" s="9"/>
      <c r="AH409" s="9"/>
      <c r="AI409" s="9"/>
      <c r="AJ409" s="9"/>
      <c r="AK409" s="9"/>
      <c r="AL409" s="9"/>
      <c r="AM409" s="9"/>
      <c r="AN409" s="10"/>
      <c r="AO409" s="65">
        <f t="shared" si="7"/>
        <v>0</v>
      </c>
    </row>
    <row r="410" spans="2:41" s="4" customFormat="1" ht="24" customHeight="1" x14ac:dyDescent="0.2">
      <c r="B410" s="14"/>
      <c r="C410" s="23"/>
      <c r="D410" s="21"/>
      <c r="E410" s="6"/>
      <c r="F410" s="16" t="str">
        <f>IFERROR(VLOOKUP($E410,設定!$C:$F,2,0),"")</f>
        <v/>
      </c>
      <c r="G410" s="156" t="str">
        <f>IFERROR(VLOOKUP($E410,設定!$C:$F,3,0),"")</f>
        <v/>
      </c>
      <c r="H410" s="131" t="str">
        <f>IFERROR(VLOOKUP($E410,設定!$C:$F,4,0),"")</f>
        <v/>
      </c>
      <c r="I410" s="402"/>
      <c r="J410" s="8"/>
      <c r="K410" s="9"/>
      <c r="L410" s="9"/>
      <c r="M410" s="9"/>
      <c r="N410" s="9"/>
      <c r="O410" s="9"/>
      <c r="P410" s="9"/>
      <c r="Q410" s="9"/>
      <c r="R410" s="9"/>
      <c r="S410" s="9"/>
      <c r="T410" s="9"/>
      <c r="U410" s="9"/>
      <c r="V410" s="9"/>
      <c r="W410" s="9"/>
      <c r="X410" s="9"/>
      <c r="Y410" s="9"/>
      <c r="Z410" s="9"/>
      <c r="AA410" s="9"/>
      <c r="AB410" s="9"/>
      <c r="AC410" s="9"/>
      <c r="AD410" s="9"/>
      <c r="AE410" s="9"/>
      <c r="AF410" s="9"/>
      <c r="AG410" s="9"/>
      <c r="AH410" s="9"/>
      <c r="AI410" s="9"/>
      <c r="AJ410" s="9"/>
      <c r="AK410" s="9"/>
      <c r="AL410" s="9"/>
      <c r="AM410" s="9"/>
      <c r="AN410" s="10"/>
      <c r="AO410" s="65">
        <f t="shared" si="7"/>
        <v>0</v>
      </c>
    </row>
    <row r="411" spans="2:41" s="4" customFormat="1" ht="24" customHeight="1" x14ac:dyDescent="0.2">
      <c r="B411" s="14"/>
      <c r="C411" s="23"/>
      <c r="D411" s="21"/>
      <c r="E411" s="6"/>
      <c r="F411" s="16" t="str">
        <f>IFERROR(VLOOKUP($E411,設定!$C:$F,2,0),"")</f>
        <v/>
      </c>
      <c r="G411" s="156" t="str">
        <f>IFERROR(VLOOKUP($E411,設定!$C:$F,3,0),"")</f>
        <v/>
      </c>
      <c r="H411" s="131" t="str">
        <f>IFERROR(VLOOKUP($E411,設定!$C:$F,4,0),"")</f>
        <v/>
      </c>
      <c r="I411" s="402"/>
      <c r="J411" s="8"/>
      <c r="K411" s="9"/>
      <c r="L411" s="9"/>
      <c r="M411" s="9"/>
      <c r="N411" s="9"/>
      <c r="O411" s="9"/>
      <c r="P411" s="9"/>
      <c r="Q411" s="9"/>
      <c r="R411" s="9"/>
      <c r="S411" s="9"/>
      <c r="T411" s="9"/>
      <c r="U411" s="9"/>
      <c r="V411" s="9"/>
      <c r="W411" s="9"/>
      <c r="X411" s="9"/>
      <c r="Y411" s="9"/>
      <c r="Z411" s="9"/>
      <c r="AA411" s="9"/>
      <c r="AB411" s="9"/>
      <c r="AC411" s="9"/>
      <c r="AD411" s="9"/>
      <c r="AE411" s="9"/>
      <c r="AF411" s="9"/>
      <c r="AG411" s="9"/>
      <c r="AH411" s="9"/>
      <c r="AI411" s="9"/>
      <c r="AJ411" s="9"/>
      <c r="AK411" s="9"/>
      <c r="AL411" s="9"/>
      <c r="AM411" s="9"/>
      <c r="AN411" s="10"/>
      <c r="AO411" s="65">
        <f t="shared" si="7"/>
        <v>0</v>
      </c>
    </row>
    <row r="412" spans="2:41" s="4" customFormat="1" ht="24" customHeight="1" x14ac:dyDescent="0.2">
      <c r="B412" s="14"/>
      <c r="C412" s="23"/>
      <c r="D412" s="21"/>
      <c r="E412" s="6"/>
      <c r="F412" s="16" t="str">
        <f>IFERROR(VLOOKUP($E412,設定!$C:$F,2,0),"")</f>
        <v/>
      </c>
      <c r="G412" s="156" t="str">
        <f>IFERROR(VLOOKUP($E412,設定!$C:$F,3,0),"")</f>
        <v/>
      </c>
      <c r="H412" s="131" t="str">
        <f>IFERROR(VLOOKUP($E412,設定!$C:$F,4,0),"")</f>
        <v/>
      </c>
      <c r="I412" s="402"/>
      <c r="J412" s="8"/>
      <c r="K412" s="9"/>
      <c r="L412" s="9"/>
      <c r="M412" s="9"/>
      <c r="N412" s="9"/>
      <c r="O412" s="9"/>
      <c r="P412" s="9"/>
      <c r="Q412" s="9"/>
      <c r="R412" s="9"/>
      <c r="S412" s="9"/>
      <c r="T412" s="9"/>
      <c r="U412" s="9"/>
      <c r="V412" s="9"/>
      <c r="W412" s="9"/>
      <c r="X412" s="9"/>
      <c r="Y412" s="9"/>
      <c r="Z412" s="9"/>
      <c r="AA412" s="9"/>
      <c r="AB412" s="9"/>
      <c r="AC412" s="9"/>
      <c r="AD412" s="9"/>
      <c r="AE412" s="9"/>
      <c r="AF412" s="9"/>
      <c r="AG412" s="9"/>
      <c r="AH412" s="9"/>
      <c r="AI412" s="9"/>
      <c r="AJ412" s="9"/>
      <c r="AK412" s="9"/>
      <c r="AL412" s="9"/>
      <c r="AM412" s="9"/>
      <c r="AN412" s="10"/>
      <c r="AO412" s="65">
        <f t="shared" si="7"/>
        <v>0</v>
      </c>
    </row>
    <row r="413" spans="2:41" s="4" customFormat="1" ht="24" customHeight="1" x14ac:dyDescent="0.2">
      <c r="B413" s="14"/>
      <c r="C413" s="23"/>
      <c r="D413" s="21"/>
      <c r="E413" s="6"/>
      <c r="F413" s="16" t="str">
        <f>IFERROR(VLOOKUP($E413,設定!$C:$F,2,0),"")</f>
        <v/>
      </c>
      <c r="G413" s="156" t="str">
        <f>IFERROR(VLOOKUP($E413,設定!$C:$F,3,0),"")</f>
        <v/>
      </c>
      <c r="H413" s="131" t="str">
        <f>IFERROR(VLOOKUP($E413,設定!$C:$F,4,0),"")</f>
        <v/>
      </c>
      <c r="I413" s="402"/>
      <c r="J413" s="8"/>
      <c r="K413" s="9"/>
      <c r="L413" s="9"/>
      <c r="M413" s="9"/>
      <c r="N413" s="9"/>
      <c r="O413" s="9"/>
      <c r="P413" s="9"/>
      <c r="Q413" s="9"/>
      <c r="R413" s="9"/>
      <c r="S413" s="9"/>
      <c r="T413" s="9"/>
      <c r="U413" s="9"/>
      <c r="V413" s="9"/>
      <c r="W413" s="9"/>
      <c r="X413" s="9"/>
      <c r="Y413" s="9"/>
      <c r="Z413" s="9"/>
      <c r="AA413" s="9"/>
      <c r="AB413" s="9"/>
      <c r="AC413" s="9"/>
      <c r="AD413" s="9"/>
      <c r="AE413" s="9"/>
      <c r="AF413" s="9"/>
      <c r="AG413" s="9"/>
      <c r="AH413" s="9"/>
      <c r="AI413" s="9"/>
      <c r="AJ413" s="9"/>
      <c r="AK413" s="9"/>
      <c r="AL413" s="9"/>
      <c r="AM413" s="9"/>
      <c r="AN413" s="10"/>
      <c r="AO413" s="65">
        <f t="shared" si="7"/>
        <v>0</v>
      </c>
    </row>
    <row r="414" spans="2:41" s="4" customFormat="1" ht="24" customHeight="1" x14ac:dyDescent="0.2">
      <c r="B414" s="14"/>
      <c r="C414" s="23"/>
      <c r="D414" s="21"/>
      <c r="E414" s="6"/>
      <c r="F414" s="16" t="str">
        <f>IFERROR(VLOOKUP($E414,設定!$C:$F,2,0),"")</f>
        <v/>
      </c>
      <c r="G414" s="156" t="str">
        <f>IFERROR(VLOOKUP($E414,設定!$C:$F,3,0),"")</f>
        <v/>
      </c>
      <c r="H414" s="131" t="str">
        <f>IFERROR(VLOOKUP($E414,設定!$C:$F,4,0),"")</f>
        <v/>
      </c>
      <c r="I414" s="402"/>
      <c r="J414" s="8"/>
      <c r="K414" s="9"/>
      <c r="L414" s="9"/>
      <c r="M414" s="9"/>
      <c r="N414" s="9"/>
      <c r="O414" s="9"/>
      <c r="P414" s="9"/>
      <c r="Q414" s="9"/>
      <c r="R414" s="9"/>
      <c r="S414" s="9"/>
      <c r="T414" s="9"/>
      <c r="U414" s="9"/>
      <c r="V414" s="9"/>
      <c r="W414" s="9"/>
      <c r="X414" s="9"/>
      <c r="Y414" s="9"/>
      <c r="Z414" s="9"/>
      <c r="AA414" s="9"/>
      <c r="AB414" s="9"/>
      <c r="AC414" s="9"/>
      <c r="AD414" s="9"/>
      <c r="AE414" s="9"/>
      <c r="AF414" s="9"/>
      <c r="AG414" s="9"/>
      <c r="AH414" s="9"/>
      <c r="AI414" s="9"/>
      <c r="AJ414" s="9"/>
      <c r="AK414" s="9"/>
      <c r="AL414" s="9"/>
      <c r="AM414" s="9"/>
      <c r="AN414" s="10"/>
      <c r="AO414" s="65">
        <f t="shared" si="7"/>
        <v>0</v>
      </c>
    </row>
    <row r="415" spans="2:41" s="4" customFormat="1" ht="24" customHeight="1" x14ac:dyDescent="0.2">
      <c r="B415" s="14"/>
      <c r="C415" s="23"/>
      <c r="D415" s="21"/>
      <c r="E415" s="6"/>
      <c r="F415" s="16" t="str">
        <f>IFERROR(VLOOKUP($E415,設定!$C:$F,2,0),"")</f>
        <v/>
      </c>
      <c r="G415" s="156" t="str">
        <f>IFERROR(VLOOKUP($E415,設定!$C:$F,3,0),"")</f>
        <v/>
      </c>
      <c r="H415" s="131" t="str">
        <f>IFERROR(VLOOKUP($E415,設定!$C:$F,4,0),"")</f>
        <v/>
      </c>
      <c r="I415" s="402"/>
      <c r="J415" s="8"/>
      <c r="K415" s="9"/>
      <c r="L415" s="9"/>
      <c r="M415" s="9"/>
      <c r="N415" s="9"/>
      <c r="O415" s="9"/>
      <c r="P415" s="9"/>
      <c r="Q415" s="9"/>
      <c r="R415" s="9"/>
      <c r="S415" s="9"/>
      <c r="T415" s="9"/>
      <c r="U415" s="9"/>
      <c r="V415" s="9"/>
      <c r="W415" s="9"/>
      <c r="X415" s="9"/>
      <c r="Y415" s="9"/>
      <c r="Z415" s="9"/>
      <c r="AA415" s="9"/>
      <c r="AB415" s="9"/>
      <c r="AC415" s="9"/>
      <c r="AD415" s="9"/>
      <c r="AE415" s="9"/>
      <c r="AF415" s="9"/>
      <c r="AG415" s="9"/>
      <c r="AH415" s="9"/>
      <c r="AI415" s="9"/>
      <c r="AJ415" s="9"/>
      <c r="AK415" s="9"/>
      <c r="AL415" s="9"/>
      <c r="AM415" s="9"/>
      <c r="AN415" s="10"/>
      <c r="AO415" s="65">
        <f t="shared" si="7"/>
        <v>0</v>
      </c>
    </row>
    <row r="416" spans="2:41" s="4" customFormat="1" ht="24" customHeight="1" x14ac:dyDescent="0.2">
      <c r="B416" s="14"/>
      <c r="C416" s="23"/>
      <c r="D416" s="21"/>
      <c r="E416" s="6"/>
      <c r="F416" s="16" t="str">
        <f>IFERROR(VLOOKUP($E416,設定!$C:$F,2,0),"")</f>
        <v/>
      </c>
      <c r="G416" s="156" t="str">
        <f>IFERROR(VLOOKUP($E416,設定!$C:$F,3,0),"")</f>
        <v/>
      </c>
      <c r="H416" s="131" t="str">
        <f>IFERROR(VLOOKUP($E416,設定!$C:$F,4,0),"")</f>
        <v/>
      </c>
      <c r="I416" s="402"/>
      <c r="J416" s="8"/>
      <c r="K416" s="9"/>
      <c r="L416" s="9"/>
      <c r="M416" s="9"/>
      <c r="N416" s="9"/>
      <c r="O416" s="9"/>
      <c r="P416" s="9"/>
      <c r="Q416" s="9"/>
      <c r="R416" s="9"/>
      <c r="S416" s="9"/>
      <c r="T416" s="9"/>
      <c r="U416" s="9"/>
      <c r="V416" s="9"/>
      <c r="W416" s="9"/>
      <c r="X416" s="9"/>
      <c r="Y416" s="9"/>
      <c r="Z416" s="9"/>
      <c r="AA416" s="9"/>
      <c r="AB416" s="9"/>
      <c r="AC416" s="9"/>
      <c r="AD416" s="9"/>
      <c r="AE416" s="9"/>
      <c r="AF416" s="9"/>
      <c r="AG416" s="9"/>
      <c r="AH416" s="9"/>
      <c r="AI416" s="9"/>
      <c r="AJ416" s="9"/>
      <c r="AK416" s="9"/>
      <c r="AL416" s="9"/>
      <c r="AM416" s="9"/>
      <c r="AN416" s="10"/>
      <c r="AO416" s="65">
        <f t="shared" si="7"/>
        <v>0</v>
      </c>
    </row>
    <row r="417" spans="2:41" s="4" customFormat="1" ht="24" customHeight="1" x14ac:dyDescent="0.2">
      <c r="B417" s="14"/>
      <c r="C417" s="23"/>
      <c r="D417" s="21"/>
      <c r="E417" s="6"/>
      <c r="F417" s="16" t="str">
        <f>IFERROR(VLOOKUP($E417,設定!$C:$F,2,0),"")</f>
        <v/>
      </c>
      <c r="G417" s="156" t="str">
        <f>IFERROR(VLOOKUP($E417,設定!$C:$F,3,0),"")</f>
        <v/>
      </c>
      <c r="H417" s="131" t="str">
        <f>IFERROR(VLOOKUP($E417,設定!$C:$F,4,0),"")</f>
        <v/>
      </c>
      <c r="I417" s="402"/>
      <c r="J417" s="8"/>
      <c r="K417" s="9"/>
      <c r="L417" s="9"/>
      <c r="M417" s="9"/>
      <c r="N417" s="9"/>
      <c r="O417" s="9"/>
      <c r="P417" s="9"/>
      <c r="Q417" s="9"/>
      <c r="R417" s="9"/>
      <c r="S417" s="9"/>
      <c r="T417" s="9"/>
      <c r="U417" s="9"/>
      <c r="V417" s="9"/>
      <c r="W417" s="9"/>
      <c r="X417" s="9"/>
      <c r="Y417" s="9"/>
      <c r="Z417" s="9"/>
      <c r="AA417" s="9"/>
      <c r="AB417" s="9"/>
      <c r="AC417" s="9"/>
      <c r="AD417" s="9"/>
      <c r="AE417" s="9"/>
      <c r="AF417" s="9"/>
      <c r="AG417" s="9"/>
      <c r="AH417" s="9"/>
      <c r="AI417" s="9"/>
      <c r="AJ417" s="9"/>
      <c r="AK417" s="9"/>
      <c r="AL417" s="9"/>
      <c r="AM417" s="9"/>
      <c r="AN417" s="10"/>
      <c r="AO417" s="65">
        <f t="shared" si="7"/>
        <v>0</v>
      </c>
    </row>
    <row r="418" spans="2:41" s="4" customFormat="1" ht="24" customHeight="1" x14ac:dyDescent="0.2">
      <c r="B418" s="14"/>
      <c r="C418" s="23"/>
      <c r="D418" s="21"/>
      <c r="E418" s="6"/>
      <c r="F418" s="16" t="str">
        <f>IFERROR(VLOOKUP($E418,設定!$C:$F,2,0),"")</f>
        <v/>
      </c>
      <c r="G418" s="156" t="str">
        <f>IFERROR(VLOOKUP($E418,設定!$C:$F,3,0),"")</f>
        <v/>
      </c>
      <c r="H418" s="131" t="str">
        <f>IFERROR(VLOOKUP($E418,設定!$C:$F,4,0),"")</f>
        <v/>
      </c>
      <c r="I418" s="402"/>
      <c r="J418" s="8"/>
      <c r="K418" s="9"/>
      <c r="L418" s="9"/>
      <c r="M418" s="9"/>
      <c r="N418" s="9"/>
      <c r="O418" s="9"/>
      <c r="P418" s="9"/>
      <c r="Q418" s="9"/>
      <c r="R418" s="9"/>
      <c r="S418" s="9"/>
      <c r="T418" s="9"/>
      <c r="U418" s="9"/>
      <c r="V418" s="9"/>
      <c r="W418" s="9"/>
      <c r="X418" s="9"/>
      <c r="Y418" s="9"/>
      <c r="Z418" s="9"/>
      <c r="AA418" s="9"/>
      <c r="AB418" s="9"/>
      <c r="AC418" s="9"/>
      <c r="AD418" s="9"/>
      <c r="AE418" s="9"/>
      <c r="AF418" s="9"/>
      <c r="AG418" s="9"/>
      <c r="AH418" s="9"/>
      <c r="AI418" s="9"/>
      <c r="AJ418" s="9"/>
      <c r="AK418" s="9"/>
      <c r="AL418" s="9"/>
      <c r="AM418" s="9"/>
      <c r="AN418" s="10"/>
      <c r="AO418" s="65">
        <f t="shared" si="7"/>
        <v>0</v>
      </c>
    </row>
    <row r="419" spans="2:41" s="4" customFormat="1" ht="24" customHeight="1" x14ac:dyDescent="0.2">
      <c r="B419" s="14"/>
      <c r="C419" s="23"/>
      <c r="D419" s="21"/>
      <c r="E419" s="6"/>
      <c r="F419" s="16" t="str">
        <f>IFERROR(VLOOKUP($E419,設定!$C:$F,2,0),"")</f>
        <v/>
      </c>
      <c r="G419" s="156" t="str">
        <f>IFERROR(VLOOKUP($E419,設定!$C:$F,3,0),"")</f>
        <v/>
      </c>
      <c r="H419" s="131" t="str">
        <f>IFERROR(VLOOKUP($E419,設定!$C:$F,4,0),"")</f>
        <v/>
      </c>
      <c r="I419" s="402"/>
      <c r="J419" s="8"/>
      <c r="K419" s="9"/>
      <c r="L419" s="9"/>
      <c r="M419" s="9"/>
      <c r="N419" s="9"/>
      <c r="O419" s="9"/>
      <c r="P419" s="9"/>
      <c r="Q419" s="9"/>
      <c r="R419" s="9"/>
      <c r="S419" s="9"/>
      <c r="T419" s="9"/>
      <c r="U419" s="9"/>
      <c r="V419" s="9"/>
      <c r="W419" s="9"/>
      <c r="X419" s="9"/>
      <c r="Y419" s="9"/>
      <c r="Z419" s="9"/>
      <c r="AA419" s="9"/>
      <c r="AB419" s="9"/>
      <c r="AC419" s="9"/>
      <c r="AD419" s="9"/>
      <c r="AE419" s="9"/>
      <c r="AF419" s="9"/>
      <c r="AG419" s="9"/>
      <c r="AH419" s="9"/>
      <c r="AI419" s="9"/>
      <c r="AJ419" s="9"/>
      <c r="AK419" s="9"/>
      <c r="AL419" s="9"/>
      <c r="AM419" s="9"/>
      <c r="AN419" s="10"/>
      <c r="AO419" s="65">
        <f t="shared" si="7"/>
        <v>0</v>
      </c>
    </row>
    <row r="420" spans="2:41" s="4" customFormat="1" ht="24" customHeight="1" x14ac:dyDescent="0.2">
      <c r="B420" s="14"/>
      <c r="C420" s="23"/>
      <c r="D420" s="21"/>
      <c r="E420" s="6"/>
      <c r="F420" s="16" t="str">
        <f>IFERROR(VLOOKUP($E420,設定!$C:$F,2,0),"")</f>
        <v/>
      </c>
      <c r="G420" s="156" t="str">
        <f>IFERROR(VLOOKUP($E420,設定!$C:$F,3,0),"")</f>
        <v/>
      </c>
      <c r="H420" s="131" t="str">
        <f>IFERROR(VLOOKUP($E420,設定!$C:$F,4,0),"")</f>
        <v/>
      </c>
      <c r="I420" s="402"/>
      <c r="J420" s="8"/>
      <c r="K420" s="9"/>
      <c r="L420" s="9"/>
      <c r="M420" s="9"/>
      <c r="N420" s="9"/>
      <c r="O420" s="9"/>
      <c r="P420" s="9"/>
      <c r="Q420" s="9"/>
      <c r="R420" s="9"/>
      <c r="S420" s="9"/>
      <c r="T420" s="9"/>
      <c r="U420" s="9"/>
      <c r="V420" s="9"/>
      <c r="W420" s="9"/>
      <c r="X420" s="9"/>
      <c r="Y420" s="9"/>
      <c r="Z420" s="9"/>
      <c r="AA420" s="9"/>
      <c r="AB420" s="9"/>
      <c r="AC420" s="9"/>
      <c r="AD420" s="9"/>
      <c r="AE420" s="9"/>
      <c r="AF420" s="9"/>
      <c r="AG420" s="9"/>
      <c r="AH420" s="9"/>
      <c r="AI420" s="9"/>
      <c r="AJ420" s="9"/>
      <c r="AK420" s="9"/>
      <c r="AL420" s="9"/>
      <c r="AM420" s="9"/>
      <c r="AN420" s="10"/>
      <c r="AO420" s="65">
        <f t="shared" si="7"/>
        <v>0</v>
      </c>
    </row>
    <row r="421" spans="2:41" s="4" customFormat="1" ht="24" customHeight="1" x14ac:dyDescent="0.2">
      <c r="B421" s="14"/>
      <c r="C421" s="23"/>
      <c r="D421" s="21"/>
      <c r="E421" s="6"/>
      <c r="F421" s="16" t="str">
        <f>IFERROR(VLOOKUP($E421,設定!$C:$F,2,0),"")</f>
        <v/>
      </c>
      <c r="G421" s="156" t="str">
        <f>IFERROR(VLOOKUP($E421,設定!$C:$F,3,0),"")</f>
        <v/>
      </c>
      <c r="H421" s="131" t="str">
        <f>IFERROR(VLOOKUP($E421,設定!$C:$F,4,0),"")</f>
        <v/>
      </c>
      <c r="I421" s="402"/>
      <c r="J421" s="8"/>
      <c r="K421" s="9"/>
      <c r="L421" s="9"/>
      <c r="M421" s="9"/>
      <c r="N421" s="9"/>
      <c r="O421" s="9"/>
      <c r="P421" s="9"/>
      <c r="Q421" s="9"/>
      <c r="R421" s="9"/>
      <c r="S421" s="9"/>
      <c r="T421" s="9"/>
      <c r="U421" s="9"/>
      <c r="V421" s="9"/>
      <c r="W421" s="9"/>
      <c r="X421" s="9"/>
      <c r="Y421" s="9"/>
      <c r="Z421" s="9"/>
      <c r="AA421" s="9"/>
      <c r="AB421" s="9"/>
      <c r="AC421" s="9"/>
      <c r="AD421" s="9"/>
      <c r="AE421" s="9"/>
      <c r="AF421" s="9"/>
      <c r="AG421" s="9"/>
      <c r="AH421" s="9"/>
      <c r="AI421" s="9"/>
      <c r="AJ421" s="9"/>
      <c r="AK421" s="9"/>
      <c r="AL421" s="9"/>
      <c r="AM421" s="9"/>
      <c r="AN421" s="10"/>
      <c r="AO421" s="65">
        <f t="shared" si="7"/>
        <v>0</v>
      </c>
    </row>
    <row r="422" spans="2:41" s="4" customFormat="1" ht="24" customHeight="1" x14ac:dyDescent="0.2">
      <c r="B422" s="14"/>
      <c r="C422" s="23"/>
      <c r="D422" s="21"/>
      <c r="E422" s="6"/>
      <c r="F422" s="16" t="str">
        <f>IFERROR(VLOOKUP($E422,設定!$C:$F,2,0),"")</f>
        <v/>
      </c>
      <c r="G422" s="156" t="str">
        <f>IFERROR(VLOOKUP($E422,設定!$C:$F,3,0),"")</f>
        <v/>
      </c>
      <c r="H422" s="131" t="str">
        <f>IFERROR(VLOOKUP($E422,設定!$C:$F,4,0),"")</f>
        <v/>
      </c>
      <c r="I422" s="402"/>
      <c r="J422" s="8"/>
      <c r="K422" s="9"/>
      <c r="L422" s="9"/>
      <c r="M422" s="9"/>
      <c r="N422" s="9"/>
      <c r="O422" s="9"/>
      <c r="P422" s="9"/>
      <c r="Q422" s="9"/>
      <c r="R422" s="9"/>
      <c r="S422" s="9"/>
      <c r="T422" s="9"/>
      <c r="U422" s="9"/>
      <c r="V422" s="9"/>
      <c r="W422" s="9"/>
      <c r="X422" s="9"/>
      <c r="Y422" s="9"/>
      <c r="Z422" s="9"/>
      <c r="AA422" s="9"/>
      <c r="AB422" s="9"/>
      <c r="AC422" s="9"/>
      <c r="AD422" s="9"/>
      <c r="AE422" s="9"/>
      <c r="AF422" s="9"/>
      <c r="AG422" s="9"/>
      <c r="AH422" s="9"/>
      <c r="AI422" s="9"/>
      <c r="AJ422" s="9"/>
      <c r="AK422" s="9"/>
      <c r="AL422" s="9"/>
      <c r="AM422" s="9"/>
      <c r="AN422" s="10"/>
      <c r="AO422" s="65">
        <f t="shared" si="7"/>
        <v>0</v>
      </c>
    </row>
    <row r="423" spans="2:41" s="4" customFormat="1" ht="24" customHeight="1" x14ac:dyDescent="0.2">
      <c r="B423" s="14"/>
      <c r="C423" s="23"/>
      <c r="D423" s="21"/>
      <c r="E423" s="6"/>
      <c r="F423" s="16" t="str">
        <f>IFERROR(VLOOKUP($E423,設定!$C:$F,2,0),"")</f>
        <v/>
      </c>
      <c r="G423" s="156" t="str">
        <f>IFERROR(VLOOKUP($E423,設定!$C:$F,3,0),"")</f>
        <v/>
      </c>
      <c r="H423" s="131" t="str">
        <f>IFERROR(VLOOKUP($E423,設定!$C:$F,4,0),"")</f>
        <v/>
      </c>
      <c r="I423" s="402"/>
      <c r="J423" s="8"/>
      <c r="K423" s="9"/>
      <c r="L423" s="9"/>
      <c r="M423" s="9"/>
      <c r="N423" s="9"/>
      <c r="O423" s="9"/>
      <c r="P423" s="9"/>
      <c r="Q423" s="9"/>
      <c r="R423" s="9"/>
      <c r="S423" s="9"/>
      <c r="T423" s="9"/>
      <c r="U423" s="9"/>
      <c r="V423" s="9"/>
      <c r="W423" s="9"/>
      <c r="X423" s="9"/>
      <c r="Y423" s="9"/>
      <c r="Z423" s="9"/>
      <c r="AA423" s="9"/>
      <c r="AB423" s="9"/>
      <c r="AC423" s="9"/>
      <c r="AD423" s="9"/>
      <c r="AE423" s="9"/>
      <c r="AF423" s="9"/>
      <c r="AG423" s="9"/>
      <c r="AH423" s="9"/>
      <c r="AI423" s="9"/>
      <c r="AJ423" s="9"/>
      <c r="AK423" s="9"/>
      <c r="AL423" s="9"/>
      <c r="AM423" s="9"/>
      <c r="AN423" s="10"/>
      <c r="AO423" s="65">
        <f t="shared" si="7"/>
        <v>0</v>
      </c>
    </row>
    <row r="424" spans="2:41" s="4" customFormat="1" ht="24" customHeight="1" x14ac:dyDescent="0.2">
      <c r="B424" s="14"/>
      <c r="C424" s="23"/>
      <c r="D424" s="21"/>
      <c r="E424" s="6"/>
      <c r="F424" s="16" t="str">
        <f>IFERROR(VLOOKUP($E424,設定!$C:$F,2,0),"")</f>
        <v/>
      </c>
      <c r="G424" s="156" t="str">
        <f>IFERROR(VLOOKUP($E424,設定!$C:$F,3,0),"")</f>
        <v/>
      </c>
      <c r="H424" s="131" t="str">
        <f>IFERROR(VLOOKUP($E424,設定!$C:$F,4,0),"")</f>
        <v/>
      </c>
      <c r="I424" s="402"/>
      <c r="J424" s="8"/>
      <c r="K424" s="9"/>
      <c r="L424" s="9"/>
      <c r="M424" s="9"/>
      <c r="N424" s="9"/>
      <c r="O424" s="9"/>
      <c r="P424" s="9"/>
      <c r="Q424" s="9"/>
      <c r="R424" s="9"/>
      <c r="S424" s="9"/>
      <c r="T424" s="9"/>
      <c r="U424" s="9"/>
      <c r="V424" s="9"/>
      <c r="W424" s="9"/>
      <c r="X424" s="9"/>
      <c r="Y424" s="9"/>
      <c r="Z424" s="9"/>
      <c r="AA424" s="9"/>
      <c r="AB424" s="9"/>
      <c r="AC424" s="9"/>
      <c r="AD424" s="9"/>
      <c r="AE424" s="9"/>
      <c r="AF424" s="9"/>
      <c r="AG424" s="9"/>
      <c r="AH424" s="9"/>
      <c r="AI424" s="9"/>
      <c r="AJ424" s="9"/>
      <c r="AK424" s="9"/>
      <c r="AL424" s="9"/>
      <c r="AM424" s="9"/>
      <c r="AN424" s="10"/>
      <c r="AO424" s="65">
        <f t="shared" si="7"/>
        <v>0</v>
      </c>
    </row>
    <row r="425" spans="2:41" s="4" customFormat="1" ht="24" customHeight="1" x14ac:dyDescent="0.2">
      <c r="B425" s="14"/>
      <c r="C425" s="23"/>
      <c r="D425" s="21"/>
      <c r="E425" s="6"/>
      <c r="F425" s="16" t="str">
        <f>IFERROR(VLOOKUP($E425,設定!$C:$F,2,0),"")</f>
        <v/>
      </c>
      <c r="G425" s="156" t="str">
        <f>IFERROR(VLOOKUP($E425,設定!$C:$F,3,0),"")</f>
        <v/>
      </c>
      <c r="H425" s="131" t="str">
        <f>IFERROR(VLOOKUP($E425,設定!$C:$F,4,0),"")</f>
        <v/>
      </c>
      <c r="I425" s="402"/>
      <c r="J425" s="8"/>
      <c r="K425" s="9"/>
      <c r="L425" s="9"/>
      <c r="M425" s="9"/>
      <c r="N425" s="9"/>
      <c r="O425" s="9"/>
      <c r="P425" s="9"/>
      <c r="Q425" s="9"/>
      <c r="R425" s="9"/>
      <c r="S425" s="9"/>
      <c r="T425" s="9"/>
      <c r="U425" s="9"/>
      <c r="V425" s="9"/>
      <c r="W425" s="9"/>
      <c r="X425" s="9"/>
      <c r="Y425" s="9"/>
      <c r="Z425" s="9"/>
      <c r="AA425" s="9"/>
      <c r="AB425" s="9"/>
      <c r="AC425" s="9"/>
      <c r="AD425" s="9"/>
      <c r="AE425" s="9"/>
      <c r="AF425" s="9"/>
      <c r="AG425" s="9"/>
      <c r="AH425" s="9"/>
      <c r="AI425" s="9"/>
      <c r="AJ425" s="9"/>
      <c r="AK425" s="9"/>
      <c r="AL425" s="9"/>
      <c r="AM425" s="9"/>
      <c r="AN425" s="10"/>
      <c r="AO425" s="65">
        <f t="shared" si="7"/>
        <v>0</v>
      </c>
    </row>
    <row r="426" spans="2:41" s="4" customFormat="1" ht="24" customHeight="1" x14ac:dyDescent="0.2">
      <c r="B426" s="14"/>
      <c r="C426" s="23"/>
      <c r="D426" s="21"/>
      <c r="E426" s="6"/>
      <c r="F426" s="16" t="str">
        <f>IFERROR(VLOOKUP($E426,設定!$C:$F,2,0),"")</f>
        <v/>
      </c>
      <c r="G426" s="156" t="str">
        <f>IFERROR(VLOOKUP($E426,設定!$C:$F,3,0),"")</f>
        <v/>
      </c>
      <c r="H426" s="131" t="str">
        <f>IFERROR(VLOOKUP($E426,設定!$C:$F,4,0),"")</f>
        <v/>
      </c>
      <c r="I426" s="402"/>
      <c r="J426" s="8"/>
      <c r="K426" s="9"/>
      <c r="L426" s="9"/>
      <c r="M426" s="9"/>
      <c r="N426" s="9"/>
      <c r="O426" s="9"/>
      <c r="P426" s="9"/>
      <c r="Q426" s="9"/>
      <c r="R426" s="9"/>
      <c r="S426" s="9"/>
      <c r="T426" s="9"/>
      <c r="U426" s="9"/>
      <c r="V426" s="9"/>
      <c r="W426" s="9"/>
      <c r="X426" s="9"/>
      <c r="Y426" s="9"/>
      <c r="Z426" s="9"/>
      <c r="AA426" s="9"/>
      <c r="AB426" s="9"/>
      <c r="AC426" s="9"/>
      <c r="AD426" s="9"/>
      <c r="AE426" s="9"/>
      <c r="AF426" s="9"/>
      <c r="AG426" s="9"/>
      <c r="AH426" s="9"/>
      <c r="AI426" s="9"/>
      <c r="AJ426" s="9"/>
      <c r="AK426" s="9"/>
      <c r="AL426" s="9"/>
      <c r="AM426" s="9"/>
      <c r="AN426" s="10"/>
      <c r="AO426" s="65">
        <f t="shared" si="7"/>
        <v>0</v>
      </c>
    </row>
    <row r="427" spans="2:41" s="4" customFormat="1" ht="24" customHeight="1" x14ac:dyDescent="0.2">
      <c r="B427" s="14"/>
      <c r="C427" s="23"/>
      <c r="D427" s="21"/>
      <c r="E427" s="6"/>
      <c r="F427" s="16" t="str">
        <f>IFERROR(VLOOKUP($E427,設定!$C:$F,2,0),"")</f>
        <v/>
      </c>
      <c r="G427" s="156" t="str">
        <f>IFERROR(VLOOKUP($E427,設定!$C:$F,3,0),"")</f>
        <v/>
      </c>
      <c r="H427" s="131" t="str">
        <f>IFERROR(VLOOKUP($E427,設定!$C:$F,4,0),"")</f>
        <v/>
      </c>
      <c r="I427" s="402"/>
      <c r="J427" s="8"/>
      <c r="K427" s="9"/>
      <c r="L427" s="9"/>
      <c r="M427" s="9"/>
      <c r="N427" s="9"/>
      <c r="O427" s="9"/>
      <c r="P427" s="9"/>
      <c r="Q427" s="9"/>
      <c r="R427" s="9"/>
      <c r="S427" s="9"/>
      <c r="T427" s="9"/>
      <c r="U427" s="9"/>
      <c r="V427" s="9"/>
      <c r="W427" s="9"/>
      <c r="X427" s="9"/>
      <c r="Y427" s="9"/>
      <c r="Z427" s="9"/>
      <c r="AA427" s="9"/>
      <c r="AB427" s="9"/>
      <c r="AC427" s="9"/>
      <c r="AD427" s="9"/>
      <c r="AE427" s="9"/>
      <c r="AF427" s="9"/>
      <c r="AG427" s="9"/>
      <c r="AH427" s="9"/>
      <c r="AI427" s="9"/>
      <c r="AJ427" s="9"/>
      <c r="AK427" s="9"/>
      <c r="AL427" s="9"/>
      <c r="AM427" s="9"/>
      <c r="AN427" s="10"/>
      <c r="AO427" s="65">
        <f t="shared" si="7"/>
        <v>0</v>
      </c>
    </row>
    <row r="428" spans="2:41" s="4" customFormat="1" ht="24" customHeight="1" x14ac:dyDescent="0.2">
      <c r="B428" s="14"/>
      <c r="C428" s="23"/>
      <c r="D428" s="21"/>
      <c r="E428" s="6"/>
      <c r="F428" s="16" t="str">
        <f>IFERROR(VLOOKUP($E428,設定!$C:$F,2,0),"")</f>
        <v/>
      </c>
      <c r="G428" s="156" t="str">
        <f>IFERROR(VLOOKUP($E428,設定!$C:$F,3,0),"")</f>
        <v/>
      </c>
      <c r="H428" s="131" t="str">
        <f>IFERROR(VLOOKUP($E428,設定!$C:$F,4,0),"")</f>
        <v/>
      </c>
      <c r="I428" s="402"/>
      <c r="J428" s="8"/>
      <c r="K428" s="9"/>
      <c r="L428" s="9"/>
      <c r="M428" s="9"/>
      <c r="N428" s="9"/>
      <c r="O428" s="9"/>
      <c r="P428" s="9"/>
      <c r="Q428" s="9"/>
      <c r="R428" s="9"/>
      <c r="S428" s="9"/>
      <c r="T428" s="9"/>
      <c r="U428" s="9"/>
      <c r="V428" s="9"/>
      <c r="W428" s="9"/>
      <c r="X428" s="9"/>
      <c r="Y428" s="9"/>
      <c r="Z428" s="9"/>
      <c r="AA428" s="9"/>
      <c r="AB428" s="9"/>
      <c r="AC428" s="9"/>
      <c r="AD428" s="9"/>
      <c r="AE428" s="9"/>
      <c r="AF428" s="9"/>
      <c r="AG428" s="9"/>
      <c r="AH428" s="9"/>
      <c r="AI428" s="9"/>
      <c r="AJ428" s="9"/>
      <c r="AK428" s="9"/>
      <c r="AL428" s="9"/>
      <c r="AM428" s="9"/>
      <c r="AN428" s="10"/>
      <c r="AO428" s="65">
        <f t="shared" si="7"/>
        <v>0</v>
      </c>
    </row>
    <row r="429" spans="2:41" s="4" customFormat="1" ht="24" customHeight="1" x14ac:dyDescent="0.2">
      <c r="B429" s="14"/>
      <c r="C429" s="23"/>
      <c r="D429" s="21"/>
      <c r="E429" s="6"/>
      <c r="F429" s="16" t="str">
        <f>IFERROR(VLOOKUP($E429,設定!$C:$F,2,0),"")</f>
        <v/>
      </c>
      <c r="G429" s="156" t="str">
        <f>IFERROR(VLOOKUP($E429,設定!$C:$F,3,0),"")</f>
        <v/>
      </c>
      <c r="H429" s="131" t="str">
        <f>IFERROR(VLOOKUP($E429,設定!$C:$F,4,0),"")</f>
        <v/>
      </c>
      <c r="I429" s="402"/>
      <c r="J429" s="8"/>
      <c r="K429" s="9"/>
      <c r="L429" s="9"/>
      <c r="M429" s="9"/>
      <c r="N429" s="9"/>
      <c r="O429" s="9"/>
      <c r="P429" s="9"/>
      <c r="Q429" s="9"/>
      <c r="R429" s="9"/>
      <c r="S429" s="9"/>
      <c r="T429" s="9"/>
      <c r="U429" s="9"/>
      <c r="V429" s="9"/>
      <c r="W429" s="9"/>
      <c r="X429" s="9"/>
      <c r="Y429" s="9"/>
      <c r="Z429" s="9"/>
      <c r="AA429" s="9"/>
      <c r="AB429" s="9"/>
      <c r="AC429" s="9"/>
      <c r="AD429" s="9"/>
      <c r="AE429" s="9"/>
      <c r="AF429" s="9"/>
      <c r="AG429" s="9"/>
      <c r="AH429" s="9"/>
      <c r="AI429" s="9"/>
      <c r="AJ429" s="9"/>
      <c r="AK429" s="9"/>
      <c r="AL429" s="9"/>
      <c r="AM429" s="9"/>
      <c r="AN429" s="10"/>
      <c r="AO429" s="65">
        <f t="shared" si="7"/>
        <v>0</v>
      </c>
    </row>
    <row r="430" spans="2:41" s="4" customFormat="1" ht="24" customHeight="1" x14ac:dyDescent="0.2">
      <c r="B430" s="14"/>
      <c r="C430" s="23"/>
      <c r="D430" s="21"/>
      <c r="E430" s="6"/>
      <c r="F430" s="16" t="str">
        <f>IFERROR(VLOOKUP($E430,設定!$C:$F,2,0),"")</f>
        <v/>
      </c>
      <c r="G430" s="156" t="str">
        <f>IFERROR(VLOOKUP($E430,設定!$C:$F,3,0),"")</f>
        <v/>
      </c>
      <c r="H430" s="131" t="str">
        <f>IFERROR(VLOOKUP($E430,設定!$C:$F,4,0),"")</f>
        <v/>
      </c>
      <c r="I430" s="402"/>
      <c r="J430" s="8"/>
      <c r="K430" s="9"/>
      <c r="L430" s="9"/>
      <c r="M430" s="9"/>
      <c r="N430" s="9"/>
      <c r="O430" s="9"/>
      <c r="P430" s="9"/>
      <c r="Q430" s="9"/>
      <c r="R430" s="9"/>
      <c r="S430" s="9"/>
      <c r="T430" s="9"/>
      <c r="U430" s="9"/>
      <c r="V430" s="9"/>
      <c r="W430" s="9"/>
      <c r="X430" s="9"/>
      <c r="Y430" s="9"/>
      <c r="Z430" s="9"/>
      <c r="AA430" s="9"/>
      <c r="AB430" s="9"/>
      <c r="AC430" s="9"/>
      <c r="AD430" s="9"/>
      <c r="AE430" s="9"/>
      <c r="AF430" s="9"/>
      <c r="AG430" s="9"/>
      <c r="AH430" s="9"/>
      <c r="AI430" s="9"/>
      <c r="AJ430" s="9"/>
      <c r="AK430" s="9"/>
      <c r="AL430" s="9"/>
      <c r="AM430" s="9"/>
      <c r="AN430" s="10"/>
      <c r="AO430" s="65">
        <f t="shared" si="7"/>
        <v>0</v>
      </c>
    </row>
    <row r="431" spans="2:41" s="4" customFormat="1" ht="24" customHeight="1" x14ac:dyDescent="0.2">
      <c r="B431" s="14"/>
      <c r="C431" s="23"/>
      <c r="D431" s="21"/>
      <c r="E431" s="6"/>
      <c r="F431" s="16" t="str">
        <f>IFERROR(VLOOKUP($E431,設定!$C:$F,2,0),"")</f>
        <v/>
      </c>
      <c r="G431" s="156" t="str">
        <f>IFERROR(VLOOKUP($E431,設定!$C:$F,3,0),"")</f>
        <v/>
      </c>
      <c r="H431" s="131" t="str">
        <f>IFERROR(VLOOKUP($E431,設定!$C:$F,4,0),"")</f>
        <v/>
      </c>
      <c r="I431" s="402"/>
      <c r="J431" s="8"/>
      <c r="K431" s="9"/>
      <c r="L431" s="9"/>
      <c r="M431" s="9"/>
      <c r="N431" s="9"/>
      <c r="O431" s="9"/>
      <c r="P431" s="9"/>
      <c r="Q431" s="9"/>
      <c r="R431" s="9"/>
      <c r="S431" s="9"/>
      <c r="T431" s="9"/>
      <c r="U431" s="9"/>
      <c r="V431" s="9"/>
      <c r="W431" s="9"/>
      <c r="X431" s="9"/>
      <c r="Y431" s="9"/>
      <c r="Z431" s="9"/>
      <c r="AA431" s="9"/>
      <c r="AB431" s="9"/>
      <c r="AC431" s="9"/>
      <c r="AD431" s="9"/>
      <c r="AE431" s="9"/>
      <c r="AF431" s="9"/>
      <c r="AG431" s="9"/>
      <c r="AH431" s="9"/>
      <c r="AI431" s="9"/>
      <c r="AJ431" s="9"/>
      <c r="AK431" s="9"/>
      <c r="AL431" s="9"/>
      <c r="AM431" s="9"/>
      <c r="AN431" s="10"/>
      <c r="AO431" s="65">
        <f t="shared" si="7"/>
        <v>0</v>
      </c>
    </row>
    <row r="432" spans="2:41" s="4" customFormat="1" ht="24" customHeight="1" x14ac:dyDescent="0.2">
      <c r="B432" s="14"/>
      <c r="C432" s="23"/>
      <c r="D432" s="21"/>
      <c r="E432" s="6"/>
      <c r="F432" s="16" t="str">
        <f>IFERROR(VLOOKUP($E432,設定!$C:$F,2,0),"")</f>
        <v/>
      </c>
      <c r="G432" s="156" t="str">
        <f>IFERROR(VLOOKUP($E432,設定!$C:$F,3,0),"")</f>
        <v/>
      </c>
      <c r="H432" s="131" t="str">
        <f>IFERROR(VLOOKUP($E432,設定!$C:$F,4,0),"")</f>
        <v/>
      </c>
      <c r="I432" s="402"/>
      <c r="J432" s="8"/>
      <c r="K432" s="9"/>
      <c r="L432" s="9"/>
      <c r="M432" s="9"/>
      <c r="N432" s="9"/>
      <c r="O432" s="9"/>
      <c r="P432" s="9"/>
      <c r="Q432" s="9"/>
      <c r="R432" s="9"/>
      <c r="S432" s="9"/>
      <c r="T432" s="9"/>
      <c r="U432" s="9"/>
      <c r="V432" s="9"/>
      <c r="W432" s="9"/>
      <c r="X432" s="9"/>
      <c r="Y432" s="9"/>
      <c r="Z432" s="9"/>
      <c r="AA432" s="9"/>
      <c r="AB432" s="9"/>
      <c r="AC432" s="9"/>
      <c r="AD432" s="9"/>
      <c r="AE432" s="9"/>
      <c r="AF432" s="9"/>
      <c r="AG432" s="9"/>
      <c r="AH432" s="9"/>
      <c r="AI432" s="9"/>
      <c r="AJ432" s="9"/>
      <c r="AK432" s="9"/>
      <c r="AL432" s="9"/>
      <c r="AM432" s="9"/>
      <c r="AN432" s="10"/>
      <c r="AO432" s="65">
        <f t="shared" si="7"/>
        <v>0</v>
      </c>
    </row>
    <row r="433" spans="2:41" s="4" customFormat="1" ht="24" customHeight="1" x14ac:dyDescent="0.2">
      <c r="B433" s="14"/>
      <c r="C433" s="23"/>
      <c r="D433" s="21"/>
      <c r="E433" s="6"/>
      <c r="F433" s="16" t="str">
        <f>IFERROR(VLOOKUP($E433,設定!$C:$F,2,0),"")</f>
        <v/>
      </c>
      <c r="G433" s="156" t="str">
        <f>IFERROR(VLOOKUP($E433,設定!$C:$F,3,0),"")</f>
        <v/>
      </c>
      <c r="H433" s="131" t="str">
        <f>IFERROR(VLOOKUP($E433,設定!$C:$F,4,0),"")</f>
        <v/>
      </c>
      <c r="I433" s="402"/>
      <c r="J433" s="8"/>
      <c r="K433" s="9"/>
      <c r="L433" s="9"/>
      <c r="M433" s="9"/>
      <c r="N433" s="9"/>
      <c r="O433" s="9"/>
      <c r="P433" s="9"/>
      <c r="Q433" s="9"/>
      <c r="R433" s="9"/>
      <c r="S433" s="9"/>
      <c r="T433" s="9"/>
      <c r="U433" s="9"/>
      <c r="V433" s="9"/>
      <c r="W433" s="9"/>
      <c r="X433" s="9"/>
      <c r="Y433" s="9"/>
      <c r="Z433" s="9"/>
      <c r="AA433" s="9"/>
      <c r="AB433" s="9"/>
      <c r="AC433" s="9"/>
      <c r="AD433" s="9"/>
      <c r="AE433" s="9"/>
      <c r="AF433" s="9"/>
      <c r="AG433" s="9"/>
      <c r="AH433" s="9"/>
      <c r="AI433" s="9"/>
      <c r="AJ433" s="9"/>
      <c r="AK433" s="9"/>
      <c r="AL433" s="9"/>
      <c r="AM433" s="9"/>
      <c r="AN433" s="10"/>
      <c r="AO433" s="65">
        <f t="shared" si="7"/>
        <v>0</v>
      </c>
    </row>
    <row r="434" spans="2:41" s="4" customFormat="1" ht="24" customHeight="1" x14ac:dyDescent="0.2">
      <c r="B434" s="14"/>
      <c r="C434" s="23"/>
      <c r="D434" s="21"/>
      <c r="E434" s="6"/>
      <c r="F434" s="16" t="str">
        <f>IFERROR(VLOOKUP($E434,設定!$C:$F,2,0),"")</f>
        <v/>
      </c>
      <c r="G434" s="156" t="str">
        <f>IFERROR(VLOOKUP($E434,設定!$C:$F,3,0),"")</f>
        <v/>
      </c>
      <c r="H434" s="131" t="str">
        <f>IFERROR(VLOOKUP($E434,設定!$C:$F,4,0),"")</f>
        <v/>
      </c>
      <c r="I434" s="402"/>
      <c r="J434" s="8"/>
      <c r="K434" s="9"/>
      <c r="L434" s="9"/>
      <c r="M434" s="9"/>
      <c r="N434" s="9"/>
      <c r="O434" s="9"/>
      <c r="P434" s="9"/>
      <c r="Q434" s="9"/>
      <c r="R434" s="9"/>
      <c r="S434" s="9"/>
      <c r="T434" s="9"/>
      <c r="U434" s="9"/>
      <c r="V434" s="9"/>
      <c r="W434" s="9"/>
      <c r="X434" s="9"/>
      <c r="Y434" s="9"/>
      <c r="Z434" s="9"/>
      <c r="AA434" s="9"/>
      <c r="AB434" s="9"/>
      <c r="AC434" s="9"/>
      <c r="AD434" s="9"/>
      <c r="AE434" s="9"/>
      <c r="AF434" s="9"/>
      <c r="AG434" s="9"/>
      <c r="AH434" s="9"/>
      <c r="AI434" s="9"/>
      <c r="AJ434" s="9"/>
      <c r="AK434" s="9"/>
      <c r="AL434" s="9"/>
      <c r="AM434" s="9"/>
      <c r="AN434" s="10"/>
      <c r="AO434" s="65">
        <f t="shared" si="7"/>
        <v>0</v>
      </c>
    </row>
    <row r="435" spans="2:41" s="4" customFormat="1" ht="24" customHeight="1" x14ac:dyDescent="0.2">
      <c r="B435" s="14"/>
      <c r="C435" s="23"/>
      <c r="D435" s="21"/>
      <c r="E435" s="6"/>
      <c r="F435" s="16" t="str">
        <f>IFERROR(VLOOKUP($E435,設定!$C:$F,2,0),"")</f>
        <v/>
      </c>
      <c r="G435" s="156" t="str">
        <f>IFERROR(VLOOKUP($E435,設定!$C:$F,3,0),"")</f>
        <v/>
      </c>
      <c r="H435" s="131" t="str">
        <f>IFERROR(VLOOKUP($E435,設定!$C:$F,4,0),"")</f>
        <v/>
      </c>
      <c r="I435" s="402"/>
      <c r="J435" s="8"/>
      <c r="K435" s="9"/>
      <c r="L435" s="9"/>
      <c r="M435" s="9"/>
      <c r="N435" s="9"/>
      <c r="O435" s="9"/>
      <c r="P435" s="9"/>
      <c r="Q435" s="9"/>
      <c r="R435" s="9"/>
      <c r="S435" s="9"/>
      <c r="T435" s="9"/>
      <c r="U435" s="9"/>
      <c r="V435" s="9"/>
      <c r="W435" s="9"/>
      <c r="X435" s="9"/>
      <c r="Y435" s="9"/>
      <c r="Z435" s="9"/>
      <c r="AA435" s="9"/>
      <c r="AB435" s="9"/>
      <c r="AC435" s="9"/>
      <c r="AD435" s="9"/>
      <c r="AE435" s="9"/>
      <c r="AF435" s="9"/>
      <c r="AG435" s="9"/>
      <c r="AH435" s="9"/>
      <c r="AI435" s="9"/>
      <c r="AJ435" s="9"/>
      <c r="AK435" s="9"/>
      <c r="AL435" s="9"/>
      <c r="AM435" s="9"/>
      <c r="AN435" s="10"/>
      <c r="AO435" s="65">
        <f t="shared" si="7"/>
        <v>0</v>
      </c>
    </row>
    <row r="436" spans="2:41" s="4" customFormat="1" ht="24" customHeight="1" x14ac:dyDescent="0.2">
      <c r="B436" s="14"/>
      <c r="C436" s="23"/>
      <c r="D436" s="21"/>
      <c r="E436" s="6"/>
      <c r="F436" s="16" t="str">
        <f>IFERROR(VLOOKUP($E436,設定!$C:$F,2,0),"")</f>
        <v/>
      </c>
      <c r="G436" s="156" t="str">
        <f>IFERROR(VLOOKUP($E436,設定!$C:$F,3,0),"")</f>
        <v/>
      </c>
      <c r="H436" s="131" t="str">
        <f>IFERROR(VLOOKUP($E436,設定!$C:$F,4,0),"")</f>
        <v/>
      </c>
      <c r="I436" s="402"/>
      <c r="J436" s="8"/>
      <c r="K436" s="9"/>
      <c r="L436" s="9"/>
      <c r="M436" s="9"/>
      <c r="N436" s="9"/>
      <c r="O436" s="9"/>
      <c r="P436" s="9"/>
      <c r="Q436" s="9"/>
      <c r="R436" s="9"/>
      <c r="S436" s="9"/>
      <c r="T436" s="9"/>
      <c r="U436" s="9"/>
      <c r="V436" s="9"/>
      <c r="W436" s="9"/>
      <c r="X436" s="9"/>
      <c r="Y436" s="9"/>
      <c r="Z436" s="9"/>
      <c r="AA436" s="9"/>
      <c r="AB436" s="9"/>
      <c r="AC436" s="9"/>
      <c r="AD436" s="9"/>
      <c r="AE436" s="9"/>
      <c r="AF436" s="9"/>
      <c r="AG436" s="9"/>
      <c r="AH436" s="9"/>
      <c r="AI436" s="9"/>
      <c r="AJ436" s="9"/>
      <c r="AK436" s="9"/>
      <c r="AL436" s="9"/>
      <c r="AM436" s="9"/>
      <c r="AN436" s="10"/>
      <c r="AO436" s="65">
        <f t="shared" si="7"/>
        <v>0</v>
      </c>
    </row>
    <row r="437" spans="2:41" s="4" customFormat="1" ht="24" customHeight="1" x14ac:dyDescent="0.2">
      <c r="B437" s="14"/>
      <c r="C437" s="23"/>
      <c r="D437" s="21"/>
      <c r="E437" s="6"/>
      <c r="F437" s="16" t="str">
        <f>IFERROR(VLOOKUP($E437,設定!$C:$F,2,0),"")</f>
        <v/>
      </c>
      <c r="G437" s="156" t="str">
        <f>IFERROR(VLOOKUP($E437,設定!$C:$F,3,0),"")</f>
        <v/>
      </c>
      <c r="H437" s="131" t="str">
        <f>IFERROR(VLOOKUP($E437,設定!$C:$F,4,0),"")</f>
        <v/>
      </c>
      <c r="I437" s="402"/>
      <c r="J437" s="8"/>
      <c r="K437" s="9"/>
      <c r="L437" s="9"/>
      <c r="M437" s="9"/>
      <c r="N437" s="9"/>
      <c r="O437" s="9"/>
      <c r="P437" s="9"/>
      <c r="Q437" s="9"/>
      <c r="R437" s="9"/>
      <c r="S437" s="9"/>
      <c r="T437" s="9"/>
      <c r="U437" s="9"/>
      <c r="V437" s="9"/>
      <c r="W437" s="9"/>
      <c r="X437" s="9"/>
      <c r="Y437" s="9"/>
      <c r="Z437" s="9"/>
      <c r="AA437" s="9"/>
      <c r="AB437" s="9"/>
      <c r="AC437" s="9"/>
      <c r="AD437" s="9"/>
      <c r="AE437" s="9"/>
      <c r="AF437" s="9"/>
      <c r="AG437" s="9"/>
      <c r="AH437" s="9"/>
      <c r="AI437" s="9"/>
      <c r="AJ437" s="9"/>
      <c r="AK437" s="9"/>
      <c r="AL437" s="9"/>
      <c r="AM437" s="9"/>
      <c r="AN437" s="10"/>
      <c r="AO437" s="65">
        <f t="shared" si="7"/>
        <v>0</v>
      </c>
    </row>
    <row r="438" spans="2:41" s="4" customFormat="1" ht="24" customHeight="1" x14ac:dyDescent="0.2">
      <c r="B438" s="14"/>
      <c r="C438" s="23"/>
      <c r="D438" s="21"/>
      <c r="E438" s="6"/>
      <c r="F438" s="16" t="str">
        <f>IFERROR(VLOOKUP($E438,設定!$C:$F,2,0),"")</f>
        <v/>
      </c>
      <c r="G438" s="156" t="str">
        <f>IFERROR(VLOOKUP($E438,設定!$C:$F,3,0),"")</f>
        <v/>
      </c>
      <c r="H438" s="131" t="str">
        <f>IFERROR(VLOOKUP($E438,設定!$C:$F,4,0),"")</f>
        <v/>
      </c>
      <c r="I438" s="402"/>
      <c r="J438" s="8"/>
      <c r="K438" s="9"/>
      <c r="L438" s="9"/>
      <c r="M438" s="9"/>
      <c r="N438" s="9"/>
      <c r="O438" s="9"/>
      <c r="P438" s="9"/>
      <c r="Q438" s="9"/>
      <c r="R438" s="9"/>
      <c r="S438" s="9"/>
      <c r="T438" s="9"/>
      <c r="U438" s="9"/>
      <c r="V438" s="9"/>
      <c r="W438" s="9"/>
      <c r="X438" s="9"/>
      <c r="Y438" s="9"/>
      <c r="Z438" s="9"/>
      <c r="AA438" s="9"/>
      <c r="AB438" s="9"/>
      <c r="AC438" s="9"/>
      <c r="AD438" s="9"/>
      <c r="AE438" s="9"/>
      <c r="AF438" s="9"/>
      <c r="AG438" s="9"/>
      <c r="AH438" s="9"/>
      <c r="AI438" s="9"/>
      <c r="AJ438" s="9"/>
      <c r="AK438" s="9"/>
      <c r="AL438" s="9"/>
      <c r="AM438" s="9"/>
      <c r="AN438" s="10"/>
      <c r="AO438" s="65">
        <f t="shared" si="7"/>
        <v>0</v>
      </c>
    </row>
    <row r="439" spans="2:41" s="4" customFormat="1" ht="24" customHeight="1" x14ac:dyDescent="0.2">
      <c r="B439" s="14"/>
      <c r="C439" s="23"/>
      <c r="D439" s="21"/>
      <c r="E439" s="6"/>
      <c r="F439" s="16" t="str">
        <f>IFERROR(VLOOKUP($E439,設定!$C:$F,2,0),"")</f>
        <v/>
      </c>
      <c r="G439" s="156" t="str">
        <f>IFERROR(VLOOKUP($E439,設定!$C:$F,3,0),"")</f>
        <v/>
      </c>
      <c r="H439" s="131" t="str">
        <f>IFERROR(VLOOKUP($E439,設定!$C:$F,4,0),"")</f>
        <v/>
      </c>
      <c r="I439" s="402"/>
      <c r="J439" s="8"/>
      <c r="K439" s="9"/>
      <c r="L439" s="9"/>
      <c r="M439" s="9"/>
      <c r="N439" s="9"/>
      <c r="O439" s="9"/>
      <c r="P439" s="9"/>
      <c r="Q439" s="9"/>
      <c r="R439" s="9"/>
      <c r="S439" s="9"/>
      <c r="T439" s="9"/>
      <c r="U439" s="9"/>
      <c r="V439" s="9"/>
      <c r="W439" s="9"/>
      <c r="X439" s="9"/>
      <c r="Y439" s="9"/>
      <c r="Z439" s="9"/>
      <c r="AA439" s="9"/>
      <c r="AB439" s="9"/>
      <c r="AC439" s="9"/>
      <c r="AD439" s="9"/>
      <c r="AE439" s="9"/>
      <c r="AF439" s="9"/>
      <c r="AG439" s="9"/>
      <c r="AH439" s="9"/>
      <c r="AI439" s="9"/>
      <c r="AJ439" s="9"/>
      <c r="AK439" s="9"/>
      <c r="AL439" s="9"/>
      <c r="AM439" s="9"/>
      <c r="AN439" s="10"/>
      <c r="AO439" s="65">
        <f t="shared" si="7"/>
        <v>0</v>
      </c>
    </row>
    <row r="440" spans="2:41" s="4" customFormat="1" ht="24" customHeight="1" x14ac:dyDescent="0.2">
      <c r="B440" s="14"/>
      <c r="C440" s="23"/>
      <c r="D440" s="21"/>
      <c r="E440" s="6"/>
      <c r="F440" s="16" t="str">
        <f>IFERROR(VLOOKUP($E440,設定!$C:$F,2,0),"")</f>
        <v/>
      </c>
      <c r="G440" s="156" t="str">
        <f>IFERROR(VLOOKUP($E440,設定!$C:$F,3,0),"")</f>
        <v/>
      </c>
      <c r="H440" s="131" t="str">
        <f>IFERROR(VLOOKUP($E440,設定!$C:$F,4,0),"")</f>
        <v/>
      </c>
      <c r="I440" s="402"/>
      <c r="J440" s="8"/>
      <c r="K440" s="9"/>
      <c r="L440" s="9"/>
      <c r="M440" s="9"/>
      <c r="N440" s="9"/>
      <c r="O440" s="9"/>
      <c r="P440" s="9"/>
      <c r="Q440" s="9"/>
      <c r="R440" s="9"/>
      <c r="S440" s="9"/>
      <c r="T440" s="9"/>
      <c r="U440" s="9"/>
      <c r="V440" s="9"/>
      <c r="W440" s="9"/>
      <c r="X440" s="9"/>
      <c r="Y440" s="9"/>
      <c r="Z440" s="9"/>
      <c r="AA440" s="9"/>
      <c r="AB440" s="9"/>
      <c r="AC440" s="9"/>
      <c r="AD440" s="9"/>
      <c r="AE440" s="9"/>
      <c r="AF440" s="9"/>
      <c r="AG440" s="9"/>
      <c r="AH440" s="9"/>
      <c r="AI440" s="9"/>
      <c r="AJ440" s="9"/>
      <c r="AK440" s="9"/>
      <c r="AL440" s="9"/>
      <c r="AM440" s="9"/>
      <c r="AN440" s="10"/>
      <c r="AO440" s="65">
        <f t="shared" si="7"/>
        <v>0</v>
      </c>
    </row>
    <row r="441" spans="2:41" s="4" customFormat="1" ht="24" customHeight="1" x14ac:dyDescent="0.2">
      <c r="B441" s="14"/>
      <c r="C441" s="23"/>
      <c r="D441" s="21"/>
      <c r="E441" s="6"/>
      <c r="F441" s="16" t="str">
        <f>IFERROR(VLOOKUP($E441,設定!$C:$F,2,0),"")</f>
        <v/>
      </c>
      <c r="G441" s="156" t="str">
        <f>IFERROR(VLOOKUP($E441,設定!$C:$F,3,0),"")</f>
        <v/>
      </c>
      <c r="H441" s="131" t="str">
        <f>IFERROR(VLOOKUP($E441,設定!$C:$F,4,0),"")</f>
        <v/>
      </c>
      <c r="I441" s="402"/>
      <c r="J441" s="8"/>
      <c r="K441" s="9"/>
      <c r="L441" s="9"/>
      <c r="M441" s="9"/>
      <c r="N441" s="9"/>
      <c r="O441" s="9"/>
      <c r="P441" s="9"/>
      <c r="Q441" s="9"/>
      <c r="R441" s="9"/>
      <c r="S441" s="9"/>
      <c r="T441" s="9"/>
      <c r="U441" s="9"/>
      <c r="V441" s="9"/>
      <c r="W441" s="9"/>
      <c r="X441" s="9"/>
      <c r="Y441" s="9"/>
      <c r="Z441" s="9"/>
      <c r="AA441" s="9"/>
      <c r="AB441" s="9"/>
      <c r="AC441" s="9"/>
      <c r="AD441" s="9"/>
      <c r="AE441" s="9"/>
      <c r="AF441" s="9"/>
      <c r="AG441" s="9"/>
      <c r="AH441" s="9"/>
      <c r="AI441" s="9"/>
      <c r="AJ441" s="9"/>
      <c r="AK441" s="9"/>
      <c r="AL441" s="9"/>
      <c r="AM441" s="9"/>
      <c r="AN441" s="10"/>
      <c r="AO441" s="65">
        <f t="shared" si="7"/>
        <v>0</v>
      </c>
    </row>
    <row r="442" spans="2:41" s="4" customFormat="1" ht="24" customHeight="1" x14ac:dyDescent="0.2">
      <c r="B442" s="14"/>
      <c r="C442" s="23"/>
      <c r="D442" s="21"/>
      <c r="E442" s="6"/>
      <c r="F442" s="16" t="str">
        <f>IFERROR(VLOOKUP($E442,設定!$C:$F,2,0),"")</f>
        <v/>
      </c>
      <c r="G442" s="156" t="str">
        <f>IFERROR(VLOOKUP($E442,設定!$C:$F,3,0),"")</f>
        <v/>
      </c>
      <c r="H442" s="131" t="str">
        <f>IFERROR(VLOOKUP($E442,設定!$C:$F,4,0),"")</f>
        <v/>
      </c>
      <c r="I442" s="402"/>
      <c r="J442" s="8"/>
      <c r="K442" s="9"/>
      <c r="L442" s="9"/>
      <c r="M442" s="9"/>
      <c r="N442" s="9"/>
      <c r="O442" s="9"/>
      <c r="P442" s="9"/>
      <c r="Q442" s="9"/>
      <c r="R442" s="9"/>
      <c r="S442" s="9"/>
      <c r="T442" s="9"/>
      <c r="U442" s="9"/>
      <c r="V442" s="9"/>
      <c r="W442" s="9"/>
      <c r="X442" s="9"/>
      <c r="Y442" s="9"/>
      <c r="Z442" s="9"/>
      <c r="AA442" s="9"/>
      <c r="AB442" s="9"/>
      <c r="AC442" s="9"/>
      <c r="AD442" s="9"/>
      <c r="AE442" s="9"/>
      <c r="AF442" s="9"/>
      <c r="AG442" s="9"/>
      <c r="AH442" s="9"/>
      <c r="AI442" s="9"/>
      <c r="AJ442" s="9"/>
      <c r="AK442" s="9"/>
      <c r="AL442" s="9"/>
      <c r="AM442" s="9"/>
      <c r="AN442" s="10"/>
      <c r="AO442" s="65">
        <f t="shared" si="7"/>
        <v>0</v>
      </c>
    </row>
    <row r="443" spans="2:41" s="4" customFormat="1" ht="24" customHeight="1" x14ac:dyDescent="0.2">
      <c r="B443" s="14"/>
      <c r="C443" s="23"/>
      <c r="D443" s="21"/>
      <c r="E443" s="6"/>
      <c r="F443" s="16" t="str">
        <f>IFERROR(VLOOKUP($E443,設定!$C:$F,2,0),"")</f>
        <v/>
      </c>
      <c r="G443" s="156" t="str">
        <f>IFERROR(VLOOKUP($E443,設定!$C:$F,3,0),"")</f>
        <v/>
      </c>
      <c r="H443" s="131" t="str">
        <f>IFERROR(VLOOKUP($E443,設定!$C:$F,4,0),"")</f>
        <v/>
      </c>
      <c r="I443" s="402"/>
      <c r="J443" s="8"/>
      <c r="K443" s="9"/>
      <c r="L443" s="9"/>
      <c r="M443" s="9"/>
      <c r="N443" s="9"/>
      <c r="O443" s="9"/>
      <c r="P443" s="9"/>
      <c r="Q443" s="9"/>
      <c r="R443" s="9"/>
      <c r="S443" s="9"/>
      <c r="T443" s="9"/>
      <c r="U443" s="9"/>
      <c r="V443" s="9"/>
      <c r="W443" s="9"/>
      <c r="X443" s="9"/>
      <c r="Y443" s="9"/>
      <c r="Z443" s="9"/>
      <c r="AA443" s="9"/>
      <c r="AB443" s="9"/>
      <c r="AC443" s="9"/>
      <c r="AD443" s="9"/>
      <c r="AE443" s="9"/>
      <c r="AF443" s="9"/>
      <c r="AG443" s="9"/>
      <c r="AH443" s="9"/>
      <c r="AI443" s="9"/>
      <c r="AJ443" s="9"/>
      <c r="AK443" s="9"/>
      <c r="AL443" s="9"/>
      <c r="AM443" s="9"/>
      <c r="AN443" s="10"/>
      <c r="AO443" s="65">
        <f t="shared" si="7"/>
        <v>0</v>
      </c>
    </row>
    <row r="444" spans="2:41" s="4" customFormat="1" ht="24" customHeight="1" x14ac:dyDescent="0.2">
      <c r="B444" s="14"/>
      <c r="C444" s="23"/>
      <c r="D444" s="21"/>
      <c r="E444" s="6"/>
      <c r="F444" s="16" t="str">
        <f>IFERROR(VLOOKUP($E444,設定!$C:$F,2,0),"")</f>
        <v/>
      </c>
      <c r="G444" s="156" t="str">
        <f>IFERROR(VLOOKUP($E444,設定!$C:$F,3,0),"")</f>
        <v/>
      </c>
      <c r="H444" s="131" t="str">
        <f>IFERROR(VLOOKUP($E444,設定!$C:$F,4,0),"")</f>
        <v/>
      </c>
      <c r="I444" s="402"/>
      <c r="J444" s="8"/>
      <c r="K444" s="9"/>
      <c r="L444" s="9"/>
      <c r="M444" s="9"/>
      <c r="N444" s="9"/>
      <c r="O444" s="9"/>
      <c r="P444" s="9"/>
      <c r="Q444" s="9"/>
      <c r="R444" s="9"/>
      <c r="S444" s="9"/>
      <c r="T444" s="9"/>
      <c r="U444" s="9"/>
      <c r="V444" s="9"/>
      <c r="W444" s="9"/>
      <c r="X444" s="9"/>
      <c r="Y444" s="9"/>
      <c r="Z444" s="9"/>
      <c r="AA444" s="9"/>
      <c r="AB444" s="9"/>
      <c r="AC444" s="9"/>
      <c r="AD444" s="9"/>
      <c r="AE444" s="9"/>
      <c r="AF444" s="9"/>
      <c r="AG444" s="9"/>
      <c r="AH444" s="9"/>
      <c r="AI444" s="9"/>
      <c r="AJ444" s="9"/>
      <c r="AK444" s="9"/>
      <c r="AL444" s="9"/>
      <c r="AM444" s="9"/>
      <c r="AN444" s="10"/>
      <c r="AO444" s="65">
        <f t="shared" si="7"/>
        <v>0</v>
      </c>
    </row>
    <row r="445" spans="2:41" s="4" customFormat="1" ht="24" customHeight="1" x14ac:dyDescent="0.2">
      <c r="B445" s="14"/>
      <c r="C445" s="23"/>
      <c r="D445" s="21"/>
      <c r="E445" s="6"/>
      <c r="F445" s="16" t="str">
        <f>IFERROR(VLOOKUP($E445,設定!$C:$F,2,0),"")</f>
        <v/>
      </c>
      <c r="G445" s="156" t="str">
        <f>IFERROR(VLOOKUP($E445,設定!$C:$F,3,0),"")</f>
        <v/>
      </c>
      <c r="H445" s="131" t="str">
        <f>IFERROR(VLOOKUP($E445,設定!$C:$F,4,0),"")</f>
        <v/>
      </c>
      <c r="I445" s="402"/>
      <c r="J445" s="8"/>
      <c r="K445" s="9"/>
      <c r="L445" s="9"/>
      <c r="M445" s="9"/>
      <c r="N445" s="9"/>
      <c r="O445" s="9"/>
      <c r="P445" s="9"/>
      <c r="Q445" s="9"/>
      <c r="R445" s="9"/>
      <c r="S445" s="9"/>
      <c r="T445" s="9"/>
      <c r="U445" s="9"/>
      <c r="V445" s="9"/>
      <c r="W445" s="9"/>
      <c r="X445" s="9"/>
      <c r="Y445" s="9"/>
      <c r="Z445" s="9"/>
      <c r="AA445" s="9"/>
      <c r="AB445" s="9"/>
      <c r="AC445" s="9"/>
      <c r="AD445" s="9"/>
      <c r="AE445" s="9"/>
      <c r="AF445" s="9"/>
      <c r="AG445" s="9"/>
      <c r="AH445" s="9"/>
      <c r="AI445" s="9"/>
      <c r="AJ445" s="9"/>
      <c r="AK445" s="9"/>
      <c r="AL445" s="9"/>
      <c r="AM445" s="9"/>
      <c r="AN445" s="10"/>
      <c r="AO445" s="65">
        <f t="shared" si="7"/>
        <v>0</v>
      </c>
    </row>
    <row r="446" spans="2:41" s="4" customFormat="1" ht="24" customHeight="1" x14ac:dyDescent="0.2">
      <c r="B446" s="14"/>
      <c r="C446" s="23"/>
      <c r="D446" s="21"/>
      <c r="E446" s="6"/>
      <c r="F446" s="16" t="str">
        <f>IFERROR(VLOOKUP($E446,設定!$C:$F,2,0),"")</f>
        <v/>
      </c>
      <c r="G446" s="156" t="str">
        <f>IFERROR(VLOOKUP($E446,設定!$C:$F,3,0),"")</f>
        <v/>
      </c>
      <c r="H446" s="131" t="str">
        <f>IFERROR(VLOOKUP($E446,設定!$C:$F,4,0),"")</f>
        <v/>
      </c>
      <c r="I446" s="402"/>
      <c r="J446" s="8"/>
      <c r="K446" s="9"/>
      <c r="L446" s="9"/>
      <c r="M446" s="9"/>
      <c r="N446" s="9"/>
      <c r="O446" s="9"/>
      <c r="P446" s="9"/>
      <c r="Q446" s="9"/>
      <c r="R446" s="9"/>
      <c r="S446" s="9"/>
      <c r="T446" s="9"/>
      <c r="U446" s="9"/>
      <c r="V446" s="9"/>
      <c r="W446" s="9"/>
      <c r="X446" s="9"/>
      <c r="Y446" s="9"/>
      <c r="Z446" s="9"/>
      <c r="AA446" s="9"/>
      <c r="AB446" s="9"/>
      <c r="AC446" s="9"/>
      <c r="AD446" s="9"/>
      <c r="AE446" s="9"/>
      <c r="AF446" s="9"/>
      <c r="AG446" s="9"/>
      <c r="AH446" s="9"/>
      <c r="AI446" s="9"/>
      <c r="AJ446" s="9"/>
      <c r="AK446" s="9"/>
      <c r="AL446" s="9"/>
      <c r="AM446" s="9"/>
      <c r="AN446" s="10"/>
      <c r="AO446" s="65">
        <f t="shared" si="7"/>
        <v>0</v>
      </c>
    </row>
    <row r="447" spans="2:41" s="4" customFormat="1" ht="24" customHeight="1" x14ac:dyDescent="0.2">
      <c r="B447" s="14"/>
      <c r="C447" s="23"/>
      <c r="D447" s="21"/>
      <c r="E447" s="6"/>
      <c r="F447" s="16" t="str">
        <f>IFERROR(VLOOKUP($E447,設定!$C:$F,2,0),"")</f>
        <v/>
      </c>
      <c r="G447" s="156" t="str">
        <f>IFERROR(VLOOKUP($E447,設定!$C:$F,3,0),"")</f>
        <v/>
      </c>
      <c r="H447" s="131" t="str">
        <f>IFERROR(VLOOKUP($E447,設定!$C:$F,4,0),"")</f>
        <v/>
      </c>
      <c r="I447" s="402"/>
      <c r="J447" s="8"/>
      <c r="K447" s="9"/>
      <c r="L447" s="9"/>
      <c r="M447" s="9"/>
      <c r="N447" s="9"/>
      <c r="O447" s="9"/>
      <c r="P447" s="9"/>
      <c r="Q447" s="9"/>
      <c r="R447" s="9"/>
      <c r="S447" s="9"/>
      <c r="T447" s="9"/>
      <c r="U447" s="9"/>
      <c r="V447" s="9"/>
      <c r="W447" s="9"/>
      <c r="X447" s="9"/>
      <c r="Y447" s="9"/>
      <c r="Z447" s="9"/>
      <c r="AA447" s="9"/>
      <c r="AB447" s="9"/>
      <c r="AC447" s="9"/>
      <c r="AD447" s="9"/>
      <c r="AE447" s="9"/>
      <c r="AF447" s="9"/>
      <c r="AG447" s="9"/>
      <c r="AH447" s="9"/>
      <c r="AI447" s="9"/>
      <c r="AJ447" s="9"/>
      <c r="AK447" s="9"/>
      <c r="AL447" s="9"/>
      <c r="AM447" s="9"/>
      <c r="AN447" s="10"/>
      <c r="AO447" s="65">
        <f t="shared" si="7"/>
        <v>0</v>
      </c>
    </row>
    <row r="448" spans="2:41" s="4" customFormat="1" ht="24" customHeight="1" x14ac:dyDescent="0.2">
      <c r="B448" s="14"/>
      <c r="C448" s="23"/>
      <c r="D448" s="21"/>
      <c r="E448" s="6"/>
      <c r="F448" s="16" t="str">
        <f>IFERROR(VLOOKUP($E448,設定!$C:$F,2,0),"")</f>
        <v/>
      </c>
      <c r="G448" s="156" t="str">
        <f>IFERROR(VLOOKUP($E448,設定!$C:$F,3,0),"")</f>
        <v/>
      </c>
      <c r="H448" s="131" t="str">
        <f>IFERROR(VLOOKUP($E448,設定!$C:$F,4,0),"")</f>
        <v/>
      </c>
      <c r="I448" s="402"/>
      <c r="J448" s="8"/>
      <c r="K448" s="9"/>
      <c r="L448" s="9"/>
      <c r="M448" s="9"/>
      <c r="N448" s="9"/>
      <c r="O448" s="9"/>
      <c r="P448" s="9"/>
      <c r="Q448" s="9"/>
      <c r="R448" s="9"/>
      <c r="S448" s="9"/>
      <c r="T448" s="9"/>
      <c r="U448" s="9"/>
      <c r="V448" s="9"/>
      <c r="W448" s="9"/>
      <c r="X448" s="9"/>
      <c r="Y448" s="9"/>
      <c r="Z448" s="9"/>
      <c r="AA448" s="9"/>
      <c r="AB448" s="9"/>
      <c r="AC448" s="9"/>
      <c r="AD448" s="9"/>
      <c r="AE448" s="9"/>
      <c r="AF448" s="9"/>
      <c r="AG448" s="9"/>
      <c r="AH448" s="9"/>
      <c r="AI448" s="9"/>
      <c r="AJ448" s="9"/>
      <c r="AK448" s="9"/>
      <c r="AL448" s="9"/>
      <c r="AM448" s="9"/>
      <c r="AN448" s="10"/>
      <c r="AO448" s="65">
        <f t="shared" si="7"/>
        <v>0</v>
      </c>
    </row>
    <row r="449" spans="2:41" s="4" customFormat="1" ht="24" customHeight="1" x14ac:dyDescent="0.2">
      <c r="B449" s="14"/>
      <c r="C449" s="23"/>
      <c r="D449" s="21"/>
      <c r="E449" s="6"/>
      <c r="F449" s="16" t="str">
        <f>IFERROR(VLOOKUP($E449,設定!$C:$F,2,0),"")</f>
        <v/>
      </c>
      <c r="G449" s="156" t="str">
        <f>IFERROR(VLOOKUP($E449,設定!$C:$F,3,0),"")</f>
        <v/>
      </c>
      <c r="H449" s="131" t="str">
        <f>IFERROR(VLOOKUP($E449,設定!$C:$F,4,0),"")</f>
        <v/>
      </c>
      <c r="I449" s="402"/>
      <c r="J449" s="8"/>
      <c r="K449" s="9"/>
      <c r="L449" s="9"/>
      <c r="M449" s="9"/>
      <c r="N449" s="9"/>
      <c r="O449" s="9"/>
      <c r="P449" s="9"/>
      <c r="Q449" s="9"/>
      <c r="R449" s="9"/>
      <c r="S449" s="9"/>
      <c r="T449" s="9"/>
      <c r="U449" s="9"/>
      <c r="V449" s="9"/>
      <c r="W449" s="9"/>
      <c r="X449" s="9"/>
      <c r="Y449" s="9"/>
      <c r="Z449" s="9"/>
      <c r="AA449" s="9"/>
      <c r="AB449" s="9"/>
      <c r="AC449" s="9"/>
      <c r="AD449" s="9"/>
      <c r="AE449" s="9"/>
      <c r="AF449" s="9"/>
      <c r="AG449" s="9"/>
      <c r="AH449" s="9"/>
      <c r="AI449" s="9"/>
      <c r="AJ449" s="9"/>
      <c r="AK449" s="9"/>
      <c r="AL449" s="9"/>
      <c r="AM449" s="9"/>
      <c r="AN449" s="10"/>
      <c r="AO449" s="65">
        <f t="shared" si="7"/>
        <v>0</v>
      </c>
    </row>
    <row r="450" spans="2:41" s="4" customFormat="1" ht="24" customHeight="1" x14ac:dyDescent="0.2">
      <c r="B450" s="14"/>
      <c r="C450" s="23"/>
      <c r="D450" s="21"/>
      <c r="E450" s="6"/>
      <c r="F450" s="16" t="str">
        <f>IFERROR(VLOOKUP($E450,設定!$C:$F,2,0),"")</f>
        <v/>
      </c>
      <c r="G450" s="156" t="str">
        <f>IFERROR(VLOOKUP($E450,設定!$C:$F,3,0),"")</f>
        <v/>
      </c>
      <c r="H450" s="131" t="str">
        <f>IFERROR(VLOOKUP($E450,設定!$C:$F,4,0),"")</f>
        <v/>
      </c>
      <c r="I450" s="402"/>
      <c r="J450" s="8"/>
      <c r="K450" s="9"/>
      <c r="L450" s="9"/>
      <c r="M450" s="9"/>
      <c r="N450" s="9"/>
      <c r="O450" s="9"/>
      <c r="P450" s="9"/>
      <c r="Q450" s="9"/>
      <c r="R450" s="9"/>
      <c r="S450" s="9"/>
      <c r="T450" s="9"/>
      <c r="U450" s="9"/>
      <c r="V450" s="9"/>
      <c r="W450" s="9"/>
      <c r="X450" s="9"/>
      <c r="Y450" s="9"/>
      <c r="Z450" s="9"/>
      <c r="AA450" s="9"/>
      <c r="AB450" s="9"/>
      <c r="AC450" s="9"/>
      <c r="AD450" s="9"/>
      <c r="AE450" s="9"/>
      <c r="AF450" s="9"/>
      <c r="AG450" s="9"/>
      <c r="AH450" s="9"/>
      <c r="AI450" s="9"/>
      <c r="AJ450" s="9"/>
      <c r="AK450" s="9"/>
      <c r="AL450" s="9"/>
      <c r="AM450" s="9"/>
      <c r="AN450" s="10"/>
      <c r="AO450" s="65">
        <f t="shared" si="7"/>
        <v>0</v>
      </c>
    </row>
    <row r="451" spans="2:41" s="4" customFormat="1" ht="24" customHeight="1" x14ac:dyDescent="0.2">
      <c r="B451" s="14"/>
      <c r="C451" s="23"/>
      <c r="D451" s="21"/>
      <c r="E451" s="6"/>
      <c r="F451" s="16" t="str">
        <f>IFERROR(VLOOKUP($E451,設定!$C:$F,2,0),"")</f>
        <v/>
      </c>
      <c r="G451" s="156" t="str">
        <f>IFERROR(VLOOKUP($E451,設定!$C:$F,3,0),"")</f>
        <v/>
      </c>
      <c r="H451" s="131" t="str">
        <f>IFERROR(VLOOKUP($E451,設定!$C:$F,4,0),"")</f>
        <v/>
      </c>
      <c r="I451" s="402"/>
      <c r="J451" s="8"/>
      <c r="K451" s="9"/>
      <c r="L451" s="9"/>
      <c r="M451" s="9"/>
      <c r="N451" s="9"/>
      <c r="O451" s="9"/>
      <c r="P451" s="9"/>
      <c r="Q451" s="9"/>
      <c r="R451" s="9"/>
      <c r="S451" s="9"/>
      <c r="T451" s="9"/>
      <c r="U451" s="9"/>
      <c r="V451" s="9"/>
      <c r="W451" s="9"/>
      <c r="X451" s="9"/>
      <c r="Y451" s="9"/>
      <c r="Z451" s="9"/>
      <c r="AA451" s="9"/>
      <c r="AB451" s="9"/>
      <c r="AC451" s="9"/>
      <c r="AD451" s="9"/>
      <c r="AE451" s="9"/>
      <c r="AF451" s="9"/>
      <c r="AG451" s="9"/>
      <c r="AH451" s="9"/>
      <c r="AI451" s="9"/>
      <c r="AJ451" s="9"/>
      <c r="AK451" s="9"/>
      <c r="AL451" s="9"/>
      <c r="AM451" s="9"/>
      <c r="AN451" s="10"/>
      <c r="AO451" s="65">
        <f t="shared" si="7"/>
        <v>0</v>
      </c>
    </row>
    <row r="452" spans="2:41" s="4" customFormat="1" ht="24" customHeight="1" x14ac:dyDescent="0.2">
      <c r="B452" s="14"/>
      <c r="C452" s="23"/>
      <c r="D452" s="21"/>
      <c r="E452" s="6"/>
      <c r="F452" s="16" t="str">
        <f>IFERROR(VLOOKUP($E452,設定!$C:$F,2,0),"")</f>
        <v/>
      </c>
      <c r="G452" s="156" t="str">
        <f>IFERROR(VLOOKUP($E452,設定!$C:$F,3,0),"")</f>
        <v/>
      </c>
      <c r="H452" s="131" t="str">
        <f>IFERROR(VLOOKUP($E452,設定!$C:$F,4,0),"")</f>
        <v/>
      </c>
      <c r="I452" s="402"/>
      <c r="J452" s="8"/>
      <c r="K452" s="9"/>
      <c r="L452" s="9"/>
      <c r="M452" s="9"/>
      <c r="N452" s="9"/>
      <c r="O452" s="9"/>
      <c r="P452" s="9"/>
      <c r="Q452" s="9"/>
      <c r="R452" s="9"/>
      <c r="S452" s="9"/>
      <c r="T452" s="9"/>
      <c r="U452" s="9"/>
      <c r="V452" s="9"/>
      <c r="W452" s="9"/>
      <c r="X452" s="9"/>
      <c r="Y452" s="9"/>
      <c r="Z452" s="9"/>
      <c r="AA452" s="9"/>
      <c r="AB452" s="9"/>
      <c r="AC452" s="9"/>
      <c r="AD452" s="9"/>
      <c r="AE452" s="9"/>
      <c r="AF452" s="9"/>
      <c r="AG452" s="9"/>
      <c r="AH452" s="9"/>
      <c r="AI452" s="9"/>
      <c r="AJ452" s="9"/>
      <c r="AK452" s="9"/>
      <c r="AL452" s="9"/>
      <c r="AM452" s="9"/>
      <c r="AN452" s="10"/>
      <c r="AO452" s="65">
        <f t="shared" si="7"/>
        <v>0</v>
      </c>
    </row>
    <row r="453" spans="2:41" s="4" customFormat="1" ht="24" customHeight="1" x14ac:dyDescent="0.2">
      <c r="B453" s="14"/>
      <c r="C453" s="23"/>
      <c r="D453" s="21"/>
      <c r="E453" s="6"/>
      <c r="F453" s="16" t="str">
        <f>IFERROR(VLOOKUP($E453,設定!$C:$F,2,0),"")</f>
        <v/>
      </c>
      <c r="G453" s="156" t="str">
        <f>IFERROR(VLOOKUP($E453,設定!$C:$F,3,0),"")</f>
        <v/>
      </c>
      <c r="H453" s="131" t="str">
        <f>IFERROR(VLOOKUP($E453,設定!$C:$F,4,0),"")</f>
        <v/>
      </c>
      <c r="I453" s="402"/>
      <c r="J453" s="8"/>
      <c r="K453" s="9"/>
      <c r="L453" s="9"/>
      <c r="M453" s="9"/>
      <c r="N453" s="9"/>
      <c r="O453" s="9"/>
      <c r="P453" s="9"/>
      <c r="Q453" s="9"/>
      <c r="R453" s="9"/>
      <c r="S453" s="9"/>
      <c r="T453" s="9"/>
      <c r="U453" s="9"/>
      <c r="V453" s="9"/>
      <c r="W453" s="9"/>
      <c r="X453" s="9"/>
      <c r="Y453" s="9"/>
      <c r="Z453" s="9"/>
      <c r="AA453" s="9"/>
      <c r="AB453" s="9"/>
      <c r="AC453" s="9"/>
      <c r="AD453" s="9"/>
      <c r="AE453" s="9"/>
      <c r="AF453" s="9"/>
      <c r="AG453" s="9"/>
      <c r="AH453" s="9"/>
      <c r="AI453" s="9"/>
      <c r="AJ453" s="9"/>
      <c r="AK453" s="9"/>
      <c r="AL453" s="9"/>
      <c r="AM453" s="9"/>
      <c r="AN453" s="10"/>
      <c r="AO453" s="65">
        <f t="shared" si="7"/>
        <v>0</v>
      </c>
    </row>
    <row r="454" spans="2:41" s="4" customFormat="1" ht="24" customHeight="1" x14ac:dyDescent="0.2">
      <c r="B454" s="14"/>
      <c r="C454" s="23"/>
      <c r="D454" s="21"/>
      <c r="E454" s="6"/>
      <c r="F454" s="16" t="str">
        <f>IFERROR(VLOOKUP($E454,設定!$C:$F,2,0),"")</f>
        <v/>
      </c>
      <c r="G454" s="156" t="str">
        <f>IFERROR(VLOOKUP($E454,設定!$C:$F,3,0),"")</f>
        <v/>
      </c>
      <c r="H454" s="131" t="str">
        <f>IFERROR(VLOOKUP($E454,設定!$C:$F,4,0),"")</f>
        <v/>
      </c>
      <c r="I454" s="402"/>
      <c r="J454" s="8"/>
      <c r="K454" s="9"/>
      <c r="L454" s="9"/>
      <c r="M454" s="9"/>
      <c r="N454" s="9"/>
      <c r="O454" s="9"/>
      <c r="P454" s="9"/>
      <c r="Q454" s="9"/>
      <c r="R454" s="9"/>
      <c r="S454" s="9"/>
      <c r="T454" s="9"/>
      <c r="U454" s="9"/>
      <c r="V454" s="9"/>
      <c r="W454" s="9"/>
      <c r="X454" s="9"/>
      <c r="Y454" s="9"/>
      <c r="Z454" s="9"/>
      <c r="AA454" s="9"/>
      <c r="AB454" s="9"/>
      <c r="AC454" s="9"/>
      <c r="AD454" s="9"/>
      <c r="AE454" s="9"/>
      <c r="AF454" s="9"/>
      <c r="AG454" s="9"/>
      <c r="AH454" s="9"/>
      <c r="AI454" s="9"/>
      <c r="AJ454" s="9"/>
      <c r="AK454" s="9"/>
      <c r="AL454" s="9"/>
      <c r="AM454" s="9"/>
      <c r="AN454" s="10"/>
      <c r="AO454" s="65">
        <f t="shared" si="7"/>
        <v>0</v>
      </c>
    </row>
    <row r="455" spans="2:41" s="4" customFormat="1" ht="24" customHeight="1" x14ac:dyDescent="0.2">
      <c r="B455" s="14"/>
      <c r="C455" s="23"/>
      <c r="D455" s="21"/>
      <c r="E455" s="6"/>
      <c r="F455" s="16" t="str">
        <f>IFERROR(VLOOKUP($E455,設定!$C:$F,2,0),"")</f>
        <v/>
      </c>
      <c r="G455" s="156" t="str">
        <f>IFERROR(VLOOKUP($E455,設定!$C:$F,3,0),"")</f>
        <v/>
      </c>
      <c r="H455" s="131" t="str">
        <f>IFERROR(VLOOKUP($E455,設定!$C:$F,4,0),"")</f>
        <v/>
      </c>
      <c r="I455" s="402"/>
      <c r="J455" s="8"/>
      <c r="K455" s="9"/>
      <c r="L455" s="9"/>
      <c r="M455" s="9"/>
      <c r="N455" s="9"/>
      <c r="O455" s="9"/>
      <c r="P455" s="9"/>
      <c r="Q455" s="9"/>
      <c r="R455" s="9"/>
      <c r="S455" s="9"/>
      <c r="T455" s="9"/>
      <c r="U455" s="9"/>
      <c r="V455" s="9"/>
      <c r="W455" s="9"/>
      <c r="X455" s="9"/>
      <c r="Y455" s="9"/>
      <c r="Z455" s="9"/>
      <c r="AA455" s="9"/>
      <c r="AB455" s="9"/>
      <c r="AC455" s="9"/>
      <c r="AD455" s="9"/>
      <c r="AE455" s="9"/>
      <c r="AF455" s="9"/>
      <c r="AG455" s="9"/>
      <c r="AH455" s="9"/>
      <c r="AI455" s="9"/>
      <c r="AJ455" s="9"/>
      <c r="AK455" s="9"/>
      <c r="AL455" s="9"/>
      <c r="AM455" s="9"/>
      <c r="AN455" s="10"/>
      <c r="AO455" s="65">
        <f t="shared" ref="AO455:AO518" si="8">I455*SUM(J455:AN455)</f>
        <v>0</v>
      </c>
    </row>
    <row r="456" spans="2:41" s="4" customFormat="1" ht="24" customHeight="1" x14ac:dyDescent="0.2">
      <c r="B456" s="14"/>
      <c r="C456" s="23"/>
      <c r="D456" s="21"/>
      <c r="E456" s="6"/>
      <c r="F456" s="16" t="str">
        <f>IFERROR(VLOOKUP($E456,設定!$C:$F,2,0),"")</f>
        <v/>
      </c>
      <c r="G456" s="156" t="str">
        <f>IFERROR(VLOOKUP($E456,設定!$C:$F,3,0),"")</f>
        <v/>
      </c>
      <c r="H456" s="131" t="str">
        <f>IFERROR(VLOOKUP($E456,設定!$C:$F,4,0),"")</f>
        <v/>
      </c>
      <c r="I456" s="402"/>
      <c r="J456" s="8"/>
      <c r="K456" s="9"/>
      <c r="L456" s="9"/>
      <c r="M456" s="9"/>
      <c r="N456" s="9"/>
      <c r="O456" s="9"/>
      <c r="P456" s="9"/>
      <c r="Q456" s="9"/>
      <c r="R456" s="9"/>
      <c r="S456" s="9"/>
      <c r="T456" s="9"/>
      <c r="U456" s="9"/>
      <c r="V456" s="9"/>
      <c r="W456" s="9"/>
      <c r="X456" s="9"/>
      <c r="Y456" s="9"/>
      <c r="Z456" s="9"/>
      <c r="AA456" s="9"/>
      <c r="AB456" s="9"/>
      <c r="AC456" s="9"/>
      <c r="AD456" s="9"/>
      <c r="AE456" s="9"/>
      <c r="AF456" s="9"/>
      <c r="AG456" s="9"/>
      <c r="AH456" s="9"/>
      <c r="AI456" s="9"/>
      <c r="AJ456" s="9"/>
      <c r="AK456" s="9"/>
      <c r="AL456" s="9"/>
      <c r="AM456" s="9"/>
      <c r="AN456" s="10"/>
      <c r="AO456" s="65">
        <f t="shared" si="8"/>
        <v>0</v>
      </c>
    </row>
    <row r="457" spans="2:41" s="4" customFormat="1" ht="24" customHeight="1" x14ac:dyDescent="0.2">
      <c r="B457" s="14"/>
      <c r="C457" s="23"/>
      <c r="D457" s="21"/>
      <c r="E457" s="6"/>
      <c r="F457" s="16" t="str">
        <f>IFERROR(VLOOKUP($E457,設定!$C:$F,2,0),"")</f>
        <v/>
      </c>
      <c r="G457" s="156" t="str">
        <f>IFERROR(VLOOKUP($E457,設定!$C:$F,3,0),"")</f>
        <v/>
      </c>
      <c r="H457" s="131" t="str">
        <f>IFERROR(VLOOKUP($E457,設定!$C:$F,4,0),"")</f>
        <v/>
      </c>
      <c r="I457" s="402"/>
      <c r="J457" s="8"/>
      <c r="K457" s="9"/>
      <c r="L457" s="9"/>
      <c r="M457" s="9"/>
      <c r="N457" s="9"/>
      <c r="O457" s="9"/>
      <c r="P457" s="9"/>
      <c r="Q457" s="9"/>
      <c r="R457" s="9"/>
      <c r="S457" s="9"/>
      <c r="T457" s="9"/>
      <c r="U457" s="9"/>
      <c r="V457" s="9"/>
      <c r="W457" s="9"/>
      <c r="X457" s="9"/>
      <c r="Y457" s="9"/>
      <c r="Z457" s="9"/>
      <c r="AA457" s="9"/>
      <c r="AB457" s="9"/>
      <c r="AC457" s="9"/>
      <c r="AD457" s="9"/>
      <c r="AE457" s="9"/>
      <c r="AF457" s="9"/>
      <c r="AG457" s="9"/>
      <c r="AH457" s="9"/>
      <c r="AI457" s="9"/>
      <c r="AJ457" s="9"/>
      <c r="AK457" s="9"/>
      <c r="AL457" s="9"/>
      <c r="AM457" s="9"/>
      <c r="AN457" s="10"/>
      <c r="AO457" s="65">
        <f t="shared" si="8"/>
        <v>0</v>
      </c>
    </row>
    <row r="458" spans="2:41" s="4" customFormat="1" ht="24" customHeight="1" x14ac:dyDescent="0.2">
      <c r="B458" s="14"/>
      <c r="C458" s="23"/>
      <c r="D458" s="21"/>
      <c r="E458" s="6"/>
      <c r="F458" s="16" t="str">
        <f>IFERROR(VLOOKUP($E458,設定!$C:$F,2,0),"")</f>
        <v/>
      </c>
      <c r="G458" s="156" t="str">
        <f>IFERROR(VLOOKUP($E458,設定!$C:$F,3,0),"")</f>
        <v/>
      </c>
      <c r="H458" s="131" t="str">
        <f>IFERROR(VLOOKUP($E458,設定!$C:$F,4,0),"")</f>
        <v/>
      </c>
      <c r="I458" s="402"/>
      <c r="J458" s="8"/>
      <c r="K458" s="9"/>
      <c r="L458" s="9"/>
      <c r="M458" s="9"/>
      <c r="N458" s="9"/>
      <c r="O458" s="9"/>
      <c r="P458" s="9"/>
      <c r="Q458" s="9"/>
      <c r="R458" s="9"/>
      <c r="S458" s="9"/>
      <c r="T458" s="9"/>
      <c r="U458" s="9"/>
      <c r="V458" s="9"/>
      <c r="W458" s="9"/>
      <c r="X458" s="9"/>
      <c r="Y458" s="9"/>
      <c r="Z458" s="9"/>
      <c r="AA458" s="9"/>
      <c r="AB458" s="9"/>
      <c r="AC458" s="9"/>
      <c r="AD458" s="9"/>
      <c r="AE458" s="9"/>
      <c r="AF458" s="9"/>
      <c r="AG458" s="9"/>
      <c r="AH458" s="9"/>
      <c r="AI458" s="9"/>
      <c r="AJ458" s="9"/>
      <c r="AK458" s="9"/>
      <c r="AL458" s="9"/>
      <c r="AM458" s="9"/>
      <c r="AN458" s="10"/>
      <c r="AO458" s="65">
        <f t="shared" si="8"/>
        <v>0</v>
      </c>
    </row>
    <row r="459" spans="2:41" s="4" customFormat="1" ht="24" customHeight="1" x14ac:dyDescent="0.2">
      <c r="B459" s="14"/>
      <c r="C459" s="23"/>
      <c r="D459" s="21"/>
      <c r="E459" s="6"/>
      <c r="F459" s="16" t="str">
        <f>IFERROR(VLOOKUP($E459,設定!$C:$F,2,0),"")</f>
        <v/>
      </c>
      <c r="G459" s="156" t="str">
        <f>IFERROR(VLOOKUP($E459,設定!$C:$F,3,0),"")</f>
        <v/>
      </c>
      <c r="H459" s="131" t="str">
        <f>IFERROR(VLOOKUP($E459,設定!$C:$F,4,0),"")</f>
        <v/>
      </c>
      <c r="I459" s="402"/>
      <c r="J459" s="8"/>
      <c r="K459" s="9"/>
      <c r="L459" s="9"/>
      <c r="M459" s="9"/>
      <c r="N459" s="9"/>
      <c r="O459" s="9"/>
      <c r="P459" s="9"/>
      <c r="Q459" s="9"/>
      <c r="R459" s="9"/>
      <c r="S459" s="9"/>
      <c r="T459" s="9"/>
      <c r="U459" s="9"/>
      <c r="V459" s="9"/>
      <c r="W459" s="9"/>
      <c r="X459" s="9"/>
      <c r="Y459" s="9"/>
      <c r="Z459" s="9"/>
      <c r="AA459" s="9"/>
      <c r="AB459" s="9"/>
      <c r="AC459" s="9"/>
      <c r="AD459" s="9"/>
      <c r="AE459" s="9"/>
      <c r="AF459" s="9"/>
      <c r="AG459" s="9"/>
      <c r="AH459" s="9"/>
      <c r="AI459" s="9"/>
      <c r="AJ459" s="9"/>
      <c r="AK459" s="9"/>
      <c r="AL459" s="9"/>
      <c r="AM459" s="9"/>
      <c r="AN459" s="10"/>
      <c r="AO459" s="65">
        <f t="shared" si="8"/>
        <v>0</v>
      </c>
    </row>
    <row r="460" spans="2:41" s="4" customFormat="1" ht="24" customHeight="1" x14ac:dyDescent="0.2">
      <c r="B460" s="14"/>
      <c r="C460" s="23"/>
      <c r="D460" s="21"/>
      <c r="E460" s="6"/>
      <c r="F460" s="16" t="str">
        <f>IFERROR(VLOOKUP($E460,設定!$C:$F,2,0),"")</f>
        <v/>
      </c>
      <c r="G460" s="156" t="str">
        <f>IFERROR(VLOOKUP($E460,設定!$C:$F,3,0),"")</f>
        <v/>
      </c>
      <c r="H460" s="131" t="str">
        <f>IFERROR(VLOOKUP($E460,設定!$C:$F,4,0),"")</f>
        <v/>
      </c>
      <c r="I460" s="402"/>
      <c r="J460" s="8"/>
      <c r="K460" s="9"/>
      <c r="L460" s="9"/>
      <c r="M460" s="9"/>
      <c r="N460" s="9"/>
      <c r="O460" s="9"/>
      <c r="P460" s="9"/>
      <c r="Q460" s="9"/>
      <c r="R460" s="9"/>
      <c r="S460" s="9"/>
      <c r="T460" s="9"/>
      <c r="U460" s="9"/>
      <c r="V460" s="9"/>
      <c r="W460" s="9"/>
      <c r="X460" s="9"/>
      <c r="Y460" s="9"/>
      <c r="Z460" s="9"/>
      <c r="AA460" s="9"/>
      <c r="AB460" s="9"/>
      <c r="AC460" s="9"/>
      <c r="AD460" s="9"/>
      <c r="AE460" s="9"/>
      <c r="AF460" s="9"/>
      <c r="AG460" s="9"/>
      <c r="AH460" s="9"/>
      <c r="AI460" s="9"/>
      <c r="AJ460" s="9"/>
      <c r="AK460" s="9"/>
      <c r="AL460" s="9"/>
      <c r="AM460" s="9"/>
      <c r="AN460" s="10"/>
      <c r="AO460" s="65">
        <f t="shared" si="8"/>
        <v>0</v>
      </c>
    </row>
    <row r="461" spans="2:41" s="4" customFormat="1" ht="24" customHeight="1" x14ac:dyDescent="0.2">
      <c r="B461" s="14"/>
      <c r="C461" s="23"/>
      <c r="D461" s="21"/>
      <c r="E461" s="6"/>
      <c r="F461" s="16" t="str">
        <f>IFERROR(VLOOKUP($E461,設定!$C:$F,2,0),"")</f>
        <v/>
      </c>
      <c r="G461" s="156" t="str">
        <f>IFERROR(VLOOKUP($E461,設定!$C:$F,3,0),"")</f>
        <v/>
      </c>
      <c r="H461" s="131" t="str">
        <f>IFERROR(VLOOKUP($E461,設定!$C:$F,4,0),"")</f>
        <v/>
      </c>
      <c r="I461" s="402"/>
      <c r="J461" s="8"/>
      <c r="K461" s="9"/>
      <c r="L461" s="9"/>
      <c r="M461" s="9"/>
      <c r="N461" s="9"/>
      <c r="O461" s="9"/>
      <c r="P461" s="9"/>
      <c r="Q461" s="9"/>
      <c r="R461" s="9"/>
      <c r="S461" s="9"/>
      <c r="T461" s="9"/>
      <c r="U461" s="9"/>
      <c r="V461" s="9"/>
      <c r="W461" s="9"/>
      <c r="X461" s="9"/>
      <c r="Y461" s="9"/>
      <c r="Z461" s="9"/>
      <c r="AA461" s="9"/>
      <c r="AB461" s="9"/>
      <c r="AC461" s="9"/>
      <c r="AD461" s="9"/>
      <c r="AE461" s="9"/>
      <c r="AF461" s="9"/>
      <c r="AG461" s="9"/>
      <c r="AH461" s="9"/>
      <c r="AI461" s="9"/>
      <c r="AJ461" s="9"/>
      <c r="AK461" s="9"/>
      <c r="AL461" s="9"/>
      <c r="AM461" s="9"/>
      <c r="AN461" s="10"/>
      <c r="AO461" s="65">
        <f t="shared" si="8"/>
        <v>0</v>
      </c>
    </row>
    <row r="462" spans="2:41" s="4" customFormat="1" ht="24" customHeight="1" x14ac:dyDescent="0.2">
      <c r="B462" s="14"/>
      <c r="C462" s="23"/>
      <c r="D462" s="21"/>
      <c r="E462" s="6"/>
      <c r="F462" s="16" t="str">
        <f>IFERROR(VLOOKUP($E462,設定!$C:$F,2,0),"")</f>
        <v/>
      </c>
      <c r="G462" s="156" t="str">
        <f>IFERROR(VLOOKUP($E462,設定!$C:$F,3,0),"")</f>
        <v/>
      </c>
      <c r="H462" s="131" t="str">
        <f>IFERROR(VLOOKUP($E462,設定!$C:$F,4,0),"")</f>
        <v/>
      </c>
      <c r="I462" s="402"/>
      <c r="J462" s="8"/>
      <c r="K462" s="9"/>
      <c r="L462" s="9"/>
      <c r="M462" s="9"/>
      <c r="N462" s="9"/>
      <c r="O462" s="9"/>
      <c r="P462" s="9"/>
      <c r="Q462" s="9"/>
      <c r="R462" s="9"/>
      <c r="S462" s="9"/>
      <c r="T462" s="9"/>
      <c r="U462" s="9"/>
      <c r="V462" s="9"/>
      <c r="W462" s="9"/>
      <c r="X462" s="9"/>
      <c r="Y462" s="9"/>
      <c r="Z462" s="9"/>
      <c r="AA462" s="9"/>
      <c r="AB462" s="9"/>
      <c r="AC462" s="9"/>
      <c r="AD462" s="9"/>
      <c r="AE462" s="9"/>
      <c r="AF462" s="9"/>
      <c r="AG462" s="9"/>
      <c r="AH462" s="9"/>
      <c r="AI462" s="9"/>
      <c r="AJ462" s="9"/>
      <c r="AK462" s="9"/>
      <c r="AL462" s="9"/>
      <c r="AM462" s="9"/>
      <c r="AN462" s="10"/>
      <c r="AO462" s="65">
        <f t="shared" si="8"/>
        <v>0</v>
      </c>
    </row>
    <row r="463" spans="2:41" s="4" customFormat="1" ht="24" customHeight="1" x14ac:dyDescent="0.2">
      <c r="B463" s="14"/>
      <c r="C463" s="23"/>
      <c r="D463" s="21"/>
      <c r="E463" s="6"/>
      <c r="F463" s="16" t="str">
        <f>IFERROR(VLOOKUP($E463,設定!$C:$F,2,0),"")</f>
        <v/>
      </c>
      <c r="G463" s="156" t="str">
        <f>IFERROR(VLOOKUP($E463,設定!$C:$F,3,0),"")</f>
        <v/>
      </c>
      <c r="H463" s="131" t="str">
        <f>IFERROR(VLOOKUP($E463,設定!$C:$F,4,0),"")</f>
        <v/>
      </c>
      <c r="I463" s="402"/>
      <c r="J463" s="8"/>
      <c r="K463" s="9"/>
      <c r="L463" s="9"/>
      <c r="M463" s="9"/>
      <c r="N463" s="9"/>
      <c r="O463" s="9"/>
      <c r="P463" s="9"/>
      <c r="Q463" s="9"/>
      <c r="R463" s="9"/>
      <c r="S463" s="9"/>
      <c r="T463" s="9"/>
      <c r="U463" s="9"/>
      <c r="V463" s="9"/>
      <c r="W463" s="9"/>
      <c r="X463" s="9"/>
      <c r="Y463" s="9"/>
      <c r="Z463" s="9"/>
      <c r="AA463" s="9"/>
      <c r="AB463" s="9"/>
      <c r="AC463" s="9"/>
      <c r="AD463" s="9"/>
      <c r="AE463" s="9"/>
      <c r="AF463" s="9"/>
      <c r="AG463" s="9"/>
      <c r="AH463" s="9"/>
      <c r="AI463" s="9"/>
      <c r="AJ463" s="9"/>
      <c r="AK463" s="9"/>
      <c r="AL463" s="9"/>
      <c r="AM463" s="9"/>
      <c r="AN463" s="10"/>
      <c r="AO463" s="65">
        <f t="shared" si="8"/>
        <v>0</v>
      </c>
    </row>
    <row r="464" spans="2:41" s="4" customFormat="1" ht="24" customHeight="1" x14ac:dyDescent="0.2">
      <c r="B464" s="14"/>
      <c r="C464" s="23"/>
      <c r="D464" s="21"/>
      <c r="E464" s="6"/>
      <c r="F464" s="16" t="str">
        <f>IFERROR(VLOOKUP($E464,設定!$C:$F,2,0),"")</f>
        <v/>
      </c>
      <c r="G464" s="156" t="str">
        <f>IFERROR(VLOOKUP($E464,設定!$C:$F,3,0),"")</f>
        <v/>
      </c>
      <c r="H464" s="131" t="str">
        <f>IFERROR(VLOOKUP($E464,設定!$C:$F,4,0),"")</f>
        <v/>
      </c>
      <c r="I464" s="402"/>
      <c r="J464" s="8"/>
      <c r="K464" s="9"/>
      <c r="L464" s="9"/>
      <c r="M464" s="9"/>
      <c r="N464" s="9"/>
      <c r="O464" s="9"/>
      <c r="P464" s="9"/>
      <c r="Q464" s="9"/>
      <c r="R464" s="9"/>
      <c r="S464" s="9"/>
      <c r="T464" s="9"/>
      <c r="U464" s="9"/>
      <c r="V464" s="9"/>
      <c r="W464" s="9"/>
      <c r="X464" s="9"/>
      <c r="Y464" s="9"/>
      <c r="Z464" s="9"/>
      <c r="AA464" s="9"/>
      <c r="AB464" s="9"/>
      <c r="AC464" s="9"/>
      <c r="AD464" s="9"/>
      <c r="AE464" s="9"/>
      <c r="AF464" s="9"/>
      <c r="AG464" s="9"/>
      <c r="AH464" s="9"/>
      <c r="AI464" s="9"/>
      <c r="AJ464" s="9"/>
      <c r="AK464" s="9"/>
      <c r="AL464" s="9"/>
      <c r="AM464" s="9"/>
      <c r="AN464" s="10"/>
      <c r="AO464" s="65">
        <f t="shared" si="8"/>
        <v>0</v>
      </c>
    </row>
    <row r="465" spans="2:41" s="4" customFormat="1" ht="24" customHeight="1" x14ac:dyDescent="0.2">
      <c r="B465" s="14"/>
      <c r="C465" s="23"/>
      <c r="D465" s="21"/>
      <c r="E465" s="6"/>
      <c r="F465" s="16" t="str">
        <f>IFERROR(VLOOKUP($E465,設定!$C:$F,2,0),"")</f>
        <v/>
      </c>
      <c r="G465" s="156" t="str">
        <f>IFERROR(VLOOKUP($E465,設定!$C:$F,3,0),"")</f>
        <v/>
      </c>
      <c r="H465" s="131" t="str">
        <f>IFERROR(VLOOKUP($E465,設定!$C:$F,4,0),"")</f>
        <v/>
      </c>
      <c r="I465" s="402"/>
      <c r="J465" s="8"/>
      <c r="K465" s="9"/>
      <c r="L465" s="9"/>
      <c r="M465" s="9"/>
      <c r="N465" s="9"/>
      <c r="O465" s="9"/>
      <c r="P465" s="9"/>
      <c r="Q465" s="9"/>
      <c r="R465" s="9"/>
      <c r="S465" s="9"/>
      <c r="T465" s="9"/>
      <c r="U465" s="9"/>
      <c r="V465" s="9"/>
      <c r="W465" s="9"/>
      <c r="X465" s="9"/>
      <c r="Y465" s="9"/>
      <c r="Z465" s="9"/>
      <c r="AA465" s="9"/>
      <c r="AB465" s="9"/>
      <c r="AC465" s="9"/>
      <c r="AD465" s="9"/>
      <c r="AE465" s="9"/>
      <c r="AF465" s="9"/>
      <c r="AG465" s="9"/>
      <c r="AH465" s="9"/>
      <c r="AI465" s="9"/>
      <c r="AJ465" s="9"/>
      <c r="AK465" s="9"/>
      <c r="AL465" s="9"/>
      <c r="AM465" s="9"/>
      <c r="AN465" s="10"/>
      <c r="AO465" s="65">
        <f t="shared" si="8"/>
        <v>0</v>
      </c>
    </row>
    <row r="466" spans="2:41" s="4" customFormat="1" ht="24" customHeight="1" x14ac:dyDescent="0.2">
      <c r="B466" s="14"/>
      <c r="C466" s="23"/>
      <c r="D466" s="21"/>
      <c r="E466" s="6"/>
      <c r="F466" s="16" t="str">
        <f>IFERROR(VLOOKUP($E466,設定!$C:$F,2,0),"")</f>
        <v/>
      </c>
      <c r="G466" s="156" t="str">
        <f>IFERROR(VLOOKUP($E466,設定!$C:$F,3,0),"")</f>
        <v/>
      </c>
      <c r="H466" s="131" t="str">
        <f>IFERROR(VLOOKUP($E466,設定!$C:$F,4,0),"")</f>
        <v/>
      </c>
      <c r="I466" s="402"/>
      <c r="J466" s="8"/>
      <c r="K466" s="9"/>
      <c r="L466" s="9"/>
      <c r="M466" s="9"/>
      <c r="N466" s="9"/>
      <c r="O466" s="9"/>
      <c r="P466" s="9"/>
      <c r="Q466" s="9"/>
      <c r="R466" s="9"/>
      <c r="S466" s="9"/>
      <c r="T466" s="9"/>
      <c r="U466" s="9"/>
      <c r="V466" s="9"/>
      <c r="W466" s="9"/>
      <c r="X466" s="9"/>
      <c r="Y466" s="9"/>
      <c r="Z466" s="9"/>
      <c r="AA466" s="9"/>
      <c r="AB466" s="9"/>
      <c r="AC466" s="9"/>
      <c r="AD466" s="9"/>
      <c r="AE466" s="9"/>
      <c r="AF466" s="9"/>
      <c r="AG466" s="9"/>
      <c r="AH466" s="9"/>
      <c r="AI466" s="9"/>
      <c r="AJ466" s="9"/>
      <c r="AK466" s="9"/>
      <c r="AL466" s="9"/>
      <c r="AM466" s="9"/>
      <c r="AN466" s="10"/>
      <c r="AO466" s="65">
        <f t="shared" si="8"/>
        <v>0</v>
      </c>
    </row>
    <row r="467" spans="2:41" s="4" customFormat="1" ht="24" customHeight="1" x14ac:dyDescent="0.2">
      <c r="B467" s="14"/>
      <c r="C467" s="23"/>
      <c r="D467" s="21"/>
      <c r="E467" s="6"/>
      <c r="F467" s="16" t="str">
        <f>IFERROR(VLOOKUP($E467,設定!$C:$F,2,0),"")</f>
        <v/>
      </c>
      <c r="G467" s="156" t="str">
        <f>IFERROR(VLOOKUP($E467,設定!$C:$F,3,0),"")</f>
        <v/>
      </c>
      <c r="H467" s="131" t="str">
        <f>IFERROR(VLOOKUP($E467,設定!$C:$F,4,0),"")</f>
        <v/>
      </c>
      <c r="I467" s="402"/>
      <c r="J467" s="8"/>
      <c r="K467" s="9"/>
      <c r="L467" s="9"/>
      <c r="M467" s="9"/>
      <c r="N467" s="9"/>
      <c r="O467" s="9"/>
      <c r="P467" s="9"/>
      <c r="Q467" s="9"/>
      <c r="R467" s="9"/>
      <c r="S467" s="9"/>
      <c r="T467" s="9"/>
      <c r="U467" s="9"/>
      <c r="V467" s="9"/>
      <c r="W467" s="9"/>
      <c r="X467" s="9"/>
      <c r="Y467" s="9"/>
      <c r="Z467" s="9"/>
      <c r="AA467" s="9"/>
      <c r="AB467" s="9"/>
      <c r="AC467" s="9"/>
      <c r="AD467" s="9"/>
      <c r="AE467" s="9"/>
      <c r="AF467" s="9"/>
      <c r="AG467" s="9"/>
      <c r="AH467" s="9"/>
      <c r="AI467" s="9"/>
      <c r="AJ467" s="9"/>
      <c r="AK467" s="9"/>
      <c r="AL467" s="9"/>
      <c r="AM467" s="9"/>
      <c r="AN467" s="10"/>
      <c r="AO467" s="65">
        <f t="shared" si="8"/>
        <v>0</v>
      </c>
    </row>
    <row r="468" spans="2:41" s="4" customFormat="1" ht="24" customHeight="1" x14ac:dyDescent="0.2">
      <c r="B468" s="14"/>
      <c r="C468" s="23"/>
      <c r="D468" s="21"/>
      <c r="E468" s="6"/>
      <c r="F468" s="16" t="str">
        <f>IFERROR(VLOOKUP($E468,設定!$C:$F,2,0),"")</f>
        <v/>
      </c>
      <c r="G468" s="156" t="str">
        <f>IFERROR(VLOOKUP($E468,設定!$C:$F,3,0),"")</f>
        <v/>
      </c>
      <c r="H468" s="131" t="str">
        <f>IFERROR(VLOOKUP($E468,設定!$C:$F,4,0),"")</f>
        <v/>
      </c>
      <c r="I468" s="402"/>
      <c r="J468" s="8"/>
      <c r="K468" s="9"/>
      <c r="L468" s="9"/>
      <c r="M468" s="9"/>
      <c r="N468" s="9"/>
      <c r="O468" s="9"/>
      <c r="P468" s="9"/>
      <c r="Q468" s="9"/>
      <c r="R468" s="9"/>
      <c r="S468" s="9"/>
      <c r="T468" s="9"/>
      <c r="U468" s="9"/>
      <c r="V468" s="9"/>
      <c r="W468" s="9"/>
      <c r="X468" s="9"/>
      <c r="Y468" s="9"/>
      <c r="Z468" s="9"/>
      <c r="AA468" s="9"/>
      <c r="AB468" s="9"/>
      <c r="AC468" s="9"/>
      <c r="AD468" s="9"/>
      <c r="AE468" s="9"/>
      <c r="AF468" s="9"/>
      <c r="AG468" s="9"/>
      <c r="AH468" s="9"/>
      <c r="AI468" s="9"/>
      <c r="AJ468" s="9"/>
      <c r="AK468" s="9"/>
      <c r="AL468" s="9"/>
      <c r="AM468" s="9"/>
      <c r="AN468" s="10"/>
      <c r="AO468" s="65">
        <f t="shared" si="8"/>
        <v>0</v>
      </c>
    </row>
    <row r="469" spans="2:41" s="4" customFormat="1" ht="24" customHeight="1" x14ac:dyDescent="0.2">
      <c r="B469" s="14"/>
      <c r="C469" s="23"/>
      <c r="D469" s="21"/>
      <c r="E469" s="6"/>
      <c r="F469" s="16" t="str">
        <f>IFERROR(VLOOKUP($E469,設定!$C:$F,2,0),"")</f>
        <v/>
      </c>
      <c r="G469" s="156" t="str">
        <f>IFERROR(VLOOKUP($E469,設定!$C:$F,3,0),"")</f>
        <v/>
      </c>
      <c r="H469" s="131" t="str">
        <f>IFERROR(VLOOKUP($E469,設定!$C:$F,4,0),"")</f>
        <v/>
      </c>
      <c r="I469" s="402"/>
      <c r="J469" s="8"/>
      <c r="K469" s="9"/>
      <c r="L469" s="9"/>
      <c r="M469" s="9"/>
      <c r="N469" s="9"/>
      <c r="O469" s="9"/>
      <c r="P469" s="9"/>
      <c r="Q469" s="9"/>
      <c r="R469" s="9"/>
      <c r="S469" s="9"/>
      <c r="T469" s="9"/>
      <c r="U469" s="9"/>
      <c r="V469" s="9"/>
      <c r="W469" s="9"/>
      <c r="X469" s="9"/>
      <c r="Y469" s="9"/>
      <c r="Z469" s="9"/>
      <c r="AA469" s="9"/>
      <c r="AB469" s="9"/>
      <c r="AC469" s="9"/>
      <c r="AD469" s="9"/>
      <c r="AE469" s="9"/>
      <c r="AF469" s="9"/>
      <c r="AG469" s="9"/>
      <c r="AH469" s="9"/>
      <c r="AI469" s="9"/>
      <c r="AJ469" s="9"/>
      <c r="AK469" s="9"/>
      <c r="AL469" s="9"/>
      <c r="AM469" s="9"/>
      <c r="AN469" s="10"/>
      <c r="AO469" s="65">
        <f t="shared" si="8"/>
        <v>0</v>
      </c>
    </row>
    <row r="470" spans="2:41" s="4" customFormat="1" ht="24" customHeight="1" x14ac:dyDescent="0.2">
      <c r="B470" s="14"/>
      <c r="C470" s="23"/>
      <c r="D470" s="21"/>
      <c r="E470" s="6"/>
      <c r="F470" s="16" t="str">
        <f>IFERROR(VLOOKUP($E470,設定!$C:$F,2,0),"")</f>
        <v/>
      </c>
      <c r="G470" s="156" t="str">
        <f>IFERROR(VLOOKUP($E470,設定!$C:$F,3,0),"")</f>
        <v/>
      </c>
      <c r="H470" s="131" t="str">
        <f>IFERROR(VLOOKUP($E470,設定!$C:$F,4,0),"")</f>
        <v/>
      </c>
      <c r="I470" s="402"/>
      <c r="J470" s="8"/>
      <c r="K470" s="9"/>
      <c r="L470" s="9"/>
      <c r="M470" s="9"/>
      <c r="N470" s="9"/>
      <c r="O470" s="9"/>
      <c r="P470" s="9"/>
      <c r="Q470" s="9"/>
      <c r="R470" s="9"/>
      <c r="S470" s="9"/>
      <c r="T470" s="9"/>
      <c r="U470" s="9"/>
      <c r="V470" s="9"/>
      <c r="W470" s="9"/>
      <c r="X470" s="9"/>
      <c r="Y470" s="9"/>
      <c r="Z470" s="9"/>
      <c r="AA470" s="9"/>
      <c r="AB470" s="9"/>
      <c r="AC470" s="9"/>
      <c r="AD470" s="9"/>
      <c r="AE470" s="9"/>
      <c r="AF470" s="9"/>
      <c r="AG470" s="9"/>
      <c r="AH470" s="9"/>
      <c r="AI470" s="9"/>
      <c r="AJ470" s="9"/>
      <c r="AK470" s="9"/>
      <c r="AL470" s="9"/>
      <c r="AM470" s="9"/>
      <c r="AN470" s="10"/>
      <c r="AO470" s="65">
        <f t="shared" si="8"/>
        <v>0</v>
      </c>
    </row>
    <row r="471" spans="2:41" s="4" customFormat="1" ht="24" customHeight="1" x14ac:dyDescent="0.2">
      <c r="B471" s="14"/>
      <c r="C471" s="23"/>
      <c r="D471" s="21"/>
      <c r="E471" s="6"/>
      <c r="F471" s="16" t="str">
        <f>IFERROR(VLOOKUP($E471,設定!$C:$F,2,0),"")</f>
        <v/>
      </c>
      <c r="G471" s="156" t="str">
        <f>IFERROR(VLOOKUP($E471,設定!$C:$F,3,0),"")</f>
        <v/>
      </c>
      <c r="H471" s="131" t="str">
        <f>IFERROR(VLOOKUP($E471,設定!$C:$F,4,0),"")</f>
        <v/>
      </c>
      <c r="I471" s="402"/>
      <c r="J471" s="8"/>
      <c r="K471" s="9"/>
      <c r="L471" s="9"/>
      <c r="M471" s="9"/>
      <c r="N471" s="9"/>
      <c r="O471" s="9"/>
      <c r="P471" s="9"/>
      <c r="Q471" s="9"/>
      <c r="R471" s="9"/>
      <c r="S471" s="9"/>
      <c r="T471" s="9"/>
      <c r="U471" s="9"/>
      <c r="V471" s="9"/>
      <c r="W471" s="9"/>
      <c r="X471" s="9"/>
      <c r="Y471" s="9"/>
      <c r="Z471" s="9"/>
      <c r="AA471" s="9"/>
      <c r="AB471" s="9"/>
      <c r="AC471" s="9"/>
      <c r="AD471" s="9"/>
      <c r="AE471" s="9"/>
      <c r="AF471" s="9"/>
      <c r="AG471" s="9"/>
      <c r="AH471" s="9"/>
      <c r="AI471" s="9"/>
      <c r="AJ471" s="9"/>
      <c r="AK471" s="9"/>
      <c r="AL471" s="9"/>
      <c r="AM471" s="9"/>
      <c r="AN471" s="10"/>
      <c r="AO471" s="65">
        <f t="shared" si="8"/>
        <v>0</v>
      </c>
    </row>
    <row r="472" spans="2:41" s="4" customFormat="1" ht="24" customHeight="1" x14ac:dyDescent="0.2">
      <c r="B472" s="14"/>
      <c r="C472" s="23"/>
      <c r="D472" s="21"/>
      <c r="E472" s="6"/>
      <c r="F472" s="16" t="str">
        <f>IFERROR(VLOOKUP($E472,設定!$C:$F,2,0),"")</f>
        <v/>
      </c>
      <c r="G472" s="156" t="str">
        <f>IFERROR(VLOOKUP($E472,設定!$C:$F,3,0),"")</f>
        <v/>
      </c>
      <c r="H472" s="131" t="str">
        <f>IFERROR(VLOOKUP($E472,設定!$C:$F,4,0),"")</f>
        <v/>
      </c>
      <c r="I472" s="402"/>
      <c r="J472" s="8"/>
      <c r="K472" s="9"/>
      <c r="L472" s="9"/>
      <c r="M472" s="9"/>
      <c r="N472" s="9"/>
      <c r="O472" s="9"/>
      <c r="P472" s="9"/>
      <c r="Q472" s="9"/>
      <c r="R472" s="9"/>
      <c r="S472" s="9"/>
      <c r="T472" s="9"/>
      <c r="U472" s="9"/>
      <c r="V472" s="9"/>
      <c r="W472" s="9"/>
      <c r="X472" s="9"/>
      <c r="Y472" s="9"/>
      <c r="Z472" s="9"/>
      <c r="AA472" s="9"/>
      <c r="AB472" s="9"/>
      <c r="AC472" s="9"/>
      <c r="AD472" s="9"/>
      <c r="AE472" s="9"/>
      <c r="AF472" s="9"/>
      <c r="AG472" s="9"/>
      <c r="AH472" s="9"/>
      <c r="AI472" s="9"/>
      <c r="AJ472" s="9"/>
      <c r="AK472" s="9"/>
      <c r="AL472" s="9"/>
      <c r="AM472" s="9"/>
      <c r="AN472" s="10"/>
      <c r="AO472" s="65">
        <f t="shared" si="8"/>
        <v>0</v>
      </c>
    </row>
    <row r="473" spans="2:41" s="4" customFormat="1" ht="24" customHeight="1" x14ac:dyDescent="0.2">
      <c r="B473" s="14"/>
      <c r="C473" s="23"/>
      <c r="D473" s="21"/>
      <c r="E473" s="6"/>
      <c r="F473" s="16" t="str">
        <f>IFERROR(VLOOKUP($E473,設定!$C:$F,2,0),"")</f>
        <v/>
      </c>
      <c r="G473" s="156" t="str">
        <f>IFERROR(VLOOKUP($E473,設定!$C:$F,3,0),"")</f>
        <v/>
      </c>
      <c r="H473" s="131" t="str">
        <f>IFERROR(VLOOKUP($E473,設定!$C:$F,4,0),"")</f>
        <v/>
      </c>
      <c r="I473" s="402"/>
      <c r="J473" s="8"/>
      <c r="K473" s="9"/>
      <c r="L473" s="9"/>
      <c r="M473" s="9"/>
      <c r="N473" s="9"/>
      <c r="O473" s="9"/>
      <c r="P473" s="9"/>
      <c r="Q473" s="9"/>
      <c r="R473" s="9"/>
      <c r="S473" s="9"/>
      <c r="T473" s="9"/>
      <c r="U473" s="9"/>
      <c r="V473" s="9"/>
      <c r="W473" s="9"/>
      <c r="X473" s="9"/>
      <c r="Y473" s="9"/>
      <c r="Z473" s="9"/>
      <c r="AA473" s="9"/>
      <c r="AB473" s="9"/>
      <c r="AC473" s="9"/>
      <c r="AD473" s="9"/>
      <c r="AE473" s="9"/>
      <c r="AF473" s="9"/>
      <c r="AG473" s="9"/>
      <c r="AH473" s="9"/>
      <c r="AI473" s="9"/>
      <c r="AJ473" s="9"/>
      <c r="AK473" s="9"/>
      <c r="AL473" s="9"/>
      <c r="AM473" s="9"/>
      <c r="AN473" s="10"/>
      <c r="AO473" s="65">
        <f t="shared" si="8"/>
        <v>0</v>
      </c>
    </row>
    <row r="474" spans="2:41" s="4" customFormat="1" ht="24" customHeight="1" x14ac:dyDescent="0.2">
      <c r="B474" s="14"/>
      <c r="C474" s="23"/>
      <c r="D474" s="21"/>
      <c r="E474" s="6"/>
      <c r="F474" s="16" t="str">
        <f>IFERROR(VLOOKUP($E474,設定!$C:$F,2,0),"")</f>
        <v/>
      </c>
      <c r="G474" s="156" t="str">
        <f>IFERROR(VLOOKUP($E474,設定!$C:$F,3,0),"")</f>
        <v/>
      </c>
      <c r="H474" s="131" t="str">
        <f>IFERROR(VLOOKUP($E474,設定!$C:$F,4,0),"")</f>
        <v/>
      </c>
      <c r="I474" s="402"/>
      <c r="J474" s="8"/>
      <c r="K474" s="9"/>
      <c r="L474" s="9"/>
      <c r="M474" s="9"/>
      <c r="N474" s="9"/>
      <c r="O474" s="9"/>
      <c r="P474" s="9"/>
      <c r="Q474" s="9"/>
      <c r="R474" s="9"/>
      <c r="S474" s="9"/>
      <c r="T474" s="9"/>
      <c r="U474" s="9"/>
      <c r="V474" s="9"/>
      <c r="W474" s="9"/>
      <c r="X474" s="9"/>
      <c r="Y474" s="9"/>
      <c r="Z474" s="9"/>
      <c r="AA474" s="9"/>
      <c r="AB474" s="9"/>
      <c r="AC474" s="9"/>
      <c r="AD474" s="9"/>
      <c r="AE474" s="9"/>
      <c r="AF474" s="9"/>
      <c r="AG474" s="9"/>
      <c r="AH474" s="9"/>
      <c r="AI474" s="9"/>
      <c r="AJ474" s="9"/>
      <c r="AK474" s="9"/>
      <c r="AL474" s="9"/>
      <c r="AM474" s="9"/>
      <c r="AN474" s="10"/>
      <c r="AO474" s="65">
        <f t="shared" si="8"/>
        <v>0</v>
      </c>
    </row>
    <row r="475" spans="2:41" s="4" customFormat="1" ht="24" customHeight="1" x14ac:dyDescent="0.2">
      <c r="B475" s="14"/>
      <c r="C475" s="23"/>
      <c r="D475" s="21"/>
      <c r="E475" s="6"/>
      <c r="F475" s="16" t="str">
        <f>IFERROR(VLOOKUP($E475,設定!$C:$F,2,0),"")</f>
        <v/>
      </c>
      <c r="G475" s="156" t="str">
        <f>IFERROR(VLOOKUP($E475,設定!$C:$F,3,0),"")</f>
        <v/>
      </c>
      <c r="H475" s="131" t="str">
        <f>IFERROR(VLOOKUP($E475,設定!$C:$F,4,0),"")</f>
        <v/>
      </c>
      <c r="I475" s="402"/>
      <c r="J475" s="8"/>
      <c r="K475" s="9"/>
      <c r="L475" s="9"/>
      <c r="M475" s="9"/>
      <c r="N475" s="9"/>
      <c r="O475" s="9"/>
      <c r="P475" s="9"/>
      <c r="Q475" s="9"/>
      <c r="R475" s="9"/>
      <c r="S475" s="9"/>
      <c r="T475" s="9"/>
      <c r="U475" s="9"/>
      <c r="V475" s="9"/>
      <c r="W475" s="9"/>
      <c r="X475" s="9"/>
      <c r="Y475" s="9"/>
      <c r="Z475" s="9"/>
      <c r="AA475" s="9"/>
      <c r="AB475" s="9"/>
      <c r="AC475" s="9"/>
      <c r="AD475" s="9"/>
      <c r="AE475" s="9"/>
      <c r="AF475" s="9"/>
      <c r="AG475" s="9"/>
      <c r="AH475" s="9"/>
      <c r="AI475" s="9"/>
      <c r="AJ475" s="9"/>
      <c r="AK475" s="9"/>
      <c r="AL475" s="9"/>
      <c r="AM475" s="9"/>
      <c r="AN475" s="10"/>
      <c r="AO475" s="65">
        <f t="shared" si="8"/>
        <v>0</v>
      </c>
    </row>
    <row r="476" spans="2:41" s="4" customFormat="1" ht="24" customHeight="1" x14ac:dyDescent="0.2">
      <c r="B476" s="14"/>
      <c r="C476" s="23"/>
      <c r="D476" s="21"/>
      <c r="E476" s="6"/>
      <c r="F476" s="16" t="str">
        <f>IFERROR(VLOOKUP($E476,設定!$C:$F,2,0),"")</f>
        <v/>
      </c>
      <c r="G476" s="156" t="str">
        <f>IFERROR(VLOOKUP($E476,設定!$C:$F,3,0),"")</f>
        <v/>
      </c>
      <c r="H476" s="131" t="str">
        <f>IFERROR(VLOOKUP($E476,設定!$C:$F,4,0),"")</f>
        <v/>
      </c>
      <c r="I476" s="402"/>
      <c r="J476" s="8"/>
      <c r="K476" s="9"/>
      <c r="L476" s="9"/>
      <c r="M476" s="9"/>
      <c r="N476" s="9"/>
      <c r="O476" s="9"/>
      <c r="P476" s="9"/>
      <c r="Q476" s="9"/>
      <c r="R476" s="9"/>
      <c r="S476" s="9"/>
      <c r="T476" s="9"/>
      <c r="U476" s="9"/>
      <c r="V476" s="9"/>
      <c r="W476" s="9"/>
      <c r="X476" s="9"/>
      <c r="Y476" s="9"/>
      <c r="Z476" s="9"/>
      <c r="AA476" s="9"/>
      <c r="AB476" s="9"/>
      <c r="AC476" s="9"/>
      <c r="AD476" s="9"/>
      <c r="AE476" s="9"/>
      <c r="AF476" s="9"/>
      <c r="AG476" s="9"/>
      <c r="AH476" s="9"/>
      <c r="AI476" s="9"/>
      <c r="AJ476" s="9"/>
      <c r="AK476" s="9"/>
      <c r="AL476" s="9"/>
      <c r="AM476" s="9"/>
      <c r="AN476" s="10"/>
      <c r="AO476" s="65">
        <f t="shared" si="8"/>
        <v>0</v>
      </c>
    </row>
    <row r="477" spans="2:41" s="4" customFormat="1" ht="24" customHeight="1" x14ac:dyDescent="0.2">
      <c r="B477" s="14"/>
      <c r="C477" s="23"/>
      <c r="D477" s="21"/>
      <c r="E477" s="6"/>
      <c r="F477" s="16" t="str">
        <f>IFERROR(VLOOKUP($E477,設定!$C:$F,2,0),"")</f>
        <v/>
      </c>
      <c r="G477" s="156" t="str">
        <f>IFERROR(VLOOKUP($E477,設定!$C:$F,3,0),"")</f>
        <v/>
      </c>
      <c r="H477" s="131" t="str">
        <f>IFERROR(VLOOKUP($E477,設定!$C:$F,4,0),"")</f>
        <v/>
      </c>
      <c r="I477" s="402"/>
      <c r="J477" s="8"/>
      <c r="K477" s="9"/>
      <c r="L477" s="9"/>
      <c r="M477" s="9"/>
      <c r="N477" s="9"/>
      <c r="O477" s="9"/>
      <c r="P477" s="9"/>
      <c r="Q477" s="9"/>
      <c r="R477" s="9"/>
      <c r="S477" s="9"/>
      <c r="T477" s="9"/>
      <c r="U477" s="9"/>
      <c r="V477" s="9"/>
      <c r="W477" s="9"/>
      <c r="X477" s="9"/>
      <c r="Y477" s="9"/>
      <c r="Z477" s="9"/>
      <c r="AA477" s="9"/>
      <c r="AB477" s="9"/>
      <c r="AC477" s="9"/>
      <c r="AD477" s="9"/>
      <c r="AE477" s="9"/>
      <c r="AF477" s="9"/>
      <c r="AG477" s="9"/>
      <c r="AH477" s="9"/>
      <c r="AI477" s="9"/>
      <c r="AJ477" s="9"/>
      <c r="AK477" s="9"/>
      <c r="AL477" s="9"/>
      <c r="AM477" s="9"/>
      <c r="AN477" s="10"/>
      <c r="AO477" s="65">
        <f t="shared" si="8"/>
        <v>0</v>
      </c>
    </row>
    <row r="478" spans="2:41" s="4" customFormat="1" ht="24" customHeight="1" x14ac:dyDescent="0.2">
      <c r="B478" s="14"/>
      <c r="C478" s="23"/>
      <c r="D478" s="21"/>
      <c r="E478" s="6"/>
      <c r="F478" s="16" t="str">
        <f>IFERROR(VLOOKUP($E478,設定!$C:$F,2,0),"")</f>
        <v/>
      </c>
      <c r="G478" s="156" t="str">
        <f>IFERROR(VLOOKUP($E478,設定!$C:$F,3,0),"")</f>
        <v/>
      </c>
      <c r="H478" s="131" t="str">
        <f>IFERROR(VLOOKUP($E478,設定!$C:$F,4,0),"")</f>
        <v/>
      </c>
      <c r="I478" s="402"/>
      <c r="J478" s="8"/>
      <c r="K478" s="9"/>
      <c r="L478" s="9"/>
      <c r="M478" s="9"/>
      <c r="N478" s="9"/>
      <c r="O478" s="9"/>
      <c r="P478" s="9"/>
      <c r="Q478" s="9"/>
      <c r="R478" s="9"/>
      <c r="S478" s="9"/>
      <c r="T478" s="9"/>
      <c r="U478" s="9"/>
      <c r="V478" s="9"/>
      <c r="W478" s="9"/>
      <c r="X478" s="9"/>
      <c r="Y478" s="9"/>
      <c r="Z478" s="9"/>
      <c r="AA478" s="9"/>
      <c r="AB478" s="9"/>
      <c r="AC478" s="9"/>
      <c r="AD478" s="9"/>
      <c r="AE478" s="9"/>
      <c r="AF478" s="9"/>
      <c r="AG478" s="9"/>
      <c r="AH478" s="9"/>
      <c r="AI478" s="9"/>
      <c r="AJ478" s="9"/>
      <c r="AK478" s="9"/>
      <c r="AL478" s="9"/>
      <c r="AM478" s="9"/>
      <c r="AN478" s="10"/>
      <c r="AO478" s="65">
        <f t="shared" si="8"/>
        <v>0</v>
      </c>
    </row>
    <row r="479" spans="2:41" s="4" customFormat="1" ht="24" customHeight="1" x14ac:dyDescent="0.2">
      <c r="B479" s="14"/>
      <c r="C479" s="23"/>
      <c r="D479" s="21"/>
      <c r="E479" s="6"/>
      <c r="F479" s="16" t="str">
        <f>IFERROR(VLOOKUP($E479,設定!$C:$F,2,0),"")</f>
        <v/>
      </c>
      <c r="G479" s="156" t="str">
        <f>IFERROR(VLOOKUP($E479,設定!$C:$F,3,0),"")</f>
        <v/>
      </c>
      <c r="H479" s="131" t="str">
        <f>IFERROR(VLOOKUP($E479,設定!$C:$F,4,0),"")</f>
        <v/>
      </c>
      <c r="I479" s="402"/>
      <c r="J479" s="8"/>
      <c r="K479" s="9"/>
      <c r="L479" s="9"/>
      <c r="M479" s="9"/>
      <c r="N479" s="9"/>
      <c r="O479" s="9"/>
      <c r="P479" s="9"/>
      <c r="Q479" s="9"/>
      <c r="R479" s="9"/>
      <c r="S479" s="9"/>
      <c r="T479" s="9"/>
      <c r="U479" s="9"/>
      <c r="V479" s="9"/>
      <c r="W479" s="9"/>
      <c r="X479" s="9"/>
      <c r="Y479" s="9"/>
      <c r="Z479" s="9"/>
      <c r="AA479" s="9"/>
      <c r="AB479" s="9"/>
      <c r="AC479" s="9"/>
      <c r="AD479" s="9"/>
      <c r="AE479" s="9"/>
      <c r="AF479" s="9"/>
      <c r="AG479" s="9"/>
      <c r="AH479" s="9"/>
      <c r="AI479" s="9"/>
      <c r="AJ479" s="9"/>
      <c r="AK479" s="9"/>
      <c r="AL479" s="9"/>
      <c r="AM479" s="9"/>
      <c r="AN479" s="10"/>
      <c r="AO479" s="65">
        <f t="shared" si="8"/>
        <v>0</v>
      </c>
    </row>
    <row r="480" spans="2:41" s="4" customFormat="1" ht="24" customHeight="1" x14ac:dyDescent="0.2">
      <c r="B480" s="14"/>
      <c r="C480" s="23"/>
      <c r="D480" s="21"/>
      <c r="E480" s="6"/>
      <c r="F480" s="16" t="str">
        <f>IFERROR(VLOOKUP($E480,設定!$C:$F,2,0),"")</f>
        <v/>
      </c>
      <c r="G480" s="156" t="str">
        <f>IFERROR(VLOOKUP($E480,設定!$C:$F,3,0),"")</f>
        <v/>
      </c>
      <c r="H480" s="131" t="str">
        <f>IFERROR(VLOOKUP($E480,設定!$C:$F,4,0),"")</f>
        <v/>
      </c>
      <c r="I480" s="402"/>
      <c r="J480" s="8"/>
      <c r="K480" s="9"/>
      <c r="L480" s="9"/>
      <c r="M480" s="9"/>
      <c r="N480" s="9"/>
      <c r="O480" s="9"/>
      <c r="P480" s="9"/>
      <c r="Q480" s="9"/>
      <c r="R480" s="9"/>
      <c r="S480" s="9"/>
      <c r="T480" s="9"/>
      <c r="U480" s="9"/>
      <c r="V480" s="9"/>
      <c r="W480" s="9"/>
      <c r="X480" s="9"/>
      <c r="Y480" s="9"/>
      <c r="Z480" s="9"/>
      <c r="AA480" s="9"/>
      <c r="AB480" s="9"/>
      <c r="AC480" s="9"/>
      <c r="AD480" s="9"/>
      <c r="AE480" s="9"/>
      <c r="AF480" s="9"/>
      <c r="AG480" s="9"/>
      <c r="AH480" s="9"/>
      <c r="AI480" s="9"/>
      <c r="AJ480" s="9"/>
      <c r="AK480" s="9"/>
      <c r="AL480" s="9"/>
      <c r="AM480" s="9"/>
      <c r="AN480" s="10"/>
      <c r="AO480" s="65">
        <f t="shared" si="8"/>
        <v>0</v>
      </c>
    </row>
    <row r="481" spans="2:41" s="4" customFormat="1" ht="24" customHeight="1" x14ac:dyDescent="0.2">
      <c r="B481" s="14"/>
      <c r="C481" s="23"/>
      <c r="D481" s="21"/>
      <c r="E481" s="6"/>
      <c r="F481" s="16" t="str">
        <f>IFERROR(VLOOKUP($E481,設定!$C:$F,2,0),"")</f>
        <v/>
      </c>
      <c r="G481" s="156" t="str">
        <f>IFERROR(VLOOKUP($E481,設定!$C:$F,3,0),"")</f>
        <v/>
      </c>
      <c r="H481" s="131" t="str">
        <f>IFERROR(VLOOKUP($E481,設定!$C:$F,4,0),"")</f>
        <v/>
      </c>
      <c r="I481" s="402"/>
      <c r="J481" s="8"/>
      <c r="K481" s="9"/>
      <c r="L481" s="9"/>
      <c r="M481" s="9"/>
      <c r="N481" s="9"/>
      <c r="O481" s="9"/>
      <c r="P481" s="9"/>
      <c r="Q481" s="9"/>
      <c r="R481" s="9"/>
      <c r="S481" s="9"/>
      <c r="T481" s="9"/>
      <c r="U481" s="9"/>
      <c r="V481" s="9"/>
      <c r="W481" s="9"/>
      <c r="X481" s="9"/>
      <c r="Y481" s="9"/>
      <c r="Z481" s="9"/>
      <c r="AA481" s="9"/>
      <c r="AB481" s="9"/>
      <c r="AC481" s="9"/>
      <c r="AD481" s="9"/>
      <c r="AE481" s="9"/>
      <c r="AF481" s="9"/>
      <c r="AG481" s="9"/>
      <c r="AH481" s="9"/>
      <c r="AI481" s="9"/>
      <c r="AJ481" s="9"/>
      <c r="AK481" s="9"/>
      <c r="AL481" s="9"/>
      <c r="AM481" s="9"/>
      <c r="AN481" s="10"/>
      <c r="AO481" s="65">
        <f t="shared" si="8"/>
        <v>0</v>
      </c>
    </row>
    <row r="482" spans="2:41" s="4" customFormat="1" ht="24" customHeight="1" x14ac:dyDescent="0.2">
      <c r="B482" s="14"/>
      <c r="C482" s="23"/>
      <c r="D482" s="21"/>
      <c r="E482" s="6"/>
      <c r="F482" s="16" t="str">
        <f>IFERROR(VLOOKUP($E482,設定!$C:$F,2,0),"")</f>
        <v/>
      </c>
      <c r="G482" s="156" t="str">
        <f>IFERROR(VLOOKUP($E482,設定!$C:$F,3,0),"")</f>
        <v/>
      </c>
      <c r="H482" s="131" t="str">
        <f>IFERROR(VLOOKUP($E482,設定!$C:$F,4,0),"")</f>
        <v/>
      </c>
      <c r="I482" s="402"/>
      <c r="J482" s="8"/>
      <c r="K482" s="9"/>
      <c r="L482" s="9"/>
      <c r="M482" s="9"/>
      <c r="N482" s="9"/>
      <c r="O482" s="9"/>
      <c r="P482" s="9"/>
      <c r="Q482" s="9"/>
      <c r="R482" s="9"/>
      <c r="S482" s="9"/>
      <c r="T482" s="9"/>
      <c r="U482" s="9"/>
      <c r="V482" s="9"/>
      <c r="W482" s="9"/>
      <c r="X482" s="9"/>
      <c r="Y482" s="9"/>
      <c r="Z482" s="9"/>
      <c r="AA482" s="9"/>
      <c r="AB482" s="9"/>
      <c r="AC482" s="9"/>
      <c r="AD482" s="9"/>
      <c r="AE482" s="9"/>
      <c r="AF482" s="9"/>
      <c r="AG482" s="9"/>
      <c r="AH482" s="9"/>
      <c r="AI482" s="9"/>
      <c r="AJ482" s="9"/>
      <c r="AK482" s="9"/>
      <c r="AL482" s="9"/>
      <c r="AM482" s="9"/>
      <c r="AN482" s="10"/>
      <c r="AO482" s="65">
        <f t="shared" si="8"/>
        <v>0</v>
      </c>
    </row>
    <row r="483" spans="2:41" s="4" customFormat="1" ht="24" customHeight="1" x14ac:dyDescent="0.2">
      <c r="B483" s="14"/>
      <c r="C483" s="23"/>
      <c r="D483" s="21"/>
      <c r="E483" s="6"/>
      <c r="F483" s="16" t="str">
        <f>IFERROR(VLOOKUP($E483,設定!$C:$F,2,0),"")</f>
        <v/>
      </c>
      <c r="G483" s="156" t="str">
        <f>IFERROR(VLOOKUP($E483,設定!$C:$F,3,0),"")</f>
        <v/>
      </c>
      <c r="H483" s="131" t="str">
        <f>IFERROR(VLOOKUP($E483,設定!$C:$F,4,0),"")</f>
        <v/>
      </c>
      <c r="I483" s="402"/>
      <c r="J483" s="8"/>
      <c r="K483" s="9"/>
      <c r="L483" s="9"/>
      <c r="M483" s="9"/>
      <c r="N483" s="9"/>
      <c r="O483" s="9"/>
      <c r="P483" s="9"/>
      <c r="Q483" s="9"/>
      <c r="R483" s="9"/>
      <c r="S483" s="9"/>
      <c r="T483" s="9"/>
      <c r="U483" s="9"/>
      <c r="V483" s="9"/>
      <c r="W483" s="9"/>
      <c r="X483" s="9"/>
      <c r="Y483" s="9"/>
      <c r="Z483" s="9"/>
      <c r="AA483" s="9"/>
      <c r="AB483" s="9"/>
      <c r="AC483" s="9"/>
      <c r="AD483" s="9"/>
      <c r="AE483" s="9"/>
      <c r="AF483" s="9"/>
      <c r="AG483" s="9"/>
      <c r="AH483" s="9"/>
      <c r="AI483" s="9"/>
      <c r="AJ483" s="9"/>
      <c r="AK483" s="9"/>
      <c r="AL483" s="9"/>
      <c r="AM483" s="9"/>
      <c r="AN483" s="10"/>
      <c r="AO483" s="65">
        <f t="shared" si="8"/>
        <v>0</v>
      </c>
    </row>
    <row r="484" spans="2:41" s="4" customFormat="1" ht="24" customHeight="1" x14ac:dyDescent="0.2">
      <c r="B484" s="14"/>
      <c r="C484" s="23"/>
      <c r="D484" s="21"/>
      <c r="E484" s="6"/>
      <c r="F484" s="16" t="str">
        <f>IFERROR(VLOOKUP($E484,設定!$C:$F,2,0),"")</f>
        <v/>
      </c>
      <c r="G484" s="156" t="str">
        <f>IFERROR(VLOOKUP($E484,設定!$C:$F,3,0),"")</f>
        <v/>
      </c>
      <c r="H484" s="131" t="str">
        <f>IFERROR(VLOOKUP($E484,設定!$C:$F,4,0),"")</f>
        <v/>
      </c>
      <c r="I484" s="402"/>
      <c r="J484" s="8"/>
      <c r="K484" s="9"/>
      <c r="L484" s="9"/>
      <c r="M484" s="9"/>
      <c r="N484" s="9"/>
      <c r="O484" s="9"/>
      <c r="P484" s="9"/>
      <c r="Q484" s="9"/>
      <c r="R484" s="9"/>
      <c r="S484" s="9"/>
      <c r="T484" s="9"/>
      <c r="U484" s="9"/>
      <c r="V484" s="9"/>
      <c r="W484" s="9"/>
      <c r="X484" s="9"/>
      <c r="Y484" s="9"/>
      <c r="Z484" s="9"/>
      <c r="AA484" s="9"/>
      <c r="AB484" s="9"/>
      <c r="AC484" s="9"/>
      <c r="AD484" s="9"/>
      <c r="AE484" s="9"/>
      <c r="AF484" s="9"/>
      <c r="AG484" s="9"/>
      <c r="AH484" s="9"/>
      <c r="AI484" s="9"/>
      <c r="AJ484" s="9"/>
      <c r="AK484" s="9"/>
      <c r="AL484" s="9"/>
      <c r="AM484" s="9"/>
      <c r="AN484" s="10"/>
      <c r="AO484" s="65">
        <f t="shared" si="8"/>
        <v>0</v>
      </c>
    </row>
    <row r="485" spans="2:41" s="4" customFormat="1" ht="24" customHeight="1" x14ac:dyDescent="0.2">
      <c r="B485" s="14"/>
      <c r="C485" s="23"/>
      <c r="D485" s="21"/>
      <c r="E485" s="6"/>
      <c r="F485" s="16" t="str">
        <f>IFERROR(VLOOKUP($E485,設定!$C:$F,2,0),"")</f>
        <v/>
      </c>
      <c r="G485" s="156" t="str">
        <f>IFERROR(VLOOKUP($E485,設定!$C:$F,3,0),"")</f>
        <v/>
      </c>
      <c r="H485" s="131" t="str">
        <f>IFERROR(VLOOKUP($E485,設定!$C:$F,4,0),"")</f>
        <v/>
      </c>
      <c r="I485" s="402"/>
      <c r="J485" s="8"/>
      <c r="K485" s="9"/>
      <c r="L485" s="9"/>
      <c r="M485" s="9"/>
      <c r="N485" s="9"/>
      <c r="O485" s="9"/>
      <c r="P485" s="9"/>
      <c r="Q485" s="9"/>
      <c r="R485" s="9"/>
      <c r="S485" s="9"/>
      <c r="T485" s="9"/>
      <c r="U485" s="9"/>
      <c r="V485" s="9"/>
      <c r="W485" s="9"/>
      <c r="X485" s="9"/>
      <c r="Y485" s="9"/>
      <c r="Z485" s="9"/>
      <c r="AA485" s="9"/>
      <c r="AB485" s="9"/>
      <c r="AC485" s="9"/>
      <c r="AD485" s="9"/>
      <c r="AE485" s="9"/>
      <c r="AF485" s="9"/>
      <c r="AG485" s="9"/>
      <c r="AH485" s="9"/>
      <c r="AI485" s="9"/>
      <c r="AJ485" s="9"/>
      <c r="AK485" s="9"/>
      <c r="AL485" s="9"/>
      <c r="AM485" s="9"/>
      <c r="AN485" s="10"/>
      <c r="AO485" s="65">
        <f t="shared" si="8"/>
        <v>0</v>
      </c>
    </row>
    <row r="486" spans="2:41" s="4" customFormat="1" ht="24" customHeight="1" x14ac:dyDescent="0.2">
      <c r="B486" s="14"/>
      <c r="C486" s="23"/>
      <c r="D486" s="21"/>
      <c r="E486" s="6"/>
      <c r="F486" s="16" t="str">
        <f>IFERROR(VLOOKUP($E486,設定!$C:$F,2,0),"")</f>
        <v/>
      </c>
      <c r="G486" s="156" t="str">
        <f>IFERROR(VLOOKUP($E486,設定!$C:$F,3,0),"")</f>
        <v/>
      </c>
      <c r="H486" s="131" t="str">
        <f>IFERROR(VLOOKUP($E486,設定!$C:$F,4,0),"")</f>
        <v/>
      </c>
      <c r="I486" s="402"/>
      <c r="J486" s="8"/>
      <c r="K486" s="9"/>
      <c r="L486" s="9"/>
      <c r="M486" s="9"/>
      <c r="N486" s="9"/>
      <c r="O486" s="9"/>
      <c r="P486" s="9"/>
      <c r="Q486" s="9"/>
      <c r="R486" s="9"/>
      <c r="S486" s="9"/>
      <c r="T486" s="9"/>
      <c r="U486" s="9"/>
      <c r="V486" s="9"/>
      <c r="W486" s="9"/>
      <c r="X486" s="9"/>
      <c r="Y486" s="9"/>
      <c r="Z486" s="9"/>
      <c r="AA486" s="9"/>
      <c r="AB486" s="9"/>
      <c r="AC486" s="9"/>
      <c r="AD486" s="9"/>
      <c r="AE486" s="9"/>
      <c r="AF486" s="9"/>
      <c r="AG486" s="9"/>
      <c r="AH486" s="9"/>
      <c r="AI486" s="9"/>
      <c r="AJ486" s="9"/>
      <c r="AK486" s="9"/>
      <c r="AL486" s="9"/>
      <c r="AM486" s="9"/>
      <c r="AN486" s="10"/>
      <c r="AO486" s="65">
        <f t="shared" si="8"/>
        <v>0</v>
      </c>
    </row>
    <row r="487" spans="2:41" s="4" customFormat="1" ht="24" customHeight="1" x14ac:dyDescent="0.2">
      <c r="B487" s="14"/>
      <c r="C487" s="23"/>
      <c r="D487" s="21"/>
      <c r="E487" s="6"/>
      <c r="F487" s="16" t="str">
        <f>IFERROR(VLOOKUP($E487,設定!$C:$F,2,0),"")</f>
        <v/>
      </c>
      <c r="G487" s="156" t="str">
        <f>IFERROR(VLOOKUP($E487,設定!$C:$F,3,0),"")</f>
        <v/>
      </c>
      <c r="H487" s="131" t="str">
        <f>IFERROR(VLOOKUP($E487,設定!$C:$F,4,0),"")</f>
        <v/>
      </c>
      <c r="I487" s="402"/>
      <c r="J487" s="8"/>
      <c r="K487" s="9"/>
      <c r="L487" s="9"/>
      <c r="M487" s="9"/>
      <c r="N487" s="9"/>
      <c r="O487" s="9"/>
      <c r="P487" s="9"/>
      <c r="Q487" s="9"/>
      <c r="R487" s="9"/>
      <c r="S487" s="9"/>
      <c r="T487" s="9"/>
      <c r="U487" s="9"/>
      <c r="V487" s="9"/>
      <c r="W487" s="9"/>
      <c r="X487" s="9"/>
      <c r="Y487" s="9"/>
      <c r="Z487" s="9"/>
      <c r="AA487" s="9"/>
      <c r="AB487" s="9"/>
      <c r="AC487" s="9"/>
      <c r="AD487" s="9"/>
      <c r="AE487" s="9"/>
      <c r="AF487" s="9"/>
      <c r="AG487" s="9"/>
      <c r="AH487" s="9"/>
      <c r="AI487" s="9"/>
      <c r="AJ487" s="9"/>
      <c r="AK487" s="9"/>
      <c r="AL487" s="9"/>
      <c r="AM487" s="9"/>
      <c r="AN487" s="10"/>
      <c r="AO487" s="65">
        <f t="shared" si="8"/>
        <v>0</v>
      </c>
    </row>
    <row r="488" spans="2:41" s="4" customFormat="1" ht="24" customHeight="1" x14ac:dyDescent="0.2">
      <c r="B488" s="14"/>
      <c r="C488" s="23"/>
      <c r="D488" s="21"/>
      <c r="E488" s="6"/>
      <c r="F488" s="16" t="str">
        <f>IFERROR(VLOOKUP($E488,設定!$C:$F,2,0),"")</f>
        <v/>
      </c>
      <c r="G488" s="156" t="str">
        <f>IFERROR(VLOOKUP($E488,設定!$C:$F,3,0),"")</f>
        <v/>
      </c>
      <c r="H488" s="131" t="str">
        <f>IFERROR(VLOOKUP($E488,設定!$C:$F,4,0),"")</f>
        <v/>
      </c>
      <c r="I488" s="402"/>
      <c r="J488" s="8"/>
      <c r="K488" s="9"/>
      <c r="L488" s="9"/>
      <c r="M488" s="9"/>
      <c r="N488" s="9"/>
      <c r="O488" s="9"/>
      <c r="P488" s="9"/>
      <c r="Q488" s="9"/>
      <c r="R488" s="9"/>
      <c r="S488" s="9"/>
      <c r="T488" s="9"/>
      <c r="U488" s="9"/>
      <c r="V488" s="9"/>
      <c r="W488" s="9"/>
      <c r="X488" s="9"/>
      <c r="Y488" s="9"/>
      <c r="Z488" s="9"/>
      <c r="AA488" s="9"/>
      <c r="AB488" s="9"/>
      <c r="AC488" s="9"/>
      <c r="AD488" s="9"/>
      <c r="AE488" s="9"/>
      <c r="AF488" s="9"/>
      <c r="AG488" s="9"/>
      <c r="AH488" s="9"/>
      <c r="AI488" s="9"/>
      <c r="AJ488" s="9"/>
      <c r="AK488" s="9"/>
      <c r="AL488" s="9"/>
      <c r="AM488" s="9"/>
      <c r="AN488" s="10"/>
      <c r="AO488" s="65">
        <f t="shared" si="8"/>
        <v>0</v>
      </c>
    </row>
    <row r="489" spans="2:41" s="4" customFormat="1" ht="24" customHeight="1" x14ac:dyDescent="0.2">
      <c r="B489" s="14"/>
      <c r="C489" s="23"/>
      <c r="D489" s="21"/>
      <c r="E489" s="6"/>
      <c r="F489" s="16" t="str">
        <f>IFERROR(VLOOKUP($E489,設定!$C:$F,2,0),"")</f>
        <v/>
      </c>
      <c r="G489" s="156" t="str">
        <f>IFERROR(VLOOKUP($E489,設定!$C:$F,3,0),"")</f>
        <v/>
      </c>
      <c r="H489" s="131" t="str">
        <f>IFERROR(VLOOKUP($E489,設定!$C:$F,4,0),"")</f>
        <v/>
      </c>
      <c r="I489" s="402"/>
      <c r="J489" s="8"/>
      <c r="K489" s="9"/>
      <c r="L489" s="9"/>
      <c r="M489" s="9"/>
      <c r="N489" s="9"/>
      <c r="O489" s="9"/>
      <c r="P489" s="9"/>
      <c r="Q489" s="9"/>
      <c r="R489" s="9"/>
      <c r="S489" s="9"/>
      <c r="T489" s="9"/>
      <c r="U489" s="9"/>
      <c r="V489" s="9"/>
      <c r="W489" s="9"/>
      <c r="X489" s="9"/>
      <c r="Y489" s="9"/>
      <c r="Z489" s="9"/>
      <c r="AA489" s="9"/>
      <c r="AB489" s="9"/>
      <c r="AC489" s="9"/>
      <c r="AD489" s="9"/>
      <c r="AE489" s="9"/>
      <c r="AF489" s="9"/>
      <c r="AG489" s="9"/>
      <c r="AH489" s="9"/>
      <c r="AI489" s="9"/>
      <c r="AJ489" s="9"/>
      <c r="AK489" s="9"/>
      <c r="AL489" s="9"/>
      <c r="AM489" s="9"/>
      <c r="AN489" s="10"/>
      <c r="AO489" s="65">
        <f t="shared" si="8"/>
        <v>0</v>
      </c>
    </row>
    <row r="490" spans="2:41" s="4" customFormat="1" ht="24" customHeight="1" x14ac:dyDescent="0.2">
      <c r="B490" s="14"/>
      <c r="C490" s="23"/>
      <c r="D490" s="21"/>
      <c r="E490" s="6"/>
      <c r="F490" s="16" t="str">
        <f>IFERROR(VLOOKUP($E490,設定!$C:$F,2,0),"")</f>
        <v/>
      </c>
      <c r="G490" s="156" t="str">
        <f>IFERROR(VLOOKUP($E490,設定!$C:$F,3,0),"")</f>
        <v/>
      </c>
      <c r="H490" s="131" t="str">
        <f>IFERROR(VLOOKUP($E490,設定!$C:$F,4,0),"")</f>
        <v/>
      </c>
      <c r="I490" s="402"/>
      <c r="J490" s="8"/>
      <c r="K490" s="9"/>
      <c r="L490" s="9"/>
      <c r="M490" s="9"/>
      <c r="N490" s="9"/>
      <c r="O490" s="9"/>
      <c r="P490" s="9"/>
      <c r="Q490" s="9"/>
      <c r="R490" s="9"/>
      <c r="S490" s="9"/>
      <c r="T490" s="9"/>
      <c r="U490" s="9"/>
      <c r="V490" s="9"/>
      <c r="W490" s="9"/>
      <c r="X490" s="9"/>
      <c r="Y490" s="9"/>
      <c r="Z490" s="9"/>
      <c r="AA490" s="9"/>
      <c r="AB490" s="9"/>
      <c r="AC490" s="9"/>
      <c r="AD490" s="9"/>
      <c r="AE490" s="9"/>
      <c r="AF490" s="9"/>
      <c r="AG490" s="9"/>
      <c r="AH490" s="9"/>
      <c r="AI490" s="9"/>
      <c r="AJ490" s="9"/>
      <c r="AK490" s="9"/>
      <c r="AL490" s="9"/>
      <c r="AM490" s="9"/>
      <c r="AN490" s="10"/>
      <c r="AO490" s="65">
        <f t="shared" si="8"/>
        <v>0</v>
      </c>
    </row>
    <row r="491" spans="2:41" s="4" customFormat="1" ht="24" customHeight="1" x14ac:dyDescent="0.2">
      <c r="B491" s="14"/>
      <c r="C491" s="23"/>
      <c r="D491" s="21"/>
      <c r="E491" s="6"/>
      <c r="F491" s="16" t="str">
        <f>IFERROR(VLOOKUP($E491,設定!$C:$F,2,0),"")</f>
        <v/>
      </c>
      <c r="G491" s="156" t="str">
        <f>IFERROR(VLOOKUP($E491,設定!$C:$F,3,0),"")</f>
        <v/>
      </c>
      <c r="H491" s="131" t="str">
        <f>IFERROR(VLOOKUP($E491,設定!$C:$F,4,0),"")</f>
        <v/>
      </c>
      <c r="I491" s="402"/>
      <c r="J491" s="8"/>
      <c r="K491" s="9"/>
      <c r="L491" s="9"/>
      <c r="M491" s="9"/>
      <c r="N491" s="9"/>
      <c r="O491" s="9"/>
      <c r="P491" s="9"/>
      <c r="Q491" s="9"/>
      <c r="R491" s="9"/>
      <c r="S491" s="9"/>
      <c r="T491" s="9"/>
      <c r="U491" s="9"/>
      <c r="V491" s="9"/>
      <c r="W491" s="9"/>
      <c r="X491" s="9"/>
      <c r="Y491" s="9"/>
      <c r="Z491" s="9"/>
      <c r="AA491" s="9"/>
      <c r="AB491" s="9"/>
      <c r="AC491" s="9"/>
      <c r="AD491" s="9"/>
      <c r="AE491" s="9"/>
      <c r="AF491" s="9"/>
      <c r="AG491" s="9"/>
      <c r="AH491" s="9"/>
      <c r="AI491" s="9"/>
      <c r="AJ491" s="9"/>
      <c r="AK491" s="9"/>
      <c r="AL491" s="9"/>
      <c r="AM491" s="9"/>
      <c r="AN491" s="10"/>
      <c r="AO491" s="65">
        <f t="shared" si="8"/>
        <v>0</v>
      </c>
    </row>
    <row r="492" spans="2:41" s="4" customFormat="1" ht="24" customHeight="1" x14ac:dyDescent="0.2">
      <c r="B492" s="14"/>
      <c r="C492" s="23"/>
      <c r="D492" s="21"/>
      <c r="E492" s="6"/>
      <c r="F492" s="16" t="str">
        <f>IFERROR(VLOOKUP($E492,設定!$C:$F,2,0),"")</f>
        <v/>
      </c>
      <c r="G492" s="156" t="str">
        <f>IFERROR(VLOOKUP($E492,設定!$C:$F,3,0),"")</f>
        <v/>
      </c>
      <c r="H492" s="131" t="str">
        <f>IFERROR(VLOOKUP($E492,設定!$C:$F,4,0),"")</f>
        <v/>
      </c>
      <c r="I492" s="402"/>
      <c r="J492" s="8"/>
      <c r="K492" s="9"/>
      <c r="L492" s="9"/>
      <c r="M492" s="9"/>
      <c r="N492" s="9"/>
      <c r="O492" s="9"/>
      <c r="P492" s="9"/>
      <c r="Q492" s="9"/>
      <c r="R492" s="9"/>
      <c r="S492" s="9"/>
      <c r="T492" s="9"/>
      <c r="U492" s="9"/>
      <c r="V492" s="9"/>
      <c r="W492" s="9"/>
      <c r="X492" s="9"/>
      <c r="Y492" s="9"/>
      <c r="Z492" s="9"/>
      <c r="AA492" s="9"/>
      <c r="AB492" s="9"/>
      <c r="AC492" s="9"/>
      <c r="AD492" s="9"/>
      <c r="AE492" s="9"/>
      <c r="AF492" s="9"/>
      <c r="AG492" s="9"/>
      <c r="AH492" s="9"/>
      <c r="AI492" s="9"/>
      <c r="AJ492" s="9"/>
      <c r="AK492" s="9"/>
      <c r="AL492" s="9"/>
      <c r="AM492" s="9"/>
      <c r="AN492" s="10"/>
      <c r="AO492" s="65">
        <f t="shared" si="8"/>
        <v>0</v>
      </c>
    </row>
    <row r="493" spans="2:41" s="4" customFormat="1" ht="24" customHeight="1" x14ac:dyDescent="0.2">
      <c r="B493" s="14"/>
      <c r="C493" s="23"/>
      <c r="D493" s="21"/>
      <c r="E493" s="6"/>
      <c r="F493" s="16" t="str">
        <f>IFERROR(VLOOKUP($E493,設定!$C:$F,2,0),"")</f>
        <v/>
      </c>
      <c r="G493" s="156" t="str">
        <f>IFERROR(VLOOKUP($E493,設定!$C:$F,3,0),"")</f>
        <v/>
      </c>
      <c r="H493" s="131" t="str">
        <f>IFERROR(VLOOKUP($E493,設定!$C:$F,4,0),"")</f>
        <v/>
      </c>
      <c r="I493" s="402"/>
      <c r="J493" s="8"/>
      <c r="K493" s="9"/>
      <c r="L493" s="9"/>
      <c r="M493" s="9"/>
      <c r="N493" s="9"/>
      <c r="O493" s="9"/>
      <c r="P493" s="9"/>
      <c r="Q493" s="9"/>
      <c r="R493" s="9"/>
      <c r="S493" s="9"/>
      <c r="T493" s="9"/>
      <c r="U493" s="9"/>
      <c r="V493" s="9"/>
      <c r="W493" s="9"/>
      <c r="X493" s="9"/>
      <c r="Y493" s="9"/>
      <c r="Z493" s="9"/>
      <c r="AA493" s="9"/>
      <c r="AB493" s="9"/>
      <c r="AC493" s="9"/>
      <c r="AD493" s="9"/>
      <c r="AE493" s="9"/>
      <c r="AF493" s="9"/>
      <c r="AG493" s="9"/>
      <c r="AH493" s="9"/>
      <c r="AI493" s="9"/>
      <c r="AJ493" s="9"/>
      <c r="AK493" s="9"/>
      <c r="AL493" s="9"/>
      <c r="AM493" s="9"/>
      <c r="AN493" s="10"/>
      <c r="AO493" s="65">
        <f t="shared" si="8"/>
        <v>0</v>
      </c>
    </row>
    <row r="494" spans="2:41" s="4" customFormat="1" ht="24" customHeight="1" x14ac:dyDescent="0.2">
      <c r="B494" s="14"/>
      <c r="C494" s="23"/>
      <c r="D494" s="21"/>
      <c r="E494" s="6"/>
      <c r="F494" s="16" t="str">
        <f>IFERROR(VLOOKUP($E494,設定!$C:$F,2,0),"")</f>
        <v/>
      </c>
      <c r="G494" s="156" t="str">
        <f>IFERROR(VLOOKUP($E494,設定!$C:$F,3,0),"")</f>
        <v/>
      </c>
      <c r="H494" s="131" t="str">
        <f>IFERROR(VLOOKUP($E494,設定!$C:$F,4,0),"")</f>
        <v/>
      </c>
      <c r="I494" s="402"/>
      <c r="J494" s="8"/>
      <c r="K494" s="9"/>
      <c r="L494" s="9"/>
      <c r="M494" s="9"/>
      <c r="N494" s="9"/>
      <c r="O494" s="9"/>
      <c r="P494" s="9"/>
      <c r="Q494" s="9"/>
      <c r="R494" s="9"/>
      <c r="S494" s="9"/>
      <c r="T494" s="9"/>
      <c r="U494" s="9"/>
      <c r="V494" s="9"/>
      <c r="W494" s="9"/>
      <c r="X494" s="9"/>
      <c r="Y494" s="9"/>
      <c r="Z494" s="9"/>
      <c r="AA494" s="9"/>
      <c r="AB494" s="9"/>
      <c r="AC494" s="9"/>
      <c r="AD494" s="9"/>
      <c r="AE494" s="9"/>
      <c r="AF494" s="9"/>
      <c r="AG494" s="9"/>
      <c r="AH494" s="9"/>
      <c r="AI494" s="9"/>
      <c r="AJ494" s="9"/>
      <c r="AK494" s="9"/>
      <c r="AL494" s="9"/>
      <c r="AM494" s="9"/>
      <c r="AN494" s="10"/>
      <c r="AO494" s="65">
        <f t="shared" si="8"/>
        <v>0</v>
      </c>
    </row>
    <row r="495" spans="2:41" s="4" customFormat="1" ht="24" customHeight="1" x14ac:dyDescent="0.2">
      <c r="B495" s="14"/>
      <c r="C495" s="23"/>
      <c r="D495" s="21"/>
      <c r="E495" s="6"/>
      <c r="F495" s="16" t="str">
        <f>IFERROR(VLOOKUP($E495,設定!$C:$F,2,0),"")</f>
        <v/>
      </c>
      <c r="G495" s="156" t="str">
        <f>IFERROR(VLOOKUP($E495,設定!$C:$F,3,0),"")</f>
        <v/>
      </c>
      <c r="H495" s="131" t="str">
        <f>IFERROR(VLOOKUP($E495,設定!$C:$F,4,0),"")</f>
        <v/>
      </c>
      <c r="I495" s="402"/>
      <c r="J495" s="8"/>
      <c r="K495" s="9"/>
      <c r="L495" s="9"/>
      <c r="M495" s="9"/>
      <c r="N495" s="9"/>
      <c r="O495" s="9"/>
      <c r="P495" s="9"/>
      <c r="Q495" s="9"/>
      <c r="R495" s="9"/>
      <c r="S495" s="9"/>
      <c r="T495" s="9"/>
      <c r="U495" s="9"/>
      <c r="V495" s="9"/>
      <c r="W495" s="9"/>
      <c r="X495" s="9"/>
      <c r="Y495" s="9"/>
      <c r="Z495" s="9"/>
      <c r="AA495" s="9"/>
      <c r="AB495" s="9"/>
      <c r="AC495" s="9"/>
      <c r="AD495" s="9"/>
      <c r="AE495" s="9"/>
      <c r="AF495" s="9"/>
      <c r="AG495" s="9"/>
      <c r="AH495" s="9"/>
      <c r="AI495" s="9"/>
      <c r="AJ495" s="9"/>
      <c r="AK495" s="9"/>
      <c r="AL495" s="9"/>
      <c r="AM495" s="9"/>
      <c r="AN495" s="10"/>
      <c r="AO495" s="65">
        <f t="shared" si="8"/>
        <v>0</v>
      </c>
    </row>
    <row r="496" spans="2:41" s="4" customFormat="1" ht="24" customHeight="1" x14ac:dyDescent="0.2">
      <c r="B496" s="14"/>
      <c r="C496" s="23"/>
      <c r="D496" s="21"/>
      <c r="E496" s="6"/>
      <c r="F496" s="16" t="str">
        <f>IFERROR(VLOOKUP($E496,設定!$C:$F,2,0),"")</f>
        <v/>
      </c>
      <c r="G496" s="156" t="str">
        <f>IFERROR(VLOOKUP($E496,設定!$C:$F,3,0),"")</f>
        <v/>
      </c>
      <c r="H496" s="131" t="str">
        <f>IFERROR(VLOOKUP($E496,設定!$C:$F,4,0),"")</f>
        <v/>
      </c>
      <c r="I496" s="402"/>
      <c r="J496" s="8"/>
      <c r="K496" s="9"/>
      <c r="L496" s="9"/>
      <c r="M496" s="9"/>
      <c r="N496" s="9"/>
      <c r="O496" s="9"/>
      <c r="P496" s="9"/>
      <c r="Q496" s="9"/>
      <c r="R496" s="9"/>
      <c r="S496" s="9"/>
      <c r="T496" s="9"/>
      <c r="U496" s="9"/>
      <c r="V496" s="9"/>
      <c r="W496" s="9"/>
      <c r="X496" s="9"/>
      <c r="Y496" s="9"/>
      <c r="Z496" s="9"/>
      <c r="AA496" s="9"/>
      <c r="AB496" s="9"/>
      <c r="AC496" s="9"/>
      <c r="AD496" s="9"/>
      <c r="AE496" s="9"/>
      <c r="AF496" s="9"/>
      <c r="AG496" s="9"/>
      <c r="AH496" s="9"/>
      <c r="AI496" s="9"/>
      <c r="AJ496" s="9"/>
      <c r="AK496" s="9"/>
      <c r="AL496" s="9"/>
      <c r="AM496" s="9"/>
      <c r="AN496" s="10"/>
      <c r="AO496" s="65">
        <f t="shared" si="8"/>
        <v>0</v>
      </c>
    </row>
    <row r="497" spans="2:41" s="4" customFormat="1" ht="24" customHeight="1" x14ac:dyDescent="0.2">
      <c r="B497" s="14"/>
      <c r="C497" s="23"/>
      <c r="D497" s="21"/>
      <c r="E497" s="6"/>
      <c r="F497" s="16" t="str">
        <f>IFERROR(VLOOKUP($E497,設定!$C:$F,2,0),"")</f>
        <v/>
      </c>
      <c r="G497" s="156" t="str">
        <f>IFERROR(VLOOKUP($E497,設定!$C:$F,3,0),"")</f>
        <v/>
      </c>
      <c r="H497" s="131" t="str">
        <f>IFERROR(VLOOKUP($E497,設定!$C:$F,4,0),"")</f>
        <v/>
      </c>
      <c r="I497" s="402"/>
      <c r="J497" s="8"/>
      <c r="K497" s="9"/>
      <c r="L497" s="9"/>
      <c r="M497" s="9"/>
      <c r="N497" s="9"/>
      <c r="O497" s="9"/>
      <c r="P497" s="9"/>
      <c r="Q497" s="9"/>
      <c r="R497" s="9"/>
      <c r="S497" s="9"/>
      <c r="T497" s="9"/>
      <c r="U497" s="9"/>
      <c r="V497" s="9"/>
      <c r="W497" s="9"/>
      <c r="X497" s="9"/>
      <c r="Y497" s="9"/>
      <c r="Z497" s="9"/>
      <c r="AA497" s="9"/>
      <c r="AB497" s="9"/>
      <c r="AC497" s="9"/>
      <c r="AD497" s="9"/>
      <c r="AE497" s="9"/>
      <c r="AF497" s="9"/>
      <c r="AG497" s="9"/>
      <c r="AH497" s="9"/>
      <c r="AI497" s="9"/>
      <c r="AJ497" s="9"/>
      <c r="AK497" s="9"/>
      <c r="AL497" s="9"/>
      <c r="AM497" s="9"/>
      <c r="AN497" s="10"/>
      <c r="AO497" s="65">
        <f t="shared" si="8"/>
        <v>0</v>
      </c>
    </row>
    <row r="498" spans="2:41" s="4" customFormat="1" ht="24" customHeight="1" x14ac:dyDescent="0.2">
      <c r="B498" s="14"/>
      <c r="C498" s="23"/>
      <c r="D498" s="21"/>
      <c r="E498" s="6"/>
      <c r="F498" s="16" t="str">
        <f>IFERROR(VLOOKUP($E498,設定!$C:$F,2,0),"")</f>
        <v/>
      </c>
      <c r="G498" s="156" t="str">
        <f>IFERROR(VLOOKUP($E498,設定!$C:$F,3,0),"")</f>
        <v/>
      </c>
      <c r="H498" s="131" t="str">
        <f>IFERROR(VLOOKUP($E498,設定!$C:$F,4,0),"")</f>
        <v/>
      </c>
      <c r="I498" s="402"/>
      <c r="J498" s="8"/>
      <c r="K498" s="9"/>
      <c r="L498" s="9"/>
      <c r="M498" s="9"/>
      <c r="N498" s="9"/>
      <c r="O498" s="9"/>
      <c r="P498" s="9"/>
      <c r="Q498" s="9"/>
      <c r="R498" s="9"/>
      <c r="S498" s="9"/>
      <c r="T498" s="9"/>
      <c r="U498" s="9"/>
      <c r="V498" s="9"/>
      <c r="W498" s="9"/>
      <c r="X498" s="9"/>
      <c r="Y498" s="9"/>
      <c r="Z498" s="9"/>
      <c r="AA498" s="9"/>
      <c r="AB498" s="9"/>
      <c r="AC498" s="9"/>
      <c r="AD498" s="9"/>
      <c r="AE498" s="9"/>
      <c r="AF498" s="9"/>
      <c r="AG498" s="9"/>
      <c r="AH498" s="9"/>
      <c r="AI498" s="9"/>
      <c r="AJ498" s="9"/>
      <c r="AK498" s="9"/>
      <c r="AL498" s="9"/>
      <c r="AM498" s="9"/>
      <c r="AN498" s="10"/>
      <c r="AO498" s="65">
        <f t="shared" si="8"/>
        <v>0</v>
      </c>
    </row>
    <row r="499" spans="2:41" s="4" customFormat="1" ht="24" customHeight="1" x14ac:dyDescent="0.2">
      <c r="B499" s="14"/>
      <c r="C499" s="23"/>
      <c r="D499" s="21"/>
      <c r="E499" s="6"/>
      <c r="F499" s="16" t="str">
        <f>IFERROR(VLOOKUP($E499,設定!$C:$F,2,0),"")</f>
        <v/>
      </c>
      <c r="G499" s="156" t="str">
        <f>IFERROR(VLOOKUP($E499,設定!$C:$F,3,0),"")</f>
        <v/>
      </c>
      <c r="H499" s="131" t="str">
        <f>IFERROR(VLOOKUP($E499,設定!$C:$F,4,0),"")</f>
        <v/>
      </c>
      <c r="I499" s="402"/>
      <c r="J499" s="8"/>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10"/>
      <c r="AO499" s="65">
        <f t="shared" si="8"/>
        <v>0</v>
      </c>
    </row>
    <row r="500" spans="2:41" s="4" customFormat="1" ht="24" customHeight="1" x14ac:dyDescent="0.2">
      <c r="B500" s="14"/>
      <c r="C500" s="23"/>
      <c r="D500" s="21"/>
      <c r="E500" s="6"/>
      <c r="F500" s="16" t="str">
        <f>IFERROR(VLOOKUP($E500,設定!$C:$F,2,0),"")</f>
        <v/>
      </c>
      <c r="G500" s="156" t="str">
        <f>IFERROR(VLOOKUP($E500,設定!$C:$F,3,0),"")</f>
        <v/>
      </c>
      <c r="H500" s="131" t="str">
        <f>IFERROR(VLOOKUP($E500,設定!$C:$F,4,0),"")</f>
        <v/>
      </c>
      <c r="I500" s="402"/>
      <c r="J500" s="8"/>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9"/>
      <c r="AJ500" s="9"/>
      <c r="AK500" s="9"/>
      <c r="AL500" s="9"/>
      <c r="AM500" s="9"/>
      <c r="AN500" s="10"/>
      <c r="AO500" s="65">
        <f t="shared" si="8"/>
        <v>0</v>
      </c>
    </row>
    <row r="501" spans="2:41" s="4" customFormat="1" ht="24" customHeight="1" x14ac:dyDescent="0.2">
      <c r="B501" s="14"/>
      <c r="C501" s="23"/>
      <c r="D501" s="21"/>
      <c r="E501" s="6"/>
      <c r="F501" s="16" t="str">
        <f>IFERROR(VLOOKUP($E501,設定!$C:$F,2,0),"")</f>
        <v/>
      </c>
      <c r="G501" s="156" t="str">
        <f>IFERROR(VLOOKUP($E501,設定!$C:$F,3,0),"")</f>
        <v/>
      </c>
      <c r="H501" s="131" t="str">
        <f>IFERROR(VLOOKUP($E501,設定!$C:$F,4,0),"")</f>
        <v/>
      </c>
      <c r="I501" s="402"/>
      <c r="J501" s="8"/>
      <c r="K501" s="9"/>
      <c r="L501" s="9"/>
      <c r="M501" s="9"/>
      <c r="N501" s="9"/>
      <c r="O501" s="9"/>
      <c r="P501" s="9"/>
      <c r="Q501" s="9"/>
      <c r="R501" s="9"/>
      <c r="S501" s="9"/>
      <c r="T501" s="9"/>
      <c r="U501" s="9"/>
      <c r="V501" s="9"/>
      <c r="W501" s="9"/>
      <c r="X501" s="9"/>
      <c r="Y501" s="9"/>
      <c r="Z501" s="9"/>
      <c r="AA501" s="9"/>
      <c r="AB501" s="9"/>
      <c r="AC501" s="9"/>
      <c r="AD501" s="9"/>
      <c r="AE501" s="9"/>
      <c r="AF501" s="9"/>
      <c r="AG501" s="9"/>
      <c r="AH501" s="9"/>
      <c r="AI501" s="9"/>
      <c r="AJ501" s="9"/>
      <c r="AK501" s="9"/>
      <c r="AL501" s="9"/>
      <c r="AM501" s="9"/>
      <c r="AN501" s="10"/>
      <c r="AO501" s="65">
        <f t="shared" si="8"/>
        <v>0</v>
      </c>
    </row>
    <row r="502" spans="2:41" s="4" customFormat="1" ht="24" customHeight="1" x14ac:dyDescent="0.2">
      <c r="B502" s="14"/>
      <c r="C502" s="23"/>
      <c r="D502" s="21"/>
      <c r="E502" s="6"/>
      <c r="F502" s="16" t="str">
        <f>IFERROR(VLOOKUP($E502,設定!$C:$F,2,0),"")</f>
        <v/>
      </c>
      <c r="G502" s="156" t="str">
        <f>IFERROR(VLOOKUP($E502,設定!$C:$F,3,0),"")</f>
        <v/>
      </c>
      <c r="H502" s="131" t="str">
        <f>IFERROR(VLOOKUP($E502,設定!$C:$F,4,0),"")</f>
        <v/>
      </c>
      <c r="I502" s="402"/>
      <c r="J502" s="8"/>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9"/>
      <c r="AJ502" s="9"/>
      <c r="AK502" s="9"/>
      <c r="AL502" s="9"/>
      <c r="AM502" s="9"/>
      <c r="AN502" s="10"/>
      <c r="AO502" s="65">
        <f t="shared" si="8"/>
        <v>0</v>
      </c>
    </row>
    <row r="503" spans="2:41" s="4" customFormat="1" ht="24" customHeight="1" x14ac:dyDescent="0.2">
      <c r="B503" s="14"/>
      <c r="C503" s="23"/>
      <c r="D503" s="21"/>
      <c r="E503" s="6"/>
      <c r="F503" s="16" t="str">
        <f>IFERROR(VLOOKUP($E503,設定!$C:$F,2,0),"")</f>
        <v/>
      </c>
      <c r="G503" s="156" t="str">
        <f>IFERROR(VLOOKUP($E503,設定!$C:$F,3,0),"")</f>
        <v/>
      </c>
      <c r="H503" s="131" t="str">
        <f>IFERROR(VLOOKUP($E503,設定!$C:$F,4,0),"")</f>
        <v/>
      </c>
      <c r="I503" s="402"/>
      <c r="J503" s="8"/>
      <c r="K503" s="9"/>
      <c r="L503" s="9"/>
      <c r="M503" s="9"/>
      <c r="N503" s="9"/>
      <c r="O503" s="9"/>
      <c r="P503" s="9"/>
      <c r="Q503" s="9"/>
      <c r="R503" s="9"/>
      <c r="S503" s="9"/>
      <c r="T503" s="9"/>
      <c r="U503" s="9"/>
      <c r="V503" s="9"/>
      <c r="W503" s="9"/>
      <c r="X503" s="9"/>
      <c r="Y503" s="9"/>
      <c r="Z503" s="9"/>
      <c r="AA503" s="9"/>
      <c r="AB503" s="9"/>
      <c r="AC503" s="9"/>
      <c r="AD503" s="9"/>
      <c r="AE503" s="9"/>
      <c r="AF503" s="9"/>
      <c r="AG503" s="9"/>
      <c r="AH503" s="9"/>
      <c r="AI503" s="9"/>
      <c r="AJ503" s="9"/>
      <c r="AK503" s="9"/>
      <c r="AL503" s="9"/>
      <c r="AM503" s="9"/>
      <c r="AN503" s="10"/>
      <c r="AO503" s="65">
        <f t="shared" si="8"/>
        <v>0</v>
      </c>
    </row>
    <row r="504" spans="2:41" s="4" customFormat="1" ht="24" customHeight="1" x14ac:dyDescent="0.2">
      <c r="B504" s="14"/>
      <c r="C504" s="23"/>
      <c r="D504" s="21"/>
      <c r="E504" s="6"/>
      <c r="F504" s="16" t="str">
        <f>IFERROR(VLOOKUP($E504,設定!$C:$F,2,0),"")</f>
        <v/>
      </c>
      <c r="G504" s="156" t="str">
        <f>IFERROR(VLOOKUP($E504,設定!$C:$F,3,0),"")</f>
        <v/>
      </c>
      <c r="H504" s="131" t="str">
        <f>IFERROR(VLOOKUP($E504,設定!$C:$F,4,0),"")</f>
        <v/>
      </c>
      <c r="I504" s="402"/>
      <c r="J504" s="8"/>
      <c r="K504" s="9"/>
      <c r="L504" s="9"/>
      <c r="M504" s="9"/>
      <c r="N504" s="9"/>
      <c r="O504" s="9"/>
      <c r="P504" s="9"/>
      <c r="Q504" s="9"/>
      <c r="R504" s="9"/>
      <c r="S504" s="9"/>
      <c r="T504" s="9"/>
      <c r="U504" s="9"/>
      <c r="V504" s="9"/>
      <c r="W504" s="9"/>
      <c r="X504" s="9"/>
      <c r="Y504" s="9"/>
      <c r="Z504" s="9"/>
      <c r="AA504" s="9"/>
      <c r="AB504" s="9"/>
      <c r="AC504" s="9"/>
      <c r="AD504" s="9"/>
      <c r="AE504" s="9"/>
      <c r="AF504" s="9"/>
      <c r="AG504" s="9"/>
      <c r="AH504" s="9"/>
      <c r="AI504" s="9"/>
      <c r="AJ504" s="9"/>
      <c r="AK504" s="9"/>
      <c r="AL504" s="9"/>
      <c r="AM504" s="9"/>
      <c r="AN504" s="10"/>
      <c r="AO504" s="65">
        <f t="shared" si="8"/>
        <v>0</v>
      </c>
    </row>
    <row r="505" spans="2:41" s="4" customFormat="1" ht="24" customHeight="1" x14ac:dyDescent="0.2">
      <c r="B505" s="14"/>
      <c r="C505" s="23"/>
      <c r="D505" s="21"/>
      <c r="E505" s="6"/>
      <c r="F505" s="16" t="str">
        <f>IFERROR(VLOOKUP($E505,設定!$C:$F,2,0),"")</f>
        <v/>
      </c>
      <c r="G505" s="156" t="str">
        <f>IFERROR(VLOOKUP($E505,設定!$C:$F,3,0),"")</f>
        <v/>
      </c>
      <c r="H505" s="131" t="str">
        <f>IFERROR(VLOOKUP($E505,設定!$C:$F,4,0),"")</f>
        <v/>
      </c>
      <c r="I505" s="402"/>
      <c r="J505" s="8"/>
      <c r="K505" s="9"/>
      <c r="L505" s="9"/>
      <c r="M505" s="9"/>
      <c r="N505" s="9"/>
      <c r="O505" s="9"/>
      <c r="P505" s="9"/>
      <c r="Q505" s="9"/>
      <c r="R505" s="9"/>
      <c r="S505" s="9"/>
      <c r="T505" s="9"/>
      <c r="U505" s="9"/>
      <c r="V505" s="9"/>
      <c r="W505" s="9"/>
      <c r="X505" s="9"/>
      <c r="Y505" s="9"/>
      <c r="Z505" s="9"/>
      <c r="AA505" s="9"/>
      <c r="AB505" s="9"/>
      <c r="AC505" s="9"/>
      <c r="AD505" s="9"/>
      <c r="AE505" s="9"/>
      <c r="AF505" s="9"/>
      <c r="AG505" s="9"/>
      <c r="AH505" s="9"/>
      <c r="AI505" s="9"/>
      <c r="AJ505" s="9"/>
      <c r="AK505" s="9"/>
      <c r="AL505" s="9"/>
      <c r="AM505" s="9"/>
      <c r="AN505" s="10"/>
      <c r="AO505" s="65">
        <f t="shared" si="8"/>
        <v>0</v>
      </c>
    </row>
    <row r="506" spans="2:41" s="4" customFormat="1" ht="24" customHeight="1" x14ac:dyDescent="0.2">
      <c r="B506" s="14"/>
      <c r="C506" s="23"/>
      <c r="D506" s="21"/>
      <c r="E506" s="6"/>
      <c r="F506" s="16" t="str">
        <f>IFERROR(VLOOKUP($E506,設定!$C:$F,2,0),"")</f>
        <v/>
      </c>
      <c r="G506" s="156" t="str">
        <f>IFERROR(VLOOKUP($E506,設定!$C:$F,3,0),"")</f>
        <v/>
      </c>
      <c r="H506" s="131" t="str">
        <f>IFERROR(VLOOKUP($E506,設定!$C:$F,4,0),"")</f>
        <v/>
      </c>
      <c r="I506" s="402"/>
      <c r="J506" s="8"/>
      <c r="K506" s="9"/>
      <c r="L506" s="9"/>
      <c r="M506" s="9"/>
      <c r="N506" s="9"/>
      <c r="O506" s="9"/>
      <c r="P506" s="9"/>
      <c r="Q506" s="9"/>
      <c r="R506" s="9"/>
      <c r="S506" s="9"/>
      <c r="T506" s="9"/>
      <c r="U506" s="9"/>
      <c r="V506" s="9"/>
      <c r="W506" s="9"/>
      <c r="X506" s="9"/>
      <c r="Y506" s="9"/>
      <c r="Z506" s="9"/>
      <c r="AA506" s="9"/>
      <c r="AB506" s="9"/>
      <c r="AC506" s="9"/>
      <c r="AD506" s="9"/>
      <c r="AE506" s="9"/>
      <c r="AF506" s="9"/>
      <c r="AG506" s="9"/>
      <c r="AH506" s="9"/>
      <c r="AI506" s="9"/>
      <c r="AJ506" s="9"/>
      <c r="AK506" s="9"/>
      <c r="AL506" s="9"/>
      <c r="AM506" s="9"/>
      <c r="AN506" s="10"/>
      <c r="AO506" s="65">
        <f t="shared" si="8"/>
        <v>0</v>
      </c>
    </row>
    <row r="507" spans="2:41" s="4" customFormat="1" ht="24" customHeight="1" x14ac:dyDescent="0.2">
      <c r="B507" s="14"/>
      <c r="C507" s="23"/>
      <c r="D507" s="21"/>
      <c r="E507" s="6"/>
      <c r="F507" s="16" t="str">
        <f>IFERROR(VLOOKUP($E507,設定!$C:$F,2,0),"")</f>
        <v/>
      </c>
      <c r="G507" s="156" t="str">
        <f>IFERROR(VLOOKUP($E507,設定!$C:$F,3,0),"")</f>
        <v/>
      </c>
      <c r="H507" s="131" t="str">
        <f>IFERROR(VLOOKUP($E507,設定!$C:$F,4,0),"")</f>
        <v/>
      </c>
      <c r="I507" s="402"/>
      <c r="J507" s="8"/>
      <c r="K507" s="9"/>
      <c r="L507" s="9"/>
      <c r="M507" s="9"/>
      <c r="N507" s="9"/>
      <c r="O507" s="9"/>
      <c r="P507" s="9"/>
      <c r="Q507" s="9"/>
      <c r="R507" s="9"/>
      <c r="S507" s="9"/>
      <c r="T507" s="9"/>
      <c r="U507" s="9"/>
      <c r="V507" s="9"/>
      <c r="W507" s="9"/>
      <c r="X507" s="9"/>
      <c r="Y507" s="9"/>
      <c r="Z507" s="9"/>
      <c r="AA507" s="9"/>
      <c r="AB507" s="9"/>
      <c r="AC507" s="9"/>
      <c r="AD507" s="9"/>
      <c r="AE507" s="9"/>
      <c r="AF507" s="9"/>
      <c r="AG507" s="9"/>
      <c r="AH507" s="9"/>
      <c r="AI507" s="9"/>
      <c r="AJ507" s="9"/>
      <c r="AK507" s="9"/>
      <c r="AL507" s="9"/>
      <c r="AM507" s="9"/>
      <c r="AN507" s="10"/>
      <c r="AO507" s="65">
        <f t="shared" si="8"/>
        <v>0</v>
      </c>
    </row>
    <row r="508" spans="2:41" s="4" customFormat="1" ht="24" customHeight="1" x14ac:dyDescent="0.2">
      <c r="B508" s="14"/>
      <c r="C508" s="23"/>
      <c r="D508" s="21"/>
      <c r="E508" s="6"/>
      <c r="F508" s="16" t="str">
        <f>IFERROR(VLOOKUP($E508,設定!$C:$F,2,0),"")</f>
        <v/>
      </c>
      <c r="G508" s="156" t="str">
        <f>IFERROR(VLOOKUP($E508,設定!$C:$F,3,0),"")</f>
        <v/>
      </c>
      <c r="H508" s="131" t="str">
        <f>IFERROR(VLOOKUP($E508,設定!$C:$F,4,0),"")</f>
        <v/>
      </c>
      <c r="I508" s="402"/>
      <c r="J508" s="8"/>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9"/>
      <c r="AJ508" s="9"/>
      <c r="AK508" s="9"/>
      <c r="AL508" s="9"/>
      <c r="AM508" s="9"/>
      <c r="AN508" s="10"/>
      <c r="AO508" s="65">
        <f t="shared" si="8"/>
        <v>0</v>
      </c>
    </row>
    <row r="509" spans="2:41" s="4" customFormat="1" ht="24" customHeight="1" x14ac:dyDescent="0.2">
      <c r="B509" s="14"/>
      <c r="C509" s="23"/>
      <c r="D509" s="21"/>
      <c r="E509" s="6"/>
      <c r="F509" s="16" t="str">
        <f>IFERROR(VLOOKUP($E509,設定!$C:$F,2,0),"")</f>
        <v/>
      </c>
      <c r="G509" s="156" t="str">
        <f>IFERROR(VLOOKUP($E509,設定!$C:$F,3,0),"")</f>
        <v/>
      </c>
      <c r="H509" s="131" t="str">
        <f>IFERROR(VLOOKUP($E509,設定!$C:$F,4,0),"")</f>
        <v/>
      </c>
      <c r="I509" s="402"/>
      <c r="J509" s="8"/>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9"/>
      <c r="AJ509" s="9"/>
      <c r="AK509" s="9"/>
      <c r="AL509" s="9"/>
      <c r="AM509" s="9"/>
      <c r="AN509" s="10"/>
      <c r="AO509" s="65">
        <f t="shared" si="8"/>
        <v>0</v>
      </c>
    </row>
    <row r="510" spans="2:41" s="4" customFormat="1" ht="24" customHeight="1" x14ac:dyDescent="0.2">
      <c r="B510" s="14"/>
      <c r="C510" s="23"/>
      <c r="D510" s="21"/>
      <c r="E510" s="6"/>
      <c r="F510" s="16" t="str">
        <f>IFERROR(VLOOKUP($E510,設定!$C:$F,2,0),"")</f>
        <v/>
      </c>
      <c r="G510" s="156" t="str">
        <f>IFERROR(VLOOKUP($E510,設定!$C:$F,3,0),"")</f>
        <v/>
      </c>
      <c r="H510" s="131" t="str">
        <f>IFERROR(VLOOKUP($E510,設定!$C:$F,4,0),"")</f>
        <v/>
      </c>
      <c r="I510" s="402"/>
      <c r="J510" s="8"/>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9"/>
      <c r="AL510" s="9"/>
      <c r="AM510" s="9"/>
      <c r="AN510" s="10"/>
      <c r="AO510" s="65">
        <f t="shared" si="8"/>
        <v>0</v>
      </c>
    </row>
    <row r="511" spans="2:41" s="4" customFormat="1" ht="24" customHeight="1" x14ac:dyDescent="0.2">
      <c r="B511" s="14"/>
      <c r="C511" s="23"/>
      <c r="D511" s="21"/>
      <c r="E511" s="6"/>
      <c r="F511" s="16" t="str">
        <f>IFERROR(VLOOKUP($E511,設定!$C:$F,2,0),"")</f>
        <v/>
      </c>
      <c r="G511" s="156" t="str">
        <f>IFERROR(VLOOKUP($E511,設定!$C:$F,3,0),"")</f>
        <v/>
      </c>
      <c r="H511" s="131" t="str">
        <f>IFERROR(VLOOKUP($E511,設定!$C:$F,4,0),"")</f>
        <v/>
      </c>
      <c r="I511" s="402"/>
      <c r="J511" s="8"/>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10"/>
      <c r="AO511" s="65">
        <f t="shared" si="8"/>
        <v>0</v>
      </c>
    </row>
    <row r="512" spans="2:41" s="4" customFormat="1" ht="24" customHeight="1" x14ac:dyDescent="0.2">
      <c r="B512" s="14"/>
      <c r="C512" s="23"/>
      <c r="D512" s="21"/>
      <c r="E512" s="6"/>
      <c r="F512" s="16" t="str">
        <f>IFERROR(VLOOKUP($E512,設定!$C:$F,2,0),"")</f>
        <v/>
      </c>
      <c r="G512" s="156" t="str">
        <f>IFERROR(VLOOKUP($E512,設定!$C:$F,3,0),"")</f>
        <v/>
      </c>
      <c r="H512" s="131" t="str">
        <f>IFERROR(VLOOKUP($E512,設定!$C:$F,4,0),"")</f>
        <v/>
      </c>
      <c r="I512" s="402"/>
      <c r="J512" s="8"/>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9"/>
      <c r="AJ512" s="9"/>
      <c r="AK512" s="9"/>
      <c r="AL512" s="9"/>
      <c r="AM512" s="9"/>
      <c r="AN512" s="10"/>
      <c r="AO512" s="65">
        <f t="shared" si="8"/>
        <v>0</v>
      </c>
    </row>
    <row r="513" spans="2:41" s="4" customFormat="1" ht="24" customHeight="1" x14ac:dyDescent="0.2">
      <c r="B513" s="14"/>
      <c r="C513" s="23"/>
      <c r="D513" s="21"/>
      <c r="E513" s="6"/>
      <c r="F513" s="16" t="str">
        <f>IFERROR(VLOOKUP($E513,設定!$C:$F,2,0),"")</f>
        <v/>
      </c>
      <c r="G513" s="156" t="str">
        <f>IFERROR(VLOOKUP($E513,設定!$C:$F,3,0),"")</f>
        <v/>
      </c>
      <c r="H513" s="131" t="str">
        <f>IFERROR(VLOOKUP($E513,設定!$C:$F,4,0),"")</f>
        <v/>
      </c>
      <c r="I513" s="402"/>
      <c r="J513" s="8"/>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9"/>
      <c r="AL513" s="9"/>
      <c r="AM513" s="9"/>
      <c r="AN513" s="10"/>
      <c r="AO513" s="65">
        <f t="shared" si="8"/>
        <v>0</v>
      </c>
    </row>
    <row r="514" spans="2:41" s="4" customFormat="1" ht="24" customHeight="1" x14ac:dyDescent="0.2">
      <c r="B514" s="14"/>
      <c r="C514" s="23"/>
      <c r="D514" s="21"/>
      <c r="E514" s="6"/>
      <c r="F514" s="16" t="str">
        <f>IFERROR(VLOOKUP($E514,設定!$C:$F,2,0),"")</f>
        <v/>
      </c>
      <c r="G514" s="156" t="str">
        <f>IFERROR(VLOOKUP($E514,設定!$C:$F,3,0),"")</f>
        <v/>
      </c>
      <c r="H514" s="131" t="str">
        <f>IFERROR(VLOOKUP($E514,設定!$C:$F,4,0),"")</f>
        <v/>
      </c>
      <c r="I514" s="402"/>
      <c r="J514" s="8"/>
      <c r="K514" s="9"/>
      <c r="L514" s="9"/>
      <c r="M514" s="9"/>
      <c r="N514" s="9"/>
      <c r="O514" s="9"/>
      <c r="P514" s="9"/>
      <c r="Q514" s="9"/>
      <c r="R514" s="9"/>
      <c r="S514" s="9"/>
      <c r="T514" s="9"/>
      <c r="U514" s="9"/>
      <c r="V514" s="9"/>
      <c r="W514" s="9"/>
      <c r="X514" s="9"/>
      <c r="Y514" s="9"/>
      <c r="Z514" s="9"/>
      <c r="AA514" s="9"/>
      <c r="AB514" s="9"/>
      <c r="AC514" s="9"/>
      <c r="AD514" s="9"/>
      <c r="AE514" s="9"/>
      <c r="AF514" s="9"/>
      <c r="AG514" s="9"/>
      <c r="AH514" s="9"/>
      <c r="AI514" s="9"/>
      <c r="AJ514" s="9"/>
      <c r="AK514" s="9"/>
      <c r="AL514" s="9"/>
      <c r="AM514" s="9"/>
      <c r="AN514" s="10"/>
      <c r="AO514" s="65">
        <f t="shared" si="8"/>
        <v>0</v>
      </c>
    </row>
    <row r="515" spans="2:41" s="4" customFormat="1" ht="24" customHeight="1" x14ac:dyDescent="0.2">
      <c r="B515" s="14"/>
      <c r="C515" s="23"/>
      <c r="D515" s="21"/>
      <c r="E515" s="6"/>
      <c r="F515" s="16" t="str">
        <f>IFERROR(VLOOKUP($E515,設定!$C:$F,2,0),"")</f>
        <v/>
      </c>
      <c r="G515" s="156" t="str">
        <f>IFERROR(VLOOKUP($E515,設定!$C:$F,3,0),"")</f>
        <v/>
      </c>
      <c r="H515" s="131" t="str">
        <f>IFERROR(VLOOKUP($E515,設定!$C:$F,4,0),"")</f>
        <v/>
      </c>
      <c r="I515" s="402"/>
      <c r="J515" s="8"/>
      <c r="K515" s="9"/>
      <c r="L515" s="9"/>
      <c r="M515" s="9"/>
      <c r="N515" s="9"/>
      <c r="O515" s="9"/>
      <c r="P515" s="9"/>
      <c r="Q515" s="9"/>
      <c r="R515" s="9"/>
      <c r="S515" s="9"/>
      <c r="T515" s="9"/>
      <c r="U515" s="9"/>
      <c r="V515" s="9"/>
      <c r="W515" s="9"/>
      <c r="X515" s="9"/>
      <c r="Y515" s="9"/>
      <c r="Z515" s="9"/>
      <c r="AA515" s="9"/>
      <c r="AB515" s="9"/>
      <c r="AC515" s="9"/>
      <c r="AD515" s="9"/>
      <c r="AE515" s="9"/>
      <c r="AF515" s="9"/>
      <c r="AG515" s="9"/>
      <c r="AH515" s="9"/>
      <c r="AI515" s="9"/>
      <c r="AJ515" s="9"/>
      <c r="AK515" s="9"/>
      <c r="AL515" s="9"/>
      <c r="AM515" s="9"/>
      <c r="AN515" s="10"/>
      <c r="AO515" s="65">
        <f t="shared" si="8"/>
        <v>0</v>
      </c>
    </row>
    <row r="516" spans="2:41" s="4" customFormat="1" ht="24" customHeight="1" x14ac:dyDescent="0.2">
      <c r="B516" s="14"/>
      <c r="C516" s="23"/>
      <c r="D516" s="21"/>
      <c r="E516" s="6"/>
      <c r="F516" s="16" t="str">
        <f>IFERROR(VLOOKUP($E516,設定!$C:$F,2,0),"")</f>
        <v/>
      </c>
      <c r="G516" s="156" t="str">
        <f>IFERROR(VLOOKUP($E516,設定!$C:$F,3,0),"")</f>
        <v/>
      </c>
      <c r="H516" s="131" t="str">
        <f>IFERROR(VLOOKUP($E516,設定!$C:$F,4,0),"")</f>
        <v/>
      </c>
      <c r="I516" s="402"/>
      <c r="J516" s="8"/>
      <c r="K516" s="9"/>
      <c r="L516" s="9"/>
      <c r="M516" s="9"/>
      <c r="N516" s="9"/>
      <c r="O516" s="9"/>
      <c r="P516" s="9"/>
      <c r="Q516" s="9"/>
      <c r="R516" s="9"/>
      <c r="S516" s="9"/>
      <c r="T516" s="9"/>
      <c r="U516" s="9"/>
      <c r="V516" s="9"/>
      <c r="W516" s="9"/>
      <c r="X516" s="9"/>
      <c r="Y516" s="9"/>
      <c r="Z516" s="9"/>
      <c r="AA516" s="9"/>
      <c r="AB516" s="9"/>
      <c r="AC516" s="9"/>
      <c r="AD516" s="9"/>
      <c r="AE516" s="9"/>
      <c r="AF516" s="9"/>
      <c r="AG516" s="9"/>
      <c r="AH516" s="9"/>
      <c r="AI516" s="9"/>
      <c r="AJ516" s="9"/>
      <c r="AK516" s="9"/>
      <c r="AL516" s="9"/>
      <c r="AM516" s="9"/>
      <c r="AN516" s="10"/>
      <c r="AO516" s="65">
        <f t="shared" si="8"/>
        <v>0</v>
      </c>
    </row>
    <row r="517" spans="2:41" s="4" customFormat="1" ht="24" customHeight="1" x14ac:dyDescent="0.2">
      <c r="B517" s="14"/>
      <c r="C517" s="23"/>
      <c r="D517" s="21"/>
      <c r="E517" s="6"/>
      <c r="F517" s="16" t="str">
        <f>IFERROR(VLOOKUP($E517,設定!$C:$F,2,0),"")</f>
        <v/>
      </c>
      <c r="G517" s="156" t="str">
        <f>IFERROR(VLOOKUP($E517,設定!$C:$F,3,0),"")</f>
        <v/>
      </c>
      <c r="H517" s="131" t="str">
        <f>IFERROR(VLOOKUP($E517,設定!$C:$F,4,0),"")</f>
        <v/>
      </c>
      <c r="I517" s="402"/>
      <c r="J517" s="8"/>
      <c r="K517" s="9"/>
      <c r="L517" s="9"/>
      <c r="M517" s="9"/>
      <c r="N517" s="9"/>
      <c r="O517" s="9"/>
      <c r="P517" s="9"/>
      <c r="Q517" s="9"/>
      <c r="R517" s="9"/>
      <c r="S517" s="9"/>
      <c r="T517" s="9"/>
      <c r="U517" s="9"/>
      <c r="V517" s="9"/>
      <c r="W517" s="9"/>
      <c r="X517" s="9"/>
      <c r="Y517" s="9"/>
      <c r="Z517" s="9"/>
      <c r="AA517" s="9"/>
      <c r="AB517" s="9"/>
      <c r="AC517" s="9"/>
      <c r="AD517" s="9"/>
      <c r="AE517" s="9"/>
      <c r="AF517" s="9"/>
      <c r="AG517" s="9"/>
      <c r="AH517" s="9"/>
      <c r="AI517" s="9"/>
      <c r="AJ517" s="9"/>
      <c r="AK517" s="9"/>
      <c r="AL517" s="9"/>
      <c r="AM517" s="9"/>
      <c r="AN517" s="10"/>
      <c r="AO517" s="65">
        <f t="shared" si="8"/>
        <v>0</v>
      </c>
    </row>
    <row r="518" spans="2:41" s="4" customFormat="1" ht="24" customHeight="1" x14ac:dyDescent="0.2">
      <c r="B518" s="14"/>
      <c r="C518" s="23"/>
      <c r="D518" s="21"/>
      <c r="E518" s="6"/>
      <c r="F518" s="16" t="str">
        <f>IFERROR(VLOOKUP($E518,設定!$C:$F,2,0),"")</f>
        <v/>
      </c>
      <c r="G518" s="156" t="str">
        <f>IFERROR(VLOOKUP($E518,設定!$C:$F,3,0),"")</f>
        <v/>
      </c>
      <c r="H518" s="131" t="str">
        <f>IFERROR(VLOOKUP($E518,設定!$C:$F,4,0),"")</f>
        <v/>
      </c>
      <c r="I518" s="402"/>
      <c r="J518" s="8"/>
      <c r="K518" s="9"/>
      <c r="L518" s="9"/>
      <c r="M518" s="9"/>
      <c r="N518" s="9"/>
      <c r="O518" s="9"/>
      <c r="P518" s="9"/>
      <c r="Q518" s="9"/>
      <c r="R518" s="9"/>
      <c r="S518" s="9"/>
      <c r="T518" s="9"/>
      <c r="U518" s="9"/>
      <c r="V518" s="9"/>
      <c r="W518" s="9"/>
      <c r="X518" s="9"/>
      <c r="Y518" s="9"/>
      <c r="Z518" s="9"/>
      <c r="AA518" s="9"/>
      <c r="AB518" s="9"/>
      <c r="AC518" s="9"/>
      <c r="AD518" s="9"/>
      <c r="AE518" s="9"/>
      <c r="AF518" s="9"/>
      <c r="AG518" s="9"/>
      <c r="AH518" s="9"/>
      <c r="AI518" s="9"/>
      <c r="AJ518" s="9"/>
      <c r="AK518" s="9"/>
      <c r="AL518" s="9"/>
      <c r="AM518" s="9"/>
      <c r="AN518" s="10"/>
      <c r="AO518" s="65">
        <f t="shared" si="8"/>
        <v>0</v>
      </c>
    </row>
    <row r="519" spans="2:41" s="4" customFormat="1" ht="24" customHeight="1" x14ac:dyDescent="0.2">
      <c r="B519" s="14"/>
      <c r="C519" s="23"/>
      <c r="D519" s="21"/>
      <c r="E519" s="6"/>
      <c r="F519" s="16" t="str">
        <f>IFERROR(VLOOKUP($E519,設定!$C:$F,2,0),"")</f>
        <v/>
      </c>
      <c r="G519" s="156" t="str">
        <f>IFERROR(VLOOKUP($E519,設定!$C:$F,3,0),"")</f>
        <v/>
      </c>
      <c r="H519" s="131" t="str">
        <f>IFERROR(VLOOKUP($E519,設定!$C:$F,4,0),"")</f>
        <v/>
      </c>
      <c r="I519" s="402"/>
      <c r="J519" s="8"/>
      <c r="K519" s="9"/>
      <c r="L519" s="9"/>
      <c r="M519" s="9"/>
      <c r="N519" s="9"/>
      <c r="O519" s="9"/>
      <c r="P519" s="9"/>
      <c r="Q519" s="9"/>
      <c r="R519" s="9"/>
      <c r="S519" s="9"/>
      <c r="T519" s="9"/>
      <c r="U519" s="9"/>
      <c r="V519" s="9"/>
      <c r="W519" s="9"/>
      <c r="X519" s="9"/>
      <c r="Y519" s="9"/>
      <c r="Z519" s="9"/>
      <c r="AA519" s="9"/>
      <c r="AB519" s="9"/>
      <c r="AC519" s="9"/>
      <c r="AD519" s="9"/>
      <c r="AE519" s="9"/>
      <c r="AF519" s="9"/>
      <c r="AG519" s="9"/>
      <c r="AH519" s="9"/>
      <c r="AI519" s="9"/>
      <c r="AJ519" s="9"/>
      <c r="AK519" s="9"/>
      <c r="AL519" s="9"/>
      <c r="AM519" s="9"/>
      <c r="AN519" s="10"/>
      <c r="AO519" s="65">
        <f t="shared" ref="AO519:AO537" si="9">I519*SUM(J519:AN519)</f>
        <v>0</v>
      </c>
    </row>
    <row r="520" spans="2:41" s="4" customFormat="1" ht="24" customHeight="1" x14ac:dyDescent="0.2">
      <c r="B520" s="14"/>
      <c r="C520" s="23"/>
      <c r="D520" s="21"/>
      <c r="E520" s="6"/>
      <c r="F520" s="16" t="str">
        <f>IFERROR(VLOOKUP($E520,設定!$C:$F,2,0),"")</f>
        <v/>
      </c>
      <c r="G520" s="156" t="str">
        <f>IFERROR(VLOOKUP($E520,設定!$C:$F,3,0),"")</f>
        <v/>
      </c>
      <c r="H520" s="131" t="str">
        <f>IFERROR(VLOOKUP($E520,設定!$C:$F,4,0),"")</f>
        <v/>
      </c>
      <c r="I520" s="402"/>
      <c r="J520" s="8"/>
      <c r="K520" s="9"/>
      <c r="L520" s="9"/>
      <c r="M520" s="9"/>
      <c r="N520" s="9"/>
      <c r="O520" s="9"/>
      <c r="P520" s="9"/>
      <c r="Q520" s="9"/>
      <c r="R520" s="9"/>
      <c r="S520" s="9"/>
      <c r="T520" s="9"/>
      <c r="U520" s="9"/>
      <c r="V520" s="9"/>
      <c r="W520" s="9"/>
      <c r="X520" s="9"/>
      <c r="Y520" s="9"/>
      <c r="Z520" s="9"/>
      <c r="AA520" s="9"/>
      <c r="AB520" s="9"/>
      <c r="AC520" s="9"/>
      <c r="AD520" s="9"/>
      <c r="AE520" s="9"/>
      <c r="AF520" s="9"/>
      <c r="AG520" s="9"/>
      <c r="AH520" s="9"/>
      <c r="AI520" s="9"/>
      <c r="AJ520" s="9"/>
      <c r="AK520" s="9"/>
      <c r="AL520" s="9"/>
      <c r="AM520" s="9"/>
      <c r="AN520" s="10"/>
      <c r="AO520" s="65">
        <f t="shared" si="9"/>
        <v>0</v>
      </c>
    </row>
    <row r="521" spans="2:41" s="4" customFormat="1" ht="24" customHeight="1" x14ac:dyDescent="0.2">
      <c r="B521" s="14"/>
      <c r="C521" s="23"/>
      <c r="D521" s="21"/>
      <c r="E521" s="6"/>
      <c r="F521" s="16" t="str">
        <f>IFERROR(VLOOKUP($E521,設定!$C:$F,2,0),"")</f>
        <v/>
      </c>
      <c r="G521" s="156" t="str">
        <f>IFERROR(VLOOKUP($E521,設定!$C:$F,3,0),"")</f>
        <v/>
      </c>
      <c r="H521" s="131" t="str">
        <f>IFERROR(VLOOKUP($E521,設定!$C:$F,4,0),"")</f>
        <v/>
      </c>
      <c r="I521" s="402"/>
      <c r="J521" s="8"/>
      <c r="K521" s="9"/>
      <c r="L521" s="9"/>
      <c r="M521" s="9"/>
      <c r="N521" s="9"/>
      <c r="O521" s="9"/>
      <c r="P521" s="9"/>
      <c r="Q521" s="9"/>
      <c r="R521" s="9"/>
      <c r="S521" s="9"/>
      <c r="T521" s="9"/>
      <c r="U521" s="9"/>
      <c r="V521" s="9"/>
      <c r="W521" s="9"/>
      <c r="X521" s="9"/>
      <c r="Y521" s="9"/>
      <c r="Z521" s="9"/>
      <c r="AA521" s="9"/>
      <c r="AB521" s="9"/>
      <c r="AC521" s="9"/>
      <c r="AD521" s="9"/>
      <c r="AE521" s="9"/>
      <c r="AF521" s="9"/>
      <c r="AG521" s="9"/>
      <c r="AH521" s="9"/>
      <c r="AI521" s="9"/>
      <c r="AJ521" s="9"/>
      <c r="AK521" s="9"/>
      <c r="AL521" s="9"/>
      <c r="AM521" s="9"/>
      <c r="AN521" s="10"/>
      <c r="AO521" s="65">
        <f t="shared" si="9"/>
        <v>0</v>
      </c>
    </row>
    <row r="522" spans="2:41" s="4" customFormat="1" ht="24" customHeight="1" x14ac:dyDescent="0.2">
      <c r="B522" s="14"/>
      <c r="C522" s="23"/>
      <c r="D522" s="21"/>
      <c r="E522" s="6"/>
      <c r="F522" s="16" t="str">
        <f>IFERROR(VLOOKUP($E522,設定!$C:$F,2,0),"")</f>
        <v/>
      </c>
      <c r="G522" s="156" t="str">
        <f>IFERROR(VLOOKUP($E522,設定!$C:$F,3,0),"")</f>
        <v/>
      </c>
      <c r="H522" s="131" t="str">
        <f>IFERROR(VLOOKUP($E522,設定!$C:$F,4,0),"")</f>
        <v/>
      </c>
      <c r="I522" s="402"/>
      <c r="J522" s="8"/>
      <c r="K522" s="9"/>
      <c r="L522" s="9"/>
      <c r="M522" s="9"/>
      <c r="N522" s="9"/>
      <c r="O522" s="9"/>
      <c r="P522" s="9"/>
      <c r="Q522" s="9"/>
      <c r="R522" s="9"/>
      <c r="S522" s="9"/>
      <c r="T522" s="9"/>
      <c r="U522" s="9"/>
      <c r="V522" s="9"/>
      <c r="W522" s="9"/>
      <c r="X522" s="9"/>
      <c r="Y522" s="9"/>
      <c r="Z522" s="9"/>
      <c r="AA522" s="9"/>
      <c r="AB522" s="9"/>
      <c r="AC522" s="9"/>
      <c r="AD522" s="9"/>
      <c r="AE522" s="9"/>
      <c r="AF522" s="9"/>
      <c r="AG522" s="9"/>
      <c r="AH522" s="9"/>
      <c r="AI522" s="9"/>
      <c r="AJ522" s="9"/>
      <c r="AK522" s="9"/>
      <c r="AL522" s="9"/>
      <c r="AM522" s="9"/>
      <c r="AN522" s="10"/>
      <c r="AO522" s="65">
        <f t="shared" si="9"/>
        <v>0</v>
      </c>
    </row>
    <row r="523" spans="2:41" s="4" customFormat="1" ht="24" customHeight="1" x14ac:dyDescent="0.2">
      <c r="B523" s="14"/>
      <c r="C523" s="23"/>
      <c r="D523" s="21"/>
      <c r="E523" s="6"/>
      <c r="F523" s="16" t="str">
        <f>IFERROR(VLOOKUP($E523,設定!$C:$F,2,0),"")</f>
        <v/>
      </c>
      <c r="G523" s="156" t="str">
        <f>IFERROR(VLOOKUP($E523,設定!$C:$F,3,0),"")</f>
        <v/>
      </c>
      <c r="H523" s="131" t="str">
        <f>IFERROR(VLOOKUP($E523,設定!$C:$F,4,0),"")</f>
        <v/>
      </c>
      <c r="I523" s="402"/>
      <c r="J523" s="8"/>
      <c r="K523" s="9"/>
      <c r="L523" s="9"/>
      <c r="M523" s="9"/>
      <c r="N523" s="9"/>
      <c r="O523" s="9"/>
      <c r="P523" s="9"/>
      <c r="Q523" s="9"/>
      <c r="R523" s="9"/>
      <c r="S523" s="9"/>
      <c r="T523" s="9"/>
      <c r="U523" s="9"/>
      <c r="V523" s="9"/>
      <c r="W523" s="9"/>
      <c r="X523" s="9"/>
      <c r="Y523" s="9"/>
      <c r="Z523" s="9"/>
      <c r="AA523" s="9"/>
      <c r="AB523" s="9"/>
      <c r="AC523" s="9"/>
      <c r="AD523" s="9"/>
      <c r="AE523" s="9"/>
      <c r="AF523" s="9"/>
      <c r="AG523" s="9"/>
      <c r="AH523" s="9"/>
      <c r="AI523" s="9"/>
      <c r="AJ523" s="9"/>
      <c r="AK523" s="9"/>
      <c r="AL523" s="9"/>
      <c r="AM523" s="9"/>
      <c r="AN523" s="10"/>
      <c r="AO523" s="65">
        <f t="shared" si="9"/>
        <v>0</v>
      </c>
    </row>
    <row r="524" spans="2:41" s="4" customFormat="1" ht="24" customHeight="1" x14ac:dyDescent="0.2">
      <c r="B524" s="14"/>
      <c r="C524" s="23"/>
      <c r="D524" s="21"/>
      <c r="E524" s="6"/>
      <c r="F524" s="16" t="str">
        <f>IFERROR(VLOOKUP($E524,設定!$C:$F,2,0),"")</f>
        <v/>
      </c>
      <c r="G524" s="156" t="str">
        <f>IFERROR(VLOOKUP($E524,設定!$C:$F,3,0),"")</f>
        <v/>
      </c>
      <c r="H524" s="131" t="str">
        <f>IFERROR(VLOOKUP($E524,設定!$C:$F,4,0),"")</f>
        <v/>
      </c>
      <c r="I524" s="402"/>
      <c r="J524" s="8"/>
      <c r="K524" s="9"/>
      <c r="L524" s="9"/>
      <c r="M524" s="9"/>
      <c r="N524" s="9"/>
      <c r="O524" s="9"/>
      <c r="P524" s="9"/>
      <c r="Q524" s="9"/>
      <c r="R524" s="9"/>
      <c r="S524" s="9"/>
      <c r="T524" s="9"/>
      <c r="U524" s="9"/>
      <c r="V524" s="9"/>
      <c r="W524" s="9"/>
      <c r="X524" s="9"/>
      <c r="Y524" s="9"/>
      <c r="Z524" s="9"/>
      <c r="AA524" s="9"/>
      <c r="AB524" s="9"/>
      <c r="AC524" s="9"/>
      <c r="AD524" s="9"/>
      <c r="AE524" s="9"/>
      <c r="AF524" s="9"/>
      <c r="AG524" s="9"/>
      <c r="AH524" s="9"/>
      <c r="AI524" s="9"/>
      <c r="AJ524" s="9"/>
      <c r="AK524" s="9"/>
      <c r="AL524" s="9"/>
      <c r="AM524" s="9"/>
      <c r="AN524" s="10"/>
      <c r="AO524" s="65">
        <f t="shared" si="9"/>
        <v>0</v>
      </c>
    </row>
    <row r="525" spans="2:41" s="4" customFormat="1" ht="24" customHeight="1" x14ac:dyDescent="0.2">
      <c r="B525" s="14"/>
      <c r="C525" s="23"/>
      <c r="D525" s="21"/>
      <c r="E525" s="6"/>
      <c r="F525" s="16" t="str">
        <f>IFERROR(VLOOKUP($E525,設定!$C:$F,2,0),"")</f>
        <v/>
      </c>
      <c r="G525" s="156" t="str">
        <f>IFERROR(VLOOKUP($E525,設定!$C:$F,3,0),"")</f>
        <v/>
      </c>
      <c r="H525" s="131" t="str">
        <f>IFERROR(VLOOKUP($E525,設定!$C:$F,4,0),"")</f>
        <v/>
      </c>
      <c r="I525" s="402"/>
      <c r="J525" s="8"/>
      <c r="K525" s="9"/>
      <c r="L525" s="9"/>
      <c r="M525" s="9"/>
      <c r="N525" s="9"/>
      <c r="O525" s="9"/>
      <c r="P525" s="9"/>
      <c r="Q525" s="9"/>
      <c r="R525" s="9"/>
      <c r="S525" s="9"/>
      <c r="T525" s="9"/>
      <c r="U525" s="9"/>
      <c r="V525" s="9"/>
      <c r="W525" s="9"/>
      <c r="X525" s="9"/>
      <c r="Y525" s="9"/>
      <c r="Z525" s="9"/>
      <c r="AA525" s="9"/>
      <c r="AB525" s="9"/>
      <c r="AC525" s="9"/>
      <c r="AD525" s="9"/>
      <c r="AE525" s="9"/>
      <c r="AF525" s="9"/>
      <c r="AG525" s="9"/>
      <c r="AH525" s="9"/>
      <c r="AI525" s="9"/>
      <c r="AJ525" s="9"/>
      <c r="AK525" s="9"/>
      <c r="AL525" s="9"/>
      <c r="AM525" s="9"/>
      <c r="AN525" s="10"/>
      <c r="AO525" s="65">
        <f t="shared" si="9"/>
        <v>0</v>
      </c>
    </row>
    <row r="526" spans="2:41" s="4" customFormat="1" ht="24" customHeight="1" x14ac:dyDescent="0.2">
      <c r="B526" s="14"/>
      <c r="C526" s="23"/>
      <c r="D526" s="21"/>
      <c r="E526" s="6"/>
      <c r="F526" s="16" t="str">
        <f>IFERROR(VLOOKUP($E526,設定!$C:$F,2,0),"")</f>
        <v/>
      </c>
      <c r="G526" s="156" t="str">
        <f>IFERROR(VLOOKUP($E526,設定!$C:$F,3,0),"")</f>
        <v/>
      </c>
      <c r="H526" s="131" t="str">
        <f>IFERROR(VLOOKUP($E526,設定!$C:$F,4,0),"")</f>
        <v/>
      </c>
      <c r="I526" s="402"/>
      <c r="J526" s="8"/>
      <c r="K526" s="9"/>
      <c r="L526" s="9"/>
      <c r="M526" s="9"/>
      <c r="N526" s="9"/>
      <c r="O526" s="9"/>
      <c r="P526" s="9"/>
      <c r="Q526" s="9"/>
      <c r="R526" s="9"/>
      <c r="S526" s="9"/>
      <c r="T526" s="9"/>
      <c r="U526" s="9"/>
      <c r="V526" s="9"/>
      <c r="W526" s="9"/>
      <c r="X526" s="9"/>
      <c r="Y526" s="9"/>
      <c r="Z526" s="9"/>
      <c r="AA526" s="9"/>
      <c r="AB526" s="9"/>
      <c r="AC526" s="9"/>
      <c r="AD526" s="9"/>
      <c r="AE526" s="9"/>
      <c r="AF526" s="9"/>
      <c r="AG526" s="9"/>
      <c r="AH526" s="9"/>
      <c r="AI526" s="9"/>
      <c r="AJ526" s="9"/>
      <c r="AK526" s="9"/>
      <c r="AL526" s="9"/>
      <c r="AM526" s="9"/>
      <c r="AN526" s="10"/>
      <c r="AO526" s="65">
        <f t="shared" si="9"/>
        <v>0</v>
      </c>
    </row>
    <row r="527" spans="2:41" s="4" customFormat="1" ht="24" customHeight="1" x14ac:dyDescent="0.2">
      <c r="B527" s="14"/>
      <c r="C527" s="23"/>
      <c r="D527" s="21"/>
      <c r="E527" s="6"/>
      <c r="F527" s="16" t="str">
        <f>IFERROR(VLOOKUP($E527,設定!$C:$F,2,0),"")</f>
        <v/>
      </c>
      <c r="G527" s="156" t="str">
        <f>IFERROR(VLOOKUP($E527,設定!$C:$F,3,0),"")</f>
        <v/>
      </c>
      <c r="H527" s="131" t="str">
        <f>IFERROR(VLOOKUP($E527,設定!$C:$F,4,0),"")</f>
        <v/>
      </c>
      <c r="I527" s="402"/>
      <c r="J527" s="8"/>
      <c r="K527" s="9"/>
      <c r="L527" s="9"/>
      <c r="M527" s="9"/>
      <c r="N527" s="9"/>
      <c r="O527" s="9"/>
      <c r="P527" s="9"/>
      <c r="Q527" s="9"/>
      <c r="R527" s="9"/>
      <c r="S527" s="9"/>
      <c r="T527" s="9"/>
      <c r="U527" s="9"/>
      <c r="V527" s="9"/>
      <c r="W527" s="9"/>
      <c r="X527" s="9"/>
      <c r="Y527" s="9"/>
      <c r="Z527" s="9"/>
      <c r="AA527" s="9"/>
      <c r="AB527" s="9"/>
      <c r="AC527" s="9"/>
      <c r="AD527" s="9"/>
      <c r="AE527" s="9"/>
      <c r="AF527" s="9"/>
      <c r="AG527" s="9"/>
      <c r="AH527" s="9"/>
      <c r="AI527" s="9"/>
      <c r="AJ527" s="9"/>
      <c r="AK527" s="9"/>
      <c r="AL527" s="9"/>
      <c r="AM527" s="9"/>
      <c r="AN527" s="10"/>
      <c r="AO527" s="65">
        <f t="shared" si="9"/>
        <v>0</v>
      </c>
    </row>
    <row r="528" spans="2:41" s="4" customFormat="1" ht="24" customHeight="1" x14ac:dyDescent="0.2">
      <c r="B528" s="14"/>
      <c r="C528" s="23"/>
      <c r="D528" s="21"/>
      <c r="E528" s="6"/>
      <c r="F528" s="16" t="str">
        <f>IFERROR(VLOOKUP($E528,設定!$C:$F,2,0),"")</f>
        <v/>
      </c>
      <c r="G528" s="156" t="str">
        <f>IFERROR(VLOOKUP($E528,設定!$C:$F,3,0),"")</f>
        <v/>
      </c>
      <c r="H528" s="131" t="str">
        <f>IFERROR(VLOOKUP($E528,設定!$C:$F,4,0),"")</f>
        <v/>
      </c>
      <c r="I528" s="402"/>
      <c r="J528" s="8"/>
      <c r="K528" s="9"/>
      <c r="L528" s="9"/>
      <c r="M528" s="9"/>
      <c r="N528" s="9"/>
      <c r="O528" s="9"/>
      <c r="P528" s="9"/>
      <c r="Q528" s="9"/>
      <c r="R528" s="9"/>
      <c r="S528" s="9"/>
      <c r="T528" s="9"/>
      <c r="U528" s="9"/>
      <c r="V528" s="9"/>
      <c r="W528" s="9"/>
      <c r="X528" s="9"/>
      <c r="Y528" s="9"/>
      <c r="Z528" s="9"/>
      <c r="AA528" s="9"/>
      <c r="AB528" s="9"/>
      <c r="AC528" s="9"/>
      <c r="AD528" s="9"/>
      <c r="AE528" s="9"/>
      <c r="AF528" s="9"/>
      <c r="AG528" s="9"/>
      <c r="AH528" s="9"/>
      <c r="AI528" s="9"/>
      <c r="AJ528" s="9"/>
      <c r="AK528" s="9"/>
      <c r="AL528" s="9"/>
      <c r="AM528" s="9"/>
      <c r="AN528" s="10"/>
      <c r="AO528" s="65">
        <f t="shared" si="9"/>
        <v>0</v>
      </c>
    </row>
    <row r="529" spans="2:41" s="4" customFormat="1" ht="24" customHeight="1" x14ac:dyDescent="0.2">
      <c r="B529" s="14"/>
      <c r="C529" s="23"/>
      <c r="D529" s="21"/>
      <c r="E529" s="6"/>
      <c r="F529" s="16" t="str">
        <f>IFERROR(VLOOKUP($E529,設定!$C:$F,2,0),"")</f>
        <v/>
      </c>
      <c r="G529" s="156" t="str">
        <f>IFERROR(VLOOKUP($E529,設定!$C:$F,3,0),"")</f>
        <v/>
      </c>
      <c r="H529" s="131" t="str">
        <f>IFERROR(VLOOKUP($E529,設定!$C:$F,4,0),"")</f>
        <v/>
      </c>
      <c r="I529" s="402"/>
      <c r="J529" s="8"/>
      <c r="K529" s="9"/>
      <c r="L529" s="9"/>
      <c r="M529" s="9"/>
      <c r="N529" s="9"/>
      <c r="O529" s="9"/>
      <c r="P529" s="9"/>
      <c r="Q529" s="9"/>
      <c r="R529" s="9"/>
      <c r="S529" s="9"/>
      <c r="T529" s="9"/>
      <c r="U529" s="9"/>
      <c r="V529" s="9"/>
      <c r="W529" s="9"/>
      <c r="X529" s="9"/>
      <c r="Y529" s="9"/>
      <c r="Z529" s="9"/>
      <c r="AA529" s="9"/>
      <c r="AB529" s="9"/>
      <c r="AC529" s="9"/>
      <c r="AD529" s="9"/>
      <c r="AE529" s="9"/>
      <c r="AF529" s="9"/>
      <c r="AG529" s="9"/>
      <c r="AH529" s="9"/>
      <c r="AI529" s="9"/>
      <c r="AJ529" s="9"/>
      <c r="AK529" s="9"/>
      <c r="AL529" s="9"/>
      <c r="AM529" s="9"/>
      <c r="AN529" s="10"/>
      <c r="AO529" s="65">
        <f t="shared" si="9"/>
        <v>0</v>
      </c>
    </row>
    <row r="530" spans="2:41" s="4" customFormat="1" ht="24" customHeight="1" x14ac:dyDescent="0.2">
      <c r="B530" s="14"/>
      <c r="C530" s="23"/>
      <c r="D530" s="21"/>
      <c r="E530" s="6"/>
      <c r="F530" s="16" t="str">
        <f>IFERROR(VLOOKUP($E530,設定!$C:$F,2,0),"")</f>
        <v/>
      </c>
      <c r="G530" s="156" t="str">
        <f>IFERROR(VLOOKUP($E530,設定!$C:$F,3,0),"")</f>
        <v/>
      </c>
      <c r="H530" s="131" t="str">
        <f>IFERROR(VLOOKUP($E530,設定!$C:$F,4,0),"")</f>
        <v/>
      </c>
      <c r="I530" s="402"/>
      <c r="J530" s="8"/>
      <c r="K530" s="9"/>
      <c r="L530" s="9"/>
      <c r="M530" s="9"/>
      <c r="N530" s="9"/>
      <c r="O530" s="9"/>
      <c r="P530" s="9"/>
      <c r="Q530" s="9"/>
      <c r="R530" s="9"/>
      <c r="S530" s="9"/>
      <c r="T530" s="9"/>
      <c r="U530" s="9"/>
      <c r="V530" s="9"/>
      <c r="W530" s="9"/>
      <c r="X530" s="9"/>
      <c r="Y530" s="9"/>
      <c r="Z530" s="9"/>
      <c r="AA530" s="9"/>
      <c r="AB530" s="9"/>
      <c r="AC530" s="9"/>
      <c r="AD530" s="9"/>
      <c r="AE530" s="9"/>
      <c r="AF530" s="9"/>
      <c r="AG530" s="9"/>
      <c r="AH530" s="9"/>
      <c r="AI530" s="9"/>
      <c r="AJ530" s="9"/>
      <c r="AK530" s="9"/>
      <c r="AL530" s="9"/>
      <c r="AM530" s="9"/>
      <c r="AN530" s="10"/>
      <c r="AO530" s="65">
        <f t="shared" si="9"/>
        <v>0</v>
      </c>
    </row>
    <row r="531" spans="2:41" s="4" customFormat="1" ht="24" customHeight="1" x14ac:dyDescent="0.2">
      <c r="B531" s="14"/>
      <c r="C531" s="23"/>
      <c r="D531" s="21"/>
      <c r="E531" s="6"/>
      <c r="F531" s="16" t="str">
        <f>IFERROR(VLOOKUP($E531,設定!$C:$F,2,0),"")</f>
        <v/>
      </c>
      <c r="G531" s="156" t="str">
        <f>IFERROR(VLOOKUP($E531,設定!$C:$F,3,0),"")</f>
        <v/>
      </c>
      <c r="H531" s="131" t="str">
        <f>IFERROR(VLOOKUP($E531,設定!$C:$F,4,0),"")</f>
        <v/>
      </c>
      <c r="I531" s="402"/>
      <c r="J531" s="8"/>
      <c r="K531" s="9"/>
      <c r="L531" s="9"/>
      <c r="M531" s="9"/>
      <c r="N531" s="9"/>
      <c r="O531" s="9"/>
      <c r="P531" s="9"/>
      <c r="Q531" s="9"/>
      <c r="R531" s="9"/>
      <c r="S531" s="9"/>
      <c r="T531" s="9"/>
      <c r="U531" s="9"/>
      <c r="V531" s="9"/>
      <c r="W531" s="9"/>
      <c r="X531" s="9"/>
      <c r="Y531" s="9"/>
      <c r="Z531" s="9"/>
      <c r="AA531" s="9"/>
      <c r="AB531" s="9"/>
      <c r="AC531" s="9"/>
      <c r="AD531" s="9"/>
      <c r="AE531" s="9"/>
      <c r="AF531" s="9"/>
      <c r="AG531" s="9"/>
      <c r="AH531" s="9"/>
      <c r="AI531" s="9"/>
      <c r="AJ531" s="9"/>
      <c r="AK531" s="9"/>
      <c r="AL531" s="9"/>
      <c r="AM531" s="9"/>
      <c r="AN531" s="10"/>
      <c r="AO531" s="65">
        <f t="shared" si="9"/>
        <v>0</v>
      </c>
    </row>
    <row r="532" spans="2:41" s="4" customFormat="1" ht="24" customHeight="1" x14ac:dyDescent="0.2">
      <c r="B532" s="14"/>
      <c r="C532" s="23"/>
      <c r="D532" s="21"/>
      <c r="E532" s="6"/>
      <c r="F532" s="16" t="str">
        <f>IFERROR(VLOOKUP($E532,設定!$C:$F,2,0),"")</f>
        <v/>
      </c>
      <c r="G532" s="156" t="str">
        <f>IFERROR(VLOOKUP($E532,設定!$C:$F,3,0),"")</f>
        <v/>
      </c>
      <c r="H532" s="131" t="str">
        <f>IFERROR(VLOOKUP($E532,設定!$C:$F,4,0),"")</f>
        <v/>
      </c>
      <c r="I532" s="402"/>
      <c r="J532" s="8"/>
      <c r="K532" s="9"/>
      <c r="L532" s="9"/>
      <c r="M532" s="9"/>
      <c r="N532" s="9"/>
      <c r="O532" s="9"/>
      <c r="P532" s="9"/>
      <c r="Q532" s="9"/>
      <c r="R532" s="9"/>
      <c r="S532" s="9"/>
      <c r="T532" s="9"/>
      <c r="U532" s="9"/>
      <c r="V532" s="9"/>
      <c r="W532" s="9"/>
      <c r="X532" s="9"/>
      <c r="Y532" s="9"/>
      <c r="Z532" s="9"/>
      <c r="AA532" s="9"/>
      <c r="AB532" s="9"/>
      <c r="AC532" s="9"/>
      <c r="AD532" s="9"/>
      <c r="AE532" s="9"/>
      <c r="AF532" s="9"/>
      <c r="AG532" s="9"/>
      <c r="AH532" s="9"/>
      <c r="AI532" s="9"/>
      <c r="AJ532" s="9"/>
      <c r="AK532" s="9"/>
      <c r="AL532" s="9"/>
      <c r="AM532" s="9"/>
      <c r="AN532" s="10"/>
      <c r="AO532" s="65">
        <f t="shared" si="9"/>
        <v>0</v>
      </c>
    </row>
    <row r="533" spans="2:41" s="4" customFormat="1" ht="24" customHeight="1" x14ac:dyDescent="0.2">
      <c r="B533" s="14"/>
      <c r="C533" s="23"/>
      <c r="D533" s="21"/>
      <c r="E533" s="6"/>
      <c r="F533" s="16" t="str">
        <f>IFERROR(VLOOKUP($E533,設定!$C:$F,2,0),"")</f>
        <v/>
      </c>
      <c r="G533" s="156" t="str">
        <f>IFERROR(VLOOKUP($E533,設定!$C:$F,3,0),"")</f>
        <v/>
      </c>
      <c r="H533" s="131" t="str">
        <f>IFERROR(VLOOKUP($E533,設定!$C:$F,4,0),"")</f>
        <v/>
      </c>
      <c r="I533" s="402"/>
      <c r="J533" s="8"/>
      <c r="K533" s="9"/>
      <c r="L533" s="9"/>
      <c r="M533" s="9"/>
      <c r="N533" s="9"/>
      <c r="O533" s="9"/>
      <c r="P533" s="9"/>
      <c r="Q533" s="9"/>
      <c r="R533" s="9"/>
      <c r="S533" s="9"/>
      <c r="T533" s="9"/>
      <c r="U533" s="9"/>
      <c r="V533" s="9"/>
      <c r="W533" s="9"/>
      <c r="X533" s="9"/>
      <c r="Y533" s="9"/>
      <c r="Z533" s="9"/>
      <c r="AA533" s="9"/>
      <c r="AB533" s="9"/>
      <c r="AC533" s="9"/>
      <c r="AD533" s="9"/>
      <c r="AE533" s="9"/>
      <c r="AF533" s="9"/>
      <c r="AG533" s="9"/>
      <c r="AH533" s="9"/>
      <c r="AI533" s="9"/>
      <c r="AJ533" s="9"/>
      <c r="AK533" s="9"/>
      <c r="AL533" s="9"/>
      <c r="AM533" s="9"/>
      <c r="AN533" s="10"/>
      <c r="AO533" s="65">
        <f t="shared" si="9"/>
        <v>0</v>
      </c>
    </row>
    <row r="534" spans="2:41" s="4" customFormat="1" ht="24" customHeight="1" x14ac:dyDescent="0.2">
      <c r="B534" s="14"/>
      <c r="C534" s="23"/>
      <c r="D534" s="21"/>
      <c r="E534" s="6"/>
      <c r="F534" s="16" t="str">
        <f>IFERROR(VLOOKUP($E534,設定!$C:$F,2,0),"")</f>
        <v/>
      </c>
      <c r="G534" s="156" t="str">
        <f>IFERROR(VLOOKUP($E534,設定!$C:$F,3,0),"")</f>
        <v/>
      </c>
      <c r="H534" s="131" t="str">
        <f>IFERROR(VLOOKUP($E534,設定!$C:$F,4,0),"")</f>
        <v/>
      </c>
      <c r="I534" s="402"/>
      <c r="J534" s="8"/>
      <c r="K534" s="9"/>
      <c r="L534" s="9"/>
      <c r="M534" s="9"/>
      <c r="N534" s="9"/>
      <c r="O534" s="9"/>
      <c r="P534" s="9"/>
      <c r="Q534" s="9"/>
      <c r="R534" s="9"/>
      <c r="S534" s="9"/>
      <c r="T534" s="9"/>
      <c r="U534" s="9"/>
      <c r="V534" s="9"/>
      <c r="W534" s="9"/>
      <c r="X534" s="9"/>
      <c r="Y534" s="9"/>
      <c r="Z534" s="9"/>
      <c r="AA534" s="9"/>
      <c r="AB534" s="9"/>
      <c r="AC534" s="9"/>
      <c r="AD534" s="9"/>
      <c r="AE534" s="9"/>
      <c r="AF534" s="9"/>
      <c r="AG534" s="9"/>
      <c r="AH534" s="9"/>
      <c r="AI534" s="9"/>
      <c r="AJ534" s="9"/>
      <c r="AK534" s="9"/>
      <c r="AL534" s="9"/>
      <c r="AM534" s="9"/>
      <c r="AN534" s="10"/>
      <c r="AO534" s="65">
        <f t="shared" si="9"/>
        <v>0</v>
      </c>
    </row>
    <row r="535" spans="2:41" s="4" customFormat="1" ht="24" customHeight="1" x14ac:dyDescent="0.2">
      <c r="B535" s="14"/>
      <c r="C535" s="23"/>
      <c r="D535" s="21"/>
      <c r="E535" s="6"/>
      <c r="F535" s="16" t="str">
        <f>IFERROR(VLOOKUP($E535,設定!$C:$F,2,0),"")</f>
        <v/>
      </c>
      <c r="G535" s="156" t="str">
        <f>IFERROR(VLOOKUP($E535,設定!$C:$F,3,0),"")</f>
        <v/>
      </c>
      <c r="H535" s="131" t="str">
        <f>IFERROR(VLOOKUP($E535,設定!$C:$F,4,0),"")</f>
        <v/>
      </c>
      <c r="I535" s="402"/>
      <c r="J535" s="8"/>
      <c r="K535" s="9"/>
      <c r="L535" s="9"/>
      <c r="M535" s="9"/>
      <c r="N535" s="9"/>
      <c r="O535" s="9"/>
      <c r="P535" s="9"/>
      <c r="Q535" s="9"/>
      <c r="R535" s="9"/>
      <c r="S535" s="9"/>
      <c r="T535" s="9"/>
      <c r="U535" s="9"/>
      <c r="V535" s="9"/>
      <c r="W535" s="9"/>
      <c r="X535" s="9"/>
      <c r="Y535" s="9"/>
      <c r="Z535" s="9"/>
      <c r="AA535" s="9"/>
      <c r="AB535" s="9"/>
      <c r="AC535" s="9"/>
      <c r="AD535" s="9"/>
      <c r="AE535" s="9"/>
      <c r="AF535" s="9"/>
      <c r="AG535" s="9"/>
      <c r="AH535" s="9"/>
      <c r="AI535" s="9"/>
      <c r="AJ535" s="9"/>
      <c r="AK535" s="9"/>
      <c r="AL535" s="9"/>
      <c r="AM535" s="9"/>
      <c r="AN535" s="10"/>
      <c r="AO535" s="65">
        <f t="shared" si="9"/>
        <v>0</v>
      </c>
    </row>
    <row r="536" spans="2:41" s="4" customFormat="1" ht="24" customHeight="1" x14ac:dyDescent="0.2">
      <c r="B536" s="14"/>
      <c r="C536" s="23"/>
      <c r="D536" s="21"/>
      <c r="E536" s="6"/>
      <c r="F536" s="16" t="str">
        <f>IFERROR(VLOOKUP($E536,設定!$C:$F,2,0),"")</f>
        <v/>
      </c>
      <c r="G536" s="156" t="str">
        <f>IFERROR(VLOOKUP($E536,設定!$C:$F,3,0),"")</f>
        <v/>
      </c>
      <c r="H536" s="131" t="str">
        <f>IFERROR(VLOOKUP($E536,設定!$C:$F,4,0),"")</f>
        <v/>
      </c>
      <c r="I536" s="402"/>
      <c r="J536" s="8"/>
      <c r="K536" s="9"/>
      <c r="L536" s="9"/>
      <c r="M536" s="9"/>
      <c r="N536" s="9"/>
      <c r="O536" s="9"/>
      <c r="P536" s="9"/>
      <c r="Q536" s="9"/>
      <c r="R536" s="9"/>
      <c r="S536" s="9"/>
      <c r="T536" s="9"/>
      <c r="U536" s="9"/>
      <c r="V536" s="9"/>
      <c r="W536" s="9"/>
      <c r="X536" s="9"/>
      <c r="Y536" s="9"/>
      <c r="Z536" s="9"/>
      <c r="AA536" s="9"/>
      <c r="AB536" s="9"/>
      <c r="AC536" s="9"/>
      <c r="AD536" s="9"/>
      <c r="AE536" s="9"/>
      <c r="AF536" s="9"/>
      <c r="AG536" s="9"/>
      <c r="AH536" s="9"/>
      <c r="AI536" s="9"/>
      <c r="AJ536" s="9"/>
      <c r="AK536" s="9"/>
      <c r="AL536" s="9"/>
      <c r="AM536" s="9"/>
      <c r="AN536" s="10"/>
      <c r="AO536" s="65">
        <f t="shared" si="9"/>
        <v>0</v>
      </c>
    </row>
    <row r="537" spans="2:41" s="4" customFormat="1" ht="24" customHeight="1" thickBot="1" x14ac:dyDescent="0.25">
      <c r="B537" s="15"/>
      <c r="C537" s="24"/>
      <c r="D537" s="22"/>
      <c r="E537" s="7"/>
      <c r="F537" s="17" t="str">
        <f>IFERROR(VLOOKUP($E537,設定!$C:$F,2,0),"")</f>
        <v/>
      </c>
      <c r="G537" s="157" t="str">
        <f>IFERROR(VLOOKUP($E537,設定!$C:$F,3,0),"")</f>
        <v/>
      </c>
      <c r="H537" s="133" t="str">
        <f>IFERROR(VLOOKUP($E537,設定!$C:$F,4,0),"")</f>
        <v/>
      </c>
      <c r="I537" s="403"/>
      <c r="J537" s="11"/>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c r="AM537" s="12"/>
      <c r="AN537" s="13"/>
      <c r="AO537" s="66">
        <f t="shared" si="9"/>
        <v>0</v>
      </c>
    </row>
  </sheetData>
  <mergeCells count="13">
    <mergeCell ref="I5:I6"/>
    <mergeCell ref="J5:AN5"/>
    <mergeCell ref="AO5:AO6"/>
    <mergeCell ref="B1:AO1"/>
    <mergeCell ref="B2:D2"/>
    <mergeCell ref="B3:D3"/>
    <mergeCell ref="B5:B6"/>
    <mergeCell ref="C5:C6"/>
    <mergeCell ref="D5:D6"/>
    <mergeCell ref="E5:E6"/>
    <mergeCell ref="F5:F6"/>
    <mergeCell ref="G5:G6"/>
    <mergeCell ref="H5:H6"/>
  </mergeCells>
  <phoneticPr fontId="2"/>
  <pageMargins left="0.59055118110236227" right="0.59055118110236227" top="0.59055118110236227" bottom="0.59055118110236227" header="0" footer="0.27559055118110237"/>
  <pageSetup paperSize="9" scale="94" fitToHeight="0" orientation="landscape"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1004E67-2C62-4443-B0B2-62B396863183}">
          <x14:formula1>
            <xm:f>INDIRECT('リスト '!$H$1)</xm:f>
          </x14:formula1>
          <xm:sqref>D7:D537</xm:sqref>
        </x14:dataValidation>
        <x14:dataValidation type="list" allowBlank="1" showInputMessage="1" showErrorMessage="1" xr:uid="{46E5DD90-2622-4F59-BCAB-852696B4F785}">
          <x14:formula1>
            <xm:f>設定!$C$9:$C$108</xm:f>
          </x14:formula1>
          <xm:sqref>E7:E534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CD7F4-9819-4B3E-AB21-3256122C9F74}">
  <sheetPr transitionEvaluation="1" codeName="Sheet4">
    <pageSetUpPr autoPageBreaks="0" fitToPage="1"/>
  </sheetPr>
  <dimension ref="A1:BF113"/>
  <sheetViews>
    <sheetView showGridLines="0" zoomScale="71" zoomScaleNormal="71" zoomScaleSheetLayoutView="70" workbookViewId="0"/>
  </sheetViews>
  <sheetFormatPr defaultColWidth="2.77734375" defaultRowHeight="14.25" customHeight="1" x14ac:dyDescent="0.2"/>
  <cols>
    <col min="1" max="1" width="3.44140625" style="135" bestFit="1" customWidth="1"/>
    <col min="2" max="2" width="2.77734375" style="25" customWidth="1"/>
    <col min="3" max="3" width="19.21875" style="25" customWidth="1"/>
    <col min="4" max="4" width="19" style="25" customWidth="1"/>
    <col min="5" max="14" width="11.21875" style="25" customWidth="1"/>
    <col min="15" max="18" width="2.77734375" style="25"/>
    <col min="19" max="19" width="17.6640625" style="25" customWidth="1"/>
    <col min="20" max="20" width="19.33203125" style="25" customWidth="1"/>
    <col min="21" max="22" width="17.44140625" style="25" customWidth="1"/>
    <col min="23" max="26" width="12.44140625" style="25" customWidth="1"/>
    <col min="27" max="28" width="2.77734375" style="25" customWidth="1"/>
    <col min="29" max="30" width="2.77734375" style="94" customWidth="1"/>
    <col min="31" max="45" width="13.6640625" style="94" customWidth="1"/>
    <col min="46" max="49" width="2.77734375" style="25" customWidth="1"/>
    <col min="50" max="54" width="13.6640625" style="25" customWidth="1"/>
    <col min="55" max="58" width="13.6640625" style="94" customWidth="1"/>
    <col min="59" max="16384" width="2.77734375" style="25"/>
  </cols>
  <sheetData>
    <row r="1" spans="1:58" ht="18" customHeight="1" x14ac:dyDescent="0.2">
      <c r="C1" s="163"/>
      <c r="D1" s="68"/>
      <c r="E1" s="68"/>
      <c r="F1" s="68"/>
      <c r="G1" s="68"/>
      <c r="H1" s="68"/>
      <c r="I1" s="68"/>
      <c r="J1" s="68"/>
      <c r="K1" s="68"/>
      <c r="L1" s="68"/>
      <c r="M1" s="68"/>
      <c r="N1" s="68"/>
      <c r="O1" s="68"/>
      <c r="P1" s="19"/>
      <c r="Q1" s="19"/>
      <c r="R1" s="69"/>
    </row>
    <row r="2" spans="1:58" ht="30" customHeight="1" x14ac:dyDescent="0.25">
      <c r="B2" s="376" t="s">
        <v>153</v>
      </c>
      <c r="C2" s="160"/>
      <c r="D2" s="68"/>
      <c r="E2" s="68"/>
      <c r="F2" s="68"/>
      <c r="G2" s="68"/>
      <c r="H2" s="68"/>
      <c r="I2" s="68"/>
      <c r="J2" s="68"/>
      <c r="K2" s="68"/>
      <c r="L2" s="68"/>
      <c r="M2" s="68"/>
      <c r="N2" s="68"/>
      <c r="O2" s="68"/>
      <c r="P2" s="19"/>
      <c r="Q2" s="19"/>
      <c r="S2" s="70"/>
    </row>
    <row r="3" spans="1:58" ht="12.75" customHeight="1" thickBot="1" x14ac:dyDescent="0.25">
      <c r="B3" s="68"/>
      <c r="C3" s="68"/>
      <c r="D3" s="68"/>
      <c r="E3" s="68"/>
      <c r="F3" s="68"/>
      <c r="G3" s="68"/>
      <c r="H3" s="19"/>
      <c r="I3" s="19"/>
      <c r="J3" s="20"/>
      <c r="K3" s="19"/>
      <c r="L3" s="26"/>
      <c r="M3" s="20"/>
      <c r="N3" s="19"/>
      <c r="P3" s="19"/>
      <c r="Q3" s="19"/>
      <c r="AC3" s="144"/>
      <c r="AV3" s="70"/>
    </row>
    <row r="4" spans="1:58" ht="25.2" customHeight="1" thickTop="1" thickBot="1" x14ac:dyDescent="0.3">
      <c r="B4" s="68"/>
      <c r="C4" s="159"/>
      <c r="D4" s="68"/>
      <c r="E4" s="68"/>
      <c r="F4" s="68"/>
      <c r="G4" s="68"/>
      <c r="H4" s="19"/>
      <c r="I4" s="19"/>
      <c r="J4" s="20"/>
      <c r="K4" s="19"/>
      <c r="L4" s="26"/>
      <c r="M4" s="20"/>
      <c r="N4" s="19"/>
      <c r="P4" s="19"/>
      <c r="Q4" s="19"/>
      <c r="S4" s="374" t="s">
        <v>152</v>
      </c>
      <c r="T4" s="375"/>
      <c r="AC4" s="144"/>
      <c r="AV4" s="70"/>
    </row>
    <row r="5" spans="1:58" ht="25.2" hidden="1" customHeight="1" thickTop="1" x14ac:dyDescent="0.25">
      <c r="B5" s="27"/>
      <c r="C5" s="159"/>
      <c r="D5" s="20"/>
      <c r="E5" s="20"/>
      <c r="F5" s="20"/>
      <c r="G5" s="19"/>
      <c r="H5" s="19"/>
      <c r="I5" s="19"/>
      <c r="J5" s="20"/>
      <c r="K5" s="19"/>
      <c r="L5" s="26"/>
      <c r="M5" s="20"/>
      <c r="N5" s="19"/>
      <c r="P5" s="19"/>
      <c r="Q5" s="19"/>
    </row>
    <row r="6" spans="1:58" ht="14.4" hidden="1" x14ac:dyDescent="0.2">
      <c r="B6" s="27"/>
      <c r="C6" s="28"/>
      <c r="D6" s="20"/>
      <c r="E6" s="20"/>
      <c r="F6" s="20"/>
      <c r="G6" s="19"/>
      <c r="H6" s="19"/>
      <c r="I6" s="19"/>
      <c r="J6" s="20"/>
      <c r="K6" s="19"/>
      <c r="L6" s="26"/>
      <c r="M6" s="20"/>
      <c r="N6" s="19"/>
      <c r="P6" s="19"/>
      <c r="Q6" s="19"/>
      <c r="S6" s="72"/>
    </row>
    <row r="7" spans="1:58" ht="15.6" thickTop="1" thickBot="1" x14ac:dyDescent="0.25">
      <c r="B7" s="19"/>
      <c r="C7" s="19"/>
      <c r="D7" s="19"/>
      <c r="E7" s="19"/>
      <c r="F7" s="19"/>
      <c r="G7" s="19"/>
      <c r="H7" s="19"/>
      <c r="I7" s="19"/>
      <c r="J7" s="19"/>
      <c r="K7" s="19"/>
      <c r="L7" s="19"/>
      <c r="M7" s="19"/>
      <c r="N7" s="19"/>
      <c r="P7" s="19"/>
      <c r="Q7" s="19"/>
      <c r="AT7" s="18"/>
      <c r="AU7" s="18"/>
    </row>
    <row r="8" spans="1:58" ht="23.25" customHeight="1" x14ac:dyDescent="0.2">
      <c r="B8" s="19"/>
      <c r="C8" s="584" t="s">
        <v>6</v>
      </c>
      <c r="D8" s="587" t="s">
        <v>7</v>
      </c>
      <c r="E8" s="495" t="s">
        <v>8</v>
      </c>
      <c r="F8" s="591" t="s">
        <v>9</v>
      </c>
      <c r="G8" s="572" t="s">
        <v>10</v>
      </c>
      <c r="H8" s="573"/>
      <c r="I8" s="572" t="s">
        <v>11</v>
      </c>
      <c r="J8" s="573"/>
      <c r="K8" s="572" t="s">
        <v>12</v>
      </c>
      <c r="L8" s="573"/>
      <c r="M8" s="572" t="s">
        <v>13</v>
      </c>
      <c r="N8" s="578"/>
      <c r="P8" s="19"/>
      <c r="Q8" s="19"/>
      <c r="S8" s="581" t="s">
        <v>36</v>
      </c>
      <c r="T8" s="516" t="s">
        <v>6</v>
      </c>
      <c r="U8" s="528" t="s">
        <v>111</v>
      </c>
      <c r="V8" s="516" t="s">
        <v>8</v>
      </c>
      <c r="W8" s="522" t="s">
        <v>112</v>
      </c>
      <c r="X8" s="486" t="s">
        <v>11</v>
      </c>
      <c r="Y8" s="486" t="s">
        <v>113</v>
      </c>
      <c r="Z8" s="486" t="s">
        <v>13</v>
      </c>
      <c r="AA8" s="169"/>
      <c r="AB8" s="170"/>
      <c r="AC8" s="557"/>
      <c r="AD8" s="558"/>
      <c r="AE8" s="522"/>
      <c r="AF8" s="553" t="s">
        <v>114</v>
      </c>
      <c r="AG8" s="570"/>
      <c r="AH8" s="570"/>
      <c r="AI8" s="570"/>
      <c r="AJ8" s="570"/>
      <c r="AK8" s="554"/>
      <c r="AL8" s="553" t="s">
        <v>115</v>
      </c>
      <c r="AM8" s="570"/>
      <c r="AN8" s="570"/>
      <c r="AO8" s="570"/>
      <c r="AP8" s="570"/>
      <c r="AQ8" s="570"/>
      <c r="AR8" s="570"/>
      <c r="AS8" s="554"/>
      <c r="AT8"/>
      <c r="AU8"/>
      <c r="AV8" s="557"/>
      <c r="AW8" s="558"/>
      <c r="AX8" s="522"/>
      <c r="AY8" s="563" t="s">
        <v>114</v>
      </c>
      <c r="AZ8" s="564"/>
      <c r="BA8" s="567" t="s">
        <v>115</v>
      </c>
      <c r="BB8" s="567"/>
      <c r="BC8" s="172"/>
      <c r="BD8" s="172"/>
      <c r="BE8" s="172"/>
      <c r="BF8" s="173"/>
    </row>
    <row r="9" spans="1:58" ht="23.25" customHeight="1" x14ac:dyDescent="0.2">
      <c r="B9" s="19"/>
      <c r="C9" s="585"/>
      <c r="D9" s="588"/>
      <c r="E9" s="496"/>
      <c r="F9" s="592"/>
      <c r="G9" s="574"/>
      <c r="H9" s="575"/>
      <c r="I9" s="574"/>
      <c r="J9" s="575"/>
      <c r="K9" s="574"/>
      <c r="L9" s="575"/>
      <c r="M9" s="574"/>
      <c r="N9" s="579"/>
      <c r="P9" s="19"/>
      <c r="Q9" s="19"/>
      <c r="S9" s="582"/>
      <c r="T9" s="517"/>
      <c r="U9" s="571"/>
      <c r="V9" s="517"/>
      <c r="W9" s="523"/>
      <c r="X9" s="487"/>
      <c r="Y9" s="487"/>
      <c r="Z9" s="487"/>
      <c r="AA9" s="169"/>
      <c r="AB9" s="170"/>
      <c r="AC9" s="559"/>
      <c r="AD9" s="560"/>
      <c r="AE9" s="523"/>
      <c r="AF9" s="553" t="s">
        <v>116</v>
      </c>
      <c r="AG9" s="554"/>
      <c r="AH9" s="553" t="s">
        <v>117</v>
      </c>
      <c r="AI9" s="554"/>
      <c r="AJ9" s="553" t="s">
        <v>118</v>
      </c>
      <c r="AK9" s="554"/>
      <c r="AL9" s="553" t="s">
        <v>116</v>
      </c>
      <c r="AM9" s="554"/>
      <c r="AN9" s="553" t="s">
        <v>119</v>
      </c>
      <c r="AO9" s="554"/>
      <c r="AP9" s="569" t="s">
        <v>120</v>
      </c>
      <c r="AQ9" s="554"/>
      <c r="AR9" s="569" t="s">
        <v>121</v>
      </c>
      <c r="AS9" s="554"/>
      <c r="AT9"/>
      <c r="AU9"/>
      <c r="AV9" s="559"/>
      <c r="AW9" s="560"/>
      <c r="AX9" s="523"/>
      <c r="AY9" s="565"/>
      <c r="AZ9" s="566"/>
      <c r="BA9" s="568"/>
      <c r="BB9" s="568"/>
      <c r="BC9" s="553" t="s">
        <v>119</v>
      </c>
      <c r="BD9" s="554"/>
      <c r="BE9" s="555" t="s">
        <v>122</v>
      </c>
      <c r="BF9" s="556"/>
    </row>
    <row r="10" spans="1:58" ht="23.25" customHeight="1" thickBot="1" x14ac:dyDescent="0.25">
      <c r="B10" s="19"/>
      <c r="C10" s="586"/>
      <c r="D10" s="589"/>
      <c r="E10" s="590"/>
      <c r="F10" s="593"/>
      <c r="G10" s="576"/>
      <c r="H10" s="577"/>
      <c r="I10" s="576"/>
      <c r="J10" s="577"/>
      <c r="K10" s="576"/>
      <c r="L10" s="577"/>
      <c r="M10" s="576"/>
      <c r="N10" s="580"/>
      <c r="P10" s="19"/>
      <c r="Q10" s="19"/>
      <c r="S10" s="583"/>
      <c r="T10" s="518"/>
      <c r="U10" s="529"/>
      <c r="V10" s="518"/>
      <c r="W10" s="524"/>
      <c r="X10" s="488"/>
      <c r="Y10" s="488"/>
      <c r="Z10" s="488"/>
      <c r="AA10" s="169"/>
      <c r="AB10" s="170"/>
      <c r="AC10" s="561"/>
      <c r="AD10" s="562"/>
      <c r="AE10" s="524"/>
      <c r="AF10" s="174" t="s">
        <v>123</v>
      </c>
      <c r="AG10" s="174" t="s">
        <v>124</v>
      </c>
      <c r="AH10" s="174" t="s">
        <v>123</v>
      </c>
      <c r="AI10" s="174" t="s">
        <v>124</v>
      </c>
      <c r="AJ10" s="174" t="s">
        <v>123</v>
      </c>
      <c r="AK10" s="174" t="s">
        <v>124</v>
      </c>
      <c r="AL10" s="175" t="s">
        <v>123</v>
      </c>
      <c r="AM10" s="175" t="s">
        <v>124</v>
      </c>
      <c r="AN10" s="175" t="s">
        <v>123</v>
      </c>
      <c r="AO10" s="175" t="s">
        <v>124</v>
      </c>
      <c r="AP10" s="175" t="s">
        <v>123</v>
      </c>
      <c r="AQ10" s="175" t="s">
        <v>124</v>
      </c>
      <c r="AR10" s="175" t="s">
        <v>123</v>
      </c>
      <c r="AS10" s="175" t="s">
        <v>124</v>
      </c>
      <c r="AT10"/>
      <c r="AU10"/>
      <c r="AV10" s="561"/>
      <c r="AW10" s="562"/>
      <c r="AX10" s="524"/>
      <c r="AY10" s="174" t="s">
        <v>123</v>
      </c>
      <c r="AZ10" s="175" t="s">
        <v>124</v>
      </c>
      <c r="BA10" s="176" t="s">
        <v>123</v>
      </c>
      <c r="BB10" s="175" t="s">
        <v>124</v>
      </c>
      <c r="BC10" s="175" t="s">
        <v>123</v>
      </c>
      <c r="BD10" s="175" t="s">
        <v>124</v>
      </c>
      <c r="BE10" s="175" t="s">
        <v>123</v>
      </c>
      <c r="BF10" s="175" t="s">
        <v>124</v>
      </c>
    </row>
    <row r="11" spans="1:58" ht="29.25" customHeight="1" thickTop="1" thickBot="1" x14ac:dyDescent="0.3">
      <c r="A11" s="136">
        <f>ROUND((ROW()-10)/2,0)</f>
        <v>1</v>
      </c>
      <c r="C11" s="73" t="str">
        <f>IF(INDEX(設定!$C$9:$C$108,$A11,1)="","",INDEX(設定!$C$9:$C$108,$A11,1))</f>
        <v/>
      </c>
      <c r="D11" s="74" t="str">
        <f>IF(INDEX(設定!$D$9:$D$108,$A11,1)="","",INDEX(設定!$D$9:$D$108,$A11,1))</f>
        <v/>
      </c>
      <c r="E11" s="75" t="str">
        <f>IF(INDEX(設定!$E$9:$E$108,$A11,1)="","",INDEX(設定!$E$9:$E$108,$A11,1))</f>
        <v/>
      </c>
      <c r="F11" s="76" t="str">
        <f>IF(S11="","",IF(S11=1,"1：家族",IF(AND(S11&gt;=2,S11&lt;=5),"2：雇用","")))</f>
        <v/>
      </c>
      <c r="G11" s="134">
        <f>INT(INDEX(設定!$H$9:H$108,$A11,1))</f>
        <v>0</v>
      </c>
      <c r="H11" s="77" t="str">
        <f>IF(INDEX(設定!$H$9:$H$108,$A11,1)=0,"",ROUND(MOD(INDEX(設定!$H$9:$H$108,$A11,1),1)*60,0))</f>
        <v/>
      </c>
      <c r="I11" s="134">
        <f>INT(INDEX(設定!$I$9:$I$108,$A11,1))</f>
        <v>0</v>
      </c>
      <c r="J11" s="77" t="str">
        <f>IF(INDEX(設定!$I$9:$I$108,$A11,1)=0,"",ROUND(MOD(INDEX(設定!$I$9:$I$108,$A11,1),1)*60,0))</f>
        <v/>
      </c>
      <c r="K11" s="134">
        <f>INT(INDEX(設定!$J$9:$J$108,$A11,1))</f>
        <v>0</v>
      </c>
      <c r="L11" s="77" t="str">
        <f>IF(INDEX(設定!$J$9:$J$108,$A11,1)=0,"",ROUND(MOD(INDEX(設定!$J$9:$J$108,$A11,1),1)*60,0))</f>
        <v/>
      </c>
      <c r="M11" s="134">
        <f>INT(INDEX(設定!$K$9:$K$108,$A11,1))</f>
        <v>0</v>
      </c>
      <c r="N11" s="78" t="str">
        <f>IF(INDEX(設定!$K$9:$K$108,$A11,1)=0,"",ROUND(MOD(INDEX(設定!$K$9:$K$108,$A11,1),1)*60,0))</f>
        <v/>
      </c>
      <c r="P11" s="19"/>
      <c r="Q11" s="19"/>
      <c r="S11" s="79" t="str">
        <f>IF(INDEX(設定!$F$9:$F$108,$A11,1)="","",VALUE(LEFT(INDEX(設定!$F$9:$F$108,$A11,1),1)))</f>
        <v/>
      </c>
      <c r="T11" s="177" t="str">
        <f>IF(C11="","",C11)</f>
        <v/>
      </c>
      <c r="U11" s="178" t="str">
        <f>IF(D11="","",IF(D11="1：男",1,IF(D11="2：女",2)))</f>
        <v/>
      </c>
      <c r="V11" s="179" t="str">
        <f>IF(E11="","",E11)</f>
        <v/>
      </c>
      <c r="W11" s="180" t="str">
        <f>IF(AND(G11="",H11="",G12=""),"",ROUND(SUM(G11,H11/60)*G12,1))</f>
        <v/>
      </c>
      <c r="X11" s="181" t="str">
        <f>IF(AND(I11="",J11="",I12=""),"",ROUND(SUM(I11,J11/60)*I12,1))</f>
        <v/>
      </c>
      <c r="Y11" s="181" t="str">
        <f>IF(AND(K11="",L11="",K12=""),"",ROUND(SUM(K11,L11/60)*K12,1))</f>
        <v/>
      </c>
      <c r="Z11" s="182" t="str">
        <f>IF(AND(M11="",N11="",M12=""),"",ROUND(SUM(M11,N11/60)*M12,1))</f>
        <v/>
      </c>
      <c r="AA11" s="183"/>
      <c r="AB11" s="184"/>
      <c r="AC11" s="544" t="s">
        <v>125</v>
      </c>
      <c r="AD11" s="549"/>
      <c r="AE11" s="549"/>
      <c r="AF11" s="185">
        <f>SUM(AF12:AF15)</f>
        <v>0</v>
      </c>
      <c r="AG11" s="185">
        <f>SUM(AG12:AG15)</f>
        <v>0</v>
      </c>
      <c r="AH11" s="186"/>
      <c r="AI11" s="186"/>
      <c r="AJ11" s="186"/>
      <c r="AK11" s="186"/>
      <c r="AL11" s="185">
        <f>AL16+AL21+AL26+AL31</f>
        <v>0</v>
      </c>
      <c r="AM11" s="185">
        <f>AM16+AM21+AM26+AM31</f>
        <v>0</v>
      </c>
      <c r="AN11" s="185">
        <f>AN16+AN21+AN26+AN31</f>
        <v>0</v>
      </c>
      <c r="AO11" s="185">
        <f>AO16+AO21+AO26+AO31</f>
        <v>0</v>
      </c>
      <c r="AP11" s="185">
        <f>AP12</f>
        <v>0</v>
      </c>
      <c r="AQ11" s="185">
        <f>AQ12</f>
        <v>0</v>
      </c>
      <c r="AR11" s="185">
        <f>SUM(AR12:AR15)</f>
        <v>0</v>
      </c>
      <c r="AS11" s="185">
        <f>SUM(AS12:AS15)</f>
        <v>0</v>
      </c>
      <c r="AT11"/>
      <c r="AU11"/>
      <c r="AV11" s="544" t="s">
        <v>126</v>
      </c>
      <c r="AW11" s="549"/>
      <c r="AX11" s="549"/>
      <c r="AY11" s="187">
        <f>SUM(AY12:AY15)</f>
        <v>0</v>
      </c>
      <c r="AZ11" s="187">
        <f>SUM(AZ12:AZ15)</f>
        <v>0</v>
      </c>
      <c r="BA11" s="188">
        <f>ROUND(BC11+BE11,0)</f>
        <v>0</v>
      </c>
      <c r="BB11" s="188">
        <f>ROUND(BD11+BF11,0)</f>
        <v>0</v>
      </c>
      <c r="BC11" s="189">
        <f>IFERROR($T$112*AN11/($AN$11+$AN$51),0)</f>
        <v>0</v>
      </c>
      <c r="BD11" s="187">
        <f>IFERROR($T$113*AO11/($AO$11+$AO$51),0)</f>
        <v>0</v>
      </c>
      <c r="BE11" s="187">
        <f>SUM(BE12:BE15)</f>
        <v>0</v>
      </c>
      <c r="BF11" s="187">
        <f>SUM(BF12:BF15)</f>
        <v>0</v>
      </c>
    </row>
    <row r="12" spans="1:58" ht="29.25" customHeight="1" thickBot="1" x14ac:dyDescent="0.3">
      <c r="A12" s="136"/>
      <c r="C12" s="80"/>
      <c r="D12" s="81"/>
      <c r="E12" s="82"/>
      <c r="F12" s="83"/>
      <c r="G12" s="84" t="str">
        <f>IF(SUM(G11:H11)&gt;0,1,"")</f>
        <v/>
      </c>
      <c r="H12" s="85"/>
      <c r="I12" s="84" t="str">
        <f>IF(SUM(I11:J11)&gt;0,1,"")</f>
        <v/>
      </c>
      <c r="J12" s="85"/>
      <c r="K12" s="84" t="str">
        <f>IF(SUM(K11:L11)&gt;0,1,"")</f>
        <v/>
      </c>
      <c r="L12" s="85"/>
      <c r="M12" s="84" t="str">
        <f>IF(SUM(M11:N11)&gt;0,1,"")</f>
        <v/>
      </c>
      <c r="N12" s="86"/>
      <c r="P12" s="19"/>
      <c r="Q12" s="19"/>
      <c r="S12" s="87"/>
      <c r="T12" s="177"/>
      <c r="U12" s="178"/>
      <c r="V12" s="179"/>
      <c r="W12" s="190"/>
      <c r="X12" s="190"/>
      <c r="Y12" s="190"/>
      <c r="Z12" s="191"/>
      <c r="AA12" s="183"/>
      <c r="AB12" s="184"/>
      <c r="AC12" s="192"/>
      <c r="AD12" s="533" t="s">
        <v>14</v>
      </c>
      <c r="AE12" s="546"/>
      <c r="AF12" s="193">
        <f>AF17+AF22+AF27+AF32</f>
        <v>0</v>
      </c>
      <c r="AG12" s="193">
        <f t="shared" ref="AG12:AK12" si="0">AG17+AG22+AG27+AG32</f>
        <v>0</v>
      </c>
      <c r="AH12" s="194">
        <f>AH17+AH22+AH27+AH32</f>
        <v>0</v>
      </c>
      <c r="AI12" s="194">
        <f t="shared" si="0"/>
        <v>0</v>
      </c>
      <c r="AJ12" s="194">
        <f t="shared" si="0"/>
        <v>0</v>
      </c>
      <c r="AK12" s="194">
        <f t="shared" si="0"/>
        <v>0</v>
      </c>
      <c r="AL12" s="195"/>
      <c r="AM12" s="196"/>
      <c r="AN12" s="197"/>
      <c r="AO12" s="197"/>
      <c r="AP12" s="194">
        <f t="shared" ref="AP12:AS15" si="1">AP17+AP22+AP27+AP32</f>
        <v>0</v>
      </c>
      <c r="AQ12" s="194">
        <f t="shared" si="1"/>
        <v>0</v>
      </c>
      <c r="AR12" s="194">
        <f t="shared" si="1"/>
        <v>0</v>
      </c>
      <c r="AS12" s="194">
        <f t="shared" si="1"/>
        <v>0</v>
      </c>
      <c r="AT12"/>
      <c r="AU12"/>
      <c r="AV12" s="198"/>
      <c r="AW12" s="533" t="s">
        <v>14</v>
      </c>
      <c r="AX12" s="546"/>
      <c r="AY12" s="199">
        <f>AF12*$T$4</f>
        <v>0</v>
      </c>
      <c r="AZ12" s="199">
        <f>AG12*$T$4</f>
        <v>0</v>
      </c>
      <c r="BA12" s="200"/>
      <c r="BB12" s="201"/>
      <c r="BC12" s="200"/>
      <c r="BD12" s="200"/>
      <c r="BE12" s="199">
        <f>(AP12+AR12)*$T$4</f>
        <v>0</v>
      </c>
      <c r="BF12" s="199">
        <f>(AQ12+AS12)*$T$4</f>
        <v>0</v>
      </c>
    </row>
    <row r="13" spans="1:58" ht="29.25" customHeight="1" thickTop="1" x14ac:dyDescent="0.25">
      <c r="A13" s="136">
        <f>ROUND((ROW()-10)/2,0)</f>
        <v>2</v>
      </c>
      <c r="C13" s="88" t="str">
        <f>IF(INDEX(設定!$C$9:$C$108,$A13,1)="","",INDEX(設定!$C$9:$C$108,$A13,1))</f>
        <v/>
      </c>
      <c r="D13" s="74" t="str">
        <f>IF(INDEX(設定!$D$9:$D$108,$A13,1)="","",INDEX(設定!$D$9:$D$108,$A13,1))</f>
        <v/>
      </c>
      <c r="E13" s="75" t="str">
        <f>IF(INDEX(設定!$E$9:$E$108,$A13,1)="","",INDEX(設定!$E$9:$E$108,$A13,1))</f>
        <v/>
      </c>
      <c r="F13" s="76" t="str">
        <f>IF(S13="","",IF(S13=1,"1：家族",IF(AND(S13&gt;=2,S13&lt;=5),"2：雇用","")))</f>
        <v/>
      </c>
      <c r="G13" s="134">
        <f>INT(INDEX(設定!$H$9:H$108,$A13,1))</f>
        <v>0</v>
      </c>
      <c r="H13" s="77" t="str">
        <f>IF(INDEX(設定!$H$9:$H$108,$A13,1)=0,"",ROUND(MOD(INDEX(設定!$H$9:$H$108,$A13,1),1)*60,0))</f>
        <v/>
      </c>
      <c r="I13" s="134">
        <f>INT(INDEX(設定!$I$9:$I$108,$A13,1))</f>
        <v>0</v>
      </c>
      <c r="J13" s="77" t="str">
        <f>IF(INDEX(設定!$I$9:$I$108,$A13,1)=0,"",ROUND(MOD(INDEX(設定!$I$9:$I$108,$A13,1),1)*60,0))</f>
        <v/>
      </c>
      <c r="K13" s="134">
        <f>INT(INDEX(設定!$J$9:$J$108,$A13,1))</f>
        <v>0</v>
      </c>
      <c r="L13" s="77" t="str">
        <f>IF(INDEX(設定!$J$9:$J$108,$A13,1)=0,"",ROUND(MOD(INDEX(設定!$J$9:$J$108,$A13,1),1)*60,0))</f>
        <v/>
      </c>
      <c r="M13" s="134">
        <f>INT(INDEX(設定!$K$9:$K$108,$A13,1))</f>
        <v>0</v>
      </c>
      <c r="N13" s="78" t="str">
        <f>IF(INDEX(設定!$K$9:$K$108,$A13,1)=0,"",ROUND(MOD(INDEX(設定!$K$9:$K$108,$A13,1),1)*60,0))</f>
        <v/>
      </c>
      <c r="P13" s="19"/>
      <c r="Q13" s="19"/>
      <c r="S13" s="89" t="str">
        <f>IF(INDEX(設定!$F$9:$F$108,$A13,1)="","",VALUE(LEFT(INDEX(設定!$F$9:$F$108,$A13,1),1)))</f>
        <v/>
      </c>
      <c r="T13" s="202" t="str">
        <f>IF(C13="","",C13)</f>
        <v/>
      </c>
      <c r="U13" s="203" t="str">
        <f>IF(D13="","",IF(D13="1：男",1,IF(D13="2：女",2)))</f>
        <v/>
      </c>
      <c r="V13" s="204" t="str">
        <f>IF(E13="","",E13)</f>
        <v/>
      </c>
      <c r="W13" s="180" t="str">
        <f t="shared" ref="W13" si="2">IF(AND(G13="",H13="",G14=""),"",ROUND(SUM(G13,H13/60)*G14,1))</f>
        <v/>
      </c>
      <c r="X13" s="181" t="str">
        <f t="shared" ref="X13" si="3">IF(AND(I13="",J13="",I14=""),"",ROUND(SUM(I13,J13/60)*I14,1))</f>
        <v/>
      </c>
      <c r="Y13" s="181" t="str">
        <f t="shared" ref="Y13" si="4">IF(AND(K13="",L13="",K14=""),"",ROUND(SUM(K13,L13/60)*K14,1))</f>
        <v/>
      </c>
      <c r="Z13" s="182" t="str">
        <f t="shared" ref="Z13" si="5">IF(AND(M13="",N13="",M14=""),"",ROUND(SUM(M13,N13/60)*M14,1))</f>
        <v/>
      </c>
      <c r="AA13" s="183"/>
      <c r="AB13" s="184"/>
      <c r="AC13" s="192"/>
      <c r="AD13" s="535" t="s">
        <v>127</v>
      </c>
      <c r="AE13" s="547"/>
      <c r="AF13" s="205">
        <f t="shared" ref="AF13:AI15" si="6">AF18+AF23+AF28+AF33</f>
        <v>0</v>
      </c>
      <c r="AG13" s="205">
        <f t="shared" si="6"/>
        <v>0</v>
      </c>
      <c r="AH13" s="205">
        <f t="shared" si="6"/>
        <v>0</v>
      </c>
      <c r="AI13" s="205">
        <f t="shared" si="6"/>
        <v>0</v>
      </c>
      <c r="AJ13" s="206"/>
      <c r="AK13" s="206"/>
      <c r="AL13" s="195"/>
      <c r="AM13" s="196"/>
      <c r="AN13" s="196"/>
      <c r="AO13" s="196"/>
      <c r="AP13" s="206"/>
      <c r="AQ13" s="206"/>
      <c r="AR13" s="205">
        <f t="shared" si="1"/>
        <v>0</v>
      </c>
      <c r="AS13" s="205">
        <f t="shared" si="1"/>
        <v>0</v>
      </c>
      <c r="AT13"/>
      <c r="AU13"/>
      <c r="AV13" s="198"/>
      <c r="AW13" s="535" t="s">
        <v>127</v>
      </c>
      <c r="AX13" s="547"/>
      <c r="AY13" s="207">
        <f>AF13*$T$4*0.9</f>
        <v>0</v>
      </c>
      <c r="AZ13" s="207">
        <f>AG13*$T$4*0.9</f>
        <v>0</v>
      </c>
      <c r="BA13" s="200"/>
      <c r="BB13" s="201"/>
      <c r="BC13" s="200"/>
      <c r="BD13" s="200"/>
      <c r="BE13" s="207">
        <f>(AR13)*$T$4*0.9</f>
        <v>0</v>
      </c>
      <c r="BF13" s="207">
        <f>(AS13)*$T$4*0.9</f>
        <v>0</v>
      </c>
    </row>
    <row r="14" spans="1:58" ht="29.25" customHeight="1" thickBot="1" x14ac:dyDescent="0.3">
      <c r="A14" s="136"/>
      <c r="C14" s="80"/>
      <c r="D14" s="81"/>
      <c r="E14" s="82"/>
      <c r="F14" s="83"/>
      <c r="G14" s="84" t="str">
        <f>IF(SUM(G13:H13)&gt;0,1,"")</f>
        <v/>
      </c>
      <c r="H14" s="85"/>
      <c r="I14" s="84" t="str">
        <f>IF(SUM(I13:J13)&gt;0,1,"")</f>
        <v/>
      </c>
      <c r="J14" s="85"/>
      <c r="K14" s="84" t="str">
        <f>IF(SUM(K13:L13)&gt;0,1,"")</f>
        <v/>
      </c>
      <c r="L14" s="85"/>
      <c r="M14" s="84" t="str">
        <f>IF(SUM(M13:N13)&gt;0,1,"")</f>
        <v/>
      </c>
      <c r="N14" s="86"/>
      <c r="P14" s="19"/>
      <c r="Q14" s="19"/>
      <c r="S14" s="87"/>
      <c r="T14" s="177"/>
      <c r="U14" s="178"/>
      <c r="V14" s="179"/>
      <c r="W14" s="190"/>
      <c r="X14" s="190"/>
      <c r="Y14" s="190"/>
      <c r="Z14" s="191"/>
      <c r="AA14" s="183"/>
      <c r="AB14" s="184"/>
      <c r="AC14" s="192"/>
      <c r="AD14" s="535" t="s">
        <v>128</v>
      </c>
      <c r="AE14" s="547"/>
      <c r="AF14" s="205">
        <f t="shared" si="6"/>
        <v>0</v>
      </c>
      <c r="AG14" s="205">
        <f t="shared" si="6"/>
        <v>0</v>
      </c>
      <c r="AH14" s="205">
        <f t="shared" si="6"/>
        <v>0</v>
      </c>
      <c r="AI14" s="205">
        <f t="shared" si="6"/>
        <v>0</v>
      </c>
      <c r="AJ14" s="206"/>
      <c r="AK14" s="206"/>
      <c r="AL14" s="195"/>
      <c r="AM14" s="196"/>
      <c r="AN14" s="196"/>
      <c r="AO14" s="196"/>
      <c r="AP14" s="206"/>
      <c r="AQ14" s="206"/>
      <c r="AR14" s="205">
        <f t="shared" si="1"/>
        <v>0</v>
      </c>
      <c r="AS14" s="205">
        <f t="shared" si="1"/>
        <v>0</v>
      </c>
      <c r="AT14"/>
      <c r="AU14"/>
      <c r="AV14" s="198"/>
      <c r="AW14" s="535" t="s">
        <v>128</v>
      </c>
      <c r="AX14" s="547"/>
      <c r="AY14" s="207">
        <f>AF14*$T$4*0.8</f>
        <v>0</v>
      </c>
      <c r="AZ14" s="207">
        <f>AG14*$T$4*0.8</f>
        <v>0</v>
      </c>
      <c r="BA14" s="200"/>
      <c r="BB14" s="201"/>
      <c r="BC14" s="200"/>
      <c r="BD14" s="200"/>
      <c r="BE14" s="207">
        <f>(AR14)*$T$4*0.8</f>
        <v>0</v>
      </c>
      <c r="BF14" s="207">
        <f>(AS14)*$T$4*0.8</f>
        <v>0</v>
      </c>
    </row>
    <row r="15" spans="1:58" ht="29.25" customHeight="1" thickTop="1" thickBot="1" x14ac:dyDescent="0.3">
      <c r="A15" s="136">
        <f>ROUND((ROW()-10)/2,0)</f>
        <v>3</v>
      </c>
      <c r="C15" s="88" t="str">
        <f>IF(INDEX(設定!$C$9:$C$108,$A15,1)="","",INDEX(設定!$C$9:$C$108,$A15,1))</f>
        <v/>
      </c>
      <c r="D15" s="74" t="str">
        <f>IF(INDEX(設定!$D$9:$D$108,$A15,1)="","",INDEX(設定!$D$9:$D$108,$A15,1))</f>
        <v/>
      </c>
      <c r="E15" s="75" t="str">
        <f>IF(INDEX(設定!$E$9:$E$108,$A15,1)="","",INDEX(設定!$E$9:$E$108,$A15,1))</f>
        <v/>
      </c>
      <c r="F15" s="76" t="str">
        <f>IF(S15="","",IF(S15=1,"1：家族",IF(AND(S15&gt;=2,S15&lt;=5),"2：雇用","")))</f>
        <v/>
      </c>
      <c r="G15" s="134">
        <f>INT(INDEX(設定!$H$9:H$108,$A15,1))</f>
        <v>0</v>
      </c>
      <c r="H15" s="77" t="str">
        <f>IF(INDEX(設定!$H$9:$H$108,$A15,1)=0,"",ROUND(MOD(INDEX(設定!$H$9:$H$108,$A15,1),1)*60,0))</f>
        <v/>
      </c>
      <c r="I15" s="134">
        <f>INT(INDEX(設定!$I$9:$I$108,$A15,1))</f>
        <v>0</v>
      </c>
      <c r="J15" s="77" t="str">
        <f>IF(INDEX(設定!$I$9:$I$108,$A15,1)=0,"",ROUND(MOD(INDEX(設定!$I$9:$I$108,$A15,1),1)*60,0))</f>
        <v/>
      </c>
      <c r="K15" s="134">
        <f>INT(INDEX(設定!$J$9:$J$108,$A15,1))</f>
        <v>0</v>
      </c>
      <c r="L15" s="77" t="str">
        <f>IF(INDEX(設定!$J$9:$J$108,$A15,1)=0,"",ROUND(MOD(INDEX(設定!$J$9:$J$108,$A15,1),1)*60,0))</f>
        <v/>
      </c>
      <c r="M15" s="134">
        <f>INT(INDEX(設定!$K$9:$K$108,$A15,1))</f>
        <v>0</v>
      </c>
      <c r="N15" s="78" t="str">
        <f>IF(INDEX(設定!$K$9:$K$108,$A15,1)=0,"",ROUND(MOD(INDEX(設定!$K$9:$K$108,$A15,1),1)*60,0))</f>
        <v/>
      </c>
      <c r="P15" s="19"/>
      <c r="Q15" s="19"/>
      <c r="S15" s="89" t="str">
        <f>IF(INDEX(設定!$F$9:$F$108,$A15,1)="","",VALUE(LEFT(INDEX(設定!$F$9:$F$108,$A15,1),1)))</f>
        <v/>
      </c>
      <c r="T15" s="202" t="str">
        <f>IF(C15="","",C15)</f>
        <v/>
      </c>
      <c r="U15" s="203" t="str">
        <f>IF(D15="","",IF(D15="1：男",1,IF(D15="2：女",2)))</f>
        <v/>
      </c>
      <c r="V15" s="204" t="str">
        <f>IF(E15="","",E15)</f>
        <v/>
      </c>
      <c r="W15" s="180" t="str">
        <f t="shared" ref="W15" si="7">IF(AND(G15="",H15="",G16=""),"",ROUND(SUM(G15,H15/60)*G16,1))</f>
        <v/>
      </c>
      <c r="X15" s="181" t="str">
        <f t="shared" ref="X15" si="8">IF(AND(I15="",J15="",I16=""),"",ROUND(SUM(I15,J15/60)*I16,1))</f>
        <v/>
      </c>
      <c r="Y15" s="181" t="str">
        <f t="shared" ref="Y15" si="9">IF(AND(K15="",L15="",K16=""),"",ROUND(SUM(K15,L15/60)*K16,1))</f>
        <v/>
      </c>
      <c r="Z15" s="182" t="str">
        <f t="shared" ref="Z15" si="10">IF(AND(M15="",N15="",M16=""),"",ROUND(SUM(M15,N15/60)*M16,1))</f>
        <v/>
      </c>
      <c r="AA15" s="183"/>
      <c r="AB15" s="184"/>
      <c r="AC15" s="192"/>
      <c r="AD15" s="539" t="s">
        <v>15</v>
      </c>
      <c r="AE15" s="540"/>
      <c r="AF15" s="208">
        <f t="shared" si="6"/>
        <v>0</v>
      </c>
      <c r="AG15" s="208">
        <f t="shared" si="6"/>
        <v>0</v>
      </c>
      <c r="AH15" s="208">
        <f t="shared" si="6"/>
        <v>0</v>
      </c>
      <c r="AI15" s="208">
        <f t="shared" si="6"/>
        <v>0</v>
      </c>
      <c r="AJ15" s="209"/>
      <c r="AK15" s="209"/>
      <c r="AL15" s="210"/>
      <c r="AM15" s="211"/>
      <c r="AN15" s="211"/>
      <c r="AO15" s="211"/>
      <c r="AP15" s="209"/>
      <c r="AQ15" s="209"/>
      <c r="AR15" s="208">
        <f t="shared" si="1"/>
        <v>0</v>
      </c>
      <c r="AS15" s="208">
        <f t="shared" si="1"/>
        <v>0</v>
      </c>
      <c r="AT15"/>
      <c r="AU15"/>
      <c r="AV15" s="198"/>
      <c r="AW15" s="539" t="s">
        <v>15</v>
      </c>
      <c r="AX15" s="540"/>
      <c r="AY15" s="212">
        <f>AF15*$T$4*0.7</f>
        <v>0</v>
      </c>
      <c r="AZ15" s="212">
        <f>AG15*$T$4*0.7</f>
        <v>0</v>
      </c>
      <c r="BA15" s="213"/>
      <c r="BB15" s="214"/>
      <c r="BC15" s="215"/>
      <c r="BD15" s="215"/>
      <c r="BE15" s="212">
        <f>(AR15)*$T$4*0.7</f>
        <v>0</v>
      </c>
      <c r="BF15" s="212">
        <f>(AS15)*$T$4*0.7</f>
        <v>0</v>
      </c>
    </row>
    <row r="16" spans="1:58" ht="29.25" customHeight="1" thickBot="1" x14ac:dyDescent="0.3">
      <c r="B16" s="19"/>
      <c r="C16" s="80"/>
      <c r="D16" s="81"/>
      <c r="E16" s="82"/>
      <c r="F16" s="83"/>
      <c r="G16" s="84" t="str">
        <f>IF(SUM(G15:H15)&gt;0,1,"")</f>
        <v/>
      </c>
      <c r="H16" s="85"/>
      <c r="I16" s="84" t="str">
        <f>IF(SUM(I15:J15)&gt;0,1,"")</f>
        <v/>
      </c>
      <c r="J16" s="85"/>
      <c r="K16" s="84" t="str">
        <f>IF(SUM(K15:L15)&gt;0,1,"")</f>
        <v/>
      </c>
      <c r="L16" s="85"/>
      <c r="M16" s="84" t="str">
        <f>IF(SUM(M15:N15)&gt;0,1,"")</f>
        <v/>
      </c>
      <c r="N16" s="86"/>
      <c r="P16" s="19"/>
      <c r="Q16" s="19"/>
      <c r="S16" s="87"/>
      <c r="T16" s="177"/>
      <c r="U16" s="178"/>
      <c r="V16" s="179"/>
      <c r="W16" s="190"/>
      <c r="X16" s="190"/>
      <c r="Y16" s="190"/>
      <c r="Z16" s="191"/>
      <c r="AA16" s="183"/>
      <c r="AB16" s="184"/>
      <c r="AC16" s="216"/>
      <c r="AD16" s="551" t="s">
        <v>10</v>
      </c>
      <c r="AE16" s="552"/>
      <c r="AF16" s="217">
        <f>SUM(AF17:AF20)</f>
        <v>0</v>
      </c>
      <c r="AG16" s="217">
        <f>SUM(AG17:AG20)</f>
        <v>0</v>
      </c>
      <c r="AH16" s="218"/>
      <c r="AI16" s="186"/>
      <c r="AJ16" s="186"/>
      <c r="AK16" s="186"/>
      <c r="AL16" s="217">
        <f>AN16+AP16+AR16</f>
        <v>0</v>
      </c>
      <c r="AM16" s="217">
        <f>AO16+AQ16+AS16</f>
        <v>0</v>
      </c>
      <c r="AN16" s="219">
        <f>SUMIFS($W$11:$W$70,$S$11:$S$70,2,$U$11:$U$70,1)</f>
        <v>0</v>
      </c>
      <c r="AO16" s="185">
        <f>SUMIFS($W$11:$W$70,$S$11:$S$70,2,$U$11:$U$70,2)</f>
        <v>0</v>
      </c>
      <c r="AP16" s="185">
        <f>AP17</f>
        <v>0</v>
      </c>
      <c r="AQ16" s="185">
        <f>AQ17</f>
        <v>0</v>
      </c>
      <c r="AR16" s="185">
        <f>SUM(AR17:AR20)</f>
        <v>0</v>
      </c>
      <c r="AS16" s="185">
        <f>SUM(AS17:AS20)</f>
        <v>0</v>
      </c>
      <c r="AT16"/>
      <c r="AU16"/>
      <c r="AV16" s="220"/>
      <c r="AW16" s="198"/>
      <c r="AX16" s="221"/>
      <c r="AY16" s="221"/>
      <c r="AZ16" s="221"/>
      <c r="BA16" s="221"/>
      <c r="BB16" s="221"/>
      <c r="BC16" s="221"/>
      <c r="BD16" s="221"/>
      <c r="BE16" s="221"/>
      <c r="BF16" s="222"/>
    </row>
    <row r="17" spans="1:58" ht="29.25" customHeight="1" thickTop="1" x14ac:dyDescent="0.25">
      <c r="A17" s="135">
        <f>ROUND((ROW()-10)/2,0)</f>
        <v>4</v>
      </c>
      <c r="B17" s="19"/>
      <c r="C17" s="88" t="str">
        <f>IF(INDEX(設定!$C$9:$C$108,$A17,1)="","",INDEX(設定!$C$9:$C$108,$A17,1))</f>
        <v/>
      </c>
      <c r="D17" s="74" t="str">
        <f>IF(INDEX(設定!$D$9:$D$108,$A17,1)="","",INDEX(設定!$D$9:$D$108,$A17,1))</f>
        <v/>
      </c>
      <c r="E17" s="75" t="str">
        <f>IF(INDEX(設定!$E$9:$E$108,$A17,1)="","",INDEX(設定!$E$9:$E$108,$A17,1))</f>
        <v/>
      </c>
      <c r="F17" s="76" t="str">
        <f>IF(S17="","",IF(S17=1,"1：家族",IF(AND(S17&gt;=2,S17&lt;=5),"2：雇用","")))</f>
        <v/>
      </c>
      <c r="G17" s="134">
        <f>INT(INDEX(設定!$H$9:H$108,$A17,1))</f>
        <v>0</v>
      </c>
      <c r="H17" s="77" t="str">
        <f>IF(INDEX(設定!$H$9:$H$108,$A17,1)=0,"",ROUND(MOD(INDEX(設定!$H$9:$H$108,$A17,1),1)*60,0))</f>
        <v/>
      </c>
      <c r="I17" s="134">
        <f>INT(INDEX(設定!$I$9:$I$108,$A17,1))</f>
        <v>0</v>
      </c>
      <c r="J17" s="77" t="str">
        <f>IF(INDEX(設定!$I$9:$I$108,$A17,1)=0,"",ROUND(MOD(INDEX(設定!$I$9:$I$108,$A17,1),1)*60,0))</f>
        <v/>
      </c>
      <c r="K17" s="134">
        <f>INT(INDEX(設定!$J$9:$J$108,$A17,1))</f>
        <v>0</v>
      </c>
      <c r="L17" s="77" t="str">
        <f>IF(INDEX(設定!$J$9:$J$108,$A17,1)=0,"",ROUND(MOD(INDEX(設定!$J$9:$J$108,$A17,1),1)*60,0))</f>
        <v/>
      </c>
      <c r="M17" s="134">
        <f>INT(INDEX(設定!$K$9:$K$108,$A17,1))</f>
        <v>0</v>
      </c>
      <c r="N17" s="78" t="str">
        <f>IF(INDEX(設定!$K$9:$K$108,$A17,1)=0,"",ROUND(MOD(INDEX(設定!$K$9:$K$108,$A17,1),1)*60,0))</f>
        <v/>
      </c>
      <c r="P17" s="19"/>
      <c r="Q17" s="19"/>
      <c r="S17" s="89" t="str">
        <f>IF(INDEX(設定!$F$9:$F$108,$A17,1)="","",VALUE(LEFT(INDEX(設定!$F$9:$F$108,$A17,1),1)))</f>
        <v/>
      </c>
      <c r="T17" s="202" t="str">
        <f>IF(C17="","",C17)</f>
        <v/>
      </c>
      <c r="U17" s="203" t="str">
        <f>IF(D17="","",IF(D17="1：男",1,IF(D17="2：女",2)))</f>
        <v/>
      </c>
      <c r="V17" s="204" t="str">
        <f>IF(E17="","",E17)</f>
        <v/>
      </c>
      <c r="W17" s="180" t="str">
        <f t="shared" ref="W17" si="11">IF(AND(G17="",H17="",G18=""),"",ROUND(SUM(G17,H17/60)*G18,1))</f>
        <v/>
      </c>
      <c r="X17" s="181" t="str">
        <f t="shared" ref="X17" si="12">IF(AND(I17="",J17="",I18=""),"",ROUND(SUM(I17,J17/60)*I18,1))</f>
        <v/>
      </c>
      <c r="Y17" s="181" t="str">
        <f t="shared" ref="Y17" si="13">IF(AND(K17="",L17="",K18=""),"",ROUND(SUM(K17,L17/60)*K18,1))</f>
        <v/>
      </c>
      <c r="Z17" s="182" t="str">
        <f t="shared" ref="Z17" si="14">IF(AND(M17="",N17="",M18=""),"",ROUND(SUM(M17,N17/60)*M18,1))</f>
        <v/>
      </c>
      <c r="AA17" s="183"/>
      <c r="AB17" s="184"/>
      <c r="AC17" s="216"/>
      <c r="AD17" s="216"/>
      <c r="AE17" s="223" t="s">
        <v>14</v>
      </c>
      <c r="AF17" s="194">
        <f>AH17+AJ17</f>
        <v>0</v>
      </c>
      <c r="AG17" s="194">
        <f>AI17+AK17</f>
        <v>0</v>
      </c>
      <c r="AH17" s="194">
        <f>SUMIFS($W$11:$W$70,$S$11:$S$70,1,$U$11:$U$70,1,$V$11:$V$70,"&lt;65")</f>
        <v>0</v>
      </c>
      <c r="AI17" s="194">
        <f>SUMIFS($W$11:$W$70,$S$11:$S$70,1,$U$11:$U$70,2,$V$11:$V$70,"&lt;65")</f>
        <v>0</v>
      </c>
      <c r="AJ17" s="194">
        <f>SUMIFS($W$11:$W$70,$S$11:$S$70,3,$U$11:$U$70,1)</f>
        <v>0</v>
      </c>
      <c r="AK17" s="194">
        <f>SUMIFS($W$11:$W$70,$S$11:$S$70,3,$U$11:$U$70,2)</f>
        <v>0</v>
      </c>
      <c r="AL17" s="195"/>
      <c r="AM17" s="196"/>
      <c r="AN17" s="197"/>
      <c r="AO17" s="197"/>
      <c r="AP17" s="194">
        <f>SUMIFS($W$11:$W$70,$S$11:$S$70,4,$U$11:$U$70,1)</f>
        <v>0</v>
      </c>
      <c r="AQ17" s="194">
        <f>SUMIFS($W$11:$W$70,$S$11:$S$70,4,$U$11:$U$70,2)</f>
        <v>0</v>
      </c>
      <c r="AR17" s="194">
        <f>SUMIFS($W$11:$W$70,$S$11:$S$70,5,$U$11:$U$70,1,$V$11:$V$70,"&lt;65")</f>
        <v>0</v>
      </c>
      <c r="AS17" s="194">
        <f>SUMIFS($W$11:$W$70,$S$11:$S$70,5,$U$11:$U$70,2,$V$11:$V$70,"&lt;65")</f>
        <v>0</v>
      </c>
      <c r="AT17"/>
      <c r="AU17"/>
      <c r="AV17" s="220"/>
      <c r="AW17" s="198"/>
      <c r="AX17" s="221"/>
      <c r="AY17" s="221"/>
      <c r="AZ17" s="221"/>
      <c r="BA17" s="221"/>
      <c r="BB17" s="221"/>
      <c r="BC17" s="221"/>
      <c r="BD17" s="221"/>
      <c r="BE17" s="221"/>
      <c r="BF17" s="222"/>
    </row>
    <row r="18" spans="1:58" ht="29.25" customHeight="1" thickBot="1" x14ac:dyDescent="0.3">
      <c r="B18" s="19"/>
      <c r="C18" s="80"/>
      <c r="D18" s="81"/>
      <c r="E18" s="82"/>
      <c r="F18" s="83"/>
      <c r="G18" s="84" t="str">
        <f>IF(SUM(G17:H17)&gt;0,1,"")</f>
        <v/>
      </c>
      <c r="H18" s="85"/>
      <c r="I18" s="84" t="str">
        <f>IF(SUM(I17:J17)&gt;0,1,"")</f>
        <v/>
      </c>
      <c r="J18" s="85"/>
      <c r="K18" s="84" t="str">
        <f>IF(SUM(K17:L17)&gt;0,1,"")</f>
        <v/>
      </c>
      <c r="L18" s="85"/>
      <c r="M18" s="84" t="str">
        <f>IF(SUM(M17:N17)&gt;0,1,"")</f>
        <v/>
      </c>
      <c r="N18" s="86"/>
      <c r="P18" s="19"/>
      <c r="Q18" s="19"/>
      <c r="S18" s="87"/>
      <c r="T18" s="177"/>
      <c r="U18" s="178"/>
      <c r="V18" s="179"/>
      <c r="W18" s="190"/>
      <c r="X18" s="190"/>
      <c r="Y18" s="190"/>
      <c r="Z18" s="191"/>
      <c r="AA18" s="183"/>
      <c r="AB18" s="184"/>
      <c r="AC18" s="216"/>
      <c r="AD18" s="216"/>
      <c r="AE18" s="224" t="s">
        <v>127</v>
      </c>
      <c r="AF18" s="205">
        <f>AH18+AJ18</f>
        <v>0</v>
      </c>
      <c r="AG18" s="205">
        <f>AI18+AK18</f>
        <v>0</v>
      </c>
      <c r="AH18" s="205">
        <f>SUMIFS($W$11:$W$70,$S$11:$S$70,1,$U$11:$U$70,1,$V$11:$V$70,"&gt;=65",$V$11:$V$70,"&lt;70")</f>
        <v>0</v>
      </c>
      <c r="AI18" s="205">
        <f>SUMIFS($W$11:$W$70,$S$11:$S$70,1,$U$11:$U$70,2,$V$11:$V$70,"&gt;=65",$V$11:$V$70,"&lt;70")</f>
        <v>0</v>
      </c>
      <c r="AJ18" s="206"/>
      <c r="AK18" s="206"/>
      <c r="AL18" s="195"/>
      <c r="AM18" s="196"/>
      <c r="AN18" s="196"/>
      <c r="AO18" s="196"/>
      <c r="AP18" s="206"/>
      <c r="AQ18" s="206"/>
      <c r="AR18" s="205">
        <f>SUMIFS($W$11:$W$70,$S$11:$S$70,5,$U$11:$U$70,1,$V$11:$V$70,"&gt;=65",$V$11:$V$70,"&lt;70")</f>
        <v>0</v>
      </c>
      <c r="AS18" s="205">
        <f>SUMIFS($W$11:$W$70,$S$11:$S$70,5,$U$11:$U$70,2,$V$11:$V$70,"&gt;=65",$V$11:$V$70,"&lt;70")</f>
        <v>0</v>
      </c>
      <c r="AT18"/>
      <c r="AU18"/>
      <c r="AV18" s="220"/>
      <c r="AW18" s="198"/>
      <c r="AX18" s="221"/>
      <c r="AY18" s="221"/>
      <c r="AZ18" s="221"/>
      <c r="BA18" s="221"/>
      <c r="BB18" s="221"/>
      <c r="BC18" s="221"/>
      <c r="BD18" s="221"/>
      <c r="BE18" s="221"/>
      <c r="BF18" s="222"/>
    </row>
    <row r="19" spans="1:58" ht="29.25" customHeight="1" thickTop="1" x14ac:dyDescent="0.25">
      <c r="A19" s="135">
        <f>ROUND((ROW()-10)/2,0)</f>
        <v>5</v>
      </c>
      <c r="B19" s="19"/>
      <c r="C19" s="88" t="str">
        <f>IF(INDEX(設定!$C$9:$C$108,$A19,1)="","",INDEX(設定!$C$9:$C$108,$A19,1))</f>
        <v/>
      </c>
      <c r="D19" s="74" t="str">
        <f>IF(INDEX(設定!$D$9:$D$108,$A19,1)="","",INDEX(設定!$D$9:$D$108,$A19,1))</f>
        <v/>
      </c>
      <c r="E19" s="75" t="str">
        <f>IF(INDEX(設定!$E$9:$E$108,$A19,1)="","",INDEX(設定!$E$9:$E$108,$A19,1))</f>
        <v/>
      </c>
      <c r="F19" s="76" t="str">
        <f>IF(S19="","",IF(S19=1,"1：家族",IF(AND(S19&gt;=2,S19&lt;=5),"2：雇用","")))</f>
        <v/>
      </c>
      <c r="G19" s="134">
        <f>INT(INDEX(設定!$H$9:H$108,$A19,1))</f>
        <v>0</v>
      </c>
      <c r="H19" s="77" t="str">
        <f>IF(INDEX(設定!$H$9:$H$108,$A19,1)=0,"",ROUND(MOD(INDEX(設定!$H$9:$H$108,$A19,1),1)*60,0))</f>
        <v/>
      </c>
      <c r="I19" s="134">
        <f>INT(INDEX(設定!$I$9:$I$108,$A19,1))</f>
        <v>0</v>
      </c>
      <c r="J19" s="77" t="str">
        <f>IF(INDEX(設定!$I$9:$I$108,$A19,1)=0,"",ROUND(MOD(INDEX(設定!$I$9:$I$108,$A19,1),1)*60,0))</f>
        <v/>
      </c>
      <c r="K19" s="134">
        <f>INT(INDEX(設定!$J$9:$J$108,$A19,1))</f>
        <v>0</v>
      </c>
      <c r="L19" s="77" t="str">
        <f>IF(INDEX(設定!$J$9:$J$108,$A19,1)=0,"",ROUND(MOD(INDEX(設定!$J$9:$J$108,$A19,1),1)*60,0))</f>
        <v/>
      </c>
      <c r="M19" s="134">
        <f>INT(INDEX(設定!$K$9:$K$108,$A19,1))</f>
        <v>0</v>
      </c>
      <c r="N19" s="78" t="str">
        <f>IF(INDEX(設定!$K$9:$K$108,$A19,1)=0,"",ROUND(MOD(INDEX(設定!$K$9:$K$108,$A19,1),1)*60,0))</f>
        <v/>
      </c>
      <c r="P19" s="19"/>
      <c r="Q19" s="19"/>
      <c r="S19" s="89" t="str">
        <f>IF(INDEX(設定!$F$9:$F$108,$A19,1)="","",VALUE(LEFT(INDEX(設定!$F$9:$F$108,$A19,1),1)))</f>
        <v/>
      </c>
      <c r="T19" s="202" t="str">
        <f>IF(C19="","",C19)</f>
        <v/>
      </c>
      <c r="U19" s="203" t="str">
        <f>IF(D19="","",IF(D19="1：男",1,IF(D19="2：女",2)))</f>
        <v/>
      </c>
      <c r="V19" s="204" t="str">
        <f>IF(E19="","",E19)</f>
        <v/>
      </c>
      <c r="W19" s="180" t="str">
        <f t="shared" ref="W19" si="15">IF(AND(G19="",H19="",G20=""),"",ROUND(SUM(G19,H19/60)*G20,1))</f>
        <v/>
      </c>
      <c r="X19" s="181" t="str">
        <f t="shared" ref="X19" si="16">IF(AND(I19="",J19="",I20=""),"",ROUND(SUM(I19,J19/60)*I20,1))</f>
        <v/>
      </c>
      <c r="Y19" s="181" t="str">
        <f t="shared" ref="Y19" si="17">IF(AND(K19="",L19="",K20=""),"",ROUND(SUM(K19,L19/60)*K20,1))</f>
        <v/>
      </c>
      <c r="Z19" s="182" t="str">
        <f t="shared" ref="Z19" si="18">IF(AND(M19="",N19="",M20=""),"",ROUND(SUM(M19,N19/60)*M20,1))</f>
        <v/>
      </c>
      <c r="AA19" s="183"/>
      <c r="AB19" s="184"/>
      <c r="AC19" s="225"/>
      <c r="AD19" s="216"/>
      <c r="AE19" s="224" t="s">
        <v>128</v>
      </c>
      <c r="AF19" s="205">
        <f t="shared" ref="AF19:AG20" si="19">AH19+AJ19</f>
        <v>0</v>
      </c>
      <c r="AG19" s="205">
        <f t="shared" si="19"/>
        <v>0</v>
      </c>
      <c r="AH19" s="205">
        <f>SUMIFS($W$11:$W$70,$S$11:$S$70,1,$U$11:$U$70,1,$V$11:$V$70,"&gt;=70",$V$11:$V$70,"&lt;75")</f>
        <v>0</v>
      </c>
      <c r="AI19" s="205">
        <f>SUMIFS($W$11:$W$70,$S$11:$S$70,1,$U$11:$U$70,2,$V$11:$V$70,"&gt;=70",$V$11:$V$70,"&lt;75")</f>
        <v>0</v>
      </c>
      <c r="AJ19" s="206"/>
      <c r="AK19" s="206"/>
      <c r="AL19" s="195"/>
      <c r="AM19" s="196"/>
      <c r="AN19" s="196"/>
      <c r="AO19" s="196"/>
      <c r="AP19" s="206"/>
      <c r="AQ19" s="206"/>
      <c r="AR19" s="205">
        <f>SUMIFS($W$11:$W$70,$S$11:$S$70,5,$U$11:$U$70,1,$V$11:$V$70,"&gt;=70",$V$11:$V$70,"&lt;75")</f>
        <v>0</v>
      </c>
      <c r="AS19" s="205">
        <f>SUMIFS($W$11:$W$70,$S$11:$S$70,5,$U$11:$U$70,2,$V$11:$V$70,"&gt;=70",$V$11:$V$70,"&lt;75")</f>
        <v>0</v>
      </c>
      <c r="AT19"/>
      <c r="AU19"/>
      <c r="AV19" s="220"/>
      <c r="AW19" s="198"/>
      <c r="AX19" s="221"/>
      <c r="AY19" s="221"/>
      <c r="AZ19" s="221"/>
      <c r="BA19" s="221"/>
      <c r="BB19" s="221"/>
      <c r="BC19" s="221"/>
      <c r="BD19" s="221"/>
      <c r="BE19" s="221"/>
      <c r="BF19" s="222"/>
    </row>
    <row r="20" spans="1:58" ht="29.25" customHeight="1" thickBot="1" x14ac:dyDescent="0.3">
      <c r="B20" s="19"/>
      <c r="C20" s="80"/>
      <c r="D20" s="81"/>
      <c r="E20" s="82"/>
      <c r="F20" s="83"/>
      <c r="G20" s="84" t="str">
        <f>IF(SUM(G19:H19)&gt;0,1,"")</f>
        <v/>
      </c>
      <c r="H20" s="85"/>
      <c r="I20" s="84" t="str">
        <f>IF(SUM(I19:J19)&gt;0,1,"")</f>
        <v/>
      </c>
      <c r="J20" s="85"/>
      <c r="K20" s="84" t="str">
        <f>IF(SUM(K19:L19)&gt;0,1,"")</f>
        <v/>
      </c>
      <c r="L20" s="85"/>
      <c r="M20" s="84" t="str">
        <f>IF(SUM(M19:N19)&gt;0,1,"")</f>
        <v/>
      </c>
      <c r="N20" s="86"/>
      <c r="P20" s="19"/>
      <c r="Q20" s="19"/>
      <c r="S20" s="87"/>
      <c r="T20" s="177"/>
      <c r="U20" s="178"/>
      <c r="V20" s="179"/>
      <c r="W20" s="190"/>
      <c r="X20" s="190"/>
      <c r="Y20" s="190"/>
      <c r="Z20" s="191"/>
      <c r="AA20" s="183"/>
      <c r="AB20" s="184"/>
      <c r="AC20" s="225"/>
      <c r="AD20" s="226"/>
      <c r="AE20" s="227" t="s">
        <v>15</v>
      </c>
      <c r="AF20" s="208">
        <f t="shared" si="19"/>
        <v>0</v>
      </c>
      <c r="AG20" s="208">
        <f t="shared" si="19"/>
        <v>0</v>
      </c>
      <c r="AH20" s="208">
        <f>SUMIFS($W$11:$W$70,$S$11:$S$70,1,$U$11:$U$70,1,$V$11:$V$70,"&gt;=75")</f>
        <v>0</v>
      </c>
      <c r="AI20" s="208">
        <f>SUMIFS($W$11:$W$70,$S$11:$S$70,1,$U$11:$U$70,2,$V$11:$V$70,"&gt;=75")</f>
        <v>0</v>
      </c>
      <c r="AJ20" s="209"/>
      <c r="AK20" s="209"/>
      <c r="AL20" s="210"/>
      <c r="AM20" s="211"/>
      <c r="AN20" s="211"/>
      <c r="AO20" s="211"/>
      <c r="AP20" s="209"/>
      <c r="AQ20" s="209"/>
      <c r="AR20" s="208">
        <f>SUMIFS($W$11:$W$70,$S$11:$S$70,5,$U$11:$U$70,1,$V$11:$V$70,"&gt;=75")</f>
        <v>0</v>
      </c>
      <c r="AS20" s="208">
        <f>SUMIFS($W$11:$W$70,$S$11:$S$70,5,$U$11:$U$70,2,$V$11:$V$70,"&gt;=75")</f>
        <v>0</v>
      </c>
      <c r="AT20"/>
      <c r="AU20"/>
      <c r="AV20" s="220"/>
      <c r="AW20" s="198"/>
      <c r="AX20" s="221"/>
      <c r="AY20" s="221"/>
      <c r="AZ20" s="221"/>
      <c r="BA20" s="221"/>
      <c r="BB20" s="221"/>
      <c r="BC20" s="221"/>
      <c r="BD20" s="221"/>
      <c r="BE20" s="221"/>
      <c r="BF20" s="222"/>
    </row>
    <row r="21" spans="1:58" ht="29.25" customHeight="1" thickTop="1" thickBot="1" x14ac:dyDescent="0.3">
      <c r="A21" s="135">
        <f>ROUND((ROW()-10)/2,0)</f>
        <v>6</v>
      </c>
      <c r="B21" s="19"/>
      <c r="C21" s="88" t="str">
        <f>IF(INDEX(設定!$C$9:$C$108,$A21,1)="","",INDEX(設定!$C$9:$C$108,$A21,1))</f>
        <v/>
      </c>
      <c r="D21" s="74" t="str">
        <f>IF(INDEX(設定!$D$9:$D$108,$A21,1)="","",INDEX(設定!$D$9:$D$108,$A21,1))</f>
        <v/>
      </c>
      <c r="E21" s="75" t="str">
        <f>IF(INDEX(設定!$E$9:$E$108,$A21,1)="","",INDEX(設定!$E$9:$E$108,$A21,1))</f>
        <v/>
      </c>
      <c r="F21" s="76" t="str">
        <f>IF(S21="","",IF(S21=1,"1：家族",IF(AND(S21&gt;=2,S21&lt;=5),"2：雇用","")))</f>
        <v/>
      </c>
      <c r="G21" s="134">
        <f>INT(INDEX(設定!$H$9:H$108,$A21,1))</f>
        <v>0</v>
      </c>
      <c r="H21" s="77" t="str">
        <f>IF(INDEX(設定!$H$9:$H$108,$A21,1)=0,"",ROUND(MOD(INDEX(設定!$H$9:$H$108,$A21,1),1)*60,0))</f>
        <v/>
      </c>
      <c r="I21" s="134">
        <f>INT(INDEX(設定!$I$9:$I$108,$A21,1))</f>
        <v>0</v>
      </c>
      <c r="J21" s="77" t="str">
        <f>IF(INDEX(設定!$I$9:$I$108,$A21,1)=0,"",ROUND(MOD(INDEX(設定!$I$9:$I$108,$A21,1),1)*60,0))</f>
        <v/>
      </c>
      <c r="K21" s="134">
        <f>INT(INDEX(設定!$J$9:$J$108,$A21,1))</f>
        <v>0</v>
      </c>
      <c r="L21" s="77" t="str">
        <f>IF(INDEX(設定!$J$9:$J$108,$A21,1)=0,"",ROUND(MOD(INDEX(設定!$J$9:$J$108,$A21,1),1)*60,0))</f>
        <v/>
      </c>
      <c r="M21" s="134">
        <f>INT(INDEX(設定!$K$9:$K$108,$A21,1))</f>
        <v>0</v>
      </c>
      <c r="N21" s="78" t="str">
        <f>IF(INDEX(設定!$K$9:$K$108,$A21,1)=0,"",ROUND(MOD(INDEX(設定!$K$9:$K$108,$A21,1),1)*60,0))</f>
        <v/>
      </c>
      <c r="P21" s="19"/>
      <c r="Q21" s="19"/>
      <c r="S21" s="89" t="str">
        <f>IF(INDEX(設定!$F$9:$F$108,$A21,1)="","",VALUE(LEFT(INDEX(設定!$F$9:$F$108,$A21,1),1)))</f>
        <v/>
      </c>
      <c r="T21" s="202" t="str">
        <f>IF(C21="","",C21)</f>
        <v/>
      </c>
      <c r="U21" s="203" t="str">
        <f>IF(D21="","",IF(D21="1：男",1,IF(D21="2：女",2)))</f>
        <v/>
      </c>
      <c r="V21" s="204" t="str">
        <f>IF(E21="","",E21)</f>
        <v/>
      </c>
      <c r="W21" s="180" t="str">
        <f t="shared" ref="W21" si="20">IF(AND(G21="",H21="",G22=""),"",ROUND(SUM(G21,H21/60)*G22,1))</f>
        <v/>
      </c>
      <c r="X21" s="181" t="str">
        <f t="shared" ref="X21" si="21">IF(AND(I21="",J21="",I22=""),"",ROUND(SUM(I21,J21/60)*I22,1))</f>
        <v/>
      </c>
      <c r="Y21" s="181" t="str">
        <f t="shared" ref="Y21" si="22">IF(AND(K21="",L21="",K22=""),"",ROUND(SUM(K21,L21/60)*K22,1))</f>
        <v/>
      </c>
      <c r="Z21" s="182" t="str">
        <f t="shared" ref="Z21" si="23">IF(AND(M21="",N21="",M22=""),"",ROUND(SUM(M21,N21/60)*M22,1))</f>
        <v/>
      </c>
      <c r="AA21" s="183"/>
      <c r="AB21" s="184"/>
      <c r="AC21" s="225"/>
      <c r="AD21" s="541" t="s">
        <v>129</v>
      </c>
      <c r="AE21" s="542"/>
      <c r="AF21" s="217">
        <f>SUM(AF22:AF25)</f>
        <v>0</v>
      </c>
      <c r="AG21" s="217">
        <f>SUM(AG22:AG25)</f>
        <v>0</v>
      </c>
      <c r="AH21" s="218"/>
      <c r="AI21" s="186"/>
      <c r="AJ21" s="186"/>
      <c r="AK21" s="228"/>
      <c r="AL21" s="217">
        <f>AN21+AP21+AR21</f>
        <v>0</v>
      </c>
      <c r="AM21" s="217">
        <f>AO21+AQ21+AS21</f>
        <v>0</v>
      </c>
      <c r="AN21" s="219">
        <f>SUMIFS($X$11:$X$70,$S$11:$S$70,2,$U$11:$U$70,1)</f>
        <v>0</v>
      </c>
      <c r="AO21" s="185">
        <f>SUMIFS($X$11:$X$70,$S$11:$S$70,2,$U$11:$U$70,2)</f>
        <v>0</v>
      </c>
      <c r="AP21" s="185">
        <f>AP22</f>
        <v>0</v>
      </c>
      <c r="AQ21" s="185">
        <f>AQ22</f>
        <v>0</v>
      </c>
      <c r="AR21" s="185">
        <f>SUM(AR22:AR25)</f>
        <v>0</v>
      </c>
      <c r="AS21" s="185">
        <f>SUM(AS22:AS25)</f>
        <v>0</v>
      </c>
      <c r="AT21"/>
      <c r="AU21"/>
      <c r="AV21" s="198"/>
      <c r="AW21" s="541" t="s">
        <v>129</v>
      </c>
      <c r="AX21" s="543"/>
      <c r="AY21" s="188">
        <f>SUM(AY22:AY25)</f>
        <v>0</v>
      </c>
      <c r="AZ21" s="188">
        <f>SUM(AZ22:AZ25)</f>
        <v>0</v>
      </c>
      <c r="BA21" s="229">
        <f>ROUND(BC21+BE21,0)</f>
        <v>0</v>
      </c>
      <c r="BB21" s="229">
        <f>ROUND(BD21+BF21,0)</f>
        <v>0</v>
      </c>
      <c r="BC21" s="230">
        <f>IFERROR($T$112*AN21/($AN$11+$AN$51),0)</f>
        <v>0</v>
      </c>
      <c r="BD21" s="230">
        <f>IFERROR($T$113*AO21/($AO$11+$AO$51),0)</f>
        <v>0</v>
      </c>
      <c r="BE21" s="187">
        <f>SUM(BE22:BE25)</f>
        <v>0</v>
      </c>
      <c r="BF21" s="187">
        <f>SUM(BF22:BF25)</f>
        <v>0</v>
      </c>
    </row>
    <row r="22" spans="1:58" ht="29.25" customHeight="1" thickBot="1" x14ac:dyDescent="0.3">
      <c r="B22" s="19"/>
      <c r="C22" s="80"/>
      <c r="D22" s="81"/>
      <c r="E22" s="82"/>
      <c r="F22" s="83"/>
      <c r="G22" s="84" t="str">
        <f>IF(SUM(G21:H21)&gt;0,1,"")</f>
        <v/>
      </c>
      <c r="H22" s="85"/>
      <c r="I22" s="84" t="str">
        <f>IF(SUM(I21:J21)&gt;0,1,"")</f>
        <v/>
      </c>
      <c r="J22" s="85"/>
      <c r="K22" s="84" t="str">
        <f>IF(SUM(K21:L21)&gt;0,1,"")</f>
        <v/>
      </c>
      <c r="L22" s="85"/>
      <c r="M22" s="84" t="str">
        <f>IF(SUM(M21:N21)&gt;0,1,"")</f>
        <v/>
      </c>
      <c r="N22" s="86"/>
      <c r="P22" s="19"/>
      <c r="Q22" s="19"/>
      <c r="S22" s="87"/>
      <c r="T22" s="177"/>
      <c r="U22" s="178"/>
      <c r="V22" s="179"/>
      <c r="W22" s="190"/>
      <c r="X22" s="190"/>
      <c r="Y22" s="190"/>
      <c r="Z22" s="191"/>
      <c r="AA22" s="183"/>
      <c r="AB22" s="184"/>
      <c r="AC22" s="225"/>
      <c r="AD22" s="216"/>
      <c r="AE22" s="223" t="s">
        <v>14</v>
      </c>
      <c r="AF22" s="194">
        <f>AH22+AJ22</f>
        <v>0</v>
      </c>
      <c r="AG22" s="194">
        <f>AI22+AK22</f>
        <v>0</v>
      </c>
      <c r="AH22" s="194">
        <f>SUMIFS($X$11:$X$70,$S$11:$S$70,1,$U$11:$U$70,1,$V$11:$V$70,"&lt;65")</f>
        <v>0</v>
      </c>
      <c r="AI22" s="194">
        <f>SUMIFS($X$11:$X$70,$S$11:$S$70,1,$U$11:$U$70,2,$V$11:$V$70,"&lt;65")</f>
        <v>0</v>
      </c>
      <c r="AJ22" s="194">
        <f>SUMIFS($X$11:$X$70,$S$11:$S$70,3,$U$11:$U$70,1)</f>
        <v>0</v>
      </c>
      <c r="AK22" s="194">
        <f>SUMIFS($X$11:$X$70,$S$11:$S$70,3,$U$11:$U$70,2)</f>
        <v>0</v>
      </c>
      <c r="AL22" s="231"/>
      <c r="AM22" s="197"/>
      <c r="AN22" s="197"/>
      <c r="AO22" s="197"/>
      <c r="AP22" s="194">
        <f>SUMIFS($X$11:$X$70,$S$11:$S$70,4,$U$11:$U$70,1)</f>
        <v>0</v>
      </c>
      <c r="AQ22" s="194">
        <f>SUMIFS($X$11:$X$70,$S$11:$S$70,4,$U$11:$U$70,2)</f>
        <v>0</v>
      </c>
      <c r="AR22" s="194">
        <f>SUMIFS($X$11:$X$70,$S$11:$S$70,5,$U$11:$U$70,1,$V$11:$V$70,"&lt;65")</f>
        <v>0</v>
      </c>
      <c r="AS22" s="194">
        <f>SUMIFS($X$11:$X$70,$S$11:$S$70,5,$U$11:$U$70,2,$V$11:$V$70,"&lt;65")</f>
        <v>0</v>
      </c>
      <c r="AT22"/>
      <c r="AU22"/>
      <c r="AV22" s="198"/>
      <c r="AW22" s="216"/>
      <c r="AX22" s="223" t="s">
        <v>14</v>
      </c>
      <c r="AY22" s="199">
        <f>ROUND(AF22*$T$4,0)</f>
        <v>0</v>
      </c>
      <c r="AZ22" s="199">
        <f>ROUND(AG22*$T$4,0)</f>
        <v>0</v>
      </c>
      <c r="BA22" s="200"/>
      <c r="BB22" s="201"/>
      <c r="BC22" s="172"/>
      <c r="BD22" s="172"/>
      <c r="BE22" s="232">
        <f>(AP22+AR22)*$T$4</f>
        <v>0</v>
      </c>
      <c r="BF22" s="232">
        <f>(AQ22+AS22)*$T$4</f>
        <v>0</v>
      </c>
    </row>
    <row r="23" spans="1:58" ht="29.25" customHeight="1" thickTop="1" x14ac:dyDescent="0.25">
      <c r="A23" s="135">
        <f>ROUND((ROW()-10)/2,0)</f>
        <v>7</v>
      </c>
      <c r="B23" s="19"/>
      <c r="C23" s="88" t="str">
        <f>IF(INDEX(設定!$C$9:$C$108,$A23,1)="","",INDEX(設定!$C$9:$C$108,$A23,1))</f>
        <v/>
      </c>
      <c r="D23" s="74" t="str">
        <f>IF(INDEX(設定!$D$9:$D$108,$A23,1)="","",INDEX(設定!$D$9:$D$108,$A23,1))</f>
        <v/>
      </c>
      <c r="E23" s="75" t="str">
        <f>IF(INDEX(設定!$E$9:$E$108,$A23,1)="","",INDEX(設定!$E$9:$E$108,$A23,1))</f>
        <v/>
      </c>
      <c r="F23" s="76" t="str">
        <f>IF(S23="","",IF(S23=1,"1：家族",IF(AND(S23&gt;=2,S23&lt;=5),"2：雇用","")))</f>
        <v/>
      </c>
      <c r="G23" s="134">
        <f>INT(INDEX(設定!$H$9:H$108,$A23,1))</f>
        <v>0</v>
      </c>
      <c r="H23" s="77" t="str">
        <f>IF(INDEX(設定!$H$9:$H$108,$A23,1)=0,"",ROUND(MOD(INDEX(設定!$H$9:$H$108,$A23,1),1)*60,0))</f>
        <v/>
      </c>
      <c r="I23" s="134">
        <f>INT(INDEX(設定!$I$9:$I$108,$A23,1))</f>
        <v>0</v>
      </c>
      <c r="J23" s="77" t="str">
        <f>IF(INDEX(設定!$I$9:$I$108,$A23,1)=0,"",ROUND(MOD(INDEX(設定!$I$9:$I$108,$A23,1),1)*60,0))</f>
        <v/>
      </c>
      <c r="K23" s="134">
        <f>INT(INDEX(設定!$J$9:$J$108,$A23,1))</f>
        <v>0</v>
      </c>
      <c r="L23" s="77" t="str">
        <f>IF(INDEX(設定!$J$9:$J$108,$A23,1)=0,"",ROUND(MOD(INDEX(設定!$J$9:$J$108,$A23,1),1)*60,0))</f>
        <v/>
      </c>
      <c r="M23" s="134">
        <f>INT(INDEX(設定!$K$9:$K$108,$A23,1))</f>
        <v>0</v>
      </c>
      <c r="N23" s="78" t="str">
        <f>IF(INDEX(設定!$K$9:$K$108,$A23,1)=0,"",ROUND(MOD(INDEX(設定!$K$9:$K$108,$A23,1),1)*60,0))</f>
        <v/>
      </c>
      <c r="P23" s="19"/>
      <c r="Q23" s="19"/>
      <c r="S23" s="89" t="str">
        <f>IF(INDEX(設定!$F$9:$F$108,$A23,1)="","",VALUE(LEFT(INDEX(設定!$F$9:$F$108,$A23,1),1)))</f>
        <v/>
      </c>
      <c r="T23" s="202" t="str">
        <f>IF(C23="","",C23)</f>
        <v/>
      </c>
      <c r="U23" s="203" t="str">
        <f>IF(D23="","",IF(D23="1：男",1,IF(D23="2：女",2)))</f>
        <v/>
      </c>
      <c r="V23" s="204" t="str">
        <f>IF(E23="","",E23)</f>
        <v/>
      </c>
      <c r="W23" s="180" t="str">
        <f t="shared" ref="W23" si="24">IF(AND(G23="",H23="",G24=""),"",ROUND(SUM(G23,H23/60)*G24,1))</f>
        <v/>
      </c>
      <c r="X23" s="181" t="str">
        <f t="shared" ref="X23" si="25">IF(AND(I23="",J23="",I24=""),"",ROUND(SUM(I23,J23/60)*I24,1))</f>
        <v/>
      </c>
      <c r="Y23" s="181" t="str">
        <f t="shared" ref="Y23" si="26">IF(AND(K23="",L23="",K24=""),"",ROUND(SUM(K23,L23/60)*K24,1))</f>
        <v/>
      </c>
      <c r="Z23" s="182" t="str">
        <f t="shared" ref="Z23" si="27">IF(AND(M23="",N23="",M24=""),"",ROUND(SUM(M23,N23/60)*M24,1))</f>
        <v/>
      </c>
      <c r="AA23" s="183"/>
      <c r="AB23" s="184"/>
      <c r="AC23" s="225"/>
      <c r="AD23" s="216"/>
      <c r="AE23" s="224" t="s">
        <v>127</v>
      </c>
      <c r="AF23" s="205">
        <f>AH23+AJ23</f>
        <v>0</v>
      </c>
      <c r="AG23" s="205">
        <f>AI23+AK23</f>
        <v>0</v>
      </c>
      <c r="AH23" s="205">
        <f>SUMIFS($X$11:$X$70,$S$11:$S$70,1,$U$11:$U$70,1,$V$11:$V$70,"&gt;=65",$V$11:$V$70,"&lt;70")</f>
        <v>0</v>
      </c>
      <c r="AI23" s="205">
        <f>SUMIFS($X$11:$X$70,$S$11:$S$70,1,$U$11:$U$70,2,$V$11:$V$70,"&gt;=65",$V$11:$V$70,"&lt;70")</f>
        <v>0</v>
      </c>
      <c r="AJ23" s="206"/>
      <c r="AK23" s="206"/>
      <c r="AL23" s="195"/>
      <c r="AM23" s="196"/>
      <c r="AN23" s="196"/>
      <c r="AO23" s="196"/>
      <c r="AP23" s="206"/>
      <c r="AQ23" s="206"/>
      <c r="AR23" s="205">
        <f>SUMIFS($X$11:$X$70,$S$11:$S$70,5,$U$11:$U$70,1,$V$11:$V$70,"&gt;=65",$V$11:$V$70,"&lt;70")</f>
        <v>0</v>
      </c>
      <c r="AS23" s="205">
        <f>SUMIFS($X$11:$X$70,$S$11:$S$70,5,$U$11:$U$70,2,$V$11:$V$70,"&gt;=65",$V$11:$V$70,"&lt;70")</f>
        <v>0</v>
      </c>
      <c r="AT23"/>
      <c r="AU23"/>
      <c r="AV23" s="198"/>
      <c r="AW23" s="216"/>
      <c r="AX23" s="224" t="s">
        <v>127</v>
      </c>
      <c r="AY23" s="207">
        <f>ROUND(AF23*$T$4*0.9,0)</f>
        <v>0</v>
      </c>
      <c r="AZ23" s="207">
        <f>ROUND(AG23*$T$4*0.9,0)</f>
        <v>0</v>
      </c>
      <c r="BA23" s="200"/>
      <c r="BB23" s="201"/>
      <c r="BC23" s="200"/>
      <c r="BD23" s="200"/>
      <c r="BE23" s="207">
        <f>(AR23)*$T$4*0.9</f>
        <v>0</v>
      </c>
      <c r="BF23" s="207">
        <f>(AS23)*$T$4*0.9</f>
        <v>0</v>
      </c>
    </row>
    <row r="24" spans="1:58" ht="29.25" customHeight="1" thickBot="1" x14ac:dyDescent="0.3">
      <c r="B24" s="19"/>
      <c r="C24" s="80"/>
      <c r="D24" s="81"/>
      <c r="E24" s="82"/>
      <c r="F24" s="83"/>
      <c r="G24" s="84" t="str">
        <f>IF(SUM(G23:H23)&gt;0,1,"")</f>
        <v/>
      </c>
      <c r="H24" s="85"/>
      <c r="I24" s="84" t="str">
        <f>IF(SUM(I23:J23)&gt;0,1,"")</f>
        <v/>
      </c>
      <c r="J24" s="85"/>
      <c r="K24" s="84" t="str">
        <f>IF(SUM(K23:L23)&gt;0,1,"")</f>
        <v/>
      </c>
      <c r="L24" s="85"/>
      <c r="M24" s="84" t="str">
        <f>IF(SUM(M23:N23)&gt;0,1,"")</f>
        <v/>
      </c>
      <c r="N24" s="86"/>
      <c r="P24" s="19"/>
      <c r="Q24" s="19"/>
      <c r="S24" s="87"/>
      <c r="T24" s="177"/>
      <c r="U24" s="178"/>
      <c r="V24" s="179"/>
      <c r="W24" s="190"/>
      <c r="X24" s="190"/>
      <c r="Y24" s="190"/>
      <c r="Z24" s="191"/>
      <c r="AA24" s="183"/>
      <c r="AB24" s="184"/>
      <c r="AC24" s="225"/>
      <c r="AD24" s="216"/>
      <c r="AE24" s="224" t="s">
        <v>128</v>
      </c>
      <c r="AF24" s="205">
        <f t="shared" ref="AF24:AG25" si="28">AH24+AJ24</f>
        <v>0</v>
      </c>
      <c r="AG24" s="205">
        <f t="shared" si="28"/>
        <v>0</v>
      </c>
      <c r="AH24" s="205">
        <f>SUMIFS($X$11:$X$70,$S$11:$S$70,1,$U$11:$U$70,1,$V$11:$V$70,"&gt;=70",$V$11:$V$70,"&lt;75")</f>
        <v>0</v>
      </c>
      <c r="AI24" s="205">
        <f>SUMIFS($X$11:$X$70,$S$11:$S$70,1,$U$11:$U$70,2,$V$11:$V$70,"&gt;=70",$V$11:$V$70,"&lt;75")</f>
        <v>0</v>
      </c>
      <c r="AJ24" s="206"/>
      <c r="AK24" s="206"/>
      <c r="AL24" s="195"/>
      <c r="AM24" s="196"/>
      <c r="AN24" s="196"/>
      <c r="AO24" s="196"/>
      <c r="AP24" s="206"/>
      <c r="AQ24" s="206"/>
      <c r="AR24" s="205">
        <f>SUMIFS($X$11:$X$70,$S$11:$S$70,5,$U$11:$U$70,1,$V$11:$V$70,"&gt;=70",$V$11:$V$70,"&lt;75")</f>
        <v>0</v>
      </c>
      <c r="AS24" s="205">
        <f>SUMIFS($X$11:$X$70,$S$11:$S$70,5,$U$11:$U$70,2,$V$11:$V$70,"&gt;=70",$V$11:$V$70,"&lt;75")</f>
        <v>0</v>
      </c>
      <c r="AT24"/>
      <c r="AU24"/>
      <c r="AV24" s="198"/>
      <c r="AW24" s="216"/>
      <c r="AX24" s="224" t="s">
        <v>128</v>
      </c>
      <c r="AY24" s="207">
        <f>ROUND(AF24*$T$4*0.8,0)</f>
        <v>0</v>
      </c>
      <c r="AZ24" s="207">
        <f>ROUND(AG24*$T$4*0.8,0)</f>
        <v>0</v>
      </c>
      <c r="BA24" s="200"/>
      <c r="BB24" s="201"/>
      <c r="BC24" s="200"/>
      <c r="BD24" s="200"/>
      <c r="BE24" s="207">
        <f>(AR24)*$T$4*0.8</f>
        <v>0</v>
      </c>
      <c r="BF24" s="207">
        <f>(AS24)*$T$4*0.8</f>
        <v>0</v>
      </c>
    </row>
    <row r="25" spans="1:58" ht="29.25" customHeight="1" thickTop="1" thickBot="1" x14ac:dyDescent="0.3">
      <c r="A25" s="136">
        <f>ROUND((ROW()-10)/2,0)</f>
        <v>8</v>
      </c>
      <c r="C25" s="88" t="str">
        <f>IF(INDEX(設定!$C$9:$C$108,$A25,1)="","",INDEX(設定!$C$9:$C$108,$A25,1))</f>
        <v/>
      </c>
      <c r="D25" s="74" t="str">
        <f>IF(INDEX(設定!$D$9:$D$108,$A25,1)="","",INDEX(設定!$D$9:$D$108,$A25,1))</f>
        <v/>
      </c>
      <c r="E25" s="75" t="str">
        <f>IF(INDEX(設定!$E$9:$E$108,$A25,1)="","",INDEX(設定!$E$9:$E$108,$A25,1))</f>
        <v/>
      </c>
      <c r="F25" s="76" t="str">
        <f>IF(S25="","",IF(S25=1,"1：家族",IF(AND(S25&gt;=2,S25&lt;=5),"2：雇用","")))</f>
        <v/>
      </c>
      <c r="G25" s="134">
        <f>INT(INDEX(設定!$H$9:H$108,$A25,1))</f>
        <v>0</v>
      </c>
      <c r="H25" s="77" t="str">
        <f>IF(INDEX(設定!$H$9:$H$108,$A25,1)=0,"",ROUND(MOD(INDEX(設定!$H$9:$H$108,$A25,1),1)*60,0))</f>
        <v/>
      </c>
      <c r="I25" s="134">
        <f>INT(INDEX(設定!$I$9:$I$108,$A25,1))</f>
        <v>0</v>
      </c>
      <c r="J25" s="77" t="str">
        <f>IF(INDEX(設定!$I$9:$I$108,$A25,1)=0,"",ROUND(MOD(INDEX(設定!$I$9:$I$108,$A25,1),1)*60,0))</f>
        <v/>
      </c>
      <c r="K25" s="134">
        <f>INT(INDEX(設定!$J$9:$J$108,$A25,1))</f>
        <v>0</v>
      </c>
      <c r="L25" s="77" t="str">
        <f>IF(INDEX(設定!$J$9:$J$108,$A25,1)=0,"",ROUND(MOD(INDEX(設定!$J$9:$J$108,$A25,1),1)*60,0))</f>
        <v/>
      </c>
      <c r="M25" s="134">
        <f>INT(INDEX(設定!$K$9:$K$108,$A25,1))</f>
        <v>0</v>
      </c>
      <c r="N25" s="78" t="str">
        <f>IF(INDEX(設定!$K$9:$K$108,$A25,1)=0,"",ROUND(MOD(INDEX(設定!$K$9:$K$108,$A25,1),1)*60,0))</f>
        <v/>
      </c>
      <c r="P25" s="19"/>
      <c r="Q25" s="19"/>
      <c r="S25" s="89" t="str">
        <f>IF(INDEX(設定!$F$9:$F$108,$A25,1)="","",VALUE(LEFT(INDEX(設定!$F$9:$F$108,$A25,1),1)))</f>
        <v/>
      </c>
      <c r="T25" s="202" t="str">
        <f>IF(C25="","",C25)</f>
        <v/>
      </c>
      <c r="U25" s="203" t="str">
        <f>IF(D25="","",IF(D25="1：男",1,IF(D25="2：女",2)))</f>
        <v/>
      </c>
      <c r="V25" s="204" t="str">
        <f>IF(E25="","",E25)</f>
        <v/>
      </c>
      <c r="W25" s="180" t="str">
        <f t="shared" ref="W25" si="29">IF(AND(G25="",H25="",G26=""),"",ROUND(SUM(G25,H25/60)*G26,1))</f>
        <v/>
      </c>
      <c r="X25" s="181" t="str">
        <f t="shared" ref="X25" si="30">IF(AND(I25="",J25="",I26=""),"",ROUND(SUM(I25,J25/60)*I26,1))</f>
        <v/>
      </c>
      <c r="Y25" s="181" t="str">
        <f t="shared" ref="Y25" si="31">IF(AND(K25="",L25="",K26=""),"",ROUND(SUM(K25,L25/60)*K26,1))</f>
        <v/>
      </c>
      <c r="Z25" s="182" t="str">
        <f t="shared" ref="Z25" si="32">IF(AND(M25="",N25="",M26=""),"",ROUND(SUM(M25,N25/60)*M26,1))</f>
        <v/>
      </c>
      <c r="AA25" s="183"/>
      <c r="AB25" s="184"/>
      <c r="AC25" s="216"/>
      <c r="AD25" s="226"/>
      <c r="AE25" s="227" t="s">
        <v>15</v>
      </c>
      <c r="AF25" s="208">
        <f t="shared" si="28"/>
        <v>0</v>
      </c>
      <c r="AG25" s="208">
        <f t="shared" si="28"/>
        <v>0</v>
      </c>
      <c r="AH25" s="208">
        <f>SUMIFS($X$11:$X$70,$S$11:$S$70,1,$U$11:$U$70,1,$V$11:$V$70,"&gt;=75")</f>
        <v>0</v>
      </c>
      <c r="AI25" s="208">
        <f>SUMIFS($X$11:$X$70,$S$11:$S$70,1,$U$11:$U$70,2,$V$11:$V$70,"&gt;=75")</f>
        <v>0</v>
      </c>
      <c r="AJ25" s="209"/>
      <c r="AK25" s="209"/>
      <c r="AL25" s="210"/>
      <c r="AM25" s="211"/>
      <c r="AN25" s="211"/>
      <c r="AO25" s="211"/>
      <c r="AP25" s="209"/>
      <c r="AQ25" s="209"/>
      <c r="AR25" s="208">
        <f>SUMIFS($X$11:$X$70,$S$11:$S$70,5,$U$11:$U$70,1,$V$11:$V$70,"&gt;=75")</f>
        <v>0</v>
      </c>
      <c r="AS25" s="208">
        <f>SUMIFS($X$11:$X$70,$S$11:$S$70,5,$U$11:$U$70,2,$V$11:$V$70,"&gt;=75")</f>
        <v>0</v>
      </c>
      <c r="AT25"/>
      <c r="AU25"/>
      <c r="AV25" s="198"/>
      <c r="AW25" s="226"/>
      <c r="AX25" s="227" t="s">
        <v>15</v>
      </c>
      <c r="AY25" s="212">
        <f>ROUND(AF25*$T$4*0.7,0)</f>
        <v>0</v>
      </c>
      <c r="AZ25" s="212">
        <f>ROUND(AG25*$T$4*0.7,0)</f>
        <v>0</v>
      </c>
      <c r="BA25" s="215"/>
      <c r="BB25" s="214"/>
      <c r="BC25" s="215"/>
      <c r="BD25" s="215"/>
      <c r="BE25" s="212">
        <f>(AR25)*$T$4*0.7</f>
        <v>0</v>
      </c>
      <c r="BF25" s="212">
        <f>(AS25)*$T$4*0.7</f>
        <v>0</v>
      </c>
    </row>
    <row r="26" spans="1:58" ht="29.25" customHeight="1" thickBot="1" x14ac:dyDescent="0.3">
      <c r="A26" s="136"/>
      <c r="C26" s="80"/>
      <c r="D26" s="81"/>
      <c r="E26" s="82"/>
      <c r="F26" s="83"/>
      <c r="G26" s="84" t="str">
        <f>IF(SUM(G25:H25)&gt;0,1,"")</f>
        <v/>
      </c>
      <c r="H26" s="85"/>
      <c r="I26" s="84" t="str">
        <f>IF(SUM(I25:J25)&gt;0,1,"")</f>
        <v/>
      </c>
      <c r="J26" s="85"/>
      <c r="K26" s="84" t="str">
        <f>IF(SUM(K25:L25)&gt;0,1,"")</f>
        <v/>
      </c>
      <c r="L26" s="85"/>
      <c r="M26" s="84" t="str">
        <f>IF(SUM(M25:N25)&gt;0,1,"")</f>
        <v/>
      </c>
      <c r="N26" s="86"/>
      <c r="P26" s="19"/>
      <c r="Q26" s="19"/>
      <c r="S26" s="87"/>
      <c r="T26" s="177"/>
      <c r="U26" s="178"/>
      <c r="V26" s="179"/>
      <c r="W26" s="190"/>
      <c r="X26" s="190"/>
      <c r="Y26" s="190"/>
      <c r="Z26" s="191"/>
      <c r="AA26" s="183"/>
      <c r="AB26" s="184"/>
      <c r="AC26" s="216"/>
      <c r="AD26" s="541" t="s">
        <v>113</v>
      </c>
      <c r="AE26" s="542"/>
      <c r="AF26" s="217">
        <f t="shared" ref="AF26:AG26" si="33">SUM(AF27:AF30)</f>
        <v>0</v>
      </c>
      <c r="AG26" s="217">
        <f t="shared" si="33"/>
        <v>0</v>
      </c>
      <c r="AH26" s="218"/>
      <c r="AI26" s="186"/>
      <c r="AJ26" s="186"/>
      <c r="AK26" s="228"/>
      <c r="AL26" s="217">
        <f>AN26+AP26+AR26</f>
        <v>0</v>
      </c>
      <c r="AM26" s="217">
        <f>AO26+AQ26+AS26</f>
        <v>0</v>
      </c>
      <c r="AN26" s="219">
        <f>SUMIFS($Y$11:$Y$70,$S$11:$S$70,2,$U$11:$U$70,1)</f>
        <v>0</v>
      </c>
      <c r="AO26" s="185">
        <f>SUMIFS($Y$11:$Y$70,$S$11:$S$70,2,$U$11:$U$70,2)</f>
        <v>0</v>
      </c>
      <c r="AP26" s="185">
        <f>AP27</f>
        <v>0</v>
      </c>
      <c r="AQ26" s="185">
        <f>AQ27</f>
        <v>0</v>
      </c>
      <c r="AR26" s="185">
        <f>SUM(AR27:AR30)</f>
        <v>0</v>
      </c>
      <c r="AS26" s="185">
        <f>SUM(AS27:AS30)</f>
        <v>0</v>
      </c>
      <c r="AT26"/>
      <c r="AU26"/>
      <c r="AV26" s="220"/>
      <c r="AW26" s="541" t="s">
        <v>113</v>
      </c>
      <c r="AX26" s="543"/>
      <c r="AY26" s="187">
        <f>SUM(AY27:AY30)</f>
        <v>0</v>
      </c>
      <c r="AZ26" s="187">
        <f>SUM(AZ27:AZ30)</f>
        <v>0</v>
      </c>
      <c r="BA26" s="187">
        <f>ROUND(BC26+BE26,0)</f>
        <v>0</v>
      </c>
      <c r="BB26" s="187">
        <f>ROUND(BD26+BF26,0)</f>
        <v>0</v>
      </c>
      <c r="BC26" s="230">
        <f>IFERROR($T$112*AN26/($AN$11+$AN$51),0)</f>
        <v>0</v>
      </c>
      <c r="BD26" s="230">
        <f>IFERROR($T$113*AO26/($AO$11+$AO$51),0)</f>
        <v>0</v>
      </c>
      <c r="BE26" s="187">
        <f>SUM(BE27:BE30)</f>
        <v>0</v>
      </c>
      <c r="BF26" s="187">
        <f>SUM(BF27:BF30)</f>
        <v>0</v>
      </c>
    </row>
    <row r="27" spans="1:58" ht="29.25" customHeight="1" thickTop="1" x14ac:dyDescent="0.25">
      <c r="A27" s="136">
        <f>ROUND((ROW()-10)/2,0)</f>
        <v>9</v>
      </c>
      <c r="C27" s="88" t="str">
        <f>IF(INDEX(設定!$C$9:$C$108,$A27,1)="","",INDEX(設定!$C$9:$C$108,$A27,1))</f>
        <v/>
      </c>
      <c r="D27" s="74" t="str">
        <f>IF(INDEX(設定!$D$9:$D$108,$A27,1)="","",INDEX(設定!$D$9:$D$108,$A27,1))</f>
        <v/>
      </c>
      <c r="E27" s="75" t="str">
        <f>IF(INDEX(設定!$E$9:$E$108,$A27,1)="","",INDEX(設定!$E$9:$E$108,$A27,1))</f>
        <v/>
      </c>
      <c r="F27" s="76" t="str">
        <f>IF(S27="","",IF(S27=1,"1：家族",IF(AND(S27&gt;=2,S27&lt;=5),"2：雇用","")))</f>
        <v/>
      </c>
      <c r="G27" s="134">
        <f>INT(INDEX(設定!$H$9:H$108,$A27,1))</f>
        <v>0</v>
      </c>
      <c r="H27" s="77" t="str">
        <f>IF(INDEX(設定!$H$9:$H$108,$A27,1)=0,"",ROUND(MOD(INDEX(設定!$H$9:$H$108,$A27,1),1)*60,0))</f>
        <v/>
      </c>
      <c r="I27" s="134">
        <f>INT(INDEX(設定!$I$9:$I$108,$A27,1))</f>
        <v>0</v>
      </c>
      <c r="J27" s="77" t="str">
        <f>IF(INDEX(設定!$I$9:$I$108,$A27,1)=0,"",ROUND(MOD(INDEX(設定!$I$9:$I$108,$A27,1),1)*60,0))</f>
        <v/>
      </c>
      <c r="K27" s="134">
        <f>INT(INDEX(設定!$J$9:$J$108,$A27,1))</f>
        <v>0</v>
      </c>
      <c r="L27" s="77" t="str">
        <f>IF(INDEX(設定!$J$9:$J$108,$A27,1)=0,"",ROUND(MOD(INDEX(設定!$J$9:$J$108,$A27,1),1)*60,0))</f>
        <v/>
      </c>
      <c r="M27" s="134">
        <f>INT(INDEX(設定!$K$9:$K$108,$A27,1))</f>
        <v>0</v>
      </c>
      <c r="N27" s="78" t="str">
        <f>IF(INDEX(設定!$K$9:$K$108,$A27,1)=0,"",ROUND(MOD(INDEX(設定!$K$9:$K$108,$A27,1),1)*60,0))</f>
        <v/>
      </c>
      <c r="P27" s="19"/>
      <c r="Q27" s="19"/>
      <c r="S27" s="89" t="str">
        <f>IF(INDEX(設定!$F$9:$F$108,$A27,1)="","",VALUE(LEFT(INDEX(設定!$F$9:$F$108,$A27,1),1)))</f>
        <v/>
      </c>
      <c r="T27" s="202" t="str">
        <f>IF(C27="","",C27)</f>
        <v/>
      </c>
      <c r="U27" s="203" t="str">
        <f>IF(D27="","",IF(D27="1：男",1,IF(D27="2：女",2)))</f>
        <v/>
      </c>
      <c r="V27" s="204" t="str">
        <f>IF(E27="","",E27)</f>
        <v/>
      </c>
      <c r="W27" s="180" t="str">
        <f t="shared" ref="W27" si="34">IF(AND(G27="",H27="",G28=""),"",ROUND(SUM(G27,H27/60)*G28,1))</f>
        <v/>
      </c>
      <c r="X27" s="181" t="str">
        <f t="shared" ref="X27" si="35">IF(AND(I27="",J27="",I28=""),"",ROUND(SUM(I27,J27/60)*I28,1))</f>
        <v/>
      </c>
      <c r="Y27" s="181" t="str">
        <f t="shared" ref="Y27" si="36">IF(AND(K27="",L27="",K28=""),"",ROUND(SUM(K27,L27/60)*K28,1))</f>
        <v/>
      </c>
      <c r="Z27" s="182" t="str">
        <f t="shared" ref="Z27" si="37">IF(AND(M27="",N27="",M28=""),"",ROUND(SUM(M27,N27/60)*M28,1))</f>
        <v/>
      </c>
      <c r="AA27" s="183"/>
      <c r="AB27" s="184"/>
      <c r="AC27" s="216"/>
      <c r="AD27" s="216"/>
      <c r="AE27" s="223" t="s">
        <v>14</v>
      </c>
      <c r="AF27" s="194">
        <f>AH27+AJ27</f>
        <v>0</v>
      </c>
      <c r="AG27" s="194">
        <f>AI27+AK27</f>
        <v>0</v>
      </c>
      <c r="AH27" s="194">
        <f>SUMIFS($Y$11:$Y$70,$S$11:$S$70,1,$U$11:$U$70,1,$V$11:$V$70,"&lt;65")</f>
        <v>0</v>
      </c>
      <c r="AI27" s="194">
        <f>SUMIFS($Y$11:$Y$70,$S$11:$S$70,1,$U$11:$U$70,2,$V$11:$V$70,"&lt;65")</f>
        <v>0</v>
      </c>
      <c r="AJ27" s="194">
        <f>SUMIFS($Y$11:$Y$70,$S$11:$S$70,3,$U$11:$U$70,1)</f>
        <v>0</v>
      </c>
      <c r="AK27" s="194">
        <f>SUMIFS($Y$11:$Y$70,$S$11:$S$70,3,$U$11:$U$70,2)</f>
        <v>0</v>
      </c>
      <c r="AL27" s="231"/>
      <c r="AM27" s="197"/>
      <c r="AN27" s="197"/>
      <c r="AO27" s="197"/>
      <c r="AP27" s="194">
        <f>SUMIFS($Y$11:$Y$70,$S$11:$S$70,4,$U$11:$U$70,1)</f>
        <v>0</v>
      </c>
      <c r="AQ27" s="194">
        <f>SUMIFS($Y$11:$Y$70,$S$11:$S$70,4,$U$11:$U$70,2)</f>
        <v>0</v>
      </c>
      <c r="AR27" s="194">
        <f>SUMIFS($Y$11:$Y$70,$S$11:$S$70,5,$U$11:$U$70,1,$V$11:$V$70,"&lt;65")</f>
        <v>0</v>
      </c>
      <c r="AS27" s="194">
        <f>SUMIFS($Y$11:$Y$70,$S$11:$S$70,5,$U$11:$U$70,2,$V$11:$V$70,"&lt;65")</f>
        <v>0</v>
      </c>
      <c r="AT27"/>
      <c r="AU27"/>
      <c r="AV27" s="220"/>
      <c r="AW27" s="216"/>
      <c r="AX27" s="223" t="s">
        <v>14</v>
      </c>
      <c r="AY27" s="199">
        <f>ROUND(AF27*$T$4,0)</f>
        <v>0</v>
      </c>
      <c r="AZ27" s="199">
        <f>ROUND(AG27*$T$4,0)</f>
        <v>0</v>
      </c>
      <c r="BA27" s="200"/>
      <c r="BB27" s="201"/>
      <c r="BC27" s="172"/>
      <c r="BD27" s="172"/>
      <c r="BE27" s="232">
        <f>(AP27+AR27)*$T$4</f>
        <v>0</v>
      </c>
      <c r="BF27" s="232">
        <f>(AQ27+AS27)*$T$4</f>
        <v>0</v>
      </c>
    </row>
    <row r="28" spans="1:58" ht="29.25" customHeight="1" thickBot="1" x14ac:dyDescent="0.3">
      <c r="B28" s="19"/>
      <c r="C28" s="80"/>
      <c r="D28" s="81"/>
      <c r="E28" s="82"/>
      <c r="F28" s="83"/>
      <c r="G28" s="84" t="str">
        <f>IF(SUM(G27:H27)&gt;0,1,"")</f>
        <v/>
      </c>
      <c r="H28" s="85"/>
      <c r="I28" s="84" t="str">
        <f>IF(SUM(I27:J27)&gt;0,1,"")</f>
        <v/>
      </c>
      <c r="J28" s="85"/>
      <c r="K28" s="84" t="str">
        <f>IF(SUM(K27:L27)&gt;0,1,"")</f>
        <v/>
      </c>
      <c r="L28" s="85"/>
      <c r="M28" s="84" t="str">
        <f>IF(SUM(M27:N27)&gt;0,1,"")</f>
        <v/>
      </c>
      <c r="N28" s="86"/>
      <c r="P28" s="19"/>
      <c r="Q28" s="19"/>
      <c r="S28" s="87"/>
      <c r="T28" s="233"/>
      <c r="U28" s="234"/>
      <c r="V28" s="235"/>
      <c r="W28" s="190"/>
      <c r="X28" s="190"/>
      <c r="Y28" s="190"/>
      <c r="Z28" s="191"/>
      <c r="AA28" s="183"/>
      <c r="AB28" s="184"/>
      <c r="AC28" s="216"/>
      <c r="AD28" s="216"/>
      <c r="AE28" s="224" t="s">
        <v>127</v>
      </c>
      <c r="AF28" s="205">
        <f>AH28+AJ28</f>
        <v>0</v>
      </c>
      <c r="AG28" s="205">
        <f>AI28+AK28</f>
        <v>0</v>
      </c>
      <c r="AH28" s="205">
        <f>SUMIFS($Y$11:$Y$70,$S$11:$S$70,1,$U$11:$U$70,1,$V$11:$V$70,"&gt;=65",$V$11:$V$70,"&lt;70")</f>
        <v>0</v>
      </c>
      <c r="AI28" s="205">
        <f>SUMIFS($Y$11:$Y$70,$S$11:$S$70,1,$U$11:$U$70,2,$V$11:$V$70,"&gt;=65",$V$11:$V$70,"&lt;70")</f>
        <v>0</v>
      </c>
      <c r="AJ28" s="206"/>
      <c r="AK28" s="206"/>
      <c r="AL28" s="195"/>
      <c r="AM28" s="196"/>
      <c r="AN28" s="196"/>
      <c r="AO28" s="196"/>
      <c r="AP28" s="206"/>
      <c r="AQ28" s="206"/>
      <c r="AR28" s="205">
        <f>SUMIFS($Y$11:$Y$70,$S$11:$S$70,5,$U$11:$U$70,1,$V$11:$V$70,"&gt;=65",$V$11:$V$70,"&lt;70")</f>
        <v>0</v>
      </c>
      <c r="AS28" s="205">
        <f>SUMIFS($Y$11:$Y$70,$S$11:$S$70,5,$U$11:$U$70,2,$V$11:$V$70,"&gt;=65",$V$11:$V$70,"&lt;70")</f>
        <v>0</v>
      </c>
      <c r="AT28"/>
      <c r="AU28"/>
      <c r="AV28" s="220"/>
      <c r="AW28" s="216"/>
      <c r="AX28" s="224" t="s">
        <v>127</v>
      </c>
      <c r="AY28" s="207">
        <f>ROUND(AF28*$T$4*0.9,0)</f>
        <v>0</v>
      </c>
      <c r="AZ28" s="207">
        <f>ROUND(AG28*$T$4*0.9,0)</f>
        <v>0</v>
      </c>
      <c r="BA28" s="200"/>
      <c r="BB28" s="201"/>
      <c r="BC28" s="200"/>
      <c r="BD28" s="200"/>
      <c r="BE28" s="207">
        <f>(AR28)*$T$4*0.9</f>
        <v>0</v>
      </c>
      <c r="BF28" s="207">
        <f>(AS28)*$T$4*0.9</f>
        <v>0</v>
      </c>
    </row>
    <row r="29" spans="1:58" ht="29.25" customHeight="1" thickTop="1" x14ac:dyDescent="0.25">
      <c r="A29" s="135">
        <f>ROUND((ROW()-10)/2,0)</f>
        <v>10</v>
      </c>
      <c r="B29" s="19"/>
      <c r="C29" s="88" t="str">
        <f>IF(INDEX(設定!$C$9:$C$108,$A29,1)="","",INDEX(設定!$C$9:$C$108,$A29,1))</f>
        <v/>
      </c>
      <c r="D29" s="74" t="str">
        <f>IF(INDEX(設定!$D$9:$D$108,$A29,1)="","",INDEX(設定!$D$9:$D$108,$A29,1))</f>
        <v/>
      </c>
      <c r="E29" s="75" t="str">
        <f>IF(INDEX(設定!$E$9:$E$108,$A29,1)="","",INDEX(設定!$E$9:$E$108,$A29,1))</f>
        <v/>
      </c>
      <c r="F29" s="76" t="str">
        <f>IF(S29="","",IF(S29=1,"1：家族",IF(AND(S29&gt;=2,S29&lt;=5),"2：雇用","")))</f>
        <v/>
      </c>
      <c r="G29" s="134">
        <f>INT(INDEX(設定!$H$9:H$108,$A29,1))</f>
        <v>0</v>
      </c>
      <c r="H29" s="77" t="str">
        <f>IF(INDEX(設定!$H$9:$H$108,$A29,1)=0,"",ROUND(MOD(INDEX(設定!$H$9:$H$108,$A29,1),1)*60,0))</f>
        <v/>
      </c>
      <c r="I29" s="134">
        <f>INT(INDEX(設定!$I$9:$I$108,$A29,1))</f>
        <v>0</v>
      </c>
      <c r="J29" s="77" t="str">
        <f>IF(INDEX(設定!$I$9:$I$108,$A29,1)=0,"",ROUND(MOD(INDEX(設定!$I$9:$I$108,$A29,1),1)*60,0))</f>
        <v/>
      </c>
      <c r="K29" s="134">
        <f>INT(INDEX(設定!$J$9:$J$108,$A29,1))</f>
        <v>0</v>
      </c>
      <c r="L29" s="77" t="str">
        <f>IF(INDEX(設定!$J$9:$J$108,$A29,1)=0,"",ROUND(MOD(INDEX(設定!$J$9:$J$108,$A29,1),1)*60,0))</f>
        <v/>
      </c>
      <c r="M29" s="134">
        <f>INT(INDEX(設定!$K$9:$K$108,$A29,1))</f>
        <v>0</v>
      </c>
      <c r="N29" s="78" t="str">
        <f>IF(INDEX(設定!$K$9:$K$108,$A29,1)=0,"",ROUND(MOD(INDEX(設定!$K$9:$K$108,$A29,1),1)*60,0))</f>
        <v/>
      </c>
      <c r="P29" s="19"/>
      <c r="Q29" s="19"/>
      <c r="S29" s="89" t="str">
        <f>IF(INDEX(設定!$F$9:$F$108,$A29,1)="","",VALUE(LEFT(INDEX(設定!$F$9:$F$108,$A29,1),1)))</f>
        <v/>
      </c>
      <c r="T29" s="202" t="str">
        <f>IF(C29="","",C29)</f>
        <v/>
      </c>
      <c r="U29" s="203" t="str">
        <f>IF(D29="","",IF(D29="1：男",1,IF(D29="2：女",2)))</f>
        <v/>
      </c>
      <c r="V29" s="204" t="str">
        <f>IF(E29="","",E29)</f>
        <v/>
      </c>
      <c r="W29" s="180" t="str">
        <f t="shared" ref="W29" si="38">IF(AND(G29="",H29="",G30=""),"",ROUND(SUM(G29,H29/60)*G30,1))</f>
        <v/>
      </c>
      <c r="X29" s="181" t="str">
        <f t="shared" ref="X29" si="39">IF(AND(I29="",J29="",I30=""),"",ROUND(SUM(I29,J29/60)*I30,1))</f>
        <v/>
      </c>
      <c r="Y29" s="181" t="str">
        <f t="shared" ref="Y29" si="40">IF(AND(K29="",L29="",K30=""),"",ROUND(SUM(K29,L29/60)*K30,1))</f>
        <v/>
      </c>
      <c r="Z29" s="182" t="str">
        <f t="shared" ref="Z29" si="41">IF(AND(M29="",N29="",M30=""),"",ROUND(SUM(M29,N29/60)*M30,1))</f>
        <v/>
      </c>
      <c r="AA29" s="183"/>
      <c r="AB29" s="184"/>
      <c r="AC29" s="216"/>
      <c r="AD29" s="216"/>
      <c r="AE29" s="224" t="s">
        <v>128</v>
      </c>
      <c r="AF29" s="236">
        <f t="shared" ref="AF29:AG30" si="42">AH29+AJ29</f>
        <v>0</v>
      </c>
      <c r="AG29" s="236">
        <f t="shared" si="42"/>
        <v>0</v>
      </c>
      <c r="AH29" s="236">
        <f>SUMIFS($Y$11:$Y$70,$S$11:$S$70,1,$U$11:$U$70,1,$V$11:$V$70,"&gt;=70",$V$11:$V$70,"&lt;75")</f>
        <v>0</v>
      </c>
      <c r="AI29" s="236">
        <f>SUMIFS($Y$11:$Y$70,$S$11:$S$70,1,$U$11:$U$70,2,$V$11:$V$70,"&gt;=70",$V$11:$V$70,"&lt;75")</f>
        <v>0</v>
      </c>
      <c r="AJ29" s="206"/>
      <c r="AK29" s="206"/>
      <c r="AL29" s="195"/>
      <c r="AM29" s="196"/>
      <c r="AN29" s="196"/>
      <c r="AO29" s="196"/>
      <c r="AP29" s="206"/>
      <c r="AQ29" s="206"/>
      <c r="AR29" s="236">
        <f>SUMIFS($Y$11:$Y$70,$S$11:$S$70,5,$U$11:$U$70,1,$V$11:$V$70,"&gt;=70",$V$11:$V$70,"&lt;75")</f>
        <v>0</v>
      </c>
      <c r="AS29" s="236">
        <f>SUMIFS($Y$11:$Y$70,$S$11:$S$70,5,$U$11:$U$70,2,$V$11:$V$70,"&gt;=70",$V$11:$V$70,"&lt;75")</f>
        <v>0</v>
      </c>
      <c r="AT29"/>
      <c r="AU29"/>
      <c r="AV29" s="220"/>
      <c r="AW29" s="216"/>
      <c r="AX29" s="224" t="s">
        <v>128</v>
      </c>
      <c r="AY29" s="237">
        <f>ROUND(AF29*$T$4*0.8,0)</f>
        <v>0</v>
      </c>
      <c r="AZ29" s="237">
        <f>ROUND(AG29*$T$4*0.8,0)</f>
        <v>0</v>
      </c>
      <c r="BA29" s="200"/>
      <c r="BB29" s="201"/>
      <c r="BC29" s="200"/>
      <c r="BD29" s="200"/>
      <c r="BE29" s="237">
        <f>(AR29)*$T$4*0.8</f>
        <v>0</v>
      </c>
      <c r="BF29" s="237">
        <f>(AS29)*$T$4*0.8</f>
        <v>0</v>
      </c>
    </row>
    <row r="30" spans="1:58" ht="29.25" customHeight="1" thickBot="1" x14ac:dyDescent="0.3">
      <c r="B30" s="19"/>
      <c r="C30" s="80"/>
      <c r="D30" s="81"/>
      <c r="E30" s="82"/>
      <c r="F30" s="83"/>
      <c r="G30" s="84" t="str">
        <f>IF(SUM(G29:H29)&gt;0,1,"")</f>
        <v/>
      </c>
      <c r="H30" s="85"/>
      <c r="I30" s="84" t="str">
        <f>IF(SUM(I29:J29)&gt;0,1,"")</f>
        <v/>
      </c>
      <c r="J30" s="85"/>
      <c r="K30" s="84" t="str">
        <f>IF(SUM(K29:L29)&gt;0,1,"")</f>
        <v/>
      </c>
      <c r="L30" s="85"/>
      <c r="M30" s="84" t="str">
        <f>IF(SUM(M29:N29)&gt;0,1,"")</f>
        <v/>
      </c>
      <c r="N30" s="86"/>
      <c r="P30" s="19"/>
      <c r="Q30" s="19"/>
      <c r="S30" s="87"/>
      <c r="T30" s="177"/>
      <c r="U30" s="178"/>
      <c r="V30" s="179"/>
      <c r="W30" s="190"/>
      <c r="X30" s="190"/>
      <c r="Y30" s="190"/>
      <c r="Z30" s="191"/>
      <c r="AA30" s="183"/>
      <c r="AB30" s="221"/>
      <c r="AC30" s="216"/>
      <c r="AD30" s="238"/>
      <c r="AE30" s="227" t="s">
        <v>15</v>
      </c>
      <c r="AF30" s="239">
        <f t="shared" si="42"/>
        <v>0</v>
      </c>
      <c r="AG30" s="239">
        <f t="shared" si="42"/>
        <v>0</v>
      </c>
      <c r="AH30" s="239">
        <f>SUMIFS($Y$11:$Y$70,$S$11:$S$70,1,$U$11:$U$70,1,$V$11:$V$70,"&gt;=75")</f>
        <v>0</v>
      </c>
      <c r="AI30" s="239">
        <f>SUMIFS($Y$11:$Y$70,$S$11:$S$70,1,$U$11:$U$70,2,$V$11:$V$70,"&gt;=75")</f>
        <v>0</v>
      </c>
      <c r="AJ30" s="209"/>
      <c r="AK30" s="209"/>
      <c r="AL30" s="210"/>
      <c r="AM30" s="211"/>
      <c r="AN30" s="211"/>
      <c r="AO30" s="211"/>
      <c r="AP30" s="209"/>
      <c r="AQ30" s="209"/>
      <c r="AR30" s="239">
        <f>SUMIFS($Y$11:$Y$70,$S$11:$S$70,5,$U$11:$U$70,1,$V$11:$V$70,"&gt;=75")</f>
        <v>0</v>
      </c>
      <c r="AS30" s="239">
        <f>SUMIFS($Y$11:$Y$70,$S$11:$S$70,5,$U$11:$U$70,2,$V$11:$V$70,"&gt;=75")</f>
        <v>0</v>
      </c>
      <c r="AT30"/>
      <c r="AU30"/>
      <c r="AV30" s="220"/>
      <c r="AW30" s="226"/>
      <c r="AX30" s="227" t="s">
        <v>15</v>
      </c>
      <c r="AY30" s="240">
        <f>ROUND(AF30*$T$4*0.7,0)</f>
        <v>0</v>
      </c>
      <c r="AZ30" s="240">
        <f>ROUND(AG30*$T$4*0.7,0)</f>
        <v>0</v>
      </c>
      <c r="BA30" s="215"/>
      <c r="BB30" s="214"/>
      <c r="BC30" s="215"/>
      <c r="BD30" s="215"/>
      <c r="BE30" s="240">
        <f>(AR30)*$T$4*0.7</f>
        <v>0</v>
      </c>
      <c r="BF30" s="240">
        <f>(AS30)*$T$4*0.7</f>
        <v>0</v>
      </c>
    </row>
    <row r="31" spans="1:58" ht="29.25" customHeight="1" thickTop="1" thickBot="1" x14ac:dyDescent="0.3">
      <c r="A31" s="135">
        <f>ROUND((ROW()-10)/2,0)</f>
        <v>11</v>
      </c>
      <c r="B31" s="19"/>
      <c r="C31" s="88" t="str">
        <f>IF(INDEX(設定!$C$9:$C$108,$A31,1)="","",INDEX(設定!$C$9:$C$108,$A31,1))</f>
        <v/>
      </c>
      <c r="D31" s="74" t="str">
        <f>IF(INDEX(設定!$D$9:$D$108,$A31,1)="","",INDEX(設定!$D$9:$D$108,$A31,1))</f>
        <v/>
      </c>
      <c r="E31" s="75" t="str">
        <f>IF(INDEX(設定!$E$9:$E$108,$A31,1)="","",INDEX(設定!$E$9:$E$108,$A31,1))</f>
        <v/>
      </c>
      <c r="F31" s="76" t="str">
        <f>IF(S31="","",IF(S31=1,"1：家族",IF(AND(S31&gt;=2,S31&lt;=5),"2：雇用","")))</f>
        <v/>
      </c>
      <c r="G31" s="134">
        <f>INT(INDEX(設定!$H$9:H$108,$A31,1))</f>
        <v>0</v>
      </c>
      <c r="H31" s="77" t="str">
        <f>IF(INDEX(設定!$H$9:$H$108,$A31,1)=0,"",ROUND(MOD(INDEX(設定!$H$9:$H$108,$A31,1),1)*60,0))</f>
        <v/>
      </c>
      <c r="I31" s="134">
        <f>INT(INDEX(設定!$I$9:$I$108,$A31,1))</f>
        <v>0</v>
      </c>
      <c r="J31" s="77" t="str">
        <f>IF(INDEX(設定!$I$9:$I$108,$A31,1)=0,"",ROUND(MOD(INDEX(設定!$I$9:$I$108,$A31,1),1)*60,0))</f>
        <v/>
      </c>
      <c r="K31" s="134">
        <f>INT(INDEX(設定!$J$9:$J$108,$A31,1))</f>
        <v>0</v>
      </c>
      <c r="L31" s="77" t="str">
        <f>IF(INDEX(設定!$J$9:$J$108,$A31,1)=0,"",ROUND(MOD(INDEX(設定!$J$9:$J$108,$A31,1),1)*60,0))</f>
        <v/>
      </c>
      <c r="M31" s="134">
        <f>INT(INDEX(設定!$K$9:$K$108,$A31,1))</f>
        <v>0</v>
      </c>
      <c r="N31" s="78" t="str">
        <f>IF(INDEX(設定!$K$9:$K$108,$A31,1)=0,"",ROUND(MOD(INDEX(設定!$K$9:$K$108,$A31,1),1)*60,0))</f>
        <v/>
      </c>
      <c r="P31" s="19"/>
      <c r="Q31" s="19"/>
      <c r="S31" s="89" t="str">
        <f>IF(INDEX(設定!$F$9:$F$108,$A31,1)="","",VALUE(LEFT(INDEX(設定!$F$9:$F$108,$A31,1),1)))</f>
        <v/>
      </c>
      <c r="T31" s="202" t="str">
        <f>IF(C31="","",C31)</f>
        <v/>
      </c>
      <c r="U31" s="203" t="str">
        <f>IF(D31="","",IF(D31="1：男",1,IF(D31="2：女",2)))</f>
        <v/>
      </c>
      <c r="V31" s="204" t="str">
        <f>IF(E31="","",E31)</f>
        <v/>
      </c>
      <c r="W31" s="180" t="str">
        <f t="shared" ref="W31" si="43">IF(AND(G31="",H31="",G32=""),"",ROUND(SUM(G31,H31/60)*G32,1))</f>
        <v/>
      </c>
      <c r="X31" s="181" t="str">
        <f t="shared" ref="X31" si="44">IF(AND(I31="",J31="",I32=""),"",ROUND(SUM(I31,J31/60)*I32,1))</f>
        <v/>
      </c>
      <c r="Y31" s="181" t="str">
        <f t="shared" ref="Y31" si="45">IF(AND(K31="",L31="",K32=""),"",ROUND(SUM(K31,L31/60)*K32,1))</f>
        <v/>
      </c>
      <c r="Z31" s="182" t="str">
        <f t="shared" ref="Z31" si="46">IF(AND(M31="",N31="",M32=""),"",ROUND(SUM(M31,N31/60)*M32,1))</f>
        <v/>
      </c>
      <c r="AA31" s="183"/>
      <c r="AB31" s="221"/>
      <c r="AC31" s="216"/>
      <c r="AD31" s="541" t="s">
        <v>13</v>
      </c>
      <c r="AE31" s="542"/>
      <c r="AF31" s="241">
        <f t="shared" ref="AF31:AG31" si="47">SUM(AF32:AF35)</f>
        <v>0</v>
      </c>
      <c r="AG31" s="241">
        <f t="shared" si="47"/>
        <v>0</v>
      </c>
      <c r="AH31" s="218"/>
      <c r="AI31" s="186"/>
      <c r="AJ31" s="186"/>
      <c r="AK31" s="228"/>
      <c r="AL31" s="241">
        <f>AN31+AP31+AR31</f>
        <v>0</v>
      </c>
      <c r="AM31" s="241">
        <f>AO31+AQ31+AS31</f>
        <v>0</v>
      </c>
      <c r="AN31" s="228">
        <f>SUMIFS($Z$11:$Z$70,$S$11:$S$70,2,$U$11:$U$70,1)</f>
        <v>0</v>
      </c>
      <c r="AO31" s="228">
        <f>SUMIFS($Z$11:$Z$70,$S$11:$S$70,2,$U$11:$U$70,2)</f>
        <v>0</v>
      </c>
      <c r="AP31" s="242">
        <f>AP32</f>
        <v>0</v>
      </c>
      <c r="AQ31" s="242">
        <f>AQ32</f>
        <v>0</v>
      </c>
      <c r="AR31" s="242">
        <f>SUM(AR32:AR35)</f>
        <v>0</v>
      </c>
      <c r="AS31" s="242">
        <f>SUM(AS32:AS35)</f>
        <v>0</v>
      </c>
      <c r="AT31"/>
      <c r="AU31"/>
      <c r="AV31" s="220"/>
      <c r="AW31" s="243"/>
      <c r="AX31" s="244"/>
      <c r="AY31" s="172"/>
      <c r="AZ31" s="173"/>
      <c r="BA31" s="172"/>
      <c r="BB31" s="172"/>
      <c r="BC31" s="172"/>
      <c r="BD31" s="172"/>
      <c r="BE31" s="172"/>
      <c r="BF31" s="173"/>
    </row>
    <row r="32" spans="1:58" ht="29.25" customHeight="1" thickBot="1" x14ac:dyDescent="0.3">
      <c r="B32" s="19"/>
      <c r="C32" s="80"/>
      <c r="D32" s="81"/>
      <c r="E32" s="82"/>
      <c r="F32" s="83"/>
      <c r="G32" s="84" t="str">
        <f>IF(SUM(G31:H31)&gt;0,1,"")</f>
        <v/>
      </c>
      <c r="H32" s="85"/>
      <c r="I32" s="84" t="str">
        <f>IF(SUM(I31:J31)&gt;0,1,"")</f>
        <v/>
      </c>
      <c r="J32" s="85"/>
      <c r="K32" s="84" t="str">
        <f>IF(SUM(K31:L31)&gt;0,1,"")</f>
        <v/>
      </c>
      <c r="L32" s="85"/>
      <c r="M32" s="84" t="str">
        <f>IF(SUM(M31:N31)&gt;0,1,"")</f>
        <v/>
      </c>
      <c r="N32" s="86"/>
      <c r="P32" s="19"/>
      <c r="Q32" s="19"/>
      <c r="S32" s="87"/>
      <c r="T32" s="177"/>
      <c r="U32" s="178"/>
      <c r="V32" s="179"/>
      <c r="W32" s="190"/>
      <c r="X32" s="190"/>
      <c r="Y32" s="190"/>
      <c r="Z32" s="191"/>
      <c r="AA32" s="183"/>
      <c r="AB32" s="221"/>
      <c r="AC32" s="216"/>
      <c r="AD32" s="216"/>
      <c r="AE32" s="223" t="s">
        <v>14</v>
      </c>
      <c r="AF32" s="245">
        <f>AH32+AJ32</f>
        <v>0</v>
      </c>
      <c r="AG32" s="245">
        <f>AI32+AK32</f>
        <v>0</v>
      </c>
      <c r="AH32" s="245">
        <f>SUMIFS($Z$11:$Z$70,$S$11:$S$70,1,$U$11:$U$70,1,$V$11:$V$70,"&lt;65")+SUMIFS($W$77:$W$106,$S$77:$S$106,1,$U$77:$U$106,1,$V$77:$V$106,"&lt;65")</f>
        <v>0</v>
      </c>
      <c r="AI32" s="245">
        <f>SUMIFS($Z$11:$Z$70,$S$11:$S$70,1,$U$11:$U$70,2,$V$11:$V$70,"&lt;65")+SUMIFS($W$77:$W$106,$S$77:$S$106,1,$U$77:$U$106,2,$V$77:$V$106,"&lt;65")</f>
        <v>0</v>
      </c>
      <c r="AJ32" s="245">
        <f>SUMIFS($Z$11:$Z$70,$S$11:$S$70,3,$U$11:$U$70,1)
+SUMIFS($Y$77:$Y$106,$S$77:$S$106,3,$U$77:$U$106,1)</f>
        <v>0</v>
      </c>
      <c r="AK32" s="245">
        <f>SUMIFS($Z$11:$Z$70,$S$11:$S$70,3,$U$11:$U$70,2)
+SUMIFS($Y$77:$Y$106,$S$77:$S$106,3,$U$77:$U$106,2)</f>
        <v>0</v>
      </c>
      <c r="AL32" s="231"/>
      <c r="AM32" s="197"/>
      <c r="AN32" s="197"/>
      <c r="AO32" s="197"/>
      <c r="AP32" s="245">
        <f>SUMIFS($Z$11:$Z$70,$S$11:$S$70,4,$U$11:$U$70,1)
+SUMIFS($Y$77:$Y$106,$S$77:$S$106,4,$U$77:$U$106,1)</f>
        <v>0</v>
      </c>
      <c r="AQ32" s="245">
        <f>SUMIFS($Z$11:$Z$70,$S$11:$S$70,4,$U$11:$U$70,2)
+SUMIFS($Y$77:$Y$106,$S$77:$S$106,4,$U$77:$U$106,2)</f>
        <v>0</v>
      </c>
      <c r="AR32" s="245">
        <f>SUMIFS($Z$11:$Z$70,$S$11:$S$70,5,$U$11:$U$70,1,$V$11:$V$70,"&lt;65")</f>
        <v>0</v>
      </c>
      <c r="AS32" s="245">
        <f>SUMIFS($Z$11:$Z$70,$S$11:$S$70,5,$U$11:$U$70,2,$V$11:$V$70,"&lt;65")</f>
        <v>0</v>
      </c>
      <c r="AT32"/>
      <c r="AU32"/>
      <c r="AV32" s="220"/>
      <c r="AW32" s="216"/>
      <c r="AX32" s="246"/>
      <c r="AY32" s="200"/>
      <c r="AZ32" s="201"/>
      <c r="BA32" s="200"/>
      <c r="BB32" s="200"/>
      <c r="BC32" s="200"/>
      <c r="BD32" s="200"/>
      <c r="BE32" s="200"/>
      <c r="BF32" s="201"/>
    </row>
    <row r="33" spans="1:58" ht="29.25" customHeight="1" thickTop="1" x14ac:dyDescent="0.25">
      <c r="A33" s="135">
        <f>ROUND((ROW()-10)/2,0)</f>
        <v>12</v>
      </c>
      <c r="B33" s="19"/>
      <c r="C33" s="88" t="str">
        <f>IF(INDEX(設定!$C$9:$C$108,$A33,1)="","",INDEX(設定!$C$9:$C$108,$A33,1))</f>
        <v/>
      </c>
      <c r="D33" s="74" t="str">
        <f>IF(INDEX(設定!$D$9:$D$108,$A33,1)="","",INDEX(設定!$D$9:$D$108,$A33,1))</f>
        <v/>
      </c>
      <c r="E33" s="75" t="str">
        <f>IF(INDEX(設定!$E$9:$E$108,$A33,1)="","",INDEX(設定!$E$9:$E$108,$A33,1))</f>
        <v/>
      </c>
      <c r="F33" s="76" t="str">
        <f>IF(S33="","",IF(S33=1,"1：家族",IF(AND(S33&gt;=2,S33&lt;=5),"2：雇用","")))</f>
        <v/>
      </c>
      <c r="G33" s="134">
        <f>INT(INDEX(設定!$H$9:H$108,$A33,1))</f>
        <v>0</v>
      </c>
      <c r="H33" s="77" t="str">
        <f>IF(INDEX(設定!$H$9:$H$108,$A33,1)=0,"",ROUND(MOD(INDEX(設定!$H$9:$H$108,$A33,1),1)*60,0))</f>
        <v/>
      </c>
      <c r="I33" s="134">
        <f>INT(INDEX(設定!$I$9:$I$108,$A33,1))</f>
        <v>0</v>
      </c>
      <c r="J33" s="77" t="str">
        <f>IF(INDEX(設定!$I$9:$I$108,$A33,1)=0,"",ROUND(MOD(INDEX(設定!$I$9:$I$108,$A33,1),1)*60,0))</f>
        <v/>
      </c>
      <c r="K33" s="134">
        <f>INT(INDEX(設定!$J$9:$J$108,$A33,1))</f>
        <v>0</v>
      </c>
      <c r="L33" s="77" t="str">
        <f>IF(INDEX(設定!$J$9:$J$108,$A33,1)=0,"",ROUND(MOD(INDEX(設定!$J$9:$J$108,$A33,1),1)*60,0))</f>
        <v/>
      </c>
      <c r="M33" s="134">
        <f>INT(INDEX(設定!$K$9:$K$108,$A33,1))</f>
        <v>0</v>
      </c>
      <c r="N33" s="78" t="str">
        <f>IF(INDEX(設定!$K$9:$K$108,$A33,1)=0,"",ROUND(MOD(INDEX(設定!$K$9:$K$108,$A33,1),1)*60,0))</f>
        <v/>
      </c>
      <c r="P33" s="19"/>
      <c r="Q33" s="19"/>
      <c r="S33" s="89" t="str">
        <f>IF(INDEX(設定!$F$9:$F$108,$A33,1)="","",VALUE(LEFT(INDEX(設定!$F$9:$F$108,$A33,1),1)))</f>
        <v/>
      </c>
      <c r="T33" s="202" t="str">
        <f>IF(C33="","",C33)</f>
        <v/>
      </c>
      <c r="U33" s="203" t="str">
        <f>IF(D33="","",IF(D33="1：男",1,IF(D33="2：女",2)))</f>
        <v/>
      </c>
      <c r="V33" s="204" t="str">
        <f>IF(E33="","",E33)</f>
        <v/>
      </c>
      <c r="W33" s="180" t="str">
        <f t="shared" ref="W33" si="48">IF(AND(G33="",H33="",G34=""),"",ROUND(SUM(G33,H33/60)*G34,1))</f>
        <v/>
      </c>
      <c r="X33" s="181" t="str">
        <f t="shared" ref="X33" si="49">IF(AND(I33="",J33="",I34=""),"",ROUND(SUM(I33,J33/60)*I34,1))</f>
        <v/>
      </c>
      <c r="Y33" s="181" t="str">
        <f t="shared" ref="Y33" si="50">IF(AND(K33="",L33="",K34=""),"",ROUND(SUM(K33,L33/60)*K34,1))</f>
        <v/>
      </c>
      <c r="Z33" s="182" t="str">
        <f t="shared" ref="Z33" si="51">IF(AND(M33="",N33="",M34=""),"",ROUND(SUM(M33,N33/60)*M34,1))</f>
        <v/>
      </c>
      <c r="AA33" s="183"/>
      <c r="AB33" s="170"/>
      <c r="AC33" s="216"/>
      <c r="AD33" s="216"/>
      <c r="AE33" s="224" t="s">
        <v>127</v>
      </c>
      <c r="AF33" s="236">
        <f>AH33+AJ33</f>
        <v>0</v>
      </c>
      <c r="AG33" s="236">
        <f>AI33+AK33</f>
        <v>0</v>
      </c>
      <c r="AH33" s="236">
        <f>SUMIFS($Z$11:$Z$70,$S$11:$S$70,1,$U$11:$U$70,1,$V$11:$V$70,"&gt;=65",$V$11:$V$70,"&lt;70")+SUMIFS($W$77:$W$106,$S$77:$S$106,1,$U$77:$U$106,1,$V$77:$V$106,"&gt;=65",$V$77:$V$106,"&lt;70")</f>
        <v>0</v>
      </c>
      <c r="AI33" s="236">
        <f>SUMIFS($Z$11:$Z$70,$S$11:$S$70,1,$U$11:$U$70,2,$V$11:$V$70,"&gt;=65",$V$11:$V$70,"&lt;70")+SUMIFS($W$77:$W$106,$S$77:$S$106,1,$U$77:$U$106,2,$V$77:$V$106,"&gt;=65",$V$77:$V$106,"&lt;70")</f>
        <v>0</v>
      </c>
      <c r="AJ33" s="206"/>
      <c r="AK33" s="206"/>
      <c r="AL33" s="195"/>
      <c r="AM33" s="196"/>
      <c r="AN33" s="196"/>
      <c r="AO33" s="196"/>
      <c r="AP33" s="206"/>
      <c r="AQ33" s="206"/>
      <c r="AR33" s="236">
        <f>SUMIFS($Z$11:$Z$70,$S$11:$S$70,5,$U$11:$U$70,1,$V$11:$V$70,"&gt;=65",$V$11:$V$70,"&lt;70")</f>
        <v>0</v>
      </c>
      <c r="AS33" s="236">
        <f>SUMIFS($Z$11:$Z$70,$S$11:$S$70,5,$U$11:$U$70,2,$V$11:$V$70,"&gt;=65",$V$11:$V$70,"&lt;70")</f>
        <v>0</v>
      </c>
      <c r="AT33" s="221"/>
      <c r="AU33" s="221"/>
      <c r="AV33" s="220"/>
      <c r="AW33" s="216"/>
      <c r="AX33" s="246"/>
      <c r="AY33" s="200"/>
      <c r="AZ33" s="201"/>
      <c r="BA33" s="200"/>
      <c r="BB33" s="200"/>
      <c r="BC33" s="200"/>
      <c r="BD33" s="200"/>
      <c r="BE33" s="200"/>
      <c r="BF33" s="201"/>
    </row>
    <row r="34" spans="1:58" ht="29.25" customHeight="1" thickBot="1" x14ac:dyDescent="0.3">
      <c r="B34" s="19"/>
      <c r="C34" s="80"/>
      <c r="D34" s="81"/>
      <c r="E34" s="82"/>
      <c r="F34" s="83"/>
      <c r="G34" s="84" t="str">
        <f>IF(SUM(G33:H33)&gt;0,1,"")</f>
        <v/>
      </c>
      <c r="H34" s="85"/>
      <c r="I34" s="84" t="str">
        <f>IF(SUM(I33:J33)&gt;0,1,"")</f>
        <v/>
      </c>
      <c r="J34" s="85"/>
      <c r="K34" s="84" t="str">
        <f>IF(SUM(K33:L33)&gt;0,1,"")</f>
        <v/>
      </c>
      <c r="L34" s="85"/>
      <c r="M34" s="84" t="str">
        <f>IF(SUM(M33:N33)&gt;0,1,"")</f>
        <v/>
      </c>
      <c r="N34" s="86"/>
      <c r="P34" s="19"/>
      <c r="Q34" s="19"/>
      <c r="S34" s="87"/>
      <c r="T34" s="177"/>
      <c r="U34" s="178"/>
      <c r="V34" s="179"/>
      <c r="W34" s="190"/>
      <c r="X34" s="190"/>
      <c r="Y34" s="190"/>
      <c r="Z34" s="191"/>
      <c r="AA34" s="183"/>
      <c r="AB34" s="170"/>
      <c r="AC34" s="247"/>
      <c r="AD34" s="216"/>
      <c r="AE34" s="224" t="s">
        <v>128</v>
      </c>
      <c r="AF34" s="236">
        <f t="shared" ref="AF34:AG35" si="52">AH34+AJ34</f>
        <v>0</v>
      </c>
      <c r="AG34" s="236">
        <f t="shared" si="52"/>
        <v>0</v>
      </c>
      <c r="AH34" s="236">
        <f>SUMIFS($Z$11:$Z$70,$S$11:$S$70,1,$U$11:$U$70,1,$V$11:$V$70,"&gt;=70",$V$11:$V$70,"&lt;75")+SUMIFS($W$77:$W$106,$S$77:$S$106,1,$U$77:$U$106,1,$V$77:$V$106,"&gt;=70",$V$77:$V$106,"&lt;75")</f>
        <v>0</v>
      </c>
      <c r="AI34" s="236">
        <f>SUMIFS($Z$11:$Z$70,$S$11:$S$70,1,$U$11:$U$70,2,$V$11:$V$70,"&gt;=70",$V$11:$V$70,"&lt;75")+SUMIFS($W$77:$W$106,$S$77:$S$106,1,$U$77:$U$106,2,$V$77:$V$106,"&gt;=70",$V$77:$V$106,"&lt;75")</f>
        <v>0</v>
      </c>
      <c r="AJ34" s="206"/>
      <c r="AK34" s="206"/>
      <c r="AL34" s="195"/>
      <c r="AM34" s="196"/>
      <c r="AN34" s="196"/>
      <c r="AO34" s="196"/>
      <c r="AP34" s="206"/>
      <c r="AQ34" s="206"/>
      <c r="AR34" s="236">
        <f>SUMIFS($Z$11:$Z$70,$S$11:$S$70,5,$U$11:$U$70,1,$V$11:$V$70,"&gt;=70",$V$11:$V$70,"&lt;75")</f>
        <v>0</v>
      </c>
      <c r="AS34" s="236">
        <f>SUMIFS($Z$11:$Z$70,$S$11:$S$70,5,$U$11:$U$70,2,$V$11:$V$70,"&gt;=70",$V$11:$V$70,"&lt;75")</f>
        <v>0</v>
      </c>
      <c r="AT34" s="221"/>
      <c r="AU34" s="221"/>
      <c r="AV34" s="220"/>
      <c r="AW34" s="216"/>
      <c r="AX34" s="246"/>
      <c r="AY34" s="200"/>
      <c r="AZ34" s="201"/>
      <c r="BA34" s="200"/>
      <c r="BB34" s="200"/>
      <c r="BC34" s="200"/>
      <c r="BD34" s="200"/>
      <c r="BE34" s="200"/>
      <c r="BF34" s="201"/>
    </row>
    <row r="35" spans="1:58" ht="29.25" customHeight="1" thickTop="1" x14ac:dyDescent="0.25">
      <c r="A35" s="135">
        <f>ROUND((ROW()-10)/2,0)</f>
        <v>13</v>
      </c>
      <c r="B35" s="19"/>
      <c r="C35" s="88" t="str">
        <f>IF(INDEX(設定!$C$9:$C$108,$A35,1)="","",INDEX(設定!$C$9:$C$108,$A35,1))</f>
        <v/>
      </c>
      <c r="D35" s="74" t="str">
        <f>IF(INDEX(設定!$D$9:$D$108,$A35,1)="","",INDEX(設定!$D$9:$D$108,$A35,1))</f>
        <v/>
      </c>
      <c r="E35" s="75" t="str">
        <f>IF(INDEX(設定!$E$9:$E$108,$A35,1)="","",INDEX(設定!$E$9:$E$108,$A35,1))</f>
        <v/>
      </c>
      <c r="F35" s="76" t="str">
        <f>IF(S35="","",IF(S35=1,"1：家族",IF(AND(S35&gt;=2,S35&lt;=5),"2：雇用","")))</f>
        <v/>
      </c>
      <c r="G35" s="134">
        <f>INT(INDEX(設定!$H$9:H$108,$A35,1))</f>
        <v>0</v>
      </c>
      <c r="H35" s="77" t="str">
        <f>IF(INDEX(設定!$H$9:$H$108,$A35,1)=0,"",ROUND(MOD(INDEX(設定!$H$9:$H$108,$A35,1),1)*60,0))</f>
        <v/>
      </c>
      <c r="I35" s="134">
        <f>INT(INDEX(設定!$I$9:$I$108,$A35,1))</f>
        <v>0</v>
      </c>
      <c r="J35" s="77" t="str">
        <f>IF(INDEX(設定!$I$9:$I$108,$A35,1)=0,"",ROUND(MOD(INDEX(設定!$I$9:$I$108,$A35,1),1)*60,0))</f>
        <v/>
      </c>
      <c r="K35" s="134">
        <f>INT(INDEX(設定!$J$9:$J$108,$A35,1))</f>
        <v>0</v>
      </c>
      <c r="L35" s="77" t="str">
        <f>IF(INDEX(設定!$J$9:$J$108,$A35,1)=0,"",ROUND(MOD(INDEX(設定!$J$9:$J$108,$A35,1),1)*60,0))</f>
        <v/>
      </c>
      <c r="M35" s="134">
        <f>INT(INDEX(設定!$K$9:$K$108,$A35,1))</f>
        <v>0</v>
      </c>
      <c r="N35" s="78" t="str">
        <f>IF(INDEX(設定!$K$9:$K$108,$A35,1)=0,"",ROUND(MOD(INDEX(設定!$K$9:$K$108,$A35,1),1)*60,0))</f>
        <v/>
      </c>
      <c r="P35" s="19"/>
      <c r="Q35" s="19"/>
      <c r="S35" s="89" t="str">
        <f>IF(INDEX(設定!$F$9:$F$108,$A35,1)="","",VALUE(LEFT(INDEX(設定!$F$9:$F$108,$A35,1),1)))</f>
        <v/>
      </c>
      <c r="T35" s="202" t="str">
        <f>IF(C35="","",C35)</f>
        <v/>
      </c>
      <c r="U35" s="203" t="str">
        <f>IF(D35="","",IF(D35="1：男",1,IF(D35="2：女",2)))</f>
        <v/>
      </c>
      <c r="V35" s="204" t="str">
        <f>IF(E35="","",E35)</f>
        <v/>
      </c>
      <c r="W35" s="180" t="str">
        <f t="shared" ref="W35" si="53">IF(AND(G35="",H35="",G36=""),"",ROUND(SUM(G35,H35/60)*G36,1))</f>
        <v/>
      </c>
      <c r="X35" s="181" t="str">
        <f t="shared" ref="X35" si="54">IF(AND(I35="",J35="",I36=""),"",ROUND(SUM(I35,J35/60)*I36,1))</f>
        <v/>
      </c>
      <c r="Y35" s="181" t="str">
        <f t="shared" ref="Y35" si="55">IF(AND(K35="",L35="",K36=""),"",ROUND(SUM(K35,L35/60)*K36,1))</f>
        <v/>
      </c>
      <c r="Z35" s="182" t="str">
        <f t="shared" ref="Z35" si="56">IF(AND(M35="",N35="",M36=""),"",ROUND(SUM(M35,N35/60)*M36,1))</f>
        <v/>
      </c>
      <c r="AA35" s="183"/>
      <c r="AB35" s="184"/>
      <c r="AC35" s="247"/>
      <c r="AD35" s="226"/>
      <c r="AE35" s="227" t="s">
        <v>15</v>
      </c>
      <c r="AF35" s="239">
        <f t="shared" si="52"/>
        <v>0</v>
      </c>
      <c r="AG35" s="239">
        <f t="shared" si="52"/>
        <v>0</v>
      </c>
      <c r="AH35" s="239">
        <f>SUMIFS($Z$11:$Z$70,$S$11:$S$70,1,$U$11:$U$70,1,$V$11:$V$70,"&gt;=75")+SUMIFS($W$77:$W$106,$S$77:$S$106,1,$U$77:$U$106,1,$V$77:$V$106,"&gt;=75")</f>
        <v>0</v>
      </c>
      <c r="AI35" s="239">
        <f>SUMIFS($Z$11:$Z$70,$S$11:$S$70,1,$U$11:$U$70,2,$V$11:$V$70,"&gt;=75")+SUMIFS($W$77:$W$106,$S$77:$S$106,1,$U$77:$U$106,2,$V$77:$V$106,"&gt;=75")</f>
        <v>0</v>
      </c>
      <c r="AJ35" s="209"/>
      <c r="AK35" s="209"/>
      <c r="AL35" s="195"/>
      <c r="AM35" s="196"/>
      <c r="AN35" s="211"/>
      <c r="AO35" s="211"/>
      <c r="AP35" s="209"/>
      <c r="AQ35" s="209"/>
      <c r="AR35" s="239">
        <f>SUMIFS($Z$11:$Z$70,$S$11:$S$70,5,$U$11:$U$70,1,$V$11:$V$70,"&gt;=75")</f>
        <v>0</v>
      </c>
      <c r="AS35" s="239">
        <f>SUMIFS($Z$11:$Z$70,$S$11:$S$70,5,$U$11:$U$70,2,$V$11:$V$70,"&gt;=75")</f>
        <v>0</v>
      </c>
      <c r="AT35" s="221"/>
      <c r="AU35" s="221"/>
      <c r="AV35" s="220"/>
      <c r="AW35" s="226"/>
      <c r="AX35" s="248"/>
      <c r="AY35" s="200"/>
      <c r="AZ35" s="201"/>
      <c r="BA35" s="200"/>
      <c r="BB35" s="200"/>
      <c r="BC35" s="200"/>
      <c r="BD35" s="200"/>
      <c r="BE35" s="200"/>
      <c r="BF35" s="201"/>
    </row>
    <row r="36" spans="1:58" ht="29.25" customHeight="1" thickBot="1" x14ac:dyDescent="0.3">
      <c r="B36" s="19"/>
      <c r="C36" s="80"/>
      <c r="D36" s="81"/>
      <c r="E36" s="82"/>
      <c r="F36" s="83"/>
      <c r="G36" s="84" t="str">
        <f>IF(SUM(G35:H35)&gt;0,1,"")</f>
        <v/>
      </c>
      <c r="H36" s="85"/>
      <c r="I36" s="84" t="str">
        <f>IF(SUM(I35:J35)&gt;0,1,"")</f>
        <v/>
      </c>
      <c r="J36" s="85"/>
      <c r="K36" s="84" t="str">
        <f>IF(SUM(K35:L35)&gt;0,1,"")</f>
        <v/>
      </c>
      <c r="L36" s="85"/>
      <c r="M36" s="84" t="str">
        <f>IF(SUM(M35:N35)&gt;0,1,"")</f>
        <v/>
      </c>
      <c r="N36" s="86"/>
      <c r="P36" s="19"/>
      <c r="Q36" s="19"/>
      <c r="S36" s="87"/>
      <c r="T36" s="177"/>
      <c r="U36" s="178"/>
      <c r="V36" s="179"/>
      <c r="W36" s="190"/>
      <c r="X36" s="190"/>
      <c r="Y36" s="190"/>
      <c r="Z36" s="191"/>
      <c r="AA36" s="183"/>
      <c r="AB36" s="184"/>
      <c r="AC36" s="247"/>
      <c r="AD36" s="541" t="s">
        <v>130</v>
      </c>
      <c r="AE36" s="548"/>
      <c r="AF36" s="242">
        <f t="shared" ref="AF36:AG36" si="57">SUM(AF37:AF40)</f>
        <v>0</v>
      </c>
      <c r="AG36" s="242">
        <f t="shared" si="57"/>
        <v>0</v>
      </c>
      <c r="AH36" s="186"/>
      <c r="AI36" s="186"/>
      <c r="AJ36" s="186"/>
      <c r="AK36" s="186"/>
      <c r="AL36" s="242">
        <f>AN36+AP36+AR36</f>
        <v>0</v>
      </c>
      <c r="AM36" s="242">
        <f>AO36+AQ36+AS36</f>
        <v>0</v>
      </c>
      <c r="AN36" s="228">
        <f>AN16+AN21+AN31</f>
        <v>0</v>
      </c>
      <c r="AO36" s="228">
        <f>AO16+AO21+AO31</f>
        <v>0</v>
      </c>
      <c r="AP36" s="242">
        <f>AP37</f>
        <v>0</v>
      </c>
      <c r="AQ36" s="242">
        <f>AQ37</f>
        <v>0</v>
      </c>
      <c r="AR36" s="242">
        <f>SUM(AR37:AR40)</f>
        <v>0</v>
      </c>
      <c r="AS36" s="242">
        <f>SUM(AS37:AS40)</f>
        <v>0</v>
      </c>
      <c r="AT36" s="221"/>
      <c r="AU36" s="221"/>
      <c r="AV36" s="220"/>
      <c r="AW36" s="541" t="s">
        <v>130</v>
      </c>
      <c r="AX36" s="543"/>
      <c r="AY36" s="249">
        <f>SUM(AY37:AY40)</f>
        <v>0</v>
      </c>
      <c r="AZ36" s="249">
        <f>SUM(AZ37:AZ40)</f>
        <v>0</v>
      </c>
      <c r="BA36" s="249">
        <f>ROUND(BC36+BE36,0)</f>
        <v>0</v>
      </c>
      <c r="BB36" s="249">
        <f>ROUND(BD36+BF36,0)</f>
        <v>0</v>
      </c>
      <c r="BC36" s="250">
        <f>IFERROR($T$112*AN36/($AN$11+$AN$51),0)</f>
        <v>0</v>
      </c>
      <c r="BD36" s="250">
        <f>IFERROR($T$113*AO36/($AO$11+$AO$51),0)</f>
        <v>0</v>
      </c>
      <c r="BE36" s="249">
        <f>SUM(BE37:BE40)</f>
        <v>0</v>
      </c>
      <c r="BF36" s="249">
        <f>SUM(BF37:BF40)</f>
        <v>0</v>
      </c>
    </row>
    <row r="37" spans="1:58" ht="29.25" customHeight="1" thickTop="1" x14ac:dyDescent="0.25">
      <c r="A37" s="136">
        <f>ROUND((ROW()-10)/2,0)</f>
        <v>14</v>
      </c>
      <c r="C37" s="88" t="str">
        <f>IF(INDEX(設定!$C$9:$C$108,$A37,1)="","",INDEX(設定!$C$9:$C$108,$A37,1))</f>
        <v/>
      </c>
      <c r="D37" s="74" t="str">
        <f>IF(INDEX(設定!$D$9:$D$108,$A37,1)="","",INDEX(設定!$D$9:$D$108,$A37,1))</f>
        <v/>
      </c>
      <c r="E37" s="75" t="str">
        <f>IF(INDEX(設定!$E$9:$E$108,$A37,1)="","",INDEX(設定!$E$9:$E$108,$A37,1))</f>
        <v/>
      </c>
      <c r="F37" s="76" t="str">
        <f>IF(S37="","",IF(S37=1,"1：家族",IF(AND(S37&gt;=2,S37&lt;=5),"2：雇用","")))</f>
        <v/>
      </c>
      <c r="G37" s="134">
        <f>INT(INDEX(設定!$H$9:H$108,$A37,1))</f>
        <v>0</v>
      </c>
      <c r="H37" s="77" t="str">
        <f>IF(INDEX(設定!$H$9:$H$108,$A37,1)=0,"",ROUND(MOD(INDEX(設定!$H$9:$H$108,$A37,1),1)*60,0))</f>
        <v/>
      </c>
      <c r="I37" s="134">
        <f>INT(INDEX(設定!$I$9:$I$108,$A37,1))</f>
        <v>0</v>
      </c>
      <c r="J37" s="77" t="str">
        <f>IF(INDEX(設定!$I$9:$I$108,$A37,1)=0,"",ROUND(MOD(INDEX(設定!$I$9:$I$108,$A37,1),1)*60,0))</f>
        <v/>
      </c>
      <c r="K37" s="134">
        <f>INT(INDEX(設定!$J$9:$J$108,$A37,1))</f>
        <v>0</v>
      </c>
      <c r="L37" s="77" t="str">
        <f>IF(INDEX(設定!$J$9:$J$108,$A37,1)=0,"",ROUND(MOD(INDEX(設定!$J$9:$J$108,$A37,1),1)*60,0))</f>
        <v/>
      </c>
      <c r="M37" s="134">
        <f>INT(INDEX(設定!$K$9:$K$108,$A37,1))</f>
        <v>0</v>
      </c>
      <c r="N37" s="78" t="str">
        <f>IF(INDEX(設定!$K$9:$K$108,$A37,1)=0,"",ROUND(MOD(INDEX(設定!$K$9:$K$108,$A37,1),1)*60,0))</f>
        <v/>
      </c>
      <c r="P37" s="19"/>
      <c r="Q37" s="19"/>
      <c r="S37" s="89" t="str">
        <f>IF(INDEX(設定!$F$9:$F$108,$A37,1)="","",VALUE(LEFT(INDEX(設定!$F$9:$F$108,$A37,1),1)))</f>
        <v/>
      </c>
      <c r="T37" s="202" t="str">
        <f>IF(C37="","",C37)</f>
        <v/>
      </c>
      <c r="U37" s="203" t="str">
        <f>IF(D37="","",IF(D37="1：男",1,IF(D37="2：女",2)))</f>
        <v/>
      </c>
      <c r="V37" s="204" t="str">
        <f>IF(E37="","",E37)</f>
        <v/>
      </c>
      <c r="W37" s="180" t="str">
        <f t="shared" ref="W37" si="58">IF(AND(G37="",H37="",G38=""),"",ROUND(SUM(G37,H37/60)*G38,1))</f>
        <v/>
      </c>
      <c r="X37" s="181" t="str">
        <f t="shared" ref="X37" si="59">IF(AND(I37="",J37="",I38=""),"",ROUND(SUM(I37,J37/60)*I38,1))</f>
        <v/>
      </c>
      <c r="Y37" s="181" t="str">
        <f t="shared" ref="Y37" si="60">IF(AND(K37="",L37="",K38=""),"",ROUND(SUM(K37,L37/60)*K38,1))</f>
        <v/>
      </c>
      <c r="Z37" s="182" t="str">
        <f t="shared" ref="Z37" si="61">IF(AND(M37="",N37="",M38=""),"",ROUND(SUM(M37,N37/60)*M38,1))</f>
        <v/>
      </c>
      <c r="AA37" s="183"/>
      <c r="AB37" s="184"/>
      <c r="AC37" s="251"/>
      <c r="AD37" s="216"/>
      <c r="AE37" s="223" t="s">
        <v>14</v>
      </c>
      <c r="AF37" s="245">
        <f>AF17+AF22+AF32</f>
        <v>0</v>
      </c>
      <c r="AG37" s="245">
        <f t="shared" ref="AG37:AG40" si="62">AG17+AG22+AG32</f>
        <v>0</v>
      </c>
      <c r="AH37" s="231"/>
      <c r="AI37" s="197"/>
      <c r="AJ37" s="197"/>
      <c r="AK37" s="252"/>
      <c r="AL37" s="195"/>
      <c r="AM37" s="196"/>
      <c r="AN37" s="197"/>
      <c r="AO37" s="197"/>
      <c r="AP37" s="245">
        <f>AP17+AP22+AP32</f>
        <v>0</v>
      </c>
      <c r="AQ37" s="245">
        <f>AQ17+AQ22+AQ32</f>
        <v>0</v>
      </c>
      <c r="AR37" s="245">
        <f>AR17+AR22+AR32</f>
        <v>0</v>
      </c>
      <c r="AS37" s="245">
        <f>AS17+AS22+AS32</f>
        <v>0</v>
      </c>
      <c r="AT37" s="221"/>
      <c r="AU37" s="221"/>
      <c r="AV37" s="220"/>
      <c r="AW37" s="216"/>
      <c r="AX37" s="223" t="s">
        <v>14</v>
      </c>
      <c r="AY37" s="253">
        <f>ROUND(AF37*$T$4,0)</f>
        <v>0</v>
      </c>
      <c r="AZ37" s="253">
        <f>ROUND(AG37*$T$4,0)</f>
        <v>0</v>
      </c>
      <c r="BA37" s="200"/>
      <c r="BB37" s="201"/>
      <c r="BC37" s="172"/>
      <c r="BD37" s="172"/>
      <c r="BE37" s="254">
        <f>(AP37+AR37)*$T$4</f>
        <v>0</v>
      </c>
      <c r="BF37" s="254">
        <f>(AQ37+AS37)*$T$4</f>
        <v>0</v>
      </c>
    </row>
    <row r="38" spans="1:58" ht="29.25" customHeight="1" thickBot="1" x14ac:dyDescent="0.3">
      <c r="A38" s="136"/>
      <c r="C38" s="80"/>
      <c r="D38" s="81"/>
      <c r="E38" s="82"/>
      <c r="F38" s="83"/>
      <c r="G38" s="84" t="str">
        <f>IF(SUM(G37:H37)&gt;0,1,"")</f>
        <v/>
      </c>
      <c r="H38" s="85"/>
      <c r="I38" s="84" t="str">
        <f>IF(SUM(I37:J37)&gt;0,1,"")</f>
        <v/>
      </c>
      <c r="J38" s="85"/>
      <c r="K38" s="84" t="str">
        <f>IF(SUM(K37:L37)&gt;0,1,"")</f>
        <v/>
      </c>
      <c r="L38" s="85"/>
      <c r="M38" s="84" t="str">
        <f>IF(SUM(M37:N37)&gt;0,1,"")</f>
        <v/>
      </c>
      <c r="N38" s="86"/>
      <c r="P38" s="19"/>
      <c r="Q38" s="19"/>
      <c r="S38" s="87"/>
      <c r="T38" s="177"/>
      <c r="U38" s="178"/>
      <c r="V38" s="179"/>
      <c r="W38" s="190"/>
      <c r="X38" s="190"/>
      <c r="Y38" s="190"/>
      <c r="Z38" s="191"/>
      <c r="AA38" s="183"/>
      <c r="AB38" s="184"/>
      <c r="AC38" s="251"/>
      <c r="AD38" s="216"/>
      <c r="AE38" s="224" t="s">
        <v>127</v>
      </c>
      <c r="AF38" s="236">
        <f t="shared" ref="AF38:AF40" si="63">AF18+AF23+AF33</f>
        <v>0</v>
      </c>
      <c r="AG38" s="236">
        <f t="shared" si="62"/>
        <v>0</v>
      </c>
      <c r="AH38" s="195"/>
      <c r="AI38" s="196"/>
      <c r="AJ38" s="196"/>
      <c r="AK38" s="255"/>
      <c r="AL38" s="195"/>
      <c r="AM38" s="196"/>
      <c r="AN38" s="196"/>
      <c r="AO38" s="196"/>
      <c r="AP38" s="206"/>
      <c r="AQ38" s="206"/>
      <c r="AR38" s="236">
        <f t="shared" ref="AR38:AS40" si="64">AR18+AR23+AR33</f>
        <v>0</v>
      </c>
      <c r="AS38" s="236">
        <f t="shared" si="64"/>
        <v>0</v>
      </c>
      <c r="AT38" s="221"/>
      <c r="AU38" s="221"/>
      <c r="AV38" s="220"/>
      <c r="AW38" s="216"/>
      <c r="AX38" s="224" t="s">
        <v>127</v>
      </c>
      <c r="AY38" s="237">
        <f>ROUND(AF38*$T$4*0.9,0)</f>
        <v>0</v>
      </c>
      <c r="AZ38" s="237">
        <f>ROUND(AG38*$T$4*0.9,0)</f>
        <v>0</v>
      </c>
      <c r="BA38" s="200"/>
      <c r="BB38" s="201"/>
      <c r="BC38" s="200"/>
      <c r="BD38" s="200"/>
      <c r="BE38" s="237">
        <f>(AR38)*$T$4*0.9</f>
        <v>0</v>
      </c>
      <c r="BF38" s="237">
        <f>(AS38)*$T$4*0.9</f>
        <v>0</v>
      </c>
    </row>
    <row r="39" spans="1:58" ht="29.25" customHeight="1" thickTop="1" x14ac:dyDescent="0.25">
      <c r="A39" s="136">
        <f>ROUND((ROW()-10)/2,0)</f>
        <v>15</v>
      </c>
      <c r="C39" s="88" t="str">
        <f>IF(INDEX(設定!$C$9:$C$108,$A39,1)="","",INDEX(設定!$C$9:$C$108,$A39,1))</f>
        <v/>
      </c>
      <c r="D39" s="74" t="str">
        <f>IF(INDEX(設定!$D$9:$D$108,$A39,1)="","",INDEX(設定!$D$9:$D$108,$A39,1))</f>
        <v/>
      </c>
      <c r="E39" s="75" t="str">
        <f>IF(INDEX(設定!$E$9:$E$108,$A39,1)="","",INDEX(設定!$E$9:$E$108,$A39,1))</f>
        <v/>
      </c>
      <c r="F39" s="76" t="str">
        <f>IF(S39="","",IF(S39=1,"1：家族",IF(AND(S39&gt;=2,S39&lt;=5),"2：雇用","")))</f>
        <v/>
      </c>
      <c r="G39" s="134">
        <f>INT(INDEX(設定!$H$9:H$108,$A39,1))</f>
        <v>0</v>
      </c>
      <c r="H39" s="77" t="str">
        <f>IF(INDEX(設定!$H$9:$H$108,$A39,1)=0,"",ROUND(MOD(INDEX(設定!$H$9:$H$108,$A39,1),1)*60,0))</f>
        <v/>
      </c>
      <c r="I39" s="134">
        <f>INT(INDEX(設定!$I$9:$I$108,$A39,1))</f>
        <v>0</v>
      </c>
      <c r="J39" s="77" t="str">
        <f>IF(INDEX(設定!$I$9:$I$108,$A39,1)=0,"",ROUND(MOD(INDEX(設定!$I$9:$I$108,$A39,1),1)*60,0))</f>
        <v/>
      </c>
      <c r="K39" s="134">
        <f>INT(INDEX(設定!$J$9:$J$108,$A39,1))</f>
        <v>0</v>
      </c>
      <c r="L39" s="77" t="str">
        <f>IF(INDEX(設定!$J$9:$J$108,$A39,1)=0,"",ROUND(MOD(INDEX(設定!$J$9:$J$108,$A39,1),1)*60,0))</f>
        <v/>
      </c>
      <c r="M39" s="134">
        <f>INT(INDEX(設定!$K$9:$K$108,$A39,1))</f>
        <v>0</v>
      </c>
      <c r="N39" s="78" t="str">
        <f>IF(INDEX(設定!$K$9:$K$108,$A39,1)=0,"",ROUND(MOD(INDEX(設定!$K$9:$K$108,$A39,1),1)*60,0))</f>
        <v/>
      </c>
      <c r="P39" s="19"/>
      <c r="Q39" s="19"/>
      <c r="S39" s="89" t="str">
        <f>IF(INDEX(設定!$F$9:$F$108,$A39,1)="","",VALUE(LEFT(INDEX(設定!$F$9:$F$108,$A39,1),1)))</f>
        <v/>
      </c>
      <c r="T39" s="202" t="str">
        <f>IF(C39="","",C39)</f>
        <v/>
      </c>
      <c r="U39" s="203" t="str">
        <f>IF(D39="","",IF(D39="1：男",1,IF(D39="2：女",2)))</f>
        <v/>
      </c>
      <c r="V39" s="204" t="str">
        <f>IF(E39="","",E39)</f>
        <v/>
      </c>
      <c r="W39" s="180" t="str">
        <f t="shared" ref="W39" si="65">IF(AND(G39="",H39="",G40=""),"",ROUND(SUM(G39,H39/60)*G40,1))</f>
        <v/>
      </c>
      <c r="X39" s="181" t="str">
        <f t="shared" ref="X39" si="66">IF(AND(I39="",J39="",I40=""),"",ROUND(SUM(I39,J39/60)*I40,1))</f>
        <v/>
      </c>
      <c r="Y39" s="181" t="str">
        <f t="shared" ref="Y39" si="67">IF(AND(K39="",L39="",K40=""),"",ROUND(SUM(K39,L39/60)*K40,1))</f>
        <v/>
      </c>
      <c r="Z39" s="182" t="str">
        <f t="shared" ref="Z39" si="68">IF(AND(M39="",N39="",M40=""),"",ROUND(SUM(M39,N39/60)*M40,1))</f>
        <v/>
      </c>
      <c r="AA39" s="183"/>
      <c r="AB39" s="184"/>
      <c r="AC39" s="225"/>
      <c r="AD39" s="216"/>
      <c r="AE39" s="224" t="s">
        <v>128</v>
      </c>
      <c r="AF39" s="236">
        <f t="shared" si="63"/>
        <v>0</v>
      </c>
      <c r="AG39" s="236">
        <f t="shared" si="62"/>
        <v>0</v>
      </c>
      <c r="AH39" s="195"/>
      <c r="AI39" s="196"/>
      <c r="AJ39" s="196"/>
      <c r="AK39" s="255"/>
      <c r="AL39" s="195"/>
      <c r="AM39" s="196"/>
      <c r="AN39" s="196"/>
      <c r="AO39" s="196"/>
      <c r="AP39" s="206"/>
      <c r="AQ39" s="206"/>
      <c r="AR39" s="236">
        <f t="shared" si="64"/>
        <v>0</v>
      </c>
      <c r="AS39" s="236">
        <f t="shared" si="64"/>
        <v>0</v>
      </c>
      <c r="AT39" s="221"/>
      <c r="AU39" s="221"/>
      <c r="AV39" s="220"/>
      <c r="AW39" s="216"/>
      <c r="AX39" s="224" t="s">
        <v>128</v>
      </c>
      <c r="AY39" s="237">
        <f>ROUND(AF39*$T$4*0.8,0)</f>
        <v>0</v>
      </c>
      <c r="AZ39" s="237">
        <f>ROUND(AG39*$T$4*0.8,0)</f>
        <v>0</v>
      </c>
      <c r="BA39" s="200"/>
      <c r="BB39" s="201"/>
      <c r="BC39" s="200"/>
      <c r="BD39" s="200"/>
      <c r="BE39" s="237">
        <f>(AR39)*$T$4*0.8</f>
        <v>0</v>
      </c>
      <c r="BF39" s="237">
        <f>(AS39)*$T$4*0.8</f>
        <v>0</v>
      </c>
    </row>
    <row r="40" spans="1:58" ht="29.25" customHeight="1" thickBot="1" x14ac:dyDescent="0.3">
      <c r="B40" s="19"/>
      <c r="C40" s="80"/>
      <c r="D40" s="81"/>
      <c r="E40" s="82"/>
      <c r="F40" s="83"/>
      <c r="G40" s="84" t="str">
        <f>IF(SUM(G39:H39)&gt;0,1,"")</f>
        <v/>
      </c>
      <c r="H40" s="85"/>
      <c r="I40" s="84" t="str">
        <f>IF(SUM(I39:J39)&gt;0,1,"")</f>
        <v/>
      </c>
      <c r="J40" s="85"/>
      <c r="K40" s="84" t="str">
        <f>IF(SUM(K39:L39)&gt;0,1,"")</f>
        <v/>
      </c>
      <c r="L40" s="85"/>
      <c r="M40" s="84" t="str">
        <f>IF(SUM(M39:N39)&gt;0,1,"")</f>
        <v/>
      </c>
      <c r="N40" s="86"/>
      <c r="P40" s="19"/>
      <c r="Q40" s="19"/>
      <c r="S40" s="87"/>
      <c r="T40" s="177"/>
      <c r="U40" s="178"/>
      <c r="V40" s="179"/>
      <c r="W40" s="190"/>
      <c r="X40" s="190"/>
      <c r="Y40" s="190"/>
      <c r="Z40" s="191"/>
      <c r="AA40" s="183"/>
      <c r="AB40" s="184"/>
      <c r="AC40" s="225"/>
      <c r="AD40" s="216"/>
      <c r="AE40" s="256" t="s">
        <v>15</v>
      </c>
      <c r="AF40" s="239">
        <f t="shared" si="63"/>
        <v>0</v>
      </c>
      <c r="AG40" s="239">
        <f t="shared" si="62"/>
        <v>0</v>
      </c>
      <c r="AH40" s="210"/>
      <c r="AI40" s="211"/>
      <c r="AJ40" s="211"/>
      <c r="AK40" s="257"/>
      <c r="AL40" s="195"/>
      <c r="AM40" s="196"/>
      <c r="AN40" s="211"/>
      <c r="AO40" s="211"/>
      <c r="AP40" s="209"/>
      <c r="AQ40" s="209"/>
      <c r="AR40" s="239">
        <f t="shared" si="64"/>
        <v>0</v>
      </c>
      <c r="AS40" s="239">
        <f t="shared" si="64"/>
        <v>0</v>
      </c>
      <c r="AT40" s="221"/>
      <c r="AU40" s="221"/>
      <c r="AV40" s="220"/>
      <c r="AW40" s="226"/>
      <c r="AX40" s="227" t="s">
        <v>15</v>
      </c>
      <c r="AY40" s="240">
        <f>ROUND(AF40*$T$4*0.7,0)</f>
        <v>0</v>
      </c>
      <c r="AZ40" s="240">
        <f>ROUND(AG40*$T$4*0.7,0)</f>
        <v>0</v>
      </c>
      <c r="BA40" s="200"/>
      <c r="BB40" s="201"/>
      <c r="BC40" s="200"/>
      <c r="BD40" s="200"/>
      <c r="BE40" s="240">
        <f>(AR40)*$T$4*0.7</f>
        <v>0</v>
      </c>
      <c r="BF40" s="240">
        <f>(AS40)*$T$4*0.7</f>
        <v>0</v>
      </c>
    </row>
    <row r="41" spans="1:58" ht="29.25" customHeight="1" thickTop="1" thickBot="1" x14ac:dyDescent="0.3">
      <c r="A41" s="135">
        <f>ROUND((ROW()-10)/2,0)</f>
        <v>16</v>
      </c>
      <c r="B41" s="19"/>
      <c r="C41" s="88" t="str">
        <f>IF(INDEX(設定!$C$9:$C$108,$A41,1)="","",INDEX(設定!$C$9:$C$108,$A41,1))</f>
        <v/>
      </c>
      <c r="D41" s="74" t="str">
        <f>IF(INDEX(設定!$D$9:$D$108,$A41,1)="","",INDEX(設定!$D$9:$D$108,$A41,1))</f>
        <v/>
      </c>
      <c r="E41" s="75" t="str">
        <f>IF(INDEX(設定!$E$9:$E$108,$A41,1)="","",INDEX(設定!$E$9:$E$108,$A41,1))</f>
        <v/>
      </c>
      <c r="F41" s="76" t="str">
        <f>IF(S41="","",IF(S41=1,"1：家族",IF(AND(S41&gt;=2,S41&lt;=5),"2：雇用","")))</f>
        <v/>
      </c>
      <c r="G41" s="134">
        <f>INT(INDEX(設定!$H$9:H$108,$A41,1))</f>
        <v>0</v>
      </c>
      <c r="H41" s="77" t="str">
        <f>IF(INDEX(設定!$H$9:$H$108,$A41,1)=0,"",ROUND(MOD(INDEX(設定!$H$9:$H$108,$A41,1),1)*60,0))</f>
        <v/>
      </c>
      <c r="I41" s="134">
        <f>INT(INDEX(設定!$I$9:$I$108,$A41,1))</f>
        <v>0</v>
      </c>
      <c r="J41" s="77" t="str">
        <f>IF(INDEX(設定!$I$9:$I$108,$A41,1)=0,"",ROUND(MOD(INDEX(設定!$I$9:$I$108,$A41,1),1)*60,0))</f>
        <v/>
      </c>
      <c r="K41" s="134">
        <f>INT(INDEX(設定!$J$9:$J$108,$A41,1))</f>
        <v>0</v>
      </c>
      <c r="L41" s="77" t="str">
        <f>IF(INDEX(設定!$J$9:$J$108,$A41,1)=0,"",ROUND(MOD(INDEX(設定!$J$9:$J$108,$A41,1),1)*60,0))</f>
        <v/>
      </c>
      <c r="M41" s="134">
        <f>INT(INDEX(設定!$K$9:$K$108,$A41,1))</f>
        <v>0</v>
      </c>
      <c r="N41" s="78" t="str">
        <f>IF(INDEX(設定!$K$9:$K$108,$A41,1)=0,"",ROUND(MOD(INDEX(設定!$K$9:$K$108,$A41,1),1)*60,0))</f>
        <v/>
      </c>
      <c r="P41" s="19"/>
      <c r="Q41" s="19"/>
      <c r="S41" s="89" t="str">
        <f>IF(INDEX(設定!$F$9:$F$108,$A41,1)="","",VALUE(LEFT(INDEX(設定!$F$9:$F$108,$A41,1),1)))</f>
        <v/>
      </c>
      <c r="T41" s="202" t="str">
        <f>IF(C41="","",C41)</f>
        <v/>
      </c>
      <c r="U41" s="203" t="str">
        <f>IF(D41="","",IF(D41="1：男",1,IF(D41="2：女",2)))</f>
        <v/>
      </c>
      <c r="V41" s="204" t="str">
        <f>IF(E41="","",E41)</f>
        <v/>
      </c>
      <c r="W41" s="180" t="str">
        <f t="shared" ref="W41" si="69">IF(AND(G41="",H41="",G42=""),"",ROUND(SUM(G41,H41/60)*G42,1))</f>
        <v/>
      </c>
      <c r="X41" s="181" t="str">
        <f t="shared" ref="X41" si="70">IF(AND(I41="",J41="",I42=""),"",ROUND(SUM(I41,J41/60)*I42,1))</f>
        <v/>
      </c>
      <c r="Y41" s="181" t="str">
        <f t="shared" ref="Y41" si="71">IF(AND(K41="",L41="",K42=""),"",ROUND(SUM(K41,L41/60)*K42,1))</f>
        <v/>
      </c>
      <c r="Z41" s="182" t="str">
        <f t="shared" ref="Z41" si="72">IF(AND(M41="",N41="",M42=""),"",ROUND(SUM(M41,N41/60)*M42,1))</f>
        <v/>
      </c>
      <c r="AA41" s="183"/>
      <c r="AB41" s="184"/>
      <c r="AC41" s="544" t="s">
        <v>131</v>
      </c>
      <c r="AD41" s="549"/>
      <c r="AE41" s="550"/>
      <c r="AF41" s="241" t="e">
        <f>SUM(AF42:AF45)</f>
        <v>#REF!</v>
      </c>
      <c r="AG41" s="241" t="e">
        <f t="shared" ref="AG41" si="73">SUM(AG42:AG45)</f>
        <v>#REF!</v>
      </c>
      <c r="AH41" s="218"/>
      <c r="AI41" s="186"/>
      <c r="AJ41" s="186"/>
      <c r="AK41" s="186"/>
      <c r="AL41" s="241" t="e">
        <f>AL46+AL51</f>
        <v>#REF!</v>
      </c>
      <c r="AM41" s="241" t="e">
        <f>AM46+AM51</f>
        <v>#REF!</v>
      </c>
      <c r="AN41" s="245" t="e">
        <f>AN46+AN51</f>
        <v>#REF!</v>
      </c>
      <c r="AO41" s="245" t="e">
        <f>AO46+AO51</f>
        <v>#REF!</v>
      </c>
      <c r="AP41" s="242" t="e">
        <f>AP42</f>
        <v>#REF!</v>
      </c>
      <c r="AQ41" s="242" t="e">
        <f>AQ42</f>
        <v>#REF!</v>
      </c>
      <c r="AR41" s="242" t="e">
        <f>SUM(AR42:AR45)</f>
        <v>#REF!</v>
      </c>
      <c r="AS41" s="242" t="e">
        <f>SUM(AS42:AS45)</f>
        <v>#REF!</v>
      </c>
      <c r="AT41" s="221"/>
      <c r="AU41" s="221"/>
      <c r="AV41" s="544" t="s">
        <v>132</v>
      </c>
      <c r="AW41" s="549"/>
      <c r="AX41" s="545"/>
      <c r="AY41" s="258" t="e">
        <f>SUM(AY42:AY45)</f>
        <v>#REF!</v>
      </c>
      <c r="AZ41" s="258" t="e">
        <f t="shared" ref="AZ41" si="74">SUM(AZ42:AZ45)</f>
        <v>#REF!</v>
      </c>
      <c r="BA41" s="258" t="e">
        <f>ROUND(SUM(BA46,BA51),0)</f>
        <v>#REF!</v>
      </c>
      <c r="BB41" s="258" t="e">
        <f>ROUND(SUM(BB46,BB51),0)</f>
        <v>#REF!</v>
      </c>
      <c r="BC41" s="259"/>
      <c r="BD41" s="259"/>
      <c r="BE41" s="259"/>
      <c r="BF41" s="260"/>
    </row>
    <row r="42" spans="1:58" ht="29.25" customHeight="1" thickBot="1" x14ac:dyDescent="0.3">
      <c r="B42" s="19"/>
      <c r="C42" s="80"/>
      <c r="D42" s="81"/>
      <c r="E42" s="82"/>
      <c r="F42" s="83"/>
      <c r="G42" s="84" t="str">
        <f>IF(SUM(G41:H41)&gt;0,1,"")</f>
        <v/>
      </c>
      <c r="H42" s="85"/>
      <c r="I42" s="84" t="str">
        <f>IF(SUM(I41:J41)&gt;0,1,"")</f>
        <v/>
      </c>
      <c r="J42" s="85"/>
      <c r="K42" s="84" t="str">
        <f>IF(SUM(K41:L41)&gt;0,1,"")</f>
        <v/>
      </c>
      <c r="L42" s="85"/>
      <c r="M42" s="84" t="str">
        <f>IF(SUM(M41:N41)&gt;0,1,"")</f>
        <v/>
      </c>
      <c r="N42" s="86"/>
      <c r="P42" s="19"/>
      <c r="Q42" s="19"/>
      <c r="S42" s="87"/>
      <c r="T42" s="177"/>
      <c r="U42" s="178"/>
      <c r="V42" s="179"/>
      <c r="W42" s="190"/>
      <c r="X42" s="190"/>
      <c r="Y42" s="190"/>
      <c r="Z42" s="191"/>
      <c r="AA42" s="183"/>
      <c r="AB42" s="184"/>
      <c r="AC42" s="192"/>
      <c r="AD42" s="533" t="s">
        <v>14</v>
      </c>
      <c r="AE42" s="546"/>
      <c r="AF42" s="245" t="e">
        <f>AF47+AF52</f>
        <v>#REF!</v>
      </c>
      <c r="AG42" s="245" t="e">
        <f t="shared" ref="AF42:AK45" si="75">AG47+AG52</f>
        <v>#REF!</v>
      </c>
      <c r="AH42" s="245" t="e">
        <f t="shared" si="75"/>
        <v>#REF!</v>
      </c>
      <c r="AI42" s="245" t="e">
        <f t="shared" si="75"/>
        <v>#REF!</v>
      </c>
      <c r="AJ42" s="245" t="e">
        <f t="shared" si="75"/>
        <v>#REF!</v>
      </c>
      <c r="AK42" s="245" t="e">
        <f t="shared" si="75"/>
        <v>#REF!</v>
      </c>
      <c r="AL42" s="195"/>
      <c r="AM42" s="196"/>
      <c r="AN42" s="197"/>
      <c r="AO42" s="197"/>
      <c r="AP42" s="245" t="e">
        <f>AP47+AP52</f>
        <v>#REF!</v>
      </c>
      <c r="AQ42" s="245" t="e">
        <f>AQ47+AQ52</f>
        <v>#REF!</v>
      </c>
      <c r="AR42" s="245" t="e">
        <f>AR47+AR52</f>
        <v>#REF!</v>
      </c>
      <c r="AS42" s="245" t="e">
        <f>AS47+AS52</f>
        <v>#REF!</v>
      </c>
      <c r="AT42" s="221"/>
      <c r="AU42" s="221"/>
      <c r="AV42" s="198"/>
      <c r="AW42" s="533" t="s">
        <v>14</v>
      </c>
      <c r="AX42" s="546"/>
      <c r="AY42" s="253" t="e">
        <f>AY47+AY52</f>
        <v>#REF!</v>
      </c>
      <c r="AZ42" s="253" t="e">
        <f t="shared" ref="AZ42:AZ45" si="76">AZ47+AZ52</f>
        <v>#REF!</v>
      </c>
      <c r="BA42" s="200"/>
      <c r="BB42" s="201"/>
      <c r="BC42" s="200"/>
      <c r="BD42" s="200"/>
      <c r="BE42" s="253" t="e">
        <f t="shared" ref="BE42:BF45" si="77">BE47+BE52</f>
        <v>#REF!</v>
      </c>
      <c r="BF42" s="253" t="e">
        <f t="shared" si="77"/>
        <v>#REF!</v>
      </c>
    </row>
    <row r="43" spans="1:58" ht="29.25" customHeight="1" thickTop="1" x14ac:dyDescent="0.25">
      <c r="A43" s="135">
        <f>ROUND((ROW()-10)/2,0)</f>
        <v>17</v>
      </c>
      <c r="B43" s="19"/>
      <c r="C43" s="88" t="str">
        <f>IF(INDEX(設定!$C$9:$C$108,$A43,1)="","",INDEX(設定!$C$9:$C$108,$A43,1))</f>
        <v/>
      </c>
      <c r="D43" s="74" t="str">
        <f>IF(INDEX(設定!$D$9:$D$108,$A43,1)="","",INDEX(設定!$D$9:$D$108,$A43,1))</f>
        <v/>
      </c>
      <c r="E43" s="75" t="str">
        <f>IF(INDEX(設定!$E$9:$E$108,$A43,1)="","",INDEX(設定!$E$9:$E$108,$A43,1))</f>
        <v/>
      </c>
      <c r="F43" s="76" t="str">
        <f>IF(S43="","",IF(S43=1,"1：家族",IF(AND(S43&gt;=2,S43&lt;=5),"2：雇用","")))</f>
        <v/>
      </c>
      <c r="G43" s="134">
        <f>INT(INDEX(設定!$H$9:H$108,$A43,1))</f>
        <v>0</v>
      </c>
      <c r="H43" s="77" t="str">
        <f>IF(INDEX(設定!$H$9:$H$108,$A43,1)=0,"",ROUND(MOD(INDEX(設定!$H$9:$H$108,$A43,1),1)*60,0))</f>
        <v/>
      </c>
      <c r="I43" s="134">
        <f>INT(INDEX(設定!$I$9:$I$108,$A43,1))</f>
        <v>0</v>
      </c>
      <c r="J43" s="77" t="str">
        <f>IF(INDEX(設定!$I$9:$I$108,$A43,1)=0,"",ROUND(MOD(INDEX(設定!$I$9:$I$108,$A43,1),1)*60,0))</f>
        <v/>
      </c>
      <c r="K43" s="134">
        <f>INT(INDEX(設定!$J$9:$J$108,$A43,1))</f>
        <v>0</v>
      </c>
      <c r="L43" s="77" t="str">
        <f>IF(INDEX(設定!$J$9:$J$108,$A43,1)=0,"",ROUND(MOD(INDEX(設定!$J$9:$J$108,$A43,1),1)*60,0))</f>
        <v/>
      </c>
      <c r="M43" s="134">
        <f>INT(INDEX(設定!$K$9:$K$108,$A43,1))</f>
        <v>0</v>
      </c>
      <c r="N43" s="78" t="str">
        <f>IF(INDEX(設定!$K$9:$K$108,$A43,1)=0,"",ROUND(MOD(INDEX(設定!$K$9:$K$108,$A43,1),1)*60,0))</f>
        <v/>
      </c>
      <c r="P43" s="19"/>
      <c r="Q43" s="19"/>
      <c r="S43" s="89" t="str">
        <f>IF(INDEX(設定!$F$9:$F$108,$A43,1)="","",VALUE(LEFT(INDEX(設定!$F$9:$F$108,$A43,1),1)))</f>
        <v/>
      </c>
      <c r="T43" s="202" t="str">
        <f>IF(C43="","",C43)</f>
        <v/>
      </c>
      <c r="U43" s="203" t="str">
        <f>IF(D43="","",IF(D43="1：男",1,IF(D43="2：女",2)))</f>
        <v/>
      </c>
      <c r="V43" s="204" t="str">
        <f>IF(E43="","",E43)</f>
        <v/>
      </c>
      <c r="W43" s="180" t="str">
        <f t="shared" ref="W43" si="78">IF(AND(G43="",H43="",G44=""),"",ROUND(SUM(G43,H43/60)*G44,1))</f>
        <v/>
      </c>
      <c r="X43" s="181" t="str">
        <f t="shared" ref="X43" si="79">IF(AND(I43="",J43="",I44=""),"",ROUND(SUM(I43,J43/60)*I44,1))</f>
        <v/>
      </c>
      <c r="Y43" s="181" t="str">
        <f t="shared" ref="Y43" si="80">IF(AND(K43="",L43="",K44=""),"",ROUND(SUM(K43,L43/60)*K44,1))</f>
        <v/>
      </c>
      <c r="Z43" s="182" t="str">
        <f t="shared" ref="Z43" si="81">IF(AND(M43="",N43="",M44=""),"",ROUND(SUM(M43,N43/60)*M44,1))</f>
        <v/>
      </c>
      <c r="AA43" s="183"/>
      <c r="AB43" s="221"/>
      <c r="AC43" s="192"/>
      <c r="AD43" s="535" t="s">
        <v>127</v>
      </c>
      <c r="AE43" s="547"/>
      <c r="AF43" s="236" t="e">
        <f>AF48+AF53</f>
        <v>#REF!</v>
      </c>
      <c r="AG43" s="236" t="e">
        <f t="shared" si="75"/>
        <v>#REF!</v>
      </c>
      <c r="AH43" s="236" t="e">
        <f t="shared" si="75"/>
        <v>#REF!</v>
      </c>
      <c r="AI43" s="236" t="e">
        <f t="shared" si="75"/>
        <v>#REF!</v>
      </c>
      <c r="AJ43" s="206"/>
      <c r="AK43" s="206"/>
      <c r="AL43" s="195"/>
      <c r="AM43" s="196"/>
      <c r="AN43" s="196"/>
      <c r="AO43" s="196"/>
      <c r="AP43" s="206"/>
      <c r="AQ43" s="206"/>
      <c r="AR43" s="236" t="e">
        <f t="shared" ref="AR43:AS45" si="82">AR48+AR53</f>
        <v>#REF!</v>
      </c>
      <c r="AS43" s="236" t="e">
        <f t="shared" si="82"/>
        <v>#REF!</v>
      </c>
      <c r="AT43" s="221"/>
      <c r="AU43" s="221"/>
      <c r="AV43" s="198"/>
      <c r="AW43" s="535" t="s">
        <v>127</v>
      </c>
      <c r="AX43" s="547"/>
      <c r="AY43" s="237" t="e">
        <f t="shared" ref="AY43:AY45" si="83">AY48+AY53</f>
        <v>#REF!</v>
      </c>
      <c r="AZ43" s="237" t="e">
        <f t="shared" si="76"/>
        <v>#REF!</v>
      </c>
      <c r="BA43" s="200"/>
      <c r="BB43" s="201"/>
      <c r="BC43" s="200"/>
      <c r="BD43" s="200"/>
      <c r="BE43" s="237" t="e">
        <f t="shared" si="77"/>
        <v>#REF!</v>
      </c>
      <c r="BF43" s="237" t="e">
        <f t="shared" si="77"/>
        <v>#REF!</v>
      </c>
    </row>
    <row r="44" spans="1:58" ht="29.25" customHeight="1" thickBot="1" x14ac:dyDescent="0.3">
      <c r="B44" s="19"/>
      <c r="C44" s="80"/>
      <c r="D44" s="81"/>
      <c r="E44" s="82"/>
      <c r="F44" s="83"/>
      <c r="G44" s="84" t="str">
        <f>IF(SUM(G43:H43)&gt;0,1,"")</f>
        <v/>
      </c>
      <c r="H44" s="85"/>
      <c r="I44" s="84" t="str">
        <f>IF(SUM(I43:J43)&gt;0,1,"")</f>
        <v/>
      </c>
      <c r="J44" s="85"/>
      <c r="K44" s="84" t="str">
        <f>IF(SUM(K43:L43)&gt;0,1,"")</f>
        <v/>
      </c>
      <c r="L44" s="85"/>
      <c r="M44" s="84" t="str">
        <f>IF(SUM(M43:N43)&gt;0,1,"")</f>
        <v/>
      </c>
      <c r="N44" s="86"/>
      <c r="P44" s="19"/>
      <c r="Q44" s="19"/>
      <c r="S44" s="87"/>
      <c r="T44" s="177"/>
      <c r="U44" s="178"/>
      <c r="V44" s="179"/>
      <c r="W44" s="190"/>
      <c r="X44" s="190"/>
      <c r="Y44" s="190"/>
      <c r="Z44" s="191"/>
      <c r="AA44" s="183"/>
      <c r="AB44" s="221"/>
      <c r="AC44" s="192"/>
      <c r="AD44" s="535" t="s">
        <v>128</v>
      </c>
      <c r="AE44" s="547"/>
      <c r="AF44" s="236" t="e">
        <f t="shared" si="75"/>
        <v>#REF!</v>
      </c>
      <c r="AG44" s="236" t="e">
        <f t="shared" si="75"/>
        <v>#REF!</v>
      </c>
      <c r="AH44" s="236" t="e">
        <f t="shared" si="75"/>
        <v>#REF!</v>
      </c>
      <c r="AI44" s="236" t="e">
        <f t="shared" si="75"/>
        <v>#REF!</v>
      </c>
      <c r="AJ44" s="206"/>
      <c r="AK44" s="206"/>
      <c r="AL44" s="195"/>
      <c r="AM44" s="196"/>
      <c r="AN44" s="196"/>
      <c r="AO44" s="196"/>
      <c r="AP44" s="206"/>
      <c r="AQ44" s="206"/>
      <c r="AR44" s="236" t="e">
        <f t="shared" si="82"/>
        <v>#REF!</v>
      </c>
      <c r="AS44" s="236">
        <f t="shared" si="82"/>
        <v>0</v>
      </c>
      <c r="AT44" s="221"/>
      <c r="AU44" s="221"/>
      <c r="AV44" s="198"/>
      <c r="AW44" s="535" t="s">
        <v>128</v>
      </c>
      <c r="AX44" s="547"/>
      <c r="AY44" s="237" t="e">
        <f t="shared" si="83"/>
        <v>#REF!</v>
      </c>
      <c r="AZ44" s="237" t="e">
        <f t="shared" si="76"/>
        <v>#REF!</v>
      </c>
      <c r="BA44" s="200"/>
      <c r="BB44" s="201"/>
      <c r="BC44" s="200"/>
      <c r="BD44" s="200"/>
      <c r="BE44" s="237" t="e">
        <f t="shared" si="77"/>
        <v>#REF!</v>
      </c>
      <c r="BF44" s="237">
        <f t="shared" si="77"/>
        <v>0</v>
      </c>
    </row>
    <row r="45" spans="1:58" ht="29.25" customHeight="1" thickTop="1" thickBot="1" x14ac:dyDescent="0.3">
      <c r="A45" s="135">
        <f>ROUND((ROW()-10)/2,0)</f>
        <v>18</v>
      </c>
      <c r="B45" s="19"/>
      <c r="C45" s="88" t="str">
        <f>IF(INDEX(設定!$C$9:$C$108,$A45,1)="","",INDEX(設定!$C$9:$C$108,$A45,1))</f>
        <v/>
      </c>
      <c r="D45" s="74" t="str">
        <f>IF(INDEX(設定!$D$9:$D$108,$A45,1)="","",INDEX(設定!$D$9:$D$108,$A45,1))</f>
        <v/>
      </c>
      <c r="E45" s="75" t="str">
        <f>IF(INDEX(設定!$E$9:$E$108,$A45,1)="","",INDEX(設定!$E$9:$E$108,$A45,1))</f>
        <v/>
      </c>
      <c r="F45" s="76" t="str">
        <f>IF(S45="","",IF(S45=1,"1：家族",IF(AND(S45&gt;=2,S45&lt;=5),"2：雇用","")))</f>
        <v/>
      </c>
      <c r="G45" s="134">
        <f>INT(INDEX(設定!$H$9:H$108,$A45,1))</f>
        <v>0</v>
      </c>
      <c r="H45" s="77" t="str">
        <f>IF(INDEX(設定!$H$9:$H$108,$A45,1)=0,"",ROUND(MOD(INDEX(設定!$H$9:$H$108,$A45,1),1)*60,0))</f>
        <v/>
      </c>
      <c r="I45" s="134">
        <f>INT(INDEX(設定!$I$9:$I$108,$A45,1))</f>
        <v>0</v>
      </c>
      <c r="J45" s="77" t="str">
        <f>IF(INDEX(設定!$I$9:$I$108,$A45,1)=0,"",ROUND(MOD(INDEX(設定!$I$9:$I$108,$A45,1),1)*60,0))</f>
        <v/>
      </c>
      <c r="K45" s="134">
        <f>INT(INDEX(設定!$J$9:$J$108,$A45,1))</f>
        <v>0</v>
      </c>
      <c r="L45" s="77" t="str">
        <f>IF(INDEX(設定!$J$9:$J$108,$A45,1)=0,"",ROUND(MOD(INDEX(設定!$J$9:$J$108,$A45,1),1)*60,0))</f>
        <v/>
      </c>
      <c r="M45" s="134">
        <f>INT(INDEX(設定!$K$9:$K$108,$A45,1))</f>
        <v>0</v>
      </c>
      <c r="N45" s="78" t="str">
        <f>IF(INDEX(設定!$K$9:$K$108,$A45,1)=0,"",ROUND(MOD(INDEX(設定!$K$9:$K$108,$A45,1),1)*60,0))</f>
        <v/>
      </c>
      <c r="P45" s="19"/>
      <c r="Q45" s="19"/>
      <c r="S45" s="89" t="str">
        <f>IF(INDEX(設定!$F$9:$F$108,$A45,1)="","",VALUE(LEFT(INDEX(設定!$F$9:$F$108,$A45,1),1)))</f>
        <v/>
      </c>
      <c r="T45" s="202" t="str">
        <f>IF(C45="","",C45)</f>
        <v/>
      </c>
      <c r="U45" s="203" t="str">
        <f>IF(D45="","",IF(D45="1：男",1,IF(D45="2：女",2)))</f>
        <v/>
      </c>
      <c r="V45" s="204" t="str">
        <f>IF(E45="","",E45)</f>
        <v/>
      </c>
      <c r="W45" s="180" t="str">
        <f t="shared" ref="W45" si="84">IF(AND(G45="",H45="",G46=""),"",ROUND(SUM(G45,H45/60)*G46,1))</f>
        <v/>
      </c>
      <c r="X45" s="181" t="str">
        <f t="shared" ref="X45" si="85">IF(AND(I45="",J45="",I46=""),"",ROUND(SUM(I45,J45/60)*I46,1))</f>
        <v/>
      </c>
      <c r="Y45" s="181" t="str">
        <f t="shared" ref="Y45" si="86">IF(AND(K45="",L45="",K46=""),"",ROUND(SUM(K45,L45/60)*K46,1))</f>
        <v/>
      </c>
      <c r="Z45" s="182" t="str">
        <f t="shared" ref="Z45" si="87">IF(AND(M45="",N45="",M46=""),"",ROUND(SUM(M45,N45/60)*M46,1))</f>
        <v/>
      </c>
      <c r="AA45" s="183"/>
      <c r="AB45" s="221"/>
      <c r="AC45" s="192"/>
      <c r="AD45" s="539" t="s">
        <v>15</v>
      </c>
      <c r="AE45" s="540"/>
      <c r="AF45" s="239" t="e">
        <f t="shared" si="75"/>
        <v>#REF!</v>
      </c>
      <c r="AG45" s="239" t="e">
        <f t="shared" si="75"/>
        <v>#REF!</v>
      </c>
      <c r="AH45" s="239" t="e">
        <f t="shared" si="75"/>
        <v>#REF!</v>
      </c>
      <c r="AI45" s="239" t="e">
        <f t="shared" si="75"/>
        <v>#REF!</v>
      </c>
      <c r="AJ45" s="209"/>
      <c r="AK45" s="209"/>
      <c r="AL45" s="210"/>
      <c r="AM45" s="211"/>
      <c r="AN45" s="211"/>
      <c r="AO45" s="211"/>
      <c r="AP45" s="209"/>
      <c r="AQ45" s="209"/>
      <c r="AR45" s="239" t="e">
        <f t="shared" si="82"/>
        <v>#REF!</v>
      </c>
      <c r="AS45" s="239" t="e">
        <f t="shared" si="82"/>
        <v>#REF!</v>
      </c>
      <c r="AT45" s="221"/>
      <c r="AU45" s="221"/>
      <c r="AV45" s="198"/>
      <c r="AW45" s="539" t="s">
        <v>15</v>
      </c>
      <c r="AX45" s="540"/>
      <c r="AY45" s="261" t="e">
        <f t="shared" si="83"/>
        <v>#REF!</v>
      </c>
      <c r="AZ45" s="261" t="e">
        <f t="shared" si="76"/>
        <v>#REF!</v>
      </c>
      <c r="BA45" s="200"/>
      <c r="BB45" s="201"/>
      <c r="BC45" s="215"/>
      <c r="BD45" s="215"/>
      <c r="BE45" s="240" t="e">
        <f t="shared" si="77"/>
        <v>#REF!</v>
      </c>
      <c r="BF45" s="240" t="e">
        <f t="shared" si="77"/>
        <v>#REF!</v>
      </c>
    </row>
    <row r="46" spans="1:58" ht="28.95" customHeight="1" thickBot="1" x14ac:dyDescent="0.3">
      <c r="B46" s="19"/>
      <c r="C46" s="80"/>
      <c r="D46" s="81"/>
      <c r="E46" s="82"/>
      <c r="F46" s="83"/>
      <c r="G46" s="84" t="str">
        <f>IF(SUM(G45:H45)&gt;0,1,"")</f>
        <v/>
      </c>
      <c r="H46" s="85"/>
      <c r="I46" s="84" t="str">
        <f>IF(SUM(I45:J45)&gt;0,1,"")</f>
        <v/>
      </c>
      <c r="J46" s="85"/>
      <c r="K46" s="84" t="str">
        <f>IF(SUM(K45:L45)&gt;0,1,"")</f>
        <v/>
      </c>
      <c r="L46" s="85"/>
      <c r="M46" s="84" t="str">
        <f>IF(SUM(M45:N45)&gt;0,1,"")</f>
        <v/>
      </c>
      <c r="N46" s="86"/>
      <c r="P46" s="19"/>
      <c r="Q46" s="19"/>
      <c r="S46" s="87"/>
      <c r="T46" s="177"/>
      <c r="U46" s="178"/>
      <c r="V46" s="179"/>
      <c r="W46" s="190"/>
      <c r="X46" s="190"/>
      <c r="Y46" s="190"/>
      <c r="Z46" s="191"/>
      <c r="AA46" s="183"/>
      <c r="AB46" s="221"/>
      <c r="AC46" s="225"/>
      <c r="AD46" s="541" t="s">
        <v>133</v>
      </c>
      <c r="AE46" s="542"/>
      <c r="AF46" s="241" t="e">
        <f t="shared" ref="AF46:AG46" si="88">SUM(AF47:AF50)</f>
        <v>#REF!</v>
      </c>
      <c r="AG46" s="241" t="e">
        <f t="shared" si="88"/>
        <v>#REF!</v>
      </c>
      <c r="AH46" s="218"/>
      <c r="AI46" s="186"/>
      <c r="AJ46" s="186"/>
      <c r="AK46" s="228"/>
      <c r="AL46" s="241" t="e">
        <f>AN46+AP46+AR46</f>
        <v>#REF!</v>
      </c>
      <c r="AM46" s="241" t="e">
        <f>AO46+AQ46+AS46</f>
        <v>#REF!</v>
      </c>
      <c r="AN46" s="242" t="e">
        <f>SUMIFS($X$77:$X$106,$S$77:$S$106,2,$U$77:$U$106,1)*自給牧草給与割合/100</f>
        <v>#REF!</v>
      </c>
      <c r="AO46" s="242" t="e">
        <f>SUMIFS($X$77:$X$106,$S$77:$S$106,2,$U$77:$U$106,2)*自給牧草給与割合/100</f>
        <v>#REF!</v>
      </c>
      <c r="AP46" s="242" t="e">
        <f>AP47</f>
        <v>#REF!</v>
      </c>
      <c r="AQ46" s="242" t="e">
        <f>AQ47</f>
        <v>#REF!</v>
      </c>
      <c r="AR46" s="242" t="e">
        <f>SUM(AR47:AR50)</f>
        <v>#REF!</v>
      </c>
      <c r="AS46" s="242" t="e">
        <f>SUM(AS47:AS50)</f>
        <v>#REF!</v>
      </c>
      <c r="AT46" s="221"/>
      <c r="AU46" s="221"/>
      <c r="AV46" s="220"/>
      <c r="AW46" s="541" t="s">
        <v>133</v>
      </c>
      <c r="AX46" s="543"/>
      <c r="AY46" s="249" t="e">
        <f>SUM(AY47:AY50)</f>
        <v>#REF!</v>
      </c>
      <c r="AZ46" s="249" t="e">
        <f>SUM(AZ47:AZ50)</f>
        <v>#REF!</v>
      </c>
      <c r="BA46" s="262" t="e">
        <f>ROUND(BC46+BE46,0)</f>
        <v>#REF!</v>
      </c>
      <c r="BB46" s="262" t="e">
        <f>ROUND(BD46+BF46,0)</f>
        <v>#REF!</v>
      </c>
      <c r="BC46" s="263">
        <f>IF(U112="",0,U112)</f>
        <v>0</v>
      </c>
      <c r="BD46" s="262">
        <f>IF(U113="",0,U113)</f>
        <v>0</v>
      </c>
      <c r="BE46" s="249" t="e">
        <f>SUM(BE47:BE50)</f>
        <v>#REF!</v>
      </c>
      <c r="BF46" s="249" t="e">
        <f>SUM(BF47:BF50)</f>
        <v>#REF!</v>
      </c>
    </row>
    <row r="47" spans="1:58" ht="29.25" customHeight="1" thickTop="1" x14ac:dyDescent="0.25">
      <c r="A47" s="135">
        <f>ROUND((ROW()-10)/2,0)</f>
        <v>19</v>
      </c>
      <c r="B47" s="19"/>
      <c r="C47" s="88" t="str">
        <f>IF(INDEX(設定!$C$9:$C$108,$A47,1)="","",INDEX(設定!$C$9:$C$108,$A47,1))</f>
        <v/>
      </c>
      <c r="D47" s="74" t="str">
        <f>IF(INDEX(設定!$D$9:$D$108,$A47,1)="","",INDEX(設定!$D$9:$D$108,$A47,1))</f>
        <v/>
      </c>
      <c r="E47" s="75" t="str">
        <f>IF(INDEX(設定!$E$9:$E$108,$A47,1)="","",INDEX(設定!$E$9:$E$108,$A47,1))</f>
        <v/>
      </c>
      <c r="F47" s="76" t="str">
        <f>IF(S47="","",IF(S47=1,"1：家族",IF(AND(S47&gt;=2,S47&lt;=5),"2：雇用","")))</f>
        <v/>
      </c>
      <c r="G47" s="134">
        <f>INT(INDEX(設定!$H$9:H$108,$A47,1))</f>
        <v>0</v>
      </c>
      <c r="H47" s="77" t="str">
        <f>IF(INDEX(設定!$H$9:$H$108,$A47,1)=0,"",ROUND(MOD(INDEX(設定!$H$9:$H$108,$A47,1),1)*60,0))</f>
        <v/>
      </c>
      <c r="I47" s="134">
        <f>INT(INDEX(設定!$I$9:$I$108,$A47,1))</f>
        <v>0</v>
      </c>
      <c r="J47" s="77" t="str">
        <f>IF(INDEX(設定!$I$9:$I$108,$A47,1)=0,"",ROUND(MOD(INDEX(設定!$I$9:$I$108,$A47,1),1)*60,0))</f>
        <v/>
      </c>
      <c r="K47" s="134">
        <f>INT(INDEX(設定!$J$9:$J$108,$A47,1))</f>
        <v>0</v>
      </c>
      <c r="L47" s="77" t="str">
        <f>IF(INDEX(設定!$J$9:$J$108,$A47,1)=0,"",ROUND(MOD(INDEX(設定!$J$9:$J$108,$A47,1),1)*60,0))</f>
        <v/>
      </c>
      <c r="M47" s="134">
        <f>INT(INDEX(設定!$K$9:$K$108,$A47,1))</f>
        <v>0</v>
      </c>
      <c r="N47" s="78" t="str">
        <f>IF(INDEX(設定!$K$9:$K$108,$A47,1)=0,"",ROUND(MOD(INDEX(設定!$K$9:$K$108,$A47,1),1)*60,0))</f>
        <v/>
      </c>
      <c r="P47" s="19"/>
      <c r="Q47" s="19"/>
      <c r="S47" s="89" t="str">
        <f>IF(INDEX(設定!$F$9:$F$108,$A47,1)="","",VALUE(LEFT(INDEX(設定!$F$9:$F$108,$A47,1),1)))</f>
        <v/>
      </c>
      <c r="T47" s="202" t="str">
        <f>IF(C47="","",C47)</f>
        <v/>
      </c>
      <c r="U47" s="203" t="str">
        <f>IF(D47="","",IF(D47="1：男",1,IF(D47="2：女",2)))</f>
        <v/>
      </c>
      <c r="V47" s="204" t="str">
        <f>IF(E47="","",E47)</f>
        <v/>
      </c>
      <c r="W47" s="180" t="str">
        <f t="shared" ref="W47" si="89">IF(AND(G47="",H47="",G48=""),"",ROUND(SUM(G47,H47/60)*G48,1))</f>
        <v/>
      </c>
      <c r="X47" s="181" t="str">
        <f t="shared" ref="X47" si="90">IF(AND(I47="",J47="",I48=""),"",ROUND(SUM(I47,J47/60)*I48,1))</f>
        <v/>
      </c>
      <c r="Y47" s="181" t="str">
        <f t="shared" ref="Y47" si="91">IF(AND(K47="",L47="",K48=""),"",ROUND(SUM(K47,L47/60)*K48,1))</f>
        <v/>
      </c>
      <c r="Z47" s="182" t="str">
        <f t="shared" ref="Z47" si="92">IF(AND(M47="",N47="",M48=""),"",ROUND(SUM(M47,N47/60)*M48,1))</f>
        <v/>
      </c>
      <c r="AA47" s="183"/>
      <c r="AB47" s="221"/>
      <c r="AC47" s="225"/>
      <c r="AD47" s="216"/>
      <c r="AE47" s="223" t="s">
        <v>14</v>
      </c>
      <c r="AF47" s="245" t="e">
        <f>AH47+AJ47</f>
        <v>#REF!</v>
      </c>
      <c r="AG47" s="245" t="e">
        <f>AI47+AK47</f>
        <v>#REF!</v>
      </c>
      <c r="AH47" s="245" t="e">
        <f>SUMIFS($X$77:$X$106,$S$77:$S$106,1,$U$77:$U$106,1,$V$77:$V$106,"&lt;65")*自給牧草給与割合/100</f>
        <v>#REF!</v>
      </c>
      <c r="AI47" s="245" t="e">
        <f>SUMIFS($X$77:$X$106,$S$77:$S$106,1,$U$77:$U$106,2,$V$77:$V$106,"&lt;65")*自給牧草給与割合/100</f>
        <v>#REF!</v>
      </c>
      <c r="AJ47" s="245" t="e">
        <f>SUMIFS($X$77:$X$106,$S$77:$S$106,3,$U$77:$U$106,1)*自給牧草給与割合/100</f>
        <v>#REF!</v>
      </c>
      <c r="AK47" s="245" t="e">
        <f>SUMIFS($X$77:$X$106,$S$77:$S$106,3,$U$77:$U$106,2)*自給牧草給与割合/100</f>
        <v>#REF!</v>
      </c>
      <c r="AL47" s="231"/>
      <c r="AM47" s="197"/>
      <c r="AN47" s="197"/>
      <c r="AO47" s="197"/>
      <c r="AP47" s="245" t="e">
        <f>SUMIFS($X$77:$X$106,$S$77:$S$106,4,$U$77:$U$106,1)*自給牧草給与割合/100</f>
        <v>#REF!</v>
      </c>
      <c r="AQ47" s="245" t="e">
        <f>SUMIFS($X$77:$X$106,$S$77:$S$106,4,$U$77:$U$106,2)*自給牧草給与割合/100</f>
        <v>#REF!</v>
      </c>
      <c r="AR47" s="245" t="e">
        <f>SUMIFS($X$77:$X$106,$S$77:$S$106,5,$U$77:$U$106,1,$V$77:$V$106,"&lt;65")*自給牧草給与割合/100</f>
        <v>#REF!</v>
      </c>
      <c r="AS47" s="245" t="e">
        <f>SUMIFS($X$77:$X$106,$S$77:$S$106,5,$U$77:$U$106,2,$V$77:$V$106,"&lt;65")*自給牧草給与割合/100</f>
        <v>#REF!</v>
      </c>
      <c r="AT47" s="221"/>
      <c r="AU47" s="221"/>
      <c r="AV47" s="220"/>
      <c r="AW47" s="216"/>
      <c r="AX47" s="264" t="s">
        <v>14</v>
      </c>
      <c r="AY47" s="253" t="e">
        <f>ROUND(AF47*$T$4,0)</f>
        <v>#REF!</v>
      </c>
      <c r="AZ47" s="253" t="e">
        <f>ROUND(AG47*$T$4,0)</f>
        <v>#REF!</v>
      </c>
      <c r="BA47" s="200"/>
      <c r="BB47" s="201"/>
      <c r="BC47" s="172"/>
      <c r="BD47" s="172"/>
      <c r="BE47" s="254" t="e">
        <f>(AP47+AR47)*$T$4</f>
        <v>#REF!</v>
      </c>
      <c r="BF47" s="254" t="e">
        <f>(AQ47+AS47)*$T$4</f>
        <v>#REF!</v>
      </c>
    </row>
    <row r="48" spans="1:58" ht="29.25" customHeight="1" thickBot="1" x14ac:dyDescent="0.3">
      <c r="B48" s="19"/>
      <c r="C48" s="80"/>
      <c r="D48" s="81"/>
      <c r="E48" s="82"/>
      <c r="F48" s="83"/>
      <c r="G48" s="84" t="str">
        <f>IF(SUM(G47:H47)&gt;0,1,"")</f>
        <v/>
      </c>
      <c r="H48" s="85"/>
      <c r="I48" s="84" t="str">
        <f>IF(SUM(I47:J47)&gt;0,1,"")</f>
        <v/>
      </c>
      <c r="J48" s="85"/>
      <c r="K48" s="84" t="str">
        <f>IF(SUM(K47:L47)&gt;0,1,"")</f>
        <v/>
      </c>
      <c r="L48" s="85"/>
      <c r="M48" s="84" t="str">
        <f>IF(SUM(M47:N47)&gt;0,1,"")</f>
        <v/>
      </c>
      <c r="N48" s="86"/>
      <c r="P48" s="19"/>
      <c r="Q48" s="19"/>
      <c r="S48" s="87"/>
      <c r="T48" s="177"/>
      <c r="U48" s="178"/>
      <c r="V48" s="179"/>
      <c r="W48" s="190"/>
      <c r="X48" s="190"/>
      <c r="Y48" s="190"/>
      <c r="Z48" s="191"/>
      <c r="AA48" s="183"/>
      <c r="AB48" s="221"/>
      <c r="AC48" s="225"/>
      <c r="AD48" s="216"/>
      <c r="AE48" s="224" t="s">
        <v>127</v>
      </c>
      <c r="AF48" s="236" t="e">
        <f>AH48+AJ48</f>
        <v>#REF!</v>
      </c>
      <c r="AG48" s="236" t="e">
        <f>AI48+AK48</f>
        <v>#REF!</v>
      </c>
      <c r="AH48" s="236" t="e">
        <f>SUMIFS($X$77:$X$106,$S$77:$S$106,1,$U$77:$U$106,1,$V$77:$V$106,"&gt;=65",$V$77:$V$106,"&lt;70")*自給牧草給与割合/100</f>
        <v>#REF!</v>
      </c>
      <c r="AI48" s="236" t="e">
        <f>SUMIFS($X$77:$X$106,$S$77:$S$106,1,$U$77:$U$106,2,$V$77:$V$106,"&gt;=65",$V$77:$V$106,"&lt;70")*自給牧草給与割合/100</f>
        <v>#REF!</v>
      </c>
      <c r="AJ48" s="206"/>
      <c r="AK48" s="206"/>
      <c r="AL48" s="195"/>
      <c r="AM48" s="196"/>
      <c r="AN48" s="196"/>
      <c r="AO48" s="196"/>
      <c r="AP48" s="206"/>
      <c r="AQ48" s="206"/>
      <c r="AR48" s="236" t="e">
        <f>SUMIFS($X$77:$X$106,$S$77:$S$106,5,$U$77:$U$106,1,$V$77:$V$106,"&gt;=65",$V$77:$V$106,"&lt;70")*自給牧草給与割合/100</f>
        <v>#REF!</v>
      </c>
      <c r="AS48" s="236" t="e">
        <f>SUMIFS($X$77:$X$106,$S$77:$S$106,5,$U$77:$U$106,2,$V$77:$V$106,"&gt;=65",$V$77:$V$106,"&lt;70")*自給牧草給与割合/100</f>
        <v>#REF!</v>
      </c>
      <c r="AT48" s="221"/>
      <c r="AU48" s="221"/>
      <c r="AV48" s="220"/>
      <c r="AW48" s="216"/>
      <c r="AX48" s="265" t="s">
        <v>127</v>
      </c>
      <c r="AY48" s="237" t="e">
        <f>ROUND(AF48*$T$4*0.9,0)</f>
        <v>#REF!</v>
      </c>
      <c r="AZ48" s="237" t="e">
        <f>ROUND(AG48*$T$4*0.9,0)</f>
        <v>#REF!</v>
      </c>
      <c r="BA48" s="200"/>
      <c r="BB48" s="201"/>
      <c r="BC48" s="200"/>
      <c r="BD48" s="200"/>
      <c r="BE48" s="237" t="e">
        <f>(AR48)*$T$4*0.9</f>
        <v>#REF!</v>
      </c>
      <c r="BF48" s="237" t="e">
        <f>(AS48)*$T$4*0.9</f>
        <v>#REF!</v>
      </c>
    </row>
    <row r="49" spans="1:58" ht="29.25" customHeight="1" thickTop="1" x14ac:dyDescent="0.25">
      <c r="A49" s="136">
        <f>ROUND((ROW()-10)/2,0)</f>
        <v>20</v>
      </c>
      <c r="C49" s="88" t="str">
        <f>IF(INDEX(設定!$C$9:$C$108,$A49,1)="","",INDEX(設定!$C$9:$C$108,$A49,1))</f>
        <v/>
      </c>
      <c r="D49" s="74" t="str">
        <f>IF(INDEX(設定!$D$9:$D$108,$A49,1)="","",INDEX(設定!$D$9:$D$108,$A49,1))</f>
        <v/>
      </c>
      <c r="E49" s="75" t="str">
        <f>IF(INDEX(設定!$E$9:$E$108,$A49,1)="","",INDEX(設定!$E$9:$E$108,$A49,1))</f>
        <v/>
      </c>
      <c r="F49" s="76" t="str">
        <f>IF(S49="","",IF(S49=1,"1：家族",IF(AND(S49&gt;=2,S49&lt;=5),"2：雇用","")))</f>
        <v/>
      </c>
      <c r="G49" s="134">
        <f>INT(INDEX(設定!$H$9:H$108,$A49,1))</f>
        <v>0</v>
      </c>
      <c r="H49" s="77" t="str">
        <f>IF(INDEX(設定!$H$9:$H$108,$A49,1)=0,"",ROUND(MOD(INDEX(設定!$H$9:$H$108,$A49,1),1)*60,0))</f>
        <v/>
      </c>
      <c r="I49" s="134">
        <f>INT(INDEX(設定!$I$9:$I$108,$A49,1))</f>
        <v>0</v>
      </c>
      <c r="J49" s="77" t="str">
        <f>IF(INDEX(設定!$I$9:$I$108,$A49,1)=0,"",ROUND(MOD(INDEX(設定!$I$9:$I$108,$A49,1),1)*60,0))</f>
        <v/>
      </c>
      <c r="K49" s="134">
        <f>INT(INDEX(設定!$J$9:$J$108,$A49,1))</f>
        <v>0</v>
      </c>
      <c r="L49" s="77" t="str">
        <f>IF(INDEX(設定!$J$9:$J$108,$A49,1)=0,"",ROUND(MOD(INDEX(設定!$J$9:$J$108,$A49,1),1)*60,0))</f>
        <v/>
      </c>
      <c r="M49" s="134">
        <f>INT(INDEX(設定!$K$9:$K$108,$A49,1))</f>
        <v>0</v>
      </c>
      <c r="N49" s="78" t="str">
        <f>IF(INDEX(設定!$K$9:$K$108,$A49,1)=0,"",ROUND(MOD(INDEX(設定!$K$9:$K$108,$A49,1),1)*60,0))</f>
        <v/>
      </c>
      <c r="P49" s="19"/>
      <c r="Q49" s="19"/>
      <c r="S49" s="89" t="str">
        <f>IF(INDEX(設定!$F$9:$F$108,$A49,1)="","",VALUE(LEFT(INDEX(設定!$F$9:$F$108,$A49,1),1)))</f>
        <v/>
      </c>
      <c r="T49" s="202" t="str">
        <f>IF(C49="","",C49)</f>
        <v/>
      </c>
      <c r="U49" s="203" t="str">
        <f>IF(D49="","",IF(D49="1：男",1,IF(D49="2：女",2)))</f>
        <v/>
      </c>
      <c r="V49" s="204" t="str">
        <f>IF(E49="","",E49)</f>
        <v/>
      </c>
      <c r="W49" s="180" t="str">
        <f t="shared" ref="W49" si="93">IF(AND(G49="",H49="",G50=""),"",ROUND(SUM(G49,H49/60)*G50,1))</f>
        <v/>
      </c>
      <c r="X49" s="181" t="str">
        <f t="shared" ref="X49" si="94">IF(AND(I49="",J49="",I50=""),"",ROUND(SUM(I49,J49/60)*I50,1))</f>
        <v/>
      </c>
      <c r="Y49" s="181" t="str">
        <f t="shared" ref="Y49" si="95">IF(AND(K49="",L49="",K50=""),"",ROUND(SUM(K49,L49/60)*K50,1))</f>
        <v/>
      </c>
      <c r="Z49" s="182" t="str">
        <f t="shared" ref="Z49" si="96">IF(AND(M49="",N49="",M50=""),"",ROUND(SUM(M49,N49/60)*M50,1))</f>
        <v/>
      </c>
      <c r="AA49" s="183"/>
      <c r="AB49" s="221"/>
      <c r="AC49" s="225"/>
      <c r="AD49" s="216"/>
      <c r="AE49" s="224" t="s">
        <v>128</v>
      </c>
      <c r="AF49" s="236" t="e">
        <f t="shared" ref="AF49:AF50" si="97">AH49+AJ49</f>
        <v>#REF!</v>
      </c>
      <c r="AG49" s="236" t="e">
        <f>AI49+AK49</f>
        <v>#REF!</v>
      </c>
      <c r="AH49" s="236" t="e">
        <f>SUMIFS($X$77:$X$106,$S$77:$S$106,1,$U$77:$U$106,1,$V$77:$V$106,"&gt;=70",$V$77:$V$106,"&lt;75")*自給牧草給与割合/100</f>
        <v>#REF!</v>
      </c>
      <c r="AI49" s="236" t="e">
        <f>SUMIFS($X$77:$X$106,$S$77:$S$106,1,$U$77:$U$106,2,$V$77:$V$106,"&gt;=70",$V$77:$V$106,"&lt;75")*自給牧草給与割合/100</f>
        <v>#REF!</v>
      </c>
      <c r="AJ49" s="206"/>
      <c r="AK49" s="206"/>
      <c r="AL49" s="195"/>
      <c r="AM49" s="196"/>
      <c r="AN49" s="196"/>
      <c r="AO49" s="196"/>
      <c r="AP49" s="206"/>
      <c r="AQ49" s="206"/>
      <c r="AR49" s="236" t="e">
        <f>SUMIFS($X$77:$X$106,$S$77:$S$106,5,$U$77:$U$106,1,$V$77:$V$106,"&gt;=70",$V$77:$V$106,"&lt;75")*自給牧草給与割合/100</f>
        <v>#REF!</v>
      </c>
      <c r="AS49" s="236">
        <f>SUMIFS($X$77:$X$106,$S$77:$S$106,5,$U$77:$U$106,2,$V$77:$V$106,"&gt;=70",$V$77:$V$106,"&lt;75")</f>
        <v>0</v>
      </c>
      <c r="AT49" s="221"/>
      <c r="AU49" s="221"/>
      <c r="AV49" s="220"/>
      <c r="AW49" s="216"/>
      <c r="AX49" s="265" t="s">
        <v>128</v>
      </c>
      <c r="AY49" s="237" t="e">
        <f>ROUND(AF49*$T$4*0.8,0)</f>
        <v>#REF!</v>
      </c>
      <c r="AZ49" s="237" t="e">
        <f>ROUND(AG49*$T$4*0.8,0)</f>
        <v>#REF!</v>
      </c>
      <c r="BA49" s="200"/>
      <c r="BB49" s="201"/>
      <c r="BC49" s="200"/>
      <c r="BD49" s="200"/>
      <c r="BE49" s="237" t="e">
        <f>(AR49)*$T$4*0.8</f>
        <v>#REF!</v>
      </c>
      <c r="BF49" s="237">
        <f>(AS49)*$T$4*0.8</f>
        <v>0</v>
      </c>
    </row>
    <row r="50" spans="1:58" ht="29.25" customHeight="1" thickBot="1" x14ac:dyDescent="0.3">
      <c r="A50" s="136"/>
      <c r="C50" s="80"/>
      <c r="D50" s="81"/>
      <c r="E50" s="82"/>
      <c r="F50" s="83"/>
      <c r="G50" s="84" t="str">
        <f>IF(SUM(G49:H49)&gt;0,1,"")</f>
        <v/>
      </c>
      <c r="H50" s="85"/>
      <c r="I50" s="84" t="str">
        <f>IF(SUM(I49:J49)&gt;0,1,"")</f>
        <v/>
      </c>
      <c r="J50" s="85"/>
      <c r="K50" s="84" t="str">
        <f>IF(SUM(K49:L49)&gt;0,1,"")</f>
        <v/>
      </c>
      <c r="L50" s="85"/>
      <c r="M50" s="84" t="str">
        <f>IF(SUM(M49:N49)&gt;0,1,"")</f>
        <v/>
      </c>
      <c r="N50" s="86"/>
      <c r="P50" s="19"/>
      <c r="Q50" s="19"/>
      <c r="S50" s="87"/>
      <c r="T50" s="177"/>
      <c r="U50" s="178"/>
      <c r="V50" s="179"/>
      <c r="W50" s="190"/>
      <c r="X50" s="190"/>
      <c r="Y50" s="190"/>
      <c r="Z50" s="191"/>
      <c r="AA50" s="183"/>
      <c r="AB50" s="221"/>
      <c r="AC50" s="225"/>
      <c r="AD50" s="226"/>
      <c r="AE50" s="227" t="s">
        <v>15</v>
      </c>
      <c r="AF50" s="239" t="e">
        <f t="shared" si="97"/>
        <v>#REF!</v>
      </c>
      <c r="AG50" s="239" t="e">
        <f>AI50+AK50</f>
        <v>#REF!</v>
      </c>
      <c r="AH50" s="239" t="e">
        <f>SUMIFS($X$77:$X$106,$S$77:$S$106,1,$U$77:$U$106,1,$V$77:$V$106,"&gt;=75")*自給牧草給与割合/100</f>
        <v>#REF!</v>
      </c>
      <c r="AI50" s="239" t="e">
        <f>SUMIFS($X$77:$X$106,$S$77:$S$106,1,$U$77:$U$106,2,$V$77:$V$106,"&gt;=75")*自給牧草給与割合/100</f>
        <v>#REF!</v>
      </c>
      <c r="AJ50" s="209"/>
      <c r="AK50" s="209"/>
      <c r="AL50" s="195"/>
      <c r="AM50" s="196"/>
      <c r="AN50" s="196"/>
      <c r="AO50" s="196"/>
      <c r="AP50" s="209"/>
      <c r="AQ50" s="209"/>
      <c r="AR50" s="236" t="e">
        <f>SUMIFS($X$77:$X$106,$S$77:$S$106,5,$U$77:$U$106,1,$V$77:$V$106,"&gt;=75")*自給牧草給与割合/100</f>
        <v>#REF!</v>
      </c>
      <c r="AS50" s="236" t="e">
        <f>SUMIFS($X$77:$X$106,$S$77:$S$106,5,$U$77:$U$106,2,$V$77:$V$106,"&gt;=75")*自給牧草給与割合/100</f>
        <v>#REF!</v>
      </c>
      <c r="AT50" s="221"/>
      <c r="AU50" s="221"/>
      <c r="AV50" s="220"/>
      <c r="AW50" s="226"/>
      <c r="AX50" s="266" t="s">
        <v>15</v>
      </c>
      <c r="AY50" s="261" t="e">
        <f>ROUND(AF50*$T$4*0.7,0)</f>
        <v>#REF!</v>
      </c>
      <c r="AZ50" s="261" t="e">
        <f>ROUND(AG50*$T$4*0.7,0)</f>
        <v>#REF!</v>
      </c>
      <c r="BA50" s="200"/>
      <c r="BB50" s="201"/>
      <c r="BC50" s="215"/>
      <c r="BD50" s="215"/>
      <c r="BE50" s="240" t="e">
        <f>(AR50)*$T$4*0.7</f>
        <v>#REF!</v>
      </c>
      <c r="BF50" s="240" t="e">
        <f>(AS50)*$T$4*0.7</f>
        <v>#REF!</v>
      </c>
    </row>
    <row r="51" spans="1:58" ht="29.25" customHeight="1" thickTop="1" x14ac:dyDescent="0.25">
      <c r="A51" s="136">
        <f>ROUND((ROW()-10)/2,0)</f>
        <v>21</v>
      </c>
      <c r="C51" s="88" t="str">
        <f>IF(INDEX(設定!$C$9:$C$108,$A51,1)="","",INDEX(設定!$C$9:$C$108,$A51,1))</f>
        <v/>
      </c>
      <c r="D51" s="74" t="str">
        <f>IF(INDEX(設定!$D$9:$D$108,$A51,1)="","",INDEX(設定!$D$9:$D$108,$A51,1))</f>
        <v/>
      </c>
      <c r="E51" s="75" t="str">
        <f>IF(INDEX(設定!$E$9:$E$108,$A51,1)="","",INDEX(設定!$E$9:$E$108,$A51,1))</f>
        <v/>
      </c>
      <c r="F51" s="76" t="str">
        <f>IF(S51="","",IF(S51=1,"1：家族",IF(AND(S51&gt;=2,S51&lt;=5),"2：雇用","")))</f>
        <v/>
      </c>
      <c r="G51" s="134">
        <f>INT(INDEX(設定!$H$9:H$108,$A51,1))</f>
        <v>0</v>
      </c>
      <c r="H51" s="77" t="str">
        <f>IF(INDEX(設定!$H$9:$H$108,$A51,1)=0,"",ROUND(MOD(INDEX(設定!$H$9:$H$108,$A51,1),1)*60,0))</f>
        <v/>
      </c>
      <c r="I51" s="134">
        <f>INT(INDEX(設定!$I$9:$I$108,$A51,1))</f>
        <v>0</v>
      </c>
      <c r="J51" s="77" t="str">
        <f>IF(INDEX(設定!$I$9:$I$108,$A51,1)=0,"",ROUND(MOD(INDEX(設定!$I$9:$I$108,$A51,1),1)*60,0))</f>
        <v/>
      </c>
      <c r="K51" s="134">
        <f>INT(INDEX(設定!$J$9:$J$108,$A51,1))</f>
        <v>0</v>
      </c>
      <c r="L51" s="77" t="str">
        <f>IF(INDEX(設定!$J$9:$J$108,$A51,1)=0,"",ROUND(MOD(INDEX(設定!$J$9:$J$108,$A51,1),1)*60,0))</f>
        <v/>
      </c>
      <c r="M51" s="134">
        <f>INT(INDEX(設定!$K$9:$K$108,$A51,1))</f>
        <v>0</v>
      </c>
      <c r="N51" s="78" t="str">
        <f>IF(INDEX(設定!$K$9:$K$108,$A51,1)=0,"",ROUND(MOD(INDEX(設定!$K$9:$K$108,$A51,1),1)*60,0))</f>
        <v/>
      </c>
      <c r="P51" s="19"/>
      <c r="Q51" s="19"/>
      <c r="S51" s="89" t="str">
        <f>IF(INDEX(設定!$F$9:$F$108,$A51,1)="","",VALUE(LEFT(INDEX(設定!$F$9:$F$108,$A51,1),1)))</f>
        <v/>
      </c>
      <c r="T51" s="202" t="str">
        <f>IF(C51="","",C51)</f>
        <v/>
      </c>
      <c r="U51" s="203" t="str">
        <f>IF(D51="","",IF(D51="1：男",1,IF(D51="2：女",2)))</f>
        <v/>
      </c>
      <c r="V51" s="204" t="str">
        <f>IF(E51="","",E51)</f>
        <v/>
      </c>
      <c r="W51" s="180" t="str">
        <f t="shared" ref="W51" si="98">IF(AND(G51="",H51="",G52=""),"",ROUND(SUM(G51,H51/60)*G52,1))</f>
        <v/>
      </c>
      <c r="X51" s="181" t="str">
        <f t="shared" ref="X51" si="99">IF(AND(I51="",J51="",I52=""),"",ROUND(SUM(I51,J51/60)*I52,1))</f>
        <v/>
      </c>
      <c r="Y51" s="181" t="str">
        <f t="shared" ref="Y51" si="100">IF(AND(K51="",L51="",K52=""),"",ROUND(SUM(K51,L51/60)*K52,1))</f>
        <v/>
      </c>
      <c r="Z51" s="182" t="str">
        <f t="shared" ref="Z51" si="101">IF(AND(M51="",N51="",M52=""),"",ROUND(SUM(M51,N51/60)*M52,1))</f>
        <v/>
      </c>
      <c r="AA51" s="183"/>
      <c r="AB51" s="221"/>
      <c r="AC51" s="216"/>
      <c r="AD51" s="544" t="s">
        <v>134</v>
      </c>
      <c r="AE51" s="545"/>
      <c r="AF51" s="242">
        <f t="shared" ref="AF51:AG51" si="102">SUM(AF52:AF55)</f>
        <v>0</v>
      </c>
      <c r="AG51" s="242">
        <f t="shared" si="102"/>
        <v>0</v>
      </c>
      <c r="AH51" s="218"/>
      <c r="AI51" s="186"/>
      <c r="AJ51" s="197"/>
      <c r="AK51" s="197"/>
      <c r="AL51" s="242">
        <f>AN51+AP51+AR51</f>
        <v>0</v>
      </c>
      <c r="AM51" s="242">
        <f>AO51+AQ51+AS51</f>
        <v>0</v>
      </c>
      <c r="AN51" s="228">
        <f>SUMIFS($Y$77:$Y$106,$S$77:$S$106,2,$U$77:$U$106,1)</f>
        <v>0</v>
      </c>
      <c r="AO51" s="242">
        <f>SUMIFS($Y$77:$Y$106,$S$77:$S$106,2,$U$77:$U$106,2)</f>
        <v>0</v>
      </c>
      <c r="AP51"/>
      <c r="AQ51"/>
      <c r="AR51" s="242">
        <f>SUM(AR52:AR55)</f>
        <v>0</v>
      </c>
      <c r="AS51" s="242">
        <f>SUM(AS52:AS55)</f>
        <v>0</v>
      </c>
      <c r="AT51" s="221"/>
      <c r="AU51" s="221"/>
      <c r="AV51" s="220"/>
      <c r="AW51" s="541" t="s">
        <v>134</v>
      </c>
      <c r="AX51" s="543"/>
      <c r="AY51" s="249">
        <f>SUM(AY52:AY55)</f>
        <v>0</v>
      </c>
      <c r="AZ51" s="249">
        <f>SUM(AZ52:AZ55)</f>
        <v>0</v>
      </c>
      <c r="BA51" s="249">
        <f>ROUND(BC51+BE51,0)</f>
        <v>0</v>
      </c>
      <c r="BB51" s="249">
        <f>ROUND(BD51+BF51,0)</f>
        <v>0</v>
      </c>
      <c r="BC51" s="250">
        <f>IFERROR($T$112*AN51/($AN$11+$AN$51),0)</f>
        <v>0</v>
      </c>
      <c r="BD51" s="250">
        <f>IFERROR($T$113*AO51/($AO$11+$AO$51),0)</f>
        <v>0</v>
      </c>
      <c r="BE51" s="249">
        <f>SUM(BE52:BE55)</f>
        <v>0</v>
      </c>
      <c r="BF51" s="249">
        <f>SUM(BF52:BF55)</f>
        <v>0</v>
      </c>
    </row>
    <row r="52" spans="1:58" ht="29.25" customHeight="1" thickBot="1" x14ac:dyDescent="0.3">
      <c r="B52" s="19"/>
      <c r="C52" s="80"/>
      <c r="D52" s="81"/>
      <c r="E52" s="82"/>
      <c r="F52" s="83"/>
      <c r="G52" s="84" t="str">
        <f>IF(SUM(G51:H51)&gt;0,1,"")</f>
        <v/>
      </c>
      <c r="H52" s="85"/>
      <c r="I52" s="84" t="str">
        <f>IF(SUM(I51:J51)&gt;0,1,"")</f>
        <v/>
      </c>
      <c r="J52" s="85"/>
      <c r="K52" s="84" t="str">
        <f>IF(SUM(K51:L51)&gt;0,1,"")</f>
        <v/>
      </c>
      <c r="L52" s="85"/>
      <c r="M52" s="84" t="str">
        <f>IF(SUM(M51:N51)&gt;0,1,"")</f>
        <v/>
      </c>
      <c r="N52" s="86"/>
      <c r="P52" s="19"/>
      <c r="Q52" s="19"/>
      <c r="S52" s="87"/>
      <c r="T52" s="177"/>
      <c r="U52" s="178"/>
      <c r="V52" s="179"/>
      <c r="W52" s="190"/>
      <c r="X52" s="190"/>
      <c r="Y52" s="190"/>
      <c r="Z52" s="191"/>
      <c r="AA52" s="183"/>
      <c r="AB52" s="221"/>
      <c r="AC52" s="216"/>
      <c r="AD52" s="216"/>
      <c r="AE52" s="223" t="s">
        <v>14</v>
      </c>
      <c r="AF52" s="245">
        <f>AH52+AJ52</f>
        <v>0</v>
      </c>
      <c r="AG52" s="245">
        <f>AI52+AK52</f>
        <v>0</v>
      </c>
      <c r="AH52" s="245">
        <f>SUMIFS($Y$77:$Y$106,$S$77:$S$106,1,$U$77:$U$106,1,$V$77:$V$106,"&lt;65")</f>
        <v>0</v>
      </c>
      <c r="AI52" s="245">
        <f>SUMIFS($Y$77:$Y$106,$S$77:$S$106,1,$U$77:$U$106,2,$V$77:$V$106,"&lt;65")</f>
        <v>0</v>
      </c>
      <c r="AJ52" s="196"/>
      <c r="AK52" s="255"/>
      <c r="AL52" s="195"/>
      <c r="AM52" s="196"/>
      <c r="AN52" s="196"/>
      <c r="AO52" s="196"/>
      <c r="AP52"/>
      <c r="AQ52"/>
      <c r="AR52" s="245">
        <f>SUMIFS($Y$77:$Y$106,$S$77:$S$106,5,$U$77:$U$106,1,$V$77:$V$106,"&lt;65")</f>
        <v>0</v>
      </c>
      <c r="AS52" s="245">
        <f>SUMIFS($Y$77:$Y$106,$S$77:$S$106,5,$U$77:$U$106,2,$V$77:$V$106,"&lt;65")</f>
        <v>0</v>
      </c>
      <c r="AT52" s="221"/>
      <c r="AU52" s="221"/>
      <c r="AV52" s="220"/>
      <c r="AW52" s="216"/>
      <c r="AX52" s="264" t="s">
        <v>14</v>
      </c>
      <c r="AY52" s="253">
        <f>ROUND(AF52*$T$4,0)</f>
        <v>0</v>
      </c>
      <c r="AZ52" s="253">
        <f>ROUND(AG52*$T$4,0)</f>
        <v>0</v>
      </c>
      <c r="BA52" s="200"/>
      <c r="BB52" s="201"/>
      <c r="BC52" s="172"/>
      <c r="BD52" s="172"/>
      <c r="BE52" s="254">
        <f>(AR52)*$T$4</f>
        <v>0</v>
      </c>
      <c r="BF52" s="254">
        <f>(AS52)*$T$4</f>
        <v>0</v>
      </c>
    </row>
    <row r="53" spans="1:58" ht="29.25" customHeight="1" thickTop="1" x14ac:dyDescent="0.25">
      <c r="A53" s="135">
        <f>ROUND((ROW()-10)/2,0)</f>
        <v>22</v>
      </c>
      <c r="B53" s="19"/>
      <c r="C53" s="88" t="str">
        <f>IF(INDEX(設定!$C$9:$C$108,$A53,1)="","",INDEX(設定!$C$9:$C$108,$A53,1))</f>
        <v/>
      </c>
      <c r="D53" s="74" t="str">
        <f>IF(INDEX(設定!$D$9:$D$108,$A53,1)="","",INDEX(設定!$D$9:$D$108,$A53,1))</f>
        <v/>
      </c>
      <c r="E53" s="75" t="str">
        <f>IF(INDEX(設定!$E$9:$E$108,$A53,1)="","",INDEX(設定!$E$9:$E$108,$A53,1))</f>
        <v/>
      </c>
      <c r="F53" s="76" t="str">
        <f>IF(S53="","",IF(S53=1,"1：家族",IF(AND(S53&gt;=2,S53&lt;=5),"2：雇用","")))</f>
        <v/>
      </c>
      <c r="G53" s="134">
        <f>INT(INDEX(設定!$H$9:H$108,$A53,1))</f>
        <v>0</v>
      </c>
      <c r="H53" s="77" t="str">
        <f>IF(INDEX(設定!$H$9:$H$108,$A53,1)=0,"",ROUND(MOD(INDEX(設定!$H$9:$H$108,$A53,1),1)*60,0))</f>
        <v/>
      </c>
      <c r="I53" s="134">
        <f>INT(INDEX(設定!$I$9:$I$108,$A53,1))</f>
        <v>0</v>
      </c>
      <c r="J53" s="77" t="str">
        <f>IF(INDEX(設定!$I$9:$I$108,$A53,1)=0,"",ROUND(MOD(INDEX(設定!$I$9:$I$108,$A53,1),1)*60,0))</f>
        <v/>
      </c>
      <c r="K53" s="134">
        <f>INT(INDEX(設定!$J$9:$J$108,$A53,1))</f>
        <v>0</v>
      </c>
      <c r="L53" s="77" t="str">
        <f>IF(INDEX(設定!$J$9:$J$108,$A53,1)=0,"",ROUND(MOD(INDEX(設定!$J$9:$J$108,$A53,1),1)*60,0))</f>
        <v/>
      </c>
      <c r="M53" s="134">
        <f>INT(INDEX(設定!$K$9:$K$108,$A53,1))</f>
        <v>0</v>
      </c>
      <c r="N53" s="78" t="str">
        <f>IF(INDEX(設定!$K$9:$K$108,$A53,1)=0,"",ROUND(MOD(INDEX(設定!$K$9:$K$108,$A53,1),1)*60,0))</f>
        <v/>
      </c>
      <c r="P53" s="19"/>
      <c r="Q53" s="19"/>
      <c r="S53" s="89" t="str">
        <f>IF(INDEX(設定!$F$9:$F$108,$A53,1)="","",VALUE(LEFT(INDEX(設定!$F$9:$F$108,$A53,1),1)))</f>
        <v/>
      </c>
      <c r="T53" s="202" t="str">
        <f>IF(C53="","",C53)</f>
        <v/>
      </c>
      <c r="U53" s="203" t="str">
        <f>IF(D53="","",IF(D53="1：男",1,IF(D53="2：女",2)))</f>
        <v/>
      </c>
      <c r="V53" s="204" t="str">
        <f>IF(E53="","",E53)</f>
        <v/>
      </c>
      <c r="W53" s="180" t="str">
        <f t="shared" ref="W53" si="103">IF(AND(G53="",H53="",G54=""),"",ROUND(SUM(G53,H53/60)*G54,1))</f>
        <v/>
      </c>
      <c r="X53" s="181" t="str">
        <f t="shared" ref="X53" si="104">IF(AND(I53="",J53="",I54=""),"",ROUND(SUM(I53,J53/60)*I54,1))</f>
        <v/>
      </c>
      <c r="Y53" s="181" t="str">
        <f t="shared" ref="Y53" si="105">IF(AND(K53="",L53="",K54=""),"",ROUND(SUM(K53,L53/60)*K54,1))</f>
        <v/>
      </c>
      <c r="Z53" s="182" t="str">
        <f t="shared" ref="Z53" si="106">IF(AND(M53="",N53="",M54=""),"",ROUND(SUM(M53,N53/60)*M54,1))</f>
        <v/>
      </c>
      <c r="AA53" s="183"/>
      <c r="AB53" s="221"/>
      <c r="AC53" s="216"/>
      <c r="AD53" s="216"/>
      <c r="AE53" s="224" t="s">
        <v>127</v>
      </c>
      <c r="AF53" s="236">
        <f>AH53+AJ53</f>
        <v>0</v>
      </c>
      <c r="AG53" s="236">
        <f>AI53+AK53</f>
        <v>0</v>
      </c>
      <c r="AH53" s="236">
        <f>SUMIFS($Y$77:$Y$106,$S$77:$S$106,1,$U$77:$U$106,1,$V$77:$V$106,"&gt;=65",$V$77:$V$106,"&lt;70")</f>
        <v>0</v>
      </c>
      <c r="AI53" s="236">
        <f>SUMIFS($Y$77:$Y$106,$S$77:$S$106,1,$U$77:$U$106,2,$V$77:$V$106,"&gt;=65",$V$77:$V$106,"&lt;70")</f>
        <v>0</v>
      </c>
      <c r="AJ53" s="267"/>
      <c r="AK53" s="268"/>
      <c r="AL53" s="195"/>
      <c r="AM53" s="196"/>
      <c r="AN53" s="196"/>
      <c r="AO53" s="196"/>
      <c r="AP53"/>
      <c r="AQ53"/>
      <c r="AR53" s="236">
        <f>SUMIFS($Y$77:$Y$106,$S$77:$S$106,5,$U$77:$U$106,1,$V$77:$V$106,"&gt;=65",$V$77:$V$106,"&lt;70")</f>
        <v>0</v>
      </c>
      <c r="AS53" s="236">
        <f>SUMIFS($Y$77:$Y$106,$S$77:$S$106,5,$U$77:$U$106,2,$V$77:$V$106,"&gt;=65",$V$77:$V$106,"&lt;70")</f>
        <v>0</v>
      </c>
      <c r="AT53" s="221"/>
      <c r="AU53" s="221"/>
      <c r="AV53" s="220"/>
      <c r="AW53" s="216"/>
      <c r="AX53" s="265" t="s">
        <v>127</v>
      </c>
      <c r="AY53" s="237">
        <f>ROUND(AF53*$T$4*0.9,0)</f>
        <v>0</v>
      </c>
      <c r="AZ53" s="237">
        <f>ROUND(AG53*$T$4*0.9,0)</f>
        <v>0</v>
      </c>
      <c r="BA53" s="200"/>
      <c r="BB53" s="201"/>
      <c r="BC53" s="200"/>
      <c r="BD53" s="200"/>
      <c r="BE53" s="237">
        <f>(AR53)*$T$4*0.9</f>
        <v>0</v>
      </c>
      <c r="BF53" s="237">
        <f>(AS53)*$T$4*0.9</f>
        <v>0</v>
      </c>
    </row>
    <row r="54" spans="1:58" ht="29.25" customHeight="1" thickBot="1" x14ac:dyDescent="0.3">
      <c r="B54" s="19"/>
      <c r="C54" s="80"/>
      <c r="D54" s="81"/>
      <c r="E54" s="82"/>
      <c r="F54" s="83"/>
      <c r="G54" s="84" t="str">
        <f>IF(SUM(G53:H53)&gt;0,1,"")</f>
        <v/>
      </c>
      <c r="H54" s="85"/>
      <c r="I54" s="84" t="str">
        <f>IF(SUM(I53:J53)&gt;0,1,"")</f>
        <v/>
      </c>
      <c r="J54" s="85"/>
      <c r="K54" s="84" t="str">
        <f>IF(SUM(K53:L53)&gt;0,1,"")</f>
        <v/>
      </c>
      <c r="L54" s="85"/>
      <c r="M54" s="84" t="str">
        <f>IF(SUM(M53:N53)&gt;0,1,"")</f>
        <v/>
      </c>
      <c r="N54" s="86"/>
      <c r="P54" s="19"/>
      <c r="Q54" s="19"/>
      <c r="S54" s="87"/>
      <c r="T54" s="177"/>
      <c r="U54" s="178"/>
      <c r="V54" s="179"/>
      <c r="W54" s="190"/>
      <c r="X54" s="190"/>
      <c r="Y54" s="190"/>
      <c r="Z54" s="191"/>
      <c r="AA54" s="183"/>
      <c r="AB54" s="221"/>
      <c r="AC54" s="216"/>
      <c r="AD54" s="216"/>
      <c r="AE54" s="224" t="s">
        <v>128</v>
      </c>
      <c r="AF54" s="236">
        <f t="shared" ref="AF54:AG55" si="107">AH54+AJ54</f>
        <v>0</v>
      </c>
      <c r="AG54" s="236">
        <f t="shared" si="107"/>
        <v>0</v>
      </c>
      <c r="AH54" s="236">
        <f>SUMIFS($Y$77:$Y$106,$S$77:$S$106,1,$U$77:$U$106,1,$V$77:$V$106,"&gt;=70",$V$77:$V$106,"&lt;75")</f>
        <v>0</v>
      </c>
      <c r="AI54" s="236">
        <f>SUMIFS($Y$77:$Y$106,$S$77:$S$106,1,$U$77:$U$106,2,$V$77:$V$106,"&gt;=70",$V$77:$V$106,"&lt;75")</f>
        <v>0</v>
      </c>
      <c r="AJ54" s="267"/>
      <c r="AK54" s="268"/>
      <c r="AL54" s="195"/>
      <c r="AM54" s="196"/>
      <c r="AN54" s="196"/>
      <c r="AO54" s="196"/>
      <c r="AP54"/>
      <c r="AQ54"/>
      <c r="AR54" s="236">
        <f>SUMIFS($Y$77:$Y$106,$S$77:$S$106,5,$U$77:$U$106,1,$V$77:$V$106,"&gt;=70",$V$77:$V$106,"&lt;75")</f>
        <v>0</v>
      </c>
      <c r="AS54" s="236">
        <f>SUMIFS($Y$77:$Y$106,$S$77:$S$106,5,$U$77:$U$106,2,$V$77:$V$106,"&gt;=70",$V$77:$V$106,"&lt;75")</f>
        <v>0</v>
      </c>
      <c r="AT54" s="221"/>
      <c r="AU54" s="221"/>
      <c r="AV54" s="220"/>
      <c r="AW54" s="216"/>
      <c r="AX54" s="265" t="s">
        <v>128</v>
      </c>
      <c r="AY54" s="237">
        <f>ROUND(AF54*$T$4*0.8,0)</f>
        <v>0</v>
      </c>
      <c r="AZ54" s="237">
        <f>ROUND(AG54*$T$4*0.8,0)</f>
        <v>0</v>
      </c>
      <c r="BA54" s="200"/>
      <c r="BB54" s="201"/>
      <c r="BC54" s="200"/>
      <c r="BD54" s="200"/>
      <c r="BE54" s="237">
        <f>(AR54)*$T$4*0.8</f>
        <v>0</v>
      </c>
      <c r="BF54" s="237">
        <f>(AS54)*$T$4*0.8</f>
        <v>0</v>
      </c>
    </row>
    <row r="55" spans="1:58" ht="29.25" customHeight="1" thickTop="1" thickBot="1" x14ac:dyDescent="0.3">
      <c r="A55" s="135">
        <f>ROUND((ROW()-10)/2,0)</f>
        <v>23</v>
      </c>
      <c r="B55" s="19"/>
      <c r="C55" s="88" t="str">
        <f>IF(INDEX(設定!$C$9:$C$108,$A55,1)="","",INDEX(設定!$C$9:$C$108,$A55,1))</f>
        <v/>
      </c>
      <c r="D55" s="74" t="str">
        <f>IF(INDEX(設定!$D$9:$D$108,$A55,1)="","",INDEX(設定!$D$9:$D$108,$A55,1))</f>
        <v/>
      </c>
      <c r="E55" s="75" t="str">
        <f>IF(INDEX(設定!$E$9:$E$108,$A55,1)="","",INDEX(設定!$E$9:$E$108,$A55,1))</f>
        <v/>
      </c>
      <c r="F55" s="76" t="str">
        <f>IF(S55="","",IF(S55=1,"1：家族",IF(AND(S55&gt;=2,S55&lt;=5),"2：雇用","")))</f>
        <v/>
      </c>
      <c r="G55" s="134">
        <f>INT(INDEX(設定!$H$9:H$108,$A55,1))</f>
        <v>0</v>
      </c>
      <c r="H55" s="77" t="str">
        <f>IF(INDEX(設定!$H$9:$H$108,$A55,1)=0,"",ROUND(MOD(INDEX(設定!$H$9:$H$108,$A55,1),1)*60,0))</f>
        <v/>
      </c>
      <c r="I55" s="134">
        <f>INT(INDEX(設定!$I$9:$I$108,$A55,1))</f>
        <v>0</v>
      </c>
      <c r="J55" s="77" t="str">
        <f>IF(INDEX(設定!$I$9:$I$108,$A55,1)=0,"",ROUND(MOD(INDEX(設定!$I$9:$I$108,$A55,1),1)*60,0))</f>
        <v/>
      </c>
      <c r="K55" s="134">
        <f>INT(INDEX(設定!$J$9:$J$108,$A55,1))</f>
        <v>0</v>
      </c>
      <c r="L55" s="77" t="str">
        <f>IF(INDEX(設定!$J$9:$J$108,$A55,1)=0,"",ROUND(MOD(INDEX(設定!$J$9:$J$108,$A55,1),1)*60,0))</f>
        <v/>
      </c>
      <c r="M55" s="134">
        <f>INT(INDEX(設定!$K$9:$K$108,$A55,1))</f>
        <v>0</v>
      </c>
      <c r="N55" s="78" t="str">
        <f>IF(INDEX(設定!$K$9:$K$108,$A55,1)=0,"",ROUND(MOD(INDEX(設定!$K$9:$K$108,$A55,1),1)*60,0))</f>
        <v/>
      </c>
      <c r="P55" s="19"/>
      <c r="Q55" s="19"/>
      <c r="S55" s="89" t="str">
        <f>IF(INDEX(設定!$F$9:$F$108,$A55,1)="","",VALUE(LEFT(INDEX(設定!$F$9:$F$108,$A55,1),1)))</f>
        <v/>
      </c>
      <c r="T55" s="202" t="str">
        <f>IF(C55="","",C55)</f>
        <v/>
      </c>
      <c r="U55" s="203" t="str">
        <f>IF(D55="","",IF(D55="1：男",1,IF(D55="2：女",2)))</f>
        <v/>
      </c>
      <c r="V55" s="204" t="str">
        <f>IF(E55="","",E55)</f>
        <v/>
      </c>
      <c r="W55" s="180" t="str">
        <f t="shared" ref="W55" si="108">IF(AND(G55="",H55="",G56=""),"",ROUND(SUM(G55,H55/60)*G56,1))</f>
        <v/>
      </c>
      <c r="X55" s="181" t="str">
        <f t="shared" ref="X55" si="109">IF(AND(I55="",J55="",I56=""),"",ROUND(SUM(I55,J55/60)*I56,1))</f>
        <v/>
      </c>
      <c r="Y55" s="181" t="str">
        <f t="shared" ref="Y55" si="110">IF(AND(K55="",L55="",K56=""),"",ROUND(SUM(K55,L55/60)*K56,1))</f>
        <v/>
      </c>
      <c r="Z55" s="182" t="str">
        <f t="shared" ref="Z55" si="111">IF(AND(M55="",N55="",M56=""),"",ROUND(SUM(M55,N55/60)*M56,1))</f>
        <v/>
      </c>
      <c r="AA55" s="183"/>
      <c r="AB55"/>
      <c r="AC55" s="216"/>
      <c r="AD55" s="216"/>
      <c r="AE55" s="256" t="s">
        <v>15</v>
      </c>
      <c r="AF55" s="239">
        <f t="shared" si="107"/>
        <v>0</v>
      </c>
      <c r="AG55" s="239">
        <f t="shared" si="107"/>
        <v>0</v>
      </c>
      <c r="AH55" s="239">
        <f>SUMIFS($Y$77:$Y$106,$S$77:$S$106,1,$U$77:$U$106,1,$V$77:$V$106,"&gt;=75")</f>
        <v>0</v>
      </c>
      <c r="AI55" s="239">
        <f>SUMIFS($Y$77:$Y$106,$S$77:$S$106,1,$U$77:$U$106,2,$V$77:$V$106,"&gt;=75")</f>
        <v>0</v>
      </c>
      <c r="AJ55" s="267"/>
      <c r="AK55" s="268"/>
      <c r="AL55" s="195"/>
      <c r="AM55" s="196"/>
      <c r="AN55" s="196"/>
      <c r="AO55" s="196"/>
      <c r="AP55"/>
      <c r="AQ55"/>
      <c r="AR55" s="236">
        <f>SUMIFS($Y$77:$Y$106,$S$77:$S$106,5,$U$77:$U$106,1,$V$77:$V$106,"&gt;=75")</f>
        <v>0</v>
      </c>
      <c r="AS55" s="236">
        <f>SUMIFS($Y$77:$Y$106,$S$77:$S$106,5,$U$77:$U$106,2,$V$77:$V$106,"&gt;=75")</f>
        <v>0</v>
      </c>
      <c r="AT55" s="221"/>
      <c r="AU55" s="221"/>
      <c r="AV55" s="269"/>
      <c r="AW55" s="226"/>
      <c r="AX55" s="266" t="s">
        <v>15</v>
      </c>
      <c r="AY55" s="240">
        <f>ROUND(AF55*$T$4*0.7,0)</f>
        <v>0</v>
      </c>
      <c r="AZ55" s="240">
        <f>ROUND(AG55*$T$4*0.7,0)</f>
        <v>0</v>
      </c>
      <c r="BA55" s="215"/>
      <c r="BB55" s="214"/>
      <c r="BC55" s="215"/>
      <c r="BD55" s="215"/>
      <c r="BE55" s="240">
        <f>(AR55)*$T$4*0.7</f>
        <v>0</v>
      </c>
      <c r="BF55" s="240">
        <f>(AS55)*$T$4*0.7</f>
        <v>0</v>
      </c>
    </row>
    <row r="56" spans="1:58" ht="29.25" customHeight="1" thickTop="1" thickBot="1" x14ac:dyDescent="0.3">
      <c r="B56" s="19"/>
      <c r="C56" s="80"/>
      <c r="D56" s="81"/>
      <c r="E56" s="82"/>
      <c r="F56" s="83"/>
      <c r="G56" s="84" t="str">
        <f>IF(SUM(G55:H55)&gt;0,1,"")</f>
        <v/>
      </c>
      <c r="H56" s="85"/>
      <c r="I56" s="84" t="str">
        <f>IF(SUM(I55:J55)&gt;0,1,"")</f>
        <v/>
      </c>
      <c r="J56" s="85"/>
      <c r="K56" s="84" t="str">
        <f>IF(SUM(K55:L55)&gt;0,1,"")</f>
        <v/>
      </c>
      <c r="L56" s="85"/>
      <c r="M56" s="84" t="str">
        <f>IF(SUM(M55:N55)&gt;0,1,"")</f>
        <v/>
      </c>
      <c r="N56" s="86"/>
      <c r="P56" s="19"/>
      <c r="Q56" s="19"/>
      <c r="S56" s="87"/>
      <c r="T56" s="177"/>
      <c r="U56" s="178"/>
      <c r="V56" s="179"/>
      <c r="W56" s="190"/>
      <c r="X56" s="190"/>
      <c r="Y56" s="190"/>
      <c r="Z56" s="191"/>
      <c r="AA56" s="183"/>
      <c r="AB56" s="221"/>
      <c r="AC56" s="530" t="s">
        <v>135</v>
      </c>
      <c r="AD56" s="531"/>
      <c r="AE56" s="532"/>
      <c r="AF56" s="270" t="e">
        <f>SUM(AF57:AF60)</f>
        <v>#REF!</v>
      </c>
      <c r="AG56" s="270" t="e">
        <f>SUM(AG57:AG60)</f>
        <v>#REF!</v>
      </c>
      <c r="AH56" s="271"/>
      <c r="AI56" s="272"/>
      <c r="AJ56" s="272"/>
      <c r="AK56" s="273"/>
      <c r="AL56" s="274" t="e">
        <f t="shared" ref="AL56:AS56" si="112">AL11+AL41</f>
        <v>#REF!</v>
      </c>
      <c r="AM56" s="274" t="e">
        <f t="shared" si="112"/>
        <v>#REF!</v>
      </c>
      <c r="AN56" s="274" t="e">
        <f t="shared" si="112"/>
        <v>#REF!</v>
      </c>
      <c r="AO56" s="274" t="e">
        <f t="shared" si="112"/>
        <v>#REF!</v>
      </c>
      <c r="AP56" s="274" t="e">
        <f t="shared" si="112"/>
        <v>#REF!</v>
      </c>
      <c r="AQ56" s="274" t="e">
        <f t="shared" si="112"/>
        <v>#REF!</v>
      </c>
      <c r="AR56" s="274" t="e">
        <f t="shared" si="112"/>
        <v>#REF!</v>
      </c>
      <c r="AS56" s="274" t="e">
        <f t="shared" si="112"/>
        <v>#REF!</v>
      </c>
      <c r="AT56" s="221"/>
      <c r="AU56" s="221"/>
      <c r="AV56"/>
      <c r="AW56"/>
      <c r="AX56"/>
      <c r="AY56"/>
      <c r="AZ56"/>
      <c r="BA56"/>
      <c r="BB56"/>
      <c r="BC56" s="200"/>
      <c r="BD56" s="200"/>
      <c r="BE56" s="200"/>
      <c r="BF56" s="200"/>
    </row>
    <row r="57" spans="1:58" ht="29.25" customHeight="1" thickTop="1" x14ac:dyDescent="0.25">
      <c r="A57" s="135">
        <f>ROUND((ROW()-10)/2,0)</f>
        <v>24</v>
      </c>
      <c r="B57" s="19"/>
      <c r="C57" s="88" t="str">
        <f>IF(INDEX(設定!$C$9:$C$108,$A57,1)="","",INDEX(設定!$C$9:$C$108,$A57,1))</f>
        <v/>
      </c>
      <c r="D57" s="74" t="str">
        <f>IF(INDEX(設定!$D$9:$D$108,$A57,1)="","",INDEX(設定!$D$9:$D$108,$A57,1))</f>
        <v/>
      </c>
      <c r="E57" s="75" t="str">
        <f>IF(INDEX(設定!$E$9:$E$108,$A57,1)="","",INDEX(設定!$E$9:$E$108,$A57,1))</f>
        <v/>
      </c>
      <c r="F57" s="76" t="str">
        <f>IF(S57="","",IF(S57=1,"1：家族",IF(AND(S57&gt;=2,S57&lt;=5),"2：雇用","")))</f>
        <v/>
      </c>
      <c r="G57" s="134">
        <f>INT(INDEX(設定!$H$9:H$108,$A57,1))</f>
        <v>0</v>
      </c>
      <c r="H57" s="77" t="str">
        <f>IF(INDEX(設定!$H$9:$H$108,$A57,1)=0,"",ROUND(MOD(INDEX(設定!$H$9:$H$108,$A57,1),1)*60,0))</f>
        <v/>
      </c>
      <c r="I57" s="134">
        <f>INT(INDEX(設定!$I$9:$I$108,$A57,1))</f>
        <v>0</v>
      </c>
      <c r="J57" s="77" t="str">
        <f>IF(INDEX(設定!$I$9:$I$108,$A57,1)=0,"",ROUND(MOD(INDEX(設定!$I$9:$I$108,$A57,1),1)*60,0))</f>
        <v/>
      </c>
      <c r="K57" s="134">
        <f>INT(INDEX(設定!$J$9:$J$108,$A57,1))</f>
        <v>0</v>
      </c>
      <c r="L57" s="77" t="str">
        <f>IF(INDEX(設定!$J$9:$J$108,$A57,1)=0,"",ROUND(MOD(INDEX(設定!$J$9:$J$108,$A57,1),1)*60,0))</f>
        <v/>
      </c>
      <c r="M57" s="134">
        <f>INT(INDEX(設定!$K$9:$K$108,$A57,1))</f>
        <v>0</v>
      </c>
      <c r="N57" s="78" t="str">
        <f>IF(INDEX(設定!$K$9:$K$108,$A57,1)=0,"",ROUND(MOD(INDEX(設定!$K$9:$K$108,$A57,1),1)*60,0))</f>
        <v/>
      </c>
      <c r="P57" s="19"/>
      <c r="Q57" s="19"/>
      <c r="S57" s="89" t="str">
        <f>IF(INDEX(設定!$F$9:$F$108,$A57,1)="","",VALUE(LEFT(INDEX(設定!$F$9:$F$108,$A57,1),1)))</f>
        <v/>
      </c>
      <c r="T57" s="202" t="str">
        <f>IF(C57="","",C57)</f>
        <v/>
      </c>
      <c r="U57" s="203" t="str">
        <f>IF(D57="","",IF(D57="1：男",1,IF(D57="2：女",2)))</f>
        <v/>
      </c>
      <c r="V57" s="204" t="str">
        <f>IF(E57="","",E57)</f>
        <v/>
      </c>
      <c r="W57" s="180" t="str">
        <f t="shared" ref="W57" si="113">IF(AND(G57="",H57="",G58=""),"",ROUND(SUM(G57,H57/60)*G58,1))</f>
        <v/>
      </c>
      <c r="X57" s="181" t="str">
        <f t="shared" ref="X57" si="114">IF(AND(I57="",J57="",I58=""),"",ROUND(SUM(I57,J57/60)*I58,1))</f>
        <v/>
      </c>
      <c r="Y57" s="181" t="str">
        <f t="shared" ref="Y57" si="115">IF(AND(K57="",L57="",K58=""),"",ROUND(SUM(K57,L57/60)*K58,1))</f>
        <v/>
      </c>
      <c r="Z57" s="182" t="str">
        <f t="shared" ref="Z57" si="116">IF(AND(M57="",N57="",M58=""),"",ROUND(SUM(M57,N57/60)*M58,1))</f>
        <v/>
      </c>
      <c r="AA57" s="183"/>
      <c r="AB57" s="221"/>
      <c r="AC57" s="216"/>
      <c r="AD57" s="533" t="s">
        <v>14</v>
      </c>
      <c r="AE57" s="534"/>
      <c r="AF57" s="245" t="e">
        <f>AF12+AF42</f>
        <v>#REF!</v>
      </c>
      <c r="AG57" s="245" t="e">
        <f t="shared" ref="AG57:AK60" si="117">AG12+AG42</f>
        <v>#REF!</v>
      </c>
      <c r="AH57" s="275" t="e">
        <f t="shared" si="117"/>
        <v>#REF!</v>
      </c>
      <c r="AI57" s="245" t="e">
        <f t="shared" si="117"/>
        <v>#REF!</v>
      </c>
      <c r="AJ57" s="245" t="e">
        <f t="shared" si="117"/>
        <v>#REF!</v>
      </c>
      <c r="AK57" s="245" t="e">
        <f t="shared" si="117"/>
        <v>#REF!</v>
      </c>
      <c r="AL57" s="231"/>
      <c r="AM57" s="197"/>
      <c r="AN57" s="197"/>
      <c r="AO57" s="197"/>
      <c r="AP57" s="245" t="e">
        <f>AP12+AP42</f>
        <v>#REF!</v>
      </c>
      <c r="AQ57" s="245" t="e">
        <f>AQ12+AQ42</f>
        <v>#REF!</v>
      </c>
      <c r="AR57" s="245" t="e">
        <f>AR12+AR42</f>
        <v>#REF!</v>
      </c>
      <c r="AS57" s="245" t="e">
        <f>AS12+AS42</f>
        <v>#REF!</v>
      </c>
      <c r="AT57" s="221"/>
      <c r="AU57" s="221"/>
      <c r="AV57"/>
      <c r="AW57"/>
      <c r="AX57"/>
      <c r="AY57"/>
      <c r="AZ57"/>
      <c r="BA57"/>
      <c r="BB57"/>
      <c r="BC57" s="200"/>
      <c r="BD57" s="200"/>
      <c r="BE57" s="200"/>
      <c r="BF57" s="200"/>
    </row>
    <row r="58" spans="1:58" ht="29.25" customHeight="1" thickBot="1" x14ac:dyDescent="0.3">
      <c r="B58" s="19"/>
      <c r="C58" s="80"/>
      <c r="D58" s="81"/>
      <c r="E58" s="82"/>
      <c r="F58" s="83"/>
      <c r="G58" s="84" t="str">
        <f>IF(SUM(G57:H57)&gt;0,1,"")</f>
        <v/>
      </c>
      <c r="H58" s="85"/>
      <c r="I58" s="84" t="str">
        <f>IF(SUM(I57:J57)&gt;0,1,"")</f>
        <v/>
      </c>
      <c r="J58" s="85"/>
      <c r="K58" s="84" t="str">
        <f>IF(SUM(K57:L57)&gt;0,1,"")</f>
        <v/>
      </c>
      <c r="L58" s="85"/>
      <c r="M58" s="84" t="str">
        <f>IF(SUM(M57:N57)&gt;0,1,"")</f>
        <v/>
      </c>
      <c r="N58" s="86"/>
      <c r="P58" s="19"/>
      <c r="Q58" s="19"/>
      <c r="S58" s="87"/>
      <c r="T58" s="177"/>
      <c r="U58" s="178"/>
      <c r="V58" s="179"/>
      <c r="W58" s="190"/>
      <c r="X58" s="190"/>
      <c r="Y58" s="190"/>
      <c r="Z58" s="191"/>
      <c r="AA58" s="183"/>
      <c r="AB58" s="221"/>
      <c r="AC58" s="216"/>
      <c r="AD58" s="535" t="s">
        <v>127</v>
      </c>
      <c r="AE58" s="536"/>
      <c r="AF58" s="236" t="e">
        <f t="shared" ref="AF58:AF60" si="118">AF13+AF43</f>
        <v>#REF!</v>
      </c>
      <c r="AG58" s="236" t="e">
        <f t="shared" si="117"/>
        <v>#REF!</v>
      </c>
      <c r="AH58" s="276" t="e">
        <f t="shared" si="117"/>
        <v>#REF!</v>
      </c>
      <c r="AI58" s="236" t="e">
        <f t="shared" si="117"/>
        <v>#REF!</v>
      </c>
      <c r="AJ58" s="206"/>
      <c r="AK58" s="206"/>
      <c r="AL58" s="195"/>
      <c r="AM58" s="196"/>
      <c r="AN58" s="196"/>
      <c r="AO58" s="196"/>
      <c r="AP58" s="206"/>
      <c r="AQ58" s="206"/>
      <c r="AR58" s="236" t="e">
        <f t="shared" ref="AR58:AS60" si="119">AR13+AR43</f>
        <v>#REF!</v>
      </c>
      <c r="AS58" s="236" t="e">
        <f t="shared" si="119"/>
        <v>#REF!</v>
      </c>
      <c r="AT58" s="221"/>
      <c r="AU58" s="221"/>
      <c r="AV58" s="221"/>
      <c r="AW58" s="221"/>
      <c r="AX58" s="221"/>
      <c r="AY58" s="221"/>
      <c r="AZ58" s="221"/>
      <c r="BA58" s="221"/>
      <c r="BB58" s="221"/>
      <c r="BC58" s="200"/>
      <c r="BD58" s="200"/>
      <c r="BE58" s="200"/>
      <c r="BF58" s="200"/>
    </row>
    <row r="59" spans="1:58" ht="29.25" customHeight="1" thickTop="1" x14ac:dyDescent="0.25">
      <c r="A59" s="135">
        <f>ROUND((ROW()-10)/2,0)</f>
        <v>25</v>
      </c>
      <c r="B59" s="19"/>
      <c r="C59" s="88" t="str">
        <f>IF(INDEX(設定!$C$9:$C$108,$A59,1)="","",INDEX(設定!$C$9:$C$108,$A59,1))</f>
        <v/>
      </c>
      <c r="D59" s="74" t="str">
        <f>IF(INDEX(設定!$D$9:$D$108,$A59,1)="","",INDEX(設定!$D$9:$D$108,$A59,1))</f>
        <v/>
      </c>
      <c r="E59" s="75" t="str">
        <f>IF(INDEX(設定!$E$9:$E$108,$A59,1)="","",INDEX(設定!$E$9:$E$108,$A59,1))</f>
        <v/>
      </c>
      <c r="F59" s="76" t="str">
        <f>IF(S59="","",IF(S59=1,"1：家族",IF(AND(S59&gt;=2,S59&lt;=5),"2：雇用","")))</f>
        <v/>
      </c>
      <c r="G59" s="134">
        <f>INT(INDEX(設定!$H$9:H$108,$A59,1))</f>
        <v>0</v>
      </c>
      <c r="H59" s="77" t="str">
        <f>IF(INDEX(設定!$H$9:$H$108,$A59,1)=0,"",ROUND(MOD(INDEX(設定!$H$9:$H$108,$A59,1),1)*60,0))</f>
        <v/>
      </c>
      <c r="I59" s="134">
        <f>INT(INDEX(設定!$I$9:$I$108,$A59,1))</f>
        <v>0</v>
      </c>
      <c r="J59" s="77" t="str">
        <f>IF(INDEX(設定!$I$9:$I$108,$A59,1)=0,"",ROUND(MOD(INDEX(設定!$I$9:$I$108,$A59,1),1)*60,0))</f>
        <v/>
      </c>
      <c r="K59" s="134">
        <f>INT(INDEX(設定!$J$9:$J$108,$A59,1))</f>
        <v>0</v>
      </c>
      <c r="L59" s="77" t="str">
        <f>IF(INDEX(設定!$J$9:$J$108,$A59,1)=0,"",ROUND(MOD(INDEX(設定!$J$9:$J$108,$A59,1),1)*60,0))</f>
        <v/>
      </c>
      <c r="M59" s="134">
        <f>INT(INDEX(設定!$K$9:$K$108,$A59,1))</f>
        <v>0</v>
      </c>
      <c r="N59" s="78" t="str">
        <f>IF(INDEX(設定!$K$9:$K$108,$A59,1)=0,"",ROUND(MOD(INDEX(設定!$K$9:$K$108,$A59,1),1)*60,0))</f>
        <v/>
      </c>
      <c r="P59" s="19"/>
      <c r="Q59" s="19"/>
      <c r="S59" s="89" t="str">
        <f>IF(INDEX(設定!$F$9:$F$108,$A59,1)="","",VALUE(LEFT(INDEX(設定!$F$9:$F$108,$A59,1),1)))</f>
        <v/>
      </c>
      <c r="T59" s="202" t="str">
        <f>IF(C59="","",C59)</f>
        <v/>
      </c>
      <c r="U59" s="203" t="str">
        <f>IF(D59="","",IF(D59="1：男",1,IF(D59="2：女",2)))</f>
        <v/>
      </c>
      <c r="V59" s="204" t="str">
        <f>IF(E59="","",E59)</f>
        <v/>
      </c>
      <c r="W59" s="180" t="str">
        <f t="shared" ref="W59" si="120">IF(AND(G59="",H59="",G60=""),"",ROUND(SUM(G59,H59/60)*G60,1))</f>
        <v/>
      </c>
      <c r="X59" s="181" t="str">
        <f t="shared" ref="X59" si="121">IF(AND(I59="",J59="",I60=""),"",ROUND(SUM(I59,J59/60)*I60,1))</f>
        <v/>
      </c>
      <c r="Y59" s="181" t="str">
        <f t="shared" ref="Y59" si="122">IF(AND(K59="",L59="",K60=""),"",ROUND(SUM(K59,L59/60)*K60,1))</f>
        <v/>
      </c>
      <c r="Z59" s="182" t="str">
        <f t="shared" ref="Z59" si="123">IF(AND(M59="",N59="",M60=""),"",ROUND(SUM(M59,N59/60)*M60,1))</f>
        <v/>
      </c>
      <c r="AA59" s="183"/>
      <c r="AB59" s="221"/>
      <c r="AC59" s="216"/>
      <c r="AD59" s="535" t="s">
        <v>128</v>
      </c>
      <c r="AE59" s="536"/>
      <c r="AF59" s="236" t="e">
        <f t="shared" si="118"/>
        <v>#REF!</v>
      </c>
      <c r="AG59" s="236" t="e">
        <f t="shared" si="117"/>
        <v>#REF!</v>
      </c>
      <c r="AH59" s="276" t="e">
        <f t="shared" si="117"/>
        <v>#REF!</v>
      </c>
      <c r="AI59" s="236" t="e">
        <f t="shared" si="117"/>
        <v>#REF!</v>
      </c>
      <c r="AJ59" s="206"/>
      <c r="AK59" s="206"/>
      <c r="AL59" s="195"/>
      <c r="AM59" s="196"/>
      <c r="AN59" s="196"/>
      <c r="AO59" s="196"/>
      <c r="AP59" s="206"/>
      <c r="AQ59" s="206"/>
      <c r="AR59" s="236" t="e">
        <f t="shared" si="119"/>
        <v>#REF!</v>
      </c>
      <c r="AS59" s="236">
        <f t="shared" si="119"/>
        <v>0</v>
      </c>
      <c r="AT59" s="221"/>
      <c r="AU59" s="221"/>
      <c r="AV59" s="221"/>
      <c r="AW59" s="221"/>
      <c r="AX59" s="221"/>
      <c r="AY59" s="221"/>
      <c r="AZ59" s="221"/>
      <c r="BA59" s="221"/>
      <c r="BB59" s="221"/>
      <c r="BC59" s="200"/>
      <c r="BD59" s="200"/>
      <c r="BE59" s="200"/>
      <c r="BF59" s="200"/>
    </row>
    <row r="60" spans="1:58" ht="29.25" customHeight="1" thickBot="1" x14ac:dyDescent="0.3">
      <c r="B60" s="19"/>
      <c r="C60" s="80"/>
      <c r="D60" s="81"/>
      <c r="E60" s="82"/>
      <c r="F60" s="83"/>
      <c r="G60" s="84" t="str">
        <f>IF(SUM(G59:H59)&gt;0,1,"")</f>
        <v/>
      </c>
      <c r="H60" s="85"/>
      <c r="I60" s="84" t="str">
        <f>IF(SUM(I59:J59)&gt;0,1,"")</f>
        <v/>
      </c>
      <c r="J60" s="85"/>
      <c r="K60" s="84" t="str">
        <f>IF(SUM(K59:L59)&gt;0,1,"")</f>
        <v/>
      </c>
      <c r="L60" s="85"/>
      <c r="M60" s="84" t="str">
        <f>IF(SUM(M59:N59)&gt;0,1,"")</f>
        <v/>
      </c>
      <c r="N60" s="86"/>
      <c r="P60" s="19"/>
      <c r="Q60" s="19"/>
      <c r="S60" s="87"/>
      <c r="T60" s="177"/>
      <c r="U60" s="178"/>
      <c r="V60" s="179"/>
      <c r="W60" s="190"/>
      <c r="X60" s="190"/>
      <c r="Y60" s="190"/>
      <c r="Z60" s="191"/>
      <c r="AA60" s="183"/>
      <c r="AB60" s="221"/>
      <c r="AC60" s="277"/>
      <c r="AD60" s="537" t="s">
        <v>15</v>
      </c>
      <c r="AE60" s="538"/>
      <c r="AF60" s="278" t="e">
        <f t="shared" si="118"/>
        <v>#REF!</v>
      </c>
      <c r="AG60" s="278" t="e">
        <f t="shared" si="117"/>
        <v>#REF!</v>
      </c>
      <c r="AH60" s="279" t="e">
        <f t="shared" si="117"/>
        <v>#REF!</v>
      </c>
      <c r="AI60" s="280" t="e">
        <f t="shared" si="117"/>
        <v>#REF!</v>
      </c>
      <c r="AJ60" s="281"/>
      <c r="AK60" s="281"/>
      <c r="AL60" s="282"/>
      <c r="AM60" s="283"/>
      <c r="AN60" s="283"/>
      <c r="AO60" s="283"/>
      <c r="AP60" s="281"/>
      <c r="AQ60" s="281"/>
      <c r="AR60" s="280" t="e">
        <f t="shared" si="119"/>
        <v>#REF!</v>
      </c>
      <c r="AS60" s="280" t="e">
        <f t="shared" si="119"/>
        <v>#REF!</v>
      </c>
      <c r="AT60" s="221"/>
      <c r="AU60" s="221"/>
      <c r="AV60"/>
      <c r="AW60"/>
      <c r="AX60"/>
      <c r="AY60"/>
      <c r="AZ60"/>
      <c r="BA60"/>
      <c r="BB60"/>
      <c r="BC60" s="200"/>
      <c r="BD60" s="200"/>
      <c r="BE60" s="200"/>
      <c r="BF60" s="200"/>
    </row>
    <row r="61" spans="1:58" ht="29.25" customHeight="1" thickTop="1" thickBot="1" x14ac:dyDescent="0.3">
      <c r="A61" s="135">
        <f>ROUND((ROW()-10)/2,0)</f>
        <v>26</v>
      </c>
      <c r="B61" s="19"/>
      <c r="C61" s="88" t="str">
        <f>IF(INDEX(設定!$C$9:$C$108,$A61,1)="","",INDEX(設定!$C$9:$C$108,$A61,1))</f>
        <v/>
      </c>
      <c r="D61" s="74" t="str">
        <f>IF(INDEX(設定!$D$9:$D$108,$A61,1)="","",INDEX(設定!$D$9:$D$108,$A61,1))</f>
        <v/>
      </c>
      <c r="E61" s="75" t="str">
        <f>IF(INDEX(設定!$E$9:$E$108,$A61,1)="","",INDEX(設定!$E$9:$E$108,$A61,1))</f>
        <v/>
      </c>
      <c r="F61" s="76" t="str">
        <f>IF(S61="","",IF(S61=1,"1：家族",IF(AND(S61&gt;=2,S61&lt;=5),"2：雇用","")))</f>
        <v/>
      </c>
      <c r="G61" s="134">
        <f>INT(INDEX(設定!$H$9:H$108,$A61,1))</f>
        <v>0</v>
      </c>
      <c r="H61" s="77" t="str">
        <f>IF(INDEX(設定!$H$9:$H$108,$A61,1)=0,"",ROUND(MOD(INDEX(設定!$H$9:$H$108,$A61,1),1)*60,0))</f>
        <v/>
      </c>
      <c r="I61" s="134">
        <f>INT(INDEX(設定!$I$9:$I$108,$A61,1))</f>
        <v>0</v>
      </c>
      <c r="J61" s="77" t="str">
        <f>IF(INDEX(設定!$I$9:$I$108,$A61,1)=0,"",ROUND(MOD(INDEX(設定!$I$9:$I$108,$A61,1),1)*60,0))</f>
        <v/>
      </c>
      <c r="K61" s="134">
        <f>INT(INDEX(設定!$J$9:$J$108,$A61,1))</f>
        <v>0</v>
      </c>
      <c r="L61" s="77" t="str">
        <f>IF(INDEX(設定!$J$9:$J$108,$A61,1)=0,"",ROUND(MOD(INDEX(設定!$J$9:$J$108,$A61,1),1)*60,0))</f>
        <v/>
      </c>
      <c r="M61" s="134">
        <f>INT(INDEX(設定!$K$9:$K$108,$A61,1))</f>
        <v>0</v>
      </c>
      <c r="N61" s="78" t="str">
        <f>IF(INDEX(設定!$K$9:$K$108,$A61,1)=0,"",ROUND(MOD(INDEX(設定!$K$9:$K$108,$A61,1),1)*60,0))</f>
        <v/>
      </c>
      <c r="P61" s="19"/>
      <c r="Q61" s="19"/>
      <c r="S61" s="89" t="str">
        <f>IF(INDEX(設定!$F$9:$F$108,$A61,1)="","",VALUE(LEFT(INDEX(設定!$F$9:$F$108,$A61,1),1)))</f>
        <v/>
      </c>
      <c r="T61" s="202" t="str">
        <f>IF(C61="","",C61)</f>
        <v/>
      </c>
      <c r="U61" s="203" t="str">
        <f>IF(D61="","",IF(D61="1：男",1,IF(D61="2：女",2)))</f>
        <v/>
      </c>
      <c r="V61" s="204" t="str">
        <f>IF(E61="","",E61)</f>
        <v/>
      </c>
      <c r="W61" s="180" t="str">
        <f t="shared" ref="W61" si="124">IF(AND(G61="",H61="",G62=""),"",ROUND(SUM(G61,H61/60)*G62,1))</f>
        <v/>
      </c>
      <c r="X61" s="181" t="str">
        <f t="shared" ref="X61" si="125">IF(AND(I61="",J61="",I62=""),"",ROUND(SUM(I61,J61/60)*I62,1))</f>
        <v/>
      </c>
      <c r="Y61" s="181" t="str">
        <f t="shared" ref="Y61" si="126">IF(AND(K61="",L61="",K62=""),"",ROUND(SUM(K61,L61/60)*K62,1))</f>
        <v/>
      </c>
      <c r="Z61" s="182" t="str">
        <f t="shared" ref="Z61" si="127">IF(AND(M61="",N61="",M62=""),"",ROUND(SUM(M61,N61/60)*M62,1))</f>
        <v/>
      </c>
      <c r="AA61" s="183"/>
      <c r="AB61" s="221"/>
      <c r="AC61" s="511" t="s">
        <v>136</v>
      </c>
      <c r="AD61" s="512"/>
      <c r="AE61" s="513"/>
      <c r="AF61" s="284">
        <f>SUMIFS($Z$77:$Z$106,$S$77:$S$106,1,$U$77:$U$106,1)</f>
        <v>0</v>
      </c>
      <c r="AG61" s="241">
        <f>SUMIFS($Z$77:$Z$106,$S$77:$S$106,1,$U$77:$U$106,2)</f>
        <v>0</v>
      </c>
      <c r="AH61" s="285"/>
      <c r="AI61" s="285"/>
      <c r="AJ61" s="285"/>
      <c r="AK61" s="285"/>
      <c r="AL61" s="286"/>
      <c r="AM61" s="286"/>
      <c r="AN61" s="286"/>
      <c r="AO61" s="286"/>
      <c r="AP61" s="286"/>
      <c r="AQ61" s="286"/>
      <c r="AR61" s="286"/>
      <c r="AS61" s="286"/>
      <c r="AT61" s="221"/>
      <c r="AU61" s="221"/>
      <c r="AV61"/>
      <c r="AW61"/>
      <c r="AX61"/>
      <c r="AY61"/>
      <c r="AZ61"/>
      <c r="BA61"/>
      <c r="BB61"/>
      <c r="BC61" s="200"/>
      <c r="BD61" s="200"/>
      <c r="BE61" s="200"/>
      <c r="BF61" s="200"/>
    </row>
    <row r="62" spans="1:58" ht="29.25" customHeight="1" thickBot="1" x14ac:dyDescent="0.3">
      <c r="B62" s="19"/>
      <c r="C62" s="80"/>
      <c r="D62" s="81"/>
      <c r="E62" s="82"/>
      <c r="F62" s="83"/>
      <c r="G62" s="84" t="str">
        <f>IF(SUM(G61:H61)&gt;0,1,"")</f>
        <v/>
      </c>
      <c r="H62" s="85"/>
      <c r="I62" s="84" t="str">
        <f>IF(SUM(I61:J61)&gt;0,1,"")</f>
        <v/>
      </c>
      <c r="J62" s="85"/>
      <c r="K62" s="84" t="str">
        <f>IF(SUM(K61:L61)&gt;0,1,"")</f>
        <v/>
      </c>
      <c r="L62" s="85"/>
      <c r="M62" s="84" t="str">
        <f>IF(SUM(M61:N61)&gt;0,1,"")</f>
        <v/>
      </c>
      <c r="N62" s="86"/>
      <c r="P62" s="19"/>
      <c r="Q62" s="19"/>
      <c r="S62" s="87"/>
      <c r="T62" s="177"/>
      <c r="U62" s="178"/>
      <c r="V62" s="179"/>
      <c r="W62" s="190"/>
      <c r="X62" s="190"/>
      <c r="Y62" s="190"/>
      <c r="Z62" s="191"/>
      <c r="AA62" s="183"/>
      <c r="AB62" s="221"/>
      <c r="AC62" s="200"/>
      <c r="AD62" s="200"/>
      <c r="AE62" s="200"/>
      <c r="AF62" s="200"/>
      <c r="AG62" s="200"/>
      <c r="AH62" s="200"/>
      <c r="AI62" s="200"/>
      <c r="AJ62" s="200"/>
      <c r="AK62" s="200"/>
      <c r="AL62" s="200"/>
      <c r="AM62" s="200"/>
      <c r="AN62" s="200"/>
      <c r="AO62" s="200"/>
      <c r="AP62" s="200"/>
      <c r="AQ62" s="200"/>
      <c r="AR62" s="200"/>
      <c r="AS62" s="200"/>
      <c r="AT62" s="221"/>
      <c r="AU62" s="221"/>
      <c r="AV62" s="221"/>
      <c r="AW62" s="221"/>
      <c r="AX62" s="221"/>
      <c r="AY62" s="221"/>
      <c r="AZ62" s="221"/>
      <c r="BA62" s="221"/>
      <c r="BB62" s="221"/>
      <c r="BC62" s="200"/>
      <c r="BD62" s="200"/>
      <c r="BE62" s="200"/>
      <c r="BF62" s="200"/>
    </row>
    <row r="63" spans="1:58" ht="29.25" customHeight="1" thickTop="1" x14ac:dyDescent="0.25">
      <c r="A63" s="135">
        <f>ROUND((ROW()-10)/2,0)</f>
        <v>27</v>
      </c>
      <c r="B63" s="19"/>
      <c r="C63" s="88" t="str">
        <f>IF(INDEX(設定!$C$9:$C$108,$A63,1)="","",INDEX(設定!$C$9:$C$108,$A63,1))</f>
        <v/>
      </c>
      <c r="D63" s="74" t="str">
        <f>IF(INDEX(設定!$D$9:$D$108,$A63,1)="","",INDEX(設定!$D$9:$D$108,$A63,1))</f>
        <v/>
      </c>
      <c r="E63" s="75" t="str">
        <f>IF(INDEX(設定!$E$9:$E$108,$A63,1)="","",INDEX(設定!$E$9:$E$108,$A63,1))</f>
        <v/>
      </c>
      <c r="F63" s="76" t="str">
        <f>IF(S63="","",IF(S63=1,"1：家族",IF(AND(S63&gt;=2,S63&lt;=5),"2：雇用","")))</f>
        <v/>
      </c>
      <c r="G63" s="134">
        <f>INT(INDEX(設定!$H$9:H$108,$A63,1))</f>
        <v>0</v>
      </c>
      <c r="H63" s="77" t="str">
        <f>IF(INDEX(設定!$H$9:$H$108,$A63,1)=0,"",ROUND(MOD(INDEX(設定!$H$9:$H$108,$A63,1),1)*60,0))</f>
        <v/>
      </c>
      <c r="I63" s="134">
        <f>INT(INDEX(設定!$I$9:$I$108,$A63,1))</f>
        <v>0</v>
      </c>
      <c r="J63" s="77" t="str">
        <f>IF(INDEX(設定!$I$9:$I$108,$A63,1)=0,"",ROUND(MOD(INDEX(設定!$I$9:$I$108,$A63,1),1)*60,0))</f>
        <v/>
      </c>
      <c r="K63" s="134">
        <f>INT(INDEX(設定!$J$9:$J$108,$A63,1))</f>
        <v>0</v>
      </c>
      <c r="L63" s="77" t="str">
        <f>IF(INDEX(設定!$J$9:$J$108,$A63,1)=0,"",ROUND(MOD(INDEX(設定!$J$9:$J$108,$A63,1),1)*60,0))</f>
        <v/>
      </c>
      <c r="M63" s="134">
        <f>INT(INDEX(設定!$K$9:$K$108,$A63,1))</f>
        <v>0</v>
      </c>
      <c r="N63" s="78" t="str">
        <f>IF(INDEX(設定!$K$9:$K$108,$A63,1)=0,"",ROUND(MOD(INDEX(設定!$K$9:$K$108,$A63,1),1)*60,0))</f>
        <v/>
      </c>
      <c r="P63" s="19"/>
      <c r="Q63" s="19"/>
      <c r="S63" s="89" t="str">
        <f>IF(INDEX(設定!$F$9:$F$108,$A63,1)="","",VALUE(LEFT(INDEX(設定!$F$9:$F$108,$A63,1),1)))</f>
        <v/>
      </c>
      <c r="T63" s="202" t="str">
        <f>IF(C63="","",C63)</f>
        <v/>
      </c>
      <c r="U63" s="203" t="str">
        <f>IF(D63="","",IF(D63="1：男",1,IF(D63="2：女",2)))</f>
        <v/>
      </c>
      <c r="V63" s="204" t="str">
        <f>IF(E63="","",E63)</f>
        <v/>
      </c>
      <c r="W63" s="180" t="str">
        <f t="shared" ref="W63" si="128">IF(AND(G63="",H63="",G64=""),"",ROUND(SUM(G63,H63/60)*G64,1))</f>
        <v/>
      </c>
      <c r="X63" s="181" t="str">
        <f t="shared" ref="X63" si="129">IF(AND(I63="",J63="",I64=""),"",ROUND(SUM(I63,J63/60)*I64,1))</f>
        <v/>
      </c>
      <c r="Y63" s="181" t="str">
        <f t="shared" ref="Y63" si="130">IF(AND(K63="",L63="",K64=""),"",ROUND(SUM(K63,L63/60)*K64,1))</f>
        <v/>
      </c>
      <c r="Z63" s="182" t="str">
        <f t="shared" ref="Z63" si="131">IF(AND(M63="",N63="",M64=""),"",ROUND(SUM(M63,N63/60)*M64,1))</f>
        <v/>
      </c>
      <c r="AA63" s="183"/>
      <c r="AB63" s="221"/>
      <c r="AC63" s="200"/>
      <c r="AD63" s="200"/>
      <c r="AE63" s="200"/>
      <c r="AF63" s="200"/>
      <c r="AG63" s="200"/>
      <c r="AH63" s="200"/>
      <c r="AI63" s="200"/>
      <c r="AJ63" s="200"/>
      <c r="AK63" s="200"/>
      <c r="AL63" s="200"/>
      <c r="AM63" s="200"/>
      <c r="AN63" s="200"/>
      <c r="AO63" s="200"/>
      <c r="AP63" s="200"/>
      <c r="AQ63" s="200"/>
      <c r="AR63" s="200"/>
      <c r="AS63" s="200"/>
      <c r="AT63" s="221"/>
      <c r="AU63" s="221"/>
      <c r="AV63" s="221"/>
      <c r="AW63" s="221"/>
      <c r="AX63" s="221"/>
      <c r="AY63" s="221"/>
      <c r="AZ63" s="221"/>
      <c r="BA63" s="221"/>
      <c r="BB63" s="221"/>
      <c r="BC63" s="200"/>
      <c r="BD63" s="200"/>
      <c r="BE63" s="200"/>
      <c r="BF63" s="200"/>
    </row>
    <row r="64" spans="1:58" ht="29.25" customHeight="1" thickBot="1" x14ac:dyDescent="0.3">
      <c r="B64" s="19"/>
      <c r="C64" s="80"/>
      <c r="D64" s="81"/>
      <c r="E64" s="82"/>
      <c r="F64" s="83"/>
      <c r="G64" s="84" t="str">
        <f>IF(SUM(G63:H63)&gt;0,1,"")</f>
        <v/>
      </c>
      <c r="H64" s="85"/>
      <c r="I64" s="84" t="str">
        <f>IF(SUM(I63:J63)&gt;0,1,"")</f>
        <v/>
      </c>
      <c r="J64" s="85"/>
      <c r="K64" s="84" t="str">
        <f>IF(SUM(K63:L63)&gt;0,1,"")</f>
        <v/>
      </c>
      <c r="L64" s="85"/>
      <c r="M64" s="84" t="str">
        <f>IF(SUM(M63:N63)&gt;0,1,"")</f>
        <v/>
      </c>
      <c r="N64" s="86"/>
      <c r="P64" s="19"/>
      <c r="Q64" s="19"/>
      <c r="S64" s="87"/>
      <c r="T64" s="177"/>
      <c r="U64" s="178"/>
      <c r="V64" s="179"/>
      <c r="W64" s="190"/>
      <c r="X64" s="190"/>
      <c r="Y64" s="190"/>
      <c r="Z64" s="191"/>
      <c r="AA64" s="183"/>
      <c r="AB64" s="221"/>
      <c r="AC64" s="200"/>
      <c r="AD64" s="200"/>
      <c r="AE64" s="200"/>
      <c r="AF64" s="200"/>
      <c r="AG64" s="200"/>
      <c r="AH64" s="200"/>
      <c r="AI64" s="200"/>
      <c r="AJ64" s="200"/>
      <c r="AK64" s="200"/>
      <c r="AL64" s="200"/>
      <c r="AM64" s="200"/>
      <c r="AN64" s="200"/>
      <c r="AO64" s="200"/>
      <c r="AP64" s="200"/>
      <c r="AQ64" s="200"/>
      <c r="AR64" s="200"/>
      <c r="AS64" s="200"/>
      <c r="AT64" s="221"/>
      <c r="AU64" s="221"/>
      <c r="AV64" s="221"/>
      <c r="AW64" s="221"/>
      <c r="AX64" s="221"/>
      <c r="AY64" s="221"/>
      <c r="AZ64" s="221"/>
      <c r="BA64" s="221"/>
      <c r="BB64" s="221"/>
      <c r="BC64" s="200"/>
      <c r="BD64" s="200"/>
      <c r="BE64" s="200"/>
      <c r="BF64" s="200"/>
    </row>
    <row r="65" spans="1:58" ht="29.25" customHeight="1" thickTop="1" x14ac:dyDescent="0.25">
      <c r="A65" s="135">
        <f>ROUND((ROW()-10)/2,0)</f>
        <v>28</v>
      </c>
      <c r="B65" s="19"/>
      <c r="C65" s="88" t="str">
        <f>IF(INDEX(設定!$C$9:$C$108,$A65,1)="","",INDEX(設定!$C$9:$C$108,$A65,1))</f>
        <v/>
      </c>
      <c r="D65" s="74" t="str">
        <f>IF(INDEX(設定!$D$9:$D$108,$A65,1)="","",INDEX(設定!$D$9:$D$108,$A65,1))</f>
        <v/>
      </c>
      <c r="E65" s="75" t="str">
        <f>IF(INDEX(設定!$E$9:$E$108,$A65,1)="","",INDEX(設定!$E$9:$E$108,$A65,1))</f>
        <v/>
      </c>
      <c r="F65" s="76" t="str">
        <f>IF(S65="","",IF(S65=1,"1：家族",IF(AND(S65&gt;=2,S65&lt;=5),"2：雇用","")))</f>
        <v/>
      </c>
      <c r="G65" s="134">
        <f>INT(INDEX(設定!$H$9:H$108,$A65,1))</f>
        <v>0</v>
      </c>
      <c r="H65" s="77" t="str">
        <f>IF(INDEX(設定!$H$9:$H$108,$A65,1)=0,"",ROUND(MOD(INDEX(設定!$H$9:$H$108,$A65,1),1)*60,0))</f>
        <v/>
      </c>
      <c r="I65" s="134">
        <f>INT(INDEX(設定!$I$9:$I$108,$A65,1))</f>
        <v>0</v>
      </c>
      <c r="J65" s="77" t="str">
        <f>IF(INDEX(設定!$I$9:$I$108,$A65,1)=0,"",ROUND(MOD(INDEX(設定!$I$9:$I$108,$A65,1),1)*60,0))</f>
        <v/>
      </c>
      <c r="K65" s="134">
        <f>INT(INDEX(設定!$J$9:$J$108,$A65,1))</f>
        <v>0</v>
      </c>
      <c r="L65" s="77" t="str">
        <f>IF(INDEX(設定!$J$9:$J$108,$A65,1)=0,"",ROUND(MOD(INDEX(設定!$J$9:$J$108,$A65,1),1)*60,0))</f>
        <v/>
      </c>
      <c r="M65" s="134">
        <f>INT(INDEX(設定!$K$9:$K$108,$A65,1))</f>
        <v>0</v>
      </c>
      <c r="N65" s="78" t="str">
        <f>IF(INDEX(設定!$K$9:$K$108,$A65,1)=0,"",ROUND(MOD(INDEX(設定!$K$9:$K$108,$A65,1),1)*60,0))</f>
        <v/>
      </c>
      <c r="P65" s="19"/>
      <c r="Q65" s="19"/>
      <c r="S65" s="89" t="str">
        <f>IF(INDEX(設定!$F$9:$F$108,$A65,1)="","",VALUE(LEFT(INDEX(設定!$F$9:$F$108,$A65,1),1)))</f>
        <v/>
      </c>
      <c r="T65" s="202" t="str">
        <f>IF(C65="","",C65)</f>
        <v/>
      </c>
      <c r="U65" s="203" t="str">
        <f>IF(D65="","",IF(D65="1：男",1,IF(D65="2：女",2)))</f>
        <v/>
      </c>
      <c r="V65" s="204" t="str">
        <f>IF(E65="","",E65)</f>
        <v/>
      </c>
      <c r="W65" s="180" t="str">
        <f t="shared" ref="W65" si="132">IF(AND(G65="",H65="",G66=""),"",ROUND(SUM(G65,H65/60)*G66,1))</f>
        <v/>
      </c>
      <c r="X65" s="181" t="str">
        <f t="shared" ref="X65" si="133">IF(AND(I65="",J65="",I66=""),"",ROUND(SUM(I65,J65/60)*I66,1))</f>
        <v/>
      </c>
      <c r="Y65" s="181" t="str">
        <f t="shared" ref="Y65" si="134">IF(AND(K65="",L65="",K66=""),"",ROUND(SUM(K65,L65/60)*K66,1))</f>
        <v/>
      </c>
      <c r="Z65" s="182" t="str">
        <f t="shared" ref="Z65" si="135">IF(AND(M65="",N65="",M66=""),"",ROUND(SUM(M65,N65/60)*M66,1))</f>
        <v/>
      </c>
      <c r="AA65" s="183"/>
      <c r="AB65" s="221"/>
      <c r="AC65" s="200"/>
      <c r="AD65" s="200"/>
      <c r="AE65" s="200"/>
      <c r="AF65" s="200"/>
      <c r="AG65" s="200"/>
      <c r="AH65" s="200"/>
      <c r="AI65" s="200"/>
      <c r="AJ65" s="200"/>
      <c r="AK65" s="200"/>
      <c r="AL65" s="200"/>
      <c r="AM65" s="200"/>
      <c r="AN65" s="200"/>
      <c r="AO65" s="200"/>
      <c r="AP65" s="200"/>
      <c r="AQ65" s="200"/>
      <c r="AR65" s="200"/>
      <c r="AS65" s="200"/>
      <c r="AT65" s="221"/>
      <c r="AU65" s="221"/>
      <c r="AV65" s="221"/>
      <c r="AW65" s="221"/>
      <c r="AX65" s="221"/>
      <c r="AY65" s="221"/>
      <c r="AZ65" s="221"/>
      <c r="BA65" s="221"/>
      <c r="BB65" s="221"/>
      <c r="BC65" s="200"/>
      <c r="BD65" s="200"/>
      <c r="BE65" s="200"/>
      <c r="BF65" s="200"/>
    </row>
    <row r="66" spans="1:58" ht="29.25" customHeight="1" thickBot="1" x14ac:dyDescent="0.3">
      <c r="B66" s="19"/>
      <c r="C66" s="80"/>
      <c r="D66" s="81"/>
      <c r="E66" s="82"/>
      <c r="F66" s="83"/>
      <c r="G66" s="84" t="str">
        <f>IF(SUM(G65:H65)&gt;0,1,"")</f>
        <v/>
      </c>
      <c r="H66" s="85"/>
      <c r="I66" s="84" t="str">
        <f>IF(SUM(I65:J65)&gt;0,1,"")</f>
        <v/>
      </c>
      <c r="J66" s="85"/>
      <c r="K66" s="84" t="str">
        <f>IF(SUM(K65:L65)&gt;0,1,"")</f>
        <v/>
      </c>
      <c r="L66" s="85"/>
      <c r="M66" s="84" t="str">
        <f>IF(SUM(M65:N65)&gt;0,1,"")</f>
        <v/>
      </c>
      <c r="N66" s="86"/>
      <c r="P66" s="19"/>
      <c r="Q66" s="19"/>
      <c r="S66" s="87"/>
      <c r="T66" s="177"/>
      <c r="U66" s="178"/>
      <c r="V66" s="179"/>
      <c r="W66" s="190"/>
      <c r="X66" s="190"/>
      <c r="Y66" s="190"/>
      <c r="Z66" s="191"/>
      <c r="AA66" s="183"/>
      <c r="AB66" s="221"/>
      <c r="AC66" s="200"/>
      <c r="AD66" s="200"/>
      <c r="AE66" s="200"/>
      <c r="AF66" s="200"/>
      <c r="AG66" s="200"/>
      <c r="AH66" s="200"/>
      <c r="AI66" s="200"/>
      <c r="AJ66" s="200"/>
      <c r="AK66" s="200"/>
      <c r="AL66" s="200"/>
      <c r="AM66" s="200"/>
      <c r="AN66" s="200"/>
      <c r="AO66" s="200"/>
      <c r="AP66" s="200"/>
      <c r="AQ66" s="200"/>
      <c r="AR66" s="200"/>
      <c r="AS66" s="200"/>
      <c r="AT66" s="221"/>
      <c r="AU66" s="221"/>
      <c r="AV66" s="221"/>
      <c r="AW66" s="221"/>
      <c r="AX66" s="221"/>
      <c r="AY66" s="221"/>
      <c r="AZ66" s="221"/>
      <c r="BA66" s="221"/>
      <c r="BB66" s="221"/>
      <c r="BC66" s="1"/>
      <c r="BD66" s="1"/>
      <c r="BE66" s="1"/>
      <c r="BF66" s="1"/>
    </row>
    <row r="67" spans="1:58" ht="29.25" customHeight="1" thickTop="1" x14ac:dyDescent="0.25">
      <c r="A67" s="135">
        <f>ROUND((ROW()-10)/2,0)</f>
        <v>29</v>
      </c>
      <c r="B67" s="19"/>
      <c r="C67" s="88" t="str">
        <f>IF(INDEX(設定!$C$9:$C$108,$A67,1)="","",INDEX(設定!$C$9:$C$108,$A67,1))</f>
        <v/>
      </c>
      <c r="D67" s="74" t="str">
        <f>IF(INDEX(設定!$D$9:$D$108,$A67,1)="","",INDEX(設定!$D$9:$D$108,$A67,1))</f>
        <v/>
      </c>
      <c r="E67" s="75" t="str">
        <f>IF(INDEX(設定!$E$9:$E$108,$A67,1)="","",INDEX(設定!$E$9:$E$108,$A67,1))</f>
        <v/>
      </c>
      <c r="F67" s="76" t="str">
        <f>IF(S67="","",IF(S67=1,"1：家族",IF(AND(S67&gt;=2,S67&lt;=5),"2：雇用","")))</f>
        <v/>
      </c>
      <c r="G67" s="134">
        <f>INT(INDEX(設定!$H$9:H$108,$A67,1))</f>
        <v>0</v>
      </c>
      <c r="H67" s="77" t="str">
        <f>IF(INDEX(設定!$H$9:$H$108,$A67,1)=0,"",ROUND(MOD(INDEX(設定!$H$9:$H$108,$A67,1),1)*60,0))</f>
        <v/>
      </c>
      <c r="I67" s="134">
        <f>INT(INDEX(設定!$I$9:$I$108,$A67,1))</f>
        <v>0</v>
      </c>
      <c r="J67" s="77" t="str">
        <f>IF(INDEX(設定!$I$9:$I$108,$A67,1)=0,"",ROUND(MOD(INDEX(設定!$I$9:$I$108,$A67,1),1)*60,0))</f>
        <v/>
      </c>
      <c r="K67" s="134">
        <f>INT(INDEX(設定!$J$9:$J$108,$A67,1))</f>
        <v>0</v>
      </c>
      <c r="L67" s="77" t="str">
        <f>IF(INDEX(設定!$J$9:$J$108,$A67,1)=0,"",ROUND(MOD(INDEX(設定!$J$9:$J$108,$A67,1),1)*60,0))</f>
        <v/>
      </c>
      <c r="M67" s="134">
        <f>INT(INDEX(設定!$K$9:$K$108,$A67,1))</f>
        <v>0</v>
      </c>
      <c r="N67" s="78" t="str">
        <f>IF(INDEX(設定!$K$9:$K$108,$A67,1)=0,"",ROUND(MOD(INDEX(設定!$K$9:$K$108,$A67,1),1)*60,0))</f>
        <v/>
      </c>
      <c r="P67" s="19"/>
      <c r="Q67" s="19"/>
      <c r="S67" s="89" t="str">
        <f>IF(INDEX(設定!$F$9:$F$108,$A67,1)="","",VALUE(LEFT(INDEX(設定!$F$9:$F$108,$A67,1),1)))</f>
        <v/>
      </c>
      <c r="T67" s="202" t="str">
        <f>IF(C67="","",C67)</f>
        <v/>
      </c>
      <c r="U67" s="203" t="str">
        <f>IF(D67="","",IF(D67="1：男",1,IF(D67="2：女",2)))</f>
        <v/>
      </c>
      <c r="V67" s="204" t="str">
        <f>IF(E67="","",E67)</f>
        <v/>
      </c>
      <c r="W67" s="180" t="str">
        <f t="shared" ref="W67" si="136">IF(AND(G67="",H67="",G68=""),"",ROUND(SUM(G67,H67/60)*G68,1))</f>
        <v/>
      </c>
      <c r="X67" s="181" t="str">
        <f t="shared" ref="X67" si="137">IF(AND(I67="",J67="",I68=""),"",ROUND(SUM(I67,J67/60)*I68,1))</f>
        <v/>
      </c>
      <c r="Y67" s="181" t="str">
        <f t="shared" ref="Y67" si="138">IF(AND(K67="",L67="",K68=""),"",ROUND(SUM(K67,L67/60)*K68,1))</f>
        <v/>
      </c>
      <c r="Z67" s="182" t="str">
        <f t="shared" ref="Z67" si="139">IF(AND(M67="",N67="",M68=""),"",ROUND(SUM(M67,N67/60)*M68,1))</f>
        <v/>
      </c>
      <c r="AA67" s="183"/>
      <c r="AB67" s="221"/>
      <c r="AC67" s="200"/>
      <c r="AD67" s="200"/>
      <c r="AE67" s="200"/>
      <c r="AF67" s="200"/>
      <c r="AG67" s="200"/>
      <c r="AH67" s="200"/>
      <c r="AI67" s="200"/>
      <c r="AJ67" s="200"/>
      <c r="AK67" s="200"/>
      <c r="AL67" s="200"/>
      <c r="AM67" s="200"/>
      <c r="AN67" s="200"/>
      <c r="AO67" s="200"/>
      <c r="AP67" s="200"/>
      <c r="AQ67" s="200"/>
      <c r="AR67" s="200"/>
      <c r="AS67" s="200"/>
      <c r="AT67" s="221"/>
      <c r="AU67" s="221"/>
      <c r="AV67" s="221"/>
      <c r="AW67" s="221"/>
      <c r="AX67" s="221"/>
      <c r="AY67" s="221"/>
      <c r="AZ67" s="221"/>
      <c r="BA67" s="221"/>
      <c r="BB67" s="221"/>
      <c r="BC67" s="200"/>
      <c r="BD67" s="200"/>
      <c r="BE67" s="200"/>
      <c r="BF67" s="200"/>
    </row>
    <row r="68" spans="1:58" ht="29.25" customHeight="1" thickBot="1" x14ac:dyDescent="0.3">
      <c r="B68" s="19"/>
      <c r="C68" s="80"/>
      <c r="D68" s="81"/>
      <c r="E68" s="82"/>
      <c r="F68" s="83"/>
      <c r="G68" s="84" t="str">
        <f>IF(SUM(G67:H67)&gt;0,1,"")</f>
        <v/>
      </c>
      <c r="H68" s="85"/>
      <c r="I68" s="84" t="str">
        <f>IF(SUM(I67:J67)&gt;0,1,"")</f>
        <v/>
      </c>
      <c r="J68" s="85"/>
      <c r="K68" s="84" t="str">
        <f>IF(SUM(K67:L67)&gt;0,1,"")</f>
        <v/>
      </c>
      <c r="L68" s="85"/>
      <c r="M68" s="84" t="str">
        <f>IF(SUM(M67:N67)&gt;0,1,"")</f>
        <v/>
      </c>
      <c r="N68" s="86"/>
      <c r="P68" s="19"/>
      <c r="Q68" s="19"/>
      <c r="S68" s="87"/>
      <c r="T68" s="177"/>
      <c r="U68" s="178"/>
      <c r="V68" s="179"/>
      <c r="W68" s="190"/>
      <c r="X68" s="190"/>
      <c r="Y68" s="190"/>
      <c r="Z68" s="191"/>
      <c r="AA68" s="183"/>
      <c r="AB68" s="221"/>
      <c r="AC68" s="200"/>
      <c r="AD68" s="200"/>
      <c r="AE68" s="200"/>
      <c r="AF68" s="200"/>
      <c r="AG68" s="200"/>
      <c r="AH68" s="200"/>
      <c r="AI68" s="200"/>
      <c r="AJ68" s="200"/>
      <c r="AK68" s="200"/>
      <c r="AL68" s="200"/>
      <c r="AM68" s="200"/>
      <c r="AN68" s="200"/>
      <c r="AO68" s="200"/>
      <c r="AP68" s="200"/>
      <c r="AQ68" s="200"/>
      <c r="AR68" s="200"/>
      <c r="AS68" s="200"/>
      <c r="AT68" s="221"/>
      <c r="AU68" s="221"/>
      <c r="AV68" s="221"/>
      <c r="AW68" s="221"/>
      <c r="AX68" s="221"/>
      <c r="AY68" s="221"/>
      <c r="AZ68" s="221"/>
      <c r="BA68" s="221"/>
      <c r="BB68" s="221"/>
      <c r="BC68" s="200"/>
      <c r="BD68" s="200"/>
      <c r="BE68" s="200"/>
      <c r="BF68" s="200"/>
    </row>
    <row r="69" spans="1:58" ht="29.25" customHeight="1" thickTop="1" x14ac:dyDescent="0.25">
      <c r="A69" s="135">
        <f>ROUND((ROW()-10)/2,0)</f>
        <v>30</v>
      </c>
      <c r="B69" s="19"/>
      <c r="C69" s="88" t="str">
        <f>IF(INDEX(設定!$C$9:$C$108,$A69,1)="","",INDEX(設定!$C$9:$C$108,$A69,1))</f>
        <v/>
      </c>
      <c r="D69" s="137" t="str">
        <f>IF(INDEX(設定!$D$9:$D$108,$A69,1)="","",INDEX(設定!$D$9:$D$108,$A69,1))</f>
        <v/>
      </c>
      <c r="E69" s="75" t="str">
        <f>IF(INDEX(設定!$E$9:$E$108,$A69,1)="","",INDEX(設定!$E$9:$E$108,$A69,1))</f>
        <v/>
      </c>
      <c r="F69" s="76" t="str">
        <f>IF(S69="","",IF(S69=1,"1：家族",IF(AND(S69&gt;=2,S69&lt;=5),"2：雇用","")))</f>
        <v/>
      </c>
      <c r="G69" s="134">
        <f>INT(INDEX(設定!$H$9:H$108,$A69,1))</f>
        <v>0</v>
      </c>
      <c r="H69" s="77" t="str">
        <f>IF(INDEX(設定!$H$9:$H$108,$A69,1)=0,"",ROUND(MOD(INDEX(設定!$H$9:$H$108,$A69,1),1)*60,0))</f>
        <v/>
      </c>
      <c r="I69" s="134">
        <f>INT(INDEX(設定!$I$9:$I$108,$A69,1))</f>
        <v>0</v>
      </c>
      <c r="J69" s="77" t="str">
        <f>IF(INDEX(設定!$I$9:$I$108,$A69,1)=0,"",ROUND(MOD(INDEX(設定!$I$9:$I$108,$A69,1),1)*60,0))</f>
        <v/>
      </c>
      <c r="K69" s="134">
        <f>INT(INDEX(設定!$J$9:$J$108,$A69,1))</f>
        <v>0</v>
      </c>
      <c r="L69" s="77" t="str">
        <f>IF(INDEX(設定!$J$9:$J$108,$A69,1)=0,"",ROUND(MOD(INDEX(設定!$J$9:$J$108,$A69,1),1)*60,0))</f>
        <v/>
      </c>
      <c r="M69" s="134">
        <f>INT(INDEX(設定!$K$9:$K$108,$A69,1))</f>
        <v>0</v>
      </c>
      <c r="N69" s="78" t="str">
        <f>IF(INDEX(設定!$K$9:$K$108,$A69,1)=0,"",ROUND(MOD(INDEX(設定!$K$9:$K$108,$A69,1),1)*60,0))</f>
        <v/>
      </c>
      <c r="P69" s="19"/>
      <c r="Q69" s="19"/>
      <c r="S69" s="89" t="str">
        <f>IF(INDEX(設定!$F$9:$F$108,$A69,1)="","",VALUE(LEFT(INDEX(設定!$F$9:$F$108,$A69,1),1)))</f>
        <v/>
      </c>
      <c r="T69" s="202" t="str">
        <f>IF(C69="","",C69)</f>
        <v/>
      </c>
      <c r="U69" s="203" t="str">
        <f>IF(D69="","",IF(D69="1：男",1,IF(D69="2：女",2)))</f>
        <v/>
      </c>
      <c r="V69" s="204" t="str">
        <f>IF(E69="","",E69)</f>
        <v/>
      </c>
      <c r="W69" s="180" t="str">
        <f t="shared" ref="W69" si="140">IF(AND(G69="",H69="",G70=""),"",ROUND(SUM(G69,H69/60)*G70,1))</f>
        <v/>
      </c>
      <c r="X69" s="181" t="str">
        <f t="shared" ref="X69" si="141">IF(AND(I69="",J69="",I70=""),"",ROUND(SUM(I69,J69/60)*I70,1))</f>
        <v/>
      </c>
      <c r="Y69" s="181" t="str">
        <f t="shared" ref="Y69" si="142">IF(AND(K69="",L69="",K70=""),"",ROUND(SUM(K69,L69/60)*K70,1))</f>
        <v/>
      </c>
      <c r="Z69" s="182" t="str">
        <f t="shared" ref="Z69" si="143">IF(AND(M69="",N69="",M70=""),"",ROUND(SUM(M69,N69/60)*M70,1))</f>
        <v/>
      </c>
      <c r="AA69" s="183"/>
      <c r="AB69" s="221"/>
      <c r="AC69" s="200"/>
      <c r="AD69" s="200"/>
      <c r="AE69" s="200"/>
      <c r="AF69" s="200"/>
      <c r="AG69" s="200"/>
      <c r="AH69" s="200"/>
      <c r="AI69" s="200"/>
      <c r="AJ69" s="200"/>
      <c r="AK69" s="200"/>
      <c r="AL69" s="200"/>
      <c r="AM69" s="200"/>
      <c r="AN69" s="200"/>
      <c r="AO69" s="200"/>
      <c r="AP69" s="200"/>
      <c r="AQ69" s="200"/>
      <c r="AR69" s="200"/>
      <c r="AS69" s="200"/>
      <c r="AT69" s="221"/>
      <c r="AU69" s="221"/>
      <c r="AV69" s="221"/>
      <c r="AW69" s="221"/>
      <c r="AX69" s="221"/>
      <c r="AY69" s="221"/>
      <c r="AZ69" s="221"/>
      <c r="BA69" s="221"/>
      <c r="BB69" s="221"/>
      <c r="BC69" s="200"/>
      <c r="BD69" s="200"/>
      <c r="BE69" s="200"/>
      <c r="BF69" s="200"/>
    </row>
    <row r="70" spans="1:58" ht="29.25" customHeight="1" thickBot="1" x14ac:dyDescent="0.3">
      <c r="B70" s="19"/>
      <c r="C70" s="90"/>
      <c r="D70" s="138"/>
      <c r="E70" s="139"/>
      <c r="F70" s="140"/>
      <c r="G70" s="141" t="str">
        <f>IF(SUM(G69:H69)&gt;0,1,"")</f>
        <v/>
      </c>
      <c r="H70" s="142"/>
      <c r="I70" s="141" t="str">
        <f>IF(SUM(I69:J69)&gt;0,1,"")</f>
        <v/>
      </c>
      <c r="J70" s="142"/>
      <c r="K70" s="141" t="str">
        <f>IF(SUM(K69:L69)&gt;0,1,"")</f>
        <v/>
      </c>
      <c r="L70" s="142"/>
      <c r="M70" s="141" t="str">
        <f>IF(SUM(M69:N69)&gt;0,1,"")</f>
        <v/>
      </c>
      <c r="N70" s="143"/>
      <c r="P70" s="19"/>
      <c r="Q70" s="19"/>
      <c r="S70" s="91"/>
      <c r="T70" s="233"/>
      <c r="U70" s="234"/>
      <c r="V70" s="235"/>
      <c r="W70" s="190"/>
      <c r="X70" s="190"/>
      <c r="Y70" s="190"/>
      <c r="Z70" s="191"/>
      <c r="AA70" s="183"/>
      <c r="AB70" s="221"/>
      <c r="AC70" s="200"/>
      <c r="AD70" s="200"/>
      <c r="AE70" s="200"/>
      <c r="AF70" s="200"/>
      <c r="AG70" s="200"/>
      <c r="AH70" s="200"/>
      <c r="AI70" s="200"/>
      <c r="AJ70" s="200"/>
      <c r="AK70" s="200"/>
      <c r="AL70" s="200"/>
      <c r="AM70" s="200"/>
      <c r="AN70" s="200"/>
      <c r="AO70" s="200"/>
      <c r="AP70" s="200"/>
      <c r="AQ70" s="200"/>
      <c r="AR70" s="200"/>
      <c r="AS70" s="200"/>
      <c r="AT70" s="221"/>
      <c r="AU70" s="221"/>
      <c r="AV70" s="221"/>
      <c r="AW70" s="221"/>
      <c r="AX70" s="221"/>
      <c r="AY70" s="221"/>
      <c r="AZ70" s="221"/>
      <c r="BA70" s="221"/>
      <c r="BB70" s="221"/>
      <c r="BC70" s="200"/>
      <c r="BD70" s="200"/>
      <c r="BE70" s="200"/>
      <c r="BF70" s="200"/>
    </row>
    <row r="71" spans="1:58" ht="26.25" customHeight="1" x14ac:dyDescent="0.25">
      <c r="B71" s="19"/>
      <c r="C71" s="18"/>
      <c r="D71" s="18"/>
      <c r="E71" s="92"/>
      <c r="F71" s="18"/>
      <c r="G71" s="93"/>
      <c r="H71" s="93"/>
      <c r="I71" s="93"/>
      <c r="J71" s="93"/>
      <c r="K71" s="93"/>
      <c r="L71" s="93"/>
      <c r="M71" s="93"/>
      <c r="N71" s="93"/>
      <c r="P71" s="19"/>
      <c r="Q71" s="19"/>
      <c r="S71" s="94"/>
      <c r="T71" s="67"/>
      <c r="U71" s="94"/>
      <c r="V71" s="94"/>
      <c r="W71" s="95"/>
      <c r="X71" s="95"/>
      <c r="Y71" s="95"/>
      <c r="Z71" s="95"/>
      <c r="AA71" s="95"/>
      <c r="AB71" s="95"/>
      <c r="AC71" s="95"/>
      <c r="AD71" s="95"/>
      <c r="AE71" s="146"/>
      <c r="AF71" s="145"/>
      <c r="AG71" s="145"/>
      <c r="AH71" s="145"/>
      <c r="AI71" s="145"/>
      <c r="AJ71" s="145"/>
      <c r="AK71" s="145"/>
      <c r="AL71" s="145"/>
      <c r="AM71" s="145"/>
      <c r="AN71" s="145"/>
      <c r="AO71" s="145"/>
      <c r="AP71" s="145"/>
      <c r="AQ71" s="145"/>
      <c r="AR71" s="145"/>
      <c r="AS71" s="145"/>
      <c r="AT71" s="18"/>
      <c r="AU71" s="18"/>
      <c r="AV71" s="18"/>
      <c r="AW71" s="95"/>
      <c r="AX71" s="146"/>
      <c r="AY71" s="94"/>
      <c r="AZ71" s="94"/>
      <c r="BA71" s="94"/>
      <c r="BB71" s="94"/>
    </row>
    <row r="72" spans="1:58" ht="27" customHeight="1" x14ac:dyDescent="0.2">
      <c r="B72" s="322" t="s">
        <v>149</v>
      </c>
      <c r="C72" s="287"/>
      <c r="P72" s="19"/>
      <c r="Q72" s="19"/>
      <c r="AC72" s="95"/>
      <c r="AD72" s="95"/>
      <c r="AE72" s="146"/>
      <c r="AF72" s="145"/>
      <c r="AG72" s="145"/>
      <c r="AH72" s="145"/>
      <c r="AI72" s="145"/>
      <c r="AJ72" s="147"/>
      <c r="AK72" s="147"/>
      <c r="AL72" s="145"/>
      <c r="AM72" s="145"/>
      <c r="AN72" s="145"/>
      <c r="AO72" s="145"/>
      <c r="AP72" s="18"/>
      <c r="AQ72" s="18"/>
      <c r="AR72" s="145"/>
      <c r="AS72" s="145"/>
      <c r="AV72" s="18"/>
      <c r="AW72" s="95"/>
      <c r="AX72" s="146"/>
      <c r="AY72" s="94"/>
      <c r="AZ72" s="94"/>
      <c r="BA72" s="94"/>
      <c r="BB72" s="94"/>
    </row>
    <row r="74" spans="1:58" ht="14.25" customHeight="1" thickBot="1" x14ac:dyDescent="0.25">
      <c r="C74" s="288"/>
      <c r="D74" s="19"/>
      <c r="E74" s="19"/>
      <c r="F74" s="19"/>
      <c r="G74" s="19"/>
      <c r="H74" s="19"/>
      <c r="I74" s="19"/>
      <c r="J74" s="19"/>
      <c r="K74" s="19"/>
      <c r="L74" s="19"/>
      <c r="M74" s="19"/>
      <c r="N74" s="19"/>
      <c r="P74" s="19"/>
      <c r="Q74" s="19"/>
      <c r="S74" s="514" t="s">
        <v>36</v>
      </c>
      <c r="T74" s="516" t="s">
        <v>6</v>
      </c>
      <c r="U74" s="486" t="s">
        <v>111</v>
      </c>
      <c r="V74" s="519" t="s">
        <v>8</v>
      </c>
      <c r="W74" s="522" t="s">
        <v>137</v>
      </c>
      <c r="X74" s="525" t="s">
        <v>131</v>
      </c>
      <c r="Y74" s="525"/>
      <c r="Z74" s="486" t="s">
        <v>154</v>
      </c>
    </row>
    <row r="75" spans="1:58" ht="27" customHeight="1" x14ac:dyDescent="0.2">
      <c r="C75" s="491" t="s">
        <v>6</v>
      </c>
      <c r="D75" s="493" t="s">
        <v>7</v>
      </c>
      <c r="E75" s="495" t="s">
        <v>8</v>
      </c>
      <c r="F75" s="507" t="s">
        <v>9</v>
      </c>
      <c r="G75" s="509" t="s">
        <v>37</v>
      </c>
      <c r="H75" s="489" t="s">
        <v>38</v>
      </c>
      <c r="I75" s="489" t="s">
        <v>39</v>
      </c>
      <c r="J75" s="489" t="s">
        <v>40</v>
      </c>
      <c r="K75" s="489" t="s">
        <v>41</v>
      </c>
      <c r="L75" s="489" t="s">
        <v>42</v>
      </c>
      <c r="M75" s="526" t="s">
        <v>43</v>
      </c>
      <c r="N75" s="18"/>
      <c r="P75" s="19"/>
      <c r="Q75" s="19"/>
      <c r="S75" s="515"/>
      <c r="T75" s="517"/>
      <c r="U75" s="487"/>
      <c r="V75" s="520"/>
      <c r="W75" s="523"/>
      <c r="X75" s="486" t="s">
        <v>138</v>
      </c>
      <c r="Y75" s="528" t="s">
        <v>139</v>
      </c>
      <c r="Z75" s="487"/>
    </row>
    <row r="76" spans="1:58" ht="27" customHeight="1" thickBot="1" x14ac:dyDescent="0.25">
      <c r="C76" s="492"/>
      <c r="D76" s="494"/>
      <c r="E76" s="496"/>
      <c r="F76" s="508"/>
      <c r="G76" s="510"/>
      <c r="H76" s="490"/>
      <c r="I76" s="490"/>
      <c r="J76" s="490"/>
      <c r="K76" s="490"/>
      <c r="L76" s="490"/>
      <c r="M76" s="527"/>
      <c r="N76" s="18"/>
      <c r="P76" s="19"/>
      <c r="Q76" s="19"/>
      <c r="S76" s="515"/>
      <c r="T76" s="518"/>
      <c r="U76" s="488"/>
      <c r="V76" s="521"/>
      <c r="W76" s="524"/>
      <c r="X76" s="488"/>
      <c r="Y76" s="529"/>
      <c r="Z76" s="488"/>
      <c r="BC76" s="148"/>
      <c r="BD76" s="148"/>
      <c r="BE76" s="148"/>
      <c r="BF76" s="148"/>
    </row>
    <row r="77" spans="1:58" ht="30" customHeight="1" thickTop="1" x14ac:dyDescent="0.25">
      <c r="A77" s="135">
        <v>1</v>
      </c>
      <c r="C77" s="96" t="str">
        <f>IF(INDEX(設定!$C$9:$C$108,$A77,1)="","",INDEX(設定!$C$9:$C$108,$A77,1))</f>
        <v/>
      </c>
      <c r="D77" s="97" t="str">
        <f>IF(INDEX(設定!$D$9:$D$108,$A77,1)="","",INDEX(設定!$D$9:$D$108,$A77,1))</f>
        <v/>
      </c>
      <c r="E77" s="98" t="str">
        <f>IF(INDEX(設定!$E$9:$E$108,$A77,1)="","",INDEX(設定!$E$9:$E$108,$A77,1))</f>
        <v/>
      </c>
      <c r="F77" s="99" t="str">
        <f>IF(S77="","",IF(S77=1,"1：家族",IF(AND(S77&gt;=2,S77&lt;=5),"2：雇用","")))</f>
        <v/>
      </c>
      <c r="G77" s="410" t="str">
        <f>IF(INDEX(設定!L$9:L$108,$A77,1)=0,"",ROUND(INDEX(設定!L$9:L$108,$A77,1),1))</f>
        <v/>
      </c>
      <c r="H77" s="410" t="str">
        <f>IF(INDEX(設定!M$9:M$108,$A77,1)=0,"",ROUND(INDEX(設定!M$9:M$108,$A77,1),1))</f>
        <v/>
      </c>
      <c r="I77" s="410" t="str">
        <f>IF(INDEX(設定!N$9:N$108,$A77,1)=0,"",ROUND(INDEX(設定!N$9:N$108,$A77,1),1))</f>
        <v/>
      </c>
      <c r="J77" s="410" t="str">
        <f>IF(INDEX(設定!O$9:O$108,$A77,1)=0,"",ROUND(INDEX(設定!O$9:O$108,$A77,1),1))</f>
        <v/>
      </c>
      <c r="K77" s="410" t="str">
        <f>IF(INDEX(設定!P$9:P$108,$A77,1)=0,"",ROUND(INDEX(設定!P$9:P$108,$A77,1),1))</f>
        <v/>
      </c>
      <c r="L77" s="410" t="str">
        <f>IF(INDEX(設定!Q$9:Q$108,$A77,1)=0,"",ROUND(INDEX(設定!Q$9:Q$108,$A77,1),1))</f>
        <v/>
      </c>
      <c r="M77" s="411" t="str">
        <f>IF(INDEX(設定!R$9:R$108,$A77,1)=0,"",ROUND(INDEX(設定!R$9:R$108,$A77,1),1))</f>
        <v/>
      </c>
      <c r="N77" s="18"/>
      <c r="P77" s="19"/>
      <c r="Q77" s="19"/>
      <c r="S77" s="289" t="str">
        <f>IF(INDEX(設定!$F$9:$F$108,$A77,1)="","",VALUE(LEFT(INDEX(設定!$F$9:$F$108,$A77,1),1)))</f>
        <v/>
      </c>
      <c r="T77" s="177" t="str">
        <f>IF(C77="","",C77)</f>
        <v/>
      </c>
      <c r="U77" s="290" t="str">
        <f>IF(D77="","",IF(D77="1：男",1,IF(D77="2：女",2)))</f>
        <v/>
      </c>
      <c r="V77" s="247" t="str">
        <f>IF(E77="","",E77)</f>
        <v/>
      </c>
      <c r="W77" s="417">
        <f>SUM(J77:L77)</f>
        <v>0</v>
      </c>
      <c r="X77" s="418" t="str">
        <f>G77</f>
        <v/>
      </c>
      <c r="Y77" s="418">
        <f>SUM(H77:I77)</f>
        <v>0</v>
      </c>
      <c r="Z77" s="418" t="str">
        <f>M77</f>
        <v/>
      </c>
    </row>
    <row r="78" spans="1:58" ht="30" customHeight="1" x14ac:dyDescent="0.25">
      <c r="A78" s="135">
        <v>2</v>
      </c>
      <c r="C78" s="100" t="str">
        <f>IF(INDEX(設定!$C$9:$C$108,$A78,1)="","",INDEX(設定!$C$9:$C$108,$A78,1))</f>
        <v/>
      </c>
      <c r="D78" s="101" t="str">
        <f>IF(INDEX(設定!$D$9:$D$108,$A78,1)="","",INDEX(設定!$D$9:$D$108,$A78,1))</f>
        <v/>
      </c>
      <c r="E78" s="102" t="str">
        <f>IF(INDEX(設定!$E$9:$E$108,$A78,1)="","",INDEX(設定!$E$9:$E$108,$A78,1))</f>
        <v/>
      </c>
      <c r="F78" s="103" t="str">
        <f>IF(S78="","",IF(S78=1,"1：家族",IF(AND(S78&gt;=2,S78&lt;=5),"2：雇用","")))</f>
        <v/>
      </c>
      <c r="G78" s="412" t="str">
        <f>IF(INDEX(設定!L$9:L$108,$A78,1)=0,"",ROUND(INDEX(設定!L$9:L$108,$A78,1),1))</f>
        <v/>
      </c>
      <c r="H78" s="412" t="str">
        <f>IF(INDEX(設定!M$9:M$108,$A78,1)=0,"",ROUND(INDEX(設定!M$9:M$108,$A78,1),1))</f>
        <v/>
      </c>
      <c r="I78" s="412" t="str">
        <f>IF(INDEX(設定!N$9:N$108,$A78,1)=0,"",ROUND(INDEX(設定!N$9:N$108,$A78,1),1))</f>
        <v/>
      </c>
      <c r="J78" s="412" t="str">
        <f>IF(INDEX(設定!O$9:O$108,$A78,1)=0,"",ROUND(INDEX(設定!O$9:O$108,$A78,1),1))</f>
        <v/>
      </c>
      <c r="K78" s="412" t="str">
        <f>IF(INDEX(設定!P$9:P$108,$A78,1)=0,"",ROUND(INDEX(設定!P$9:P$108,$A78,1),1))</f>
        <v/>
      </c>
      <c r="L78" s="412" t="str">
        <f>IF(INDEX(設定!Q$9:Q$108,$A78,1)=0,"",ROUND(INDEX(設定!Q$9:Q$108,$A78,1),1))</f>
        <v/>
      </c>
      <c r="M78" s="413" t="str">
        <f>IF(INDEX(設定!R$9:R$108,$A78,1)=0,"",ROUND(INDEX(設定!R$9:R$108,$A78,1),1))</f>
        <v/>
      </c>
      <c r="N78" s="18"/>
      <c r="P78" s="19"/>
      <c r="Q78" s="19"/>
      <c r="S78" s="291" t="str">
        <f>IF(INDEX(設定!$F$9:$F$108,$A78,1)="","",VALUE(LEFT(INDEX(設定!$F$9:$F$108,$A78,1),1)))</f>
        <v/>
      </c>
      <c r="T78" s="202" t="str">
        <f>IF(C78="","",C78)</f>
        <v/>
      </c>
      <c r="U78" s="292" t="str">
        <f>IF(D78="","",IF(D78="1：男",1,IF(D78="2：女",2)))</f>
        <v/>
      </c>
      <c r="V78" s="293" t="str">
        <f>IF(E78="","",E78)</f>
        <v/>
      </c>
      <c r="W78" s="417">
        <f t="shared" ref="W78:W106" si="144">SUM(J78:L78)</f>
        <v>0</v>
      </c>
      <c r="X78" s="418" t="str">
        <f t="shared" ref="X78:X106" si="145">G78</f>
        <v/>
      </c>
      <c r="Y78" s="418">
        <f t="shared" ref="Y78:Y106" si="146">SUM(H78:I78)</f>
        <v>0</v>
      </c>
      <c r="Z78" s="418" t="str">
        <f t="shared" ref="Z78:Z106" si="147">M78</f>
        <v/>
      </c>
    </row>
    <row r="79" spans="1:58" ht="30" customHeight="1" x14ac:dyDescent="0.25">
      <c r="A79" s="135">
        <v>3</v>
      </c>
      <c r="C79" s="100" t="str">
        <f>IF(INDEX(設定!$C$9:$C$108,$A79,1)="","",INDEX(設定!$C$9:$C$108,$A79,1))</f>
        <v/>
      </c>
      <c r="D79" s="101" t="str">
        <f>IF(INDEX(設定!$D$9:$D$108,$A79,1)="","",INDEX(設定!$D$9:$D$108,$A79,1))</f>
        <v/>
      </c>
      <c r="E79" s="102" t="str">
        <f>IF(INDEX(設定!$E$9:$E$108,$A79,1)="","",INDEX(設定!$E$9:$E$108,$A79,1))</f>
        <v/>
      </c>
      <c r="F79" s="103" t="str">
        <f t="shared" ref="F79:F106" si="148">IF(S79="","",IF(S79=1,"1：家族",IF(AND(S79&gt;=2,S79&lt;=5),"2：雇用","")))</f>
        <v/>
      </c>
      <c r="G79" s="412" t="str">
        <f>IF(INDEX(設定!L$9:L$108,$A79,1)=0,"",ROUND(INDEX(設定!L$9:L$108,$A79,1),1))</f>
        <v/>
      </c>
      <c r="H79" s="412" t="str">
        <f>IF(INDEX(設定!M$9:M$108,$A79,1)=0,"",ROUND(INDEX(設定!M$9:M$108,$A79,1),1))</f>
        <v/>
      </c>
      <c r="I79" s="412" t="str">
        <f>IF(INDEX(設定!N$9:N$108,$A79,1)=0,"",ROUND(INDEX(設定!N$9:N$108,$A79,1),1))</f>
        <v/>
      </c>
      <c r="J79" s="412" t="str">
        <f>IF(INDEX(設定!O$9:O$108,$A79,1)=0,"",ROUND(INDEX(設定!O$9:O$108,$A79,1),1))</f>
        <v/>
      </c>
      <c r="K79" s="412" t="str">
        <f>IF(INDEX(設定!P$9:P$108,$A79,1)=0,"",ROUND(INDEX(設定!P$9:P$108,$A79,1),1))</f>
        <v/>
      </c>
      <c r="L79" s="412" t="str">
        <f>IF(INDEX(設定!Q$9:Q$108,$A79,1)=0,"",ROUND(INDEX(設定!Q$9:Q$108,$A79,1),1))</f>
        <v/>
      </c>
      <c r="M79" s="413" t="str">
        <f>IF(INDEX(設定!R$9:R$108,$A79,1)=0,"",ROUND(INDEX(設定!R$9:R$108,$A79,1),1))</f>
        <v/>
      </c>
      <c r="N79" s="18"/>
      <c r="P79" s="19"/>
      <c r="Q79" s="19"/>
      <c r="S79" s="291" t="str">
        <f>IF(INDEX(設定!$F$9:$F$108,$A79,1)="","",VALUE(LEFT(INDEX(設定!$F$9:$F$108,$A79,1),1)))</f>
        <v/>
      </c>
      <c r="T79" s="202" t="str">
        <f>IF(C79="","",C79)</f>
        <v/>
      </c>
      <c r="U79" s="292" t="str">
        <f>IF(D79="","",IF(D79="1：男",1,IF(D79="2：女",2)))</f>
        <v/>
      </c>
      <c r="V79" s="293" t="str">
        <f>IF(E79="","",E79)</f>
        <v/>
      </c>
      <c r="W79" s="417">
        <f t="shared" si="144"/>
        <v>0</v>
      </c>
      <c r="X79" s="418" t="str">
        <f t="shared" si="145"/>
        <v/>
      </c>
      <c r="Y79" s="418">
        <f t="shared" si="146"/>
        <v>0</v>
      </c>
      <c r="Z79" s="418" t="str">
        <f t="shared" si="147"/>
        <v/>
      </c>
    </row>
    <row r="80" spans="1:58" ht="30" customHeight="1" x14ac:dyDescent="0.25">
      <c r="A80" s="135">
        <v>4</v>
      </c>
      <c r="C80" s="100" t="str">
        <f>IF(INDEX(設定!$C$9:$C$108,$A80,1)="","",INDEX(設定!$C$9:$C$108,$A80,1))</f>
        <v/>
      </c>
      <c r="D80" s="101" t="str">
        <f>IF(INDEX(設定!$D$9:$D$108,$A80,1)="","",INDEX(設定!$D$9:$D$108,$A80,1))</f>
        <v/>
      </c>
      <c r="E80" s="102" t="str">
        <f>IF(INDEX(設定!$E$9:$E$108,$A80,1)="","",INDEX(設定!$E$9:$E$108,$A80,1))</f>
        <v/>
      </c>
      <c r="F80" s="103" t="str">
        <f t="shared" si="148"/>
        <v/>
      </c>
      <c r="G80" s="412" t="str">
        <f>IF(INDEX(設定!L$9:L$108,$A80,1)=0,"",ROUND(INDEX(設定!L$9:L$108,$A80,1),1))</f>
        <v/>
      </c>
      <c r="H80" s="412" t="str">
        <f>IF(INDEX(設定!M$9:M$108,$A80,1)=0,"",ROUND(INDEX(設定!M$9:M$108,$A80,1),1))</f>
        <v/>
      </c>
      <c r="I80" s="412" t="str">
        <f>IF(INDEX(設定!N$9:N$108,$A80,1)=0,"",ROUND(INDEX(設定!N$9:N$108,$A80,1),1))</f>
        <v/>
      </c>
      <c r="J80" s="412" t="str">
        <f>IF(INDEX(設定!O$9:O$108,$A80,1)=0,"",ROUND(INDEX(設定!O$9:O$108,$A80,1),1))</f>
        <v/>
      </c>
      <c r="K80" s="412" t="str">
        <f>IF(INDEX(設定!P$9:P$108,$A80,1)=0,"",ROUND(INDEX(設定!P$9:P$108,$A80,1),1))</f>
        <v/>
      </c>
      <c r="L80" s="412" t="str">
        <f>IF(INDEX(設定!Q$9:Q$108,$A80,1)=0,"",ROUND(INDEX(設定!Q$9:Q$108,$A80,1),1))</f>
        <v/>
      </c>
      <c r="M80" s="413" t="str">
        <f>IF(INDEX(設定!R$9:R$108,$A80,1)=0,"",ROUND(INDEX(設定!R$9:R$108,$A80,1),1))</f>
        <v/>
      </c>
      <c r="N80" s="18"/>
      <c r="P80" s="19"/>
      <c r="Q80" s="19"/>
      <c r="S80" s="291" t="str">
        <f>IF(INDEX(設定!$F$9:$F$108,$A80,1)="","",VALUE(LEFT(INDEX(設定!$F$9:$F$108,$A80,1),1)))</f>
        <v/>
      </c>
      <c r="T80" s="202" t="str">
        <f t="shared" ref="T80:T83" si="149">IF(C80="","",C80)</f>
        <v/>
      </c>
      <c r="U80" s="292" t="str">
        <f t="shared" ref="U80:U83" si="150">IF(D80="","",IF(D80="1：男",1,IF(D80="2：女",2)))</f>
        <v/>
      </c>
      <c r="V80" s="293" t="str">
        <f t="shared" ref="V80:V83" si="151">IF(E80="","",E80)</f>
        <v/>
      </c>
      <c r="W80" s="417">
        <f t="shared" si="144"/>
        <v>0</v>
      </c>
      <c r="X80" s="418" t="str">
        <f t="shared" si="145"/>
        <v/>
      </c>
      <c r="Y80" s="418">
        <f t="shared" si="146"/>
        <v>0</v>
      </c>
      <c r="Z80" s="418" t="str">
        <f t="shared" si="147"/>
        <v/>
      </c>
    </row>
    <row r="81" spans="1:26" ht="30" customHeight="1" x14ac:dyDescent="0.25">
      <c r="A81" s="135">
        <v>5</v>
      </c>
      <c r="C81" s="100" t="str">
        <f>IF(INDEX(設定!$C$9:$C$108,$A81,1)="","",INDEX(設定!$C$9:$C$108,$A81,1))</f>
        <v/>
      </c>
      <c r="D81" s="101" t="str">
        <f>IF(INDEX(設定!$D$9:$D$108,$A81,1)="","",INDEX(設定!$D$9:$D$108,$A81,1))</f>
        <v/>
      </c>
      <c r="E81" s="102" t="str">
        <f>IF(INDEX(設定!$E$9:$E$108,$A81,1)="","",INDEX(設定!$E$9:$E$108,$A81,1))</f>
        <v/>
      </c>
      <c r="F81" s="103" t="str">
        <f t="shared" si="148"/>
        <v/>
      </c>
      <c r="G81" s="412" t="str">
        <f>IF(INDEX(設定!L$9:L$108,$A81,1)=0,"",ROUND(INDEX(設定!L$9:L$108,$A81,1),1))</f>
        <v/>
      </c>
      <c r="H81" s="412" t="str">
        <f>IF(INDEX(設定!M$9:M$108,$A81,1)=0,"",ROUND(INDEX(設定!M$9:M$108,$A81,1),1))</f>
        <v/>
      </c>
      <c r="I81" s="412" t="str">
        <f>IF(INDEX(設定!N$9:N$108,$A81,1)=0,"",ROUND(INDEX(設定!N$9:N$108,$A81,1),1))</f>
        <v/>
      </c>
      <c r="J81" s="412" t="str">
        <f>IF(INDEX(設定!O$9:O$108,$A81,1)=0,"",ROUND(INDEX(設定!O$9:O$108,$A81,1),1))</f>
        <v/>
      </c>
      <c r="K81" s="412" t="str">
        <f>IF(INDEX(設定!P$9:P$108,$A81,1)=0,"",ROUND(INDEX(設定!P$9:P$108,$A81,1),1))</f>
        <v/>
      </c>
      <c r="L81" s="412" t="str">
        <f>IF(INDEX(設定!Q$9:Q$108,$A81,1)=0,"",ROUND(INDEX(設定!Q$9:Q$108,$A81,1),1))</f>
        <v/>
      </c>
      <c r="M81" s="413" t="str">
        <f>IF(INDEX(設定!R$9:R$108,$A81,1)=0,"",ROUND(INDEX(設定!R$9:R$108,$A81,1),1))</f>
        <v/>
      </c>
      <c r="N81" s="18"/>
      <c r="P81" s="19"/>
      <c r="Q81" s="19"/>
      <c r="S81" s="291" t="str">
        <f>IF(INDEX(設定!$F$9:$F$108,$A81,1)="","",VALUE(LEFT(INDEX(設定!$F$9:$F$108,$A81,1),1)))</f>
        <v/>
      </c>
      <c r="T81" s="202" t="str">
        <f t="shared" si="149"/>
        <v/>
      </c>
      <c r="U81" s="292" t="str">
        <f t="shared" si="150"/>
        <v/>
      </c>
      <c r="V81" s="293" t="str">
        <f t="shared" si="151"/>
        <v/>
      </c>
      <c r="W81" s="417">
        <f t="shared" si="144"/>
        <v>0</v>
      </c>
      <c r="X81" s="418" t="str">
        <f t="shared" si="145"/>
        <v/>
      </c>
      <c r="Y81" s="418">
        <f t="shared" si="146"/>
        <v>0</v>
      </c>
      <c r="Z81" s="418" t="str">
        <f t="shared" si="147"/>
        <v/>
      </c>
    </row>
    <row r="82" spans="1:26" ht="30" customHeight="1" x14ac:dyDescent="0.25">
      <c r="A82" s="135">
        <v>6</v>
      </c>
      <c r="C82" s="100" t="str">
        <f>IF(INDEX(設定!$C$9:$C$108,$A82,1)="","",INDEX(設定!$C$9:$C$108,$A82,1))</f>
        <v/>
      </c>
      <c r="D82" s="101" t="str">
        <f>IF(INDEX(設定!$D$9:$D$108,$A82,1)="","",INDEX(設定!$D$9:$D$108,$A82,1))</f>
        <v/>
      </c>
      <c r="E82" s="102" t="str">
        <f>IF(INDEX(設定!$E$9:$E$108,$A82,1)="","",INDEX(設定!$E$9:$E$108,$A82,1))</f>
        <v/>
      </c>
      <c r="F82" s="103" t="str">
        <f t="shared" si="148"/>
        <v/>
      </c>
      <c r="G82" s="412" t="str">
        <f>IF(INDEX(設定!L$9:L$108,$A82,1)=0,"",ROUND(INDEX(設定!L$9:L$108,$A82,1),1))</f>
        <v/>
      </c>
      <c r="H82" s="412" t="str">
        <f>IF(INDEX(設定!M$9:M$108,$A82,1)=0,"",ROUND(INDEX(設定!M$9:M$108,$A82,1),1))</f>
        <v/>
      </c>
      <c r="I82" s="412" t="str">
        <f>IF(INDEX(設定!N$9:N$108,$A82,1)=0,"",ROUND(INDEX(設定!N$9:N$108,$A82,1),1))</f>
        <v/>
      </c>
      <c r="J82" s="412" t="str">
        <f>IF(INDEX(設定!O$9:O$108,$A82,1)=0,"",ROUND(INDEX(設定!O$9:O$108,$A82,1),1))</f>
        <v/>
      </c>
      <c r="K82" s="412" t="str">
        <f>IF(INDEX(設定!P$9:P$108,$A82,1)=0,"",ROUND(INDEX(設定!P$9:P$108,$A82,1),1))</f>
        <v/>
      </c>
      <c r="L82" s="412" t="str">
        <f>IF(INDEX(設定!Q$9:Q$108,$A82,1)=0,"",ROUND(INDEX(設定!Q$9:Q$108,$A82,1),1))</f>
        <v/>
      </c>
      <c r="M82" s="413" t="str">
        <f>IF(INDEX(設定!R$9:R$108,$A82,1)=0,"",ROUND(INDEX(設定!R$9:R$108,$A82,1),1))</f>
        <v/>
      </c>
      <c r="N82" s="18"/>
      <c r="P82" s="19"/>
      <c r="Q82" s="19"/>
      <c r="S82" s="291" t="str">
        <f>IF(INDEX(設定!$F$9:$F$108,$A82,1)="","",VALUE(LEFT(INDEX(設定!$F$9:$F$108,$A82,1),1)))</f>
        <v/>
      </c>
      <c r="T82" s="202" t="str">
        <f t="shared" si="149"/>
        <v/>
      </c>
      <c r="U82" s="292" t="str">
        <f t="shared" si="150"/>
        <v/>
      </c>
      <c r="V82" s="293" t="str">
        <f t="shared" si="151"/>
        <v/>
      </c>
      <c r="W82" s="417">
        <f t="shared" si="144"/>
        <v>0</v>
      </c>
      <c r="X82" s="418" t="str">
        <f t="shared" si="145"/>
        <v/>
      </c>
      <c r="Y82" s="418">
        <f t="shared" si="146"/>
        <v>0</v>
      </c>
      <c r="Z82" s="418" t="str">
        <f t="shared" si="147"/>
        <v/>
      </c>
    </row>
    <row r="83" spans="1:26" ht="30" customHeight="1" x14ac:dyDescent="0.25">
      <c r="A83" s="135">
        <v>7</v>
      </c>
      <c r="C83" s="100" t="str">
        <f>IF(INDEX(設定!$C$9:$C$108,$A83,1)="","",INDEX(設定!$C$9:$C$108,$A83,1))</f>
        <v/>
      </c>
      <c r="D83" s="101" t="str">
        <f>IF(INDEX(設定!$D$9:$D$108,$A83,1)="","",INDEX(設定!$D$9:$D$108,$A83,1))</f>
        <v/>
      </c>
      <c r="E83" s="102" t="str">
        <f>IF(INDEX(設定!$E$9:$E$108,$A83,1)="","",INDEX(設定!$E$9:$E$108,$A83,1))</f>
        <v/>
      </c>
      <c r="F83" s="103" t="str">
        <f t="shared" si="148"/>
        <v/>
      </c>
      <c r="G83" s="412" t="str">
        <f>IF(INDEX(設定!L$9:L$108,$A83,1)=0,"",ROUND(INDEX(設定!L$9:L$108,$A83,1),1))</f>
        <v/>
      </c>
      <c r="H83" s="412" t="str">
        <f>IF(INDEX(設定!M$9:M$108,$A83,1)=0,"",ROUND(INDEX(設定!M$9:M$108,$A83,1),1))</f>
        <v/>
      </c>
      <c r="I83" s="412" t="str">
        <f>IF(INDEX(設定!N$9:N$108,$A83,1)=0,"",ROUND(INDEX(設定!N$9:N$108,$A83,1),1))</f>
        <v/>
      </c>
      <c r="J83" s="412" t="str">
        <f>IF(INDEX(設定!O$9:O$108,$A83,1)=0,"",ROUND(INDEX(設定!O$9:O$108,$A83,1),1))</f>
        <v/>
      </c>
      <c r="K83" s="412" t="str">
        <f>IF(INDEX(設定!P$9:P$108,$A83,1)=0,"",ROUND(INDEX(設定!P$9:P$108,$A83,1),1))</f>
        <v/>
      </c>
      <c r="L83" s="412" t="str">
        <f>IF(INDEX(設定!Q$9:Q$108,$A83,1)=0,"",ROUND(INDEX(設定!Q$9:Q$108,$A83,1),1))</f>
        <v/>
      </c>
      <c r="M83" s="413" t="str">
        <f>IF(INDEX(設定!R$9:R$108,$A83,1)=0,"",ROUND(INDEX(設定!R$9:R$108,$A83,1),1))</f>
        <v/>
      </c>
      <c r="N83" s="18"/>
      <c r="P83" s="19"/>
      <c r="Q83" s="19"/>
      <c r="S83" s="291" t="str">
        <f>IF(INDEX(設定!$F$9:$F$108,$A83,1)="","",VALUE(LEFT(INDEX(設定!$F$9:$F$108,$A83,1),1)))</f>
        <v/>
      </c>
      <c r="T83" s="202" t="str">
        <f t="shared" si="149"/>
        <v/>
      </c>
      <c r="U83" s="292" t="str">
        <f t="shared" si="150"/>
        <v/>
      </c>
      <c r="V83" s="293" t="str">
        <f t="shared" si="151"/>
        <v/>
      </c>
      <c r="W83" s="417">
        <f t="shared" si="144"/>
        <v>0</v>
      </c>
      <c r="X83" s="418" t="str">
        <f t="shared" si="145"/>
        <v/>
      </c>
      <c r="Y83" s="418">
        <f t="shared" si="146"/>
        <v>0</v>
      </c>
      <c r="Z83" s="418" t="str">
        <f t="shared" si="147"/>
        <v/>
      </c>
    </row>
    <row r="84" spans="1:26" ht="30" customHeight="1" x14ac:dyDescent="0.25">
      <c r="A84" s="135">
        <v>8</v>
      </c>
      <c r="C84" s="100" t="str">
        <f>IF(INDEX(設定!$C$9:$C$108,$A84,1)="","",INDEX(設定!$C$9:$C$108,$A84,1))</f>
        <v/>
      </c>
      <c r="D84" s="101" t="str">
        <f>IF(INDEX(設定!$D$9:$D$108,$A84,1)="","",INDEX(設定!$D$9:$D$108,$A84,1))</f>
        <v/>
      </c>
      <c r="E84" s="102" t="str">
        <f>IF(INDEX(設定!$E$9:$E$108,$A84,1)="","",INDEX(設定!$E$9:$E$108,$A84,1))</f>
        <v/>
      </c>
      <c r="F84" s="103" t="str">
        <f t="shared" si="148"/>
        <v/>
      </c>
      <c r="G84" s="412" t="str">
        <f>IF(INDEX(設定!L$9:L$108,$A84,1)=0,"",ROUND(INDEX(設定!L$9:L$108,$A84,1),1))</f>
        <v/>
      </c>
      <c r="H84" s="412" t="str">
        <f>IF(INDEX(設定!M$9:M$108,$A84,1)=0,"",ROUND(INDEX(設定!M$9:M$108,$A84,1),1))</f>
        <v/>
      </c>
      <c r="I84" s="412" t="str">
        <f>IF(INDEX(設定!N$9:N$108,$A84,1)=0,"",ROUND(INDEX(設定!N$9:N$108,$A84,1),1))</f>
        <v/>
      </c>
      <c r="J84" s="412" t="str">
        <f>IF(INDEX(設定!O$9:O$108,$A84,1)=0,"",ROUND(INDEX(設定!O$9:O$108,$A84,1),1))</f>
        <v/>
      </c>
      <c r="K84" s="412" t="str">
        <f>IF(INDEX(設定!P$9:P$108,$A84,1)=0,"",ROUND(INDEX(設定!P$9:P$108,$A84,1),1))</f>
        <v/>
      </c>
      <c r="L84" s="412" t="str">
        <f>IF(INDEX(設定!Q$9:Q$108,$A84,1)=0,"",ROUND(INDEX(設定!Q$9:Q$108,$A84,1),1))</f>
        <v/>
      </c>
      <c r="M84" s="413" t="str">
        <f>IF(INDEX(設定!R$9:R$108,$A84,1)=0,"",ROUND(INDEX(設定!R$9:R$108,$A84,1),1))</f>
        <v/>
      </c>
      <c r="N84" s="18"/>
      <c r="P84" s="19"/>
      <c r="Q84" s="19"/>
      <c r="S84" s="291" t="str">
        <f>IF(INDEX(設定!$F$9:$F$108,$A84,1)="","",VALUE(LEFT(INDEX(設定!$F$9:$F$108,$A84,1),1)))</f>
        <v/>
      </c>
      <c r="T84" s="187" t="str">
        <f>IF(C84="","",C84)</f>
        <v/>
      </c>
      <c r="U84" s="294" t="str">
        <f>IF(D84="","",IF(D84="1：男",1,IF(D84="2：女",2)))</f>
        <v/>
      </c>
      <c r="V84" s="295" t="str">
        <f>IF(E84="","",E84)</f>
        <v/>
      </c>
      <c r="W84" s="417">
        <f t="shared" si="144"/>
        <v>0</v>
      </c>
      <c r="X84" s="418" t="str">
        <f t="shared" si="145"/>
        <v/>
      </c>
      <c r="Y84" s="418">
        <f t="shared" si="146"/>
        <v>0</v>
      </c>
      <c r="Z84" s="418" t="str">
        <f t="shared" si="147"/>
        <v/>
      </c>
    </row>
    <row r="85" spans="1:26" ht="30" customHeight="1" x14ac:dyDescent="0.25">
      <c r="A85" s="135">
        <v>9</v>
      </c>
      <c r="C85" s="100" t="str">
        <f>IF(INDEX(設定!$C$9:$C$108,$A85,1)="","",INDEX(設定!$C$9:$C$108,$A85,1))</f>
        <v/>
      </c>
      <c r="D85" s="101" t="str">
        <f>IF(INDEX(設定!$D$9:$D$108,$A85,1)="","",INDEX(設定!$D$9:$D$108,$A85,1))</f>
        <v/>
      </c>
      <c r="E85" s="102" t="str">
        <f>IF(INDEX(設定!$E$9:$E$108,$A85,1)="","",INDEX(設定!$E$9:$E$108,$A85,1))</f>
        <v/>
      </c>
      <c r="F85" s="103" t="str">
        <f t="shared" si="148"/>
        <v/>
      </c>
      <c r="G85" s="412" t="str">
        <f>IF(INDEX(設定!L$9:L$108,$A85,1)=0,"",ROUND(INDEX(設定!L$9:L$108,$A85,1),1))</f>
        <v/>
      </c>
      <c r="H85" s="412" t="str">
        <f>IF(INDEX(設定!M$9:M$108,$A85,1)=0,"",ROUND(INDEX(設定!M$9:M$108,$A85,1),1))</f>
        <v/>
      </c>
      <c r="I85" s="412" t="str">
        <f>IF(INDEX(設定!N$9:N$108,$A85,1)=0,"",ROUND(INDEX(設定!N$9:N$108,$A85,1),1))</f>
        <v/>
      </c>
      <c r="J85" s="412" t="str">
        <f>IF(INDEX(設定!O$9:O$108,$A85,1)=0,"",ROUND(INDEX(設定!O$9:O$108,$A85,1),1))</f>
        <v/>
      </c>
      <c r="K85" s="412" t="str">
        <f>IF(INDEX(設定!P$9:P$108,$A85,1)=0,"",ROUND(INDEX(設定!P$9:P$108,$A85,1),1))</f>
        <v/>
      </c>
      <c r="L85" s="412" t="str">
        <f>IF(INDEX(設定!Q$9:Q$108,$A85,1)=0,"",ROUND(INDEX(設定!Q$9:Q$108,$A85,1),1))</f>
        <v/>
      </c>
      <c r="M85" s="413" t="str">
        <f>IF(INDEX(設定!R$9:R$108,$A85,1)=0,"",ROUND(INDEX(設定!R$9:R$108,$A85,1),1))</f>
        <v/>
      </c>
      <c r="N85" s="18"/>
      <c r="P85" s="19"/>
      <c r="Q85" s="19"/>
      <c r="S85" s="291" t="str">
        <f>IF(INDEX(設定!$F$9:$F$108,$A85,1)="","",VALUE(LEFT(INDEX(設定!$F$9:$F$108,$A85,1),1)))</f>
        <v/>
      </c>
      <c r="T85" s="202" t="str">
        <f>IF(C85="","",C85)</f>
        <v/>
      </c>
      <c r="U85" s="292" t="str">
        <f>IF(D85="","",IF(D85="1：男",1,IF(D85="2：女",2)))</f>
        <v/>
      </c>
      <c r="V85" s="293" t="str">
        <f>IF(E85="","",E85)</f>
        <v/>
      </c>
      <c r="W85" s="419">
        <f t="shared" si="144"/>
        <v>0</v>
      </c>
      <c r="X85" s="420" t="str">
        <f t="shared" si="145"/>
        <v/>
      </c>
      <c r="Y85" s="420">
        <f t="shared" si="146"/>
        <v>0</v>
      </c>
      <c r="Z85" s="420" t="str">
        <f t="shared" si="147"/>
        <v/>
      </c>
    </row>
    <row r="86" spans="1:26" ht="30" customHeight="1" x14ac:dyDescent="0.25">
      <c r="A86" s="135">
        <v>10</v>
      </c>
      <c r="C86" s="100" t="str">
        <f>IF(INDEX(設定!$C$9:$C$108,$A86,1)="","",INDEX(設定!$C$9:$C$108,$A86,1))</f>
        <v/>
      </c>
      <c r="D86" s="101" t="str">
        <f>IF(INDEX(設定!$D$9:$D$108,$A86,1)="","",INDEX(設定!$D$9:$D$108,$A86,1))</f>
        <v/>
      </c>
      <c r="E86" s="102" t="str">
        <f>IF(INDEX(設定!$E$9:$E$108,$A86,1)="","",INDEX(設定!$E$9:$E$108,$A86,1))</f>
        <v/>
      </c>
      <c r="F86" s="103" t="str">
        <f t="shared" si="148"/>
        <v/>
      </c>
      <c r="G86" s="412" t="str">
        <f>IF(INDEX(設定!L$9:L$108,$A86,1)=0,"",ROUND(INDEX(設定!L$9:L$108,$A86,1),1))</f>
        <v/>
      </c>
      <c r="H86" s="412" t="str">
        <f>IF(INDEX(設定!M$9:M$108,$A86,1)=0,"",ROUND(INDEX(設定!M$9:M$108,$A86,1),1))</f>
        <v/>
      </c>
      <c r="I86" s="412" t="str">
        <f>IF(INDEX(設定!N$9:N$108,$A86,1)=0,"",ROUND(INDEX(設定!N$9:N$108,$A86,1),1))</f>
        <v/>
      </c>
      <c r="J86" s="412" t="str">
        <f>IF(INDEX(設定!O$9:O$108,$A86,1)=0,"",ROUND(INDEX(設定!O$9:O$108,$A86,1),1))</f>
        <v/>
      </c>
      <c r="K86" s="412" t="str">
        <f>IF(INDEX(設定!P$9:P$108,$A86,1)=0,"",ROUND(INDEX(設定!P$9:P$108,$A86,1),1))</f>
        <v/>
      </c>
      <c r="L86" s="412" t="str">
        <f>IF(INDEX(設定!Q$9:Q$108,$A86,1)=0,"",ROUND(INDEX(設定!Q$9:Q$108,$A86,1),1))</f>
        <v/>
      </c>
      <c r="M86" s="413" t="str">
        <f>IF(INDEX(設定!R$9:R$108,$A86,1)=0,"",ROUND(INDEX(設定!R$9:R$108,$A86,1),1))</f>
        <v/>
      </c>
      <c r="N86" s="18"/>
      <c r="P86" s="19"/>
      <c r="Q86" s="19"/>
      <c r="S86" s="291" t="str">
        <f>IF(INDEX(設定!$F$9:$F$108,$A86,1)="","",VALUE(LEFT(INDEX(設定!$F$9:$F$108,$A86,1),1)))</f>
        <v/>
      </c>
      <c r="T86" s="202" t="str">
        <f t="shared" ref="T86:T89" si="152">IF(C86="","",C86)</f>
        <v/>
      </c>
      <c r="U86" s="292" t="str">
        <f t="shared" ref="U86:U89" si="153">IF(D86="","",IF(D86="1：男",1,IF(D86="2：女",2)))</f>
        <v/>
      </c>
      <c r="V86" s="293" t="str">
        <f t="shared" ref="V86:V89" si="154">IF(E86="","",E86)</f>
        <v/>
      </c>
      <c r="W86" s="419">
        <f t="shared" si="144"/>
        <v>0</v>
      </c>
      <c r="X86" s="420" t="str">
        <f t="shared" si="145"/>
        <v/>
      </c>
      <c r="Y86" s="420">
        <f t="shared" si="146"/>
        <v>0</v>
      </c>
      <c r="Z86" s="420" t="str">
        <f t="shared" si="147"/>
        <v/>
      </c>
    </row>
    <row r="87" spans="1:26" ht="30" customHeight="1" x14ac:dyDescent="0.25">
      <c r="A87" s="135">
        <v>11</v>
      </c>
      <c r="C87" s="100" t="str">
        <f>IF(INDEX(設定!$C$9:$C$108,$A87,1)="","",INDEX(設定!$C$9:$C$108,$A87,1))</f>
        <v/>
      </c>
      <c r="D87" s="101" t="str">
        <f>IF(INDEX(設定!$D$9:$D$108,$A87,1)="","",INDEX(設定!$D$9:$D$108,$A87,1))</f>
        <v/>
      </c>
      <c r="E87" s="102" t="str">
        <f>IF(INDEX(設定!$E$9:$E$108,$A87,1)="","",INDEX(設定!$E$9:$E$108,$A87,1))</f>
        <v/>
      </c>
      <c r="F87" s="103" t="str">
        <f t="shared" si="148"/>
        <v/>
      </c>
      <c r="G87" s="412" t="str">
        <f>IF(INDEX(設定!L$9:L$108,$A87,1)=0,"",ROUND(INDEX(設定!L$9:L$108,$A87,1),1))</f>
        <v/>
      </c>
      <c r="H87" s="412" t="str">
        <f>IF(INDEX(設定!M$9:M$108,$A87,1)=0,"",ROUND(INDEX(設定!M$9:M$108,$A87,1),1))</f>
        <v/>
      </c>
      <c r="I87" s="412" t="str">
        <f>IF(INDEX(設定!N$9:N$108,$A87,1)=0,"",ROUND(INDEX(設定!N$9:N$108,$A87,1),1))</f>
        <v/>
      </c>
      <c r="J87" s="412" t="str">
        <f>IF(INDEX(設定!O$9:O$108,$A87,1)=0,"",ROUND(INDEX(設定!O$9:O$108,$A87,1),1))</f>
        <v/>
      </c>
      <c r="K87" s="412" t="str">
        <f>IF(INDEX(設定!P$9:P$108,$A87,1)=0,"",ROUND(INDEX(設定!P$9:P$108,$A87,1),1))</f>
        <v/>
      </c>
      <c r="L87" s="412" t="str">
        <f>IF(INDEX(設定!Q$9:Q$108,$A87,1)=0,"",ROUND(INDEX(設定!Q$9:Q$108,$A87,1),1))</f>
        <v/>
      </c>
      <c r="M87" s="413" t="str">
        <f>IF(INDEX(設定!R$9:R$108,$A87,1)=0,"",ROUND(INDEX(設定!R$9:R$108,$A87,1),1))</f>
        <v/>
      </c>
      <c r="N87" s="18"/>
      <c r="P87" s="19"/>
      <c r="Q87" s="19"/>
      <c r="S87" s="291" t="str">
        <f>IF(INDEX(設定!$F$9:$F$108,$A87,1)="","",VALUE(LEFT(INDEX(設定!$F$9:$F$108,$A87,1),1)))</f>
        <v/>
      </c>
      <c r="T87" s="202" t="str">
        <f t="shared" si="152"/>
        <v/>
      </c>
      <c r="U87" s="292" t="str">
        <f t="shared" si="153"/>
        <v/>
      </c>
      <c r="V87" s="293" t="str">
        <f t="shared" si="154"/>
        <v/>
      </c>
      <c r="W87" s="419">
        <f t="shared" si="144"/>
        <v>0</v>
      </c>
      <c r="X87" s="420" t="str">
        <f t="shared" si="145"/>
        <v/>
      </c>
      <c r="Y87" s="420">
        <f t="shared" si="146"/>
        <v>0</v>
      </c>
      <c r="Z87" s="420" t="str">
        <f t="shared" si="147"/>
        <v/>
      </c>
    </row>
    <row r="88" spans="1:26" ht="30" customHeight="1" x14ac:dyDescent="0.25">
      <c r="A88" s="135">
        <v>12</v>
      </c>
      <c r="C88" s="100" t="str">
        <f>IF(INDEX(設定!$C$9:$C$108,$A88,1)="","",INDEX(設定!$C$9:$C$108,$A88,1))</f>
        <v/>
      </c>
      <c r="D88" s="101" t="str">
        <f>IF(INDEX(設定!$D$9:$D$108,$A88,1)="","",INDEX(設定!$D$9:$D$108,$A88,1))</f>
        <v/>
      </c>
      <c r="E88" s="102" t="str">
        <f>IF(INDEX(設定!$E$9:$E$108,$A88,1)="","",INDEX(設定!$E$9:$E$108,$A88,1))</f>
        <v/>
      </c>
      <c r="F88" s="103" t="str">
        <f t="shared" si="148"/>
        <v/>
      </c>
      <c r="G88" s="412" t="str">
        <f>IF(INDEX(設定!L$9:L$108,$A88,1)=0,"",ROUND(INDEX(設定!L$9:L$108,$A88,1),1))</f>
        <v/>
      </c>
      <c r="H88" s="412" t="str">
        <f>IF(INDEX(設定!M$9:M$108,$A88,1)=0,"",ROUND(INDEX(設定!M$9:M$108,$A88,1),1))</f>
        <v/>
      </c>
      <c r="I88" s="412" t="str">
        <f>IF(INDEX(設定!N$9:N$108,$A88,1)=0,"",ROUND(INDEX(設定!N$9:N$108,$A88,1),1))</f>
        <v/>
      </c>
      <c r="J88" s="412" t="str">
        <f>IF(INDEX(設定!O$9:O$108,$A88,1)=0,"",ROUND(INDEX(設定!O$9:O$108,$A88,1),1))</f>
        <v/>
      </c>
      <c r="K88" s="412" t="str">
        <f>IF(INDEX(設定!P$9:P$108,$A88,1)=0,"",ROUND(INDEX(設定!P$9:P$108,$A88,1),1))</f>
        <v/>
      </c>
      <c r="L88" s="412" t="str">
        <f>IF(INDEX(設定!Q$9:Q$108,$A88,1)=0,"",ROUND(INDEX(設定!Q$9:Q$108,$A88,1),1))</f>
        <v/>
      </c>
      <c r="M88" s="413" t="str">
        <f>IF(INDEX(設定!R$9:R$108,$A88,1)=0,"",ROUND(INDEX(設定!R$9:R$108,$A88,1),1))</f>
        <v/>
      </c>
      <c r="N88" s="18"/>
      <c r="P88" s="19"/>
      <c r="Q88" s="19"/>
      <c r="S88" s="291" t="str">
        <f>IF(INDEX(設定!$F$9:$F$108,$A88,1)="","",VALUE(LEFT(INDEX(設定!$F$9:$F$108,$A88,1),1)))</f>
        <v/>
      </c>
      <c r="T88" s="202" t="str">
        <f t="shared" si="152"/>
        <v/>
      </c>
      <c r="U88" s="292" t="str">
        <f t="shared" si="153"/>
        <v/>
      </c>
      <c r="V88" s="293" t="str">
        <f t="shared" si="154"/>
        <v/>
      </c>
      <c r="W88" s="419">
        <f t="shared" si="144"/>
        <v>0</v>
      </c>
      <c r="X88" s="420" t="str">
        <f t="shared" si="145"/>
        <v/>
      </c>
      <c r="Y88" s="420">
        <f t="shared" si="146"/>
        <v>0</v>
      </c>
      <c r="Z88" s="420" t="str">
        <f t="shared" si="147"/>
        <v/>
      </c>
    </row>
    <row r="89" spans="1:26" ht="30" customHeight="1" x14ac:dyDescent="0.25">
      <c r="A89" s="135">
        <v>13</v>
      </c>
      <c r="C89" s="100" t="str">
        <f>IF(INDEX(設定!$C$9:$C$108,$A89,1)="","",INDEX(設定!$C$9:$C$108,$A89,1))</f>
        <v/>
      </c>
      <c r="D89" s="101" t="str">
        <f>IF(INDEX(設定!$D$9:$D$108,$A89,1)="","",INDEX(設定!$D$9:$D$108,$A89,1))</f>
        <v/>
      </c>
      <c r="E89" s="102" t="str">
        <f>IF(INDEX(設定!$E$9:$E$108,$A89,1)="","",INDEX(設定!$E$9:$E$108,$A89,1))</f>
        <v/>
      </c>
      <c r="F89" s="103" t="str">
        <f t="shared" si="148"/>
        <v/>
      </c>
      <c r="G89" s="412" t="str">
        <f>IF(INDEX(設定!L$9:L$108,$A89,1)=0,"",ROUND(INDEX(設定!L$9:L$108,$A89,1),1))</f>
        <v/>
      </c>
      <c r="H89" s="412" t="str">
        <f>IF(INDEX(設定!M$9:M$108,$A89,1)=0,"",ROUND(INDEX(設定!M$9:M$108,$A89,1),1))</f>
        <v/>
      </c>
      <c r="I89" s="412" t="str">
        <f>IF(INDEX(設定!N$9:N$108,$A89,1)=0,"",ROUND(INDEX(設定!N$9:N$108,$A89,1),1))</f>
        <v/>
      </c>
      <c r="J89" s="412" t="str">
        <f>IF(INDEX(設定!O$9:O$108,$A89,1)=0,"",ROUND(INDEX(設定!O$9:O$108,$A89,1),1))</f>
        <v/>
      </c>
      <c r="K89" s="412" t="str">
        <f>IF(INDEX(設定!P$9:P$108,$A89,1)=0,"",ROUND(INDEX(設定!P$9:P$108,$A89,1),1))</f>
        <v/>
      </c>
      <c r="L89" s="412" t="str">
        <f>IF(INDEX(設定!Q$9:Q$108,$A89,1)=0,"",ROUND(INDEX(設定!Q$9:Q$108,$A89,1),1))</f>
        <v/>
      </c>
      <c r="M89" s="413" t="str">
        <f>IF(INDEX(設定!R$9:R$108,$A89,1)=0,"",ROUND(INDEX(設定!R$9:R$108,$A89,1),1))</f>
        <v/>
      </c>
      <c r="N89" s="18"/>
      <c r="P89" s="19"/>
      <c r="Q89" s="19"/>
      <c r="S89" s="291" t="str">
        <f>IF(INDEX(設定!$F$9:$F$108,$A89,1)="","",VALUE(LEFT(INDEX(設定!$F$9:$F$108,$A89,1),1)))</f>
        <v/>
      </c>
      <c r="T89" s="202" t="str">
        <f t="shared" si="152"/>
        <v/>
      </c>
      <c r="U89" s="292" t="str">
        <f t="shared" si="153"/>
        <v/>
      </c>
      <c r="V89" s="293" t="str">
        <f t="shared" si="154"/>
        <v/>
      </c>
      <c r="W89" s="419">
        <f t="shared" si="144"/>
        <v>0</v>
      </c>
      <c r="X89" s="420" t="str">
        <f t="shared" si="145"/>
        <v/>
      </c>
      <c r="Y89" s="420">
        <f t="shared" si="146"/>
        <v>0</v>
      </c>
      <c r="Z89" s="420" t="str">
        <f t="shared" si="147"/>
        <v/>
      </c>
    </row>
    <row r="90" spans="1:26" ht="30" customHeight="1" x14ac:dyDescent="0.25">
      <c r="A90" s="135">
        <v>14</v>
      </c>
      <c r="C90" s="100" t="str">
        <f>IF(INDEX(設定!$C$9:$C$108,$A90,1)="","",INDEX(設定!$C$9:$C$108,$A90,1))</f>
        <v/>
      </c>
      <c r="D90" s="101" t="str">
        <f>IF(INDEX(設定!$D$9:$D$108,$A90,1)="","",INDEX(設定!$D$9:$D$108,$A90,1))</f>
        <v/>
      </c>
      <c r="E90" s="102" t="str">
        <f>IF(INDEX(設定!$E$9:$E$108,$A90,1)="","",INDEX(設定!$E$9:$E$108,$A90,1))</f>
        <v/>
      </c>
      <c r="F90" s="103" t="str">
        <f t="shared" si="148"/>
        <v/>
      </c>
      <c r="G90" s="412" t="str">
        <f>IF(INDEX(設定!L$9:L$108,$A90,1)=0,"",ROUND(INDEX(設定!L$9:L$108,$A90,1),1))</f>
        <v/>
      </c>
      <c r="H90" s="412" t="str">
        <f>IF(INDEX(設定!M$9:M$108,$A90,1)=0,"",ROUND(INDEX(設定!M$9:M$108,$A90,1),1))</f>
        <v/>
      </c>
      <c r="I90" s="412" t="str">
        <f>IF(INDEX(設定!N$9:N$108,$A90,1)=0,"",ROUND(INDEX(設定!N$9:N$108,$A90,1),1))</f>
        <v/>
      </c>
      <c r="J90" s="412" t="str">
        <f>IF(INDEX(設定!O$9:O$108,$A90,1)=0,"",ROUND(INDEX(設定!O$9:O$108,$A90,1),1))</f>
        <v/>
      </c>
      <c r="K90" s="412" t="str">
        <f>IF(INDEX(設定!P$9:P$108,$A90,1)=0,"",ROUND(INDEX(設定!P$9:P$108,$A90,1),1))</f>
        <v/>
      </c>
      <c r="L90" s="412" t="str">
        <f>IF(INDEX(設定!Q$9:Q$108,$A90,1)=0,"",ROUND(INDEX(設定!Q$9:Q$108,$A90,1),1))</f>
        <v/>
      </c>
      <c r="M90" s="413" t="str">
        <f>IF(INDEX(設定!R$9:R$108,$A90,1)=0,"",ROUND(INDEX(設定!R$9:R$108,$A90,1),1))</f>
        <v/>
      </c>
      <c r="N90" s="18"/>
      <c r="P90" s="19"/>
      <c r="Q90" s="19"/>
      <c r="S90" s="291" t="str">
        <f>IF(INDEX(設定!$F$9:$F$108,$A90,1)="","",VALUE(LEFT(INDEX(設定!$F$9:$F$108,$A90,1),1)))</f>
        <v/>
      </c>
      <c r="T90" s="202" t="str">
        <f>IF(C90="","",C90)</f>
        <v/>
      </c>
      <c r="U90" s="292" t="str">
        <f>IF(D90="","",IF(D90="1：男",1,IF(D90="2：女",2)))</f>
        <v/>
      </c>
      <c r="V90" s="293" t="str">
        <f>IF(E90="","",E90)</f>
        <v/>
      </c>
      <c r="W90" s="419">
        <f t="shared" si="144"/>
        <v>0</v>
      </c>
      <c r="X90" s="420" t="str">
        <f t="shared" si="145"/>
        <v/>
      </c>
      <c r="Y90" s="420">
        <f t="shared" si="146"/>
        <v>0</v>
      </c>
      <c r="Z90" s="420" t="str">
        <f t="shared" si="147"/>
        <v/>
      </c>
    </row>
    <row r="91" spans="1:26" ht="30" customHeight="1" x14ac:dyDescent="0.25">
      <c r="A91" s="135">
        <v>15</v>
      </c>
      <c r="C91" s="100" t="str">
        <f>IF(INDEX(設定!$C$9:$C$108,$A91,1)="","",INDEX(設定!$C$9:$C$108,$A91,1))</f>
        <v/>
      </c>
      <c r="D91" s="101" t="str">
        <f>IF(INDEX(設定!$D$9:$D$108,$A91,1)="","",INDEX(設定!$D$9:$D$108,$A91,1))</f>
        <v/>
      </c>
      <c r="E91" s="102" t="str">
        <f>IF(INDEX(設定!$E$9:$E$108,$A91,1)="","",INDEX(設定!$E$9:$E$108,$A91,1))</f>
        <v/>
      </c>
      <c r="F91" s="103" t="str">
        <f t="shared" si="148"/>
        <v/>
      </c>
      <c r="G91" s="412" t="str">
        <f>IF(INDEX(設定!L$9:L$108,$A91,1)=0,"",ROUND(INDEX(設定!L$9:L$108,$A91,1),1))</f>
        <v/>
      </c>
      <c r="H91" s="412" t="str">
        <f>IF(INDEX(設定!M$9:M$108,$A91,1)=0,"",ROUND(INDEX(設定!M$9:M$108,$A91,1),1))</f>
        <v/>
      </c>
      <c r="I91" s="412" t="str">
        <f>IF(INDEX(設定!N$9:N$108,$A91,1)=0,"",ROUND(INDEX(設定!N$9:N$108,$A91,1),1))</f>
        <v/>
      </c>
      <c r="J91" s="412" t="str">
        <f>IF(INDEX(設定!O$9:O$108,$A91,1)=0,"",ROUND(INDEX(設定!O$9:O$108,$A91,1),1))</f>
        <v/>
      </c>
      <c r="K91" s="412" t="str">
        <f>IF(INDEX(設定!P$9:P$108,$A91,1)=0,"",ROUND(INDEX(設定!P$9:P$108,$A91,1),1))</f>
        <v/>
      </c>
      <c r="L91" s="412" t="str">
        <f>IF(INDEX(設定!Q$9:Q$108,$A91,1)=0,"",ROUND(INDEX(設定!Q$9:Q$108,$A91,1),1))</f>
        <v/>
      </c>
      <c r="M91" s="413" t="str">
        <f>IF(INDEX(設定!R$9:R$108,$A91,1)=0,"",ROUND(INDEX(設定!R$9:R$108,$A91,1),1))</f>
        <v/>
      </c>
      <c r="N91" s="18"/>
      <c r="P91" s="19"/>
      <c r="Q91" s="19"/>
      <c r="S91" s="291" t="str">
        <f>IF(INDEX(設定!$F$9:$F$108,$A91,1)="","",VALUE(LEFT(INDEX(設定!$F$9:$F$108,$A91,1),1)))</f>
        <v/>
      </c>
      <c r="T91" s="202" t="str">
        <f>IF(C91="","",C91)</f>
        <v/>
      </c>
      <c r="U91" s="292" t="str">
        <f>IF(D91="","",IF(D91="1：男",1,IF(D91="2：女",2)))</f>
        <v/>
      </c>
      <c r="V91" s="293" t="str">
        <f>IF(E91="","",E91)</f>
        <v/>
      </c>
      <c r="W91" s="419">
        <f t="shared" si="144"/>
        <v>0</v>
      </c>
      <c r="X91" s="420" t="str">
        <f t="shared" si="145"/>
        <v/>
      </c>
      <c r="Y91" s="420">
        <f t="shared" si="146"/>
        <v>0</v>
      </c>
      <c r="Z91" s="420" t="str">
        <f t="shared" si="147"/>
        <v/>
      </c>
    </row>
    <row r="92" spans="1:26" ht="30" customHeight="1" x14ac:dyDescent="0.25">
      <c r="A92" s="135">
        <v>16</v>
      </c>
      <c r="C92" s="100" t="str">
        <f>IF(INDEX(設定!$C$9:$C$108,$A92,1)="","",INDEX(設定!$C$9:$C$108,$A92,1))</f>
        <v/>
      </c>
      <c r="D92" s="101" t="str">
        <f>IF(INDEX(設定!$D$9:$D$108,$A92,1)="","",INDEX(設定!$D$9:$D$108,$A92,1))</f>
        <v/>
      </c>
      <c r="E92" s="102" t="str">
        <f>IF(INDEX(設定!$E$9:$E$108,$A92,1)="","",INDEX(設定!$E$9:$E$108,$A92,1))</f>
        <v/>
      </c>
      <c r="F92" s="103" t="str">
        <f t="shared" si="148"/>
        <v/>
      </c>
      <c r="G92" s="412" t="str">
        <f>IF(INDEX(設定!L$9:L$108,$A92,1)=0,"",ROUND(INDEX(設定!L$9:L$108,$A92,1),1))</f>
        <v/>
      </c>
      <c r="H92" s="412" t="str">
        <f>IF(INDEX(設定!M$9:M$108,$A92,1)=0,"",ROUND(INDEX(設定!M$9:M$108,$A92,1),1))</f>
        <v/>
      </c>
      <c r="I92" s="412" t="str">
        <f>IF(INDEX(設定!N$9:N$108,$A92,1)=0,"",ROUND(INDEX(設定!N$9:N$108,$A92,1),1))</f>
        <v/>
      </c>
      <c r="J92" s="412" t="str">
        <f>IF(INDEX(設定!O$9:O$108,$A92,1)=0,"",ROUND(INDEX(設定!O$9:O$108,$A92,1),1))</f>
        <v/>
      </c>
      <c r="K92" s="412" t="str">
        <f>IF(INDEX(設定!P$9:P$108,$A92,1)=0,"",ROUND(INDEX(設定!P$9:P$108,$A92,1),1))</f>
        <v/>
      </c>
      <c r="L92" s="412" t="str">
        <f>IF(INDEX(設定!Q$9:Q$108,$A92,1)=0,"",ROUND(INDEX(設定!Q$9:Q$108,$A92,1),1))</f>
        <v/>
      </c>
      <c r="M92" s="413" t="str">
        <f>IF(INDEX(設定!R$9:R$108,$A92,1)=0,"",ROUND(INDEX(設定!R$9:R$108,$A92,1),1))</f>
        <v/>
      </c>
      <c r="N92" s="18"/>
      <c r="P92" s="19"/>
      <c r="Q92" s="19"/>
      <c r="S92" s="291" t="str">
        <f>IF(INDEX(設定!$F$9:$F$108,$A92,1)="","",VALUE(LEFT(INDEX(設定!$F$9:$F$108,$A92,1),1)))</f>
        <v/>
      </c>
      <c r="T92" s="202" t="str">
        <f t="shared" ref="T92:T95" si="155">IF(C92="","",C92)</f>
        <v/>
      </c>
      <c r="U92" s="292" t="str">
        <f t="shared" ref="U92:U95" si="156">IF(D92="","",IF(D92="1：男",1,IF(D92="2：女",2)))</f>
        <v/>
      </c>
      <c r="V92" s="293" t="str">
        <f t="shared" ref="V92:V95" si="157">IF(E92="","",E92)</f>
        <v/>
      </c>
      <c r="W92" s="419">
        <f t="shared" si="144"/>
        <v>0</v>
      </c>
      <c r="X92" s="420" t="str">
        <f t="shared" si="145"/>
        <v/>
      </c>
      <c r="Y92" s="420">
        <f t="shared" si="146"/>
        <v>0</v>
      </c>
      <c r="Z92" s="420" t="str">
        <f t="shared" si="147"/>
        <v/>
      </c>
    </row>
    <row r="93" spans="1:26" ht="30" customHeight="1" x14ac:dyDescent="0.25">
      <c r="A93" s="135">
        <v>17</v>
      </c>
      <c r="C93" s="100" t="str">
        <f>IF(INDEX(設定!$C$9:$C$108,$A93,1)="","",INDEX(設定!$C$9:$C$108,$A93,1))</f>
        <v/>
      </c>
      <c r="D93" s="101" t="str">
        <f>IF(INDEX(設定!$D$9:$D$108,$A93,1)="","",INDEX(設定!$D$9:$D$108,$A93,1))</f>
        <v/>
      </c>
      <c r="E93" s="102" t="str">
        <f>IF(INDEX(設定!$E$9:$E$108,$A93,1)="","",INDEX(設定!$E$9:$E$108,$A93,1))</f>
        <v/>
      </c>
      <c r="F93" s="103" t="str">
        <f t="shared" si="148"/>
        <v/>
      </c>
      <c r="G93" s="412" t="str">
        <f>IF(INDEX(設定!L$9:L$108,$A93,1)=0,"",ROUND(INDEX(設定!L$9:L$108,$A93,1),1))</f>
        <v/>
      </c>
      <c r="H93" s="412" t="str">
        <f>IF(INDEX(設定!M$9:M$108,$A93,1)=0,"",ROUND(INDEX(設定!M$9:M$108,$A93,1),1))</f>
        <v/>
      </c>
      <c r="I93" s="412" t="str">
        <f>IF(INDEX(設定!N$9:N$108,$A93,1)=0,"",ROUND(INDEX(設定!N$9:N$108,$A93,1),1))</f>
        <v/>
      </c>
      <c r="J93" s="412" t="str">
        <f>IF(INDEX(設定!O$9:O$108,$A93,1)=0,"",ROUND(INDEX(設定!O$9:O$108,$A93,1),1))</f>
        <v/>
      </c>
      <c r="K93" s="412" t="str">
        <f>IF(INDEX(設定!P$9:P$108,$A93,1)=0,"",ROUND(INDEX(設定!P$9:P$108,$A93,1),1))</f>
        <v/>
      </c>
      <c r="L93" s="412" t="str">
        <f>IF(INDEX(設定!Q$9:Q$108,$A93,1)=0,"",ROUND(INDEX(設定!Q$9:Q$108,$A93,1),1))</f>
        <v/>
      </c>
      <c r="M93" s="413" t="str">
        <f>IF(INDEX(設定!R$9:R$108,$A93,1)=0,"",ROUND(INDEX(設定!R$9:R$108,$A93,1),1))</f>
        <v/>
      </c>
      <c r="N93" s="18"/>
      <c r="P93" s="19"/>
      <c r="Q93" s="19"/>
      <c r="S93" s="291" t="str">
        <f>IF(INDEX(設定!$F$9:$F$108,$A93,1)="","",VALUE(LEFT(INDEX(設定!$F$9:$F$108,$A93,1),1)))</f>
        <v/>
      </c>
      <c r="T93" s="202" t="str">
        <f t="shared" si="155"/>
        <v/>
      </c>
      <c r="U93" s="292" t="str">
        <f t="shared" si="156"/>
        <v/>
      </c>
      <c r="V93" s="293" t="str">
        <f t="shared" si="157"/>
        <v/>
      </c>
      <c r="W93" s="419">
        <f t="shared" si="144"/>
        <v>0</v>
      </c>
      <c r="X93" s="420" t="str">
        <f t="shared" si="145"/>
        <v/>
      </c>
      <c r="Y93" s="420">
        <f t="shared" si="146"/>
        <v>0</v>
      </c>
      <c r="Z93" s="420" t="str">
        <f t="shared" si="147"/>
        <v/>
      </c>
    </row>
    <row r="94" spans="1:26" ht="30" customHeight="1" x14ac:dyDescent="0.25">
      <c r="A94" s="135">
        <v>18</v>
      </c>
      <c r="C94" s="100" t="str">
        <f>IF(INDEX(設定!$C$9:$C$108,$A94,1)="","",INDEX(設定!$C$9:$C$108,$A94,1))</f>
        <v/>
      </c>
      <c r="D94" s="101" t="str">
        <f>IF(INDEX(設定!$D$9:$D$108,$A94,1)="","",INDEX(設定!$D$9:$D$108,$A94,1))</f>
        <v/>
      </c>
      <c r="E94" s="102" t="str">
        <f>IF(INDEX(設定!$E$9:$E$108,$A94,1)="","",INDEX(設定!$E$9:$E$108,$A94,1))</f>
        <v/>
      </c>
      <c r="F94" s="103" t="str">
        <f t="shared" si="148"/>
        <v/>
      </c>
      <c r="G94" s="412" t="str">
        <f>IF(INDEX(設定!L$9:L$108,$A94,1)=0,"",ROUND(INDEX(設定!L$9:L$108,$A94,1),1))</f>
        <v/>
      </c>
      <c r="H94" s="412" t="str">
        <f>IF(INDEX(設定!M$9:M$108,$A94,1)=0,"",ROUND(INDEX(設定!M$9:M$108,$A94,1),1))</f>
        <v/>
      </c>
      <c r="I94" s="412" t="str">
        <f>IF(INDEX(設定!N$9:N$108,$A94,1)=0,"",ROUND(INDEX(設定!N$9:N$108,$A94,1),1))</f>
        <v/>
      </c>
      <c r="J94" s="412" t="str">
        <f>IF(INDEX(設定!O$9:O$108,$A94,1)=0,"",ROUND(INDEX(設定!O$9:O$108,$A94,1),1))</f>
        <v/>
      </c>
      <c r="K94" s="412" t="str">
        <f>IF(INDEX(設定!P$9:P$108,$A94,1)=0,"",ROUND(INDEX(設定!P$9:P$108,$A94,1),1))</f>
        <v/>
      </c>
      <c r="L94" s="412" t="str">
        <f>IF(INDEX(設定!Q$9:Q$108,$A94,1)=0,"",ROUND(INDEX(設定!Q$9:Q$108,$A94,1),1))</f>
        <v/>
      </c>
      <c r="M94" s="413" t="str">
        <f>IF(INDEX(設定!R$9:R$108,$A94,1)=0,"",ROUND(INDEX(設定!R$9:R$108,$A94,1),1))</f>
        <v/>
      </c>
      <c r="N94" s="18"/>
      <c r="P94" s="19"/>
      <c r="Q94" s="19"/>
      <c r="S94" s="291" t="str">
        <f>IF(INDEX(設定!$F$9:$F$108,$A94,1)="","",VALUE(LEFT(INDEX(設定!$F$9:$F$108,$A94,1),1)))</f>
        <v/>
      </c>
      <c r="T94" s="202" t="str">
        <f t="shared" si="155"/>
        <v/>
      </c>
      <c r="U94" s="292" t="str">
        <f t="shared" si="156"/>
        <v/>
      </c>
      <c r="V94" s="293" t="str">
        <f t="shared" si="157"/>
        <v/>
      </c>
      <c r="W94" s="419">
        <f t="shared" si="144"/>
        <v>0</v>
      </c>
      <c r="X94" s="420" t="str">
        <f t="shared" si="145"/>
        <v/>
      </c>
      <c r="Y94" s="420">
        <f t="shared" si="146"/>
        <v>0</v>
      </c>
      <c r="Z94" s="420" t="str">
        <f t="shared" si="147"/>
        <v/>
      </c>
    </row>
    <row r="95" spans="1:26" ht="30" customHeight="1" x14ac:dyDescent="0.25">
      <c r="A95" s="135">
        <v>19</v>
      </c>
      <c r="C95" s="100" t="str">
        <f>IF(INDEX(設定!$C$9:$C$108,$A95,1)="","",INDEX(設定!$C$9:$C$108,$A95,1))</f>
        <v/>
      </c>
      <c r="D95" s="101" t="str">
        <f>IF(INDEX(設定!$D$9:$D$108,$A95,1)="","",INDEX(設定!$D$9:$D$108,$A95,1))</f>
        <v/>
      </c>
      <c r="E95" s="102" t="str">
        <f>IF(INDEX(設定!$E$9:$E$108,$A95,1)="","",INDEX(設定!$E$9:$E$108,$A95,1))</f>
        <v/>
      </c>
      <c r="F95" s="103" t="str">
        <f t="shared" si="148"/>
        <v/>
      </c>
      <c r="G95" s="412" t="str">
        <f>IF(INDEX(設定!L$9:L$108,$A95,1)=0,"",ROUND(INDEX(設定!L$9:L$108,$A95,1),1))</f>
        <v/>
      </c>
      <c r="H95" s="412" t="str">
        <f>IF(INDEX(設定!M$9:M$108,$A95,1)=0,"",ROUND(INDEX(設定!M$9:M$108,$A95,1),1))</f>
        <v/>
      </c>
      <c r="I95" s="412" t="str">
        <f>IF(INDEX(設定!N$9:N$108,$A95,1)=0,"",ROUND(INDEX(設定!N$9:N$108,$A95,1),1))</f>
        <v/>
      </c>
      <c r="J95" s="412" t="str">
        <f>IF(INDEX(設定!O$9:O$108,$A95,1)=0,"",ROUND(INDEX(設定!O$9:O$108,$A95,1),1))</f>
        <v/>
      </c>
      <c r="K95" s="412" t="str">
        <f>IF(INDEX(設定!P$9:P$108,$A95,1)=0,"",ROUND(INDEX(設定!P$9:P$108,$A95,1),1))</f>
        <v/>
      </c>
      <c r="L95" s="412" t="str">
        <f>IF(INDEX(設定!Q$9:Q$108,$A95,1)=0,"",ROUND(INDEX(設定!Q$9:Q$108,$A95,1),1))</f>
        <v/>
      </c>
      <c r="M95" s="413" t="str">
        <f>IF(INDEX(設定!R$9:R$108,$A95,1)=0,"",ROUND(INDEX(設定!R$9:R$108,$A95,1),1))</f>
        <v/>
      </c>
      <c r="N95" s="18"/>
      <c r="P95" s="19"/>
      <c r="Q95" s="19"/>
      <c r="S95" s="291" t="str">
        <f>IF(INDEX(設定!$F$9:$F$108,$A95,1)="","",VALUE(LEFT(INDEX(設定!$F$9:$F$108,$A95,1),1)))</f>
        <v/>
      </c>
      <c r="T95" s="202" t="str">
        <f t="shared" si="155"/>
        <v/>
      </c>
      <c r="U95" s="292" t="str">
        <f t="shared" si="156"/>
        <v/>
      </c>
      <c r="V95" s="293" t="str">
        <f t="shared" si="157"/>
        <v/>
      </c>
      <c r="W95" s="419">
        <f t="shared" si="144"/>
        <v>0</v>
      </c>
      <c r="X95" s="420" t="str">
        <f t="shared" si="145"/>
        <v/>
      </c>
      <c r="Y95" s="420">
        <f t="shared" si="146"/>
        <v>0</v>
      </c>
      <c r="Z95" s="420" t="str">
        <f t="shared" si="147"/>
        <v/>
      </c>
    </row>
    <row r="96" spans="1:26" ht="30" customHeight="1" x14ac:dyDescent="0.25">
      <c r="A96" s="135">
        <v>20</v>
      </c>
      <c r="C96" s="100" t="str">
        <f>IF(INDEX(設定!$C$9:$C$108,$A96,1)="","",INDEX(設定!$C$9:$C$108,$A96,1))</f>
        <v/>
      </c>
      <c r="D96" s="101" t="str">
        <f>IF(INDEX(設定!$D$9:$D$108,$A96,1)="","",INDEX(設定!$D$9:$D$108,$A96,1))</f>
        <v/>
      </c>
      <c r="E96" s="102" t="str">
        <f>IF(INDEX(設定!$E$9:$E$108,$A96,1)="","",INDEX(設定!$E$9:$E$108,$A96,1))</f>
        <v/>
      </c>
      <c r="F96" s="103" t="str">
        <f t="shared" si="148"/>
        <v/>
      </c>
      <c r="G96" s="412" t="str">
        <f>IF(INDEX(設定!L$9:L$108,$A96,1)=0,"",ROUND(INDEX(設定!L$9:L$108,$A96,1),1))</f>
        <v/>
      </c>
      <c r="H96" s="412" t="str">
        <f>IF(INDEX(設定!M$9:M$108,$A96,1)=0,"",ROUND(INDEX(設定!M$9:M$108,$A96,1),1))</f>
        <v/>
      </c>
      <c r="I96" s="412" t="str">
        <f>IF(INDEX(設定!N$9:N$108,$A96,1)=0,"",ROUND(INDEX(設定!N$9:N$108,$A96,1),1))</f>
        <v/>
      </c>
      <c r="J96" s="412" t="str">
        <f>IF(INDEX(設定!O$9:O$108,$A96,1)=0,"",ROUND(INDEX(設定!O$9:O$108,$A96,1),1))</f>
        <v/>
      </c>
      <c r="K96" s="412" t="str">
        <f>IF(INDEX(設定!P$9:P$108,$A96,1)=0,"",ROUND(INDEX(設定!P$9:P$108,$A96,1),1))</f>
        <v/>
      </c>
      <c r="L96" s="412" t="str">
        <f>IF(INDEX(設定!Q$9:Q$108,$A96,1)=0,"",ROUND(INDEX(設定!Q$9:Q$108,$A96,1),1))</f>
        <v/>
      </c>
      <c r="M96" s="413" t="str">
        <f>IF(INDEX(設定!R$9:R$108,$A96,1)=0,"",ROUND(INDEX(設定!R$9:R$108,$A96,1),1))</f>
        <v/>
      </c>
      <c r="N96" s="18"/>
      <c r="P96" s="19"/>
      <c r="Q96" s="19"/>
      <c r="S96" s="291" t="str">
        <f>IF(INDEX(設定!$F$9:$F$108,$A96,1)="","",VALUE(LEFT(INDEX(設定!$F$9:$F$108,$A96,1),1)))</f>
        <v/>
      </c>
      <c r="T96" s="202" t="str">
        <f>IF(C96="","",C96)</f>
        <v/>
      </c>
      <c r="U96" s="292" t="str">
        <f>IF(D96="","",IF(D96="1：男",1,IF(D96="2：女",2)))</f>
        <v/>
      </c>
      <c r="V96" s="293" t="str">
        <f>IF(E96="","",E96)</f>
        <v/>
      </c>
      <c r="W96" s="419">
        <f t="shared" si="144"/>
        <v>0</v>
      </c>
      <c r="X96" s="420" t="str">
        <f t="shared" si="145"/>
        <v/>
      </c>
      <c r="Y96" s="420">
        <f t="shared" si="146"/>
        <v>0</v>
      </c>
      <c r="Z96" s="420" t="str">
        <f t="shared" si="147"/>
        <v/>
      </c>
    </row>
    <row r="97" spans="1:26" ht="30" customHeight="1" x14ac:dyDescent="0.25">
      <c r="A97" s="135">
        <v>21</v>
      </c>
      <c r="C97" s="100" t="str">
        <f>IF(INDEX(設定!$C$9:$C$108,$A97,1)="","",INDEX(設定!$C$9:$C$108,$A97,1))</f>
        <v/>
      </c>
      <c r="D97" s="101" t="str">
        <f>IF(INDEX(設定!$D$9:$D$108,$A97,1)="","",INDEX(設定!$D$9:$D$108,$A97,1))</f>
        <v/>
      </c>
      <c r="E97" s="102" t="str">
        <f>IF(INDEX(設定!$E$9:$E$108,$A97,1)="","",INDEX(設定!$E$9:$E$108,$A97,1))</f>
        <v/>
      </c>
      <c r="F97" s="103" t="str">
        <f t="shared" si="148"/>
        <v/>
      </c>
      <c r="G97" s="412" t="str">
        <f>IF(INDEX(設定!L$9:L$108,$A97,1)=0,"",ROUND(INDEX(設定!L$9:L$108,$A97,1),1))</f>
        <v/>
      </c>
      <c r="H97" s="412" t="str">
        <f>IF(INDEX(設定!M$9:M$108,$A97,1)=0,"",ROUND(INDEX(設定!M$9:M$108,$A97,1),1))</f>
        <v/>
      </c>
      <c r="I97" s="412" t="str">
        <f>IF(INDEX(設定!N$9:N$108,$A97,1)=0,"",ROUND(INDEX(設定!N$9:N$108,$A97,1),1))</f>
        <v/>
      </c>
      <c r="J97" s="412" t="str">
        <f>IF(INDEX(設定!O$9:O$108,$A97,1)=0,"",ROUND(INDEX(設定!O$9:O$108,$A97,1),1))</f>
        <v/>
      </c>
      <c r="K97" s="412" t="str">
        <f>IF(INDEX(設定!P$9:P$108,$A97,1)=0,"",ROUND(INDEX(設定!P$9:P$108,$A97,1),1))</f>
        <v/>
      </c>
      <c r="L97" s="412" t="str">
        <f>IF(INDEX(設定!Q$9:Q$108,$A97,1)=0,"",ROUND(INDEX(設定!Q$9:Q$108,$A97,1),1))</f>
        <v/>
      </c>
      <c r="M97" s="413" t="str">
        <f>IF(INDEX(設定!R$9:R$108,$A97,1)=0,"",ROUND(INDEX(設定!R$9:R$108,$A97,1),1))</f>
        <v/>
      </c>
      <c r="N97" s="18"/>
      <c r="P97" s="19"/>
      <c r="Q97" s="19"/>
      <c r="S97" s="291" t="str">
        <f>IF(INDEX(設定!$F$9:$F$108,$A97,1)="","",VALUE(LEFT(INDEX(設定!$F$9:$F$108,$A97,1),1)))</f>
        <v/>
      </c>
      <c r="T97" s="202" t="str">
        <f>IF(C97="","",C97)</f>
        <v/>
      </c>
      <c r="U97" s="292" t="str">
        <f>IF(D97="","",IF(D97="1：男",1,IF(D97="2：女",2)))</f>
        <v/>
      </c>
      <c r="V97" s="293" t="str">
        <f>IF(E97="","",E97)</f>
        <v/>
      </c>
      <c r="W97" s="419">
        <f t="shared" si="144"/>
        <v>0</v>
      </c>
      <c r="X97" s="420" t="str">
        <f t="shared" si="145"/>
        <v/>
      </c>
      <c r="Y97" s="420">
        <f t="shared" si="146"/>
        <v>0</v>
      </c>
      <c r="Z97" s="420" t="str">
        <f t="shared" si="147"/>
        <v/>
      </c>
    </row>
    <row r="98" spans="1:26" ht="30" customHeight="1" x14ac:dyDescent="0.25">
      <c r="A98" s="135">
        <v>22</v>
      </c>
      <c r="C98" s="100" t="str">
        <f>IF(INDEX(設定!$C$9:$C$108,$A98,1)="","",INDEX(設定!$C$9:$C$108,$A98,1))</f>
        <v/>
      </c>
      <c r="D98" s="101" t="str">
        <f>IF(INDEX(設定!$D$9:$D$108,$A98,1)="","",INDEX(設定!$D$9:$D$108,$A98,1))</f>
        <v/>
      </c>
      <c r="E98" s="102" t="str">
        <f>IF(INDEX(設定!$E$9:$E$108,$A98,1)="","",INDEX(設定!$E$9:$E$108,$A98,1))</f>
        <v/>
      </c>
      <c r="F98" s="103" t="str">
        <f t="shared" si="148"/>
        <v/>
      </c>
      <c r="G98" s="412" t="str">
        <f>IF(INDEX(設定!L$9:L$108,$A98,1)=0,"",ROUND(INDEX(設定!L$9:L$108,$A98,1),1))</f>
        <v/>
      </c>
      <c r="H98" s="412" t="str">
        <f>IF(INDEX(設定!M$9:M$108,$A98,1)=0,"",ROUND(INDEX(設定!M$9:M$108,$A98,1),1))</f>
        <v/>
      </c>
      <c r="I98" s="412" t="str">
        <f>IF(INDEX(設定!N$9:N$108,$A98,1)=0,"",ROUND(INDEX(設定!N$9:N$108,$A98,1),1))</f>
        <v/>
      </c>
      <c r="J98" s="412" t="str">
        <f>IF(INDEX(設定!O$9:O$108,$A98,1)=0,"",ROUND(INDEX(設定!O$9:O$108,$A98,1),1))</f>
        <v/>
      </c>
      <c r="K98" s="412" t="str">
        <f>IF(INDEX(設定!P$9:P$108,$A98,1)=0,"",ROUND(INDEX(設定!P$9:P$108,$A98,1),1))</f>
        <v/>
      </c>
      <c r="L98" s="412" t="str">
        <f>IF(INDEX(設定!Q$9:Q$108,$A98,1)=0,"",ROUND(INDEX(設定!Q$9:Q$108,$A98,1),1))</f>
        <v/>
      </c>
      <c r="M98" s="413" t="str">
        <f>IF(INDEX(設定!R$9:R$108,$A98,1)=0,"",ROUND(INDEX(設定!R$9:R$108,$A98,1),1))</f>
        <v/>
      </c>
      <c r="N98" s="18"/>
      <c r="P98" s="19"/>
      <c r="Q98" s="19"/>
      <c r="S98" s="291" t="str">
        <f>IF(INDEX(設定!$F$9:$F$108,$A98,1)="","",VALUE(LEFT(INDEX(設定!$F$9:$F$108,$A98,1),1)))</f>
        <v/>
      </c>
      <c r="T98" s="202" t="str">
        <f t="shared" ref="T98:T99" si="158">IF(C98="","",C98)</f>
        <v/>
      </c>
      <c r="U98" s="292" t="str">
        <f t="shared" ref="U98:U99" si="159">IF(D98="","",IF(D98="1：男",1,IF(D98="2：女",2)))</f>
        <v/>
      </c>
      <c r="V98" s="293" t="str">
        <f t="shared" ref="V98:V99" si="160">IF(E98="","",E98)</f>
        <v/>
      </c>
      <c r="W98" s="419">
        <f t="shared" si="144"/>
        <v>0</v>
      </c>
      <c r="X98" s="420" t="str">
        <f t="shared" si="145"/>
        <v/>
      </c>
      <c r="Y98" s="420">
        <f t="shared" si="146"/>
        <v>0</v>
      </c>
      <c r="Z98" s="420" t="str">
        <f t="shared" si="147"/>
        <v/>
      </c>
    </row>
    <row r="99" spans="1:26" ht="30" customHeight="1" x14ac:dyDescent="0.25">
      <c r="A99" s="135">
        <v>23</v>
      </c>
      <c r="C99" s="100" t="str">
        <f>IF(INDEX(設定!$C$9:$C$108,$A99,1)="","",INDEX(設定!$C$9:$C$108,$A99,1))</f>
        <v/>
      </c>
      <c r="D99" s="101" t="str">
        <f>IF(INDEX(設定!$D$9:$D$108,$A99,1)="","",INDEX(設定!$D$9:$D$108,$A99,1))</f>
        <v/>
      </c>
      <c r="E99" s="102" t="str">
        <f>IF(INDEX(設定!$E$9:$E$108,$A99,1)="","",INDEX(設定!$E$9:$E$108,$A99,1))</f>
        <v/>
      </c>
      <c r="F99" s="103" t="str">
        <f t="shared" si="148"/>
        <v/>
      </c>
      <c r="G99" s="412" t="str">
        <f>IF(INDEX(設定!L$9:L$108,$A99,1)=0,"",ROUND(INDEX(設定!L$9:L$108,$A99,1),1))</f>
        <v/>
      </c>
      <c r="H99" s="412" t="str">
        <f>IF(INDEX(設定!M$9:M$108,$A99,1)=0,"",ROUND(INDEX(設定!M$9:M$108,$A99,1),1))</f>
        <v/>
      </c>
      <c r="I99" s="412" t="str">
        <f>IF(INDEX(設定!N$9:N$108,$A99,1)=0,"",ROUND(INDEX(設定!N$9:N$108,$A99,1),1))</f>
        <v/>
      </c>
      <c r="J99" s="412" t="str">
        <f>IF(INDEX(設定!O$9:O$108,$A99,1)=0,"",ROUND(INDEX(設定!O$9:O$108,$A99,1),1))</f>
        <v/>
      </c>
      <c r="K99" s="412" t="str">
        <f>IF(INDEX(設定!P$9:P$108,$A99,1)=0,"",ROUND(INDEX(設定!P$9:P$108,$A99,1),1))</f>
        <v/>
      </c>
      <c r="L99" s="412" t="str">
        <f>IF(INDEX(設定!Q$9:Q$108,$A99,1)=0,"",ROUND(INDEX(設定!Q$9:Q$108,$A99,1),1))</f>
        <v/>
      </c>
      <c r="M99" s="413" t="str">
        <f>IF(INDEX(設定!R$9:R$108,$A99,1)=0,"",ROUND(INDEX(設定!R$9:R$108,$A99,1),1))</f>
        <v/>
      </c>
      <c r="N99" s="18"/>
      <c r="P99" s="19"/>
      <c r="Q99" s="19"/>
      <c r="S99" s="291" t="str">
        <f>IF(INDEX(設定!$F$9:$F$108,$A99,1)="","",VALUE(LEFT(INDEX(設定!$F$9:$F$108,$A99,1),1)))</f>
        <v/>
      </c>
      <c r="T99" s="202" t="str">
        <f t="shared" si="158"/>
        <v/>
      </c>
      <c r="U99" s="292" t="str">
        <f t="shared" si="159"/>
        <v/>
      </c>
      <c r="V99" s="293" t="str">
        <f t="shared" si="160"/>
        <v/>
      </c>
      <c r="W99" s="419">
        <f t="shared" si="144"/>
        <v>0</v>
      </c>
      <c r="X99" s="420" t="str">
        <f t="shared" si="145"/>
        <v/>
      </c>
      <c r="Y99" s="420">
        <f t="shared" si="146"/>
        <v>0</v>
      </c>
      <c r="Z99" s="420" t="str">
        <f t="shared" si="147"/>
        <v/>
      </c>
    </row>
    <row r="100" spans="1:26" ht="30" customHeight="1" x14ac:dyDescent="0.25">
      <c r="A100" s="135">
        <v>24</v>
      </c>
      <c r="C100" s="100" t="str">
        <f>IF(INDEX(設定!$C$9:$C$108,$A100,1)="","",INDEX(設定!$C$9:$C$108,$A100,1))</f>
        <v/>
      </c>
      <c r="D100" s="101" t="str">
        <f>IF(INDEX(設定!$D$9:$D$108,$A100,1)="","",INDEX(設定!$D$9:$D$108,$A100,1))</f>
        <v/>
      </c>
      <c r="E100" s="102" t="str">
        <f>IF(INDEX(設定!$E$9:$E$108,$A100,1)="","",INDEX(設定!$E$9:$E$108,$A100,1))</f>
        <v/>
      </c>
      <c r="F100" s="103" t="str">
        <f t="shared" si="148"/>
        <v/>
      </c>
      <c r="G100" s="412" t="str">
        <f>IF(INDEX(設定!L$9:L$108,$A100,1)=0,"",ROUND(INDEX(設定!L$9:L$108,$A100,1),1))</f>
        <v/>
      </c>
      <c r="H100" s="412" t="str">
        <f>IF(INDEX(設定!M$9:M$108,$A100,1)=0,"",ROUND(INDEX(設定!M$9:M$108,$A100,1),1))</f>
        <v/>
      </c>
      <c r="I100" s="412" t="str">
        <f>IF(INDEX(設定!N$9:N$108,$A100,1)=0,"",ROUND(INDEX(設定!N$9:N$108,$A100,1),1))</f>
        <v/>
      </c>
      <c r="J100" s="412" t="str">
        <f>IF(INDEX(設定!O$9:O$108,$A100,1)=0,"",ROUND(INDEX(設定!O$9:O$108,$A100,1),1))</f>
        <v/>
      </c>
      <c r="K100" s="412" t="str">
        <f>IF(INDEX(設定!P$9:P$108,$A100,1)=0,"",ROUND(INDEX(設定!P$9:P$108,$A100,1),1))</f>
        <v/>
      </c>
      <c r="L100" s="412" t="str">
        <f>IF(INDEX(設定!Q$9:Q$108,$A100,1)=0,"",ROUND(INDEX(設定!Q$9:Q$108,$A100,1),1))</f>
        <v/>
      </c>
      <c r="M100" s="413" t="str">
        <f>IF(INDEX(設定!R$9:R$108,$A100,1)=0,"",ROUND(INDEX(設定!R$9:R$108,$A100,1),1))</f>
        <v/>
      </c>
      <c r="N100" s="18"/>
      <c r="P100" s="19"/>
      <c r="Q100" s="19"/>
      <c r="S100" s="291" t="str">
        <f>IF(INDEX(設定!$F$9:$F$108,$A100,1)="","",VALUE(LEFT(INDEX(設定!$F$9:$F$108,$A100,1),1)))</f>
        <v/>
      </c>
      <c r="T100" s="202" t="str">
        <f>IF(C100="","",C100)</f>
        <v/>
      </c>
      <c r="U100" s="292" t="str">
        <f>IF(D100="","",IF(D100="1：男",1,IF(D100="2：女",2)))</f>
        <v/>
      </c>
      <c r="V100" s="293" t="str">
        <f>IF(E100="","",E100)</f>
        <v/>
      </c>
      <c r="W100" s="419">
        <f t="shared" si="144"/>
        <v>0</v>
      </c>
      <c r="X100" s="420" t="str">
        <f t="shared" si="145"/>
        <v/>
      </c>
      <c r="Y100" s="420">
        <f t="shared" si="146"/>
        <v>0</v>
      </c>
      <c r="Z100" s="420" t="str">
        <f t="shared" si="147"/>
        <v/>
      </c>
    </row>
    <row r="101" spans="1:26" ht="30" customHeight="1" x14ac:dyDescent="0.25">
      <c r="A101" s="135">
        <v>25</v>
      </c>
      <c r="C101" s="100" t="str">
        <f>IF(INDEX(設定!$C$9:$C$108,$A101,1)="","",INDEX(設定!$C$9:$C$108,$A101,1))</f>
        <v/>
      </c>
      <c r="D101" s="101" t="str">
        <f>IF(INDEX(設定!$D$9:$D$108,$A101,1)="","",INDEX(設定!$D$9:$D$108,$A101,1))</f>
        <v/>
      </c>
      <c r="E101" s="102" t="str">
        <f>IF(INDEX(設定!$E$9:$E$108,$A101,1)="","",INDEX(設定!$E$9:$E$108,$A101,1))</f>
        <v/>
      </c>
      <c r="F101" s="103" t="str">
        <f t="shared" si="148"/>
        <v/>
      </c>
      <c r="G101" s="412" t="str">
        <f>IF(INDEX(設定!L$9:L$108,$A101,1)=0,"",ROUND(INDEX(設定!L$9:L$108,$A101,1),1))</f>
        <v/>
      </c>
      <c r="H101" s="412" t="str">
        <f>IF(INDEX(設定!M$9:M$108,$A101,1)=0,"",ROUND(INDEX(設定!M$9:M$108,$A101,1),1))</f>
        <v/>
      </c>
      <c r="I101" s="412" t="str">
        <f>IF(INDEX(設定!N$9:N$108,$A101,1)=0,"",ROUND(INDEX(設定!N$9:N$108,$A101,1),1))</f>
        <v/>
      </c>
      <c r="J101" s="412" t="str">
        <f>IF(INDEX(設定!O$9:O$108,$A101,1)=0,"",ROUND(INDEX(設定!O$9:O$108,$A101,1),1))</f>
        <v/>
      </c>
      <c r="K101" s="412" t="str">
        <f>IF(INDEX(設定!P$9:P$108,$A101,1)=0,"",ROUND(INDEX(設定!P$9:P$108,$A101,1),1))</f>
        <v/>
      </c>
      <c r="L101" s="412" t="str">
        <f>IF(INDEX(設定!Q$9:Q$108,$A101,1)=0,"",ROUND(INDEX(設定!Q$9:Q$108,$A101,1),1))</f>
        <v/>
      </c>
      <c r="M101" s="413" t="str">
        <f>IF(INDEX(設定!R$9:R$108,$A101,1)=0,"",ROUND(INDEX(設定!R$9:R$108,$A101,1),1))</f>
        <v/>
      </c>
      <c r="N101" s="18"/>
      <c r="P101" s="19"/>
      <c r="Q101" s="19"/>
      <c r="S101" s="291" t="str">
        <f>IF(INDEX(設定!$F$9:$F$108,$A101,1)="","",VALUE(LEFT(INDEX(設定!$F$9:$F$108,$A101,1),1)))</f>
        <v/>
      </c>
      <c r="T101" s="202" t="str">
        <f>IF(C101="","",C101)</f>
        <v/>
      </c>
      <c r="U101" s="292" t="str">
        <f>IF(D101="","",IF(D101="1：男",1,IF(D101="2：女",2)))</f>
        <v/>
      </c>
      <c r="V101" s="293" t="str">
        <f>IF(E101="","",E101)</f>
        <v/>
      </c>
      <c r="W101" s="419">
        <f t="shared" si="144"/>
        <v>0</v>
      </c>
      <c r="X101" s="420" t="str">
        <f t="shared" si="145"/>
        <v/>
      </c>
      <c r="Y101" s="420">
        <f t="shared" si="146"/>
        <v>0</v>
      </c>
      <c r="Z101" s="420" t="str">
        <f t="shared" si="147"/>
        <v/>
      </c>
    </row>
    <row r="102" spans="1:26" ht="30" customHeight="1" x14ac:dyDescent="0.25">
      <c r="A102" s="135">
        <v>26</v>
      </c>
      <c r="C102" s="100" t="str">
        <f>IF(INDEX(設定!$C$9:$C$108,$A102,1)="","",INDEX(設定!$C$9:$C$108,$A102,1))</f>
        <v/>
      </c>
      <c r="D102" s="101" t="str">
        <f>IF(INDEX(設定!$D$9:$D$108,$A102,1)="","",INDEX(設定!$D$9:$D$108,$A102,1))</f>
        <v/>
      </c>
      <c r="E102" s="102" t="str">
        <f>IF(INDEX(設定!$E$9:$E$108,$A102,1)="","",INDEX(設定!$E$9:$E$108,$A102,1))</f>
        <v/>
      </c>
      <c r="F102" s="103" t="str">
        <f t="shared" si="148"/>
        <v/>
      </c>
      <c r="G102" s="412" t="str">
        <f>IF(INDEX(設定!L$9:L$108,$A102,1)=0,"",ROUND(INDEX(設定!L$9:L$108,$A102,1),1))</f>
        <v/>
      </c>
      <c r="H102" s="412" t="str">
        <f>IF(INDEX(設定!M$9:M$108,$A102,1)=0,"",ROUND(INDEX(設定!M$9:M$108,$A102,1),1))</f>
        <v/>
      </c>
      <c r="I102" s="412" t="str">
        <f>IF(INDEX(設定!N$9:N$108,$A102,1)=0,"",ROUND(INDEX(設定!N$9:N$108,$A102,1),1))</f>
        <v/>
      </c>
      <c r="J102" s="412" t="str">
        <f>IF(INDEX(設定!O$9:O$108,$A102,1)=0,"",ROUND(INDEX(設定!O$9:O$108,$A102,1),1))</f>
        <v/>
      </c>
      <c r="K102" s="412" t="str">
        <f>IF(INDEX(設定!P$9:P$108,$A102,1)=0,"",ROUND(INDEX(設定!P$9:P$108,$A102,1),1))</f>
        <v/>
      </c>
      <c r="L102" s="412" t="str">
        <f>IF(INDEX(設定!Q$9:Q$108,$A102,1)=0,"",ROUND(INDEX(設定!Q$9:Q$108,$A102,1),1))</f>
        <v/>
      </c>
      <c r="M102" s="413" t="str">
        <f>IF(INDEX(設定!R$9:R$108,$A102,1)=0,"",ROUND(INDEX(設定!R$9:R$108,$A102,1),1))</f>
        <v/>
      </c>
      <c r="N102" s="18"/>
      <c r="P102" s="19"/>
      <c r="Q102" s="19"/>
      <c r="S102" s="291" t="str">
        <f>IF(INDEX(設定!$F$9:$F$108,$A102,1)="","",VALUE(LEFT(INDEX(設定!$F$9:$F$108,$A102,1),1)))</f>
        <v/>
      </c>
      <c r="T102" s="202" t="str">
        <f t="shared" ref="T102:T106" si="161">IF(C102="","",C102)</f>
        <v/>
      </c>
      <c r="U102" s="292" t="str">
        <f t="shared" ref="U102:U106" si="162">IF(D102="","",IF(D102="1：男",1,IF(D102="2：女",2)))</f>
        <v/>
      </c>
      <c r="V102" s="293" t="str">
        <f t="shared" ref="V102:V106" si="163">IF(E102="","",E102)</f>
        <v/>
      </c>
      <c r="W102" s="419">
        <f t="shared" si="144"/>
        <v>0</v>
      </c>
      <c r="X102" s="420" t="str">
        <f t="shared" si="145"/>
        <v/>
      </c>
      <c r="Y102" s="420">
        <f t="shared" si="146"/>
        <v>0</v>
      </c>
      <c r="Z102" s="420" t="str">
        <f t="shared" si="147"/>
        <v/>
      </c>
    </row>
    <row r="103" spans="1:26" ht="30" customHeight="1" x14ac:dyDescent="0.25">
      <c r="A103" s="135">
        <v>27</v>
      </c>
      <c r="C103" s="100" t="str">
        <f>IF(INDEX(設定!$C$9:$C$108,$A103,1)="","",INDEX(設定!$C$9:$C$108,$A103,1))</f>
        <v/>
      </c>
      <c r="D103" s="101" t="str">
        <f>IF(INDEX(設定!$D$9:$D$108,$A103,1)="","",INDEX(設定!$D$9:$D$108,$A103,1))</f>
        <v/>
      </c>
      <c r="E103" s="102" t="str">
        <f>IF(INDEX(設定!$E$9:$E$108,$A103,1)="","",INDEX(設定!$E$9:$E$108,$A103,1))</f>
        <v/>
      </c>
      <c r="F103" s="103" t="str">
        <f t="shared" si="148"/>
        <v/>
      </c>
      <c r="G103" s="412" t="str">
        <f>IF(INDEX(設定!L$9:L$108,$A103,1)=0,"",ROUND(INDEX(設定!L$9:L$108,$A103,1),1))</f>
        <v/>
      </c>
      <c r="H103" s="412" t="str">
        <f>IF(INDEX(設定!M$9:M$108,$A103,1)=0,"",ROUND(INDEX(設定!M$9:M$108,$A103,1),1))</f>
        <v/>
      </c>
      <c r="I103" s="412" t="str">
        <f>IF(INDEX(設定!N$9:N$108,$A103,1)=0,"",ROUND(INDEX(設定!N$9:N$108,$A103,1),1))</f>
        <v/>
      </c>
      <c r="J103" s="412" t="str">
        <f>IF(INDEX(設定!O$9:O$108,$A103,1)=0,"",ROUND(INDEX(設定!O$9:O$108,$A103,1),1))</f>
        <v/>
      </c>
      <c r="K103" s="412" t="str">
        <f>IF(INDEX(設定!P$9:P$108,$A103,1)=0,"",ROUND(INDEX(設定!P$9:P$108,$A103,1),1))</f>
        <v/>
      </c>
      <c r="L103" s="412" t="str">
        <f>IF(INDEX(設定!Q$9:Q$108,$A103,1)=0,"",ROUND(INDEX(設定!Q$9:Q$108,$A103,1),1))</f>
        <v/>
      </c>
      <c r="M103" s="413" t="str">
        <f>IF(INDEX(設定!R$9:R$108,$A103,1)=0,"",ROUND(INDEX(設定!R$9:R$108,$A103,1),1))</f>
        <v/>
      </c>
      <c r="N103" s="18"/>
      <c r="P103" s="19"/>
      <c r="Q103" s="19"/>
      <c r="S103" s="291" t="str">
        <f>IF(INDEX(設定!$F$9:$F$108,$A103,1)="","",VALUE(LEFT(INDEX(設定!$F$9:$F$108,$A103,1),1)))</f>
        <v/>
      </c>
      <c r="T103" s="202" t="str">
        <f t="shared" si="161"/>
        <v/>
      </c>
      <c r="U103" s="292" t="str">
        <f t="shared" si="162"/>
        <v/>
      </c>
      <c r="V103" s="293" t="str">
        <f t="shared" si="163"/>
        <v/>
      </c>
      <c r="W103" s="419">
        <f t="shared" si="144"/>
        <v>0</v>
      </c>
      <c r="X103" s="420" t="str">
        <f t="shared" si="145"/>
        <v/>
      </c>
      <c r="Y103" s="420">
        <f t="shared" si="146"/>
        <v>0</v>
      </c>
      <c r="Z103" s="420" t="str">
        <f t="shared" si="147"/>
        <v/>
      </c>
    </row>
    <row r="104" spans="1:26" ht="30" customHeight="1" x14ac:dyDescent="0.25">
      <c r="A104" s="135">
        <v>28</v>
      </c>
      <c r="C104" s="100" t="str">
        <f>IF(INDEX(設定!$C$9:$C$108,$A104,1)="","",INDEX(設定!$C$9:$C$108,$A104,1))</f>
        <v/>
      </c>
      <c r="D104" s="101" t="str">
        <f>IF(INDEX(設定!$D$9:$D$108,$A104,1)="","",INDEX(設定!$D$9:$D$108,$A104,1))</f>
        <v/>
      </c>
      <c r="E104" s="102" t="str">
        <f>IF(INDEX(設定!$E$9:$E$108,$A104,1)="","",INDEX(設定!$E$9:$E$108,$A104,1))</f>
        <v/>
      </c>
      <c r="F104" s="103" t="str">
        <f t="shared" si="148"/>
        <v/>
      </c>
      <c r="G104" s="412" t="str">
        <f>IF(INDEX(設定!L$9:L$108,$A104,1)=0,"",ROUND(INDEX(設定!L$9:L$108,$A104,1),1))</f>
        <v/>
      </c>
      <c r="H104" s="412" t="str">
        <f>IF(INDEX(設定!M$9:M$108,$A104,1)=0,"",ROUND(INDEX(設定!M$9:M$108,$A104,1),1))</f>
        <v/>
      </c>
      <c r="I104" s="412" t="str">
        <f>IF(INDEX(設定!N$9:N$108,$A104,1)=0,"",ROUND(INDEX(設定!N$9:N$108,$A104,1),1))</f>
        <v/>
      </c>
      <c r="J104" s="412" t="str">
        <f>IF(INDEX(設定!O$9:O$108,$A104,1)=0,"",ROUND(INDEX(設定!O$9:O$108,$A104,1),1))</f>
        <v/>
      </c>
      <c r="K104" s="412" t="str">
        <f>IF(INDEX(設定!P$9:P$108,$A104,1)=0,"",ROUND(INDEX(設定!P$9:P$108,$A104,1),1))</f>
        <v/>
      </c>
      <c r="L104" s="412" t="str">
        <f>IF(INDEX(設定!Q$9:Q$108,$A104,1)=0,"",ROUND(INDEX(設定!Q$9:Q$108,$A104,1),1))</f>
        <v/>
      </c>
      <c r="M104" s="413" t="str">
        <f>IF(INDEX(設定!R$9:R$108,$A104,1)=0,"",ROUND(INDEX(設定!R$9:R$108,$A104,1),1))</f>
        <v/>
      </c>
      <c r="N104" s="18"/>
      <c r="P104" s="19"/>
      <c r="Q104" s="19"/>
      <c r="S104" s="291" t="str">
        <f>IF(INDEX(設定!$F$9:$F$108,$A104,1)="","",VALUE(LEFT(INDEX(設定!$F$9:$F$108,$A104,1),1)))</f>
        <v/>
      </c>
      <c r="T104" s="202" t="str">
        <f t="shared" si="161"/>
        <v/>
      </c>
      <c r="U104" s="292" t="str">
        <f t="shared" si="162"/>
        <v/>
      </c>
      <c r="V104" s="293" t="str">
        <f t="shared" si="163"/>
        <v/>
      </c>
      <c r="W104" s="419">
        <f t="shared" si="144"/>
        <v>0</v>
      </c>
      <c r="X104" s="420" t="str">
        <f t="shared" si="145"/>
        <v/>
      </c>
      <c r="Y104" s="420">
        <f t="shared" si="146"/>
        <v>0</v>
      </c>
      <c r="Z104" s="420" t="str">
        <f t="shared" si="147"/>
        <v/>
      </c>
    </row>
    <row r="105" spans="1:26" ht="30" customHeight="1" x14ac:dyDescent="0.25">
      <c r="A105" s="135">
        <v>29</v>
      </c>
      <c r="C105" s="100" t="str">
        <f>IF(INDEX(設定!$C$9:$C$108,$A105,1)="","",INDEX(設定!$C$9:$C$108,$A105,1))</f>
        <v/>
      </c>
      <c r="D105" s="101" t="str">
        <f>IF(INDEX(設定!$D$9:$D$108,$A105,1)="","",INDEX(設定!$D$9:$D$108,$A105,1))</f>
        <v/>
      </c>
      <c r="E105" s="102" t="str">
        <f>IF(INDEX(設定!$E$9:$E$108,$A105,1)="","",INDEX(設定!$E$9:$E$108,$A105,1))</f>
        <v/>
      </c>
      <c r="F105" s="103" t="str">
        <f t="shared" si="148"/>
        <v/>
      </c>
      <c r="G105" s="412" t="str">
        <f>IF(INDEX(設定!L$9:L$108,$A105,1)=0,"",ROUND(INDEX(設定!L$9:L$108,$A105,1),1))</f>
        <v/>
      </c>
      <c r="H105" s="412" t="str">
        <f>IF(INDEX(設定!M$9:M$108,$A105,1)=0,"",ROUND(INDEX(設定!M$9:M$108,$A105,1),1))</f>
        <v/>
      </c>
      <c r="I105" s="412" t="str">
        <f>IF(INDEX(設定!N$9:N$108,$A105,1)=0,"",ROUND(INDEX(設定!N$9:N$108,$A105,1),1))</f>
        <v/>
      </c>
      <c r="J105" s="412" t="str">
        <f>IF(INDEX(設定!O$9:O$108,$A105,1)=0,"",ROUND(INDEX(設定!O$9:O$108,$A105,1),1))</f>
        <v/>
      </c>
      <c r="K105" s="412" t="str">
        <f>IF(INDEX(設定!P$9:P$108,$A105,1)=0,"",ROUND(INDEX(設定!P$9:P$108,$A105,1),1))</f>
        <v/>
      </c>
      <c r="L105" s="412" t="str">
        <f>IF(INDEX(設定!Q$9:Q$108,$A105,1)=0,"",ROUND(INDEX(設定!Q$9:Q$108,$A105,1),1))</f>
        <v/>
      </c>
      <c r="M105" s="413" t="str">
        <f>IF(INDEX(設定!R$9:R$108,$A105,1)=0,"",ROUND(INDEX(設定!R$9:R$108,$A105,1),1))</f>
        <v/>
      </c>
      <c r="N105" s="18"/>
      <c r="P105" s="19"/>
      <c r="Q105" s="19"/>
      <c r="S105" s="291" t="str">
        <f>IF(INDEX(設定!$F$9:$F$108,$A105,1)="","",VALUE(LEFT(INDEX(設定!$F$9:$F$108,$A105,1),1)))</f>
        <v/>
      </c>
      <c r="T105" s="202" t="str">
        <f t="shared" si="161"/>
        <v/>
      </c>
      <c r="U105" s="292" t="str">
        <f t="shared" si="162"/>
        <v/>
      </c>
      <c r="V105" s="293" t="str">
        <f t="shared" si="163"/>
        <v/>
      </c>
      <c r="W105" s="419">
        <f t="shared" si="144"/>
        <v>0</v>
      </c>
      <c r="X105" s="420" t="str">
        <f t="shared" si="145"/>
        <v/>
      </c>
      <c r="Y105" s="420">
        <f t="shared" si="146"/>
        <v>0</v>
      </c>
      <c r="Z105" s="420" t="str">
        <f t="shared" si="147"/>
        <v/>
      </c>
    </row>
    <row r="106" spans="1:26" ht="30" customHeight="1" thickBot="1" x14ac:dyDescent="0.3">
      <c r="A106" s="135">
        <v>30</v>
      </c>
      <c r="C106" s="104" t="str">
        <f>IF(INDEX(設定!$C$9:$C$108,$A106,1)="","",INDEX(設定!$C$9:$C$108,$A106,1))</f>
        <v/>
      </c>
      <c r="D106" s="150" t="str">
        <f>IF(INDEX(設定!$D$9:$D$108,$A106,1)="","",INDEX(設定!$D$9:$D$108,$A106,1))</f>
        <v/>
      </c>
      <c r="E106" s="151" t="str">
        <f>IF(INDEX(設定!$E$9:$E$108,$A106,1)="","",INDEX(設定!$E$9:$E$108,$A106,1))</f>
        <v/>
      </c>
      <c r="F106" s="152" t="str">
        <f t="shared" si="148"/>
        <v/>
      </c>
      <c r="G106" s="415" t="str">
        <f>IF(INDEX(設定!L$9:L$108,$A106,1)=0,"",ROUND(INDEX(設定!L$9:L$108,$A106,1),1))</f>
        <v/>
      </c>
      <c r="H106" s="415" t="str">
        <f>IF(INDEX(設定!M$9:M$108,$A106,1)=0,"",ROUND(INDEX(設定!M$9:M$108,$A106,1),1))</f>
        <v/>
      </c>
      <c r="I106" s="415" t="str">
        <f>IF(INDEX(設定!N$9:N$108,$A106,1)=0,"",ROUND(INDEX(設定!N$9:N$108,$A106,1),1))</f>
        <v/>
      </c>
      <c r="J106" s="415" t="str">
        <f>IF(INDEX(設定!O$9:O$108,$A106,1)=0,"",ROUND(INDEX(設定!O$9:O$108,$A106,1),1))</f>
        <v/>
      </c>
      <c r="K106" s="415" t="str">
        <f>IF(INDEX(設定!P$9:P$108,$A106,1)=0,"",ROUND(INDEX(設定!P$9:P$108,$A106,1),1))</f>
        <v/>
      </c>
      <c r="L106" s="415" t="str">
        <f>IF(INDEX(設定!Q$9:Q$108,$A106,1)=0,"",ROUND(INDEX(設定!Q$9:Q$108,$A106,1),1))</f>
        <v/>
      </c>
      <c r="M106" s="416" t="str">
        <f>IF(INDEX(設定!R$9:R$108,$A106,1)=0,"",ROUND(INDEX(設定!R$9:R$108,$A106,1),1))</f>
        <v/>
      </c>
      <c r="N106" s="18"/>
      <c r="P106" s="19"/>
      <c r="Q106" s="19"/>
      <c r="S106" s="296" t="str">
        <f>IF(INDEX(設定!$F$9:$F$108,$A106,1)="","",VALUE(LEFT(INDEX(設定!$F$9:$F$108,$A106,1),1)))</f>
        <v/>
      </c>
      <c r="T106" s="187" t="str">
        <f t="shared" si="161"/>
        <v/>
      </c>
      <c r="U106" s="294" t="str">
        <f t="shared" si="162"/>
        <v/>
      </c>
      <c r="V106" s="297" t="str">
        <f t="shared" si="163"/>
        <v/>
      </c>
      <c r="W106" s="419">
        <f t="shared" si="144"/>
        <v>0</v>
      </c>
      <c r="X106" s="420" t="str">
        <f t="shared" si="145"/>
        <v/>
      </c>
      <c r="Y106" s="420">
        <f t="shared" si="146"/>
        <v>0</v>
      </c>
      <c r="Z106" s="420" t="str">
        <f t="shared" si="147"/>
        <v/>
      </c>
    </row>
    <row r="107" spans="1:26" ht="30" customHeight="1" x14ac:dyDescent="0.2">
      <c r="P107" s="19"/>
      <c r="Q107" s="19"/>
      <c r="T107" s="221"/>
      <c r="U107" s="221"/>
      <c r="V107" s="221"/>
      <c r="W107" s="221"/>
      <c r="X107" s="221"/>
      <c r="Y107" s="221"/>
    </row>
    <row r="108" spans="1:26" ht="30" customHeight="1" x14ac:dyDescent="0.2">
      <c r="C108"/>
      <c r="D108"/>
      <c r="E108"/>
      <c r="F108"/>
      <c r="G108" s="298"/>
      <c r="H108" s="298"/>
      <c r="I108" s="298"/>
      <c r="J108" s="298"/>
      <c r="K108" s="298"/>
      <c r="L108" s="298"/>
      <c r="M108" s="298"/>
      <c r="N108" s="298"/>
      <c r="O108" s="221"/>
      <c r="T108" s="221"/>
      <c r="U108" s="221"/>
      <c r="V108" s="221"/>
      <c r="W108" s="221"/>
      <c r="X108" s="221"/>
      <c r="Y108" s="221"/>
    </row>
    <row r="109" spans="1:26" ht="30" customHeight="1" thickBot="1" x14ac:dyDescent="0.25">
      <c r="C109" s="299" t="s">
        <v>140</v>
      </c>
      <c r="D109" s="298"/>
      <c r="E109" s="298"/>
      <c r="F109" s="298"/>
      <c r="G109" s="298"/>
      <c r="H109" s="298"/>
      <c r="I109" s="298"/>
      <c r="J109" s="298"/>
      <c r="K109" s="298"/>
      <c r="L109" s="298"/>
      <c r="M109" s="300"/>
      <c r="N109" s="298"/>
      <c r="O109" s="221"/>
      <c r="S109" s="221" t="s">
        <v>141</v>
      </c>
      <c r="T109" s="221"/>
      <c r="U109" s="221"/>
      <c r="V109" s="221"/>
      <c r="W109" s="221"/>
      <c r="X109" s="221"/>
      <c r="Y109" s="221"/>
    </row>
    <row r="110" spans="1:26" ht="30" customHeight="1" x14ac:dyDescent="0.2">
      <c r="C110" s="497" t="s">
        <v>142</v>
      </c>
      <c r="D110" s="499" t="s">
        <v>143</v>
      </c>
      <c r="E110" s="501" t="s">
        <v>144</v>
      </c>
      <c r="F110" s="502"/>
      <c r="G110" s="301"/>
      <c r="H110" s="221"/>
      <c r="I110" s="221"/>
      <c r="J110" s="298"/>
      <c r="K110" s="298"/>
      <c r="L110" s="298"/>
      <c r="M110" s="298"/>
      <c r="N110" s="298"/>
      <c r="O110" s="221"/>
      <c r="S110" s="503" t="s">
        <v>142</v>
      </c>
      <c r="T110" s="505" t="s">
        <v>145</v>
      </c>
      <c r="U110" s="506"/>
      <c r="V110"/>
      <c r="W110"/>
      <c r="X110" s="221"/>
      <c r="Y110" s="221"/>
    </row>
    <row r="111" spans="1:26" ht="30" customHeight="1" thickBot="1" x14ac:dyDescent="0.25">
      <c r="C111" s="498"/>
      <c r="D111" s="500"/>
      <c r="E111" s="302" t="s">
        <v>146</v>
      </c>
      <c r="F111" s="303" t="s">
        <v>147</v>
      </c>
      <c r="G111" s="304"/>
      <c r="H111" s="221"/>
      <c r="I111" s="221"/>
      <c r="J111" s="298"/>
      <c r="K111" s="298"/>
      <c r="L111" s="298"/>
      <c r="M111" s="298"/>
      <c r="N111" s="298"/>
      <c r="O111" s="221"/>
      <c r="S111" s="504"/>
      <c r="T111" s="305" t="s">
        <v>148</v>
      </c>
      <c r="U111" s="306" t="s">
        <v>147</v>
      </c>
      <c r="V111"/>
      <c r="W111"/>
      <c r="X111" s="221"/>
      <c r="Y111" s="221"/>
    </row>
    <row r="112" spans="1:26" ht="30" customHeight="1" thickTop="1" x14ac:dyDescent="0.2">
      <c r="C112" s="307" t="s">
        <v>123</v>
      </c>
      <c r="D112" s="308"/>
      <c r="E112" s="309"/>
      <c r="F112" s="310"/>
      <c r="G112" s="311"/>
      <c r="H112" s="221"/>
      <c r="I112" s="221"/>
      <c r="J112" s="298"/>
      <c r="K112" s="298"/>
      <c r="L112" s="298"/>
      <c r="M112" s="298"/>
      <c r="N112" s="298"/>
      <c r="O112" s="221"/>
      <c r="S112" s="312" t="s">
        <v>123</v>
      </c>
      <c r="T112" s="313" t="str">
        <f>IF(E112="","",ROUND(D112*E112%,0))</f>
        <v/>
      </c>
      <c r="U112" s="314" t="str">
        <f>IF(F112="","",ROUND(D112*(F112%),0))</f>
        <v/>
      </c>
      <c r="V112"/>
      <c r="W112"/>
      <c r="X112" s="221"/>
      <c r="Y112" s="221"/>
    </row>
    <row r="113" spans="3:25" ht="30" customHeight="1" thickBot="1" x14ac:dyDescent="0.25">
      <c r="C113" s="315" t="s">
        <v>124</v>
      </c>
      <c r="D113" s="316"/>
      <c r="E113" s="317"/>
      <c r="F113" s="318"/>
      <c r="G113" s="311"/>
      <c r="H113" s="221"/>
      <c r="I113" s="221"/>
      <c r="J113" s="298"/>
      <c r="K113" s="298"/>
      <c r="L113" s="298"/>
      <c r="M113" s="298"/>
      <c r="N113" s="298"/>
      <c r="O113" s="221"/>
      <c r="S113" s="319" t="s">
        <v>124</v>
      </c>
      <c r="T113" s="320" t="str">
        <f>IF(E113="","",ROUND(D113*E113%,0))</f>
        <v/>
      </c>
      <c r="U113" s="321" t="str">
        <f>IF(F113="","",ROUND(D113*(F113%),0))</f>
        <v/>
      </c>
      <c r="V113"/>
      <c r="W113"/>
      <c r="X113" s="221"/>
      <c r="Y113" s="221"/>
    </row>
  </sheetData>
  <sheetProtection formatCells="0" formatColumns="0" formatRows="0" insertColumns="0" insertRows="0" insertHyperlinks="0" deleteColumns="0" deleteRows="0" selectLockedCells="1" sort="0"/>
  <mergeCells count="94">
    <mergeCell ref="I8:J10"/>
    <mergeCell ref="K8:L10"/>
    <mergeCell ref="M8:N10"/>
    <mergeCell ref="S8:S10"/>
    <mergeCell ref="C8:C10"/>
    <mergeCell ref="D8:D10"/>
    <mergeCell ref="E8:E10"/>
    <mergeCell ref="F8:F10"/>
    <mergeCell ref="G8:H10"/>
    <mergeCell ref="T8:T10"/>
    <mergeCell ref="U8:U10"/>
    <mergeCell ref="V8:V10"/>
    <mergeCell ref="W8:W10"/>
    <mergeCell ref="X8:X10"/>
    <mergeCell ref="Y8:Y10"/>
    <mergeCell ref="Z8:Z10"/>
    <mergeCell ref="AC8:AE10"/>
    <mergeCell ref="AF8:AK8"/>
    <mergeCell ref="AL8:AS8"/>
    <mergeCell ref="BC9:BD9"/>
    <mergeCell ref="BE9:BF9"/>
    <mergeCell ref="AC11:AE11"/>
    <mergeCell ref="AV11:AX11"/>
    <mergeCell ref="AD12:AE12"/>
    <mergeCell ref="AW12:AX12"/>
    <mergeCell ref="AV8:AX10"/>
    <mergeCell ref="AY8:AZ9"/>
    <mergeCell ref="BA8:BB9"/>
    <mergeCell ref="AF9:AG9"/>
    <mergeCell ref="AH9:AI9"/>
    <mergeCell ref="AJ9:AK9"/>
    <mergeCell ref="AL9:AM9"/>
    <mergeCell ref="AN9:AO9"/>
    <mergeCell ref="AP9:AQ9"/>
    <mergeCell ref="AR9:AS9"/>
    <mergeCell ref="AD13:AE13"/>
    <mergeCell ref="AW13:AX13"/>
    <mergeCell ref="AD14:AE14"/>
    <mergeCell ref="AW14:AX14"/>
    <mergeCell ref="AD15:AE15"/>
    <mergeCell ref="AW15:AX15"/>
    <mergeCell ref="AD16:AE16"/>
    <mergeCell ref="AD21:AE21"/>
    <mergeCell ref="AW21:AX21"/>
    <mergeCell ref="AD26:AE26"/>
    <mergeCell ref="AW26:AX26"/>
    <mergeCell ref="AD31:AE31"/>
    <mergeCell ref="AD36:AE36"/>
    <mergeCell ref="AW36:AX36"/>
    <mergeCell ref="AC41:AE41"/>
    <mergeCell ref="AV41:AX41"/>
    <mergeCell ref="AD42:AE42"/>
    <mergeCell ref="AW42:AX42"/>
    <mergeCell ref="AD43:AE43"/>
    <mergeCell ref="AW43:AX43"/>
    <mergeCell ref="AD44:AE44"/>
    <mergeCell ref="AW44:AX44"/>
    <mergeCell ref="AD45:AE45"/>
    <mergeCell ref="AW45:AX45"/>
    <mergeCell ref="AD46:AE46"/>
    <mergeCell ref="AW46:AX46"/>
    <mergeCell ref="AD51:AE51"/>
    <mergeCell ref="AW51:AX51"/>
    <mergeCell ref="AC56:AE56"/>
    <mergeCell ref="AD57:AE57"/>
    <mergeCell ref="AD58:AE58"/>
    <mergeCell ref="AD59:AE59"/>
    <mergeCell ref="AD60:AE60"/>
    <mergeCell ref="S110:S111"/>
    <mergeCell ref="T110:U110"/>
    <mergeCell ref="F75:F76"/>
    <mergeCell ref="G75:G76"/>
    <mergeCell ref="AC61:AE61"/>
    <mergeCell ref="S74:S76"/>
    <mergeCell ref="T74:T76"/>
    <mergeCell ref="U74:U76"/>
    <mergeCell ref="V74:V76"/>
    <mergeCell ref="W74:W76"/>
    <mergeCell ref="X74:Y74"/>
    <mergeCell ref="M75:M76"/>
    <mergeCell ref="X75:X76"/>
    <mergeCell ref="Y75:Y76"/>
    <mergeCell ref="H75:H76"/>
    <mergeCell ref="I75:I76"/>
    <mergeCell ref="C110:C111"/>
    <mergeCell ref="D110:D111"/>
    <mergeCell ref="E110:F110"/>
    <mergeCell ref="J75:J76"/>
    <mergeCell ref="K75:K76"/>
    <mergeCell ref="Z74:Z76"/>
    <mergeCell ref="L75:L76"/>
    <mergeCell ref="C75:C76"/>
    <mergeCell ref="D75:D76"/>
    <mergeCell ref="E75:E76"/>
  </mergeCells>
  <phoneticPr fontId="2"/>
  <conditionalFormatting sqref="D11:D12">
    <cfRule type="expression" dxfId="86" priority="81">
      <formula>AND(C11&lt;&gt;"",D11="")</formula>
    </cfRule>
  </conditionalFormatting>
  <conditionalFormatting sqref="F11:F12">
    <cfRule type="expression" dxfId="85" priority="80">
      <formula>AND(C11&lt;&gt;"",C11&lt;&gt;"手伝い・共同作業受け",C11&lt;&gt;"ゆい・手間替え受け",C11&lt;&gt;"同居人",F11="")</formula>
    </cfRule>
  </conditionalFormatting>
  <conditionalFormatting sqref="E11">
    <cfRule type="expression" dxfId="84" priority="82">
      <formula>AND(OR(F11="1：家族",C11="同居人"),E11="")</formula>
    </cfRule>
  </conditionalFormatting>
  <conditionalFormatting sqref="D25:D26">
    <cfRule type="expression" dxfId="83" priority="51">
      <formula>AND(C25&lt;&gt;"",D25="")</formula>
    </cfRule>
  </conditionalFormatting>
  <conditionalFormatting sqref="F25:F26">
    <cfRule type="expression" dxfId="82" priority="50">
      <formula>AND(C25&lt;&gt;"",C25&lt;&gt;"手伝い・共同作業受け",C25&lt;&gt;"ゆい・手間替え受け",C25&lt;&gt;"同居人",F25="")</formula>
    </cfRule>
  </conditionalFormatting>
  <conditionalFormatting sqref="D15:D24">
    <cfRule type="expression" dxfId="81" priority="54">
      <formula>AND(C15&lt;&gt;"",D15="")</formula>
    </cfRule>
  </conditionalFormatting>
  <conditionalFormatting sqref="D27:D36">
    <cfRule type="expression" dxfId="80" priority="48">
      <formula>AND(C27&lt;&gt;"",D27="")</formula>
    </cfRule>
  </conditionalFormatting>
  <conditionalFormatting sqref="F27:F36">
    <cfRule type="expression" dxfId="79" priority="47">
      <formula>AND(C27&lt;&gt;"",C27&lt;&gt;"手伝い・共同作業受け",C27&lt;&gt;"ゆい・手間替え受け",C27&lt;&gt;"同居人",F27="")</formula>
    </cfRule>
  </conditionalFormatting>
  <conditionalFormatting sqref="D13:D14">
    <cfRule type="expression" dxfId="78" priority="57">
      <formula>AND(C13&lt;&gt;"",D13="")</formula>
    </cfRule>
  </conditionalFormatting>
  <conditionalFormatting sqref="F13:F14">
    <cfRule type="expression" dxfId="77" priority="56">
      <formula>AND(C13&lt;&gt;"",C13&lt;&gt;"手伝い・共同作業受け",C13&lt;&gt;"ゆい・手間替え受け",C13&lt;&gt;"同居人",F13="")</formula>
    </cfRule>
  </conditionalFormatting>
  <conditionalFormatting sqref="F15:F24">
    <cfRule type="expression" dxfId="76" priority="53">
      <formula>AND(C15&lt;&gt;"",C15&lt;&gt;"手伝い・共同作業受け",C15&lt;&gt;"ゆい・手間替え受け",C15&lt;&gt;"同居人",F15="")</formula>
    </cfRule>
  </conditionalFormatting>
  <conditionalFormatting sqref="D39:D48">
    <cfRule type="expression" dxfId="75" priority="39">
      <formula>AND(C39&lt;&gt;"",D39="")</formula>
    </cfRule>
  </conditionalFormatting>
  <conditionalFormatting sqref="F39:F48">
    <cfRule type="expression" dxfId="74" priority="38">
      <formula>AND(C39&lt;&gt;"",C39&lt;&gt;"手伝い・共同作業受け",C39&lt;&gt;"ゆい・手間替え受け",C39&lt;&gt;"同居人",F39="")</formula>
    </cfRule>
  </conditionalFormatting>
  <conditionalFormatting sqref="D37:D38">
    <cfRule type="expression" dxfId="73" priority="42">
      <formula>AND(C37&lt;&gt;"",D37="")</formula>
    </cfRule>
  </conditionalFormatting>
  <conditionalFormatting sqref="F37:F38">
    <cfRule type="expression" dxfId="72" priority="41">
      <formula>AND(C37&lt;&gt;"",C37&lt;&gt;"手伝い・共同作業受け",C37&lt;&gt;"ゆい・手間替え受け",C37&lt;&gt;"同居人",F37="")</formula>
    </cfRule>
  </conditionalFormatting>
  <conditionalFormatting sqref="D49:D50">
    <cfRule type="expression" dxfId="71" priority="36">
      <formula>AND(C49&lt;&gt;"",D49="")</formula>
    </cfRule>
  </conditionalFormatting>
  <conditionalFormatting sqref="F49:F50">
    <cfRule type="expression" dxfId="70" priority="35">
      <formula>AND(C49&lt;&gt;"",C49&lt;&gt;"手伝い・共同作業受け",C49&lt;&gt;"ゆい・手間替え受け",C49&lt;&gt;"同居人",F49="")</formula>
    </cfRule>
  </conditionalFormatting>
  <conditionalFormatting sqref="D51:D60">
    <cfRule type="expression" dxfId="69" priority="33">
      <formula>AND(C51&lt;&gt;"",D51="")</formula>
    </cfRule>
  </conditionalFormatting>
  <conditionalFormatting sqref="F51:F60">
    <cfRule type="expression" dxfId="68" priority="32">
      <formula>AND(C51&lt;&gt;"",C51&lt;&gt;"手伝い・共同作業受け",C51&lt;&gt;"ゆい・手間替え受け",C51&lt;&gt;"同居人",F51="")</formula>
    </cfRule>
  </conditionalFormatting>
  <conditionalFormatting sqref="E59 E57 E55">
    <cfRule type="expression" dxfId="67" priority="34">
      <formula>AND(OR(F55="1：家族",C55="同居人"),E55="")</formula>
    </cfRule>
  </conditionalFormatting>
  <conditionalFormatting sqref="D61:D68">
    <cfRule type="expression" dxfId="66" priority="30">
      <formula>AND(C61&lt;&gt;"",D61="")</formula>
    </cfRule>
  </conditionalFormatting>
  <conditionalFormatting sqref="F61:F68">
    <cfRule type="expression" dxfId="65" priority="29">
      <formula>AND(C61&lt;&gt;"",C61&lt;&gt;"手伝い・共同作業受け",C61&lt;&gt;"ゆい・手間替え受け",C61&lt;&gt;"同居人",F61="")</formula>
    </cfRule>
  </conditionalFormatting>
  <conditionalFormatting sqref="E61 E67 E65 E63">
    <cfRule type="expression" dxfId="64" priority="31">
      <formula>AND(OR(F61="1：家族",C61="同居人"),E61="")</formula>
    </cfRule>
  </conditionalFormatting>
  <conditionalFormatting sqref="D69:D70">
    <cfRule type="expression" dxfId="63" priority="27">
      <formula>AND(C69&lt;&gt;"",D69="")</formula>
    </cfRule>
  </conditionalFormatting>
  <conditionalFormatting sqref="F69:F70">
    <cfRule type="expression" dxfId="62" priority="26">
      <formula>AND(C69&lt;&gt;"",C69&lt;&gt;"手伝い・共同作業受け",C69&lt;&gt;"ゆい・手間替え受け",C69&lt;&gt;"同居人",F69="")</formula>
    </cfRule>
  </conditionalFormatting>
  <conditionalFormatting sqref="E69">
    <cfRule type="expression" dxfId="61" priority="28">
      <formula>AND(OR(F69="1：家族",C69="同居人"),E69="")</formula>
    </cfRule>
  </conditionalFormatting>
  <conditionalFormatting sqref="C2">
    <cfRule type="containsText" dxfId="60" priority="13" operator="containsText" text="※">
      <formula>NOT(ISERROR(SEARCH("※",C2)))</formula>
    </cfRule>
  </conditionalFormatting>
  <conditionalFormatting sqref="D77:D78 D103:D106">
    <cfRule type="expression" dxfId="59" priority="11">
      <formula>AND(C77&lt;&gt;"",D77="")</formula>
    </cfRule>
  </conditionalFormatting>
  <conditionalFormatting sqref="F77:F78 F103:F106">
    <cfRule type="expression" dxfId="58" priority="10">
      <formula>AND(C77&lt;&gt;"",C77&lt;&gt;"手伝い・共同作業受け",C77&lt;&gt;"ゆい・手間替え受け",C77&lt;&gt;"同居人",F77="")</formula>
    </cfRule>
  </conditionalFormatting>
  <conditionalFormatting sqref="E77:E78 E103:E106">
    <cfRule type="expression" dxfId="57" priority="12">
      <formula>AND(OR(F77="1：家族",C77="同居人"),E77="")</formula>
    </cfRule>
  </conditionalFormatting>
  <conditionalFormatting sqref="D79:D93">
    <cfRule type="expression" dxfId="56" priority="8">
      <formula>AND(C79&lt;&gt;"",D79="")</formula>
    </cfRule>
  </conditionalFormatting>
  <conditionalFormatting sqref="F79:F93">
    <cfRule type="expression" dxfId="55" priority="7">
      <formula>AND(C79&lt;&gt;"",C79&lt;&gt;"手伝い・共同作業受け",C79&lt;&gt;"ゆい・手間替え受け",C79&lt;&gt;"同居人",F79="")</formula>
    </cfRule>
  </conditionalFormatting>
  <conditionalFormatting sqref="E79:E93">
    <cfRule type="expression" dxfId="54" priority="9">
      <formula>AND(OR(F79="1：家族",C79="同居人"),E79="")</formula>
    </cfRule>
  </conditionalFormatting>
  <conditionalFormatting sqref="D94:D98">
    <cfRule type="expression" dxfId="53" priority="5">
      <formula>AND(C94&lt;&gt;"",D94="")</formula>
    </cfRule>
  </conditionalFormatting>
  <conditionalFormatting sqref="F94:F98">
    <cfRule type="expression" dxfId="52" priority="4">
      <formula>AND(C94&lt;&gt;"",C94&lt;&gt;"手伝い・共同作業受け",C94&lt;&gt;"ゆい・手間替え受け",C94&lt;&gt;"同居人",F94="")</formula>
    </cfRule>
  </conditionalFormatting>
  <conditionalFormatting sqref="E94:E98">
    <cfRule type="expression" dxfId="51" priority="6">
      <formula>AND(OR(F94="1：家族",C94="同居人"),E94="")</formula>
    </cfRule>
  </conditionalFormatting>
  <conditionalFormatting sqref="D99:D102">
    <cfRule type="expression" dxfId="50" priority="2">
      <formula>AND(C99&lt;&gt;"",D99="")</formula>
    </cfRule>
  </conditionalFormatting>
  <conditionalFormatting sqref="F99:F102">
    <cfRule type="expression" dxfId="49" priority="1">
      <formula>AND(C99&lt;&gt;"",C99&lt;&gt;"手伝い・共同作業受け",C99&lt;&gt;"ゆい・手間替え受け",C99&lt;&gt;"同居人",F99="")</formula>
    </cfRule>
  </conditionalFormatting>
  <conditionalFormatting sqref="E99:E102">
    <cfRule type="expression" dxfId="48" priority="3">
      <formula>AND(OR(F99="1：家族",C99="同居人"),E99="")</formula>
    </cfRule>
  </conditionalFormatting>
  <dataValidations count="2">
    <dataValidation type="whole" allowBlank="1" showInputMessage="1" showErrorMessage="1" error="0～100の値を入力してください。" sqref="E112:F113" xr:uid="{3DEBD1B3-55C6-432C-BD28-6C6BCCA33F69}">
      <formula1>0</formula1>
      <formula2>100</formula2>
    </dataValidation>
    <dataValidation type="whole" operator="greaterThan" allowBlank="1" showInputMessage="1" showErrorMessage="1" error="整数を入力してください。" sqref="D112:D113 T4" xr:uid="{D8695DC3-4ECD-4D8F-8936-9CEABA4FDC2E}">
      <formula1>0</formula1>
    </dataValidation>
  </dataValidations>
  <pageMargins left="0.59055118110236227" right="0.59055118110236227" top="0.59055118110236227" bottom="0.59055118110236227" header="0" footer="0.19685039370078741"/>
  <pageSetup paperSize="9" scale="21" fitToHeight="0" orientation="landscape" cellComments="asDisplayed" r:id="rId1"/>
  <colBreaks count="1" manualBreakCount="1">
    <brk id="27" max="1048575" man="1"/>
  </colBreaks>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459F7-5267-414C-A818-7B021F9DDDFF}">
  <sheetPr transitionEvaluation="1" codeName="Sheet5">
    <pageSetUpPr fitToPage="1"/>
  </sheetPr>
  <dimension ref="A1:BF113"/>
  <sheetViews>
    <sheetView showGridLines="0" view="pageBreakPreview" zoomScale="70" zoomScaleNormal="40" zoomScaleSheetLayoutView="70" workbookViewId="0"/>
  </sheetViews>
  <sheetFormatPr defaultColWidth="2.77734375" defaultRowHeight="14.25" customHeight="1" x14ac:dyDescent="0.2"/>
  <cols>
    <col min="1" max="1" width="3.44140625" style="135" bestFit="1" customWidth="1"/>
    <col min="2" max="2" width="2.77734375" style="25" customWidth="1"/>
    <col min="3" max="3" width="19.21875" style="25" customWidth="1"/>
    <col min="4" max="4" width="19" style="25" customWidth="1"/>
    <col min="5" max="12" width="11.21875" style="25" customWidth="1"/>
    <col min="13" max="13" width="13.44140625" style="25" customWidth="1"/>
    <col min="14" max="14" width="2.77734375" style="25" hidden="1" customWidth="1"/>
    <col min="15" max="17" width="0" style="25" hidden="1" customWidth="1"/>
    <col min="18" max="18" width="2.77734375" style="25"/>
    <col min="19" max="19" width="17.6640625" style="25" customWidth="1"/>
    <col min="20" max="20" width="19.33203125" style="25" customWidth="1"/>
    <col min="21" max="22" width="17.44140625" style="25" customWidth="1"/>
    <col min="23" max="26" width="12.44140625" style="25" customWidth="1"/>
    <col min="27" max="28" width="2.77734375" style="25" customWidth="1"/>
    <col min="29" max="30" width="2.77734375" style="94" customWidth="1"/>
    <col min="31" max="45" width="13.6640625" style="94" customWidth="1"/>
    <col min="46" max="49" width="2.77734375" style="25" customWidth="1"/>
    <col min="50" max="54" width="13.6640625" style="25" customWidth="1"/>
    <col min="55" max="58" width="13.6640625" style="94" customWidth="1"/>
    <col min="59" max="16384" width="2.77734375" style="25"/>
  </cols>
  <sheetData>
    <row r="1" spans="1:58" ht="18" customHeight="1" x14ac:dyDescent="0.2">
      <c r="C1" s="163"/>
      <c r="D1" s="68"/>
      <c r="E1" s="68"/>
      <c r="F1" s="68"/>
      <c r="G1" s="68"/>
      <c r="H1" s="68"/>
      <c r="I1" s="68"/>
      <c r="J1" s="68"/>
      <c r="K1" s="68"/>
      <c r="L1" s="68"/>
      <c r="M1" s="68"/>
      <c r="N1" s="68"/>
      <c r="O1" s="68"/>
      <c r="P1" s="19"/>
      <c r="Q1" s="19"/>
      <c r="R1" s="69"/>
    </row>
    <row r="2" spans="1:58" ht="30" customHeight="1" x14ac:dyDescent="0.25">
      <c r="B2" s="376" t="s">
        <v>153</v>
      </c>
      <c r="C2" s="160"/>
      <c r="D2" s="68"/>
      <c r="E2" s="68"/>
      <c r="F2" s="68"/>
      <c r="G2" s="68"/>
      <c r="H2" s="68"/>
      <c r="I2" s="68"/>
      <c r="J2" s="68"/>
      <c r="K2" s="68"/>
      <c r="L2" s="68"/>
      <c r="M2" s="68"/>
      <c r="N2" s="68"/>
      <c r="O2" s="68"/>
      <c r="P2" s="19"/>
      <c r="Q2" s="19"/>
      <c r="S2" s="70"/>
    </row>
    <row r="3" spans="1:58" ht="12.75" customHeight="1" thickBot="1" x14ac:dyDescent="0.25">
      <c r="B3" s="68"/>
      <c r="C3" s="68"/>
      <c r="D3" s="68"/>
      <c r="E3" s="68"/>
      <c r="F3" s="68"/>
      <c r="G3" s="68"/>
      <c r="H3" s="19"/>
      <c r="I3" s="19"/>
      <c r="J3" s="20"/>
      <c r="K3" s="19"/>
      <c r="L3" s="26"/>
      <c r="M3" s="20"/>
      <c r="N3" s="19"/>
      <c r="P3" s="19"/>
      <c r="Q3" s="19"/>
      <c r="AC3" s="144"/>
      <c r="AV3" s="70"/>
    </row>
    <row r="4" spans="1:58" ht="25.2" customHeight="1" thickTop="1" thickBot="1" x14ac:dyDescent="0.3">
      <c r="B4" s="68"/>
      <c r="C4" s="159"/>
      <c r="D4" s="68"/>
      <c r="E4" s="68"/>
      <c r="F4" s="68"/>
      <c r="G4" s="68"/>
      <c r="H4" s="19"/>
      <c r="I4" s="19"/>
      <c r="J4" s="20"/>
      <c r="K4" s="19"/>
      <c r="L4" s="26"/>
      <c r="M4" s="20"/>
      <c r="N4" s="19"/>
      <c r="P4" s="19"/>
      <c r="Q4" s="19"/>
      <c r="S4" s="374" t="s">
        <v>152</v>
      </c>
      <c r="T4" s="375"/>
      <c r="AC4" s="144"/>
      <c r="AV4" s="70"/>
    </row>
    <row r="5" spans="1:58" ht="25.2" hidden="1" customHeight="1" thickTop="1" x14ac:dyDescent="0.25">
      <c r="B5" s="27"/>
      <c r="C5" s="159"/>
      <c r="D5" s="20"/>
      <c r="E5" s="20"/>
      <c r="F5" s="20"/>
      <c r="G5" s="19"/>
      <c r="H5" s="19"/>
      <c r="I5" s="19"/>
      <c r="J5" s="20"/>
      <c r="K5" s="19"/>
      <c r="L5" s="26"/>
      <c r="M5" s="20"/>
      <c r="N5" s="19"/>
      <c r="P5" s="19"/>
      <c r="Q5" s="19"/>
    </row>
    <row r="6" spans="1:58" ht="14.4" hidden="1" x14ac:dyDescent="0.2">
      <c r="B6" s="27"/>
      <c r="C6" s="28"/>
      <c r="D6" s="20"/>
      <c r="E6" s="20"/>
      <c r="F6" s="20"/>
      <c r="G6" s="19"/>
      <c r="H6" s="19"/>
      <c r="I6" s="19"/>
      <c r="J6" s="20"/>
      <c r="K6" s="19"/>
      <c r="L6" s="26"/>
      <c r="M6" s="20"/>
      <c r="N6" s="19"/>
      <c r="P6" s="19"/>
      <c r="Q6" s="19"/>
      <c r="S6" s="72"/>
    </row>
    <row r="7" spans="1:58" ht="15.6" thickTop="1" thickBot="1" x14ac:dyDescent="0.25">
      <c r="B7" s="19"/>
      <c r="C7" s="19"/>
      <c r="D7" s="19"/>
      <c r="E7" s="19"/>
      <c r="F7" s="19"/>
      <c r="G7" s="19"/>
      <c r="H7" s="19"/>
      <c r="I7" s="19"/>
      <c r="J7" s="19"/>
      <c r="K7" s="19"/>
      <c r="L7" s="19"/>
      <c r="M7" s="19"/>
      <c r="N7" s="19"/>
      <c r="P7" s="19"/>
      <c r="Q7" s="19"/>
      <c r="AT7" s="18"/>
      <c r="AU7" s="18"/>
    </row>
    <row r="8" spans="1:58" ht="23.25" customHeight="1" x14ac:dyDescent="0.2">
      <c r="B8" s="19"/>
      <c r="C8" s="584" t="s">
        <v>6</v>
      </c>
      <c r="D8" s="587" t="s">
        <v>7</v>
      </c>
      <c r="E8" s="495" t="s">
        <v>8</v>
      </c>
      <c r="F8" s="591" t="s">
        <v>9</v>
      </c>
      <c r="G8" s="572" t="s">
        <v>10</v>
      </c>
      <c r="H8" s="573"/>
      <c r="I8" s="572" t="s">
        <v>11</v>
      </c>
      <c r="J8" s="573"/>
      <c r="K8" s="572" t="s">
        <v>13</v>
      </c>
      <c r="L8" s="578"/>
      <c r="M8" s="594"/>
      <c r="N8" s="594"/>
      <c r="P8" s="19"/>
      <c r="Q8" s="19"/>
      <c r="S8" s="581" t="s">
        <v>36</v>
      </c>
      <c r="T8" s="516" t="s">
        <v>6</v>
      </c>
      <c r="U8" s="528" t="s">
        <v>111</v>
      </c>
      <c r="V8" s="516" t="s">
        <v>8</v>
      </c>
      <c r="W8" s="522" t="s">
        <v>112</v>
      </c>
      <c r="X8" s="486" t="s">
        <v>11</v>
      </c>
      <c r="Y8" s="486" t="s">
        <v>150</v>
      </c>
      <c r="Z8" s="169"/>
      <c r="AA8" s="170"/>
      <c r="AB8" s="170"/>
      <c r="AC8" s="557"/>
      <c r="AD8" s="558"/>
      <c r="AE8" s="522"/>
      <c r="AF8" s="553" t="s">
        <v>114</v>
      </c>
      <c r="AG8" s="570"/>
      <c r="AH8" s="570"/>
      <c r="AI8" s="570"/>
      <c r="AJ8" s="570"/>
      <c r="AK8" s="554"/>
      <c r="AL8" s="553" t="s">
        <v>115</v>
      </c>
      <c r="AM8" s="570"/>
      <c r="AN8" s="570"/>
      <c r="AO8" s="570"/>
      <c r="AP8" s="570"/>
      <c r="AQ8" s="570"/>
      <c r="AR8" s="570"/>
      <c r="AS8" s="554"/>
      <c r="AT8"/>
      <c r="AU8"/>
      <c r="AV8" s="557"/>
      <c r="AW8" s="558"/>
      <c r="AX8" s="522"/>
      <c r="AY8" s="563" t="s">
        <v>114</v>
      </c>
      <c r="AZ8" s="564"/>
      <c r="BA8" s="567" t="s">
        <v>115</v>
      </c>
      <c r="BB8" s="567"/>
      <c r="BC8" s="172"/>
      <c r="BD8" s="172"/>
      <c r="BE8" s="172"/>
      <c r="BF8" s="173"/>
    </row>
    <row r="9" spans="1:58" ht="23.25" customHeight="1" x14ac:dyDescent="0.2">
      <c r="B9" s="19"/>
      <c r="C9" s="585"/>
      <c r="D9" s="588"/>
      <c r="E9" s="496"/>
      <c r="F9" s="592"/>
      <c r="G9" s="574"/>
      <c r="H9" s="575"/>
      <c r="I9" s="574"/>
      <c r="J9" s="575"/>
      <c r="K9" s="574"/>
      <c r="L9" s="579"/>
      <c r="M9" s="594"/>
      <c r="N9" s="594"/>
      <c r="P9" s="19"/>
      <c r="Q9" s="19"/>
      <c r="S9" s="582"/>
      <c r="T9" s="517"/>
      <c r="U9" s="571"/>
      <c r="V9" s="517"/>
      <c r="W9" s="523"/>
      <c r="X9" s="487"/>
      <c r="Y9" s="487"/>
      <c r="Z9" s="169"/>
      <c r="AA9" s="170"/>
      <c r="AB9" s="170"/>
      <c r="AC9" s="559"/>
      <c r="AD9" s="560"/>
      <c r="AE9" s="523"/>
      <c r="AF9" s="553" t="s">
        <v>116</v>
      </c>
      <c r="AG9" s="554"/>
      <c r="AH9" s="553" t="s">
        <v>117</v>
      </c>
      <c r="AI9" s="554"/>
      <c r="AJ9" s="553" t="s">
        <v>118</v>
      </c>
      <c r="AK9" s="554"/>
      <c r="AL9" s="553" t="s">
        <v>116</v>
      </c>
      <c r="AM9" s="554"/>
      <c r="AN9" s="553" t="s">
        <v>119</v>
      </c>
      <c r="AO9" s="554"/>
      <c r="AP9" s="569" t="s">
        <v>120</v>
      </c>
      <c r="AQ9" s="554"/>
      <c r="AR9" s="569" t="s">
        <v>121</v>
      </c>
      <c r="AS9" s="554"/>
      <c r="AT9"/>
      <c r="AU9"/>
      <c r="AV9" s="559"/>
      <c r="AW9" s="560"/>
      <c r="AX9" s="523"/>
      <c r="AY9" s="565"/>
      <c r="AZ9" s="566"/>
      <c r="BA9" s="568"/>
      <c r="BB9" s="568"/>
      <c r="BC9" s="553" t="s">
        <v>119</v>
      </c>
      <c r="BD9" s="554"/>
      <c r="BE9" s="569" t="s">
        <v>122</v>
      </c>
      <c r="BF9" s="554"/>
    </row>
    <row r="10" spans="1:58" ht="23.25" customHeight="1" thickBot="1" x14ac:dyDescent="0.25">
      <c r="B10" s="19"/>
      <c r="C10" s="586"/>
      <c r="D10" s="589"/>
      <c r="E10" s="590"/>
      <c r="F10" s="593"/>
      <c r="G10" s="576"/>
      <c r="H10" s="577"/>
      <c r="I10" s="576"/>
      <c r="J10" s="577"/>
      <c r="K10" s="576"/>
      <c r="L10" s="580"/>
      <c r="M10" s="594"/>
      <c r="N10" s="594"/>
      <c r="P10" s="19"/>
      <c r="Q10" s="19"/>
      <c r="S10" s="583"/>
      <c r="T10" s="518"/>
      <c r="U10" s="529"/>
      <c r="V10" s="518"/>
      <c r="W10" s="524"/>
      <c r="X10" s="488"/>
      <c r="Y10" s="488"/>
      <c r="Z10" s="169"/>
      <c r="AA10" s="170"/>
      <c r="AB10" s="170"/>
      <c r="AC10" s="561"/>
      <c r="AD10" s="562"/>
      <c r="AE10" s="524"/>
      <c r="AF10" s="174" t="s">
        <v>123</v>
      </c>
      <c r="AG10" s="174" t="s">
        <v>124</v>
      </c>
      <c r="AH10" s="174" t="s">
        <v>123</v>
      </c>
      <c r="AI10" s="174" t="s">
        <v>124</v>
      </c>
      <c r="AJ10" s="174" t="s">
        <v>123</v>
      </c>
      <c r="AK10" s="174" t="s">
        <v>124</v>
      </c>
      <c r="AL10" s="175" t="s">
        <v>123</v>
      </c>
      <c r="AM10" s="175" t="s">
        <v>124</v>
      </c>
      <c r="AN10" s="175" t="s">
        <v>123</v>
      </c>
      <c r="AO10" s="175" t="s">
        <v>124</v>
      </c>
      <c r="AP10" s="175" t="s">
        <v>123</v>
      </c>
      <c r="AQ10" s="175" t="s">
        <v>124</v>
      </c>
      <c r="AR10" s="175" t="s">
        <v>123</v>
      </c>
      <c r="AS10" s="175" t="s">
        <v>124</v>
      </c>
      <c r="AT10"/>
      <c r="AU10"/>
      <c r="AV10" s="561"/>
      <c r="AW10" s="562"/>
      <c r="AX10" s="524"/>
      <c r="AY10" s="174" t="s">
        <v>123</v>
      </c>
      <c r="AZ10" s="174" t="s">
        <v>124</v>
      </c>
      <c r="BA10" s="171" t="s">
        <v>123</v>
      </c>
      <c r="BB10" s="174" t="s">
        <v>124</v>
      </c>
      <c r="BC10" s="175" t="s">
        <v>123</v>
      </c>
      <c r="BD10" s="175" t="s">
        <v>124</v>
      </c>
      <c r="BE10" s="175" t="s">
        <v>123</v>
      </c>
      <c r="BF10" s="175" t="s">
        <v>124</v>
      </c>
    </row>
    <row r="11" spans="1:58" ht="29.25" customHeight="1" thickTop="1" thickBot="1" x14ac:dyDescent="0.3">
      <c r="A11" s="136">
        <f>ROUND((ROW()-10)/2,0)</f>
        <v>1</v>
      </c>
      <c r="C11" s="73" t="str">
        <f>IF(INDEX(設定!$C$9:$C$108,$A11,1)="","",INDEX(設定!$C$9:$C$108,$A11,1))</f>
        <v/>
      </c>
      <c r="D11" s="74" t="str">
        <f>IF(INDEX(設定!$D$9:$D$108,$A11,1)="","",INDEX(設定!$D$9:$D$108,$A11,1))</f>
        <v/>
      </c>
      <c r="E11" s="75" t="str">
        <f>IF(INDEX(設定!$E$9:$E$108,$A11,1)="","",INDEX(設定!$E$9:$E$108,$A11,1))</f>
        <v/>
      </c>
      <c r="F11" s="76" t="str">
        <f>IF(S11="","",IF(S11=1,"1：家族",IF(AND(S11&gt;=2,S11&lt;=5),"2：雇用","")))</f>
        <v/>
      </c>
      <c r="G11" s="134">
        <f>INT(INDEX(設定!$H$9:H$108,$A11,1))</f>
        <v>0</v>
      </c>
      <c r="H11" s="77" t="str">
        <f>IF(INDEX(設定!$H$9:$H$108,$A11,1)=0,"",ROUND(MOD(INDEX(設定!$H$9:$H$108,$A11,1),1)*60,0))</f>
        <v/>
      </c>
      <c r="I11" s="134">
        <f>INT(INDEX(設定!$I$9:$I$108,$A11,1))</f>
        <v>0</v>
      </c>
      <c r="J11" s="77" t="str">
        <f>IF(INDEX(設定!$I$9:$I$108,$A11,1)=0,"",ROUND(MOD(INDEX(設定!$I$9:$I$108,$A11,1),1)*60,0))</f>
        <v/>
      </c>
      <c r="K11" s="134">
        <f>INT(INDEX(設定!$J$9:$J$108,$A11,1))</f>
        <v>0</v>
      </c>
      <c r="L11" s="78" t="str">
        <f>IF(INDEX(設定!$J$9:$J$108,$A11,1)=0,"",ROUND(MOD(INDEX(設定!$J$9:$J$108,$A11,1),1)*60,0))</f>
        <v/>
      </c>
      <c r="M11" s="154"/>
      <c r="N11" s="153"/>
      <c r="P11" s="19"/>
      <c r="Q11" s="19"/>
      <c r="S11" s="79" t="str">
        <f>IF(INDEX(設定!$F$9:$F$108,$A11,1)="","",VALUE(LEFT(INDEX(設定!$F$9:$F$108,$A11,1),1)))</f>
        <v/>
      </c>
      <c r="T11" s="177" t="str">
        <f>IF(C11="","",C11)</f>
        <v/>
      </c>
      <c r="U11" s="178" t="str">
        <f>IF(D11="","",IF(D11="1：男",1,IF(D11="2：女",2)))</f>
        <v/>
      </c>
      <c r="V11" s="179" t="str">
        <f>IF(E11="","",E11)</f>
        <v/>
      </c>
      <c r="W11" s="183" t="str">
        <f>IF(AND(G11="",H11="",G12=""),"",ROUND(SUM(G11,H11/60)*G12,1))</f>
        <v/>
      </c>
      <c r="X11" s="323" t="str">
        <f>IF(AND(I11="",J11="",I12=""),"",ROUND(SUM(I11,J11/60)*I12,1))</f>
        <v/>
      </c>
      <c r="Y11" s="324" t="str">
        <f>IF(AND(K11="",L11="",K12=""),"",ROUND(SUM(K11,L11/60)*K12,1))</f>
        <v/>
      </c>
      <c r="Z11" s="183"/>
      <c r="AA11" s="184"/>
      <c r="AB11" s="184"/>
      <c r="AC11" s="544" t="s">
        <v>125</v>
      </c>
      <c r="AD11" s="549"/>
      <c r="AE11" s="549"/>
      <c r="AF11" s="242">
        <f>SUM(AF12:AF15)</f>
        <v>0</v>
      </c>
      <c r="AG11" s="242">
        <f>SUM(AG12:AG15)</f>
        <v>0</v>
      </c>
      <c r="AH11" s="186"/>
      <c r="AI11" s="186"/>
      <c r="AJ11" s="186"/>
      <c r="AK11" s="186"/>
      <c r="AL11" s="242">
        <f>SUM(AL16,AL21,AL26)</f>
        <v>0</v>
      </c>
      <c r="AM11" s="242">
        <f>SUM(AM16,AM21,AM26)</f>
        <v>0</v>
      </c>
      <c r="AN11" s="242">
        <f>SUM(AN16,AN21,AN26)</f>
        <v>0</v>
      </c>
      <c r="AO11" s="242">
        <f>SUM(AO16,AO21,AO26)</f>
        <v>0</v>
      </c>
      <c r="AP11" s="242">
        <f>AP12</f>
        <v>0</v>
      </c>
      <c r="AQ11" s="242">
        <f>AQ12</f>
        <v>0</v>
      </c>
      <c r="AR11" s="242">
        <f>SUM(AR12:AR15)</f>
        <v>0</v>
      </c>
      <c r="AS11" s="242">
        <f>SUM(AS12:AS15)</f>
        <v>0</v>
      </c>
      <c r="AT11"/>
      <c r="AU11"/>
      <c r="AV11" s="544" t="s">
        <v>126</v>
      </c>
      <c r="AW11" s="549"/>
      <c r="AX11" s="549"/>
      <c r="AY11" s="325">
        <f>SUM(AY12:AY15)</f>
        <v>0</v>
      </c>
      <c r="AZ11" s="325">
        <f>SUM(AZ12:AZ15)</f>
        <v>0</v>
      </c>
      <c r="BA11" s="325">
        <f>ROUND(SUM(BC11,BE11),0)</f>
        <v>0</v>
      </c>
      <c r="BB11" s="325">
        <f>ROUND(SUM(BD11,BF11),0)</f>
        <v>0</v>
      </c>
      <c r="BC11" s="326">
        <f>IFERROR($T$112*($AN11/$AN$36),0)</f>
        <v>0</v>
      </c>
      <c r="BD11" s="327">
        <f>IFERROR($T$113*($AO11/$AO$36),0)</f>
        <v>0</v>
      </c>
      <c r="BE11" s="327">
        <f>SUM(BE12:BE15)</f>
        <v>0</v>
      </c>
      <c r="BF11" s="327">
        <f>SUM(BF12:BF15)</f>
        <v>0</v>
      </c>
    </row>
    <row r="12" spans="1:58" ht="29.25" customHeight="1" thickTop="1" thickBot="1" x14ac:dyDescent="0.3">
      <c r="A12" s="136"/>
      <c r="C12" s="80"/>
      <c r="D12" s="81"/>
      <c r="E12" s="82"/>
      <c r="F12" s="83"/>
      <c r="G12" s="84" t="str">
        <f>IF(SUM(G11:H11)&gt;0,1,"")</f>
        <v/>
      </c>
      <c r="H12" s="85"/>
      <c r="I12" s="84" t="str">
        <f>IF(SUM(I11:J11)&gt;0,1,"")</f>
        <v/>
      </c>
      <c r="J12" s="85"/>
      <c r="K12" s="84" t="str">
        <f>IF(SUM(K11:L11)&gt;0,1,"")</f>
        <v/>
      </c>
      <c r="L12" s="86"/>
      <c r="M12" s="155"/>
      <c r="N12" s="93"/>
      <c r="P12" s="19"/>
      <c r="Q12" s="19"/>
      <c r="S12" s="87"/>
      <c r="T12" s="177"/>
      <c r="U12" s="178"/>
      <c r="V12" s="179"/>
      <c r="W12" s="183"/>
      <c r="X12" s="323"/>
      <c r="Y12" s="324"/>
      <c r="Z12" s="183"/>
      <c r="AA12" s="184"/>
      <c r="AB12" s="184"/>
      <c r="AC12" s="192"/>
      <c r="AD12" s="533" t="s">
        <v>14</v>
      </c>
      <c r="AE12" s="546"/>
      <c r="AF12" s="328">
        <f t="shared" ref="AF12:AK15" si="0">SUM(AF17,AF22,AF27)</f>
        <v>0</v>
      </c>
      <c r="AG12" s="328">
        <f t="shared" si="0"/>
        <v>0</v>
      </c>
      <c r="AH12" s="245">
        <f t="shared" si="0"/>
        <v>0</v>
      </c>
      <c r="AI12" s="245">
        <f t="shared" si="0"/>
        <v>0</v>
      </c>
      <c r="AJ12" s="245">
        <f t="shared" si="0"/>
        <v>0</v>
      </c>
      <c r="AK12" s="245">
        <f t="shared" si="0"/>
        <v>0</v>
      </c>
      <c r="AL12" s="195"/>
      <c r="AM12" s="196"/>
      <c r="AN12" s="197"/>
      <c r="AO12" s="197"/>
      <c r="AP12" s="245">
        <f t="shared" ref="AP12:AS15" si="1">SUM(AP17,AP22,AP27)</f>
        <v>0</v>
      </c>
      <c r="AQ12" s="245">
        <f t="shared" si="1"/>
        <v>0</v>
      </c>
      <c r="AR12" s="245">
        <f t="shared" si="1"/>
        <v>0</v>
      </c>
      <c r="AS12" s="245">
        <f t="shared" si="1"/>
        <v>0</v>
      </c>
      <c r="AT12"/>
      <c r="AU12"/>
      <c r="AV12" s="198"/>
      <c r="AW12" s="533" t="s">
        <v>14</v>
      </c>
      <c r="AX12" s="546"/>
      <c r="AY12" s="329">
        <f>ROUND(AF12*$T$4,0)</f>
        <v>0</v>
      </c>
      <c r="AZ12" s="329">
        <f>ROUND(AG12*$T$4,0)</f>
        <v>0</v>
      </c>
      <c r="BA12" s="330"/>
      <c r="BB12" s="331"/>
      <c r="BC12" s="330"/>
      <c r="BD12" s="330"/>
      <c r="BE12" s="329">
        <f>(AP12+AR12)*$T$4</f>
        <v>0</v>
      </c>
      <c r="BF12" s="329">
        <f>(AQ12+AS12)*$T$4</f>
        <v>0</v>
      </c>
    </row>
    <row r="13" spans="1:58" ht="29.25" customHeight="1" thickTop="1" x14ac:dyDescent="0.25">
      <c r="A13" s="136">
        <f>ROUND((ROW()-10)/2,0)</f>
        <v>2</v>
      </c>
      <c r="C13" s="88" t="str">
        <f>IF(INDEX(設定!$C$9:$C$108,$A13,1)="","",INDEX(設定!$C$9:$C$108,$A13,1))</f>
        <v/>
      </c>
      <c r="D13" s="74" t="str">
        <f>IF(INDEX(設定!$D$9:$D$108,$A13,1)="","",INDEX(設定!$D$9:$D$108,$A13,1))</f>
        <v/>
      </c>
      <c r="E13" s="75" t="str">
        <f>IF(INDEX(設定!$E$9:$E$108,$A13,1)="","",INDEX(設定!$E$9:$E$108,$A13,1))</f>
        <v/>
      </c>
      <c r="F13" s="76" t="str">
        <f>IF(S13="","",IF(S13=1,"1：家族",IF(AND(S13&gt;=2,S13&lt;=5),"2：雇用","")))</f>
        <v/>
      </c>
      <c r="G13" s="134">
        <f>INT(INDEX(設定!$H$9:H$108,$A13,1))</f>
        <v>0</v>
      </c>
      <c r="H13" s="77" t="str">
        <f>IF(INDEX(設定!$H$9:$H$108,$A13,1)=0,"",ROUND(MOD(INDEX(設定!$H$9:$H$108,$A13,1),1)*60,0))</f>
        <v/>
      </c>
      <c r="I13" s="134">
        <f>INT(INDEX(設定!$I$9:$I$108,$A13,1))</f>
        <v>0</v>
      </c>
      <c r="J13" s="77" t="str">
        <f>IF(INDEX(設定!$I$9:$I$108,$A13,1)=0,"",ROUND(MOD(INDEX(設定!$I$9:$I$108,$A13,1),1)*60,0))</f>
        <v/>
      </c>
      <c r="K13" s="134">
        <f>INT(INDEX(設定!$J$9:$J$108,$A13,1))</f>
        <v>0</v>
      </c>
      <c r="L13" s="78" t="str">
        <f>IF(INDEX(設定!$J$9:$J$108,$A13,1)=0,"",ROUND(MOD(INDEX(設定!$J$9:$J$108,$A13,1),1)*60,0))</f>
        <v/>
      </c>
      <c r="M13" s="154"/>
      <c r="N13" s="153"/>
      <c r="P13" s="19"/>
      <c r="Q13" s="19"/>
      <c r="S13" s="89" t="str">
        <f>IF(INDEX(設定!$F$9:$F$108,$A13,1)="","",VALUE(LEFT(INDEX(設定!$F$9:$F$108,$A13,1),1)))</f>
        <v/>
      </c>
      <c r="T13" s="202" t="str">
        <f>IF(C13="","",C13)</f>
        <v/>
      </c>
      <c r="U13" s="203" t="str">
        <f>IF(D13="","",IF(D13="1：男",1,IF(D13="2：女",2)))</f>
        <v/>
      </c>
      <c r="V13" s="204" t="str">
        <f>IF(E13="","",E13)</f>
        <v/>
      </c>
      <c r="W13" s="332" t="str">
        <f>IF(AND(G13="",H13="",G14=""),"",ROUND(SUM(G13,H13/60)*G14,1))</f>
        <v/>
      </c>
      <c r="X13" s="333" t="str">
        <f>IF(AND(I13="",J13="",I14=""),"",ROUND(SUM(I13,J13/60)*I14,1))</f>
        <v/>
      </c>
      <c r="Y13" s="334" t="str">
        <f>IF(AND(K13="",L13="",K14=""),"",ROUND(SUM(K13,L13/60)*K14,1))</f>
        <v/>
      </c>
      <c r="Z13" s="183"/>
      <c r="AA13" s="184"/>
      <c r="AB13" s="184"/>
      <c r="AC13" s="192"/>
      <c r="AD13" s="535" t="s">
        <v>127</v>
      </c>
      <c r="AE13" s="547"/>
      <c r="AF13" s="236">
        <f t="shared" si="0"/>
        <v>0</v>
      </c>
      <c r="AG13" s="236">
        <f>SUM(AG18,AG23,AG28)</f>
        <v>0</v>
      </c>
      <c r="AH13" s="236">
        <f t="shared" si="0"/>
        <v>0</v>
      </c>
      <c r="AI13" s="236">
        <f t="shared" si="0"/>
        <v>0</v>
      </c>
      <c r="AJ13" s="206"/>
      <c r="AK13" s="206"/>
      <c r="AL13" s="195"/>
      <c r="AM13" s="196"/>
      <c r="AN13" s="196"/>
      <c r="AO13" s="196"/>
      <c r="AP13" s="206"/>
      <c r="AQ13" s="206"/>
      <c r="AR13" s="236">
        <f t="shared" si="1"/>
        <v>0</v>
      </c>
      <c r="AS13" s="236">
        <f t="shared" si="1"/>
        <v>0</v>
      </c>
      <c r="AT13"/>
      <c r="AU13"/>
      <c r="AV13" s="198"/>
      <c r="AW13" s="535" t="s">
        <v>127</v>
      </c>
      <c r="AX13" s="547"/>
      <c r="AY13" s="335">
        <f>ROUND(AF13*$T$4*0.9,0)</f>
        <v>0</v>
      </c>
      <c r="AZ13" s="335">
        <f>ROUND(AG13*$T$4*0.9,0)</f>
        <v>0</v>
      </c>
      <c r="BA13" s="330"/>
      <c r="BB13" s="331"/>
      <c r="BC13" s="330"/>
      <c r="BD13" s="330"/>
      <c r="BE13" s="335">
        <f>(AP13+AR13)*$T$4*0.9</f>
        <v>0</v>
      </c>
      <c r="BF13" s="335">
        <f>(AQ13+AS13)*$T$4*0.9</f>
        <v>0</v>
      </c>
    </row>
    <row r="14" spans="1:58" ht="29.25" customHeight="1" thickBot="1" x14ac:dyDescent="0.3">
      <c r="A14" s="136"/>
      <c r="C14" s="80"/>
      <c r="D14" s="81"/>
      <c r="E14" s="82"/>
      <c r="F14" s="83"/>
      <c r="G14" s="84" t="str">
        <f>IF(SUM(G13:H13)&gt;0,1,"")</f>
        <v/>
      </c>
      <c r="H14" s="85"/>
      <c r="I14" s="84" t="str">
        <f>IF(SUM(I13:J13)&gt;0,1,"")</f>
        <v/>
      </c>
      <c r="J14" s="85"/>
      <c r="K14" s="84" t="str">
        <f>IF(SUM(K13:L13)&gt;0,1,"")</f>
        <v/>
      </c>
      <c r="L14" s="86"/>
      <c r="M14" s="155"/>
      <c r="N14" s="93"/>
      <c r="P14" s="19"/>
      <c r="Q14" s="19"/>
      <c r="S14" s="87"/>
      <c r="T14" s="177"/>
      <c r="U14" s="178"/>
      <c r="V14" s="179"/>
      <c r="W14" s="183"/>
      <c r="X14" s="323"/>
      <c r="Y14" s="324"/>
      <c r="Z14" s="183"/>
      <c r="AA14" s="184"/>
      <c r="AB14" s="184"/>
      <c r="AC14" s="192"/>
      <c r="AD14" s="535" t="s">
        <v>128</v>
      </c>
      <c r="AE14" s="547"/>
      <c r="AF14" s="236">
        <f t="shared" si="0"/>
        <v>0</v>
      </c>
      <c r="AG14" s="236">
        <f t="shared" si="0"/>
        <v>0</v>
      </c>
      <c r="AH14" s="236">
        <f t="shared" si="0"/>
        <v>0</v>
      </c>
      <c r="AI14" s="236">
        <f t="shared" si="0"/>
        <v>0</v>
      </c>
      <c r="AJ14" s="206"/>
      <c r="AK14" s="206"/>
      <c r="AL14" s="195"/>
      <c r="AM14" s="196"/>
      <c r="AN14" s="196"/>
      <c r="AO14" s="196"/>
      <c r="AP14" s="206"/>
      <c r="AQ14" s="206"/>
      <c r="AR14" s="236">
        <f t="shared" si="1"/>
        <v>0</v>
      </c>
      <c r="AS14" s="236">
        <f t="shared" si="1"/>
        <v>0</v>
      </c>
      <c r="AT14"/>
      <c r="AU14"/>
      <c r="AV14" s="198"/>
      <c r="AW14" s="535" t="s">
        <v>128</v>
      </c>
      <c r="AX14" s="547"/>
      <c r="AY14" s="335">
        <f>ROUND(AF14*$T$4*0.8,0)</f>
        <v>0</v>
      </c>
      <c r="AZ14" s="335">
        <f>ROUND(AG14*$T$4*0.8,0)</f>
        <v>0</v>
      </c>
      <c r="BA14" s="330"/>
      <c r="BB14" s="331"/>
      <c r="BC14" s="330"/>
      <c r="BD14" s="330"/>
      <c r="BE14" s="335">
        <f>(AP14+AR14)*$T$4*0.8</f>
        <v>0</v>
      </c>
      <c r="BF14" s="335">
        <f>(AQ14+AS14)*$T$4*0.8</f>
        <v>0</v>
      </c>
    </row>
    <row r="15" spans="1:58" ht="29.25" customHeight="1" thickTop="1" thickBot="1" x14ac:dyDescent="0.3">
      <c r="A15" s="136">
        <f>ROUND((ROW()-10)/2,0)</f>
        <v>3</v>
      </c>
      <c r="C15" s="88" t="str">
        <f>IF(INDEX(設定!$C$9:$C$108,$A15,1)="","",INDEX(設定!$C$9:$C$108,$A15,1))</f>
        <v/>
      </c>
      <c r="D15" s="74" t="str">
        <f>IF(INDEX(設定!$D$9:$D$108,$A15,1)="","",INDEX(設定!$D$9:$D$108,$A15,1))</f>
        <v/>
      </c>
      <c r="E15" s="75" t="str">
        <f>IF(INDEX(設定!$E$9:$E$108,$A15,1)="","",INDEX(設定!$E$9:$E$108,$A15,1))</f>
        <v/>
      </c>
      <c r="F15" s="76" t="str">
        <f>IF(S15="","",IF(S15=1,"1：家族",IF(AND(S15&gt;=2,S15&lt;=5),"2：雇用","")))</f>
        <v/>
      </c>
      <c r="G15" s="134">
        <f>INT(INDEX(設定!$H$9:H$108,$A15,1))</f>
        <v>0</v>
      </c>
      <c r="H15" s="77" t="str">
        <f>IF(INDEX(設定!$H$9:$H$108,$A15,1)=0,"",ROUND(MOD(INDEX(設定!$H$9:$H$108,$A15,1),1)*60,0))</f>
        <v/>
      </c>
      <c r="I15" s="134">
        <f>INT(INDEX(設定!$I$9:$I$108,$A15,1))</f>
        <v>0</v>
      </c>
      <c r="J15" s="77" t="str">
        <f>IF(INDEX(設定!$I$9:$I$108,$A15,1)=0,"",ROUND(MOD(INDEX(設定!$I$9:$I$108,$A15,1),1)*60,0))</f>
        <v/>
      </c>
      <c r="K15" s="134">
        <f>INT(INDEX(設定!$J$9:$J$108,$A15,1))</f>
        <v>0</v>
      </c>
      <c r="L15" s="78" t="str">
        <f>IF(INDEX(設定!$J$9:$J$108,$A15,1)=0,"",ROUND(MOD(INDEX(設定!$J$9:$J$108,$A15,1),1)*60,0))</f>
        <v/>
      </c>
      <c r="M15" s="154"/>
      <c r="N15" s="153"/>
      <c r="P15" s="19"/>
      <c r="Q15" s="19"/>
      <c r="S15" s="89" t="str">
        <f>IF(INDEX(設定!$F$9:$F$108,$A15,1)="","",VALUE(LEFT(INDEX(設定!$F$9:$F$108,$A15,1),1)))</f>
        <v/>
      </c>
      <c r="T15" s="202" t="str">
        <f>IF(C15="","",C15)</f>
        <v/>
      </c>
      <c r="U15" s="203" t="str">
        <f>IF(D15="","",IF(D15="1：男",1,IF(D15="2：女",2)))</f>
        <v/>
      </c>
      <c r="V15" s="204" t="str">
        <f>IF(E15="","",E15)</f>
        <v/>
      </c>
      <c r="W15" s="332" t="str">
        <f t="shared" ref="W15" si="2">IF(AND(G15="",H15="",G16=""),"",ROUND(SUM(G15,H15/60)*G16,1))</f>
        <v/>
      </c>
      <c r="X15" s="333" t="str">
        <f t="shared" ref="X15" si="3">IF(AND(I15="",J15="",I16=""),"",ROUND(SUM(I15,J15/60)*I16,1))</f>
        <v/>
      </c>
      <c r="Y15" s="334" t="str">
        <f t="shared" ref="Y15" si="4">IF(AND(K15="",L15="",K16=""),"",ROUND(SUM(K15,L15/60)*K16,1))</f>
        <v/>
      </c>
      <c r="Z15" s="183"/>
      <c r="AA15" s="184"/>
      <c r="AB15" s="184"/>
      <c r="AC15" s="192"/>
      <c r="AD15" s="539" t="s">
        <v>15</v>
      </c>
      <c r="AE15" s="540"/>
      <c r="AF15" s="278">
        <f t="shared" si="0"/>
        <v>0</v>
      </c>
      <c r="AG15" s="278">
        <f t="shared" si="0"/>
        <v>0</v>
      </c>
      <c r="AH15" s="239">
        <f t="shared" si="0"/>
        <v>0</v>
      </c>
      <c r="AI15" s="239">
        <f t="shared" si="0"/>
        <v>0</v>
      </c>
      <c r="AJ15" s="209"/>
      <c r="AK15" s="209"/>
      <c r="AL15" s="195"/>
      <c r="AM15" s="196"/>
      <c r="AN15" s="211"/>
      <c r="AO15" s="211"/>
      <c r="AP15" s="209"/>
      <c r="AQ15" s="209"/>
      <c r="AR15" s="239">
        <f t="shared" si="1"/>
        <v>0</v>
      </c>
      <c r="AS15" s="239">
        <f t="shared" si="1"/>
        <v>0</v>
      </c>
      <c r="AT15"/>
      <c r="AU15"/>
      <c r="AV15" s="198"/>
      <c r="AW15" s="539" t="s">
        <v>15</v>
      </c>
      <c r="AX15" s="540"/>
      <c r="AY15" s="336">
        <f>ROUND(AF15*$T$4*0.7,0)</f>
        <v>0</v>
      </c>
      <c r="AZ15" s="336">
        <f>ROUND(AG15*$T$4*0.7,0)</f>
        <v>0</v>
      </c>
      <c r="BA15" s="330"/>
      <c r="BB15" s="331"/>
      <c r="BC15" s="337"/>
      <c r="BD15" s="337"/>
      <c r="BE15" s="338">
        <f>(AP15+AR15)*$T$4*0.7</f>
        <v>0</v>
      </c>
      <c r="BF15" s="338">
        <f>(AQ15+AS15)*$T$4*0.7</f>
        <v>0</v>
      </c>
    </row>
    <row r="16" spans="1:58" ht="29.25" customHeight="1" thickTop="1" thickBot="1" x14ac:dyDescent="0.3">
      <c r="B16" s="19"/>
      <c r="C16" s="80"/>
      <c r="D16" s="81"/>
      <c r="E16" s="82"/>
      <c r="F16" s="83"/>
      <c r="G16" s="84" t="str">
        <f>IF(SUM(G15:H15)&gt;0,1,"")</f>
        <v/>
      </c>
      <c r="H16" s="85"/>
      <c r="I16" s="84" t="str">
        <f>IF(SUM(I15:J15)&gt;0,1,"")</f>
        <v/>
      </c>
      <c r="J16" s="85"/>
      <c r="K16" s="84" t="str">
        <f>IF(SUM(K15:L15)&gt;0,1,"")</f>
        <v/>
      </c>
      <c r="L16" s="86"/>
      <c r="M16" s="155"/>
      <c r="N16" s="93"/>
      <c r="P16" s="19"/>
      <c r="Q16" s="19"/>
      <c r="S16" s="87"/>
      <c r="T16" s="177"/>
      <c r="U16" s="178"/>
      <c r="V16" s="179"/>
      <c r="W16" s="183"/>
      <c r="X16" s="323"/>
      <c r="Y16" s="324"/>
      <c r="Z16" s="183"/>
      <c r="AA16" s="184"/>
      <c r="AB16" s="184"/>
      <c r="AC16" s="216"/>
      <c r="AD16" s="551" t="s">
        <v>10</v>
      </c>
      <c r="AE16" s="595"/>
      <c r="AF16" s="339">
        <f>SUM(AF17:AF20)</f>
        <v>0</v>
      </c>
      <c r="AG16" s="339">
        <f>SUM(AG17:AG20)</f>
        <v>0</v>
      </c>
      <c r="AH16" s="186"/>
      <c r="AI16" s="186"/>
      <c r="AJ16" s="186"/>
      <c r="AK16" s="186"/>
      <c r="AL16" s="339">
        <f>AN16+AP16+AR16</f>
        <v>0</v>
      </c>
      <c r="AM16" s="339">
        <f>AO16+AQ16+AS16</f>
        <v>0</v>
      </c>
      <c r="AN16" s="228">
        <f>SUMIFS($W$11:$W$70,$S$11:$S$70,2,$U$11:$U$70,1)</f>
        <v>0</v>
      </c>
      <c r="AO16" s="242">
        <f>SUMIFS($W$11:$W$70,$S$11:$S$70,2,$U$11:$U$70,2)</f>
        <v>0</v>
      </c>
      <c r="AP16" s="242">
        <f>AP17</f>
        <v>0</v>
      </c>
      <c r="AQ16" s="242">
        <f>AQ17</f>
        <v>0</v>
      </c>
      <c r="AR16" s="242">
        <f>SUM(AR17:AR20)</f>
        <v>0</v>
      </c>
      <c r="AS16" s="242">
        <f>SUM(AS17:AS20)</f>
        <v>0</v>
      </c>
      <c r="AT16"/>
      <c r="AU16"/>
      <c r="AV16" s="220"/>
      <c r="AW16" s="541" t="s">
        <v>129</v>
      </c>
      <c r="AX16" s="543"/>
      <c r="AY16" s="325">
        <f>SUM(AY17:AY20)</f>
        <v>0</v>
      </c>
      <c r="AZ16" s="325">
        <f>SUM(AZ17:AZ20)</f>
        <v>0</v>
      </c>
      <c r="BA16" s="325">
        <f>ROUND(BC16+BE16,0)</f>
        <v>0</v>
      </c>
      <c r="BB16" s="325">
        <f>ROUND(BD16+BF16,0)</f>
        <v>0</v>
      </c>
      <c r="BC16" s="326">
        <f>IFERROR($T$112*($AN21/$AN$36),0)</f>
        <v>0</v>
      </c>
      <c r="BD16" s="326">
        <f>IFERROR($T$113*($AO21/$AO$36),0)</f>
        <v>0</v>
      </c>
      <c r="BE16" s="327">
        <f>SUM(BE17:BE20)</f>
        <v>0</v>
      </c>
      <c r="BF16" s="327">
        <f>SUM(BF17:BF20)</f>
        <v>0</v>
      </c>
    </row>
    <row r="17" spans="1:58" ht="29.25" customHeight="1" thickTop="1" x14ac:dyDescent="0.25">
      <c r="A17" s="135">
        <f>ROUND((ROW()-10)/2,0)</f>
        <v>4</v>
      </c>
      <c r="B17" s="19"/>
      <c r="C17" s="88" t="str">
        <f>IF(INDEX(設定!$C$9:$C$108,$A17,1)="","",INDEX(設定!$C$9:$C$108,$A17,1))</f>
        <v/>
      </c>
      <c r="D17" s="74" t="str">
        <f>IF(INDEX(設定!$D$9:$D$108,$A17,1)="","",INDEX(設定!$D$9:$D$108,$A17,1))</f>
        <v/>
      </c>
      <c r="E17" s="75" t="str">
        <f>IF(INDEX(設定!$E$9:$E$108,$A17,1)="","",INDEX(設定!$E$9:$E$108,$A17,1))</f>
        <v/>
      </c>
      <c r="F17" s="76" t="str">
        <f>IF(S17="","",IF(S17=1,"1：家族",IF(AND(S17&gt;=2,S17&lt;=5),"2：雇用","")))</f>
        <v/>
      </c>
      <c r="G17" s="134">
        <f>INT(INDEX(設定!$H$9:H$108,$A17,1))</f>
        <v>0</v>
      </c>
      <c r="H17" s="77" t="str">
        <f>IF(INDEX(設定!$H$9:$H$108,$A17,1)=0,"",ROUND(MOD(INDEX(設定!$H$9:$H$108,$A17,1),1)*60,0))</f>
        <v/>
      </c>
      <c r="I17" s="134">
        <f>INT(INDEX(設定!$I$9:$I$108,$A17,1))</f>
        <v>0</v>
      </c>
      <c r="J17" s="77" t="str">
        <f>IF(INDEX(設定!$I$9:$I$108,$A17,1)=0,"",ROUND(MOD(INDEX(設定!$I$9:$I$108,$A17,1),1)*60,0))</f>
        <v/>
      </c>
      <c r="K17" s="134">
        <f>INT(INDEX(設定!$J$9:$J$108,$A17,1))</f>
        <v>0</v>
      </c>
      <c r="L17" s="78" t="str">
        <f>IF(INDEX(設定!$J$9:$J$108,$A17,1)=0,"",ROUND(MOD(INDEX(設定!$J$9:$J$108,$A17,1),1)*60,0))</f>
        <v/>
      </c>
      <c r="M17" s="154"/>
      <c r="N17" s="153"/>
      <c r="P17" s="19"/>
      <c r="Q17" s="19"/>
      <c r="S17" s="89" t="str">
        <f>IF(INDEX(設定!$F$9:$F$108,$A17,1)="","",VALUE(LEFT(INDEX(設定!$F$9:$F$108,$A17,1),1)))</f>
        <v/>
      </c>
      <c r="T17" s="202" t="str">
        <f>IF(C17="","",C17)</f>
        <v/>
      </c>
      <c r="U17" s="203" t="str">
        <f>IF(D17="","",IF(D17="1：男",1,IF(D17="2：女",2)))</f>
        <v/>
      </c>
      <c r="V17" s="204" t="str">
        <f>IF(E17="","",E17)</f>
        <v/>
      </c>
      <c r="W17" s="332" t="str">
        <f t="shared" ref="W17" si="5">IF(AND(G17="",H17="",G18=""),"",ROUND(SUM(G17,H17/60)*G18,1))</f>
        <v/>
      </c>
      <c r="X17" s="333" t="str">
        <f t="shared" ref="X17" si="6">IF(AND(I17="",J17="",I18=""),"",ROUND(SUM(I17,J17/60)*I18,1))</f>
        <v/>
      </c>
      <c r="Y17" s="334" t="str">
        <f t="shared" ref="Y17" si="7">IF(AND(K17="",L17="",K18=""),"",ROUND(SUM(K17,L17/60)*K18,1))</f>
        <v/>
      </c>
      <c r="Z17" s="183"/>
      <c r="AA17" s="184"/>
      <c r="AB17" s="184"/>
      <c r="AC17" s="216"/>
      <c r="AD17" s="216"/>
      <c r="AE17" s="223" t="s">
        <v>14</v>
      </c>
      <c r="AF17" s="328">
        <f t="shared" ref="AF17:AG20" si="8">AH17+AJ17</f>
        <v>0</v>
      </c>
      <c r="AG17" s="328">
        <f t="shared" si="8"/>
        <v>0</v>
      </c>
      <c r="AH17" s="245">
        <f>SUMIFS($W$11:$W$70,$S$11:$S$70,1,$U$11:$U$70,1,$V$11:$V$70,"&lt;65")</f>
        <v>0</v>
      </c>
      <c r="AI17" s="245">
        <f>SUMIFS($W$11:$W$70,$S$11:$S$70,1,$U$11:$U$70,2,$V$11:$V$70,"&lt;65")</f>
        <v>0</v>
      </c>
      <c r="AJ17" s="245">
        <f>SUMIFS($W$11:$W$70,$S$11:$S$70,3,$U$11:$U$70,1)</f>
        <v>0</v>
      </c>
      <c r="AK17" s="245">
        <f>SUMIFS($W$11:$W$70,$S$11:$S$70,3,$U$11:$U$70,2)</f>
        <v>0</v>
      </c>
      <c r="AL17" s="195"/>
      <c r="AM17" s="196"/>
      <c r="AN17" s="197"/>
      <c r="AO17" s="197"/>
      <c r="AP17" s="245">
        <f>SUMIFS($W$11:$W$70,$S$11:$S$70,4,$U$11:$U$70,1)</f>
        <v>0</v>
      </c>
      <c r="AQ17" s="245">
        <f>SUMIFS($W$11:$W$70,$S$11:$S$70,4,$U$11:$U$70,2)</f>
        <v>0</v>
      </c>
      <c r="AR17" s="245">
        <f>SUMIFS($W$11:$W$70,$S$11:$S$70,5,$U$11:$U$70,1,$V$11:$V$70,"&lt;65")</f>
        <v>0</v>
      </c>
      <c r="AS17" s="245">
        <f>SUMIFS($W$11:$W$70,$S$11:$S$70,5,$U$11:$U$70,2,$V$11:$V$70,"&lt;65")</f>
        <v>0</v>
      </c>
      <c r="AT17"/>
      <c r="AU17"/>
      <c r="AV17" s="220"/>
      <c r="AW17" s="216"/>
      <c r="AX17" s="223" t="s">
        <v>14</v>
      </c>
      <c r="AY17" s="329">
        <f>ROUND(AF22*$T$4,0)</f>
        <v>0</v>
      </c>
      <c r="AZ17" s="329">
        <f>ROUND(AG22*$T$4,0)</f>
        <v>0</v>
      </c>
      <c r="BA17" s="330"/>
      <c r="BB17" s="331"/>
      <c r="BC17" s="340"/>
      <c r="BD17" s="340"/>
      <c r="BE17" s="341">
        <f>(AP22+AR22)*$T$4</f>
        <v>0</v>
      </c>
      <c r="BF17" s="341">
        <f>(AQ22+AS22)*$T$4</f>
        <v>0</v>
      </c>
    </row>
    <row r="18" spans="1:58" ht="29.25" customHeight="1" thickBot="1" x14ac:dyDescent="0.3">
      <c r="B18" s="19"/>
      <c r="C18" s="80"/>
      <c r="D18" s="81"/>
      <c r="E18" s="82"/>
      <c r="F18" s="83"/>
      <c r="G18" s="84" t="str">
        <f>IF(SUM(G17:H17)&gt;0,1,"")</f>
        <v/>
      </c>
      <c r="H18" s="85"/>
      <c r="I18" s="84" t="str">
        <f>IF(SUM(I17:J17)&gt;0,1,"")</f>
        <v/>
      </c>
      <c r="J18" s="85"/>
      <c r="K18" s="84" t="str">
        <f>IF(SUM(K17:L17)&gt;0,1,"")</f>
        <v/>
      </c>
      <c r="L18" s="86"/>
      <c r="M18" s="155"/>
      <c r="N18" s="93"/>
      <c r="P18" s="19"/>
      <c r="Q18" s="19"/>
      <c r="S18" s="87"/>
      <c r="T18" s="177"/>
      <c r="U18" s="178"/>
      <c r="V18" s="179"/>
      <c r="W18" s="183"/>
      <c r="X18" s="323"/>
      <c r="Y18" s="324"/>
      <c r="Z18" s="183"/>
      <c r="AA18" s="184"/>
      <c r="AB18" s="184"/>
      <c r="AC18" s="216"/>
      <c r="AD18" s="216"/>
      <c r="AE18" s="224" t="s">
        <v>127</v>
      </c>
      <c r="AF18" s="236">
        <f t="shared" si="8"/>
        <v>0</v>
      </c>
      <c r="AG18" s="236">
        <f t="shared" si="8"/>
        <v>0</v>
      </c>
      <c r="AH18" s="236">
        <f>SUMIFS($W$11:$W$70,$S$11:$S$70,1,$U$11:$U$70,1,$V$11:$V$70,"&gt;=65",$V$11:$V$70,"&lt;70")</f>
        <v>0</v>
      </c>
      <c r="AI18" s="236">
        <f>SUMIFS($W$11:$W$70,$S$11:$S$70,1,$U$11:$U$70,2,$V$11:$V$70,"&gt;=65",$V$11:$V$70,"&lt;70")</f>
        <v>0</v>
      </c>
      <c r="AJ18" s="206"/>
      <c r="AK18" s="206"/>
      <c r="AL18" s="195"/>
      <c r="AM18" s="196"/>
      <c r="AN18" s="196"/>
      <c r="AO18" s="196"/>
      <c r="AP18" s="206"/>
      <c r="AQ18" s="206"/>
      <c r="AR18" s="236">
        <f>SUMIFS($W$11:$W$70,$S$11:$S$70,5,$U$11:$U$70,1,$V$11:$V$70,"&gt;=65",$V$11:$V$70,"&lt;70")</f>
        <v>0</v>
      </c>
      <c r="AS18" s="236">
        <f>SUMIFS($W$11:$W$70,$S$11:$S$70,5,$U$11:$U$70,2,$V$11:$V$70,"&gt;=65",$V$11:$V$70,"&lt;70")</f>
        <v>0</v>
      </c>
      <c r="AT18"/>
      <c r="AU18"/>
      <c r="AV18" s="220"/>
      <c r="AW18" s="216"/>
      <c r="AX18" s="224" t="s">
        <v>127</v>
      </c>
      <c r="AY18" s="335">
        <f>ROUND(AF23*$T$4*0.9,0)</f>
        <v>0</v>
      </c>
      <c r="AZ18" s="335">
        <f>ROUND(AG23*$T$4*0.9,0)</f>
        <v>0</v>
      </c>
      <c r="BA18" s="330"/>
      <c r="BB18" s="331"/>
      <c r="BC18" s="330"/>
      <c r="BD18" s="330"/>
      <c r="BE18" s="335">
        <f>(AR23)*$T$4*0.9</f>
        <v>0</v>
      </c>
      <c r="BF18" s="335">
        <f>(AS23)*$T$4*0.9</f>
        <v>0</v>
      </c>
    </row>
    <row r="19" spans="1:58" ht="29.25" customHeight="1" thickTop="1" x14ac:dyDescent="0.25">
      <c r="A19" s="135">
        <f>ROUND((ROW()-10)/2,0)</f>
        <v>5</v>
      </c>
      <c r="B19" s="19"/>
      <c r="C19" s="88" t="str">
        <f>IF(INDEX(設定!$C$9:$C$108,$A19,1)="","",INDEX(設定!$C$9:$C$108,$A19,1))</f>
        <v/>
      </c>
      <c r="D19" s="74" t="str">
        <f>IF(INDEX(設定!$D$9:$D$108,$A19,1)="","",INDEX(設定!$D$9:$D$108,$A19,1))</f>
        <v/>
      </c>
      <c r="E19" s="75" t="str">
        <f>IF(INDEX(設定!$E$9:$E$108,$A19,1)="","",INDEX(設定!$E$9:$E$108,$A19,1))</f>
        <v/>
      </c>
      <c r="F19" s="76" t="str">
        <f>IF(S19="","",IF(S19=1,"1：家族",IF(AND(S19&gt;=2,S19&lt;=5),"2：雇用","")))</f>
        <v/>
      </c>
      <c r="G19" s="134">
        <f>INT(INDEX(設定!$H$9:H$108,$A19,1))</f>
        <v>0</v>
      </c>
      <c r="H19" s="77" t="str">
        <f>IF(INDEX(設定!$H$9:$H$108,$A19,1)=0,"",ROUND(MOD(INDEX(設定!$H$9:$H$108,$A19,1),1)*60,0))</f>
        <v/>
      </c>
      <c r="I19" s="134">
        <f>INT(INDEX(設定!$I$9:$I$108,$A19,1))</f>
        <v>0</v>
      </c>
      <c r="J19" s="77" t="str">
        <f>IF(INDEX(設定!$I$9:$I$108,$A19,1)=0,"",ROUND(MOD(INDEX(設定!$I$9:$I$108,$A19,1),1)*60,0))</f>
        <v/>
      </c>
      <c r="K19" s="134">
        <f>INT(INDEX(設定!$J$9:$J$108,$A19,1))</f>
        <v>0</v>
      </c>
      <c r="L19" s="78" t="str">
        <f>IF(INDEX(設定!$J$9:$J$108,$A19,1)=0,"",ROUND(MOD(INDEX(設定!$J$9:$J$108,$A19,1),1)*60,0))</f>
        <v/>
      </c>
      <c r="M19" s="154"/>
      <c r="N19" s="153"/>
      <c r="P19" s="19"/>
      <c r="Q19" s="19"/>
      <c r="S19" s="89" t="str">
        <f>IF(INDEX(設定!$F$9:$F$108,$A19,1)="","",VALUE(LEFT(INDEX(設定!$F$9:$F$108,$A19,1),1)))</f>
        <v/>
      </c>
      <c r="T19" s="202" t="str">
        <f>IF(C19="","",C19)</f>
        <v/>
      </c>
      <c r="U19" s="203" t="str">
        <f>IF(D19="","",IF(D19="1：男",1,IF(D19="2：女",2)))</f>
        <v/>
      </c>
      <c r="V19" s="204" t="str">
        <f>IF(E19="","",E19)</f>
        <v/>
      </c>
      <c r="W19" s="332" t="str">
        <f t="shared" ref="W19" si="9">IF(AND(G19="",H19="",G20=""),"",ROUND(SUM(G19,H19/60)*G20,1))</f>
        <v/>
      </c>
      <c r="X19" s="333" t="str">
        <f t="shared" ref="X19" si="10">IF(AND(I19="",J19="",I20=""),"",ROUND(SUM(I19,J19/60)*I20,1))</f>
        <v/>
      </c>
      <c r="Y19" s="334" t="str">
        <f t="shared" ref="Y19" si="11">IF(AND(K19="",L19="",K20=""),"",ROUND(SUM(K19,L19/60)*K20,1))</f>
        <v/>
      </c>
      <c r="Z19" s="183"/>
      <c r="AA19" s="184"/>
      <c r="AB19" s="184"/>
      <c r="AC19" s="225"/>
      <c r="AD19" s="216"/>
      <c r="AE19" s="224" t="s">
        <v>128</v>
      </c>
      <c r="AF19" s="236">
        <f t="shared" si="8"/>
        <v>0</v>
      </c>
      <c r="AG19" s="236">
        <f t="shared" si="8"/>
        <v>0</v>
      </c>
      <c r="AH19" s="236">
        <f>SUMIFS($W$11:$W$70,$S$11:$S$70,1,$U$11:$U$70,1,$V$11:$V$70,"&gt;=70",$V$11:$V$70,"&lt;75")</f>
        <v>0</v>
      </c>
      <c r="AI19" s="236">
        <f>SUMIFS($W$11:$W$70,$S$11:$S$70,1,$U$11:$U$70,2,$V$11:$V$70,"&gt;=70",$V$11:$V$70,"&lt;75")</f>
        <v>0</v>
      </c>
      <c r="AJ19" s="206"/>
      <c r="AK19" s="206"/>
      <c r="AL19" s="195"/>
      <c r="AM19" s="196"/>
      <c r="AN19" s="196"/>
      <c r="AO19" s="196"/>
      <c r="AP19" s="206"/>
      <c r="AQ19" s="206"/>
      <c r="AR19" s="236">
        <f>SUMIFS($W$11:$W$70,$S$11:$S$70,5,$U$11:$U$70,1,$V$11:$V$70,"&gt;=70",$V$11:$V$70,"&lt;75")</f>
        <v>0</v>
      </c>
      <c r="AS19" s="236">
        <f>SUMIFS($W$11:$W$70,$S$11:$S$70,5,$U$11:$U$70,2,$V$11:$V$70,"&gt;=70",$V$11:$V$70,"&lt;75")</f>
        <v>0</v>
      </c>
      <c r="AT19"/>
      <c r="AU19"/>
      <c r="AV19" s="220"/>
      <c r="AW19" s="216"/>
      <c r="AX19" s="224" t="s">
        <v>128</v>
      </c>
      <c r="AY19" s="335">
        <f>ROUND(AF24*$T$4*0.8,0)</f>
        <v>0</v>
      </c>
      <c r="AZ19" s="335">
        <f>ROUND(AG24*$T$4*0.8,0)</f>
        <v>0</v>
      </c>
      <c r="BA19" s="330"/>
      <c r="BB19" s="331"/>
      <c r="BC19" s="330"/>
      <c r="BD19" s="330"/>
      <c r="BE19" s="335">
        <f>(AR24)*$T$4*0.8</f>
        <v>0</v>
      </c>
      <c r="BF19" s="335">
        <f>(AS24)*$T$4*0.8</f>
        <v>0</v>
      </c>
    </row>
    <row r="20" spans="1:58" ht="29.25" customHeight="1" thickBot="1" x14ac:dyDescent="0.3">
      <c r="B20" s="19"/>
      <c r="C20" s="80"/>
      <c r="D20" s="81"/>
      <c r="E20" s="82"/>
      <c r="F20" s="83"/>
      <c r="G20" s="84" t="str">
        <f>IF(SUM(G19:H19)&gt;0,1,"")</f>
        <v/>
      </c>
      <c r="H20" s="85"/>
      <c r="I20" s="84" t="str">
        <f>IF(SUM(I19:J19)&gt;0,1,"")</f>
        <v/>
      </c>
      <c r="J20" s="85"/>
      <c r="K20" s="84" t="str">
        <f>IF(SUM(K19:L19)&gt;0,1,"")</f>
        <v/>
      </c>
      <c r="L20" s="86"/>
      <c r="M20" s="155"/>
      <c r="N20" s="93"/>
      <c r="P20" s="19"/>
      <c r="Q20" s="19"/>
      <c r="S20" s="87"/>
      <c r="T20" s="177"/>
      <c r="U20" s="178"/>
      <c r="V20" s="179"/>
      <c r="W20" s="183"/>
      <c r="X20" s="323"/>
      <c r="Y20" s="324"/>
      <c r="Z20" s="183"/>
      <c r="AA20" s="184"/>
      <c r="AB20" s="184"/>
      <c r="AC20" s="225"/>
      <c r="AD20" s="226"/>
      <c r="AE20" s="227" t="s">
        <v>15</v>
      </c>
      <c r="AF20" s="278">
        <f t="shared" si="8"/>
        <v>0</v>
      </c>
      <c r="AG20" s="278">
        <f t="shared" si="8"/>
        <v>0</v>
      </c>
      <c r="AH20" s="239">
        <f>SUMIFS($W$11:$W$70,$S$11:$S$70,1,$U$11:$U$70,1,$V$11:$V$70,"&gt;=75")</f>
        <v>0</v>
      </c>
      <c r="AI20" s="239">
        <f>SUMIFS($W$11:$W$70,$S$11:$S$70,1,$U$11:$U$70,2,$V$11:$V$70,"&gt;=75")</f>
        <v>0</v>
      </c>
      <c r="AJ20" s="209"/>
      <c r="AK20" s="209"/>
      <c r="AL20" s="195"/>
      <c r="AM20" s="196"/>
      <c r="AN20" s="211"/>
      <c r="AO20" s="211"/>
      <c r="AP20" s="209"/>
      <c r="AQ20" s="209"/>
      <c r="AR20" s="239">
        <f>SUMIFS($W$11:$W$70,$S$11:$S$70,5,$U$11:$U$70,1,$V$11:$V$70,"&gt;=75")</f>
        <v>0</v>
      </c>
      <c r="AS20" s="239">
        <f>SUMIFS($W$11:$W$70,$S$11:$S$70,5,$U$11:$U$70,2,$V$11:$V$70,"&gt;=75")</f>
        <v>0</v>
      </c>
      <c r="AT20"/>
      <c r="AU20"/>
      <c r="AV20" s="220"/>
      <c r="AW20" s="226"/>
      <c r="AX20" s="227" t="s">
        <v>15</v>
      </c>
      <c r="AY20" s="338">
        <f>ROUND(AF25*$T$4*0.7,0)</f>
        <v>0</v>
      </c>
      <c r="AZ20" s="338">
        <f>ROUND(AG25*$T$4*0.7,0)</f>
        <v>0</v>
      </c>
      <c r="BA20" s="337"/>
      <c r="BB20" s="342"/>
      <c r="BC20" s="337"/>
      <c r="BD20" s="337"/>
      <c r="BE20" s="338">
        <f>(AR25)*$T$4*0.7</f>
        <v>0</v>
      </c>
      <c r="BF20" s="338">
        <f>(AS25)*$T$4*0.7</f>
        <v>0</v>
      </c>
    </row>
    <row r="21" spans="1:58" ht="29.25" customHeight="1" thickTop="1" thickBot="1" x14ac:dyDescent="0.3">
      <c r="A21" s="135">
        <f>ROUND((ROW()-10)/2,0)</f>
        <v>6</v>
      </c>
      <c r="B21" s="19"/>
      <c r="C21" s="88" t="str">
        <f>IF(INDEX(設定!$C$9:$C$108,$A21,1)="","",INDEX(設定!$C$9:$C$108,$A21,1))</f>
        <v/>
      </c>
      <c r="D21" s="74" t="str">
        <f>IF(INDEX(設定!$D$9:$D$108,$A21,1)="","",INDEX(設定!$D$9:$D$108,$A21,1))</f>
        <v/>
      </c>
      <c r="E21" s="75" t="str">
        <f>IF(INDEX(設定!$E$9:$E$108,$A21,1)="","",INDEX(設定!$E$9:$E$108,$A21,1))</f>
        <v/>
      </c>
      <c r="F21" s="76" t="str">
        <f>IF(S21="","",IF(S21=1,"1：家族",IF(AND(S21&gt;=2,S21&lt;=5),"2：雇用","")))</f>
        <v/>
      </c>
      <c r="G21" s="134">
        <f>INT(INDEX(設定!$H$9:H$108,$A21,1))</f>
        <v>0</v>
      </c>
      <c r="H21" s="77" t="str">
        <f>IF(INDEX(設定!$H$9:$H$108,$A21,1)=0,"",ROUND(MOD(INDEX(設定!$H$9:$H$108,$A21,1),1)*60,0))</f>
        <v/>
      </c>
      <c r="I21" s="134">
        <f>INT(INDEX(設定!$I$9:$I$108,$A21,1))</f>
        <v>0</v>
      </c>
      <c r="J21" s="77" t="str">
        <f>IF(INDEX(設定!$I$9:$I$108,$A21,1)=0,"",ROUND(MOD(INDEX(設定!$I$9:$I$108,$A21,1),1)*60,0))</f>
        <v/>
      </c>
      <c r="K21" s="134">
        <f>INT(INDEX(設定!$J$9:$J$108,$A21,1))</f>
        <v>0</v>
      </c>
      <c r="L21" s="78" t="str">
        <f>IF(INDEX(設定!$J$9:$J$108,$A21,1)=0,"",ROUND(MOD(INDEX(設定!$J$9:$J$108,$A21,1),1)*60,0))</f>
        <v/>
      </c>
      <c r="M21" s="154"/>
      <c r="N21" s="153"/>
      <c r="P21" s="19"/>
      <c r="Q21" s="19"/>
      <c r="S21" s="89" t="str">
        <f>IF(INDEX(設定!$F$9:$F$108,$A21,1)="","",VALUE(LEFT(INDEX(設定!$F$9:$F$108,$A21,1),1)))</f>
        <v/>
      </c>
      <c r="T21" s="202" t="str">
        <f>IF(C21="","",C21)</f>
        <v/>
      </c>
      <c r="U21" s="203" t="str">
        <f>IF(D21="","",IF(D21="1：男",1,IF(D21="2：女",2)))</f>
        <v/>
      </c>
      <c r="V21" s="204" t="str">
        <f>IF(E21="","",E21)</f>
        <v/>
      </c>
      <c r="W21" s="332" t="str">
        <f t="shared" ref="W21" si="12">IF(AND(G21="",H21="",G22=""),"",ROUND(SUM(G21,H21/60)*G22,1))</f>
        <v/>
      </c>
      <c r="X21" s="333" t="str">
        <f t="shared" ref="X21" si="13">IF(AND(I21="",J21="",I22=""),"",ROUND(SUM(I21,J21/60)*I22,1))</f>
        <v/>
      </c>
      <c r="Y21" s="334" t="str">
        <f t="shared" ref="Y21" si="14">IF(AND(K21="",L21="",K22=""),"",ROUND(SUM(K21,L21/60)*K22,1))</f>
        <v/>
      </c>
      <c r="Z21" s="183"/>
      <c r="AA21" s="184"/>
      <c r="AB21" s="184"/>
      <c r="AC21" s="225"/>
      <c r="AD21" s="541" t="s">
        <v>129</v>
      </c>
      <c r="AE21" s="543"/>
      <c r="AF21" s="339">
        <f>SUM(AF22:AF25)</f>
        <v>0</v>
      </c>
      <c r="AG21" s="339">
        <f>SUM(AG22:AG25)</f>
        <v>0</v>
      </c>
      <c r="AH21" s="186"/>
      <c r="AI21" s="186"/>
      <c r="AJ21" s="186"/>
      <c r="AK21" s="186"/>
      <c r="AL21" s="339">
        <f>AN21+AP21+AR21</f>
        <v>0</v>
      </c>
      <c r="AM21" s="339">
        <f>AO21+AQ21+AS21</f>
        <v>0</v>
      </c>
      <c r="AN21" s="228">
        <f>SUMIFS($X$11:$X$70,$S$11:$S$70,2,$U$11:$U$70,1)</f>
        <v>0</v>
      </c>
      <c r="AO21" s="242">
        <f>SUMIFS($X$11:$X$70,$S$11:$S$70,2,$U$11:$U$70,2)</f>
        <v>0</v>
      </c>
      <c r="AP21" s="242">
        <f>AP22</f>
        <v>0</v>
      </c>
      <c r="AQ21" s="242">
        <f>AQ22</f>
        <v>0</v>
      </c>
      <c r="AR21" s="242">
        <f>SUM(AR22:AR25)</f>
        <v>0</v>
      </c>
      <c r="AS21" s="242">
        <f>SUM(AS22:AS25)</f>
        <v>0</v>
      </c>
      <c r="AT21"/>
      <c r="AU21"/>
      <c r="AV21" s="198"/>
      <c r="AW21" s="343"/>
      <c r="AX21" s="344"/>
      <c r="AY21" s="345"/>
      <c r="AZ21" s="345"/>
      <c r="BA21" s="346"/>
      <c r="BB21" s="346"/>
      <c r="BC21" s="346"/>
      <c r="BD21" s="346"/>
      <c r="BE21" s="346"/>
      <c r="BF21" s="347"/>
    </row>
    <row r="22" spans="1:58" ht="29.25" customHeight="1" thickTop="1" thickBot="1" x14ac:dyDescent="0.3">
      <c r="B22" s="19"/>
      <c r="C22" s="80"/>
      <c r="D22" s="81"/>
      <c r="E22" s="82"/>
      <c r="F22" s="83"/>
      <c r="G22" s="84" t="str">
        <f>IF(SUM(G21:H21)&gt;0,1,"")</f>
        <v/>
      </c>
      <c r="H22" s="85"/>
      <c r="I22" s="84" t="str">
        <f>IF(SUM(I21:J21)&gt;0,1,"")</f>
        <v/>
      </c>
      <c r="J22" s="85"/>
      <c r="K22" s="84" t="str">
        <f>IF(SUM(K21:L21)&gt;0,1,"")</f>
        <v/>
      </c>
      <c r="L22" s="86"/>
      <c r="M22" s="155"/>
      <c r="N22" s="93"/>
      <c r="P22" s="19"/>
      <c r="Q22" s="19"/>
      <c r="S22" s="87"/>
      <c r="T22" s="177"/>
      <c r="U22" s="178"/>
      <c r="V22" s="179"/>
      <c r="W22" s="183"/>
      <c r="X22" s="323"/>
      <c r="Y22" s="324"/>
      <c r="Z22" s="183"/>
      <c r="AA22" s="184"/>
      <c r="AB22" s="184"/>
      <c r="AC22" s="225"/>
      <c r="AD22" s="216"/>
      <c r="AE22" s="223" t="s">
        <v>14</v>
      </c>
      <c r="AF22" s="328">
        <f t="shared" ref="AF22:AG25" si="15">AH22+AJ22</f>
        <v>0</v>
      </c>
      <c r="AG22" s="328">
        <f t="shared" si="15"/>
        <v>0</v>
      </c>
      <c r="AH22" s="245">
        <f>SUMIFS($X$11:$X$70,$S$11:$S$70,1,$U$11:$U$70,1,$V$11:$V$70,"&lt;65")</f>
        <v>0</v>
      </c>
      <c r="AI22" s="245">
        <f>SUMIFS($X$11:$X$70,$S$11:$S$70,1,$U$11:$U$70,2,$V$11:$V$70,"&lt;65")</f>
        <v>0</v>
      </c>
      <c r="AJ22" s="245">
        <f>SUMIFS($X$11:$X$70,$S$11:$S$70,3,$U$11:$U$70,1)</f>
        <v>0</v>
      </c>
      <c r="AK22" s="245">
        <f>SUMIFS($X$11:$X$70,$S$11:$S$70,3,$U$11:$U$70,2)</f>
        <v>0</v>
      </c>
      <c r="AL22" s="195"/>
      <c r="AM22" s="196"/>
      <c r="AN22" s="197"/>
      <c r="AO22" s="197"/>
      <c r="AP22" s="245">
        <f>SUMIFS($X$11:$X$70,$S$11:$S$70,4,$U$11:$U$70,1)</f>
        <v>0</v>
      </c>
      <c r="AQ22" s="245">
        <f>SUMIFS($X$11:$X$70,$S$11:$S$70,4,$U$11:$U$70,2)</f>
        <v>0</v>
      </c>
      <c r="AR22" s="245">
        <f>SUMIFS($X$11:$X$70,$S$11:$S$70,5,$U$11:$U$70,1,$V$11:$V$70,"&lt;65")</f>
        <v>0</v>
      </c>
      <c r="AS22" s="245">
        <f>SUMIFS($X$11:$X$70,$S$11:$S$70,5,$U$11:$U$70,2,$V$11:$V$70,"&lt;65")</f>
        <v>0</v>
      </c>
      <c r="AT22"/>
      <c r="AU22"/>
      <c r="AV22" s="198"/>
      <c r="AW22" s="198"/>
      <c r="AX22" s="221"/>
      <c r="AY22" s="346"/>
      <c r="AZ22" s="346"/>
      <c r="BA22" s="346"/>
      <c r="BB22" s="346"/>
      <c r="BC22" s="346"/>
      <c r="BD22" s="346"/>
      <c r="BE22" s="346"/>
      <c r="BF22" s="347"/>
    </row>
    <row r="23" spans="1:58" ht="29.25" customHeight="1" thickTop="1" x14ac:dyDescent="0.25">
      <c r="A23" s="135">
        <f>ROUND((ROW()-10)/2,0)</f>
        <v>7</v>
      </c>
      <c r="B23" s="19"/>
      <c r="C23" s="88" t="str">
        <f>IF(INDEX(設定!$C$9:$C$108,$A23,1)="","",INDEX(設定!$C$9:$C$108,$A23,1))</f>
        <v/>
      </c>
      <c r="D23" s="74" t="str">
        <f>IF(INDEX(設定!$D$9:$D$108,$A23,1)="","",INDEX(設定!$D$9:$D$108,$A23,1))</f>
        <v/>
      </c>
      <c r="E23" s="75" t="str">
        <f>IF(INDEX(設定!$E$9:$E$108,$A23,1)="","",INDEX(設定!$E$9:$E$108,$A23,1))</f>
        <v/>
      </c>
      <c r="F23" s="76" t="str">
        <f>IF(S23="","",IF(S23=1,"1：家族",IF(AND(S23&gt;=2,S23&lt;=5),"2：雇用","")))</f>
        <v/>
      </c>
      <c r="G23" s="134">
        <f>INT(INDEX(設定!$H$9:H$108,$A23,1))</f>
        <v>0</v>
      </c>
      <c r="H23" s="77" t="str">
        <f>IF(INDEX(設定!$H$9:$H$108,$A23,1)=0,"",ROUND(MOD(INDEX(設定!$H$9:$H$108,$A23,1),1)*60,0))</f>
        <v/>
      </c>
      <c r="I23" s="134">
        <f>INT(INDEX(設定!$I$9:$I$108,$A23,1))</f>
        <v>0</v>
      </c>
      <c r="J23" s="77" t="str">
        <f>IF(INDEX(設定!$I$9:$I$108,$A23,1)=0,"",ROUND(MOD(INDEX(設定!$I$9:$I$108,$A23,1),1)*60,0))</f>
        <v/>
      </c>
      <c r="K23" s="134">
        <f>INT(INDEX(設定!$J$9:$J$108,$A23,1))</f>
        <v>0</v>
      </c>
      <c r="L23" s="78" t="str">
        <f>IF(INDEX(設定!$J$9:$J$108,$A23,1)=0,"",ROUND(MOD(INDEX(設定!$J$9:$J$108,$A23,1),1)*60,0))</f>
        <v/>
      </c>
      <c r="M23" s="154"/>
      <c r="N23" s="153"/>
      <c r="P23" s="19"/>
      <c r="Q23" s="19"/>
      <c r="S23" s="89" t="str">
        <f>IF(INDEX(設定!$F$9:$F$108,$A23,1)="","",VALUE(LEFT(INDEX(設定!$F$9:$F$108,$A23,1),1)))</f>
        <v/>
      </c>
      <c r="T23" s="202" t="str">
        <f>IF(C23="","",C23)</f>
        <v/>
      </c>
      <c r="U23" s="203" t="str">
        <f>IF(D23="","",IF(D23="1：男",1,IF(D23="2：女",2)))</f>
        <v/>
      </c>
      <c r="V23" s="204" t="str">
        <f>IF(E23="","",E23)</f>
        <v/>
      </c>
      <c r="W23" s="332" t="str">
        <f t="shared" ref="W23" si="16">IF(AND(G23="",H23="",G24=""),"",ROUND(SUM(G23,H23/60)*G24,1))</f>
        <v/>
      </c>
      <c r="X23" s="333" t="str">
        <f t="shared" ref="X23" si="17">IF(AND(I23="",J23="",I24=""),"",ROUND(SUM(I23,J23/60)*I24,1))</f>
        <v/>
      </c>
      <c r="Y23" s="334" t="str">
        <f t="shared" ref="Y23" si="18">IF(AND(K23="",L23="",K24=""),"",ROUND(SUM(K23,L23/60)*K24,1))</f>
        <v/>
      </c>
      <c r="Z23" s="183"/>
      <c r="AA23" s="184"/>
      <c r="AB23" s="184"/>
      <c r="AC23" s="225"/>
      <c r="AD23" s="216"/>
      <c r="AE23" s="224" t="s">
        <v>127</v>
      </c>
      <c r="AF23" s="236">
        <f t="shared" si="15"/>
        <v>0</v>
      </c>
      <c r="AG23" s="236">
        <f t="shared" si="15"/>
        <v>0</v>
      </c>
      <c r="AH23" s="236">
        <f>SUMIFS($X$11:$X$70,$S$11:$S$70,1,$U$11:$U$70,1,$V$11:$V$70,"&gt;=65",$V$11:$V$70,"&lt;70")</f>
        <v>0</v>
      </c>
      <c r="AI23" s="236">
        <f>SUMIFS($X$11:$X$70,$S$11:$S$70,1,$U$11:$U$70,2,$V$11:$V$70,"&gt;=65",$V$11:$V$70,"&lt;70")</f>
        <v>0</v>
      </c>
      <c r="AJ23" s="206"/>
      <c r="AK23" s="206"/>
      <c r="AL23" s="195"/>
      <c r="AM23" s="196"/>
      <c r="AN23" s="196"/>
      <c r="AO23" s="196"/>
      <c r="AP23" s="206"/>
      <c r="AQ23" s="206"/>
      <c r="AR23" s="236">
        <f>SUMIFS($X$11:$X$70,$S$11:$S$70,5,$U$11:$U$70,1,$V$11:$V$70,"&gt;=65",$V$11:$V$70,"&lt;70")</f>
        <v>0</v>
      </c>
      <c r="AS23" s="236">
        <f>SUMIFS($X$11:$X$70,$S$11:$S$70,5,$U$11:$U$70,2,$V$11:$V$70,"&gt;=65",$V$11:$V$70,"&lt;70")</f>
        <v>0</v>
      </c>
      <c r="AT23"/>
      <c r="AU23"/>
      <c r="AV23" s="198"/>
      <c r="AW23" s="198"/>
      <c r="AX23" s="221"/>
      <c r="AY23" s="346"/>
      <c r="AZ23" s="346"/>
      <c r="BA23" s="346"/>
      <c r="BB23" s="346"/>
      <c r="BC23" s="346"/>
      <c r="BD23" s="346"/>
      <c r="BE23" s="346"/>
      <c r="BF23" s="347"/>
    </row>
    <row r="24" spans="1:58" ht="29.25" customHeight="1" thickBot="1" x14ac:dyDescent="0.3">
      <c r="B24" s="19"/>
      <c r="C24" s="80"/>
      <c r="D24" s="81"/>
      <c r="E24" s="82"/>
      <c r="F24" s="83"/>
      <c r="G24" s="84" t="str">
        <f>IF(SUM(G23:H23)&gt;0,1,"")</f>
        <v/>
      </c>
      <c r="H24" s="85"/>
      <c r="I24" s="84" t="str">
        <f>IF(SUM(I23:J23)&gt;0,1,"")</f>
        <v/>
      </c>
      <c r="J24" s="85"/>
      <c r="K24" s="84" t="str">
        <f>IF(SUM(K23:L23)&gt;0,1,"")</f>
        <v/>
      </c>
      <c r="L24" s="86"/>
      <c r="M24" s="155"/>
      <c r="N24" s="93"/>
      <c r="P24" s="19"/>
      <c r="Q24" s="19"/>
      <c r="S24" s="87"/>
      <c r="T24" s="177"/>
      <c r="U24" s="178"/>
      <c r="V24" s="179"/>
      <c r="W24" s="183"/>
      <c r="X24" s="323"/>
      <c r="Y24" s="324"/>
      <c r="Z24" s="183"/>
      <c r="AA24" s="184"/>
      <c r="AB24" s="184"/>
      <c r="AC24" s="225"/>
      <c r="AD24" s="216"/>
      <c r="AE24" s="224" t="s">
        <v>128</v>
      </c>
      <c r="AF24" s="236">
        <f t="shared" si="15"/>
        <v>0</v>
      </c>
      <c r="AG24" s="236">
        <f t="shared" si="15"/>
        <v>0</v>
      </c>
      <c r="AH24" s="236">
        <f>SUMIFS($X$11:$X$70,$S$11:$S$70,1,$U$11:$U$70,1,$V$11:$V$70,"&gt;=70",$V$11:$V$70,"&lt;75")</f>
        <v>0</v>
      </c>
      <c r="AI24" s="236">
        <f>SUMIFS($X$11:$X$70,$S$11:$S$70,1,$U$11:$U$70,2,$V$11:$V$70,"&gt;=70",$V$11:$V$70,"&lt;75")</f>
        <v>0</v>
      </c>
      <c r="AJ24" s="206"/>
      <c r="AK24" s="206"/>
      <c r="AL24" s="195"/>
      <c r="AM24" s="196"/>
      <c r="AN24" s="196"/>
      <c r="AO24" s="196"/>
      <c r="AP24" s="206"/>
      <c r="AQ24" s="206"/>
      <c r="AR24" s="236">
        <f>SUMIFS($X$11:$X$70,$S$11:$S$70,5,$U$11:$U$70,1,$V$11:$V$70,"&gt;=70",$V$11:$V$70,"&lt;75")</f>
        <v>0</v>
      </c>
      <c r="AS24" s="236">
        <f>SUMIFS($X$11:$X$70,$S$11:$S$70,5,$U$11:$U$70,2,$V$11:$V$70,"&gt;=70",$V$11:$V$70,"&lt;75")</f>
        <v>0</v>
      </c>
      <c r="AT24"/>
      <c r="AU24"/>
      <c r="AV24" s="198"/>
      <c r="AW24" s="198"/>
      <c r="AX24" s="221"/>
      <c r="AY24" s="346"/>
      <c r="AZ24" s="346"/>
      <c r="BA24" s="346"/>
      <c r="BB24" s="346"/>
      <c r="BC24" s="346"/>
      <c r="BD24" s="346"/>
      <c r="BE24" s="346"/>
      <c r="BF24" s="347"/>
    </row>
    <row r="25" spans="1:58" ht="29.25" customHeight="1" thickTop="1" thickBot="1" x14ac:dyDescent="0.3">
      <c r="A25" s="136">
        <f>ROUND((ROW()-10)/2,0)</f>
        <v>8</v>
      </c>
      <c r="C25" s="88" t="str">
        <f>IF(INDEX(設定!$C$9:$C$108,$A25,1)="","",INDEX(設定!$C$9:$C$108,$A25,1))</f>
        <v/>
      </c>
      <c r="D25" s="74" t="str">
        <f>IF(INDEX(設定!$D$9:$D$108,$A25,1)="","",INDEX(設定!$D$9:$D$108,$A25,1))</f>
        <v/>
      </c>
      <c r="E25" s="75" t="str">
        <f>IF(INDEX(設定!$E$9:$E$108,$A25,1)="","",INDEX(設定!$E$9:$E$108,$A25,1))</f>
        <v/>
      </c>
      <c r="F25" s="76" t="str">
        <f>IF(S25="","",IF(S25=1,"1：家族",IF(AND(S25&gt;=2,S25&lt;=5),"2：雇用","")))</f>
        <v/>
      </c>
      <c r="G25" s="134">
        <f>INT(INDEX(設定!$H$9:H$108,$A25,1))</f>
        <v>0</v>
      </c>
      <c r="H25" s="77" t="str">
        <f>IF(INDEX(設定!$H$9:$H$108,$A25,1)=0,"",ROUND(MOD(INDEX(設定!$H$9:$H$108,$A25,1),1)*60,0))</f>
        <v/>
      </c>
      <c r="I25" s="134">
        <f>INT(INDEX(設定!$I$9:$I$108,$A25,1))</f>
        <v>0</v>
      </c>
      <c r="J25" s="77" t="str">
        <f>IF(INDEX(設定!$I$9:$I$108,$A25,1)=0,"",ROUND(MOD(INDEX(設定!$I$9:$I$108,$A25,1),1)*60,0))</f>
        <v/>
      </c>
      <c r="K25" s="134">
        <f>INT(INDEX(設定!$J$9:$J$108,$A25,1))</f>
        <v>0</v>
      </c>
      <c r="L25" s="78" t="str">
        <f>IF(INDEX(設定!$J$9:$J$108,$A25,1)=0,"",ROUND(MOD(INDEX(設定!$J$9:$J$108,$A25,1),1)*60,0))</f>
        <v/>
      </c>
      <c r="M25" s="154"/>
      <c r="N25" s="153"/>
      <c r="P25" s="19"/>
      <c r="Q25" s="19"/>
      <c r="S25" s="89" t="str">
        <f>IF(INDEX(設定!$F$9:$F$108,$A25,1)="","",VALUE(LEFT(INDEX(設定!$F$9:$F$108,$A25,1),1)))</f>
        <v/>
      </c>
      <c r="T25" s="202" t="str">
        <f>IF(C25="","",C25)</f>
        <v/>
      </c>
      <c r="U25" s="203" t="str">
        <f>IF(D25="","",IF(D25="1：男",1,IF(D25="2：女",2)))</f>
        <v/>
      </c>
      <c r="V25" s="204" t="str">
        <f>IF(E25="","",E25)</f>
        <v/>
      </c>
      <c r="W25" s="332" t="str">
        <f t="shared" ref="W25" si="19">IF(AND(G25="",H25="",G26=""),"",ROUND(SUM(G25,H25/60)*G26,1))</f>
        <v/>
      </c>
      <c r="X25" s="333" t="str">
        <f t="shared" ref="X25" si="20">IF(AND(I25="",J25="",I26=""),"",ROUND(SUM(I25,J25/60)*I26,1))</f>
        <v/>
      </c>
      <c r="Y25" s="334" t="str">
        <f t="shared" ref="Y25" si="21">IF(AND(K25="",L25="",K26=""),"",ROUND(SUM(K25,L25/60)*K26,1))</f>
        <v/>
      </c>
      <c r="Z25" s="183"/>
      <c r="AA25" s="184"/>
      <c r="AB25" s="184"/>
      <c r="AC25" s="216"/>
      <c r="AD25" s="226"/>
      <c r="AE25" s="227" t="s">
        <v>15</v>
      </c>
      <c r="AF25" s="278">
        <f t="shared" si="15"/>
        <v>0</v>
      </c>
      <c r="AG25" s="278">
        <f t="shared" si="15"/>
        <v>0</v>
      </c>
      <c r="AH25" s="239">
        <f>SUMIFS($X$11:$X$70,$S$11:$S$70,1,$U$11:$U$70,1,$V$11:$V$70,"&gt;=75")</f>
        <v>0</v>
      </c>
      <c r="AI25" s="239">
        <f>SUMIFS($X$11:$X$70,$S$11:$S$70,1,$U$11:$U$70,2,$V$11:$V$70,"&gt;=75")</f>
        <v>0</v>
      </c>
      <c r="AJ25" s="209"/>
      <c r="AK25" s="209"/>
      <c r="AL25" s="195"/>
      <c r="AM25" s="196"/>
      <c r="AN25" s="211"/>
      <c r="AO25" s="211"/>
      <c r="AP25" s="209"/>
      <c r="AQ25" s="209"/>
      <c r="AR25" s="239">
        <f>SUMIFS($X$11:$X$70,$S$11:$S$70,5,$U$11:$U$70,1,$V$11:$V$70,"&gt;=75")</f>
        <v>0</v>
      </c>
      <c r="AS25" s="239">
        <f>SUMIFS($X$11:$X$70,$S$11:$S$70,5,$U$11:$U$70,2,$V$11:$V$70,"&gt;=75")</f>
        <v>0</v>
      </c>
      <c r="AT25"/>
      <c r="AU25"/>
      <c r="AV25" s="198"/>
      <c r="AW25" s="348"/>
      <c r="AX25" s="349"/>
      <c r="AY25" s="346"/>
      <c r="AZ25" s="346"/>
      <c r="BA25" s="346"/>
      <c r="BB25" s="346"/>
      <c r="BC25" s="346"/>
      <c r="BD25" s="346"/>
      <c r="BE25" s="346"/>
      <c r="BF25" s="347"/>
    </row>
    <row r="26" spans="1:58" ht="29.25" customHeight="1" thickTop="1" thickBot="1" x14ac:dyDescent="0.3">
      <c r="A26" s="136"/>
      <c r="C26" s="80"/>
      <c r="D26" s="81"/>
      <c r="E26" s="82"/>
      <c r="F26" s="83"/>
      <c r="G26" s="84" t="str">
        <f>IF(SUM(G25:H25)&gt;0,1,"")</f>
        <v/>
      </c>
      <c r="H26" s="85"/>
      <c r="I26" s="84" t="str">
        <f>IF(SUM(I25:J25)&gt;0,1,"")</f>
        <v/>
      </c>
      <c r="J26" s="85"/>
      <c r="K26" s="84" t="str">
        <f>IF(SUM(K25:L25)&gt;0,1,"")</f>
        <v/>
      </c>
      <c r="L26" s="86"/>
      <c r="M26" s="155"/>
      <c r="N26" s="93"/>
      <c r="P26" s="19"/>
      <c r="Q26" s="19"/>
      <c r="S26" s="87"/>
      <c r="T26" s="177"/>
      <c r="U26" s="178"/>
      <c r="V26" s="179"/>
      <c r="W26" s="183"/>
      <c r="X26" s="323"/>
      <c r="Y26" s="324"/>
      <c r="Z26" s="183"/>
      <c r="AA26" s="184"/>
      <c r="AB26" s="184"/>
      <c r="AC26" s="216"/>
      <c r="AD26" s="541" t="s">
        <v>13</v>
      </c>
      <c r="AE26" s="543"/>
      <c r="AF26" s="339">
        <f>SUM(AF27:AF30)</f>
        <v>0</v>
      </c>
      <c r="AG26" s="339">
        <f>SUM(AG27:AG30)</f>
        <v>0</v>
      </c>
      <c r="AH26" s="186"/>
      <c r="AI26" s="186"/>
      <c r="AJ26" s="186"/>
      <c r="AK26" s="186"/>
      <c r="AL26" s="339">
        <f>AN26+AP26+AR26</f>
        <v>0</v>
      </c>
      <c r="AM26" s="339">
        <f>AO26+AQ26+AS26</f>
        <v>0</v>
      </c>
      <c r="AN26" s="228">
        <f>SUMIFS($Y$11:$Y$70,$S$11:$S$70,2,$U$11:$U$70,1)</f>
        <v>0</v>
      </c>
      <c r="AO26" s="228">
        <f>SUMIFS($Y$11:$Y$70,$S$11:$S$70,2,$U$11:$U$70,2)</f>
        <v>0</v>
      </c>
      <c r="AP26" s="242">
        <f>AP27</f>
        <v>0</v>
      </c>
      <c r="AQ26" s="242">
        <f>AQ27</f>
        <v>0</v>
      </c>
      <c r="AR26" s="242">
        <f>SUM(AR27:AR30)</f>
        <v>0</v>
      </c>
      <c r="AS26" s="242">
        <f>SUM(AS27:AS30)</f>
        <v>0</v>
      </c>
      <c r="AT26"/>
      <c r="AU26"/>
      <c r="AV26" s="220"/>
      <c r="AW26" s="243"/>
      <c r="AX26" s="350"/>
      <c r="AY26" s="351"/>
      <c r="AZ26" s="351"/>
      <c r="BA26" s="351"/>
      <c r="BB26" s="351"/>
      <c r="BC26" s="351"/>
      <c r="BD26" s="351"/>
      <c r="BE26" s="351"/>
      <c r="BF26" s="352"/>
    </row>
    <row r="27" spans="1:58" ht="29.25" customHeight="1" thickTop="1" x14ac:dyDescent="0.25">
      <c r="A27" s="136">
        <f>ROUND((ROW()-10)/2,0)</f>
        <v>9</v>
      </c>
      <c r="C27" s="88" t="str">
        <f>IF(INDEX(設定!$C$9:$C$108,$A27,1)="","",INDEX(設定!$C$9:$C$108,$A27,1))</f>
        <v/>
      </c>
      <c r="D27" s="74" t="str">
        <f>IF(INDEX(設定!$D$9:$D$108,$A27,1)="","",INDEX(設定!$D$9:$D$108,$A27,1))</f>
        <v/>
      </c>
      <c r="E27" s="75" t="str">
        <f>IF(INDEX(設定!$E$9:$E$108,$A27,1)="","",INDEX(設定!$E$9:$E$108,$A27,1))</f>
        <v/>
      </c>
      <c r="F27" s="76" t="str">
        <f>IF(S27="","",IF(S27=1,"1：家族",IF(AND(S27&gt;=2,S27&lt;=5),"2：雇用","")))</f>
        <v/>
      </c>
      <c r="G27" s="134">
        <f>INT(INDEX(設定!$H$9:H$108,$A27,1))</f>
        <v>0</v>
      </c>
      <c r="H27" s="77" t="str">
        <f>IF(INDEX(設定!$H$9:$H$108,$A27,1)=0,"",ROUND(MOD(INDEX(設定!$H$9:$H$108,$A27,1),1)*60,0))</f>
        <v/>
      </c>
      <c r="I27" s="134">
        <f>INT(INDEX(設定!$I$9:$I$108,$A27,1))</f>
        <v>0</v>
      </c>
      <c r="J27" s="77" t="str">
        <f>IF(INDEX(設定!$I$9:$I$108,$A27,1)=0,"",ROUND(MOD(INDEX(設定!$I$9:$I$108,$A27,1),1)*60,0))</f>
        <v/>
      </c>
      <c r="K27" s="134">
        <f>INT(INDEX(設定!$J$9:$J$108,$A27,1))</f>
        <v>0</v>
      </c>
      <c r="L27" s="78" t="str">
        <f>IF(INDEX(設定!$J$9:$J$108,$A27,1)=0,"",ROUND(MOD(INDEX(設定!$J$9:$J$108,$A27,1),1)*60,0))</f>
        <v/>
      </c>
      <c r="M27" s="154"/>
      <c r="N27" s="153"/>
      <c r="P27" s="19"/>
      <c r="Q27" s="19"/>
      <c r="S27" s="89" t="str">
        <f>IF(INDEX(設定!$F$9:$F$108,$A27,1)="","",VALUE(LEFT(INDEX(設定!$F$9:$F$108,$A27,1),1)))</f>
        <v/>
      </c>
      <c r="T27" s="202" t="str">
        <f>IF(C27="","",C27)</f>
        <v/>
      </c>
      <c r="U27" s="203" t="str">
        <f>IF(D27="","",IF(D27="1：男",1,IF(D27="2：女",2)))</f>
        <v/>
      </c>
      <c r="V27" s="204" t="str">
        <f>IF(E27="","",E27)</f>
        <v/>
      </c>
      <c r="W27" s="333" t="str">
        <f>IF(AND(G27="",H27="",G28=""),"",ROUND(SUM(G27,H27/60)*G28,1))</f>
        <v/>
      </c>
      <c r="X27" s="333" t="str">
        <f>IF(AND(I27="",J27="",I28=""),"",ROUND(SUM(I27,J27/60)*I28,1))</f>
        <v/>
      </c>
      <c r="Y27" s="334" t="str">
        <f t="shared" ref="Y27" si="22">IF(AND(K27="",L27="",K28=""),"",ROUND(SUM(K27,L27/60)*K28,1))</f>
        <v/>
      </c>
      <c r="Z27" s="183"/>
      <c r="AA27" s="184"/>
      <c r="AB27" s="184"/>
      <c r="AC27" s="216"/>
      <c r="AD27" s="216"/>
      <c r="AE27" s="223" t="s">
        <v>14</v>
      </c>
      <c r="AF27" s="328">
        <f t="shared" ref="AF27:AG30" si="23">AH27+AJ27</f>
        <v>0</v>
      </c>
      <c r="AG27" s="328">
        <f t="shared" si="23"/>
        <v>0</v>
      </c>
      <c r="AH27" s="245">
        <f>SUMIFS($Y$11:$Y$70,$S$11:$S$70,1,$U$11:$U$70,1,$V$11:$V$70,"&lt;65")+SUMIFS($W$77:$W$106,$S$77:$S$106,1,$U$77:$U$106,1,$V$77:$V$106,"&lt;65")</f>
        <v>0</v>
      </c>
      <c r="AI27" s="245">
        <f>SUMIFS($Y$11:$Y$70,$S$11:$S$70,1,$U$11:$U$70,2,$V$11:$V$70,"&lt;65")+SUMIFS($W$77:$W$106,$S$77:$S$106,1,$U$77:$U$106,2,$V$77:$V$106,"&lt;65")</f>
        <v>0</v>
      </c>
      <c r="AJ27" s="245">
        <f>SUMIFS($Y$11:$Y$70,$S$11:$S$70,3,$U$11:$U$70,1)
+SUMIFS($Y$77:$Y$106,$S$77:$S$106,3,$U$77:$U$106,1)</f>
        <v>0</v>
      </c>
      <c r="AK27" s="245">
        <f>SUMIFS($Y$11:$Y$70,$S$11:$S$70,3,$U$11:$U$70,2)
+SUMIFS($Y$77:$Y$106,$S$77:$S$106,3,$U$77:$U$106,2)</f>
        <v>0</v>
      </c>
      <c r="AL27" s="195"/>
      <c r="AM27" s="196"/>
      <c r="AN27" s="197"/>
      <c r="AO27" s="197"/>
      <c r="AP27" s="245">
        <f>SUMIFS($Y$11:$Y$70,$S$11:$S$70,4,$U$11:$U$70,1)
+SUMIFS($Y$77:$Y$106,$S$77:$S$106,4,$U$77:$U$106,1)</f>
        <v>0</v>
      </c>
      <c r="AQ27" s="245">
        <f>SUMIFS($Y$11:$Y$70,$S$11:$S$70,4,$U$11:$U$70,2)
+SUMIFS($Y$77:$Y$106,$S$77:$S$106,4,$U$77:$U$106,2)</f>
        <v>0</v>
      </c>
      <c r="AR27" s="245">
        <f>SUMIFS($Y$11:$Y$70,$S$11:$S$70,5,$U$11:$U$70,1,$V$11:$V$70,"&lt;65")</f>
        <v>0</v>
      </c>
      <c r="AS27" s="245">
        <f>SUMIFS($Y$11:$Y$70,$S$11:$S$70,5,$U$11:$U$70,2,$V$11:$V$70,"&lt;65")</f>
        <v>0</v>
      </c>
      <c r="AT27"/>
      <c r="AU27"/>
      <c r="AV27" s="220"/>
      <c r="AW27" s="216"/>
      <c r="AX27" s="184"/>
      <c r="AY27" s="353"/>
      <c r="AZ27" s="353"/>
      <c r="BA27" s="353"/>
      <c r="BB27" s="353"/>
      <c r="BC27" s="353"/>
      <c r="BD27" s="353"/>
      <c r="BE27" s="353"/>
      <c r="BF27" s="354"/>
    </row>
    <row r="28" spans="1:58" ht="29.25" customHeight="1" thickBot="1" x14ac:dyDescent="0.3">
      <c r="B28" s="19"/>
      <c r="C28" s="80"/>
      <c r="D28" s="81"/>
      <c r="E28" s="82"/>
      <c r="F28" s="83"/>
      <c r="G28" s="84" t="str">
        <f>IF(SUM(G27:H27)&gt;0,1,"")</f>
        <v/>
      </c>
      <c r="H28" s="85"/>
      <c r="I28" s="84" t="str">
        <f>IF(SUM(I27:J27)&gt;0,1,"")</f>
        <v/>
      </c>
      <c r="J28" s="85"/>
      <c r="K28" s="84" t="str">
        <f>IF(SUM(K27:L27)&gt;0,1,"")</f>
        <v/>
      </c>
      <c r="L28" s="86"/>
      <c r="M28" s="155"/>
      <c r="N28" s="93"/>
      <c r="P28" s="19"/>
      <c r="Q28" s="19"/>
      <c r="S28" s="87"/>
      <c r="T28" s="233"/>
      <c r="U28" s="234"/>
      <c r="V28" s="235"/>
      <c r="W28" s="355"/>
      <c r="X28" s="355"/>
      <c r="Y28" s="356"/>
      <c r="Z28" s="183"/>
      <c r="AA28" s="184"/>
      <c r="AB28" s="184"/>
      <c r="AC28" s="216"/>
      <c r="AD28" s="216"/>
      <c r="AE28" s="224" t="s">
        <v>127</v>
      </c>
      <c r="AF28" s="236">
        <f t="shared" si="23"/>
        <v>0</v>
      </c>
      <c r="AG28" s="236">
        <f t="shared" si="23"/>
        <v>0</v>
      </c>
      <c r="AH28" s="236">
        <f>SUMIFS($Y$11:$Y$70,$S$11:$S$70,1,$U$11:$U$70,1,$V$11:$V$70,"&gt;=65",$V$11:$V$70,"&lt;70")+SUMIFS($W$77:$W$106,$S$77:$S$106,1,$U$77:$U$106,1,$V$77:$V$106,"&gt;=65",$V$77:$V$106,"&lt;70")</f>
        <v>0</v>
      </c>
      <c r="AI28" s="236">
        <f>SUMIFS($Y$11:$Y$70,$S$11:$S$70,1,$U$11:$U$70,2,$V$11:$V$70,"&gt;=65",$V$11:$V$70,"&lt;70")+SUMIFS($W$77:$W$106,$S$77:$S$106,1,$U$77:$U$106,2,$V$77:$V$106,"&gt;=65",$V$77:$V$106,"&lt;70")</f>
        <v>0</v>
      </c>
      <c r="AJ28" s="206"/>
      <c r="AK28" s="206"/>
      <c r="AL28" s="195"/>
      <c r="AM28" s="196"/>
      <c r="AN28" s="196"/>
      <c r="AO28" s="196"/>
      <c r="AP28" s="206"/>
      <c r="AQ28" s="206"/>
      <c r="AR28" s="236">
        <f>SUMIFS($Y$11:$Y$70,$S$11:$S$70,5,$U$11:$U$70,1,$V$11:$V$70,"&gt;=65",$V$11:$V$70,"&lt;70")</f>
        <v>0</v>
      </c>
      <c r="AS28" s="236">
        <f>SUMIFS($Y$11:$Y$70,$S$11:$S$70,5,$U$11:$U$70,2,$V$11:$V$70,"&gt;=65",$V$11:$V$70,"&lt;70")</f>
        <v>0</v>
      </c>
      <c r="AT28" s="221"/>
      <c r="AU28" s="221"/>
      <c r="AV28" s="220"/>
      <c r="AW28" s="216"/>
      <c r="AX28" s="184"/>
      <c r="AY28" s="353"/>
      <c r="AZ28" s="353"/>
      <c r="BA28" s="353"/>
      <c r="BB28" s="353"/>
      <c r="BC28" s="353"/>
      <c r="BD28" s="353"/>
      <c r="BE28" s="353"/>
      <c r="BF28" s="354"/>
    </row>
    <row r="29" spans="1:58" ht="29.25" customHeight="1" thickTop="1" x14ac:dyDescent="0.25">
      <c r="A29" s="135">
        <f>ROUND((ROW()-10)/2,0)</f>
        <v>10</v>
      </c>
      <c r="B29" s="19"/>
      <c r="C29" s="88" t="str">
        <f>IF(INDEX(設定!$C$9:$C$108,$A29,1)="","",INDEX(設定!$C$9:$C$108,$A29,1))</f>
        <v/>
      </c>
      <c r="D29" s="74" t="str">
        <f>IF(INDEX(設定!$D$9:$D$108,$A29,1)="","",INDEX(設定!$D$9:$D$108,$A29,1))</f>
        <v/>
      </c>
      <c r="E29" s="75" t="str">
        <f>IF(INDEX(設定!$E$9:$E$108,$A29,1)="","",INDEX(設定!$E$9:$E$108,$A29,1))</f>
        <v/>
      </c>
      <c r="F29" s="76" t="str">
        <f>IF(S29="","",IF(S29=1,"1：家族",IF(AND(S29&gt;=2,S29&lt;=5),"2：雇用","")))</f>
        <v/>
      </c>
      <c r="G29" s="134">
        <f>INT(INDEX(設定!$H$9:H$108,$A29,1))</f>
        <v>0</v>
      </c>
      <c r="H29" s="77" t="str">
        <f>IF(INDEX(設定!$H$9:$H$108,$A29,1)=0,"",ROUND(MOD(INDEX(設定!$H$9:$H$108,$A29,1),1)*60,0))</f>
        <v/>
      </c>
      <c r="I29" s="134">
        <f>INT(INDEX(設定!$I$9:$I$108,$A29,1))</f>
        <v>0</v>
      </c>
      <c r="J29" s="77" t="str">
        <f>IF(INDEX(設定!$I$9:$I$108,$A29,1)=0,"",ROUND(MOD(INDEX(設定!$I$9:$I$108,$A29,1),1)*60,0))</f>
        <v/>
      </c>
      <c r="K29" s="134">
        <f>INT(INDEX(設定!$J$9:$J$108,$A29,1))</f>
        <v>0</v>
      </c>
      <c r="L29" s="78" t="str">
        <f>IF(INDEX(設定!$J$9:$J$108,$A29,1)=0,"",ROUND(MOD(INDEX(設定!$J$9:$J$108,$A29,1),1)*60,0))</f>
        <v/>
      </c>
      <c r="M29" s="154"/>
      <c r="N29" s="153"/>
      <c r="P29" s="19"/>
      <c r="Q29" s="19"/>
      <c r="S29" s="89" t="str">
        <f>IF(INDEX(設定!$F$9:$F$108,$A29,1)="","",VALUE(LEFT(INDEX(設定!$F$9:$F$108,$A29,1),1)))</f>
        <v/>
      </c>
      <c r="T29" s="202" t="str">
        <f>IF(C29="","",C29)</f>
        <v/>
      </c>
      <c r="U29" s="203" t="str">
        <f>IF(D29="","",IF(D29="1：男",1,IF(D29="2：女",2)))</f>
        <v/>
      </c>
      <c r="V29" s="204" t="str">
        <f>IF(E29="","",E29)</f>
        <v/>
      </c>
      <c r="W29" s="332" t="str">
        <f t="shared" ref="W29" si="24">IF(AND(G29="",H29="",G30=""),"",ROUND(SUM(G29,H29/60)*G30,1))</f>
        <v/>
      </c>
      <c r="X29" s="333" t="str">
        <f t="shared" ref="X29" si="25">IF(AND(I29="",J29="",I30=""),"",ROUND(SUM(I29,J29/60)*I30,1))</f>
        <v/>
      </c>
      <c r="Y29" s="334" t="str">
        <f t="shared" ref="Y29" si="26">IF(AND(K29="",L29="",K30=""),"",ROUND(SUM(K29,L29/60)*K30,1))</f>
        <v/>
      </c>
      <c r="Z29" s="183"/>
      <c r="AA29" s="184"/>
      <c r="AB29" s="184"/>
      <c r="AC29" s="247"/>
      <c r="AD29" s="216"/>
      <c r="AE29" s="224" t="s">
        <v>128</v>
      </c>
      <c r="AF29" s="236">
        <f t="shared" si="23"/>
        <v>0</v>
      </c>
      <c r="AG29" s="236">
        <f t="shared" si="23"/>
        <v>0</v>
      </c>
      <c r="AH29" s="236">
        <f>SUMIFS($Y$11:$Y$70,$S$11:$S$70,1,$U$11:$U$70,1,$V$11:$V$70,"&gt;=70",$V$11:$V$70,"&lt;75")+SUMIFS($W$77:$W$106,$S$77:$S$106,1,$U$77:$U$106,1,$V$77:$V$106,"&gt;=70",$V$77:$V$106,"&lt;75")</f>
        <v>0</v>
      </c>
      <c r="AI29" s="236">
        <f>SUMIFS($Y$11:$Y$70,$S$11:$S$70,1,$U$11:$U$70,2,$V$11:$V$70,"&gt;=70",$V$11:$V$70,"&lt;75")+SUMIFS($W$77:$W$106,$S$77:$S$106,1,$U$77:$U$106,2,$V$77:$V$106,"&gt;=70",$V$77:$V$106,"&lt;75")</f>
        <v>0</v>
      </c>
      <c r="AJ29" s="206"/>
      <c r="AK29" s="206"/>
      <c r="AL29" s="195"/>
      <c r="AM29" s="196"/>
      <c r="AN29" s="196"/>
      <c r="AO29" s="196"/>
      <c r="AP29" s="206"/>
      <c r="AQ29" s="206"/>
      <c r="AR29" s="236">
        <f>SUMIFS($Y$11:$Y$70,$S$11:$S$70,5,$U$11:$U$70,1,$V$11:$V$70,"&gt;=70",$V$11:$V$70,"&lt;75")</f>
        <v>0</v>
      </c>
      <c r="AS29" s="236">
        <f>SUMIFS($Y$11:$Y$70,$S$11:$S$70,5,$U$11:$U$70,2,$V$11:$V$70,"&gt;=70",$V$11:$V$70,"&lt;75")</f>
        <v>0</v>
      </c>
      <c r="AT29" s="221"/>
      <c r="AU29" s="221"/>
      <c r="AV29" s="220"/>
      <c r="AW29" s="216"/>
      <c r="AX29" s="184"/>
      <c r="AY29" s="353"/>
      <c r="AZ29" s="353"/>
      <c r="BA29" s="353"/>
      <c r="BB29" s="353"/>
      <c r="BC29" s="353"/>
      <c r="BD29" s="353"/>
      <c r="BE29" s="353"/>
      <c r="BF29" s="354"/>
    </row>
    <row r="30" spans="1:58" ht="29.25" customHeight="1" thickBot="1" x14ac:dyDescent="0.3">
      <c r="B30" s="19"/>
      <c r="C30" s="80"/>
      <c r="D30" s="81"/>
      <c r="E30" s="82"/>
      <c r="F30" s="83"/>
      <c r="G30" s="84" t="str">
        <f>IF(SUM(G29:H29)&gt;0,1,"")</f>
        <v/>
      </c>
      <c r="H30" s="85"/>
      <c r="I30" s="84" t="str">
        <f>IF(SUM(I29:J29)&gt;0,1,"")</f>
        <v/>
      </c>
      <c r="J30" s="85"/>
      <c r="K30" s="84" t="str">
        <f>IF(SUM(K29:L29)&gt;0,1,"")</f>
        <v/>
      </c>
      <c r="L30" s="86"/>
      <c r="M30" s="155"/>
      <c r="N30" s="93"/>
      <c r="P30" s="19"/>
      <c r="Q30" s="19"/>
      <c r="S30" s="87"/>
      <c r="T30" s="177"/>
      <c r="U30" s="178"/>
      <c r="V30" s="179"/>
      <c r="W30" s="183"/>
      <c r="X30" s="323"/>
      <c r="Y30" s="324"/>
      <c r="Z30" s="183"/>
      <c r="AA30" s="184"/>
      <c r="AB30" s="221"/>
      <c r="AC30" s="247"/>
      <c r="AD30" s="226"/>
      <c r="AE30" s="227" t="s">
        <v>15</v>
      </c>
      <c r="AF30" s="278">
        <f t="shared" si="23"/>
        <v>0</v>
      </c>
      <c r="AG30" s="278">
        <f t="shared" si="23"/>
        <v>0</v>
      </c>
      <c r="AH30" s="239">
        <f>SUMIFS($Y$11:$Y$70,$S$11:$S$70,1,$U$11:$U$70,1,$V$11:$V$70,"&gt;=75")+SUMIFS($W$77:$W$106,$S$77:$S$106,1,$U$77:$U$106,1,$V$77:$V$106,"&gt;=75")</f>
        <v>0</v>
      </c>
      <c r="AI30" s="239">
        <f>SUMIFS($Y$11:$Y$70,$S$11:$S$70,1,$U$11:$U$70,2,$V$11:$V$70,"&gt;=75")+SUMIFS($W$77:$W$106,$S$77:$S$106,1,$U$77:$U$106,2,$V$77:$V$106,"&gt;=75")</f>
        <v>0</v>
      </c>
      <c r="AJ30" s="209"/>
      <c r="AK30" s="209"/>
      <c r="AL30" s="195"/>
      <c r="AM30" s="196"/>
      <c r="AN30" s="211"/>
      <c r="AO30" s="211"/>
      <c r="AP30" s="209"/>
      <c r="AQ30" s="209"/>
      <c r="AR30" s="239">
        <f>SUMIFS($Y$11:$Y$70,$S$11:$S$70,5,$U$11:$U$70,1,$V$11:$V$70,"&gt;=75")</f>
        <v>0</v>
      </c>
      <c r="AS30" s="239">
        <f>SUMIFS($Y$11:$Y$70,$S$11:$S$70,5,$U$11:$U$70,2,$V$11:$V$70,"&gt;=75")</f>
        <v>0</v>
      </c>
      <c r="AT30" s="221"/>
      <c r="AU30" s="221"/>
      <c r="AV30" s="220"/>
      <c r="AW30" s="226"/>
      <c r="AX30" s="357"/>
      <c r="AY30" s="358"/>
      <c r="AZ30" s="358"/>
      <c r="BA30" s="353"/>
      <c r="BB30" s="353"/>
      <c r="BC30" s="353"/>
      <c r="BD30" s="353"/>
      <c r="BE30" s="353"/>
      <c r="BF30" s="354"/>
    </row>
    <row r="31" spans="1:58" ht="29.25" customHeight="1" thickTop="1" thickBot="1" x14ac:dyDescent="0.3">
      <c r="A31" s="135">
        <f>ROUND((ROW()-10)/2,0)</f>
        <v>11</v>
      </c>
      <c r="B31" s="19"/>
      <c r="C31" s="88" t="str">
        <f>IF(INDEX(設定!$C$9:$C$108,$A31,1)="","",INDEX(設定!$C$9:$C$108,$A31,1))</f>
        <v/>
      </c>
      <c r="D31" s="74" t="str">
        <f>IF(INDEX(設定!$D$9:$D$108,$A31,1)="","",INDEX(設定!$D$9:$D$108,$A31,1))</f>
        <v/>
      </c>
      <c r="E31" s="75" t="str">
        <f>IF(INDEX(設定!$E$9:$E$108,$A31,1)="","",INDEX(設定!$E$9:$E$108,$A31,1))</f>
        <v/>
      </c>
      <c r="F31" s="76" t="str">
        <f>IF(S31="","",IF(S31=1,"1：家族",IF(AND(S31&gt;=2,S31&lt;=5),"2：雇用","")))</f>
        <v/>
      </c>
      <c r="G31" s="134">
        <f>INT(INDEX(設定!$H$9:H$108,$A31,1))</f>
        <v>0</v>
      </c>
      <c r="H31" s="77" t="str">
        <f>IF(INDEX(設定!$H$9:$H$108,$A31,1)=0,"",ROUND(MOD(INDEX(設定!$H$9:$H$108,$A31,1),1)*60,0))</f>
        <v/>
      </c>
      <c r="I31" s="134">
        <f>INT(INDEX(設定!$I$9:$I$108,$A31,1))</f>
        <v>0</v>
      </c>
      <c r="J31" s="77" t="str">
        <f>IF(INDEX(設定!$I$9:$I$108,$A31,1)=0,"",ROUND(MOD(INDEX(設定!$I$9:$I$108,$A31,1),1)*60,0))</f>
        <v/>
      </c>
      <c r="K31" s="134">
        <f>INT(INDEX(設定!$J$9:$J$108,$A31,1))</f>
        <v>0</v>
      </c>
      <c r="L31" s="78" t="str">
        <f>IF(INDEX(設定!$J$9:$J$108,$A31,1)=0,"",ROUND(MOD(INDEX(設定!$J$9:$J$108,$A31,1),1)*60,0))</f>
        <v/>
      </c>
      <c r="M31" s="154"/>
      <c r="N31" s="153"/>
      <c r="P31" s="19"/>
      <c r="Q31" s="19"/>
      <c r="S31" s="89" t="str">
        <f>IF(INDEX(設定!$F$9:$F$108,$A31,1)="","",VALUE(LEFT(INDEX(設定!$F$9:$F$108,$A31,1),1)))</f>
        <v/>
      </c>
      <c r="T31" s="202" t="str">
        <f>IF(C31="","",C31)</f>
        <v/>
      </c>
      <c r="U31" s="203" t="str">
        <f>IF(D31="","",IF(D31="1：男",1,IF(D31="2：女",2)))</f>
        <v/>
      </c>
      <c r="V31" s="204" t="str">
        <f>IF(E31="","",E31)</f>
        <v/>
      </c>
      <c r="W31" s="332" t="str">
        <f t="shared" ref="W31" si="27">IF(AND(G31="",H31="",G32=""),"",ROUND(SUM(G31,H31/60)*G32,1))</f>
        <v/>
      </c>
      <c r="X31" s="333" t="str">
        <f t="shared" ref="X31" si="28">IF(AND(I31="",J31="",I32=""),"",ROUND(SUM(I31,J31/60)*I32,1))</f>
        <v/>
      </c>
      <c r="Y31" s="334" t="str">
        <f t="shared" ref="Y31" si="29">IF(AND(K31="",L31="",K32=""),"",ROUND(SUM(K31,L31/60)*K32,1))</f>
        <v/>
      </c>
      <c r="Z31" s="183"/>
      <c r="AA31" s="184"/>
      <c r="AB31" s="221"/>
      <c r="AC31" s="544" t="s">
        <v>131</v>
      </c>
      <c r="AD31" s="549"/>
      <c r="AE31" s="549"/>
      <c r="AF31" s="339">
        <f>SUM(AF32:AF35)</f>
        <v>0</v>
      </c>
      <c r="AG31" s="339">
        <f>SUM(AG32:AG35)</f>
        <v>0</v>
      </c>
      <c r="AH31" s="186"/>
      <c r="AI31" s="186"/>
      <c r="AJ31" s="186"/>
      <c r="AK31" s="186"/>
      <c r="AL31" s="339">
        <f>AN31+AP31+AR31</f>
        <v>0</v>
      </c>
      <c r="AM31" s="339">
        <f>AO31+AQ31+AS31</f>
        <v>0</v>
      </c>
      <c r="AN31" s="275">
        <f>SUMIFS($X$77:$X$106,$S$77:$S$106,2,$U$77:$U$106,1)+SUMIFS($Y$77:$Y$106,$S$77:$S$106,2,$U$77:$U$106,1)</f>
        <v>0</v>
      </c>
      <c r="AO31" s="245">
        <f>SUMIFS($X$77:$X$106,$S$77:$S$106,2,$U$77:$U$106,2)+SUMIFS($Y$77:$Y$106,$S$77:$S$106,2,$U$77:$U$106,2)</f>
        <v>0</v>
      </c>
      <c r="AP31" s="242">
        <f>AP32</f>
        <v>0</v>
      </c>
      <c r="AQ31" s="242">
        <f>AQ32</f>
        <v>0</v>
      </c>
      <c r="AR31" s="242">
        <f>SUM(AR32:AR35)</f>
        <v>0</v>
      </c>
      <c r="AS31" s="242">
        <f>SUM(AS32:AS35)</f>
        <v>0</v>
      </c>
      <c r="AT31" s="221"/>
      <c r="AU31" s="221"/>
      <c r="AV31" s="544" t="s">
        <v>132</v>
      </c>
      <c r="AW31" s="549"/>
      <c r="AX31" s="549"/>
      <c r="AY31" s="359">
        <f>SUM(AY32:AY35)</f>
        <v>0</v>
      </c>
      <c r="AZ31" s="359">
        <f>SUM(AZ32:AZ35)</f>
        <v>0</v>
      </c>
      <c r="BA31" s="325">
        <f>ROUND(BC31+BE31,0)</f>
        <v>0</v>
      </c>
      <c r="BB31" s="325">
        <f>ROUND(BD31+BF31,0)</f>
        <v>0</v>
      </c>
      <c r="BC31" s="360">
        <f>IFERROR($T$112*($AN31/$AN$36),0)</f>
        <v>0</v>
      </c>
      <c r="BD31" s="361">
        <f>IFERROR($T$113*($AO31/$AO$36),0)</f>
        <v>0</v>
      </c>
      <c r="BE31" s="362">
        <f>SUM(BE32:BE35)</f>
        <v>0</v>
      </c>
      <c r="BF31" s="362">
        <f>SUM(BF32:BF35)</f>
        <v>0</v>
      </c>
    </row>
    <row r="32" spans="1:58" ht="29.25" customHeight="1" thickTop="1" thickBot="1" x14ac:dyDescent="0.3">
      <c r="B32" s="19"/>
      <c r="C32" s="80"/>
      <c r="D32" s="81"/>
      <c r="E32" s="82"/>
      <c r="F32" s="83"/>
      <c r="G32" s="84" t="str">
        <f>IF(SUM(G31:H31)&gt;0,1,"")</f>
        <v/>
      </c>
      <c r="H32" s="85"/>
      <c r="I32" s="84" t="str">
        <f>IF(SUM(I31:J31)&gt;0,1,"")</f>
        <v/>
      </c>
      <c r="J32" s="85"/>
      <c r="K32" s="84" t="str">
        <f>IF(SUM(K31:L31)&gt;0,1,"")</f>
        <v/>
      </c>
      <c r="L32" s="86"/>
      <c r="M32" s="155"/>
      <c r="N32" s="93"/>
      <c r="P32" s="19"/>
      <c r="Q32" s="19"/>
      <c r="S32" s="87"/>
      <c r="T32" s="177"/>
      <c r="U32" s="178"/>
      <c r="V32" s="179"/>
      <c r="W32" s="183"/>
      <c r="X32" s="323"/>
      <c r="Y32" s="324"/>
      <c r="Z32" s="183"/>
      <c r="AA32" s="184"/>
      <c r="AB32" s="221"/>
      <c r="AC32" s="192"/>
      <c r="AD32" s="533" t="s">
        <v>14</v>
      </c>
      <c r="AE32" s="546"/>
      <c r="AF32" s="328">
        <f t="shared" ref="AF32:AG35" si="30">AH32+AJ32</f>
        <v>0</v>
      </c>
      <c r="AG32" s="328">
        <f t="shared" si="30"/>
        <v>0</v>
      </c>
      <c r="AH32" s="363">
        <f>SUMIFS($X$77:$X$106,$S$77:$S$106,1,$U$77:$U$106,1,$V$77:$V$106,"&lt;65")+SUMIFS($Y$77:$Y$106,$S$77:$S$106,1,$U$77:$U$106,1,$V$77:$V$106,"&lt;65")</f>
        <v>0</v>
      </c>
      <c r="AI32" s="245">
        <f>SUMIFS($X$77:$X$106,$S$77:$S$106,1,$U$77:$U$106,2,$V$77:$V$106,"&lt;65")+SUMIFS($Y$77:$Y$106,$S$77:$S$106,1,$U$77:$U$106,2,$V$77:$V$106,"&lt;65")</f>
        <v>0</v>
      </c>
      <c r="AJ32" s="245">
        <f>SUMIFS($X$77:$X$106,$S$77:$S$106,3,$U$77:$U$106,1)</f>
        <v>0</v>
      </c>
      <c r="AK32" s="245">
        <f>SUMIFS($X$77:$X$106,$S$77:$S$106,3,$U$77:$U$106,2)</f>
        <v>0</v>
      </c>
      <c r="AL32" s="195"/>
      <c r="AM32" s="196"/>
      <c r="AN32" s="197"/>
      <c r="AO32" s="197"/>
      <c r="AP32" s="245">
        <f>SUMIFS($X$77:$X$106,$S$77:$S$106,4,$U$77:$U$106,1)</f>
        <v>0</v>
      </c>
      <c r="AQ32" s="245">
        <f>SUMIFS($X$77:$X$106,$S$77:$S$106,4,$U$77:$U$106,2)</f>
        <v>0</v>
      </c>
      <c r="AR32" s="245">
        <f>SUMIFS($X$77:$X$106,$S$77:$S$106,5,$U$77:$U$106,1,$V$77:$V$106,"&lt;65")+SUMIFS($Y$77:$Y$106,$S$77:$S$106,5,$U$77:$U$106,1,$V$77:$V$106,"&lt;65")</f>
        <v>0</v>
      </c>
      <c r="AS32" s="245">
        <f>SUMIFS($X$77:$X$106,$S$77:$S$106,5,$U$77:$U$106,2,$V$77:$V$106,"&lt;65")+SUMIFS($Y$77:$Y$106,$S$77:$S$106,5,$U$77:$U$106,2,$V$77:$V$106,"&lt;65")</f>
        <v>0</v>
      </c>
      <c r="AT32" s="221"/>
      <c r="AU32" s="221"/>
      <c r="AV32" s="198"/>
      <c r="AW32" s="533" t="s">
        <v>14</v>
      </c>
      <c r="AX32" s="546"/>
      <c r="AY32" s="364">
        <f>ROUND(AF32*$T$4,0)</f>
        <v>0</v>
      </c>
      <c r="AZ32" s="364">
        <f>ROUND(AG32*$T$4,0)</f>
        <v>0</v>
      </c>
      <c r="BA32" s="365"/>
      <c r="BB32" s="366"/>
      <c r="BC32" s="365"/>
      <c r="BD32" s="365"/>
      <c r="BE32" s="364">
        <f>(AP32+AR32)*$T$4</f>
        <v>0</v>
      </c>
      <c r="BF32" s="364">
        <f>(AQ32+AS32)*$T$4</f>
        <v>0</v>
      </c>
    </row>
    <row r="33" spans="1:58" ht="29.25" customHeight="1" thickTop="1" x14ac:dyDescent="0.25">
      <c r="A33" s="135">
        <f>ROUND((ROW()-10)/2,0)</f>
        <v>12</v>
      </c>
      <c r="B33" s="19"/>
      <c r="C33" s="88" t="str">
        <f>IF(INDEX(設定!$C$9:$C$108,$A33,1)="","",INDEX(設定!$C$9:$C$108,$A33,1))</f>
        <v/>
      </c>
      <c r="D33" s="74" t="str">
        <f>IF(INDEX(設定!$D$9:$D$108,$A33,1)="","",INDEX(設定!$D$9:$D$108,$A33,1))</f>
        <v/>
      </c>
      <c r="E33" s="75" t="str">
        <f>IF(INDEX(設定!$E$9:$E$108,$A33,1)="","",INDEX(設定!$E$9:$E$108,$A33,1))</f>
        <v/>
      </c>
      <c r="F33" s="76" t="str">
        <f>IF(S33="","",IF(S33=1,"1：家族",IF(AND(S33&gt;=2,S33&lt;=5),"2：雇用","")))</f>
        <v/>
      </c>
      <c r="G33" s="134">
        <f>INT(INDEX(設定!$H$9:H$108,$A33,1))</f>
        <v>0</v>
      </c>
      <c r="H33" s="77" t="str">
        <f>IF(INDEX(設定!$H$9:$H$108,$A33,1)=0,"",ROUND(MOD(INDEX(設定!$H$9:$H$108,$A33,1),1)*60,0))</f>
        <v/>
      </c>
      <c r="I33" s="134">
        <f>INT(INDEX(設定!$I$9:$I$108,$A33,1))</f>
        <v>0</v>
      </c>
      <c r="J33" s="77" t="str">
        <f>IF(INDEX(設定!$I$9:$I$108,$A33,1)=0,"",ROUND(MOD(INDEX(設定!$I$9:$I$108,$A33,1),1)*60,0))</f>
        <v/>
      </c>
      <c r="K33" s="134">
        <f>INT(INDEX(設定!$J$9:$J$108,$A33,1))</f>
        <v>0</v>
      </c>
      <c r="L33" s="78" t="str">
        <f>IF(INDEX(設定!$J$9:$J$108,$A33,1)=0,"",ROUND(MOD(INDEX(設定!$J$9:$J$108,$A33,1),1)*60,0))</f>
        <v/>
      </c>
      <c r="M33" s="154"/>
      <c r="N33" s="153"/>
      <c r="P33" s="19"/>
      <c r="Q33" s="19"/>
      <c r="S33" s="89" t="str">
        <f>IF(INDEX(設定!$F$9:$F$108,$A33,1)="","",VALUE(LEFT(INDEX(設定!$F$9:$F$108,$A33,1),1)))</f>
        <v/>
      </c>
      <c r="T33" s="202" t="str">
        <f>IF(C33="","",C33)</f>
        <v/>
      </c>
      <c r="U33" s="203" t="str">
        <f>IF(D33="","",IF(D33="1：男",1,IF(D33="2：女",2)))</f>
        <v/>
      </c>
      <c r="V33" s="204" t="str">
        <f>IF(E33="","",E33)</f>
        <v/>
      </c>
      <c r="W33" s="332" t="str">
        <f t="shared" ref="W33" si="31">IF(AND(G33="",H33="",G34=""),"",ROUND(SUM(G33,H33/60)*G34,1))</f>
        <v/>
      </c>
      <c r="X33" s="333" t="str">
        <f t="shared" ref="X33" si="32">IF(AND(I33="",J33="",I34=""),"",ROUND(SUM(I33,J33/60)*I34,1))</f>
        <v/>
      </c>
      <c r="Y33" s="334" t="str">
        <f t="shared" ref="Y33" si="33">IF(AND(K33="",L33="",K34=""),"",ROUND(SUM(K33,L33/60)*K34,1))</f>
        <v/>
      </c>
      <c r="Z33" s="183"/>
      <c r="AA33" s="184"/>
      <c r="AB33" s="170"/>
      <c r="AC33" s="192"/>
      <c r="AD33" s="535" t="s">
        <v>127</v>
      </c>
      <c r="AE33" s="547"/>
      <c r="AF33" s="236">
        <f t="shared" si="30"/>
        <v>0</v>
      </c>
      <c r="AG33" s="236">
        <f t="shared" si="30"/>
        <v>0</v>
      </c>
      <c r="AH33" s="236">
        <f>SUMIFS($X$77:$X$106,$S$77:$S$106,1,$U$77:$U$106,1,$V$77:$V$106,"&gt;=65",$V$77:$V$106,"&lt;70")+SUMIFS($Y$77:$Y$106,$S$77:$S$106,1,$U$77:$U$106,1,$V$77:$V$106,"&gt;=65",$V$77:$V$106,"&lt;70")</f>
        <v>0</v>
      </c>
      <c r="AI33" s="236">
        <f>SUMIFS($X$77:$X$106,$S$77:$S$106,1,$U$77:$U$106,2,$V$77:$V$106,"&gt;=65",$V$77:$V$106,"&lt;70")+SUMIFS($Y$77:$Y$106,$S$77:$S$106,1,$U$77:$U$106,2,$V$77:$V$106,"&gt;=65",$V$77:$V$106,"&lt;70")</f>
        <v>0</v>
      </c>
      <c r="AJ33" s="206"/>
      <c r="AK33" s="206"/>
      <c r="AL33" s="195"/>
      <c r="AM33" s="196"/>
      <c r="AN33" s="196"/>
      <c r="AO33" s="196"/>
      <c r="AP33" s="206"/>
      <c r="AQ33" s="206"/>
      <c r="AR33" s="236">
        <f>SUMIFS($X$77:$X$106,$S$77:$S$106,5,$U$77:$U$106,1,$V$77:$V$106,"&gt;=65",$V$77:$V$106,"&lt;70")+SUMIFS($Y$77:$Y$106,$S$77:$S$106,5,$U$77:$U$106,1,$V$77:$V$106,"&gt;=65",$V$77:$V$106,"&lt;70")</f>
        <v>0</v>
      </c>
      <c r="AS33" s="236">
        <f>SUMIFS($X$77:$X$106,$S$77:$S$106,5,$U$77:$U$106,2,$V$77:$V$106,"&gt;=65",$V$77:$V$106,"&lt;70")+SUMIFS($Y$77:$Y$106,$S$77:$S$106,5,$U$77:$U$106,2,$V$77:$V$106,"&gt;=65",$V$77:$V$106,"&lt;70")</f>
        <v>0</v>
      </c>
      <c r="AT33" s="221"/>
      <c r="AU33" s="221"/>
      <c r="AV33" s="198"/>
      <c r="AW33" s="535" t="s">
        <v>127</v>
      </c>
      <c r="AX33" s="547"/>
      <c r="AY33" s="367">
        <f>ROUND(AF33*$T$4*0.9,0)</f>
        <v>0</v>
      </c>
      <c r="AZ33" s="367">
        <f>ROUND(AG33*$T$4*0.9,0)</f>
        <v>0</v>
      </c>
      <c r="BA33" s="365"/>
      <c r="BB33" s="366"/>
      <c r="BC33" s="365"/>
      <c r="BD33" s="365"/>
      <c r="BE33" s="367">
        <f>AR33*$T$4*0.9</f>
        <v>0</v>
      </c>
      <c r="BF33" s="367">
        <f>AS33*$T$4*0.9</f>
        <v>0</v>
      </c>
    </row>
    <row r="34" spans="1:58" ht="29.25" customHeight="1" thickBot="1" x14ac:dyDescent="0.3">
      <c r="B34" s="19"/>
      <c r="C34" s="80"/>
      <c r="D34" s="81"/>
      <c r="E34" s="82"/>
      <c r="F34" s="83"/>
      <c r="G34" s="84" t="str">
        <f>IF(SUM(G33:H33)&gt;0,1,"")</f>
        <v/>
      </c>
      <c r="H34" s="85"/>
      <c r="I34" s="84" t="str">
        <f>IF(SUM(I33:J33)&gt;0,1,"")</f>
        <v/>
      </c>
      <c r="J34" s="85"/>
      <c r="K34" s="84" t="str">
        <f>IF(SUM(K33:L33)&gt;0,1,"")</f>
        <v/>
      </c>
      <c r="L34" s="86"/>
      <c r="M34" s="155"/>
      <c r="N34" s="93"/>
      <c r="P34" s="19"/>
      <c r="Q34" s="19"/>
      <c r="S34" s="87"/>
      <c r="T34" s="177"/>
      <c r="U34" s="178"/>
      <c r="V34" s="179"/>
      <c r="W34" s="183"/>
      <c r="X34" s="323"/>
      <c r="Y34" s="324"/>
      <c r="Z34" s="183"/>
      <c r="AA34" s="184"/>
      <c r="AB34" s="170"/>
      <c r="AC34" s="192"/>
      <c r="AD34" s="535" t="s">
        <v>128</v>
      </c>
      <c r="AE34" s="547"/>
      <c r="AF34" s="236">
        <f t="shared" si="30"/>
        <v>0</v>
      </c>
      <c r="AG34" s="236">
        <f t="shared" si="30"/>
        <v>0</v>
      </c>
      <c r="AH34" s="236">
        <f>SUMIFS($X$77:$X$106,$S$77:$S$106,1,$U$77:$U$106,1,$V$77:$V$106,"&gt;=70",$V$77:$V$106,"&lt;75")+SUMIFS($Y$77:$Y$106,$S$77:$S$106,1,$U$77:$U$106,1,$V$77:$V$106,"&gt;=70",$V$77:$V$106,"&lt;75")</f>
        <v>0</v>
      </c>
      <c r="AI34" s="236">
        <f>SUMIFS($X$77:$X$106,$S$77:$S$106,1,$U$77:$U$106,2,$V$77:$V$106,"&gt;=70",$V$77:$V$106,"&lt;75")+SUMIFS($Y$77:$Y$106,$S$77:$S$106,1,$U$77:$U$106,2,$V$77:$V$106,"&gt;=70",$V$77:$V$106,"&lt;75")</f>
        <v>0</v>
      </c>
      <c r="AJ34" s="206"/>
      <c r="AK34" s="206"/>
      <c r="AL34" s="195"/>
      <c r="AM34" s="196"/>
      <c r="AN34" s="196"/>
      <c r="AO34" s="196"/>
      <c r="AP34" s="206"/>
      <c r="AQ34" s="206"/>
      <c r="AR34" s="236">
        <f>SUMIFS($X$77:$X$106,$S$77:$S$106,5,$U$77:$U$106,1,$V$77:$V$106,"&gt;=70",$V$77:$V$106,"&lt;75")+SUMIFS($Y$77:$Y$106,$S$77:$S$106,5,$U$77:$U$106,1,$V$77:$V$106,"&gt;=70",$V$77:$V$106,"&lt;75")</f>
        <v>0</v>
      </c>
      <c r="AS34" s="236">
        <f>SUMIFS($X$77:$X$106,$S$77:$S$106,5,$U$77:$U$106,2,$V$77:$V$106,"&gt;=70",$V$77:$V$106,"&lt;75")+SUMIFS($Y$77:$Y$106,$S$77:$S$106,5,$U$77:$U$106,2,$V$77:$V$106,"&gt;=70",$V$77:$V$106,"&lt;75")</f>
        <v>0</v>
      </c>
      <c r="AT34" s="221"/>
      <c r="AU34" s="221"/>
      <c r="AV34" s="198"/>
      <c r="AW34" s="535" t="s">
        <v>128</v>
      </c>
      <c r="AX34" s="547"/>
      <c r="AY34" s="367">
        <f>ROUND(AF34*$T$4*0.8,0)</f>
        <v>0</v>
      </c>
      <c r="AZ34" s="367">
        <f>ROUND(AG34*$T$4*0.8,0)</f>
        <v>0</v>
      </c>
      <c r="BA34" s="365"/>
      <c r="BB34" s="366"/>
      <c r="BC34" s="365"/>
      <c r="BD34" s="365"/>
      <c r="BE34" s="367">
        <f>AR34*$T$4*0.8</f>
        <v>0</v>
      </c>
      <c r="BF34" s="367">
        <f>AS34*$T$4*0.8</f>
        <v>0</v>
      </c>
    </row>
    <row r="35" spans="1:58" ht="29.25" customHeight="1" thickTop="1" thickBot="1" x14ac:dyDescent="0.3">
      <c r="A35" s="135">
        <f>ROUND((ROW()-10)/2,0)</f>
        <v>13</v>
      </c>
      <c r="B35" s="19"/>
      <c r="C35" s="88" t="str">
        <f>IF(INDEX(設定!$C$9:$C$108,$A35,1)="","",INDEX(設定!$C$9:$C$108,$A35,1))</f>
        <v/>
      </c>
      <c r="D35" s="74" t="str">
        <f>IF(INDEX(設定!$D$9:$D$108,$A35,1)="","",INDEX(設定!$D$9:$D$108,$A35,1))</f>
        <v/>
      </c>
      <c r="E35" s="75" t="str">
        <f>IF(INDEX(設定!$E$9:$E$108,$A35,1)="","",INDEX(設定!$E$9:$E$108,$A35,1))</f>
        <v/>
      </c>
      <c r="F35" s="76" t="str">
        <f>IF(S35="","",IF(S35=1,"1：家族",IF(AND(S35&gt;=2,S35&lt;=5),"2：雇用","")))</f>
        <v/>
      </c>
      <c r="G35" s="134">
        <f>INT(INDEX(設定!$H$9:H$108,$A35,1))</f>
        <v>0</v>
      </c>
      <c r="H35" s="77" t="str">
        <f>IF(INDEX(設定!$H$9:$H$108,$A35,1)=0,"",ROUND(MOD(INDEX(設定!$H$9:$H$108,$A35,1),1)*60,0))</f>
        <v/>
      </c>
      <c r="I35" s="134">
        <f>INT(INDEX(設定!$I$9:$I$108,$A35,1))</f>
        <v>0</v>
      </c>
      <c r="J35" s="77" t="str">
        <f>IF(INDEX(設定!$I$9:$I$108,$A35,1)=0,"",ROUND(MOD(INDEX(設定!$I$9:$I$108,$A35,1),1)*60,0))</f>
        <v/>
      </c>
      <c r="K35" s="134">
        <f>INT(INDEX(設定!$J$9:$J$108,$A35,1))</f>
        <v>0</v>
      </c>
      <c r="L35" s="78" t="str">
        <f>IF(INDEX(設定!$J$9:$J$108,$A35,1)=0,"",ROUND(MOD(INDEX(設定!$J$9:$J$108,$A35,1),1)*60,0))</f>
        <v/>
      </c>
      <c r="M35" s="154"/>
      <c r="N35" s="153"/>
      <c r="P35" s="19"/>
      <c r="Q35" s="19"/>
      <c r="S35" s="89" t="str">
        <f>IF(INDEX(設定!$F$9:$F$108,$A35,1)="","",VALUE(LEFT(INDEX(設定!$F$9:$F$108,$A35,1),1)))</f>
        <v/>
      </c>
      <c r="T35" s="202" t="str">
        <f>IF(C35="","",C35)</f>
        <v/>
      </c>
      <c r="U35" s="203" t="str">
        <f>IF(D35="","",IF(D35="1：男",1,IF(D35="2：女",2)))</f>
        <v/>
      </c>
      <c r="V35" s="204" t="str">
        <f>IF(E35="","",E35)</f>
        <v/>
      </c>
      <c r="W35" s="332" t="str">
        <f t="shared" ref="W35" si="34">IF(AND(G35="",H35="",G36=""),"",ROUND(SUM(G35,H35/60)*G36,1))</f>
        <v/>
      </c>
      <c r="X35" s="333" t="str">
        <f t="shared" ref="X35" si="35">IF(AND(I35="",J35="",I36=""),"",ROUND(SUM(I35,J35/60)*I36,1))</f>
        <v/>
      </c>
      <c r="Y35" s="334" t="str">
        <f t="shared" ref="Y35" si="36">IF(AND(K35="",L35="",K36=""),"",ROUND(SUM(K35,L35/60)*K36,1))</f>
        <v/>
      </c>
      <c r="Z35" s="183"/>
      <c r="AA35" s="184"/>
      <c r="AB35" s="184"/>
      <c r="AC35" s="192"/>
      <c r="AD35" s="539" t="s">
        <v>15</v>
      </c>
      <c r="AE35" s="540"/>
      <c r="AF35" s="239">
        <f t="shared" si="30"/>
        <v>0</v>
      </c>
      <c r="AG35" s="239">
        <f t="shared" si="30"/>
        <v>0</v>
      </c>
      <c r="AH35" s="239">
        <f>SUMIFS($X$77:$X$106,$S$77:$S$106,1,$U$77:$U$106,1,$V$77:$V$106,"&gt;=75")+SUMIFS($Y$77:$Y$106,$S$77:$S$106,1,$U$77:$U$106,1,$V$77:$V$106,"&gt;=75")</f>
        <v>0</v>
      </c>
      <c r="AI35" s="239">
        <f>SUMIFS($X$77:$X$106,$S$77:$S$106,1,$U$77:$U$106,2,$V$77:$V$106,"&gt;=75")+SUMIFS($Y$77:$Y$106,$S$77:$S$106,1,$U$77:$U$106,2,$V$77:$V$106,"&gt;=75")</f>
        <v>0</v>
      </c>
      <c r="AJ35" s="209"/>
      <c r="AK35" s="209"/>
      <c r="AL35" s="210"/>
      <c r="AM35" s="211"/>
      <c r="AN35" s="211"/>
      <c r="AO35" s="211"/>
      <c r="AP35" s="209"/>
      <c r="AQ35" s="209"/>
      <c r="AR35" s="239">
        <f>SUMIFS($X$77:$X$106,$S$77:$S$106,5,$U$77:$U$106,1,$V$77:$V$106,"&gt;=75")+SUMIFS($Y$77:$Y$106,$S$77:$S$106,5,$U$77:$U$106,1,$V$77:$V$106,"&gt;=75")</f>
        <v>0</v>
      </c>
      <c r="AS35" s="239">
        <f>SUMIFS($X$77:$X$106,$S$77:$S$106,5,$U$77:$U$106,2,$V$77:$V$106,"&gt;=75")+SUMIFS($Y$77:$Y$106,$S$77:$S$106,5,$U$77:$U$106,2,$V$77:$V$106,"&gt;=75")</f>
        <v>0</v>
      </c>
      <c r="AT35" s="221"/>
      <c r="AU35" s="221"/>
      <c r="AV35" s="348"/>
      <c r="AW35" s="539" t="s">
        <v>15</v>
      </c>
      <c r="AX35" s="540"/>
      <c r="AY35" s="368">
        <f>ROUND(AF35*$T$4*0.7,0)</f>
        <v>0</v>
      </c>
      <c r="AZ35" s="368">
        <f>ROUND(AG35*$T$4*0.7,0)</f>
        <v>0</v>
      </c>
      <c r="BA35" s="365"/>
      <c r="BB35" s="366"/>
      <c r="BC35" s="369"/>
      <c r="BD35" s="369"/>
      <c r="BE35" s="370">
        <f>AR35*$T$4*0.7</f>
        <v>0</v>
      </c>
      <c r="BF35" s="370">
        <f>AS35*$T$4*0.7</f>
        <v>0</v>
      </c>
    </row>
    <row r="36" spans="1:58" ht="29.25" customHeight="1" thickTop="1" thickBot="1" x14ac:dyDescent="0.3">
      <c r="B36" s="19"/>
      <c r="C36" s="80"/>
      <c r="D36" s="81"/>
      <c r="E36" s="82"/>
      <c r="F36" s="83"/>
      <c r="G36" s="84" t="str">
        <f>IF(SUM(G35:H35)&gt;0,1,"")</f>
        <v/>
      </c>
      <c r="H36" s="85"/>
      <c r="I36" s="84" t="str">
        <f>IF(SUM(I35:J35)&gt;0,1,"")</f>
        <v/>
      </c>
      <c r="J36" s="85"/>
      <c r="K36" s="84" t="str">
        <f>IF(SUM(K35:L35)&gt;0,1,"")</f>
        <v/>
      </c>
      <c r="L36" s="86"/>
      <c r="M36" s="155"/>
      <c r="N36" s="93"/>
      <c r="P36" s="19"/>
      <c r="Q36" s="19"/>
      <c r="S36" s="87"/>
      <c r="T36" s="177"/>
      <c r="U36" s="178"/>
      <c r="V36" s="179"/>
      <c r="W36" s="183"/>
      <c r="X36" s="323"/>
      <c r="Y36" s="324"/>
      <c r="Z36" s="183"/>
      <c r="AA36" s="184"/>
      <c r="AB36" s="184"/>
      <c r="AC36" s="530" t="s">
        <v>135</v>
      </c>
      <c r="AD36" s="531"/>
      <c r="AE36" s="532"/>
      <c r="AF36" s="270">
        <f>SUM(AF37:AF40)</f>
        <v>0</v>
      </c>
      <c r="AG36" s="270">
        <f>SUM(AG37:AG40)</f>
        <v>0</v>
      </c>
      <c r="AH36" s="271"/>
      <c r="AI36" s="272"/>
      <c r="AJ36" s="272"/>
      <c r="AK36" s="273"/>
      <c r="AL36" s="274">
        <f t="shared" ref="AL36:AS36" si="37">AL11+AL31</f>
        <v>0</v>
      </c>
      <c r="AM36" s="274">
        <f t="shared" si="37"/>
        <v>0</v>
      </c>
      <c r="AN36" s="274">
        <f t="shared" si="37"/>
        <v>0</v>
      </c>
      <c r="AO36" s="274">
        <f t="shared" si="37"/>
        <v>0</v>
      </c>
      <c r="AP36" s="274">
        <f t="shared" si="37"/>
        <v>0</v>
      </c>
      <c r="AQ36" s="274">
        <f t="shared" si="37"/>
        <v>0</v>
      </c>
      <c r="AR36" s="274">
        <f t="shared" si="37"/>
        <v>0</v>
      </c>
      <c r="AS36" s="274">
        <f t="shared" si="37"/>
        <v>0</v>
      </c>
      <c r="AT36" s="221"/>
      <c r="AU36" s="221"/>
      <c r="AV36" s="544" t="s">
        <v>151</v>
      </c>
      <c r="AW36" s="549"/>
      <c r="AX36" s="549"/>
      <c r="AY36" s="371">
        <f>SUM(AY37:AY40)</f>
        <v>0</v>
      </c>
      <c r="AZ36" s="371">
        <f>SUM(AZ37:AZ40)</f>
        <v>0</v>
      </c>
      <c r="BA36" s="327">
        <f>SUM(BA11,BA31)</f>
        <v>0</v>
      </c>
      <c r="BB36" s="327">
        <f t="shared" ref="BB36:BD36" si="38">SUM(BB11,BB31)</f>
        <v>0</v>
      </c>
      <c r="BC36" s="372">
        <f t="shared" si="38"/>
        <v>0</v>
      </c>
      <c r="BD36" s="361">
        <f t="shared" si="38"/>
        <v>0</v>
      </c>
      <c r="BE36" s="362">
        <f t="shared" ref="BE36:BF36" si="39">SUM(BE37:BE40)</f>
        <v>0</v>
      </c>
      <c r="BF36" s="362">
        <f t="shared" si="39"/>
        <v>0</v>
      </c>
    </row>
    <row r="37" spans="1:58" ht="29.25" customHeight="1" thickTop="1" thickBot="1" x14ac:dyDescent="0.3">
      <c r="A37" s="136">
        <f>ROUND((ROW()-10)/2,0)</f>
        <v>14</v>
      </c>
      <c r="C37" s="88" t="str">
        <f>IF(INDEX(設定!$C$9:$C$108,$A37,1)="","",INDEX(設定!$C$9:$C$108,$A37,1))</f>
        <v/>
      </c>
      <c r="D37" s="74" t="str">
        <f>IF(INDEX(設定!$D$9:$D$108,$A37,1)="","",INDEX(設定!$D$9:$D$108,$A37,1))</f>
        <v/>
      </c>
      <c r="E37" s="75" t="str">
        <f>IF(INDEX(設定!$E$9:$E$108,$A37,1)="","",INDEX(設定!$E$9:$E$108,$A37,1))</f>
        <v/>
      </c>
      <c r="F37" s="76" t="str">
        <f>IF(S37="","",IF(S37=1,"1：家族",IF(AND(S37&gt;=2,S37&lt;=5),"2：雇用","")))</f>
        <v/>
      </c>
      <c r="G37" s="134">
        <f>INT(INDEX(設定!$H$9:H$108,$A37,1))</f>
        <v>0</v>
      </c>
      <c r="H37" s="77" t="str">
        <f>IF(INDEX(設定!$H$9:$H$108,$A37,1)=0,"",ROUND(MOD(INDEX(設定!$H$9:$H$108,$A37,1),1)*60,0))</f>
        <v/>
      </c>
      <c r="I37" s="134">
        <f>INT(INDEX(設定!$I$9:$I$108,$A37,1))</f>
        <v>0</v>
      </c>
      <c r="J37" s="77" t="str">
        <f>IF(INDEX(設定!$I$9:$I$108,$A37,1)=0,"",ROUND(MOD(INDEX(設定!$I$9:$I$108,$A37,1),1)*60,0))</f>
        <v/>
      </c>
      <c r="K37" s="134">
        <f>INT(INDEX(設定!$J$9:$J$108,$A37,1))</f>
        <v>0</v>
      </c>
      <c r="L37" s="78" t="str">
        <f>IF(INDEX(設定!$J$9:$J$108,$A37,1)=0,"",ROUND(MOD(INDEX(設定!$J$9:$J$108,$A37,1),1)*60,0))</f>
        <v/>
      </c>
      <c r="M37" s="154"/>
      <c r="N37" s="153"/>
      <c r="P37" s="19"/>
      <c r="Q37" s="19"/>
      <c r="S37" s="89" t="str">
        <f>IF(INDEX(設定!$F$9:$F$108,$A37,1)="","",VALUE(LEFT(INDEX(設定!$F$9:$F$108,$A37,1),1)))</f>
        <v/>
      </c>
      <c r="T37" s="202" t="str">
        <f>IF(C37="","",C37)</f>
        <v/>
      </c>
      <c r="U37" s="203" t="str">
        <f>IF(D37="","",IF(D37="1：男",1,IF(D37="2：女",2)))</f>
        <v/>
      </c>
      <c r="V37" s="204" t="str">
        <f>IF(E37="","",E37)</f>
        <v/>
      </c>
      <c r="W37" s="332" t="str">
        <f t="shared" ref="W37" si="40">IF(AND(G37="",H37="",G38=""),"",ROUND(SUM(G37,H37/60)*G38,1))</f>
        <v/>
      </c>
      <c r="X37" s="333" t="str">
        <f t="shared" ref="X37" si="41">IF(AND(I37="",J37="",I38=""),"",ROUND(SUM(I37,J37/60)*I38,1))</f>
        <v/>
      </c>
      <c r="Y37" s="334" t="str">
        <f t="shared" ref="Y37" si="42">IF(AND(K37="",L37="",K38=""),"",ROUND(SUM(K37,L37/60)*K38,1))</f>
        <v/>
      </c>
      <c r="Z37" s="183"/>
      <c r="AA37" s="184"/>
      <c r="AB37" s="184"/>
      <c r="AC37" s="216"/>
      <c r="AD37" s="533" t="s">
        <v>14</v>
      </c>
      <c r="AE37" s="534"/>
      <c r="AF37" s="339">
        <f t="shared" ref="AF37:AK40" si="43">AF12+AF32</f>
        <v>0</v>
      </c>
      <c r="AG37" s="339">
        <f t="shared" si="43"/>
        <v>0</v>
      </c>
      <c r="AH37" s="275">
        <f t="shared" si="43"/>
        <v>0</v>
      </c>
      <c r="AI37" s="245">
        <f t="shared" si="43"/>
        <v>0</v>
      </c>
      <c r="AJ37" s="245">
        <f t="shared" si="43"/>
        <v>0</v>
      </c>
      <c r="AK37" s="245">
        <f t="shared" si="43"/>
        <v>0</v>
      </c>
      <c r="AL37" s="231"/>
      <c r="AM37" s="197"/>
      <c r="AN37" s="197"/>
      <c r="AO37" s="197"/>
      <c r="AP37" s="245">
        <f>AP12+AP32</f>
        <v>0</v>
      </c>
      <c r="AQ37" s="245">
        <f>AQ12+AQ32</f>
        <v>0</v>
      </c>
      <c r="AR37" s="245">
        <f>AR12+AR32</f>
        <v>0</v>
      </c>
      <c r="AS37" s="245">
        <f>AS12+AS32</f>
        <v>0</v>
      </c>
      <c r="AT37" s="221"/>
      <c r="AU37" s="221"/>
      <c r="AV37" s="198"/>
      <c r="AW37" s="533" t="s">
        <v>14</v>
      </c>
      <c r="AX37" s="534"/>
      <c r="AY37" s="359">
        <f t="shared" ref="AY37:AZ40" si="44">SUM(AY12,AY32)</f>
        <v>0</v>
      </c>
      <c r="AZ37" s="359">
        <f t="shared" si="44"/>
        <v>0</v>
      </c>
      <c r="BA37" s="365"/>
      <c r="BB37" s="366"/>
      <c r="BC37" s="365"/>
      <c r="BD37" s="365"/>
      <c r="BE37" s="364">
        <f>SUM(BE12,BE32)</f>
        <v>0</v>
      </c>
      <c r="BF37" s="364">
        <f t="shared" ref="BF37" si="45">SUM(BF12,BF32)</f>
        <v>0</v>
      </c>
    </row>
    <row r="38" spans="1:58" ht="29.25" customHeight="1" thickTop="1" thickBot="1" x14ac:dyDescent="0.3">
      <c r="A38" s="136"/>
      <c r="C38" s="80"/>
      <c r="D38" s="81"/>
      <c r="E38" s="82"/>
      <c r="F38" s="83"/>
      <c r="G38" s="84" t="str">
        <f>IF(SUM(G37:H37)&gt;0,1,"")</f>
        <v/>
      </c>
      <c r="H38" s="85"/>
      <c r="I38" s="84" t="str">
        <f>IF(SUM(I37:J37)&gt;0,1,"")</f>
        <v/>
      </c>
      <c r="J38" s="85"/>
      <c r="K38" s="84" t="str">
        <f>IF(SUM(K37:L37)&gt;0,1,"")</f>
        <v/>
      </c>
      <c r="L38" s="86"/>
      <c r="M38" s="155"/>
      <c r="N38" s="93"/>
      <c r="P38" s="19"/>
      <c r="Q38" s="19"/>
      <c r="S38" s="87"/>
      <c r="T38" s="177"/>
      <c r="U38" s="178"/>
      <c r="V38" s="179"/>
      <c r="W38" s="183"/>
      <c r="X38" s="323"/>
      <c r="Y38" s="324"/>
      <c r="Z38" s="183"/>
      <c r="AA38" s="184"/>
      <c r="AB38" s="184"/>
      <c r="AC38" s="216"/>
      <c r="AD38" s="535" t="s">
        <v>127</v>
      </c>
      <c r="AE38" s="536"/>
      <c r="AF38" s="339">
        <f t="shared" si="43"/>
        <v>0</v>
      </c>
      <c r="AG38" s="339">
        <f t="shared" si="43"/>
        <v>0</v>
      </c>
      <c r="AH38" s="276">
        <f t="shared" si="43"/>
        <v>0</v>
      </c>
      <c r="AI38" s="236">
        <f t="shared" si="43"/>
        <v>0</v>
      </c>
      <c r="AJ38" s="206"/>
      <c r="AK38" s="206"/>
      <c r="AL38" s="195"/>
      <c r="AM38" s="196"/>
      <c r="AN38" s="196"/>
      <c r="AO38" s="196"/>
      <c r="AP38" s="206"/>
      <c r="AQ38" s="206"/>
      <c r="AR38" s="236">
        <f t="shared" ref="AR38:AS40" si="46">AR13+AR33</f>
        <v>0</v>
      </c>
      <c r="AS38" s="236">
        <f t="shared" si="46"/>
        <v>0</v>
      </c>
      <c r="AT38" s="221"/>
      <c r="AU38" s="221"/>
      <c r="AV38" s="198"/>
      <c r="AW38" s="535" t="s">
        <v>127</v>
      </c>
      <c r="AX38" s="536"/>
      <c r="AY38" s="359">
        <f t="shared" si="44"/>
        <v>0</v>
      </c>
      <c r="AZ38" s="359">
        <f t="shared" si="44"/>
        <v>0</v>
      </c>
      <c r="BA38" s="365"/>
      <c r="BB38" s="366"/>
      <c r="BC38" s="365"/>
      <c r="BD38" s="365"/>
      <c r="BE38" s="367">
        <f>SUM(BE13,BE33)</f>
        <v>0</v>
      </c>
      <c r="BF38" s="367">
        <f>SUM(BF13,BF33)</f>
        <v>0</v>
      </c>
    </row>
    <row r="39" spans="1:58" ht="29.25" customHeight="1" thickTop="1" thickBot="1" x14ac:dyDescent="0.3">
      <c r="A39" s="136">
        <f>ROUND((ROW()-10)/2,0)</f>
        <v>15</v>
      </c>
      <c r="C39" s="88" t="str">
        <f>IF(INDEX(設定!$C$9:$C$108,$A39,1)="","",INDEX(設定!$C$9:$C$108,$A39,1))</f>
        <v/>
      </c>
      <c r="D39" s="74" t="str">
        <f>IF(INDEX(設定!$D$9:$D$108,$A39,1)="","",INDEX(設定!$D$9:$D$108,$A39,1))</f>
        <v/>
      </c>
      <c r="E39" s="75" t="str">
        <f>IF(INDEX(設定!$E$9:$E$108,$A39,1)="","",INDEX(設定!$E$9:$E$108,$A39,1))</f>
        <v/>
      </c>
      <c r="F39" s="76" t="str">
        <f>IF(S39="","",IF(S39=1,"1：家族",IF(AND(S39&gt;=2,S39&lt;=5),"2：雇用","")))</f>
        <v/>
      </c>
      <c r="G39" s="134">
        <f>INT(INDEX(設定!$H$9:H$108,$A39,1))</f>
        <v>0</v>
      </c>
      <c r="H39" s="77" t="str">
        <f>IF(INDEX(設定!$H$9:$H$108,$A39,1)=0,"",ROUND(MOD(INDEX(設定!$H$9:$H$108,$A39,1),1)*60,0))</f>
        <v/>
      </c>
      <c r="I39" s="134">
        <f>INT(INDEX(設定!$I$9:$I$108,$A39,1))</f>
        <v>0</v>
      </c>
      <c r="J39" s="77" t="str">
        <f>IF(INDEX(設定!$I$9:$I$108,$A39,1)=0,"",ROUND(MOD(INDEX(設定!$I$9:$I$108,$A39,1),1)*60,0))</f>
        <v/>
      </c>
      <c r="K39" s="134">
        <f>INT(INDEX(設定!$J$9:$J$108,$A39,1))</f>
        <v>0</v>
      </c>
      <c r="L39" s="78" t="str">
        <f>IF(INDEX(設定!$J$9:$J$108,$A39,1)=0,"",ROUND(MOD(INDEX(設定!$J$9:$J$108,$A39,1),1)*60,0))</f>
        <v/>
      </c>
      <c r="M39" s="154"/>
      <c r="N39" s="153"/>
      <c r="P39" s="19"/>
      <c r="Q39" s="19"/>
      <c r="S39" s="89" t="str">
        <f>IF(INDEX(設定!$F$9:$F$108,$A39,1)="","",VALUE(LEFT(INDEX(設定!$F$9:$F$108,$A39,1),1)))</f>
        <v/>
      </c>
      <c r="T39" s="202" t="str">
        <f>IF(C39="","",C39)</f>
        <v/>
      </c>
      <c r="U39" s="203" t="str">
        <f>IF(D39="","",IF(D39="1：男",1,IF(D39="2：女",2)))</f>
        <v/>
      </c>
      <c r="V39" s="204" t="str">
        <f>IF(E39="","",E39)</f>
        <v/>
      </c>
      <c r="W39" s="332" t="str">
        <f t="shared" ref="W39" si="47">IF(AND(G39="",H39="",G40=""),"",ROUND(SUM(G39,H39/60)*G40,1))</f>
        <v/>
      </c>
      <c r="X39" s="333" t="str">
        <f t="shared" ref="X39" si="48">IF(AND(I39="",J39="",I40=""),"",ROUND(SUM(I39,J39/60)*I40,1))</f>
        <v/>
      </c>
      <c r="Y39" s="334" t="str">
        <f t="shared" ref="Y39" si="49">IF(AND(K39="",L39="",K40=""),"",ROUND(SUM(K39,L39/60)*K40,1))</f>
        <v/>
      </c>
      <c r="Z39" s="183"/>
      <c r="AA39" s="184"/>
      <c r="AB39" s="184"/>
      <c r="AC39" s="216"/>
      <c r="AD39" s="535" t="s">
        <v>128</v>
      </c>
      <c r="AE39" s="536"/>
      <c r="AF39" s="339">
        <f t="shared" si="43"/>
        <v>0</v>
      </c>
      <c r="AG39" s="339">
        <f t="shared" si="43"/>
        <v>0</v>
      </c>
      <c r="AH39" s="276">
        <f t="shared" si="43"/>
        <v>0</v>
      </c>
      <c r="AI39" s="236">
        <f t="shared" si="43"/>
        <v>0</v>
      </c>
      <c r="AJ39" s="206"/>
      <c r="AK39" s="206"/>
      <c r="AL39" s="195"/>
      <c r="AM39" s="196"/>
      <c r="AN39" s="196"/>
      <c r="AO39" s="196"/>
      <c r="AP39" s="206"/>
      <c r="AQ39" s="206"/>
      <c r="AR39" s="236">
        <f t="shared" si="46"/>
        <v>0</v>
      </c>
      <c r="AS39" s="236">
        <f t="shared" si="46"/>
        <v>0</v>
      </c>
      <c r="AT39" s="221"/>
      <c r="AU39" s="221"/>
      <c r="AV39" s="198"/>
      <c r="AW39" s="535" t="s">
        <v>128</v>
      </c>
      <c r="AX39" s="536"/>
      <c r="AY39" s="359">
        <f t="shared" si="44"/>
        <v>0</v>
      </c>
      <c r="AZ39" s="359">
        <f t="shared" si="44"/>
        <v>0</v>
      </c>
      <c r="BA39" s="365"/>
      <c r="BB39" s="366"/>
      <c r="BC39" s="365"/>
      <c r="BD39" s="365"/>
      <c r="BE39" s="367">
        <f>SUM(BE14,BE34)</f>
        <v>0</v>
      </c>
      <c r="BF39" s="367">
        <f>SUM(BF14,BF34)</f>
        <v>0</v>
      </c>
    </row>
    <row r="40" spans="1:58" ht="29.25" customHeight="1" thickTop="1" thickBot="1" x14ac:dyDescent="0.3">
      <c r="B40" s="19"/>
      <c r="C40" s="80"/>
      <c r="D40" s="81"/>
      <c r="E40" s="82"/>
      <c r="F40" s="83"/>
      <c r="G40" s="84" t="str">
        <f>IF(SUM(G39:H39)&gt;0,1,"")</f>
        <v/>
      </c>
      <c r="H40" s="85"/>
      <c r="I40" s="84" t="str">
        <f>IF(SUM(I39:J39)&gt;0,1,"")</f>
        <v/>
      </c>
      <c r="J40" s="85"/>
      <c r="K40" s="84" t="str">
        <f>IF(SUM(K39:L39)&gt;0,1,"")</f>
        <v/>
      </c>
      <c r="L40" s="86"/>
      <c r="M40" s="155"/>
      <c r="N40" s="93"/>
      <c r="P40" s="19"/>
      <c r="Q40" s="19"/>
      <c r="S40" s="87"/>
      <c r="T40" s="177"/>
      <c r="U40" s="178"/>
      <c r="V40" s="179"/>
      <c r="W40" s="183"/>
      <c r="X40" s="323"/>
      <c r="Y40" s="324"/>
      <c r="Z40" s="183"/>
      <c r="AA40" s="184"/>
      <c r="AB40" s="184"/>
      <c r="AC40" s="277"/>
      <c r="AD40" s="537" t="s">
        <v>15</v>
      </c>
      <c r="AE40" s="538"/>
      <c r="AF40" s="339">
        <f t="shared" si="43"/>
        <v>0</v>
      </c>
      <c r="AG40" s="339">
        <f t="shared" si="43"/>
        <v>0</v>
      </c>
      <c r="AH40" s="279">
        <f t="shared" si="43"/>
        <v>0</v>
      </c>
      <c r="AI40" s="280">
        <f t="shared" si="43"/>
        <v>0</v>
      </c>
      <c r="AJ40" s="281"/>
      <c r="AK40" s="281"/>
      <c r="AL40" s="282"/>
      <c r="AM40" s="283"/>
      <c r="AN40" s="283"/>
      <c r="AO40" s="283"/>
      <c r="AP40" s="281"/>
      <c r="AQ40" s="281"/>
      <c r="AR40" s="280">
        <f t="shared" si="46"/>
        <v>0</v>
      </c>
      <c r="AS40" s="280">
        <f t="shared" si="46"/>
        <v>0</v>
      </c>
      <c r="AT40" s="221"/>
      <c r="AU40" s="221"/>
      <c r="AV40" s="348"/>
      <c r="AW40" s="539" t="s">
        <v>15</v>
      </c>
      <c r="AX40" s="596"/>
      <c r="AY40" s="359">
        <f t="shared" si="44"/>
        <v>0</v>
      </c>
      <c r="AZ40" s="359">
        <f t="shared" si="44"/>
        <v>0</v>
      </c>
      <c r="BA40" s="369"/>
      <c r="BB40" s="373"/>
      <c r="BC40" s="369"/>
      <c r="BD40" s="369"/>
      <c r="BE40" s="370">
        <f>SUM(BE15,BE35)</f>
        <v>0</v>
      </c>
      <c r="BF40" s="370">
        <f>SUM(BF15,BF35)</f>
        <v>0</v>
      </c>
    </row>
    <row r="41" spans="1:58" ht="29.25" customHeight="1" thickTop="1" thickBot="1" x14ac:dyDescent="0.3">
      <c r="A41" s="135">
        <f>ROUND((ROW()-10)/2,0)</f>
        <v>16</v>
      </c>
      <c r="B41" s="19"/>
      <c r="C41" s="88" t="str">
        <f>IF(INDEX(設定!$C$9:$C$108,$A41,1)="","",INDEX(設定!$C$9:$C$108,$A41,1))</f>
        <v/>
      </c>
      <c r="D41" s="74" t="str">
        <f>IF(INDEX(設定!$D$9:$D$108,$A41,1)="","",INDEX(設定!$D$9:$D$108,$A41,1))</f>
        <v/>
      </c>
      <c r="E41" s="75" t="str">
        <f>IF(INDEX(設定!$E$9:$E$108,$A41,1)="","",INDEX(設定!$E$9:$E$108,$A41,1))</f>
        <v/>
      </c>
      <c r="F41" s="76" t="str">
        <f>IF(S41="","",IF(S41=1,"1：家族",IF(AND(S41&gt;=2,S41&lt;=5),"2：雇用","")))</f>
        <v/>
      </c>
      <c r="G41" s="134">
        <f>INT(INDEX(設定!$H$9:H$108,$A41,1))</f>
        <v>0</v>
      </c>
      <c r="H41" s="77" t="str">
        <f>IF(INDEX(設定!$H$9:$H$108,$A41,1)=0,"",ROUND(MOD(INDEX(設定!$H$9:$H$108,$A41,1),1)*60,0))</f>
        <v/>
      </c>
      <c r="I41" s="134">
        <f>INT(INDEX(設定!$I$9:$I$108,$A41,1))</f>
        <v>0</v>
      </c>
      <c r="J41" s="77" t="str">
        <f>IF(INDEX(設定!$I$9:$I$108,$A41,1)=0,"",ROUND(MOD(INDEX(設定!$I$9:$I$108,$A41,1),1)*60,0))</f>
        <v/>
      </c>
      <c r="K41" s="134">
        <f>INT(INDEX(設定!$J$9:$J$108,$A41,1))</f>
        <v>0</v>
      </c>
      <c r="L41" s="78" t="str">
        <f>IF(INDEX(設定!$J$9:$J$108,$A41,1)=0,"",ROUND(MOD(INDEX(設定!$J$9:$J$108,$A41,1),1)*60,0))</f>
        <v/>
      </c>
      <c r="M41" s="154"/>
      <c r="N41" s="153"/>
      <c r="P41" s="19"/>
      <c r="Q41" s="19"/>
      <c r="S41" s="89" t="str">
        <f>IF(INDEX(設定!$F$9:$F$108,$A41,1)="","",VALUE(LEFT(INDEX(設定!$F$9:$F$108,$A41,1),1)))</f>
        <v/>
      </c>
      <c r="T41" s="202" t="str">
        <f>IF(C41="","",C41)</f>
        <v/>
      </c>
      <c r="U41" s="203" t="str">
        <f>IF(D41="","",IF(D41="1：男",1,IF(D41="2：女",2)))</f>
        <v/>
      </c>
      <c r="V41" s="204" t="str">
        <f>IF(E41="","",E41)</f>
        <v/>
      </c>
      <c r="W41" s="332" t="str">
        <f t="shared" ref="W41" si="50">IF(AND(G41="",H41="",G42=""),"",ROUND(SUM(G41,H41/60)*G42,1))</f>
        <v/>
      </c>
      <c r="X41" s="333" t="str">
        <f t="shared" ref="X41" si="51">IF(AND(I41="",J41="",I42=""),"",ROUND(SUM(I41,J41/60)*I42,1))</f>
        <v/>
      </c>
      <c r="Y41" s="334" t="str">
        <f t="shared" ref="Y41" si="52">IF(AND(K41="",L41="",K42=""),"",ROUND(SUM(K41,L41/60)*K42,1))</f>
        <v/>
      </c>
      <c r="Z41" s="183"/>
      <c r="AA41" s="184"/>
      <c r="AB41" s="184"/>
      <c r="AC41" s="511" t="s">
        <v>136</v>
      </c>
      <c r="AD41" s="512"/>
      <c r="AE41" s="512"/>
      <c r="AF41" s="339">
        <f>SUMIFS($Z$77:$Z$106,$S$77:$S$106,1,$U$77:$U$106,1)</f>
        <v>0</v>
      </c>
      <c r="AG41" s="339">
        <f>SUMIFS($Z$77:$Z$106,$S$77:$S$106,1,$U$77:$U$106,2)</f>
        <v>0</v>
      </c>
      <c r="AH41" s="285"/>
      <c r="AI41" s="285"/>
      <c r="AJ41" s="285"/>
      <c r="AK41" s="285"/>
      <c r="AL41" s="286"/>
      <c r="AM41" s="286"/>
      <c r="AN41" s="286"/>
      <c r="AO41" s="286"/>
      <c r="AP41" s="286"/>
      <c r="AQ41" s="286"/>
      <c r="AR41" s="286"/>
      <c r="AS41" s="286"/>
      <c r="AT41" s="221"/>
      <c r="AU41" s="221"/>
      <c r="AV41"/>
      <c r="AW41"/>
      <c r="AX41"/>
      <c r="AY41"/>
      <c r="AZ41"/>
      <c r="BA41"/>
      <c r="BB41"/>
      <c r="BC41" s="200"/>
      <c r="BD41" s="200"/>
      <c r="BE41" s="200"/>
      <c r="BF41" s="200"/>
    </row>
    <row r="42" spans="1:58" ht="29.25" customHeight="1" thickTop="1" thickBot="1" x14ac:dyDescent="0.3">
      <c r="B42" s="19"/>
      <c r="C42" s="80"/>
      <c r="D42" s="81"/>
      <c r="E42" s="82"/>
      <c r="F42" s="83"/>
      <c r="G42" s="84" t="str">
        <f>IF(SUM(G41:H41)&gt;0,1,"")</f>
        <v/>
      </c>
      <c r="H42" s="85"/>
      <c r="I42" s="84" t="str">
        <f>IF(SUM(I41:J41)&gt;0,1,"")</f>
        <v/>
      </c>
      <c r="J42" s="85"/>
      <c r="K42" s="84" t="str">
        <f>IF(SUM(K41:L41)&gt;0,1,"")</f>
        <v/>
      </c>
      <c r="L42" s="86"/>
      <c r="M42" s="155"/>
      <c r="N42" s="93"/>
      <c r="P42" s="19"/>
      <c r="Q42" s="19"/>
      <c r="S42" s="87"/>
      <c r="T42" s="177"/>
      <c r="U42" s="178"/>
      <c r="V42" s="179"/>
      <c r="W42" s="183"/>
      <c r="X42" s="323"/>
      <c r="Y42" s="324"/>
      <c r="Z42" s="183"/>
      <c r="AA42" s="184"/>
      <c r="AB42" s="184"/>
      <c r="AC42" s="200"/>
      <c r="AD42" s="200"/>
      <c r="AE42" s="200"/>
      <c r="AF42" s="200"/>
      <c r="AG42" s="200"/>
      <c r="AH42" s="200"/>
      <c r="AI42" s="200"/>
      <c r="AJ42" s="200"/>
      <c r="AK42" s="200"/>
      <c r="AL42" s="200"/>
      <c r="AM42" s="200"/>
      <c r="AN42" s="200"/>
      <c r="AO42" s="200"/>
      <c r="AP42" s="200"/>
      <c r="AQ42" s="200"/>
      <c r="AR42" s="200"/>
      <c r="AS42" s="200"/>
      <c r="AT42" s="221"/>
      <c r="AU42" s="221"/>
      <c r="AV42" s="221"/>
      <c r="AW42" s="221"/>
      <c r="AX42" s="221"/>
      <c r="AY42" s="221"/>
      <c r="AZ42" s="221"/>
      <c r="BA42" s="221"/>
      <c r="BB42" s="221"/>
      <c r="BC42" s="200"/>
      <c r="BD42" s="200"/>
      <c r="BE42" s="200"/>
      <c r="BF42" s="200"/>
    </row>
    <row r="43" spans="1:58" ht="29.25" customHeight="1" thickTop="1" x14ac:dyDescent="0.25">
      <c r="A43" s="135">
        <f>ROUND((ROW()-10)/2,0)</f>
        <v>17</v>
      </c>
      <c r="B43" s="19"/>
      <c r="C43" s="88" t="str">
        <f>IF(INDEX(設定!$C$9:$C$108,$A43,1)="","",INDEX(設定!$C$9:$C$108,$A43,1))</f>
        <v/>
      </c>
      <c r="D43" s="74" t="str">
        <f>IF(INDEX(設定!$D$9:$D$108,$A43,1)="","",INDEX(設定!$D$9:$D$108,$A43,1))</f>
        <v/>
      </c>
      <c r="E43" s="75" t="str">
        <f>IF(INDEX(設定!$E$9:$E$108,$A43,1)="","",INDEX(設定!$E$9:$E$108,$A43,1))</f>
        <v/>
      </c>
      <c r="F43" s="76" t="str">
        <f>IF(S43="","",IF(S43=1,"1：家族",IF(AND(S43&gt;=2,S43&lt;=5),"2：雇用","")))</f>
        <v/>
      </c>
      <c r="G43" s="134">
        <f>INT(INDEX(設定!$H$9:H$108,$A43,1))</f>
        <v>0</v>
      </c>
      <c r="H43" s="77" t="str">
        <f>IF(INDEX(設定!$H$9:$H$108,$A43,1)=0,"",ROUND(MOD(INDEX(設定!$H$9:$H$108,$A43,1),1)*60,0))</f>
        <v/>
      </c>
      <c r="I43" s="134">
        <f>INT(INDEX(設定!$I$9:$I$108,$A43,1))</f>
        <v>0</v>
      </c>
      <c r="J43" s="77" t="str">
        <f>IF(INDEX(設定!$I$9:$I$108,$A43,1)=0,"",ROUND(MOD(INDEX(設定!$I$9:$I$108,$A43,1),1)*60,0))</f>
        <v/>
      </c>
      <c r="K43" s="134">
        <f>INT(INDEX(設定!$J$9:$J$108,$A43,1))</f>
        <v>0</v>
      </c>
      <c r="L43" s="78" t="str">
        <f>IF(INDEX(設定!$J$9:$J$108,$A43,1)=0,"",ROUND(MOD(INDEX(設定!$J$9:$J$108,$A43,1),1)*60,0))</f>
        <v/>
      </c>
      <c r="M43" s="154"/>
      <c r="N43" s="153"/>
      <c r="P43" s="19"/>
      <c r="Q43" s="19"/>
      <c r="S43" s="89" t="str">
        <f>IF(INDEX(設定!$F$9:$F$108,$A43,1)="","",VALUE(LEFT(INDEX(設定!$F$9:$F$108,$A43,1),1)))</f>
        <v/>
      </c>
      <c r="T43" s="202" t="str">
        <f>IF(C43="","",C43)</f>
        <v/>
      </c>
      <c r="U43" s="203" t="str">
        <f>IF(D43="","",IF(D43="1：男",1,IF(D43="2：女",2)))</f>
        <v/>
      </c>
      <c r="V43" s="204" t="str">
        <f>IF(E43="","",E43)</f>
        <v/>
      </c>
      <c r="W43" s="332" t="str">
        <f t="shared" ref="W43" si="53">IF(AND(G43="",H43="",G44=""),"",ROUND(SUM(G43,H43/60)*G44,1))</f>
        <v/>
      </c>
      <c r="X43" s="333" t="str">
        <f t="shared" ref="X43" si="54">IF(AND(I43="",J43="",I44=""),"",ROUND(SUM(I43,J43/60)*I44,1))</f>
        <v/>
      </c>
      <c r="Y43" s="334" t="str">
        <f t="shared" ref="Y43" si="55">IF(AND(K43="",L43="",K44=""),"",ROUND(SUM(K43,L43/60)*K44,1))</f>
        <v/>
      </c>
      <c r="Z43" s="183"/>
      <c r="AA43" s="184"/>
      <c r="AB43" s="221"/>
      <c r="AC43" s="200"/>
      <c r="AD43" s="200"/>
      <c r="AE43" s="200"/>
      <c r="AF43" s="200"/>
      <c r="AG43" s="200"/>
      <c r="AH43" s="200"/>
      <c r="AI43" s="200"/>
      <c r="AJ43" s="200"/>
      <c r="AK43" s="200"/>
      <c r="AL43" s="200"/>
      <c r="AM43" s="200"/>
      <c r="AN43" s="200"/>
      <c r="AO43" s="200"/>
      <c r="AP43" s="200"/>
      <c r="AQ43" s="200"/>
      <c r="AR43" s="200"/>
      <c r="AS43" s="200"/>
      <c r="AT43" s="221"/>
      <c r="AU43" s="221"/>
      <c r="AV43" s="221"/>
      <c r="AW43" s="221"/>
      <c r="AX43" s="221"/>
      <c r="AY43" s="221"/>
      <c r="AZ43" s="221"/>
      <c r="BA43" s="221"/>
      <c r="BB43" s="221"/>
      <c r="BC43" s="200"/>
      <c r="BD43" s="200"/>
      <c r="BE43" s="200"/>
      <c r="BF43" s="200"/>
    </row>
    <row r="44" spans="1:58" ht="29.25" customHeight="1" thickBot="1" x14ac:dyDescent="0.3">
      <c r="B44" s="19"/>
      <c r="C44" s="80"/>
      <c r="D44" s="81"/>
      <c r="E44" s="82"/>
      <c r="F44" s="83"/>
      <c r="G44" s="84" t="str">
        <f>IF(SUM(G43:H43)&gt;0,1,"")</f>
        <v/>
      </c>
      <c r="H44" s="85"/>
      <c r="I44" s="84" t="str">
        <f>IF(SUM(I43:J43)&gt;0,1,"")</f>
        <v/>
      </c>
      <c r="J44" s="85"/>
      <c r="K44" s="84" t="str">
        <f>IF(SUM(K43:L43)&gt;0,1,"")</f>
        <v/>
      </c>
      <c r="L44" s="86"/>
      <c r="M44" s="155"/>
      <c r="N44" s="93"/>
      <c r="P44" s="19"/>
      <c r="Q44" s="19"/>
      <c r="S44" s="87"/>
      <c r="T44" s="177"/>
      <c r="U44" s="178"/>
      <c r="V44" s="179"/>
      <c r="W44" s="183"/>
      <c r="X44" s="323"/>
      <c r="Y44" s="324"/>
      <c r="Z44" s="183"/>
      <c r="AA44" s="184"/>
      <c r="AB44" s="221"/>
      <c r="AC44" s="200"/>
      <c r="AD44" s="200"/>
      <c r="AE44" s="200"/>
      <c r="AF44" s="200"/>
      <c r="AG44" s="200"/>
      <c r="AH44" s="200"/>
      <c r="AI44" s="200"/>
      <c r="AJ44" s="200"/>
      <c r="AK44" s="200"/>
      <c r="AL44" s="200"/>
      <c r="AM44" s="200"/>
      <c r="AN44" s="200"/>
      <c r="AO44" s="200"/>
      <c r="AP44" s="200"/>
      <c r="AQ44" s="200"/>
      <c r="AR44" s="200"/>
      <c r="AS44" s="200"/>
      <c r="AT44" s="221"/>
      <c r="AU44" s="221"/>
      <c r="AV44" s="221"/>
      <c r="AW44" s="221"/>
      <c r="AX44" s="221"/>
      <c r="AY44" s="221"/>
      <c r="AZ44" s="221"/>
      <c r="BA44" s="221"/>
      <c r="BB44" s="221"/>
      <c r="BC44" s="200"/>
      <c r="BD44" s="200"/>
      <c r="BE44" s="200"/>
      <c r="BF44" s="200"/>
    </row>
    <row r="45" spans="1:58" ht="29.25" customHeight="1" thickTop="1" x14ac:dyDescent="0.25">
      <c r="A45" s="135">
        <f>ROUND((ROW()-10)/2,0)</f>
        <v>18</v>
      </c>
      <c r="B45" s="19"/>
      <c r="C45" s="88" t="str">
        <f>IF(INDEX(設定!$C$9:$C$108,$A45,1)="","",INDEX(設定!$C$9:$C$108,$A45,1))</f>
        <v/>
      </c>
      <c r="D45" s="74" t="str">
        <f>IF(INDEX(設定!$D$9:$D$108,$A45,1)="","",INDEX(設定!$D$9:$D$108,$A45,1))</f>
        <v/>
      </c>
      <c r="E45" s="75" t="str">
        <f>IF(INDEX(設定!$E$9:$E$108,$A45,1)="","",INDEX(設定!$E$9:$E$108,$A45,1))</f>
        <v/>
      </c>
      <c r="F45" s="76" t="str">
        <f>IF(S45="","",IF(S45=1,"1：家族",IF(AND(S45&gt;=2,S45&lt;=5),"2：雇用","")))</f>
        <v/>
      </c>
      <c r="G45" s="134">
        <f>INT(INDEX(設定!$H$9:H$108,$A45,1))</f>
        <v>0</v>
      </c>
      <c r="H45" s="77" t="str">
        <f>IF(INDEX(設定!$H$9:$H$108,$A45,1)=0,"",ROUND(MOD(INDEX(設定!$H$9:$H$108,$A45,1),1)*60,0))</f>
        <v/>
      </c>
      <c r="I45" s="134">
        <f>INT(INDEX(設定!$I$9:$I$108,$A45,1))</f>
        <v>0</v>
      </c>
      <c r="J45" s="77" t="str">
        <f>IF(INDEX(設定!$I$9:$I$108,$A45,1)=0,"",ROUND(MOD(INDEX(設定!$I$9:$I$108,$A45,1),1)*60,0))</f>
        <v/>
      </c>
      <c r="K45" s="134">
        <f>INT(INDEX(設定!$J$9:$J$108,$A45,1))</f>
        <v>0</v>
      </c>
      <c r="L45" s="78" t="str">
        <f>IF(INDEX(設定!$J$9:$J$108,$A45,1)=0,"",ROUND(MOD(INDEX(設定!$J$9:$J$108,$A45,1),1)*60,0))</f>
        <v/>
      </c>
      <c r="M45" s="154"/>
      <c r="N45" s="153"/>
      <c r="P45" s="19"/>
      <c r="Q45" s="19"/>
      <c r="S45" s="89" t="str">
        <f>IF(INDEX(設定!$F$9:$F$108,$A45,1)="","",VALUE(LEFT(INDEX(設定!$F$9:$F$108,$A45,1),1)))</f>
        <v/>
      </c>
      <c r="T45" s="202" t="str">
        <f>IF(C45="","",C45)</f>
        <v/>
      </c>
      <c r="U45" s="203" t="str">
        <f>IF(D45="","",IF(D45="1：男",1,IF(D45="2：女",2)))</f>
        <v/>
      </c>
      <c r="V45" s="204" t="str">
        <f>IF(E45="","",E45)</f>
        <v/>
      </c>
      <c r="W45" s="332" t="str">
        <f t="shared" ref="W45" si="56">IF(AND(G45="",H45="",G46=""),"",ROUND(SUM(G45,H45/60)*G46,1))</f>
        <v/>
      </c>
      <c r="X45" s="333" t="str">
        <f t="shared" ref="X45" si="57">IF(AND(I45="",J45="",I46=""),"",ROUND(SUM(I45,J45/60)*I46,1))</f>
        <v/>
      </c>
      <c r="Y45" s="334" t="str">
        <f t="shared" ref="Y45" si="58">IF(AND(K45="",L45="",K46=""),"",ROUND(SUM(K45,L45/60)*K46,1))</f>
        <v/>
      </c>
      <c r="Z45" s="183"/>
      <c r="AA45" s="184"/>
      <c r="AB45" s="221"/>
      <c r="AC45" s="200"/>
      <c r="AD45" s="200"/>
      <c r="AE45" s="200"/>
      <c r="AF45" s="200"/>
      <c r="AG45" s="200"/>
      <c r="AH45" s="200"/>
      <c r="AI45" s="200"/>
      <c r="AJ45" s="200"/>
      <c r="AK45" s="200"/>
      <c r="AL45" s="200"/>
      <c r="AM45" s="200"/>
      <c r="AN45" s="200"/>
      <c r="AO45" s="200"/>
      <c r="AP45" s="200"/>
      <c r="AQ45" s="200"/>
      <c r="AR45" s="200"/>
      <c r="AS45" s="200"/>
      <c r="AT45" s="221"/>
      <c r="AU45" s="221"/>
      <c r="AV45" s="221"/>
      <c r="AW45" s="221"/>
      <c r="AX45" s="221"/>
      <c r="AY45" s="221"/>
      <c r="AZ45" s="221"/>
      <c r="BA45" s="221"/>
      <c r="BB45" s="221"/>
      <c r="BC45" s="200"/>
      <c r="BD45" s="200"/>
      <c r="BE45" s="200"/>
      <c r="BF45" s="200"/>
    </row>
    <row r="46" spans="1:58" ht="28.95" customHeight="1" thickBot="1" x14ac:dyDescent="0.3">
      <c r="B46" s="19"/>
      <c r="C46" s="80"/>
      <c r="D46" s="81"/>
      <c r="E46" s="82"/>
      <c r="F46" s="83"/>
      <c r="G46" s="84" t="str">
        <f>IF(SUM(G45:H45)&gt;0,1,"")</f>
        <v/>
      </c>
      <c r="H46" s="85"/>
      <c r="I46" s="84" t="str">
        <f>IF(SUM(I45:J45)&gt;0,1,"")</f>
        <v/>
      </c>
      <c r="J46" s="85"/>
      <c r="K46" s="84" t="str">
        <f>IF(SUM(K45:L45)&gt;0,1,"")</f>
        <v/>
      </c>
      <c r="L46" s="86"/>
      <c r="M46" s="155"/>
      <c r="N46" s="93"/>
      <c r="P46" s="19"/>
      <c r="Q46" s="19"/>
      <c r="S46" s="87"/>
      <c r="T46" s="177"/>
      <c r="U46" s="178"/>
      <c r="V46" s="179"/>
      <c r="W46" s="183"/>
      <c r="X46" s="323"/>
      <c r="Y46" s="324"/>
      <c r="Z46" s="183"/>
      <c r="AA46" s="184"/>
      <c r="AB46" s="221"/>
      <c r="AC46" s="200"/>
      <c r="AD46" s="200"/>
      <c r="AE46" s="200"/>
      <c r="AF46" s="200"/>
      <c r="AG46" s="200"/>
      <c r="AH46" s="200"/>
      <c r="AI46" s="200"/>
      <c r="AJ46" s="200"/>
      <c r="AK46" s="200"/>
      <c r="AL46" s="200"/>
      <c r="AM46" s="200"/>
      <c r="AN46" s="200"/>
      <c r="AO46" s="200"/>
      <c r="AP46" s="200"/>
      <c r="AQ46" s="200"/>
      <c r="AR46" s="200"/>
      <c r="AS46" s="200"/>
      <c r="AT46" s="221"/>
      <c r="AU46" s="221"/>
      <c r="AV46" s="221"/>
      <c r="AW46" s="221"/>
      <c r="AX46" s="221"/>
      <c r="AY46" s="221"/>
      <c r="AZ46" s="221"/>
      <c r="BA46" s="221"/>
      <c r="BB46" s="221"/>
      <c r="BC46" s="1"/>
      <c r="BD46" s="1"/>
      <c r="BE46" s="1"/>
      <c r="BF46" s="1"/>
    </row>
    <row r="47" spans="1:58" ht="29.25" customHeight="1" thickTop="1" x14ac:dyDescent="0.25">
      <c r="A47" s="135">
        <f>ROUND((ROW()-10)/2,0)</f>
        <v>19</v>
      </c>
      <c r="B47" s="19"/>
      <c r="C47" s="88" t="str">
        <f>IF(INDEX(設定!$C$9:$C$108,$A47,1)="","",INDEX(設定!$C$9:$C$108,$A47,1))</f>
        <v/>
      </c>
      <c r="D47" s="74" t="str">
        <f>IF(INDEX(設定!$D$9:$D$108,$A47,1)="","",INDEX(設定!$D$9:$D$108,$A47,1))</f>
        <v/>
      </c>
      <c r="E47" s="75" t="str">
        <f>IF(INDEX(設定!$E$9:$E$108,$A47,1)="","",INDEX(設定!$E$9:$E$108,$A47,1))</f>
        <v/>
      </c>
      <c r="F47" s="76" t="str">
        <f>IF(S47="","",IF(S47=1,"1：家族",IF(AND(S47&gt;=2,S47&lt;=5),"2：雇用","")))</f>
        <v/>
      </c>
      <c r="G47" s="134">
        <f>INT(INDEX(設定!$H$9:H$108,$A47,1))</f>
        <v>0</v>
      </c>
      <c r="H47" s="77" t="str">
        <f>IF(INDEX(設定!$H$9:$H$108,$A47,1)=0,"",ROUND(MOD(INDEX(設定!$H$9:$H$108,$A47,1),1)*60,0))</f>
        <v/>
      </c>
      <c r="I47" s="134">
        <f>INT(INDEX(設定!$I$9:$I$108,$A47,1))</f>
        <v>0</v>
      </c>
      <c r="J47" s="77" t="str">
        <f>IF(INDEX(設定!$I$9:$I$108,$A47,1)=0,"",ROUND(MOD(INDEX(設定!$I$9:$I$108,$A47,1),1)*60,0))</f>
        <v/>
      </c>
      <c r="K47" s="134">
        <f>INT(INDEX(設定!$J$9:$J$108,$A47,1))</f>
        <v>0</v>
      </c>
      <c r="L47" s="78" t="str">
        <f>IF(INDEX(設定!$J$9:$J$108,$A47,1)=0,"",ROUND(MOD(INDEX(設定!$J$9:$J$108,$A47,1),1)*60,0))</f>
        <v/>
      </c>
      <c r="M47" s="154"/>
      <c r="N47" s="153"/>
      <c r="P47" s="19"/>
      <c r="Q47" s="19"/>
      <c r="S47" s="89" t="str">
        <f>IF(INDEX(設定!$F$9:$F$108,$A47,1)="","",VALUE(LEFT(INDEX(設定!$F$9:$F$108,$A47,1),1)))</f>
        <v/>
      </c>
      <c r="T47" s="202" t="str">
        <f>IF(C47="","",C47)</f>
        <v/>
      </c>
      <c r="U47" s="203" t="str">
        <f>IF(D47="","",IF(D47="1：男",1,IF(D47="2：女",2)))</f>
        <v/>
      </c>
      <c r="V47" s="204" t="str">
        <f>IF(E47="","",E47)</f>
        <v/>
      </c>
      <c r="W47" s="332" t="str">
        <f t="shared" ref="W47" si="59">IF(AND(G47="",H47="",G48=""),"",ROUND(SUM(G47,H47/60)*G48,1))</f>
        <v/>
      </c>
      <c r="X47" s="333" t="str">
        <f t="shared" ref="X47" si="60">IF(AND(I47="",J47="",I48=""),"",ROUND(SUM(I47,J47/60)*I48,1))</f>
        <v/>
      </c>
      <c r="Y47" s="334" t="str">
        <f t="shared" ref="Y47" si="61">IF(AND(K47="",L47="",K48=""),"",ROUND(SUM(K47,L47/60)*K48,1))</f>
        <v/>
      </c>
      <c r="Z47" s="183"/>
      <c r="AA47" s="184"/>
      <c r="AB47" s="221"/>
      <c r="AC47" s="200"/>
      <c r="AD47" s="200"/>
      <c r="AE47" s="200"/>
      <c r="AF47" s="200"/>
      <c r="AG47" s="200"/>
      <c r="AH47" s="200"/>
      <c r="AI47" s="200"/>
      <c r="AJ47" s="200"/>
      <c r="AK47" s="200"/>
      <c r="AL47" s="200"/>
      <c r="AM47" s="200"/>
      <c r="AN47" s="200"/>
      <c r="AO47" s="200"/>
      <c r="AP47" s="200"/>
      <c r="AQ47" s="200"/>
      <c r="AR47" s="200"/>
      <c r="AS47" s="200"/>
      <c r="AT47" s="221"/>
      <c r="AU47" s="221"/>
      <c r="AV47" s="221"/>
      <c r="AW47" s="221"/>
      <c r="AX47" s="221"/>
      <c r="AY47" s="221"/>
      <c r="AZ47" s="221"/>
      <c r="BA47" s="221"/>
      <c r="BB47" s="221"/>
      <c r="BC47" s="200"/>
      <c r="BD47" s="200"/>
      <c r="BE47" s="200"/>
      <c r="BF47" s="200"/>
    </row>
    <row r="48" spans="1:58" ht="29.25" customHeight="1" thickBot="1" x14ac:dyDescent="0.3">
      <c r="B48" s="19"/>
      <c r="C48" s="80"/>
      <c r="D48" s="81"/>
      <c r="E48" s="82"/>
      <c r="F48" s="83"/>
      <c r="G48" s="84" t="str">
        <f>IF(SUM(G47:H47)&gt;0,1,"")</f>
        <v/>
      </c>
      <c r="H48" s="85"/>
      <c r="I48" s="84" t="str">
        <f>IF(SUM(I47:J47)&gt;0,1,"")</f>
        <v/>
      </c>
      <c r="J48" s="85"/>
      <c r="K48" s="84" t="str">
        <f>IF(SUM(K47:L47)&gt;0,1,"")</f>
        <v/>
      </c>
      <c r="L48" s="86"/>
      <c r="M48" s="155"/>
      <c r="N48" s="93"/>
      <c r="P48" s="19"/>
      <c r="Q48" s="19"/>
      <c r="S48" s="87"/>
      <c r="T48" s="177"/>
      <c r="U48" s="178"/>
      <c r="V48" s="179"/>
      <c r="W48" s="183"/>
      <c r="X48" s="323"/>
      <c r="Y48" s="324"/>
      <c r="Z48" s="183"/>
      <c r="AA48" s="184"/>
      <c r="AB48" s="221"/>
      <c r="AC48" s="200"/>
      <c r="AD48" s="200"/>
      <c r="AE48" s="200"/>
      <c r="AF48" s="200"/>
      <c r="AG48" s="200"/>
      <c r="AH48" s="200"/>
      <c r="AI48" s="200"/>
      <c r="AJ48" s="200"/>
      <c r="AK48" s="200"/>
      <c r="AL48" s="200"/>
      <c r="AM48" s="200"/>
      <c r="AN48" s="200"/>
      <c r="AO48" s="200"/>
      <c r="AP48" s="200"/>
      <c r="AQ48" s="200"/>
      <c r="AR48" s="200"/>
      <c r="AS48" s="200"/>
      <c r="AT48" s="221"/>
      <c r="AU48" s="221"/>
      <c r="AV48" s="221"/>
      <c r="AW48" s="221"/>
      <c r="AX48" s="221"/>
      <c r="AY48" s="221"/>
      <c r="AZ48" s="221"/>
      <c r="BA48" s="221"/>
      <c r="BB48" s="221"/>
      <c r="BC48" s="200"/>
      <c r="BD48" s="200"/>
      <c r="BE48" s="200"/>
      <c r="BF48" s="200"/>
    </row>
    <row r="49" spans="1:58" ht="29.25" customHeight="1" thickTop="1" x14ac:dyDescent="0.25">
      <c r="A49" s="136">
        <f>ROUND((ROW()-10)/2,0)</f>
        <v>20</v>
      </c>
      <c r="C49" s="88" t="str">
        <f>IF(INDEX(設定!$C$9:$C$108,$A49,1)="","",INDEX(設定!$C$9:$C$108,$A49,1))</f>
        <v/>
      </c>
      <c r="D49" s="74" t="str">
        <f>IF(INDEX(設定!$D$9:$D$108,$A49,1)="","",INDEX(設定!$D$9:$D$108,$A49,1))</f>
        <v/>
      </c>
      <c r="E49" s="75" t="str">
        <f>IF(INDEX(設定!$E$9:$E$108,$A49,1)="","",INDEX(設定!$E$9:$E$108,$A49,1))</f>
        <v/>
      </c>
      <c r="F49" s="76" t="str">
        <f>IF(S49="","",IF(S49=1,"1：家族",IF(AND(S49&gt;=2,S49&lt;=5),"2：雇用","")))</f>
        <v/>
      </c>
      <c r="G49" s="134">
        <f>INT(INDEX(設定!$H$9:H$108,$A49,1))</f>
        <v>0</v>
      </c>
      <c r="H49" s="77" t="str">
        <f>IF(INDEX(設定!$H$9:$H$108,$A49,1)=0,"",ROUND(MOD(INDEX(設定!$H$9:$H$108,$A49,1),1)*60,0))</f>
        <v/>
      </c>
      <c r="I49" s="134">
        <f>INT(INDEX(設定!$I$9:$I$108,$A49,1))</f>
        <v>0</v>
      </c>
      <c r="J49" s="77" t="str">
        <f>IF(INDEX(設定!$I$9:$I$108,$A49,1)=0,"",ROUND(MOD(INDEX(設定!$I$9:$I$108,$A49,1),1)*60,0))</f>
        <v/>
      </c>
      <c r="K49" s="134">
        <f>INT(INDEX(設定!$J$9:$J$108,$A49,1))</f>
        <v>0</v>
      </c>
      <c r="L49" s="78" t="str">
        <f>IF(INDEX(設定!$J$9:$J$108,$A49,1)=0,"",ROUND(MOD(INDEX(設定!$J$9:$J$108,$A49,1),1)*60,0))</f>
        <v/>
      </c>
      <c r="M49" s="154"/>
      <c r="N49" s="153"/>
      <c r="P49" s="19"/>
      <c r="Q49" s="19"/>
      <c r="S49" s="89" t="str">
        <f>IF(INDEX(設定!$F$9:$F$108,$A49,1)="","",VALUE(LEFT(INDEX(設定!$F$9:$F$108,$A49,1),1)))</f>
        <v/>
      </c>
      <c r="T49" s="202" t="str">
        <f>IF(C49="","",C49)</f>
        <v/>
      </c>
      <c r="U49" s="203" t="str">
        <f>IF(D49="","",IF(D49="1：男",1,IF(D49="2：女",2)))</f>
        <v/>
      </c>
      <c r="V49" s="204" t="str">
        <f>IF(E49="","",E49)</f>
        <v/>
      </c>
      <c r="W49" s="332" t="str">
        <f t="shared" ref="W49" si="62">IF(AND(G49="",H49="",G50=""),"",ROUND(SUM(G49,H49/60)*G50,1))</f>
        <v/>
      </c>
      <c r="X49" s="333" t="str">
        <f t="shared" ref="X49" si="63">IF(AND(I49="",J49="",I50=""),"",ROUND(SUM(I49,J49/60)*I50,1))</f>
        <v/>
      </c>
      <c r="Y49" s="334" t="str">
        <f t="shared" ref="Y49" si="64">IF(AND(K49="",L49="",K50=""),"",ROUND(SUM(K49,L49/60)*K50,1))</f>
        <v/>
      </c>
      <c r="Z49" s="183"/>
      <c r="AA49" s="184"/>
      <c r="AB49" s="221"/>
      <c r="AC49" s="200"/>
      <c r="AD49" s="200"/>
      <c r="AE49" s="200"/>
      <c r="AF49" s="200"/>
      <c r="AG49" s="200"/>
      <c r="AH49" s="200"/>
      <c r="AI49" s="200"/>
      <c r="AJ49" s="200"/>
      <c r="AK49" s="200"/>
      <c r="AL49" s="200"/>
      <c r="AM49" s="200"/>
      <c r="AN49" s="200"/>
      <c r="AO49" s="200"/>
      <c r="AP49" s="200"/>
      <c r="AQ49" s="200"/>
      <c r="AR49" s="200"/>
      <c r="AS49" s="200"/>
      <c r="AT49" s="221"/>
      <c r="AU49" s="221"/>
      <c r="AV49" s="221"/>
      <c r="AW49" s="221"/>
      <c r="AX49" s="221"/>
      <c r="AY49" s="221"/>
      <c r="AZ49" s="221"/>
      <c r="BA49" s="221"/>
      <c r="BB49" s="221"/>
      <c r="BC49" s="200"/>
      <c r="BD49" s="200"/>
      <c r="BE49" s="200"/>
      <c r="BF49" s="200"/>
    </row>
    <row r="50" spans="1:58" ht="29.25" customHeight="1" thickBot="1" x14ac:dyDescent="0.3">
      <c r="A50" s="136"/>
      <c r="C50" s="80"/>
      <c r="D50" s="81"/>
      <c r="E50" s="82"/>
      <c r="F50" s="83"/>
      <c r="G50" s="84" t="str">
        <f>IF(SUM(G49:H49)&gt;0,1,"")</f>
        <v/>
      </c>
      <c r="H50" s="85"/>
      <c r="I50" s="84" t="str">
        <f>IF(SUM(I49:J49)&gt;0,1,"")</f>
        <v/>
      </c>
      <c r="J50" s="85"/>
      <c r="K50" s="84" t="str">
        <f>IF(SUM(K49:L49)&gt;0,1,"")</f>
        <v/>
      </c>
      <c r="L50" s="86"/>
      <c r="M50" s="155"/>
      <c r="N50" s="93"/>
      <c r="P50" s="19"/>
      <c r="Q50" s="19"/>
      <c r="S50" s="87"/>
      <c r="T50" s="177"/>
      <c r="U50" s="178"/>
      <c r="V50" s="179"/>
      <c r="W50" s="183"/>
      <c r="X50" s="323"/>
      <c r="Y50" s="324"/>
      <c r="Z50" s="183"/>
      <c r="AA50" s="184"/>
      <c r="AB50" s="221"/>
      <c r="AC50" s="200"/>
      <c r="AD50" s="200"/>
      <c r="AE50" s="200"/>
      <c r="AF50" s="200"/>
      <c r="AG50" s="200"/>
      <c r="AH50" s="200"/>
      <c r="AI50" s="200"/>
      <c r="AJ50" s="200"/>
      <c r="AK50" s="200"/>
      <c r="AL50" s="200"/>
      <c r="AM50" s="200"/>
      <c r="AN50" s="200"/>
      <c r="AO50" s="200"/>
      <c r="AP50" s="200"/>
      <c r="AQ50" s="200"/>
      <c r="AR50" s="200"/>
      <c r="AS50" s="200"/>
      <c r="AT50" s="221"/>
      <c r="AU50" s="221"/>
      <c r="AV50" s="221"/>
      <c r="AW50" s="221"/>
      <c r="AX50" s="221"/>
      <c r="AY50" s="221"/>
      <c r="AZ50" s="221"/>
      <c r="BA50" s="221"/>
      <c r="BB50" s="221"/>
      <c r="BC50" s="200"/>
      <c r="BD50" s="200"/>
      <c r="BE50" s="200"/>
      <c r="BF50" s="200"/>
    </row>
    <row r="51" spans="1:58" ht="29.25" customHeight="1" thickTop="1" x14ac:dyDescent="0.25">
      <c r="A51" s="136">
        <f>ROUND((ROW()-10)/2,0)</f>
        <v>21</v>
      </c>
      <c r="C51" s="88" t="str">
        <f>IF(INDEX(設定!$C$9:$C$108,$A51,1)="","",INDEX(設定!$C$9:$C$108,$A51,1))</f>
        <v/>
      </c>
      <c r="D51" s="74" t="str">
        <f>IF(INDEX(設定!$D$9:$D$108,$A51,1)="","",INDEX(設定!$D$9:$D$108,$A51,1))</f>
        <v/>
      </c>
      <c r="E51" s="75" t="str">
        <f>IF(INDEX(設定!$E$9:$E$108,$A51,1)="","",INDEX(設定!$E$9:$E$108,$A51,1))</f>
        <v/>
      </c>
      <c r="F51" s="76" t="str">
        <f>IF(S51="","",IF(S51=1,"1：家族",IF(AND(S51&gt;=2,S51&lt;=5),"2：雇用","")))</f>
        <v/>
      </c>
      <c r="G51" s="134">
        <f>INT(INDEX(設定!$H$9:H$108,$A51,1))</f>
        <v>0</v>
      </c>
      <c r="H51" s="77" t="str">
        <f>IF(INDEX(設定!$H$9:$H$108,$A51,1)=0,"",ROUND(MOD(INDEX(設定!$H$9:$H$108,$A51,1),1)*60,0))</f>
        <v/>
      </c>
      <c r="I51" s="134">
        <f>INT(INDEX(設定!$I$9:$I$108,$A51,1))</f>
        <v>0</v>
      </c>
      <c r="J51" s="77" t="str">
        <f>IF(INDEX(設定!$I$9:$I$108,$A51,1)=0,"",ROUND(MOD(INDEX(設定!$I$9:$I$108,$A51,1),1)*60,0))</f>
        <v/>
      </c>
      <c r="K51" s="134">
        <f>INT(INDEX(設定!$J$9:$J$108,$A51,1))</f>
        <v>0</v>
      </c>
      <c r="L51" s="78" t="str">
        <f>IF(INDEX(設定!$J$9:$J$108,$A51,1)=0,"",ROUND(MOD(INDEX(設定!$J$9:$J$108,$A51,1),1)*60,0))</f>
        <v/>
      </c>
      <c r="M51" s="154"/>
      <c r="N51" s="153"/>
      <c r="P51" s="19"/>
      <c r="Q51" s="19"/>
      <c r="S51" s="89" t="str">
        <f>IF(INDEX(設定!$F$9:$F$108,$A51,1)="","",VALUE(LEFT(INDEX(設定!$F$9:$F$108,$A51,1),1)))</f>
        <v/>
      </c>
      <c r="T51" s="202" t="str">
        <f>IF(C51="","",C51)</f>
        <v/>
      </c>
      <c r="U51" s="203" t="str">
        <f>IF(D51="","",IF(D51="1：男",1,IF(D51="2：女",2)))</f>
        <v/>
      </c>
      <c r="V51" s="204" t="str">
        <f>IF(E51="","",E51)</f>
        <v/>
      </c>
      <c r="W51" s="332" t="str">
        <f t="shared" ref="W51" si="65">IF(AND(G51="",H51="",G52=""),"",ROUND(SUM(G51,H51/60)*G52,1))</f>
        <v/>
      </c>
      <c r="X51" s="333" t="str">
        <f t="shared" ref="X51" si="66">IF(AND(I51="",J51="",I52=""),"",ROUND(SUM(I51,J51/60)*I52,1))</f>
        <v/>
      </c>
      <c r="Y51" s="334" t="str">
        <f t="shared" ref="Y51" si="67">IF(AND(K51="",L51="",K52=""),"",ROUND(SUM(K51,L51/60)*K52,1))</f>
        <v/>
      </c>
      <c r="Z51" s="183"/>
      <c r="AA51" s="184"/>
      <c r="AB51" s="221"/>
      <c r="AC51" s="200"/>
      <c r="AD51" s="200"/>
      <c r="AE51" s="200"/>
      <c r="AF51" s="200"/>
      <c r="AG51" s="200"/>
      <c r="AH51" s="200"/>
      <c r="AI51" s="200"/>
      <c r="AJ51" s="200"/>
      <c r="AK51" s="200"/>
      <c r="AL51" s="200"/>
      <c r="AM51" s="200"/>
      <c r="AN51" s="200"/>
      <c r="AO51" s="200"/>
      <c r="AP51" s="200"/>
      <c r="AQ51" s="200"/>
      <c r="AR51" s="200"/>
      <c r="AS51" s="200"/>
      <c r="AT51" s="221"/>
      <c r="AU51" s="221"/>
      <c r="AV51" s="221"/>
      <c r="AW51" s="221"/>
      <c r="AX51" s="221"/>
      <c r="AY51" s="221"/>
      <c r="AZ51" s="221"/>
      <c r="BA51" s="221"/>
      <c r="BB51" s="221"/>
      <c r="BC51" s="200"/>
      <c r="BD51" s="200"/>
      <c r="BE51" s="200"/>
      <c r="BF51" s="200"/>
    </row>
    <row r="52" spans="1:58" ht="29.25" customHeight="1" thickBot="1" x14ac:dyDescent="0.3">
      <c r="B52" s="19"/>
      <c r="C52" s="80"/>
      <c r="D52" s="81"/>
      <c r="E52" s="82"/>
      <c r="F52" s="83"/>
      <c r="G52" s="84" t="str">
        <f>IF(SUM(G51:H51)&gt;0,1,"")</f>
        <v/>
      </c>
      <c r="H52" s="85"/>
      <c r="I52" s="84" t="str">
        <f>IF(SUM(I51:J51)&gt;0,1,"")</f>
        <v/>
      </c>
      <c r="J52" s="85"/>
      <c r="K52" s="84" t="str">
        <f>IF(SUM(K51:L51)&gt;0,1,"")</f>
        <v/>
      </c>
      <c r="L52" s="86"/>
      <c r="M52" s="155"/>
      <c r="N52" s="93"/>
      <c r="P52" s="19"/>
      <c r="Q52" s="19"/>
      <c r="S52" s="87"/>
      <c r="T52" s="177"/>
      <c r="U52" s="178"/>
      <c r="V52" s="179"/>
      <c r="W52" s="183"/>
      <c r="X52" s="323"/>
      <c r="Y52" s="324"/>
      <c r="Z52" s="183"/>
      <c r="AA52" s="184"/>
      <c r="AB52" s="221"/>
      <c r="AC52" s="200"/>
      <c r="AD52" s="200"/>
      <c r="AE52" s="200"/>
      <c r="AF52" s="200"/>
      <c r="AG52" s="200"/>
      <c r="AH52" s="200"/>
      <c r="AI52" s="200"/>
      <c r="AJ52" s="200"/>
      <c r="AK52" s="200"/>
      <c r="AL52" s="200"/>
      <c r="AM52" s="200"/>
      <c r="AN52" s="200"/>
      <c r="AO52" s="200"/>
      <c r="AP52" s="200"/>
      <c r="AQ52" s="200"/>
      <c r="AR52" s="200"/>
      <c r="AS52" s="200"/>
      <c r="AT52" s="221"/>
      <c r="AU52" s="221"/>
      <c r="AV52" s="221"/>
      <c r="AW52" s="221"/>
      <c r="AX52" s="221"/>
      <c r="AY52" s="221"/>
      <c r="AZ52" s="221"/>
      <c r="BA52" s="221"/>
      <c r="BB52" s="221"/>
      <c r="BC52" s="200"/>
      <c r="BD52" s="200"/>
      <c r="BE52" s="200"/>
      <c r="BF52" s="200"/>
    </row>
    <row r="53" spans="1:58" ht="29.25" customHeight="1" thickTop="1" x14ac:dyDescent="0.25">
      <c r="A53" s="135">
        <f>ROUND((ROW()-10)/2,0)</f>
        <v>22</v>
      </c>
      <c r="B53" s="19"/>
      <c r="C53" s="88" t="str">
        <f>IF(INDEX(設定!$C$9:$C$108,$A53,1)="","",INDEX(設定!$C$9:$C$108,$A53,1))</f>
        <v/>
      </c>
      <c r="D53" s="74" t="str">
        <f>IF(INDEX(設定!$D$9:$D$108,$A53,1)="","",INDEX(設定!$D$9:$D$108,$A53,1))</f>
        <v/>
      </c>
      <c r="E53" s="75" t="str">
        <f>IF(INDEX(設定!$E$9:$E$108,$A53,1)="","",INDEX(設定!$E$9:$E$108,$A53,1))</f>
        <v/>
      </c>
      <c r="F53" s="76" t="str">
        <f>IF(S53="","",IF(S53=1,"1：家族",IF(AND(S53&gt;=2,S53&lt;=5),"2：雇用","")))</f>
        <v/>
      </c>
      <c r="G53" s="134">
        <f>INT(INDEX(設定!$H$9:H$108,$A53,1))</f>
        <v>0</v>
      </c>
      <c r="H53" s="77" t="str">
        <f>IF(INDEX(設定!$H$9:$H$108,$A53,1)=0,"",ROUND(MOD(INDEX(設定!$H$9:$H$108,$A53,1),1)*60,0))</f>
        <v/>
      </c>
      <c r="I53" s="134">
        <f>INT(INDEX(設定!$I$9:$I$108,$A53,1))</f>
        <v>0</v>
      </c>
      <c r="J53" s="77" t="str">
        <f>IF(INDEX(設定!$I$9:$I$108,$A53,1)=0,"",ROUND(MOD(INDEX(設定!$I$9:$I$108,$A53,1),1)*60,0))</f>
        <v/>
      </c>
      <c r="K53" s="134">
        <f>INT(INDEX(設定!$J$9:$J$108,$A53,1))</f>
        <v>0</v>
      </c>
      <c r="L53" s="78" t="str">
        <f>IF(INDEX(設定!$J$9:$J$108,$A53,1)=0,"",ROUND(MOD(INDEX(設定!$J$9:$J$108,$A53,1),1)*60,0))</f>
        <v/>
      </c>
      <c r="M53" s="154"/>
      <c r="N53" s="153"/>
      <c r="P53" s="19"/>
      <c r="Q53" s="19"/>
      <c r="S53" s="89" t="str">
        <f>IF(INDEX(設定!$F$9:$F$108,$A53,1)="","",VALUE(LEFT(INDEX(設定!$F$9:$F$108,$A53,1),1)))</f>
        <v/>
      </c>
      <c r="T53" s="202" t="str">
        <f>IF(C53="","",C53)</f>
        <v/>
      </c>
      <c r="U53" s="203" t="str">
        <f>IF(D53="","",IF(D53="1：男",1,IF(D53="2：女",2)))</f>
        <v/>
      </c>
      <c r="V53" s="204" t="str">
        <f>IF(E53="","",E53)</f>
        <v/>
      </c>
      <c r="W53" s="332" t="str">
        <f t="shared" ref="W53" si="68">IF(AND(G53="",H53="",G54=""),"",ROUND(SUM(G53,H53/60)*G54,1))</f>
        <v/>
      </c>
      <c r="X53" s="333" t="str">
        <f t="shared" ref="X53" si="69">IF(AND(I53="",J53="",I54=""),"",ROUND(SUM(I53,J53/60)*I54,1))</f>
        <v/>
      </c>
      <c r="Y53" s="334" t="str">
        <f t="shared" ref="Y53" si="70">IF(AND(K53="",L53="",K54=""),"",ROUND(SUM(K53,L53/60)*K54,1))</f>
        <v/>
      </c>
      <c r="Z53" s="183"/>
      <c r="AA53" s="184"/>
      <c r="AB53" s="221"/>
      <c r="AC53" s="200"/>
      <c r="AD53" s="200"/>
      <c r="AE53" s="200"/>
      <c r="AF53" s="200"/>
      <c r="AG53" s="200"/>
      <c r="AH53" s="200"/>
      <c r="AI53" s="200"/>
      <c r="AJ53" s="200"/>
      <c r="AK53" s="200"/>
      <c r="AL53" s="200"/>
      <c r="AM53" s="200"/>
      <c r="AN53" s="200"/>
      <c r="AO53" s="200"/>
      <c r="AP53" s="200"/>
      <c r="AQ53" s="200"/>
      <c r="AR53" s="200"/>
      <c r="AS53" s="200"/>
      <c r="AT53" s="221"/>
      <c r="AU53" s="221"/>
      <c r="AV53" s="221"/>
      <c r="AW53" s="221"/>
      <c r="AX53" s="221"/>
      <c r="AY53" s="221"/>
      <c r="AZ53" s="221"/>
      <c r="BA53" s="221"/>
      <c r="BB53" s="221"/>
      <c r="BC53" s="200"/>
      <c r="BD53" s="200"/>
      <c r="BE53" s="200"/>
      <c r="BF53" s="200"/>
    </row>
    <row r="54" spans="1:58" ht="29.25" customHeight="1" thickBot="1" x14ac:dyDescent="0.3">
      <c r="B54" s="19"/>
      <c r="C54" s="80"/>
      <c r="D54" s="81"/>
      <c r="E54" s="82"/>
      <c r="F54" s="83"/>
      <c r="G54" s="84" t="str">
        <f>IF(SUM(G53:H53)&gt;0,1,"")</f>
        <v/>
      </c>
      <c r="H54" s="85"/>
      <c r="I54" s="84" t="str">
        <f>IF(SUM(I53:J53)&gt;0,1,"")</f>
        <v/>
      </c>
      <c r="J54" s="85"/>
      <c r="K54" s="84" t="str">
        <f>IF(SUM(K53:L53)&gt;0,1,"")</f>
        <v/>
      </c>
      <c r="L54" s="86"/>
      <c r="M54" s="155"/>
      <c r="N54" s="93"/>
      <c r="P54" s="19"/>
      <c r="Q54" s="19"/>
      <c r="S54" s="87"/>
      <c r="T54" s="177"/>
      <c r="U54" s="178"/>
      <c r="V54" s="179"/>
      <c r="W54" s="183"/>
      <c r="X54" s="323"/>
      <c r="Y54" s="324"/>
      <c r="Z54" s="183"/>
      <c r="AA54" s="184"/>
      <c r="AB54" s="221"/>
      <c r="AC54" s="200"/>
      <c r="AD54" s="200"/>
      <c r="AE54" s="200"/>
      <c r="AF54" s="200"/>
      <c r="AG54" s="200"/>
      <c r="AH54" s="200"/>
      <c r="AI54" s="200"/>
      <c r="AJ54" s="200"/>
      <c r="AK54" s="200"/>
      <c r="AL54" s="200"/>
      <c r="AM54" s="200"/>
      <c r="AN54" s="200"/>
      <c r="AO54" s="200"/>
      <c r="AP54" s="200"/>
      <c r="AQ54" s="200"/>
      <c r="AR54" s="200"/>
      <c r="AS54" s="200"/>
      <c r="AT54" s="221"/>
      <c r="AU54" s="221"/>
      <c r="AV54" s="221"/>
      <c r="AW54" s="221"/>
      <c r="AX54" s="221"/>
      <c r="AY54" s="221"/>
      <c r="AZ54" s="221"/>
      <c r="BA54" s="221"/>
      <c r="BB54" s="221"/>
      <c r="BC54" s="200"/>
      <c r="BD54" s="200"/>
      <c r="BE54" s="200"/>
      <c r="BF54" s="200"/>
    </row>
    <row r="55" spans="1:58" ht="29.25" customHeight="1" thickTop="1" x14ac:dyDescent="0.25">
      <c r="A55" s="135">
        <f>ROUND((ROW()-10)/2,0)</f>
        <v>23</v>
      </c>
      <c r="B55" s="19"/>
      <c r="C55" s="88" t="str">
        <f>IF(INDEX(設定!$C$9:$C$108,$A55,1)="","",INDEX(設定!$C$9:$C$108,$A55,1))</f>
        <v/>
      </c>
      <c r="D55" s="74" t="str">
        <f>IF(INDEX(設定!$D$9:$D$108,$A55,1)="","",INDEX(設定!$D$9:$D$108,$A55,1))</f>
        <v/>
      </c>
      <c r="E55" s="75" t="str">
        <f>IF(INDEX(設定!$E$9:$E$108,$A55,1)="","",INDEX(設定!$E$9:$E$108,$A55,1))</f>
        <v/>
      </c>
      <c r="F55" s="76" t="str">
        <f>IF(S55="","",IF(S55=1,"1：家族",IF(AND(S55&gt;=2,S55&lt;=5),"2：雇用","")))</f>
        <v/>
      </c>
      <c r="G55" s="134">
        <f>INT(INDEX(設定!$H$9:H$108,$A55,1))</f>
        <v>0</v>
      </c>
      <c r="H55" s="77" t="str">
        <f>IF(INDEX(設定!$H$9:$H$108,$A55,1)=0,"",ROUND(MOD(INDEX(設定!$H$9:$H$108,$A55,1),1)*60,0))</f>
        <v/>
      </c>
      <c r="I55" s="134">
        <f>INT(INDEX(設定!$I$9:$I$108,$A55,1))</f>
        <v>0</v>
      </c>
      <c r="J55" s="77" t="str">
        <f>IF(INDEX(設定!$I$9:$I$108,$A55,1)=0,"",ROUND(MOD(INDEX(設定!$I$9:$I$108,$A55,1),1)*60,0))</f>
        <v/>
      </c>
      <c r="K55" s="134">
        <f>INT(INDEX(設定!$J$9:$J$108,$A55,1))</f>
        <v>0</v>
      </c>
      <c r="L55" s="78" t="str">
        <f>IF(INDEX(設定!$J$9:$J$108,$A55,1)=0,"",ROUND(MOD(INDEX(設定!$J$9:$J$108,$A55,1),1)*60,0))</f>
        <v/>
      </c>
      <c r="M55" s="154"/>
      <c r="N55" s="153"/>
      <c r="P55" s="19"/>
      <c r="Q55" s="19"/>
      <c r="S55" s="89" t="str">
        <f>IF(INDEX(設定!$F$9:$F$108,$A55,1)="","",VALUE(LEFT(INDEX(設定!$F$9:$F$108,$A55,1),1)))</f>
        <v/>
      </c>
      <c r="T55" s="202" t="str">
        <f>IF(C55="","",C55)</f>
        <v/>
      </c>
      <c r="U55" s="203" t="str">
        <f>IF(D55="","",IF(D55="1：男",1,IF(D55="2：女",2)))</f>
        <v/>
      </c>
      <c r="V55" s="204" t="str">
        <f>IF(E55="","",E55)</f>
        <v/>
      </c>
      <c r="W55" s="332" t="str">
        <f t="shared" ref="W55" si="71">IF(AND(G55="",H55="",G56=""),"",ROUND(SUM(G55,H55/60)*G56,1))</f>
        <v/>
      </c>
      <c r="X55" s="333" t="str">
        <f t="shared" ref="X55" si="72">IF(AND(I55="",J55="",I56=""),"",ROUND(SUM(I55,J55/60)*I56,1))</f>
        <v/>
      </c>
      <c r="Y55" s="334" t="str">
        <f t="shared" ref="Y55" si="73">IF(AND(K55="",L55="",K56=""),"",ROUND(SUM(K55,L55/60)*K56,1))</f>
        <v/>
      </c>
      <c r="Z55" s="183"/>
      <c r="AA55" s="184"/>
      <c r="AB55" s="221"/>
      <c r="AC55" s="200"/>
      <c r="AD55" s="200"/>
      <c r="AE55" s="200"/>
      <c r="AF55" s="200"/>
      <c r="AG55" s="200"/>
      <c r="AH55" s="200"/>
      <c r="AI55" s="200"/>
      <c r="AJ55" s="200"/>
      <c r="AK55" s="200"/>
      <c r="AL55" s="200"/>
      <c r="AM55" s="200"/>
      <c r="AN55" s="200"/>
      <c r="AO55" s="200"/>
      <c r="AP55" s="200"/>
      <c r="AQ55" s="200"/>
      <c r="AR55" s="200"/>
      <c r="AS55" s="200"/>
      <c r="AT55" s="221"/>
      <c r="AU55" s="221"/>
      <c r="AV55" s="221"/>
      <c r="AW55" s="221"/>
      <c r="AX55" s="221"/>
      <c r="AY55" s="221"/>
      <c r="AZ55" s="221"/>
      <c r="BA55" s="221"/>
      <c r="BB55" s="221"/>
      <c r="BC55" s="200"/>
      <c r="BD55" s="200"/>
      <c r="BE55" s="200"/>
      <c r="BF55" s="200"/>
    </row>
    <row r="56" spans="1:58" ht="29.25" customHeight="1" thickBot="1" x14ac:dyDescent="0.3">
      <c r="B56" s="19"/>
      <c r="C56" s="80"/>
      <c r="D56" s="81"/>
      <c r="E56" s="82"/>
      <c r="F56" s="83"/>
      <c r="G56" s="84" t="str">
        <f>IF(SUM(G55:H55)&gt;0,1,"")</f>
        <v/>
      </c>
      <c r="H56" s="85"/>
      <c r="I56" s="84" t="str">
        <f>IF(SUM(I55:J55)&gt;0,1,"")</f>
        <v/>
      </c>
      <c r="J56" s="85"/>
      <c r="K56" s="84" t="str">
        <f>IF(SUM(K55:L55)&gt;0,1,"")</f>
        <v/>
      </c>
      <c r="L56" s="86"/>
      <c r="M56" s="155"/>
      <c r="N56" s="93"/>
      <c r="P56" s="19"/>
      <c r="Q56" s="19"/>
      <c r="S56" s="87"/>
      <c r="T56" s="177"/>
      <c r="U56" s="178"/>
      <c r="V56" s="179"/>
      <c r="W56" s="183"/>
      <c r="X56" s="323"/>
      <c r="Y56" s="324"/>
      <c r="Z56" s="183"/>
      <c r="AA56" s="184"/>
      <c r="AB56" s="221"/>
      <c r="AC56" s="200"/>
      <c r="AD56" s="200"/>
      <c r="AE56" s="200"/>
      <c r="AF56" s="200"/>
      <c r="AG56" s="200"/>
      <c r="AH56" s="200"/>
      <c r="AI56" s="200"/>
      <c r="AJ56" s="200"/>
      <c r="AK56" s="200"/>
      <c r="AL56" s="200"/>
      <c r="AM56" s="200"/>
      <c r="AN56" s="200"/>
      <c r="AO56" s="200"/>
      <c r="AP56" s="200"/>
      <c r="AQ56" s="200"/>
      <c r="AR56" s="200"/>
      <c r="AS56" s="200"/>
      <c r="AT56" s="221"/>
      <c r="AU56" s="221"/>
      <c r="AV56" s="221"/>
      <c r="AW56" s="221"/>
      <c r="AX56" s="221"/>
      <c r="AY56" s="221"/>
      <c r="AZ56" s="221"/>
      <c r="BA56" s="221"/>
      <c r="BB56" s="221"/>
      <c r="BC56" s="200"/>
      <c r="BD56" s="200"/>
      <c r="BE56" s="200"/>
      <c r="BF56" s="200"/>
    </row>
    <row r="57" spans="1:58" ht="29.25" customHeight="1" thickTop="1" x14ac:dyDescent="0.25">
      <c r="A57" s="135">
        <f>ROUND((ROW()-10)/2,0)</f>
        <v>24</v>
      </c>
      <c r="B57" s="19"/>
      <c r="C57" s="88" t="str">
        <f>IF(INDEX(設定!$C$9:$C$108,$A57,1)="","",INDEX(設定!$C$9:$C$108,$A57,1))</f>
        <v/>
      </c>
      <c r="D57" s="74" t="str">
        <f>IF(INDEX(設定!$D$9:$D$108,$A57,1)="","",INDEX(設定!$D$9:$D$108,$A57,1))</f>
        <v/>
      </c>
      <c r="E57" s="75" t="str">
        <f>IF(INDEX(設定!$E$9:$E$108,$A57,1)="","",INDEX(設定!$E$9:$E$108,$A57,1))</f>
        <v/>
      </c>
      <c r="F57" s="76" t="str">
        <f>IF(S57="","",IF(S57=1,"1：家族",IF(AND(S57&gt;=2,S57&lt;=5),"2：雇用","")))</f>
        <v/>
      </c>
      <c r="G57" s="134">
        <f>INT(INDEX(設定!$H$9:H$108,$A57,1))</f>
        <v>0</v>
      </c>
      <c r="H57" s="77" t="str">
        <f>IF(INDEX(設定!$H$9:$H$108,$A57,1)=0,"",ROUND(MOD(INDEX(設定!$H$9:$H$108,$A57,1),1)*60,0))</f>
        <v/>
      </c>
      <c r="I57" s="134">
        <f>INT(INDEX(設定!$I$9:$I$108,$A57,1))</f>
        <v>0</v>
      </c>
      <c r="J57" s="77" t="str">
        <f>IF(INDEX(設定!$I$9:$I$108,$A57,1)=0,"",ROUND(MOD(INDEX(設定!$I$9:$I$108,$A57,1),1)*60,0))</f>
        <v/>
      </c>
      <c r="K57" s="134">
        <f>INT(INDEX(設定!$J$9:$J$108,$A57,1))</f>
        <v>0</v>
      </c>
      <c r="L57" s="78" t="str">
        <f>IF(INDEX(設定!$J$9:$J$108,$A57,1)=0,"",ROUND(MOD(INDEX(設定!$J$9:$J$108,$A57,1),1)*60,0))</f>
        <v/>
      </c>
      <c r="M57" s="154"/>
      <c r="N57" s="153"/>
      <c r="P57" s="19"/>
      <c r="Q57" s="19"/>
      <c r="S57" s="89" t="str">
        <f>IF(INDEX(設定!$F$9:$F$108,$A57,1)="","",VALUE(LEFT(INDEX(設定!$F$9:$F$108,$A57,1),1)))</f>
        <v/>
      </c>
      <c r="T57" s="202" t="str">
        <f>IF(C57="","",C57)</f>
        <v/>
      </c>
      <c r="U57" s="203" t="str">
        <f>IF(D57="","",IF(D57="1：男",1,IF(D57="2：女",2)))</f>
        <v/>
      </c>
      <c r="V57" s="204" t="str">
        <f>IF(E57="","",E57)</f>
        <v/>
      </c>
      <c r="W57" s="332" t="str">
        <f t="shared" ref="W57" si="74">IF(AND(G57="",H57="",G58=""),"",ROUND(SUM(G57,H57/60)*G58,1))</f>
        <v/>
      </c>
      <c r="X57" s="333" t="str">
        <f t="shared" ref="X57" si="75">IF(AND(I57="",J57="",I58=""),"",ROUND(SUM(I57,J57/60)*I58,1))</f>
        <v/>
      </c>
      <c r="Y57" s="334" t="str">
        <f t="shared" ref="Y57" si="76">IF(AND(K57="",L57="",K58=""),"",ROUND(SUM(K57,L57/60)*K58,1))</f>
        <v/>
      </c>
      <c r="Z57" s="183"/>
      <c r="AA57" s="184"/>
      <c r="AB57" s="221"/>
      <c r="AC57" s="200"/>
      <c r="AD57" s="200"/>
      <c r="AE57" s="200"/>
      <c r="AF57" s="200"/>
      <c r="AG57" s="200"/>
      <c r="AH57" s="200"/>
      <c r="AI57" s="200"/>
      <c r="AJ57" s="200"/>
      <c r="AK57" s="200"/>
      <c r="AL57" s="200"/>
      <c r="AM57" s="200"/>
      <c r="AN57" s="200"/>
      <c r="AO57" s="200"/>
      <c r="AP57" s="200"/>
      <c r="AQ57" s="200"/>
      <c r="AR57" s="200"/>
      <c r="AS57" s="200"/>
      <c r="AT57" s="221"/>
      <c r="AU57" s="221"/>
      <c r="AV57" s="221"/>
      <c r="AW57" s="221"/>
      <c r="AX57" s="221"/>
      <c r="AY57" s="221"/>
      <c r="AZ57" s="221"/>
      <c r="BA57" s="221"/>
      <c r="BB57" s="221"/>
      <c r="BC57" s="200"/>
      <c r="BD57" s="200"/>
      <c r="BE57" s="200"/>
      <c r="BF57" s="200"/>
    </row>
    <row r="58" spans="1:58" ht="29.25" customHeight="1" thickBot="1" x14ac:dyDescent="0.3">
      <c r="B58" s="19"/>
      <c r="C58" s="80"/>
      <c r="D58" s="81"/>
      <c r="E58" s="82"/>
      <c r="F58" s="83"/>
      <c r="G58" s="84" t="str">
        <f>IF(SUM(G57:H57)&gt;0,1,"")</f>
        <v/>
      </c>
      <c r="H58" s="85"/>
      <c r="I58" s="84" t="str">
        <f>IF(SUM(I57:J57)&gt;0,1,"")</f>
        <v/>
      </c>
      <c r="J58" s="85"/>
      <c r="K58" s="84" t="str">
        <f>IF(SUM(K57:L57)&gt;0,1,"")</f>
        <v/>
      </c>
      <c r="L58" s="86"/>
      <c r="M58" s="155"/>
      <c r="N58" s="93"/>
      <c r="P58" s="19"/>
      <c r="Q58" s="19"/>
      <c r="S58" s="87"/>
      <c r="T58" s="177"/>
      <c r="U58" s="178"/>
      <c r="V58" s="179"/>
      <c r="W58" s="183"/>
      <c r="X58" s="323"/>
      <c r="Y58" s="324"/>
      <c r="Z58" s="183"/>
      <c r="AA58" s="184"/>
      <c r="AB58" s="221"/>
      <c r="AC58" s="200"/>
      <c r="AD58" s="200"/>
      <c r="AE58" s="200"/>
      <c r="AF58" s="200"/>
      <c r="AG58" s="200"/>
      <c r="AH58" s="200"/>
      <c r="AI58" s="200"/>
      <c r="AJ58" s="200"/>
      <c r="AK58" s="200"/>
      <c r="AL58" s="200"/>
      <c r="AM58" s="200"/>
      <c r="AN58" s="200"/>
      <c r="AO58" s="200"/>
      <c r="AP58" s="200"/>
      <c r="AQ58" s="200"/>
      <c r="AR58" s="200"/>
      <c r="AS58" s="200"/>
      <c r="AT58" s="221"/>
      <c r="AU58" s="221"/>
      <c r="AV58" s="221"/>
      <c r="AW58" s="221"/>
      <c r="AX58" s="221"/>
      <c r="AY58" s="221"/>
      <c r="AZ58" s="221"/>
      <c r="BA58" s="221"/>
      <c r="BB58" s="221"/>
      <c r="BC58" s="200"/>
      <c r="BD58" s="200"/>
      <c r="BE58" s="200"/>
      <c r="BF58" s="200"/>
    </row>
    <row r="59" spans="1:58" ht="29.25" customHeight="1" thickTop="1" x14ac:dyDescent="0.25">
      <c r="A59" s="135">
        <f>ROUND((ROW()-10)/2,0)</f>
        <v>25</v>
      </c>
      <c r="B59" s="19"/>
      <c r="C59" s="88" t="str">
        <f>IF(INDEX(設定!$C$9:$C$108,$A59,1)="","",INDEX(設定!$C$9:$C$108,$A59,1))</f>
        <v/>
      </c>
      <c r="D59" s="74" t="str">
        <f>IF(INDEX(設定!$D$9:$D$108,$A59,1)="","",INDEX(設定!$D$9:$D$108,$A59,1))</f>
        <v/>
      </c>
      <c r="E59" s="75" t="str">
        <f>IF(INDEX(設定!$E$9:$E$108,$A59,1)="","",INDEX(設定!$E$9:$E$108,$A59,1))</f>
        <v/>
      </c>
      <c r="F59" s="76" t="str">
        <f>IF(S59="","",IF(S59=1,"1：家族",IF(AND(S59&gt;=2,S59&lt;=5),"2：雇用","")))</f>
        <v/>
      </c>
      <c r="G59" s="134">
        <f>INT(INDEX(設定!$H$9:H$108,$A59,1))</f>
        <v>0</v>
      </c>
      <c r="H59" s="77" t="str">
        <f>IF(INDEX(設定!$H$9:$H$108,$A59,1)=0,"",ROUND(MOD(INDEX(設定!$H$9:$H$108,$A59,1),1)*60,0))</f>
        <v/>
      </c>
      <c r="I59" s="134">
        <f>INT(INDEX(設定!$I$9:$I$108,$A59,1))</f>
        <v>0</v>
      </c>
      <c r="J59" s="77" t="str">
        <f>IF(INDEX(設定!$I$9:$I$108,$A59,1)=0,"",ROUND(MOD(INDEX(設定!$I$9:$I$108,$A59,1),1)*60,0))</f>
        <v/>
      </c>
      <c r="K59" s="134">
        <f>INT(INDEX(設定!$J$9:$J$108,$A59,1))</f>
        <v>0</v>
      </c>
      <c r="L59" s="78" t="str">
        <f>IF(INDEX(設定!$J$9:$J$108,$A59,1)=0,"",ROUND(MOD(INDEX(設定!$J$9:$J$108,$A59,1),1)*60,0))</f>
        <v/>
      </c>
      <c r="M59" s="154"/>
      <c r="N59" s="153"/>
      <c r="P59" s="19"/>
      <c r="Q59" s="19"/>
      <c r="S59" s="89" t="str">
        <f>IF(INDEX(設定!$F$9:$F$108,$A59,1)="","",VALUE(LEFT(INDEX(設定!$F$9:$F$108,$A59,1),1)))</f>
        <v/>
      </c>
      <c r="T59" s="202" t="str">
        <f>IF(C59="","",C59)</f>
        <v/>
      </c>
      <c r="U59" s="203" t="str">
        <f>IF(D59="","",IF(D59="1：男",1,IF(D59="2：女",2)))</f>
        <v/>
      </c>
      <c r="V59" s="204" t="str">
        <f>IF(E59="","",E59)</f>
        <v/>
      </c>
      <c r="W59" s="332" t="str">
        <f t="shared" ref="W59" si="77">IF(AND(G59="",H59="",G60=""),"",ROUND(SUM(G59,H59/60)*G60,1))</f>
        <v/>
      </c>
      <c r="X59" s="333" t="str">
        <f t="shared" ref="X59" si="78">IF(AND(I59="",J59="",I60=""),"",ROUND(SUM(I59,J59/60)*I60,1))</f>
        <v/>
      </c>
      <c r="Y59" s="334" t="str">
        <f t="shared" ref="Y59" si="79">IF(AND(K59="",L59="",K60=""),"",ROUND(SUM(K59,L59/60)*K60,1))</f>
        <v/>
      </c>
      <c r="Z59" s="183"/>
      <c r="AA59" s="184"/>
      <c r="AB59" s="221"/>
      <c r="AC59" s="200"/>
      <c r="AD59" s="200"/>
      <c r="AE59" s="200"/>
      <c r="AF59" s="200"/>
      <c r="AG59" s="200"/>
      <c r="AH59" s="200"/>
      <c r="AI59" s="200"/>
      <c r="AJ59" s="200"/>
      <c r="AK59" s="200"/>
      <c r="AL59" s="200"/>
      <c r="AM59" s="200"/>
      <c r="AN59" s="200"/>
      <c r="AO59" s="200"/>
      <c r="AP59" s="200"/>
      <c r="AQ59" s="200"/>
      <c r="AR59" s="200"/>
      <c r="AS59" s="200"/>
      <c r="AT59" s="221"/>
      <c r="AU59" s="221"/>
      <c r="AV59" s="221"/>
      <c r="AW59" s="221"/>
      <c r="AX59" s="221"/>
      <c r="AY59" s="221"/>
      <c r="AZ59" s="221"/>
      <c r="BA59" s="221"/>
      <c r="BB59" s="221"/>
      <c r="BC59" s="200"/>
      <c r="BD59" s="200"/>
      <c r="BE59" s="200"/>
      <c r="BF59" s="200"/>
    </row>
    <row r="60" spans="1:58" ht="29.25" customHeight="1" thickBot="1" x14ac:dyDescent="0.3">
      <c r="B60" s="19"/>
      <c r="C60" s="80"/>
      <c r="D60" s="81"/>
      <c r="E60" s="82"/>
      <c r="F60" s="83"/>
      <c r="G60" s="84" t="str">
        <f>IF(SUM(G59:H59)&gt;0,1,"")</f>
        <v/>
      </c>
      <c r="H60" s="85"/>
      <c r="I60" s="84" t="str">
        <f>IF(SUM(I59:J59)&gt;0,1,"")</f>
        <v/>
      </c>
      <c r="J60" s="85"/>
      <c r="K60" s="84" t="str">
        <f>IF(SUM(K59:L59)&gt;0,1,"")</f>
        <v/>
      </c>
      <c r="L60" s="86"/>
      <c r="M60" s="155"/>
      <c r="N60" s="93"/>
      <c r="P60" s="19"/>
      <c r="Q60" s="19"/>
      <c r="S60" s="87"/>
      <c r="T60" s="177"/>
      <c r="U60" s="178"/>
      <c r="V60" s="179"/>
      <c r="W60" s="183"/>
      <c r="X60" s="323"/>
      <c r="Y60" s="324"/>
      <c r="Z60" s="183"/>
      <c r="AA60" s="184"/>
      <c r="AB60" s="221"/>
      <c r="AC60" s="200"/>
      <c r="AD60" s="200"/>
      <c r="AE60" s="200"/>
      <c r="AF60" s="200"/>
      <c r="AG60" s="200"/>
      <c r="AH60" s="200"/>
      <c r="AI60" s="200"/>
      <c r="AJ60" s="200"/>
      <c r="AK60" s="200"/>
      <c r="AL60" s="200"/>
      <c r="AM60" s="200"/>
      <c r="AN60" s="200"/>
      <c r="AO60" s="200"/>
      <c r="AP60" s="200"/>
      <c r="AQ60" s="200"/>
      <c r="AR60" s="200"/>
      <c r="AS60" s="200"/>
      <c r="AT60" s="221"/>
      <c r="AU60" s="221"/>
      <c r="AV60" s="221"/>
      <c r="AW60" s="221"/>
      <c r="AX60" s="221"/>
      <c r="AY60" s="221"/>
      <c r="AZ60" s="221"/>
      <c r="BA60" s="221"/>
      <c r="BB60" s="221"/>
      <c r="BC60" s="200"/>
      <c r="BD60" s="200"/>
      <c r="BE60" s="200"/>
      <c r="BF60" s="200"/>
    </row>
    <row r="61" spans="1:58" ht="29.25" customHeight="1" thickTop="1" x14ac:dyDescent="0.25">
      <c r="A61" s="135">
        <f>ROUND((ROW()-10)/2,0)</f>
        <v>26</v>
      </c>
      <c r="B61" s="19"/>
      <c r="C61" s="88" t="str">
        <f>IF(INDEX(設定!$C$9:$C$108,$A61,1)="","",INDEX(設定!$C$9:$C$108,$A61,1))</f>
        <v/>
      </c>
      <c r="D61" s="74" t="str">
        <f>IF(INDEX(設定!$D$9:$D$108,$A61,1)="","",INDEX(設定!$D$9:$D$108,$A61,1))</f>
        <v/>
      </c>
      <c r="E61" s="75" t="str">
        <f>IF(INDEX(設定!$E$9:$E$108,$A61,1)="","",INDEX(設定!$E$9:$E$108,$A61,1))</f>
        <v/>
      </c>
      <c r="F61" s="76" t="str">
        <f>IF(S61="","",IF(S61=1,"1：家族",IF(AND(S61&gt;=2,S61&lt;=5),"2：雇用","")))</f>
        <v/>
      </c>
      <c r="G61" s="134">
        <f>INT(INDEX(設定!$H$9:H$108,$A61,1))</f>
        <v>0</v>
      </c>
      <c r="H61" s="77" t="str">
        <f>IF(INDEX(設定!$H$9:$H$108,$A61,1)=0,"",ROUND(MOD(INDEX(設定!$H$9:$H$108,$A61,1),1)*60,0))</f>
        <v/>
      </c>
      <c r="I61" s="134">
        <f>INT(INDEX(設定!$I$9:$I$108,$A61,1))</f>
        <v>0</v>
      </c>
      <c r="J61" s="77" t="str">
        <f>IF(INDEX(設定!$I$9:$I$108,$A61,1)=0,"",ROUND(MOD(INDEX(設定!$I$9:$I$108,$A61,1),1)*60,0))</f>
        <v/>
      </c>
      <c r="K61" s="134">
        <f>INT(INDEX(設定!$J$9:$J$108,$A61,1))</f>
        <v>0</v>
      </c>
      <c r="L61" s="78" t="str">
        <f>IF(INDEX(設定!$J$9:$J$108,$A61,1)=0,"",ROUND(MOD(INDEX(設定!$J$9:$J$108,$A61,1),1)*60,0))</f>
        <v/>
      </c>
      <c r="M61" s="154"/>
      <c r="N61" s="153"/>
      <c r="P61" s="19"/>
      <c r="Q61" s="19"/>
      <c r="S61" s="89" t="str">
        <f>IF(INDEX(設定!$F$9:$F$108,$A61,1)="","",VALUE(LEFT(INDEX(設定!$F$9:$F$108,$A61,1),1)))</f>
        <v/>
      </c>
      <c r="T61" s="202" t="str">
        <f>IF(C61="","",C61)</f>
        <v/>
      </c>
      <c r="U61" s="203" t="str">
        <f>IF(D61="","",IF(D61="1：男",1,IF(D61="2：女",2)))</f>
        <v/>
      </c>
      <c r="V61" s="204" t="str">
        <f>IF(E61="","",E61)</f>
        <v/>
      </c>
      <c r="W61" s="332" t="str">
        <f t="shared" ref="W61" si="80">IF(AND(G61="",H61="",G62=""),"",ROUND(SUM(G61,H61/60)*G62,1))</f>
        <v/>
      </c>
      <c r="X61" s="333" t="str">
        <f t="shared" ref="X61" si="81">IF(AND(I61="",J61="",I62=""),"",ROUND(SUM(I61,J61/60)*I62,1))</f>
        <v/>
      </c>
      <c r="Y61" s="334" t="str">
        <f t="shared" ref="Y61" si="82">IF(AND(K61="",L61="",K62=""),"",ROUND(SUM(K61,L61/60)*K62,1))</f>
        <v/>
      </c>
      <c r="Z61" s="183"/>
      <c r="AA61" s="184"/>
      <c r="AB61" s="221"/>
      <c r="AC61" s="200"/>
      <c r="AD61" s="200"/>
      <c r="AE61" s="200"/>
      <c r="AF61" s="200"/>
      <c r="AG61" s="200"/>
      <c r="AH61" s="200"/>
      <c r="AI61" s="200"/>
      <c r="AJ61" s="200"/>
      <c r="AK61" s="200"/>
      <c r="AL61" s="200"/>
      <c r="AM61" s="200"/>
      <c r="AN61" s="200"/>
      <c r="AO61" s="200"/>
      <c r="AP61" s="200"/>
      <c r="AQ61" s="200"/>
      <c r="AR61" s="200"/>
      <c r="AS61" s="200"/>
      <c r="AT61" s="221"/>
      <c r="AU61" s="221"/>
      <c r="AV61" s="221"/>
      <c r="AW61" s="221"/>
      <c r="AX61" s="221"/>
      <c r="AY61" s="221"/>
      <c r="AZ61" s="221"/>
      <c r="BA61" s="221"/>
      <c r="BB61" s="221"/>
      <c r="BC61" s="200"/>
      <c r="BD61" s="200"/>
      <c r="BE61" s="200"/>
      <c r="BF61" s="200"/>
    </row>
    <row r="62" spans="1:58" ht="29.25" customHeight="1" thickBot="1" x14ac:dyDescent="0.3">
      <c r="B62" s="19"/>
      <c r="C62" s="80"/>
      <c r="D62" s="81"/>
      <c r="E62" s="82"/>
      <c r="F62" s="83"/>
      <c r="G62" s="84" t="str">
        <f>IF(SUM(G61:H61)&gt;0,1,"")</f>
        <v/>
      </c>
      <c r="H62" s="85"/>
      <c r="I62" s="84" t="str">
        <f>IF(SUM(I61:J61)&gt;0,1,"")</f>
        <v/>
      </c>
      <c r="J62" s="85"/>
      <c r="K62" s="84" t="str">
        <f>IF(SUM(K61:L61)&gt;0,1,"")</f>
        <v/>
      </c>
      <c r="L62" s="86"/>
      <c r="M62" s="155"/>
      <c r="N62" s="93"/>
      <c r="P62" s="19"/>
      <c r="Q62" s="19"/>
      <c r="S62" s="87"/>
      <c r="T62" s="177"/>
      <c r="U62" s="178"/>
      <c r="V62" s="179"/>
      <c r="W62" s="183"/>
      <c r="X62" s="323"/>
      <c r="Y62" s="324"/>
      <c r="Z62" s="183"/>
      <c r="AA62" s="184"/>
      <c r="AB62" s="221"/>
      <c r="AC62" s="200"/>
      <c r="AD62" s="200"/>
      <c r="AE62" s="200"/>
      <c r="AF62" s="200"/>
      <c r="AG62" s="200"/>
      <c r="AH62" s="200"/>
      <c r="AI62" s="200"/>
      <c r="AJ62" s="200"/>
      <c r="AK62" s="200"/>
      <c r="AL62" s="200"/>
      <c r="AM62" s="200"/>
      <c r="AN62" s="200"/>
      <c r="AO62" s="200"/>
      <c r="AP62" s="200"/>
      <c r="AQ62" s="200"/>
      <c r="AR62" s="200"/>
      <c r="AS62" s="200"/>
      <c r="AT62" s="221"/>
      <c r="AU62" s="221"/>
      <c r="AV62" s="221"/>
      <c r="AW62" s="221"/>
      <c r="AX62" s="221"/>
      <c r="AY62" s="221"/>
      <c r="AZ62" s="221"/>
      <c r="BA62" s="221"/>
      <c r="BB62" s="221"/>
      <c r="BC62" s="200"/>
      <c r="BD62" s="200"/>
      <c r="BE62" s="200"/>
      <c r="BF62" s="200"/>
    </row>
    <row r="63" spans="1:58" ht="29.25" customHeight="1" thickTop="1" x14ac:dyDescent="0.25">
      <c r="A63" s="135">
        <f>ROUND((ROW()-10)/2,0)</f>
        <v>27</v>
      </c>
      <c r="B63" s="19"/>
      <c r="C63" s="88" t="str">
        <f>IF(INDEX(設定!$C$9:$C$108,$A63,1)="","",INDEX(設定!$C$9:$C$108,$A63,1))</f>
        <v/>
      </c>
      <c r="D63" s="74" t="str">
        <f>IF(INDEX(設定!$D$9:$D$108,$A63,1)="","",INDEX(設定!$D$9:$D$108,$A63,1))</f>
        <v/>
      </c>
      <c r="E63" s="75" t="str">
        <f>IF(INDEX(設定!$E$9:$E$108,$A63,1)="","",INDEX(設定!$E$9:$E$108,$A63,1))</f>
        <v/>
      </c>
      <c r="F63" s="76" t="str">
        <f>IF(S63="","",IF(S63=1,"1：家族",IF(AND(S63&gt;=2,S63&lt;=5),"2：雇用","")))</f>
        <v/>
      </c>
      <c r="G63" s="134">
        <f>INT(INDEX(設定!$H$9:H$108,$A63,1))</f>
        <v>0</v>
      </c>
      <c r="H63" s="77" t="str">
        <f>IF(INDEX(設定!$H$9:$H$108,$A63,1)=0,"",ROUND(MOD(INDEX(設定!$H$9:$H$108,$A63,1),1)*60,0))</f>
        <v/>
      </c>
      <c r="I63" s="134">
        <f>INT(INDEX(設定!$I$9:$I$108,$A63,1))</f>
        <v>0</v>
      </c>
      <c r="J63" s="77" t="str">
        <f>IF(INDEX(設定!$I$9:$I$108,$A63,1)=0,"",ROUND(MOD(INDEX(設定!$I$9:$I$108,$A63,1),1)*60,0))</f>
        <v/>
      </c>
      <c r="K63" s="134">
        <f>INT(INDEX(設定!$J$9:$J$108,$A63,1))</f>
        <v>0</v>
      </c>
      <c r="L63" s="78" t="str">
        <f>IF(INDEX(設定!$J$9:$J$108,$A63,1)=0,"",ROUND(MOD(INDEX(設定!$J$9:$J$108,$A63,1),1)*60,0))</f>
        <v/>
      </c>
      <c r="M63" s="154"/>
      <c r="N63" s="153"/>
      <c r="P63" s="19"/>
      <c r="Q63" s="19"/>
      <c r="S63" s="89" t="str">
        <f>IF(INDEX(設定!$F$9:$F$108,$A63,1)="","",VALUE(LEFT(INDEX(設定!$F$9:$F$108,$A63,1),1)))</f>
        <v/>
      </c>
      <c r="T63" s="202" t="str">
        <f>IF(C63="","",C63)</f>
        <v/>
      </c>
      <c r="U63" s="203" t="str">
        <f>IF(D63="","",IF(D63="1：男",1,IF(D63="2：女",2)))</f>
        <v/>
      </c>
      <c r="V63" s="204" t="str">
        <f>IF(E63="","",E63)</f>
        <v/>
      </c>
      <c r="W63" s="332" t="str">
        <f t="shared" ref="W63" si="83">IF(AND(G63="",H63="",G64=""),"",ROUND(SUM(G63,H63/60)*G64,1))</f>
        <v/>
      </c>
      <c r="X63" s="333" t="str">
        <f t="shared" ref="X63" si="84">IF(AND(I63="",J63="",I64=""),"",ROUND(SUM(I63,J63/60)*I64,1))</f>
        <v/>
      </c>
      <c r="Y63" s="334" t="str">
        <f t="shared" ref="Y63" si="85">IF(AND(K63="",L63="",K64=""),"",ROUND(SUM(K63,L63/60)*K64,1))</f>
        <v/>
      </c>
      <c r="Z63" s="183"/>
      <c r="AA63" s="184"/>
      <c r="AB63" s="221"/>
      <c r="AC63" s="200"/>
      <c r="AD63" s="200"/>
      <c r="AE63" s="200"/>
      <c r="AF63" s="200"/>
      <c r="AG63" s="200"/>
      <c r="AH63" s="200"/>
      <c r="AI63" s="200"/>
      <c r="AJ63" s="200"/>
      <c r="AK63" s="200"/>
      <c r="AL63" s="200"/>
      <c r="AM63" s="200"/>
      <c r="AN63" s="200"/>
      <c r="AO63" s="200"/>
      <c r="AP63" s="200"/>
      <c r="AQ63" s="200"/>
      <c r="AR63" s="200"/>
      <c r="AS63" s="200"/>
      <c r="AT63" s="221"/>
      <c r="AU63" s="221"/>
      <c r="AV63" s="221"/>
      <c r="AW63" s="221"/>
      <c r="AX63" s="221"/>
      <c r="AY63" s="221"/>
      <c r="AZ63" s="221"/>
      <c r="BA63" s="221"/>
      <c r="BB63" s="221"/>
      <c r="BC63" s="200"/>
      <c r="BD63" s="200"/>
      <c r="BE63" s="200"/>
      <c r="BF63" s="200"/>
    </row>
    <row r="64" spans="1:58" ht="29.25" customHeight="1" thickBot="1" x14ac:dyDescent="0.3">
      <c r="B64" s="19"/>
      <c r="C64" s="80"/>
      <c r="D64" s="81"/>
      <c r="E64" s="82"/>
      <c r="F64" s="83"/>
      <c r="G64" s="84" t="str">
        <f>IF(SUM(G63:H63)&gt;0,1,"")</f>
        <v/>
      </c>
      <c r="H64" s="85"/>
      <c r="I64" s="84" t="str">
        <f>IF(SUM(I63:J63)&gt;0,1,"")</f>
        <v/>
      </c>
      <c r="J64" s="85"/>
      <c r="K64" s="84" t="str">
        <f>IF(SUM(K63:L63)&gt;0,1,"")</f>
        <v/>
      </c>
      <c r="L64" s="86"/>
      <c r="M64" s="155"/>
      <c r="N64" s="93"/>
      <c r="P64" s="19"/>
      <c r="Q64" s="19"/>
      <c r="S64" s="87"/>
      <c r="T64" s="177"/>
      <c r="U64" s="178"/>
      <c r="V64" s="179"/>
      <c r="W64" s="183"/>
      <c r="X64" s="323"/>
      <c r="Y64" s="324"/>
      <c r="Z64" s="183"/>
      <c r="AA64" s="184"/>
      <c r="AB64" s="221"/>
      <c r="AC64" s="200"/>
      <c r="AD64" s="200"/>
      <c r="AE64" s="200"/>
      <c r="AF64" s="200"/>
      <c r="AG64" s="200"/>
      <c r="AH64" s="200"/>
      <c r="AI64" s="200"/>
      <c r="AJ64" s="200"/>
      <c r="AK64" s="200"/>
      <c r="AL64" s="200"/>
      <c r="AM64" s="200"/>
      <c r="AN64" s="200"/>
      <c r="AO64" s="200"/>
      <c r="AP64" s="200"/>
      <c r="AQ64" s="200"/>
      <c r="AR64" s="200"/>
      <c r="AS64" s="200"/>
      <c r="AT64" s="221"/>
      <c r="AU64" s="221"/>
      <c r="AV64" s="221"/>
      <c r="AW64" s="221"/>
      <c r="AX64" s="221"/>
      <c r="AY64" s="221"/>
      <c r="AZ64" s="221"/>
      <c r="BA64" s="221"/>
      <c r="BB64" s="221"/>
      <c r="BC64" s="200"/>
      <c r="BD64" s="200"/>
      <c r="BE64" s="200"/>
      <c r="BF64" s="200"/>
    </row>
    <row r="65" spans="1:58" ht="29.25" customHeight="1" thickTop="1" x14ac:dyDescent="0.25">
      <c r="A65" s="135">
        <f>ROUND((ROW()-10)/2,0)</f>
        <v>28</v>
      </c>
      <c r="B65" s="19"/>
      <c r="C65" s="88" t="str">
        <f>IF(INDEX(設定!$C$9:$C$108,$A65,1)="","",INDEX(設定!$C$9:$C$108,$A65,1))</f>
        <v/>
      </c>
      <c r="D65" s="74" t="str">
        <f>IF(INDEX(設定!$D$9:$D$108,$A65,1)="","",INDEX(設定!$D$9:$D$108,$A65,1))</f>
        <v/>
      </c>
      <c r="E65" s="75" t="str">
        <f>IF(INDEX(設定!$E$9:$E$108,$A65,1)="","",INDEX(設定!$E$9:$E$108,$A65,1))</f>
        <v/>
      </c>
      <c r="F65" s="76" t="str">
        <f>IF(S65="","",IF(S65=1,"1：家族",IF(AND(S65&gt;=2,S65&lt;=5),"2：雇用","")))</f>
        <v/>
      </c>
      <c r="G65" s="134">
        <f>INT(INDEX(設定!$H$9:H$108,$A65,1))</f>
        <v>0</v>
      </c>
      <c r="H65" s="77" t="str">
        <f>IF(INDEX(設定!$H$9:$H$108,$A65,1)=0,"",ROUND(MOD(INDEX(設定!$H$9:$H$108,$A65,1),1)*60,0))</f>
        <v/>
      </c>
      <c r="I65" s="134">
        <f>INT(INDEX(設定!$I$9:$I$108,$A65,1))</f>
        <v>0</v>
      </c>
      <c r="J65" s="77" t="str">
        <f>IF(INDEX(設定!$I$9:$I$108,$A65,1)=0,"",ROUND(MOD(INDEX(設定!$I$9:$I$108,$A65,1),1)*60,0))</f>
        <v/>
      </c>
      <c r="K65" s="134">
        <f>INT(INDEX(設定!$J$9:$J$108,$A65,1))</f>
        <v>0</v>
      </c>
      <c r="L65" s="78" t="str">
        <f>IF(INDEX(設定!$J$9:$J$108,$A65,1)=0,"",ROUND(MOD(INDEX(設定!$J$9:$J$108,$A65,1),1)*60,0))</f>
        <v/>
      </c>
      <c r="M65" s="154"/>
      <c r="N65" s="153"/>
      <c r="P65" s="19"/>
      <c r="Q65" s="19"/>
      <c r="S65" s="89" t="str">
        <f>IF(INDEX(設定!$F$9:$F$108,$A65,1)="","",VALUE(LEFT(INDEX(設定!$F$9:$F$108,$A65,1),1)))</f>
        <v/>
      </c>
      <c r="T65" s="202" t="str">
        <f>IF(C65="","",C65)</f>
        <v/>
      </c>
      <c r="U65" s="203" t="str">
        <f>IF(D65="","",IF(D65="1：男",1,IF(D65="2：女",2)))</f>
        <v/>
      </c>
      <c r="V65" s="204" t="str">
        <f>IF(E65="","",E65)</f>
        <v/>
      </c>
      <c r="W65" s="332" t="str">
        <f t="shared" ref="W65" si="86">IF(AND(G65="",H65="",G66=""),"",ROUND(SUM(G65,H65/60)*G66,1))</f>
        <v/>
      </c>
      <c r="X65" s="333" t="str">
        <f t="shared" ref="X65" si="87">IF(AND(I65="",J65="",I66=""),"",ROUND(SUM(I65,J65/60)*I66,1))</f>
        <v/>
      </c>
      <c r="Y65" s="334" t="str">
        <f t="shared" ref="Y65" si="88">IF(AND(K65="",L65="",K66=""),"",ROUND(SUM(K65,L65/60)*K66,1))</f>
        <v/>
      </c>
      <c r="Z65" s="183"/>
      <c r="AA65" s="184"/>
      <c r="AB65" s="221"/>
      <c r="AC65" s="200"/>
      <c r="AD65" s="200"/>
      <c r="AE65" s="200"/>
      <c r="AF65" s="200"/>
      <c r="AG65" s="200"/>
      <c r="AH65" s="200"/>
      <c r="AI65" s="200"/>
      <c r="AJ65" s="200"/>
      <c r="AK65" s="200"/>
      <c r="AL65" s="200"/>
      <c r="AM65" s="200"/>
      <c r="AN65" s="200"/>
      <c r="AO65" s="200"/>
      <c r="AP65" s="200"/>
      <c r="AQ65" s="200"/>
      <c r="AR65" s="200"/>
      <c r="AS65" s="200"/>
      <c r="AT65" s="221"/>
      <c r="AU65" s="221"/>
      <c r="AV65" s="221"/>
      <c r="AW65" s="221"/>
      <c r="AX65" s="221"/>
      <c r="AY65" s="221"/>
      <c r="AZ65" s="221"/>
      <c r="BA65" s="221"/>
      <c r="BB65" s="221"/>
      <c r="BC65" s="200"/>
      <c r="BD65" s="200"/>
      <c r="BE65" s="200"/>
      <c r="BF65" s="200"/>
    </row>
    <row r="66" spans="1:58" ht="29.25" customHeight="1" thickBot="1" x14ac:dyDescent="0.3">
      <c r="B66" s="19"/>
      <c r="C66" s="80"/>
      <c r="D66" s="81"/>
      <c r="E66" s="82"/>
      <c r="F66" s="83"/>
      <c r="G66" s="84" t="str">
        <f>IF(SUM(G65:H65)&gt;0,1,"")</f>
        <v/>
      </c>
      <c r="H66" s="85"/>
      <c r="I66" s="84" t="str">
        <f>IF(SUM(I65:J65)&gt;0,1,"")</f>
        <v/>
      </c>
      <c r="J66" s="85"/>
      <c r="K66" s="84" t="str">
        <f>IF(SUM(K65:L65)&gt;0,1,"")</f>
        <v/>
      </c>
      <c r="L66" s="86"/>
      <c r="M66" s="155"/>
      <c r="N66" s="93"/>
      <c r="P66" s="19"/>
      <c r="Q66" s="19"/>
      <c r="S66" s="87"/>
      <c r="T66" s="177"/>
      <c r="U66" s="178"/>
      <c r="V66" s="179"/>
      <c r="W66" s="183"/>
      <c r="X66" s="323"/>
      <c r="Y66" s="324"/>
      <c r="Z66" s="183"/>
      <c r="AA66" s="184"/>
      <c r="AB66" s="221"/>
      <c r="AC66" s="200"/>
      <c r="AD66" s="200"/>
      <c r="AE66" s="200"/>
      <c r="AF66" s="200"/>
      <c r="AG66" s="200"/>
      <c r="AH66" s="200"/>
      <c r="AI66" s="200"/>
      <c r="AJ66" s="200"/>
      <c r="AK66" s="200"/>
      <c r="AL66" s="200"/>
      <c r="AM66" s="200"/>
      <c r="AN66" s="200"/>
      <c r="AO66" s="200"/>
      <c r="AP66" s="200"/>
      <c r="AQ66" s="200"/>
      <c r="AR66" s="200"/>
      <c r="AS66" s="200"/>
      <c r="AT66" s="221"/>
      <c r="AU66" s="221"/>
      <c r="AV66" s="221"/>
      <c r="AW66" s="221"/>
      <c r="AX66" s="221"/>
      <c r="AY66" s="221"/>
      <c r="AZ66" s="221"/>
      <c r="BA66" s="221"/>
      <c r="BB66" s="221"/>
      <c r="BC66" s="200"/>
      <c r="BD66" s="200"/>
      <c r="BE66" s="200"/>
      <c r="BF66" s="200"/>
    </row>
    <row r="67" spans="1:58" ht="29.25" customHeight="1" thickTop="1" x14ac:dyDescent="0.25">
      <c r="A67" s="135">
        <f>ROUND((ROW()-10)/2,0)</f>
        <v>29</v>
      </c>
      <c r="B67" s="19"/>
      <c r="C67" s="88" t="str">
        <f>IF(INDEX(設定!$C$9:$C$108,$A67,1)="","",INDEX(設定!$C$9:$C$108,$A67,1))</f>
        <v/>
      </c>
      <c r="D67" s="74" t="str">
        <f>IF(INDEX(設定!$D$9:$D$108,$A67,1)="","",INDEX(設定!$D$9:$D$108,$A67,1))</f>
        <v/>
      </c>
      <c r="E67" s="75" t="str">
        <f>IF(INDEX(設定!$E$9:$E$108,$A67,1)="","",INDEX(設定!$E$9:$E$108,$A67,1))</f>
        <v/>
      </c>
      <c r="F67" s="76" t="str">
        <f>IF(S67="","",IF(S67=1,"1：家族",IF(AND(S67&gt;=2,S67&lt;=5),"2：雇用","")))</f>
        <v/>
      </c>
      <c r="G67" s="134">
        <f>INT(INDEX(設定!$H$9:H$108,$A67,1))</f>
        <v>0</v>
      </c>
      <c r="H67" s="77" t="str">
        <f>IF(INDEX(設定!$H$9:$H$108,$A67,1)=0,"",ROUND(MOD(INDEX(設定!$H$9:$H$108,$A67,1),1)*60,0))</f>
        <v/>
      </c>
      <c r="I67" s="134">
        <f>INT(INDEX(設定!$I$9:$I$108,$A67,1))</f>
        <v>0</v>
      </c>
      <c r="J67" s="77" t="str">
        <f>IF(INDEX(設定!$I$9:$I$108,$A67,1)=0,"",ROUND(MOD(INDEX(設定!$I$9:$I$108,$A67,1),1)*60,0))</f>
        <v/>
      </c>
      <c r="K67" s="134">
        <f>INT(INDEX(設定!$J$9:$J$108,$A67,1))</f>
        <v>0</v>
      </c>
      <c r="L67" s="78" t="str">
        <f>IF(INDEX(設定!$J$9:$J$108,$A67,1)=0,"",ROUND(MOD(INDEX(設定!$J$9:$J$108,$A67,1),1)*60,0))</f>
        <v/>
      </c>
      <c r="M67" s="154"/>
      <c r="N67" s="153"/>
      <c r="P67" s="19"/>
      <c r="Q67" s="19"/>
      <c r="S67" s="89" t="str">
        <f>IF(INDEX(設定!$F$9:$F$108,$A67,1)="","",VALUE(LEFT(INDEX(設定!$F$9:$F$108,$A67,1),1)))</f>
        <v/>
      </c>
      <c r="T67" s="202" t="str">
        <f>IF(C67="","",C67)</f>
        <v/>
      </c>
      <c r="U67" s="203" t="str">
        <f>IF(D67="","",IF(D67="1：男",1,IF(D67="2：女",2)))</f>
        <v/>
      </c>
      <c r="V67" s="204" t="str">
        <f>IF(E67="","",E67)</f>
        <v/>
      </c>
      <c r="W67" s="332" t="str">
        <f t="shared" ref="W67" si="89">IF(AND(G67="",H67="",G68=""),"",ROUND(SUM(G67,H67/60)*G68,1))</f>
        <v/>
      </c>
      <c r="X67" s="333" t="str">
        <f t="shared" ref="X67" si="90">IF(AND(I67="",J67="",I68=""),"",ROUND(SUM(I67,J67/60)*I68,1))</f>
        <v/>
      </c>
      <c r="Y67" s="334" t="str">
        <f t="shared" ref="Y67" si="91">IF(AND(K67="",L67="",K68=""),"",ROUND(SUM(K67,L67/60)*K68,1))</f>
        <v/>
      </c>
      <c r="Z67" s="183"/>
      <c r="AA67" s="184"/>
      <c r="AB67" s="221"/>
      <c r="AC67" s="200"/>
      <c r="AD67" s="200"/>
      <c r="AE67" s="200"/>
      <c r="AF67" s="200"/>
      <c r="AG67" s="200"/>
      <c r="AH67" s="200"/>
      <c r="AI67" s="200"/>
      <c r="AJ67" s="200"/>
      <c r="AK67" s="200"/>
      <c r="AL67" s="200"/>
      <c r="AM67" s="200"/>
      <c r="AN67" s="200"/>
      <c r="AO67" s="200"/>
      <c r="AP67" s="200"/>
      <c r="AQ67" s="200"/>
      <c r="AR67" s="200"/>
      <c r="AS67" s="200"/>
      <c r="AT67" s="221"/>
      <c r="AU67" s="221"/>
      <c r="AV67" s="221"/>
      <c r="AW67" s="221"/>
      <c r="AX67" s="221"/>
      <c r="AY67" s="221"/>
      <c r="AZ67" s="221"/>
      <c r="BA67" s="221"/>
      <c r="BB67" s="221"/>
      <c r="BC67" s="200"/>
      <c r="BD67" s="200"/>
      <c r="BE67" s="200"/>
      <c r="BF67" s="200"/>
    </row>
    <row r="68" spans="1:58" ht="29.25" customHeight="1" thickBot="1" x14ac:dyDescent="0.3">
      <c r="B68" s="19"/>
      <c r="C68" s="80"/>
      <c r="D68" s="81"/>
      <c r="E68" s="82"/>
      <c r="F68" s="83"/>
      <c r="G68" s="84" t="str">
        <f>IF(SUM(G67:H67)&gt;0,1,"")</f>
        <v/>
      </c>
      <c r="H68" s="85"/>
      <c r="I68" s="84" t="str">
        <f>IF(SUM(I67:J67)&gt;0,1,"")</f>
        <v/>
      </c>
      <c r="J68" s="85"/>
      <c r="K68" s="84" t="str">
        <f>IF(SUM(K67:L67)&gt;0,1,"")</f>
        <v/>
      </c>
      <c r="L68" s="86"/>
      <c r="M68" s="155"/>
      <c r="N68" s="93"/>
      <c r="P68" s="19"/>
      <c r="Q68" s="19"/>
      <c r="S68" s="87"/>
      <c r="T68" s="177"/>
      <c r="U68" s="178"/>
      <c r="V68" s="179"/>
      <c r="W68" s="183"/>
      <c r="X68" s="323"/>
      <c r="Y68" s="324"/>
      <c r="Z68" s="183"/>
      <c r="AA68" s="184"/>
      <c r="AB68" s="221"/>
      <c r="AC68" s="200"/>
      <c r="AD68" s="200"/>
      <c r="AE68" s="200"/>
      <c r="AF68" s="200"/>
      <c r="AG68" s="200"/>
      <c r="AH68" s="200"/>
      <c r="AI68" s="200"/>
      <c r="AJ68" s="200"/>
      <c r="AK68" s="200"/>
      <c r="AL68" s="200"/>
      <c r="AM68" s="200"/>
      <c r="AN68" s="200"/>
      <c r="AO68" s="200"/>
      <c r="AP68" s="200"/>
      <c r="AQ68" s="200"/>
      <c r="AR68" s="200"/>
      <c r="AS68" s="200"/>
      <c r="AT68" s="221"/>
      <c r="AU68" s="221"/>
      <c r="AV68" s="221"/>
      <c r="AW68" s="221"/>
      <c r="AX68" s="221"/>
      <c r="AY68" s="221"/>
      <c r="AZ68" s="221"/>
      <c r="BA68" s="221"/>
      <c r="BB68" s="221"/>
      <c r="BC68" s="200"/>
      <c r="BD68" s="200"/>
      <c r="BE68" s="200"/>
      <c r="BF68" s="200"/>
    </row>
    <row r="69" spans="1:58" ht="29.25" customHeight="1" thickTop="1" x14ac:dyDescent="0.25">
      <c r="A69" s="135">
        <f>ROUND((ROW()-10)/2,0)</f>
        <v>30</v>
      </c>
      <c r="B69" s="19"/>
      <c r="C69" s="88" t="str">
        <f>IF(INDEX(設定!$C$9:$C$108,$A69,1)="","",INDEX(設定!$C$9:$C$108,$A69,1))</f>
        <v/>
      </c>
      <c r="D69" s="137" t="str">
        <f>IF(INDEX(設定!$D$9:$D$108,$A69,1)="","",INDEX(設定!$D$9:$D$108,$A69,1))</f>
        <v/>
      </c>
      <c r="E69" s="75" t="str">
        <f>IF(INDEX(設定!$E$9:$E$108,$A69,1)="","",INDEX(設定!$E$9:$E$108,$A69,1))</f>
        <v/>
      </c>
      <c r="F69" s="76" t="str">
        <f>IF(S69="","",IF(S69=1,"1：家族",IF(AND(S69&gt;=2,S69&lt;=5),"2：雇用","")))</f>
        <v/>
      </c>
      <c r="G69" s="134">
        <f>INT(INDEX(設定!$H$9:H$108,$A69,1))</f>
        <v>0</v>
      </c>
      <c r="H69" s="77" t="str">
        <f>IF(INDEX(設定!$H$9:$H$108,$A69,1)=0,"",ROUND(MOD(INDEX(設定!$H$9:$H$108,$A69,1),1)*60,0))</f>
        <v/>
      </c>
      <c r="I69" s="134">
        <f>INT(INDEX(設定!$I$9:$I$108,$A69,1))</f>
        <v>0</v>
      </c>
      <c r="J69" s="77" t="str">
        <f>IF(INDEX(設定!$I$9:$I$108,$A69,1)=0,"",ROUND(MOD(INDEX(設定!$I$9:$I$108,$A69,1),1)*60,0))</f>
        <v/>
      </c>
      <c r="K69" s="134">
        <f>INT(INDEX(設定!$J$9:$J$108,$A69,1))</f>
        <v>0</v>
      </c>
      <c r="L69" s="78" t="str">
        <f>IF(INDEX(設定!$J$9:$J$108,$A69,1)=0,"",ROUND(MOD(INDEX(設定!$J$9:$J$108,$A69,1),1)*60,0))</f>
        <v/>
      </c>
      <c r="M69" s="154"/>
      <c r="N69" s="153"/>
      <c r="P69" s="19"/>
      <c r="Q69" s="19"/>
      <c r="S69" s="89" t="str">
        <f>IF(INDEX(設定!$F$9:$F$108,$A69,1)="","",VALUE(LEFT(INDEX(設定!$F$9:$F$108,$A69,1),1)))</f>
        <v/>
      </c>
      <c r="T69" s="202" t="str">
        <f>IF(C69="","",C69)</f>
        <v/>
      </c>
      <c r="U69" s="203" t="str">
        <f>IF(D69="","",IF(D69="1：男",1,IF(D69="2：女",2)))</f>
        <v/>
      </c>
      <c r="V69" s="204" t="str">
        <f>IF(E69="","",E69)</f>
        <v/>
      </c>
      <c r="W69" s="333" t="str">
        <f>IF(AND(G69="",H69="",G70=""),"",ROUND(SUM(G69,H69/60)*G70,1))</f>
        <v/>
      </c>
      <c r="X69" s="333" t="str">
        <f t="shared" ref="X69" si="92">IF(AND(I69="",J69="",I70=""),"",ROUND(SUM(I69,J69/60)*I70,1))</f>
        <v/>
      </c>
      <c r="Y69" s="334" t="str">
        <f t="shared" ref="Y69" si="93">IF(AND(K69="",L69="",K70=""),"",ROUND(SUM(K69,L69/60)*K70,1))</f>
        <v/>
      </c>
      <c r="Z69" s="183"/>
      <c r="AA69" s="184"/>
      <c r="AB69" s="221"/>
      <c r="AC69" s="200"/>
      <c r="AD69" s="200"/>
      <c r="AE69" s="200"/>
      <c r="AF69" s="200"/>
      <c r="AG69" s="200"/>
      <c r="AH69" s="200"/>
      <c r="AI69" s="200"/>
      <c r="AJ69" s="200"/>
      <c r="AK69" s="200"/>
      <c r="AL69" s="200"/>
      <c r="AM69" s="200"/>
      <c r="AN69" s="200"/>
      <c r="AO69" s="200"/>
      <c r="AP69" s="200"/>
      <c r="AQ69" s="200"/>
      <c r="AR69" s="200"/>
      <c r="AS69" s="200"/>
      <c r="AT69" s="221"/>
      <c r="AU69" s="221"/>
      <c r="AV69" s="221"/>
      <c r="AW69" s="221"/>
      <c r="AX69" s="221"/>
      <c r="AY69" s="221"/>
      <c r="AZ69" s="221"/>
      <c r="BA69" s="221"/>
      <c r="BB69" s="221"/>
      <c r="BC69" s="200"/>
      <c r="BD69" s="200"/>
      <c r="BE69" s="200"/>
      <c r="BF69" s="200"/>
    </row>
    <row r="70" spans="1:58" ht="29.25" customHeight="1" thickBot="1" x14ac:dyDescent="0.3">
      <c r="B70" s="19"/>
      <c r="C70" s="90"/>
      <c r="D70" s="138"/>
      <c r="E70" s="139"/>
      <c r="F70" s="140"/>
      <c r="G70" s="141" t="str">
        <f>IF(SUM(G69:H69)&gt;0,1,"")</f>
        <v/>
      </c>
      <c r="H70" s="142"/>
      <c r="I70" s="141" t="str">
        <f>IF(SUM(I69:J69)&gt;0,1,"")</f>
        <v/>
      </c>
      <c r="J70" s="142"/>
      <c r="K70" s="141" t="str">
        <f>IF(SUM(K69:L69)&gt;0,1,"")</f>
        <v/>
      </c>
      <c r="L70" s="143"/>
      <c r="M70" s="155"/>
      <c r="N70" s="93"/>
      <c r="P70" s="19"/>
      <c r="Q70" s="19"/>
      <c r="S70" s="91"/>
      <c r="T70" s="233"/>
      <c r="U70" s="234"/>
      <c r="V70" s="235"/>
      <c r="W70" s="355"/>
      <c r="X70" s="355"/>
      <c r="Y70" s="356"/>
      <c r="Z70" s="183"/>
      <c r="AA70" s="184"/>
      <c r="AB70" s="221"/>
      <c r="AC70" s="200"/>
      <c r="AD70" s="200"/>
      <c r="AE70" s="200"/>
      <c r="AF70" s="200"/>
      <c r="AG70" s="200"/>
      <c r="AH70" s="200"/>
      <c r="AI70" s="200"/>
      <c r="AJ70" s="200"/>
      <c r="AK70" s="200"/>
      <c r="AL70" s="200"/>
      <c r="AM70" s="200"/>
      <c r="AN70" s="200"/>
      <c r="AO70" s="200"/>
      <c r="AP70" s="200"/>
      <c r="AQ70" s="200"/>
      <c r="AR70" s="200"/>
      <c r="AS70" s="200"/>
      <c r="AT70" s="221"/>
      <c r="AU70" s="221"/>
      <c r="AV70" s="221"/>
      <c r="AW70" s="221"/>
      <c r="AX70" s="221"/>
      <c r="AY70" s="221"/>
      <c r="AZ70" s="221"/>
      <c r="BA70" s="221"/>
      <c r="BB70" s="221"/>
      <c r="BC70" s="200"/>
      <c r="BD70" s="200"/>
      <c r="BE70" s="200"/>
      <c r="BF70" s="200"/>
    </row>
    <row r="71" spans="1:58" ht="26.25" customHeight="1" x14ac:dyDescent="0.25">
      <c r="B71" s="19"/>
      <c r="C71" s="18"/>
      <c r="D71" s="18"/>
      <c r="E71" s="92"/>
      <c r="F71" s="18"/>
      <c r="G71" s="93"/>
      <c r="H71" s="93"/>
      <c r="I71" s="93"/>
      <c r="J71" s="93"/>
      <c r="K71" s="93"/>
      <c r="L71" s="93"/>
      <c r="M71" s="93"/>
      <c r="N71" s="93"/>
      <c r="P71" s="19"/>
      <c r="Q71" s="19"/>
      <c r="S71" s="94"/>
      <c r="T71" s="67"/>
      <c r="U71" s="94"/>
      <c r="V71" s="94"/>
      <c r="W71" s="95"/>
      <c r="X71" s="95"/>
      <c r="Y71" s="95"/>
      <c r="Z71" s="95"/>
      <c r="AA71" s="95"/>
      <c r="AB71" s="95"/>
      <c r="AC71" s="95"/>
      <c r="AD71" s="95"/>
      <c r="AE71" s="146"/>
      <c r="AF71" s="145"/>
      <c r="AG71" s="145"/>
      <c r="AH71" s="145"/>
      <c r="AI71" s="145"/>
      <c r="AJ71" s="145"/>
      <c r="AK71" s="145"/>
      <c r="AL71" s="145"/>
      <c r="AM71" s="145"/>
      <c r="AN71" s="145"/>
      <c r="AO71" s="145"/>
      <c r="AP71" s="145"/>
      <c r="AQ71" s="145"/>
      <c r="AR71" s="145"/>
      <c r="AS71" s="145"/>
      <c r="AT71" s="18"/>
      <c r="AU71" s="18"/>
      <c r="AV71" s="18"/>
      <c r="AW71" s="95"/>
      <c r="AX71" s="146"/>
      <c r="AY71" s="94"/>
      <c r="AZ71" s="94"/>
      <c r="BA71" s="94"/>
      <c r="BB71" s="94"/>
    </row>
    <row r="72" spans="1:58" ht="14.25" customHeight="1" x14ac:dyDescent="0.2">
      <c r="B72" s="322" t="s">
        <v>155</v>
      </c>
      <c r="C72" s="287"/>
      <c r="P72" s="19"/>
      <c r="Q72" s="19"/>
    </row>
    <row r="74" spans="1:58" ht="14.25" customHeight="1" thickBot="1" x14ac:dyDescent="0.25">
      <c r="C74" s="288"/>
      <c r="D74" s="19"/>
      <c r="E74" s="19"/>
      <c r="F74" s="19"/>
      <c r="G74" s="19"/>
      <c r="H74" s="19"/>
      <c r="I74" s="19"/>
      <c r="J74" s="19"/>
      <c r="K74" s="19"/>
      <c r="L74" s="19"/>
      <c r="M74" s="19"/>
      <c r="N74" s="19"/>
      <c r="P74" s="19"/>
      <c r="Q74" s="19"/>
      <c r="S74" s="514" t="s">
        <v>36</v>
      </c>
      <c r="T74" s="516" t="s">
        <v>6</v>
      </c>
      <c r="U74" s="486" t="s">
        <v>111</v>
      </c>
      <c r="V74" s="519" t="s">
        <v>8</v>
      </c>
      <c r="W74" s="522" t="s">
        <v>137</v>
      </c>
      <c r="X74" s="525" t="s">
        <v>131</v>
      </c>
      <c r="Y74" s="525"/>
      <c r="Z74" s="486" t="s">
        <v>154</v>
      </c>
    </row>
    <row r="75" spans="1:58" ht="27" customHeight="1" x14ac:dyDescent="0.2">
      <c r="C75" s="491" t="s">
        <v>6</v>
      </c>
      <c r="D75" s="493" t="s">
        <v>7</v>
      </c>
      <c r="E75" s="495" t="s">
        <v>8</v>
      </c>
      <c r="F75" s="507" t="s">
        <v>9</v>
      </c>
      <c r="G75" s="509" t="s">
        <v>37</v>
      </c>
      <c r="H75" s="489" t="s">
        <v>38</v>
      </c>
      <c r="I75" s="489" t="s">
        <v>39</v>
      </c>
      <c r="J75" s="489" t="s">
        <v>40</v>
      </c>
      <c r="K75" s="489" t="s">
        <v>41</v>
      </c>
      <c r="L75" s="489" t="s">
        <v>42</v>
      </c>
      <c r="M75" s="526" t="s">
        <v>43</v>
      </c>
      <c r="N75" s="18"/>
      <c r="P75" s="19"/>
      <c r="Q75" s="19"/>
      <c r="S75" s="515"/>
      <c r="T75" s="517"/>
      <c r="U75" s="487"/>
      <c r="V75" s="520"/>
      <c r="W75" s="523"/>
      <c r="X75" s="486" t="s">
        <v>138</v>
      </c>
      <c r="Y75" s="528" t="s">
        <v>139</v>
      </c>
      <c r="Z75" s="487"/>
      <c r="BC75" s="148"/>
      <c r="BD75" s="148"/>
      <c r="BE75" s="148"/>
      <c r="BF75" s="148"/>
    </row>
    <row r="76" spans="1:58" ht="27" customHeight="1" thickBot="1" x14ac:dyDescent="0.25">
      <c r="C76" s="492"/>
      <c r="D76" s="494"/>
      <c r="E76" s="496"/>
      <c r="F76" s="508"/>
      <c r="G76" s="510"/>
      <c r="H76" s="490"/>
      <c r="I76" s="490"/>
      <c r="J76" s="490"/>
      <c r="K76" s="490"/>
      <c r="L76" s="490"/>
      <c r="M76" s="527"/>
      <c r="N76" s="18"/>
      <c r="P76" s="19"/>
      <c r="Q76" s="19"/>
      <c r="S76" s="515"/>
      <c r="T76" s="518"/>
      <c r="U76" s="488"/>
      <c r="V76" s="521"/>
      <c r="W76" s="524"/>
      <c r="X76" s="488"/>
      <c r="Y76" s="529"/>
      <c r="Z76" s="488"/>
    </row>
    <row r="77" spans="1:58" ht="30" customHeight="1" thickTop="1" x14ac:dyDescent="0.25">
      <c r="A77" s="135">
        <v>1</v>
      </c>
      <c r="C77" s="414" t="str">
        <f>IF(INDEX(設定!$C$9:$C$108,$A77,1)="","",INDEX(設定!$C$9:$C$108,$A77,1))</f>
        <v/>
      </c>
      <c r="D77" s="97" t="str">
        <f>IF(INDEX(設定!$D$9:$D$108,$A77,1)="","",INDEX(設定!$D$9:$D$108,$A77,1))</f>
        <v/>
      </c>
      <c r="E77" s="98" t="str">
        <f>IF(INDEX(設定!$E$9:$E$108,$A77,1)="","",INDEX(設定!$E$9:$E$108,$A77,1))</f>
        <v/>
      </c>
      <c r="F77" s="99" t="str">
        <f>IF(S77="","",IF(S77=1,"1：家族",IF(AND(S77&gt;=2,S77&lt;=5),"2：雇用","")))</f>
        <v/>
      </c>
      <c r="G77" s="410" t="str">
        <f>IF(INDEX(設定!L$9:L$108,$A77,1)=0,"",ROUND(INDEX(設定!L$9:L$108,$A77,1),1))</f>
        <v/>
      </c>
      <c r="H77" s="410" t="str">
        <f>IF(INDEX(設定!M$9:M$108,$A77,1)=0,"",ROUND(INDEX(設定!M$9:M$108,$A77,1),1))</f>
        <v/>
      </c>
      <c r="I77" s="410" t="str">
        <f>IF(INDEX(設定!N$9:N$108,$A77,1)=0,"",ROUND(INDEX(設定!N$9:N$108,$A77,1),1))</f>
        <v/>
      </c>
      <c r="J77" s="410" t="str">
        <f>IF(INDEX(設定!O$9:O$108,$A77,1)=0,"",ROUND(INDEX(設定!O$9:O$108,$A77,1),1))</f>
        <v/>
      </c>
      <c r="K77" s="410" t="str">
        <f>IF(INDEX(設定!P$9:P$108,$A77,1)=0,"",ROUND(INDEX(設定!P$9:P$108,$A77,1),1))</f>
        <v/>
      </c>
      <c r="L77" s="410" t="str">
        <f>IF(INDEX(設定!Q$9:Q$108,$A77,1)=0,"",ROUND(INDEX(設定!Q$9:Q$108,$A77,1),1))</f>
        <v/>
      </c>
      <c r="M77" s="411" t="str">
        <f>IF(INDEX(設定!R$9:R$108,$A77,1)=0,"",ROUND(INDEX(設定!R$9:R$108,$A77,1),1))</f>
        <v/>
      </c>
      <c r="N77" s="18"/>
      <c r="P77" s="19"/>
      <c r="Q77" s="19"/>
      <c r="S77" s="289" t="str">
        <f>IF(INDEX(設定!$F$9:$F$108,$A77,1)="","",VALUE(LEFT(INDEX(設定!$F$9:$F$108,$A77,1),1)))</f>
        <v/>
      </c>
      <c r="T77" s="177" t="str">
        <f>IF(C77="","",C77)</f>
        <v/>
      </c>
      <c r="U77" s="290" t="str">
        <f>IF(D77="","",IF(D77="1：男",1,IF(D77="2：女",2)))</f>
        <v/>
      </c>
      <c r="V77" s="247" t="str">
        <f>IF(E77="","",E77)</f>
        <v/>
      </c>
      <c r="W77" s="417">
        <f>SUM(J77:L77)</f>
        <v>0</v>
      </c>
      <c r="X77" s="418" t="str">
        <f>G77</f>
        <v/>
      </c>
      <c r="Y77" s="418">
        <f>SUM(H77:I77)</f>
        <v>0</v>
      </c>
      <c r="Z77" s="418" t="str">
        <f>M77</f>
        <v/>
      </c>
    </row>
    <row r="78" spans="1:58" ht="30" customHeight="1" x14ac:dyDescent="0.25">
      <c r="A78" s="135">
        <v>2</v>
      </c>
      <c r="C78" s="100" t="str">
        <f>IF(INDEX(設定!$C$9:$C$108,$A78,1)="","",INDEX(設定!$C$9:$C$108,$A78,1))</f>
        <v/>
      </c>
      <c r="D78" s="101" t="str">
        <f>IF(INDEX(設定!$D$9:$D$108,$A78,1)="","",INDEX(設定!$D$9:$D$108,$A78,1))</f>
        <v/>
      </c>
      <c r="E78" s="102" t="str">
        <f>IF(INDEX(設定!$E$9:$E$108,$A78,1)="","",INDEX(設定!$E$9:$E$108,$A78,1))</f>
        <v/>
      </c>
      <c r="F78" s="103" t="str">
        <f>IF(S78="","",IF(S78=1,"1：家族",IF(AND(S78&gt;=2,S78&lt;=5),"2：雇用","")))</f>
        <v/>
      </c>
      <c r="G78" s="412" t="str">
        <f>IF(INDEX(設定!L$9:L$108,$A78,1)=0,"",ROUND(INDEX(設定!L$9:L$108,$A78,1),1))</f>
        <v/>
      </c>
      <c r="H78" s="412" t="str">
        <f>IF(INDEX(設定!M$9:M$108,$A78,1)=0,"",ROUND(INDEX(設定!M$9:M$108,$A78,1),1))</f>
        <v/>
      </c>
      <c r="I78" s="412" t="str">
        <f>IF(INDEX(設定!N$9:N$108,$A78,1)=0,"",ROUND(INDEX(設定!N$9:N$108,$A78,1),1))</f>
        <v/>
      </c>
      <c r="J78" s="412" t="str">
        <f>IF(INDEX(設定!O$9:O$108,$A78,1)=0,"",ROUND(INDEX(設定!O$9:O$108,$A78,1),1))</f>
        <v/>
      </c>
      <c r="K78" s="412" t="str">
        <f>IF(INDEX(設定!P$9:P$108,$A78,1)=0,"",ROUND(INDEX(設定!P$9:P$108,$A78,1),1))</f>
        <v/>
      </c>
      <c r="L78" s="412" t="str">
        <f>IF(INDEX(設定!Q$9:Q$108,$A78,1)=0,"",ROUND(INDEX(設定!Q$9:Q$108,$A78,1),1))</f>
        <v/>
      </c>
      <c r="M78" s="413" t="str">
        <f>IF(INDEX(設定!R$9:R$108,$A78,1)=0,"",ROUND(INDEX(設定!R$9:R$108,$A78,1),1))</f>
        <v/>
      </c>
      <c r="N78" s="18"/>
      <c r="P78" s="19"/>
      <c r="Q78" s="19"/>
      <c r="S78" s="291" t="str">
        <f>IF(INDEX(設定!$F$9:$F$108,$A78,1)="","",VALUE(LEFT(INDEX(設定!$F$9:$F$108,$A78,1),1)))</f>
        <v/>
      </c>
      <c r="T78" s="202" t="str">
        <f>IF(C78="","",C78)</f>
        <v/>
      </c>
      <c r="U78" s="292" t="str">
        <f>IF(D78="","",IF(D78="1：男",1,IF(D78="2：女",2)))</f>
        <v/>
      </c>
      <c r="V78" s="293" t="str">
        <f>IF(E78="","",E78)</f>
        <v/>
      </c>
      <c r="W78" s="417">
        <f t="shared" ref="W78:W106" si="94">SUM(J78:L78)</f>
        <v>0</v>
      </c>
      <c r="X78" s="418" t="str">
        <f t="shared" ref="X78:X106" si="95">G78</f>
        <v/>
      </c>
      <c r="Y78" s="418">
        <f t="shared" ref="Y78:Y106" si="96">SUM(H78:I78)</f>
        <v>0</v>
      </c>
      <c r="Z78" s="418" t="str">
        <f t="shared" ref="Z78:Z106" si="97">M78</f>
        <v/>
      </c>
    </row>
    <row r="79" spans="1:58" ht="30" customHeight="1" x14ac:dyDescent="0.25">
      <c r="A79" s="135">
        <v>3</v>
      </c>
      <c r="C79" s="100" t="str">
        <f>IF(INDEX(設定!$C$9:$C$108,$A79,1)="","",INDEX(設定!$C$9:$C$108,$A79,1))</f>
        <v/>
      </c>
      <c r="D79" s="101" t="str">
        <f>IF(INDEX(設定!$D$9:$D$108,$A79,1)="","",INDEX(設定!$D$9:$D$108,$A79,1))</f>
        <v/>
      </c>
      <c r="E79" s="102" t="str">
        <f>IF(INDEX(設定!$E$9:$E$108,$A79,1)="","",INDEX(設定!$E$9:$E$108,$A79,1))</f>
        <v/>
      </c>
      <c r="F79" s="103" t="str">
        <f t="shared" ref="F79:F106" si="98">IF(S79="","",IF(S79=1,"1：家族",IF(AND(S79&gt;=2,S79&lt;=5),"2：雇用","")))</f>
        <v/>
      </c>
      <c r="G79" s="412" t="str">
        <f>IF(INDEX(設定!L$9:L$108,$A79,1)=0,"",ROUND(INDEX(設定!L$9:L$108,$A79,1),1))</f>
        <v/>
      </c>
      <c r="H79" s="412" t="str">
        <f>IF(INDEX(設定!M$9:M$108,$A79,1)=0,"",ROUND(INDEX(設定!M$9:M$108,$A79,1),1))</f>
        <v/>
      </c>
      <c r="I79" s="412" t="str">
        <f>IF(INDEX(設定!N$9:N$108,$A79,1)=0,"",ROUND(INDEX(設定!N$9:N$108,$A79,1),1))</f>
        <v/>
      </c>
      <c r="J79" s="412" t="str">
        <f>IF(INDEX(設定!O$9:O$108,$A79,1)=0,"",ROUND(INDEX(設定!O$9:O$108,$A79,1),1))</f>
        <v/>
      </c>
      <c r="K79" s="412" t="str">
        <f>IF(INDEX(設定!P$9:P$108,$A79,1)=0,"",ROUND(INDEX(設定!P$9:P$108,$A79,1),1))</f>
        <v/>
      </c>
      <c r="L79" s="412" t="str">
        <f>IF(INDEX(設定!Q$9:Q$108,$A79,1)=0,"",ROUND(INDEX(設定!Q$9:Q$108,$A79,1),1))</f>
        <v/>
      </c>
      <c r="M79" s="413" t="str">
        <f>IF(INDEX(設定!R$9:R$108,$A79,1)=0,"",ROUND(INDEX(設定!R$9:R$108,$A79,1),1))</f>
        <v/>
      </c>
      <c r="N79" s="18"/>
      <c r="P79" s="19"/>
      <c r="Q79" s="19"/>
      <c r="S79" s="291" t="str">
        <f>IF(INDEX(設定!$F$9:$F$108,$A79,1)="","",VALUE(LEFT(INDEX(設定!$F$9:$F$108,$A79,1),1)))</f>
        <v/>
      </c>
      <c r="T79" s="202" t="str">
        <f>IF(C79="","",C79)</f>
        <v/>
      </c>
      <c r="U79" s="292" t="str">
        <f>IF(D79="","",IF(D79="1：男",1,IF(D79="2：女",2)))</f>
        <v/>
      </c>
      <c r="V79" s="293" t="str">
        <f>IF(E79="","",E79)</f>
        <v/>
      </c>
      <c r="W79" s="417">
        <f t="shared" si="94"/>
        <v>0</v>
      </c>
      <c r="X79" s="418" t="str">
        <f t="shared" si="95"/>
        <v/>
      </c>
      <c r="Y79" s="418">
        <f t="shared" si="96"/>
        <v>0</v>
      </c>
      <c r="Z79" s="418" t="str">
        <f t="shared" si="97"/>
        <v/>
      </c>
    </row>
    <row r="80" spans="1:58" ht="30" customHeight="1" x14ac:dyDescent="0.25">
      <c r="A80" s="135">
        <v>4</v>
      </c>
      <c r="C80" s="100" t="str">
        <f>IF(INDEX(設定!$C$9:$C$108,$A80,1)="","",INDEX(設定!$C$9:$C$108,$A80,1))</f>
        <v/>
      </c>
      <c r="D80" s="101" t="str">
        <f>IF(INDEX(設定!$D$9:$D$108,$A80,1)="","",INDEX(設定!$D$9:$D$108,$A80,1))</f>
        <v/>
      </c>
      <c r="E80" s="102" t="str">
        <f>IF(INDEX(設定!$E$9:$E$108,$A80,1)="","",INDEX(設定!$E$9:$E$108,$A80,1))</f>
        <v/>
      </c>
      <c r="F80" s="103" t="str">
        <f t="shared" si="98"/>
        <v/>
      </c>
      <c r="G80" s="412" t="str">
        <f>IF(INDEX(設定!L$9:L$108,$A80,1)=0,"",ROUND(INDEX(設定!L$9:L$108,$A80,1),1))</f>
        <v/>
      </c>
      <c r="H80" s="412" t="str">
        <f>IF(INDEX(設定!M$9:M$108,$A80,1)=0,"",ROUND(INDEX(設定!M$9:M$108,$A80,1),1))</f>
        <v/>
      </c>
      <c r="I80" s="412" t="str">
        <f>IF(INDEX(設定!N$9:N$108,$A80,1)=0,"",ROUND(INDEX(設定!N$9:N$108,$A80,1),1))</f>
        <v/>
      </c>
      <c r="J80" s="412" t="str">
        <f>IF(INDEX(設定!O$9:O$108,$A80,1)=0,"",ROUND(INDEX(設定!O$9:O$108,$A80,1),1))</f>
        <v/>
      </c>
      <c r="K80" s="412" t="str">
        <f>IF(INDEX(設定!P$9:P$108,$A80,1)=0,"",ROUND(INDEX(設定!P$9:P$108,$A80,1),1))</f>
        <v/>
      </c>
      <c r="L80" s="412" t="str">
        <f>IF(INDEX(設定!Q$9:Q$108,$A80,1)=0,"",ROUND(INDEX(設定!Q$9:Q$108,$A80,1),1))</f>
        <v/>
      </c>
      <c r="M80" s="413" t="str">
        <f>IF(INDEX(設定!R$9:R$108,$A80,1)=0,"",ROUND(INDEX(設定!R$9:R$108,$A80,1),1))</f>
        <v/>
      </c>
      <c r="N80" s="18"/>
      <c r="P80" s="19"/>
      <c r="Q80" s="19"/>
      <c r="S80" s="291" t="str">
        <f>IF(INDEX(設定!$F$9:$F$108,$A80,1)="","",VALUE(LEFT(INDEX(設定!$F$9:$F$108,$A80,1),1)))</f>
        <v/>
      </c>
      <c r="T80" s="202" t="str">
        <f t="shared" ref="T80:T83" si="99">IF(C80="","",C80)</f>
        <v/>
      </c>
      <c r="U80" s="292" t="str">
        <f t="shared" ref="U80:U83" si="100">IF(D80="","",IF(D80="1：男",1,IF(D80="2：女",2)))</f>
        <v/>
      </c>
      <c r="V80" s="293" t="str">
        <f t="shared" ref="V80:V83" si="101">IF(E80="","",E80)</f>
        <v/>
      </c>
      <c r="W80" s="417">
        <f t="shared" si="94"/>
        <v>0</v>
      </c>
      <c r="X80" s="418" t="str">
        <f t="shared" si="95"/>
        <v/>
      </c>
      <c r="Y80" s="418">
        <f t="shared" si="96"/>
        <v>0</v>
      </c>
      <c r="Z80" s="418" t="str">
        <f t="shared" si="97"/>
        <v/>
      </c>
    </row>
    <row r="81" spans="1:26" ht="30" customHeight="1" x14ac:dyDescent="0.25">
      <c r="A81" s="135">
        <v>5</v>
      </c>
      <c r="C81" s="100" t="str">
        <f>IF(INDEX(設定!$C$9:$C$108,$A81,1)="","",INDEX(設定!$C$9:$C$108,$A81,1))</f>
        <v/>
      </c>
      <c r="D81" s="101" t="str">
        <f>IF(INDEX(設定!$D$9:$D$108,$A81,1)="","",INDEX(設定!$D$9:$D$108,$A81,1))</f>
        <v/>
      </c>
      <c r="E81" s="102" t="str">
        <f>IF(INDEX(設定!$E$9:$E$108,$A81,1)="","",INDEX(設定!$E$9:$E$108,$A81,1))</f>
        <v/>
      </c>
      <c r="F81" s="103" t="str">
        <f t="shared" si="98"/>
        <v/>
      </c>
      <c r="G81" s="412" t="str">
        <f>IF(INDEX(設定!L$9:L$108,$A81,1)=0,"",ROUND(INDEX(設定!L$9:L$108,$A81,1),1))</f>
        <v/>
      </c>
      <c r="H81" s="412" t="str">
        <f>IF(INDEX(設定!M$9:M$108,$A81,1)=0,"",ROUND(INDEX(設定!M$9:M$108,$A81,1),1))</f>
        <v/>
      </c>
      <c r="I81" s="412" t="str">
        <f>IF(INDEX(設定!N$9:N$108,$A81,1)=0,"",ROUND(INDEX(設定!N$9:N$108,$A81,1),1))</f>
        <v/>
      </c>
      <c r="J81" s="412" t="str">
        <f>IF(INDEX(設定!O$9:O$108,$A81,1)=0,"",ROUND(INDEX(設定!O$9:O$108,$A81,1),1))</f>
        <v/>
      </c>
      <c r="K81" s="412" t="str">
        <f>IF(INDEX(設定!P$9:P$108,$A81,1)=0,"",ROUND(INDEX(設定!P$9:P$108,$A81,1),1))</f>
        <v/>
      </c>
      <c r="L81" s="412" t="str">
        <f>IF(INDEX(設定!Q$9:Q$108,$A81,1)=0,"",ROUND(INDEX(設定!Q$9:Q$108,$A81,1),1))</f>
        <v/>
      </c>
      <c r="M81" s="413" t="str">
        <f>IF(INDEX(設定!R$9:R$108,$A81,1)=0,"",ROUND(INDEX(設定!R$9:R$108,$A81,1),1))</f>
        <v/>
      </c>
      <c r="N81" s="18"/>
      <c r="P81" s="19"/>
      <c r="Q81" s="19"/>
      <c r="S81" s="291" t="str">
        <f>IF(INDEX(設定!$F$9:$F$108,$A81,1)="","",VALUE(LEFT(INDEX(設定!$F$9:$F$108,$A81,1),1)))</f>
        <v/>
      </c>
      <c r="T81" s="202" t="str">
        <f t="shared" si="99"/>
        <v/>
      </c>
      <c r="U81" s="292" t="str">
        <f t="shared" si="100"/>
        <v/>
      </c>
      <c r="V81" s="293" t="str">
        <f t="shared" si="101"/>
        <v/>
      </c>
      <c r="W81" s="417">
        <f t="shared" si="94"/>
        <v>0</v>
      </c>
      <c r="X81" s="418" t="str">
        <f t="shared" si="95"/>
        <v/>
      </c>
      <c r="Y81" s="418">
        <f t="shared" si="96"/>
        <v>0</v>
      </c>
      <c r="Z81" s="418" t="str">
        <f t="shared" si="97"/>
        <v/>
      </c>
    </row>
    <row r="82" spans="1:26" ht="30" customHeight="1" x14ac:dyDescent="0.25">
      <c r="A82" s="135">
        <v>6</v>
      </c>
      <c r="C82" s="100" t="str">
        <f>IF(INDEX(設定!$C$9:$C$108,$A82,1)="","",INDEX(設定!$C$9:$C$108,$A82,1))</f>
        <v/>
      </c>
      <c r="D82" s="101" t="str">
        <f>IF(INDEX(設定!$D$9:$D$108,$A82,1)="","",INDEX(設定!$D$9:$D$108,$A82,1))</f>
        <v/>
      </c>
      <c r="E82" s="102" t="str">
        <f>IF(INDEX(設定!$E$9:$E$108,$A82,1)="","",INDEX(設定!$E$9:$E$108,$A82,1))</f>
        <v/>
      </c>
      <c r="F82" s="103" t="str">
        <f t="shared" si="98"/>
        <v/>
      </c>
      <c r="G82" s="412" t="str">
        <f>IF(INDEX(設定!L$9:L$108,$A82,1)=0,"",ROUND(INDEX(設定!L$9:L$108,$A82,1),1))</f>
        <v/>
      </c>
      <c r="H82" s="412" t="str">
        <f>IF(INDEX(設定!M$9:M$108,$A82,1)=0,"",ROUND(INDEX(設定!M$9:M$108,$A82,1),1))</f>
        <v/>
      </c>
      <c r="I82" s="412" t="str">
        <f>IF(INDEX(設定!N$9:N$108,$A82,1)=0,"",ROUND(INDEX(設定!N$9:N$108,$A82,1),1))</f>
        <v/>
      </c>
      <c r="J82" s="412" t="str">
        <f>IF(INDEX(設定!O$9:O$108,$A82,1)=0,"",ROUND(INDEX(設定!O$9:O$108,$A82,1),1))</f>
        <v/>
      </c>
      <c r="K82" s="412" t="str">
        <f>IF(INDEX(設定!P$9:P$108,$A82,1)=0,"",ROUND(INDEX(設定!P$9:P$108,$A82,1),1))</f>
        <v/>
      </c>
      <c r="L82" s="412" t="str">
        <f>IF(INDEX(設定!Q$9:Q$108,$A82,1)=0,"",ROUND(INDEX(設定!Q$9:Q$108,$A82,1),1))</f>
        <v/>
      </c>
      <c r="M82" s="413" t="str">
        <f>IF(INDEX(設定!R$9:R$108,$A82,1)=0,"",ROUND(INDEX(設定!R$9:R$108,$A82,1),1))</f>
        <v/>
      </c>
      <c r="N82" s="18"/>
      <c r="P82" s="19"/>
      <c r="Q82" s="19"/>
      <c r="S82" s="291" t="str">
        <f>IF(INDEX(設定!$F$9:$F$108,$A82,1)="","",VALUE(LEFT(INDEX(設定!$F$9:$F$108,$A82,1),1)))</f>
        <v/>
      </c>
      <c r="T82" s="202" t="str">
        <f t="shared" si="99"/>
        <v/>
      </c>
      <c r="U82" s="292" t="str">
        <f t="shared" si="100"/>
        <v/>
      </c>
      <c r="V82" s="293" t="str">
        <f t="shared" si="101"/>
        <v/>
      </c>
      <c r="W82" s="417">
        <f t="shared" si="94"/>
        <v>0</v>
      </c>
      <c r="X82" s="418" t="str">
        <f t="shared" si="95"/>
        <v/>
      </c>
      <c r="Y82" s="418">
        <f t="shared" si="96"/>
        <v>0</v>
      </c>
      <c r="Z82" s="418" t="str">
        <f t="shared" si="97"/>
        <v/>
      </c>
    </row>
    <row r="83" spans="1:26" ht="30" customHeight="1" x14ac:dyDescent="0.25">
      <c r="A83" s="135">
        <v>7</v>
      </c>
      <c r="C83" s="100" t="str">
        <f>IF(INDEX(設定!$C$9:$C$108,$A83,1)="","",INDEX(設定!$C$9:$C$108,$A83,1))</f>
        <v/>
      </c>
      <c r="D83" s="101" t="str">
        <f>IF(INDEX(設定!$D$9:$D$108,$A83,1)="","",INDEX(設定!$D$9:$D$108,$A83,1))</f>
        <v/>
      </c>
      <c r="E83" s="102" t="str">
        <f>IF(INDEX(設定!$E$9:$E$108,$A83,1)="","",INDEX(設定!$E$9:$E$108,$A83,1))</f>
        <v/>
      </c>
      <c r="F83" s="103" t="str">
        <f t="shared" si="98"/>
        <v/>
      </c>
      <c r="G83" s="412" t="str">
        <f>IF(INDEX(設定!L$9:L$108,$A83,1)=0,"",ROUND(INDEX(設定!L$9:L$108,$A83,1),1))</f>
        <v/>
      </c>
      <c r="H83" s="412" t="str">
        <f>IF(INDEX(設定!M$9:M$108,$A83,1)=0,"",ROUND(INDEX(設定!M$9:M$108,$A83,1),1))</f>
        <v/>
      </c>
      <c r="I83" s="412" t="str">
        <f>IF(INDEX(設定!N$9:N$108,$A83,1)=0,"",ROUND(INDEX(設定!N$9:N$108,$A83,1),1))</f>
        <v/>
      </c>
      <c r="J83" s="412" t="str">
        <f>IF(INDEX(設定!O$9:O$108,$A83,1)=0,"",ROUND(INDEX(設定!O$9:O$108,$A83,1),1))</f>
        <v/>
      </c>
      <c r="K83" s="412" t="str">
        <f>IF(INDEX(設定!P$9:P$108,$A83,1)=0,"",ROUND(INDEX(設定!P$9:P$108,$A83,1),1))</f>
        <v/>
      </c>
      <c r="L83" s="412" t="str">
        <f>IF(INDEX(設定!Q$9:Q$108,$A83,1)=0,"",ROUND(INDEX(設定!Q$9:Q$108,$A83,1),1))</f>
        <v/>
      </c>
      <c r="M83" s="413" t="str">
        <f>IF(INDEX(設定!R$9:R$108,$A83,1)=0,"",ROUND(INDEX(設定!R$9:R$108,$A83,1),1))</f>
        <v/>
      </c>
      <c r="N83" s="18"/>
      <c r="P83" s="19"/>
      <c r="Q83" s="19"/>
      <c r="S83" s="291" t="str">
        <f>IF(INDEX(設定!$F$9:$F$108,$A83,1)="","",VALUE(LEFT(INDEX(設定!$F$9:$F$108,$A83,1),1)))</f>
        <v/>
      </c>
      <c r="T83" s="202" t="str">
        <f t="shared" si="99"/>
        <v/>
      </c>
      <c r="U83" s="292" t="str">
        <f t="shared" si="100"/>
        <v/>
      </c>
      <c r="V83" s="293" t="str">
        <f t="shared" si="101"/>
        <v/>
      </c>
      <c r="W83" s="417">
        <f t="shared" si="94"/>
        <v>0</v>
      </c>
      <c r="X83" s="418" t="str">
        <f t="shared" si="95"/>
        <v/>
      </c>
      <c r="Y83" s="418">
        <f t="shared" si="96"/>
        <v>0</v>
      </c>
      <c r="Z83" s="418" t="str">
        <f t="shared" si="97"/>
        <v/>
      </c>
    </row>
    <row r="84" spans="1:26" ht="30" customHeight="1" x14ac:dyDescent="0.25">
      <c r="A84" s="135">
        <v>8</v>
      </c>
      <c r="C84" s="100" t="str">
        <f>IF(INDEX(設定!$C$9:$C$108,$A84,1)="","",INDEX(設定!$C$9:$C$108,$A84,1))</f>
        <v/>
      </c>
      <c r="D84" s="101" t="str">
        <f>IF(INDEX(設定!$D$9:$D$108,$A84,1)="","",INDEX(設定!$D$9:$D$108,$A84,1))</f>
        <v/>
      </c>
      <c r="E84" s="102" t="str">
        <f>IF(INDEX(設定!$E$9:$E$108,$A84,1)="","",INDEX(設定!$E$9:$E$108,$A84,1))</f>
        <v/>
      </c>
      <c r="F84" s="103" t="str">
        <f t="shared" si="98"/>
        <v/>
      </c>
      <c r="G84" s="412" t="str">
        <f>IF(INDEX(設定!L$9:L$108,$A84,1)=0,"",ROUND(INDEX(設定!L$9:L$108,$A84,1),1))</f>
        <v/>
      </c>
      <c r="H84" s="412" t="str">
        <f>IF(INDEX(設定!M$9:M$108,$A84,1)=0,"",ROUND(INDEX(設定!M$9:M$108,$A84,1),1))</f>
        <v/>
      </c>
      <c r="I84" s="412" t="str">
        <f>IF(INDEX(設定!N$9:N$108,$A84,1)=0,"",ROUND(INDEX(設定!N$9:N$108,$A84,1),1))</f>
        <v/>
      </c>
      <c r="J84" s="412" t="str">
        <f>IF(INDEX(設定!O$9:O$108,$A84,1)=0,"",ROUND(INDEX(設定!O$9:O$108,$A84,1),1))</f>
        <v/>
      </c>
      <c r="K84" s="412" t="str">
        <f>IF(INDEX(設定!P$9:P$108,$A84,1)=0,"",ROUND(INDEX(設定!P$9:P$108,$A84,1),1))</f>
        <v/>
      </c>
      <c r="L84" s="412" t="str">
        <f>IF(INDEX(設定!Q$9:Q$108,$A84,1)=0,"",ROUND(INDEX(設定!Q$9:Q$108,$A84,1),1))</f>
        <v/>
      </c>
      <c r="M84" s="413" t="str">
        <f>IF(INDEX(設定!R$9:R$108,$A84,1)=0,"",ROUND(INDEX(設定!R$9:R$108,$A84,1),1))</f>
        <v/>
      </c>
      <c r="N84" s="18"/>
      <c r="P84" s="19"/>
      <c r="Q84" s="19"/>
      <c r="S84" s="291" t="str">
        <f>IF(INDEX(設定!$F$9:$F$108,$A84,1)="","",VALUE(LEFT(INDEX(設定!$F$9:$F$108,$A84,1),1)))</f>
        <v/>
      </c>
      <c r="T84" s="187" t="str">
        <f>IF(C84="","",C84)</f>
        <v/>
      </c>
      <c r="U84" s="294" t="str">
        <f>IF(D84="","",IF(D84="1：男",1,IF(D84="2：女",2)))</f>
        <v/>
      </c>
      <c r="V84" s="295" t="str">
        <f>IF(E84="","",E84)</f>
        <v/>
      </c>
      <c r="W84" s="417">
        <f t="shared" si="94"/>
        <v>0</v>
      </c>
      <c r="X84" s="418" t="str">
        <f t="shared" si="95"/>
        <v/>
      </c>
      <c r="Y84" s="418">
        <f t="shared" si="96"/>
        <v>0</v>
      </c>
      <c r="Z84" s="418" t="str">
        <f t="shared" si="97"/>
        <v/>
      </c>
    </row>
    <row r="85" spans="1:26" ht="30" customHeight="1" x14ac:dyDescent="0.25">
      <c r="A85" s="135">
        <v>9</v>
      </c>
      <c r="C85" s="100" t="str">
        <f>IF(INDEX(設定!$C$9:$C$108,$A85,1)="","",INDEX(設定!$C$9:$C$108,$A85,1))</f>
        <v/>
      </c>
      <c r="D85" s="101" t="str">
        <f>IF(INDEX(設定!$D$9:$D$108,$A85,1)="","",INDEX(設定!$D$9:$D$108,$A85,1))</f>
        <v/>
      </c>
      <c r="E85" s="102" t="str">
        <f>IF(INDEX(設定!$E$9:$E$108,$A85,1)="","",INDEX(設定!$E$9:$E$108,$A85,1))</f>
        <v/>
      </c>
      <c r="F85" s="103" t="str">
        <f t="shared" si="98"/>
        <v/>
      </c>
      <c r="G85" s="412" t="str">
        <f>IF(INDEX(設定!L$9:L$108,$A85,1)=0,"",ROUND(INDEX(設定!L$9:L$108,$A85,1),1))</f>
        <v/>
      </c>
      <c r="H85" s="412" t="str">
        <f>IF(INDEX(設定!M$9:M$108,$A85,1)=0,"",ROUND(INDEX(設定!M$9:M$108,$A85,1),1))</f>
        <v/>
      </c>
      <c r="I85" s="412" t="str">
        <f>IF(INDEX(設定!N$9:N$108,$A85,1)=0,"",ROUND(INDEX(設定!N$9:N$108,$A85,1),1))</f>
        <v/>
      </c>
      <c r="J85" s="412" t="str">
        <f>IF(INDEX(設定!O$9:O$108,$A85,1)=0,"",ROUND(INDEX(設定!O$9:O$108,$A85,1),1))</f>
        <v/>
      </c>
      <c r="K85" s="412" t="str">
        <f>IF(INDEX(設定!P$9:P$108,$A85,1)=0,"",ROUND(INDEX(設定!P$9:P$108,$A85,1),1))</f>
        <v/>
      </c>
      <c r="L85" s="412" t="str">
        <f>IF(INDEX(設定!Q$9:Q$108,$A85,1)=0,"",ROUND(INDEX(設定!Q$9:Q$108,$A85,1),1))</f>
        <v/>
      </c>
      <c r="M85" s="413" t="str">
        <f>IF(INDEX(設定!R$9:R$108,$A85,1)=0,"",ROUND(INDEX(設定!R$9:R$108,$A85,1),1))</f>
        <v/>
      </c>
      <c r="N85" s="18"/>
      <c r="P85" s="19"/>
      <c r="Q85" s="19"/>
      <c r="S85" s="291" t="str">
        <f>IF(INDEX(設定!$F$9:$F$108,$A85,1)="","",VALUE(LEFT(INDEX(設定!$F$9:$F$108,$A85,1),1)))</f>
        <v/>
      </c>
      <c r="T85" s="202" t="str">
        <f>IF(C85="","",C85)</f>
        <v/>
      </c>
      <c r="U85" s="292" t="str">
        <f>IF(D85="","",IF(D85="1：男",1,IF(D85="2：女",2)))</f>
        <v/>
      </c>
      <c r="V85" s="293" t="str">
        <f>IF(E85="","",E85)</f>
        <v/>
      </c>
      <c r="W85" s="419">
        <f t="shared" si="94"/>
        <v>0</v>
      </c>
      <c r="X85" s="420" t="str">
        <f t="shared" si="95"/>
        <v/>
      </c>
      <c r="Y85" s="420">
        <f t="shared" si="96"/>
        <v>0</v>
      </c>
      <c r="Z85" s="420" t="str">
        <f t="shared" si="97"/>
        <v/>
      </c>
    </row>
    <row r="86" spans="1:26" ht="30" customHeight="1" x14ac:dyDescent="0.25">
      <c r="A86" s="135">
        <v>10</v>
      </c>
      <c r="C86" s="100" t="str">
        <f>IF(INDEX(設定!$C$9:$C$108,$A86,1)="","",INDEX(設定!$C$9:$C$108,$A86,1))</f>
        <v/>
      </c>
      <c r="D86" s="101" t="str">
        <f>IF(INDEX(設定!$D$9:$D$108,$A86,1)="","",INDEX(設定!$D$9:$D$108,$A86,1))</f>
        <v/>
      </c>
      <c r="E86" s="102" t="str">
        <f>IF(INDEX(設定!$E$9:$E$108,$A86,1)="","",INDEX(設定!$E$9:$E$108,$A86,1))</f>
        <v/>
      </c>
      <c r="F86" s="103" t="str">
        <f t="shared" si="98"/>
        <v/>
      </c>
      <c r="G86" s="412" t="str">
        <f>IF(INDEX(設定!L$9:L$108,$A86,1)=0,"",ROUND(INDEX(設定!L$9:L$108,$A86,1),1))</f>
        <v/>
      </c>
      <c r="H86" s="412" t="str">
        <f>IF(INDEX(設定!M$9:M$108,$A86,1)=0,"",ROUND(INDEX(設定!M$9:M$108,$A86,1),1))</f>
        <v/>
      </c>
      <c r="I86" s="412" t="str">
        <f>IF(INDEX(設定!N$9:N$108,$A86,1)=0,"",ROUND(INDEX(設定!N$9:N$108,$A86,1),1))</f>
        <v/>
      </c>
      <c r="J86" s="412" t="str">
        <f>IF(INDEX(設定!O$9:O$108,$A86,1)=0,"",ROUND(INDEX(設定!O$9:O$108,$A86,1),1))</f>
        <v/>
      </c>
      <c r="K86" s="412" t="str">
        <f>IF(INDEX(設定!P$9:P$108,$A86,1)=0,"",ROUND(INDEX(設定!P$9:P$108,$A86,1),1))</f>
        <v/>
      </c>
      <c r="L86" s="412" t="str">
        <f>IF(INDEX(設定!Q$9:Q$108,$A86,1)=0,"",ROUND(INDEX(設定!Q$9:Q$108,$A86,1),1))</f>
        <v/>
      </c>
      <c r="M86" s="413" t="str">
        <f>IF(INDEX(設定!R$9:R$108,$A86,1)=0,"",ROUND(INDEX(設定!R$9:R$108,$A86,1),1))</f>
        <v/>
      </c>
      <c r="N86" s="18"/>
      <c r="P86" s="19"/>
      <c r="Q86" s="19"/>
      <c r="S86" s="291" t="str">
        <f>IF(INDEX(設定!$F$9:$F$108,$A86,1)="","",VALUE(LEFT(INDEX(設定!$F$9:$F$108,$A86,1),1)))</f>
        <v/>
      </c>
      <c r="T86" s="202" t="str">
        <f t="shared" ref="T86:T89" si="102">IF(C86="","",C86)</f>
        <v/>
      </c>
      <c r="U86" s="292" t="str">
        <f t="shared" ref="U86:U89" si="103">IF(D86="","",IF(D86="1：男",1,IF(D86="2：女",2)))</f>
        <v/>
      </c>
      <c r="V86" s="293" t="str">
        <f t="shared" ref="V86:V89" si="104">IF(E86="","",E86)</f>
        <v/>
      </c>
      <c r="W86" s="419">
        <f t="shared" si="94"/>
        <v>0</v>
      </c>
      <c r="X86" s="420" t="str">
        <f t="shared" si="95"/>
        <v/>
      </c>
      <c r="Y86" s="420">
        <f t="shared" si="96"/>
        <v>0</v>
      </c>
      <c r="Z86" s="420" t="str">
        <f t="shared" si="97"/>
        <v/>
      </c>
    </row>
    <row r="87" spans="1:26" ht="30" customHeight="1" x14ac:dyDescent="0.25">
      <c r="A87" s="135">
        <v>11</v>
      </c>
      <c r="C87" s="100" t="str">
        <f>IF(INDEX(設定!$C$9:$C$108,$A87,1)="","",INDEX(設定!$C$9:$C$108,$A87,1))</f>
        <v/>
      </c>
      <c r="D87" s="101" t="str">
        <f>IF(INDEX(設定!$D$9:$D$108,$A87,1)="","",INDEX(設定!$D$9:$D$108,$A87,1))</f>
        <v/>
      </c>
      <c r="E87" s="102" t="str">
        <f>IF(INDEX(設定!$E$9:$E$108,$A87,1)="","",INDEX(設定!$E$9:$E$108,$A87,1))</f>
        <v/>
      </c>
      <c r="F87" s="103" t="str">
        <f t="shared" si="98"/>
        <v/>
      </c>
      <c r="G87" s="412" t="str">
        <f>IF(INDEX(設定!L$9:L$108,$A87,1)=0,"",ROUND(INDEX(設定!L$9:L$108,$A87,1),1))</f>
        <v/>
      </c>
      <c r="H87" s="412" t="str">
        <f>IF(INDEX(設定!M$9:M$108,$A87,1)=0,"",ROUND(INDEX(設定!M$9:M$108,$A87,1),1))</f>
        <v/>
      </c>
      <c r="I87" s="412" t="str">
        <f>IF(INDEX(設定!N$9:N$108,$A87,1)=0,"",ROUND(INDEX(設定!N$9:N$108,$A87,1),1))</f>
        <v/>
      </c>
      <c r="J87" s="412" t="str">
        <f>IF(INDEX(設定!O$9:O$108,$A87,1)=0,"",ROUND(INDEX(設定!O$9:O$108,$A87,1),1))</f>
        <v/>
      </c>
      <c r="K87" s="412" t="str">
        <f>IF(INDEX(設定!P$9:P$108,$A87,1)=0,"",ROUND(INDEX(設定!P$9:P$108,$A87,1),1))</f>
        <v/>
      </c>
      <c r="L87" s="412" t="str">
        <f>IF(INDEX(設定!Q$9:Q$108,$A87,1)=0,"",ROUND(INDEX(設定!Q$9:Q$108,$A87,1),1))</f>
        <v/>
      </c>
      <c r="M87" s="413" t="str">
        <f>IF(INDEX(設定!R$9:R$108,$A87,1)=0,"",ROUND(INDEX(設定!R$9:R$108,$A87,1),1))</f>
        <v/>
      </c>
      <c r="N87" s="18"/>
      <c r="P87" s="19"/>
      <c r="Q87" s="19"/>
      <c r="S87" s="291" t="str">
        <f>IF(INDEX(設定!$F$9:$F$108,$A87,1)="","",VALUE(LEFT(INDEX(設定!$F$9:$F$108,$A87,1),1)))</f>
        <v/>
      </c>
      <c r="T87" s="202" t="str">
        <f t="shared" si="102"/>
        <v/>
      </c>
      <c r="U87" s="292" t="str">
        <f t="shared" si="103"/>
        <v/>
      </c>
      <c r="V87" s="293" t="str">
        <f t="shared" si="104"/>
        <v/>
      </c>
      <c r="W87" s="419">
        <f t="shared" si="94"/>
        <v>0</v>
      </c>
      <c r="X87" s="420" t="str">
        <f t="shared" si="95"/>
        <v/>
      </c>
      <c r="Y87" s="420">
        <f t="shared" si="96"/>
        <v>0</v>
      </c>
      <c r="Z87" s="420" t="str">
        <f t="shared" si="97"/>
        <v/>
      </c>
    </row>
    <row r="88" spans="1:26" ht="30" customHeight="1" x14ac:dyDescent="0.25">
      <c r="A88" s="135">
        <v>12</v>
      </c>
      <c r="C88" s="100" t="str">
        <f>IF(INDEX(設定!$C$9:$C$108,$A88,1)="","",INDEX(設定!$C$9:$C$108,$A88,1))</f>
        <v/>
      </c>
      <c r="D88" s="101" t="str">
        <f>IF(INDEX(設定!$D$9:$D$108,$A88,1)="","",INDEX(設定!$D$9:$D$108,$A88,1))</f>
        <v/>
      </c>
      <c r="E88" s="102" t="str">
        <f>IF(INDEX(設定!$E$9:$E$108,$A88,1)="","",INDEX(設定!$E$9:$E$108,$A88,1))</f>
        <v/>
      </c>
      <c r="F88" s="103" t="str">
        <f t="shared" si="98"/>
        <v/>
      </c>
      <c r="G88" s="412" t="str">
        <f>IF(INDEX(設定!L$9:L$108,$A88,1)=0,"",ROUND(INDEX(設定!L$9:L$108,$A88,1),1))</f>
        <v/>
      </c>
      <c r="H88" s="412" t="str">
        <f>IF(INDEX(設定!M$9:M$108,$A88,1)=0,"",ROUND(INDEX(設定!M$9:M$108,$A88,1),1))</f>
        <v/>
      </c>
      <c r="I88" s="412" t="str">
        <f>IF(INDEX(設定!N$9:N$108,$A88,1)=0,"",ROUND(INDEX(設定!N$9:N$108,$A88,1),1))</f>
        <v/>
      </c>
      <c r="J88" s="412" t="str">
        <f>IF(INDEX(設定!O$9:O$108,$A88,1)=0,"",ROUND(INDEX(設定!O$9:O$108,$A88,1),1))</f>
        <v/>
      </c>
      <c r="K88" s="412" t="str">
        <f>IF(INDEX(設定!P$9:P$108,$A88,1)=0,"",ROUND(INDEX(設定!P$9:P$108,$A88,1),1))</f>
        <v/>
      </c>
      <c r="L88" s="412" t="str">
        <f>IF(INDEX(設定!Q$9:Q$108,$A88,1)=0,"",ROUND(INDEX(設定!Q$9:Q$108,$A88,1),1))</f>
        <v/>
      </c>
      <c r="M88" s="413" t="str">
        <f>IF(INDEX(設定!R$9:R$108,$A88,1)=0,"",ROUND(INDEX(設定!R$9:R$108,$A88,1),1))</f>
        <v/>
      </c>
      <c r="N88" s="18"/>
      <c r="P88" s="19"/>
      <c r="Q88" s="19"/>
      <c r="S88" s="291" t="str">
        <f>IF(INDEX(設定!$F$9:$F$108,$A88,1)="","",VALUE(LEFT(INDEX(設定!$F$9:$F$108,$A88,1),1)))</f>
        <v/>
      </c>
      <c r="T88" s="202" t="str">
        <f t="shared" si="102"/>
        <v/>
      </c>
      <c r="U88" s="292" t="str">
        <f t="shared" si="103"/>
        <v/>
      </c>
      <c r="V88" s="293" t="str">
        <f t="shared" si="104"/>
        <v/>
      </c>
      <c r="W88" s="419">
        <f t="shared" si="94"/>
        <v>0</v>
      </c>
      <c r="X88" s="420" t="str">
        <f t="shared" si="95"/>
        <v/>
      </c>
      <c r="Y88" s="420">
        <f t="shared" si="96"/>
        <v>0</v>
      </c>
      <c r="Z88" s="420" t="str">
        <f t="shared" si="97"/>
        <v/>
      </c>
    </row>
    <row r="89" spans="1:26" ht="30" customHeight="1" x14ac:dyDescent="0.25">
      <c r="A89" s="135">
        <v>13</v>
      </c>
      <c r="C89" s="100" t="str">
        <f>IF(INDEX(設定!$C$9:$C$108,$A89,1)="","",INDEX(設定!$C$9:$C$108,$A89,1))</f>
        <v/>
      </c>
      <c r="D89" s="101" t="str">
        <f>IF(INDEX(設定!$D$9:$D$108,$A89,1)="","",INDEX(設定!$D$9:$D$108,$A89,1))</f>
        <v/>
      </c>
      <c r="E89" s="102" t="str">
        <f>IF(INDEX(設定!$E$9:$E$108,$A89,1)="","",INDEX(設定!$E$9:$E$108,$A89,1))</f>
        <v/>
      </c>
      <c r="F89" s="103" t="str">
        <f t="shared" si="98"/>
        <v/>
      </c>
      <c r="G89" s="412" t="str">
        <f>IF(INDEX(設定!L$9:L$108,$A89,1)=0,"",ROUND(INDEX(設定!L$9:L$108,$A89,1),1))</f>
        <v/>
      </c>
      <c r="H89" s="412" t="str">
        <f>IF(INDEX(設定!M$9:M$108,$A89,1)=0,"",ROUND(INDEX(設定!M$9:M$108,$A89,1),1))</f>
        <v/>
      </c>
      <c r="I89" s="412" t="str">
        <f>IF(INDEX(設定!N$9:N$108,$A89,1)=0,"",ROUND(INDEX(設定!N$9:N$108,$A89,1),1))</f>
        <v/>
      </c>
      <c r="J89" s="412" t="str">
        <f>IF(INDEX(設定!O$9:O$108,$A89,1)=0,"",ROUND(INDEX(設定!O$9:O$108,$A89,1),1))</f>
        <v/>
      </c>
      <c r="K89" s="412" t="str">
        <f>IF(INDEX(設定!P$9:P$108,$A89,1)=0,"",ROUND(INDEX(設定!P$9:P$108,$A89,1),1))</f>
        <v/>
      </c>
      <c r="L89" s="412" t="str">
        <f>IF(INDEX(設定!Q$9:Q$108,$A89,1)=0,"",ROUND(INDEX(設定!Q$9:Q$108,$A89,1),1))</f>
        <v/>
      </c>
      <c r="M89" s="413" t="str">
        <f>IF(INDEX(設定!R$9:R$108,$A89,1)=0,"",ROUND(INDEX(設定!R$9:R$108,$A89,1),1))</f>
        <v/>
      </c>
      <c r="N89" s="18"/>
      <c r="P89" s="19"/>
      <c r="Q89" s="19"/>
      <c r="S89" s="291" t="str">
        <f>IF(INDEX(設定!$F$9:$F$108,$A89,1)="","",VALUE(LEFT(INDEX(設定!$F$9:$F$108,$A89,1),1)))</f>
        <v/>
      </c>
      <c r="T89" s="202" t="str">
        <f t="shared" si="102"/>
        <v/>
      </c>
      <c r="U89" s="292" t="str">
        <f t="shared" si="103"/>
        <v/>
      </c>
      <c r="V89" s="293" t="str">
        <f t="shared" si="104"/>
        <v/>
      </c>
      <c r="W89" s="419">
        <f t="shared" si="94"/>
        <v>0</v>
      </c>
      <c r="X89" s="420" t="str">
        <f t="shared" si="95"/>
        <v/>
      </c>
      <c r="Y89" s="420">
        <f t="shared" si="96"/>
        <v>0</v>
      </c>
      <c r="Z89" s="420" t="str">
        <f t="shared" si="97"/>
        <v/>
      </c>
    </row>
    <row r="90" spans="1:26" ht="30" customHeight="1" x14ac:dyDescent="0.25">
      <c r="A90" s="135">
        <v>14</v>
      </c>
      <c r="C90" s="100" t="str">
        <f>IF(INDEX(設定!$C$9:$C$108,$A90,1)="","",INDEX(設定!$C$9:$C$108,$A90,1))</f>
        <v/>
      </c>
      <c r="D90" s="101" t="str">
        <f>IF(INDEX(設定!$D$9:$D$108,$A90,1)="","",INDEX(設定!$D$9:$D$108,$A90,1))</f>
        <v/>
      </c>
      <c r="E90" s="102" t="str">
        <f>IF(INDEX(設定!$E$9:$E$108,$A90,1)="","",INDEX(設定!$E$9:$E$108,$A90,1))</f>
        <v/>
      </c>
      <c r="F90" s="103" t="str">
        <f t="shared" si="98"/>
        <v/>
      </c>
      <c r="G90" s="412" t="str">
        <f>IF(INDEX(設定!L$9:L$108,$A90,1)=0,"",ROUND(INDEX(設定!L$9:L$108,$A90,1),1))</f>
        <v/>
      </c>
      <c r="H90" s="412" t="str">
        <f>IF(INDEX(設定!M$9:M$108,$A90,1)=0,"",ROUND(INDEX(設定!M$9:M$108,$A90,1),1))</f>
        <v/>
      </c>
      <c r="I90" s="412" t="str">
        <f>IF(INDEX(設定!N$9:N$108,$A90,1)=0,"",ROUND(INDEX(設定!N$9:N$108,$A90,1),1))</f>
        <v/>
      </c>
      <c r="J90" s="412" t="str">
        <f>IF(INDEX(設定!O$9:O$108,$A90,1)=0,"",ROUND(INDEX(設定!O$9:O$108,$A90,1),1))</f>
        <v/>
      </c>
      <c r="K90" s="412" t="str">
        <f>IF(INDEX(設定!P$9:P$108,$A90,1)=0,"",ROUND(INDEX(設定!P$9:P$108,$A90,1),1))</f>
        <v/>
      </c>
      <c r="L90" s="412" t="str">
        <f>IF(INDEX(設定!Q$9:Q$108,$A90,1)=0,"",ROUND(INDEX(設定!Q$9:Q$108,$A90,1),1))</f>
        <v/>
      </c>
      <c r="M90" s="413" t="str">
        <f>IF(INDEX(設定!R$9:R$108,$A90,1)=0,"",ROUND(INDEX(設定!R$9:R$108,$A90,1),1))</f>
        <v/>
      </c>
      <c r="N90" s="18"/>
      <c r="P90" s="19"/>
      <c r="Q90" s="19"/>
      <c r="S90" s="291" t="str">
        <f>IF(INDEX(設定!$F$9:$F$108,$A90,1)="","",VALUE(LEFT(INDEX(設定!$F$9:$F$108,$A90,1),1)))</f>
        <v/>
      </c>
      <c r="T90" s="202" t="str">
        <f>IF(C90="","",C90)</f>
        <v/>
      </c>
      <c r="U90" s="292" t="str">
        <f>IF(D90="","",IF(D90="1：男",1,IF(D90="2：女",2)))</f>
        <v/>
      </c>
      <c r="V90" s="293" t="str">
        <f>IF(E90="","",E90)</f>
        <v/>
      </c>
      <c r="W90" s="419">
        <f t="shared" si="94"/>
        <v>0</v>
      </c>
      <c r="X90" s="420" t="str">
        <f t="shared" si="95"/>
        <v/>
      </c>
      <c r="Y90" s="420">
        <f t="shared" si="96"/>
        <v>0</v>
      </c>
      <c r="Z90" s="420" t="str">
        <f t="shared" si="97"/>
        <v/>
      </c>
    </row>
    <row r="91" spans="1:26" ht="30" customHeight="1" x14ac:dyDescent="0.25">
      <c r="A91" s="135">
        <v>15</v>
      </c>
      <c r="C91" s="100" t="str">
        <f>IF(INDEX(設定!$C$9:$C$108,$A91,1)="","",INDEX(設定!$C$9:$C$108,$A91,1))</f>
        <v/>
      </c>
      <c r="D91" s="101" t="str">
        <f>IF(INDEX(設定!$D$9:$D$108,$A91,1)="","",INDEX(設定!$D$9:$D$108,$A91,1))</f>
        <v/>
      </c>
      <c r="E91" s="102" t="str">
        <f>IF(INDEX(設定!$E$9:$E$108,$A91,1)="","",INDEX(設定!$E$9:$E$108,$A91,1))</f>
        <v/>
      </c>
      <c r="F91" s="103" t="str">
        <f t="shared" si="98"/>
        <v/>
      </c>
      <c r="G91" s="412" t="str">
        <f>IF(INDEX(設定!L$9:L$108,$A91,1)=0,"",ROUND(INDEX(設定!L$9:L$108,$A91,1),1))</f>
        <v/>
      </c>
      <c r="H91" s="412" t="str">
        <f>IF(INDEX(設定!M$9:M$108,$A91,1)=0,"",ROUND(INDEX(設定!M$9:M$108,$A91,1),1))</f>
        <v/>
      </c>
      <c r="I91" s="412" t="str">
        <f>IF(INDEX(設定!N$9:N$108,$A91,1)=0,"",ROUND(INDEX(設定!N$9:N$108,$A91,1),1))</f>
        <v/>
      </c>
      <c r="J91" s="412" t="str">
        <f>IF(INDEX(設定!O$9:O$108,$A91,1)=0,"",ROUND(INDEX(設定!O$9:O$108,$A91,1),1))</f>
        <v/>
      </c>
      <c r="K91" s="412" t="str">
        <f>IF(INDEX(設定!P$9:P$108,$A91,1)=0,"",ROUND(INDEX(設定!P$9:P$108,$A91,1),1))</f>
        <v/>
      </c>
      <c r="L91" s="412" t="str">
        <f>IF(INDEX(設定!Q$9:Q$108,$A91,1)=0,"",ROUND(INDEX(設定!Q$9:Q$108,$A91,1),1))</f>
        <v/>
      </c>
      <c r="M91" s="413" t="str">
        <f>IF(INDEX(設定!R$9:R$108,$A91,1)=0,"",ROUND(INDEX(設定!R$9:R$108,$A91,1),1))</f>
        <v/>
      </c>
      <c r="N91" s="18"/>
      <c r="P91" s="19"/>
      <c r="Q91" s="19"/>
      <c r="S91" s="291" t="str">
        <f>IF(INDEX(設定!$F$9:$F$108,$A91,1)="","",VALUE(LEFT(INDEX(設定!$F$9:$F$108,$A91,1),1)))</f>
        <v/>
      </c>
      <c r="T91" s="202" t="str">
        <f>IF(C91="","",C91)</f>
        <v/>
      </c>
      <c r="U91" s="292" t="str">
        <f>IF(D91="","",IF(D91="1：男",1,IF(D91="2：女",2)))</f>
        <v/>
      </c>
      <c r="V91" s="293" t="str">
        <f>IF(E91="","",E91)</f>
        <v/>
      </c>
      <c r="W91" s="419">
        <f t="shared" si="94"/>
        <v>0</v>
      </c>
      <c r="X91" s="420" t="str">
        <f t="shared" si="95"/>
        <v/>
      </c>
      <c r="Y91" s="420">
        <f t="shared" si="96"/>
        <v>0</v>
      </c>
      <c r="Z91" s="420" t="str">
        <f t="shared" si="97"/>
        <v/>
      </c>
    </row>
    <row r="92" spans="1:26" ht="30" customHeight="1" x14ac:dyDescent="0.25">
      <c r="A92" s="135">
        <v>16</v>
      </c>
      <c r="C92" s="100" t="str">
        <f>IF(INDEX(設定!$C$9:$C$108,$A92,1)="","",INDEX(設定!$C$9:$C$108,$A92,1))</f>
        <v/>
      </c>
      <c r="D92" s="101" t="str">
        <f>IF(INDEX(設定!$D$9:$D$108,$A92,1)="","",INDEX(設定!$D$9:$D$108,$A92,1))</f>
        <v/>
      </c>
      <c r="E92" s="102" t="str">
        <f>IF(INDEX(設定!$E$9:$E$108,$A92,1)="","",INDEX(設定!$E$9:$E$108,$A92,1))</f>
        <v/>
      </c>
      <c r="F92" s="103" t="str">
        <f t="shared" si="98"/>
        <v/>
      </c>
      <c r="G92" s="412" t="str">
        <f>IF(INDEX(設定!L$9:L$108,$A92,1)=0,"",ROUND(INDEX(設定!L$9:L$108,$A92,1),1))</f>
        <v/>
      </c>
      <c r="H92" s="412" t="str">
        <f>IF(INDEX(設定!M$9:M$108,$A92,1)=0,"",ROUND(INDEX(設定!M$9:M$108,$A92,1),1))</f>
        <v/>
      </c>
      <c r="I92" s="412" t="str">
        <f>IF(INDEX(設定!N$9:N$108,$A92,1)=0,"",ROUND(INDEX(設定!N$9:N$108,$A92,1),1))</f>
        <v/>
      </c>
      <c r="J92" s="412" t="str">
        <f>IF(INDEX(設定!O$9:O$108,$A92,1)=0,"",ROUND(INDEX(設定!O$9:O$108,$A92,1),1))</f>
        <v/>
      </c>
      <c r="K92" s="412" t="str">
        <f>IF(INDEX(設定!P$9:P$108,$A92,1)=0,"",ROUND(INDEX(設定!P$9:P$108,$A92,1),1))</f>
        <v/>
      </c>
      <c r="L92" s="412" t="str">
        <f>IF(INDEX(設定!Q$9:Q$108,$A92,1)=0,"",ROUND(INDEX(設定!Q$9:Q$108,$A92,1),1))</f>
        <v/>
      </c>
      <c r="M92" s="413" t="str">
        <f>IF(INDEX(設定!R$9:R$108,$A92,1)=0,"",ROUND(INDEX(設定!R$9:R$108,$A92,1),1))</f>
        <v/>
      </c>
      <c r="N92" s="18"/>
      <c r="P92" s="19"/>
      <c r="Q92" s="19"/>
      <c r="S92" s="291" t="str">
        <f>IF(INDEX(設定!$F$9:$F$108,$A92,1)="","",VALUE(LEFT(INDEX(設定!$F$9:$F$108,$A92,1),1)))</f>
        <v/>
      </c>
      <c r="T92" s="202" t="str">
        <f t="shared" ref="T92:T95" si="105">IF(C92="","",C92)</f>
        <v/>
      </c>
      <c r="U92" s="292" t="str">
        <f t="shared" ref="U92:U95" si="106">IF(D92="","",IF(D92="1：男",1,IF(D92="2：女",2)))</f>
        <v/>
      </c>
      <c r="V92" s="293" t="str">
        <f t="shared" ref="V92:V95" si="107">IF(E92="","",E92)</f>
        <v/>
      </c>
      <c r="W92" s="419">
        <f t="shared" si="94"/>
        <v>0</v>
      </c>
      <c r="X92" s="420" t="str">
        <f t="shared" si="95"/>
        <v/>
      </c>
      <c r="Y92" s="420">
        <f t="shared" si="96"/>
        <v>0</v>
      </c>
      <c r="Z92" s="420" t="str">
        <f t="shared" si="97"/>
        <v/>
      </c>
    </row>
    <row r="93" spans="1:26" ht="30" customHeight="1" x14ac:dyDescent="0.25">
      <c r="A93" s="135">
        <v>17</v>
      </c>
      <c r="C93" s="100" t="str">
        <f>IF(INDEX(設定!$C$9:$C$108,$A93,1)="","",INDEX(設定!$C$9:$C$108,$A93,1))</f>
        <v/>
      </c>
      <c r="D93" s="101" t="str">
        <f>IF(INDEX(設定!$D$9:$D$108,$A93,1)="","",INDEX(設定!$D$9:$D$108,$A93,1))</f>
        <v/>
      </c>
      <c r="E93" s="102" t="str">
        <f>IF(INDEX(設定!$E$9:$E$108,$A93,1)="","",INDEX(設定!$E$9:$E$108,$A93,1))</f>
        <v/>
      </c>
      <c r="F93" s="103" t="str">
        <f t="shared" si="98"/>
        <v/>
      </c>
      <c r="G93" s="412" t="str">
        <f>IF(INDEX(設定!L$9:L$108,$A93,1)=0,"",ROUND(INDEX(設定!L$9:L$108,$A93,1),1))</f>
        <v/>
      </c>
      <c r="H93" s="412" t="str">
        <f>IF(INDEX(設定!M$9:M$108,$A93,1)=0,"",ROUND(INDEX(設定!M$9:M$108,$A93,1),1))</f>
        <v/>
      </c>
      <c r="I93" s="412" t="str">
        <f>IF(INDEX(設定!N$9:N$108,$A93,1)=0,"",ROUND(INDEX(設定!N$9:N$108,$A93,1),1))</f>
        <v/>
      </c>
      <c r="J93" s="412" t="str">
        <f>IF(INDEX(設定!O$9:O$108,$A93,1)=0,"",ROUND(INDEX(設定!O$9:O$108,$A93,1),1))</f>
        <v/>
      </c>
      <c r="K93" s="412" t="str">
        <f>IF(INDEX(設定!P$9:P$108,$A93,1)=0,"",ROUND(INDEX(設定!P$9:P$108,$A93,1),1))</f>
        <v/>
      </c>
      <c r="L93" s="412" t="str">
        <f>IF(INDEX(設定!Q$9:Q$108,$A93,1)=0,"",ROUND(INDEX(設定!Q$9:Q$108,$A93,1),1))</f>
        <v/>
      </c>
      <c r="M93" s="413" t="str">
        <f>IF(INDEX(設定!R$9:R$108,$A93,1)=0,"",ROUND(INDEX(設定!R$9:R$108,$A93,1),1))</f>
        <v/>
      </c>
      <c r="N93" s="18"/>
      <c r="P93" s="19"/>
      <c r="Q93" s="19"/>
      <c r="S93" s="291" t="str">
        <f>IF(INDEX(設定!$F$9:$F$108,$A93,1)="","",VALUE(LEFT(INDEX(設定!$F$9:$F$108,$A93,1),1)))</f>
        <v/>
      </c>
      <c r="T93" s="202" t="str">
        <f t="shared" si="105"/>
        <v/>
      </c>
      <c r="U93" s="292" t="str">
        <f t="shared" si="106"/>
        <v/>
      </c>
      <c r="V93" s="293" t="str">
        <f t="shared" si="107"/>
        <v/>
      </c>
      <c r="W93" s="419">
        <f t="shared" si="94"/>
        <v>0</v>
      </c>
      <c r="X93" s="420" t="str">
        <f t="shared" si="95"/>
        <v/>
      </c>
      <c r="Y93" s="420">
        <f t="shared" si="96"/>
        <v>0</v>
      </c>
      <c r="Z93" s="420" t="str">
        <f t="shared" si="97"/>
        <v/>
      </c>
    </row>
    <row r="94" spans="1:26" ht="30" customHeight="1" x14ac:dyDescent="0.25">
      <c r="A94" s="135">
        <v>18</v>
      </c>
      <c r="C94" s="100" t="str">
        <f>IF(INDEX(設定!$C$9:$C$108,$A94,1)="","",INDEX(設定!$C$9:$C$108,$A94,1))</f>
        <v/>
      </c>
      <c r="D94" s="101" t="str">
        <f>IF(INDEX(設定!$D$9:$D$108,$A94,1)="","",INDEX(設定!$D$9:$D$108,$A94,1))</f>
        <v/>
      </c>
      <c r="E94" s="102" t="str">
        <f>IF(INDEX(設定!$E$9:$E$108,$A94,1)="","",INDEX(設定!$E$9:$E$108,$A94,1))</f>
        <v/>
      </c>
      <c r="F94" s="103" t="str">
        <f t="shared" si="98"/>
        <v/>
      </c>
      <c r="G94" s="412" t="str">
        <f>IF(INDEX(設定!L$9:L$108,$A94,1)=0,"",ROUND(INDEX(設定!L$9:L$108,$A94,1),1))</f>
        <v/>
      </c>
      <c r="H94" s="412" t="str">
        <f>IF(INDEX(設定!M$9:M$108,$A94,1)=0,"",ROUND(INDEX(設定!M$9:M$108,$A94,1),1))</f>
        <v/>
      </c>
      <c r="I94" s="412" t="str">
        <f>IF(INDEX(設定!N$9:N$108,$A94,1)=0,"",ROUND(INDEX(設定!N$9:N$108,$A94,1),1))</f>
        <v/>
      </c>
      <c r="J94" s="412" t="str">
        <f>IF(INDEX(設定!O$9:O$108,$A94,1)=0,"",ROUND(INDEX(設定!O$9:O$108,$A94,1),1))</f>
        <v/>
      </c>
      <c r="K94" s="412" t="str">
        <f>IF(INDEX(設定!P$9:P$108,$A94,1)=0,"",ROUND(INDEX(設定!P$9:P$108,$A94,1),1))</f>
        <v/>
      </c>
      <c r="L94" s="412" t="str">
        <f>IF(INDEX(設定!Q$9:Q$108,$A94,1)=0,"",ROUND(INDEX(設定!Q$9:Q$108,$A94,1),1))</f>
        <v/>
      </c>
      <c r="M94" s="413" t="str">
        <f>IF(INDEX(設定!R$9:R$108,$A94,1)=0,"",ROUND(INDEX(設定!R$9:R$108,$A94,1),1))</f>
        <v/>
      </c>
      <c r="N94" s="18"/>
      <c r="P94" s="19"/>
      <c r="Q94" s="19"/>
      <c r="S94" s="291" t="str">
        <f>IF(INDEX(設定!$F$9:$F$108,$A94,1)="","",VALUE(LEFT(INDEX(設定!$F$9:$F$108,$A94,1),1)))</f>
        <v/>
      </c>
      <c r="T94" s="202" t="str">
        <f t="shared" si="105"/>
        <v/>
      </c>
      <c r="U94" s="292" t="str">
        <f t="shared" si="106"/>
        <v/>
      </c>
      <c r="V94" s="293" t="str">
        <f t="shared" si="107"/>
        <v/>
      </c>
      <c r="W94" s="419">
        <f t="shared" si="94"/>
        <v>0</v>
      </c>
      <c r="X94" s="420" t="str">
        <f t="shared" si="95"/>
        <v/>
      </c>
      <c r="Y94" s="420">
        <f t="shared" si="96"/>
        <v>0</v>
      </c>
      <c r="Z94" s="420" t="str">
        <f t="shared" si="97"/>
        <v/>
      </c>
    </row>
    <row r="95" spans="1:26" ht="30" customHeight="1" x14ac:dyDescent="0.25">
      <c r="A95" s="135">
        <v>19</v>
      </c>
      <c r="C95" s="100" t="str">
        <f>IF(INDEX(設定!$C$9:$C$108,$A95,1)="","",INDEX(設定!$C$9:$C$108,$A95,1))</f>
        <v/>
      </c>
      <c r="D95" s="101" t="str">
        <f>IF(INDEX(設定!$D$9:$D$108,$A95,1)="","",INDEX(設定!$D$9:$D$108,$A95,1))</f>
        <v/>
      </c>
      <c r="E95" s="102" t="str">
        <f>IF(INDEX(設定!$E$9:$E$108,$A95,1)="","",INDEX(設定!$E$9:$E$108,$A95,1))</f>
        <v/>
      </c>
      <c r="F95" s="103" t="str">
        <f t="shared" si="98"/>
        <v/>
      </c>
      <c r="G95" s="412" t="str">
        <f>IF(INDEX(設定!L$9:L$108,$A95,1)=0,"",ROUND(INDEX(設定!L$9:L$108,$A95,1),1))</f>
        <v/>
      </c>
      <c r="H95" s="412" t="str">
        <f>IF(INDEX(設定!M$9:M$108,$A95,1)=0,"",ROUND(INDEX(設定!M$9:M$108,$A95,1),1))</f>
        <v/>
      </c>
      <c r="I95" s="412" t="str">
        <f>IF(INDEX(設定!N$9:N$108,$A95,1)=0,"",ROUND(INDEX(設定!N$9:N$108,$A95,1),1))</f>
        <v/>
      </c>
      <c r="J95" s="412" t="str">
        <f>IF(INDEX(設定!O$9:O$108,$A95,1)=0,"",ROUND(INDEX(設定!O$9:O$108,$A95,1),1))</f>
        <v/>
      </c>
      <c r="K95" s="412" t="str">
        <f>IF(INDEX(設定!P$9:P$108,$A95,1)=0,"",ROUND(INDEX(設定!P$9:P$108,$A95,1),1))</f>
        <v/>
      </c>
      <c r="L95" s="412" t="str">
        <f>IF(INDEX(設定!Q$9:Q$108,$A95,1)=0,"",ROUND(INDEX(設定!Q$9:Q$108,$A95,1),1))</f>
        <v/>
      </c>
      <c r="M95" s="413" t="str">
        <f>IF(INDEX(設定!R$9:R$108,$A95,1)=0,"",ROUND(INDEX(設定!R$9:R$108,$A95,1),1))</f>
        <v/>
      </c>
      <c r="N95" s="18"/>
      <c r="P95" s="19"/>
      <c r="Q95" s="19"/>
      <c r="S95" s="291" t="str">
        <f>IF(INDEX(設定!$F$9:$F$108,$A95,1)="","",VALUE(LEFT(INDEX(設定!$F$9:$F$108,$A95,1),1)))</f>
        <v/>
      </c>
      <c r="T95" s="202" t="str">
        <f t="shared" si="105"/>
        <v/>
      </c>
      <c r="U95" s="292" t="str">
        <f t="shared" si="106"/>
        <v/>
      </c>
      <c r="V95" s="293" t="str">
        <f t="shared" si="107"/>
        <v/>
      </c>
      <c r="W95" s="419">
        <f t="shared" si="94"/>
        <v>0</v>
      </c>
      <c r="X95" s="420" t="str">
        <f t="shared" si="95"/>
        <v/>
      </c>
      <c r="Y95" s="420">
        <f t="shared" si="96"/>
        <v>0</v>
      </c>
      <c r="Z95" s="420" t="str">
        <f t="shared" si="97"/>
        <v/>
      </c>
    </row>
    <row r="96" spans="1:26" ht="30" customHeight="1" x14ac:dyDescent="0.25">
      <c r="A96" s="135">
        <v>20</v>
      </c>
      <c r="C96" s="100" t="str">
        <f>IF(INDEX(設定!$C$9:$C$108,$A96,1)="","",INDEX(設定!$C$9:$C$108,$A96,1))</f>
        <v/>
      </c>
      <c r="D96" s="101" t="str">
        <f>IF(INDEX(設定!$D$9:$D$108,$A96,1)="","",INDEX(設定!$D$9:$D$108,$A96,1))</f>
        <v/>
      </c>
      <c r="E96" s="102" t="str">
        <f>IF(INDEX(設定!$E$9:$E$108,$A96,1)="","",INDEX(設定!$E$9:$E$108,$A96,1))</f>
        <v/>
      </c>
      <c r="F96" s="103" t="str">
        <f t="shared" si="98"/>
        <v/>
      </c>
      <c r="G96" s="412" t="str">
        <f>IF(INDEX(設定!L$9:L$108,$A96,1)=0,"",ROUND(INDEX(設定!L$9:L$108,$A96,1),1))</f>
        <v/>
      </c>
      <c r="H96" s="412" t="str">
        <f>IF(INDEX(設定!M$9:M$108,$A96,1)=0,"",ROUND(INDEX(設定!M$9:M$108,$A96,1),1))</f>
        <v/>
      </c>
      <c r="I96" s="412" t="str">
        <f>IF(INDEX(設定!N$9:N$108,$A96,1)=0,"",ROUND(INDEX(設定!N$9:N$108,$A96,1),1))</f>
        <v/>
      </c>
      <c r="J96" s="412" t="str">
        <f>IF(INDEX(設定!O$9:O$108,$A96,1)=0,"",ROUND(INDEX(設定!O$9:O$108,$A96,1),1))</f>
        <v/>
      </c>
      <c r="K96" s="412" t="str">
        <f>IF(INDEX(設定!P$9:P$108,$A96,1)=0,"",ROUND(INDEX(設定!P$9:P$108,$A96,1),1))</f>
        <v/>
      </c>
      <c r="L96" s="412" t="str">
        <f>IF(INDEX(設定!Q$9:Q$108,$A96,1)=0,"",ROUND(INDEX(設定!Q$9:Q$108,$A96,1),1))</f>
        <v/>
      </c>
      <c r="M96" s="413" t="str">
        <f>IF(INDEX(設定!R$9:R$108,$A96,1)=0,"",ROUND(INDEX(設定!R$9:R$108,$A96,1),1))</f>
        <v/>
      </c>
      <c r="N96" s="18"/>
      <c r="P96" s="19"/>
      <c r="Q96" s="19"/>
      <c r="S96" s="291" t="str">
        <f>IF(INDEX(設定!$F$9:$F$108,$A96,1)="","",VALUE(LEFT(INDEX(設定!$F$9:$F$108,$A96,1),1)))</f>
        <v/>
      </c>
      <c r="T96" s="202" t="str">
        <f>IF(C96="","",C96)</f>
        <v/>
      </c>
      <c r="U96" s="292" t="str">
        <f>IF(D96="","",IF(D96="1：男",1,IF(D96="2：女",2)))</f>
        <v/>
      </c>
      <c r="V96" s="293" t="str">
        <f>IF(E96="","",E96)</f>
        <v/>
      </c>
      <c r="W96" s="419">
        <f t="shared" si="94"/>
        <v>0</v>
      </c>
      <c r="X96" s="420" t="str">
        <f t="shared" si="95"/>
        <v/>
      </c>
      <c r="Y96" s="420">
        <f t="shared" si="96"/>
        <v>0</v>
      </c>
      <c r="Z96" s="420" t="str">
        <f t="shared" si="97"/>
        <v/>
      </c>
    </row>
    <row r="97" spans="1:26" ht="30" customHeight="1" x14ac:dyDescent="0.25">
      <c r="A97" s="135">
        <v>21</v>
      </c>
      <c r="C97" s="100" t="str">
        <f>IF(INDEX(設定!$C$9:$C$108,$A97,1)="","",INDEX(設定!$C$9:$C$108,$A97,1))</f>
        <v/>
      </c>
      <c r="D97" s="101" t="str">
        <f>IF(INDEX(設定!$D$9:$D$108,$A97,1)="","",INDEX(設定!$D$9:$D$108,$A97,1))</f>
        <v/>
      </c>
      <c r="E97" s="102" t="str">
        <f>IF(INDEX(設定!$E$9:$E$108,$A97,1)="","",INDEX(設定!$E$9:$E$108,$A97,1))</f>
        <v/>
      </c>
      <c r="F97" s="103" t="str">
        <f t="shared" si="98"/>
        <v/>
      </c>
      <c r="G97" s="412" t="str">
        <f>IF(INDEX(設定!L$9:L$108,$A97,1)=0,"",ROUND(INDEX(設定!L$9:L$108,$A97,1),1))</f>
        <v/>
      </c>
      <c r="H97" s="412" t="str">
        <f>IF(INDEX(設定!M$9:M$108,$A97,1)=0,"",ROUND(INDEX(設定!M$9:M$108,$A97,1),1))</f>
        <v/>
      </c>
      <c r="I97" s="412" t="str">
        <f>IF(INDEX(設定!N$9:N$108,$A97,1)=0,"",ROUND(INDEX(設定!N$9:N$108,$A97,1),1))</f>
        <v/>
      </c>
      <c r="J97" s="412" t="str">
        <f>IF(INDEX(設定!O$9:O$108,$A97,1)=0,"",ROUND(INDEX(設定!O$9:O$108,$A97,1),1))</f>
        <v/>
      </c>
      <c r="K97" s="412" t="str">
        <f>IF(INDEX(設定!P$9:P$108,$A97,1)=0,"",ROUND(INDEX(設定!P$9:P$108,$A97,1),1))</f>
        <v/>
      </c>
      <c r="L97" s="412" t="str">
        <f>IF(INDEX(設定!Q$9:Q$108,$A97,1)=0,"",ROUND(INDEX(設定!Q$9:Q$108,$A97,1),1))</f>
        <v/>
      </c>
      <c r="M97" s="413" t="str">
        <f>IF(INDEX(設定!R$9:R$108,$A97,1)=0,"",ROUND(INDEX(設定!R$9:R$108,$A97,1),1))</f>
        <v/>
      </c>
      <c r="N97" s="18"/>
      <c r="P97" s="19"/>
      <c r="Q97" s="19"/>
      <c r="S97" s="291" t="str">
        <f>IF(INDEX(設定!$F$9:$F$108,$A97,1)="","",VALUE(LEFT(INDEX(設定!$F$9:$F$108,$A97,1),1)))</f>
        <v/>
      </c>
      <c r="T97" s="202" t="str">
        <f>IF(C97="","",C97)</f>
        <v/>
      </c>
      <c r="U97" s="292" t="str">
        <f>IF(D97="","",IF(D97="1：男",1,IF(D97="2：女",2)))</f>
        <v/>
      </c>
      <c r="V97" s="293" t="str">
        <f>IF(E97="","",E97)</f>
        <v/>
      </c>
      <c r="W97" s="419">
        <f t="shared" si="94"/>
        <v>0</v>
      </c>
      <c r="X97" s="420" t="str">
        <f t="shared" si="95"/>
        <v/>
      </c>
      <c r="Y97" s="420">
        <f t="shared" si="96"/>
        <v>0</v>
      </c>
      <c r="Z97" s="420" t="str">
        <f t="shared" si="97"/>
        <v/>
      </c>
    </row>
    <row r="98" spans="1:26" ht="30" customHeight="1" x14ac:dyDescent="0.25">
      <c r="A98" s="135">
        <v>22</v>
      </c>
      <c r="C98" s="100" t="str">
        <f>IF(INDEX(設定!$C$9:$C$108,$A98,1)="","",INDEX(設定!$C$9:$C$108,$A98,1))</f>
        <v/>
      </c>
      <c r="D98" s="101" t="str">
        <f>IF(INDEX(設定!$D$9:$D$108,$A98,1)="","",INDEX(設定!$D$9:$D$108,$A98,1))</f>
        <v/>
      </c>
      <c r="E98" s="102" t="str">
        <f>IF(INDEX(設定!$E$9:$E$108,$A98,1)="","",INDEX(設定!$E$9:$E$108,$A98,1))</f>
        <v/>
      </c>
      <c r="F98" s="103" t="str">
        <f t="shared" si="98"/>
        <v/>
      </c>
      <c r="G98" s="412" t="str">
        <f>IF(INDEX(設定!L$9:L$108,$A98,1)=0,"",ROUND(INDEX(設定!L$9:L$108,$A98,1),1))</f>
        <v/>
      </c>
      <c r="H98" s="412" t="str">
        <f>IF(INDEX(設定!M$9:M$108,$A98,1)=0,"",ROUND(INDEX(設定!M$9:M$108,$A98,1),1))</f>
        <v/>
      </c>
      <c r="I98" s="412" t="str">
        <f>IF(INDEX(設定!N$9:N$108,$A98,1)=0,"",ROUND(INDEX(設定!N$9:N$108,$A98,1),1))</f>
        <v/>
      </c>
      <c r="J98" s="412" t="str">
        <f>IF(INDEX(設定!O$9:O$108,$A98,1)=0,"",ROUND(INDEX(設定!O$9:O$108,$A98,1),1))</f>
        <v/>
      </c>
      <c r="K98" s="412" t="str">
        <f>IF(INDEX(設定!P$9:P$108,$A98,1)=0,"",ROUND(INDEX(設定!P$9:P$108,$A98,1),1))</f>
        <v/>
      </c>
      <c r="L98" s="412" t="str">
        <f>IF(INDEX(設定!Q$9:Q$108,$A98,1)=0,"",ROUND(INDEX(設定!Q$9:Q$108,$A98,1),1))</f>
        <v/>
      </c>
      <c r="M98" s="413" t="str">
        <f>IF(INDEX(設定!R$9:R$108,$A98,1)=0,"",ROUND(INDEX(設定!R$9:R$108,$A98,1),1))</f>
        <v/>
      </c>
      <c r="N98" s="18"/>
      <c r="P98" s="19"/>
      <c r="Q98" s="19"/>
      <c r="S98" s="291" t="str">
        <f>IF(INDEX(設定!$F$9:$F$108,$A98,1)="","",VALUE(LEFT(INDEX(設定!$F$9:$F$108,$A98,1),1)))</f>
        <v/>
      </c>
      <c r="T98" s="202" t="str">
        <f t="shared" ref="T98:T99" si="108">IF(C98="","",C98)</f>
        <v/>
      </c>
      <c r="U98" s="292" t="str">
        <f t="shared" ref="U98:U99" si="109">IF(D98="","",IF(D98="1：男",1,IF(D98="2：女",2)))</f>
        <v/>
      </c>
      <c r="V98" s="293" t="str">
        <f t="shared" ref="V98:V99" si="110">IF(E98="","",E98)</f>
        <v/>
      </c>
      <c r="W98" s="419">
        <f t="shared" si="94"/>
        <v>0</v>
      </c>
      <c r="X98" s="420" t="str">
        <f t="shared" si="95"/>
        <v/>
      </c>
      <c r="Y98" s="420">
        <f t="shared" si="96"/>
        <v>0</v>
      </c>
      <c r="Z98" s="420" t="str">
        <f t="shared" si="97"/>
        <v/>
      </c>
    </row>
    <row r="99" spans="1:26" ht="30" customHeight="1" x14ac:dyDescent="0.25">
      <c r="A99" s="135">
        <v>23</v>
      </c>
      <c r="C99" s="100" t="str">
        <f>IF(INDEX(設定!$C$9:$C$108,$A99,1)="","",INDEX(設定!$C$9:$C$108,$A99,1))</f>
        <v/>
      </c>
      <c r="D99" s="101" t="str">
        <f>IF(INDEX(設定!$D$9:$D$108,$A99,1)="","",INDEX(設定!$D$9:$D$108,$A99,1))</f>
        <v/>
      </c>
      <c r="E99" s="102" t="str">
        <f>IF(INDEX(設定!$E$9:$E$108,$A99,1)="","",INDEX(設定!$E$9:$E$108,$A99,1))</f>
        <v/>
      </c>
      <c r="F99" s="103" t="str">
        <f t="shared" si="98"/>
        <v/>
      </c>
      <c r="G99" s="412" t="str">
        <f>IF(INDEX(設定!L$9:L$108,$A99,1)=0,"",ROUND(INDEX(設定!L$9:L$108,$A99,1),1))</f>
        <v/>
      </c>
      <c r="H99" s="412" t="str">
        <f>IF(INDEX(設定!M$9:M$108,$A99,1)=0,"",ROUND(INDEX(設定!M$9:M$108,$A99,1),1))</f>
        <v/>
      </c>
      <c r="I99" s="412" t="str">
        <f>IF(INDEX(設定!N$9:N$108,$A99,1)=0,"",ROUND(INDEX(設定!N$9:N$108,$A99,1),1))</f>
        <v/>
      </c>
      <c r="J99" s="412" t="str">
        <f>IF(INDEX(設定!O$9:O$108,$A99,1)=0,"",ROUND(INDEX(設定!O$9:O$108,$A99,1),1))</f>
        <v/>
      </c>
      <c r="K99" s="412" t="str">
        <f>IF(INDEX(設定!P$9:P$108,$A99,1)=0,"",ROUND(INDEX(設定!P$9:P$108,$A99,1),1))</f>
        <v/>
      </c>
      <c r="L99" s="412" t="str">
        <f>IF(INDEX(設定!Q$9:Q$108,$A99,1)=0,"",ROUND(INDEX(設定!Q$9:Q$108,$A99,1),1))</f>
        <v/>
      </c>
      <c r="M99" s="413" t="str">
        <f>IF(INDEX(設定!R$9:R$108,$A99,1)=0,"",ROUND(INDEX(設定!R$9:R$108,$A99,1),1))</f>
        <v/>
      </c>
      <c r="N99" s="18"/>
      <c r="P99" s="19"/>
      <c r="Q99" s="19"/>
      <c r="S99" s="291" t="str">
        <f>IF(INDEX(設定!$F$9:$F$108,$A99,1)="","",VALUE(LEFT(INDEX(設定!$F$9:$F$108,$A99,1),1)))</f>
        <v/>
      </c>
      <c r="T99" s="202" t="str">
        <f t="shared" si="108"/>
        <v/>
      </c>
      <c r="U99" s="292" t="str">
        <f t="shared" si="109"/>
        <v/>
      </c>
      <c r="V99" s="293" t="str">
        <f t="shared" si="110"/>
        <v/>
      </c>
      <c r="W99" s="419">
        <f t="shared" si="94"/>
        <v>0</v>
      </c>
      <c r="X99" s="420" t="str">
        <f t="shared" si="95"/>
        <v/>
      </c>
      <c r="Y99" s="420">
        <f t="shared" si="96"/>
        <v>0</v>
      </c>
      <c r="Z99" s="420" t="str">
        <f t="shared" si="97"/>
        <v/>
      </c>
    </row>
    <row r="100" spans="1:26" ht="30" customHeight="1" x14ac:dyDescent="0.25">
      <c r="A100" s="135">
        <v>24</v>
      </c>
      <c r="C100" s="100" t="str">
        <f>IF(INDEX(設定!$C$9:$C$108,$A100,1)="","",INDEX(設定!$C$9:$C$108,$A100,1))</f>
        <v/>
      </c>
      <c r="D100" s="101" t="str">
        <f>IF(INDEX(設定!$D$9:$D$108,$A100,1)="","",INDEX(設定!$D$9:$D$108,$A100,1))</f>
        <v/>
      </c>
      <c r="E100" s="102" t="str">
        <f>IF(INDEX(設定!$E$9:$E$108,$A100,1)="","",INDEX(設定!$E$9:$E$108,$A100,1))</f>
        <v/>
      </c>
      <c r="F100" s="103" t="str">
        <f t="shared" si="98"/>
        <v/>
      </c>
      <c r="G100" s="412" t="str">
        <f>IF(INDEX(設定!L$9:L$108,$A100,1)=0,"",ROUND(INDEX(設定!L$9:L$108,$A100,1),1))</f>
        <v/>
      </c>
      <c r="H100" s="412" t="str">
        <f>IF(INDEX(設定!M$9:M$108,$A100,1)=0,"",ROUND(INDEX(設定!M$9:M$108,$A100,1),1))</f>
        <v/>
      </c>
      <c r="I100" s="412" t="str">
        <f>IF(INDEX(設定!N$9:N$108,$A100,1)=0,"",ROUND(INDEX(設定!N$9:N$108,$A100,1),1))</f>
        <v/>
      </c>
      <c r="J100" s="412" t="str">
        <f>IF(INDEX(設定!O$9:O$108,$A100,1)=0,"",ROUND(INDEX(設定!O$9:O$108,$A100,1),1))</f>
        <v/>
      </c>
      <c r="K100" s="412" t="str">
        <f>IF(INDEX(設定!P$9:P$108,$A100,1)=0,"",ROUND(INDEX(設定!P$9:P$108,$A100,1),1))</f>
        <v/>
      </c>
      <c r="L100" s="412" t="str">
        <f>IF(INDEX(設定!Q$9:Q$108,$A100,1)=0,"",ROUND(INDEX(設定!Q$9:Q$108,$A100,1),1))</f>
        <v/>
      </c>
      <c r="M100" s="413" t="str">
        <f>IF(INDEX(設定!R$9:R$108,$A100,1)=0,"",ROUND(INDEX(設定!R$9:R$108,$A100,1),1))</f>
        <v/>
      </c>
      <c r="N100" s="18"/>
      <c r="P100" s="19"/>
      <c r="Q100" s="19"/>
      <c r="S100" s="291" t="str">
        <f>IF(INDEX(設定!$F$9:$F$108,$A100,1)="","",VALUE(LEFT(INDEX(設定!$F$9:$F$108,$A100,1),1)))</f>
        <v/>
      </c>
      <c r="T100" s="202" t="str">
        <f>IF(C100="","",C100)</f>
        <v/>
      </c>
      <c r="U100" s="292" t="str">
        <f>IF(D100="","",IF(D100="1：男",1,IF(D100="2：女",2)))</f>
        <v/>
      </c>
      <c r="V100" s="293" t="str">
        <f>IF(E100="","",E100)</f>
        <v/>
      </c>
      <c r="W100" s="419">
        <f t="shared" si="94"/>
        <v>0</v>
      </c>
      <c r="X100" s="420" t="str">
        <f t="shared" si="95"/>
        <v/>
      </c>
      <c r="Y100" s="420">
        <f t="shared" si="96"/>
        <v>0</v>
      </c>
      <c r="Z100" s="420" t="str">
        <f t="shared" si="97"/>
        <v/>
      </c>
    </row>
    <row r="101" spans="1:26" ht="30" customHeight="1" x14ac:dyDescent="0.25">
      <c r="A101" s="135">
        <v>25</v>
      </c>
      <c r="C101" s="100" t="str">
        <f>IF(INDEX(設定!$C$9:$C$108,$A101,1)="","",INDEX(設定!$C$9:$C$108,$A101,1))</f>
        <v/>
      </c>
      <c r="D101" s="101" t="str">
        <f>IF(INDEX(設定!$D$9:$D$108,$A101,1)="","",INDEX(設定!$D$9:$D$108,$A101,1))</f>
        <v/>
      </c>
      <c r="E101" s="102" t="str">
        <f>IF(INDEX(設定!$E$9:$E$108,$A101,1)="","",INDEX(設定!$E$9:$E$108,$A101,1))</f>
        <v/>
      </c>
      <c r="F101" s="103" t="str">
        <f t="shared" si="98"/>
        <v/>
      </c>
      <c r="G101" s="412" t="str">
        <f>IF(INDEX(設定!L$9:L$108,$A101,1)=0,"",ROUND(INDEX(設定!L$9:L$108,$A101,1),1))</f>
        <v/>
      </c>
      <c r="H101" s="412" t="str">
        <f>IF(INDEX(設定!M$9:M$108,$A101,1)=0,"",ROUND(INDEX(設定!M$9:M$108,$A101,1),1))</f>
        <v/>
      </c>
      <c r="I101" s="412" t="str">
        <f>IF(INDEX(設定!N$9:N$108,$A101,1)=0,"",ROUND(INDEX(設定!N$9:N$108,$A101,1),1))</f>
        <v/>
      </c>
      <c r="J101" s="412" t="str">
        <f>IF(INDEX(設定!O$9:O$108,$A101,1)=0,"",ROUND(INDEX(設定!O$9:O$108,$A101,1),1))</f>
        <v/>
      </c>
      <c r="K101" s="412" t="str">
        <f>IF(INDEX(設定!P$9:P$108,$A101,1)=0,"",ROUND(INDEX(設定!P$9:P$108,$A101,1),1))</f>
        <v/>
      </c>
      <c r="L101" s="412" t="str">
        <f>IF(INDEX(設定!Q$9:Q$108,$A101,1)=0,"",ROUND(INDEX(設定!Q$9:Q$108,$A101,1),1))</f>
        <v/>
      </c>
      <c r="M101" s="413" t="str">
        <f>IF(INDEX(設定!R$9:R$108,$A101,1)=0,"",ROUND(INDEX(設定!R$9:R$108,$A101,1),1))</f>
        <v/>
      </c>
      <c r="N101" s="18"/>
      <c r="P101" s="19"/>
      <c r="Q101" s="19"/>
      <c r="S101" s="291" t="str">
        <f>IF(INDEX(設定!$F$9:$F$108,$A101,1)="","",VALUE(LEFT(INDEX(設定!$F$9:$F$108,$A101,1),1)))</f>
        <v/>
      </c>
      <c r="T101" s="202" t="str">
        <f>IF(C101="","",C101)</f>
        <v/>
      </c>
      <c r="U101" s="292" t="str">
        <f>IF(D101="","",IF(D101="1：男",1,IF(D101="2：女",2)))</f>
        <v/>
      </c>
      <c r="V101" s="293" t="str">
        <f>IF(E101="","",E101)</f>
        <v/>
      </c>
      <c r="W101" s="419">
        <f t="shared" si="94"/>
        <v>0</v>
      </c>
      <c r="X101" s="420" t="str">
        <f t="shared" si="95"/>
        <v/>
      </c>
      <c r="Y101" s="420">
        <f t="shared" si="96"/>
        <v>0</v>
      </c>
      <c r="Z101" s="420" t="str">
        <f t="shared" si="97"/>
        <v/>
      </c>
    </row>
    <row r="102" spans="1:26" ht="30" customHeight="1" x14ac:dyDescent="0.25">
      <c r="A102" s="135">
        <v>26</v>
      </c>
      <c r="C102" s="100" t="str">
        <f>IF(INDEX(設定!$C$9:$C$108,$A102,1)="","",INDEX(設定!$C$9:$C$108,$A102,1))</f>
        <v/>
      </c>
      <c r="D102" s="101" t="str">
        <f>IF(INDEX(設定!$D$9:$D$108,$A102,1)="","",INDEX(設定!$D$9:$D$108,$A102,1))</f>
        <v/>
      </c>
      <c r="E102" s="102" t="str">
        <f>IF(INDEX(設定!$E$9:$E$108,$A102,1)="","",INDEX(設定!$E$9:$E$108,$A102,1))</f>
        <v/>
      </c>
      <c r="F102" s="103" t="str">
        <f t="shared" si="98"/>
        <v/>
      </c>
      <c r="G102" s="412" t="str">
        <f>IF(INDEX(設定!L$9:L$108,$A102,1)=0,"",ROUND(INDEX(設定!L$9:L$108,$A102,1),1))</f>
        <v/>
      </c>
      <c r="H102" s="412" t="str">
        <f>IF(INDEX(設定!M$9:M$108,$A102,1)=0,"",ROUND(INDEX(設定!M$9:M$108,$A102,1),1))</f>
        <v/>
      </c>
      <c r="I102" s="412" t="str">
        <f>IF(INDEX(設定!N$9:N$108,$A102,1)=0,"",ROUND(INDEX(設定!N$9:N$108,$A102,1),1))</f>
        <v/>
      </c>
      <c r="J102" s="412" t="str">
        <f>IF(INDEX(設定!O$9:O$108,$A102,1)=0,"",ROUND(INDEX(設定!O$9:O$108,$A102,1),1))</f>
        <v/>
      </c>
      <c r="K102" s="412" t="str">
        <f>IF(INDEX(設定!P$9:P$108,$A102,1)=0,"",ROUND(INDEX(設定!P$9:P$108,$A102,1),1))</f>
        <v/>
      </c>
      <c r="L102" s="412" t="str">
        <f>IF(INDEX(設定!Q$9:Q$108,$A102,1)=0,"",ROUND(INDEX(設定!Q$9:Q$108,$A102,1),1))</f>
        <v/>
      </c>
      <c r="M102" s="413" t="str">
        <f>IF(INDEX(設定!R$9:R$108,$A102,1)=0,"",ROUND(INDEX(設定!R$9:R$108,$A102,1),1))</f>
        <v/>
      </c>
      <c r="N102" s="18"/>
      <c r="P102" s="19"/>
      <c r="Q102" s="19"/>
      <c r="S102" s="291" t="str">
        <f>IF(INDEX(設定!$F$9:$F$108,$A102,1)="","",VALUE(LEFT(INDEX(設定!$F$9:$F$108,$A102,1),1)))</f>
        <v/>
      </c>
      <c r="T102" s="202" t="str">
        <f t="shared" ref="T102:T106" si="111">IF(C102="","",C102)</f>
        <v/>
      </c>
      <c r="U102" s="292" t="str">
        <f t="shared" ref="U102:U106" si="112">IF(D102="","",IF(D102="1：男",1,IF(D102="2：女",2)))</f>
        <v/>
      </c>
      <c r="V102" s="293" t="str">
        <f t="shared" ref="V102:V106" si="113">IF(E102="","",E102)</f>
        <v/>
      </c>
      <c r="W102" s="419">
        <f t="shared" si="94"/>
        <v>0</v>
      </c>
      <c r="X102" s="420" t="str">
        <f t="shared" si="95"/>
        <v/>
      </c>
      <c r="Y102" s="420">
        <f t="shared" si="96"/>
        <v>0</v>
      </c>
      <c r="Z102" s="420" t="str">
        <f t="shared" si="97"/>
        <v/>
      </c>
    </row>
    <row r="103" spans="1:26" ht="30" customHeight="1" x14ac:dyDescent="0.25">
      <c r="A103" s="135">
        <v>27</v>
      </c>
      <c r="C103" s="100" t="str">
        <f>IF(INDEX(設定!$C$9:$C$108,$A103,1)="","",INDEX(設定!$C$9:$C$108,$A103,1))</f>
        <v/>
      </c>
      <c r="D103" s="101" t="str">
        <f>IF(INDEX(設定!$D$9:$D$108,$A103,1)="","",INDEX(設定!$D$9:$D$108,$A103,1))</f>
        <v/>
      </c>
      <c r="E103" s="102" t="str">
        <f>IF(INDEX(設定!$E$9:$E$108,$A103,1)="","",INDEX(設定!$E$9:$E$108,$A103,1))</f>
        <v/>
      </c>
      <c r="F103" s="103" t="str">
        <f t="shared" si="98"/>
        <v/>
      </c>
      <c r="G103" s="412" t="str">
        <f>IF(INDEX(設定!L$9:L$108,$A103,1)=0,"",ROUND(INDEX(設定!L$9:L$108,$A103,1),1))</f>
        <v/>
      </c>
      <c r="H103" s="412" t="str">
        <f>IF(INDEX(設定!M$9:M$108,$A103,1)=0,"",ROUND(INDEX(設定!M$9:M$108,$A103,1),1))</f>
        <v/>
      </c>
      <c r="I103" s="412" t="str">
        <f>IF(INDEX(設定!N$9:N$108,$A103,1)=0,"",ROUND(INDEX(設定!N$9:N$108,$A103,1),1))</f>
        <v/>
      </c>
      <c r="J103" s="412" t="str">
        <f>IF(INDEX(設定!O$9:O$108,$A103,1)=0,"",ROUND(INDEX(設定!O$9:O$108,$A103,1),1))</f>
        <v/>
      </c>
      <c r="K103" s="412" t="str">
        <f>IF(INDEX(設定!P$9:P$108,$A103,1)=0,"",ROUND(INDEX(設定!P$9:P$108,$A103,1),1))</f>
        <v/>
      </c>
      <c r="L103" s="412" t="str">
        <f>IF(INDEX(設定!Q$9:Q$108,$A103,1)=0,"",ROUND(INDEX(設定!Q$9:Q$108,$A103,1),1))</f>
        <v/>
      </c>
      <c r="M103" s="413" t="str">
        <f>IF(INDEX(設定!R$9:R$108,$A103,1)=0,"",ROUND(INDEX(設定!R$9:R$108,$A103,1),1))</f>
        <v/>
      </c>
      <c r="N103" s="18"/>
      <c r="P103" s="19"/>
      <c r="Q103" s="19"/>
      <c r="S103" s="291" t="str">
        <f>IF(INDEX(設定!$F$9:$F$108,$A103,1)="","",VALUE(LEFT(INDEX(設定!$F$9:$F$108,$A103,1),1)))</f>
        <v/>
      </c>
      <c r="T103" s="202" t="str">
        <f t="shared" si="111"/>
        <v/>
      </c>
      <c r="U103" s="292" t="str">
        <f t="shared" si="112"/>
        <v/>
      </c>
      <c r="V103" s="293" t="str">
        <f t="shared" si="113"/>
        <v/>
      </c>
      <c r="W103" s="419">
        <f t="shared" si="94"/>
        <v>0</v>
      </c>
      <c r="X103" s="420" t="str">
        <f t="shared" si="95"/>
        <v/>
      </c>
      <c r="Y103" s="420">
        <f t="shared" si="96"/>
        <v>0</v>
      </c>
      <c r="Z103" s="420" t="str">
        <f t="shared" si="97"/>
        <v/>
      </c>
    </row>
    <row r="104" spans="1:26" ht="30" customHeight="1" x14ac:dyDescent="0.25">
      <c r="A104" s="135">
        <v>28</v>
      </c>
      <c r="C104" s="100" t="str">
        <f>IF(INDEX(設定!$C$9:$C$108,$A104,1)="","",INDEX(設定!$C$9:$C$108,$A104,1))</f>
        <v/>
      </c>
      <c r="D104" s="101" t="str">
        <f>IF(INDEX(設定!$D$9:$D$108,$A104,1)="","",INDEX(設定!$D$9:$D$108,$A104,1))</f>
        <v/>
      </c>
      <c r="E104" s="102" t="str">
        <f>IF(INDEX(設定!$E$9:$E$108,$A104,1)="","",INDEX(設定!$E$9:$E$108,$A104,1))</f>
        <v/>
      </c>
      <c r="F104" s="103" t="str">
        <f t="shared" si="98"/>
        <v/>
      </c>
      <c r="G104" s="412" t="str">
        <f>IF(INDEX(設定!L$9:L$108,$A104,1)=0,"",ROUND(INDEX(設定!L$9:L$108,$A104,1),1))</f>
        <v/>
      </c>
      <c r="H104" s="412" t="str">
        <f>IF(INDEX(設定!M$9:M$108,$A104,1)=0,"",ROUND(INDEX(設定!M$9:M$108,$A104,1),1))</f>
        <v/>
      </c>
      <c r="I104" s="412" t="str">
        <f>IF(INDEX(設定!N$9:N$108,$A104,1)=0,"",ROUND(INDEX(設定!N$9:N$108,$A104,1),1))</f>
        <v/>
      </c>
      <c r="J104" s="412" t="str">
        <f>IF(INDEX(設定!O$9:O$108,$A104,1)=0,"",ROUND(INDEX(設定!O$9:O$108,$A104,1),1))</f>
        <v/>
      </c>
      <c r="K104" s="412" t="str">
        <f>IF(INDEX(設定!P$9:P$108,$A104,1)=0,"",ROUND(INDEX(設定!P$9:P$108,$A104,1),1))</f>
        <v/>
      </c>
      <c r="L104" s="412" t="str">
        <f>IF(INDEX(設定!Q$9:Q$108,$A104,1)=0,"",ROUND(INDEX(設定!Q$9:Q$108,$A104,1),1))</f>
        <v/>
      </c>
      <c r="M104" s="413" t="str">
        <f>IF(INDEX(設定!R$9:R$108,$A104,1)=0,"",ROUND(INDEX(設定!R$9:R$108,$A104,1),1))</f>
        <v/>
      </c>
      <c r="N104" s="18"/>
      <c r="P104" s="19"/>
      <c r="Q104" s="19"/>
      <c r="S104" s="291" t="str">
        <f>IF(INDEX(設定!$F$9:$F$108,$A104,1)="","",VALUE(LEFT(INDEX(設定!$F$9:$F$108,$A104,1),1)))</f>
        <v/>
      </c>
      <c r="T104" s="202" t="str">
        <f t="shared" si="111"/>
        <v/>
      </c>
      <c r="U104" s="292" t="str">
        <f t="shared" si="112"/>
        <v/>
      </c>
      <c r="V104" s="293" t="str">
        <f t="shared" si="113"/>
        <v/>
      </c>
      <c r="W104" s="419">
        <f t="shared" si="94"/>
        <v>0</v>
      </c>
      <c r="X104" s="420" t="str">
        <f t="shared" si="95"/>
        <v/>
      </c>
      <c r="Y104" s="420">
        <f t="shared" si="96"/>
        <v>0</v>
      </c>
      <c r="Z104" s="420" t="str">
        <f t="shared" si="97"/>
        <v/>
      </c>
    </row>
    <row r="105" spans="1:26" ht="30" customHeight="1" x14ac:dyDescent="0.25">
      <c r="A105" s="135">
        <v>29</v>
      </c>
      <c r="C105" s="100" t="str">
        <f>IF(INDEX(設定!$C$9:$C$108,$A105,1)="","",INDEX(設定!$C$9:$C$108,$A105,1))</f>
        <v/>
      </c>
      <c r="D105" s="101" t="str">
        <f>IF(INDEX(設定!$D$9:$D$108,$A105,1)="","",INDEX(設定!$D$9:$D$108,$A105,1))</f>
        <v/>
      </c>
      <c r="E105" s="102" t="str">
        <f>IF(INDEX(設定!$E$9:$E$108,$A105,1)="","",INDEX(設定!$E$9:$E$108,$A105,1))</f>
        <v/>
      </c>
      <c r="F105" s="103" t="str">
        <f t="shared" si="98"/>
        <v/>
      </c>
      <c r="G105" s="412" t="str">
        <f>IF(INDEX(設定!L$9:L$108,$A105,1)=0,"",ROUND(INDEX(設定!L$9:L$108,$A105,1),1))</f>
        <v/>
      </c>
      <c r="H105" s="412" t="str">
        <f>IF(INDEX(設定!M$9:M$108,$A105,1)=0,"",ROUND(INDEX(設定!M$9:M$108,$A105,1),1))</f>
        <v/>
      </c>
      <c r="I105" s="412" t="str">
        <f>IF(INDEX(設定!N$9:N$108,$A105,1)=0,"",ROUND(INDEX(設定!N$9:N$108,$A105,1),1))</f>
        <v/>
      </c>
      <c r="J105" s="412" t="str">
        <f>IF(INDEX(設定!O$9:O$108,$A105,1)=0,"",ROUND(INDEX(設定!O$9:O$108,$A105,1),1))</f>
        <v/>
      </c>
      <c r="K105" s="412" t="str">
        <f>IF(INDEX(設定!P$9:P$108,$A105,1)=0,"",ROUND(INDEX(設定!P$9:P$108,$A105,1),1))</f>
        <v/>
      </c>
      <c r="L105" s="412" t="str">
        <f>IF(INDEX(設定!Q$9:Q$108,$A105,1)=0,"",ROUND(INDEX(設定!Q$9:Q$108,$A105,1),1))</f>
        <v/>
      </c>
      <c r="M105" s="413" t="str">
        <f>IF(INDEX(設定!R$9:R$108,$A105,1)=0,"",ROUND(INDEX(設定!R$9:R$108,$A105,1),1))</f>
        <v/>
      </c>
      <c r="N105" s="18"/>
      <c r="P105" s="19"/>
      <c r="Q105" s="19"/>
      <c r="S105" s="291" t="str">
        <f>IF(INDEX(設定!$F$9:$F$108,$A105,1)="","",VALUE(LEFT(INDEX(設定!$F$9:$F$108,$A105,1),1)))</f>
        <v/>
      </c>
      <c r="T105" s="202" t="str">
        <f t="shared" si="111"/>
        <v/>
      </c>
      <c r="U105" s="292" t="str">
        <f t="shared" si="112"/>
        <v/>
      </c>
      <c r="V105" s="293" t="str">
        <f t="shared" si="113"/>
        <v/>
      </c>
      <c r="W105" s="419">
        <f t="shared" si="94"/>
        <v>0</v>
      </c>
      <c r="X105" s="420" t="str">
        <f t="shared" si="95"/>
        <v/>
      </c>
      <c r="Y105" s="420">
        <f t="shared" si="96"/>
        <v>0</v>
      </c>
      <c r="Z105" s="420" t="str">
        <f t="shared" si="97"/>
        <v/>
      </c>
    </row>
    <row r="106" spans="1:26" ht="30" customHeight="1" thickBot="1" x14ac:dyDescent="0.3">
      <c r="A106" s="135">
        <v>30</v>
      </c>
      <c r="C106" s="104" t="str">
        <f>IF(INDEX(設定!$C$9:$C$108,$A106,1)="","",INDEX(設定!$C$9:$C$108,$A106,1))</f>
        <v/>
      </c>
      <c r="D106" s="150" t="str">
        <f>IF(INDEX(設定!$D$9:$D$108,$A106,1)="","",INDEX(設定!$D$9:$D$108,$A106,1))</f>
        <v/>
      </c>
      <c r="E106" s="151" t="str">
        <f>IF(INDEX(設定!$E$9:$E$108,$A106,1)="","",INDEX(設定!$E$9:$E$108,$A106,1))</f>
        <v/>
      </c>
      <c r="F106" s="152" t="str">
        <f t="shared" si="98"/>
        <v/>
      </c>
      <c r="G106" s="415" t="str">
        <f>IF(INDEX(設定!L$9:L$108,$A106,1)=0,"",ROUND(INDEX(設定!L$9:L$108,$A106,1),1))</f>
        <v/>
      </c>
      <c r="H106" s="415" t="str">
        <f>IF(INDEX(設定!M$9:M$108,$A106,1)=0,"",ROUND(INDEX(設定!M$9:M$108,$A106,1),1))</f>
        <v/>
      </c>
      <c r="I106" s="415" t="str">
        <f>IF(INDEX(設定!N$9:N$108,$A106,1)=0,"",ROUND(INDEX(設定!N$9:N$108,$A106,1),1))</f>
        <v/>
      </c>
      <c r="J106" s="415" t="str">
        <f>IF(INDEX(設定!O$9:O$108,$A106,1)=0,"",ROUND(INDEX(設定!O$9:O$108,$A106,1),1))</f>
        <v/>
      </c>
      <c r="K106" s="415" t="str">
        <f>IF(INDEX(設定!P$9:P$108,$A106,1)=0,"",ROUND(INDEX(設定!P$9:P$108,$A106,1),1))</f>
        <v/>
      </c>
      <c r="L106" s="415" t="str">
        <f>IF(INDEX(設定!Q$9:Q$108,$A106,1)=0,"",ROUND(INDEX(設定!Q$9:Q$108,$A106,1),1))</f>
        <v/>
      </c>
      <c r="M106" s="416" t="str">
        <f>IF(INDEX(設定!R$9:R$108,$A106,1)=0,"",ROUND(INDEX(設定!R$9:R$108,$A106,1),1))</f>
        <v/>
      </c>
      <c r="N106" s="18"/>
      <c r="P106" s="19"/>
      <c r="Q106" s="19"/>
      <c r="S106" s="296" t="str">
        <f>IF(INDEX(設定!$F$9:$F$108,$A106,1)="","",VALUE(LEFT(INDEX(設定!$F$9:$F$108,$A106,1),1)))</f>
        <v/>
      </c>
      <c r="T106" s="187" t="str">
        <f t="shared" si="111"/>
        <v/>
      </c>
      <c r="U106" s="294" t="str">
        <f t="shared" si="112"/>
        <v/>
      </c>
      <c r="V106" s="297" t="str">
        <f t="shared" si="113"/>
        <v/>
      </c>
      <c r="W106" s="419">
        <f t="shared" si="94"/>
        <v>0</v>
      </c>
      <c r="X106" s="420" t="str">
        <f t="shared" si="95"/>
        <v/>
      </c>
      <c r="Y106" s="420">
        <f t="shared" si="96"/>
        <v>0</v>
      </c>
      <c r="Z106" s="420" t="str">
        <f t="shared" si="97"/>
        <v/>
      </c>
    </row>
    <row r="107" spans="1:26" ht="30" customHeight="1" x14ac:dyDescent="0.2">
      <c r="P107" s="19"/>
      <c r="Q107" s="19"/>
      <c r="T107" s="221"/>
      <c r="U107" s="221"/>
      <c r="V107" s="221"/>
      <c r="W107" s="221"/>
      <c r="X107" s="221"/>
      <c r="Y107" s="221"/>
      <c r="Z107" s="221"/>
    </row>
    <row r="108" spans="1:26" ht="30" customHeight="1" x14ac:dyDescent="0.2">
      <c r="C108"/>
      <c r="D108"/>
      <c r="E108"/>
      <c r="F108"/>
      <c r="G108" s="298"/>
      <c r="H108" s="298"/>
      <c r="I108" s="298"/>
      <c r="J108" s="298"/>
      <c r="K108" s="298"/>
      <c r="L108" s="298"/>
      <c r="M108" s="298"/>
      <c r="N108" s="298"/>
      <c r="O108" s="221"/>
      <c r="T108" s="221"/>
      <c r="U108" s="221"/>
      <c r="V108" s="221"/>
      <c r="W108" s="221"/>
      <c r="X108" s="221"/>
      <c r="Y108" s="221"/>
      <c r="Z108" s="221"/>
    </row>
    <row r="109" spans="1:26" ht="30" customHeight="1" thickBot="1" x14ac:dyDescent="0.25">
      <c r="C109" s="299" t="s">
        <v>140</v>
      </c>
      <c r="D109" s="298"/>
      <c r="E109" s="298"/>
      <c r="F109" s="298"/>
      <c r="G109" s="298"/>
      <c r="H109" s="298"/>
      <c r="I109" s="298"/>
      <c r="J109" s="298"/>
      <c r="K109" s="298"/>
      <c r="L109" s="298"/>
      <c r="M109" s="300"/>
      <c r="N109" s="298"/>
      <c r="O109" s="221"/>
      <c r="S109" s="221" t="s">
        <v>141</v>
      </c>
      <c r="T109" s="221"/>
      <c r="U109" s="221"/>
      <c r="V109" s="221"/>
      <c r="W109" s="221"/>
      <c r="X109" s="221"/>
      <c r="Y109" s="221"/>
      <c r="Z109" s="221"/>
    </row>
    <row r="110" spans="1:26" ht="30" customHeight="1" x14ac:dyDescent="0.2">
      <c r="C110" s="497" t="s">
        <v>142</v>
      </c>
      <c r="D110" s="499" t="s">
        <v>143</v>
      </c>
      <c r="E110" s="501" t="s">
        <v>144</v>
      </c>
      <c r="F110" s="502"/>
      <c r="G110" s="301"/>
      <c r="H110" s="221"/>
      <c r="I110" s="221"/>
      <c r="J110" s="298"/>
      <c r="K110" s="298"/>
      <c r="L110" s="298"/>
      <c r="M110" s="298"/>
      <c r="N110" s="298"/>
      <c r="O110" s="221"/>
      <c r="S110" s="503" t="s">
        <v>142</v>
      </c>
      <c r="T110" s="505" t="s">
        <v>145</v>
      </c>
      <c r="U110" s="506"/>
      <c r="V110"/>
      <c r="W110"/>
      <c r="X110" s="221"/>
      <c r="Y110" s="221"/>
      <c r="Z110" s="221"/>
    </row>
    <row r="111" spans="1:26" ht="30" customHeight="1" thickBot="1" x14ac:dyDescent="0.25">
      <c r="C111" s="498"/>
      <c r="D111" s="500"/>
      <c r="E111" s="302" t="s">
        <v>146</v>
      </c>
      <c r="F111" s="303" t="s">
        <v>147</v>
      </c>
      <c r="G111" s="304"/>
      <c r="H111" s="221"/>
      <c r="I111" s="221"/>
      <c r="J111" s="298"/>
      <c r="K111" s="298"/>
      <c r="L111" s="298"/>
      <c r="M111" s="298"/>
      <c r="N111" s="298"/>
      <c r="O111" s="221"/>
      <c r="S111" s="504"/>
      <c r="T111" s="305" t="s">
        <v>148</v>
      </c>
      <c r="U111" s="306" t="s">
        <v>147</v>
      </c>
      <c r="V111"/>
      <c r="W111"/>
      <c r="X111" s="221"/>
      <c r="Y111" s="221"/>
      <c r="Z111" s="221"/>
    </row>
    <row r="112" spans="1:26" ht="30" customHeight="1" thickTop="1" x14ac:dyDescent="0.2">
      <c r="C112" s="307" t="s">
        <v>123</v>
      </c>
      <c r="D112" s="308"/>
      <c r="E112" s="309"/>
      <c r="F112" s="310"/>
      <c r="G112" s="311"/>
      <c r="H112" s="221"/>
      <c r="I112" s="221"/>
      <c r="J112" s="298"/>
      <c r="K112" s="298"/>
      <c r="L112" s="298"/>
      <c r="M112" s="298"/>
      <c r="N112" s="298"/>
      <c r="O112" s="221"/>
      <c r="S112" s="312" t="s">
        <v>123</v>
      </c>
      <c r="T112" s="313" t="str">
        <f>IF(E112="","",ROUND(D112*E112%,0))</f>
        <v/>
      </c>
      <c r="U112" s="314" t="str">
        <f>IF(F112="","",ROUND(D112*(F112%),0))</f>
        <v/>
      </c>
      <c r="V112"/>
      <c r="W112"/>
      <c r="X112" s="221"/>
      <c r="Y112" s="221"/>
      <c r="Z112" s="221"/>
    </row>
    <row r="113" spans="3:26" ht="30" customHeight="1" thickBot="1" x14ac:dyDescent="0.25">
      <c r="C113" s="315" t="s">
        <v>124</v>
      </c>
      <c r="D113" s="316"/>
      <c r="E113" s="317"/>
      <c r="F113" s="318"/>
      <c r="G113" s="311"/>
      <c r="H113" s="221"/>
      <c r="I113" s="221"/>
      <c r="J113" s="298"/>
      <c r="K113" s="298"/>
      <c r="L113" s="298"/>
      <c r="M113" s="298"/>
      <c r="N113" s="298"/>
      <c r="O113" s="221"/>
      <c r="S113" s="319" t="s">
        <v>124</v>
      </c>
      <c r="T113" s="320" t="str">
        <f>IF(E113="","",ROUND(D113*E113%,0))</f>
        <v/>
      </c>
      <c r="U113" s="321" t="str">
        <f>IF(F113="","",ROUND(D113*(F113%),0))</f>
        <v/>
      </c>
      <c r="V113"/>
      <c r="W113"/>
      <c r="X113" s="221"/>
      <c r="Y113" s="221"/>
      <c r="Z113" s="221"/>
    </row>
  </sheetData>
  <sheetProtection formatCells="0" formatColumns="0" formatRows="0" insertColumns="0" insertRows="0" insertHyperlinks="0" deleteColumns="0" deleteRows="0" selectLockedCells="1" sort="0"/>
  <mergeCells count="90">
    <mergeCell ref="C75:C76"/>
    <mergeCell ref="D75:D76"/>
    <mergeCell ref="E75:E76"/>
    <mergeCell ref="F75:F76"/>
    <mergeCell ref="G75:G76"/>
    <mergeCell ref="C110:C111"/>
    <mergeCell ref="D110:D111"/>
    <mergeCell ref="E110:F110"/>
    <mergeCell ref="S110:S111"/>
    <mergeCell ref="T110:U110"/>
    <mergeCell ref="AC41:AE41"/>
    <mergeCell ref="S74:S76"/>
    <mergeCell ref="T74:T76"/>
    <mergeCell ref="U74:U76"/>
    <mergeCell ref="V74:V76"/>
    <mergeCell ref="W74:W76"/>
    <mergeCell ref="X74:Y74"/>
    <mergeCell ref="Z74:Z76"/>
    <mergeCell ref="M75:M76"/>
    <mergeCell ref="X75:X76"/>
    <mergeCell ref="Y75:Y76"/>
    <mergeCell ref="H75:H76"/>
    <mergeCell ref="I75:I76"/>
    <mergeCell ref="J75:J76"/>
    <mergeCell ref="K75:K76"/>
    <mergeCell ref="L75:L76"/>
    <mergeCell ref="AD38:AE38"/>
    <mergeCell ref="AW38:AX38"/>
    <mergeCell ref="AD39:AE39"/>
    <mergeCell ref="AW39:AX39"/>
    <mergeCell ref="AD40:AE40"/>
    <mergeCell ref="AW40:AX40"/>
    <mergeCell ref="AD35:AE35"/>
    <mergeCell ref="AW35:AX35"/>
    <mergeCell ref="AC36:AE36"/>
    <mergeCell ref="AV36:AX36"/>
    <mergeCell ref="AD37:AE37"/>
    <mergeCell ref="AW37:AX37"/>
    <mergeCell ref="AD32:AE32"/>
    <mergeCell ref="AW32:AX32"/>
    <mergeCell ref="AD33:AE33"/>
    <mergeCell ref="AW33:AX33"/>
    <mergeCell ref="AD34:AE34"/>
    <mergeCell ref="AW34:AX34"/>
    <mergeCell ref="AD16:AE16"/>
    <mergeCell ref="AW16:AX16"/>
    <mergeCell ref="AD21:AE21"/>
    <mergeCell ref="AD26:AE26"/>
    <mergeCell ref="AC31:AE31"/>
    <mergeCell ref="AV31:AX31"/>
    <mergeCell ref="AD13:AE13"/>
    <mergeCell ref="AW13:AX13"/>
    <mergeCell ref="AD14:AE14"/>
    <mergeCell ref="AW14:AX14"/>
    <mergeCell ref="AD15:AE15"/>
    <mergeCell ref="AW15:AX15"/>
    <mergeCell ref="BC9:BD9"/>
    <mergeCell ref="BE9:BF9"/>
    <mergeCell ref="AC11:AE11"/>
    <mergeCell ref="AV11:AX11"/>
    <mergeCell ref="AD12:AE12"/>
    <mergeCell ref="AW12:AX12"/>
    <mergeCell ref="AY8:AZ9"/>
    <mergeCell ref="BA8:BB9"/>
    <mergeCell ref="AF9:AG9"/>
    <mergeCell ref="AH9:AI9"/>
    <mergeCell ref="AJ9:AK9"/>
    <mergeCell ref="AL9:AM9"/>
    <mergeCell ref="AN9:AO9"/>
    <mergeCell ref="AP9:AQ9"/>
    <mergeCell ref="AR9:AS9"/>
    <mergeCell ref="Y8:Y10"/>
    <mergeCell ref="AC8:AE10"/>
    <mergeCell ref="AF8:AK8"/>
    <mergeCell ref="AL8:AS8"/>
    <mergeCell ref="AV8:AX10"/>
    <mergeCell ref="T8:T10"/>
    <mergeCell ref="U8:U10"/>
    <mergeCell ref="V8:V10"/>
    <mergeCell ref="W8:W10"/>
    <mergeCell ref="X8:X10"/>
    <mergeCell ref="K8:L10"/>
    <mergeCell ref="M8:N10"/>
    <mergeCell ref="S8:S10"/>
    <mergeCell ref="C8:C10"/>
    <mergeCell ref="D8:D10"/>
    <mergeCell ref="E8:E10"/>
    <mergeCell ref="F8:F10"/>
    <mergeCell ref="G8:H10"/>
    <mergeCell ref="I8:J10"/>
  </mergeCells>
  <phoneticPr fontId="2"/>
  <conditionalFormatting sqref="D11:D12">
    <cfRule type="expression" dxfId="47" priority="55">
      <formula>AND(C11&lt;&gt;"",D11="")</formula>
    </cfRule>
  </conditionalFormatting>
  <conditionalFormatting sqref="F11:F12">
    <cfRule type="expression" dxfId="46" priority="54">
      <formula>AND(C11&lt;&gt;"",C11&lt;&gt;"手伝い・共同作業受け",C11&lt;&gt;"ゆい・手間替え受け",C11&lt;&gt;"同居人",F11="")</formula>
    </cfRule>
  </conditionalFormatting>
  <conditionalFormatting sqref="E11">
    <cfRule type="expression" dxfId="45" priority="56">
      <formula>AND(OR(F11="1：家族",C11="同居人"),E11="")</formula>
    </cfRule>
  </conditionalFormatting>
  <conditionalFormatting sqref="D25:D26">
    <cfRule type="expression" dxfId="44" priority="46">
      <formula>AND(C25&lt;&gt;"",D25="")</formula>
    </cfRule>
  </conditionalFormatting>
  <conditionalFormatting sqref="F25:F26">
    <cfRule type="expression" dxfId="43" priority="45">
      <formula>AND(C25&lt;&gt;"",C25&lt;&gt;"手伝い・共同作業受け",C25&lt;&gt;"ゆい・手間替え受け",C25&lt;&gt;"同居人",F25="")</formula>
    </cfRule>
  </conditionalFormatting>
  <conditionalFormatting sqref="E25">
    <cfRule type="expression" dxfId="42" priority="47">
      <formula>AND(OR(F25="1：家族",C25="同居人"),E25="")</formula>
    </cfRule>
  </conditionalFormatting>
  <conditionalFormatting sqref="D15:D24">
    <cfRule type="expression" dxfId="41" priority="49">
      <formula>AND(C15&lt;&gt;"",D15="")</formula>
    </cfRule>
  </conditionalFormatting>
  <conditionalFormatting sqref="E15 E23 E21 E19 E17">
    <cfRule type="expression" dxfId="40" priority="50">
      <formula>AND(OR(F15="1：家族",C15="同居人"),E15="")</formula>
    </cfRule>
  </conditionalFormatting>
  <conditionalFormatting sqref="D27:D36">
    <cfRule type="expression" dxfId="39" priority="43">
      <formula>AND(C27&lt;&gt;"",D27="")</formula>
    </cfRule>
  </conditionalFormatting>
  <conditionalFormatting sqref="F27:F36">
    <cfRule type="expression" dxfId="38" priority="42">
      <formula>AND(C27&lt;&gt;"",C27&lt;&gt;"手伝い・共同作業受け",C27&lt;&gt;"ゆい・手間替え受け",C27&lt;&gt;"同居人",F27="")</formula>
    </cfRule>
  </conditionalFormatting>
  <conditionalFormatting sqref="E27 E35 E33 E31 E29">
    <cfRule type="expression" dxfId="37" priority="44">
      <formula>AND(OR(F27="1：家族",C27="同居人"),E27="")</formula>
    </cfRule>
  </conditionalFormatting>
  <conditionalFormatting sqref="D13:D14">
    <cfRule type="expression" dxfId="36" priority="52">
      <formula>AND(C13&lt;&gt;"",D13="")</formula>
    </cfRule>
  </conditionalFormatting>
  <conditionalFormatting sqref="F13:F14">
    <cfRule type="expression" dxfId="35" priority="51">
      <formula>AND(C13&lt;&gt;"",C13&lt;&gt;"手伝い・共同作業受け",C13&lt;&gt;"ゆい・手間替え受け",C13&lt;&gt;"同居人",F13="")</formula>
    </cfRule>
  </conditionalFormatting>
  <conditionalFormatting sqref="E13">
    <cfRule type="expression" dxfId="34" priority="53">
      <formula>AND(OR(F13="1：家族",C13="同居人"),E13="")</formula>
    </cfRule>
  </conditionalFormatting>
  <conditionalFormatting sqref="F15:F24">
    <cfRule type="expression" dxfId="33" priority="48">
      <formula>AND(C15&lt;&gt;"",C15&lt;&gt;"手伝い・共同作業受け",C15&lt;&gt;"ゆい・手間替え受け",C15&lt;&gt;"同居人",F15="")</formula>
    </cfRule>
  </conditionalFormatting>
  <conditionalFormatting sqref="D39:D48">
    <cfRule type="expression" dxfId="32" priority="37">
      <formula>AND(C39&lt;&gt;"",D39="")</formula>
    </cfRule>
  </conditionalFormatting>
  <conditionalFormatting sqref="F39:F48">
    <cfRule type="expression" dxfId="31" priority="36">
      <formula>AND(C39&lt;&gt;"",C39&lt;&gt;"手伝い・共同作業受け",C39&lt;&gt;"ゆい・手間替え受け",C39&lt;&gt;"同居人",F39="")</formula>
    </cfRule>
  </conditionalFormatting>
  <conditionalFormatting sqref="E39 E47 E45 E43 E41">
    <cfRule type="expression" dxfId="30" priority="38">
      <formula>AND(OR(F39="1：家族",C39="同居人"),E39="")</formula>
    </cfRule>
  </conditionalFormatting>
  <conditionalFormatting sqref="D37:D38">
    <cfRule type="expression" dxfId="29" priority="40">
      <formula>AND(C37&lt;&gt;"",D37="")</formula>
    </cfRule>
  </conditionalFormatting>
  <conditionalFormatting sqref="F37:F38">
    <cfRule type="expression" dxfId="28" priority="39">
      <formula>AND(C37&lt;&gt;"",C37&lt;&gt;"手伝い・共同作業受け",C37&lt;&gt;"ゆい・手間替え受け",C37&lt;&gt;"同居人",F37="")</formula>
    </cfRule>
  </conditionalFormatting>
  <conditionalFormatting sqref="E37">
    <cfRule type="expression" dxfId="27" priority="41">
      <formula>AND(OR(F37="1：家族",C37="同居人"),E37="")</formula>
    </cfRule>
  </conditionalFormatting>
  <conditionalFormatting sqref="D49:D50">
    <cfRule type="expression" dxfId="26" priority="34">
      <formula>AND(C49&lt;&gt;"",D49="")</formula>
    </cfRule>
  </conditionalFormatting>
  <conditionalFormatting sqref="F49:F50">
    <cfRule type="expression" dxfId="25" priority="33">
      <formula>AND(C49&lt;&gt;"",C49&lt;&gt;"手伝い・共同作業受け",C49&lt;&gt;"ゆい・手間替え受け",C49&lt;&gt;"同居人",F49="")</formula>
    </cfRule>
  </conditionalFormatting>
  <conditionalFormatting sqref="E49">
    <cfRule type="expression" dxfId="24" priority="35">
      <formula>AND(OR(F49="1：家族",C49="同居人"),E49="")</formula>
    </cfRule>
  </conditionalFormatting>
  <conditionalFormatting sqref="D51:D60">
    <cfRule type="expression" dxfId="23" priority="31">
      <formula>AND(C51&lt;&gt;"",D51="")</formula>
    </cfRule>
  </conditionalFormatting>
  <conditionalFormatting sqref="F51:F60">
    <cfRule type="expression" dxfId="22" priority="30">
      <formula>AND(C51&lt;&gt;"",C51&lt;&gt;"手伝い・共同作業受け",C51&lt;&gt;"ゆい・手間替え受け",C51&lt;&gt;"同居人",F51="")</formula>
    </cfRule>
  </conditionalFormatting>
  <conditionalFormatting sqref="E51 E59 E57 E55 E53">
    <cfRule type="expression" dxfId="21" priority="32">
      <formula>AND(OR(F51="1：家族",C51="同居人"),E51="")</formula>
    </cfRule>
  </conditionalFormatting>
  <conditionalFormatting sqref="D61:D68">
    <cfRule type="expression" dxfId="20" priority="28">
      <formula>AND(C61&lt;&gt;"",D61="")</formula>
    </cfRule>
  </conditionalFormatting>
  <conditionalFormatting sqref="F61:F68">
    <cfRule type="expression" dxfId="19" priority="27">
      <formula>AND(C61&lt;&gt;"",C61&lt;&gt;"手伝い・共同作業受け",C61&lt;&gt;"ゆい・手間替え受け",C61&lt;&gt;"同居人",F61="")</formula>
    </cfRule>
  </conditionalFormatting>
  <conditionalFormatting sqref="E61 E67 E65 E63">
    <cfRule type="expression" dxfId="18" priority="29">
      <formula>AND(OR(F61="1：家族",C61="同居人"),E61="")</formula>
    </cfRule>
  </conditionalFormatting>
  <conditionalFormatting sqref="D69:D70">
    <cfRule type="expression" dxfId="17" priority="25">
      <formula>AND(C69&lt;&gt;"",D69="")</formula>
    </cfRule>
  </conditionalFormatting>
  <conditionalFormatting sqref="F69:F70">
    <cfRule type="expression" dxfId="16" priority="24">
      <formula>AND(C69&lt;&gt;"",C69&lt;&gt;"手伝い・共同作業受け",C69&lt;&gt;"ゆい・手間替え受け",C69&lt;&gt;"同居人",F69="")</formula>
    </cfRule>
  </conditionalFormatting>
  <conditionalFormatting sqref="E69">
    <cfRule type="expression" dxfId="15" priority="26">
      <formula>AND(OR(F69="1：家族",C69="同居人"),E69="")</formula>
    </cfRule>
  </conditionalFormatting>
  <conditionalFormatting sqref="C2">
    <cfRule type="containsText" dxfId="14" priority="13" operator="containsText" text="※">
      <formula>NOT(ISERROR(SEARCH("※",C2)))</formula>
    </cfRule>
  </conditionalFormatting>
  <conditionalFormatting sqref="D77:D78 D103:D106">
    <cfRule type="expression" dxfId="13" priority="11">
      <formula>AND(C77&lt;&gt;"",D77="")</formula>
    </cfRule>
  </conditionalFormatting>
  <conditionalFormatting sqref="F77:F78 F103:F106">
    <cfRule type="expression" dxfId="12" priority="10">
      <formula>AND(C77&lt;&gt;"",C77&lt;&gt;"手伝い・共同作業受け",C77&lt;&gt;"ゆい・手間替え受け",C77&lt;&gt;"同居人",F77="")</formula>
    </cfRule>
  </conditionalFormatting>
  <conditionalFormatting sqref="E77:E78 E103:E106">
    <cfRule type="expression" dxfId="11" priority="12">
      <formula>AND(OR(F77="1：家族",C77="同居人"),E77="")</formula>
    </cfRule>
  </conditionalFormatting>
  <conditionalFormatting sqref="D79:D93">
    <cfRule type="expression" dxfId="10" priority="8">
      <formula>AND(C79&lt;&gt;"",D79="")</formula>
    </cfRule>
  </conditionalFormatting>
  <conditionalFormatting sqref="F79:F93">
    <cfRule type="expression" dxfId="9" priority="7">
      <formula>AND(C79&lt;&gt;"",C79&lt;&gt;"手伝い・共同作業受け",C79&lt;&gt;"ゆい・手間替え受け",C79&lt;&gt;"同居人",F79="")</formula>
    </cfRule>
  </conditionalFormatting>
  <conditionalFormatting sqref="E79:E93">
    <cfRule type="expression" dxfId="8" priority="9">
      <formula>AND(OR(F79="1：家族",C79="同居人"),E79="")</formula>
    </cfRule>
  </conditionalFormatting>
  <conditionalFormatting sqref="D94:D98">
    <cfRule type="expression" dxfId="7" priority="5">
      <formula>AND(C94&lt;&gt;"",D94="")</formula>
    </cfRule>
  </conditionalFormatting>
  <conditionalFormatting sqref="F94:F98">
    <cfRule type="expression" dxfId="6" priority="4">
      <formula>AND(C94&lt;&gt;"",C94&lt;&gt;"手伝い・共同作業受け",C94&lt;&gt;"ゆい・手間替え受け",C94&lt;&gt;"同居人",F94="")</formula>
    </cfRule>
  </conditionalFormatting>
  <conditionalFormatting sqref="E94:E98">
    <cfRule type="expression" dxfId="5" priority="6">
      <formula>AND(OR(F94="1：家族",C94="同居人"),E94="")</formula>
    </cfRule>
  </conditionalFormatting>
  <conditionalFormatting sqref="D99:D102">
    <cfRule type="expression" dxfId="4" priority="2">
      <formula>AND(C99&lt;&gt;"",D99="")</formula>
    </cfRule>
  </conditionalFormatting>
  <conditionalFormatting sqref="F99:F102">
    <cfRule type="expression" dxfId="3" priority="1">
      <formula>AND(C99&lt;&gt;"",C99&lt;&gt;"手伝い・共同作業受け",C99&lt;&gt;"ゆい・手間替え受け",C99&lt;&gt;"同居人",F99="")</formula>
    </cfRule>
  </conditionalFormatting>
  <conditionalFormatting sqref="E99:E102">
    <cfRule type="expression" dxfId="2" priority="3">
      <formula>AND(OR(F99="1：家族",C99="同居人"),E99="")</formula>
    </cfRule>
  </conditionalFormatting>
  <dataValidations count="2">
    <dataValidation type="whole" operator="greaterThan" allowBlank="1" showInputMessage="1" showErrorMessage="1" error="整数を入力してください。" sqref="T4 D112:D113" xr:uid="{02388CC7-18FF-47DD-A85D-62E9765E263D}">
      <formula1>0</formula1>
    </dataValidation>
    <dataValidation type="whole" allowBlank="1" showInputMessage="1" showErrorMessage="1" error="0～100の値を入力してください。" sqref="E112:F113" xr:uid="{B713FF52-DBB1-4A4F-93FB-6497064AC52A}">
      <formula1>0</formula1>
      <formula2>100</formula2>
    </dataValidation>
  </dataValidations>
  <pageMargins left="0.59055118110236227" right="0.59055118110236227" top="0.59055118110236227" bottom="0.59055118110236227" header="0" footer="0.19685039370078741"/>
  <pageSetup paperSize="9" scale="22" fitToHeight="0" orientation="landscape" cellComments="asDisplayed" r:id="rId1"/>
  <colBreaks count="1" manualBreakCount="1">
    <brk id="27" max="1048575" man="1"/>
  </col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01356-C0BA-495C-9363-57C8F41AF70D}">
  <sheetPr codeName="Sheet6">
    <pageSetUpPr fitToPage="1"/>
  </sheetPr>
  <dimension ref="A1:BF32"/>
  <sheetViews>
    <sheetView showGridLines="0" view="pageBreakPreview" zoomScaleNormal="90" zoomScaleSheetLayoutView="100" workbookViewId="0"/>
  </sheetViews>
  <sheetFormatPr defaultColWidth="2.77734375" defaultRowHeight="14.25" customHeight="1" x14ac:dyDescent="0.2"/>
  <cols>
    <col min="1" max="2" width="2.77734375" style="19"/>
    <col min="3" max="3" width="31.21875" style="19" customWidth="1"/>
    <col min="4" max="5" width="8.6640625" style="19" customWidth="1"/>
    <col min="6" max="23" width="2.77734375" style="19"/>
    <col min="24" max="26" width="17" style="19" customWidth="1"/>
    <col min="27" max="27" width="16.88671875" style="19" customWidth="1"/>
    <col min="28" max="28" width="2.77734375" style="19"/>
    <col min="29" max="29" width="2.77734375" style="19" customWidth="1"/>
    <col min="30" max="31" width="2.77734375" style="19"/>
    <col min="32" max="32" width="2.77734375" style="19" customWidth="1"/>
    <col min="33" max="16384" width="2.77734375" style="19"/>
  </cols>
  <sheetData>
    <row r="1" spans="1:58" s="25" customFormat="1" ht="18" customHeight="1" x14ac:dyDescent="0.2">
      <c r="A1" s="135"/>
      <c r="C1" s="163" t="s">
        <v>108</v>
      </c>
      <c r="D1" s="68"/>
      <c r="E1" s="68"/>
      <c r="F1" s="68"/>
      <c r="G1" s="68"/>
      <c r="H1" s="68"/>
      <c r="I1" s="68"/>
      <c r="J1" s="68"/>
      <c r="K1" s="68"/>
      <c r="L1" s="68"/>
      <c r="M1" s="68"/>
      <c r="N1" s="68"/>
      <c r="O1" s="68"/>
      <c r="P1" s="19"/>
      <c r="Q1" s="19"/>
      <c r="R1" s="69"/>
      <c r="AC1" s="94"/>
      <c r="AD1" s="94"/>
      <c r="AE1" s="94"/>
      <c r="AF1" s="94"/>
      <c r="AG1" s="94"/>
      <c r="AH1" s="94"/>
      <c r="AI1" s="94"/>
      <c r="AJ1" s="94"/>
      <c r="AK1" s="94"/>
      <c r="AL1" s="94"/>
      <c r="AM1" s="94"/>
      <c r="AN1" s="94"/>
      <c r="AO1" s="94"/>
      <c r="AP1" s="94"/>
      <c r="AQ1" s="94"/>
      <c r="AR1" s="94"/>
      <c r="AS1" s="94"/>
      <c r="BC1" s="94"/>
      <c r="BD1" s="94"/>
      <c r="BE1" s="94"/>
      <c r="BF1" s="94"/>
    </row>
    <row r="2" spans="1:58" s="25" customFormat="1" ht="30" hidden="1" customHeight="1" x14ac:dyDescent="0.25">
      <c r="A2" s="135"/>
      <c r="B2" s="68"/>
      <c r="C2" s="160"/>
      <c r="D2" s="68"/>
      <c r="E2" s="68"/>
      <c r="F2" s="68"/>
      <c r="G2" s="68"/>
      <c r="H2" s="68"/>
      <c r="I2" s="68"/>
      <c r="J2" s="68"/>
      <c r="K2" s="68"/>
      <c r="L2" s="68"/>
      <c r="M2" s="68"/>
      <c r="N2" s="68"/>
      <c r="O2" s="68"/>
      <c r="P2" s="19"/>
      <c r="Q2" s="19"/>
      <c r="S2" s="70"/>
      <c r="AC2" s="94"/>
      <c r="AD2" s="94"/>
      <c r="AE2" s="94"/>
      <c r="AF2" s="94"/>
      <c r="AG2" s="94"/>
      <c r="AH2" s="94"/>
      <c r="AI2" s="94"/>
      <c r="AJ2" s="94"/>
      <c r="AK2" s="94"/>
      <c r="AL2" s="94"/>
      <c r="AM2" s="94"/>
      <c r="AN2" s="94"/>
      <c r="AO2" s="94"/>
      <c r="AP2" s="94"/>
      <c r="AQ2" s="94"/>
      <c r="AR2" s="94"/>
      <c r="AS2" s="94"/>
      <c r="BC2" s="94"/>
      <c r="BD2" s="94"/>
      <c r="BE2" s="94"/>
      <c r="BF2" s="94"/>
    </row>
    <row r="3" spans="1:58" s="25" customFormat="1" ht="12.75" hidden="1" customHeight="1" x14ac:dyDescent="0.2">
      <c r="A3" s="135"/>
      <c r="B3" s="68"/>
      <c r="C3" s="68"/>
      <c r="D3" s="68"/>
      <c r="E3" s="68"/>
      <c r="F3" s="68"/>
      <c r="G3" s="68"/>
      <c r="H3" s="19"/>
      <c r="I3" s="19"/>
      <c r="J3" s="20"/>
      <c r="K3" s="19"/>
      <c r="L3" s="26"/>
      <c r="M3" s="20"/>
      <c r="N3" s="19"/>
      <c r="P3" s="19"/>
      <c r="Q3" s="19"/>
      <c r="AC3" s="144"/>
      <c r="AD3" s="94"/>
      <c r="AE3" s="94"/>
      <c r="AF3" s="94"/>
      <c r="AG3" s="94"/>
      <c r="AH3" s="94"/>
      <c r="AI3" s="94"/>
      <c r="AJ3" s="94"/>
      <c r="AK3" s="94"/>
      <c r="AL3" s="94"/>
      <c r="AM3" s="94"/>
      <c r="AN3" s="94"/>
      <c r="AO3" s="94"/>
      <c r="AP3" s="94"/>
      <c r="AQ3" s="94"/>
      <c r="AR3" s="94"/>
      <c r="AS3" s="94"/>
      <c r="AV3" s="70"/>
      <c r="BC3" s="94"/>
      <c r="BD3" s="94"/>
      <c r="BE3" s="94"/>
      <c r="BF3" s="94"/>
    </row>
    <row r="4" spans="1:58" s="25" customFormat="1" ht="25.2" hidden="1" customHeight="1" x14ac:dyDescent="0.25">
      <c r="A4" s="135"/>
      <c r="B4" s="68"/>
      <c r="C4" s="159"/>
      <c r="D4" s="68"/>
      <c r="E4" s="68"/>
      <c r="F4" s="68"/>
      <c r="G4" s="68"/>
      <c r="H4" s="19"/>
      <c r="I4" s="19"/>
      <c r="J4" s="20"/>
      <c r="K4" s="19"/>
      <c r="L4" s="26"/>
      <c r="M4" s="20"/>
      <c r="N4" s="19"/>
      <c r="P4" s="19"/>
      <c r="Q4" s="19"/>
      <c r="S4" s="71"/>
      <c r="T4" s="149"/>
      <c r="AC4" s="144"/>
      <c r="AD4" s="94"/>
      <c r="AE4" s="94"/>
      <c r="AF4" s="94"/>
      <c r="AG4" s="94"/>
      <c r="AH4" s="94"/>
      <c r="AI4" s="94"/>
      <c r="AJ4" s="94"/>
      <c r="AK4" s="94"/>
      <c r="AL4" s="94"/>
      <c r="AM4" s="94"/>
      <c r="AN4" s="94"/>
      <c r="AO4" s="94"/>
      <c r="AP4" s="94"/>
      <c r="AQ4" s="94"/>
      <c r="AR4" s="94"/>
      <c r="AS4" s="94"/>
      <c r="AV4" s="70"/>
      <c r="BC4" s="94"/>
      <c r="BD4" s="94"/>
      <c r="BE4" s="94"/>
      <c r="BF4" s="94"/>
    </row>
    <row r="5" spans="1:58" s="25" customFormat="1" ht="25.2" hidden="1" customHeight="1" x14ac:dyDescent="0.25">
      <c r="A5" s="135"/>
      <c r="B5" s="27"/>
      <c r="C5" s="159"/>
      <c r="D5" s="20"/>
      <c r="E5" s="20"/>
      <c r="F5" s="20"/>
      <c r="G5" s="19"/>
      <c r="H5" s="19"/>
      <c r="I5" s="19"/>
      <c r="J5" s="20"/>
      <c r="K5" s="19"/>
      <c r="L5" s="26"/>
      <c r="M5" s="20"/>
      <c r="N5" s="19"/>
      <c r="P5" s="19"/>
      <c r="Q5" s="19"/>
      <c r="AC5" s="94"/>
      <c r="AD5" s="94"/>
      <c r="AE5" s="94"/>
      <c r="AF5" s="94"/>
      <c r="AG5" s="94"/>
      <c r="AH5" s="94"/>
      <c r="AI5" s="94"/>
      <c r="AJ5" s="94"/>
      <c r="AK5" s="94"/>
      <c r="AL5" s="94"/>
      <c r="AM5" s="94"/>
      <c r="AN5" s="94"/>
      <c r="AO5" s="94"/>
      <c r="AP5" s="94"/>
      <c r="AQ5" s="94"/>
      <c r="AR5" s="94"/>
      <c r="AS5" s="94"/>
      <c r="BC5" s="94"/>
      <c r="BD5" s="94"/>
      <c r="BE5" s="94"/>
      <c r="BF5" s="94"/>
    </row>
    <row r="6" spans="1:58" ht="14.25" hidden="1" customHeight="1" x14ac:dyDescent="0.2">
      <c r="G6" s="20"/>
      <c r="H6" s="20"/>
      <c r="I6" s="20"/>
      <c r="L6" s="20"/>
      <c r="M6" s="20"/>
      <c r="N6" s="26"/>
      <c r="O6" s="26"/>
      <c r="P6" s="20"/>
      <c r="Q6" s="20"/>
      <c r="R6" s="20"/>
      <c r="AA6" s="20"/>
      <c r="AB6" s="26"/>
      <c r="AC6" s="26"/>
      <c r="AD6" s="20"/>
      <c r="AE6" s="20"/>
      <c r="AF6" s="20"/>
    </row>
    <row r="7" spans="1:58" ht="14.25" customHeight="1" x14ac:dyDescent="0.2">
      <c r="D7" s="68"/>
      <c r="E7" s="68"/>
      <c r="F7" s="68"/>
    </row>
    <row r="8" spans="1:58" ht="30" customHeight="1" x14ac:dyDescent="0.25">
      <c r="A8" s="68"/>
      <c r="C8" s="162" t="s">
        <v>104</v>
      </c>
      <c r="D8" s="68"/>
      <c r="E8" s="68"/>
      <c r="F8" s="68"/>
      <c r="U8" s="68"/>
      <c r="V8" s="68"/>
      <c r="W8" s="68"/>
      <c r="X8" s="68"/>
      <c r="Y8" s="68"/>
      <c r="Z8" s="68"/>
    </row>
    <row r="9" spans="1:58" ht="14.25" customHeight="1" thickBot="1" x14ac:dyDescent="0.25"/>
    <row r="10" spans="1:58" ht="22.95" customHeight="1" x14ac:dyDescent="0.2">
      <c r="C10" s="491" t="s">
        <v>44</v>
      </c>
      <c r="D10" s="584" t="s">
        <v>45</v>
      </c>
      <c r="E10" s="605"/>
      <c r="F10" s="605"/>
      <c r="G10" s="605"/>
      <c r="H10" s="605"/>
      <c r="I10" s="605"/>
      <c r="J10" s="605"/>
      <c r="K10" s="605"/>
      <c r="L10" s="605"/>
      <c r="M10" s="605"/>
      <c r="N10" s="605"/>
      <c r="O10" s="605"/>
      <c r="P10" s="605"/>
      <c r="Q10" s="605"/>
      <c r="R10" s="605"/>
      <c r="S10" s="605"/>
      <c r="T10" s="605"/>
      <c r="U10" s="605"/>
      <c r="V10" s="605"/>
      <c r="W10" s="606"/>
      <c r="X10" s="620" t="s">
        <v>46</v>
      </c>
      <c r="Y10" s="621"/>
      <c r="Z10" s="621"/>
      <c r="AA10" s="622"/>
      <c r="AB10" s="105"/>
      <c r="AC10" s="105"/>
      <c r="AD10" s="105"/>
      <c r="AE10" s="105"/>
      <c r="AF10" s="105"/>
      <c r="AG10" s="105"/>
    </row>
    <row r="11" spans="1:58" ht="22.95" customHeight="1" thickBot="1" x14ac:dyDescent="0.25">
      <c r="B11" s="68"/>
      <c r="C11" s="492"/>
      <c r="D11" s="585"/>
      <c r="E11" s="618"/>
      <c r="F11" s="618"/>
      <c r="G11" s="618"/>
      <c r="H11" s="618"/>
      <c r="I11" s="618"/>
      <c r="J11" s="618"/>
      <c r="K11" s="618"/>
      <c r="L11" s="618"/>
      <c r="M11" s="618"/>
      <c r="N11" s="618"/>
      <c r="O11" s="618"/>
      <c r="P11" s="618"/>
      <c r="Q11" s="618"/>
      <c r="R11" s="618"/>
      <c r="S11" s="618"/>
      <c r="T11" s="618"/>
      <c r="U11" s="618"/>
      <c r="V11" s="618"/>
      <c r="W11" s="619"/>
      <c r="X11" s="164" t="s">
        <v>14</v>
      </c>
      <c r="Y11" s="165" t="s">
        <v>47</v>
      </c>
      <c r="Z11" s="165" t="s">
        <v>48</v>
      </c>
      <c r="AA11" s="166" t="s">
        <v>15</v>
      </c>
      <c r="AB11" s="105"/>
      <c r="AC11" s="105"/>
      <c r="AD11" s="105"/>
      <c r="AE11" s="105"/>
      <c r="AF11" s="105"/>
      <c r="AG11" s="105"/>
      <c r="AH11" s="106"/>
    </row>
    <row r="12" spans="1:58" ht="27" customHeight="1" thickTop="1" x14ac:dyDescent="0.2">
      <c r="C12" s="107" t="s">
        <v>49</v>
      </c>
      <c r="D12" s="615" t="s">
        <v>50</v>
      </c>
      <c r="E12" s="616"/>
      <c r="F12" s="616"/>
      <c r="G12" s="616"/>
      <c r="H12" s="616"/>
      <c r="I12" s="616"/>
      <c r="J12" s="616"/>
      <c r="K12" s="616"/>
      <c r="L12" s="616"/>
      <c r="M12" s="616"/>
      <c r="N12" s="616"/>
      <c r="O12" s="616"/>
      <c r="P12" s="616"/>
      <c r="Q12" s="616"/>
      <c r="R12" s="616"/>
      <c r="S12" s="616"/>
      <c r="T12" s="616"/>
      <c r="U12" s="616"/>
      <c r="V12" s="616"/>
      <c r="W12" s="617"/>
      <c r="X12" s="385">
        <f>ROUND(SUMIFS(設定!$H$9:$H$108,設定!$E$9:$E$108,"&lt;65",設定!$F$9:$F$108,"=1：構成員"),1)</f>
        <v>0</v>
      </c>
      <c r="Y12" s="386">
        <f>ROUND(SUMIFS(設定!$H$9:$H$108,設定!$E$9:$E$108,"&gt;=65",設定!$E$9:$E$108,"&lt;70",設定!$F$9:$F$108,"=1：構成員"),1)</f>
        <v>0</v>
      </c>
      <c r="Z12" s="386">
        <f>ROUND(SUMIFS(設定!$H$9:$H$108,設定!$E$9:$E$108,"&gt;=70",設定!$E$9:$E$108,"&lt;75",設定!$F$9:$F$108,"=1：構成員"),1)</f>
        <v>0</v>
      </c>
      <c r="AA12" s="387">
        <f>ROUND(SUMIFS(設定!$H$9:$H$108,設定!$E$9:$E$108,"&gt;=75",設定!$F$9:$F$108,"=1：構成員"),1)</f>
        <v>0</v>
      </c>
      <c r="AB12" s="108"/>
      <c r="AC12" s="108"/>
      <c r="AD12" s="108"/>
      <c r="AE12" s="109"/>
      <c r="AF12" s="108"/>
      <c r="AG12" s="109"/>
      <c r="AH12" s="106"/>
    </row>
    <row r="13" spans="1:58" ht="27" customHeight="1" x14ac:dyDescent="0.2">
      <c r="B13" s="110"/>
      <c r="C13" s="111" t="s">
        <v>51</v>
      </c>
      <c r="D13" s="609" t="s">
        <v>52</v>
      </c>
      <c r="E13" s="610"/>
      <c r="F13" s="610"/>
      <c r="G13" s="610"/>
      <c r="H13" s="610"/>
      <c r="I13" s="610"/>
      <c r="J13" s="610"/>
      <c r="K13" s="610"/>
      <c r="L13" s="610"/>
      <c r="M13" s="610"/>
      <c r="N13" s="610"/>
      <c r="O13" s="610"/>
      <c r="P13" s="610"/>
      <c r="Q13" s="610"/>
      <c r="R13" s="610"/>
      <c r="S13" s="610"/>
      <c r="T13" s="610"/>
      <c r="U13" s="610"/>
      <c r="V13" s="610"/>
      <c r="W13" s="611"/>
      <c r="X13" s="381">
        <f>ROUND(SUMIFS(設定!$I$9:$I$108,設定!$E$9:$E$108,"&lt;65",設定!$F$9:$F$108,"=1：構成員"),1)</f>
        <v>0</v>
      </c>
      <c r="Y13" s="388">
        <f>ROUND(SUMIFS(設定!$I$9:$I$108,設定!$E$9:$E$108,"&gt;=65",設定!$E$9:$E$108,"&lt;70",設定!$F$9:$F$108,"=1：構成員"),1)</f>
        <v>0</v>
      </c>
      <c r="Z13" s="388">
        <f>ROUND(SUMIFS(設定!$I$9:$I$108,設定!$E$9:$E$108,"&gt;=70",設定!$E$9:$E$108,"&lt;75",設定!$F$9:$F$108,"=1：構成員"),1)</f>
        <v>0</v>
      </c>
      <c r="AA13" s="389">
        <f>ROUND(SUMIFS(設定!$I$9:$I$108,設定!$E$9:$E$108,"&gt;=75",設定!$F$9:$F$108,"=1：構成員"),1)</f>
        <v>0</v>
      </c>
      <c r="AF13" s="108"/>
      <c r="AG13" s="108"/>
      <c r="AH13" s="112"/>
    </row>
    <row r="14" spans="1:58" ht="27" customHeight="1" x14ac:dyDescent="0.2">
      <c r="C14" s="111" t="s">
        <v>53</v>
      </c>
      <c r="D14" s="612" t="s">
        <v>54</v>
      </c>
      <c r="E14" s="613"/>
      <c r="F14" s="613"/>
      <c r="G14" s="613"/>
      <c r="H14" s="613"/>
      <c r="I14" s="613"/>
      <c r="J14" s="613"/>
      <c r="K14" s="613"/>
      <c r="L14" s="613"/>
      <c r="M14" s="613"/>
      <c r="N14" s="613"/>
      <c r="O14" s="613"/>
      <c r="P14" s="613"/>
      <c r="Q14" s="613"/>
      <c r="R14" s="613"/>
      <c r="S14" s="613"/>
      <c r="T14" s="613"/>
      <c r="U14" s="613"/>
      <c r="V14" s="613"/>
      <c r="W14" s="614"/>
      <c r="X14" s="390">
        <f>ROUND(SUMIFS(設定!$J$9:$J$108,設定!$E$9:$E$108,"&lt;65",設定!$F$9:$F$108,"=1：構成員"),1)</f>
        <v>0</v>
      </c>
      <c r="Y14" s="391">
        <f>ROUND(SUMIFS(設定!$J$9:$J$108,設定!$E$9:$E$108,"&gt;=65",設定!$E$9:$E$108,"&lt;70",設定!$F$9:$F$108,"=1：構成員"),1)</f>
        <v>0</v>
      </c>
      <c r="Z14" s="391">
        <f>ROUND(SUMIFS(設定!$J$9:$J$108,設定!$E$9:$E$108,"&gt;=70",設定!$E$9:$E$108,"&lt;75",設定!$F$9:$F$108,"=1：構成員"),1)</f>
        <v>0</v>
      </c>
      <c r="AA14" s="392">
        <f>ROUND(SUMIFS(設定!$J$9:$J$108,設定!$E$9:$E$108,"&gt;=75",設定!$F$9:$F$108,"=1：構成員"),1)</f>
        <v>0</v>
      </c>
      <c r="AH14" s="112"/>
    </row>
    <row r="15" spans="1:58" ht="27" customHeight="1" x14ac:dyDescent="0.2">
      <c r="B15" s="106"/>
      <c r="C15" s="111" t="s">
        <v>55</v>
      </c>
      <c r="D15" s="609" t="s">
        <v>56</v>
      </c>
      <c r="E15" s="610"/>
      <c r="F15" s="610"/>
      <c r="G15" s="610"/>
      <c r="H15" s="610"/>
      <c r="I15" s="610"/>
      <c r="J15" s="610"/>
      <c r="K15" s="610"/>
      <c r="L15" s="610"/>
      <c r="M15" s="610"/>
      <c r="N15" s="610"/>
      <c r="O15" s="610"/>
      <c r="P15" s="610"/>
      <c r="Q15" s="610"/>
      <c r="R15" s="610"/>
      <c r="S15" s="610"/>
      <c r="T15" s="610"/>
      <c r="U15" s="610"/>
      <c r="V15" s="610"/>
      <c r="W15" s="611"/>
      <c r="X15" s="390">
        <f>ROUND(SUMIFS(設定!$K$9:$K$108,設定!$E$9:$E$108,"&lt;65",設定!$F$9:$F$108,"=1：構成員"),1)</f>
        <v>0</v>
      </c>
      <c r="Y15" s="391">
        <f>ROUND(SUMIFS(設定!$K$9:$K$108,設定!$E$9:$E$108,"&gt;=65",設定!$E$9:$E$108,"&lt;70",設定!$F$9:$F$108,"=1：構成員"),1)</f>
        <v>0</v>
      </c>
      <c r="Z15" s="391">
        <f>ROUND(SUMIFS(設定!$K$9:$K$108,設定!$E$9:$E$108,"&gt;=70",設定!$E$9:$E$108,"&lt;75",設定!$F$9:$F$108,"=1：構成員"),1)</f>
        <v>0</v>
      </c>
      <c r="AA15" s="392">
        <f>ROUND(SUMIFS(設定!$K$9:$K$108,設定!$E$9:$E$108,"&gt;=75",設定!$F$9:$F$108,"=1：構成員"),1)</f>
        <v>0</v>
      </c>
      <c r="AH15" s="109"/>
    </row>
    <row r="16" spans="1:58" ht="27" customHeight="1" x14ac:dyDescent="0.2">
      <c r="B16" s="113"/>
      <c r="C16" s="111" t="s">
        <v>57</v>
      </c>
      <c r="D16" s="599" t="s">
        <v>58</v>
      </c>
      <c r="E16" s="600"/>
      <c r="F16" s="600"/>
      <c r="G16" s="600"/>
      <c r="H16" s="600"/>
      <c r="I16" s="600"/>
      <c r="J16" s="600"/>
      <c r="K16" s="600"/>
      <c r="L16" s="600"/>
      <c r="M16" s="600"/>
      <c r="N16" s="600"/>
      <c r="O16" s="600"/>
      <c r="P16" s="600"/>
      <c r="Q16" s="600"/>
      <c r="R16" s="600"/>
      <c r="S16" s="600"/>
      <c r="T16" s="600"/>
      <c r="U16" s="600"/>
      <c r="V16" s="600"/>
      <c r="W16" s="601"/>
      <c r="X16" s="393">
        <f>ROUND(SUM(SUMIFS(設定!$O$9:$O$108,設定!$E$9:$E$108,"&lt;65",設定!$F$9:$F$108,"=1：構成員"),SUMIFS(設定!$P$9:$P$108,設定!$E$9:$E$108,"&lt;65",設定!$F$9:$F$108,"=1：構成員"),SUMIFS(設定!$Q$9:$Q$108,設定!$E$9:$E$108,"&lt;65",設定!$F$9:$F$108,"=1：構成員")),1)</f>
        <v>0</v>
      </c>
      <c r="Y16" s="394">
        <f>ROUND(SUM(SUMIFS(設定!$O$9:$O$108,設定!$E$9:$E$108,"&gt;=65",設定!$E$9:$E$108,"&lt;70",設定!$F$9:$F$108,"=1：構成員"),SUMIFS(設定!$P$9:$P$108,設定!$E$9:$E$108,"&gt;=65",設定!$E$9:$E$108,"&lt;70",設定!$F$9:$F$108,"=1：構成員"),SUMIFS(設定!$Q$9:$Q$108,設定!$E$9:$E$108,"&gt;=65",設定!$E$9:$E$108,"&lt;70",設定!$F$9:$F$108,"=1：構成員")),1)</f>
        <v>0</v>
      </c>
      <c r="Z16" s="394">
        <f>ROUND(SUM(SUMIFS(設定!$O$9:$O$108,設定!$E$9:$E$108,"&gt;=70",設定!$E$9:$E$108,"&lt;75",設定!$F$9:$F$108,"=1：構成員"),SUMIFS(設定!$P$9:$P$108,設定!$E$9:$E$108,"&gt;=70",設定!$E$9:$E$108,"&lt;75",設定!$F$9:$F$108,"=1：構成員"),SUMIFS(設定!$Q$9:$Q$108,設定!$E$9:$E$108,"&gt;=70",設定!$E$9:$E$108,"&lt;75",設定!$F$9:$F$108,"=1：構成員")),1)</f>
        <v>0</v>
      </c>
      <c r="AA16" s="395">
        <f>ROUND(SUM(SUMIFS(設定!$O$9:$O$108,設定!$E$9:$E$108,"&gt;=75",設定!$F$9:$F$108,"=1：構成員"),SUMIFS(設定!$P$9:$P$108,設定!$E$9:$E$108,"&gt;=75",設定!$F$9:$F$108,"=1：構成員"),SUMIFS(設定!$Q$9:$Q$108,設定!$E$9:$E$108,"&gt;=75",設定!$F$9:$F$108,"=1：構成員")),1)</f>
        <v>0</v>
      </c>
    </row>
    <row r="17" spans="1:35" ht="27" customHeight="1" thickBot="1" x14ac:dyDescent="0.25">
      <c r="B17" s="113"/>
      <c r="C17" s="111" t="s">
        <v>59</v>
      </c>
      <c r="D17" s="599" t="s">
        <v>60</v>
      </c>
      <c r="E17" s="600"/>
      <c r="F17" s="600"/>
      <c r="G17" s="600"/>
      <c r="H17" s="600"/>
      <c r="I17" s="600"/>
      <c r="J17" s="600"/>
      <c r="K17" s="600"/>
      <c r="L17" s="600"/>
      <c r="M17" s="600"/>
      <c r="N17" s="600"/>
      <c r="O17" s="600"/>
      <c r="P17" s="600"/>
      <c r="Q17" s="600"/>
      <c r="R17" s="600"/>
      <c r="S17" s="600"/>
      <c r="T17" s="600"/>
      <c r="U17" s="600"/>
      <c r="V17" s="600"/>
      <c r="W17" s="601"/>
      <c r="X17" s="396">
        <f>ROUND(SUMIFS(設定!$L$9:$L$108,設定!$E$9:$E$108,"&lt;65",設定!$F$9:$F$108,"=1：構成員"),1)</f>
        <v>0</v>
      </c>
      <c r="Y17" s="397">
        <f>ROUND(SUMIFS(設定!$L$9:$L$108,設定!$E$9:$E$108,"&gt;=65",設定!$E$9:$E$108,"&lt;70",設定!$F$9:$F$108,"=1：構成員"),1)</f>
        <v>0</v>
      </c>
      <c r="Z17" s="397">
        <f>ROUND(SUMIFS(設定!$L$9:$L$108,設定!$E$9:$E$108,"&gt;=70",設定!$E$9:$E$108,"&lt;75",設定!$F$9:$F$108,"=1：構成員"),1)</f>
        <v>0</v>
      </c>
      <c r="AA17" s="398">
        <f>ROUND(SUMIFS(設定!$L$9:$L$108,設定!$E$9:$E$108,"&gt;=75",設定!$F$9:$F$108,"=1：構成員"),1)</f>
        <v>0</v>
      </c>
    </row>
    <row r="18" spans="1:35" ht="27" customHeight="1" thickTop="1" thickBot="1" x14ac:dyDescent="0.25">
      <c r="B18" s="113"/>
      <c r="C18" s="114" t="s">
        <v>61</v>
      </c>
      <c r="D18" s="602" t="s">
        <v>62</v>
      </c>
      <c r="E18" s="603"/>
      <c r="F18" s="603"/>
      <c r="G18" s="603"/>
      <c r="H18" s="603"/>
      <c r="I18" s="603"/>
      <c r="J18" s="603"/>
      <c r="K18" s="603"/>
      <c r="L18" s="603"/>
      <c r="M18" s="603"/>
      <c r="N18" s="603"/>
      <c r="O18" s="603"/>
      <c r="P18" s="603"/>
      <c r="Q18" s="603"/>
      <c r="R18" s="603"/>
      <c r="S18" s="603"/>
      <c r="T18" s="603"/>
      <c r="U18" s="603"/>
      <c r="V18" s="603"/>
      <c r="W18" s="604"/>
      <c r="X18" s="399">
        <f>ROUND(SUM(SUMIFS(設定!$M$9:$M$108,設定!$E$9:$E$108,"&lt;65",設定!$F$9:$F$108,"=1：構成員"),SUMIFS(設定!$N$9:$N$108,設定!$E$9:$E$108,"&lt;65",設定!$F$9:$F$108,"=1：構成員")),1)</f>
        <v>0</v>
      </c>
      <c r="Y18" s="400">
        <f>ROUND(SUM(SUMIFS(設定!$M$9:$M$108,設定!$E$9:$E$108,"&gt;=65",設定!$E$9:$E$108,"&lt;70",設定!$F$9:$F$108,"=1：構成員"),SUMIFS(設定!$N$9:$N$108,設定!$E$9:$E$108,"&gt;=65",設定!$E$9:$E$108,"&lt;70",設定!$F$9:$F$108,"=1：構成員")),1)</f>
        <v>0</v>
      </c>
      <c r="Z18" s="400">
        <f>ROUND(SUM(SUMIFS(設定!$M$9:$M$108,設定!$E$9:$E$108,"&gt;=70",設定!$E$9:$E$108,"&lt;75",設定!$F$9:$F$108,"=1：構成員"),SUMIFS(設定!$N$9:$N$108,設定!$E$9:$E$108,"&gt;=70",設定!$E$9:$E$108,"&lt;75",設定!$F$9:$F$108,"=1：構成員")),1)</f>
        <v>0</v>
      </c>
      <c r="AA18" s="401">
        <f>ROUND(SUM(SUMIFS(設定!$M$9:$M$108,設定!$E$9:$E$108,"&gt;=75",設定!$F$9:$F$108,"=1：構成員"),SUMIFS(設定!$N$9:$N$108,設定!$E$9:$E$108,"&gt;=75",設定!$F$9:$F$108,"=1：構成員")),1)</f>
        <v>0</v>
      </c>
    </row>
    <row r="19" spans="1:35" ht="14.25" customHeight="1" x14ac:dyDescent="0.2">
      <c r="B19" s="113"/>
    </row>
    <row r="20" spans="1:35" ht="14.25" customHeight="1" x14ac:dyDescent="0.2">
      <c r="B20" s="113"/>
    </row>
    <row r="21" spans="1:35" ht="14.25" customHeight="1" x14ac:dyDescent="0.2">
      <c r="B21" s="72"/>
      <c r="C21" s="72"/>
      <c r="D21" s="72"/>
      <c r="E21" s="72"/>
    </row>
    <row r="22" spans="1:35" ht="30" customHeight="1" x14ac:dyDescent="0.25">
      <c r="A22" s="29"/>
      <c r="B22" s="72"/>
      <c r="C22" s="162" t="s">
        <v>105</v>
      </c>
      <c r="D22" s="18"/>
      <c r="V22" s="115"/>
      <c r="W22" s="115"/>
      <c r="X22" s="115"/>
      <c r="Y22" s="115"/>
    </row>
    <row r="23" spans="1:35" ht="14.25" customHeight="1" thickBot="1" x14ac:dyDescent="0.25">
      <c r="A23" s="18"/>
      <c r="V23" s="115"/>
      <c r="W23" s="115"/>
      <c r="X23" s="115"/>
      <c r="Y23" s="115"/>
    </row>
    <row r="24" spans="1:35" ht="22.95" customHeight="1" x14ac:dyDescent="0.2">
      <c r="A24" s="18"/>
      <c r="C24" s="584" t="s">
        <v>44</v>
      </c>
      <c r="D24" s="584" t="s">
        <v>45</v>
      </c>
      <c r="E24" s="605"/>
      <c r="F24" s="605"/>
      <c r="G24" s="605"/>
      <c r="H24" s="605"/>
      <c r="I24" s="605"/>
      <c r="J24" s="605"/>
      <c r="K24" s="605"/>
      <c r="L24" s="605"/>
      <c r="M24" s="605"/>
      <c r="N24" s="605"/>
      <c r="O24" s="605"/>
      <c r="P24" s="605"/>
      <c r="Q24" s="605"/>
      <c r="R24" s="605"/>
      <c r="S24" s="605"/>
      <c r="T24" s="605"/>
      <c r="U24" s="605"/>
      <c r="V24" s="605"/>
      <c r="W24" s="606"/>
      <c r="X24" s="597" t="s">
        <v>35</v>
      </c>
    </row>
    <row r="25" spans="1:35" ht="22.95" customHeight="1" thickBot="1" x14ac:dyDescent="0.25">
      <c r="C25" s="586"/>
      <c r="D25" s="586"/>
      <c r="E25" s="607"/>
      <c r="F25" s="607"/>
      <c r="G25" s="607"/>
      <c r="H25" s="607"/>
      <c r="I25" s="607"/>
      <c r="J25" s="607"/>
      <c r="K25" s="607"/>
      <c r="L25" s="607"/>
      <c r="M25" s="607"/>
      <c r="N25" s="607"/>
      <c r="O25" s="607"/>
      <c r="P25" s="607"/>
      <c r="Q25" s="607"/>
      <c r="R25" s="607"/>
      <c r="S25" s="607"/>
      <c r="T25" s="607"/>
      <c r="U25" s="607"/>
      <c r="V25" s="607"/>
      <c r="W25" s="608"/>
      <c r="X25" s="598"/>
    </row>
    <row r="26" spans="1:35" ht="27" customHeight="1" thickTop="1" x14ac:dyDescent="0.2">
      <c r="C26" s="107" t="s">
        <v>63</v>
      </c>
      <c r="D26" s="615" t="s">
        <v>50</v>
      </c>
      <c r="E26" s="616"/>
      <c r="F26" s="616"/>
      <c r="G26" s="616"/>
      <c r="H26" s="616"/>
      <c r="I26" s="616"/>
      <c r="J26" s="616"/>
      <c r="K26" s="616"/>
      <c r="L26" s="616"/>
      <c r="M26" s="616"/>
      <c r="N26" s="616"/>
      <c r="O26" s="616"/>
      <c r="P26" s="616"/>
      <c r="Q26" s="616"/>
      <c r="R26" s="616"/>
      <c r="S26" s="616"/>
      <c r="T26" s="616"/>
      <c r="U26" s="616"/>
      <c r="V26" s="616"/>
      <c r="W26" s="617"/>
      <c r="X26" s="380">
        <f>ROUND(SUMIFS(設定!$H$9:$H$108,設定!$F$9:$F$108,"=2：雇用"),1)</f>
        <v>0</v>
      </c>
    </row>
    <row r="27" spans="1:35" ht="27" customHeight="1" x14ac:dyDescent="0.2">
      <c r="B27" s="68"/>
      <c r="C27" s="111" t="s">
        <v>51</v>
      </c>
      <c r="D27" s="609" t="s">
        <v>52</v>
      </c>
      <c r="E27" s="610"/>
      <c r="F27" s="610"/>
      <c r="G27" s="610"/>
      <c r="H27" s="610"/>
      <c r="I27" s="610"/>
      <c r="J27" s="610"/>
      <c r="K27" s="610"/>
      <c r="L27" s="610"/>
      <c r="M27" s="610"/>
      <c r="N27" s="610"/>
      <c r="O27" s="610"/>
      <c r="P27" s="610"/>
      <c r="Q27" s="610"/>
      <c r="R27" s="610"/>
      <c r="S27" s="610"/>
      <c r="T27" s="610"/>
      <c r="U27" s="610"/>
      <c r="V27" s="610"/>
      <c r="W27" s="611"/>
      <c r="X27" s="381">
        <f>ROUND(SUMIFS(設定!$I$9:$I$108,設定!$F$9:$F$108,"=2：雇用"),1)</f>
        <v>0</v>
      </c>
      <c r="Y27" s="116"/>
    </row>
    <row r="28" spans="1:35" ht="27" customHeight="1" x14ac:dyDescent="0.2">
      <c r="C28" s="111" t="s">
        <v>53</v>
      </c>
      <c r="D28" s="612" t="s">
        <v>54</v>
      </c>
      <c r="E28" s="613"/>
      <c r="F28" s="613"/>
      <c r="G28" s="613"/>
      <c r="H28" s="613"/>
      <c r="I28" s="613"/>
      <c r="J28" s="613"/>
      <c r="K28" s="613"/>
      <c r="L28" s="613"/>
      <c r="M28" s="613"/>
      <c r="N28" s="613"/>
      <c r="O28" s="613"/>
      <c r="P28" s="613"/>
      <c r="Q28" s="613"/>
      <c r="R28" s="613"/>
      <c r="S28" s="613"/>
      <c r="T28" s="613"/>
      <c r="U28" s="613"/>
      <c r="V28" s="613"/>
      <c r="W28" s="614"/>
      <c r="X28" s="382">
        <f>ROUND(SUMIFS(設定!$J$9:$J$108,設定!$F$9:$F$108,"=2：雇用"),1)</f>
        <v>0</v>
      </c>
      <c r="Y28" s="116"/>
    </row>
    <row r="29" spans="1:35" ht="27" customHeight="1" x14ac:dyDescent="0.2">
      <c r="C29" s="111" t="s">
        <v>55</v>
      </c>
      <c r="D29" s="609" t="s">
        <v>56</v>
      </c>
      <c r="E29" s="610"/>
      <c r="F29" s="610"/>
      <c r="G29" s="610"/>
      <c r="H29" s="610"/>
      <c r="I29" s="610"/>
      <c r="J29" s="610"/>
      <c r="K29" s="610"/>
      <c r="L29" s="610"/>
      <c r="M29" s="610"/>
      <c r="N29" s="610"/>
      <c r="O29" s="610"/>
      <c r="P29" s="610"/>
      <c r="Q29" s="610"/>
      <c r="R29" s="610"/>
      <c r="S29" s="610"/>
      <c r="T29" s="610"/>
      <c r="U29" s="610"/>
      <c r="V29" s="610"/>
      <c r="W29" s="611"/>
      <c r="X29" s="381">
        <f>ROUND(SUMIFS(設定!$K$9:$K$108,設定!$F$9:$F$108,"=2：雇用"),1)</f>
        <v>0</v>
      </c>
      <c r="Y29" s="116"/>
    </row>
    <row r="30" spans="1:35" ht="27" customHeight="1" thickBot="1" x14ac:dyDescent="0.25">
      <c r="B30" s="68"/>
      <c r="C30" s="111" t="s">
        <v>64</v>
      </c>
      <c r="D30" s="599" t="s">
        <v>60</v>
      </c>
      <c r="E30" s="600"/>
      <c r="F30" s="600"/>
      <c r="G30" s="600"/>
      <c r="H30" s="600"/>
      <c r="I30" s="600"/>
      <c r="J30" s="600"/>
      <c r="K30" s="600"/>
      <c r="L30" s="600"/>
      <c r="M30" s="600"/>
      <c r="N30" s="600"/>
      <c r="O30" s="600"/>
      <c r="P30" s="600"/>
      <c r="Q30" s="600"/>
      <c r="R30" s="600"/>
      <c r="S30" s="600"/>
      <c r="T30" s="600"/>
      <c r="U30" s="600"/>
      <c r="V30" s="600"/>
      <c r="W30" s="601"/>
      <c r="X30" s="383">
        <f>ROUND(SUMIFS(設定!$L$9:$L$108,設定!$F$9:$F$108,"=2：雇用"),1)</f>
        <v>0</v>
      </c>
      <c r="Y30" s="116"/>
      <c r="AC30" s="106"/>
      <c r="AD30" s="106"/>
      <c r="AE30" s="106"/>
      <c r="AF30" s="106"/>
      <c r="AG30" s="106"/>
      <c r="AH30" s="106"/>
    </row>
    <row r="31" spans="1:35" ht="27" customHeight="1" thickTop="1" thickBot="1" x14ac:dyDescent="0.25">
      <c r="B31" s="117"/>
      <c r="C31" s="114" t="s">
        <v>65</v>
      </c>
      <c r="D31" s="602" t="s">
        <v>62</v>
      </c>
      <c r="E31" s="603"/>
      <c r="F31" s="603"/>
      <c r="G31" s="603"/>
      <c r="H31" s="603"/>
      <c r="I31" s="603"/>
      <c r="J31" s="603"/>
      <c r="K31" s="603"/>
      <c r="L31" s="603"/>
      <c r="M31" s="603"/>
      <c r="N31" s="603"/>
      <c r="O31" s="603"/>
      <c r="P31" s="603"/>
      <c r="Q31" s="603"/>
      <c r="R31" s="603"/>
      <c r="S31" s="603"/>
      <c r="T31" s="603"/>
      <c r="U31" s="603"/>
      <c r="V31" s="603"/>
      <c r="W31" s="604"/>
      <c r="X31" s="384">
        <f>ROUND(SUM(SUMIFS(設定!$M$9:$M$108,設定!$F$9:$F$108,"=2：雇用"),SUMIFS(設定!$N$9:$N$108,設定!$F$9:$F$108,"=2：雇用")),1)</f>
        <v>0</v>
      </c>
      <c r="Y31" s="116"/>
      <c r="Z31" s="118"/>
      <c r="AA31" s="118"/>
      <c r="AC31" s="119"/>
      <c r="AD31" s="119"/>
      <c r="AE31" s="119"/>
      <c r="AF31" s="119"/>
      <c r="AG31" s="119"/>
      <c r="AH31" s="119"/>
    </row>
    <row r="32" spans="1:35" ht="13.95" customHeight="1" x14ac:dyDescent="0.2">
      <c r="Y32" s="118"/>
      <c r="Z32" s="118"/>
      <c r="AA32" s="118"/>
      <c r="AB32" s="106"/>
      <c r="AC32" s="120"/>
      <c r="AD32" s="120"/>
      <c r="AE32" s="121"/>
      <c r="AF32" s="120"/>
      <c r="AG32" s="120"/>
      <c r="AH32" s="121"/>
      <c r="AI32" s="122"/>
    </row>
  </sheetData>
  <sheetProtection formatCells="0" formatColumns="0" formatRows="0" insertColumns="0" insertRows="0" insertHyperlinks="0" deleteColumns="0" deleteRows="0" selectLockedCells="1" sort="0"/>
  <mergeCells count="19">
    <mergeCell ref="D17:W17"/>
    <mergeCell ref="D18:W18"/>
    <mergeCell ref="C10:C11"/>
    <mergeCell ref="D10:W11"/>
    <mergeCell ref="X10:AA10"/>
    <mergeCell ref="D12:W12"/>
    <mergeCell ref="D13:W13"/>
    <mergeCell ref="D14:W14"/>
    <mergeCell ref="D15:W15"/>
    <mergeCell ref="D16:W16"/>
    <mergeCell ref="X24:X25"/>
    <mergeCell ref="D30:W30"/>
    <mergeCell ref="D31:W31"/>
    <mergeCell ref="C24:C25"/>
    <mergeCell ref="D24:W25"/>
    <mergeCell ref="D27:W27"/>
    <mergeCell ref="D28:W28"/>
    <mergeCell ref="D29:W29"/>
    <mergeCell ref="D26:W26"/>
  </mergeCells>
  <phoneticPr fontId="2"/>
  <conditionalFormatting sqref="C2">
    <cfRule type="containsText" dxfId="1" priority="1" operator="containsText" text="※">
      <formula>NOT(ISERROR(SEARCH("※",C2)))</formula>
    </cfRule>
  </conditionalFormatting>
  <printOptions horizontalCentered="1"/>
  <pageMargins left="0.39370078740157483" right="0.39370078740157483" top="0.59055118110236227" bottom="0.59055118110236227" header="0.19685039370078741" footer="0.19685039370078741"/>
  <pageSetup paperSize="8" orientation="landscape" r:id="rId1"/>
  <headerFooter scaleWithDoc="0"/>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3D8CC-B17D-473B-AAF0-E0CA3932A464}">
  <sheetPr codeName="Sheet7">
    <pageSetUpPr fitToPage="1"/>
  </sheetPr>
  <dimension ref="A1:BF29"/>
  <sheetViews>
    <sheetView showGridLines="0" view="pageBreakPreview" zoomScaleNormal="90" zoomScaleSheetLayoutView="100" workbookViewId="0"/>
  </sheetViews>
  <sheetFormatPr defaultColWidth="2.77734375" defaultRowHeight="14.25" customHeight="1" x14ac:dyDescent="0.2"/>
  <cols>
    <col min="1" max="2" width="2.77734375" style="19"/>
    <col min="3" max="3" width="31.21875" style="19" customWidth="1"/>
    <col min="4" max="5" width="8.6640625" style="19" customWidth="1"/>
    <col min="6" max="23" width="2.77734375" style="19"/>
    <col min="24" max="26" width="17" style="19" customWidth="1"/>
    <col min="27" max="27" width="16.88671875" style="19" customWidth="1"/>
    <col min="28" max="28" width="2.77734375" style="19"/>
    <col min="29" max="29" width="2.77734375" style="19" customWidth="1"/>
    <col min="30" max="31" width="2.77734375" style="19"/>
    <col min="32" max="32" width="2.77734375" style="19" customWidth="1"/>
    <col min="33" max="16384" width="2.77734375" style="19"/>
  </cols>
  <sheetData>
    <row r="1" spans="1:58" s="25" customFormat="1" ht="18" customHeight="1" x14ac:dyDescent="0.2">
      <c r="A1" s="135"/>
      <c r="C1" s="163" t="s">
        <v>108</v>
      </c>
      <c r="D1" s="68"/>
      <c r="E1" s="68"/>
      <c r="F1" s="68"/>
      <c r="G1" s="68"/>
      <c r="H1" s="68"/>
      <c r="I1" s="68"/>
      <c r="J1" s="68"/>
      <c r="K1" s="68"/>
      <c r="L1" s="68"/>
      <c r="M1" s="68"/>
      <c r="N1" s="68"/>
      <c r="O1" s="68"/>
      <c r="P1" s="19"/>
      <c r="Q1" s="19"/>
      <c r="R1" s="69"/>
      <c r="AC1" s="94"/>
      <c r="AD1" s="94"/>
      <c r="AE1" s="94"/>
      <c r="AF1" s="94"/>
      <c r="AG1" s="94"/>
      <c r="AH1" s="94"/>
      <c r="AI1" s="94"/>
      <c r="AJ1" s="94"/>
      <c r="AK1" s="94"/>
      <c r="AL1" s="94"/>
      <c r="AM1" s="94"/>
      <c r="AN1" s="94"/>
      <c r="AO1" s="94"/>
      <c r="AP1" s="94"/>
      <c r="AQ1" s="94"/>
      <c r="AR1" s="94"/>
      <c r="AS1" s="94"/>
      <c r="BC1" s="94"/>
      <c r="BD1" s="94"/>
      <c r="BE1" s="94"/>
      <c r="BF1" s="94"/>
    </row>
    <row r="2" spans="1:58" s="25" customFormat="1" ht="30" hidden="1" customHeight="1" x14ac:dyDescent="0.25">
      <c r="A2" s="135"/>
      <c r="B2" s="68"/>
      <c r="C2" s="160"/>
      <c r="D2" s="68"/>
      <c r="E2" s="68"/>
      <c r="F2" s="68"/>
      <c r="G2" s="68"/>
      <c r="H2" s="68"/>
      <c r="I2" s="68"/>
      <c r="J2" s="68"/>
      <c r="K2" s="68"/>
      <c r="L2" s="68"/>
      <c r="M2" s="68"/>
      <c r="N2" s="68"/>
      <c r="O2" s="68"/>
      <c r="P2" s="19"/>
      <c r="Q2" s="19"/>
      <c r="S2" s="70"/>
      <c r="AC2" s="94"/>
      <c r="AD2" s="94"/>
      <c r="AE2" s="94"/>
      <c r="AF2" s="94"/>
      <c r="AG2" s="94"/>
      <c r="AH2" s="94"/>
      <c r="AI2" s="94"/>
      <c r="AJ2" s="94"/>
      <c r="AK2" s="94"/>
      <c r="AL2" s="94"/>
      <c r="AM2" s="94"/>
      <c r="AN2" s="94"/>
      <c r="AO2" s="94"/>
      <c r="AP2" s="94"/>
      <c r="AQ2" s="94"/>
      <c r="AR2" s="94"/>
      <c r="AS2" s="94"/>
      <c r="BC2" s="94"/>
      <c r="BD2" s="94"/>
      <c r="BE2" s="94"/>
      <c r="BF2" s="94"/>
    </row>
    <row r="3" spans="1:58" s="25" customFormat="1" ht="12.75" hidden="1" customHeight="1" x14ac:dyDescent="0.2">
      <c r="A3" s="135"/>
      <c r="B3" s="68"/>
      <c r="C3" s="68"/>
      <c r="D3" s="68"/>
      <c r="E3" s="68"/>
      <c r="F3" s="68"/>
      <c r="G3" s="68"/>
      <c r="H3" s="19"/>
      <c r="I3" s="19"/>
      <c r="J3" s="20"/>
      <c r="K3" s="19"/>
      <c r="L3" s="26"/>
      <c r="M3" s="20"/>
      <c r="N3" s="19"/>
      <c r="P3" s="19"/>
      <c r="Q3" s="19"/>
      <c r="AC3" s="144"/>
      <c r="AD3" s="94"/>
      <c r="AE3" s="94"/>
      <c r="AF3" s="94"/>
      <c r="AG3" s="94"/>
      <c r="AH3" s="94"/>
      <c r="AI3" s="94"/>
      <c r="AJ3" s="94"/>
      <c r="AK3" s="94"/>
      <c r="AL3" s="94"/>
      <c r="AM3" s="94"/>
      <c r="AN3" s="94"/>
      <c r="AO3" s="94"/>
      <c r="AP3" s="94"/>
      <c r="AQ3" s="94"/>
      <c r="AR3" s="94"/>
      <c r="AS3" s="94"/>
      <c r="AV3" s="70"/>
      <c r="BC3" s="94"/>
      <c r="BD3" s="94"/>
      <c r="BE3" s="94"/>
      <c r="BF3" s="94"/>
    </row>
    <row r="4" spans="1:58" s="25" customFormat="1" ht="25.2" hidden="1" customHeight="1" x14ac:dyDescent="0.25">
      <c r="A4" s="135"/>
      <c r="B4" s="68"/>
      <c r="C4" s="159"/>
      <c r="D4" s="68"/>
      <c r="E4" s="68"/>
      <c r="F4" s="68"/>
      <c r="G4" s="68"/>
      <c r="H4" s="19"/>
      <c r="I4" s="19"/>
      <c r="J4" s="20"/>
      <c r="K4" s="19"/>
      <c r="L4" s="26"/>
      <c r="M4" s="20"/>
      <c r="N4" s="19"/>
      <c r="P4" s="19"/>
      <c r="Q4" s="19"/>
      <c r="S4" s="71"/>
      <c r="T4" s="149"/>
      <c r="AC4" s="144"/>
      <c r="AD4" s="94"/>
      <c r="AE4" s="94"/>
      <c r="AF4" s="94"/>
      <c r="AG4" s="94"/>
      <c r="AH4" s="94"/>
      <c r="AI4" s="94"/>
      <c r="AJ4" s="94"/>
      <c r="AK4" s="94"/>
      <c r="AL4" s="94"/>
      <c r="AM4" s="94"/>
      <c r="AN4" s="94"/>
      <c r="AO4" s="94"/>
      <c r="AP4" s="94"/>
      <c r="AQ4" s="94"/>
      <c r="AR4" s="94"/>
      <c r="AS4" s="94"/>
      <c r="AV4" s="70"/>
      <c r="BC4" s="94"/>
      <c r="BD4" s="94"/>
      <c r="BE4" s="94"/>
      <c r="BF4" s="94"/>
    </row>
    <row r="5" spans="1:58" s="25" customFormat="1" ht="25.2" hidden="1" customHeight="1" x14ac:dyDescent="0.25">
      <c r="A5" s="135"/>
      <c r="B5" s="27"/>
      <c r="C5" s="159"/>
      <c r="D5" s="20"/>
      <c r="E5" s="20"/>
      <c r="F5" s="20"/>
      <c r="G5" s="19"/>
      <c r="H5" s="19"/>
      <c r="I5" s="19"/>
      <c r="J5" s="20"/>
      <c r="K5" s="19"/>
      <c r="L5" s="26"/>
      <c r="M5" s="20"/>
      <c r="N5" s="19"/>
      <c r="P5" s="19"/>
      <c r="Q5" s="19"/>
      <c r="AC5" s="94"/>
      <c r="AD5" s="94"/>
      <c r="AE5" s="94"/>
      <c r="AF5" s="94"/>
      <c r="AG5" s="94"/>
      <c r="AH5" s="94"/>
      <c r="AI5" s="94"/>
      <c r="AJ5" s="94"/>
      <c r="AK5" s="94"/>
      <c r="AL5" s="94"/>
      <c r="AM5" s="94"/>
      <c r="AN5" s="94"/>
      <c r="AO5" s="94"/>
      <c r="AP5" s="94"/>
      <c r="AQ5" s="94"/>
      <c r="AR5" s="94"/>
      <c r="AS5" s="94"/>
      <c r="BC5" s="94"/>
      <c r="BD5" s="94"/>
      <c r="BE5" s="94"/>
      <c r="BF5" s="94"/>
    </row>
    <row r="6" spans="1:58" ht="14.25" hidden="1" customHeight="1" x14ac:dyDescent="0.2">
      <c r="G6" s="20"/>
      <c r="H6" s="20"/>
      <c r="I6" s="20"/>
      <c r="L6" s="20"/>
      <c r="M6" s="20"/>
      <c r="N6" s="26"/>
      <c r="O6" s="26"/>
      <c r="P6" s="20"/>
      <c r="Q6" s="20"/>
      <c r="R6" s="20"/>
      <c r="AA6" s="20"/>
      <c r="AB6" s="26"/>
      <c r="AC6" s="26"/>
      <c r="AD6" s="20"/>
      <c r="AE6" s="20"/>
      <c r="AF6" s="20"/>
    </row>
    <row r="7" spans="1:58" ht="14.25" customHeight="1" x14ac:dyDescent="0.2">
      <c r="D7" s="68"/>
      <c r="E7" s="68"/>
      <c r="F7" s="68"/>
    </row>
    <row r="8" spans="1:58" ht="30" customHeight="1" x14ac:dyDescent="0.25">
      <c r="A8" s="68"/>
      <c r="C8" s="162" t="s">
        <v>104</v>
      </c>
      <c r="D8" s="68"/>
      <c r="E8" s="68"/>
      <c r="F8" s="68"/>
      <c r="U8" s="68"/>
      <c r="V8" s="68"/>
      <c r="W8" s="68"/>
      <c r="X8" s="68"/>
      <c r="Y8" s="68"/>
      <c r="Z8" s="68"/>
    </row>
    <row r="9" spans="1:58" ht="14.25" customHeight="1" thickBot="1" x14ac:dyDescent="0.25"/>
    <row r="10" spans="1:58" ht="22.95" customHeight="1" x14ac:dyDescent="0.2">
      <c r="C10" s="491" t="s">
        <v>44</v>
      </c>
      <c r="D10" s="584" t="s">
        <v>45</v>
      </c>
      <c r="E10" s="605"/>
      <c r="F10" s="605"/>
      <c r="G10" s="605"/>
      <c r="H10" s="605"/>
      <c r="I10" s="605"/>
      <c r="J10" s="605"/>
      <c r="K10" s="605"/>
      <c r="L10" s="605"/>
      <c r="M10" s="605"/>
      <c r="N10" s="605"/>
      <c r="O10" s="605"/>
      <c r="P10" s="605"/>
      <c r="Q10" s="605"/>
      <c r="R10" s="605"/>
      <c r="S10" s="605"/>
      <c r="T10" s="605"/>
      <c r="U10" s="605"/>
      <c r="V10" s="605"/>
      <c r="W10" s="606"/>
      <c r="X10" s="620" t="s">
        <v>46</v>
      </c>
      <c r="Y10" s="621"/>
      <c r="Z10" s="621"/>
      <c r="AA10" s="622"/>
      <c r="AB10" s="105"/>
      <c r="AC10" s="105"/>
      <c r="AD10" s="105"/>
      <c r="AE10" s="105"/>
      <c r="AF10" s="105"/>
      <c r="AG10" s="105"/>
    </row>
    <row r="11" spans="1:58" ht="22.95" customHeight="1" thickBot="1" x14ac:dyDescent="0.25">
      <c r="B11" s="68"/>
      <c r="C11" s="492"/>
      <c r="D11" s="585"/>
      <c r="E11" s="618"/>
      <c r="F11" s="618"/>
      <c r="G11" s="618"/>
      <c r="H11" s="618"/>
      <c r="I11" s="618"/>
      <c r="J11" s="618"/>
      <c r="K11" s="618"/>
      <c r="L11" s="618"/>
      <c r="M11" s="618"/>
      <c r="N11" s="618"/>
      <c r="O11" s="618"/>
      <c r="P11" s="618"/>
      <c r="Q11" s="618"/>
      <c r="R11" s="618"/>
      <c r="S11" s="618"/>
      <c r="T11" s="618"/>
      <c r="U11" s="618"/>
      <c r="V11" s="618"/>
      <c r="W11" s="619"/>
      <c r="X11" s="164" t="s">
        <v>14</v>
      </c>
      <c r="Y11" s="165" t="s">
        <v>47</v>
      </c>
      <c r="Z11" s="165" t="s">
        <v>48</v>
      </c>
      <c r="AA11" s="166" t="s">
        <v>15</v>
      </c>
      <c r="AB11" s="105"/>
      <c r="AC11" s="105"/>
      <c r="AD11" s="105"/>
      <c r="AE11" s="105"/>
      <c r="AF11" s="105"/>
      <c r="AG11" s="105"/>
      <c r="AH11" s="106"/>
    </row>
    <row r="12" spans="1:58" ht="27" customHeight="1" thickTop="1" x14ac:dyDescent="0.2">
      <c r="C12" s="107" t="s">
        <v>49</v>
      </c>
      <c r="D12" s="615" t="s">
        <v>50</v>
      </c>
      <c r="E12" s="616"/>
      <c r="F12" s="616"/>
      <c r="G12" s="616"/>
      <c r="H12" s="616"/>
      <c r="I12" s="616"/>
      <c r="J12" s="616"/>
      <c r="K12" s="616"/>
      <c r="L12" s="616"/>
      <c r="M12" s="616"/>
      <c r="N12" s="616"/>
      <c r="O12" s="616"/>
      <c r="P12" s="616"/>
      <c r="Q12" s="616"/>
      <c r="R12" s="616"/>
      <c r="S12" s="616"/>
      <c r="T12" s="616"/>
      <c r="U12" s="616"/>
      <c r="V12" s="616"/>
      <c r="W12" s="617"/>
      <c r="X12" s="385">
        <f>ROUND(SUMIFS(設定!$H$9:$H$108,設定!$E$9:$E$108,"&lt;65",設定!$F$9:$F$108,"=1：構成員"),1)</f>
        <v>0</v>
      </c>
      <c r="Y12" s="386">
        <f>ROUND(SUMIFS(設定!$H$9:$H$108,設定!$E$9:$E$108,"&gt;=65",設定!$E$9:$E$108,"&lt;70",設定!$F$9:$F$108,"=1：構成員"),1)</f>
        <v>0</v>
      </c>
      <c r="Z12" s="386">
        <f>ROUND(SUMIFS(設定!$H$9:$H$108,設定!$E$9:$E$108,"&gt;=70",設定!$E$9:$E$108,"&lt;75",設定!$F$9:$F$108,"=1：構成員"),1)</f>
        <v>0</v>
      </c>
      <c r="AA12" s="387">
        <f>ROUND(SUMIFS(設定!$H$9:$H$108,設定!$E$9:$E$108,"&gt;=75",設定!$F$9:$F$108,"=1：構成員"),1)</f>
        <v>0</v>
      </c>
      <c r="AB12" s="108"/>
      <c r="AC12" s="108"/>
      <c r="AD12" s="108"/>
      <c r="AE12" s="109"/>
      <c r="AF12" s="108"/>
      <c r="AG12" s="109"/>
      <c r="AH12" s="106"/>
    </row>
    <row r="13" spans="1:58" ht="27" customHeight="1" x14ac:dyDescent="0.2">
      <c r="B13" s="110"/>
      <c r="C13" s="111" t="s">
        <v>51</v>
      </c>
      <c r="D13" s="609" t="s">
        <v>52</v>
      </c>
      <c r="E13" s="610"/>
      <c r="F13" s="610"/>
      <c r="G13" s="610"/>
      <c r="H13" s="610"/>
      <c r="I13" s="610"/>
      <c r="J13" s="610"/>
      <c r="K13" s="610"/>
      <c r="L13" s="610"/>
      <c r="M13" s="610"/>
      <c r="N13" s="610"/>
      <c r="O13" s="610"/>
      <c r="P13" s="610"/>
      <c r="Q13" s="610"/>
      <c r="R13" s="610"/>
      <c r="S13" s="610"/>
      <c r="T13" s="610"/>
      <c r="U13" s="610"/>
      <c r="V13" s="610"/>
      <c r="W13" s="611"/>
      <c r="X13" s="381">
        <f>ROUND(SUMIFS(設定!$I$9:$I$108,設定!$E$9:$E$108,"&lt;65",設定!$F$9:$F$108,"=1：構成員"),1)</f>
        <v>0</v>
      </c>
      <c r="Y13" s="388">
        <f>ROUND(SUMIFS(設定!$I$9:$I$108,設定!$E$9:$E$108,"&gt;=65",設定!$E$9:$E$108,"&lt;70",設定!$F$9:$F$108,"=1：構成員"),1)</f>
        <v>0</v>
      </c>
      <c r="Z13" s="388">
        <f>ROUND(SUMIFS(設定!$I$9:$I$108,設定!$E$9:$E$108,"&gt;=70",設定!$E$9:$E$108,"&lt;75",設定!$F$9:$F$108,"=1：構成員"),1)</f>
        <v>0</v>
      </c>
      <c r="AA13" s="389">
        <f>ROUND(SUMIFS(設定!$I$9:$I$108,設定!$E$9:$E$108,"&gt;=75",設定!$F$9:$F$108,"=1：構成員"),1)</f>
        <v>0</v>
      </c>
      <c r="AF13" s="108"/>
      <c r="AG13" s="108"/>
      <c r="AH13" s="112"/>
    </row>
    <row r="14" spans="1:58" ht="27" customHeight="1" x14ac:dyDescent="0.2">
      <c r="C14" s="111" t="s">
        <v>55</v>
      </c>
      <c r="D14" s="609" t="s">
        <v>56</v>
      </c>
      <c r="E14" s="610"/>
      <c r="F14" s="610"/>
      <c r="G14" s="610"/>
      <c r="H14" s="610"/>
      <c r="I14" s="610"/>
      <c r="J14" s="610"/>
      <c r="K14" s="610"/>
      <c r="L14" s="610"/>
      <c r="M14" s="610"/>
      <c r="N14" s="610"/>
      <c r="O14" s="610"/>
      <c r="P14" s="610"/>
      <c r="Q14" s="610"/>
      <c r="R14" s="610"/>
      <c r="S14" s="610"/>
      <c r="T14" s="610"/>
      <c r="U14" s="610"/>
      <c r="V14" s="610"/>
      <c r="W14" s="611"/>
      <c r="X14" s="390">
        <f>ROUND(SUMIFS(設定!$J$9:$J$108,設定!$E$9:$E$108,"&lt;65",設定!$F$9:$F$108,"=1：構成員"),1)</f>
        <v>0</v>
      </c>
      <c r="Y14" s="391">
        <f>ROUND(SUMIFS(設定!$J$9:$J$108,設定!$E$9:$E$108,"&gt;=65",設定!$E$9:$E$108,"&lt;70",設定!$F$9:$F$108,"=1：構成員"),1)</f>
        <v>0</v>
      </c>
      <c r="Z14" s="391">
        <f>ROUND(SUMIFS(設定!$J$9:$J$108,設定!$E$9:$E$108,"&gt;=70",設定!$E$9:$E$108,"&lt;75",設定!$F$9:$F$108,"=1：構成員"),1)</f>
        <v>0</v>
      </c>
      <c r="AA14" s="392">
        <f>ROUND(SUMIFS(設定!$J$9:$J$108,設定!$E$9:$E$108,"&gt;=75",設定!$F$9:$F$108,"=1：構成員"),1)</f>
        <v>0</v>
      </c>
      <c r="AH14" s="112"/>
    </row>
    <row r="15" spans="1:58" ht="27" customHeight="1" x14ac:dyDescent="0.2">
      <c r="B15" s="113"/>
      <c r="C15" s="111" t="s">
        <v>57</v>
      </c>
      <c r="D15" s="599" t="s">
        <v>58</v>
      </c>
      <c r="E15" s="600"/>
      <c r="F15" s="600"/>
      <c r="G15" s="600"/>
      <c r="H15" s="600"/>
      <c r="I15" s="600"/>
      <c r="J15" s="600"/>
      <c r="K15" s="600"/>
      <c r="L15" s="600"/>
      <c r="M15" s="600"/>
      <c r="N15" s="600"/>
      <c r="O15" s="600"/>
      <c r="P15" s="600"/>
      <c r="Q15" s="600"/>
      <c r="R15" s="600"/>
      <c r="S15" s="600"/>
      <c r="T15" s="600"/>
      <c r="U15" s="600"/>
      <c r="V15" s="600"/>
      <c r="W15" s="601"/>
      <c r="X15" s="393">
        <f>ROUND(SUM(SUMIFS(設定!$O$9:$O$108,設定!$E$9:$E$108,"&lt;65",設定!$F$9:$F$108,"=1：構成員"),SUMIFS(設定!$P$9:$P$108,設定!$E$9:$E$108,"&lt;65",設定!$F$9:$F$108,"=1：構成員"),SUMIFS(設定!$Q$9:$Q$108,設定!$E$9:$E$108,"&lt;65",設定!$F$9:$F$108,"=1：構成員")),1)</f>
        <v>0</v>
      </c>
      <c r="Y15" s="394">
        <f>ROUND(SUM(SUMIFS(設定!$O$9:$O$108,設定!$E$9:$E$108,"&gt;=65",設定!$E$9:$E$108,"&lt;70",設定!$F$9:$F$108,"=1：構成員"),SUMIFS(設定!$P$9:$P$108,設定!$E$9:$E$108,"&gt;=65",設定!$E$9:$E$108,"&lt;70",設定!$F$9:$F$108,"=1：構成員"),SUMIFS(設定!$Q$9:$Q$108,設定!$E$9:$E$108,"&gt;=65",設定!$E$9:$E$108,"&lt;70",設定!$F$9:$F$108,"=1：構成員")),1)</f>
        <v>0</v>
      </c>
      <c r="Z15" s="394">
        <f>ROUND(SUM(SUMIFS(設定!$O$9:$O$108,設定!$E$9:$E$108,"&gt;=70",設定!$E$9:$E$108,"&lt;75",設定!$F$9:$F$108,"=1：構成員"),SUMIFS(設定!$P$9:$P$108,設定!$E$9:$E$108,"&gt;=70",設定!$E$9:$E$108,"&lt;75",設定!$F$9:$F$108,"=1：構成員"),SUMIFS(設定!$Q$9:$Q$108,設定!$E$9:$E$108,"&gt;=70",設定!$E$9:$E$108,"&lt;75",設定!$F$9:$F$108,"=1：構成員")),1)</f>
        <v>0</v>
      </c>
      <c r="AA15" s="395">
        <f>ROUND(SUM(SUMIFS(設定!$O$9:$O$108,設定!$E$9:$E$108,"&gt;=75",設定!$F$9:$F$108,"=1：構成員"),SUMIFS(設定!$P$9:$P$108,設定!$E$9:$E$108,"&gt;=75",設定!$F$9:$F$108,"=1：構成員"),SUMIFS(設定!$Q$9:$Q$108,設定!$E$9:$E$108,"&gt;=75",設定!$F$9:$F$108,"=1：構成員")),1)</f>
        <v>0</v>
      </c>
    </row>
    <row r="16" spans="1:58" ht="27" customHeight="1" thickBot="1" x14ac:dyDescent="0.25">
      <c r="B16" s="113"/>
      <c r="C16" s="111" t="s">
        <v>59</v>
      </c>
      <c r="D16" s="599" t="s">
        <v>60</v>
      </c>
      <c r="E16" s="600"/>
      <c r="F16" s="600"/>
      <c r="G16" s="600"/>
      <c r="H16" s="600"/>
      <c r="I16" s="600"/>
      <c r="J16" s="600"/>
      <c r="K16" s="600"/>
      <c r="L16" s="600"/>
      <c r="M16" s="600"/>
      <c r="N16" s="600"/>
      <c r="O16" s="600"/>
      <c r="P16" s="600"/>
      <c r="Q16" s="600"/>
      <c r="R16" s="600"/>
      <c r="S16" s="600"/>
      <c r="T16" s="600"/>
      <c r="U16" s="600"/>
      <c r="V16" s="600"/>
      <c r="W16" s="601"/>
      <c r="X16" s="396">
        <f>ROUND(SUMIFS(設定!$L$9:$L$108,設定!$E$9:$E$108,"&lt;65",設定!$F$9:$F$108,"=1：構成員"),1)</f>
        <v>0</v>
      </c>
      <c r="Y16" s="397">
        <f>ROUND(SUMIFS(設定!$L$9:$L$108,設定!$E$9:$E$108,"&gt;=65",設定!$E$9:$E$108,"&lt;70",設定!$F$9:$F$108,"=1：構成員"),1)</f>
        <v>0</v>
      </c>
      <c r="Z16" s="397">
        <f>ROUND(SUMIFS(設定!$L$9:$L$108,設定!$E$9:$E$108,"&gt;=70",設定!$E$9:$E$108,"&lt;75",設定!$F$9:$F$108,"=1：構成員"),1)</f>
        <v>0</v>
      </c>
      <c r="AA16" s="398">
        <f>ROUND(SUMIFS(設定!$L$9:$L$108,設定!$E$9:$E$108,"&gt;=75",設定!$F$9:$F$108,"=1：構成員"),1)</f>
        <v>0</v>
      </c>
    </row>
    <row r="17" spans="1:35" ht="27" customHeight="1" thickTop="1" thickBot="1" x14ac:dyDescent="0.25">
      <c r="B17" s="113"/>
      <c r="C17" s="114" t="s">
        <v>61</v>
      </c>
      <c r="D17" s="602" t="s">
        <v>62</v>
      </c>
      <c r="E17" s="603"/>
      <c r="F17" s="603"/>
      <c r="G17" s="603"/>
      <c r="H17" s="603"/>
      <c r="I17" s="603"/>
      <c r="J17" s="603"/>
      <c r="K17" s="603"/>
      <c r="L17" s="603"/>
      <c r="M17" s="603"/>
      <c r="N17" s="603"/>
      <c r="O17" s="603"/>
      <c r="P17" s="603"/>
      <c r="Q17" s="603"/>
      <c r="R17" s="603"/>
      <c r="S17" s="603"/>
      <c r="T17" s="603"/>
      <c r="U17" s="603"/>
      <c r="V17" s="603"/>
      <c r="W17" s="604"/>
      <c r="X17" s="399">
        <f>ROUND(SUM(SUMIFS(設定!$M$9:$M$108,設定!$E$9:$E$108,"&lt;65",設定!$F$9:$F$108,"=1：構成員"),SUMIFS(設定!$N$9:$N$108,設定!$E$9:$E$108,"&lt;65",設定!$F$9:$F$108,"=1：構成員")),1)</f>
        <v>0</v>
      </c>
      <c r="Y17" s="400">
        <f>ROUND(SUM(SUMIFS(設定!$M$9:$M$108,設定!$E$9:$E$108,"&gt;=65",設定!$E$9:$E$108,"&lt;70",設定!$F$9:$F$108,"=1：構成員"),SUMIFS(設定!$N$9:$N$108,設定!$E$9:$E$108,"&gt;=65",設定!$E$9:$E$108,"&lt;70",設定!$F$9:$F$108,"=1：構成員")),1)</f>
        <v>0</v>
      </c>
      <c r="Z17" s="400">
        <f>ROUND(SUM(SUMIFS(設定!$M$9:$M$108,設定!$E$9:$E$108,"&gt;=70",設定!$E$9:$E$108,"&lt;75",設定!$F$9:$F$108,"=1：構成員"),SUMIFS(設定!$N$9:$N$108,設定!$E$9:$E$108,"&gt;=70",設定!$E$9:$E$108,"&lt;75",設定!$F$9:$F$108,"=1：構成員")),1)</f>
        <v>0</v>
      </c>
      <c r="AA17" s="401">
        <f>ROUND(SUM(SUMIFS(設定!$M$9:$M$108,設定!$E$9:$E$108,"&gt;=75",設定!$F$9:$F$108,"=1：構成員"),SUMIFS(設定!$N$9:$N$108,設定!$E$9:$E$108,"&gt;=75",設定!$F$9:$F$108,"=1：構成員")),1)</f>
        <v>0</v>
      </c>
    </row>
    <row r="18" spans="1:35" ht="14.25" customHeight="1" x14ac:dyDescent="0.2">
      <c r="B18" s="113"/>
    </row>
    <row r="19" spans="1:35" ht="14.25" customHeight="1" x14ac:dyDescent="0.2">
      <c r="B19" s="113"/>
    </row>
    <row r="20" spans="1:35" ht="14.25" customHeight="1" x14ac:dyDescent="0.2">
      <c r="B20" s="72"/>
      <c r="C20" s="72"/>
      <c r="D20" s="72"/>
      <c r="E20" s="72"/>
    </row>
    <row r="21" spans="1:35" ht="30" customHeight="1" x14ac:dyDescent="0.25">
      <c r="A21" s="29"/>
      <c r="B21" s="72"/>
      <c r="C21" s="162" t="s">
        <v>105</v>
      </c>
      <c r="D21" s="18"/>
      <c r="V21" s="115"/>
      <c r="W21" s="115"/>
      <c r="X21" s="115"/>
      <c r="Y21" s="115"/>
    </row>
    <row r="22" spans="1:35" ht="14.25" customHeight="1" thickBot="1" x14ac:dyDescent="0.25">
      <c r="A22" s="18"/>
      <c r="V22" s="115"/>
      <c r="W22" s="115"/>
      <c r="X22" s="115"/>
      <c r="Y22" s="115"/>
    </row>
    <row r="23" spans="1:35" ht="22.95" customHeight="1" thickBot="1" x14ac:dyDescent="0.25">
      <c r="A23" s="18"/>
      <c r="C23" s="168" t="s">
        <v>44</v>
      </c>
      <c r="D23" s="584" t="s">
        <v>45</v>
      </c>
      <c r="E23" s="605"/>
      <c r="F23" s="605"/>
      <c r="G23" s="605"/>
      <c r="H23" s="605"/>
      <c r="I23" s="605"/>
      <c r="J23" s="605"/>
      <c r="K23" s="605"/>
      <c r="L23" s="605"/>
      <c r="M23" s="605"/>
      <c r="N23" s="605"/>
      <c r="O23" s="605"/>
      <c r="P23" s="605"/>
      <c r="Q23" s="605"/>
      <c r="R23" s="605"/>
      <c r="S23" s="605"/>
      <c r="T23" s="605"/>
      <c r="U23" s="605"/>
      <c r="V23" s="605"/>
      <c r="W23" s="606"/>
      <c r="X23" s="167" t="s">
        <v>35</v>
      </c>
    </row>
    <row r="24" spans="1:35" ht="27" customHeight="1" thickTop="1" x14ac:dyDescent="0.2">
      <c r="C24" s="107" t="s">
        <v>63</v>
      </c>
      <c r="D24" s="615" t="s">
        <v>50</v>
      </c>
      <c r="E24" s="616"/>
      <c r="F24" s="616"/>
      <c r="G24" s="616"/>
      <c r="H24" s="616"/>
      <c r="I24" s="616"/>
      <c r="J24" s="616"/>
      <c r="K24" s="616"/>
      <c r="L24" s="616"/>
      <c r="M24" s="616"/>
      <c r="N24" s="616"/>
      <c r="O24" s="616"/>
      <c r="P24" s="616"/>
      <c r="Q24" s="616"/>
      <c r="R24" s="616"/>
      <c r="S24" s="616"/>
      <c r="T24" s="616"/>
      <c r="U24" s="616"/>
      <c r="V24" s="616"/>
      <c r="W24" s="617"/>
      <c r="X24" s="380">
        <f>ROUND(SUMIFS(設定!$H$9:$H$108,設定!$F$9:$F$108,"=2：雇用"),1)</f>
        <v>0</v>
      </c>
    </row>
    <row r="25" spans="1:35" ht="27" customHeight="1" x14ac:dyDescent="0.2">
      <c r="B25" s="68"/>
      <c r="C25" s="111" t="s">
        <v>51</v>
      </c>
      <c r="D25" s="609" t="s">
        <v>52</v>
      </c>
      <c r="E25" s="610"/>
      <c r="F25" s="610"/>
      <c r="G25" s="610"/>
      <c r="H25" s="610"/>
      <c r="I25" s="610"/>
      <c r="J25" s="610"/>
      <c r="K25" s="610"/>
      <c r="L25" s="610"/>
      <c r="M25" s="610"/>
      <c r="N25" s="610"/>
      <c r="O25" s="610"/>
      <c r="P25" s="610"/>
      <c r="Q25" s="610"/>
      <c r="R25" s="610"/>
      <c r="S25" s="610"/>
      <c r="T25" s="610"/>
      <c r="U25" s="610"/>
      <c r="V25" s="610"/>
      <c r="W25" s="611"/>
      <c r="X25" s="381">
        <f>ROUND(SUMIFS(設定!$I$9:$I$108,設定!$F$9:$F$108,"=2：雇用"),1)</f>
        <v>0</v>
      </c>
      <c r="Y25" s="116"/>
    </row>
    <row r="26" spans="1:35" ht="27" customHeight="1" x14ac:dyDescent="0.2">
      <c r="C26" s="111" t="s">
        <v>55</v>
      </c>
      <c r="D26" s="609" t="s">
        <v>56</v>
      </c>
      <c r="E26" s="610"/>
      <c r="F26" s="610"/>
      <c r="G26" s="610"/>
      <c r="H26" s="610"/>
      <c r="I26" s="610"/>
      <c r="J26" s="610"/>
      <c r="K26" s="610"/>
      <c r="L26" s="610"/>
      <c r="M26" s="610"/>
      <c r="N26" s="610"/>
      <c r="O26" s="610"/>
      <c r="P26" s="610"/>
      <c r="Q26" s="610"/>
      <c r="R26" s="610"/>
      <c r="S26" s="610"/>
      <c r="T26" s="610"/>
      <c r="U26" s="610"/>
      <c r="V26" s="610"/>
      <c r="W26" s="611"/>
      <c r="X26" s="382">
        <f>ROUND(SUMIFS(設定!$J$9:$J$108,設定!$F$9:$F$108,"=2：雇用"),1)</f>
        <v>0</v>
      </c>
      <c r="Y26" s="116"/>
    </row>
    <row r="27" spans="1:35" ht="27" customHeight="1" thickBot="1" x14ac:dyDescent="0.25">
      <c r="B27" s="68"/>
      <c r="C27" s="111" t="s">
        <v>64</v>
      </c>
      <c r="D27" s="599" t="s">
        <v>60</v>
      </c>
      <c r="E27" s="600"/>
      <c r="F27" s="600"/>
      <c r="G27" s="600"/>
      <c r="H27" s="600"/>
      <c r="I27" s="600"/>
      <c r="J27" s="600"/>
      <c r="K27" s="600"/>
      <c r="L27" s="600"/>
      <c r="M27" s="600"/>
      <c r="N27" s="600"/>
      <c r="O27" s="600"/>
      <c r="P27" s="600"/>
      <c r="Q27" s="600"/>
      <c r="R27" s="600"/>
      <c r="S27" s="600"/>
      <c r="T27" s="600"/>
      <c r="U27" s="600"/>
      <c r="V27" s="600"/>
      <c r="W27" s="601"/>
      <c r="X27" s="383">
        <f>ROUND(SUMIFS(設定!$L$9:$L$108,設定!$F$9:$F$108,"=2：雇用"),1)</f>
        <v>0</v>
      </c>
      <c r="Y27" s="116"/>
      <c r="AC27" s="106"/>
      <c r="AD27" s="106"/>
      <c r="AE27" s="106"/>
      <c r="AF27" s="106"/>
      <c r="AG27" s="106"/>
      <c r="AH27" s="106"/>
    </row>
    <row r="28" spans="1:35" ht="27" customHeight="1" thickTop="1" thickBot="1" x14ac:dyDescent="0.25">
      <c r="B28" s="117"/>
      <c r="C28" s="114" t="s">
        <v>65</v>
      </c>
      <c r="D28" s="602" t="s">
        <v>62</v>
      </c>
      <c r="E28" s="603"/>
      <c r="F28" s="603"/>
      <c r="G28" s="603"/>
      <c r="H28" s="603"/>
      <c r="I28" s="603"/>
      <c r="J28" s="603"/>
      <c r="K28" s="603"/>
      <c r="L28" s="603"/>
      <c r="M28" s="603"/>
      <c r="N28" s="603"/>
      <c r="O28" s="603"/>
      <c r="P28" s="603"/>
      <c r="Q28" s="603"/>
      <c r="R28" s="603"/>
      <c r="S28" s="603"/>
      <c r="T28" s="603"/>
      <c r="U28" s="603"/>
      <c r="V28" s="603"/>
      <c r="W28" s="604"/>
      <c r="X28" s="384">
        <f>ROUND(SUM(SUMIFS(設定!$M$9:$M$108,設定!$F$9:$F$108,"=2：雇用"),SUMIFS(設定!$N$9:$N$108,設定!$F$9:$F$108,"=2：雇用")),1)</f>
        <v>0</v>
      </c>
      <c r="Y28" s="116"/>
      <c r="Z28" s="118"/>
      <c r="AA28" s="118"/>
      <c r="AC28" s="119"/>
      <c r="AD28" s="119"/>
      <c r="AE28" s="119"/>
      <c r="AF28" s="119"/>
      <c r="AG28" s="119"/>
      <c r="AH28" s="119"/>
    </row>
    <row r="29" spans="1:35" ht="13.95" customHeight="1" x14ac:dyDescent="0.2">
      <c r="Y29" s="118"/>
      <c r="Z29" s="118"/>
      <c r="AA29" s="118"/>
      <c r="AB29" s="106"/>
      <c r="AC29" s="120"/>
      <c r="AD29" s="120"/>
      <c r="AE29" s="121"/>
      <c r="AF29" s="120"/>
      <c r="AG29" s="120"/>
      <c r="AH29" s="121"/>
      <c r="AI29" s="122"/>
    </row>
  </sheetData>
  <sheetProtection formatCells="0" formatColumns="0" formatRows="0" insertColumns="0" insertRows="0" insertHyperlinks="0" deleteColumns="0" deleteRows="0" selectLockedCells="1" sort="0"/>
  <mergeCells count="15">
    <mergeCell ref="D25:W25"/>
    <mergeCell ref="D26:W26"/>
    <mergeCell ref="D27:W27"/>
    <mergeCell ref="D28:W28"/>
    <mergeCell ref="D17:W17"/>
    <mergeCell ref="C10:C11"/>
    <mergeCell ref="D10:W11"/>
    <mergeCell ref="X10:AA10"/>
    <mergeCell ref="D23:W23"/>
    <mergeCell ref="D24:W24"/>
    <mergeCell ref="D12:W12"/>
    <mergeCell ref="D13:W13"/>
    <mergeCell ref="D14:W14"/>
    <mergeCell ref="D15:W15"/>
    <mergeCell ref="D16:W16"/>
  </mergeCells>
  <phoneticPr fontId="2"/>
  <conditionalFormatting sqref="C2">
    <cfRule type="containsText" dxfId="0" priority="1" operator="containsText" text="※">
      <formula>NOT(ISERROR(SEARCH("※",C2)))</formula>
    </cfRule>
  </conditionalFormatting>
  <printOptions horizontalCentered="1"/>
  <pageMargins left="0.39370078740157483" right="0.39370078740157483" top="0.59055118110236227" bottom="0.59055118110236227" header="0.19685039370078741" footer="0.19685039370078741"/>
  <pageSetup paperSize="8" orientation="landscape" r:id="rId1"/>
  <headerFooter scaleWithDoc="0"/>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0CA04-37EB-4510-A70E-5A1AD242BF5F}">
  <sheetPr codeName="Sheet8"/>
  <dimension ref="B2:C3"/>
  <sheetViews>
    <sheetView workbookViewId="0"/>
  </sheetViews>
  <sheetFormatPr defaultRowHeight="13.2" x14ac:dyDescent="0.2"/>
  <cols>
    <col min="3" max="3" width="13.44140625" bestFit="1" customWidth="1"/>
  </cols>
  <sheetData>
    <row r="2" spans="2:3" x14ac:dyDescent="0.2">
      <c r="B2" t="s">
        <v>157</v>
      </c>
      <c r="C2" t="s">
        <v>158</v>
      </c>
    </row>
    <row r="3" spans="2:3" x14ac:dyDescent="0.2">
      <c r="B3" t="s">
        <v>159</v>
      </c>
      <c r="C3" s="421" t="s">
        <v>160</v>
      </c>
    </row>
  </sheetData>
  <sheetProtection algorithmName="SHA-512" hashValue="QV/F0Nw1FAuals4jNQIgfAj2lXpEM9uZ7a+Lf6bk80t6ppIYzcrvY3F6AH8bbgD5wcYnPaU35Ge5OSqs/XIPrA==" saltValue="146U0CDY9k6Pbj4zVXvCyg==" spinCount="100000" sheet="1" objects="1" scenarios="1" selectLockedCells="1" selectUnlockedCells="1"/>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AE36D-6601-4DE8-B4D9-32CFA2074AE2}">
  <sheetPr codeName="Sheet9">
    <tabColor rgb="FFFFFF00"/>
  </sheetPr>
  <dimension ref="A1:J31"/>
  <sheetViews>
    <sheetView workbookViewId="0">
      <selection activeCell="R25" sqref="R25"/>
    </sheetView>
  </sheetViews>
  <sheetFormatPr defaultRowHeight="13.2" x14ac:dyDescent="0.2"/>
  <cols>
    <col min="1" max="3" width="12.77734375"/>
    <col min="4" max="9" width="12.77734375" customWidth="1"/>
    <col min="10" max="10" width="15.44140625" customWidth="1"/>
  </cols>
  <sheetData>
    <row r="1" spans="1:10" x14ac:dyDescent="0.2">
      <c r="A1" s="129" t="s">
        <v>67</v>
      </c>
      <c r="B1" s="129" t="s">
        <v>71</v>
      </c>
      <c r="C1" s="129" t="s">
        <v>80</v>
      </c>
      <c r="D1" s="129" t="s">
        <v>83</v>
      </c>
      <c r="E1" s="129" t="s">
        <v>84</v>
      </c>
      <c r="F1" s="129" t="s">
        <v>97</v>
      </c>
      <c r="G1" s="129" t="s">
        <v>90</v>
      </c>
      <c r="H1" s="132" t="str">
        <f>IF(設定!F3="","作業_Blank",IF(設定!F3="牛乳",F1,G1))</f>
        <v>作業_Blank</v>
      </c>
      <c r="I1" s="161" t="str">
        <f>IF(OR(設定!$D$3="",設定!$F$3=""),"",
IF(AND(設定!$D$3="個別経営体",設定!$F$3="牛乳"),"【12】労働時間（個別・定型・牛乳）",
IF(AND(設定!$D$3="個別経営体",設定!$F$3&lt;&gt;"牛乳"),"【12】労働時間（個別・定型・牛乳以外）",
IF(AND(設定!$D$3="組織法人経営体",設定!$F$3="牛乳"),"【12】労働時間（経営分析・牛乳）",
IF(AND(設定!$D$3="組織法人経営体",設定!$F$3&lt;&gt;"牛乳"),"【12】労働時間（経営分析・牛乳以外）","")))))</f>
        <v/>
      </c>
      <c r="J1" s="161" t="str">
        <f>IF(OR(設定!$D$3="",設定!$F$3=""),"",
IF(AND(設定!$D$3="個別経営体",設定!$F$3="牛乳"),"【12】労働時間（個別・定型・牛乳）」と「【12】労働時間（個別・定型以外）",
IF(AND(設定!$D$3="個別経営体",設定!$F$3&lt;&gt;"牛乳"),"【12】労働時間（個別・定型・牛乳以外）」と「【12】労働時間（個別・定型以外）",
IF(AND(設定!$D$3="組織法人経営体",設定!$F$3="牛乳"),"【12】労働時間（経営分析・牛乳）",
IF(AND(設定!$D$3="組織法人経営体",設定!$F$3&lt;&gt;"牛乳"),"【12】労働時間（経営分析・牛乳以外）","")))))</f>
        <v/>
      </c>
    </row>
    <row r="2" spans="1:10" x14ac:dyDescent="0.2">
      <c r="A2" s="130" t="s">
        <v>69</v>
      </c>
      <c r="B2" s="130" t="s">
        <v>72</v>
      </c>
      <c r="C2" s="130" t="s">
        <v>81</v>
      </c>
      <c r="D2" s="130" t="s">
        <v>85</v>
      </c>
      <c r="E2" s="130" t="s">
        <v>89</v>
      </c>
      <c r="F2" s="130" t="s">
        <v>98</v>
      </c>
      <c r="G2" s="130" t="s">
        <v>98</v>
      </c>
    </row>
    <row r="3" spans="1:10" x14ac:dyDescent="0.2">
      <c r="A3" s="130" t="s">
        <v>70</v>
      </c>
      <c r="B3" s="130" t="s">
        <v>73</v>
      </c>
      <c r="C3" s="130" t="s">
        <v>82</v>
      </c>
      <c r="D3" s="130" t="s">
        <v>86</v>
      </c>
      <c r="E3" s="130" t="s">
        <v>86</v>
      </c>
      <c r="F3" s="130" t="s">
        <v>5</v>
      </c>
      <c r="G3" s="130" t="s">
        <v>5</v>
      </c>
    </row>
    <row r="4" spans="1:10" x14ac:dyDescent="0.2">
      <c r="A4" s="130"/>
      <c r="B4" s="130" t="s">
        <v>74</v>
      </c>
      <c r="C4" s="130"/>
      <c r="D4" s="130" t="s">
        <v>87</v>
      </c>
      <c r="E4" s="130"/>
      <c r="F4" s="130" t="s">
        <v>99</v>
      </c>
      <c r="G4" s="130" t="s">
        <v>100</v>
      </c>
    </row>
    <row r="5" spans="1:10" x14ac:dyDescent="0.2">
      <c r="A5" s="130"/>
      <c r="B5" s="130" t="s">
        <v>75</v>
      </c>
      <c r="C5" s="130"/>
      <c r="D5" s="130" t="s">
        <v>88</v>
      </c>
      <c r="E5" s="130"/>
      <c r="F5" s="130" t="s">
        <v>100</v>
      </c>
      <c r="G5" s="158" t="str">
        <f>IF(設定!$D$3="個別経営体","自給飼料の生産",IF(設定!$D$3="組織法人経営体","内給飼料の生産",""))</f>
        <v/>
      </c>
    </row>
    <row r="6" spans="1:10" x14ac:dyDescent="0.2">
      <c r="A6" s="130"/>
      <c r="B6" s="130" t="s">
        <v>76</v>
      </c>
      <c r="C6" s="130"/>
      <c r="D6" s="130" t="s">
        <v>102</v>
      </c>
      <c r="E6" s="130"/>
      <c r="F6" s="158" t="str">
        <f>IF(設定!$D$3="個別経営体","自給飼料の生産",IF(設定!$D$3="組織法人経営体","内給飼料の生産",""))</f>
        <v/>
      </c>
      <c r="G6" s="130" t="s">
        <v>91</v>
      </c>
    </row>
    <row r="7" spans="1:10" x14ac:dyDescent="0.2">
      <c r="A7" s="130"/>
      <c r="B7" s="130" t="s">
        <v>77</v>
      </c>
      <c r="C7" s="130"/>
      <c r="D7" s="130"/>
      <c r="E7" s="130"/>
      <c r="F7" s="130" t="s">
        <v>91</v>
      </c>
      <c r="G7" s="130" t="s">
        <v>92</v>
      </c>
    </row>
    <row r="8" spans="1:10" x14ac:dyDescent="0.2">
      <c r="A8" s="130"/>
      <c r="B8" s="130" t="s">
        <v>78</v>
      </c>
      <c r="C8" s="130"/>
      <c r="D8" s="130"/>
      <c r="E8" s="130"/>
      <c r="F8" s="130" t="s">
        <v>92</v>
      </c>
      <c r="G8" s="130" t="s">
        <v>93</v>
      </c>
    </row>
    <row r="9" spans="1:10" x14ac:dyDescent="0.2">
      <c r="A9" s="130"/>
      <c r="B9" s="130" t="s">
        <v>79</v>
      </c>
      <c r="C9" s="130"/>
      <c r="D9" s="130"/>
      <c r="E9" s="130"/>
      <c r="F9" s="130" t="s">
        <v>93</v>
      </c>
      <c r="G9" s="130" t="s">
        <v>94</v>
      </c>
    </row>
    <row r="10" spans="1:10" x14ac:dyDescent="0.2">
      <c r="A10" s="130"/>
      <c r="B10" s="130"/>
      <c r="C10" s="130"/>
      <c r="D10" s="130"/>
      <c r="E10" s="130"/>
      <c r="F10" s="130" t="s">
        <v>94</v>
      </c>
      <c r="G10" s="130" t="s">
        <v>95</v>
      </c>
    </row>
    <row r="11" spans="1:10" x14ac:dyDescent="0.2">
      <c r="A11" s="130"/>
      <c r="B11" s="130"/>
      <c r="C11" s="130"/>
      <c r="D11" s="130"/>
      <c r="E11" s="130"/>
      <c r="F11" s="130" t="s">
        <v>95</v>
      </c>
      <c r="G11" s="130" t="s">
        <v>96</v>
      </c>
    </row>
    <row r="12" spans="1:10" x14ac:dyDescent="0.2">
      <c r="A12" s="130"/>
      <c r="B12" s="130"/>
      <c r="C12" s="130"/>
      <c r="D12" s="130"/>
      <c r="E12" s="130"/>
      <c r="F12" s="130" t="s">
        <v>96</v>
      </c>
      <c r="G12" s="130"/>
    </row>
    <row r="13" spans="1:10" x14ac:dyDescent="0.2">
      <c r="A13" s="130"/>
      <c r="B13" s="130"/>
      <c r="C13" s="130"/>
      <c r="D13" s="130"/>
      <c r="E13" s="130"/>
      <c r="F13" s="130"/>
      <c r="G13" s="130"/>
    </row>
    <row r="14" spans="1:10" x14ac:dyDescent="0.2">
      <c r="A14" s="130"/>
      <c r="B14" s="130"/>
      <c r="C14" s="130"/>
      <c r="D14" s="130"/>
      <c r="E14" s="130"/>
      <c r="F14" s="130"/>
      <c r="G14" s="130"/>
    </row>
    <row r="15" spans="1:10" x14ac:dyDescent="0.2">
      <c r="A15" s="130"/>
      <c r="B15" s="130"/>
      <c r="C15" s="130"/>
      <c r="D15" s="130"/>
      <c r="E15" s="130"/>
      <c r="F15" s="130"/>
      <c r="G15" s="130"/>
    </row>
    <row r="16" spans="1:10" x14ac:dyDescent="0.2">
      <c r="A16" s="130"/>
      <c r="B16" s="130"/>
      <c r="C16" s="130"/>
      <c r="D16" s="130"/>
      <c r="E16" s="130"/>
      <c r="F16" s="130"/>
      <c r="G16" s="130"/>
    </row>
    <row r="17" spans="1:7" x14ac:dyDescent="0.2">
      <c r="A17" s="130"/>
      <c r="B17" s="130"/>
      <c r="C17" s="130"/>
      <c r="D17" s="130"/>
      <c r="E17" s="130"/>
      <c r="F17" s="130"/>
      <c r="G17" s="130"/>
    </row>
    <row r="18" spans="1:7" x14ac:dyDescent="0.2">
      <c r="A18" s="130"/>
      <c r="B18" s="130"/>
      <c r="C18" s="130"/>
      <c r="D18" s="130"/>
      <c r="E18" s="130"/>
      <c r="F18" s="130"/>
      <c r="G18" s="130"/>
    </row>
    <row r="19" spans="1:7" x14ac:dyDescent="0.2">
      <c r="A19" s="130"/>
      <c r="B19" s="130"/>
      <c r="C19" s="130"/>
      <c r="D19" s="130"/>
      <c r="E19" s="130"/>
      <c r="F19" s="130"/>
      <c r="G19" s="130"/>
    </row>
    <row r="20" spans="1:7" x14ac:dyDescent="0.2">
      <c r="A20" s="130"/>
      <c r="B20" s="130"/>
      <c r="C20" s="130"/>
      <c r="D20" s="130"/>
      <c r="E20" s="130"/>
      <c r="F20" s="130"/>
      <c r="G20" s="130"/>
    </row>
    <row r="21" spans="1:7" x14ac:dyDescent="0.2">
      <c r="A21" s="130"/>
      <c r="B21" s="130"/>
      <c r="C21" s="130"/>
      <c r="D21" s="130"/>
      <c r="E21" s="130"/>
      <c r="F21" s="130"/>
      <c r="G21" s="130"/>
    </row>
    <row r="22" spans="1:7" x14ac:dyDescent="0.2">
      <c r="A22" s="130"/>
      <c r="B22" s="130"/>
      <c r="C22" s="130"/>
      <c r="D22" s="130"/>
      <c r="E22" s="130"/>
      <c r="F22" s="130"/>
      <c r="G22" s="130"/>
    </row>
    <row r="23" spans="1:7" x14ac:dyDescent="0.2">
      <c r="A23" s="130"/>
      <c r="B23" s="130"/>
      <c r="C23" s="130"/>
      <c r="D23" s="130"/>
      <c r="E23" s="130"/>
      <c r="F23" s="130"/>
      <c r="G23" s="130"/>
    </row>
    <row r="24" spans="1:7" x14ac:dyDescent="0.2">
      <c r="A24" s="130"/>
      <c r="B24" s="130"/>
      <c r="C24" s="130"/>
      <c r="D24" s="130"/>
      <c r="E24" s="130"/>
      <c r="F24" s="130"/>
      <c r="G24" s="130"/>
    </row>
    <row r="25" spans="1:7" x14ac:dyDescent="0.2">
      <c r="A25" s="130"/>
      <c r="B25" s="130"/>
      <c r="C25" s="130"/>
      <c r="D25" s="130"/>
      <c r="E25" s="130"/>
      <c r="F25" s="130"/>
      <c r="G25" s="130"/>
    </row>
    <row r="26" spans="1:7" x14ac:dyDescent="0.2">
      <c r="A26" s="130"/>
      <c r="B26" s="130"/>
      <c r="C26" s="130"/>
      <c r="D26" s="130"/>
      <c r="E26" s="130"/>
      <c r="F26" s="130"/>
      <c r="G26" s="130"/>
    </row>
    <row r="27" spans="1:7" x14ac:dyDescent="0.2">
      <c r="A27" s="130"/>
      <c r="B27" s="130"/>
      <c r="C27" s="130"/>
      <c r="D27" s="130"/>
      <c r="E27" s="130"/>
      <c r="F27" s="130"/>
      <c r="G27" s="130"/>
    </row>
    <row r="28" spans="1:7" x14ac:dyDescent="0.2">
      <c r="A28" s="130"/>
      <c r="B28" s="130"/>
      <c r="C28" s="130"/>
      <c r="D28" s="130"/>
      <c r="E28" s="130"/>
      <c r="F28" s="130"/>
      <c r="G28" s="130"/>
    </row>
    <row r="29" spans="1:7" x14ac:dyDescent="0.2">
      <c r="A29" s="130"/>
      <c r="B29" s="130"/>
      <c r="C29" s="130"/>
      <c r="D29" s="130"/>
      <c r="E29" s="130"/>
      <c r="F29" s="130"/>
      <c r="G29" s="130"/>
    </row>
    <row r="30" spans="1:7" x14ac:dyDescent="0.2">
      <c r="A30" s="130"/>
      <c r="B30" s="130"/>
      <c r="C30" s="130"/>
      <c r="D30" s="130"/>
      <c r="E30" s="130"/>
      <c r="F30" s="130"/>
      <c r="G30" s="130"/>
    </row>
    <row r="31" spans="1:7" x14ac:dyDescent="0.2">
      <c r="A31" s="130"/>
      <c r="B31" s="130"/>
      <c r="C31" s="130"/>
      <c r="D31" s="130"/>
      <c r="E31" s="130"/>
      <c r="F31" s="130"/>
      <c r="G31" s="130"/>
    </row>
  </sheetData>
  <phoneticPr fontId="2"/>
  <pageMargins left="0.7" right="0.7" top="0.75" bottom="0.75" header="0.3" footer="0.3"/>
  <pageSetup paperSize="9" orientation="landscape"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ワークシート</vt:lpstr>
      </vt:variant>
      <vt:variant>
        <vt:i4>9</vt:i4>
      </vt:variant>
      <vt:variant>
        <vt:lpstr>名前付き一覧</vt:lpstr>
      </vt:variant>
      <vt:variant>
        <vt:i4>12</vt:i4>
      </vt:variant>
    </vt:vector>
  </HeadingPairs>
  <TitlesOfParts>
    <vt:vector size="21" baseType="lpstr">
      <vt:lpstr>設定</vt:lpstr>
      <vt:lpstr>日別入力</vt:lpstr>
      <vt:lpstr>日別入力xlsx</vt:lpstr>
      <vt:lpstr>【12】労働時間（個別・牛乳）</vt:lpstr>
      <vt:lpstr>【12】労働時間（個別・牛乳以外）</vt:lpstr>
      <vt:lpstr>【12】労働時間（経営分析・牛乳）</vt:lpstr>
      <vt:lpstr>【12】労働時間（経営分析・牛乳以外）</vt:lpstr>
      <vt:lpstr>アカウント情報</vt:lpstr>
      <vt:lpstr>リスト </vt:lpstr>
      <vt:lpstr>'【12】労働時間（経営分析・牛乳）'!Print_Area</vt:lpstr>
      <vt:lpstr>'【12】労働時間（経営分析・牛乳以外）'!Print_Area</vt:lpstr>
      <vt:lpstr>'【12】労働時間（個別・牛乳）'!Print_Area</vt:lpstr>
      <vt:lpstr>'【12】労働時間（個別・牛乳以外）'!Print_Area</vt:lpstr>
      <vt:lpstr>設定!Print_Titles</vt:lpstr>
      <vt:lpstr>日別入力!Print_Titles</vt:lpstr>
      <vt:lpstr>日別入力xlsx!Print_Titles</vt:lpstr>
      <vt:lpstr>個別経営体</vt:lpstr>
      <vt:lpstr>作業_Blank</vt:lpstr>
      <vt:lpstr>作業_牛乳</vt:lpstr>
      <vt:lpstr>作業_牛乳以外</vt:lpstr>
      <vt:lpstr>組織法人経営体</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2022-10-26T07:01:23Z</dcterms:modified>
</cp:coreProperties>
</file>