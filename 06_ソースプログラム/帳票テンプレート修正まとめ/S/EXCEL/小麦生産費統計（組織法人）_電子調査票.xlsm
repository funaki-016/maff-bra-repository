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drawings/drawing1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7.xml" ContentType="application/vnd.ms-office.activeX+xml"/>
  <Override PartName="/xl/activeX/activeX7.bin" ContentType="application/vnd.ms-office.activeX"/>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drawings/drawing16.xml" ContentType="application/vnd.openxmlformats-officedocument.drawing+xml"/>
  <Override PartName="/xl/activeX/activeX9.xml" ContentType="application/vnd.ms-office.activeX+xml"/>
  <Override PartName="/xl/activeX/activeX9.bin" ContentType="application/vnd.ms-office.activeX"/>
  <Override PartName="/xl/drawings/drawing17.xml" ContentType="application/vnd.openxmlformats-officedocument.drawing+xml"/>
  <Override PartName="/xl/activeX/activeX10.xml" ContentType="application/vnd.ms-office.activeX+xml"/>
  <Override PartName="/xl/activeX/activeX10.bin" ContentType="application/vnd.ms-office.activeX"/>
  <Override PartName="/xl/drawings/drawing18.xml" ContentType="application/vnd.openxmlformats-officedocument.drawing+xml"/>
  <Override PartName="/xl/activeX/activeX11.xml" ContentType="application/vnd.ms-office.activeX+xml"/>
  <Override PartName="/xl/activeX/activeX11.bin" ContentType="application/vnd.ms-office.activeX"/>
  <Override PartName="/xl/drawings/drawing1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C6E67744-F66E-4E6D-AC5B-BF5B507E405D}" xr6:coauthVersionLast="47" xr6:coauthVersionMax="47" xr10:uidLastSave="{00000000-0000-0000-0000-000000000000}"/>
  <bookViews>
    <workbookView xWindow="28680" yWindow="-120" windowWidth="29040" windowHeight="15720" tabRatio="696" xr2:uid="{00000000-000D-0000-FFFF-FFFF00000000}"/>
  </bookViews>
  <sheets>
    <sheet name="指標部入力" sheetId="2" r:id="rId1"/>
    <sheet name="表紙_組織"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目次_組織_米以外!$A$1:$AI$47</definedName>
    <definedName name="_xlnm.Print_Titles" localSheetId="10">【３】２肥料費_米以外!$8:$10</definedName>
    <definedName name="_xlnm.Print_Titles" localSheetId="11">【３】３農業薬剤費_米以外!$9:$10</definedName>
    <definedName name="_xlnm.Print_Titles" localSheetId="16">【７】建物及び構築物!$1:$15</definedName>
    <definedName name="_xlnm.Print_Titles" localSheetId="17">【８】自動車!$1:$17</definedName>
    <definedName name="_xlnm.Print_Titles" localSheetId="18">【９】農業機械!$1:$16</definedName>
    <definedName name="調査年">指標部入力!$A$8</definedName>
    <definedName name="農機具種類">リスト!$BO$5:$BO$21</definedName>
    <definedName name="品種名称">リスト!$V$5:$V$42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44" i="25" l="1"/>
  <c r="AZ43" i="25"/>
  <c r="AY44" i="25"/>
  <c r="AY43" i="25"/>
  <c r="AX44" i="25"/>
  <c r="AX43" i="25"/>
  <c r="AW44" i="25"/>
  <c r="AW43" i="25"/>
  <c r="AW33" i="25"/>
  <c r="AW32" i="25"/>
  <c r="AW31" i="25"/>
  <c r="AW30" i="25"/>
  <c r="AW28" i="25"/>
  <c r="AW27" i="25"/>
  <c r="AW26" i="25"/>
  <c r="AW25" i="25"/>
  <c r="AW24" i="25"/>
  <c r="AW21" i="25"/>
  <c r="AW20" i="25"/>
  <c r="AW19" i="25"/>
  <c r="AW17" i="25"/>
  <c r="S26" i="23"/>
  <c r="S25" i="23"/>
  <c r="N59" i="21"/>
  <c r="N58" i="21"/>
  <c r="N57" i="21"/>
  <c r="N52" i="21"/>
  <c r="N51" i="21" a="1"/>
  <c r="N51" i="21" s="1"/>
  <c r="N50" i="21"/>
  <c r="N49" i="21"/>
  <c r="N48" i="21"/>
  <c r="N47" i="21"/>
  <c r="N45" i="21"/>
  <c r="N44" i="21"/>
  <c r="N43" i="21"/>
  <c r="N42" i="21"/>
  <c r="N40" i="21"/>
  <c r="N39" i="21"/>
  <c r="N33" i="21"/>
  <c r="N32" i="21"/>
  <c r="N31" i="21"/>
  <c r="N30" i="21"/>
  <c r="N29" i="21"/>
  <c r="N28" i="21"/>
  <c r="N21" i="21"/>
  <c r="O53" i="21" l="1"/>
  <c r="O22" i="21"/>
  <c r="O1023" i="24"/>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O805" i="24"/>
  <c r="P805" i="24" s="1"/>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O770" i="24"/>
  <c r="P770" i="24" s="1"/>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O763" i="24"/>
  <c r="P763" i="24" s="1"/>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O756" i="24"/>
  <c r="P756" i="24" s="1"/>
  <c r="N756" i="24"/>
  <c r="M756" i="24"/>
  <c r="O755" i="24"/>
  <c r="P755" i="24" s="1"/>
  <c r="N755" i="24"/>
  <c r="M755" i="24"/>
  <c r="O754" i="24"/>
  <c r="P754" i="24" s="1"/>
  <c r="N754" i="24"/>
  <c r="M754" i="24"/>
  <c r="O753" i="24"/>
  <c r="P753" i="24" s="1"/>
  <c r="N753" i="24"/>
  <c r="M753" i="24"/>
  <c r="O752" i="24"/>
  <c r="P752" i="24" s="1"/>
  <c r="N752" i="24"/>
  <c r="M752" i="24"/>
  <c r="O751" i="24"/>
  <c r="P751" i="24" s="1"/>
  <c r="N751" i="24"/>
  <c r="M751" i="24"/>
  <c r="O750" i="24"/>
  <c r="P750" i="24" s="1"/>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O708" i="24"/>
  <c r="P708" i="24" s="1"/>
  <c r="N708" i="24"/>
  <c r="M708" i="24"/>
  <c r="O707" i="24"/>
  <c r="P707" i="24" s="1"/>
  <c r="N707" i="24"/>
  <c r="M707" i="24"/>
  <c r="O706" i="24"/>
  <c r="P706" i="24" s="1"/>
  <c r="N706" i="24"/>
  <c r="M706" i="24"/>
  <c r="O705" i="24"/>
  <c r="P705" i="24" s="1"/>
  <c r="N705" i="24"/>
  <c r="M705" i="24"/>
  <c r="O704" i="24"/>
  <c r="P704" i="24" s="1"/>
  <c r="N704" i="24"/>
  <c r="M704" i="24"/>
  <c r="O703" i="24"/>
  <c r="P703" i="24" s="1"/>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O687" i="24"/>
  <c r="P687" i="24" s="1"/>
  <c r="N687" i="24"/>
  <c r="M687" i="24"/>
  <c r="O686" i="24"/>
  <c r="P686" i="24" s="1"/>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O678" i="24"/>
  <c r="P678" i="24" s="1"/>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O648" i="24"/>
  <c r="P648" i="24" s="1"/>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O640" i="24"/>
  <c r="P640" i="24" s="1"/>
  <c r="N640" i="24"/>
  <c r="M640" i="24"/>
  <c r="O639" i="24"/>
  <c r="P639" i="24" s="1"/>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O631" i="24"/>
  <c r="P631" i="24" s="1"/>
  <c r="N631" i="24"/>
  <c r="M631" i="24"/>
  <c r="O630" i="24"/>
  <c r="P630" i="24" s="1"/>
  <c r="N630" i="24"/>
  <c r="M630" i="24"/>
  <c r="O629" i="24"/>
  <c r="P629" i="24" s="1"/>
  <c r="N629" i="24"/>
  <c r="M629" i="24"/>
  <c r="O628" i="24"/>
  <c r="P628" i="24" s="1"/>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O620" i="24"/>
  <c r="P620" i="24" s="1"/>
  <c r="N620" i="24"/>
  <c r="M620" i="24"/>
  <c r="O619" i="24"/>
  <c r="P619" i="24" s="1"/>
  <c r="N619" i="24"/>
  <c r="M619" i="24"/>
  <c r="P618" i="24"/>
  <c r="O618" i="24"/>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O594" i="24"/>
  <c r="P594" i="24" s="1"/>
  <c r="N594" i="24"/>
  <c r="M594" i="24"/>
  <c r="O593" i="24"/>
  <c r="P593" i="24" s="1"/>
  <c r="N593" i="24"/>
  <c r="M593" i="24"/>
  <c r="O592" i="24"/>
  <c r="P592" i="24" s="1"/>
  <c r="N592" i="24"/>
  <c r="M592" i="24"/>
  <c r="O591" i="24"/>
  <c r="P591" i="24" s="1"/>
  <c r="N591" i="24"/>
  <c r="M591" i="24"/>
  <c r="O590" i="24"/>
  <c r="P590" i="24" s="1"/>
  <c r="N590" i="24"/>
  <c r="M590" i="24"/>
  <c r="O589" i="24"/>
  <c r="P589" i="24" s="1"/>
  <c r="N589" i="24"/>
  <c r="M589" i="24"/>
  <c r="O588" i="24"/>
  <c r="P588" i="24" s="1"/>
  <c r="N588" i="24"/>
  <c r="M588" i="24"/>
  <c r="O587" i="24"/>
  <c r="P587" i="24" s="1"/>
  <c r="N587" i="24"/>
  <c r="M587" i="24"/>
  <c r="O586" i="24"/>
  <c r="P586" i="24" s="1"/>
  <c r="N586" i="24"/>
  <c r="M586" i="24"/>
  <c r="O585" i="24"/>
  <c r="P585" i="24" s="1"/>
  <c r="N585" i="24"/>
  <c r="M585" i="24"/>
  <c r="O584" i="24"/>
  <c r="P584" i="24" s="1"/>
  <c r="N584" i="24"/>
  <c r="M584" i="24"/>
  <c r="O583" i="24"/>
  <c r="P583" i="24" s="1"/>
  <c r="N583" i="24"/>
  <c r="M583" i="24"/>
  <c r="O582" i="24"/>
  <c r="P582" i="24" s="1"/>
  <c r="N582" i="24"/>
  <c r="M582" i="24"/>
  <c r="O581" i="24"/>
  <c r="P581" i="24" s="1"/>
  <c r="N581" i="24"/>
  <c r="M581" i="24"/>
  <c r="O580" i="24"/>
  <c r="P580" i="24" s="1"/>
  <c r="N580" i="24"/>
  <c r="M580" i="24"/>
  <c r="O579" i="24"/>
  <c r="P579" i="24" s="1"/>
  <c r="N579" i="24"/>
  <c r="M579" i="24"/>
  <c r="O578" i="24"/>
  <c r="P578" i="24" s="1"/>
  <c r="N578" i="24"/>
  <c r="M578" i="24"/>
  <c r="O577" i="24"/>
  <c r="P577" i="24" s="1"/>
  <c r="N577" i="24"/>
  <c r="M577" i="24"/>
  <c r="O576" i="24"/>
  <c r="P576" i="24" s="1"/>
  <c r="N576" i="24"/>
  <c r="M576" i="24"/>
  <c r="O575" i="24"/>
  <c r="P575" i="24" s="1"/>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O550" i="24"/>
  <c r="P550" i="24" s="1"/>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P544" i="24"/>
  <c r="O544" i="24"/>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O528" i="24"/>
  <c r="P528" i="24" s="1"/>
  <c r="N528" i="24"/>
  <c r="M528" i="24"/>
  <c r="O527" i="24"/>
  <c r="P527" i="24" s="1"/>
  <c r="N527" i="24"/>
  <c r="M527" i="24"/>
  <c r="P526" i="24"/>
  <c r="O526" i="24"/>
  <c r="N526" i="24"/>
  <c r="M526" i="24"/>
  <c r="O525" i="24"/>
  <c r="P525" i="24" s="1"/>
  <c r="N525" i="24"/>
  <c r="M525" i="24"/>
  <c r="O524" i="24"/>
  <c r="P524" i="24" s="1"/>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O516" i="24"/>
  <c r="P516" i="24" s="1"/>
  <c r="N516" i="24"/>
  <c r="M516" i="24"/>
  <c r="O515" i="24"/>
  <c r="P515" i="24" s="1"/>
  <c r="N515" i="24"/>
  <c r="M515" i="24"/>
  <c r="O514" i="24"/>
  <c r="P514" i="24" s="1"/>
  <c r="N514" i="24"/>
  <c r="M514" i="24"/>
  <c r="O513" i="24"/>
  <c r="P513" i="24" s="1"/>
  <c r="N513" i="24"/>
  <c r="M513" i="24"/>
  <c r="O512" i="24"/>
  <c r="P512" i="24" s="1"/>
  <c r="N512" i="24"/>
  <c r="M512" i="24"/>
  <c r="O511" i="24"/>
  <c r="P511" i="24" s="1"/>
  <c r="N511" i="24"/>
  <c r="M511" i="24"/>
  <c r="O510" i="24"/>
  <c r="P510" i="24" s="1"/>
  <c r="N510" i="24"/>
  <c r="M510" i="24"/>
  <c r="O509" i="24"/>
  <c r="P509" i="24" s="1"/>
  <c r="N509" i="24"/>
  <c r="M509" i="24"/>
  <c r="O508" i="24"/>
  <c r="P508" i="24" s="1"/>
  <c r="N508" i="24"/>
  <c r="M508" i="24"/>
  <c r="O507" i="24"/>
  <c r="P507" i="24" s="1"/>
  <c r="N507" i="24"/>
  <c r="M507" i="24"/>
  <c r="O506" i="24"/>
  <c r="P506" i="24" s="1"/>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O494" i="24"/>
  <c r="P494" i="24" s="1"/>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O488" i="24"/>
  <c r="P488" i="24" s="1"/>
  <c r="N488" i="24"/>
  <c r="M488" i="24"/>
  <c r="O487" i="24"/>
  <c r="P487" i="24" s="1"/>
  <c r="N487" i="24"/>
  <c r="M487" i="24"/>
  <c r="O486" i="24"/>
  <c r="P486" i="24" s="1"/>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O467" i="24"/>
  <c r="P467" i="24" s="1"/>
  <c r="N467" i="24"/>
  <c r="M467" i="24"/>
  <c r="O466" i="24"/>
  <c r="P466" i="24" s="1"/>
  <c r="N466" i="24"/>
  <c r="M466" i="24"/>
  <c r="O465" i="24"/>
  <c r="P465" i="24" s="1"/>
  <c r="N465" i="24"/>
  <c r="M465" i="24"/>
  <c r="O464" i="24"/>
  <c r="P464" i="24" s="1"/>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O450" i="24"/>
  <c r="P450" i="24" s="1"/>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O444" i="24"/>
  <c r="P444" i="24" s="1"/>
  <c r="N444" i="24"/>
  <c r="M444" i="24"/>
  <c r="O443" i="24"/>
  <c r="P443" i="24" s="1"/>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O434" i="24"/>
  <c r="P434" i="24" s="1"/>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O391" i="24"/>
  <c r="P391" i="24" s="1"/>
  <c r="N391" i="24"/>
  <c r="M391" i="24"/>
  <c r="O390" i="24"/>
  <c r="P390" i="24" s="1"/>
  <c r="N390" i="24"/>
  <c r="M390" i="24"/>
  <c r="O389" i="24"/>
  <c r="P389" i="24" s="1"/>
  <c r="N389" i="24"/>
  <c r="M389" i="24"/>
  <c r="O388" i="24"/>
  <c r="P388" i="24" s="1"/>
  <c r="N388" i="24"/>
  <c r="M388" i="24"/>
  <c r="O387" i="24"/>
  <c r="P387" i="24" s="1"/>
  <c r="N387" i="24"/>
  <c r="M387" i="24"/>
  <c r="O386" i="24"/>
  <c r="P386" i="24" s="1"/>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O379" i="24"/>
  <c r="P379" i="24" s="1"/>
  <c r="N379" i="24"/>
  <c r="M379" i="24"/>
  <c r="O378" i="24"/>
  <c r="P378" i="24" s="1"/>
  <c r="N378" i="24"/>
  <c r="M378" i="24"/>
  <c r="O377" i="24"/>
  <c r="P377" i="24" s="1"/>
  <c r="N377" i="24"/>
  <c r="M377" i="24"/>
  <c r="O376" i="24"/>
  <c r="P376" i="24" s="1"/>
  <c r="N376" i="24"/>
  <c r="M376" i="24"/>
  <c r="O375" i="24"/>
  <c r="P375" i="24" s="1"/>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O363" i="24"/>
  <c r="P363" i="24" s="1"/>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O338" i="24"/>
  <c r="P338" i="24" s="1"/>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O318" i="24"/>
  <c r="P318" i="24" s="1"/>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P306" i="24"/>
  <c r="O306" i="24"/>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O296" i="24"/>
  <c r="P296" i="24" s="1"/>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P286" i="24"/>
  <c r="O286" i="24"/>
  <c r="N286" i="24"/>
  <c r="M286" i="24"/>
  <c r="O285" i="24"/>
  <c r="P285" i="24" s="1"/>
  <c r="N285" i="24"/>
  <c r="M285" i="24"/>
  <c r="O284" i="24"/>
  <c r="P284" i="24" s="1"/>
  <c r="N284" i="24"/>
  <c r="M284" i="24"/>
  <c r="P283" i="24"/>
  <c r="O283" i="24"/>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O264" i="24"/>
  <c r="P264" i="24" s="1"/>
  <c r="N264" i="24"/>
  <c r="M264" i="24"/>
  <c r="O263" i="24"/>
  <c r="P263" i="24" s="1"/>
  <c r="N263" i="24"/>
  <c r="M263" i="24"/>
  <c r="O262" i="24"/>
  <c r="P262" i="24" s="1"/>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P242" i="24"/>
  <c r="O242" i="24"/>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P203" i="24"/>
  <c r="O203" i="24"/>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O185" i="24"/>
  <c r="P185" i="24" s="1"/>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M375" i="23"/>
  <c r="L375" i="23"/>
  <c r="O375" i="23" s="1"/>
  <c r="P375" i="23" s="1"/>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M360" i="23"/>
  <c r="L360" i="23"/>
  <c r="O360" i="23" s="1"/>
  <c r="P360" i="23" s="1"/>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M324" i="23"/>
  <c r="L324" i="23"/>
  <c r="O324" i="23" s="1"/>
  <c r="P324" i="23" s="1"/>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E43" i="11" s="1"/>
  <c r="Y43" i="11"/>
  <c r="AD43" i="11" s="1"/>
  <c r="X43" i="11"/>
  <c r="Z42" i="11"/>
  <c r="AB42" i="11" s="1"/>
  <c r="Y42" i="11"/>
  <c r="AC42" i="11" s="1"/>
  <c r="X42" i="11"/>
  <c r="Z41" i="11"/>
  <c r="AE41" i="11" s="1"/>
  <c r="Y41" i="11"/>
  <c r="AD41" i="11" s="1"/>
  <c r="X41" i="11"/>
  <c r="Z40" i="11"/>
  <c r="AE40" i="11" s="1"/>
  <c r="Y40" i="11"/>
  <c r="AD40" i="11" s="1"/>
  <c r="X40" i="11"/>
  <c r="Z39" i="11"/>
  <c r="AB39" i="11" s="1"/>
  <c r="Y39" i="11"/>
  <c r="AD39" i="11" s="1"/>
  <c r="X39" i="11"/>
  <c r="Z38" i="11"/>
  <c r="AB38" i="11" s="1"/>
  <c r="Y38" i="11"/>
  <c r="AC38" i="11" s="1"/>
  <c r="X38" i="11"/>
  <c r="Z37" i="11"/>
  <c r="AE37" i="11" s="1"/>
  <c r="Y37" i="11"/>
  <c r="AD37" i="11" s="1"/>
  <c r="X37" i="11"/>
  <c r="AB36" i="11"/>
  <c r="Z36" i="11"/>
  <c r="AE36" i="11" s="1"/>
  <c r="Y36" i="11"/>
  <c r="AD36" i="11" s="1"/>
  <c r="X36" i="11"/>
  <c r="Z35" i="11"/>
  <c r="AE35" i="11" s="1"/>
  <c r="Y35" i="11"/>
  <c r="AD35" i="11" s="1"/>
  <c r="X35" i="11"/>
  <c r="Z34" i="11"/>
  <c r="AB34" i="11" s="1"/>
  <c r="Y34" i="11"/>
  <c r="AC34" i="11" s="1"/>
  <c r="X34" i="11"/>
  <c r="Z33" i="11"/>
  <c r="AE33" i="11" s="1"/>
  <c r="Y33" i="11"/>
  <c r="AD33" i="11" s="1"/>
  <c r="X33" i="11"/>
  <c r="AB32" i="11"/>
  <c r="Z32" i="11"/>
  <c r="AE32" i="11" s="1"/>
  <c r="Y32" i="11"/>
  <c r="AC32" i="11" s="1"/>
  <c r="X32" i="11"/>
  <c r="AC31" i="11"/>
  <c r="Z31" i="11"/>
  <c r="AB31" i="11" s="1"/>
  <c r="Y31" i="11"/>
  <c r="AD31" i="11" s="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AD27" i="11" s="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X23" i="11"/>
  <c r="AC22" i="11"/>
  <c r="Z22" i="11"/>
  <c r="AB22" i="11" s="1"/>
  <c r="Y22" i="11"/>
  <c r="AD22" i="11" s="1"/>
  <c r="X22" i="11"/>
  <c r="AC21" i="11"/>
  <c r="Z21" i="11"/>
  <c r="AB21" i="11" s="1"/>
  <c r="Y21" i="11"/>
  <c r="AD21" i="11" s="1"/>
  <c r="X21" i="11"/>
  <c r="AD20" i="11"/>
  <c r="AC20" i="11"/>
  <c r="AA20" i="11" s="1"/>
  <c r="Z20" i="11"/>
  <c r="AB20" i="11" s="1"/>
  <c r="Y20" i="11"/>
  <c r="X20" i="11"/>
  <c r="AC19" i="11"/>
  <c r="Z19" i="11"/>
  <c r="AB19" i="11" s="1"/>
  <c r="Y19" i="11"/>
  <c r="AD19" i="11" s="1"/>
  <c r="X19" i="11"/>
  <c r="AC18" i="11"/>
  <c r="Z18" i="11"/>
  <c r="AB18" i="11" s="1"/>
  <c r="Y18" i="11"/>
  <c r="AD18" i="11" s="1"/>
  <c r="X18" i="11"/>
  <c r="AE17" i="11"/>
  <c r="AC17" i="11"/>
  <c r="Z17" i="11"/>
  <c r="AB17" i="11" s="1"/>
  <c r="Y17" i="11"/>
  <c r="AD17" i="11" s="1"/>
  <c r="X17" i="11"/>
  <c r="AC16" i="11"/>
  <c r="Z16" i="11"/>
  <c r="AB16" i="11" s="1"/>
  <c r="E34" i="3"/>
  <c r="A7" i="4"/>
  <c r="O18" i="21"/>
  <c r="O8" i="21"/>
  <c r="O7" i="21"/>
  <c r="O5" i="21"/>
  <c r="AC45" i="11" l="1"/>
  <c r="AB41" i="11"/>
  <c r="AB37" i="11"/>
  <c r="AB33" i="11"/>
  <c r="AA18" i="11"/>
  <c r="AC33" i="11"/>
  <c r="AA31" i="11"/>
  <c r="AB44" i="11"/>
  <c r="AE16" i="11"/>
  <c r="AA19" i="11"/>
  <c r="AE20" i="11"/>
  <c r="AA22" i="11"/>
  <c r="AA24" i="11"/>
  <c r="AA26" i="11"/>
  <c r="AB40" i="11"/>
  <c r="AC44" i="11"/>
  <c r="AA30" i="11"/>
  <c r="AC40" i="11"/>
  <c r="AE19" i="11"/>
  <c r="AC36" i="11"/>
  <c r="AA17" i="11"/>
  <c r="AE18" i="11"/>
  <c r="AA21" i="11"/>
  <c r="AA23" i="11"/>
  <c r="AA25" i="11"/>
  <c r="AA27" i="11"/>
  <c r="AB45" i="11"/>
  <c r="AA29" i="11"/>
  <c r="AA28" i="11"/>
  <c r="Y16" i="11"/>
  <c r="AA16" i="11" s="1"/>
  <c r="Y47" i="11"/>
  <c r="AC37" i="11"/>
  <c r="AC41" i="11"/>
  <c r="AD23" i="11"/>
  <c r="AE24" i="11"/>
  <c r="AE23" i="11"/>
  <c r="AE27" i="11"/>
  <c r="AE31" i="11"/>
  <c r="AE28" i="11"/>
  <c r="AE22" i="11"/>
  <c r="AE26" i="11"/>
  <c r="AE30" i="11"/>
  <c r="AE21" i="11"/>
  <c r="AE25" i="11"/>
  <c r="AE29" i="11"/>
  <c r="AD38" i="11"/>
  <c r="AE39" i="11"/>
  <c r="AE34" i="11"/>
  <c r="AB35" i="11"/>
  <c r="AE38" i="11"/>
  <c r="AE42" i="11"/>
  <c r="AB43" i="11"/>
  <c r="AE46" i="11"/>
  <c r="AD34" i="11"/>
  <c r="AD42" i="11"/>
  <c r="AD46" i="11"/>
  <c r="AD32" i="11"/>
  <c r="AC35" i="11"/>
  <c r="AC39" i="11"/>
  <c r="AC43" i="11"/>
  <c r="DH52" i="27"/>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60" i="21"/>
  <c r="O59" i="21"/>
  <c r="O58" i="21"/>
  <c r="O57" i="21"/>
  <c r="O56" i="21"/>
  <c r="N56" i="21"/>
  <c r="O55" i="21"/>
  <c r="N55" i="21"/>
  <c r="O54" i="21"/>
  <c r="N54" i="21"/>
  <c r="N53" i="21"/>
  <c r="O52" i="21"/>
  <c r="O51" i="21"/>
  <c r="O50" i="21"/>
  <c r="O49" i="21"/>
  <c r="O48" i="21"/>
  <c r="O47" i="21"/>
  <c r="O46" i="21"/>
  <c r="N46" i="21"/>
  <c r="O45" i="21"/>
  <c r="O44" i="21"/>
  <c r="O43" i="21"/>
  <c r="O42" i="21"/>
  <c r="O41" i="21"/>
  <c r="N41" i="21"/>
  <c r="O40" i="21"/>
  <c r="O39" i="21"/>
  <c r="O38" i="21"/>
  <c r="N38" i="21"/>
  <c r="O36" i="21"/>
  <c r="N36" i="21"/>
  <c r="O35" i="21"/>
  <c r="N35" i="21"/>
  <c r="O34" i="21"/>
  <c r="N34" i="21"/>
  <c r="O33" i="21"/>
  <c r="O32" i="21"/>
  <c r="O31" i="21"/>
  <c r="O30" i="21"/>
  <c r="O29" i="21"/>
  <c r="O28" i="21"/>
  <c r="O27" i="21"/>
  <c r="N27" i="21"/>
  <c r="O26" i="21"/>
  <c r="O21" i="21"/>
  <c r="O17" i="21"/>
  <c r="O16" i="21"/>
  <c r="O15" i="21"/>
  <c r="O14" i="21"/>
  <c r="O13" i="21"/>
  <c r="O12" i="21"/>
  <c r="O11" i="21"/>
  <c r="O10" i="21"/>
  <c r="O9" i="21"/>
  <c r="O6" i="21"/>
  <c r="O4" i="21"/>
  <c r="AC47" i="11" l="1"/>
  <c r="AA47" i="11" s="1"/>
  <c r="O23" i="21"/>
  <c r="O19" i="21"/>
  <c r="O61" i="21"/>
  <c r="AU18" i="16" l="1"/>
  <c r="AU17" i="16"/>
  <c r="AU16" i="16"/>
  <c r="U62" i="3"/>
  <c r="R62" i="3"/>
  <c r="O62" i="3"/>
  <c r="M62" i="3"/>
  <c r="J62" i="3"/>
  <c r="H62" i="3"/>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W17" i="20" l="1"/>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Z16" i="18"/>
  <c r="AA16" i="18" l="1"/>
  <c r="AW14" i="20"/>
  <c r="AX14" i="20"/>
  <c r="C19" i="27"/>
  <c r="C21" i="27" s="1"/>
  <c r="D16" i="3" s="1"/>
  <c r="BB44" i="25"/>
  <c r="AZ47" i="25"/>
  <c r="AY47" i="25"/>
  <c r="AX47" i="25"/>
  <c r="AX33" i="25"/>
  <c r="AX31" i="25"/>
  <c r="AX30" i="25"/>
  <c r="AX29" i="25"/>
  <c r="AW29" i="25"/>
  <c r="AX28" i="25"/>
  <c r="AX27" i="25"/>
  <c r="AX26" i="25"/>
  <c r="AX25" i="25"/>
  <c r="AX24" i="25"/>
  <c r="AX23" i="25"/>
  <c r="AW23" i="25"/>
  <c r="AX22" i="25"/>
  <c r="AW22" i="25"/>
  <c r="AX21" i="25"/>
  <c r="AX20" i="25"/>
  <c r="AX19" i="25"/>
  <c r="AX18" i="25"/>
  <c r="AW18" i="25"/>
  <c r="AX17"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O1045" i="23" s="1"/>
  <c r="P1045" i="23" s="1"/>
  <c r="M1044" i="23"/>
  <c r="L1044" i="23"/>
  <c r="O1044" i="23" s="1"/>
  <c r="P1044" i="23" s="1"/>
  <c r="M1043" i="23"/>
  <c r="L1043" i="23"/>
  <c r="O1043" i="23" s="1"/>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P27" i="23" s="1"/>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A117" i="19" s="1"/>
  <c r="AI117" i="19" s="1"/>
  <c r="AW116" i="19"/>
  <c r="AV116" i="19"/>
  <c r="AU116" i="19"/>
  <c r="AQ116" i="19"/>
  <c r="AP116" i="19"/>
  <c r="AO116" i="19"/>
  <c r="AN116" i="19"/>
  <c r="AM116" i="19"/>
  <c r="Z116" i="19"/>
  <c r="AB116" i="19" s="1"/>
  <c r="AW115" i="19"/>
  <c r="AV115" i="19"/>
  <c r="AU115" i="19"/>
  <c r="AQ115" i="19"/>
  <c r="AP115" i="19"/>
  <c r="AO115" i="19"/>
  <c r="AN115" i="19"/>
  <c r="AM115" i="19"/>
  <c r="Z115" i="19"/>
  <c r="AW114" i="19"/>
  <c r="AV114" i="19"/>
  <c r="AU114" i="19"/>
  <c r="AQ114" i="19"/>
  <c r="AP114" i="19"/>
  <c r="AO114" i="19"/>
  <c r="AN114" i="19"/>
  <c r="AM114" i="19"/>
  <c r="Z114" i="19"/>
  <c r="AW113" i="19"/>
  <c r="AV113" i="19"/>
  <c r="AU113" i="19"/>
  <c r="AQ113" i="19"/>
  <c r="AP113" i="19"/>
  <c r="AO113" i="19"/>
  <c r="AN113" i="19"/>
  <c r="AM113" i="19"/>
  <c r="Z113" i="19"/>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A109" i="19" s="1"/>
  <c r="AI109" i="19" s="1"/>
  <c r="AW108" i="19"/>
  <c r="AV108" i="19"/>
  <c r="AU108" i="19"/>
  <c r="AQ108" i="19"/>
  <c r="AP108" i="19"/>
  <c r="AO108" i="19"/>
  <c r="AN108" i="19"/>
  <c r="AM108" i="19"/>
  <c r="Z108" i="19"/>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F104" i="19" s="1"/>
  <c r="AW103" i="19"/>
  <c r="AV103" i="19"/>
  <c r="AU103" i="19"/>
  <c r="AQ103" i="19"/>
  <c r="AP103" i="19"/>
  <c r="AO103" i="19"/>
  <c r="AN103" i="19"/>
  <c r="AM103" i="19"/>
  <c r="Z103" i="19"/>
  <c r="AC103" i="19" s="1"/>
  <c r="AW102" i="19"/>
  <c r="AV102" i="19"/>
  <c r="AU102" i="19"/>
  <c r="AQ102" i="19"/>
  <c r="AP102" i="19"/>
  <c r="AO102" i="19"/>
  <c r="AN102" i="19"/>
  <c r="AM102" i="19"/>
  <c r="Z102" i="19"/>
  <c r="AW101" i="19"/>
  <c r="AV101" i="19"/>
  <c r="AU101" i="19"/>
  <c r="AQ101" i="19"/>
  <c r="AP101" i="19"/>
  <c r="AO101" i="19"/>
  <c r="AN101" i="19"/>
  <c r="AM101" i="19"/>
  <c r="Z101" i="19"/>
  <c r="AA101" i="19" s="1"/>
  <c r="AI101" i="19" s="1"/>
  <c r="AW100" i="19"/>
  <c r="AV100" i="19"/>
  <c r="AU100" i="19"/>
  <c r="AQ100" i="19"/>
  <c r="AP100" i="19"/>
  <c r="AO100" i="19"/>
  <c r="AN100" i="19"/>
  <c r="AM100" i="19"/>
  <c r="Z100" i="19"/>
  <c r="AF100" i="19" s="1"/>
  <c r="AW99" i="19"/>
  <c r="AV99" i="19"/>
  <c r="AU99" i="19"/>
  <c r="AQ99" i="19"/>
  <c r="AP99" i="19"/>
  <c r="AO99" i="19"/>
  <c r="AN99" i="19"/>
  <c r="AM99" i="19"/>
  <c r="Z99" i="19"/>
  <c r="AC99" i="19" s="1"/>
  <c r="AW98" i="19"/>
  <c r="AV98" i="19"/>
  <c r="AU98" i="19"/>
  <c r="AQ98" i="19"/>
  <c r="AP98" i="19"/>
  <c r="AO98" i="19"/>
  <c r="AN98" i="19"/>
  <c r="AM98" i="19"/>
  <c r="Z98" i="19"/>
  <c r="AW97" i="19"/>
  <c r="AV97" i="19"/>
  <c r="AU97" i="19"/>
  <c r="AQ97" i="19"/>
  <c r="AP97" i="19"/>
  <c r="AO97" i="19"/>
  <c r="AN97" i="19"/>
  <c r="AM97" i="19"/>
  <c r="Z97" i="19"/>
  <c r="AA97" i="19" s="1"/>
  <c r="AI97" i="19" s="1"/>
  <c r="AW96" i="19"/>
  <c r="AV96" i="19"/>
  <c r="AU96" i="19"/>
  <c r="AQ96" i="19"/>
  <c r="AP96" i="19"/>
  <c r="AO96" i="19"/>
  <c r="AN96" i="19"/>
  <c r="AM96" i="19"/>
  <c r="Z96" i="19"/>
  <c r="AA96" i="19" s="1"/>
  <c r="AI96" i="19" s="1"/>
  <c r="AW95" i="19"/>
  <c r="AV95" i="19"/>
  <c r="AU95" i="19"/>
  <c r="AQ95" i="19"/>
  <c r="AP95" i="19"/>
  <c r="AO95" i="19"/>
  <c r="AN95" i="19"/>
  <c r="AM95" i="19"/>
  <c r="Z95" i="19"/>
  <c r="AA95" i="19" s="1"/>
  <c r="AW94" i="19"/>
  <c r="AV94" i="19"/>
  <c r="AU94" i="19"/>
  <c r="AQ94" i="19"/>
  <c r="AP94" i="19"/>
  <c r="AO94" i="19"/>
  <c r="AN94" i="19"/>
  <c r="AM94" i="19"/>
  <c r="Z94" i="19"/>
  <c r="AW93" i="19"/>
  <c r="AV93" i="19"/>
  <c r="AU93" i="19"/>
  <c r="AQ93" i="19"/>
  <c r="AP93" i="19"/>
  <c r="AO93" i="19"/>
  <c r="AN93" i="19"/>
  <c r="AM93" i="19"/>
  <c r="Z93" i="19"/>
  <c r="AA93" i="19" s="1"/>
  <c r="AI93" i="19" s="1"/>
  <c r="AW92" i="19"/>
  <c r="AV92" i="19"/>
  <c r="AU92" i="19"/>
  <c r="AQ92" i="19"/>
  <c r="AP92" i="19"/>
  <c r="AO92" i="19"/>
  <c r="AN92" i="19"/>
  <c r="AM92" i="19"/>
  <c r="Z92" i="19"/>
  <c r="AW91" i="19"/>
  <c r="AV91" i="19"/>
  <c r="AU91" i="19"/>
  <c r="AQ91" i="19"/>
  <c r="AP91" i="19"/>
  <c r="AO91" i="19"/>
  <c r="AN91" i="19"/>
  <c r="AM91" i="19"/>
  <c r="Z91" i="19"/>
  <c r="AA91" i="19" s="1"/>
  <c r="AI91" i="19" s="1"/>
  <c r="AW90" i="19"/>
  <c r="AV90" i="19"/>
  <c r="AU90" i="19"/>
  <c r="AQ90" i="19"/>
  <c r="AP90" i="19"/>
  <c r="AO90" i="19"/>
  <c r="AN90" i="19"/>
  <c r="AM90" i="19"/>
  <c r="Z90" i="19"/>
  <c r="AW89" i="19"/>
  <c r="AV89" i="19"/>
  <c r="AU89" i="19"/>
  <c r="AQ89" i="19"/>
  <c r="AP89" i="19"/>
  <c r="AO89" i="19"/>
  <c r="AN89" i="19"/>
  <c r="AM89" i="19"/>
  <c r="Z89" i="19"/>
  <c r="AA89" i="19" s="1"/>
  <c r="AW88" i="19"/>
  <c r="AV88" i="19"/>
  <c r="AU88" i="19"/>
  <c r="AQ88" i="19"/>
  <c r="AP88" i="19"/>
  <c r="AO88" i="19"/>
  <c r="AN88" i="19"/>
  <c r="AM88" i="19"/>
  <c r="Z88" i="19"/>
  <c r="AF88" i="19" s="1"/>
  <c r="AW87" i="19"/>
  <c r="AV87" i="19"/>
  <c r="AU87" i="19"/>
  <c r="AQ87" i="19"/>
  <c r="AP87" i="19"/>
  <c r="AO87" i="19"/>
  <c r="AN87" i="19"/>
  <c r="AM87" i="19"/>
  <c r="Z87" i="19"/>
  <c r="AA87" i="19" s="1"/>
  <c r="AG87" i="19" s="1"/>
  <c r="AW86" i="19"/>
  <c r="AV86" i="19"/>
  <c r="AU86" i="19"/>
  <c r="AQ86" i="19"/>
  <c r="AP86" i="19"/>
  <c r="AO86" i="19"/>
  <c r="AN86" i="19"/>
  <c r="AM86" i="19"/>
  <c r="Z86" i="19"/>
  <c r="AW85" i="19"/>
  <c r="AV85" i="19"/>
  <c r="AU85" i="19"/>
  <c r="AQ85" i="19"/>
  <c r="AP85" i="19"/>
  <c r="AO85" i="19"/>
  <c r="AN85" i="19"/>
  <c r="AM85" i="19"/>
  <c r="Z85" i="19"/>
  <c r="AW84" i="19"/>
  <c r="AV84" i="19"/>
  <c r="AU84" i="19"/>
  <c r="AQ84" i="19"/>
  <c r="AP84" i="19"/>
  <c r="AO84" i="19"/>
  <c r="AN84" i="19"/>
  <c r="AM84" i="19"/>
  <c r="Z84" i="19"/>
  <c r="AB84" i="19" s="1"/>
  <c r="AW83" i="19"/>
  <c r="AV83" i="19"/>
  <c r="AU83" i="19"/>
  <c r="AQ83" i="19"/>
  <c r="AP83" i="19"/>
  <c r="AO83" i="19"/>
  <c r="AN83" i="19"/>
  <c r="AM83" i="19"/>
  <c r="Z83" i="19"/>
  <c r="AW82" i="19"/>
  <c r="AV82" i="19"/>
  <c r="AU82" i="19"/>
  <c r="AQ82" i="19"/>
  <c r="AP82" i="19"/>
  <c r="AO82" i="19"/>
  <c r="AN82" i="19"/>
  <c r="AM82" i="19"/>
  <c r="Z82" i="19"/>
  <c r="AC82" i="19" s="1"/>
  <c r="AW81" i="19"/>
  <c r="AV81" i="19"/>
  <c r="AU81" i="19"/>
  <c r="AQ81" i="19"/>
  <c r="AP81" i="19"/>
  <c r="AO81" i="19"/>
  <c r="AN81" i="19"/>
  <c r="AM81" i="19"/>
  <c r="Z81" i="19"/>
  <c r="AW80" i="19"/>
  <c r="AV80" i="19"/>
  <c r="AU80" i="19"/>
  <c r="AQ80" i="19"/>
  <c r="AP80" i="19"/>
  <c r="AO80" i="19"/>
  <c r="AN80" i="19"/>
  <c r="AM80" i="19"/>
  <c r="Z80" i="19"/>
  <c r="AF80" i="19" s="1"/>
  <c r="AW79" i="19"/>
  <c r="AV79" i="19"/>
  <c r="AU79" i="19"/>
  <c r="AQ79" i="19"/>
  <c r="AP79" i="19"/>
  <c r="AO79" i="19"/>
  <c r="AN79" i="19"/>
  <c r="AM79" i="19"/>
  <c r="Z79" i="19"/>
  <c r="AF79" i="19" s="1"/>
  <c r="AW78" i="19"/>
  <c r="AV78" i="19"/>
  <c r="AU78" i="19"/>
  <c r="AQ78" i="19"/>
  <c r="AP78" i="19"/>
  <c r="AO78" i="19"/>
  <c r="AN78" i="19"/>
  <c r="AM78" i="19"/>
  <c r="Z78" i="19"/>
  <c r="AW77" i="19"/>
  <c r="AV77" i="19"/>
  <c r="AU77" i="19"/>
  <c r="AQ77" i="19"/>
  <c r="AP77" i="19"/>
  <c r="AO77" i="19"/>
  <c r="AN77" i="19"/>
  <c r="AM77" i="19"/>
  <c r="Z77" i="19"/>
  <c r="AA77" i="19" s="1"/>
  <c r="AI77" i="19" s="1"/>
  <c r="AW76" i="19"/>
  <c r="AV76" i="19"/>
  <c r="AU76" i="19"/>
  <c r="AQ76" i="19"/>
  <c r="AP76" i="19"/>
  <c r="AO76" i="19"/>
  <c r="AN76" i="19"/>
  <c r="AM76" i="19"/>
  <c r="Z76" i="19"/>
  <c r="AC76" i="19" s="1"/>
  <c r="AW75" i="19"/>
  <c r="AV75" i="19"/>
  <c r="AU75" i="19"/>
  <c r="AQ75" i="19"/>
  <c r="AP75" i="19"/>
  <c r="AO75" i="19"/>
  <c r="AN75" i="19"/>
  <c r="AM75" i="19"/>
  <c r="Z75" i="19"/>
  <c r="AF75" i="19" s="1"/>
  <c r="AW74" i="19"/>
  <c r="AV74" i="19"/>
  <c r="AU74" i="19"/>
  <c r="AQ74" i="19"/>
  <c r="AP74" i="19"/>
  <c r="AO74" i="19"/>
  <c r="AN74" i="19"/>
  <c r="AM74" i="19"/>
  <c r="Z74" i="19"/>
  <c r="AA74" i="19" s="1"/>
  <c r="AI74" i="19" s="1"/>
  <c r="AW73" i="19"/>
  <c r="AV73" i="19"/>
  <c r="AU73" i="19"/>
  <c r="AQ73" i="19"/>
  <c r="AP73" i="19"/>
  <c r="AO73" i="19"/>
  <c r="AN73" i="19"/>
  <c r="AM73" i="19"/>
  <c r="Z73" i="19"/>
  <c r="AC73" i="19" s="1"/>
  <c r="AW72" i="19"/>
  <c r="AV72" i="19"/>
  <c r="AU72" i="19"/>
  <c r="AQ72" i="19"/>
  <c r="AP72" i="19"/>
  <c r="AO72" i="19"/>
  <c r="AN72" i="19"/>
  <c r="AM72" i="19"/>
  <c r="Z72" i="19"/>
  <c r="AW71" i="19"/>
  <c r="AV71" i="19"/>
  <c r="AU71" i="19"/>
  <c r="AQ71" i="19"/>
  <c r="AP71" i="19"/>
  <c r="AO71" i="19"/>
  <c r="AN71" i="19"/>
  <c r="AM71" i="19"/>
  <c r="Z71" i="19"/>
  <c r="AF71" i="19" s="1"/>
  <c r="AW70" i="19"/>
  <c r="AV70" i="19"/>
  <c r="AU70" i="19"/>
  <c r="AQ70" i="19"/>
  <c r="AP70" i="19"/>
  <c r="AO70" i="19"/>
  <c r="AN70" i="19"/>
  <c r="AM70" i="19"/>
  <c r="Z70" i="19"/>
  <c r="AA70" i="19" s="1"/>
  <c r="AI70" i="19" s="1"/>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F67" i="19" s="1"/>
  <c r="AW66" i="19"/>
  <c r="AV66" i="19"/>
  <c r="AU66" i="19"/>
  <c r="AQ66" i="19"/>
  <c r="AP66" i="19"/>
  <c r="AO66" i="19"/>
  <c r="AN66" i="19"/>
  <c r="AM66" i="19"/>
  <c r="Z66" i="19"/>
  <c r="AA66" i="19" s="1"/>
  <c r="AI66" i="19" s="1"/>
  <c r="AW65" i="19"/>
  <c r="AV65" i="19"/>
  <c r="AU65" i="19"/>
  <c r="AQ65" i="19"/>
  <c r="AP65" i="19"/>
  <c r="AO65" i="19"/>
  <c r="AN65" i="19"/>
  <c r="AM65" i="19"/>
  <c r="Z65" i="19"/>
  <c r="AA65" i="19" s="1"/>
  <c r="AW64" i="19"/>
  <c r="AV64" i="19"/>
  <c r="AU64" i="19"/>
  <c r="AQ64" i="19"/>
  <c r="AP64" i="19"/>
  <c r="AO64" i="19"/>
  <c r="AN64" i="19"/>
  <c r="AM64" i="19"/>
  <c r="Z64" i="19"/>
  <c r="AC64" i="19" s="1"/>
  <c r="AW63" i="19"/>
  <c r="AV63" i="19"/>
  <c r="AU63" i="19"/>
  <c r="AQ63" i="19"/>
  <c r="AP63" i="19"/>
  <c r="AO63" i="19"/>
  <c r="AN63" i="19"/>
  <c r="AM63" i="19"/>
  <c r="Z63" i="19"/>
  <c r="AF63" i="19" s="1"/>
  <c r="AW62" i="19"/>
  <c r="AV62" i="19"/>
  <c r="AU62" i="19"/>
  <c r="AQ62" i="19"/>
  <c r="AP62" i="19"/>
  <c r="AO62" i="19"/>
  <c r="AN62" i="19"/>
  <c r="AM62" i="19"/>
  <c r="Z62" i="19"/>
  <c r="AF62" i="19" s="1"/>
  <c r="AW61" i="19"/>
  <c r="AV61" i="19"/>
  <c r="AU61" i="19"/>
  <c r="AQ61" i="19"/>
  <c r="AP61" i="19"/>
  <c r="AO61" i="19"/>
  <c r="AN61" i="19"/>
  <c r="AM61" i="19"/>
  <c r="Z61" i="19"/>
  <c r="AA61" i="19" s="1"/>
  <c r="AG61" i="19" s="1"/>
  <c r="AW60" i="19"/>
  <c r="AV60" i="19"/>
  <c r="AU60" i="19"/>
  <c r="AQ60" i="19"/>
  <c r="AP60" i="19"/>
  <c r="AO60" i="19"/>
  <c r="AN60" i="19"/>
  <c r="AM60" i="19"/>
  <c r="Z60" i="19"/>
  <c r="AC60" i="19" s="1"/>
  <c r="AW59" i="19"/>
  <c r="AV59" i="19"/>
  <c r="AU59" i="19"/>
  <c r="AQ59" i="19"/>
  <c r="AP59" i="19"/>
  <c r="AO59" i="19"/>
  <c r="AN59" i="19"/>
  <c r="AM59" i="19"/>
  <c r="Z59" i="19"/>
  <c r="AF59" i="19" s="1"/>
  <c r="AW58" i="19"/>
  <c r="AV58" i="19"/>
  <c r="AU58" i="19"/>
  <c r="AQ58" i="19"/>
  <c r="AP58" i="19"/>
  <c r="AO58" i="19"/>
  <c r="AN58" i="19"/>
  <c r="AM58" i="19"/>
  <c r="Z58" i="19"/>
  <c r="AW57" i="19"/>
  <c r="AV57" i="19"/>
  <c r="AU57" i="19"/>
  <c r="AQ57" i="19"/>
  <c r="AP57" i="19"/>
  <c r="AO57" i="19"/>
  <c r="AN57" i="19"/>
  <c r="AM57" i="19"/>
  <c r="Z57" i="19"/>
  <c r="AW56" i="19"/>
  <c r="AV56" i="19"/>
  <c r="AU56" i="19"/>
  <c r="AQ56" i="19"/>
  <c r="AP56" i="19"/>
  <c r="AO56" i="19"/>
  <c r="AN56" i="19"/>
  <c r="AM56" i="19"/>
  <c r="Z56" i="19"/>
  <c r="AC56" i="19" s="1"/>
  <c r="AW55" i="19"/>
  <c r="AV55" i="19"/>
  <c r="AU55" i="19"/>
  <c r="AQ55" i="19"/>
  <c r="AP55" i="19"/>
  <c r="AO55" i="19"/>
  <c r="AN55" i="19"/>
  <c r="AM55" i="19"/>
  <c r="Z55" i="19"/>
  <c r="AF55" i="19" s="1"/>
  <c r="AW54" i="19"/>
  <c r="AV54" i="19"/>
  <c r="AU54" i="19"/>
  <c r="AQ54" i="19"/>
  <c r="AP54" i="19"/>
  <c r="AO54" i="19"/>
  <c r="AN54" i="19"/>
  <c r="AM54" i="19"/>
  <c r="Z54" i="19"/>
  <c r="AF54" i="19" s="1"/>
  <c r="AW53" i="19"/>
  <c r="AV53" i="19"/>
  <c r="AU53" i="19"/>
  <c r="AQ53" i="19"/>
  <c r="AP53" i="19"/>
  <c r="AO53" i="19"/>
  <c r="AN53" i="19"/>
  <c r="AM53" i="19"/>
  <c r="Z53" i="19"/>
  <c r="AA53" i="19" s="1"/>
  <c r="AI53" i="19" s="1"/>
  <c r="AW52" i="19"/>
  <c r="AV52" i="19"/>
  <c r="AU52" i="19"/>
  <c r="AQ52" i="19"/>
  <c r="AP52" i="19"/>
  <c r="AO52" i="19"/>
  <c r="AN52" i="19"/>
  <c r="AM52" i="19"/>
  <c r="Z52" i="19"/>
  <c r="AC52" i="19" s="1"/>
  <c r="AW51" i="19"/>
  <c r="AV51" i="19"/>
  <c r="AU51" i="19"/>
  <c r="AQ51" i="19"/>
  <c r="AP51" i="19"/>
  <c r="AO51" i="19"/>
  <c r="AN51" i="19"/>
  <c r="AM51" i="19"/>
  <c r="Z51" i="19"/>
  <c r="AF51" i="19" s="1"/>
  <c r="AW50" i="19"/>
  <c r="AV50" i="19"/>
  <c r="AU50" i="19"/>
  <c r="AQ50" i="19"/>
  <c r="AP50" i="19"/>
  <c r="AO50" i="19"/>
  <c r="AN50" i="19"/>
  <c r="AM50" i="19"/>
  <c r="Z50" i="19"/>
  <c r="AW49" i="19"/>
  <c r="AV49" i="19"/>
  <c r="AU49" i="19"/>
  <c r="AQ49" i="19"/>
  <c r="AP49" i="19"/>
  <c r="AO49" i="19"/>
  <c r="AN49" i="19"/>
  <c r="AM49" i="19"/>
  <c r="Z49" i="19"/>
  <c r="AA49" i="19" s="1"/>
  <c r="AI49" i="19" s="1"/>
  <c r="AW48" i="19"/>
  <c r="AV48" i="19"/>
  <c r="AU48" i="19"/>
  <c r="AQ48" i="19"/>
  <c r="AP48" i="19"/>
  <c r="AO48" i="19"/>
  <c r="AN48" i="19"/>
  <c r="AM48" i="19"/>
  <c r="Z48" i="19"/>
  <c r="AC48" i="19" s="1"/>
  <c r="AW47" i="19"/>
  <c r="AV47" i="19"/>
  <c r="AU47" i="19"/>
  <c r="AQ47" i="19"/>
  <c r="AP47" i="19"/>
  <c r="AO47" i="19"/>
  <c r="AN47" i="19"/>
  <c r="AM47" i="19"/>
  <c r="Z47" i="19"/>
  <c r="AF47" i="19" s="1"/>
  <c r="AW46" i="19"/>
  <c r="AV46" i="19"/>
  <c r="AU46" i="19"/>
  <c r="AQ46" i="19"/>
  <c r="AP46" i="19"/>
  <c r="AO46" i="19"/>
  <c r="AN46" i="19"/>
  <c r="AM46" i="19"/>
  <c r="Z46" i="19"/>
  <c r="AF46" i="19" s="1"/>
  <c r="AW45" i="19"/>
  <c r="AV45" i="19"/>
  <c r="AU45" i="19"/>
  <c r="AQ45" i="19"/>
  <c r="AP45" i="19"/>
  <c r="AO45" i="19"/>
  <c r="AN45" i="19"/>
  <c r="AM45" i="19"/>
  <c r="Z45" i="19"/>
  <c r="AA45" i="19" s="1"/>
  <c r="AG45" i="19" s="1"/>
  <c r="AW44" i="19"/>
  <c r="AV44" i="19"/>
  <c r="AU44" i="19"/>
  <c r="AQ44" i="19"/>
  <c r="AP44" i="19"/>
  <c r="AO44" i="19"/>
  <c r="AN44" i="19"/>
  <c r="AM44" i="19"/>
  <c r="Z44" i="19"/>
  <c r="AC44" i="19" s="1"/>
  <c r="AW43" i="19"/>
  <c r="AV43" i="19"/>
  <c r="AU43" i="19"/>
  <c r="AQ43" i="19"/>
  <c r="AP43" i="19"/>
  <c r="AO43" i="19"/>
  <c r="AN43" i="19"/>
  <c r="AM43" i="19"/>
  <c r="Z43" i="19"/>
  <c r="AW42" i="19"/>
  <c r="AV42" i="19"/>
  <c r="AU42" i="19"/>
  <c r="AQ42" i="19"/>
  <c r="AP42" i="19"/>
  <c r="AO42" i="19"/>
  <c r="AN42" i="19"/>
  <c r="AM42" i="19"/>
  <c r="Z42" i="19"/>
  <c r="AA42" i="19" s="1"/>
  <c r="AI42" i="19" s="1"/>
  <c r="AW41" i="19"/>
  <c r="AV41" i="19"/>
  <c r="AU41" i="19"/>
  <c r="AQ41" i="19"/>
  <c r="AP41" i="19"/>
  <c r="AO41" i="19"/>
  <c r="AN41" i="19"/>
  <c r="AM41" i="19"/>
  <c r="Z41" i="19"/>
  <c r="AF41" i="19" s="1"/>
  <c r="AW40" i="19"/>
  <c r="AV40" i="19"/>
  <c r="AU40" i="19"/>
  <c r="AQ40" i="19"/>
  <c r="AP40" i="19"/>
  <c r="AO40" i="19"/>
  <c r="AN40" i="19"/>
  <c r="AM40" i="19"/>
  <c r="Z40" i="19"/>
  <c r="AC40" i="19" s="1"/>
  <c r="AW39" i="19"/>
  <c r="AV39" i="19"/>
  <c r="AU39" i="19"/>
  <c r="AQ39" i="19"/>
  <c r="AP39" i="19"/>
  <c r="AO39" i="19"/>
  <c r="AN39" i="19"/>
  <c r="AM39" i="19"/>
  <c r="Z39" i="19"/>
  <c r="AW38" i="19"/>
  <c r="AV38" i="19"/>
  <c r="AU38" i="19"/>
  <c r="AQ38" i="19"/>
  <c r="AP38" i="19"/>
  <c r="AO38" i="19"/>
  <c r="AN38" i="19"/>
  <c r="AM38" i="19"/>
  <c r="Z38" i="19"/>
  <c r="AA38" i="19" s="1"/>
  <c r="AI38" i="19" s="1"/>
  <c r="AW37" i="19"/>
  <c r="AV37" i="19"/>
  <c r="AU37" i="19"/>
  <c r="AQ37" i="19"/>
  <c r="AP37" i="19"/>
  <c r="AO37" i="19"/>
  <c r="AN37" i="19"/>
  <c r="AM37" i="19"/>
  <c r="Z37" i="19"/>
  <c r="AB37" i="19" s="1"/>
  <c r="AW36" i="19"/>
  <c r="AV36" i="19"/>
  <c r="AU36" i="19"/>
  <c r="AQ36" i="19"/>
  <c r="AP36" i="19"/>
  <c r="AO36" i="19"/>
  <c r="AN36" i="19"/>
  <c r="AM36" i="19"/>
  <c r="Z36" i="19"/>
  <c r="AC36" i="19" s="1"/>
  <c r="AW35" i="19"/>
  <c r="AV35" i="19"/>
  <c r="AU35" i="19"/>
  <c r="AQ35" i="19"/>
  <c r="AP35" i="19"/>
  <c r="AO35" i="19"/>
  <c r="AN35" i="19"/>
  <c r="AM35" i="19"/>
  <c r="Z35" i="19"/>
  <c r="AW34" i="19"/>
  <c r="AV34" i="19"/>
  <c r="AU34" i="19"/>
  <c r="AQ34" i="19"/>
  <c r="AP34" i="19"/>
  <c r="AO34" i="19"/>
  <c r="AN34" i="19"/>
  <c r="AM34" i="19"/>
  <c r="Z34" i="19"/>
  <c r="AA34" i="19" s="1"/>
  <c r="AI34" i="19" s="1"/>
  <c r="AW33" i="19"/>
  <c r="AV33" i="19"/>
  <c r="AU33" i="19"/>
  <c r="AQ33" i="19"/>
  <c r="AP33" i="19"/>
  <c r="AO33" i="19"/>
  <c r="AN33" i="19"/>
  <c r="AM33" i="19"/>
  <c r="Z33" i="19"/>
  <c r="AF33" i="19" s="1"/>
  <c r="AW32" i="19"/>
  <c r="AV32" i="19"/>
  <c r="AU32" i="19"/>
  <c r="AQ32" i="19"/>
  <c r="AP32" i="19"/>
  <c r="AO32" i="19"/>
  <c r="AN32" i="19"/>
  <c r="AM32" i="19"/>
  <c r="Z32" i="19"/>
  <c r="AC32" i="19" s="1"/>
  <c r="AW31" i="19"/>
  <c r="AV31" i="19"/>
  <c r="AU31" i="19"/>
  <c r="AQ31" i="19"/>
  <c r="AP31" i="19"/>
  <c r="AO31" i="19"/>
  <c r="AN31" i="19"/>
  <c r="AM31" i="19"/>
  <c r="Z31" i="19"/>
  <c r="AW30" i="19"/>
  <c r="AV30" i="19"/>
  <c r="AU30" i="19"/>
  <c r="AQ30" i="19"/>
  <c r="AP30" i="19"/>
  <c r="AO30" i="19"/>
  <c r="AN30" i="19"/>
  <c r="AM30" i="19"/>
  <c r="Z30" i="19"/>
  <c r="AA30" i="19" s="1"/>
  <c r="AI30" i="19" s="1"/>
  <c r="AW29" i="19"/>
  <c r="AV29" i="19"/>
  <c r="AU29" i="19"/>
  <c r="AQ29" i="19"/>
  <c r="AP29" i="19"/>
  <c r="AO29" i="19"/>
  <c r="AN29" i="19"/>
  <c r="AM29" i="19"/>
  <c r="Z29" i="19"/>
  <c r="AC29" i="19" s="1"/>
  <c r="AW28" i="19"/>
  <c r="AV28" i="19"/>
  <c r="AU28" i="19"/>
  <c r="AQ28" i="19"/>
  <c r="AP28" i="19"/>
  <c r="AO28" i="19"/>
  <c r="AN28" i="19"/>
  <c r="AM28" i="19"/>
  <c r="Z28" i="19"/>
  <c r="AC28" i="19" s="1"/>
  <c r="AW27" i="19"/>
  <c r="AV27" i="19"/>
  <c r="AU27" i="19"/>
  <c r="AQ27" i="19"/>
  <c r="AP27" i="19"/>
  <c r="AO27" i="19"/>
  <c r="AN27" i="19"/>
  <c r="AM27" i="19"/>
  <c r="Z27" i="19"/>
  <c r="AW26" i="19"/>
  <c r="AV26" i="19"/>
  <c r="AU26" i="19"/>
  <c r="AQ26" i="19"/>
  <c r="AP26" i="19"/>
  <c r="AO26" i="19"/>
  <c r="AN26" i="19"/>
  <c r="AM26" i="19"/>
  <c r="Z26" i="19"/>
  <c r="AF26" i="19" s="1"/>
  <c r="AW25" i="19"/>
  <c r="AV25" i="19"/>
  <c r="AU25" i="19"/>
  <c r="AQ25" i="19"/>
  <c r="AP25" i="19"/>
  <c r="AO25" i="19"/>
  <c r="AN25" i="19"/>
  <c r="AM25" i="19"/>
  <c r="Z25" i="19"/>
  <c r="AF25" i="19" s="1"/>
  <c r="AW24" i="19"/>
  <c r="AV24" i="19"/>
  <c r="AU24" i="19"/>
  <c r="AQ24" i="19"/>
  <c r="AP24" i="19"/>
  <c r="AO24" i="19"/>
  <c r="AN24" i="19"/>
  <c r="AM24" i="19"/>
  <c r="Z24" i="19"/>
  <c r="AF24" i="19" s="1"/>
  <c r="AW23" i="19"/>
  <c r="AV23" i="19"/>
  <c r="AU23" i="19"/>
  <c r="AQ23" i="19"/>
  <c r="AP23" i="19"/>
  <c r="AO23" i="19"/>
  <c r="AN23" i="19"/>
  <c r="AM23" i="19"/>
  <c r="Z23" i="19"/>
  <c r="AW22" i="19"/>
  <c r="AV22" i="19"/>
  <c r="AU22" i="19"/>
  <c r="AQ22" i="19"/>
  <c r="AP22" i="19"/>
  <c r="AO22" i="19"/>
  <c r="AN22" i="19"/>
  <c r="AM22" i="19"/>
  <c r="Z22" i="19"/>
  <c r="AW21" i="19"/>
  <c r="AV21" i="19"/>
  <c r="AU21" i="19"/>
  <c r="AQ21" i="19"/>
  <c r="AP21" i="19"/>
  <c r="AO21" i="19"/>
  <c r="AN21" i="19"/>
  <c r="AM21" i="19"/>
  <c r="Z21" i="19"/>
  <c r="AF21" i="19" s="1"/>
  <c r="AW20" i="19"/>
  <c r="AV20" i="19"/>
  <c r="AU20" i="19"/>
  <c r="AQ20" i="19"/>
  <c r="AP20" i="19"/>
  <c r="AO20" i="19"/>
  <c r="AN20" i="19"/>
  <c r="AM20" i="19"/>
  <c r="Z20" i="19"/>
  <c r="AW19" i="19"/>
  <c r="AV19" i="19"/>
  <c r="AU19" i="19"/>
  <c r="AQ19" i="19"/>
  <c r="AP19" i="19"/>
  <c r="AO19" i="19"/>
  <c r="AN19" i="19"/>
  <c r="AM19" i="19"/>
  <c r="Z19" i="19"/>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S14" i="18" s="1"/>
  <c r="AR16" i="18"/>
  <c r="AQ16" i="18"/>
  <c r="AP16" i="18"/>
  <c r="AM16" i="18"/>
  <c r="AL16" i="18"/>
  <c r="AB16" i="18"/>
  <c r="AT15" i="18"/>
  <c r="AS15" i="18"/>
  <c r="AR15" i="18"/>
  <c r="AQ15" i="18"/>
  <c r="AP15" i="18"/>
  <c r="AO15" i="18"/>
  <c r="AT14" i="18"/>
  <c r="AR14" i="18"/>
  <c r="AQ14" i="18"/>
  <c r="AP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8" i="9"/>
  <c r="AF17" i="9"/>
  <c r="AF16" i="9"/>
  <c r="AD16" i="9"/>
  <c r="AF15" i="9"/>
  <c r="AD15" i="9"/>
  <c r="AA82" i="8"/>
  <c r="AA81" i="8"/>
  <c r="AA80" i="8"/>
  <c r="AC17" i="8"/>
  <c r="AA17" i="8"/>
  <c r="AC16" i="8"/>
  <c r="AA16" i="8"/>
  <c r="AC15" i="8"/>
  <c r="AA15" i="8"/>
  <c r="AC14" i="8"/>
  <c r="AA14" i="8"/>
  <c r="AM32" i="7"/>
  <c r="AL32" i="7"/>
  <c r="AM31" i="7"/>
  <c r="AL31" i="7"/>
  <c r="AM30" i="7"/>
  <c r="AL30" i="7"/>
  <c r="AM29" i="7"/>
  <c r="AL29" i="7"/>
  <c r="AM28" i="7"/>
  <c r="AL28" i="7"/>
  <c r="AE38" i="6"/>
  <c r="AF30" i="6"/>
  <c r="AG30" i="6" s="1"/>
  <c r="E17" i="2"/>
  <c r="N1040" i="24" l="1"/>
  <c r="M24" i="24"/>
  <c r="N24" i="24"/>
  <c r="M1042" i="23"/>
  <c r="M26" i="23"/>
  <c r="O37" i="23"/>
  <c r="P37" i="23" s="1"/>
  <c r="L26" i="23"/>
  <c r="AW45" i="25"/>
  <c r="AY45" i="25"/>
  <c r="C23" i="27"/>
  <c r="AF20" i="9" s="1"/>
  <c r="AZ45" i="25"/>
  <c r="AX45" i="25"/>
  <c r="AU116" i="20"/>
  <c r="AC17" i="20"/>
  <c r="AB17" i="20"/>
  <c r="AL17" i="20" s="1"/>
  <c r="AB21" i="20"/>
  <c r="AC21" i="20"/>
  <c r="AB23" i="20"/>
  <c r="AI23" i="20" s="1"/>
  <c r="AO23" i="20" s="1"/>
  <c r="AC23" i="20"/>
  <c r="AG27" i="20"/>
  <c r="AB27" i="20"/>
  <c r="AC27" i="20"/>
  <c r="AB29" i="20"/>
  <c r="AC29" i="20"/>
  <c r="AB31" i="20"/>
  <c r="AL31" i="20" s="1"/>
  <c r="AC31" i="20"/>
  <c r="AB19" i="20"/>
  <c r="AC19" i="20"/>
  <c r="AB20" i="20"/>
  <c r="AC20" i="20"/>
  <c r="AB24" i="20"/>
  <c r="AC24" i="20"/>
  <c r="AB28" i="20"/>
  <c r="AC28" i="20"/>
  <c r="AC18" i="20"/>
  <c r="AB18" i="20"/>
  <c r="AB22" i="20"/>
  <c r="AC22" i="20"/>
  <c r="AB25" i="20"/>
  <c r="AC25" i="20"/>
  <c r="AB26" i="20"/>
  <c r="AC26" i="20"/>
  <c r="AB30" i="20"/>
  <c r="AC30" i="20"/>
  <c r="AT14" i="20"/>
  <c r="AW34" i="25"/>
  <c r="AW35" i="25" s="1"/>
  <c r="AD48" i="20"/>
  <c r="AB48" i="20"/>
  <c r="AH48" i="20" s="1"/>
  <c r="AC48" i="20"/>
  <c r="AD50" i="20"/>
  <c r="AC50" i="20"/>
  <c r="AB50" i="20"/>
  <c r="AB51" i="20"/>
  <c r="AL51" i="20" s="1"/>
  <c r="AC51" i="20"/>
  <c r="AD52" i="20"/>
  <c r="AB52" i="20"/>
  <c r="AL52" i="20" s="1"/>
  <c r="AC52" i="20"/>
  <c r="AB53" i="20"/>
  <c r="AH53" i="20" s="1"/>
  <c r="AC53" i="20"/>
  <c r="AD54" i="20"/>
  <c r="AC54" i="20"/>
  <c r="AB54" i="20"/>
  <c r="AB55" i="20"/>
  <c r="AH55" i="20" s="1"/>
  <c r="AC55" i="20"/>
  <c r="AD56" i="20"/>
  <c r="AB56" i="20"/>
  <c r="AC56" i="20"/>
  <c r="AB57" i="20"/>
  <c r="AC57" i="20"/>
  <c r="AG58" i="20"/>
  <c r="AC58" i="20"/>
  <c r="AB58" i="20"/>
  <c r="AB59" i="20"/>
  <c r="AH59" i="20" s="1"/>
  <c r="AC59" i="20"/>
  <c r="AG60" i="20"/>
  <c r="AB60" i="20"/>
  <c r="AL60" i="20" s="1"/>
  <c r="AC60" i="20"/>
  <c r="AB61" i="20"/>
  <c r="AH61" i="20" s="1"/>
  <c r="AC61" i="20"/>
  <c r="AC62" i="20"/>
  <c r="AB62" i="20"/>
  <c r="AL62" i="20" s="1"/>
  <c r="AB63" i="20"/>
  <c r="AH63" i="20" s="1"/>
  <c r="AC63" i="20"/>
  <c r="AG64" i="20"/>
  <c r="AB64" i="20"/>
  <c r="AL64" i="20" s="1"/>
  <c r="AC64" i="20"/>
  <c r="AB65" i="20"/>
  <c r="AL65" i="20" s="1"/>
  <c r="AC65" i="20"/>
  <c r="AC66" i="20"/>
  <c r="AB66" i="20"/>
  <c r="AI66" i="20" s="1"/>
  <c r="AO66" i="20" s="1"/>
  <c r="AB67" i="20"/>
  <c r="AL67" i="20" s="1"/>
  <c r="AC67" i="20"/>
  <c r="AG68" i="20"/>
  <c r="AB68" i="20"/>
  <c r="AC68" i="20"/>
  <c r="AB69" i="20"/>
  <c r="AH69" i="20" s="1"/>
  <c r="AC69" i="20"/>
  <c r="AC70" i="20"/>
  <c r="AB70" i="20"/>
  <c r="AB71" i="20"/>
  <c r="AL71" i="20" s="1"/>
  <c r="AC71" i="20"/>
  <c r="AD72" i="20"/>
  <c r="AB72" i="20"/>
  <c r="AI72" i="20" s="1"/>
  <c r="AO72" i="20" s="1"/>
  <c r="AC72" i="20"/>
  <c r="AG73" i="20"/>
  <c r="AB73" i="20"/>
  <c r="AL73" i="20" s="1"/>
  <c r="AC73" i="20"/>
  <c r="AC74" i="20"/>
  <c r="AB74" i="20"/>
  <c r="AI74" i="20" s="1"/>
  <c r="AO74" i="20" s="1"/>
  <c r="AD75" i="20"/>
  <c r="AB75" i="20"/>
  <c r="AL75" i="20" s="1"/>
  <c r="AC75" i="20"/>
  <c r="AG76" i="20"/>
  <c r="AB76" i="20"/>
  <c r="AH76" i="20" s="1"/>
  <c r="AC76" i="20"/>
  <c r="AB77" i="20"/>
  <c r="AL77" i="20" s="1"/>
  <c r="AC77" i="20"/>
  <c r="AG78" i="20"/>
  <c r="AC78" i="20"/>
  <c r="AB78" i="20"/>
  <c r="AB79" i="20"/>
  <c r="AL79" i="20" s="1"/>
  <c r="AC79" i="20"/>
  <c r="AG80" i="20"/>
  <c r="AB80" i="20"/>
  <c r="AJ80" i="20" s="1"/>
  <c r="AC80" i="20"/>
  <c r="AB81" i="20"/>
  <c r="AC81" i="20"/>
  <c r="AG82" i="20"/>
  <c r="AC82" i="20"/>
  <c r="AB82" i="20"/>
  <c r="AJ82" i="20" s="1"/>
  <c r="AD83" i="20"/>
  <c r="AB83" i="20"/>
  <c r="AC83" i="20"/>
  <c r="AB84" i="20"/>
  <c r="AC84" i="20"/>
  <c r="AD85" i="20"/>
  <c r="AB85" i="20"/>
  <c r="AH85" i="20" s="1"/>
  <c r="AC85" i="20"/>
  <c r="AC86" i="20"/>
  <c r="AB86" i="20"/>
  <c r="AD87" i="20"/>
  <c r="AB87" i="20"/>
  <c r="AI87" i="20" s="1"/>
  <c r="AO87" i="20" s="1"/>
  <c r="AC87" i="20"/>
  <c r="AG88" i="20"/>
  <c r="AB88" i="20"/>
  <c r="AI88" i="20" s="1"/>
  <c r="AO88" i="20" s="1"/>
  <c r="AC88" i="20"/>
  <c r="AB89" i="20"/>
  <c r="AL89" i="20" s="1"/>
  <c r="AC89" i="20"/>
  <c r="AG90" i="20"/>
  <c r="AC90" i="20"/>
  <c r="AB90" i="20"/>
  <c r="AJ90" i="20" s="1"/>
  <c r="AD91" i="20"/>
  <c r="AB91" i="20"/>
  <c r="AL91" i="20" s="1"/>
  <c r="AC91" i="20"/>
  <c r="AB92" i="20"/>
  <c r="AJ92" i="20" s="1"/>
  <c r="AC92" i="20"/>
  <c r="AD93" i="20"/>
  <c r="AB93" i="20"/>
  <c r="AH93" i="20" s="1"/>
  <c r="AC93" i="20"/>
  <c r="AC94" i="20"/>
  <c r="AB94" i="20"/>
  <c r="AD95" i="20"/>
  <c r="AB95" i="20"/>
  <c r="AC95" i="20"/>
  <c r="AG96" i="20"/>
  <c r="AB96" i="20"/>
  <c r="AC96" i="20"/>
  <c r="AB97" i="20"/>
  <c r="AC97" i="20"/>
  <c r="AG98" i="20"/>
  <c r="AC98" i="20"/>
  <c r="AB98" i="20"/>
  <c r="AD99" i="20"/>
  <c r="AB99" i="20"/>
  <c r="AL99" i="20" s="1"/>
  <c r="AC99" i="20"/>
  <c r="AB100" i="20"/>
  <c r="AL100" i="20" s="1"/>
  <c r="AC100" i="20"/>
  <c r="AD101" i="20"/>
  <c r="AB101" i="20"/>
  <c r="AC101" i="20"/>
  <c r="AC102" i="20"/>
  <c r="AB102" i="20"/>
  <c r="AJ102" i="20" s="1"/>
  <c r="AD103" i="20"/>
  <c r="AB103" i="20"/>
  <c r="AC103" i="20"/>
  <c r="AG104" i="20"/>
  <c r="AB104" i="20"/>
  <c r="AJ104" i="20" s="1"/>
  <c r="AC104" i="20"/>
  <c r="AB105" i="20"/>
  <c r="AL105" i="20" s="1"/>
  <c r="AC105" i="20"/>
  <c r="AG106" i="20"/>
  <c r="AC106" i="20"/>
  <c r="AB106" i="20"/>
  <c r="AH106" i="20" s="1"/>
  <c r="AD107" i="20"/>
  <c r="AB107" i="20"/>
  <c r="AL107" i="20" s="1"/>
  <c r="AC107" i="20"/>
  <c r="AB108" i="20"/>
  <c r="AL108" i="20" s="1"/>
  <c r="AC108" i="20"/>
  <c r="AD109" i="20"/>
  <c r="AB109" i="20"/>
  <c r="AC109" i="20"/>
  <c r="AC110" i="20"/>
  <c r="AB110" i="20"/>
  <c r="AH110" i="20" s="1"/>
  <c r="AD111" i="20"/>
  <c r="AB111" i="20"/>
  <c r="AC111" i="20"/>
  <c r="AG112" i="20"/>
  <c r="AB112" i="20"/>
  <c r="AJ112" i="20" s="1"/>
  <c r="AC112" i="20"/>
  <c r="AB113" i="20"/>
  <c r="AL113" i="20" s="1"/>
  <c r="AC113" i="20"/>
  <c r="AC114" i="20"/>
  <c r="AB114" i="20"/>
  <c r="AI114" i="20" s="1"/>
  <c r="AO114" i="20" s="1"/>
  <c r="AD115" i="20"/>
  <c r="AB115" i="20"/>
  <c r="AC115" i="20"/>
  <c r="AB116" i="20"/>
  <c r="AH116" i="20" s="1"/>
  <c r="AC116" i="20"/>
  <c r="AB49" i="20"/>
  <c r="AH49" i="20" s="1"/>
  <c r="AC49" i="20"/>
  <c r="AB32" i="20"/>
  <c r="AI32" i="20" s="1"/>
  <c r="AO32" i="20" s="1"/>
  <c r="AC32" i="20"/>
  <c r="AD33" i="20"/>
  <c r="AB33" i="20"/>
  <c r="AC33" i="20"/>
  <c r="AC34" i="20"/>
  <c r="AB34" i="20"/>
  <c r="AL34" i="20" s="1"/>
  <c r="AB35" i="20"/>
  <c r="AC35" i="20"/>
  <c r="AB36" i="20"/>
  <c r="AL36" i="20" s="1"/>
  <c r="AC36" i="20"/>
  <c r="AG37" i="20"/>
  <c r="AB37" i="20"/>
  <c r="AC37" i="20"/>
  <c r="AC38" i="20"/>
  <c r="AB38" i="20"/>
  <c r="AL38" i="20" s="1"/>
  <c r="AB39" i="20"/>
  <c r="AI39" i="20" s="1"/>
  <c r="AO39" i="20" s="1"/>
  <c r="AC39" i="20"/>
  <c r="AB40" i="20"/>
  <c r="AL40" i="20" s="1"/>
  <c r="AC40" i="20"/>
  <c r="AD41" i="20"/>
  <c r="AB41" i="20"/>
  <c r="AC41" i="20"/>
  <c r="AC42" i="20"/>
  <c r="AB42" i="20"/>
  <c r="AB43" i="20"/>
  <c r="AL43" i="20" s="1"/>
  <c r="AC43" i="20"/>
  <c r="AB44" i="20"/>
  <c r="AJ44" i="20" s="1"/>
  <c r="AC44" i="20"/>
  <c r="AB45" i="20"/>
  <c r="AL45" i="20" s="1"/>
  <c r="AC45" i="20"/>
  <c r="AC46" i="20"/>
  <c r="AB46" i="20"/>
  <c r="AL46" i="20" s="1"/>
  <c r="AB47" i="20"/>
  <c r="AL47" i="20" s="1"/>
  <c r="AC47" i="20"/>
  <c r="Z31" i="18"/>
  <c r="AF31" i="18" s="1"/>
  <c r="AA31" i="18"/>
  <c r="AB32" i="18"/>
  <c r="Z32" i="18"/>
  <c r="AA32" i="18"/>
  <c r="Z33" i="18"/>
  <c r="AA33" i="18"/>
  <c r="AB34" i="18"/>
  <c r="Z34" i="18"/>
  <c r="AA34" i="18"/>
  <c r="Z35" i="18"/>
  <c r="AJ35" i="18" s="1"/>
  <c r="AA35" i="18"/>
  <c r="AB36" i="18"/>
  <c r="Z36" i="18"/>
  <c r="AA36" i="18"/>
  <c r="Z37" i="18"/>
  <c r="AA37" i="18"/>
  <c r="AB38" i="18"/>
  <c r="Z38" i="18"/>
  <c r="AA38" i="18"/>
  <c r="Z39" i="18"/>
  <c r="AA39" i="18"/>
  <c r="AB40" i="18"/>
  <c r="AA40" i="18"/>
  <c r="Z40" i="18"/>
  <c r="Z41" i="18"/>
  <c r="AA41" i="18"/>
  <c r="AB42" i="18"/>
  <c r="Z42" i="18"/>
  <c r="AA42" i="18"/>
  <c r="Z43" i="18"/>
  <c r="AA43" i="18"/>
  <c r="AB44" i="18"/>
  <c r="Z44" i="18"/>
  <c r="AA44" i="18"/>
  <c r="Z45" i="18"/>
  <c r="AA45" i="18"/>
  <c r="AB46" i="18"/>
  <c r="AA46" i="18"/>
  <c r="Z46" i="18"/>
  <c r="Z47" i="18"/>
  <c r="AA47" i="18"/>
  <c r="AB48" i="18"/>
  <c r="Z48" i="18"/>
  <c r="AA48" i="18"/>
  <c r="Z49" i="18"/>
  <c r="AA49" i="18"/>
  <c r="AB50" i="18"/>
  <c r="Z50" i="18"/>
  <c r="AJ50" i="18" s="1"/>
  <c r="AA50" i="18"/>
  <c r="Z51" i="18"/>
  <c r="AA51" i="18"/>
  <c r="AB52" i="18"/>
  <c r="AA52" i="18"/>
  <c r="Z52" i="18"/>
  <c r="Z53" i="18"/>
  <c r="AA53" i="18"/>
  <c r="AB54" i="18"/>
  <c r="Z54" i="18"/>
  <c r="AA54" i="18"/>
  <c r="Z55" i="18"/>
  <c r="AA55" i="18"/>
  <c r="AB56" i="18"/>
  <c r="Z56" i="18"/>
  <c r="AA56" i="18"/>
  <c r="Z57" i="18"/>
  <c r="AA57" i="18"/>
  <c r="AB58" i="18"/>
  <c r="AA58" i="18"/>
  <c r="Z58" i="18"/>
  <c r="Z59" i="18"/>
  <c r="AA59" i="18"/>
  <c r="AB60" i="18"/>
  <c r="Z60" i="18"/>
  <c r="AA60" i="18"/>
  <c r="Z61" i="18"/>
  <c r="AJ61" i="18" s="1"/>
  <c r="AA61" i="18"/>
  <c r="AB62" i="18"/>
  <c r="Z62" i="18"/>
  <c r="AA62" i="18"/>
  <c r="Z63" i="18"/>
  <c r="AH63" i="18" s="1"/>
  <c r="AA63" i="18"/>
  <c r="AB64" i="18"/>
  <c r="Z64" i="18"/>
  <c r="AA64" i="18"/>
  <c r="Z65" i="18"/>
  <c r="AA65" i="18"/>
  <c r="AB66" i="18"/>
  <c r="Z66" i="18"/>
  <c r="AA66" i="18"/>
  <c r="Z67" i="18"/>
  <c r="AG67" i="18" s="1"/>
  <c r="AO67" i="18" s="1"/>
  <c r="AA67" i="18"/>
  <c r="AB68" i="18"/>
  <c r="AA68" i="18"/>
  <c r="Z68" i="18"/>
  <c r="Z69" i="18"/>
  <c r="AA69" i="18"/>
  <c r="AB70" i="18"/>
  <c r="Z70" i="18"/>
  <c r="AA70" i="18"/>
  <c r="Z71" i="18"/>
  <c r="AA71" i="18"/>
  <c r="AB72" i="18"/>
  <c r="Z72" i="18"/>
  <c r="AA72" i="18"/>
  <c r="AE73" i="18"/>
  <c r="Z73" i="18"/>
  <c r="AA73" i="18"/>
  <c r="AB74" i="18"/>
  <c r="Z74" i="18"/>
  <c r="AA74" i="18"/>
  <c r="Z75" i="18"/>
  <c r="AG75" i="18" s="1"/>
  <c r="AO75" i="18" s="1"/>
  <c r="AA75" i="18"/>
  <c r="AB76" i="18"/>
  <c r="Z76" i="18"/>
  <c r="AA76" i="18"/>
  <c r="Z77" i="18"/>
  <c r="AA77" i="18"/>
  <c r="AB78" i="18"/>
  <c r="Z78" i="18"/>
  <c r="AA78" i="18"/>
  <c r="Z79" i="18"/>
  <c r="AA79" i="18"/>
  <c r="AB80" i="18"/>
  <c r="AA80" i="18"/>
  <c r="Z80" i="18"/>
  <c r="AE81" i="18"/>
  <c r="Z81" i="18"/>
  <c r="AA81" i="18"/>
  <c r="AB82" i="18"/>
  <c r="Z82" i="18"/>
  <c r="AA82" i="18"/>
  <c r="Z83" i="18"/>
  <c r="AA83" i="18"/>
  <c r="AB84" i="18"/>
  <c r="AA84" i="18"/>
  <c r="Z84" i="18"/>
  <c r="Z85" i="18"/>
  <c r="AA85" i="18"/>
  <c r="AB86" i="18"/>
  <c r="Z86" i="18"/>
  <c r="AA86" i="18"/>
  <c r="AE87" i="18"/>
  <c r="Z87" i="18"/>
  <c r="AA87" i="18"/>
  <c r="AB88" i="18"/>
  <c r="Z88" i="18"/>
  <c r="AA88" i="18"/>
  <c r="AE89" i="18"/>
  <c r="Z89" i="18"/>
  <c r="AA89" i="18"/>
  <c r="AB90" i="18"/>
  <c r="AA90" i="18"/>
  <c r="Z90" i="18"/>
  <c r="Z91" i="18"/>
  <c r="AA91" i="18"/>
  <c r="AB92" i="18"/>
  <c r="AA92" i="18"/>
  <c r="Z92" i="18"/>
  <c r="Z93" i="18"/>
  <c r="AA93" i="18"/>
  <c r="AB94" i="18"/>
  <c r="Z94" i="18"/>
  <c r="AA94" i="18"/>
  <c r="Z95" i="18"/>
  <c r="AA95" i="18"/>
  <c r="AB96" i="18"/>
  <c r="AA96" i="18"/>
  <c r="Z96" i="18"/>
  <c r="AE97" i="18"/>
  <c r="Z97" i="18"/>
  <c r="AJ97" i="18" s="1"/>
  <c r="AA97" i="18"/>
  <c r="AB98" i="18"/>
  <c r="Z98" i="18"/>
  <c r="AA98" i="18"/>
  <c r="Z99" i="18"/>
  <c r="AA99" i="18"/>
  <c r="AB100" i="18"/>
  <c r="Z100" i="18"/>
  <c r="AA100" i="18"/>
  <c r="Z101" i="18"/>
  <c r="AA101" i="18"/>
  <c r="AB102" i="18"/>
  <c r="AA102" i="18"/>
  <c r="Z102" i="18"/>
  <c r="Z103" i="18"/>
  <c r="AA103" i="18"/>
  <c r="AB104" i="18"/>
  <c r="Z104" i="18"/>
  <c r="AA104" i="18"/>
  <c r="AE105" i="18"/>
  <c r="Z105" i="18"/>
  <c r="AA105" i="18"/>
  <c r="AB106" i="18"/>
  <c r="Z106" i="18"/>
  <c r="AA106" i="18"/>
  <c r="Z107" i="18"/>
  <c r="AA107" i="18"/>
  <c r="AB108" i="18"/>
  <c r="AA108" i="18"/>
  <c r="Z108" i="18"/>
  <c r="Z109" i="18"/>
  <c r="AA109" i="18"/>
  <c r="AB110" i="18"/>
  <c r="AA110" i="18"/>
  <c r="Z110" i="18"/>
  <c r="Z111" i="18"/>
  <c r="AA111" i="18"/>
  <c r="AB112" i="18"/>
  <c r="Z112" i="18"/>
  <c r="AA112" i="18"/>
  <c r="AE113" i="18"/>
  <c r="Z113" i="18"/>
  <c r="AA113" i="18"/>
  <c r="AB114" i="18"/>
  <c r="Z114" i="18"/>
  <c r="AA114" i="18"/>
  <c r="Z115" i="18"/>
  <c r="AA115" i="18"/>
  <c r="AT13" i="18"/>
  <c r="AP13" i="18"/>
  <c r="AA88" i="19"/>
  <c r="AI88" i="19" s="1"/>
  <c r="AB88" i="19"/>
  <c r="AR14" i="20"/>
  <c r="AD116" i="20"/>
  <c r="AR25" i="19"/>
  <c r="AR29" i="19"/>
  <c r="AR69" i="19"/>
  <c r="AR77" i="19"/>
  <c r="AR88" i="19"/>
  <c r="AR109" i="19"/>
  <c r="AR117" i="19"/>
  <c r="AQ10" i="14"/>
  <c r="AQ14" i="14"/>
  <c r="AF26" i="18"/>
  <c r="AB16" i="8"/>
  <c r="AF14" i="12"/>
  <c r="M1040" i="24"/>
  <c r="AR58" i="19"/>
  <c r="AU33" i="20"/>
  <c r="AU115" i="18"/>
  <c r="AR24" i="19"/>
  <c r="AR26" i="19"/>
  <c r="AR50" i="19"/>
  <c r="AR96" i="19"/>
  <c r="AR104" i="19"/>
  <c r="AU69" i="20"/>
  <c r="AU81" i="20"/>
  <c r="AU89" i="20"/>
  <c r="AU97" i="20"/>
  <c r="AB54" i="19"/>
  <c r="AR87" i="19"/>
  <c r="AU103" i="18"/>
  <c r="AB99" i="19"/>
  <c r="AD99" i="19" s="1"/>
  <c r="AE99" i="19" s="1"/>
  <c r="AD88" i="20"/>
  <c r="AF30" i="12"/>
  <c r="AS13" i="18"/>
  <c r="AU35" i="18"/>
  <c r="AU36" i="18"/>
  <c r="AU39" i="18"/>
  <c r="AU40" i="18"/>
  <c r="AU41" i="18"/>
  <c r="AU43" i="18"/>
  <c r="AU44" i="18"/>
  <c r="AU47" i="18"/>
  <c r="AU48" i="18"/>
  <c r="AU49" i="18"/>
  <c r="AU51" i="18"/>
  <c r="AU52" i="18"/>
  <c r="AU55" i="18"/>
  <c r="AU56" i="18"/>
  <c r="AU57" i="18"/>
  <c r="AU59" i="18"/>
  <c r="AU61" i="18"/>
  <c r="AU63" i="18"/>
  <c r="AU68" i="18"/>
  <c r="AU69" i="18"/>
  <c r="AU70" i="18"/>
  <c r="AU71" i="18"/>
  <c r="AU95" i="18"/>
  <c r="AU96" i="18"/>
  <c r="AU97" i="18"/>
  <c r="AE103" i="18"/>
  <c r="AR30" i="19"/>
  <c r="AR38" i="19"/>
  <c r="AR56" i="19"/>
  <c r="AR64" i="19"/>
  <c r="AR84" i="19"/>
  <c r="AR97" i="19"/>
  <c r="AR110" i="19"/>
  <c r="AO14" i="20"/>
  <c r="AU16" i="20"/>
  <c r="AD39" i="20"/>
  <c r="AU42" i="20"/>
  <c r="AU43" i="20"/>
  <c r="AU50" i="20"/>
  <c r="AU51" i="20"/>
  <c r="AU58" i="20"/>
  <c r="AU59" i="20"/>
  <c r="AU60" i="20"/>
  <c r="AU63" i="20"/>
  <c r="AU64" i="20"/>
  <c r="AD112" i="20"/>
  <c r="AU113" i="20"/>
  <c r="AQ13" i="18"/>
  <c r="O20" i="21" s="1"/>
  <c r="AF29" i="19"/>
  <c r="AR35" i="19"/>
  <c r="AC37" i="19"/>
  <c r="AD37" i="19" s="1"/>
  <c r="AE37" i="19" s="1"/>
  <c r="AC41" i="19"/>
  <c r="AB46" i="19"/>
  <c r="AB104" i="19"/>
  <c r="AR113" i="19"/>
  <c r="AD42" i="20"/>
  <c r="AD80" i="20"/>
  <c r="AD104" i="20"/>
  <c r="AR13" i="18"/>
  <c r="AU23" i="18"/>
  <c r="AU25" i="18"/>
  <c r="AU37" i="18"/>
  <c r="AU45" i="18"/>
  <c r="AU53" i="18"/>
  <c r="AU77" i="18"/>
  <c r="AU81" i="18"/>
  <c r="AU83" i="18"/>
  <c r="AU85" i="18"/>
  <c r="AU87" i="18"/>
  <c r="AU104" i="18"/>
  <c r="AR18" i="19"/>
  <c r="AR22" i="19"/>
  <c r="AR34" i="19"/>
  <c r="AF37" i="19"/>
  <c r="AR37" i="19"/>
  <c r="AR67" i="19"/>
  <c r="AR79" i="19"/>
  <c r="AA99" i="19"/>
  <c r="AI99" i="19" s="1"/>
  <c r="AR100" i="19"/>
  <c r="AR112" i="19"/>
  <c r="AD21" i="20"/>
  <c r="AE21" i="20" s="1"/>
  <c r="AF21" i="20" s="1"/>
  <c r="AU22" i="20"/>
  <c r="AU23" i="20"/>
  <c r="AJ88" i="20"/>
  <c r="AD96" i="20"/>
  <c r="AU105" i="20"/>
  <c r="P24" i="24"/>
  <c r="AF28" i="12"/>
  <c r="AU29" i="18"/>
  <c r="AU31" i="18"/>
  <c r="AB41" i="19"/>
  <c r="AR43" i="19"/>
  <c r="AG91" i="19"/>
  <c r="AJ91" i="19" s="1"/>
  <c r="AB103" i="19"/>
  <c r="AD103" i="19" s="1"/>
  <c r="AE103" i="19" s="1"/>
  <c r="AA104" i="19"/>
  <c r="AI104" i="19" s="1"/>
  <c r="AD78" i="20"/>
  <c r="AB18" i="18"/>
  <c r="AC18" i="18" s="1"/>
  <c r="AD18" i="18" s="1"/>
  <c r="AU101" i="18"/>
  <c r="AU109" i="18"/>
  <c r="AA25" i="19"/>
  <c r="AI25" i="19" s="1"/>
  <c r="AR39" i="19"/>
  <c r="AR42" i="19"/>
  <c r="AR59" i="19"/>
  <c r="AB68" i="19"/>
  <c r="AD68" i="19" s="1"/>
  <c r="AE68" i="19" s="1"/>
  <c r="AB80" i="19"/>
  <c r="AA100" i="19"/>
  <c r="AI100" i="19" s="1"/>
  <c r="AD29" i="20"/>
  <c r="AU72" i="20"/>
  <c r="AY18" i="15"/>
  <c r="AY22" i="15"/>
  <c r="AE18" i="18"/>
  <c r="AK18" i="18" s="1"/>
  <c r="AA21" i="19"/>
  <c r="AI21" i="19" s="1"/>
  <c r="AA26" i="19"/>
  <c r="AI26" i="19" s="1"/>
  <c r="AB29" i="19"/>
  <c r="AD29" i="19" s="1"/>
  <c r="AE29" i="19" s="1"/>
  <c r="AB45" i="19"/>
  <c r="AA73" i="19"/>
  <c r="AH73" i="19" s="1"/>
  <c r="AL73" i="19" s="1"/>
  <c r="AR80" i="19"/>
  <c r="AU31" i="20"/>
  <c r="AU46" i="20"/>
  <c r="AU47" i="20"/>
  <c r="AU56" i="20"/>
  <c r="AU62" i="20"/>
  <c r="AD82" i="20"/>
  <c r="AU83" i="20"/>
  <c r="AU84" i="20"/>
  <c r="AU87" i="20"/>
  <c r="AD90" i="20"/>
  <c r="AU91" i="20"/>
  <c r="AU92" i="20"/>
  <c r="AU95" i="20"/>
  <c r="AD98" i="20"/>
  <c r="AU99" i="20"/>
  <c r="AU100" i="20"/>
  <c r="AU103" i="20"/>
  <c r="AD106" i="20"/>
  <c r="AU107" i="20"/>
  <c r="AU108" i="20"/>
  <c r="AU111" i="20"/>
  <c r="AD114" i="20"/>
  <c r="AU114" i="20"/>
  <c r="AG11" i="12"/>
  <c r="AY17" i="15"/>
  <c r="AY21" i="15"/>
  <c r="AY25" i="15"/>
  <c r="AU17" i="18"/>
  <c r="AH24" i="18"/>
  <c r="AJ30" i="18"/>
  <c r="AU79" i="18"/>
  <c r="AU80" i="18"/>
  <c r="AU93" i="18"/>
  <c r="AE95" i="18"/>
  <c r="AU107" i="18"/>
  <c r="AE111" i="18"/>
  <c r="AR19" i="19"/>
  <c r="AB21" i="19"/>
  <c r="AB33" i="19"/>
  <c r="AC45" i="19"/>
  <c r="AA46" i="19"/>
  <c r="AI46" i="19" s="1"/>
  <c r="AR48" i="19"/>
  <c r="AR51" i="19"/>
  <c r="AB61" i="19"/>
  <c r="AB73" i="19"/>
  <c r="AD73" i="19" s="1"/>
  <c r="AE73" i="19" s="1"/>
  <c r="AR111" i="19"/>
  <c r="AA112" i="19"/>
  <c r="AI112" i="19" s="1"/>
  <c r="AG18" i="20"/>
  <c r="AU65" i="20"/>
  <c r="AU66" i="20"/>
  <c r="AU77" i="20"/>
  <c r="AF13" i="12"/>
  <c r="BA12" i="15"/>
  <c r="AU79" i="20"/>
  <c r="AU67" i="18"/>
  <c r="AU73" i="18"/>
  <c r="AE79" i="18"/>
  <c r="AU89" i="18"/>
  <c r="AA18" i="19"/>
  <c r="AI18" i="19" s="1"/>
  <c r="AR21" i="19"/>
  <c r="AB25" i="19"/>
  <c r="AR31" i="19"/>
  <c r="AC33" i="19"/>
  <c r="AB53" i="19"/>
  <c r="AF58" i="19"/>
  <c r="AA58" i="19"/>
  <c r="AI58" i="19" s="1"/>
  <c r="AC61" i="19"/>
  <c r="AA62" i="19"/>
  <c r="AI62" i="19" s="1"/>
  <c r="AR73" i="19"/>
  <c r="AF107" i="19"/>
  <c r="AB107" i="19"/>
  <c r="AA107" i="19"/>
  <c r="AI107" i="19" s="1"/>
  <c r="AC18" i="8"/>
  <c r="AF15" i="12"/>
  <c r="AQ11" i="14"/>
  <c r="AG38" i="17"/>
  <c r="AH20" i="18"/>
  <c r="AU21" i="18"/>
  <c r="AJ24" i="18"/>
  <c r="AJ28" i="18"/>
  <c r="AU33" i="18"/>
  <c r="AB35" i="18"/>
  <c r="AU99" i="18"/>
  <c r="AU111" i="18"/>
  <c r="AR33" i="19"/>
  <c r="AG49" i="19"/>
  <c r="AJ49" i="19" s="1"/>
  <c r="AF50" i="19"/>
  <c r="AA50" i="19"/>
  <c r="AI50" i="19" s="1"/>
  <c r="AC53" i="19"/>
  <c r="AA54" i="19"/>
  <c r="AI54" i="19" s="1"/>
  <c r="AA57" i="19"/>
  <c r="AI57" i="19" s="1"/>
  <c r="AB62" i="19"/>
  <c r="AR70" i="19"/>
  <c r="AC111" i="19"/>
  <c r="AB111" i="19"/>
  <c r="AA111" i="19"/>
  <c r="AI111" i="19" s="1"/>
  <c r="AB15" i="8"/>
  <c r="AB17" i="8"/>
  <c r="AS9" i="14"/>
  <c r="AQ15" i="14"/>
  <c r="AG17" i="17"/>
  <c r="AU19" i="18"/>
  <c r="AU27" i="18"/>
  <c r="AU38" i="18"/>
  <c r="AU42" i="18"/>
  <c r="AU46" i="18"/>
  <c r="AU50" i="18"/>
  <c r="AU54" i="18"/>
  <c r="AU58" i="18"/>
  <c r="AU65" i="18"/>
  <c r="AU72" i="18"/>
  <c r="AU75" i="18"/>
  <c r="AU82" i="18"/>
  <c r="AU88" i="18"/>
  <c r="AU91" i="18"/>
  <c r="AU105" i="18"/>
  <c r="AU110" i="18"/>
  <c r="AU112" i="18"/>
  <c r="AP17" i="19"/>
  <c r="AS17" i="19"/>
  <c r="AU20" i="16" s="1"/>
  <c r="AO17" i="19"/>
  <c r="AH77" i="19"/>
  <c r="AL77" i="19" s="1"/>
  <c r="AC77" i="19"/>
  <c r="AC85" i="19"/>
  <c r="AA85" i="19"/>
  <c r="AI85" i="19" s="1"/>
  <c r="AA105" i="19"/>
  <c r="AI105" i="19" s="1"/>
  <c r="AQ12" i="14"/>
  <c r="AQ46" i="14"/>
  <c r="AG65" i="19"/>
  <c r="AI95" i="19"/>
  <c r="AG95" i="19"/>
  <c r="AR89" i="19"/>
  <c r="AB100" i="19"/>
  <c r="AB112" i="19"/>
  <c r="AU21" i="20"/>
  <c r="AD27" i="20"/>
  <c r="AU29" i="20"/>
  <c r="AG33" i="20"/>
  <c r="AM33" i="20" s="1"/>
  <c r="AD37" i="20"/>
  <c r="AU39" i="20"/>
  <c r="AD70" i="20"/>
  <c r="AG114" i="20"/>
  <c r="AR41" i="19"/>
  <c r="AR46" i="19"/>
  <c r="AR49" i="19"/>
  <c r="AR54" i="19"/>
  <c r="AR57" i="19"/>
  <c r="AR62" i="19"/>
  <c r="AR65" i="19"/>
  <c r="AR66" i="19"/>
  <c r="AA80" i="19"/>
  <c r="AH80" i="19" s="1"/>
  <c r="AL80" i="19" s="1"/>
  <c r="AR81" i="19"/>
  <c r="AB82" i="19"/>
  <c r="AD82" i="19" s="1"/>
  <c r="AE82" i="19" s="1"/>
  <c r="AR86" i="19"/>
  <c r="AR94" i="19"/>
  <c r="AA103" i="19"/>
  <c r="AI103" i="19" s="1"/>
  <c r="AR105" i="19"/>
  <c r="AR108" i="19"/>
  <c r="AU15" i="20"/>
  <c r="AU17" i="20"/>
  <c r="AU27" i="20"/>
  <c r="AD31" i="20"/>
  <c r="AU37" i="20"/>
  <c r="AD44" i="20"/>
  <c r="AU48" i="20"/>
  <c r="AU52" i="20"/>
  <c r="AU57" i="20"/>
  <c r="AD68" i="20"/>
  <c r="AU70" i="20"/>
  <c r="AU73" i="20"/>
  <c r="AU75" i="20"/>
  <c r="AU115" i="20"/>
  <c r="AX34" i="25"/>
  <c r="BB43" i="25" s="1"/>
  <c r="BB45" i="25" s="1"/>
  <c r="BB46" i="25" s="1"/>
  <c r="AR85" i="19"/>
  <c r="AR90" i="19"/>
  <c r="AR93" i="19"/>
  <c r="AR95" i="19"/>
  <c r="AU18" i="20"/>
  <c r="AU19" i="20"/>
  <c r="AU20" i="20"/>
  <c r="AU24" i="20"/>
  <c r="AU28" i="20"/>
  <c r="AH31" i="20"/>
  <c r="AU34" i="20"/>
  <c r="AU38" i="20"/>
  <c r="AU44" i="20"/>
  <c r="AU49" i="20"/>
  <c r="AU53" i="20"/>
  <c r="AU61" i="20"/>
  <c r="AU68" i="20"/>
  <c r="AG72" i="20"/>
  <c r="AB14" i="8"/>
  <c r="AF12" i="12"/>
  <c r="AS33" i="14"/>
  <c r="AS45" i="14"/>
  <c r="AY19" i="15"/>
  <c r="AU18" i="18"/>
  <c r="AE20" i="18"/>
  <c r="AK20" i="18" s="1"/>
  <c r="AU20" i="18"/>
  <c r="AE22" i="18"/>
  <c r="AK22" i="18" s="1"/>
  <c r="AU22" i="18"/>
  <c r="AE24" i="18"/>
  <c r="AK24" i="18" s="1"/>
  <c r="AU24" i="18"/>
  <c r="AE26" i="18"/>
  <c r="AK26" i="18" s="1"/>
  <c r="AU26" i="18"/>
  <c r="AB27" i="18"/>
  <c r="AC27" i="18" s="1"/>
  <c r="AD27" i="18" s="1"/>
  <c r="AU64" i="18"/>
  <c r="AU66" i="18"/>
  <c r="AE75" i="18"/>
  <c r="AU76" i="18"/>
  <c r="AE83" i="18"/>
  <c r="AU84" i="18"/>
  <c r="AE91" i="18"/>
  <c r="AU92" i="18"/>
  <c r="AE99" i="18"/>
  <c r="AU100" i="18"/>
  <c r="AE115" i="18"/>
  <c r="AF22" i="19"/>
  <c r="AA22" i="19"/>
  <c r="AI22" i="19" s="1"/>
  <c r="AB69" i="19"/>
  <c r="AA69" i="19"/>
  <c r="AI69" i="19" s="1"/>
  <c r="AC69" i="19"/>
  <c r="AB79" i="19"/>
  <c r="AA79" i="19"/>
  <c r="AH79" i="19" s="1"/>
  <c r="AL79" i="19" s="1"/>
  <c r="AC79" i="19"/>
  <c r="AC85" i="11"/>
  <c r="AG123" i="12"/>
  <c r="Y11" i="13"/>
  <c r="AY20" i="15"/>
  <c r="AY23" i="15"/>
  <c r="AF17" i="17"/>
  <c r="AF23" i="17"/>
  <c r="AF38" i="17"/>
  <c r="AF22" i="18"/>
  <c r="AF24" i="18"/>
  <c r="AE28" i="18"/>
  <c r="AK28" i="18" s="1"/>
  <c r="AU28" i="18"/>
  <c r="AE30" i="18"/>
  <c r="AK30" i="18" s="1"/>
  <c r="AU30" i="18"/>
  <c r="AE32" i="18"/>
  <c r="AU32" i="18"/>
  <c r="AE34" i="18"/>
  <c r="AU34" i="18"/>
  <c r="AU60" i="18"/>
  <c r="AU62" i="18"/>
  <c r="AE77" i="18"/>
  <c r="AU78" i="18"/>
  <c r="AE85" i="18"/>
  <c r="AU86" i="18"/>
  <c r="AE93" i="18"/>
  <c r="AU94" i="18"/>
  <c r="AE101" i="18"/>
  <c r="AU102" i="18"/>
  <c r="AU113" i="18"/>
  <c r="AF34" i="19"/>
  <c r="AB34" i="19"/>
  <c r="AF42" i="19"/>
  <c r="AB42" i="19"/>
  <c r="AR74" i="19"/>
  <c r="AB83" i="19"/>
  <c r="AF83" i="19"/>
  <c r="AA83" i="19"/>
  <c r="AI83" i="19" s="1"/>
  <c r="AC83" i="19"/>
  <c r="AB92" i="19"/>
  <c r="AA92" i="19"/>
  <c r="AI92" i="19" s="1"/>
  <c r="AF92" i="19"/>
  <c r="AR92" i="19"/>
  <c r="AR101" i="19"/>
  <c r="AF16" i="12"/>
  <c r="AQ13" i="14"/>
  <c r="AY24" i="15"/>
  <c r="AF28" i="18"/>
  <c r="AF30" i="18"/>
  <c r="AE36" i="18"/>
  <c r="AE38" i="18"/>
  <c r="AE40" i="18"/>
  <c r="AE42" i="18"/>
  <c r="AE44" i="18"/>
  <c r="AE46" i="18"/>
  <c r="AE48" i="18"/>
  <c r="AE50" i="18"/>
  <c r="AE52" i="18"/>
  <c r="AE54" i="18"/>
  <c r="AE56" i="18"/>
  <c r="AE58" i="18"/>
  <c r="AF20" i="19"/>
  <c r="AC20" i="19"/>
  <c r="AC115" i="19"/>
  <c r="AA115" i="19"/>
  <c r="AI115" i="19" s="1"/>
  <c r="AF115" i="19"/>
  <c r="AB115" i="19"/>
  <c r="AD46" i="20"/>
  <c r="AD62" i="20"/>
  <c r="AG62" i="20"/>
  <c r="AM62" i="20" s="1"/>
  <c r="AU16" i="18"/>
  <c r="AB20" i="18"/>
  <c r="AC20" i="18" s="1"/>
  <c r="AD20" i="18" s="1"/>
  <c r="AB22" i="18"/>
  <c r="AC22" i="18" s="1"/>
  <c r="AD22" i="18" s="1"/>
  <c r="AB24" i="18"/>
  <c r="AC24" i="18" s="1"/>
  <c r="AD24" i="18" s="1"/>
  <c r="AB26" i="18"/>
  <c r="AC26" i="18" s="1"/>
  <c r="AD26" i="18" s="1"/>
  <c r="AC28" i="18"/>
  <c r="AD28" i="18" s="1"/>
  <c r="AC30" i="18"/>
  <c r="AD30" i="18" s="1"/>
  <c r="AJ40" i="18"/>
  <c r="AU74" i="18"/>
  <c r="AU90" i="18"/>
  <c r="AU98" i="18"/>
  <c r="AU106" i="18"/>
  <c r="AE107" i="18"/>
  <c r="AU108" i="18"/>
  <c r="AE109" i="18"/>
  <c r="AT17" i="19"/>
  <c r="AB20" i="19"/>
  <c r="AC24" i="19"/>
  <c r="AB24" i="19"/>
  <c r="AF30" i="19"/>
  <c r="AB30" i="19"/>
  <c r="AF38" i="19"/>
  <c r="AB38" i="19"/>
  <c r="AC72" i="19"/>
  <c r="AB72" i="19"/>
  <c r="AF72" i="19"/>
  <c r="AA108" i="19"/>
  <c r="AI108" i="19" s="1"/>
  <c r="AF108" i="19"/>
  <c r="AB108" i="19"/>
  <c r="AD23" i="20"/>
  <c r="AG23" i="20"/>
  <c r="AF49" i="19"/>
  <c r="AF57" i="19"/>
  <c r="AF65" i="19"/>
  <c r="AR72" i="19"/>
  <c r="AR75" i="19"/>
  <c r="AR76" i="19"/>
  <c r="AF87" i="19"/>
  <c r="AF91" i="19"/>
  <c r="AF95" i="19"/>
  <c r="AR99" i="19"/>
  <c r="AR103" i="19"/>
  <c r="AR106" i="19"/>
  <c r="AQ14" i="20"/>
  <c r="AV14" i="20"/>
  <c r="AG25" i="20"/>
  <c r="AD25" i="20"/>
  <c r="AU25" i="20"/>
  <c r="AG35" i="20"/>
  <c r="AD35" i="20"/>
  <c r="AU35" i="20"/>
  <c r="AU54" i="20"/>
  <c r="AD64" i="20"/>
  <c r="AU85" i="20"/>
  <c r="AD86" i="20"/>
  <c r="AG86" i="20"/>
  <c r="AU101" i="20"/>
  <c r="AD102" i="20"/>
  <c r="AG102" i="20"/>
  <c r="AD92" i="20"/>
  <c r="AG92" i="20"/>
  <c r="AD108" i="20"/>
  <c r="AG108" i="20"/>
  <c r="AU114" i="18"/>
  <c r="AM17" i="19"/>
  <c r="AQ17" i="19"/>
  <c r="AU17" i="19"/>
  <c r="AU19" i="16" s="1"/>
  <c r="AR23" i="19"/>
  <c r="AF45" i="19"/>
  <c r="AR47" i="19"/>
  <c r="AB49" i="19"/>
  <c r="AB50" i="19"/>
  <c r="AF53" i="19"/>
  <c r="AR55" i="19"/>
  <c r="AB57" i="19"/>
  <c r="AB58" i="19"/>
  <c r="AF61" i="19"/>
  <c r="AR63" i="19"/>
  <c r="AB65" i="19"/>
  <c r="AR68" i="19"/>
  <c r="AR71" i="19"/>
  <c r="AR78" i="19"/>
  <c r="AR83" i="19"/>
  <c r="AB87" i="19"/>
  <c r="AI87" i="19"/>
  <c r="AJ87" i="19" s="1"/>
  <c r="AB91" i="19"/>
  <c r="AR91" i="19"/>
  <c r="AB95" i="19"/>
  <c r="AB96" i="19"/>
  <c r="AF116" i="19"/>
  <c r="AA116" i="19"/>
  <c r="AI116" i="19" s="1"/>
  <c r="AD60" i="20"/>
  <c r="AU93" i="20"/>
  <c r="AD94" i="20"/>
  <c r="AG94" i="20"/>
  <c r="AL94" i="20"/>
  <c r="AU109" i="20"/>
  <c r="AD110" i="20"/>
  <c r="AG110" i="20"/>
  <c r="AN17" i="19"/>
  <c r="O24" i="21" s="1"/>
  <c r="AV17" i="19"/>
  <c r="AR20" i="19"/>
  <c r="AR27" i="19"/>
  <c r="AR32" i="19"/>
  <c r="AR36" i="19"/>
  <c r="AR40" i="19"/>
  <c r="AR44" i="19"/>
  <c r="AR45" i="19"/>
  <c r="AC49" i="19"/>
  <c r="AR52" i="19"/>
  <c r="AG53" i="19"/>
  <c r="AJ53" i="19" s="1"/>
  <c r="AR53" i="19"/>
  <c r="AC57" i="19"/>
  <c r="AR60" i="19"/>
  <c r="AR61" i="19"/>
  <c r="AC65" i="19"/>
  <c r="AF73" i="19"/>
  <c r="AC87" i="19"/>
  <c r="AC91" i="19"/>
  <c r="AC95" i="19"/>
  <c r="AF96" i="19"/>
  <c r="AF99" i="19"/>
  <c r="AF103" i="19"/>
  <c r="AC107" i="19"/>
  <c r="AA113" i="19"/>
  <c r="AI113" i="19" s="1"/>
  <c r="AR116" i="19"/>
  <c r="AG20" i="20"/>
  <c r="AD58" i="20"/>
  <c r="AL58" i="20"/>
  <c r="AG66" i="20"/>
  <c r="AD66" i="20"/>
  <c r="AD84" i="20"/>
  <c r="AG84" i="20"/>
  <c r="AD100" i="20"/>
  <c r="AG100" i="20"/>
  <c r="P58" i="23"/>
  <c r="P26" i="23" s="1"/>
  <c r="O26" i="23"/>
  <c r="AF111" i="19"/>
  <c r="AR114" i="19"/>
  <c r="AR115" i="19"/>
  <c r="AG21" i="20"/>
  <c r="AU26" i="20"/>
  <c r="AG29" i="20"/>
  <c r="AU36" i="20"/>
  <c r="AG39" i="20"/>
  <c r="AU41" i="20"/>
  <c r="AG42" i="20"/>
  <c r="AU55" i="20"/>
  <c r="AU67" i="20"/>
  <c r="AG70" i="20"/>
  <c r="AG116" i="20"/>
  <c r="S24" i="23"/>
  <c r="AG48" i="20"/>
  <c r="AG50" i="20"/>
  <c r="AG52" i="20"/>
  <c r="AR107" i="19"/>
  <c r="AS14" i="20"/>
  <c r="AU30" i="20"/>
  <c r="AG31" i="20"/>
  <c r="AU32" i="20"/>
  <c r="AU40" i="20"/>
  <c r="AU45" i="20"/>
  <c r="AU71" i="20"/>
  <c r="AU74" i="20"/>
  <c r="L1042" i="23"/>
  <c r="O24" i="24"/>
  <c r="P1041" i="24"/>
  <c r="P1040" i="24" s="1"/>
  <c r="O1040" i="24"/>
  <c r="BA44" i="25"/>
  <c r="AW46" i="25"/>
  <c r="AZ46" i="25"/>
  <c r="AZ48" i="25" s="1"/>
  <c r="AS93" i="14"/>
  <c r="AA83" i="8"/>
  <c r="AH16" i="18"/>
  <c r="AB17" i="18"/>
  <c r="AF17" i="18"/>
  <c r="AJ17" i="18"/>
  <c r="AG18" i="18"/>
  <c r="AO18" i="18" s="1"/>
  <c r="AB19" i="18"/>
  <c r="AC19" i="18" s="1"/>
  <c r="AD19" i="18" s="1"/>
  <c r="AF19" i="18"/>
  <c r="AJ19" i="18"/>
  <c r="AB21" i="18"/>
  <c r="AC21" i="18" s="1"/>
  <c r="AD21" i="18" s="1"/>
  <c r="AF21" i="18"/>
  <c r="AJ21" i="18"/>
  <c r="AB23" i="18"/>
  <c r="AC23" i="18" s="1"/>
  <c r="AD23" i="18" s="1"/>
  <c r="AF23" i="18"/>
  <c r="AJ23" i="18"/>
  <c r="AB25" i="18"/>
  <c r="AC25" i="18" s="1"/>
  <c r="AD25" i="18" s="1"/>
  <c r="AF25" i="18"/>
  <c r="AJ25" i="18"/>
  <c r="AH26" i="18"/>
  <c r="AF27" i="18"/>
  <c r="AJ27" i="18"/>
  <c r="AH28" i="18"/>
  <c r="AB29" i="18"/>
  <c r="AC29" i="18" s="1"/>
  <c r="AD29" i="18" s="1"/>
  <c r="AF29" i="18"/>
  <c r="AJ29" i="18"/>
  <c r="AH30" i="18"/>
  <c r="AB31" i="18"/>
  <c r="AB33" i="18"/>
  <c r="AB37" i="18"/>
  <c r="AB39" i="18"/>
  <c r="AB41" i="18"/>
  <c r="AB43" i="18"/>
  <c r="AB45" i="18"/>
  <c r="AB47" i="18"/>
  <c r="AF47" i="18"/>
  <c r="AJ47" i="18"/>
  <c r="AB49" i="18"/>
  <c r="AB51" i="18"/>
  <c r="AB53" i="18"/>
  <c r="AB55" i="18"/>
  <c r="AB57" i="18"/>
  <c r="AB59" i="18"/>
  <c r="AC16" i="18"/>
  <c r="AD16" i="18" s="1"/>
  <c r="AE16" i="18"/>
  <c r="AK16" i="18" s="1"/>
  <c r="AG17" i="18"/>
  <c r="AO17" i="18" s="1"/>
  <c r="AG19" i="18"/>
  <c r="AO19" i="18" s="1"/>
  <c r="AG21" i="18"/>
  <c r="AO21" i="18" s="1"/>
  <c r="AG23" i="18"/>
  <c r="AO23" i="18" s="1"/>
  <c r="AG25" i="18"/>
  <c r="AO25" i="18" s="1"/>
  <c r="AG27" i="18"/>
  <c r="AO27" i="18" s="1"/>
  <c r="AG29" i="18"/>
  <c r="AO29" i="18" s="1"/>
  <c r="AA18" i="8"/>
  <c r="AH17" i="18"/>
  <c r="AH19" i="18"/>
  <c r="AH21" i="18"/>
  <c r="AH23" i="18"/>
  <c r="AH25" i="18"/>
  <c r="AH27" i="18"/>
  <c r="AH29" i="18"/>
  <c r="AH47" i="18"/>
  <c r="AE17" i="18"/>
  <c r="AK17" i="18" s="1"/>
  <c r="AE19" i="18"/>
  <c r="AK19" i="18" s="1"/>
  <c r="AE21" i="18"/>
  <c r="AK21" i="18" s="1"/>
  <c r="AG22" i="18"/>
  <c r="AO22" i="18" s="1"/>
  <c r="AE23" i="18"/>
  <c r="AK23" i="18" s="1"/>
  <c r="AG24" i="18"/>
  <c r="AO24" i="18" s="1"/>
  <c r="AE25" i="18"/>
  <c r="AK25" i="18" s="1"/>
  <c r="AG26" i="18"/>
  <c r="AO26" i="18" s="1"/>
  <c r="AE27" i="18"/>
  <c r="AK27" i="18" s="1"/>
  <c r="AG28" i="18"/>
  <c r="AO28" i="18" s="1"/>
  <c r="AE29" i="18"/>
  <c r="AK29" i="18" s="1"/>
  <c r="AG30" i="18"/>
  <c r="AO30" i="18" s="1"/>
  <c r="AE31" i="18"/>
  <c r="AE33" i="18"/>
  <c r="AE35" i="18"/>
  <c r="AE37" i="18"/>
  <c r="AE39" i="18"/>
  <c r="AE41" i="18"/>
  <c r="AE43" i="18"/>
  <c r="AE45" i="18"/>
  <c r="AE47" i="18"/>
  <c r="AE49" i="18"/>
  <c r="AE51" i="18"/>
  <c r="AE53" i="18"/>
  <c r="AE55" i="18"/>
  <c r="AE57" i="18"/>
  <c r="AE59" i="18"/>
  <c r="AE60" i="18"/>
  <c r="AE62" i="18"/>
  <c r="AE64" i="18"/>
  <c r="AE66" i="18"/>
  <c r="AE68" i="18"/>
  <c r="AE70" i="18"/>
  <c r="AE72" i="18"/>
  <c r="AE74" i="18"/>
  <c r="AE76" i="18"/>
  <c r="AE78" i="18"/>
  <c r="AE80" i="18"/>
  <c r="AE82" i="18"/>
  <c r="AE84" i="18"/>
  <c r="AE86" i="18"/>
  <c r="AE88" i="18"/>
  <c r="AE90" i="18"/>
  <c r="AE92" i="18"/>
  <c r="AE94" i="18"/>
  <c r="AE96" i="18"/>
  <c r="AE98" i="18"/>
  <c r="AE100" i="18"/>
  <c r="AE102" i="18"/>
  <c r="AE104" i="18"/>
  <c r="AE106" i="18"/>
  <c r="AE108" i="18"/>
  <c r="AE110" i="18"/>
  <c r="AE112" i="18"/>
  <c r="AE114" i="18"/>
  <c r="AC18" i="19"/>
  <c r="AB19" i="19"/>
  <c r="AF19" i="19"/>
  <c r="AA20" i="19"/>
  <c r="AH20" i="19" s="1"/>
  <c r="AL20" i="19" s="1"/>
  <c r="AC22" i="19"/>
  <c r="AB23" i="19"/>
  <c r="AF23" i="19"/>
  <c r="AA24" i="19"/>
  <c r="AI24" i="19" s="1"/>
  <c r="AC26" i="19"/>
  <c r="AB27" i="19"/>
  <c r="AF27" i="19"/>
  <c r="AB28" i="19"/>
  <c r="AD28" i="19" s="1"/>
  <c r="AE28" i="19" s="1"/>
  <c r="AF35" i="19"/>
  <c r="AB35" i="19"/>
  <c r="AA35" i="19"/>
  <c r="AC35" i="19"/>
  <c r="AC19" i="19"/>
  <c r="AC23" i="19"/>
  <c r="AC27" i="19"/>
  <c r="AR28" i="19"/>
  <c r="AF39" i="19"/>
  <c r="AB39" i="19"/>
  <c r="AA39" i="19"/>
  <c r="AC39" i="19"/>
  <c r="AE61" i="18"/>
  <c r="AE63" i="18"/>
  <c r="AE65" i="18"/>
  <c r="AE67" i="18"/>
  <c r="AE69" i="18"/>
  <c r="AE71" i="18"/>
  <c r="AF43" i="19"/>
  <c r="AB43" i="19"/>
  <c r="AA43" i="19"/>
  <c r="AG43" i="19" s="1"/>
  <c r="AC43" i="19"/>
  <c r="AB61" i="18"/>
  <c r="AB63" i="18"/>
  <c r="AB65" i="18"/>
  <c r="AB67" i="18"/>
  <c r="AB69" i="18"/>
  <c r="AB71" i="18"/>
  <c r="AB73" i="18"/>
  <c r="AB75" i="18"/>
  <c r="AB77" i="18"/>
  <c r="AB79" i="18"/>
  <c r="AB81" i="18"/>
  <c r="AB83" i="18"/>
  <c r="AB85" i="18"/>
  <c r="AB87" i="18"/>
  <c r="AC87" i="18" s="1"/>
  <c r="AD87" i="18" s="1"/>
  <c r="AB89" i="18"/>
  <c r="AB91" i="18"/>
  <c r="AB93" i="18"/>
  <c r="AB95" i="18"/>
  <c r="AB97" i="18"/>
  <c r="AB99" i="18"/>
  <c r="AB101" i="18"/>
  <c r="AB103" i="18"/>
  <c r="AB105" i="18"/>
  <c r="AB107" i="18"/>
  <c r="AB109" i="18"/>
  <c r="AB111" i="18"/>
  <c r="AB113" i="18"/>
  <c r="AB115" i="18"/>
  <c r="AB18" i="19"/>
  <c r="AA19" i="19"/>
  <c r="AG19" i="19" s="1"/>
  <c r="AC21" i="19"/>
  <c r="AB22" i="19"/>
  <c r="AA23" i="19"/>
  <c r="AC25" i="19"/>
  <c r="AB26" i="19"/>
  <c r="AA27" i="19"/>
  <c r="AG27" i="19" s="1"/>
  <c r="AA28" i="19"/>
  <c r="AF28" i="19"/>
  <c r="AF31" i="19"/>
  <c r="AB31" i="19"/>
  <c r="AA31" i="19"/>
  <c r="AH31" i="19" s="1"/>
  <c r="AL31" i="19" s="1"/>
  <c r="AC31" i="19"/>
  <c r="AA29" i="19"/>
  <c r="AH29" i="19" s="1"/>
  <c r="AL29" i="19" s="1"/>
  <c r="AH30" i="19"/>
  <c r="AL30" i="19" s="1"/>
  <c r="AB32" i="19"/>
  <c r="AD32" i="19" s="1"/>
  <c r="AE32" i="19" s="1"/>
  <c r="AF32" i="19"/>
  <c r="AA33" i="19"/>
  <c r="AI33" i="19" s="1"/>
  <c r="AH34" i="19"/>
  <c r="AL34" i="19" s="1"/>
  <c r="AB36" i="19"/>
  <c r="AD36" i="19" s="1"/>
  <c r="AE36" i="19" s="1"/>
  <c r="AF36" i="19"/>
  <c r="AA37" i="19"/>
  <c r="AH37" i="19" s="1"/>
  <c r="AL37" i="19" s="1"/>
  <c r="AH38" i="19"/>
  <c r="AL38" i="19" s="1"/>
  <c r="AB40" i="19"/>
  <c r="AD40" i="19" s="1"/>
  <c r="AE40" i="19" s="1"/>
  <c r="AF40" i="19"/>
  <c r="AA41" i="19"/>
  <c r="AI41" i="19" s="1"/>
  <c r="AH42" i="19"/>
  <c r="AL42" i="19" s="1"/>
  <c r="AB44" i="19"/>
  <c r="AD44" i="19" s="1"/>
  <c r="AE44" i="19" s="1"/>
  <c r="AF44" i="19"/>
  <c r="AI45" i="19"/>
  <c r="AJ45" i="19" s="1"/>
  <c r="AC47" i="19"/>
  <c r="AB48" i="19"/>
  <c r="AD48" i="19" s="1"/>
  <c r="AE48" i="19" s="1"/>
  <c r="AF48" i="19"/>
  <c r="AC51" i="19"/>
  <c r="AB52" i="19"/>
  <c r="AD52" i="19" s="1"/>
  <c r="AE52" i="19" s="1"/>
  <c r="AF52" i="19"/>
  <c r="AC55" i="19"/>
  <c r="AB56" i="19"/>
  <c r="AD56" i="19" s="1"/>
  <c r="AE56" i="19" s="1"/>
  <c r="AF56" i="19"/>
  <c r="AC59" i="19"/>
  <c r="AB60" i="19"/>
  <c r="AD60" i="19" s="1"/>
  <c r="AE60" i="19" s="1"/>
  <c r="AF60" i="19"/>
  <c r="AI61" i="19"/>
  <c r="AJ61" i="19" s="1"/>
  <c r="AC63" i="19"/>
  <c r="AB64" i="19"/>
  <c r="AD64" i="19" s="1"/>
  <c r="AE64" i="19" s="1"/>
  <c r="AF64" i="19"/>
  <c r="AI65" i="19"/>
  <c r="AH66" i="19"/>
  <c r="AL66" i="19" s="1"/>
  <c r="AC67" i="19"/>
  <c r="AF68" i="19"/>
  <c r="AH70" i="19"/>
  <c r="AL70" i="19" s="1"/>
  <c r="AC71" i="19"/>
  <c r="AH74" i="19"/>
  <c r="AL74" i="19" s="1"/>
  <c r="AC75" i="19"/>
  <c r="AB76" i="19"/>
  <c r="AD76" i="19" s="1"/>
  <c r="AE76" i="19" s="1"/>
  <c r="AF76" i="19"/>
  <c r="AG77" i="19"/>
  <c r="AJ77" i="19" s="1"/>
  <c r="AC80" i="19"/>
  <c r="AC88" i="19"/>
  <c r="AI89" i="19"/>
  <c r="AR98" i="19"/>
  <c r="AC106" i="19"/>
  <c r="AF106" i="19"/>
  <c r="AB106" i="19"/>
  <c r="AA106" i="19"/>
  <c r="AA78" i="19"/>
  <c r="AF78" i="19"/>
  <c r="AF81" i="19"/>
  <c r="AB81" i="19"/>
  <c r="AA86" i="19"/>
  <c r="AI86" i="19" s="1"/>
  <c r="AF86" i="19"/>
  <c r="AF90" i="19"/>
  <c r="AB90" i="19"/>
  <c r="AA90" i="19"/>
  <c r="AG90" i="19" s="1"/>
  <c r="AC102" i="19"/>
  <c r="AF102" i="19"/>
  <c r="AB102" i="19"/>
  <c r="AA102" i="19"/>
  <c r="AG102" i="19" s="1"/>
  <c r="AA47" i="19"/>
  <c r="AI47" i="19" s="1"/>
  <c r="AA51" i="19"/>
  <c r="AA55" i="19"/>
  <c r="AH55" i="19" s="1"/>
  <c r="AL55" i="19" s="1"/>
  <c r="AA59" i="19"/>
  <c r="AG59" i="19" s="1"/>
  <c r="AA63" i="19"/>
  <c r="AG63" i="19" s="1"/>
  <c r="AB66" i="19"/>
  <c r="AF66" i="19"/>
  <c r="AA67" i="19"/>
  <c r="AG67" i="19" s="1"/>
  <c r="AB70" i="19"/>
  <c r="AF70" i="19"/>
  <c r="AA71" i="19"/>
  <c r="AB74" i="19"/>
  <c r="AF74" i="19"/>
  <c r="AA75" i="19"/>
  <c r="AB78" i="19"/>
  <c r="AA81" i="19"/>
  <c r="AI81" i="19" s="1"/>
  <c r="AC84" i="19"/>
  <c r="AD84" i="19" s="1"/>
  <c r="AE84" i="19" s="1"/>
  <c r="AB86" i="19"/>
  <c r="AC90" i="19"/>
  <c r="AC98" i="19"/>
  <c r="AF98" i="19"/>
  <c r="AB98" i="19"/>
  <c r="AA98" i="19"/>
  <c r="AH98" i="19" s="1"/>
  <c r="AL98" i="19" s="1"/>
  <c r="AC30" i="19"/>
  <c r="AG30" i="19"/>
  <c r="AJ30" i="19" s="1"/>
  <c r="AA32" i="19"/>
  <c r="AI32" i="19" s="1"/>
  <c r="AC34" i="19"/>
  <c r="AG34" i="19"/>
  <c r="AJ34" i="19" s="1"/>
  <c r="AA36" i="19"/>
  <c r="AI36" i="19" s="1"/>
  <c r="AC38" i="19"/>
  <c r="AG38" i="19"/>
  <c r="AJ38" i="19" s="1"/>
  <c r="AA40" i="19"/>
  <c r="AI40" i="19" s="1"/>
  <c r="AC42" i="19"/>
  <c r="AG42" i="19"/>
  <c r="AJ42" i="19" s="1"/>
  <c r="AA44" i="19"/>
  <c r="AI44" i="19" s="1"/>
  <c r="AH45" i="19"/>
  <c r="AL45" i="19" s="1"/>
  <c r="AC46" i="19"/>
  <c r="AB47" i="19"/>
  <c r="AA48" i="19"/>
  <c r="AH48" i="19" s="1"/>
  <c r="AL48" i="19" s="1"/>
  <c r="AH49" i="19"/>
  <c r="AL49" i="19" s="1"/>
  <c r="AC50" i="19"/>
  <c r="AB51" i="19"/>
  <c r="AA52" i="19"/>
  <c r="AH53" i="19"/>
  <c r="AL53" i="19" s="1"/>
  <c r="AC54" i="19"/>
  <c r="AB55" i="19"/>
  <c r="AA56" i="19"/>
  <c r="AC58" i="19"/>
  <c r="AB59" i="19"/>
  <c r="AA60" i="19"/>
  <c r="AI60" i="19" s="1"/>
  <c r="AH61" i="19"/>
  <c r="AL61" i="19" s="1"/>
  <c r="AC62" i="19"/>
  <c r="AB63" i="19"/>
  <c r="AA64" i="19"/>
  <c r="AI64" i="19" s="1"/>
  <c r="AH65" i="19"/>
  <c r="AL65" i="19" s="1"/>
  <c r="AC66" i="19"/>
  <c r="AG66" i="19"/>
  <c r="AJ66" i="19" s="1"/>
  <c r="AB67" i="19"/>
  <c r="AA68" i="19"/>
  <c r="AI68" i="19" s="1"/>
  <c r="AC70" i="19"/>
  <c r="AG70" i="19"/>
  <c r="AJ70" i="19" s="1"/>
  <c r="AB71" i="19"/>
  <c r="AA72" i="19"/>
  <c r="AC74" i="19"/>
  <c r="AG74" i="19"/>
  <c r="AJ74" i="19" s="1"/>
  <c r="AB75" i="19"/>
  <c r="AA76" i="19"/>
  <c r="AH76" i="19" s="1"/>
  <c r="AL76" i="19" s="1"/>
  <c r="AF77" i="19"/>
  <c r="AB77" i="19"/>
  <c r="AC78" i="19"/>
  <c r="AC81" i="19"/>
  <c r="AA82" i="19"/>
  <c r="AI82" i="19" s="1"/>
  <c r="AF82" i="19"/>
  <c r="AR82" i="19"/>
  <c r="AA84" i="19"/>
  <c r="AF84" i="19"/>
  <c r="AF85" i="19"/>
  <c r="AB85" i="19"/>
  <c r="AC86" i="19"/>
  <c r="AG89" i="19"/>
  <c r="AC89" i="19"/>
  <c r="AF89" i="19"/>
  <c r="AB89" i="19"/>
  <c r="AH89" i="19"/>
  <c r="AL89" i="19" s="1"/>
  <c r="AC94" i="19"/>
  <c r="AF94" i="19"/>
  <c r="AB94" i="19"/>
  <c r="AA94" i="19"/>
  <c r="AR102" i="19"/>
  <c r="AG17" i="20"/>
  <c r="AG19" i="20"/>
  <c r="AH87" i="19"/>
  <c r="AL87" i="19" s="1"/>
  <c r="AH91" i="19"/>
  <c r="AL91" i="19" s="1"/>
  <c r="AC92" i="19"/>
  <c r="AB93" i="19"/>
  <c r="AF93" i="19"/>
  <c r="AH95" i="19"/>
  <c r="AL95" i="19" s="1"/>
  <c r="AC96" i="19"/>
  <c r="AG96" i="19"/>
  <c r="AJ96" i="19" s="1"/>
  <c r="AB97" i="19"/>
  <c r="AF97" i="19"/>
  <c r="AC100" i="19"/>
  <c r="AB101" i="19"/>
  <c r="AF101" i="19"/>
  <c r="AC104" i="19"/>
  <c r="AB105" i="19"/>
  <c r="AF105" i="19"/>
  <c r="AC108" i="19"/>
  <c r="AB109" i="19"/>
  <c r="AF109" i="19"/>
  <c r="AA110" i="19"/>
  <c r="AH110" i="19" s="1"/>
  <c r="AL110" i="19" s="1"/>
  <c r="AC112" i="19"/>
  <c r="AB113" i="19"/>
  <c r="AF113" i="19"/>
  <c r="AA114" i="19"/>
  <c r="AG114" i="19" s="1"/>
  <c r="AC116" i="19"/>
  <c r="AD116" i="19" s="1"/>
  <c r="AE116" i="19" s="1"/>
  <c r="AB117" i="19"/>
  <c r="AF117" i="19"/>
  <c r="AP14" i="20"/>
  <c r="AD17" i="20"/>
  <c r="AD19" i="20"/>
  <c r="AC93" i="19"/>
  <c r="AG93" i="19"/>
  <c r="AJ93" i="19" s="1"/>
  <c r="AH96" i="19"/>
  <c r="AL96" i="19" s="1"/>
  <c r="AC97" i="19"/>
  <c r="AG97" i="19"/>
  <c r="AJ97" i="19" s="1"/>
  <c r="AC101" i="19"/>
  <c r="AG101" i="19"/>
  <c r="AJ101" i="19" s="1"/>
  <c r="AC105" i="19"/>
  <c r="AC109" i="19"/>
  <c r="AG109" i="19"/>
  <c r="AJ109" i="19" s="1"/>
  <c r="AB110" i="19"/>
  <c r="AF110" i="19"/>
  <c r="AC113" i="19"/>
  <c r="AB114" i="19"/>
  <c r="AF114" i="19"/>
  <c r="AC117" i="19"/>
  <c r="AG117" i="19"/>
  <c r="AJ117" i="19" s="1"/>
  <c r="AH93" i="19"/>
  <c r="AL93" i="19" s="1"/>
  <c r="AH97" i="19"/>
  <c r="AL97" i="19" s="1"/>
  <c r="AH101" i="19"/>
  <c r="AL101" i="19" s="1"/>
  <c r="AH109" i="19"/>
  <c r="AL109" i="19" s="1"/>
  <c r="AC110" i="19"/>
  <c r="AC114" i="19"/>
  <c r="AH117" i="19"/>
  <c r="AL117" i="19" s="1"/>
  <c r="AD18" i="20"/>
  <c r="AD20" i="20"/>
  <c r="AJ28" i="20"/>
  <c r="AG22" i="20"/>
  <c r="AG24" i="20"/>
  <c r="AG26" i="20"/>
  <c r="AM26" i="20" s="1"/>
  <c r="AG28" i="20"/>
  <c r="AM28" i="20" s="1"/>
  <c r="AG30" i="20"/>
  <c r="AG32" i="20"/>
  <c r="AG34" i="20"/>
  <c r="AG36" i="20"/>
  <c r="AG38" i="20"/>
  <c r="AG40" i="20"/>
  <c r="AG41" i="20"/>
  <c r="AD22" i="20"/>
  <c r="AD24" i="20"/>
  <c r="AD26" i="20"/>
  <c r="AD28" i="20"/>
  <c r="AH28" i="20"/>
  <c r="AD30" i="20"/>
  <c r="AD32" i="20"/>
  <c r="AD34" i="20"/>
  <c r="AD36" i="20"/>
  <c r="AD38" i="20"/>
  <c r="AD40" i="20"/>
  <c r="AD43" i="20"/>
  <c r="AD45" i="20"/>
  <c r="AD47" i="20"/>
  <c r="AD49" i="20"/>
  <c r="AD51" i="20"/>
  <c r="AD53" i="20"/>
  <c r="AD55" i="20"/>
  <c r="AD57" i="20"/>
  <c r="AD59" i="20"/>
  <c r="AD61" i="20"/>
  <c r="AD63" i="20"/>
  <c r="AD65" i="20"/>
  <c r="AD67" i="20"/>
  <c r="AD69" i="20"/>
  <c r="AD71" i="20"/>
  <c r="AD73" i="20"/>
  <c r="AG74" i="20"/>
  <c r="AU78" i="20"/>
  <c r="AU80" i="20"/>
  <c r="AG44" i="20"/>
  <c r="AG46" i="20"/>
  <c r="AG54" i="20"/>
  <c r="AG56" i="20"/>
  <c r="AI69" i="20"/>
  <c r="AO69" i="20" s="1"/>
  <c r="AG75" i="20"/>
  <c r="AU76" i="20"/>
  <c r="AG77" i="20"/>
  <c r="AD77" i="20"/>
  <c r="AG43" i="20"/>
  <c r="AG45" i="20"/>
  <c r="AG47" i="20"/>
  <c r="AG49" i="20"/>
  <c r="AG51" i="20"/>
  <c r="AG53" i="20"/>
  <c r="AG55" i="20"/>
  <c r="AG57" i="20"/>
  <c r="AG59" i="20"/>
  <c r="AG61" i="20"/>
  <c r="AG63" i="20"/>
  <c r="AG65" i="20"/>
  <c r="AG67" i="20"/>
  <c r="AG69" i="20"/>
  <c r="AG71" i="20"/>
  <c r="AD74" i="20"/>
  <c r="AD76" i="20"/>
  <c r="AD79" i="20"/>
  <c r="AD81" i="20"/>
  <c r="AU82" i="20"/>
  <c r="AG87" i="20"/>
  <c r="AD89" i="20"/>
  <c r="AU90" i="20"/>
  <c r="AG95" i="20"/>
  <c r="AD97" i="20"/>
  <c r="AU98" i="20"/>
  <c r="AG103" i="20"/>
  <c r="AD105" i="20"/>
  <c r="AU106" i="20"/>
  <c r="AG111" i="20"/>
  <c r="AD113" i="20"/>
  <c r="AG85" i="20"/>
  <c r="AU88" i="20"/>
  <c r="AG93" i="20"/>
  <c r="AU96" i="20"/>
  <c r="AG101" i="20"/>
  <c r="AU104" i="20"/>
  <c r="AL106" i="20"/>
  <c r="AH109" i="20"/>
  <c r="AG109" i="20"/>
  <c r="AU112" i="20"/>
  <c r="AG79" i="20"/>
  <c r="AG81" i="20"/>
  <c r="AG83" i="20"/>
  <c r="AU86" i="20"/>
  <c r="AL88" i="20"/>
  <c r="AG91" i="20"/>
  <c r="AM91" i="20" s="1"/>
  <c r="AU94" i="20"/>
  <c r="AG99" i="20"/>
  <c r="AU102" i="20"/>
  <c r="AG107" i="20"/>
  <c r="AU110" i="20"/>
  <c r="AL112" i="20"/>
  <c r="AH112" i="20"/>
  <c r="AG89" i="20"/>
  <c r="AL97" i="20"/>
  <c r="AG97" i="20"/>
  <c r="AM97" i="20" s="1"/>
  <c r="AG105" i="20"/>
  <c r="AG113" i="20"/>
  <c r="AG115" i="20"/>
  <c r="P1043" i="23"/>
  <c r="P1042" i="23" s="1"/>
  <c r="O1042" i="23"/>
  <c r="AX46" i="25"/>
  <c r="AX48" i="25" s="1"/>
  <c r="BA43" i="25"/>
  <c r="AY46" i="25"/>
  <c r="AY48" i="25" s="1"/>
  <c r="AW47" i="25"/>
  <c r="BA47" i="25" s="1"/>
  <c r="AG31" i="18" l="1"/>
  <c r="AO31" i="18" s="1"/>
  <c r="AH57" i="19"/>
  <c r="AL57" i="19" s="1"/>
  <c r="AH31" i="18"/>
  <c r="AG63" i="18"/>
  <c r="AO63" i="18" s="1"/>
  <c r="AJ31" i="18"/>
  <c r="AM69" i="20"/>
  <c r="AM72" i="20"/>
  <c r="AE106" i="20"/>
  <c r="AF106" i="20" s="1"/>
  <c r="AE15" i="9"/>
  <c r="AF38" i="6"/>
  <c r="AG38" i="6" s="1"/>
  <c r="AG18" i="19"/>
  <c r="AJ18" i="19" s="1"/>
  <c r="AD16" i="11"/>
  <c r="AD47" i="11"/>
  <c r="AE82" i="20"/>
  <c r="AF82" i="20" s="1"/>
  <c r="AD30" i="19"/>
  <c r="AE30" i="19" s="1"/>
  <c r="AM57" i="20"/>
  <c r="AH80" i="20"/>
  <c r="AM39" i="20"/>
  <c r="AM35" i="20"/>
  <c r="AI38" i="20"/>
  <c r="AO38" i="20" s="1"/>
  <c r="AM110" i="20"/>
  <c r="AM100" i="20"/>
  <c r="AM74" i="20"/>
  <c r="AE16" i="9"/>
  <c r="AD96" i="19"/>
  <c r="AE96" i="19" s="1"/>
  <c r="AD46" i="19"/>
  <c r="AE46" i="19" s="1"/>
  <c r="AI73" i="19"/>
  <c r="AD25" i="19"/>
  <c r="AE25" i="19" s="1"/>
  <c r="AD88" i="19"/>
  <c r="AE88" i="19" s="1"/>
  <c r="BA45" i="25"/>
  <c r="AB79" i="8"/>
  <c r="AB12" i="8"/>
  <c r="AG73" i="19"/>
  <c r="AE17" i="9"/>
  <c r="AF19" i="9"/>
  <c r="AC82" i="8"/>
  <c r="AM111" i="20"/>
  <c r="AG92" i="19"/>
  <c r="AJ92" i="19" s="1"/>
  <c r="AH25" i="19"/>
  <c r="AL25" i="19" s="1"/>
  <c r="AC81" i="8"/>
  <c r="AC80" i="8"/>
  <c r="AG80" i="19"/>
  <c r="AM58" i="20"/>
  <c r="AG86" i="19"/>
  <c r="AM24" i="20"/>
  <c r="AE115" i="20"/>
  <c r="AF115" i="20" s="1"/>
  <c r="AD104" i="19"/>
  <c r="AE104" i="19" s="1"/>
  <c r="AH99" i="19"/>
  <c r="AL99" i="19" s="1"/>
  <c r="AG54" i="19"/>
  <c r="AJ54" i="19" s="1"/>
  <c r="AH54" i="19"/>
  <c r="AL54" i="19" s="1"/>
  <c r="AD112" i="19"/>
  <c r="AE112" i="19" s="1"/>
  <c r="AF61" i="18"/>
  <c r="AM98" i="20"/>
  <c r="AD45" i="19"/>
  <c r="AE45" i="19" s="1"/>
  <c r="AD111" i="19"/>
  <c r="AE111" i="19" s="1"/>
  <c r="AD107" i="19"/>
  <c r="AE107" i="19" s="1"/>
  <c r="AK105" i="18"/>
  <c r="AK87" i="18"/>
  <c r="AC84" i="18"/>
  <c r="AD84" i="18" s="1"/>
  <c r="AK81" i="18"/>
  <c r="AF67" i="18"/>
  <c r="AH97" i="18"/>
  <c r="AE70" i="20"/>
  <c r="AF70" i="20" s="1"/>
  <c r="AG21" i="19"/>
  <c r="AJ21" i="19" s="1"/>
  <c r="AM37" i="20"/>
  <c r="AM88" i="20"/>
  <c r="AD54" i="19"/>
  <c r="AE54" i="19" s="1"/>
  <c r="AW48" i="25"/>
  <c r="BA46" i="25"/>
  <c r="AL76" i="20"/>
  <c r="AH21" i="19"/>
  <c r="AL21" i="19" s="1"/>
  <c r="AM42" i="20"/>
  <c r="AM94" i="20"/>
  <c r="AM22" i="20"/>
  <c r="AM20" i="20"/>
  <c r="AM31" i="20"/>
  <c r="AM27" i="20"/>
  <c r="AM46" i="20"/>
  <c r="AK104" i="18"/>
  <c r="AK86" i="18"/>
  <c r="AK71" i="18"/>
  <c r="AK55" i="18"/>
  <c r="AK42" i="18"/>
  <c r="AK39" i="18"/>
  <c r="AM112" i="20"/>
  <c r="AM109" i="20"/>
  <c r="AM103" i="20"/>
  <c r="AM86" i="20"/>
  <c r="AM83" i="20"/>
  <c r="AM78" i="20"/>
  <c r="AM50" i="20"/>
  <c r="AM18" i="20"/>
  <c r="AM21" i="20"/>
  <c r="AM115" i="20"/>
  <c r="AM101" i="20"/>
  <c r="AM95" i="20"/>
  <c r="AM70" i="20"/>
  <c r="AM30" i="20"/>
  <c r="AM25" i="20"/>
  <c r="AM19" i="20"/>
  <c r="AM29" i="20"/>
  <c r="AJ95" i="19"/>
  <c r="AK97" i="18"/>
  <c r="AK73" i="18"/>
  <c r="AM41" i="20"/>
  <c r="AM96" i="20"/>
  <c r="AM84" i="20"/>
  <c r="AM81" i="20"/>
  <c r="AM68" i="20"/>
  <c r="AM56" i="20"/>
  <c r="AM54" i="20"/>
  <c r="AM23" i="20"/>
  <c r="AM17" i="20"/>
  <c r="AM92" i="20"/>
  <c r="AM61" i="20"/>
  <c r="AM77" i="20"/>
  <c r="AM43" i="20"/>
  <c r="AM66" i="20"/>
  <c r="AM32" i="20"/>
  <c r="AM79" i="20"/>
  <c r="AL61" i="20"/>
  <c r="AM80" i="20"/>
  <c r="AM49" i="20"/>
  <c r="AM116" i="20"/>
  <c r="AM65" i="20"/>
  <c r="AM87" i="20"/>
  <c r="AM52" i="20"/>
  <c r="AM64" i="20"/>
  <c r="AI46" i="20"/>
  <c r="AO46" i="20" s="1"/>
  <c r="AI61" i="20"/>
  <c r="AO61" i="20" s="1"/>
  <c r="AM108" i="20"/>
  <c r="AM76" i="20"/>
  <c r="AM45" i="20"/>
  <c r="AM60" i="20"/>
  <c r="AM82" i="20"/>
  <c r="AM48" i="20"/>
  <c r="AM107" i="20"/>
  <c r="AM93" i="20"/>
  <c r="AM59" i="20"/>
  <c r="AE80" i="20"/>
  <c r="AF80" i="20" s="1"/>
  <c r="AM102" i="20"/>
  <c r="AM71" i="20"/>
  <c r="AM90" i="20"/>
  <c r="AM44" i="20"/>
  <c r="AM106" i="20"/>
  <c r="AM89" i="20"/>
  <c r="AM55" i="20"/>
  <c r="AM99" i="20"/>
  <c r="AM67" i="20"/>
  <c r="AM38" i="20"/>
  <c r="AM51" i="20"/>
  <c r="AM73" i="20"/>
  <c r="AM40" i="20"/>
  <c r="AM114" i="20"/>
  <c r="AM105" i="20"/>
  <c r="AM85" i="20"/>
  <c r="AM75" i="20"/>
  <c r="AM63" i="20"/>
  <c r="AM34" i="20"/>
  <c r="AM47" i="20"/>
  <c r="AM36" i="20"/>
  <c r="AM113" i="20"/>
  <c r="AM104" i="20"/>
  <c r="AM53" i="20"/>
  <c r="AL98" i="20"/>
  <c r="AE114" i="20"/>
  <c r="AF114" i="20" s="1"/>
  <c r="AL86" i="20"/>
  <c r="AI35" i="20"/>
  <c r="AO35" i="20" s="1"/>
  <c r="AI98" i="20"/>
  <c r="AO98" i="20" s="1"/>
  <c r="AE107" i="20"/>
  <c r="AF107" i="20" s="1"/>
  <c r="AJ98" i="20"/>
  <c r="AI80" i="20"/>
  <c r="AO80" i="20" s="1"/>
  <c r="AL80" i="20"/>
  <c r="AL83" i="20"/>
  <c r="AH98" i="20"/>
  <c r="AH38" i="20"/>
  <c r="AJ38" i="20"/>
  <c r="AH86" i="20"/>
  <c r="AK95" i="18"/>
  <c r="AK110" i="18"/>
  <c r="AK98" i="18"/>
  <c r="AK89" i="18"/>
  <c r="AK80" i="18"/>
  <c r="AK74" i="18"/>
  <c r="AK65" i="18"/>
  <c r="AK58" i="18"/>
  <c r="AK49" i="18"/>
  <c r="AK36" i="18"/>
  <c r="AK33" i="18"/>
  <c r="AK64" i="18"/>
  <c r="AK61" i="18"/>
  <c r="AK48" i="18"/>
  <c r="AK45" i="18"/>
  <c r="AK32" i="18"/>
  <c r="AK106" i="18"/>
  <c r="AK100" i="18"/>
  <c r="AK94" i="18"/>
  <c r="AK91" i="18"/>
  <c r="AK88" i="18"/>
  <c r="AK82" i="18"/>
  <c r="AK76" i="18"/>
  <c r="AK70" i="18"/>
  <c r="AK67" i="18"/>
  <c r="AK54" i="18"/>
  <c r="AK51" i="18"/>
  <c r="AK38" i="18"/>
  <c r="AK35" i="18"/>
  <c r="AG107" i="18"/>
  <c r="AO107" i="18" s="1"/>
  <c r="AK107" i="18"/>
  <c r="AF101" i="18"/>
  <c r="AK101" i="18"/>
  <c r="AF77" i="18"/>
  <c r="AK77" i="18"/>
  <c r="AK115" i="18"/>
  <c r="AK112" i="18"/>
  <c r="AK109" i="18"/>
  <c r="AK103" i="18"/>
  <c r="AK90" i="18"/>
  <c r="AK85" i="18"/>
  <c r="AK79" i="18"/>
  <c r="AK60" i="18"/>
  <c r="AK57" i="18"/>
  <c r="AK44" i="18"/>
  <c r="AK41" i="18"/>
  <c r="AK108" i="18"/>
  <c r="AK102" i="18"/>
  <c r="AK96" i="18"/>
  <c r="AK84" i="18"/>
  <c r="AK66" i="18"/>
  <c r="AK63" i="18"/>
  <c r="AK50" i="18"/>
  <c r="AK47" i="18"/>
  <c r="AK40" i="18"/>
  <c r="AK34" i="18"/>
  <c r="AK31" i="18"/>
  <c r="AH83" i="18"/>
  <c r="AK83" i="18"/>
  <c r="AK114" i="18"/>
  <c r="AK99" i="18"/>
  <c r="AK93" i="18"/>
  <c r="AK78" i="18"/>
  <c r="AK75" i="18"/>
  <c r="AK72" i="18"/>
  <c r="AK69" i="18"/>
  <c r="AK56" i="18"/>
  <c r="AK53" i="18"/>
  <c r="AK46" i="18"/>
  <c r="AK37" i="18"/>
  <c r="AH113" i="18"/>
  <c r="AK113" i="18"/>
  <c r="AK111" i="18"/>
  <c r="AK92" i="18"/>
  <c r="AK68" i="18"/>
  <c r="AK62" i="18"/>
  <c r="AK59" i="18"/>
  <c r="AK52" i="18"/>
  <c r="AK43" i="18"/>
  <c r="AH39" i="18"/>
  <c r="AJ75" i="18"/>
  <c r="AC68" i="18"/>
  <c r="AD68" i="18" s="1"/>
  <c r="AC52" i="18"/>
  <c r="AD52" i="18" s="1"/>
  <c r="AJ55" i="18"/>
  <c r="AG55" i="18"/>
  <c r="AO55" i="18" s="1"/>
  <c r="AF55" i="18"/>
  <c r="AC45" i="18"/>
  <c r="AD45" i="18" s="1"/>
  <c r="AG39" i="18"/>
  <c r="AO39" i="18" s="1"/>
  <c r="AJ39" i="18"/>
  <c r="AF39" i="18"/>
  <c r="AJ23" i="20"/>
  <c r="AJ63" i="20"/>
  <c r="AK63" i="20" s="1"/>
  <c r="AJ54" i="20"/>
  <c r="AL26" i="20"/>
  <c r="AI22" i="20"/>
  <c r="AO22" i="20" s="1"/>
  <c r="AL28" i="20"/>
  <c r="AI108" i="20"/>
  <c r="AO108" i="20" s="1"/>
  <c r="AI79" i="20"/>
  <c r="AO79" i="20" s="1"/>
  <c r="AH73" i="20"/>
  <c r="AJ61" i="20"/>
  <c r="AK61" i="20" s="1"/>
  <c r="AJ73" i="20"/>
  <c r="AH47" i="20"/>
  <c r="AJ42" i="20"/>
  <c r="AJ31" i="20"/>
  <c r="AK31" i="20" s="1"/>
  <c r="AI28" i="20"/>
  <c r="AO28" i="20" s="1"/>
  <c r="AH114" i="20"/>
  <c r="AE31" i="20"/>
  <c r="AF31" i="20" s="1"/>
  <c r="AL23" i="20"/>
  <c r="AJ51" i="20"/>
  <c r="AI53" i="20"/>
  <c r="AO53" i="20" s="1"/>
  <c r="AH51" i="20"/>
  <c r="AI31" i="20"/>
  <c r="AO31" i="20" s="1"/>
  <c r="AJ32" i="20"/>
  <c r="AJ106" i="20"/>
  <c r="AK106" i="20" s="1"/>
  <c r="AE48" i="20"/>
  <c r="AF48" i="20" s="1"/>
  <c r="AL30" i="20"/>
  <c r="AJ24" i="20"/>
  <c r="AL19" i="20"/>
  <c r="AL92" i="20"/>
  <c r="AE76" i="20"/>
  <c r="AF76" i="20" s="1"/>
  <c r="AH67" i="20"/>
  <c r="AH24" i="20"/>
  <c r="AE116" i="20"/>
  <c r="AF116" i="20" s="1"/>
  <c r="AH65" i="20"/>
  <c r="AJ40" i="20"/>
  <c r="AI40" i="20"/>
  <c r="AO40" i="20" s="1"/>
  <c r="AJ93" i="18"/>
  <c r="AJ87" i="18"/>
  <c r="AJ69" i="18"/>
  <c r="AJ56" i="18"/>
  <c r="AF53" i="18"/>
  <c r="AG46" i="18"/>
  <c r="AO46" i="18" s="1"/>
  <c r="AJ32" i="18"/>
  <c r="AC73" i="18"/>
  <c r="AD73" i="18" s="1"/>
  <c r="AC51" i="18"/>
  <c r="AD51" i="18" s="1"/>
  <c r="AH111" i="18"/>
  <c r="AG97" i="18"/>
  <c r="AO97" i="18" s="1"/>
  <c r="AJ91" i="18"/>
  <c r="AJ73" i="18"/>
  <c r="AG70" i="18"/>
  <c r="AO70" i="18" s="1"/>
  <c r="AJ67" i="18"/>
  <c r="AG62" i="18"/>
  <c r="AO62" i="18" s="1"/>
  <c r="AH59" i="18"/>
  <c r="AJ54" i="18"/>
  <c r="AJ52" i="18"/>
  <c r="AF51" i="18"/>
  <c r="AJ38" i="18"/>
  <c r="AG35" i="18"/>
  <c r="AO35" i="18" s="1"/>
  <c r="AJ105" i="18"/>
  <c r="AJ81" i="18"/>
  <c r="AH61" i="18"/>
  <c r="AJ48" i="18"/>
  <c r="AJ45" i="18"/>
  <c r="AF105" i="18"/>
  <c r="AG53" i="18"/>
  <c r="AO53" i="18" s="1"/>
  <c r="AJ115" i="18"/>
  <c r="AJ109" i="18"/>
  <c r="AJ103" i="18"/>
  <c r="AH89" i="18"/>
  <c r="AJ85" i="18"/>
  <c r="AJ79" i="18"/>
  <c r="AF65" i="18"/>
  <c r="AJ58" i="18"/>
  <c r="AJ57" i="18"/>
  <c r="AJ49" i="18"/>
  <c r="AJ44" i="18"/>
  <c r="AJ41" i="18"/>
  <c r="AJ36" i="18"/>
  <c r="AF33" i="18"/>
  <c r="AH75" i="18"/>
  <c r="AJ113" i="18"/>
  <c r="AH107" i="18"/>
  <c r="AJ101" i="18"/>
  <c r="AJ95" i="18"/>
  <c r="AF83" i="18"/>
  <c r="AJ77" i="18"/>
  <c r="AJ71" i="18"/>
  <c r="AG66" i="18"/>
  <c r="AO66" i="18" s="1"/>
  <c r="AG47" i="18"/>
  <c r="AO47" i="18" s="1"/>
  <c r="AJ42" i="18"/>
  <c r="AJ34" i="18"/>
  <c r="AH69" i="18"/>
  <c r="AG37" i="18"/>
  <c r="AO37" i="18" s="1"/>
  <c r="AH46" i="18"/>
  <c r="AJ37" i="18"/>
  <c r="AJ46" i="18"/>
  <c r="AC40" i="18"/>
  <c r="AD40" i="18" s="1"/>
  <c r="AF75" i="18"/>
  <c r="AF69" i="18"/>
  <c r="AH93" i="18"/>
  <c r="AG69" i="18"/>
  <c r="AO69" i="18" s="1"/>
  <c r="AG61" i="18"/>
  <c r="AO61" i="18" s="1"/>
  <c r="AG45" i="18"/>
  <c r="AO45" i="18" s="1"/>
  <c r="AJ53" i="18"/>
  <c r="AF45" i="18"/>
  <c r="AC34" i="18"/>
  <c r="AD34" i="18" s="1"/>
  <c r="AG93" i="18"/>
  <c r="AO93" i="18" s="1"/>
  <c r="AU37" i="16"/>
  <c r="AU32" i="16" s="1"/>
  <c r="AI65" i="20"/>
  <c r="AO65" i="20" s="1"/>
  <c r="AI106" i="20"/>
  <c r="AO106" i="20" s="1"/>
  <c r="AJ79" i="20"/>
  <c r="AH79" i="20"/>
  <c r="AJ67" i="20"/>
  <c r="AJ55" i="20"/>
  <c r="AK55" i="20" s="1"/>
  <c r="AI47" i="20"/>
  <c r="AO47" i="20" s="1"/>
  <c r="AI73" i="20"/>
  <c r="AO73" i="20" s="1"/>
  <c r="AL63" i="20"/>
  <c r="AL55" i="20"/>
  <c r="AL53" i="20"/>
  <c r="AJ46" i="20"/>
  <c r="AJ30" i="20"/>
  <c r="AJ116" i="20"/>
  <c r="AK116" i="20" s="1"/>
  <c r="AJ108" i="20"/>
  <c r="AE37" i="20"/>
  <c r="AF37" i="20" s="1"/>
  <c r="AE27" i="20"/>
  <c r="AF27" i="20" s="1"/>
  <c r="AJ81" i="20"/>
  <c r="AI81" i="20"/>
  <c r="AO81" i="20" s="1"/>
  <c r="AI55" i="20"/>
  <c r="AO55" i="20" s="1"/>
  <c r="AI30" i="20"/>
  <c r="AO30" i="20" s="1"/>
  <c r="AE78" i="20"/>
  <c r="AF78" i="20" s="1"/>
  <c r="AH88" i="20"/>
  <c r="AK88" i="20" s="1"/>
  <c r="AL116" i="20"/>
  <c r="AI76" i="20"/>
  <c r="AO76" i="20" s="1"/>
  <c r="AH108" i="20"/>
  <c r="AI42" i="20"/>
  <c r="AO42" i="20" s="1"/>
  <c r="AJ65" i="20"/>
  <c r="AJ53" i="20"/>
  <c r="AK53" i="20" s="1"/>
  <c r="AI67" i="20"/>
  <c r="AO67" i="20" s="1"/>
  <c r="AI63" i="20"/>
  <c r="AO63" i="20" s="1"/>
  <c r="AH30" i="20"/>
  <c r="AE18" i="20"/>
  <c r="AF18" i="20" s="1"/>
  <c r="AE44" i="20"/>
  <c r="AF44" i="20" s="1"/>
  <c r="AE112" i="20"/>
  <c r="AF112" i="20" s="1"/>
  <c r="AE103" i="20"/>
  <c r="AF103" i="20" s="1"/>
  <c r="AE83" i="20"/>
  <c r="AF83" i="20" s="1"/>
  <c r="AE29" i="20"/>
  <c r="AF29" i="20" s="1"/>
  <c r="AL22" i="20"/>
  <c r="AL24" i="20"/>
  <c r="AL110" i="20"/>
  <c r="AJ47" i="20"/>
  <c r="AI57" i="20"/>
  <c r="AO57" i="20" s="1"/>
  <c r="AL69" i="20"/>
  <c r="AL57" i="20"/>
  <c r="AH34" i="20"/>
  <c r="AH26" i="20"/>
  <c r="AJ34" i="20"/>
  <c r="AJ26" i="20"/>
  <c r="AJ22" i="20"/>
  <c r="AE50" i="20"/>
  <c r="AF50" i="20" s="1"/>
  <c r="AI92" i="20"/>
  <c r="AO92" i="20" s="1"/>
  <c r="AJ110" i="20"/>
  <c r="AK110" i="20" s="1"/>
  <c r="AJ57" i="20"/>
  <c r="AJ49" i="20"/>
  <c r="AK49" i="20" s="1"/>
  <c r="AI34" i="20"/>
  <c r="AO34" i="20" s="1"/>
  <c r="AI24" i="20"/>
  <c r="AO24" i="20" s="1"/>
  <c r="AI49" i="20"/>
  <c r="AO49" i="20" s="1"/>
  <c r="AH50" i="20"/>
  <c r="AH92" i="20"/>
  <c r="AK92" i="20" s="1"/>
  <c r="AI45" i="20"/>
  <c r="AO45" i="20" s="1"/>
  <c r="AH57" i="20"/>
  <c r="AH45" i="20"/>
  <c r="AH40" i="20"/>
  <c r="AH22" i="20"/>
  <c r="AI26" i="20"/>
  <c r="AO26" i="20" s="1"/>
  <c r="AJ84" i="20"/>
  <c r="AE85" i="20"/>
  <c r="AF85" i="20" s="1"/>
  <c r="AE56" i="20"/>
  <c r="AF56" i="20" s="1"/>
  <c r="AE54" i="20"/>
  <c r="AF54" i="20" s="1"/>
  <c r="AE52" i="20"/>
  <c r="AF52" i="20" s="1"/>
  <c r="AH62" i="19"/>
  <c r="AL62" i="19" s="1"/>
  <c r="AH115" i="19"/>
  <c r="AL115" i="19" s="1"/>
  <c r="AD21" i="19"/>
  <c r="AE21" i="19" s="1"/>
  <c r="AI80" i="19"/>
  <c r="AG88" i="19"/>
  <c r="AJ88" i="19" s="1"/>
  <c r="AH108" i="19"/>
  <c r="AL108" i="19" s="1"/>
  <c r="AD85" i="19"/>
  <c r="AE85" i="19" s="1"/>
  <c r="AG62" i="19"/>
  <c r="AJ62" i="19" s="1"/>
  <c r="AH88" i="19"/>
  <c r="AL88" i="19" s="1"/>
  <c r="AH107" i="19"/>
  <c r="AL107" i="19" s="1"/>
  <c r="AH103" i="19"/>
  <c r="AL103" i="19" s="1"/>
  <c r="AH83" i="19"/>
  <c r="AL83" i="19" s="1"/>
  <c r="AD58" i="19"/>
  <c r="AE58" i="19" s="1"/>
  <c r="AG107" i="19"/>
  <c r="AJ107" i="19" s="1"/>
  <c r="AD53" i="19"/>
  <c r="AE53" i="19" s="1"/>
  <c r="AF89" i="18"/>
  <c r="AC83" i="18"/>
  <c r="AD83" i="18" s="1"/>
  <c r="AC77" i="18"/>
  <c r="AD77" i="18" s="1"/>
  <c r="AG115" i="18"/>
  <c r="AO115" i="18" s="1"/>
  <c r="AH55" i="18"/>
  <c r="AF41" i="18"/>
  <c r="AC114" i="18"/>
  <c r="AD114" i="18" s="1"/>
  <c r="AC60" i="18"/>
  <c r="AD60" i="18" s="1"/>
  <c r="AC56" i="18"/>
  <c r="AD56" i="18" s="1"/>
  <c r="AC48" i="18"/>
  <c r="AD48" i="18" s="1"/>
  <c r="AC44" i="18"/>
  <c r="AD44" i="18" s="1"/>
  <c r="AC36" i="18"/>
  <c r="AD36" i="18" s="1"/>
  <c r="AJ89" i="18"/>
  <c r="AH33" i="18"/>
  <c r="AF115" i="18"/>
  <c r="AF109" i="18"/>
  <c r="AH115" i="18"/>
  <c r="AH85" i="18"/>
  <c r="AH65" i="18"/>
  <c r="AG103" i="18"/>
  <c r="AO103" i="18" s="1"/>
  <c r="AF57" i="18"/>
  <c r="AF49" i="18"/>
  <c r="AC47" i="18"/>
  <c r="AD47" i="18" s="1"/>
  <c r="AC46" i="18"/>
  <c r="AD46" i="18" s="1"/>
  <c r="AE41" i="20"/>
  <c r="AF41" i="20" s="1"/>
  <c r="AE109" i="20"/>
  <c r="AF109" i="20" s="1"/>
  <c r="AE33" i="20"/>
  <c r="AF33" i="20" s="1"/>
  <c r="AE99" i="20"/>
  <c r="AF99" i="20" s="1"/>
  <c r="AE93" i="20"/>
  <c r="AF93" i="20" s="1"/>
  <c r="AE87" i="20"/>
  <c r="AF87" i="20" s="1"/>
  <c r="AE101" i="20"/>
  <c r="AF101" i="20" s="1"/>
  <c r="AE95" i="20"/>
  <c r="AF95" i="20" s="1"/>
  <c r="AD41" i="19"/>
  <c r="AE41" i="19" s="1"/>
  <c r="AC32" i="18"/>
  <c r="AD32" i="18" s="1"/>
  <c r="AC80" i="18"/>
  <c r="AD80" i="18" s="1"/>
  <c r="AC66" i="18"/>
  <c r="AD66" i="18" s="1"/>
  <c r="AC62" i="18"/>
  <c r="AD62" i="18" s="1"/>
  <c r="AU14" i="20"/>
  <c r="BB47" i="25"/>
  <c r="BB48" i="25" s="1"/>
  <c r="AX35" i="25"/>
  <c r="AH91" i="18"/>
  <c r="AG109" i="18"/>
  <c r="AO109" i="18" s="1"/>
  <c r="AG85" i="18"/>
  <c r="AO85" i="18" s="1"/>
  <c r="AC92" i="18"/>
  <c r="AD92" i="18" s="1"/>
  <c r="AC78" i="18"/>
  <c r="AD78" i="18" s="1"/>
  <c r="AC74" i="18"/>
  <c r="AD74" i="18" s="1"/>
  <c r="AC72" i="18"/>
  <c r="AD72" i="18" s="1"/>
  <c r="AH43" i="18"/>
  <c r="AC115" i="18"/>
  <c r="AD115" i="18" s="1"/>
  <c r="AF103" i="18"/>
  <c r="AF91" i="18"/>
  <c r="AH109" i="18"/>
  <c r="AG89" i="18"/>
  <c r="AO89" i="18" s="1"/>
  <c r="AH41" i="18"/>
  <c r="AG57" i="18"/>
  <c r="AO57" i="18" s="1"/>
  <c r="AG33" i="18"/>
  <c r="AO33" i="18" s="1"/>
  <c r="AJ59" i="18"/>
  <c r="AC113" i="18"/>
  <c r="AD113" i="18" s="1"/>
  <c r="AC107" i="18"/>
  <c r="AD107" i="18" s="1"/>
  <c r="AC103" i="18"/>
  <c r="AD103" i="18" s="1"/>
  <c r="AF85" i="18"/>
  <c r="AC79" i="18"/>
  <c r="AD79" i="18" s="1"/>
  <c r="AH103" i="18"/>
  <c r="AG91" i="18"/>
  <c r="AO91" i="18" s="1"/>
  <c r="AC110" i="18"/>
  <c r="AD110" i="18" s="1"/>
  <c r="AC108" i="18"/>
  <c r="AD108" i="18" s="1"/>
  <c r="AC104" i="18"/>
  <c r="AD104" i="18" s="1"/>
  <c r="AC102" i="18"/>
  <c r="AD102" i="18" s="1"/>
  <c r="AC96" i="18"/>
  <c r="AD96" i="18" s="1"/>
  <c r="AC94" i="18"/>
  <c r="AD94" i="18" s="1"/>
  <c r="AC88" i="18"/>
  <c r="AD88" i="18" s="1"/>
  <c r="AC86" i="18"/>
  <c r="AD86" i="18" s="1"/>
  <c r="AH105" i="18"/>
  <c r="AJ43" i="18"/>
  <c r="AH38" i="18"/>
  <c r="AF35" i="18"/>
  <c r="AJ65" i="18"/>
  <c r="AH71" i="18"/>
  <c r="AG99" i="18"/>
  <c r="AO99" i="18" s="1"/>
  <c r="AG65" i="18"/>
  <c r="AO65" i="18" s="1"/>
  <c r="AH51" i="18"/>
  <c r="AG51" i="18"/>
  <c r="AO51" i="18" s="1"/>
  <c r="AG43" i="18"/>
  <c r="AO43" i="18" s="1"/>
  <c r="AJ51" i="18"/>
  <c r="AC49" i="18"/>
  <c r="AD49" i="18" s="1"/>
  <c r="AF43" i="18"/>
  <c r="AC64" i="18"/>
  <c r="AD64" i="18" s="1"/>
  <c r="AF71" i="18"/>
  <c r="AC91" i="18"/>
  <c r="AD91" i="18" s="1"/>
  <c r="AH54" i="18"/>
  <c r="AJ83" i="18"/>
  <c r="AJ99" i="18"/>
  <c r="AC98" i="18"/>
  <c r="AD98" i="18" s="1"/>
  <c r="AC82" i="18"/>
  <c r="AD82" i="18" s="1"/>
  <c r="AC76" i="18"/>
  <c r="AD76" i="18" s="1"/>
  <c r="AC70" i="18"/>
  <c r="AD70" i="18" s="1"/>
  <c r="AC90" i="18"/>
  <c r="AD90" i="18" s="1"/>
  <c r="AF111" i="18"/>
  <c r="AF107" i="18"/>
  <c r="AF99" i="18"/>
  <c r="AF79" i="18"/>
  <c r="AF63" i="18"/>
  <c r="AI63" i="18" s="1"/>
  <c r="AH101" i="18"/>
  <c r="AH79" i="18"/>
  <c r="AH67" i="18"/>
  <c r="AG83" i="18"/>
  <c r="AO83" i="18" s="1"/>
  <c r="AG77" i="18"/>
  <c r="AO77" i="18" s="1"/>
  <c r="AG71" i="18"/>
  <c r="AO71" i="18" s="1"/>
  <c r="AG54" i="18"/>
  <c r="AO54" i="18" s="1"/>
  <c r="AG38" i="18"/>
  <c r="AO38" i="18" s="1"/>
  <c r="AH49" i="18"/>
  <c r="AG59" i="18"/>
  <c r="AO59" i="18" s="1"/>
  <c r="AG41" i="18"/>
  <c r="AO41" i="18" s="1"/>
  <c r="AJ33" i="18"/>
  <c r="AJ63" i="18"/>
  <c r="AJ107" i="18"/>
  <c r="AF93" i="18"/>
  <c r="AC111" i="18"/>
  <c r="AD111" i="18" s="1"/>
  <c r="AC99" i="18"/>
  <c r="AD99" i="18" s="1"/>
  <c r="AC75" i="18"/>
  <c r="AD75" i="18" s="1"/>
  <c r="AH99" i="18"/>
  <c r="AG79" i="18"/>
  <c r="AO79" i="18" s="1"/>
  <c r="AH57" i="18"/>
  <c r="AH35" i="18"/>
  <c r="AG49" i="18"/>
  <c r="AO49" i="18" s="1"/>
  <c r="AC100" i="18"/>
  <c r="AD100" i="18" s="1"/>
  <c r="AC58" i="18"/>
  <c r="AD58" i="18" s="1"/>
  <c r="AC50" i="18"/>
  <c r="AD50" i="18" s="1"/>
  <c r="AC42" i="18"/>
  <c r="AD42" i="18" s="1"/>
  <c r="AU13" i="18"/>
  <c r="AI26" i="18"/>
  <c r="AC54" i="18"/>
  <c r="AD54" i="18" s="1"/>
  <c r="AC38" i="18"/>
  <c r="AD38" i="18" s="1"/>
  <c r="AD26" i="19"/>
  <c r="AE26" i="19" s="1"/>
  <c r="AC112" i="18"/>
  <c r="AD112" i="18" s="1"/>
  <c r="AC106" i="18"/>
  <c r="AD106" i="18" s="1"/>
  <c r="AD33" i="19"/>
  <c r="AE33" i="19" s="1"/>
  <c r="AE57" i="20"/>
  <c r="AF57" i="20" s="1"/>
  <c r="AE75" i="20"/>
  <c r="AF75" i="20" s="1"/>
  <c r="AE72" i="20"/>
  <c r="AF72" i="20" s="1"/>
  <c r="AE111" i="20"/>
  <c r="AF111" i="20" s="1"/>
  <c r="AE91" i="20"/>
  <c r="AF91" i="20" s="1"/>
  <c r="AE90" i="20"/>
  <c r="AF90" i="20" s="1"/>
  <c r="AI102" i="20"/>
  <c r="AO102" i="20" s="1"/>
  <c r="AI78" i="20"/>
  <c r="AO78" i="20" s="1"/>
  <c r="AL102" i="20"/>
  <c r="AL96" i="20"/>
  <c r="AE74" i="20"/>
  <c r="AF74" i="20" s="1"/>
  <c r="AJ59" i="20"/>
  <c r="AK59" i="20" s="1"/>
  <c r="AH71" i="20"/>
  <c r="AH32" i="20"/>
  <c r="AJ78" i="20"/>
  <c r="AL44" i="20"/>
  <c r="AJ96" i="20"/>
  <c r="AI110" i="20"/>
  <c r="AO110" i="20" s="1"/>
  <c r="AK112" i="20"/>
  <c r="AL78" i="20"/>
  <c r="AI71" i="20"/>
  <c r="AO71" i="20" s="1"/>
  <c r="AI59" i="20"/>
  <c r="AO59" i="20" s="1"/>
  <c r="AI51" i="20"/>
  <c r="AO51" i="20" s="1"/>
  <c r="AL59" i="20"/>
  <c r="AL49" i="20"/>
  <c r="AH78" i="20"/>
  <c r="AH42" i="20"/>
  <c r="AL42" i="20"/>
  <c r="AL32" i="20"/>
  <c r="AL81" i="20"/>
  <c r="AJ71" i="20"/>
  <c r="AI116" i="20"/>
  <c r="AO116" i="20" s="1"/>
  <c r="AH102" i="20"/>
  <c r="AK102" i="20" s="1"/>
  <c r="AH81" i="20"/>
  <c r="AJ69" i="20"/>
  <c r="AK69" i="20" s="1"/>
  <c r="AH36" i="20"/>
  <c r="AJ36" i="20"/>
  <c r="AI36" i="20"/>
  <c r="AO36" i="20" s="1"/>
  <c r="AJ45" i="20"/>
  <c r="AE98" i="20"/>
  <c r="AF98" i="20" s="1"/>
  <c r="AE39" i="20"/>
  <c r="AF39" i="20" s="1"/>
  <c r="AL104" i="20"/>
  <c r="AI112" i="20"/>
  <c r="AO112" i="20" s="1"/>
  <c r="AI96" i="20"/>
  <c r="AO96" i="20" s="1"/>
  <c r="AH96" i="20"/>
  <c r="AL114" i="20"/>
  <c r="AI62" i="20"/>
  <c r="AO62" i="20" s="1"/>
  <c r="AI52" i="20"/>
  <c r="AO52" i="20" s="1"/>
  <c r="AJ62" i="20"/>
  <c r="AJ60" i="20"/>
  <c r="AE96" i="20"/>
  <c r="AF96" i="20" s="1"/>
  <c r="AI113" i="20"/>
  <c r="AO113" i="20" s="1"/>
  <c r="AJ76" i="20"/>
  <c r="AK76" i="20" s="1"/>
  <c r="AL82" i="20"/>
  <c r="AE46" i="20"/>
  <c r="AF46" i="20" s="1"/>
  <c r="AE42" i="20"/>
  <c r="AF42" i="20" s="1"/>
  <c r="AH112" i="19"/>
  <c r="AL112" i="19" s="1"/>
  <c r="AG112" i="19"/>
  <c r="AJ112" i="19" s="1"/>
  <c r="AD92" i="19"/>
  <c r="AE92" i="19" s="1"/>
  <c r="AD59" i="19"/>
  <c r="AE59" i="19" s="1"/>
  <c r="AH24" i="19"/>
  <c r="AL24" i="19" s="1"/>
  <c r="AG103" i="19"/>
  <c r="AJ103" i="19" s="1"/>
  <c r="AH100" i="19"/>
  <c r="AL100" i="19" s="1"/>
  <c r="AD108" i="19"/>
  <c r="AE108" i="19" s="1"/>
  <c r="AD75" i="19"/>
  <c r="AE75" i="19" s="1"/>
  <c r="AG85" i="19"/>
  <c r="AJ85" i="19" s="1"/>
  <c r="AH18" i="19"/>
  <c r="AL18" i="19" s="1"/>
  <c r="AG100" i="19"/>
  <c r="AJ100" i="19" s="1"/>
  <c r="AG113" i="19"/>
  <c r="AJ113" i="19" s="1"/>
  <c r="AD42" i="19"/>
  <c r="AE42" i="19" s="1"/>
  <c r="AD79" i="19"/>
  <c r="AE79" i="19" s="1"/>
  <c r="AD61" i="19"/>
  <c r="AE61" i="19" s="1"/>
  <c r="AH77" i="18"/>
  <c r="AG111" i="18"/>
  <c r="AO111" i="18" s="1"/>
  <c r="AG105" i="18"/>
  <c r="AO105" i="18" s="1"/>
  <c r="AG101" i="18"/>
  <c r="AO101" i="18" s="1"/>
  <c r="AH53" i="18"/>
  <c r="AH45" i="18"/>
  <c r="AH37" i="18"/>
  <c r="AF59" i="18"/>
  <c r="AF37" i="18"/>
  <c r="AJ111" i="18"/>
  <c r="AC95" i="18"/>
  <c r="AD95" i="18" s="1"/>
  <c r="AI19" i="18"/>
  <c r="AI24" i="18"/>
  <c r="AI25" i="18"/>
  <c r="AF113" i="18"/>
  <c r="AF97" i="18"/>
  <c r="AC89" i="18"/>
  <c r="AD89" i="18" s="1"/>
  <c r="AH73" i="18"/>
  <c r="AG113" i="18"/>
  <c r="AO113" i="18" s="1"/>
  <c r="AG56" i="18"/>
  <c r="AO56" i="18" s="1"/>
  <c r="AG48" i="18"/>
  <c r="AO48" i="18" s="1"/>
  <c r="AG40" i="18"/>
  <c r="AO40" i="18" s="1"/>
  <c r="AH56" i="18"/>
  <c r="AH40" i="18"/>
  <c r="AC97" i="18"/>
  <c r="AD97" i="18" s="1"/>
  <c r="AF73" i="18"/>
  <c r="AC71" i="18"/>
  <c r="AD71" i="18" s="1"/>
  <c r="AG73" i="18"/>
  <c r="AO73" i="18" s="1"/>
  <c r="AG34" i="18"/>
  <c r="AO34" i="18" s="1"/>
  <c r="AC31" i="18"/>
  <c r="AD31" i="18" s="1"/>
  <c r="AC93" i="18"/>
  <c r="AD93" i="18" s="1"/>
  <c r="AC57" i="18"/>
  <c r="AD57" i="18" s="1"/>
  <c r="AC55" i="18"/>
  <c r="AD55" i="18" s="1"/>
  <c r="AC53" i="18"/>
  <c r="AD53" i="18" s="1"/>
  <c r="AC41" i="18"/>
  <c r="AD41" i="18" s="1"/>
  <c r="AC39" i="18"/>
  <c r="AD39" i="18" s="1"/>
  <c r="AC37" i="18"/>
  <c r="AD37" i="18" s="1"/>
  <c r="AH48" i="18"/>
  <c r="AI94" i="20"/>
  <c r="AO94" i="20" s="1"/>
  <c r="AJ94" i="20"/>
  <c r="AH94" i="20"/>
  <c r="AJ114" i="20"/>
  <c r="AH100" i="20"/>
  <c r="AH84" i="20"/>
  <c r="AE73" i="20"/>
  <c r="AF73" i="20" s="1"/>
  <c r="AI44" i="20"/>
  <c r="AO44" i="20" s="1"/>
  <c r="AH92" i="19"/>
  <c r="AL92" i="19" s="1"/>
  <c r="AH111" i="19"/>
  <c r="AL111" i="19" s="1"/>
  <c r="AD62" i="19"/>
  <c r="AE62" i="19" s="1"/>
  <c r="AD51" i="19"/>
  <c r="AE51" i="19" s="1"/>
  <c r="AD34" i="19"/>
  <c r="AE34" i="19" s="1"/>
  <c r="AH50" i="19"/>
  <c r="AL50" i="19" s="1"/>
  <c r="AC81" i="18"/>
  <c r="AD81" i="18" s="1"/>
  <c r="AG26" i="19"/>
  <c r="AJ26" i="19" s="1"/>
  <c r="AG50" i="18"/>
  <c r="AO50" i="18" s="1"/>
  <c r="AC43" i="18"/>
  <c r="AD43" i="18" s="1"/>
  <c r="AG20" i="18"/>
  <c r="AO20" i="18" s="1"/>
  <c r="AI31" i="18"/>
  <c r="AI30" i="18"/>
  <c r="AI28" i="18"/>
  <c r="AC92" i="11"/>
  <c r="AH44" i="20"/>
  <c r="AK44" i="20" s="1"/>
  <c r="AE104" i="20"/>
  <c r="AF104" i="20" s="1"/>
  <c r="AE88" i="20"/>
  <c r="AF88" i="20" s="1"/>
  <c r="AI84" i="20"/>
  <c r="AO84" i="20" s="1"/>
  <c r="AJ86" i="20"/>
  <c r="AE67" i="20"/>
  <c r="AF67" i="20" s="1"/>
  <c r="AH22" i="19"/>
  <c r="AL22" i="19" s="1"/>
  <c r="AC59" i="18"/>
  <c r="AD59" i="18" s="1"/>
  <c r="AK80" i="20"/>
  <c r="AI104" i="20"/>
  <c r="AO104" i="20" s="1"/>
  <c r="AI100" i="20"/>
  <c r="AO100" i="20" s="1"/>
  <c r="AI86" i="20"/>
  <c r="AO86" i="20" s="1"/>
  <c r="AI82" i="20"/>
  <c r="AO82" i="20" s="1"/>
  <c r="AE97" i="20"/>
  <c r="AF97" i="20" s="1"/>
  <c r="AH104" i="20"/>
  <c r="AK104" i="20" s="1"/>
  <c r="AH82" i="20"/>
  <c r="AK82" i="20" s="1"/>
  <c r="AL84" i="20"/>
  <c r="AE65" i="20"/>
  <c r="AF65" i="20" s="1"/>
  <c r="AI60" i="20"/>
  <c r="AO60" i="20" s="1"/>
  <c r="AJ52" i="20"/>
  <c r="AH113" i="19"/>
  <c r="AL113" i="19" s="1"/>
  <c r="AD67" i="19"/>
  <c r="AE67" i="19" s="1"/>
  <c r="AG50" i="19"/>
  <c r="AJ50" i="19" s="1"/>
  <c r="AG83" i="19"/>
  <c r="AJ83" i="19" s="1"/>
  <c r="AG25" i="19"/>
  <c r="AJ25" i="19" s="1"/>
  <c r="AH26" i="19"/>
  <c r="AL26" i="19" s="1"/>
  <c r="AI29" i="18"/>
  <c r="AH50" i="18"/>
  <c r="AH34" i="18"/>
  <c r="AG99" i="19"/>
  <c r="AJ99" i="19" s="1"/>
  <c r="AF34" i="18"/>
  <c r="AG111" i="19"/>
  <c r="AJ111" i="19" s="1"/>
  <c r="AH85" i="19"/>
  <c r="AL85" i="19" s="1"/>
  <c r="AJ26" i="18"/>
  <c r="AI50" i="20"/>
  <c r="AO50" i="20" s="1"/>
  <c r="AD100" i="19"/>
  <c r="AE100" i="19" s="1"/>
  <c r="AD38" i="19"/>
  <c r="AE38" i="19" s="1"/>
  <c r="AH58" i="18"/>
  <c r="AE20" i="20"/>
  <c r="AF20" i="20" s="1"/>
  <c r="AD22" i="19"/>
  <c r="AE22" i="19" s="1"/>
  <c r="AC101" i="18"/>
  <c r="AD101" i="18" s="1"/>
  <c r="AG58" i="18"/>
  <c r="AO58" i="18" s="1"/>
  <c r="AG42" i="18"/>
  <c r="AO42" i="18" s="1"/>
  <c r="AC35" i="18"/>
  <c r="AD35" i="18" s="1"/>
  <c r="AC33" i="18"/>
  <c r="AD33" i="18" s="1"/>
  <c r="AH105" i="19"/>
  <c r="AL105" i="19" s="1"/>
  <c r="AG22" i="19"/>
  <c r="AJ22" i="19" s="1"/>
  <c r="AC17" i="18"/>
  <c r="AD17" i="18" s="1"/>
  <c r="AH42" i="18"/>
  <c r="AF32" i="18"/>
  <c r="AJ25" i="17"/>
  <c r="AD20" i="19"/>
  <c r="AE20" i="19" s="1"/>
  <c r="AE61" i="20"/>
  <c r="AF61" i="20" s="1"/>
  <c r="AE59" i="20"/>
  <c r="AF59" i="20" s="1"/>
  <c r="AD55" i="19"/>
  <c r="AE55" i="19" s="1"/>
  <c r="AE108" i="20"/>
  <c r="AF108" i="20" s="1"/>
  <c r="AD95" i="19"/>
  <c r="AE95" i="19" s="1"/>
  <c r="AD87" i="19"/>
  <c r="AE87" i="19" s="1"/>
  <c r="AE23" i="20"/>
  <c r="AF23" i="20" s="1"/>
  <c r="AE62" i="20"/>
  <c r="AF62" i="20" s="1"/>
  <c r="AD83" i="19"/>
  <c r="AE83" i="19" s="1"/>
  <c r="AD47" i="19"/>
  <c r="AE47" i="19" s="1"/>
  <c r="AR17" i="19"/>
  <c r="AD63" i="19"/>
  <c r="AE63" i="19" s="1"/>
  <c r="AD39" i="19"/>
  <c r="AE39" i="19" s="1"/>
  <c r="AI23" i="18"/>
  <c r="AE105" i="20"/>
  <c r="AF105" i="20" s="1"/>
  <c r="AI43" i="20"/>
  <c r="AO43" i="20" s="1"/>
  <c r="AH43" i="20"/>
  <c r="AG105" i="19"/>
  <c r="AJ105" i="19" s="1"/>
  <c r="AG116" i="19"/>
  <c r="AJ116" i="19" s="1"/>
  <c r="AG108" i="19"/>
  <c r="AJ108" i="19" s="1"/>
  <c r="AG69" i="19"/>
  <c r="AJ69" i="19" s="1"/>
  <c r="AC109" i="18"/>
  <c r="AD109" i="18" s="1"/>
  <c r="AF95" i="18"/>
  <c r="AF87" i="18"/>
  <c r="AC85" i="18"/>
  <c r="AD85" i="18" s="1"/>
  <c r="AD43" i="19"/>
  <c r="AE43" i="19" s="1"/>
  <c r="AG95" i="18"/>
  <c r="AO95" i="18" s="1"/>
  <c r="AG87" i="18"/>
  <c r="AO87" i="18" s="1"/>
  <c r="AG81" i="18"/>
  <c r="AO81" i="18" s="1"/>
  <c r="AI17" i="18"/>
  <c r="AH32" i="18"/>
  <c r="AI90" i="20"/>
  <c r="AO90" i="20" s="1"/>
  <c r="AH90" i="20"/>
  <c r="AK90" i="20" s="1"/>
  <c r="AH116" i="19"/>
  <c r="AL116" i="19" s="1"/>
  <c r="AD113" i="19"/>
  <c r="AE113" i="19" s="1"/>
  <c r="AG104" i="19"/>
  <c r="AJ104" i="19" s="1"/>
  <c r="AH69" i="19"/>
  <c r="AL69" i="19" s="1"/>
  <c r="AD50" i="19"/>
  <c r="AE50" i="19" s="1"/>
  <c r="AG46" i="19"/>
  <c r="AJ46" i="19" s="1"/>
  <c r="AH33" i="19"/>
  <c r="AL33" i="19" s="1"/>
  <c r="AJ65" i="19"/>
  <c r="AF81" i="18"/>
  <c r="AH81" i="18"/>
  <c r="AG52" i="18"/>
  <c r="AO52" i="18" s="1"/>
  <c r="AG44" i="18"/>
  <c r="AO44" i="18" s="1"/>
  <c r="AG36" i="18"/>
  <c r="AO36" i="18" s="1"/>
  <c r="AG32" i="18"/>
  <c r="AO32" i="18" s="1"/>
  <c r="AI47" i="18"/>
  <c r="AH52" i="18"/>
  <c r="AH44" i="18"/>
  <c r="AH36" i="18"/>
  <c r="AL90" i="20"/>
  <c r="AI64" i="20"/>
  <c r="AO64" i="20" s="1"/>
  <c r="AI58" i="20"/>
  <c r="AO58" i="20" s="1"/>
  <c r="AI48" i="20"/>
  <c r="AO48" i="20" s="1"/>
  <c r="AJ64" i="20"/>
  <c r="AJ58" i="20"/>
  <c r="AH104" i="19"/>
  <c r="AL104" i="19" s="1"/>
  <c r="AD77" i="19"/>
  <c r="AE77" i="19" s="1"/>
  <c r="AG58" i="19"/>
  <c r="AJ58" i="19" s="1"/>
  <c r="AD80" i="19"/>
  <c r="AE80" i="19" s="1"/>
  <c r="AH58" i="19"/>
  <c r="AL58" i="19" s="1"/>
  <c r="AH46" i="19"/>
  <c r="AL46" i="19" s="1"/>
  <c r="AC105" i="18"/>
  <c r="AD105" i="18" s="1"/>
  <c r="AH95" i="18"/>
  <c r="AH87" i="18"/>
  <c r="AI21" i="18"/>
  <c r="AJ100" i="20"/>
  <c r="AI56" i="20"/>
  <c r="AO56" i="20" s="1"/>
  <c r="AE51" i="20"/>
  <c r="AF51" i="20" s="1"/>
  <c r="AE49" i="20"/>
  <c r="AF49" i="20" s="1"/>
  <c r="AE47" i="20"/>
  <c r="AF47" i="20" s="1"/>
  <c r="AE45" i="20"/>
  <c r="AF45" i="20" s="1"/>
  <c r="AE43" i="20"/>
  <c r="AF43" i="20" s="1"/>
  <c r="AH86" i="19"/>
  <c r="AL86" i="19" s="1"/>
  <c r="AD18" i="19"/>
  <c r="AE18" i="19" s="1"/>
  <c r="AG16" i="18"/>
  <c r="AO16" i="18" s="1"/>
  <c r="AO14" i="18" s="1"/>
  <c r="AO13" i="18" s="1"/>
  <c r="AI27" i="18"/>
  <c r="AD72" i="19"/>
  <c r="AE72" i="19" s="1"/>
  <c r="AH47" i="19"/>
  <c r="AL47" i="19" s="1"/>
  <c r="AE35" i="20"/>
  <c r="AF35" i="20" s="1"/>
  <c r="AE89" i="20"/>
  <c r="AF89" i="20" s="1"/>
  <c r="AI107" i="20"/>
  <c r="AO107" i="20" s="1"/>
  <c r="AJ107" i="20"/>
  <c r="AJ29" i="20"/>
  <c r="AJ27" i="20"/>
  <c r="AJ25" i="20"/>
  <c r="AD71" i="19"/>
  <c r="AE71" i="19" s="1"/>
  <c r="AH90" i="19"/>
  <c r="AL90" i="19" s="1"/>
  <c r="AH59" i="19"/>
  <c r="AL59" i="19" s="1"/>
  <c r="AE86" i="20"/>
  <c r="AF86" i="20" s="1"/>
  <c r="AJ43" i="20"/>
  <c r="AJ56" i="20"/>
  <c r="AH41" i="19"/>
  <c r="AL41" i="19" s="1"/>
  <c r="AI67" i="19"/>
  <c r="AJ67" i="19" s="1"/>
  <c r="AI63" i="19"/>
  <c r="AJ63" i="19" s="1"/>
  <c r="AI51" i="19"/>
  <c r="AD102" i="19"/>
  <c r="AE102" i="19" s="1"/>
  <c r="AH51" i="19"/>
  <c r="AL51" i="19" s="1"/>
  <c r="AE58" i="20"/>
  <c r="AF58" i="20" s="1"/>
  <c r="AD114" i="19"/>
  <c r="AE114" i="19" s="1"/>
  <c r="AD49" i="19"/>
  <c r="AE49" i="19" s="1"/>
  <c r="AH64" i="20"/>
  <c r="AD115" i="19"/>
  <c r="AE115" i="19" s="1"/>
  <c r="AG79" i="19"/>
  <c r="AI111" i="20"/>
  <c r="AO111" i="20" s="1"/>
  <c r="AI103" i="20"/>
  <c r="AO103" i="20" s="1"/>
  <c r="AI25" i="20"/>
  <c r="AO25" i="20" s="1"/>
  <c r="AH102" i="19"/>
  <c r="AL102" i="19" s="1"/>
  <c r="AI78" i="19"/>
  <c r="AJ89" i="19"/>
  <c r="AI28" i="19"/>
  <c r="AD23" i="19"/>
  <c r="AE23" i="19" s="1"/>
  <c r="AE84" i="20"/>
  <c r="AF84" i="20" s="1"/>
  <c r="AF20" i="18"/>
  <c r="AI20" i="18" s="1"/>
  <c r="AJ20" i="18"/>
  <c r="BA48" i="25"/>
  <c r="AH105" i="20"/>
  <c r="AI109" i="20"/>
  <c r="AO109" i="20" s="1"/>
  <c r="AJ72" i="20"/>
  <c r="AI27" i="20"/>
  <c r="AO27" i="20" s="1"/>
  <c r="AE17" i="20"/>
  <c r="AF17" i="20" s="1"/>
  <c r="AH78" i="19"/>
  <c r="AL78" i="19" s="1"/>
  <c r="AI90" i="19"/>
  <c r="AJ90" i="19" s="1"/>
  <c r="AH67" i="19"/>
  <c r="AL67" i="19" s="1"/>
  <c r="AE94" i="20"/>
  <c r="AF94" i="20" s="1"/>
  <c r="AH60" i="20"/>
  <c r="AD65" i="19"/>
  <c r="AE65" i="19" s="1"/>
  <c r="AI79" i="19"/>
  <c r="AD69" i="19"/>
  <c r="AE69" i="19" s="1"/>
  <c r="AG57" i="19"/>
  <c r="AJ57" i="19" s="1"/>
  <c r="AI68" i="20"/>
  <c r="AO68" i="20" s="1"/>
  <c r="AJ68" i="20"/>
  <c r="AI29" i="20"/>
  <c r="AO29" i="20" s="1"/>
  <c r="AD105" i="19"/>
  <c r="AE105" i="19" s="1"/>
  <c r="AG84" i="19"/>
  <c r="AI75" i="19"/>
  <c r="AE68" i="20"/>
  <c r="AF68" i="20" s="1"/>
  <c r="AH22" i="18"/>
  <c r="AI22" i="18" s="1"/>
  <c r="AJ22" i="18"/>
  <c r="AI105" i="20"/>
  <c r="AO105" i="20" s="1"/>
  <c r="AJ105" i="20"/>
  <c r="AI89" i="20"/>
  <c r="AO89" i="20" s="1"/>
  <c r="AJ89" i="20"/>
  <c r="AI95" i="20"/>
  <c r="AO95" i="20" s="1"/>
  <c r="AE69" i="20"/>
  <c r="AF69" i="20" s="1"/>
  <c r="AE63" i="20"/>
  <c r="AF63" i="20" s="1"/>
  <c r="AE55" i="20"/>
  <c r="AF55" i="20" s="1"/>
  <c r="AJ75" i="20"/>
  <c r="AH75" i="20"/>
  <c r="AE19" i="20"/>
  <c r="AF19" i="20" s="1"/>
  <c r="AG81" i="19"/>
  <c r="AJ81" i="19" s="1"/>
  <c r="AD70" i="19"/>
  <c r="AE70" i="19" s="1"/>
  <c r="AI55" i="19"/>
  <c r="AH63" i="19"/>
  <c r="AL63" i="19" s="1"/>
  <c r="AI31" i="19"/>
  <c r="AH52" i="20"/>
  <c r="AE66" i="20"/>
  <c r="AF66" i="20" s="1"/>
  <c r="AH58" i="20"/>
  <c r="AE110" i="20"/>
  <c r="AF110" i="20" s="1"/>
  <c r="AD91" i="19"/>
  <c r="AE91" i="19" s="1"/>
  <c r="AD57" i="19"/>
  <c r="AE57" i="19" s="1"/>
  <c r="AE102" i="20"/>
  <c r="AF102" i="20" s="1"/>
  <c r="AH23" i="20"/>
  <c r="AD24" i="19"/>
  <c r="AE24" i="19" s="1"/>
  <c r="AF58" i="18"/>
  <c r="AF54" i="18"/>
  <c r="AF50" i="18"/>
  <c r="AF46" i="18"/>
  <c r="AF42" i="18"/>
  <c r="AF38" i="18"/>
  <c r="AH62" i="20"/>
  <c r="AD101" i="19"/>
  <c r="AE101" i="19" s="1"/>
  <c r="AG55" i="19"/>
  <c r="AJ48" i="20"/>
  <c r="AK48" i="20" s="1"/>
  <c r="AL48" i="20"/>
  <c r="AJ113" i="20"/>
  <c r="AI97" i="20"/>
  <c r="AO97" i="20" s="1"/>
  <c r="AJ97" i="20"/>
  <c r="AI91" i="20"/>
  <c r="AO91" i="20" s="1"/>
  <c r="AJ91" i="20"/>
  <c r="AI93" i="20"/>
  <c r="AO93" i="20" s="1"/>
  <c r="AE71" i="20"/>
  <c r="AF71" i="20" s="1"/>
  <c r="AE53" i="20"/>
  <c r="AF53" i="20" s="1"/>
  <c r="AI75" i="20"/>
  <c r="AO75" i="20" s="1"/>
  <c r="AD97" i="19"/>
  <c r="AE97" i="19" s="1"/>
  <c r="AH81" i="19"/>
  <c r="AL81" i="19" s="1"/>
  <c r="AG78" i="19"/>
  <c r="AI59" i="19"/>
  <c r="AJ59" i="19" s="1"/>
  <c r="AH75" i="19"/>
  <c r="AL75" i="19" s="1"/>
  <c r="AG75" i="19"/>
  <c r="AG31" i="19"/>
  <c r="AD35" i="19"/>
  <c r="AE35" i="19" s="1"/>
  <c r="AI20" i="19"/>
  <c r="AE100" i="20"/>
  <c r="AF100" i="20" s="1"/>
  <c r="AE60" i="20"/>
  <c r="AF60" i="20" s="1"/>
  <c r="AE92" i="20"/>
  <c r="AF92" i="20" s="1"/>
  <c r="AE64" i="20"/>
  <c r="AF64" i="20" s="1"/>
  <c r="AE25" i="20"/>
  <c r="AF25" i="20" s="1"/>
  <c r="AF56" i="18"/>
  <c r="AF52" i="18"/>
  <c r="AF48" i="18"/>
  <c r="AF44" i="18"/>
  <c r="AF40" i="18"/>
  <c r="AF36" i="18"/>
  <c r="AH46" i="20"/>
  <c r="AG115" i="19"/>
  <c r="AJ115" i="19" s="1"/>
  <c r="AH97" i="20"/>
  <c r="AH89" i="20"/>
  <c r="AE79" i="20"/>
  <c r="AF79" i="20" s="1"/>
  <c r="AH17" i="20"/>
  <c r="AD117" i="19"/>
  <c r="AE117" i="19" s="1"/>
  <c r="AD109" i="19"/>
  <c r="AE109" i="19" s="1"/>
  <c r="AD93" i="19"/>
  <c r="AE93" i="19" s="1"/>
  <c r="AD89" i="19"/>
  <c r="AE89" i="19" s="1"/>
  <c r="AJ86" i="19"/>
  <c r="AJ50" i="20"/>
  <c r="AL50" i="20"/>
  <c r="AU21" i="16"/>
  <c r="AU12" i="16" s="1"/>
  <c r="AL115" i="20"/>
  <c r="AH115" i="20"/>
  <c r="AI83" i="20"/>
  <c r="AO83" i="20" s="1"/>
  <c r="AI99" i="20"/>
  <c r="AO99" i="20" s="1"/>
  <c r="AH111" i="20"/>
  <c r="AL111" i="20"/>
  <c r="AH95" i="20"/>
  <c r="AL95" i="20"/>
  <c r="AI70" i="20"/>
  <c r="AO70" i="20" s="1"/>
  <c r="AI54" i="20"/>
  <c r="AO54" i="20" s="1"/>
  <c r="AL66" i="20"/>
  <c r="AH66" i="20"/>
  <c r="AL41" i="20"/>
  <c r="AI41" i="20"/>
  <c r="AO41" i="20" s="1"/>
  <c r="AH41" i="20"/>
  <c r="AL39" i="20"/>
  <c r="AH39" i="20"/>
  <c r="AL37" i="20"/>
  <c r="AH37" i="20"/>
  <c r="AL35" i="20"/>
  <c r="AH35" i="20"/>
  <c r="AL33" i="20"/>
  <c r="AH33" i="20"/>
  <c r="AJ41" i="20"/>
  <c r="AI37" i="20"/>
  <c r="AO37" i="20" s="1"/>
  <c r="AI33" i="20"/>
  <c r="AO33" i="20" s="1"/>
  <c r="AI21" i="20"/>
  <c r="AO21" i="20" s="1"/>
  <c r="AI17" i="20"/>
  <c r="AO17" i="20" s="1"/>
  <c r="AD110" i="19"/>
  <c r="AE110" i="19" s="1"/>
  <c r="AH19" i="20"/>
  <c r="AL18" i="20"/>
  <c r="AH20" i="20"/>
  <c r="AH114" i="19"/>
  <c r="AL114" i="19" s="1"/>
  <c r="AD94" i="19"/>
  <c r="AE94" i="19" s="1"/>
  <c r="AG72" i="19"/>
  <c r="AG56" i="19"/>
  <c r="AH106" i="19"/>
  <c r="AL106" i="19" s="1"/>
  <c r="AD98" i="19"/>
  <c r="AE98" i="19" s="1"/>
  <c r="AH72" i="19"/>
  <c r="AL72" i="19" s="1"/>
  <c r="AD106" i="19"/>
  <c r="AE106" i="19" s="1"/>
  <c r="AG71" i="19"/>
  <c r="AG47" i="19"/>
  <c r="AJ47" i="19" s="1"/>
  <c r="AG37" i="19"/>
  <c r="AG29" i="19"/>
  <c r="AI76" i="19"/>
  <c r="AJ114" i="18"/>
  <c r="AF114" i="18"/>
  <c r="AJ112" i="18"/>
  <c r="AF112" i="18"/>
  <c r="AJ110" i="18"/>
  <c r="AF110" i="18"/>
  <c r="AJ108" i="18"/>
  <c r="AF108" i="18"/>
  <c r="AJ106" i="18"/>
  <c r="AF106" i="18"/>
  <c r="AJ104" i="18"/>
  <c r="AF104" i="18"/>
  <c r="AJ102" i="18"/>
  <c r="AF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J74" i="18"/>
  <c r="AF74" i="18"/>
  <c r="AJ72" i="18"/>
  <c r="AF72" i="18"/>
  <c r="AJ70" i="18"/>
  <c r="AF70" i="18"/>
  <c r="AJ68" i="18"/>
  <c r="AF68" i="18"/>
  <c r="AJ66" i="18"/>
  <c r="AF66" i="18"/>
  <c r="AJ64" i="18"/>
  <c r="AF64" i="18"/>
  <c r="AJ62" i="18"/>
  <c r="AF62" i="18"/>
  <c r="AJ60" i="18"/>
  <c r="AF60" i="18"/>
  <c r="AG68" i="18"/>
  <c r="AO68" i="18" s="1"/>
  <c r="AG64" i="18"/>
  <c r="AO64" i="18" s="1"/>
  <c r="AG60" i="18"/>
  <c r="AO60" i="18" s="1"/>
  <c r="AI48" i="19"/>
  <c r="AG39" i="19"/>
  <c r="AG23" i="19"/>
  <c r="AG35" i="19"/>
  <c r="AH28" i="19"/>
  <c r="AL28" i="19" s="1"/>
  <c r="AH43" i="19"/>
  <c r="AL43" i="19" s="1"/>
  <c r="AI19" i="19"/>
  <c r="AJ19" i="19" s="1"/>
  <c r="AJ18" i="18"/>
  <c r="AF18" i="18"/>
  <c r="AL109" i="20"/>
  <c r="AI101" i="20"/>
  <c r="AO101" i="20" s="1"/>
  <c r="AL93" i="20"/>
  <c r="AI85" i="20"/>
  <c r="AO85" i="20" s="1"/>
  <c r="AH103" i="20"/>
  <c r="AL103" i="20"/>
  <c r="AJ115" i="20"/>
  <c r="AE113" i="20"/>
  <c r="AF113" i="20" s="1"/>
  <c r="AH113" i="20"/>
  <c r="AJ99" i="20"/>
  <c r="AH107" i="20"/>
  <c r="AH99" i="20"/>
  <c r="AH91" i="20"/>
  <c r="AH83" i="20"/>
  <c r="AJ111" i="20"/>
  <c r="AJ95" i="20"/>
  <c r="AE77" i="20"/>
  <c r="AF77" i="20" s="1"/>
  <c r="AH77" i="20"/>
  <c r="AJ70" i="20"/>
  <c r="AL68" i="20"/>
  <c r="AH68" i="20"/>
  <c r="AJ21" i="20"/>
  <c r="AE38" i="20"/>
  <c r="AF38" i="20" s="1"/>
  <c r="AE34" i="20"/>
  <c r="AF34" i="20" s="1"/>
  <c r="AE30" i="20"/>
  <c r="AF30" i="20" s="1"/>
  <c r="AE26" i="20"/>
  <c r="AF26" i="20" s="1"/>
  <c r="AE22" i="20"/>
  <c r="AF22" i="20" s="1"/>
  <c r="AK28" i="20"/>
  <c r="AI20" i="20"/>
  <c r="AO20" i="20" s="1"/>
  <c r="AH18" i="20"/>
  <c r="AG110" i="19"/>
  <c r="AI19" i="20"/>
  <c r="AO19" i="20" s="1"/>
  <c r="AI84" i="19"/>
  <c r="AH84" i="19"/>
  <c r="AL84" i="19" s="1"/>
  <c r="AH82" i="19"/>
  <c r="AL82" i="19" s="1"/>
  <c r="AG82" i="19"/>
  <c r="AJ82" i="19" s="1"/>
  <c r="AG68" i="19"/>
  <c r="AJ68" i="19" s="1"/>
  <c r="AG52" i="19"/>
  <c r="AD86" i="19"/>
  <c r="AE86" i="19" s="1"/>
  <c r="AD74" i="19"/>
  <c r="AE74" i="19" s="1"/>
  <c r="AI71" i="19"/>
  <c r="AH64" i="19"/>
  <c r="AL64" i="19" s="1"/>
  <c r="AH60" i="19"/>
  <c r="AL60" i="19" s="1"/>
  <c r="AH56" i="19"/>
  <c r="AL56" i="19" s="1"/>
  <c r="AH52" i="19"/>
  <c r="AL52" i="19" s="1"/>
  <c r="AH44" i="19"/>
  <c r="AL44" i="19" s="1"/>
  <c r="AH36" i="19"/>
  <c r="AL36" i="19" s="1"/>
  <c r="AI102" i="19"/>
  <c r="AJ102" i="19" s="1"/>
  <c r="AD90" i="19"/>
  <c r="AE90" i="19" s="1"/>
  <c r="AD81" i="19"/>
  <c r="AE81" i="19" s="1"/>
  <c r="AG51" i="19"/>
  <c r="AH39" i="19"/>
  <c r="AL39" i="19" s="1"/>
  <c r="AG28" i="19"/>
  <c r="AI43" i="19"/>
  <c r="AJ43" i="19" s="1"/>
  <c r="AH27" i="19"/>
  <c r="AL27" i="19" s="1"/>
  <c r="AH19" i="19"/>
  <c r="AL19" i="19" s="1"/>
  <c r="AG114" i="18"/>
  <c r="AO114" i="18" s="1"/>
  <c r="AG112" i="18"/>
  <c r="AO112" i="18" s="1"/>
  <c r="AG110" i="18"/>
  <c r="AO110" i="18" s="1"/>
  <c r="AG108" i="18"/>
  <c r="AO108" i="18" s="1"/>
  <c r="AG106" i="18"/>
  <c r="AO106" i="18" s="1"/>
  <c r="AG104" i="18"/>
  <c r="AO104" i="18" s="1"/>
  <c r="AG102" i="18"/>
  <c r="AO102" i="18" s="1"/>
  <c r="AG100" i="18"/>
  <c r="AO100" i="18" s="1"/>
  <c r="AG98" i="18"/>
  <c r="AO98" i="18" s="1"/>
  <c r="AG96" i="18"/>
  <c r="AO96" i="18" s="1"/>
  <c r="AG94" i="18"/>
  <c r="AO94" i="18" s="1"/>
  <c r="AG92" i="18"/>
  <c r="AO92" i="18" s="1"/>
  <c r="AG90" i="18"/>
  <c r="AO90" i="18" s="1"/>
  <c r="AG88" i="18"/>
  <c r="AO88" i="18" s="1"/>
  <c r="AG86" i="18"/>
  <c r="AO86" i="18" s="1"/>
  <c r="AG84" i="18"/>
  <c r="AO84" i="18" s="1"/>
  <c r="AG82" i="18"/>
  <c r="AO82" i="18" s="1"/>
  <c r="AG80" i="18"/>
  <c r="AO80" i="18" s="1"/>
  <c r="AG78" i="18"/>
  <c r="AO78" i="18" s="1"/>
  <c r="AG76" i="18"/>
  <c r="AO76" i="18" s="1"/>
  <c r="AG74" i="18"/>
  <c r="AO74" i="18" s="1"/>
  <c r="AG72" i="18"/>
  <c r="AO72" i="18" s="1"/>
  <c r="AC69" i="18"/>
  <c r="AD69" i="18" s="1"/>
  <c r="AC65" i="18"/>
  <c r="AD65" i="18" s="1"/>
  <c r="AC61" i="18"/>
  <c r="AD61" i="18" s="1"/>
  <c r="AI72" i="19"/>
  <c r="AD19" i="19"/>
  <c r="AE19" i="19" s="1"/>
  <c r="Y15" i="9"/>
  <c r="Y17" i="9" s="1"/>
  <c r="AB18" i="8"/>
  <c r="Y27" i="9"/>
  <c r="Y29" i="9" s="1"/>
  <c r="AL101" i="20"/>
  <c r="AH101" i="20"/>
  <c r="AI77" i="20"/>
  <c r="AO77" i="20" s="1"/>
  <c r="AL74" i="20"/>
  <c r="AJ74" i="20"/>
  <c r="AL70" i="20"/>
  <c r="AH70" i="20"/>
  <c r="AL54" i="20"/>
  <c r="AH54" i="20"/>
  <c r="AL21" i="20"/>
  <c r="AH21" i="20"/>
  <c r="AL20" i="20"/>
  <c r="AJ20" i="20"/>
  <c r="AH94" i="19"/>
  <c r="AL94" i="19" s="1"/>
  <c r="AG64" i="19"/>
  <c r="AJ64" i="19" s="1"/>
  <c r="AG48" i="19"/>
  <c r="AH71" i="19"/>
  <c r="AL71" i="19" s="1"/>
  <c r="AJ73" i="19"/>
  <c r="AG41" i="19"/>
  <c r="AJ41" i="19" s="1"/>
  <c r="AG33" i="19"/>
  <c r="AJ33" i="19" s="1"/>
  <c r="AI56" i="19"/>
  <c r="AH35" i="19"/>
  <c r="AL35" i="19" s="1"/>
  <c r="AG24" i="19"/>
  <c r="AJ24" i="19" s="1"/>
  <c r="AI27" i="19"/>
  <c r="AJ27" i="19" s="1"/>
  <c r="AI23" i="19"/>
  <c r="AL85" i="20"/>
  <c r="AH87" i="20"/>
  <c r="AL87" i="20"/>
  <c r="AI115" i="20"/>
  <c r="AO115" i="20" s="1"/>
  <c r="AJ83" i="20"/>
  <c r="AE81" i="20"/>
  <c r="AF81" i="20" s="1"/>
  <c r="AJ109" i="20"/>
  <c r="AK109" i="20" s="1"/>
  <c r="AJ101" i="20"/>
  <c r="AJ93" i="20"/>
  <c r="AK93" i="20" s="1"/>
  <c r="AJ85" i="20"/>
  <c r="AK85" i="20" s="1"/>
  <c r="AJ103" i="20"/>
  <c r="AJ87" i="20"/>
  <c r="AH74" i="20"/>
  <c r="AJ77" i="20"/>
  <c r="AL72" i="20"/>
  <c r="AH72" i="20"/>
  <c r="AJ66" i="20"/>
  <c r="AL56" i="20"/>
  <c r="AH56" i="20"/>
  <c r="AJ39" i="20"/>
  <c r="AJ37" i="20"/>
  <c r="AJ35" i="20"/>
  <c r="AJ33" i="20"/>
  <c r="AL29" i="20"/>
  <c r="AH29" i="20"/>
  <c r="AL27" i="20"/>
  <c r="AH27" i="20"/>
  <c r="AL25" i="20"/>
  <c r="AH25" i="20"/>
  <c r="AE40" i="20"/>
  <c r="AF40" i="20" s="1"/>
  <c r="AE36" i="20"/>
  <c r="AF36" i="20" s="1"/>
  <c r="AE32" i="20"/>
  <c r="AF32" i="20" s="1"/>
  <c r="AE28" i="20"/>
  <c r="AF28" i="20" s="1"/>
  <c r="AE24" i="20"/>
  <c r="AF24" i="20" s="1"/>
  <c r="AJ19" i="20"/>
  <c r="AJ17" i="20"/>
  <c r="AJ18" i="20"/>
  <c r="AI114" i="19"/>
  <c r="AJ114" i="19" s="1"/>
  <c r="AI110" i="19"/>
  <c r="AI18" i="20"/>
  <c r="AO18" i="20" s="1"/>
  <c r="AI94" i="19"/>
  <c r="AG94" i="19"/>
  <c r="AG76" i="19"/>
  <c r="AG60" i="19"/>
  <c r="AJ60" i="19" s="1"/>
  <c r="AG44" i="19"/>
  <c r="AJ44" i="19" s="1"/>
  <c r="AG40" i="19"/>
  <c r="AJ40" i="19" s="1"/>
  <c r="AG36" i="19"/>
  <c r="AJ36" i="19" s="1"/>
  <c r="AG32" i="19"/>
  <c r="AJ32" i="19" s="1"/>
  <c r="AI98" i="19"/>
  <c r="AG98" i="19"/>
  <c r="AD78" i="19"/>
  <c r="AE78" i="19" s="1"/>
  <c r="AH68" i="19"/>
  <c r="AL68" i="19" s="1"/>
  <c r="AD66" i="19"/>
  <c r="AE66" i="19" s="1"/>
  <c r="AH40" i="19"/>
  <c r="AL40" i="19" s="1"/>
  <c r="AH32" i="19"/>
  <c r="AL32" i="19" s="1"/>
  <c r="AI106" i="19"/>
  <c r="AG106" i="19"/>
  <c r="AI37" i="19"/>
  <c r="AI29" i="19"/>
  <c r="AD31" i="19"/>
  <c r="AE31" i="19" s="1"/>
  <c r="AH114" i="18"/>
  <c r="AH112" i="18"/>
  <c r="AH110" i="18"/>
  <c r="AH108" i="18"/>
  <c r="AH106" i="18"/>
  <c r="AH104" i="18"/>
  <c r="AH102" i="18"/>
  <c r="AH100" i="18"/>
  <c r="AH98" i="18"/>
  <c r="AH96" i="18"/>
  <c r="AH94" i="18"/>
  <c r="AH92" i="18"/>
  <c r="AH90" i="18"/>
  <c r="AH88" i="18"/>
  <c r="AH86" i="18"/>
  <c r="AH84" i="18"/>
  <c r="AH82" i="18"/>
  <c r="AH80" i="18"/>
  <c r="AH78" i="18"/>
  <c r="AH76" i="18"/>
  <c r="AH74" i="18"/>
  <c r="AH72" i="18"/>
  <c r="AH70" i="18"/>
  <c r="AH68" i="18"/>
  <c r="AH66" i="18"/>
  <c r="AH64" i="18"/>
  <c r="AH62" i="18"/>
  <c r="AH60" i="18"/>
  <c r="AH23" i="19"/>
  <c r="AL23" i="19" s="1"/>
  <c r="AC67" i="18"/>
  <c r="AD67" i="18" s="1"/>
  <c r="AC63" i="18"/>
  <c r="AD63" i="18" s="1"/>
  <c r="AI39" i="19"/>
  <c r="AI52" i="19"/>
  <c r="AI35" i="19"/>
  <c r="AD27" i="19"/>
  <c r="AE27" i="19" s="1"/>
  <c r="AG20" i="19"/>
  <c r="AH18" i="18"/>
  <c r="AJ16" i="18"/>
  <c r="AF16" i="18"/>
  <c r="AI16" i="18" s="1"/>
  <c r="AJ80" i="19" l="1"/>
  <c r="AI59" i="18"/>
  <c r="AI33" i="18"/>
  <c r="AK42" i="20"/>
  <c r="AI61" i="18"/>
  <c r="AI107" i="18"/>
  <c r="AC83" i="8"/>
  <c r="AB83" i="8" s="1"/>
  <c r="AI97" i="18"/>
  <c r="AK45" i="20"/>
  <c r="AK46" i="20"/>
  <c r="AI93" i="18"/>
  <c r="AI67" i="18"/>
  <c r="AI55" i="18"/>
  <c r="AJ78" i="19"/>
  <c r="AK79" i="20"/>
  <c r="AK51" i="20"/>
  <c r="AK32" i="20"/>
  <c r="AK67" i="20"/>
  <c r="AJ23" i="19"/>
  <c r="AI69" i="18"/>
  <c r="AK24" i="20"/>
  <c r="AK22" i="20"/>
  <c r="AI111" i="18"/>
  <c r="AI101" i="18"/>
  <c r="AI39" i="18"/>
  <c r="AK86" i="20"/>
  <c r="AK34" i="20"/>
  <c r="AK30" i="20"/>
  <c r="AK65" i="20"/>
  <c r="AK38" i="20"/>
  <c r="AK81" i="20"/>
  <c r="AK47" i="20"/>
  <c r="AI77" i="18"/>
  <c r="AJ75" i="19"/>
  <c r="AI83" i="18"/>
  <c r="AK73" i="20"/>
  <c r="AK57" i="20"/>
  <c r="AK98" i="20"/>
  <c r="AK26" i="20"/>
  <c r="AK54" i="20"/>
  <c r="AK114" i="20"/>
  <c r="AK78" i="20"/>
  <c r="AK23" i="20"/>
  <c r="AK40" i="20"/>
  <c r="AI113" i="18"/>
  <c r="AI45" i="18"/>
  <c r="AI99" i="18"/>
  <c r="AI53" i="18"/>
  <c r="AI75" i="18"/>
  <c r="AI65" i="18"/>
  <c r="AI51" i="18"/>
  <c r="AI105" i="18"/>
  <c r="AI89" i="18"/>
  <c r="AI115" i="18"/>
  <c r="AI85" i="18"/>
  <c r="AK108" i="20"/>
  <c r="AI46" i="18"/>
  <c r="AI49" i="18"/>
  <c r="AI35" i="18"/>
  <c r="AI41" i="18"/>
  <c r="AU43" i="16"/>
  <c r="AK84" i="20"/>
  <c r="AK50" i="20"/>
  <c r="AJ20" i="19"/>
  <c r="AI91" i="18"/>
  <c r="AI43" i="18"/>
  <c r="AI109" i="18"/>
  <c r="AI57" i="18"/>
  <c r="AI79" i="18"/>
  <c r="AI103" i="18"/>
  <c r="AJ79" i="19"/>
  <c r="AI71" i="18"/>
  <c r="AI37" i="18"/>
  <c r="AI38" i="18"/>
  <c r="AI54" i="18"/>
  <c r="AI36" i="18"/>
  <c r="AI52" i="18"/>
  <c r="AI62" i="18"/>
  <c r="AI70" i="18"/>
  <c r="AI78" i="18"/>
  <c r="AI86" i="18"/>
  <c r="AI94" i="18"/>
  <c r="AI102" i="18"/>
  <c r="AI110" i="18"/>
  <c r="AJ37" i="19"/>
  <c r="AI66" i="18"/>
  <c r="AI74" i="18"/>
  <c r="AI82" i="18"/>
  <c r="AI90" i="18"/>
  <c r="AI98" i="18"/>
  <c r="AI106" i="18"/>
  <c r="AI114" i="18"/>
  <c r="AI87" i="18"/>
  <c r="AK58" i="20"/>
  <c r="AK52" i="20"/>
  <c r="AK37" i="20"/>
  <c r="AK94" i="20"/>
  <c r="AK36" i="20"/>
  <c r="AK71" i="20"/>
  <c r="AK96" i="20"/>
  <c r="AK27" i="20"/>
  <c r="AK72" i="20"/>
  <c r="AK91" i="20"/>
  <c r="AK113" i="20"/>
  <c r="AK105" i="20"/>
  <c r="AK68" i="20"/>
  <c r="AK60" i="20"/>
  <c r="AK25" i="20"/>
  <c r="AK62" i="20"/>
  <c r="AK43" i="20"/>
  <c r="AK100" i="20"/>
  <c r="AI56" i="18"/>
  <c r="AI73" i="18"/>
  <c r="AI48" i="18"/>
  <c r="AI40" i="18"/>
  <c r="AI72" i="18"/>
  <c r="AI88" i="18"/>
  <c r="AI96" i="18"/>
  <c r="AI104" i="18"/>
  <c r="AI112" i="18"/>
  <c r="AI64" i="18"/>
  <c r="AI80" i="18"/>
  <c r="AI32" i="18"/>
  <c r="AK19" i="20"/>
  <c r="AI42" i="18"/>
  <c r="AK17" i="20"/>
  <c r="AJ52" i="19"/>
  <c r="AI60" i="18"/>
  <c r="AI68" i="18"/>
  <c r="AI76" i="18"/>
  <c r="AI84" i="18"/>
  <c r="AI92" i="18"/>
  <c r="AI100" i="18"/>
  <c r="AI108" i="18"/>
  <c r="AK18" i="20"/>
  <c r="AK33" i="20"/>
  <c r="AK101" i="20"/>
  <c r="AJ71" i="19"/>
  <c r="AK111" i="20"/>
  <c r="AK107" i="20"/>
  <c r="AJ51" i="19"/>
  <c r="AK64" i="20"/>
  <c r="AI95" i="18"/>
  <c r="AI50" i="18"/>
  <c r="AI34" i="18"/>
  <c r="AJ39" i="19"/>
  <c r="AJ29" i="19"/>
  <c r="AK56" i="20"/>
  <c r="AK20" i="20"/>
  <c r="AJ28" i="19"/>
  <c r="AI58" i="18"/>
  <c r="AJ56" i="19"/>
  <c r="AK95" i="20"/>
  <c r="AK77" i="20"/>
  <c r="AI44" i="18"/>
  <c r="AJ35" i="19"/>
  <c r="AK39" i="20"/>
  <c r="AK103" i="20"/>
  <c r="AK83" i="20"/>
  <c r="AJ72" i="19"/>
  <c r="AK35" i="20"/>
  <c r="AI81" i="18"/>
  <c r="AJ110" i="19"/>
  <c r="AK29" i="20"/>
  <c r="AJ84" i="19"/>
  <c r="AK115" i="20"/>
  <c r="AK66" i="20"/>
  <c r="AI18" i="18"/>
  <c r="AK87" i="20"/>
  <c r="AK41" i="20"/>
  <c r="AK97" i="20"/>
  <c r="AJ106" i="19"/>
  <c r="AJ98" i="19"/>
  <c r="AJ55" i="19"/>
  <c r="AJ31" i="19"/>
  <c r="AK75" i="20"/>
  <c r="AK89" i="20"/>
  <c r="AL17" i="19"/>
  <c r="AK74" i="20"/>
  <c r="AD22" i="9"/>
  <c r="AD18" i="9"/>
  <c r="AE18" i="9" s="1"/>
  <c r="AK21" i="20"/>
  <c r="AD17" i="9"/>
  <c r="AD21" i="9"/>
  <c r="AF21" i="9" s="1"/>
  <c r="AJ76" i="19"/>
  <c r="AJ94" i="19"/>
  <c r="AK70" i="20"/>
  <c r="AK99" i="20"/>
  <c r="AJ48" i="19"/>
  <c r="AD24" i="9" l="1"/>
  <c r="AD23" i="9" s="1"/>
  <c r="AF23" i="9" s="1"/>
  <c r="AF22" i="9" s="1"/>
  <c r="AE2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6A0329F9-0636-46F1-AE25-523D2FBE29AD}">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854E64AB-6E3C-4251-BF3B-6D1A58F4084D}">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<sst xmlns="http://schemas.openxmlformats.org/spreadsheetml/2006/main" count="2526" uniqueCount="1445">
  <si>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</si>
  <si>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</si>
  <si>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</si>
  <si>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</si>
  <si>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</si>
  <si>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</si>
  <si>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</si>
  <si>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</si>
  <si>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</si>
  <si>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</si>
  <si>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</si>
  <si>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[81]小麦</t>
    <rPh sb="4" eb="6">
      <t>コムギ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</si>
  <si>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</si>
  <si>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</si>
  <si>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</si>
  <si>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</si>
  <si>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</si>
  <si>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</si>
  <si>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</si>
  <si>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別記様式第13号</t>
    <phoneticPr fontId="6"/>
  </si>
  <si>
    <t>秘</t>
    <rPh sb="0" eb="1">
      <t>ヒ</t>
    </rPh>
    <phoneticPr fontId="6"/>
  </si>
  <si>
    <t>農林水産省</t>
    <rPh sb="0" eb="2">
      <t>ノウリン</t>
    </rPh>
    <rPh sb="2" eb="5">
      <t>スイサンショウ</t>
    </rPh>
    <phoneticPr fontId="6"/>
  </si>
  <si>
    <t>農業経営統計調査</t>
    <phoneticPr fontId="6"/>
  </si>
  <si>
    <t>（組織法人経営体用）</t>
    <phoneticPr fontId="6"/>
  </si>
  <si>
    <t>【入力上の留意事項】</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</si>
  <si>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</si>
  <si>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</si>
  <si>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</si>
  <si>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</si>
  <si>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</si>
  <si>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</si>
  <si>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</si>
  <si>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</si>
  <si>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</si>
  <si>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</si>
  <si>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</si>
  <si>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</si>
  <si>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</si>
  <si>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</si>
  <si>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</si>
  <si>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</si>
  <si>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</si>
  <si>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</si>
  <si>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</si>
  <si>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</si>
  <si>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</si>
  <si>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</si>
  <si>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</si>
  <si>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</si>
  <si>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</si>
  <si>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</si>
  <si>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</si>
  <si>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</si>
  <si>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</si>
  <si>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</si>
  <si>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</si>
  <si>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</si>
  <si>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</si>
  <si>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</si>
  <si>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</si>
  <si>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</si>
  <si>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</si>
  <si>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</si>
  <si>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</si>
  <si>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</si>
  <si>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</si>
  <si>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</si>
  <si>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</si>
  <si>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</si>
  <si>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</si>
  <si>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</si>
  <si>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</si>
  <si>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</si>
  <si>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</si>
  <si>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</si>
  <si>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</si>
  <si>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</si>
  <si>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</si>
  <si>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</si>
  <si>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</si>
  <si>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</si>
  <si>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</si>
  <si>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</si>
  <si>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</si>
  <si>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</si>
  <si>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</si>
  <si>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</si>
  <si>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</si>
  <si>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【２】　生産物の販売等の状況</t>
    <rPh sb="4" eb="7">
      <t>セイサンブツ</t>
    </rPh>
    <rPh sb="8" eb="10">
      <t>ハンバイ</t>
    </rPh>
    <rPh sb="10" eb="11">
      <t>トウ</t>
    </rPh>
    <rPh sb="12" eb="14">
      <t>ジョウキョウ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</si>
  <si>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</si>
  <si>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</si>
  <si>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</si>
  <si>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</si>
  <si>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</si>
  <si>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</si>
  <si>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</si>
  <si>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</si>
  <si>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</si>
  <si>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</si>
  <si>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</si>
  <si>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</si>
  <si>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</si>
  <si>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</si>
  <si>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</si>
  <si>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</si>
  <si>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</si>
  <si>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</si>
  <si>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</si>
  <si>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</si>
  <si>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</si>
  <si>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</si>
  <si>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</si>
  <si>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</si>
  <si>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</si>
  <si>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</si>
  <si>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</si>
  <si>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</si>
  <si>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</si>
  <si>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</si>
  <si>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</si>
  <si>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</si>
  <si>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</si>
  <si>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</si>
  <si>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</si>
  <si>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</si>
  <si>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</si>
  <si>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</si>
  <si>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</si>
  <si>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</si>
  <si>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</si>
  <si>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</si>
  <si>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</si>
  <si>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</si>
  <si>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</si>
  <si>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</si>
  <si>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</si>
  <si>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</si>
  <si>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</si>
  <si>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</si>
  <si>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</si>
  <si>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</si>
  <si>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</si>
  <si>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</si>
  <si>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</si>
  <si>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</si>
  <si>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</si>
  <si>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</si>
  <si>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</si>
  <si>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</si>
  <si>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</si>
  <si>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</si>
  <si>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</si>
  <si>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</si>
  <si>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</si>
  <si>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</si>
  <si>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</si>
  <si>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</si>
  <si>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</si>
  <si>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</si>
  <si>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</si>
  <si>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</si>
  <si>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</si>
  <si>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</si>
  <si>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</si>
  <si>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</si>
  <si>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</si>
  <si>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</si>
  <si>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</si>
  <si>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</si>
  <si>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</si>
  <si>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</si>
  <si>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</si>
  <si>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</si>
  <si>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</si>
  <si>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</si>
  <si>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</si>
  <si>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</si>
  <si>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</si>
  <si>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</si>
  <si>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　７　制度受取金等の状況</t>
    <rPh sb="3" eb="5">
      <t>セイド</t>
    </rPh>
    <rPh sb="5" eb="7">
      <t>ウケトリ</t>
    </rPh>
    <rPh sb="7" eb="8">
      <t>キン</t>
    </rPh>
    <rPh sb="8" eb="9">
      <t>トウ</t>
    </rPh>
    <rPh sb="10" eb="12">
      <t>ジョウキョウ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</si>
  <si>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</si>
  <si>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</si>
  <si>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</si>
  <si>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</si>
  <si>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</si>
  <si>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１　 小麦の品質・用途別の販売状況等（玄麦換算）</t>
  </si>
  <si>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</si>
  <si>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</si>
  <si>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</si>
  <si>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</si>
  <si>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</si>
  <si>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</si>
  <si>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</si>
  <si>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</si>
  <si>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</si>
  <si>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</si>
  <si>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</si>
  <si>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</si>
  <si>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</si>
  <si>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</si>
  <si>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</si>
  <si>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</si>
  <si>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</si>
  <si>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</si>
  <si>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</si>
  <si>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</si>
  <si>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</si>
  <si>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</si>
  <si>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</si>
  <si>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</si>
  <si>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</si>
  <si>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</si>
  <si>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</si>
  <si>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</si>
  <si>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</si>
  <si>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</si>
  <si>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</si>
  <si>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</si>
  <si>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</si>
  <si>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</si>
  <si>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</si>
  <si>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</si>
  <si>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</si>
  <si>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</si>
  <si>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</si>
  <si>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</si>
  <si>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【２】生産物の販売等の状況（続き）</t>
    <rPh sb="3" eb="6">
      <t>セイサンブツ</t>
    </rPh>
    <rPh sb="7" eb="9">
      <t>ハンバイ</t>
    </rPh>
    <rPh sb="9" eb="10">
      <t>トウ</t>
    </rPh>
    <rPh sb="11" eb="13">
      <t>ジョウキョウ</t>
    </rPh>
    <rPh sb="14" eb="15">
      <t>ツヅ</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</si>
  <si>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</si>
  <si>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</si>
  <si>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</si>
  <si>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</si>
  <si>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</si>
  <si>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</si>
  <si>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</si>
  <si>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</si>
  <si>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</si>
  <si>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</si>
  <si>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</si>
  <si>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</si>
  <si>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</si>
  <si>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</si>
  <si>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</si>
  <si>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</si>
  <si>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</si>
  <si>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</si>
  <si>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</si>
  <si>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</si>
  <si>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</si>
  <si>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</si>
  <si>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計</t>
    <rPh sb="0" eb="1">
      <t>ケイ</t>
    </rPh>
    <phoneticPr fontId="6"/>
  </si>
  <si>
    <t>麦わら</t>
    <rPh sb="0" eb="1">
      <t>ムギ</t>
    </rPh>
    <phoneticPr fontId="62"/>
  </si>
  <si>
    <t>組織内消費</t>
    <phoneticPr fontId="6"/>
  </si>
  <si>
    <t xml:space="preserve"> 　用途別に数量の割合を記入してください。</t>
    <rPh sb="2" eb="5">
      <t>ヨウトベツ</t>
    </rPh>
    <rPh sb="6" eb="8">
      <t>スウリョウ</t>
    </rPh>
    <rPh sb="9" eb="11">
      <t>ワリアイ</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</si>
  <si>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</si>
  <si>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</si>
  <si>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</si>
  <si>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</si>
  <si>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</si>
  <si>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</si>
  <si>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</si>
  <si>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</si>
  <si>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</si>
  <si>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</si>
  <si>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</si>
  <si>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</si>
  <si>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</si>
  <si>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</si>
  <si>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 xml:space="preserve">  １　種苗費</t>
    <rPh sb="4" eb="7">
      <t>シュビョウヒ</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</si>
  <si>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</si>
  <si>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</si>
  <si>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</si>
  <si>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</si>
  <si>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</si>
  <si>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</si>
  <si>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</si>
  <si>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</si>
  <si>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</si>
  <si>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</si>
  <si>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</si>
  <si>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</si>
  <si>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</si>
  <si>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</si>
  <si>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</si>
  <si>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</si>
  <si>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</si>
  <si>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</si>
  <si>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</si>
  <si>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</si>
  <si>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</si>
  <si>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</si>
  <si>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</si>
  <si>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</si>
  <si>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</si>
  <si>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</si>
  <si>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</si>
  <si>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</si>
  <si>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</si>
  <si>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</si>
  <si>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</si>
  <si>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</si>
  <si>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</si>
  <si>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</si>
  <si>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</si>
  <si>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</si>
  <si>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</si>
  <si>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</si>
  <si>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</si>
  <si>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</si>
  <si>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</si>
  <si>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</si>
  <si>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</si>
  <si>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</si>
  <si>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</si>
  <si>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</si>
  <si>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</si>
  <si>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</si>
  <si>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</si>
  <si>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</si>
  <si>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</si>
  <si>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</si>
  <si>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</si>
  <si>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</si>
  <si>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</si>
  <si>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</si>
  <si>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</si>
  <si>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</si>
  <si>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</si>
  <si>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</si>
  <si>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</si>
  <si>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</si>
  <si>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</si>
  <si>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</si>
  <si>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kg</t>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</si>
  <si>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</si>
  <si>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</si>
  <si>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金　　額 （円）</t>
    <rPh sb="0" eb="1">
      <t>キン</t>
    </rPh>
    <rPh sb="3" eb="4">
      <t>ガク</t>
    </rPh>
    <rPh sb="6" eb="7">
      <t>エン</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</si>
  <si>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</si>
  <si>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</si>
  <si>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</si>
  <si>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</si>
  <si>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</si>
  <si>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</si>
  <si>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</si>
  <si>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</si>
  <si>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</si>
  <si>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</si>
  <si>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</si>
  <si>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</si>
  <si>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</si>
  <si>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</si>
  <si>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</si>
  <si>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</si>
  <si>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</si>
  <si>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</si>
  <si>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</si>
  <si>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</si>
  <si>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</si>
  <si>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</si>
  <si>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</si>
  <si>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</si>
  <si>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</si>
  <si>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</si>
  <si>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</si>
  <si>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</si>
  <si>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</si>
  <si>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</si>
  <si>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</si>
  <si>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</si>
  <si>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</si>
  <si>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</si>
  <si>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</si>
  <si>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</si>
  <si>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</si>
  <si>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</si>
  <si>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</si>
  <si>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</si>
  <si>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</si>
  <si>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</si>
  <si>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</si>
  <si>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</si>
  <si>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</si>
  <si>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</si>
  <si>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</si>
  <si>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</si>
  <si>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</si>
  <si>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</si>
  <si>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</si>
  <si>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</si>
  <si>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</si>
  <si>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</si>
  <si>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</si>
  <si>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</si>
  <si>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</si>
  <si>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</si>
  <si>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</si>
  <si>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</si>
  <si>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</si>
  <si>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</si>
  <si>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</si>
  <si>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</si>
  <si>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</si>
  <si>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</si>
  <si>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</si>
  <si>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</si>
  <si>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</si>
  <si>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</si>
  <si>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</si>
  <si>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</si>
  <si>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</si>
  <si>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</si>
  <si>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</si>
  <si>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</si>
  <si>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</si>
  <si>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</si>
  <si>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</si>
  <si>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</si>
  <si>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</si>
  <si>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</si>
  <si>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</si>
  <si>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</si>
  <si>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</si>
  <si>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</si>
  <si>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</si>
  <si>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</si>
  <si>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</si>
  <si>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</si>
  <si>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</si>
  <si>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</si>
  <si>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</si>
  <si>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</si>
  <si>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</si>
  <si>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</si>
  <si>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</si>
  <si>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</si>
  <si>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</si>
  <si>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</si>
  <si>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</si>
  <si>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</si>
  <si>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</si>
  <si>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</si>
  <si>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</si>
  <si>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</si>
  <si>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</si>
  <si>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</si>
  <si>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</si>
  <si>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</si>
  <si>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</si>
  <si>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なお、内訳欄を利用して「計」の内訳を記入する場合は、その合計が「計」となるよう記入してください。</t>
    <phoneticPr fontId="6"/>
  </si>
  <si>
    <t>１　土地改良区費</t>
    <rPh sb="2" eb="4">
      <t>トチ</t>
    </rPh>
    <rPh sb="4" eb="6">
      <t>カイリョウ</t>
    </rPh>
    <rPh sb="6" eb="8">
      <t>クヒ</t>
    </rPh>
    <phoneticPr fontId="6"/>
  </si>
  <si>
    <t>事業種類</t>
    <rPh sb="0" eb="2">
      <t>ジギョウ</t>
    </rPh>
    <rPh sb="2" eb="4">
      <t>シュルイ</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</si>
  <si>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</si>
  <si>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</si>
  <si>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</si>
  <si>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</si>
  <si>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</si>
  <si>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</si>
  <si>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</si>
  <si>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</si>
  <si>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</si>
  <si>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</si>
  <si>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</si>
  <si>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</si>
  <si>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</si>
  <si>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</si>
  <si>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</si>
  <si>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</si>
  <si>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</si>
  <si>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</si>
  <si>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</si>
  <si>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</si>
  <si>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</si>
  <si>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</si>
  <si>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</si>
  <si>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</si>
  <si>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</si>
  <si>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</si>
  <si>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</si>
  <si>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</si>
  <si>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</si>
  <si>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</si>
  <si>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</si>
  <si>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</si>
  <si>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</si>
  <si>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</si>
  <si>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</si>
  <si>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</si>
  <si>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</si>
  <si>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</si>
  <si>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</si>
  <si>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</si>
  <si>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</si>
  <si>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</si>
  <si>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</si>
  <si>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</si>
  <si>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</si>
  <si>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</si>
  <si>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</si>
  <si>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</si>
  <si>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</si>
  <si>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</si>
  <si>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</si>
  <si>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</si>
  <si>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</si>
  <si>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</si>
  <si>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</si>
  <si>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</si>
  <si>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</si>
  <si>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</si>
  <si>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</si>
  <si>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</si>
  <si>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</si>
  <si>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</si>
  <si>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</si>
  <si>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</si>
  <si>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</si>
  <si>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</si>
  <si>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</si>
  <si>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</si>
  <si>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</si>
  <si>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</si>
  <si>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</si>
  <si>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</si>
  <si>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</si>
  <si>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</si>
  <si>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</si>
  <si>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</si>
  <si>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</si>
  <si>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</si>
  <si>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</si>
  <si>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</si>
  <si>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</si>
  <si>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</si>
  <si>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</si>
  <si>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</si>
  <si>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</si>
  <si>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</si>
  <si>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</si>
  <si>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</si>
  <si>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</si>
  <si>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</si>
  <si>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</si>
  <si>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</si>
  <si>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</si>
  <si>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</si>
  <si>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</si>
  <si>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</si>
  <si>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</si>
  <si>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</si>
  <si>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</si>
  <si>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</si>
  <si>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</si>
  <si>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</si>
  <si>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</si>
  <si>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</si>
  <si>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</si>
  <si>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</si>
  <si>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</si>
  <si>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</si>
  <si>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</si>
  <si>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</si>
  <si>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</si>
  <si>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</si>
  <si>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</si>
  <si>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</si>
  <si>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</si>
  <si>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</si>
  <si>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</si>
  <si>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</si>
  <si>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</si>
  <si>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</si>
  <si>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</si>
  <si>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</si>
  <si>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</si>
  <si>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</si>
  <si>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</si>
  <si>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</si>
  <si>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</si>
  <si>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</si>
  <si>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</si>
  <si>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</si>
  <si>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</si>
  <si>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</si>
  <si>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</si>
  <si>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</si>
  <si>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</si>
  <si>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</si>
  <si>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</si>
  <si>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</si>
  <si>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</si>
  <si>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</si>
  <si>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</si>
  <si>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</si>
  <si>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</si>
  <si>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</si>
  <si>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</si>
  <si>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</si>
  <si>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</si>
  <si>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</si>
  <si>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</si>
  <si>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</si>
  <si>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</si>
  <si>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</si>
  <si>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</si>
  <si>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</si>
  <si>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</si>
  <si>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</si>
  <si>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</si>
  <si>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</si>
  <si>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</si>
  <si>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</si>
  <si>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</si>
  <si>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</si>
  <si>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</si>
  <si>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</si>
  <si>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</si>
  <si>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</si>
  <si>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</si>
  <si>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</si>
  <si>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</si>
  <si>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</si>
  <si>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</si>
  <si>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</si>
  <si>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</si>
  <si>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</si>
  <si>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</si>
  <si>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</si>
  <si>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</si>
  <si>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</si>
  <si>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</si>
  <si>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</si>
  <si>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</si>
  <si>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</si>
  <si>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</si>
  <si>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</si>
  <si>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</si>
  <si>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</si>
  <si>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</si>
  <si>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</si>
  <si>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</si>
  <si>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</si>
  <si>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</si>
  <si>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</si>
  <si>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</si>
  <si>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</si>
  <si>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</si>
  <si>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</si>
  <si>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</si>
  <si>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</si>
  <si>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</si>
  <si>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</si>
  <si>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</si>
  <si>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</si>
  <si>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</si>
  <si>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</si>
  <si>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</si>
  <si>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</si>
  <si>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</si>
  <si>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</si>
  <si>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</si>
  <si>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</si>
  <si>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</si>
  <si>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</si>
  <si>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</si>
  <si>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</si>
  <si>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</si>
  <si>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</si>
  <si>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</si>
  <si>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</si>
  <si>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</si>
  <si>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</si>
  <si>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</si>
  <si>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</si>
  <si>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</si>
  <si>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</si>
  <si>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</si>
  <si>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</si>
  <si>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</si>
  <si>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</si>
  <si>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</si>
  <si>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</si>
  <si>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</si>
  <si>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</si>
  <si>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</si>
  <si>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</si>
  <si>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</si>
  <si>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</si>
  <si>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</si>
  <si>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</si>
  <si>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</si>
  <si>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</si>
  <si>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</si>
  <si>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</si>
  <si>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</si>
  <si>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床作り、は種、施肥、かん水等の育苗作業</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</si>
  <si>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</si>
  <si>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</si>
  <si>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</si>
  <si>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</si>
  <si>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</si>
  <si>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</si>
  <si>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</si>
  <si>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</si>
  <si>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</si>
  <si>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は種</t>
    <phoneticPr fontId="6"/>
  </si>
  <si>
    <t>直まき／は種</t>
    <rPh sb="0" eb="1">
      <t>チョク</t>
    </rPh>
    <rPh sb="5" eb="6">
      <t>タネ</t>
    </rPh>
    <phoneticPr fontId="38"/>
  </si>
  <si>
    <t>定植</t>
    <phoneticPr fontId="6"/>
  </si>
  <si>
    <t>苗取り、植穴堀り、苗運搬、定植、補植</t>
    <phoneticPr fontId="6"/>
  </si>
  <si>
    <t>定植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</si>
  <si>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</si>
  <si>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</si>
  <si>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</si>
  <si>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</si>
  <si>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</si>
  <si>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</si>
  <si>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</si>
  <si>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</si>
  <si>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</si>
  <si>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</si>
  <si>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</si>
  <si>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</si>
  <si>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</si>
  <si>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</si>
  <si>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</si>
  <si>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</si>
  <si>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</si>
  <si>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</si>
  <si>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</si>
  <si>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</si>
  <si>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</si>
  <si>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</si>
  <si>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</si>
  <si>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</si>
  <si>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</si>
  <si>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</si>
  <si>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</si>
  <si>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</si>
  <si>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</si>
  <si>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</si>
  <si>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</si>
  <si>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</si>
  <si>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</si>
  <si>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</si>
  <si>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</si>
  <si>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</si>
  <si>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</si>
  <si>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</si>
  <si>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</si>
  <si>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</si>
  <si>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</si>
  <si>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</si>
  <si>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</si>
  <si>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</si>
  <si>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</si>
  <si>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</si>
  <si>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</si>
  <si>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</si>
  <si>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</si>
  <si>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</si>
  <si>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</si>
  <si>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</si>
  <si>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</si>
  <si>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</si>
  <si>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</si>
  <si>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</si>
  <si>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</si>
  <si>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</si>
  <si>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</si>
  <si>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</si>
  <si>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</si>
  <si>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</si>
  <si>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</si>
  <si>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</si>
  <si>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</si>
  <si>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</si>
  <si>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</si>
  <si>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</si>
  <si>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</si>
  <si>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</si>
  <si>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</si>
  <si>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</si>
  <si>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</si>
  <si>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</si>
  <si>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</si>
  <si>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</si>
  <si>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</si>
  <si>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</si>
  <si>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</si>
  <si>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</si>
  <si>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</si>
  <si>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</si>
  <si>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</si>
  <si>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</si>
  <si>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</si>
  <si>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</si>
  <si>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</si>
  <si>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</si>
  <si>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</si>
  <si>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</si>
  <si>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</si>
  <si>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</si>
  <si>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</si>
  <si>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</si>
  <si>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</si>
  <si>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</si>
  <si>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</si>
  <si>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</si>
  <si>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</si>
  <si>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</si>
  <si>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</si>
  <si>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</si>
  <si>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</si>
  <si>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</si>
  <si>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</si>
  <si>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</si>
  <si>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</si>
  <si>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</si>
  <si>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</si>
  <si>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</si>
  <si>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</si>
  <si>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</si>
  <si>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</si>
  <si>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</si>
  <si>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</si>
  <si>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</si>
  <si>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</si>
  <si>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</si>
  <si>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</si>
  <si>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</si>
  <si>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</si>
  <si>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</si>
  <si>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</si>
  <si>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</si>
  <si>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</si>
  <si>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</si>
  <si>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</si>
  <si>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</si>
  <si>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</si>
  <si>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</si>
  <si>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</si>
  <si>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</si>
  <si>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</si>
  <si>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</si>
  <si>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</si>
  <si>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</si>
  <si>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</si>
  <si>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</si>
  <si>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</si>
  <si>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</si>
  <si>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</si>
  <si>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</si>
  <si>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</si>
  <si>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</si>
  <si>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</si>
  <si>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</si>
  <si>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</si>
  <si>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</si>
  <si>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</si>
  <si>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</si>
  <si>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</si>
  <si>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</si>
  <si>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</si>
  <si>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</si>
  <si>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</si>
  <si>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</si>
  <si>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</si>
  <si>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</si>
  <si>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</si>
  <si>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</si>
  <si>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</si>
  <si>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</si>
  <si>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</si>
  <si>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</si>
  <si>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</si>
  <si>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</si>
  <si>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</si>
  <si>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</si>
  <si>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</si>
  <si>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</si>
  <si>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</si>
  <si>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</si>
  <si>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</si>
  <si>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</si>
  <si>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</si>
  <si>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</si>
  <si>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</si>
  <si>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</si>
  <si>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</si>
  <si>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</si>
  <si>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</si>
  <si>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</si>
  <si>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</si>
  <si>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</si>
  <si>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</si>
  <si>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</si>
  <si>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</si>
  <si>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</si>
  <si>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</si>
  <si>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</si>
  <si>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</si>
  <si>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</si>
  <si>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</si>
  <si>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</si>
  <si>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</si>
  <si>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</si>
  <si>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</si>
  <si>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</si>
  <si>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</si>
  <si>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</si>
  <si>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</si>
  <si>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</si>
  <si>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</si>
  <si>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</si>
  <si>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</si>
  <si>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</si>
  <si>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</si>
  <si>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</si>
  <si>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</si>
  <si>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</si>
  <si>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</si>
  <si>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</si>
  <si>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</si>
  <si>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</si>
  <si>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</si>
  <si>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</si>
  <si>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</si>
  <si>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</si>
  <si>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</si>
  <si>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</si>
  <si>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</si>
  <si>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</si>
  <si>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</si>
  <si>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</si>
  <si>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</si>
  <si>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</si>
  <si>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</si>
  <si>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</si>
  <si>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</si>
  <si>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</si>
  <si>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</si>
  <si>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</si>
  <si>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</si>
  <si>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</si>
  <si>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</si>
  <si>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</si>
  <si>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</si>
  <si>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</si>
  <si>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</si>
  <si>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</si>
  <si>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</si>
  <si>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</si>
  <si>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</si>
  <si>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</si>
  <si>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</si>
  <si>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</si>
  <si>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</si>
  <si>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</si>
  <si>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</si>
  <si>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</si>
  <si>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</si>
  <si>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</si>
  <si>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</si>
  <si>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</si>
  <si>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</si>
  <si>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</si>
  <si>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</si>
  <si>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</si>
  <si>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</si>
  <si>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</si>
  <si>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</si>
  <si>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</si>
  <si>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</si>
  <si>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</si>
  <si>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</si>
  <si>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</si>
  <si>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</si>
  <si>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</si>
  <si>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</si>
  <si>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</si>
  <si>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</si>
  <si>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</si>
  <si>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</si>
  <si>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</si>
  <si>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</si>
  <si>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</si>
  <si>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</si>
  <si>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</si>
  <si>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</si>
  <si>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</si>
  <si>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</si>
  <si>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</si>
  <si>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</si>
  <si>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</si>
  <si>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</si>
  <si>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</si>
  <si>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</si>
  <si>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</si>
  <si>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</si>
  <si>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</si>
  <si>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</si>
  <si>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</si>
  <si>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</si>
  <si>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</si>
  <si>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</si>
  <si>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</si>
  <si>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</si>
  <si>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</si>
  <si>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</si>
  <si>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</si>
  <si>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</si>
  <si>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</si>
  <si>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</si>
  <si>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</si>
  <si>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</si>
  <si>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</si>
  <si>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</si>
  <si>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</si>
  <si>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</si>
  <si>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</si>
  <si>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</si>
  <si>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</si>
  <si>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</si>
  <si>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</si>
  <si>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</si>
  <si>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</si>
  <si>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</si>
  <si>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</si>
  <si>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</si>
  <si>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</si>
  <si>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</si>
  <si>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</si>
  <si>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</si>
  <si>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</si>
  <si>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</si>
  <si>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</si>
  <si>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</si>
  <si>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[6]木造モルタル</t>
    <rPh sb="3" eb="5">
      <t>モクゾウ</t>
    </rPh>
    <phoneticPr fontId="5"/>
  </si>
  <si>
    <t>[23]</t>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</si>
  <si>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</si>
  <si>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</si>
  <si>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</si>
  <si>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</si>
  <si>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</si>
  <si>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</si>
  <si>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</si>
  <si>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</si>
  <si>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</si>
  <si>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</si>
  <si>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</si>
  <si>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</si>
  <si>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</si>
  <si>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</si>
  <si>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</si>
  <si>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</si>
  <si>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</si>
  <si>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</si>
  <si>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</si>
  <si>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</si>
  <si>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</si>
  <si>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</si>
  <si>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</si>
  <si>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</si>
  <si>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</si>
  <si>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</si>
  <si>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</si>
  <si>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</si>
  <si>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</si>
  <si>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</si>
  <si>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</si>
  <si>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</si>
  <si>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</si>
  <si>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</si>
  <si>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</si>
  <si>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</si>
  <si>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</si>
  <si>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</si>
  <si>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</si>
  <si>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</si>
  <si>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</si>
  <si>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</si>
  <si>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</si>
  <si>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</si>
  <si>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</si>
  <si>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</si>
  <si>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</si>
  <si>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</si>
  <si>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</si>
  <si>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</si>
  <si>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</si>
  <si>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</si>
  <si>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</si>
  <si>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</si>
  <si>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</si>
  <si>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</si>
  <si>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</si>
  <si>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</si>
  <si>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</si>
  <si>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</si>
  <si>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</si>
  <si>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</si>
  <si>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</si>
  <si>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</si>
  <si>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</si>
  <si>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</si>
  <si>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</si>
  <si>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</si>
  <si>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</si>
  <si>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</si>
  <si>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</si>
  <si>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</si>
  <si>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</si>
  <si>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</si>
  <si>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</si>
  <si>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</si>
  <si>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</si>
  <si>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</si>
  <si>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</si>
  <si>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</si>
  <si>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</si>
  <si>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</si>
  <si>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</si>
  <si>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</si>
  <si>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</si>
  <si>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</si>
  <si>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</si>
  <si>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</si>
  <si>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</si>
  <si>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</si>
  <si>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</si>
  <si>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</si>
  <si>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</si>
  <si>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</si>
  <si>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</si>
  <si>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</si>
  <si>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</si>
  <si>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</si>
  <si>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</si>
  <si>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</si>
  <si>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</si>
  <si>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</si>
  <si>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</si>
  <si>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</si>
  <si>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</si>
  <si>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</si>
  <si>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</si>
  <si>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</si>
  <si>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</si>
  <si>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</si>
  <si>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</si>
  <si>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</si>
  <si>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</si>
  <si>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</si>
  <si>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</si>
  <si>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</si>
  <si>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</si>
  <si>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</si>
  <si>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</si>
  <si>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</si>
  <si>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</si>
  <si>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</si>
  <si>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</si>
  <si>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</si>
  <si>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</si>
  <si>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</si>
  <si>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</si>
  <si>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</si>
  <si>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</si>
  <si>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</si>
  <si>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</si>
  <si>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</si>
  <si>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</si>
  <si>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</si>
  <si>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</si>
  <si>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</si>
  <si>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</si>
  <si>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</si>
  <si>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</si>
  <si>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</si>
  <si>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</si>
  <si>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</si>
  <si>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</si>
  <si>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</si>
  <si>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</si>
  <si>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</si>
  <si>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</si>
  <si>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</si>
  <si>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</si>
  <si>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</si>
  <si>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</si>
  <si>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</si>
  <si>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</si>
  <si>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</si>
  <si>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</si>
  <si>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</si>
  <si>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</si>
  <si>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</si>
  <si>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</si>
  <si>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</si>
  <si>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</si>
  <si>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</si>
  <si>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</si>
  <si>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</si>
  <si>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</si>
  <si>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</si>
  <si>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</si>
  <si>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</si>
  <si>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</si>
  <si>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</si>
  <si>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</si>
  <si>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</si>
  <si>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</si>
  <si>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</si>
  <si>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</si>
  <si>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</si>
  <si>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</si>
  <si>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</si>
  <si>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</si>
  <si>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</si>
  <si>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</si>
  <si>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</si>
  <si>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</si>
  <si>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</si>
  <si>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</si>
  <si>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</si>
  <si>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</si>
  <si>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</si>
  <si>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</si>
  <si>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</si>
  <si>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</si>
  <si>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</si>
  <si>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</si>
  <si>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</si>
  <si>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</si>
  <si>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</si>
  <si>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</si>
  <si>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</si>
  <si>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</si>
  <si>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</si>
  <si>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</si>
  <si>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</si>
  <si>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</si>
  <si>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</si>
  <si>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</si>
  <si>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</si>
  <si>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</si>
  <si>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</si>
  <si>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</si>
  <si>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</si>
  <si>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</si>
  <si>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</si>
  <si>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</si>
  <si>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</si>
  <si>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</si>
  <si>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</si>
  <si>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</si>
  <si>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</si>
  <si>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</si>
  <si>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</si>
  <si>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</si>
  <si>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</si>
  <si>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</si>
  <si>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</si>
  <si>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</si>
  <si>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</si>
  <si>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</si>
  <si>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</si>
  <si>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</si>
  <si>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</si>
  <si>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</si>
  <si>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</si>
  <si>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</si>
  <si>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</si>
  <si>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</si>
  <si>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</si>
  <si>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</si>
  <si>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</si>
  <si>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</si>
  <si>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</si>
  <si>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</si>
  <si>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</si>
  <si>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</si>
  <si>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</si>
  <si>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</si>
  <si>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</si>
  <si>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構造コード</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</si>
  <si>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</si>
  <si>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</si>
  <si>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</si>
  <si>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</si>
  <si>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</si>
  <si>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</si>
  <si>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2020年農林業センサス　基本指標番号</t>
    <rPh sb="4" eb="5">
      <t>ネン</t>
    </rPh>
    <rPh sb="5" eb="8">
      <t>ノウリンギョウ</t>
    </rPh>
    <rPh sb="13" eb="15">
      <t>キホン</t>
    </rPh>
    <rPh sb="15" eb="17">
      <t>シヒョウ</t>
    </rPh>
    <rPh sb="17" eb="19">
      <t>バンゴウ</t>
    </rPh>
    <phoneticPr fontId="6"/>
  </si>
  <si>
    <t>2020センサス
番号</t>
    <rPh sb="9" eb="11">
      <t>バンゴウ</t>
    </rPh>
    <phoneticPr fontId="6"/>
  </si>
  <si>
    <t>都道
府県</t>
    <rPh sb="0" eb="2">
      <t>トドウ</t>
    </rPh>
    <rPh sb="3" eb="5">
      <t>フケン</t>
    </rPh>
    <phoneticPr fontId="5"/>
  </si>
  <si>
    <t>市町村</t>
    <rPh sb="0" eb="3">
      <t>シチョウソン</t>
    </rPh>
    <phoneticPr fontId="5"/>
  </si>
  <si>
    <t>旧市
町村</t>
    <rPh sb="0" eb="1">
      <t>キュウ</t>
    </rPh>
    <rPh sb="1" eb="2">
      <t>シ</t>
    </rPh>
    <rPh sb="3" eb="5">
      <t>マチムラ</t>
    </rPh>
    <phoneticPr fontId="5"/>
  </si>
  <si>
    <t>農業集落</t>
    <rPh sb="0" eb="4">
      <t>ノウギョウシュウラク</t>
    </rPh>
    <phoneticPr fontId="5"/>
  </si>
  <si>
    <t>調査区</t>
    <rPh sb="0" eb="2">
      <t>チョウサ</t>
    </rPh>
    <phoneticPr fontId="5"/>
  </si>
  <si>
    <t>客体番号</t>
    <rPh sb="0" eb="4">
      <t>キャクタイバンゴウ</t>
    </rPh>
    <phoneticPr fontId="5"/>
  </si>
  <si>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6"/>
  </si>
  <si>
    <t>注：組織内消費については、記入の数量を基に担当者が市価評価により金額を計算します。</t>
    <rPh sb="0" eb="1">
      <t>チュウ</t>
    </rPh>
    <rPh sb="2" eb="4">
      <t>ソシキ</t>
    </rPh>
    <rPh sb="4" eb="5">
      <t>ナイ</t>
    </rPh>
    <rPh sb="5" eb="7">
      <t>ショウヒ</t>
    </rPh>
    <phoneticPr fontId="3"/>
  </si>
  <si>
    <t>注：組織内消費については、記入の数量を基に担当者が市価評価により金額を計算します。</t>
    <rPh sb="0" eb="1">
      <t>チュウ</t>
    </rPh>
    <rPh sb="2" eb="4">
      <t>ソシキ</t>
    </rPh>
    <rPh sb="4" eb="5">
      <t>ナイ</t>
    </rPh>
    <rPh sb="5" eb="7">
      <t>ショウヒ</t>
    </rPh>
    <phoneticPr fontId="9"/>
  </si>
  <si>
    <t>注：組織内消費については、記入の数量を基に担当者が市価評価により金額を計算します。</t>
    <rPh sb="0" eb="1">
      <t>チュウ</t>
    </rPh>
    <rPh sb="2" eb="4">
      <t>ソシキ</t>
    </rPh>
    <rPh sb="4" eb="5">
      <t>ナイ</t>
    </rPh>
    <rPh sb="5" eb="7">
      <t>ショウヒ</t>
    </rPh>
    <phoneticPr fontId="2"/>
  </si>
  <si>
    <t>注：自給については、記入の数量を基に担当者が市価評価により金額を計算します。</t>
    <rPh sb="2" eb="3">
      <t>ジ</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</si>
  <si>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51" eb="53">
      <t>ジキュウ</t>
    </rPh>
    <rPh sb="62" eb="64">
      <t>スウリョウ</t>
    </rPh>
    <rPh sb="65" eb="66">
      <t>モト</t>
    </rPh>
    <rPh sb="67" eb="70">
      <t>タントウシャ</t>
    </rPh>
    <rPh sb="71" eb="73">
      <t>シカ</t>
    </rPh>
    <rPh sb="73" eb="75">
      <t>ヒョウカ</t>
    </rPh>
    <rPh sb="78" eb="80">
      <t>キンガク</t>
    </rPh>
    <rPh sb="81" eb="83">
      <t>ケイサン</t>
    </rPh>
    <phoneticPr fontId="6"/>
  </si>
  <si>
    <t>注：自給については、記入の数量を基に担当者が市価評価により金額を計算します。</t>
    <rPh sb="29" eb="31">
      <t>キンガク</t>
    </rPh>
    <rPh sb="32" eb="34">
      <t>ケイサン</t>
    </rPh>
    <phoneticPr fontId="5"/>
  </si>
  <si>
    <t>注：自給については、記入の数量を基に担当者が市価評価により金額を計算します。</t>
  </si>
  <si>
    <t>【10】農具の購入費等・生産管理関係の費用等</t>
    <rPh sb="4" eb="6">
      <t>ノウグ</t>
    </rPh>
    <rPh sb="7" eb="9">
      <t>コウニュウ</t>
    </rPh>
    <rPh sb="9" eb="10">
      <t>ヒ</t>
    </rPh>
    <rPh sb="10" eb="11">
      <t>トウ</t>
    </rPh>
    <phoneticPr fontId="6"/>
  </si>
  <si>
    <t xml:space="preserve"> 　作業ごとの延べ作業時間とその作業に携わった実人数を記入してください。</t>
    <rPh sb="23" eb="24">
      <t>ジツ</t>
    </rPh>
    <phoneticPr fontId="6"/>
  </si>
  <si>
    <t>実
人数</t>
    <rPh sb="0" eb="1">
      <t>ジツ</t>
    </rPh>
    <rPh sb="2" eb="4">
      <t>ニンズウ</t>
    </rPh>
    <phoneticPr fontId="6"/>
  </si>
  <si>
    <t>事務所</t>
    <rPh sb="0" eb="2">
      <t>ジム</t>
    </rPh>
    <rPh sb="2" eb="3">
      <t>ショ</t>
    </rPh>
    <phoneticPr fontId="38"/>
  </si>
  <si>
    <t>作業場</t>
    <phoneticPr fontId="38"/>
  </si>
  <si>
    <t>車庫</t>
    <rPh sb="0" eb="2">
      <t>シャコ</t>
    </rPh>
    <phoneticPr fontId="38"/>
  </si>
  <si>
    <t>ライスセンター</t>
    <phoneticPr fontId="38"/>
  </si>
  <si>
    <t>育苗ハウス</t>
    <rPh sb="0" eb="2">
      <t>イクビョウ</t>
    </rPh>
    <phoneticPr fontId="38"/>
  </si>
  <si>
    <t>稲架</t>
    <rPh sb="0" eb="1">
      <t>イネ</t>
    </rPh>
    <rPh sb="1" eb="2">
      <t>カ</t>
    </rPh>
    <phoneticPr fontId="38"/>
  </si>
  <si>
    <t>作業道</t>
    <phoneticPr fontId="38"/>
  </si>
  <si>
    <t>50～80馬力未満</t>
    <rPh sb="5" eb="7">
      <t>バリキ</t>
    </rPh>
    <rPh sb="7" eb="9">
      <t>ミマン</t>
    </rPh>
    <phoneticPr fontId="38"/>
  </si>
  <si>
    <t>80～100馬力未満</t>
    <rPh sb="6" eb="8">
      <t>バリキ</t>
    </rPh>
    <rPh sb="8" eb="10">
      <t>ミマン</t>
    </rPh>
    <phoneticPr fontId="38"/>
  </si>
  <si>
    <t>100馬力以上</t>
    <rPh sb="3" eb="5">
      <t>バリキ</t>
    </rPh>
    <rPh sb="5" eb="7">
      <t>イジョウ</t>
    </rPh>
    <phoneticPr fontId="38"/>
  </si>
  <si>
    <t>６～７条植</t>
    <rPh sb="3" eb="4">
      <t>ジョウ</t>
    </rPh>
    <rPh sb="4" eb="5">
      <t>ウエ</t>
    </rPh>
    <phoneticPr fontId="38"/>
  </si>
  <si>
    <t>８条植以上</t>
    <rPh sb="1" eb="2">
      <t>ジョウ</t>
    </rPh>
    <rPh sb="2" eb="3">
      <t>ウエ</t>
    </rPh>
    <rPh sb="3" eb="5">
      <t>イジョウ</t>
    </rPh>
    <phoneticPr fontId="38"/>
  </si>
  <si>
    <t>４～５条刈</t>
    <rPh sb="3" eb="4">
      <t>ジョウ</t>
    </rPh>
    <rPh sb="4" eb="5">
      <t>カリ</t>
    </rPh>
    <phoneticPr fontId="38"/>
  </si>
  <si>
    <t>６条以上</t>
    <rPh sb="1" eb="2">
      <t>ジョウ</t>
    </rPh>
    <rPh sb="2" eb="4">
      <t>イジョウ</t>
    </rPh>
    <phoneticPr fontId="38"/>
  </si>
  <si>
    <t>ドローン</t>
    <phoneticPr fontId="38"/>
  </si>
  <si>
    <t>[03]さとのそら（利根３号）</t>
    <rPh sb="10" eb="12">
      <t>トネ</t>
    </rPh>
    <rPh sb="13" eb="14">
      <t>ゴウ</t>
    </rPh>
    <phoneticPr fontId="5"/>
  </si>
  <si>
    <t>[23]ちくしＷ２号</t>
    <rPh sb="9" eb="10">
      <t>ゴウ</t>
    </rPh>
    <phoneticPr fontId="5"/>
  </si>
  <si>
    <t>[24]せときらら</t>
    <phoneticPr fontId="5"/>
  </si>
  <si>
    <t>[25]ナンブコムギ</t>
    <phoneticPr fontId="5"/>
  </si>
  <si>
    <t>[26]ふくほのか</t>
    <phoneticPr fontId="5"/>
  </si>
  <si>
    <t>[27]ゆめあかり</t>
    <phoneticPr fontId="5"/>
  </si>
  <si>
    <t>[28]ゆめかおり（東山42号）</t>
    <rPh sb="10" eb="12">
      <t>ヒガシヤマ</t>
    </rPh>
    <rPh sb="14" eb="15">
      <t>ゴウ</t>
    </rPh>
    <phoneticPr fontId="5"/>
  </si>
  <si>
    <t>[33]ドローン</t>
    <phoneticPr fontId="5"/>
  </si>
  <si>
    <t>[3]５０～８０馬力未満</t>
    <rPh sb="10" eb="12">
      <t>ミマン</t>
    </rPh>
    <phoneticPr fontId="85"/>
  </si>
  <si>
    <t>[4]８０～１００馬力未満</t>
    <rPh sb="11" eb="13">
      <t>ミマン</t>
    </rPh>
    <phoneticPr fontId="85"/>
  </si>
  <si>
    <t>[5]１００馬力以上</t>
    <phoneticPr fontId="5"/>
  </si>
  <si>
    <t>[3]６～７条植</t>
    <rPh sb="7" eb="8">
      <t>ウエ</t>
    </rPh>
    <phoneticPr fontId="68"/>
  </si>
  <si>
    <t>[4]８条植以上</t>
    <rPh sb="5" eb="6">
      <t>ウエ</t>
    </rPh>
    <rPh sb="6" eb="8">
      <t>イジョウ</t>
    </rPh>
    <phoneticPr fontId="68"/>
  </si>
  <si>
    <t>[2]４～５条刈</t>
    <phoneticPr fontId="5"/>
  </si>
  <si>
    <t>[2]４～５条刈</t>
    <phoneticPr fontId="6"/>
  </si>
  <si>
    <t>[3]６条刈以上</t>
    <phoneticPr fontId="5"/>
  </si>
  <si>
    <t>[3]６条刈以上</t>
    <phoneticPr fontId="6"/>
  </si>
  <si>
    <t>[6]その他</t>
    <rPh sb="5" eb="6">
      <t>タ</t>
    </rPh>
    <phoneticPr fontId="5"/>
  </si>
  <si>
    <t>[3]５０～８０馬力未満</t>
    <rPh sb="10" eb="12">
      <t>ミマン</t>
    </rPh>
    <phoneticPr fontId="26"/>
  </si>
  <si>
    <t>[4]８０～１００馬力未満</t>
    <rPh sb="11" eb="13">
      <t>ミマン</t>
    </rPh>
    <phoneticPr fontId="26"/>
  </si>
  <si>
    <t>[5]１００馬力以上</t>
    <phoneticPr fontId="26"/>
  </si>
  <si>
    <r>
      <t>[</t>
    </r>
    <r>
      <rPr>
        <sz val="11"/>
        <color theme="1"/>
        <rFont val="ＭＳ Ｐゴシック"/>
        <family val="2"/>
        <charset val="128"/>
        <scheme val="minor"/>
      </rPr>
      <t>08]たい肥等散布機</t>
    </r>
    <rPh sb="6" eb="7">
      <t>ヒ</t>
    </rPh>
    <rPh sb="7" eb="8">
      <t>トウ</t>
    </rPh>
    <rPh sb="8" eb="10">
      <t>サンプ</t>
    </rPh>
    <rPh sb="10" eb="11">
      <t>キ</t>
    </rPh>
    <phoneticPr fontId="3"/>
  </si>
  <si>
    <r>
      <t>[</t>
    </r>
    <r>
      <rPr>
        <sz val="11"/>
        <color theme="1"/>
        <rFont val="ＭＳ Ｐゴシック"/>
        <family val="2"/>
        <charset val="128"/>
        <scheme val="minor"/>
      </rPr>
      <t>09]肥料散布機</t>
    </r>
    <rPh sb="4" eb="6">
      <t>ヒリョウ</t>
    </rPh>
    <rPh sb="6" eb="8">
      <t>サンプ</t>
    </rPh>
    <rPh sb="8" eb="9">
      <t>キ</t>
    </rPh>
    <phoneticPr fontId="3"/>
  </si>
  <si>
    <r>
      <t>[10</t>
    </r>
    <r>
      <rPr>
        <sz val="11"/>
        <color theme="1"/>
        <rFont val="ＭＳ Ｐゴシック"/>
        <family val="2"/>
        <charset val="128"/>
        <scheme val="minor"/>
      </rPr>
      <t>]総合は種機</t>
    </r>
    <rPh sb="4" eb="6">
      <t>ソウゴウ</t>
    </rPh>
    <rPh sb="7" eb="9">
      <t>シュキ</t>
    </rPh>
    <phoneticPr fontId="3"/>
  </si>
  <si>
    <t>[3]６～７条植</t>
    <rPh sb="7" eb="8">
      <t>ウエ</t>
    </rPh>
    <phoneticPr fontId="26"/>
  </si>
  <si>
    <t>[4]８条植以上</t>
    <rPh sb="5" eb="6">
      <t>ウエ</t>
    </rPh>
    <rPh sb="6" eb="8">
      <t>イジョウ</t>
    </rPh>
    <phoneticPr fontId="26"/>
  </si>
  <si>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</si>
  <si>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</si>
  <si>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r>
      <t>[</t>
    </r>
    <r>
      <rPr>
        <sz val="11"/>
        <color theme="1"/>
        <rFont val="ＭＳ Ｐゴシック"/>
        <family val="2"/>
        <charset val="128"/>
        <scheme val="minor"/>
      </rPr>
      <t>22]そば収穫機</t>
    </r>
    <rPh sb="6" eb="9">
      <t>シュウカクキ</t>
    </rPh>
    <phoneticPr fontId="3"/>
  </si>
  <si>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</si>
  <si>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r>
      <t>[25</t>
    </r>
    <r>
      <rPr>
        <sz val="11"/>
        <color theme="1"/>
        <rFont val="ＭＳ Ｐゴシック"/>
        <family val="2"/>
        <charset val="128"/>
        <scheme val="minor"/>
      </rPr>
      <t>]ばれいしょ収穫機</t>
    </r>
    <rPh sb="9" eb="11">
      <t>シュウカク</t>
    </rPh>
    <rPh sb="11" eb="12">
      <t>キ</t>
    </rPh>
    <phoneticPr fontId="3"/>
  </si>
  <si>
    <r>
      <t>[26</t>
    </r>
    <r>
      <rPr>
        <sz val="11"/>
        <color theme="1"/>
        <rFont val="ＭＳ Ｐゴシック"/>
        <family val="2"/>
        <charset val="128"/>
        <scheme val="minor"/>
      </rPr>
      <t>]なたね収穫機</t>
    </r>
    <rPh sb="7" eb="9">
      <t>シュウカク</t>
    </rPh>
    <rPh sb="9" eb="10">
      <t>キ</t>
    </rPh>
    <phoneticPr fontId="3"/>
  </si>
  <si>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</si>
  <si>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</si>
  <si>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</si>
  <si>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[33]ドローン</t>
    <phoneticPr fontId="54"/>
  </si>
  <si>
    <t>表示行数</t>
    <rPh sb="0" eb="4">
      <t>ヒョウジギョウスウ</t>
    </rPh>
    <phoneticPr fontId="5"/>
  </si>
  <si>
    <t>１等</t>
    <rPh sb="1" eb="2">
      <t>トウ</t>
    </rPh>
    <phoneticPr fontId="5"/>
  </si>
  <si>
    <t>２等</t>
    <rPh sb="1" eb="2">
      <t>トウ</t>
    </rPh>
    <phoneticPr fontId="5"/>
  </si>
  <si>
    <t>規格外A</t>
    <rPh sb="0" eb="3">
      <t>キカクガイ</t>
    </rPh>
    <phoneticPr fontId="5"/>
  </si>
  <si>
    <t>規格外B</t>
    <rPh sb="0" eb="3">
      <t>キカクガイ</t>
    </rPh>
    <phoneticPr fontId="5"/>
  </si>
  <si>
    <t>購入</t>
    <rPh sb="0" eb="2">
      <t>コウニュウ</t>
    </rPh>
    <phoneticPr fontId="5"/>
  </si>
  <si>
    <t>自給</t>
    <rPh sb="0" eb="2">
      <t>ジキュウ</t>
    </rPh>
    <phoneticPr fontId="5"/>
  </si>
  <si>
    <t>表示行数</t>
    <rPh sb="0" eb="4">
      <t>ヒョウジギョウスウ</t>
    </rPh>
    <phoneticPr fontId="5"/>
  </si>
  <si>
    <t>窒素質肥料</t>
    <rPh sb="0" eb="3">
      <t>チッソシツ</t>
    </rPh>
    <rPh sb="3" eb="5">
      <t>ヒリョウ</t>
    </rPh>
    <phoneticPr fontId="5"/>
  </si>
  <si>
    <t>りん酸質肥料</t>
    <rPh sb="2" eb="3">
      <t>サン</t>
    </rPh>
    <rPh sb="3" eb="4">
      <t>シツ</t>
    </rPh>
    <rPh sb="4" eb="6">
      <t>ヒリョウ</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</si>
  <si>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</si>
  <si>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</si>
  <si>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</si>
  <si>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複合肥料</t>
    <rPh sb="0" eb="4">
      <t>フクゴウヒリョウ</t>
    </rPh>
    <phoneticPr fontId="5"/>
  </si>
  <si>
    <t>殺虫剤</t>
    <rPh sb="0" eb="3">
      <t>サッチュウザイ</t>
    </rPh>
    <phoneticPr fontId="5"/>
  </si>
  <si>
    <t>殺菌剤</t>
    <rPh sb="0" eb="3">
      <t>サッキンザイ</t>
    </rPh>
    <phoneticPr fontId="5"/>
  </si>
  <si>
    <t>殺虫殺菌剤</t>
    <rPh sb="0" eb="5">
      <t>サッチュウサッキンザイ</t>
    </rPh>
    <phoneticPr fontId="5"/>
  </si>
  <si>
    <t>除草剤</t>
    <rPh sb="0" eb="3">
      <t>ジョソウザイ</t>
    </rPh>
    <phoneticPr fontId="5"/>
  </si>
  <si>
    <t>購入</t>
    <rPh sb="0" eb="2">
      <t>コウニュウ</t>
    </rPh>
    <phoneticPr fontId="5"/>
  </si>
  <si>
    <t>自給</t>
    <rPh sb="0" eb="2">
      <t>ジキュウ</t>
    </rPh>
    <phoneticPr fontId="5"/>
  </si>
  <si>
    <t>短期</t>
    <rPh sb="0" eb="2">
      <t>タンキ</t>
    </rPh>
    <phoneticPr fontId="5"/>
  </si>
  <si>
    <t>長期</t>
    <rPh sb="0" eb="2">
      <t>チョウキ</t>
    </rPh>
    <phoneticPr fontId="5"/>
  </si>
  <si>
    <t>表示行数</t>
    <rPh sb="0" eb="4">
      <t>ヒョウジギョウスウ</t>
    </rPh>
    <phoneticPr fontId="5"/>
  </si>
  <si>
    <t>【10】  農具の購入費・生産管理関係の費用等</t>
    <rPh sb="6" eb="8">
      <t>ノウグ</t>
    </rPh>
    <rPh sb="9" eb="12">
      <t>コウニュウヒ</t>
    </rPh>
    <phoneticPr fontId="6"/>
  </si>
  <si>
    <t>作付面積(a)</t>
    <rPh sb="0" eb="2">
      <t>サクツケ</t>
    </rPh>
    <rPh sb="2" eb="4">
      <t>メンセキ</t>
    </rPh>
    <phoneticPr fontId="6"/>
  </si>
  <si>
    <t>(計)</t>
    <rPh sb="1" eb="2">
      <t>ケイ</t>
    </rPh>
    <phoneticPr fontId="5"/>
  </si>
  <si>
    <t>－</t>
    <phoneticPr fontId="5"/>
  </si>
  <si>
    <t>注：数量の「計」は内訳の単純合計であるため、内訳の単位が複数ある場合は注意すること
　（単価、10a当たりは種量もこの数量を基に算出）。</t>
    <phoneticPr fontId="5"/>
  </si>
  <si>
    <t>10a当たりは種量</t>
    <rPh sb="3" eb="4">
      <t>ア</t>
    </rPh>
    <rPh sb="7" eb="8">
      <t>タネ</t>
    </rPh>
    <rPh sb="8" eb="9">
      <t>リョウ</t>
    </rPh>
    <phoneticPr fontId="6"/>
  </si>
  <si>
    <t>当年産の10a
当たり収量(kg/10a)</t>
    <rPh sb="0" eb="3">
      <t>トウネンサン</t>
    </rPh>
    <rPh sb="8" eb="9">
      <t>ア</t>
    </rPh>
    <rPh sb="11" eb="13">
      <t>シュウリョウ</t>
    </rPh>
    <phoneticPr fontId="6"/>
  </si>
  <si>
    <t>平年収量対比(%)</t>
    <rPh sb="0" eb="4">
      <t>ヘイネンシュウリョウ</t>
    </rPh>
    <rPh sb="4" eb="6">
      <t>タイヒ</t>
    </rPh>
    <phoneticPr fontId="6"/>
  </si>
  <si>
    <t>　    　経営している耕地の状況、構成員の人数や構成農家の世帯数、小麦生産における</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コムギ</t>
    </rPh>
    <rPh sb="36" eb="38">
      <t>セイサン</t>
    </rPh>
    <phoneticPr fontId="6"/>
  </si>
  <si>
    <t>【３】　小麦の生産のために使用した資材等</t>
    <rPh sb="4" eb="6">
      <t>コムギ</t>
    </rPh>
    <rPh sb="7" eb="9">
      <t>セイサン</t>
    </rPh>
    <rPh sb="13" eb="15">
      <t>シヨウ</t>
    </rPh>
    <rPh sb="17" eb="19">
      <t>シザイ</t>
    </rPh>
    <rPh sb="19" eb="20">
      <t>トウ</t>
    </rPh>
    <phoneticPr fontId="6"/>
  </si>
  <si>
    <t>小麦
負担割合（％）</t>
    <rPh sb="0" eb="2">
      <t>コムギ</t>
    </rPh>
    <rPh sb="3" eb="5">
      <t>フタン</t>
    </rPh>
    <rPh sb="5" eb="7">
      <t>ワリアイ</t>
    </rPh>
    <phoneticPr fontId="6"/>
  </si>
  <si>
    <t xml:space="preserve"> 　直近５か年における小麦の10ａ当たり収量を記入してください。</t>
    <rPh sb="2" eb="4">
      <t>チョッキン</t>
    </rPh>
    <rPh sb="6" eb="7">
      <t>ネン</t>
    </rPh>
    <rPh sb="11" eb="13">
      <t>コムギ</t>
    </rPh>
    <rPh sb="17" eb="18">
      <t>ア</t>
    </rPh>
    <rPh sb="20" eb="22">
      <t>シュウリョウ</t>
    </rPh>
    <phoneticPr fontId="6"/>
  </si>
  <si>
    <t xml:space="preserve">  ５　小麦生産における作業受託・委託の状況</t>
    <rPh sb="4" eb="6">
      <t>コムギ</t>
    </rPh>
    <rPh sb="6" eb="8">
      <t>セイサン</t>
    </rPh>
    <rPh sb="12" eb="14">
      <t>サギョウ</t>
    </rPh>
    <rPh sb="14" eb="16">
      <t>ジュタク</t>
    </rPh>
    <rPh sb="17" eb="19">
      <t>イタク</t>
    </rPh>
    <rPh sb="20" eb="22">
      <t>ジョウキョウ</t>
    </rPh>
    <phoneticPr fontId="6"/>
  </si>
  <si>
    <t>　６　小麦の品種別作付面積</t>
    <rPh sb="3" eb="5">
      <t>コムギ</t>
    </rPh>
    <rPh sb="6" eb="8">
      <t>ヒンシュ</t>
    </rPh>
    <rPh sb="7" eb="8">
      <t>サクツケ</t>
    </rPh>
    <rPh sb="8" eb="9">
      <t>ベツ</t>
    </rPh>
    <rPh sb="9" eb="11">
      <t>サクツケ</t>
    </rPh>
    <rPh sb="11" eb="13">
      <t>メンセキ</t>
    </rPh>
    <phoneticPr fontId="6"/>
  </si>
  <si>
    <t>　　当年産に作付けした小麦の品種名及びその作付面積を記入してください。</t>
    <rPh sb="2" eb="4">
      <t>トウネン</t>
    </rPh>
    <rPh sb="4" eb="5">
      <t>サン</t>
    </rPh>
    <rPh sb="6" eb="8">
      <t>サクツ</t>
    </rPh>
    <rPh sb="11" eb="13">
      <t>コムギ</t>
    </rPh>
    <rPh sb="14" eb="17">
      <t>ヒンシュメイ</t>
    </rPh>
    <rPh sb="17" eb="18">
      <t>オヨ</t>
    </rPh>
    <rPh sb="21" eb="23">
      <t>サクツケ</t>
    </rPh>
    <rPh sb="23" eb="25">
      <t>メンセキ</t>
    </rPh>
    <phoneticPr fontId="6"/>
  </si>
  <si>
    <t>注： 面積の合計が当年産の小麦作付面積です。</t>
    <rPh sb="0" eb="1">
      <t>チュウ</t>
    </rPh>
    <rPh sb="3" eb="5">
      <t>メンセキ</t>
    </rPh>
    <rPh sb="6" eb="8">
      <t>ゴウケイ</t>
    </rPh>
    <rPh sb="9" eb="10">
      <t>トウ</t>
    </rPh>
    <rPh sb="10" eb="12">
      <t>ネンサン</t>
    </rPh>
    <rPh sb="11" eb="12">
      <t>サン</t>
    </rPh>
    <rPh sb="13" eb="15">
      <t>コムギ</t>
    </rPh>
    <rPh sb="15" eb="17">
      <t>サクツケ</t>
    </rPh>
    <rPh sb="17" eb="18">
      <t>ヅラ</t>
    </rPh>
    <rPh sb="18" eb="19">
      <t>セキ</t>
    </rPh>
    <phoneticPr fontId="6"/>
  </si>
  <si>
    <t>　　当年産の小麦に係る制度受取金等について記入してください。</t>
    <rPh sb="2" eb="4">
      <t>トウネン</t>
    </rPh>
    <rPh sb="4" eb="5">
      <t>サン</t>
    </rPh>
    <rPh sb="6" eb="8">
      <t>コムギ</t>
    </rPh>
    <rPh sb="9" eb="10">
      <t>カカ</t>
    </rPh>
    <rPh sb="11" eb="13">
      <t>セイド</t>
    </rPh>
    <rPh sb="13" eb="16">
      <t>ウケトリキン</t>
    </rPh>
    <rPh sb="16" eb="17">
      <t>トウ</t>
    </rPh>
    <phoneticPr fontId="6"/>
  </si>
  <si>
    <t>【３】小麦の生産のために使用した資材等</t>
    <rPh sb="3" eb="5">
      <t>コムギ</t>
    </rPh>
    <rPh sb="6" eb="8">
      <t>セイサン</t>
    </rPh>
    <rPh sb="12" eb="14">
      <t>シヨウ</t>
    </rPh>
    <rPh sb="16" eb="18">
      <t>シザイ</t>
    </rPh>
    <rPh sb="18" eb="19">
      <t>トウ</t>
    </rPh>
    <phoneticPr fontId="6"/>
  </si>
  <si>
    <t>　　当年産の小麦生産のために使用した種子及び苗について、黄色の欄に記入してください。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6"/>
  </si>
  <si>
    <t xml:space="preserve">    当年産の小麦生産のために使用した肥料について、黄色の欄に記</t>
    <rPh sb="4" eb="6">
      <t>トウネン</t>
    </rPh>
    <rPh sb="6" eb="7">
      <t>サン</t>
    </rPh>
    <rPh sb="8" eb="10">
      <t>コムギ</t>
    </rPh>
    <rPh sb="10" eb="12">
      <t>セイサン</t>
    </rPh>
    <rPh sb="16" eb="18">
      <t>シヨウ</t>
    </rPh>
    <rPh sb="20" eb="22">
      <t>ヒリョウ</t>
    </rPh>
    <phoneticPr fontId="6"/>
  </si>
  <si>
    <t>小麦
負担割合
（％）</t>
    <rPh sb="3" eb="5">
      <t>フタン</t>
    </rPh>
    <rPh sb="5" eb="7">
      <t>ワリアイ</t>
    </rPh>
    <phoneticPr fontId="6"/>
  </si>
  <si>
    <t xml:space="preserve">  　当年産の小麦生産のために使用した肥料のうち、組織内で生産した肥料について記入して</t>
    <phoneticPr fontId="6"/>
  </si>
  <si>
    <t>　  当年産の小麦生産のために使用した農業薬剤について、黄色の「計」の欄に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6"/>
  </si>
  <si>
    <t>小麦
負担割合
（％）</t>
    <rPh sb="0" eb="2">
      <t>コムギ</t>
    </rPh>
    <rPh sb="3" eb="5">
      <t>フタン</t>
    </rPh>
    <rPh sb="5" eb="7">
      <t>ワリアイ</t>
    </rPh>
    <phoneticPr fontId="6"/>
  </si>
  <si>
    <t xml:space="preserve">  　当年産の小麦生産のために使用した光熱動力について、黄色の欄に記入してください。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コムギ</t>
    </rPh>
    <rPh sb="9" eb="11">
      <t>セイサン</t>
    </rPh>
    <rPh sb="15" eb="17">
      <t>シヨウ</t>
    </rPh>
    <rPh sb="19" eb="21">
      <t>コウネツ</t>
    </rPh>
    <rPh sb="21" eb="23">
      <t>ドウリョク</t>
    </rPh>
    <rPh sb="28" eb="30">
      <t>キイロ</t>
    </rPh>
    <rPh sb="31" eb="32">
      <t>ラン</t>
    </rPh>
    <phoneticPr fontId="6"/>
  </si>
  <si>
    <t>　  当年産の小麦生産のために使用した諸材料について、黄色の欄に記入してください。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コムギ</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6"/>
  </si>
  <si>
    <t>　  当年産の小麦生産のために支払った賃借料や料金について、黄色の「計」の欄に
　記入してください。
　　なお、内訳欄を利用して「計」の内訳を記入する場合は、その合計が「計」とな
　るよう記入してください。</t>
    <phoneticPr fontId="6"/>
  </si>
  <si>
    <t>　　１年間に負担した小麦生産に関係する物件税について、黄色の「計」の欄に記入してください。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6"/>
  </si>
  <si>
    <t xml:space="preserve"> 　 １年間に負担した小麦生産に関係する公課諸負担について、黄色の「計」の欄に記入してください。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6"/>
  </si>
  <si>
    <t xml:space="preserve"> 　 当年産の小麦生産のために負担した土地改良区費及び水利費等について、黄色の欄に記入してください。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6"/>
  </si>
  <si>
    <t>小麦作付ほ場負担金額（円）</t>
    <rPh sb="2" eb="4">
      <t>サクツケ</t>
    </rPh>
    <rPh sb="5" eb="6">
      <t>ジョウ</t>
    </rPh>
    <rPh sb="6" eb="8">
      <t>フタン</t>
    </rPh>
    <rPh sb="8" eb="10">
      <t>キンガク</t>
    </rPh>
    <rPh sb="11" eb="12">
      <t>エン</t>
    </rPh>
    <phoneticPr fontId="6"/>
  </si>
  <si>
    <t>小麦作付ほ場
負担金額（円）</t>
    <rPh sb="2" eb="4">
      <t>サクツケ</t>
    </rPh>
    <rPh sb="5" eb="6">
      <t>ジョウ</t>
    </rPh>
    <rPh sb="7" eb="9">
      <t>フタン</t>
    </rPh>
    <rPh sb="9" eb="10">
      <t>キン</t>
    </rPh>
    <rPh sb="10" eb="11">
      <t>ガク</t>
    </rPh>
    <rPh sb="12" eb="13">
      <t>エン</t>
    </rPh>
    <phoneticPr fontId="6"/>
  </si>
  <si>
    <t>　  当年産の小麦生産のための借入金及び支払利子につ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6"/>
  </si>
  <si>
    <t xml:space="preserve"> 　小麦生産のために使用した建物及び構築物の所有状況について記入してください。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6"/>
  </si>
  <si>
    <t>　 なお、１年間で新たに取得（新築）した場合は、該当建物等の「名称等」欄～「小麦負担割合」欄に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93"/>
  </si>
  <si>
    <t>小麦
負担
割合
（％）</t>
    <rPh sb="3" eb="5">
      <t>フタン</t>
    </rPh>
    <rPh sb="6" eb="8">
      <t>ワリアイ</t>
    </rPh>
    <phoneticPr fontId="38"/>
  </si>
  <si>
    <t xml:space="preserve"> 　小麦生産のために使用した自動車等の所有状況について記入してくだ</t>
    <rPh sb="10" eb="12">
      <t>シヨウ</t>
    </rPh>
    <rPh sb="14" eb="17">
      <t>ジドウシャ</t>
    </rPh>
    <rPh sb="17" eb="18">
      <t>トウ</t>
    </rPh>
    <rPh sb="19" eb="21">
      <t>ショユウ</t>
    </rPh>
    <rPh sb="21" eb="23">
      <t>ジョウキョウ</t>
    </rPh>
    <phoneticPr fontId="6"/>
  </si>
  <si>
    <t xml:space="preserve"> 「小麦負担割合」欄に記入してください。</t>
    <rPh sb="4" eb="6">
      <t>フタン</t>
    </rPh>
    <rPh sb="6" eb="8">
      <t>ワリアイ</t>
    </rPh>
    <rPh sb="9" eb="10">
      <t>ラン</t>
    </rPh>
    <phoneticPr fontId="6"/>
  </si>
  <si>
    <t>　 小麦生産のために使用した農業機械、パソコンやコピー機等の生産管理機器の所有状況について記入してください。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6"/>
  </si>
  <si>
    <t>　 なお、１年間で新たに取得した場合は、当該機械や機器の「名称等」欄～「小麦負担割合」欄に記入してください。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93"/>
  </si>
  <si>
    <t xml:space="preserve">    当年産の小麦生産のために使用したくわ類やかま類、コピー用紙等の購入費等について、黄色の「計」の欄に記入してください。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6"/>
  </si>
  <si>
    <t xml:space="preserve">   当年産の小麦生産のために作付けした所有地について記入してください。</t>
    <rPh sb="3" eb="5">
      <t>トウネン</t>
    </rPh>
    <rPh sb="5" eb="6">
      <t>サン</t>
    </rPh>
    <rPh sb="15" eb="17">
      <t>サクツ</t>
    </rPh>
    <rPh sb="20" eb="22">
      <t>ショユウ</t>
    </rPh>
    <rPh sb="22" eb="23">
      <t>チ</t>
    </rPh>
    <phoneticPr fontId="6"/>
  </si>
  <si>
    <t xml:space="preserve">   当年産の小麦生産のために使用した作付地以外の建物敷地等の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6"/>
  </si>
  <si>
    <t xml:space="preserve">   当年産の小麦生産のために作付けした借入地について記入してください。</t>
    <rPh sb="3" eb="5">
      <t>トウネン</t>
    </rPh>
    <rPh sb="5" eb="6">
      <t>サン</t>
    </rPh>
    <rPh sb="15" eb="17">
      <t>サクツ</t>
    </rPh>
    <rPh sb="20" eb="22">
      <t>カリイレ</t>
    </rPh>
    <rPh sb="22" eb="23">
      <t>チ</t>
    </rPh>
    <phoneticPr fontId="6"/>
  </si>
  <si>
    <t xml:space="preserve">   当年産の小麦生産のために使用した作付地以外の建物敷地等の借入地について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6"/>
  </si>
  <si>
    <t xml:space="preserve">   当年産の小麦生産における主な作業時間（受託による作業時間は含みません。）について記入してください。</t>
    <rPh sb="3" eb="5">
      <t>トウネン</t>
    </rPh>
    <rPh sb="5" eb="6">
      <t>サン</t>
    </rPh>
    <rPh sb="7" eb="9">
      <t>コムギ</t>
    </rPh>
    <rPh sb="9" eb="11">
      <t>セイサン</t>
    </rPh>
    <rPh sb="15" eb="16">
      <t>オモ</t>
    </rPh>
    <rPh sb="17" eb="19">
      <t>サギョウ</t>
    </rPh>
    <rPh sb="19" eb="21">
      <t>ジカン</t>
    </rPh>
    <rPh sb="22" eb="24">
      <t>ジュタク</t>
    </rPh>
    <rPh sb="27" eb="29">
      <t>サギョウ</t>
    </rPh>
    <rPh sb="29" eb="31">
      <t>ジカン</t>
    </rPh>
    <rPh sb="32" eb="33">
      <t>フク</t>
    </rPh>
    <phoneticPr fontId="6"/>
  </si>
  <si>
    <t xml:space="preserve">   当年産の小麦生産のために雇用者に支払った労賃（現物支給も含む。）を記入してください。</t>
    <rPh sb="3" eb="5">
      <t>トウネン</t>
    </rPh>
    <rPh sb="5" eb="6">
      <t>サン</t>
    </rPh>
    <rPh sb="7" eb="9">
      <t>コムギ</t>
    </rPh>
    <rPh sb="9" eb="11">
      <t>セイサン</t>
    </rPh>
    <rPh sb="15" eb="18">
      <t>コヨウシャ</t>
    </rPh>
    <rPh sb="19" eb="21">
      <t>シハラ</t>
    </rPh>
    <rPh sb="23" eb="25">
      <t>ロウチン</t>
    </rPh>
    <rPh sb="26" eb="28">
      <t>ゲンブツ</t>
    </rPh>
    <rPh sb="28" eb="30">
      <t>シキュウ</t>
    </rPh>
    <rPh sb="31" eb="32">
      <t>フク</t>
    </rPh>
    <phoneticPr fontId="6"/>
  </si>
  <si>
    <t xml:space="preserve">    　作業受託・委託別状況、農業共済金及び助成金等について記入してください。</t>
    <rPh sb="5" eb="7">
      <t>サギョウ</t>
    </rPh>
    <rPh sb="7" eb="9">
      <t>ジュタク</t>
    </rPh>
    <rPh sb="10" eb="12">
      <t>イタク</t>
    </rPh>
    <rPh sb="12" eb="13">
      <t>ベツ</t>
    </rPh>
    <rPh sb="13" eb="15">
      <t>ジョウキョウ</t>
    </rPh>
    <rPh sb="16" eb="18">
      <t>ノウギョウ</t>
    </rPh>
    <rPh sb="18" eb="20">
      <t>キョウサイ</t>
    </rPh>
    <rPh sb="20" eb="21">
      <t>キン</t>
    </rPh>
    <rPh sb="21" eb="22">
      <t>オヨ</t>
    </rPh>
    <rPh sb="23" eb="26">
      <t>ジョセイキン</t>
    </rPh>
    <rPh sb="26" eb="27">
      <t>トウ</t>
    </rPh>
    <phoneticPr fontId="6"/>
  </si>
  <si>
    <t>　　　ライスセンター費等の賃借料・料金等について記入してください。</t>
    <phoneticPr fontId="6"/>
  </si>
  <si>
    <t>　　　　小麦の品質・用途別、麦わら及びふるい下麦等の販売状況等について記入して</t>
    <rPh sb="4" eb="6">
      <t>コムギ</t>
    </rPh>
    <rPh sb="7" eb="9">
      <t>ヒンシツ</t>
    </rPh>
    <rPh sb="10" eb="12">
      <t>ヨウト</t>
    </rPh>
    <rPh sb="12" eb="13">
      <t>ベツ</t>
    </rPh>
    <rPh sb="14" eb="15">
      <t>ムギ</t>
    </rPh>
    <rPh sb="17" eb="18">
      <t>オヨ</t>
    </rPh>
    <rPh sb="22" eb="23">
      <t>シタ</t>
    </rPh>
    <rPh sb="23" eb="24">
      <t>ムギ</t>
    </rPh>
    <rPh sb="24" eb="25">
      <t>トウ</t>
    </rPh>
    <rPh sb="26" eb="28">
      <t>ハンバイ</t>
    </rPh>
    <rPh sb="28" eb="30">
      <t>ジョウキョウ</t>
    </rPh>
    <rPh sb="30" eb="31">
      <t>トウ</t>
    </rPh>
    <rPh sb="35" eb="37">
      <t>キニュウ</t>
    </rPh>
    <phoneticPr fontId="6"/>
  </si>
  <si>
    <t>　　　ください。</t>
    <phoneticPr fontId="5"/>
  </si>
  <si>
    <t>２　麦わら、ふるい下麦等の販売状況等</t>
  </si>
  <si>
    <t>３　麦わら、ふるい下麦等の販売状況等</t>
    <rPh sb="2" eb="3">
      <t>ムギ</t>
    </rPh>
    <rPh sb="13" eb="15">
      <t>ハンバイ</t>
    </rPh>
    <rPh sb="15" eb="17">
      <t>ジョウキョウ</t>
    </rPh>
    <rPh sb="17" eb="18">
      <t>トウ</t>
    </rPh>
    <phoneticPr fontId="6"/>
  </si>
  <si>
    <t>　当年産の小麦生産で発生した麦わら及びふるい下麦等の状況について記入してください。</t>
    <rPh sb="1" eb="2">
      <t>トウ</t>
    </rPh>
    <rPh sb="2" eb="4">
      <t>ネンサン</t>
    </rPh>
    <rPh sb="3" eb="4">
      <t>サン</t>
    </rPh>
    <rPh sb="5" eb="7">
      <t>コムギ</t>
    </rPh>
    <rPh sb="7" eb="9">
      <t>セイサン</t>
    </rPh>
    <rPh sb="10" eb="12">
      <t>ハッセイ</t>
    </rPh>
    <rPh sb="14" eb="15">
      <t>ムギ</t>
    </rPh>
    <rPh sb="17" eb="18">
      <t>オヨ</t>
    </rPh>
    <rPh sb="26" eb="28">
      <t>ジョウキョウ</t>
    </rPh>
    <phoneticPr fontId="6"/>
  </si>
  <si>
    <t>「組織内消費麦わら」、「組織内消費規格外Ｂ」、「組織内消費規格外Ｃ」及び「組織内消費ふるい下麦等」の単価を記入してください。</t>
    <rPh sb="6" eb="7">
      <t>ムギ</t>
    </rPh>
    <rPh sb="17" eb="20">
      <t>キカクガイ</t>
    </rPh>
    <rPh sb="34" eb="35">
      <t>オヨ</t>
    </rPh>
    <rPh sb="50" eb="52">
      <t>タンカ</t>
    </rPh>
    <rPh sb="53" eb="55">
      <t>キニュウ</t>
    </rPh>
    <phoneticPr fontId="6"/>
  </si>
  <si>
    <t>ふるい下麦等</t>
    <phoneticPr fontId="62"/>
  </si>
  <si>
    <t>(2)　ふるい下麦等</t>
    <phoneticPr fontId="6"/>
  </si>
  <si>
    <t>「ふるい下麦等」数量を対象品目の麦数量から換算する係数を記入してください。</t>
    <phoneticPr fontId="6"/>
  </si>
  <si>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6"/>
  </si>
  <si>
    <t>ふるい下麦等</t>
    <phoneticPr fontId="6"/>
  </si>
  <si>
    <t>ふるい下麦等数量</t>
    <rPh sb="6" eb="8">
      <t>スウリョウ</t>
    </rPh>
    <phoneticPr fontId="6"/>
  </si>
  <si>
    <t>注：ふるい下麦等を全量廃棄した場合は係数の記入は不要です。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</si>
</sst>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7">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5">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52">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23" xfId="1" applyNumberFormat="1" applyFont="1" applyFill="1" applyBorder="1" applyAlignment="1" applyProtection="1">
      <alignment horizontal="right" vertical="center" shrinkToFit="1"/>
      <protection locked="0"/>
    </xf>
    <xf numFmtId="3" fontId="7" fillId="6" borderId="124"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25" xfId="1" applyNumberFormat="1" applyFont="1" applyFill="1" applyBorder="1" applyAlignment="1" applyProtection="1">
      <alignment horizontal="right" vertical="center" shrinkToFit="1"/>
      <protection locked="0"/>
    </xf>
    <xf numFmtId="3" fontId="7" fillId="4" borderId="126"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29" xfId="1" applyNumberFormat="1" applyFont="1" applyFill="1" applyBorder="1" applyAlignment="1" applyProtection="1">
      <alignment horizontal="right" vertical="center" shrinkToFit="1"/>
      <protection locked="0"/>
    </xf>
    <xf numFmtId="3" fontId="7" fillId="4" borderId="130"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1"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2"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34"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36"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44"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49"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1" xfId="2" applyNumberFormat="1" applyFont="1" applyBorder="1" applyAlignment="1" applyProtection="1">
      <alignment horizontal="right" vertical="center" shrinkToFit="1"/>
    </xf>
    <xf numFmtId="180" fontId="7" fillId="0" borderId="152"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54"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55" xfId="1" applyFont="1" applyBorder="1" applyAlignment="1">
      <alignment horizontal="distributed" vertical="center"/>
    </xf>
    <xf numFmtId="0" fontId="25" fillId="0" borderId="156" xfId="1" applyFont="1" applyBorder="1" applyAlignment="1">
      <alignment horizontal="distributed" vertical="center"/>
    </xf>
    <xf numFmtId="0" fontId="3" fillId="0" borderId="157" xfId="1" applyBorder="1" applyAlignment="1">
      <alignment horizontal="center" vertical="center"/>
    </xf>
    <xf numFmtId="0" fontId="55" fillId="0" borderId="158" xfId="1" applyFont="1" applyBorder="1"/>
    <xf numFmtId="0" fontId="3" fillId="0" borderId="159" xfId="1" applyBorder="1"/>
    <xf numFmtId="0" fontId="72" fillId="0" borderId="0" xfId="1" applyFont="1"/>
    <xf numFmtId="0" fontId="34" fillId="0" borderId="158" xfId="1" applyFont="1" applyBorder="1"/>
    <xf numFmtId="0" fontId="33" fillId="0" borderId="158"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9" xfId="1" applyBorder="1" applyAlignment="1">
      <alignment horizontal="left"/>
    </xf>
    <xf numFmtId="0" fontId="3" fillId="0" borderId="0" xfId="1" applyAlignment="1">
      <alignment horizontal="left"/>
    </xf>
    <xf numFmtId="0" fontId="9" fillId="0" borderId="158" xfId="1" applyFont="1" applyBorder="1" applyAlignment="1">
      <alignment vertical="center" justifyLastLine="1"/>
    </xf>
    <xf numFmtId="0" fontId="9" fillId="0" borderId="0" xfId="1" applyFont="1" applyAlignment="1">
      <alignment vertical="center" textRotation="255"/>
    </xf>
    <xf numFmtId="0" fontId="9" fillId="0" borderId="159" xfId="1" applyFont="1" applyBorder="1" applyAlignment="1">
      <alignment vertical="center"/>
    </xf>
    <xf numFmtId="0" fontId="24" fillId="0" borderId="0" xfId="1" applyFont="1" applyAlignment="1">
      <alignment horizontal="center" vertical="center"/>
    </xf>
    <xf numFmtId="0" fontId="9" fillId="0" borderId="158" xfId="1" applyFont="1" applyBorder="1" applyAlignment="1">
      <alignment vertical="distributed" textRotation="255" wrapText="1" justifyLastLine="1"/>
    </xf>
    <xf numFmtId="0" fontId="9" fillId="0" borderId="0" xfId="1" applyFont="1" applyAlignment="1">
      <alignment horizontal="left" vertical="center"/>
    </xf>
    <xf numFmtId="0" fontId="46" fillId="0" borderId="159" xfId="1" applyFont="1" applyBorder="1" applyAlignment="1">
      <alignment horizontal="right" vertical="top" wrapText="1"/>
    </xf>
    <xf numFmtId="0" fontId="9" fillId="0" borderId="158" xfId="1" applyFont="1" applyBorder="1" applyAlignment="1">
      <alignment vertical="distributed" textRotation="255" justifyLastLine="1"/>
    </xf>
    <xf numFmtId="0" fontId="3" fillId="0" borderId="159"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59" xfId="1" applyFont="1" applyBorder="1" applyAlignment="1">
      <alignment horizontal="center" vertical="top"/>
    </xf>
    <xf numFmtId="0" fontId="6" fillId="0" borderId="159" xfId="1" applyFont="1" applyBorder="1" applyAlignment="1">
      <alignment vertical="top"/>
    </xf>
    <xf numFmtId="49" fontId="9" fillId="0" borderId="0" xfId="1" applyNumberFormat="1" applyFont="1" applyAlignment="1">
      <alignment horizontal="left"/>
    </xf>
    <xf numFmtId="0" fontId="3" fillId="0" borderId="158" xfId="1" applyBorder="1"/>
    <xf numFmtId="0" fontId="3" fillId="0" borderId="156" xfId="1" applyBorder="1"/>
    <xf numFmtId="0" fontId="9" fillId="0" borderId="156" xfId="1" applyFont="1" applyBorder="1"/>
    <xf numFmtId="0" fontId="3" fillId="0" borderId="160" xfId="1" applyBorder="1"/>
    <xf numFmtId="0" fontId="9" fillId="0" borderId="161" xfId="1" applyFont="1" applyBorder="1"/>
    <xf numFmtId="0" fontId="3" fillId="0" borderId="162" xfId="1" applyBorder="1"/>
    <xf numFmtId="0" fontId="3" fillId="0" borderId="163" xfId="1" applyBorder="1"/>
    <xf numFmtId="0" fontId="3" fillId="0" borderId="164" xfId="1" applyBorder="1"/>
    <xf numFmtId="0" fontId="3" fillId="0" borderId="165" xfId="1" applyBorder="1"/>
    <xf numFmtId="0" fontId="9" fillId="0" borderId="166" xfId="1" applyFont="1" applyBorder="1" applyAlignment="1">
      <alignment vertical="top" wrapText="1"/>
    </xf>
    <xf numFmtId="0" fontId="3" fillId="0" borderId="167"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0" xfId="1" applyNumberFormat="1" applyFont="1" applyBorder="1" applyAlignment="1">
      <alignment horizontal="right" vertical="center" shrinkToFit="1"/>
    </xf>
    <xf numFmtId="49" fontId="9" fillId="0" borderId="171" xfId="1" applyNumberFormat="1" applyFont="1" applyBorder="1" applyAlignment="1">
      <alignment horizontal="center" vertical="center" shrinkToFit="1"/>
    </xf>
    <xf numFmtId="3" fontId="7" fillId="3" borderId="172" xfId="1" applyNumberFormat="1" applyFont="1" applyFill="1" applyBorder="1" applyAlignment="1" applyProtection="1">
      <alignment horizontal="right" vertical="center" shrinkToFit="1"/>
      <protection locked="0"/>
    </xf>
    <xf numFmtId="0" fontId="65" fillId="0" borderId="173" xfId="1" applyFont="1" applyBorder="1" applyAlignment="1">
      <alignment horizontal="center" vertical="center"/>
    </xf>
    <xf numFmtId="49" fontId="9" fillId="4" borderId="176"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77" xfId="1" applyNumberFormat="1" applyFont="1" applyFill="1" applyBorder="1" applyAlignment="1" applyProtection="1">
      <alignment horizontal="center" vertical="center" shrinkToFit="1"/>
      <protection locked="0"/>
    </xf>
    <xf numFmtId="3" fontId="7" fillId="4" borderId="178"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79"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49" fontId="9" fillId="3" borderId="186" xfId="1" applyNumberFormat="1" applyFont="1" applyFill="1" applyBorder="1" applyAlignment="1" applyProtection="1">
      <alignment horizontal="center" vertical="center" wrapText="1"/>
      <protection locked="0"/>
    </xf>
    <xf numFmtId="3" fontId="7" fillId="3" borderId="187"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0" fontId="45" fillId="0" borderId="4" xfId="1" applyFont="1" applyBorder="1" applyAlignment="1">
      <alignment horizontal="center" vertical="center" shrinkToFit="1"/>
    </xf>
    <xf numFmtId="49" fontId="9" fillId="3" borderId="191"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2"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94"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shrinkToFit="1"/>
      <protection locked="0"/>
    </xf>
    <xf numFmtId="4" fontId="7" fillId="7" borderId="196" xfId="1" applyNumberFormat="1" applyFont="1" applyFill="1" applyBorder="1" applyAlignment="1" applyProtection="1">
      <alignment horizontal="right" vertical="center" shrinkToFit="1"/>
      <protection locked="0"/>
    </xf>
    <xf numFmtId="3" fontId="45" fillId="0" borderId="197"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3" fillId="0" borderId="18" xfId="1" applyBorder="1" applyAlignment="1">
      <alignment horizontal="distributed" vertical="center"/>
    </xf>
    <xf numFmtId="0" fontId="3" fillId="0" borderId="198" xfId="1" applyBorder="1" applyAlignment="1">
      <alignment horizontal="distributed" vertical="center"/>
    </xf>
    <xf numFmtId="0" fontId="24" fillId="0" borderId="198"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02" xfId="1" applyNumberFormat="1" applyFont="1" applyBorder="1" applyAlignment="1">
      <alignment horizontal="right" vertical="center" shrinkToFit="1"/>
    </xf>
    <xf numFmtId="3" fontId="7" fillId="3" borderId="203" xfId="1" applyNumberFormat="1" applyFont="1" applyFill="1" applyBorder="1" applyAlignment="1" applyProtection="1">
      <alignment horizontal="right" vertical="center" shrinkToFit="1"/>
      <protection locked="0"/>
    </xf>
    <xf numFmtId="49" fontId="9" fillId="4" borderId="204"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05" xfId="1" applyNumberFormat="1" applyFont="1" applyFill="1" applyBorder="1" applyAlignment="1" applyProtection="1">
      <alignment horizontal="center" vertical="center" shrinkToFit="1"/>
      <protection locked="0"/>
    </xf>
    <xf numFmtId="3" fontId="7" fillId="4" borderId="206" xfId="1" applyNumberFormat="1" applyFont="1" applyFill="1" applyBorder="1" applyAlignment="1" applyProtection="1">
      <alignment horizontal="right" vertical="center" shrinkToFit="1"/>
      <protection locked="0"/>
    </xf>
    <xf numFmtId="186" fontId="7" fillId="4" borderId="128" xfId="1" applyNumberFormat="1" applyFont="1" applyFill="1" applyBorder="1" applyAlignment="1" applyProtection="1">
      <alignment horizontal="right" vertical="center" shrinkToFit="1"/>
      <protection locked="0"/>
    </xf>
    <xf numFmtId="3" fontId="7" fillId="4" borderId="207"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08"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0" xfId="1" applyNumberFormat="1" applyFont="1" applyBorder="1" applyAlignment="1">
      <alignment horizontal="center" vertical="center" shrinkToFit="1"/>
    </xf>
    <xf numFmtId="4" fontId="7" fillId="7" borderId="211" xfId="1" applyNumberFormat="1" applyFont="1" applyFill="1" applyBorder="1" applyAlignment="1" applyProtection="1">
      <alignment horizontal="right" vertical="center" shrinkToFit="1"/>
      <protection locked="0"/>
    </xf>
    <xf numFmtId="3" fontId="45" fillId="0" borderId="212"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14" xfId="1" applyNumberFormat="1" applyFont="1" applyFill="1" applyBorder="1" applyAlignment="1" applyProtection="1">
      <alignment horizontal="center" vertical="center" wrapText="1"/>
      <protection locked="0"/>
    </xf>
    <xf numFmtId="3" fontId="7" fillId="3" borderId="215" xfId="1" applyNumberFormat="1" applyFont="1" applyFill="1" applyBorder="1" applyAlignment="1" applyProtection="1">
      <alignment horizontal="right" vertical="center" shrinkToFit="1"/>
      <protection locked="0"/>
    </xf>
    <xf numFmtId="49" fontId="9" fillId="3" borderId="216"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8"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21" xfId="1" applyNumberFormat="1" applyFont="1" applyBorder="1" applyAlignment="1">
      <alignment horizontal="right" vertical="center" shrinkToFit="1"/>
    </xf>
    <xf numFmtId="49" fontId="9" fillId="0" borderId="222" xfId="1" applyNumberFormat="1" applyFont="1" applyBorder="1" applyAlignment="1">
      <alignment horizontal="center" vertical="center" shrinkToFit="1"/>
    </xf>
    <xf numFmtId="3" fontId="7" fillId="3" borderId="223"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52"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27"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0" xfId="1" applyFont="1" applyBorder="1" applyAlignment="1">
      <alignment horizontal="left" vertical="top" wrapText="1"/>
    </xf>
    <xf numFmtId="3" fontId="7" fillId="0" borderId="231" xfId="1" applyNumberFormat="1" applyFont="1" applyBorder="1" applyAlignment="1">
      <alignment horizontal="right" vertical="center" shrinkToFit="1"/>
    </xf>
    <xf numFmtId="49" fontId="9" fillId="0" borderId="232"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35"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7" xfId="1" applyNumberFormat="1" applyFont="1" applyFill="1" applyBorder="1" applyAlignment="1" applyProtection="1">
      <alignment horizontal="right" vertical="center" shrinkToFit="1"/>
      <protection locked="0"/>
    </xf>
    <xf numFmtId="49" fontId="9" fillId="0" borderId="238" xfId="1" applyNumberFormat="1" applyFont="1" applyBorder="1" applyAlignment="1">
      <alignment horizontal="center" vertical="center" shrinkToFit="1"/>
    </xf>
    <xf numFmtId="49" fontId="9" fillId="0" borderId="239" xfId="1" applyNumberFormat="1" applyFont="1" applyBorder="1" applyAlignment="1">
      <alignment horizontal="center" vertical="center" shrinkToFit="1"/>
    </xf>
    <xf numFmtId="186" fontId="7" fillId="0" borderId="197" xfId="1" applyNumberFormat="1" applyFont="1" applyBorder="1" applyAlignment="1">
      <alignment horizontal="right" vertical="center" shrinkToFit="1"/>
    </xf>
    <xf numFmtId="0" fontId="60" fillId="0" borderId="241"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42" xfId="1" applyNumberFormat="1" applyFont="1" applyFill="1" applyBorder="1" applyAlignment="1" applyProtection="1">
      <alignment horizontal="right" vertical="center" shrinkToFit="1"/>
      <protection locked="0"/>
    </xf>
    <xf numFmtId="0" fontId="9" fillId="0" borderId="243"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4"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4"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9"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28"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53" xfId="1" applyFont="1" applyBorder="1" applyAlignment="1">
      <alignment vertical="center"/>
    </xf>
    <xf numFmtId="3" fontId="7" fillId="4" borderId="254"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55" xfId="1" applyFont="1" applyBorder="1" applyAlignment="1">
      <alignment horizontal="center" vertical="center" shrinkToFit="1"/>
    </xf>
    <xf numFmtId="49" fontId="9" fillId="0" borderId="256" xfId="1" applyNumberFormat="1" applyFont="1" applyBorder="1" applyAlignment="1">
      <alignment horizontal="center" vertical="center" shrinkToFit="1"/>
    </xf>
    <xf numFmtId="3" fontId="7" fillId="3" borderId="257" xfId="1" applyNumberFormat="1" applyFont="1" applyFill="1" applyBorder="1" applyAlignment="1" applyProtection="1">
      <alignment horizontal="right" vertical="center" shrinkToFit="1"/>
      <protection locked="0"/>
    </xf>
    <xf numFmtId="38" fontId="66" fillId="0" borderId="152"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9"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63"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4"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8"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0" xfId="1" applyFont="1" applyBorder="1" applyAlignment="1">
      <alignment horizontal="distributed" vertical="center"/>
    </xf>
    <xf numFmtId="0" fontId="24" fillId="0" borderId="269"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0" xfId="1" applyNumberFormat="1" applyFont="1" applyFill="1" applyBorder="1" applyAlignment="1" applyProtection="1">
      <alignment horizontal="right" vertical="center" shrinkToFit="1"/>
      <protection locked="0"/>
    </xf>
    <xf numFmtId="38" fontId="66" fillId="0" borderId="274"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8" xfId="1" applyNumberFormat="1" applyFont="1" applyFill="1" applyBorder="1" applyAlignment="1" applyProtection="1">
      <alignment horizontal="right" vertical="center" shrinkToFit="1"/>
      <protection locked="0"/>
    </xf>
    <xf numFmtId="49" fontId="9" fillId="3" borderId="279" xfId="1" applyNumberFormat="1" applyFont="1" applyFill="1" applyBorder="1" applyAlignment="1" applyProtection="1">
      <alignment horizontal="center" vertical="center" shrinkToFit="1"/>
      <protection locked="0"/>
    </xf>
    <xf numFmtId="0" fontId="84" fillId="0" borderId="284"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89" xfId="1" applyNumberFormat="1" applyFont="1" applyFill="1" applyBorder="1" applyAlignment="1" applyProtection="1">
      <alignment horizontal="right" vertical="center" shrinkToFit="1"/>
      <protection locked="0"/>
    </xf>
    <xf numFmtId="49" fontId="9" fillId="3" borderId="29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6" xfId="1" applyNumberFormat="1" applyFont="1" applyFill="1" applyBorder="1" applyAlignment="1" applyProtection="1">
      <alignment horizontal="right" vertical="center" shrinkToFit="1"/>
      <protection locked="0"/>
    </xf>
    <xf numFmtId="49" fontId="9" fillId="3" borderId="297" xfId="1" applyNumberFormat="1" applyFont="1" applyFill="1" applyBorder="1" applyAlignment="1" applyProtection="1">
      <alignment horizontal="center"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40" fontId="7" fillId="7" borderId="196" xfId="2" applyNumberFormat="1" applyFont="1" applyFill="1" applyBorder="1" applyAlignment="1" applyProtection="1">
      <alignment vertical="center" shrinkToFit="1"/>
      <protection locked="0"/>
    </xf>
    <xf numFmtId="38" fontId="66" fillId="0" borderId="304" xfId="2" applyFont="1" applyFill="1" applyBorder="1" applyAlignment="1" applyProtection="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5"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0" xfId="1" applyFont="1" applyBorder="1" applyAlignment="1">
      <alignment vertical="distributed" textRotation="255" justifyLastLine="1"/>
    </xf>
    <xf numFmtId="3" fontId="7" fillId="4" borderId="313"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1" xfId="1" applyNumberFormat="1" applyFont="1" applyFill="1" applyBorder="1" applyAlignment="1" applyProtection="1">
      <alignment horizontal="right" vertical="center" shrinkToFit="1"/>
      <protection locked="0"/>
    </xf>
    <xf numFmtId="49" fontId="9" fillId="3" borderId="32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3" fontId="7" fillId="3" borderId="128"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29"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38" fontId="66" fillId="0" borderId="152" xfId="2" applyFont="1" applyFill="1" applyBorder="1" applyAlignment="1" applyProtection="1">
      <alignment horizontal="right" vertical="center"/>
    </xf>
    <xf numFmtId="38" fontId="66" fillId="0" borderId="304" xfId="2" applyFont="1" applyFill="1" applyBorder="1" applyAlignment="1" applyProtection="1">
      <alignment horizontal="right" vertical="center"/>
    </xf>
    <xf numFmtId="3" fontId="7" fillId="0" borderId="151" xfId="1" applyNumberFormat="1" applyFont="1" applyBorder="1" applyAlignment="1">
      <alignment horizontal="right" vertical="center" shrinkToFit="1"/>
    </xf>
    <xf numFmtId="0" fontId="43" fillId="0" borderId="244"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52" xfId="1" applyNumberFormat="1" applyFont="1" applyBorder="1" applyAlignment="1">
      <alignment horizontal="right" vertical="center" shrinkToFit="1"/>
    </xf>
    <xf numFmtId="3" fontId="66" fillId="0" borderId="152" xfId="1" applyNumberFormat="1" applyFont="1" applyBorder="1" applyAlignment="1">
      <alignment horizontal="center" vertical="center" shrinkToFit="1"/>
    </xf>
    <xf numFmtId="180" fontId="7" fillId="0" borderId="152" xfId="2" applyNumberFormat="1" applyFont="1" applyFill="1" applyBorder="1" applyAlignment="1" applyProtection="1">
      <alignment horizontal="right" vertical="center" shrinkToFit="1"/>
    </xf>
    <xf numFmtId="0" fontId="3" fillId="0" borderId="244" xfId="1" applyBorder="1"/>
    <xf numFmtId="0" fontId="9" fillId="0" borderId="127" xfId="1" applyFont="1" applyBorder="1" applyAlignment="1">
      <alignment horizontal="distributed" vertical="center" justifyLastLine="1"/>
    </xf>
    <xf numFmtId="180" fontId="7" fillId="0" borderId="15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53" xfId="1" applyBorder="1"/>
    <xf numFmtId="0" fontId="9" fillId="0" borderId="60" xfId="1" applyFont="1" applyBorder="1" applyAlignment="1">
      <alignment vertical="distributed" textRotation="255" justifyLastLine="1"/>
    </xf>
    <xf numFmtId="0" fontId="9" fillId="0" borderId="121"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44"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44"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57" fillId="0" borderId="0" xfId="1" applyFont="1" applyAlignment="1">
      <alignment vertical="top"/>
    </xf>
    <xf numFmtId="0" fontId="25" fillId="0" borderId="24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4" xfId="1" applyBorder="1" applyAlignment="1">
      <alignment horizontal="distributed" vertical="center" justifyLastLine="1"/>
    </xf>
    <xf numFmtId="0" fontId="88" fillId="0" borderId="0" xfId="1" applyFont="1" applyAlignment="1">
      <alignment horizontal="left" vertical="center" wrapText="1"/>
    </xf>
    <xf numFmtId="0" fontId="3" fillId="0" borderId="253"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84" xfId="1" applyNumberFormat="1" applyFont="1" applyFill="1" applyBorder="1" applyAlignment="1" applyProtection="1">
      <alignment horizontal="right" vertical="center" shrinkToFit="1"/>
      <protection locked="0"/>
    </xf>
    <xf numFmtId="3" fontId="7" fillId="3" borderId="389"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0" xfId="1" applyNumberFormat="1" applyFont="1" applyFill="1" applyBorder="1" applyAlignment="1" applyProtection="1">
      <alignment horizontal="right" vertical="center" shrinkToFit="1"/>
      <protection locked="0"/>
    </xf>
    <xf numFmtId="3" fontId="7" fillId="3" borderId="391"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44" xfId="1" applyFont="1" applyBorder="1" applyAlignment="1">
      <alignment horizontal="distributed" vertical="center" indent="1" shrinkToFit="1"/>
    </xf>
    <xf numFmtId="3" fontId="7" fillId="4" borderId="371" xfId="1" applyNumberFormat="1" applyFont="1" applyFill="1" applyBorder="1" applyAlignment="1" applyProtection="1">
      <alignment horizontal="right" vertical="center" shrinkToFit="1"/>
      <protection locked="0"/>
    </xf>
    <xf numFmtId="0" fontId="9" fillId="0" borderId="244" xfId="1" applyFont="1" applyBorder="1" applyAlignment="1">
      <alignment horizontal="distributed" vertical="center" indent="1"/>
    </xf>
    <xf numFmtId="3" fontId="7" fillId="4" borderId="39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397" xfId="1" applyBorder="1" applyAlignment="1">
      <alignment horizontal="distributed" vertical="center" indent="1"/>
    </xf>
    <xf numFmtId="3" fontId="7" fillId="3" borderId="399"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53"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4"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52" xfId="2" applyNumberFormat="1" applyFont="1" applyFill="1" applyBorder="1" applyAlignment="1" applyProtection="1">
      <alignment vertical="center" shrinkToFit="1"/>
    </xf>
    <xf numFmtId="0" fontId="33" fillId="0" borderId="40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8"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34" xfId="3"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3" applyFont="1" applyFill="1" applyBorder="1" applyAlignment="1" applyProtection="1">
      <alignment horizontal="center" vertical="center" shrinkToFit="1"/>
      <protection locked="0"/>
    </xf>
    <xf numFmtId="189" fontId="7" fillId="3" borderId="178" xfId="3" applyNumberFormat="1" applyFont="1" applyFill="1" applyBorder="1" applyAlignment="1" applyProtection="1">
      <alignment horizontal="center" vertical="center" shrinkToFit="1"/>
      <protection locked="0"/>
    </xf>
    <xf numFmtId="0" fontId="7" fillId="3" borderId="178" xfId="3" applyFont="1" applyFill="1" applyBorder="1" applyAlignment="1" applyProtection="1">
      <alignment horizontal="center" vertical="center" shrinkToFit="1"/>
      <protection locked="0"/>
    </xf>
    <xf numFmtId="177" fontId="7" fillId="3" borderId="178" xfId="3" applyNumberFormat="1" applyFont="1" applyFill="1" applyBorder="1" applyAlignment="1" applyProtection="1">
      <alignment horizontal="center" vertical="center" shrinkToFit="1"/>
      <protection locked="0"/>
    </xf>
    <xf numFmtId="3" fontId="7" fillId="3" borderId="412" xfId="3" applyNumberFormat="1" applyFont="1" applyFill="1" applyBorder="1" applyAlignment="1" applyProtection="1">
      <alignment horizontal="right" vertical="center" shrinkToFit="1"/>
      <protection locked="0"/>
    </xf>
    <xf numFmtId="3" fontId="7" fillId="3" borderId="412" xfId="1" applyNumberFormat="1" applyFont="1" applyFill="1" applyBorder="1" applyAlignment="1" applyProtection="1">
      <alignment horizontal="right" vertical="center" shrinkToFit="1"/>
      <protection locked="0"/>
    </xf>
    <xf numFmtId="3" fontId="7" fillId="3" borderId="178" xfId="1" applyNumberFormat="1" applyFont="1" applyFill="1" applyBorder="1" applyAlignment="1" applyProtection="1">
      <alignment horizontal="right" vertical="center" shrinkToFit="1"/>
      <protection locked="0"/>
    </xf>
    <xf numFmtId="0" fontId="9" fillId="3" borderId="413" xfId="3" applyFont="1" applyFill="1" applyBorder="1" applyAlignment="1" applyProtection="1">
      <alignment horizontal="center" vertical="center" shrinkToFit="1"/>
      <protection locked="0"/>
    </xf>
    <xf numFmtId="0" fontId="60" fillId="3" borderId="410" xfId="3" applyFont="1" applyFill="1" applyBorder="1" applyAlignment="1" applyProtection="1">
      <alignment horizontal="center" vertical="center" shrinkToFit="1"/>
      <protection locked="0"/>
    </xf>
    <xf numFmtId="0" fontId="96" fillId="0" borderId="284"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04" xfId="2" applyFont="1" applyFill="1" applyBorder="1" applyAlignment="1" applyProtection="1">
      <alignment horizontal="right" vertical="center" shrinkToFit="1"/>
    </xf>
    <xf numFmtId="0" fontId="9" fillId="0" borderId="128"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6" xfId="1" applyFont="1" applyFill="1" applyBorder="1" applyAlignment="1" applyProtection="1">
      <alignment horizontal="center" vertical="center" shrinkToFit="1"/>
      <protection locked="0"/>
    </xf>
    <xf numFmtId="0" fontId="9" fillId="3" borderId="417"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8"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195" xfId="3" applyNumberFormat="1" applyFont="1" applyFill="1" applyBorder="1" applyAlignment="1" applyProtection="1">
      <alignment horizontal="right" vertical="center" shrinkToFit="1"/>
      <protection locked="0"/>
    </xf>
    <xf numFmtId="0" fontId="3" fillId="0" borderId="424"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0" xfId="3" applyFont="1" applyBorder="1" applyAlignment="1">
      <alignment vertical="center" wrapText="1"/>
    </xf>
    <xf numFmtId="0" fontId="9" fillId="0" borderId="153"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25"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60" fillId="3" borderId="257"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27" xfId="3" applyNumberFormat="1" applyFont="1" applyFill="1" applyBorder="1" applyAlignment="1" applyProtection="1">
      <alignment horizontal="center" vertical="center" shrinkToFit="1"/>
      <protection locked="0"/>
    </xf>
    <xf numFmtId="187" fontId="7" fillId="7" borderId="428" xfId="3" applyNumberFormat="1" applyFont="1" applyFill="1" applyBorder="1" applyAlignment="1" applyProtection="1">
      <alignment horizontal="center" vertical="center" shrinkToFit="1"/>
      <protection locked="0"/>
    </xf>
    <xf numFmtId="38" fontId="7" fillId="0" borderId="429"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28" xfId="3" applyFont="1" applyBorder="1" applyAlignment="1">
      <alignment horizontal="center" vertical="center"/>
    </xf>
    <xf numFmtId="0" fontId="60" fillId="3" borderId="430" xfId="3" applyFont="1" applyFill="1" applyBorder="1" applyAlignment="1" applyProtection="1">
      <alignment horizontal="center" vertical="center" shrinkToFit="1"/>
      <protection locked="0"/>
    </xf>
    <xf numFmtId="0" fontId="60" fillId="3" borderId="417"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197"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31" xfId="3" applyFont="1" applyFill="1" applyBorder="1" applyAlignment="1" applyProtection="1">
      <alignment horizontal="center" vertical="center" shrinkToFit="1"/>
      <protection locked="0"/>
    </xf>
    <xf numFmtId="0" fontId="60" fillId="3" borderId="432"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3"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4" xfId="3" applyNumberFormat="1" applyFont="1" applyFill="1" applyBorder="1" applyAlignment="1" applyProtection="1">
      <alignment horizontal="right" vertical="center" shrinkToFit="1"/>
      <protection locked="0"/>
    </xf>
    <xf numFmtId="0" fontId="60" fillId="0" borderId="128" xfId="3" applyFont="1" applyBorder="1" applyAlignment="1">
      <alignment horizontal="center" vertical="center" shrinkToFit="1"/>
    </xf>
    <xf numFmtId="0" fontId="60" fillId="3" borderId="435" xfId="3" applyFont="1" applyFill="1" applyBorder="1" applyAlignment="1" applyProtection="1">
      <alignment horizontal="center" vertical="center" shrinkToFit="1"/>
      <protection locked="0"/>
    </xf>
    <xf numFmtId="0" fontId="60" fillId="3" borderId="421"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52" xfId="1" applyFont="1" applyBorder="1"/>
    <xf numFmtId="0" fontId="33" fillId="0" borderId="4" xfId="1" applyFont="1" applyBorder="1" applyAlignment="1">
      <alignment horizontal="center" vertical="center" shrinkToFit="1"/>
    </xf>
    <xf numFmtId="0" fontId="60" fillId="0" borderId="153"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7" xfId="2" applyFont="1" applyFill="1" applyBorder="1" applyAlignment="1" applyProtection="1">
      <alignment horizontal="right" vertical="center" shrinkToFit="1"/>
    </xf>
    <xf numFmtId="38" fontId="100" fillId="0" borderId="407"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5" xfId="2" applyNumberFormat="1" applyFont="1" applyFill="1" applyBorder="1" applyAlignment="1" applyProtection="1">
      <alignment horizontal="right" vertical="center" shrinkToFit="1"/>
    </xf>
    <xf numFmtId="0" fontId="60" fillId="3" borderId="438" xfId="3" applyFont="1" applyFill="1" applyBorder="1" applyAlignment="1" applyProtection="1">
      <alignment horizontal="center" vertical="center" shrinkToFit="1"/>
      <protection locked="0"/>
    </xf>
    <xf numFmtId="0" fontId="60" fillId="3" borderId="439" xfId="3" applyFont="1" applyFill="1" applyBorder="1" applyAlignment="1" applyProtection="1">
      <alignment horizontal="center" vertical="center" shrinkToFit="1"/>
      <protection locked="0"/>
    </xf>
    <xf numFmtId="0" fontId="60" fillId="3" borderId="284" xfId="3" applyFont="1" applyFill="1" applyBorder="1" applyAlignment="1" applyProtection="1">
      <alignment horizontal="center" vertical="center" shrinkToFit="1"/>
      <protection locked="0"/>
    </xf>
    <xf numFmtId="0" fontId="60" fillId="3" borderId="440"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3"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7" fillId="0" borderId="152"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184" fontId="7" fillId="0" borderId="6" xfId="5" applyNumberFormat="1" applyFont="1" applyBorder="1" applyAlignment="1">
      <alignment horizontal="right" vertical="center" shrinkToFit="1"/>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8" xfId="1" applyFont="1" applyBorder="1"/>
    <xf numFmtId="0" fontId="33" fillId="0" borderId="468"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7"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78" xfId="1" applyNumberFormat="1" applyFont="1" applyFill="1" applyBorder="1" applyAlignment="1" applyProtection="1">
      <alignment horizontal="right"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lignment horizontal="center" vertical="center" shrinkToFit="1"/>
    </xf>
    <xf numFmtId="180" fontId="7" fillId="7" borderId="211"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8" xfId="1" applyFont="1" applyFill="1" applyBorder="1" applyAlignment="1" applyProtection="1">
      <alignment horizontal="center" vertical="center" shrinkToFit="1"/>
      <protection locked="0"/>
    </xf>
    <xf numFmtId="0" fontId="7" fillId="6" borderId="476"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7"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9"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180" fontId="7" fillId="7" borderId="196"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8" xfId="1" applyFont="1" applyBorder="1" applyAlignment="1">
      <alignment vertical="top" shrinkToFit="1"/>
    </xf>
    <xf numFmtId="0" fontId="36" fillId="0" borderId="0" xfId="1" applyFont="1" applyAlignment="1">
      <alignment vertical="top" shrinkToFit="1"/>
    </xf>
    <xf numFmtId="0" fontId="36" fillId="0" borderId="424" xfId="1" applyFont="1" applyBorder="1" applyAlignment="1">
      <alignment vertical="top" shrinkToFit="1"/>
    </xf>
    <xf numFmtId="0" fontId="36" fillId="0" borderId="468"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7"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1"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2" xfId="1" applyFont="1" applyFill="1" applyBorder="1" applyAlignment="1">
      <alignment horizontal="center" vertical="center" shrinkToFit="1"/>
    </xf>
    <xf numFmtId="0" fontId="7" fillId="6" borderId="475"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0" fontId="84" fillId="0" borderId="484"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4" xfId="1" applyFont="1" applyBorder="1" applyAlignment="1">
      <alignment horizontal="center" vertical="center" shrinkToFit="1"/>
    </xf>
    <xf numFmtId="0" fontId="3" fillId="0" borderId="173"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93" xfId="1" applyNumberFormat="1" applyFont="1" applyFill="1" applyBorder="1" applyAlignment="1" applyProtection="1">
      <alignment horizontal="right" vertical="center" shrinkToFit="1"/>
      <protection locked="0"/>
    </xf>
    <xf numFmtId="186" fontId="7" fillId="3" borderId="494" xfId="1" applyNumberFormat="1" applyFont="1" applyFill="1" applyBorder="1" applyAlignment="1" applyProtection="1">
      <alignment horizontal="right" vertical="center" shrinkToFit="1"/>
      <protection locked="0"/>
    </xf>
    <xf numFmtId="186" fontId="7" fillId="3" borderId="496" xfId="1" applyNumberFormat="1" applyFont="1" applyFill="1" applyBorder="1" applyAlignment="1" applyProtection="1">
      <alignment horizontal="right" vertical="center" shrinkToFit="1"/>
      <protection locked="0"/>
    </xf>
    <xf numFmtId="0" fontId="9" fillId="0" borderId="243"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6" xfId="1" applyNumberFormat="1" applyFont="1" applyFill="1" applyBorder="1" applyAlignment="1" applyProtection="1">
      <alignment horizontal="right" vertical="center" shrinkToFit="1"/>
      <protection locked="0"/>
    </xf>
    <xf numFmtId="186" fontId="7" fillId="3" borderId="204" xfId="1" applyNumberFormat="1" applyFont="1" applyFill="1" applyBorder="1" applyAlignment="1" applyProtection="1">
      <alignment horizontal="right" vertical="center" shrinkToFit="1"/>
      <protection locked="0"/>
    </xf>
    <xf numFmtId="186" fontId="7" fillId="3" borderId="498" xfId="1" applyNumberFormat="1" applyFont="1" applyFill="1" applyBorder="1" applyAlignment="1" applyProtection="1">
      <alignment horizontal="right" vertical="center" shrinkToFit="1"/>
      <protection locked="0"/>
    </xf>
    <xf numFmtId="0" fontId="9" fillId="0" borderId="475"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0"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3" borderId="5" xfId="1" applyNumberFormat="1" applyFont="1" applyFill="1" applyBorder="1" applyAlignment="1" applyProtection="1">
      <alignment horizontal="right" vertical="center" shrinkToFit="1"/>
      <protection locked="0"/>
    </xf>
    <xf numFmtId="186" fontId="7" fillId="3" borderId="503" xfId="1" applyNumberFormat="1" applyFont="1" applyFill="1" applyBorder="1" applyAlignment="1" applyProtection="1">
      <alignment horizontal="right" vertical="center" shrinkToFit="1"/>
      <protection locked="0"/>
    </xf>
    <xf numFmtId="186" fontId="7" fillId="0" borderId="504" xfId="1" applyNumberFormat="1" applyFont="1" applyBorder="1" applyAlignment="1" applyProtection="1">
      <alignment horizontal="center" vertical="center" shrinkToFit="1"/>
      <protection locked="0"/>
    </xf>
    <xf numFmtId="186" fontId="7" fillId="0" borderId="505" xfId="1" applyNumberFormat="1" applyFont="1" applyBorder="1" applyAlignment="1" applyProtection="1">
      <alignment horizontal="center" vertical="center" shrinkToFit="1"/>
      <protection locked="0"/>
    </xf>
    <xf numFmtId="0" fontId="9" fillId="0" borderId="506" xfId="1" applyFont="1" applyBorder="1" applyAlignment="1">
      <alignment vertical="center" wrapText="1" justifyLastLine="1"/>
    </xf>
    <xf numFmtId="0" fontId="9" fillId="0" borderId="508" xfId="1" applyFont="1" applyBorder="1" applyAlignment="1">
      <alignment vertical="center" wrapText="1" justifyLastLine="1"/>
    </xf>
    <xf numFmtId="186" fontId="7" fillId="3" borderId="511" xfId="1" applyNumberFormat="1" applyFont="1" applyFill="1" applyBorder="1" applyAlignment="1" applyProtection="1">
      <alignment horizontal="right" vertical="center" shrinkToFit="1"/>
      <protection locked="0"/>
    </xf>
    <xf numFmtId="186" fontId="7" fillId="3" borderId="512" xfId="1" applyNumberFormat="1" applyFont="1" applyFill="1" applyBorder="1" applyAlignment="1" applyProtection="1">
      <alignment horizontal="right" vertical="center" shrinkToFit="1"/>
      <protection locked="0"/>
    </xf>
    <xf numFmtId="186" fontId="7" fillId="3" borderId="514" xfId="1" applyNumberFormat="1" applyFont="1" applyFill="1" applyBorder="1" applyAlignment="1" applyProtection="1">
      <alignment horizontal="right" vertical="center" shrinkToFit="1"/>
      <protection locked="0"/>
    </xf>
    <xf numFmtId="0" fontId="9" fillId="0" borderId="515" xfId="1" applyFont="1" applyBorder="1" applyAlignment="1">
      <alignment vertical="center" wrapText="1" justifyLastLine="1"/>
    </xf>
    <xf numFmtId="0" fontId="36" fillId="0" borderId="516"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27" xfId="4" applyFont="1" applyFill="1" applyBorder="1" applyAlignment="1" applyProtection="1">
      <alignment horizontal="center" vertical="center" wrapText="1"/>
      <protection locked="0"/>
    </xf>
    <xf numFmtId="180" fontId="7" fillId="7" borderId="428" xfId="5" applyNumberFormat="1" applyFont="1" applyFill="1" applyBorder="1" applyAlignment="1" applyProtection="1">
      <alignment horizontal="right" vertical="center" shrinkToFit="1"/>
      <protection locked="0"/>
    </xf>
    <xf numFmtId="0" fontId="9" fillId="7" borderId="197"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1" xfId="4" applyFont="1" applyFill="1" applyBorder="1" applyAlignment="1" applyProtection="1">
      <alignment horizontal="center" vertical="center" wrapText="1"/>
      <protection locked="0"/>
    </xf>
    <xf numFmtId="180" fontId="7" fillId="7" borderId="522"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109"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11" borderId="0" xfId="6" applyFont="1" applyFill="1">
      <alignment vertical="center"/>
    </xf>
    <xf numFmtId="0" fontId="9" fillId="0" borderId="523" xfId="6" quotePrefix="1" applyFont="1" applyBorder="1" applyAlignment="1">
      <alignment horizontal="center" vertical="center"/>
    </xf>
    <xf numFmtId="0" fontId="9" fillId="0" borderId="523" xfId="6" applyFont="1" applyBorder="1" applyAlignment="1">
      <alignment horizontal="center"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3" fontId="7" fillId="3" borderId="58" xfId="1" applyNumberFormat="1" applyFont="1" applyFill="1" applyBorder="1" applyAlignment="1" applyProtection="1">
      <alignment horizontal="right" vertical="center" shrinkToFit="1"/>
      <protection locked="0"/>
    </xf>
    <xf numFmtId="180" fontId="7" fillId="0" borderId="524" xfId="1" applyNumberFormat="1" applyFont="1" applyBorder="1" applyAlignment="1">
      <alignment horizontal="center" vertical="center" shrinkToFit="1"/>
    </xf>
    <xf numFmtId="191" fontId="7" fillId="3" borderId="492" xfId="1" applyNumberFormat="1" applyFont="1" applyFill="1" applyBorder="1" applyAlignment="1" applyProtection="1">
      <alignment horizontal="right" vertical="center" shrinkToFit="1"/>
      <protection locked="0"/>
    </xf>
    <xf numFmtId="191" fontId="7" fillId="3" borderId="416"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93"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7"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52" xfId="2" applyNumberFormat="1" applyFont="1" applyFill="1" applyBorder="1" applyAlignment="1" applyProtection="1">
      <alignment horizontal="right" vertical="center" shrinkToFit="1"/>
    </xf>
    <xf numFmtId="0" fontId="7" fillId="3" borderId="143"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3" borderId="203" xfId="1" applyFont="1" applyFill="1" applyBorder="1" applyAlignment="1" applyProtection="1">
      <alignment horizontal="center" vertical="center" shrinkToFit="1"/>
      <protection locked="0"/>
    </xf>
    <xf numFmtId="0" fontId="7" fillId="4" borderId="212"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197" xfId="1" applyFont="1" applyFill="1" applyBorder="1" applyAlignment="1" applyProtection="1">
      <alignment horizontal="center" vertical="center" shrinkToFit="1"/>
      <protection locked="0"/>
    </xf>
    <xf numFmtId="0" fontId="7" fillId="4" borderId="233" xfId="1" applyFont="1" applyFill="1" applyBorder="1" applyAlignment="1" applyProtection="1">
      <alignment horizontal="center" vertical="center" shrinkToFit="1"/>
      <protection locked="0"/>
    </xf>
    <xf numFmtId="0" fontId="7" fillId="3" borderId="236" xfId="1" applyFont="1" applyFill="1" applyBorder="1" applyAlignment="1" applyProtection="1">
      <alignment horizontal="center" vertical="center"/>
      <protection locked="0"/>
    </xf>
    <xf numFmtId="0" fontId="7" fillId="3" borderId="238" xfId="1" applyFont="1" applyFill="1" applyBorder="1" applyAlignment="1" applyProtection="1">
      <alignment horizontal="center" vertical="center"/>
      <protection locked="0"/>
    </xf>
    <xf numFmtId="0" fontId="7" fillId="3" borderId="240" xfId="1" applyFont="1" applyFill="1" applyBorder="1" applyAlignment="1" applyProtection="1">
      <alignment horizontal="center" vertical="center"/>
      <protection locked="0"/>
    </xf>
    <xf numFmtId="0" fontId="7" fillId="4" borderId="247"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4" borderId="403"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96"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7" fillId="3" borderId="387" xfId="1" applyFont="1" applyFill="1" applyBorder="1" applyAlignment="1" applyProtection="1">
      <alignment horizontal="center" vertical="center" shrinkToFit="1"/>
      <protection locked="0"/>
    </xf>
    <xf numFmtId="0" fontId="7" fillId="3" borderId="238" xfId="1" applyFont="1" applyFill="1" applyBorder="1" applyAlignment="1" applyProtection="1">
      <alignment horizontal="center" vertical="center" shrinkToFit="1"/>
      <protection locked="0"/>
    </xf>
    <xf numFmtId="0" fontId="7" fillId="3" borderId="392" xfId="1" applyFont="1" applyFill="1" applyBorder="1" applyAlignment="1" applyProtection="1">
      <alignment horizontal="center" vertical="center" shrinkToFit="1"/>
      <protection locked="0"/>
    </xf>
    <xf numFmtId="0" fontId="7" fillId="3" borderId="39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7" fillId="3" borderId="236" xfId="3" applyFont="1" applyFill="1" applyBorder="1" applyAlignment="1" applyProtection="1">
      <alignment horizontal="center" vertical="center" shrinkToFit="1"/>
      <protection locked="0"/>
    </xf>
    <xf numFmtId="0" fontId="7" fillId="3" borderId="238" xfId="3" applyFont="1" applyFill="1" applyBorder="1" applyAlignment="1" applyProtection="1">
      <alignment horizontal="center" vertical="center" shrinkToFit="1"/>
      <protection locked="0"/>
    </xf>
    <xf numFmtId="0" fontId="7" fillId="3" borderId="392" xfId="3" applyFont="1" applyFill="1" applyBorder="1" applyAlignment="1" applyProtection="1">
      <alignment horizontal="center" vertical="center" shrinkToFit="1"/>
      <protection locked="0"/>
    </xf>
    <xf numFmtId="0" fontId="7" fillId="3" borderId="394" xfId="3" applyFont="1" applyFill="1" applyBorder="1" applyAlignment="1" applyProtection="1">
      <alignment horizontal="center" vertical="center" shrinkToFit="1"/>
      <protection locked="0"/>
    </xf>
    <xf numFmtId="0" fontId="7" fillId="3" borderId="123" xfId="1" applyFont="1" applyFill="1" applyBorder="1" applyAlignment="1" applyProtection="1">
      <alignment horizontal="center" vertical="center" shrinkToFit="1"/>
      <protection locked="0"/>
    </xf>
    <xf numFmtId="0" fontId="7" fillId="3" borderId="475" xfId="1" applyFont="1" applyFill="1" applyBorder="1" applyAlignment="1" applyProtection="1">
      <alignment horizontal="center" vertical="center" shrinkToFit="1"/>
      <protection locked="0"/>
    </xf>
    <xf numFmtId="0" fontId="7" fillId="3" borderId="478" xfId="1" applyFont="1" applyFill="1" applyBorder="1" applyAlignment="1" applyProtection="1">
      <alignment horizontal="center" vertical="center" shrinkToFit="1"/>
      <protection locked="0"/>
    </xf>
    <xf numFmtId="0" fontId="7" fillId="3" borderId="479"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7" borderId="414" xfId="3" applyFont="1" applyFill="1" applyBorder="1" applyAlignment="1" applyProtection="1">
      <alignment horizontal="center" vertical="center" shrinkToFit="1"/>
      <protection locked="0"/>
    </xf>
    <xf numFmtId="0" fontId="7" fillId="7" borderId="419" xfId="3" applyFont="1" applyFill="1" applyBorder="1" applyAlignment="1" applyProtection="1">
      <alignment horizontal="center" vertical="center" shrinkToFit="1"/>
      <protection locked="0"/>
    </xf>
    <xf numFmtId="0" fontId="7" fillId="7" borderId="423" xfId="3" applyFont="1" applyFill="1" applyBorder="1" applyAlignment="1" applyProtection="1">
      <alignment horizontal="center" vertical="center" shrinkToFit="1"/>
      <protection locked="0"/>
    </xf>
    <xf numFmtId="0" fontId="36" fillId="0" borderId="0" xfId="1" applyFont="1" applyAlignment="1">
      <alignment vertical="top" wrapText="1"/>
    </xf>
    <xf numFmtId="0" fontId="66" fillId="0" borderId="6" xfId="4" applyFont="1" applyBorder="1" applyAlignment="1">
      <alignment horizontal="center" vertical="center"/>
    </xf>
    <xf numFmtId="0" fontId="105" fillId="0" borderId="0" xfId="0" applyFont="1" applyAlignment="1">
      <alignment vertical="top"/>
    </xf>
    <xf numFmtId="0" fontId="36" fillId="0" borderId="18" xfId="1" applyFont="1" applyBorder="1" applyAlignment="1">
      <alignment horizontal="left" vertical="center"/>
    </xf>
    <xf numFmtId="0" fontId="36" fillId="0" borderId="18" xfId="1" applyFont="1" applyBorder="1" applyAlignment="1">
      <alignment vertical="top"/>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4" fillId="0" borderId="0" xfId="6" applyFont="1" applyAlignment="1">
      <alignment vertical="center" shrinkToFit="1"/>
    </xf>
    <xf numFmtId="0" fontId="94" fillId="0" borderId="1" xfId="6" applyFont="1" applyBorder="1" applyAlignment="1">
      <alignment vertical="center" shrinkToFit="1"/>
    </xf>
    <xf numFmtId="0" fontId="94" fillId="0" borderId="5" xfId="6" applyFont="1" applyBorder="1" applyAlignment="1">
      <alignment vertical="center" shrinkToFit="1"/>
    </xf>
    <xf numFmtId="0" fontId="94" fillId="0" borderId="109" xfId="6" applyFont="1" applyBorder="1" applyAlignment="1">
      <alignment vertical="center" shrinkToFit="1"/>
    </xf>
    <xf numFmtId="0" fontId="94" fillId="0" borderId="109" xfId="6" applyFont="1" applyBorder="1" applyAlignment="1">
      <alignment vertical="center" wrapText="1" shrinkToFit="1"/>
    </xf>
    <xf numFmtId="0" fontId="94" fillId="0" borderId="6" xfId="6" applyFont="1" applyBorder="1" applyAlignment="1">
      <alignment vertical="center" wrapText="1" shrinkToFit="1"/>
    </xf>
    <xf numFmtId="0" fontId="94" fillId="0" borderId="6" xfId="7" applyFont="1" applyBorder="1" applyAlignment="1">
      <alignment vertical="center" wrapText="1" shrinkToFit="1"/>
    </xf>
    <xf numFmtId="0" fontId="94" fillId="0" borderId="109" xfId="7" applyFont="1" applyBorder="1" applyAlignment="1">
      <alignment vertical="center" shrinkToFit="1"/>
    </xf>
    <xf numFmtId="0" fontId="94" fillId="0" borderId="6" xfId="7" applyFont="1" applyBorder="1">
      <alignment vertical="center"/>
    </xf>
    <xf numFmtId="0" fontId="9" fillId="0" borderId="6" xfId="7" applyFont="1" applyBorder="1" applyAlignment="1">
      <alignment vertical="center" wrapText="1" shrinkToFit="1"/>
    </xf>
    <xf numFmtId="0" fontId="94" fillId="0" borderId="0" xfId="6" applyFont="1">
      <alignment vertical="center"/>
    </xf>
    <xf numFmtId="0" fontId="94" fillId="0" borderId="6" xfId="6" applyFont="1" applyBorder="1" applyAlignment="1">
      <alignment vertical="center" wrapText="1"/>
    </xf>
    <xf numFmtId="0" fontId="94" fillId="0" borderId="6" xfId="6" applyFont="1" applyBorder="1">
      <alignment vertical="center"/>
    </xf>
    <xf numFmtId="0" fontId="94" fillId="0" borderId="6" xfId="6" applyFont="1" applyBorder="1" applyAlignment="1">
      <alignment horizontal="center" vertical="center"/>
    </xf>
    <xf numFmtId="0" fontId="94" fillId="0" borderId="1" xfId="6" applyFont="1" applyBorder="1" applyAlignment="1">
      <alignment vertical="center" wrapText="1"/>
    </xf>
    <xf numFmtId="0" fontId="94" fillId="0" borderId="5" xfId="6" applyFont="1" applyBorder="1" applyAlignment="1">
      <alignment vertical="center" wrapText="1"/>
    </xf>
    <xf numFmtId="0" fontId="94" fillId="0" borderId="109" xfId="6" applyFont="1" applyBorder="1" applyAlignment="1">
      <alignment vertical="center" wrapText="1"/>
    </xf>
    <xf numFmtId="0" fontId="94" fillId="12" borderId="6" xfId="6" applyFont="1" applyFill="1" applyBorder="1">
      <alignment vertical="center"/>
    </xf>
    <xf numFmtId="0" fontId="9" fillId="0" borderId="109" xfId="1" applyFont="1" applyBorder="1" applyAlignment="1">
      <alignment vertical="center" wrapText="1"/>
    </xf>
    <xf numFmtId="0" fontId="3" fillId="4" borderId="1" xfId="1" applyFill="1" applyBorder="1"/>
    <xf numFmtId="0" fontId="3" fillId="4" borderId="109" xfId="1" applyFill="1" applyBorder="1"/>
    <xf numFmtId="0" fontId="3" fillId="4" borderId="6" xfId="1" applyFill="1" applyBorder="1"/>
    <xf numFmtId="0" fontId="3" fillId="4" borderId="6" xfId="1" applyFill="1" applyBorder="1" applyAlignment="1">
      <alignment vertical="center"/>
    </xf>
    <xf numFmtId="0" fontId="3" fillId="3" borderId="6" xfId="1" applyFill="1" applyBorder="1" applyProtection="1">
      <protection locked="0"/>
    </xf>
    <xf numFmtId="0" fontId="9" fillId="4" borderId="1" xfId="1" applyFont="1" applyFill="1" applyBorder="1"/>
    <xf numFmtId="0" fontId="9" fillId="4" borderId="109" xfId="1" applyFont="1" applyFill="1" applyBorder="1"/>
    <xf numFmtId="0" fontId="9" fillId="4" borderId="6" xfId="1" applyFont="1" applyFill="1" applyBorder="1"/>
    <xf numFmtId="0" fontId="9" fillId="3" borderId="6" xfId="1" applyFont="1" applyFill="1" applyBorder="1" applyProtection="1">
      <protection locked="0"/>
    </xf>
    <xf numFmtId="0" fontId="9" fillId="3" borderId="6" xfId="1" applyFont="1" applyFill="1" applyBorder="1" applyAlignment="1" applyProtection="1">
      <alignment vertical="center"/>
      <protection locked="0"/>
    </xf>
    <xf numFmtId="0" fontId="9" fillId="4" borderId="6" xfId="1" applyFont="1" applyFill="1" applyBorder="1" applyAlignment="1">
      <alignment vertical="center"/>
    </xf>
    <xf numFmtId="0" fontId="9" fillId="4" borderId="1" xfId="1" applyFont="1" applyFill="1" applyBorder="1" applyAlignment="1">
      <alignment vertical="center"/>
    </xf>
    <xf numFmtId="0" fontId="9" fillId="4" borderId="109" xfId="1" applyFont="1" applyFill="1" applyBorder="1" applyAlignment="1">
      <alignment vertical="center"/>
    </xf>
    <xf numFmtId="0" fontId="66" fillId="4" borderId="6" xfId="1" applyFont="1" applyFill="1" applyBorder="1"/>
    <xf numFmtId="0" fontId="66" fillId="3" borderId="6" xfId="1" applyFont="1" applyFill="1" applyBorder="1" applyProtection="1">
      <protection locked="0"/>
    </xf>
    <xf numFmtId="0" fontId="33" fillId="4" borderId="6" xfId="1" applyFont="1" applyFill="1" applyBorder="1"/>
    <xf numFmtId="0" fontId="33" fillId="3" borderId="6" xfId="1" applyFont="1" applyFill="1" applyBorder="1" applyProtection="1">
      <protection locked="0"/>
    </xf>
    <xf numFmtId="0" fontId="9" fillId="3" borderId="6" xfId="1" applyFont="1" applyFill="1" applyBorder="1" applyAlignment="1" applyProtection="1">
      <alignment vertical="center" wrapText="1"/>
      <protection locked="0"/>
    </xf>
    <xf numFmtId="3" fontId="7" fillId="3" borderId="525" xfId="1" applyNumberFormat="1" applyFont="1" applyFill="1" applyBorder="1" applyAlignment="1" applyProtection="1">
      <alignment horizontal="right" vertical="center" shrinkToFit="1"/>
      <protection locked="0"/>
    </xf>
    <xf numFmtId="3" fontId="7" fillId="3" borderId="279" xfId="1" applyNumberFormat="1" applyFont="1" applyFill="1" applyBorder="1" applyAlignment="1" applyProtection="1">
      <alignment horizontal="right" vertical="center" shrinkToFit="1"/>
      <protection locked="0"/>
    </xf>
    <xf numFmtId="3" fontId="56" fillId="3" borderId="526" xfId="1" applyNumberFormat="1" applyFont="1" applyFill="1" applyBorder="1" applyAlignment="1" applyProtection="1">
      <alignment horizontal="right" vertical="center"/>
      <protection locked="0"/>
    </xf>
    <xf numFmtId="3" fontId="56" fillId="3" borderId="527" xfId="1" applyNumberFormat="1" applyFont="1" applyFill="1" applyBorder="1" applyAlignment="1" applyProtection="1">
      <alignment horizontal="right" vertical="center" shrinkToFit="1"/>
      <protection locked="0"/>
    </xf>
    <xf numFmtId="3" fontId="7" fillId="3" borderId="528" xfId="1" applyNumberFormat="1" applyFont="1" applyFill="1" applyBorder="1" applyAlignment="1" applyProtection="1">
      <alignment horizontal="right" vertical="center" shrinkToFit="1"/>
      <protection locked="0"/>
    </xf>
    <xf numFmtId="3" fontId="7" fillId="3" borderId="529" xfId="1" applyNumberFormat="1" applyFont="1" applyFill="1" applyBorder="1" applyAlignment="1" applyProtection="1">
      <alignment horizontal="right" vertical="center" shrinkToFit="1"/>
      <protection locked="0"/>
    </xf>
    <xf numFmtId="186" fontId="7" fillId="0" borderId="0" xfId="1" applyNumberFormat="1" applyFont="1" applyAlignment="1">
      <alignment horizontal="right" vertical="center" shrinkToFit="1"/>
    </xf>
    <xf numFmtId="186" fontId="7" fillId="0" borderId="6" xfId="1" applyNumberFormat="1" applyFont="1" applyBorder="1" applyAlignment="1">
      <alignment horizontal="right" vertical="center"/>
    </xf>
    <xf numFmtId="186" fontId="66" fillId="0" borderId="6" xfId="1" applyNumberFormat="1" applyFont="1" applyBorder="1" applyAlignment="1">
      <alignment horizontal="center" vertical="center" shrinkToFit="1"/>
    </xf>
    <xf numFmtId="185" fontId="7" fillId="0" borderId="6" xfId="1" applyNumberFormat="1" applyFont="1" applyBorder="1" applyAlignment="1">
      <alignment horizontal="right" vertical="center"/>
    </xf>
    <xf numFmtId="0" fontId="45" fillId="0" borderId="6" xfId="1" applyFont="1" applyBorder="1" applyAlignment="1">
      <alignment horizontal="center" vertical="center" shrinkToFit="1"/>
    </xf>
    <xf numFmtId="191" fontId="7" fillId="0" borderId="6" xfId="1" applyNumberFormat="1" applyFont="1" applyBorder="1" applyAlignment="1">
      <alignment horizontal="right" vertical="center" shrinkToFit="1"/>
    </xf>
    <xf numFmtId="0" fontId="7" fillId="0" borderId="530" xfId="1" applyFont="1" applyBorder="1" applyAlignment="1">
      <alignment horizontal="right" vertical="center"/>
    </xf>
    <xf numFmtId="191" fontId="7" fillId="0" borderId="6" xfId="1" applyNumberFormat="1" applyFont="1" applyBorder="1" applyAlignment="1">
      <alignment horizontal="right" vertical="center"/>
    </xf>
    <xf numFmtId="181" fontId="7" fillId="7" borderId="13" xfId="1" applyNumberFormat="1" applyFont="1" applyFill="1" applyBorder="1" applyAlignment="1" applyProtection="1">
      <alignment horizontal="right" vertical="center" shrinkToFit="1"/>
      <protection locked="0"/>
    </xf>
    <xf numFmtId="181" fontId="7" fillId="7" borderId="14" xfId="1" applyNumberFormat="1" applyFont="1" applyFill="1" applyBorder="1" applyAlignment="1" applyProtection="1">
      <alignment horizontal="right" vertical="center" shrinkToFit="1"/>
      <protection locked="0"/>
    </xf>
    <xf numFmtId="186" fontId="9" fillId="0" borderId="8" xfId="1" applyNumberFormat="1" applyFont="1" applyBorder="1" applyAlignment="1">
      <alignment horizontal="center" vertical="center" wrapText="1"/>
    </xf>
    <xf numFmtId="186" fontId="7" fillId="0" borderId="8" xfId="2" applyNumberFormat="1" applyFont="1" applyFill="1" applyBorder="1" applyAlignment="1" applyProtection="1">
      <alignment horizontal="right" vertical="center" shrinkToFit="1"/>
    </xf>
    <xf numFmtId="186" fontId="66" fillId="0" borderId="8" xfId="1" applyNumberFormat="1" applyFont="1" applyBorder="1" applyAlignment="1">
      <alignment horizontal="center" vertical="center" shrinkToFit="1"/>
    </xf>
    <xf numFmtId="185" fontId="7" fillId="0" borderId="8" xfId="1" applyNumberFormat="1" applyFont="1" applyBorder="1" applyAlignment="1">
      <alignment horizontal="right" vertical="center"/>
    </xf>
    <xf numFmtId="0" fontId="45" fillId="0" borderId="8" xfId="1" applyFont="1" applyBorder="1" applyAlignment="1">
      <alignment horizontal="center" vertical="center" shrinkToFit="1"/>
    </xf>
    <xf numFmtId="191" fontId="7" fillId="0" borderId="8" xfId="1" applyNumberFormat="1" applyFont="1" applyBorder="1" applyAlignment="1">
      <alignment horizontal="right" vertical="center"/>
    </xf>
    <xf numFmtId="0" fontId="66" fillId="0" borderId="8" xfId="1" applyFont="1" applyBorder="1" applyAlignment="1">
      <alignment horizontal="center" vertical="center" shrinkToFit="1"/>
    </xf>
    <xf numFmtId="181" fontId="7" fillId="7" borderId="15" xfId="1" applyNumberFormat="1" applyFont="1" applyFill="1" applyBorder="1" applyAlignment="1" applyProtection="1">
      <alignment horizontal="right" vertical="center" shrinkToFit="1"/>
      <protection locked="0"/>
    </xf>
    <xf numFmtId="186" fontId="9" fillId="0" borderId="415" xfId="1" applyNumberFormat="1" applyFont="1" applyBorder="1" applyAlignment="1">
      <alignment horizontal="center" vertical="center" wrapText="1"/>
    </xf>
    <xf numFmtId="186" fontId="7" fillId="0" borderId="415" xfId="2" applyNumberFormat="1" applyFont="1" applyFill="1" applyBorder="1" applyAlignment="1" applyProtection="1">
      <alignment horizontal="right" vertical="center" shrinkToFit="1"/>
    </xf>
    <xf numFmtId="186" fontId="66" fillId="0" borderId="532" xfId="1" applyNumberFormat="1" applyFont="1" applyBorder="1" applyAlignment="1">
      <alignment horizontal="center" vertical="center" shrinkToFit="1"/>
    </xf>
    <xf numFmtId="0" fontId="45" fillId="0" borderId="533" xfId="1" applyFont="1" applyBorder="1" applyAlignment="1">
      <alignment horizontal="center" vertical="center" shrinkToFit="1"/>
    </xf>
    <xf numFmtId="186" fontId="7" fillId="0" borderId="415" xfId="1" applyNumberFormat="1" applyFont="1" applyBorder="1" applyAlignment="1">
      <alignment horizontal="right" vertical="center" shrinkToFit="1"/>
    </xf>
    <xf numFmtId="191" fontId="7" fillId="0" borderId="415" xfId="1" applyNumberFormat="1" applyFont="1" applyBorder="1" applyAlignment="1">
      <alignment horizontal="right" vertical="center"/>
    </xf>
    <xf numFmtId="0" fontId="66" fillId="0" borderId="415" xfId="1" applyFont="1" applyBorder="1" applyAlignment="1">
      <alignment horizontal="center" vertical="center" shrinkToFit="1"/>
    </xf>
    <xf numFmtId="185" fontId="7" fillId="0" borderId="415" xfId="1" applyNumberFormat="1" applyFont="1" applyBorder="1" applyAlignment="1">
      <alignment horizontal="right" vertical="center"/>
    </xf>
    <xf numFmtId="0" fontId="7" fillId="0" borderId="534" xfId="1" applyFont="1" applyBorder="1" applyAlignment="1">
      <alignment horizontal="right" vertical="center"/>
    </xf>
    <xf numFmtId="0" fontId="25" fillId="0" borderId="6" xfId="1" applyFont="1" applyBorder="1" applyAlignment="1">
      <alignment horizontal="center" vertical="center" wrapText="1" shrinkToFit="1"/>
    </xf>
    <xf numFmtId="192" fontId="8"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31" fillId="5" borderId="6" xfId="1" applyFont="1" applyFill="1" applyBorder="1" applyAlignment="1">
      <alignment horizontal="center" vertical="center" wrapText="1"/>
    </xf>
    <xf numFmtId="0" fontId="3" fillId="0" borderId="6" xfId="1" applyBorder="1" applyAlignment="1">
      <alignment horizontal="center" wrapText="1"/>
    </xf>
    <xf numFmtId="0" fontId="3" fillId="0" borderId="6" xfId="1" applyBorder="1" applyAlignment="1">
      <alignment horizontal="center"/>
    </xf>
    <xf numFmtId="0" fontId="3" fillId="0" borderId="6" xfId="1" applyBorder="1" applyAlignment="1">
      <alignment horizontal="center" vertical="center"/>
    </xf>
    <xf numFmtId="0" fontId="32" fillId="5" borderId="6" xfId="1" applyFont="1" applyFill="1" applyBorder="1" applyAlignment="1">
      <alignment horizontal="center" vertical="center"/>
    </xf>
    <xf numFmtId="0" fontId="32" fillId="0" borderId="6" xfId="1" applyFont="1" applyBorder="1" applyAlignment="1">
      <alignment horizontal="center" vertical="center"/>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49" fontId="44" fillId="0" borderId="59" xfId="1" applyNumberFormat="1" applyFont="1" applyBorder="1" applyAlignment="1" applyProtection="1">
      <alignment horizontal="distributed" vertical="center" wrapText="1" indent="1"/>
      <protection locked="0"/>
    </xf>
    <xf numFmtId="49" fontId="44" fillId="0" borderId="60" xfId="1" applyNumberFormat="1" applyFont="1" applyBorder="1" applyAlignment="1" applyProtection="1">
      <alignment horizontal="distributed" vertical="center" wrapText="1" indent="1"/>
      <protection locked="0"/>
    </xf>
    <xf numFmtId="49" fontId="44" fillId="0" borderId="61" xfId="1" applyNumberFormat="1" applyFont="1" applyBorder="1" applyAlignment="1" applyProtection="1">
      <alignment horizontal="distributed" vertical="center" wrapText="1" indent="1"/>
      <protection locked="0"/>
    </xf>
    <xf numFmtId="49" fontId="44" fillId="0" borderId="55" xfId="1" applyNumberFormat="1" applyFont="1" applyBorder="1" applyAlignment="1" applyProtection="1">
      <alignment horizontal="distributed" vertical="center" wrapText="1"/>
      <protection locked="0"/>
    </xf>
    <xf numFmtId="49" fontId="44" fillId="0" borderId="3" xfId="1" applyNumberFormat="1" applyFont="1" applyBorder="1" applyAlignment="1" applyProtection="1">
      <alignment horizontal="distributed" vertical="center" wrapText="1"/>
      <protection locked="0"/>
    </xf>
    <xf numFmtId="49" fontId="44" fillId="0" borderId="56" xfId="1" applyNumberFormat="1" applyFont="1" applyBorder="1" applyAlignment="1" applyProtection="1">
      <alignment horizontal="distributed" vertical="center" wrapText="1"/>
      <protection locked="0"/>
    </xf>
    <xf numFmtId="49" fontId="44" fillId="0" borderId="68" xfId="1" applyNumberFormat="1" applyFont="1" applyBorder="1" applyAlignment="1" applyProtection="1">
      <alignment horizontal="distributed" vertical="center" indent="1"/>
      <protection locked="0"/>
    </xf>
    <xf numFmtId="49" fontId="44" fillId="0" borderId="69" xfId="1" applyNumberFormat="1" applyFont="1" applyBorder="1" applyAlignment="1" applyProtection="1">
      <alignment horizontal="distributed" vertical="center" indent="1"/>
      <protection locked="0"/>
    </xf>
    <xf numFmtId="49" fontId="44" fillId="0" borderId="70" xfId="1" applyNumberFormat="1" applyFont="1" applyBorder="1" applyAlignment="1" applyProtection="1">
      <alignment horizontal="distributed" vertical="center" indent="1"/>
      <protection locked="0"/>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66" fillId="0" borderId="6" xfId="1" applyFont="1" applyBorder="1" applyAlignment="1">
      <alignment horizontal="center" vertical="center"/>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6" xfId="1" applyFont="1" applyBorder="1" applyAlignment="1">
      <alignment horizontal="center" vertical="center"/>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 fillId="0" borderId="137" xfId="1" applyFont="1" applyBorder="1" applyAlignment="1">
      <alignment horizontal="center" vertical="top"/>
    </xf>
    <xf numFmtId="0" fontId="6" fillId="0" borderId="138" xfId="1" applyFont="1" applyBorder="1" applyAlignment="1">
      <alignment horizontal="center" vertical="top"/>
    </xf>
    <xf numFmtId="0" fontId="6" fillId="0" borderId="139"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1"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9" fillId="0" borderId="16" xfId="1" applyFont="1" applyBorder="1" applyAlignment="1">
      <alignment horizontal="distributed" vertical="distributed" justifyLastLine="1"/>
    </xf>
    <xf numFmtId="0" fontId="9" fillId="0" borderId="127" xfId="1" applyFont="1" applyBorder="1" applyAlignment="1">
      <alignment horizontal="distributed" vertical="distributed" justifyLastLine="1"/>
    </xf>
    <xf numFmtId="0" fontId="36" fillId="0" borderId="128" xfId="1" applyFont="1" applyBorder="1" applyAlignment="1">
      <alignment horizontal="left" vertical="center" wrapText="1"/>
    </xf>
    <xf numFmtId="0" fontId="36" fillId="0" borderId="23"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0" xfId="1" applyFont="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2" xfId="1" applyFont="1" applyBorder="1" applyAlignment="1">
      <alignment horizontal="distributed" vertical="center" justifyLastLine="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53"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53"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2"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128"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45" xfId="1" applyNumberFormat="1" applyFont="1" applyBorder="1" applyAlignment="1">
      <alignment horizontal="center" vertical="center" shrinkToFit="1"/>
    </xf>
    <xf numFmtId="3" fontId="7" fillId="0" borderId="146" xfId="1" applyNumberFormat="1" applyFont="1" applyBorder="1" applyAlignment="1">
      <alignment horizontal="center" vertical="center" shrinkToFit="1"/>
    </xf>
    <xf numFmtId="3" fontId="7" fillId="0" borderId="150"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1" xfId="1" applyBorder="1" applyAlignment="1">
      <alignment horizontal="center" vertical="center"/>
    </xf>
    <xf numFmtId="0" fontId="3" fillId="0" borderId="147" xfId="1" applyBorder="1" applyAlignment="1">
      <alignment horizontal="center"/>
    </xf>
    <xf numFmtId="0" fontId="3" fillId="0" borderId="148" xfId="1" applyBorder="1" applyAlignment="1">
      <alignment horizont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0" xfId="1" applyFont="1" applyBorder="1" applyAlignment="1">
      <alignment horizontal="center" vertical="center" justifyLastLine="1"/>
    </xf>
    <xf numFmtId="0" fontId="9" fillId="0" borderId="141"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77" fillId="0" borderId="174" xfId="1" applyFont="1" applyBorder="1" applyAlignment="1">
      <alignment horizontal="center" vertical="center"/>
    </xf>
    <xf numFmtId="0" fontId="77" fillId="0" borderId="175" xfId="1" applyFont="1" applyBorder="1" applyAlignment="1">
      <alignment horizontal="center" vertical="center"/>
    </xf>
    <xf numFmtId="0" fontId="60" fillId="0" borderId="174" xfId="1" applyFont="1" applyBorder="1" applyAlignment="1">
      <alignment horizontal="center"/>
    </xf>
    <xf numFmtId="0" fontId="60" fillId="0" borderId="175" xfId="1" applyFont="1" applyBorder="1" applyAlignment="1">
      <alignment horizont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77" fillId="0" borderId="199" xfId="1" applyFont="1" applyBorder="1" applyAlignment="1">
      <alignment horizontal="center" vertical="center" shrinkToFit="1"/>
    </xf>
    <xf numFmtId="0" fontId="77" fillId="0" borderId="200" xfId="1" applyFont="1" applyBorder="1" applyAlignment="1">
      <alignment horizontal="center" vertical="center" shrinkToFit="1"/>
    </xf>
    <xf numFmtId="0" fontId="66" fillId="0" borderId="1" xfId="1" applyFont="1" applyBorder="1" applyAlignment="1">
      <alignment horizontal="center" vertical="center"/>
    </xf>
    <xf numFmtId="0" fontId="66" fillId="0" borderId="1" xfId="1" applyFont="1" applyBorder="1" applyAlignment="1">
      <alignment horizontal="center" vertical="center" shrinkToFit="1"/>
    </xf>
    <xf numFmtId="0" fontId="9" fillId="0" borderId="184" xfId="1" applyFont="1" applyBorder="1" applyAlignment="1">
      <alignment horizontal="center" vertical="distributed" textRotation="255" wrapText="1" justifyLastLine="1"/>
    </xf>
    <xf numFmtId="0" fontId="9" fillId="0" borderId="185"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3" xfId="1" applyFont="1" applyBorder="1" applyAlignment="1">
      <alignment horizontal="center" vertical="distributed" textRotation="255" wrapText="1" justifyLastLine="1"/>
    </xf>
    <xf numFmtId="0" fontId="3" fillId="0" borderId="209" xfId="1" applyBorder="1" applyAlignment="1">
      <alignment horizontal="center" vertical="center"/>
    </xf>
    <xf numFmtId="0" fontId="3" fillId="0" borderId="193" xfId="1" applyBorder="1" applyAlignment="1">
      <alignment horizontal="center" vertical="center"/>
    </xf>
    <xf numFmtId="0" fontId="3" fillId="0" borderId="217"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77" fillId="0" borderId="174" xfId="1" applyFont="1" applyBorder="1" applyAlignment="1">
      <alignment horizontal="center" vertical="center" shrinkToFit="1"/>
    </xf>
    <xf numFmtId="0" fontId="77" fillId="0" borderId="175" xfId="1" applyFont="1" applyBorder="1" applyAlignment="1">
      <alignment horizontal="center" vertical="center" shrinkToFit="1"/>
    </xf>
    <xf numFmtId="0" fontId="3" fillId="0" borderId="189" xfId="1" applyBorder="1" applyAlignment="1">
      <alignment horizontal="center" vertical="center"/>
    </xf>
    <xf numFmtId="0" fontId="9" fillId="0" borderId="415" xfId="1" applyFont="1" applyBorder="1" applyAlignment="1">
      <alignment horizontal="center" vertical="distributed" textRotation="255" justifyLastLine="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1"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40" xfId="1" applyFont="1" applyBorder="1" applyAlignment="1">
      <alignment horizontal="center" vertical="center"/>
    </xf>
    <xf numFmtId="0" fontId="9" fillId="0" borderId="122" xfId="1" applyFont="1" applyBorder="1" applyAlignment="1">
      <alignment horizontal="center" vertical="center"/>
    </xf>
    <xf numFmtId="0" fontId="3" fillId="0" borderId="168" xfId="1" applyBorder="1" applyAlignment="1">
      <alignment horizontal="center" vertical="center"/>
    </xf>
    <xf numFmtId="0" fontId="3" fillId="0" borderId="169" xfId="1" applyBorder="1" applyAlignment="1">
      <alignment horizontal="center" vertical="center"/>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0" xfId="1" applyFont="1" applyBorder="1" applyAlignment="1">
      <alignment horizontal="distributed" vertical="distributed" textRotation="255" justifyLastLine="1"/>
    </xf>
    <xf numFmtId="0" fontId="9" fillId="0" borderId="181" xfId="1" applyFont="1" applyBorder="1" applyAlignment="1">
      <alignment horizontal="distributed" vertical="distributed" textRotation="255" justifyLastLine="1"/>
    </xf>
    <xf numFmtId="0" fontId="9" fillId="0" borderId="16" xfId="1" applyFont="1" applyBorder="1" applyAlignment="1">
      <alignment horizontal="center" vertical="distributed" textRotation="255" justifyLastLine="1"/>
    </xf>
    <xf numFmtId="0" fontId="9" fillId="0" borderId="25" xfId="1" applyFont="1" applyBorder="1" applyAlignment="1">
      <alignment horizontal="center" vertical="distributed" textRotation="255" justifyLastLine="1"/>
    </xf>
    <xf numFmtId="0" fontId="9" fillId="0" borderId="531" xfId="1" applyFont="1" applyBorder="1" applyAlignment="1">
      <alignment horizontal="center" vertical="distributed" textRotation="255" justifyLastLine="1"/>
    </xf>
    <xf numFmtId="0" fontId="36" fillId="0" borderId="23" xfId="1" applyFont="1" applyBorder="1" applyAlignment="1">
      <alignment vertical="center" wrapText="1"/>
    </xf>
    <xf numFmtId="0" fontId="9" fillId="0" borderId="16" xfId="1" applyFont="1" applyBorder="1" applyAlignment="1">
      <alignment horizontal="center" vertical="center" wrapText="1" justifyLastLine="1"/>
    </xf>
    <xf numFmtId="0" fontId="9" fillId="0" borderId="24"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6" xfId="1" applyFont="1" applyBorder="1" applyAlignment="1">
      <alignment horizontal="center" vertical="center" wrapText="1" justifyLastLine="1"/>
    </xf>
    <xf numFmtId="0" fontId="9" fillId="0" borderId="27" xfId="1" applyFont="1" applyBorder="1" applyAlignment="1">
      <alignment horizontal="center" vertical="center" wrapText="1" justifyLastLine="1"/>
    </xf>
    <xf numFmtId="0" fontId="9" fillId="0" borderId="29" xfId="1" applyFont="1" applyBorder="1" applyAlignment="1">
      <alignment horizontal="center" vertical="center" wrapText="1" justifyLastLine="1"/>
    </xf>
    <xf numFmtId="0" fontId="9" fillId="0" borderId="25" xfId="1" applyFont="1" applyBorder="1" applyAlignment="1">
      <alignment horizontal="center" vertical="center"/>
    </xf>
    <xf numFmtId="0" fontId="9" fillId="0" borderId="26" xfId="1" applyFont="1" applyBorder="1" applyAlignment="1">
      <alignment horizontal="center"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9" fillId="0" borderId="234"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2"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40" xfId="1" applyFont="1" applyBorder="1" applyAlignment="1">
      <alignment horizontal="center" vertical="center" wrapText="1"/>
    </xf>
    <xf numFmtId="0" fontId="45" fillId="0" borderId="51" xfId="1" applyFont="1" applyBorder="1" applyAlignment="1">
      <alignment horizontal="center" vertical="center"/>
    </xf>
    <xf numFmtId="0" fontId="36" fillId="0" borderId="0" xfId="1" applyFont="1" applyAlignment="1">
      <alignment horizontal="left" vertical="top" wrapText="1"/>
    </xf>
    <xf numFmtId="0" fontId="66"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0" xfId="1" applyFont="1" applyBorder="1" applyAlignment="1">
      <alignment horizontal="center" vertical="center" wrapText="1"/>
    </xf>
    <xf numFmtId="0" fontId="3" fillId="0" borderId="230"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27"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9"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4" xfId="1" applyNumberFormat="1" applyFont="1" applyBorder="1" applyAlignment="1">
      <alignment horizontal="right" vertical="center" shrinkToFit="1"/>
    </xf>
    <xf numFmtId="0" fontId="3" fillId="0" borderId="225" xfId="1" applyBorder="1" applyAlignment="1">
      <alignment horizontal="right" vertical="center" shrinkToFit="1"/>
    </xf>
    <xf numFmtId="0" fontId="3" fillId="0" borderId="175" xfId="1" applyBorder="1" applyAlignment="1">
      <alignment horizontal="right" vertical="center" shrinkToFit="1"/>
    </xf>
    <xf numFmtId="0" fontId="36" fillId="0" borderId="64" xfId="1" applyFont="1" applyBorder="1" applyAlignment="1">
      <alignment horizontal="left" vertical="top" wrapText="1"/>
    </xf>
    <xf numFmtId="0" fontId="3" fillId="0" borderId="226" xfId="1" applyBorder="1" applyAlignment="1">
      <alignment horizontal="right" vertical="center" shrinkToFit="1"/>
    </xf>
    <xf numFmtId="0" fontId="3" fillId="0" borderId="200" xfId="1" applyBorder="1" applyAlignment="1">
      <alignment horizontal="right" vertical="center" shrinkToFit="1"/>
    </xf>
    <xf numFmtId="0" fontId="66" fillId="0" borderId="6" xfId="1" applyFont="1" applyBorder="1" applyAlignment="1">
      <alignment horizontal="center" vertical="center" shrinkToFit="1"/>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19" xfId="1" applyFont="1" applyBorder="1" applyAlignment="1">
      <alignment horizontal="center" vertical="center"/>
    </xf>
    <xf numFmtId="0" fontId="45" fillId="0" borderId="218"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0"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9" xfId="1" applyFont="1" applyBorder="1" applyAlignment="1">
      <alignment horizontal="distributed"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127" xfId="1" applyFont="1" applyBorder="1" applyAlignment="1">
      <alignment horizontal="distributed" vertical="center"/>
    </xf>
    <xf numFmtId="3" fontId="7" fillId="0" borderId="250" xfId="1" applyNumberFormat="1" applyFont="1" applyBorder="1" applyAlignment="1">
      <alignment horizontal="right" vertical="center" shrinkToFit="1"/>
    </xf>
    <xf numFmtId="0" fontId="3" fillId="0" borderId="251" xfId="1" applyBorder="1" applyAlignment="1">
      <alignment vertical="center" shrinkToFit="1"/>
    </xf>
    <xf numFmtId="0" fontId="57" fillId="0" borderId="252" xfId="1" applyFont="1" applyBorder="1" applyAlignment="1">
      <alignment vertical="center" wrapText="1"/>
    </xf>
    <xf numFmtId="0" fontId="3" fillId="0" borderId="252"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27" xfId="1" applyBorder="1" applyAlignment="1">
      <alignment wrapText="1"/>
    </xf>
    <xf numFmtId="0" fontId="3" fillId="0" borderId="0" xfId="1" applyAlignment="1">
      <alignment wrapText="1"/>
    </xf>
    <xf numFmtId="0" fontId="3" fillId="0" borderId="64" xfId="1" applyBorder="1" applyAlignment="1">
      <alignment wrapText="1"/>
    </xf>
    <xf numFmtId="3" fontId="7" fillId="0" borderId="245" xfId="1" applyNumberFormat="1" applyFont="1" applyBorder="1" applyAlignment="1">
      <alignment horizontal="right" vertical="center" shrinkToFit="1"/>
    </xf>
    <xf numFmtId="0" fontId="3" fillId="0" borderId="246" xfId="1" applyBorder="1" applyAlignment="1">
      <alignment vertical="center" shrinkToFit="1"/>
    </xf>
    <xf numFmtId="0" fontId="66"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0" xfId="1" applyFont="1" applyBorder="1" applyAlignment="1">
      <alignment horizontal="center" vertical="center" wrapText="1"/>
    </xf>
    <xf numFmtId="0" fontId="66" fillId="0" borderId="109" xfId="1" applyFont="1" applyBorder="1" applyAlignment="1">
      <alignment horizontal="center" vertical="center" justifyLastLine="1"/>
    </xf>
    <xf numFmtId="49" fontId="9" fillId="3" borderId="301"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27"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9" fillId="0" borderId="275" xfId="1" applyFont="1" applyBorder="1" applyAlignment="1">
      <alignment horizontal="center" vertical="distributed" textRotation="255" wrapText="1" justifyLastLine="1"/>
    </xf>
    <xf numFmtId="0" fontId="9" fillId="0" borderId="276"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49" fontId="9" fillId="3" borderId="143" xfId="1" applyNumberFormat="1" applyFont="1" applyFill="1" applyBorder="1" applyAlignment="1" applyProtection="1">
      <alignment horizontal="center" vertical="center" wrapText="1"/>
      <protection locked="0"/>
    </xf>
    <xf numFmtId="49" fontId="9" fillId="3" borderId="315"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0" fontId="46" fillId="0" borderId="280" xfId="1" applyFont="1" applyBorder="1" applyAlignment="1">
      <alignment horizontal="center" vertical="top" shrinkToFit="1"/>
    </xf>
    <xf numFmtId="0" fontId="46" fillId="0" borderId="291" xfId="1" applyFont="1" applyBorder="1" applyAlignment="1">
      <alignment horizontal="center" vertical="top" shrinkToFit="1"/>
    </xf>
    <xf numFmtId="0" fontId="46" fillId="0" borderId="328"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7" xfId="1" applyFont="1" applyBorder="1" applyAlignment="1" applyProtection="1">
      <alignment horizontal="center" vertical="center" shrinkToFit="1"/>
      <protection locked="0"/>
    </xf>
    <xf numFmtId="0" fontId="7" fillId="0" borderId="319" xfId="1" applyFont="1" applyBorder="1" applyAlignment="1" applyProtection="1">
      <alignment horizontal="center" vertical="center" shrinkToFit="1"/>
      <protection locked="0"/>
    </xf>
    <xf numFmtId="49" fontId="9" fillId="3" borderId="286"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320"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284"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47"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10" xfId="1" applyNumberFormat="1" applyFont="1" applyFill="1" applyBorder="1" applyAlignment="1" applyProtection="1">
      <alignment horizontal="center" vertical="center" wrapText="1"/>
      <protection locked="0"/>
    </xf>
    <xf numFmtId="49" fontId="9" fillId="4" borderId="311" xfId="1" applyNumberFormat="1" applyFont="1" applyFill="1" applyBorder="1" applyAlignment="1" applyProtection="1">
      <alignment horizontal="center" vertical="center" wrapText="1"/>
      <protection locked="0"/>
    </xf>
    <xf numFmtId="49" fontId="9" fillId="4" borderId="312" xfId="1" applyNumberFormat="1" applyFont="1" applyFill="1" applyBorder="1" applyAlignment="1" applyProtection="1">
      <alignment horizontal="center" vertical="center" wrapText="1"/>
      <protection locked="0"/>
    </xf>
    <xf numFmtId="0" fontId="7" fillId="4" borderId="314" xfId="1" applyFont="1" applyFill="1" applyBorder="1" applyAlignment="1" applyProtection="1">
      <alignment horizontal="center"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0"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8"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07" xfId="1" applyNumberFormat="1" applyFont="1" applyBorder="1" applyAlignment="1">
      <alignment horizontal="right" vertical="center" shrinkToFit="1"/>
    </xf>
    <xf numFmtId="0" fontId="3" fillId="0" borderId="308" xfId="1" applyBorder="1" applyAlignment="1">
      <alignment vertical="center" shrinkToFit="1"/>
    </xf>
    <xf numFmtId="0" fontId="3" fillId="0" borderId="309" xfId="1" applyBorder="1" applyAlignment="1">
      <alignment vertical="center" shrinkToFi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0"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57" xfId="1" applyFont="1" applyBorder="1" applyAlignment="1" applyProtection="1">
      <alignment horizontal="center" vertical="center" shrinkToFit="1"/>
      <protection locked="0"/>
    </xf>
    <xf numFmtId="0" fontId="7" fillId="0" borderId="258" xfId="1" applyFont="1" applyBorder="1" applyAlignment="1" applyProtection="1">
      <alignment horizontal="center" vertical="center" shrinkToFit="1"/>
      <protection locked="0"/>
    </xf>
    <xf numFmtId="49" fontId="9" fillId="3" borderId="298"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186" fontId="66"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5" xfId="1" applyNumberFormat="1" applyFont="1" applyFill="1" applyBorder="1" applyAlignment="1" applyProtection="1">
      <alignment horizontal="center" vertical="center" wrapText="1"/>
      <protection locked="0"/>
    </xf>
    <xf numFmtId="0" fontId="7" fillId="3" borderId="292" xfId="1" applyFont="1" applyFill="1" applyBorder="1" applyAlignment="1" applyProtection="1">
      <alignment horizontal="center" vertical="center" shrinkToFit="1"/>
      <protection locked="0"/>
    </xf>
    <xf numFmtId="0" fontId="7" fillId="0" borderId="293" xfId="1" applyFont="1" applyBorder="1" applyAlignment="1" applyProtection="1">
      <alignment horizontal="center" vertical="center" shrinkToFit="1"/>
      <protection locked="0"/>
    </xf>
    <xf numFmtId="0" fontId="7" fillId="0" borderId="294" xfId="1" applyFont="1" applyBorder="1" applyAlignment="1" applyProtection="1">
      <alignment horizontal="center" vertical="center" shrinkToFit="1"/>
      <protection locked="0"/>
    </xf>
    <xf numFmtId="49" fontId="9" fillId="3" borderId="288"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27" xfId="1" applyFont="1" applyBorder="1" applyAlignment="1">
      <alignment horizontal="distributed" vertical="center" wrapText="1" indent="1"/>
    </xf>
    <xf numFmtId="0" fontId="7" fillId="4" borderId="271" xfId="1" applyFont="1" applyFill="1" applyBorder="1" applyAlignment="1" applyProtection="1">
      <alignment horizontal="center" vertical="center" shrinkToFit="1"/>
      <protection locked="0"/>
    </xf>
    <xf numFmtId="0" fontId="7" fillId="4" borderId="272" xfId="1" applyFont="1" applyFill="1" applyBorder="1" applyAlignment="1" applyProtection="1">
      <alignment horizontal="center" vertical="center" shrinkToFit="1"/>
      <protection locked="0"/>
    </xf>
    <xf numFmtId="0" fontId="7" fillId="4" borderId="273"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57" xfId="1" applyNumberFormat="1" applyFont="1" applyFill="1" applyBorder="1" applyAlignment="1" applyProtection="1">
      <alignment horizontal="center" vertical="center" wrapText="1"/>
      <protection locked="0"/>
    </xf>
    <xf numFmtId="49" fontId="9" fillId="3" borderId="277" xfId="1" applyNumberFormat="1" applyFont="1" applyFill="1" applyBorder="1" applyAlignment="1" applyProtection="1">
      <alignment horizontal="center" vertical="center" wrapText="1"/>
      <protection locked="0"/>
    </xf>
    <xf numFmtId="0" fontId="7" fillId="3" borderId="281" xfId="1" applyFont="1" applyFill="1" applyBorder="1" applyAlignment="1" applyProtection="1">
      <alignment horizontal="center" vertical="center" shrinkToFit="1"/>
      <protection locked="0"/>
    </xf>
    <xf numFmtId="0" fontId="7" fillId="0" borderId="282" xfId="1" applyFont="1" applyBorder="1" applyAlignment="1" applyProtection="1">
      <alignment horizontal="center" vertical="center" shrinkToFit="1"/>
      <protection locked="0"/>
    </xf>
    <xf numFmtId="0" fontId="7" fillId="0" borderId="283"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7" fillId="4" borderId="267"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0" xfId="1" applyFont="1" applyFill="1" applyBorder="1" applyAlignment="1" applyProtection="1">
      <alignment horizontal="center" vertical="center" shrinkToFit="1"/>
      <protection locked="0"/>
    </xf>
    <xf numFmtId="0" fontId="7" fillId="4" borderId="261"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24" fillId="0" borderId="362" xfId="1" applyFont="1" applyBorder="1" applyAlignment="1">
      <alignment horizontal="center" vertical="center" shrinkToFit="1"/>
    </xf>
    <xf numFmtId="0" fontId="24" fillId="0" borderId="363" xfId="1" applyFont="1" applyBorder="1" applyAlignment="1">
      <alignment horizontal="center" vertical="center" shrinkToFit="1"/>
    </xf>
    <xf numFmtId="0" fontId="24" fillId="0" borderId="364" xfId="1" applyFont="1" applyBorder="1" applyAlignment="1">
      <alignment horizontal="center" vertical="center" shrinkToFit="1"/>
    </xf>
    <xf numFmtId="3" fontId="7" fillId="4" borderId="365" xfId="1" applyNumberFormat="1" applyFont="1" applyFill="1" applyBorder="1" applyAlignment="1" applyProtection="1">
      <alignment horizontal="right" vertical="center" shrinkToFit="1"/>
      <protection locked="0"/>
    </xf>
    <xf numFmtId="3"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6"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49" xfId="1" applyNumberFormat="1" applyFont="1" applyFill="1" applyBorder="1" applyAlignment="1" applyProtection="1">
      <alignment horizontal="right" vertical="center" shrinkToFit="1"/>
      <protection locked="0"/>
    </xf>
    <xf numFmtId="182" fontId="7" fillId="4" borderId="293" xfId="1" applyNumberFormat="1" applyFont="1" applyFill="1" applyBorder="1" applyAlignment="1" applyProtection="1">
      <alignment horizontal="right" vertical="center" shrinkToFit="1"/>
      <protection locked="0"/>
    </xf>
    <xf numFmtId="182" fontId="7" fillId="4" borderId="350" xfId="1" applyNumberFormat="1" applyFont="1" applyFill="1" applyBorder="1" applyAlignment="1" applyProtection="1">
      <alignment horizontal="right" vertical="center" shrinkToFit="1"/>
      <protection locked="0"/>
    </xf>
    <xf numFmtId="3" fontId="7" fillId="4" borderId="340" xfId="1" applyNumberFormat="1" applyFont="1" applyFill="1" applyBorder="1" applyAlignment="1" applyProtection="1">
      <alignment horizontal="right" vertical="center" shrinkToFit="1"/>
      <protection locked="0"/>
    </xf>
    <xf numFmtId="3" fontId="7" fillId="4" borderId="293"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293" xfId="1" applyFont="1" applyFill="1" applyBorder="1" applyAlignment="1" applyProtection="1">
      <alignment horizontal="center" vertical="center" shrinkToFit="1"/>
      <protection locked="0"/>
    </xf>
    <xf numFmtId="0" fontId="7" fillId="4" borderId="342"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1" xfId="1" applyNumberFormat="1" applyFont="1" applyFill="1" applyBorder="1" applyAlignment="1" applyProtection="1">
      <alignment horizontal="right" vertical="center" shrinkToFit="1"/>
      <protection locked="0"/>
    </xf>
    <xf numFmtId="182" fontId="7" fillId="4" borderId="287" xfId="1" applyNumberFormat="1" applyFont="1" applyFill="1" applyBorder="1" applyAlignment="1" applyProtection="1">
      <alignment horizontal="right" vertical="center" shrinkToFit="1"/>
      <protection locked="0"/>
    </xf>
    <xf numFmtId="182" fontId="7" fillId="4" borderId="351"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0" xfId="1" applyNumberFormat="1" applyFont="1" applyFill="1" applyBorder="1" applyAlignment="1" applyProtection="1">
      <alignment horizontal="right" vertical="center" shrinkToFit="1"/>
      <protection locked="0"/>
    </xf>
    <xf numFmtId="182" fontId="7" fillId="4" borderId="355" xfId="1" applyNumberFormat="1" applyFont="1" applyFill="1" applyBorder="1" applyAlignment="1" applyProtection="1">
      <alignment horizontal="right" vertical="center" shrinkToFit="1"/>
      <protection locked="0"/>
    </xf>
    <xf numFmtId="182" fontId="7" fillId="4" borderId="361"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355" xfId="1" applyFont="1" applyFill="1" applyBorder="1" applyAlignment="1" applyProtection="1">
      <alignment horizontal="center" vertical="center" shrinkToFit="1"/>
      <protection locked="0"/>
    </xf>
    <xf numFmtId="0" fontId="7" fillId="4" borderId="357"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21" xfId="1" applyNumberFormat="1" applyFont="1" applyFill="1" applyBorder="1" applyAlignment="1" applyProtection="1">
      <alignment horizontal="right" vertical="center" shrinkToFit="1"/>
      <protection locked="0"/>
    </xf>
    <xf numFmtId="181" fontId="7" fillId="4" borderId="287"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287"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287"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58" xfId="1" applyFont="1" applyBorder="1" applyAlignment="1">
      <alignment horizontal="center" vertical="center"/>
    </xf>
    <xf numFmtId="0" fontId="59" fillId="0" borderId="359" xfId="1" applyFont="1" applyBorder="1" applyAlignment="1">
      <alignment horizontal="center" vertical="center"/>
    </xf>
    <xf numFmtId="181" fontId="7" fillId="4" borderId="349" xfId="1" applyNumberFormat="1" applyFont="1" applyFill="1" applyBorder="1" applyAlignment="1" applyProtection="1">
      <alignment horizontal="right" vertical="center" shrinkToFit="1"/>
      <protection locked="0"/>
    </xf>
    <xf numFmtId="181" fontId="7" fillId="4" borderId="293"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46"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0" fontId="24" fillId="0" borderId="343"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5" xfId="1" applyFont="1" applyBorder="1" applyAlignment="1">
      <alignment horizontal="center" vertical="center" shrinkToFit="1"/>
    </xf>
    <xf numFmtId="0" fontId="24" fillId="0" borderId="335" xfId="1" applyFont="1" applyBorder="1" applyAlignment="1">
      <alignment horizontal="center" vertical="center" shrinkToFit="1"/>
    </xf>
    <xf numFmtId="0" fontId="24" fillId="0" borderId="336" xfId="1" applyFont="1" applyBorder="1" applyAlignment="1">
      <alignment horizontal="center" vertical="center" shrinkToFit="1"/>
    </xf>
    <xf numFmtId="3" fontId="7" fillId="4" borderId="337" xfId="1" applyNumberFormat="1" applyFont="1" applyFill="1" applyBorder="1" applyAlignment="1" applyProtection="1">
      <alignment horizontal="right" vertical="center" shrinkToFit="1"/>
      <protection locked="0"/>
    </xf>
    <xf numFmtId="3" fontId="7" fillId="4" borderId="315"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315"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0" xfId="1" applyFont="1" applyBorder="1" applyAlignment="1">
      <alignment horizontal="center" vertical="center" shrinkToFit="1"/>
    </xf>
    <xf numFmtId="0" fontId="24" fillId="0" borderId="339" xfId="1" applyFont="1" applyBorder="1" applyAlignment="1">
      <alignment horizontal="center" vertical="center" shrinkToFit="1"/>
    </xf>
    <xf numFmtId="0" fontId="24" fillId="0" borderId="251" xfId="1" applyFont="1" applyBorder="1" applyAlignment="1">
      <alignment horizontal="center" vertical="center" shrinkToFi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42" xfId="1" applyFont="1" applyBorder="1" applyAlignment="1">
      <alignment horizontal="center" vertical="center"/>
    </xf>
    <xf numFmtId="0" fontId="24" fillId="0" borderId="330" xfId="1" applyFont="1" applyBorder="1" applyAlignment="1">
      <alignment horizontal="center" vertical="center" shrinkToFit="1"/>
    </xf>
    <xf numFmtId="0" fontId="24" fillId="0" borderId="331" xfId="1" applyFont="1" applyBorder="1" applyAlignment="1">
      <alignment horizontal="center" vertical="center" shrinkToFit="1"/>
    </xf>
    <xf numFmtId="0" fontId="24" fillId="0" borderId="332" xfId="1" applyFont="1" applyBorder="1" applyAlignment="1">
      <alignment horizontal="center" vertical="center" shrinkToFit="1"/>
    </xf>
    <xf numFmtId="3" fontId="7" fillId="3" borderId="143" xfId="1" applyNumberFormat="1" applyFont="1" applyFill="1" applyBorder="1" applyAlignment="1" applyProtection="1">
      <alignment horizontal="right" vertical="center" shrinkToFit="1"/>
      <protection locked="0"/>
    </xf>
    <xf numFmtId="3" fontId="7" fillId="0" borderId="315" xfId="1" applyNumberFormat="1" applyFont="1" applyBorder="1" applyAlignment="1" applyProtection="1">
      <alignment horizontal="right" vertical="center" shrinkToFit="1"/>
      <protection locked="0"/>
    </xf>
    <xf numFmtId="3" fontId="7" fillId="0" borderId="333" xfId="1" applyNumberFormat="1" applyFont="1" applyBorder="1" applyAlignment="1" applyProtection="1">
      <alignment horizontal="right" vertical="center" shrinkToFit="1"/>
      <protection locked="0"/>
    </xf>
    <xf numFmtId="0" fontId="7" fillId="3" borderId="334" xfId="1" applyFont="1" applyFill="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19"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54" xfId="1" applyNumberFormat="1" applyFont="1" applyFill="1" applyBorder="1" applyAlignment="1" applyProtection="1">
      <alignment horizontal="right" vertical="center" shrinkToFit="1"/>
      <protection locked="0"/>
    </xf>
    <xf numFmtId="3" fontId="7" fillId="4" borderId="380" xfId="1" applyNumberFormat="1" applyFont="1" applyFill="1" applyBorder="1" applyAlignment="1" applyProtection="1">
      <alignment horizontal="right"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7" xfId="1" applyNumberFormat="1" applyFont="1" applyBorder="1" applyAlignment="1" applyProtection="1">
      <alignment horizontal="right" vertical="center" shrinkToFit="1"/>
      <protection locked="0"/>
    </xf>
    <xf numFmtId="3" fontId="7" fillId="0" borderId="382" xfId="1" applyNumberFormat="1" applyFont="1" applyBorder="1" applyAlignment="1" applyProtection="1">
      <alignment horizontal="right" vertical="center" shrinkToFit="1"/>
      <protection locked="0"/>
    </xf>
    <xf numFmtId="0" fontId="7" fillId="3" borderId="383" xfId="1" applyFont="1" applyFill="1" applyBorder="1" applyAlignment="1" applyProtection="1">
      <alignment horizontal="center" vertical="center" shrinkToFit="1"/>
      <protection locked="0"/>
    </xf>
    <xf numFmtId="0" fontId="7" fillId="0" borderId="382"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4" xfId="1" applyNumberFormat="1" applyFont="1" applyFill="1" applyBorder="1" applyAlignment="1" applyProtection="1">
      <alignment horizontal="right" vertical="center" shrinkToFit="1"/>
      <protection locked="0"/>
    </xf>
    <xf numFmtId="3" fontId="7" fillId="4" borderId="385" xfId="1" applyNumberFormat="1" applyFont="1" applyFill="1" applyBorder="1" applyAlignment="1" applyProtection="1">
      <alignment horizontal="right"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386"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7"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71"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57" xfId="1" applyNumberFormat="1" applyFont="1" applyBorder="1" applyAlignment="1" applyProtection="1">
      <alignment horizontal="right" vertical="center" shrinkToFit="1"/>
      <protection locked="0"/>
    </xf>
    <xf numFmtId="3" fontId="7" fillId="0" borderId="369" xfId="1" applyNumberFormat="1" applyFont="1" applyBorder="1" applyAlignment="1" applyProtection="1">
      <alignment horizontal="right" vertical="center" shrinkToFit="1"/>
      <protection locked="0"/>
    </xf>
    <xf numFmtId="0" fontId="7" fillId="3" borderId="123" xfId="1" applyFont="1" applyFill="1" applyBorder="1" applyAlignment="1" applyProtection="1">
      <alignment horizontal="center" vertical="center" shrinkToFit="1"/>
      <protection locked="0"/>
    </xf>
    <xf numFmtId="0" fontId="7" fillId="0" borderId="198" xfId="1" applyFont="1" applyBorder="1" applyAlignment="1" applyProtection="1">
      <alignment horizontal="center" vertical="center" shrinkToFit="1"/>
      <protection locked="0"/>
    </xf>
    <xf numFmtId="0" fontId="7" fillId="0" borderId="370"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19"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8" xfId="1" applyFont="1" applyBorder="1" applyAlignment="1">
      <alignment horizontal="center" vertical="center" wrapText="1"/>
    </xf>
    <xf numFmtId="3" fontId="7" fillId="0" borderId="400" xfId="1" applyNumberFormat="1" applyFont="1" applyBorder="1" applyAlignment="1">
      <alignment horizontal="right" vertical="center" shrinkToFit="1"/>
    </xf>
    <xf numFmtId="0" fontId="3" fillId="0" borderId="401" xfId="1" applyBorder="1" applyAlignment="1">
      <alignment vertical="center"/>
    </xf>
    <xf numFmtId="0" fontId="3" fillId="0" borderId="402"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19"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66"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3" xfId="1" applyFont="1" applyBorder="1" applyAlignment="1">
      <alignment horizontal="distributed" vertical="center" wrapText="1"/>
    </xf>
    <xf numFmtId="0" fontId="45" fillId="0" borderId="122"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8"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53"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0" xfId="3" applyFont="1" applyBorder="1" applyAlignment="1">
      <alignment horizontal="center" vertical="center" wrapText="1"/>
    </xf>
    <xf numFmtId="0" fontId="9" fillId="0" borderId="51"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218"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18" xfId="3" applyFont="1" applyBorder="1" applyAlignment="1">
      <alignment horizontal="center" vertical="center" wrapText="1"/>
    </xf>
    <xf numFmtId="0" fontId="9" fillId="0" borderId="153" xfId="1" applyFont="1" applyBorder="1" applyAlignment="1">
      <alignment horizontal="center" vertical="center" wrapText="1"/>
    </xf>
    <xf numFmtId="0" fontId="9" fillId="0" borderId="218" xfId="1" applyFont="1" applyBorder="1" applyAlignment="1">
      <alignment horizontal="center" vertical="distributed" textRotation="255" wrapText="1" justifyLastLine="1"/>
    </xf>
    <xf numFmtId="0" fontId="9" fillId="0" borderId="406"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0" xfId="3" applyFont="1" applyBorder="1" applyAlignment="1">
      <alignment horizontal="distributed" vertical="center" justifyLastLine="1"/>
    </xf>
    <xf numFmtId="0" fontId="9" fillId="3" borderId="178" xfId="3" applyFont="1" applyFill="1" applyBorder="1" applyAlignment="1" applyProtection="1">
      <alignment horizontal="center" vertical="center" shrinkToFit="1"/>
      <protection locked="0"/>
    </xf>
    <xf numFmtId="0" fontId="9" fillId="0" borderId="411" xfId="1" applyFont="1" applyBorder="1" applyAlignment="1" applyProtection="1">
      <alignment horizontal="center" vertical="center" shrinkToFit="1"/>
      <protection locked="0"/>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0"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18"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53"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74" xfId="1" applyFont="1" applyBorder="1" applyAlignment="1">
      <alignment horizontal="center" vertical="center" wrapText="1"/>
    </xf>
    <xf numFmtId="0" fontId="66" fillId="0" borderId="405" xfId="1" applyFont="1" applyBorder="1" applyAlignment="1">
      <alignment horizontal="center" vertical="center" wrapText="1"/>
    </xf>
    <xf numFmtId="0" fontId="66" fillId="0" borderId="151" xfId="1" applyFont="1" applyBorder="1" applyAlignment="1">
      <alignment horizontal="center" vertical="center" wrapText="1"/>
    </xf>
    <xf numFmtId="0" fontId="95" fillId="0" borderId="16" xfId="1" applyFont="1" applyBorder="1" applyAlignment="1">
      <alignment horizontal="center" vertical="center" wrapText="1"/>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78" xfId="3" applyFont="1" applyFill="1" applyBorder="1" applyAlignment="1" applyProtection="1">
      <alignment horizontal="center" vertical="center" shrinkToFit="1"/>
      <protection locked="0"/>
    </xf>
    <xf numFmtId="0" fontId="60" fillId="0" borderId="411"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06" xfId="1" applyFont="1" applyBorder="1" applyAlignment="1">
      <alignment horizontal="center" vertical="center" wrapText="1"/>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19"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4"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18"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53"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53"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218"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9" fillId="0" borderId="140"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18"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53" xfId="3" applyFont="1" applyBorder="1" applyAlignment="1">
      <alignment horizontal="center" vertical="center" wrapText="1" justifyLastLine="1"/>
    </xf>
    <xf numFmtId="0" fontId="66" fillId="0" borderId="6" xfId="4" applyFont="1" applyBorder="1" applyAlignment="1">
      <alignment horizontal="distributed" vertical="center"/>
    </xf>
    <xf numFmtId="0" fontId="66" fillId="0" borderId="6" xfId="4" applyFont="1" applyBorder="1" applyAlignment="1">
      <alignment horizontal="center" vertical="distributed" textRotation="255" justifyLastLine="1"/>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447" xfId="4" applyFont="1" applyBorder="1" applyAlignment="1">
      <alignment horizontal="distributed" vertical="center"/>
    </xf>
    <xf numFmtId="0" fontId="66" fillId="0" borderId="448" xfId="4" applyFont="1" applyBorder="1" applyAlignment="1">
      <alignment horizontal="distributed" vertical="center"/>
    </xf>
    <xf numFmtId="0" fontId="66" fillId="0" borderId="449" xfId="4" applyFont="1" applyBorder="1" applyAlignment="1">
      <alignment horizontal="distributed" vertical="center"/>
    </xf>
    <xf numFmtId="0" fontId="66" fillId="0" borderId="6" xfId="4" applyFont="1" applyBorder="1" applyAlignment="1">
      <alignment vertical="center"/>
    </xf>
    <xf numFmtId="0" fontId="66" fillId="0" borderId="444" xfId="4" applyFont="1" applyBorder="1" applyAlignment="1">
      <alignment vertical="center"/>
    </xf>
    <xf numFmtId="0" fontId="66" fillId="0" borderId="445" xfId="4" applyFont="1" applyBorder="1" applyAlignment="1">
      <alignment vertical="center"/>
    </xf>
    <xf numFmtId="0" fontId="66" fillId="0" borderId="446" xfId="4" applyFont="1" applyBorder="1" applyAlignment="1">
      <alignment vertical="center"/>
    </xf>
    <xf numFmtId="0" fontId="66" fillId="0" borderId="450" xfId="4" applyFont="1" applyBorder="1" applyAlignment="1">
      <alignment horizontal="distributed" vertical="center"/>
    </xf>
    <xf numFmtId="0" fontId="66" fillId="0" borderId="451" xfId="4" applyFont="1" applyBorder="1" applyAlignment="1">
      <alignment horizontal="distributed" vertical="center"/>
    </xf>
    <xf numFmtId="0" fontId="66" fillId="0" borderId="452"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66" fillId="0" borderId="455" xfId="4" applyFont="1" applyBorder="1" applyAlignment="1">
      <alignment horizontal="distributed" vertical="center"/>
    </xf>
    <xf numFmtId="0" fontId="66" fillId="0" borderId="456"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3" fontId="7" fillId="4" borderId="1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4"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0"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top" wrapText="1"/>
    </xf>
    <xf numFmtId="0" fontId="33" fillId="0" borderId="19" xfId="1" applyFont="1" applyBorder="1" applyAlignment="1">
      <alignment vertical="top" wrapText="1"/>
    </xf>
    <xf numFmtId="0" fontId="33" fillId="0" borderId="0" xfId="1" applyFont="1" applyAlignment="1">
      <alignment vertical="top" wrapText="1"/>
    </xf>
    <xf numFmtId="0" fontId="33" fillId="0" borderId="64" xfId="1" applyFont="1" applyBorder="1" applyAlignment="1">
      <alignment vertical="top" wrapText="1"/>
    </xf>
    <xf numFmtId="0" fontId="33" fillId="0" borderId="21" xfId="1" applyFont="1" applyBorder="1" applyAlignment="1">
      <alignment vertical="top" wrapText="1"/>
    </xf>
    <xf numFmtId="0" fontId="33" fillId="0" borderId="22" xfId="1" applyFont="1" applyBorder="1" applyAlignment="1">
      <alignment vertical="top" wrapText="1"/>
    </xf>
    <xf numFmtId="0" fontId="9" fillId="0" borderId="18" xfId="1" applyFont="1" applyBorder="1" applyAlignment="1">
      <alignment horizontal="distributed" vertical="center"/>
    </xf>
    <xf numFmtId="0" fontId="45" fillId="0" borderId="457" xfId="1" applyFont="1" applyBorder="1" applyAlignment="1">
      <alignment horizontal="center" vertical="center"/>
    </xf>
    <xf numFmtId="0" fontId="45" fillId="0" borderId="458" xfId="1" applyFont="1" applyBorder="1" applyAlignment="1">
      <alignment horizontal="center" vertical="center"/>
    </xf>
    <xf numFmtId="0" fontId="45" fillId="0" borderId="459" xfId="1" applyFont="1" applyBorder="1" applyAlignment="1">
      <alignment horizontal="center" vertical="center"/>
    </xf>
    <xf numFmtId="3" fontId="7" fillId="4" borderId="460" xfId="1" applyNumberFormat="1" applyFont="1" applyFill="1" applyBorder="1" applyAlignment="1" applyProtection="1">
      <alignment horizontal="right" vertical="center" shrinkToFit="1"/>
      <protection locked="0"/>
    </xf>
    <xf numFmtId="3" fontId="7" fillId="4" borderId="187"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0" fontId="7" fillId="4" borderId="462" xfId="1" applyFont="1" applyFill="1" applyBorder="1" applyAlignment="1" applyProtection="1">
      <alignment horizontal="center" vertical="center" shrinkToFit="1"/>
      <protection locked="0"/>
    </xf>
    <xf numFmtId="0" fontId="7" fillId="4" borderId="208" xfId="1" applyFont="1" applyFill="1" applyBorder="1" applyAlignment="1" applyProtection="1">
      <alignment horizontal="center" vertical="center" shrinkToFit="1"/>
      <protection locked="0"/>
    </xf>
    <xf numFmtId="0" fontId="7" fillId="4" borderId="463"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69" xfId="1" applyFont="1" applyBorder="1" applyAlignment="1">
      <alignment horizontal="center" vertical="distributed" textRotation="255" justifyLastLine="1"/>
    </xf>
    <xf numFmtId="0" fontId="9" fillId="0" borderId="470" xfId="1" applyFont="1" applyBorder="1" applyAlignment="1">
      <alignment horizontal="center" vertical="distributed" textRotation="255" justifyLastLine="1"/>
    </xf>
    <xf numFmtId="0" fontId="9" fillId="0" borderId="471"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2"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25" fillId="0" borderId="5" xfId="1" applyFont="1" applyBorder="1" applyAlignment="1">
      <alignment horizontal="center" vertical="center" wrapText="1"/>
    </xf>
    <xf numFmtId="0" fontId="3" fillId="0" borderId="152" xfId="1" applyBorder="1" applyAlignment="1">
      <alignment horizontal="center"/>
    </xf>
    <xf numFmtId="0" fontId="9" fillId="0" borderId="472"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45" fillId="0" borderId="406"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52"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17" xfId="1" applyFont="1" applyBorder="1" applyAlignment="1">
      <alignment horizontal="distributed" vertical="center" justifyLastLine="1"/>
    </xf>
    <xf numFmtId="3" fontId="7" fillId="6" borderId="518" xfId="1" applyNumberFormat="1" applyFont="1" applyFill="1" applyBorder="1" applyAlignment="1" applyProtection="1">
      <alignment vertical="center" shrinkToFit="1"/>
      <protection locked="0"/>
    </xf>
    <xf numFmtId="0" fontId="3" fillId="0" borderId="519" xfId="1" applyBorder="1" applyAlignment="1" applyProtection="1">
      <alignment shrinkToFit="1"/>
      <protection locked="0"/>
    </xf>
    <xf numFmtId="0" fontId="3" fillId="0" borderId="520" xfId="1" applyBorder="1" applyAlignment="1" applyProtection="1">
      <alignment shrinkToFit="1"/>
      <protection locked="0"/>
    </xf>
    <xf numFmtId="0" fontId="7" fillId="3" borderId="518" xfId="1" applyFont="1" applyFill="1" applyBorder="1" applyAlignment="1" applyProtection="1">
      <alignment horizontal="center" vertical="center" shrinkToFit="1"/>
      <protection locked="0"/>
    </xf>
    <xf numFmtId="0" fontId="3" fillId="0" borderId="519" xfId="1" applyBorder="1" applyAlignment="1" applyProtection="1">
      <alignment horizontal="center" shrinkToFit="1"/>
      <protection locked="0"/>
    </xf>
    <xf numFmtId="0" fontId="3" fillId="0" borderId="520" xfId="1" applyBorder="1" applyAlignment="1" applyProtection="1">
      <alignment horizontal="center" shrinkToFit="1"/>
      <protection locked="0"/>
    </xf>
    <xf numFmtId="0" fontId="66" fillId="0" borderId="25" xfId="1" applyFont="1" applyBorder="1" applyAlignment="1">
      <alignment horizontal="center" vertical="center" shrinkToFit="1"/>
    </xf>
    <xf numFmtId="0" fontId="9" fillId="0" borderId="507" xfId="1" applyFont="1" applyBorder="1" applyAlignment="1">
      <alignment horizontal="distributed" vertical="center"/>
    </xf>
    <xf numFmtId="0" fontId="57" fillId="0" borderId="507" xfId="1" applyFont="1" applyBorder="1" applyAlignment="1">
      <alignment horizontal="left" vertical="center" wrapText="1"/>
    </xf>
    <xf numFmtId="0" fontId="57" fillId="0" borderId="509"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01"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57" xfId="1" applyFont="1" applyBorder="1" applyAlignment="1">
      <alignment horizontal="center" vertical="center" wrapText="1" shrinkToFit="1"/>
    </xf>
    <xf numFmtId="0" fontId="9" fillId="0" borderId="152"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85"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87" xfId="1" applyFont="1" applyBorder="1" applyAlignment="1">
      <alignment horizontal="distributed" vertical="center" justifyLastLine="1"/>
    </xf>
    <xf numFmtId="0" fontId="9" fillId="0" borderId="488"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89" xfId="1" applyFont="1" applyBorder="1" applyAlignment="1">
      <alignment horizontal="distributed" vertical="center" justifyLastLine="1"/>
    </xf>
    <xf numFmtId="0" fontId="9" fillId="0" borderId="248"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06" xfId="1" applyFont="1" applyBorder="1" applyAlignment="1">
      <alignment horizontal="center" vertical="center" wrapText="1" shrinkToFit="1"/>
    </xf>
    <xf numFmtId="0" fontId="9" fillId="0" borderId="229" xfId="1" applyFont="1" applyBorder="1" applyAlignment="1">
      <alignment horizontal="center" vertical="center" wrapText="1" shrinkToFit="1"/>
    </xf>
    <xf numFmtId="0" fontId="9" fillId="0" borderId="491" xfId="1" applyFont="1" applyBorder="1" applyAlignment="1">
      <alignment horizontal="center" vertical="center" wrapText="1" shrinkToFit="1"/>
    </xf>
    <xf numFmtId="0" fontId="9" fillId="0" borderId="128" xfId="1" applyFont="1" applyBorder="1" applyAlignment="1">
      <alignment horizontal="center" vertical="center" wrapText="1" shrinkToFit="1"/>
    </xf>
    <xf numFmtId="0" fontId="9" fillId="0" borderId="490"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4" fillId="0" borderId="1" xfId="6" applyFont="1" applyBorder="1" applyAlignment="1">
      <alignment horizontal="left" vertical="center" wrapText="1" shrinkToFit="1"/>
    </xf>
    <xf numFmtId="0" fontId="94" fillId="0" borderId="5" xfId="6" applyFont="1" applyBorder="1" applyAlignment="1">
      <alignment horizontal="left" vertical="center" wrapText="1" shrinkToFit="1"/>
    </xf>
    <xf numFmtId="0" fontId="94" fillId="0" borderId="109" xfId="6" applyFont="1" applyBorder="1" applyAlignment="1">
      <alignment horizontal="left" vertical="center" wrapText="1" shrinkToFi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4" fillId="0" borderId="23" xfId="9" applyFont="1" applyBorder="1" applyAlignment="1">
      <alignment horizontal="left" vertical="top" wrapText="1"/>
    </xf>
    <xf numFmtId="0" fontId="94" fillId="0" borderId="0" xfId="9" applyFont="1" applyAlignment="1">
      <alignment horizontal="left" vertical="top" wrapText="1"/>
    </xf>
    <xf numFmtId="0" fontId="94" fillId="0" borderId="0" xfId="6" applyFont="1" applyAlignment="1">
      <alignment horizontal="left" vertical="center" shrinkToFit="1"/>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94" fillId="9" borderId="28" xfId="6" applyFont="1" applyFill="1" applyBorder="1" applyAlignment="1">
      <alignment horizontal="center" vertical="center" wrapText="1"/>
    </xf>
    <xf numFmtId="0" fontId="3"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小麦負担割合には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小麦負担割合には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46250" y="5446759"/>
          <a:ext cx="313063" cy="348644"/>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1</xdr:row>
          <xdr:rowOff>0</xdr:rowOff>
        </xdr:from>
        <xdr:to>
          <xdr:col>38</xdr:col>
          <xdr:colOff>66675</xdr:colOff>
          <xdr:row>3</xdr:row>
          <xdr:rowOff>9525</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18</xdr:row>
      <xdr:rowOff>150283</xdr:rowOff>
    </xdr:from>
    <xdr:to>
      <xdr:col>10</xdr:col>
      <xdr:colOff>595349</xdr:colOff>
      <xdr:row>20</xdr:row>
      <xdr:rowOff>294216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21791" y="4169833"/>
          <a:ext cx="2683" cy="905933"/>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当年産の小麦栽培の特徴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152400</xdr:colOff>
          <xdr:row>10</xdr:row>
          <xdr:rowOff>0</xdr:rowOff>
        </xdr:from>
        <xdr:to>
          <xdr:col>32</xdr:col>
          <xdr:colOff>104775</xdr:colOff>
          <xdr:row>12</xdr:row>
          <xdr:rowOff>9525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0</xdr:row>
          <xdr:rowOff>342900</xdr:rowOff>
        </xdr:from>
        <xdr:to>
          <xdr:col>42</xdr:col>
          <xdr:colOff>123825</xdr:colOff>
          <xdr:row>2</xdr:row>
          <xdr:rowOff>171450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142875</xdr:colOff>
          <xdr:row>3</xdr:row>
          <xdr:rowOff>161925</xdr:rowOff>
        </xdr:from>
        <xdr:to>
          <xdr:col>35</xdr:col>
          <xdr:colOff>66675</xdr:colOff>
          <xdr:row>6</xdr:row>
          <xdr:rowOff>47625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0</xdr:row>
          <xdr:rowOff>723900</xdr:rowOff>
        </xdr:from>
        <xdr:to>
          <xdr:col>46</xdr:col>
          <xdr:colOff>381000</xdr:colOff>
          <xdr:row>3</xdr:row>
          <xdr:rowOff>9525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104775</xdr:colOff>
          <xdr:row>37</xdr:row>
          <xdr:rowOff>9525</xdr:rowOff>
        </xdr:from>
        <xdr:to>
          <xdr:col>53</xdr:col>
          <xdr:colOff>76200</xdr:colOff>
          <xdr:row>38</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農業収入全体のうち、小麦の収入が占める割合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367553</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831166"/>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場合には、農業収入全体のうち、小麦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34</xdr:row>
          <xdr:rowOff>9525</xdr:rowOff>
        </xdr:from>
        <xdr:to>
          <xdr:col>46</xdr:col>
          <xdr:colOff>104775</xdr:colOff>
          <xdr:row>35</xdr:row>
          <xdr:rowOff>171450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9239</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6801"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1600712</xdr:colOff>
      <xdr:row>117</xdr:row>
      <xdr:rowOff>2664</xdr:rowOff>
    </xdr:from>
    <xdr:to>
      <xdr:col>4</xdr:col>
      <xdr:colOff>746637</xdr:colOff>
      <xdr:row>128</xdr:row>
      <xdr:rowOff>9436</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055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553364</xdr:colOff>
      <xdr:row>128</xdr:row>
      <xdr:rowOff>2936</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599773</xdr:colOff>
      <xdr:row>121</xdr:row>
      <xdr:rowOff>22941</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68671</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22136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571500</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185058</xdr:colOff>
      <xdr:row>3</xdr:row>
      <xdr:rowOff>0</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4" y="149680"/>
          <a:ext cx="3373615" cy="3728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554332</xdr:colOff>
      <xdr:row>122</xdr:row>
      <xdr:rowOff>14605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2795388</xdr:colOff>
      <xdr:row>118</xdr:row>
      <xdr:rowOff>168088</xdr:rowOff>
    </xdr:from>
    <xdr:to>
      <xdr:col>4</xdr:col>
      <xdr:colOff>572861</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7902"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19957</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161925</xdr:colOff>
          <xdr:row>0</xdr:row>
          <xdr:rowOff>152400</xdr:rowOff>
        </xdr:from>
        <xdr:to>
          <xdr:col>30</xdr:col>
          <xdr:colOff>609600</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・小麦以外の作物へ共通して使用した場合には、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114300</xdr:colOff>
          <xdr:row>0</xdr:row>
          <xdr:rowOff>123825</xdr:rowOff>
        </xdr:from>
        <xdr:to>
          <xdr:col>32</xdr:col>
          <xdr:colOff>571500</xdr:colOff>
          <xdr:row>3</xdr:row>
          <xdr:rowOff>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1262741</xdr:colOff>
      <xdr:row>117</xdr:row>
      <xdr:rowOff>130629</xdr:rowOff>
    </xdr:from>
    <xdr:to>
      <xdr:col>11</xdr:col>
      <xdr:colOff>1127033</xdr:colOff>
      <xdr:row>127</xdr:row>
      <xdr:rowOff>23043</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774370" y="9590315"/>
          <a:ext cx="7587343" cy="163285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161925</xdr:colOff>
          <xdr:row>2</xdr:row>
          <xdr:rowOff>123825</xdr:rowOff>
        </xdr:from>
        <xdr:to>
          <xdr:col>88</xdr:col>
          <xdr:colOff>28575</xdr:colOff>
          <xdr:row>5</xdr:row>
          <xdr:rowOff>9525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・小麦以外の作物も作付けした団地（ほ場）においては、小麦とそれ以外の作物との</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161925</xdr:colOff>
          <xdr:row>14</xdr:row>
          <xdr:rowOff>161925</xdr:rowOff>
        </xdr:from>
        <xdr:to>
          <xdr:col>18</xdr:col>
          <xdr:colOff>857250</xdr:colOff>
          <xdr:row>17</xdr:row>
          <xdr:rowOff>28575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1033</xdr:row>
          <xdr:rowOff>0</xdr:rowOff>
        </xdr:from>
        <xdr:to>
          <xdr:col>18</xdr:col>
          <xdr:colOff>895350</xdr:colOff>
          <xdr:row>1035</xdr:row>
          <xdr:rowOff>0</xdr:rowOff>
        </xdr:to>
        <xdr:sp macro="" textlink="">
          <xdr:nvSpPr>
            <xdr:cNvPr id="19465" name="btnKoushin2" hidden="1">
              <a:extLst>
                <a:ext uri="{63B3BB69-23CF-44E3-9099-C40C66FF867C}">
                  <a14:compatExt spid="_x0000_s19465"/>
                </a:ext>
                <a:ext uri="{FF2B5EF4-FFF2-40B4-BE49-F238E27FC236}">
                  <a16:creationId xmlns:a16="http://schemas.microsoft.com/office/drawing/2014/main" id="{00000000-0008-0000-15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・小麦以外の作物も作付けした団地（ほ場）においては、小麦とそれ以外の作物との過去</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１年間における収入（作付地ごとではなく全体の収入）の割合を記入してください。</a:t>
          </a:r>
        </a:p>
        <a:p>
          <a:pPr algn="l">
            <a:lnSpc>
              <a:spcPts val="1300"/>
            </a:lnSpc>
          </a:pPr>
          <a:endParaRPr kumimoji="1" lang="ja-JP" altLang="en-US"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例</a:t>
          </a: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当年産の小麦の収穫が終わる前の１年間に、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161925</xdr:colOff>
          <xdr:row>14</xdr:row>
          <xdr:rowOff>161925</xdr:rowOff>
        </xdr:from>
        <xdr:to>
          <xdr:col>19</xdr:col>
          <xdr:colOff>428625</xdr:colOff>
          <xdr:row>16</xdr:row>
          <xdr:rowOff>152400</xdr:rowOff>
        </xdr:to>
        <xdr:sp macro="" textlink="">
          <xdr:nvSpPr>
            <xdr:cNvPr id="20484" name="btnKoushin1"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1032</xdr:row>
          <xdr:rowOff>0</xdr:rowOff>
        </xdr:from>
        <xdr:to>
          <xdr:col>19</xdr:col>
          <xdr:colOff>371475</xdr:colOff>
          <xdr:row>1033</xdr:row>
          <xdr:rowOff>161925</xdr:rowOff>
        </xdr:to>
        <xdr:sp macro="" textlink="">
          <xdr:nvSpPr>
            <xdr:cNvPr id="20487" name="btnKoushin2" hidden="1">
              <a:extLst>
                <a:ext uri="{63B3BB69-23CF-44E3-9099-C40C66FF867C}">
                  <a14:compatExt spid="_x0000_s20487"/>
                </a:ext>
                <a:ext uri="{FF2B5EF4-FFF2-40B4-BE49-F238E27FC236}">
                  <a16:creationId xmlns:a16="http://schemas.microsoft.com/office/drawing/2014/main" id="{00000000-0008-0000-16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・小麦生産以外の労働への支払いも含めて記入する場合に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1.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image" Target="../media/image41.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9" t="s">
        <v>2</v>
      </c>
      <c r="B5" s="4"/>
      <c r="C5" s="1142" t="s">
        <v>1290</v>
      </c>
      <c r="D5" s="1143"/>
      <c r="E5" s="1143"/>
      <c r="F5" s="1143"/>
      <c r="G5" s="1143"/>
      <c r="H5" s="1144"/>
    </row>
    <row r="6" spans="1:8" ht="17.25">
      <c r="A6" s="1140"/>
      <c r="B6" s="4"/>
      <c r="C6" s="1145" t="s">
        <v>4</v>
      </c>
      <c r="D6" s="1145" t="s">
        <v>5</v>
      </c>
      <c r="E6" s="1145" t="s">
        <v>6</v>
      </c>
      <c r="F6" s="1145" t="s">
        <v>7</v>
      </c>
      <c r="G6" s="1145" t="s">
        <v>8</v>
      </c>
      <c r="H6" s="1145" t="s">
        <v>9</v>
      </c>
    </row>
    <row r="7" spans="1:8" ht="18" thickBot="1">
      <c r="A7" s="1141"/>
      <c r="B7" s="4"/>
      <c r="C7" s="1146"/>
      <c r="D7" s="1146"/>
      <c r="E7" s="1146"/>
      <c r="F7" s="1146"/>
      <c r="G7" s="1146"/>
      <c r="H7" s="1146"/>
    </row>
    <row r="8" spans="1:8" ht="20.25" thickTop="1" thickBot="1">
      <c r="A8" s="5"/>
      <c r="B8" s="6"/>
      <c r="C8" s="7"/>
      <c r="D8" s="8"/>
      <c r="E8" s="9"/>
      <c r="F8" s="8"/>
      <c r="G8" s="8"/>
      <c r="H8" s="8"/>
    </row>
    <row r="9" spans="1:8" ht="14.25" thickTop="1"/>
    <row r="10" spans="1:8" ht="17.25">
      <c r="C10" s="1142" t="s">
        <v>3</v>
      </c>
      <c r="D10" s="1143"/>
      <c r="E10" s="1143"/>
      <c r="F10" s="1143"/>
      <c r="G10" s="1143"/>
      <c r="H10" s="1144"/>
    </row>
    <row r="11" spans="1:8" ht="13.35" customHeight="1">
      <c r="C11" s="1145" t="s">
        <v>4</v>
      </c>
      <c r="D11" s="1145" t="s">
        <v>5</v>
      </c>
      <c r="E11" s="1145" t="s">
        <v>6</v>
      </c>
      <c r="F11" s="1145" t="s">
        <v>7</v>
      </c>
      <c r="G11" s="1145" t="s">
        <v>8</v>
      </c>
      <c r="H11" s="1145" t="s">
        <v>9</v>
      </c>
    </row>
    <row r="12" spans="1:8" ht="14.1" customHeight="1" thickBot="1">
      <c r="C12" s="1146"/>
      <c r="D12" s="1146"/>
      <c r="E12" s="1146"/>
      <c r="F12" s="1146"/>
      <c r="G12" s="1146"/>
      <c r="H12" s="1146"/>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36"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小麦生産費統計（組織法人）</v>
      </c>
      <c r="F17" s="1137"/>
      <c r="G17" s="1137"/>
      <c r="H17" s="1138"/>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5"/>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73" t="s">
        <v>19</v>
      </c>
      <c r="E3" s="1173"/>
      <c r="F3" s="1173"/>
      <c r="G3" s="1173"/>
      <c r="H3" s="1173"/>
      <c r="I3" s="1173"/>
    </row>
    <row r="4" spans="4:66" ht="3.75" customHeight="1" thickBot="1">
      <c r="BG4" s="20"/>
      <c r="BH4" s="21"/>
      <c r="BI4" s="21"/>
      <c r="BJ4" s="21"/>
      <c r="BK4" s="21"/>
      <c r="BL4" s="21"/>
      <c r="BM4" s="21"/>
      <c r="BN4" s="21"/>
    </row>
    <row r="5" spans="4:66" ht="14.25" customHeight="1">
      <c r="E5" s="1174" t="s">
        <v>20</v>
      </c>
      <c r="F5" s="1175"/>
      <c r="G5" s="1175"/>
      <c r="H5" s="1176"/>
      <c r="BG5" s="20"/>
      <c r="BH5" s="22"/>
      <c r="BI5" s="22"/>
      <c r="BJ5" s="22"/>
      <c r="BK5" s="22"/>
      <c r="BL5" s="23"/>
      <c r="BM5" s="23"/>
      <c r="BN5" s="23"/>
    </row>
    <row r="6" spans="4:66" ht="14.25" customHeight="1" thickBot="1">
      <c r="E6" s="1177"/>
      <c r="F6" s="1178"/>
      <c r="G6" s="1178"/>
      <c r="H6" s="1179"/>
      <c r="BG6" s="20"/>
      <c r="BH6" s="22"/>
      <c r="BI6" s="22"/>
      <c r="BK6" s="22"/>
      <c r="BL6" s="23"/>
      <c r="BM6" s="23"/>
      <c r="BN6" s="23"/>
    </row>
    <row r="7" spans="4:66" ht="14.25" customHeight="1">
      <c r="E7" s="1180" t="s">
        <v>21</v>
      </c>
      <c r="F7" s="1181"/>
      <c r="G7" s="1181"/>
      <c r="H7" s="1182"/>
      <c r="BH7" s="24"/>
      <c r="BI7" s="24"/>
      <c r="BJ7" s="24"/>
      <c r="BK7" s="24"/>
      <c r="BL7" s="23"/>
      <c r="BM7" s="23"/>
      <c r="BN7" s="23"/>
    </row>
    <row r="8" spans="4:66" ht="14.25" customHeight="1" thickBot="1">
      <c r="E8" s="1183"/>
      <c r="F8" s="1184"/>
      <c r="G8" s="1184"/>
      <c r="H8" s="1185"/>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6" t="s">
        <v>22</v>
      </c>
      <c r="E12" s="1186"/>
      <c r="F12" s="1186"/>
      <c r="G12" s="1186"/>
      <c r="H12" s="1186"/>
      <c r="I12" s="1186"/>
      <c r="J12" s="1186"/>
      <c r="K12" s="1186"/>
      <c r="L12" s="1186"/>
      <c r="M12" s="1186"/>
      <c r="N12" s="1186"/>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1186"/>
      <c r="AK12" s="1186"/>
      <c r="AL12" s="1186"/>
      <c r="AM12" s="1186"/>
      <c r="AN12" s="1186"/>
      <c r="AO12" s="1186"/>
      <c r="AP12" s="1186"/>
      <c r="AQ12" s="1186"/>
      <c r="AR12" s="1186"/>
      <c r="AS12" s="1186"/>
      <c r="AT12" s="1186"/>
      <c r="AU12" s="1186"/>
      <c r="AV12" s="1186"/>
      <c r="AW12" s="1186"/>
      <c r="AX12" s="1186"/>
      <c r="AY12" s="1186"/>
      <c r="AZ12" s="1186"/>
      <c r="BA12" s="1186"/>
      <c r="BB12" s="1186"/>
      <c r="BC12" s="1186"/>
      <c r="BD12" s="1186"/>
      <c r="BE12" s="27"/>
      <c r="BF12" s="27"/>
      <c r="BG12" s="27"/>
      <c r="BH12" s="27"/>
      <c r="BI12" s="27"/>
      <c r="BJ12" s="27"/>
      <c r="BK12" s="27"/>
    </row>
    <row r="13" spans="4:66" ht="21" customHeight="1">
      <c r="D13" s="1186"/>
      <c r="E13" s="1186"/>
      <c r="F13" s="1186"/>
      <c r="G13" s="1186"/>
      <c r="H13" s="1186"/>
      <c r="I13" s="1186"/>
      <c r="J13" s="1186"/>
      <c r="K13" s="1186"/>
      <c r="L13" s="1186"/>
      <c r="M13" s="1186"/>
      <c r="N13" s="1186"/>
      <c r="O13" s="1186"/>
      <c r="P13" s="1186"/>
      <c r="Q13" s="1186"/>
      <c r="R13" s="1186"/>
      <c r="S13" s="1186"/>
      <c r="T13" s="1186"/>
      <c r="U13" s="1186"/>
      <c r="V13" s="1186"/>
      <c r="W13" s="1186"/>
      <c r="X13" s="1186"/>
      <c r="Y13" s="1186"/>
      <c r="Z13" s="1186"/>
      <c r="AA13" s="1186"/>
      <c r="AB13" s="1186"/>
      <c r="AC13" s="1186"/>
      <c r="AD13" s="1186"/>
      <c r="AE13" s="1186"/>
      <c r="AF13" s="1186"/>
      <c r="AG13" s="1186"/>
      <c r="AH13" s="1186"/>
      <c r="AI13" s="1186"/>
      <c r="AJ13" s="1186"/>
      <c r="AK13" s="1186"/>
      <c r="AL13" s="1186"/>
      <c r="AM13" s="1186"/>
      <c r="AN13" s="1186"/>
      <c r="AO13" s="1186"/>
      <c r="AP13" s="1186"/>
      <c r="AQ13" s="1186"/>
      <c r="AR13" s="1186"/>
      <c r="AS13" s="1186"/>
      <c r="AT13" s="1186"/>
      <c r="AU13" s="1186"/>
      <c r="AV13" s="1186"/>
      <c r="AW13" s="1186"/>
      <c r="AX13" s="1186"/>
      <c r="AY13" s="1186"/>
      <c r="AZ13" s="1186"/>
      <c r="BA13" s="1186"/>
      <c r="BB13" s="1186"/>
      <c r="BC13" s="1186"/>
      <c r="BD13" s="1186"/>
      <c r="BE13" s="27"/>
      <c r="BF13" s="27"/>
      <c r="BG13" s="27"/>
      <c r="BH13" s="27"/>
      <c r="BI13" s="27"/>
      <c r="BJ13" s="27"/>
      <c r="BK13" s="27"/>
    </row>
    <row r="14" spans="4:66" ht="13.5" customHeight="1">
      <c r="D14" s="118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1186"/>
      <c r="AK14" s="1186"/>
      <c r="AL14" s="1186"/>
      <c r="AM14" s="1186"/>
      <c r="AN14" s="1186"/>
      <c r="AO14" s="1186"/>
      <c r="AP14" s="1186"/>
      <c r="AQ14" s="1186"/>
      <c r="AR14" s="1186"/>
      <c r="AS14" s="1186"/>
      <c r="AT14" s="1186"/>
      <c r="AU14" s="1186"/>
      <c r="AV14" s="1186"/>
      <c r="AW14" s="1186"/>
      <c r="AX14" s="1186"/>
      <c r="AY14" s="1186"/>
      <c r="AZ14" s="1186"/>
      <c r="BA14" s="1186"/>
      <c r="BB14" s="1186"/>
      <c r="BC14" s="1186"/>
      <c r="BD14" s="1186"/>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7" t="str">
        <f>指標部入力!A8 &amp; "年産　" &amp; リスト!C21 &amp; "生産費統計調査票"</f>
        <v>年産　小麦生産費統計調査票</v>
      </c>
      <c r="E16" s="1187"/>
      <c r="F16" s="1187"/>
      <c r="G16" s="1187"/>
      <c r="H16" s="1187"/>
      <c r="I16" s="1187"/>
      <c r="J16" s="1187"/>
      <c r="K16" s="1187"/>
      <c r="L16" s="1187"/>
      <c r="M16" s="1187"/>
      <c r="N16" s="1187"/>
      <c r="O16" s="1187"/>
      <c r="P16" s="1187"/>
      <c r="Q16" s="1187"/>
      <c r="R16" s="1187"/>
      <c r="S16" s="1187"/>
      <c r="T16" s="1187"/>
      <c r="U16" s="1187"/>
      <c r="V16" s="1187"/>
      <c r="W16" s="1187"/>
      <c r="X16" s="1187"/>
      <c r="Y16" s="1187"/>
      <c r="Z16" s="1187"/>
      <c r="AA16" s="1187"/>
      <c r="AB16" s="1187"/>
      <c r="AC16" s="1187"/>
      <c r="AD16" s="1187"/>
      <c r="AE16" s="1187"/>
      <c r="AF16" s="1187"/>
      <c r="AG16" s="1187"/>
      <c r="AH16" s="1187"/>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29"/>
      <c r="BF16" s="29"/>
      <c r="BG16" s="29"/>
      <c r="BH16" s="29"/>
      <c r="BI16" s="29"/>
      <c r="BJ16" s="29"/>
    </row>
    <row r="17" spans="4:66" ht="13.5" customHeight="1">
      <c r="D17" s="1187"/>
      <c r="E17" s="1187"/>
      <c r="F17" s="1187"/>
      <c r="G17" s="1187"/>
      <c r="H17" s="1187"/>
      <c r="I17" s="1187"/>
      <c r="J17" s="1187"/>
      <c r="K17" s="1187"/>
      <c r="L17" s="1187"/>
      <c r="M17" s="1187"/>
      <c r="N17" s="1187"/>
      <c r="O17" s="1187"/>
      <c r="P17" s="1187"/>
      <c r="Q17" s="1187"/>
      <c r="R17" s="1187"/>
      <c r="S17" s="1187"/>
      <c r="T17" s="1187"/>
      <c r="U17" s="1187"/>
      <c r="V17" s="1187"/>
      <c r="W17" s="1187"/>
      <c r="X17" s="1187"/>
      <c r="Y17" s="1187"/>
      <c r="Z17" s="1187"/>
      <c r="AA17" s="1187"/>
      <c r="AB17" s="1187"/>
      <c r="AC17" s="1187"/>
      <c r="AD17" s="1187"/>
      <c r="AE17" s="1187"/>
      <c r="AF17" s="1187"/>
      <c r="AG17" s="1187"/>
      <c r="AH17" s="1187"/>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29"/>
      <c r="BF17" s="29"/>
      <c r="BG17" s="29"/>
      <c r="BH17" s="29"/>
      <c r="BI17" s="29"/>
      <c r="BJ17" s="29"/>
      <c r="BK17" s="30"/>
    </row>
    <row r="18" spans="4:66" ht="13.5" customHeight="1">
      <c r="D18" s="1187"/>
      <c r="E18" s="1187"/>
      <c r="F18" s="1187"/>
      <c r="G18" s="1187"/>
      <c r="H18" s="1187"/>
      <c r="I18" s="1187"/>
      <c r="J18" s="1187"/>
      <c r="K18" s="1187"/>
      <c r="L18" s="1187"/>
      <c r="M18" s="1187"/>
      <c r="N18" s="1187"/>
      <c r="O18" s="1187"/>
      <c r="P18" s="1187"/>
      <c r="Q18" s="1187"/>
      <c r="R18" s="1187"/>
      <c r="S18" s="1187"/>
      <c r="T18" s="1187"/>
      <c r="U18" s="1187"/>
      <c r="V18" s="1187"/>
      <c r="W18" s="1187"/>
      <c r="X18" s="1187"/>
      <c r="Y18" s="1187"/>
      <c r="Z18" s="1187"/>
      <c r="AA18" s="1187"/>
      <c r="AB18" s="1187"/>
      <c r="AC18" s="1187"/>
      <c r="AD18" s="1187"/>
      <c r="AE18" s="1187"/>
      <c r="AF18" s="1187"/>
      <c r="AG18" s="1187"/>
      <c r="AH18" s="1187"/>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72" t="s">
        <v>23</v>
      </c>
      <c r="E20" s="1172"/>
      <c r="F20" s="1172"/>
      <c r="G20" s="1172"/>
      <c r="H20" s="1172"/>
      <c r="I20" s="1172"/>
      <c r="J20" s="1172"/>
      <c r="K20" s="1172"/>
      <c r="L20" s="1172"/>
      <c r="M20" s="1172"/>
      <c r="N20" s="1172"/>
      <c r="O20" s="1172"/>
      <c r="P20" s="1172"/>
      <c r="Q20" s="1172"/>
      <c r="R20" s="1172"/>
      <c r="S20" s="1172"/>
      <c r="T20" s="1172"/>
      <c r="U20" s="1172"/>
      <c r="V20" s="1172"/>
      <c r="W20" s="1172"/>
      <c r="X20" s="1172"/>
      <c r="Y20" s="1172"/>
      <c r="Z20" s="1172"/>
      <c r="AA20" s="1172"/>
      <c r="AB20" s="1172"/>
      <c r="AC20" s="1172"/>
      <c r="AD20" s="1172"/>
      <c r="AE20" s="1172"/>
      <c r="AF20" s="1172"/>
      <c r="AG20" s="1172"/>
      <c r="AH20" s="1172"/>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33"/>
      <c r="BF20" s="33"/>
      <c r="BG20" s="33"/>
      <c r="BH20" s="33"/>
      <c r="BI20" s="33"/>
      <c r="BJ20" s="33"/>
      <c r="BK20" s="33"/>
      <c r="BL20" s="31"/>
      <c r="BM20" s="31"/>
      <c r="BN20" s="31"/>
    </row>
    <row r="21" spans="4:66" ht="13.5" customHeight="1">
      <c r="D21" s="1172"/>
      <c r="E21" s="1172"/>
      <c r="F21" s="1172"/>
      <c r="G21" s="1172"/>
      <c r="H21" s="1172"/>
      <c r="I21" s="1172"/>
      <c r="J21" s="1172"/>
      <c r="K21" s="1172"/>
      <c r="L21" s="1172"/>
      <c r="M21" s="1172"/>
      <c r="N21" s="1172"/>
      <c r="O21" s="1172"/>
      <c r="P21" s="1172"/>
      <c r="Q21" s="1172"/>
      <c r="R21" s="1172"/>
      <c r="S21" s="1172"/>
      <c r="T21" s="1172"/>
      <c r="U21" s="1172"/>
      <c r="V21" s="1172"/>
      <c r="W21" s="1172"/>
      <c r="X21" s="1172"/>
      <c r="Y21" s="1172"/>
      <c r="Z21" s="1172"/>
      <c r="AA21" s="1172"/>
      <c r="AB21" s="1172"/>
      <c r="AC21" s="1172"/>
      <c r="AD21" s="1172"/>
      <c r="AE21" s="1172"/>
      <c r="AF21" s="1172"/>
      <c r="AG21" s="1172"/>
      <c r="AH21" s="1172"/>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33"/>
      <c r="BF21" s="33"/>
      <c r="BG21" s="33"/>
      <c r="BH21" s="33"/>
      <c r="BI21" s="33"/>
      <c r="BJ21" s="33"/>
      <c r="BK21" s="33"/>
      <c r="BL21" s="31"/>
      <c r="BM21" s="31"/>
      <c r="BN21" s="31"/>
    </row>
    <row r="22" spans="4:66" ht="13.5" customHeight="1">
      <c r="D22" s="1172"/>
      <c r="E22" s="1172"/>
      <c r="F22" s="1172"/>
      <c r="G22" s="1172"/>
      <c r="H22" s="1172"/>
      <c r="I22" s="1172"/>
      <c r="J22" s="1172"/>
      <c r="K22" s="1172"/>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7" t="str">
        <f>"１．"&amp;IF(指標部入力!A8="","",指標部入力!A8)&amp;"年産の小麦生産費について入力してください。"</f>
        <v>１．年産の小麦生産費について入力してください。</v>
      </c>
      <c r="F34" s="1148"/>
      <c r="G34" s="1149"/>
      <c r="H34" s="1149"/>
      <c r="I34" s="1149"/>
      <c r="J34" s="1149"/>
      <c r="K34" s="1149"/>
      <c r="L34" s="1149"/>
      <c r="M34" s="1149"/>
      <c r="N34" s="1149"/>
      <c r="O34" s="1149"/>
      <c r="P34" s="1149"/>
      <c r="Q34" s="1149"/>
      <c r="R34" s="1149"/>
      <c r="S34" s="1149"/>
      <c r="T34" s="1149"/>
      <c r="U34" s="1149"/>
      <c r="V34" s="1149"/>
      <c r="W34" s="1149"/>
      <c r="X34" s="1149"/>
      <c r="Y34" s="1149"/>
      <c r="Z34" s="1149"/>
      <c r="AA34" s="1149"/>
      <c r="AB34" s="1150"/>
      <c r="AC34" s="1150"/>
      <c r="AD34" s="1150"/>
      <c r="AE34" s="1150"/>
      <c r="AF34" s="1150"/>
      <c r="AG34" s="1150"/>
      <c r="AH34" s="1150"/>
      <c r="AI34" s="1150"/>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51"/>
      <c r="K36" s="1152"/>
      <c r="L36" s="1153"/>
      <c r="M36" s="38" t="s">
        <v>26</v>
      </c>
      <c r="P36" s="39"/>
      <c r="Q36" s="39"/>
      <c r="R36" s="39"/>
      <c r="S36" s="39"/>
      <c r="T36" s="39"/>
      <c r="U36" s="1154"/>
      <c r="V36" s="1155"/>
      <c r="W36" s="1156"/>
      <c r="X36" s="41" t="s">
        <v>27</v>
      </c>
      <c r="Y36" s="39"/>
      <c r="Z36" s="39"/>
      <c r="AA36" s="39"/>
      <c r="AB36" s="39"/>
      <c r="AC36" s="39"/>
      <c r="AD36" s="39"/>
    </row>
    <row r="38" spans="5:56" ht="17.25">
      <c r="E38" s="38" t="s">
        <v>28</v>
      </c>
      <c r="P38" s="39"/>
      <c r="Q38" s="1154"/>
      <c r="R38" s="1155"/>
      <c r="S38" s="1156"/>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57" t="s">
        <v>34</v>
      </c>
      <c r="G50" s="1158"/>
      <c r="H50" s="1158"/>
      <c r="I50" s="1158"/>
      <c r="J50" s="1158"/>
      <c r="K50" s="1158"/>
      <c r="L50" s="1158"/>
      <c r="M50" s="1158"/>
      <c r="N50" s="1158"/>
      <c r="O50" s="1158"/>
      <c r="P50" s="1158"/>
      <c r="Q50" s="1158"/>
      <c r="R50" s="1158"/>
      <c r="S50" s="1158"/>
      <c r="T50" s="1158"/>
      <c r="U50" s="1158"/>
      <c r="V50" s="1158"/>
      <c r="W50" s="1158"/>
      <c r="X50" s="1158"/>
      <c r="Y50" s="1158"/>
      <c r="Z50" s="1158"/>
      <c r="AA50" s="1158"/>
      <c r="AB50" s="1158"/>
      <c r="AC50" s="1158"/>
      <c r="AD50" s="1158"/>
      <c r="AE50" s="1158"/>
      <c r="AF50" s="1158"/>
      <c r="AG50" s="1158"/>
      <c r="AH50" s="1158"/>
      <c r="AI50" s="1158"/>
      <c r="AJ50" s="1158"/>
      <c r="AK50" s="1158"/>
      <c r="AL50" s="1158"/>
      <c r="AM50" s="1158"/>
      <c r="AN50" s="1158"/>
      <c r="AO50" s="1158"/>
      <c r="AP50" s="1158"/>
      <c r="AQ50" s="1158"/>
      <c r="AR50" s="1158"/>
      <c r="AS50" s="1158"/>
      <c r="AT50" s="1158"/>
      <c r="AU50" s="1158"/>
      <c r="AV50" s="1158"/>
      <c r="AW50" s="1158"/>
      <c r="AX50" s="1158"/>
      <c r="AY50" s="1158"/>
      <c r="AZ50" s="1158"/>
      <c r="BA50" s="1158"/>
      <c r="BB50" s="1158"/>
      <c r="BC50" s="1159"/>
    </row>
    <row r="51" spans="4:55" ht="13.5" customHeight="1">
      <c r="F51" s="1160"/>
      <c r="G51" s="1161"/>
      <c r="H51" s="1161"/>
      <c r="I51" s="1161"/>
      <c r="J51" s="1161"/>
      <c r="K51" s="1161"/>
      <c r="L51" s="1161"/>
      <c r="M51" s="1161"/>
      <c r="N51" s="1161"/>
      <c r="O51" s="1161"/>
      <c r="P51" s="1161"/>
      <c r="Q51" s="1161"/>
      <c r="R51" s="1161"/>
      <c r="S51" s="1161"/>
      <c r="T51" s="1161"/>
      <c r="U51" s="1161"/>
      <c r="V51" s="1161"/>
      <c r="W51" s="1161"/>
      <c r="X51" s="1161"/>
      <c r="Y51" s="1161"/>
      <c r="Z51" s="1161"/>
      <c r="AA51" s="1161"/>
      <c r="AB51" s="1161"/>
      <c r="AC51" s="1161"/>
      <c r="AD51" s="1161"/>
      <c r="AE51" s="1161"/>
      <c r="AF51" s="1161"/>
      <c r="AG51" s="1161"/>
      <c r="AH51" s="1161"/>
      <c r="AI51" s="1161"/>
      <c r="AJ51" s="1161"/>
      <c r="AK51" s="1161"/>
      <c r="AL51" s="1161"/>
      <c r="AM51" s="1161"/>
      <c r="AN51" s="1161"/>
      <c r="AO51" s="1161"/>
      <c r="AP51" s="1161"/>
      <c r="AQ51" s="1161"/>
      <c r="AR51" s="1161"/>
      <c r="AS51" s="1161"/>
      <c r="AT51" s="1161"/>
      <c r="AU51" s="1161"/>
      <c r="AV51" s="1161"/>
      <c r="AW51" s="1161"/>
      <c r="AX51" s="1161"/>
      <c r="AY51" s="1161"/>
      <c r="AZ51" s="1161"/>
      <c r="BA51" s="1161"/>
      <c r="BB51" s="1161"/>
      <c r="BC51" s="1162"/>
    </row>
    <row r="52" spans="4:55" ht="13.5" customHeight="1">
      <c r="F52" s="1160"/>
      <c r="G52" s="1161"/>
      <c r="H52" s="1161"/>
      <c r="I52" s="1161"/>
      <c r="J52" s="1161"/>
      <c r="K52" s="1161"/>
      <c r="L52" s="1161"/>
      <c r="M52" s="1161"/>
      <c r="N52" s="1161"/>
      <c r="O52" s="1161"/>
      <c r="P52" s="1161"/>
      <c r="Q52" s="1161"/>
      <c r="R52" s="1161"/>
      <c r="S52" s="1161"/>
      <c r="T52" s="1161"/>
      <c r="U52" s="1161"/>
      <c r="V52" s="1161"/>
      <c r="W52" s="1161"/>
      <c r="X52" s="1161"/>
      <c r="Y52" s="1161"/>
      <c r="Z52" s="1161"/>
      <c r="AA52" s="1161"/>
      <c r="AB52" s="1161"/>
      <c r="AC52" s="1161"/>
      <c r="AD52" s="1161"/>
      <c r="AE52" s="1161"/>
      <c r="AF52" s="1161"/>
      <c r="AG52" s="1161"/>
      <c r="AH52" s="1161"/>
      <c r="AI52" s="1161"/>
      <c r="AJ52" s="1161"/>
      <c r="AK52" s="1161"/>
      <c r="AL52" s="1161"/>
      <c r="AM52" s="1161"/>
      <c r="AN52" s="1161"/>
      <c r="AO52" s="1161"/>
      <c r="AP52" s="1161"/>
      <c r="AQ52" s="1161"/>
      <c r="AR52" s="1161"/>
      <c r="AS52" s="1161"/>
      <c r="AT52" s="1161"/>
      <c r="AU52" s="1161"/>
      <c r="AV52" s="1161"/>
      <c r="AW52" s="1161"/>
      <c r="AX52" s="1161"/>
      <c r="AY52" s="1161"/>
      <c r="AZ52" s="1161"/>
      <c r="BA52" s="1161"/>
      <c r="BB52" s="1161"/>
      <c r="BC52" s="1162"/>
    </row>
    <row r="53" spans="4:55" ht="13.5" customHeight="1">
      <c r="F53" s="1160"/>
      <c r="G53" s="1161"/>
      <c r="H53" s="1161"/>
      <c r="I53" s="1161"/>
      <c r="J53" s="1161"/>
      <c r="K53" s="1161"/>
      <c r="L53" s="1161"/>
      <c r="M53" s="1161"/>
      <c r="N53" s="1161"/>
      <c r="O53" s="1161"/>
      <c r="P53" s="1161"/>
      <c r="Q53" s="1161"/>
      <c r="R53" s="1161"/>
      <c r="S53" s="1161"/>
      <c r="T53" s="1161"/>
      <c r="U53" s="1161"/>
      <c r="V53" s="1161"/>
      <c r="W53" s="1161"/>
      <c r="X53" s="1161"/>
      <c r="Y53" s="1161"/>
      <c r="Z53" s="1161"/>
      <c r="AA53" s="1161"/>
      <c r="AB53" s="1161"/>
      <c r="AC53" s="1161"/>
      <c r="AD53" s="1161"/>
      <c r="AE53" s="1161"/>
      <c r="AF53" s="1161"/>
      <c r="AG53" s="1161"/>
      <c r="AH53" s="1161"/>
      <c r="AI53" s="1161"/>
      <c r="AJ53" s="1161"/>
      <c r="AK53" s="1161"/>
      <c r="AL53" s="1161"/>
      <c r="AM53" s="1161"/>
      <c r="AN53" s="1161"/>
      <c r="AO53" s="1161"/>
      <c r="AP53" s="1161"/>
      <c r="AQ53" s="1161"/>
      <c r="AR53" s="1161"/>
      <c r="AS53" s="1161"/>
      <c r="AT53" s="1161"/>
      <c r="AU53" s="1161"/>
      <c r="AV53" s="1161"/>
      <c r="AW53" s="1161"/>
      <c r="AX53" s="1161"/>
      <c r="AY53" s="1161"/>
      <c r="AZ53" s="1161"/>
      <c r="BA53" s="1161"/>
      <c r="BB53" s="1161"/>
      <c r="BC53" s="1162"/>
    </row>
    <row r="54" spans="4:55" ht="13.5" customHeight="1">
      <c r="F54" s="1160"/>
      <c r="G54" s="1161"/>
      <c r="H54" s="1161"/>
      <c r="I54" s="1161"/>
      <c r="J54" s="1161"/>
      <c r="K54" s="1161"/>
      <c r="L54" s="1161"/>
      <c r="M54" s="1161"/>
      <c r="N54" s="1161"/>
      <c r="O54" s="1161"/>
      <c r="P54" s="1161"/>
      <c r="Q54" s="1161"/>
      <c r="R54" s="1161"/>
      <c r="S54" s="1161"/>
      <c r="T54" s="1161"/>
      <c r="U54" s="1161"/>
      <c r="V54" s="1161"/>
      <c r="W54" s="1161"/>
      <c r="X54" s="1161"/>
      <c r="Y54" s="1161"/>
      <c r="Z54" s="1161"/>
      <c r="AA54" s="1161"/>
      <c r="AB54" s="1161"/>
      <c r="AC54" s="1161"/>
      <c r="AD54" s="1161"/>
      <c r="AE54" s="1161"/>
      <c r="AF54" s="1161"/>
      <c r="AG54" s="1161"/>
      <c r="AH54" s="1161"/>
      <c r="AI54" s="1161"/>
      <c r="AJ54" s="1161"/>
      <c r="AK54" s="1161"/>
      <c r="AL54" s="1161"/>
      <c r="AM54" s="1161"/>
      <c r="AN54" s="1161"/>
      <c r="AO54" s="1161"/>
      <c r="AP54" s="1161"/>
      <c r="AQ54" s="1161"/>
      <c r="AR54" s="1161"/>
      <c r="AS54" s="1161"/>
      <c r="AT54" s="1161"/>
      <c r="AU54" s="1161"/>
      <c r="AV54" s="1161"/>
      <c r="AW54" s="1161"/>
      <c r="AX54" s="1161"/>
      <c r="AY54" s="1161"/>
      <c r="AZ54" s="1161"/>
      <c r="BA54" s="1161"/>
      <c r="BB54" s="1161"/>
      <c r="BC54" s="1162"/>
    </row>
    <row r="55" spans="4:55" ht="13.5" customHeight="1">
      <c r="F55" s="1160"/>
      <c r="G55" s="1161"/>
      <c r="H55" s="1161"/>
      <c r="I55" s="1161"/>
      <c r="J55" s="1161"/>
      <c r="K55" s="1161"/>
      <c r="L55" s="1161"/>
      <c r="M55" s="1161"/>
      <c r="N55" s="1161"/>
      <c r="O55" s="1161"/>
      <c r="P55" s="1161"/>
      <c r="Q55" s="1161"/>
      <c r="R55" s="1161"/>
      <c r="S55" s="1161"/>
      <c r="T55" s="1161"/>
      <c r="U55" s="1161"/>
      <c r="V55" s="1161"/>
      <c r="W55" s="1161"/>
      <c r="X55" s="1161"/>
      <c r="Y55" s="1161"/>
      <c r="Z55" s="1161"/>
      <c r="AA55" s="1161"/>
      <c r="AB55" s="1161"/>
      <c r="AC55" s="1161"/>
      <c r="AD55" s="1161"/>
      <c r="AE55" s="1161"/>
      <c r="AF55" s="1161"/>
      <c r="AG55" s="1161"/>
      <c r="AH55" s="1161"/>
      <c r="AI55" s="1161"/>
      <c r="AJ55" s="1161"/>
      <c r="AK55" s="1161"/>
      <c r="AL55" s="1161"/>
      <c r="AM55" s="1161"/>
      <c r="AN55" s="1161"/>
      <c r="AO55" s="1161"/>
      <c r="AP55" s="1161"/>
      <c r="AQ55" s="1161"/>
      <c r="AR55" s="1161"/>
      <c r="AS55" s="1161"/>
      <c r="AT55" s="1161"/>
      <c r="AU55" s="1161"/>
      <c r="AV55" s="1161"/>
      <c r="AW55" s="1161"/>
      <c r="AX55" s="1161"/>
      <c r="AY55" s="1161"/>
      <c r="AZ55" s="1161"/>
      <c r="BA55" s="1161"/>
      <c r="BB55" s="1161"/>
      <c r="BC55" s="1162"/>
    </row>
    <row r="56" spans="4:55" ht="13.5" customHeight="1">
      <c r="F56" s="1160"/>
      <c r="G56" s="1161"/>
      <c r="H56" s="1161"/>
      <c r="I56" s="1161"/>
      <c r="J56" s="1161"/>
      <c r="K56" s="1161"/>
      <c r="L56" s="1161"/>
      <c r="M56" s="1161"/>
      <c r="N56" s="1161"/>
      <c r="O56" s="1161"/>
      <c r="P56" s="1161"/>
      <c r="Q56" s="1161"/>
      <c r="R56" s="1161"/>
      <c r="S56" s="1161"/>
      <c r="T56" s="1161"/>
      <c r="U56" s="1161"/>
      <c r="V56" s="1161"/>
      <c r="W56" s="1161"/>
      <c r="X56" s="1161"/>
      <c r="Y56" s="1161"/>
      <c r="Z56" s="1161"/>
      <c r="AA56" s="1161"/>
      <c r="AB56" s="1161"/>
      <c r="AC56" s="1161"/>
      <c r="AD56" s="1161"/>
      <c r="AE56" s="1161"/>
      <c r="AF56" s="1161"/>
      <c r="AG56" s="1161"/>
      <c r="AH56" s="1161"/>
      <c r="AI56" s="1161"/>
      <c r="AJ56" s="1161"/>
      <c r="AK56" s="1161"/>
      <c r="AL56" s="1161"/>
      <c r="AM56" s="1161"/>
      <c r="AN56" s="1161"/>
      <c r="AO56" s="1161"/>
      <c r="AP56" s="1161"/>
      <c r="AQ56" s="1161"/>
      <c r="AR56" s="1161"/>
      <c r="AS56" s="1161"/>
      <c r="AT56" s="1161"/>
      <c r="AU56" s="1161"/>
      <c r="AV56" s="1161"/>
      <c r="AW56" s="1161"/>
      <c r="AX56" s="1161"/>
      <c r="AY56" s="1161"/>
      <c r="AZ56" s="1161"/>
      <c r="BA56" s="1161"/>
      <c r="BB56" s="1161"/>
      <c r="BC56" s="1162"/>
    </row>
    <row r="57" spans="4:55" ht="13.5" customHeight="1">
      <c r="F57" s="1163"/>
      <c r="G57" s="1164"/>
      <c r="H57" s="1164"/>
      <c r="I57" s="1164"/>
      <c r="J57" s="1164"/>
      <c r="K57" s="1164"/>
      <c r="L57" s="1164"/>
      <c r="M57" s="1164"/>
      <c r="N57" s="1164"/>
      <c r="O57" s="1164"/>
      <c r="P57" s="1164"/>
      <c r="Q57" s="1164"/>
      <c r="R57" s="1164"/>
      <c r="S57" s="1164"/>
      <c r="T57" s="1164"/>
      <c r="U57" s="1164"/>
      <c r="V57" s="1164"/>
      <c r="W57" s="1164"/>
      <c r="X57" s="1164"/>
      <c r="Y57" s="1164"/>
      <c r="Z57" s="1164"/>
      <c r="AA57" s="1164"/>
      <c r="AB57" s="1164"/>
      <c r="AC57" s="1164"/>
      <c r="AD57" s="1164"/>
      <c r="AE57" s="1164"/>
      <c r="AF57" s="1164"/>
      <c r="AG57" s="1164"/>
      <c r="AH57" s="1164"/>
      <c r="AI57" s="1164"/>
      <c r="AJ57" s="1164"/>
      <c r="AK57" s="1164"/>
      <c r="AL57" s="1164"/>
      <c r="AM57" s="1164"/>
      <c r="AN57" s="1164"/>
      <c r="AO57" s="1164"/>
      <c r="AP57" s="1164"/>
      <c r="AQ57" s="1164"/>
      <c r="AR57" s="1164"/>
      <c r="AS57" s="1164"/>
      <c r="AT57" s="1164"/>
      <c r="AU57" s="1164"/>
      <c r="AV57" s="1164"/>
      <c r="AW57" s="1164"/>
      <c r="AX57" s="1164"/>
      <c r="AY57" s="1164"/>
      <c r="AZ57" s="1164"/>
      <c r="BA57" s="1164"/>
      <c r="BB57" s="1164"/>
      <c r="BC57" s="1165"/>
    </row>
    <row r="60" spans="4:55" ht="13.5" customHeight="1">
      <c r="D60" s="1166" t="s">
        <v>1291</v>
      </c>
      <c r="E60" s="1166"/>
      <c r="F60" s="1166"/>
      <c r="G60" s="1166"/>
      <c r="H60" s="1167" t="s">
        <v>1292</v>
      </c>
      <c r="I60" s="1168"/>
      <c r="J60" s="1169" t="s">
        <v>1293</v>
      </c>
      <c r="K60" s="1169"/>
      <c r="L60" s="1169"/>
      <c r="M60" s="1167" t="s">
        <v>1294</v>
      </c>
      <c r="N60" s="1168"/>
      <c r="O60" s="1169" t="s">
        <v>1295</v>
      </c>
      <c r="P60" s="1169"/>
      <c r="Q60" s="1169"/>
      <c r="R60" s="1169" t="s">
        <v>1296</v>
      </c>
      <c r="S60" s="1169"/>
      <c r="T60" s="1169"/>
      <c r="U60" s="1169" t="s">
        <v>1297</v>
      </c>
      <c r="V60" s="1169"/>
      <c r="W60" s="1169"/>
      <c r="Y60" s="44"/>
      <c r="Z60" s="44"/>
      <c r="AE60" s="34"/>
      <c r="AF60" s="34"/>
    </row>
    <row r="61" spans="4:55" ht="13.35" customHeight="1">
      <c r="D61" s="1166"/>
      <c r="E61" s="1166"/>
      <c r="F61" s="1166"/>
      <c r="G61" s="1166"/>
      <c r="H61" s="1168"/>
      <c r="I61" s="1168"/>
      <c r="J61" s="1169"/>
      <c r="K61" s="1169"/>
      <c r="L61" s="1169"/>
      <c r="M61" s="1168"/>
      <c r="N61" s="1168"/>
      <c r="O61" s="1169"/>
      <c r="P61" s="1169"/>
      <c r="Q61" s="1169"/>
      <c r="R61" s="1169"/>
      <c r="S61" s="1169"/>
      <c r="T61" s="1169"/>
      <c r="U61" s="1169"/>
      <c r="V61" s="1169"/>
      <c r="W61" s="1169"/>
      <c r="X61" s="45"/>
      <c r="Y61" s="44"/>
      <c r="Z61" s="44"/>
      <c r="AE61" s="34"/>
      <c r="AF61" s="34"/>
    </row>
    <row r="62" spans="4:55">
      <c r="D62" s="1166"/>
      <c r="E62" s="1166"/>
      <c r="F62" s="1166"/>
      <c r="G62" s="1166"/>
      <c r="H62" s="1170" t="str">
        <f>TEXT(指標部入力!C8,"00")</f>
        <v>00</v>
      </c>
      <c r="I62" s="1170"/>
      <c r="J62" s="1171" t="str">
        <f>TEXT(指標部入力!D8,"000")</f>
        <v>000</v>
      </c>
      <c r="K62" s="1171"/>
      <c r="L62" s="1171"/>
      <c r="M62" s="1170" t="str">
        <f>TEXT(指標部入力!E8,"00")</f>
        <v>00</v>
      </c>
      <c r="N62" s="1170"/>
      <c r="O62" s="1171" t="str">
        <f>TEXT(指標部入力!F8,"000")</f>
        <v>000</v>
      </c>
      <c r="P62" s="1171"/>
      <c r="Q62" s="1171"/>
      <c r="R62" s="1171" t="str">
        <f>TEXT(指標部入力!G8,"000")</f>
        <v>000</v>
      </c>
      <c r="S62" s="1171"/>
      <c r="T62" s="1171"/>
      <c r="U62" s="1171" t="str">
        <f>TEXT(指標部入力!H8,"000")</f>
        <v>000</v>
      </c>
      <c r="V62" s="1171"/>
      <c r="W62" s="1171"/>
    </row>
    <row r="63" spans="4:55">
      <c r="D63" s="1166"/>
      <c r="E63" s="1166"/>
      <c r="F63" s="1166"/>
      <c r="G63" s="1166"/>
      <c r="H63" s="1170"/>
      <c r="I63" s="1170"/>
      <c r="J63" s="1171"/>
      <c r="K63" s="1171"/>
      <c r="L63" s="1171"/>
      <c r="M63" s="1170"/>
      <c r="N63" s="1170"/>
      <c r="O63" s="1171"/>
      <c r="P63" s="1171"/>
      <c r="Q63" s="1171"/>
      <c r="R63" s="1171"/>
      <c r="S63" s="1171"/>
      <c r="T63" s="1171"/>
      <c r="U63" s="1171"/>
      <c r="V63" s="1171"/>
      <c r="W63" s="1171"/>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39</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40</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41</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42</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43</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44</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45</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46</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47</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48</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49</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50</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51</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52</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53</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54</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98" t="s">
        <v>55</v>
      </c>
      <c r="D32" s="1199"/>
      <c r="E32" s="1199"/>
      <c r="F32" s="1199"/>
      <c r="G32" s="1199"/>
      <c r="H32" s="1199"/>
      <c r="I32" s="1200"/>
      <c r="J32" s="1204" t="s">
        <v>56</v>
      </c>
      <c r="K32" s="1205"/>
      <c r="L32" s="1205"/>
      <c r="M32" s="1205"/>
      <c r="N32" s="1205"/>
      <c r="O32" s="1205"/>
      <c r="P32" s="1208" t="s">
        <v>57</v>
      </c>
      <c r="Q32" s="1205"/>
      <c r="R32" s="1205"/>
      <c r="S32" s="1205"/>
      <c r="T32" s="1205"/>
      <c r="U32" s="1205"/>
      <c r="V32" s="1205"/>
      <c r="W32" s="1209"/>
      <c r="X32" s="1212" t="s">
        <v>1393</v>
      </c>
      <c r="Y32" s="1213"/>
      <c r="Z32" s="1214"/>
      <c r="AA32" s="51"/>
      <c r="AB32" s="51"/>
      <c r="AC32" s="51"/>
      <c r="AD32" s="51"/>
      <c r="AE32" s="51"/>
      <c r="AF32" s="51"/>
      <c r="AG32" s="51"/>
      <c r="AH32" s="51"/>
      <c r="AI32" s="51"/>
      <c r="AJ32" s="51"/>
      <c r="AK32" s="51"/>
    </row>
    <row r="33" spans="1:72" ht="19.5" customHeight="1" thickBot="1">
      <c r="A33" s="55"/>
      <c r="B33" s="42"/>
      <c r="C33" s="1201"/>
      <c r="D33" s="1202"/>
      <c r="E33" s="1202"/>
      <c r="F33" s="1202"/>
      <c r="G33" s="1202"/>
      <c r="H33" s="1202"/>
      <c r="I33" s="1203"/>
      <c r="J33" s="1206"/>
      <c r="K33" s="1207"/>
      <c r="L33" s="1207"/>
      <c r="M33" s="1207"/>
      <c r="N33" s="1207"/>
      <c r="O33" s="1207"/>
      <c r="P33" s="1210"/>
      <c r="Q33" s="1207"/>
      <c r="R33" s="1207"/>
      <c r="S33" s="1207"/>
      <c r="T33" s="1207"/>
      <c r="U33" s="1207"/>
      <c r="V33" s="1207"/>
      <c r="W33" s="1211"/>
      <c r="X33" s="1215"/>
      <c r="Y33" s="1216"/>
      <c r="Z33" s="1217"/>
      <c r="AA33" s="51"/>
      <c r="AB33" s="51"/>
      <c r="AC33" s="51"/>
      <c r="AD33" s="51"/>
      <c r="AE33" s="51"/>
      <c r="AF33" s="51"/>
      <c r="AG33" s="51"/>
      <c r="AH33" s="51"/>
      <c r="AI33" s="51"/>
      <c r="AJ33" s="51"/>
      <c r="AK33" s="51"/>
    </row>
    <row r="34" spans="1:72" ht="19.5" customHeight="1" thickTop="1">
      <c r="A34" s="51"/>
      <c r="B34" s="51"/>
      <c r="C34" s="68"/>
      <c r="D34" s="1218" t="s">
        <v>58</v>
      </c>
      <c r="E34" s="1218"/>
      <c r="F34" s="1218"/>
      <c r="G34" s="1218"/>
      <c r="H34" s="1218"/>
      <c r="I34" s="69"/>
      <c r="J34" s="1238" t="s">
        <v>59</v>
      </c>
      <c r="K34" s="1239"/>
      <c r="L34" s="1239"/>
      <c r="M34" s="1239"/>
      <c r="N34" s="1239"/>
      <c r="O34" s="1240"/>
      <c r="P34" s="1244">
        <v>20000</v>
      </c>
      <c r="Q34" s="1245"/>
      <c r="R34" s="1245"/>
      <c r="S34" s="1245"/>
      <c r="T34" s="1245"/>
      <c r="U34" s="1245"/>
      <c r="V34" s="1245"/>
      <c r="W34" s="1246"/>
      <c r="X34" s="1232" t="s">
        <v>60</v>
      </c>
      <c r="Y34" s="1233"/>
      <c r="Z34" s="1234"/>
      <c r="AA34" s="51"/>
      <c r="AB34" s="51"/>
      <c r="AC34" s="51"/>
      <c r="AD34" s="51"/>
      <c r="AE34" s="51"/>
      <c r="AF34" s="51"/>
      <c r="AG34" s="51"/>
      <c r="AH34" s="51"/>
      <c r="AI34" s="51"/>
      <c r="AJ34" s="51"/>
      <c r="AK34" s="51"/>
    </row>
    <row r="35" spans="1:72" ht="19.5" customHeight="1" thickBot="1">
      <c r="A35" s="51"/>
      <c r="B35" s="51"/>
      <c r="C35" s="70"/>
      <c r="D35" s="1219"/>
      <c r="E35" s="1219"/>
      <c r="F35" s="1219"/>
      <c r="G35" s="1219"/>
      <c r="H35" s="1219"/>
      <c r="I35" s="71"/>
      <c r="J35" s="1241"/>
      <c r="K35" s="1242"/>
      <c r="L35" s="1242"/>
      <c r="M35" s="1242"/>
      <c r="N35" s="1242"/>
      <c r="O35" s="1243"/>
      <c r="P35" s="1247"/>
      <c r="Q35" s="1248"/>
      <c r="R35" s="1248"/>
      <c r="S35" s="1248"/>
      <c r="T35" s="1248"/>
      <c r="U35" s="1248"/>
      <c r="V35" s="1248"/>
      <c r="W35" s="1249"/>
      <c r="X35" s="1235"/>
      <c r="Y35" s="1236"/>
      <c r="Z35" s="1237"/>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61</v>
      </c>
      <c r="AI37" s="51"/>
    </row>
    <row r="38" spans="1:72" ht="19.5" customHeight="1">
      <c r="A38" s="55"/>
      <c r="C38" s="42" t="s">
        <v>62</v>
      </c>
      <c r="AJ38" s="51"/>
    </row>
    <row r="39" spans="1:72" ht="19.5" customHeight="1">
      <c r="B39" s="51"/>
      <c r="C39" s="42" t="s">
        <v>63</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98" t="s">
        <v>55</v>
      </c>
      <c r="D41" s="1199"/>
      <c r="E41" s="1199"/>
      <c r="F41" s="1199"/>
      <c r="G41" s="1199"/>
      <c r="H41" s="1199"/>
      <c r="I41" s="1200"/>
      <c r="J41" s="1204" t="s">
        <v>56</v>
      </c>
      <c r="K41" s="1205"/>
      <c r="L41" s="1205"/>
      <c r="M41" s="1205"/>
      <c r="N41" s="1205"/>
      <c r="O41" s="1205"/>
      <c r="P41" s="1208" t="s">
        <v>57</v>
      </c>
      <c r="Q41" s="1205"/>
      <c r="R41" s="1205"/>
      <c r="S41" s="1205"/>
      <c r="T41" s="1205"/>
      <c r="U41" s="1205"/>
      <c r="V41" s="1205"/>
      <c r="W41" s="1209"/>
      <c r="X41" s="1212" t="s">
        <v>1393</v>
      </c>
      <c r="Y41" s="1213"/>
      <c r="Z41" s="1214"/>
      <c r="AA41" s="78"/>
      <c r="AB41" s="78"/>
      <c r="AC41" s="78"/>
      <c r="AD41" s="78"/>
      <c r="AE41" s="78"/>
      <c r="AF41" s="78"/>
      <c r="AG41" s="78"/>
      <c r="AH41" s="78"/>
      <c r="AI41" s="51"/>
      <c r="AJ41" s="79"/>
      <c r="AK41" s="78"/>
    </row>
    <row r="42" spans="1:72" ht="19.5" customHeight="1" thickBot="1">
      <c r="A42" s="51"/>
      <c r="C42" s="1201"/>
      <c r="D42" s="1202"/>
      <c r="E42" s="1202"/>
      <c r="F42" s="1202"/>
      <c r="G42" s="1202"/>
      <c r="H42" s="1202"/>
      <c r="I42" s="1203"/>
      <c r="J42" s="1206"/>
      <c r="K42" s="1207"/>
      <c r="L42" s="1207"/>
      <c r="M42" s="1207"/>
      <c r="N42" s="1207"/>
      <c r="O42" s="1207"/>
      <c r="P42" s="1210"/>
      <c r="Q42" s="1207"/>
      <c r="R42" s="1207"/>
      <c r="S42" s="1207"/>
      <c r="T42" s="1207"/>
      <c r="U42" s="1207"/>
      <c r="V42" s="1207"/>
      <c r="W42" s="1211"/>
      <c r="X42" s="1215"/>
      <c r="Y42" s="1216"/>
      <c r="Z42" s="1217"/>
      <c r="AA42" s="78"/>
      <c r="AB42" s="78"/>
      <c r="AC42" s="78"/>
      <c r="AD42" s="78"/>
      <c r="AE42" s="78"/>
      <c r="AF42" s="78"/>
      <c r="AG42" s="78"/>
      <c r="AH42" s="78"/>
      <c r="AI42" s="78"/>
      <c r="AJ42" s="76"/>
      <c r="AK42" s="79"/>
    </row>
    <row r="43" spans="1:72" ht="19.5" customHeight="1" thickTop="1">
      <c r="A43" s="51"/>
      <c r="B43" s="51"/>
      <c r="C43" s="68"/>
      <c r="D43" s="1218" t="s">
        <v>58</v>
      </c>
      <c r="E43" s="1218"/>
      <c r="F43" s="1218"/>
      <c r="G43" s="1218"/>
      <c r="H43" s="1218"/>
      <c r="I43" s="69"/>
      <c r="J43" s="1220">
        <v>1000</v>
      </c>
      <c r="K43" s="1221"/>
      <c r="L43" s="1221"/>
      <c r="M43" s="1221"/>
      <c r="N43" s="1221"/>
      <c r="O43" s="1222"/>
      <c r="P43" s="1226">
        <v>100000</v>
      </c>
      <c r="Q43" s="1227"/>
      <c r="R43" s="1227"/>
      <c r="S43" s="1227"/>
      <c r="T43" s="1227"/>
      <c r="U43" s="1227"/>
      <c r="V43" s="1227"/>
      <c r="W43" s="1228"/>
      <c r="X43" s="1232" t="s">
        <v>64</v>
      </c>
      <c r="Y43" s="1233"/>
      <c r="Z43" s="1234"/>
      <c r="AA43" s="79"/>
      <c r="AB43" s="79"/>
      <c r="AC43" s="79"/>
      <c r="AD43" s="79"/>
      <c r="AE43" s="79"/>
      <c r="AF43" s="79"/>
      <c r="AG43" s="79"/>
      <c r="AH43" s="79"/>
      <c r="AI43" s="78"/>
      <c r="AJ43" s="20"/>
      <c r="AK43" s="76"/>
    </row>
    <row r="44" spans="1:72" ht="19.5" customHeight="1" thickBot="1">
      <c r="A44" s="51"/>
      <c r="B44" s="51"/>
      <c r="C44" s="70"/>
      <c r="D44" s="1219"/>
      <c r="E44" s="1219"/>
      <c r="F44" s="1219"/>
      <c r="G44" s="1219"/>
      <c r="H44" s="1219"/>
      <c r="I44" s="71"/>
      <c r="J44" s="1223"/>
      <c r="K44" s="1224"/>
      <c r="L44" s="1224"/>
      <c r="M44" s="1224"/>
      <c r="N44" s="1224"/>
      <c r="O44" s="1225"/>
      <c r="P44" s="1229"/>
      <c r="Q44" s="1230"/>
      <c r="R44" s="1230"/>
      <c r="S44" s="1230"/>
      <c r="T44" s="1230"/>
      <c r="U44" s="1230"/>
      <c r="V44" s="1230"/>
      <c r="W44" s="1231"/>
      <c r="X44" s="1235"/>
      <c r="Y44" s="1236"/>
      <c r="Z44" s="1237"/>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65</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66</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67</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68</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69</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70</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89" t="s">
        <v>71</v>
      </c>
      <c r="D57" s="1189"/>
      <c r="E57" s="1189"/>
      <c r="F57" s="1189"/>
      <c r="G57" s="1189"/>
      <c r="H57" s="1189"/>
      <c r="I57" s="1189"/>
      <c r="J57" s="1189"/>
      <c r="K57" s="1189"/>
      <c r="L57" s="1188" t="s">
        <v>72</v>
      </c>
      <c r="M57" s="1188"/>
      <c r="N57" s="1188"/>
      <c r="O57" s="1188"/>
      <c r="P57" s="1188"/>
      <c r="Q57" s="1188"/>
      <c r="R57" s="1188"/>
      <c r="S57" s="1188"/>
      <c r="T57" s="1188"/>
      <c r="U57" s="1188"/>
      <c r="V57" s="1188"/>
      <c r="W57" s="1188"/>
      <c r="X57" s="1188"/>
      <c r="Y57" s="1188"/>
      <c r="Z57" s="1189" t="s">
        <v>73</v>
      </c>
      <c r="AA57" s="1189"/>
      <c r="AB57" s="1189"/>
      <c r="AC57" s="86"/>
      <c r="AD57" s="86"/>
      <c r="AE57" s="85"/>
      <c r="AF57" s="81"/>
      <c r="AG57" s="81"/>
      <c r="AH57" s="81"/>
      <c r="AK57" s="20"/>
      <c r="AO57" s="62"/>
      <c r="AP57" s="62"/>
    </row>
    <row r="58" spans="1:43" ht="19.5" customHeight="1">
      <c r="A58" s="87"/>
      <c r="B58" s="87"/>
      <c r="C58" s="1189"/>
      <c r="D58" s="1189"/>
      <c r="E58" s="1189"/>
      <c r="F58" s="1189"/>
      <c r="G58" s="1189"/>
      <c r="H58" s="1189"/>
      <c r="I58" s="1189"/>
      <c r="J58" s="1189"/>
      <c r="K58" s="1189"/>
      <c r="L58" s="1191" t="s">
        <v>74</v>
      </c>
      <c r="M58" s="1191"/>
      <c r="N58" s="1191"/>
      <c r="O58" s="1191"/>
      <c r="P58" s="1191"/>
      <c r="Q58" s="1191"/>
      <c r="R58" s="1191"/>
      <c r="S58" s="1191"/>
      <c r="T58" s="1191"/>
      <c r="U58" s="1191"/>
      <c r="V58" s="1191"/>
      <c r="W58" s="1191"/>
      <c r="X58" s="1191"/>
      <c r="Y58" s="1191"/>
      <c r="Z58" s="1189"/>
      <c r="AA58" s="1189"/>
      <c r="AB58" s="1189"/>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75</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88" t="s">
        <v>76</v>
      </c>
      <c r="F66" s="1188"/>
      <c r="G66" s="1188"/>
      <c r="H66" s="1188"/>
      <c r="I66" s="1188"/>
      <c r="J66" s="1188"/>
      <c r="K66" s="1188"/>
      <c r="L66" s="1188"/>
      <c r="M66" s="1188"/>
      <c r="N66" s="1188"/>
      <c r="O66" s="1188"/>
      <c r="P66" s="1188"/>
      <c r="Q66" s="1188"/>
      <c r="R66" s="1188"/>
      <c r="S66" s="1188"/>
      <c r="T66" s="1188"/>
      <c r="U66" s="1188"/>
      <c r="V66" s="1188"/>
      <c r="W66" s="1188"/>
      <c r="X66" s="1188"/>
      <c r="Y66" s="1188"/>
      <c r="Z66" s="1188"/>
      <c r="AA66" s="1188"/>
      <c r="AB66" s="1188"/>
      <c r="AC66" s="1188"/>
      <c r="AD66" s="1188"/>
      <c r="AE66" s="1188"/>
      <c r="AF66" s="1188"/>
      <c r="AG66" s="1188"/>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92" t="s">
        <v>77</v>
      </c>
      <c r="F68" s="1193"/>
      <c r="G68" s="1193"/>
      <c r="H68" s="1193"/>
      <c r="I68" s="1193"/>
      <c r="J68" s="1193"/>
      <c r="K68" s="1193"/>
      <c r="L68" s="1193"/>
      <c r="M68" s="1193"/>
      <c r="N68" s="1193"/>
      <c r="O68" s="1193"/>
      <c r="P68" s="1193"/>
      <c r="Q68" s="1193"/>
      <c r="R68" s="1193"/>
      <c r="S68" s="1193"/>
      <c r="T68" s="1193"/>
      <c r="U68" s="1193"/>
      <c r="V68" s="1193"/>
      <c r="W68" s="1193"/>
      <c r="X68" s="1193"/>
      <c r="Y68" s="1194"/>
      <c r="Z68" s="1193" t="s">
        <v>78</v>
      </c>
      <c r="AA68" s="1193"/>
      <c r="AB68" s="1193"/>
      <c r="AC68" s="1193"/>
      <c r="AD68" s="1193"/>
      <c r="AE68" s="1193"/>
      <c r="AF68" s="1193"/>
      <c r="AG68" s="1194"/>
      <c r="AH68" s="85"/>
      <c r="AI68" s="81"/>
      <c r="AO68" s="62"/>
      <c r="AP68" s="62"/>
      <c r="AQ68" s="62"/>
    </row>
    <row r="69" spans="1:43" ht="19.5" customHeight="1">
      <c r="A69" s="87"/>
      <c r="B69" s="87"/>
      <c r="C69" s="81"/>
      <c r="D69" s="81"/>
      <c r="E69" s="1195"/>
      <c r="F69" s="1196"/>
      <c r="G69" s="1196"/>
      <c r="H69" s="1196"/>
      <c r="I69" s="1196"/>
      <c r="J69" s="1196"/>
      <c r="K69" s="1196"/>
      <c r="L69" s="1196"/>
      <c r="M69" s="1196"/>
      <c r="N69" s="1196"/>
      <c r="O69" s="1196"/>
      <c r="P69" s="1196"/>
      <c r="Q69" s="1196"/>
      <c r="R69" s="1196"/>
      <c r="S69" s="1196"/>
      <c r="T69" s="1196"/>
      <c r="U69" s="1196"/>
      <c r="V69" s="1196"/>
      <c r="W69" s="1196"/>
      <c r="X69" s="1196"/>
      <c r="Y69" s="1197"/>
      <c r="Z69" s="1196"/>
      <c r="AA69" s="1196"/>
      <c r="AB69" s="1196"/>
      <c r="AC69" s="1196"/>
      <c r="AD69" s="1196"/>
      <c r="AE69" s="1196"/>
      <c r="AF69" s="1196"/>
      <c r="AG69" s="1197"/>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88" t="s">
        <v>79</v>
      </c>
      <c r="F71" s="1188"/>
      <c r="G71" s="1188"/>
      <c r="H71" s="1188"/>
      <c r="I71" s="1188"/>
      <c r="J71" s="1188"/>
      <c r="K71" s="1188"/>
      <c r="L71" s="1188"/>
      <c r="M71" s="1188"/>
      <c r="N71" s="1188"/>
      <c r="O71" s="1188"/>
      <c r="P71" s="1188"/>
      <c r="Q71" s="1188"/>
      <c r="R71" s="1188"/>
      <c r="S71" s="1188"/>
      <c r="T71" s="1188"/>
      <c r="U71" s="1188"/>
      <c r="V71" s="1188"/>
      <c r="W71" s="1188"/>
      <c r="X71" s="1188"/>
      <c r="Y71" s="1188"/>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80</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81</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82</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89" t="s">
        <v>71</v>
      </c>
      <c r="D80" s="1189"/>
      <c r="E80" s="1189"/>
      <c r="F80" s="1189"/>
      <c r="G80" s="1189"/>
      <c r="H80" s="1189"/>
      <c r="I80" s="1189"/>
      <c r="J80" s="1189"/>
      <c r="K80" s="1189"/>
      <c r="L80" s="1190" t="s">
        <v>83</v>
      </c>
      <c r="M80" s="1190"/>
      <c r="N80" s="1190"/>
      <c r="O80" s="1190"/>
      <c r="P80" s="1190"/>
      <c r="Q80" s="1190"/>
      <c r="R80" s="1190"/>
      <c r="S80" s="1190"/>
      <c r="T80" s="1190"/>
      <c r="U80" s="1190"/>
      <c r="V80" s="1190"/>
      <c r="W80" s="1190"/>
      <c r="X80" s="1190"/>
      <c r="Y80" s="1190"/>
      <c r="Z80" s="1190"/>
      <c r="AA80" s="1190"/>
      <c r="AB80" s="1190"/>
      <c r="AC80" s="1190"/>
      <c r="AD80" s="1190"/>
      <c r="AE80" s="1189" t="s">
        <v>84</v>
      </c>
      <c r="AF80" s="1189"/>
      <c r="AG80" s="1189"/>
      <c r="AH80" s="85"/>
      <c r="AI80" s="62"/>
      <c r="AK80" s="97"/>
      <c r="AL80" s="52"/>
    </row>
    <row r="81" spans="1:43" ht="19.5" customHeight="1">
      <c r="A81" s="87"/>
      <c r="B81" s="87"/>
      <c r="C81" s="1189"/>
      <c r="D81" s="1189"/>
      <c r="E81" s="1189"/>
      <c r="F81" s="1189"/>
      <c r="G81" s="1189"/>
      <c r="H81" s="1189"/>
      <c r="I81" s="1189"/>
      <c r="J81" s="1189"/>
      <c r="K81" s="1189"/>
      <c r="L81" s="1191" t="s">
        <v>85</v>
      </c>
      <c r="M81" s="1191"/>
      <c r="N81" s="1191"/>
      <c r="O81" s="1191"/>
      <c r="P81" s="1191"/>
      <c r="Q81" s="1191"/>
      <c r="R81" s="1191"/>
      <c r="S81" s="1191"/>
      <c r="T81" s="1191"/>
      <c r="U81" s="1191"/>
      <c r="V81" s="1191"/>
      <c r="W81" s="1191"/>
      <c r="X81" s="1191"/>
      <c r="Y81" s="1191"/>
      <c r="Z81" s="1191"/>
      <c r="AA81" s="1191"/>
      <c r="AB81" s="1191"/>
      <c r="AC81" s="1191"/>
      <c r="AD81" s="1191"/>
      <c r="AE81" s="1189"/>
      <c r="AF81" s="1189"/>
      <c r="AG81" s="1189"/>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5"/>
  <pageMargins left="0.59055118110236227" right="0.59055118110236227" top="0.59055118110236227" bottom="0.39370078740157483" header="0" footer="0.19685039370078741"/>
  <pageSetup paperSize="9" scale="64" firstPageNumber="2" fitToHeight="2" orientation="landscape" cellComments="asDisplayed" useFirstPageNumber="1" r:id="rId1"/>
  <headerFooter scaleWithDoc="0" alignWithMargins="0">
    <evenFooter>&amp;R&amp;G</evenFooter>
  </headerFooter>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50" t="s">
        <v>86</v>
      </c>
      <c r="B1" s="1250"/>
      <c r="C1" s="1250"/>
      <c r="D1" s="1250"/>
      <c r="E1" s="1250"/>
      <c r="F1" s="1250"/>
      <c r="G1" s="1250"/>
      <c r="H1" s="1250"/>
      <c r="I1" s="1250"/>
      <c r="J1" s="1250"/>
      <c r="K1" s="1250"/>
      <c r="L1" s="1250"/>
      <c r="M1" s="1250"/>
      <c r="N1" s="1250"/>
      <c r="O1" s="1250"/>
      <c r="P1" s="1250"/>
      <c r="Q1" s="1250"/>
      <c r="R1" s="1250"/>
      <c r="S1" s="1250"/>
      <c r="T1" s="1250"/>
      <c r="U1" s="1250"/>
      <c r="V1" s="1250"/>
      <c r="W1" s="1250"/>
      <c r="X1" s="1250"/>
      <c r="Y1" s="1250"/>
      <c r="Z1" s="1250"/>
      <c r="AA1" s="1250"/>
      <c r="AB1" s="1250"/>
      <c r="AC1" s="1250"/>
      <c r="AD1" s="1250"/>
      <c r="AE1" s="1250"/>
      <c r="AF1" s="1250"/>
      <c r="AG1" s="1250"/>
      <c r="AH1" s="1250"/>
      <c r="AI1" s="98"/>
    </row>
    <row r="2" spans="1:35" s="99" customFormat="1" ht="27" customHeight="1">
      <c r="A2" s="100"/>
      <c r="B2" s="100"/>
      <c r="C2" s="100"/>
      <c r="D2" s="100"/>
      <c r="E2" s="100"/>
      <c r="F2" s="100"/>
      <c r="G2" s="100"/>
      <c r="H2" s="100"/>
      <c r="AH2" s="101"/>
    </row>
    <row r="3" spans="1:35" s="99" customFormat="1" ht="18" customHeight="1">
      <c r="A3" s="99" t="s">
        <v>87</v>
      </c>
      <c r="I3" s="102"/>
    </row>
    <row r="4" spans="1:35" s="99" customFormat="1" ht="18" customHeight="1">
      <c r="A4" s="103" t="s">
        <v>1391</v>
      </c>
    </row>
    <row r="5" spans="1:35" s="99" customFormat="1" ht="18" customHeight="1">
      <c r="A5" s="103" t="s">
        <v>1430</v>
      </c>
    </row>
    <row r="6" spans="1:35" s="99" customFormat="1" ht="15" customHeight="1">
      <c r="A6" s="103"/>
    </row>
    <row r="7" spans="1:35" s="99" customFormat="1" ht="18" customHeight="1">
      <c r="A7" s="99" t="s">
        <v>88</v>
      </c>
      <c r="I7" s="102"/>
    </row>
    <row r="8" spans="1:35" s="99" customFormat="1" ht="18" customHeight="1">
      <c r="A8" s="103" t="s">
        <v>1432</v>
      </c>
    </row>
    <row r="9" spans="1:35" s="99" customFormat="1" ht="15" customHeight="1">
      <c r="A9" s="99" t="s">
        <v>1433</v>
      </c>
    </row>
    <row r="10" spans="1:35" s="99" customFormat="1" ht="15" customHeight="1"/>
    <row r="11" spans="1:35" s="99" customFormat="1" ht="18" customHeight="1">
      <c r="A11" s="99" t="s">
        <v>1392</v>
      </c>
    </row>
    <row r="12" spans="1:35" s="99" customFormat="1" ht="18" customHeight="1">
      <c r="A12" s="103" t="s">
        <v>89</v>
      </c>
    </row>
    <row r="13" spans="1:35" s="99" customFormat="1" ht="18" customHeight="1">
      <c r="A13" s="103" t="s">
        <v>1431</v>
      </c>
    </row>
    <row r="14" spans="1:35" s="99" customFormat="1" ht="15" customHeight="1"/>
    <row r="15" spans="1:35" s="99" customFormat="1" ht="18" customHeight="1">
      <c r="A15" s="99" t="s">
        <v>90</v>
      </c>
    </row>
    <row r="16" spans="1:35" s="99" customFormat="1" ht="18" customHeight="1">
      <c r="A16" s="103" t="s">
        <v>91</v>
      </c>
    </row>
    <row r="17" spans="1:1" s="99" customFormat="1" ht="18" customHeight="1">
      <c r="A17" s="103" t="s">
        <v>92</v>
      </c>
    </row>
    <row r="18" spans="1:1" s="99" customFormat="1" ht="15" customHeight="1"/>
    <row r="19" spans="1:1" s="99" customFormat="1" ht="18" customHeight="1">
      <c r="A19" s="99" t="s">
        <v>93</v>
      </c>
    </row>
    <row r="20" spans="1:1" s="99" customFormat="1" ht="18" customHeight="1">
      <c r="A20" s="103" t="s">
        <v>94</v>
      </c>
    </row>
    <row r="21" spans="1:1" s="99" customFormat="1" ht="15" customHeight="1"/>
    <row r="22" spans="1:1" s="99" customFormat="1" ht="18" customHeight="1">
      <c r="A22" s="99" t="s">
        <v>95</v>
      </c>
    </row>
    <row r="23" spans="1:1" s="99" customFormat="1" ht="18" customHeight="1">
      <c r="A23" s="103" t="s">
        <v>96</v>
      </c>
    </row>
    <row r="24" spans="1:1" s="99" customFormat="1" ht="15.75" customHeight="1"/>
    <row r="25" spans="1:1" s="99" customFormat="1" ht="18" customHeight="1">
      <c r="A25" s="99" t="s">
        <v>97</v>
      </c>
    </row>
    <row r="26" spans="1:1" s="99" customFormat="1" ht="18" customHeight="1">
      <c r="A26" s="103" t="s">
        <v>98</v>
      </c>
    </row>
    <row r="27" spans="1:1" s="99" customFormat="1" ht="15" customHeight="1">
      <c r="A27" s="99" t="s">
        <v>99</v>
      </c>
    </row>
    <row r="28" spans="1:1" s="99" customFormat="1" ht="18" customHeight="1">
      <c r="A28" s="99" t="s">
        <v>100</v>
      </c>
    </row>
    <row r="29" spans="1:1" s="99" customFormat="1" ht="18" customHeight="1">
      <c r="A29" s="103" t="s">
        <v>101</v>
      </c>
    </row>
    <row r="30" spans="1:1" s="99" customFormat="1" ht="15" customHeight="1">
      <c r="A30" s="103"/>
    </row>
    <row r="31" spans="1:1" s="99" customFormat="1" ht="18" customHeight="1">
      <c r="A31" s="99" t="s">
        <v>102</v>
      </c>
    </row>
    <row r="32" spans="1:1" s="99" customFormat="1" ht="18" customHeight="1">
      <c r="A32" s="103" t="s">
        <v>103</v>
      </c>
    </row>
    <row r="33" spans="1:34" s="99" customFormat="1" ht="18" customHeight="1">
      <c r="A33" s="103" t="s">
        <v>104</v>
      </c>
    </row>
    <row r="34" spans="1:34" s="99" customFormat="1" ht="15" customHeight="1">
      <c r="A34" s="103"/>
    </row>
    <row r="35" spans="1:34" s="99" customFormat="1" ht="18" customHeight="1">
      <c r="A35" s="99" t="s">
        <v>1383</v>
      </c>
    </row>
    <row r="36" spans="1:34" s="99" customFormat="1" ht="18" customHeight="1">
      <c r="A36" s="103" t="s">
        <v>105</v>
      </c>
    </row>
    <row r="37" spans="1:34" s="99" customFormat="1" ht="18" customHeight="1">
      <c r="A37" s="103" t="s">
        <v>106</v>
      </c>
    </row>
    <row r="38" spans="1:34" s="99" customFormat="1" ht="15" customHeight="1">
      <c r="A38" s="103"/>
    </row>
    <row r="39" spans="1:34" s="99" customFormat="1" ht="18" customHeight="1">
      <c r="A39" s="99" t="s">
        <v>107</v>
      </c>
    </row>
    <row r="40" spans="1:34" s="99" customFormat="1" ht="18" customHeight="1">
      <c r="A40" s="103" t="s">
        <v>108</v>
      </c>
    </row>
    <row r="41" spans="1:34" ht="15" customHeight="1">
      <c r="A41" s="99"/>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99" t="s">
        <v>109</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c r="A43" s="103" t="s">
        <v>110</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68"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1:39" ht="14.25" customHeight="1">
      <c r="AD1" s="2" t="s">
        <v>111</v>
      </c>
    </row>
    <row r="2" spans="1:39" ht="14.25" customHeight="1">
      <c r="B2" s="105" t="s">
        <v>112</v>
      </c>
      <c r="C2" s="105"/>
      <c r="AD2" s="105"/>
    </row>
    <row r="4" spans="1:39" s="30" customFormat="1" ht="18" customHeight="1">
      <c r="B4" s="106" t="s">
        <v>113</v>
      </c>
      <c r="C4" s="106" t="s">
        <v>114</v>
      </c>
      <c r="E4" s="107"/>
      <c r="F4" s="107"/>
      <c r="G4" s="107"/>
      <c r="H4" s="107"/>
      <c r="I4" s="108"/>
      <c r="J4" s="108"/>
      <c r="K4" s="108"/>
      <c r="L4" s="108"/>
      <c r="M4" s="108"/>
      <c r="U4" s="2"/>
      <c r="V4" s="2"/>
      <c r="W4" s="2"/>
      <c r="X4" s="2"/>
      <c r="Y4" s="2"/>
      <c r="Z4" s="2"/>
      <c r="AA4" s="2"/>
      <c r="AB4" s="2"/>
      <c r="AD4" s="106"/>
    </row>
    <row r="5" spans="1:39" s="30" customFormat="1" ht="18" customHeight="1">
      <c r="D5" s="58" t="s">
        <v>115</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95" t="s">
        <v>55</v>
      </c>
      <c r="E7" s="1296"/>
      <c r="F7" s="1296"/>
      <c r="G7" s="1296"/>
      <c r="H7" s="1296"/>
      <c r="I7" s="1296"/>
      <c r="J7" s="1296"/>
      <c r="K7" s="1296"/>
      <c r="L7" s="1297"/>
      <c r="M7" s="1301" t="s">
        <v>116</v>
      </c>
      <c r="N7" s="1303" t="s">
        <v>117</v>
      </c>
    </row>
    <row r="8" spans="1:39" ht="14.1" customHeight="1" thickBot="1">
      <c r="D8" s="1298"/>
      <c r="E8" s="1299"/>
      <c r="F8" s="1299"/>
      <c r="G8" s="1299"/>
      <c r="H8" s="1299"/>
      <c r="I8" s="1299"/>
      <c r="J8" s="1299"/>
      <c r="K8" s="1299"/>
      <c r="L8" s="1300"/>
      <c r="M8" s="1302"/>
      <c r="N8" s="1304"/>
    </row>
    <row r="9" spans="1:39" ht="30" customHeight="1" thickTop="1">
      <c r="D9" s="1305" t="s">
        <v>118</v>
      </c>
      <c r="E9" s="1306"/>
      <c r="F9" s="1306"/>
      <c r="G9" s="1306"/>
      <c r="H9" s="1306"/>
      <c r="I9" s="1306"/>
      <c r="J9" s="1306"/>
      <c r="K9" s="1306"/>
      <c r="L9" s="1307"/>
      <c r="M9" s="109"/>
      <c r="N9" s="110"/>
    </row>
    <row r="10" spans="1:39" ht="30" customHeight="1">
      <c r="D10" s="1281" t="s">
        <v>119</v>
      </c>
      <c r="E10" s="1282"/>
      <c r="F10" s="1282"/>
      <c r="G10" s="1282"/>
      <c r="H10" s="1282"/>
      <c r="I10" s="1282"/>
      <c r="J10" s="1282"/>
      <c r="K10" s="1282"/>
      <c r="L10" s="1283"/>
      <c r="M10" s="111"/>
      <c r="N10" s="112"/>
    </row>
    <row r="11" spans="1:39" ht="30" customHeight="1">
      <c r="D11" s="1281" t="s">
        <v>120</v>
      </c>
      <c r="E11" s="1282"/>
      <c r="F11" s="1282"/>
      <c r="G11" s="1282"/>
      <c r="H11" s="1282"/>
      <c r="I11" s="1282"/>
      <c r="J11" s="1282"/>
      <c r="K11" s="1282"/>
      <c r="L11" s="1283"/>
      <c r="M11" s="111"/>
      <c r="N11" s="112"/>
    </row>
    <row r="12" spans="1:39" ht="30" customHeight="1" thickBot="1">
      <c r="D12" s="1284" t="s">
        <v>121</v>
      </c>
      <c r="E12" s="1285"/>
      <c r="F12" s="1285"/>
      <c r="G12" s="1285"/>
      <c r="H12" s="1285"/>
      <c r="I12" s="1285"/>
      <c r="J12" s="1285"/>
      <c r="K12" s="1285"/>
      <c r="L12" s="1286"/>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122</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123</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98" t="s">
        <v>55</v>
      </c>
      <c r="E17" s="1199"/>
      <c r="F17" s="1199"/>
      <c r="G17" s="1199"/>
      <c r="H17" s="1199"/>
      <c r="I17" s="1199"/>
      <c r="J17" s="1200"/>
      <c r="K17" s="1290" t="s">
        <v>124</v>
      </c>
      <c r="L17" s="1291"/>
      <c r="M17" s="1291"/>
      <c r="N17" s="1291"/>
      <c r="O17" s="1291"/>
      <c r="P17" s="1291"/>
      <c r="Q17" s="1291"/>
      <c r="R17" s="1291"/>
      <c r="S17" s="1292"/>
      <c r="T17" s="1251" t="s">
        <v>125</v>
      </c>
      <c r="U17" s="120"/>
      <c r="AL17" s="30"/>
      <c r="AM17" s="30"/>
    </row>
    <row r="18" spans="1:39" ht="14.25" customHeight="1">
      <c r="A18" s="30"/>
      <c r="B18" s="30"/>
      <c r="C18" s="30"/>
      <c r="D18" s="1287"/>
      <c r="E18" s="1288"/>
      <c r="F18" s="1288"/>
      <c r="G18" s="1288"/>
      <c r="H18" s="1288"/>
      <c r="I18" s="1288"/>
      <c r="J18" s="1289"/>
      <c r="K18" s="1275"/>
      <c r="L18" s="1276"/>
      <c r="M18" s="1276"/>
      <c r="N18" s="1276"/>
      <c r="O18" s="1276"/>
      <c r="P18" s="1276"/>
      <c r="Q18" s="1276"/>
      <c r="R18" s="1276"/>
      <c r="S18" s="1293"/>
      <c r="T18" s="1252"/>
      <c r="U18" s="1254" t="s">
        <v>126</v>
      </c>
      <c r="AL18" s="30"/>
      <c r="AM18" s="30"/>
    </row>
    <row r="19" spans="1:39" ht="14.25" customHeight="1" thickBot="1">
      <c r="A19" s="30"/>
      <c r="B19" s="30"/>
      <c r="C19" s="30"/>
      <c r="D19" s="1201"/>
      <c r="E19" s="1202"/>
      <c r="F19" s="1202"/>
      <c r="G19" s="1202"/>
      <c r="H19" s="1202"/>
      <c r="I19" s="1202"/>
      <c r="J19" s="1203"/>
      <c r="K19" s="1265"/>
      <c r="L19" s="1266"/>
      <c r="M19" s="1266"/>
      <c r="N19" s="1266"/>
      <c r="O19" s="1266"/>
      <c r="P19" s="1266"/>
      <c r="Q19" s="1266"/>
      <c r="R19" s="1266"/>
      <c r="S19" s="1294"/>
      <c r="T19" s="1253"/>
      <c r="U19" s="1255"/>
      <c r="AL19" s="30"/>
      <c r="AM19" s="30"/>
    </row>
    <row r="20" spans="1:39" ht="28.5" customHeight="1" thickTop="1">
      <c r="A20" s="30"/>
      <c r="B20" s="30"/>
      <c r="C20" s="30"/>
      <c r="D20" s="1275" t="s">
        <v>127</v>
      </c>
      <c r="E20" s="1276"/>
      <c r="F20" s="1276"/>
      <c r="G20" s="1276"/>
      <c r="H20" s="1276"/>
      <c r="I20" s="1276"/>
      <c r="J20" s="1277"/>
      <c r="K20" s="1278" t="s">
        <v>128</v>
      </c>
      <c r="L20" s="1279"/>
      <c r="M20" s="1279"/>
      <c r="N20" s="1279"/>
      <c r="O20" s="1279"/>
      <c r="P20" s="1279"/>
      <c r="Q20" s="1279"/>
      <c r="R20" s="1279"/>
      <c r="S20" s="1280"/>
      <c r="T20" s="121"/>
      <c r="U20" s="122" t="s">
        <v>129</v>
      </c>
      <c r="AL20" s="30"/>
      <c r="AM20" s="30"/>
    </row>
    <row r="21" spans="1:39" ht="28.5" customHeight="1">
      <c r="A21" s="30"/>
      <c r="B21" s="30"/>
      <c r="C21" s="30"/>
      <c r="D21" s="1259" t="s">
        <v>130</v>
      </c>
      <c r="E21" s="1260"/>
      <c r="F21" s="1260"/>
      <c r="G21" s="1260"/>
      <c r="H21" s="1260"/>
      <c r="I21" s="1260"/>
      <c r="J21" s="1261"/>
      <c r="K21" s="1262" t="s">
        <v>131</v>
      </c>
      <c r="L21" s="1263"/>
      <c r="M21" s="1263"/>
      <c r="N21" s="1263"/>
      <c r="O21" s="1263"/>
      <c r="P21" s="1263"/>
      <c r="Q21" s="1263"/>
      <c r="R21" s="1263"/>
      <c r="S21" s="1264"/>
      <c r="T21" s="111"/>
      <c r="U21" s="123" t="s">
        <v>129</v>
      </c>
      <c r="AL21" s="30"/>
      <c r="AM21" s="30"/>
    </row>
    <row r="22" spans="1:39" ht="28.5" customHeight="1" thickBot="1">
      <c r="A22" s="30"/>
      <c r="B22" s="30"/>
      <c r="C22" s="30"/>
      <c r="D22" s="1265" t="s">
        <v>132</v>
      </c>
      <c r="E22" s="1266"/>
      <c r="F22" s="1266"/>
      <c r="G22" s="1266"/>
      <c r="H22" s="1266"/>
      <c r="I22" s="1266"/>
      <c r="J22" s="1267"/>
      <c r="K22" s="1268" t="s">
        <v>133</v>
      </c>
      <c r="L22" s="1269"/>
      <c r="M22" s="1269"/>
      <c r="N22" s="1269"/>
      <c r="O22" s="1269"/>
      <c r="P22" s="1269"/>
      <c r="Q22" s="1269"/>
      <c r="R22" s="1269"/>
      <c r="S22" s="1270"/>
      <c r="T22" s="113"/>
      <c r="U22" s="124" t="s">
        <v>134</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135</v>
      </c>
      <c r="E29" s="129"/>
      <c r="F29" s="129"/>
      <c r="G29" s="129"/>
      <c r="H29" s="129"/>
      <c r="I29" s="130"/>
      <c r="J29" s="130"/>
      <c r="K29" s="130"/>
      <c r="L29" s="130"/>
      <c r="M29" s="130"/>
      <c r="P29" s="118"/>
      <c r="Q29" s="118"/>
      <c r="R29" s="118"/>
      <c r="AD29" s="128" t="s">
        <v>135</v>
      </c>
    </row>
    <row r="30" spans="1:39" ht="30" customHeight="1" thickTop="1" thickBot="1">
      <c r="D30" s="1271" t="s">
        <v>136</v>
      </c>
      <c r="E30" s="1271"/>
      <c r="F30" s="1271"/>
      <c r="G30" s="1271"/>
      <c r="H30" s="1271"/>
      <c r="I30" s="1271"/>
      <c r="J30" s="1271"/>
      <c r="K30" s="1271"/>
      <c r="L30" s="1271"/>
      <c r="M30" s="1271"/>
      <c r="N30" s="1271"/>
      <c r="P30" s="131"/>
      <c r="AE30" s="132" t="s">
        <v>137</v>
      </c>
      <c r="AF30" s="132" t="str">
        <f>IF(P30&lt;&gt;"",P30,"")</f>
        <v/>
      </c>
      <c r="AG30" s="133" t="str">
        <f>IF(AF30="はい",1,IF(AF30="いいえ",0,""))</f>
        <v/>
      </c>
    </row>
    <row r="31" spans="1:39" ht="14.25" customHeight="1" thickTop="1">
      <c r="D31" s="1271"/>
      <c r="E31" s="1271"/>
      <c r="F31" s="1271"/>
      <c r="G31" s="1271"/>
      <c r="H31" s="1271"/>
      <c r="I31" s="1271"/>
      <c r="J31" s="1271"/>
      <c r="K31" s="1271"/>
      <c r="L31" s="1271"/>
      <c r="M31" s="1271"/>
      <c r="N31" s="1271"/>
    </row>
    <row r="32" spans="1:39" ht="18" customHeight="1">
      <c r="D32" s="129"/>
      <c r="M32" s="134"/>
      <c r="N32" s="134"/>
      <c r="O32" s="134"/>
      <c r="P32" s="134"/>
      <c r="Q32" s="134"/>
      <c r="R32" s="134"/>
    </row>
    <row r="33" spans="1:33" ht="18" customHeight="1">
      <c r="D33" s="129"/>
      <c r="M33" s="134"/>
      <c r="N33" s="134"/>
      <c r="O33" s="134"/>
      <c r="P33" s="134"/>
      <c r="Q33" s="134"/>
      <c r="R33" s="134"/>
    </row>
    <row r="34" spans="1:33" ht="18" customHeight="1">
      <c r="C34" s="128" t="s">
        <v>138</v>
      </c>
      <c r="E34" s="129"/>
      <c r="F34" s="129"/>
      <c r="G34" s="129"/>
      <c r="H34" s="129"/>
      <c r="I34" s="130"/>
      <c r="J34" s="130"/>
      <c r="K34" s="130"/>
      <c r="L34" s="130"/>
      <c r="M34" s="130"/>
      <c r="P34" s="118"/>
      <c r="Q34" s="118"/>
      <c r="R34" s="118"/>
      <c r="AD34" s="128" t="s">
        <v>138</v>
      </c>
    </row>
    <row r="35" spans="1:33" ht="18" customHeight="1">
      <c r="D35" s="48" t="s">
        <v>1394</v>
      </c>
      <c r="F35" s="129"/>
      <c r="G35" s="129"/>
      <c r="H35" s="129"/>
      <c r="I35" s="130"/>
      <c r="J35" s="130"/>
      <c r="K35" s="130"/>
      <c r="L35" s="130"/>
      <c r="M35" s="130"/>
      <c r="P35" s="118"/>
      <c r="Q35" s="118"/>
      <c r="R35" s="118"/>
    </row>
    <row r="36" spans="1:33" ht="14.1" customHeight="1" thickBot="1">
      <c r="D36" s="48"/>
      <c r="F36" s="129"/>
      <c r="G36" s="129"/>
      <c r="H36" s="129"/>
      <c r="I36" s="130"/>
      <c r="J36" s="130"/>
      <c r="K36" s="130"/>
      <c r="L36" s="130"/>
      <c r="M36" s="130"/>
      <c r="P36" s="118"/>
      <c r="Q36" s="118"/>
      <c r="R36" s="118"/>
    </row>
    <row r="37" spans="1:33" ht="28.5" customHeight="1" thickBot="1">
      <c r="D37" s="1272" t="s">
        <v>55</v>
      </c>
      <c r="E37" s="1273"/>
      <c r="F37" s="1273"/>
      <c r="G37" s="1273"/>
      <c r="H37" s="1273"/>
      <c r="I37" s="1273"/>
      <c r="J37" s="1273"/>
      <c r="K37" s="1274"/>
      <c r="L37" s="135" t="s">
        <v>139</v>
      </c>
      <c r="M37" s="136" t="s">
        <v>140</v>
      </c>
      <c r="N37" s="136" t="s">
        <v>141</v>
      </c>
      <c r="O37" s="136" t="s">
        <v>142</v>
      </c>
      <c r="P37" s="137" t="s">
        <v>143</v>
      </c>
      <c r="AE37" s="138" t="s">
        <v>144</v>
      </c>
      <c r="AF37" s="1134" t="s">
        <v>1389</v>
      </c>
      <c r="AG37" s="138" t="s">
        <v>1390</v>
      </c>
    </row>
    <row r="38" spans="1:33" ht="30.75" customHeight="1" thickTop="1" thickBot="1">
      <c r="D38" s="1256" t="s">
        <v>145</v>
      </c>
      <c r="E38" s="1257"/>
      <c r="F38" s="1257"/>
      <c r="G38" s="1257"/>
      <c r="H38" s="1257"/>
      <c r="I38" s="1257"/>
      <c r="J38" s="1257"/>
      <c r="K38" s="1258"/>
      <c r="L38" s="139"/>
      <c r="M38" s="140"/>
      <c r="N38" s="140"/>
      <c r="O38" s="140"/>
      <c r="P38" s="141"/>
      <c r="AE38" s="142">
        <f>IF(COUNT(L38:P38)=2,ROUND(SUM(L38:P38)/2,0),(ROUND((SUM(L38:P38)-MIN(L38:P38)-MAX(L38:P38))/(COUNT(L38:P38)-2),0)))</f>
        <v>0</v>
      </c>
      <c r="AF38" s="142">
        <f>IFERROR(ROUND((【２】生産物の販売等の状況①_麦類!AA18+【２】生産物の販売等の状況①_麦類!AA83)/【11】土地_１所有地_米・さとうきび以外!S24*10,0),)</f>
        <v>0</v>
      </c>
      <c r="AG38" s="1135">
        <f>IFERROR(ROUND(AF38/AE38*100,1),)</f>
        <v>0</v>
      </c>
    </row>
    <row r="39" spans="1:33" ht="14.1" customHeight="1">
      <c r="D39" s="129"/>
      <c r="E39" s="20"/>
      <c r="F39" s="20"/>
      <c r="G39" s="20"/>
      <c r="H39" s="20"/>
      <c r="I39" s="20"/>
      <c r="J39" s="20"/>
      <c r="K39" s="20"/>
      <c r="M39" s="30"/>
      <c r="N39" s="30"/>
      <c r="P39" s="118"/>
      <c r="Q39" s="118"/>
      <c r="R39" s="118"/>
    </row>
    <row r="40" spans="1:33" ht="14.1" customHeight="1">
      <c r="D40" s="129"/>
      <c r="E40" s="20"/>
      <c r="F40" s="20"/>
      <c r="G40" s="20"/>
      <c r="H40" s="20"/>
      <c r="I40" s="20"/>
      <c r="J40" s="20"/>
      <c r="K40" s="20"/>
      <c r="M40" s="30"/>
      <c r="N40" s="30"/>
      <c r="P40" s="118"/>
      <c r="Q40" s="118"/>
      <c r="R40" s="118"/>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3"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3" ht="14.1" customHeight="1">
      <c r="D46" s="118"/>
      <c r="E46" s="146"/>
      <c r="F46" s="146"/>
      <c r="G46" s="146"/>
      <c r="H46" s="146"/>
      <c r="I46" s="146"/>
      <c r="J46" s="146"/>
      <c r="K46" s="125"/>
      <c r="L46" s="146"/>
      <c r="M46" s="146"/>
      <c r="N46" s="148"/>
      <c r="P46" s="20"/>
      <c r="Q46" s="20"/>
      <c r="R46" s="20"/>
      <c r="S46" s="20"/>
    </row>
    <row r="47" spans="1:33" ht="14.1" customHeight="1">
      <c r="D47" s="149"/>
    </row>
    <row r="48" spans="1:33" ht="14.25" customHeight="1">
      <c r="E48" s="149"/>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64" fitToHeight="0"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topLeftCell="A3"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83" ht="14.25" customHeight="1">
      <c r="AI1" s="46"/>
      <c r="AJ1" s="150" t="s">
        <v>111</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1395</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146</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147</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148</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149</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150</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151</v>
      </c>
      <c r="D11" s="46"/>
      <c r="E11" s="48"/>
      <c r="F11" s="48"/>
      <c r="G11" s="48"/>
      <c r="H11" s="48"/>
      <c r="I11" s="48"/>
      <c r="J11" s="48"/>
      <c r="K11" s="48"/>
      <c r="L11" s="48"/>
      <c r="M11" s="48"/>
      <c r="N11" s="106" t="s">
        <v>152</v>
      </c>
      <c r="O11" s="46"/>
      <c r="P11" s="46"/>
      <c r="Q11" s="46"/>
      <c r="R11" s="46"/>
      <c r="S11" s="46"/>
      <c r="T11" s="46"/>
      <c r="U11" s="46"/>
      <c r="AD11" s="46"/>
      <c r="AE11" s="46"/>
      <c r="AF11" s="46"/>
      <c r="AG11" s="46"/>
      <c r="AH11" s="46"/>
      <c r="AI11" s="46"/>
    </row>
    <row r="12" spans="1:83" ht="14.25" customHeight="1">
      <c r="B12" s="1198" t="s">
        <v>55</v>
      </c>
      <c r="C12" s="1291"/>
      <c r="D12" s="1291"/>
      <c r="E12" s="1291"/>
      <c r="F12" s="1291"/>
      <c r="G12" s="1291"/>
      <c r="H12" s="1291"/>
      <c r="I12" s="1291"/>
      <c r="J12" s="154"/>
      <c r="K12" s="1348" t="s">
        <v>153</v>
      </c>
      <c r="N12" s="1198" t="s">
        <v>55</v>
      </c>
      <c r="O12" s="1291"/>
      <c r="P12" s="1291"/>
      <c r="Q12" s="1291"/>
      <c r="R12" s="1291"/>
      <c r="S12" s="1291"/>
      <c r="T12" s="1291"/>
      <c r="U12" s="1291"/>
      <c r="V12" s="155"/>
      <c r="W12" s="1348" t="s">
        <v>153</v>
      </c>
    </row>
    <row r="13" spans="1:83" ht="14.25" customHeight="1">
      <c r="B13" s="1287"/>
      <c r="C13" s="1276"/>
      <c r="D13" s="1276"/>
      <c r="E13" s="1276"/>
      <c r="F13" s="1276"/>
      <c r="G13" s="1276"/>
      <c r="H13" s="1276"/>
      <c r="I13" s="1276"/>
      <c r="J13" s="1351" t="s">
        <v>126</v>
      </c>
      <c r="K13" s="1349"/>
      <c r="N13" s="1287"/>
      <c r="O13" s="1276"/>
      <c r="P13" s="1276"/>
      <c r="Q13" s="1276"/>
      <c r="R13" s="1276"/>
      <c r="S13" s="1276"/>
      <c r="T13" s="1276"/>
      <c r="U13" s="1276"/>
      <c r="V13" s="1351" t="s">
        <v>126</v>
      </c>
      <c r="W13" s="1349"/>
    </row>
    <row r="14" spans="1:83" ht="14.25" customHeight="1" thickBot="1">
      <c r="B14" s="1265"/>
      <c r="C14" s="1266"/>
      <c r="D14" s="1266"/>
      <c r="E14" s="1266"/>
      <c r="F14" s="1266"/>
      <c r="G14" s="1266"/>
      <c r="H14" s="1266"/>
      <c r="I14" s="1266"/>
      <c r="J14" s="1352"/>
      <c r="K14" s="1350"/>
      <c r="N14" s="1265"/>
      <c r="O14" s="1266"/>
      <c r="P14" s="1266"/>
      <c r="Q14" s="1266"/>
      <c r="R14" s="1266"/>
      <c r="S14" s="1266"/>
      <c r="T14" s="1266"/>
      <c r="U14" s="1266"/>
      <c r="V14" s="1352"/>
      <c r="W14" s="1350"/>
    </row>
    <row r="15" spans="1:83" ht="30" customHeight="1" thickTop="1">
      <c r="B15" s="1353" t="s">
        <v>154</v>
      </c>
      <c r="C15" s="1354"/>
      <c r="D15" s="1354"/>
      <c r="E15" s="1354"/>
      <c r="F15" s="1354"/>
      <c r="G15" s="1354"/>
      <c r="H15" s="1354"/>
      <c r="I15" s="1355"/>
      <c r="J15" s="156" t="s">
        <v>155</v>
      </c>
      <c r="K15" s="157"/>
      <c r="N15" s="158"/>
      <c r="O15" s="1173" t="s">
        <v>156</v>
      </c>
      <c r="P15" s="1173"/>
      <c r="Q15" s="1173"/>
      <c r="R15" s="1173"/>
      <c r="S15" s="1173"/>
      <c r="T15" s="1173"/>
      <c r="U15" s="145"/>
      <c r="V15" s="156" t="s">
        <v>157</v>
      </c>
      <c r="W15" s="157"/>
    </row>
    <row r="16" spans="1:83" ht="28.5" customHeight="1">
      <c r="B16" s="1356" t="s">
        <v>156</v>
      </c>
      <c r="C16" s="1357"/>
      <c r="D16" s="1357"/>
      <c r="E16" s="1357"/>
      <c r="F16" s="1357"/>
      <c r="G16" s="1357"/>
      <c r="H16" s="1357"/>
      <c r="I16" s="1358"/>
      <c r="J16" s="159" t="s">
        <v>155</v>
      </c>
      <c r="K16" s="160"/>
      <c r="N16" s="161"/>
      <c r="O16" s="1359" t="s">
        <v>158</v>
      </c>
      <c r="P16" s="1359"/>
      <c r="Q16" s="1359"/>
      <c r="R16" s="1359"/>
      <c r="S16" s="1359"/>
      <c r="T16" s="1359"/>
      <c r="U16" s="162"/>
      <c r="V16" s="159" t="s">
        <v>155</v>
      </c>
      <c r="W16" s="160"/>
    </row>
    <row r="17" spans="1:100" ht="28.5" customHeight="1">
      <c r="B17" s="1281" t="s">
        <v>158</v>
      </c>
      <c r="C17" s="1360"/>
      <c r="D17" s="1360"/>
      <c r="E17" s="1360"/>
      <c r="F17" s="1360"/>
      <c r="G17" s="1360"/>
      <c r="H17" s="1360"/>
      <c r="I17" s="1361"/>
      <c r="J17" s="159" t="s">
        <v>159</v>
      </c>
      <c r="K17" s="160"/>
      <c r="N17" s="161"/>
      <c r="O17" s="1359" t="s">
        <v>160</v>
      </c>
      <c r="P17" s="1359"/>
      <c r="Q17" s="1359"/>
      <c r="R17" s="1359"/>
      <c r="S17" s="1359"/>
      <c r="T17" s="1359"/>
      <c r="U17" s="162"/>
      <c r="V17" s="159" t="s">
        <v>155</v>
      </c>
      <c r="W17" s="160"/>
    </row>
    <row r="18" spans="1:100" ht="28.5" customHeight="1" thickBot="1">
      <c r="B18" s="1281" t="s">
        <v>160</v>
      </c>
      <c r="C18" s="1360"/>
      <c r="D18" s="1360"/>
      <c r="E18" s="1360"/>
      <c r="F18" s="1360"/>
      <c r="G18" s="1360"/>
      <c r="H18" s="1360"/>
      <c r="I18" s="1361"/>
      <c r="J18" s="159" t="s">
        <v>155</v>
      </c>
      <c r="K18" s="160"/>
      <c r="N18" s="163"/>
      <c r="O18" s="1362" t="s">
        <v>161</v>
      </c>
      <c r="P18" s="1362"/>
      <c r="Q18" s="1362"/>
      <c r="R18" s="1362"/>
      <c r="S18" s="1362"/>
      <c r="T18" s="1362"/>
      <c r="U18" s="164"/>
      <c r="V18" s="165" t="s">
        <v>157</v>
      </c>
      <c r="W18" s="160"/>
      <c r="CV18" s="143"/>
    </row>
    <row r="19" spans="1:100" ht="28.5" customHeight="1" thickTop="1" thickBot="1">
      <c r="B19" s="1363" t="s">
        <v>161</v>
      </c>
      <c r="C19" s="1364"/>
      <c r="D19" s="1364"/>
      <c r="E19" s="1364"/>
      <c r="F19" s="1364"/>
      <c r="G19" s="1364"/>
      <c r="H19" s="1364"/>
      <c r="I19" s="1365"/>
      <c r="J19" s="165" t="s">
        <v>159</v>
      </c>
      <c r="K19" s="160"/>
      <c r="N19" s="166"/>
      <c r="O19" s="1366" t="s">
        <v>162</v>
      </c>
      <c r="P19" s="1366"/>
      <c r="Q19" s="1366"/>
      <c r="R19" s="1366"/>
      <c r="S19" s="1366"/>
      <c r="T19" s="1366"/>
      <c r="U19" s="167"/>
      <c r="V19" s="168" t="s">
        <v>163</v>
      </c>
      <c r="W19" s="169"/>
    </row>
    <row r="20" spans="1:100" ht="28.5" customHeight="1" thickTop="1" thickBot="1">
      <c r="B20" s="1201" t="s">
        <v>162</v>
      </c>
      <c r="C20" s="1202"/>
      <c r="D20" s="1202"/>
      <c r="E20" s="1202"/>
      <c r="F20" s="1202"/>
      <c r="G20" s="1202"/>
      <c r="H20" s="1202"/>
      <c r="I20" s="1367"/>
      <c r="J20" s="168" t="s">
        <v>164</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1396</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1396</v>
      </c>
      <c r="BG23" s="152"/>
    </row>
    <row r="24" spans="1:100" ht="14.25" customHeight="1">
      <c r="B24" s="58" t="s">
        <v>1397</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165</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316" t="s">
        <v>55</v>
      </c>
      <c r="C26" s="1317"/>
      <c r="D26" s="1317"/>
      <c r="E26" s="1317"/>
      <c r="F26" s="1317"/>
      <c r="G26" s="1317"/>
      <c r="H26" s="1317"/>
      <c r="I26" s="1317"/>
      <c r="J26" s="1318"/>
      <c r="K26" s="1322" t="s">
        <v>166</v>
      </c>
      <c r="L26" s="1324" t="s">
        <v>167</v>
      </c>
      <c r="AD26" s="177"/>
      <c r="AE26" s="177"/>
      <c r="AI26" s="46"/>
      <c r="AJ26" s="1308" t="s">
        <v>55</v>
      </c>
      <c r="AK26" s="1335" t="s">
        <v>166</v>
      </c>
      <c r="AL26" s="179"/>
      <c r="AM26" s="1308" t="s">
        <v>167</v>
      </c>
      <c r="AQ26" s="178"/>
      <c r="BG26" s="152"/>
    </row>
    <row r="27" spans="1:100" ht="14.25" customHeight="1" thickBot="1">
      <c r="B27" s="1319"/>
      <c r="C27" s="1320"/>
      <c r="D27" s="1320"/>
      <c r="E27" s="1320"/>
      <c r="F27" s="1320"/>
      <c r="G27" s="1320"/>
      <c r="H27" s="1320"/>
      <c r="I27" s="1320"/>
      <c r="J27" s="1321"/>
      <c r="K27" s="1323"/>
      <c r="L27" s="1325"/>
      <c r="AD27" s="177"/>
      <c r="AE27" s="177"/>
      <c r="AI27" s="46"/>
      <c r="AJ27" s="1309"/>
      <c r="AK27" s="1336"/>
      <c r="AL27" s="180" t="s">
        <v>168</v>
      </c>
      <c r="AM27" s="1309"/>
      <c r="AQ27" s="178"/>
      <c r="BG27" s="152"/>
    </row>
    <row r="28" spans="1:100" ht="30" customHeight="1" thickTop="1">
      <c r="B28" s="1310" t="s">
        <v>169</v>
      </c>
      <c r="C28" s="1311"/>
      <c r="D28" s="1311"/>
      <c r="E28" s="1311"/>
      <c r="F28" s="1311"/>
      <c r="G28" s="1311"/>
      <c r="H28" s="1311"/>
      <c r="I28" s="1311"/>
      <c r="J28" s="1312"/>
      <c r="K28" s="181"/>
      <c r="L28" s="182"/>
      <c r="S28" s="183"/>
      <c r="T28" s="183"/>
      <c r="U28" s="183"/>
      <c r="V28" s="183"/>
      <c r="W28" s="183"/>
      <c r="X28" s="183"/>
      <c r="Y28" s="183"/>
      <c r="Z28" s="183"/>
      <c r="AA28" s="183"/>
      <c r="AB28" s="183"/>
      <c r="AC28" s="183"/>
      <c r="AD28" s="177"/>
      <c r="AE28" s="177"/>
      <c r="AI28" s="46"/>
      <c r="AJ28" s="184" t="s">
        <v>170</v>
      </c>
      <c r="AK28" s="185"/>
      <c r="AL28" s="186" t="str">
        <f>IF(AK28&lt;&gt;"",SUM(RIGHT(LEFT(AK28,3),2)),"")</f>
        <v/>
      </c>
      <c r="AM28" s="187">
        <f>L28</f>
        <v>0</v>
      </c>
      <c r="AQ28" s="178"/>
      <c r="BG28" s="152"/>
    </row>
    <row r="29" spans="1:100" ht="30" customHeight="1">
      <c r="B29" s="1313" t="s">
        <v>171</v>
      </c>
      <c r="C29" s="1314"/>
      <c r="D29" s="1314"/>
      <c r="E29" s="1314"/>
      <c r="F29" s="1314"/>
      <c r="G29" s="1314"/>
      <c r="H29" s="1314"/>
      <c r="I29" s="1314"/>
      <c r="J29" s="1315"/>
      <c r="K29" s="188"/>
      <c r="L29" s="189"/>
      <c r="S29" s="183"/>
      <c r="T29" s="183"/>
      <c r="U29" s="183"/>
      <c r="V29" s="183"/>
      <c r="W29" s="183"/>
      <c r="X29" s="183"/>
      <c r="Y29" s="183"/>
      <c r="Z29" s="183"/>
      <c r="AA29" s="183"/>
      <c r="AB29" s="183"/>
      <c r="AC29" s="183"/>
      <c r="AD29" s="177"/>
      <c r="AE29" s="177"/>
      <c r="AI29" s="46"/>
      <c r="AJ29" s="184" t="s">
        <v>172</v>
      </c>
      <c r="AK29" s="190"/>
      <c r="AL29" s="186" t="str">
        <f>IF(AK29&lt;&gt;"",SUM(RIGHT(LEFT(AK29,3),2)),"")</f>
        <v/>
      </c>
      <c r="AM29" s="187">
        <f>L29</f>
        <v>0</v>
      </c>
      <c r="BG29" s="152"/>
    </row>
    <row r="30" spans="1:100" ht="30" customHeight="1">
      <c r="B30" s="1313" t="s">
        <v>173</v>
      </c>
      <c r="C30" s="1314"/>
      <c r="D30" s="1314"/>
      <c r="E30" s="1314"/>
      <c r="F30" s="1314"/>
      <c r="G30" s="1314"/>
      <c r="H30" s="1314"/>
      <c r="I30" s="1314"/>
      <c r="J30" s="1315"/>
      <c r="K30" s="188"/>
      <c r="L30" s="189"/>
      <c r="S30" s="183"/>
      <c r="T30" s="183"/>
      <c r="U30" s="183"/>
      <c r="V30" s="183"/>
      <c r="W30" s="183"/>
      <c r="X30" s="183"/>
      <c r="Y30" s="183"/>
      <c r="Z30" s="183"/>
      <c r="AA30" s="183"/>
      <c r="AB30" s="183"/>
      <c r="AC30" s="183"/>
      <c r="AD30" s="177"/>
      <c r="AE30" s="177"/>
      <c r="AI30" s="46"/>
      <c r="AJ30" s="184" t="s">
        <v>174</v>
      </c>
      <c r="AK30" s="190"/>
      <c r="AL30" s="186" t="str">
        <f t="shared" ref="AL30:AL32" si="0">IF(AK30&lt;&gt;"",SUM(RIGHT(LEFT(AK30,3),2)),"")</f>
        <v/>
      </c>
      <c r="AM30" s="187">
        <f>L30</f>
        <v>0</v>
      </c>
      <c r="BG30" s="152"/>
    </row>
    <row r="31" spans="1:100" ht="30" customHeight="1">
      <c r="B31" s="1313" t="s">
        <v>175</v>
      </c>
      <c r="C31" s="1314"/>
      <c r="D31" s="1314"/>
      <c r="E31" s="1314"/>
      <c r="F31" s="1314"/>
      <c r="G31" s="1314"/>
      <c r="H31" s="1314"/>
      <c r="I31" s="1314"/>
      <c r="J31" s="1315"/>
      <c r="K31" s="188"/>
      <c r="L31" s="189"/>
      <c r="S31" s="183"/>
      <c r="T31" s="183"/>
      <c r="U31" s="183"/>
      <c r="V31" s="183"/>
      <c r="W31" s="183"/>
      <c r="X31" s="183"/>
      <c r="Y31" s="183"/>
      <c r="Z31" s="183"/>
      <c r="AA31" s="183"/>
      <c r="AB31" s="183"/>
      <c r="AC31" s="183"/>
      <c r="AD31" s="177"/>
      <c r="AE31" s="177"/>
      <c r="AI31" s="46"/>
      <c r="AJ31" s="184" t="s">
        <v>176</v>
      </c>
      <c r="AK31" s="190"/>
      <c r="AL31" s="186" t="str">
        <f t="shared" si="0"/>
        <v/>
      </c>
      <c r="AM31" s="187">
        <f>L31</f>
        <v>0</v>
      </c>
      <c r="BG31" s="152"/>
    </row>
    <row r="32" spans="1:100" s="30" customFormat="1" ht="30" customHeight="1" thickBot="1">
      <c r="A32" s="2"/>
      <c r="B32" s="1319" t="s">
        <v>177</v>
      </c>
      <c r="C32" s="1320"/>
      <c r="D32" s="1320"/>
      <c r="E32" s="1320"/>
      <c r="F32" s="1320"/>
      <c r="G32" s="1320"/>
      <c r="H32" s="1320"/>
      <c r="I32" s="1320"/>
      <c r="J32" s="1337"/>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178</v>
      </c>
      <c r="AK32" s="193"/>
      <c r="AL32" s="186" t="str">
        <f t="shared" si="0"/>
        <v/>
      </c>
      <c r="AM32" s="187">
        <f>L32</f>
        <v>0</v>
      </c>
      <c r="AN32" s="2"/>
      <c r="AO32" s="2"/>
      <c r="AP32" s="2"/>
    </row>
    <row r="33" spans="1:42" ht="14.25" customHeight="1">
      <c r="B33" s="177" t="s">
        <v>1398</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179</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1399</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38" t="s">
        <v>55</v>
      </c>
      <c r="C39" s="1339"/>
      <c r="D39" s="1339"/>
      <c r="E39" s="1339"/>
      <c r="F39" s="1339"/>
      <c r="G39" s="1339"/>
      <c r="H39" s="1339"/>
      <c r="I39" s="1339"/>
      <c r="J39" s="1340"/>
      <c r="K39" s="1344" t="s">
        <v>180</v>
      </c>
      <c r="L39" s="1346" t="s">
        <v>181</v>
      </c>
      <c r="AI39" s="46"/>
      <c r="AJ39" s="30"/>
    </row>
    <row r="40" spans="1:42" ht="14.25" customHeight="1" thickBot="1">
      <c r="B40" s="1341"/>
      <c r="C40" s="1342"/>
      <c r="D40" s="1342"/>
      <c r="E40" s="1342"/>
      <c r="F40" s="1342"/>
      <c r="G40" s="1342"/>
      <c r="H40" s="1342"/>
      <c r="I40" s="1342"/>
      <c r="J40" s="1343"/>
      <c r="K40" s="1345"/>
      <c r="L40" s="1347"/>
      <c r="AI40" s="46"/>
      <c r="AJ40" s="30"/>
    </row>
    <row r="41" spans="1:42" ht="30" hidden="1" customHeight="1" thickTop="1">
      <c r="B41" s="1332"/>
      <c r="C41" s="1333"/>
      <c r="D41" s="1333"/>
      <c r="E41" s="1333"/>
      <c r="F41" s="1333"/>
      <c r="G41" s="1333"/>
      <c r="H41" s="1333"/>
      <c r="I41" s="1333"/>
      <c r="J41" s="1334"/>
      <c r="K41" s="1101"/>
      <c r="L41" s="1102"/>
      <c r="AI41" s="46"/>
      <c r="AJ41" s="30"/>
    </row>
    <row r="42" spans="1:42" ht="30" hidden="1" customHeight="1">
      <c r="B42" s="1329"/>
      <c r="C42" s="1330"/>
      <c r="D42" s="1330"/>
      <c r="E42" s="1330"/>
      <c r="F42" s="1330"/>
      <c r="G42" s="1330"/>
      <c r="H42" s="1330"/>
      <c r="I42" s="1330"/>
      <c r="J42" s="1331"/>
      <c r="K42" s="1103"/>
      <c r="L42" s="1104"/>
      <c r="AI42" s="46"/>
    </row>
    <row r="43" spans="1:42" ht="30" hidden="1" customHeight="1">
      <c r="B43" s="1329"/>
      <c r="C43" s="1330"/>
      <c r="D43" s="1330"/>
      <c r="E43" s="1330"/>
      <c r="F43" s="1330"/>
      <c r="G43" s="1330"/>
      <c r="H43" s="1330"/>
      <c r="I43" s="1330"/>
      <c r="J43" s="1331"/>
      <c r="K43" s="1103"/>
      <c r="L43" s="1104"/>
      <c r="AI43" s="46"/>
    </row>
    <row r="44" spans="1:42" ht="30" hidden="1" customHeight="1">
      <c r="B44" s="1329"/>
      <c r="C44" s="1330"/>
      <c r="D44" s="1330"/>
      <c r="E44" s="1330"/>
      <c r="F44" s="1330"/>
      <c r="G44" s="1330"/>
      <c r="H44" s="1330"/>
      <c r="I44" s="1330"/>
      <c r="J44" s="1331"/>
      <c r="K44" s="1103"/>
      <c r="L44" s="1104"/>
      <c r="AI44" s="46"/>
    </row>
    <row r="45" spans="1:42" ht="30" hidden="1" customHeight="1">
      <c r="B45" s="1329"/>
      <c r="C45" s="1330"/>
      <c r="D45" s="1330"/>
      <c r="E45" s="1330"/>
      <c r="F45" s="1330"/>
      <c r="G45" s="1330"/>
      <c r="H45" s="1330"/>
      <c r="I45" s="1330"/>
      <c r="J45" s="1331"/>
      <c r="K45" s="1103"/>
      <c r="L45" s="1104"/>
    </row>
    <row r="46" spans="1:42" ht="30" hidden="1" customHeight="1">
      <c r="B46" s="1329"/>
      <c r="C46" s="1330"/>
      <c r="D46" s="1330"/>
      <c r="E46" s="1330"/>
      <c r="F46" s="1330"/>
      <c r="G46" s="1330"/>
      <c r="H46" s="1330"/>
      <c r="I46" s="1330"/>
      <c r="J46" s="1331"/>
      <c r="K46" s="1103"/>
      <c r="L46" s="1104"/>
    </row>
    <row r="47" spans="1:42" ht="30" hidden="1" customHeight="1">
      <c r="B47" s="1329"/>
      <c r="C47" s="1330"/>
      <c r="D47" s="1330"/>
      <c r="E47" s="1330"/>
      <c r="F47" s="1330"/>
      <c r="G47" s="1330"/>
      <c r="H47" s="1330"/>
      <c r="I47" s="1330"/>
      <c r="J47" s="1331"/>
      <c r="K47" s="1103"/>
      <c r="L47" s="1104"/>
    </row>
    <row r="48" spans="1:42" ht="30" hidden="1" customHeight="1">
      <c r="B48" s="1329"/>
      <c r="C48" s="1330"/>
      <c r="D48" s="1330"/>
      <c r="E48" s="1330"/>
      <c r="F48" s="1330"/>
      <c r="G48" s="1330"/>
      <c r="H48" s="1330"/>
      <c r="I48" s="1330"/>
      <c r="J48" s="1331"/>
      <c r="K48" s="1103"/>
      <c r="L48" s="1104"/>
    </row>
    <row r="49" spans="2:12" ht="30" hidden="1" customHeight="1">
      <c r="B49" s="1329"/>
      <c r="C49" s="1330"/>
      <c r="D49" s="1330"/>
      <c r="E49" s="1330"/>
      <c r="F49" s="1330"/>
      <c r="G49" s="1330"/>
      <c r="H49" s="1330"/>
      <c r="I49" s="1330"/>
      <c r="J49" s="1331"/>
      <c r="K49" s="1103"/>
      <c r="L49" s="1104"/>
    </row>
    <row r="50" spans="2:12" ht="30" hidden="1" customHeight="1">
      <c r="B50" s="1329"/>
      <c r="C50" s="1330"/>
      <c r="D50" s="1330"/>
      <c r="E50" s="1330"/>
      <c r="F50" s="1330"/>
      <c r="G50" s="1330"/>
      <c r="H50" s="1330"/>
      <c r="I50" s="1330"/>
      <c r="J50" s="1331"/>
      <c r="K50" s="1103"/>
      <c r="L50" s="1104"/>
    </row>
    <row r="51" spans="2:12" ht="30" hidden="1" customHeight="1">
      <c r="B51" s="1329"/>
      <c r="C51" s="1330"/>
      <c r="D51" s="1330"/>
      <c r="E51" s="1330"/>
      <c r="F51" s="1330"/>
      <c r="G51" s="1330"/>
      <c r="H51" s="1330"/>
      <c r="I51" s="1330"/>
      <c r="J51" s="1331"/>
      <c r="K51" s="1103"/>
      <c r="L51" s="1104"/>
    </row>
    <row r="52" spans="2:12" ht="30" hidden="1" customHeight="1">
      <c r="B52" s="1329"/>
      <c r="C52" s="1330"/>
      <c r="D52" s="1330"/>
      <c r="E52" s="1330"/>
      <c r="F52" s="1330"/>
      <c r="G52" s="1330"/>
      <c r="H52" s="1330"/>
      <c r="I52" s="1330"/>
      <c r="J52" s="1331"/>
      <c r="K52" s="1103"/>
      <c r="L52" s="1104"/>
    </row>
    <row r="53" spans="2:12" ht="30" hidden="1" customHeight="1">
      <c r="B53" s="1329"/>
      <c r="C53" s="1330"/>
      <c r="D53" s="1330"/>
      <c r="E53" s="1330"/>
      <c r="F53" s="1330"/>
      <c r="G53" s="1330"/>
      <c r="H53" s="1330"/>
      <c r="I53" s="1330"/>
      <c r="J53" s="1331"/>
      <c r="K53" s="1103"/>
      <c r="L53" s="1104"/>
    </row>
    <row r="54" spans="2:12" ht="30" hidden="1" customHeight="1">
      <c r="B54" s="1329"/>
      <c r="C54" s="1330"/>
      <c r="D54" s="1330"/>
      <c r="E54" s="1330"/>
      <c r="F54" s="1330"/>
      <c r="G54" s="1330"/>
      <c r="H54" s="1330"/>
      <c r="I54" s="1330"/>
      <c r="J54" s="1331"/>
      <c r="K54" s="1103"/>
      <c r="L54" s="1104"/>
    </row>
    <row r="55" spans="2:12" ht="30" hidden="1" customHeight="1">
      <c r="B55" s="1329"/>
      <c r="C55" s="1330"/>
      <c r="D55" s="1330"/>
      <c r="E55" s="1330"/>
      <c r="F55" s="1330"/>
      <c r="G55" s="1330"/>
      <c r="H55" s="1330"/>
      <c r="I55" s="1330"/>
      <c r="J55" s="1331"/>
      <c r="K55" s="1103"/>
      <c r="L55" s="1104"/>
    </row>
    <row r="56" spans="2:12" ht="30" hidden="1" customHeight="1">
      <c r="B56" s="1329"/>
      <c r="C56" s="1330"/>
      <c r="D56" s="1330"/>
      <c r="E56" s="1330"/>
      <c r="F56" s="1330"/>
      <c r="G56" s="1330"/>
      <c r="H56" s="1330"/>
      <c r="I56" s="1330"/>
      <c r="J56" s="1331"/>
      <c r="K56" s="1103"/>
      <c r="L56" s="1104"/>
    </row>
    <row r="57" spans="2:12" ht="30" hidden="1" customHeight="1">
      <c r="B57" s="1329"/>
      <c r="C57" s="1330"/>
      <c r="D57" s="1330"/>
      <c r="E57" s="1330"/>
      <c r="F57" s="1330"/>
      <c r="G57" s="1330"/>
      <c r="H57" s="1330"/>
      <c r="I57" s="1330"/>
      <c r="J57" s="1331"/>
      <c r="K57" s="1103"/>
      <c r="L57" s="1104"/>
    </row>
    <row r="58" spans="2:12" ht="30" hidden="1" customHeight="1">
      <c r="B58" s="1329"/>
      <c r="C58" s="1330"/>
      <c r="D58" s="1330"/>
      <c r="E58" s="1330"/>
      <c r="F58" s="1330"/>
      <c r="G58" s="1330"/>
      <c r="H58" s="1330"/>
      <c r="I58" s="1330"/>
      <c r="J58" s="1331"/>
      <c r="K58" s="1103"/>
      <c r="L58" s="1104"/>
    </row>
    <row r="59" spans="2:12" ht="30" hidden="1" customHeight="1">
      <c r="B59" s="1329"/>
      <c r="C59" s="1330"/>
      <c r="D59" s="1330"/>
      <c r="E59" s="1330"/>
      <c r="F59" s="1330"/>
      <c r="G59" s="1330"/>
      <c r="H59" s="1330"/>
      <c r="I59" s="1330"/>
      <c r="J59" s="1331"/>
      <c r="K59" s="1103"/>
      <c r="L59" s="1104"/>
    </row>
    <row r="60" spans="2:12" ht="30" hidden="1" customHeight="1">
      <c r="B60" s="1329"/>
      <c r="C60" s="1330"/>
      <c r="D60" s="1330"/>
      <c r="E60" s="1330"/>
      <c r="F60" s="1330"/>
      <c r="G60" s="1330"/>
      <c r="H60" s="1330"/>
      <c r="I60" s="1330"/>
      <c r="J60" s="1331"/>
      <c r="K60" s="1103"/>
      <c r="L60" s="1104"/>
    </row>
    <row r="61" spans="2:12" ht="30" hidden="1" customHeight="1">
      <c r="B61" s="1329"/>
      <c r="C61" s="1330"/>
      <c r="D61" s="1330"/>
      <c r="E61" s="1330"/>
      <c r="F61" s="1330"/>
      <c r="G61" s="1330"/>
      <c r="H61" s="1330"/>
      <c r="I61" s="1330"/>
      <c r="J61" s="1331"/>
      <c r="K61" s="1103"/>
      <c r="L61" s="1104"/>
    </row>
    <row r="62" spans="2:12" ht="30" hidden="1" customHeight="1">
      <c r="B62" s="1329"/>
      <c r="C62" s="1330"/>
      <c r="D62" s="1330"/>
      <c r="E62" s="1330"/>
      <c r="F62" s="1330"/>
      <c r="G62" s="1330"/>
      <c r="H62" s="1330"/>
      <c r="I62" s="1330"/>
      <c r="J62" s="1331"/>
      <c r="K62" s="1103"/>
      <c r="L62" s="1104"/>
    </row>
    <row r="63" spans="2:12" ht="30" hidden="1" customHeight="1">
      <c r="B63" s="1329"/>
      <c r="C63" s="1330"/>
      <c r="D63" s="1330"/>
      <c r="E63" s="1330"/>
      <c r="F63" s="1330"/>
      <c r="G63" s="1330"/>
      <c r="H63" s="1330"/>
      <c r="I63" s="1330"/>
      <c r="J63" s="1331"/>
      <c r="K63" s="1103"/>
      <c r="L63" s="1104"/>
    </row>
    <row r="64" spans="2:12" ht="30" hidden="1" customHeight="1">
      <c r="B64" s="1329"/>
      <c r="C64" s="1330"/>
      <c r="D64" s="1330"/>
      <c r="E64" s="1330"/>
      <c r="F64" s="1330"/>
      <c r="G64" s="1330"/>
      <c r="H64" s="1330"/>
      <c r="I64" s="1330"/>
      <c r="J64" s="1331"/>
      <c r="K64" s="1103"/>
      <c r="L64" s="1104"/>
    </row>
    <row r="65" spans="2:12" ht="30" hidden="1" customHeight="1">
      <c r="B65" s="1329"/>
      <c r="C65" s="1330"/>
      <c r="D65" s="1330"/>
      <c r="E65" s="1330"/>
      <c r="F65" s="1330"/>
      <c r="G65" s="1330"/>
      <c r="H65" s="1330"/>
      <c r="I65" s="1330"/>
      <c r="J65" s="1331"/>
      <c r="K65" s="1103"/>
      <c r="L65" s="1104"/>
    </row>
    <row r="66" spans="2:12" ht="30" hidden="1" customHeight="1">
      <c r="B66" s="1329"/>
      <c r="C66" s="1330"/>
      <c r="D66" s="1330"/>
      <c r="E66" s="1330"/>
      <c r="F66" s="1330"/>
      <c r="G66" s="1330"/>
      <c r="H66" s="1330"/>
      <c r="I66" s="1330"/>
      <c r="J66" s="1331"/>
      <c r="K66" s="1103"/>
      <c r="L66" s="1104"/>
    </row>
    <row r="67" spans="2:12" ht="30" hidden="1" customHeight="1">
      <c r="B67" s="1329"/>
      <c r="C67" s="1330"/>
      <c r="D67" s="1330"/>
      <c r="E67" s="1330"/>
      <c r="F67" s="1330"/>
      <c r="G67" s="1330"/>
      <c r="H67" s="1330"/>
      <c r="I67" s="1330"/>
      <c r="J67" s="1331"/>
      <c r="K67" s="1103"/>
      <c r="L67" s="1104"/>
    </row>
    <row r="68" spans="2:12" ht="30" hidden="1" customHeight="1">
      <c r="B68" s="1329"/>
      <c r="C68" s="1330"/>
      <c r="D68" s="1330"/>
      <c r="E68" s="1330"/>
      <c r="F68" s="1330"/>
      <c r="G68" s="1330"/>
      <c r="H68" s="1330"/>
      <c r="I68" s="1330"/>
      <c r="J68" s="1331"/>
      <c r="K68" s="1103"/>
      <c r="L68" s="1104"/>
    </row>
    <row r="69" spans="2:12" ht="30" hidden="1" customHeight="1">
      <c r="B69" s="1329"/>
      <c r="C69" s="1330"/>
      <c r="D69" s="1330"/>
      <c r="E69" s="1330"/>
      <c r="F69" s="1330"/>
      <c r="G69" s="1330"/>
      <c r="H69" s="1330"/>
      <c r="I69" s="1330"/>
      <c r="J69" s="1331"/>
      <c r="K69" s="1103"/>
      <c r="L69" s="1104"/>
    </row>
    <row r="70" spans="2:12" ht="30" hidden="1" customHeight="1">
      <c r="B70" s="1329"/>
      <c r="C70" s="1330"/>
      <c r="D70" s="1330"/>
      <c r="E70" s="1330"/>
      <c r="F70" s="1330"/>
      <c r="G70" s="1330"/>
      <c r="H70" s="1330"/>
      <c r="I70" s="1330"/>
      <c r="J70" s="1331"/>
      <c r="K70" s="1103"/>
      <c r="L70" s="1104"/>
    </row>
    <row r="71" spans="2:12" ht="30" hidden="1" customHeight="1">
      <c r="B71" s="1329"/>
      <c r="C71" s="1330"/>
      <c r="D71" s="1330"/>
      <c r="E71" s="1330"/>
      <c r="F71" s="1330"/>
      <c r="G71" s="1330"/>
      <c r="H71" s="1330"/>
      <c r="I71" s="1330"/>
      <c r="J71" s="1331"/>
      <c r="K71" s="1103"/>
      <c r="L71" s="1104"/>
    </row>
    <row r="72" spans="2:12" ht="30" hidden="1" customHeight="1">
      <c r="B72" s="1329"/>
      <c r="C72" s="1330"/>
      <c r="D72" s="1330"/>
      <c r="E72" s="1330"/>
      <c r="F72" s="1330"/>
      <c r="G72" s="1330"/>
      <c r="H72" s="1330"/>
      <c r="I72" s="1330"/>
      <c r="J72" s="1331"/>
      <c r="K72" s="1103"/>
      <c r="L72" s="1104"/>
    </row>
    <row r="73" spans="2:12" ht="30" hidden="1" customHeight="1">
      <c r="B73" s="1329"/>
      <c r="C73" s="1330"/>
      <c r="D73" s="1330"/>
      <c r="E73" s="1330"/>
      <c r="F73" s="1330"/>
      <c r="G73" s="1330"/>
      <c r="H73" s="1330"/>
      <c r="I73" s="1330"/>
      <c r="J73" s="1331"/>
      <c r="K73" s="1103"/>
      <c r="L73" s="1104"/>
    </row>
    <row r="74" spans="2:12" ht="30" hidden="1" customHeight="1">
      <c r="B74" s="1329"/>
      <c r="C74" s="1330"/>
      <c r="D74" s="1330"/>
      <c r="E74" s="1330"/>
      <c r="F74" s="1330"/>
      <c r="G74" s="1330"/>
      <c r="H74" s="1330"/>
      <c r="I74" s="1330"/>
      <c r="J74" s="1331"/>
      <c r="K74" s="1103"/>
      <c r="L74" s="1104"/>
    </row>
    <row r="75" spans="2:12" ht="30" hidden="1" customHeight="1">
      <c r="B75" s="1329"/>
      <c r="C75" s="1330"/>
      <c r="D75" s="1330"/>
      <c r="E75" s="1330"/>
      <c r="F75" s="1330"/>
      <c r="G75" s="1330"/>
      <c r="H75" s="1330"/>
      <c r="I75" s="1330"/>
      <c r="J75" s="1331"/>
      <c r="K75" s="1103"/>
      <c r="L75" s="1104"/>
    </row>
    <row r="76" spans="2:12" ht="30" hidden="1" customHeight="1">
      <c r="B76" s="1329"/>
      <c r="C76" s="1330"/>
      <c r="D76" s="1330"/>
      <c r="E76" s="1330"/>
      <c r="F76" s="1330"/>
      <c r="G76" s="1330"/>
      <c r="H76" s="1330"/>
      <c r="I76" s="1330"/>
      <c r="J76" s="1331"/>
      <c r="K76" s="1103"/>
      <c r="L76" s="1104"/>
    </row>
    <row r="77" spans="2:12" ht="30" hidden="1" customHeight="1">
      <c r="B77" s="1329"/>
      <c r="C77" s="1330"/>
      <c r="D77" s="1330"/>
      <c r="E77" s="1330"/>
      <c r="F77" s="1330"/>
      <c r="G77" s="1330"/>
      <c r="H77" s="1330"/>
      <c r="I77" s="1330"/>
      <c r="J77" s="1331"/>
      <c r="K77" s="1103"/>
      <c r="L77" s="1104"/>
    </row>
    <row r="78" spans="2:12" ht="30" hidden="1" customHeight="1">
      <c r="B78" s="1329"/>
      <c r="C78" s="1330"/>
      <c r="D78" s="1330"/>
      <c r="E78" s="1330"/>
      <c r="F78" s="1330"/>
      <c r="G78" s="1330"/>
      <c r="H78" s="1330"/>
      <c r="I78" s="1330"/>
      <c r="J78" s="1331"/>
      <c r="K78" s="1103"/>
      <c r="L78" s="1104"/>
    </row>
    <row r="79" spans="2:12" ht="30" hidden="1" customHeight="1">
      <c r="B79" s="1329"/>
      <c r="C79" s="1330"/>
      <c r="D79" s="1330"/>
      <c r="E79" s="1330"/>
      <c r="F79" s="1330"/>
      <c r="G79" s="1330"/>
      <c r="H79" s="1330"/>
      <c r="I79" s="1330"/>
      <c r="J79" s="1331"/>
      <c r="K79" s="1103"/>
      <c r="L79" s="1104"/>
    </row>
    <row r="80" spans="2:12" ht="30" hidden="1" customHeight="1">
      <c r="B80" s="1329"/>
      <c r="C80" s="1330"/>
      <c r="D80" s="1330"/>
      <c r="E80" s="1330"/>
      <c r="F80" s="1330"/>
      <c r="G80" s="1330"/>
      <c r="H80" s="1330"/>
      <c r="I80" s="1330"/>
      <c r="J80" s="1331"/>
      <c r="K80" s="1103"/>
      <c r="L80" s="1104"/>
    </row>
    <row r="81" spans="2:12" ht="30" hidden="1" customHeight="1">
      <c r="B81" s="1329"/>
      <c r="C81" s="1330"/>
      <c r="D81" s="1330"/>
      <c r="E81" s="1330"/>
      <c r="F81" s="1330"/>
      <c r="G81" s="1330"/>
      <c r="H81" s="1330"/>
      <c r="I81" s="1330"/>
      <c r="J81" s="1331"/>
      <c r="K81" s="1103"/>
      <c r="L81" s="1104"/>
    </row>
    <row r="82" spans="2:12" ht="30" hidden="1" customHeight="1">
      <c r="B82" s="1329"/>
      <c r="C82" s="1330"/>
      <c r="D82" s="1330"/>
      <c r="E82" s="1330"/>
      <c r="F82" s="1330"/>
      <c r="G82" s="1330"/>
      <c r="H82" s="1330"/>
      <c r="I82" s="1330"/>
      <c r="J82" s="1331"/>
      <c r="K82" s="1103"/>
      <c r="L82" s="1104"/>
    </row>
    <row r="83" spans="2:12" ht="30" hidden="1" customHeight="1">
      <c r="B83" s="1329"/>
      <c r="C83" s="1330"/>
      <c r="D83" s="1330"/>
      <c r="E83" s="1330"/>
      <c r="F83" s="1330"/>
      <c r="G83" s="1330"/>
      <c r="H83" s="1330"/>
      <c r="I83" s="1330"/>
      <c r="J83" s="1331"/>
      <c r="K83" s="1103"/>
      <c r="L83" s="1104"/>
    </row>
    <row r="84" spans="2:12" ht="30" hidden="1" customHeight="1">
      <c r="B84" s="1329"/>
      <c r="C84" s="1330"/>
      <c r="D84" s="1330"/>
      <c r="E84" s="1330"/>
      <c r="F84" s="1330"/>
      <c r="G84" s="1330"/>
      <c r="H84" s="1330"/>
      <c r="I84" s="1330"/>
      <c r="J84" s="1331"/>
      <c r="K84" s="1103"/>
      <c r="L84" s="1104"/>
    </row>
    <row r="85" spans="2:12" ht="30" hidden="1" customHeight="1">
      <c r="B85" s="1329"/>
      <c r="C85" s="1330"/>
      <c r="D85" s="1330"/>
      <c r="E85" s="1330"/>
      <c r="F85" s="1330"/>
      <c r="G85" s="1330"/>
      <c r="H85" s="1330"/>
      <c r="I85" s="1330"/>
      <c r="J85" s="1331"/>
      <c r="K85" s="1103"/>
      <c r="L85" s="1104"/>
    </row>
    <row r="86" spans="2:12" ht="30" hidden="1" customHeight="1">
      <c r="B86" s="1329"/>
      <c r="C86" s="1330"/>
      <c r="D86" s="1330"/>
      <c r="E86" s="1330"/>
      <c r="F86" s="1330"/>
      <c r="G86" s="1330"/>
      <c r="H86" s="1330"/>
      <c r="I86" s="1330"/>
      <c r="J86" s="1331"/>
      <c r="K86" s="1103"/>
      <c r="L86" s="1104"/>
    </row>
    <row r="87" spans="2:12" ht="30" hidden="1" customHeight="1">
      <c r="B87" s="1329"/>
      <c r="C87" s="1330"/>
      <c r="D87" s="1330"/>
      <c r="E87" s="1330"/>
      <c r="F87" s="1330"/>
      <c r="G87" s="1330"/>
      <c r="H87" s="1330"/>
      <c r="I87" s="1330"/>
      <c r="J87" s="1331"/>
      <c r="K87" s="1103"/>
      <c r="L87" s="1104"/>
    </row>
    <row r="88" spans="2:12" ht="30" hidden="1" customHeight="1">
      <c r="B88" s="1329"/>
      <c r="C88" s="1330"/>
      <c r="D88" s="1330"/>
      <c r="E88" s="1330"/>
      <c r="F88" s="1330"/>
      <c r="G88" s="1330"/>
      <c r="H88" s="1330"/>
      <c r="I88" s="1330"/>
      <c r="J88" s="1331"/>
      <c r="K88" s="1103"/>
      <c r="L88" s="1104"/>
    </row>
    <row r="89" spans="2:12" ht="30" hidden="1" customHeight="1">
      <c r="B89" s="1329"/>
      <c r="C89" s="1330"/>
      <c r="D89" s="1330"/>
      <c r="E89" s="1330"/>
      <c r="F89" s="1330"/>
      <c r="G89" s="1330"/>
      <c r="H89" s="1330"/>
      <c r="I89" s="1330"/>
      <c r="J89" s="1331"/>
      <c r="K89" s="1103"/>
      <c r="L89" s="1104"/>
    </row>
    <row r="90" spans="2:12" ht="30" hidden="1" customHeight="1">
      <c r="B90" s="1329"/>
      <c r="C90" s="1330"/>
      <c r="D90" s="1330"/>
      <c r="E90" s="1330"/>
      <c r="F90" s="1330"/>
      <c r="G90" s="1330"/>
      <c r="H90" s="1330"/>
      <c r="I90" s="1330"/>
      <c r="J90" s="1331"/>
      <c r="K90" s="1103"/>
      <c r="L90" s="1104"/>
    </row>
    <row r="91" spans="2:12" ht="30" hidden="1" customHeight="1">
      <c r="B91" s="1329"/>
      <c r="C91" s="1330"/>
      <c r="D91" s="1330"/>
      <c r="E91" s="1330"/>
      <c r="F91" s="1330"/>
      <c r="G91" s="1330"/>
      <c r="H91" s="1330"/>
      <c r="I91" s="1330"/>
      <c r="J91" s="1331"/>
      <c r="K91" s="1103"/>
      <c r="L91" s="1104"/>
    </row>
    <row r="92" spans="2:12" ht="30" hidden="1" customHeight="1">
      <c r="B92" s="1329"/>
      <c r="C92" s="1330"/>
      <c r="D92" s="1330"/>
      <c r="E92" s="1330"/>
      <c r="F92" s="1330"/>
      <c r="G92" s="1330"/>
      <c r="H92" s="1330"/>
      <c r="I92" s="1330"/>
      <c r="J92" s="1331"/>
      <c r="K92" s="1103"/>
      <c r="L92" s="1104"/>
    </row>
    <row r="93" spans="2:12" ht="30" hidden="1" customHeight="1">
      <c r="B93" s="1329"/>
      <c r="C93" s="1330"/>
      <c r="D93" s="1330"/>
      <c r="E93" s="1330"/>
      <c r="F93" s="1330"/>
      <c r="G93" s="1330"/>
      <c r="H93" s="1330"/>
      <c r="I93" s="1330"/>
      <c r="J93" s="1331"/>
      <c r="K93" s="1103"/>
      <c r="L93" s="1104"/>
    </row>
    <row r="94" spans="2:12" ht="30" hidden="1" customHeight="1">
      <c r="B94" s="1329"/>
      <c r="C94" s="1330"/>
      <c r="D94" s="1330"/>
      <c r="E94" s="1330"/>
      <c r="F94" s="1330"/>
      <c r="G94" s="1330"/>
      <c r="H94" s="1330"/>
      <c r="I94" s="1330"/>
      <c r="J94" s="1331"/>
      <c r="K94" s="1103"/>
      <c r="L94" s="1104"/>
    </row>
    <row r="95" spans="2:12" ht="30" hidden="1" customHeight="1">
      <c r="B95" s="1329"/>
      <c r="C95" s="1330"/>
      <c r="D95" s="1330"/>
      <c r="E95" s="1330"/>
      <c r="F95" s="1330"/>
      <c r="G95" s="1330"/>
      <c r="H95" s="1330"/>
      <c r="I95" s="1330"/>
      <c r="J95" s="1331"/>
      <c r="K95" s="1103"/>
      <c r="L95" s="1104"/>
    </row>
    <row r="96" spans="2:12" ht="30" hidden="1" customHeight="1">
      <c r="B96" s="1329"/>
      <c r="C96" s="1330"/>
      <c r="D96" s="1330"/>
      <c r="E96" s="1330"/>
      <c r="F96" s="1330"/>
      <c r="G96" s="1330"/>
      <c r="H96" s="1330"/>
      <c r="I96" s="1330"/>
      <c r="J96" s="1331"/>
      <c r="K96" s="1103"/>
      <c r="L96" s="1104"/>
    </row>
    <row r="97" spans="2:12" ht="30" hidden="1" customHeight="1">
      <c r="B97" s="1329"/>
      <c r="C97" s="1330"/>
      <c r="D97" s="1330"/>
      <c r="E97" s="1330"/>
      <c r="F97" s="1330"/>
      <c r="G97" s="1330"/>
      <c r="H97" s="1330"/>
      <c r="I97" s="1330"/>
      <c r="J97" s="1331"/>
      <c r="K97" s="1103"/>
      <c r="L97" s="1104"/>
    </row>
    <row r="98" spans="2:12" ht="30" hidden="1" customHeight="1">
      <c r="B98" s="1329"/>
      <c r="C98" s="1330"/>
      <c r="D98" s="1330"/>
      <c r="E98" s="1330"/>
      <c r="F98" s="1330"/>
      <c r="G98" s="1330"/>
      <c r="H98" s="1330"/>
      <c r="I98" s="1330"/>
      <c r="J98" s="1331"/>
      <c r="K98" s="1103"/>
      <c r="L98" s="1104"/>
    </row>
    <row r="99" spans="2:12" ht="30" hidden="1" customHeight="1">
      <c r="B99" s="1329"/>
      <c r="C99" s="1330"/>
      <c r="D99" s="1330"/>
      <c r="E99" s="1330"/>
      <c r="F99" s="1330"/>
      <c r="G99" s="1330"/>
      <c r="H99" s="1330"/>
      <c r="I99" s="1330"/>
      <c r="J99" s="1331"/>
      <c r="K99" s="1103"/>
      <c r="L99" s="1104"/>
    </row>
    <row r="100" spans="2:12" ht="30" hidden="1" customHeight="1">
      <c r="B100" s="1329"/>
      <c r="C100" s="1330"/>
      <c r="D100" s="1330"/>
      <c r="E100" s="1330"/>
      <c r="F100" s="1330"/>
      <c r="G100" s="1330"/>
      <c r="H100" s="1330"/>
      <c r="I100" s="1330"/>
      <c r="J100" s="1331"/>
      <c r="K100" s="1103"/>
      <c r="L100" s="1104"/>
    </row>
    <row r="101" spans="2:12" ht="30" hidden="1" customHeight="1">
      <c r="B101" s="1329"/>
      <c r="C101" s="1330"/>
      <c r="D101" s="1330"/>
      <c r="E101" s="1330"/>
      <c r="F101" s="1330"/>
      <c r="G101" s="1330"/>
      <c r="H101" s="1330"/>
      <c r="I101" s="1330"/>
      <c r="J101" s="1331"/>
      <c r="K101" s="1103"/>
      <c r="L101" s="1104"/>
    </row>
    <row r="102" spans="2:12" ht="30" hidden="1" customHeight="1">
      <c r="B102" s="1329"/>
      <c r="C102" s="1330"/>
      <c r="D102" s="1330"/>
      <c r="E102" s="1330"/>
      <c r="F102" s="1330"/>
      <c r="G102" s="1330"/>
      <c r="H102" s="1330"/>
      <c r="I102" s="1330"/>
      <c r="J102" s="1331"/>
      <c r="K102" s="1103"/>
      <c r="L102" s="1104"/>
    </row>
    <row r="103" spans="2:12" ht="30" hidden="1" customHeight="1">
      <c r="B103" s="1329"/>
      <c r="C103" s="1330"/>
      <c r="D103" s="1330"/>
      <c r="E103" s="1330"/>
      <c r="F103" s="1330"/>
      <c r="G103" s="1330"/>
      <c r="H103" s="1330"/>
      <c r="I103" s="1330"/>
      <c r="J103" s="1331"/>
      <c r="K103" s="1103"/>
      <c r="L103" s="1104"/>
    </row>
    <row r="104" spans="2:12" ht="30" hidden="1" customHeight="1">
      <c r="B104" s="1329"/>
      <c r="C104" s="1330"/>
      <c r="D104" s="1330"/>
      <c r="E104" s="1330"/>
      <c r="F104" s="1330"/>
      <c r="G104" s="1330"/>
      <c r="H104" s="1330"/>
      <c r="I104" s="1330"/>
      <c r="J104" s="1331"/>
      <c r="K104" s="1103"/>
      <c r="L104" s="1104"/>
    </row>
    <row r="105" spans="2:12" ht="30" hidden="1" customHeight="1">
      <c r="B105" s="1329"/>
      <c r="C105" s="1330"/>
      <c r="D105" s="1330"/>
      <c r="E105" s="1330"/>
      <c r="F105" s="1330"/>
      <c r="G105" s="1330"/>
      <c r="H105" s="1330"/>
      <c r="I105" s="1330"/>
      <c r="J105" s="1331"/>
      <c r="K105" s="1103"/>
      <c r="L105" s="1104"/>
    </row>
    <row r="106" spans="2:12" ht="30" hidden="1" customHeight="1">
      <c r="B106" s="1329"/>
      <c r="C106" s="1330"/>
      <c r="D106" s="1330"/>
      <c r="E106" s="1330"/>
      <c r="F106" s="1330"/>
      <c r="G106" s="1330"/>
      <c r="H106" s="1330"/>
      <c r="I106" s="1330"/>
      <c r="J106" s="1331"/>
      <c r="K106" s="1103"/>
      <c r="L106" s="1104"/>
    </row>
    <row r="107" spans="2:12" ht="30" hidden="1" customHeight="1">
      <c r="B107" s="1329"/>
      <c r="C107" s="1330"/>
      <c r="D107" s="1330"/>
      <c r="E107" s="1330"/>
      <c r="F107" s="1330"/>
      <c r="G107" s="1330"/>
      <c r="H107" s="1330"/>
      <c r="I107" s="1330"/>
      <c r="J107" s="1331"/>
      <c r="K107" s="1103"/>
      <c r="L107" s="1104"/>
    </row>
    <row r="108" spans="2:12" ht="30" hidden="1" customHeight="1">
      <c r="B108" s="1329"/>
      <c r="C108" s="1330"/>
      <c r="D108" s="1330"/>
      <c r="E108" s="1330"/>
      <c r="F108" s="1330"/>
      <c r="G108" s="1330"/>
      <c r="H108" s="1330"/>
      <c r="I108" s="1330"/>
      <c r="J108" s="1331"/>
      <c r="K108" s="1103"/>
      <c r="L108" s="1104"/>
    </row>
    <row r="109" spans="2:12" ht="30" hidden="1" customHeight="1">
      <c r="B109" s="1329"/>
      <c r="C109" s="1330"/>
      <c r="D109" s="1330"/>
      <c r="E109" s="1330"/>
      <c r="F109" s="1330"/>
      <c r="G109" s="1330"/>
      <c r="H109" s="1330"/>
      <c r="I109" s="1330"/>
      <c r="J109" s="1331"/>
      <c r="K109" s="1103"/>
      <c r="L109" s="1104"/>
    </row>
    <row r="110" spans="2:12" ht="30" hidden="1" customHeight="1">
      <c r="B110" s="1329"/>
      <c r="C110" s="1330"/>
      <c r="D110" s="1330"/>
      <c r="E110" s="1330"/>
      <c r="F110" s="1330"/>
      <c r="G110" s="1330"/>
      <c r="H110" s="1330"/>
      <c r="I110" s="1330"/>
      <c r="J110" s="1331"/>
      <c r="K110" s="1103"/>
      <c r="L110" s="1104"/>
    </row>
    <row r="111" spans="2:12" ht="30" hidden="1" customHeight="1">
      <c r="B111" s="1329"/>
      <c r="C111" s="1330"/>
      <c r="D111" s="1330"/>
      <c r="E111" s="1330"/>
      <c r="F111" s="1330"/>
      <c r="G111" s="1330"/>
      <c r="H111" s="1330"/>
      <c r="I111" s="1330"/>
      <c r="J111" s="1331"/>
      <c r="K111" s="1103"/>
      <c r="L111" s="1104"/>
    </row>
    <row r="112" spans="2:12" ht="30" hidden="1" customHeight="1">
      <c r="B112" s="1329"/>
      <c r="C112" s="1330"/>
      <c r="D112" s="1330"/>
      <c r="E112" s="1330"/>
      <c r="F112" s="1330"/>
      <c r="G112" s="1330"/>
      <c r="H112" s="1330"/>
      <c r="I112" s="1330"/>
      <c r="J112" s="1331"/>
      <c r="K112" s="1103"/>
      <c r="L112" s="1104"/>
    </row>
    <row r="113" spans="2:12" ht="30" hidden="1" customHeight="1">
      <c r="B113" s="1329"/>
      <c r="C113" s="1330"/>
      <c r="D113" s="1330"/>
      <c r="E113" s="1330"/>
      <c r="F113" s="1330"/>
      <c r="G113" s="1330"/>
      <c r="H113" s="1330"/>
      <c r="I113" s="1330"/>
      <c r="J113" s="1331"/>
      <c r="K113" s="1103"/>
      <c r="L113" s="1104"/>
    </row>
    <row r="114" spans="2:12" ht="30" hidden="1" customHeight="1">
      <c r="B114" s="1329"/>
      <c r="C114" s="1330"/>
      <c r="D114" s="1330"/>
      <c r="E114" s="1330"/>
      <c r="F114" s="1330"/>
      <c r="G114" s="1330"/>
      <c r="H114" s="1330"/>
      <c r="I114" s="1330"/>
      <c r="J114" s="1331"/>
      <c r="K114" s="1103"/>
      <c r="L114" s="1104"/>
    </row>
    <row r="115" spans="2:12" ht="30" hidden="1" customHeight="1">
      <c r="B115" s="1329"/>
      <c r="C115" s="1330"/>
      <c r="D115" s="1330"/>
      <c r="E115" s="1330"/>
      <c r="F115" s="1330"/>
      <c r="G115" s="1330"/>
      <c r="H115" s="1330"/>
      <c r="I115" s="1330"/>
      <c r="J115" s="1331"/>
      <c r="K115" s="1103"/>
      <c r="L115" s="1104"/>
    </row>
    <row r="116" spans="2:12" ht="30" hidden="1" customHeight="1" thickBot="1">
      <c r="B116" s="1326"/>
      <c r="C116" s="1327"/>
      <c r="D116" s="1327"/>
      <c r="E116" s="1327"/>
      <c r="F116" s="1327"/>
      <c r="G116" s="1327"/>
      <c r="H116" s="1327"/>
      <c r="I116" s="1327"/>
      <c r="J116" s="1328"/>
      <c r="K116" s="1105"/>
      <c r="L116" s="1106"/>
    </row>
    <row r="117" spans="2:12" ht="14.25" customHeight="1">
      <c r="B117" s="1058" t="s">
        <v>1298</v>
      </c>
    </row>
  </sheetData>
  <sheetProtection sheet="1" objects="1" scenarios="1" selectLockedCells="1"/>
  <mergeCells count="107">
    <mergeCell ref="B114:J114"/>
    <mergeCell ref="B115:J115"/>
    <mergeCell ref="B109:J109"/>
    <mergeCell ref="B110:J110"/>
    <mergeCell ref="B111:J111"/>
    <mergeCell ref="B112:J112"/>
    <mergeCell ref="B113:J113"/>
    <mergeCell ref="B104:J104"/>
    <mergeCell ref="B105:J105"/>
    <mergeCell ref="B106:J106"/>
    <mergeCell ref="B107:J107"/>
    <mergeCell ref="B108:J108"/>
    <mergeCell ref="B99:J99"/>
    <mergeCell ref="B100:J100"/>
    <mergeCell ref="B101:J101"/>
    <mergeCell ref="B102:J102"/>
    <mergeCell ref="B103:J103"/>
    <mergeCell ref="B94:J94"/>
    <mergeCell ref="B95:J95"/>
    <mergeCell ref="B96:J96"/>
    <mergeCell ref="B97:J97"/>
    <mergeCell ref="B98:J98"/>
    <mergeCell ref="B89:J89"/>
    <mergeCell ref="B90:J90"/>
    <mergeCell ref="B91:J91"/>
    <mergeCell ref="B92:J92"/>
    <mergeCell ref="B93:J93"/>
    <mergeCell ref="B84:J84"/>
    <mergeCell ref="B85:J85"/>
    <mergeCell ref="B86:J86"/>
    <mergeCell ref="B87:J87"/>
    <mergeCell ref="B88:J88"/>
    <mergeCell ref="B79:J79"/>
    <mergeCell ref="B80:J80"/>
    <mergeCell ref="B81:J81"/>
    <mergeCell ref="B82:J82"/>
    <mergeCell ref="B83:J83"/>
    <mergeCell ref="B74:J74"/>
    <mergeCell ref="B75:J75"/>
    <mergeCell ref="B76:J76"/>
    <mergeCell ref="B77:J77"/>
    <mergeCell ref="B78:J78"/>
    <mergeCell ref="B69:J69"/>
    <mergeCell ref="B70:J70"/>
    <mergeCell ref="B71:J71"/>
    <mergeCell ref="B72:J72"/>
    <mergeCell ref="B73:J73"/>
    <mergeCell ref="B64:J64"/>
    <mergeCell ref="B65:J65"/>
    <mergeCell ref="B66:J66"/>
    <mergeCell ref="B67:J67"/>
    <mergeCell ref="B68:J68"/>
    <mergeCell ref="B59:J59"/>
    <mergeCell ref="B60:J60"/>
    <mergeCell ref="B61:J61"/>
    <mergeCell ref="B62:J62"/>
    <mergeCell ref="B63:J63"/>
    <mergeCell ref="B54:J54"/>
    <mergeCell ref="B55:J55"/>
    <mergeCell ref="B56:J56"/>
    <mergeCell ref="B57:J57"/>
    <mergeCell ref="B58:J58"/>
    <mergeCell ref="B50:J50"/>
    <mergeCell ref="B51:J51"/>
    <mergeCell ref="B52:J52"/>
    <mergeCell ref="B53:J53"/>
    <mergeCell ref="B12:I14"/>
    <mergeCell ref="K12:K14"/>
    <mergeCell ref="N12:U14"/>
    <mergeCell ref="W12:W14"/>
    <mergeCell ref="J13:J14"/>
    <mergeCell ref="V13:V14"/>
    <mergeCell ref="B15:I15"/>
    <mergeCell ref="O15:T15"/>
    <mergeCell ref="B16:I16"/>
    <mergeCell ref="O16:T16"/>
    <mergeCell ref="B17:I17"/>
    <mergeCell ref="O17:T17"/>
    <mergeCell ref="B18:I18"/>
    <mergeCell ref="O18:T18"/>
    <mergeCell ref="B19:I19"/>
    <mergeCell ref="O19:T19"/>
    <mergeCell ref="B20:I20"/>
    <mergeCell ref="AM26:AM27"/>
    <mergeCell ref="B28:J28"/>
    <mergeCell ref="B29:J29"/>
    <mergeCell ref="B30:J30"/>
    <mergeCell ref="B26:J27"/>
    <mergeCell ref="K26:K27"/>
    <mergeCell ref="L26:L27"/>
    <mergeCell ref="B116:J116"/>
    <mergeCell ref="B42:J42"/>
    <mergeCell ref="B41:J41"/>
    <mergeCell ref="AJ26:AJ27"/>
    <mergeCell ref="AK26:AK27"/>
    <mergeCell ref="B31:J31"/>
    <mergeCell ref="B32:J32"/>
    <mergeCell ref="B39:J40"/>
    <mergeCell ref="K39:K40"/>
    <mergeCell ref="L39:L40"/>
    <mergeCell ref="B43:J43"/>
    <mergeCell ref="B44:J44"/>
    <mergeCell ref="B45:J45"/>
    <mergeCell ref="B46:J46"/>
    <mergeCell ref="B47:J47"/>
    <mergeCell ref="B48:J48"/>
    <mergeCell ref="B49:J49"/>
  </mergeCells>
  <phoneticPr fontId="5"/>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ageMargins left="0.59055118110236227" right="0.59055118110236227" top="0.59055118110236227" bottom="0.39370078740157483" header="0" footer="0.19685039370078741"/>
  <pageSetup paperSize="9" scale="68" firstPageNumber="2" fitToHeight="0" orientation="landscape" cellComments="asDisplayed" useFirstPageNumber="1" r:id="rId1"/>
  <headerFooter>
    <evenFooter>&amp;R&amp;G</evenFooter>
  </headerFooter>
  <rowBreaks count="1" manualBreakCount="1">
    <brk id="35" max="16383"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topLeftCell="A7"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6.5" style="2" customWidth="1" outlineLevel="1"/>
    <col min="31" max="32" width="17.625" style="2" customWidth="1" outlineLevel="1"/>
    <col min="33" max="37" width="2.625" style="2" outlineLevel="1"/>
    <col min="38" max="16384" width="2.625" style="2"/>
  </cols>
  <sheetData>
    <row r="1" spans="1:32" ht="14.25" customHeight="1">
      <c r="X1" s="150" t="s">
        <v>182</v>
      </c>
      <c r="Y1" s="150"/>
    </row>
    <row r="2" spans="1:32" s="30" customFormat="1" ht="18" customHeight="1">
      <c r="A2" s="151" t="s">
        <v>183</v>
      </c>
      <c r="U2" s="2"/>
      <c r="V2" s="2"/>
      <c r="W2" s="105" t="s">
        <v>183</v>
      </c>
      <c r="X2" s="2"/>
      <c r="Y2" s="2"/>
      <c r="Z2" s="2"/>
      <c r="AA2" s="2"/>
      <c r="AB2" s="1083" t="s">
        <v>1360</v>
      </c>
      <c r="AC2" s="1085" t="s">
        <v>1361</v>
      </c>
      <c r="AD2" s="1085" t="s">
        <v>1362</v>
      </c>
      <c r="AE2" s="1085" t="s">
        <v>1363</v>
      </c>
      <c r="AF2" s="1086" t="s">
        <v>1364</v>
      </c>
    </row>
    <row r="3" spans="1:32" ht="14.25" customHeight="1">
      <c r="C3" s="196"/>
      <c r="D3" s="196"/>
      <c r="E3" s="196"/>
      <c r="F3" s="196"/>
      <c r="G3" s="196"/>
      <c r="H3" s="196"/>
      <c r="I3" s="196"/>
      <c r="J3" s="196"/>
      <c r="K3" s="196"/>
      <c r="L3" s="196"/>
      <c r="M3" s="196"/>
      <c r="N3" s="196"/>
      <c r="O3" s="196"/>
      <c r="P3" s="196"/>
      <c r="Q3" s="196"/>
      <c r="R3" s="196"/>
      <c r="S3" s="196"/>
      <c r="T3" s="20"/>
      <c r="W3" s="105"/>
      <c r="AB3" s="1084"/>
      <c r="AC3" s="1087">
        <v>4</v>
      </c>
      <c r="AD3" s="1087">
        <v>4</v>
      </c>
      <c r="AE3" s="1087">
        <v>4</v>
      </c>
      <c r="AF3" s="1087">
        <v>4</v>
      </c>
    </row>
    <row r="4" spans="1:32" s="30" customFormat="1" ht="18" customHeight="1">
      <c r="A4" s="197" t="s">
        <v>184</v>
      </c>
      <c r="B4" s="198" t="s">
        <v>185</v>
      </c>
      <c r="C4" s="108"/>
      <c r="D4" s="108"/>
      <c r="E4" s="108"/>
      <c r="F4" s="108"/>
      <c r="G4" s="108"/>
      <c r="H4" s="108"/>
      <c r="I4" s="108"/>
      <c r="J4" s="108"/>
      <c r="K4" s="108"/>
      <c r="L4" s="108"/>
      <c r="M4" s="108"/>
      <c r="N4" s="108"/>
      <c r="O4" s="108"/>
      <c r="P4" s="108"/>
      <c r="Q4" s="108"/>
      <c r="R4" s="108"/>
      <c r="S4" s="108"/>
      <c r="U4" s="2"/>
      <c r="V4" s="2"/>
      <c r="W4" s="197" t="s">
        <v>184</v>
      </c>
      <c r="X4" s="108"/>
      <c r="Y4" s="108"/>
      <c r="Z4" s="2"/>
      <c r="AA4" s="2"/>
      <c r="AB4" s="2"/>
      <c r="AC4" s="2"/>
      <c r="AD4" s="2"/>
      <c r="AE4" s="2"/>
    </row>
    <row r="5" spans="1:32"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2" s="30" customFormat="1" ht="14.25" customHeight="1">
      <c r="A6" s="199"/>
      <c r="B6" s="58" t="s">
        <v>186</v>
      </c>
      <c r="E6" s="108"/>
      <c r="F6" s="108"/>
      <c r="G6" s="108"/>
      <c r="H6" s="108"/>
      <c r="I6" s="108"/>
      <c r="J6" s="108"/>
      <c r="K6" s="108"/>
      <c r="L6" s="108"/>
      <c r="M6" s="108"/>
      <c r="N6" s="108"/>
      <c r="O6" s="108"/>
      <c r="P6" s="108"/>
      <c r="Q6" s="108"/>
      <c r="R6" s="108"/>
      <c r="S6" s="108"/>
      <c r="T6" s="108"/>
      <c r="U6" s="2"/>
      <c r="V6" s="2"/>
    </row>
    <row r="7" spans="1:32" s="30" customFormat="1" ht="14.25" customHeight="1">
      <c r="A7" s="199"/>
      <c r="B7" s="51" t="s">
        <v>187</v>
      </c>
      <c r="E7" s="108"/>
      <c r="F7" s="108"/>
      <c r="G7" s="108"/>
      <c r="H7" s="108"/>
      <c r="I7" s="108"/>
      <c r="J7" s="108"/>
      <c r="K7" s="108"/>
      <c r="L7" s="108"/>
      <c r="M7" s="108"/>
      <c r="N7" s="108"/>
      <c r="O7" s="108"/>
      <c r="P7" s="108"/>
      <c r="Q7" s="108"/>
      <c r="R7" s="108"/>
      <c r="S7" s="108"/>
      <c r="T7" s="108"/>
      <c r="U7" s="2"/>
      <c r="V7" s="2"/>
      <c r="W7" s="2"/>
      <c r="AD7" s="2"/>
      <c r="AE7" s="2"/>
    </row>
    <row r="8" spans="1:32" s="30" customFormat="1" ht="14.25" customHeight="1">
      <c r="A8" s="199"/>
      <c r="B8" s="51" t="s">
        <v>188</v>
      </c>
      <c r="E8" s="108"/>
      <c r="F8" s="108"/>
      <c r="G8" s="108"/>
      <c r="H8" s="108"/>
      <c r="I8" s="108"/>
      <c r="J8" s="108"/>
      <c r="K8" s="108"/>
      <c r="L8" s="108"/>
      <c r="M8" s="108"/>
      <c r="N8" s="108"/>
      <c r="O8" s="108"/>
      <c r="P8" s="108"/>
      <c r="Q8" s="108"/>
      <c r="R8" s="108"/>
      <c r="S8" s="108"/>
      <c r="T8" s="108"/>
      <c r="U8" s="2"/>
      <c r="V8" s="2"/>
      <c r="W8" s="2"/>
      <c r="AD8" s="2"/>
      <c r="AE8" s="2"/>
    </row>
    <row r="9" spans="1:32" s="30" customFormat="1" ht="14.25" customHeight="1">
      <c r="A9" s="199"/>
      <c r="B9" s="51" t="s">
        <v>189</v>
      </c>
      <c r="E9" s="108"/>
      <c r="F9" s="108"/>
      <c r="G9" s="108"/>
      <c r="H9" s="108"/>
      <c r="I9" s="108"/>
      <c r="J9" s="108"/>
      <c r="K9" s="108"/>
      <c r="L9" s="108"/>
      <c r="M9" s="108"/>
      <c r="N9" s="108"/>
      <c r="O9" s="108"/>
      <c r="P9" s="108"/>
      <c r="Q9" s="108"/>
      <c r="R9" s="108"/>
      <c r="S9" s="108"/>
      <c r="T9" s="108"/>
      <c r="U9" s="2"/>
      <c r="V9" s="2"/>
      <c r="W9" s="177"/>
      <c r="AD9" s="177"/>
      <c r="AE9" s="177"/>
    </row>
    <row r="10" spans="1:32" s="30" customFormat="1" ht="14.25" customHeight="1">
      <c r="A10" s="199"/>
      <c r="B10" s="51" t="s">
        <v>190</v>
      </c>
      <c r="E10" s="108"/>
      <c r="F10" s="108"/>
      <c r="G10" s="108"/>
      <c r="H10" s="108"/>
      <c r="I10" s="108"/>
      <c r="J10" s="108"/>
      <c r="K10" s="108"/>
      <c r="L10" s="108"/>
      <c r="M10" s="108"/>
      <c r="N10" s="108"/>
      <c r="O10" s="108"/>
      <c r="P10" s="108"/>
      <c r="Q10" s="108"/>
      <c r="R10" s="108"/>
      <c r="S10" s="108"/>
      <c r="T10" s="108"/>
      <c r="U10" s="2"/>
      <c r="V10" s="2"/>
      <c r="W10" s="177"/>
      <c r="AD10" s="177"/>
      <c r="AE10" s="177"/>
    </row>
    <row r="11" spans="1:32"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191</v>
      </c>
      <c r="AD11" s="177"/>
      <c r="AE11" s="2"/>
    </row>
    <row r="12" spans="1:32" ht="17.100000000000001" customHeight="1">
      <c r="B12" s="1198" t="s">
        <v>55</v>
      </c>
      <c r="C12" s="1199"/>
      <c r="D12" s="1199"/>
      <c r="E12" s="1199"/>
      <c r="F12" s="1290" t="s">
        <v>192</v>
      </c>
      <c r="G12" s="1291"/>
      <c r="H12" s="1291"/>
      <c r="I12" s="1291"/>
      <c r="J12" s="1291"/>
      <c r="K12" s="1291"/>
      <c r="L12" s="1291"/>
      <c r="M12" s="1291"/>
      <c r="N12" s="1291"/>
      <c r="O12" s="1291"/>
      <c r="P12" s="1291"/>
      <c r="Q12" s="1291"/>
      <c r="R12" s="1292"/>
      <c r="S12" s="1205" t="s">
        <v>56</v>
      </c>
      <c r="T12" s="1419" t="s">
        <v>193</v>
      </c>
      <c r="W12" s="20"/>
      <c r="X12" s="1372" t="s">
        <v>55</v>
      </c>
      <c r="Y12" s="1404"/>
      <c r="Z12" s="1404"/>
      <c r="AA12" s="1372" t="s">
        <v>194</v>
      </c>
      <c r="AB12" s="1372" t="str">
        <f>"単価（円/"&amp;リスト!$C$23&amp;"kg）"</f>
        <v>単価（円/60kg）</v>
      </c>
      <c r="AC12" s="1372" t="s">
        <v>195</v>
      </c>
      <c r="AD12" s="177"/>
    </row>
    <row r="13" spans="1:32" ht="17.100000000000001" customHeight="1" thickBot="1">
      <c r="B13" s="1201"/>
      <c r="C13" s="1202"/>
      <c r="D13" s="1202"/>
      <c r="E13" s="1202"/>
      <c r="F13" s="1265"/>
      <c r="G13" s="1266"/>
      <c r="H13" s="1266"/>
      <c r="I13" s="1266"/>
      <c r="J13" s="1266"/>
      <c r="K13" s="1266"/>
      <c r="L13" s="1266"/>
      <c r="M13" s="1266"/>
      <c r="N13" s="1266"/>
      <c r="O13" s="1266"/>
      <c r="P13" s="1266"/>
      <c r="Q13" s="1266"/>
      <c r="R13" s="1294"/>
      <c r="S13" s="1418"/>
      <c r="T13" s="1420"/>
      <c r="X13" s="1404"/>
      <c r="Y13" s="1404"/>
      <c r="Z13" s="1404"/>
      <c r="AA13" s="1404"/>
      <c r="AB13" s="1404"/>
      <c r="AC13" s="1404"/>
      <c r="AD13" s="177"/>
    </row>
    <row r="14" spans="1:32" ht="30" customHeight="1" thickTop="1" thickBot="1">
      <c r="B14" s="1405" t="s">
        <v>196</v>
      </c>
      <c r="C14" s="1406"/>
      <c r="D14" s="1411" t="s">
        <v>197</v>
      </c>
      <c r="E14" s="1412"/>
      <c r="F14" s="1413" t="s">
        <v>198</v>
      </c>
      <c r="G14" s="1414"/>
      <c r="H14" s="1414"/>
      <c r="I14" s="1414"/>
      <c r="J14" s="1414"/>
      <c r="K14" s="1414"/>
      <c r="L14" s="1414"/>
      <c r="M14" s="1414"/>
      <c r="N14" s="1414"/>
      <c r="O14" s="1414"/>
      <c r="P14" s="1414"/>
      <c r="Q14" s="1414"/>
      <c r="R14" s="1414"/>
      <c r="S14" s="201"/>
      <c r="T14" s="202"/>
      <c r="X14" s="1415" t="s">
        <v>199</v>
      </c>
      <c r="Y14" s="1372" t="s">
        <v>200</v>
      </c>
      <c r="Z14" s="1372"/>
      <c r="AA14" s="203">
        <f>IF(OR(S14="",S14=0),SUM(S15:S29),S14)</f>
        <v>0</v>
      </c>
      <c r="AB14" s="204">
        <f>IF(AND(AA14&gt;0,AC14&gt;0),ROUND(AC14/AA14*リスト!$C$23,2),)</f>
        <v>0</v>
      </c>
      <c r="AC14" s="203">
        <f>IF(OR(T14="",T14=0),SUM(T15:T29),T14)</f>
        <v>0</v>
      </c>
      <c r="AD14" s="177"/>
    </row>
    <row r="15" spans="1:32" ht="30" customHeight="1" thickTop="1">
      <c r="B15" s="1407"/>
      <c r="C15" s="1408"/>
      <c r="D15" s="205"/>
      <c r="E15" s="206"/>
      <c r="F15" s="1396"/>
      <c r="G15" s="1397"/>
      <c r="H15" s="1397"/>
      <c r="I15" s="1397"/>
      <c r="J15" s="1397"/>
      <c r="K15" s="1397"/>
      <c r="L15" s="1397"/>
      <c r="M15" s="1397"/>
      <c r="N15" s="1397"/>
      <c r="O15" s="1397"/>
      <c r="P15" s="1397"/>
      <c r="Q15" s="1397"/>
      <c r="R15" s="1397"/>
      <c r="S15" s="207"/>
      <c r="T15" s="208"/>
      <c r="X15" s="1416"/>
      <c r="Y15" s="1372" t="s">
        <v>201</v>
      </c>
      <c r="Z15" s="1372"/>
      <c r="AA15" s="203">
        <f>IF(OR(S30="",S30=0),SUM(S31:S45),S30)</f>
        <v>0</v>
      </c>
      <c r="AB15" s="204">
        <f>IF(AND(AA15&gt;0,AC15&gt;0),ROUND(AC15/AA15*リスト!$C$23,2),)</f>
        <v>0</v>
      </c>
      <c r="AC15" s="203">
        <f>IF(OR(T30="",T30=0),SUM(T31:T45),T30)</f>
        <v>0</v>
      </c>
      <c r="AD15" s="177"/>
    </row>
    <row r="16" spans="1:32" ht="30" customHeight="1">
      <c r="B16" s="1407"/>
      <c r="C16" s="1408"/>
      <c r="D16" s="205"/>
      <c r="E16" s="206"/>
      <c r="F16" s="1396"/>
      <c r="G16" s="1397"/>
      <c r="H16" s="1397"/>
      <c r="I16" s="1397"/>
      <c r="J16" s="1397"/>
      <c r="K16" s="1397"/>
      <c r="L16" s="1397"/>
      <c r="M16" s="1397"/>
      <c r="N16" s="1397"/>
      <c r="O16" s="1397"/>
      <c r="P16" s="1397"/>
      <c r="Q16" s="1397"/>
      <c r="R16" s="1397"/>
      <c r="S16" s="209"/>
      <c r="T16" s="210"/>
      <c r="X16" s="1416"/>
      <c r="Y16" s="1372" t="s">
        <v>202</v>
      </c>
      <c r="Z16" s="1372"/>
      <c r="AA16" s="203">
        <f>IF(OR(S46="",S46=0),SUM(S47:S61),S46)</f>
        <v>0</v>
      </c>
      <c r="AB16" s="204">
        <f>IF(AND(AA16&gt;0,AC16&gt;0),ROUND(AC16/AA16*リスト!$C$23,2),)</f>
        <v>0</v>
      </c>
      <c r="AC16" s="203">
        <f>IF(OR(T46="",T46=0),SUM(T47:T61),T46)</f>
        <v>0</v>
      </c>
      <c r="AD16" s="177"/>
    </row>
    <row r="17" spans="2:30" ht="30" customHeight="1">
      <c r="B17" s="1407"/>
      <c r="C17" s="1408"/>
      <c r="D17" s="205"/>
      <c r="E17" s="206"/>
      <c r="F17" s="1396"/>
      <c r="G17" s="1397"/>
      <c r="H17" s="1397"/>
      <c r="I17" s="1397"/>
      <c r="J17" s="1397"/>
      <c r="K17" s="1397"/>
      <c r="L17" s="1397"/>
      <c r="M17" s="1397"/>
      <c r="N17" s="1397"/>
      <c r="O17" s="1397"/>
      <c r="P17" s="1397"/>
      <c r="Q17" s="1397"/>
      <c r="R17" s="1397"/>
      <c r="S17" s="209"/>
      <c r="T17" s="210"/>
      <c r="X17" s="1417"/>
      <c r="Y17" s="1400" t="s">
        <v>203</v>
      </c>
      <c r="Z17" s="1402"/>
      <c r="AA17" s="203">
        <f>S79</f>
        <v>0</v>
      </c>
      <c r="AB17" s="204">
        <f>IF(AND(AA17&gt;0,AC17&gt;0),ROUND(AC17/AA17*リスト!$C$23,2),)</f>
        <v>0</v>
      </c>
      <c r="AC17" s="203">
        <f>T79</f>
        <v>0</v>
      </c>
      <c r="AD17" s="177"/>
    </row>
    <row r="18" spans="2:30" ht="30" customHeight="1" collapsed="1" thickBot="1">
      <c r="B18" s="1407"/>
      <c r="C18" s="1408"/>
      <c r="D18" s="205"/>
      <c r="E18" s="206"/>
      <c r="F18" s="1396"/>
      <c r="G18" s="1397"/>
      <c r="H18" s="1397"/>
      <c r="I18" s="1397"/>
      <c r="J18" s="1397"/>
      <c r="K18" s="1397"/>
      <c r="L18" s="1397"/>
      <c r="M18" s="1397"/>
      <c r="N18" s="1397"/>
      <c r="O18" s="1397"/>
      <c r="P18" s="1397"/>
      <c r="Q18" s="1397"/>
      <c r="R18" s="1397"/>
      <c r="S18" s="209"/>
      <c r="T18" s="210"/>
      <c r="X18" s="1400" t="s">
        <v>204</v>
      </c>
      <c r="Y18" s="1401"/>
      <c r="Z18" s="1402"/>
      <c r="AA18" s="203">
        <f>SUM(AA14:AA17)</f>
        <v>0</v>
      </c>
      <c r="AB18" s="204">
        <f>IF(AND(AA18&gt;0,AC18&gt;0),ROUND(AC18/AA18*リスト!$C$23,2),)</f>
        <v>0</v>
      </c>
      <c r="AC18" s="203">
        <f>SUM(AC14:AC17)</f>
        <v>0</v>
      </c>
      <c r="AD18" s="177"/>
    </row>
    <row r="19" spans="2:30" ht="30" hidden="1" customHeight="1" outlineLevel="1">
      <c r="B19" s="1407"/>
      <c r="C19" s="1408"/>
      <c r="D19" s="205"/>
      <c r="E19" s="206"/>
      <c r="F19" s="1396"/>
      <c r="G19" s="1397"/>
      <c r="H19" s="1397"/>
      <c r="I19" s="1397"/>
      <c r="J19" s="1397"/>
      <c r="K19" s="1397"/>
      <c r="L19" s="1397"/>
      <c r="M19" s="1397"/>
      <c r="N19" s="1397"/>
      <c r="O19" s="1397"/>
      <c r="P19" s="1397"/>
      <c r="Q19" s="1397"/>
      <c r="R19" s="1397"/>
      <c r="S19" s="209"/>
      <c r="T19" s="210"/>
      <c r="AD19" s="177"/>
    </row>
    <row r="20" spans="2:30" ht="30" hidden="1" customHeight="1" outlineLevel="1">
      <c r="B20" s="1407"/>
      <c r="C20" s="1408"/>
      <c r="D20" s="205"/>
      <c r="E20" s="206"/>
      <c r="F20" s="1396"/>
      <c r="G20" s="1397"/>
      <c r="H20" s="1397"/>
      <c r="I20" s="1397"/>
      <c r="J20" s="1397"/>
      <c r="K20" s="1397"/>
      <c r="L20" s="1397"/>
      <c r="M20" s="1397"/>
      <c r="N20" s="1397"/>
      <c r="O20" s="1397"/>
      <c r="P20" s="1397"/>
      <c r="Q20" s="1397"/>
      <c r="R20" s="1397"/>
      <c r="S20" s="209"/>
      <c r="T20" s="210"/>
      <c r="AD20" s="177"/>
    </row>
    <row r="21" spans="2:30" ht="30" hidden="1" customHeight="1" outlineLevel="1">
      <c r="B21" s="1407"/>
      <c r="C21" s="1408"/>
      <c r="D21" s="205"/>
      <c r="E21" s="206"/>
      <c r="F21" s="1396"/>
      <c r="G21" s="1397"/>
      <c r="H21" s="1397"/>
      <c r="I21" s="1397"/>
      <c r="J21" s="1397"/>
      <c r="K21" s="1397"/>
      <c r="L21" s="1397"/>
      <c r="M21" s="1397"/>
      <c r="N21" s="1397"/>
      <c r="O21" s="1397"/>
      <c r="P21" s="1397"/>
      <c r="Q21" s="1397"/>
      <c r="R21" s="1397"/>
      <c r="S21" s="209"/>
      <c r="T21" s="210"/>
      <c r="AD21" s="177"/>
    </row>
    <row r="22" spans="2:30" ht="30" hidden="1" customHeight="1" outlineLevel="1">
      <c r="B22" s="1407"/>
      <c r="C22" s="1408"/>
      <c r="D22" s="205"/>
      <c r="E22" s="206"/>
      <c r="F22" s="1396"/>
      <c r="G22" s="1397"/>
      <c r="H22" s="1397"/>
      <c r="I22" s="1397"/>
      <c r="J22" s="1397"/>
      <c r="K22" s="1397"/>
      <c r="L22" s="1397"/>
      <c r="M22" s="1397"/>
      <c r="N22" s="1397"/>
      <c r="O22" s="1397"/>
      <c r="P22" s="1397"/>
      <c r="Q22" s="1397"/>
      <c r="R22" s="1397"/>
      <c r="S22" s="209"/>
      <c r="T22" s="210"/>
      <c r="Y22" s="177"/>
      <c r="Z22" s="177"/>
      <c r="AA22" s="177"/>
      <c r="AB22" s="177"/>
      <c r="AC22" s="177"/>
      <c r="AD22" s="177"/>
    </row>
    <row r="23" spans="2:30" ht="30" hidden="1" customHeight="1" outlineLevel="1">
      <c r="B23" s="1407"/>
      <c r="C23" s="1408"/>
      <c r="D23" s="205"/>
      <c r="E23" s="206"/>
      <c r="F23" s="1396"/>
      <c r="G23" s="1397"/>
      <c r="H23" s="1397"/>
      <c r="I23" s="1397"/>
      <c r="J23" s="1397"/>
      <c r="K23" s="1397"/>
      <c r="L23" s="1397"/>
      <c r="M23" s="1397"/>
      <c r="N23" s="1397"/>
      <c r="O23" s="1397"/>
      <c r="P23" s="1397"/>
      <c r="Q23" s="1397"/>
      <c r="R23" s="1397"/>
      <c r="S23" s="209"/>
      <c r="T23" s="210"/>
      <c r="AD23" s="177"/>
    </row>
    <row r="24" spans="2:30" ht="30" hidden="1" customHeight="1" outlineLevel="1">
      <c r="B24" s="1407"/>
      <c r="C24" s="1408"/>
      <c r="D24" s="205"/>
      <c r="E24" s="206"/>
      <c r="F24" s="1396"/>
      <c r="G24" s="1397"/>
      <c r="H24" s="1397"/>
      <c r="I24" s="1397"/>
      <c r="J24" s="1397"/>
      <c r="K24" s="1397"/>
      <c r="L24" s="1397"/>
      <c r="M24" s="1397"/>
      <c r="N24" s="1397"/>
      <c r="O24" s="1397"/>
      <c r="P24" s="1397"/>
      <c r="Q24" s="1397"/>
      <c r="R24" s="1397"/>
      <c r="S24" s="209"/>
      <c r="T24" s="210"/>
      <c r="AD24" s="177"/>
    </row>
    <row r="25" spans="2:30" ht="30" hidden="1" customHeight="1" outlineLevel="1">
      <c r="B25" s="1407"/>
      <c r="C25" s="1408"/>
      <c r="D25" s="205"/>
      <c r="E25" s="206"/>
      <c r="F25" s="1396"/>
      <c r="G25" s="1397"/>
      <c r="H25" s="1397"/>
      <c r="I25" s="1397"/>
      <c r="J25" s="1397"/>
      <c r="K25" s="1397"/>
      <c r="L25" s="1397"/>
      <c r="M25" s="1397"/>
      <c r="N25" s="1397"/>
      <c r="O25" s="1397"/>
      <c r="P25" s="1397"/>
      <c r="Q25" s="1397"/>
      <c r="R25" s="1397"/>
      <c r="S25" s="209"/>
      <c r="T25" s="210"/>
      <c r="AD25" s="177"/>
    </row>
    <row r="26" spans="2:30" ht="30" hidden="1" customHeight="1" outlineLevel="1">
      <c r="B26" s="1407"/>
      <c r="C26" s="1408"/>
      <c r="D26" s="205"/>
      <c r="E26" s="206"/>
      <c r="F26" s="1396"/>
      <c r="G26" s="1397"/>
      <c r="H26" s="1397"/>
      <c r="I26" s="1397"/>
      <c r="J26" s="1397"/>
      <c r="K26" s="1397"/>
      <c r="L26" s="1397"/>
      <c r="M26" s="1397"/>
      <c r="N26" s="1397"/>
      <c r="O26" s="1397"/>
      <c r="P26" s="1397"/>
      <c r="Q26" s="1397"/>
      <c r="R26" s="1397"/>
      <c r="S26" s="209"/>
      <c r="T26" s="210"/>
      <c r="AD26" s="177"/>
    </row>
    <row r="27" spans="2:30" ht="30" hidden="1" customHeight="1" outlineLevel="1">
      <c r="B27" s="1407"/>
      <c r="C27" s="1408"/>
      <c r="D27" s="205"/>
      <c r="E27" s="206"/>
      <c r="F27" s="1396"/>
      <c r="G27" s="1397"/>
      <c r="H27" s="1397"/>
      <c r="I27" s="1397"/>
      <c r="J27" s="1397"/>
      <c r="K27" s="1397"/>
      <c r="L27" s="1397"/>
      <c r="M27" s="1397"/>
      <c r="N27" s="1397"/>
      <c r="O27" s="1397"/>
      <c r="P27" s="1397"/>
      <c r="Q27" s="1397"/>
      <c r="R27" s="1397"/>
      <c r="S27" s="209"/>
      <c r="T27" s="210"/>
      <c r="AD27" s="177"/>
    </row>
    <row r="28" spans="2:30" ht="30" hidden="1" customHeight="1" outlineLevel="1">
      <c r="B28" s="1407"/>
      <c r="C28" s="1408"/>
      <c r="D28" s="205"/>
      <c r="E28" s="206"/>
      <c r="F28" s="1396"/>
      <c r="G28" s="1397"/>
      <c r="H28" s="1397"/>
      <c r="I28" s="1397"/>
      <c r="J28" s="1397"/>
      <c r="K28" s="1397"/>
      <c r="L28" s="1397"/>
      <c r="M28" s="1397"/>
      <c r="N28" s="1397"/>
      <c r="O28" s="1397"/>
      <c r="P28" s="1397"/>
      <c r="Q28" s="1397"/>
      <c r="R28" s="1397"/>
      <c r="S28" s="209"/>
      <c r="T28" s="210"/>
      <c r="AD28" s="177"/>
    </row>
    <row r="29" spans="2:30" ht="30" hidden="1" customHeight="1" outlineLevel="1" thickBot="1">
      <c r="B29" s="1407"/>
      <c r="C29" s="1408"/>
      <c r="D29" s="205"/>
      <c r="E29" s="206"/>
      <c r="F29" s="1381"/>
      <c r="G29" s="1382"/>
      <c r="H29" s="1382"/>
      <c r="I29" s="1382"/>
      <c r="J29" s="1382"/>
      <c r="K29" s="1382"/>
      <c r="L29" s="1382"/>
      <c r="M29" s="1382"/>
      <c r="N29" s="1382"/>
      <c r="O29" s="1382"/>
      <c r="P29" s="1382"/>
      <c r="Q29" s="1382"/>
      <c r="R29" s="1382"/>
      <c r="S29" s="209"/>
      <c r="T29" s="210"/>
      <c r="AD29" s="177"/>
    </row>
    <row r="30" spans="2:30" ht="30" customHeight="1" thickTop="1" thickBot="1">
      <c r="B30" s="1407"/>
      <c r="C30" s="1408"/>
      <c r="D30" s="1392" t="s">
        <v>205</v>
      </c>
      <c r="E30" s="1393"/>
      <c r="F30" s="1394" t="s">
        <v>206</v>
      </c>
      <c r="G30" s="1395"/>
      <c r="H30" s="1395"/>
      <c r="I30" s="1395"/>
      <c r="J30" s="1395"/>
      <c r="K30" s="1395"/>
      <c r="L30" s="1395"/>
      <c r="M30" s="1395"/>
      <c r="N30" s="1395"/>
      <c r="O30" s="1395"/>
      <c r="P30" s="1395"/>
      <c r="Q30" s="1395"/>
      <c r="R30" s="1395"/>
      <c r="S30" s="201"/>
      <c r="T30" s="202"/>
      <c r="AD30" s="177"/>
    </row>
    <row r="31" spans="2:30" ht="30" customHeight="1" thickTop="1">
      <c r="B31" s="1407"/>
      <c r="C31" s="1408"/>
      <c r="D31" s="205"/>
      <c r="E31" s="206"/>
      <c r="F31" s="1396"/>
      <c r="G31" s="1397"/>
      <c r="H31" s="1397"/>
      <c r="I31" s="1397"/>
      <c r="J31" s="1397"/>
      <c r="K31" s="1397"/>
      <c r="L31" s="1397"/>
      <c r="M31" s="1397"/>
      <c r="N31" s="1397"/>
      <c r="O31" s="1397"/>
      <c r="P31" s="1397"/>
      <c r="Q31" s="1397"/>
      <c r="R31" s="1397"/>
      <c r="S31" s="207"/>
      <c r="T31" s="208"/>
      <c r="X31" s="211"/>
      <c r="Y31" s="150"/>
      <c r="AA31" s="212"/>
      <c r="AB31" s="212"/>
      <c r="AD31" s="177"/>
    </row>
    <row r="32" spans="2:30" ht="30" customHeight="1">
      <c r="B32" s="1407"/>
      <c r="C32" s="1408"/>
      <c r="D32" s="205"/>
      <c r="E32" s="206"/>
      <c r="F32" s="1396"/>
      <c r="G32" s="1397"/>
      <c r="H32" s="1397"/>
      <c r="I32" s="1397"/>
      <c r="J32" s="1397"/>
      <c r="K32" s="1397"/>
      <c r="L32" s="1397"/>
      <c r="M32" s="1397"/>
      <c r="N32" s="1397"/>
      <c r="O32" s="1397"/>
      <c r="P32" s="1397"/>
      <c r="Q32" s="1397"/>
      <c r="R32" s="1397"/>
      <c r="S32" s="209"/>
      <c r="T32" s="210"/>
      <c r="W32" s="213"/>
      <c r="X32" s="1403"/>
      <c r="Y32" s="1403"/>
      <c r="Z32" s="1403"/>
      <c r="AA32" s="214"/>
      <c r="AB32" s="214"/>
      <c r="AC32" s="215"/>
      <c r="AD32" s="177"/>
    </row>
    <row r="33" spans="2:30" ht="30" customHeight="1">
      <c r="B33" s="1407"/>
      <c r="C33" s="1408"/>
      <c r="D33" s="205"/>
      <c r="E33" s="206"/>
      <c r="F33" s="1396"/>
      <c r="G33" s="1397"/>
      <c r="H33" s="1397"/>
      <c r="I33" s="1397"/>
      <c r="J33" s="1397"/>
      <c r="K33" s="1397"/>
      <c r="L33" s="1397"/>
      <c r="M33" s="1397"/>
      <c r="N33" s="1397"/>
      <c r="O33" s="1397"/>
      <c r="P33" s="1397"/>
      <c r="Q33" s="1397"/>
      <c r="R33" s="1397"/>
      <c r="S33" s="209"/>
      <c r="T33" s="210"/>
      <c r="W33" s="213"/>
      <c r="AD33" s="177"/>
    </row>
    <row r="34" spans="2:30" ht="30" customHeight="1" collapsed="1" thickBot="1">
      <c r="B34" s="1407"/>
      <c r="C34" s="1408"/>
      <c r="D34" s="205"/>
      <c r="E34" s="206"/>
      <c r="F34" s="1396"/>
      <c r="G34" s="1397"/>
      <c r="H34" s="1397"/>
      <c r="I34" s="1397"/>
      <c r="J34" s="1397"/>
      <c r="K34" s="1397"/>
      <c r="L34" s="1397"/>
      <c r="M34" s="1397"/>
      <c r="N34" s="1397"/>
      <c r="O34" s="1397"/>
      <c r="P34" s="1397"/>
      <c r="Q34" s="1397"/>
      <c r="R34" s="1397"/>
      <c r="S34" s="209"/>
      <c r="T34" s="210"/>
      <c r="W34" s="213"/>
      <c r="X34" s="1403"/>
      <c r="Y34" s="1403"/>
      <c r="Z34" s="1403"/>
      <c r="AA34" s="214"/>
      <c r="AB34" s="214"/>
      <c r="AC34" s="215"/>
      <c r="AD34" s="177"/>
    </row>
    <row r="35" spans="2:30" ht="30" hidden="1" customHeight="1" outlineLevel="1">
      <c r="B35" s="1407"/>
      <c r="C35" s="1408"/>
      <c r="D35" s="205"/>
      <c r="E35" s="206"/>
      <c r="F35" s="1396"/>
      <c r="G35" s="1397"/>
      <c r="H35" s="1397"/>
      <c r="I35" s="1397"/>
      <c r="J35" s="1397"/>
      <c r="K35" s="1397"/>
      <c r="L35" s="1397"/>
      <c r="M35" s="1397"/>
      <c r="N35" s="1397"/>
      <c r="O35" s="1397"/>
      <c r="P35" s="1397"/>
      <c r="Q35" s="1397"/>
      <c r="R35" s="1397"/>
      <c r="S35" s="209"/>
      <c r="T35" s="210"/>
      <c r="W35" s="213"/>
      <c r="AD35" s="177"/>
    </row>
    <row r="36" spans="2:30" ht="30" hidden="1" customHeight="1" outlineLevel="1">
      <c r="B36" s="1407"/>
      <c r="C36" s="1408"/>
      <c r="D36" s="205"/>
      <c r="E36" s="206"/>
      <c r="F36" s="1396"/>
      <c r="G36" s="1397"/>
      <c r="H36" s="1397"/>
      <c r="I36" s="1397"/>
      <c r="J36" s="1397"/>
      <c r="K36" s="1397"/>
      <c r="L36" s="1397"/>
      <c r="M36" s="1397"/>
      <c r="N36" s="1397"/>
      <c r="O36" s="1397"/>
      <c r="P36" s="1397"/>
      <c r="Q36" s="1397"/>
      <c r="R36" s="1397"/>
      <c r="S36" s="209"/>
      <c r="T36" s="210"/>
      <c r="W36" s="213"/>
      <c r="X36" s="1403"/>
      <c r="Y36" s="1403"/>
      <c r="Z36" s="1403"/>
      <c r="AA36" s="214"/>
      <c r="AB36" s="214"/>
      <c r="AC36" s="215"/>
      <c r="AD36" s="177"/>
    </row>
    <row r="37" spans="2:30" ht="30" hidden="1" customHeight="1" outlineLevel="1">
      <c r="B37" s="1407"/>
      <c r="C37" s="1408"/>
      <c r="D37" s="205"/>
      <c r="E37" s="206"/>
      <c r="F37" s="1396"/>
      <c r="G37" s="1397"/>
      <c r="H37" s="1397"/>
      <c r="I37" s="1397"/>
      <c r="J37" s="1397"/>
      <c r="K37" s="1397"/>
      <c r="L37" s="1397"/>
      <c r="M37" s="1397"/>
      <c r="N37" s="1397"/>
      <c r="O37" s="1397"/>
      <c r="P37" s="1397"/>
      <c r="Q37" s="1397"/>
      <c r="R37" s="1397"/>
      <c r="S37" s="209"/>
      <c r="T37" s="210"/>
      <c r="W37" s="213"/>
      <c r="X37" s="1403"/>
      <c r="Y37" s="1403"/>
      <c r="Z37" s="1403"/>
      <c r="AA37" s="214"/>
      <c r="AB37" s="214"/>
      <c r="AC37" s="215"/>
      <c r="AD37" s="177"/>
    </row>
    <row r="38" spans="2:30" ht="30" hidden="1" customHeight="1" outlineLevel="1">
      <c r="B38" s="1407"/>
      <c r="C38" s="1408"/>
      <c r="D38" s="205"/>
      <c r="E38" s="206"/>
      <c r="F38" s="1396"/>
      <c r="G38" s="1397"/>
      <c r="H38" s="1397"/>
      <c r="I38" s="1397"/>
      <c r="J38" s="1397"/>
      <c r="K38" s="1397"/>
      <c r="L38" s="1397"/>
      <c r="M38" s="1397"/>
      <c r="N38" s="1397"/>
      <c r="O38" s="1397"/>
      <c r="P38" s="1397"/>
      <c r="Q38" s="1397"/>
      <c r="R38" s="1397"/>
      <c r="S38" s="209"/>
      <c r="T38" s="210"/>
      <c r="W38" s="213"/>
      <c r="AD38" s="177"/>
    </row>
    <row r="39" spans="2:30" ht="30" hidden="1" customHeight="1" outlineLevel="1">
      <c r="B39" s="1407"/>
      <c r="C39" s="1408"/>
      <c r="D39" s="205"/>
      <c r="E39" s="206"/>
      <c r="F39" s="1396"/>
      <c r="G39" s="1397"/>
      <c r="H39" s="1397"/>
      <c r="I39" s="1397"/>
      <c r="J39" s="1397"/>
      <c r="K39" s="1397"/>
      <c r="L39" s="1397"/>
      <c r="M39" s="1397"/>
      <c r="N39" s="1397"/>
      <c r="O39" s="1397"/>
      <c r="P39" s="1397"/>
      <c r="Q39" s="1397"/>
      <c r="R39" s="1397"/>
      <c r="S39" s="209"/>
      <c r="T39" s="210"/>
      <c r="W39" s="213"/>
      <c r="X39" s="1403"/>
      <c r="Y39" s="1403"/>
      <c r="Z39" s="1403"/>
      <c r="AA39" s="214"/>
      <c r="AB39" s="214"/>
      <c r="AC39" s="215"/>
      <c r="AD39" s="177"/>
    </row>
    <row r="40" spans="2:30" ht="30" hidden="1" customHeight="1" outlineLevel="1">
      <c r="B40" s="1407"/>
      <c r="C40" s="1408"/>
      <c r="D40" s="205"/>
      <c r="E40" s="206"/>
      <c r="F40" s="1396"/>
      <c r="G40" s="1397"/>
      <c r="H40" s="1397"/>
      <c r="I40" s="1397"/>
      <c r="J40" s="1397"/>
      <c r="K40" s="1397"/>
      <c r="L40" s="1397"/>
      <c r="M40" s="1397"/>
      <c r="N40" s="1397"/>
      <c r="O40" s="1397"/>
      <c r="P40" s="1397"/>
      <c r="Q40" s="1397"/>
      <c r="R40" s="1397"/>
      <c r="S40" s="209"/>
      <c r="T40" s="210"/>
      <c r="W40" s="213"/>
      <c r="AD40" s="177"/>
    </row>
    <row r="41" spans="2:30" ht="30" hidden="1" customHeight="1" outlineLevel="1">
      <c r="B41" s="1407"/>
      <c r="C41" s="1408"/>
      <c r="D41" s="205"/>
      <c r="E41" s="206"/>
      <c r="F41" s="1396"/>
      <c r="G41" s="1397"/>
      <c r="H41" s="1397"/>
      <c r="I41" s="1397"/>
      <c r="J41" s="1397"/>
      <c r="K41" s="1397"/>
      <c r="L41" s="1397"/>
      <c r="M41" s="1397"/>
      <c r="N41" s="1397"/>
      <c r="O41" s="1397"/>
      <c r="P41" s="1397"/>
      <c r="Q41" s="1397"/>
      <c r="R41" s="1397"/>
      <c r="S41" s="209"/>
      <c r="T41" s="210"/>
      <c r="W41" s="213"/>
      <c r="X41" s="1403"/>
      <c r="Y41" s="1403"/>
      <c r="Z41" s="1403"/>
      <c r="AA41" s="214"/>
      <c r="AB41" s="214"/>
      <c r="AC41" s="215"/>
      <c r="AD41" s="177"/>
    </row>
    <row r="42" spans="2:30" ht="30" hidden="1" customHeight="1" outlineLevel="1">
      <c r="B42" s="1407"/>
      <c r="C42" s="1408"/>
      <c r="D42" s="205"/>
      <c r="E42" s="206"/>
      <c r="F42" s="1396"/>
      <c r="G42" s="1397"/>
      <c r="H42" s="1397"/>
      <c r="I42" s="1397"/>
      <c r="J42" s="1397"/>
      <c r="K42" s="1397"/>
      <c r="L42" s="1397"/>
      <c r="M42" s="1397"/>
      <c r="N42" s="1397"/>
      <c r="O42" s="1397"/>
      <c r="P42" s="1397"/>
      <c r="Q42" s="1397"/>
      <c r="R42" s="1397"/>
      <c r="S42" s="209"/>
      <c r="T42" s="210"/>
      <c r="W42" s="213"/>
      <c r="AD42" s="177"/>
    </row>
    <row r="43" spans="2:30" ht="30" hidden="1" customHeight="1" outlineLevel="1">
      <c r="B43" s="1407"/>
      <c r="C43" s="1408"/>
      <c r="D43" s="205"/>
      <c r="E43" s="206"/>
      <c r="F43" s="1396"/>
      <c r="G43" s="1397"/>
      <c r="H43" s="1397"/>
      <c r="I43" s="1397"/>
      <c r="J43" s="1397"/>
      <c r="K43" s="1397"/>
      <c r="L43" s="1397"/>
      <c r="M43" s="1397"/>
      <c r="N43" s="1397"/>
      <c r="O43" s="1397"/>
      <c r="P43" s="1397"/>
      <c r="Q43" s="1397"/>
      <c r="R43" s="1397"/>
      <c r="S43" s="209"/>
      <c r="T43" s="210"/>
      <c r="W43" s="213"/>
      <c r="X43" s="1403"/>
      <c r="Y43" s="1403"/>
      <c r="Z43" s="1403"/>
      <c r="AA43" s="214"/>
      <c r="AB43" s="214"/>
      <c r="AC43" s="215"/>
      <c r="AD43" s="177"/>
    </row>
    <row r="44" spans="2:30" ht="30" hidden="1" customHeight="1" outlineLevel="1">
      <c r="B44" s="1407"/>
      <c r="C44" s="1408"/>
      <c r="D44" s="205"/>
      <c r="E44" s="206"/>
      <c r="F44" s="1396"/>
      <c r="G44" s="1397"/>
      <c r="H44" s="1397"/>
      <c r="I44" s="1397"/>
      <c r="J44" s="1397"/>
      <c r="K44" s="1397"/>
      <c r="L44" s="1397"/>
      <c r="M44" s="1397"/>
      <c r="N44" s="1397"/>
      <c r="O44" s="1397"/>
      <c r="P44" s="1397"/>
      <c r="Q44" s="1397"/>
      <c r="R44" s="1397"/>
      <c r="S44" s="209"/>
      <c r="T44" s="210"/>
      <c r="W44" s="213"/>
      <c r="AD44" s="177"/>
    </row>
    <row r="45" spans="2:30" ht="30" hidden="1" customHeight="1" outlineLevel="1" thickBot="1">
      <c r="B45" s="1407"/>
      <c r="C45" s="1408"/>
      <c r="D45" s="216"/>
      <c r="E45" s="206"/>
      <c r="F45" s="1381"/>
      <c r="G45" s="1382"/>
      <c r="H45" s="1382"/>
      <c r="I45" s="1382"/>
      <c r="J45" s="1382"/>
      <c r="K45" s="1382"/>
      <c r="L45" s="1382"/>
      <c r="M45" s="1382"/>
      <c r="N45" s="1382"/>
      <c r="O45" s="1382"/>
      <c r="P45" s="1382"/>
      <c r="Q45" s="1382"/>
      <c r="R45" s="1382"/>
      <c r="S45" s="217"/>
      <c r="T45" s="218"/>
      <c r="W45" s="213"/>
      <c r="AD45" s="177"/>
    </row>
    <row r="46" spans="2:30" ht="30" customHeight="1" thickTop="1" thickBot="1">
      <c r="B46" s="1407"/>
      <c r="C46" s="1408"/>
      <c r="D46" s="1392" t="s">
        <v>207</v>
      </c>
      <c r="E46" s="1393"/>
      <c r="F46" s="1394" t="s">
        <v>208</v>
      </c>
      <c r="G46" s="1395"/>
      <c r="H46" s="1395"/>
      <c r="I46" s="1395"/>
      <c r="J46" s="1395"/>
      <c r="K46" s="1395"/>
      <c r="L46" s="1395"/>
      <c r="M46" s="1395"/>
      <c r="N46" s="1395"/>
      <c r="O46" s="1395"/>
      <c r="P46" s="1395"/>
      <c r="Q46" s="1395"/>
      <c r="R46" s="1395"/>
      <c r="S46" s="201"/>
      <c r="T46" s="202"/>
      <c r="W46" s="213"/>
      <c r="AD46" s="177"/>
    </row>
    <row r="47" spans="2:30" ht="30" customHeight="1" thickTop="1">
      <c r="B47" s="1407"/>
      <c r="C47" s="1408"/>
      <c r="D47" s="219"/>
      <c r="E47" s="206"/>
      <c r="F47" s="1396"/>
      <c r="G47" s="1397"/>
      <c r="H47" s="1397"/>
      <c r="I47" s="1397"/>
      <c r="J47" s="1397"/>
      <c r="K47" s="1397"/>
      <c r="L47" s="1397"/>
      <c r="M47" s="1397"/>
      <c r="N47" s="1397"/>
      <c r="O47" s="1397"/>
      <c r="P47" s="1397"/>
      <c r="Q47" s="1397"/>
      <c r="R47" s="1397"/>
      <c r="S47" s="207"/>
      <c r="T47" s="208"/>
      <c r="W47" s="213"/>
      <c r="AD47" s="177"/>
    </row>
    <row r="48" spans="2:30" ht="30" customHeight="1">
      <c r="B48" s="1407"/>
      <c r="C48" s="1408"/>
      <c r="D48" s="205"/>
      <c r="E48" s="206"/>
      <c r="F48" s="1396"/>
      <c r="G48" s="1397"/>
      <c r="H48" s="1397"/>
      <c r="I48" s="1397"/>
      <c r="J48" s="1397"/>
      <c r="K48" s="1397"/>
      <c r="L48" s="1397"/>
      <c r="M48" s="1397"/>
      <c r="N48" s="1397"/>
      <c r="O48" s="1397"/>
      <c r="P48" s="1397"/>
      <c r="Q48" s="1397"/>
      <c r="R48" s="1397"/>
      <c r="S48" s="209"/>
      <c r="T48" s="210"/>
      <c r="AD48" s="177"/>
    </row>
    <row r="49" spans="2:30" ht="30" customHeight="1">
      <c r="B49" s="1407"/>
      <c r="C49" s="1408"/>
      <c r="D49" s="219"/>
      <c r="E49" s="206"/>
      <c r="F49" s="1396"/>
      <c r="G49" s="1397"/>
      <c r="H49" s="1397"/>
      <c r="I49" s="1397"/>
      <c r="J49" s="1397"/>
      <c r="K49" s="1397"/>
      <c r="L49" s="1397"/>
      <c r="M49" s="1397"/>
      <c r="N49" s="1397"/>
      <c r="O49" s="1397"/>
      <c r="P49" s="1397"/>
      <c r="Q49" s="1397"/>
      <c r="R49" s="1397"/>
      <c r="S49" s="209"/>
      <c r="T49" s="210"/>
      <c r="AD49" s="177"/>
    </row>
    <row r="50" spans="2:30" ht="30" customHeight="1" collapsed="1" thickBot="1">
      <c r="B50" s="1407"/>
      <c r="C50" s="1408"/>
      <c r="D50" s="205"/>
      <c r="E50" s="206"/>
      <c r="F50" s="1396"/>
      <c r="G50" s="1397"/>
      <c r="H50" s="1397"/>
      <c r="I50" s="1397"/>
      <c r="J50" s="1397"/>
      <c r="K50" s="1397"/>
      <c r="L50" s="1397"/>
      <c r="M50" s="1397"/>
      <c r="N50" s="1397"/>
      <c r="O50" s="1397"/>
      <c r="P50" s="1397"/>
      <c r="Q50" s="1397"/>
      <c r="R50" s="1397"/>
      <c r="S50" s="209"/>
      <c r="T50" s="210"/>
      <c r="AD50" s="177"/>
    </row>
    <row r="51" spans="2:30" ht="30" hidden="1" customHeight="1" outlineLevel="1">
      <c r="B51" s="1407"/>
      <c r="C51" s="1408"/>
      <c r="D51" s="219"/>
      <c r="E51" s="206"/>
      <c r="F51" s="1396"/>
      <c r="G51" s="1397"/>
      <c r="H51" s="1397"/>
      <c r="I51" s="1397"/>
      <c r="J51" s="1397"/>
      <c r="K51" s="1397"/>
      <c r="L51" s="1397"/>
      <c r="M51" s="1397"/>
      <c r="N51" s="1397"/>
      <c r="O51" s="1397"/>
      <c r="P51" s="1397"/>
      <c r="Q51" s="1397"/>
      <c r="R51" s="1397"/>
      <c r="S51" s="209"/>
      <c r="T51" s="210"/>
      <c r="AD51" s="177"/>
    </row>
    <row r="52" spans="2:30" ht="30" hidden="1" customHeight="1" outlineLevel="1">
      <c r="B52" s="1407"/>
      <c r="C52" s="1408"/>
      <c r="D52" s="205"/>
      <c r="E52" s="206"/>
      <c r="F52" s="1396"/>
      <c r="G52" s="1397"/>
      <c r="H52" s="1397"/>
      <c r="I52" s="1397"/>
      <c r="J52" s="1397"/>
      <c r="K52" s="1397"/>
      <c r="L52" s="1397"/>
      <c r="M52" s="1397"/>
      <c r="N52" s="1397"/>
      <c r="O52" s="1397"/>
      <c r="P52" s="1397"/>
      <c r="Q52" s="1397"/>
      <c r="R52" s="1397"/>
      <c r="S52" s="209"/>
      <c r="T52" s="210"/>
      <c r="AD52" s="177"/>
    </row>
    <row r="53" spans="2:30" ht="30" hidden="1" customHeight="1" outlineLevel="1">
      <c r="B53" s="1407"/>
      <c r="C53" s="1408"/>
      <c r="D53" s="205"/>
      <c r="E53" s="206"/>
      <c r="F53" s="1396"/>
      <c r="G53" s="1397"/>
      <c r="H53" s="1397"/>
      <c r="I53" s="1397"/>
      <c r="J53" s="1397"/>
      <c r="K53" s="1397"/>
      <c r="L53" s="1397"/>
      <c r="M53" s="1397"/>
      <c r="N53" s="1397"/>
      <c r="O53" s="1397"/>
      <c r="P53" s="1397"/>
      <c r="Q53" s="1397"/>
      <c r="R53" s="1397"/>
      <c r="S53" s="209"/>
      <c r="T53" s="210"/>
      <c r="AD53" s="177"/>
    </row>
    <row r="54" spans="2:30" ht="30" hidden="1" customHeight="1" outlineLevel="1">
      <c r="B54" s="1407"/>
      <c r="C54" s="1408"/>
      <c r="D54" s="219"/>
      <c r="E54" s="206"/>
      <c r="F54" s="1396"/>
      <c r="G54" s="1397"/>
      <c r="H54" s="1397"/>
      <c r="I54" s="1397"/>
      <c r="J54" s="1397"/>
      <c r="K54" s="1397"/>
      <c r="L54" s="1397"/>
      <c r="M54" s="1397"/>
      <c r="N54" s="1397"/>
      <c r="O54" s="1397"/>
      <c r="P54" s="1397"/>
      <c r="Q54" s="1397"/>
      <c r="R54" s="1397"/>
      <c r="S54" s="209"/>
      <c r="T54" s="210"/>
      <c r="AD54" s="177"/>
    </row>
    <row r="55" spans="2:30" ht="30" hidden="1" customHeight="1" outlineLevel="1">
      <c r="B55" s="1407"/>
      <c r="C55" s="1408"/>
      <c r="D55" s="205"/>
      <c r="E55" s="206"/>
      <c r="F55" s="1396"/>
      <c r="G55" s="1397"/>
      <c r="H55" s="1397"/>
      <c r="I55" s="1397"/>
      <c r="J55" s="1397"/>
      <c r="K55" s="1397"/>
      <c r="L55" s="1397"/>
      <c r="M55" s="1397"/>
      <c r="N55" s="1397"/>
      <c r="O55" s="1397"/>
      <c r="P55" s="1397"/>
      <c r="Q55" s="1397"/>
      <c r="R55" s="1397"/>
      <c r="S55" s="209"/>
      <c r="T55" s="210"/>
      <c r="AD55" s="177"/>
    </row>
    <row r="56" spans="2:30" ht="30" hidden="1" customHeight="1" outlineLevel="1">
      <c r="B56" s="1407"/>
      <c r="C56" s="1408"/>
      <c r="D56" s="219"/>
      <c r="E56" s="206"/>
      <c r="F56" s="1396"/>
      <c r="G56" s="1397"/>
      <c r="H56" s="1397"/>
      <c r="I56" s="1397"/>
      <c r="J56" s="1397"/>
      <c r="K56" s="1397"/>
      <c r="L56" s="1397"/>
      <c r="M56" s="1397"/>
      <c r="N56" s="1397"/>
      <c r="O56" s="1397"/>
      <c r="P56" s="1397"/>
      <c r="Q56" s="1397"/>
      <c r="R56" s="1397"/>
      <c r="S56" s="209"/>
      <c r="T56" s="210"/>
      <c r="AD56" s="177"/>
    </row>
    <row r="57" spans="2:30" ht="30" hidden="1" customHeight="1" outlineLevel="1">
      <c r="B57" s="1407"/>
      <c r="C57" s="1408"/>
      <c r="D57" s="205"/>
      <c r="E57" s="206"/>
      <c r="F57" s="1396"/>
      <c r="G57" s="1397"/>
      <c r="H57" s="1397"/>
      <c r="I57" s="1397"/>
      <c r="J57" s="1397"/>
      <c r="K57" s="1397"/>
      <c r="L57" s="1397"/>
      <c r="M57" s="1397"/>
      <c r="N57" s="1397"/>
      <c r="O57" s="1397"/>
      <c r="P57" s="1397"/>
      <c r="Q57" s="1397"/>
      <c r="R57" s="1397"/>
      <c r="S57" s="209"/>
      <c r="T57" s="210"/>
      <c r="AD57" s="177"/>
    </row>
    <row r="58" spans="2:30" ht="30" hidden="1" customHeight="1" outlineLevel="1">
      <c r="B58" s="1407"/>
      <c r="C58" s="1408"/>
      <c r="D58" s="219"/>
      <c r="E58" s="206"/>
      <c r="F58" s="1396"/>
      <c r="G58" s="1397"/>
      <c r="H58" s="1397"/>
      <c r="I58" s="1397"/>
      <c r="J58" s="1397"/>
      <c r="K58" s="1397"/>
      <c r="L58" s="1397"/>
      <c r="M58" s="1397"/>
      <c r="N58" s="1397"/>
      <c r="O58" s="1397"/>
      <c r="P58" s="1397"/>
      <c r="Q58" s="1397"/>
      <c r="R58" s="1397"/>
      <c r="S58" s="209"/>
      <c r="T58" s="210"/>
      <c r="AD58" s="177"/>
    </row>
    <row r="59" spans="2:30" ht="30" hidden="1" customHeight="1" outlineLevel="1">
      <c r="B59" s="1407"/>
      <c r="C59" s="1408"/>
      <c r="D59" s="205"/>
      <c r="E59" s="206"/>
      <c r="F59" s="1396"/>
      <c r="G59" s="1397"/>
      <c r="H59" s="1397"/>
      <c r="I59" s="1397"/>
      <c r="J59" s="1397"/>
      <c r="K59" s="1397"/>
      <c r="L59" s="1397"/>
      <c r="M59" s="1397"/>
      <c r="N59" s="1397"/>
      <c r="O59" s="1397"/>
      <c r="P59" s="1397"/>
      <c r="Q59" s="1397"/>
      <c r="R59" s="1397"/>
      <c r="S59" s="209"/>
      <c r="T59" s="210"/>
      <c r="AD59" s="177"/>
    </row>
    <row r="60" spans="2:30" ht="30" hidden="1" customHeight="1" outlineLevel="1">
      <c r="B60" s="1407"/>
      <c r="C60" s="1408"/>
      <c r="D60" s="219"/>
      <c r="E60" s="206"/>
      <c r="F60" s="1396"/>
      <c r="G60" s="1397"/>
      <c r="H60" s="1397"/>
      <c r="I60" s="1397"/>
      <c r="J60" s="1397"/>
      <c r="K60" s="1397"/>
      <c r="L60" s="1397"/>
      <c r="M60" s="1397"/>
      <c r="N60" s="1397"/>
      <c r="O60" s="1397"/>
      <c r="P60" s="1397"/>
      <c r="Q60" s="1397"/>
      <c r="R60" s="1398"/>
      <c r="S60" s="209"/>
      <c r="T60" s="210"/>
      <c r="AD60" s="177"/>
    </row>
    <row r="61" spans="2:30" ht="30" hidden="1" customHeight="1" outlineLevel="1" thickBot="1">
      <c r="B61" s="1407"/>
      <c r="C61" s="1408"/>
      <c r="D61" s="205"/>
      <c r="E61" s="206"/>
      <c r="F61" s="1396"/>
      <c r="G61" s="1397"/>
      <c r="H61" s="1397"/>
      <c r="I61" s="1397"/>
      <c r="J61" s="1397"/>
      <c r="K61" s="1397"/>
      <c r="L61" s="1397"/>
      <c r="M61" s="1397"/>
      <c r="N61" s="1397"/>
      <c r="O61" s="1397"/>
      <c r="P61" s="1397"/>
      <c r="Q61" s="1397"/>
      <c r="R61" s="1398"/>
      <c r="S61" s="209"/>
      <c r="T61" s="210"/>
      <c r="AD61" s="177"/>
    </row>
    <row r="62" spans="2:30" ht="30" customHeight="1" thickTop="1" thickBot="1">
      <c r="B62" s="1407"/>
      <c r="C62" s="1408"/>
      <c r="D62" s="1392" t="s">
        <v>209</v>
      </c>
      <c r="E62" s="1393"/>
      <c r="F62" s="1394" t="s">
        <v>210</v>
      </c>
      <c r="G62" s="1395"/>
      <c r="H62" s="1395"/>
      <c r="I62" s="1395"/>
      <c r="J62" s="1395"/>
      <c r="K62" s="1395"/>
      <c r="L62" s="1395"/>
      <c r="M62" s="1395"/>
      <c r="N62" s="1395"/>
      <c r="O62" s="1395"/>
      <c r="P62" s="1395"/>
      <c r="Q62" s="1395"/>
      <c r="R62" s="1395"/>
      <c r="S62" s="220"/>
      <c r="T62" s="202"/>
      <c r="W62" s="213"/>
      <c r="AD62" s="177"/>
    </row>
    <row r="63" spans="2:30" ht="30" customHeight="1" thickTop="1">
      <c r="B63" s="1407"/>
      <c r="C63" s="1408"/>
      <c r="D63" s="219"/>
      <c r="E63" s="206"/>
      <c r="F63" s="1396"/>
      <c r="G63" s="1397"/>
      <c r="H63" s="1397"/>
      <c r="I63" s="1397"/>
      <c r="J63" s="1397"/>
      <c r="K63" s="1397"/>
      <c r="L63" s="1397"/>
      <c r="M63" s="1397"/>
      <c r="N63" s="1397"/>
      <c r="O63" s="1397"/>
      <c r="P63" s="1397"/>
      <c r="Q63" s="1397"/>
      <c r="R63" s="1397"/>
      <c r="S63" s="221"/>
      <c r="T63" s="222"/>
      <c r="W63" s="213"/>
    </row>
    <row r="64" spans="2:30" ht="30" customHeight="1">
      <c r="B64" s="1407"/>
      <c r="C64" s="1408"/>
      <c r="D64" s="205"/>
      <c r="E64" s="206"/>
      <c r="F64" s="1396"/>
      <c r="G64" s="1397"/>
      <c r="H64" s="1397"/>
      <c r="I64" s="1397"/>
      <c r="J64" s="1397"/>
      <c r="K64" s="1397"/>
      <c r="L64" s="1397"/>
      <c r="M64" s="1397"/>
      <c r="N64" s="1397"/>
      <c r="O64" s="1397"/>
      <c r="P64" s="1397"/>
      <c r="Q64" s="1397"/>
      <c r="R64" s="1397"/>
      <c r="S64" s="209"/>
      <c r="T64" s="210"/>
      <c r="W64" s="213"/>
    </row>
    <row r="65" spans="2:29" ht="30" customHeight="1">
      <c r="B65" s="1407"/>
      <c r="C65" s="1408"/>
      <c r="D65" s="219"/>
      <c r="E65" s="206"/>
      <c r="F65" s="1396"/>
      <c r="G65" s="1397"/>
      <c r="H65" s="1397"/>
      <c r="I65" s="1397"/>
      <c r="J65" s="1397"/>
      <c r="K65" s="1397"/>
      <c r="L65" s="1397"/>
      <c r="M65" s="1397"/>
      <c r="N65" s="1397"/>
      <c r="O65" s="1397"/>
      <c r="P65" s="1397"/>
      <c r="Q65" s="1397"/>
      <c r="R65" s="1397"/>
      <c r="S65" s="209"/>
      <c r="T65" s="210"/>
      <c r="W65" s="213"/>
    </row>
    <row r="66" spans="2:29" ht="30" customHeight="1" collapsed="1" thickBot="1">
      <c r="B66" s="1407"/>
      <c r="C66" s="1408"/>
      <c r="D66" s="205"/>
      <c r="E66" s="206"/>
      <c r="F66" s="1396"/>
      <c r="G66" s="1397"/>
      <c r="H66" s="1397"/>
      <c r="I66" s="1397"/>
      <c r="J66" s="1397"/>
      <c r="K66" s="1397"/>
      <c r="L66" s="1397"/>
      <c r="M66" s="1397"/>
      <c r="N66" s="1397"/>
      <c r="O66" s="1397"/>
      <c r="P66" s="1397"/>
      <c r="Q66" s="1397"/>
      <c r="R66" s="1397"/>
      <c r="S66" s="209"/>
      <c r="T66" s="210"/>
      <c r="W66" s="213"/>
    </row>
    <row r="67" spans="2:29" ht="30" hidden="1" customHeight="1" outlineLevel="1">
      <c r="B67" s="1407"/>
      <c r="C67" s="1408"/>
      <c r="D67" s="219"/>
      <c r="E67" s="206"/>
      <c r="F67" s="1396"/>
      <c r="G67" s="1397"/>
      <c r="H67" s="1397"/>
      <c r="I67" s="1397"/>
      <c r="J67" s="1397"/>
      <c r="K67" s="1397"/>
      <c r="L67" s="1397"/>
      <c r="M67" s="1397"/>
      <c r="N67" s="1397"/>
      <c r="O67" s="1397"/>
      <c r="P67" s="1397"/>
      <c r="Q67" s="1397"/>
      <c r="R67" s="1397"/>
      <c r="S67" s="209"/>
      <c r="T67" s="210"/>
      <c r="W67" s="213"/>
    </row>
    <row r="68" spans="2:29" ht="30" hidden="1" customHeight="1" outlineLevel="1">
      <c r="B68" s="1407"/>
      <c r="C68" s="1408"/>
      <c r="D68" s="205"/>
      <c r="E68" s="206"/>
      <c r="F68" s="1396"/>
      <c r="G68" s="1397"/>
      <c r="H68" s="1397"/>
      <c r="I68" s="1397"/>
      <c r="J68" s="1397"/>
      <c r="K68" s="1397"/>
      <c r="L68" s="1397"/>
      <c r="M68" s="1397"/>
      <c r="N68" s="1397"/>
      <c r="O68" s="1397"/>
      <c r="P68" s="1397"/>
      <c r="Q68" s="1397"/>
      <c r="R68" s="1397"/>
      <c r="S68" s="209"/>
      <c r="T68" s="210"/>
      <c r="W68" s="213"/>
    </row>
    <row r="69" spans="2:29" ht="30" hidden="1" customHeight="1" outlineLevel="1">
      <c r="B69" s="1407"/>
      <c r="C69" s="1408"/>
      <c r="D69" s="205"/>
      <c r="E69" s="206"/>
      <c r="F69" s="1396"/>
      <c r="G69" s="1397"/>
      <c r="H69" s="1397"/>
      <c r="I69" s="1397"/>
      <c r="J69" s="1397"/>
      <c r="K69" s="1397"/>
      <c r="L69" s="1397"/>
      <c r="M69" s="1397"/>
      <c r="N69" s="1397"/>
      <c r="O69" s="1397"/>
      <c r="P69" s="1397"/>
      <c r="Q69" s="1397"/>
      <c r="R69" s="1397"/>
      <c r="S69" s="209"/>
      <c r="T69" s="210"/>
      <c r="W69" s="213"/>
    </row>
    <row r="70" spans="2:29" ht="30" hidden="1" customHeight="1" outlineLevel="1">
      <c r="B70" s="1407"/>
      <c r="C70" s="1408"/>
      <c r="D70" s="219"/>
      <c r="E70" s="206"/>
      <c r="F70" s="1396"/>
      <c r="G70" s="1397"/>
      <c r="H70" s="1397"/>
      <c r="I70" s="1397"/>
      <c r="J70" s="1397"/>
      <c r="K70" s="1397"/>
      <c r="L70" s="1397"/>
      <c r="M70" s="1397"/>
      <c r="N70" s="1397"/>
      <c r="O70" s="1397"/>
      <c r="P70" s="1397"/>
      <c r="Q70" s="1397"/>
      <c r="R70" s="1397"/>
      <c r="S70" s="209"/>
      <c r="T70" s="210"/>
      <c r="W70" s="213"/>
    </row>
    <row r="71" spans="2:29" ht="30" hidden="1" customHeight="1" outlineLevel="1">
      <c r="B71" s="1407"/>
      <c r="C71" s="1408"/>
      <c r="D71" s="205"/>
      <c r="E71" s="206"/>
      <c r="F71" s="1396"/>
      <c r="G71" s="1397"/>
      <c r="H71" s="1397"/>
      <c r="I71" s="1397"/>
      <c r="J71" s="1397"/>
      <c r="K71" s="1397"/>
      <c r="L71" s="1397"/>
      <c r="M71" s="1397"/>
      <c r="N71" s="1397"/>
      <c r="O71" s="1397"/>
      <c r="P71" s="1397"/>
      <c r="Q71" s="1397"/>
      <c r="R71" s="1397"/>
      <c r="S71" s="209"/>
      <c r="T71" s="210"/>
      <c r="W71" s="213"/>
    </row>
    <row r="72" spans="2:29" ht="30" hidden="1" customHeight="1" outlineLevel="1">
      <c r="B72" s="1407"/>
      <c r="C72" s="1408"/>
      <c r="D72" s="219"/>
      <c r="E72" s="206"/>
      <c r="F72" s="1396"/>
      <c r="G72" s="1397"/>
      <c r="H72" s="1397"/>
      <c r="I72" s="1397"/>
      <c r="J72" s="1397"/>
      <c r="K72" s="1397"/>
      <c r="L72" s="1397"/>
      <c r="M72" s="1397"/>
      <c r="N72" s="1397"/>
      <c r="O72" s="1397"/>
      <c r="P72" s="1397"/>
      <c r="Q72" s="1397"/>
      <c r="R72" s="1397"/>
      <c r="S72" s="209"/>
      <c r="T72" s="210"/>
      <c r="W72" s="213"/>
    </row>
    <row r="73" spans="2:29" ht="30" hidden="1" customHeight="1" outlineLevel="1">
      <c r="B73" s="1407"/>
      <c r="C73" s="1408"/>
      <c r="D73" s="205"/>
      <c r="E73" s="206"/>
      <c r="F73" s="1396"/>
      <c r="G73" s="1397"/>
      <c r="H73" s="1397"/>
      <c r="I73" s="1397"/>
      <c r="J73" s="1397"/>
      <c r="K73" s="1397"/>
      <c r="L73" s="1397"/>
      <c r="M73" s="1397"/>
      <c r="N73" s="1397"/>
      <c r="O73" s="1397"/>
      <c r="P73" s="1397"/>
      <c r="Q73" s="1397"/>
      <c r="R73" s="1397"/>
      <c r="S73" s="209"/>
      <c r="T73" s="210"/>
      <c r="W73" s="213"/>
    </row>
    <row r="74" spans="2:29" ht="30" hidden="1" customHeight="1" outlineLevel="1">
      <c r="B74" s="1407"/>
      <c r="C74" s="1408"/>
      <c r="D74" s="219"/>
      <c r="E74" s="206"/>
      <c r="F74" s="1396"/>
      <c r="G74" s="1397"/>
      <c r="H74" s="1397"/>
      <c r="I74" s="1397"/>
      <c r="J74" s="1397"/>
      <c r="K74" s="1397"/>
      <c r="L74" s="1397"/>
      <c r="M74" s="1397"/>
      <c r="N74" s="1397"/>
      <c r="O74" s="1397"/>
      <c r="P74" s="1397"/>
      <c r="Q74" s="1397"/>
      <c r="R74" s="1397"/>
      <c r="S74" s="209"/>
      <c r="T74" s="210"/>
      <c r="W74" s="213"/>
    </row>
    <row r="75" spans="2:29" ht="30" hidden="1" customHeight="1" outlineLevel="1">
      <c r="B75" s="1407"/>
      <c r="C75" s="1408"/>
      <c r="D75" s="205"/>
      <c r="E75" s="206"/>
      <c r="F75" s="1396"/>
      <c r="G75" s="1397"/>
      <c r="H75" s="1397"/>
      <c r="I75" s="1397"/>
      <c r="J75" s="1397"/>
      <c r="K75" s="1397"/>
      <c r="L75" s="1397"/>
      <c r="M75" s="1397"/>
      <c r="N75" s="1397"/>
      <c r="O75" s="1397"/>
      <c r="P75" s="1397"/>
      <c r="Q75" s="1397"/>
      <c r="R75" s="1397"/>
      <c r="S75" s="209"/>
      <c r="T75" s="210"/>
      <c r="W75" s="213"/>
    </row>
    <row r="76" spans="2:29" ht="30" hidden="1" customHeight="1" outlineLevel="1">
      <c r="B76" s="1407"/>
      <c r="C76" s="1408"/>
      <c r="D76" s="219"/>
      <c r="E76" s="206"/>
      <c r="F76" s="1396"/>
      <c r="G76" s="1397"/>
      <c r="H76" s="1397"/>
      <c r="I76" s="1397"/>
      <c r="J76" s="1397"/>
      <c r="K76" s="1397"/>
      <c r="L76" s="1397"/>
      <c r="M76" s="1397"/>
      <c r="N76" s="1397"/>
      <c r="O76" s="1397"/>
      <c r="P76" s="1397"/>
      <c r="Q76" s="1397"/>
      <c r="R76" s="1398"/>
      <c r="S76" s="209"/>
      <c r="T76" s="210"/>
      <c r="W76" s="213"/>
    </row>
    <row r="77" spans="2:29" ht="30" hidden="1" customHeight="1" outlineLevel="1" thickBot="1">
      <c r="B77" s="1407"/>
      <c r="C77" s="1408"/>
      <c r="D77" s="205"/>
      <c r="E77" s="206"/>
      <c r="F77" s="1381"/>
      <c r="G77" s="1382"/>
      <c r="H77" s="1382"/>
      <c r="I77" s="1382"/>
      <c r="J77" s="1382"/>
      <c r="K77" s="1382"/>
      <c r="L77" s="1382"/>
      <c r="M77" s="1382"/>
      <c r="N77" s="1382"/>
      <c r="O77" s="1382"/>
      <c r="P77" s="1382"/>
      <c r="Q77" s="1382"/>
      <c r="R77" s="1399"/>
      <c r="S77" s="223"/>
      <c r="T77" s="224"/>
      <c r="W77" s="213"/>
    </row>
    <row r="78" spans="2:29" ht="30" customHeight="1" thickTop="1">
      <c r="B78" s="1407"/>
      <c r="C78" s="1408"/>
      <c r="D78" s="1315" t="s">
        <v>211</v>
      </c>
      <c r="E78" s="1261"/>
      <c r="F78" s="1370" t="s">
        <v>212</v>
      </c>
      <c r="G78" s="1371"/>
      <c r="H78" s="1371"/>
      <c r="I78" s="1371"/>
      <c r="J78" s="1371"/>
      <c r="K78" s="1371"/>
      <c r="L78" s="1371"/>
      <c r="M78" s="1371"/>
      <c r="N78" s="1371"/>
      <c r="O78" s="1371"/>
      <c r="P78" s="1371"/>
      <c r="Q78" s="1371"/>
      <c r="R78" s="1371"/>
      <c r="S78" s="225"/>
      <c r="T78" s="226"/>
      <c r="W78" s="213"/>
      <c r="X78" s="211" t="s">
        <v>213</v>
      </c>
      <c r="Y78" s="150"/>
      <c r="AA78" s="212"/>
      <c r="AB78" s="212"/>
    </row>
    <row r="79" spans="2:29" ht="30" customHeight="1" thickBot="1">
      <c r="B79" s="1409"/>
      <c r="C79" s="1410"/>
      <c r="D79" s="1315" t="s">
        <v>203</v>
      </c>
      <c r="E79" s="1261"/>
      <c r="F79" s="1373" t="s">
        <v>214</v>
      </c>
      <c r="G79" s="1374"/>
      <c r="H79" s="1374"/>
      <c r="I79" s="1374"/>
      <c r="J79" s="1374"/>
      <c r="K79" s="1374"/>
      <c r="L79" s="1374"/>
      <c r="M79" s="1374"/>
      <c r="N79" s="1374"/>
      <c r="O79" s="1374"/>
      <c r="P79" s="1374"/>
      <c r="Q79" s="1374"/>
      <c r="R79" s="1374"/>
      <c r="S79" s="227"/>
      <c r="T79" s="228"/>
      <c r="X79" s="1372" t="s">
        <v>55</v>
      </c>
      <c r="Y79" s="1372"/>
      <c r="Z79" s="1372"/>
      <c r="AA79" s="229" t="s">
        <v>194</v>
      </c>
      <c r="AB79" s="229" t="str">
        <f>"単価（円/"&amp;リスト!$C$23&amp;"kg）"</f>
        <v>単価（円/60kg）</v>
      </c>
      <c r="AC79" s="132" t="s">
        <v>195</v>
      </c>
    </row>
    <row r="80" spans="2:29" ht="30" customHeight="1" thickTop="1">
      <c r="B80" s="1376" t="s">
        <v>215</v>
      </c>
      <c r="C80" s="1377"/>
      <c r="D80" s="1315" t="s">
        <v>216</v>
      </c>
      <c r="E80" s="1261"/>
      <c r="F80" s="1381" t="s">
        <v>217</v>
      </c>
      <c r="G80" s="1382"/>
      <c r="H80" s="1382"/>
      <c r="I80" s="1382"/>
      <c r="J80" s="1382"/>
      <c r="K80" s="1382"/>
      <c r="L80" s="1382"/>
      <c r="M80" s="1382"/>
      <c r="N80" s="1382"/>
      <c r="O80" s="1382"/>
      <c r="P80" s="1382"/>
      <c r="Q80" s="1382"/>
      <c r="R80" s="1382"/>
      <c r="S80" s="230"/>
      <c r="T80" s="1383"/>
      <c r="W80" s="213"/>
      <c r="X80" s="1386" t="s">
        <v>218</v>
      </c>
      <c r="Y80" s="1375" t="s">
        <v>216</v>
      </c>
      <c r="Z80" s="1375"/>
      <c r="AA80" s="231">
        <f>S80</f>
        <v>0</v>
      </c>
      <c r="AB80" s="232"/>
      <c r="AC80" s="233">
        <f>ROUND(AA80/リスト!$C$23*AB80,)</f>
        <v>0</v>
      </c>
    </row>
    <row r="81" spans="2:31" ht="30" customHeight="1">
      <c r="B81" s="1378"/>
      <c r="C81" s="1377"/>
      <c r="D81" s="1315" t="s">
        <v>219</v>
      </c>
      <c r="E81" s="1261"/>
      <c r="F81" s="1373" t="s">
        <v>220</v>
      </c>
      <c r="G81" s="1374"/>
      <c r="H81" s="1374"/>
      <c r="I81" s="1374"/>
      <c r="J81" s="1374"/>
      <c r="K81" s="1374"/>
      <c r="L81" s="1374"/>
      <c r="M81" s="1374"/>
      <c r="N81" s="1374"/>
      <c r="O81" s="1374"/>
      <c r="P81" s="1374"/>
      <c r="Q81" s="1374"/>
      <c r="R81" s="1374"/>
      <c r="S81" s="227"/>
      <c r="T81" s="1384"/>
      <c r="W81" s="213"/>
      <c r="X81" s="1387"/>
      <c r="Y81" s="1375" t="s">
        <v>219</v>
      </c>
      <c r="Z81" s="1375"/>
      <c r="AA81" s="231">
        <f>S81</f>
        <v>0</v>
      </c>
      <c r="AB81" s="234"/>
      <c r="AC81" s="233">
        <f>ROUND(AA81/リスト!$C$23*AB81,)</f>
        <v>0</v>
      </c>
    </row>
    <row r="82" spans="2:31" ht="30" customHeight="1" thickBot="1">
      <c r="B82" s="1378"/>
      <c r="C82" s="1377"/>
      <c r="D82" s="1315" t="s">
        <v>221</v>
      </c>
      <c r="E82" s="1261"/>
      <c r="F82" s="1370" t="s">
        <v>222</v>
      </c>
      <c r="G82" s="1371"/>
      <c r="H82" s="1371"/>
      <c r="I82" s="1371"/>
      <c r="J82" s="1371"/>
      <c r="K82" s="1371"/>
      <c r="L82" s="1371"/>
      <c r="M82" s="1371"/>
      <c r="N82" s="1371"/>
      <c r="O82" s="1371"/>
      <c r="P82" s="1371"/>
      <c r="Q82" s="1371"/>
      <c r="R82" s="1371"/>
      <c r="S82" s="227"/>
      <c r="T82" s="1384"/>
      <c r="W82" s="213"/>
      <c r="X82" s="1388"/>
      <c r="Y82" s="1368" t="s">
        <v>203</v>
      </c>
      <c r="Z82" s="1369"/>
      <c r="AA82" s="231">
        <f>S84</f>
        <v>0</v>
      </c>
      <c r="AB82" s="235"/>
      <c r="AC82" s="233">
        <f>ROUND(AA82/リスト!$C$23*AB82,)</f>
        <v>0</v>
      </c>
    </row>
    <row r="83" spans="2:31" ht="30" customHeight="1" thickTop="1">
      <c r="B83" s="1378"/>
      <c r="C83" s="1377"/>
      <c r="D83" s="1315" t="s">
        <v>211</v>
      </c>
      <c r="E83" s="1261"/>
      <c r="F83" s="1370" t="s">
        <v>223</v>
      </c>
      <c r="G83" s="1371"/>
      <c r="H83" s="1371"/>
      <c r="I83" s="1371"/>
      <c r="J83" s="1371"/>
      <c r="K83" s="1371"/>
      <c r="L83" s="1371"/>
      <c r="M83" s="1371"/>
      <c r="N83" s="1371"/>
      <c r="O83" s="1371"/>
      <c r="P83" s="1371"/>
      <c r="Q83" s="1371"/>
      <c r="R83" s="1371"/>
      <c r="S83" s="227"/>
      <c r="T83" s="1384"/>
      <c r="W83" s="213"/>
      <c r="X83" s="1372" t="s">
        <v>224</v>
      </c>
      <c r="Y83" s="1372"/>
      <c r="Z83" s="1372"/>
      <c r="AA83" s="203">
        <f>SUM(AA80:AA82)</f>
        <v>0</v>
      </c>
      <c r="AB83" s="204">
        <f>IF(AND(AA83&gt;0,AC83&gt;0),ROUND(AC83/AA83*リスト!$C$23,2),)</f>
        <v>0</v>
      </c>
      <c r="AC83" s="203">
        <f>SUM(AC80:AC82)</f>
        <v>0</v>
      </c>
    </row>
    <row r="84" spans="2:31" ht="30" customHeight="1" thickBot="1">
      <c r="B84" s="1379"/>
      <c r="C84" s="1380"/>
      <c r="D84" s="1337" t="s">
        <v>203</v>
      </c>
      <c r="E84" s="1389"/>
      <c r="F84" s="1390" t="s">
        <v>225</v>
      </c>
      <c r="G84" s="1391"/>
      <c r="H84" s="1391"/>
      <c r="I84" s="1391"/>
      <c r="J84" s="1391"/>
      <c r="K84" s="1391"/>
      <c r="L84" s="1391"/>
      <c r="M84" s="1391"/>
      <c r="N84" s="1391"/>
      <c r="O84" s="1391"/>
      <c r="P84" s="1391"/>
      <c r="Q84" s="1391"/>
      <c r="R84" s="1391"/>
      <c r="S84" s="236"/>
      <c r="T84" s="1385"/>
      <c r="W84" s="213"/>
    </row>
    <row r="85" spans="2:31" ht="30" customHeight="1">
      <c r="B85" s="149" t="s">
        <v>1299</v>
      </c>
      <c r="C85" s="237"/>
      <c r="D85" s="146"/>
      <c r="E85" s="238"/>
      <c r="F85" s="239"/>
      <c r="G85" s="239"/>
      <c r="H85" s="239"/>
      <c r="I85" s="239"/>
      <c r="J85" s="239"/>
      <c r="K85" s="239"/>
      <c r="L85" s="239"/>
      <c r="M85" s="239"/>
      <c r="N85" s="239"/>
      <c r="O85" s="239"/>
      <c r="P85" s="239"/>
      <c r="Q85" s="239"/>
      <c r="R85" s="239"/>
      <c r="T85" s="240"/>
      <c r="W85" s="213"/>
    </row>
    <row r="86" spans="2:31" ht="30" customHeight="1">
      <c r="B86" s="241"/>
      <c r="W86" s="21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2"/>
      <c r="E107" s="242"/>
      <c r="AD107" s="177"/>
    </row>
    <row r="108" spans="4:30" ht="14.25" customHeight="1">
      <c r="D108" s="242"/>
      <c r="E108" s="242"/>
    </row>
    <row r="109" spans="4:30" ht="14.25" customHeight="1">
      <c r="X109" s="177"/>
      <c r="Y109" s="177"/>
      <c r="Z109" s="177"/>
      <c r="AA109" s="177"/>
      <c r="AB109" s="177"/>
      <c r="AC109" s="177"/>
    </row>
    <row r="114" spans="8:19" ht="14.25" customHeight="1">
      <c r="H114" s="73"/>
      <c r="I114" s="73"/>
      <c r="J114" s="243"/>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5"/>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allowBlank="1" showInputMessage="1" showErrorMessage="1" sqref="AC3:AF3" xr:uid="{00000000-0002-0000-0600-000003000000}">
      <formula1>1</formula1>
      <formula2>15</formula2>
    </dataValidation>
  </dataValidations>
  <pageMargins left="0.39370078740157483" right="0.59055118110236227" top="0.59055118110236227" bottom="0.59055118110236227" header="0" footer="0.19685039370078741"/>
  <pageSetup paperSize="9" scale="55" firstPageNumber="8" orientation="landscape" cellComments="asDisplayed" r:id="rId1"/>
  <headerFooter alignWithMargins="0"/>
  <drawing r:id="rId2"/>
  <legacyDrawing r:id="rId3"/>
  <controls>
    <mc:AlternateContent xmlns:mc="http://schemas.openxmlformats.org/markup-compatibility/2006">
      <mc:Choice Requires="x14">
        <control shapeId="23557" r:id="rId4" name="btnKoushin1">
          <controlPr defaultSize="0" print="0" autoLine="0" r:id="rId5">
            <anchor moveWithCells="1">
              <from>
                <xdr:col>32</xdr:col>
                <xdr:colOff>114300</xdr:colOff>
                <xdr:row>1</xdr:row>
                <xdr:rowOff>0</xdr:rowOff>
              </from>
              <to>
                <xdr:col>38</xdr:col>
                <xdr:colOff>66675</xdr:colOff>
                <xdr:row>3</xdr:row>
                <xdr:rowOff>9525</xdr:rowOff>
              </to>
            </anchor>
          </controlPr>
        </control>
      </mc:Choice>
      <mc:Fallback>
        <control shapeId="2355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H69"/>
  <sheetViews>
    <sheetView showGridLines="0" zoomScale="80" zoomScaleNormal="80" zoomScaleSheetLayoutView="80" workbookViewId="0">
      <selection activeCell="AE20" sqref="AE20"/>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9" width="2.625" style="2"/>
    <col min="20"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34" width="2.625" style="2" outlineLevel="1"/>
    <col min="35" max="16384" width="2.625" style="2"/>
  </cols>
  <sheetData>
    <row r="1" spans="1:32" ht="14.25" customHeight="1">
      <c r="T1" s="150" t="s">
        <v>182</v>
      </c>
      <c r="Z1" s="244"/>
    </row>
    <row r="2" spans="1:32" s="30" customFormat="1" ht="18" customHeight="1">
      <c r="A2" s="151" t="s">
        <v>226</v>
      </c>
      <c r="S2" s="2"/>
      <c r="T2" s="2"/>
      <c r="U2" s="2"/>
      <c r="V2" s="2"/>
      <c r="W2" s="2"/>
      <c r="X2" s="2"/>
      <c r="Y2" s="2"/>
      <c r="Z2" s="244"/>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44"/>
    </row>
    <row r="4" spans="1:32" s="30" customFormat="1" ht="18" customHeight="1">
      <c r="A4" s="106"/>
      <c r="B4" s="106" t="s">
        <v>1434</v>
      </c>
      <c r="C4" s="130"/>
      <c r="D4" s="130"/>
      <c r="E4" s="130"/>
      <c r="F4" s="130"/>
      <c r="G4" s="130"/>
      <c r="H4" s="130"/>
      <c r="I4" s="130"/>
      <c r="J4" s="130"/>
      <c r="K4" s="130"/>
      <c r="L4" s="130"/>
      <c r="M4" s="130"/>
      <c r="N4" s="2"/>
      <c r="O4" s="2"/>
      <c r="P4" s="2"/>
      <c r="Q4" s="2"/>
      <c r="T4" s="106" t="s">
        <v>1435</v>
      </c>
      <c r="U4" s="2"/>
      <c r="V4" s="73"/>
      <c r="W4" s="73"/>
      <c r="X4" s="73"/>
      <c r="Y4" s="73"/>
      <c r="Z4" s="245"/>
      <c r="AA4" s="2"/>
      <c r="AB4" s="2"/>
      <c r="AC4" s="2"/>
      <c r="AD4" s="2"/>
      <c r="AE4" s="2"/>
      <c r="AF4" s="2"/>
    </row>
    <row r="5" spans="1:32" s="30" customFormat="1" ht="14.25" customHeight="1">
      <c r="A5" s="58"/>
      <c r="C5" s="58" t="s">
        <v>1436</v>
      </c>
      <c r="D5" s="108"/>
      <c r="E5" s="108"/>
      <c r="F5" s="108"/>
      <c r="G5" s="108"/>
      <c r="H5" s="108"/>
      <c r="I5" s="108"/>
      <c r="J5" s="108"/>
      <c r="K5" s="108"/>
      <c r="L5" s="108"/>
      <c r="M5" s="108"/>
      <c r="N5" s="108"/>
      <c r="Q5" s="2"/>
      <c r="T5" s="58"/>
      <c r="U5" s="2"/>
    </row>
    <row r="6" spans="1:32" s="30" customFormat="1" ht="14.25" customHeight="1">
      <c r="A6" s="58"/>
      <c r="C6" s="58" t="s">
        <v>227</v>
      </c>
      <c r="D6" s="108"/>
      <c r="E6" s="108"/>
      <c r="F6" s="108"/>
      <c r="G6" s="108"/>
      <c r="H6" s="108"/>
      <c r="I6" s="108"/>
      <c r="J6" s="108"/>
      <c r="K6" s="108"/>
      <c r="L6" s="108"/>
      <c r="M6" s="108"/>
      <c r="N6" s="108"/>
      <c r="Q6" s="2"/>
      <c r="S6" s="108"/>
      <c r="T6" s="51"/>
      <c r="U6" s="177"/>
      <c r="V6" s="2"/>
    </row>
    <row r="7" spans="1:32" s="30" customFormat="1" ht="14.25" customHeight="1">
      <c r="A7" s="51"/>
      <c r="C7" s="58" t="s">
        <v>228</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229</v>
      </c>
      <c r="D9" s="108"/>
      <c r="E9" s="108"/>
      <c r="F9" s="108"/>
      <c r="G9" s="108"/>
      <c r="H9" s="108"/>
      <c r="I9" s="108"/>
      <c r="J9" s="108"/>
      <c r="K9" s="108"/>
      <c r="L9" s="108"/>
      <c r="M9" s="108"/>
      <c r="N9" s="108"/>
      <c r="O9" s="30"/>
      <c r="P9" s="240"/>
      <c r="Q9" s="240"/>
      <c r="S9" s="246"/>
      <c r="T9" s="128" t="s">
        <v>230</v>
      </c>
      <c r="U9" s="106" t="s">
        <v>229</v>
      </c>
      <c r="V9" s="177"/>
      <c r="W9" s="177"/>
      <c r="AA9" s="211" t="s">
        <v>231</v>
      </c>
      <c r="AB9" s="177"/>
      <c r="AC9" s="177"/>
      <c r="AD9" s="177"/>
      <c r="AE9" s="177"/>
      <c r="AF9" s="177"/>
    </row>
    <row r="10" spans="1:32" ht="14.1" customHeight="1">
      <c r="A10" s="51"/>
      <c r="B10" s="30"/>
      <c r="C10" s="30"/>
      <c r="D10" s="58" t="s">
        <v>232</v>
      </c>
      <c r="E10" s="108"/>
      <c r="F10" s="108"/>
      <c r="G10" s="108"/>
      <c r="H10" s="108"/>
      <c r="I10" s="108"/>
      <c r="J10" s="108"/>
      <c r="K10" s="108"/>
      <c r="L10" s="108"/>
      <c r="M10" s="108"/>
      <c r="N10" s="108"/>
      <c r="O10" s="30"/>
      <c r="P10" s="240"/>
      <c r="Q10" s="240"/>
      <c r="S10" s="246"/>
      <c r="T10" s="30"/>
      <c r="U10" s="30"/>
      <c r="V10" s="212"/>
      <c r="W10" s="1466" t="s">
        <v>233</v>
      </c>
      <c r="X10" s="1466"/>
      <c r="Y10" s="1466"/>
      <c r="Z10" s="212"/>
      <c r="AA10" s="1466" t="s">
        <v>1437</v>
      </c>
      <c r="AB10" s="1466"/>
      <c r="AC10" s="1466"/>
      <c r="AD10" s="1466"/>
      <c r="AE10" s="1466"/>
      <c r="AF10" s="1466"/>
    </row>
    <row r="11" spans="1:32" ht="14.25" customHeight="1" thickBot="1">
      <c r="B11" s="46"/>
      <c r="C11" s="30"/>
      <c r="D11" s="51" t="s">
        <v>234</v>
      </c>
      <c r="F11" s="46"/>
      <c r="G11" s="46"/>
      <c r="H11" s="46"/>
      <c r="P11" s="240"/>
      <c r="Q11" s="240"/>
      <c r="V11" s="212"/>
      <c r="W11" s="1466"/>
      <c r="X11" s="1466"/>
      <c r="Y11" s="1466"/>
      <c r="Z11" s="150"/>
      <c r="AA11" s="1466"/>
      <c r="AB11" s="1466"/>
      <c r="AC11" s="1466"/>
      <c r="AD11" s="1466"/>
      <c r="AE11" s="1466"/>
      <c r="AF11" s="1466"/>
    </row>
    <row r="12" spans="1:32" ht="14.25" customHeight="1">
      <c r="C12" s="1290" t="s">
        <v>55</v>
      </c>
      <c r="D12" s="1291"/>
      <c r="E12" s="1291"/>
      <c r="F12" s="1291"/>
      <c r="G12" s="1291"/>
      <c r="H12" s="1468"/>
      <c r="I12" s="1290" t="s">
        <v>192</v>
      </c>
      <c r="J12" s="1292"/>
      <c r="K12" s="1469" t="s">
        <v>235</v>
      </c>
      <c r="L12" s="1346" t="s">
        <v>193</v>
      </c>
      <c r="N12" s="146"/>
      <c r="O12" s="146"/>
      <c r="P12" s="240"/>
      <c r="Q12" s="240"/>
      <c r="W12" s="1467"/>
      <c r="X12" s="1467"/>
      <c r="Y12" s="1467"/>
      <c r="Z12" s="150"/>
      <c r="AA12" s="1467"/>
      <c r="AB12" s="1467"/>
      <c r="AC12" s="1467"/>
      <c r="AD12" s="1467"/>
      <c r="AE12" s="1467"/>
      <c r="AF12" s="1467"/>
    </row>
    <row r="13" spans="1:32" ht="14.1" customHeight="1">
      <c r="C13" s="1275"/>
      <c r="D13" s="1276"/>
      <c r="E13" s="1276"/>
      <c r="F13" s="1276"/>
      <c r="G13" s="1276"/>
      <c r="H13" s="1277"/>
      <c r="I13" s="1275"/>
      <c r="J13" s="1293"/>
      <c r="K13" s="1418"/>
      <c r="L13" s="1470"/>
      <c r="N13" s="146"/>
      <c r="O13" s="146"/>
      <c r="P13" s="240"/>
      <c r="Q13" s="240"/>
      <c r="T13" s="30"/>
      <c r="U13" s="30"/>
      <c r="W13" s="1472" t="s">
        <v>55</v>
      </c>
      <c r="X13" s="1472"/>
      <c r="Y13" s="1473" t="s">
        <v>236</v>
      </c>
      <c r="AA13" s="1335" t="s">
        <v>55</v>
      </c>
      <c r="AB13" s="1475"/>
      <c r="AC13" s="1476"/>
      <c r="AD13" s="1308" t="s">
        <v>194</v>
      </c>
      <c r="AE13" s="1481" t="s">
        <v>237</v>
      </c>
      <c r="AF13" s="1308" t="s">
        <v>193</v>
      </c>
    </row>
    <row r="14" spans="1:32" ht="14.1" customHeight="1" thickBot="1">
      <c r="C14" s="1265"/>
      <c r="D14" s="1266"/>
      <c r="E14" s="1266"/>
      <c r="F14" s="1266"/>
      <c r="G14" s="1266"/>
      <c r="H14" s="1267"/>
      <c r="I14" s="1265"/>
      <c r="J14" s="1294"/>
      <c r="K14" s="1418"/>
      <c r="L14" s="1471"/>
      <c r="N14" s="247"/>
      <c r="O14" s="247"/>
      <c r="P14" s="240"/>
      <c r="Q14" s="240"/>
      <c r="T14" s="248"/>
      <c r="U14" s="248"/>
      <c r="W14" s="1472"/>
      <c r="X14" s="1472"/>
      <c r="Y14" s="1474"/>
      <c r="AA14" s="1477"/>
      <c r="AB14" s="1478"/>
      <c r="AC14" s="1479"/>
      <c r="AD14" s="1480"/>
      <c r="AE14" s="1482"/>
      <c r="AF14" s="1480"/>
    </row>
    <row r="15" spans="1:32" ht="29.25" customHeight="1" thickTop="1" thickBot="1">
      <c r="C15" s="1452" t="s">
        <v>199</v>
      </c>
      <c r="D15" s="1453"/>
      <c r="E15" s="1453"/>
      <c r="F15" s="1453"/>
      <c r="G15" s="1453"/>
      <c r="H15" s="1454"/>
      <c r="I15" s="1396" t="s">
        <v>238</v>
      </c>
      <c r="J15" s="1397"/>
      <c r="K15" s="1019"/>
      <c r="L15" s="249"/>
      <c r="O15" s="250"/>
      <c r="P15" s="240"/>
      <c r="Q15" s="240"/>
      <c r="T15" s="248"/>
      <c r="U15" s="248"/>
      <c r="W15" s="1375" t="s">
        <v>239</v>
      </c>
      <c r="X15" s="1375"/>
      <c r="Y15" s="251">
        <f>【２】生産物の販売等の状況①_麦類!AA18+【２】生産物の販売等の状況①_麦類!AA83+AD15+AD16+AD19+AD20</f>
        <v>0</v>
      </c>
      <c r="AA15" s="1455" t="s">
        <v>240</v>
      </c>
      <c r="AB15" s="1445" t="s">
        <v>241</v>
      </c>
      <c r="AC15" s="1446"/>
      <c r="AD15" s="252">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56" t="s">
        <v>242</v>
      </c>
      <c r="D16" s="1457"/>
      <c r="E16" s="1457"/>
      <c r="F16" s="1457"/>
      <c r="G16" s="1457"/>
      <c r="H16" s="1393"/>
      <c r="I16" s="1394" t="s">
        <v>243</v>
      </c>
      <c r="J16" s="1395"/>
      <c r="K16" s="1020"/>
      <c r="L16" s="1458"/>
      <c r="N16" s="20"/>
      <c r="O16" s="20"/>
      <c r="P16" s="240"/>
      <c r="Q16" s="240"/>
      <c r="T16" s="253"/>
      <c r="U16" s="253"/>
      <c r="W16" s="1375" t="s">
        <v>244</v>
      </c>
      <c r="X16" s="1368"/>
      <c r="Y16" s="1052"/>
      <c r="AA16" s="1455"/>
      <c r="AB16" s="1445" t="s">
        <v>245</v>
      </c>
      <c r="AC16" s="1446"/>
      <c r="AD16" s="252">
        <f>【２】生産物の販売等の状況①_麦類!S78</f>
        <v>0</v>
      </c>
      <c r="AE16" s="204">
        <f>IF(AND(リスト!C23&gt;0,AF16&gt;0),ROUND(AF16/AD16*リスト!C23,2),)</f>
        <v>0</v>
      </c>
      <c r="AF16" s="203">
        <f>【２】生産物の販売等の状況①_麦類!T78</f>
        <v>0</v>
      </c>
    </row>
    <row r="17" spans="2:32" ht="29.25" customHeight="1" thickTop="1" thickBot="1">
      <c r="C17" s="254"/>
      <c r="D17" s="255"/>
      <c r="E17" s="1315" t="s">
        <v>246</v>
      </c>
      <c r="F17" s="1260"/>
      <c r="G17" s="1260"/>
      <c r="H17" s="1261"/>
      <c r="I17" s="1394" t="s">
        <v>247</v>
      </c>
      <c r="J17" s="1395"/>
      <c r="K17" s="1020"/>
      <c r="L17" s="1459"/>
      <c r="N17" s="256"/>
      <c r="O17" s="256"/>
      <c r="P17" s="240"/>
      <c r="Q17" s="240"/>
      <c r="T17" s="248"/>
      <c r="U17" s="248"/>
      <c r="W17" s="1375" t="s">
        <v>248</v>
      </c>
      <c r="X17" s="1375"/>
      <c r="Y17" s="257">
        <f>ROUND(Y15*Y16,)</f>
        <v>0</v>
      </c>
      <c r="AA17" s="1455"/>
      <c r="AB17" s="1445" t="s">
        <v>1438</v>
      </c>
      <c r="AC17" s="1446"/>
      <c r="AD17" s="258">
        <f>ROUND(Y29*I27%,)</f>
        <v>0</v>
      </c>
      <c r="AE17" s="204">
        <f>IF(AND(リスト!C23&gt;0,AF17&gt;0),ROUND(AF17/AD17*リスト!C23,2),)</f>
        <v>0</v>
      </c>
      <c r="AF17" s="203">
        <f>I31</f>
        <v>0</v>
      </c>
    </row>
    <row r="18" spans="2:32" ht="29.25" customHeight="1" thickTop="1" thickBot="1">
      <c r="C18" s="1461" t="s">
        <v>249</v>
      </c>
      <c r="D18" s="1462"/>
      <c r="E18" s="1462"/>
      <c r="F18" s="1462"/>
      <c r="G18" s="1462"/>
      <c r="H18" s="1463"/>
      <c r="I18" s="1464"/>
      <c r="J18" s="1465"/>
      <c r="K18" s="259">
        <v>100</v>
      </c>
      <c r="L18" s="1460"/>
      <c r="N18" s="260"/>
      <c r="O18" s="260"/>
      <c r="P18" s="240"/>
      <c r="Q18" s="240"/>
      <c r="T18" s="213"/>
      <c r="U18" s="213"/>
      <c r="AA18" s="1455"/>
      <c r="AB18" s="1445" t="s">
        <v>250</v>
      </c>
      <c r="AC18" s="1446"/>
      <c r="AD18" s="258">
        <f>ROUND(Y17*K15%,)</f>
        <v>0</v>
      </c>
      <c r="AE18" s="204">
        <f>IF(AND(AD18&gt;0,AF18&gt;0),ROUND(AF18/AD18,2),)</f>
        <v>0</v>
      </c>
      <c r="AF18" s="203">
        <f>L15</f>
        <v>0</v>
      </c>
    </row>
    <row r="19" spans="2:32" ht="30" customHeight="1" thickTop="1">
      <c r="B19" s="30"/>
      <c r="C19" s="574" t="s">
        <v>1300</v>
      </c>
      <c r="D19" s="50"/>
      <c r="E19" s="261"/>
      <c r="F19" s="261"/>
      <c r="G19" s="261"/>
      <c r="H19" s="261"/>
      <c r="I19" s="262"/>
      <c r="J19" s="262"/>
      <c r="K19" s="262"/>
      <c r="L19" s="263"/>
      <c r="M19" s="243"/>
      <c r="N19" s="260"/>
      <c r="O19" s="260"/>
      <c r="P19" s="240"/>
      <c r="Q19" s="240"/>
      <c r="T19" s="246"/>
      <c r="U19" s="246"/>
      <c r="AA19" s="1447" t="s">
        <v>251</v>
      </c>
      <c r="AB19" s="1448" t="s">
        <v>241</v>
      </c>
      <c r="AC19" s="1446"/>
      <c r="AD19" s="258">
        <f>【２】生産物の販売等の状況①_麦類!S82</f>
        <v>0</v>
      </c>
      <c r="AE19" s="264"/>
      <c r="AF19" s="265">
        <f>ROUND(AD19/リスト!$C$23*AE19,)</f>
        <v>0</v>
      </c>
    </row>
    <row r="20" spans="2:32" ht="30" customHeight="1">
      <c r="C20" s="261"/>
      <c r="D20" s="261"/>
      <c r="E20" s="261"/>
      <c r="F20" s="261"/>
      <c r="G20" s="261"/>
      <c r="H20" s="261"/>
      <c r="I20" s="262"/>
      <c r="J20" s="262"/>
      <c r="K20" s="262"/>
      <c r="L20" s="263"/>
      <c r="M20" s="243"/>
      <c r="N20" s="20"/>
      <c r="O20" s="20"/>
      <c r="P20" s="240"/>
      <c r="Q20" s="240"/>
      <c r="T20" s="246"/>
      <c r="U20" s="246"/>
      <c r="AA20" s="1447"/>
      <c r="AB20" s="1448" t="s">
        <v>245</v>
      </c>
      <c r="AC20" s="1446"/>
      <c r="AD20" s="258">
        <f>【２】生産物の販売等の状況①_麦類!S83</f>
        <v>0</v>
      </c>
      <c r="AE20" s="266"/>
      <c r="AF20" s="265">
        <f>ROUND(AD20/リスト!$C$23*AE20,)</f>
        <v>0</v>
      </c>
    </row>
    <row r="21" spans="2:32" ht="30" customHeight="1" thickBot="1">
      <c r="C21" s="261"/>
      <c r="D21" s="261"/>
      <c r="E21" s="261"/>
      <c r="F21" s="261"/>
      <c r="G21" s="261"/>
      <c r="H21" s="261"/>
      <c r="I21" s="262"/>
      <c r="J21" s="262"/>
      <c r="K21" s="262"/>
      <c r="L21" s="263"/>
      <c r="M21" s="243"/>
      <c r="N21" s="20"/>
      <c r="O21" s="20"/>
      <c r="P21" s="240"/>
      <c r="Q21" s="240"/>
      <c r="T21" s="246"/>
      <c r="U21" s="246"/>
      <c r="AA21" s="1447"/>
      <c r="AB21" s="1448" t="s">
        <v>1438</v>
      </c>
      <c r="AC21" s="1446"/>
      <c r="AD21" s="258">
        <f>ROUND(Y29*J27%,)</f>
        <v>0</v>
      </c>
      <c r="AE21" s="267"/>
      <c r="AF21" s="265">
        <f>ROUND(AD21/リスト!$C$23*AE21,)</f>
        <v>0</v>
      </c>
    </row>
    <row r="22" spans="2:32" ht="30" customHeight="1" thickTop="1" thickBot="1">
      <c r="C22" s="128" t="s">
        <v>1439</v>
      </c>
      <c r="D22" s="30"/>
      <c r="E22" s="58"/>
      <c r="F22" s="58"/>
      <c r="G22" s="58"/>
      <c r="H22" s="58"/>
      <c r="I22" s="58"/>
      <c r="J22" s="58"/>
      <c r="K22" s="58"/>
      <c r="L22" s="30"/>
      <c r="M22" s="30"/>
      <c r="N22" s="30"/>
      <c r="O22" s="30"/>
      <c r="P22" s="30"/>
      <c r="T22" s="246"/>
      <c r="U22" s="128" t="s">
        <v>1439</v>
      </c>
      <c r="V22" s="212"/>
      <c r="W22" s="212"/>
      <c r="X22" s="212"/>
      <c r="Y22" s="212"/>
      <c r="AA22" s="1447"/>
      <c r="AB22" s="1449" t="s">
        <v>250</v>
      </c>
      <c r="AC22" s="268" t="s">
        <v>249</v>
      </c>
      <c r="AD22" s="252">
        <f>ROUND(SUM(Y17*K16%),)</f>
        <v>0</v>
      </c>
      <c r="AE22" s="204">
        <f>IF(AND(AD22&gt;0,AF22&gt;0),ROUND(AF22/AD22,2),)</f>
        <v>0</v>
      </c>
      <c r="AF22" s="265">
        <f>AF23</f>
        <v>0</v>
      </c>
    </row>
    <row r="23" spans="2:32" ht="30" customHeight="1" thickTop="1" thickBot="1">
      <c r="B23" s="145"/>
      <c r="C23" s="145"/>
      <c r="D23" s="51" t="s">
        <v>252</v>
      </c>
      <c r="E23" s="269"/>
      <c r="F23" s="269"/>
      <c r="G23" s="269"/>
      <c r="H23" s="269"/>
      <c r="I23" s="269"/>
      <c r="J23" s="269"/>
      <c r="K23" s="269"/>
      <c r="L23" s="269"/>
      <c r="M23" s="269"/>
      <c r="N23" s="269"/>
      <c r="O23" s="269"/>
      <c r="P23" s="269"/>
      <c r="Q23" s="269"/>
      <c r="V23" s="212"/>
      <c r="W23" s="1421" t="s">
        <v>1440</v>
      </c>
      <c r="X23" s="1422"/>
      <c r="Y23" s="1422"/>
      <c r="AA23" s="1447"/>
      <c r="AB23" s="1450"/>
      <c r="AC23" s="270" t="s">
        <v>253</v>
      </c>
      <c r="AD23" s="252">
        <f>AD22-AD24</f>
        <v>0</v>
      </c>
      <c r="AE23" s="271"/>
      <c r="AF23" s="265">
        <f>ROUND(AD23*AE23,)</f>
        <v>0</v>
      </c>
    </row>
    <row r="24" spans="2:32" ht="30" customHeight="1" thickTop="1">
      <c r="B24" s="145"/>
      <c r="C24" s="1198" t="s">
        <v>55</v>
      </c>
      <c r="D24" s="1199"/>
      <c r="E24" s="1199"/>
      <c r="F24" s="1199"/>
      <c r="G24" s="1200"/>
      <c r="H24" s="1432" t="s">
        <v>254</v>
      </c>
      <c r="I24" s="171"/>
      <c r="J24" s="171"/>
      <c r="K24" s="272"/>
      <c r="L24" s="273"/>
      <c r="M24" s="273"/>
      <c r="N24" s="273"/>
      <c r="O24" s="273"/>
      <c r="P24" s="247"/>
      <c r="S24" s="274"/>
      <c r="W24" s="1423"/>
      <c r="X24" s="1423"/>
      <c r="Y24" s="1423"/>
      <c r="AA24" s="1447"/>
      <c r="AB24" s="1451"/>
      <c r="AC24" s="270" t="s">
        <v>255</v>
      </c>
      <c r="AD24" s="252">
        <f>ROUND(AD22*K17%,)</f>
        <v>0</v>
      </c>
      <c r="AE24" s="275"/>
      <c r="AF24" s="276"/>
    </row>
    <row r="25" spans="2:32" ht="14.25" customHeight="1">
      <c r="B25" s="145"/>
      <c r="C25" s="1287"/>
      <c r="D25" s="1288"/>
      <c r="E25" s="1288"/>
      <c r="F25" s="1288"/>
      <c r="G25" s="1289"/>
      <c r="H25" s="1433"/>
      <c r="I25" s="1435" t="s">
        <v>240</v>
      </c>
      <c r="J25" s="1437" t="s">
        <v>256</v>
      </c>
      <c r="K25" s="1439" t="s">
        <v>257</v>
      </c>
      <c r="L25" s="273"/>
      <c r="M25" s="273"/>
      <c r="N25" s="256"/>
      <c r="O25" s="256"/>
      <c r="P25" s="256"/>
      <c r="T25" s="274"/>
      <c r="W25" s="1335" t="s">
        <v>55</v>
      </c>
      <c r="X25" s="1441"/>
      <c r="Y25" s="1308" t="s">
        <v>236</v>
      </c>
      <c r="AA25" s="1427" t="s">
        <v>1441</v>
      </c>
      <c r="AB25" s="1427"/>
      <c r="AC25" s="1427"/>
      <c r="AD25" s="1427"/>
      <c r="AE25" s="1427"/>
      <c r="AF25" s="1427"/>
    </row>
    <row r="26" spans="2:32" ht="14.25" customHeight="1" thickBot="1">
      <c r="B26" s="145"/>
      <c r="C26" s="1201"/>
      <c r="D26" s="1202"/>
      <c r="E26" s="1202"/>
      <c r="F26" s="1202"/>
      <c r="G26" s="1203"/>
      <c r="H26" s="1434"/>
      <c r="I26" s="1436"/>
      <c r="J26" s="1438"/>
      <c r="K26" s="1440"/>
      <c r="L26" s="273"/>
      <c r="M26" s="273"/>
      <c r="N26" s="256"/>
      <c r="O26" s="256"/>
      <c r="P26" s="256"/>
      <c r="W26" s="1442"/>
      <c r="X26" s="1443"/>
      <c r="Y26" s="1444"/>
      <c r="AA26" s="1428"/>
      <c r="AB26" s="1428"/>
      <c r="AC26" s="1428"/>
      <c r="AD26" s="1428"/>
      <c r="AE26" s="1428"/>
      <c r="AF26" s="1428"/>
    </row>
    <row r="27" spans="2:32" ht="30" customHeight="1" thickTop="1" thickBot="1">
      <c r="B27" s="145"/>
      <c r="C27" s="1429" t="s">
        <v>1442</v>
      </c>
      <c r="D27" s="1430"/>
      <c r="E27" s="1430"/>
      <c r="F27" s="1430"/>
      <c r="G27" s="1431"/>
      <c r="H27" s="277">
        <v>100</v>
      </c>
      <c r="I27" s="1021"/>
      <c r="J27" s="1022"/>
      <c r="K27" s="1023"/>
      <c r="L27" s="273"/>
      <c r="M27" s="273"/>
      <c r="N27" s="256"/>
      <c r="O27" s="256"/>
      <c r="P27" s="256"/>
      <c r="W27" s="1375" t="s">
        <v>239</v>
      </c>
      <c r="X27" s="1375"/>
      <c r="Y27" s="251">
        <f>【２】生産物の販売等の状況①_麦類!AA18+【２】生産物の販売等の状況①_麦類!AA83+AD15+AD16+AD19+AD20</f>
        <v>0</v>
      </c>
      <c r="AA27" s="278"/>
      <c r="AC27" s="20"/>
      <c r="AD27" s="279"/>
      <c r="AE27" s="279"/>
      <c r="AF27" s="279"/>
    </row>
    <row r="28" spans="2:32" ht="30" customHeight="1" thickTop="1" thickBot="1">
      <c r="B28" s="145"/>
      <c r="C28" s="280"/>
      <c r="D28" s="280"/>
      <c r="E28" s="280"/>
      <c r="F28" s="280"/>
      <c r="G28" s="280"/>
      <c r="H28" s="280"/>
      <c r="I28" s="280"/>
      <c r="J28" s="280"/>
      <c r="K28" s="34"/>
      <c r="L28" s="34"/>
      <c r="M28" s="34"/>
      <c r="N28" s="240"/>
      <c r="O28" s="240"/>
      <c r="P28" s="240"/>
      <c r="S28" s="281"/>
      <c r="U28" s="274"/>
      <c r="W28" s="1375" t="s">
        <v>244</v>
      </c>
      <c r="X28" s="1368"/>
      <c r="Y28" s="1052"/>
      <c r="AA28" s="278"/>
      <c r="AC28" s="20"/>
      <c r="AD28" s="279"/>
      <c r="AE28" s="279"/>
      <c r="AF28" s="279"/>
    </row>
    <row r="29" spans="2:32" ht="30" customHeight="1" thickTop="1" thickBot="1">
      <c r="B29" s="145"/>
      <c r="L29" s="34"/>
      <c r="M29" s="34"/>
      <c r="N29" s="240"/>
      <c r="O29" s="240"/>
      <c r="P29" s="240"/>
      <c r="S29" s="130"/>
      <c r="T29" s="281"/>
      <c r="W29" s="1375" t="s">
        <v>1443</v>
      </c>
      <c r="X29" s="1375"/>
      <c r="Y29" s="257">
        <f>ROUND(Y27*Y28,)</f>
        <v>0</v>
      </c>
      <c r="AA29" s="278"/>
      <c r="AC29" s="20"/>
      <c r="AD29" s="279"/>
      <c r="AE29" s="279"/>
      <c r="AF29" s="279"/>
    </row>
    <row r="30" spans="2:32" ht="30" customHeight="1" thickBot="1">
      <c r="B30" s="145"/>
      <c r="C30" s="1429" t="s">
        <v>55</v>
      </c>
      <c r="D30" s="1430"/>
      <c r="E30" s="1430"/>
      <c r="F30" s="1430"/>
      <c r="G30" s="1430"/>
      <c r="H30" s="1431"/>
      <c r="I30" s="282" t="s">
        <v>258</v>
      </c>
      <c r="S30" s="146"/>
      <c r="W30" s="39" t="s">
        <v>1444</v>
      </c>
      <c r="AA30" s="278"/>
      <c r="AC30" s="20"/>
      <c r="AD30" s="279"/>
      <c r="AE30" s="279"/>
      <c r="AF30" s="279"/>
    </row>
    <row r="31" spans="2:32" ht="30" customHeight="1" thickTop="1" thickBot="1">
      <c r="B31" s="145"/>
      <c r="C31" s="1424" t="s">
        <v>1442</v>
      </c>
      <c r="D31" s="1425"/>
      <c r="E31" s="1425"/>
      <c r="F31" s="1425"/>
      <c r="G31" s="1425"/>
      <c r="H31" s="1426"/>
      <c r="I31" s="283"/>
      <c r="S31" s="146"/>
      <c r="T31" s="146"/>
      <c r="AA31" s="278"/>
      <c r="AC31" s="20"/>
      <c r="AD31" s="279"/>
      <c r="AE31" s="279"/>
      <c r="AF31" s="279"/>
    </row>
    <row r="32" spans="2:32" ht="30" customHeight="1">
      <c r="B32" s="145"/>
      <c r="C32" s="149" t="s">
        <v>1301</v>
      </c>
      <c r="S32" s="146"/>
      <c r="T32" s="146"/>
      <c r="U32" s="281"/>
      <c r="AA32" s="278"/>
      <c r="AC32" s="20"/>
      <c r="AD32" s="279"/>
      <c r="AE32" s="279"/>
      <c r="AF32" s="27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12"/>
      <c r="AA36" s="212"/>
      <c r="AB36" s="212"/>
      <c r="AC36" s="212"/>
      <c r="AD36" s="212"/>
      <c r="AE36" s="212"/>
      <c r="AF36" s="21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47"/>
      <c r="Z38" s="150"/>
    </row>
    <row r="39" spans="1:32" ht="14.25" customHeight="1">
      <c r="B39" s="145"/>
      <c r="N39" s="30"/>
      <c r="O39" s="30"/>
      <c r="P39" s="30"/>
      <c r="Q39" s="30"/>
      <c r="R39" s="30"/>
      <c r="T39" s="177"/>
      <c r="U39" s="25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84"/>
      <c r="U42" s="177"/>
    </row>
    <row r="43" spans="1:32" ht="30" customHeight="1">
      <c r="A43" s="177"/>
      <c r="B43" s="284"/>
    </row>
    <row r="44" spans="1:32" ht="27.95" customHeight="1">
      <c r="B44" s="284"/>
    </row>
    <row r="45" spans="1:32" ht="27.95" customHeight="1">
      <c r="B45" s="284"/>
      <c r="D45" s="242"/>
      <c r="E45" s="242"/>
      <c r="F45" s="242"/>
      <c r="G45" s="242"/>
      <c r="H45" s="242"/>
    </row>
    <row r="46" spans="1:32" ht="35.25" customHeight="1">
      <c r="B46" s="284"/>
      <c r="D46" s="242"/>
      <c r="E46" s="242"/>
      <c r="F46" s="242"/>
      <c r="G46" s="242"/>
      <c r="H46" s="242"/>
    </row>
    <row r="47" spans="1:32" ht="30" customHeight="1">
      <c r="B47" s="284"/>
    </row>
    <row r="48" spans="1:32" ht="30" customHeight="1">
      <c r="B48" s="284"/>
    </row>
    <row r="49" spans="1:32" ht="30" customHeight="1">
      <c r="B49" s="28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74"/>
    </row>
    <row r="62" spans="1:32" ht="14.25" customHeight="1">
      <c r="S62" s="274"/>
      <c r="T62" s="274"/>
    </row>
    <row r="63" spans="1:32" ht="14.25" customHeight="1">
      <c r="S63" s="146"/>
      <c r="T63" s="274"/>
    </row>
    <row r="64" spans="1:32" ht="14.25" customHeight="1">
      <c r="S64" s="146"/>
      <c r="T64" s="146"/>
    </row>
    <row r="65" spans="19:21" ht="14.25" customHeight="1">
      <c r="S65" s="281"/>
      <c r="T65" s="146"/>
      <c r="U65" s="274"/>
    </row>
    <row r="66" spans="19:21" ht="14.25" customHeight="1">
      <c r="T66" s="281"/>
      <c r="U66" s="274"/>
    </row>
    <row r="67" spans="19:21" ht="14.25" customHeight="1">
      <c r="U67" s="146"/>
    </row>
    <row r="68" spans="19:21" ht="14.25" customHeight="1">
      <c r="U68" s="146"/>
    </row>
    <row r="69" spans="19:21" ht="14.25" customHeight="1">
      <c r="U69" s="281"/>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ageMargins left="0.59055118110236227" right="0.59055118110236227" top="0.59055118110236227" bottom="0.59055118110236227" header="0" footer="0.19685039370078741"/>
  <pageSetup paperSize="9" scale="52" firstPageNumber="9" orientation="landscape"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86"/>
      <c r="C3" s="287"/>
      <c r="D3" s="287"/>
      <c r="E3" s="287"/>
      <c r="F3" s="287"/>
      <c r="G3" s="288"/>
      <c r="H3" s="73"/>
      <c r="J3" s="73"/>
    </row>
    <row r="4" spans="1:17" ht="18" customHeight="1">
      <c r="A4" s="128"/>
      <c r="B4" s="289"/>
      <c r="C4" s="130"/>
      <c r="D4" s="130"/>
      <c r="E4" s="130"/>
      <c r="F4" s="130"/>
      <c r="G4" s="290"/>
    </row>
    <row r="5" spans="1:17" ht="18" customHeight="1">
      <c r="A5" s="291"/>
      <c r="B5" s="292"/>
      <c r="D5" s="146" t="s">
        <v>259</v>
      </c>
      <c r="E5" s="130"/>
      <c r="F5" s="130"/>
      <c r="G5" s="290"/>
      <c r="I5" s="30"/>
    </row>
    <row r="6" spans="1:17" ht="75" customHeight="1">
      <c r="B6" s="293"/>
      <c r="C6" s="144"/>
      <c r="F6" s="294"/>
      <c r="G6" s="295"/>
      <c r="H6" s="296"/>
      <c r="I6" s="30"/>
      <c r="J6" s="296"/>
      <c r="K6" s="296"/>
    </row>
    <row r="7" spans="1:17" ht="14.25" customHeight="1">
      <c r="B7" s="297"/>
      <c r="C7" s="145"/>
      <c r="D7" s="298"/>
      <c r="E7" s="298"/>
      <c r="F7" s="298"/>
      <c r="G7" s="299"/>
      <c r="H7" s="146"/>
      <c r="I7" s="30"/>
      <c r="J7" s="300"/>
      <c r="K7" s="300"/>
      <c r="L7" s="20"/>
      <c r="M7" s="20"/>
      <c r="N7" s="20"/>
      <c r="O7" s="20"/>
      <c r="P7" s="20"/>
      <c r="Q7" s="20"/>
    </row>
    <row r="8" spans="1:17" ht="14.25" customHeight="1">
      <c r="B8" s="301"/>
      <c r="C8" s="284"/>
      <c r="D8" s="302" t="s">
        <v>260</v>
      </c>
      <c r="E8" s="146"/>
      <c r="F8" s="146"/>
      <c r="G8" s="303"/>
      <c r="H8" s="247"/>
      <c r="I8" s="30"/>
      <c r="J8" s="248"/>
      <c r="K8" s="213"/>
      <c r="L8" s="213"/>
      <c r="M8" s="213"/>
      <c r="N8" s="213"/>
      <c r="O8" s="213"/>
      <c r="P8" s="213"/>
      <c r="Q8" s="213"/>
    </row>
    <row r="9" spans="1:17" ht="75" customHeight="1">
      <c r="B9" s="293"/>
      <c r="C9" s="144"/>
      <c r="F9" s="294"/>
      <c r="G9" s="295"/>
      <c r="H9" s="296"/>
      <c r="I9" s="30"/>
      <c r="J9" s="296"/>
      <c r="K9" s="296"/>
    </row>
    <row r="10" spans="1:17" ht="14.25" customHeight="1">
      <c r="B10" s="304"/>
      <c r="C10" s="284"/>
      <c r="G10" s="305"/>
      <c r="H10" s="20"/>
      <c r="J10" s="248"/>
      <c r="K10" s="248"/>
      <c r="L10" s="213"/>
      <c r="M10" s="213"/>
      <c r="N10" s="213"/>
      <c r="O10" s="213"/>
      <c r="P10" s="213"/>
      <c r="Q10" s="213"/>
    </row>
    <row r="11" spans="1:17" ht="14.25" customHeight="1">
      <c r="B11" s="304"/>
      <c r="C11" s="284"/>
      <c r="D11" s="302" t="s">
        <v>261</v>
      </c>
      <c r="G11" s="305"/>
      <c r="H11" s="20"/>
      <c r="J11" s="248"/>
      <c r="K11" s="248"/>
      <c r="L11" s="213"/>
      <c r="M11" s="213"/>
      <c r="N11" s="213"/>
      <c r="O11" s="213"/>
      <c r="P11" s="213"/>
      <c r="Q11" s="213"/>
    </row>
    <row r="12" spans="1:17" ht="14.25" customHeight="1">
      <c r="B12" s="304"/>
      <c r="C12" s="284"/>
      <c r="G12" s="305"/>
      <c r="H12" s="20"/>
      <c r="J12" s="248"/>
      <c r="K12" s="248"/>
      <c r="L12" s="213"/>
      <c r="M12" s="213"/>
      <c r="N12" s="213"/>
      <c r="O12" s="213"/>
      <c r="P12" s="213"/>
      <c r="Q12" s="213"/>
    </row>
    <row r="13" spans="1:17" ht="14.25" customHeight="1">
      <c r="B13" s="304"/>
      <c r="C13" s="284"/>
      <c r="D13" s="306" t="s">
        <v>262</v>
      </c>
      <c r="G13" s="305"/>
      <c r="H13" s="20"/>
      <c r="J13" s="248"/>
      <c r="K13" s="248"/>
      <c r="L13" s="213"/>
      <c r="M13" s="213"/>
      <c r="N13" s="213"/>
      <c r="O13" s="213"/>
      <c r="P13" s="213"/>
      <c r="Q13" s="213"/>
    </row>
    <row r="14" spans="1:17" ht="75" customHeight="1">
      <c r="B14" s="304"/>
      <c r="C14" s="284"/>
      <c r="D14" s="306"/>
      <c r="E14" s="146"/>
      <c r="F14" s="294"/>
      <c r="G14" s="305"/>
      <c r="H14" s="20"/>
      <c r="J14" s="253"/>
      <c r="K14" s="253"/>
      <c r="L14" s="307"/>
      <c r="M14" s="307"/>
      <c r="N14" s="307"/>
      <c r="O14" s="307"/>
      <c r="P14" s="307"/>
      <c r="Q14" s="213"/>
    </row>
    <row r="15" spans="1:17" ht="27.95" customHeight="1">
      <c r="B15" s="304"/>
      <c r="C15" s="284"/>
      <c r="D15" s="306" t="s">
        <v>263</v>
      </c>
      <c r="E15" s="308"/>
      <c r="F15" s="309"/>
      <c r="G15" s="310"/>
      <c r="H15" s="240"/>
      <c r="J15" s="307"/>
      <c r="K15" s="307"/>
      <c r="L15" s="307"/>
      <c r="M15" s="307"/>
      <c r="N15" s="307"/>
      <c r="O15" s="307"/>
      <c r="P15" s="307"/>
      <c r="Q15" s="213"/>
    </row>
    <row r="16" spans="1:17" ht="75.75" customHeight="1">
      <c r="B16" s="304"/>
      <c r="C16" s="284"/>
      <c r="E16" s="177"/>
      <c r="F16" s="294"/>
      <c r="G16" s="310"/>
      <c r="H16" s="240"/>
      <c r="J16" s="307"/>
      <c r="K16" s="307"/>
      <c r="L16" s="307"/>
      <c r="M16" s="307"/>
      <c r="N16" s="307"/>
      <c r="O16" s="307"/>
      <c r="P16" s="307"/>
      <c r="Q16" s="213"/>
    </row>
    <row r="17" spans="2:17" ht="27.95" customHeight="1">
      <c r="B17" s="304"/>
      <c r="C17" s="284"/>
      <c r="D17" s="306" t="s">
        <v>264</v>
      </c>
      <c r="E17" s="30"/>
      <c r="F17" s="30"/>
      <c r="G17" s="310"/>
      <c r="H17" s="240"/>
      <c r="J17" s="307"/>
      <c r="K17" s="307"/>
      <c r="L17" s="307"/>
      <c r="M17" s="307"/>
      <c r="N17" s="307"/>
      <c r="O17" s="307"/>
      <c r="P17" s="307"/>
      <c r="Q17" s="213"/>
    </row>
    <row r="18" spans="2:17" ht="75.75" customHeight="1">
      <c r="B18" s="301"/>
      <c r="C18" s="284"/>
      <c r="F18" s="294"/>
      <c r="G18" s="311"/>
      <c r="H18" s="256"/>
      <c r="J18" s="248"/>
      <c r="K18" s="213"/>
      <c r="L18" s="213"/>
      <c r="M18" s="213"/>
      <c r="N18" s="213"/>
      <c r="O18" s="213"/>
      <c r="P18" s="213"/>
      <c r="Q18" s="213"/>
    </row>
    <row r="19" spans="2:17" ht="27.95" hidden="1" customHeight="1">
      <c r="B19" s="304"/>
      <c r="C19" s="284"/>
      <c r="D19" s="312" t="s">
        <v>265</v>
      </c>
      <c r="E19" s="281"/>
      <c r="F19" s="146"/>
      <c r="G19" s="310"/>
      <c r="H19" s="240"/>
      <c r="J19" s="307"/>
      <c r="K19" s="307"/>
      <c r="L19" s="307"/>
      <c r="M19" s="307"/>
      <c r="N19" s="307"/>
      <c r="O19" s="307"/>
      <c r="P19" s="307"/>
      <c r="Q19" s="213"/>
    </row>
    <row r="20" spans="2:17" ht="75.75" hidden="1" customHeight="1">
      <c r="B20" s="304"/>
      <c r="C20" s="284"/>
      <c r="F20" s="294"/>
      <c r="G20" s="310"/>
      <c r="H20" s="240"/>
      <c r="J20" s="307"/>
      <c r="K20" s="307"/>
      <c r="L20" s="307"/>
      <c r="M20" s="307"/>
      <c r="N20" s="307"/>
      <c r="O20" s="307"/>
      <c r="P20" s="307"/>
      <c r="Q20" s="213"/>
    </row>
    <row r="21" spans="2:17" ht="14.25" customHeight="1" thickBot="1">
      <c r="B21" s="313"/>
      <c r="C21" s="144"/>
      <c r="D21" s="144"/>
      <c r="G21" s="290"/>
    </row>
    <row r="22" spans="2:17" ht="14.25" customHeight="1" thickTop="1">
      <c r="B22" s="314"/>
      <c r="C22" s="315"/>
      <c r="D22" s="314"/>
      <c r="E22" s="314"/>
      <c r="F22" s="314"/>
      <c r="G22" s="31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6"/>
      <c r="C26" s="317"/>
      <c r="D26" s="317"/>
      <c r="E26" s="317"/>
      <c r="F26" s="317"/>
      <c r="G26" s="318"/>
    </row>
    <row r="27" spans="2:17" ht="174" customHeight="1">
      <c r="B27" s="319"/>
      <c r="F27" s="294"/>
      <c r="G27" s="320"/>
      <c r="J27" s="183"/>
      <c r="K27" s="183"/>
      <c r="L27" s="183"/>
      <c r="M27" s="183"/>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324"/>
      <c r="C46" s="32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7.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26" t="s">
        <v>266</v>
      </c>
    </row>
    <row r="2" spans="1:36" ht="14.25" customHeight="1">
      <c r="B2" s="105" t="s">
        <v>1400</v>
      </c>
      <c r="V2" s="105" t="s">
        <v>1400</v>
      </c>
      <c r="W2" s="2"/>
    </row>
    <row r="3" spans="1:36" ht="18" customHeight="1">
      <c r="C3" s="48"/>
      <c r="D3" s="48"/>
      <c r="E3" s="48"/>
      <c r="F3" s="48"/>
      <c r="G3" s="48"/>
      <c r="H3" s="48"/>
      <c r="I3" s="48"/>
      <c r="R3" s="73"/>
      <c r="S3" s="73"/>
      <c r="T3" s="73"/>
      <c r="U3" s="73"/>
      <c r="W3" s="48"/>
    </row>
    <row r="4" spans="1:36" ht="18" customHeight="1">
      <c r="B4" s="106" t="s">
        <v>267</v>
      </c>
      <c r="C4" s="48"/>
      <c r="D4" s="48"/>
      <c r="E4" s="48"/>
      <c r="F4" s="48"/>
      <c r="G4" s="48"/>
      <c r="H4" s="48"/>
      <c r="I4" s="48"/>
      <c r="V4" s="106" t="s">
        <v>267</v>
      </c>
      <c r="W4" s="48"/>
    </row>
    <row r="5" spans="1:36" ht="18" customHeight="1">
      <c r="A5" s="30"/>
      <c r="B5" s="67"/>
      <c r="C5" s="58" t="s">
        <v>1401</v>
      </c>
      <c r="D5" s="58"/>
      <c r="E5" s="58"/>
      <c r="F5" s="58"/>
      <c r="G5" s="58"/>
      <c r="H5" s="58"/>
      <c r="I5" s="58"/>
      <c r="J5" s="30"/>
      <c r="K5" s="30"/>
      <c r="L5" s="30"/>
      <c r="M5" s="30"/>
      <c r="N5" s="30"/>
      <c r="O5" s="30"/>
      <c r="P5" s="327"/>
      <c r="Q5" s="327"/>
    </row>
    <row r="6" spans="1:36" ht="14.25" customHeight="1">
      <c r="A6" s="30"/>
      <c r="B6" s="67"/>
      <c r="C6" s="58" t="s">
        <v>268</v>
      </c>
      <c r="D6" s="58"/>
      <c r="E6" s="58"/>
      <c r="F6" s="58"/>
      <c r="G6" s="58"/>
      <c r="H6" s="58"/>
      <c r="I6" s="58"/>
      <c r="J6" s="30"/>
      <c r="K6" s="30"/>
      <c r="L6" s="30"/>
      <c r="M6" s="30"/>
      <c r="N6" s="30"/>
      <c r="O6" s="30"/>
      <c r="P6" s="30"/>
      <c r="Q6" s="30"/>
      <c r="R6" s="177"/>
      <c r="S6" s="177"/>
      <c r="T6" s="296"/>
      <c r="U6" s="296"/>
      <c r="V6" s="296"/>
    </row>
    <row r="7" spans="1:36" s="177" customFormat="1" ht="14.25" customHeight="1">
      <c r="A7" s="30"/>
      <c r="B7" s="67"/>
      <c r="C7" s="58" t="s">
        <v>269</v>
      </c>
      <c r="D7" s="58"/>
      <c r="E7" s="58"/>
      <c r="F7" s="58"/>
      <c r="G7" s="58"/>
      <c r="H7" s="58"/>
      <c r="I7" s="58"/>
      <c r="J7" s="30"/>
      <c r="K7" s="30"/>
      <c r="L7" s="30"/>
      <c r="M7" s="30"/>
      <c r="N7" s="30"/>
      <c r="O7" s="30"/>
      <c r="P7" s="30"/>
      <c r="Q7" s="30"/>
      <c r="R7" s="300"/>
      <c r="S7" s="30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00"/>
      <c r="S8" s="30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00"/>
      <c r="S9" s="30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48"/>
      <c r="S10" s="248"/>
      <c r="T10" s="248"/>
      <c r="U10" s="248"/>
      <c r="V10" s="213"/>
    </row>
    <row r="11" spans="1:36" ht="14.25" customHeight="1">
      <c r="A11" s="30"/>
      <c r="B11" s="67"/>
      <c r="C11" s="128" t="s">
        <v>270</v>
      </c>
      <c r="D11" s="58"/>
      <c r="E11" s="58"/>
      <c r="F11" s="58"/>
      <c r="G11" s="58"/>
      <c r="H11" s="58"/>
      <c r="I11" s="58"/>
      <c r="J11" s="30"/>
      <c r="K11" s="30"/>
      <c r="L11" s="30"/>
      <c r="M11" s="30"/>
      <c r="N11" s="30"/>
      <c r="O11" s="30"/>
      <c r="P11" s="30"/>
      <c r="Q11" s="30"/>
      <c r="R11" s="248"/>
      <c r="S11" s="248"/>
      <c r="T11" s="248"/>
      <c r="U11" s="248"/>
      <c r="V11" s="248"/>
      <c r="W11" s="128" t="s">
        <v>271</v>
      </c>
      <c r="X11" s="328"/>
      <c r="Y11" s="328"/>
      <c r="Z11" s="328"/>
      <c r="AA11" s="328"/>
      <c r="AB11" s="328"/>
      <c r="AC11" s="1088" t="s">
        <v>1360</v>
      </c>
      <c r="AD11" s="1090" t="s">
        <v>1365</v>
      </c>
      <c r="AE11" s="1090" t="s">
        <v>1366</v>
      </c>
    </row>
    <row r="12" spans="1:36" ht="18" customHeight="1" thickBot="1">
      <c r="A12" s="30"/>
      <c r="B12" s="67"/>
      <c r="C12" s="128"/>
      <c r="D12" s="58"/>
      <c r="E12" s="58"/>
      <c r="F12" s="58"/>
      <c r="G12" s="58"/>
      <c r="H12" s="58"/>
      <c r="I12" s="58"/>
      <c r="J12" s="30"/>
      <c r="K12" s="30"/>
      <c r="L12" s="30"/>
      <c r="M12" s="30"/>
      <c r="N12" s="30"/>
      <c r="O12" s="30"/>
      <c r="P12" s="30"/>
      <c r="Q12" s="30"/>
      <c r="R12" s="248"/>
      <c r="S12" s="248"/>
      <c r="T12" s="248"/>
      <c r="U12" s="248"/>
      <c r="V12" s="248"/>
      <c r="W12" s="328"/>
      <c r="X12" s="328"/>
      <c r="Y12" s="328"/>
      <c r="Z12" s="328"/>
      <c r="AA12" s="328"/>
      <c r="AB12" s="328"/>
      <c r="AC12" s="1089"/>
      <c r="AD12" s="1091">
        <v>4</v>
      </c>
      <c r="AE12" s="1091">
        <v>5</v>
      </c>
    </row>
    <row r="13" spans="1:36" ht="14.25" customHeight="1">
      <c r="C13" s="329"/>
      <c r="D13" s="1290" t="s">
        <v>272</v>
      </c>
      <c r="E13" s="1291"/>
      <c r="F13" s="1468"/>
      <c r="G13" s="1291" t="s">
        <v>273</v>
      </c>
      <c r="H13" s="330"/>
      <c r="I13" s="1513" t="s">
        <v>274</v>
      </c>
      <c r="R13" s="248"/>
      <c r="S13" s="248"/>
      <c r="T13" s="248"/>
      <c r="U13" s="248"/>
      <c r="V13" s="248"/>
      <c r="W13" s="1314" t="s">
        <v>272</v>
      </c>
      <c r="X13" s="1314"/>
      <c r="Y13" s="1526" t="s">
        <v>273</v>
      </c>
      <c r="Z13" s="1527"/>
      <c r="AA13" s="1472" t="s">
        <v>237</v>
      </c>
      <c r="AB13" s="1472"/>
      <c r="AC13" s="1372" t="s">
        <v>195</v>
      </c>
      <c r="AD13" s="1335" t="s">
        <v>1388</v>
      </c>
      <c r="AE13" s="1476"/>
      <c r="AF13" s="1472" t="s">
        <v>1384</v>
      </c>
    </row>
    <row r="14" spans="1:36" ht="14.25" customHeight="1">
      <c r="C14" s="329"/>
      <c r="D14" s="1275"/>
      <c r="E14" s="1276"/>
      <c r="F14" s="1277"/>
      <c r="G14" s="1276"/>
      <c r="H14" s="1516" t="s">
        <v>126</v>
      </c>
      <c r="I14" s="1514"/>
      <c r="R14" s="248"/>
      <c r="S14" s="248"/>
      <c r="T14" s="248"/>
      <c r="U14" s="248"/>
      <c r="V14" s="248"/>
      <c r="W14" s="1314"/>
      <c r="X14" s="1314"/>
      <c r="Y14" s="1528"/>
      <c r="Z14" s="1529"/>
      <c r="AA14" s="1472"/>
      <c r="AB14" s="1472"/>
      <c r="AC14" s="1372"/>
      <c r="AD14" s="1532"/>
      <c r="AE14" s="1533"/>
      <c r="AF14" s="1472"/>
    </row>
    <row r="15" spans="1:36" ht="14.25" customHeight="1" thickBot="1">
      <c r="D15" s="1265"/>
      <c r="E15" s="1266"/>
      <c r="F15" s="1267"/>
      <c r="G15" s="1276"/>
      <c r="H15" s="1517"/>
      <c r="I15" s="1518"/>
      <c r="R15" s="248"/>
      <c r="S15" s="248"/>
      <c r="T15" s="248"/>
      <c r="U15" s="248"/>
      <c r="V15" s="248"/>
      <c r="W15" s="1314"/>
      <c r="X15" s="1314"/>
      <c r="Y15" s="1530"/>
      <c r="Z15" s="1531"/>
      <c r="AA15" s="1472"/>
      <c r="AB15" s="1472"/>
      <c r="AC15" s="1372"/>
      <c r="AD15" s="1477"/>
      <c r="AE15" s="1479"/>
      <c r="AF15" s="1472"/>
    </row>
    <row r="16" spans="1:36" ht="30" customHeight="1" thickTop="1" thickBot="1">
      <c r="D16" s="1519" t="s">
        <v>275</v>
      </c>
      <c r="E16" s="1488"/>
      <c r="F16" s="331" t="s">
        <v>276</v>
      </c>
      <c r="G16" s="332"/>
      <c r="H16" s="333" t="s">
        <v>277</v>
      </c>
      <c r="I16" s="334"/>
      <c r="J16" s="335"/>
      <c r="K16" s="183"/>
      <c r="L16" s="183"/>
      <c r="M16" s="183"/>
      <c r="R16" s="248"/>
      <c r="S16" s="248"/>
      <c r="T16" s="248"/>
      <c r="U16" s="248"/>
      <c r="V16" s="248"/>
      <c r="W16" s="1522" t="s">
        <v>275</v>
      </c>
      <c r="X16" s="179" t="s">
        <v>1385</v>
      </c>
      <c r="Y16" s="1108">
        <f>SUM(Y17:Y31)</f>
        <v>0</v>
      </c>
      <c r="Z16" s="1109" t="str">
        <f t="shared" ref="Z16:Z31" si="0">H16</f>
        <v>－</v>
      </c>
      <c r="AA16" s="1110">
        <f t="shared" ref="AA16:AA31" si="1">IFERROR(ROUND(AC16/Y16,2),)</f>
        <v>0</v>
      </c>
      <c r="AB16" s="1111" t="str">
        <f t="shared" ref="AB16:AB31" si="2">"円/"&amp;Z16</f>
        <v>円/－</v>
      </c>
      <c r="AC16" s="1108">
        <f>IF(OR(I16="",I16=0),SUM(I17:I31),I16)</f>
        <v>0</v>
      </c>
      <c r="AD16" s="1112">
        <f>IFERROR(ROUND(Y16/【11】土地_１所有地_米・さとうきび以外!S24*10,1),)</f>
        <v>0</v>
      </c>
      <c r="AE16" s="628" t="str">
        <f>Z16&amp;"/10a"</f>
        <v>－/10a</v>
      </c>
      <c r="AF16" s="1113"/>
    </row>
    <row r="17" spans="4:32" ht="30" customHeight="1" thickTop="1">
      <c r="D17" s="1489"/>
      <c r="E17" s="1490"/>
      <c r="F17" s="336"/>
      <c r="G17" s="337"/>
      <c r="H17" s="338"/>
      <c r="I17" s="339"/>
      <c r="J17" s="340"/>
      <c r="K17" s="183"/>
      <c r="L17" s="183"/>
      <c r="M17" s="183"/>
      <c r="N17" s="183"/>
      <c r="O17" s="183"/>
      <c r="P17" s="183"/>
      <c r="Q17" s="183"/>
      <c r="R17" s="253"/>
      <c r="S17" s="253"/>
      <c r="T17" s="253"/>
      <c r="U17" s="253"/>
      <c r="V17" s="253"/>
      <c r="W17" s="1523"/>
      <c r="X17" s="350">
        <f t="shared" ref="X17:Y31" si="3">F17</f>
        <v>0</v>
      </c>
      <c r="Y17" s="351">
        <f t="shared" si="3"/>
        <v>0</v>
      </c>
      <c r="Z17" s="1109">
        <f t="shared" si="0"/>
        <v>0</v>
      </c>
      <c r="AA17" s="1110">
        <f t="shared" si="1"/>
        <v>0</v>
      </c>
      <c r="AB17" s="1111" t="str">
        <f t="shared" si="2"/>
        <v>円/0</v>
      </c>
      <c r="AC17" s="341">
        <f t="shared" ref="AC17:AC31" si="4">I17</f>
        <v>0</v>
      </c>
      <c r="AD17" s="1114">
        <f>IFERROR(ROUND(Y17/AF17*10,1),)</f>
        <v>0</v>
      </c>
      <c r="AE17" s="628" t="str">
        <f>Z17&amp;"/10a"</f>
        <v>0/10a</v>
      </c>
      <c r="AF17" s="1115"/>
    </row>
    <row r="18" spans="4:32" ht="30" customHeight="1">
      <c r="D18" s="1489"/>
      <c r="E18" s="1490"/>
      <c r="F18" s="336"/>
      <c r="G18" s="342"/>
      <c r="H18" s="338"/>
      <c r="I18" s="343"/>
      <c r="J18" s="344"/>
      <c r="K18" s="183"/>
      <c r="L18" s="183"/>
      <c r="M18" s="183"/>
      <c r="N18" s="183"/>
      <c r="O18" s="183"/>
      <c r="P18" s="183"/>
      <c r="Q18" s="183"/>
      <c r="R18" s="307"/>
      <c r="S18" s="307"/>
      <c r="T18" s="307"/>
      <c r="U18" s="307"/>
      <c r="V18" s="307"/>
      <c r="W18" s="1523"/>
      <c r="X18" s="350">
        <f t="shared" si="3"/>
        <v>0</v>
      </c>
      <c r="Y18" s="351">
        <f t="shared" si="3"/>
        <v>0</v>
      </c>
      <c r="Z18" s="1109">
        <f t="shared" si="0"/>
        <v>0</v>
      </c>
      <c r="AA18" s="1110">
        <f t="shared" si="1"/>
        <v>0</v>
      </c>
      <c r="AB18" s="1111" t="str">
        <f t="shared" si="2"/>
        <v>円/0</v>
      </c>
      <c r="AC18" s="341">
        <f t="shared" si="4"/>
        <v>0</v>
      </c>
      <c r="AD18" s="1114">
        <f t="shared" ref="AD18:AD46" si="5">IFERROR(ROUND(Y18/AF18*10,1),)</f>
        <v>0</v>
      </c>
      <c r="AE18" s="628" t="str">
        <f t="shared" ref="AE18:AE46" si="6">Z18&amp;"/10a"</f>
        <v>0/10a</v>
      </c>
      <c r="AF18" s="1116"/>
    </row>
    <row r="19" spans="4:32" ht="30" customHeight="1">
      <c r="D19" s="1489"/>
      <c r="E19" s="1490"/>
      <c r="F19" s="336"/>
      <c r="G19" s="342"/>
      <c r="H19" s="338"/>
      <c r="I19" s="343"/>
      <c r="J19" s="344"/>
      <c r="K19" s="183"/>
      <c r="L19" s="183"/>
      <c r="M19" s="183"/>
      <c r="N19" s="183"/>
      <c r="O19" s="183"/>
      <c r="P19" s="183"/>
      <c r="Q19" s="183"/>
      <c r="R19" s="307"/>
      <c r="S19" s="307"/>
      <c r="T19" s="307"/>
      <c r="U19" s="307"/>
      <c r="V19" s="307"/>
      <c r="W19" s="1523"/>
      <c r="X19" s="350">
        <f t="shared" si="3"/>
        <v>0</v>
      </c>
      <c r="Y19" s="351">
        <f t="shared" si="3"/>
        <v>0</v>
      </c>
      <c r="Z19" s="1109">
        <f t="shared" si="0"/>
        <v>0</v>
      </c>
      <c r="AA19" s="1110">
        <f t="shared" si="1"/>
        <v>0</v>
      </c>
      <c r="AB19" s="1111" t="str">
        <f t="shared" si="2"/>
        <v>円/0</v>
      </c>
      <c r="AC19" s="341">
        <f t="shared" si="4"/>
        <v>0</v>
      </c>
      <c r="AD19" s="1114">
        <f t="shared" si="5"/>
        <v>0</v>
      </c>
      <c r="AE19" s="628" t="str">
        <f t="shared" si="6"/>
        <v>0/10a</v>
      </c>
      <c r="AF19" s="1116"/>
    </row>
    <row r="20" spans="4:32" ht="30" customHeight="1" collapsed="1" thickBot="1">
      <c r="D20" s="1489"/>
      <c r="E20" s="1490"/>
      <c r="F20" s="336"/>
      <c r="G20" s="342"/>
      <c r="H20" s="338"/>
      <c r="I20" s="343"/>
      <c r="J20" s="344"/>
      <c r="K20" s="183"/>
      <c r="L20" s="183"/>
      <c r="M20" s="183"/>
      <c r="N20" s="183"/>
      <c r="O20" s="183"/>
      <c r="P20" s="183"/>
      <c r="Q20" s="183"/>
      <c r="R20" s="307"/>
      <c r="S20" s="307"/>
      <c r="T20" s="307"/>
      <c r="U20" s="307"/>
      <c r="V20" s="307"/>
      <c r="W20" s="1523"/>
      <c r="X20" s="350">
        <f t="shared" si="3"/>
        <v>0</v>
      </c>
      <c r="Y20" s="351">
        <f t="shared" si="3"/>
        <v>0</v>
      </c>
      <c r="Z20" s="1109">
        <f t="shared" si="0"/>
        <v>0</v>
      </c>
      <c r="AA20" s="1110">
        <f t="shared" si="1"/>
        <v>0</v>
      </c>
      <c r="AB20" s="1111" t="str">
        <f t="shared" si="2"/>
        <v>円/0</v>
      </c>
      <c r="AC20" s="341">
        <f t="shared" si="4"/>
        <v>0</v>
      </c>
      <c r="AD20" s="1114">
        <f t="shared" si="5"/>
        <v>0</v>
      </c>
      <c r="AE20" s="628" t="str">
        <f t="shared" si="6"/>
        <v>0/10a</v>
      </c>
      <c r="AF20" s="1116"/>
    </row>
    <row r="21" spans="4:32" ht="30" hidden="1" customHeight="1" outlineLevel="1">
      <c r="D21" s="1489"/>
      <c r="E21" s="1490"/>
      <c r="F21" s="336"/>
      <c r="G21" s="342"/>
      <c r="H21" s="338"/>
      <c r="I21" s="343"/>
      <c r="J21" s="344"/>
      <c r="K21" s="183"/>
      <c r="L21" s="183"/>
      <c r="M21" s="183"/>
      <c r="N21" s="183"/>
      <c r="O21" s="183"/>
      <c r="P21" s="183"/>
      <c r="Q21" s="183"/>
      <c r="R21" s="307"/>
      <c r="S21" s="307"/>
      <c r="T21" s="307"/>
      <c r="U21" s="307"/>
      <c r="V21" s="307"/>
      <c r="W21" s="1523"/>
      <c r="X21" s="350">
        <f t="shared" si="3"/>
        <v>0</v>
      </c>
      <c r="Y21" s="351">
        <f t="shared" si="3"/>
        <v>0</v>
      </c>
      <c r="Z21" s="1109">
        <f t="shared" si="0"/>
        <v>0</v>
      </c>
      <c r="AA21" s="1110">
        <f t="shared" si="1"/>
        <v>0</v>
      </c>
      <c r="AB21" s="1111" t="str">
        <f t="shared" si="2"/>
        <v>円/0</v>
      </c>
      <c r="AC21" s="341">
        <f t="shared" si="4"/>
        <v>0</v>
      </c>
      <c r="AD21" s="1114">
        <f t="shared" si="5"/>
        <v>0</v>
      </c>
      <c r="AE21" s="628" t="str">
        <f t="shared" si="6"/>
        <v>0/10a</v>
      </c>
      <c r="AF21" s="1116"/>
    </row>
    <row r="22" spans="4:32" ht="30" hidden="1" customHeight="1" outlineLevel="1">
      <c r="D22" s="1489"/>
      <c r="E22" s="1490"/>
      <c r="F22" s="336"/>
      <c r="G22" s="342"/>
      <c r="H22" s="338"/>
      <c r="I22" s="343"/>
      <c r="J22" s="344"/>
      <c r="K22" s="183"/>
      <c r="L22" s="183"/>
      <c r="M22" s="183"/>
      <c r="N22" s="183"/>
      <c r="O22" s="183"/>
      <c r="P22" s="183"/>
      <c r="Q22" s="183"/>
      <c r="R22" s="307"/>
      <c r="S22" s="307"/>
      <c r="T22" s="307"/>
      <c r="U22" s="307"/>
      <c r="V22" s="307"/>
      <c r="W22" s="1523"/>
      <c r="X22" s="350">
        <f t="shared" si="3"/>
        <v>0</v>
      </c>
      <c r="Y22" s="351">
        <f t="shared" si="3"/>
        <v>0</v>
      </c>
      <c r="Z22" s="1109">
        <f t="shared" si="0"/>
        <v>0</v>
      </c>
      <c r="AA22" s="1110">
        <f t="shared" si="1"/>
        <v>0</v>
      </c>
      <c r="AB22" s="1111" t="str">
        <f t="shared" si="2"/>
        <v>円/0</v>
      </c>
      <c r="AC22" s="341">
        <f t="shared" si="4"/>
        <v>0</v>
      </c>
      <c r="AD22" s="1114">
        <f t="shared" si="5"/>
        <v>0</v>
      </c>
      <c r="AE22" s="628" t="str">
        <f t="shared" si="6"/>
        <v>0/10a</v>
      </c>
      <c r="AF22" s="1116"/>
    </row>
    <row r="23" spans="4:32" ht="30" hidden="1" customHeight="1" outlineLevel="1">
      <c r="D23" s="1489"/>
      <c r="E23" s="1490"/>
      <c r="F23" s="336"/>
      <c r="G23" s="342"/>
      <c r="H23" s="338"/>
      <c r="I23" s="343"/>
      <c r="J23" s="344"/>
      <c r="K23" s="183"/>
      <c r="L23" s="183"/>
      <c r="M23" s="183"/>
      <c r="N23" s="183"/>
      <c r="O23" s="183"/>
      <c r="P23" s="183"/>
      <c r="Q23" s="183"/>
      <c r="R23" s="307"/>
      <c r="S23" s="307"/>
      <c r="T23" s="307"/>
      <c r="U23" s="307"/>
      <c r="V23" s="307"/>
      <c r="W23" s="1523"/>
      <c r="X23" s="350">
        <f t="shared" si="3"/>
        <v>0</v>
      </c>
      <c r="Y23" s="351">
        <f t="shared" si="3"/>
        <v>0</v>
      </c>
      <c r="Z23" s="1109">
        <f t="shared" si="0"/>
        <v>0</v>
      </c>
      <c r="AA23" s="1110">
        <f t="shared" si="1"/>
        <v>0</v>
      </c>
      <c r="AB23" s="1111" t="str">
        <f t="shared" si="2"/>
        <v>円/0</v>
      </c>
      <c r="AC23" s="341">
        <f t="shared" si="4"/>
        <v>0</v>
      </c>
      <c r="AD23" s="1114">
        <f t="shared" si="5"/>
        <v>0</v>
      </c>
      <c r="AE23" s="628" t="str">
        <f t="shared" si="6"/>
        <v>0/10a</v>
      </c>
      <c r="AF23" s="1116"/>
    </row>
    <row r="24" spans="4:32" ht="30" hidden="1" customHeight="1" outlineLevel="1">
      <c r="D24" s="1489"/>
      <c r="E24" s="1490"/>
      <c r="F24" s="336"/>
      <c r="G24" s="342"/>
      <c r="H24" s="338"/>
      <c r="I24" s="343"/>
      <c r="J24" s="344"/>
      <c r="K24" s="183"/>
      <c r="L24" s="183"/>
      <c r="M24" s="183"/>
      <c r="N24" s="183"/>
      <c r="O24" s="183"/>
      <c r="P24" s="183"/>
      <c r="Q24" s="183"/>
      <c r="R24" s="307"/>
      <c r="S24" s="307"/>
      <c r="T24" s="307"/>
      <c r="U24" s="307"/>
      <c r="V24" s="307"/>
      <c r="W24" s="1523"/>
      <c r="X24" s="350">
        <f t="shared" si="3"/>
        <v>0</v>
      </c>
      <c r="Y24" s="351">
        <f t="shared" si="3"/>
        <v>0</v>
      </c>
      <c r="Z24" s="1109">
        <f t="shared" si="0"/>
        <v>0</v>
      </c>
      <c r="AA24" s="1110">
        <f t="shared" si="1"/>
        <v>0</v>
      </c>
      <c r="AB24" s="1111" t="str">
        <f t="shared" si="2"/>
        <v>円/0</v>
      </c>
      <c r="AC24" s="341">
        <f t="shared" si="4"/>
        <v>0</v>
      </c>
      <c r="AD24" s="1114">
        <f t="shared" si="5"/>
        <v>0</v>
      </c>
      <c r="AE24" s="628" t="str">
        <f t="shared" si="6"/>
        <v>0/10a</v>
      </c>
      <c r="AF24" s="1116"/>
    </row>
    <row r="25" spans="4:32" ht="30" hidden="1" customHeight="1" outlineLevel="1">
      <c r="D25" s="1489"/>
      <c r="E25" s="1490"/>
      <c r="F25" s="336"/>
      <c r="G25" s="342"/>
      <c r="H25" s="338"/>
      <c r="I25" s="343"/>
      <c r="J25" s="344"/>
      <c r="K25" s="183"/>
      <c r="L25" s="183"/>
      <c r="M25" s="183"/>
      <c r="N25" s="183"/>
      <c r="O25" s="183"/>
      <c r="P25" s="183"/>
      <c r="Q25" s="183"/>
      <c r="R25" s="307"/>
      <c r="S25" s="307"/>
      <c r="T25" s="307"/>
      <c r="U25" s="307"/>
      <c r="V25" s="307"/>
      <c r="W25" s="1523"/>
      <c r="X25" s="350">
        <f t="shared" si="3"/>
        <v>0</v>
      </c>
      <c r="Y25" s="351">
        <f t="shared" si="3"/>
        <v>0</v>
      </c>
      <c r="Z25" s="1109">
        <f t="shared" si="0"/>
        <v>0</v>
      </c>
      <c r="AA25" s="1110">
        <f t="shared" si="1"/>
        <v>0</v>
      </c>
      <c r="AB25" s="1111" t="str">
        <f t="shared" si="2"/>
        <v>円/0</v>
      </c>
      <c r="AC25" s="341">
        <f t="shared" si="4"/>
        <v>0</v>
      </c>
      <c r="AD25" s="1114">
        <f t="shared" si="5"/>
        <v>0</v>
      </c>
      <c r="AE25" s="628" t="str">
        <f t="shared" si="6"/>
        <v>0/10a</v>
      </c>
      <c r="AF25" s="1116"/>
    </row>
    <row r="26" spans="4:32" ht="30" hidden="1" customHeight="1" outlineLevel="1">
      <c r="D26" s="1489"/>
      <c r="E26" s="1490"/>
      <c r="F26" s="336"/>
      <c r="G26" s="342"/>
      <c r="H26" s="338"/>
      <c r="I26" s="343"/>
      <c r="J26" s="344"/>
      <c r="K26" s="183"/>
      <c r="L26" s="183"/>
      <c r="M26" s="183"/>
      <c r="N26" s="183"/>
      <c r="O26" s="183"/>
      <c r="P26" s="183"/>
      <c r="Q26" s="183"/>
      <c r="R26" s="307"/>
      <c r="S26" s="307"/>
      <c r="T26" s="307"/>
      <c r="U26" s="307"/>
      <c r="V26" s="307"/>
      <c r="W26" s="1523"/>
      <c r="X26" s="350">
        <f t="shared" si="3"/>
        <v>0</v>
      </c>
      <c r="Y26" s="351">
        <f t="shared" si="3"/>
        <v>0</v>
      </c>
      <c r="Z26" s="1109">
        <f t="shared" si="0"/>
        <v>0</v>
      </c>
      <c r="AA26" s="1110">
        <f t="shared" si="1"/>
        <v>0</v>
      </c>
      <c r="AB26" s="1111" t="str">
        <f t="shared" si="2"/>
        <v>円/0</v>
      </c>
      <c r="AC26" s="341">
        <f t="shared" si="4"/>
        <v>0</v>
      </c>
      <c r="AD26" s="1114">
        <f t="shared" si="5"/>
        <v>0</v>
      </c>
      <c r="AE26" s="628" t="str">
        <f t="shared" si="6"/>
        <v>0/10a</v>
      </c>
      <c r="AF26" s="1116"/>
    </row>
    <row r="27" spans="4:32" ht="30" hidden="1" customHeight="1" outlineLevel="1">
      <c r="D27" s="1489"/>
      <c r="E27" s="1490"/>
      <c r="F27" s="336"/>
      <c r="G27" s="342"/>
      <c r="H27" s="338"/>
      <c r="I27" s="343"/>
      <c r="J27" s="344"/>
      <c r="K27" s="183"/>
      <c r="L27" s="183"/>
      <c r="M27" s="183"/>
      <c r="N27" s="183"/>
      <c r="O27" s="183"/>
      <c r="P27" s="183"/>
      <c r="Q27" s="183"/>
      <c r="R27" s="307"/>
      <c r="S27" s="307"/>
      <c r="T27" s="307"/>
      <c r="U27" s="307"/>
      <c r="V27" s="307"/>
      <c r="W27" s="1523"/>
      <c r="X27" s="350">
        <f t="shared" si="3"/>
        <v>0</v>
      </c>
      <c r="Y27" s="351">
        <f t="shared" si="3"/>
        <v>0</v>
      </c>
      <c r="Z27" s="1109">
        <f t="shared" si="0"/>
        <v>0</v>
      </c>
      <c r="AA27" s="1110">
        <f t="shared" si="1"/>
        <v>0</v>
      </c>
      <c r="AB27" s="1111" t="str">
        <f t="shared" si="2"/>
        <v>円/0</v>
      </c>
      <c r="AC27" s="341">
        <f t="shared" si="4"/>
        <v>0</v>
      </c>
      <c r="AD27" s="1114">
        <f t="shared" si="5"/>
        <v>0</v>
      </c>
      <c r="AE27" s="628" t="str">
        <f t="shared" si="6"/>
        <v>0/10a</v>
      </c>
      <c r="AF27" s="1116"/>
    </row>
    <row r="28" spans="4:32" ht="30" hidden="1" customHeight="1" outlineLevel="1">
      <c r="D28" s="1489"/>
      <c r="E28" s="1490"/>
      <c r="F28" s="336"/>
      <c r="G28" s="342"/>
      <c r="H28" s="338"/>
      <c r="I28" s="343"/>
      <c r="J28" s="344"/>
      <c r="K28" s="183"/>
      <c r="L28" s="183"/>
      <c r="M28" s="183"/>
      <c r="N28" s="183"/>
      <c r="O28" s="183"/>
      <c r="P28" s="183"/>
      <c r="Q28" s="183"/>
      <c r="R28" s="307"/>
      <c r="S28" s="307"/>
      <c r="T28" s="307"/>
      <c r="U28" s="307"/>
      <c r="V28" s="307"/>
      <c r="W28" s="1523"/>
      <c r="X28" s="350">
        <f t="shared" si="3"/>
        <v>0</v>
      </c>
      <c r="Y28" s="351">
        <f t="shared" si="3"/>
        <v>0</v>
      </c>
      <c r="Z28" s="1109">
        <f t="shared" si="0"/>
        <v>0</v>
      </c>
      <c r="AA28" s="1110">
        <f t="shared" si="1"/>
        <v>0</v>
      </c>
      <c r="AB28" s="1111" t="str">
        <f t="shared" si="2"/>
        <v>円/0</v>
      </c>
      <c r="AC28" s="341">
        <f t="shared" si="4"/>
        <v>0</v>
      </c>
      <c r="AD28" s="1114">
        <f t="shared" si="5"/>
        <v>0</v>
      </c>
      <c r="AE28" s="628" t="str">
        <f t="shared" si="6"/>
        <v>0/10a</v>
      </c>
      <c r="AF28" s="1116"/>
    </row>
    <row r="29" spans="4:32" ht="30" hidden="1" customHeight="1" outlineLevel="1">
      <c r="D29" s="1489"/>
      <c r="E29" s="1490"/>
      <c r="F29" s="336"/>
      <c r="G29" s="342"/>
      <c r="H29" s="338"/>
      <c r="I29" s="343"/>
      <c r="J29" s="344"/>
      <c r="K29" s="183"/>
      <c r="L29" s="183"/>
      <c r="M29" s="183"/>
      <c r="N29" s="183"/>
      <c r="O29" s="183"/>
      <c r="P29" s="183"/>
      <c r="Q29" s="183"/>
      <c r="R29" s="307"/>
      <c r="S29" s="307"/>
      <c r="T29" s="307"/>
      <c r="U29" s="307"/>
      <c r="V29" s="307"/>
      <c r="W29" s="1523"/>
      <c r="X29" s="350">
        <f t="shared" si="3"/>
        <v>0</v>
      </c>
      <c r="Y29" s="351">
        <f t="shared" si="3"/>
        <v>0</v>
      </c>
      <c r="Z29" s="1109">
        <f t="shared" si="0"/>
        <v>0</v>
      </c>
      <c r="AA29" s="1110">
        <f t="shared" si="1"/>
        <v>0</v>
      </c>
      <c r="AB29" s="1111" t="str">
        <f t="shared" si="2"/>
        <v>円/0</v>
      </c>
      <c r="AC29" s="341">
        <f t="shared" si="4"/>
        <v>0</v>
      </c>
      <c r="AD29" s="1114">
        <f t="shared" si="5"/>
        <v>0</v>
      </c>
      <c r="AE29" s="628" t="str">
        <f t="shared" si="6"/>
        <v>0/10a</v>
      </c>
      <c r="AF29" s="1116"/>
    </row>
    <row r="30" spans="4:32" ht="30" hidden="1" customHeight="1" outlineLevel="1">
      <c r="D30" s="1489"/>
      <c r="E30" s="1490"/>
      <c r="F30" s="336"/>
      <c r="G30" s="342"/>
      <c r="H30" s="338"/>
      <c r="I30" s="343"/>
      <c r="J30" s="344"/>
      <c r="K30" s="183"/>
      <c r="L30" s="183"/>
      <c r="M30" s="183"/>
      <c r="N30" s="183"/>
      <c r="O30" s="183"/>
      <c r="P30" s="183"/>
      <c r="Q30" s="183"/>
      <c r="R30" s="307"/>
      <c r="S30" s="307"/>
      <c r="T30" s="307"/>
      <c r="U30" s="307"/>
      <c r="V30" s="307"/>
      <c r="W30" s="1523"/>
      <c r="X30" s="350">
        <f t="shared" si="3"/>
        <v>0</v>
      </c>
      <c r="Y30" s="351">
        <f t="shared" si="3"/>
        <v>0</v>
      </c>
      <c r="Z30" s="1109">
        <f t="shared" si="0"/>
        <v>0</v>
      </c>
      <c r="AA30" s="1110">
        <f t="shared" si="1"/>
        <v>0</v>
      </c>
      <c r="AB30" s="1111" t="str">
        <f t="shared" si="2"/>
        <v>円/0</v>
      </c>
      <c r="AC30" s="341">
        <f t="shared" si="4"/>
        <v>0</v>
      </c>
      <c r="AD30" s="1114">
        <f t="shared" si="5"/>
        <v>0</v>
      </c>
      <c r="AE30" s="628" t="str">
        <f t="shared" si="6"/>
        <v>0/10a</v>
      </c>
      <c r="AF30" s="1116"/>
    </row>
    <row r="31" spans="4:32" ht="30" hidden="1" customHeight="1" outlineLevel="1" thickBot="1">
      <c r="D31" s="1520"/>
      <c r="E31" s="1521"/>
      <c r="F31" s="336"/>
      <c r="G31" s="337"/>
      <c r="H31" s="345"/>
      <c r="I31" s="346"/>
      <c r="J31" s="344"/>
      <c r="K31" s="183"/>
      <c r="L31" s="183"/>
      <c r="M31" s="183"/>
      <c r="N31" s="183"/>
      <c r="O31" s="183"/>
      <c r="P31" s="183"/>
      <c r="Q31" s="183"/>
      <c r="R31" s="307"/>
      <c r="S31" s="307"/>
      <c r="T31" s="307"/>
      <c r="U31" s="307"/>
      <c r="V31" s="307"/>
      <c r="W31" s="1524"/>
      <c r="X31" s="1117">
        <f t="shared" si="3"/>
        <v>0</v>
      </c>
      <c r="Y31" s="1118">
        <f t="shared" si="3"/>
        <v>0</v>
      </c>
      <c r="Z31" s="1119">
        <f t="shared" si="0"/>
        <v>0</v>
      </c>
      <c r="AA31" s="1120">
        <f t="shared" si="1"/>
        <v>0</v>
      </c>
      <c r="AB31" s="1121" t="str">
        <f t="shared" si="2"/>
        <v>円/0</v>
      </c>
      <c r="AC31" s="559">
        <f t="shared" si="4"/>
        <v>0</v>
      </c>
      <c r="AD31" s="1122">
        <f t="shared" si="5"/>
        <v>0</v>
      </c>
      <c r="AE31" s="1123" t="str">
        <f t="shared" si="6"/>
        <v>0/10a</v>
      </c>
      <c r="AF31" s="1124"/>
    </row>
    <row r="32" spans="4:32" ht="30" customHeight="1" thickTop="1">
      <c r="D32" s="1495" t="s">
        <v>279</v>
      </c>
      <c r="E32" s="1496"/>
      <c r="F32" s="347"/>
      <c r="G32" s="348"/>
      <c r="H32" s="349"/>
      <c r="I32" s="1508"/>
      <c r="J32" s="344"/>
      <c r="K32" s="183"/>
      <c r="L32" s="183"/>
      <c r="M32" s="183"/>
      <c r="N32" s="183"/>
      <c r="O32" s="183"/>
      <c r="P32" s="183"/>
      <c r="Q32" s="183"/>
      <c r="R32" s="307"/>
      <c r="S32" s="307"/>
      <c r="T32" s="307"/>
      <c r="U32" s="307"/>
      <c r="V32" s="307"/>
      <c r="W32" s="1509" t="s">
        <v>279</v>
      </c>
      <c r="X32" s="1125">
        <f>F32</f>
        <v>0</v>
      </c>
      <c r="Y32" s="1126">
        <f>G32</f>
        <v>0</v>
      </c>
      <c r="Z32" s="1127">
        <f>H32</f>
        <v>0</v>
      </c>
      <c r="AA32" s="232"/>
      <c r="AB32" s="1128" t="str">
        <f>"円/"&amp;Z32</f>
        <v>円/0</v>
      </c>
      <c r="AC32" s="1129">
        <f>ROUND(Y32*AA32,)</f>
        <v>0</v>
      </c>
      <c r="AD32" s="1130">
        <f t="shared" si="5"/>
        <v>0</v>
      </c>
      <c r="AE32" s="1131" t="str">
        <f t="shared" si="6"/>
        <v>0/10a</v>
      </c>
      <c r="AF32" s="1115"/>
    </row>
    <row r="33" spans="3:34" ht="30" customHeight="1">
      <c r="D33" s="1497"/>
      <c r="E33" s="1498"/>
      <c r="F33" s="353"/>
      <c r="G33" s="354"/>
      <c r="H33" s="355"/>
      <c r="I33" s="1502"/>
      <c r="J33" s="344"/>
      <c r="K33" s="183"/>
      <c r="L33" s="183"/>
      <c r="M33" s="183"/>
      <c r="N33" s="183"/>
      <c r="O33" s="183"/>
      <c r="P33" s="183"/>
      <c r="Q33" s="183"/>
      <c r="R33" s="307"/>
      <c r="S33" s="307"/>
      <c r="T33" s="307"/>
      <c r="U33" s="307"/>
      <c r="V33" s="307"/>
      <c r="W33" s="1455"/>
      <c r="X33" s="350">
        <f t="shared" ref="X33:Z46" si="7">F33</f>
        <v>0</v>
      </c>
      <c r="Y33" s="351">
        <f t="shared" si="7"/>
        <v>0</v>
      </c>
      <c r="Z33" s="386">
        <f t="shared" si="7"/>
        <v>0</v>
      </c>
      <c r="AA33" s="234"/>
      <c r="AB33" s="352" t="str">
        <f t="shared" ref="AB33:AB47" si="8">"円/"&amp;Z33</f>
        <v>円/0</v>
      </c>
      <c r="AC33" s="341">
        <f t="shared" ref="AC33:AC46" si="9">ROUND(Y33*AA33,)</f>
        <v>0</v>
      </c>
      <c r="AD33" s="1114">
        <f t="shared" si="5"/>
        <v>0</v>
      </c>
      <c r="AE33" s="628" t="str">
        <f t="shared" si="6"/>
        <v>0/10a</v>
      </c>
      <c r="AF33" s="1116"/>
    </row>
    <row r="34" spans="3:34" ht="30" customHeight="1">
      <c r="D34" s="1497"/>
      <c r="E34" s="1498"/>
      <c r="F34" s="353"/>
      <c r="G34" s="354"/>
      <c r="H34" s="355"/>
      <c r="I34" s="1502"/>
      <c r="J34" s="344"/>
      <c r="K34" s="183"/>
      <c r="L34" s="183"/>
      <c r="M34" s="183"/>
      <c r="N34" s="183"/>
      <c r="O34" s="183"/>
      <c r="P34" s="183"/>
      <c r="Q34" s="183"/>
      <c r="R34" s="307"/>
      <c r="S34" s="307"/>
      <c r="T34" s="307"/>
      <c r="U34" s="307"/>
      <c r="V34" s="307"/>
      <c r="W34" s="1455"/>
      <c r="X34" s="350">
        <f t="shared" si="7"/>
        <v>0</v>
      </c>
      <c r="Y34" s="351">
        <f t="shared" si="7"/>
        <v>0</v>
      </c>
      <c r="Z34" s="386">
        <f t="shared" si="7"/>
        <v>0</v>
      </c>
      <c r="AA34" s="234"/>
      <c r="AB34" s="352" t="str">
        <f t="shared" si="8"/>
        <v>円/0</v>
      </c>
      <c r="AC34" s="341">
        <f t="shared" si="9"/>
        <v>0</v>
      </c>
      <c r="AD34" s="1114">
        <f t="shared" si="5"/>
        <v>0</v>
      </c>
      <c r="AE34" s="628" t="str">
        <f t="shared" si="6"/>
        <v>0/10a</v>
      </c>
      <c r="AF34" s="1116"/>
    </row>
    <row r="35" spans="3:34" ht="30" customHeight="1">
      <c r="D35" s="1497"/>
      <c r="E35" s="1498"/>
      <c r="F35" s="353"/>
      <c r="G35" s="354"/>
      <c r="H35" s="355"/>
      <c r="I35" s="1502"/>
      <c r="J35" s="344"/>
      <c r="K35" s="183"/>
      <c r="L35" s="183"/>
      <c r="M35" s="183"/>
      <c r="N35" s="183"/>
      <c r="O35" s="183"/>
      <c r="P35" s="183"/>
      <c r="Q35" s="183"/>
      <c r="R35" s="307"/>
      <c r="S35" s="307"/>
      <c r="T35" s="307"/>
      <c r="U35" s="307"/>
      <c r="V35" s="307"/>
      <c r="W35" s="1455"/>
      <c r="X35" s="350">
        <f t="shared" si="7"/>
        <v>0</v>
      </c>
      <c r="Y35" s="351">
        <f t="shared" si="7"/>
        <v>0</v>
      </c>
      <c r="Z35" s="386">
        <f t="shared" si="7"/>
        <v>0</v>
      </c>
      <c r="AA35" s="234"/>
      <c r="AB35" s="352" t="str">
        <f t="shared" si="8"/>
        <v>円/0</v>
      </c>
      <c r="AC35" s="341">
        <f t="shared" si="9"/>
        <v>0</v>
      </c>
      <c r="AD35" s="1114">
        <f t="shared" si="5"/>
        <v>0</v>
      </c>
      <c r="AE35" s="628" t="str">
        <f t="shared" si="6"/>
        <v>0/10a</v>
      </c>
      <c r="AF35" s="1116"/>
    </row>
    <row r="36" spans="3:34" ht="30" customHeight="1" collapsed="1" thickBot="1">
      <c r="D36" s="1497"/>
      <c r="E36" s="1498"/>
      <c r="F36" s="353"/>
      <c r="G36" s="354"/>
      <c r="H36" s="355"/>
      <c r="I36" s="1502"/>
      <c r="J36" s="344"/>
      <c r="K36" s="183"/>
      <c r="L36" s="183"/>
      <c r="M36" s="183"/>
      <c r="N36" s="183"/>
      <c r="O36" s="183"/>
      <c r="P36" s="183"/>
      <c r="Q36" s="183"/>
      <c r="R36" s="307"/>
      <c r="S36" s="307"/>
      <c r="T36" s="307"/>
      <c r="U36" s="307"/>
      <c r="V36" s="307"/>
      <c r="W36" s="1455"/>
      <c r="X36" s="350">
        <f t="shared" si="7"/>
        <v>0</v>
      </c>
      <c r="Y36" s="351">
        <f t="shared" si="7"/>
        <v>0</v>
      </c>
      <c r="Z36" s="386">
        <f t="shared" si="7"/>
        <v>0</v>
      </c>
      <c r="AA36" s="234"/>
      <c r="AB36" s="352" t="str">
        <f t="shared" si="8"/>
        <v>円/0</v>
      </c>
      <c r="AC36" s="341">
        <f t="shared" si="9"/>
        <v>0</v>
      </c>
      <c r="AD36" s="1114">
        <f t="shared" si="5"/>
        <v>0</v>
      </c>
      <c r="AE36" s="628" t="str">
        <f t="shared" si="6"/>
        <v>0/10a</v>
      </c>
      <c r="AF36" s="1116"/>
    </row>
    <row r="37" spans="3:34" ht="30" hidden="1" customHeight="1" outlineLevel="1">
      <c r="D37" s="1497"/>
      <c r="E37" s="1498"/>
      <c r="F37" s="353"/>
      <c r="G37" s="354"/>
      <c r="H37" s="355"/>
      <c r="I37" s="1502"/>
      <c r="J37" s="344"/>
      <c r="K37" s="183"/>
      <c r="L37" s="183"/>
      <c r="M37" s="183"/>
      <c r="N37" s="183"/>
      <c r="O37" s="183"/>
      <c r="P37" s="183"/>
      <c r="Q37" s="183"/>
      <c r="R37" s="307"/>
      <c r="S37" s="307"/>
      <c r="T37" s="307"/>
      <c r="U37" s="307"/>
      <c r="V37" s="307"/>
      <c r="W37" s="1455"/>
      <c r="X37" s="350">
        <f t="shared" si="7"/>
        <v>0</v>
      </c>
      <c r="Y37" s="351">
        <f t="shared" si="7"/>
        <v>0</v>
      </c>
      <c r="Z37" s="386">
        <f t="shared" si="7"/>
        <v>0</v>
      </c>
      <c r="AA37" s="234"/>
      <c r="AB37" s="352" t="str">
        <f t="shared" si="8"/>
        <v>円/0</v>
      </c>
      <c r="AC37" s="341">
        <f t="shared" si="9"/>
        <v>0</v>
      </c>
      <c r="AD37" s="1114">
        <f t="shared" si="5"/>
        <v>0</v>
      </c>
      <c r="AE37" s="628" t="str">
        <f t="shared" si="6"/>
        <v>0/10a</v>
      </c>
      <c r="AF37" s="1116"/>
    </row>
    <row r="38" spans="3:34" ht="30" hidden="1" customHeight="1" outlineLevel="1">
      <c r="D38" s="1497"/>
      <c r="E38" s="1498"/>
      <c r="F38" s="353"/>
      <c r="G38" s="354"/>
      <c r="H38" s="355"/>
      <c r="I38" s="1502"/>
      <c r="J38" s="344"/>
      <c r="K38" s="183"/>
      <c r="L38" s="183"/>
      <c r="M38" s="183"/>
      <c r="N38" s="183"/>
      <c r="O38" s="183"/>
      <c r="P38" s="183"/>
      <c r="Q38" s="183"/>
      <c r="R38" s="307"/>
      <c r="S38" s="307"/>
      <c r="T38" s="307"/>
      <c r="U38" s="307"/>
      <c r="V38" s="307"/>
      <c r="W38" s="1455"/>
      <c r="X38" s="350">
        <f t="shared" si="7"/>
        <v>0</v>
      </c>
      <c r="Y38" s="351">
        <f t="shared" si="7"/>
        <v>0</v>
      </c>
      <c r="Z38" s="386">
        <f t="shared" si="7"/>
        <v>0</v>
      </c>
      <c r="AA38" s="234"/>
      <c r="AB38" s="352" t="str">
        <f t="shared" si="8"/>
        <v>円/0</v>
      </c>
      <c r="AC38" s="341">
        <f t="shared" si="9"/>
        <v>0</v>
      </c>
      <c r="AD38" s="1114">
        <f t="shared" si="5"/>
        <v>0</v>
      </c>
      <c r="AE38" s="628" t="str">
        <f t="shared" si="6"/>
        <v>0/10a</v>
      </c>
      <c r="AF38" s="1116"/>
    </row>
    <row r="39" spans="3:34" ht="30" hidden="1" customHeight="1" outlineLevel="1">
      <c r="D39" s="1497"/>
      <c r="E39" s="1498"/>
      <c r="F39" s="353"/>
      <c r="G39" s="354"/>
      <c r="H39" s="355"/>
      <c r="I39" s="1502"/>
      <c r="J39" s="344"/>
      <c r="K39" s="183"/>
      <c r="L39" s="183"/>
      <c r="M39" s="183"/>
      <c r="N39" s="183"/>
      <c r="O39" s="183"/>
      <c r="P39" s="183"/>
      <c r="Q39" s="183"/>
      <c r="R39" s="307"/>
      <c r="S39" s="307"/>
      <c r="T39" s="307"/>
      <c r="U39" s="307"/>
      <c r="V39" s="307"/>
      <c r="W39" s="1455"/>
      <c r="X39" s="350">
        <f t="shared" si="7"/>
        <v>0</v>
      </c>
      <c r="Y39" s="351">
        <f t="shared" si="7"/>
        <v>0</v>
      </c>
      <c r="Z39" s="386">
        <f t="shared" si="7"/>
        <v>0</v>
      </c>
      <c r="AA39" s="234"/>
      <c r="AB39" s="352" t="str">
        <f t="shared" si="8"/>
        <v>円/0</v>
      </c>
      <c r="AC39" s="341">
        <f t="shared" si="9"/>
        <v>0</v>
      </c>
      <c r="AD39" s="1114">
        <f t="shared" si="5"/>
        <v>0</v>
      </c>
      <c r="AE39" s="628" t="str">
        <f t="shared" si="6"/>
        <v>0/10a</v>
      </c>
      <c r="AF39" s="1116"/>
    </row>
    <row r="40" spans="3:34" ht="30" hidden="1" customHeight="1" outlineLevel="1">
      <c r="D40" s="1497"/>
      <c r="E40" s="1498"/>
      <c r="F40" s="353"/>
      <c r="G40" s="354"/>
      <c r="H40" s="355"/>
      <c r="I40" s="1502"/>
      <c r="J40" s="344"/>
      <c r="K40" s="183"/>
      <c r="L40" s="183"/>
      <c r="M40" s="183"/>
      <c r="N40" s="183"/>
      <c r="O40" s="183"/>
      <c r="P40" s="183"/>
      <c r="Q40" s="183"/>
      <c r="R40" s="307"/>
      <c r="S40" s="307"/>
      <c r="T40" s="307"/>
      <c r="U40" s="307"/>
      <c r="V40" s="307"/>
      <c r="W40" s="1455"/>
      <c r="X40" s="350">
        <f t="shared" si="7"/>
        <v>0</v>
      </c>
      <c r="Y40" s="351">
        <f t="shared" si="7"/>
        <v>0</v>
      </c>
      <c r="Z40" s="386">
        <f t="shared" si="7"/>
        <v>0</v>
      </c>
      <c r="AA40" s="234"/>
      <c r="AB40" s="352" t="str">
        <f t="shared" si="8"/>
        <v>円/0</v>
      </c>
      <c r="AC40" s="341">
        <f t="shared" si="9"/>
        <v>0</v>
      </c>
      <c r="AD40" s="1114">
        <f t="shared" si="5"/>
        <v>0</v>
      </c>
      <c r="AE40" s="628" t="str">
        <f t="shared" si="6"/>
        <v>0/10a</v>
      </c>
      <c r="AF40" s="1116"/>
    </row>
    <row r="41" spans="3:34" ht="30" hidden="1" customHeight="1" outlineLevel="1">
      <c r="D41" s="1497"/>
      <c r="E41" s="1498"/>
      <c r="F41" s="353"/>
      <c r="G41" s="354"/>
      <c r="H41" s="355"/>
      <c r="I41" s="1502"/>
      <c r="J41" s="344"/>
      <c r="K41" s="183"/>
      <c r="L41" s="183"/>
      <c r="M41" s="183"/>
      <c r="N41" s="183"/>
      <c r="O41" s="183"/>
      <c r="P41" s="183"/>
      <c r="Q41" s="183"/>
      <c r="R41" s="307"/>
      <c r="S41" s="307"/>
      <c r="T41" s="307"/>
      <c r="U41" s="307"/>
      <c r="V41" s="307"/>
      <c r="W41" s="1455"/>
      <c r="X41" s="350">
        <f t="shared" si="7"/>
        <v>0</v>
      </c>
      <c r="Y41" s="351">
        <f t="shared" si="7"/>
        <v>0</v>
      </c>
      <c r="Z41" s="386">
        <f t="shared" si="7"/>
        <v>0</v>
      </c>
      <c r="AA41" s="234"/>
      <c r="AB41" s="352" t="str">
        <f t="shared" si="8"/>
        <v>円/0</v>
      </c>
      <c r="AC41" s="341">
        <f t="shared" si="9"/>
        <v>0</v>
      </c>
      <c r="AD41" s="1114">
        <f t="shared" si="5"/>
        <v>0</v>
      </c>
      <c r="AE41" s="628" t="str">
        <f t="shared" si="6"/>
        <v>0/10a</v>
      </c>
      <c r="AF41" s="1116"/>
    </row>
    <row r="42" spans="3:34" ht="30" hidden="1" customHeight="1" outlineLevel="1">
      <c r="D42" s="1497"/>
      <c r="E42" s="1498"/>
      <c r="F42" s="353"/>
      <c r="G42" s="354"/>
      <c r="H42" s="355"/>
      <c r="I42" s="1502"/>
      <c r="J42" s="344"/>
      <c r="K42" s="183"/>
      <c r="L42" s="183"/>
      <c r="M42" s="183"/>
      <c r="N42" s="183"/>
      <c r="O42" s="183"/>
      <c r="P42" s="183"/>
      <c r="Q42" s="183"/>
      <c r="R42" s="307"/>
      <c r="S42" s="307"/>
      <c r="T42" s="307"/>
      <c r="U42" s="307"/>
      <c r="V42" s="307"/>
      <c r="W42" s="1455"/>
      <c r="X42" s="350">
        <f t="shared" si="7"/>
        <v>0</v>
      </c>
      <c r="Y42" s="351">
        <f t="shared" si="7"/>
        <v>0</v>
      </c>
      <c r="Z42" s="386">
        <f t="shared" si="7"/>
        <v>0</v>
      </c>
      <c r="AA42" s="234"/>
      <c r="AB42" s="352" t="str">
        <f t="shared" si="8"/>
        <v>円/0</v>
      </c>
      <c r="AC42" s="341">
        <f t="shared" si="9"/>
        <v>0</v>
      </c>
      <c r="AD42" s="1114">
        <f t="shared" si="5"/>
        <v>0</v>
      </c>
      <c r="AE42" s="628" t="str">
        <f t="shared" si="6"/>
        <v>0/10a</v>
      </c>
      <c r="AF42" s="1116"/>
    </row>
    <row r="43" spans="3:34" ht="30" hidden="1" customHeight="1" outlineLevel="1">
      <c r="D43" s="1497"/>
      <c r="E43" s="1498"/>
      <c r="F43" s="353"/>
      <c r="G43" s="354"/>
      <c r="H43" s="355"/>
      <c r="I43" s="1502"/>
      <c r="J43" s="344"/>
      <c r="K43" s="183"/>
      <c r="L43" s="183"/>
      <c r="M43" s="183"/>
      <c r="N43" s="183"/>
      <c r="O43" s="183"/>
      <c r="P43" s="183"/>
      <c r="Q43" s="183"/>
      <c r="R43" s="307"/>
      <c r="S43" s="307"/>
      <c r="T43" s="307"/>
      <c r="U43" s="307"/>
      <c r="V43" s="307"/>
      <c r="W43" s="1455"/>
      <c r="X43" s="350">
        <f t="shared" si="7"/>
        <v>0</v>
      </c>
      <c r="Y43" s="351">
        <f t="shared" si="7"/>
        <v>0</v>
      </c>
      <c r="Z43" s="386">
        <f t="shared" si="7"/>
        <v>0</v>
      </c>
      <c r="AA43" s="234"/>
      <c r="AB43" s="352" t="str">
        <f t="shared" si="8"/>
        <v>円/0</v>
      </c>
      <c r="AC43" s="341">
        <f t="shared" si="9"/>
        <v>0</v>
      </c>
      <c r="AD43" s="1114">
        <f t="shared" si="5"/>
        <v>0</v>
      </c>
      <c r="AE43" s="628" t="str">
        <f t="shared" si="6"/>
        <v>0/10a</v>
      </c>
      <c r="AF43" s="1116"/>
    </row>
    <row r="44" spans="3:34" ht="30" hidden="1" customHeight="1" outlineLevel="1">
      <c r="D44" s="1497"/>
      <c r="E44" s="1498"/>
      <c r="F44" s="353"/>
      <c r="G44" s="354"/>
      <c r="H44" s="355"/>
      <c r="I44" s="1502"/>
      <c r="J44" s="344"/>
      <c r="K44" s="183"/>
      <c r="L44" s="183"/>
      <c r="M44" s="183"/>
      <c r="N44" s="183"/>
      <c r="O44" s="183"/>
      <c r="P44" s="183"/>
      <c r="Q44" s="183"/>
      <c r="R44" s="307"/>
      <c r="S44" s="307"/>
      <c r="T44" s="307"/>
      <c r="U44" s="307"/>
      <c r="V44" s="307"/>
      <c r="W44" s="1455"/>
      <c r="X44" s="350">
        <f t="shared" si="7"/>
        <v>0</v>
      </c>
      <c r="Y44" s="351">
        <f t="shared" si="7"/>
        <v>0</v>
      </c>
      <c r="Z44" s="386">
        <f t="shared" si="7"/>
        <v>0</v>
      </c>
      <c r="AA44" s="234"/>
      <c r="AB44" s="352" t="str">
        <f t="shared" si="8"/>
        <v>円/0</v>
      </c>
      <c r="AC44" s="341">
        <f t="shared" si="9"/>
        <v>0</v>
      </c>
      <c r="AD44" s="1114">
        <f t="shared" si="5"/>
        <v>0</v>
      </c>
      <c r="AE44" s="628" t="str">
        <f t="shared" si="6"/>
        <v>0/10a</v>
      </c>
      <c r="AF44" s="1116"/>
    </row>
    <row r="45" spans="3:34" ht="30" hidden="1" customHeight="1" outlineLevel="1">
      <c r="D45" s="1497"/>
      <c r="E45" s="1498"/>
      <c r="F45" s="353"/>
      <c r="G45" s="354"/>
      <c r="H45" s="355"/>
      <c r="I45" s="1502"/>
      <c r="J45" s="344"/>
      <c r="K45" s="183"/>
      <c r="L45" s="183"/>
      <c r="M45" s="183"/>
      <c r="N45" s="183"/>
      <c r="O45" s="183"/>
      <c r="P45" s="183"/>
      <c r="Q45" s="183"/>
      <c r="R45" s="307"/>
      <c r="S45" s="307"/>
      <c r="T45" s="307"/>
      <c r="U45" s="307"/>
      <c r="V45" s="307"/>
      <c r="W45" s="1455"/>
      <c r="X45" s="350">
        <f t="shared" si="7"/>
        <v>0</v>
      </c>
      <c r="Y45" s="351">
        <f t="shared" si="7"/>
        <v>0</v>
      </c>
      <c r="Z45" s="386">
        <f t="shared" si="7"/>
        <v>0</v>
      </c>
      <c r="AA45" s="234"/>
      <c r="AB45" s="352" t="str">
        <f t="shared" si="8"/>
        <v>円/0</v>
      </c>
      <c r="AC45" s="341">
        <f t="shared" si="9"/>
        <v>0</v>
      </c>
      <c r="AD45" s="1114">
        <f t="shared" si="5"/>
        <v>0</v>
      </c>
      <c r="AE45" s="628" t="str">
        <f t="shared" si="6"/>
        <v>0/10a</v>
      </c>
      <c r="AF45" s="1116"/>
    </row>
    <row r="46" spans="3:34" ht="30" hidden="1" customHeight="1" outlineLevel="1" thickBot="1">
      <c r="D46" s="1497"/>
      <c r="E46" s="1498"/>
      <c r="F46" s="357"/>
      <c r="G46" s="358"/>
      <c r="H46" s="359"/>
      <c r="I46" s="1502"/>
      <c r="J46" s="344"/>
      <c r="K46" s="183"/>
      <c r="L46" s="183"/>
      <c r="M46" s="183"/>
      <c r="N46" s="183"/>
      <c r="O46" s="183"/>
      <c r="P46" s="183"/>
      <c r="Q46" s="183"/>
      <c r="R46" s="307"/>
      <c r="S46" s="307"/>
      <c r="T46" s="307"/>
      <c r="U46" s="307"/>
      <c r="V46" s="307"/>
      <c r="W46" s="1455"/>
      <c r="X46" s="350">
        <f t="shared" si="7"/>
        <v>0</v>
      </c>
      <c r="Y46" s="351">
        <f t="shared" si="7"/>
        <v>0</v>
      </c>
      <c r="Z46" s="386">
        <f t="shared" si="7"/>
        <v>0</v>
      </c>
      <c r="AA46" s="235"/>
      <c r="AB46" s="352" t="str">
        <f t="shared" si="8"/>
        <v>円/0</v>
      </c>
      <c r="AC46" s="341">
        <f t="shared" si="9"/>
        <v>0</v>
      </c>
      <c r="AD46" s="1114">
        <f t="shared" si="5"/>
        <v>0</v>
      </c>
      <c r="AE46" s="628" t="str">
        <f t="shared" si="6"/>
        <v>0/10a</v>
      </c>
      <c r="AF46" s="1124"/>
    </row>
    <row r="47" spans="3:34" ht="30" customHeight="1" thickTop="1">
      <c r="C47" s="362" t="s">
        <v>280</v>
      </c>
      <c r="D47" s="1059" t="s">
        <v>1302</v>
      </c>
      <c r="E47" s="363"/>
      <c r="F47" s="364"/>
      <c r="G47" s="365"/>
      <c r="H47" s="365"/>
      <c r="I47" s="366"/>
      <c r="R47" s="248"/>
      <c r="S47" s="248"/>
      <c r="T47" s="248"/>
      <c r="U47" s="248"/>
      <c r="V47" s="213"/>
      <c r="W47" s="1372" t="s">
        <v>281</v>
      </c>
      <c r="X47" s="1372"/>
      <c r="Y47" s="351">
        <f>SUM(Y32:Y46)</f>
        <v>0</v>
      </c>
      <c r="Z47" s="1109" t="s">
        <v>1386</v>
      </c>
      <c r="AA47" s="1132">
        <f>IFERROR(ROUND(AC47/Y47,2),)</f>
        <v>0</v>
      </c>
      <c r="AB47" s="1111" t="str">
        <f t="shared" si="8"/>
        <v>円/－</v>
      </c>
      <c r="AC47" s="341">
        <f>SUM(AC32:AC46)</f>
        <v>0</v>
      </c>
      <c r="AD47" s="1112">
        <f>IFERROR(ROUND(Y47/【11】土地_１所有地_米・さとうきび以外!S24*10,1),)</f>
        <v>0</v>
      </c>
      <c r="AE47" s="628" t="str">
        <f>Z47&amp;"/10a"</f>
        <v>－/10a</v>
      </c>
      <c r="AF47" s="1133"/>
      <c r="AG47" s="147"/>
      <c r="AH47" s="147"/>
    </row>
    <row r="48" spans="3:34" ht="30" customHeight="1">
      <c r="C48" s="362"/>
      <c r="D48" s="362"/>
      <c r="E48" s="72"/>
      <c r="F48" s="72"/>
      <c r="G48" s="367"/>
      <c r="H48" s="367"/>
      <c r="I48" s="20"/>
      <c r="R48" s="213"/>
      <c r="S48" s="213"/>
      <c r="T48" s="213"/>
      <c r="U48" s="213"/>
      <c r="V48" s="213"/>
      <c r="W48" s="1525" t="s">
        <v>1387</v>
      </c>
      <c r="X48" s="1525"/>
      <c r="Y48" s="1525"/>
      <c r="Z48" s="1525"/>
      <c r="AA48" s="1525"/>
      <c r="AB48" s="1525"/>
      <c r="AC48" s="1525"/>
      <c r="AD48" s="1525"/>
      <c r="AE48" s="1525"/>
      <c r="AF48" s="1525"/>
    </row>
    <row r="49" spans="1:35" ht="14.25" hidden="1" customHeight="1">
      <c r="A49" s="30"/>
      <c r="B49" s="67"/>
      <c r="C49" s="128" t="s">
        <v>282</v>
      </c>
      <c r="D49" s="58"/>
      <c r="E49" s="58"/>
      <c r="F49" s="58"/>
      <c r="G49" s="58"/>
      <c r="H49" s="58"/>
      <c r="I49" s="58"/>
      <c r="J49" s="30"/>
      <c r="K49" s="30"/>
      <c r="L49" s="30"/>
      <c r="M49" s="30"/>
      <c r="N49" s="30"/>
      <c r="O49" s="30"/>
      <c r="P49" s="30"/>
      <c r="Q49" s="30"/>
      <c r="W49" s="128" t="s">
        <v>283</v>
      </c>
      <c r="X49" s="328"/>
      <c r="Y49" s="328"/>
      <c r="Z49" s="328"/>
      <c r="AA49" s="328"/>
      <c r="AB49" s="328"/>
    </row>
    <row r="50" spans="1:35" ht="14.25" hidden="1" customHeight="1" thickBot="1">
      <c r="A50" s="30"/>
      <c r="B50" s="67"/>
      <c r="C50" s="128"/>
      <c r="D50" s="58"/>
      <c r="E50" s="58"/>
      <c r="F50" s="58"/>
      <c r="G50" s="58"/>
      <c r="H50" s="58"/>
      <c r="I50" s="58"/>
      <c r="J50" s="30"/>
      <c r="K50" s="30"/>
      <c r="L50" s="30"/>
      <c r="M50" s="30"/>
      <c r="N50" s="30"/>
      <c r="O50" s="30"/>
      <c r="P50" s="30"/>
      <c r="Q50" s="30"/>
      <c r="W50" s="328"/>
      <c r="X50" s="328"/>
      <c r="Y50" s="328"/>
      <c r="Z50" s="328"/>
      <c r="AA50" s="328"/>
      <c r="AB50" s="328"/>
    </row>
    <row r="51" spans="1:35" ht="14.25" hidden="1" customHeight="1">
      <c r="C51" s="329"/>
      <c r="D51" s="1290" t="s">
        <v>272</v>
      </c>
      <c r="E51" s="1291"/>
      <c r="F51" s="1468"/>
      <c r="G51" s="1510" t="s">
        <v>273</v>
      </c>
      <c r="H51" s="369"/>
      <c r="I51" s="1513" t="s">
        <v>274</v>
      </c>
      <c r="W51" s="328"/>
      <c r="X51" s="328"/>
      <c r="Y51" s="328"/>
      <c r="Z51" s="328"/>
      <c r="AA51" s="328"/>
      <c r="AB51" s="328"/>
    </row>
    <row r="52" spans="1:35" ht="14.25" hidden="1" customHeight="1">
      <c r="C52" s="329"/>
      <c r="D52" s="1275"/>
      <c r="E52" s="1276"/>
      <c r="F52" s="1277"/>
      <c r="G52" s="1511"/>
      <c r="H52" s="1516" t="s">
        <v>126</v>
      </c>
      <c r="I52" s="1514"/>
      <c r="W52" s="147"/>
      <c r="X52" s="147"/>
      <c r="Y52" s="147"/>
      <c r="Z52" s="147"/>
      <c r="AA52" s="147"/>
      <c r="AB52" s="147"/>
      <c r="AC52" s="147"/>
      <c r="AD52" s="147"/>
      <c r="AE52" s="147"/>
      <c r="AF52" s="147"/>
      <c r="AG52" s="147"/>
      <c r="AH52" s="147"/>
      <c r="AI52" s="147"/>
    </row>
    <row r="53" spans="1:35" ht="14.25" hidden="1" customHeight="1" thickBot="1">
      <c r="D53" s="1265"/>
      <c r="E53" s="1266"/>
      <c r="F53" s="1267"/>
      <c r="G53" s="1512"/>
      <c r="H53" s="1517"/>
      <c r="I53" s="1515"/>
    </row>
    <row r="54" spans="1:35" ht="30" hidden="1" customHeight="1" thickTop="1" thickBot="1">
      <c r="D54" s="1487" t="s">
        <v>275</v>
      </c>
      <c r="E54" s="1488"/>
      <c r="F54" s="331" t="s">
        <v>276</v>
      </c>
      <c r="G54" s="370"/>
      <c r="H54" s="333" t="s">
        <v>284</v>
      </c>
      <c r="I54" s="371"/>
      <c r="J54" s="335"/>
      <c r="K54" s="183"/>
      <c r="L54" s="183"/>
      <c r="M54" s="183"/>
      <c r="N54" s="183"/>
      <c r="O54" s="183"/>
      <c r="P54" s="183"/>
      <c r="Q54" s="183"/>
      <c r="R54" s="183"/>
      <c r="S54" s="183"/>
      <c r="T54" s="183"/>
      <c r="U54" s="183"/>
      <c r="V54" s="183"/>
      <c r="W54" s="1485"/>
      <c r="X54" s="1486"/>
      <c r="Y54" s="1483"/>
      <c r="Z54" s="1484"/>
      <c r="AA54" s="1483"/>
      <c r="AB54" s="1484"/>
      <c r="AC54" s="229" t="s">
        <v>195</v>
      </c>
    </row>
    <row r="55" spans="1:35" ht="30" hidden="1" customHeight="1" thickTop="1">
      <c r="D55" s="1489"/>
      <c r="E55" s="1490"/>
      <c r="F55" s="372"/>
      <c r="G55" s="373"/>
      <c r="H55" s="374"/>
      <c r="I55" s="375"/>
      <c r="J55" s="344"/>
      <c r="K55" s="183"/>
      <c r="L55" s="183"/>
      <c r="M55" s="183"/>
      <c r="N55" s="183"/>
      <c r="O55" s="183"/>
      <c r="P55" s="183"/>
      <c r="Q55" s="183"/>
      <c r="R55" s="183"/>
      <c r="S55" s="183"/>
      <c r="T55" s="183"/>
      <c r="U55" s="183"/>
      <c r="V55" s="183"/>
      <c r="W55" s="1400" t="s">
        <v>285</v>
      </c>
      <c r="X55" s="1402"/>
      <c r="Y55" s="1483"/>
      <c r="Z55" s="1484"/>
      <c r="AA55" s="1483"/>
      <c r="AB55" s="1484"/>
      <c r="AC55" s="341">
        <f>IF(OR(I54="",I54=0),SUM(I55:I69),I54)</f>
        <v>0</v>
      </c>
    </row>
    <row r="56" spans="1:35" ht="30" hidden="1" customHeight="1">
      <c r="D56" s="1489"/>
      <c r="E56" s="1490"/>
      <c r="F56" s="372"/>
      <c r="G56" s="373"/>
      <c r="H56" s="374"/>
      <c r="I56" s="343"/>
      <c r="J56" s="344"/>
      <c r="K56" s="183"/>
      <c r="L56" s="183"/>
      <c r="M56" s="183"/>
      <c r="N56" s="183"/>
      <c r="O56" s="183"/>
      <c r="P56" s="183"/>
      <c r="Q56" s="183"/>
      <c r="R56" s="183"/>
      <c r="S56" s="183"/>
      <c r="T56" s="183"/>
      <c r="U56" s="183"/>
      <c r="V56" s="183"/>
    </row>
    <row r="57" spans="1:35" ht="30" hidden="1" customHeight="1">
      <c r="D57" s="1489"/>
      <c r="E57" s="1490"/>
      <c r="F57" s="372"/>
      <c r="G57" s="373"/>
      <c r="H57" s="374"/>
      <c r="I57" s="343"/>
      <c r="J57" s="344"/>
      <c r="K57" s="183"/>
      <c r="L57" s="183"/>
      <c r="M57" s="183"/>
      <c r="N57" s="183"/>
      <c r="O57" s="183"/>
      <c r="P57" s="183"/>
      <c r="Q57" s="183"/>
      <c r="R57" s="183"/>
      <c r="S57" s="183"/>
      <c r="T57" s="183"/>
      <c r="U57" s="183"/>
      <c r="V57" s="183"/>
    </row>
    <row r="58" spans="1:35" ht="30" hidden="1" customHeight="1" collapsed="1">
      <c r="D58" s="1489"/>
      <c r="E58" s="1490"/>
      <c r="F58" s="372"/>
      <c r="G58" s="373"/>
      <c r="H58" s="374"/>
      <c r="I58" s="343"/>
      <c r="J58" s="344"/>
      <c r="K58" s="183"/>
      <c r="L58" s="183"/>
      <c r="M58" s="183"/>
      <c r="N58" s="183"/>
      <c r="O58" s="183"/>
      <c r="P58" s="183"/>
      <c r="Q58" s="183"/>
      <c r="R58" s="183"/>
      <c r="S58" s="183"/>
      <c r="T58" s="183"/>
      <c r="U58" s="183"/>
      <c r="V58" s="183"/>
    </row>
    <row r="59" spans="1:35" ht="30" hidden="1" customHeight="1" outlineLevel="1">
      <c r="D59" s="1489"/>
      <c r="E59" s="1490"/>
      <c r="F59" s="372"/>
      <c r="G59" s="373"/>
      <c r="H59" s="374"/>
      <c r="I59" s="343"/>
      <c r="J59" s="344"/>
      <c r="K59" s="183"/>
      <c r="L59" s="183"/>
      <c r="M59" s="183"/>
      <c r="N59" s="183"/>
      <c r="O59" s="183"/>
      <c r="P59" s="183"/>
      <c r="Q59" s="183"/>
      <c r="R59" s="183"/>
      <c r="S59" s="183"/>
      <c r="T59" s="183"/>
      <c r="U59" s="183"/>
      <c r="V59" s="183"/>
    </row>
    <row r="60" spans="1:35" ht="30" hidden="1" customHeight="1" outlineLevel="1">
      <c r="D60" s="1489"/>
      <c r="E60" s="1490"/>
      <c r="F60" s="372"/>
      <c r="G60" s="373"/>
      <c r="H60" s="374"/>
      <c r="I60" s="343"/>
      <c r="J60" s="344"/>
      <c r="K60" s="183"/>
      <c r="L60" s="183"/>
      <c r="M60" s="183"/>
      <c r="N60" s="183"/>
      <c r="O60" s="183"/>
      <c r="P60" s="183"/>
      <c r="Q60" s="183"/>
      <c r="R60" s="183"/>
      <c r="S60" s="183"/>
      <c r="T60" s="183"/>
      <c r="U60" s="183"/>
      <c r="V60" s="183"/>
    </row>
    <row r="61" spans="1:35" ht="30" hidden="1" customHeight="1" outlineLevel="1">
      <c r="D61" s="1489"/>
      <c r="E61" s="1490"/>
      <c r="F61" s="372"/>
      <c r="G61" s="373"/>
      <c r="H61" s="374"/>
      <c r="I61" s="343"/>
      <c r="J61" s="344"/>
      <c r="K61" s="183"/>
      <c r="L61" s="183"/>
      <c r="M61" s="183"/>
      <c r="N61" s="183"/>
      <c r="O61" s="183"/>
      <c r="P61" s="183"/>
      <c r="Q61" s="183"/>
      <c r="R61" s="183"/>
      <c r="S61" s="183"/>
      <c r="T61" s="183"/>
      <c r="U61" s="183"/>
      <c r="V61" s="183"/>
    </row>
    <row r="62" spans="1:35" ht="30" hidden="1" customHeight="1" outlineLevel="1">
      <c r="D62" s="1489"/>
      <c r="E62" s="1490"/>
      <c r="F62" s="372"/>
      <c r="G62" s="373"/>
      <c r="H62" s="374"/>
      <c r="I62" s="343"/>
      <c r="J62" s="344"/>
      <c r="K62" s="183"/>
      <c r="L62" s="183"/>
      <c r="M62" s="183"/>
      <c r="N62" s="183"/>
      <c r="O62" s="183"/>
      <c r="P62" s="183"/>
      <c r="Q62" s="183"/>
      <c r="R62" s="183"/>
      <c r="S62" s="183"/>
      <c r="T62" s="183"/>
      <c r="U62" s="183"/>
      <c r="V62" s="183"/>
    </row>
    <row r="63" spans="1:35" ht="30" hidden="1" customHeight="1" outlineLevel="1">
      <c r="D63" s="1489"/>
      <c r="E63" s="1490"/>
      <c r="F63" s="372"/>
      <c r="G63" s="373"/>
      <c r="H63" s="374"/>
      <c r="I63" s="343"/>
      <c r="J63" s="344"/>
      <c r="K63" s="183"/>
      <c r="L63" s="183"/>
      <c r="M63" s="183"/>
      <c r="N63" s="183"/>
      <c r="O63" s="183"/>
      <c r="P63" s="183"/>
      <c r="Q63" s="183"/>
      <c r="R63" s="183"/>
      <c r="S63" s="183"/>
      <c r="T63" s="183"/>
      <c r="U63" s="183"/>
      <c r="V63" s="183"/>
    </row>
    <row r="64" spans="1:35" ht="30" hidden="1" customHeight="1" outlineLevel="1">
      <c r="D64" s="1489"/>
      <c r="E64" s="1490"/>
      <c r="F64" s="372"/>
      <c r="G64" s="373"/>
      <c r="H64" s="374"/>
      <c r="I64" s="343"/>
      <c r="J64" s="344"/>
      <c r="K64" s="183"/>
      <c r="L64" s="183"/>
      <c r="M64" s="183"/>
      <c r="N64" s="183"/>
      <c r="O64" s="183"/>
      <c r="P64" s="183"/>
      <c r="Q64" s="183"/>
      <c r="R64" s="183"/>
      <c r="S64" s="183"/>
      <c r="T64" s="183"/>
      <c r="U64" s="183"/>
      <c r="V64" s="183"/>
    </row>
    <row r="65" spans="4:29" ht="30" hidden="1" customHeight="1" outlineLevel="1">
      <c r="D65" s="1489"/>
      <c r="E65" s="1490"/>
      <c r="F65" s="372"/>
      <c r="G65" s="373"/>
      <c r="H65" s="374"/>
      <c r="I65" s="343"/>
      <c r="J65" s="344"/>
      <c r="K65" s="183"/>
      <c r="L65" s="183"/>
      <c r="M65" s="183"/>
      <c r="N65" s="183"/>
      <c r="O65" s="183"/>
      <c r="P65" s="183"/>
      <c r="Q65" s="183"/>
      <c r="R65" s="183"/>
      <c r="S65" s="183"/>
      <c r="T65" s="183"/>
      <c r="U65" s="183"/>
      <c r="V65" s="183"/>
    </row>
    <row r="66" spans="4:29" ht="30" hidden="1" customHeight="1" outlineLevel="1">
      <c r="D66" s="1489"/>
      <c r="E66" s="1490"/>
      <c r="F66" s="372"/>
      <c r="G66" s="373"/>
      <c r="H66" s="374"/>
      <c r="I66" s="343"/>
      <c r="J66" s="344"/>
      <c r="K66" s="183"/>
      <c r="L66" s="183"/>
      <c r="M66" s="183"/>
      <c r="N66" s="183"/>
      <c r="O66" s="183"/>
      <c r="P66" s="183"/>
      <c r="Q66" s="183"/>
      <c r="R66" s="183"/>
      <c r="S66" s="183"/>
      <c r="T66" s="183"/>
      <c r="U66" s="183"/>
      <c r="V66" s="183"/>
    </row>
    <row r="67" spans="4:29" ht="30" hidden="1" customHeight="1" outlineLevel="1">
      <c r="D67" s="1489"/>
      <c r="E67" s="1490"/>
      <c r="F67" s="372"/>
      <c r="G67" s="373"/>
      <c r="H67" s="374"/>
      <c r="I67" s="343"/>
      <c r="J67" s="344"/>
      <c r="K67" s="183"/>
      <c r="L67" s="183"/>
      <c r="M67" s="183"/>
      <c r="N67" s="183"/>
      <c r="O67" s="183"/>
      <c r="P67" s="183"/>
      <c r="Q67" s="183"/>
      <c r="R67" s="183"/>
      <c r="S67" s="183"/>
      <c r="T67" s="183"/>
      <c r="U67" s="183"/>
      <c r="V67" s="183"/>
    </row>
    <row r="68" spans="4:29" ht="30" hidden="1" customHeight="1" outlineLevel="1">
      <c r="D68" s="1489"/>
      <c r="E68" s="1490"/>
      <c r="F68" s="372"/>
      <c r="G68" s="373"/>
      <c r="H68" s="374"/>
      <c r="I68" s="343"/>
      <c r="J68" s="344"/>
      <c r="K68" s="183"/>
      <c r="L68" s="183"/>
      <c r="M68" s="183"/>
      <c r="N68" s="183"/>
      <c r="O68" s="183"/>
      <c r="P68" s="183"/>
      <c r="Q68" s="183"/>
      <c r="R68" s="183"/>
      <c r="S68" s="183"/>
      <c r="T68" s="183"/>
      <c r="U68" s="183"/>
      <c r="V68" s="183"/>
      <c r="W68" s="326" t="s">
        <v>286</v>
      </c>
      <c r="Y68" s="151"/>
      <c r="Z68" s="151"/>
      <c r="AA68" s="151"/>
      <c r="AB68" s="151"/>
    </row>
    <row r="69" spans="4:29" ht="30" hidden="1" customHeight="1" outlineLevel="1" thickBot="1">
      <c r="D69" s="1489"/>
      <c r="E69" s="1490"/>
      <c r="F69" s="336"/>
      <c r="G69" s="376"/>
      <c r="H69" s="345"/>
      <c r="I69" s="377"/>
      <c r="J69" s="344"/>
      <c r="K69" s="183"/>
      <c r="L69" s="183"/>
      <c r="M69" s="183"/>
      <c r="N69" s="183"/>
      <c r="O69" s="183"/>
      <c r="P69" s="183"/>
      <c r="Q69" s="183"/>
      <c r="R69" s="183"/>
      <c r="S69" s="183"/>
      <c r="T69" s="183"/>
      <c r="U69" s="183"/>
      <c r="V69" s="183"/>
      <c r="W69" s="1493" t="s">
        <v>287</v>
      </c>
      <c r="X69" s="1493"/>
      <c r="Y69" s="1493" t="s">
        <v>288</v>
      </c>
      <c r="Z69" s="1493"/>
      <c r="AA69" s="1494" t="s">
        <v>289</v>
      </c>
      <c r="AB69" s="1494"/>
      <c r="AC69" s="378" t="s">
        <v>290</v>
      </c>
    </row>
    <row r="70" spans="4:29" ht="30" hidden="1" customHeight="1" thickTop="1">
      <c r="D70" s="1495" t="s">
        <v>279</v>
      </c>
      <c r="E70" s="1496"/>
      <c r="F70" s="347"/>
      <c r="G70" s="379"/>
      <c r="H70" s="349"/>
      <c r="I70" s="1501"/>
      <c r="W70" s="1504" t="s">
        <v>279</v>
      </c>
      <c r="X70" s="380">
        <f>F70</f>
        <v>0</v>
      </c>
      <c r="Y70" s="381">
        <f>G70</f>
        <v>0</v>
      </c>
      <c r="Z70" s="382">
        <f>H70</f>
        <v>0</v>
      </c>
      <c r="AA70" s="383"/>
      <c r="AB70" s="384" t="str">
        <f>"円/"&amp;Z70</f>
        <v>円/0</v>
      </c>
      <c r="AC70" s="385">
        <f>ROUND(Y70*AA70,)</f>
        <v>0</v>
      </c>
    </row>
    <row r="71" spans="4:29" ht="30" hidden="1" customHeight="1">
      <c r="D71" s="1497"/>
      <c r="E71" s="1498"/>
      <c r="F71" s="353"/>
      <c r="G71" s="354"/>
      <c r="H71" s="355"/>
      <c r="I71" s="1502"/>
      <c r="W71" s="1504"/>
      <c r="X71" s="350">
        <f t="shared" ref="X71:Z84" si="10">F71</f>
        <v>0</v>
      </c>
      <c r="Y71" s="351">
        <f t="shared" si="10"/>
        <v>0</v>
      </c>
      <c r="Z71" s="386">
        <f t="shared" si="10"/>
        <v>0</v>
      </c>
      <c r="AA71" s="234"/>
      <c r="AB71" s="356" t="str">
        <f t="shared" ref="AB71:AB84" si="11">"円/"&amp;Z71</f>
        <v>円/0</v>
      </c>
      <c r="AC71" s="341">
        <f t="shared" ref="AC71:AC84" si="12">ROUND(Y71*AA71,)</f>
        <v>0</v>
      </c>
    </row>
    <row r="72" spans="4:29" ht="30" hidden="1" customHeight="1">
      <c r="D72" s="1497"/>
      <c r="E72" s="1498"/>
      <c r="F72" s="353"/>
      <c r="G72" s="354"/>
      <c r="H72" s="355"/>
      <c r="I72" s="1502"/>
      <c r="W72" s="1504"/>
      <c r="X72" s="350">
        <f t="shared" si="10"/>
        <v>0</v>
      </c>
      <c r="Y72" s="351">
        <f t="shared" si="10"/>
        <v>0</v>
      </c>
      <c r="Z72" s="386">
        <f t="shared" si="10"/>
        <v>0</v>
      </c>
      <c r="AA72" s="234"/>
      <c r="AB72" s="356" t="str">
        <f t="shared" si="11"/>
        <v>円/0</v>
      </c>
      <c r="AC72" s="341">
        <f t="shared" si="12"/>
        <v>0</v>
      </c>
    </row>
    <row r="73" spans="4:29" ht="30" hidden="1" customHeight="1">
      <c r="D73" s="1497"/>
      <c r="E73" s="1498"/>
      <c r="F73" s="353"/>
      <c r="G73" s="354"/>
      <c r="H73" s="355"/>
      <c r="I73" s="1502"/>
      <c r="W73" s="1504"/>
      <c r="X73" s="350">
        <f t="shared" si="10"/>
        <v>0</v>
      </c>
      <c r="Y73" s="351">
        <f t="shared" si="10"/>
        <v>0</v>
      </c>
      <c r="Z73" s="386">
        <f t="shared" si="10"/>
        <v>0</v>
      </c>
      <c r="AA73" s="234"/>
      <c r="AB73" s="356" t="str">
        <f t="shared" si="11"/>
        <v>円/0</v>
      </c>
      <c r="AC73" s="341">
        <f t="shared" si="12"/>
        <v>0</v>
      </c>
    </row>
    <row r="74" spans="4:29" ht="30" hidden="1" customHeight="1" collapsed="1">
      <c r="D74" s="1497"/>
      <c r="E74" s="1498"/>
      <c r="F74" s="353"/>
      <c r="G74" s="354"/>
      <c r="H74" s="355"/>
      <c r="I74" s="1502"/>
      <c r="W74" s="1504"/>
      <c r="X74" s="350">
        <f t="shared" si="10"/>
        <v>0</v>
      </c>
      <c r="Y74" s="351">
        <f t="shared" si="10"/>
        <v>0</v>
      </c>
      <c r="Z74" s="386">
        <f t="shared" si="10"/>
        <v>0</v>
      </c>
      <c r="AA74" s="234"/>
      <c r="AB74" s="356" t="str">
        <f t="shared" si="11"/>
        <v>円/0</v>
      </c>
      <c r="AC74" s="341">
        <f t="shared" si="12"/>
        <v>0</v>
      </c>
    </row>
    <row r="75" spans="4:29" ht="30" hidden="1" customHeight="1" outlineLevel="1">
      <c r="D75" s="1497"/>
      <c r="E75" s="1498"/>
      <c r="F75" s="353"/>
      <c r="G75" s="354"/>
      <c r="H75" s="355"/>
      <c r="I75" s="1502"/>
      <c r="W75" s="1504"/>
      <c r="X75" s="350">
        <f t="shared" si="10"/>
        <v>0</v>
      </c>
      <c r="Y75" s="351">
        <f t="shared" si="10"/>
        <v>0</v>
      </c>
      <c r="Z75" s="386">
        <f t="shared" si="10"/>
        <v>0</v>
      </c>
      <c r="AA75" s="234"/>
      <c r="AB75" s="356" t="str">
        <f t="shared" si="11"/>
        <v>円/0</v>
      </c>
      <c r="AC75" s="341">
        <f t="shared" si="12"/>
        <v>0</v>
      </c>
    </row>
    <row r="76" spans="4:29" ht="30" hidden="1" customHeight="1" outlineLevel="1">
      <c r="D76" s="1497"/>
      <c r="E76" s="1498"/>
      <c r="F76" s="353"/>
      <c r="G76" s="354"/>
      <c r="H76" s="355"/>
      <c r="I76" s="1502"/>
      <c r="W76" s="1504"/>
      <c r="X76" s="350">
        <f t="shared" si="10"/>
        <v>0</v>
      </c>
      <c r="Y76" s="351">
        <f t="shared" si="10"/>
        <v>0</v>
      </c>
      <c r="Z76" s="386">
        <f t="shared" si="10"/>
        <v>0</v>
      </c>
      <c r="AA76" s="234"/>
      <c r="AB76" s="356" t="str">
        <f t="shared" si="11"/>
        <v>円/0</v>
      </c>
      <c r="AC76" s="341">
        <f t="shared" si="12"/>
        <v>0</v>
      </c>
    </row>
    <row r="77" spans="4:29" ht="30" hidden="1" customHeight="1" outlineLevel="1">
      <c r="D77" s="1497"/>
      <c r="E77" s="1498"/>
      <c r="F77" s="353"/>
      <c r="G77" s="354"/>
      <c r="H77" s="355"/>
      <c r="I77" s="1502"/>
      <c r="W77" s="1504"/>
      <c r="X77" s="350">
        <f t="shared" si="10"/>
        <v>0</v>
      </c>
      <c r="Y77" s="351">
        <f t="shared" si="10"/>
        <v>0</v>
      </c>
      <c r="Z77" s="386">
        <f t="shared" si="10"/>
        <v>0</v>
      </c>
      <c r="AA77" s="234"/>
      <c r="AB77" s="356" t="str">
        <f t="shared" si="11"/>
        <v>円/0</v>
      </c>
      <c r="AC77" s="341">
        <f t="shared" si="12"/>
        <v>0</v>
      </c>
    </row>
    <row r="78" spans="4:29" ht="30" hidden="1" customHeight="1" outlineLevel="1">
      <c r="D78" s="1497"/>
      <c r="E78" s="1498"/>
      <c r="F78" s="353"/>
      <c r="G78" s="354"/>
      <c r="H78" s="355"/>
      <c r="I78" s="1502"/>
      <c r="W78" s="1504"/>
      <c r="X78" s="350">
        <f t="shared" si="10"/>
        <v>0</v>
      </c>
      <c r="Y78" s="351">
        <f t="shared" si="10"/>
        <v>0</v>
      </c>
      <c r="Z78" s="386">
        <f t="shared" si="10"/>
        <v>0</v>
      </c>
      <c r="AA78" s="234"/>
      <c r="AB78" s="356" t="str">
        <f t="shared" si="11"/>
        <v>円/0</v>
      </c>
      <c r="AC78" s="341">
        <f t="shared" si="12"/>
        <v>0</v>
      </c>
    </row>
    <row r="79" spans="4:29" ht="30" hidden="1" customHeight="1" outlineLevel="1">
      <c r="D79" s="1497"/>
      <c r="E79" s="1498"/>
      <c r="F79" s="353"/>
      <c r="G79" s="354"/>
      <c r="H79" s="355"/>
      <c r="I79" s="1502"/>
      <c r="W79" s="1504"/>
      <c r="X79" s="350">
        <f t="shared" si="10"/>
        <v>0</v>
      </c>
      <c r="Y79" s="351">
        <f t="shared" si="10"/>
        <v>0</v>
      </c>
      <c r="Z79" s="386">
        <f t="shared" si="10"/>
        <v>0</v>
      </c>
      <c r="AA79" s="234"/>
      <c r="AB79" s="356" t="str">
        <f t="shared" si="11"/>
        <v>円/0</v>
      </c>
      <c r="AC79" s="341">
        <f t="shared" si="12"/>
        <v>0</v>
      </c>
    </row>
    <row r="80" spans="4:29" ht="30" hidden="1" customHeight="1" outlineLevel="1">
      <c r="D80" s="1497"/>
      <c r="E80" s="1498"/>
      <c r="F80" s="353"/>
      <c r="G80" s="354"/>
      <c r="H80" s="355"/>
      <c r="I80" s="1502"/>
      <c r="W80" s="1504"/>
      <c r="X80" s="350">
        <f t="shared" si="10"/>
        <v>0</v>
      </c>
      <c r="Y80" s="351">
        <f t="shared" si="10"/>
        <v>0</v>
      </c>
      <c r="Z80" s="386">
        <f t="shared" si="10"/>
        <v>0</v>
      </c>
      <c r="AA80" s="234"/>
      <c r="AB80" s="356" t="str">
        <f t="shared" si="11"/>
        <v>円/0</v>
      </c>
      <c r="AC80" s="341">
        <f t="shared" si="12"/>
        <v>0</v>
      </c>
    </row>
    <row r="81" spans="4:30" ht="30" hidden="1" customHeight="1" outlineLevel="1">
      <c r="D81" s="1497"/>
      <c r="E81" s="1498"/>
      <c r="F81" s="353"/>
      <c r="G81" s="354"/>
      <c r="H81" s="355"/>
      <c r="I81" s="1502"/>
      <c r="W81" s="1504"/>
      <c r="X81" s="350">
        <f t="shared" si="10"/>
        <v>0</v>
      </c>
      <c r="Y81" s="351">
        <f t="shared" si="10"/>
        <v>0</v>
      </c>
      <c r="Z81" s="386">
        <f t="shared" si="10"/>
        <v>0</v>
      </c>
      <c r="AA81" s="234"/>
      <c r="AB81" s="356" t="str">
        <f t="shared" si="11"/>
        <v>円/0</v>
      </c>
      <c r="AC81" s="341">
        <f t="shared" si="12"/>
        <v>0</v>
      </c>
    </row>
    <row r="82" spans="4:30" ht="30" hidden="1" customHeight="1" outlineLevel="1">
      <c r="D82" s="1497"/>
      <c r="E82" s="1498"/>
      <c r="F82" s="353"/>
      <c r="G82" s="354"/>
      <c r="H82" s="355"/>
      <c r="I82" s="1502"/>
      <c r="W82" s="1504"/>
      <c r="X82" s="350">
        <f t="shared" si="10"/>
        <v>0</v>
      </c>
      <c r="Y82" s="351">
        <f t="shared" si="10"/>
        <v>0</v>
      </c>
      <c r="Z82" s="386">
        <f t="shared" si="10"/>
        <v>0</v>
      </c>
      <c r="AA82" s="234"/>
      <c r="AB82" s="356" t="str">
        <f t="shared" si="11"/>
        <v>円/0</v>
      </c>
      <c r="AC82" s="341">
        <f t="shared" si="12"/>
        <v>0</v>
      </c>
    </row>
    <row r="83" spans="4:30" ht="30" hidden="1" customHeight="1" outlineLevel="1">
      <c r="D83" s="1497"/>
      <c r="E83" s="1498"/>
      <c r="F83" s="353"/>
      <c r="G83" s="354"/>
      <c r="H83" s="355"/>
      <c r="I83" s="1502"/>
      <c r="W83" s="1504"/>
      <c r="X83" s="350">
        <f t="shared" si="10"/>
        <v>0</v>
      </c>
      <c r="Y83" s="351">
        <f t="shared" si="10"/>
        <v>0</v>
      </c>
      <c r="Z83" s="386">
        <f t="shared" si="10"/>
        <v>0</v>
      </c>
      <c r="AA83" s="234"/>
      <c r="AB83" s="356" t="str">
        <f t="shared" si="11"/>
        <v>円/0</v>
      </c>
      <c r="AC83" s="341">
        <f t="shared" si="12"/>
        <v>0</v>
      </c>
    </row>
    <row r="84" spans="4:30" ht="30" hidden="1" customHeight="1" outlineLevel="1" thickBot="1">
      <c r="D84" s="1499"/>
      <c r="E84" s="1500"/>
      <c r="F84" s="387"/>
      <c r="G84" s="388"/>
      <c r="H84" s="389"/>
      <c r="I84" s="1503"/>
      <c r="W84" s="1505"/>
      <c r="X84" s="350">
        <f t="shared" si="10"/>
        <v>0</v>
      </c>
      <c r="Y84" s="351">
        <f t="shared" si="10"/>
        <v>0</v>
      </c>
      <c r="Z84" s="386">
        <f t="shared" si="10"/>
        <v>0</v>
      </c>
      <c r="AA84" s="360"/>
      <c r="AB84" s="361" t="str">
        <f t="shared" si="11"/>
        <v>円/0</v>
      </c>
      <c r="AC84" s="341">
        <f t="shared" si="12"/>
        <v>0</v>
      </c>
    </row>
    <row r="85" spans="4:30" ht="21" hidden="1" customHeight="1" thickTop="1">
      <c r="D85" s="390"/>
      <c r="E85" s="391"/>
      <c r="F85" s="392"/>
      <c r="G85" s="392"/>
      <c r="H85" s="392"/>
      <c r="I85" s="391"/>
      <c r="W85" s="1400" t="s">
        <v>291</v>
      </c>
      <c r="X85" s="1402"/>
      <c r="Y85" s="1506"/>
      <c r="Z85" s="1507"/>
      <c r="AA85" s="1491"/>
      <c r="AB85" s="1492"/>
      <c r="AC85" s="341">
        <f>SUM(AC70:AC84)</f>
        <v>0</v>
      </c>
      <c r="AD85" s="147"/>
    </row>
    <row r="86" spans="4:30" ht="17.25" customHeight="1">
      <c r="D86" s="241"/>
      <c r="W86" s="368"/>
      <c r="X86" s="368"/>
      <c r="Y86" s="328"/>
      <c r="Z86" s="328"/>
      <c r="AA86" s="328"/>
      <c r="AB86" s="328"/>
    </row>
    <row r="87" spans="4:30" ht="17.25" customHeight="1">
      <c r="W87" s="214"/>
      <c r="X87" s="214"/>
      <c r="Y87" s="393"/>
      <c r="Z87" s="393"/>
      <c r="AA87" s="393"/>
      <c r="AB87" s="393"/>
      <c r="AC87" s="394"/>
      <c r="AD87" s="147"/>
    </row>
    <row r="88" spans="4:30" ht="17.25" customHeight="1">
      <c r="W88" s="368"/>
      <c r="X88" s="368"/>
      <c r="Y88" s="328"/>
      <c r="Z88" s="328"/>
      <c r="AA88" s="328"/>
      <c r="AB88" s="328"/>
    </row>
    <row r="89" spans="4:30" ht="21" customHeight="1"/>
    <row r="90" spans="4:30" ht="30" customHeight="1">
      <c r="W90" s="1485"/>
      <c r="X90" s="1486"/>
      <c r="Y90" s="1483"/>
      <c r="Z90" s="1484"/>
      <c r="AA90" s="1483"/>
      <c r="AB90" s="1484"/>
      <c r="AC90" s="229" t="s">
        <v>195</v>
      </c>
    </row>
    <row r="91" spans="4:30" ht="30" customHeight="1">
      <c r="W91" s="1400" t="s">
        <v>292</v>
      </c>
      <c r="X91" s="1402"/>
      <c r="Y91" s="1483"/>
      <c r="Z91" s="1484"/>
      <c r="AA91" s="1483"/>
      <c r="AB91" s="1484"/>
      <c r="AC91" s="252">
        <f>SUM(AC16,AC55)</f>
        <v>0</v>
      </c>
    </row>
    <row r="92" spans="4:30" ht="30" customHeight="1">
      <c r="W92" s="1400" t="s">
        <v>293</v>
      </c>
      <c r="X92" s="1402"/>
      <c r="Y92" s="1483"/>
      <c r="Z92" s="1484"/>
      <c r="AA92" s="1483"/>
      <c r="AB92" s="1484"/>
      <c r="AC92" s="252">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EBD78BF6-6A9F-4387-823E-7BAEACA954E5}">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9" r:id="rId4" name="btnKoushin1">
          <controlPr defaultSize="0" print="0" autoLine="0" r:id="rId5">
            <anchor moveWithCells="1">
              <from>
                <xdr:col>31</xdr:col>
                <xdr:colOff>152400</xdr:colOff>
                <xdr:row>10</xdr:row>
                <xdr:rowOff>0</xdr:rowOff>
              </from>
              <to>
                <xdr:col>32</xdr:col>
                <xdr:colOff>104775</xdr:colOff>
                <xdr:row>12</xdr:row>
                <xdr:rowOff>9525</xdr:rowOff>
              </to>
            </anchor>
          </controlPr>
        </control>
      </mc:Choice>
      <mc:Fallback>
        <control shapeId="8199"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28"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5.5" style="2" customWidth="1" outlineLevel="1"/>
    <col min="35" max="35" width="13.125" style="2" customWidth="1" outlineLevel="1"/>
    <col min="36" max="36" width="13.625" style="2" customWidth="1" outlineLevel="1"/>
    <col min="37" max="37" width="12.62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95"/>
      <c r="AB1" s="150" t="s">
        <v>294</v>
      </c>
      <c r="AC1" s="396"/>
      <c r="AW1" s="397"/>
      <c r="AX1" s="396"/>
    </row>
    <row r="2" spans="2:52" s="30" customFormat="1" ht="18" customHeight="1">
      <c r="B2" s="106" t="s">
        <v>295</v>
      </c>
      <c r="C2" s="58"/>
      <c r="D2" s="58"/>
      <c r="E2" s="58"/>
      <c r="F2" s="58"/>
      <c r="G2" s="58"/>
      <c r="H2" s="58"/>
      <c r="S2" s="395"/>
      <c r="T2" s="2"/>
      <c r="U2" s="2"/>
      <c r="V2" s="2"/>
      <c r="W2" s="2"/>
      <c r="X2" s="2"/>
      <c r="Y2" s="2"/>
      <c r="Z2" s="2"/>
      <c r="AA2" s="2"/>
      <c r="AC2" s="106" t="s">
        <v>295</v>
      </c>
      <c r="AD2" s="2"/>
      <c r="AE2" s="1083" t="s">
        <v>1367</v>
      </c>
      <c r="AF2" s="1085" t="s">
        <v>1368</v>
      </c>
      <c r="AG2" s="1085" t="s">
        <v>1369</v>
      </c>
      <c r="AH2" s="1085" t="s">
        <v>1370</v>
      </c>
      <c r="AI2" s="1085" t="s">
        <v>1371</v>
      </c>
      <c r="AJ2" s="1085" t="s">
        <v>1372</v>
      </c>
      <c r="AK2" s="1085" t="s">
        <v>1373</v>
      </c>
      <c r="AL2" s="2"/>
      <c r="AM2" s="2"/>
      <c r="AN2" s="2"/>
      <c r="AO2" s="2"/>
      <c r="AP2" s="2"/>
      <c r="AQ2" s="2"/>
      <c r="AR2" s="2"/>
      <c r="AS2" s="2"/>
      <c r="AT2" s="2"/>
      <c r="AU2" s="2"/>
      <c r="AV2" s="2"/>
      <c r="AW2" s="34"/>
      <c r="AX2" s="2"/>
      <c r="AY2" s="2"/>
      <c r="AZ2" s="2"/>
    </row>
    <row r="3" spans="2:52" s="30" customFormat="1" ht="14.25" customHeight="1">
      <c r="B3" s="327" t="s">
        <v>1402</v>
      </c>
      <c r="C3" s="327"/>
      <c r="D3" s="398"/>
      <c r="E3" s="58"/>
      <c r="F3" s="58"/>
      <c r="G3" s="58"/>
      <c r="H3" s="58"/>
      <c r="S3" s="395"/>
      <c r="T3" s="2"/>
      <c r="U3" s="2"/>
      <c r="V3" s="2"/>
      <c r="W3" s="2"/>
      <c r="X3" s="2"/>
      <c r="Y3" s="2"/>
      <c r="Z3" s="2"/>
      <c r="AA3" s="2"/>
      <c r="AB3" s="2"/>
      <c r="AC3" s="396"/>
      <c r="AD3" s="2"/>
      <c r="AE3" s="1084"/>
      <c r="AF3" s="1087">
        <v>4</v>
      </c>
      <c r="AG3" s="1087">
        <v>4</v>
      </c>
      <c r="AH3" s="1087">
        <v>4</v>
      </c>
      <c r="AI3" s="1087">
        <v>4</v>
      </c>
      <c r="AJ3" s="1087">
        <v>4</v>
      </c>
      <c r="AK3" s="1087">
        <v>4</v>
      </c>
      <c r="AL3" s="2"/>
      <c r="AM3" s="2"/>
      <c r="AN3" s="2"/>
      <c r="AO3" s="2"/>
      <c r="AP3" s="2"/>
      <c r="AQ3" s="2"/>
      <c r="AR3" s="2"/>
      <c r="AS3" s="2"/>
      <c r="AT3" s="2"/>
      <c r="AU3" s="2"/>
      <c r="AV3" s="2"/>
      <c r="AW3" s="34"/>
      <c r="AX3" s="2"/>
      <c r="AY3" s="2"/>
      <c r="AZ3" s="2"/>
    </row>
    <row r="4" spans="2:52" s="30" customFormat="1" ht="14.25" customHeight="1">
      <c r="B4" s="327" t="s">
        <v>296</v>
      </c>
      <c r="C4" s="327"/>
      <c r="D4" s="398"/>
      <c r="E4" s="58"/>
      <c r="F4" s="58"/>
      <c r="G4" s="58"/>
      <c r="H4" s="58"/>
      <c r="S4" s="395"/>
      <c r="T4" s="2"/>
      <c r="U4" s="2"/>
      <c r="V4" s="2"/>
      <c r="W4" s="2"/>
      <c r="X4" s="2"/>
      <c r="Y4" s="2"/>
      <c r="Z4" s="2"/>
      <c r="AA4" s="2"/>
      <c r="AB4" s="2"/>
      <c r="AC4" s="396"/>
      <c r="AD4" s="2"/>
      <c r="AE4" s="2"/>
      <c r="AF4" s="2"/>
      <c r="AG4" s="2"/>
      <c r="AH4" s="2"/>
      <c r="AI4" s="2"/>
      <c r="AJ4" s="2"/>
      <c r="AR4" s="2"/>
      <c r="AS4" s="2"/>
      <c r="AT4" s="2"/>
      <c r="AU4" s="2"/>
      <c r="AV4" s="2"/>
      <c r="AW4" s="2"/>
      <c r="AX4" s="2"/>
      <c r="AY4" s="2"/>
      <c r="AZ4" s="2"/>
    </row>
    <row r="5" spans="2:52" s="30" customFormat="1" ht="14.25" customHeight="1">
      <c r="B5" s="51" t="s">
        <v>297</v>
      </c>
      <c r="C5" s="51"/>
      <c r="D5" s="51"/>
      <c r="E5" s="51"/>
      <c r="F5" s="58"/>
      <c r="G5" s="58"/>
      <c r="H5" s="58"/>
      <c r="S5" s="395"/>
      <c r="T5" s="2"/>
      <c r="U5" s="2"/>
      <c r="V5" s="2"/>
      <c r="W5" s="2"/>
      <c r="X5" s="2"/>
      <c r="Y5" s="2"/>
      <c r="Z5" s="2"/>
      <c r="AA5" s="2"/>
      <c r="AB5" s="2"/>
      <c r="AC5" s="396"/>
      <c r="AD5" s="2"/>
      <c r="AE5" s="2"/>
      <c r="AF5" s="2"/>
      <c r="AG5" s="2"/>
      <c r="AH5" s="2"/>
      <c r="AI5" s="2"/>
      <c r="AJ5" s="2"/>
      <c r="AR5" s="2"/>
      <c r="AS5" s="2"/>
      <c r="AT5" s="2"/>
      <c r="AU5" s="2"/>
      <c r="AV5" s="2"/>
      <c r="AW5" s="34"/>
      <c r="AX5" s="2"/>
      <c r="AY5" s="2"/>
      <c r="AZ5" s="2"/>
    </row>
    <row r="6" spans="2:52" s="30" customFormat="1" ht="14.25" customHeight="1">
      <c r="B6" s="51" t="s">
        <v>298</v>
      </c>
      <c r="C6" s="51"/>
      <c r="D6" s="51"/>
      <c r="E6" s="51"/>
      <c r="F6" s="58"/>
      <c r="G6" s="58"/>
      <c r="H6" s="58"/>
      <c r="S6" s="395"/>
      <c r="T6" s="2"/>
      <c r="U6" s="2"/>
      <c r="V6" s="2"/>
      <c r="W6" s="2"/>
      <c r="X6" s="2"/>
      <c r="Y6" s="2"/>
      <c r="Z6" s="2"/>
      <c r="AA6" s="2"/>
      <c r="AB6" s="2"/>
      <c r="AC6" s="328"/>
      <c r="AD6" s="328"/>
      <c r="AE6" s="328"/>
      <c r="AF6" s="328"/>
      <c r="AG6" s="144"/>
      <c r="AH6" s="144"/>
      <c r="AI6" s="2"/>
      <c r="AJ6" s="2"/>
      <c r="AR6" s="2"/>
      <c r="AS6" s="2"/>
      <c r="AT6" s="2"/>
      <c r="AU6" s="2"/>
      <c r="AV6" s="2"/>
      <c r="AW6" s="34"/>
      <c r="AX6" s="2"/>
      <c r="AY6" s="2"/>
      <c r="AZ6" s="2"/>
    </row>
    <row r="7" spans="2:52" s="30" customFormat="1" ht="14.25" customHeight="1" thickBot="1">
      <c r="B7" s="327"/>
      <c r="C7" s="327"/>
      <c r="D7" s="398"/>
      <c r="E7" s="58"/>
      <c r="F7" s="58"/>
      <c r="G7" s="58"/>
      <c r="H7" s="58"/>
      <c r="S7" s="395"/>
      <c r="T7" s="2"/>
      <c r="U7" s="2"/>
      <c r="V7" s="2"/>
      <c r="W7" s="2"/>
      <c r="X7" s="2"/>
      <c r="Y7" s="2"/>
      <c r="Z7" s="2"/>
      <c r="AA7" s="2"/>
      <c r="AB7" s="2"/>
      <c r="AC7" s="328"/>
      <c r="AD7" s="328"/>
      <c r="AE7" s="328"/>
      <c r="AF7" s="328"/>
      <c r="AG7" s="144"/>
      <c r="AH7" s="144"/>
      <c r="AI7" s="144"/>
      <c r="AJ7" s="144"/>
      <c r="AR7" s="2"/>
      <c r="AS7" s="2"/>
      <c r="AT7" s="2"/>
      <c r="AU7" s="2"/>
      <c r="AV7" s="2"/>
      <c r="AW7" s="34"/>
      <c r="AX7" s="2"/>
      <c r="AY7" s="2"/>
      <c r="AZ7" s="2"/>
    </row>
    <row r="8" spans="2:52" ht="14.25" customHeight="1">
      <c r="B8" s="1546" t="s">
        <v>299</v>
      </c>
      <c r="C8" s="1547"/>
      <c r="D8" s="1547"/>
      <c r="E8" s="1548"/>
      <c r="F8" s="1290" t="s">
        <v>300</v>
      </c>
      <c r="G8" s="330"/>
      <c r="H8" s="1208" t="s">
        <v>301</v>
      </c>
      <c r="I8" s="1582" t="s">
        <v>1403</v>
      </c>
      <c r="J8" s="1585" t="s">
        <v>302</v>
      </c>
      <c r="K8" s="1291"/>
      <c r="L8" s="1291"/>
      <c r="M8" s="1291"/>
      <c r="N8" s="1291"/>
      <c r="O8" s="1291"/>
      <c r="P8" s="1291"/>
      <c r="Q8" s="1291"/>
      <c r="R8" s="1468"/>
      <c r="S8" s="395"/>
      <c r="AC8" s="328"/>
      <c r="AD8" s="328"/>
      <c r="AE8" s="328"/>
      <c r="AF8" s="328"/>
      <c r="AG8" s="144"/>
      <c r="AH8" s="144"/>
      <c r="AI8" s="144"/>
      <c r="AJ8" s="144"/>
    </row>
    <row r="9" spans="2:52" ht="18" customHeight="1">
      <c r="B9" s="1259"/>
      <c r="C9" s="1260"/>
      <c r="D9" s="1260"/>
      <c r="E9" s="1261"/>
      <c r="F9" s="1275"/>
      <c r="G9" s="1516" t="s">
        <v>126</v>
      </c>
      <c r="H9" s="1532"/>
      <c r="I9" s="1583"/>
      <c r="J9" s="1586"/>
      <c r="K9" s="1276"/>
      <c r="L9" s="1276"/>
      <c r="M9" s="1276"/>
      <c r="N9" s="1276"/>
      <c r="O9" s="1276"/>
      <c r="P9" s="1276"/>
      <c r="Q9" s="1276"/>
      <c r="R9" s="1277"/>
      <c r="S9" s="395"/>
      <c r="AC9" s="1372" t="s">
        <v>303</v>
      </c>
      <c r="AD9" s="1372"/>
      <c r="AE9" s="1372" t="s">
        <v>304</v>
      </c>
      <c r="AF9" s="1578" t="s">
        <v>305</v>
      </c>
      <c r="AG9" s="1372" t="s">
        <v>195</v>
      </c>
      <c r="AH9" s="144"/>
      <c r="AI9" s="144"/>
      <c r="AJ9" s="144"/>
    </row>
    <row r="10" spans="2:52" ht="18" customHeight="1" thickBot="1">
      <c r="B10" s="1549"/>
      <c r="C10" s="1550"/>
      <c r="D10" s="1550"/>
      <c r="E10" s="1389"/>
      <c r="F10" s="1275"/>
      <c r="G10" s="1517"/>
      <c r="H10" s="1581"/>
      <c r="I10" s="1584"/>
      <c r="J10" s="1587"/>
      <c r="K10" s="1266"/>
      <c r="L10" s="1266"/>
      <c r="M10" s="1266"/>
      <c r="N10" s="1266"/>
      <c r="O10" s="1266"/>
      <c r="P10" s="1266"/>
      <c r="Q10" s="1266"/>
      <c r="R10" s="1267"/>
      <c r="S10" s="395"/>
      <c r="AC10" s="1372"/>
      <c r="AD10" s="1372"/>
      <c r="AE10" s="1372"/>
      <c r="AF10" s="1372"/>
      <c r="AG10" s="1372"/>
      <c r="AH10" s="144"/>
      <c r="AI10" s="144"/>
      <c r="AJ10" s="144"/>
    </row>
    <row r="11" spans="2:52" ht="30" customHeight="1" thickTop="1" thickBot="1">
      <c r="B11" s="1579" t="s">
        <v>249</v>
      </c>
      <c r="C11" s="1580"/>
      <c r="D11" s="1580"/>
      <c r="E11" s="1580"/>
      <c r="F11" s="399"/>
      <c r="G11" s="400" t="s">
        <v>277</v>
      </c>
      <c r="H11" s="401"/>
      <c r="I11" s="1024"/>
      <c r="J11" s="125"/>
      <c r="K11" s="125"/>
      <c r="L11" s="125"/>
      <c r="M11" s="125"/>
      <c r="N11" s="125"/>
      <c r="O11" s="125"/>
      <c r="P11" s="125"/>
      <c r="Q11" s="125"/>
      <c r="R11" s="402"/>
      <c r="S11" s="395"/>
      <c r="AC11" s="1577" t="s">
        <v>306</v>
      </c>
      <c r="AD11" s="1577"/>
      <c r="AE11" s="403"/>
      <c r="AF11" s="403"/>
      <c r="AG11" s="341">
        <f>IF(H11&gt;0,ROUND(H11*I11%,),SUM(AG12:AG31))</f>
        <v>0</v>
      </c>
      <c r="AH11" s="144"/>
      <c r="AI11" s="144"/>
      <c r="AJ11" s="144"/>
    </row>
    <row r="12" spans="2:52" ht="30" customHeight="1" thickTop="1">
      <c r="B12" s="1497" t="s">
        <v>275</v>
      </c>
      <c r="C12" s="1537"/>
      <c r="D12" s="1569" t="s">
        <v>307</v>
      </c>
      <c r="E12" s="1570"/>
      <c r="F12" s="1571"/>
      <c r="G12" s="1572"/>
      <c r="H12" s="1575"/>
      <c r="I12" s="1576"/>
      <c r="J12" s="262"/>
      <c r="K12" s="262"/>
      <c r="L12" s="262"/>
      <c r="M12" s="262"/>
      <c r="N12" s="262"/>
      <c r="O12" s="262"/>
      <c r="P12" s="262"/>
      <c r="Q12" s="262"/>
      <c r="R12" s="404"/>
      <c r="S12" s="340"/>
      <c r="AC12" s="1577" t="s">
        <v>308</v>
      </c>
      <c r="AD12" s="1577"/>
      <c r="AE12" s="351">
        <f>SUMPRODUCT(ROUND((F13:F27)*(I13:I27)/100,))</f>
        <v>0</v>
      </c>
      <c r="AF12" s="204">
        <f>IF(AND(AE12&gt;0,AG12&gt;0),ROUND(AG12/AE12,2),)</f>
        <v>0</v>
      </c>
      <c r="AG12" s="341">
        <f>SUMPRODUCT(ROUND((H13:H27)*(I13:I27)/100,))</f>
        <v>0</v>
      </c>
      <c r="AH12" s="144"/>
      <c r="AI12" s="144"/>
      <c r="AJ12" s="144"/>
    </row>
    <row r="13" spans="2:52" ht="30" customHeight="1">
      <c r="B13" s="1497"/>
      <c r="C13" s="1537"/>
      <c r="D13" s="405"/>
      <c r="E13" s="406"/>
      <c r="F13" s="407"/>
      <c r="G13" s="338"/>
      <c r="H13" s="408"/>
      <c r="I13" s="1025"/>
      <c r="J13" s="262"/>
      <c r="K13" s="262"/>
      <c r="L13" s="262"/>
      <c r="M13" s="262"/>
      <c r="N13" s="262"/>
      <c r="O13" s="262"/>
      <c r="P13" s="262"/>
      <c r="Q13" s="262"/>
      <c r="R13" s="404"/>
      <c r="S13" s="340"/>
      <c r="AC13" s="1577" t="s">
        <v>309</v>
      </c>
      <c r="AD13" s="1577"/>
      <c r="AE13" s="351">
        <f>SUMPRODUCT(ROUND((F29:F43)*(I29:I43)/100,))</f>
        <v>0</v>
      </c>
      <c r="AF13" s="204">
        <f t="shared" ref="AF13:AF16" si="0">IF(AND(AE13&gt;0,AG13&gt;0),ROUND(AG13/AE13,2),)</f>
        <v>0</v>
      </c>
      <c r="AG13" s="341">
        <f>SUMPRODUCT(ROUND((H29:H43)*(I29:I43)/100,))</f>
        <v>0</v>
      </c>
      <c r="AI13" s="144"/>
      <c r="AJ13" s="144"/>
    </row>
    <row r="14" spans="2:52" ht="30" customHeight="1">
      <c r="B14" s="1497"/>
      <c r="C14" s="1537"/>
      <c r="D14" s="405"/>
      <c r="E14" s="406"/>
      <c r="F14" s="409"/>
      <c r="G14" s="338"/>
      <c r="H14" s="410"/>
      <c r="I14" s="1026"/>
      <c r="J14" s="262"/>
      <c r="K14" s="262"/>
      <c r="L14" s="262"/>
      <c r="M14" s="262"/>
      <c r="N14" s="262"/>
      <c r="O14" s="262"/>
      <c r="P14" s="262"/>
      <c r="Q14" s="262"/>
      <c r="R14" s="404"/>
      <c r="S14" s="340"/>
      <c r="AC14" s="1577" t="s">
        <v>310</v>
      </c>
      <c r="AD14" s="1577"/>
      <c r="AE14" s="351">
        <f>SUMPRODUCT(ROUND((F45:F59)*(I45:I59)/100,))</f>
        <v>0</v>
      </c>
      <c r="AF14" s="204">
        <f t="shared" si="0"/>
        <v>0</v>
      </c>
      <c r="AG14" s="341">
        <f>SUMPRODUCT(ROUND((H45:H59)*(I45:I59)/100,))</f>
        <v>0</v>
      </c>
    </row>
    <row r="15" spans="2:52" ht="30" customHeight="1">
      <c r="B15" s="1497"/>
      <c r="C15" s="1537"/>
      <c r="D15" s="405"/>
      <c r="E15" s="406"/>
      <c r="F15" s="411"/>
      <c r="G15" s="338"/>
      <c r="H15" s="412"/>
      <c r="I15" s="1027"/>
      <c r="J15" s="262"/>
      <c r="K15" s="262"/>
      <c r="L15" s="262"/>
      <c r="M15" s="262"/>
      <c r="N15" s="262"/>
      <c r="O15" s="262"/>
      <c r="P15" s="262"/>
      <c r="Q15" s="262"/>
      <c r="R15" s="404"/>
      <c r="S15" s="340"/>
      <c r="AC15" s="1577" t="s">
        <v>311</v>
      </c>
      <c r="AD15" s="1577"/>
      <c r="AE15" s="351">
        <f>SUMPRODUCT(ROUND((F61:F75)*(I61:I75)/100,))</f>
        <v>0</v>
      </c>
      <c r="AF15" s="204">
        <f t="shared" si="0"/>
        <v>0</v>
      </c>
      <c r="AG15" s="341">
        <f>SUMPRODUCT(ROUND((H61:H75)*(I61:I75)/100,))</f>
        <v>0</v>
      </c>
    </row>
    <row r="16" spans="2:52" ht="30" customHeight="1" collapsed="1">
      <c r="B16" s="1497"/>
      <c r="C16" s="1537"/>
      <c r="D16" s="405"/>
      <c r="E16" s="406"/>
      <c r="F16" s="409"/>
      <c r="G16" s="338"/>
      <c r="H16" s="410"/>
      <c r="I16" s="1026"/>
      <c r="J16" s="262"/>
      <c r="K16" s="262"/>
      <c r="L16" s="262"/>
      <c r="M16" s="262"/>
      <c r="N16" s="262"/>
      <c r="O16" s="262"/>
      <c r="P16" s="262"/>
      <c r="Q16" s="262"/>
      <c r="R16" s="404"/>
      <c r="S16" s="340"/>
      <c r="AC16" s="1577" t="s">
        <v>312</v>
      </c>
      <c r="AD16" s="1577"/>
      <c r="AE16" s="351">
        <f>SUMPRODUCT(ROUND((F77:F91)*(I77:I91)/100,))</f>
        <v>0</v>
      </c>
      <c r="AF16" s="204">
        <f t="shared" si="0"/>
        <v>0</v>
      </c>
      <c r="AG16" s="341">
        <f>SUMPRODUCT(ROUND((H77:H91)*(I77:I91)/100,))</f>
        <v>0</v>
      </c>
    </row>
    <row r="17" spans="2:33" ht="30" hidden="1" customHeight="1" outlineLevel="1">
      <c r="B17" s="1497"/>
      <c r="C17" s="1537"/>
      <c r="D17" s="405"/>
      <c r="E17" s="406"/>
      <c r="F17" s="411"/>
      <c r="G17" s="338"/>
      <c r="H17" s="412"/>
      <c r="I17" s="1027"/>
      <c r="J17" s="262"/>
      <c r="K17" s="262"/>
      <c r="L17" s="262"/>
      <c r="M17" s="262"/>
      <c r="N17" s="262"/>
      <c r="O17" s="262"/>
      <c r="P17" s="262"/>
      <c r="Q17" s="262"/>
      <c r="R17" s="404"/>
      <c r="S17" s="340"/>
      <c r="AC17" s="1555"/>
      <c r="AD17" s="1555"/>
      <c r="AE17" s="393"/>
      <c r="AF17" s="413"/>
      <c r="AG17" s="394"/>
    </row>
    <row r="18" spans="2:33" ht="30" hidden="1" customHeight="1" outlineLevel="1">
      <c r="B18" s="1497"/>
      <c r="C18" s="1537"/>
      <c r="D18" s="405"/>
      <c r="E18" s="406"/>
      <c r="F18" s="411"/>
      <c r="G18" s="338"/>
      <c r="H18" s="412"/>
      <c r="I18" s="1027"/>
      <c r="J18" s="262"/>
      <c r="K18" s="262"/>
      <c r="L18" s="262"/>
      <c r="M18" s="262"/>
      <c r="N18" s="262"/>
      <c r="O18" s="262"/>
      <c r="P18" s="262"/>
      <c r="Q18" s="262"/>
      <c r="R18" s="404"/>
      <c r="S18" s="340"/>
      <c r="AC18" s="1555"/>
      <c r="AD18" s="1555"/>
      <c r="AE18" s="393"/>
      <c r="AF18" s="413"/>
      <c r="AG18" s="394"/>
    </row>
    <row r="19" spans="2:33" ht="30" hidden="1" customHeight="1" outlineLevel="1">
      <c r="B19" s="1497"/>
      <c r="C19" s="1537"/>
      <c r="D19" s="405"/>
      <c r="E19" s="406"/>
      <c r="F19" s="409"/>
      <c r="G19" s="338"/>
      <c r="H19" s="410"/>
      <c r="I19" s="1026"/>
      <c r="J19" s="262"/>
      <c r="K19" s="262"/>
      <c r="L19" s="262"/>
      <c r="M19" s="262"/>
      <c r="N19" s="262"/>
      <c r="O19" s="262"/>
      <c r="P19" s="262"/>
      <c r="Q19" s="262"/>
      <c r="R19" s="404"/>
      <c r="S19" s="340"/>
      <c r="AC19" s="1555"/>
      <c r="AD19" s="1555"/>
      <c r="AE19" s="393"/>
      <c r="AF19" s="413"/>
      <c r="AG19" s="394"/>
    </row>
    <row r="20" spans="2:33" ht="30" hidden="1" customHeight="1" outlineLevel="1">
      <c r="B20" s="1497"/>
      <c r="C20" s="1537"/>
      <c r="D20" s="405"/>
      <c r="E20" s="406"/>
      <c r="F20" s="411"/>
      <c r="G20" s="338"/>
      <c r="H20" s="412"/>
      <c r="I20" s="1027"/>
      <c r="J20" s="262"/>
      <c r="K20" s="262"/>
      <c r="L20" s="262"/>
      <c r="M20" s="262"/>
      <c r="N20" s="262"/>
      <c r="O20" s="262"/>
      <c r="P20" s="262"/>
      <c r="Q20" s="262"/>
      <c r="R20" s="404"/>
      <c r="S20" s="340"/>
      <c r="AC20" s="1555"/>
      <c r="AD20" s="1555"/>
      <c r="AE20" s="393"/>
      <c r="AF20" s="413"/>
      <c r="AG20" s="394"/>
    </row>
    <row r="21" spans="2:33" ht="30" hidden="1" customHeight="1" outlineLevel="1">
      <c r="B21" s="1497"/>
      <c r="C21" s="1537"/>
      <c r="D21" s="405"/>
      <c r="E21" s="406"/>
      <c r="F21" s="409"/>
      <c r="G21" s="338"/>
      <c r="H21" s="410"/>
      <c r="I21" s="1026"/>
      <c r="J21" s="262"/>
      <c r="K21" s="262"/>
      <c r="L21" s="262"/>
      <c r="M21" s="262"/>
      <c r="N21" s="262"/>
      <c r="O21" s="262"/>
      <c r="P21" s="262"/>
      <c r="Q21" s="262"/>
      <c r="R21" s="404"/>
      <c r="S21" s="340"/>
      <c r="AC21" s="1555"/>
      <c r="AD21" s="1555"/>
      <c r="AE21" s="393"/>
      <c r="AF21" s="413"/>
      <c r="AG21" s="394"/>
    </row>
    <row r="22" spans="2:33" ht="30" hidden="1" customHeight="1" outlineLevel="1">
      <c r="B22" s="1497"/>
      <c r="C22" s="1537"/>
      <c r="D22" s="405"/>
      <c r="E22" s="406"/>
      <c r="F22" s="411"/>
      <c r="G22" s="338"/>
      <c r="H22" s="412"/>
      <c r="I22" s="1027"/>
      <c r="J22" s="262"/>
      <c r="K22" s="262"/>
      <c r="L22" s="262"/>
      <c r="M22" s="262"/>
      <c r="N22" s="262"/>
      <c r="O22" s="262"/>
      <c r="P22" s="262"/>
      <c r="Q22" s="262"/>
      <c r="R22" s="404"/>
      <c r="S22" s="340"/>
      <c r="AC22" s="1555"/>
      <c r="AD22" s="1555"/>
      <c r="AE22" s="393"/>
      <c r="AF22" s="413"/>
      <c r="AG22" s="394"/>
    </row>
    <row r="23" spans="2:33" ht="30" hidden="1" customHeight="1" outlineLevel="1">
      <c r="B23" s="1497"/>
      <c r="C23" s="1537"/>
      <c r="D23" s="405"/>
      <c r="E23" s="406"/>
      <c r="F23" s="409"/>
      <c r="G23" s="338"/>
      <c r="H23" s="410"/>
      <c r="I23" s="1026"/>
      <c r="J23" s="262"/>
      <c r="K23" s="262"/>
      <c r="L23" s="262"/>
      <c r="M23" s="262"/>
      <c r="N23" s="262"/>
      <c r="O23" s="262"/>
      <c r="P23" s="262"/>
      <c r="Q23" s="262"/>
      <c r="R23" s="404"/>
      <c r="S23" s="340"/>
      <c r="AC23" s="1555"/>
      <c r="AD23" s="1555"/>
      <c r="AE23" s="393"/>
      <c r="AF23" s="413"/>
      <c r="AG23" s="394"/>
    </row>
    <row r="24" spans="2:33" ht="30" hidden="1" customHeight="1" outlineLevel="1">
      <c r="B24" s="1497"/>
      <c r="C24" s="1537"/>
      <c r="D24" s="405"/>
      <c r="E24" s="406"/>
      <c r="F24" s="411"/>
      <c r="G24" s="338"/>
      <c r="H24" s="412"/>
      <c r="I24" s="1027"/>
      <c r="J24" s="262"/>
      <c r="K24" s="262"/>
      <c r="L24" s="262"/>
      <c r="M24" s="262"/>
      <c r="N24" s="262"/>
      <c r="O24" s="262"/>
      <c r="P24" s="262"/>
      <c r="Q24" s="262"/>
      <c r="R24" s="404"/>
      <c r="S24" s="340"/>
      <c r="AC24" s="1555"/>
      <c r="AD24" s="1555"/>
      <c r="AE24" s="393"/>
      <c r="AF24" s="413"/>
      <c r="AG24" s="394"/>
    </row>
    <row r="25" spans="2:33" ht="30" hidden="1" customHeight="1" outlineLevel="1">
      <c r="B25" s="1497"/>
      <c r="C25" s="1537"/>
      <c r="D25" s="405"/>
      <c r="E25" s="406"/>
      <c r="F25" s="409"/>
      <c r="G25" s="338"/>
      <c r="H25" s="410"/>
      <c r="I25" s="1026"/>
      <c r="J25" s="262"/>
      <c r="K25" s="262"/>
      <c r="L25" s="262"/>
      <c r="M25" s="262"/>
      <c r="N25" s="262"/>
      <c r="O25" s="262"/>
      <c r="P25" s="262"/>
      <c r="Q25" s="262"/>
      <c r="R25" s="404"/>
      <c r="S25" s="340"/>
      <c r="AF25" s="414"/>
    </row>
    <row r="26" spans="2:33" ht="30" hidden="1" customHeight="1" outlineLevel="1">
      <c r="B26" s="1497"/>
      <c r="C26" s="1537"/>
      <c r="D26" s="405"/>
      <c r="E26" s="406"/>
      <c r="F26" s="411"/>
      <c r="G26" s="338"/>
      <c r="H26" s="412"/>
      <c r="I26" s="1027"/>
      <c r="J26" s="262"/>
      <c r="K26" s="262"/>
      <c r="L26" s="262"/>
      <c r="M26" s="262"/>
      <c r="N26" s="262"/>
      <c r="O26" s="262"/>
      <c r="P26" s="262"/>
      <c r="Q26" s="262"/>
      <c r="R26" s="404"/>
      <c r="S26" s="340"/>
      <c r="AF26" s="414"/>
    </row>
    <row r="27" spans="2:33" ht="30" hidden="1" customHeight="1" outlineLevel="1">
      <c r="B27" s="1497"/>
      <c r="C27" s="1537"/>
      <c r="D27" s="405"/>
      <c r="E27" s="406"/>
      <c r="F27" s="409"/>
      <c r="G27" s="338"/>
      <c r="H27" s="410"/>
      <c r="I27" s="1026"/>
      <c r="J27" s="262"/>
      <c r="K27" s="262"/>
      <c r="L27" s="262"/>
      <c r="M27" s="262"/>
      <c r="N27" s="262"/>
      <c r="O27" s="262"/>
      <c r="P27" s="262"/>
      <c r="Q27" s="262"/>
      <c r="R27" s="404"/>
      <c r="S27" s="340"/>
      <c r="AF27" s="414"/>
    </row>
    <row r="28" spans="2:33" ht="30" customHeight="1">
      <c r="B28" s="1497"/>
      <c r="C28" s="1537"/>
      <c r="D28" s="1569" t="s">
        <v>313</v>
      </c>
      <c r="E28" s="1570"/>
      <c r="F28" s="1571"/>
      <c r="G28" s="1572"/>
      <c r="H28" s="1572"/>
      <c r="I28" s="1573"/>
      <c r="J28" s="262"/>
      <c r="K28" s="262"/>
      <c r="L28" s="262"/>
      <c r="M28" s="262"/>
      <c r="N28" s="262"/>
      <c r="O28" s="262"/>
      <c r="P28" s="262"/>
      <c r="Q28" s="262"/>
      <c r="R28" s="404"/>
      <c r="S28" s="340"/>
      <c r="AC28" s="1577" t="s">
        <v>314</v>
      </c>
      <c r="AD28" s="1577"/>
      <c r="AE28" s="351">
        <f>SUMPRODUCT(ROUND((F93:F107)*(I93:I107)/100,))</f>
        <v>0</v>
      </c>
      <c r="AF28" s="204">
        <f>IF(AND(AE28&gt;0,AG28&gt;0),ROUND(AG28/AE28,2),)</f>
        <v>0</v>
      </c>
      <c r="AG28" s="341">
        <f>SUMPRODUCT(ROUND((H93:H107)*(I93:I107)/100,))</f>
        <v>0</v>
      </c>
    </row>
    <row r="29" spans="2:33" ht="30" customHeight="1">
      <c r="B29" s="1497"/>
      <c r="C29" s="1537"/>
      <c r="D29" s="405"/>
      <c r="E29" s="406"/>
      <c r="F29" s="407"/>
      <c r="G29" s="338"/>
      <c r="H29" s="408"/>
      <c r="I29" s="1025"/>
      <c r="J29" s="262"/>
      <c r="K29" s="262"/>
      <c r="L29" s="262"/>
      <c r="M29" s="262"/>
      <c r="N29" s="262"/>
      <c r="O29" s="262"/>
      <c r="P29" s="262"/>
      <c r="Q29" s="262"/>
      <c r="R29" s="404"/>
      <c r="S29" s="340"/>
      <c r="AC29" s="1577" t="s">
        <v>315</v>
      </c>
      <c r="AD29" s="1577"/>
      <c r="AE29" s="403"/>
      <c r="AF29" s="403"/>
      <c r="AG29" s="341">
        <f>ROUND(H108*I108%,)</f>
        <v>0</v>
      </c>
    </row>
    <row r="30" spans="2:33" ht="30" customHeight="1">
      <c r="B30" s="1497"/>
      <c r="C30" s="1537"/>
      <c r="D30" s="405"/>
      <c r="E30" s="406"/>
      <c r="F30" s="409"/>
      <c r="G30" s="338"/>
      <c r="H30" s="410"/>
      <c r="I30" s="1026"/>
      <c r="J30" s="262"/>
      <c r="K30" s="262"/>
      <c r="L30" s="262"/>
      <c r="M30" s="262"/>
      <c r="N30" s="262"/>
      <c r="O30" s="262"/>
      <c r="P30" s="262"/>
      <c r="Q30" s="262"/>
      <c r="R30" s="404"/>
      <c r="S30" s="340"/>
      <c r="AC30" s="1577" t="s">
        <v>316</v>
      </c>
      <c r="AD30" s="1577"/>
      <c r="AE30" s="351">
        <f>ROUND(F109*I109%,)</f>
        <v>0</v>
      </c>
      <c r="AF30" s="204">
        <f>IF(AND(AE30&gt;0,AG30&gt;0),ROUND(AG30/AE30,2),)</f>
        <v>0</v>
      </c>
      <c r="AG30" s="341">
        <f>ROUND(H109*I109%,)</f>
        <v>0</v>
      </c>
    </row>
    <row r="31" spans="2:33" ht="30" customHeight="1">
      <c r="B31" s="1497"/>
      <c r="C31" s="1537"/>
      <c r="D31" s="405"/>
      <c r="E31" s="406"/>
      <c r="F31" s="411"/>
      <c r="G31" s="338"/>
      <c r="H31" s="412"/>
      <c r="I31" s="1027"/>
      <c r="J31" s="262"/>
      <c r="K31" s="262"/>
      <c r="L31" s="262"/>
      <c r="M31" s="262"/>
      <c r="N31" s="262"/>
      <c r="O31" s="262"/>
      <c r="P31" s="262"/>
      <c r="Q31" s="262"/>
      <c r="R31" s="404"/>
      <c r="S31" s="340"/>
      <c r="AC31" s="1577" t="s">
        <v>317</v>
      </c>
      <c r="AD31" s="1577"/>
      <c r="AE31" s="403"/>
      <c r="AF31" s="403"/>
      <c r="AG31" s="341">
        <f>ROUND(H110*I110%,)</f>
        <v>0</v>
      </c>
    </row>
    <row r="32" spans="2:33" ht="30" customHeight="1" collapsed="1">
      <c r="B32" s="1497"/>
      <c r="C32" s="1537"/>
      <c r="D32" s="405"/>
      <c r="E32" s="406"/>
      <c r="F32" s="411"/>
      <c r="G32" s="338"/>
      <c r="H32" s="412"/>
      <c r="I32" s="1026"/>
      <c r="J32" s="262"/>
      <c r="K32" s="262"/>
      <c r="L32" s="262"/>
      <c r="M32" s="262"/>
      <c r="N32" s="262"/>
      <c r="O32" s="262"/>
      <c r="P32" s="262"/>
      <c r="Q32" s="262"/>
      <c r="R32" s="404"/>
      <c r="S32" s="340"/>
      <c r="AC32" s="1555"/>
      <c r="AD32" s="1555"/>
      <c r="AE32" s="393"/>
      <c r="AF32" s="415"/>
      <c r="AG32" s="394"/>
    </row>
    <row r="33" spans="1:33" ht="30" hidden="1" customHeight="1" outlineLevel="1">
      <c r="B33" s="1497"/>
      <c r="C33" s="1537"/>
      <c r="D33" s="405"/>
      <c r="E33" s="406"/>
      <c r="F33" s="409"/>
      <c r="G33" s="338"/>
      <c r="H33" s="410"/>
      <c r="I33" s="1027"/>
      <c r="J33" s="262"/>
      <c r="K33" s="262"/>
      <c r="L33" s="262"/>
      <c r="M33" s="262"/>
      <c r="N33" s="262"/>
      <c r="O33" s="262"/>
      <c r="P33" s="262"/>
      <c r="Q33" s="262"/>
      <c r="R33" s="404"/>
      <c r="S33" s="340"/>
      <c r="AC33" s="1555"/>
      <c r="AD33" s="1555"/>
      <c r="AE33" s="393"/>
      <c r="AF33" s="415"/>
      <c r="AG33" s="394"/>
    </row>
    <row r="34" spans="1:33" ht="30" hidden="1" customHeight="1" outlineLevel="1">
      <c r="B34" s="1497"/>
      <c r="C34" s="1537"/>
      <c r="D34" s="405"/>
      <c r="E34" s="406"/>
      <c r="F34" s="411"/>
      <c r="G34" s="338"/>
      <c r="H34" s="412"/>
      <c r="I34" s="1027"/>
      <c r="J34" s="262"/>
      <c r="K34" s="262"/>
      <c r="L34" s="262"/>
      <c r="M34" s="262"/>
      <c r="N34" s="262"/>
      <c r="O34" s="262"/>
      <c r="P34" s="262"/>
      <c r="Q34" s="262"/>
      <c r="R34" s="404"/>
      <c r="S34" s="340"/>
      <c r="AC34" s="1555"/>
      <c r="AD34" s="1555"/>
      <c r="AE34" s="393"/>
      <c r="AF34" s="415"/>
      <c r="AG34" s="394"/>
    </row>
    <row r="35" spans="1:33" ht="30" hidden="1" customHeight="1" outlineLevel="1">
      <c r="B35" s="1497"/>
      <c r="C35" s="1537"/>
      <c r="D35" s="405"/>
      <c r="E35" s="406"/>
      <c r="F35" s="409"/>
      <c r="G35" s="338"/>
      <c r="H35" s="410"/>
      <c r="I35" s="1026"/>
      <c r="J35" s="262"/>
      <c r="K35" s="262"/>
      <c r="L35" s="262"/>
      <c r="M35" s="262"/>
      <c r="N35" s="262"/>
      <c r="O35" s="262"/>
      <c r="P35" s="262"/>
      <c r="Q35" s="262"/>
      <c r="R35" s="404"/>
      <c r="S35" s="340"/>
      <c r="AC35" s="1555"/>
      <c r="AD35" s="1555"/>
      <c r="AE35" s="393"/>
      <c r="AF35" s="415"/>
      <c r="AG35" s="394"/>
    </row>
    <row r="36" spans="1:33" ht="30" hidden="1" customHeight="1" outlineLevel="1">
      <c r="B36" s="1497"/>
      <c r="C36" s="1537"/>
      <c r="D36" s="405"/>
      <c r="E36" s="406"/>
      <c r="F36" s="411"/>
      <c r="G36" s="338"/>
      <c r="H36" s="412"/>
      <c r="I36" s="1027"/>
      <c r="J36" s="262"/>
      <c r="K36" s="262"/>
      <c r="L36" s="262"/>
      <c r="M36" s="262"/>
      <c r="N36" s="262"/>
      <c r="O36" s="262"/>
      <c r="P36" s="262"/>
      <c r="Q36" s="262"/>
      <c r="R36" s="404"/>
      <c r="S36" s="340"/>
      <c r="AC36" s="1555"/>
      <c r="AD36" s="1555"/>
      <c r="AE36" s="393"/>
      <c r="AF36" s="415"/>
      <c r="AG36" s="394"/>
    </row>
    <row r="37" spans="1:33" ht="30" hidden="1" customHeight="1" outlineLevel="1">
      <c r="B37" s="1497"/>
      <c r="C37" s="1537"/>
      <c r="D37" s="405"/>
      <c r="E37" s="406"/>
      <c r="F37" s="409"/>
      <c r="G37" s="338"/>
      <c r="H37" s="410"/>
      <c r="I37" s="1026"/>
      <c r="J37" s="262"/>
      <c r="K37" s="262"/>
      <c r="L37" s="262"/>
      <c r="M37" s="262"/>
      <c r="N37" s="262"/>
      <c r="O37" s="262"/>
      <c r="P37" s="262"/>
      <c r="Q37" s="262"/>
      <c r="R37" s="404"/>
      <c r="S37" s="340"/>
      <c r="AC37" s="1555"/>
      <c r="AD37" s="1555"/>
      <c r="AE37" s="393"/>
      <c r="AF37" s="415"/>
      <c r="AG37" s="394"/>
    </row>
    <row r="38" spans="1:33" ht="30" hidden="1" customHeight="1" outlineLevel="1">
      <c r="B38" s="1497"/>
      <c r="C38" s="1537"/>
      <c r="D38" s="405"/>
      <c r="E38" s="406"/>
      <c r="F38" s="411"/>
      <c r="G38" s="338"/>
      <c r="H38" s="412"/>
      <c r="I38" s="1027"/>
      <c r="J38" s="262"/>
      <c r="K38" s="262"/>
      <c r="L38" s="262"/>
      <c r="M38" s="262"/>
      <c r="N38" s="262"/>
      <c r="O38" s="262"/>
      <c r="P38" s="262"/>
      <c r="Q38" s="262"/>
      <c r="R38" s="404"/>
      <c r="S38" s="340"/>
      <c r="AC38" s="1555"/>
      <c r="AD38" s="1555"/>
      <c r="AE38" s="393"/>
      <c r="AF38" s="415"/>
      <c r="AG38" s="394"/>
    </row>
    <row r="39" spans="1:33" ht="30" hidden="1" customHeight="1" outlineLevel="1">
      <c r="B39" s="1497"/>
      <c r="C39" s="1537"/>
      <c r="D39" s="405"/>
      <c r="E39" s="406"/>
      <c r="F39" s="409"/>
      <c r="G39" s="338"/>
      <c r="H39" s="410"/>
      <c r="I39" s="1026"/>
      <c r="J39" s="262"/>
      <c r="K39" s="262"/>
      <c r="L39" s="262"/>
      <c r="M39" s="262"/>
      <c r="N39" s="262"/>
      <c r="O39" s="262"/>
      <c r="P39" s="262"/>
      <c r="Q39" s="262"/>
      <c r="R39" s="404"/>
      <c r="S39" s="340"/>
      <c r="AC39" s="1555"/>
      <c r="AD39" s="1555"/>
      <c r="AE39" s="393"/>
      <c r="AF39" s="415"/>
      <c r="AG39" s="394"/>
    </row>
    <row r="40" spans="1:33" ht="30" hidden="1" customHeight="1" outlineLevel="1">
      <c r="B40" s="1497"/>
      <c r="C40" s="1537"/>
      <c r="D40" s="405"/>
      <c r="E40" s="406"/>
      <c r="F40" s="411"/>
      <c r="G40" s="338"/>
      <c r="H40" s="412"/>
      <c r="I40" s="1027"/>
      <c r="J40" s="262"/>
      <c r="K40" s="262"/>
      <c r="L40" s="262"/>
      <c r="M40" s="262"/>
      <c r="N40" s="262"/>
      <c r="O40" s="262"/>
      <c r="P40" s="262"/>
      <c r="Q40" s="262"/>
      <c r="R40" s="404"/>
      <c r="S40" s="340"/>
      <c r="AC40" s="1555"/>
      <c r="AD40" s="1555"/>
      <c r="AE40" s="393"/>
      <c r="AF40" s="415"/>
      <c r="AG40" s="394"/>
    </row>
    <row r="41" spans="1:33" ht="30" hidden="1" customHeight="1" outlineLevel="1">
      <c r="B41" s="1497"/>
      <c r="C41" s="1537"/>
      <c r="D41" s="405"/>
      <c r="E41" s="406"/>
      <c r="F41" s="409"/>
      <c r="G41" s="338"/>
      <c r="H41" s="410"/>
      <c r="I41" s="1026"/>
      <c r="J41" s="262"/>
      <c r="K41" s="262"/>
      <c r="L41" s="262"/>
      <c r="M41" s="262"/>
      <c r="N41" s="262"/>
      <c r="O41" s="262"/>
      <c r="P41" s="262"/>
      <c r="Q41" s="262"/>
      <c r="R41" s="404"/>
      <c r="S41" s="340"/>
    </row>
    <row r="42" spans="1:33" ht="30" hidden="1" customHeight="1" outlineLevel="1">
      <c r="B42" s="1497"/>
      <c r="C42" s="1537"/>
      <c r="D42" s="405"/>
      <c r="E42" s="406"/>
      <c r="F42" s="411"/>
      <c r="G42" s="338"/>
      <c r="H42" s="412"/>
      <c r="I42" s="1027"/>
      <c r="J42" s="262"/>
      <c r="K42" s="262"/>
      <c r="L42" s="262"/>
      <c r="M42" s="262"/>
      <c r="N42" s="262"/>
      <c r="O42" s="262"/>
      <c r="P42" s="262"/>
      <c r="Q42" s="262"/>
      <c r="R42" s="404"/>
      <c r="S42" s="340"/>
    </row>
    <row r="43" spans="1:33" ht="30" hidden="1" customHeight="1" outlineLevel="1">
      <c r="B43" s="1497"/>
      <c r="C43" s="1537"/>
      <c r="D43" s="405"/>
      <c r="E43" s="406"/>
      <c r="F43" s="409"/>
      <c r="G43" s="338"/>
      <c r="H43" s="410"/>
      <c r="I43" s="1026"/>
      <c r="J43" s="262"/>
      <c r="K43" s="262"/>
      <c r="L43" s="262"/>
      <c r="M43" s="262"/>
      <c r="N43" s="262"/>
      <c r="O43" s="262"/>
      <c r="P43" s="262"/>
      <c r="Q43" s="262"/>
      <c r="R43" s="404"/>
      <c r="S43" s="340"/>
    </row>
    <row r="44" spans="1:33" ht="30" customHeight="1">
      <c r="B44" s="1497"/>
      <c r="C44" s="1537"/>
      <c r="D44" s="1569" t="s">
        <v>318</v>
      </c>
      <c r="E44" s="1570"/>
      <c r="F44" s="1571"/>
      <c r="G44" s="1572"/>
      <c r="H44" s="1572"/>
      <c r="I44" s="1573"/>
      <c r="J44" s="262"/>
      <c r="K44" s="262"/>
      <c r="L44" s="262"/>
      <c r="M44" s="262"/>
      <c r="N44" s="262"/>
      <c r="O44" s="262"/>
      <c r="P44" s="262"/>
      <c r="Q44" s="262"/>
      <c r="R44" s="404"/>
      <c r="S44" s="340"/>
    </row>
    <row r="45" spans="1:33" ht="30" customHeight="1">
      <c r="A45" s="416"/>
      <c r="B45" s="1497"/>
      <c r="C45" s="1537"/>
      <c r="D45" s="417"/>
      <c r="E45" s="406"/>
      <c r="F45" s="407"/>
      <c r="G45" s="338"/>
      <c r="H45" s="408"/>
      <c r="I45" s="1025"/>
      <c r="J45" s="418"/>
      <c r="K45" s="418"/>
      <c r="L45" s="418"/>
      <c r="M45" s="418"/>
      <c r="N45" s="418"/>
      <c r="O45" s="418"/>
      <c r="P45" s="418"/>
      <c r="Q45" s="418"/>
      <c r="R45" s="419"/>
      <c r="S45" s="340"/>
    </row>
    <row r="46" spans="1:33" ht="30" customHeight="1">
      <c r="A46" s="416"/>
      <c r="B46" s="1497"/>
      <c r="C46" s="1537"/>
      <c r="D46" s="417"/>
      <c r="E46" s="406"/>
      <c r="F46" s="409"/>
      <c r="G46" s="338"/>
      <c r="H46" s="410"/>
      <c r="I46" s="1026"/>
      <c r="J46" s="418"/>
      <c r="K46" s="418"/>
      <c r="L46" s="418"/>
      <c r="M46" s="418"/>
      <c r="N46" s="418"/>
      <c r="O46" s="418"/>
      <c r="P46" s="418"/>
      <c r="Q46" s="418"/>
      <c r="R46" s="419"/>
      <c r="S46" s="340"/>
    </row>
    <row r="47" spans="1:33" ht="30" customHeight="1">
      <c r="B47" s="1497"/>
      <c r="C47" s="1537"/>
      <c r="D47" s="405"/>
      <c r="E47" s="406"/>
      <c r="F47" s="409"/>
      <c r="G47" s="338"/>
      <c r="H47" s="410"/>
      <c r="I47" s="1027"/>
      <c r="J47" s="262"/>
      <c r="K47" s="262"/>
      <c r="L47" s="262"/>
      <c r="M47" s="262"/>
      <c r="N47" s="262"/>
      <c r="O47" s="262"/>
      <c r="P47" s="262"/>
      <c r="Q47" s="262"/>
      <c r="R47" s="404"/>
      <c r="S47" s="340"/>
      <c r="AC47" s="1555"/>
      <c r="AD47" s="1555"/>
      <c r="AE47" s="393"/>
      <c r="AF47" s="415"/>
      <c r="AG47" s="394"/>
    </row>
    <row r="48" spans="1:33" ht="30" customHeight="1" collapsed="1">
      <c r="B48" s="1497"/>
      <c r="C48" s="1537"/>
      <c r="D48" s="405"/>
      <c r="E48" s="406"/>
      <c r="F48" s="411"/>
      <c r="G48" s="338"/>
      <c r="H48" s="412"/>
      <c r="I48" s="1026"/>
      <c r="J48" s="262"/>
      <c r="K48" s="262"/>
      <c r="L48" s="262"/>
      <c r="M48" s="262"/>
      <c r="N48" s="262"/>
      <c r="O48" s="262"/>
      <c r="P48" s="262"/>
      <c r="Q48" s="262"/>
      <c r="R48" s="404"/>
      <c r="S48" s="340"/>
      <c r="AC48" s="1555"/>
      <c r="AD48" s="1555"/>
      <c r="AE48" s="393"/>
      <c r="AF48" s="415"/>
      <c r="AG48" s="394"/>
    </row>
    <row r="49" spans="1:60" ht="30" hidden="1" customHeight="1" outlineLevel="1">
      <c r="B49" s="1497"/>
      <c r="C49" s="1537"/>
      <c r="D49" s="405"/>
      <c r="E49" s="406"/>
      <c r="F49" s="409"/>
      <c r="G49" s="338"/>
      <c r="H49" s="410"/>
      <c r="I49" s="1027"/>
      <c r="J49" s="262"/>
      <c r="K49" s="262"/>
      <c r="L49" s="262"/>
      <c r="M49" s="262"/>
      <c r="N49" s="262"/>
      <c r="O49" s="262"/>
      <c r="P49" s="262"/>
      <c r="Q49" s="262"/>
      <c r="R49" s="404"/>
      <c r="S49" s="340"/>
      <c r="AC49" s="1555"/>
      <c r="AD49" s="1555"/>
      <c r="AE49" s="393"/>
      <c r="AF49" s="415"/>
      <c r="AG49" s="394"/>
    </row>
    <row r="50" spans="1:60" ht="30" hidden="1" customHeight="1" outlineLevel="1">
      <c r="B50" s="1497"/>
      <c r="C50" s="1537"/>
      <c r="D50" s="405"/>
      <c r="E50" s="406"/>
      <c r="F50" s="411"/>
      <c r="G50" s="338"/>
      <c r="H50" s="412"/>
      <c r="I50" s="1027"/>
      <c r="J50" s="262"/>
      <c r="K50" s="262"/>
      <c r="L50" s="262"/>
      <c r="M50" s="262"/>
      <c r="N50" s="262"/>
      <c r="O50" s="262"/>
      <c r="P50" s="262"/>
      <c r="Q50" s="262"/>
      <c r="R50" s="404"/>
      <c r="S50" s="340"/>
      <c r="AC50" s="1555"/>
      <c r="AD50" s="1555"/>
      <c r="AE50" s="393"/>
      <c r="AF50" s="415"/>
      <c r="AG50" s="394"/>
    </row>
    <row r="51" spans="1:60" ht="30" hidden="1" customHeight="1" outlineLevel="1">
      <c r="B51" s="1497"/>
      <c r="C51" s="1537"/>
      <c r="D51" s="405"/>
      <c r="E51" s="406"/>
      <c r="F51" s="409"/>
      <c r="G51" s="338"/>
      <c r="H51" s="410"/>
      <c r="I51" s="1026"/>
      <c r="J51" s="262"/>
      <c r="K51" s="262"/>
      <c r="L51" s="262"/>
      <c r="M51" s="262"/>
      <c r="N51" s="262"/>
      <c r="O51" s="262"/>
      <c r="P51" s="262"/>
      <c r="Q51" s="262"/>
      <c r="R51" s="404"/>
      <c r="S51" s="340"/>
      <c r="AC51" s="1555"/>
      <c r="AD51" s="1555"/>
      <c r="AE51" s="393"/>
      <c r="AF51" s="415"/>
      <c r="AG51" s="394"/>
    </row>
    <row r="52" spans="1:60" ht="30" hidden="1" customHeight="1" outlineLevel="1">
      <c r="B52" s="1497"/>
      <c r="C52" s="1537"/>
      <c r="D52" s="405"/>
      <c r="E52" s="406"/>
      <c r="F52" s="411"/>
      <c r="G52" s="338"/>
      <c r="H52" s="412"/>
      <c r="I52" s="1027"/>
      <c r="J52" s="262"/>
      <c r="K52" s="262"/>
      <c r="L52" s="262"/>
      <c r="M52" s="262"/>
      <c r="N52" s="262"/>
      <c r="O52" s="262"/>
      <c r="P52" s="262"/>
      <c r="Q52" s="262"/>
      <c r="R52" s="404"/>
      <c r="S52" s="340"/>
      <c r="AC52" s="1555"/>
      <c r="AD52" s="1555"/>
      <c r="AE52" s="393"/>
      <c r="AF52" s="415"/>
      <c r="AG52" s="394"/>
    </row>
    <row r="53" spans="1:60" ht="30" hidden="1" customHeight="1" outlineLevel="1">
      <c r="B53" s="1497"/>
      <c r="C53" s="1537"/>
      <c r="D53" s="405"/>
      <c r="E53" s="406"/>
      <c r="F53" s="409"/>
      <c r="G53" s="338"/>
      <c r="H53" s="410"/>
      <c r="I53" s="1026"/>
      <c r="J53" s="262"/>
      <c r="K53" s="262"/>
      <c r="L53" s="262"/>
      <c r="M53" s="262"/>
      <c r="N53" s="262"/>
      <c r="O53" s="262"/>
      <c r="P53" s="262"/>
      <c r="Q53" s="262"/>
      <c r="R53" s="404"/>
      <c r="S53" s="340"/>
      <c r="AC53" s="1555"/>
      <c r="AD53" s="1555"/>
      <c r="AE53" s="393"/>
      <c r="AF53" s="415"/>
      <c r="AG53" s="394"/>
    </row>
    <row r="54" spans="1:60" ht="30" hidden="1" customHeight="1" outlineLevel="1">
      <c r="B54" s="1497"/>
      <c r="C54" s="1537"/>
      <c r="D54" s="405"/>
      <c r="E54" s="406"/>
      <c r="F54" s="411"/>
      <c r="G54" s="338"/>
      <c r="H54" s="412"/>
      <c r="I54" s="1027"/>
      <c r="J54" s="262"/>
      <c r="K54" s="262"/>
      <c r="L54" s="262"/>
      <c r="M54" s="262"/>
      <c r="N54" s="262"/>
      <c r="O54" s="262"/>
      <c r="P54" s="262"/>
      <c r="Q54" s="262"/>
      <c r="R54" s="404"/>
      <c r="S54" s="340"/>
      <c r="AC54" s="1555"/>
      <c r="AD54" s="1555"/>
      <c r="AE54" s="393"/>
      <c r="AF54" s="415"/>
      <c r="AG54" s="394"/>
    </row>
    <row r="55" spans="1:60" ht="30" hidden="1" customHeight="1" outlineLevel="1">
      <c r="B55" s="1497"/>
      <c r="C55" s="1537"/>
      <c r="D55" s="405"/>
      <c r="E55" s="406"/>
      <c r="F55" s="409"/>
      <c r="G55" s="338"/>
      <c r="H55" s="410"/>
      <c r="I55" s="1026"/>
      <c r="J55" s="262"/>
      <c r="K55" s="262"/>
      <c r="L55" s="262"/>
      <c r="M55" s="262"/>
      <c r="N55" s="262"/>
      <c r="O55" s="262"/>
      <c r="P55" s="262"/>
      <c r="Q55" s="262"/>
      <c r="R55" s="404"/>
      <c r="S55" s="340"/>
    </row>
    <row r="56" spans="1:60" ht="30" hidden="1" customHeight="1" outlineLevel="1">
      <c r="B56" s="1497"/>
      <c r="C56" s="1537"/>
      <c r="D56" s="405"/>
      <c r="E56" s="406"/>
      <c r="F56" s="409"/>
      <c r="G56" s="338"/>
      <c r="H56" s="410"/>
      <c r="I56" s="1027"/>
      <c r="J56" s="262"/>
      <c r="K56" s="262"/>
      <c r="L56" s="262"/>
      <c r="M56" s="262"/>
      <c r="N56" s="262"/>
      <c r="O56" s="262"/>
      <c r="P56" s="262"/>
      <c r="Q56" s="262"/>
      <c r="R56" s="404"/>
      <c r="S56" s="340"/>
    </row>
    <row r="57" spans="1:60" ht="30" hidden="1" customHeight="1" outlineLevel="1">
      <c r="B57" s="1497"/>
      <c r="C57" s="1537"/>
      <c r="D57" s="405"/>
      <c r="E57" s="406"/>
      <c r="F57" s="411"/>
      <c r="G57" s="338"/>
      <c r="H57" s="412"/>
      <c r="I57" s="1026"/>
      <c r="J57" s="262"/>
      <c r="K57" s="262"/>
      <c r="L57" s="262"/>
      <c r="M57" s="262"/>
      <c r="N57" s="262"/>
      <c r="O57" s="262"/>
      <c r="P57" s="262"/>
      <c r="Q57" s="262"/>
      <c r="R57" s="404"/>
      <c r="S57" s="340"/>
    </row>
    <row r="58" spans="1:60" ht="30" hidden="1" customHeight="1" outlineLevel="1">
      <c r="B58" s="1497"/>
      <c r="C58" s="1537"/>
      <c r="D58" s="405"/>
      <c r="E58" s="406"/>
      <c r="F58" s="411"/>
      <c r="G58" s="338"/>
      <c r="H58" s="412"/>
      <c r="I58" s="1027"/>
      <c r="J58" s="262"/>
      <c r="K58" s="262"/>
      <c r="L58" s="262"/>
      <c r="M58" s="262"/>
      <c r="N58" s="262"/>
      <c r="O58" s="262"/>
      <c r="P58" s="262"/>
      <c r="Q58" s="262"/>
      <c r="R58" s="404"/>
      <c r="S58" s="340"/>
      <c r="BA58" s="183"/>
      <c r="BB58" s="183"/>
      <c r="BC58" s="183"/>
      <c r="BD58" s="183"/>
      <c r="BE58" s="183"/>
      <c r="BF58" s="183"/>
      <c r="BG58" s="183"/>
      <c r="BH58" s="183"/>
    </row>
    <row r="59" spans="1:60" s="416" customFormat="1" ht="30" hidden="1" customHeight="1" outlineLevel="1">
      <c r="A59" s="2"/>
      <c r="B59" s="1497"/>
      <c r="C59" s="1537"/>
      <c r="D59" s="405"/>
      <c r="E59" s="406"/>
      <c r="F59" s="409"/>
      <c r="G59" s="338"/>
      <c r="H59" s="410"/>
      <c r="I59" s="1026"/>
      <c r="J59" s="262"/>
      <c r="K59" s="262"/>
      <c r="L59" s="262"/>
      <c r="M59" s="262"/>
      <c r="N59" s="262"/>
      <c r="O59" s="262"/>
      <c r="P59" s="262"/>
      <c r="Q59" s="262"/>
      <c r="R59" s="404"/>
      <c r="S59" s="34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0"/>
      <c r="BB59" s="420"/>
      <c r="BC59" s="420"/>
      <c r="BD59" s="420"/>
      <c r="BE59" s="420"/>
      <c r="BF59" s="420"/>
      <c r="BG59" s="420"/>
      <c r="BH59" s="420"/>
    </row>
    <row r="60" spans="1:60" s="416" customFormat="1" ht="30" customHeight="1">
      <c r="A60" s="2"/>
      <c r="B60" s="1497"/>
      <c r="C60" s="1537"/>
      <c r="D60" s="1569" t="s">
        <v>319</v>
      </c>
      <c r="E60" s="1570"/>
      <c r="F60" s="1571"/>
      <c r="G60" s="1572"/>
      <c r="H60" s="1572"/>
      <c r="I60" s="1573"/>
      <c r="J60" s="262"/>
      <c r="K60" s="262"/>
      <c r="L60" s="262"/>
      <c r="M60" s="262"/>
      <c r="N60" s="262"/>
      <c r="O60" s="262"/>
      <c r="P60" s="262"/>
      <c r="Q60" s="262"/>
      <c r="R60" s="404"/>
      <c r="S60" s="34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0"/>
      <c r="BB60" s="420"/>
      <c r="BC60" s="420"/>
      <c r="BD60" s="420"/>
      <c r="BE60" s="420"/>
      <c r="BF60" s="420"/>
      <c r="BG60" s="420"/>
      <c r="BH60" s="420"/>
    </row>
    <row r="61" spans="1:60" ht="30" customHeight="1">
      <c r="B61" s="1497"/>
      <c r="C61" s="1537"/>
      <c r="D61" s="417"/>
      <c r="E61" s="406"/>
      <c r="F61" s="407"/>
      <c r="G61" s="338"/>
      <c r="H61" s="408"/>
      <c r="I61" s="1025"/>
      <c r="J61" s="262"/>
      <c r="K61" s="262"/>
      <c r="L61" s="262"/>
      <c r="M61" s="262"/>
      <c r="N61" s="262"/>
      <c r="O61" s="262"/>
      <c r="P61" s="262"/>
      <c r="Q61" s="262"/>
      <c r="R61" s="404"/>
      <c r="S61" s="340"/>
      <c r="BA61" s="183"/>
      <c r="BB61" s="183"/>
      <c r="BC61" s="183"/>
      <c r="BD61" s="183"/>
      <c r="BE61" s="183"/>
      <c r="BF61" s="183"/>
      <c r="BG61" s="183"/>
      <c r="BH61" s="183"/>
    </row>
    <row r="62" spans="1:60" ht="30" customHeight="1">
      <c r="A62" s="416"/>
      <c r="B62" s="1497"/>
      <c r="C62" s="1537"/>
      <c r="D62" s="417"/>
      <c r="E62" s="406"/>
      <c r="F62" s="409"/>
      <c r="G62" s="338"/>
      <c r="H62" s="410"/>
      <c r="I62" s="1026"/>
      <c r="J62" s="418"/>
      <c r="K62" s="418"/>
      <c r="L62" s="418"/>
      <c r="M62" s="418"/>
      <c r="N62" s="418"/>
      <c r="O62" s="418"/>
      <c r="P62" s="418"/>
      <c r="Q62" s="418"/>
      <c r="R62" s="419"/>
      <c r="S62" s="340"/>
    </row>
    <row r="63" spans="1:60" ht="30" customHeight="1">
      <c r="B63" s="1497"/>
      <c r="C63" s="1537"/>
      <c r="D63" s="405"/>
      <c r="E63" s="406"/>
      <c r="F63" s="409"/>
      <c r="G63" s="338"/>
      <c r="H63" s="410"/>
      <c r="I63" s="1027"/>
      <c r="J63" s="262"/>
      <c r="K63" s="262"/>
      <c r="L63" s="262"/>
      <c r="M63" s="262"/>
      <c r="N63" s="262"/>
      <c r="O63" s="262"/>
      <c r="P63" s="262"/>
      <c r="Q63" s="262"/>
      <c r="R63" s="404"/>
      <c r="S63" s="340"/>
      <c r="AC63" s="1555"/>
      <c r="AD63" s="1555"/>
      <c r="AE63" s="393"/>
      <c r="AF63" s="415"/>
      <c r="AG63" s="394"/>
    </row>
    <row r="64" spans="1:60" ht="30" customHeight="1" collapsed="1">
      <c r="B64" s="1497"/>
      <c r="C64" s="1537"/>
      <c r="D64" s="405"/>
      <c r="E64" s="406"/>
      <c r="F64" s="411"/>
      <c r="G64" s="338"/>
      <c r="H64" s="412"/>
      <c r="I64" s="1026"/>
      <c r="J64" s="262"/>
      <c r="K64" s="262"/>
      <c r="L64" s="262"/>
      <c r="M64" s="262"/>
      <c r="N64" s="262"/>
      <c r="O64" s="262"/>
      <c r="P64" s="262"/>
      <c r="Q64" s="262"/>
      <c r="R64" s="404"/>
      <c r="S64" s="340"/>
      <c r="AC64" s="1555"/>
      <c r="AD64" s="1555"/>
      <c r="AE64" s="393"/>
      <c r="AF64" s="415"/>
      <c r="AG64" s="394"/>
    </row>
    <row r="65" spans="1:60" ht="30" hidden="1" customHeight="1" outlineLevel="1">
      <c r="B65" s="1497"/>
      <c r="C65" s="1537"/>
      <c r="D65" s="405"/>
      <c r="E65" s="406"/>
      <c r="F65" s="409"/>
      <c r="G65" s="338"/>
      <c r="H65" s="410"/>
      <c r="I65" s="1027"/>
      <c r="J65" s="262"/>
      <c r="K65" s="262"/>
      <c r="L65" s="262"/>
      <c r="M65" s="262"/>
      <c r="N65" s="262"/>
      <c r="O65" s="262"/>
      <c r="P65" s="262"/>
      <c r="Q65" s="262"/>
      <c r="R65" s="404"/>
      <c r="S65" s="340"/>
      <c r="AC65" s="1555"/>
      <c r="AD65" s="1555"/>
      <c r="AE65" s="393"/>
      <c r="AF65" s="415"/>
      <c r="AG65" s="394"/>
    </row>
    <row r="66" spans="1:60" ht="30" hidden="1" customHeight="1" outlineLevel="1">
      <c r="B66" s="1497"/>
      <c r="C66" s="1537"/>
      <c r="D66" s="405"/>
      <c r="E66" s="406"/>
      <c r="F66" s="411"/>
      <c r="G66" s="338"/>
      <c r="H66" s="412"/>
      <c r="I66" s="1027"/>
      <c r="J66" s="262"/>
      <c r="K66" s="262"/>
      <c r="L66" s="262"/>
      <c r="M66" s="262"/>
      <c r="N66" s="262"/>
      <c r="O66" s="262"/>
      <c r="P66" s="262"/>
      <c r="Q66" s="262"/>
      <c r="R66" s="404"/>
      <c r="S66" s="340"/>
      <c r="AC66" s="1555"/>
      <c r="AD66" s="1555"/>
      <c r="AE66" s="393"/>
      <c r="AF66" s="415"/>
      <c r="AG66" s="394"/>
    </row>
    <row r="67" spans="1:60" ht="30" hidden="1" customHeight="1" outlineLevel="1">
      <c r="B67" s="1497"/>
      <c r="C67" s="1537"/>
      <c r="D67" s="405"/>
      <c r="E67" s="406"/>
      <c r="F67" s="409"/>
      <c r="G67" s="338"/>
      <c r="H67" s="410"/>
      <c r="I67" s="1026"/>
      <c r="J67" s="262"/>
      <c r="K67" s="262"/>
      <c r="L67" s="262"/>
      <c r="M67" s="262"/>
      <c r="N67" s="262"/>
      <c r="O67" s="262"/>
      <c r="P67" s="262"/>
      <c r="Q67" s="262"/>
      <c r="R67" s="404"/>
      <c r="S67" s="340"/>
      <c r="AC67" s="1555"/>
      <c r="AD67" s="1555"/>
      <c r="AE67" s="393"/>
      <c r="AF67" s="415"/>
      <c r="AG67" s="394"/>
    </row>
    <row r="68" spans="1:60" ht="30" hidden="1" customHeight="1" outlineLevel="1">
      <c r="B68" s="1497"/>
      <c r="C68" s="1537"/>
      <c r="D68" s="405"/>
      <c r="E68" s="406"/>
      <c r="F68" s="411"/>
      <c r="G68" s="338"/>
      <c r="H68" s="412"/>
      <c r="I68" s="1027"/>
      <c r="J68" s="262"/>
      <c r="K68" s="262"/>
      <c r="L68" s="262"/>
      <c r="M68" s="262"/>
      <c r="N68" s="262"/>
      <c r="O68" s="262"/>
      <c r="P68" s="262"/>
      <c r="Q68" s="262"/>
      <c r="R68" s="404"/>
      <c r="S68" s="340"/>
      <c r="AC68" s="1555"/>
      <c r="AD68" s="1555"/>
      <c r="AE68" s="393"/>
      <c r="AF68" s="415"/>
      <c r="AG68" s="394"/>
    </row>
    <row r="69" spans="1:60" ht="30" hidden="1" customHeight="1" outlineLevel="1">
      <c r="B69" s="1497"/>
      <c r="C69" s="1537"/>
      <c r="D69" s="405"/>
      <c r="E69" s="406"/>
      <c r="F69" s="409"/>
      <c r="G69" s="338"/>
      <c r="H69" s="410"/>
      <c r="I69" s="1026"/>
      <c r="J69" s="262"/>
      <c r="K69" s="262"/>
      <c r="L69" s="262"/>
      <c r="M69" s="262"/>
      <c r="N69" s="262"/>
      <c r="O69" s="262"/>
      <c r="P69" s="262"/>
      <c r="Q69" s="262"/>
      <c r="R69" s="404"/>
      <c r="S69" s="340"/>
      <c r="AC69" s="1555"/>
      <c r="AD69" s="1555"/>
      <c r="AE69" s="393"/>
      <c r="AF69" s="415"/>
      <c r="AG69" s="394"/>
    </row>
    <row r="70" spans="1:60" ht="30" hidden="1" customHeight="1" outlineLevel="1">
      <c r="B70" s="1497"/>
      <c r="C70" s="1537"/>
      <c r="D70" s="405"/>
      <c r="E70" s="406"/>
      <c r="F70" s="411"/>
      <c r="G70" s="338"/>
      <c r="H70" s="412"/>
      <c r="I70" s="1027"/>
      <c r="J70" s="262"/>
      <c r="K70" s="262"/>
      <c r="L70" s="262"/>
      <c r="M70" s="262"/>
      <c r="N70" s="262"/>
      <c r="O70" s="262"/>
      <c r="P70" s="262"/>
      <c r="Q70" s="262"/>
      <c r="R70" s="404"/>
      <c r="S70" s="340"/>
      <c r="AC70" s="1555"/>
      <c r="AD70" s="1555"/>
      <c r="AE70" s="393"/>
      <c r="AF70" s="415"/>
      <c r="AG70" s="394"/>
    </row>
    <row r="71" spans="1:60" ht="30" hidden="1" customHeight="1" outlineLevel="1">
      <c r="B71" s="1497"/>
      <c r="C71" s="1537"/>
      <c r="D71" s="405"/>
      <c r="E71" s="406"/>
      <c r="F71" s="409"/>
      <c r="G71" s="338"/>
      <c r="H71" s="410"/>
      <c r="I71" s="1026"/>
      <c r="J71" s="262"/>
      <c r="K71" s="262"/>
      <c r="L71" s="262"/>
      <c r="M71" s="262"/>
      <c r="N71" s="262"/>
      <c r="O71" s="262"/>
      <c r="P71" s="262"/>
      <c r="Q71" s="262"/>
      <c r="R71" s="404"/>
      <c r="S71" s="340"/>
    </row>
    <row r="72" spans="1:60" ht="30" hidden="1" customHeight="1" outlineLevel="1">
      <c r="B72" s="1497"/>
      <c r="C72" s="1537"/>
      <c r="D72" s="405"/>
      <c r="E72" s="406"/>
      <c r="F72" s="411"/>
      <c r="G72" s="338"/>
      <c r="H72" s="412"/>
      <c r="I72" s="1027"/>
      <c r="J72" s="262"/>
      <c r="K72" s="262"/>
      <c r="L72" s="262"/>
      <c r="M72" s="262"/>
      <c r="N72" s="262"/>
      <c r="O72" s="262"/>
      <c r="P72" s="262"/>
      <c r="Q72" s="262"/>
      <c r="R72" s="404"/>
      <c r="S72" s="340"/>
      <c r="AC72" s="1555"/>
      <c r="AD72" s="1555"/>
      <c r="AE72" s="393"/>
      <c r="AF72" s="415"/>
      <c r="AG72" s="394"/>
    </row>
    <row r="73" spans="1:60" ht="30" hidden="1" customHeight="1" outlineLevel="1">
      <c r="B73" s="1497"/>
      <c r="C73" s="1537"/>
      <c r="D73" s="417"/>
      <c r="E73" s="406"/>
      <c r="F73" s="409"/>
      <c r="G73" s="338"/>
      <c r="H73" s="410"/>
      <c r="I73" s="1026"/>
      <c r="J73" s="262"/>
      <c r="K73" s="262"/>
      <c r="L73" s="262"/>
      <c r="M73" s="262"/>
      <c r="N73" s="262"/>
      <c r="O73" s="262"/>
      <c r="P73" s="262"/>
      <c r="Q73" s="262"/>
      <c r="R73" s="404"/>
      <c r="S73" s="340"/>
      <c r="AC73" s="396"/>
      <c r="BA73" s="183"/>
      <c r="BB73" s="183"/>
      <c r="BC73" s="183"/>
      <c r="BD73" s="183"/>
      <c r="BE73" s="183"/>
      <c r="BF73" s="183"/>
      <c r="BG73" s="183"/>
      <c r="BH73" s="183"/>
    </row>
    <row r="74" spans="1:60" ht="30" hidden="1" customHeight="1" outlineLevel="1">
      <c r="B74" s="1497"/>
      <c r="C74" s="1537"/>
      <c r="D74" s="405"/>
      <c r="E74" s="406"/>
      <c r="F74" s="411"/>
      <c r="G74" s="338"/>
      <c r="H74" s="412"/>
      <c r="I74" s="1027"/>
      <c r="J74" s="262"/>
      <c r="K74" s="262"/>
      <c r="L74" s="262"/>
      <c r="M74" s="262"/>
      <c r="N74" s="262"/>
      <c r="O74" s="262"/>
      <c r="P74" s="262"/>
      <c r="Q74" s="262"/>
      <c r="R74" s="404"/>
      <c r="S74" s="340"/>
      <c r="AC74" s="396"/>
      <c r="BA74" s="183"/>
      <c r="BB74" s="183"/>
      <c r="BC74" s="183"/>
      <c r="BD74" s="183"/>
      <c r="BE74" s="183"/>
      <c r="BF74" s="183"/>
      <c r="BG74" s="183"/>
      <c r="BH74" s="183"/>
    </row>
    <row r="75" spans="1:60" ht="30" hidden="1" customHeight="1" outlineLevel="1">
      <c r="B75" s="1497"/>
      <c r="C75" s="1537"/>
      <c r="D75" s="405"/>
      <c r="E75" s="406"/>
      <c r="F75" s="409"/>
      <c r="G75" s="338"/>
      <c r="H75" s="410"/>
      <c r="I75" s="1026"/>
      <c r="J75" s="262"/>
      <c r="K75" s="262"/>
      <c r="L75" s="262"/>
      <c r="M75" s="262"/>
      <c r="N75" s="262"/>
      <c r="O75" s="262"/>
      <c r="P75" s="262"/>
      <c r="Q75" s="262"/>
      <c r="R75" s="404"/>
      <c r="S75" s="340"/>
      <c r="AC75" s="396"/>
      <c r="BA75" s="183"/>
      <c r="BB75" s="183"/>
      <c r="BC75" s="183"/>
      <c r="BD75" s="183"/>
      <c r="BE75" s="183"/>
      <c r="BF75" s="183"/>
      <c r="BG75" s="183"/>
      <c r="BH75" s="183"/>
    </row>
    <row r="76" spans="1:60" ht="30" customHeight="1">
      <c r="B76" s="1497"/>
      <c r="C76" s="1537"/>
      <c r="D76" s="1569" t="s">
        <v>320</v>
      </c>
      <c r="E76" s="1570"/>
      <c r="F76" s="1571"/>
      <c r="G76" s="1572"/>
      <c r="H76" s="1572"/>
      <c r="I76" s="1573"/>
      <c r="J76" s="1554" t="s">
        <v>321</v>
      </c>
      <c r="K76" s="1554"/>
      <c r="L76" s="1554"/>
      <c r="M76" s="1554"/>
      <c r="N76" s="1554"/>
      <c r="O76" s="1554"/>
      <c r="P76" s="1554"/>
      <c r="Q76" s="1554"/>
      <c r="R76" s="1574"/>
      <c r="S76" s="340"/>
      <c r="AC76" s="396"/>
      <c r="BA76" s="183"/>
      <c r="BB76" s="183"/>
      <c r="BC76" s="183"/>
      <c r="BD76" s="183"/>
      <c r="BE76" s="183"/>
      <c r="BF76" s="183"/>
      <c r="BG76" s="183"/>
      <c r="BH76" s="183"/>
    </row>
    <row r="77" spans="1:60" ht="30" customHeight="1">
      <c r="B77" s="1497"/>
      <c r="C77" s="1537"/>
      <c r="D77" s="417"/>
      <c r="E77" s="406"/>
      <c r="F77" s="407"/>
      <c r="G77" s="338"/>
      <c r="H77" s="408"/>
      <c r="I77" s="1025"/>
      <c r="J77" s="1554"/>
      <c r="K77" s="1554"/>
      <c r="L77" s="1554"/>
      <c r="M77" s="1554"/>
      <c r="N77" s="1554"/>
      <c r="O77" s="1554"/>
      <c r="P77" s="1554"/>
      <c r="Q77" s="1554"/>
      <c r="R77" s="1574"/>
      <c r="S77" s="340"/>
      <c r="AC77" s="396"/>
      <c r="BA77" s="183"/>
      <c r="BB77" s="183"/>
      <c r="BC77" s="183"/>
      <c r="BD77" s="183"/>
      <c r="BE77" s="183"/>
      <c r="BF77" s="183"/>
      <c r="BG77" s="183"/>
      <c r="BH77" s="183"/>
    </row>
    <row r="78" spans="1:60" ht="30" customHeight="1">
      <c r="B78" s="1497"/>
      <c r="C78" s="1537"/>
      <c r="D78" s="417"/>
      <c r="E78" s="406"/>
      <c r="F78" s="409"/>
      <c r="G78" s="338"/>
      <c r="H78" s="410"/>
      <c r="I78" s="1026"/>
      <c r="J78" s="1554"/>
      <c r="K78" s="1554"/>
      <c r="L78" s="1554"/>
      <c r="M78" s="1554"/>
      <c r="N78" s="1554"/>
      <c r="O78" s="1554"/>
      <c r="P78" s="1554"/>
      <c r="Q78" s="1554"/>
      <c r="R78" s="1574"/>
      <c r="S78" s="340"/>
      <c r="AC78" s="396"/>
      <c r="BA78" s="183"/>
      <c r="BB78" s="183"/>
      <c r="BC78" s="183"/>
      <c r="BD78" s="183"/>
      <c r="BE78" s="183"/>
      <c r="BF78" s="183"/>
      <c r="BG78" s="183"/>
      <c r="BH78" s="183"/>
    </row>
    <row r="79" spans="1:60" ht="30" customHeight="1">
      <c r="A79" s="416"/>
      <c r="B79" s="1497"/>
      <c r="C79" s="1537"/>
      <c r="D79" s="417"/>
      <c r="E79" s="406"/>
      <c r="F79" s="409"/>
      <c r="G79" s="338"/>
      <c r="H79" s="410"/>
      <c r="I79" s="1027"/>
      <c r="J79" s="1554"/>
      <c r="K79" s="1554"/>
      <c r="L79" s="1554"/>
      <c r="M79" s="1554"/>
      <c r="N79" s="1554"/>
      <c r="O79" s="1554"/>
      <c r="P79" s="1554"/>
      <c r="Q79" s="1554"/>
      <c r="R79" s="1574"/>
      <c r="S79" s="340"/>
    </row>
    <row r="80" spans="1:60" ht="30" customHeight="1" collapsed="1">
      <c r="B80" s="1497"/>
      <c r="C80" s="1537"/>
      <c r="D80" s="405"/>
      <c r="E80" s="406"/>
      <c r="F80" s="409"/>
      <c r="G80" s="338"/>
      <c r="H80" s="410"/>
      <c r="I80" s="1026"/>
      <c r="J80" s="1554"/>
      <c r="K80" s="1554"/>
      <c r="L80" s="1554"/>
      <c r="M80" s="1554"/>
      <c r="N80" s="1554"/>
      <c r="O80" s="1554"/>
      <c r="P80" s="1554"/>
      <c r="Q80" s="1554"/>
      <c r="R80" s="1574"/>
      <c r="S80" s="340"/>
      <c r="AC80" s="1555"/>
      <c r="AD80" s="1555"/>
      <c r="AE80" s="393"/>
      <c r="AF80" s="415"/>
      <c r="AG80" s="394"/>
    </row>
    <row r="81" spans="1:60" ht="30" hidden="1" customHeight="1" outlineLevel="1">
      <c r="B81" s="1497"/>
      <c r="C81" s="1537"/>
      <c r="D81" s="405"/>
      <c r="E81" s="406"/>
      <c r="F81" s="411"/>
      <c r="G81" s="338"/>
      <c r="H81" s="412"/>
      <c r="I81" s="1027"/>
      <c r="J81" s="1554"/>
      <c r="K81" s="1554"/>
      <c r="L81" s="1554"/>
      <c r="M81" s="1554"/>
      <c r="N81" s="1554"/>
      <c r="O81" s="1554"/>
      <c r="P81" s="1554"/>
      <c r="Q81" s="1554"/>
      <c r="R81" s="1574"/>
      <c r="S81" s="340"/>
      <c r="AC81" s="1555"/>
      <c r="AD81" s="1555"/>
      <c r="AE81" s="393"/>
      <c r="AF81" s="415"/>
      <c r="AG81" s="394"/>
    </row>
    <row r="82" spans="1:60" ht="30" hidden="1" customHeight="1" outlineLevel="1">
      <c r="B82" s="1497"/>
      <c r="C82" s="1537"/>
      <c r="D82" s="405"/>
      <c r="E82" s="406"/>
      <c r="F82" s="409"/>
      <c r="G82" s="338"/>
      <c r="H82" s="410"/>
      <c r="I82" s="1027"/>
      <c r="J82" s="1554"/>
      <c r="K82" s="1554"/>
      <c r="L82" s="1554"/>
      <c r="M82" s="1554"/>
      <c r="N82" s="1554"/>
      <c r="O82" s="1554"/>
      <c r="P82" s="1554"/>
      <c r="Q82" s="1554"/>
      <c r="R82" s="1574"/>
      <c r="S82" s="340"/>
      <c r="AC82" s="1555"/>
      <c r="AD82" s="1555"/>
      <c r="AE82" s="393"/>
      <c r="AF82" s="415"/>
      <c r="AG82" s="394"/>
    </row>
    <row r="83" spans="1:60" ht="30" hidden="1" customHeight="1" outlineLevel="1">
      <c r="B83" s="1497"/>
      <c r="C83" s="1537"/>
      <c r="D83" s="405"/>
      <c r="E83" s="406"/>
      <c r="F83" s="411"/>
      <c r="G83" s="338"/>
      <c r="H83" s="412"/>
      <c r="I83" s="1026"/>
      <c r="J83" s="1554"/>
      <c r="K83" s="1554"/>
      <c r="L83" s="1554"/>
      <c r="M83" s="1554"/>
      <c r="N83" s="1554"/>
      <c r="O83" s="1554"/>
      <c r="P83" s="1554"/>
      <c r="Q83" s="1554"/>
      <c r="R83" s="1574"/>
      <c r="S83" s="340"/>
      <c r="AC83" s="1555"/>
      <c r="AD83" s="1555"/>
      <c r="AE83" s="393"/>
      <c r="AF83" s="415"/>
      <c r="AG83" s="394"/>
    </row>
    <row r="84" spans="1:60" ht="30" hidden="1" customHeight="1" outlineLevel="1">
      <c r="B84" s="1497"/>
      <c r="C84" s="1537"/>
      <c r="D84" s="405"/>
      <c r="E84" s="406"/>
      <c r="F84" s="409"/>
      <c r="G84" s="338"/>
      <c r="H84" s="410"/>
      <c r="I84" s="1027"/>
      <c r="J84" s="1554"/>
      <c r="K84" s="1554"/>
      <c r="L84" s="1554"/>
      <c r="M84" s="1554"/>
      <c r="N84" s="1554"/>
      <c r="O84" s="1554"/>
      <c r="P84" s="1554"/>
      <c r="Q84" s="1554"/>
      <c r="R84" s="1574"/>
      <c r="S84" s="340"/>
      <c r="AC84" s="1555"/>
      <c r="AD84" s="1555"/>
      <c r="AE84" s="393"/>
      <c r="AF84" s="415"/>
      <c r="AG84" s="394"/>
    </row>
    <row r="85" spans="1:60" ht="30" hidden="1" customHeight="1" outlineLevel="1">
      <c r="B85" s="1497"/>
      <c r="C85" s="1537"/>
      <c r="D85" s="405"/>
      <c r="E85" s="406"/>
      <c r="F85" s="411"/>
      <c r="G85" s="338"/>
      <c r="H85" s="412"/>
      <c r="I85" s="1026"/>
      <c r="J85" s="1554"/>
      <c r="K85" s="1554"/>
      <c r="L85" s="1554"/>
      <c r="M85" s="1554"/>
      <c r="N85" s="1554"/>
      <c r="O85" s="1554"/>
      <c r="P85" s="1554"/>
      <c r="Q85" s="1554"/>
      <c r="R85" s="1574"/>
      <c r="S85" s="340"/>
      <c r="AC85" s="1555"/>
      <c r="AD85" s="1555"/>
      <c r="AE85" s="393"/>
      <c r="AF85" s="415"/>
      <c r="AG85" s="394"/>
    </row>
    <row r="86" spans="1:60" ht="30" hidden="1" customHeight="1" outlineLevel="1">
      <c r="B86" s="1497"/>
      <c r="C86" s="1537"/>
      <c r="D86" s="405"/>
      <c r="E86" s="406"/>
      <c r="F86" s="409"/>
      <c r="G86" s="338"/>
      <c r="H86" s="410"/>
      <c r="I86" s="1027"/>
      <c r="J86" s="1554"/>
      <c r="K86" s="1554"/>
      <c r="L86" s="1554"/>
      <c r="M86" s="1554"/>
      <c r="N86" s="1554"/>
      <c r="O86" s="1554"/>
      <c r="P86" s="1554"/>
      <c r="Q86" s="1554"/>
      <c r="R86" s="1574"/>
      <c r="S86" s="340"/>
      <c r="AC86" s="1555"/>
      <c r="AD86" s="1555"/>
      <c r="AE86" s="393"/>
      <c r="AF86" s="415"/>
      <c r="AG86" s="394"/>
    </row>
    <row r="87" spans="1:60" ht="30" hidden="1" customHeight="1" outlineLevel="1">
      <c r="B87" s="1497"/>
      <c r="C87" s="1537"/>
      <c r="D87" s="405"/>
      <c r="E87" s="406"/>
      <c r="F87" s="411"/>
      <c r="G87" s="338"/>
      <c r="H87" s="412"/>
      <c r="I87" s="1026"/>
      <c r="J87" s="1554"/>
      <c r="K87" s="1554"/>
      <c r="L87" s="1554"/>
      <c r="M87" s="1554"/>
      <c r="N87" s="1554"/>
      <c r="O87" s="1554"/>
      <c r="P87" s="1554"/>
      <c r="Q87" s="1554"/>
      <c r="R87" s="1574"/>
      <c r="S87" s="340"/>
      <c r="AC87" s="1555"/>
      <c r="AD87" s="1555"/>
      <c r="AE87" s="393"/>
      <c r="AF87" s="415"/>
      <c r="AG87" s="394"/>
    </row>
    <row r="88" spans="1:60" ht="30" hidden="1" customHeight="1" outlineLevel="1">
      <c r="B88" s="1497"/>
      <c r="C88" s="1537"/>
      <c r="D88" s="405"/>
      <c r="E88" s="406"/>
      <c r="F88" s="409"/>
      <c r="G88" s="338"/>
      <c r="H88" s="410"/>
      <c r="I88" s="1027"/>
      <c r="J88" s="1554"/>
      <c r="K88" s="1554"/>
      <c r="L88" s="1554"/>
      <c r="M88" s="1554"/>
      <c r="N88" s="1554"/>
      <c r="O88" s="1554"/>
      <c r="P88" s="1554"/>
      <c r="Q88" s="1554"/>
      <c r="R88" s="1574"/>
      <c r="S88" s="340"/>
    </row>
    <row r="89" spans="1:60" ht="30" hidden="1" customHeight="1" outlineLevel="1">
      <c r="B89" s="1497"/>
      <c r="C89" s="1537"/>
      <c r="D89" s="405"/>
      <c r="E89" s="406"/>
      <c r="F89" s="411"/>
      <c r="G89" s="338"/>
      <c r="H89" s="412"/>
      <c r="I89" s="1026"/>
      <c r="J89" s="1554"/>
      <c r="K89" s="1554"/>
      <c r="L89" s="1554"/>
      <c r="M89" s="1554"/>
      <c r="N89" s="1554"/>
      <c r="O89" s="1554"/>
      <c r="P89" s="1554"/>
      <c r="Q89" s="1554"/>
      <c r="R89" s="1574"/>
      <c r="S89" s="340"/>
      <c r="AC89" s="1555"/>
      <c r="AD89" s="1555"/>
      <c r="AE89" s="393"/>
      <c r="AF89" s="415"/>
      <c r="AG89" s="394"/>
    </row>
    <row r="90" spans="1:60" ht="30" hidden="1" customHeight="1" outlineLevel="1">
      <c r="B90" s="1497"/>
      <c r="C90" s="1537"/>
      <c r="D90" s="405"/>
      <c r="E90" s="406"/>
      <c r="F90" s="411"/>
      <c r="G90" s="338"/>
      <c r="H90" s="412"/>
      <c r="I90" s="1027"/>
      <c r="J90" s="1554"/>
      <c r="K90" s="1554"/>
      <c r="L90" s="1554"/>
      <c r="M90" s="1554"/>
      <c r="N90" s="1554"/>
      <c r="O90" s="1554"/>
      <c r="P90" s="1554"/>
      <c r="Q90" s="1554"/>
      <c r="R90" s="1574"/>
      <c r="S90" s="340"/>
      <c r="AC90" s="396"/>
      <c r="BA90" s="183"/>
      <c r="BB90" s="183"/>
      <c r="BC90" s="183"/>
      <c r="BD90" s="183"/>
      <c r="BE90" s="183"/>
      <c r="BF90" s="183"/>
      <c r="BG90" s="183"/>
      <c r="BH90" s="183"/>
    </row>
    <row r="91" spans="1:60" ht="30" hidden="1" customHeight="1" outlineLevel="1">
      <c r="B91" s="1497"/>
      <c r="C91" s="1537"/>
      <c r="D91" s="405"/>
      <c r="E91" s="406"/>
      <c r="F91" s="409"/>
      <c r="G91" s="338"/>
      <c r="H91" s="410"/>
      <c r="I91" s="1026"/>
      <c r="J91" s="1554"/>
      <c r="K91" s="1554"/>
      <c r="L91" s="1554"/>
      <c r="M91" s="1554"/>
      <c r="N91" s="1554"/>
      <c r="O91" s="1554"/>
      <c r="P91" s="1554"/>
      <c r="Q91" s="1554"/>
      <c r="R91" s="1574"/>
      <c r="S91" s="340"/>
      <c r="AC91" s="396"/>
      <c r="BA91" s="183"/>
      <c r="BB91" s="183"/>
      <c r="BC91" s="183"/>
      <c r="BD91" s="183"/>
      <c r="BE91" s="183"/>
      <c r="BF91" s="183"/>
      <c r="BG91" s="183"/>
      <c r="BH91" s="183"/>
    </row>
    <row r="92" spans="1:60" ht="30" customHeight="1">
      <c r="B92" s="1497"/>
      <c r="C92" s="1537"/>
      <c r="D92" s="1569" t="s">
        <v>322</v>
      </c>
      <c r="E92" s="1570"/>
      <c r="F92" s="1571"/>
      <c r="G92" s="1572"/>
      <c r="H92" s="1572"/>
      <c r="I92" s="1573"/>
      <c r="J92" s="262"/>
      <c r="K92" s="262"/>
      <c r="L92" s="262"/>
      <c r="M92" s="262"/>
      <c r="N92" s="262"/>
      <c r="O92" s="262"/>
      <c r="P92" s="262"/>
      <c r="Q92" s="262"/>
      <c r="R92" s="404"/>
      <c r="S92" s="340"/>
      <c r="AC92" s="396"/>
      <c r="BA92" s="183"/>
      <c r="BB92" s="183"/>
      <c r="BC92" s="183"/>
      <c r="BD92" s="183"/>
      <c r="BE92" s="183"/>
      <c r="BF92" s="183"/>
      <c r="BG92" s="183"/>
      <c r="BH92" s="183"/>
    </row>
    <row r="93" spans="1:60" ht="30" customHeight="1">
      <c r="B93" s="1497"/>
      <c r="C93" s="1537"/>
      <c r="D93" s="417"/>
      <c r="E93" s="406"/>
      <c r="F93" s="407"/>
      <c r="G93" s="338"/>
      <c r="H93" s="408"/>
      <c r="I93" s="1025"/>
      <c r="J93" s="262"/>
      <c r="K93" s="262"/>
      <c r="L93" s="262"/>
      <c r="M93" s="262"/>
      <c r="N93" s="262"/>
      <c r="O93" s="262"/>
      <c r="P93" s="262"/>
      <c r="Q93" s="262"/>
      <c r="R93" s="404"/>
      <c r="S93" s="340"/>
      <c r="AC93" s="396"/>
      <c r="BA93" s="183"/>
      <c r="BB93" s="183"/>
      <c r="BC93" s="183"/>
      <c r="BD93" s="183"/>
      <c r="BE93" s="183"/>
      <c r="BF93" s="183"/>
      <c r="BG93" s="183"/>
      <c r="BH93" s="183"/>
    </row>
    <row r="94" spans="1:60" ht="30" customHeight="1">
      <c r="A94" s="416"/>
      <c r="B94" s="1497"/>
      <c r="C94" s="1537"/>
      <c r="D94" s="417"/>
      <c r="E94" s="406"/>
      <c r="F94" s="409"/>
      <c r="G94" s="338"/>
      <c r="H94" s="410"/>
      <c r="I94" s="1026"/>
      <c r="J94" s="262"/>
      <c r="K94" s="262"/>
      <c r="L94" s="262"/>
      <c r="M94" s="262"/>
      <c r="N94" s="262"/>
      <c r="O94" s="262"/>
      <c r="P94" s="262"/>
      <c r="Q94" s="262"/>
      <c r="R94" s="404"/>
      <c r="S94" s="340"/>
    </row>
    <row r="95" spans="1:60" ht="30" customHeight="1">
      <c r="B95" s="1497"/>
      <c r="C95" s="1537"/>
      <c r="D95" s="405"/>
      <c r="E95" s="406"/>
      <c r="F95" s="409"/>
      <c r="G95" s="338"/>
      <c r="H95" s="410"/>
      <c r="I95" s="1027"/>
      <c r="J95" s="262"/>
      <c r="K95" s="262"/>
      <c r="L95" s="262"/>
      <c r="M95" s="262"/>
      <c r="N95" s="262"/>
      <c r="O95" s="262"/>
      <c r="P95" s="262"/>
      <c r="Q95" s="262"/>
      <c r="R95" s="404"/>
      <c r="S95" s="340"/>
      <c r="AC95" s="1555"/>
      <c r="AD95" s="1555"/>
      <c r="AE95" s="393"/>
      <c r="AF95" s="415"/>
      <c r="AG95" s="394"/>
    </row>
    <row r="96" spans="1:60" ht="30" customHeight="1" collapsed="1">
      <c r="B96" s="1497"/>
      <c r="C96" s="1537"/>
      <c r="D96" s="405"/>
      <c r="E96" s="406"/>
      <c r="F96" s="411"/>
      <c r="G96" s="338"/>
      <c r="H96" s="412"/>
      <c r="I96" s="1026"/>
      <c r="J96" s="262"/>
      <c r="K96" s="262"/>
      <c r="L96" s="262"/>
      <c r="M96" s="262"/>
      <c r="N96" s="262"/>
      <c r="O96" s="262"/>
      <c r="P96" s="262"/>
      <c r="Q96" s="262"/>
      <c r="R96" s="404"/>
      <c r="S96" s="340"/>
      <c r="AC96" s="1555"/>
      <c r="AD96" s="1555"/>
      <c r="AE96" s="393"/>
      <c r="AF96" s="415"/>
      <c r="AG96" s="394"/>
    </row>
    <row r="97" spans="2:60" ht="30" hidden="1" customHeight="1" outlineLevel="1">
      <c r="B97" s="1497"/>
      <c r="C97" s="1537"/>
      <c r="D97" s="405"/>
      <c r="E97" s="406"/>
      <c r="F97" s="409"/>
      <c r="G97" s="338"/>
      <c r="H97" s="410"/>
      <c r="I97" s="1027"/>
      <c r="J97" s="262"/>
      <c r="K97" s="262"/>
      <c r="L97" s="262"/>
      <c r="M97" s="262"/>
      <c r="N97" s="262"/>
      <c r="O97" s="262"/>
      <c r="P97" s="262"/>
      <c r="Q97" s="262"/>
      <c r="R97" s="404"/>
      <c r="S97" s="340"/>
      <c r="AC97" s="1555"/>
      <c r="AD97" s="1555"/>
      <c r="AE97" s="393"/>
      <c r="AF97" s="415"/>
      <c r="AG97" s="394"/>
    </row>
    <row r="98" spans="2:60" ht="30" hidden="1" customHeight="1" outlineLevel="1">
      <c r="B98" s="1497"/>
      <c r="C98" s="1537"/>
      <c r="D98" s="405"/>
      <c r="E98" s="406"/>
      <c r="F98" s="411"/>
      <c r="G98" s="338"/>
      <c r="H98" s="412"/>
      <c r="I98" s="1027"/>
      <c r="J98" s="262"/>
      <c r="K98" s="262"/>
      <c r="L98" s="262"/>
      <c r="M98" s="262"/>
      <c r="N98" s="262"/>
      <c r="O98" s="262"/>
      <c r="P98" s="262"/>
      <c r="Q98" s="262"/>
      <c r="R98" s="404"/>
      <c r="S98" s="340"/>
      <c r="AC98" s="1555"/>
      <c r="AD98" s="1555"/>
      <c r="AE98" s="393"/>
      <c r="AF98" s="415"/>
      <c r="AG98" s="394"/>
    </row>
    <row r="99" spans="2:60" ht="30" hidden="1" customHeight="1" outlineLevel="1">
      <c r="B99" s="1497"/>
      <c r="C99" s="1537"/>
      <c r="D99" s="405"/>
      <c r="E99" s="406"/>
      <c r="F99" s="409"/>
      <c r="G99" s="338"/>
      <c r="H99" s="410"/>
      <c r="I99" s="1026"/>
      <c r="J99" s="262"/>
      <c r="K99" s="262"/>
      <c r="L99" s="262"/>
      <c r="M99" s="262"/>
      <c r="N99" s="262"/>
      <c r="O99" s="262"/>
      <c r="P99" s="262"/>
      <c r="Q99" s="262"/>
      <c r="R99" s="404"/>
      <c r="S99" s="340"/>
      <c r="AC99" s="1555"/>
      <c r="AD99" s="1555"/>
      <c r="AE99" s="393"/>
      <c r="AF99" s="415"/>
      <c r="AG99" s="394"/>
    </row>
    <row r="100" spans="2:60" ht="30" hidden="1" customHeight="1" outlineLevel="1">
      <c r="B100" s="1497"/>
      <c r="C100" s="1537"/>
      <c r="D100" s="405"/>
      <c r="E100" s="406"/>
      <c r="F100" s="411"/>
      <c r="G100" s="338"/>
      <c r="H100" s="412"/>
      <c r="I100" s="1027"/>
      <c r="J100" s="262"/>
      <c r="K100" s="262"/>
      <c r="L100" s="262"/>
      <c r="M100" s="262"/>
      <c r="N100" s="262"/>
      <c r="O100" s="262"/>
      <c r="P100" s="262"/>
      <c r="Q100" s="262"/>
      <c r="R100" s="404"/>
      <c r="S100" s="340"/>
      <c r="AC100" s="1555"/>
      <c r="AD100" s="1555"/>
      <c r="AE100" s="393"/>
      <c r="AF100" s="415"/>
      <c r="AG100" s="394"/>
    </row>
    <row r="101" spans="2:60" ht="30" hidden="1" customHeight="1" outlineLevel="1">
      <c r="B101" s="1497"/>
      <c r="C101" s="1537"/>
      <c r="D101" s="405"/>
      <c r="E101" s="406"/>
      <c r="F101" s="409"/>
      <c r="G101" s="338"/>
      <c r="H101" s="410"/>
      <c r="I101" s="1026"/>
      <c r="J101" s="262"/>
      <c r="K101" s="262"/>
      <c r="L101" s="262"/>
      <c r="M101" s="262"/>
      <c r="N101" s="262"/>
      <c r="O101" s="262"/>
      <c r="P101" s="262"/>
      <c r="Q101" s="262"/>
      <c r="R101" s="404"/>
      <c r="S101" s="340"/>
      <c r="AC101" s="1555"/>
      <c r="AD101" s="1555"/>
      <c r="AE101" s="393"/>
      <c r="AF101" s="415"/>
      <c r="AG101" s="394"/>
    </row>
    <row r="102" spans="2:60" ht="30" hidden="1" customHeight="1" outlineLevel="1">
      <c r="B102" s="1497"/>
      <c r="C102" s="1537"/>
      <c r="D102" s="405"/>
      <c r="E102" s="406"/>
      <c r="F102" s="411"/>
      <c r="G102" s="338"/>
      <c r="H102" s="412"/>
      <c r="I102" s="1027"/>
      <c r="J102" s="262"/>
      <c r="K102" s="262"/>
      <c r="L102" s="262"/>
      <c r="M102" s="262"/>
      <c r="N102" s="262"/>
      <c r="O102" s="262"/>
      <c r="P102" s="262"/>
      <c r="Q102" s="262"/>
      <c r="R102" s="404"/>
      <c r="S102" s="340"/>
      <c r="AC102" s="1555"/>
      <c r="AD102" s="1555"/>
      <c r="AE102" s="393"/>
      <c r="AF102" s="415"/>
      <c r="AG102" s="394"/>
    </row>
    <row r="103" spans="2:60" ht="30" hidden="1" customHeight="1" outlineLevel="1">
      <c r="B103" s="1497"/>
      <c r="C103" s="1537"/>
      <c r="D103" s="405"/>
      <c r="E103" s="406"/>
      <c r="F103" s="409"/>
      <c r="G103" s="338"/>
      <c r="H103" s="410"/>
      <c r="I103" s="1026"/>
      <c r="J103" s="262"/>
      <c r="K103" s="262"/>
      <c r="L103" s="262"/>
      <c r="M103" s="262"/>
      <c r="N103" s="262"/>
      <c r="O103" s="262"/>
      <c r="P103" s="262"/>
      <c r="Q103" s="262"/>
      <c r="R103" s="404"/>
      <c r="S103" s="340"/>
    </row>
    <row r="104" spans="2:60" ht="30" hidden="1" customHeight="1" outlineLevel="1">
      <c r="B104" s="1497"/>
      <c r="C104" s="1537"/>
      <c r="D104" s="405"/>
      <c r="E104" s="406"/>
      <c r="F104" s="411"/>
      <c r="G104" s="338"/>
      <c r="H104" s="412"/>
      <c r="I104" s="1027"/>
      <c r="J104" s="262"/>
      <c r="K104" s="262"/>
      <c r="L104" s="262"/>
      <c r="M104" s="262"/>
      <c r="N104" s="262"/>
      <c r="O104" s="262"/>
      <c r="P104" s="262"/>
      <c r="Q104" s="262"/>
      <c r="R104" s="404"/>
      <c r="S104" s="340"/>
      <c r="AC104" s="1555"/>
      <c r="AD104" s="1555"/>
      <c r="AE104" s="393"/>
      <c r="AF104" s="415"/>
      <c r="AG104" s="394"/>
    </row>
    <row r="105" spans="2:60" ht="30" hidden="1" customHeight="1" outlineLevel="1">
      <c r="B105" s="1497"/>
      <c r="C105" s="1537"/>
      <c r="D105" s="417"/>
      <c r="E105" s="406"/>
      <c r="F105" s="409"/>
      <c r="G105" s="338"/>
      <c r="H105" s="410"/>
      <c r="I105" s="1026"/>
      <c r="J105" s="262"/>
      <c r="K105" s="262"/>
      <c r="L105" s="262"/>
      <c r="M105" s="262"/>
      <c r="N105" s="262"/>
      <c r="O105" s="262"/>
      <c r="P105" s="262"/>
      <c r="Q105" s="262"/>
      <c r="R105" s="404"/>
      <c r="S105" s="340"/>
      <c r="AC105" s="396"/>
      <c r="BA105" s="183"/>
      <c r="BB105" s="183"/>
      <c r="BC105" s="183"/>
      <c r="BD105" s="183"/>
      <c r="BE105" s="183"/>
      <c r="BF105" s="183"/>
      <c r="BG105" s="183"/>
      <c r="BH105" s="183"/>
    </row>
    <row r="106" spans="2:60" ht="30" hidden="1" customHeight="1" outlineLevel="1">
      <c r="B106" s="1497"/>
      <c r="C106" s="1537"/>
      <c r="D106" s="405"/>
      <c r="E106" s="406"/>
      <c r="F106" s="411"/>
      <c r="G106" s="338"/>
      <c r="H106" s="412"/>
      <c r="I106" s="1027"/>
      <c r="J106" s="262"/>
      <c r="K106" s="262"/>
      <c r="L106" s="262"/>
      <c r="M106" s="262"/>
      <c r="N106" s="262"/>
      <c r="O106" s="262"/>
      <c r="P106" s="262"/>
      <c r="Q106" s="262"/>
      <c r="R106" s="404"/>
      <c r="S106" s="340"/>
      <c r="AC106" s="396"/>
      <c r="BA106" s="183"/>
      <c r="BB106" s="183"/>
      <c r="BC106" s="183"/>
      <c r="BD106" s="183"/>
      <c r="BE106" s="183"/>
      <c r="BF106" s="183"/>
      <c r="BG106" s="183"/>
      <c r="BH106" s="183"/>
    </row>
    <row r="107" spans="2:60" ht="30" hidden="1" customHeight="1" outlineLevel="1">
      <c r="B107" s="1497"/>
      <c r="C107" s="1537"/>
      <c r="D107" s="405"/>
      <c r="E107" s="406"/>
      <c r="F107" s="409"/>
      <c r="G107" s="338"/>
      <c r="H107" s="410"/>
      <c r="I107" s="1026"/>
      <c r="J107" s="421"/>
      <c r="K107" s="422"/>
      <c r="L107" s="422"/>
      <c r="M107" s="422"/>
      <c r="N107" s="422"/>
      <c r="O107" s="422"/>
      <c r="P107" s="422"/>
      <c r="Q107" s="422"/>
      <c r="R107" s="423"/>
      <c r="S107" s="340"/>
      <c r="AC107" s="396"/>
      <c r="BA107" s="183"/>
      <c r="BB107" s="183"/>
      <c r="BC107" s="183"/>
      <c r="BD107" s="183"/>
      <c r="BE107" s="183"/>
      <c r="BF107" s="183"/>
      <c r="BG107" s="183"/>
      <c r="BH107" s="183"/>
    </row>
    <row r="108" spans="2:60" ht="30" customHeight="1">
      <c r="B108" s="1497"/>
      <c r="C108" s="1537"/>
      <c r="D108" s="1556" t="s">
        <v>315</v>
      </c>
      <c r="E108" s="1557"/>
      <c r="F108" s="409"/>
      <c r="G108" s="338"/>
      <c r="H108" s="410"/>
      <c r="I108" s="1026"/>
      <c r="J108" s="1558"/>
      <c r="K108" s="1560" t="s">
        <v>323</v>
      </c>
      <c r="L108" s="1561"/>
      <c r="M108" s="1561"/>
      <c r="N108" s="1561"/>
      <c r="O108" s="1561"/>
      <c r="P108" s="1561"/>
      <c r="Q108" s="1561"/>
      <c r="R108" s="1562"/>
      <c r="S108" s="340"/>
      <c r="AC108" s="396"/>
      <c r="BA108" s="183"/>
      <c r="BB108" s="183"/>
      <c r="BC108" s="183"/>
      <c r="BD108" s="183"/>
      <c r="BE108" s="183"/>
      <c r="BF108" s="183"/>
      <c r="BG108" s="183"/>
      <c r="BH108" s="183"/>
    </row>
    <row r="109" spans="2:60" ht="30" customHeight="1">
      <c r="B109" s="1497"/>
      <c r="C109" s="1537"/>
      <c r="D109" s="1556" t="s">
        <v>324</v>
      </c>
      <c r="E109" s="1557"/>
      <c r="F109" s="409"/>
      <c r="G109" s="338"/>
      <c r="H109" s="410"/>
      <c r="I109" s="1026"/>
      <c r="J109" s="1559"/>
      <c r="K109" s="1563"/>
      <c r="L109" s="1563"/>
      <c r="M109" s="1563"/>
      <c r="N109" s="1563"/>
      <c r="O109" s="1563"/>
      <c r="P109" s="1563"/>
      <c r="Q109" s="1563"/>
      <c r="R109" s="1564"/>
      <c r="S109" s="340"/>
      <c r="AC109" s="396"/>
      <c r="BA109" s="183"/>
      <c r="BB109" s="183"/>
      <c r="BC109" s="183"/>
      <c r="BD109" s="183"/>
      <c r="BE109" s="183"/>
      <c r="BF109" s="183"/>
      <c r="BG109" s="183"/>
      <c r="BH109" s="183"/>
    </row>
    <row r="110" spans="2:60" ht="30" customHeight="1" thickBot="1">
      <c r="B110" s="1499"/>
      <c r="C110" s="1538"/>
      <c r="D110" s="1567" t="s">
        <v>203</v>
      </c>
      <c r="E110" s="1568"/>
      <c r="F110" s="424"/>
      <c r="G110" s="425" t="s">
        <v>277</v>
      </c>
      <c r="H110" s="426"/>
      <c r="I110" s="1028"/>
      <c r="J110" s="427"/>
      <c r="K110" s="1565"/>
      <c r="L110" s="1565"/>
      <c r="M110" s="1565"/>
      <c r="N110" s="1565"/>
      <c r="O110" s="1565"/>
      <c r="P110" s="1565"/>
      <c r="Q110" s="1565"/>
      <c r="R110" s="1566"/>
      <c r="S110" s="340"/>
      <c r="AC110" s="396"/>
      <c r="BA110" s="183"/>
      <c r="BB110" s="183"/>
      <c r="BC110" s="183"/>
      <c r="BD110" s="183"/>
      <c r="BE110" s="183"/>
      <c r="BF110" s="183"/>
      <c r="BG110" s="183"/>
      <c r="BH110" s="183"/>
    </row>
    <row r="111" spans="2:60" ht="18" customHeight="1">
      <c r="R111" s="262"/>
      <c r="S111" s="395"/>
      <c r="AC111" s="396"/>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62"/>
      <c r="S112" s="395"/>
      <c r="AC112" s="396"/>
    </row>
    <row r="113" spans="1:34" ht="18" customHeight="1">
      <c r="B113" s="58" t="s">
        <v>1404</v>
      </c>
      <c r="C113" s="58"/>
      <c r="D113" s="58"/>
      <c r="E113" s="58"/>
      <c r="F113" s="58"/>
      <c r="G113" s="58"/>
      <c r="H113" s="58"/>
      <c r="I113" s="30"/>
      <c r="J113" s="30"/>
      <c r="K113" s="30"/>
      <c r="L113" s="30"/>
      <c r="M113" s="30"/>
      <c r="N113" s="20"/>
      <c r="O113" s="30"/>
      <c r="P113" s="30"/>
      <c r="Q113" s="30"/>
      <c r="R113" s="262"/>
      <c r="S113" s="395"/>
      <c r="AC113" s="396"/>
    </row>
    <row r="114" spans="1:34" ht="18" customHeight="1">
      <c r="B114" s="58" t="s">
        <v>325</v>
      </c>
      <c r="C114" s="58"/>
      <c r="D114" s="58"/>
      <c r="E114" s="58"/>
      <c r="F114" s="58"/>
      <c r="G114" s="58"/>
      <c r="H114" s="58"/>
      <c r="I114" s="30"/>
      <c r="J114" s="30"/>
      <c r="K114" s="30"/>
      <c r="L114" s="30"/>
      <c r="M114" s="30"/>
      <c r="N114" s="20"/>
      <c r="O114" s="30"/>
      <c r="P114" s="30"/>
      <c r="Q114" s="30"/>
      <c r="S114" s="395"/>
      <c r="AC114" s="396"/>
    </row>
    <row r="115" spans="1:34" ht="18" customHeight="1" thickBot="1">
      <c r="A115" s="58"/>
      <c r="B115" s="58"/>
      <c r="C115" s="58"/>
      <c r="D115" s="58"/>
      <c r="E115" s="58"/>
      <c r="F115" s="58"/>
      <c r="G115" s="58"/>
      <c r="H115" s="58"/>
      <c r="I115" s="30"/>
      <c r="J115" s="30"/>
      <c r="K115" s="30"/>
      <c r="L115" s="30"/>
      <c r="M115" s="30"/>
      <c r="N115" s="20"/>
      <c r="O115" s="30"/>
      <c r="P115" s="30"/>
      <c r="Q115" s="30"/>
      <c r="S115" s="395"/>
      <c r="AC115" s="150"/>
    </row>
    <row r="116" spans="1:34" ht="18" customHeight="1">
      <c r="B116" s="1546" t="s">
        <v>299</v>
      </c>
      <c r="C116" s="1547"/>
      <c r="D116" s="1547"/>
      <c r="E116" s="1548"/>
      <c r="F116" s="1290" t="s">
        <v>300</v>
      </c>
      <c r="G116" s="330"/>
      <c r="H116" s="1551" t="s">
        <v>1403</v>
      </c>
      <c r="I116" s="127"/>
      <c r="N116" s="34"/>
      <c r="Q116" s="30"/>
      <c r="AC116" s="146" t="s">
        <v>326</v>
      </c>
      <c r="AD116" s="326"/>
      <c r="AE116" s="326"/>
      <c r="AF116" s="326"/>
      <c r="AG116" s="144"/>
    </row>
    <row r="117" spans="1:34" ht="18" customHeight="1">
      <c r="B117" s="1259"/>
      <c r="C117" s="1260"/>
      <c r="D117" s="1260"/>
      <c r="E117" s="1261"/>
      <c r="F117" s="1275"/>
      <c r="G117" s="1516" t="s">
        <v>126</v>
      </c>
      <c r="H117" s="1552"/>
      <c r="I117" s="127"/>
      <c r="N117" s="34"/>
      <c r="Q117" s="30"/>
      <c r="AC117" s="1372" t="s">
        <v>303</v>
      </c>
      <c r="AD117" s="1372"/>
      <c r="AE117" s="1493" t="s">
        <v>304</v>
      </c>
      <c r="AF117" s="1494" t="s">
        <v>327</v>
      </c>
      <c r="AG117" s="1493" t="s">
        <v>195</v>
      </c>
    </row>
    <row r="118" spans="1:34" ht="14.25" customHeight="1" thickBot="1">
      <c r="B118" s="1549"/>
      <c r="C118" s="1550"/>
      <c r="D118" s="1550"/>
      <c r="E118" s="1389"/>
      <c r="F118" s="1275"/>
      <c r="G118" s="1517"/>
      <c r="H118" s="1553"/>
      <c r="I118" s="127"/>
      <c r="N118" s="34"/>
      <c r="AC118" s="1372"/>
      <c r="AD118" s="1372"/>
      <c r="AE118" s="1534"/>
      <c r="AF118" s="1482"/>
      <c r="AG118" s="1534"/>
    </row>
    <row r="119" spans="1:34" ht="30" customHeight="1" thickTop="1">
      <c r="B119" s="1535" t="s">
        <v>279</v>
      </c>
      <c r="C119" s="1536"/>
      <c r="D119" s="1539" t="s">
        <v>328</v>
      </c>
      <c r="E119" s="1540"/>
      <c r="F119" s="225"/>
      <c r="G119" s="429" t="s">
        <v>329</v>
      </c>
      <c r="H119" s="1029"/>
      <c r="I119" s="183"/>
      <c r="J119" s="183"/>
      <c r="N119" s="34"/>
      <c r="AC119" s="1541" t="s">
        <v>279</v>
      </c>
      <c r="AD119" s="430" t="s">
        <v>328</v>
      </c>
      <c r="AE119" s="431">
        <f>ROUND(F119*H119%,)</f>
        <v>0</v>
      </c>
      <c r="AF119" s="432"/>
      <c r="AG119" s="341">
        <f>ROUND(AE119*$AF119,)</f>
        <v>0</v>
      </c>
    </row>
    <row r="120" spans="1:34" ht="30" customHeight="1">
      <c r="B120" s="1497"/>
      <c r="C120" s="1537"/>
      <c r="D120" s="1542" t="s">
        <v>330</v>
      </c>
      <c r="E120" s="1543"/>
      <c r="F120" s="227"/>
      <c r="G120" s="433" t="s">
        <v>329</v>
      </c>
      <c r="H120" s="1030"/>
      <c r="I120" s="183"/>
      <c r="J120" s="183"/>
      <c r="N120" s="34"/>
      <c r="AC120" s="1541"/>
      <c r="AD120" s="430" t="s">
        <v>330</v>
      </c>
      <c r="AE120" s="431">
        <f t="shared" ref="AE120:AE122" si="1">ROUND(F120*H120%,)</f>
        <v>0</v>
      </c>
      <c r="AF120" s="360"/>
      <c r="AG120" s="341">
        <f t="shared" ref="AG120:AG122" si="2">ROUND(AE120*$AF120,)</f>
        <v>0</v>
      </c>
    </row>
    <row r="121" spans="1:34" ht="30" customHeight="1">
      <c r="B121" s="1497"/>
      <c r="C121" s="1537"/>
      <c r="D121" s="1542" t="s">
        <v>331</v>
      </c>
      <c r="E121" s="1543"/>
      <c r="F121" s="227"/>
      <c r="G121" s="433" t="s">
        <v>332</v>
      </c>
      <c r="H121" s="1030"/>
      <c r="I121" s="183"/>
      <c r="J121" s="183"/>
      <c r="N121" s="34"/>
      <c r="AC121" s="1541"/>
      <c r="AD121" s="430" t="s">
        <v>331</v>
      </c>
      <c r="AE121" s="431">
        <f t="shared" si="1"/>
        <v>0</v>
      </c>
      <c r="AF121" s="360"/>
      <c r="AG121" s="341">
        <f t="shared" si="2"/>
        <v>0</v>
      </c>
    </row>
    <row r="122" spans="1:34" ht="30" customHeight="1" thickBot="1">
      <c r="B122" s="1499"/>
      <c r="C122" s="1538"/>
      <c r="D122" s="1544" t="s">
        <v>203</v>
      </c>
      <c r="E122" s="1545"/>
      <c r="F122" s="236"/>
      <c r="G122" s="434" t="s">
        <v>164</v>
      </c>
      <c r="H122" s="1031"/>
      <c r="I122" s="183"/>
      <c r="J122" s="183"/>
      <c r="N122" s="34"/>
      <c r="S122" s="183"/>
      <c r="AC122" s="1541"/>
      <c r="AD122" s="430" t="s">
        <v>203</v>
      </c>
      <c r="AE122" s="431">
        <f t="shared" si="1"/>
        <v>0</v>
      </c>
      <c r="AF122" s="235"/>
      <c r="AG122" s="435">
        <f t="shared" si="2"/>
        <v>0</v>
      </c>
    </row>
    <row r="123" spans="1:34" ht="30" customHeight="1">
      <c r="B123" s="1554" t="s">
        <v>1303</v>
      </c>
      <c r="C123" s="1554"/>
      <c r="D123" s="1554"/>
      <c r="E123" s="1554"/>
      <c r="F123" s="1554"/>
      <c r="G123" s="1554"/>
      <c r="H123" s="1554"/>
      <c r="I123" s="1554"/>
      <c r="J123" s="1554"/>
      <c r="K123" s="1554"/>
      <c r="L123" s="1554"/>
      <c r="N123" s="34"/>
      <c r="AC123" s="1534" t="s">
        <v>333</v>
      </c>
      <c r="AD123" s="1534"/>
      <c r="AE123" s="436"/>
      <c r="AF123" s="436"/>
      <c r="AG123" s="385">
        <f>SUM(AG119:AG122)</f>
        <v>0</v>
      </c>
      <c r="AH123" s="177"/>
    </row>
    <row r="124" spans="1:34" ht="22.5" customHeight="1">
      <c r="B124" s="1056"/>
      <c r="C124" s="1056"/>
      <c r="D124" s="1056"/>
      <c r="E124" s="1056"/>
      <c r="F124" s="1056"/>
      <c r="G124" s="1056"/>
      <c r="H124" s="1056"/>
      <c r="I124" s="183"/>
      <c r="J124" s="183"/>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3"/>
  </mergeCells>
  <phoneticPr fontId="5"/>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53" fitToHeight="0" orientation="landscape" cellComments="asDisplayed" r:id="rId1"/>
  <headerFooter alignWithMargins="0"/>
  <rowBreaks count="1" manualBreakCount="1">
    <brk id="75" max="16383" man="1"/>
  </rowBreaks>
  <drawing r:id="rId2"/>
  <legacyDrawing r:id="rId3"/>
  <controls>
    <mc:AlternateContent xmlns:mc="http://schemas.openxmlformats.org/markup-compatibility/2006">
      <mc:Choice Requires="x14">
        <control shapeId="9221" r:id="rId4" name="btnKoushin1">
          <controlPr defaultSize="0" print="0" autoLine="0" r:id="rId5">
            <anchor moveWithCells="1">
              <from>
                <xdr:col>37</xdr:col>
                <xdr:colOff>104775</xdr:colOff>
                <xdr:row>0</xdr:row>
                <xdr:rowOff>342900</xdr:rowOff>
              </from>
              <to>
                <xdr:col>42</xdr:col>
                <xdr:colOff>123825</xdr:colOff>
                <xdr:row>2</xdr:row>
                <xdr:rowOff>171450</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5.125" style="2" customWidth="1" outlineLevel="1"/>
    <col min="27" max="27" width="17" style="2" customWidth="1" outlineLevel="1"/>
    <col min="28" max="28" width="15.875" style="2" customWidth="1" outlineLevel="1"/>
    <col min="29" max="29" width="16.5" style="2" customWidth="1" outlineLevel="1"/>
    <col min="30" max="31" width="2.625" style="2" customWidth="1" outlineLevel="1"/>
    <col min="32" max="41" width="2.625" style="2" customWidth="1"/>
    <col min="42" max="16384" width="2.625" style="2"/>
  </cols>
  <sheetData>
    <row r="1" spans="2:29" ht="18" customHeight="1">
      <c r="H1" s="183"/>
      <c r="I1" s="183"/>
      <c r="J1" s="183"/>
      <c r="K1" s="183"/>
      <c r="L1" s="183"/>
      <c r="M1" s="183"/>
      <c r="N1" s="183"/>
    </row>
    <row r="2" spans="2:29" ht="18" customHeight="1"/>
    <row r="3" spans="2:29" ht="18" customHeight="1"/>
    <row r="4" spans="2:29" ht="18" customHeight="1">
      <c r="C4" s="48"/>
      <c r="D4" s="48"/>
      <c r="E4" s="48"/>
      <c r="F4" s="48"/>
      <c r="G4" s="48"/>
    </row>
    <row r="5" spans="2:29" ht="18" customHeight="1">
      <c r="B5" s="106" t="s">
        <v>334</v>
      </c>
      <c r="C5" s="437"/>
      <c r="D5" s="437"/>
      <c r="E5" s="437"/>
      <c r="F5" s="437"/>
      <c r="G5" s="437"/>
      <c r="H5" s="437"/>
      <c r="I5" s="437"/>
      <c r="J5" s="437"/>
      <c r="K5" s="437"/>
      <c r="L5" s="437"/>
      <c r="M5" s="437"/>
      <c r="N5" s="437"/>
      <c r="O5" s="437"/>
      <c r="P5" s="437"/>
      <c r="Q5" s="437"/>
      <c r="R5" s="20"/>
      <c r="S5" s="30"/>
      <c r="W5" s="106" t="s">
        <v>334</v>
      </c>
      <c r="Y5" s="1083" t="s">
        <v>1367</v>
      </c>
      <c r="Z5" s="1085" t="s">
        <v>1374</v>
      </c>
      <c r="AA5" s="1085" t="s">
        <v>1375</v>
      </c>
      <c r="AB5" s="1085" t="s">
        <v>1376</v>
      </c>
      <c r="AC5" s="1085" t="s">
        <v>1377</v>
      </c>
    </row>
    <row r="6" spans="2:29" ht="18" customHeight="1">
      <c r="B6" s="1604" t="s">
        <v>1405</v>
      </c>
      <c r="C6" s="1604"/>
      <c r="D6" s="1604"/>
      <c r="E6" s="1604"/>
      <c r="F6" s="1604"/>
      <c r="G6" s="1604"/>
      <c r="H6" s="1604"/>
      <c r="I6" s="1604"/>
      <c r="J6" s="1604"/>
      <c r="K6" s="1604"/>
      <c r="L6" s="1604"/>
      <c r="M6" s="1604"/>
      <c r="N6" s="1604"/>
      <c r="O6" s="1604"/>
      <c r="P6" s="1604"/>
      <c r="Q6" s="1604"/>
      <c r="R6" s="1604"/>
      <c r="S6" s="30"/>
      <c r="Y6" s="1084"/>
      <c r="Z6" s="1087">
        <v>4</v>
      </c>
      <c r="AA6" s="1087">
        <v>4</v>
      </c>
      <c r="AB6" s="1087">
        <v>4</v>
      </c>
      <c r="AC6" s="1087">
        <v>4</v>
      </c>
    </row>
    <row r="7" spans="2:29" ht="18" customHeight="1">
      <c r="B7" s="1604"/>
      <c r="C7" s="1604"/>
      <c r="D7" s="1604"/>
      <c r="E7" s="1604"/>
      <c r="F7" s="1604"/>
      <c r="G7" s="1604"/>
      <c r="H7" s="1604"/>
      <c r="I7" s="1604"/>
      <c r="J7" s="1604"/>
      <c r="K7" s="1604"/>
      <c r="L7" s="1604"/>
      <c r="M7" s="1604"/>
      <c r="N7" s="1604"/>
      <c r="O7" s="1604"/>
      <c r="P7" s="1604"/>
      <c r="Q7" s="1604"/>
      <c r="R7" s="1604"/>
      <c r="S7" s="30"/>
    </row>
    <row r="8" spans="2:29" ht="18" customHeight="1" thickBot="1">
      <c r="B8" s="1604"/>
      <c r="C8" s="1604"/>
      <c r="D8" s="1604"/>
      <c r="E8" s="1604"/>
      <c r="F8" s="1604"/>
      <c r="G8" s="1604"/>
      <c r="H8" s="1604"/>
      <c r="I8" s="1604"/>
      <c r="J8" s="1604"/>
      <c r="K8" s="1604"/>
      <c r="L8" s="1604"/>
      <c r="M8" s="1604"/>
      <c r="N8" s="1604"/>
      <c r="O8" s="1604"/>
      <c r="P8" s="1604"/>
      <c r="Q8" s="1604"/>
      <c r="R8" s="1604"/>
      <c r="S8" s="30"/>
    </row>
    <row r="9" spans="2:29" ht="18" customHeight="1">
      <c r="B9" s="438"/>
      <c r="C9" s="1290" t="s">
        <v>299</v>
      </c>
      <c r="D9" s="1291"/>
      <c r="E9" s="1291"/>
      <c r="F9" s="1204" t="s">
        <v>335</v>
      </c>
      <c r="G9" s="1582" t="s">
        <v>1406</v>
      </c>
      <c r="H9" s="1585" t="s">
        <v>336</v>
      </c>
      <c r="I9" s="1291"/>
      <c r="J9" s="1291"/>
      <c r="K9" s="1291"/>
      <c r="L9" s="1291"/>
      <c r="M9" s="1291"/>
      <c r="N9" s="1291"/>
      <c r="O9" s="1291"/>
      <c r="P9" s="1291"/>
      <c r="Q9" s="1468"/>
      <c r="R9" s="20"/>
      <c r="S9" s="30"/>
      <c r="X9" s="1603" t="s">
        <v>299</v>
      </c>
      <c r="Y9" s="1372" t="s">
        <v>337</v>
      </c>
    </row>
    <row r="10" spans="2:29" ht="18" customHeight="1" thickBot="1">
      <c r="B10" s="329"/>
      <c r="C10" s="1265"/>
      <c r="D10" s="1266"/>
      <c r="E10" s="1266"/>
      <c r="F10" s="1605"/>
      <c r="G10" s="1606"/>
      <c r="H10" s="1587"/>
      <c r="I10" s="1266"/>
      <c r="J10" s="1266"/>
      <c r="K10" s="1266"/>
      <c r="L10" s="1266"/>
      <c r="M10" s="1266"/>
      <c r="N10" s="1266"/>
      <c r="O10" s="1266"/>
      <c r="P10" s="1266"/>
      <c r="Q10" s="1267"/>
      <c r="R10" s="439"/>
      <c r="S10" s="416"/>
      <c r="T10" s="416"/>
      <c r="X10" s="1603"/>
      <c r="Y10" s="1372"/>
    </row>
    <row r="11" spans="2:29" ht="30" customHeight="1" thickTop="1" thickBot="1">
      <c r="B11" s="329"/>
      <c r="C11" s="1579" t="s">
        <v>249</v>
      </c>
      <c r="D11" s="1580"/>
      <c r="E11" s="1580"/>
      <c r="F11" s="440"/>
      <c r="G11" s="1024"/>
      <c r="H11" s="441"/>
      <c r="I11" s="330"/>
      <c r="J11" s="330"/>
      <c r="K11" s="330"/>
      <c r="L11" s="330"/>
      <c r="M11" s="330"/>
      <c r="N11" s="330"/>
      <c r="O11" s="330"/>
      <c r="P11" s="330"/>
      <c r="Q11" s="442"/>
      <c r="R11" s="439"/>
      <c r="S11" s="416"/>
      <c r="T11" s="416"/>
      <c r="X11" s="229" t="s">
        <v>338</v>
      </c>
      <c r="Y11" s="443">
        <f>IF(F11&gt;0,ROUND(F11*G11%,),SUM(Y12:Y16))</f>
        <v>0</v>
      </c>
    </row>
    <row r="12" spans="2:29" ht="30" customHeight="1" thickTop="1">
      <c r="B12" s="329"/>
      <c r="C12" s="444"/>
      <c r="D12" s="1569" t="s">
        <v>339</v>
      </c>
      <c r="E12" s="1570"/>
      <c r="F12" s="1601"/>
      <c r="G12" s="1602"/>
      <c r="H12" s="262"/>
      <c r="I12" s="262"/>
      <c r="J12" s="262"/>
      <c r="K12" s="262"/>
      <c r="L12" s="262"/>
      <c r="M12" s="262"/>
      <c r="N12" s="262"/>
      <c r="O12" s="262"/>
      <c r="P12" s="262"/>
      <c r="Q12" s="404"/>
      <c r="R12" s="340"/>
      <c r="S12" s="183"/>
      <c r="T12" s="183"/>
      <c r="U12" s="183"/>
      <c r="V12" s="183"/>
      <c r="W12" s="183"/>
      <c r="X12" s="229" t="s">
        <v>340</v>
      </c>
      <c r="Y12" s="445">
        <f>SUMPRODUCT(ROUND((F13:F27)*(G13:G27)/100,))</f>
        <v>0</v>
      </c>
      <c r="Z12" s="183"/>
      <c r="AA12" s="183"/>
    </row>
    <row r="13" spans="2:29" s="416" customFormat="1" ht="30" customHeight="1">
      <c r="B13" s="2"/>
      <c r="C13" s="446"/>
      <c r="D13" s="362"/>
      <c r="E13" s="406"/>
      <c r="F13" s="342"/>
      <c r="G13" s="1027"/>
      <c r="H13" s="447"/>
      <c r="I13" s="262"/>
      <c r="J13" s="262"/>
      <c r="K13" s="262"/>
      <c r="L13" s="262"/>
      <c r="M13" s="262"/>
      <c r="N13" s="262"/>
      <c r="O13" s="262"/>
      <c r="P13" s="262"/>
      <c r="Q13" s="404"/>
      <c r="R13" s="340"/>
      <c r="S13" s="183"/>
      <c r="T13" s="183"/>
      <c r="U13" s="420"/>
      <c r="V13" s="420"/>
      <c r="W13" s="420"/>
      <c r="X13" s="229" t="s">
        <v>341</v>
      </c>
      <c r="Y13" s="445">
        <f>SUMPRODUCT(ROUND((F29:F43)*(G29:G43)/100,))</f>
        <v>0</v>
      </c>
      <c r="Z13" s="420"/>
      <c r="AA13" s="420"/>
    </row>
    <row r="14" spans="2:29" s="416" customFormat="1" ht="30" customHeight="1">
      <c r="B14" s="2"/>
      <c r="C14" s="446"/>
      <c r="D14" s="362"/>
      <c r="E14" s="406"/>
      <c r="F14" s="342"/>
      <c r="G14" s="1032"/>
      <c r="H14" s="447"/>
      <c r="I14" s="262"/>
      <c r="J14" s="262"/>
      <c r="K14" s="262"/>
      <c r="L14" s="262"/>
      <c r="M14" s="262"/>
      <c r="N14" s="262"/>
      <c r="O14" s="262"/>
      <c r="P14" s="262"/>
      <c r="Q14" s="404"/>
      <c r="R14" s="340"/>
      <c r="S14" s="183"/>
      <c r="T14" s="183"/>
      <c r="U14" s="420"/>
      <c r="V14" s="420"/>
      <c r="W14" s="420"/>
      <c r="X14" s="229" t="s">
        <v>342</v>
      </c>
      <c r="Y14" s="445">
        <f>SUMPRODUCT(ROUND((F45:F59)*(G45:G59)/100,))</f>
        <v>0</v>
      </c>
      <c r="Z14" s="420"/>
      <c r="AA14" s="420"/>
    </row>
    <row r="15" spans="2:29" ht="30" customHeight="1">
      <c r="C15" s="446"/>
      <c r="D15" s="362"/>
      <c r="E15" s="406"/>
      <c r="F15" s="448"/>
      <c r="G15" s="1033"/>
      <c r="H15" s="447"/>
      <c r="I15" s="262"/>
      <c r="J15" s="262"/>
      <c r="K15" s="262"/>
      <c r="L15" s="262"/>
      <c r="M15" s="262"/>
      <c r="N15" s="262"/>
      <c r="O15" s="262"/>
      <c r="P15" s="262"/>
      <c r="Q15" s="404"/>
      <c r="R15" s="340"/>
      <c r="S15" s="183"/>
      <c r="T15" s="183"/>
      <c r="U15" s="183"/>
      <c r="V15" s="183"/>
      <c r="W15" s="183"/>
      <c r="X15" s="229" t="s">
        <v>343</v>
      </c>
      <c r="Y15" s="445">
        <f>SUMPRODUCT(ROUND((F61:F75)*(G61:G75)/100,))</f>
        <v>0</v>
      </c>
      <c r="Z15" s="183"/>
      <c r="AA15" s="183"/>
    </row>
    <row r="16" spans="2:29" ht="30" customHeight="1" collapsed="1">
      <c r="C16" s="446"/>
      <c r="D16" s="362"/>
      <c r="E16" s="406"/>
      <c r="F16" s="448"/>
      <c r="G16" s="1033"/>
      <c r="H16" s="447"/>
      <c r="I16" s="262"/>
      <c r="J16" s="262"/>
      <c r="K16" s="262"/>
      <c r="L16" s="262"/>
      <c r="M16" s="262"/>
      <c r="N16" s="262"/>
      <c r="O16" s="262"/>
      <c r="P16" s="262"/>
      <c r="Q16" s="404"/>
      <c r="R16" s="340"/>
      <c r="S16" s="183"/>
      <c r="T16" s="183"/>
      <c r="U16" s="183"/>
      <c r="V16" s="183"/>
      <c r="W16" s="183"/>
      <c r="X16" s="229" t="s">
        <v>203</v>
      </c>
      <c r="Y16" s="445">
        <f>ROUND((F76*G76)/100,)</f>
        <v>0</v>
      </c>
      <c r="Z16" s="183"/>
      <c r="AA16" s="183"/>
    </row>
    <row r="17" spans="3:27" ht="30" hidden="1" customHeight="1" outlineLevel="1">
      <c r="C17" s="446"/>
      <c r="D17" s="362"/>
      <c r="E17" s="406"/>
      <c r="F17" s="448"/>
      <c r="G17" s="1033"/>
      <c r="H17" s="447"/>
      <c r="I17" s="262"/>
      <c r="J17" s="262"/>
      <c r="K17" s="262"/>
      <c r="L17" s="262"/>
      <c r="M17" s="262"/>
      <c r="N17" s="262"/>
      <c r="O17" s="262"/>
      <c r="P17" s="262"/>
      <c r="Q17" s="404"/>
      <c r="R17" s="340"/>
      <c r="S17" s="183"/>
      <c r="T17" s="183"/>
      <c r="U17" s="183"/>
      <c r="V17" s="183"/>
      <c r="W17" s="183"/>
      <c r="X17" s="449"/>
      <c r="Y17" s="450"/>
      <c r="Z17" s="183"/>
      <c r="AA17" s="183"/>
    </row>
    <row r="18" spans="3:27" ht="30" hidden="1" customHeight="1" outlineLevel="1">
      <c r="C18" s="446"/>
      <c r="D18" s="451"/>
      <c r="E18" s="406"/>
      <c r="F18" s="448"/>
      <c r="G18" s="1033"/>
      <c r="H18" s="447"/>
      <c r="I18" s="262"/>
      <c r="J18" s="262"/>
      <c r="K18" s="262"/>
      <c r="L18" s="262"/>
      <c r="M18" s="262"/>
      <c r="N18" s="262"/>
      <c r="O18" s="262"/>
      <c r="P18" s="262"/>
      <c r="Q18" s="404"/>
      <c r="R18" s="340"/>
      <c r="S18" s="183"/>
      <c r="T18" s="183"/>
      <c r="U18" s="183"/>
      <c r="V18" s="183"/>
      <c r="W18" s="183"/>
      <c r="X18" s="214"/>
      <c r="Y18" s="452"/>
      <c r="Z18" s="183"/>
      <c r="AA18" s="183"/>
    </row>
    <row r="19" spans="3:27" ht="30" hidden="1" customHeight="1" outlineLevel="1">
      <c r="C19" s="446"/>
      <c r="D19" s="451"/>
      <c r="E19" s="406"/>
      <c r="F19" s="448"/>
      <c r="G19" s="1033"/>
      <c r="H19" s="447"/>
      <c r="I19" s="262"/>
      <c r="J19" s="262"/>
      <c r="K19" s="262"/>
      <c r="L19" s="262"/>
      <c r="M19" s="262"/>
      <c r="N19" s="262"/>
      <c r="O19" s="262"/>
      <c r="P19" s="262"/>
      <c r="Q19" s="404"/>
      <c r="R19" s="340"/>
      <c r="S19" s="183"/>
      <c r="T19" s="183"/>
      <c r="U19" s="183"/>
      <c r="V19" s="183"/>
      <c r="W19" s="183"/>
      <c r="X19" s="214"/>
      <c r="Y19" s="452"/>
      <c r="Z19" s="183"/>
      <c r="AA19" s="183"/>
    </row>
    <row r="20" spans="3:27" ht="30" hidden="1" customHeight="1" outlineLevel="1">
      <c r="C20" s="446"/>
      <c r="D20" s="451"/>
      <c r="E20" s="406"/>
      <c r="F20" s="448"/>
      <c r="G20" s="1033"/>
      <c r="H20" s="447"/>
      <c r="I20" s="262"/>
      <c r="J20" s="262"/>
      <c r="K20" s="262"/>
      <c r="L20" s="262"/>
      <c r="M20" s="262"/>
      <c r="N20" s="262"/>
      <c r="O20" s="262"/>
      <c r="P20" s="262"/>
      <c r="Q20" s="404"/>
      <c r="R20" s="340"/>
      <c r="S20" s="183"/>
      <c r="T20" s="183"/>
      <c r="U20" s="183"/>
      <c r="V20" s="183"/>
      <c r="W20" s="183"/>
      <c r="X20" s="214"/>
      <c r="Y20" s="452"/>
      <c r="Z20" s="183"/>
      <c r="AA20" s="183"/>
    </row>
    <row r="21" spans="3:27" ht="30" hidden="1" customHeight="1" outlineLevel="1">
      <c r="C21" s="446"/>
      <c r="D21" s="451"/>
      <c r="E21" s="406"/>
      <c r="F21" s="448"/>
      <c r="G21" s="1033"/>
      <c r="H21" s="447"/>
      <c r="I21" s="262"/>
      <c r="J21" s="262"/>
      <c r="K21" s="262"/>
      <c r="L21" s="262"/>
      <c r="M21" s="262"/>
      <c r="N21" s="262"/>
      <c r="O21" s="262"/>
      <c r="P21" s="262"/>
      <c r="Q21" s="404"/>
      <c r="R21" s="340"/>
      <c r="S21" s="183"/>
      <c r="T21" s="183"/>
      <c r="U21" s="183"/>
      <c r="V21" s="183"/>
      <c r="W21" s="183"/>
      <c r="X21" s="214"/>
      <c r="Y21" s="452"/>
      <c r="Z21" s="183"/>
      <c r="AA21" s="183"/>
    </row>
    <row r="22" spans="3:27" ht="30" hidden="1" customHeight="1" outlineLevel="1">
      <c r="C22" s="446"/>
      <c r="D22" s="451"/>
      <c r="E22" s="406"/>
      <c r="F22" s="448"/>
      <c r="G22" s="1033"/>
      <c r="H22" s="447"/>
      <c r="I22" s="262"/>
      <c r="J22" s="262"/>
      <c r="K22" s="262"/>
      <c r="L22" s="262"/>
      <c r="M22" s="262"/>
      <c r="N22" s="262"/>
      <c r="O22" s="262"/>
      <c r="P22" s="262"/>
      <c r="Q22" s="404"/>
      <c r="R22" s="340"/>
      <c r="S22" s="183"/>
      <c r="T22" s="183"/>
      <c r="U22" s="183"/>
      <c r="V22" s="183"/>
      <c r="W22" s="183"/>
      <c r="X22" s="214"/>
      <c r="Y22" s="452"/>
      <c r="Z22" s="183"/>
      <c r="AA22" s="183"/>
    </row>
    <row r="23" spans="3:27" ht="30" hidden="1" customHeight="1" outlineLevel="1">
      <c r="C23" s="446"/>
      <c r="D23" s="451"/>
      <c r="E23" s="406"/>
      <c r="F23" s="448"/>
      <c r="G23" s="1033"/>
      <c r="H23" s="447"/>
      <c r="I23" s="262"/>
      <c r="J23" s="262"/>
      <c r="K23" s="262"/>
      <c r="L23" s="262"/>
      <c r="M23" s="262"/>
      <c r="N23" s="262"/>
      <c r="O23" s="262"/>
      <c r="P23" s="262"/>
      <c r="Q23" s="404"/>
      <c r="R23" s="340"/>
      <c r="S23" s="183"/>
      <c r="T23" s="183"/>
      <c r="U23" s="183"/>
      <c r="V23" s="183"/>
      <c r="W23" s="183"/>
      <c r="X23" s="214"/>
      <c r="Y23" s="452"/>
      <c r="Z23" s="183"/>
      <c r="AA23" s="183"/>
    </row>
    <row r="24" spans="3:27" ht="30" hidden="1" customHeight="1" outlineLevel="1">
      <c r="C24" s="446"/>
      <c r="D24" s="451"/>
      <c r="E24" s="406"/>
      <c r="F24" s="448"/>
      <c r="G24" s="1033"/>
      <c r="H24" s="447"/>
      <c r="I24" s="262"/>
      <c r="J24" s="262"/>
      <c r="K24" s="262"/>
      <c r="L24" s="262"/>
      <c r="M24" s="262"/>
      <c r="N24" s="262"/>
      <c r="O24" s="262"/>
      <c r="P24" s="262"/>
      <c r="Q24" s="404"/>
      <c r="R24" s="340"/>
      <c r="S24" s="183"/>
      <c r="T24" s="183"/>
      <c r="U24" s="183"/>
      <c r="V24" s="183"/>
      <c r="W24" s="183"/>
      <c r="X24" s="214"/>
      <c r="Y24" s="452"/>
      <c r="Z24" s="183"/>
      <c r="AA24" s="183"/>
    </row>
    <row r="25" spans="3:27" ht="30" hidden="1" customHeight="1" outlineLevel="1">
      <c r="C25" s="446"/>
      <c r="D25" s="451"/>
      <c r="E25" s="406"/>
      <c r="F25" s="448"/>
      <c r="G25" s="1033"/>
      <c r="H25" s="447"/>
      <c r="I25" s="262"/>
      <c r="J25" s="262"/>
      <c r="K25" s="262"/>
      <c r="L25" s="262"/>
      <c r="M25" s="262"/>
      <c r="N25" s="262"/>
      <c r="O25" s="262"/>
      <c r="P25" s="262"/>
      <c r="Q25" s="404"/>
      <c r="R25" s="340"/>
      <c r="S25" s="183"/>
      <c r="T25" s="183"/>
      <c r="U25" s="183"/>
      <c r="V25" s="183"/>
      <c r="W25" s="183"/>
      <c r="X25" s="214"/>
      <c r="Y25" s="452"/>
      <c r="Z25" s="183"/>
      <c r="AA25" s="183"/>
    </row>
    <row r="26" spans="3:27" ht="30" hidden="1" customHeight="1" outlineLevel="1">
      <c r="C26" s="446"/>
      <c r="D26" s="451"/>
      <c r="E26" s="406"/>
      <c r="F26" s="448"/>
      <c r="G26" s="1033"/>
      <c r="H26" s="447"/>
      <c r="I26" s="262"/>
      <c r="J26" s="262"/>
      <c r="K26" s="262"/>
      <c r="L26" s="262"/>
      <c r="M26" s="262"/>
      <c r="N26" s="262"/>
      <c r="O26" s="262"/>
      <c r="P26" s="262"/>
      <c r="Q26" s="404"/>
      <c r="R26" s="340"/>
      <c r="S26" s="183"/>
      <c r="T26" s="183"/>
      <c r="U26" s="183"/>
      <c r="V26" s="183"/>
      <c r="W26" s="183"/>
      <c r="X26" s="214"/>
      <c r="Y26" s="452"/>
      <c r="Z26" s="183"/>
      <c r="AA26" s="183"/>
    </row>
    <row r="27" spans="3:27" ht="30" hidden="1" customHeight="1" outlineLevel="1">
      <c r="C27" s="446"/>
      <c r="D27" s="451"/>
      <c r="E27" s="406"/>
      <c r="F27" s="453"/>
      <c r="G27" s="1026"/>
      <c r="H27" s="447"/>
      <c r="I27" s="262"/>
      <c r="J27" s="262"/>
      <c r="K27" s="262"/>
      <c r="L27" s="262"/>
      <c r="M27" s="262"/>
      <c r="N27" s="262"/>
      <c r="O27" s="262"/>
      <c r="P27" s="262"/>
      <c r="Q27" s="404"/>
      <c r="R27" s="340"/>
      <c r="S27" s="183"/>
      <c r="T27" s="183"/>
      <c r="U27" s="183"/>
      <c r="V27" s="183"/>
      <c r="W27" s="183"/>
      <c r="X27" s="214"/>
      <c r="Y27" s="452"/>
      <c r="Z27" s="183"/>
      <c r="AA27" s="183"/>
    </row>
    <row r="28" spans="3:27" ht="30" customHeight="1">
      <c r="C28" s="444"/>
      <c r="D28" s="1569" t="s">
        <v>344</v>
      </c>
      <c r="E28" s="1591"/>
      <c r="F28" s="1592"/>
      <c r="G28" s="1593"/>
      <c r="H28" s="262"/>
      <c r="I28" s="262"/>
      <c r="J28" s="262"/>
      <c r="K28" s="262"/>
      <c r="L28" s="262"/>
      <c r="M28" s="262"/>
      <c r="N28" s="262"/>
      <c r="O28" s="262"/>
      <c r="P28" s="262"/>
      <c r="Q28" s="404"/>
      <c r="R28" s="340"/>
      <c r="S28" s="183"/>
      <c r="T28" s="183"/>
      <c r="U28" s="183"/>
      <c r="V28" s="183"/>
      <c r="W28" s="183"/>
      <c r="Z28" s="183"/>
      <c r="AA28" s="183"/>
    </row>
    <row r="29" spans="3:27" ht="30" customHeight="1">
      <c r="C29" s="446"/>
      <c r="D29" s="362"/>
      <c r="E29" s="406"/>
      <c r="F29" s="342"/>
      <c r="G29" s="1027"/>
      <c r="H29" s="447"/>
      <c r="I29" s="262"/>
      <c r="J29" s="262"/>
      <c r="K29" s="262"/>
      <c r="L29" s="262"/>
      <c r="M29" s="262"/>
      <c r="N29" s="262"/>
      <c r="O29" s="262"/>
      <c r="P29" s="262"/>
      <c r="Q29" s="404"/>
      <c r="R29" s="340"/>
      <c r="S29" s="183"/>
      <c r="T29" s="183"/>
      <c r="U29" s="183"/>
      <c r="V29" s="183"/>
      <c r="W29" s="183"/>
      <c r="Z29" s="183"/>
      <c r="AA29" s="183"/>
    </row>
    <row r="30" spans="3:27" ht="30" customHeight="1">
      <c r="C30" s="446"/>
      <c r="D30" s="362"/>
      <c r="E30" s="406"/>
      <c r="F30" s="342"/>
      <c r="G30" s="1032"/>
      <c r="H30" s="447"/>
      <c r="I30" s="262"/>
      <c r="J30" s="262"/>
      <c r="K30" s="262"/>
      <c r="L30" s="262"/>
      <c r="M30" s="262"/>
      <c r="N30" s="262"/>
      <c r="O30" s="262"/>
      <c r="P30" s="262"/>
      <c r="Q30" s="404"/>
      <c r="R30" s="340"/>
      <c r="S30" s="183"/>
      <c r="T30" s="183"/>
      <c r="U30" s="183"/>
      <c r="V30" s="183"/>
      <c r="W30" s="183"/>
      <c r="X30" s="183"/>
      <c r="Y30" s="183"/>
      <c r="Z30" s="183"/>
      <c r="AA30" s="183"/>
    </row>
    <row r="31" spans="3:27" ht="30" customHeight="1">
      <c r="C31" s="446"/>
      <c r="D31" s="451"/>
      <c r="E31" s="406"/>
      <c r="F31" s="448"/>
      <c r="G31" s="1033"/>
      <c r="H31" s="447"/>
      <c r="I31" s="262"/>
      <c r="J31" s="262"/>
      <c r="K31" s="262"/>
      <c r="L31" s="262"/>
      <c r="M31" s="262"/>
      <c r="N31" s="262"/>
      <c r="O31" s="262"/>
      <c r="P31" s="262"/>
      <c r="Q31" s="404"/>
      <c r="R31" s="340"/>
      <c r="S31" s="183"/>
      <c r="T31" s="183"/>
      <c r="U31" s="183"/>
      <c r="V31" s="183"/>
      <c r="W31" s="183"/>
      <c r="X31" s="214"/>
      <c r="Y31" s="452"/>
      <c r="Z31" s="183"/>
      <c r="AA31" s="183"/>
    </row>
    <row r="32" spans="3:27" ht="30" customHeight="1" collapsed="1">
      <c r="C32" s="446"/>
      <c r="D32" s="451"/>
      <c r="E32" s="406"/>
      <c r="F32" s="448"/>
      <c r="G32" s="1033"/>
      <c r="H32" s="447"/>
      <c r="I32" s="262"/>
      <c r="J32" s="262"/>
      <c r="K32" s="262"/>
      <c r="L32" s="262"/>
      <c r="M32" s="262"/>
      <c r="N32" s="262"/>
      <c r="O32" s="262"/>
      <c r="P32" s="262"/>
      <c r="Q32" s="404"/>
      <c r="R32" s="340"/>
      <c r="S32" s="183"/>
      <c r="T32" s="183"/>
      <c r="U32" s="183"/>
      <c r="V32" s="183"/>
      <c r="W32" s="183"/>
      <c r="X32" s="214"/>
      <c r="Y32" s="452"/>
      <c r="Z32" s="183"/>
      <c r="AA32" s="183"/>
    </row>
    <row r="33" spans="3:27" ht="30" hidden="1" customHeight="1" outlineLevel="1">
      <c r="C33" s="446"/>
      <c r="D33" s="451"/>
      <c r="E33" s="406"/>
      <c r="F33" s="448"/>
      <c r="G33" s="1033"/>
      <c r="H33" s="447"/>
      <c r="I33" s="262"/>
      <c r="J33" s="262"/>
      <c r="K33" s="262"/>
      <c r="L33" s="262"/>
      <c r="M33" s="262"/>
      <c r="N33" s="262"/>
      <c r="O33" s="262"/>
      <c r="P33" s="262"/>
      <c r="Q33" s="404"/>
      <c r="R33" s="340"/>
      <c r="S33" s="183"/>
      <c r="T33" s="183"/>
      <c r="U33" s="183"/>
      <c r="V33" s="183"/>
      <c r="W33" s="183"/>
      <c r="X33" s="214"/>
      <c r="Y33" s="452"/>
      <c r="Z33" s="183"/>
      <c r="AA33" s="183"/>
    </row>
    <row r="34" spans="3:27" ht="30" hidden="1" customHeight="1" outlineLevel="1">
      <c r="C34" s="446"/>
      <c r="D34" s="451"/>
      <c r="E34" s="406"/>
      <c r="F34" s="448"/>
      <c r="G34" s="1033"/>
      <c r="H34" s="447"/>
      <c r="I34" s="262"/>
      <c r="J34" s="262"/>
      <c r="K34" s="262"/>
      <c r="L34" s="262"/>
      <c r="M34" s="262"/>
      <c r="N34" s="262"/>
      <c r="O34" s="262"/>
      <c r="P34" s="262"/>
      <c r="Q34" s="404"/>
      <c r="R34" s="340"/>
      <c r="S34" s="183"/>
      <c r="T34" s="183"/>
      <c r="U34" s="183"/>
      <c r="V34" s="183"/>
      <c r="W34" s="183"/>
      <c r="X34" s="214"/>
      <c r="Y34" s="452"/>
      <c r="Z34" s="183"/>
      <c r="AA34" s="183"/>
    </row>
    <row r="35" spans="3:27" ht="30" hidden="1" customHeight="1" outlineLevel="1">
      <c r="C35" s="446"/>
      <c r="D35" s="451"/>
      <c r="E35" s="406"/>
      <c r="F35" s="448"/>
      <c r="G35" s="1033"/>
      <c r="H35" s="447"/>
      <c r="I35" s="262"/>
      <c r="J35" s="262"/>
      <c r="K35" s="262"/>
      <c r="L35" s="262"/>
      <c r="M35" s="262"/>
      <c r="N35" s="262"/>
      <c r="O35" s="262"/>
      <c r="P35" s="262"/>
      <c r="Q35" s="404"/>
      <c r="R35" s="340"/>
      <c r="S35" s="183"/>
      <c r="T35" s="183"/>
      <c r="U35" s="183"/>
      <c r="V35" s="183"/>
      <c r="W35" s="183"/>
      <c r="X35" s="214"/>
      <c r="Y35" s="452"/>
      <c r="Z35" s="183"/>
      <c r="AA35" s="183"/>
    </row>
    <row r="36" spans="3:27" ht="30" hidden="1" customHeight="1" outlineLevel="1">
      <c r="C36" s="446"/>
      <c r="D36" s="451"/>
      <c r="E36" s="406"/>
      <c r="F36" s="448"/>
      <c r="G36" s="1033"/>
      <c r="H36" s="447"/>
      <c r="I36" s="262"/>
      <c r="J36" s="262"/>
      <c r="K36" s="262"/>
      <c r="L36" s="262"/>
      <c r="M36" s="262"/>
      <c r="N36" s="262"/>
      <c r="O36" s="262"/>
      <c r="P36" s="262"/>
      <c r="Q36" s="404"/>
      <c r="R36" s="340"/>
      <c r="S36" s="183"/>
      <c r="T36" s="183"/>
      <c r="U36" s="183"/>
      <c r="V36" s="183"/>
      <c r="W36" s="183"/>
      <c r="X36" s="214"/>
      <c r="Y36" s="452"/>
      <c r="Z36" s="183"/>
      <c r="AA36" s="183"/>
    </row>
    <row r="37" spans="3:27" ht="30" hidden="1" customHeight="1" outlineLevel="1">
      <c r="C37" s="446"/>
      <c r="D37" s="451"/>
      <c r="E37" s="406"/>
      <c r="F37" s="448"/>
      <c r="G37" s="1033"/>
      <c r="H37" s="447"/>
      <c r="I37" s="262"/>
      <c r="J37" s="262"/>
      <c r="K37" s="262"/>
      <c r="L37" s="262"/>
      <c r="M37" s="262"/>
      <c r="N37" s="262"/>
      <c r="O37" s="262"/>
      <c r="P37" s="262"/>
      <c r="Q37" s="404"/>
      <c r="R37" s="340"/>
      <c r="S37" s="183"/>
      <c r="T37" s="183"/>
      <c r="U37" s="183"/>
      <c r="V37" s="183"/>
      <c r="W37" s="183"/>
      <c r="X37" s="214"/>
      <c r="Y37" s="452"/>
      <c r="Z37" s="183"/>
      <c r="AA37" s="183"/>
    </row>
    <row r="38" spans="3:27" ht="30" hidden="1" customHeight="1" outlineLevel="1">
      <c r="C38" s="446"/>
      <c r="D38" s="451"/>
      <c r="E38" s="406"/>
      <c r="F38" s="448"/>
      <c r="G38" s="1033"/>
      <c r="H38" s="447"/>
      <c r="I38" s="262"/>
      <c r="J38" s="262"/>
      <c r="K38" s="262"/>
      <c r="L38" s="262"/>
      <c r="M38" s="262"/>
      <c r="N38" s="262"/>
      <c r="O38" s="262"/>
      <c r="P38" s="262"/>
      <c r="Q38" s="404"/>
      <c r="R38" s="340"/>
      <c r="S38" s="183"/>
      <c r="T38" s="183"/>
      <c r="U38" s="183"/>
      <c r="V38" s="183"/>
      <c r="W38" s="183"/>
      <c r="X38" s="214"/>
      <c r="Y38" s="452"/>
      <c r="Z38" s="183"/>
      <c r="AA38" s="183"/>
    </row>
    <row r="39" spans="3:27" ht="30" hidden="1" customHeight="1" outlineLevel="1">
      <c r="C39" s="446"/>
      <c r="D39" s="451"/>
      <c r="E39" s="406"/>
      <c r="F39" s="448"/>
      <c r="G39" s="1033"/>
      <c r="H39" s="447"/>
      <c r="I39" s="262"/>
      <c r="J39" s="262"/>
      <c r="K39" s="262"/>
      <c r="L39" s="262"/>
      <c r="M39" s="262"/>
      <c r="N39" s="262"/>
      <c r="O39" s="262"/>
      <c r="P39" s="262"/>
      <c r="Q39" s="404"/>
      <c r="R39" s="340"/>
      <c r="S39" s="183"/>
      <c r="T39" s="183"/>
      <c r="U39" s="183"/>
      <c r="V39" s="183"/>
      <c r="W39" s="183"/>
      <c r="X39" s="214"/>
      <c r="Y39" s="452"/>
      <c r="Z39" s="183"/>
      <c r="AA39" s="183"/>
    </row>
    <row r="40" spans="3:27" ht="30" hidden="1" customHeight="1" outlineLevel="1">
      <c r="C40" s="446"/>
      <c r="D40" s="451"/>
      <c r="E40" s="406"/>
      <c r="F40" s="448"/>
      <c r="G40" s="1033"/>
      <c r="H40" s="447"/>
      <c r="I40" s="262"/>
      <c r="J40" s="262"/>
      <c r="K40" s="262"/>
      <c r="L40" s="262"/>
      <c r="M40" s="262"/>
      <c r="N40" s="262"/>
      <c r="O40" s="262"/>
      <c r="P40" s="262"/>
      <c r="Q40" s="404"/>
      <c r="R40" s="340"/>
      <c r="S40" s="183"/>
      <c r="T40" s="183"/>
      <c r="U40" s="183"/>
      <c r="V40" s="183"/>
      <c r="W40" s="183"/>
      <c r="X40" s="214"/>
      <c r="Y40" s="452"/>
      <c r="Z40" s="183"/>
      <c r="AA40" s="183"/>
    </row>
    <row r="41" spans="3:27" ht="30" hidden="1" customHeight="1" outlineLevel="1">
      <c r="C41" s="446"/>
      <c r="D41" s="362"/>
      <c r="E41" s="406"/>
      <c r="F41" s="342"/>
      <c r="G41" s="1033"/>
      <c r="H41" s="447"/>
      <c r="I41" s="262"/>
      <c r="J41" s="262"/>
      <c r="K41" s="262"/>
      <c r="L41" s="262"/>
      <c r="M41" s="262"/>
      <c r="N41" s="262"/>
      <c r="O41" s="262"/>
      <c r="P41" s="262"/>
      <c r="Q41" s="404"/>
      <c r="R41" s="340"/>
      <c r="S41" s="183"/>
      <c r="T41" s="183"/>
      <c r="U41" s="183"/>
      <c r="V41" s="183"/>
      <c r="W41" s="183"/>
      <c r="X41" s="183"/>
      <c r="Y41" s="183"/>
      <c r="Z41" s="183"/>
      <c r="AA41" s="183"/>
    </row>
    <row r="42" spans="3:27" ht="30" hidden="1" customHeight="1" outlineLevel="1">
      <c r="C42" s="446"/>
      <c r="D42" s="362"/>
      <c r="E42" s="406"/>
      <c r="F42" s="448"/>
      <c r="G42" s="1033"/>
      <c r="H42" s="447"/>
      <c r="I42" s="262"/>
      <c r="J42" s="262"/>
      <c r="K42" s="262"/>
      <c r="L42" s="262"/>
      <c r="M42" s="262"/>
      <c r="N42" s="262"/>
      <c r="O42" s="262"/>
      <c r="P42" s="262"/>
      <c r="Q42" s="404"/>
      <c r="R42" s="340"/>
      <c r="S42" s="183"/>
      <c r="T42" s="183"/>
      <c r="U42" s="183"/>
      <c r="V42" s="183"/>
      <c r="W42" s="183"/>
      <c r="X42" s="183"/>
      <c r="Y42" s="183"/>
      <c r="Z42" s="183"/>
      <c r="AA42" s="183"/>
    </row>
    <row r="43" spans="3:27" ht="30" hidden="1" customHeight="1" outlineLevel="1">
      <c r="C43" s="446"/>
      <c r="D43" s="362"/>
      <c r="E43" s="406"/>
      <c r="F43" s="337"/>
      <c r="G43" s="1026"/>
      <c r="H43" s="447"/>
      <c r="I43" s="262"/>
      <c r="J43" s="262"/>
      <c r="K43" s="262"/>
      <c r="L43" s="262"/>
      <c r="M43" s="262"/>
      <c r="N43" s="262"/>
      <c r="O43" s="262"/>
      <c r="P43" s="262"/>
      <c r="Q43" s="404"/>
      <c r="R43" s="340"/>
      <c r="S43" s="183"/>
      <c r="T43" s="183"/>
      <c r="U43" s="183"/>
      <c r="V43" s="183"/>
      <c r="W43" s="183"/>
      <c r="X43" s="183"/>
      <c r="Y43" s="183"/>
      <c r="Z43" s="183"/>
      <c r="AA43" s="183"/>
    </row>
    <row r="44" spans="3:27" ht="30" customHeight="1">
      <c r="C44" s="444"/>
      <c r="D44" s="1569" t="s">
        <v>345</v>
      </c>
      <c r="E44" s="1591"/>
      <c r="F44" s="1592"/>
      <c r="G44" s="1593"/>
      <c r="H44" s="262"/>
      <c r="I44" s="262"/>
      <c r="J44" s="262"/>
      <c r="K44" s="262"/>
      <c r="L44" s="262"/>
      <c r="M44" s="262"/>
      <c r="N44" s="262"/>
      <c r="O44" s="262"/>
      <c r="P44" s="262"/>
      <c r="Q44" s="404"/>
      <c r="R44" s="340"/>
      <c r="S44" s="183"/>
      <c r="T44" s="183"/>
      <c r="U44" s="183"/>
      <c r="V44" s="183"/>
      <c r="W44" s="183"/>
      <c r="X44" s="183"/>
      <c r="Y44" s="183"/>
      <c r="Z44" s="183"/>
      <c r="AA44" s="183"/>
    </row>
    <row r="45" spans="3:27" ht="30" customHeight="1">
      <c r="C45" s="446"/>
      <c r="D45" s="362"/>
      <c r="E45" s="406"/>
      <c r="F45" s="342"/>
      <c r="G45" s="1027"/>
      <c r="H45" s="447"/>
      <c r="I45" s="262"/>
      <c r="J45" s="262"/>
      <c r="K45" s="262"/>
      <c r="L45" s="262"/>
      <c r="M45" s="262"/>
      <c r="N45" s="262"/>
      <c r="O45" s="262"/>
      <c r="P45" s="262"/>
      <c r="Q45" s="404"/>
      <c r="R45" s="340"/>
      <c r="S45" s="183"/>
      <c r="T45" s="183"/>
      <c r="U45" s="183"/>
      <c r="V45" s="183"/>
      <c r="W45" s="183"/>
      <c r="X45" s="183"/>
      <c r="Y45" s="183"/>
      <c r="Z45" s="183"/>
      <c r="AA45" s="183"/>
    </row>
    <row r="46" spans="3:27" ht="30" customHeight="1">
      <c r="C46" s="446"/>
      <c r="D46" s="362"/>
      <c r="E46" s="406"/>
      <c r="F46" s="342"/>
      <c r="G46" s="1032"/>
      <c r="H46" s="447"/>
      <c r="I46" s="262"/>
      <c r="J46" s="262"/>
      <c r="K46" s="262"/>
      <c r="L46" s="262"/>
      <c r="M46" s="262"/>
      <c r="N46" s="262"/>
      <c r="O46" s="262"/>
      <c r="P46" s="262"/>
      <c r="Q46" s="404"/>
      <c r="R46" s="340"/>
      <c r="S46" s="183"/>
      <c r="T46" s="183"/>
      <c r="U46" s="183"/>
      <c r="V46" s="183"/>
      <c r="W46" s="183"/>
      <c r="X46" s="183"/>
      <c r="Y46" s="183"/>
      <c r="Z46" s="183"/>
      <c r="AA46" s="183"/>
    </row>
    <row r="47" spans="3:27" ht="30" customHeight="1">
      <c r="C47" s="446"/>
      <c r="D47" s="362"/>
      <c r="E47" s="406"/>
      <c r="F47" s="342"/>
      <c r="G47" s="1033"/>
      <c r="H47" s="447"/>
      <c r="I47" s="262"/>
      <c r="J47" s="262"/>
      <c r="K47" s="262"/>
      <c r="L47" s="262"/>
      <c r="M47" s="262"/>
      <c r="N47" s="262"/>
      <c r="O47" s="262"/>
      <c r="P47" s="262"/>
      <c r="Q47" s="404"/>
      <c r="R47" s="340"/>
      <c r="S47" s="183"/>
      <c r="T47" s="183"/>
      <c r="U47" s="183"/>
      <c r="V47" s="183"/>
      <c r="W47" s="183"/>
      <c r="X47" s="183"/>
      <c r="Y47" s="183"/>
      <c r="Z47" s="183"/>
      <c r="AA47" s="183"/>
    </row>
    <row r="48" spans="3:27" ht="30" customHeight="1" collapsed="1">
      <c r="C48" s="446"/>
      <c r="D48" s="451"/>
      <c r="E48" s="406"/>
      <c r="F48" s="448"/>
      <c r="G48" s="1033"/>
      <c r="H48" s="447"/>
      <c r="I48" s="262"/>
      <c r="J48" s="262"/>
      <c r="K48" s="262"/>
      <c r="L48" s="262"/>
      <c r="M48" s="262"/>
      <c r="N48" s="262"/>
      <c r="O48" s="262"/>
      <c r="P48" s="262"/>
      <c r="Q48" s="404"/>
      <c r="R48" s="340"/>
      <c r="S48" s="183"/>
      <c r="T48" s="183"/>
      <c r="U48" s="183"/>
      <c r="V48" s="183"/>
      <c r="W48" s="183"/>
      <c r="X48" s="214"/>
      <c r="Y48" s="452"/>
      <c r="Z48" s="183"/>
      <c r="AA48" s="183"/>
    </row>
    <row r="49" spans="3:27" ht="30" hidden="1" customHeight="1" outlineLevel="1">
      <c r="C49" s="446"/>
      <c r="D49" s="451"/>
      <c r="E49" s="406"/>
      <c r="F49" s="448"/>
      <c r="G49" s="1033"/>
      <c r="H49" s="447"/>
      <c r="I49" s="262"/>
      <c r="J49" s="262"/>
      <c r="K49" s="262"/>
      <c r="L49" s="262"/>
      <c r="M49" s="262"/>
      <c r="N49" s="262"/>
      <c r="O49" s="262"/>
      <c r="P49" s="262"/>
      <c r="Q49" s="404"/>
      <c r="R49" s="340"/>
      <c r="S49" s="183"/>
      <c r="T49" s="183"/>
      <c r="U49" s="183"/>
      <c r="V49" s="183"/>
      <c r="W49" s="183"/>
      <c r="X49" s="214"/>
      <c r="Y49" s="452"/>
      <c r="Z49" s="183"/>
      <c r="AA49" s="183"/>
    </row>
    <row r="50" spans="3:27" ht="30" hidden="1" customHeight="1" outlineLevel="1">
      <c r="C50" s="446"/>
      <c r="D50" s="451"/>
      <c r="E50" s="406"/>
      <c r="F50" s="448"/>
      <c r="G50" s="1033"/>
      <c r="H50" s="447"/>
      <c r="I50" s="262"/>
      <c r="J50" s="262"/>
      <c r="K50" s="262"/>
      <c r="L50" s="262"/>
      <c r="M50" s="262"/>
      <c r="N50" s="262"/>
      <c r="O50" s="262"/>
      <c r="P50" s="262"/>
      <c r="Q50" s="404"/>
      <c r="R50" s="340"/>
      <c r="S50" s="183"/>
      <c r="T50" s="183"/>
      <c r="U50" s="183"/>
      <c r="V50" s="183"/>
      <c r="W50" s="183"/>
      <c r="X50" s="214"/>
      <c r="Y50" s="452"/>
      <c r="Z50" s="183"/>
      <c r="AA50" s="183"/>
    </row>
    <row r="51" spans="3:27" ht="30" hidden="1" customHeight="1" outlineLevel="1">
      <c r="C51" s="446"/>
      <c r="D51" s="451"/>
      <c r="E51" s="406"/>
      <c r="F51" s="448"/>
      <c r="G51" s="1033"/>
      <c r="H51" s="447"/>
      <c r="I51" s="262"/>
      <c r="J51" s="262"/>
      <c r="K51" s="262"/>
      <c r="L51" s="262"/>
      <c r="M51" s="262"/>
      <c r="N51" s="262"/>
      <c r="O51" s="262"/>
      <c r="P51" s="262"/>
      <c r="Q51" s="404"/>
      <c r="R51" s="340"/>
      <c r="S51" s="183"/>
      <c r="T51" s="183"/>
      <c r="U51" s="183"/>
      <c r="V51" s="183"/>
      <c r="W51" s="183"/>
      <c r="X51" s="214"/>
      <c r="Y51" s="452"/>
      <c r="Z51" s="183"/>
      <c r="AA51" s="183"/>
    </row>
    <row r="52" spans="3:27" ht="30" hidden="1" customHeight="1" outlineLevel="1">
      <c r="C52" s="446"/>
      <c r="D52" s="451"/>
      <c r="E52" s="406"/>
      <c r="F52" s="448"/>
      <c r="G52" s="1033"/>
      <c r="H52" s="447"/>
      <c r="I52" s="262"/>
      <c r="J52" s="262"/>
      <c r="K52" s="262"/>
      <c r="L52" s="262"/>
      <c r="M52" s="262"/>
      <c r="N52" s="262"/>
      <c r="O52" s="262"/>
      <c r="P52" s="262"/>
      <c r="Q52" s="404"/>
      <c r="R52" s="340"/>
      <c r="S52" s="183"/>
      <c r="T52" s="183"/>
      <c r="U52" s="183"/>
      <c r="V52" s="183"/>
      <c r="W52" s="183"/>
      <c r="X52" s="214"/>
      <c r="Y52" s="452"/>
      <c r="Z52" s="183"/>
      <c r="AA52" s="183"/>
    </row>
    <row r="53" spans="3:27" ht="30" hidden="1" customHeight="1" outlineLevel="1">
      <c r="C53" s="446"/>
      <c r="D53" s="451"/>
      <c r="E53" s="406"/>
      <c r="F53" s="448"/>
      <c r="G53" s="1033"/>
      <c r="H53" s="447"/>
      <c r="I53" s="262"/>
      <c r="J53" s="262"/>
      <c r="K53" s="262"/>
      <c r="L53" s="262"/>
      <c r="M53" s="262"/>
      <c r="N53" s="262"/>
      <c r="O53" s="262"/>
      <c r="P53" s="262"/>
      <c r="Q53" s="404"/>
      <c r="R53" s="340"/>
      <c r="S53" s="183"/>
      <c r="T53" s="183"/>
      <c r="U53" s="183"/>
      <c r="V53" s="183"/>
      <c r="W53" s="183"/>
      <c r="X53" s="214"/>
      <c r="Y53" s="452"/>
      <c r="Z53" s="183"/>
      <c r="AA53" s="183"/>
    </row>
    <row r="54" spans="3:27" ht="30" hidden="1" customHeight="1" outlineLevel="1">
      <c r="C54" s="446"/>
      <c r="D54" s="451"/>
      <c r="E54" s="406"/>
      <c r="F54" s="448"/>
      <c r="G54" s="1033"/>
      <c r="H54" s="447"/>
      <c r="I54" s="262"/>
      <c r="J54" s="262"/>
      <c r="K54" s="262"/>
      <c r="L54" s="262"/>
      <c r="M54" s="262"/>
      <c r="N54" s="262"/>
      <c r="O54" s="262"/>
      <c r="P54" s="262"/>
      <c r="Q54" s="404"/>
      <c r="R54" s="340"/>
      <c r="S54" s="183"/>
      <c r="T54" s="183"/>
      <c r="U54" s="183"/>
      <c r="V54" s="183"/>
      <c r="W54" s="183"/>
      <c r="X54" s="214"/>
      <c r="Y54" s="452"/>
      <c r="Z54" s="183"/>
      <c r="AA54" s="183"/>
    </row>
    <row r="55" spans="3:27" ht="30" hidden="1" customHeight="1" outlineLevel="1">
      <c r="C55" s="446"/>
      <c r="D55" s="451"/>
      <c r="E55" s="406"/>
      <c r="F55" s="448"/>
      <c r="G55" s="1033"/>
      <c r="H55" s="447"/>
      <c r="I55" s="262"/>
      <c r="J55" s="262"/>
      <c r="K55" s="262"/>
      <c r="L55" s="262"/>
      <c r="M55" s="262"/>
      <c r="N55" s="262"/>
      <c r="O55" s="262"/>
      <c r="P55" s="262"/>
      <c r="Q55" s="404"/>
      <c r="R55" s="340"/>
      <c r="S55" s="183"/>
      <c r="T55" s="183"/>
      <c r="U55" s="183"/>
      <c r="V55" s="183"/>
      <c r="W55" s="183"/>
      <c r="X55" s="214"/>
      <c r="Y55" s="452"/>
      <c r="Z55" s="183"/>
      <c r="AA55" s="183"/>
    </row>
    <row r="56" spans="3:27" ht="30" hidden="1" customHeight="1" outlineLevel="1">
      <c r="C56" s="446"/>
      <c r="D56" s="451"/>
      <c r="E56" s="406"/>
      <c r="F56" s="448"/>
      <c r="G56" s="1033"/>
      <c r="H56" s="447"/>
      <c r="I56" s="262"/>
      <c r="J56" s="262"/>
      <c r="K56" s="262"/>
      <c r="L56" s="262"/>
      <c r="M56" s="262"/>
      <c r="N56" s="262"/>
      <c r="O56" s="262"/>
      <c r="P56" s="262"/>
      <c r="Q56" s="404"/>
      <c r="R56" s="340"/>
      <c r="S56" s="183"/>
      <c r="T56" s="183"/>
      <c r="U56" s="183"/>
      <c r="V56" s="183"/>
      <c r="W56" s="183"/>
      <c r="X56" s="214"/>
      <c r="Y56" s="452"/>
      <c r="Z56" s="183"/>
      <c r="AA56" s="183"/>
    </row>
    <row r="57" spans="3:27" ht="30" hidden="1" customHeight="1" outlineLevel="1">
      <c r="C57" s="446"/>
      <c r="D57" s="451"/>
      <c r="E57" s="406"/>
      <c r="F57" s="448"/>
      <c r="G57" s="1033"/>
      <c r="H57" s="447"/>
      <c r="I57" s="262"/>
      <c r="J57" s="262"/>
      <c r="K57" s="262"/>
      <c r="L57" s="262"/>
      <c r="M57" s="262"/>
      <c r="N57" s="262"/>
      <c r="O57" s="262"/>
      <c r="P57" s="262"/>
      <c r="Q57" s="404"/>
      <c r="R57" s="340"/>
      <c r="S57" s="183"/>
      <c r="T57" s="183"/>
      <c r="U57" s="183"/>
      <c r="V57" s="183"/>
      <c r="W57" s="183"/>
      <c r="X57" s="214"/>
      <c r="Y57" s="452"/>
      <c r="Z57" s="183"/>
      <c r="AA57" s="183"/>
    </row>
    <row r="58" spans="3:27" ht="30" hidden="1" customHeight="1" outlineLevel="1">
      <c r="C58" s="446"/>
      <c r="D58" s="362"/>
      <c r="E58" s="406"/>
      <c r="F58" s="448"/>
      <c r="G58" s="1033"/>
      <c r="H58" s="447"/>
      <c r="I58" s="262"/>
      <c r="J58" s="262"/>
      <c r="K58" s="262"/>
      <c r="L58" s="262"/>
      <c r="M58" s="262"/>
      <c r="N58" s="262"/>
      <c r="O58" s="262"/>
      <c r="P58" s="262"/>
      <c r="Q58" s="404"/>
      <c r="R58" s="340"/>
      <c r="S58" s="183"/>
      <c r="T58" s="183"/>
      <c r="U58" s="183"/>
      <c r="V58" s="183"/>
      <c r="W58" s="183"/>
      <c r="X58" s="183"/>
      <c r="Y58" s="183"/>
      <c r="Z58" s="183"/>
      <c r="AA58" s="183"/>
    </row>
    <row r="59" spans="3:27" ht="30" hidden="1" customHeight="1" outlineLevel="1">
      <c r="C59" s="446"/>
      <c r="D59" s="362"/>
      <c r="E59" s="406"/>
      <c r="F59" s="337"/>
      <c r="G59" s="1026"/>
      <c r="H59" s="447"/>
      <c r="I59" s="262"/>
      <c r="J59" s="262"/>
      <c r="K59" s="262"/>
      <c r="L59" s="262"/>
      <c r="M59" s="262"/>
      <c r="N59" s="262"/>
      <c r="O59" s="262"/>
      <c r="P59" s="262"/>
      <c r="Q59" s="404"/>
      <c r="R59" s="340"/>
      <c r="S59" s="183"/>
      <c r="T59" s="183"/>
      <c r="U59" s="183"/>
      <c r="V59" s="183"/>
      <c r="W59" s="183"/>
      <c r="X59" s="183"/>
      <c r="Y59" s="183"/>
      <c r="Z59" s="183"/>
      <c r="AA59" s="183"/>
    </row>
    <row r="60" spans="3:27" ht="30" customHeight="1">
      <c r="C60" s="444"/>
      <c r="D60" s="1569" t="s">
        <v>346</v>
      </c>
      <c r="E60" s="1591"/>
      <c r="F60" s="1592"/>
      <c r="G60" s="1593"/>
      <c r="H60" s="262"/>
      <c r="I60" s="262"/>
      <c r="J60" s="262"/>
      <c r="K60" s="262"/>
      <c r="L60" s="262"/>
      <c r="M60" s="262"/>
      <c r="N60" s="262"/>
      <c r="O60" s="262"/>
      <c r="P60" s="262"/>
      <c r="Q60" s="404"/>
      <c r="R60" s="340"/>
      <c r="S60" s="183"/>
      <c r="T60" s="183"/>
      <c r="U60" s="183"/>
      <c r="V60" s="183"/>
      <c r="W60" s="183"/>
      <c r="X60" s="183"/>
      <c r="Y60" s="183"/>
      <c r="Z60" s="183"/>
      <c r="AA60" s="183"/>
    </row>
    <row r="61" spans="3:27" ht="30" customHeight="1">
      <c r="C61" s="446"/>
      <c r="D61" s="362"/>
      <c r="E61" s="406"/>
      <c r="F61" s="342"/>
      <c r="G61" s="1027"/>
      <c r="H61" s="447"/>
      <c r="I61" s="262"/>
      <c r="J61" s="262"/>
      <c r="K61" s="262"/>
      <c r="L61" s="262"/>
      <c r="M61" s="262"/>
      <c r="N61" s="262"/>
      <c r="O61" s="262"/>
      <c r="P61" s="262"/>
      <c r="Q61" s="404"/>
      <c r="R61" s="340"/>
      <c r="S61" s="183"/>
      <c r="T61" s="183"/>
      <c r="U61" s="183"/>
      <c r="V61" s="183"/>
      <c r="W61" s="183"/>
      <c r="X61" s="183"/>
      <c r="Y61" s="183"/>
      <c r="Z61" s="183"/>
      <c r="AA61" s="183"/>
    </row>
    <row r="62" spans="3:27" ht="30" customHeight="1">
      <c r="C62" s="446"/>
      <c r="D62" s="362"/>
      <c r="E62" s="406"/>
      <c r="F62" s="342"/>
      <c r="G62" s="1032"/>
      <c r="H62" s="1594"/>
      <c r="I62" s="1596" t="s">
        <v>347</v>
      </c>
      <c r="J62" s="1597"/>
      <c r="K62" s="1597"/>
      <c r="L62" s="1597"/>
      <c r="M62" s="1597"/>
      <c r="N62" s="1597"/>
      <c r="O62" s="1597"/>
      <c r="P62" s="1597"/>
      <c r="Q62" s="1598"/>
      <c r="R62" s="340"/>
      <c r="S62" s="183"/>
      <c r="T62" s="183"/>
      <c r="U62" s="183"/>
      <c r="V62" s="183"/>
      <c r="W62" s="183"/>
      <c r="X62" s="183"/>
      <c r="Y62" s="183"/>
      <c r="Z62" s="183"/>
      <c r="AA62" s="183"/>
    </row>
    <row r="63" spans="3:27" ht="30" customHeight="1">
      <c r="C63" s="446"/>
      <c r="D63" s="451"/>
      <c r="E63" s="406"/>
      <c r="F63" s="448"/>
      <c r="G63" s="1033"/>
      <c r="H63" s="1595"/>
      <c r="I63" s="1599"/>
      <c r="J63" s="1599"/>
      <c r="K63" s="1599"/>
      <c r="L63" s="1599"/>
      <c r="M63" s="1599"/>
      <c r="N63" s="1599"/>
      <c r="O63" s="1599"/>
      <c r="P63" s="1599"/>
      <c r="Q63" s="1600"/>
      <c r="R63" s="340"/>
      <c r="S63" s="183"/>
      <c r="T63" s="183"/>
      <c r="U63" s="183"/>
      <c r="V63" s="183"/>
      <c r="W63" s="183"/>
      <c r="X63" s="214"/>
      <c r="Y63" s="452"/>
      <c r="Z63" s="183"/>
      <c r="AA63" s="183"/>
    </row>
    <row r="64" spans="3:27" ht="30" customHeight="1" collapsed="1">
      <c r="C64" s="446"/>
      <c r="D64" s="451"/>
      <c r="E64" s="406"/>
      <c r="F64" s="448"/>
      <c r="G64" s="1033"/>
      <c r="H64" s="1595"/>
      <c r="I64" s="1599"/>
      <c r="J64" s="1599"/>
      <c r="K64" s="1599"/>
      <c r="L64" s="1599"/>
      <c r="M64" s="1599"/>
      <c r="N64" s="1599"/>
      <c r="O64" s="1599"/>
      <c r="P64" s="1599"/>
      <c r="Q64" s="1600"/>
      <c r="R64" s="340"/>
      <c r="S64" s="183"/>
      <c r="T64" s="183"/>
      <c r="U64" s="183"/>
      <c r="V64" s="183"/>
      <c r="W64" s="183"/>
      <c r="X64" s="214"/>
      <c r="Y64" s="452"/>
      <c r="Z64" s="183"/>
      <c r="AA64" s="183"/>
    </row>
    <row r="65" spans="3:27" ht="30" hidden="1" customHeight="1" outlineLevel="1">
      <c r="C65" s="446"/>
      <c r="D65" s="451"/>
      <c r="E65" s="406"/>
      <c r="F65" s="448"/>
      <c r="G65" s="1033"/>
      <c r="H65" s="1595"/>
      <c r="I65" s="262"/>
      <c r="J65" s="262"/>
      <c r="K65" s="262"/>
      <c r="L65" s="262"/>
      <c r="M65" s="262"/>
      <c r="N65" s="262"/>
      <c r="O65" s="262"/>
      <c r="P65" s="262"/>
      <c r="Q65" s="404"/>
      <c r="R65" s="340"/>
      <c r="S65" s="183"/>
      <c r="T65" s="183"/>
      <c r="U65" s="183"/>
      <c r="V65" s="183"/>
      <c r="W65" s="183"/>
      <c r="X65" s="214"/>
      <c r="Y65" s="452"/>
      <c r="Z65" s="183"/>
      <c r="AA65" s="183"/>
    </row>
    <row r="66" spans="3:27" ht="30" hidden="1" customHeight="1" outlineLevel="1">
      <c r="C66" s="446"/>
      <c r="D66" s="451"/>
      <c r="E66" s="406"/>
      <c r="F66" s="448"/>
      <c r="G66" s="1033"/>
      <c r="H66" s="1595"/>
      <c r="I66" s="262"/>
      <c r="J66" s="262"/>
      <c r="K66" s="262"/>
      <c r="L66" s="262"/>
      <c r="M66" s="262"/>
      <c r="N66" s="262"/>
      <c r="O66" s="262"/>
      <c r="P66" s="262"/>
      <c r="Q66" s="404"/>
      <c r="R66" s="340"/>
      <c r="S66" s="183"/>
      <c r="T66" s="183"/>
      <c r="U66" s="183"/>
      <c r="V66" s="183"/>
      <c r="W66" s="183"/>
      <c r="X66" s="214"/>
      <c r="Y66" s="452"/>
      <c r="Z66" s="183"/>
      <c r="AA66" s="183"/>
    </row>
    <row r="67" spans="3:27" ht="30" hidden="1" customHeight="1" outlineLevel="1">
      <c r="C67" s="446"/>
      <c r="D67" s="451"/>
      <c r="E67" s="406"/>
      <c r="F67" s="448"/>
      <c r="G67" s="1033"/>
      <c r="H67" s="1595"/>
      <c r="I67" s="262"/>
      <c r="J67" s="262"/>
      <c r="K67" s="262"/>
      <c r="L67" s="262"/>
      <c r="M67" s="262"/>
      <c r="N67" s="262"/>
      <c r="O67" s="262"/>
      <c r="P67" s="262"/>
      <c r="Q67" s="404"/>
      <c r="R67" s="340"/>
      <c r="S67" s="183"/>
      <c r="T67" s="183"/>
      <c r="U67" s="183"/>
      <c r="V67" s="183"/>
      <c r="W67" s="183"/>
      <c r="X67" s="214"/>
      <c r="Y67" s="452"/>
      <c r="Z67" s="183"/>
      <c r="AA67" s="183"/>
    </row>
    <row r="68" spans="3:27" ht="30" hidden="1" customHeight="1" outlineLevel="1">
      <c r="C68" s="446"/>
      <c r="D68" s="451"/>
      <c r="E68" s="406"/>
      <c r="F68" s="448"/>
      <c r="G68" s="1033"/>
      <c r="H68" s="1595"/>
      <c r="I68" s="262"/>
      <c r="J68" s="262"/>
      <c r="K68" s="262"/>
      <c r="L68" s="262"/>
      <c r="M68" s="262"/>
      <c r="N68" s="262"/>
      <c r="O68" s="262"/>
      <c r="P68" s="262"/>
      <c r="Q68" s="404"/>
      <c r="R68" s="340"/>
      <c r="S68" s="183"/>
      <c r="T68" s="183"/>
      <c r="U68" s="183"/>
      <c r="V68" s="183"/>
      <c r="W68" s="183"/>
      <c r="X68" s="214"/>
      <c r="Y68" s="452"/>
      <c r="Z68" s="183"/>
      <c r="AA68" s="183"/>
    </row>
    <row r="69" spans="3:27" ht="30" hidden="1" customHeight="1" outlineLevel="1">
      <c r="C69" s="446"/>
      <c r="D69" s="451"/>
      <c r="E69" s="406"/>
      <c r="F69" s="448"/>
      <c r="G69" s="1033"/>
      <c r="H69" s="1595"/>
      <c r="I69" s="262"/>
      <c r="J69" s="262"/>
      <c r="K69" s="262"/>
      <c r="L69" s="262"/>
      <c r="M69" s="262"/>
      <c r="N69" s="262"/>
      <c r="O69" s="262"/>
      <c r="P69" s="262"/>
      <c r="Q69" s="404"/>
      <c r="R69" s="340"/>
      <c r="S69" s="183"/>
      <c r="T69" s="183"/>
      <c r="U69" s="183"/>
      <c r="V69" s="183"/>
      <c r="W69" s="183"/>
      <c r="X69" s="214"/>
      <c r="Y69" s="452"/>
      <c r="Z69" s="183"/>
      <c r="AA69" s="183"/>
    </row>
    <row r="70" spans="3:27" ht="30" hidden="1" customHeight="1" outlineLevel="1">
      <c r="C70" s="446"/>
      <c r="D70" s="451"/>
      <c r="E70" s="406"/>
      <c r="F70" s="448"/>
      <c r="G70" s="1033"/>
      <c r="H70" s="1595"/>
      <c r="I70" s="262"/>
      <c r="J70" s="262"/>
      <c r="K70" s="262"/>
      <c r="L70" s="262"/>
      <c r="M70" s="262"/>
      <c r="N70" s="262"/>
      <c r="O70" s="262"/>
      <c r="P70" s="262"/>
      <c r="Q70" s="404"/>
      <c r="R70" s="340"/>
      <c r="S70" s="183"/>
      <c r="T70" s="183"/>
      <c r="U70" s="183"/>
      <c r="V70" s="183"/>
      <c r="W70" s="183"/>
      <c r="X70" s="214"/>
      <c r="Y70" s="452"/>
      <c r="Z70" s="183"/>
      <c r="AA70" s="183"/>
    </row>
    <row r="71" spans="3:27" ht="30" hidden="1" customHeight="1" outlineLevel="1">
      <c r="C71" s="446"/>
      <c r="D71" s="451"/>
      <c r="E71" s="406"/>
      <c r="F71" s="448"/>
      <c r="G71" s="1033"/>
      <c r="H71" s="1595"/>
      <c r="I71" s="262"/>
      <c r="J71" s="262"/>
      <c r="K71" s="262"/>
      <c r="L71" s="262"/>
      <c r="M71" s="262"/>
      <c r="N71" s="262"/>
      <c r="O71" s="262"/>
      <c r="P71" s="262"/>
      <c r="Q71" s="404"/>
      <c r="R71" s="340"/>
      <c r="S71" s="183"/>
      <c r="T71" s="183"/>
      <c r="U71" s="183"/>
      <c r="V71" s="183"/>
      <c r="W71" s="183"/>
      <c r="X71" s="214"/>
      <c r="Y71" s="452"/>
      <c r="Z71" s="183"/>
      <c r="AA71" s="183"/>
    </row>
    <row r="72" spans="3:27" ht="30" hidden="1" customHeight="1" outlineLevel="1">
      <c r="C72" s="446"/>
      <c r="D72" s="451"/>
      <c r="E72" s="406"/>
      <c r="F72" s="448"/>
      <c r="G72" s="1033"/>
      <c r="H72" s="1595"/>
      <c r="I72" s="262"/>
      <c r="J72" s="262"/>
      <c r="K72" s="262"/>
      <c r="L72" s="262"/>
      <c r="M72" s="262"/>
      <c r="N72" s="262"/>
      <c r="O72" s="262"/>
      <c r="P72" s="262"/>
      <c r="Q72" s="404"/>
      <c r="R72" s="340"/>
      <c r="S72" s="183"/>
      <c r="T72" s="183"/>
      <c r="U72" s="183"/>
      <c r="V72" s="183"/>
      <c r="W72" s="183"/>
      <c r="X72" s="214"/>
      <c r="Y72" s="452"/>
      <c r="Z72" s="183"/>
      <c r="AA72" s="183"/>
    </row>
    <row r="73" spans="3:27" ht="30" hidden="1" customHeight="1" outlineLevel="1">
      <c r="C73" s="446"/>
      <c r="D73" s="362"/>
      <c r="E73" s="406"/>
      <c r="F73" s="342"/>
      <c r="G73" s="1033"/>
      <c r="H73" s="1595"/>
      <c r="I73" s="454"/>
      <c r="J73" s="455"/>
      <c r="K73" s="455"/>
      <c r="L73" s="455"/>
      <c r="M73" s="455"/>
      <c r="N73" s="455"/>
      <c r="O73" s="455"/>
      <c r="P73" s="455"/>
      <c r="Q73" s="456"/>
      <c r="R73" s="340"/>
      <c r="S73" s="183"/>
      <c r="T73" s="183"/>
      <c r="U73" s="183"/>
      <c r="V73" s="183"/>
      <c r="W73" s="183"/>
      <c r="X73" s="183"/>
      <c r="Y73" s="183"/>
      <c r="Z73" s="183"/>
      <c r="AA73" s="183"/>
    </row>
    <row r="74" spans="3:27" ht="30" hidden="1" customHeight="1" outlineLevel="1">
      <c r="C74" s="446"/>
      <c r="D74" s="362"/>
      <c r="E74" s="406"/>
      <c r="F74" s="448"/>
      <c r="G74" s="1033"/>
      <c r="H74" s="1595"/>
      <c r="I74" s="455"/>
      <c r="J74" s="455"/>
      <c r="K74" s="455"/>
      <c r="L74" s="455"/>
      <c r="M74" s="455"/>
      <c r="N74" s="455"/>
      <c r="O74" s="455"/>
      <c r="P74" s="455"/>
      <c r="Q74" s="456"/>
      <c r="R74" s="340"/>
      <c r="S74" s="183"/>
      <c r="T74" s="183"/>
      <c r="U74" s="183"/>
      <c r="V74" s="183"/>
      <c r="W74" s="183"/>
      <c r="X74" s="183"/>
      <c r="Y74" s="183"/>
      <c r="Z74" s="183"/>
      <c r="AA74" s="183"/>
    </row>
    <row r="75" spans="3:27" ht="30" hidden="1" customHeight="1" outlineLevel="1">
      <c r="C75" s="446"/>
      <c r="D75" s="362"/>
      <c r="E75" s="406"/>
      <c r="F75" s="337"/>
      <c r="G75" s="1026"/>
      <c r="H75" s="1595"/>
      <c r="I75" s="455"/>
      <c r="J75" s="455"/>
      <c r="K75" s="455"/>
      <c r="L75" s="455"/>
      <c r="M75" s="455"/>
      <c r="N75" s="455"/>
      <c r="O75" s="455"/>
      <c r="P75" s="455"/>
      <c r="Q75" s="456"/>
      <c r="R75" s="340"/>
      <c r="S75" s="183"/>
      <c r="T75" s="183"/>
      <c r="U75" s="183"/>
      <c r="V75" s="183"/>
      <c r="W75" s="183"/>
      <c r="X75" s="183"/>
      <c r="Y75" s="183"/>
      <c r="Z75" s="183"/>
      <c r="AA75" s="183"/>
    </row>
    <row r="76" spans="3:27" ht="30" customHeight="1" thickBot="1">
      <c r="C76" s="457"/>
      <c r="D76" s="1588" t="s">
        <v>203</v>
      </c>
      <c r="E76" s="1588"/>
      <c r="F76" s="458"/>
      <c r="G76" s="1028"/>
      <c r="H76" s="459"/>
      <c r="I76" s="460"/>
      <c r="J76" s="460"/>
      <c r="K76" s="460"/>
      <c r="L76" s="460"/>
      <c r="M76" s="460"/>
      <c r="N76" s="460"/>
      <c r="O76" s="460"/>
      <c r="P76" s="460"/>
      <c r="Q76" s="461"/>
      <c r="R76" s="340"/>
      <c r="S76" s="183"/>
      <c r="T76" s="183"/>
      <c r="U76" s="183"/>
      <c r="V76" s="183"/>
      <c r="W76" s="183"/>
      <c r="X76" s="183"/>
      <c r="Y76" s="183"/>
      <c r="Z76" s="183"/>
      <c r="AA76" s="183"/>
    </row>
    <row r="77" spans="3:27" ht="18" customHeight="1">
      <c r="C77" s="1589" t="s">
        <v>348</v>
      </c>
      <c r="D77" s="1589"/>
      <c r="E77" s="1589"/>
      <c r="F77" s="1589"/>
      <c r="G77" s="1589"/>
      <c r="H77" s="1589"/>
      <c r="I77" s="1589"/>
      <c r="J77" s="1589"/>
      <c r="K77" s="1589"/>
      <c r="L77" s="1589"/>
      <c r="M77" s="1589"/>
      <c r="N77" s="1589"/>
      <c r="O77" s="1589"/>
      <c r="P77" s="1589"/>
      <c r="Q77" s="1589"/>
    </row>
    <row r="78" spans="3:27" ht="18" customHeight="1">
      <c r="C78" s="1590"/>
      <c r="D78" s="1590"/>
      <c r="E78" s="1590"/>
      <c r="F78" s="1590"/>
      <c r="G78" s="1590"/>
      <c r="H78" s="1590"/>
      <c r="I78" s="1590"/>
      <c r="J78" s="1590"/>
      <c r="K78" s="1590"/>
      <c r="L78" s="1590"/>
      <c r="M78" s="1590"/>
      <c r="N78" s="1590"/>
      <c r="O78" s="1590"/>
      <c r="P78" s="1590"/>
      <c r="Q78" s="1590"/>
    </row>
    <row r="79" spans="3:27" ht="18" customHeight="1">
      <c r="C79" s="1590"/>
      <c r="D79" s="1590"/>
      <c r="E79" s="1590"/>
      <c r="F79" s="1590"/>
      <c r="G79" s="1590"/>
      <c r="H79" s="1590"/>
      <c r="I79" s="1590"/>
      <c r="J79" s="1590"/>
      <c r="K79" s="1590"/>
      <c r="L79" s="1590"/>
      <c r="M79" s="1590"/>
      <c r="N79" s="1590"/>
      <c r="O79" s="1590"/>
      <c r="P79" s="1590"/>
      <c r="Q79" s="1590"/>
    </row>
    <row r="80" spans="3:27" ht="18" customHeight="1">
      <c r="N80" s="396"/>
      <c r="O80" s="396"/>
      <c r="P80" s="396"/>
      <c r="Q80" s="396"/>
    </row>
    <row r="81" spans="2:19" ht="18" customHeight="1">
      <c r="N81" s="396"/>
      <c r="O81" s="396"/>
      <c r="P81" s="396"/>
      <c r="Q81" s="396"/>
    </row>
    <row r="82" spans="2:19" ht="18" customHeight="1">
      <c r="B82" s="396"/>
      <c r="R82" s="397"/>
      <c r="S82" s="396"/>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autoPict="0" r:id="rId5">
            <anchor moveWithCells="1">
              <from>
                <xdr:col>29</xdr:col>
                <xdr:colOff>142875</xdr:colOff>
                <xdr:row>3</xdr:row>
                <xdr:rowOff>161925</xdr:rowOff>
              </from>
              <to>
                <xdr:col>35</xdr:col>
                <xdr:colOff>66675</xdr:colOff>
                <xdr:row>6</xdr:row>
                <xdr:rowOff>47625</xdr:rowOff>
              </to>
            </anchor>
          </controlPr>
        </control>
      </mc:Choice>
      <mc:Fallback>
        <control shapeId="10245"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customWidth="1" outlineLevel="1"/>
    <col min="43" max="43" width="17.375" style="144" customWidth="1" outlineLevel="1"/>
    <col min="44" max="44" width="6.125" style="2" customWidth="1" outlineLevel="1"/>
    <col min="45" max="45" width="17.375" style="144" customWidth="1" outlineLevel="1"/>
    <col min="46" max="46" width="13.875" style="144" customWidth="1" outlineLevel="1"/>
    <col min="47" max="47" width="14.625" style="144" customWidth="1" outlineLevel="1"/>
    <col min="48" max="49" width="2.625" style="144" customWidth="1" outlineLevel="1"/>
    <col min="50"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294</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349</v>
      </c>
      <c r="C2" s="48"/>
      <c r="D2" s="48"/>
      <c r="E2" s="48"/>
      <c r="F2" s="48"/>
      <c r="G2" s="48"/>
      <c r="H2" s="48"/>
      <c r="I2" s="48"/>
      <c r="J2" s="48"/>
      <c r="K2" s="48"/>
      <c r="L2" s="48"/>
      <c r="M2" s="48"/>
      <c r="N2" s="48"/>
      <c r="O2" s="48"/>
      <c r="AK2" s="106" t="s">
        <v>349</v>
      </c>
      <c r="AL2" s="106"/>
      <c r="AM2" s="106"/>
      <c r="AS2" s="1090" t="s">
        <v>1367</v>
      </c>
    </row>
    <row r="3" spans="1:58" s="30" customFormat="1" ht="14.25" customHeight="1">
      <c r="B3" s="1739" t="s">
        <v>1407</v>
      </c>
      <c r="C3" s="1739"/>
      <c r="D3" s="1739"/>
      <c r="E3" s="1739"/>
      <c r="F3" s="1739"/>
      <c r="G3" s="1739"/>
      <c r="H3" s="1739"/>
      <c r="I3" s="1739"/>
      <c r="J3" s="1739"/>
      <c r="K3" s="1739"/>
      <c r="L3" s="1739"/>
      <c r="M3" s="1739"/>
      <c r="N3" s="1739"/>
      <c r="O3" s="1739"/>
      <c r="P3" s="1739"/>
      <c r="Q3" s="1739"/>
      <c r="R3" s="1739"/>
      <c r="S3" s="1739"/>
      <c r="T3" s="1739"/>
      <c r="U3" s="1739"/>
      <c r="V3" s="1739"/>
      <c r="W3" s="1739"/>
      <c r="X3" s="1739"/>
      <c r="Y3" s="1739"/>
      <c r="AB3" s="2"/>
      <c r="AC3" s="2"/>
      <c r="AK3" s="146" t="s">
        <v>278</v>
      </c>
      <c r="AL3" s="146"/>
      <c r="AM3" s="146"/>
      <c r="AN3" s="146"/>
      <c r="AO3" s="146"/>
      <c r="AP3" s="2"/>
      <c r="AQ3" s="146"/>
      <c r="AR3" s="2"/>
      <c r="AS3" s="1092">
        <v>2</v>
      </c>
      <c r="AT3" s="146"/>
      <c r="AU3" s="146"/>
      <c r="AV3" s="146"/>
      <c r="AW3" s="146"/>
      <c r="AX3" s="146"/>
      <c r="AY3" s="146"/>
      <c r="AZ3" s="146"/>
      <c r="BA3" s="146"/>
      <c r="BB3" s="146"/>
      <c r="BC3" s="146"/>
      <c r="BD3" s="146"/>
      <c r="BE3" s="146"/>
      <c r="BF3" s="146"/>
    </row>
    <row r="4" spans="1:58" s="30" customFormat="1" ht="14.25" customHeight="1">
      <c r="A4" s="106"/>
      <c r="B4" s="1739"/>
      <c r="C4" s="1739"/>
      <c r="D4" s="1739"/>
      <c r="E4" s="1739"/>
      <c r="F4" s="1739"/>
      <c r="G4" s="1739"/>
      <c r="H4" s="1739"/>
      <c r="I4" s="1739"/>
      <c r="J4" s="1739"/>
      <c r="K4" s="1739"/>
      <c r="L4" s="1739"/>
      <c r="M4" s="1739"/>
      <c r="N4" s="1739"/>
      <c r="O4" s="1739"/>
      <c r="P4" s="1739"/>
      <c r="Q4" s="1739"/>
      <c r="R4" s="1739"/>
      <c r="S4" s="1739"/>
      <c r="T4" s="1739"/>
      <c r="U4" s="1739"/>
      <c r="V4" s="1739"/>
      <c r="W4" s="1739"/>
      <c r="X4" s="1739"/>
      <c r="Y4" s="1739"/>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39"/>
      <c r="C5" s="1739"/>
      <c r="D5" s="1739"/>
      <c r="E5" s="1739"/>
      <c r="F5" s="1739"/>
      <c r="G5" s="1739"/>
      <c r="H5" s="1739"/>
      <c r="I5" s="1739"/>
      <c r="J5" s="1739"/>
      <c r="K5" s="1739"/>
      <c r="L5" s="1739"/>
      <c r="M5" s="1739"/>
      <c r="N5" s="1739"/>
      <c r="O5" s="1739"/>
      <c r="P5" s="1739"/>
      <c r="Q5" s="1739"/>
      <c r="R5" s="1739"/>
      <c r="S5" s="1739"/>
      <c r="T5" s="1739"/>
      <c r="U5" s="1739"/>
      <c r="V5" s="1739"/>
      <c r="W5" s="1739"/>
      <c r="X5" s="1739"/>
      <c r="Y5" s="1739"/>
    </row>
    <row r="6" spans="1:58" ht="14.1" customHeight="1">
      <c r="B6" s="1290" t="s">
        <v>299</v>
      </c>
      <c r="C6" s="1291"/>
      <c r="D6" s="1291"/>
      <c r="E6" s="1291"/>
      <c r="F6" s="1291"/>
      <c r="G6" s="1291"/>
      <c r="H6" s="1291"/>
      <c r="I6" s="1291"/>
      <c r="J6" s="1291"/>
      <c r="K6" s="1291"/>
      <c r="L6" s="1468"/>
      <c r="M6" s="1510" t="s">
        <v>350</v>
      </c>
      <c r="N6" s="462"/>
      <c r="O6" s="1208" t="s">
        <v>351</v>
      </c>
      <c r="P6" s="1212" t="s">
        <v>1406</v>
      </c>
      <c r="Q6" s="1688"/>
      <c r="R6" s="1689"/>
      <c r="AK6" s="1603" t="s">
        <v>299</v>
      </c>
      <c r="AL6" s="1603"/>
      <c r="AM6" s="1603"/>
      <c r="AN6" s="1603"/>
      <c r="AO6" s="1665" t="s">
        <v>350</v>
      </c>
      <c r="AP6" s="1666"/>
      <c r="AQ6" s="1665" t="s">
        <v>237</v>
      </c>
      <c r="AR6" s="1666"/>
      <c r="AS6" s="1671" t="s">
        <v>352</v>
      </c>
    </row>
    <row r="7" spans="1:58" ht="14.1" customHeight="1">
      <c r="B7" s="1275"/>
      <c r="C7" s="1276"/>
      <c r="D7" s="1276"/>
      <c r="E7" s="1276"/>
      <c r="F7" s="1276"/>
      <c r="G7" s="1276"/>
      <c r="H7" s="1276"/>
      <c r="I7" s="1276"/>
      <c r="J7" s="1276"/>
      <c r="K7" s="1276"/>
      <c r="L7" s="1277"/>
      <c r="M7" s="1511"/>
      <c r="N7" s="1673" t="s">
        <v>126</v>
      </c>
      <c r="O7" s="1532"/>
      <c r="P7" s="1690"/>
      <c r="Q7" s="1691"/>
      <c r="R7" s="1692"/>
      <c r="AK7" s="1603"/>
      <c r="AL7" s="1603"/>
      <c r="AM7" s="1603"/>
      <c r="AN7" s="1603"/>
      <c r="AO7" s="1667"/>
      <c r="AP7" s="1668"/>
      <c r="AQ7" s="1667"/>
      <c r="AR7" s="1668"/>
      <c r="AS7" s="1672"/>
    </row>
    <row r="8" spans="1:58" ht="14.1" customHeight="1" thickBot="1">
      <c r="B8" s="1265"/>
      <c r="C8" s="1266"/>
      <c r="D8" s="1266"/>
      <c r="E8" s="1266"/>
      <c r="F8" s="1266"/>
      <c r="G8" s="1266"/>
      <c r="H8" s="1266"/>
      <c r="I8" s="1266"/>
      <c r="J8" s="1266"/>
      <c r="K8" s="1266"/>
      <c r="L8" s="1267"/>
      <c r="M8" s="1687"/>
      <c r="N8" s="1674"/>
      <c r="O8" s="1210"/>
      <c r="P8" s="1693"/>
      <c r="Q8" s="1691"/>
      <c r="R8" s="1692"/>
      <c r="S8" s="183"/>
      <c r="T8" s="183"/>
      <c r="U8" s="183"/>
      <c r="V8" s="183"/>
      <c r="W8" s="183"/>
      <c r="X8" s="183"/>
      <c r="Y8" s="183"/>
      <c r="Z8" s="183"/>
      <c r="AA8" s="183"/>
      <c r="AK8" s="1603"/>
      <c r="AL8" s="1603"/>
      <c r="AM8" s="1603"/>
      <c r="AN8" s="1603"/>
      <c r="AO8" s="1669"/>
      <c r="AP8" s="1670"/>
      <c r="AQ8" s="1669"/>
      <c r="AR8" s="1670"/>
      <c r="AS8" s="1607"/>
    </row>
    <row r="9" spans="1:58" ht="30" customHeight="1" thickTop="1" thickBot="1">
      <c r="B9" s="1675" t="s">
        <v>353</v>
      </c>
      <c r="C9" s="1676"/>
      <c r="D9" s="1676"/>
      <c r="E9" s="1676"/>
      <c r="F9" s="1676"/>
      <c r="G9" s="1676"/>
      <c r="H9" s="1676"/>
      <c r="I9" s="1676"/>
      <c r="J9" s="1676"/>
      <c r="K9" s="1676"/>
      <c r="L9" s="1677"/>
      <c r="M9" s="463"/>
      <c r="N9" s="464" t="s">
        <v>354</v>
      </c>
      <c r="O9" s="465"/>
      <c r="P9" s="1678"/>
      <c r="Q9" s="1679"/>
      <c r="R9" s="1680"/>
      <c r="S9" s="183"/>
      <c r="T9" s="183"/>
      <c r="U9" s="183"/>
      <c r="V9" s="183"/>
      <c r="W9" s="183"/>
      <c r="X9" s="183"/>
      <c r="Y9" s="183"/>
      <c r="Z9" s="183"/>
      <c r="AA9" s="183"/>
      <c r="AK9" s="1736" t="s">
        <v>355</v>
      </c>
      <c r="AL9" s="1737"/>
      <c r="AM9" s="1737"/>
      <c r="AN9" s="1738"/>
      <c r="AO9" s="466"/>
      <c r="AP9" s="466"/>
      <c r="AQ9" s="466"/>
      <c r="AR9" s="466"/>
      <c r="AS9" s="341">
        <f>IF(O9&gt;0,ROUND(O9*P9%,),SUM(AS10:AS17))</f>
        <v>0</v>
      </c>
    </row>
    <row r="10" spans="1:58" ht="30" customHeight="1" thickTop="1">
      <c r="B10" s="467"/>
      <c r="C10" s="1729" t="s">
        <v>356</v>
      </c>
      <c r="D10" s="468"/>
      <c r="E10" s="1570" t="s">
        <v>357</v>
      </c>
      <c r="F10" s="1570"/>
      <c r="G10" s="1570"/>
      <c r="H10" s="1570"/>
      <c r="I10" s="1570"/>
      <c r="J10" s="1570"/>
      <c r="K10" s="1570"/>
      <c r="L10" s="469"/>
      <c r="M10" s="409"/>
      <c r="N10" s="470" t="s">
        <v>358</v>
      </c>
      <c r="O10" s="471"/>
      <c r="P10" s="1732"/>
      <c r="Q10" s="1733"/>
      <c r="R10" s="1734"/>
      <c r="S10" s="472"/>
      <c r="T10" s="183"/>
      <c r="U10" s="183"/>
      <c r="V10" s="183"/>
      <c r="W10" s="183"/>
      <c r="X10" s="183"/>
      <c r="Y10" s="183"/>
      <c r="Z10" s="183"/>
      <c r="AA10" s="183"/>
      <c r="AK10" s="473"/>
      <c r="AL10" s="1735" t="s">
        <v>356</v>
      </c>
      <c r="AM10" s="1725" t="s">
        <v>357</v>
      </c>
      <c r="AN10" s="1726"/>
      <c r="AO10" s="341">
        <f>ROUND(M10*P10%,)</f>
        <v>0</v>
      </c>
      <c r="AP10" s="474" t="s">
        <v>359</v>
      </c>
      <c r="AQ10" s="475">
        <f>IF(AND(AO10&gt;0,AS10&gt;0),ROUND(AS10/AO10,2),)</f>
        <v>0</v>
      </c>
      <c r="AR10" s="474" t="s">
        <v>360</v>
      </c>
      <c r="AS10" s="341">
        <f>ROUND(O10*P10%,)</f>
        <v>0</v>
      </c>
    </row>
    <row r="11" spans="1:58" ht="30" customHeight="1">
      <c r="B11" s="467"/>
      <c r="C11" s="1730"/>
      <c r="D11" s="468"/>
      <c r="E11" s="1570" t="s">
        <v>361</v>
      </c>
      <c r="F11" s="1570"/>
      <c r="G11" s="1570"/>
      <c r="H11" s="1570"/>
      <c r="I11" s="1570"/>
      <c r="J11" s="1570"/>
      <c r="K11" s="1570"/>
      <c r="L11" s="469"/>
      <c r="M11" s="476"/>
      <c r="N11" s="477" t="s">
        <v>362</v>
      </c>
      <c r="O11" s="478"/>
      <c r="P11" s="1722"/>
      <c r="Q11" s="1723"/>
      <c r="R11" s="1724"/>
      <c r="S11" s="472"/>
      <c r="T11" s="183"/>
      <c r="U11" s="183"/>
      <c r="V11" s="183"/>
      <c r="W11" s="183"/>
      <c r="X11" s="183"/>
      <c r="Y11" s="183"/>
      <c r="Z11" s="183"/>
      <c r="AA11" s="183"/>
      <c r="AD11" s="183"/>
      <c r="AE11" s="183"/>
      <c r="AF11" s="183"/>
      <c r="AG11" s="183"/>
      <c r="AK11" s="473"/>
      <c r="AL11" s="1735"/>
      <c r="AM11" s="1725" t="s">
        <v>361</v>
      </c>
      <c r="AN11" s="1726"/>
      <c r="AO11" s="341">
        <f t="shared" ref="AO11:AO15" si="0">ROUND(M11*P11%,)</f>
        <v>0</v>
      </c>
      <c r="AP11" s="474" t="s">
        <v>359</v>
      </c>
      <c r="AQ11" s="475">
        <f t="shared" ref="AQ11:AQ15" si="1">IF(AND(AO11&gt;0,AS11&gt;0),ROUND(AS11/AO11,2),)</f>
        <v>0</v>
      </c>
      <c r="AR11" s="474" t="s">
        <v>360</v>
      </c>
      <c r="AS11" s="341">
        <f t="shared" ref="AS11:AS17" si="2">ROUND(O11*P11%,)</f>
        <v>0</v>
      </c>
    </row>
    <row r="12" spans="1:58" ht="30" customHeight="1">
      <c r="B12" s="467"/>
      <c r="C12" s="1730"/>
      <c r="D12" s="468"/>
      <c r="E12" s="1570" t="s">
        <v>363</v>
      </c>
      <c r="F12" s="1570"/>
      <c r="G12" s="1570"/>
      <c r="H12" s="1570"/>
      <c r="I12" s="1570"/>
      <c r="J12" s="1570"/>
      <c r="K12" s="1570"/>
      <c r="L12" s="469"/>
      <c r="M12" s="476"/>
      <c r="N12" s="477" t="s">
        <v>364</v>
      </c>
      <c r="O12" s="478"/>
      <c r="P12" s="1722"/>
      <c r="Q12" s="1723"/>
      <c r="R12" s="1724"/>
      <c r="S12" s="472"/>
      <c r="T12" s="183"/>
      <c r="U12" s="183"/>
      <c r="V12" s="183"/>
      <c r="W12" s="183"/>
      <c r="X12" s="183"/>
      <c r="Y12" s="183"/>
      <c r="Z12" s="183"/>
      <c r="AA12" s="183"/>
      <c r="AD12" s="183"/>
      <c r="AE12" s="183"/>
      <c r="AF12" s="183"/>
      <c r="AG12" s="183"/>
      <c r="AK12" s="473"/>
      <c r="AL12" s="1735"/>
      <c r="AM12" s="1725" t="s">
        <v>363</v>
      </c>
      <c r="AN12" s="1726"/>
      <c r="AO12" s="341">
        <f t="shared" si="0"/>
        <v>0</v>
      </c>
      <c r="AP12" s="474" t="s">
        <v>359</v>
      </c>
      <c r="AQ12" s="475">
        <f t="shared" si="1"/>
        <v>0</v>
      </c>
      <c r="AR12" s="474" t="s">
        <v>360</v>
      </c>
      <c r="AS12" s="341">
        <f t="shared" si="2"/>
        <v>0</v>
      </c>
    </row>
    <row r="13" spans="1:58" ht="30" customHeight="1">
      <c r="B13" s="467"/>
      <c r="C13" s="1730"/>
      <c r="D13" s="468"/>
      <c r="E13" s="1570" t="s">
        <v>365</v>
      </c>
      <c r="F13" s="1570"/>
      <c r="G13" s="1570"/>
      <c r="H13" s="1570"/>
      <c r="I13" s="1570"/>
      <c r="J13" s="1570"/>
      <c r="K13" s="1570"/>
      <c r="L13" s="469"/>
      <c r="M13" s="476"/>
      <c r="N13" s="477" t="s">
        <v>362</v>
      </c>
      <c r="O13" s="478"/>
      <c r="P13" s="1722"/>
      <c r="Q13" s="1723"/>
      <c r="R13" s="1724"/>
      <c r="S13" s="472"/>
      <c r="T13" s="183"/>
      <c r="U13" s="183"/>
      <c r="V13" s="183"/>
      <c r="W13" s="183"/>
      <c r="X13" s="183"/>
      <c r="Y13" s="183"/>
      <c r="Z13" s="183"/>
      <c r="AA13" s="183"/>
      <c r="AD13" s="183"/>
      <c r="AE13" s="183"/>
      <c r="AF13" s="183"/>
      <c r="AG13" s="183"/>
      <c r="AK13" s="473"/>
      <c r="AL13" s="1735"/>
      <c r="AM13" s="1725" t="s">
        <v>366</v>
      </c>
      <c r="AN13" s="1726"/>
      <c r="AO13" s="341">
        <f t="shared" si="0"/>
        <v>0</v>
      </c>
      <c r="AP13" s="474" t="s">
        <v>359</v>
      </c>
      <c r="AQ13" s="475">
        <f t="shared" si="1"/>
        <v>0</v>
      </c>
      <c r="AR13" s="474" t="s">
        <v>360</v>
      </c>
      <c r="AS13" s="341">
        <f t="shared" si="2"/>
        <v>0</v>
      </c>
    </row>
    <row r="14" spans="1:58" ht="30" customHeight="1">
      <c r="B14" s="467"/>
      <c r="C14" s="1730"/>
      <c r="D14" s="468"/>
      <c r="E14" s="1570" t="s">
        <v>367</v>
      </c>
      <c r="F14" s="1570"/>
      <c r="G14" s="1570"/>
      <c r="H14" s="1570"/>
      <c r="I14" s="1570"/>
      <c r="J14" s="1570"/>
      <c r="K14" s="1570"/>
      <c r="L14" s="469"/>
      <c r="M14" s="476"/>
      <c r="N14" s="477" t="s">
        <v>362</v>
      </c>
      <c r="O14" s="478"/>
      <c r="P14" s="1722"/>
      <c r="Q14" s="1723"/>
      <c r="R14" s="1724"/>
      <c r="S14" s="472"/>
      <c r="T14" s="183"/>
      <c r="U14" s="183"/>
      <c r="V14" s="183"/>
      <c r="W14" s="183"/>
      <c r="X14" s="183"/>
      <c r="Y14" s="183"/>
      <c r="Z14" s="183"/>
      <c r="AA14" s="183"/>
      <c r="AD14" s="183"/>
      <c r="AE14" s="183"/>
      <c r="AF14" s="183"/>
      <c r="AG14" s="183"/>
      <c r="AK14" s="473"/>
      <c r="AL14" s="1735"/>
      <c r="AM14" s="1725" t="s">
        <v>367</v>
      </c>
      <c r="AN14" s="1726"/>
      <c r="AO14" s="341">
        <f>ROUND(M14*P14%,)</f>
        <v>0</v>
      </c>
      <c r="AP14" s="474" t="s">
        <v>359</v>
      </c>
      <c r="AQ14" s="475">
        <f t="shared" si="1"/>
        <v>0</v>
      </c>
      <c r="AR14" s="474" t="s">
        <v>360</v>
      </c>
      <c r="AS14" s="341">
        <f t="shared" si="2"/>
        <v>0</v>
      </c>
    </row>
    <row r="15" spans="1:58" ht="30" customHeight="1">
      <c r="B15" s="467"/>
      <c r="C15" s="1731"/>
      <c r="D15" s="479"/>
      <c r="E15" s="1557" t="s">
        <v>368</v>
      </c>
      <c r="F15" s="1557"/>
      <c r="G15" s="1557"/>
      <c r="H15" s="1557"/>
      <c r="I15" s="1557"/>
      <c r="J15" s="1557"/>
      <c r="K15" s="1557"/>
      <c r="L15" s="480"/>
      <c r="M15" s="481"/>
      <c r="N15" s="477" t="s">
        <v>362</v>
      </c>
      <c r="O15" s="478"/>
      <c r="P15" s="1722"/>
      <c r="Q15" s="1723"/>
      <c r="R15" s="1724"/>
      <c r="S15" s="472"/>
      <c r="T15" s="183"/>
      <c r="U15" s="183"/>
      <c r="V15" s="183"/>
      <c r="W15" s="183"/>
      <c r="X15" s="183"/>
      <c r="Y15" s="183"/>
      <c r="Z15" s="183"/>
      <c r="AA15" s="183"/>
      <c r="AD15" s="183"/>
      <c r="AE15" s="183"/>
      <c r="AF15" s="183"/>
      <c r="AG15" s="183"/>
      <c r="AK15" s="473"/>
      <c r="AL15" s="1735"/>
      <c r="AM15" s="1725" t="s">
        <v>368</v>
      </c>
      <c r="AN15" s="1726"/>
      <c r="AO15" s="341">
        <f t="shared" si="0"/>
        <v>0</v>
      </c>
      <c r="AP15" s="474" t="s">
        <v>359</v>
      </c>
      <c r="AQ15" s="475">
        <f t="shared" si="1"/>
        <v>0</v>
      </c>
      <c r="AR15" s="474" t="s">
        <v>360</v>
      </c>
      <c r="AS15" s="341">
        <f t="shared" si="2"/>
        <v>0</v>
      </c>
    </row>
    <row r="16" spans="1:58" ht="30" customHeight="1">
      <c r="B16" s="482"/>
      <c r="C16" s="1542" t="s">
        <v>369</v>
      </c>
      <c r="D16" s="1727"/>
      <c r="E16" s="1727"/>
      <c r="F16" s="1727"/>
      <c r="G16" s="1727"/>
      <c r="H16" s="1727"/>
      <c r="I16" s="1727"/>
      <c r="J16" s="1727"/>
      <c r="K16" s="1727"/>
      <c r="L16" s="1728"/>
      <c r="M16" s="463"/>
      <c r="N16" s="483" t="s">
        <v>370</v>
      </c>
      <c r="O16" s="478"/>
      <c r="P16" s="1722"/>
      <c r="Q16" s="1723"/>
      <c r="R16" s="1724"/>
      <c r="S16" s="472"/>
      <c r="T16" s="183"/>
      <c r="U16" s="183"/>
      <c r="V16" s="183"/>
      <c r="W16" s="183"/>
      <c r="X16" s="183"/>
      <c r="Y16" s="183"/>
      <c r="Z16" s="183"/>
      <c r="AA16" s="183"/>
      <c r="AD16" s="183"/>
      <c r="AE16" s="183"/>
      <c r="AF16" s="183"/>
      <c r="AG16" s="183"/>
      <c r="AK16" s="473"/>
      <c r="AL16" s="1400" t="s">
        <v>371</v>
      </c>
      <c r="AM16" s="1401"/>
      <c r="AN16" s="1402"/>
      <c r="AO16" s="466"/>
      <c r="AP16" s="466"/>
      <c r="AQ16" s="466"/>
      <c r="AR16" s="466"/>
      <c r="AS16" s="341">
        <f t="shared" si="2"/>
        <v>0</v>
      </c>
    </row>
    <row r="17" spans="2:45" ht="30" customHeight="1" thickBot="1">
      <c r="B17" s="484"/>
      <c r="C17" s="1701" t="s">
        <v>372</v>
      </c>
      <c r="D17" s="1702"/>
      <c r="E17" s="1702"/>
      <c r="F17" s="1702"/>
      <c r="G17" s="1702"/>
      <c r="H17" s="1702"/>
      <c r="I17" s="1702"/>
      <c r="J17" s="1702"/>
      <c r="K17" s="1702"/>
      <c r="L17" s="1703"/>
      <c r="M17" s="485"/>
      <c r="N17" s="486" t="s">
        <v>373</v>
      </c>
      <c r="O17" s="487"/>
      <c r="P17" s="1704"/>
      <c r="Q17" s="1705"/>
      <c r="R17" s="1706"/>
      <c r="S17" s="472"/>
      <c r="T17" s="183"/>
      <c r="U17" s="183"/>
      <c r="V17" s="183"/>
      <c r="W17" s="183"/>
      <c r="X17" s="183"/>
      <c r="Y17" s="183"/>
      <c r="Z17" s="183"/>
      <c r="AA17" s="183"/>
      <c r="AD17" s="183"/>
      <c r="AE17" s="183"/>
      <c r="AF17" s="183"/>
      <c r="AG17" s="183"/>
      <c r="AK17" s="473"/>
      <c r="AL17" s="1707" t="s">
        <v>374</v>
      </c>
      <c r="AM17" s="1708"/>
      <c r="AN17" s="1709"/>
      <c r="AO17" s="488"/>
      <c r="AP17" s="488"/>
      <c r="AQ17" s="488"/>
      <c r="AR17" s="488"/>
      <c r="AS17" s="489">
        <f t="shared" si="2"/>
        <v>0</v>
      </c>
    </row>
    <row r="18" spans="2:45" ht="30" customHeight="1" thickTop="1">
      <c r="B18" s="1619" t="s">
        <v>279</v>
      </c>
      <c r="C18" s="1620"/>
      <c r="D18" s="1710"/>
      <c r="E18" s="1711"/>
      <c r="F18" s="1711"/>
      <c r="G18" s="1711"/>
      <c r="H18" s="1711"/>
      <c r="I18" s="1711"/>
      <c r="J18" s="1711"/>
      <c r="K18" s="1711"/>
      <c r="L18" s="1712"/>
      <c r="M18" s="490"/>
      <c r="N18" s="491"/>
      <c r="O18" s="1625"/>
      <c r="P18" s="1713"/>
      <c r="Q18" s="1714"/>
      <c r="R18" s="1715"/>
      <c r="S18" s="492"/>
      <c r="T18" s="183"/>
      <c r="U18" s="183"/>
      <c r="V18" s="183"/>
      <c r="W18" s="183"/>
      <c r="X18" s="183"/>
      <c r="Y18" s="183"/>
      <c r="Z18" s="183"/>
      <c r="AA18" s="183"/>
      <c r="AD18" s="183"/>
      <c r="AE18" s="183"/>
      <c r="AF18" s="183"/>
      <c r="AG18" s="183"/>
      <c r="AK18" s="1716" t="s">
        <v>279</v>
      </c>
      <c r="AL18" s="1717"/>
      <c r="AM18" s="1685">
        <f t="shared" ref="AM18:AM32" si="3">D18</f>
        <v>0</v>
      </c>
      <c r="AN18" s="1685"/>
      <c r="AO18" s="341">
        <f t="shared" ref="AO18:AO32" si="4">ROUND(M18*P18%,)</f>
        <v>0</v>
      </c>
      <c r="AP18" s="386">
        <f t="shared" ref="AP18:AP32" si="5">N18</f>
        <v>0</v>
      </c>
      <c r="AQ18" s="493"/>
      <c r="AR18" s="494" t="str">
        <f t="shared" ref="AR18:AR32" si="6">"円/"&amp;AP18</f>
        <v>円/0</v>
      </c>
      <c r="AS18" s="341">
        <f>ROUND(AO18*AQ18,)</f>
        <v>0</v>
      </c>
    </row>
    <row r="19" spans="2:45" ht="30" customHeight="1" collapsed="1" thickBot="1">
      <c r="B19" s="1497"/>
      <c r="C19" s="1621"/>
      <c r="D19" s="1631"/>
      <c r="E19" s="1632"/>
      <c r="F19" s="1632"/>
      <c r="G19" s="1632"/>
      <c r="H19" s="1632"/>
      <c r="I19" s="1632"/>
      <c r="J19" s="1632"/>
      <c r="K19" s="1632"/>
      <c r="L19" s="1700"/>
      <c r="M19" s="495"/>
      <c r="N19" s="496"/>
      <c r="O19" s="1626"/>
      <c r="P19" s="1697"/>
      <c r="Q19" s="1698"/>
      <c r="R19" s="1699"/>
      <c r="S19" s="492"/>
      <c r="T19" s="183"/>
      <c r="U19" s="183"/>
      <c r="V19" s="183"/>
      <c r="W19" s="183"/>
      <c r="X19" s="183"/>
      <c r="Y19" s="183"/>
      <c r="Z19" s="183"/>
      <c r="AA19" s="183"/>
      <c r="AD19" s="183"/>
      <c r="AE19" s="183"/>
      <c r="AF19" s="183"/>
      <c r="AG19" s="183"/>
      <c r="AK19" s="1718"/>
      <c r="AL19" s="1719"/>
      <c r="AM19" s="1685">
        <f t="shared" si="3"/>
        <v>0</v>
      </c>
      <c r="AN19" s="1685"/>
      <c r="AO19" s="341">
        <f t="shared" si="4"/>
        <v>0</v>
      </c>
      <c r="AP19" s="386">
        <f t="shared" si="5"/>
        <v>0</v>
      </c>
      <c r="AQ19" s="497"/>
      <c r="AR19" s="494" t="str">
        <f t="shared" si="6"/>
        <v>円/0</v>
      </c>
      <c r="AS19" s="341">
        <f t="shared" ref="AS19:AS32" si="7">ROUND(AO19*AQ19,)</f>
        <v>0</v>
      </c>
    </row>
    <row r="20" spans="2:45" ht="30" hidden="1" customHeight="1" outlineLevel="1">
      <c r="B20" s="1497"/>
      <c r="C20" s="1621"/>
      <c r="D20" s="1694"/>
      <c r="E20" s="1695"/>
      <c r="F20" s="1695"/>
      <c r="G20" s="1695"/>
      <c r="H20" s="1695"/>
      <c r="I20" s="1695"/>
      <c r="J20" s="1695"/>
      <c r="K20" s="1695"/>
      <c r="L20" s="1696"/>
      <c r="M20" s="498"/>
      <c r="N20" s="499"/>
      <c r="O20" s="1626"/>
      <c r="P20" s="1697"/>
      <c r="Q20" s="1698"/>
      <c r="R20" s="1699"/>
      <c r="S20" s="492"/>
      <c r="T20" s="183"/>
      <c r="U20" s="183"/>
      <c r="V20" s="183"/>
      <c r="W20" s="183"/>
      <c r="X20" s="183"/>
      <c r="Y20" s="183"/>
      <c r="Z20" s="183"/>
      <c r="AA20" s="183"/>
      <c r="AD20" s="183"/>
      <c r="AE20" s="183"/>
      <c r="AF20" s="183"/>
      <c r="AG20" s="183"/>
      <c r="AK20" s="1718"/>
      <c r="AL20" s="1719"/>
      <c r="AM20" s="1685">
        <f t="shared" si="3"/>
        <v>0</v>
      </c>
      <c r="AN20" s="1685"/>
      <c r="AO20" s="341">
        <f t="shared" si="4"/>
        <v>0</v>
      </c>
      <c r="AP20" s="386">
        <f t="shared" si="5"/>
        <v>0</v>
      </c>
      <c r="AQ20" s="497"/>
      <c r="AR20" s="494" t="str">
        <f t="shared" si="6"/>
        <v>円/0</v>
      </c>
      <c r="AS20" s="341">
        <f t="shared" si="7"/>
        <v>0</v>
      </c>
    </row>
    <row r="21" spans="2:45" ht="30" hidden="1" customHeight="1" outlineLevel="1">
      <c r="B21" s="1497"/>
      <c r="C21" s="1621"/>
      <c r="D21" s="1694"/>
      <c r="E21" s="1695"/>
      <c r="F21" s="1695"/>
      <c r="G21" s="1695"/>
      <c r="H21" s="1695"/>
      <c r="I21" s="1695"/>
      <c r="J21" s="1695"/>
      <c r="K21" s="1695"/>
      <c r="L21" s="1696"/>
      <c r="M21" s="498"/>
      <c r="N21" s="499"/>
      <c r="O21" s="1626"/>
      <c r="P21" s="1697"/>
      <c r="Q21" s="1698"/>
      <c r="R21" s="1699"/>
      <c r="S21" s="492"/>
      <c r="T21" s="183"/>
      <c r="U21" s="183"/>
      <c r="V21" s="183"/>
      <c r="W21" s="183"/>
      <c r="X21" s="183"/>
      <c r="Y21" s="183"/>
      <c r="Z21" s="183"/>
      <c r="AA21" s="183"/>
      <c r="AD21" s="183"/>
      <c r="AE21" s="183"/>
      <c r="AF21" s="183"/>
      <c r="AG21" s="183"/>
      <c r="AK21" s="1718"/>
      <c r="AL21" s="1719"/>
      <c r="AM21" s="1685">
        <f t="shared" si="3"/>
        <v>0</v>
      </c>
      <c r="AN21" s="1685"/>
      <c r="AO21" s="341">
        <f t="shared" si="4"/>
        <v>0</v>
      </c>
      <c r="AP21" s="386">
        <f t="shared" si="5"/>
        <v>0</v>
      </c>
      <c r="AQ21" s="497"/>
      <c r="AR21" s="494" t="str">
        <f t="shared" si="6"/>
        <v>円/0</v>
      </c>
      <c r="AS21" s="341">
        <f t="shared" si="7"/>
        <v>0</v>
      </c>
    </row>
    <row r="22" spans="2:45" ht="30" hidden="1" customHeight="1" outlineLevel="1">
      <c r="B22" s="1497"/>
      <c r="C22" s="1621"/>
      <c r="D22" s="1631"/>
      <c r="E22" s="1632"/>
      <c r="F22" s="1632"/>
      <c r="G22" s="1632"/>
      <c r="H22" s="1632"/>
      <c r="I22" s="1632"/>
      <c r="J22" s="1632"/>
      <c r="K22" s="1632"/>
      <c r="L22" s="1700"/>
      <c r="M22" s="495"/>
      <c r="N22" s="496"/>
      <c r="O22" s="1626"/>
      <c r="P22" s="1697"/>
      <c r="Q22" s="1698"/>
      <c r="R22" s="1699"/>
      <c r="S22" s="492"/>
      <c r="T22" s="183"/>
      <c r="U22" s="183"/>
      <c r="V22" s="183"/>
      <c r="W22" s="183"/>
      <c r="X22" s="183"/>
      <c r="Y22" s="183"/>
      <c r="Z22" s="183"/>
      <c r="AA22" s="183"/>
      <c r="AD22" s="183"/>
      <c r="AE22" s="183"/>
      <c r="AF22" s="183"/>
      <c r="AG22" s="183"/>
      <c r="AK22" s="1718"/>
      <c r="AL22" s="1719"/>
      <c r="AM22" s="1685">
        <f t="shared" si="3"/>
        <v>0</v>
      </c>
      <c r="AN22" s="1685"/>
      <c r="AO22" s="341">
        <f t="shared" si="4"/>
        <v>0</v>
      </c>
      <c r="AP22" s="386">
        <f t="shared" si="5"/>
        <v>0</v>
      </c>
      <c r="AQ22" s="497"/>
      <c r="AR22" s="494" t="str">
        <f t="shared" si="6"/>
        <v>円/0</v>
      </c>
      <c r="AS22" s="341">
        <f t="shared" si="7"/>
        <v>0</v>
      </c>
    </row>
    <row r="23" spans="2:45" ht="30" hidden="1" customHeight="1" outlineLevel="1">
      <c r="B23" s="1497"/>
      <c r="C23" s="1621"/>
      <c r="D23" s="1694"/>
      <c r="E23" s="1695"/>
      <c r="F23" s="1695"/>
      <c r="G23" s="1695"/>
      <c r="H23" s="1695"/>
      <c r="I23" s="1695"/>
      <c r="J23" s="1695"/>
      <c r="K23" s="1695"/>
      <c r="L23" s="1696"/>
      <c r="M23" s="498"/>
      <c r="N23" s="499"/>
      <c r="O23" s="1626"/>
      <c r="P23" s="1697"/>
      <c r="Q23" s="1698"/>
      <c r="R23" s="1699"/>
      <c r="S23" s="492"/>
      <c r="T23" s="183"/>
      <c r="U23" s="183"/>
      <c r="V23" s="183"/>
      <c r="W23" s="183"/>
      <c r="X23" s="183"/>
      <c r="Y23" s="183"/>
      <c r="Z23" s="183"/>
      <c r="AA23" s="183"/>
      <c r="AD23" s="183"/>
      <c r="AE23" s="183"/>
      <c r="AF23" s="183"/>
      <c r="AG23" s="183"/>
      <c r="AK23" s="1718"/>
      <c r="AL23" s="1719"/>
      <c r="AM23" s="1685">
        <f t="shared" si="3"/>
        <v>0</v>
      </c>
      <c r="AN23" s="1685"/>
      <c r="AO23" s="341">
        <f t="shared" si="4"/>
        <v>0</v>
      </c>
      <c r="AP23" s="386">
        <f t="shared" si="5"/>
        <v>0</v>
      </c>
      <c r="AQ23" s="497"/>
      <c r="AR23" s="494" t="str">
        <f t="shared" si="6"/>
        <v>円/0</v>
      </c>
      <c r="AS23" s="341">
        <f t="shared" si="7"/>
        <v>0</v>
      </c>
    </row>
    <row r="24" spans="2:45" ht="30" hidden="1" customHeight="1" outlineLevel="1">
      <c r="B24" s="1497"/>
      <c r="C24" s="1621"/>
      <c r="D24" s="1631"/>
      <c r="E24" s="1632"/>
      <c r="F24" s="1632"/>
      <c r="G24" s="1632"/>
      <c r="H24" s="1632"/>
      <c r="I24" s="1632"/>
      <c r="J24" s="1632"/>
      <c r="K24" s="1632"/>
      <c r="L24" s="1700"/>
      <c r="M24" s="495"/>
      <c r="N24" s="496"/>
      <c r="O24" s="1626"/>
      <c r="P24" s="1697"/>
      <c r="Q24" s="1698"/>
      <c r="R24" s="1699"/>
      <c r="S24" s="492"/>
      <c r="T24" s="183"/>
      <c r="U24" s="183"/>
      <c r="V24" s="183"/>
      <c r="W24" s="183"/>
      <c r="X24" s="183"/>
      <c r="Y24" s="183"/>
      <c r="Z24" s="183"/>
      <c r="AA24" s="183"/>
      <c r="AD24" s="183"/>
      <c r="AE24" s="183"/>
      <c r="AF24" s="183"/>
      <c r="AG24" s="183"/>
      <c r="AK24" s="1718"/>
      <c r="AL24" s="1719"/>
      <c r="AM24" s="1685">
        <f t="shared" si="3"/>
        <v>0</v>
      </c>
      <c r="AN24" s="1685"/>
      <c r="AO24" s="341">
        <f t="shared" si="4"/>
        <v>0</v>
      </c>
      <c r="AP24" s="386">
        <f t="shared" si="5"/>
        <v>0</v>
      </c>
      <c r="AQ24" s="497"/>
      <c r="AR24" s="494" t="str">
        <f t="shared" si="6"/>
        <v>円/0</v>
      </c>
      <c r="AS24" s="341">
        <f t="shared" si="7"/>
        <v>0</v>
      </c>
    </row>
    <row r="25" spans="2:45" ht="30" hidden="1" customHeight="1" outlineLevel="1">
      <c r="B25" s="1497"/>
      <c r="C25" s="1621"/>
      <c r="D25" s="1694"/>
      <c r="E25" s="1695"/>
      <c r="F25" s="1695"/>
      <c r="G25" s="1695"/>
      <c r="H25" s="1695"/>
      <c r="I25" s="1695"/>
      <c r="J25" s="1695"/>
      <c r="K25" s="1695"/>
      <c r="L25" s="1696"/>
      <c r="M25" s="498"/>
      <c r="N25" s="499"/>
      <c r="O25" s="1626"/>
      <c r="P25" s="1697"/>
      <c r="Q25" s="1698"/>
      <c r="R25" s="1699"/>
      <c r="S25" s="492"/>
      <c r="T25" s="183"/>
      <c r="U25" s="183"/>
      <c r="V25" s="183"/>
      <c r="W25" s="183"/>
      <c r="X25" s="183"/>
      <c r="Y25" s="183"/>
      <c r="Z25" s="183"/>
      <c r="AA25" s="183"/>
      <c r="AD25" s="183"/>
      <c r="AE25" s="183"/>
      <c r="AF25" s="183"/>
      <c r="AG25" s="183"/>
      <c r="AK25" s="1718"/>
      <c r="AL25" s="1719"/>
      <c r="AM25" s="1685">
        <f t="shared" si="3"/>
        <v>0</v>
      </c>
      <c r="AN25" s="1685"/>
      <c r="AO25" s="341">
        <f t="shared" si="4"/>
        <v>0</v>
      </c>
      <c r="AP25" s="386">
        <f t="shared" si="5"/>
        <v>0</v>
      </c>
      <c r="AQ25" s="497"/>
      <c r="AR25" s="494" t="str">
        <f t="shared" si="6"/>
        <v>円/0</v>
      </c>
      <c r="AS25" s="341">
        <f t="shared" si="7"/>
        <v>0</v>
      </c>
    </row>
    <row r="26" spans="2:45" ht="30" hidden="1" customHeight="1" outlineLevel="1">
      <c r="B26" s="1497"/>
      <c r="C26" s="1621"/>
      <c r="D26" s="1694"/>
      <c r="E26" s="1695"/>
      <c r="F26" s="1695"/>
      <c r="G26" s="1695"/>
      <c r="H26" s="1695"/>
      <c r="I26" s="1695"/>
      <c r="J26" s="1695"/>
      <c r="K26" s="1695"/>
      <c r="L26" s="1696"/>
      <c r="M26" s="498"/>
      <c r="N26" s="499"/>
      <c r="O26" s="1626"/>
      <c r="P26" s="1697"/>
      <c r="Q26" s="1698"/>
      <c r="R26" s="1699"/>
      <c r="S26" s="492"/>
      <c r="T26" s="183"/>
      <c r="U26" s="183"/>
      <c r="V26" s="183"/>
      <c r="W26" s="183"/>
      <c r="X26" s="183"/>
      <c r="Y26" s="183"/>
      <c r="Z26" s="183"/>
      <c r="AA26" s="183"/>
      <c r="AD26" s="183"/>
      <c r="AE26" s="183"/>
      <c r="AF26" s="183"/>
      <c r="AG26" s="183"/>
      <c r="AK26" s="1718"/>
      <c r="AL26" s="1719"/>
      <c r="AM26" s="1685">
        <f t="shared" si="3"/>
        <v>0</v>
      </c>
      <c r="AN26" s="1685"/>
      <c r="AO26" s="341">
        <f t="shared" si="4"/>
        <v>0</v>
      </c>
      <c r="AP26" s="386">
        <f t="shared" si="5"/>
        <v>0</v>
      </c>
      <c r="AQ26" s="497"/>
      <c r="AR26" s="494" t="str">
        <f t="shared" si="6"/>
        <v>円/0</v>
      </c>
      <c r="AS26" s="341">
        <f t="shared" si="7"/>
        <v>0</v>
      </c>
    </row>
    <row r="27" spans="2:45" ht="30" hidden="1" customHeight="1" outlineLevel="1">
      <c r="B27" s="1497"/>
      <c r="C27" s="1621"/>
      <c r="D27" s="1694"/>
      <c r="E27" s="1695"/>
      <c r="F27" s="1695"/>
      <c r="G27" s="1695"/>
      <c r="H27" s="1695"/>
      <c r="I27" s="1695"/>
      <c r="J27" s="1695"/>
      <c r="K27" s="1695"/>
      <c r="L27" s="1696"/>
      <c r="M27" s="498"/>
      <c r="N27" s="499"/>
      <c r="O27" s="1626"/>
      <c r="P27" s="1697"/>
      <c r="Q27" s="1698"/>
      <c r="R27" s="1699"/>
      <c r="S27" s="492"/>
      <c r="T27" s="183"/>
      <c r="U27" s="183"/>
      <c r="V27" s="183"/>
      <c r="W27" s="183"/>
      <c r="X27" s="183"/>
      <c r="Y27" s="183"/>
      <c r="Z27" s="183"/>
      <c r="AA27" s="183"/>
      <c r="AD27" s="183"/>
      <c r="AE27" s="183"/>
      <c r="AF27" s="183"/>
      <c r="AG27" s="183"/>
      <c r="AK27" s="1718"/>
      <c r="AL27" s="1719"/>
      <c r="AM27" s="1685">
        <f t="shared" si="3"/>
        <v>0</v>
      </c>
      <c r="AN27" s="1685"/>
      <c r="AO27" s="341">
        <f t="shared" si="4"/>
        <v>0</v>
      </c>
      <c r="AP27" s="386">
        <f t="shared" si="5"/>
        <v>0</v>
      </c>
      <c r="AQ27" s="497"/>
      <c r="AR27" s="494" t="str">
        <f t="shared" si="6"/>
        <v>円/0</v>
      </c>
      <c r="AS27" s="341">
        <f t="shared" si="7"/>
        <v>0</v>
      </c>
    </row>
    <row r="28" spans="2:45" ht="30" hidden="1" customHeight="1" outlineLevel="1">
      <c r="B28" s="1497"/>
      <c r="C28" s="1621"/>
      <c r="D28" s="1694"/>
      <c r="E28" s="1695"/>
      <c r="F28" s="1695"/>
      <c r="G28" s="1695"/>
      <c r="H28" s="1695"/>
      <c r="I28" s="1695"/>
      <c r="J28" s="1695"/>
      <c r="K28" s="1695"/>
      <c r="L28" s="1696"/>
      <c r="M28" s="498"/>
      <c r="N28" s="499"/>
      <c r="O28" s="1626"/>
      <c r="P28" s="1697"/>
      <c r="Q28" s="1698"/>
      <c r="R28" s="1699"/>
      <c r="S28" s="492"/>
      <c r="T28" s="183"/>
      <c r="U28" s="183"/>
      <c r="V28" s="183"/>
      <c r="W28" s="183"/>
      <c r="X28" s="183"/>
      <c r="Y28" s="183"/>
      <c r="Z28" s="183"/>
      <c r="AA28" s="183"/>
      <c r="AD28" s="183"/>
      <c r="AE28" s="183"/>
      <c r="AF28" s="183"/>
      <c r="AG28" s="183"/>
      <c r="AK28" s="1718"/>
      <c r="AL28" s="1719"/>
      <c r="AM28" s="1685">
        <f t="shared" si="3"/>
        <v>0</v>
      </c>
      <c r="AN28" s="1685"/>
      <c r="AO28" s="341">
        <f t="shared" si="4"/>
        <v>0</v>
      </c>
      <c r="AP28" s="386">
        <f t="shared" si="5"/>
        <v>0</v>
      </c>
      <c r="AQ28" s="497"/>
      <c r="AR28" s="494" t="str">
        <f t="shared" si="6"/>
        <v>円/0</v>
      </c>
      <c r="AS28" s="341">
        <f t="shared" si="7"/>
        <v>0</v>
      </c>
    </row>
    <row r="29" spans="2:45" ht="30" hidden="1" customHeight="1" outlineLevel="1">
      <c r="B29" s="1497"/>
      <c r="C29" s="1621"/>
      <c r="D29" s="1631"/>
      <c r="E29" s="1632"/>
      <c r="F29" s="1632"/>
      <c r="G29" s="1632"/>
      <c r="H29" s="1632"/>
      <c r="I29" s="1632"/>
      <c r="J29" s="1632"/>
      <c r="K29" s="1632"/>
      <c r="L29" s="1700"/>
      <c r="M29" s="495"/>
      <c r="N29" s="496"/>
      <c r="O29" s="1626"/>
      <c r="P29" s="1697"/>
      <c r="Q29" s="1698"/>
      <c r="R29" s="1699"/>
      <c r="S29" s="492"/>
      <c r="T29" s="183"/>
      <c r="U29" s="183"/>
      <c r="V29" s="183"/>
      <c r="W29" s="183"/>
      <c r="X29" s="183"/>
      <c r="Y29" s="183"/>
      <c r="Z29" s="183"/>
      <c r="AA29" s="183"/>
      <c r="AD29" s="183"/>
      <c r="AE29" s="183"/>
      <c r="AF29" s="183"/>
      <c r="AG29" s="183"/>
      <c r="AK29" s="1718"/>
      <c r="AL29" s="1719"/>
      <c r="AM29" s="1685">
        <f t="shared" si="3"/>
        <v>0</v>
      </c>
      <c r="AN29" s="1685"/>
      <c r="AO29" s="341">
        <f t="shared" si="4"/>
        <v>0</v>
      </c>
      <c r="AP29" s="386">
        <f t="shared" si="5"/>
        <v>0</v>
      </c>
      <c r="AQ29" s="497"/>
      <c r="AR29" s="494" t="str">
        <f t="shared" si="6"/>
        <v>円/0</v>
      </c>
      <c r="AS29" s="341">
        <f t="shared" si="7"/>
        <v>0</v>
      </c>
    </row>
    <row r="30" spans="2:45" ht="30" hidden="1" customHeight="1" outlineLevel="1">
      <c r="B30" s="1497"/>
      <c r="C30" s="1621"/>
      <c r="D30" s="1694"/>
      <c r="E30" s="1695"/>
      <c r="F30" s="1695"/>
      <c r="G30" s="1695"/>
      <c r="H30" s="1695"/>
      <c r="I30" s="1695"/>
      <c r="J30" s="1695"/>
      <c r="K30" s="1695"/>
      <c r="L30" s="1696"/>
      <c r="M30" s="498"/>
      <c r="N30" s="499"/>
      <c r="O30" s="1626"/>
      <c r="P30" s="1697"/>
      <c r="Q30" s="1698"/>
      <c r="R30" s="1699"/>
      <c r="S30" s="492"/>
      <c r="T30" s="183"/>
      <c r="U30" s="183"/>
      <c r="V30" s="183"/>
      <c r="W30" s="183"/>
      <c r="X30" s="183"/>
      <c r="Y30" s="183"/>
      <c r="Z30" s="183"/>
      <c r="AA30" s="183"/>
      <c r="AD30" s="183"/>
      <c r="AE30" s="183"/>
      <c r="AF30" s="183"/>
      <c r="AG30" s="183"/>
      <c r="AK30" s="1718"/>
      <c r="AL30" s="1719"/>
      <c r="AM30" s="1685">
        <f t="shared" si="3"/>
        <v>0</v>
      </c>
      <c r="AN30" s="1685"/>
      <c r="AO30" s="341">
        <f t="shared" si="4"/>
        <v>0</v>
      </c>
      <c r="AP30" s="386">
        <f t="shared" si="5"/>
        <v>0</v>
      </c>
      <c r="AQ30" s="497"/>
      <c r="AR30" s="494" t="str">
        <f t="shared" si="6"/>
        <v>円/0</v>
      </c>
      <c r="AS30" s="341">
        <f t="shared" si="7"/>
        <v>0</v>
      </c>
    </row>
    <row r="31" spans="2:45" ht="30" hidden="1" customHeight="1" outlineLevel="1">
      <c r="B31" s="1497"/>
      <c r="C31" s="1621"/>
      <c r="D31" s="1694"/>
      <c r="E31" s="1695"/>
      <c r="F31" s="1695"/>
      <c r="G31" s="1695"/>
      <c r="H31" s="1695"/>
      <c r="I31" s="1695"/>
      <c r="J31" s="1695"/>
      <c r="K31" s="1695"/>
      <c r="L31" s="1696"/>
      <c r="M31" s="498"/>
      <c r="N31" s="499"/>
      <c r="O31" s="1626"/>
      <c r="P31" s="1697"/>
      <c r="Q31" s="1698"/>
      <c r="R31" s="1699"/>
      <c r="S31" s="492"/>
      <c r="T31" s="183"/>
      <c r="U31" s="183"/>
      <c r="V31" s="183"/>
      <c r="W31" s="183"/>
      <c r="X31" s="183"/>
      <c r="Y31" s="183"/>
      <c r="Z31" s="183"/>
      <c r="AA31" s="183"/>
      <c r="AD31" s="183"/>
      <c r="AE31" s="183"/>
      <c r="AF31" s="183"/>
      <c r="AG31" s="183"/>
      <c r="AK31" s="1718"/>
      <c r="AL31" s="1719"/>
      <c r="AM31" s="1685">
        <f t="shared" si="3"/>
        <v>0</v>
      </c>
      <c r="AN31" s="1685"/>
      <c r="AO31" s="341">
        <f t="shared" si="4"/>
        <v>0</v>
      </c>
      <c r="AP31" s="386">
        <f t="shared" si="5"/>
        <v>0</v>
      </c>
      <c r="AQ31" s="497"/>
      <c r="AR31" s="494" t="str">
        <f t="shared" si="6"/>
        <v>円/0</v>
      </c>
      <c r="AS31" s="341">
        <f t="shared" si="7"/>
        <v>0</v>
      </c>
    </row>
    <row r="32" spans="2:45" ht="30" hidden="1" customHeight="1" outlineLevel="1" thickBot="1">
      <c r="B32" s="1497"/>
      <c r="C32" s="1621"/>
      <c r="D32" s="1637"/>
      <c r="E32" s="1638"/>
      <c r="F32" s="1638"/>
      <c r="G32" s="1638"/>
      <c r="H32" s="1638"/>
      <c r="I32" s="1638"/>
      <c r="J32" s="1638"/>
      <c r="K32" s="1638"/>
      <c r="L32" s="1681"/>
      <c r="M32" s="500"/>
      <c r="N32" s="501"/>
      <c r="O32" s="1626"/>
      <c r="P32" s="1682"/>
      <c r="Q32" s="1683"/>
      <c r="R32" s="1684"/>
      <c r="S32" s="492"/>
      <c r="T32" s="183"/>
      <c r="U32" s="183"/>
      <c r="V32" s="183"/>
      <c r="W32" s="183"/>
      <c r="X32" s="183"/>
      <c r="Y32" s="183"/>
      <c r="Z32" s="183"/>
      <c r="AA32" s="183"/>
      <c r="AD32" s="183"/>
      <c r="AE32" s="183"/>
      <c r="AF32" s="183"/>
      <c r="AG32" s="183"/>
      <c r="AK32" s="1720"/>
      <c r="AL32" s="1721"/>
      <c r="AM32" s="1685">
        <f t="shared" si="3"/>
        <v>0</v>
      </c>
      <c r="AN32" s="1685"/>
      <c r="AO32" s="341">
        <f t="shared" si="4"/>
        <v>0</v>
      </c>
      <c r="AP32" s="386">
        <f t="shared" si="5"/>
        <v>0</v>
      </c>
      <c r="AQ32" s="502"/>
      <c r="AR32" s="494" t="str">
        <f t="shared" si="6"/>
        <v>円/0</v>
      </c>
      <c r="AS32" s="341">
        <f t="shared" si="7"/>
        <v>0</v>
      </c>
    </row>
    <row r="33" spans="1:58" ht="30" customHeight="1" thickTop="1">
      <c r="B33" s="1060" t="s">
        <v>1304</v>
      </c>
      <c r="C33" s="391"/>
      <c r="D33" s="392"/>
      <c r="E33" s="392"/>
      <c r="F33" s="392"/>
      <c r="G33" s="392"/>
      <c r="H33" s="392"/>
      <c r="I33" s="392"/>
      <c r="J33" s="392"/>
      <c r="K33" s="392"/>
      <c r="L33" s="392"/>
      <c r="M33" s="392"/>
      <c r="N33" s="392"/>
      <c r="O33" s="391"/>
      <c r="P33" s="392"/>
      <c r="Q33" s="392"/>
      <c r="R33" s="392"/>
      <c r="AK33" s="1607" t="s">
        <v>375</v>
      </c>
      <c r="AL33" s="1607"/>
      <c r="AM33" s="1603"/>
      <c r="AN33" s="1603"/>
      <c r="AO33" s="466"/>
      <c r="AP33" s="466"/>
      <c r="AQ33" s="503"/>
      <c r="AR33" s="466"/>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376</v>
      </c>
    </row>
    <row r="36" spans="1:58" ht="32.25" customHeight="1">
      <c r="AD36" s="183"/>
      <c r="AE36" s="183"/>
      <c r="AF36" s="183"/>
      <c r="AG36" s="183"/>
    </row>
    <row r="37" spans="1:58" s="30" customFormat="1" ht="14.25" customHeight="1">
      <c r="A37" s="2"/>
      <c r="B37" s="106" t="s">
        <v>377</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377</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86" t="s">
        <v>1408</v>
      </c>
      <c r="C38" s="1686"/>
      <c r="D38" s="1686"/>
      <c r="E38" s="1686"/>
      <c r="F38" s="1686"/>
      <c r="G38" s="1686"/>
      <c r="H38" s="1686"/>
      <c r="I38" s="1686"/>
      <c r="J38" s="1686"/>
      <c r="K38" s="1686"/>
      <c r="L38" s="1686"/>
      <c r="M38" s="1686"/>
      <c r="N38" s="1686"/>
      <c r="O38" s="1686"/>
      <c r="P38" s="1686"/>
      <c r="Q38" s="1686"/>
      <c r="R38" s="1686"/>
      <c r="S38" s="1686"/>
      <c r="T38" s="1686"/>
      <c r="U38" s="1686"/>
      <c r="V38" s="1686"/>
      <c r="W38" s="1686"/>
      <c r="X38" s="1686"/>
      <c r="Y38" s="1686"/>
      <c r="AB38" s="2"/>
      <c r="AC38" s="2"/>
      <c r="AD38" s="194"/>
      <c r="AE38" s="194"/>
      <c r="AF38" s="194"/>
      <c r="AG38" s="194"/>
      <c r="AK38" s="146"/>
      <c r="AL38" s="146"/>
      <c r="AM38" s="146"/>
      <c r="AN38" s="146"/>
      <c r="AO38" s="146"/>
      <c r="AQ38" s="146"/>
      <c r="AS38" s="1094" t="s">
        <v>1367</v>
      </c>
      <c r="AT38" s="1093" t="s">
        <v>1378</v>
      </c>
      <c r="AU38" s="1093" t="s">
        <v>1379</v>
      </c>
      <c r="AV38" s="146"/>
      <c r="AW38" s="146"/>
      <c r="AX38" s="146"/>
      <c r="AY38" s="146"/>
      <c r="AZ38" s="146"/>
      <c r="BA38" s="146"/>
      <c r="BB38" s="146"/>
      <c r="BC38" s="146"/>
      <c r="BD38" s="146"/>
      <c r="BE38" s="146"/>
      <c r="BF38" s="146"/>
    </row>
    <row r="39" spans="1:58" s="30" customFormat="1" ht="14.25" customHeight="1">
      <c r="A39" s="67"/>
      <c r="B39" s="1686"/>
      <c r="C39" s="1686"/>
      <c r="D39" s="1686"/>
      <c r="E39" s="1686"/>
      <c r="F39" s="1686"/>
      <c r="G39" s="1686"/>
      <c r="H39" s="1686"/>
      <c r="I39" s="1686"/>
      <c r="J39" s="1686"/>
      <c r="K39" s="1686"/>
      <c r="L39" s="1686"/>
      <c r="M39" s="1686"/>
      <c r="N39" s="1686"/>
      <c r="O39" s="1686"/>
      <c r="P39" s="1686"/>
      <c r="Q39" s="1686"/>
      <c r="R39" s="1686"/>
      <c r="S39" s="1686"/>
      <c r="T39" s="1686"/>
      <c r="U39" s="1686"/>
      <c r="V39" s="1686"/>
      <c r="W39" s="1686"/>
      <c r="X39" s="1686"/>
      <c r="Y39" s="1686"/>
      <c r="AB39" s="2"/>
      <c r="AC39" s="2"/>
      <c r="AK39" s="146"/>
      <c r="AL39" s="146"/>
      <c r="AM39" s="146"/>
      <c r="AN39" s="146"/>
      <c r="AO39" s="146"/>
      <c r="AP39" s="2"/>
      <c r="AQ39" s="146"/>
      <c r="AR39" s="2"/>
      <c r="AS39" s="1095"/>
      <c r="AT39" s="1092">
        <v>4</v>
      </c>
      <c r="AU39" s="1092">
        <v>2</v>
      </c>
      <c r="AV39" s="146"/>
      <c r="AW39" s="146"/>
      <c r="AX39" s="146"/>
      <c r="AY39" s="146"/>
      <c r="AZ39" s="146"/>
      <c r="BA39" s="146"/>
      <c r="BB39" s="146"/>
      <c r="BC39" s="146"/>
      <c r="BD39" s="146"/>
      <c r="BE39" s="146"/>
      <c r="BF39" s="146"/>
    </row>
    <row r="40" spans="1:58" ht="14.25" customHeight="1">
      <c r="A40" s="67"/>
      <c r="B40" s="1686"/>
      <c r="C40" s="1686"/>
      <c r="D40" s="1686"/>
      <c r="E40" s="1686"/>
      <c r="F40" s="1686"/>
      <c r="G40" s="1686"/>
      <c r="H40" s="1686"/>
      <c r="I40" s="1686"/>
      <c r="J40" s="1686"/>
      <c r="K40" s="1686"/>
      <c r="L40" s="1686"/>
      <c r="M40" s="1686"/>
      <c r="N40" s="1686"/>
      <c r="O40" s="1686"/>
      <c r="P40" s="1686"/>
      <c r="Q40" s="1686"/>
      <c r="R40" s="1686"/>
      <c r="S40" s="1686"/>
      <c r="T40" s="1686"/>
      <c r="U40" s="1686"/>
      <c r="V40" s="1686"/>
      <c r="W40" s="1686"/>
      <c r="X40" s="1686"/>
      <c r="Y40" s="1686"/>
      <c r="Z40" s="30"/>
      <c r="AA40" s="30"/>
    </row>
    <row r="41" spans="1:58" ht="14.25" customHeight="1" thickBot="1">
      <c r="A41" s="67"/>
      <c r="B41" s="1686"/>
      <c r="C41" s="1686"/>
      <c r="D41" s="1686"/>
      <c r="E41" s="1686"/>
      <c r="F41" s="1686"/>
      <c r="G41" s="1686"/>
      <c r="H41" s="1686"/>
      <c r="I41" s="1686"/>
      <c r="J41" s="1686"/>
      <c r="K41" s="1686"/>
      <c r="L41" s="1686"/>
      <c r="M41" s="1686"/>
      <c r="N41" s="1686"/>
      <c r="O41" s="1686"/>
      <c r="P41" s="1686"/>
      <c r="Q41" s="1686"/>
      <c r="R41" s="1686"/>
      <c r="S41" s="1686"/>
      <c r="T41" s="1686"/>
      <c r="U41" s="1686"/>
      <c r="V41" s="1686"/>
      <c r="W41" s="1686"/>
      <c r="X41" s="1686"/>
      <c r="Y41" s="1686"/>
      <c r="Z41" s="30"/>
      <c r="AA41" s="30"/>
      <c r="AK41" s="146" t="s">
        <v>278</v>
      </c>
      <c r="AL41" s="146"/>
      <c r="AM41" s="146"/>
      <c r="AN41" s="146"/>
      <c r="AO41" s="146"/>
      <c r="AQ41" s="146"/>
      <c r="AS41" s="146"/>
    </row>
    <row r="42" spans="1:58" ht="14.25" customHeight="1">
      <c r="A42" s="329"/>
      <c r="B42" s="1290" t="s">
        <v>299</v>
      </c>
      <c r="C42" s="1291"/>
      <c r="D42" s="1291"/>
      <c r="E42" s="1291"/>
      <c r="F42" s="1291"/>
      <c r="G42" s="1291"/>
      <c r="H42" s="1291"/>
      <c r="I42" s="1291"/>
      <c r="J42" s="1291"/>
      <c r="K42" s="1291"/>
      <c r="L42" s="1468"/>
      <c r="M42" s="1510" t="s">
        <v>350</v>
      </c>
      <c r="N42" s="462"/>
      <c r="O42" s="1208" t="s">
        <v>351</v>
      </c>
      <c r="P42" s="1212" t="s">
        <v>1406</v>
      </c>
      <c r="Q42" s="1688"/>
      <c r="R42" s="1689"/>
      <c r="W42" s="30"/>
      <c r="X42" s="30"/>
      <c r="Y42" s="30"/>
      <c r="Z42" s="30"/>
      <c r="AA42" s="30"/>
      <c r="AK42" s="1603" t="s">
        <v>299</v>
      </c>
      <c r="AL42" s="1603"/>
      <c r="AM42" s="1603"/>
      <c r="AN42" s="1603"/>
      <c r="AO42" s="1665" t="s">
        <v>350</v>
      </c>
      <c r="AP42" s="1666"/>
      <c r="AQ42" s="1665" t="s">
        <v>237</v>
      </c>
      <c r="AR42" s="1666"/>
      <c r="AS42" s="1671" t="s">
        <v>378</v>
      </c>
    </row>
    <row r="43" spans="1:58" ht="13.5" customHeight="1">
      <c r="A43" s="329"/>
      <c r="B43" s="1275"/>
      <c r="C43" s="1276"/>
      <c r="D43" s="1276"/>
      <c r="E43" s="1276"/>
      <c r="F43" s="1276"/>
      <c r="G43" s="1276"/>
      <c r="H43" s="1276"/>
      <c r="I43" s="1276"/>
      <c r="J43" s="1276"/>
      <c r="K43" s="1276"/>
      <c r="L43" s="1277"/>
      <c r="M43" s="1511"/>
      <c r="N43" s="1673" t="s">
        <v>126</v>
      </c>
      <c r="O43" s="1532"/>
      <c r="P43" s="1690"/>
      <c r="Q43" s="1691"/>
      <c r="R43" s="1692"/>
      <c r="AK43" s="1603"/>
      <c r="AL43" s="1603"/>
      <c r="AM43" s="1603"/>
      <c r="AN43" s="1603"/>
      <c r="AO43" s="1667"/>
      <c r="AP43" s="1668"/>
      <c r="AQ43" s="1667"/>
      <c r="AR43" s="1668"/>
      <c r="AS43" s="1672"/>
    </row>
    <row r="44" spans="1:58" ht="18" customHeight="1" thickBot="1">
      <c r="B44" s="1265"/>
      <c r="C44" s="1266"/>
      <c r="D44" s="1266"/>
      <c r="E44" s="1266"/>
      <c r="F44" s="1266"/>
      <c r="G44" s="1266"/>
      <c r="H44" s="1266"/>
      <c r="I44" s="1266"/>
      <c r="J44" s="1266"/>
      <c r="K44" s="1266"/>
      <c r="L44" s="1267"/>
      <c r="M44" s="1687"/>
      <c r="N44" s="1674"/>
      <c r="O44" s="1532"/>
      <c r="P44" s="1693"/>
      <c r="Q44" s="1691"/>
      <c r="R44" s="1692"/>
      <c r="S44" s="183"/>
      <c r="T44" s="183"/>
      <c r="U44" s="183"/>
      <c r="V44" s="183"/>
      <c r="W44" s="183"/>
      <c r="X44" s="183"/>
      <c r="AK44" s="1603"/>
      <c r="AL44" s="1603"/>
      <c r="AM44" s="1603"/>
      <c r="AN44" s="1603"/>
      <c r="AO44" s="1669"/>
      <c r="AP44" s="1670"/>
      <c r="AQ44" s="1669"/>
      <c r="AR44" s="1670"/>
      <c r="AS44" s="1607"/>
    </row>
    <row r="45" spans="1:58" ht="30" customHeight="1" thickTop="1" thickBot="1">
      <c r="B45" s="1675" t="s">
        <v>353</v>
      </c>
      <c r="C45" s="1676"/>
      <c r="D45" s="1676"/>
      <c r="E45" s="1676"/>
      <c r="F45" s="1676"/>
      <c r="G45" s="1676"/>
      <c r="H45" s="1676"/>
      <c r="I45" s="1676"/>
      <c r="J45" s="1676"/>
      <c r="K45" s="1676"/>
      <c r="L45" s="1677"/>
      <c r="M45" s="463"/>
      <c r="N45" s="464" t="s">
        <v>379</v>
      </c>
      <c r="O45" s="504"/>
      <c r="P45" s="1678"/>
      <c r="Q45" s="1679"/>
      <c r="R45" s="1680"/>
      <c r="S45" s="183"/>
      <c r="T45" s="183"/>
      <c r="U45" s="183"/>
      <c r="V45" s="183"/>
      <c r="W45" s="183"/>
      <c r="X45" s="183"/>
      <c r="AK45" s="1603" t="s">
        <v>380</v>
      </c>
      <c r="AL45" s="1603"/>
      <c r="AM45" s="1603"/>
      <c r="AN45" s="1603"/>
      <c r="AO45" s="466"/>
      <c r="AP45" s="466"/>
      <c r="AQ45" s="466"/>
      <c r="AR45" s="466"/>
      <c r="AS45" s="341">
        <f>IF(O45&gt;0,ROUND(O45*P45%,),SUM(AS46:AS47))</f>
        <v>0</v>
      </c>
    </row>
    <row r="46" spans="1:58" ht="30" customHeight="1" thickTop="1">
      <c r="B46" s="505"/>
      <c r="C46" s="1655" t="s">
        <v>381</v>
      </c>
      <c r="D46" s="1656"/>
      <c r="E46" s="1656"/>
      <c r="F46" s="1656"/>
      <c r="G46" s="1656"/>
      <c r="H46" s="1656"/>
      <c r="I46" s="1656"/>
      <c r="J46" s="1656"/>
      <c r="K46" s="1656"/>
      <c r="L46" s="1656"/>
      <c r="M46" s="411"/>
      <c r="N46" s="506" t="s">
        <v>382</v>
      </c>
      <c r="O46" s="507"/>
      <c r="P46" s="1657"/>
      <c r="Q46" s="1657"/>
      <c r="R46" s="1658"/>
      <c r="S46" s="472"/>
      <c r="T46" s="183"/>
      <c r="U46" s="183"/>
      <c r="V46" s="183"/>
      <c r="W46" s="183"/>
      <c r="X46" s="183"/>
      <c r="AK46" s="1659" t="s">
        <v>383</v>
      </c>
      <c r="AL46" s="1660"/>
      <c r="AM46" s="1660"/>
      <c r="AN46" s="1661"/>
      <c r="AO46" s="341">
        <f>ROUND(M46*P46%,)</f>
        <v>0</v>
      </c>
      <c r="AP46" s="474" t="s">
        <v>329</v>
      </c>
      <c r="AQ46" s="204">
        <f>IF(AND(AO46&gt;0,AS46&gt;0),ROUND(AS46/AO46,2),)</f>
        <v>0</v>
      </c>
      <c r="AR46" s="474" t="s">
        <v>384</v>
      </c>
      <c r="AS46" s="341">
        <f>ROUND(O46*P46%,)</f>
        <v>0</v>
      </c>
      <c r="BA46" s="2"/>
      <c r="BB46" s="2"/>
    </row>
    <row r="47" spans="1:58" ht="30" customHeight="1">
      <c r="B47" s="505"/>
      <c r="C47" s="1655" t="s">
        <v>203</v>
      </c>
      <c r="D47" s="1656"/>
      <c r="E47" s="1656"/>
      <c r="F47" s="1656"/>
      <c r="G47" s="1656"/>
      <c r="H47" s="1656"/>
      <c r="I47" s="1656"/>
      <c r="J47" s="1656"/>
      <c r="K47" s="1656"/>
      <c r="L47" s="1656"/>
      <c r="M47" s="1662"/>
      <c r="N47" s="1663"/>
      <c r="O47" s="1663"/>
      <c r="P47" s="1663"/>
      <c r="Q47" s="1663"/>
      <c r="R47" s="1664"/>
      <c r="S47" s="472"/>
      <c r="T47" s="183"/>
      <c r="U47" s="183"/>
      <c r="V47" s="183"/>
      <c r="W47" s="183"/>
      <c r="X47" s="183"/>
      <c r="AK47" s="1659" t="s">
        <v>203</v>
      </c>
      <c r="AL47" s="1660"/>
      <c r="AM47" s="1660"/>
      <c r="AN47" s="1661"/>
      <c r="AO47" s="466"/>
      <c r="AP47" s="466"/>
      <c r="AQ47" s="466"/>
      <c r="AR47" s="466"/>
      <c r="AS47" s="341">
        <f>SUMPRODUCT(ROUND((O48:O77)*(P48:R77)/100,))</f>
        <v>0</v>
      </c>
      <c r="BA47" s="2"/>
      <c r="BB47" s="2"/>
    </row>
    <row r="48" spans="1:58" ht="30" customHeight="1">
      <c r="B48" s="505"/>
      <c r="C48" s="473"/>
      <c r="D48" s="1640"/>
      <c r="E48" s="1641"/>
      <c r="F48" s="1641"/>
      <c r="G48" s="1641"/>
      <c r="H48" s="1641"/>
      <c r="I48" s="1641"/>
      <c r="J48" s="1641"/>
      <c r="K48" s="1641"/>
      <c r="L48" s="1642"/>
      <c r="M48" s="448"/>
      <c r="N48" s="508"/>
      <c r="O48" s="221"/>
      <c r="P48" s="1652"/>
      <c r="Q48" s="1653"/>
      <c r="R48" s="1654"/>
      <c r="S48" s="472"/>
      <c r="T48" s="183"/>
      <c r="U48" s="183"/>
      <c r="V48" s="183"/>
      <c r="W48" s="183"/>
      <c r="X48" s="183"/>
      <c r="AK48" s="509"/>
      <c r="AL48" s="509"/>
      <c r="AM48" s="509"/>
      <c r="AN48" s="509"/>
      <c r="AO48" s="510"/>
      <c r="AP48" s="510"/>
      <c r="AQ48" s="510"/>
      <c r="AR48" s="510"/>
      <c r="AS48" s="511"/>
      <c r="BA48" s="2"/>
      <c r="BB48" s="2"/>
    </row>
    <row r="49" spans="2:54" ht="30" customHeight="1">
      <c r="B49" s="505"/>
      <c r="C49" s="512"/>
      <c r="D49" s="1640"/>
      <c r="E49" s="1641"/>
      <c r="F49" s="1641"/>
      <c r="G49" s="1641"/>
      <c r="H49" s="1641"/>
      <c r="I49" s="1641"/>
      <c r="J49" s="1641"/>
      <c r="K49" s="1641"/>
      <c r="L49" s="1642"/>
      <c r="M49" s="342"/>
      <c r="N49" s="513"/>
      <c r="O49" s="209"/>
      <c r="P49" s="1643"/>
      <c r="Q49" s="1644"/>
      <c r="R49" s="1645"/>
      <c r="S49" s="472"/>
      <c r="T49" s="183"/>
      <c r="U49" s="183"/>
      <c r="V49" s="183"/>
      <c r="W49" s="183"/>
      <c r="X49" s="183"/>
      <c r="AK49" s="514"/>
      <c r="AL49" s="514"/>
      <c r="AM49" s="514"/>
      <c r="AN49" s="514"/>
      <c r="AO49" s="515"/>
      <c r="AP49" s="515"/>
      <c r="AQ49" s="515"/>
      <c r="AR49" s="515"/>
      <c r="AS49" s="394"/>
      <c r="BA49" s="2"/>
      <c r="BB49" s="2"/>
    </row>
    <row r="50" spans="2:54" ht="30" customHeight="1">
      <c r="B50" s="505"/>
      <c r="C50" s="516"/>
      <c r="D50" s="1640"/>
      <c r="E50" s="1641"/>
      <c r="F50" s="1641"/>
      <c r="G50" s="1641"/>
      <c r="H50" s="1641"/>
      <c r="I50" s="1641"/>
      <c r="J50" s="1641"/>
      <c r="K50" s="1641"/>
      <c r="L50" s="1642"/>
      <c r="M50" s="342"/>
      <c r="N50" s="513"/>
      <c r="O50" s="209"/>
      <c r="P50" s="1643"/>
      <c r="Q50" s="1644"/>
      <c r="R50" s="1645"/>
      <c r="S50" s="472"/>
      <c r="T50" s="183"/>
      <c r="U50" s="183"/>
      <c r="V50" s="183"/>
      <c r="W50" s="183"/>
      <c r="X50" s="183"/>
      <c r="Y50" s="183"/>
      <c r="Z50" s="183"/>
      <c r="AA50" s="183"/>
      <c r="AK50" s="514"/>
      <c r="AL50" s="514"/>
      <c r="AM50" s="514"/>
      <c r="AN50" s="514"/>
      <c r="AO50" s="515"/>
      <c r="AP50" s="515"/>
      <c r="AQ50" s="515"/>
      <c r="AR50" s="515"/>
      <c r="AS50" s="394"/>
      <c r="BA50" s="2"/>
      <c r="BB50" s="2"/>
    </row>
    <row r="51" spans="2:54" ht="30" customHeight="1" collapsed="1" thickBot="1">
      <c r="B51" s="505"/>
      <c r="C51" s="516"/>
      <c r="D51" s="1640"/>
      <c r="E51" s="1641"/>
      <c r="F51" s="1641"/>
      <c r="G51" s="1641"/>
      <c r="H51" s="1641"/>
      <c r="I51" s="1641"/>
      <c r="J51" s="1641"/>
      <c r="K51" s="1641"/>
      <c r="L51" s="1642"/>
      <c r="M51" s="342"/>
      <c r="N51" s="513"/>
      <c r="O51" s="209"/>
      <c r="P51" s="1643"/>
      <c r="Q51" s="1644"/>
      <c r="R51" s="1645"/>
      <c r="S51" s="472"/>
      <c r="T51" s="183"/>
      <c r="U51" s="183"/>
      <c r="V51" s="183"/>
      <c r="W51" s="183"/>
      <c r="X51" s="183"/>
      <c r="Y51" s="183"/>
      <c r="Z51" s="183"/>
      <c r="AA51" s="183"/>
      <c r="AK51" s="514"/>
      <c r="AL51" s="514"/>
      <c r="AM51" s="514"/>
      <c r="AN51" s="514"/>
      <c r="AO51" s="515"/>
      <c r="AP51" s="515"/>
      <c r="AQ51" s="515"/>
      <c r="AR51" s="515"/>
      <c r="AS51" s="394"/>
      <c r="BA51" s="2"/>
      <c r="BB51" s="2"/>
    </row>
    <row r="52" spans="2:54" ht="30" hidden="1" customHeight="1" outlineLevel="1">
      <c r="B52" s="505"/>
      <c r="C52" s="516"/>
      <c r="D52" s="1640"/>
      <c r="E52" s="1641"/>
      <c r="F52" s="1641"/>
      <c r="G52" s="1641"/>
      <c r="H52" s="1641"/>
      <c r="I52" s="1641"/>
      <c r="J52" s="1641"/>
      <c r="K52" s="1641"/>
      <c r="L52" s="1642"/>
      <c r="M52" s="342"/>
      <c r="N52" s="513"/>
      <c r="O52" s="209"/>
      <c r="P52" s="1643"/>
      <c r="Q52" s="1644"/>
      <c r="R52" s="1645"/>
      <c r="S52" s="472"/>
      <c r="T52" s="183"/>
      <c r="U52" s="183"/>
      <c r="V52" s="183"/>
      <c r="W52" s="183"/>
      <c r="X52" s="183"/>
      <c r="Y52" s="183"/>
      <c r="Z52" s="183"/>
      <c r="AA52" s="183"/>
      <c r="AK52" s="514"/>
      <c r="AL52" s="514"/>
      <c r="AM52" s="514"/>
      <c r="AN52" s="514"/>
      <c r="AO52" s="515"/>
      <c r="AP52" s="515"/>
      <c r="AQ52" s="515"/>
      <c r="AR52" s="515"/>
      <c r="AS52" s="394"/>
      <c r="BA52" s="2"/>
      <c r="BB52" s="2"/>
    </row>
    <row r="53" spans="2:54" ht="30" hidden="1" customHeight="1" outlineLevel="1">
      <c r="B53" s="505"/>
      <c r="C53" s="516"/>
      <c r="D53" s="1640"/>
      <c r="E53" s="1641"/>
      <c r="F53" s="1641"/>
      <c r="G53" s="1641"/>
      <c r="H53" s="1641"/>
      <c r="I53" s="1641"/>
      <c r="J53" s="1641"/>
      <c r="K53" s="1641"/>
      <c r="L53" s="1642"/>
      <c r="M53" s="342"/>
      <c r="N53" s="513"/>
      <c r="O53" s="209"/>
      <c r="P53" s="1643"/>
      <c r="Q53" s="1644"/>
      <c r="R53" s="1645"/>
      <c r="S53" s="472"/>
      <c r="T53" s="183"/>
      <c r="U53" s="183"/>
      <c r="V53" s="183"/>
      <c r="W53" s="183"/>
      <c r="X53" s="183"/>
      <c r="Y53" s="183"/>
      <c r="Z53" s="183"/>
      <c r="AA53" s="183"/>
      <c r="AK53" s="514"/>
      <c r="AL53" s="514"/>
      <c r="AM53" s="514"/>
      <c r="AN53" s="514"/>
      <c r="AO53" s="515"/>
      <c r="AP53" s="515"/>
      <c r="AQ53" s="515"/>
      <c r="AR53" s="515"/>
      <c r="AS53" s="394"/>
      <c r="BA53" s="2"/>
      <c r="BB53" s="2"/>
    </row>
    <row r="54" spans="2:54" ht="30" hidden="1" customHeight="1" outlineLevel="1">
      <c r="B54" s="505"/>
      <c r="C54" s="516"/>
      <c r="D54" s="1640"/>
      <c r="E54" s="1641"/>
      <c r="F54" s="1641"/>
      <c r="G54" s="1641"/>
      <c r="H54" s="1641"/>
      <c r="I54" s="1641"/>
      <c r="J54" s="1641"/>
      <c r="K54" s="1641"/>
      <c r="L54" s="1642"/>
      <c r="M54" s="342"/>
      <c r="N54" s="513"/>
      <c r="O54" s="209"/>
      <c r="P54" s="1643"/>
      <c r="Q54" s="1644"/>
      <c r="R54" s="1645"/>
      <c r="S54" s="472"/>
      <c r="T54" s="183"/>
      <c r="U54" s="183"/>
      <c r="V54" s="183"/>
      <c r="W54" s="183"/>
      <c r="X54" s="183"/>
      <c r="Y54" s="183"/>
      <c r="Z54" s="183"/>
      <c r="AA54" s="183"/>
      <c r="AK54" s="514"/>
      <c r="AL54" s="514"/>
      <c r="AM54" s="514"/>
      <c r="AN54" s="514"/>
      <c r="AO54" s="515"/>
      <c r="AP54" s="515"/>
      <c r="AQ54" s="515"/>
      <c r="AR54" s="515"/>
      <c r="AS54" s="394"/>
      <c r="BA54" s="2"/>
      <c r="BB54" s="2"/>
    </row>
    <row r="55" spans="2:54" ht="30" hidden="1" customHeight="1" outlineLevel="1">
      <c r="B55" s="505"/>
      <c r="C55" s="516"/>
      <c r="D55" s="1640"/>
      <c r="E55" s="1641"/>
      <c r="F55" s="1641"/>
      <c r="G55" s="1641"/>
      <c r="H55" s="1641"/>
      <c r="I55" s="1641"/>
      <c r="J55" s="1641"/>
      <c r="K55" s="1641"/>
      <c r="L55" s="1642"/>
      <c r="M55" s="342"/>
      <c r="N55" s="513"/>
      <c r="O55" s="209"/>
      <c r="P55" s="1643"/>
      <c r="Q55" s="1644"/>
      <c r="R55" s="1645"/>
      <c r="S55" s="472"/>
      <c r="T55" s="183"/>
      <c r="U55" s="183"/>
      <c r="V55" s="183"/>
      <c r="W55" s="183"/>
      <c r="X55" s="183"/>
      <c r="Y55" s="183"/>
      <c r="Z55" s="183"/>
      <c r="AA55" s="183"/>
      <c r="AK55" s="514"/>
      <c r="AL55" s="514"/>
      <c r="AM55" s="514"/>
      <c r="AN55" s="514"/>
      <c r="AO55" s="515"/>
      <c r="AP55" s="515"/>
      <c r="AQ55" s="515"/>
      <c r="AR55" s="515"/>
      <c r="AS55" s="394"/>
      <c r="BA55" s="2"/>
      <c r="BB55" s="2"/>
    </row>
    <row r="56" spans="2:54" ht="30" hidden="1" customHeight="1" outlineLevel="1">
      <c r="B56" s="505"/>
      <c r="C56" s="516"/>
      <c r="D56" s="1640"/>
      <c r="E56" s="1641"/>
      <c r="F56" s="1641"/>
      <c r="G56" s="1641"/>
      <c r="H56" s="1641"/>
      <c r="I56" s="1641"/>
      <c r="J56" s="1641"/>
      <c r="K56" s="1641"/>
      <c r="L56" s="1642"/>
      <c r="M56" s="342"/>
      <c r="N56" s="513"/>
      <c r="O56" s="209"/>
      <c r="P56" s="1643"/>
      <c r="Q56" s="1644"/>
      <c r="R56" s="1645"/>
      <c r="S56" s="472"/>
      <c r="T56" s="183"/>
      <c r="U56" s="183"/>
      <c r="V56" s="183"/>
      <c r="W56" s="183"/>
      <c r="X56" s="183"/>
      <c r="Y56" s="183"/>
      <c r="Z56" s="183"/>
      <c r="AA56" s="183"/>
      <c r="AK56" s="514"/>
      <c r="AL56" s="514"/>
      <c r="AM56" s="514"/>
      <c r="AN56" s="514"/>
      <c r="AO56" s="515"/>
      <c r="AP56" s="515"/>
      <c r="AQ56" s="515"/>
      <c r="AR56" s="515"/>
      <c r="AS56" s="394"/>
      <c r="BA56" s="2"/>
      <c r="BB56" s="2"/>
    </row>
    <row r="57" spans="2:54" ht="30" hidden="1" customHeight="1" outlineLevel="1">
      <c r="B57" s="505"/>
      <c r="C57" s="516"/>
      <c r="D57" s="1640"/>
      <c r="E57" s="1641"/>
      <c r="F57" s="1641"/>
      <c r="G57" s="1641"/>
      <c r="H57" s="1641"/>
      <c r="I57" s="1641"/>
      <c r="J57" s="1641"/>
      <c r="K57" s="1641"/>
      <c r="L57" s="1642"/>
      <c r="M57" s="342"/>
      <c r="N57" s="513"/>
      <c r="O57" s="209"/>
      <c r="P57" s="1643"/>
      <c r="Q57" s="1644"/>
      <c r="R57" s="1645"/>
      <c r="S57" s="472"/>
      <c r="T57" s="183"/>
      <c r="U57" s="183"/>
      <c r="V57" s="183"/>
      <c r="W57" s="183"/>
      <c r="X57" s="183"/>
      <c r="Y57" s="183"/>
      <c r="Z57" s="183"/>
      <c r="AA57" s="183"/>
      <c r="AK57" s="514"/>
      <c r="AL57" s="514"/>
      <c r="AM57" s="514"/>
      <c r="AN57" s="514"/>
      <c r="AO57" s="515"/>
      <c r="AP57" s="515"/>
      <c r="AQ57" s="515"/>
      <c r="AR57" s="515"/>
      <c r="AS57" s="394"/>
      <c r="BA57" s="2"/>
      <c r="BB57" s="2"/>
    </row>
    <row r="58" spans="2:54" ht="30" hidden="1" customHeight="1" outlineLevel="1">
      <c r="B58" s="505"/>
      <c r="C58" s="516"/>
      <c r="D58" s="1640"/>
      <c r="E58" s="1641"/>
      <c r="F58" s="1641"/>
      <c r="G58" s="1641"/>
      <c r="H58" s="1641"/>
      <c r="I58" s="1641"/>
      <c r="J58" s="1641"/>
      <c r="K58" s="1641"/>
      <c r="L58" s="1642"/>
      <c r="M58" s="342"/>
      <c r="N58" s="513"/>
      <c r="O58" s="209"/>
      <c r="P58" s="1643"/>
      <c r="Q58" s="1644"/>
      <c r="R58" s="1645"/>
      <c r="S58" s="472"/>
      <c r="T58" s="183"/>
      <c r="U58" s="183"/>
      <c r="V58" s="183"/>
      <c r="W58" s="183"/>
      <c r="X58" s="183"/>
      <c r="Y58" s="183"/>
      <c r="Z58" s="183"/>
      <c r="AA58" s="183"/>
      <c r="AK58" s="514"/>
      <c r="AL58" s="514"/>
      <c r="AM58" s="514"/>
      <c r="AN58" s="514"/>
      <c r="AO58" s="515"/>
      <c r="AP58" s="515"/>
      <c r="AQ58" s="515"/>
      <c r="AR58" s="515"/>
      <c r="AS58" s="394"/>
      <c r="BA58" s="2"/>
      <c r="BB58" s="2"/>
    </row>
    <row r="59" spans="2:54" ht="30" hidden="1" customHeight="1" outlineLevel="1">
      <c r="B59" s="505"/>
      <c r="C59" s="516"/>
      <c r="D59" s="1640"/>
      <c r="E59" s="1641"/>
      <c r="F59" s="1641"/>
      <c r="G59" s="1641"/>
      <c r="H59" s="1641"/>
      <c r="I59" s="1641"/>
      <c r="J59" s="1641"/>
      <c r="K59" s="1641"/>
      <c r="L59" s="1642"/>
      <c r="M59" s="342"/>
      <c r="N59" s="513"/>
      <c r="O59" s="209"/>
      <c r="P59" s="1643"/>
      <c r="Q59" s="1644"/>
      <c r="R59" s="1645"/>
      <c r="S59" s="472"/>
      <c r="T59" s="183"/>
      <c r="U59" s="183"/>
      <c r="V59" s="183"/>
      <c r="W59" s="183"/>
      <c r="X59" s="183"/>
      <c r="Y59" s="183"/>
      <c r="Z59" s="183"/>
      <c r="AA59" s="183"/>
      <c r="AK59" s="514"/>
      <c r="AL59" s="514"/>
      <c r="AM59" s="514"/>
      <c r="AN59" s="514"/>
      <c r="AO59" s="515"/>
      <c r="AP59" s="515"/>
      <c r="AQ59" s="515"/>
      <c r="AR59" s="515"/>
      <c r="AS59" s="394"/>
      <c r="BA59" s="2"/>
      <c r="BB59" s="2"/>
    </row>
    <row r="60" spans="2:54" ht="30" hidden="1" customHeight="1" outlineLevel="1">
      <c r="B60" s="505"/>
      <c r="C60" s="516"/>
      <c r="D60" s="1640"/>
      <c r="E60" s="1641"/>
      <c r="F60" s="1641"/>
      <c r="G60" s="1641"/>
      <c r="H60" s="1641"/>
      <c r="I60" s="1641"/>
      <c r="J60" s="1641"/>
      <c r="K60" s="1641"/>
      <c r="L60" s="1642"/>
      <c r="M60" s="342"/>
      <c r="N60" s="513"/>
      <c r="O60" s="209"/>
      <c r="P60" s="1643"/>
      <c r="Q60" s="1644"/>
      <c r="R60" s="1645"/>
      <c r="S60" s="472"/>
      <c r="T60" s="183"/>
      <c r="U60" s="183"/>
      <c r="V60" s="183"/>
      <c r="W60" s="183"/>
      <c r="X60" s="183"/>
      <c r="Y60" s="183"/>
      <c r="Z60" s="183"/>
      <c r="AA60" s="183"/>
      <c r="AK60" s="514"/>
      <c r="AL60" s="514"/>
      <c r="AM60" s="514"/>
      <c r="AN60" s="514"/>
      <c r="AO60" s="515"/>
      <c r="AP60" s="515"/>
      <c r="AQ60" s="515"/>
      <c r="AR60" s="515"/>
      <c r="AS60" s="394"/>
      <c r="BA60" s="2"/>
      <c r="BB60" s="2"/>
    </row>
    <row r="61" spans="2:54" ht="30" hidden="1" customHeight="1" outlineLevel="1">
      <c r="B61" s="505"/>
      <c r="C61" s="516"/>
      <c r="D61" s="1640"/>
      <c r="E61" s="1641"/>
      <c r="F61" s="1641"/>
      <c r="G61" s="1641"/>
      <c r="H61" s="1641"/>
      <c r="I61" s="1641"/>
      <c r="J61" s="1641"/>
      <c r="K61" s="1641"/>
      <c r="L61" s="1642"/>
      <c r="M61" s="342"/>
      <c r="N61" s="513"/>
      <c r="O61" s="209"/>
      <c r="P61" s="1643"/>
      <c r="Q61" s="1644"/>
      <c r="R61" s="1645"/>
      <c r="S61" s="472"/>
      <c r="T61" s="183"/>
      <c r="U61" s="183"/>
      <c r="V61" s="183"/>
      <c r="W61" s="183"/>
      <c r="X61" s="183"/>
      <c r="Y61" s="183"/>
      <c r="Z61" s="183"/>
      <c r="AA61" s="183"/>
      <c r="AK61" s="514"/>
      <c r="AL61" s="514"/>
      <c r="AM61" s="514"/>
      <c r="AN61" s="514"/>
      <c r="AO61" s="515"/>
      <c r="AP61" s="515"/>
      <c r="AQ61" s="515"/>
      <c r="AR61" s="515"/>
      <c r="AS61" s="394"/>
      <c r="BA61" s="2"/>
      <c r="BB61" s="2"/>
    </row>
    <row r="62" spans="2:54" ht="30" hidden="1" customHeight="1" outlineLevel="1">
      <c r="B62" s="505"/>
      <c r="C62" s="516"/>
      <c r="D62" s="1640"/>
      <c r="E62" s="1641"/>
      <c r="F62" s="1641"/>
      <c r="G62" s="1641"/>
      <c r="H62" s="1641"/>
      <c r="I62" s="1641"/>
      <c r="J62" s="1641"/>
      <c r="K62" s="1641"/>
      <c r="L62" s="1642"/>
      <c r="M62" s="342"/>
      <c r="N62" s="513"/>
      <c r="O62" s="209"/>
      <c r="P62" s="1643"/>
      <c r="Q62" s="1644"/>
      <c r="R62" s="1645"/>
      <c r="S62" s="472"/>
      <c r="T62" s="183"/>
      <c r="U62" s="183"/>
      <c r="V62" s="183"/>
      <c r="W62" s="183"/>
      <c r="X62" s="183"/>
      <c r="Y62" s="183"/>
      <c r="Z62" s="183"/>
      <c r="AA62" s="183"/>
      <c r="AK62" s="514"/>
      <c r="AL62" s="514"/>
      <c r="AM62" s="514"/>
      <c r="AN62" s="514"/>
      <c r="AO62" s="515"/>
      <c r="AP62" s="515"/>
      <c r="AQ62" s="515"/>
      <c r="AR62" s="515"/>
      <c r="AS62" s="394"/>
      <c r="BA62" s="2"/>
      <c r="BB62" s="2"/>
    </row>
    <row r="63" spans="2:54" ht="30" hidden="1" customHeight="1" outlineLevel="1">
      <c r="B63" s="505"/>
      <c r="C63" s="516"/>
      <c r="D63" s="1640"/>
      <c r="E63" s="1641"/>
      <c r="F63" s="1641"/>
      <c r="G63" s="1641"/>
      <c r="H63" s="1641"/>
      <c r="I63" s="1641"/>
      <c r="J63" s="1641"/>
      <c r="K63" s="1641"/>
      <c r="L63" s="1642"/>
      <c r="M63" s="342"/>
      <c r="N63" s="513"/>
      <c r="O63" s="209"/>
      <c r="P63" s="1643"/>
      <c r="Q63" s="1644"/>
      <c r="R63" s="1645"/>
      <c r="S63" s="472"/>
      <c r="T63" s="183"/>
      <c r="U63" s="183"/>
      <c r="V63" s="183"/>
      <c r="W63" s="183"/>
      <c r="X63" s="183"/>
      <c r="Y63" s="183"/>
      <c r="Z63" s="183"/>
      <c r="AA63" s="183"/>
      <c r="AK63" s="514"/>
      <c r="AL63" s="514"/>
      <c r="AM63" s="514"/>
      <c r="AN63" s="514"/>
      <c r="AO63" s="515"/>
      <c r="AP63" s="515"/>
      <c r="AQ63" s="515"/>
      <c r="AR63" s="515"/>
      <c r="AS63" s="394"/>
      <c r="BA63" s="2"/>
      <c r="BB63" s="2"/>
    </row>
    <row r="64" spans="2:54" ht="30" hidden="1" customHeight="1" outlineLevel="1">
      <c r="B64" s="505"/>
      <c r="C64" s="516"/>
      <c r="D64" s="1640"/>
      <c r="E64" s="1641"/>
      <c r="F64" s="1641"/>
      <c r="G64" s="1641"/>
      <c r="H64" s="1641"/>
      <c r="I64" s="1641"/>
      <c r="J64" s="1641"/>
      <c r="K64" s="1641"/>
      <c r="L64" s="1642"/>
      <c r="M64" s="342"/>
      <c r="N64" s="513"/>
      <c r="O64" s="209"/>
      <c r="P64" s="1643"/>
      <c r="Q64" s="1644"/>
      <c r="R64" s="1645"/>
      <c r="S64" s="472"/>
      <c r="T64" s="183"/>
      <c r="U64" s="183"/>
      <c r="V64" s="183"/>
      <c r="W64" s="183"/>
      <c r="X64" s="183"/>
      <c r="Y64" s="183"/>
      <c r="Z64" s="183"/>
      <c r="AA64" s="183"/>
      <c r="AK64" s="514"/>
      <c r="AL64" s="514"/>
      <c r="AM64" s="514"/>
      <c r="AN64" s="514"/>
      <c r="AO64" s="515"/>
      <c r="AP64" s="515"/>
      <c r="AQ64" s="515"/>
      <c r="AR64" s="515"/>
      <c r="AS64" s="394"/>
      <c r="BA64" s="2"/>
      <c r="BB64" s="2"/>
    </row>
    <row r="65" spans="2:54" ht="30" hidden="1" customHeight="1" outlineLevel="1">
      <c r="B65" s="505"/>
      <c r="C65" s="516"/>
      <c r="D65" s="1640"/>
      <c r="E65" s="1641"/>
      <c r="F65" s="1641"/>
      <c r="G65" s="1641"/>
      <c r="H65" s="1641"/>
      <c r="I65" s="1641"/>
      <c r="J65" s="1641"/>
      <c r="K65" s="1641"/>
      <c r="L65" s="1642"/>
      <c r="M65" s="342"/>
      <c r="N65" s="513"/>
      <c r="O65" s="209"/>
      <c r="P65" s="1643"/>
      <c r="Q65" s="1644"/>
      <c r="R65" s="1645"/>
      <c r="S65" s="472"/>
      <c r="T65" s="183"/>
      <c r="U65" s="183"/>
      <c r="V65" s="183"/>
      <c r="W65" s="183"/>
      <c r="X65" s="183"/>
      <c r="Y65" s="183"/>
      <c r="Z65" s="183"/>
      <c r="AA65" s="183"/>
      <c r="AK65" s="514"/>
      <c r="AL65" s="514"/>
      <c r="AM65" s="514"/>
      <c r="AN65" s="514"/>
      <c r="AO65" s="515"/>
      <c r="AP65" s="515"/>
      <c r="AQ65" s="515"/>
      <c r="AR65" s="515"/>
      <c r="AS65" s="394"/>
      <c r="BA65" s="2"/>
      <c r="BB65" s="2"/>
    </row>
    <row r="66" spans="2:54" ht="30" hidden="1" customHeight="1" outlineLevel="1">
      <c r="B66" s="505"/>
      <c r="C66" s="516"/>
      <c r="D66" s="1640"/>
      <c r="E66" s="1641"/>
      <c r="F66" s="1641"/>
      <c r="G66" s="1641"/>
      <c r="H66" s="1641"/>
      <c r="I66" s="1641"/>
      <c r="J66" s="1641"/>
      <c r="K66" s="1641"/>
      <c r="L66" s="1642"/>
      <c r="M66" s="342"/>
      <c r="N66" s="513"/>
      <c r="O66" s="209"/>
      <c r="P66" s="1643"/>
      <c r="Q66" s="1644"/>
      <c r="R66" s="1645"/>
      <c r="S66" s="472"/>
      <c r="T66" s="183"/>
      <c r="U66" s="183"/>
      <c r="V66" s="183"/>
      <c r="W66" s="183"/>
      <c r="X66" s="183"/>
      <c r="Y66" s="183"/>
      <c r="Z66" s="183"/>
      <c r="AA66" s="183"/>
      <c r="AK66" s="514"/>
      <c r="AL66" s="514"/>
      <c r="AM66" s="514"/>
      <c r="AN66" s="514"/>
      <c r="AO66" s="515"/>
      <c r="AP66" s="515"/>
      <c r="AQ66" s="515"/>
      <c r="AR66" s="515"/>
      <c r="AS66" s="394"/>
      <c r="BA66" s="2"/>
      <c r="BB66" s="2"/>
    </row>
    <row r="67" spans="2:54" ht="30" hidden="1" customHeight="1" outlineLevel="1">
      <c r="B67" s="505"/>
      <c r="C67" s="516"/>
      <c r="D67" s="1640"/>
      <c r="E67" s="1641"/>
      <c r="F67" s="1641"/>
      <c r="G67" s="1641"/>
      <c r="H67" s="1641"/>
      <c r="I67" s="1641"/>
      <c r="J67" s="1641"/>
      <c r="K67" s="1641"/>
      <c r="L67" s="1642"/>
      <c r="M67" s="342"/>
      <c r="N67" s="513"/>
      <c r="O67" s="209"/>
      <c r="P67" s="1643"/>
      <c r="Q67" s="1644"/>
      <c r="R67" s="1645"/>
      <c r="S67" s="472"/>
      <c r="T67" s="183"/>
      <c r="U67" s="183"/>
      <c r="V67" s="183"/>
      <c r="W67" s="183"/>
      <c r="X67" s="183"/>
      <c r="Y67" s="183"/>
      <c r="Z67" s="183"/>
      <c r="AA67" s="183"/>
      <c r="AK67" s="514"/>
      <c r="AL67" s="514"/>
      <c r="AM67" s="514"/>
      <c r="AN67" s="514"/>
      <c r="AO67" s="515"/>
      <c r="AP67" s="515"/>
      <c r="AQ67" s="515"/>
      <c r="AR67" s="515"/>
      <c r="AS67" s="394"/>
      <c r="BA67" s="2"/>
      <c r="BB67" s="2"/>
    </row>
    <row r="68" spans="2:54" ht="30" hidden="1" customHeight="1" outlineLevel="1">
      <c r="B68" s="505"/>
      <c r="C68" s="516"/>
      <c r="D68" s="1640"/>
      <c r="E68" s="1641"/>
      <c r="F68" s="1641"/>
      <c r="G68" s="1641"/>
      <c r="H68" s="1641"/>
      <c r="I68" s="1641"/>
      <c r="J68" s="1641"/>
      <c r="K68" s="1641"/>
      <c r="L68" s="1642"/>
      <c r="M68" s="342"/>
      <c r="N68" s="513"/>
      <c r="O68" s="209"/>
      <c r="P68" s="1643"/>
      <c r="Q68" s="1644"/>
      <c r="R68" s="1645"/>
      <c r="S68" s="472"/>
      <c r="T68" s="183"/>
      <c r="U68" s="183"/>
      <c r="V68" s="183"/>
      <c r="W68" s="183"/>
      <c r="X68" s="183"/>
      <c r="Y68" s="183"/>
      <c r="Z68" s="183"/>
      <c r="AA68" s="183"/>
      <c r="AK68" s="514"/>
      <c r="AL68" s="514"/>
      <c r="AM68" s="514"/>
      <c r="AN68" s="514"/>
      <c r="AO68" s="515"/>
      <c r="AP68" s="515"/>
      <c r="AQ68" s="515"/>
      <c r="AR68" s="515"/>
      <c r="AS68" s="394"/>
      <c r="BA68" s="2"/>
      <c r="BB68" s="2"/>
    </row>
    <row r="69" spans="2:54" ht="30" hidden="1" customHeight="1" outlineLevel="1">
      <c r="B69" s="505"/>
      <c r="C69" s="516"/>
      <c r="D69" s="1640"/>
      <c r="E69" s="1641"/>
      <c r="F69" s="1641"/>
      <c r="G69" s="1641"/>
      <c r="H69" s="1641"/>
      <c r="I69" s="1641"/>
      <c r="J69" s="1641"/>
      <c r="K69" s="1641"/>
      <c r="L69" s="1642"/>
      <c r="M69" s="342"/>
      <c r="N69" s="513"/>
      <c r="O69" s="209"/>
      <c r="P69" s="1643"/>
      <c r="Q69" s="1644"/>
      <c r="R69" s="1645"/>
      <c r="S69" s="472"/>
      <c r="T69" s="183"/>
      <c r="U69" s="183"/>
      <c r="V69" s="183"/>
      <c r="W69" s="183"/>
      <c r="X69" s="183"/>
      <c r="Y69" s="183"/>
      <c r="Z69" s="183"/>
      <c r="AA69" s="183"/>
      <c r="AK69" s="514"/>
      <c r="AL69" s="514"/>
      <c r="AM69" s="514"/>
      <c r="AN69" s="514"/>
      <c r="AO69" s="515"/>
      <c r="AP69" s="515"/>
      <c r="AQ69" s="515"/>
      <c r="AR69" s="515"/>
      <c r="AS69" s="394"/>
      <c r="BA69" s="2"/>
      <c r="BB69" s="2"/>
    </row>
    <row r="70" spans="2:54" ht="30" hidden="1" customHeight="1" outlineLevel="1">
      <c r="B70" s="505"/>
      <c r="C70" s="516"/>
      <c r="D70" s="1640"/>
      <c r="E70" s="1641"/>
      <c r="F70" s="1641"/>
      <c r="G70" s="1641"/>
      <c r="H70" s="1641"/>
      <c r="I70" s="1641"/>
      <c r="J70" s="1641"/>
      <c r="K70" s="1641"/>
      <c r="L70" s="1642"/>
      <c r="M70" s="342"/>
      <c r="N70" s="513"/>
      <c r="O70" s="209"/>
      <c r="P70" s="1643"/>
      <c r="Q70" s="1644"/>
      <c r="R70" s="1645"/>
      <c r="S70" s="472"/>
      <c r="T70" s="183"/>
      <c r="U70" s="183"/>
      <c r="V70" s="183"/>
      <c r="W70" s="183"/>
      <c r="X70" s="183"/>
      <c r="Y70" s="183"/>
      <c r="Z70" s="183"/>
      <c r="AA70" s="183"/>
      <c r="AK70" s="514"/>
      <c r="AL70" s="514"/>
      <c r="AM70" s="514"/>
      <c r="AN70" s="514"/>
      <c r="AO70" s="515"/>
      <c r="AP70" s="515"/>
      <c r="AQ70" s="515"/>
      <c r="AR70" s="515"/>
      <c r="AS70" s="394"/>
      <c r="BA70" s="2"/>
      <c r="BB70" s="2"/>
    </row>
    <row r="71" spans="2:54" ht="30" hidden="1" customHeight="1" outlineLevel="1">
      <c r="B71" s="505"/>
      <c r="C71" s="516"/>
      <c r="D71" s="1640"/>
      <c r="E71" s="1641"/>
      <c r="F71" s="1641"/>
      <c r="G71" s="1641"/>
      <c r="H71" s="1641"/>
      <c r="I71" s="1641"/>
      <c r="J71" s="1641"/>
      <c r="K71" s="1641"/>
      <c r="L71" s="1642"/>
      <c r="M71" s="342"/>
      <c r="N71" s="513"/>
      <c r="O71" s="209"/>
      <c r="P71" s="1643"/>
      <c r="Q71" s="1644"/>
      <c r="R71" s="1645"/>
      <c r="S71" s="472"/>
      <c r="T71" s="183"/>
      <c r="U71" s="183"/>
      <c r="V71" s="183"/>
      <c r="W71" s="183"/>
      <c r="X71" s="183"/>
      <c r="Y71" s="183"/>
      <c r="Z71" s="183"/>
      <c r="AA71" s="183"/>
      <c r="AK71" s="514"/>
      <c r="AL71" s="514"/>
      <c r="AM71" s="514"/>
      <c r="AN71" s="514"/>
      <c r="AO71" s="515"/>
      <c r="AP71" s="515"/>
      <c r="AQ71" s="515"/>
      <c r="AR71" s="515"/>
      <c r="AS71" s="394"/>
      <c r="BA71" s="2"/>
      <c r="BB71" s="2"/>
    </row>
    <row r="72" spans="2:54" ht="30" hidden="1" customHeight="1" outlineLevel="1">
      <c r="B72" s="505"/>
      <c r="C72" s="516"/>
      <c r="D72" s="1640"/>
      <c r="E72" s="1641"/>
      <c r="F72" s="1641"/>
      <c r="G72" s="1641"/>
      <c r="H72" s="1641"/>
      <c r="I72" s="1641"/>
      <c r="J72" s="1641"/>
      <c r="K72" s="1641"/>
      <c r="L72" s="1642"/>
      <c r="M72" s="342"/>
      <c r="N72" s="513"/>
      <c r="O72" s="209"/>
      <c r="P72" s="1643"/>
      <c r="Q72" s="1644"/>
      <c r="R72" s="1645"/>
      <c r="S72" s="472"/>
      <c r="T72" s="183"/>
      <c r="U72" s="183"/>
      <c r="V72" s="183"/>
      <c r="W72" s="183"/>
      <c r="X72" s="183"/>
      <c r="Y72" s="183"/>
      <c r="Z72" s="183"/>
      <c r="AA72" s="183"/>
      <c r="AK72" s="514"/>
      <c r="AL72" s="514"/>
      <c r="AM72" s="514"/>
      <c r="AN72" s="514"/>
      <c r="AO72" s="515"/>
      <c r="AP72" s="515"/>
      <c r="AQ72" s="515"/>
      <c r="AR72" s="515"/>
      <c r="AS72" s="394"/>
      <c r="BA72" s="2"/>
      <c r="BB72" s="2"/>
    </row>
    <row r="73" spans="2:54" ht="30" hidden="1" customHeight="1" outlineLevel="1">
      <c r="B73" s="505"/>
      <c r="C73" s="516"/>
      <c r="D73" s="1640"/>
      <c r="E73" s="1641"/>
      <c r="F73" s="1641"/>
      <c r="G73" s="1641"/>
      <c r="H73" s="1641"/>
      <c r="I73" s="1641"/>
      <c r="J73" s="1641"/>
      <c r="K73" s="1641"/>
      <c r="L73" s="1642"/>
      <c r="M73" s="342"/>
      <c r="N73" s="513"/>
      <c r="O73" s="209"/>
      <c r="P73" s="1643"/>
      <c r="Q73" s="1644"/>
      <c r="R73" s="1645"/>
      <c r="S73" s="472"/>
      <c r="T73" s="183"/>
      <c r="U73" s="183"/>
      <c r="V73" s="183"/>
      <c r="W73" s="183"/>
      <c r="X73" s="183"/>
      <c r="Y73" s="183"/>
      <c r="Z73" s="183"/>
      <c r="AA73" s="183"/>
      <c r="AK73" s="514"/>
      <c r="AL73" s="514"/>
      <c r="AM73" s="514"/>
      <c r="AN73" s="514"/>
      <c r="AO73" s="515"/>
      <c r="AP73" s="515"/>
      <c r="AQ73" s="515"/>
      <c r="AR73" s="515"/>
      <c r="AS73" s="394"/>
      <c r="BA73" s="2"/>
      <c r="BB73" s="2"/>
    </row>
    <row r="74" spans="2:54" ht="30" hidden="1" customHeight="1" outlineLevel="1">
      <c r="B74" s="505"/>
      <c r="C74" s="516"/>
      <c r="D74" s="1640"/>
      <c r="E74" s="1641"/>
      <c r="F74" s="1641"/>
      <c r="G74" s="1641"/>
      <c r="H74" s="1641"/>
      <c r="I74" s="1641"/>
      <c r="J74" s="1641"/>
      <c r="K74" s="1641"/>
      <c r="L74" s="1642"/>
      <c r="M74" s="342"/>
      <c r="N74" s="513"/>
      <c r="O74" s="209"/>
      <c r="P74" s="1643"/>
      <c r="Q74" s="1644"/>
      <c r="R74" s="1645"/>
      <c r="S74" s="472"/>
      <c r="T74" s="183"/>
      <c r="U74" s="183"/>
      <c r="V74" s="183"/>
      <c r="W74" s="183"/>
      <c r="X74" s="183"/>
      <c r="Y74" s="183"/>
      <c r="Z74" s="183"/>
      <c r="AA74" s="183"/>
      <c r="AK74" s="514"/>
      <c r="AL74" s="514"/>
      <c r="AM74" s="514"/>
      <c r="AN74" s="514"/>
      <c r="AO74" s="515"/>
      <c r="AP74" s="515"/>
      <c r="AQ74" s="515"/>
      <c r="AR74" s="515"/>
      <c r="AS74" s="394"/>
      <c r="BA74" s="2"/>
      <c r="BB74" s="2"/>
    </row>
    <row r="75" spans="2:54" ht="30" hidden="1" customHeight="1" outlineLevel="1">
      <c r="B75" s="505"/>
      <c r="C75" s="516"/>
      <c r="D75" s="1640"/>
      <c r="E75" s="1641"/>
      <c r="F75" s="1641"/>
      <c r="G75" s="1641"/>
      <c r="H75" s="1641"/>
      <c r="I75" s="1641"/>
      <c r="J75" s="1641"/>
      <c r="K75" s="1641"/>
      <c r="L75" s="1642"/>
      <c r="M75" s="342"/>
      <c r="N75" s="513"/>
      <c r="O75" s="209"/>
      <c r="P75" s="1643"/>
      <c r="Q75" s="1644"/>
      <c r="R75" s="1645"/>
      <c r="S75" s="472"/>
      <c r="T75" s="183"/>
      <c r="U75" s="183"/>
      <c r="V75" s="183"/>
      <c r="W75" s="183"/>
      <c r="X75" s="183"/>
      <c r="Y75" s="183"/>
      <c r="Z75" s="183"/>
      <c r="AA75" s="183"/>
      <c r="AK75" s="514"/>
      <c r="AL75" s="514"/>
      <c r="AM75" s="514"/>
      <c r="AN75" s="514"/>
      <c r="AO75" s="515"/>
      <c r="AP75" s="515"/>
      <c r="AQ75" s="515"/>
      <c r="AR75" s="515"/>
      <c r="AS75" s="394"/>
      <c r="BA75" s="2"/>
      <c r="BB75" s="2"/>
    </row>
    <row r="76" spans="2:54" ht="30" hidden="1" customHeight="1" outlineLevel="1">
      <c r="B76" s="505"/>
      <c r="C76" s="516"/>
      <c r="D76" s="1640"/>
      <c r="E76" s="1641"/>
      <c r="F76" s="1641"/>
      <c r="G76" s="1641"/>
      <c r="H76" s="1641"/>
      <c r="I76" s="1641"/>
      <c r="J76" s="1641"/>
      <c r="K76" s="1641"/>
      <c r="L76" s="1642"/>
      <c r="M76" s="342"/>
      <c r="N76" s="513"/>
      <c r="O76" s="209"/>
      <c r="P76" s="1643"/>
      <c r="Q76" s="1644"/>
      <c r="R76" s="1645"/>
      <c r="S76" s="472"/>
      <c r="T76" s="183"/>
      <c r="U76" s="183"/>
      <c r="V76" s="183"/>
      <c r="W76" s="183"/>
      <c r="X76" s="183"/>
      <c r="Y76" s="183"/>
      <c r="Z76" s="183"/>
      <c r="AA76" s="183"/>
      <c r="AK76" s="514"/>
      <c r="AL76" s="514"/>
      <c r="AM76" s="514"/>
      <c r="AN76" s="514"/>
      <c r="AO76" s="515"/>
      <c r="AP76" s="515"/>
      <c r="AQ76" s="515"/>
      <c r="AR76" s="515"/>
      <c r="AS76" s="394"/>
      <c r="BA76" s="2"/>
      <c r="BB76" s="2"/>
    </row>
    <row r="77" spans="2:54" ht="30" hidden="1" customHeight="1" outlineLevel="1" thickBot="1">
      <c r="B77" s="517"/>
      <c r="C77" s="512"/>
      <c r="D77" s="1646"/>
      <c r="E77" s="1647"/>
      <c r="F77" s="1647"/>
      <c r="G77" s="1647"/>
      <c r="H77" s="1647"/>
      <c r="I77" s="1647"/>
      <c r="J77" s="1647"/>
      <c r="K77" s="1647"/>
      <c r="L77" s="1648"/>
      <c r="M77" s="342"/>
      <c r="N77" s="513"/>
      <c r="O77" s="518"/>
      <c r="P77" s="1649"/>
      <c r="Q77" s="1650"/>
      <c r="R77" s="1651"/>
      <c r="S77" s="472"/>
      <c r="T77" s="183"/>
      <c r="U77" s="183"/>
      <c r="V77" s="183"/>
      <c r="W77" s="183"/>
      <c r="X77" s="183"/>
      <c r="Y77" s="183"/>
      <c r="Z77" s="183"/>
      <c r="AA77" s="183"/>
      <c r="AK77" s="519"/>
      <c r="AL77" s="519"/>
      <c r="AM77" s="519"/>
      <c r="AN77" s="519"/>
      <c r="AO77" s="520"/>
      <c r="AP77" s="520"/>
      <c r="AQ77" s="515"/>
      <c r="AR77" s="520"/>
      <c r="AS77" s="521"/>
      <c r="BA77" s="2"/>
      <c r="BB77" s="2"/>
    </row>
    <row r="78" spans="2:54" ht="30" customHeight="1" thickTop="1">
      <c r="B78" s="1619" t="s">
        <v>279</v>
      </c>
      <c r="C78" s="1620"/>
      <c r="D78" s="1622"/>
      <c r="E78" s="1623"/>
      <c r="F78" s="1623"/>
      <c r="G78" s="1623"/>
      <c r="H78" s="1623"/>
      <c r="I78" s="1623"/>
      <c r="J78" s="1623"/>
      <c r="K78" s="1623"/>
      <c r="L78" s="1624"/>
      <c r="M78" s="522"/>
      <c r="N78" s="523"/>
      <c r="O78" s="1625"/>
      <c r="P78" s="1628"/>
      <c r="Q78" s="1629"/>
      <c r="R78" s="1630"/>
      <c r="S78" s="492"/>
      <c r="T78" s="183"/>
      <c r="U78" s="183"/>
      <c r="V78" s="183"/>
      <c r="W78" s="183"/>
      <c r="X78" s="183"/>
      <c r="Y78" s="183"/>
      <c r="Z78" s="183"/>
      <c r="AA78" s="183"/>
      <c r="AK78" s="1541" t="s">
        <v>279</v>
      </c>
      <c r="AL78" s="1541"/>
      <c r="AM78" s="1614">
        <f t="shared" ref="AM78:AM92" si="8">D78</f>
        <v>0</v>
      </c>
      <c r="AN78" s="1614"/>
      <c r="AO78" s="341">
        <f t="shared" ref="AO78:AO92" si="9">ROUND(M78*P78%,)</f>
        <v>0</v>
      </c>
      <c r="AP78" s="524">
        <f t="shared" ref="AP78:AP92" si="10">N78</f>
        <v>0</v>
      </c>
      <c r="AQ78" s="525"/>
      <c r="AR78" s="494" t="str">
        <f t="shared" ref="AR78:AR92" si="11">"円/"&amp;AP78</f>
        <v>円/0</v>
      </c>
      <c r="AS78" s="203">
        <f>ROUND(AO78*AQ78,)</f>
        <v>0</v>
      </c>
    </row>
    <row r="79" spans="2:54" ht="30" customHeight="1" collapsed="1" thickBot="1">
      <c r="B79" s="1497"/>
      <c r="C79" s="1621"/>
      <c r="D79" s="1631"/>
      <c r="E79" s="1632"/>
      <c r="F79" s="1632"/>
      <c r="G79" s="1632"/>
      <c r="H79" s="1632"/>
      <c r="I79" s="1632"/>
      <c r="J79" s="1632"/>
      <c r="K79" s="1632"/>
      <c r="L79" s="1633"/>
      <c r="M79" s="526"/>
      <c r="N79" s="527"/>
      <c r="O79" s="1626"/>
      <c r="P79" s="1634"/>
      <c r="Q79" s="1635"/>
      <c r="R79" s="1636"/>
      <c r="S79" s="492"/>
      <c r="T79" s="183"/>
      <c r="U79" s="183"/>
      <c r="V79" s="183"/>
      <c r="W79" s="183"/>
      <c r="X79" s="183"/>
      <c r="Y79" s="183"/>
      <c r="Z79" s="183"/>
      <c r="AA79" s="183"/>
      <c r="AK79" s="1541"/>
      <c r="AL79" s="1541"/>
      <c r="AM79" s="1614">
        <f t="shared" si="8"/>
        <v>0</v>
      </c>
      <c r="AN79" s="1614"/>
      <c r="AO79" s="341">
        <f t="shared" si="9"/>
        <v>0</v>
      </c>
      <c r="AP79" s="524">
        <f t="shared" si="10"/>
        <v>0</v>
      </c>
      <c r="AQ79" s="528"/>
      <c r="AR79" s="494" t="str">
        <f t="shared" si="11"/>
        <v>円/0</v>
      </c>
      <c r="AS79" s="203">
        <f t="shared" ref="AS79:AS92" si="12">ROUND(AO79*AQ79,)</f>
        <v>0</v>
      </c>
    </row>
    <row r="80" spans="2:54" ht="30" hidden="1" customHeight="1" outlineLevel="1">
      <c r="B80" s="1497"/>
      <c r="C80" s="1621"/>
      <c r="D80" s="1637"/>
      <c r="E80" s="1638"/>
      <c r="F80" s="1638"/>
      <c r="G80" s="1638"/>
      <c r="H80" s="1638"/>
      <c r="I80" s="1638"/>
      <c r="J80" s="1638"/>
      <c r="K80" s="1638"/>
      <c r="L80" s="1639"/>
      <c r="M80" s="529"/>
      <c r="N80" s="530"/>
      <c r="O80" s="1626"/>
      <c r="P80" s="1611"/>
      <c r="Q80" s="1612"/>
      <c r="R80" s="1613"/>
      <c r="S80" s="492"/>
      <c r="T80" s="183"/>
      <c r="U80" s="183"/>
      <c r="V80" s="183"/>
      <c r="W80" s="183"/>
      <c r="X80" s="183"/>
      <c r="Y80" s="183"/>
      <c r="Z80" s="183"/>
      <c r="AA80" s="183"/>
      <c r="AK80" s="1541"/>
      <c r="AL80" s="1541"/>
      <c r="AM80" s="1614">
        <f t="shared" si="8"/>
        <v>0</v>
      </c>
      <c r="AN80" s="1614"/>
      <c r="AO80" s="341">
        <f t="shared" si="9"/>
        <v>0</v>
      </c>
      <c r="AP80" s="524">
        <f t="shared" si="10"/>
        <v>0</v>
      </c>
      <c r="AQ80" s="528"/>
      <c r="AR80" s="494" t="str">
        <f t="shared" si="11"/>
        <v>円/0</v>
      </c>
      <c r="AS80" s="203">
        <f t="shared" si="12"/>
        <v>0</v>
      </c>
    </row>
    <row r="81" spans="2:45" ht="30" hidden="1" customHeight="1" outlineLevel="1">
      <c r="B81" s="1497"/>
      <c r="C81" s="1621"/>
      <c r="D81" s="1608"/>
      <c r="E81" s="1609"/>
      <c r="F81" s="1609"/>
      <c r="G81" s="1609"/>
      <c r="H81" s="1609"/>
      <c r="I81" s="1609"/>
      <c r="J81" s="1609"/>
      <c r="K81" s="1609"/>
      <c r="L81" s="1610"/>
      <c r="M81" s="531"/>
      <c r="N81" s="532"/>
      <c r="O81" s="1626"/>
      <c r="P81" s="1611"/>
      <c r="Q81" s="1612"/>
      <c r="R81" s="1613"/>
      <c r="S81" s="492"/>
      <c r="T81" s="183"/>
      <c r="U81" s="183"/>
      <c r="V81" s="183"/>
      <c r="W81" s="183"/>
      <c r="X81" s="183"/>
      <c r="Y81" s="183"/>
      <c r="Z81" s="183"/>
      <c r="AA81" s="183"/>
      <c r="AK81" s="1541"/>
      <c r="AL81" s="1541"/>
      <c r="AM81" s="1614">
        <f t="shared" si="8"/>
        <v>0</v>
      </c>
      <c r="AN81" s="1614"/>
      <c r="AO81" s="341">
        <f t="shared" si="9"/>
        <v>0</v>
      </c>
      <c r="AP81" s="524">
        <f t="shared" si="10"/>
        <v>0</v>
      </c>
      <c r="AQ81" s="528"/>
      <c r="AR81" s="494" t="str">
        <f t="shared" si="11"/>
        <v>円/0</v>
      </c>
      <c r="AS81" s="203">
        <f t="shared" si="12"/>
        <v>0</v>
      </c>
    </row>
    <row r="82" spans="2:45" ht="30" hidden="1" customHeight="1" outlineLevel="1">
      <c r="B82" s="1497"/>
      <c r="C82" s="1621"/>
      <c r="D82" s="1608"/>
      <c r="E82" s="1609"/>
      <c r="F82" s="1609"/>
      <c r="G82" s="1609"/>
      <c r="H82" s="1609"/>
      <c r="I82" s="1609"/>
      <c r="J82" s="1609"/>
      <c r="K82" s="1609"/>
      <c r="L82" s="1610"/>
      <c r="M82" s="531"/>
      <c r="N82" s="532"/>
      <c r="O82" s="1626"/>
      <c r="P82" s="1611"/>
      <c r="Q82" s="1612"/>
      <c r="R82" s="1613"/>
      <c r="S82" s="492"/>
      <c r="T82" s="183"/>
      <c r="U82" s="183"/>
      <c r="V82" s="183"/>
      <c r="W82" s="183"/>
      <c r="X82" s="183"/>
      <c r="Y82" s="183"/>
      <c r="Z82" s="183"/>
      <c r="AA82" s="183"/>
      <c r="AK82" s="1541"/>
      <c r="AL82" s="1541"/>
      <c r="AM82" s="1614">
        <f t="shared" si="8"/>
        <v>0</v>
      </c>
      <c r="AN82" s="1614"/>
      <c r="AO82" s="341">
        <f t="shared" si="9"/>
        <v>0</v>
      </c>
      <c r="AP82" s="524">
        <f t="shared" si="10"/>
        <v>0</v>
      </c>
      <c r="AQ82" s="528"/>
      <c r="AR82" s="494" t="str">
        <f t="shared" si="11"/>
        <v>円/0</v>
      </c>
      <c r="AS82" s="203">
        <f t="shared" si="12"/>
        <v>0</v>
      </c>
    </row>
    <row r="83" spans="2:45" ht="30" hidden="1" customHeight="1" outlineLevel="1">
      <c r="B83" s="1497"/>
      <c r="C83" s="1621"/>
      <c r="D83" s="1608"/>
      <c r="E83" s="1609"/>
      <c r="F83" s="1609"/>
      <c r="G83" s="1609"/>
      <c r="H83" s="1609"/>
      <c r="I83" s="1609"/>
      <c r="J83" s="1609"/>
      <c r="K83" s="1609"/>
      <c r="L83" s="1610"/>
      <c r="M83" s="531"/>
      <c r="N83" s="532"/>
      <c r="O83" s="1626"/>
      <c r="P83" s="1611"/>
      <c r="Q83" s="1612"/>
      <c r="R83" s="1613"/>
      <c r="S83" s="492"/>
      <c r="T83" s="183"/>
      <c r="U83" s="183"/>
      <c r="V83" s="183"/>
      <c r="W83" s="183"/>
      <c r="X83" s="183"/>
      <c r="Y83" s="183"/>
      <c r="Z83" s="183"/>
      <c r="AA83" s="183"/>
      <c r="AK83" s="1541"/>
      <c r="AL83" s="1541"/>
      <c r="AM83" s="1614">
        <f t="shared" si="8"/>
        <v>0</v>
      </c>
      <c r="AN83" s="1614"/>
      <c r="AO83" s="341">
        <f t="shared" si="9"/>
        <v>0</v>
      </c>
      <c r="AP83" s="524">
        <f t="shared" si="10"/>
        <v>0</v>
      </c>
      <c r="AQ83" s="528"/>
      <c r="AR83" s="494" t="str">
        <f t="shared" si="11"/>
        <v>円/0</v>
      </c>
      <c r="AS83" s="203">
        <f t="shared" si="12"/>
        <v>0</v>
      </c>
    </row>
    <row r="84" spans="2:45" ht="30" hidden="1" customHeight="1" outlineLevel="1">
      <c r="B84" s="1497"/>
      <c r="C84" s="1621"/>
      <c r="D84" s="1608"/>
      <c r="E84" s="1609"/>
      <c r="F84" s="1609"/>
      <c r="G84" s="1609"/>
      <c r="H84" s="1609"/>
      <c r="I84" s="1609"/>
      <c r="J84" s="1609"/>
      <c r="K84" s="1609"/>
      <c r="L84" s="1610"/>
      <c r="M84" s="531"/>
      <c r="N84" s="532"/>
      <c r="O84" s="1626"/>
      <c r="P84" s="1611"/>
      <c r="Q84" s="1612"/>
      <c r="R84" s="1613"/>
      <c r="S84" s="492"/>
      <c r="T84" s="183"/>
      <c r="U84" s="183"/>
      <c r="V84" s="183"/>
      <c r="W84" s="183"/>
      <c r="X84" s="183"/>
      <c r="Y84" s="183"/>
      <c r="Z84" s="183"/>
      <c r="AA84" s="183"/>
      <c r="AK84" s="1541"/>
      <c r="AL84" s="1541"/>
      <c r="AM84" s="1614">
        <f t="shared" si="8"/>
        <v>0</v>
      </c>
      <c r="AN84" s="1614"/>
      <c r="AO84" s="341">
        <f t="shared" si="9"/>
        <v>0</v>
      </c>
      <c r="AP84" s="524">
        <f t="shared" si="10"/>
        <v>0</v>
      </c>
      <c r="AQ84" s="528"/>
      <c r="AR84" s="494" t="str">
        <f t="shared" si="11"/>
        <v>円/0</v>
      </c>
      <c r="AS84" s="203">
        <f t="shared" si="12"/>
        <v>0</v>
      </c>
    </row>
    <row r="85" spans="2:45" ht="30" hidden="1" customHeight="1" outlineLevel="1">
      <c r="B85" s="1497"/>
      <c r="C85" s="1621"/>
      <c r="D85" s="1608"/>
      <c r="E85" s="1609"/>
      <c r="F85" s="1609"/>
      <c r="G85" s="1609"/>
      <c r="H85" s="1609"/>
      <c r="I85" s="1609"/>
      <c r="J85" s="1609"/>
      <c r="K85" s="1609"/>
      <c r="L85" s="1610"/>
      <c r="M85" s="531"/>
      <c r="N85" s="532"/>
      <c r="O85" s="1626"/>
      <c r="P85" s="1611"/>
      <c r="Q85" s="1612"/>
      <c r="R85" s="1613"/>
      <c r="S85" s="492"/>
      <c r="T85" s="183"/>
      <c r="U85" s="183"/>
      <c r="V85" s="183"/>
      <c r="W85" s="183"/>
      <c r="X85" s="183"/>
      <c r="Y85" s="183"/>
      <c r="Z85" s="183"/>
      <c r="AA85" s="183"/>
      <c r="AK85" s="1541"/>
      <c r="AL85" s="1541"/>
      <c r="AM85" s="1614">
        <f t="shared" si="8"/>
        <v>0</v>
      </c>
      <c r="AN85" s="1614"/>
      <c r="AO85" s="341">
        <f t="shared" si="9"/>
        <v>0</v>
      </c>
      <c r="AP85" s="524">
        <f t="shared" si="10"/>
        <v>0</v>
      </c>
      <c r="AQ85" s="528"/>
      <c r="AR85" s="494" t="str">
        <f t="shared" si="11"/>
        <v>円/0</v>
      </c>
      <c r="AS85" s="203">
        <f t="shared" si="12"/>
        <v>0</v>
      </c>
    </row>
    <row r="86" spans="2:45" ht="30" hidden="1" customHeight="1" outlineLevel="1">
      <c r="B86" s="1497"/>
      <c r="C86" s="1621"/>
      <c r="D86" s="1608"/>
      <c r="E86" s="1609"/>
      <c r="F86" s="1609"/>
      <c r="G86" s="1609"/>
      <c r="H86" s="1609"/>
      <c r="I86" s="1609"/>
      <c r="J86" s="1609"/>
      <c r="K86" s="1609"/>
      <c r="L86" s="1610"/>
      <c r="M86" s="531"/>
      <c r="N86" s="532"/>
      <c r="O86" s="1626"/>
      <c r="P86" s="1611"/>
      <c r="Q86" s="1612"/>
      <c r="R86" s="1613"/>
      <c r="S86" s="492"/>
      <c r="T86" s="183"/>
      <c r="U86" s="183"/>
      <c r="V86" s="183"/>
      <c r="W86" s="183"/>
      <c r="X86" s="183"/>
      <c r="Y86" s="183"/>
      <c r="Z86" s="183"/>
      <c r="AA86" s="183"/>
      <c r="AK86" s="1541"/>
      <c r="AL86" s="1541"/>
      <c r="AM86" s="1614">
        <f t="shared" si="8"/>
        <v>0</v>
      </c>
      <c r="AN86" s="1614"/>
      <c r="AO86" s="341">
        <f t="shared" si="9"/>
        <v>0</v>
      </c>
      <c r="AP86" s="524">
        <f t="shared" si="10"/>
        <v>0</v>
      </c>
      <c r="AQ86" s="528"/>
      <c r="AR86" s="494" t="str">
        <f t="shared" si="11"/>
        <v>円/0</v>
      </c>
      <c r="AS86" s="203">
        <f t="shared" si="12"/>
        <v>0</v>
      </c>
    </row>
    <row r="87" spans="2:45" ht="30" hidden="1" customHeight="1" outlineLevel="1">
      <c r="B87" s="1497"/>
      <c r="C87" s="1621"/>
      <c r="D87" s="1608"/>
      <c r="E87" s="1609"/>
      <c r="F87" s="1609"/>
      <c r="G87" s="1609"/>
      <c r="H87" s="1609"/>
      <c r="I87" s="1609"/>
      <c r="J87" s="1609"/>
      <c r="K87" s="1609"/>
      <c r="L87" s="1610"/>
      <c r="M87" s="531"/>
      <c r="N87" s="532"/>
      <c r="O87" s="1626"/>
      <c r="P87" s="1611"/>
      <c r="Q87" s="1612"/>
      <c r="R87" s="1613"/>
      <c r="S87" s="492"/>
      <c r="T87" s="183"/>
      <c r="U87" s="183"/>
      <c r="V87" s="183"/>
      <c r="W87" s="183"/>
      <c r="X87" s="183"/>
      <c r="Y87" s="183"/>
      <c r="Z87" s="183"/>
      <c r="AA87" s="183"/>
      <c r="AK87" s="1541"/>
      <c r="AL87" s="1541"/>
      <c r="AM87" s="1614">
        <f t="shared" si="8"/>
        <v>0</v>
      </c>
      <c r="AN87" s="1614"/>
      <c r="AO87" s="341">
        <f t="shared" si="9"/>
        <v>0</v>
      </c>
      <c r="AP87" s="524">
        <f t="shared" si="10"/>
        <v>0</v>
      </c>
      <c r="AQ87" s="528"/>
      <c r="AR87" s="494" t="str">
        <f t="shared" si="11"/>
        <v>円/0</v>
      </c>
      <c r="AS87" s="203">
        <f t="shared" si="12"/>
        <v>0</v>
      </c>
    </row>
    <row r="88" spans="2:45" ht="30" hidden="1" customHeight="1" outlineLevel="1">
      <c r="B88" s="1497"/>
      <c r="C88" s="1621"/>
      <c r="D88" s="1608"/>
      <c r="E88" s="1609"/>
      <c r="F88" s="1609"/>
      <c r="G88" s="1609"/>
      <c r="H88" s="1609"/>
      <c r="I88" s="1609"/>
      <c r="J88" s="1609"/>
      <c r="K88" s="1609"/>
      <c r="L88" s="1610"/>
      <c r="M88" s="531"/>
      <c r="N88" s="532"/>
      <c r="O88" s="1626"/>
      <c r="P88" s="1611"/>
      <c r="Q88" s="1612"/>
      <c r="R88" s="1613"/>
      <c r="S88" s="492"/>
      <c r="T88" s="183"/>
      <c r="U88" s="183"/>
      <c r="V88" s="183"/>
      <c r="W88" s="183"/>
      <c r="X88" s="183"/>
      <c r="Y88" s="183"/>
      <c r="Z88" s="183"/>
      <c r="AA88" s="183"/>
      <c r="AK88" s="1541"/>
      <c r="AL88" s="1541"/>
      <c r="AM88" s="1614">
        <f t="shared" si="8"/>
        <v>0</v>
      </c>
      <c r="AN88" s="1614"/>
      <c r="AO88" s="341">
        <f t="shared" si="9"/>
        <v>0</v>
      </c>
      <c r="AP88" s="524">
        <f t="shared" si="10"/>
        <v>0</v>
      </c>
      <c r="AQ88" s="528"/>
      <c r="AR88" s="494" t="str">
        <f t="shared" si="11"/>
        <v>円/0</v>
      </c>
      <c r="AS88" s="203">
        <f t="shared" si="12"/>
        <v>0</v>
      </c>
    </row>
    <row r="89" spans="2:45" ht="30" hidden="1" customHeight="1" outlineLevel="1">
      <c r="B89" s="1497"/>
      <c r="C89" s="1621"/>
      <c r="D89" s="1608"/>
      <c r="E89" s="1609"/>
      <c r="F89" s="1609"/>
      <c r="G89" s="1609"/>
      <c r="H89" s="1609"/>
      <c r="I89" s="1609"/>
      <c r="J89" s="1609"/>
      <c r="K89" s="1609"/>
      <c r="L89" s="1610"/>
      <c r="M89" s="531"/>
      <c r="N89" s="532"/>
      <c r="O89" s="1626"/>
      <c r="P89" s="1611"/>
      <c r="Q89" s="1612"/>
      <c r="R89" s="1613"/>
      <c r="S89" s="492"/>
      <c r="T89" s="183"/>
      <c r="U89" s="183"/>
      <c r="V89" s="183"/>
      <c r="W89" s="183"/>
      <c r="X89" s="183"/>
      <c r="Y89" s="183"/>
      <c r="Z89" s="183"/>
      <c r="AA89" s="183"/>
      <c r="AK89" s="1541"/>
      <c r="AL89" s="1541"/>
      <c r="AM89" s="1614">
        <f t="shared" si="8"/>
        <v>0</v>
      </c>
      <c r="AN89" s="1614"/>
      <c r="AO89" s="341">
        <f t="shared" si="9"/>
        <v>0</v>
      </c>
      <c r="AP89" s="524">
        <f t="shared" si="10"/>
        <v>0</v>
      </c>
      <c r="AQ89" s="528"/>
      <c r="AR89" s="494" t="str">
        <f t="shared" si="11"/>
        <v>円/0</v>
      </c>
      <c r="AS89" s="203">
        <f t="shared" si="12"/>
        <v>0</v>
      </c>
    </row>
    <row r="90" spans="2:45" ht="30" hidden="1" customHeight="1" outlineLevel="1">
      <c r="B90" s="1497"/>
      <c r="C90" s="1621"/>
      <c r="D90" s="1608"/>
      <c r="E90" s="1609"/>
      <c r="F90" s="1609"/>
      <c r="G90" s="1609"/>
      <c r="H90" s="1609"/>
      <c r="I90" s="1609"/>
      <c r="J90" s="1609"/>
      <c r="K90" s="1609"/>
      <c r="L90" s="1610"/>
      <c r="M90" s="531"/>
      <c r="N90" s="532"/>
      <c r="O90" s="1626"/>
      <c r="P90" s="1611"/>
      <c r="Q90" s="1612"/>
      <c r="R90" s="1613"/>
      <c r="S90" s="492"/>
      <c r="T90" s="183"/>
      <c r="U90" s="183"/>
      <c r="V90" s="183"/>
      <c r="W90" s="183"/>
      <c r="X90" s="183"/>
      <c r="Y90" s="183"/>
      <c r="Z90" s="183"/>
      <c r="AA90" s="183"/>
      <c r="AK90" s="1541"/>
      <c r="AL90" s="1541"/>
      <c r="AM90" s="1614">
        <f t="shared" si="8"/>
        <v>0</v>
      </c>
      <c r="AN90" s="1614"/>
      <c r="AO90" s="341">
        <f t="shared" si="9"/>
        <v>0</v>
      </c>
      <c r="AP90" s="524">
        <f t="shared" si="10"/>
        <v>0</v>
      </c>
      <c r="AQ90" s="528"/>
      <c r="AR90" s="494" t="str">
        <f t="shared" si="11"/>
        <v>円/0</v>
      </c>
      <c r="AS90" s="203">
        <f t="shared" si="12"/>
        <v>0</v>
      </c>
    </row>
    <row r="91" spans="2:45" ht="30" hidden="1" customHeight="1" outlineLevel="1">
      <c r="B91" s="1497"/>
      <c r="C91" s="1621"/>
      <c r="D91" s="1608"/>
      <c r="E91" s="1609"/>
      <c r="F91" s="1609"/>
      <c r="G91" s="1609"/>
      <c r="H91" s="1609"/>
      <c r="I91" s="1609"/>
      <c r="J91" s="1609"/>
      <c r="K91" s="1609"/>
      <c r="L91" s="1610"/>
      <c r="M91" s="531"/>
      <c r="N91" s="532"/>
      <c r="O91" s="1626"/>
      <c r="P91" s="1611"/>
      <c r="Q91" s="1612"/>
      <c r="R91" s="1613"/>
      <c r="S91" s="492"/>
      <c r="T91" s="183"/>
      <c r="U91" s="183"/>
      <c r="V91" s="183"/>
      <c r="W91" s="183"/>
      <c r="X91" s="183"/>
      <c r="Y91" s="183"/>
      <c r="Z91" s="183"/>
      <c r="AA91" s="183"/>
      <c r="AK91" s="1541"/>
      <c r="AL91" s="1541"/>
      <c r="AM91" s="1614">
        <f t="shared" si="8"/>
        <v>0</v>
      </c>
      <c r="AN91" s="1614"/>
      <c r="AO91" s="341">
        <f t="shared" si="9"/>
        <v>0</v>
      </c>
      <c r="AP91" s="524">
        <f t="shared" si="10"/>
        <v>0</v>
      </c>
      <c r="AQ91" s="528"/>
      <c r="AR91" s="494" t="str">
        <f t="shared" si="11"/>
        <v>円/0</v>
      </c>
      <c r="AS91" s="203">
        <f t="shared" si="12"/>
        <v>0</v>
      </c>
    </row>
    <row r="92" spans="2:45" ht="30" hidden="1" customHeight="1" outlineLevel="1" thickBot="1">
      <c r="B92" s="1497"/>
      <c r="C92" s="1621"/>
      <c r="D92" s="1615"/>
      <c r="E92" s="1616"/>
      <c r="F92" s="1616"/>
      <c r="G92" s="1616"/>
      <c r="H92" s="1616"/>
      <c r="I92" s="1616"/>
      <c r="J92" s="1616"/>
      <c r="K92" s="1616"/>
      <c r="L92" s="1617"/>
      <c r="M92" s="533"/>
      <c r="N92" s="359"/>
      <c r="O92" s="1627"/>
      <c r="P92" s="1611"/>
      <c r="Q92" s="1612"/>
      <c r="R92" s="1613"/>
      <c r="S92" s="492"/>
      <c r="T92" s="183"/>
      <c r="U92" s="183"/>
      <c r="V92" s="183"/>
      <c r="W92" s="183"/>
      <c r="X92" s="183"/>
      <c r="Y92" s="183"/>
      <c r="Z92" s="183"/>
      <c r="AA92" s="183"/>
      <c r="AK92" s="1541"/>
      <c r="AL92" s="1541"/>
      <c r="AM92" s="1618">
        <f t="shared" si="8"/>
        <v>0</v>
      </c>
      <c r="AN92" s="1618"/>
      <c r="AO92" s="385">
        <f t="shared" si="9"/>
        <v>0</v>
      </c>
      <c r="AP92" s="534">
        <f t="shared" si="10"/>
        <v>0</v>
      </c>
      <c r="AQ92" s="535"/>
      <c r="AR92" s="536" t="str">
        <f t="shared" si="11"/>
        <v>円/0</v>
      </c>
      <c r="AS92" s="537">
        <f t="shared" si="12"/>
        <v>0</v>
      </c>
    </row>
    <row r="93" spans="2:45" ht="30" customHeight="1" thickTop="1">
      <c r="B93" s="1060" t="s">
        <v>1305</v>
      </c>
      <c r="C93" s="391"/>
      <c r="D93" s="392"/>
      <c r="E93" s="392"/>
      <c r="F93" s="392"/>
      <c r="G93" s="392"/>
      <c r="H93" s="392"/>
      <c r="I93" s="392"/>
      <c r="J93" s="392"/>
      <c r="K93" s="392"/>
      <c r="L93" s="392"/>
      <c r="M93" s="392"/>
      <c r="N93" s="392"/>
      <c r="O93" s="391"/>
      <c r="P93" s="392"/>
      <c r="Q93" s="392"/>
      <c r="R93" s="392"/>
      <c r="S93" s="183"/>
      <c r="T93" s="183"/>
      <c r="U93" s="183"/>
      <c r="V93" s="183"/>
      <c r="W93" s="183"/>
      <c r="X93" s="183"/>
      <c r="Y93" s="183"/>
      <c r="Z93" s="183"/>
      <c r="AA93" s="183"/>
      <c r="AK93" s="1607" t="s">
        <v>385</v>
      </c>
      <c r="AL93" s="1607"/>
      <c r="AM93" s="1603"/>
      <c r="AN93" s="1603"/>
      <c r="AO93" s="538"/>
      <c r="AP93" s="538"/>
      <c r="AQ93" s="539"/>
      <c r="AR93" s="538"/>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AU39" xr:uid="{00000000-0002-0000-0C00-000004000000}">
      <formula1>1</formula1>
      <formula2>15</formula2>
    </dataValidation>
    <dataValidation type="whole" showInputMessage="1" showErrorMessage="1" sqref="AT39" xr:uid="{00000000-0002-0000-0C00-000005000000}">
      <formula1>1</formula1>
      <formula2>30</formula2>
    </dataValidation>
  </dataValidations>
  <pageMargins left="0.59055118110236227" right="0.59055118110236227" top="0.59055118110236227" bottom="0.59055118110236227" header="0" footer="0"/>
  <pageSetup paperSize="9" scale="55"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1272" r:id="rId4" name="btnKoushin2">
          <controlPr defaultSize="0" print="0" autoLine="0" r:id="rId5">
            <anchor moveWithCells="1">
              <from>
                <xdr:col>47</xdr:col>
                <xdr:colOff>104775</xdr:colOff>
                <xdr:row>37</xdr:row>
                <xdr:rowOff>9525</xdr:rowOff>
              </from>
              <to>
                <xdr:col>53</xdr:col>
                <xdr:colOff>76200</xdr:colOff>
                <xdr:row>38</xdr:row>
                <xdr:rowOff>171450</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r:id="rId7">
            <anchor moveWithCells="1">
              <from>
                <xdr:col>45</xdr:col>
                <xdr:colOff>142875</xdr:colOff>
                <xdr:row>0</xdr:row>
                <xdr:rowOff>723900</xdr:rowOff>
              </from>
              <to>
                <xdr:col>46</xdr:col>
                <xdr:colOff>381000</xdr:colOff>
                <xdr:row>3</xdr:row>
                <xdr:rowOff>9525</xdr:rowOff>
              </to>
            </anchor>
          </controlPr>
        </control>
      </mc:Choice>
      <mc:Fallback>
        <control shapeId="11267" r:id="rId6" name="btnKoushi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376</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386</v>
      </c>
      <c r="D4" s="48"/>
      <c r="E4" s="48"/>
      <c r="F4" s="48"/>
      <c r="G4" s="48"/>
      <c r="H4" s="48"/>
      <c r="I4" s="48"/>
      <c r="J4" s="48"/>
      <c r="K4" s="48"/>
      <c r="L4" s="48"/>
      <c r="M4" s="48"/>
      <c r="N4" s="48"/>
      <c r="O4" s="48"/>
      <c r="P4" s="48"/>
      <c r="Q4" s="48"/>
      <c r="R4" s="48"/>
      <c r="S4" s="48"/>
      <c r="T4" s="48"/>
      <c r="U4" s="48"/>
      <c r="V4" s="48"/>
      <c r="W4" s="48"/>
      <c r="AU4" s="128" t="s">
        <v>386</v>
      </c>
      <c r="AV4" s="106"/>
      <c r="AW4" s="144"/>
      <c r="AY4" s="144"/>
      <c r="BA4" s="144"/>
    </row>
    <row r="5" spans="1:53" s="30" customFormat="1" ht="18" customHeight="1">
      <c r="A5" s="67"/>
      <c r="B5" s="1739" t="s">
        <v>1409</v>
      </c>
      <c r="C5" s="1739"/>
      <c r="D5" s="1739"/>
      <c r="E5" s="1739"/>
      <c r="F5" s="1739"/>
      <c r="G5" s="1739"/>
      <c r="H5" s="1739"/>
      <c r="I5" s="1739"/>
      <c r="J5" s="1739"/>
      <c r="K5" s="1739"/>
      <c r="L5" s="1739"/>
      <c r="M5" s="1739"/>
      <c r="N5" s="1739"/>
      <c r="O5" s="1739"/>
      <c r="P5" s="1739"/>
      <c r="Q5" s="1739"/>
      <c r="R5" s="1739"/>
      <c r="S5" s="1739"/>
      <c r="T5" s="1739"/>
      <c r="U5" s="1739"/>
      <c r="V5" s="1739"/>
      <c r="W5" s="1739"/>
      <c r="X5" s="1739"/>
      <c r="Y5" s="1739"/>
      <c r="Z5" s="1739"/>
      <c r="AA5" s="1739"/>
      <c r="AB5" s="1739"/>
      <c r="AC5" s="1739"/>
      <c r="AD5" s="1739"/>
      <c r="AE5" s="1739"/>
      <c r="AF5" s="1739"/>
      <c r="AG5" s="1739"/>
      <c r="AH5" s="1739"/>
      <c r="AU5" s="146"/>
      <c r="AV5" s="146"/>
      <c r="AW5" s="146"/>
      <c r="AX5" s="2"/>
      <c r="AY5" s="146"/>
      <c r="AZ5" s="2"/>
      <c r="BA5" s="146"/>
    </row>
    <row r="6" spans="1:53" ht="14.1" customHeight="1">
      <c r="A6" s="67"/>
      <c r="B6" s="1739"/>
      <c r="C6" s="1739"/>
      <c r="D6" s="1739"/>
      <c r="E6" s="1739"/>
      <c r="F6" s="1739"/>
      <c r="G6" s="1739"/>
      <c r="H6" s="1739"/>
      <c r="I6" s="1739"/>
      <c r="J6" s="1739"/>
      <c r="K6" s="1739"/>
      <c r="L6" s="1739"/>
      <c r="M6" s="1739"/>
      <c r="N6" s="1739"/>
      <c r="O6" s="1739"/>
      <c r="P6" s="1739"/>
      <c r="Q6" s="1739"/>
      <c r="R6" s="1739"/>
      <c r="S6" s="1739"/>
      <c r="T6" s="1739"/>
      <c r="U6" s="1739"/>
      <c r="V6" s="1739"/>
      <c r="W6" s="1739"/>
      <c r="X6" s="1739"/>
      <c r="Y6" s="1739"/>
      <c r="Z6" s="1739"/>
      <c r="AA6" s="1739"/>
      <c r="AB6" s="1739"/>
      <c r="AC6" s="1739"/>
      <c r="AD6" s="1739"/>
      <c r="AE6" s="1739"/>
      <c r="AF6" s="1739"/>
      <c r="AG6" s="1739"/>
      <c r="AH6" s="1739"/>
      <c r="AI6" s="30"/>
    </row>
    <row r="7" spans="1:53" ht="14.25" customHeight="1">
      <c r="A7" s="47"/>
      <c r="B7" s="1739"/>
      <c r="C7" s="1739"/>
      <c r="D7" s="1739"/>
      <c r="E7" s="1739"/>
      <c r="F7" s="1739"/>
      <c r="G7" s="1739"/>
      <c r="H7" s="1739"/>
      <c r="I7" s="1739"/>
      <c r="J7" s="1739"/>
      <c r="K7" s="1739"/>
      <c r="L7" s="1739"/>
      <c r="M7" s="1739"/>
      <c r="N7" s="1739"/>
      <c r="O7" s="1739"/>
      <c r="P7" s="1739"/>
      <c r="Q7" s="1739"/>
      <c r="R7" s="1739"/>
      <c r="S7" s="1739"/>
      <c r="T7" s="1739"/>
      <c r="U7" s="1739"/>
      <c r="V7" s="1739"/>
      <c r="W7" s="1739"/>
      <c r="X7" s="1739"/>
      <c r="Y7" s="1739"/>
      <c r="Z7" s="1739"/>
      <c r="AA7" s="1739"/>
      <c r="AB7" s="1739"/>
      <c r="AC7" s="1739"/>
      <c r="AD7" s="1739"/>
      <c r="AE7" s="1739"/>
      <c r="AF7" s="1739"/>
      <c r="AG7" s="1739"/>
      <c r="AH7" s="1739"/>
    </row>
    <row r="8" spans="1:53" ht="14.25" customHeight="1" thickBot="1">
      <c r="A8" s="47"/>
      <c r="B8" s="1826"/>
      <c r="C8" s="1826"/>
      <c r="D8" s="1826"/>
      <c r="E8" s="1826"/>
      <c r="F8" s="1826"/>
      <c r="G8" s="1826"/>
      <c r="H8" s="1826"/>
      <c r="I8" s="1826"/>
      <c r="J8" s="1826"/>
      <c r="K8" s="1826"/>
      <c r="L8" s="1826"/>
      <c r="M8" s="1826"/>
      <c r="N8" s="1826"/>
      <c r="O8" s="1826"/>
      <c r="P8" s="1826"/>
      <c r="Q8" s="1826"/>
      <c r="R8" s="1826"/>
      <c r="S8" s="1826"/>
      <c r="T8" s="1826"/>
      <c r="U8" s="1826"/>
      <c r="V8" s="1826"/>
      <c r="W8" s="1826"/>
      <c r="X8" s="1826"/>
      <c r="Y8" s="1826"/>
      <c r="Z8" s="1826"/>
      <c r="AA8" s="1826"/>
      <c r="AB8" s="1826"/>
      <c r="AC8" s="1826"/>
      <c r="AD8" s="1826"/>
      <c r="AE8" s="1826"/>
      <c r="AF8" s="1826"/>
      <c r="AG8" s="1826"/>
      <c r="AH8" s="1826"/>
    </row>
    <row r="9" spans="1:53" ht="14.1" customHeight="1">
      <c r="A9" s="329"/>
      <c r="B9" s="1290" t="s">
        <v>387</v>
      </c>
      <c r="C9" s="1291"/>
      <c r="D9" s="1291"/>
      <c r="E9" s="1291"/>
      <c r="F9" s="1291"/>
      <c r="G9" s="1291"/>
      <c r="H9" s="1291"/>
      <c r="I9" s="1291"/>
      <c r="J9" s="1291"/>
      <c r="K9" s="1291"/>
      <c r="L9" s="1291"/>
      <c r="M9" s="1468"/>
      <c r="N9" s="1510" t="s">
        <v>350</v>
      </c>
      <c r="O9" s="1827"/>
      <c r="P9" s="1827"/>
      <c r="Q9" s="1827"/>
      <c r="R9" s="1827"/>
      <c r="S9" s="1827"/>
      <c r="T9" s="1827"/>
      <c r="U9" s="1827"/>
      <c r="V9" s="1827"/>
      <c r="W9" s="462"/>
      <c r="X9" s="1208" t="s">
        <v>351</v>
      </c>
      <c r="Y9" s="1205"/>
      <c r="Z9" s="1205"/>
      <c r="AA9" s="1205"/>
      <c r="AB9" s="1205"/>
      <c r="AC9" s="1205"/>
      <c r="AD9" s="1205"/>
      <c r="AE9" s="1209"/>
      <c r="AF9" s="1212" t="s">
        <v>1403</v>
      </c>
      <c r="AG9" s="1213"/>
      <c r="AH9" s="1214"/>
      <c r="AU9" s="1603" t="s">
        <v>388</v>
      </c>
      <c r="AV9" s="1603"/>
      <c r="AW9" s="1665" t="s">
        <v>350</v>
      </c>
      <c r="AX9" s="1666"/>
      <c r="AY9" s="1665" t="s">
        <v>237</v>
      </c>
      <c r="AZ9" s="1666"/>
      <c r="BA9" s="1671" t="s">
        <v>378</v>
      </c>
    </row>
    <row r="10" spans="1:53" ht="14.1" customHeight="1">
      <c r="A10" s="329"/>
      <c r="B10" s="1275"/>
      <c r="C10" s="1276"/>
      <c r="D10" s="1276"/>
      <c r="E10" s="1276"/>
      <c r="F10" s="1276"/>
      <c r="G10" s="1276"/>
      <c r="H10" s="1276"/>
      <c r="I10" s="1276"/>
      <c r="J10" s="1276"/>
      <c r="K10" s="1276"/>
      <c r="L10" s="1276"/>
      <c r="M10" s="1277"/>
      <c r="N10" s="1511"/>
      <c r="O10" s="1828"/>
      <c r="P10" s="1828"/>
      <c r="Q10" s="1828"/>
      <c r="R10" s="1828"/>
      <c r="S10" s="1828"/>
      <c r="T10" s="1828"/>
      <c r="U10" s="1828"/>
      <c r="V10" s="1828"/>
      <c r="W10" s="1673" t="s">
        <v>126</v>
      </c>
      <c r="X10" s="1532"/>
      <c r="Y10" s="1418"/>
      <c r="Z10" s="1418"/>
      <c r="AA10" s="1418"/>
      <c r="AB10" s="1418"/>
      <c r="AC10" s="1418"/>
      <c r="AD10" s="1418"/>
      <c r="AE10" s="1533"/>
      <c r="AF10" s="1690"/>
      <c r="AG10" s="1832"/>
      <c r="AH10" s="1833"/>
      <c r="AU10" s="1603"/>
      <c r="AV10" s="1603"/>
      <c r="AW10" s="1667"/>
      <c r="AX10" s="1668"/>
      <c r="AY10" s="1667"/>
      <c r="AZ10" s="1668"/>
      <c r="BA10" s="1672"/>
    </row>
    <row r="11" spans="1:53" ht="14.1" customHeight="1" thickBot="1">
      <c r="A11" s="329"/>
      <c r="B11" s="1265"/>
      <c r="C11" s="1266"/>
      <c r="D11" s="1266"/>
      <c r="E11" s="1266"/>
      <c r="F11" s="1266"/>
      <c r="G11" s="1266"/>
      <c r="H11" s="1266"/>
      <c r="I11" s="1266"/>
      <c r="J11" s="1266"/>
      <c r="K11" s="1266"/>
      <c r="L11" s="1266"/>
      <c r="M11" s="1267"/>
      <c r="N11" s="1687"/>
      <c r="O11" s="1829"/>
      <c r="P11" s="1829"/>
      <c r="Q11" s="1829"/>
      <c r="R11" s="1829"/>
      <c r="S11" s="1829"/>
      <c r="T11" s="1829"/>
      <c r="U11" s="1829"/>
      <c r="V11" s="1829"/>
      <c r="W11" s="1674"/>
      <c r="X11" s="1581"/>
      <c r="Y11" s="1830"/>
      <c r="Z11" s="1830"/>
      <c r="AA11" s="1830"/>
      <c r="AB11" s="1830"/>
      <c r="AC11" s="1830"/>
      <c r="AD11" s="1830"/>
      <c r="AE11" s="1831"/>
      <c r="AF11" s="1834"/>
      <c r="AG11" s="1835"/>
      <c r="AH11" s="1836"/>
      <c r="AU11" s="1603"/>
      <c r="AV11" s="1603"/>
      <c r="AW11" s="1669"/>
      <c r="AX11" s="1670"/>
      <c r="AY11" s="1669"/>
      <c r="AZ11" s="1670"/>
      <c r="BA11" s="1607"/>
    </row>
    <row r="12" spans="1:53" ht="30" customHeight="1" thickTop="1" thickBot="1">
      <c r="A12" s="329"/>
      <c r="B12" s="1813" t="s">
        <v>249</v>
      </c>
      <c r="C12" s="1814"/>
      <c r="D12" s="1814"/>
      <c r="E12" s="1814"/>
      <c r="F12" s="1814"/>
      <c r="G12" s="1814"/>
      <c r="H12" s="1814"/>
      <c r="I12" s="1814"/>
      <c r="J12" s="1814"/>
      <c r="K12" s="1814"/>
      <c r="L12" s="1814"/>
      <c r="M12" s="1815"/>
      <c r="N12" s="1816"/>
      <c r="O12" s="1817"/>
      <c r="P12" s="1817"/>
      <c r="Q12" s="1817"/>
      <c r="R12" s="1817"/>
      <c r="S12" s="1817"/>
      <c r="T12" s="1817"/>
      <c r="U12" s="1817"/>
      <c r="V12" s="1818"/>
      <c r="W12" s="464" t="s">
        <v>389</v>
      </c>
      <c r="X12" s="1819"/>
      <c r="Y12" s="1820"/>
      <c r="Z12" s="1820"/>
      <c r="AA12" s="1820"/>
      <c r="AB12" s="1820"/>
      <c r="AC12" s="1820"/>
      <c r="AD12" s="1820"/>
      <c r="AE12" s="1821"/>
      <c r="AF12" s="1822"/>
      <c r="AG12" s="1823"/>
      <c r="AH12" s="1824"/>
      <c r="AU12" s="1825" t="s">
        <v>390</v>
      </c>
      <c r="AV12" s="1825"/>
      <c r="AW12" s="540"/>
      <c r="AX12" s="540"/>
      <c r="AY12" s="540"/>
      <c r="AZ12" s="540"/>
      <c r="BA12" s="385">
        <f>IF(X12&gt;0,ROUND(X12*AF12%,),SUBTOTAL(109,BA13:BA26))</f>
        <v>0</v>
      </c>
    </row>
    <row r="13" spans="1:53" ht="30" customHeight="1" thickTop="1">
      <c r="A13" s="329"/>
      <c r="B13" s="541"/>
      <c r="C13" s="1798" t="s">
        <v>391</v>
      </c>
      <c r="D13" s="1537"/>
      <c r="E13" s="542"/>
      <c r="F13" s="1173" t="s">
        <v>392</v>
      </c>
      <c r="G13" s="1173"/>
      <c r="H13" s="1173"/>
      <c r="I13" s="1173"/>
      <c r="J13" s="1173"/>
      <c r="K13" s="1173"/>
      <c r="L13" s="1173"/>
      <c r="M13" s="543"/>
      <c r="N13" s="1799"/>
      <c r="O13" s="1800"/>
      <c r="P13" s="1800"/>
      <c r="Q13" s="1800"/>
      <c r="R13" s="1800"/>
      <c r="S13" s="1800"/>
      <c r="T13" s="1800"/>
      <c r="U13" s="1800"/>
      <c r="V13" s="1801"/>
      <c r="W13" s="544" t="s">
        <v>393</v>
      </c>
      <c r="X13" s="1802"/>
      <c r="Y13" s="1803"/>
      <c r="Z13" s="1803"/>
      <c r="AA13" s="1803"/>
      <c r="AB13" s="1803"/>
      <c r="AC13" s="1803"/>
      <c r="AD13" s="1803"/>
      <c r="AE13" s="1804"/>
      <c r="AF13" s="1805"/>
      <c r="AG13" s="1805"/>
      <c r="AH13" s="1806"/>
      <c r="AI13" s="472"/>
      <c r="AJ13" s="183"/>
      <c r="AK13" s="183"/>
      <c r="AL13" s="183"/>
      <c r="AM13" s="183"/>
      <c r="AN13" s="183"/>
      <c r="AO13" s="183"/>
      <c r="AP13" s="183"/>
      <c r="AQ13" s="183"/>
      <c r="AR13" s="183"/>
      <c r="AS13" s="183"/>
      <c r="AU13" s="1807" t="s">
        <v>394</v>
      </c>
      <c r="AV13" s="545" t="s">
        <v>392</v>
      </c>
      <c r="AW13" s="546"/>
      <c r="AX13" s="547"/>
      <c r="AY13" s="548"/>
      <c r="AZ13" s="547"/>
      <c r="BA13" s="341">
        <f>ROUND(X13*AF13%,)</f>
        <v>0</v>
      </c>
    </row>
    <row r="14" spans="1:53" ht="30" customHeight="1">
      <c r="B14" s="549"/>
      <c r="C14" s="1798"/>
      <c r="D14" s="1537"/>
      <c r="E14" s="479"/>
      <c r="F14" s="1570" t="s">
        <v>395</v>
      </c>
      <c r="G14" s="1570"/>
      <c r="H14" s="1570"/>
      <c r="I14" s="1570"/>
      <c r="J14" s="1570"/>
      <c r="K14" s="1570"/>
      <c r="L14" s="1570"/>
      <c r="M14" s="550"/>
      <c r="N14" s="1810"/>
      <c r="O14" s="1811"/>
      <c r="P14" s="1811"/>
      <c r="Q14" s="1811"/>
      <c r="R14" s="1811"/>
      <c r="S14" s="1811"/>
      <c r="T14" s="1811"/>
      <c r="U14" s="1811"/>
      <c r="V14" s="1812"/>
      <c r="W14" s="486" t="s">
        <v>277</v>
      </c>
      <c r="X14" s="1753"/>
      <c r="Y14" s="1754"/>
      <c r="Z14" s="1754"/>
      <c r="AA14" s="1754"/>
      <c r="AB14" s="1754"/>
      <c r="AC14" s="1754"/>
      <c r="AD14" s="1754"/>
      <c r="AE14" s="1755"/>
      <c r="AF14" s="1756"/>
      <c r="AG14" s="1756"/>
      <c r="AH14" s="1757"/>
      <c r="AI14" s="472"/>
      <c r="AJ14" s="183"/>
      <c r="AK14" s="183"/>
      <c r="AL14" s="183"/>
      <c r="AM14" s="183"/>
      <c r="AN14" s="183"/>
      <c r="AO14" s="183"/>
      <c r="AP14" s="183"/>
      <c r="AQ14" s="183"/>
      <c r="AR14" s="183"/>
      <c r="AS14" s="183"/>
      <c r="AU14" s="1808"/>
      <c r="AV14" s="545" t="s">
        <v>395</v>
      </c>
      <c r="AW14" s="546"/>
      <c r="AX14" s="547"/>
      <c r="AY14" s="551"/>
      <c r="AZ14" s="547"/>
      <c r="BA14" s="341">
        <f t="shared" ref="BA14:BA26" si="0">ROUND(X14*AF14%,)</f>
        <v>0</v>
      </c>
    </row>
    <row r="15" spans="1:53" ht="30" hidden="1" customHeight="1">
      <c r="B15" s="549"/>
      <c r="C15" s="1798"/>
      <c r="D15" s="1537"/>
      <c r="E15" s="125"/>
      <c r="F15" s="1570" t="s">
        <v>396</v>
      </c>
      <c r="G15" s="1570"/>
      <c r="H15" s="1570"/>
      <c r="I15" s="1570"/>
      <c r="J15" s="1570"/>
      <c r="K15" s="1570"/>
      <c r="L15" s="1570"/>
      <c r="M15" s="550"/>
      <c r="N15" s="1810"/>
      <c r="O15" s="1811"/>
      <c r="P15" s="1811"/>
      <c r="Q15" s="1811"/>
      <c r="R15" s="1811"/>
      <c r="S15" s="1811"/>
      <c r="T15" s="1811"/>
      <c r="U15" s="1811"/>
      <c r="V15" s="1812"/>
      <c r="W15" s="486" t="s">
        <v>397</v>
      </c>
      <c r="X15" s="1753"/>
      <c r="Y15" s="1754"/>
      <c r="Z15" s="1754"/>
      <c r="AA15" s="1754"/>
      <c r="AB15" s="1754"/>
      <c r="AC15" s="1754"/>
      <c r="AD15" s="1754"/>
      <c r="AE15" s="1755"/>
      <c r="AF15" s="1756"/>
      <c r="AG15" s="1756"/>
      <c r="AH15" s="1757"/>
      <c r="AI15" s="472"/>
      <c r="AJ15" s="183"/>
      <c r="AK15" s="183"/>
      <c r="AL15" s="183"/>
      <c r="AM15" s="183"/>
      <c r="AN15" s="183"/>
      <c r="AO15" s="183"/>
      <c r="AP15" s="183"/>
      <c r="AQ15" s="183"/>
      <c r="AR15" s="183"/>
      <c r="AS15" s="183"/>
      <c r="AU15" s="1809"/>
      <c r="AV15" s="545" t="s">
        <v>396</v>
      </c>
      <c r="AW15" s="546"/>
      <c r="AX15" s="547"/>
      <c r="AY15" s="551"/>
      <c r="AZ15" s="547"/>
      <c r="BA15" s="341">
        <f t="shared" si="0"/>
        <v>0</v>
      </c>
    </row>
    <row r="16" spans="1:53" ht="30" customHeight="1">
      <c r="B16" s="549"/>
      <c r="C16" s="552"/>
      <c r="D16" s="1758" t="s">
        <v>398</v>
      </c>
      <c r="E16" s="1758"/>
      <c r="F16" s="1758"/>
      <c r="G16" s="1758"/>
      <c r="H16" s="1758"/>
      <c r="I16" s="1758"/>
      <c r="J16" s="1758"/>
      <c r="K16" s="1758"/>
      <c r="L16" s="1758"/>
      <c r="M16" s="550"/>
      <c r="N16" s="1795"/>
      <c r="O16" s="1796"/>
      <c r="P16" s="1796"/>
      <c r="Q16" s="1796"/>
      <c r="R16" s="1796"/>
      <c r="S16" s="1796"/>
      <c r="T16" s="1796"/>
      <c r="U16" s="1796"/>
      <c r="V16" s="1797"/>
      <c r="W16" s="486" t="s">
        <v>397</v>
      </c>
      <c r="X16" s="1753"/>
      <c r="Y16" s="1754"/>
      <c r="Z16" s="1754"/>
      <c r="AA16" s="1754"/>
      <c r="AB16" s="1754"/>
      <c r="AC16" s="1754"/>
      <c r="AD16" s="1754"/>
      <c r="AE16" s="1755"/>
      <c r="AF16" s="1756"/>
      <c r="AG16" s="1756"/>
      <c r="AH16" s="1757"/>
      <c r="AI16" s="472"/>
      <c r="AJ16" s="183"/>
      <c r="AK16" s="183"/>
      <c r="AL16" s="183"/>
      <c r="AM16" s="183"/>
      <c r="AN16" s="183"/>
      <c r="AO16" s="183"/>
      <c r="AP16" s="183"/>
      <c r="AQ16" s="183"/>
      <c r="AR16" s="183"/>
      <c r="AS16" s="183"/>
      <c r="AU16" s="1375" t="s">
        <v>398</v>
      </c>
      <c r="AV16" s="1375"/>
      <c r="AW16" s="546"/>
      <c r="AX16" s="547"/>
      <c r="AY16" s="551"/>
      <c r="AZ16" s="547"/>
      <c r="BA16" s="341">
        <f t="shared" si="0"/>
        <v>0</v>
      </c>
    </row>
    <row r="17" spans="1:53" ht="30" customHeight="1">
      <c r="B17" s="549"/>
      <c r="C17" s="552"/>
      <c r="D17" s="1758" t="s">
        <v>399</v>
      </c>
      <c r="E17" s="1758"/>
      <c r="F17" s="1758"/>
      <c r="G17" s="1758"/>
      <c r="H17" s="1758"/>
      <c r="I17" s="1758"/>
      <c r="J17" s="1758"/>
      <c r="K17" s="1758"/>
      <c r="L17" s="1758"/>
      <c r="M17" s="469"/>
      <c r="N17" s="1792"/>
      <c r="O17" s="1793"/>
      <c r="P17" s="1793"/>
      <c r="Q17" s="1793"/>
      <c r="R17" s="1793"/>
      <c r="S17" s="1793"/>
      <c r="T17" s="1793"/>
      <c r="U17" s="1793"/>
      <c r="V17" s="1794"/>
      <c r="W17" s="553" t="s">
        <v>400</v>
      </c>
      <c r="X17" s="1753"/>
      <c r="Y17" s="1754"/>
      <c r="Z17" s="1754"/>
      <c r="AA17" s="1754"/>
      <c r="AB17" s="1754"/>
      <c r="AC17" s="1754"/>
      <c r="AD17" s="1754"/>
      <c r="AE17" s="1755"/>
      <c r="AF17" s="1756"/>
      <c r="AG17" s="1756"/>
      <c r="AH17" s="1757"/>
      <c r="AI17" s="472"/>
      <c r="AJ17" s="183"/>
      <c r="AK17" s="183"/>
      <c r="AL17" s="183"/>
      <c r="AM17" s="183"/>
      <c r="AN17" s="183"/>
      <c r="AO17" s="183"/>
      <c r="AP17" s="183"/>
      <c r="AQ17" s="183"/>
      <c r="AR17" s="183"/>
      <c r="AS17" s="183"/>
      <c r="AU17" s="1375" t="s">
        <v>399</v>
      </c>
      <c r="AV17" s="1375"/>
      <c r="AW17" s="554">
        <f>ROUND(N17*AF17%,1)</f>
        <v>0</v>
      </c>
      <c r="AX17" s="474" t="s">
        <v>155</v>
      </c>
      <c r="AY17" s="475">
        <f>IF(AND(AW17&gt;0,BA17&gt;0),ROUND(BA17/AW17,2),)</f>
        <v>0</v>
      </c>
      <c r="AZ17" s="474" t="s">
        <v>401</v>
      </c>
      <c r="BA17" s="341">
        <f t="shared" si="0"/>
        <v>0</v>
      </c>
    </row>
    <row r="18" spans="1:53" ht="30" customHeight="1">
      <c r="B18" s="549"/>
      <c r="C18" s="552"/>
      <c r="D18" s="1758" t="s">
        <v>402</v>
      </c>
      <c r="E18" s="1758"/>
      <c r="F18" s="1758"/>
      <c r="G18" s="1758"/>
      <c r="H18" s="1758"/>
      <c r="I18" s="1758"/>
      <c r="J18" s="1758"/>
      <c r="K18" s="1758"/>
      <c r="L18" s="1758"/>
      <c r="M18" s="469"/>
      <c r="N18" s="1789"/>
      <c r="O18" s="1790"/>
      <c r="P18" s="1790"/>
      <c r="Q18" s="1790"/>
      <c r="R18" s="1790"/>
      <c r="S18" s="1790"/>
      <c r="T18" s="1790"/>
      <c r="U18" s="1790"/>
      <c r="V18" s="1791"/>
      <c r="W18" s="553" t="s">
        <v>400</v>
      </c>
      <c r="X18" s="1753"/>
      <c r="Y18" s="1754"/>
      <c r="Z18" s="1754"/>
      <c r="AA18" s="1754"/>
      <c r="AB18" s="1754"/>
      <c r="AC18" s="1754"/>
      <c r="AD18" s="1754"/>
      <c r="AE18" s="1755"/>
      <c r="AF18" s="1756"/>
      <c r="AG18" s="1756"/>
      <c r="AH18" s="1757"/>
      <c r="AI18" s="472"/>
      <c r="AJ18" s="183"/>
      <c r="AK18" s="183"/>
      <c r="AL18" s="183"/>
      <c r="AM18" s="183"/>
      <c r="AN18" s="183"/>
      <c r="AO18" s="183"/>
      <c r="AP18" s="183"/>
      <c r="AQ18" s="183"/>
      <c r="AR18" s="183"/>
      <c r="AS18" s="183"/>
      <c r="AU18" s="1375" t="s">
        <v>402</v>
      </c>
      <c r="AV18" s="1375"/>
      <c r="AW18" s="554">
        <f>ROUND(N18*AF18%,1)</f>
        <v>0</v>
      </c>
      <c r="AX18" s="474" t="s">
        <v>403</v>
      </c>
      <c r="AY18" s="475">
        <f t="shared" ref="AY18:AY25" si="1">IF(AND(AW18&gt;0,BA18&gt;0),ROUND(BA18/AW18,2),)</f>
        <v>0</v>
      </c>
      <c r="AZ18" s="474" t="s">
        <v>401</v>
      </c>
      <c r="BA18" s="341">
        <f t="shared" si="0"/>
        <v>0</v>
      </c>
    </row>
    <row r="19" spans="1:53" ht="30" customHeight="1">
      <c r="B19" s="549"/>
      <c r="C19" s="552"/>
      <c r="D19" s="1758" t="s">
        <v>404</v>
      </c>
      <c r="E19" s="1758"/>
      <c r="F19" s="1758"/>
      <c r="G19" s="1758"/>
      <c r="H19" s="1758"/>
      <c r="I19" s="1758"/>
      <c r="J19" s="1758"/>
      <c r="K19" s="1758"/>
      <c r="L19" s="1758"/>
      <c r="M19" s="469"/>
      <c r="N19" s="1789"/>
      <c r="O19" s="1790"/>
      <c r="P19" s="1790"/>
      <c r="Q19" s="1790"/>
      <c r="R19" s="1790"/>
      <c r="S19" s="1790"/>
      <c r="T19" s="1790"/>
      <c r="U19" s="1790"/>
      <c r="V19" s="1791"/>
      <c r="W19" s="553" t="s">
        <v>400</v>
      </c>
      <c r="X19" s="1753"/>
      <c r="Y19" s="1754"/>
      <c r="Z19" s="1754"/>
      <c r="AA19" s="1754"/>
      <c r="AB19" s="1754"/>
      <c r="AC19" s="1754"/>
      <c r="AD19" s="1754"/>
      <c r="AE19" s="1755"/>
      <c r="AF19" s="1756"/>
      <c r="AG19" s="1756"/>
      <c r="AH19" s="1757"/>
      <c r="AI19" s="472"/>
      <c r="AJ19" s="183"/>
      <c r="AK19" s="183"/>
      <c r="AL19" s="183"/>
      <c r="AM19" s="183"/>
      <c r="AN19" s="183"/>
      <c r="AO19" s="183"/>
      <c r="AP19" s="183"/>
      <c r="AQ19" s="183"/>
      <c r="AR19" s="183"/>
      <c r="AS19" s="183"/>
      <c r="AU19" s="1375" t="s">
        <v>405</v>
      </c>
      <c r="AV19" s="1375"/>
      <c r="AW19" s="554">
        <f>ROUND(N19*AF19%,1)</f>
        <v>0</v>
      </c>
      <c r="AX19" s="474" t="s">
        <v>403</v>
      </c>
      <c r="AY19" s="475">
        <f t="shared" si="1"/>
        <v>0</v>
      </c>
      <c r="AZ19" s="474" t="s">
        <v>401</v>
      </c>
      <c r="BA19" s="341">
        <f t="shared" si="0"/>
        <v>0</v>
      </c>
    </row>
    <row r="20" spans="1:53" ht="30" customHeight="1" thickBot="1">
      <c r="B20" s="549"/>
      <c r="C20" s="555"/>
      <c r="D20" s="1774" t="s">
        <v>406</v>
      </c>
      <c r="E20" s="1774"/>
      <c r="F20" s="1774"/>
      <c r="G20" s="1774"/>
      <c r="H20" s="1774"/>
      <c r="I20" s="1774"/>
      <c r="J20" s="1774"/>
      <c r="K20" s="1774"/>
      <c r="L20" s="1774"/>
      <c r="M20" s="480"/>
      <c r="N20" s="1775"/>
      <c r="O20" s="1776"/>
      <c r="P20" s="1776"/>
      <c r="Q20" s="1776"/>
      <c r="R20" s="1776"/>
      <c r="S20" s="1776"/>
      <c r="T20" s="1776"/>
      <c r="U20" s="1776"/>
      <c r="V20" s="1777"/>
      <c r="W20" s="477" t="s">
        <v>155</v>
      </c>
      <c r="X20" s="1778"/>
      <c r="Y20" s="1779"/>
      <c r="Z20" s="1779"/>
      <c r="AA20" s="1779"/>
      <c r="AB20" s="1779"/>
      <c r="AC20" s="1779"/>
      <c r="AD20" s="1779"/>
      <c r="AE20" s="1780"/>
      <c r="AF20" s="1781"/>
      <c r="AG20" s="1781"/>
      <c r="AH20" s="1782"/>
      <c r="AI20" s="472"/>
      <c r="AJ20" s="183"/>
      <c r="AK20" s="183"/>
      <c r="AL20" s="183"/>
      <c r="AM20" s="183"/>
      <c r="AN20" s="183"/>
      <c r="AO20" s="183"/>
      <c r="AP20" s="183"/>
      <c r="AQ20" s="183"/>
      <c r="AR20" s="183"/>
      <c r="AS20" s="183"/>
      <c r="AU20" s="1783" t="s">
        <v>406</v>
      </c>
      <c r="AV20" s="1783"/>
      <c r="AW20" s="556">
        <f>ROUND(N20*AF20%,1)</f>
        <v>0</v>
      </c>
      <c r="AX20" s="557" t="s">
        <v>403</v>
      </c>
      <c r="AY20" s="558">
        <f t="shared" si="1"/>
        <v>0</v>
      </c>
      <c r="AZ20" s="557" t="s">
        <v>401</v>
      </c>
      <c r="BA20" s="559">
        <f t="shared" si="0"/>
        <v>0</v>
      </c>
    </row>
    <row r="21" spans="1:53" ht="30" customHeight="1" thickTop="1">
      <c r="B21" s="549"/>
      <c r="C21" s="560"/>
      <c r="D21" s="1763" t="s">
        <v>407</v>
      </c>
      <c r="E21" s="1763"/>
      <c r="F21" s="1763"/>
      <c r="G21" s="1763"/>
      <c r="H21" s="1763"/>
      <c r="I21" s="1763"/>
      <c r="J21" s="1763"/>
      <c r="K21" s="1763"/>
      <c r="L21" s="1763"/>
      <c r="M21" s="561"/>
      <c r="N21" s="1784"/>
      <c r="O21" s="1785"/>
      <c r="P21" s="1785"/>
      <c r="Q21" s="1785"/>
      <c r="R21" s="1785"/>
      <c r="S21" s="1785"/>
      <c r="T21" s="1785"/>
      <c r="U21" s="1785"/>
      <c r="V21" s="1786"/>
      <c r="W21" s="470" t="s">
        <v>408</v>
      </c>
      <c r="X21" s="1767"/>
      <c r="Y21" s="1768"/>
      <c r="Z21" s="1768"/>
      <c r="AA21" s="1768"/>
      <c r="AB21" s="1768"/>
      <c r="AC21" s="1768"/>
      <c r="AD21" s="1768"/>
      <c r="AE21" s="1769"/>
      <c r="AF21" s="1770"/>
      <c r="AG21" s="1770"/>
      <c r="AH21" s="1771"/>
      <c r="AI21" s="472"/>
      <c r="AJ21" s="183"/>
      <c r="AK21" s="183"/>
      <c r="AL21" s="183"/>
      <c r="AM21" s="183"/>
      <c r="AN21" s="183"/>
      <c r="AO21" s="183"/>
      <c r="AP21" s="183"/>
      <c r="AQ21" s="183"/>
      <c r="AR21" s="183"/>
      <c r="AS21" s="183"/>
      <c r="AU21" s="1787" t="s">
        <v>409</v>
      </c>
      <c r="AV21" s="1788"/>
      <c r="AW21" s="562">
        <f>ROUND(N21*AF21%,)</f>
        <v>0</v>
      </c>
      <c r="AX21" s="474" t="s">
        <v>410</v>
      </c>
      <c r="AY21" s="204">
        <f t="shared" si="1"/>
        <v>0</v>
      </c>
      <c r="AZ21" s="474" t="s">
        <v>384</v>
      </c>
      <c r="BA21" s="341">
        <f t="shared" si="0"/>
        <v>0</v>
      </c>
    </row>
    <row r="22" spans="1:53" ht="30" hidden="1" customHeight="1">
      <c r="B22" s="549"/>
      <c r="C22" s="563"/>
      <c r="D22" s="1762" t="s">
        <v>411</v>
      </c>
      <c r="E22" s="1763"/>
      <c r="F22" s="1763"/>
      <c r="G22" s="1763"/>
      <c r="H22" s="1763"/>
      <c r="I22" s="1763"/>
      <c r="J22" s="1763"/>
      <c r="K22" s="1763"/>
      <c r="L22" s="1763"/>
      <c r="M22" s="564"/>
      <c r="N22" s="1764"/>
      <c r="O22" s="1765"/>
      <c r="P22" s="1765"/>
      <c r="Q22" s="1765"/>
      <c r="R22" s="1765"/>
      <c r="S22" s="1765"/>
      <c r="T22" s="1765"/>
      <c r="U22" s="1765"/>
      <c r="V22" s="1766"/>
      <c r="W22" s="565" t="s">
        <v>329</v>
      </c>
      <c r="X22" s="1767"/>
      <c r="Y22" s="1768"/>
      <c r="Z22" s="1768"/>
      <c r="AA22" s="1768"/>
      <c r="AB22" s="1768"/>
      <c r="AC22" s="1768"/>
      <c r="AD22" s="1768"/>
      <c r="AE22" s="1769"/>
      <c r="AF22" s="1770"/>
      <c r="AG22" s="1770"/>
      <c r="AH22" s="1771"/>
      <c r="AI22" s="472"/>
      <c r="AJ22" s="183"/>
      <c r="AK22" s="183"/>
      <c r="AL22" s="183"/>
      <c r="AM22" s="183"/>
      <c r="AN22" s="183"/>
      <c r="AO22" s="183"/>
      <c r="AP22" s="183"/>
      <c r="AQ22" s="183"/>
      <c r="AR22" s="183"/>
      <c r="AS22" s="183"/>
      <c r="AU22" s="566"/>
      <c r="AV22" s="138" t="s">
        <v>411</v>
      </c>
      <c r="AW22" s="562">
        <f>ROUND(N22*AF22%,)</f>
        <v>0</v>
      </c>
      <c r="AX22" s="474" t="s">
        <v>410</v>
      </c>
      <c r="AY22" s="204">
        <f t="shared" si="1"/>
        <v>0</v>
      </c>
      <c r="AZ22" s="474" t="s">
        <v>384</v>
      </c>
      <c r="BA22" s="341">
        <f t="shared" si="0"/>
        <v>0</v>
      </c>
    </row>
    <row r="23" spans="1:53" ht="30" hidden="1" customHeight="1">
      <c r="B23" s="549"/>
      <c r="C23" s="255"/>
      <c r="D23" s="1772" t="s">
        <v>412</v>
      </c>
      <c r="E23" s="1773"/>
      <c r="F23" s="1773"/>
      <c r="G23" s="1773"/>
      <c r="H23" s="1773"/>
      <c r="I23" s="1773"/>
      <c r="J23" s="1773"/>
      <c r="K23" s="1773"/>
      <c r="L23" s="1773"/>
      <c r="M23" s="125"/>
      <c r="N23" s="1750"/>
      <c r="O23" s="1751"/>
      <c r="P23" s="1751"/>
      <c r="Q23" s="1751"/>
      <c r="R23" s="1751"/>
      <c r="S23" s="1751"/>
      <c r="T23" s="1751"/>
      <c r="U23" s="1751"/>
      <c r="V23" s="1752"/>
      <c r="W23" s="553" t="s">
        <v>164</v>
      </c>
      <c r="X23" s="1753"/>
      <c r="Y23" s="1754"/>
      <c r="Z23" s="1754"/>
      <c r="AA23" s="1754"/>
      <c r="AB23" s="1754"/>
      <c r="AC23" s="1754"/>
      <c r="AD23" s="1754"/>
      <c r="AE23" s="1755"/>
      <c r="AF23" s="1756"/>
      <c r="AG23" s="1756"/>
      <c r="AH23" s="1757"/>
      <c r="AI23" s="472"/>
      <c r="AJ23" s="183"/>
      <c r="AK23" s="183"/>
      <c r="AL23" s="183"/>
      <c r="AM23" s="183"/>
      <c r="AN23" s="183"/>
      <c r="AO23" s="183"/>
      <c r="AP23" s="183"/>
      <c r="AQ23" s="183"/>
      <c r="AR23" s="183"/>
      <c r="AS23" s="183"/>
      <c r="AU23" s="566"/>
      <c r="AV23" s="138" t="s">
        <v>412</v>
      </c>
      <c r="AW23" s="562">
        <f>ROUND(N23*AF23%,)</f>
        <v>0</v>
      </c>
      <c r="AX23" s="474" t="s">
        <v>410</v>
      </c>
      <c r="AY23" s="475">
        <f t="shared" si="1"/>
        <v>0</v>
      </c>
      <c r="AZ23" s="474" t="s">
        <v>384</v>
      </c>
      <c r="BA23" s="341">
        <f t="shared" si="0"/>
        <v>0</v>
      </c>
    </row>
    <row r="24" spans="1:53" ht="30" hidden="1" customHeight="1">
      <c r="B24" s="549"/>
      <c r="C24" s="567"/>
      <c r="D24" s="1748" t="s">
        <v>413</v>
      </c>
      <c r="E24" s="1749"/>
      <c r="F24" s="1749"/>
      <c r="G24" s="1749"/>
      <c r="H24" s="1749"/>
      <c r="I24" s="1749"/>
      <c r="J24" s="1749"/>
      <c r="K24" s="1749"/>
      <c r="L24" s="1749"/>
      <c r="M24" s="469"/>
      <c r="N24" s="1750"/>
      <c r="O24" s="1751"/>
      <c r="P24" s="1751"/>
      <c r="Q24" s="1751"/>
      <c r="R24" s="1751"/>
      <c r="S24" s="1751"/>
      <c r="T24" s="1751"/>
      <c r="U24" s="1751"/>
      <c r="V24" s="1752"/>
      <c r="W24" s="553" t="s">
        <v>164</v>
      </c>
      <c r="X24" s="1753"/>
      <c r="Y24" s="1754"/>
      <c r="Z24" s="1754"/>
      <c r="AA24" s="1754"/>
      <c r="AB24" s="1754"/>
      <c r="AC24" s="1754"/>
      <c r="AD24" s="1754"/>
      <c r="AE24" s="1755"/>
      <c r="AF24" s="1756"/>
      <c r="AG24" s="1756"/>
      <c r="AH24" s="1757"/>
      <c r="AI24" s="472"/>
      <c r="AJ24" s="183"/>
      <c r="AK24" s="183"/>
      <c r="AL24" s="183"/>
      <c r="AM24" s="183"/>
      <c r="AN24" s="183"/>
      <c r="AO24" s="183"/>
      <c r="AP24" s="183"/>
      <c r="AQ24" s="183"/>
      <c r="AR24" s="183"/>
      <c r="AS24" s="183"/>
      <c r="AU24" s="568"/>
      <c r="AV24" s="138" t="s">
        <v>413</v>
      </c>
      <c r="AW24" s="562">
        <f>ROUND(N24*AF24%,)</f>
        <v>0</v>
      </c>
      <c r="AX24" s="474" t="s">
        <v>410</v>
      </c>
      <c r="AY24" s="475">
        <f t="shared" si="1"/>
        <v>0</v>
      </c>
      <c r="AZ24" s="474" t="s">
        <v>384</v>
      </c>
      <c r="BA24" s="341">
        <f t="shared" si="0"/>
        <v>0</v>
      </c>
    </row>
    <row r="25" spans="1:53" ht="30" hidden="1" customHeight="1">
      <c r="B25" s="549"/>
      <c r="C25" s="255"/>
      <c r="D25" s="1758" t="s">
        <v>414</v>
      </c>
      <c r="E25" s="1758"/>
      <c r="F25" s="1758"/>
      <c r="G25" s="1758"/>
      <c r="H25" s="1758"/>
      <c r="I25" s="1758"/>
      <c r="J25" s="1758"/>
      <c r="K25" s="1758"/>
      <c r="L25" s="1758"/>
      <c r="M25" s="469"/>
      <c r="N25" s="1759"/>
      <c r="O25" s="1760"/>
      <c r="P25" s="1760"/>
      <c r="Q25" s="1760"/>
      <c r="R25" s="1760"/>
      <c r="S25" s="1760"/>
      <c r="T25" s="1760"/>
      <c r="U25" s="1760"/>
      <c r="V25" s="1761"/>
      <c r="W25" s="553" t="s">
        <v>164</v>
      </c>
      <c r="X25" s="1753"/>
      <c r="Y25" s="1754"/>
      <c r="Z25" s="1754"/>
      <c r="AA25" s="1754"/>
      <c r="AB25" s="1754"/>
      <c r="AC25" s="1754"/>
      <c r="AD25" s="1754"/>
      <c r="AE25" s="1755"/>
      <c r="AF25" s="1756"/>
      <c r="AG25" s="1756"/>
      <c r="AH25" s="1757"/>
      <c r="AI25" s="472"/>
      <c r="AJ25" s="183"/>
      <c r="AK25" s="183"/>
      <c r="AL25" s="183"/>
      <c r="AM25" s="183"/>
      <c r="AN25" s="183"/>
      <c r="AO25" s="183"/>
      <c r="AP25" s="183"/>
      <c r="AQ25" s="183"/>
      <c r="AR25" s="183"/>
      <c r="AS25" s="183"/>
      <c r="AU25" s="1375" t="s">
        <v>414</v>
      </c>
      <c r="AV25" s="1375"/>
      <c r="AW25" s="562">
        <f>ROUND(N25*AF25%,)</f>
        <v>0</v>
      </c>
      <c r="AX25" s="474" t="s">
        <v>410</v>
      </c>
      <c r="AY25" s="475">
        <f t="shared" si="1"/>
        <v>0</v>
      </c>
      <c r="AZ25" s="474" t="s">
        <v>384</v>
      </c>
      <c r="BA25" s="341">
        <f t="shared" si="0"/>
        <v>0</v>
      </c>
    </row>
    <row r="26" spans="1:53" s="30" customFormat="1" ht="30" customHeight="1" thickBot="1">
      <c r="A26" s="2"/>
      <c r="B26" s="569"/>
      <c r="C26" s="570"/>
      <c r="D26" s="1588" t="s">
        <v>415</v>
      </c>
      <c r="E26" s="1588"/>
      <c r="F26" s="1588"/>
      <c r="G26" s="1588"/>
      <c r="H26" s="1588"/>
      <c r="I26" s="1588"/>
      <c r="J26" s="1588"/>
      <c r="K26" s="1588"/>
      <c r="L26" s="1588"/>
      <c r="M26" s="571"/>
      <c r="N26" s="1740"/>
      <c r="O26" s="1741"/>
      <c r="P26" s="1741"/>
      <c r="Q26" s="1741"/>
      <c r="R26" s="1741"/>
      <c r="S26" s="1741"/>
      <c r="T26" s="1741"/>
      <c r="U26" s="1741"/>
      <c r="V26" s="1742"/>
      <c r="W26" s="572" t="s">
        <v>277</v>
      </c>
      <c r="X26" s="1743"/>
      <c r="Y26" s="1744"/>
      <c r="Z26" s="1744"/>
      <c r="AA26" s="1744"/>
      <c r="AB26" s="1744"/>
      <c r="AC26" s="1744"/>
      <c r="AD26" s="1744"/>
      <c r="AE26" s="1745"/>
      <c r="AF26" s="1746"/>
      <c r="AG26" s="1746"/>
      <c r="AH26" s="1747"/>
      <c r="AI26" s="472"/>
      <c r="AJ26" s="194"/>
      <c r="AK26" s="194"/>
      <c r="AL26" s="194"/>
      <c r="AM26" s="194"/>
      <c r="AN26" s="194"/>
      <c r="AO26" s="194"/>
      <c r="AP26" s="194"/>
      <c r="AQ26" s="194"/>
      <c r="AR26" s="194"/>
      <c r="AS26" s="194"/>
      <c r="AU26" s="1375" t="s">
        <v>415</v>
      </c>
      <c r="AV26" s="1375"/>
      <c r="AW26" s="546"/>
      <c r="AX26" s="546"/>
      <c r="AY26" s="546"/>
      <c r="AZ26" s="546"/>
      <c r="BA26" s="341">
        <f t="shared" si="0"/>
        <v>0</v>
      </c>
    </row>
    <row r="27" spans="1:53" s="30" customFormat="1" ht="14.25" customHeight="1">
      <c r="A27" s="2"/>
      <c r="B27" s="1397" t="s">
        <v>416</v>
      </c>
      <c r="C27" s="1422"/>
      <c r="D27" s="1422"/>
      <c r="E27" s="1422"/>
      <c r="F27" s="1422"/>
      <c r="G27" s="1422"/>
      <c r="H27" s="1422"/>
      <c r="I27" s="1422"/>
      <c r="J27" s="1422"/>
      <c r="K27" s="1422"/>
      <c r="L27" s="1422"/>
      <c r="M27" s="1422"/>
      <c r="N27" s="1422"/>
      <c r="O27" s="1422"/>
      <c r="P27" s="1422"/>
      <c r="Q27" s="1422"/>
      <c r="R27" s="1422"/>
      <c r="S27" s="1422"/>
      <c r="T27" s="1422"/>
      <c r="U27" s="1422"/>
      <c r="V27" s="1422"/>
      <c r="W27" s="1422"/>
      <c r="X27" s="1422"/>
      <c r="Y27" s="1422"/>
      <c r="Z27" s="1422"/>
      <c r="AA27" s="1422"/>
      <c r="AB27" s="1422"/>
      <c r="AC27" s="1422"/>
      <c r="AD27" s="1422"/>
      <c r="AE27" s="1422"/>
      <c r="AF27" s="1422"/>
      <c r="AG27" s="1422"/>
      <c r="AH27" s="1422"/>
      <c r="AI27" s="1150"/>
      <c r="AJ27" s="1150"/>
      <c r="AK27" s="1150"/>
      <c r="AL27" s="1150"/>
      <c r="AU27" s="2"/>
      <c r="AV27" s="2"/>
      <c r="AW27" s="2"/>
      <c r="AX27" s="2"/>
      <c r="AY27" s="2"/>
      <c r="AZ27" s="2"/>
      <c r="BA27" s="2"/>
    </row>
    <row r="28" spans="1:53" ht="14.25" customHeight="1">
      <c r="B28" s="1397" t="s">
        <v>417</v>
      </c>
      <c r="C28" s="1599"/>
      <c r="D28" s="1599"/>
      <c r="E28" s="1599"/>
      <c r="F28" s="1599"/>
      <c r="G28" s="1599"/>
      <c r="H28" s="1599"/>
      <c r="I28" s="1599"/>
      <c r="J28" s="1599"/>
      <c r="K28" s="1599"/>
      <c r="L28" s="1599"/>
      <c r="M28" s="1599"/>
      <c r="N28" s="1599"/>
      <c r="O28" s="1599"/>
      <c r="P28" s="1599"/>
      <c r="Q28" s="1599"/>
      <c r="R28" s="1599"/>
      <c r="S28" s="1599"/>
      <c r="T28" s="1599"/>
      <c r="U28" s="1599"/>
      <c r="V28" s="1599"/>
      <c r="W28" s="1599"/>
      <c r="X28" s="1599"/>
      <c r="Y28" s="1599"/>
      <c r="Z28" s="1599"/>
      <c r="AA28" s="1599"/>
      <c r="AB28" s="1599"/>
      <c r="AC28" s="1599"/>
      <c r="AD28" s="1599"/>
      <c r="AE28" s="1599"/>
      <c r="AF28" s="1599"/>
      <c r="AG28" s="1599"/>
      <c r="AH28" s="1599"/>
      <c r="AI28" s="1150"/>
      <c r="AJ28" s="1150"/>
      <c r="AK28" s="1150"/>
      <c r="AL28" s="1150"/>
    </row>
    <row r="29" spans="1:53" ht="14.25" customHeight="1">
      <c r="B29" s="1599"/>
      <c r="C29" s="1599"/>
      <c r="D29" s="1599"/>
      <c r="E29" s="1599"/>
      <c r="F29" s="1599"/>
      <c r="G29" s="1599"/>
      <c r="H29" s="1599"/>
      <c r="I29" s="1599"/>
      <c r="J29" s="1599"/>
      <c r="K29" s="1599"/>
      <c r="L29" s="1599"/>
      <c r="M29" s="1599"/>
      <c r="N29" s="1599"/>
      <c r="O29" s="1599"/>
      <c r="P29" s="1599"/>
      <c r="Q29" s="1599"/>
      <c r="R29" s="1599"/>
      <c r="S29" s="1599"/>
      <c r="T29" s="1599"/>
      <c r="U29" s="1599"/>
      <c r="V29" s="1599"/>
      <c r="W29" s="1599"/>
      <c r="X29" s="1599"/>
      <c r="Y29" s="1599"/>
      <c r="Z29" s="1599"/>
      <c r="AA29" s="1599"/>
      <c r="AB29" s="1599"/>
      <c r="AC29" s="1599"/>
      <c r="AD29" s="1599"/>
      <c r="AE29" s="1599"/>
      <c r="AF29" s="1599"/>
      <c r="AG29" s="1599"/>
      <c r="AH29" s="1599"/>
      <c r="AI29" s="1150"/>
      <c r="AJ29" s="1150"/>
      <c r="AK29" s="1150"/>
      <c r="AL29" s="1150"/>
    </row>
    <row r="31" spans="1:53" ht="13.5" customHeight="1">
      <c r="D31" s="573"/>
      <c r="E31" s="574"/>
      <c r="F31" s="573"/>
      <c r="G31" s="573"/>
      <c r="H31" s="573"/>
      <c r="I31" s="573"/>
      <c r="J31" s="573"/>
      <c r="K31" s="573"/>
      <c r="L31" s="573"/>
      <c r="M31" s="573"/>
      <c r="N31" s="573"/>
      <c r="O31" s="573"/>
      <c r="P31" s="573"/>
      <c r="Q31" s="573"/>
      <c r="R31" s="573"/>
      <c r="S31" s="573"/>
      <c r="T31" s="573"/>
      <c r="U31" s="573"/>
      <c r="V31" s="573"/>
      <c r="W31" s="573"/>
      <c r="X31" s="573"/>
      <c r="Y31" s="573"/>
      <c r="Z31" s="573"/>
      <c r="AA31" s="573"/>
      <c r="AB31" s="573"/>
      <c r="AC31" s="573"/>
      <c r="AD31" s="573"/>
      <c r="AE31" s="573"/>
      <c r="AF31" s="573"/>
      <c r="AG31" s="573"/>
      <c r="AH31" s="573"/>
    </row>
    <row r="32" spans="1:53" ht="18" customHeight="1">
      <c r="A32" s="183"/>
      <c r="B32" s="183"/>
      <c r="C32" s="183"/>
      <c r="D32" s="575"/>
      <c r="E32" s="576"/>
      <c r="F32" s="575"/>
      <c r="G32" s="575"/>
      <c r="H32" s="575"/>
      <c r="I32" s="575"/>
      <c r="J32" s="575"/>
      <c r="K32" s="575"/>
      <c r="L32" s="573"/>
      <c r="M32" s="573"/>
      <c r="N32" s="573"/>
      <c r="O32" s="573"/>
      <c r="P32" s="573"/>
      <c r="Q32" s="573"/>
      <c r="R32" s="573"/>
      <c r="S32" s="573"/>
      <c r="T32" s="573"/>
      <c r="U32" s="573"/>
      <c r="V32" s="573"/>
      <c r="W32" s="573"/>
      <c r="X32" s="573"/>
      <c r="Y32" s="573"/>
      <c r="Z32" s="573"/>
      <c r="AA32" s="573"/>
      <c r="AB32" s="573"/>
      <c r="AC32" s="573"/>
      <c r="AD32" s="573"/>
      <c r="AE32" s="573"/>
      <c r="AF32" s="573"/>
      <c r="AG32" s="573"/>
      <c r="AH32" s="573"/>
    </row>
    <row r="33" spans="1:34" ht="18" customHeight="1">
      <c r="A33" s="183"/>
      <c r="B33" s="183"/>
      <c r="C33" s="183"/>
      <c r="D33" s="575"/>
      <c r="E33" s="576"/>
      <c r="F33" s="575"/>
      <c r="G33" s="575"/>
      <c r="H33" s="575"/>
      <c r="I33" s="575"/>
      <c r="J33" s="575"/>
      <c r="K33" s="575"/>
      <c r="L33" s="573"/>
      <c r="M33" s="573"/>
      <c r="N33" s="573"/>
      <c r="O33" s="573"/>
      <c r="P33" s="573"/>
      <c r="Q33" s="573"/>
      <c r="R33" s="573"/>
      <c r="S33" s="573"/>
      <c r="T33" s="573"/>
      <c r="U33" s="573"/>
      <c r="V33" s="573"/>
      <c r="W33" s="573"/>
      <c r="X33" s="573"/>
      <c r="Y33" s="573"/>
      <c r="Z33" s="573"/>
      <c r="AA33" s="573"/>
      <c r="AB33" s="573"/>
      <c r="AC33" s="573"/>
      <c r="AD33" s="573"/>
      <c r="AE33" s="573"/>
      <c r="AF33" s="573"/>
      <c r="AG33" s="573"/>
      <c r="AH33" s="573"/>
    </row>
    <row r="34" spans="1:34" ht="18" customHeight="1">
      <c r="A34" s="183"/>
      <c r="B34" s="183"/>
      <c r="C34" s="577"/>
      <c r="D34" s="183"/>
      <c r="E34" s="577"/>
      <c r="F34" s="577"/>
      <c r="G34" s="577"/>
      <c r="H34" s="577"/>
      <c r="I34" s="577"/>
      <c r="J34" s="578"/>
      <c r="K34" s="578"/>
      <c r="L34" s="144"/>
      <c r="M34" s="144"/>
      <c r="N34" s="144"/>
      <c r="O34" s="144"/>
      <c r="P34" s="579"/>
      <c r="Q34" s="579"/>
      <c r="R34" s="579"/>
      <c r="S34" s="145"/>
      <c r="U34" s="579"/>
      <c r="X34" s="44"/>
      <c r="Y34" s="44"/>
    </row>
    <row r="35" spans="1:34" ht="18" customHeight="1">
      <c r="A35" s="183"/>
      <c r="B35" s="183"/>
      <c r="C35" s="577"/>
      <c r="D35" s="183"/>
      <c r="E35" s="577"/>
      <c r="F35" s="577"/>
      <c r="G35" s="577"/>
      <c r="H35" s="577"/>
      <c r="I35" s="577"/>
      <c r="J35" s="578"/>
      <c r="K35" s="578"/>
      <c r="L35" s="144"/>
      <c r="M35" s="144"/>
      <c r="N35" s="144"/>
      <c r="O35" s="144"/>
      <c r="P35" s="579"/>
      <c r="Q35" s="579"/>
      <c r="R35" s="579"/>
      <c r="S35" s="145"/>
      <c r="U35" s="579"/>
      <c r="X35" s="44"/>
      <c r="Y35" s="44"/>
    </row>
    <row r="36" spans="1:34" ht="18" customHeight="1">
      <c r="A36" s="183"/>
      <c r="B36" s="183"/>
      <c r="C36" s="577"/>
      <c r="D36" s="183"/>
      <c r="E36" s="577"/>
      <c r="F36" s="577"/>
      <c r="G36" s="577"/>
      <c r="H36" s="577"/>
      <c r="I36" s="577"/>
      <c r="J36" s="578"/>
      <c r="K36" s="578"/>
      <c r="L36" s="144"/>
      <c r="M36" s="144"/>
      <c r="N36" s="144"/>
      <c r="O36" s="144"/>
      <c r="P36" s="579"/>
      <c r="Q36" s="579"/>
      <c r="R36" s="579"/>
      <c r="S36" s="145"/>
      <c r="U36" s="579"/>
      <c r="X36" s="44"/>
      <c r="Y36" s="44"/>
    </row>
    <row r="37" spans="1:34" ht="18" customHeight="1">
      <c r="A37" s="183"/>
      <c r="B37" s="183"/>
      <c r="C37" s="577"/>
      <c r="D37" s="183"/>
      <c r="E37" s="577"/>
      <c r="F37" s="577"/>
      <c r="G37" s="577"/>
      <c r="H37" s="577"/>
      <c r="I37" s="577"/>
      <c r="J37" s="578"/>
      <c r="K37" s="578"/>
      <c r="M37" s="118"/>
      <c r="N37" s="243"/>
      <c r="O37" s="580"/>
      <c r="P37" s="20"/>
      <c r="Q37" s="20"/>
      <c r="R37" s="39"/>
      <c r="S37" s="20"/>
      <c r="T37" s="30"/>
      <c r="U37" s="20"/>
      <c r="X37" s="581"/>
      <c r="Y37" s="582"/>
    </row>
    <row r="38" spans="1:34" ht="18" customHeight="1">
      <c r="A38" s="183"/>
      <c r="B38" s="183"/>
      <c r="C38" s="577"/>
      <c r="D38" s="183"/>
      <c r="E38" s="577"/>
      <c r="F38" s="577"/>
      <c r="G38" s="577"/>
      <c r="H38" s="577"/>
      <c r="I38" s="577"/>
      <c r="J38" s="578"/>
      <c r="K38" s="578"/>
      <c r="L38" s="144"/>
      <c r="M38" s="144"/>
      <c r="N38" s="144"/>
      <c r="O38" s="144"/>
      <c r="P38" s="579"/>
      <c r="Q38" s="579"/>
      <c r="R38" s="579"/>
      <c r="S38" s="145"/>
      <c r="U38" s="579"/>
      <c r="X38" s="44"/>
      <c r="Y38" s="44"/>
    </row>
    <row r="39" spans="1:34" ht="18" customHeight="1">
      <c r="A39" s="183"/>
      <c r="B39" s="183"/>
      <c r="C39" s="577"/>
      <c r="D39" s="183"/>
      <c r="E39" s="577"/>
      <c r="F39" s="577"/>
      <c r="G39" s="577"/>
      <c r="H39" s="577"/>
      <c r="I39" s="577"/>
      <c r="J39" s="583"/>
      <c r="K39" s="583"/>
      <c r="M39" s="118"/>
      <c r="N39" s="243"/>
      <c r="O39" s="581"/>
      <c r="P39" s="584"/>
      <c r="Q39" s="584"/>
      <c r="R39" s="584"/>
      <c r="S39" s="584"/>
      <c r="T39" s="30"/>
      <c r="U39" s="584"/>
      <c r="X39" s="581"/>
      <c r="Y39" s="581"/>
    </row>
    <row r="40" spans="1:34" ht="18" customHeight="1">
      <c r="A40" s="183"/>
      <c r="B40" s="183"/>
      <c r="C40" s="577"/>
      <c r="D40" s="194"/>
      <c r="E40" s="577"/>
      <c r="F40" s="577"/>
      <c r="G40" s="577"/>
      <c r="H40" s="577"/>
      <c r="I40" s="577"/>
      <c r="J40" s="583"/>
      <c r="K40" s="583"/>
      <c r="M40" s="118"/>
      <c r="N40" s="243"/>
      <c r="O40" s="581"/>
      <c r="P40" s="584"/>
      <c r="Q40" s="584"/>
      <c r="R40" s="584"/>
      <c r="S40" s="584"/>
      <c r="T40" s="30"/>
      <c r="U40" s="584"/>
      <c r="X40" s="581"/>
      <c r="Y40" s="581"/>
    </row>
    <row r="41" spans="1:34" ht="13.5" customHeight="1">
      <c r="A41" s="183"/>
      <c r="B41" s="183"/>
      <c r="C41" s="183"/>
      <c r="D41" s="183"/>
      <c r="E41" s="577"/>
      <c r="F41" s="577"/>
      <c r="G41" s="577"/>
      <c r="H41" s="577"/>
      <c r="I41" s="577"/>
      <c r="J41" s="583"/>
      <c r="K41" s="583"/>
      <c r="M41" s="72"/>
      <c r="N41" s="243"/>
      <c r="O41" s="581"/>
      <c r="P41" s="584"/>
      <c r="Q41" s="584"/>
      <c r="R41" s="584"/>
      <c r="S41" s="584"/>
      <c r="T41" s="30"/>
      <c r="U41" s="584"/>
      <c r="X41" s="581"/>
      <c r="Y41" s="581"/>
    </row>
    <row r="42" spans="1:34" ht="13.5" customHeight="1">
      <c r="C42" s="585"/>
      <c r="D42" s="30"/>
      <c r="E42" s="585"/>
      <c r="F42" s="585"/>
      <c r="G42" s="585"/>
      <c r="H42" s="585"/>
      <c r="I42" s="585"/>
      <c r="J42" s="134"/>
      <c r="K42" s="134"/>
      <c r="M42" s="72"/>
      <c r="N42" s="243"/>
      <c r="O42" s="581"/>
      <c r="P42" s="20"/>
      <c r="Q42" s="20"/>
      <c r="R42" s="20"/>
      <c r="S42" s="20"/>
      <c r="U42" s="20"/>
      <c r="X42" s="581"/>
      <c r="Y42" s="581"/>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376</v>
      </c>
    </row>
    <row r="2" spans="1:47" s="30" customFormat="1" ht="18" customHeight="1">
      <c r="A2" s="151" t="s">
        <v>418</v>
      </c>
      <c r="AM2" s="2"/>
      <c r="AN2" s="2"/>
      <c r="AO2" s="2"/>
      <c r="AS2" s="151" t="s">
        <v>418</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8" t="s">
        <v>419</v>
      </c>
      <c r="C4" s="48"/>
      <c r="D4" s="48"/>
      <c r="E4" s="48"/>
      <c r="F4" s="48"/>
      <c r="G4" s="48"/>
      <c r="H4" s="48"/>
      <c r="I4" s="48"/>
      <c r="J4" s="48"/>
      <c r="K4" s="48"/>
      <c r="L4" s="48"/>
      <c r="M4" s="48"/>
      <c r="N4" s="48"/>
      <c r="O4" s="48"/>
      <c r="P4" s="48"/>
      <c r="Q4" s="48"/>
      <c r="R4" s="48"/>
      <c r="U4" s="48"/>
      <c r="V4" s="48"/>
      <c r="W4" s="48"/>
      <c r="X4" s="48"/>
      <c r="Y4" s="48"/>
      <c r="Z4" s="48"/>
      <c r="AT4" s="128" t="s">
        <v>419</v>
      </c>
    </row>
    <row r="5" spans="1:47" ht="18" customHeight="1">
      <c r="B5" s="51" t="s">
        <v>1410</v>
      </c>
      <c r="D5" s="48"/>
      <c r="E5" s="48"/>
      <c r="F5" s="48"/>
      <c r="G5" s="48"/>
      <c r="H5" s="48"/>
      <c r="I5" s="48"/>
      <c r="J5" s="48"/>
      <c r="K5" s="48"/>
      <c r="L5" s="48"/>
      <c r="M5" s="48"/>
      <c r="N5" s="48"/>
      <c r="O5" s="48"/>
      <c r="P5" s="48"/>
      <c r="Q5" s="48"/>
      <c r="R5" s="48"/>
      <c r="U5" s="48"/>
      <c r="V5" s="48"/>
      <c r="W5" s="48"/>
      <c r="X5" s="48"/>
      <c r="Y5" s="48"/>
      <c r="Z5" s="48"/>
    </row>
    <row r="6" spans="1:47" ht="18" customHeight="1">
      <c r="B6" s="51" t="s">
        <v>420</v>
      </c>
      <c r="D6" s="48"/>
      <c r="E6" s="48"/>
      <c r="F6" s="48"/>
      <c r="G6" s="48"/>
      <c r="H6" s="48"/>
      <c r="I6" s="48"/>
      <c r="J6" s="48"/>
      <c r="K6" s="48"/>
      <c r="L6" s="48"/>
      <c r="M6" s="48"/>
      <c r="N6" s="48"/>
      <c r="O6" s="48"/>
      <c r="P6" s="48"/>
      <c r="Q6" s="48"/>
      <c r="R6" s="48"/>
      <c r="U6" s="48"/>
      <c r="V6" s="48"/>
      <c r="W6" s="48"/>
      <c r="X6" s="48"/>
      <c r="Y6" s="48"/>
      <c r="Z6" s="48"/>
    </row>
    <row r="7" spans="1:47" ht="18" customHeight="1">
      <c r="B7" s="51" t="s">
        <v>421</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90" t="s">
        <v>55</v>
      </c>
      <c r="C9" s="1291"/>
      <c r="D9" s="1291"/>
      <c r="E9" s="1291"/>
      <c r="F9" s="1291"/>
      <c r="G9" s="1291"/>
      <c r="H9" s="1291"/>
      <c r="I9" s="1291"/>
      <c r="J9" s="1291"/>
      <c r="K9" s="1291"/>
      <c r="L9" s="1468"/>
      <c r="M9" s="1204" t="s">
        <v>274</v>
      </c>
      <c r="N9" s="1205"/>
      <c r="O9" s="1205"/>
      <c r="P9" s="1205"/>
      <c r="Q9" s="1205"/>
      <c r="R9" s="1205"/>
      <c r="S9" s="1205"/>
      <c r="T9" s="1205"/>
      <c r="U9" s="1212" t="s">
        <v>1403</v>
      </c>
      <c r="V9" s="1688"/>
      <c r="W9" s="1689"/>
      <c r="X9" s="588"/>
      <c r="Y9" s="589"/>
      <c r="Z9" s="589"/>
      <c r="AA9" s="589"/>
      <c r="AB9" s="589"/>
      <c r="AC9" s="589"/>
      <c r="AD9" s="589"/>
      <c r="AE9" s="589"/>
      <c r="AF9" s="589"/>
      <c r="AG9" s="589"/>
      <c r="AH9" s="261"/>
      <c r="AI9" s="261"/>
      <c r="AT9" s="1603" t="s">
        <v>55</v>
      </c>
      <c r="AU9" s="1671" t="s">
        <v>422</v>
      </c>
    </row>
    <row r="10" spans="1:47" ht="12.95" customHeight="1">
      <c r="B10" s="1275"/>
      <c r="C10" s="1276"/>
      <c r="D10" s="1276"/>
      <c r="E10" s="1276"/>
      <c r="F10" s="1276"/>
      <c r="G10" s="1276"/>
      <c r="H10" s="1276"/>
      <c r="I10" s="1276"/>
      <c r="J10" s="1276"/>
      <c r="K10" s="1276"/>
      <c r="L10" s="1277"/>
      <c r="M10" s="1874"/>
      <c r="N10" s="1418"/>
      <c r="O10" s="1418"/>
      <c r="P10" s="1418"/>
      <c r="Q10" s="1418"/>
      <c r="R10" s="1418"/>
      <c r="S10" s="1418"/>
      <c r="T10" s="1418"/>
      <c r="U10" s="1690"/>
      <c r="V10" s="1691"/>
      <c r="W10" s="1692"/>
      <c r="X10" s="589"/>
      <c r="Y10" s="589"/>
      <c r="Z10" s="589"/>
      <c r="AA10" s="589"/>
      <c r="AB10" s="589"/>
      <c r="AC10" s="589"/>
      <c r="AD10" s="589"/>
      <c r="AE10" s="589"/>
      <c r="AF10" s="589"/>
      <c r="AG10" s="589"/>
      <c r="AH10" s="261"/>
      <c r="AI10" s="261"/>
      <c r="AT10" s="1603"/>
      <c r="AU10" s="1672"/>
    </row>
    <row r="11" spans="1:47" ht="14.25" customHeight="1" thickBot="1">
      <c r="B11" s="1265"/>
      <c r="C11" s="1266"/>
      <c r="D11" s="1266"/>
      <c r="E11" s="1266"/>
      <c r="F11" s="1266"/>
      <c r="G11" s="1266"/>
      <c r="H11" s="1266"/>
      <c r="I11" s="1266"/>
      <c r="J11" s="1266"/>
      <c r="K11" s="1266"/>
      <c r="L11" s="1267"/>
      <c r="M11" s="1605"/>
      <c r="N11" s="1830"/>
      <c r="O11" s="1830"/>
      <c r="P11" s="1830"/>
      <c r="Q11" s="1830"/>
      <c r="R11" s="1830"/>
      <c r="S11" s="1830"/>
      <c r="T11" s="1830"/>
      <c r="U11" s="1875"/>
      <c r="V11" s="1876"/>
      <c r="W11" s="1877"/>
      <c r="X11" s="589"/>
      <c r="Y11" s="589"/>
      <c r="Z11" s="589"/>
      <c r="AA11" s="589"/>
      <c r="AB11" s="589"/>
      <c r="AC11" s="589"/>
      <c r="AD11" s="589"/>
      <c r="AE11" s="589"/>
      <c r="AF11" s="589"/>
      <c r="AG11" s="589"/>
      <c r="AH11" s="261"/>
      <c r="AI11" s="261"/>
      <c r="AT11" s="1603"/>
      <c r="AU11" s="1607"/>
    </row>
    <row r="12" spans="1:47" ht="30" customHeight="1" thickTop="1" thickBot="1">
      <c r="B12" s="1579" t="s">
        <v>249</v>
      </c>
      <c r="C12" s="1580"/>
      <c r="D12" s="1580"/>
      <c r="E12" s="1580"/>
      <c r="F12" s="1580"/>
      <c r="G12" s="1580"/>
      <c r="H12" s="1580"/>
      <c r="I12" s="1580"/>
      <c r="J12" s="1580"/>
      <c r="K12" s="1580"/>
      <c r="L12" s="1867"/>
      <c r="M12" s="1868"/>
      <c r="N12" s="1869"/>
      <c r="O12" s="1869"/>
      <c r="P12" s="1869"/>
      <c r="Q12" s="1869"/>
      <c r="R12" s="1869"/>
      <c r="S12" s="1869"/>
      <c r="T12" s="1870"/>
      <c r="U12" s="1871"/>
      <c r="V12" s="1872"/>
      <c r="W12" s="1873"/>
      <c r="X12" s="589"/>
      <c r="Y12" s="589"/>
      <c r="Z12" s="589"/>
      <c r="AA12" s="589"/>
      <c r="AB12" s="589"/>
      <c r="AC12" s="589"/>
      <c r="AD12" s="589"/>
      <c r="AE12" s="589"/>
      <c r="AF12" s="589"/>
      <c r="AG12" s="589"/>
      <c r="AH12" s="261"/>
      <c r="AI12" s="261"/>
      <c r="AT12" s="590" t="s">
        <v>423</v>
      </c>
      <c r="AU12" s="385">
        <f>IF(M12&gt;0,SUM(ROUND(M12*U12%,),AU19:AU21),SUM(AU13:AU21))</f>
        <v>0</v>
      </c>
    </row>
    <row r="13" spans="1:47" ht="30" customHeight="1" thickTop="1">
      <c r="B13" s="591"/>
      <c r="C13" s="1315" t="s">
        <v>424</v>
      </c>
      <c r="D13" s="1260"/>
      <c r="E13" s="1260"/>
      <c r="F13" s="1260"/>
      <c r="G13" s="1260"/>
      <c r="H13" s="1260"/>
      <c r="I13" s="1260"/>
      <c r="J13" s="1260"/>
      <c r="K13" s="1260"/>
      <c r="L13" s="1260"/>
      <c r="M13" s="1863"/>
      <c r="N13" s="1864"/>
      <c r="O13" s="1864"/>
      <c r="P13" s="1864"/>
      <c r="Q13" s="1864"/>
      <c r="R13" s="1864"/>
      <c r="S13" s="1864"/>
      <c r="T13" s="1864"/>
      <c r="U13" s="1865"/>
      <c r="V13" s="1865"/>
      <c r="W13" s="1866"/>
      <c r="X13" s="472"/>
      <c r="Y13" s="592"/>
      <c r="Z13" s="592"/>
      <c r="AA13" s="592"/>
      <c r="AB13" s="592"/>
      <c r="AC13" s="592"/>
      <c r="AD13" s="592"/>
      <c r="AE13" s="592"/>
      <c r="AF13" s="592"/>
      <c r="AG13" s="592"/>
      <c r="AH13" s="593"/>
      <c r="AI13" s="593"/>
      <c r="AT13" s="229" t="s">
        <v>424</v>
      </c>
      <c r="AU13" s="341">
        <f>ROUND(M13*U13%,)</f>
        <v>0</v>
      </c>
    </row>
    <row r="14" spans="1:47" ht="30" customHeight="1">
      <c r="B14" s="594"/>
      <c r="C14" s="1315" t="s">
        <v>425</v>
      </c>
      <c r="D14" s="1260"/>
      <c r="E14" s="1260"/>
      <c r="F14" s="1260"/>
      <c r="G14" s="1260"/>
      <c r="H14" s="1260"/>
      <c r="I14" s="1260"/>
      <c r="J14" s="1260"/>
      <c r="K14" s="1260"/>
      <c r="L14" s="1260"/>
      <c r="M14" s="1841"/>
      <c r="N14" s="1842"/>
      <c r="O14" s="1842"/>
      <c r="P14" s="1842"/>
      <c r="Q14" s="1842"/>
      <c r="R14" s="1842"/>
      <c r="S14" s="1842"/>
      <c r="T14" s="1842"/>
      <c r="U14" s="1843"/>
      <c r="V14" s="1843"/>
      <c r="W14" s="1844"/>
      <c r="X14" s="472"/>
      <c r="Y14" s="592"/>
      <c r="Z14" s="592"/>
      <c r="AA14" s="592"/>
      <c r="AB14" s="592"/>
      <c r="AC14" s="592"/>
      <c r="AD14" s="592"/>
      <c r="AE14" s="592"/>
      <c r="AF14" s="592"/>
      <c r="AG14" s="592"/>
      <c r="AH14" s="593"/>
      <c r="AI14" s="593"/>
      <c r="AT14" s="595" t="s">
        <v>425</v>
      </c>
      <c r="AU14" s="341">
        <f>ROUND(M14*U14%,)</f>
        <v>0</v>
      </c>
    </row>
    <row r="15" spans="1:47" ht="30" customHeight="1">
      <c r="B15" s="591"/>
      <c r="C15" s="1315" t="s">
        <v>426</v>
      </c>
      <c r="D15" s="1260"/>
      <c r="E15" s="1260"/>
      <c r="F15" s="1260"/>
      <c r="G15" s="1260"/>
      <c r="H15" s="1260"/>
      <c r="I15" s="1260"/>
      <c r="J15" s="1260"/>
      <c r="K15" s="1260"/>
      <c r="L15" s="1260"/>
      <c r="M15" s="1859"/>
      <c r="N15" s="1860"/>
      <c r="O15" s="1860"/>
      <c r="P15" s="1860"/>
      <c r="Q15" s="1860"/>
      <c r="R15" s="1860"/>
      <c r="S15" s="1860"/>
      <c r="T15" s="1860"/>
      <c r="U15" s="1861"/>
      <c r="V15" s="1861"/>
      <c r="W15" s="1862"/>
      <c r="X15" s="472"/>
      <c r="Y15" s="368"/>
      <c r="Z15" s="368"/>
      <c r="AA15" s="368"/>
      <c r="AB15" s="368"/>
      <c r="AC15" s="368"/>
      <c r="AD15" s="368"/>
      <c r="AE15" s="368"/>
      <c r="AF15" s="368"/>
      <c r="AG15" s="368"/>
      <c r="AH15" s="328"/>
      <c r="AI15" s="328"/>
      <c r="AT15" s="595" t="s">
        <v>426</v>
      </c>
      <c r="AU15" s="341">
        <f t="shared" ref="AU15" si="0">ROUND(M15*U15%,)</f>
        <v>0</v>
      </c>
    </row>
    <row r="16" spans="1:47" ht="30" customHeight="1">
      <c r="B16" s="591"/>
      <c r="C16" s="1315" t="s">
        <v>427</v>
      </c>
      <c r="D16" s="1260"/>
      <c r="E16" s="1260"/>
      <c r="F16" s="1260"/>
      <c r="G16" s="1260"/>
      <c r="H16" s="1260"/>
      <c r="I16" s="1260"/>
      <c r="J16" s="1260"/>
      <c r="K16" s="1260"/>
      <c r="L16" s="1261"/>
      <c r="M16" s="1841"/>
      <c r="N16" s="1842"/>
      <c r="O16" s="1842"/>
      <c r="P16" s="1842"/>
      <c r="Q16" s="1842"/>
      <c r="R16" s="1842"/>
      <c r="S16" s="1842"/>
      <c r="T16" s="1842"/>
      <c r="U16" s="1843"/>
      <c r="V16" s="1843"/>
      <c r="W16" s="1844"/>
      <c r="X16" s="472"/>
      <c r="Y16" s="368"/>
      <c r="Z16" s="368"/>
      <c r="AA16" s="368"/>
      <c r="AB16" s="368"/>
      <c r="AC16" s="368"/>
      <c r="AD16" s="368"/>
      <c r="AE16" s="368"/>
      <c r="AF16" s="368"/>
      <c r="AG16" s="368"/>
      <c r="AH16" s="328"/>
      <c r="AI16" s="328"/>
      <c r="AT16" s="229" t="s">
        <v>427</v>
      </c>
      <c r="AU16" s="341">
        <f>ROUND(M16*U16%,)</f>
        <v>0</v>
      </c>
    </row>
    <row r="17" spans="1:47" ht="30" customHeight="1">
      <c r="B17" s="591"/>
      <c r="C17" s="1315" t="s">
        <v>428</v>
      </c>
      <c r="D17" s="1260"/>
      <c r="E17" s="1260"/>
      <c r="F17" s="1260"/>
      <c r="G17" s="1260"/>
      <c r="H17" s="1260"/>
      <c r="I17" s="1260"/>
      <c r="J17" s="1260"/>
      <c r="K17" s="1260"/>
      <c r="L17" s="1261"/>
      <c r="M17" s="1841"/>
      <c r="N17" s="1842"/>
      <c r="O17" s="1842"/>
      <c r="P17" s="1842"/>
      <c r="Q17" s="1842"/>
      <c r="R17" s="1842"/>
      <c r="S17" s="1842"/>
      <c r="T17" s="1842"/>
      <c r="U17" s="1843"/>
      <c r="V17" s="1843"/>
      <c r="W17" s="1844"/>
      <c r="X17" s="472"/>
      <c r="Y17" s="368"/>
      <c r="Z17" s="368"/>
      <c r="AA17" s="368"/>
      <c r="AB17" s="368"/>
      <c r="AC17" s="368"/>
      <c r="AD17" s="368"/>
      <c r="AE17" s="368"/>
      <c r="AF17" s="368"/>
      <c r="AG17" s="368"/>
      <c r="AH17" s="328"/>
      <c r="AI17" s="328"/>
      <c r="AT17" s="595" t="s">
        <v>428</v>
      </c>
      <c r="AU17" s="341">
        <f>ROUND(M17*U17%,)</f>
        <v>0</v>
      </c>
    </row>
    <row r="18" spans="1:47" ht="30" customHeight="1" thickBot="1">
      <c r="B18" s="596"/>
      <c r="C18" s="1337" t="s">
        <v>429</v>
      </c>
      <c r="D18" s="1550"/>
      <c r="E18" s="1550"/>
      <c r="F18" s="1550"/>
      <c r="G18" s="1550"/>
      <c r="H18" s="1550"/>
      <c r="I18" s="1550"/>
      <c r="J18" s="1550"/>
      <c r="K18" s="1550"/>
      <c r="L18" s="1389"/>
      <c r="M18" s="1837"/>
      <c r="N18" s="1838"/>
      <c r="O18" s="1838"/>
      <c r="P18" s="1838"/>
      <c r="Q18" s="1838"/>
      <c r="R18" s="1838"/>
      <c r="S18" s="1838"/>
      <c r="T18" s="1838"/>
      <c r="U18" s="1839"/>
      <c r="V18" s="1839"/>
      <c r="W18" s="1840"/>
      <c r="X18" s="472"/>
      <c r="Y18" s="368"/>
      <c r="Z18" s="368"/>
      <c r="AA18" s="368"/>
      <c r="AB18" s="368"/>
      <c r="AC18" s="368"/>
      <c r="AD18" s="368"/>
      <c r="AE18" s="368"/>
      <c r="AF18" s="368"/>
      <c r="AG18" s="368"/>
      <c r="AH18" s="328"/>
      <c r="AI18" s="328"/>
      <c r="AT18" s="229" t="s">
        <v>429</v>
      </c>
      <c r="AU18" s="341">
        <f>ROUND(M18*U18%,)</f>
        <v>0</v>
      </c>
    </row>
    <row r="19" spans="1:47" ht="30" customHeight="1">
      <c r="B19" s="1858" t="s">
        <v>430</v>
      </c>
      <c r="C19" s="1858"/>
      <c r="D19" s="1858"/>
      <c r="E19" s="1858"/>
      <c r="F19" s="1858"/>
      <c r="G19" s="1858"/>
      <c r="H19" s="1858"/>
      <c r="I19" s="1858"/>
      <c r="J19" s="1858"/>
      <c r="K19" s="1858"/>
      <c r="L19" s="1858"/>
      <c r="M19" s="1858"/>
      <c r="N19" s="1858"/>
      <c r="O19" s="1858"/>
      <c r="P19" s="1858"/>
      <c r="Q19" s="1858"/>
      <c r="R19" s="1858"/>
      <c r="S19" s="1858"/>
      <c r="T19" s="1858"/>
      <c r="U19" s="1858"/>
      <c r="V19" s="1858"/>
      <c r="W19" s="1858"/>
      <c r="X19" s="1858"/>
      <c r="Y19" s="1858"/>
      <c r="Z19" s="368"/>
      <c r="AA19" s="368"/>
      <c r="AB19" s="368"/>
      <c r="AC19" s="368"/>
      <c r="AD19" s="368"/>
      <c r="AE19" s="368"/>
      <c r="AF19" s="368"/>
      <c r="AG19" s="368"/>
      <c r="AH19" s="328"/>
      <c r="AI19" s="328"/>
      <c r="AT19" s="229" t="s">
        <v>431</v>
      </c>
      <c r="AU19" s="341">
        <f>【８】自動車!AU17+【９】農業機械!AW14</f>
        <v>0</v>
      </c>
    </row>
    <row r="20" spans="1:47" ht="30" customHeight="1">
      <c r="Z20" s="328"/>
      <c r="AA20" s="328"/>
      <c r="AB20" s="328"/>
      <c r="AC20" s="328"/>
      <c r="AD20" s="328"/>
      <c r="AE20" s="328"/>
      <c r="AF20" s="328"/>
      <c r="AG20" s="328"/>
      <c r="AH20" s="328"/>
      <c r="AI20" s="328"/>
      <c r="AT20" s="229" t="s">
        <v>432</v>
      </c>
      <c r="AU20" s="341">
        <f>【８】自動車!AS17</f>
        <v>0</v>
      </c>
    </row>
    <row r="21" spans="1:47" ht="30" customHeight="1">
      <c r="B21" s="241"/>
      <c r="C21" s="146"/>
      <c r="D21" s="146"/>
      <c r="E21" s="146"/>
      <c r="F21" s="146"/>
      <c r="G21" s="146"/>
      <c r="H21" s="146"/>
      <c r="I21" s="146"/>
      <c r="J21" s="146"/>
      <c r="K21" s="146"/>
      <c r="L21" s="125"/>
      <c r="M21" s="260"/>
      <c r="N21" s="260"/>
      <c r="O21" s="260"/>
      <c r="P21" s="260"/>
      <c r="Q21" s="260"/>
      <c r="R21" s="260"/>
      <c r="S21" s="260"/>
      <c r="T21" s="260"/>
      <c r="U21" s="260"/>
      <c r="V21" s="260"/>
      <c r="W21" s="260"/>
      <c r="X21" s="328"/>
      <c r="Y21" s="328"/>
      <c r="Z21" s="328"/>
      <c r="AA21" s="328"/>
      <c r="AB21" s="328"/>
      <c r="AC21" s="328"/>
      <c r="AD21" s="328"/>
      <c r="AE21" s="328"/>
      <c r="AF21" s="328"/>
      <c r="AG21" s="328"/>
      <c r="AH21" s="328"/>
      <c r="AI21" s="328"/>
      <c r="AT21" s="229" t="s">
        <v>433</v>
      </c>
      <c r="AU21" s="341">
        <f>【８】自動車!AT17+【９】農業機械!AV14</f>
        <v>0</v>
      </c>
    </row>
    <row r="22" spans="1:47" ht="30" customHeight="1">
      <c r="B22" s="241"/>
      <c r="C22" s="146"/>
      <c r="D22" s="146"/>
      <c r="E22" s="146"/>
      <c r="F22" s="146"/>
      <c r="G22" s="146"/>
      <c r="H22" s="146"/>
      <c r="I22" s="146"/>
      <c r="J22" s="146"/>
      <c r="K22" s="146"/>
      <c r="L22" s="125"/>
      <c r="M22" s="260"/>
      <c r="N22" s="260"/>
      <c r="O22" s="260"/>
      <c r="P22" s="260"/>
      <c r="Q22" s="260"/>
      <c r="R22" s="260"/>
      <c r="S22" s="260"/>
      <c r="T22" s="260"/>
      <c r="U22" s="260"/>
      <c r="V22" s="260"/>
      <c r="W22" s="260"/>
      <c r="X22" s="328"/>
      <c r="Y22" s="328"/>
      <c r="Z22" s="328"/>
      <c r="AA22" s="328"/>
      <c r="AB22" s="328"/>
      <c r="AC22" s="328"/>
      <c r="AD22" s="328"/>
      <c r="AE22" s="328"/>
      <c r="AF22" s="328"/>
      <c r="AG22" s="328"/>
      <c r="AH22" s="328"/>
      <c r="AI22" s="328"/>
      <c r="AT22" s="214"/>
      <c r="AU22" s="1107"/>
    </row>
    <row r="23" spans="1:47" ht="30" customHeight="1">
      <c r="B23" s="241"/>
      <c r="C23" s="146"/>
      <c r="D23" s="146"/>
      <c r="E23" s="146"/>
      <c r="F23" s="146"/>
      <c r="G23" s="146"/>
      <c r="H23" s="146"/>
      <c r="I23" s="146"/>
      <c r="J23" s="146"/>
      <c r="K23" s="146"/>
      <c r="L23" s="125"/>
      <c r="M23" s="260"/>
      <c r="N23" s="260"/>
      <c r="O23" s="260"/>
      <c r="P23" s="260"/>
      <c r="Q23" s="260"/>
      <c r="R23" s="260"/>
      <c r="S23" s="260"/>
      <c r="T23" s="260"/>
      <c r="U23" s="260"/>
      <c r="V23" s="260"/>
      <c r="W23" s="260"/>
      <c r="X23" s="328"/>
      <c r="Y23" s="328"/>
      <c r="Z23" s="328"/>
      <c r="AA23" s="328"/>
      <c r="AB23" s="328"/>
      <c r="AC23" s="328"/>
      <c r="AD23" s="328"/>
      <c r="AE23" s="328"/>
      <c r="AF23" s="328"/>
      <c r="AG23" s="328"/>
      <c r="AH23" s="328"/>
      <c r="AI23" s="328"/>
      <c r="AP23" s="183"/>
      <c r="AQ23" s="183"/>
      <c r="AR23" s="183"/>
      <c r="AS23" s="183"/>
    </row>
    <row r="24" spans="1:47" ht="14.25" customHeight="1">
      <c r="B24" s="106" t="s">
        <v>434</v>
      </c>
      <c r="C24" s="597"/>
      <c r="D24" s="46"/>
      <c r="AC24" s="328"/>
      <c r="AD24" s="328"/>
      <c r="AE24" s="328"/>
      <c r="AF24" s="328"/>
      <c r="AG24" s="328"/>
      <c r="AH24" s="328"/>
      <c r="AI24" s="328"/>
      <c r="AP24" s="183"/>
      <c r="AQ24" s="183"/>
      <c r="AR24" s="183"/>
      <c r="AS24" s="183"/>
      <c r="AT24" s="106" t="s">
        <v>434</v>
      </c>
    </row>
    <row r="25" spans="1:47" ht="18" customHeight="1">
      <c r="B25" s="51" t="s">
        <v>1411</v>
      </c>
      <c r="C25" s="46"/>
      <c r="D25" s="46"/>
      <c r="E25" s="46"/>
      <c r="F25" s="46"/>
      <c r="G25" s="46"/>
      <c r="H25" s="46"/>
      <c r="I25" s="46"/>
      <c r="J25" s="46"/>
      <c r="K25" s="48"/>
      <c r="L25" s="48"/>
      <c r="M25" s="48"/>
      <c r="N25" s="48"/>
      <c r="O25" s="48"/>
      <c r="P25" s="48"/>
      <c r="Q25" s="48"/>
      <c r="R25" s="48"/>
      <c r="U25" s="48"/>
      <c r="V25" s="48"/>
      <c r="W25" s="48"/>
      <c r="AC25" s="328"/>
      <c r="AD25" s="328"/>
      <c r="AE25" s="328"/>
      <c r="AF25" s="328"/>
      <c r="AG25" s="328"/>
      <c r="AH25" s="328"/>
      <c r="AI25" s="328"/>
      <c r="AP25" s="183"/>
      <c r="AQ25" s="183"/>
      <c r="AR25" s="183"/>
      <c r="AS25" s="183"/>
      <c r="AT25" s="183"/>
    </row>
    <row r="26" spans="1:47" ht="18" customHeight="1">
      <c r="B26" s="51" t="s">
        <v>420</v>
      </c>
      <c r="C26" s="46"/>
      <c r="D26" s="46"/>
      <c r="E26" s="46"/>
      <c r="F26" s="46"/>
      <c r="G26" s="46"/>
      <c r="H26" s="46"/>
      <c r="I26" s="46"/>
      <c r="J26" s="46"/>
      <c r="K26" s="48"/>
      <c r="L26" s="48"/>
      <c r="M26" s="48"/>
      <c r="N26" s="48"/>
      <c r="O26" s="48"/>
      <c r="P26" s="48"/>
      <c r="Q26" s="48"/>
      <c r="R26" s="48"/>
      <c r="U26" s="48"/>
      <c r="V26" s="48"/>
      <c r="W26" s="48"/>
      <c r="AC26" s="328"/>
      <c r="AD26" s="328"/>
      <c r="AE26" s="328"/>
      <c r="AF26" s="328"/>
      <c r="AG26" s="328"/>
      <c r="AH26" s="328"/>
      <c r="AI26" s="328"/>
      <c r="AP26" s="183"/>
      <c r="AQ26" s="183"/>
      <c r="AR26" s="183"/>
      <c r="AS26" s="183"/>
      <c r="AT26" s="183"/>
    </row>
    <row r="27" spans="1:47" ht="18" customHeight="1">
      <c r="B27" s="51" t="s">
        <v>435</v>
      </c>
      <c r="C27" s="46"/>
      <c r="D27" s="46"/>
      <c r="E27" s="46"/>
      <c r="F27" s="46"/>
      <c r="G27" s="46"/>
      <c r="H27" s="46"/>
      <c r="I27" s="46"/>
      <c r="J27" s="46"/>
      <c r="K27" s="48"/>
      <c r="L27" s="48"/>
      <c r="M27" s="48"/>
      <c r="N27" s="48"/>
      <c r="O27" s="48"/>
      <c r="P27" s="48"/>
      <c r="Q27" s="48"/>
      <c r="R27" s="48"/>
      <c r="U27" s="48"/>
      <c r="V27" s="48"/>
      <c r="W27" s="48"/>
      <c r="AC27" s="328"/>
      <c r="AD27" s="328"/>
      <c r="AE27" s="328"/>
      <c r="AF27" s="328"/>
      <c r="AG27" s="328"/>
      <c r="AH27" s="328"/>
      <c r="AI27" s="328"/>
      <c r="AP27" s="183"/>
      <c r="AQ27" s="183"/>
      <c r="AR27" s="183"/>
      <c r="AS27" s="183"/>
      <c r="AT27" s="183"/>
    </row>
    <row r="28" spans="1:47" ht="14.25" customHeight="1" thickBot="1">
      <c r="B28" s="241"/>
      <c r="C28" s="146"/>
      <c r="D28" s="146"/>
      <c r="E28" s="146"/>
      <c r="F28" s="146"/>
      <c r="G28" s="146"/>
      <c r="H28" s="146"/>
      <c r="I28" s="146"/>
      <c r="J28" s="146"/>
      <c r="K28" s="146"/>
      <c r="L28" s="125"/>
      <c r="M28" s="260"/>
      <c r="N28" s="260"/>
      <c r="O28" s="260"/>
      <c r="P28" s="260"/>
      <c r="Q28" s="260"/>
      <c r="R28" s="260"/>
      <c r="S28" s="260"/>
      <c r="T28" s="260"/>
      <c r="U28" s="260"/>
      <c r="V28" s="260"/>
      <c r="W28" s="260"/>
      <c r="X28" s="328"/>
      <c r="Y28" s="328"/>
      <c r="Z28" s="328"/>
      <c r="AA28" s="328"/>
      <c r="AB28" s="328"/>
      <c r="AC28" s="328"/>
      <c r="AD28" s="328"/>
      <c r="AE28" s="328"/>
      <c r="AF28" s="328"/>
      <c r="AG28" s="328"/>
      <c r="AH28" s="328"/>
      <c r="AI28" s="328"/>
      <c r="AP28" s="183"/>
      <c r="AQ28" s="183"/>
      <c r="AR28" s="183"/>
      <c r="AS28" s="183"/>
      <c r="AT28" s="183"/>
    </row>
    <row r="29" spans="1:47" ht="12.75" customHeight="1">
      <c r="B29" s="1290" t="s">
        <v>55</v>
      </c>
      <c r="C29" s="1291"/>
      <c r="D29" s="1291"/>
      <c r="E29" s="1291"/>
      <c r="F29" s="1291"/>
      <c r="G29" s="1291"/>
      <c r="H29" s="1291"/>
      <c r="I29" s="1291"/>
      <c r="J29" s="1291"/>
      <c r="K29" s="1291"/>
      <c r="L29" s="1468"/>
      <c r="M29" s="1205" t="s">
        <v>274</v>
      </c>
      <c r="N29" s="1205"/>
      <c r="O29" s="1205"/>
      <c r="P29" s="1205"/>
      <c r="Q29" s="1205"/>
      <c r="R29" s="1205"/>
      <c r="S29" s="1205"/>
      <c r="T29" s="1205"/>
      <c r="U29" s="1212" t="s">
        <v>1403</v>
      </c>
      <c r="V29" s="1688"/>
      <c r="W29" s="1689"/>
      <c r="AP29" s="183"/>
      <c r="AQ29" s="183"/>
      <c r="AR29" s="183"/>
      <c r="AS29" s="183"/>
      <c r="AT29" s="1603" t="s">
        <v>55</v>
      </c>
      <c r="AU29" s="1671" t="s">
        <v>422</v>
      </c>
    </row>
    <row r="30" spans="1:47" ht="12.75" customHeight="1">
      <c r="A30" s="128" t="s">
        <v>436</v>
      </c>
      <c r="B30" s="1275"/>
      <c r="C30" s="1276"/>
      <c r="D30" s="1276"/>
      <c r="E30" s="1276"/>
      <c r="F30" s="1276"/>
      <c r="G30" s="1276"/>
      <c r="H30" s="1276"/>
      <c r="I30" s="1276"/>
      <c r="J30" s="1276"/>
      <c r="K30" s="1276"/>
      <c r="L30" s="1277"/>
      <c r="M30" s="1418"/>
      <c r="N30" s="1418"/>
      <c r="O30" s="1418"/>
      <c r="P30" s="1418"/>
      <c r="Q30" s="1418"/>
      <c r="R30" s="1418"/>
      <c r="S30" s="1418"/>
      <c r="T30" s="1418"/>
      <c r="U30" s="1690"/>
      <c r="V30" s="1691"/>
      <c r="W30" s="1692"/>
      <c r="X30" s="48"/>
      <c r="Y30" s="48"/>
      <c r="Z30" s="48"/>
      <c r="AP30" s="183"/>
      <c r="AQ30" s="183"/>
      <c r="AR30" s="183"/>
      <c r="AS30" s="183"/>
      <c r="AT30" s="1603"/>
      <c r="AU30" s="1672"/>
    </row>
    <row r="31" spans="1:47" ht="12.75" customHeight="1" thickBot="1">
      <c r="B31" s="1265"/>
      <c r="C31" s="1266"/>
      <c r="D31" s="1266"/>
      <c r="E31" s="1266"/>
      <c r="F31" s="1266"/>
      <c r="G31" s="1266"/>
      <c r="H31" s="1266"/>
      <c r="I31" s="1266"/>
      <c r="J31" s="1266"/>
      <c r="K31" s="1266"/>
      <c r="L31" s="1267"/>
      <c r="M31" s="1418"/>
      <c r="N31" s="1418"/>
      <c r="O31" s="1418"/>
      <c r="P31" s="1418"/>
      <c r="Q31" s="1418"/>
      <c r="R31" s="1418"/>
      <c r="S31" s="1418"/>
      <c r="T31" s="1418"/>
      <c r="U31" s="1693"/>
      <c r="V31" s="1691"/>
      <c r="W31" s="1692"/>
      <c r="AT31" s="1603"/>
      <c r="AU31" s="1607"/>
    </row>
    <row r="32" spans="1:47" ht="30.75" customHeight="1" thickTop="1" thickBot="1">
      <c r="B32" s="1846" t="s">
        <v>249</v>
      </c>
      <c r="C32" s="1847"/>
      <c r="D32" s="1847"/>
      <c r="E32" s="1847"/>
      <c r="F32" s="1847"/>
      <c r="G32" s="1847"/>
      <c r="H32" s="1847"/>
      <c r="I32" s="1847"/>
      <c r="J32" s="1847"/>
      <c r="K32" s="1847"/>
      <c r="L32" s="1847"/>
      <c r="M32" s="1848"/>
      <c r="N32" s="1849"/>
      <c r="O32" s="1849"/>
      <c r="P32" s="1849"/>
      <c r="Q32" s="1849"/>
      <c r="R32" s="1849"/>
      <c r="S32" s="1849"/>
      <c r="T32" s="1850"/>
      <c r="U32" s="1851"/>
      <c r="V32" s="1629"/>
      <c r="W32" s="1852"/>
      <c r="AT32" s="590" t="s">
        <v>437</v>
      </c>
      <c r="AU32" s="385">
        <f>IF(M32&gt;0,SUM(ROUND(M32*U32%,),AU37),SUM(AU33:AU37))</f>
        <v>0</v>
      </c>
    </row>
    <row r="33" spans="2:47" ht="30" customHeight="1" thickTop="1">
      <c r="B33" s="598"/>
      <c r="C33" s="1853" t="s">
        <v>438</v>
      </c>
      <c r="D33" s="1845"/>
      <c r="E33" s="1845"/>
      <c r="F33" s="1845"/>
      <c r="G33" s="1845"/>
      <c r="H33" s="1845"/>
      <c r="I33" s="1845"/>
      <c r="J33" s="1845"/>
      <c r="K33" s="1845"/>
      <c r="L33" s="599"/>
      <c r="M33" s="1854"/>
      <c r="N33" s="1855"/>
      <c r="O33" s="1855"/>
      <c r="P33" s="1855"/>
      <c r="Q33" s="1855"/>
      <c r="R33" s="1855"/>
      <c r="S33" s="1855"/>
      <c r="T33" s="1855"/>
      <c r="U33" s="1856"/>
      <c r="V33" s="1856"/>
      <c r="W33" s="1857"/>
      <c r="X33" s="472"/>
      <c r="Y33" s="588"/>
      <c r="Z33" s="183"/>
      <c r="AA33" s="183"/>
      <c r="AB33" s="183"/>
      <c r="AC33" s="183"/>
      <c r="AD33" s="183"/>
      <c r="AE33" s="183"/>
      <c r="AF33" s="183"/>
      <c r="AG33" s="183"/>
      <c r="AT33" s="595" t="s">
        <v>439</v>
      </c>
      <c r="AU33" s="341">
        <f>ROUND(M33*U33%,)</f>
        <v>0</v>
      </c>
    </row>
    <row r="34" spans="2:47" ht="30" customHeight="1">
      <c r="B34" s="600"/>
      <c r="C34" s="1557" t="s">
        <v>440</v>
      </c>
      <c r="D34" s="1557"/>
      <c r="E34" s="1557"/>
      <c r="F34" s="1557"/>
      <c r="G34" s="1557"/>
      <c r="H34" s="1557"/>
      <c r="I34" s="1557"/>
      <c r="J34" s="1557"/>
      <c r="K34" s="1557"/>
      <c r="L34" s="599"/>
      <c r="M34" s="1841"/>
      <c r="N34" s="1842"/>
      <c r="O34" s="1842"/>
      <c r="P34" s="1842"/>
      <c r="Q34" s="1842"/>
      <c r="R34" s="1842"/>
      <c r="S34" s="1842"/>
      <c r="T34" s="1842"/>
      <c r="U34" s="1843"/>
      <c r="V34" s="1843"/>
      <c r="W34" s="1844"/>
      <c r="X34" s="472"/>
      <c r="Y34" s="588"/>
      <c r="Z34" s="183"/>
      <c r="AA34" s="183"/>
      <c r="AB34" s="183"/>
      <c r="AC34" s="183"/>
      <c r="AD34" s="183"/>
      <c r="AE34" s="183"/>
      <c r="AF34" s="183"/>
      <c r="AG34" s="183"/>
      <c r="AT34" s="229" t="s">
        <v>440</v>
      </c>
      <c r="AU34" s="341">
        <f>ROUND(M34*U34%,)</f>
        <v>0</v>
      </c>
    </row>
    <row r="35" spans="2:47" ht="30" customHeight="1">
      <c r="B35" s="600"/>
      <c r="C35" s="1845" t="s">
        <v>441</v>
      </c>
      <c r="D35" s="1845"/>
      <c r="E35" s="1845"/>
      <c r="F35" s="1845"/>
      <c r="G35" s="1845"/>
      <c r="H35" s="1845"/>
      <c r="I35" s="1845"/>
      <c r="J35" s="1845"/>
      <c r="K35" s="1845"/>
      <c r="L35" s="599"/>
      <c r="M35" s="1841"/>
      <c r="N35" s="1842"/>
      <c r="O35" s="1842"/>
      <c r="P35" s="1842"/>
      <c r="Q35" s="1842"/>
      <c r="R35" s="1842"/>
      <c r="S35" s="1842"/>
      <c r="T35" s="1842"/>
      <c r="U35" s="1843"/>
      <c r="V35" s="1843"/>
      <c r="W35" s="1844"/>
      <c r="X35" s="472"/>
      <c r="Y35" s="601"/>
      <c r="Z35" s="183"/>
      <c r="AA35" s="183"/>
      <c r="AB35" s="183"/>
      <c r="AC35" s="183"/>
      <c r="AD35" s="183"/>
      <c r="AE35" s="183"/>
      <c r="AF35" s="183"/>
      <c r="AG35" s="183"/>
      <c r="AT35" s="595" t="s">
        <v>442</v>
      </c>
      <c r="AU35" s="341">
        <f>ROUND(M35*U35%,)</f>
        <v>0</v>
      </c>
    </row>
    <row r="36" spans="2:47" ht="30" customHeight="1" thickBot="1">
      <c r="B36" s="602"/>
      <c r="C36" s="1588" t="s">
        <v>443</v>
      </c>
      <c r="D36" s="1588"/>
      <c r="E36" s="1588"/>
      <c r="F36" s="1588"/>
      <c r="G36" s="1588"/>
      <c r="H36" s="1588"/>
      <c r="I36" s="1588"/>
      <c r="J36" s="1588"/>
      <c r="K36" s="1588"/>
      <c r="L36" s="603"/>
      <c r="M36" s="1837"/>
      <c r="N36" s="1838"/>
      <c r="O36" s="1838"/>
      <c r="P36" s="1838"/>
      <c r="Q36" s="1838"/>
      <c r="R36" s="1838"/>
      <c r="S36" s="1838"/>
      <c r="T36" s="1838"/>
      <c r="U36" s="1839"/>
      <c r="V36" s="1839"/>
      <c r="W36" s="1840"/>
      <c r="X36" s="472"/>
      <c r="Y36" s="601"/>
      <c r="Z36" s="183"/>
      <c r="AA36" s="183"/>
      <c r="AB36" s="183"/>
      <c r="AC36" s="183"/>
      <c r="AD36" s="183"/>
      <c r="AE36" s="183"/>
      <c r="AF36" s="183"/>
      <c r="AG36" s="183"/>
      <c r="AT36" s="229" t="s">
        <v>443</v>
      </c>
      <c r="AU36" s="341">
        <f>ROUND(M36*U36%,)</f>
        <v>0</v>
      </c>
    </row>
    <row r="37" spans="2:47" ht="30" customHeight="1">
      <c r="B37" s="604"/>
      <c r="C37" s="146"/>
      <c r="D37" s="146"/>
      <c r="E37" s="146"/>
      <c r="F37" s="146"/>
      <c r="G37" s="146"/>
      <c r="H37" s="146"/>
      <c r="I37" s="146"/>
      <c r="J37" s="146"/>
      <c r="K37" s="146"/>
      <c r="L37" s="118"/>
      <c r="M37" s="260"/>
      <c r="N37" s="260"/>
      <c r="O37" s="260"/>
      <c r="P37" s="260"/>
      <c r="Q37" s="260"/>
      <c r="R37" s="260"/>
      <c r="S37" s="260"/>
      <c r="T37" s="260"/>
      <c r="U37" s="260"/>
      <c r="V37" s="260"/>
      <c r="W37" s="260"/>
      <c r="X37" s="601"/>
      <c r="Y37" s="601"/>
      <c r="Z37" s="183"/>
      <c r="AA37" s="183"/>
      <c r="AB37" s="183"/>
      <c r="AC37" s="183"/>
      <c r="AD37" s="183"/>
      <c r="AE37" s="183"/>
      <c r="AF37" s="183"/>
      <c r="AG37" s="183"/>
      <c r="AT37" s="229" t="s">
        <v>444</v>
      </c>
      <c r="AU37" s="341">
        <f>【８】自動車!AV17+【９】農業機械!AX14</f>
        <v>0</v>
      </c>
    </row>
    <row r="38" spans="2:47" ht="30" customHeight="1">
      <c r="B38" s="177"/>
      <c r="C38" s="146"/>
      <c r="D38" s="146"/>
      <c r="E38" s="146"/>
      <c r="F38" s="146"/>
      <c r="G38" s="146"/>
      <c r="H38" s="146"/>
      <c r="I38" s="146"/>
      <c r="J38" s="146"/>
      <c r="K38" s="146"/>
      <c r="L38" s="20"/>
      <c r="M38" s="260"/>
      <c r="N38" s="260"/>
      <c r="O38" s="260"/>
      <c r="P38" s="260"/>
      <c r="Q38" s="260"/>
      <c r="R38" s="260"/>
      <c r="S38" s="260"/>
      <c r="T38" s="260"/>
      <c r="U38" s="260"/>
      <c r="V38" s="260"/>
      <c r="W38" s="260"/>
      <c r="X38" s="605"/>
      <c r="Y38" s="605"/>
      <c r="Z38" s="605"/>
      <c r="AA38" s="605"/>
      <c r="AB38" s="605"/>
      <c r="AC38" s="605"/>
      <c r="AD38" s="605"/>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603" t="s">
        <v>55</v>
      </c>
      <c r="AU40" s="1671" t="s">
        <v>422</v>
      </c>
    </row>
    <row r="41" spans="2:47" ht="14.25" customHeight="1">
      <c r="B41" s="177"/>
      <c r="X41" s="183"/>
      <c r="Y41" s="183"/>
      <c r="Z41" s="183"/>
      <c r="AA41" s="183"/>
      <c r="AB41" s="183"/>
      <c r="AC41" s="183"/>
      <c r="AD41" s="183"/>
      <c r="AE41" s="183"/>
      <c r="AF41" s="183"/>
      <c r="AG41" s="183"/>
      <c r="AT41" s="1603"/>
      <c r="AU41" s="1672"/>
    </row>
    <row r="42" spans="2:47" ht="14.25" customHeight="1">
      <c r="B42" s="177"/>
      <c r="X42" s="183"/>
      <c r="Y42" s="183"/>
      <c r="Z42" s="183"/>
      <c r="AA42" s="183"/>
      <c r="AB42" s="183"/>
      <c r="AC42" s="183"/>
      <c r="AD42" s="183"/>
      <c r="AE42" s="183"/>
      <c r="AF42" s="183"/>
      <c r="AG42" s="183"/>
      <c r="AT42" s="1603"/>
      <c r="AU42" s="1607"/>
    </row>
    <row r="43" spans="2:47" ht="30" customHeight="1">
      <c r="B43" s="177"/>
      <c r="X43" s="183"/>
      <c r="Y43" s="183"/>
      <c r="Z43" s="183"/>
      <c r="AA43" s="183"/>
      <c r="AB43" s="183"/>
      <c r="AC43" s="183"/>
      <c r="AD43" s="183"/>
      <c r="AE43" s="183"/>
      <c r="AF43" s="183"/>
      <c r="AG43" s="183"/>
      <c r="AT43" s="606" t="s">
        <v>445</v>
      </c>
      <c r="AU43" s="341">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32:T36 M12:T18" xr:uid="{00000000-0002-0000-0E00-000000000000}">
      <formula1>0</formula1>
    </dataValidation>
    <dataValidation type="custom" allowBlank="1" showInputMessage="1" showErrorMessage="1" error="0.001~100の範囲で小数点第３位までの数値を入力してください。" sqref="U32:W36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8"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9" width="2.625" style="2" outlineLevel="1"/>
    <col min="40" max="16384" width="2.625" style="2"/>
  </cols>
  <sheetData>
    <row r="1" spans="1:36" ht="14.25" customHeight="1">
      <c r="AA1" s="2" t="s">
        <v>376</v>
      </c>
    </row>
    <row r="2" spans="1:36" s="30" customFormat="1" ht="18" customHeight="1">
      <c r="B2" s="151" t="s">
        <v>446</v>
      </c>
      <c r="J2" s="194"/>
      <c r="AA2" s="151" t="s">
        <v>446</v>
      </c>
      <c r="AG2" s="2"/>
      <c r="AH2" s="2"/>
      <c r="AI2" s="2"/>
      <c r="AJ2" s="2"/>
    </row>
    <row r="3" spans="1:36" ht="18" customHeight="1">
      <c r="A3" s="587"/>
      <c r="C3" s="607" t="s">
        <v>1412</v>
      </c>
      <c r="D3" s="608"/>
      <c r="E3" s="609"/>
      <c r="F3" s="609"/>
      <c r="G3" s="609"/>
      <c r="H3" s="609"/>
      <c r="I3" s="609"/>
      <c r="J3" s="610"/>
      <c r="K3" s="609"/>
      <c r="L3" s="609"/>
      <c r="M3" s="609"/>
      <c r="N3" s="609"/>
      <c r="O3" s="609"/>
      <c r="P3" s="609"/>
      <c r="Q3" s="587"/>
      <c r="R3" s="587"/>
      <c r="S3" s="587"/>
      <c r="T3" s="587"/>
      <c r="U3" s="587"/>
      <c r="V3" s="587"/>
      <c r="W3" s="587"/>
      <c r="X3" s="587"/>
      <c r="Y3" s="587"/>
      <c r="Z3" s="587"/>
    </row>
    <row r="4" spans="1:36" ht="18" customHeight="1">
      <c r="C4" s="608" t="s">
        <v>447</v>
      </c>
      <c r="D4" s="608"/>
      <c r="E4" s="609"/>
      <c r="F4" s="609"/>
      <c r="G4" s="609"/>
      <c r="H4" s="609"/>
      <c r="I4" s="609"/>
      <c r="J4" s="610"/>
      <c r="K4" s="609"/>
      <c r="L4" s="609"/>
      <c r="M4" s="609"/>
      <c r="N4" s="609"/>
      <c r="O4" s="609"/>
      <c r="P4" s="609"/>
    </row>
    <row r="5" spans="1:36" ht="18" customHeight="1">
      <c r="C5" s="608"/>
      <c r="D5" s="608"/>
      <c r="E5" s="609"/>
      <c r="F5" s="609"/>
      <c r="G5" s="609"/>
      <c r="H5" s="609"/>
      <c r="I5" s="609"/>
      <c r="J5" s="610"/>
      <c r="K5" s="609"/>
      <c r="L5" s="609"/>
      <c r="M5" s="609"/>
      <c r="N5" s="609"/>
      <c r="O5" s="609"/>
      <c r="P5" s="609"/>
    </row>
    <row r="6" spans="1:36" ht="18" customHeight="1">
      <c r="C6" s="608"/>
      <c r="D6" s="608"/>
      <c r="E6" s="609"/>
      <c r="F6" s="609"/>
      <c r="G6" s="609"/>
      <c r="H6" s="609"/>
      <c r="I6" s="609"/>
      <c r="J6" s="610"/>
      <c r="K6" s="609"/>
      <c r="L6" s="609"/>
      <c r="M6" s="609"/>
      <c r="N6" s="609"/>
      <c r="O6" s="609"/>
      <c r="P6" s="609"/>
    </row>
    <row r="7" spans="1:36" ht="18" customHeight="1" thickBot="1">
      <c r="C7" s="106" t="s">
        <v>448</v>
      </c>
      <c r="D7" s="106"/>
      <c r="E7" s="108"/>
      <c r="F7" s="108"/>
      <c r="G7" s="108"/>
      <c r="H7" s="30"/>
      <c r="I7" s="30"/>
      <c r="J7" s="194"/>
      <c r="K7" s="30"/>
      <c r="L7" s="30"/>
      <c r="M7" s="30"/>
      <c r="N7" s="30"/>
      <c r="O7" s="30"/>
      <c r="P7" s="30"/>
      <c r="AC7" s="106" t="s">
        <v>448</v>
      </c>
      <c r="AD7" s="106"/>
    </row>
    <row r="8" spans="1:36" ht="12.95" customHeight="1">
      <c r="C8" s="1290" t="s">
        <v>449</v>
      </c>
      <c r="D8" s="1291"/>
      <c r="E8" s="1468"/>
      <c r="F8" s="1580" t="s">
        <v>1413</v>
      </c>
      <c r="G8" s="1580"/>
      <c r="H8" s="1932" t="s">
        <v>1403</v>
      </c>
      <c r="AC8" s="1736" t="s">
        <v>449</v>
      </c>
      <c r="AD8" s="1737"/>
      <c r="AE8" s="1738"/>
      <c r="AF8" s="1603" t="s">
        <v>450</v>
      </c>
      <c r="AG8" s="1603"/>
    </row>
    <row r="9" spans="1:36" ht="12.95" customHeight="1">
      <c r="C9" s="1275"/>
      <c r="D9" s="1276"/>
      <c r="E9" s="1277"/>
      <c r="F9" s="1931"/>
      <c r="G9" s="1931"/>
      <c r="H9" s="1933"/>
      <c r="AC9" s="1935"/>
      <c r="AD9" s="1911"/>
      <c r="AE9" s="1936"/>
      <c r="AF9" s="1603"/>
      <c r="AG9" s="1603"/>
    </row>
    <row r="10" spans="1:36" ht="14.25" customHeight="1">
      <c r="C10" s="1275"/>
      <c r="D10" s="1276"/>
      <c r="E10" s="1277"/>
      <c r="F10" s="1940" t="s">
        <v>451</v>
      </c>
      <c r="G10" s="1941" t="s">
        <v>452</v>
      </c>
      <c r="H10" s="1933"/>
      <c r="AC10" s="1935"/>
      <c r="AD10" s="1911"/>
      <c r="AE10" s="1936"/>
      <c r="AF10" s="1603" t="s">
        <v>453</v>
      </c>
      <c r="AG10" s="1603" t="s">
        <v>452</v>
      </c>
    </row>
    <row r="11" spans="1:36" ht="13.7" customHeight="1" thickBot="1">
      <c r="C11" s="1265"/>
      <c r="D11" s="1266"/>
      <c r="E11" s="1267"/>
      <c r="F11" s="1940"/>
      <c r="G11" s="1941"/>
      <c r="H11" s="1934"/>
      <c r="AC11" s="1937"/>
      <c r="AD11" s="1938"/>
      <c r="AE11" s="1939"/>
      <c r="AF11" s="1603"/>
      <c r="AG11" s="1603"/>
    </row>
    <row r="12" spans="1:36" ht="30" customHeight="1" thickTop="1">
      <c r="C12" s="1926" t="s">
        <v>454</v>
      </c>
      <c r="D12" s="1927"/>
      <c r="E12" s="1540"/>
      <c r="F12" s="611"/>
      <c r="G12" s="110"/>
      <c r="H12" s="1038"/>
      <c r="J12" s="472"/>
      <c r="AC12" s="1400" t="s">
        <v>454</v>
      </c>
      <c r="AD12" s="1401"/>
      <c r="AE12" s="1402"/>
      <c r="AF12" s="341">
        <f>ROUND(F12*60%*H12%,)</f>
        <v>0</v>
      </c>
      <c r="AG12" s="341">
        <f>ROUND(G12*60%*H12%,)</f>
        <v>0</v>
      </c>
    </row>
    <row r="13" spans="1:36" ht="30" customHeight="1">
      <c r="C13" s="1928" t="s">
        <v>455</v>
      </c>
      <c r="D13" s="1929"/>
      <c r="E13" s="1930"/>
      <c r="F13" s="227"/>
      <c r="G13" s="612"/>
      <c r="H13" s="1039"/>
      <c r="J13" s="472"/>
      <c r="AC13" s="1400" t="s">
        <v>455</v>
      </c>
      <c r="AD13" s="1401"/>
      <c r="AE13" s="1402"/>
      <c r="AF13" s="341">
        <f>ROUND(F13*20%*H13%,)</f>
        <v>0</v>
      </c>
      <c r="AG13" s="341">
        <f>ROUND(G13*20%*H13%,)</f>
        <v>0</v>
      </c>
    </row>
    <row r="14" spans="1:36" ht="30" customHeight="1">
      <c r="C14" s="1917" t="s">
        <v>456</v>
      </c>
      <c r="D14" s="1727"/>
      <c r="E14" s="1543"/>
      <c r="F14" s="613"/>
      <c r="G14" s="614"/>
      <c r="H14" s="1039"/>
      <c r="J14" s="472"/>
      <c r="AC14" s="1400" t="s">
        <v>456</v>
      </c>
      <c r="AD14" s="1401"/>
      <c r="AE14" s="1402"/>
      <c r="AF14" s="341">
        <f>ROUND(F14*50%*H14%,)</f>
        <v>0</v>
      </c>
      <c r="AG14" s="341">
        <f>ROUND(G14*50%*H14%,)</f>
        <v>0</v>
      </c>
    </row>
    <row r="15" spans="1:36" ht="30" customHeight="1">
      <c r="C15" s="1917" t="s">
        <v>457</v>
      </c>
      <c r="D15" s="1727"/>
      <c r="E15" s="1543"/>
      <c r="F15" s="615"/>
      <c r="G15" s="616"/>
      <c r="H15" s="1039"/>
      <c r="J15" s="472"/>
      <c r="AC15" s="1400" t="s">
        <v>457</v>
      </c>
      <c r="AD15" s="1401"/>
      <c r="AE15" s="1402"/>
      <c r="AF15" s="341">
        <f>ROUND(F15*H15%,)</f>
        <v>0</v>
      </c>
      <c r="AG15" s="341">
        <f>ROUND(G15*H15%,)</f>
        <v>0</v>
      </c>
    </row>
    <row r="16" spans="1:36" ht="30" customHeight="1" thickBot="1">
      <c r="C16" s="1918" t="s">
        <v>458</v>
      </c>
      <c r="D16" s="1880"/>
      <c r="E16" s="1545"/>
      <c r="F16" s="617"/>
      <c r="G16" s="618"/>
      <c r="H16" s="1040"/>
      <c r="J16" s="472"/>
      <c r="AC16" s="1919" t="s">
        <v>458</v>
      </c>
      <c r="AD16" s="1920"/>
      <c r="AE16" s="1921"/>
      <c r="AF16" s="341">
        <f>ROUND(F16*H16%,)</f>
        <v>0</v>
      </c>
      <c r="AG16" s="341">
        <f>ROUND(G16*H16%,)</f>
        <v>0</v>
      </c>
    </row>
    <row r="17" spans="2:36" ht="30" customHeight="1">
      <c r="E17" s="619"/>
      <c r="F17" s="240"/>
      <c r="G17" s="620"/>
      <c r="H17" s="585"/>
      <c r="I17" s="240"/>
      <c r="J17" s="621"/>
      <c r="K17" s="240"/>
      <c r="L17" s="240"/>
      <c r="M17" s="240"/>
      <c r="N17" s="240"/>
      <c r="O17" s="118"/>
      <c r="P17" s="367"/>
      <c r="AC17" s="1400" t="s">
        <v>249</v>
      </c>
      <c r="AD17" s="1401"/>
      <c r="AE17" s="1402"/>
      <c r="AF17" s="341">
        <f>SUM(AF12:AF16)</f>
        <v>0</v>
      </c>
      <c r="AG17" s="341">
        <f>SUM(AG12:AG16)</f>
        <v>0</v>
      </c>
    </row>
    <row r="18" spans="2:36" ht="14.1" customHeight="1">
      <c r="E18" s="619"/>
      <c r="F18" s="240"/>
      <c r="G18" s="620"/>
      <c r="H18" s="585"/>
      <c r="I18" s="240"/>
      <c r="J18" s="621"/>
      <c r="K18" s="240"/>
      <c r="L18" s="240"/>
      <c r="M18" s="240"/>
      <c r="N18" s="240"/>
      <c r="O18" s="118"/>
      <c r="P18" s="367"/>
    </row>
    <row r="19" spans="2:36" ht="18" customHeight="1" thickBot="1">
      <c r="C19" s="106" t="s">
        <v>459</v>
      </c>
      <c r="D19" s="106"/>
      <c r="E19" s="108"/>
      <c r="F19" s="108"/>
      <c r="G19" s="108"/>
      <c r="H19" s="30"/>
      <c r="I19" s="30"/>
      <c r="J19" s="194"/>
      <c r="K19" s="30"/>
      <c r="L19" s="30"/>
      <c r="M19" s="30"/>
      <c r="N19" s="30"/>
      <c r="O19" s="30"/>
      <c r="P19" s="30"/>
      <c r="AC19" s="106" t="s">
        <v>459</v>
      </c>
      <c r="AD19" s="106"/>
    </row>
    <row r="20" spans="2:36" ht="14.1" customHeight="1">
      <c r="C20" s="1290" t="s">
        <v>460</v>
      </c>
      <c r="D20" s="1291"/>
      <c r="E20" s="1291"/>
      <c r="F20" s="1922" t="s">
        <v>1414</v>
      </c>
      <c r="G20" s="1551" t="s">
        <v>1403</v>
      </c>
      <c r="N20" s="622"/>
      <c r="O20" s="622"/>
      <c r="AC20" s="1603" t="s">
        <v>460</v>
      </c>
      <c r="AD20" s="1603"/>
      <c r="AE20" s="1603"/>
      <c r="AF20" s="1671" t="s">
        <v>461</v>
      </c>
      <c r="AI20" s="1911"/>
      <c r="AJ20" s="1911"/>
    </row>
    <row r="21" spans="2:36" ht="14.25" customHeight="1">
      <c r="C21" s="1275"/>
      <c r="D21" s="1276"/>
      <c r="E21" s="1276"/>
      <c r="F21" s="1923"/>
      <c r="G21" s="1552"/>
      <c r="N21" s="622"/>
      <c r="O21" s="622"/>
      <c r="AC21" s="1603"/>
      <c r="AD21" s="1603"/>
      <c r="AE21" s="1603"/>
      <c r="AF21" s="1672"/>
      <c r="AI21" s="1911"/>
      <c r="AJ21" s="1911"/>
    </row>
    <row r="22" spans="2:36" ht="14.1" customHeight="1" thickBot="1">
      <c r="C22" s="1265"/>
      <c r="D22" s="1266"/>
      <c r="E22" s="1266"/>
      <c r="F22" s="1924"/>
      <c r="G22" s="1925"/>
      <c r="H22" s="183"/>
      <c r="I22" s="183"/>
      <c r="K22" s="183"/>
      <c r="L22" s="183"/>
      <c r="M22" s="183"/>
      <c r="N22" s="307"/>
      <c r="O22" s="307"/>
      <c r="P22" s="183"/>
      <c r="Q22" s="183"/>
      <c r="R22" s="183"/>
      <c r="S22" s="183"/>
      <c r="T22" s="183"/>
      <c r="U22" s="183"/>
      <c r="V22" s="183"/>
      <c r="W22" s="183"/>
      <c r="X22" s="183"/>
      <c r="Y22" s="183"/>
      <c r="Z22" s="183"/>
      <c r="AA22" s="183"/>
      <c r="AC22" s="1603"/>
      <c r="AD22" s="1603"/>
      <c r="AE22" s="1603"/>
      <c r="AF22" s="1607"/>
      <c r="AI22" s="1911"/>
      <c r="AJ22" s="1911"/>
    </row>
    <row r="23" spans="2:36" ht="30" customHeight="1" thickTop="1" thickBot="1">
      <c r="C23" s="1912" t="s">
        <v>462</v>
      </c>
      <c r="D23" s="1913"/>
      <c r="E23" s="1914"/>
      <c r="F23" s="611"/>
      <c r="G23" s="1041"/>
      <c r="H23" s="183"/>
      <c r="I23" s="183"/>
      <c r="K23" s="183"/>
      <c r="L23" s="183"/>
      <c r="M23" s="183"/>
      <c r="N23" s="307"/>
      <c r="O23" s="307"/>
      <c r="P23" s="183"/>
      <c r="Q23" s="183"/>
      <c r="R23" s="183"/>
      <c r="S23" s="183"/>
      <c r="T23" s="183"/>
      <c r="U23" s="183"/>
      <c r="V23" s="183"/>
      <c r="W23" s="183"/>
      <c r="X23" s="183"/>
      <c r="Y23" s="183"/>
      <c r="Z23" s="183"/>
      <c r="AA23" s="183"/>
      <c r="AC23" s="1494" t="s">
        <v>462</v>
      </c>
      <c r="AD23" s="1494"/>
      <c r="AE23" s="1494"/>
      <c r="AF23" s="341">
        <f>IF(F23&gt;0,ROUND(F23*G23%,),SUM(AF24:AF26))</f>
        <v>0</v>
      </c>
      <c r="AI23" s="623"/>
      <c r="AJ23" s="521"/>
    </row>
    <row r="24" spans="2:36" ht="30" customHeight="1" thickTop="1">
      <c r="C24" s="624"/>
      <c r="D24" s="1915" t="s">
        <v>463</v>
      </c>
      <c r="E24" s="1916"/>
      <c r="F24" s="625"/>
      <c r="G24" s="1042"/>
      <c r="H24" s="183"/>
      <c r="I24" s="183"/>
      <c r="K24" s="183"/>
      <c r="L24" s="183"/>
      <c r="M24" s="183"/>
      <c r="N24" s="307"/>
      <c r="O24" s="183"/>
      <c r="P24" s="183"/>
      <c r="Q24" s="183"/>
      <c r="R24" s="183"/>
      <c r="S24" s="183"/>
      <c r="T24" s="183"/>
      <c r="U24" s="183"/>
      <c r="V24" s="183"/>
      <c r="W24" s="183"/>
      <c r="X24" s="183"/>
      <c r="Y24" s="183"/>
      <c r="Z24" s="183"/>
      <c r="AA24" s="183"/>
      <c r="AC24" s="1577" t="s">
        <v>463</v>
      </c>
      <c r="AD24" s="1577"/>
      <c r="AE24" s="1577"/>
      <c r="AF24" s="341">
        <f>0</f>
        <v>0</v>
      </c>
      <c r="AI24" s="270" t="s">
        <v>460</v>
      </c>
      <c r="AJ24" s="270" t="s">
        <v>352</v>
      </c>
    </row>
    <row r="25" spans="2:36" ht="30" customHeight="1">
      <c r="C25" s="626"/>
      <c r="D25" s="1542" t="s">
        <v>464</v>
      </c>
      <c r="E25" s="1727"/>
      <c r="F25" s="627"/>
      <c r="G25" s="1036"/>
      <c r="H25" s="183"/>
      <c r="I25" s="183"/>
      <c r="K25" s="183"/>
      <c r="L25" s="183"/>
      <c r="M25" s="183"/>
      <c r="N25" s="307"/>
      <c r="O25" s="183"/>
      <c r="P25" s="183"/>
      <c r="Q25" s="183"/>
      <c r="R25" s="183"/>
      <c r="S25" s="183"/>
      <c r="T25" s="183"/>
      <c r="U25" s="183"/>
      <c r="V25" s="183"/>
      <c r="W25" s="183"/>
      <c r="X25" s="183"/>
      <c r="Y25" s="183"/>
      <c r="Z25" s="183"/>
      <c r="AA25" s="183"/>
      <c r="AC25" s="1577" t="s">
        <v>464</v>
      </c>
      <c r="AD25" s="1577"/>
      <c r="AE25" s="1577"/>
      <c r="AF25" s="341">
        <f>0</f>
        <v>0</v>
      </c>
      <c r="AI25" s="628" t="s">
        <v>465</v>
      </c>
      <c r="AJ25" s="341">
        <f>SUM(AF17,AG17,AF23)</f>
        <v>0</v>
      </c>
    </row>
    <row r="26" spans="2:36" ht="30" customHeight="1" thickBot="1">
      <c r="C26" s="629"/>
      <c r="D26" s="1894" t="s">
        <v>203</v>
      </c>
      <c r="E26" s="1895"/>
      <c r="F26" s="458"/>
      <c r="G26" s="1043"/>
      <c r="H26" s="183"/>
      <c r="I26" s="183"/>
      <c r="K26" s="183"/>
      <c r="L26" s="183"/>
      <c r="M26" s="183"/>
      <c r="N26" s="307"/>
      <c r="O26" s="183"/>
      <c r="P26" s="183"/>
      <c r="Q26" s="183"/>
      <c r="R26" s="183"/>
      <c r="S26" s="183"/>
      <c r="T26" s="183"/>
      <c r="U26" s="183"/>
      <c r="V26" s="183"/>
      <c r="W26" s="183"/>
      <c r="X26" s="183"/>
      <c r="Y26" s="183"/>
      <c r="Z26" s="183"/>
      <c r="AA26" s="183"/>
      <c r="AC26" s="1577" t="s">
        <v>203</v>
      </c>
      <c r="AD26" s="1577"/>
      <c r="AE26" s="1577"/>
      <c r="AF26" s="341">
        <f>ROUND(F26*G26%,)</f>
        <v>0</v>
      </c>
    </row>
    <row r="27" spans="2:36" ht="13.5" customHeight="1"/>
    <row r="29" spans="2:36" ht="18" customHeight="1">
      <c r="B29" s="151" t="s">
        <v>466</v>
      </c>
      <c r="C29" s="30"/>
      <c r="D29" s="30"/>
      <c r="AA29" s="151" t="s">
        <v>466</v>
      </c>
    </row>
    <row r="30" spans="2:36" ht="18" customHeight="1">
      <c r="B30" s="30"/>
      <c r="C30" s="51" t="s">
        <v>1415</v>
      </c>
      <c r="D30" s="51"/>
    </row>
    <row r="31" spans="2:36" ht="14.1" customHeight="1">
      <c r="C31" s="51" t="s">
        <v>467</v>
      </c>
      <c r="D31" s="51"/>
      <c r="H31" s="609"/>
      <c r="I31" s="609"/>
      <c r="J31" s="610"/>
      <c r="K31" s="609"/>
      <c r="L31" s="609"/>
      <c r="M31" s="609"/>
      <c r="N31" s="609"/>
      <c r="O31" s="609"/>
      <c r="P31" s="609"/>
    </row>
    <row r="32" spans="2:36" ht="14.1" customHeight="1">
      <c r="B32" s="30"/>
      <c r="C32" s="58" t="s">
        <v>468</v>
      </c>
      <c r="D32" s="58"/>
      <c r="H32" s="609"/>
      <c r="I32" s="609"/>
      <c r="J32" s="610"/>
      <c r="K32" s="609"/>
      <c r="L32" s="609"/>
      <c r="M32" s="609"/>
      <c r="N32" s="609"/>
      <c r="O32" s="609"/>
      <c r="P32" s="609"/>
    </row>
    <row r="33" spans="2:37" ht="14.1" customHeight="1" thickBot="1">
      <c r="B33" s="30"/>
      <c r="C33" s="58" t="s">
        <v>469</v>
      </c>
      <c r="D33" s="58"/>
      <c r="E33" s="609"/>
      <c r="F33" s="609"/>
      <c r="G33" s="609"/>
      <c r="H33" s="609"/>
      <c r="I33" s="609"/>
      <c r="J33" s="610"/>
      <c r="K33" s="609"/>
      <c r="L33" s="609"/>
      <c r="M33" s="609"/>
      <c r="N33" s="609"/>
      <c r="O33" s="609"/>
      <c r="P33" s="609"/>
    </row>
    <row r="34" spans="2:37" ht="14.1" customHeight="1">
      <c r="C34" s="1896" t="s">
        <v>470</v>
      </c>
      <c r="D34" s="1897"/>
      <c r="E34" s="1898"/>
      <c r="F34" s="1827" t="s">
        <v>471</v>
      </c>
      <c r="G34" s="1905" t="s">
        <v>472</v>
      </c>
      <c r="H34" s="1551" t="s">
        <v>1403</v>
      </c>
    </row>
    <row r="35" spans="2:37" ht="14.25" customHeight="1">
      <c r="C35" s="1899"/>
      <c r="D35" s="1900"/>
      <c r="E35" s="1901"/>
      <c r="F35" s="1828"/>
      <c r="G35" s="1528"/>
      <c r="H35" s="1552"/>
      <c r="AI35" s="1083" t="s">
        <v>1367</v>
      </c>
      <c r="AJ35" s="1085" t="s">
        <v>1380</v>
      </c>
      <c r="AK35" s="1085" t="s">
        <v>1381</v>
      </c>
    </row>
    <row r="36" spans="2:37" ht="14.25" customHeight="1" thickBot="1">
      <c r="C36" s="1902"/>
      <c r="D36" s="1903"/>
      <c r="E36" s="1904"/>
      <c r="F36" s="1829"/>
      <c r="G36" s="1906"/>
      <c r="H36" s="1907"/>
      <c r="AC36" s="1707" t="s">
        <v>470</v>
      </c>
      <c r="AD36" s="1708"/>
      <c r="AE36" s="1709"/>
      <c r="AF36" s="1881" t="s">
        <v>471</v>
      </c>
      <c r="AG36" s="1883" t="s">
        <v>472</v>
      </c>
      <c r="AI36" s="1084"/>
      <c r="AJ36" s="1087">
        <v>4</v>
      </c>
      <c r="AK36" s="1087">
        <v>4</v>
      </c>
    </row>
    <row r="37" spans="2:37" ht="30" customHeight="1" thickTop="1" thickBot="1">
      <c r="C37" s="1885" t="s">
        <v>249</v>
      </c>
      <c r="D37" s="1886"/>
      <c r="E37" s="1887"/>
      <c r="F37" s="440"/>
      <c r="G37" s="630"/>
      <c r="H37" s="1024"/>
      <c r="AC37" s="1908"/>
      <c r="AD37" s="1909"/>
      <c r="AE37" s="1910"/>
      <c r="AF37" s="1882"/>
      <c r="AG37" s="1884"/>
    </row>
    <row r="38" spans="2:37" ht="29.25" customHeight="1" thickTop="1">
      <c r="C38" s="631"/>
      <c r="D38" s="1522" t="s">
        <v>473</v>
      </c>
      <c r="E38" s="564"/>
      <c r="F38" s="1888"/>
      <c r="G38" s="1889"/>
      <c r="H38" s="1890"/>
      <c r="I38" s="472"/>
      <c r="K38" s="183"/>
      <c r="L38" s="183"/>
      <c r="M38" s="183"/>
      <c r="N38" s="183"/>
      <c r="O38" s="183"/>
      <c r="P38" s="183"/>
      <c r="Q38" s="183"/>
      <c r="R38" s="183"/>
      <c r="S38" s="183"/>
      <c r="T38" s="183"/>
      <c r="AC38" s="1707" t="s">
        <v>249</v>
      </c>
      <c r="AD38" s="1708"/>
      <c r="AE38" s="1709"/>
      <c r="AF38" s="341">
        <f>IF(F37&gt;0,ROUND(F37*H37%,),SUM(AF39:AF41))</f>
        <v>0</v>
      </c>
      <c r="AG38" s="341">
        <f>IF(G37&gt;0,ROUND(G37*H37%,),SUM(AG39:AG41))</f>
        <v>0</v>
      </c>
    </row>
    <row r="39" spans="2:37" ht="29.25" customHeight="1">
      <c r="C39" s="631"/>
      <c r="D39" s="1523"/>
      <c r="E39" s="632"/>
      <c r="F39" s="448"/>
      <c r="G39" s="633"/>
      <c r="H39" s="1034"/>
      <c r="I39" s="472"/>
      <c r="K39" s="183"/>
      <c r="L39" s="183"/>
      <c r="M39" s="183"/>
      <c r="N39" s="183"/>
      <c r="O39" s="183"/>
      <c r="P39" s="183"/>
      <c r="Q39" s="183"/>
      <c r="R39" s="183"/>
      <c r="S39" s="183"/>
      <c r="T39" s="183"/>
      <c r="AC39" s="1891" t="s">
        <v>473</v>
      </c>
      <c r="AD39" s="1892"/>
      <c r="AE39" s="1893"/>
      <c r="AF39" s="634">
        <f>SUMPRODUCT(ROUND((F39:F68)*(H39:H68)/100,))</f>
        <v>0</v>
      </c>
      <c r="AG39" s="634">
        <f>SUMPRODUCT(ROUND((G39:G68)*(H39:H68)/100,))</f>
        <v>0</v>
      </c>
    </row>
    <row r="40" spans="2:37" ht="29.25" customHeight="1">
      <c r="C40" s="631"/>
      <c r="D40" s="1523"/>
      <c r="E40" s="632"/>
      <c r="F40" s="342"/>
      <c r="G40" s="209"/>
      <c r="H40" s="1035"/>
      <c r="I40" s="472"/>
      <c r="K40" s="183"/>
      <c r="L40" s="183"/>
      <c r="M40" s="183"/>
      <c r="N40" s="183"/>
      <c r="O40" s="183"/>
      <c r="P40" s="183"/>
      <c r="Q40" s="183"/>
      <c r="R40" s="183"/>
      <c r="S40" s="183"/>
      <c r="T40" s="183"/>
      <c r="AC40" s="1891" t="s">
        <v>474</v>
      </c>
      <c r="AD40" s="1892"/>
      <c r="AE40" s="1893"/>
      <c r="AF40" s="634">
        <f>SUMPRODUCT(ROUND((F70:F99)*(H70:H99)/100,))</f>
        <v>0</v>
      </c>
      <c r="AG40" s="634">
        <f>SUMPRODUCT(ROUND((G70:G99)*(H70:H99)/100,))</f>
        <v>0</v>
      </c>
    </row>
    <row r="41" spans="2:37" ht="29.25" customHeight="1">
      <c r="C41" s="631"/>
      <c r="D41" s="1523"/>
      <c r="E41" s="632"/>
      <c r="F41" s="448"/>
      <c r="G41" s="633"/>
      <c r="H41" s="1034"/>
      <c r="I41" s="472"/>
      <c r="K41" s="183"/>
      <c r="L41" s="183"/>
      <c r="M41" s="183"/>
      <c r="N41" s="183"/>
      <c r="O41" s="183"/>
      <c r="P41" s="183"/>
      <c r="Q41" s="183"/>
      <c r="R41" s="183"/>
      <c r="S41" s="183"/>
      <c r="T41" s="183"/>
      <c r="AC41" s="1891" t="s">
        <v>475</v>
      </c>
      <c r="AD41" s="1892"/>
      <c r="AE41" s="1893"/>
      <c r="AF41" s="634">
        <f>ROUND(F100*H100%,)</f>
        <v>0</v>
      </c>
      <c r="AG41" s="634">
        <f>ROUND(G100*H100%,)</f>
        <v>0</v>
      </c>
    </row>
    <row r="42" spans="2:37" ht="29.25" customHeight="1" collapsed="1">
      <c r="C42" s="631"/>
      <c r="D42" s="1523"/>
      <c r="E42" s="632"/>
      <c r="F42" s="411"/>
      <c r="G42" s="223"/>
      <c r="H42" s="1036"/>
      <c r="I42" s="472"/>
      <c r="K42" s="183"/>
      <c r="L42" s="183"/>
      <c r="M42" s="183"/>
      <c r="N42" s="183"/>
      <c r="O42" s="183"/>
      <c r="P42" s="183"/>
      <c r="Q42" s="183"/>
      <c r="R42" s="183"/>
      <c r="S42" s="183"/>
      <c r="T42" s="183"/>
    </row>
    <row r="43" spans="2:37" ht="29.25" hidden="1" customHeight="1" outlineLevel="1">
      <c r="C43" s="631"/>
      <c r="D43" s="1523"/>
      <c r="E43" s="632"/>
      <c r="F43" s="411"/>
      <c r="G43" s="223"/>
      <c r="H43" s="1036"/>
      <c r="I43" s="472"/>
      <c r="K43" s="183"/>
      <c r="L43" s="183"/>
      <c r="M43" s="183"/>
      <c r="N43" s="183"/>
      <c r="O43" s="183"/>
      <c r="P43" s="183"/>
      <c r="Q43" s="183"/>
      <c r="R43" s="183"/>
      <c r="S43" s="183"/>
      <c r="T43" s="183"/>
    </row>
    <row r="44" spans="2:37" ht="29.25" hidden="1" customHeight="1" outlineLevel="1">
      <c r="C44" s="631"/>
      <c r="D44" s="1523"/>
      <c r="E44" s="632"/>
      <c r="F44" s="411"/>
      <c r="G44" s="223"/>
      <c r="H44" s="1036"/>
      <c r="I44" s="472"/>
      <c r="K44" s="183"/>
      <c r="L44" s="183"/>
      <c r="M44" s="183"/>
      <c r="N44" s="183"/>
      <c r="O44" s="183"/>
      <c r="P44" s="183"/>
      <c r="Q44" s="183"/>
      <c r="R44" s="183"/>
      <c r="S44" s="183"/>
      <c r="T44" s="183"/>
    </row>
    <row r="45" spans="2:37" ht="29.25" hidden="1" customHeight="1" outlineLevel="1">
      <c r="C45" s="631"/>
      <c r="D45" s="1523"/>
      <c r="E45" s="632"/>
      <c r="F45" s="411"/>
      <c r="G45" s="223"/>
      <c r="H45" s="1036"/>
      <c r="I45" s="472"/>
      <c r="K45" s="183"/>
      <c r="L45" s="183"/>
      <c r="M45" s="183"/>
      <c r="N45" s="183"/>
      <c r="O45" s="183"/>
      <c r="P45" s="183"/>
      <c r="Q45" s="183"/>
      <c r="R45" s="183"/>
      <c r="S45" s="183"/>
      <c r="T45" s="183"/>
    </row>
    <row r="46" spans="2:37" ht="29.25" hidden="1" customHeight="1" outlineLevel="1">
      <c r="C46" s="631"/>
      <c r="D46" s="1523"/>
      <c r="E46" s="632"/>
      <c r="F46" s="411"/>
      <c r="G46" s="223"/>
      <c r="H46" s="1036"/>
      <c r="I46" s="472"/>
      <c r="K46" s="183"/>
      <c r="L46" s="183"/>
      <c r="M46" s="183"/>
      <c r="N46" s="183"/>
      <c r="O46" s="183"/>
      <c r="P46" s="183"/>
      <c r="Q46" s="183"/>
      <c r="R46" s="183"/>
      <c r="S46" s="183"/>
      <c r="T46" s="183"/>
    </row>
    <row r="47" spans="2:37" ht="29.25" hidden="1" customHeight="1" outlineLevel="1">
      <c r="C47" s="631"/>
      <c r="D47" s="1523"/>
      <c r="E47" s="632"/>
      <c r="F47" s="411"/>
      <c r="G47" s="223"/>
      <c r="H47" s="1036"/>
      <c r="I47" s="472"/>
      <c r="K47" s="183"/>
      <c r="L47" s="183"/>
      <c r="M47" s="183"/>
      <c r="N47" s="183"/>
      <c r="O47" s="183"/>
      <c r="P47" s="183"/>
      <c r="Q47" s="183"/>
      <c r="R47" s="183"/>
      <c r="S47" s="183"/>
      <c r="T47" s="183"/>
    </row>
    <row r="48" spans="2:37" ht="29.25" hidden="1" customHeight="1" outlineLevel="1">
      <c r="C48" s="631"/>
      <c r="D48" s="1523"/>
      <c r="E48" s="632"/>
      <c r="F48" s="411"/>
      <c r="G48" s="223"/>
      <c r="H48" s="1036"/>
      <c r="I48" s="472"/>
      <c r="K48" s="183"/>
      <c r="L48" s="183"/>
      <c r="M48" s="183"/>
      <c r="N48" s="183"/>
      <c r="O48" s="183"/>
      <c r="P48" s="183"/>
      <c r="Q48" s="183"/>
      <c r="R48" s="183"/>
      <c r="S48" s="183"/>
      <c r="T48" s="183"/>
    </row>
    <row r="49" spans="3:20" ht="29.25" hidden="1" customHeight="1" outlineLevel="1">
      <c r="C49" s="631"/>
      <c r="D49" s="1523"/>
      <c r="E49" s="632"/>
      <c r="F49" s="411"/>
      <c r="G49" s="223"/>
      <c r="H49" s="1036"/>
      <c r="I49" s="472"/>
      <c r="K49" s="183"/>
      <c r="L49" s="183"/>
      <c r="M49" s="183"/>
      <c r="N49" s="183"/>
      <c r="O49" s="183"/>
      <c r="P49" s="183"/>
      <c r="Q49" s="183"/>
      <c r="R49" s="183"/>
      <c r="S49" s="183"/>
      <c r="T49" s="183"/>
    </row>
    <row r="50" spans="3:20" ht="29.25" hidden="1" customHeight="1" outlineLevel="1">
      <c r="C50" s="631"/>
      <c r="D50" s="1523"/>
      <c r="E50" s="632"/>
      <c r="F50" s="411"/>
      <c r="G50" s="223"/>
      <c r="H50" s="1036"/>
      <c r="I50" s="472"/>
      <c r="K50" s="183"/>
      <c r="L50" s="183"/>
      <c r="M50" s="183"/>
      <c r="N50" s="183"/>
      <c r="O50" s="183"/>
      <c r="P50" s="183"/>
      <c r="Q50" s="183"/>
      <c r="R50" s="183"/>
      <c r="S50" s="183"/>
      <c r="T50" s="183"/>
    </row>
    <row r="51" spans="3:20" ht="29.25" hidden="1" customHeight="1" outlineLevel="1">
      <c r="C51" s="631"/>
      <c r="D51" s="1523"/>
      <c r="E51" s="632"/>
      <c r="F51" s="411"/>
      <c r="G51" s="223"/>
      <c r="H51" s="1036"/>
      <c r="I51" s="472"/>
      <c r="K51" s="183"/>
      <c r="L51" s="183"/>
      <c r="M51" s="183"/>
      <c r="N51" s="183"/>
      <c r="O51" s="183"/>
      <c r="P51" s="183"/>
      <c r="Q51" s="183"/>
      <c r="R51" s="183"/>
      <c r="S51" s="183"/>
      <c r="T51" s="183"/>
    </row>
    <row r="52" spans="3:20" ht="29.25" hidden="1" customHeight="1" outlineLevel="1">
      <c r="C52" s="631"/>
      <c r="D52" s="1523"/>
      <c r="E52" s="632"/>
      <c r="F52" s="411"/>
      <c r="G52" s="223"/>
      <c r="H52" s="1036"/>
      <c r="I52" s="472"/>
      <c r="K52" s="183"/>
      <c r="L52" s="183"/>
      <c r="M52" s="183"/>
      <c r="N52" s="183"/>
      <c r="O52" s="183"/>
      <c r="P52" s="183"/>
      <c r="Q52" s="183"/>
      <c r="R52" s="183"/>
      <c r="S52" s="183"/>
      <c r="T52" s="183"/>
    </row>
    <row r="53" spans="3:20" ht="29.25" hidden="1" customHeight="1" outlineLevel="1">
      <c r="C53" s="631"/>
      <c r="D53" s="1523"/>
      <c r="E53" s="632"/>
      <c r="F53" s="411"/>
      <c r="G53" s="223"/>
      <c r="H53" s="1036"/>
      <c r="I53" s="472"/>
      <c r="K53" s="183"/>
      <c r="L53" s="183"/>
      <c r="M53" s="183"/>
      <c r="N53" s="183"/>
      <c r="O53" s="183"/>
      <c r="P53" s="183"/>
      <c r="Q53" s="183"/>
      <c r="R53" s="183"/>
      <c r="S53" s="183"/>
      <c r="T53" s="183"/>
    </row>
    <row r="54" spans="3:20" ht="29.25" hidden="1" customHeight="1" outlineLevel="1">
      <c r="C54" s="631"/>
      <c r="D54" s="1523"/>
      <c r="E54" s="632"/>
      <c r="F54" s="411"/>
      <c r="G54" s="223"/>
      <c r="H54" s="1036"/>
      <c r="I54" s="472"/>
      <c r="K54" s="183"/>
      <c r="L54" s="183"/>
      <c r="M54" s="183"/>
      <c r="N54" s="183"/>
      <c r="O54" s="183"/>
      <c r="P54" s="183"/>
      <c r="Q54" s="183"/>
      <c r="R54" s="183"/>
      <c r="S54" s="183"/>
      <c r="T54" s="183"/>
    </row>
    <row r="55" spans="3:20" ht="29.25" hidden="1" customHeight="1" outlineLevel="1">
      <c r="C55" s="631"/>
      <c r="D55" s="1523"/>
      <c r="E55" s="632"/>
      <c r="F55" s="411"/>
      <c r="G55" s="223"/>
      <c r="H55" s="1036"/>
      <c r="I55" s="472"/>
      <c r="K55" s="183"/>
      <c r="L55" s="183"/>
      <c r="M55" s="183"/>
      <c r="N55" s="183"/>
      <c r="O55" s="183"/>
      <c r="P55" s="183"/>
      <c r="Q55" s="183"/>
      <c r="R55" s="183"/>
      <c r="S55" s="183"/>
      <c r="T55" s="183"/>
    </row>
    <row r="56" spans="3:20" ht="29.25" hidden="1" customHeight="1" outlineLevel="1">
      <c r="C56" s="631"/>
      <c r="D56" s="1523"/>
      <c r="E56" s="632"/>
      <c r="F56" s="411"/>
      <c r="G56" s="223"/>
      <c r="H56" s="1036"/>
      <c r="I56" s="472"/>
      <c r="K56" s="183"/>
      <c r="L56" s="183"/>
      <c r="M56" s="183"/>
      <c r="N56" s="183"/>
      <c r="O56" s="183"/>
      <c r="P56" s="183"/>
      <c r="Q56" s="183"/>
      <c r="R56" s="183"/>
      <c r="S56" s="183"/>
      <c r="T56" s="183"/>
    </row>
    <row r="57" spans="3:20" ht="29.25" hidden="1" customHeight="1" outlineLevel="1">
      <c r="C57" s="631"/>
      <c r="D57" s="1523"/>
      <c r="E57" s="632"/>
      <c r="F57" s="411"/>
      <c r="G57" s="223"/>
      <c r="H57" s="1036"/>
      <c r="I57" s="472"/>
      <c r="K57" s="183"/>
      <c r="L57" s="183"/>
      <c r="M57" s="183"/>
      <c r="N57" s="183"/>
      <c r="O57" s="183"/>
      <c r="P57" s="183"/>
      <c r="Q57" s="183"/>
      <c r="R57" s="183"/>
      <c r="S57" s="183"/>
      <c r="T57" s="183"/>
    </row>
    <row r="58" spans="3:20" ht="29.25" hidden="1" customHeight="1" outlineLevel="1">
      <c r="C58" s="631"/>
      <c r="D58" s="1523"/>
      <c r="E58" s="632"/>
      <c r="F58" s="411"/>
      <c r="G58" s="223"/>
      <c r="H58" s="1036"/>
      <c r="I58" s="472"/>
      <c r="K58" s="183"/>
      <c r="L58" s="183"/>
      <c r="M58" s="183"/>
      <c r="N58" s="183"/>
      <c r="O58" s="183"/>
      <c r="P58" s="183"/>
      <c r="Q58" s="183"/>
      <c r="R58" s="183"/>
      <c r="S58" s="183"/>
      <c r="T58" s="183"/>
    </row>
    <row r="59" spans="3:20" ht="29.25" hidden="1" customHeight="1" outlineLevel="1">
      <c r="C59" s="631"/>
      <c r="D59" s="1523"/>
      <c r="E59" s="632"/>
      <c r="F59" s="411"/>
      <c r="G59" s="223"/>
      <c r="H59" s="1036"/>
      <c r="I59" s="472"/>
      <c r="K59" s="183"/>
      <c r="L59" s="183"/>
      <c r="M59" s="183"/>
      <c r="N59" s="183"/>
      <c r="O59" s="183"/>
      <c r="P59" s="183"/>
      <c r="Q59" s="183"/>
      <c r="R59" s="183"/>
      <c r="S59" s="183"/>
      <c r="T59" s="183"/>
    </row>
    <row r="60" spans="3:20" ht="29.25" hidden="1" customHeight="1" outlineLevel="1">
      <c r="C60" s="631"/>
      <c r="D60" s="1523"/>
      <c r="E60" s="632"/>
      <c r="F60" s="411"/>
      <c r="G60" s="223"/>
      <c r="H60" s="1036"/>
      <c r="I60" s="472"/>
      <c r="K60" s="183"/>
      <c r="L60" s="183"/>
      <c r="M60" s="183"/>
      <c r="N60" s="183"/>
      <c r="O60" s="183"/>
      <c r="P60" s="183"/>
      <c r="Q60" s="183"/>
      <c r="R60" s="183"/>
      <c r="S60" s="183"/>
      <c r="T60" s="183"/>
    </row>
    <row r="61" spans="3:20" ht="29.25" hidden="1" customHeight="1" outlineLevel="1">
      <c r="C61" s="631"/>
      <c r="D61" s="1523"/>
      <c r="E61" s="632"/>
      <c r="F61" s="411"/>
      <c r="G61" s="223"/>
      <c r="H61" s="1036"/>
      <c r="I61" s="472"/>
      <c r="K61" s="183"/>
      <c r="L61" s="183"/>
      <c r="M61" s="183"/>
      <c r="N61" s="183"/>
      <c r="O61" s="183"/>
      <c r="P61" s="183"/>
      <c r="Q61" s="183"/>
      <c r="R61" s="183"/>
      <c r="S61" s="183"/>
      <c r="T61" s="183"/>
    </row>
    <row r="62" spans="3:20" ht="29.25" hidden="1" customHeight="1" outlineLevel="1">
      <c r="C62" s="631"/>
      <c r="D62" s="1523"/>
      <c r="E62" s="632"/>
      <c r="F62" s="411"/>
      <c r="G62" s="223"/>
      <c r="H62" s="1036"/>
      <c r="I62" s="472"/>
      <c r="K62" s="183"/>
      <c r="L62" s="183"/>
      <c r="M62" s="183"/>
      <c r="N62" s="183"/>
      <c r="O62" s="183"/>
      <c r="P62" s="183"/>
      <c r="Q62" s="183"/>
      <c r="R62" s="183"/>
      <c r="S62" s="183"/>
      <c r="T62" s="183"/>
    </row>
    <row r="63" spans="3:20" ht="29.25" hidden="1" customHeight="1" outlineLevel="1">
      <c r="C63" s="631"/>
      <c r="D63" s="1523"/>
      <c r="E63" s="632"/>
      <c r="F63" s="411"/>
      <c r="G63" s="223"/>
      <c r="H63" s="1036"/>
      <c r="I63" s="472"/>
      <c r="K63" s="183"/>
      <c r="L63" s="183"/>
      <c r="M63" s="183"/>
      <c r="N63" s="183"/>
      <c r="O63" s="183"/>
      <c r="P63" s="183"/>
      <c r="Q63" s="183"/>
      <c r="R63" s="183"/>
      <c r="S63" s="183"/>
      <c r="T63" s="183"/>
    </row>
    <row r="64" spans="3:20" ht="29.25" hidden="1" customHeight="1" outlineLevel="1">
      <c r="C64" s="631"/>
      <c r="D64" s="1523"/>
      <c r="E64" s="632"/>
      <c r="F64" s="411"/>
      <c r="G64" s="223"/>
      <c r="H64" s="1036"/>
      <c r="I64" s="472"/>
      <c r="K64" s="183"/>
      <c r="L64" s="183"/>
      <c r="M64" s="183"/>
      <c r="N64" s="183"/>
      <c r="O64" s="183"/>
      <c r="P64" s="183"/>
      <c r="Q64" s="183"/>
      <c r="R64" s="183"/>
      <c r="S64" s="183"/>
      <c r="T64" s="183"/>
    </row>
    <row r="65" spans="3:20" ht="29.25" hidden="1" customHeight="1" outlineLevel="1">
      <c r="C65" s="631"/>
      <c r="D65" s="1523"/>
      <c r="E65" s="632"/>
      <c r="F65" s="411"/>
      <c r="G65" s="223"/>
      <c r="H65" s="1036"/>
      <c r="I65" s="472"/>
      <c r="K65" s="183"/>
      <c r="L65" s="183"/>
      <c r="M65" s="183"/>
      <c r="N65" s="183"/>
      <c r="O65" s="183"/>
      <c r="P65" s="183"/>
      <c r="Q65" s="183"/>
      <c r="R65" s="183"/>
      <c r="S65" s="183"/>
      <c r="T65" s="183"/>
    </row>
    <row r="66" spans="3:20" ht="29.25" hidden="1" customHeight="1" outlineLevel="1">
      <c r="C66" s="631"/>
      <c r="D66" s="1523"/>
      <c r="E66" s="632"/>
      <c r="F66" s="411"/>
      <c r="G66" s="223"/>
      <c r="H66" s="1036"/>
      <c r="I66" s="472"/>
      <c r="K66" s="183"/>
      <c r="L66" s="183"/>
      <c r="M66" s="183"/>
      <c r="N66" s="183"/>
      <c r="O66" s="183"/>
      <c r="P66" s="183"/>
      <c r="Q66" s="183"/>
      <c r="R66" s="183"/>
      <c r="S66" s="183"/>
      <c r="T66" s="183"/>
    </row>
    <row r="67" spans="3:20" ht="29.25" hidden="1" customHeight="1" outlineLevel="1">
      <c r="C67" s="631"/>
      <c r="D67" s="1523"/>
      <c r="E67" s="632"/>
      <c r="F67" s="411"/>
      <c r="G67" s="223"/>
      <c r="H67" s="1036"/>
      <c r="I67" s="472"/>
      <c r="K67" s="183"/>
      <c r="L67" s="183"/>
      <c r="M67" s="183"/>
      <c r="N67" s="183"/>
      <c r="O67" s="183"/>
      <c r="P67" s="183"/>
      <c r="Q67" s="183"/>
      <c r="R67" s="183"/>
      <c r="S67" s="183"/>
      <c r="T67" s="183"/>
    </row>
    <row r="68" spans="3:20" ht="29.25" hidden="1" customHeight="1" outlineLevel="1">
      <c r="C68" s="631"/>
      <c r="D68" s="1523"/>
      <c r="E68" s="632"/>
      <c r="F68" s="409"/>
      <c r="G68" s="223"/>
      <c r="H68" s="1036"/>
      <c r="I68" s="472"/>
      <c r="K68" s="183"/>
      <c r="L68" s="183"/>
      <c r="M68" s="183"/>
      <c r="N68" s="183"/>
      <c r="O68" s="183"/>
      <c r="P68" s="183"/>
      <c r="Q68" s="183"/>
      <c r="R68" s="183"/>
      <c r="S68" s="183"/>
      <c r="T68" s="183"/>
    </row>
    <row r="69" spans="3:20" ht="29.25" customHeight="1">
      <c r="C69" s="631"/>
      <c r="D69" s="1522" t="s">
        <v>476</v>
      </c>
      <c r="E69" s="635"/>
      <c r="F69" s="1662"/>
      <c r="G69" s="1663"/>
      <c r="H69" s="1664"/>
      <c r="I69" s="472"/>
      <c r="K69" s="183"/>
      <c r="L69" s="183"/>
      <c r="M69" s="183"/>
      <c r="N69" s="183"/>
      <c r="O69" s="183"/>
      <c r="P69" s="183"/>
      <c r="Q69" s="183"/>
      <c r="R69" s="183"/>
      <c r="S69" s="183"/>
      <c r="T69" s="183"/>
    </row>
    <row r="70" spans="3:20" ht="29.25" customHeight="1">
      <c r="C70" s="631"/>
      <c r="D70" s="1878"/>
      <c r="E70" s="632"/>
      <c r="F70" s="448"/>
      <c r="G70" s="633"/>
      <c r="H70" s="1034"/>
      <c r="I70" s="472"/>
      <c r="K70" s="183"/>
      <c r="L70" s="183"/>
      <c r="M70" s="183"/>
      <c r="N70" s="183"/>
      <c r="O70" s="183"/>
      <c r="P70" s="183"/>
      <c r="Q70" s="183"/>
      <c r="R70" s="183"/>
      <c r="S70" s="183"/>
      <c r="T70" s="183"/>
    </row>
    <row r="71" spans="3:20" ht="29.25" customHeight="1">
      <c r="C71" s="631"/>
      <c r="D71" s="1878"/>
      <c r="E71" s="632"/>
      <c r="F71" s="448"/>
      <c r="G71" s="223"/>
      <c r="H71" s="1035"/>
      <c r="I71" s="472"/>
      <c r="K71" s="183"/>
      <c r="L71" s="183"/>
      <c r="M71" s="183"/>
      <c r="N71" s="183"/>
      <c r="O71" s="183"/>
      <c r="P71" s="183"/>
      <c r="Q71" s="183"/>
      <c r="R71" s="183"/>
      <c r="S71" s="183"/>
      <c r="T71" s="183"/>
    </row>
    <row r="72" spans="3:20" ht="29.25" customHeight="1">
      <c r="C72" s="631"/>
      <c r="D72" s="1878"/>
      <c r="E72" s="632"/>
      <c r="F72" s="342"/>
      <c r="G72" s="209"/>
      <c r="H72" s="1034"/>
      <c r="I72" s="472"/>
      <c r="K72" s="183"/>
      <c r="L72" s="183"/>
      <c r="M72" s="183"/>
      <c r="N72" s="183"/>
      <c r="O72" s="183"/>
      <c r="P72" s="183"/>
      <c r="Q72" s="183"/>
      <c r="R72" s="183"/>
      <c r="S72" s="183"/>
      <c r="T72" s="183"/>
    </row>
    <row r="73" spans="3:20" ht="29.25" customHeight="1" collapsed="1">
      <c r="C73" s="631"/>
      <c r="D73" s="1878"/>
      <c r="E73" s="632"/>
      <c r="F73" s="448"/>
      <c r="G73" s="223"/>
      <c r="H73" s="1036"/>
      <c r="I73" s="472"/>
      <c r="K73" s="183"/>
      <c r="L73" s="183"/>
      <c r="M73" s="183"/>
      <c r="N73" s="183"/>
      <c r="O73" s="183"/>
      <c r="P73" s="183"/>
      <c r="Q73" s="183"/>
      <c r="R73" s="183"/>
      <c r="S73" s="183"/>
      <c r="T73" s="183"/>
    </row>
    <row r="74" spans="3:20" ht="29.25" hidden="1" customHeight="1" outlineLevel="1">
      <c r="C74" s="631"/>
      <c r="D74" s="1878"/>
      <c r="E74" s="632"/>
      <c r="F74" s="342"/>
      <c r="G74" s="209"/>
      <c r="H74" s="1036"/>
      <c r="I74" s="472"/>
      <c r="K74" s="183"/>
      <c r="L74" s="183"/>
      <c r="M74" s="183"/>
      <c r="N74" s="183"/>
      <c r="O74" s="183"/>
      <c r="P74" s="183"/>
      <c r="Q74" s="183"/>
      <c r="R74" s="183"/>
      <c r="S74" s="183"/>
      <c r="T74" s="183"/>
    </row>
    <row r="75" spans="3:20" ht="29.25" hidden="1" customHeight="1" outlineLevel="1">
      <c r="C75" s="631"/>
      <c r="D75" s="1878"/>
      <c r="E75" s="632"/>
      <c r="F75" s="448"/>
      <c r="G75" s="223"/>
      <c r="H75" s="1036"/>
      <c r="I75" s="472"/>
      <c r="K75" s="183"/>
      <c r="L75" s="183"/>
      <c r="M75" s="183"/>
      <c r="N75" s="183"/>
      <c r="O75" s="183"/>
      <c r="P75" s="183"/>
      <c r="Q75" s="183"/>
      <c r="R75" s="183"/>
      <c r="S75" s="183"/>
      <c r="T75" s="183"/>
    </row>
    <row r="76" spans="3:20" ht="29.25" hidden="1" customHeight="1" outlineLevel="1">
      <c r="C76" s="631"/>
      <c r="D76" s="1878"/>
      <c r="E76" s="632"/>
      <c r="F76" s="342"/>
      <c r="G76" s="209"/>
      <c r="H76" s="1036"/>
      <c r="I76" s="472"/>
      <c r="K76" s="183"/>
      <c r="L76" s="183"/>
      <c r="M76" s="183"/>
      <c r="N76" s="183"/>
      <c r="O76" s="183"/>
      <c r="P76" s="183"/>
      <c r="Q76" s="183"/>
      <c r="R76" s="183"/>
      <c r="S76" s="183"/>
      <c r="T76" s="183"/>
    </row>
    <row r="77" spans="3:20" ht="29.25" hidden="1" customHeight="1" outlineLevel="1">
      <c r="C77" s="631"/>
      <c r="D77" s="1878"/>
      <c r="E77" s="632"/>
      <c r="F77" s="448"/>
      <c r="G77" s="223"/>
      <c r="H77" s="1036"/>
      <c r="I77" s="472"/>
      <c r="K77" s="183"/>
      <c r="L77" s="183"/>
      <c r="M77" s="183"/>
      <c r="N77" s="183"/>
      <c r="O77" s="183"/>
      <c r="P77" s="183"/>
      <c r="Q77" s="183"/>
      <c r="R77" s="183"/>
      <c r="S77" s="183"/>
      <c r="T77" s="183"/>
    </row>
    <row r="78" spans="3:20" ht="29.25" hidden="1" customHeight="1" outlineLevel="1">
      <c r="C78" s="631"/>
      <c r="D78" s="1878"/>
      <c r="E78" s="632"/>
      <c r="F78" s="342"/>
      <c r="G78" s="209"/>
      <c r="H78" s="1036"/>
      <c r="I78" s="472"/>
      <c r="K78" s="183"/>
      <c r="L78" s="183"/>
      <c r="M78" s="183"/>
      <c r="N78" s="183"/>
      <c r="O78" s="183"/>
      <c r="P78" s="183"/>
      <c r="Q78" s="183"/>
      <c r="R78" s="183"/>
      <c r="S78" s="183"/>
      <c r="T78" s="183"/>
    </row>
    <row r="79" spans="3:20" ht="29.25" hidden="1" customHeight="1" outlineLevel="1">
      <c r="C79" s="631"/>
      <c r="D79" s="1878"/>
      <c r="E79" s="632"/>
      <c r="F79" s="448"/>
      <c r="G79" s="223"/>
      <c r="H79" s="1036"/>
      <c r="I79" s="472"/>
      <c r="K79" s="183"/>
      <c r="L79" s="183"/>
      <c r="M79" s="183"/>
      <c r="N79" s="183"/>
      <c r="O79" s="183"/>
      <c r="P79" s="183"/>
      <c r="Q79" s="183"/>
      <c r="R79" s="183"/>
      <c r="S79" s="183"/>
      <c r="T79" s="183"/>
    </row>
    <row r="80" spans="3:20" ht="29.25" hidden="1" customHeight="1" outlineLevel="1">
      <c r="C80" s="631"/>
      <c r="D80" s="1878"/>
      <c r="E80" s="632"/>
      <c r="F80" s="342"/>
      <c r="G80" s="209"/>
      <c r="H80" s="1036"/>
      <c r="I80" s="472"/>
      <c r="K80" s="183"/>
      <c r="L80" s="183"/>
      <c r="M80" s="183"/>
      <c r="N80" s="183"/>
      <c r="O80" s="183"/>
      <c r="P80" s="183"/>
      <c r="Q80" s="183"/>
      <c r="R80" s="183"/>
      <c r="S80" s="183"/>
      <c r="T80" s="183"/>
    </row>
    <row r="81" spans="3:20" ht="29.25" hidden="1" customHeight="1" outlineLevel="1">
      <c r="C81" s="631"/>
      <c r="D81" s="1878"/>
      <c r="E81" s="632"/>
      <c r="F81" s="448"/>
      <c r="G81" s="223"/>
      <c r="H81" s="1036"/>
      <c r="I81" s="472"/>
      <c r="K81" s="183"/>
      <c r="L81" s="183"/>
      <c r="M81" s="183"/>
      <c r="N81" s="183"/>
      <c r="O81" s="183"/>
      <c r="P81" s="183"/>
      <c r="Q81" s="183"/>
      <c r="R81" s="183"/>
      <c r="S81" s="183"/>
      <c r="T81" s="183"/>
    </row>
    <row r="82" spans="3:20" ht="29.25" hidden="1" customHeight="1" outlineLevel="1">
      <c r="C82" s="631"/>
      <c r="D82" s="1878"/>
      <c r="E82" s="632"/>
      <c r="F82" s="342"/>
      <c r="G82" s="209"/>
      <c r="H82" s="1036"/>
      <c r="I82" s="472"/>
      <c r="K82" s="183"/>
      <c r="L82" s="183"/>
      <c r="M82" s="183"/>
      <c r="N82" s="183"/>
      <c r="O82" s="183"/>
      <c r="P82" s="183"/>
      <c r="Q82" s="183"/>
      <c r="R82" s="183"/>
      <c r="S82" s="183"/>
      <c r="T82" s="183"/>
    </row>
    <row r="83" spans="3:20" ht="29.25" hidden="1" customHeight="1" outlineLevel="1">
      <c r="C83" s="631"/>
      <c r="D83" s="1878"/>
      <c r="E83" s="632"/>
      <c r="F83" s="448"/>
      <c r="G83" s="223"/>
      <c r="H83" s="1036"/>
      <c r="I83" s="472"/>
      <c r="K83" s="183"/>
      <c r="L83" s="183"/>
      <c r="M83" s="183"/>
      <c r="N83" s="183"/>
      <c r="O83" s="183"/>
      <c r="P83" s="183"/>
      <c r="Q83" s="183"/>
      <c r="R83" s="183"/>
      <c r="S83" s="183"/>
      <c r="T83" s="183"/>
    </row>
    <row r="84" spans="3:20" ht="29.25" hidden="1" customHeight="1" outlineLevel="1">
      <c r="C84" s="631"/>
      <c r="D84" s="1878"/>
      <c r="E84" s="632"/>
      <c r="F84" s="342"/>
      <c r="G84" s="209"/>
      <c r="H84" s="1036"/>
      <c r="I84" s="472"/>
      <c r="K84" s="183"/>
      <c r="L84" s="183"/>
      <c r="M84" s="183"/>
      <c r="N84" s="183"/>
      <c r="O84" s="183"/>
      <c r="P84" s="183"/>
      <c r="Q84" s="183"/>
      <c r="R84" s="183"/>
      <c r="S84" s="183"/>
      <c r="T84" s="183"/>
    </row>
    <row r="85" spans="3:20" ht="29.25" hidden="1" customHeight="1" outlineLevel="1">
      <c r="C85" s="631"/>
      <c r="D85" s="1878"/>
      <c r="E85" s="632"/>
      <c r="F85" s="448"/>
      <c r="G85" s="223"/>
      <c r="H85" s="1036"/>
      <c r="I85" s="472"/>
      <c r="K85" s="183"/>
      <c r="L85" s="183"/>
      <c r="M85" s="183"/>
      <c r="N85" s="183"/>
      <c r="O85" s="183"/>
      <c r="P85" s="183"/>
      <c r="Q85" s="183"/>
      <c r="R85" s="183"/>
      <c r="S85" s="183"/>
      <c r="T85" s="183"/>
    </row>
    <row r="86" spans="3:20" ht="29.25" hidden="1" customHeight="1" outlineLevel="1">
      <c r="C86" s="631"/>
      <c r="D86" s="1878"/>
      <c r="E86" s="632"/>
      <c r="F86" s="342"/>
      <c r="G86" s="209"/>
      <c r="H86" s="1036"/>
      <c r="I86" s="472"/>
      <c r="K86" s="183"/>
      <c r="L86" s="183"/>
      <c r="M86" s="183"/>
      <c r="N86" s="183"/>
      <c r="O86" s="183"/>
      <c r="P86" s="183"/>
      <c r="Q86" s="183"/>
      <c r="R86" s="183"/>
      <c r="S86" s="183"/>
      <c r="T86" s="183"/>
    </row>
    <row r="87" spans="3:20" ht="29.25" hidden="1" customHeight="1" outlineLevel="1">
      <c r="C87" s="631"/>
      <c r="D87" s="1878"/>
      <c r="E87" s="632"/>
      <c r="F87" s="448"/>
      <c r="G87" s="223"/>
      <c r="H87" s="1036"/>
      <c r="I87" s="472"/>
      <c r="K87" s="183"/>
      <c r="L87" s="183"/>
      <c r="M87" s="183"/>
      <c r="N87" s="183"/>
      <c r="O87" s="183"/>
      <c r="P87" s="183"/>
      <c r="Q87" s="183"/>
      <c r="R87" s="183"/>
      <c r="S87" s="183"/>
      <c r="T87" s="183"/>
    </row>
    <row r="88" spans="3:20" ht="29.25" hidden="1" customHeight="1" outlineLevel="1">
      <c r="C88" s="631"/>
      <c r="D88" s="1878"/>
      <c r="E88" s="632"/>
      <c r="F88" s="342"/>
      <c r="G88" s="209"/>
      <c r="H88" s="1036"/>
      <c r="I88" s="472"/>
      <c r="K88" s="183"/>
      <c r="L88" s="183"/>
      <c r="M88" s="183"/>
      <c r="N88" s="183"/>
      <c r="O88" s="183"/>
      <c r="P88" s="183"/>
      <c r="Q88" s="183"/>
      <c r="R88" s="183"/>
      <c r="S88" s="183"/>
      <c r="T88" s="183"/>
    </row>
    <row r="89" spans="3:20" ht="29.25" hidden="1" customHeight="1" outlineLevel="1">
      <c r="C89" s="631"/>
      <c r="D89" s="1878"/>
      <c r="E89" s="632"/>
      <c r="F89" s="448"/>
      <c r="G89" s="223"/>
      <c r="H89" s="1036"/>
      <c r="I89" s="472"/>
      <c r="K89" s="183"/>
      <c r="L89" s="183"/>
      <c r="M89" s="183"/>
      <c r="N89" s="183"/>
      <c r="O89" s="183"/>
      <c r="P89" s="183"/>
      <c r="Q89" s="183"/>
      <c r="R89" s="183"/>
      <c r="S89" s="183"/>
      <c r="T89" s="183"/>
    </row>
    <row r="90" spans="3:20" ht="29.25" hidden="1" customHeight="1" outlineLevel="1">
      <c r="C90" s="631"/>
      <c r="D90" s="1878"/>
      <c r="E90" s="632"/>
      <c r="F90" s="342"/>
      <c r="G90" s="209"/>
      <c r="H90" s="1036"/>
      <c r="I90" s="472"/>
      <c r="K90" s="183"/>
      <c r="L90" s="183"/>
      <c r="M90" s="183"/>
      <c r="N90" s="183"/>
      <c r="O90" s="183"/>
      <c r="P90" s="183"/>
      <c r="Q90" s="183"/>
      <c r="R90" s="183"/>
      <c r="S90" s="183"/>
      <c r="T90" s="183"/>
    </row>
    <row r="91" spans="3:20" ht="29.25" hidden="1" customHeight="1" outlineLevel="1">
      <c r="C91" s="631"/>
      <c r="D91" s="1878"/>
      <c r="E91" s="632"/>
      <c r="F91" s="448"/>
      <c r="G91" s="223"/>
      <c r="H91" s="1036"/>
      <c r="I91" s="472"/>
      <c r="K91" s="183"/>
      <c r="L91" s="183"/>
      <c r="M91" s="183"/>
      <c r="N91" s="183"/>
      <c r="O91" s="183"/>
      <c r="P91" s="183"/>
      <c r="Q91" s="183"/>
      <c r="R91" s="183"/>
      <c r="S91" s="183"/>
      <c r="T91" s="183"/>
    </row>
    <row r="92" spans="3:20" ht="29.25" hidden="1" customHeight="1" outlineLevel="1">
      <c r="C92" s="631"/>
      <c r="D92" s="1878"/>
      <c r="E92" s="632"/>
      <c r="F92" s="342"/>
      <c r="G92" s="209"/>
      <c r="H92" s="1036"/>
      <c r="I92" s="472"/>
      <c r="K92" s="183"/>
      <c r="L92" s="183"/>
      <c r="M92" s="183"/>
      <c r="N92" s="183"/>
      <c r="O92" s="183"/>
      <c r="P92" s="183"/>
      <c r="Q92" s="183"/>
      <c r="R92" s="183"/>
      <c r="S92" s="183"/>
      <c r="T92" s="183"/>
    </row>
    <row r="93" spans="3:20" ht="29.25" hidden="1" customHeight="1" outlineLevel="1">
      <c r="C93" s="631"/>
      <c r="D93" s="1878"/>
      <c r="E93" s="632"/>
      <c r="F93" s="448"/>
      <c r="G93" s="223"/>
      <c r="H93" s="1036"/>
      <c r="I93" s="472"/>
      <c r="K93" s="183"/>
      <c r="L93" s="183"/>
      <c r="M93" s="183"/>
      <c r="N93" s="183"/>
      <c r="O93" s="183"/>
      <c r="P93" s="183"/>
      <c r="Q93" s="183"/>
      <c r="R93" s="183"/>
      <c r="S93" s="183"/>
      <c r="T93" s="183"/>
    </row>
    <row r="94" spans="3:20" ht="29.25" hidden="1" customHeight="1" outlineLevel="1">
      <c r="C94" s="631"/>
      <c r="D94" s="1878"/>
      <c r="E94" s="632"/>
      <c r="F94" s="342"/>
      <c r="G94" s="209"/>
      <c r="H94" s="1036"/>
      <c r="I94" s="472"/>
      <c r="K94" s="183"/>
      <c r="L94" s="183"/>
      <c r="M94" s="183"/>
      <c r="N94" s="183"/>
      <c r="O94" s="183"/>
      <c r="P94" s="183"/>
      <c r="Q94" s="183"/>
      <c r="R94" s="183"/>
      <c r="S94" s="183"/>
      <c r="T94" s="183"/>
    </row>
    <row r="95" spans="3:20" ht="29.25" hidden="1" customHeight="1" outlineLevel="1">
      <c r="C95" s="631"/>
      <c r="D95" s="1878"/>
      <c r="E95" s="632"/>
      <c r="F95" s="448"/>
      <c r="G95" s="223"/>
      <c r="H95" s="1036"/>
      <c r="I95" s="472"/>
      <c r="K95" s="183"/>
      <c r="L95" s="183"/>
      <c r="M95" s="183"/>
      <c r="N95" s="183"/>
      <c r="O95" s="183"/>
      <c r="P95" s="183"/>
      <c r="Q95" s="183"/>
      <c r="R95" s="183"/>
      <c r="S95" s="183"/>
      <c r="T95" s="183"/>
    </row>
    <row r="96" spans="3:20" ht="29.25" hidden="1" customHeight="1" outlineLevel="1">
      <c r="C96" s="631"/>
      <c r="D96" s="1878"/>
      <c r="E96" s="632"/>
      <c r="F96" s="342"/>
      <c r="G96" s="209"/>
      <c r="H96" s="1036"/>
      <c r="I96" s="472"/>
      <c r="K96" s="183"/>
      <c r="L96" s="183"/>
      <c r="M96" s="183"/>
      <c r="N96" s="183"/>
      <c r="O96" s="183"/>
      <c r="P96" s="183"/>
      <c r="Q96" s="183"/>
      <c r="R96" s="183"/>
      <c r="S96" s="183"/>
      <c r="T96" s="183"/>
    </row>
    <row r="97" spans="3:20" ht="29.25" hidden="1" customHeight="1" outlineLevel="1">
      <c r="C97" s="631"/>
      <c r="D97" s="1878"/>
      <c r="E97" s="632"/>
      <c r="F97" s="448"/>
      <c r="G97" s="223"/>
      <c r="H97" s="1036"/>
      <c r="I97" s="472"/>
      <c r="K97" s="183"/>
      <c r="L97" s="183"/>
      <c r="M97" s="183"/>
      <c r="N97" s="183"/>
      <c r="O97" s="183"/>
      <c r="P97" s="183"/>
      <c r="Q97" s="183"/>
      <c r="R97" s="183"/>
      <c r="S97" s="183"/>
      <c r="T97" s="183"/>
    </row>
    <row r="98" spans="3:20" ht="29.25" hidden="1" customHeight="1" outlineLevel="1">
      <c r="C98" s="631"/>
      <c r="D98" s="1878"/>
      <c r="E98" s="632"/>
      <c r="F98" s="342"/>
      <c r="G98" s="209"/>
      <c r="H98" s="1036"/>
      <c r="I98" s="472"/>
      <c r="K98" s="183"/>
      <c r="L98" s="183"/>
      <c r="M98" s="183"/>
      <c r="N98" s="183"/>
      <c r="O98" s="183"/>
      <c r="P98" s="183"/>
      <c r="Q98" s="183"/>
      <c r="R98" s="183"/>
      <c r="S98" s="183"/>
      <c r="T98" s="183"/>
    </row>
    <row r="99" spans="3:20" ht="29.25" hidden="1" customHeight="1" outlineLevel="1">
      <c r="C99" s="631"/>
      <c r="D99" s="1879"/>
      <c r="E99" s="632"/>
      <c r="F99" s="337"/>
      <c r="G99" s="223"/>
      <c r="H99" s="1036"/>
      <c r="I99" s="472"/>
      <c r="K99" s="183"/>
      <c r="L99" s="183"/>
      <c r="M99" s="183"/>
      <c r="N99" s="183"/>
      <c r="O99" s="183"/>
      <c r="P99" s="183"/>
      <c r="Q99" s="183"/>
      <c r="R99" s="183"/>
      <c r="S99" s="183"/>
      <c r="T99" s="183"/>
    </row>
    <row r="100" spans="3:20" ht="29.25" customHeight="1" thickBot="1">
      <c r="C100" s="636"/>
      <c r="D100" s="1544" t="s">
        <v>475</v>
      </c>
      <c r="E100" s="1880"/>
      <c r="F100" s="637"/>
      <c r="G100" s="638"/>
      <c r="H100" s="1037"/>
      <c r="I100" s="472"/>
      <c r="K100" s="183"/>
      <c r="L100" s="183"/>
      <c r="M100" s="183"/>
      <c r="N100" s="183"/>
      <c r="O100" s="183"/>
      <c r="P100" s="183"/>
      <c r="Q100" s="183"/>
      <c r="R100" s="183"/>
      <c r="S100" s="183"/>
      <c r="T100" s="183"/>
    </row>
    <row r="101" spans="3:20" ht="18" customHeight="1">
      <c r="C101" s="241" t="s">
        <v>477</v>
      </c>
      <c r="D101" s="241"/>
      <c r="E101" s="196"/>
      <c r="F101" s="20"/>
      <c r="G101" s="20"/>
      <c r="H101" s="73"/>
      <c r="I101" s="73"/>
      <c r="J101" s="639"/>
      <c r="K101" s="367"/>
      <c r="L101" s="196"/>
      <c r="M101" s="73"/>
      <c r="N101" s="367"/>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37</xdr:col>
                <xdr:colOff>104775</xdr:colOff>
                <xdr:row>34</xdr:row>
                <xdr:rowOff>9525</xdr:rowOff>
              </from>
              <to>
                <xdr:col>46</xdr:col>
                <xdr:colOff>104775</xdr:colOff>
                <xdr:row>35</xdr:row>
                <xdr:rowOff>171450</xdr:rowOff>
              </to>
            </anchor>
          </controlPr>
        </control>
      </mc:Choice>
      <mc:Fallback>
        <control shapeId="14341"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83" outlineLevel="1"/>
    <col min="24" max="24" width="2.625" style="144" customWidth="1" outlineLevel="1"/>
    <col min="25" max="32" width="10.625" style="640" customWidth="1" outlineLevel="1"/>
    <col min="33" max="33" width="14.625" style="640" customWidth="1" outlineLevel="1"/>
    <col min="34" max="36" width="14.5" style="640" customWidth="1" outlineLevel="1"/>
    <col min="37" max="37" width="10.625" style="640" customWidth="1" outlineLevel="1"/>
    <col min="38" max="38" width="14.5" style="640" customWidth="1" outlineLevel="1"/>
    <col min="39" max="40" width="10.625" style="640" customWidth="1" outlineLevel="1"/>
    <col min="41" max="44" width="14.5" style="640" customWidth="1" outlineLevel="1"/>
    <col min="45" max="47" width="10.625" style="640" customWidth="1" outlineLevel="1"/>
    <col min="48" max="48" width="2.625" style="183" outlineLevel="1"/>
    <col min="49" max="52" width="2.625" style="183"/>
    <col min="53" max="16384" width="2.625" style="2"/>
  </cols>
  <sheetData>
    <row r="1" spans="1:54" ht="14.25" customHeight="1">
      <c r="T1" s="46"/>
      <c r="V1" s="2" t="s">
        <v>111</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478</v>
      </c>
      <c r="V2" s="105" t="s">
        <v>478</v>
      </c>
      <c r="AE2" s="1096" t="s">
        <v>1367</v>
      </c>
    </row>
    <row r="3" spans="1:54" ht="14.25" customHeight="1">
      <c r="A3" s="105"/>
      <c r="AE3" s="1097">
        <v>15</v>
      </c>
    </row>
    <row r="4" spans="1:54" ht="14.25" customHeight="1">
      <c r="A4" s="105" t="s">
        <v>479</v>
      </c>
      <c r="C4" s="608" t="s">
        <v>1416</v>
      </c>
    </row>
    <row r="5" spans="1:54" ht="14.25" customHeight="1">
      <c r="A5" s="105"/>
      <c r="C5" s="46" t="s">
        <v>1417</v>
      </c>
      <c r="D5" s="608"/>
    </row>
    <row r="6" spans="1:54" ht="14.25" customHeight="1">
      <c r="A6" s="105"/>
      <c r="C6" s="46" t="s">
        <v>480</v>
      </c>
    </row>
    <row r="7" spans="1:54" ht="14.25" customHeight="1">
      <c r="A7" s="105"/>
      <c r="C7" s="46"/>
      <c r="D7" s="641"/>
      <c r="E7" s="642"/>
      <c r="F7" s="643"/>
      <c r="G7" s="641"/>
      <c r="H7" s="641"/>
      <c r="I7" s="641"/>
      <c r="J7" s="641"/>
      <c r="K7" s="641"/>
      <c r="L7" s="641"/>
      <c r="V7" s="2" t="s">
        <v>481</v>
      </c>
      <c r="X7" s="644"/>
    </row>
    <row r="8" spans="1:54" ht="14.25" customHeight="1" thickBot="1">
      <c r="A8" s="105"/>
      <c r="C8" s="46"/>
      <c r="D8" s="643"/>
      <c r="E8" s="641"/>
      <c r="F8" s="643"/>
      <c r="G8" s="641"/>
      <c r="H8" s="641"/>
      <c r="I8" s="641"/>
      <c r="J8" s="641"/>
      <c r="K8" s="641"/>
      <c r="L8" s="641"/>
      <c r="V8" s="2012" t="s">
        <v>482</v>
      </c>
      <c r="W8" s="2"/>
      <c r="X8" s="2"/>
      <c r="Y8" s="1493" t="s">
        <v>483</v>
      </c>
      <c r="Z8" s="1493"/>
      <c r="AA8" s="1493"/>
      <c r="AB8" s="1493"/>
      <c r="AC8" s="1493"/>
      <c r="AD8" s="1493"/>
      <c r="AE8" s="1493"/>
      <c r="AF8" s="1493"/>
      <c r="AG8" s="1979" t="s">
        <v>484</v>
      </c>
      <c r="AH8" s="1980"/>
      <c r="AI8" s="1981"/>
      <c r="AJ8" s="2015" t="s">
        <v>485</v>
      </c>
      <c r="AK8" s="2016"/>
      <c r="AL8" s="1707" t="s">
        <v>486</v>
      </c>
      <c r="AM8" s="1709"/>
      <c r="AN8" s="2019"/>
      <c r="AO8" s="1979" t="s">
        <v>487</v>
      </c>
      <c r="AP8" s="1980"/>
      <c r="AQ8" s="1980"/>
      <c r="AR8" s="1980"/>
      <c r="AS8" s="1980"/>
      <c r="AT8" s="1980"/>
      <c r="AU8" s="1981"/>
      <c r="AV8" s="2"/>
      <c r="AW8" s="2"/>
      <c r="BA8" s="183"/>
      <c r="BB8" s="183"/>
    </row>
    <row r="9" spans="1:54" s="46" customFormat="1" ht="14.25" customHeight="1">
      <c r="C9" s="1985" t="s">
        <v>488</v>
      </c>
      <c r="D9" s="1988" t="s">
        <v>489</v>
      </c>
      <c r="E9" s="1991" t="s">
        <v>490</v>
      </c>
      <c r="F9" s="1994" t="s">
        <v>491</v>
      </c>
      <c r="G9" s="1997" t="s">
        <v>492</v>
      </c>
      <c r="H9" s="1998"/>
      <c r="I9" s="2001" t="s">
        <v>493</v>
      </c>
      <c r="J9" s="2004" t="s">
        <v>494</v>
      </c>
      <c r="K9" s="2005"/>
      <c r="L9" s="2008" t="s">
        <v>495</v>
      </c>
      <c r="M9" s="2010" t="s">
        <v>496</v>
      </c>
      <c r="N9" s="1967" t="s">
        <v>497</v>
      </c>
      <c r="O9" s="1967" t="s">
        <v>498</v>
      </c>
      <c r="P9" s="1969" t="s">
        <v>1418</v>
      </c>
      <c r="Q9" s="1971" t="s">
        <v>499</v>
      </c>
      <c r="R9" s="1973" t="s">
        <v>500</v>
      </c>
      <c r="S9" s="1974"/>
      <c r="U9" s="2"/>
      <c r="V9" s="2013"/>
      <c r="X9" s="2"/>
      <c r="Y9" s="1534"/>
      <c r="Z9" s="1534"/>
      <c r="AA9" s="1534"/>
      <c r="AB9" s="1534"/>
      <c r="AC9" s="1534"/>
      <c r="AD9" s="1534"/>
      <c r="AE9" s="1534"/>
      <c r="AF9" s="1534"/>
      <c r="AG9" s="1982"/>
      <c r="AH9" s="1983"/>
      <c r="AI9" s="1984"/>
      <c r="AJ9" s="2017"/>
      <c r="AK9" s="2018"/>
      <c r="AL9" s="1908"/>
      <c r="AM9" s="1910"/>
      <c r="AN9" s="2020"/>
      <c r="AO9" s="1982"/>
      <c r="AP9" s="1983"/>
      <c r="AQ9" s="1983"/>
      <c r="AR9" s="1983"/>
      <c r="AS9" s="1983"/>
      <c r="AT9" s="1983"/>
      <c r="AU9" s="1984"/>
      <c r="AV9" s="2"/>
      <c r="AW9" s="2"/>
      <c r="AX9" s="183"/>
    </row>
    <row r="10" spans="1:54" s="46" customFormat="1" ht="18.75" customHeight="1">
      <c r="C10" s="1986"/>
      <c r="D10" s="1989"/>
      <c r="E10" s="1992"/>
      <c r="F10" s="1995"/>
      <c r="G10" s="1999"/>
      <c r="H10" s="2000"/>
      <c r="I10" s="2002"/>
      <c r="J10" s="2006"/>
      <c r="K10" s="2007"/>
      <c r="L10" s="2009"/>
      <c r="M10" s="2011"/>
      <c r="N10" s="1968"/>
      <c r="O10" s="1968"/>
      <c r="P10" s="1947"/>
      <c r="Q10" s="1730"/>
      <c r="R10" s="1975"/>
      <c r="S10" s="1976"/>
      <c r="U10" s="2"/>
      <c r="V10" s="2013"/>
      <c r="X10" s="2"/>
      <c r="Y10" s="1963" t="s">
        <v>501</v>
      </c>
      <c r="Z10" s="1963" t="s">
        <v>502</v>
      </c>
      <c r="AA10" s="1963" t="s">
        <v>503</v>
      </c>
      <c r="AB10" s="1963" t="s">
        <v>504</v>
      </c>
      <c r="AC10" s="1963" t="s">
        <v>505</v>
      </c>
      <c r="AD10" s="1963" t="s">
        <v>506</v>
      </c>
      <c r="AE10" s="1963" t="s">
        <v>507</v>
      </c>
      <c r="AF10" s="1963" t="s">
        <v>508</v>
      </c>
      <c r="AG10" s="1963" t="s">
        <v>509</v>
      </c>
      <c r="AH10" s="2022" t="s">
        <v>510</v>
      </c>
      <c r="AI10" s="645"/>
      <c r="AJ10" s="1963" t="s">
        <v>511</v>
      </c>
      <c r="AK10" s="1963" t="s">
        <v>512</v>
      </c>
      <c r="AL10" s="1963" t="s">
        <v>513</v>
      </c>
      <c r="AM10" s="1963" t="s">
        <v>514</v>
      </c>
      <c r="AN10" s="2020"/>
      <c r="AO10" s="1946" t="s">
        <v>511</v>
      </c>
      <c r="AP10" s="1966" t="s">
        <v>515</v>
      </c>
      <c r="AQ10" s="646"/>
      <c r="AR10" s="1946" t="s">
        <v>516</v>
      </c>
      <c r="AS10" s="1946" t="s">
        <v>517</v>
      </c>
      <c r="AT10" s="1946" t="s">
        <v>498</v>
      </c>
      <c r="AU10" s="1946" t="s">
        <v>518</v>
      </c>
      <c r="AV10" s="2"/>
      <c r="AW10" s="2"/>
      <c r="AX10" s="183"/>
    </row>
    <row r="11" spans="1:54" s="46" customFormat="1" ht="18.75" customHeight="1">
      <c r="C11" s="1986"/>
      <c r="D11" s="1989"/>
      <c r="E11" s="1992"/>
      <c r="F11" s="1995"/>
      <c r="G11" s="1949" t="s">
        <v>519</v>
      </c>
      <c r="H11" s="1949" t="s">
        <v>520</v>
      </c>
      <c r="I11" s="2002"/>
      <c r="J11" s="1951" t="s">
        <v>521</v>
      </c>
      <c r="K11" s="1954" t="s">
        <v>522</v>
      </c>
      <c r="L11" s="647" t="s">
        <v>523</v>
      </c>
      <c r="M11" s="648" t="s">
        <v>523</v>
      </c>
      <c r="N11" s="647" t="s">
        <v>523</v>
      </c>
      <c r="O11" s="647" t="s">
        <v>523</v>
      </c>
      <c r="P11" s="1947"/>
      <c r="Q11" s="1730"/>
      <c r="R11" s="1956" t="s">
        <v>524</v>
      </c>
      <c r="S11" s="1960" t="s">
        <v>525</v>
      </c>
      <c r="U11" s="2"/>
      <c r="V11" s="2013"/>
      <c r="X11" s="2"/>
      <c r="Y11" s="1964"/>
      <c r="Z11" s="1964"/>
      <c r="AA11" s="1964"/>
      <c r="AB11" s="1964"/>
      <c r="AC11" s="1964"/>
      <c r="AD11" s="1964"/>
      <c r="AE11" s="1964" t="s">
        <v>526</v>
      </c>
      <c r="AF11" s="1964"/>
      <c r="AG11" s="1964" t="s">
        <v>527</v>
      </c>
      <c r="AH11" s="1964" t="s">
        <v>527</v>
      </c>
      <c r="AI11" s="1963" t="s">
        <v>528</v>
      </c>
      <c r="AJ11" s="1964" t="s">
        <v>527</v>
      </c>
      <c r="AK11" s="1964" t="s">
        <v>527</v>
      </c>
      <c r="AL11" s="1964"/>
      <c r="AM11" s="1964"/>
      <c r="AN11" s="2020"/>
      <c r="AO11" s="1947"/>
      <c r="AP11" s="1947" t="s">
        <v>529</v>
      </c>
      <c r="AQ11" s="1946" t="s">
        <v>528</v>
      </c>
      <c r="AR11" s="1947" t="s">
        <v>526</v>
      </c>
      <c r="AS11" s="1947"/>
      <c r="AT11" s="1947"/>
      <c r="AU11" s="1947"/>
      <c r="AV11" s="2"/>
      <c r="AW11" s="2"/>
      <c r="AX11" s="183"/>
    </row>
    <row r="12" spans="1:54" s="46" customFormat="1" ht="18.75" customHeight="1">
      <c r="C12" s="1986"/>
      <c r="D12" s="1989"/>
      <c r="E12" s="1992"/>
      <c r="F12" s="1995"/>
      <c r="G12" s="1950"/>
      <c r="H12" s="1950"/>
      <c r="I12" s="2002"/>
      <c r="J12" s="1952"/>
      <c r="K12" s="1955"/>
      <c r="L12" s="649"/>
      <c r="M12" s="650"/>
      <c r="N12" s="651"/>
      <c r="O12" s="652"/>
      <c r="P12" s="1947"/>
      <c r="Q12" s="1730"/>
      <c r="R12" s="1957"/>
      <c r="S12" s="1961"/>
      <c r="U12" s="2"/>
      <c r="V12" s="2013"/>
      <c r="X12" s="2"/>
      <c r="Y12" s="1964"/>
      <c r="Z12" s="1964"/>
      <c r="AA12" s="1964"/>
      <c r="AB12" s="1964"/>
      <c r="AC12" s="1964"/>
      <c r="AD12" s="1964"/>
      <c r="AE12" s="1964"/>
      <c r="AF12" s="1964"/>
      <c r="AG12" s="1964"/>
      <c r="AH12" s="1964"/>
      <c r="AI12" s="1964"/>
      <c r="AJ12" s="1964"/>
      <c r="AK12" s="1964"/>
      <c r="AL12" s="1964"/>
      <c r="AM12" s="1964"/>
      <c r="AN12" s="2021"/>
      <c r="AO12" s="1948"/>
      <c r="AP12" s="1948"/>
      <c r="AQ12" s="1948"/>
      <c r="AR12" s="1948"/>
      <c r="AS12" s="1948"/>
      <c r="AT12" s="1948"/>
      <c r="AU12" s="1948"/>
      <c r="AV12" s="2"/>
      <c r="AW12" s="2"/>
      <c r="AX12" s="183"/>
    </row>
    <row r="13" spans="1:54" s="46" customFormat="1" ht="28.5" customHeight="1">
      <c r="C13" s="1986"/>
      <c r="D13" s="1989"/>
      <c r="E13" s="1992"/>
      <c r="F13" s="1995"/>
      <c r="G13" s="1950"/>
      <c r="H13" s="1950"/>
      <c r="I13" s="2002"/>
      <c r="J13" s="1952"/>
      <c r="K13" s="1955"/>
      <c r="L13" s="649"/>
      <c r="M13" s="650"/>
      <c r="N13" s="651"/>
      <c r="O13" s="652"/>
      <c r="P13" s="1947"/>
      <c r="Q13" s="1730"/>
      <c r="R13" s="1957"/>
      <c r="S13" s="1961"/>
      <c r="U13" s="2"/>
      <c r="V13" s="2013"/>
      <c r="X13" s="2"/>
      <c r="Y13" s="1964"/>
      <c r="Z13" s="1964"/>
      <c r="AA13" s="1964"/>
      <c r="AB13" s="1964"/>
      <c r="AC13" s="1964"/>
      <c r="AD13" s="1964"/>
      <c r="AE13" s="1964"/>
      <c r="AF13" s="1964"/>
      <c r="AG13" s="1964"/>
      <c r="AH13" s="1964"/>
      <c r="AI13" s="1964"/>
      <c r="AJ13" s="1964"/>
      <c r="AK13" s="1964"/>
      <c r="AL13" s="1964"/>
      <c r="AM13" s="1964"/>
      <c r="AN13" s="628" t="s">
        <v>249</v>
      </c>
      <c r="AO13" s="252">
        <f t="shared" ref="AO13:AT13" si="0">SUM(AO14:AO15)</f>
        <v>0</v>
      </c>
      <c r="AP13" s="252">
        <f t="shared" si="0"/>
        <v>0</v>
      </c>
      <c r="AQ13" s="252">
        <f>SUM(AQ14:AQ15)</f>
        <v>0</v>
      </c>
      <c r="AR13" s="252">
        <f t="shared" si="0"/>
        <v>0</v>
      </c>
      <c r="AS13" s="252">
        <f t="shared" si="0"/>
        <v>0</v>
      </c>
      <c r="AT13" s="252">
        <f t="shared" si="0"/>
        <v>0</v>
      </c>
      <c r="AU13" s="653">
        <f>ROUND(SUM(AS13:AT13),)</f>
        <v>0</v>
      </c>
      <c r="AV13" s="2"/>
      <c r="AW13" s="2"/>
      <c r="AX13" s="183"/>
    </row>
    <row r="14" spans="1:54" s="46" customFormat="1" ht="28.5" customHeight="1">
      <c r="C14" s="1986"/>
      <c r="D14" s="1989"/>
      <c r="E14" s="1992"/>
      <c r="F14" s="1995"/>
      <c r="G14" s="1950"/>
      <c r="H14" s="1950"/>
      <c r="I14" s="2002"/>
      <c r="J14" s="1953"/>
      <c r="K14" s="1955"/>
      <c r="L14" s="649"/>
      <c r="M14" s="650"/>
      <c r="N14" s="651"/>
      <c r="O14" s="652"/>
      <c r="P14" s="1947"/>
      <c r="Q14" s="1730"/>
      <c r="R14" s="1958"/>
      <c r="S14" s="1961"/>
      <c r="U14" s="2"/>
      <c r="V14" s="2013"/>
      <c r="X14" s="2"/>
      <c r="Y14" s="1965"/>
      <c r="Z14" s="1965"/>
      <c r="AA14" s="1965"/>
      <c r="AB14" s="1965"/>
      <c r="AC14" s="1965"/>
      <c r="AD14" s="1965"/>
      <c r="AE14" s="1965"/>
      <c r="AF14" s="1965"/>
      <c r="AG14" s="1965"/>
      <c r="AH14" s="1965"/>
      <c r="AI14" s="1965"/>
      <c r="AJ14" s="1965"/>
      <c r="AK14" s="1965"/>
      <c r="AL14" s="1965"/>
      <c r="AM14" s="1965"/>
      <c r="AN14" s="654" t="s">
        <v>530</v>
      </c>
      <c r="AO14" s="653">
        <f>SUM(SUMIFS(AO16:AO115,$E$16:$E$115,"&lt;&gt;",$E$16:$E$115,"&lt;&gt;[15]コンクリートけい畔",$E$16:$E$115,"&lt;&gt;[16]暗きょ排水施設",$E$16:$E$115,"&lt;&gt;[17]客土",$E$16:$E$115,"&lt;&gt;[19]用水路"))</f>
        <v>0</v>
      </c>
      <c r="AP14" s="653">
        <f>SUM(SUMIFS(AP16:AP115,$E$16:$E$115,"&lt;&gt;",$E$16:$E$115,"&lt;&gt;[15]コンクリートけい畔",$E$16:$E$115,"&lt;&gt;[16]暗きょ排水施設",$E$16:$E$115,"&lt;&gt;[17]客土",$E$16:$E$115,"&lt;&gt;[19]用水路"))</f>
        <v>0</v>
      </c>
      <c r="AQ14" s="653">
        <f>SUM(SUMIFS(AQ16:AQ115,$E$16:$E$115,"&lt;&gt;",$E$16:$E$115,"&lt;&gt;[15]コンクリートけい畔",$E$16:$E$115,"&lt;&gt;[16]暗きょ排水施設",$E$16:$E$115,"&lt;&gt;[17]客土",$E$16:$E$115,"&lt;&gt;[19]用水路"))</f>
        <v>0</v>
      </c>
      <c r="AR14" s="653">
        <f>ROUND(SUM(SUMIFS(AR16:AR115,$E$16:$E$115,"&lt;&gt;",$E$16:$E$115,"&lt;&gt;[15]コンクリートけい畔",$E$16:$E$115,"&lt;&gt;[16]暗きょ排水施設",$E$16:$E$115,"&lt;&gt;[17]客土",$E$16:$E$115,"&lt;&gt;[19]用水路")),)</f>
        <v>0</v>
      </c>
      <c r="AS14" s="653">
        <f>SUM(SUMIFS(AS16:AS115,$E$16:$E$115,"&lt;&gt;",$E$16:$E$115,"&lt;&gt;[15]コンクリートけい畔",$E$16:$E$115,"&lt;&gt;[16]暗きょ排水施設",$E$16:$E$115,"&lt;&gt;[17]客土",$E$16:$E$115,"&lt;&gt;[19]用水路"))</f>
        <v>0</v>
      </c>
      <c r="AT14" s="653">
        <f>SUM(SUMIFS(AT16:AT115,$E$16:$E$115,"&lt;&gt;",$E$16:$E$115,"&lt;&gt;[15]コンクリートけい畔",$E$16:$E$115,"&lt;&gt;[16]暗きょ排水施設",$E$16:$E$115,"&lt;&gt;[17]客土",$E$16:$E$115,"&lt;&gt;[19]用水路"))</f>
        <v>0</v>
      </c>
      <c r="AU14" s="655"/>
      <c r="AV14" s="2"/>
      <c r="AW14" s="2"/>
      <c r="AX14" s="183"/>
    </row>
    <row r="15" spans="1:54" s="46" customFormat="1" ht="29.25" customHeight="1" thickBot="1">
      <c r="C15" s="1987"/>
      <c r="D15" s="1990"/>
      <c r="E15" s="1993"/>
      <c r="F15" s="1996"/>
      <c r="G15" s="1950"/>
      <c r="H15" s="1950"/>
      <c r="I15" s="2003"/>
      <c r="J15" s="1953"/>
      <c r="K15" s="1955"/>
      <c r="L15" s="649"/>
      <c r="M15" s="650"/>
      <c r="N15" s="651"/>
      <c r="O15" s="652"/>
      <c r="P15" s="1970"/>
      <c r="Q15" s="1972"/>
      <c r="R15" s="1959"/>
      <c r="S15" s="1962"/>
      <c r="U15" s="2"/>
      <c r="V15" s="2014"/>
      <c r="X15" s="2"/>
      <c r="Y15" s="656"/>
      <c r="Z15" s="656"/>
      <c r="AA15" s="656"/>
      <c r="AB15" s="656"/>
      <c r="AC15" s="656"/>
      <c r="AD15" s="656"/>
      <c r="AE15" s="656"/>
      <c r="AF15" s="656"/>
      <c r="AG15" s="656"/>
      <c r="AH15" s="656"/>
      <c r="AI15" s="656"/>
      <c r="AJ15" s="656"/>
      <c r="AK15" s="656"/>
      <c r="AL15" s="656"/>
      <c r="AM15" s="656"/>
      <c r="AN15" s="657" t="s">
        <v>531</v>
      </c>
      <c r="AO15" s="658">
        <f>SUM(SUMIFS(AO16:AO115,$E$16:$E$115,{"[15]コンクリートけい畔","[16]暗きょ排水施設","[17]客土","[19]用水路"}))</f>
        <v>0</v>
      </c>
      <c r="AP15" s="658">
        <f>SUM(SUMIFS(AP16:AP115,$E$16:$E$115,{"[15]コンクリートけい畔","[16]暗きょ排水施設","[17]客土","[19]用水路"}))</f>
        <v>0</v>
      </c>
      <c r="AQ15" s="658">
        <f>SUM(SUMIFS(AQ16:AQ115,$E$16:$E$115,{"[15]コンクリートけい畔","[16]暗きょ排水施設","[17]客土","[19]用水路"}))</f>
        <v>0</v>
      </c>
      <c r="AR15" s="658">
        <f>ROUND(SUM(SUMIFS(AR16:AR115,$E$16:$E$115,{"[15]コンクリートけい畔","[16]暗きょ排水施設","[17]客土","[19]用水路"})),)</f>
        <v>0</v>
      </c>
      <c r="AS15" s="658">
        <f>SUM(SUMIFS(AS16:AS115,$E$16:$E$115,{"[15]コンクリートけい畔","[16]暗きょ排水施設","[17]客土","[19]用水路"}))</f>
        <v>0</v>
      </c>
      <c r="AT15" s="658">
        <f>SUM(SUMIFS(AT16:AT115,$E$16:$E$115,{"[15]コンクリートけい畔","[16]暗きょ排水施設","[17]客土","[19]用水路"}))</f>
        <v>0</v>
      </c>
      <c r="AU15" s="659"/>
      <c r="AV15" s="2"/>
      <c r="AW15" s="2"/>
      <c r="AX15" s="183"/>
    </row>
    <row r="16" spans="1:54" s="46" customFormat="1" ht="30" customHeight="1" thickTop="1">
      <c r="C16" s="660">
        <v>1</v>
      </c>
      <c r="D16" s="661"/>
      <c r="E16" s="662"/>
      <c r="F16" s="663"/>
      <c r="G16" s="1977"/>
      <c r="H16" s="1978"/>
      <c r="I16" s="664"/>
      <c r="J16" s="665"/>
      <c r="K16" s="666"/>
      <c r="L16" s="667"/>
      <c r="M16" s="668"/>
      <c r="N16" s="669"/>
      <c r="O16" s="669"/>
      <c r="P16" s="1044"/>
      <c r="Q16" s="670"/>
      <c r="R16" s="671"/>
      <c r="S16" s="669"/>
      <c r="T16" s="672"/>
      <c r="U16" s="2"/>
      <c r="V16" s="1053"/>
      <c r="W16" s="673"/>
      <c r="X16" s="2"/>
      <c r="Y16" s="1004">
        <f>IF(AND(E16&gt;0,F16&gt;0),"["&amp;RIGHT(LEFT(E16,3),2)&amp;RIGHT(LEFT(F16,FIND("]",F16)-1),IF(FIND("]",F16)-1&gt;2,2,1))&amp;"]",)</f>
        <v>0</v>
      </c>
      <c r="Z16" s="674">
        <f>IF(Y16=0,,IF(L16+M16&lt;100000,1,0))</f>
        <v>0</v>
      </c>
      <c r="AA16" s="674">
        <f>IF(Y16=0,,IF(AND(Z16=0,L16+M16&lt;200000),1,))</f>
        <v>0</v>
      </c>
      <c r="AB16" s="674">
        <f>IF(Y16=0,,VLOOKUP(Y16,リスト!CX:CY,2,0))</f>
        <v>0</v>
      </c>
      <c r="AC16" s="674">
        <f t="shared" ref="AC16:AC79" si="1">IF(AA16=1,3,
IF(OR(G16="[2]中古",
F16="[8]その他",
E16="[13]その他の建築物",
AND(OR(E16="[14]稲架",E16="[15]コンクリートけい畔",E16="[16]暗きょ排水施設",E16="[19]用水路",E16="[25]たい肥盤"),F16="[7]その他")),
MIN(AB16,I16),AB16))</f>
        <v>0</v>
      </c>
      <c r="AD16" s="675">
        <f>IF(AC16=0,,VLOOKUP(AC16,リスト!DK:DL,2,0))</f>
        <v>0</v>
      </c>
      <c r="AE16" s="674">
        <f>IF(Y16=0,,
IF(OR(リスト!$C$21="小麦",リスト!$C$21="二条大麦",リスト!$C$21="六条大麦",リスト!$C$21="はだか麦",リスト!$C$21="なたね"),IF(K16&lt;9,調査年-J16,調査年-J16-1),
IF(リスト!$C$21="さとうきび",IF(K16&gt;=4,調査年-J16,調査年-J16+1),
調査年-J16)))</f>
        <v>0</v>
      </c>
      <c r="AF16" s="252">
        <f t="shared" ref="AF16:AF47" si="2">IF(OR(Y16=0,Z16=1),,
IF(AND(AC16&gt;0,AE16&lt;AC16,AG16&lt;=ROUND((L16-1)*AD16,0)),ROUND(AG16*IF(R16="[2]部分取り壊し",IFERROR(1-(V16%),1),1),0),
IF(AND(AC16&gt;0,AE16&lt;AC16),ROUND((L16-1)*AD16*IF(R16="[2]部分取り壊し",IFERROR(1-(V16%),1),1),0),)))</f>
        <v>0</v>
      </c>
      <c r="AG16" s="676">
        <f t="shared" ref="AG16:AG79" si="3">IF(OR(Y16=0,Z16=1),,
IF(AND(AC16&gt;0,AE16&lt;AC16),L16-ROUND((L16-1)*AD16*AE16,0),1
))</f>
        <v>0</v>
      </c>
      <c r="AH16" s="676">
        <f t="shared" ref="AH16:AH79" si="4">IF(OR(Y16=0,Z16=1),,
IF(R16=0,AF16,
IF(R16="[1]取り壊し",SUM(AG16,S16),
IF(R16="[3]売　却",AG16-S16,
IF(AND(R16="[2]部分取り壊し",AG16&gt;1),SUM(ROUND(AG16*(V16%),0),S16,AF16),
IF(AND(S16=0,AF16=0),,SUM(S16,AF16)))))))</f>
        <v>0</v>
      </c>
      <c r="AI16" s="676">
        <f t="shared" ref="AI16:AI79" si="5">IF(AND(AH16=0,AF16=0),,
IF(OR(R16="[1]取り壊し",R16="[2]部分取り壊し",R16="[3]売　却"),SUM(AH16)-SUM(AF16),))</f>
        <v>0</v>
      </c>
      <c r="AJ16" s="676">
        <f t="shared" ref="AJ16:AJ79" si="6">IF(OR(Z16=1,M16=0),,
IF(AND(AC16&gt;0,M16&gt;0,AE16&lt;AC16),M16-ROUND(M16*AD16*AE16,0),))</f>
        <v>0</v>
      </c>
      <c r="AK16" s="676">
        <f>IF(OR(Y16=0,Z16=1),IF(AND(Z16=1,AE16=0),M16,),
IF(AND(AC16&gt;0,AE16&lt;AC16,SUM(AJ16)&gt;0,AJ16&lt;=ROUND(M16*AD16,0)),ROUND(AJ16*IF(R16="[2]部分取り壊し",IFERROR(1-(V16%),1),1),),
IF(AND(AC16&gt;0,AE16&lt;AC16,SUM(M16)&gt;0),ROUND(M16*AD16*IF(R16="[2]部分取り壊し",IFERROR(1-(V16%),1),1),0),)))</f>
        <v>0</v>
      </c>
      <c r="AL16" s="676">
        <f t="shared" ref="AL16:AL79" si="7">IF(AND(L16&gt;0,R16="[2]部分取り壊し"),ROUND(L16*(1-V16%),0),)</f>
        <v>0</v>
      </c>
      <c r="AM16" s="676">
        <f t="shared" ref="AM16:AM79" si="8">IF(AND(M16&gt;0,R16="[2]部分取り壊し"),ROUND(M16*(1-V16%),0),)</f>
        <v>0</v>
      </c>
      <c r="AN16" s="677"/>
      <c r="AO16" s="67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6">
        <f t="shared" ref="AP16:AP79" si="9">IF(P16=0,,IF(AH16=0,,ROUND(AH16*P16%,0)))</f>
        <v>0</v>
      </c>
      <c r="AQ16" s="676">
        <f t="shared" ref="AQ16:AQ79" si="10">IF(P16=0,,IF(AI16=0,,ROUND(AI16*P16%,0)))</f>
        <v>0</v>
      </c>
      <c r="AR16" s="676">
        <f t="shared" ref="AR16:AR79" si="11">IF(P16=0,,IF(AG16=0,,ROUND(AG16*P16%,0)))</f>
        <v>0</v>
      </c>
      <c r="AS16" s="25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52">
        <f t="shared" ref="AT16:AT79" si="12">IF(P16=0,,IF(O16=0,,ROUND(O16*P16%,0)))</f>
        <v>0</v>
      </c>
      <c r="AU16" s="676" t="str">
        <f t="shared" ref="AU16:AU79" si="13">IF(OR(AS16&gt;0,AT16&gt;0),SUM(AS16:AT16),"")</f>
        <v/>
      </c>
      <c r="AV16" s="183"/>
      <c r="AW16" s="183"/>
      <c r="AX16" s="183"/>
      <c r="AY16" s="183"/>
      <c r="AZ16" s="183"/>
      <c r="BA16" s="2"/>
    </row>
    <row r="17" spans="3:52" s="46" customFormat="1" ht="30" customHeight="1">
      <c r="C17" s="678">
        <v>2</v>
      </c>
      <c r="D17" s="679"/>
      <c r="E17" s="680"/>
      <c r="F17" s="681"/>
      <c r="G17" s="1942"/>
      <c r="H17" s="1943"/>
      <c r="I17" s="682"/>
      <c r="J17" s="683"/>
      <c r="K17" s="684"/>
      <c r="L17" s="685"/>
      <c r="M17" s="685"/>
      <c r="N17" s="685"/>
      <c r="O17" s="685"/>
      <c r="P17" s="1045"/>
      <c r="Q17" s="686"/>
      <c r="R17" s="687"/>
      <c r="S17" s="685"/>
      <c r="T17" s="672"/>
      <c r="U17" s="2"/>
      <c r="V17" s="1054"/>
      <c r="W17" s="673"/>
      <c r="X17" s="2"/>
      <c r="Y17" s="688">
        <f>IF(AND(E17&gt;0,F17&gt;0),"["&amp;RIGHT(LEFT(E17,3),2)&amp;RIGHT(LEFT(F17,FIND("]",F17)-1),IF(FIND("]",F17)-1&gt;2,2,1))&amp;"]",)</f>
        <v>0</v>
      </c>
      <c r="Z17" s="674">
        <f t="shared" ref="Z17:Z80" si="14">IF(Y17=0,,IF(L17+M17&lt;100000,1,0))</f>
        <v>0</v>
      </c>
      <c r="AA17" s="674">
        <f t="shared" ref="AA17:AA80" si="15">IF(Y17=0,,IF(AND(Z17=0,L17+M17&lt;200000),1,))</f>
        <v>0</v>
      </c>
      <c r="AB17" s="688">
        <f>IF(Y17=0,,VLOOKUP(Y17,リスト!CX:CY,2,0))</f>
        <v>0</v>
      </c>
      <c r="AC17" s="688">
        <f t="shared" si="1"/>
        <v>0</v>
      </c>
      <c r="AD17" s="689">
        <f>IF(AC17=0,,VLOOKUP(AC17,リスト!DK:DL,2,0))</f>
        <v>0</v>
      </c>
      <c r="AE17" s="674">
        <f>IF(Y17=0,,
IF(OR(リスト!$C$21="小麦",リスト!$C$21="二条大麦",リスト!$C$21="六条大麦",リスト!$C$21="はだか麦",リスト!$C$21="なたね"),IF(K17&lt;9,調査年-J17,調査年-J17-1),
IF(リスト!$C$21="さとうきび",IF(K17&gt;=4,調査年-J17,調査年-J17+1),
調査年-J17)))</f>
        <v>0</v>
      </c>
      <c r="AF17" s="252">
        <f t="shared" si="2"/>
        <v>0</v>
      </c>
      <c r="AG17" s="252">
        <f t="shared" si="3"/>
        <v>0</v>
      </c>
      <c r="AH17" s="252">
        <f t="shared" si="4"/>
        <v>0</v>
      </c>
      <c r="AI17" s="252">
        <f t="shared" si="5"/>
        <v>0</v>
      </c>
      <c r="AJ17" s="252">
        <f t="shared" si="6"/>
        <v>0</v>
      </c>
      <c r="AK17" s="252">
        <f t="shared" ref="AK17:AK80" si="16">IF(OR(Y17=0,Z17=1),IF(AND(Z17=1,AE17=0),M17,),
IF(AND(AC17&gt;0,AE17&lt;AC17,SUM(AJ17)&gt;0,AJ17&lt;=ROUND(M17*AD17,0)),ROUND(AJ17*IF(R17="[2]部分取り壊し",IFERROR(1-(V17%),1),1),),
IF(AND(AC17&gt;0,AE17&lt;AC17,SUM(M17)&gt;0),ROUND(M17*AD17*IF(R17="[2]部分取り壊し",IFERROR(1-(V17%),1),1),0),)))</f>
        <v>0</v>
      </c>
      <c r="AL17" s="252">
        <f t="shared" si="7"/>
        <v>0</v>
      </c>
      <c r="AM17" s="252">
        <f t="shared" si="8"/>
        <v>0</v>
      </c>
      <c r="AN17" s="403"/>
      <c r="AO17" s="67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6">
        <f t="shared" si="9"/>
        <v>0</v>
      </c>
      <c r="AQ17" s="252">
        <f t="shared" si="10"/>
        <v>0</v>
      </c>
      <c r="AR17" s="676">
        <f t="shared" si="11"/>
        <v>0</v>
      </c>
      <c r="AS17" s="25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52">
        <f t="shared" si="12"/>
        <v>0</v>
      </c>
      <c r="AU17" s="252" t="str">
        <f t="shared" si="13"/>
        <v/>
      </c>
      <c r="AV17" s="690"/>
      <c r="AW17" s="690"/>
      <c r="AX17" s="690"/>
      <c r="AY17" s="690"/>
      <c r="AZ17" s="690"/>
    </row>
    <row r="18" spans="3:52" s="46" customFormat="1" ht="30" customHeight="1">
      <c r="C18" s="678">
        <v>3</v>
      </c>
      <c r="D18" s="691"/>
      <c r="E18" s="680"/>
      <c r="F18" s="681"/>
      <c r="G18" s="1942"/>
      <c r="H18" s="1943"/>
      <c r="I18" s="682"/>
      <c r="J18" s="683"/>
      <c r="K18" s="684"/>
      <c r="L18" s="685"/>
      <c r="M18" s="685"/>
      <c r="N18" s="685"/>
      <c r="O18" s="685"/>
      <c r="P18" s="1045"/>
      <c r="Q18" s="686"/>
      <c r="R18" s="687"/>
      <c r="S18" s="685"/>
      <c r="T18" s="672"/>
      <c r="U18" s="2"/>
      <c r="V18" s="1054"/>
      <c r="W18" s="673"/>
      <c r="X18" s="2"/>
      <c r="Y18" s="688">
        <f t="shared" ref="Y18:Y81" si="17">IF(AND(E18&gt;0,F18&gt;0),"["&amp;RIGHT(LEFT(E18,3),2)&amp;RIGHT(LEFT(F18,FIND("]",F18)-1),IF(FIND("]",F18)-1&gt;2,2,1))&amp;"]",)</f>
        <v>0</v>
      </c>
      <c r="Z18" s="674">
        <f t="shared" si="14"/>
        <v>0</v>
      </c>
      <c r="AA18" s="674">
        <f t="shared" si="15"/>
        <v>0</v>
      </c>
      <c r="AB18" s="688">
        <f>IF(Y18=0,,VLOOKUP(Y18,リスト!CX:CY,2,0))</f>
        <v>0</v>
      </c>
      <c r="AC18" s="688">
        <f t="shared" si="1"/>
        <v>0</v>
      </c>
      <c r="AD18" s="689">
        <f>IF(AC18=0,,VLOOKUP(AC18,リスト!DK:DL,2,0))</f>
        <v>0</v>
      </c>
      <c r="AE18" s="674">
        <f>IF(Y18=0,,
IF(OR(リスト!$C$21="小麦",リスト!$C$21="二条大麦",リスト!$C$21="六条大麦",リスト!$C$21="はだか麦",リスト!$C$21="なたね"),IF(K18&lt;9,調査年-J18,調査年-J18-1),
IF(リスト!$C$21="さとうきび",IF(K18&gt;=4,調査年-J18,調査年-J18+1),
調査年-J18)))</f>
        <v>0</v>
      </c>
      <c r="AF18" s="252">
        <f t="shared" si="2"/>
        <v>0</v>
      </c>
      <c r="AG18" s="252">
        <f t="shared" si="3"/>
        <v>0</v>
      </c>
      <c r="AH18" s="252">
        <f t="shared" si="4"/>
        <v>0</v>
      </c>
      <c r="AI18" s="252">
        <f t="shared" si="5"/>
        <v>0</v>
      </c>
      <c r="AJ18" s="252">
        <f t="shared" si="6"/>
        <v>0</v>
      </c>
      <c r="AK18" s="252">
        <f t="shared" si="16"/>
        <v>0</v>
      </c>
      <c r="AL18" s="252">
        <f t="shared" si="7"/>
        <v>0</v>
      </c>
      <c r="AM18" s="252">
        <f t="shared" si="8"/>
        <v>0</v>
      </c>
      <c r="AN18" s="403"/>
      <c r="AO18" s="67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6">
        <f t="shared" si="9"/>
        <v>0</v>
      </c>
      <c r="AQ18" s="252">
        <f t="shared" si="10"/>
        <v>0</v>
      </c>
      <c r="AR18" s="676">
        <f t="shared" si="11"/>
        <v>0</v>
      </c>
      <c r="AS18" s="25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52">
        <f t="shared" si="12"/>
        <v>0</v>
      </c>
      <c r="AU18" s="252" t="str">
        <f t="shared" si="13"/>
        <v/>
      </c>
      <c r="AV18" s="690"/>
      <c r="AW18" s="690"/>
      <c r="AX18" s="690"/>
      <c r="AY18" s="690"/>
      <c r="AZ18" s="690"/>
    </row>
    <row r="19" spans="3:52" s="46" customFormat="1" ht="30" customHeight="1">
      <c r="C19" s="678">
        <v>4</v>
      </c>
      <c r="D19" s="691"/>
      <c r="E19" s="680"/>
      <c r="F19" s="681"/>
      <c r="G19" s="1942"/>
      <c r="H19" s="1943"/>
      <c r="I19" s="682"/>
      <c r="J19" s="683"/>
      <c r="K19" s="684"/>
      <c r="L19" s="685"/>
      <c r="M19" s="685"/>
      <c r="N19" s="685"/>
      <c r="O19" s="685"/>
      <c r="P19" s="1045"/>
      <c r="Q19" s="686"/>
      <c r="R19" s="687"/>
      <c r="S19" s="685"/>
      <c r="T19" s="672"/>
      <c r="U19" s="2"/>
      <c r="V19" s="1054"/>
      <c r="W19" s="673"/>
      <c r="X19" s="2"/>
      <c r="Y19" s="688">
        <f t="shared" si="17"/>
        <v>0</v>
      </c>
      <c r="Z19" s="674">
        <f t="shared" si="14"/>
        <v>0</v>
      </c>
      <c r="AA19" s="674">
        <f t="shared" si="15"/>
        <v>0</v>
      </c>
      <c r="AB19" s="688">
        <f>IF(Y19=0,,VLOOKUP(Y19,リスト!CX:CY,2,0))</f>
        <v>0</v>
      </c>
      <c r="AC19" s="688">
        <f t="shared" si="1"/>
        <v>0</v>
      </c>
      <c r="AD19" s="689">
        <f>IF(AC19=0,,VLOOKUP(AC19,リスト!DK:DL,2,0))</f>
        <v>0</v>
      </c>
      <c r="AE19" s="674">
        <f>IF(Y19=0,,
IF(OR(リスト!$C$21="小麦",リスト!$C$21="二条大麦",リスト!$C$21="六条大麦",リスト!$C$21="はだか麦",リスト!$C$21="なたね"),IF(K19&lt;9,調査年-J19,調査年-J19-1),
IF(リスト!$C$21="さとうきび",IF(K19&gt;=4,調査年-J19,調査年-J19+1),
調査年-J19)))</f>
        <v>0</v>
      </c>
      <c r="AF19" s="252">
        <f t="shared" si="2"/>
        <v>0</v>
      </c>
      <c r="AG19" s="252">
        <f t="shared" si="3"/>
        <v>0</v>
      </c>
      <c r="AH19" s="252">
        <f t="shared" si="4"/>
        <v>0</v>
      </c>
      <c r="AI19" s="252">
        <f t="shared" si="5"/>
        <v>0</v>
      </c>
      <c r="AJ19" s="252">
        <f t="shared" si="6"/>
        <v>0</v>
      </c>
      <c r="AK19" s="252">
        <f t="shared" si="16"/>
        <v>0</v>
      </c>
      <c r="AL19" s="252">
        <f t="shared" si="7"/>
        <v>0</v>
      </c>
      <c r="AM19" s="252">
        <f t="shared" si="8"/>
        <v>0</v>
      </c>
      <c r="AN19" s="403"/>
      <c r="AO19" s="67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6">
        <f t="shared" si="9"/>
        <v>0</v>
      </c>
      <c r="AQ19" s="252">
        <f t="shared" si="10"/>
        <v>0</v>
      </c>
      <c r="AR19" s="676">
        <f t="shared" si="11"/>
        <v>0</v>
      </c>
      <c r="AS19" s="25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52">
        <f t="shared" si="12"/>
        <v>0</v>
      </c>
      <c r="AU19" s="252" t="str">
        <f t="shared" si="13"/>
        <v/>
      </c>
      <c r="AV19" s="690"/>
      <c r="AW19" s="690"/>
      <c r="AX19" s="690"/>
      <c r="AY19" s="690"/>
      <c r="AZ19" s="690"/>
    </row>
    <row r="20" spans="3:52" s="46" customFormat="1" ht="30" customHeight="1">
      <c r="C20" s="678">
        <v>5</v>
      </c>
      <c r="D20" s="691"/>
      <c r="E20" s="680"/>
      <c r="F20" s="681"/>
      <c r="G20" s="1942"/>
      <c r="H20" s="1943"/>
      <c r="I20" s="682"/>
      <c r="J20" s="683"/>
      <c r="K20" s="684"/>
      <c r="L20" s="685"/>
      <c r="M20" s="685"/>
      <c r="N20" s="685"/>
      <c r="O20" s="685"/>
      <c r="P20" s="1045"/>
      <c r="Q20" s="686"/>
      <c r="R20" s="687"/>
      <c r="S20" s="685"/>
      <c r="T20" s="672"/>
      <c r="U20" s="2"/>
      <c r="V20" s="1054"/>
      <c r="W20" s="673"/>
      <c r="X20" s="2"/>
      <c r="Y20" s="688">
        <f t="shared" si="17"/>
        <v>0</v>
      </c>
      <c r="Z20" s="674">
        <f t="shared" si="14"/>
        <v>0</v>
      </c>
      <c r="AA20" s="674">
        <f t="shared" si="15"/>
        <v>0</v>
      </c>
      <c r="AB20" s="688">
        <f>IF(Y20=0,,VLOOKUP(Y20,リスト!CX:CY,2,0))</f>
        <v>0</v>
      </c>
      <c r="AC20" s="688">
        <f t="shared" si="1"/>
        <v>0</v>
      </c>
      <c r="AD20" s="689">
        <f>IF(AC20=0,,VLOOKUP(AC20,リスト!DK:DL,2,0))</f>
        <v>0</v>
      </c>
      <c r="AE20" s="674">
        <f>IF(Y20=0,,
IF(OR(リスト!$C$21="小麦",リスト!$C$21="二条大麦",リスト!$C$21="六条大麦",リスト!$C$21="はだか麦",リスト!$C$21="なたね"),IF(K20&lt;9,調査年-J20,調査年-J20-1),
IF(リスト!$C$21="さとうきび",IF(K20&gt;=4,調査年-J20,調査年-J20+1),
調査年-J20)))</f>
        <v>0</v>
      </c>
      <c r="AF20" s="252">
        <f t="shared" si="2"/>
        <v>0</v>
      </c>
      <c r="AG20" s="252">
        <f t="shared" si="3"/>
        <v>0</v>
      </c>
      <c r="AH20" s="252">
        <f t="shared" si="4"/>
        <v>0</v>
      </c>
      <c r="AI20" s="252">
        <f t="shared" si="5"/>
        <v>0</v>
      </c>
      <c r="AJ20" s="252">
        <f t="shared" si="6"/>
        <v>0</v>
      </c>
      <c r="AK20" s="252">
        <f t="shared" si="16"/>
        <v>0</v>
      </c>
      <c r="AL20" s="252">
        <f t="shared" si="7"/>
        <v>0</v>
      </c>
      <c r="AM20" s="252">
        <f t="shared" si="8"/>
        <v>0</v>
      </c>
      <c r="AN20" s="403"/>
      <c r="AO20" s="67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6">
        <f t="shared" si="9"/>
        <v>0</v>
      </c>
      <c r="AQ20" s="252">
        <f t="shared" si="10"/>
        <v>0</v>
      </c>
      <c r="AR20" s="676">
        <f t="shared" si="11"/>
        <v>0</v>
      </c>
      <c r="AS20" s="25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52">
        <f t="shared" si="12"/>
        <v>0</v>
      </c>
      <c r="AU20" s="252" t="str">
        <f t="shared" si="13"/>
        <v/>
      </c>
      <c r="AV20" s="690"/>
      <c r="AW20" s="690"/>
      <c r="AX20" s="690"/>
      <c r="AY20" s="690"/>
      <c r="AZ20" s="690"/>
    </row>
    <row r="21" spans="3:52" s="46" customFormat="1" ht="30" customHeight="1">
      <c r="C21" s="678">
        <v>6</v>
      </c>
      <c r="D21" s="691"/>
      <c r="E21" s="680"/>
      <c r="F21" s="681"/>
      <c r="G21" s="1942"/>
      <c r="H21" s="1943"/>
      <c r="I21" s="682"/>
      <c r="J21" s="683"/>
      <c r="K21" s="684"/>
      <c r="L21" s="685"/>
      <c r="M21" s="685"/>
      <c r="N21" s="685"/>
      <c r="O21" s="685"/>
      <c r="P21" s="1045"/>
      <c r="Q21" s="686"/>
      <c r="R21" s="687"/>
      <c r="S21" s="685"/>
      <c r="T21" s="672"/>
      <c r="U21" s="2"/>
      <c r="V21" s="1054"/>
      <c r="W21" s="673"/>
      <c r="X21" s="2"/>
      <c r="Y21" s="688">
        <f t="shared" si="17"/>
        <v>0</v>
      </c>
      <c r="Z21" s="674">
        <f t="shared" si="14"/>
        <v>0</v>
      </c>
      <c r="AA21" s="674">
        <f t="shared" si="15"/>
        <v>0</v>
      </c>
      <c r="AB21" s="688">
        <f>IF(Y21=0,,VLOOKUP(Y21,リスト!CX:CY,2,0))</f>
        <v>0</v>
      </c>
      <c r="AC21" s="688">
        <f t="shared" si="1"/>
        <v>0</v>
      </c>
      <c r="AD21" s="689">
        <f>IF(AC21=0,,VLOOKUP(AC21,リスト!DK:DL,2,0))</f>
        <v>0</v>
      </c>
      <c r="AE21" s="674">
        <f>IF(Y21=0,,
IF(OR(リスト!$C$21="小麦",リスト!$C$21="二条大麦",リスト!$C$21="六条大麦",リスト!$C$21="はだか麦",リスト!$C$21="なたね"),IF(K21&lt;9,調査年-J21,調査年-J21-1),
IF(リスト!$C$21="さとうきび",IF(K21&gt;=4,調査年-J21,調査年-J21+1),
調査年-J21)))</f>
        <v>0</v>
      </c>
      <c r="AF21" s="252">
        <f t="shared" si="2"/>
        <v>0</v>
      </c>
      <c r="AG21" s="252">
        <f t="shared" si="3"/>
        <v>0</v>
      </c>
      <c r="AH21" s="252">
        <f t="shared" si="4"/>
        <v>0</v>
      </c>
      <c r="AI21" s="252">
        <f t="shared" si="5"/>
        <v>0</v>
      </c>
      <c r="AJ21" s="252">
        <f t="shared" si="6"/>
        <v>0</v>
      </c>
      <c r="AK21" s="252">
        <f t="shared" si="16"/>
        <v>0</v>
      </c>
      <c r="AL21" s="252">
        <f t="shared" si="7"/>
        <v>0</v>
      </c>
      <c r="AM21" s="252">
        <f t="shared" si="8"/>
        <v>0</v>
      </c>
      <c r="AN21" s="403"/>
      <c r="AO21" s="67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6">
        <f t="shared" si="9"/>
        <v>0</v>
      </c>
      <c r="AQ21" s="252">
        <f t="shared" si="10"/>
        <v>0</v>
      </c>
      <c r="AR21" s="676">
        <f t="shared" si="11"/>
        <v>0</v>
      </c>
      <c r="AS21" s="25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52">
        <f t="shared" si="12"/>
        <v>0</v>
      </c>
      <c r="AU21" s="252" t="str">
        <f t="shared" si="13"/>
        <v/>
      </c>
      <c r="AV21" s="690"/>
      <c r="AW21" s="690"/>
      <c r="AX21" s="690"/>
      <c r="AY21" s="690"/>
      <c r="AZ21" s="690"/>
    </row>
    <row r="22" spans="3:52" s="46" customFormat="1" ht="30" customHeight="1">
      <c r="C22" s="678">
        <v>7</v>
      </c>
      <c r="D22" s="691"/>
      <c r="E22" s="680"/>
      <c r="F22" s="681"/>
      <c r="G22" s="1942"/>
      <c r="H22" s="1943"/>
      <c r="I22" s="682"/>
      <c r="J22" s="683"/>
      <c r="K22" s="684"/>
      <c r="L22" s="685"/>
      <c r="M22" s="685"/>
      <c r="N22" s="685"/>
      <c r="O22" s="685"/>
      <c r="P22" s="1045"/>
      <c r="Q22" s="686"/>
      <c r="R22" s="687"/>
      <c r="S22" s="685"/>
      <c r="T22" s="672"/>
      <c r="U22" s="2"/>
      <c r="V22" s="1054"/>
      <c r="W22" s="673"/>
      <c r="X22" s="2"/>
      <c r="Y22" s="688">
        <f t="shared" si="17"/>
        <v>0</v>
      </c>
      <c r="Z22" s="674">
        <f t="shared" si="14"/>
        <v>0</v>
      </c>
      <c r="AA22" s="674">
        <f t="shared" si="15"/>
        <v>0</v>
      </c>
      <c r="AB22" s="688">
        <f>IF(Y22=0,,VLOOKUP(Y22,リスト!CX:CY,2,0))</f>
        <v>0</v>
      </c>
      <c r="AC22" s="688">
        <f t="shared" si="1"/>
        <v>0</v>
      </c>
      <c r="AD22" s="689">
        <f>IF(AC22=0,,VLOOKUP(AC22,リスト!DK:DL,2,0))</f>
        <v>0</v>
      </c>
      <c r="AE22" s="674">
        <f>IF(Y22=0,,
IF(OR(リスト!$C$21="小麦",リスト!$C$21="二条大麦",リスト!$C$21="六条大麦",リスト!$C$21="はだか麦",リスト!$C$21="なたね"),IF(K22&lt;9,調査年-J22,調査年-J22-1),
IF(リスト!$C$21="さとうきび",IF(K22&gt;=4,調査年-J22,調査年-J22+1),
調査年-J22)))</f>
        <v>0</v>
      </c>
      <c r="AF22" s="252">
        <f t="shared" si="2"/>
        <v>0</v>
      </c>
      <c r="AG22" s="252">
        <f t="shared" si="3"/>
        <v>0</v>
      </c>
      <c r="AH22" s="252">
        <f t="shared" si="4"/>
        <v>0</v>
      </c>
      <c r="AI22" s="252">
        <f t="shared" si="5"/>
        <v>0</v>
      </c>
      <c r="AJ22" s="252">
        <f t="shared" si="6"/>
        <v>0</v>
      </c>
      <c r="AK22" s="252">
        <f t="shared" si="16"/>
        <v>0</v>
      </c>
      <c r="AL22" s="252">
        <f t="shared" si="7"/>
        <v>0</v>
      </c>
      <c r="AM22" s="252">
        <f t="shared" si="8"/>
        <v>0</v>
      </c>
      <c r="AN22" s="403"/>
      <c r="AO22" s="67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6">
        <f t="shared" si="9"/>
        <v>0</v>
      </c>
      <c r="AQ22" s="252">
        <f t="shared" si="10"/>
        <v>0</v>
      </c>
      <c r="AR22" s="676">
        <f t="shared" si="11"/>
        <v>0</v>
      </c>
      <c r="AS22" s="25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52">
        <f t="shared" si="12"/>
        <v>0</v>
      </c>
      <c r="AU22" s="252" t="str">
        <f t="shared" si="13"/>
        <v/>
      </c>
      <c r="AV22" s="690"/>
      <c r="AW22" s="690"/>
      <c r="AX22" s="690"/>
      <c r="AY22" s="690"/>
      <c r="AZ22" s="690"/>
    </row>
    <row r="23" spans="3:52" s="46" customFormat="1" ht="30" customHeight="1">
      <c r="C23" s="678">
        <v>8</v>
      </c>
      <c r="D23" s="691"/>
      <c r="E23" s="680"/>
      <c r="F23" s="681"/>
      <c r="G23" s="1942"/>
      <c r="H23" s="1943"/>
      <c r="I23" s="682"/>
      <c r="J23" s="683"/>
      <c r="K23" s="684"/>
      <c r="L23" s="685"/>
      <c r="M23" s="685"/>
      <c r="N23" s="685"/>
      <c r="O23" s="685"/>
      <c r="P23" s="1045"/>
      <c r="Q23" s="686"/>
      <c r="R23" s="687"/>
      <c r="S23" s="685"/>
      <c r="T23" s="672"/>
      <c r="U23" s="2"/>
      <c r="V23" s="1054"/>
      <c r="W23" s="673"/>
      <c r="X23" s="2"/>
      <c r="Y23" s="688">
        <f t="shared" si="17"/>
        <v>0</v>
      </c>
      <c r="Z23" s="674">
        <f t="shared" si="14"/>
        <v>0</v>
      </c>
      <c r="AA23" s="674">
        <f t="shared" si="15"/>
        <v>0</v>
      </c>
      <c r="AB23" s="688">
        <f>IF(Y23=0,,VLOOKUP(Y23,リスト!CX:CY,2,0))</f>
        <v>0</v>
      </c>
      <c r="AC23" s="688">
        <f t="shared" si="1"/>
        <v>0</v>
      </c>
      <c r="AD23" s="689">
        <f>IF(AC23=0,,VLOOKUP(AC23,リスト!DK:DL,2,0))</f>
        <v>0</v>
      </c>
      <c r="AE23" s="674">
        <f>IF(Y23=0,,
IF(OR(リスト!$C$21="小麦",リスト!$C$21="二条大麦",リスト!$C$21="六条大麦",リスト!$C$21="はだか麦",リスト!$C$21="なたね"),IF(K23&lt;9,調査年-J23,調査年-J23-1),
IF(リスト!$C$21="さとうきび",IF(K23&gt;=4,調査年-J23,調査年-J23+1),
調査年-J23)))</f>
        <v>0</v>
      </c>
      <c r="AF23" s="252">
        <f t="shared" si="2"/>
        <v>0</v>
      </c>
      <c r="AG23" s="252">
        <f t="shared" si="3"/>
        <v>0</v>
      </c>
      <c r="AH23" s="252">
        <f t="shared" si="4"/>
        <v>0</v>
      </c>
      <c r="AI23" s="252">
        <f t="shared" si="5"/>
        <v>0</v>
      </c>
      <c r="AJ23" s="252">
        <f t="shared" si="6"/>
        <v>0</v>
      </c>
      <c r="AK23" s="252">
        <f t="shared" si="16"/>
        <v>0</v>
      </c>
      <c r="AL23" s="252">
        <f t="shared" si="7"/>
        <v>0</v>
      </c>
      <c r="AM23" s="252">
        <f t="shared" si="8"/>
        <v>0</v>
      </c>
      <c r="AN23" s="403"/>
      <c r="AO23" s="67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6">
        <f t="shared" si="9"/>
        <v>0</v>
      </c>
      <c r="AQ23" s="252">
        <f t="shared" si="10"/>
        <v>0</v>
      </c>
      <c r="AR23" s="676">
        <f t="shared" si="11"/>
        <v>0</v>
      </c>
      <c r="AS23" s="25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52">
        <f t="shared" si="12"/>
        <v>0</v>
      </c>
      <c r="AU23" s="252" t="str">
        <f t="shared" si="13"/>
        <v/>
      </c>
      <c r="AV23" s="690"/>
      <c r="AW23" s="690"/>
      <c r="AX23" s="690"/>
      <c r="AY23" s="690"/>
      <c r="AZ23" s="690"/>
    </row>
    <row r="24" spans="3:52" s="46" customFormat="1" ht="30" customHeight="1">
      <c r="C24" s="678">
        <v>9</v>
      </c>
      <c r="D24" s="691"/>
      <c r="E24" s="680"/>
      <c r="F24" s="681"/>
      <c r="G24" s="1942"/>
      <c r="H24" s="1943"/>
      <c r="I24" s="682"/>
      <c r="J24" s="683"/>
      <c r="K24" s="684"/>
      <c r="L24" s="685"/>
      <c r="M24" s="685"/>
      <c r="N24" s="685"/>
      <c r="O24" s="685"/>
      <c r="P24" s="1045"/>
      <c r="Q24" s="686"/>
      <c r="R24" s="687"/>
      <c r="S24" s="685"/>
      <c r="T24" s="672"/>
      <c r="U24" s="2"/>
      <c r="V24" s="1054"/>
      <c r="W24" s="673"/>
      <c r="X24" s="2"/>
      <c r="Y24" s="688">
        <f t="shared" si="17"/>
        <v>0</v>
      </c>
      <c r="Z24" s="674">
        <f t="shared" si="14"/>
        <v>0</v>
      </c>
      <c r="AA24" s="674">
        <f t="shared" si="15"/>
        <v>0</v>
      </c>
      <c r="AB24" s="688">
        <f>IF(Y24=0,,VLOOKUP(Y24,リスト!CX:CY,2,0))</f>
        <v>0</v>
      </c>
      <c r="AC24" s="688">
        <f t="shared" si="1"/>
        <v>0</v>
      </c>
      <c r="AD24" s="689">
        <f>IF(AC24=0,,VLOOKUP(AC24,リスト!DK:DL,2,0))</f>
        <v>0</v>
      </c>
      <c r="AE24" s="674">
        <f>IF(Y24=0,,
IF(OR(リスト!$C$21="小麦",リスト!$C$21="二条大麦",リスト!$C$21="六条大麦",リスト!$C$21="はだか麦",リスト!$C$21="なたね"),IF(K24&lt;9,調査年-J24,調査年-J24-1),
IF(リスト!$C$21="さとうきび",IF(K24&gt;=4,調査年-J24,調査年-J24+1),
調査年-J24)))</f>
        <v>0</v>
      </c>
      <c r="AF24" s="252">
        <f t="shared" si="2"/>
        <v>0</v>
      </c>
      <c r="AG24" s="252">
        <f t="shared" si="3"/>
        <v>0</v>
      </c>
      <c r="AH24" s="252">
        <f t="shared" si="4"/>
        <v>0</v>
      </c>
      <c r="AI24" s="252">
        <f t="shared" si="5"/>
        <v>0</v>
      </c>
      <c r="AJ24" s="252">
        <f t="shared" si="6"/>
        <v>0</v>
      </c>
      <c r="AK24" s="252">
        <f t="shared" si="16"/>
        <v>0</v>
      </c>
      <c r="AL24" s="252">
        <f t="shared" si="7"/>
        <v>0</v>
      </c>
      <c r="AM24" s="252">
        <f t="shared" si="8"/>
        <v>0</v>
      </c>
      <c r="AN24" s="403"/>
      <c r="AO24" s="67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6">
        <f t="shared" si="9"/>
        <v>0</v>
      </c>
      <c r="AQ24" s="252">
        <f t="shared" si="10"/>
        <v>0</v>
      </c>
      <c r="AR24" s="676">
        <f t="shared" si="11"/>
        <v>0</v>
      </c>
      <c r="AS24" s="25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52">
        <f t="shared" si="12"/>
        <v>0</v>
      </c>
      <c r="AU24" s="252" t="str">
        <f t="shared" si="13"/>
        <v/>
      </c>
      <c r="AV24" s="690"/>
      <c r="AW24" s="690"/>
      <c r="AX24" s="690"/>
      <c r="AY24" s="690"/>
      <c r="AZ24" s="690"/>
    </row>
    <row r="25" spans="3:52" s="46" customFormat="1" ht="30" customHeight="1">
      <c r="C25" s="678">
        <v>10</v>
      </c>
      <c r="D25" s="691"/>
      <c r="E25" s="680"/>
      <c r="F25" s="681"/>
      <c r="G25" s="1942"/>
      <c r="H25" s="1943"/>
      <c r="I25" s="682"/>
      <c r="J25" s="683"/>
      <c r="K25" s="684"/>
      <c r="L25" s="685"/>
      <c r="M25" s="685"/>
      <c r="N25" s="685"/>
      <c r="O25" s="685"/>
      <c r="P25" s="1045"/>
      <c r="Q25" s="686"/>
      <c r="R25" s="687"/>
      <c r="S25" s="685"/>
      <c r="T25" s="672"/>
      <c r="U25" s="2"/>
      <c r="V25" s="1054"/>
      <c r="W25" s="673"/>
      <c r="X25" s="2"/>
      <c r="Y25" s="688">
        <f t="shared" si="17"/>
        <v>0</v>
      </c>
      <c r="Z25" s="674">
        <f t="shared" si="14"/>
        <v>0</v>
      </c>
      <c r="AA25" s="674">
        <f t="shared" si="15"/>
        <v>0</v>
      </c>
      <c r="AB25" s="688">
        <f>IF(Y25=0,,VLOOKUP(Y25,リスト!CX:CY,2,0))</f>
        <v>0</v>
      </c>
      <c r="AC25" s="688">
        <f t="shared" si="1"/>
        <v>0</v>
      </c>
      <c r="AD25" s="689">
        <f>IF(AC25=0,,VLOOKUP(AC25,リスト!DK:DL,2,0))</f>
        <v>0</v>
      </c>
      <c r="AE25" s="674">
        <f>IF(Y25=0,,
IF(OR(リスト!$C$21="小麦",リスト!$C$21="二条大麦",リスト!$C$21="六条大麦",リスト!$C$21="はだか麦",リスト!$C$21="なたね"),IF(K25&lt;9,調査年-J25,調査年-J25-1),
IF(リスト!$C$21="さとうきび",IF(K25&gt;=4,調査年-J25,調査年-J25+1),
調査年-J25)))</f>
        <v>0</v>
      </c>
      <c r="AF25" s="252">
        <f t="shared" si="2"/>
        <v>0</v>
      </c>
      <c r="AG25" s="252">
        <f t="shared" si="3"/>
        <v>0</v>
      </c>
      <c r="AH25" s="252">
        <f t="shared" si="4"/>
        <v>0</v>
      </c>
      <c r="AI25" s="252">
        <f t="shared" si="5"/>
        <v>0</v>
      </c>
      <c r="AJ25" s="252">
        <f t="shared" si="6"/>
        <v>0</v>
      </c>
      <c r="AK25" s="252">
        <f t="shared" si="16"/>
        <v>0</v>
      </c>
      <c r="AL25" s="252">
        <f t="shared" si="7"/>
        <v>0</v>
      </c>
      <c r="AM25" s="252">
        <f t="shared" si="8"/>
        <v>0</v>
      </c>
      <c r="AN25" s="403"/>
      <c r="AO25" s="67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6">
        <f t="shared" si="9"/>
        <v>0</v>
      </c>
      <c r="AQ25" s="252">
        <f t="shared" si="10"/>
        <v>0</v>
      </c>
      <c r="AR25" s="676">
        <f t="shared" si="11"/>
        <v>0</v>
      </c>
      <c r="AS25" s="25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52">
        <f t="shared" si="12"/>
        <v>0</v>
      </c>
      <c r="AU25" s="252" t="str">
        <f t="shared" si="13"/>
        <v/>
      </c>
      <c r="AV25" s="690"/>
      <c r="AW25" s="690"/>
      <c r="AX25" s="690"/>
      <c r="AY25" s="690"/>
      <c r="AZ25" s="690"/>
    </row>
    <row r="26" spans="3:52" s="46" customFormat="1" ht="30" customHeight="1">
      <c r="C26" s="678">
        <v>11</v>
      </c>
      <c r="D26" s="691"/>
      <c r="E26" s="680"/>
      <c r="F26" s="681"/>
      <c r="G26" s="1942"/>
      <c r="H26" s="1943"/>
      <c r="I26" s="682"/>
      <c r="J26" s="683"/>
      <c r="K26" s="684"/>
      <c r="L26" s="685"/>
      <c r="M26" s="685"/>
      <c r="N26" s="685"/>
      <c r="O26" s="685"/>
      <c r="P26" s="1045"/>
      <c r="Q26" s="686"/>
      <c r="R26" s="687"/>
      <c r="S26" s="685"/>
      <c r="T26" s="672"/>
      <c r="U26" s="2"/>
      <c r="V26" s="1054"/>
      <c r="W26" s="673"/>
      <c r="X26" s="2"/>
      <c r="Y26" s="688">
        <f t="shared" si="17"/>
        <v>0</v>
      </c>
      <c r="Z26" s="674">
        <f t="shared" si="14"/>
        <v>0</v>
      </c>
      <c r="AA26" s="674">
        <f t="shared" si="15"/>
        <v>0</v>
      </c>
      <c r="AB26" s="688">
        <f>IF(Y26=0,,VLOOKUP(Y26,リスト!CX:CY,2,0))</f>
        <v>0</v>
      </c>
      <c r="AC26" s="688">
        <f t="shared" si="1"/>
        <v>0</v>
      </c>
      <c r="AD26" s="689">
        <f>IF(AC26=0,,VLOOKUP(AC26,リスト!DK:DL,2,0))</f>
        <v>0</v>
      </c>
      <c r="AE26" s="674">
        <f>IF(Y26=0,,
IF(OR(リスト!$C$21="小麦",リスト!$C$21="二条大麦",リスト!$C$21="六条大麦",リスト!$C$21="はだか麦",リスト!$C$21="なたね"),IF(K26&lt;9,調査年-J26,調査年-J26-1),
IF(リスト!$C$21="さとうきび",IF(K26&gt;=4,調査年-J26,調査年-J26+1),
調査年-J26)))</f>
        <v>0</v>
      </c>
      <c r="AF26" s="252">
        <f t="shared" si="2"/>
        <v>0</v>
      </c>
      <c r="AG26" s="252">
        <f t="shared" si="3"/>
        <v>0</v>
      </c>
      <c r="AH26" s="252">
        <f t="shared" si="4"/>
        <v>0</v>
      </c>
      <c r="AI26" s="252">
        <f t="shared" si="5"/>
        <v>0</v>
      </c>
      <c r="AJ26" s="252">
        <f t="shared" si="6"/>
        <v>0</v>
      </c>
      <c r="AK26" s="252">
        <f t="shared" si="16"/>
        <v>0</v>
      </c>
      <c r="AL26" s="252">
        <f t="shared" si="7"/>
        <v>0</v>
      </c>
      <c r="AM26" s="252">
        <f t="shared" si="8"/>
        <v>0</v>
      </c>
      <c r="AN26" s="403"/>
      <c r="AO26" s="67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6">
        <f t="shared" si="9"/>
        <v>0</v>
      </c>
      <c r="AQ26" s="252">
        <f t="shared" si="10"/>
        <v>0</v>
      </c>
      <c r="AR26" s="676">
        <f t="shared" si="11"/>
        <v>0</v>
      </c>
      <c r="AS26" s="25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52">
        <f t="shared" si="12"/>
        <v>0</v>
      </c>
      <c r="AU26" s="252" t="str">
        <f t="shared" si="13"/>
        <v/>
      </c>
      <c r="AV26" s="690"/>
      <c r="AW26" s="690"/>
      <c r="AX26" s="690"/>
      <c r="AY26" s="690"/>
      <c r="AZ26" s="690"/>
    </row>
    <row r="27" spans="3:52" s="46" customFormat="1" ht="30" customHeight="1">
      <c r="C27" s="678">
        <v>12</v>
      </c>
      <c r="D27" s="691"/>
      <c r="E27" s="680"/>
      <c r="F27" s="681"/>
      <c r="G27" s="1942"/>
      <c r="H27" s="1943"/>
      <c r="I27" s="682"/>
      <c r="J27" s="683"/>
      <c r="K27" s="684"/>
      <c r="L27" s="685"/>
      <c r="M27" s="685"/>
      <c r="N27" s="685"/>
      <c r="O27" s="685"/>
      <c r="P27" s="1045"/>
      <c r="Q27" s="686"/>
      <c r="R27" s="687"/>
      <c r="S27" s="685"/>
      <c r="T27" s="672"/>
      <c r="U27" s="2"/>
      <c r="V27" s="1054"/>
      <c r="W27" s="673"/>
      <c r="X27" s="2"/>
      <c r="Y27" s="688">
        <f t="shared" si="17"/>
        <v>0</v>
      </c>
      <c r="Z27" s="674">
        <f t="shared" si="14"/>
        <v>0</v>
      </c>
      <c r="AA27" s="674">
        <f t="shared" si="15"/>
        <v>0</v>
      </c>
      <c r="AB27" s="688">
        <f>IF(Y27=0,,VLOOKUP(Y27,リスト!CX:CY,2,0))</f>
        <v>0</v>
      </c>
      <c r="AC27" s="688">
        <f t="shared" si="1"/>
        <v>0</v>
      </c>
      <c r="AD27" s="689">
        <f>IF(AC27=0,,VLOOKUP(AC27,リスト!DK:DL,2,0))</f>
        <v>0</v>
      </c>
      <c r="AE27" s="674">
        <f>IF(Y27=0,,
IF(OR(リスト!$C$21="小麦",リスト!$C$21="二条大麦",リスト!$C$21="六条大麦",リスト!$C$21="はだか麦",リスト!$C$21="なたね"),IF(K27&lt;9,調査年-J27,調査年-J27-1),
IF(リスト!$C$21="さとうきび",IF(K27&gt;=4,調査年-J27,調査年-J27+1),
調査年-J27)))</f>
        <v>0</v>
      </c>
      <c r="AF27" s="252">
        <f t="shared" si="2"/>
        <v>0</v>
      </c>
      <c r="AG27" s="252">
        <f t="shared" si="3"/>
        <v>0</v>
      </c>
      <c r="AH27" s="252">
        <f t="shared" si="4"/>
        <v>0</v>
      </c>
      <c r="AI27" s="252">
        <f t="shared" si="5"/>
        <v>0</v>
      </c>
      <c r="AJ27" s="252">
        <f t="shared" si="6"/>
        <v>0</v>
      </c>
      <c r="AK27" s="252">
        <f t="shared" si="16"/>
        <v>0</v>
      </c>
      <c r="AL27" s="252">
        <f t="shared" si="7"/>
        <v>0</v>
      </c>
      <c r="AM27" s="252">
        <f t="shared" si="8"/>
        <v>0</v>
      </c>
      <c r="AN27" s="403"/>
      <c r="AO27" s="67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6">
        <f t="shared" si="9"/>
        <v>0</v>
      </c>
      <c r="AQ27" s="252">
        <f t="shared" si="10"/>
        <v>0</v>
      </c>
      <c r="AR27" s="676">
        <f t="shared" si="11"/>
        <v>0</v>
      </c>
      <c r="AS27" s="25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52">
        <f t="shared" si="12"/>
        <v>0</v>
      </c>
      <c r="AU27" s="252" t="str">
        <f t="shared" si="13"/>
        <v/>
      </c>
      <c r="AV27" s="690"/>
      <c r="AW27" s="690"/>
      <c r="AX27" s="690"/>
      <c r="AY27" s="690"/>
      <c r="AZ27" s="690"/>
    </row>
    <row r="28" spans="3:52" s="46" customFormat="1" ht="30" customHeight="1">
      <c r="C28" s="678">
        <v>13</v>
      </c>
      <c r="D28" s="691"/>
      <c r="E28" s="680"/>
      <c r="F28" s="681"/>
      <c r="G28" s="1942"/>
      <c r="H28" s="1943"/>
      <c r="I28" s="682"/>
      <c r="J28" s="683"/>
      <c r="K28" s="684"/>
      <c r="L28" s="685"/>
      <c r="M28" s="685"/>
      <c r="N28" s="685"/>
      <c r="O28" s="685"/>
      <c r="P28" s="1045"/>
      <c r="Q28" s="686"/>
      <c r="R28" s="687"/>
      <c r="S28" s="685"/>
      <c r="T28" s="672"/>
      <c r="U28" s="2"/>
      <c r="V28" s="1054"/>
      <c r="W28" s="673"/>
      <c r="X28" s="2"/>
      <c r="Y28" s="688">
        <f t="shared" si="17"/>
        <v>0</v>
      </c>
      <c r="Z28" s="674">
        <f t="shared" si="14"/>
        <v>0</v>
      </c>
      <c r="AA28" s="674">
        <f t="shared" si="15"/>
        <v>0</v>
      </c>
      <c r="AB28" s="688">
        <f>IF(Y28=0,,VLOOKUP(Y28,リスト!CX:CY,2,0))</f>
        <v>0</v>
      </c>
      <c r="AC28" s="688">
        <f t="shared" si="1"/>
        <v>0</v>
      </c>
      <c r="AD28" s="689">
        <f>IF(AC28=0,,VLOOKUP(AC28,リスト!DK:DL,2,0))</f>
        <v>0</v>
      </c>
      <c r="AE28" s="674">
        <f>IF(Y28=0,,
IF(OR(リスト!$C$21="小麦",リスト!$C$21="二条大麦",リスト!$C$21="六条大麦",リスト!$C$21="はだか麦",リスト!$C$21="なたね"),IF(K28&lt;9,調査年-J28,調査年-J28-1),
IF(リスト!$C$21="さとうきび",IF(K28&gt;=4,調査年-J28,調査年-J28+1),
調査年-J28)))</f>
        <v>0</v>
      </c>
      <c r="AF28" s="252">
        <f t="shared" si="2"/>
        <v>0</v>
      </c>
      <c r="AG28" s="252">
        <f t="shared" si="3"/>
        <v>0</v>
      </c>
      <c r="AH28" s="252">
        <f t="shared" si="4"/>
        <v>0</v>
      </c>
      <c r="AI28" s="252">
        <f t="shared" si="5"/>
        <v>0</v>
      </c>
      <c r="AJ28" s="252">
        <f t="shared" si="6"/>
        <v>0</v>
      </c>
      <c r="AK28" s="252">
        <f t="shared" si="16"/>
        <v>0</v>
      </c>
      <c r="AL28" s="252">
        <f t="shared" si="7"/>
        <v>0</v>
      </c>
      <c r="AM28" s="252">
        <f t="shared" si="8"/>
        <v>0</v>
      </c>
      <c r="AN28" s="403"/>
      <c r="AO28" s="67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6">
        <f t="shared" si="9"/>
        <v>0</v>
      </c>
      <c r="AQ28" s="252">
        <f t="shared" si="10"/>
        <v>0</v>
      </c>
      <c r="AR28" s="676">
        <f t="shared" si="11"/>
        <v>0</v>
      </c>
      <c r="AS28" s="25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52">
        <f t="shared" si="12"/>
        <v>0</v>
      </c>
      <c r="AU28" s="252" t="str">
        <f t="shared" si="13"/>
        <v/>
      </c>
      <c r="AV28" s="690"/>
      <c r="AW28" s="690"/>
      <c r="AX28" s="690"/>
      <c r="AY28" s="690"/>
      <c r="AZ28" s="690"/>
    </row>
    <row r="29" spans="3:52" s="46" customFormat="1" ht="30" customHeight="1">
      <c r="C29" s="678">
        <v>14</v>
      </c>
      <c r="D29" s="691"/>
      <c r="E29" s="680"/>
      <c r="F29" s="681"/>
      <c r="G29" s="1942"/>
      <c r="H29" s="1943"/>
      <c r="I29" s="682"/>
      <c r="J29" s="683"/>
      <c r="K29" s="684"/>
      <c r="L29" s="685"/>
      <c r="M29" s="685"/>
      <c r="N29" s="685"/>
      <c r="O29" s="685"/>
      <c r="P29" s="1045"/>
      <c r="Q29" s="686"/>
      <c r="R29" s="687"/>
      <c r="S29" s="685"/>
      <c r="T29" s="672"/>
      <c r="U29" s="2"/>
      <c r="V29" s="1054"/>
      <c r="W29" s="673"/>
      <c r="X29" s="2"/>
      <c r="Y29" s="688">
        <f t="shared" si="17"/>
        <v>0</v>
      </c>
      <c r="Z29" s="674">
        <f t="shared" si="14"/>
        <v>0</v>
      </c>
      <c r="AA29" s="674">
        <f t="shared" si="15"/>
        <v>0</v>
      </c>
      <c r="AB29" s="688">
        <f>IF(Y29=0,,VLOOKUP(Y29,リスト!CX:CY,2,0))</f>
        <v>0</v>
      </c>
      <c r="AC29" s="688">
        <f t="shared" si="1"/>
        <v>0</v>
      </c>
      <c r="AD29" s="689">
        <f>IF(AC29=0,,VLOOKUP(AC29,リスト!DK:DL,2,0))</f>
        <v>0</v>
      </c>
      <c r="AE29" s="674">
        <f>IF(Y29=0,,
IF(OR(リスト!$C$21="小麦",リスト!$C$21="二条大麦",リスト!$C$21="六条大麦",リスト!$C$21="はだか麦",リスト!$C$21="なたね"),IF(K29&lt;9,調査年-J29,調査年-J29-1),
IF(リスト!$C$21="さとうきび",IF(K29&gt;=4,調査年-J29,調査年-J29+1),
調査年-J29)))</f>
        <v>0</v>
      </c>
      <c r="AF29" s="252">
        <f t="shared" si="2"/>
        <v>0</v>
      </c>
      <c r="AG29" s="252">
        <f t="shared" si="3"/>
        <v>0</v>
      </c>
      <c r="AH29" s="252">
        <f t="shared" si="4"/>
        <v>0</v>
      </c>
      <c r="AI29" s="252">
        <f t="shared" si="5"/>
        <v>0</v>
      </c>
      <c r="AJ29" s="252">
        <f t="shared" si="6"/>
        <v>0</v>
      </c>
      <c r="AK29" s="252">
        <f t="shared" si="16"/>
        <v>0</v>
      </c>
      <c r="AL29" s="252">
        <f t="shared" si="7"/>
        <v>0</v>
      </c>
      <c r="AM29" s="252">
        <f t="shared" si="8"/>
        <v>0</v>
      </c>
      <c r="AN29" s="403"/>
      <c r="AO29" s="67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6">
        <f t="shared" si="9"/>
        <v>0</v>
      </c>
      <c r="AQ29" s="252">
        <f t="shared" si="10"/>
        <v>0</v>
      </c>
      <c r="AR29" s="676">
        <f t="shared" si="11"/>
        <v>0</v>
      </c>
      <c r="AS29" s="25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52">
        <f t="shared" si="12"/>
        <v>0</v>
      </c>
      <c r="AU29" s="252" t="str">
        <f t="shared" si="13"/>
        <v/>
      </c>
      <c r="AV29" s="690"/>
      <c r="AW29" s="690"/>
      <c r="AX29" s="690"/>
      <c r="AY29" s="690"/>
      <c r="AZ29" s="690"/>
    </row>
    <row r="30" spans="3:52" s="46" customFormat="1" ht="30" customHeight="1" collapsed="1" thickBot="1">
      <c r="C30" s="692">
        <v>15</v>
      </c>
      <c r="D30" s="691"/>
      <c r="E30" s="680"/>
      <c r="F30" s="681"/>
      <c r="G30" s="1942"/>
      <c r="H30" s="1943"/>
      <c r="I30" s="682"/>
      <c r="J30" s="683"/>
      <c r="K30" s="684"/>
      <c r="L30" s="685"/>
      <c r="M30" s="685"/>
      <c r="N30" s="685"/>
      <c r="O30" s="685"/>
      <c r="P30" s="1045"/>
      <c r="Q30" s="686"/>
      <c r="R30" s="687"/>
      <c r="S30" s="685"/>
      <c r="T30" s="672"/>
      <c r="U30" s="2"/>
      <c r="V30" s="1054"/>
      <c r="W30" s="673"/>
      <c r="X30" s="2"/>
      <c r="Y30" s="688">
        <f t="shared" si="17"/>
        <v>0</v>
      </c>
      <c r="Z30" s="674">
        <f t="shared" si="14"/>
        <v>0</v>
      </c>
      <c r="AA30" s="674">
        <f t="shared" si="15"/>
        <v>0</v>
      </c>
      <c r="AB30" s="688">
        <f>IF(Y30=0,,VLOOKUP(Y30,リスト!CX:CY,2,0))</f>
        <v>0</v>
      </c>
      <c r="AC30" s="688">
        <f t="shared" si="1"/>
        <v>0</v>
      </c>
      <c r="AD30" s="689">
        <f>IF(AC30=0,,VLOOKUP(AC30,リスト!DK:DL,2,0))</f>
        <v>0</v>
      </c>
      <c r="AE30" s="674">
        <f>IF(Y30=0,,
IF(OR(リスト!$C$21="小麦",リスト!$C$21="二条大麦",リスト!$C$21="六条大麦",リスト!$C$21="はだか麦",リスト!$C$21="なたね"),IF(K30&lt;9,調査年-J30,調査年-J30-1),
IF(リスト!$C$21="さとうきび",IF(K30&gt;=4,調査年-J30,調査年-J30+1),
調査年-J30)))</f>
        <v>0</v>
      </c>
      <c r="AF30" s="252">
        <f t="shared" si="2"/>
        <v>0</v>
      </c>
      <c r="AG30" s="252">
        <f t="shared" si="3"/>
        <v>0</v>
      </c>
      <c r="AH30" s="252">
        <f t="shared" si="4"/>
        <v>0</v>
      </c>
      <c r="AI30" s="252">
        <f t="shared" si="5"/>
        <v>0</v>
      </c>
      <c r="AJ30" s="252">
        <f t="shared" si="6"/>
        <v>0</v>
      </c>
      <c r="AK30" s="252">
        <f t="shared" si="16"/>
        <v>0</v>
      </c>
      <c r="AL30" s="252">
        <f t="shared" si="7"/>
        <v>0</v>
      </c>
      <c r="AM30" s="252">
        <f t="shared" si="8"/>
        <v>0</v>
      </c>
      <c r="AN30" s="403"/>
      <c r="AO30" s="67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6">
        <f t="shared" si="9"/>
        <v>0</v>
      </c>
      <c r="AQ30" s="252">
        <f t="shared" si="10"/>
        <v>0</v>
      </c>
      <c r="AR30" s="676">
        <f t="shared" si="11"/>
        <v>0</v>
      </c>
      <c r="AS30" s="25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52">
        <f t="shared" si="12"/>
        <v>0</v>
      </c>
      <c r="AU30" s="252" t="str">
        <f t="shared" si="13"/>
        <v/>
      </c>
      <c r="AV30" s="690"/>
      <c r="AW30" s="690"/>
      <c r="AX30" s="690"/>
      <c r="AY30" s="690"/>
      <c r="AZ30" s="690"/>
    </row>
    <row r="31" spans="3:52" s="46" customFormat="1" ht="30" hidden="1" customHeight="1" outlineLevel="1">
      <c r="C31" s="678">
        <v>16</v>
      </c>
      <c r="D31" s="691"/>
      <c r="E31" s="680"/>
      <c r="F31" s="681"/>
      <c r="G31" s="1942"/>
      <c r="H31" s="1943"/>
      <c r="I31" s="682"/>
      <c r="J31" s="683"/>
      <c r="K31" s="684"/>
      <c r="L31" s="685"/>
      <c r="M31" s="685"/>
      <c r="N31" s="685"/>
      <c r="O31" s="685"/>
      <c r="P31" s="1045"/>
      <c r="Q31" s="686"/>
      <c r="R31" s="687"/>
      <c r="S31" s="685"/>
      <c r="T31" s="672"/>
      <c r="U31" s="2"/>
      <c r="V31" s="1054"/>
      <c r="W31" s="673"/>
      <c r="X31" s="2"/>
      <c r="Y31" s="688">
        <f t="shared" si="17"/>
        <v>0</v>
      </c>
      <c r="Z31" s="674">
        <f t="shared" si="14"/>
        <v>0</v>
      </c>
      <c r="AA31" s="674">
        <f t="shared" si="15"/>
        <v>0</v>
      </c>
      <c r="AB31" s="688">
        <f>IF(Y31=0,,VLOOKUP(Y31,リスト!CX:CY,2,0))</f>
        <v>0</v>
      </c>
      <c r="AC31" s="688">
        <f t="shared" si="1"/>
        <v>0</v>
      </c>
      <c r="AD31" s="689">
        <f>IF(AC31=0,,VLOOKUP(AC31,リスト!DK:DL,2,0))</f>
        <v>0</v>
      </c>
      <c r="AE31" s="674">
        <f>IF(Y31=0,,
IF(OR(リスト!$C$21="小麦",リスト!$C$21="二条大麦",リスト!$C$21="六条大麦",リスト!$C$21="はだか麦",リスト!$C$21="なたね"),IF(K31&lt;9,調査年-J31,調査年-J31-1),
IF(リスト!$C$21="さとうきび",IF(K31&gt;=4,調査年-J31,調査年-J31+1),
調査年-J31)))</f>
        <v>0</v>
      </c>
      <c r="AF31" s="252">
        <f t="shared" si="2"/>
        <v>0</v>
      </c>
      <c r="AG31" s="252">
        <f t="shared" si="3"/>
        <v>0</v>
      </c>
      <c r="AH31" s="252">
        <f t="shared" si="4"/>
        <v>0</v>
      </c>
      <c r="AI31" s="252">
        <f t="shared" si="5"/>
        <v>0</v>
      </c>
      <c r="AJ31" s="252">
        <f t="shared" si="6"/>
        <v>0</v>
      </c>
      <c r="AK31" s="252">
        <f t="shared" si="16"/>
        <v>0</v>
      </c>
      <c r="AL31" s="252">
        <f t="shared" si="7"/>
        <v>0</v>
      </c>
      <c r="AM31" s="252">
        <f t="shared" si="8"/>
        <v>0</v>
      </c>
      <c r="AN31" s="403"/>
      <c r="AO31" s="67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6">
        <f t="shared" si="9"/>
        <v>0</v>
      </c>
      <c r="AQ31" s="252">
        <f t="shared" si="10"/>
        <v>0</v>
      </c>
      <c r="AR31" s="676">
        <f t="shared" si="11"/>
        <v>0</v>
      </c>
      <c r="AS31" s="25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52">
        <f t="shared" si="12"/>
        <v>0</v>
      </c>
      <c r="AU31" s="252" t="str">
        <f t="shared" si="13"/>
        <v/>
      </c>
      <c r="AV31" s="690"/>
      <c r="AW31" s="690"/>
      <c r="AX31" s="690"/>
      <c r="AY31" s="690"/>
      <c r="AZ31" s="690"/>
    </row>
    <row r="32" spans="3:52" s="46" customFormat="1" ht="30" hidden="1" customHeight="1" outlineLevel="1">
      <c r="C32" s="678">
        <v>17</v>
      </c>
      <c r="D32" s="691"/>
      <c r="E32" s="680"/>
      <c r="F32" s="681"/>
      <c r="G32" s="1942"/>
      <c r="H32" s="1943"/>
      <c r="I32" s="682"/>
      <c r="J32" s="683"/>
      <c r="K32" s="684"/>
      <c r="L32" s="685"/>
      <c r="M32" s="685"/>
      <c r="N32" s="685"/>
      <c r="O32" s="685"/>
      <c r="P32" s="1045"/>
      <c r="Q32" s="686"/>
      <c r="R32" s="687"/>
      <c r="S32" s="685"/>
      <c r="T32" s="672"/>
      <c r="U32" s="2"/>
      <c r="V32" s="1054"/>
      <c r="W32" s="673"/>
      <c r="X32" s="2"/>
      <c r="Y32" s="688">
        <f t="shared" si="17"/>
        <v>0</v>
      </c>
      <c r="Z32" s="674">
        <f t="shared" si="14"/>
        <v>0</v>
      </c>
      <c r="AA32" s="674">
        <f t="shared" si="15"/>
        <v>0</v>
      </c>
      <c r="AB32" s="688">
        <f>IF(Y32=0,,VLOOKUP(Y32,リスト!CX:CY,2,0))</f>
        <v>0</v>
      </c>
      <c r="AC32" s="688">
        <f t="shared" si="1"/>
        <v>0</v>
      </c>
      <c r="AD32" s="689">
        <f>IF(AC32=0,,VLOOKUP(AC32,リスト!DK:DL,2,0))</f>
        <v>0</v>
      </c>
      <c r="AE32" s="674">
        <f>IF(Y32=0,,
IF(OR(リスト!$C$21="小麦",リスト!$C$21="二条大麦",リスト!$C$21="六条大麦",リスト!$C$21="はだか麦",リスト!$C$21="なたね"),IF(K32&lt;9,調査年-J32,調査年-J32-1),
IF(リスト!$C$21="さとうきび",IF(K32&gt;=4,調査年-J32,調査年-J32+1),
調査年-J32)))</f>
        <v>0</v>
      </c>
      <c r="AF32" s="252">
        <f t="shared" si="2"/>
        <v>0</v>
      </c>
      <c r="AG32" s="252">
        <f t="shared" si="3"/>
        <v>0</v>
      </c>
      <c r="AH32" s="252">
        <f t="shared" si="4"/>
        <v>0</v>
      </c>
      <c r="AI32" s="252">
        <f t="shared" si="5"/>
        <v>0</v>
      </c>
      <c r="AJ32" s="252">
        <f t="shared" si="6"/>
        <v>0</v>
      </c>
      <c r="AK32" s="252">
        <f t="shared" si="16"/>
        <v>0</v>
      </c>
      <c r="AL32" s="252">
        <f t="shared" si="7"/>
        <v>0</v>
      </c>
      <c r="AM32" s="252">
        <f t="shared" si="8"/>
        <v>0</v>
      </c>
      <c r="AN32" s="403"/>
      <c r="AO32" s="67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6">
        <f t="shared" si="9"/>
        <v>0</v>
      </c>
      <c r="AQ32" s="252">
        <f t="shared" si="10"/>
        <v>0</v>
      </c>
      <c r="AR32" s="676">
        <f t="shared" si="11"/>
        <v>0</v>
      </c>
      <c r="AS32" s="25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52">
        <f t="shared" si="12"/>
        <v>0</v>
      </c>
      <c r="AU32" s="252" t="str">
        <f t="shared" si="13"/>
        <v/>
      </c>
      <c r="AV32" s="690"/>
      <c r="AW32" s="690"/>
      <c r="AX32" s="690"/>
      <c r="AY32" s="690"/>
      <c r="AZ32" s="690"/>
    </row>
    <row r="33" spans="3:52" s="46" customFormat="1" ht="30" hidden="1" customHeight="1" outlineLevel="1">
      <c r="C33" s="678">
        <v>18</v>
      </c>
      <c r="D33" s="691"/>
      <c r="E33" s="680"/>
      <c r="F33" s="681"/>
      <c r="G33" s="1942"/>
      <c r="H33" s="1943"/>
      <c r="I33" s="682"/>
      <c r="J33" s="683"/>
      <c r="K33" s="684"/>
      <c r="L33" s="685"/>
      <c r="M33" s="685"/>
      <c r="N33" s="685"/>
      <c r="O33" s="685"/>
      <c r="P33" s="1045"/>
      <c r="Q33" s="686"/>
      <c r="R33" s="687"/>
      <c r="S33" s="685"/>
      <c r="T33" s="672"/>
      <c r="U33" s="2"/>
      <c r="V33" s="1054"/>
      <c r="W33" s="673"/>
      <c r="X33" s="2"/>
      <c r="Y33" s="688">
        <f t="shared" si="17"/>
        <v>0</v>
      </c>
      <c r="Z33" s="674">
        <f t="shared" si="14"/>
        <v>0</v>
      </c>
      <c r="AA33" s="674">
        <f t="shared" si="15"/>
        <v>0</v>
      </c>
      <c r="AB33" s="688">
        <f>IF(Y33=0,,VLOOKUP(Y33,リスト!CX:CY,2,0))</f>
        <v>0</v>
      </c>
      <c r="AC33" s="688">
        <f t="shared" si="1"/>
        <v>0</v>
      </c>
      <c r="AD33" s="689">
        <f>IF(AC33=0,,VLOOKUP(AC33,リスト!DK:DL,2,0))</f>
        <v>0</v>
      </c>
      <c r="AE33" s="674">
        <f>IF(Y33=0,,
IF(OR(リスト!$C$21="小麦",リスト!$C$21="二条大麦",リスト!$C$21="六条大麦",リスト!$C$21="はだか麦",リスト!$C$21="なたね"),IF(K33&lt;9,調査年-J33,調査年-J33-1),
IF(リスト!$C$21="さとうきび",IF(K33&gt;=4,調査年-J33,調査年-J33+1),
調査年-J33)))</f>
        <v>0</v>
      </c>
      <c r="AF33" s="252">
        <f t="shared" si="2"/>
        <v>0</v>
      </c>
      <c r="AG33" s="252">
        <f t="shared" si="3"/>
        <v>0</v>
      </c>
      <c r="AH33" s="252">
        <f t="shared" si="4"/>
        <v>0</v>
      </c>
      <c r="AI33" s="252">
        <f t="shared" si="5"/>
        <v>0</v>
      </c>
      <c r="AJ33" s="252">
        <f t="shared" si="6"/>
        <v>0</v>
      </c>
      <c r="AK33" s="252">
        <f t="shared" si="16"/>
        <v>0</v>
      </c>
      <c r="AL33" s="252">
        <f t="shared" si="7"/>
        <v>0</v>
      </c>
      <c r="AM33" s="252">
        <f t="shared" si="8"/>
        <v>0</v>
      </c>
      <c r="AN33" s="403"/>
      <c r="AO33" s="67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6">
        <f t="shared" si="9"/>
        <v>0</v>
      </c>
      <c r="AQ33" s="252">
        <f t="shared" si="10"/>
        <v>0</v>
      </c>
      <c r="AR33" s="676">
        <f t="shared" si="11"/>
        <v>0</v>
      </c>
      <c r="AS33" s="25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52">
        <f t="shared" si="12"/>
        <v>0</v>
      </c>
      <c r="AU33" s="252" t="str">
        <f t="shared" si="13"/>
        <v/>
      </c>
      <c r="AV33" s="690"/>
      <c r="AW33" s="690"/>
      <c r="AX33" s="690"/>
      <c r="AY33" s="690"/>
      <c r="AZ33" s="690"/>
    </row>
    <row r="34" spans="3:52" s="46" customFormat="1" ht="30" hidden="1" customHeight="1" outlineLevel="1">
      <c r="C34" s="678">
        <v>19</v>
      </c>
      <c r="D34" s="691"/>
      <c r="E34" s="680"/>
      <c r="F34" s="681"/>
      <c r="G34" s="1942"/>
      <c r="H34" s="1943"/>
      <c r="I34" s="682"/>
      <c r="J34" s="683"/>
      <c r="K34" s="684"/>
      <c r="L34" s="685"/>
      <c r="M34" s="685"/>
      <c r="N34" s="685"/>
      <c r="O34" s="685"/>
      <c r="P34" s="1045"/>
      <c r="Q34" s="686"/>
      <c r="R34" s="687"/>
      <c r="S34" s="685"/>
      <c r="T34" s="672"/>
      <c r="U34" s="2"/>
      <c r="V34" s="1054"/>
      <c r="W34" s="673"/>
      <c r="X34" s="2"/>
      <c r="Y34" s="688">
        <f t="shared" si="17"/>
        <v>0</v>
      </c>
      <c r="Z34" s="674">
        <f t="shared" si="14"/>
        <v>0</v>
      </c>
      <c r="AA34" s="674">
        <f t="shared" si="15"/>
        <v>0</v>
      </c>
      <c r="AB34" s="688">
        <f>IF(Y34=0,,VLOOKUP(Y34,リスト!CX:CY,2,0))</f>
        <v>0</v>
      </c>
      <c r="AC34" s="688">
        <f t="shared" si="1"/>
        <v>0</v>
      </c>
      <c r="AD34" s="689">
        <f>IF(AC34=0,,VLOOKUP(AC34,リスト!DK:DL,2,0))</f>
        <v>0</v>
      </c>
      <c r="AE34" s="674">
        <f>IF(Y34=0,,
IF(OR(リスト!$C$21="小麦",リスト!$C$21="二条大麦",リスト!$C$21="六条大麦",リスト!$C$21="はだか麦",リスト!$C$21="なたね"),IF(K34&lt;9,調査年-J34,調査年-J34-1),
IF(リスト!$C$21="さとうきび",IF(K34&gt;=4,調査年-J34,調査年-J34+1),
調査年-J34)))</f>
        <v>0</v>
      </c>
      <c r="AF34" s="252">
        <f t="shared" si="2"/>
        <v>0</v>
      </c>
      <c r="AG34" s="252">
        <f t="shared" si="3"/>
        <v>0</v>
      </c>
      <c r="AH34" s="252">
        <f t="shared" si="4"/>
        <v>0</v>
      </c>
      <c r="AI34" s="252">
        <f t="shared" si="5"/>
        <v>0</v>
      </c>
      <c r="AJ34" s="252">
        <f t="shared" si="6"/>
        <v>0</v>
      </c>
      <c r="AK34" s="252">
        <f t="shared" si="16"/>
        <v>0</v>
      </c>
      <c r="AL34" s="252">
        <f t="shared" si="7"/>
        <v>0</v>
      </c>
      <c r="AM34" s="252">
        <f t="shared" si="8"/>
        <v>0</v>
      </c>
      <c r="AN34" s="403"/>
      <c r="AO34" s="67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6">
        <f t="shared" si="9"/>
        <v>0</v>
      </c>
      <c r="AQ34" s="252">
        <f t="shared" si="10"/>
        <v>0</v>
      </c>
      <c r="AR34" s="676">
        <f t="shared" si="11"/>
        <v>0</v>
      </c>
      <c r="AS34" s="25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52">
        <f t="shared" si="12"/>
        <v>0</v>
      </c>
      <c r="AU34" s="252" t="str">
        <f t="shared" si="13"/>
        <v/>
      </c>
      <c r="AV34" s="690"/>
      <c r="AW34" s="690"/>
      <c r="AX34" s="690"/>
      <c r="AY34" s="690"/>
      <c r="AZ34" s="690"/>
    </row>
    <row r="35" spans="3:52" s="46" customFormat="1" ht="30" hidden="1" customHeight="1" outlineLevel="1">
      <c r="C35" s="678">
        <v>20</v>
      </c>
      <c r="D35" s="691"/>
      <c r="E35" s="680"/>
      <c r="F35" s="681"/>
      <c r="G35" s="1942"/>
      <c r="H35" s="1943"/>
      <c r="I35" s="682"/>
      <c r="J35" s="683"/>
      <c r="K35" s="684"/>
      <c r="L35" s="685"/>
      <c r="M35" s="685"/>
      <c r="N35" s="685"/>
      <c r="O35" s="685"/>
      <c r="P35" s="1045"/>
      <c r="Q35" s="686"/>
      <c r="R35" s="687"/>
      <c r="S35" s="685"/>
      <c r="T35" s="672"/>
      <c r="U35" s="2"/>
      <c r="V35" s="1054"/>
      <c r="W35" s="673"/>
      <c r="X35" s="2"/>
      <c r="Y35" s="688">
        <f t="shared" si="17"/>
        <v>0</v>
      </c>
      <c r="Z35" s="674">
        <f t="shared" si="14"/>
        <v>0</v>
      </c>
      <c r="AA35" s="674">
        <f t="shared" si="15"/>
        <v>0</v>
      </c>
      <c r="AB35" s="688">
        <f>IF(Y35=0,,VLOOKUP(Y35,リスト!CX:CY,2,0))</f>
        <v>0</v>
      </c>
      <c r="AC35" s="688">
        <f t="shared" si="1"/>
        <v>0</v>
      </c>
      <c r="AD35" s="689">
        <f>IF(AC35=0,,VLOOKUP(AC35,リスト!DK:DL,2,0))</f>
        <v>0</v>
      </c>
      <c r="AE35" s="674">
        <f>IF(Y35=0,,
IF(OR(リスト!$C$21="小麦",リスト!$C$21="二条大麦",リスト!$C$21="六条大麦",リスト!$C$21="はだか麦",リスト!$C$21="なたね"),IF(K35&lt;9,調査年-J35,調査年-J35-1),
IF(リスト!$C$21="さとうきび",IF(K35&gt;=4,調査年-J35,調査年-J35+1),
調査年-J35)))</f>
        <v>0</v>
      </c>
      <c r="AF35" s="252">
        <f t="shared" si="2"/>
        <v>0</v>
      </c>
      <c r="AG35" s="252">
        <f t="shared" si="3"/>
        <v>0</v>
      </c>
      <c r="AH35" s="252">
        <f t="shared" si="4"/>
        <v>0</v>
      </c>
      <c r="AI35" s="252">
        <f t="shared" si="5"/>
        <v>0</v>
      </c>
      <c r="AJ35" s="252">
        <f t="shared" si="6"/>
        <v>0</v>
      </c>
      <c r="AK35" s="252">
        <f t="shared" si="16"/>
        <v>0</v>
      </c>
      <c r="AL35" s="252">
        <f t="shared" si="7"/>
        <v>0</v>
      </c>
      <c r="AM35" s="252">
        <f t="shared" si="8"/>
        <v>0</v>
      </c>
      <c r="AN35" s="403"/>
      <c r="AO35" s="67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6">
        <f t="shared" si="9"/>
        <v>0</v>
      </c>
      <c r="AQ35" s="252">
        <f t="shared" si="10"/>
        <v>0</v>
      </c>
      <c r="AR35" s="676">
        <f t="shared" si="11"/>
        <v>0</v>
      </c>
      <c r="AS35" s="25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52">
        <f t="shared" si="12"/>
        <v>0</v>
      </c>
      <c r="AU35" s="252" t="str">
        <f t="shared" si="13"/>
        <v/>
      </c>
      <c r="AV35" s="690"/>
      <c r="AW35" s="690"/>
      <c r="AX35" s="690"/>
      <c r="AY35" s="690"/>
      <c r="AZ35" s="690"/>
    </row>
    <row r="36" spans="3:52" s="46" customFormat="1" ht="30" hidden="1" customHeight="1" outlineLevel="1">
      <c r="C36" s="678">
        <v>21</v>
      </c>
      <c r="D36" s="691"/>
      <c r="E36" s="680"/>
      <c r="F36" s="681"/>
      <c r="G36" s="1942"/>
      <c r="H36" s="1943"/>
      <c r="I36" s="682"/>
      <c r="J36" s="683"/>
      <c r="K36" s="684"/>
      <c r="L36" s="685"/>
      <c r="M36" s="685"/>
      <c r="N36" s="685"/>
      <c r="O36" s="685"/>
      <c r="P36" s="1045"/>
      <c r="Q36" s="686"/>
      <c r="R36" s="687"/>
      <c r="S36" s="685"/>
      <c r="T36" s="672"/>
      <c r="U36" s="2"/>
      <c r="V36" s="1054"/>
      <c r="W36" s="673"/>
      <c r="X36" s="2"/>
      <c r="Y36" s="688">
        <f t="shared" si="17"/>
        <v>0</v>
      </c>
      <c r="Z36" s="674">
        <f t="shared" si="14"/>
        <v>0</v>
      </c>
      <c r="AA36" s="674">
        <f t="shared" si="15"/>
        <v>0</v>
      </c>
      <c r="AB36" s="688">
        <f>IF(Y36=0,,VLOOKUP(Y36,リスト!CX:CY,2,0))</f>
        <v>0</v>
      </c>
      <c r="AC36" s="688">
        <f t="shared" si="1"/>
        <v>0</v>
      </c>
      <c r="AD36" s="689">
        <f>IF(AC36=0,,VLOOKUP(AC36,リスト!DK:DL,2,0))</f>
        <v>0</v>
      </c>
      <c r="AE36" s="674">
        <f>IF(Y36=0,,
IF(OR(リスト!$C$21="小麦",リスト!$C$21="二条大麦",リスト!$C$21="六条大麦",リスト!$C$21="はだか麦",リスト!$C$21="なたね"),IF(K36&lt;9,調査年-J36,調査年-J36-1),
IF(リスト!$C$21="さとうきび",IF(K36&gt;=4,調査年-J36,調査年-J36+1),
調査年-J36)))</f>
        <v>0</v>
      </c>
      <c r="AF36" s="252">
        <f t="shared" si="2"/>
        <v>0</v>
      </c>
      <c r="AG36" s="252">
        <f t="shared" si="3"/>
        <v>0</v>
      </c>
      <c r="AH36" s="252">
        <f t="shared" si="4"/>
        <v>0</v>
      </c>
      <c r="AI36" s="252">
        <f t="shared" si="5"/>
        <v>0</v>
      </c>
      <c r="AJ36" s="252">
        <f t="shared" si="6"/>
        <v>0</v>
      </c>
      <c r="AK36" s="252">
        <f t="shared" si="16"/>
        <v>0</v>
      </c>
      <c r="AL36" s="252">
        <f t="shared" si="7"/>
        <v>0</v>
      </c>
      <c r="AM36" s="252">
        <f t="shared" si="8"/>
        <v>0</v>
      </c>
      <c r="AN36" s="403"/>
      <c r="AO36" s="67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6">
        <f t="shared" si="9"/>
        <v>0</v>
      </c>
      <c r="AQ36" s="252">
        <f t="shared" si="10"/>
        <v>0</v>
      </c>
      <c r="AR36" s="676">
        <f t="shared" si="11"/>
        <v>0</v>
      </c>
      <c r="AS36" s="25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52">
        <f t="shared" si="12"/>
        <v>0</v>
      </c>
      <c r="AU36" s="252" t="str">
        <f t="shared" si="13"/>
        <v/>
      </c>
      <c r="AV36" s="690"/>
      <c r="AW36" s="690"/>
      <c r="AX36" s="690"/>
      <c r="AY36" s="690"/>
      <c r="AZ36" s="690"/>
    </row>
    <row r="37" spans="3:52" s="46" customFormat="1" ht="30" hidden="1" customHeight="1" outlineLevel="1">
      <c r="C37" s="678">
        <v>22</v>
      </c>
      <c r="D37" s="691"/>
      <c r="E37" s="680"/>
      <c r="F37" s="681"/>
      <c r="G37" s="1942"/>
      <c r="H37" s="1943"/>
      <c r="I37" s="682"/>
      <c r="J37" s="683"/>
      <c r="K37" s="684"/>
      <c r="L37" s="685"/>
      <c r="M37" s="685"/>
      <c r="N37" s="685"/>
      <c r="O37" s="685"/>
      <c r="P37" s="1045"/>
      <c r="Q37" s="686"/>
      <c r="R37" s="687"/>
      <c r="S37" s="685"/>
      <c r="T37" s="672"/>
      <c r="U37" s="2"/>
      <c r="V37" s="1054"/>
      <c r="W37" s="673"/>
      <c r="X37" s="2"/>
      <c r="Y37" s="688">
        <f t="shared" si="17"/>
        <v>0</v>
      </c>
      <c r="Z37" s="674">
        <f t="shared" si="14"/>
        <v>0</v>
      </c>
      <c r="AA37" s="674">
        <f t="shared" si="15"/>
        <v>0</v>
      </c>
      <c r="AB37" s="688">
        <f>IF(Y37=0,,VLOOKUP(Y37,リスト!CX:CY,2,0))</f>
        <v>0</v>
      </c>
      <c r="AC37" s="688">
        <f t="shared" si="1"/>
        <v>0</v>
      </c>
      <c r="AD37" s="689">
        <f>IF(AC37=0,,VLOOKUP(AC37,リスト!DK:DL,2,0))</f>
        <v>0</v>
      </c>
      <c r="AE37" s="674">
        <f>IF(Y37=0,,
IF(OR(リスト!$C$21="小麦",リスト!$C$21="二条大麦",リスト!$C$21="六条大麦",リスト!$C$21="はだか麦",リスト!$C$21="なたね"),IF(K37&lt;9,調査年-J37,調査年-J37-1),
IF(リスト!$C$21="さとうきび",IF(K37&gt;=4,調査年-J37,調査年-J37+1),
調査年-J37)))</f>
        <v>0</v>
      </c>
      <c r="AF37" s="252">
        <f t="shared" si="2"/>
        <v>0</v>
      </c>
      <c r="AG37" s="252">
        <f t="shared" si="3"/>
        <v>0</v>
      </c>
      <c r="AH37" s="252">
        <f t="shared" si="4"/>
        <v>0</v>
      </c>
      <c r="AI37" s="252">
        <f t="shared" si="5"/>
        <v>0</v>
      </c>
      <c r="AJ37" s="252">
        <f t="shared" si="6"/>
        <v>0</v>
      </c>
      <c r="AK37" s="252">
        <f t="shared" si="16"/>
        <v>0</v>
      </c>
      <c r="AL37" s="252">
        <f t="shared" si="7"/>
        <v>0</v>
      </c>
      <c r="AM37" s="252">
        <f t="shared" si="8"/>
        <v>0</v>
      </c>
      <c r="AN37" s="403"/>
      <c r="AO37" s="67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6">
        <f t="shared" si="9"/>
        <v>0</v>
      </c>
      <c r="AQ37" s="252">
        <f t="shared" si="10"/>
        <v>0</v>
      </c>
      <c r="AR37" s="676">
        <f t="shared" si="11"/>
        <v>0</v>
      </c>
      <c r="AS37" s="25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52">
        <f t="shared" si="12"/>
        <v>0</v>
      </c>
      <c r="AU37" s="252" t="str">
        <f t="shared" si="13"/>
        <v/>
      </c>
      <c r="AV37" s="690"/>
      <c r="AW37" s="690"/>
      <c r="AX37" s="690"/>
      <c r="AY37" s="690"/>
      <c r="AZ37" s="690"/>
    </row>
    <row r="38" spans="3:52" s="46" customFormat="1" ht="30" hidden="1" customHeight="1" outlineLevel="1">
      <c r="C38" s="678">
        <v>23</v>
      </c>
      <c r="D38" s="691"/>
      <c r="E38" s="680"/>
      <c r="F38" s="681"/>
      <c r="G38" s="1942"/>
      <c r="H38" s="1943"/>
      <c r="I38" s="682"/>
      <c r="J38" s="683"/>
      <c r="K38" s="684"/>
      <c r="L38" s="685"/>
      <c r="M38" s="685"/>
      <c r="N38" s="685"/>
      <c r="O38" s="685"/>
      <c r="P38" s="1045"/>
      <c r="Q38" s="686"/>
      <c r="R38" s="687"/>
      <c r="S38" s="685"/>
      <c r="T38" s="672"/>
      <c r="U38" s="2"/>
      <c r="V38" s="1054"/>
      <c r="W38" s="673"/>
      <c r="X38" s="2"/>
      <c r="Y38" s="688">
        <f t="shared" si="17"/>
        <v>0</v>
      </c>
      <c r="Z38" s="674">
        <f t="shared" si="14"/>
        <v>0</v>
      </c>
      <c r="AA38" s="674">
        <f t="shared" si="15"/>
        <v>0</v>
      </c>
      <c r="AB38" s="688">
        <f>IF(Y38=0,,VLOOKUP(Y38,リスト!CX:CY,2,0))</f>
        <v>0</v>
      </c>
      <c r="AC38" s="688">
        <f t="shared" si="1"/>
        <v>0</v>
      </c>
      <c r="AD38" s="689">
        <f>IF(AC38=0,,VLOOKUP(AC38,リスト!DK:DL,2,0))</f>
        <v>0</v>
      </c>
      <c r="AE38" s="674">
        <f>IF(Y38=0,,
IF(OR(リスト!$C$21="小麦",リスト!$C$21="二条大麦",リスト!$C$21="六条大麦",リスト!$C$21="はだか麦",リスト!$C$21="なたね"),IF(K38&lt;9,調査年-J38,調査年-J38-1),
IF(リスト!$C$21="さとうきび",IF(K38&gt;=4,調査年-J38,調査年-J38+1),
調査年-J38)))</f>
        <v>0</v>
      </c>
      <c r="AF38" s="252">
        <f t="shared" si="2"/>
        <v>0</v>
      </c>
      <c r="AG38" s="252">
        <f t="shared" si="3"/>
        <v>0</v>
      </c>
      <c r="AH38" s="252">
        <f t="shared" si="4"/>
        <v>0</v>
      </c>
      <c r="AI38" s="252">
        <f t="shared" si="5"/>
        <v>0</v>
      </c>
      <c r="AJ38" s="252">
        <f t="shared" si="6"/>
        <v>0</v>
      </c>
      <c r="AK38" s="252">
        <f t="shared" si="16"/>
        <v>0</v>
      </c>
      <c r="AL38" s="252">
        <f t="shared" si="7"/>
        <v>0</v>
      </c>
      <c r="AM38" s="252">
        <f t="shared" si="8"/>
        <v>0</v>
      </c>
      <c r="AN38" s="403"/>
      <c r="AO38" s="67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6">
        <f t="shared" si="9"/>
        <v>0</v>
      </c>
      <c r="AQ38" s="252">
        <f t="shared" si="10"/>
        <v>0</v>
      </c>
      <c r="AR38" s="676">
        <f t="shared" si="11"/>
        <v>0</v>
      </c>
      <c r="AS38" s="25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52">
        <f t="shared" si="12"/>
        <v>0</v>
      </c>
      <c r="AU38" s="252" t="str">
        <f t="shared" si="13"/>
        <v/>
      </c>
      <c r="AV38" s="690"/>
      <c r="AW38" s="690"/>
      <c r="AX38" s="690"/>
      <c r="AY38" s="690"/>
      <c r="AZ38" s="690"/>
    </row>
    <row r="39" spans="3:52" s="46" customFormat="1" ht="30" hidden="1" customHeight="1" outlineLevel="1">
      <c r="C39" s="678">
        <v>24</v>
      </c>
      <c r="D39" s="691"/>
      <c r="E39" s="680"/>
      <c r="F39" s="681"/>
      <c r="G39" s="1942"/>
      <c r="H39" s="1943"/>
      <c r="I39" s="682"/>
      <c r="J39" s="683"/>
      <c r="K39" s="684"/>
      <c r="L39" s="685"/>
      <c r="M39" s="685"/>
      <c r="N39" s="685"/>
      <c r="O39" s="685"/>
      <c r="P39" s="1045"/>
      <c r="Q39" s="686"/>
      <c r="R39" s="687"/>
      <c r="S39" s="685"/>
      <c r="T39" s="672"/>
      <c r="U39" s="2"/>
      <c r="V39" s="1054"/>
      <c r="W39" s="673"/>
      <c r="X39" s="2"/>
      <c r="Y39" s="688">
        <f t="shared" si="17"/>
        <v>0</v>
      </c>
      <c r="Z39" s="674">
        <f t="shared" si="14"/>
        <v>0</v>
      </c>
      <c r="AA39" s="674">
        <f t="shared" si="15"/>
        <v>0</v>
      </c>
      <c r="AB39" s="688">
        <f>IF(Y39=0,,VLOOKUP(Y39,リスト!CX:CY,2,0))</f>
        <v>0</v>
      </c>
      <c r="AC39" s="688">
        <f t="shared" si="1"/>
        <v>0</v>
      </c>
      <c r="AD39" s="689">
        <f>IF(AC39=0,,VLOOKUP(AC39,リスト!DK:DL,2,0))</f>
        <v>0</v>
      </c>
      <c r="AE39" s="674">
        <f>IF(Y39=0,,
IF(OR(リスト!$C$21="小麦",リスト!$C$21="二条大麦",リスト!$C$21="六条大麦",リスト!$C$21="はだか麦",リスト!$C$21="なたね"),IF(K39&lt;9,調査年-J39,調査年-J39-1),
IF(リスト!$C$21="さとうきび",IF(K39&gt;=4,調査年-J39,調査年-J39+1),
調査年-J39)))</f>
        <v>0</v>
      </c>
      <c r="AF39" s="252">
        <f t="shared" si="2"/>
        <v>0</v>
      </c>
      <c r="AG39" s="252">
        <f t="shared" si="3"/>
        <v>0</v>
      </c>
      <c r="AH39" s="252">
        <f t="shared" si="4"/>
        <v>0</v>
      </c>
      <c r="AI39" s="252">
        <f t="shared" si="5"/>
        <v>0</v>
      </c>
      <c r="AJ39" s="252">
        <f t="shared" si="6"/>
        <v>0</v>
      </c>
      <c r="AK39" s="252">
        <f t="shared" si="16"/>
        <v>0</v>
      </c>
      <c r="AL39" s="252">
        <f t="shared" si="7"/>
        <v>0</v>
      </c>
      <c r="AM39" s="252">
        <f t="shared" si="8"/>
        <v>0</v>
      </c>
      <c r="AN39" s="403"/>
      <c r="AO39" s="67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6">
        <f t="shared" si="9"/>
        <v>0</v>
      </c>
      <c r="AQ39" s="252">
        <f t="shared" si="10"/>
        <v>0</v>
      </c>
      <c r="AR39" s="676">
        <f t="shared" si="11"/>
        <v>0</v>
      </c>
      <c r="AS39" s="25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52">
        <f t="shared" si="12"/>
        <v>0</v>
      </c>
      <c r="AU39" s="252" t="str">
        <f t="shared" si="13"/>
        <v/>
      </c>
      <c r="AV39" s="690"/>
      <c r="AW39" s="690"/>
      <c r="AX39" s="690"/>
      <c r="AY39" s="690"/>
      <c r="AZ39" s="690"/>
    </row>
    <row r="40" spans="3:52" s="46" customFormat="1" ht="30" hidden="1" customHeight="1" outlineLevel="1">
      <c r="C40" s="678">
        <v>25</v>
      </c>
      <c r="D40" s="691"/>
      <c r="E40" s="680"/>
      <c r="F40" s="681"/>
      <c r="G40" s="1942"/>
      <c r="H40" s="1943"/>
      <c r="I40" s="682"/>
      <c r="J40" s="683"/>
      <c r="K40" s="684"/>
      <c r="L40" s="685"/>
      <c r="M40" s="685"/>
      <c r="N40" s="685"/>
      <c r="O40" s="685"/>
      <c r="P40" s="1045"/>
      <c r="Q40" s="686"/>
      <c r="R40" s="687"/>
      <c r="S40" s="685"/>
      <c r="T40" s="672"/>
      <c r="U40" s="2"/>
      <c r="V40" s="1054"/>
      <c r="W40" s="673"/>
      <c r="X40" s="2"/>
      <c r="Y40" s="688">
        <f t="shared" si="17"/>
        <v>0</v>
      </c>
      <c r="Z40" s="674">
        <f t="shared" si="14"/>
        <v>0</v>
      </c>
      <c r="AA40" s="674">
        <f t="shared" si="15"/>
        <v>0</v>
      </c>
      <c r="AB40" s="688">
        <f>IF(Y40=0,,VLOOKUP(Y40,リスト!CX:CY,2,0))</f>
        <v>0</v>
      </c>
      <c r="AC40" s="688">
        <f t="shared" si="1"/>
        <v>0</v>
      </c>
      <c r="AD40" s="689">
        <f>IF(AC40=0,,VLOOKUP(AC40,リスト!DK:DL,2,0))</f>
        <v>0</v>
      </c>
      <c r="AE40" s="674">
        <f>IF(Y40=0,,
IF(OR(リスト!$C$21="小麦",リスト!$C$21="二条大麦",リスト!$C$21="六条大麦",リスト!$C$21="はだか麦",リスト!$C$21="なたね"),IF(K40&lt;9,調査年-J40,調査年-J40-1),
IF(リスト!$C$21="さとうきび",IF(K40&gt;=4,調査年-J40,調査年-J40+1),
調査年-J40)))</f>
        <v>0</v>
      </c>
      <c r="AF40" s="252">
        <f t="shared" si="2"/>
        <v>0</v>
      </c>
      <c r="AG40" s="252">
        <f t="shared" si="3"/>
        <v>0</v>
      </c>
      <c r="AH40" s="252">
        <f t="shared" si="4"/>
        <v>0</v>
      </c>
      <c r="AI40" s="252">
        <f t="shared" si="5"/>
        <v>0</v>
      </c>
      <c r="AJ40" s="252">
        <f t="shared" si="6"/>
        <v>0</v>
      </c>
      <c r="AK40" s="252">
        <f t="shared" si="16"/>
        <v>0</v>
      </c>
      <c r="AL40" s="252">
        <f t="shared" si="7"/>
        <v>0</v>
      </c>
      <c r="AM40" s="252">
        <f t="shared" si="8"/>
        <v>0</v>
      </c>
      <c r="AN40" s="403"/>
      <c r="AO40" s="67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6">
        <f t="shared" si="9"/>
        <v>0</v>
      </c>
      <c r="AQ40" s="252">
        <f t="shared" si="10"/>
        <v>0</v>
      </c>
      <c r="AR40" s="676">
        <f t="shared" si="11"/>
        <v>0</v>
      </c>
      <c r="AS40" s="25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52">
        <f t="shared" si="12"/>
        <v>0</v>
      </c>
      <c r="AU40" s="252" t="str">
        <f t="shared" si="13"/>
        <v/>
      </c>
      <c r="AV40" s="690"/>
      <c r="AW40" s="690"/>
      <c r="AX40" s="690"/>
      <c r="AY40" s="690"/>
      <c r="AZ40" s="690"/>
    </row>
    <row r="41" spans="3:52" s="46" customFormat="1" ht="30" hidden="1" customHeight="1" outlineLevel="1">
      <c r="C41" s="678">
        <v>26</v>
      </c>
      <c r="D41" s="691"/>
      <c r="E41" s="680"/>
      <c r="F41" s="681"/>
      <c r="G41" s="1942"/>
      <c r="H41" s="1943"/>
      <c r="I41" s="682"/>
      <c r="J41" s="683"/>
      <c r="K41" s="684"/>
      <c r="L41" s="685"/>
      <c r="M41" s="685"/>
      <c r="N41" s="685"/>
      <c r="O41" s="685"/>
      <c r="P41" s="1045"/>
      <c r="Q41" s="686"/>
      <c r="R41" s="687"/>
      <c r="S41" s="685"/>
      <c r="T41" s="672"/>
      <c r="U41" s="2"/>
      <c r="V41" s="1054"/>
      <c r="W41" s="673"/>
      <c r="X41" s="2"/>
      <c r="Y41" s="688">
        <f t="shared" si="17"/>
        <v>0</v>
      </c>
      <c r="Z41" s="674">
        <f t="shared" si="14"/>
        <v>0</v>
      </c>
      <c r="AA41" s="674">
        <f t="shared" si="15"/>
        <v>0</v>
      </c>
      <c r="AB41" s="688">
        <f>IF(Y41=0,,VLOOKUP(Y41,リスト!CX:CY,2,0))</f>
        <v>0</v>
      </c>
      <c r="AC41" s="688">
        <f t="shared" si="1"/>
        <v>0</v>
      </c>
      <c r="AD41" s="689">
        <f>IF(AC41=0,,VLOOKUP(AC41,リスト!DK:DL,2,0))</f>
        <v>0</v>
      </c>
      <c r="AE41" s="674">
        <f>IF(Y41=0,,
IF(OR(リスト!$C$21="小麦",リスト!$C$21="二条大麦",リスト!$C$21="六条大麦",リスト!$C$21="はだか麦",リスト!$C$21="なたね"),IF(K41&lt;9,調査年-J41,調査年-J41-1),
IF(リスト!$C$21="さとうきび",IF(K41&gt;=4,調査年-J41,調査年-J41+1),
調査年-J41)))</f>
        <v>0</v>
      </c>
      <c r="AF41" s="252">
        <f t="shared" si="2"/>
        <v>0</v>
      </c>
      <c r="AG41" s="252">
        <f t="shared" si="3"/>
        <v>0</v>
      </c>
      <c r="AH41" s="252">
        <f t="shared" si="4"/>
        <v>0</v>
      </c>
      <c r="AI41" s="252">
        <f t="shared" si="5"/>
        <v>0</v>
      </c>
      <c r="AJ41" s="252">
        <f t="shared" si="6"/>
        <v>0</v>
      </c>
      <c r="AK41" s="252">
        <f t="shared" si="16"/>
        <v>0</v>
      </c>
      <c r="AL41" s="252">
        <f t="shared" si="7"/>
        <v>0</v>
      </c>
      <c r="AM41" s="252">
        <f t="shared" si="8"/>
        <v>0</v>
      </c>
      <c r="AN41" s="403"/>
      <c r="AO41" s="67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6">
        <f t="shared" si="9"/>
        <v>0</v>
      </c>
      <c r="AQ41" s="252">
        <f t="shared" si="10"/>
        <v>0</v>
      </c>
      <c r="AR41" s="676">
        <f t="shared" si="11"/>
        <v>0</v>
      </c>
      <c r="AS41" s="25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52">
        <f t="shared" si="12"/>
        <v>0</v>
      </c>
      <c r="AU41" s="252" t="str">
        <f t="shared" si="13"/>
        <v/>
      </c>
      <c r="AV41" s="690"/>
      <c r="AW41" s="690"/>
      <c r="AX41" s="690"/>
      <c r="AY41" s="690"/>
      <c r="AZ41" s="690"/>
    </row>
    <row r="42" spans="3:52" s="46" customFormat="1" ht="30" hidden="1" customHeight="1" outlineLevel="1">
      <c r="C42" s="678">
        <v>27</v>
      </c>
      <c r="D42" s="691"/>
      <c r="E42" s="680"/>
      <c r="F42" s="681"/>
      <c r="G42" s="1942"/>
      <c r="H42" s="1943"/>
      <c r="I42" s="682"/>
      <c r="J42" s="683"/>
      <c r="K42" s="684"/>
      <c r="L42" s="685"/>
      <c r="M42" s="685"/>
      <c r="N42" s="685"/>
      <c r="O42" s="685"/>
      <c r="P42" s="1045"/>
      <c r="Q42" s="686"/>
      <c r="R42" s="687"/>
      <c r="S42" s="685"/>
      <c r="T42" s="672"/>
      <c r="U42" s="2"/>
      <c r="V42" s="1054"/>
      <c r="W42" s="673"/>
      <c r="X42" s="2"/>
      <c r="Y42" s="688">
        <f t="shared" si="17"/>
        <v>0</v>
      </c>
      <c r="Z42" s="674">
        <f t="shared" si="14"/>
        <v>0</v>
      </c>
      <c r="AA42" s="674">
        <f t="shared" si="15"/>
        <v>0</v>
      </c>
      <c r="AB42" s="688">
        <f>IF(Y42=0,,VLOOKUP(Y42,リスト!CX:CY,2,0))</f>
        <v>0</v>
      </c>
      <c r="AC42" s="688">
        <f t="shared" si="1"/>
        <v>0</v>
      </c>
      <c r="AD42" s="689">
        <f>IF(AC42=0,,VLOOKUP(AC42,リスト!DK:DL,2,0))</f>
        <v>0</v>
      </c>
      <c r="AE42" s="674">
        <f>IF(Y42=0,,
IF(OR(リスト!$C$21="小麦",リスト!$C$21="二条大麦",リスト!$C$21="六条大麦",リスト!$C$21="はだか麦",リスト!$C$21="なたね"),IF(K42&lt;9,調査年-J42,調査年-J42-1),
IF(リスト!$C$21="さとうきび",IF(K42&gt;=4,調査年-J42,調査年-J42+1),
調査年-J42)))</f>
        <v>0</v>
      </c>
      <c r="AF42" s="252">
        <f t="shared" si="2"/>
        <v>0</v>
      </c>
      <c r="AG42" s="252">
        <f t="shared" si="3"/>
        <v>0</v>
      </c>
      <c r="AH42" s="252">
        <f t="shared" si="4"/>
        <v>0</v>
      </c>
      <c r="AI42" s="252">
        <f t="shared" si="5"/>
        <v>0</v>
      </c>
      <c r="AJ42" s="252">
        <f t="shared" si="6"/>
        <v>0</v>
      </c>
      <c r="AK42" s="252">
        <f t="shared" si="16"/>
        <v>0</v>
      </c>
      <c r="AL42" s="252">
        <f t="shared" si="7"/>
        <v>0</v>
      </c>
      <c r="AM42" s="252">
        <f t="shared" si="8"/>
        <v>0</v>
      </c>
      <c r="AN42" s="403"/>
      <c r="AO42" s="67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6">
        <f t="shared" si="9"/>
        <v>0</v>
      </c>
      <c r="AQ42" s="252">
        <f t="shared" si="10"/>
        <v>0</v>
      </c>
      <c r="AR42" s="676">
        <f t="shared" si="11"/>
        <v>0</v>
      </c>
      <c r="AS42" s="25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52">
        <f t="shared" si="12"/>
        <v>0</v>
      </c>
      <c r="AU42" s="252" t="str">
        <f t="shared" si="13"/>
        <v/>
      </c>
      <c r="AV42" s="690"/>
      <c r="AW42" s="690"/>
      <c r="AX42" s="690"/>
      <c r="AY42" s="690"/>
      <c r="AZ42" s="690"/>
    </row>
    <row r="43" spans="3:52" s="46" customFormat="1" ht="30" hidden="1" customHeight="1" outlineLevel="1">
      <c r="C43" s="678">
        <v>28</v>
      </c>
      <c r="D43" s="691"/>
      <c r="E43" s="680"/>
      <c r="F43" s="681"/>
      <c r="G43" s="1942"/>
      <c r="H43" s="1943"/>
      <c r="I43" s="682"/>
      <c r="J43" s="683"/>
      <c r="K43" s="684"/>
      <c r="L43" s="685"/>
      <c r="M43" s="685"/>
      <c r="N43" s="685"/>
      <c r="O43" s="685"/>
      <c r="P43" s="1045"/>
      <c r="Q43" s="686"/>
      <c r="R43" s="687"/>
      <c r="S43" s="685"/>
      <c r="T43" s="672"/>
      <c r="U43" s="2"/>
      <c r="V43" s="1054"/>
      <c r="W43" s="673"/>
      <c r="X43" s="2"/>
      <c r="Y43" s="688">
        <f t="shared" si="17"/>
        <v>0</v>
      </c>
      <c r="Z43" s="674">
        <f t="shared" si="14"/>
        <v>0</v>
      </c>
      <c r="AA43" s="674">
        <f t="shared" si="15"/>
        <v>0</v>
      </c>
      <c r="AB43" s="688">
        <f>IF(Y43=0,,VLOOKUP(Y43,リスト!CX:CY,2,0))</f>
        <v>0</v>
      </c>
      <c r="AC43" s="688">
        <f t="shared" si="1"/>
        <v>0</v>
      </c>
      <c r="AD43" s="689">
        <f>IF(AC43=0,,VLOOKUP(AC43,リスト!DK:DL,2,0))</f>
        <v>0</v>
      </c>
      <c r="AE43" s="674">
        <f>IF(Y43=0,,
IF(OR(リスト!$C$21="小麦",リスト!$C$21="二条大麦",リスト!$C$21="六条大麦",リスト!$C$21="はだか麦",リスト!$C$21="なたね"),IF(K43&lt;9,調査年-J43,調査年-J43-1),
IF(リスト!$C$21="さとうきび",IF(K43&gt;=4,調査年-J43,調査年-J43+1),
調査年-J43)))</f>
        <v>0</v>
      </c>
      <c r="AF43" s="252">
        <f t="shared" si="2"/>
        <v>0</v>
      </c>
      <c r="AG43" s="252">
        <f t="shared" si="3"/>
        <v>0</v>
      </c>
      <c r="AH43" s="252">
        <f t="shared" si="4"/>
        <v>0</v>
      </c>
      <c r="AI43" s="252">
        <f t="shared" si="5"/>
        <v>0</v>
      </c>
      <c r="AJ43" s="252">
        <f t="shared" si="6"/>
        <v>0</v>
      </c>
      <c r="AK43" s="252">
        <f t="shared" si="16"/>
        <v>0</v>
      </c>
      <c r="AL43" s="252">
        <f t="shared" si="7"/>
        <v>0</v>
      </c>
      <c r="AM43" s="252">
        <f t="shared" si="8"/>
        <v>0</v>
      </c>
      <c r="AN43" s="403"/>
      <c r="AO43" s="67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6">
        <f t="shared" si="9"/>
        <v>0</v>
      </c>
      <c r="AQ43" s="252">
        <f t="shared" si="10"/>
        <v>0</v>
      </c>
      <c r="AR43" s="676">
        <f t="shared" si="11"/>
        <v>0</v>
      </c>
      <c r="AS43" s="25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52">
        <f t="shared" si="12"/>
        <v>0</v>
      </c>
      <c r="AU43" s="252" t="str">
        <f t="shared" si="13"/>
        <v/>
      </c>
      <c r="AV43" s="690"/>
      <c r="AW43" s="690"/>
      <c r="AX43" s="690"/>
      <c r="AY43" s="690"/>
      <c r="AZ43" s="690"/>
    </row>
    <row r="44" spans="3:52" s="46" customFormat="1" ht="30" hidden="1" customHeight="1" outlineLevel="1">
      <c r="C44" s="678">
        <v>29</v>
      </c>
      <c r="D44" s="691"/>
      <c r="E44" s="680"/>
      <c r="F44" s="681"/>
      <c r="G44" s="1942"/>
      <c r="H44" s="1943"/>
      <c r="I44" s="682"/>
      <c r="J44" s="683"/>
      <c r="K44" s="684"/>
      <c r="L44" s="685"/>
      <c r="M44" s="685"/>
      <c r="N44" s="685"/>
      <c r="O44" s="685"/>
      <c r="P44" s="1045"/>
      <c r="Q44" s="686"/>
      <c r="R44" s="687"/>
      <c r="S44" s="685"/>
      <c r="T44" s="672"/>
      <c r="U44" s="2"/>
      <c r="V44" s="1054"/>
      <c r="W44" s="673"/>
      <c r="X44" s="2"/>
      <c r="Y44" s="688">
        <f t="shared" si="17"/>
        <v>0</v>
      </c>
      <c r="Z44" s="674">
        <f t="shared" si="14"/>
        <v>0</v>
      </c>
      <c r="AA44" s="674">
        <f t="shared" si="15"/>
        <v>0</v>
      </c>
      <c r="AB44" s="688">
        <f>IF(Y44=0,,VLOOKUP(Y44,リスト!CX:CY,2,0))</f>
        <v>0</v>
      </c>
      <c r="AC44" s="688">
        <f t="shared" si="1"/>
        <v>0</v>
      </c>
      <c r="AD44" s="689">
        <f>IF(AC44=0,,VLOOKUP(AC44,リスト!DK:DL,2,0))</f>
        <v>0</v>
      </c>
      <c r="AE44" s="674">
        <f>IF(Y44=0,,
IF(OR(リスト!$C$21="小麦",リスト!$C$21="二条大麦",リスト!$C$21="六条大麦",リスト!$C$21="はだか麦",リスト!$C$21="なたね"),IF(K44&lt;9,調査年-J44,調査年-J44-1),
IF(リスト!$C$21="さとうきび",IF(K44&gt;=4,調査年-J44,調査年-J44+1),
調査年-J44)))</f>
        <v>0</v>
      </c>
      <c r="AF44" s="252">
        <f t="shared" si="2"/>
        <v>0</v>
      </c>
      <c r="AG44" s="252">
        <f t="shared" si="3"/>
        <v>0</v>
      </c>
      <c r="AH44" s="252">
        <f t="shared" si="4"/>
        <v>0</v>
      </c>
      <c r="AI44" s="252">
        <f t="shared" si="5"/>
        <v>0</v>
      </c>
      <c r="AJ44" s="252">
        <f t="shared" si="6"/>
        <v>0</v>
      </c>
      <c r="AK44" s="252">
        <f t="shared" si="16"/>
        <v>0</v>
      </c>
      <c r="AL44" s="252">
        <f t="shared" si="7"/>
        <v>0</v>
      </c>
      <c r="AM44" s="252">
        <f t="shared" si="8"/>
        <v>0</v>
      </c>
      <c r="AN44" s="403"/>
      <c r="AO44" s="67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6">
        <f t="shared" si="9"/>
        <v>0</v>
      </c>
      <c r="AQ44" s="252">
        <f t="shared" si="10"/>
        <v>0</v>
      </c>
      <c r="AR44" s="676">
        <f t="shared" si="11"/>
        <v>0</v>
      </c>
      <c r="AS44" s="25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52">
        <f t="shared" si="12"/>
        <v>0</v>
      </c>
      <c r="AU44" s="252" t="str">
        <f t="shared" si="13"/>
        <v/>
      </c>
      <c r="AV44" s="690"/>
      <c r="AW44" s="690"/>
      <c r="AX44" s="690"/>
      <c r="AY44" s="690"/>
      <c r="AZ44" s="690"/>
    </row>
    <row r="45" spans="3:52" s="46" customFormat="1" ht="30" hidden="1" customHeight="1" outlineLevel="1">
      <c r="C45" s="678">
        <v>30</v>
      </c>
      <c r="D45" s="691"/>
      <c r="E45" s="680"/>
      <c r="F45" s="681"/>
      <c r="G45" s="1942"/>
      <c r="H45" s="1943"/>
      <c r="I45" s="682"/>
      <c r="J45" s="683"/>
      <c r="K45" s="684"/>
      <c r="L45" s="685"/>
      <c r="M45" s="685"/>
      <c r="N45" s="685"/>
      <c r="O45" s="685"/>
      <c r="P45" s="1045"/>
      <c r="Q45" s="686"/>
      <c r="R45" s="687"/>
      <c r="S45" s="685"/>
      <c r="T45" s="672"/>
      <c r="U45" s="2"/>
      <c r="V45" s="1054"/>
      <c r="W45" s="673"/>
      <c r="X45" s="2"/>
      <c r="Y45" s="688">
        <f t="shared" si="17"/>
        <v>0</v>
      </c>
      <c r="Z45" s="674">
        <f t="shared" si="14"/>
        <v>0</v>
      </c>
      <c r="AA45" s="674">
        <f t="shared" si="15"/>
        <v>0</v>
      </c>
      <c r="AB45" s="688">
        <f>IF(Y45=0,,VLOOKUP(Y45,リスト!CX:CY,2,0))</f>
        <v>0</v>
      </c>
      <c r="AC45" s="688">
        <f t="shared" si="1"/>
        <v>0</v>
      </c>
      <c r="AD45" s="689">
        <f>IF(AC45=0,,VLOOKUP(AC45,リスト!DK:DL,2,0))</f>
        <v>0</v>
      </c>
      <c r="AE45" s="674">
        <f>IF(Y45=0,,
IF(OR(リスト!$C$21="小麦",リスト!$C$21="二条大麦",リスト!$C$21="六条大麦",リスト!$C$21="はだか麦",リスト!$C$21="なたね"),IF(K45&lt;9,調査年-J45,調査年-J45-1),
IF(リスト!$C$21="さとうきび",IF(K45&gt;=4,調査年-J45,調査年-J45+1),
調査年-J45)))</f>
        <v>0</v>
      </c>
      <c r="AF45" s="252">
        <f t="shared" si="2"/>
        <v>0</v>
      </c>
      <c r="AG45" s="252">
        <f t="shared" si="3"/>
        <v>0</v>
      </c>
      <c r="AH45" s="252">
        <f t="shared" si="4"/>
        <v>0</v>
      </c>
      <c r="AI45" s="252">
        <f t="shared" si="5"/>
        <v>0</v>
      </c>
      <c r="AJ45" s="252">
        <f t="shared" si="6"/>
        <v>0</v>
      </c>
      <c r="AK45" s="252">
        <f t="shared" si="16"/>
        <v>0</v>
      </c>
      <c r="AL45" s="252">
        <f t="shared" si="7"/>
        <v>0</v>
      </c>
      <c r="AM45" s="252">
        <f t="shared" si="8"/>
        <v>0</v>
      </c>
      <c r="AN45" s="403"/>
      <c r="AO45" s="67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6">
        <f t="shared" si="9"/>
        <v>0</v>
      </c>
      <c r="AQ45" s="252">
        <f t="shared" si="10"/>
        <v>0</v>
      </c>
      <c r="AR45" s="676">
        <f t="shared" si="11"/>
        <v>0</v>
      </c>
      <c r="AS45" s="25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52">
        <f t="shared" si="12"/>
        <v>0</v>
      </c>
      <c r="AU45" s="252" t="str">
        <f t="shared" si="13"/>
        <v/>
      </c>
      <c r="AV45" s="690"/>
      <c r="AW45" s="690"/>
      <c r="AX45" s="690"/>
      <c r="AY45" s="690"/>
      <c r="AZ45" s="690"/>
    </row>
    <row r="46" spans="3:52" s="46" customFormat="1" ht="30" hidden="1" customHeight="1" outlineLevel="1">
      <c r="C46" s="678">
        <v>31</v>
      </c>
      <c r="D46" s="691"/>
      <c r="E46" s="680"/>
      <c r="F46" s="681"/>
      <c r="G46" s="1942"/>
      <c r="H46" s="1943"/>
      <c r="I46" s="682"/>
      <c r="J46" s="683"/>
      <c r="K46" s="684"/>
      <c r="L46" s="685"/>
      <c r="M46" s="685"/>
      <c r="N46" s="685"/>
      <c r="O46" s="685"/>
      <c r="P46" s="1045"/>
      <c r="Q46" s="686"/>
      <c r="R46" s="687"/>
      <c r="S46" s="685"/>
      <c r="T46" s="672"/>
      <c r="U46" s="2"/>
      <c r="V46" s="1054"/>
      <c r="W46" s="673"/>
      <c r="X46" s="2"/>
      <c r="Y46" s="688">
        <f t="shared" si="17"/>
        <v>0</v>
      </c>
      <c r="Z46" s="674">
        <f t="shared" si="14"/>
        <v>0</v>
      </c>
      <c r="AA46" s="674">
        <f t="shared" si="15"/>
        <v>0</v>
      </c>
      <c r="AB46" s="688">
        <f>IF(Y46=0,,VLOOKUP(Y46,リスト!CX:CY,2,0))</f>
        <v>0</v>
      </c>
      <c r="AC46" s="688">
        <f t="shared" si="1"/>
        <v>0</v>
      </c>
      <c r="AD46" s="689">
        <f>IF(AC46=0,,VLOOKUP(AC46,リスト!DK:DL,2,0))</f>
        <v>0</v>
      </c>
      <c r="AE46" s="674">
        <f>IF(Y46=0,,
IF(OR(リスト!$C$21="小麦",リスト!$C$21="二条大麦",リスト!$C$21="六条大麦",リスト!$C$21="はだか麦",リスト!$C$21="なたね"),IF(K46&lt;9,調査年-J46,調査年-J46-1),
IF(リスト!$C$21="さとうきび",IF(K46&gt;=4,調査年-J46,調査年-J46+1),
調査年-J46)))</f>
        <v>0</v>
      </c>
      <c r="AF46" s="252">
        <f t="shared" si="2"/>
        <v>0</v>
      </c>
      <c r="AG46" s="252">
        <f t="shared" si="3"/>
        <v>0</v>
      </c>
      <c r="AH46" s="252">
        <f t="shared" si="4"/>
        <v>0</v>
      </c>
      <c r="AI46" s="252">
        <f t="shared" si="5"/>
        <v>0</v>
      </c>
      <c r="AJ46" s="252">
        <f t="shared" si="6"/>
        <v>0</v>
      </c>
      <c r="AK46" s="252">
        <f t="shared" si="16"/>
        <v>0</v>
      </c>
      <c r="AL46" s="252">
        <f t="shared" si="7"/>
        <v>0</v>
      </c>
      <c r="AM46" s="252">
        <f t="shared" si="8"/>
        <v>0</v>
      </c>
      <c r="AN46" s="403"/>
      <c r="AO46" s="67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6">
        <f t="shared" si="9"/>
        <v>0</v>
      </c>
      <c r="AQ46" s="252">
        <f t="shared" si="10"/>
        <v>0</v>
      </c>
      <c r="AR46" s="676">
        <f t="shared" si="11"/>
        <v>0</v>
      </c>
      <c r="AS46" s="25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52">
        <f t="shared" si="12"/>
        <v>0</v>
      </c>
      <c r="AU46" s="252" t="str">
        <f t="shared" si="13"/>
        <v/>
      </c>
      <c r="AV46" s="690"/>
      <c r="AW46" s="690"/>
      <c r="AX46" s="690"/>
      <c r="AY46" s="690"/>
      <c r="AZ46" s="690"/>
    </row>
    <row r="47" spans="3:52" s="46" customFormat="1" ht="30" hidden="1" customHeight="1" outlineLevel="1">
      <c r="C47" s="678">
        <v>32</v>
      </c>
      <c r="D47" s="679"/>
      <c r="E47" s="680"/>
      <c r="F47" s="681"/>
      <c r="G47" s="1942"/>
      <c r="H47" s="1943"/>
      <c r="I47" s="682"/>
      <c r="J47" s="683"/>
      <c r="K47" s="684"/>
      <c r="L47" s="685"/>
      <c r="M47" s="685"/>
      <c r="N47" s="685"/>
      <c r="O47" s="685"/>
      <c r="P47" s="1045"/>
      <c r="Q47" s="686"/>
      <c r="R47" s="687"/>
      <c r="S47" s="685"/>
      <c r="T47" s="672"/>
      <c r="U47" s="2"/>
      <c r="V47" s="1054"/>
      <c r="W47" s="673"/>
      <c r="X47" s="2"/>
      <c r="Y47" s="688">
        <f t="shared" si="17"/>
        <v>0</v>
      </c>
      <c r="Z47" s="674">
        <f t="shared" si="14"/>
        <v>0</v>
      </c>
      <c r="AA47" s="674">
        <f t="shared" si="15"/>
        <v>0</v>
      </c>
      <c r="AB47" s="688">
        <f>IF(Y47=0,,VLOOKUP(Y47,リスト!CX:CY,2,0))</f>
        <v>0</v>
      </c>
      <c r="AC47" s="688">
        <f t="shared" si="1"/>
        <v>0</v>
      </c>
      <c r="AD47" s="689">
        <f>IF(AC47=0,,VLOOKUP(AC47,リスト!DK:DL,2,0))</f>
        <v>0</v>
      </c>
      <c r="AE47" s="674">
        <f>IF(Y47=0,,
IF(OR(リスト!$C$21="小麦",リスト!$C$21="二条大麦",リスト!$C$21="六条大麦",リスト!$C$21="はだか麦",リスト!$C$21="なたね"),IF(K47&lt;9,調査年-J47,調査年-J47-1),
IF(リスト!$C$21="さとうきび",IF(K47&gt;=4,調査年-J47,調査年-J47+1),
調査年-J47)))</f>
        <v>0</v>
      </c>
      <c r="AF47" s="252">
        <f t="shared" si="2"/>
        <v>0</v>
      </c>
      <c r="AG47" s="252">
        <f t="shared" si="3"/>
        <v>0</v>
      </c>
      <c r="AH47" s="252">
        <f t="shared" si="4"/>
        <v>0</v>
      </c>
      <c r="AI47" s="252">
        <f t="shared" si="5"/>
        <v>0</v>
      </c>
      <c r="AJ47" s="252">
        <f t="shared" si="6"/>
        <v>0</v>
      </c>
      <c r="AK47" s="252">
        <f t="shared" si="16"/>
        <v>0</v>
      </c>
      <c r="AL47" s="252">
        <f t="shared" si="7"/>
        <v>0</v>
      </c>
      <c r="AM47" s="252">
        <f t="shared" si="8"/>
        <v>0</v>
      </c>
      <c r="AN47" s="403"/>
      <c r="AO47" s="67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6">
        <f t="shared" si="9"/>
        <v>0</v>
      </c>
      <c r="AQ47" s="252">
        <f t="shared" si="10"/>
        <v>0</v>
      </c>
      <c r="AR47" s="676">
        <f t="shared" si="11"/>
        <v>0</v>
      </c>
      <c r="AS47" s="25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52">
        <f t="shared" si="12"/>
        <v>0</v>
      </c>
      <c r="AU47" s="252" t="str">
        <f t="shared" si="13"/>
        <v/>
      </c>
      <c r="AV47" s="690"/>
      <c r="AW47" s="690"/>
      <c r="AX47" s="690"/>
      <c r="AY47" s="690"/>
      <c r="AZ47" s="690"/>
    </row>
    <row r="48" spans="3:52" s="46" customFormat="1" ht="30" hidden="1" customHeight="1" outlineLevel="1">
      <c r="C48" s="678">
        <v>33</v>
      </c>
      <c r="D48" s="691"/>
      <c r="E48" s="680"/>
      <c r="F48" s="681"/>
      <c r="G48" s="1942"/>
      <c r="H48" s="1943"/>
      <c r="I48" s="682"/>
      <c r="J48" s="683"/>
      <c r="K48" s="684"/>
      <c r="L48" s="685"/>
      <c r="M48" s="685"/>
      <c r="N48" s="685"/>
      <c r="O48" s="685"/>
      <c r="P48" s="1045"/>
      <c r="Q48" s="686"/>
      <c r="R48" s="687"/>
      <c r="S48" s="685"/>
      <c r="T48" s="672"/>
      <c r="U48" s="2"/>
      <c r="V48" s="1054"/>
      <c r="W48" s="673"/>
      <c r="X48" s="2"/>
      <c r="Y48" s="688">
        <f t="shared" si="17"/>
        <v>0</v>
      </c>
      <c r="Z48" s="674">
        <f t="shared" si="14"/>
        <v>0</v>
      </c>
      <c r="AA48" s="674">
        <f t="shared" si="15"/>
        <v>0</v>
      </c>
      <c r="AB48" s="688">
        <f>IF(Y48=0,,VLOOKUP(Y48,リスト!CX:CY,2,0))</f>
        <v>0</v>
      </c>
      <c r="AC48" s="688">
        <f t="shared" si="1"/>
        <v>0</v>
      </c>
      <c r="AD48" s="689">
        <f>IF(AC48=0,,VLOOKUP(AC48,リスト!DK:DL,2,0))</f>
        <v>0</v>
      </c>
      <c r="AE48" s="674">
        <f>IF(Y48=0,,
IF(OR(リスト!$C$21="小麦",リスト!$C$21="二条大麦",リスト!$C$21="六条大麦",リスト!$C$21="はだか麦",リスト!$C$21="なたね"),IF(K48&lt;9,調査年-J48,調査年-J48-1),
IF(リスト!$C$21="さとうきび",IF(K48&gt;=4,調査年-J48,調査年-J48+1),
調査年-J48)))</f>
        <v>0</v>
      </c>
      <c r="AF48" s="252">
        <f t="shared" ref="AF48:AF79" si="18">IF(OR(Y48=0,Z48=1),,
IF(AND(AC48&gt;0,AE48&lt;AC48,AG48&lt;=ROUND((L48-1)*AD48,0)),ROUND(AG48*IF(R48="[2]部分取り壊し",IFERROR(1-(V48%),1),1),0),
IF(AND(AC48&gt;0,AE48&lt;AC48),ROUND((L48-1)*AD48*IF(R48="[2]部分取り壊し",IFERROR(1-(V48%),1),1),0),)))</f>
        <v>0</v>
      </c>
      <c r="AG48" s="252">
        <f t="shared" si="3"/>
        <v>0</v>
      </c>
      <c r="AH48" s="252">
        <f t="shared" si="4"/>
        <v>0</v>
      </c>
      <c r="AI48" s="252">
        <f t="shared" si="5"/>
        <v>0</v>
      </c>
      <c r="AJ48" s="252">
        <f t="shared" si="6"/>
        <v>0</v>
      </c>
      <c r="AK48" s="252">
        <f t="shared" si="16"/>
        <v>0</v>
      </c>
      <c r="AL48" s="252">
        <f t="shared" si="7"/>
        <v>0</v>
      </c>
      <c r="AM48" s="252">
        <f t="shared" si="8"/>
        <v>0</v>
      </c>
      <c r="AN48" s="403"/>
      <c r="AO48" s="67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6">
        <f t="shared" si="9"/>
        <v>0</v>
      </c>
      <c r="AQ48" s="252">
        <f t="shared" si="10"/>
        <v>0</v>
      </c>
      <c r="AR48" s="676">
        <f t="shared" si="11"/>
        <v>0</v>
      </c>
      <c r="AS48" s="25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52">
        <f t="shared" si="12"/>
        <v>0</v>
      </c>
      <c r="AU48" s="252" t="str">
        <f t="shared" si="13"/>
        <v/>
      </c>
      <c r="AV48" s="690"/>
      <c r="AW48" s="690"/>
      <c r="AX48" s="690"/>
      <c r="AY48" s="690"/>
      <c r="AZ48" s="690"/>
    </row>
    <row r="49" spans="3:52" s="46" customFormat="1" ht="30" hidden="1" customHeight="1" outlineLevel="1">
      <c r="C49" s="678">
        <v>34</v>
      </c>
      <c r="D49" s="691"/>
      <c r="E49" s="680"/>
      <c r="F49" s="681"/>
      <c r="G49" s="1942"/>
      <c r="H49" s="1943"/>
      <c r="I49" s="682"/>
      <c r="J49" s="683"/>
      <c r="K49" s="684"/>
      <c r="L49" s="685"/>
      <c r="M49" s="685"/>
      <c r="N49" s="685"/>
      <c r="O49" s="685"/>
      <c r="P49" s="1045"/>
      <c r="Q49" s="686"/>
      <c r="R49" s="687"/>
      <c r="S49" s="685"/>
      <c r="T49" s="672"/>
      <c r="U49" s="2"/>
      <c r="V49" s="1054"/>
      <c r="W49" s="673"/>
      <c r="X49" s="2"/>
      <c r="Y49" s="688">
        <f t="shared" si="17"/>
        <v>0</v>
      </c>
      <c r="Z49" s="674">
        <f t="shared" si="14"/>
        <v>0</v>
      </c>
      <c r="AA49" s="674">
        <f t="shared" si="15"/>
        <v>0</v>
      </c>
      <c r="AB49" s="688">
        <f>IF(Y49=0,,VLOOKUP(Y49,リスト!CX:CY,2,0))</f>
        <v>0</v>
      </c>
      <c r="AC49" s="688">
        <f t="shared" si="1"/>
        <v>0</v>
      </c>
      <c r="AD49" s="689">
        <f>IF(AC49=0,,VLOOKUP(AC49,リスト!DK:DL,2,0))</f>
        <v>0</v>
      </c>
      <c r="AE49" s="674">
        <f>IF(Y49=0,,
IF(OR(リスト!$C$21="小麦",リスト!$C$21="二条大麦",リスト!$C$21="六条大麦",リスト!$C$21="はだか麦",リスト!$C$21="なたね"),IF(K49&lt;9,調査年-J49,調査年-J49-1),
IF(リスト!$C$21="さとうきび",IF(K49&gt;=4,調査年-J49,調査年-J49+1),
調査年-J49)))</f>
        <v>0</v>
      </c>
      <c r="AF49" s="252">
        <f t="shared" si="18"/>
        <v>0</v>
      </c>
      <c r="AG49" s="252">
        <f t="shared" si="3"/>
        <v>0</v>
      </c>
      <c r="AH49" s="252">
        <f t="shared" si="4"/>
        <v>0</v>
      </c>
      <c r="AI49" s="252">
        <f t="shared" si="5"/>
        <v>0</v>
      </c>
      <c r="AJ49" s="252">
        <f t="shared" si="6"/>
        <v>0</v>
      </c>
      <c r="AK49" s="252">
        <f t="shared" si="16"/>
        <v>0</v>
      </c>
      <c r="AL49" s="252">
        <f t="shared" si="7"/>
        <v>0</v>
      </c>
      <c r="AM49" s="252">
        <f t="shared" si="8"/>
        <v>0</v>
      </c>
      <c r="AN49" s="403"/>
      <c r="AO49" s="67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6">
        <f t="shared" si="9"/>
        <v>0</v>
      </c>
      <c r="AQ49" s="252">
        <f t="shared" si="10"/>
        <v>0</v>
      </c>
      <c r="AR49" s="676">
        <f t="shared" si="11"/>
        <v>0</v>
      </c>
      <c r="AS49" s="25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52">
        <f t="shared" si="12"/>
        <v>0</v>
      </c>
      <c r="AU49" s="252" t="str">
        <f t="shared" si="13"/>
        <v/>
      </c>
      <c r="AV49" s="690"/>
      <c r="AW49" s="690"/>
      <c r="AX49" s="690"/>
      <c r="AY49" s="690"/>
      <c r="AZ49" s="690"/>
    </row>
    <row r="50" spans="3:52" s="46" customFormat="1" ht="30" hidden="1" customHeight="1" outlineLevel="1">
      <c r="C50" s="678">
        <v>35</v>
      </c>
      <c r="D50" s="691"/>
      <c r="E50" s="680"/>
      <c r="F50" s="681"/>
      <c r="G50" s="1942"/>
      <c r="H50" s="1943"/>
      <c r="I50" s="682"/>
      <c r="J50" s="683"/>
      <c r="K50" s="684"/>
      <c r="L50" s="685"/>
      <c r="M50" s="685"/>
      <c r="N50" s="685"/>
      <c r="O50" s="685"/>
      <c r="P50" s="1045"/>
      <c r="Q50" s="686"/>
      <c r="R50" s="687"/>
      <c r="S50" s="685"/>
      <c r="T50" s="672"/>
      <c r="U50" s="2"/>
      <c r="V50" s="1054"/>
      <c r="W50" s="673"/>
      <c r="X50" s="2"/>
      <c r="Y50" s="688">
        <f t="shared" si="17"/>
        <v>0</v>
      </c>
      <c r="Z50" s="674">
        <f t="shared" si="14"/>
        <v>0</v>
      </c>
      <c r="AA50" s="674">
        <f t="shared" si="15"/>
        <v>0</v>
      </c>
      <c r="AB50" s="688">
        <f>IF(Y50=0,,VLOOKUP(Y50,リスト!CX:CY,2,0))</f>
        <v>0</v>
      </c>
      <c r="AC50" s="688">
        <f t="shared" si="1"/>
        <v>0</v>
      </c>
      <c r="AD50" s="689">
        <f>IF(AC50=0,,VLOOKUP(AC50,リスト!DK:DL,2,0))</f>
        <v>0</v>
      </c>
      <c r="AE50" s="674">
        <f>IF(Y50=0,,
IF(OR(リスト!$C$21="小麦",リスト!$C$21="二条大麦",リスト!$C$21="六条大麦",リスト!$C$21="はだか麦",リスト!$C$21="なたね"),IF(K50&lt;9,調査年-J50,調査年-J50-1),
IF(リスト!$C$21="さとうきび",IF(K50&gt;=4,調査年-J50,調査年-J50+1),
調査年-J50)))</f>
        <v>0</v>
      </c>
      <c r="AF50" s="252">
        <f t="shared" si="18"/>
        <v>0</v>
      </c>
      <c r="AG50" s="252">
        <f t="shared" si="3"/>
        <v>0</v>
      </c>
      <c r="AH50" s="252">
        <f t="shared" si="4"/>
        <v>0</v>
      </c>
      <c r="AI50" s="252">
        <f t="shared" si="5"/>
        <v>0</v>
      </c>
      <c r="AJ50" s="252">
        <f t="shared" si="6"/>
        <v>0</v>
      </c>
      <c r="AK50" s="252">
        <f t="shared" si="16"/>
        <v>0</v>
      </c>
      <c r="AL50" s="252">
        <f t="shared" si="7"/>
        <v>0</v>
      </c>
      <c r="AM50" s="252">
        <f t="shared" si="8"/>
        <v>0</v>
      </c>
      <c r="AN50" s="403"/>
      <c r="AO50" s="67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6">
        <f t="shared" si="9"/>
        <v>0</v>
      </c>
      <c r="AQ50" s="252">
        <f t="shared" si="10"/>
        <v>0</v>
      </c>
      <c r="AR50" s="676">
        <f t="shared" si="11"/>
        <v>0</v>
      </c>
      <c r="AS50" s="25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52">
        <f t="shared" si="12"/>
        <v>0</v>
      </c>
      <c r="AU50" s="252" t="str">
        <f t="shared" si="13"/>
        <v/>
      </c>
      <c r="AV50" s="690"/>
      <c r="AW50" s="690"/>
      <c r="AX50" s="690"/>
      <c r="AY50" s="690"/>
      <c r="AZ50" s="690"/>
    </row>
    <row r="51" spans="3:52" s="46" customFormat="1" ht="30" hidden="1" customHeight="1" outlineLevel="1">
      <c r="C51" s="678">
        <v>36</v>
      </c>
      <c r="D51" s="691"/>
      <c r="E51" s="680"/>
      <c r="F51" s="681"/>
      <c r="G51" s="1942"/>
      <c r="H51" s="1943"/>
      <c r="I51" s="682"/>
      <c r="J51" s="683"/>
      <c r="K51" s="684"/>
      <c r="L51" s="685"/>
      <c r="M51" s="685"/>
      <c r="N51" s="685"/>
      <c r="O51" s="685"/>
      <c r="P51" s="1045"/>
      <c r="Q51" s="686"/>
      <c r="R51" s="687"/>
      <c r="S51" s="685"/>
      <c r="T51" s="672"/>
      <c r="U51" s="2"/>
      <c r="V51" s="1054"/>
      <c r="W51" s="673"/>
      <c r="X51" s="2"/>
      <c r="Y51" s="688">
        <f t="shared" si="17"/>
        <v>0</v>
      </c>
      <c r="Z51" s="674">
        <f t="shared" si="14"/>
        <v>0</v>
      </c>
      <c r="AA51" s="674">
        <f t="shared" si="15"/>
        <v>0</v>
      </c>
      <c r="AB51" s="688">
        <f>IF(Y51=0,,VLOOKUP(Y51,リスト!CX:CY,2,0))</f>
        <v>0</v>
      </c>
      <c r="AC51" s="688">
        <f t="shared" si="1"/>
        <v>0</v>
      </c>
      <c r="AD51" s="689">
        <f>IF(AC51=0,,VLOOKUP(AC51,リスト!DK:DL,2,0))</f>
        <v>0</v>
      </c>
      <c r="AE51" s="674">
        <f>IF(Y51=0,,
IF(OR(リスト!$C$21="小麦",リスト!$C$21="二条大麦",リスト!$C$21="六条大麦",リスト!$C$21="はだか麦",リスト!$C$21="なたね"),IF(K51&lt;9,調査年-J51,調査年-J51-1),
IF(リスト!$C$21="さとうきび",IF(K51&gt;=4,調査年-J51,調査年-J51+1),
調査年-J51)))</f>
        <v>0</v>
      </c>
      <c r="AF51" s="252">
        <f t="shared" si="18"/>
        <v>0</v>
      </c>
      <c r="AG51" s="252">
        <f t="shared" si="3"/>
        <v>0</v>
      </c>
      <c r="AH51" s="252">
        <f t="shared" si="4"/>
        <v>0</v>
      </c>
      <c r="AI51" s="252">
        <f t="shared" si="5"/>
        <v>0</v>
      </c>
      <c r="AJ51" s="252">
        <f t="shared" si="6"/>
        <v>0</v>
      </c>
      <c r="AK51" s="252">
        <f t="shared" si="16"/>
        <v>0</v>
      </c>
      <c r="AL51" s="252">
        <f t="shared" si="7"/>
        <v>0</v>
      </c>
      <c r="AM51" s="252">
        <f t="shared" si="8"/>
        <v>0</v>
      </c>
      <c r="AN51" s="403"/>
      <c r="AO51" s="67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6">
        <f t="shared" si="9"/>
        <v>0</v>
      </c>
      <c r="AQ51" s="252">
        <f t="shared" si="10"/>
        <v>0</v>
      </c>
      <c r="AR51" s="676">
        <f t="shared" si="11"/>
        <v>0</v>
      </c>
      <c r="AS51" s="25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52">
        <f t="shared" si="12"/>
        <v>0</v>
      </c>
      <c r="AU51" s="252" t="str">
        <f t="shared" si="13"/>
        <v/>
      </c>
      <c r="AV51" s="690"/>
      <c r="AW51" s="690"/>
      <c r="AX51" s="690"/>
      <c r="AY51" s="690"/>
      <c r="AZ51" s="690"/>
    </row>
    <row r="52" spans="3:52" s="46" customFormat="1" ht="30" hidden="1" customHeight="1" outlineLevel="1">
      <c r="C52" s="678">
        <v>37</v>
      </c>
      <c r="D52" s="691"/>
      <c r="E52" s="680"/>
      <c r="F52" s="681"/>
      <c r="G52" s="1942"/>
      <c r="H52" s="1943"/>
      <c r="I52" s="682"/>
      <c r="J52" s="683"/>
      <c r="K52" s="684"/>
      <c r="L52" s="685"/>
      <c r="M52" s="685"/>
      <c r="N52" s="685"/>
      <c r="O52" s="685"/>
      <c r="P52" s="1045"/>
      <c r="Q52" s="686"/>
      <c r="R52" s="687"/>
      <c r="S52" s="685"/>
      <c r="T52" s="672"/>
      <c r="U52" s="2"/>
      <c r="V52" s="1054"/>
      <c r="W52" s="673"/>
      <c r="X52" s="2"/>
      <c r="Y52" s="688">
        <f t="shared" si="17"/>
        <v>0</v>
      </c>
      <c r="Z52" s="674">
        <f t="shared" si="14"/>
        <v>0</v>
      </c>
      <c r="AA52" s="674">
        <f t="shared" si="15"/>
        <v>0</v>
      </c>
      <c r="AB52" s="688">
        <f>IF(Y52=0,,VLOOKUP(Y52,リスト!CX:CY,2,0))</f>
        <v>0</v>
      </c>
      <c r="AC52" s="688">
        <f t="shared" si="1"/>
        <v>0</v>
      </c>
      <c r="AD52" s="689">
        <f>IF(AC52=0,,VLOOKUP(AC52,リスト!DK:DL,2,0))</f>
        <v>0</v>
      </c>
      <c r="AE52" s="674">
        <f>IF(Y52=0,,
IF(OR(リスト!$C$21="小麦",リスト!$C$21="二条大麦",リスト!$C$21="六条大麦",リスト!$C$21="はだか麦",リスト!$C$21="なたね"),IF(K52&lt;9,調査年-J52,調査年-J52-1),
IF(リスト!$C$21="さとうきび",IF(K52&gt;=4,調査年-J52,調査年-J52+1),
調査年-J52)))</f>
        <v>0</v>
      </c>
      <c r="AF52" s="252">
        <f t="shared" si="18"/>
        <v>0</v>
      </c>
      <c r="AG52" s="252">
        <f t="shared" si="3"/>
        <v>0</v>
      </c>
      <c r="AH52" s="252">
        <f t="shared" si="4"/>
        <v>0</v>
      </c>
      <c r="AI52" s="252">
        <f t="shared" si="5"/>
        <v>0</v>
      </c>
      <c r="AJ52" s="252">
        <f t="shared" si="6"/>
        <v>0</v>
      </c>
      <c r="AK52" s="252">
        <f t="shared" si="16"/>
        <v>0</v>
      </c>
      <c r="AL52" s="252">
        <f t="shared" si="7"/>
        <v>0</v>
      </c>
      <c r="AM52" s="252">
        <f t="shared" si="8"/>
        <v>0</v>
      </c>
      <c r="AN52" s="403"/>
      <c r="AO52" s="67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6">
        <f t="shared" si="9"/>
        <v>0</v>
      </c>
      <c r="AQ52" s="252">
        <f t="shared" si="10"/>
        <v>0</v>
      </c>
      <c r="AR52" s="676">
        <f t="shared" si="11"/>
        <v>0</v>
      </c>
      <c r="AS52" s="25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52">
        <f t="shared" si="12"/>
        <v>0</v>
      </c>
      <c r="AU52" s="252" t="str">
        <f t="shared" si="13"/>
        <v/>
      </c>
      <c r="AV52" s="690"/>
      <c r="AW52" s="690"/>
      <c r="AX52" s="690"/>
      <c r="AY52" s="690"/>
      <c r="AZ52" s="690"/>
    </row>
    <row r="53" spans="3:52" s="46" customFormat="1" ht="30" hidden="1" customHeight="1" outlineLevel="1">
      <c r="C53" s="678">
        <v>38</v>
      </c>
      <c r="D53" s="691"/>
      <c r="E53" s="680"/>
      <c r="F53" s="681"/>
      <c r="G53" s="1942"/>
      <c r="H53" s="1943"/>
      <c r="I53" s="682"/>
      <c r="J53" s="683"/>
      <c r="K53" s="684"/>
      <c r="L53" s="685"/>
      <c r="M53" s="685"/>
      <c r="N53" s="685"/>
      <c r="O53" s="685"/>
      <c r="P53" s="1045"/>
      <c r="Q53" s="686"/>
      <c r="R53" s="687"/>
      <c r="S53" s="685"/>
      <c r="T53" s="672"/>
      <c r="U53" s="2"/>
      <c r="V53" s="1054"/>
      <c r="W53" s="673"/>
      <c r="X53" s="2"/>
      <c r="Y53" s="688">
        <f t="shared" si="17"/>
        <v>0</v>
      </c>
      <c r="Z53" s="674">
        <f t="shared" si="14"/>
        <v>0</v>
      </c>
      <c r="AA53" s="674">
        <f t="shared" si="15"/>
        <v>0</v>
      </c>
      <c r="AB53" s="688">
        <f>IF(Y53=0,,VLOOKUP(Y53,リスト!CX:CY,2,0))</f>
        <v>0</v>
      </c>
      <c r="AC53" s="688">
        <f t="shared" si="1"/>
        <v>0</v>
      </c>
      <c r="AD53" s="689">
        <f>IF(AC53=0,,VLOOKUP(AC53,リスト!DK:DL,2,0))</f>
        <v>0</v>
      </c>
      <c r="AE53" s="674">
        <f>IF(Y53=0,,
IF(OR(リスト!$C$21="小麦",リスト!$C$21="二条大麦",リスト!$C$21="六条大麦",リスト!$C$21="はだか麦",リスト!$C$21="なたね"),IF(K53&lt;9,調査年-J53,調査年-J53-1),
IF(リスト!$C$21="さとうきび",IF(K53&gt;=4,調査年-J53,調査年-J53+1),
調査年-J53)))</f>
        <v>0</v>
      </c>
      <c r="AF53" s="252">
        <f t="shared" si="18"/>
        <v>0</v>
      </c>
      <c r="AG53" s="252">
        <f t="shared" si="3"/>
        <v>0</v>
      </c>
      <c r="AH53" s="252">
        <f t="shared" si="4"/>
        <v>0</v>
      </c>
      <c r="AI53" s="252">
        <f t="shared" si="5"/>
        <v>0</v>
      </c>
      <c r="AJ53" s="252">
        <f t="shared" si="6"/>
        <v>0</v>
      </c>
      <c r="AK53" s="252">
        <f t="shared" si="16"/>
        <v>0</v>
      </c>
      <c r="AL53" s="252">
        <f t="shared" si="7"/>
        <v>0</v>
      </c>
      <c r="AM53" s="252">
        <f t="shared" si="8"/>
        <v>0</v>
      </c>
      <c r="AN53" s="403"/>
      <c r="AO53" s="67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6">
        <f t="shared" si="9"/>
        <v>0</v>
      </c>
      <c r="AQ53" s="252">
        <f t="shared" si="10"/>
        <v>0</v>
      </c>
      <c r="AR53" s="676">
        <f t="shared" si="11"/>
        <v>0</v>
      </c>
      <c r="AS53" s="25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52">
        <f t="shared" si="12"/>
        <v>0</v>
      </c>
      <c r="AU53" s="252" t="str">
        <f t="shared" si="13"/>
        <v/>
      </c>
      <c r="AV53" s="690"/>
      <c r="AW53" s="690"/>
      <c r="AX53" s="690"/>
      <c r="AY53" s="690"/>
      <c r="AZ53" s="690"/>
    </row>
    <row r="54" spans="3:52" s="46" customFormat="1" ht="30" hidden="1" customHeight="1" outlineLevel="1">
      <c r="C54" s="678">
        <v>39</v>
      </c>
      <c r="D54" s="691"/>
      <c r="E54" s="680"/>
      <c r="F54" s="681"/>
      <c r="G54" s="1942"/>
      <c r="H54" s="1943"/>
      <c r="I54" s="682"/>
      <c r="J54" s="683"/>
      <c r="K54" s="684"/>
      <c r="L54" s="685"/>
      <c r="M54" s="685"/>
      <c r="N54" s="685"/>
      <c r="O54" s="685"/>
      <c r="P54" s="1045"/>
      <c r="Q54" s="686"/>
      <c r="R54" s="687"/>
      <c r="S54" s="685"/>
      <c r="T54" s="672"/>
      <c r="U54" s="2"/>
      <c r="V54" s="1054"/>
      <c r="W54" s="673"/>
      <c r="X54" s="2"/>
      <c r="Y54" s="688">
        <f t="shared" si="17"/>
        <v>0</v>
      </c>
      <c r="Z54" s="674">
        <f t="shared" si="14"/>
        <v>0</v>
      </c>
      <c r="AA54" s="674">
        <f t="shared" si="15"/>
        <v>0</v>
      </c>
      <c r="AB54" s="688">
        <f>IF(Y54=0,,VLOOKUP(Y54,リスト!CX:CY,2,0))</f>
        <v>0</v>
      </c>
      <c r="AC54" s="688">
        <f t="shared" si="1"/>
        <v>0</v>
      </c>
      <c r="AD54" s="689">
        <f>IF(AC54=0,,VLOOKUP(AC54,リスト!DK:DL,2,0))</f>
        <v>0</v>
      </c>
      <c r="AE54" s="674">
        <f>IF(Y54=0,,
IF(OR(リスト!$C$21="小麦",リスト!$C$21="二条大麦",リスト!$C$21="六条大麦",リスト!$C$21="はだか麦",リスト!$C$21="なたね"),IF(K54&lt;9,調査年-J54,調査年-J54-1),
IF(リスト!$C$21="さとうきび",IF(K54&gt;=4,調査年-J54,調査年-J54+1),
調査年-J54)))</f>
        <v>0</v>
      </c>
      <c r="AF54" s="252">
        <f t="shared" si="18"/>
        <v>0</v>
      </c>
      <c r="AG54" s="252">
        <f t="shared" si="3"/>
        <v>0</v>
      </c>
      <c r="AH54" s="252">
        <f t="shared" si="4"/>
        <v>0</v>
      </c>
      <c r="AI54" s="252">
        <f t="shared" si="5"/>
        <v>0</v>
      </c>
      <c r="AJ54" s="252">
        <f t="shared" si="6"/>
        <v>0</v>
      </c>
      <c r="AK54" s="252">
        <f t="shared" si="16"/>
        <v>0</v>
      </c>
      <c r="AL54" s="252">
        <f t="shared" si="7"/>
        <v>0</v>
      </c>
      <c r="AM54" s="252">
        <f t="shared" si="8"/>
        <v>0</v>
      </c>
      <c r="AN54" s="403"/>
      <c r="AO54" s="67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6">
        <f t="shared" si="9"/>
        <v>0</v>
      </c>
      <c r="AQ54" s="252">
        <f t="shared" si="10"/>
        <v>0</v>
      </c>
      <c r="AR54" s="676">
        <f t="shared" si="11"/>
        <v>0</v>
      </c>
      <c r="AS54" s="25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52">
        <f t="shared" si="12"/>
        <v>0</v>
      </c>
      <c r="AU54" s="252" t="str">
        <f t="shared" si="13"/>
        <v/>
      </c>
      <c r="AV54" s="690"/>
      <c r="AW54" s="690"/>
      <c r="AX54" s="690"/>
      <c r="AY54" s="690"/>
      <c r="AZ54" s="690"/>
    </row>
    <row r="55" spans="3:52" s="46" customFormat="1" ht="30" hidden="1" customHeight="1" outlineLevel="1">
      <c r="C55" s="678">
        <v>40</v>
      </c>
      <c r="D55" s="691"/>
      <c r="E55" s="680"/>
      <c r="F55" s="681"/>
      <c r="G55" s="1942"/>
      <c r="H55" s="1943"/>
      <c r="I55" s="682"/>
      <c r="J55" s="683"/>
      <c r="K55" s="684"/>
      <c r="L55" s="685"/>
      <c r="M55" s="685"/>
      <c r="N55" s="685"/>
      <c r="O55" s="685"/>
      <c r="P55" s="1045"/>
      <c r="Q55" s="686"/>
      <c r="R55" s="687"/>
      <c r="S55" s="685"/>
      <c r="T55" s="672"/>
      <c r="U55" s="2"/>
      <c r="V55" s="1054"/>
      <c r="W55" s="673"/>
      <c r="X55" s="2"/>
      <c r="Y55" s="688">
        <f t="shared" si="17"/>
        <v>0</v>
      </c>
      <c r="Z55" s="674">
        <f t="shared" si="14"/>
        <v>0</v>
      </c>
      <c r="AA55" s="674">
        <f t="shared" si="15"/>
        <v>0</v>
      </c>
      <c r="AB55" s="688">
        <f>IF(Y55=0,,VLOOKUP(Y55,リスト!CX:CY,2,0))</f>
        <v>0</v>
      </c>
      <c r="AC55" s="688">
        <f t="shared" si="1"/>
        <v>0</v>
      </c>
      <c r="AD55" s="689">
        <f>IF(AC55=0,,VLOOKUP(AC55,リスト!DK:DL,2,0))</f>
        <v>0</v>
      </c>
      <c r="AE55" s="674">
        <f>IF(Y55=0,,
IF(OR(リスト!$C$21="小麦",リスト!$C$21="二条大麦",リスト!$C$21="六条大麦",リスト!$C$21="はだか麦",リスト!$C$21="なたね"),IF(K55&lt;9,調査年-J55,調査年-J55-1),
IF(リスト!$C$21="さとうきび",IF(K55&gt;=4,調査年-J55,調査年-J55+1),
調査年-J55)))</f>
        <v>0</v>
      </c>
      <c r="AF55" s="252">
        <f t="shared" si="18"/>
        <v>0</v>
      </c>
      <c r="AG55" s="252">
        <f t="shared" si="3"/>
        <v>0</v>
      </c>
      <c r="AH55" s="252">
        <f t="shared" si="4"/>
        <v>0</v>
      </c>
      <c r="AI55" s="252">
        <f t="shared" si="5"/>
        <v>0</v>
      </c>
      <c r="AJ55" s="252">
        <f t="shared" si="6"/>
        <v>0</v>
      </c>
      <c r="AK55" s="252">
        <f t="shared" si="16"/>
        <v>0</v>
      </c>
      <c r="AL55" s="252">
        <f t="shared" si="7"/>
        <v>0</v>
      </c>
      <c r="AM55" s="252">
        <f t="shared" si="8"/>
        <v>0</v>
      </c>
      <c r="AN55" s="403"/>
      <c r="AO55" s="67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6">
        <f t="shared" si="9"/>
        <v>0</v>
      </c>
      <c r="AQ55" s="252">
        <f t="shared" si="10"/>
        <v>0</v>
      </c>
      <c r="AR55" s="676">
        <f t="shared" si="11"/>
        <v>0</v>
      </c>
      <c r="AS55" s="25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52">
        <f t="shared" si="12"/>
        <v>0</v>
      </c>
      <c r="AU55" s="252" t="str">
        <f t="shared" si="13"/>
        <v/>
      </c>
      <c r="AV55" s="690"/>
      <c r="AW55" s="690"/>
      <c r="AX55" s="690"/>
      <c r="AY55" s="690"/>
      <c r="AZ55" s="690"/>
    </row>
    <row r="56" spans="3:52" s="46" customFormat="1" ht="30" hidden="1" customHeight="1" outlineLevel="1">
      <c r="C56" s="678">
        <v>41</v>
      </c>
      <c r="D56" s="691"/>
      <c r="E56" s="680"/>
      <c r="F56" s="681"/>
      <c r="G56" s="1942"/>
      <c r="H56" s="1943"/>
      <c r="I56" s="682"/>
      <c r="J56" s="683"/>
      <c r="K56" s="684"/>
      <c r="L56" s="685"/>
      <c r="M56" s="685"/>
      <c r="N56" s="685"/>
      <c r="O56" s="685"/>
      <c r="P56" s="1045"/>
      <c r="Q56" s="686"/>
      <c r="R56" s="687"/>
      <c r="S56" s="685"/>
      <c r="T56" s="672"/>
      <c r="U56" s="2"/>
      <c r="V56" s="1054"/>
      <c r="W56" s="673"/>
      <c r="X56" s="2"/>
      <c r="Y56" s="688">
        <f t="shared" si="17"/>
        <v>0</v>
      </c>
      <c r="Z56" s="674">
        <f t="shared" si="14"/>
        <v>0</v>
      </c>
      <c r="AA56" s="674">
        <f t="shared" si="15"/>
        <v>0</v>
      </c>
      <c r="AB56" s="688">
        <f>IF(Y56=0,,VLOOKUP(Y56,リスト!CX:CY,2,0))</f>
        <v>0</v>
      </c>
      <c r="AC56" s="688">
        <f t="shared" si="1"/>
        <v>0</v>
      </c>
      <c r="AD56" s="689">
        <f>IF(AC56=0,,VLOOKUP(AC56,リスト!DK:DL,2,0))</f>
        <v>0</v>
      </c>
      <c r="AE56" s="674">
        <f>IF(Y56=0,,
IF(OR(リスト!$C$21="小麦",リスト!$C$21="二条大麦",リスト!$C$21="六条大麦",リスト!$C$21="はだか麦",リスト!$C$21="なたね"),IF(K56&lt;9,調査年-J56,調査年-J56-1),
IF(リスト!$C$21="さとうきび",IF(K56&gt;=4,調査年-J56,調査年-J56+1),
調査年-J56)))</f>
        <v>0</v>
      </c>
      <c r="AF56" s="252">
        <f t="shared" si="18"/>
        <v>0</v>
      </c>
      <c r="AG56" s="252">
        <f t="shared" si="3"/>
        <v>0</v>
      </c>
      <c r="AH56" s="252">
        <f t="shared" si="4"/>
        <v>0</v>
      </c>
      <c r="AI56" s="252">
        <f t="shared" si="5"/>
        <v>0</v>
      </c>
      <c r="AJ56" s="252">
        <f t="shared" si="6"/>
        <v>0</v>
      </c>
      <c r="AK56" s="252">
        <f t="shared" si="16"/>
        <v>0</v>
      </c>
      <c r="AL56" s="252">
        <f t="shared" si="7"/>
        <v>0</v>
      </c>
      <c r="AM56" s="252">
        <f t="shared" si="8"/>
        <v>0</v>
      </c>
      <c r="AN56" s="403"/>
      <c r="AO56" s="67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6">
        <f t="shared" si="9"/>
        <v>0</v>
      </c>
      <c r="AQ56" s="252">
        <f t="shared" si="10"/>
        <v>0</v>
      </c>
      <c r="AR56" s="676">
        <f t="shared" si="11"/>
        <v>0</v>
      </c>
      <c r="AS56" s="25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52">
        <f t="shared" si="12"/>
        <v>0</v>
      </c>
      <c r="AU56" s="252" t="str">
        <f t="shared" si="13"/>
        <v/>
      </c>
      <c r="AV56" s="690"/>
      <c r="AW56" s="690"/>
      <c r="AX56" s="690"/>
      <c r="AY56" s="690"/>
      <c r="AZ56" s="690"/>
    </row>
    <row r="57" spans="3:52" s="46" customFormat="1" ht="30" hidden="1" customHeight="1" outlineLevel="1">
      <c r="C57" s="678">
        <v>42</v>
      </c>
      <c r="D57" s="691"/>
      <c r="E57" s="680"/>
      <c r="F57" s="681"/>
      <c r="G57" s="1942"/>
      <c r="H57" s="1943"/>
      <c r="I57" s="682"/>
      <c r="J57" s="683"/>
      <c r="K57" s="684"/>
      <c r="L57" s="685"/>
      <c r="M57" s="685"/>
      <c r="N57" s="685"/>
      <c r="O57" s="685"/>
      <c r="P57" s="1045"/>
      <c r="Q57" s="686"/>
      <c r="R57" s="687"/>
      <c r="S57" s="685"/>
      <c r="T57" s="672"/>
      <c r="U57" s="2"/>
      <c r="V57" s="1054"/>
      <c r="W57" s="673"/>
      <c r="X57" s="2"/>
      <c r="Y57" s="688">
        <f t="shared" si="17"/>
        <v>0</v>
      </c>
      <c r="Z57" s="674">
        <f t="shared" si="14"/>
        <v>0</v>
      </c>
      <c r="AA57" s="674">
        <f t="shared" si="15"/>
        <v>0</v>
      </c>
      <c r="AB57" s="688">
        <f>IF(Y57=0,,VLOOKUP(Y57,リスト!CX:CY,2,0))</f>
        <v>0</v>
      </c>
      <c r="AC57" s="688">
        <f t="shared" si="1"/>
        <v>0</v>
      </c>
      <c r="AD57" s="689">
        <f>IF(AC57=0,,VLOOKUP(AC57,リスト!DK:DL,2,0))</f>
        <v>0</v>
      </c>
      <c r="AE57" s="674">
        <f>IF(Y57=0,,
IF(OR(リスト!$C$21="小麦",リスト!$C$21="二条大麦",リスト!$C$21="六条大麦",リスト!$C$21="はだか麦",リスト!$C$21="なたね"),IF(K57&lt;9,調査年-J57,調査年-J57-1),
IF(リスト!$C$21="さとうきび",IF(K57&gt;=4,調査年-J57,調査年-J57+1),
調査年-J57)))</f>
        <v>0</v>
      </c>
      <c r="AF57" s="252">
        <f t="shared" si="18"/>
        <v>0</v>
      </c>
      <c r="AG57" s="252">
        <f t="shared" si="3"/>
        <v>0</v>
      </c>
      <c r="AH57" s="252">
        <f t="shared" si="4"/>
        <v>0</v>
      </c>
      <c r="AI57" s="252">
        <f t="shared" si="5"/>
        <v>0</v>
      </c>
      <c r="AJ57" s="252">
        <f t="shared" si="6"/>
        <v>0</v>
      </c>
      <c r="AK57" s="252">
        <f t="shared" si="16"/>
        <v>0</v>
      </c>
      <c r="AL57" s="252">
        <f t="shared" si="7"/>
        <v>0</v>
      </c>
      <c r="AM57" s="252">
        <f t="shared" si="8"/>
        <v>0</v>
      </c>
      <c r="AN57" s="403"/>
      <c r="AO57" s="67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6">
        <f t="shared" si="9"/>
        <v>0</v>
      </c>
      <c r="AQ57" s="252">
        <f t="shared" si="10"/>
        <v>0</v>
      </c>
      <c r="AR57" s="676">
        <f t="shared" si="11"/>
        <v>0</v>
      </c>
      <c r="AS57" s="25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52">
        <f t="shared" si="12"/>
        <v>0</v>
      </c>
      <c r="AU57" s="252" t="str">
        <f t="shared" si="13"/>
        <v/>
      </c>
      <c r="AV57" s="690"/>
      <c r="AW57" s="690"/>
      <c r="AX57" s="690"/>
      <c r="AY57" s="690"/>
      <c r="AZ57" s="690"/>
    </row>
    <row r="58" spans="3:52" s="46" customFormat="1" ht="30" hidden="1" customHeight="1" outlineLevel="1">
      <c r="C58" s="678">
        <v>43</v>
      </c>
      <c r="D58" s="691"/>
      <c r="E58" s="680"/>
      <c r="F58" s="681"/>
      <c r="G58" s="1942"/>
      <c r="H58" s="1943"/>
      <c r="I58" s="682"/>
      <c r="J58" s="683"/>
      <c r="K58" s="684"/>
      <c r="L58" s="685"/>
      <c r="M58" s="685"/>
      <c r="N58" s="685"/>
      <c r="O58" s="685"/>
      <c r="P58" s="1045"/>
      <c r="Q58" s="686"/>
      <c r="R58" s="687"/>
      <c r="S58" s="685"/>
      <c r="T58" s="672"/>
      <c r="U58" s="2"/>
      <c r="V58" s="1054"/>
      <c r="W58" s="673"/>
      <c r="X58" s="2"/>
      <c r="Y58" s="688">
        <f t="shared" si="17"/>
        <v>0</v>
      </c>
      <c r="Z58" s="674">
        <f t="shared" si="14"/>
        <v>0</v>
      </c>
      <c r="AA58" s="674">
        <f t="shared" si="15"/>
        <v>0</v>
      </c>
      <c r="AB58" s="688">
        <f>IF(Y58=0,,VLOOKUP(Y58,リスト!CX:CY,2,0))</f>
        <v>0</v>
      </c>
      <c r="AC58" s="688">
        <f t="shared" si="1"/>
        <v>0</v>
      </c>
      <c r="AD58" s="689">
        <f>IF(AC58=0,,VLOOKUP(AC58,リスト!DK:DL,2,0))</f>
        <v>0</v>
      </c>
      <c r="AE58" s="674">
        <f>IF(Y58=0,,
IF(OR(リスト!$C$21="小麦",リスト!$C$21="二条大麦",リスト!$C$21="六条大麦",リスト!$C$21="はだか麦",リスト!$C$21="なたね"),IF(K58&lt;9,調査年-J58,調査年-J58-1),
IF(リスト!$C$21="さとうきび",IF(K58&gt;=4,調査年-J58,調査年-J58+1),
調査年-J58)))</f>
        <v>0</v>
      </c>
      <c r="AF58" s="252">
        <f t="shared" si="18"/>
        <v>0</v>
      </c>
      <c r="AG58" s="252">
        <f t="shared" si="3"/>
        <v>0</v>
      </c>
      <c r="AH58" s="252">
        <f t="shared" si="4"/>
        <v>0</v>
      </c>
      <c r="AI58" s="252">
        <f t="shared" si="5"/>
        <v>0</v>
      </c>
      <c r="AJ58" s="252">
        <f t="shared" si="6"/>
        <v>0</v>
      </c>
      <c r="AK58" s="252">
        <f t="shared" si="16"/>
        <v>0</v>
      </c>
      <c r="AL58" s="252">
        <f t="shared" si="7"/>
        <v>0</v>
      </c>
      <c r="AM58" s="252">
        <f t="shared" si="8"/>
        <v>0</v>
      </c>
      <c r="AN58" s="403"/>
      <c r="AO58" s="67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6">
        <f t="shared" si="9"/>
        <v>0</v>
      </c>
      <c r="AQ58" s="252">
        <f t="shared" si="10"/>
        <v>0</v>
      </c>
      <c r="AR58" s="676">
        <f t="shared" si="11"/>
        <v>0</v>
      </c>
      <c r="AS58" s="25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52">
        <f t="shared" si="12"/>
        <v>0</v>
      </c>
      <c r="AU58" s="252" t="str">
        <f t="shared" si="13"/>
        <v/>
      </c>
      <c r="AV58" s="690"/>
      <c r="AW58" s="690"/>
      <c r="AX58" s="690"/>
      <c r="AY58" s="690"/>
      <c r="AZ58" s="690"/>
    </row>
    <row r="59" spans="3:52" s="46" customFormat="1" ht="30" hidden="1" customHeight="1" outlineLevel="1">
      <c r="C59" s="678">
        <v>44</v>
      </c>
      <c r="D59" s="691"/>
      <c r="E59" s="680"/>
      <c r="F59" s="681"/>
      <c r="G59" s="1942"/>
      <c r="H59" s="1943"/>
      <c r="I59" s="682"/>
      <c r="J59" s="683"/>
      <c r="K59" s="684"/>
      <c r="L59" s="685"/>
      <c r="M59" s="685"/>
      <c r="N59" s="685"/>
      <c r="O59" s="685"/>
      <c r="P59" s="1045"/>
      <c r="Q59" s="686"/>
      <c r="R59" s="687"/>
      <c r="S59" s="685"/>
      <c r="T59" s="672"/>
      <c r="U59" s="2"/>
      <c r="V59" s="1054"/>
      <c r="W59" s="673"/>
      <c r="X59" s="2"/>
      <c r="Y59" s="688">
        <f t="shared" si="17"/>
        <v>0</v>
      </c>
      <c r="Z59" s="674">
        <f t="shared" si="14"/>
        <v>0</v>
      </c>
      <c r="AA59" s="674">
        <f t="shared" si="15"/>
        <v>0</v>
      </c>
      <c r="AB59" s="688">
        <f>IF(Y59=0,,VLOOKUP(Y59,リスト!CX:CY,2,0))</f>
        <v>0</v>
      </c>
      <c r="AC59" s="688">
        <f t="shared" si="1"/>
        <v>0</v>
      </c>
      <c r="AD59" s="689">
        <f>IF(AC59=0,,VLOOKUP(AC59,リスト!DK:DL,2,0))</f>
        <v>0</v>
      </c>
      <c r="AE59" s="674">
        <f>IF(Y59=0,,
IF(OR(リスト!$C$21="小麦",リスト!$C$21="二条大麦",リスト!$C$21="六条大麦",リスト!$C$21="はだか麦",リスト!$C$21="なたね"),IF(K59&lt;9,調査年-J59,調査年-J59-1),
IF(リスト!$C$21="さとうきび",IF(K59&gt;=4,調査年-J59,調査年-J59+1),
調査年-J59)))</f>
        <v>0</v>
      </c>
      <c r="AF59" s="252">
        <f t="shared" si="18"/>
        <v>0</v>
      </c>
      <c r="AG59" s="252">
        <f t="shared" si="3"/>
        <v>0</v>
      </c>
      <c r="AH59" s="252">
        <f t="shared" si="4"/>
        <v>0</v>
      </c>
      <c r="AI59" s="252">
        <f t="shared" si="5"/>
        <v>0</v>
      </c>
      <c r="AJ59" s="252">
        <f t="shared" si="6"/>
        <v>0</v>
      </c>
      <c r="AK59" s="252">
        <f t="shared" si="16"/>
        <v>0</v>
      </c>
      <c r="AL59" s="252">
        <f t="shared" si="7"/>
        <v>0</v>
      </c>
      <c r="AM59" s="252">
        <f t="shared" si="8"/>
        <v>0</v>
      </c>
      <c r="AN59" s="403"/>
      <c r="AO59" s="67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6">
        <f t="shared" si="9"/>
        <v>0</v>
      </c>
      <c r="AQ59" s="252">
        <f t="shared" si="10"/>
        <v>0</v>
      </c>
      <c r="AR59" s="676">
        <f t="shared" si="11"/>
        <v>0</v>
      </c>
      <c r="AS59" s="25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52">
        <f t="shared" si="12"/>
        <v>0</v>
      </c>
      <c r="AU59" s="252" t="str">
        <f t="shared" si="13"/>
        <v/>
      </c>
      <c r="AV59" s="690"/>
      <c r="AW59" s="690"/>
      <c r="AX59" s="690"/>
      <c r="AY59" s="690"/>
      <c r="AZ59" s="690"/>
    </row>
    <row r="60" spans="3:52" s="46" customFormat="1" ht="30" hidden="1" customHeight="1" outlineLevel="1">
      <c r="C60" s="678">
        <v>45</v>
      </c>
      <c r="D60" s="691"/>
      <c r="E60" s="680"/>
      <c r="F60" s="681"/>
      <c r="G60" s="1942"/>
      <c r="H60" s="1943"/>
      <c r="I60" s="682"/>
      <c r="J60" s="683"/>
      <c r="K60" s="684"/>
      <c r="L60" s="685"/>
      <c r="M60" s="685"/>
      <c r="N60" s="685"/>
      <c r="O60" s="685"/>
      <c r="P60" s="1045"/>
      <c r="Q60" s="686"/>
      <c r="R60" s="687"/>
      <c r="S60" s="685"/>
      <c r="T60" s="672"/>
      <c r="U60" s="2"/>
      <c r="V60" s="1054"/>
      <c r="W60" s="673"/>
      <c r="X60" s="2"/>
      <c r="Y60" s="688">
        <f t="shared" si="17"/>
        <v>0</v>
      </c>
      <c r="Z60" s="674">
        <f t="shared" si="14"/>
        <v>0</v>
      </c>
      <c r="AA60" s="674">
        <f t="shared" si="15"/>
        <v>0</v>
      </c>
      <c r="AB60" s="688">
        <f>IF(Y60=0,,VLOOKUP(Y60,リスト!CX:CY,2,0))</f>
        <v>0</v>
      </c>
      <c r="AC60" s="688">
        <f t="shared" si="1"/>
        <v>0</v>
      </c>
      <c r="AD60" s="689">
        <f>IF(AC60=0,,VLOOKUP(AC60,リスト!DK:DL,2,0))</f>
        <v>0</v>
      </c>
      <c r="AE60" s="674">
        <f>IF(Y60=0,,
IF(OR(リスト!$C$21="小麦",リスト!$C$21="二条大麦",リスト!$C$21="六条大麦",リスト!$C$21="はだか麦",リスト!$C$21="なたね"),IF(K60&lt;9,調査年-J60,調査年-J60-1),
IF(リスト!$C$21="さとうきび",IF(K60&gt;=4,調査年-J60,調査年-J60+1),
調査年-J60)))</f>
        <v>0</v>
      </c>
      <c r="AF60" s="252">
        <f t="shared" si="18"/>
        <v>0</v>
      </c>
      <c r="AG60" s="252">
        <f t="shared" si="3"/>
        <v>0</v>
      </c>
      <c r="AH60" s="252">
        <f t="shared" si="4"/>
        <v>0</v>
      </c>
      <c r="AI60" s="252">
        <f t="shared" si="5"/>
        <v>0</v>
      </c>
      <c r="AJ60" s="252">
        <f t="shared" si="6"/>
        <v>0</v>
      </c>
      <c r="AK60" s="252">
        <f t="shared" si="16"/>
        <v>0</v>
      </c>
      <c r="AL60" s="252">
        <f t="shared" si="7"/>
        <v>0</v>
      </c>
      <c r="AM60" s="252">
        <f t="shared" si="8"/>
        <v>0</v>
      </c>
      <c r="AN60" s="403"/>
      <c r="AO60" s="67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6">
        <f t="shared" si="9"/>
        <v>0</v>
      </c>
      <c r="AQ60" s="252">
        <f t="shared" si="10"/>
        <v>0</v>
      </c>
      <c r="AR60" s="676">
        <f t="shared" si="11"/>
        <v>0</v>
      </c>
      <c r="AS60" s="25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52">
        <f t="shared" si="12"/>
        <v>0</v>
      </c>
      <c r="AU60" s="252" t="str">
        <f t="shared" si="13"/>
        <v/>
      </c>
      <c r="AV60" s="690"/>
      <c r="AW60" s="690"/>
      <c r="AX60" s="690"/>
      <c r="AY60" s="690"/>
      <c r="AZ60" s="690"/>
    </row>
    <row r="61" spans="3:52" s="46" customFormat="1" ht="30" hidden="1" customHeight="1" outlineLevel="1">
      <c r="C61" s="678">
        <v>46</v>
      </c>
      <c r="D61" s="691"/>
      <c r="E61" s="680"/>
      <c r="F61" s="681"/>
      <c r="G61" s="1942"/>
      <c r="H61" s="1943"/>
      <c r="I61" s="682"/>
      <c r="J61" s="683"/>
      <c r="K61" s="684"/>
      <c r="L61" s="685"/>
      <c r="M61" s="685"/>
      <c r="N61" s="685"/>
      <c r="O61" s="685"/>
      <c r="P61" s="1045"/>
      <c r="Q61" s="686"/>
      <c r="R61" s="687"/>
      <c r="S61" s="685"/>
      <c r="T61" s="672"/>
      <c r="U61" s="2"/>
      <c r="V61" s="1054"/>
      <c r="W61" s="673"/>
      <c r="X61" s="2"/>
      <c r="Y61" s="688">
        <f t="shared" si="17"/>
        <v>0</v>
      </c>
      <c r="Z61" s="674">
        <f t="shared" si="14"/>
        <v>0</v>
      </c>
      <c r="AA61" s="674">
        <f t="shared" si="15"/>
        <v>0</v>
      </c>
      <c r="AB61" s="688">
        <f>IF(Y61=0,,VLOOKUP(Y61,リスト!CX:CY,2,0))</f>
        <v>0</v>
      </c>
      <c r="AC61" s="688">
        <f t="shared" si="1"/>
        <v>0</v>
      </c>
      <c r="AD61" s="689">
        <f>IF(AC61=0,,VLOOKUP(AC61,リスト!DK:DL,2,0))</f>
        <v>0</v>
      </c>
      <c r="AE61" s="674">
        <f>IF(Y61=0,,
IF(OR(リスト!$C$21="小麦",リスト!$C$21="二条大麦",リスト!$C$21="六条大麦",リスト!$C$21="はだか麦",リスト!$C$21="なたね"),IF(K61&lt;9,調査年-J61,調査年-J61-1),
IF(リスト!$C$21="さとうきび",IF(K61&gt;=4,調査年-J61,調査年-J61+1),
調査年-J61)))</f>
        <v>0</v>
      </c>
      <c r="AF61" s="252">
        <f t="shared" si="18"/>
        <v>0</v>
      </c>
      <c r="AG61" s="252">
        <f t="shared" si="3"/>
        <v>0</v>
      </c>
      <c r="AH61" s="252">
        <f t="shared" si="4"/>
        <v>0</v>
      </c>
      <c r="AI61" s="252">
        <f t="shared" si="5"/>
        <v>0</v>
      </c>
      <c r="AJ61" s="252">
        <f t="shared" si="6"/>
        <v>0</v>
      </c>
      <c r="AK61" s="252">
        <f t="shared" si="16"/>
        <v>0</v>
      </c>
      <c r="AL61" s="252">
        <f t="shared" si="7"/>
        <v>0</v>
      </c>
      <c r="AM61" s="252">
        <f t="shared" si="8"/>
        <v>0</v>
      </c>
      <c r="AN61" s="403"/>
      <c r="AO61" s="67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6">
        <f t="shared" si="9"/>
        <v>0</v>
      </c>
      <c r="AQ61" s="252">
        <f t="shared" si="10"/>
        <v>0</v>
      </c>
      <c r="AR61" s="676">
        <f t="shared" si="11"/>
        <v>0</v>
      </c>
      <c r="AS61" s="25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52">
        <f t="shared" si="12"/>
        <v>0</v>
      </c>
      <c r="AU61" s="252" t="str">
        <f t="shared" si="13"/>
        <v/>
      </c>
      <c r="AV61" s="690"/>
      <c r="AW61" s="690"/>
      <c r="AX61" s="690"/>
      <c r="AY61" s="690"/>
      <c r="AZ61" s="690"/>
    </row>
    <row r="62" spans="3:52" s="46" customFormat="1" ht="30" hidden="1" customHeight="1" outlineLevel="1">
      <c r="C62" s="678">
        <v>47</v>
      </c>
      <c r="D62" s="691"/>
      <c r="E62" s="680"/>
      <c r="F62" s="681"/>
      <c r="G62" s="1942"/>
      <c r="H62" s="1943"/>
      <c r="I62" s="682"/>
      <c r="J62" s="683"/>
      <c r="K62" s="684"/>
      <c r="L62" s="685"/>
      <c r="M62" s="685"/>
      <c r="N62" s="685"/>
      <c r="O62" s="685"/>
      <c r="P62" s="1045"/>
      <c r="Q62" s="686"/>
      <c r="R62" s="687"/>
      <c r="S62" s="685"/>
      <c r="T62" s="672"/>
      <c r="U62" s="2"/>
      <c r="V62" s="1054"/>
      <c r="W62" s="673"/>
      <c r="X62" s="2"/>
      <c r="Y62" s="688">
        <f t="shared" si="17"/>
        <v>0</v>
      </c>
      <c r="Z62" s="674">
        <f t="shared" si="14"/>
        <v>0</v>
      </c>
      <c r="AA62" s="674">
        <f t="shared" si="15"/>
        <v>0</v>
      </c>
      <c r="AB62" s="688">
        <f>IF(Y62=0,,VLOOKUP(Y62,リスト!CX:CY,2,0))</f>
        <v>0</v>
      </c>
      <c r="AC62" s="688">
        <f t="shared" si="1"/>
        <v>0</v>
      </c>
      <c r="AD62" s="689">
        <f>IF(AC62=0,,VLOOKUP(AC62,リスト!DK:DL,2,0))</f>
        <v>0</v>
      </c>
      <c r="AE62" s="674">
        <f>IF(Y62=0,,
IF(OR(リスト!$C$21="小麦",リスト!$C$21="二条大麦",リスト!$C$21="六条大麦",リスト!$C$21="はだか麦",リスト!$C$21="なたね"),IF(K62&lt;9,調査年-J62,調査年-J62-1),
IF(リスト!$C$21="さとうきび",IF(K62&gt;=4,調査年-J62,調査年-J62+1),
調査年-J62)))</f>
        <v>0</v>
      </c>
      <c r="AF62" s="252">
        <f t="shared" si="18"/>
        <v>0</v>
      </c>
      <c r="AG62" s="252">
        <f t="shared" si="3"/>
        <v>0</v>
      </c>
      <c r="AH62" s="252">
        <f t="shared" si="4"/>
        <v>0</v>
      </c>
      <c r="AI62" s="252">
        <f t="shared" si="5"/>
        <v>0</v>
      </c>
      <c r="AJ62" s="252">
        <f t="shared" si="6"/>
        <v>0</v>
      </c>
      <c r="AK62" s="252">
        <f t="shared" si="16"/>
        <v>0</v>
      </c>
      <c r="AL62" s="252">
        <f t="shared" si="7"/>
        <v>0</v>
      </c>
      <c r="AM62" s="252">
        <f t="shared" si="8"/>
        <v>0</v>
      </c>
      <c r="AN62" s="403"/>
      <c r="AO62" s="67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6">
        <f t="shared" si="9"/>
        <v>0</v>
      </c>
      <c r="AQ62" s="252">
        <f t="shared" si="10"/>
        <v>0</v>
      </c>
      <c r="AR62" s="676">
        <f t="shared" si="11"/>
        <v>0</v>
      </c>
      <c r="AS62" s="25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52">
        <f t="shared" si="12"/>
        <v>0</v>
      </c>
      <c r="AU62" s="252" t="str">
        <f t="shared" si="13"/>
        <v/>
      </c>
      <c r="AV62" s="690"/>
      <c r="AW62" s="690"/>
      <c r="AX62" s="690"/>
      <c r="AY62" s="690"/>
      <c r="AZ62" s="690"/>
    </row>
    <row r="63" spans="3:52" s="46" customFormat="1" ht="30" hidden="1" customHeight="1" outlineLevel="1">
      <c r="C63" s="678">
        <v>48</v>
      </c>
      <c r="D63" s="691"/>
      <c r="E63" s="680"/>
      <c r="F63" s="681"/>
      <c r="G63" s="1942"/>
      <c r="H63" s="1943"/>
      <c r="I63" s="682"/>
      <c r="J63" s="683"/>
      <c r="K63" s="684"/>
      <c r="L63" s="685"/>
      <c r="M63" s="685"/>
      <c r="N63" s="685"/>
      <c r="O63" s="685"/>
      <c r="P63" s="1045"/>
      <c r="Q63" s="686"/>
      <c r="R63" s="687"/>
      <c r="S63" s="685"/>
      <c r="T63" s="672"/>
      <c r="U63" s="2"/>
      <c r="V63" s="1054"/>
      <c r="W63" s="673"/>
      <c r="X63" s="2"/>
      <c r="Y63" s="688">
        <f t="shared" si="17"/>
        <v>0</v>
      </c>
      <c r="Z63" s="674">
        <f t="shared" si="14"/>
        <v>0</v>
      </c>
      <c r="AA63" s="674">
        <f t="shared" si="15"/>
        <v>0</v>
      </c>
      <c r="AB63" s="688">
        <f>IF(Y63=0,,VLOOKUP(Y63,リスト!CX:CY,2,0))</f>
        <v>0</v>
      </c>
      <c r="AC63" s="688">
        <f t="shared" si="1"/>
        <v>0</v>
      </c>
      <c r="AD63" s="689">
        <f>IF(AC63=0,,VLOOKUP(AC63,リスト!DK:DL,2,0))</f>
        <v>0</v>
      </c>
      <c r="AE63" s="674">
        <f>IF(Y63=0,,
IF(OR(リスト!$C$21="小麦",リスト!$C$21="二条大麦",リスト!$C$21="六条大麦",リスト!$C$21="はだか麦",リスト!$C$21="なたね"),IF(K63&lt;9,調査年-J63,調査年-J63-1),
IF(リスト!$C$21="さとうきび",IF(K63&gt;=4,調査年-J63,調査年-J63+1),
調査年-J63)))</f>
        <v>0</v>
      </c>
      <c r="AF63" s="252">
        <f t="shared" si="18"/>
        <v>0</v>
      </c>
      <c r="AG63" s="252">
        <f t="shared" si="3"/>
        <v>0</v>
      </c>
      <c r="AH63" s="252">
        <f t="shared" si="4"/>
        <v>0</v>
      </c>
      <c r="AI63" s="252">
        <f t="shared" si="5"/>
        <v>0</v>
      </c>
      <c r="AJ63" s="252">
        <f t="shared" si="6"/>
        <v>0</v>
      </c>
      <c r="AK63" s="252">
        <f t="shared" si="16"/>
        <v>0</v>
      </c>
      <c r="AL63" s="252">
        <f t="shared" si="7"/>
        <v>0</v>
      </c>
      <c r="AM63" s="252">
        <f t="shared" si="8"/>
        <v>0</v>
      </c>
      <c r="AN63" s="403"/>
      <c r="AO63" s="67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6">
        <f t="shared" si="9"/>
        <v>0</v>
      </c>
      <c r="AQ63" s="252">
        <f t="shared" si="10"/>
        <v>0</v>
      </c>
      <c r="AR63" s="676">
        <f t="shared" si="11"/>
        <v>0</v>
      </c>
      <c r="AS63" s="25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52">
        <f t="shared" si="12"/>
        <v>0</v>
      </c>
      <c r="AU63" s="252" t="str">
        <f t="shared" si="13"/>
        <v/>
      </c>
      <c r="AV63" s="690"/>
      <c r="AW63" s="690"/>
      <c r="AX63" s="690"/>
      <c r="AY63" s="690"/>
      <c r="AZ63" s="690"/>
    </row>
    <row r="64" spans="3:52" s="46" customFormat="1" ht="30" hidden="1" customHeight="1" outlineLevel="1">
      <c r="C64" s="678">
        <v>49</v>
      </c>
      <c r="D64" s="691"/>
      <c r="E64" s="680"/>
      <c r="F64" s="681"/>
      <c r="G64" s="1942"/>
      <c r="H64" s="1943"/>
      <c r="I64" s="682"/>
      <c r="J64" s="683"/>
      <c r="K64" s="684"/>
      <c r="L64" s="685"/>
      <c r="M64" s="685"/>
      <c r="N64" s="685"/>
      <c r="O64" s="685"/>
      <c r="P64" s="1045"/>
      <c r="Q64" s="686"/>
      <c r="R64" s="687"/>
      <c r="S64" s="685"/>
      <c r="T64" s="672"/>
      <c r="U64" s="2"/>
      <c r="V64" s="1054"/>
      <c r="W64" s="673"/>
      <c r="X64" s="2"/>
      <c r="Y64" s="688">
        <f t="shared" si="17"/>
        <v>0</v>
      </c>
      <c r="Z64" s="674">
        <f t="shared" si="14"/>
        <v>0</v>
      </c>
      <c r="AA64" s="674">
        <f t="shared" si="15"/>
        <v>0</v>
      </c>
      <c r="AB64" s="688">
        <f>IF(Y64=0,,VLOOKUP(Y64,リスト!CX:CY,2,0))</f>
        <v>0</v>
      </c>
      <c r="AC64" s="688">
        <f t="shared" si="1"/>
        <v>0</v>
      </c>
      <c r="AD64" s="689">
        <f>IF(AC64=0,,VLOOKUP(AC64,リスト!DK:DL,2,0))</f>
        <v>0</v>
      </c>
      <c r="AE64" s="674">
        <f>IF(Y64=0,,
IF(OR(リスト!$C$21="小麦",リスト!$C$21="二条大麦",リスト!$C$21="六条大麦",リスト!$C$21="はだか麦",リスト!$C$21="なたね"),IF(K64&lt;9,調査年-J64,調査年-J64-1),
IF(リスト!$C$21="さとうきび",IF(K64&gt;=4,調査年-J64,調査年-J64+1),
調査年-J64)))</f>
        <v>0</v>
      </c>
      <c r="AF64" s="252">
        <f t="shared" si="18"/>
        <v>0</v>
      </c>
      <c r="AG64" s="252">
        <f t="shared" si="3"/>
        <v>0</v>
      </c>
      <c r="AH64" s="252">
        <f t="shared" si="4"/>
        <v>0</v>
      </c>
      <c r="AI64" s="252">
        <f t="shared" si="5"/>
        <v>0</v>
      </c>
      <c r="AJ64" s="252">
        <f t="shared" si="6"/>
        <v>0</v>
      </c>
      <c r="AK64" s="252">
        <f t="shared" si="16"/>
        <v>0</v>
      </c>
      <c r="AL64" s="252">
        <f t="shared" si="7"/>
        <v>0</v>
      </c>
      <c r="AM64" s="252">
        <f t="shared" si="8"/>
        <v>0</v>
      </c>
      <c r="AN64" s="403"/>
      <c r="AO64" s="67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6">
        <f t="shared" si="9"/>
        <v>0</v>
      </c>
      <c r="AQ64" s="252">
        <f t="shared" si="10"/>
        <v>0</v>
      </c>
      <c r="AR64" s="676">
        <f t="shared" si="11"/>
        <v>0</v>
      </c>
      <c r="AS64" s="25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52">
        <f t="shared" si="12"/>
        <v>0</v>
      </c>
      <c r="AU64" s="252" t="str">
        <f t="shared" si="13"/>
        <v/>
      </c>
      <c r="AV64" s="690"/>
      <c r="AW64" s="690"/>
      <c r="AX64" s="690"/>
      <c r="AY64" s="690"/>
      <c r="AZ64" s="690"/>
    </row>
    <row r="65" spans="3:52" s="46" customFormat="1" ht="30" hidden="1" customHeight="1" outlineLevel="1">
      <c r="C65" s="678">
        <v>50</v>
      </c>
      <c r="D65" s="691"/>
      <c r="E65" s="680"/>
      <c r="F65" s="681"/>
      <c r="G65" s="1942"/>
      <c r="H65" s="1943"/>
      <c r="I65" s="682"/>
      <c r="J65" s="683"/>
      <c r="K65" s="684"/>
      <c r="L65" s="685"/>
      <c r="M65" s="685"/>
      <c r="N65" s="685"/>
      <c r="O65" s="685"/>
      <c r="P65" s="1045"/>
      <c r="Q65" s="686"/>
      <c r="R65" s="687"/>
      <c r="S65" s="685"/>
      <c r="T65" s="672"/>
      <c r="U65" s="2"/>
      <c r="V65" s="1054"/>
      <c r="W65" s="673"/>
      <c r="X65" s="2"/>
      <c r="Y65" s="688">
        <f t="shared" si="17"/>
        <v>0</v>
      </c>
      <c r="Z65" s="674">
        <f t="shared" si="14"/>
        <v>0</v>
      </c>
      <c r="AA65" s="674">
        <f t="shared" si="15"/>
        <v>0</v>
      </c>
      <c r="AB65" s="688">
        <f>IF(Y65=0,,VLOOKUP(Y65,リスト!CX:CY,2,0))</f>
        <v>0</v>
      </c>
      <c r="AC65" s="688">
        <f t="shared" si="1"/>
        <v>0</v>
      </c>
      <c r="AD65" s="689">
        <f>IF(AC65=0,,VLOOKUP(AC65,リスト!DK:DL,2,0))</f>
        <v>0</v>
      </c>
      <c r="AE65" s="674">
        <f>IF(Y65=0,,
IF(OR(リスト!$C$21="小麦",リスト!$C$21="二条大麦",リスト!$C$21="六条大麦",リスト!$C$21="はだか麦",リスト!$C$21="なたね"),IF(K65&lt;9,調査年-J65,調査年-J65-1),
IF(リスト!$C$21="さとうきび",IF(K65&gt;=4,調査年-J65,調査年-J65+1),
調査年-J65)))</f>
        <v>0</v>
      </c>
      <c r="AF65" s="252">
        <f t="shared" si="18"/>
        <v>0</v>
      </c>
      <c r="AG65" s="252">
        <f t="shared" si="3"/>
        <v>0</v>
      </c>
      <c r="AH65" s="252">
        <f t="shared" si="4"/>
        <v>0</v>
      </c>
      <c r="AI65" s="252">
        <f t="shared" si="5"/>
        <v>0</v>
      </c>
      <c r="AJ65" s="252">
        <f t="shared" si="6"/>
        <v>0</v>
      </c>
      <c r="AK65" s="252">
        <f t="shared" si="16"/>
        <v>0</v>
      </c>
      <c r="AL65" s="252">
        <f t="shared" si="7"/>
        <v>0</v>
      </c>
      <c r="AM65" s="252">
        <f t="shared" si="8"/>
        <v>0</v>
      </c>
      <c r="AN65" s="403"/>
      <c r="AO65" s="67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6">
        <f t="shared" si="9"/>
        <v>0</v>
      </c>
      <c r="AQ65" s="252">
        <f t="shared" si="10"/>
        <v>0</v>
      </c>
      <c r="AR65" s="676">
        <f t="shared" si="11"/>
        <v>0</v>
      </c>
      <c r="AS65" s="25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52">
        <f t="shared" si="12"/>
        <v>0</v>
      </c>
      <c r="AU65" s="252" t="str">
        <f t="shared" si="13"/>
        <v/>
      </c>
      <c r="AV65" s="690"/>
      <c r="AW65" s="690"/>
      <c r="AX65" s="690"/>
      <c r="AY65" s="690"/>
      <c r="AZ65" s="690"/>
    </row>
    <row r="66" spans="3:52" s="46" customFormat="1" ht="30" hidden="1" customHeight="1" outlineLevel="1">
      <c r="C66" s="678">
        <v>51</v>
      </c>
      <c r="D66" s="691"/>
      <c r="E66" s="680"/>
      <c r="F66" s="681"/>
      <c r="G66" s="1942"/>
      <c r="H66" s="1943"/>
      <c r="I66" s="682"/>
      <c r="J66" s="683"/>
      <c r="K66" s="684"/>
      <c r="L66" s="685"/>
      <c r="M66" s="685"/>
      <c r="N66" s="685"/>
      <c r="O66" s="685"/>
      <c r="P66" s="1045"/>
      <c r="Q66" s="686"/>
      <c r="R66" s="687"/>
      <c r="S66" s="685"/>
      <c r="T66" s="672"/>
      <c r="U66" s="2"/>
      <c r="V66" s="1054"/>
      <c r="W66" s="673"/>
      <c r="X66" s="2"/>
      <c r="Y66" s="688">
        <f t="shared" si="17"/>
        <v>0</v>
      </c>
      <c r="Z66" s="674">
        <f t="shared" si="14"/>
        <v>0</v>
      </c>
      <c r="AA66" s="674">
        <f t="shared" si="15"/>
        <v>0</v>
      </c>
      <c r="AB66" s="688">
        <f>IF(Y66=0,,VLOOKUP(Y66,リスト!CX:CY,2,0))</f>
        <v>0</v>
      </c>
      <c r="AC66" s="688">
        <f t="shared" si="1"/>
        <v>0</v>
      </c>
      <c r="AD66" s="689">
        <f>IF(AC66=0,,VLOOKUP(AC66,リスト!DK:DL,2,0))</f>
        <v>0</v>
      </c>
      <c r="AE66" s="674">
        <f>IF(Y66=0,,
IF(OR(リスト!$C$21="小麦",リスト!$C$21="二条大麦",リスト!$C$21="六条大麦",リスト!$C$21="はだか麦",リスト!$C$21="なたね"),IF(K66&lt;9,調査年-J66,調査年-J66-1),
IF(リスト!$C$21="さとうきび",IF(K66&gt;=4,調査年-J66,調査年-J66+1),
調査年-J66)))</f>
        <v>0</v>
      </c>
      <c r="AF66" s="252">
        <f t="shared" si="18"/>
        <v>0</v>
      </c>
      <c r="AG66" s="252">
        <f t="shared" si="3"/>
        <v>0</v>
      </c>
      <c r="AH66" s="252">
        <f t="shared" si="4"/>
        <v>0</v>
      </c>
      <c r="AI66" s="252">
        <f t="shared" si="5"/>
        <v>0</v>
      </c>
      <c r="AJ66" s="252">
        <f t="shared" si="6"/>
        <v>0</v>
      </c>
      <c r="AK66" s="252">
        <f t="shared" si="16"/>
        <v>0</v>
      </c>
      <c r="AL66" s="252">
        <f t="shared" si="7"/>
        <v>0</v>
      </c>
      <c r="AM66" s="252">
        <f t="shared" si="8"/>
        <v>0</v>
      </c>
      <c r="AN66" s="403"/>
      <c r="AO66" s="67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6">
        <f t="shared" si="9"/>
        <v>0</v>
      </c>
      <c r="AQ66" s="252">
        <f t="shared" si="10"/>
        <v>0</v>
      </c>
      <c r="AR66" s="676">
        <f t="shared" si="11"/>
        <v>0</v>
      </c>
      <c r="AS66" s="25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52">
        <f t="shared" si="12"/>
        <v>0</v>
      </c>
      <c r="AU66" s="252" t="str">
        <f t="shared" si="13"/>
        <v/>
      </c>
      <c r="AV66" s="690"/>
      <c r="AW66" s="690"/>
      <c r="AX66" s="690"/>
      <c r="AY66" s="690"/>
      <c r="AZ66" s="690"/>
    </row>
    <row r="67" spans="3:52" s="46" customFormat="1" ht="30" hidden="1" customHeight="1" outlineLevel="1">
      <c r="C67" s="678">
        <v>52</v>
      </c>
      <c r="D67" s="691"/>
      <c r="E67" s="680"/>
      <c r="F67" s="681"/>
      <c r="G67" s="1942"/>
      <c r="H67" s="1943"/>
      <c r="I67" s="682"/>
      <c r="J67" s="683"/>
      <c r="K67" s="684"/>
      <c r="L67" s="685"/>
      <c r="M67" s="685"/>
      <c r="N67" s="685"/>
      <c r="O67" s="685"/>
      <c r="P67" s="1045"/>
      <c r="Q67" s="686"/>
      <c r="R67" s="687"/>
      <c r="S67" s="685"/>
      <c r="T67" s="672"/>
      <c r="U67" s="2"/>
      <c r="V67" s="1054"/>
      <c r="W67" s="673"/>
      <c r="X67" s="2"/>
      <c r="Y67" s="688">
        <f t="shared" si="17"/>
        <v>0</v>
      </c>
      <c r="Z67" s="674">
        <f t="shared" si="14"/>
        <v>0</v>
      </c>
      <c r="AA67" s="674">
        <f t="shared" si="15"/>
        <v>0</v>
      </c>
      <c r="AB67" s="688">
        <f>IF(Y67=0,,VLOOKUP(Y67,リスト!CX:CY,2,0))</f>
        <v>0</v>
      </c>
      <c r="AC67" s="688">
        <f t="shared" si="1"/>
        <v>0</v>
      </c>
      <c r="AD67" s="689">
        <f>IF(AC67=0,,VLOOKUP(AC67,リスト!DK:DL,2,0))</f>
        <v>0</v>
      </c>
      <c r="AE67" s="674">
        <f>IF(Y67=0,,
IF(OR(リスト!$C$21="小麦",リスト!$C$21="二条大麦",リスト!$C$21="六条大麦",リスト!$C$21="はだか麦",リスト!$C$21="なたね"),IF(K67&lt;9,調査年-J67,調査年-J67-1),
IF(リスト!$C$21="さとうきび",IF(K67&gt;=4,調査年-J67,調査年-J67+1),
調査年-J67)))</f>
        <v>0</v>
      </c>
      <c r="AF67" s="252">
        <f t="shared" si="18"/>
        <v>0</v>
      </c>
      <c r="AG67" s="252">
        <f t="shared" si="3"/>
        <v>0</v>
      </c>
      <c r="AH67" s="252">
        <f t="shared" si="4"/>
        <v>0</v>
      </c>
      <c r="AI67" s="252">
        <f t="shared" si="5"/>
        <v>0</v>
      </c>
      <c r="AJ67" s="252">
        <f t="shared" si="6"/>
        <v>0</v>
      </c>
      <c r="AK67" s="252">
        <f t="shared" si="16"/>
        <v>0</v>
      </c>
      <c r="AL67" s="252">
        <f t="shared" si="7"/>
        <v>0</v>
      </c>
      <c r="AM67" s="252">
        <f t="shared" si="8"/>
        <v>0</v>
      </c>
      <c r="AN67" s="403"/>
      <c r="AO67" s="67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6">
        <f t="shared" si="9"/>
        <v>0</v>
      </c>
      <c r="AQ67" s="252">
        <f t="shared" si="10"/>
        <v>0</v>
      </c>
      <c r="AR67" s="676">
        <f t="shared" si="11"/>
        <v>0</v>
      </c>
      <c r="AS67" s="25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52">
        <f t="shared" si="12"/>
        <v>0</v>
      </c>
      <c r="AU67" s="252" t="str">
        <f t="shared" si="13"/>
        <v/>
      </c>
      <c r="AV67" s="690"/>
      <c r="AW67" s="690"/>
      <c r="AX67" s="690"/>
      <c r="AY67" s="690"/>
      <c r="AZ67" s="690"/>
    </row>
    <row r="68" spans="3:52" s="46" customFormat="1" ht="30" hidden="1" customHeight="1" outlineLevel="1">
      <c r="C68" s="678">
        <v>53</v>
      </c>
      <c r="D68" s="691"/>
      <c r="E68" s="680"/>
      <c r="F68" s="681"/>
      <c r="G68" s="1942"/>
      <c r="H68" s="1943"/>
      <c r="I68" s="682"/>
      <c r="J68" s="683"/>
      <c r="K68" s="684"/>
      <c r="L68" s="685"/>
      <c r="M68" s="685"/>
      <c r="N68" s="685"/>
      <c r="O68" s="685"/>
      <c r="P68" s="1045"/>
      <c r="Q68" s="686"/>
      <c r="R68" s="687"/>
      <c r="S68" s="685"/>
      <c r="T68" s="672"/>
      <c r="U68" s="2"/>
      <c r="V68" s="1054"/>
      <c r="W68" s="673"/>
      <c r="X68" s="2"/>
      <c r="Y68" s="688">
        <f t="shared" si="17"/>
        <v>0</v>
      </c>
      <c r="Z68" s="674">
        <f t="shared" si="14"/>
        <v>0</v>
      </c>
      <c r="AA68" s="674">
        <f t="shared" si="15"/>
        <v>0</v>
      </c>
      <c r="AB68" s="688">
        <f>IF(Y68=0,,VLOOKUP(Y68,リスト!CX:CY,2,0))</f>
        <v>0</v>
      </c>
      <c r="AC68" s="688">
        <f t="shared" si="1"/>
        <v>0</v>
      </c>
      <c r="AD68" s="689">
        <f>IF(AC68=0,,VLOOKUP(AC68,リスト!DK:DL,2,0))</f>
        <v>0</v>
      </c>
      <c r="AE68" s="674">
        <f>IF(Y68=0,,
IF(OR(リスト!$C$21="小麦",リスト!$C$21="二条大麦",リスト!$C$21="六条大麦",リスト!$C$21="はだか麦",リスト!$C$21="なたね"),IF(K68&lt;9,調査年-J68,調査年-J68-1),
IF(リスト!$C$21="さとうきび",IF(K68&gt;=4,調査年-J68,調査年-J68+1),
調査年-J68)))</f>
        <v>0</v>
      </c>
      <c r="AF68" s="252">
        <f t="shared" si="18"/>
        <v>0</v>
      </c>
      <c r="AG68" s="252">
        <f t="shared" si="3"/>
        <v>0</v>
      </c>
      <c r="AH68" s="252">
        <f t="shared" si="4"/>
        <v>0</v>
      </c>
      <c r="AI68" s="252">
        <f t="shared" si="5"/>
        <v>0</v>
      </c>
      <c r="AJ68" s="252">
        <f t="shared" si="6"/>
        <v>0</v>
      </c>
      <c r="AK68" s="252">
        <f t="shared" si="16"/>
        <v>0</v>
      </c>
      <c r="AL68" s="252">
        <f t="shared" si="7"/>
        <v>0</v>
      </c>
      <c r="AM68" s="252">
        <f t="shared" si="8"/>
        <v>0</v>
      </c>
      <c r="AN68" s="403"/>
      <c r="AO68" s="67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6">
        <f t="shared" si="9"/>
        <v>0</v>
      </c>
      <c r="AQ68" s="252">
        <f t="shared" si="10"/>
        <v>0</v>
      </c>
      <c r="AR68" s="676">
        <f t="shared" si="11"/>
        <v>0</v>
      </c>
      <c r="AS68" s="25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52">
        <f t="shared" si="12"/>
        <v>0</v>
      </c>
      <c r="AU68" s="252" t="str">
        <f t="shared" si="13"/>
        <v/>
      </c>
      <c r="AV68" s="690"/>
      <c r="AW68" s="690"/>
      <c r="AX68" s="690"/>
      <c r="AY68" s="690"/>
      <c r="AZ68" s="690"/>
    </row>
    <row r="69" spans="3:52" s="46" customFormat="1" ht="30" hidden="1" customHeight="1" outlineLevel="1">
      <c r="C69" s="678">
        <v>54</v>
      </c>
      <c r="D69" s="691"/>
      <c r="E69" s="680"/>
      <c r="F69" s="681"/>
      <c r="G69" s="1942"/>
      <c r="H69" s="1943"/>
      <c r="I69" s="682"/>
      <c r="J69" s="683"/>
      <c r="K69" s="684"/>
      <c r="L69" s="685"/>
      <c r="M69" s="685"/>
      <c r="N69" s="685"/>
      <c r="O69" s="685"/>
      <c r="P69" s="1045"/>
      <c r="Q69" s="686"/>
      <c r="R69" s="687"/>
      <c r="S69" s="685"/>
      <c r="T69" s="672"/>
      <c r="U69" s="2"/>
      <c r="V69" s="1054"/>
      <c r="W69" s="673"/>
      <c r="X69" s="2"/>
      <c r="Y69" s="688">
        <f t="shared" si="17"/>
        <v>0</v>
      </c>
      <c r="Z69" s="674">
        <f t="shared" si="14"/>
        <v>0</v>
      </c>
      <c r="AA69" s="674">
        <f t="shared" si="15"/>
        <v>0</v>
      </c>
      <c r="AB69" s="688">
        <f>IF(Y69=0,,VLOOKUP(Y69,リスト!CX:CY,2,0))</f>
        <v>0</v>
      </c>
      <c r="AC69" s="688">
        <f t="shared" si="1"/>
        <v>0</v>
      </c>
      <c r="AD69" s="689">
        <f>IF(AC69=0,,VLOOKUP(AC69,リスト!DK:DL,2,0))</f>
        <v>0</v>
      </c>
      <c r="AE69" s="674">
        <f>IF(Y69=0,,
IF(OR(リスト!$C$21="小麦",リスト!$C$21="二条大麦",リスト!$C$21="六条大麦",リスト!$C$21="はだか麦",リスト!$C$21="なたね"),IF(K69&lt;9,調査年-J69,調査年-J69-1),
IF(リスト!$C$21="さとうきび",IF(K69&gt;=4,調査年-J69,調査年-J69+1),
調査年-J69)))</f>
        <v>0</v>
      </c>
      <c r="AF69" s="252">
        <f t="shared" si="18"/>
        <v>0</v>
      </c>
      <c r="AG69" s="252">
        <f t="shared" si="3"/>
        <v>0</v>
      </c>
      <c r="AH69" s="252">
        <f t="shared" si="4"/>
        <v>0</v>
      </c>
      <c r="AI69" s="252">
        <f t="shared" si="5"/>
        <v>0</v>
      </c>
      <c r="AJ69" s="252">
        <f t="shared" si="6"/>
        <v>0</v>
      </c>
      <c r="AK69" s="252">
        <f t="shared" si="16"/>
        <v>0</v>
      </c>
      <c r="AL69" s="252">
        <f t="shared" si="7"/>
        <v>0</v>
      </c>
      <c r="AM69" s="252">
        <f t="shared" si="8"/>
        <v>0</v>
      </c>
      <c r="AN69" s="403"/>
      <c r="AO69" s="67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6">
        <f t="shared" si="9"/>
        <v>0</v>
      </c>
      <c r="AQ69" s="252">
        <f t="shared" si="10"/>
        <v>0</v>
      </c>
      <c r="AR69" s="676">
        <f t="shared" si="11"/>
        <v>0</v>
      </c>
      <c r="AS69" s="25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52">
        <f t="shared" si="12"/>
        <v>0</v>
      </c>
      <c r="AU69" s="252" t="str">
        <f t="shared" si="13"/>
        <v/>
      </c>
      <c r="AV69" s="690"/>
      <c r="AW69" s="690"/>
      <c r="AX69" s="690"/>
      <c r="AY69" s="690"/>
      <c r="AZ69" s="690"/>
    </row>
    <row r="70" spans="3:52" s="46" customFormat="1" ht="30" hidden="1" customHeight="1" outlineLevel="1">
      <c r="C70" s="678">
        <v>55</v>
      </c>
      <c r="D70" s="691"/>
      <c r="E70" s="680"/>
      <c r="F70" s="681"/>
      <c r="G70" s="1942"/>
      <c r="H70" s="1943"/>
      <c r="I70" s="682"/>
      <c r="J70" s="683"/>
      <c r="K70" s="684"/>
      <c r="L70" s="685"/>
      <c r="M70" s="685"/>
      <c r="N70" s="685"/>
      <c r="O70" s="685"/>
      <c r="P70" s="1045"/>
      <c r="Q70" s="686"/>
      <c r="R70" s="687"/>
      <c r="S70" s="685"/>
      <c r="T70" s="672"/>
      <c r="U70" s="2"/>
      <c r="V70" s="1054"/>
      <c r="W70" s="673"/>
      <c r="X70" s="2"/>
      <c r="Y70" s="688">
        <f t="shared" si="17"/>
        <v>0</v>
      </c>
      <c r="Z70" s="674">
        <f t="shared" si="14"/>
        <v>0</v>
      </c>
      <c r="AA70" s="674">
        <f t="shared" si="15"/>
        <v>0</v>
      </c>
      <c r="AB70" s="688">
        <f>IF(Y70=0,,VLOOKUP(Y70,リスト!CX:CY,2,0))</f>
        <v>0</v>
      </c>
      <c r="AC70" s="688">
        <f t="shared" si="1"/>
        <v>0</v>
      </c>
      <c r="AD70" s="689">
        <f>IF(AC70=0,,VLOOKUP(AC70,リスト!DK:DL,2,0))</f>
        <v>0</v>
      </c>
      <c r="AE70" s="674">
        <f>IF(Y70=0,,
IF(OR(リスト!$C$21="小麦",リスト!$C$21="二条大麦",リスト!$C$21="六条大麦",リスト!$C$21="はだか麦",リスト!$C$21="なたね"),IF(K70&lt;9,調査年-J70,調査年-J70-1),
IF(リスト!$C$21="さとうきび",IF(K70&gt;=4,調査年-J70,調査年-J70+1),
調査年-J70)))</f>
        <v>0</v>
      </c>
      <c r="AF70" s="252">
        <f t="shared" si="18"/>
        <v>0</v>
      </c>
      <c r="AG70" s="252">
        <f t="shared" si="3"/>
        <v>0</v>
      </c>
      <c r="AH70" s="252">
        <f t="shared" si="4"/>
        <v>0</v>
      </c>
      <c r="AI70" s="252">
        <f t="shared" si="5"/>
        <v>0</v>
      </c>
      <c r="AJ70" s="252">
        <f t="shared" si="6"/>
        <v>0</v>
      </c>
      <c r="AK70" s="252">
        <f t="shared" si="16"/>
        <v>0</v>
      </c>
      <c r="AL70" s="252">
        <f t="shared" si="7"/>
        <v>0</v>
      </c>
      <c r="AM70" s="252">
        <f t="shared" si="8"/>
        <v>0</v>
      </c>
      <c r="AN70" s="403"/>
      <c r="AO70" s="67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6">
        <f t="shared" si="9"/>
        <v>0</v>
      </c>
      <c r="AQ70" s="252">
        <f t="shared" si="10"/>
        <v>0</v>
      </c>
      <c r="AR70" s="676">
        <f t="shared" si="11"/>
        <v>0</v>
      </c>
      <c r="AS70" s="25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52">
        <f t="shared" si="12"/>
        <v>0</v>
      </c>
      <c r="AU70" s="252" t="str">
        <f t="shared" si="13"/>
        <v/>
      </c>
      <c r="AV70" s="690"/>
      <c r="AW70" s="690"/>
      <c r="AX70" s="690"/>
      <c r="AY70" s="690"/>
      <c r="AZ70" s="690"/>
    </row>
    <row r="71" spans="3:52" s="46" customFormat="1" ht="30" hidden="1" customHeight="1" outlineLevel="1">
      <c r="C71" s="678">
        <v>56</v>
      </c>
      <c r="D71" s="691"/>
      <c r="E71" s="680"/>
      <c r="F71" s="681"/>
      <c r="G71" s="1942"/>
      <c r="H71" s="1943"/>
      <c r="I71" s="682"/>
      <c r="J71" s="683"/>
      <c r="K71" s="684"/>
      <c r="L71" s="685"/>
      <c r="M71" s="685"/>
      <c r="N71" s="685"/>
      <c r="O71" s="685"/>
      <c r="P71" s="1045"/>
      <c r="Q71" s="686"/>
      <c r="R71" s="687"/>
      <c r="S71" s="685"/>
      <c r="T71" s="672"/>
      <c r="U71" s="2"/>
      <c r="V71" s="1054"/>
      <c r="W71" s="673"/>
      <c r="X71" s="2"/>
      <c r="Y71" s="688">
        <f t="shared" si="17"/>
        <v>0</v>
      </c>
      <c r="Z71" s="674">
        <f t="shared" si="14"/>
        <v>0</v>
      </c>
      <c r="AA71" s="674">
        <f t="shared" si="15"/>
        <v>0</v>
      </c>
      <c r="AB71" s="688">
        <f>IF(Y71=0,,VLOOKUP(Y71,リスト!CX:CY,2,0))</f>
        <v>0</v>
      </c>
      <c r="AC71" s="688">
        <f t="shared" si="1"/>
        <v>0</v>
      </c>
      <c r="AD71" s="689">
        <f>IF(AC71=0,,VLOOKUP(AC71,リスト!DK:DL,2,0))</f>
        <v>0</v>
      </c>
      <c r="AE71" s="674">
        <f>IF(Y71=0,,
IF(OR(リスト!$C$21="小麦",リスト!$C$21="二条大麦",リスト!$C$21="六条大麦",リスト!$C$21="はだか麦",リスト!$C$21="なたね"),IF(K71&lt;9,調査年-J71,調査年-J71-1),
IF(リスト!$C$21="さとうきび",IF(K71&gt;=4,調査年-J71,調査年-J71+1),
調査年-J71)))</f>
        <v>0</v>
      </c>
      <c r="AF71" s="252">
        <f t="shared" si="18"/>
        <v>0</v>
      </c>
      <c r="AG71" s="252">
        <f t="shared" si="3"/>
        <v>0</v>
      </c>
      <c r="AH71" s="252">
        <f t="shared" si="4"/>
        <v>0</v>
      </c>
      <c r="AI71" s="252">
        <f t="shared" si="5"/>
        <v>0</v>
      </c>
      <c r="AJ71" s="252">
        <f t="shared" si="6"/>
        <v>0</v>
      </c>
      <c r="AK71" s="252">
        <f t="shared" si="16"/>
        <v>0</v>
      </c>
      <c r="AL71" s="252">
        <f t="shared" si="7"/>
        <v>0</v>
      </c>
      <c r="AM71" s="252">
        <f t="shared" si="8"/>
        <v>0</v>
      </c>
      <c r="AN71" s="403"/>
      <c r="AO71" s="67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6">
        <f t="shared" si="9"/>
        <v>0</v>
      </c>
      <c r="AQ71" s="252">
        <f t="shared" si="10"/>
        <v>0</v>
      </c>
      <c r="AR71" s="676">
        <f t="shared" si="11"/>
        <v>0</v>
      </c>
      <c r="AS71" s="25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52">
        <f t="shared" si="12"/>
        <v>0</v>
      </c>
      <c r="AU71" s="252" t="str">
        <f t="shared" si="13"/>
        <v/>
      </c>
      <c r="AV71" s="690"/>
      <c r="AW71" s="690"/>
      <c r="AX71" s="690"/>
      <c r="AY71" s="690"/>
      <c r="AZ71" s="690"/>
    </row>
    <row r="72" spans="3:52" s="46" customFormat="1" ht="30" hidden="1" customHeight="1" outlineLevel="1">
      <c r="C72" s="678">
        <v>57</v>
      </c>
      <c r="D72" s="691"/>
      <c r="E72" s="680"/>
      <c r="F72" s="681"/>
      <c r="G72" s="1942"/>
      <c r="H72" s="1943"/>
      <c r="I72" s="682"/>
      <c r="J72" s="683"/>
      <c r="K72" s="684"/>
      <c r="L72" s="685"/>
      <c r="M72" s="685"/>
      <c r="N72" s="685"/>
      <c r="O72" s="685"/>
      <c r="P72" s="1045"/>
      <c r="Q72" s="686"/>
      <c r="R72" s="687"/>
      <c r="S72" s="685"/>
      <c r="T72" s="672"/>
      <c r="U72" s="2"/>
      <c r="V72" s="1054"/>
      <c r="W72" s="673"/>
      <c r="X72" s="2"/>
      <c r="Y72" s="688">
        <f t="shared" si="17"/>
        <v>0</v>
      </c>
      <c r="Z72" s="674">
        <f t="shared" si="14"/>
        <v>0</v>
      </c>
      <c r="AA72" s="674">
        <f t="shared" si="15"/>
        <v>0</v>
      </c>
      <c r="AB72" s="688">
        <f>IF(Y72=0,,VLOOKUP(Y72,リスト!CX:CY,2,0))</f>
        <v>0</v>
      </c>
      <c r="AC72" s="688">
        <f t="shared" si="1"/>
        <v>0</v>
      </c>
      <c r="AD72" s="689">
        <f>IF(AC72=0,,VLOOKUP(AC72,リスト!DK:DL,2,0))</f>
        <v>0</v>
      </c>
      <c r="AE72" s="674">
        <f>IF(Y72=0,,
IF(OR(リスト!$C$21="小麦",リスト!$C$21="二条大麦",リスト!$C$21="六条大麦",リスト!$C$21="はだか麦",リスト!$C$21="なたね"),IF(K72&lt;9,調査年-J72,調査年-J72-1),
IF(リスト!$C$21="さとうきび",IF(K72&gt;=4,調査年-J72,調査年-J72+1),
調査年-J72)))</f>
        <v>0</v>
      </c>
      <c r="AF72" s="252">
        <f t="shared" si="18"/>
        <v>0</v>
      </c>
      <c r="AG72" s="252">
        <f t="shared" si="3"/>
        <v>0</v>
      </c>
      <c r="AH72" s="252">
        <f t="shared" si="4"/>
        <v>0</v>
      </c>
      <c r="AI72" s="252">
        <f t="shared" si="5"/>
        <v>0</v>
      </c>
      <c r="AJ72" s="252">
        <f t="shared" si="6"/>
        <v>0</v>
      </c>
      <c r="AK72" s="252">
        <f t="shared" si="16"/>
        <v>0</v>
      </c>
      <c r="AL72" s="252">
        <f t="shared" si="7"/>
        <v>0</v>
      </c>
      <c r="AM72" s="252">
        <f t="shared" si="8"/>
        <v>0</v>
      </c>
      <c r="AN72" s="403"/>
      <c r="AO72" s="67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6">
        <f t="shared" si="9"/>
        <v>0</v>
      </c>
      <c r="AQ72" s="252">
        <f t="shared" si="10"/>
        <v>0</v>
      </c>
      <c r="AR72" s="676">
        <f t="shared" si="11"/>
        <v>0</v>
      </c>
      <c r="AS72" s="25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52">
        <f t="shared" si="12"/>
        <v>0</v>
      </c>
      <c r="AU72" s="252" t="str">
        <f t="shared" si="13"/>
        <v/>
      </c>
      <c r="AV72" s="690"/>
      <c r="AW72" s="690"/>
      <c r="AX72" s="690"/>
      <c r="AY72" s="690"/>
      <c r="AZ72" s="690"/>
    </row>
    <row r="73" spans="3:52" s="46" customFormat="1" ht="30" hidden="1" customHeight="1" outlineLevel="1">
      <c r="C73" s="678">
        <v>58</v>
      </c>
      <c r="D73" s="691"/>
      <c r="E73" s="680"/>
      <c r="F73" s="681"/>
      <c r="G73" s="1942"/>
      <c r="H73" s="1943"/>
      <c r="I73" s="682"/>
      <c r="J73" s="683"/>
      <c r="K73" s="684"/>
      <c r="L73" s="685"/>
      <c r="M73" s="685"/>
      <c r="N73" s="685"/>
      <c r="O73" s="685"/>
      <c r="P73" s="1045"/>
      <c r="Q73" s="686"/>
      <c r="R73" s="687"/>
      <c r="S73" s="685"/>
      <c r="T73" s="672"/>
      <c r="U73" s="2"/>
      <c r="V73" s="1054"/>
      <c r="W73" s="673"/>
      <c r="X73" s="2"/>
      <c r="Y73" s="688">
        <f t="shared" si="17"/>
        <v>0</v>
      </c>
      <c r="Z73" s="674">
        <f t="shared" si="14"/>
        <v>0</v>
      </c>
      <c r="AA73" s="674">
        <f t="shared" si="15"/>
        <v>0</v>
      </c>
      <c r="AB73" s="688">
        <f>IF(Y73=0,,VLOOKUP(Y73,リスト!CX:CY,2,0))</f>
        <v>0</v>
      </c>
      <c r="AC73" s="688">
        <f t="shared" si="1"/>
        <v>0</v>
      </c>
      <c r="AD73" s="689">
        <f>IF(AC73=0,,VLOOKUP(AC73,リスト!DK:DL,2,0))</f>
        <v>0</v>
      </c>
      <c r="AE73" s="674">
        <f>IF(Y73=0,,
IF(OR(リスト!$C$21="小麦",リスト!$C$21="二条大麦",リスト!$C$21="六条大麦",リスト!$C$21="はだか麦",リスト!$C$21="なたね"),IF(K73&lt;9,調査年-J73,調査年-J73-1),
IF(リスト!$C$21="さとうきび",IF(K73&gt;=4,調査年-J73,調査年-J73+1),
調査年-J73)))</f>
        <v>0</v>
      </c>
      <c r="AF73" s="252">
        <f t="shared" si="18"/>
        <v>0</v>
      </c>
      <c r="AG73" s="252">
        <f t="shared" si="3"/>
        <v>0</v>
      </c>
      <c r="AH73" s="252">
        <f t="shared" si="4"/>
        <v>0</v>
      </c>
      <c r="AI73" s="252">
        <f t="shared" si="5"/>
        <v>0</v>
      </c>
      <c r="AJ73" s="252">
        <f t="shared" si="6"/>
        <v>0</v>
      </c>
      <c r="AK73" s="252">
        <f t="shared" si="16"/>
        <v>0</v>
      </c>
      <c r="AL73" s="252">
        <f t="shared" si="7"/>
        <v>0</v>
      </c>
      <c r="AM73" s="252">
        <f t="shared" si="8"/>
        <v>0</v>
      </c>
      <c r="AN73" s="403"/>
      <c r="AO73" s="67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6">
        <f t="shared" si="9"/>
        <v>0</v>
      </c>
      <c r="AQ73" s="252">
        <f t="shared" si="10"/>
        <v>0</v>
      </c>
      <c r="AR73" s="676">
        <f t="shared" si="11"/>
        <v>0</v>
      </c>
      <c r="AS73" s="25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52">
        <f t="shared" si="12"/>
        <v>0</v>
      </c>
      <c r="AU73" s="252" t="str">
        <f t="shared" si="13"/>
        <v/>
      </c>
      <c r="AV73" s="690"/>
      <c r="AW73" s="690"/>
      <c r="AX73" s="690"/>
      <c r="AY73" s="690"/>
      <c r="AZ73" s="690"/>
    </row>
    <row r="74" spans="3:52" s="46" customFormat="1" ht="30" hidden="1" customHeight="1" outlineLevel="1">
      <c r="C74" s="678">
        <v>59</v>
      </c>
      <c r="D74" s="691"/>
      <c r="E74" s="680"/>
      <c r="F74" s="681"/>
      <c r="G74" s="1942"/>
      <c r="H74" s="1943"/>
      <c r="I74" s="682"/>
      <c r="J74" s="683"/>
      <c r="K74" s="684"/>
      <c r="L74" s="685"/>
      <c r="M74" s="685"/>
      <c r="N74" s="685"/>
      <c r="O74" s="685"/>
      <c r="P74" s="1045"/>
      <c r="Q74" s="686"/>
      <c r="R74" s="687"/>
      <c r="S74" s="685"/>
      <c r="T74" s="672"/>
      <c r="U74" s="2"/>
      <c r="V74" s="1054"/>
      <c r="W74" s="673"/>
      <c r="X74" s="2"/>
      <c r="Y74" s="688">
        <f t="shared" si="17"/>
        <v>0</v>
      </c>
      <c r="Z74" s="674">
        <f t="shared" si="14"/>
        <v>0</v>
      </c>
      <c r="AA74" s="674">
        <f t="shared" si="15"/>
        <v>0</v>
      </c>
      <c r="AB74" s="688">
        <f>IF(Y74=0,,VLOOKUP(Y74,リスト!CX:CY,2,0))</f>
        <v>0</v>
      </c>
      <c r="AC74" s="688">
        <f t="shared" si="1"/>
        <v>0</v>
      </c>
      <c r="AD74" s="689">
        <f>IF(AC74=0,,VLOOKUP(AC74,リスト!DK:DL,2,0))</f>
        <v>0</v>
      </c>
      <c r="AE74" s="674">
        <f>IF(Y74=0,,
IF(OR(リスト!$C$21="小麦",リスト!$C$21="二条大麦",リスト!$C$21="六条大麦",リスト!$C$21="はだか麦",リスト!$C$21="なたね"),IF(K74&lt;9,調査年-J74,調査年-J74-1),
IF(リスト!$C$21="さとうきび",IF(K74&gt;=4,調査年-J74,調査年-J74+1),
調査年-J74)))</f>
        <v>0</v>
      </c>
      <c r="AF74" s="252">
        <f t="shared" si="18"/>
        <v>0</v>
      </c>
      <c r="AG74" s="252">
        <f t="shared" si="3"/>
        <v>0</v>
      </c>
      <c r="AH74" s="252">
        <f t="shared" si="4"/>
        <v>0</v>
      </c>
      <c r="AI74" s="252">
        <f t="shared" si="5"/>
        <v>0</v>
      </c>
      <c r="AJ74" s="252">
        <f t="shared" si="6"/>
        <v>0</v>
      </c>
      <c r="AK74" s="252">
        <f t="shared" si="16"/>
        <v>0</v>
      </c>
      <c r="AL74" s="252">
        <f t="shared" si="7"/>
        <v>0</v>
      </c>
      <c r="AM74" s="252">
        <f t="shared" si="8"/>
        <v>0</v>
      </c>
      <c r="AN74" s="403"/>
      <c r="AO74" s="67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6">
        <f t="shared" si="9"/>
        <v>0</v>
      </c>
      <c r="AQ74" s="252">
        <f t="shared" si="10"/>
        <v>0</v>
      </c>
      <c r="AR74" s="676">
        <f t="shared" si="11"/>
        <v>0</v>
      </c>
      <c r="AS74" s="25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52">
        <f t="shared" si="12"/>
        <v>0</v>
      </c>
      <c r="AU74" s="252" t="str">
        <f t="shared" si="13"/>
        <v/>
      </c>
      <c r="AV74" s="690"/>
      <c r="AW74" s="690"/>
      <c r="AX74" s="690"/>
      <c r="AY74" s="690"/>
      <c r="AZ74" s="690"/>
    </row>
    <row r="75" spans="3:52" s="46" customFormat="1" ht="30" hidden="1" customHeight="1" outlineLevel="1">
      <c r="C75" s="678">
        <v>60</v>
      </c>
      <c r="D75" s="691"/>
      <c r="E75" s="680"/>
      <c r="F75" s="681"/>
      <c r="G75" s="1942"/>
      <c r="H75" s="1943"/>
      <c r="I75" s="682"/>
      <c r="J75" s="683"/>
      <c r="K75" s="684"/>
      <c r="L75" s="685"/>
      <c r="M75" s="685"/>
      <c r="N75" s="685"/>
      <c r="O75" s="685"/>
      <c r="P75" s="1045"/>
      <c r="Q75" s="686"/>
      <c r="R75" s="687"/>
      <c r="S75" s="685"/>
      <c r="T75" s="672"/>
      <c r="U75" s="2"/>
      <c r="V75" s="1054"/>
      <c r="W75" s="673"/>
      <c r="X75" s="2"/>
      <c r="Y75" s="688">
        <f t="shared" si="17"/>
        <v>0</v>
      </c>
      <c r="Z75" s="674">
        <f t="shared" si="14"/>
        <v>0</v>
      </c>
      <c r="AA75" s="674">
        <f t="shared" si="15"/>
        <v>0</v>
      </c>
      <c r="AB75" s="688">
        <f>IF(Y75=0,,VLOOKUP(Y75,リスト!CX:CY,2,0))</f>
        <v>0</v>
      </c>
      <c r="AC75" s="688">
        <f t="shared" si="1"/>
        <v>0</v>
      </c>
      <c r="AD75" s="689">
        <f>IF(AC75=0,,VLOOKUP(AC75,リスト!DK:DL,2,0))</f>
        <v>0</v>
      </c>
      <c r="AE75" s="674">
        <f>IF(Y75=0,,
IF(OR(リスト!$C$21="小麦",リスト!$C$21="二条大麦",リスト!$C$21="六条大麦",リスト!$C$21="はだか麦",リスト!$C$21="なたね"),IF(K75&lt;9,調査年-J75,調査年-J75-1),
IF(リスト!$C$21="さとうきび",IF(K75&gt;=4,調査年-J75,調査年-J75+1),
調査年-J75)))</f>
        <v>0</v>
      </c>
      <c r="AF75" s="252">
        <f t="shared" si="18"/>
        <v>0</v>
      </c>
      <c r="AG75" s="252">
        <f t="shared" si="3"/>
        <v>0</v>
      </c>
      <c r="AH75" s="252">
        <f t="shared" si="4"/>
        <v>0</v>
      </c>
      <c r="AI75" s="252">
        <f t="shared" si="5"/>
        <v>0</v>
      </c>
      <c r="AJ75" s="252">
        <f t="shared" si="6"/>
        <v>0</v>
      </c>
      <c r="AK75" s="252">
        <f t="shared" si="16"/>
        <v>0</v>
      </c>
      <c r="AL75" s="252">
        <f t="shared" si="7"/>
        <v>0</v>
      </c>
      <c r="AM75" s="252">
        <f t="shared" si="8"/>
        <v>0</v>
      </c>
      <c r="AN75" s="403"/>
      <c r="AO75" s="67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6">
        <f t="shared" si="9"/>
        <v>0</v>
      </c>
      <c r="AQ75" s="252">
        <f t="shared" si="10"/>
        <v>0</v>
      </c>
      <c r="AR75" s="676">
        <f t="shared" si="11"/>
        <v>0</v>
      </c>
      <c r="AS75" s="25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52">
        <f t="shared" si="12"/>
        <v>0</v>
      </c>
      <c r="AU75" s="252" t="str">
        <f t="shared" si="13"/>
        <v/>
      </c>
      <c r="AV75" s="690"/>
      <c r="AW75" s="690"/>
      <c r="AX75" s="690"/>
      <c r="AY75" s="690"/>
      <c r="AZ75" s="690"/>
    </row>
    <row r="76" spans="3:52" s="46" customFormat="1" ht="30" hidden="1" customHeight="1" outlineLevel="1">
      <c r="C76" s="678">
        <v>61</v>
      </c>
      <c r="D76" s="691"/>
      <c r="E76" s="680"/>
      <c r="F76" s="681"/>
      <c r="G76" s="1942"/>
      <c r="H76" s="1943"/>
      <c r="I76" s="682"/>
      <c r="J76" s="683"/>
      <c r="K76" s="684"/>
      <c r="L76" s="685"/>
      <c r="M76" s="685"/>
      <c r="N76" s="685"/>
      <c r="O76" s="685"/>
      <c r="P76" s="1045"/>
      <c r="Q76" s="686"/>
      <c r="R76" s="687"/>
      <c r="S76" s="685"/>
      <c r="T76" s="672"/>
      <c r="U76" s="2"/>
      <c r="V76" s="1054"/>
      <c r="W76" s="673"/>
      <c r="X76" s="2"/>
      <c r="Y76" s="688">
        <f t="shared" si="17"/>
        <v>0</v>
      </c>
      <c r="Z76" s="674">
        <f t="shared" si="14"/>
        <v>0</v>
      </c>
      <c r="AA76" s="674">
        <f t="shared" si="15"/>
        <v>0</v>
      </c>
      <c r="AB76" s="688">
        <f>IF(Y76=0,,VLOOKUP(Y76,リスト!CX:CY,2,0))</f>
        <v>0</v>
      </c>
      <c r="AC76" s="688">
        <f t="shared" si="1"/>
        <v>0</v>
      </c>
      <c r="AD76" s="689">
        <f>IF(AC76=0,,VLOOKUP(AC76,リスト!DK:DL,2,0))</f>
        <v>0</v>
      </c>
      <c r="AE76" s="674">
        <f>IF(Y76=0,,
IF(OR(リスト!$C$21="小麦",リスト!$C$21="二条大麦",リスト!$C$21="六条大麦",リスト!$C$21="はだか麦",リスト!$C$21="なたね"),IF(K76&lt;9,調査年-J76,調査年-J76-1),
IF(リスト!$C$21="さとうきび",IF(K76&gt;=4,調査年-J76,調査年-J76+1),
調査年-J76)))</f>
        <v>0</v>
      </c>
      <c r="AF76" s="252">
        <f t="shared" si="18"/>
        <v>0</v>
      </c>
      <c r="AG76" s="252">
        <f t="shared" si="3"/>
        <v>0</v>
      </c>
      <c r="AH76" s="252">
        <f t="shared" si="4"/>
        <v>0</v>
      </c>
      <c r="AI76" s="252">
        <f t="shared" si="5"/>
        <v>0</v>
      </c>
      <c r="AJ76" s="252">
        <f t="shared" si="6"/>
        <v>0</v>
      </c>
      <c r="AK76" s="252">
        <f t="shared" si="16"/>
        <v>0</v>
      </c>
      <c r="AL76" s="252">
        <f t="shared" si="7"/>
        <v>0</v>
      </c>
      <c r="AM76" s="252">
        <f t="shared" si="8"/>
        <v>0</v>
      </c>
      <c r="AN76" s="403"/>
      <c r="AO76" s="67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6">
        <f t="shared" si="9"/>
        <v>0</v>
      </c>
      <c r="AQ76" s="252">
        <f t="shared" si="10"/>
        <v>0</v>
      </c>
      <c r="AR76" s="676">
        <f t="shared" si="11"/>
        <v>0</v>
      </c>
      <c r="AS76" s="25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52">
        <f t="shared" si="12"/>
        <v>0</v>
      </c>
      <c r="AU76" s="252" t="str">
        <f t="shared" si="13"/>
        <v/>
      </c>
      <c r="AV76" s="690"/>
      <c r="AW76" s="690"/>
      <c r="AX76" s="690"/>
      <c r="AY76" s="690"/>
      <c r="AZ76" s="690"/>
    </row>
    <row r="77" spans="3:52" s="46" customFormat="1" ht="30" hidden="1" customHeight="1" outlineLevel="1">
      <c r="C77" s="678">
        <v>62</v>
      </c>
      <c r="D77" s="679"/>
      <c r="E77" s="680"/>
      <c r="F77" s="681"/>
      <c r="G77" s="1942"/>
      <c r="H77" s="1943"/>
      <c r="I77" s="682"/>
      <c r="J77" s="683"/>
      <c r="K77" s="684"/>
      <c r="L77" s="685"/>
      <c r="M77" s="685"/>
      <c r="N77" s="685"/>
      <c r="O77" s="685"/>
      <c r="P77" s="1045"/>
      <c r="Q77" s="686"/>
      <c r="R77" s="687"/>
      <c r="S77" s="685"/>
      <c r="T77" s="672"/>
      <c r="U77" s="2"/>
      <c r="V77" s="1054"/>
      <c r="W77" s="673"/>
      <c r="X77" s="2"/>
      <c r="Y77" s="688">
        <f t="shared" si="17"/>
        <v>0</v>
      </c>
      <c r="Z77" s="674">
        <f t="shared" si="14"/>
        <v>0</v>
      </c>
      <c r="AA77" s="674">
        <f t="shared" si="15"/>
        <v>0</v>
      </c>
      <c r="AB77" s="688">
        <f>IF(Y77=0,,VLOOKUP(Y77,リスト!CX:CY,2,0))</f>
        <v>0</v>
      </c>
      <c r="AC77" s="688">
        <f t="shared" si="1"/>
        <v>0</v>
      </c>
      <c r="AD77" s="689">
        <f>IF(AC77=0,,VLOOKUP(AC77,リスト!DK:DL,2,0))</f>
        <v>0</v>
      </c>
      <c r="AE77" s="674">
        <f>IF(Y77=0,,
IF(OR(リスト!$C$21="小麦",リスト!$C$21="二条大麦",リスト!$C$21="六条大麦",リスト!$C$21="はだか麦",リスト!$C$21="なたね"),IF(K77&lt;9,調査年-J77,調査年-J77-1),
IF(リスト!$C$21="さとうきび",IF(K77&gt;=4,調査年-J77,調査年-J77+1),
調査年-J77)))</f>
        <v>0</v>
      </c>
      <c r="AF77" s="252">
        <f t="shared" si="18"/>
        <v>0</v>
      </c>
      <c r="AG77" s="252">
        <f t="shared" si="3"/>
        <v>0</v>
      </c>
      <c r="AH77" s="252">
        <f t="shared" si="4"/>
        <v>0</v>
      </c>
      <c r="AI77" s="252">
        <f t="shared" si="5"/>
        <v>0</v>
      </c>
      <c r="AJ77" s="252">
        <f t="shared" si="6"/>
        <v>0</v>
      </c>
      <c r="AK77" s="252">
        <f t="shared" si="16"/>
        <v>0</v>
      </c>
      <c r="AL77" s="252">
        <f t="shared" si="7"/>
        <v>0</v>
      </c>
      <c r="AM77" s="252">
        <f t="shared" si="8"/>
        <v>0</v>
      </c>
      <c r="AN77" s="403"/>
      <c r="AO77" s="67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6">
        <f t="shared" si="9"/>
        <v>0</v>
      </c>
      <c r="AQ77" s="252">
        <f t="shared" si="10"/>
        <v>0</v>
      </c>
      <c r="AR77" s="676">
        <f t="shared" si="11"/>
        <v>0</v>
      </c>
      <c r="AS77" s="25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52">
        <f t="shared" si="12"/>
        <v>0</v>
      </c>
      <c r="AU77" s="252" t="str">
        <f t="shared" si="13"/>
        <v/>
      </c>
      <c r="AV77" s="690"/>
      <c r="AW77" s="690"/>
      <c r="AX77" s="690"/>
      <c r="AY77" s="690"/>
      <c r="AZ77" s="690"/>
    </row>
    <row r="78" spans="3:52" s="46" customFormat="1" ht="30" hidden="1" customHeight="1" outlineLevel="1">
      <c r="C78" s="678">
        <v>63</v>
      </c>
      <c r="D78" s="691"/>
      <c r="E78" s="680"/>
      <c r="F78" s="681"/>
      <c r="G78" s="1942"/>
      <c r="H78" s="1943"/>
      <c r="I78" s="682"/>
      <c r="J78" s="683"/>
      <c r="K78" s="684"/>
      <c r="L78" s="685"/>
      <c r="M78" s="685"/>
      <c r="N78" s="685"/>
      <c r="O78" s="685"/>
      <c r="P78" s="1045"/>
      <c r="Q78" s="686"/>
      <c r="R78" s="687"/>
      <c r="S78" s="685"/>
      <c r="T78" s="672"/>
      <c r="U78" s="2"/>
      <c r="V78" s="1054"/>
      <c r="W78" s="673"/>
      <c r="X78" s="2"/>
      <c r="Y78" s="688">
        <f t="shared" si="17"/>
        <v>0</v>
      </c>
      <c r="Z78" s="674">
        <f t="shared" si="14"/>
        <v>0</v>
      </c>
      <c r="AA78" s="674">
        <f t="shared" si="15"/>
        <v>0</v>
      </c>
      <c r="AB78" s="688">
        <f>IF(Y78=0,,VLOOKUP(Y78,リスト!CX:CY,2,0))</f>
        <v>0</v>
      </c>
      <c r="AC78" s="688">
        <f t="shared" si="1"/>
        <v>0</v>
      </c>
      <c r="AD78" s="689">
        <f>IF(AC78=0,,VLOOKUP(AC78,リスト!DK:DL,2,0))</f>
        <v>0</v>
      </c>
      <c r="AE78" s="674">
        <f>IF(Y78=0,,
IF(OR(リスト!$C$21="小麦",リスト!$C$21="二条大麦",リスト!$C$21="六条大麦",リスト!$C$21="はだか麦",リスト!$C$21="なたね"),IF(K78&lt;9,調査年-J78,調査年-J78-1),
IF(リスト!$C$21="さとうきび",IF(K78&gt;=4,調査年-J78,調査年-J78+1),
調査年-J78)))</f>
        <v>0</v>
      </c>
      <c r="AF78" s="252">
        <f t="shared" si="18"/>
        <v>0</v>
      </c>
      <c r="AG78" s="252">
        <f t="shared" si="3"/>
        <v>0</v>
      </c>
      <c r="AH78" s="252">
        <f t="shared" si="4"/>
        <v>0</v>
      </c>
      <c r="AI78" s="252">
        <f t="shared" si="5"/>
        <v>0</v>
      </c>
      <c r="AJ78" s="252">
        <f t="shared" si="6"/>
        <v>0</v>
      </c>
      <c r="AK78" s="252">
        <f t="shared" si="16"/>
        <v>0</v>
      </c>
      <c r="AL78" s="252">
        <f t="shared" si="7"/>
        <v>0</v>
      </c>
      <c r="AM78" s="252">
        <f t="shared" si="8"/>
        <v>0</v>
      </c>
      <c r="AN78" s="403"/>
      <c r="AO78" s="67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6">
        <f t="shared" si="9"/>
        <v>0</v>
      </c>
      <c r="AQ78" s="252">
        <f t="shared" si="10"/>
        <v>0</v>
      </c>
      <c r="AR78" s="676">
        <f t="shared" si="11"/>
        <v>0</v>
      </c>
      <c r="AS78" s="25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52">
        <f t="shared" si="12"/>
        <v>0</v>
      </c>
      <c r="AU78" s="252" t="str">
        <f t="shared" si="13"/>
        <v/>
      </c>
      <c r="AV78" s="690"/>
      <c r="AW78" s="690"/>
      <c r="AX78" s="690"/>
      <c r="AY78" s="690"/>
      <c r="AZ78" s="690"/>
    </row>
    <row r="79" spans="3:52" s="46" customFormat="1" ht="30" hidden="1" customHeight="1" outlineLevel="1">
      <c r="C79" s="678">
        <v>64</v>
      </c>
      <c r="D79" s="691"/>
      <c r="E79" s="680"/>
      <c r="F79" s="681"/>
      <c r="G79" s="1942"/>
      <c r="H79" s="1943"/>
      <c r="I79" s="682"/>
      <c r="J79" s="683"/>
      <c r="K79" s="684"/>
      <c r="L79" s="685"/>
      <c r="M79" s="685"/>
      <c r="N79" s="685"/>
      <c r="O79" s="685"/>
      <c r="P79" s="1045"/>
      <c r="Q79" s="686"/>
      <c r="R79" s="687"/>
      <c r="S79" s="685"/>
      <c r="T79" s="672"/>
      <c r="U79" s="2"/>
      <c r="V79" s="1054"/>
      <c r="W79" s="673"/>
      <c r="X79" s="2"/>
      <c r="Y79" s="688">
        <f t="shared" si="17"/>
        <v>0</v>
      </c>
      <c r="Z79" s="674">
        <f t="shared" si="14"/>
        <v>0</v>
      </c>
      <c r="AA79" s="674">
        <f t="shared" si="15"/>
        <v>0</v>
      </c>
      <c r="AB79" s="688">
        <f>IF(Y79=0,,VLOOKUP(Y79,リスト!CX:CY,2,0))</f>
        <v>0</v>
      </c>
      <c r="AC79" s="688">
        <f t="shared" si="1"/>
        <v>0</v>
      </c>
      <c r="AD79" s="689">
        <f>IF(AC79=0,,VLOOKUP(AC79,リスト!DK:DL,2,0))</f>
        <v>0</v>
      </c>
      <c r="AE79" s="674">
        <f>IF(Y79=0,,
IF(OR(リスト!$C$21="小麦",リスト!$C$21="二条大麦",リスト!$C$21="六条大麦",リスト!$C$21="はだか麦",リスト!$C$21="なたね"),IF(K79&lt;9,調査年-J79,調査年-J79-1),
IF(リスト!$C$21="さとうきび",IF(K79&gt;=4,調査年-J79,調査年-J79+1),
調査年-J79)))</f>
        <v>0</v>
      </c>
      <c r="AF79" s="252">
        <f t="shared" si="18"/>
        <v>0</v>
      </c>
      <c r="AG79" s="252">
        <f t="shared" si="3"/>
        <v>0</v>
      </c>
      <c r="AH79" s="252">
        <f t="shared" si="4"/>
        <v>0</v>
      </c>
      <c r="AI79" s="252">
        <f t="shared" si="5"/>
        <v>0</v>
      </c>
      <c r="AJ79" s="252">
        <f t="shared" si="6"/>
        <v>0</v>
      </c>
      <c r="AK79" s="252">
        <f t="shared" si="16"/>
        <v>0</v>
      </c>
      <c r="AL79" s="252">
        <f t="shared" si="7"/>
        <v>0</v>
      </c>
      <c r="AM79" s="252">
        <f t="shared" si="8"/>
        <v>0</v>
      </c>
      <c r="AN79" s="403"/>
      <c r="AO79" s="67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6">
        <f t="shared" si="9"/>
        <v>0</v>
      </c>
      <c r="AQ79" s="252">
        <f t="shared" si="10"/>
        <v>0</v>
      </c>
      <c r="AR79" s="676">
        <f t="shared" si="11"/>
        <v>0</v>
      </c>
      <c r="AS79" s="25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52">
        <f t="shared" si="12"/>
        <v>0</v>
      </c>
      <c r="AU79" s="252" t="str">
        <f t="shared" si="13"/>
        <v/>
      </c>
      <c r="AV79" s="690"/>
      <c r="AW79" s="690"/>
      <c r="AX79" s="690"/>
      <c r="AY79" s="690"/>
      <c r="AZ79" s="690"/>
    </row>
    <row r="80" spans="3:52" s="46" customFormat="1" ht="30" hidden="1" customHeight="1" outlineLevel="1">
      <c r="C80" s="678">
        <v>65</v>
      </c>
      <c r="D80" s="691"/>
      <c r="E80" s="680"/>
      <c r="F80" s="681"/>
      <c r="G80" s="1942"/>
      <c r="H80" s="1943"/>
      <c r="I80" s="682"/>
      <c r="J80" s="683"/>
      <c r="K80" s="684"/>
      <c r="L80" s="685"/>
      <c r="M80" s="685"/>
      <c r="N80" s="685"/>
      <c r="O80" s="685"/>
      <c r="P80" s="1045"/>
      <c r="Q80" s="686"/>
      <c r="R80" s="687"/>
      <c r="S80" s="685"/>
      <c r="T80" s="672"/>
      <c r="U80" s="2"/>
      <c r="V80" s="1054"/>
      <c r="W80" s="673"/>
      <c r="X80" s="2"/>
      <c r="Y80" s="688">
        <f t="shared" si="17"/>
        <v>0</v>
      </c>
      <c r="Z80" s="674">
        <f t="shared" si="14"/>
        <v>0</v>
      </c>
      <c r="AA80" s="674">
        <f t="shared" si="15"/>
        <v>0</v>
      </c>
      <c r="AB80" s="688">
        <f>IF(Y80=0,,VLOOKUP(Y80,リスト!CX:CY,2,0))</f>
        <v>0</v>
      </c>
      <c r="AC80" s="688">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4">
        <f>IF(Y80=0,,
IF(OR(リスト!$C$21="小麦",リスト!$C$21="二条大麦",リスト!$C$21="六条大麦",リスト!$C$21="はだか麦",リスト!$C$21="なたね"),IF(K80&lt;9,調査年-J80,調査年-J80-1),
IF(リスト!$C$21="さとうきび",IF(K80&gt;=4,調査年-J80,調査年-J80+1),
調査年-J80)))</f>
        <v>0</v>
      </c>
      <c r="AF80" s="252">
        <f t="shared" ref="AF80:AF111" si="20">IF(OR(Y80=0,Z80=1),,
IF(AND(AC80&gt;0,AE80&lt;AC80,AG80&lt;=ROUND((L80-1)*AD80,0)),ROUND(AG80*IF(R80="[2]部分取り壊し",IFERROR(1-(V80%),1),1),0),
IF(AND(AC80&gt;0,AE80&lt;AC80),ROUND((L80-1)*AD80*IF(R80="[2]部分取り壊し",IFERROR(1-(V80%),1),1),0),)))</f>
        <v>0</v>
      </c>
      <c r="AG80" s="252">
        <f t="shared" ref="AG80:AG115" si="21">IF(OR(Y80=0,Z80=1),,
IF(AND(AC80&gt;0,AE80&lt;AC80),L80-ROUND((L80-1)*AD80*AE80,0),1
))</f>
        <v>0</v>
      </c>
      <c r="AH80" s="252">
        <f t="shared" ref="AH80:AH115" si="22">IF(OR(Y80=0,Z80=1),,
IF(R80=0,AF80,
IF(R80="[1]取り壊し",SUM(AG80,S80),
IF(R80="[3]売　却",AG80-S80,
IF(AND(R80="[2]部分取り壊し",AG80&gt;1),SUM(ROUND(AG80*(V80%),0),S80,AF80),
IF(AND(S80=0,AF80=0),,SUM(S80,AF80)))))))</f>
        <v>0</v>
      </c>
      <c r="AI80" s="252">
        <f t="shared" ref="AI80:AI115" si="23">IF(AND(AH80=0,AF80=0),,
IF(OR(R80="[1]取り壊し",R80="[2]部分取り壊し",R80="[3]売　却"),SUM(AH80)-SUM(AF80),))</f>
        <v>0</v>
      </c>
      <c r="AJ80" s="252">
        <f t="shared" ref="AJ80:AJ115" si="24">IF(OR(Z80=1,M80=0),,
IF(AND(AC80&gt;0,M80&gt;0,AE80&lt;AC80),M80-ROUND(M80*AD80*AE80,0),))</f>
        <v>0</v>
      </c>
      <c r="AK80" s="252">
        <f t="shared" si="16"/>
        <v>0</v>
      </c>
      <c r="AL80" s="252">
        <f t="shared" ref="AL80:AL115" si="25">IF(AND(L80&gt;0,R80="[2]部分取り壊し"),ROUND(L80*(1-V80%),0),)</f>
        <v>0</v>
      </c>
      <c r="AM80" s="252">
        <f t="shared" ref="AM80:AM115" si="26">IF(AND(M80&gt;0,R80="[2]部分取り壊し"),ROUND(M80*(1-V80%),0),)</f>
        <v>0</v>
      </c>
      <c r="AN80" s="403"/>
      <c r="AO80" s="67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6">
        <f t="shared" ref="AP80:AP115" si="27">IF(P80=0,,IF(AH80=0,,ROUND(AH80*P80%,0)))</f>
        <v>0</v>
      </c>
      <c r="AQ80" s="252">
        <f t="shared" ref="AQ80:AQ115" si="28">IF(P80=0,,IF(AI80=0,,ROUND(AI80*P80%,0)))</f>
        <v>0</v>
      </c>
      <c r="AR80" s="676">
        <f t="shared" ref="AR80:AR115" si="29">IF(P80=0,,IF(AG80=0,,ROUND(AG80*P80%,0)))</f>
        <v>0</v>
      </c>
      <c r="AS80" s="25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52">
        <f t="shared" ref="AT80:AT115" si="30">IF(P80=0,,IF(O80=0,,ROUND(O80*P80%,0)))</f>
        <v>0</v>
      </c>
      <c r="AU80" s="252" t="str">
        <f t="shared" ref="AU80:AU115" si="31">IF(OR(AS80&gt;0,AT80&gt;0),SUM(AS80:AT80),"")</f>
        <v/>
      </c>
      <c r="AV80" s="690"/>
      <c r="AW80" s="690"/>
      <c r="AX80" s="690"/>
      <c r="AY80" s="690"/>
      <c r="AZ80" s="690"/>
    </row>
    <row r="81" spans="3:52" s="46" customFormat="1" ht="30" hidden="1" customHeight="1" outlineLevel="1">
      <c r="C81" s="678">
        <v>66</v>
      </c>
      <c r="D81" s="691"/>
      <c r="E81" s="680"/>
      <c r="F81" s="681"/>
      <c r="G81" s="1942"/>
      <c r="H81" s="1943"/>
      <c r="I81" s="682"/>
      <c r="J81" s="683"/>
      <c r="K81" s="684"/>
      <c r="L81" s="685"/>
      <c r="M81" s="685"/>
      <c r="N81" s="685"/>
      <c r="O81" s="685"/>
      <c r="P81" s="1045"/>
      <c r="Q81" s="686"/>
      <c r="R81" s="687"/>
      <c r="S81" s="685"/>
      <c r="T81" s="672"/>
      <c r="U81" s="2"/>
      <c r="V81" s="1054"/>
      <c r="W81" s="673"/>
      <c r="X81" s="2"/>
      <c r="Y81" s="688">
        <f t="shared" si="17"/>
        <v>0</v>
      </c>
      <c r="Z81" s="674">
        <f t="shared" ref="Z81:Z115" si="32">IF(Y81=0,,IF(L81+M81&lt;100000,1,0))</f>
        <v>0</v>
      </c>
      <c r="AA81" s="674">
        <f t="shared" ref="AA81:AA115" si="33">IF(Y81=0,,IF(AND(Z81=0,L81+M81&lt;200000),1,))</f>
        <v>0</v>
      </c>
      <c r="AB81" s="688">
        <f>IF(Y81=0,,VLOOKUP(Y81,リスト!CX:CY,2,0))</f>
        <v>0</v>
      </c>
      <c r="AC81" s="688">
        <f t="shared" si="19"/>
        <v>0</v>
      </c>
      <c r="AD81" s="689">
        <f>IF(AC81=0,,VLOOKUP(AC81,リスト!DK:DL,2,0))</f>
        <v>0</v>
      </c>
      <c r="AE81" s="674">
        <f>IF(Y81=0,,
IF(OR(リスト!$C$21="小麦",リスト!$C$21="二条大麦",リスト!$C$21="六条大麦",リスト!$C$21="はだか麦",リスト!$C$21="なたね"),IF(K81&lt;9,調査年-J81,調査年-J81-1),
IF(リスト!$C$21="さとうきび",IF(K81&gt;=4,調査年-J81,調査年-J81+1),
調査年-J81)))</f>
        <v>0</v>
      </c>
      <c r="AF81" s="252">
        <f t="shared" si="20"/>
        <v>0</v>
      </c>
      <c r="AG81" s="252">
        <f t="shared" si="21"/>
        <v>0</v>
      </c>
      <c r="AH81" s="252">
        <f t="shared" si="22"/>
        <v>0</v>
      </c>
      <c r="AI81" s="252">
        <f t="shared" si="23"/>
        <v>0</v>
      </c>
      <c r="AJ81" s="252">
        <f t="shared" si="24"/>
        <v>0</v>
      </c>
      <c r="AK81" s="252">
        <f t="shared" ref="AK81:AK115" si="34">IF(OR(Y81=0,Z81=1),IF(AND(Z81=1,AE81=0),M81,),
IF(AND(AC81&gt;0,AE81&lt;AC81,SUM(AJ81)&gt;0,AJ81&lt;=ROUND(M81*AD81,0)),ROUND(AJ81*IF(R81="[2]部分取り壊し",IFERROR(1-(V81%),1),1),),
IF(AND(AC81&gt;0,AE81&lt;AC81,SUM(M81)&gt;0),ROUND(M81*AD81*IF(R81="[2]部分取り壊し",IFERROR(1-(V81%),1),1),0),)))</f>
        <v>0</v>
      </c>
      <c r="AL81" s="252">
        <f t="shared" si="25"/>
        <v>0</v>
      </c>
      <c r="AM81" s="252">
        <f t="shared" si="26"/>
        <v>0</v>
      </c>
      <c r="AN81" s="403"/>
      <c r="AO81" s="67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6">
        <f t="shared" si="27"/>
        <v>0</v>
      </c>
      <c r="AQ81" s="252">
        <f t="shared" si="28"/>
        <v>0</v>
      </c>
      <c r="AR81" s="676">
        <f t="shared" si="29"/>
        <v>0</v>
      </c>
      <c r="AS81" s="25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52">
        <f t="shared" si="30"/>
        <v>0</v>
      </c>
      <c r="AU81" s="252" t="str">
        <f t="shared" si="31"/>
        <v/>
      </c>
      <c r="AV81" s="690"/>
      <c r="AW81" s="690"/>
      <c r="AX81" s="690"/>
      <c r="AY81" s="690"/>
      <c r="AZ81" s="690"/>
    </row>
    <row r="82" spans="3:52" s="46" customFormat="1" ht="30" hidden="1" customHeight="1" outlineLevel="1">
      <c r="C82" s="678">
        <v>67</v>
      </c>
      <c r="D82" s="691"/>
      <c r="E82" s="680"/>
      <c r="F82" s="681"/>
      <c r="G82" s="1942"/>
      <c r="H82" s="1943"/>
      <c r="I82" s="682"/>
      <c r="J82" s="683"/>
      <c r="K82" s="684"/>
      <c r="L82" s="685"/>
      <c r="M82" s="685"/>
      <c r="N82" s="685"/>
      <c r="O82" s="685"/>
      <c r="P82" s="1045"/>
      <c r="Q82" s="686"/>
      <c r="R82" s="687"/>
      <c r="S82" s="685"/>
      <c r="T82" s="672"/>
      <c r="U82" s="2"/>
      <c r="V82" s="1054"/>
      <c r="W82" s="673"/>
      <c r="X82" s="2"/>
      <c r="Y82" s="688">
        <f t="shared" ref="Y82:Y115" si="35">IF(AND(E82&gt;0,F82&gt;0),"["&amp;RIGHT(LEFT(E82,3),2)&amp;RIGHT(LEFT(F82,FIND("]",F82)-1),IF(FIND("]",F82)-1&gt;2,2,1))&amp;"]",)</f>
        <v>0</v>
      </c>
      <c r="Z82" s="674">
        <f t="shared" si="32"/>
        <v>0</v>
      </c>
      <c r="AA82" s="674">
        <f t="shared" si="33"/>
        <v>0</v>
      </c>
      <c r="AB82" s="688">
        <f>IF(Y82=0,,VLOOKUP(Y82,リスト!CX:CY,2,0))</f>
        <v>0</v>
      </c>
      <c r="AC82" s="688">
        <f t="shared" si="19"/>
        <v>0</v>
      </c>
      <c r="AD82" s="689">
        <f>IF(AC82=0,,VLOOKUP(AC82,リスト!DK:DL,2,0))</f>
        <v>0</v>
      </c>
      <c r="AE82" s="674">
        <f>IF(Y82=0,,
IF(OR(リスト!$C$21="小麦",リスト!$C$21="二条大麦",リスト!$C$21="六条大麦",リスト!$C$21="はだか麦",リスト!$C$21="なたね"),IF(K82&lt;9,調査年-J82,調査年-J82-1),
IF(リスト!$C$21="さとうきび",IF(K82&gt;=4,調査年-J82,調査年-J82+1),
調査年-J82)))</f>
        <v>0</v>
      </c>
      <c r="AF82" s="252">
        <f t="shared" si="20"/>
        <v>0</v>
      </c>
      <c r="AG82" s="252">
        <f t="shared" si="21"/>
        <v>0</v>
      </c>
      <c r="AH82" s="252">
        <f t="shared" si="22"/>
        <v>0</v>
      </c>
      <c r="AI82" s="252">
        <f t="shared" si="23"/>
        <v>0</v>
      </c>
      <c r="AJ82" s="252">
        <f t="shared" si="24"/>
        <v>0</v>
      </c>
      <c r="AK82" s="252">
        <f t="shared" si="34"/>
        <v>0</v>
      </c>
      <c r="AL82" s="252">
        <f t="shared" si="25"/>
        <v>0</v>
      </c>
      <c r="AM82" s="252">
        <f t="shared" si="26"/>
        <v>0</v>
      </c>
      <c r="AN82" s="403"/>
      <c r="AO82" s="67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6">
        <f t="shared" si="27"/>
        <v>0</v>
      </c>
      <c r="AQ82" s="252">
        <f t="shared" si="28"/>
        <v>0</v>
      </c>
      <c r="AR82" s="676">
        <f t="shared" si="29"/>
        <v>0</v>
      </c>
      <c r="AS82" s="25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52">
        <f t="shared" si="30"/>
        <v>0</v>
      </c>
      <c r="AU82" s="252" t="str">
        <f t="shared" si="31"/>
        <v/>
      </c>
      <c r="AV82" s="690"/>
      <c r="AW82" s="690"/>
      <c r="AX82" s="690"/>
      <c r="AY82" s="690"/>
      <c r="AZ82" s="690"/>
    </row>
    <row r="83" spans="3:52" s="46" customFormat="1" ht="30" hidden="1" customHeight="1" outlineLevel="1">
      <c r="C83" s="678">
        <v>68</v>
      </c>
      <c r="D83" s="691"/>
      <c r="E83" s="680"/>
      <c r="F83" s="681"/>
      <c r="G83" s="1942"/>
      <c r="H83" s="1943"/>
      <c r="I83" s="682"/>
      <c r="J83" s="683"/>
      <c r="K83" s="684"/>
      <c r="L83" s="685"/>
      <c r="M83" s="685"/>
      <c r="N83" s="685"/>
      <c r="O83" s="685"/>
      <c r="P83" s="1045"/>
      <c r="Q83" s="686"/>
      <c r="R83" s="687"/>
      <c r="S83" s="685"/>
      <c r="T83" s="672"/>
      <c r="U83" s="2"/>
      <c r="V83" s="1054"/>
      <c r="W83" s="673"/>
      <c r="X83" s="2"/>
      <c r="Y83" s="688">
        <f t="shared" si="35"/>
        <v>0</v>
      </c>
      <c r="Z83" s="674">
        <f t="shared" si="32"/>
        <v>0</v>
      </c>
      <c r="AA83" s="674">
        <f t="shared" si="33"/>
        <v>0</v>
      </c>
      <c r="AB83" s="688">
        <f>IF(Y83=0,,VLOOKUP(Y83,リスト!CX:CY,2,0))</f>
        <v>0</v>
      </c>
      <c r="AC83" s="688">
        <f t="shared" si="19"/>
        <v>0</v>
      </c>
      <c r="AD83" s="689">
        <f>IF(AC83=0,,VLOOKUP(AC83,リスト!DK:DL,2,0))</f>
        <v>0</v>
      </c>
      <c r="AE83" s="674">
        <f>IF(Y83=0,,
IF(OR(リスト!$C$21="小麦",リスト!$C$21="二条大麦",リスト!$C$21="六条大麦",リスト!$C$21="はだか麦",リスト!$C$21="なたね"),IF(K83&lt;9,調査年-J83,調査年-J83-1),
IF(リスト!$C$21="さとうきび",IF(K83&gt;=4,調査年-J83,調査年-J83+1),
調査年-J83)))</f>
        <v>0</v>
      </c>
      <c r="AF83" s="252">
        <f t="shared" si="20"/>
        <v>0</v>
      </c>
      <c r="AG83" s="252">
        <f t="shared" si="21"/>
        <v>0</v>
      </c>
      <c r="AH83" s="252">
        <f t="shared" si="22"/>
        <v>0</v>
      </c>
      <c r="AI83" s="252">
        <f t="shared" si="23"/>
        <v>0</v>
      </c>
      <c r="AJ83" s="252">
        <f t="shared" si="24"/>
        <v>0</v>
      </c>
      <c r="AK83" s="252">
        <f t="shared" si="34"/>
        <v>0</v>
      </c>
      <c r="AL83" s="252">
        <f t="shared" si="25"/>
        <v>0</v>
      </c>
      <c r="AM83" s="252">
        <f t="shared" si="26"/>
        <v>0</v>
      </c>
      <c r="AN83" s="403"/>
      <c r="AO83" s="67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6">
        <f t="shared" si="27"/>
        <v>0</v>
      </c>
      <c r="AQ83" s="252">
        <f t="shared" si="28"/>
        <v>0</v>
      </c>
      <c r="AR83" s="676">
        <f t="shared" si="29"/>
        <v>0</v>
      </c>
      <c r="AS83" s="25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52">
        <f t="shared" si="30"/>
        <v>0</v>
      </c>
      <c r="AU83" s="252" t="str">
        <f t="shared" si="31"/>
        <v/>
      </c>
      <c r="AV83" s="690"/>
      <c r="AW83" s="690"/>
      <c r="AX83" s="690"/>
      <c r="AY83" s="690"/>
      <c r="AZ83" s="690"/>
    </row>
    <row r="84" spans="3:52" s="46" customFormat="1" ht="30" hidden="1" customHeight="1" outlineLevel="1">
      <c r="C84" s="678">
        <v>69</v>
      </c>
      <c r="D84" s="691"/>
      <c r="E84" s="680"/>
      <c r="F84" s="681"/>
      <c r="G84" s="1942"/>
      <c r="H84" s="1943"/>
      <c r="I84" s="682"/>
      <c r="J84" s="683"/>
      <c r="K84" s="684"/>
      <c r="L84" s="685"/>
      <c r="M84" s="685"/>
      <c r="N84" s="685"/>
      <c r="O84" s="685"/>
      <c r="P84" s="1045"/>
      <c r="Q84" s="686"/>
      <c r="R84" s="687"/>
      <c r="S84" s="685"/>
      <c r="T84" s="672"/>
      <c r="U84" s="2"/>
      <c r="V84" s="1054"/>
      <c r="W84" s="673"/>
      <c r="X84" s="2"/>
      <c r="Y84" s="688">
        <f t="shared" si="35"/>
        <v>0</v>
      </c>
      <c r="Z84" s="674">
        <f t="shared" si="32"/>
        <v>0</v>
      </c>
      <c r="AA84" s="674">
        <f t="shared" si="33"/>
        <v>0</v>
      </c>
      <c r="AB84" s="688">
        <f>IF(Y84=0,,VLOOKUP(Y84,リスト!CX:CY,2,0))</f>
        <v>0</v>
      </c>
      <c r="AC84" s="688">
        <f t="shared" si="19"/>
        <v>0</v>
      </c>
      <c r="AD84" s="689">
        <f>IF(AC84=0,,VLOOKUP(AC84,リスト!DK:DL,2,0))</f>
        <v>0</v>
      </c>
      <c r="AE84" s="674">
        <f>IF(Y84=0,,
IF(OR(リスト!$C$21="小麦",リスト!$C$21="二条大麦",リスト!$C$21="六条大麦",リスト!$C$21="はだか麦",リスト!$C$21="なたね"),IF(K84&lt;9,調査年-J84,調査年-J84-1),
IF(リスト!$C$21="さとうきび",IF(K84&gt;=4,調査年-J84,調査年-J84+1),
調査年-J84)))</f>
        <v>0</v>
      </c>
      <c r="AF84" s="252">
        <f t="shared" si="20"/>
        <v>0</v>
      </c>
      <c r="AG84" s="252">
        <f t="shared" si="21"/>
        <v>0</v>
      </c>
      <c r="AH84" s="252">
        <f t="shared" si="22"/>
        <v>0</v>
      </c>
      <c r="AI84" s="252">
        <f t="shared" si="23"/>
        <v>0</v>
      </c>
      <c r="AJ84" s="252">
        <f t="shared" si="24"/>
        <v>0</v>
      </c>
      <c r="AK84" s="252">
        <f t="shared" si="34"/>
        <v>0</v>
      </c>
      <c r="AL84" s="252">
        <f t="shared" si="25"/>
        <v>0</v>
      </c>
      <c r="AM84" s="252">
        <f t="shared" si="26"/>
        <v>0</v>
      </c>
      <c r="AN84" s="403"/>
      <c r="AO84" s="67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6">
        <f t="shared" si="27"/>
        <v>0</v>
      </c>
      <c r="AQ84" s="252">
        <f t="shared" si="28"/>
        <v>0</v>
      </c>
      <c r="AR84" s="676">
        <f t="shared" si="29"/>
        <v>0</v>
      </c>
      <c r="AS84" s="25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52">
        <f t="shared" si="30"/>
        <v>0</v>
      </c>
      <c r="AU84" s="252" t="str">
        <f t="shared" si="31"/>
        <v/>
      </c>
      <c r="AV84" s="690"/>
      <c r="AW84" s="690"/>
      <c r="AX84" s="690"/>
      <c r="AY84" s="690"/>
      <c r="AZ84" s="690"/>
    </row>
    <row r="85" spans="3:52" s="46" customFormat="1" ht="30" hidden="1" customHeight="1" outlineLevel="1">
      <c r="C85" s="678">
        <v>70</v>
      </c>
      <c r="D85" s="691"/>
      <c r="E85" s="680"/>
      <c r="F85" s="681"/>
      <c r="G85" s="1942"/>
      <c r="H85" s="1943"/>
      <c r="I85" s="682"/>
      <c r="J85" s="683"/>
      <c r="K85" s="684"/>
      <c r="L85" s="685"/>
      <c r="M85" s="685"/>
      <c r="N85" s="685"/>
      <c r="O85" s="685"/>
      <c r="P85" s="1045"/>
      <c r="Q85" s="686"/>
      <c r="R85" s="687"/>
      <c r="S85" s="685"/>
      <c r="T85" s="672"/>
      <c r="U85" s="2"/>
      <c r="V85" s="1054"/>
      <c r="W85" s="673"/>
      <c r="X85" s="2"/>
      <c r="Y85" s="688">
        <f t="shared" si="35"/>
        <v>0</v>
      </c>
      <c r="Z85" s="674">
        <f t="shared" si="32"/>
        <v>0</v>
      </c>
      <c r="AA85" s="674">
        <f t="shared" si="33"/>
        <v>0</v>
      </c>
      <c r="AB85" s="688">
        <f>IF(Y85=0,,VLOOKUP(Y85,リスト!CX:CY,2,0))</f>
        <v>0</v>
      </c>
      <c r="AC85" s="688">
        <f t="shared" si="19"/>
        <v>0</v>
      </c>
      <c r="AD85" s="689">
        <f>IF(AC85=0,,VLOOKUP(AC85,リスト!DK:DL,2,0))</f>
        <v>0</v>
      </c>
      <c r="AE85" s="674">
        <f>IF(Y85=0,,
IF(OR(リスト!$C$21="小麦",リスト!$C$21="二条大麦",リスト!$C$21="六条大麦",リスト!$C$21="はだか麦",リスト!$C$21="なたね"),IF(K85&lt;9,調査年-J85,調査年-J85-1),
IF(リスト!$C$21="さとうきび",IF(K85&gt;=4,調査年-J85,調査年-J85+1),
調査年-J85)))</f>
        <v>0</v>
      </c>
      <c r="AF85" s="252">
        <f t="shared" si="20"/>
        <v>0</v>
      </c>
      <c r="AG85" s="252">
        <f t="shared" si="21"/>
        <v>0</v>
      </c>
      <c r="AH85" s="252">
        <f t="shared" si="22"/>
        <v>0</v>
      </c>
      <c r="AI85" s="252">
        <f t="shared" si="23"/>
        <v>0</v>
      </c>
      <c r="AJ85" s="252">
        <f t="shared" si="24"/>
        <v>0</v>
      </c>
      <c r="AK85" s="252">
        <f t="shared" si="34"/>
        <v>0</v>
      </c>
      <c r="AL85" s="252">
        <f t="shared" si="25"/>
        <v>0</v>
      </c>
      <c r="AM85" s="252">
        <f t="shared" si="26"/>
        <v>0</v>
      </c>
      <c r="AN85" s="403"/>
      <c r="AO85" s="67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6">
        <f t="shared" si="27"/>
        <v>0</v>
      </c>
      <c r="AQ85" s="252">
        <f t="shared" si="28"/>
        <v>0</v>
      </c>
      <c r="AR85" s="676">
        <f t="shared" si="29"/>
        <v>0</v>
      </c>
      <c r="AS85" s="25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52">
        <f t="shared" si="30"/>
        <v>0</v>
      </c>
      <c r="AU85" s="252" t="str">
        <f t="shared" si="31"/>
        <v/>
      </c>
      <c r="AV85" s="690"/>
      <c r="AW85" s="690"/>
      <c r="AX85" s="690"/>
      <c r="AY85" s="690"/>
      <c r="AZ85" s="690"/>
    </row>
    <row r="86" spans="3:52" s="46" customFormat="1" ht="30" hidden="1" customHeight="1" outlineLevel="1">
      <c r="C86" s="678">
        <v>71</v>
      </c>
      <c r="D86" s="691"/>
      <c r="E86" s="680"/>
      <c r="F86" s="681"/>
      <c r="G86" s="1942"/>
      <c r="H86" s="1943"/>
      <c r="I86" s="682"/>
      <c r="J86" s="683"/>
      <c r="K86" s="684"/>
      <c r="L86" s="685"/>
      <c r="M86" s="685"/>
      <c r="N86" s="685"/>
      <c r="O86" s="685"/>
      <c r="P86" s="1045"/>
      <c r="Q86" s="686"/>
      <c r="R86" s="687"/>
      <c r="S86" s="685"/>
      <c r="T86" s="672"/>
      <c r="U86" s="2"/>
      <c r="V86" s="1054"/>
      <c r="W86" s="673"/>
      <c r="X86" s="2"/>
      <c r="Y86" s="688">
        <f t="shared" si="35"/>
        <v>0</v>
      </c>
      <c r="Z86" s="674">
        <f t="shared" si="32"/>
        <v>0</v>
      </c>
      <c r="AA86" s="674">
        <f t="shared" si="33"/>
        <v>0</v>
      </c>
      <c r="AB86" s="688">
        <f>IF(Y86=0,,VLOOKUP(Y86,リスト!CX:CY,2,0))</f>
        <v>0</v>
      </c>
      <c r="AC86" s="688">
        <f t="shared" si="19"/>
        <v>0</v>
      </c>
      <c r="AD86" s="689">
        <f>IF(AC86=0,,VLOOKUP(AC86,リスト!DK:DL,2,0))</f>
        <v>0</v>
      </c>
      <c r="AE86" s="674">
        <f>IF(Y86=0,,
IF(OR(リスト!$C$21="小麦",リスト!$C$21="二条大麦",リスト!$C$21="六条大麦",リスト!$C$21="はだか麦",リスト!$C$21="なたね"),IF(K86&lt;9,調査年-J86,調査年-J86-1),
IF(リスト!$C$21="さとうきび",IF(K86&gt;=4,調査年-J86,調査年-J86+1),
調査年-J86)))</f>
        <v>0</v>
      </c>
      <c r="AF86" s="252">
        <f t="shared" si="20"/>
        <v>0</v>
      </c>
      <c r="AG86" s="252">
        <f t="shared" si="21"/>
        <v>0</v>
      </c>
      <c r="AH86" s="252">
        <f t="shared" si="22"/>
        <v>0</v>
      </c>
      <c r="AI86" s="252">
        <f t="shared" si="23"/>
        <v>0</v>
      </c>
      <c r="AJ86" s="252">
        <f t="shared" si="24"/>
        <v>0</v>
      </c>
      <c r="AK86" s="252">
        <f t="shared" si="34"/>
        <v>0</v>
      </c>
      <c r="AL86" s="252">
        <f t="shared" si="25"/>
        <v>0</v>
      </c>
      <c r="AM86" s="252">
        <f t="shared" si="26"/>
        <v>0</v>
      </c>
      <c r="AN86" s="403"/>
      <c r="AO86" s="67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6">
        <f t="shared" si="27"/>
        <v>0</v>
      </c>
      <c r="AQ86" s="252">
        <f t="shared" si="28"/>
        <v>0</v>
      </c>
      <c r="AR86" s="676">
        <f t="shared" si="29"/>
        <v>0</v>
      </c>
      <c r="AS86" s="25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52">
        <f t="shared" si="30"/>
        <v>0</v>
      </c>
      <c r="AU86" s="252" t="str">
        <f t="shared" si="31"/>
        <v/>
      </c>
      <c r="AV86" s="690"/>
      <c r="AW86" s="690"/>
      <c r="AX86" s="690"/>
      <c r="AY86" s="690"/>
      <c r="AZ86" s="690"/>
    </row>
    <row r="87" spans="3:52" s="46" customFormat="1" ht="30" hidden="1" customHeight="1" outlineLevel="1">
      <c r="C87" s="678">
        <v>72</v>
      </c>
      <c r="D87" s="691"/>
      <c r="E87" s="680"/>
      <c r="F87" s="681"/>
      <c r="G87" s="1942"/>
      <c r="H87" s="1943"/>
      <c r="I87" s="682"/>
      <c r="J87" s="683"/>
      <c r="K87" s="684"/>
      <c r="L87" s="685"/>
      <c r="M87" s="685"/>
      <c r="N87" s="685"/>
      <c r="O87" s="685"/>
      <c r="P87" s="1045"/>
      <c r="Q87" s="686"/>
      <c r="R87" s="687"/>
      <c r="S87" s="685"/>
      <c r="T87" s="672"/>
      <c r="U87" s="2"/>
      <c r="V87" s="1054"/>
      <c r="W87" s="673"/>
      <c r="X87" s="2"/>
      <c r="Y87" s="688">
        <f t="shared" si="35"/>
        <v>0</v>
      </c>
      <c r="Z87" s="674">
        <f t="shared" si="32"/>
        <v>0</v>
      </c>
      <c r="AA87" s="674">
        <f t="shared" si="33"/>
        <v>0</v>
      </c>
      <c r="AB87" s="688">
        <f>IF(Y87=0,,VLOOKUP(Y87,リスト!CX:CY,2,0))</f>
        <v>0</v>
      </c>
      <c r="AC87" s="688">
        <f t="shared" si="19"/>
        <v>0</v>
      </c>
      <c r="AD87" s="689">
        <f>IF(AC87=0,,VLOOKUP(AC87,リスト!DK:DL,2,0))</f>
        <v>0</v>
      </c>
      <c r="AE87" s="674">
        <f>IF(Y87=0,,
IF(OR(リスト!$C$21="小麦",リスト!$C$21="二条大麦",リスト!$C$21="六条大麦",リスト!$C$21="はだか麦",リスト!$C$21="なたね"),IF(K87&lt;9,調査年-J87,調査年-J87-1),
IF(リスト!$C$21="さとうきび",IF(K87&gt;=4,調査年-J87,調査年-J87+1),
調査年-J87)))</f>
        <v>0</v>
      </c>
      <c r="AF87" s="252">
        <f t="shared" si="20"/>
        <v>0</v>
      </c>
      <c r="AG87" s="252">
        <f t="shared" si="21"/>
        <v>0</v>
      </c>
      <c r="AH87" s="252">
        <f t="shared" si="22"/>
        <v>0</v>
      </c>
      <c r="AI87" s="252">
        <f t="shared" si="23"/>
        <v>0</v>
      </c>
      <c r="AJ87" s="252">
        <f t="shared" si="24"/>
        <v>0</v>
      </c>
      <c r="AK87" s="252">
        <f t="shared" si="34"/>
        <v>0</v>
      </c>
      <c r="AL87" s="252">
        <f t="shared" si="25"/>
        <v>0</v>
      </c>
      <c r="AM87" s="252">
        <f t="shared" si="26"/>
        <v>0</v>
      </c>
      <c r="AN87" s="403"/>
      <c r="AO87" s="67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6">
        <f t="shared" si="27"/>
        <v>0</v>
      </c>
      <c r="AQ87" s="252">
        <f t="shared" si="28"/>
        <v>0</v>
      </c>
      <c r="AR87" s="676">
        <f t="shared" si="29"/>
        <v>0</v>
      </c>
      <c r="AS87" s="25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52">
        <f t="shared" si="30"/>
        <v>0</v>
      </c>
      <c r="AU87" s="252" t="str">
        <f t="shared" si="31"/>
        <v/>
      </c>
      <c r="AV87" s="690"/>
      <c r="AW87" s="690"/>
      <c r="AX87" s="690"/>
      <c r="AY87" s="690"/>
      <c r="AZ87" s="690"/>
    </row>
    <row r="88" spans="3:52" s="46" customFormat="1" ht="30" hidden="1" customHeight="1" outlineLevel="1">
      <c r="C88" s="678">
        <v>73</v>
      </c>
      <c r="D88" s="691"/>
      <c r="E88" s="680"/>
      <c r="F88" s="681"/>
      <c r="G88" s="1942"/>
      <c r="H88" s="1943"/>
      <c r="I88" s="682"/>
      <c r="J88" s="683"/>
      <c r="K88" s="684"/>
      <c r="L88" s="685"/>
      <c r="M88" s="685"/>
      <c r="N88" s="685"/>
      <c r="O88" s="685"/>
      <c r="P88" s="1045"/>
      <c r="Q88" s="686"/>
      <c r="R88" s="687"/>
      <c r="S88" s="685"/>
      <c r="T88" s="672"/>
      <c r="U88" s="2"/>
      <c r="V88" s="1054"/>
      <c r="W88" s="673"/>
      <c r="X88" s="2"/>
      <c r="Y88" s="688">
        <f t="shared" si="35"/>
        <v>0</v>
      </c>
      <c r="Z88" s="674">
        <f t="shared" si="32"/>
        <v>0</v>
      </c>
      <c r="AA88" s="674">
        <f t="shared" si="33"/>
        <v>0</v>
      </c>
      <c r="AB88" s="688">
        <f>IF(Y88=0,,VLOOKUP(Y88,リスト!CX:CY,2,0))</f>
        <v>0</v>
      </c>
      <c r="AC88" s="688">
        <f t="shared" si="19"/>
        <v>0</v>
      </c>
      <c r="AD88" s="689">
        <f>IF(AC88=0,,VLOOKUP(AC88,リスト!DK:DL,2,0))</f>
        <v>0</v>
      </c>
      <c r="AE88" s="674">
        <f>IF(Y88=0,,
IF(OR(リスト!$C$21="小麦",リスト!$C$21="二条大麦",リスト!$C$21="六条大麦",リスト!$C$21="はだか麦",リスト!$C$21="なたね"),IF(K88&lt;9,調査年-J88,調査年-J88-1),
IF(リスト!$C$21="さとうきび",IF(K88&gt;=4,調査年-J88,調査年-J88+1),
調査年-J88)))</f>
        <v>0</v>
      </c>
      <c r="AF88" s="252">
        <f t="shared" si="20"/>
        <v>0</v>
      </c>
      <c r="AG88" s="252">
        <f t="shared" si="21"/>
        <v>0</v>
      </c>
      <c r="AH88" s="252">
        <f t="shared" si="22"/>
        <v>0</v>
      </c>
      <c r="AI88" s="252">
        <f t="shared" si="23"/>
        <v>0</v>
      </c>
      <c r="AJ88" s="252">
        <f t="shared" si="24"/>
        <v>0</v>
      </c>
      <c r="AK88" s="252">
        <f t="shared" si="34"/>
        <v>0</v>
      </c>
      <c r="AL88" s="252">
        <f t="shared" si="25"/>
        <v>0</v>
      </c>
      <c r="AM88" s="252">
        <f t="shared" si="26"/>
        <v>0</v>
      </c>
      <c r="AN88" s="403"/>
      <c r="AO88" s="67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6">
        <f t="shared" si="27"/>
        <v>0</v>
      </c>
      <c r="AQ88" s="252">
        <f t="shared" si="28"/>
        <v>0</v>
      </c>
      <c r="AR88" s="676">
        <f t="shared" si="29"/>
        <v>0</v>
      </c>
      <c r="AS88" s="25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52">
        <f t="shared" si="30"/>
        <v>0</v>
      </c>
      <c r="AU88" s="252" t="str">
        <f t="shared" si="31"/>
        <v/>
      </c>
      <c r="AV88" s="690"/>
      <c r="AW88" s="690"/>
      <c r="AX88" s="690"/>
      <c r="AY88" s="690"/>
      <c r="AZ88" s="690"/>
    </row>
    <row r="89" spans="3:52" s="46" customFormat="1" ht="30" hidden="1" customHeight="1" outlineLevel="1">
      <c r="C89" s="678">
        <v>74</v>
      </c>
      <c r="D89" s="691"/>
      <c r="E89" s="680"/>
      <c r="F89" s="681"/>
      <c r="G89" s="1942"/>
      <c r="H89" s="1943"/>
      <c r="I89" s="682"/>
      <c r="J89" s="683"/>
      <c r="K89" s="684"/>
      <c r="L89" s="685"/>
      <c r="M89" s="685"/>
      <c r="N89" s="685"/>
      <c r="O89" s="685"/>
      <c r="P89" s="1045"/>
      <c r="Q89" s="686"/>
      <c r="R89" s="687"/>
      <c r="S89" s="685"/>
      <c r="T89" s="672"/>
      <c r="U89" s="2"/>
      <c r="V89" s="1054"/>
      <c r="W89" s="673"/>
      <c r="X89" s="2"/>
      <c r="Y89" s="688">
        <f t="shared" si="35"/>
        <v>0</v>
      </c>
      <c r="Z89" s="674">
        <f t="shared" si="32"/>
        <v>0</v>
      </c>
      <c r="AA89" s="674">
        <f t="shared" si="33"/>
        <v>0</v>
      </c>
      <c r="AB89" s="688">
        <f>IF(Y89=0,,VLOOKUP(Y89,リスト!CX:CY,2,0))</f>
        <v>0</v>
      </c>
      <c r="AC89" s="688">
        <f t="shared" si="19"/>
        <v>0</v>
      </c>
      <c r="AD89" s="689">
        <f>IF(AC89=0,,VLOOKUP(AC89,リスト!DK:DL,2,0))</f>
        <v>0</v>
      </c>
      <c r="AE89" s="674">
        <f>IF(Y89=0,,
IF(OR(リスト!$C$21="小麦",リスト!$C$21="二条大麦",リスト!$C$21="六条大麦",リスト!$C$21="はだか麦",リスト!$C$21="なたね"),IF(K89&lt;9,調査年-J89,調査年-J89-1),
IF(リスト!$C$21="さとうきび",IF(K89&gt;=4,調査年-J89,調査年-J89+1),
調査年-J89)))</f>
        <v>0</v>
      </c>
      <c r="AF89" s="252">
        <f t="shared" si="20"/>
        <v>0</v>
      </c>
      <c r="AG89" s="252">
        <f t="shared" si="21"/>
        <v>0</v>
      </c>
      <c r="AH89" s="252">
        <f t="shared" si="22"/>
        <v>0</v>
      </c>
      <c r="AI89" s="252">
        <f t="shared" si="23"/>
        <v>0</v>
      </c>
      <c r="AJ89" s="252">
        <f t="shared" si="24"/>
        <v>0</v>
      </c>
      <c r="AK89" s="252">
        <f t="shared" si="34"/>
        <v>0</v>
      </c>
      <c r="AL89" s="252">
        <f t="shared" si="25"/>
        <v>0</v>
      </c>
      <c r="AM89" s="252">
        <f t="shared" si="26"/>
        <v>0</v>
      </c>
      <c r="AN89" s="403"/>
      <c r="AO89" s="67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6">
        <f t="shared" si="27"/>
        <v>0</v>
      </c>
      <c r="AQ89" s="252">
        <f t="shared" si="28"/>
        <v>0</v>
      </c>
      <c r="AR89" s="676">
        <f t="shared" si="29"/>
        <v>0</v>
      </c>
      <c r="AS89" s="25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52">
        <f t="shared" si="30"/>
        <v>0</v>
      </c>
      <c r="AU89" s="252" t="str">
        <f t="shared" si="31"/>
        <v/>
      </c>
      <c r="AV89" s="690"/>
      <c r="AW89" s="690"/>
      <c r="AX89" s="690"/>
      <c r="AY89" s="690"/>
      <c r="AZ89" s="690"/>
    </row>
    <row r="90" spans="3:52" s="46" customFormat="1" ht="30" hidden="1" customHeight="1" outlineLevel="1">
      <c r="C90" s="678">
        <v>75</v>
      </c>
      <c r="D90" s="691"/>
      <c r="E90" s="680"/>
      <c r="F90" s="681"/>
      <c r="G90" s="1942"/>
      <c r="H90" s="1943"/>
      <c r="I90" s="682"/>
      <c r="J90" s="683"/>
      <c r="K90" s="684"/>
      <c r="L90" s="685"/>
      <c r="M90" s="685"/>
      <c r="N90" s="685"/>
      <c r="O90" s="685"/>
      <c r="P90" s="1045"/>
      <c r="Q90" s="686"/>
      <c r="R90" s="687"/>
      <c r="S90" s="685"/>
      <c r="T90" s="672"/>
      <c r="U90" s="2"/>
      <c r="V90" s="1054"/>
      <c r="W90" s="673"/>
      <c r="X90" s="2"/>
      <c r="Y90" s="688">
        <f t="shared" si="35"/>
        <v>0</v>
      </c>
      <c r="Z90" s="674">
        <f t="shared" si="32"/>
        <v>0</v>
      </c>
      <c r="AA90" s="674">
        <f t="shared" si="33"/>
        <v>0</v>
      </c>
      <c r="AB90" s="688">
        <f>IF(Y90=0,,VLOOKUP(Y90,リスト!CX:CY,2,0))</f>
        <v>0</v>
      </c>
      <c r="AC90" s="688">
        <f t="shared" si="19"/>
        <v>0</v>
      </c>
      <c r="AD90" s="689">
        <f>IF(AC90=0,,VLOOKUP(AC90,リスト!DK:DL,2,0))</f>
        <v>0</v>
      </c>
      <c r="AE90" s="674">
        <f>IF(Y90=0,,
IF(OR(リスト!$C$21="小麦",リスト!$C$21="二条大麦",リスト!$C$21="六条大麦",リスト!$C$21="はだか麦",リスト!$C$21="なたね"),IF(K90&lt;9,調査年-J90,調査年-J90-1),
IF(リスト!$C$21="さとうきび",IF(K90&gt;=4,調査年-J90,調査年-J90+1),
調査年-J90)))</f>
        <v>0</v>
      </c>
      <c r="AF90" s="252">
        <f t="shared" si="20"/>
        <v>0</v>
      </c>
      <c r="AG90" s="252">
        <f t="shared" si="21"/>
        <v>0</v>
      </c>
      <c r="AH90" s="252">
        <f t="shared" si="22"/>
        <v>0</v>
      </c>
      <c r="AI90" s="252">
        <f t="shared" si="23"/>
        <v>0</v>
      </c>
      <c r="AJ90" s="252">
        <f t="shared" si="24"/>
        <v>0</v>
      </c>
      <c r="AK90" s="252">
        <f t="shared" si="34"/>
        <v>0</v>
      </c>
      <c r="AL90" s="252">
        <f t="shared" si="25"/>
        <v>0</v>
      </c>
      <c r="AM90" s="252">
        <f t="shared" si="26"/>
        <v>0</v>
      </c>
      <c r="AN90" s="403"/>
      <c r="AO90" s="67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6">
        <f t="shared" si="27"/>
        <v>0</v>
      </c>
      <c r="AQ90" s="252">
        <f t="shared" si="28"/>
        <v>0</v>
      </c>
      <c r="AR90" s="676">
        <f t="shared" si="29"/>
        <v>0</v>
      </c>
      <c r="AS90" s="25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52">
        <f t="shared" si="30"/>
        <v>0</v>
      </c>
      <c r="AU90" s="252" t="str">
        <f t="shared" si="31"/>
        <v/>
      </c>
      <c r="AV90" s="690"/>
      <c r="AW90" s="690"/>
      <c r="AX90" s="690"/>
      <c r="AY90" s="690"/>
      <c r="AZ90" s="690"/>
    </row>
    <row r="91" spans="3:52" s="46" customFormat="1" ht="30" hidden="1" customHeight="1" outlineLevel="1">
      <c r="C91" s="678">
        <v>76</v>
      </c>
      <c r="D91" s="691"/>
      <c r="E91" s="680"/>
      <c r="F91" s="681"/>
      <c r="G91" s="1942"/>
      <c r="H91" s="1943"/>
      <c r="I91" s="682"/>
      <c r="J91" s="683"/>
      <c r="K91" s="684"/>
      <c r="L91" s="685"/>
      <c r="M91" s="685"/>
      <c r="N91" s="685"/>
      <c r="O91" s="685"/>
      <c r="P91" s="1045"/>
      <c r="Q91" s="686"/>
      <c r="R91" s="687"/>
      <c r="S91" s="685"/>
      <c r="T91" s="672"/>
      <c r="U91" s="2"/>
      <c r="V91" s="1054"/>
      <c r="W91" s="673"/>
      <c r="X91" s="2"/>
      <c r="Y91" s="688">
        <f t="shared" si="35"/>
        <v>0</v>
      </c>
      <c r="Z91" s="674">
        <f t="shared" si="32"/>
        <v>0</v>
      </c>
      <c r="AA91" s="674">
        <f t="shared" si="33"/>
        <v>0</v>
      </c>
      <c r="AB91" s="688">
        <f>IF(Y91=0,,VLOOKUP(Y91,リスト!CX:CY,2,0))</f>
        <v>0</v>
      </c>
      <c r="AC91" s="688">
        <f t="shared" si="19"/>
        <v>0</v>
      </c>
      <c r="AD91" s="689">
        <f>IF(AC91=0,,VLOOKUP(AC91,リスト!DK:DL,2,0))</f>
        <v>0</v>
      </c>
      <c r="AE91" s="674">
        <f>IF(Y91=0,,
IF(OR(リスト!$C$21="小麦",リスト!$C$21="二条大麦",リスト!$C$21="六条大麦",リスト!$C$21="はだか麦",リスト!$C$21="なたね"),IF(K91&lt;9,調査年-J91,調査年-J91-1),
IF(リスト!$C$21="さとうきび",IF(K91&gt;=4,調査年-J91,調査年-J91+1),
調査年-J91)))</f>
        <v>0</v>
      </c>
      <c r="AF91" s="252">
        <f t="shared" si="20"/>
        <v>0</v>
      </c>
      <c r="AG91" s="252">
        <f t="shared" si="21"/>
        <v>0</v>
      </c>
      <c r="AH91" s="252">
        <f t="shared" si="22"/>
        <v>0</v>
      </c>
      <c r="AI91" s="252">
        <f t="shared" si="23"/>
        <v>0</v>
      </c>
      <c r="AJ91" s="252">
        <f t="shared" si="24"/>
        <v>0</v>
      </c>
      <c r="AK91" s="252">
        <f t="shared" si="34"/>
        <v>0</v>
      </c>
      <c r="AL91" s="252">
        <f t="shared" si="25"/>
        <v>0</v>
      </c>
      <c r="AM91" s="252">
        <f t="shared" si="26"/>
        <v>0</v>
      </c>
      <c r="AN91" s="403"/>
      <c r="AO91" s="67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6">
        <f t="shared" si="27"/>
        <v>0</v>
      </c>
      <c r="AQ91" s="252">
        <f t="shared" si="28"/>
        <v>0</v>
      </c>
      <c r="AR91" s="676">
        <f t="shared" si="29"/>
        <v>0</v>
      </c>
      <c r="AS91" s="25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52">
        <f t="shared" si="30"/>
        <v>0</v>
      </c>
      <c r="AU91" s="252" t="str">
        <f t="shared" si="31"/>
        <v/>
      </c>
      <c r="AV91" s="690"/>
      <c r="AW91" s="690"/>
      <c r="AX91" s="690"/>
      <c r="AY91" s="690"/>
      <c r="AZ91" s="690"/>
    </row>
    <row r="92" spans="3:52" s="46" customFormat="1" ht="30" hidden="1" customHeight="1" outlineLevel="1">
      <c r="C92" s="678">
        <v>77</v>
      </c>
      <c r="D92" s="691"/>
      <c r="E92" s="680"/>
      <c r="F92" s="681"/>
      <c r="G92" s="1942"/>
      <c r="H92" s="1943"/>
      <c r="I92" s="682"/>
      <c r="J92" s="683"/>
      <c r="K92" s="684"/>
      <c r="L92" s="685"/>
      <c r="M92" s="685"/>
      <c r="N92" s="685"/>
      <c r="O92" s="685"/>
      <c r="P92" s="1045"/>
      <c r="Q92" s="686"/>
      <c r="R92" s="687"/>
      <c r="S92" s="685"/>
      <c r="T92" s="672"/>
      <c r="U92" s="2"/>
      <c r="V92" s="1054"/>
      <c r="W92" s="673"/>
      <c r="X92" s="2"/>
      <c r="Y92" s="688">
        <f t="shared" si="35"/>
        <v>0</v>
      </c>
      <c r="Z92" s="674">
        <f t="shared" si="32"/>
        <v>0</v>
      </c>
      <c r="AA92" s="674">
        <f t="shared" si="33"/>
        <v>0</v>
      </c>
      <c r="AB92" s="688">
        <f>IF(Y92=0,,VLOOKUP(Y92,リスト!CX:CY,2,0))</f>
        <v>0</v>
      </c>
      <c r="AC92" s="688">
        <f t="shared" si="19"/>
        <v>0</v>
      </c>
      <c r="AD92" s="689">
        <f>IF(AC92=0,,VLOOKUP(AC92,リスト!DK:DL,2,0))</f>
        <v>0</v>
      </c>
      <c r="AE92" s="674">
        <f>IF(Y92=0,,
IF(OR(リスト!$C$21="小麦",リスト!$C$21="二条大麦",リスト!$C$21="六条大麦",リスト!$C$21="はだか麦",リスト!$C$21="なたね"),IF(K92&lt;9,調査年-J92,調査年-J92-1),
IF(リスト!$C$21="さとうきび",IF(K92&gt;=4,調査年-J92,調査年-J92+1),
調査年-J92)))</f>
        <v>0</v>
      </c>
      <c r="AF92" s="252">
        <f t="shared" si="20"/>
        <v>0</v>
      </c>
      <c r="AG92" s="252">
        <f t="shared" si="21"/>
        <v>0</v>
      </c>
      <c r="AH92" s="252">
        <f t="shared" si="22"/>
        <v>0</v>
      </c>
      <c r="AI92" s="252">
        <f t="shared" si="23"/>
        <v>0</v>
      </c>
      <c r="AJ92" s="252">
        <f t="shared" si="24"/>
        <v>0</v>
      </c>
      <c r="AK92" s="252">
        <f t="shared" si="34"/>
        <v>0</v>
      </c>
      <c r="AL92" s="252">
        <f t="shared" si="25"/>
        <v>0</v>
      </c>
      <c r="AM92" s="252">
        <f t="shared" si="26"/>
        <v>0</v>
      </c>
      <c r="AN92" s="403"/>
      <c r="AO92" s="67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6">
        <f t="shared" si="27"/>
        <v>0</v>
      </c>
      <c r="AQ92" s="252">
        <f t="shared" si="28"/>
        <v>0</v>
      </c>
      <c r="AR92" s="676">
        <f t="shared" si="29"/>
        <v>0</v>
      </c>
      <c r="AS92" s="25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52">
        <f t="shared" si="30"/>
        <v>0</v>
      </c>
      <c r="AU92" s="252" t="str">
        <f t="shared" si="31"/>
        <v/>
      </c>
      <c r="AV92" s="690"/>
      <c r="AW92" s="690"/>
      <c r="AX92" s="690"/>
      <c r="AY92" s="690"/>
      <c r="AZ92" s="690"/>
    </row>
    <row r="93" spans="3:52" s="46" customFormat="1" ht="30" hidden="1" customHeight="1" outlineLevel="1">
      <c r="C93" s="678">
        <v>78</v>
      </c>
      <c r="D93" s="691"/>
      <c r="E93" s="680"/>
      <c r="F93" s="681"/>
      <c r="G93" s="1942"/>
      <c r="H93" s="1943"/>
      <c r="I93" s="682"/>
      <c r="J93" s="683"/>
      <c r="K93" s="684"/>
      <c r="L93" s="685"/>
      <c r="M93" s="685"/>
      <c r="N93" s="685"/>
      <c r="O93" s="685"/>
      <c r="P93" s="1045"/>
      <c r="Q93" s="686"/>
      <c r="R93" s="687"/>
      <c r="S93" s="685"/>
      <c r="T93" s="672"/>
      <c r="U93" s="2"/>
      <c r="V93" s="1054"/>
      <c r="W93" s="673"/>
      <c r="X93" s="2"/>
      <c r="Y93" s="688">
        <f t="shared" si="35"/>
        <v>0</v>
      </c>
      <c r="Z93" s="674">
        <f t="shared" si="32"/>
        <v>0</v>
      </c>
      <c r="AA93" s="674">
        <f t="shared" si="33"/>
        <v>0</v>
      </c>
      <c r="AB93" s="688">
        <f>IF(Y93=0,,VLOOKUP(Y93,リスト!CX:CY,2,0))</f>
        <v>0</v>
      </c>
      <c r="AC93" s="688">
        <f t="shared" si="19"/>
        <v>0</v>
      </c>
      <c r="AD93" s="689">
        <f>IF(AC93=0,,VLOOKUP(AC93,リスト!DK:DL,2,0))</f>
        <v>0</v>
      </c>
      <c r="AE93" s="674">
        <f>IF(Y93=0,,
IF(OR(リスト!$C$21="小麦",リスト!$C$21="二条大麦",リスト!$C$21="六条大麦",リスト!$C$21="はだか麦",リスト!$C$21="なたね"),IF(K93&lt;9,調査年-J93,調査年-J93-1),
IF(リスト!$C$21="さとうきび",IF(K93&gt;=4,調査年-J93,調査年-J93+1),
調査年-J93)))</f>
        <v>0</v>
      </c>
      <c r="AF93" s="252">
        <f t="shared" si="20"/>
        <v>0</v>
      </c>
      <c r="AG93" s="252">
        <f t="shared" si="21"/>
        <v>0</v>
      </c>
      <c r="AH93" s="252">
        <f t="shared" si="22"/>
        <v>0</v>
      </c>
      <c r="AI93" s="252">
        <f t="shared" si="23"/>
        <v>0</v>
      </c>
      <c r="AJ93" s="252">
        <f t="shared" si="24"/>
        <v>0</v>
      </c>
      <c r="AK93" s="252">
        <f t="shared" si="34"/>
        <v>0</v>
      </c>
      <c r="AL93" s="252">
        <f t="shared" si="25"/>
        <v>0</v>
      </c>
      <c r="AM93" s="252">
        <f t="shared" si="26"/>
        <v>0</v>
      </c>
      <c r="AN93" s="403"/>
      <c r="AO93" s="67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6">
        <f t="shared" si="27"/>
        <v>0</v>
      </c>
      <c r="AQ93" s="252">
        <f t="shared" si="28"/>
        <v>0</v>
      </c>
      <c r="AR93" s="676">
        <f t="shared" si="29"/>
        <v>0</v>
      </c>
      <c r="AS93" s="25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52">
        <f t="shared" si="30"/>
        <v>0</v>
      </c>
      <c r="AU93" s="252" t="str">
        <f t="shared" si="31"/>
        <v/>
      </c>
      <c r="AV93" s="690"/>
      <c r="AW93" s="690"/>
      <c r="AX93" s="690"/>
      <c r="AY93" s="690"/>
      <c r="AZ93" s="690"/>
    </row>
    <row r="94" spans="3:52" s="46" customFormat="1" ht="30" hidden="1" customHeight="1" outlineLevel="1">
      <c r="C94" s="678">
        <v>79</v>
      </c>
      <c r="D94" s="691"/>
      <c r="E94" s="680"/>
      <c r="F94" s="681"/>
      <c r="G94" s="1942"/>
      <c r="H94" s="1943"/>
      <c r="I94" s="682"/>
      <c r="J94" s="683"/>
      <c r="K94" s="684"/>
      <c r="L94" s="685"/>
      <c r="M94" s="685"/>
      <c r="N94" s="685"/>
      <c r="O94" s="685"/>
      <c r="P94" s="1045"/>
      <c r="Q94" s="686"/>
      <c r="R94" s="687"/>
      <c r="S94" s="685"/>
      <c r="T94" s="672"/>
      <c r="U94" s="2"/>
      <c r="V94" s="1054"/>
      <c r="W94" s="673"/>
      <c r="X94" s="2"/>
      <c r="Y94" s="688">
        <f t="shared" si="35"/>
        <v>0</v>
      </c>
      <c r="Z94" s="674">
        <f t="shared" si="32"/>
        <v>0</v>
      </c>
      <c r="AA94" s="674">
        <f t="shared" si="33"/>
        <v>0</v>
      </c>
      <c r="AB94" s="688">
        <f>IF(Y94=0,,VLOOKUP(Y94,リスト!CX:CY,2,0))</f>
        <v>0</v>
      </c>
      <c r="AC94" s="688">
        <f t="shared" si="19"/>
        <v>0</v>
      </c>
      <c r="AD94" s="689">
        <f>IF(AC94=0,,VLOOKUP(AC94,リスト!DK:DL,2,0))</f>
        <v>0</v>
      </c>
      <c r="AE94" s="674">
        <f>IF(Y94=0,,
IF(OR(リスト!$C$21="小麦",リスト!$C$21="二条大麦",リスト!$C$21="六条大麦",リスト!$C$21="はだか麦",リスト!$C$21="なたね"),IF(K94&lt;9,調査年-J94,調査年-J94-1),
IF(リスト!$C$21="さとうきび",IF(K94&gt;=4,調査年-J94,調査年-J94+1),
調査年-J94)))</f>
        <v>0</v>
      </c>
      <c r="AF94" s="252">
        <f t="shared" si="20"/>
        <v>0</v>
      </c>
      <c r="AG94" s="252">
        <f t="shared" si="21"/>
        <v>0</v>
      </c>
      <c r="AH94" s="252">
        <f t="shared" si="22"/>
        <v>0</v>
      </c>
      <c r="AI94" s="252">
        <f t="shared" si="23"/>
        <v>0</v>
      </c>
      <c r="AJ94" s="252">
        <f t="shared" si="24"/>
        <v>0</v>
      </c>
      <c r="AK94" s="252">
        <f t="shared" si="34"/>
        <v>0</v>
      </c>
      <c r="AL94" s="252">
        <f t="shared" si="25"/>
        <v>0</v>
      </c>
      <c r="AM94" s="252">
        <f t="shared" si="26"/>
        <v>0</v>
      </c>
      <c r="AN94" s="403"/>
      <c r="AO94" s="67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6">
        <f t="shared" si="27"/>
        <v>0</v>
      </c>
      <c r="AQ94" s="252">
        <f t="shared" si="28"/>
        <v>0</v>
      </c>
      <c r="AR94" s="676">
        <f t="shared" si="29"/>
        <v>0</v>
      </c>
      <c r="AS94" s="25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52">
        <f t="shared" si="30"/>
        <v>0</v>
      </c>
      <c r="AU94" s="252" t="str">
        <f t="shared" si="31"/>
        <v/>
      </c>
      <c r="AV94" s="690"/>
      <c r="AW94" s="690"/>
      <c r="AX94" s="690"/>
      <c r="AY94" s="690"/>
      <c r="AZ94" s="690"/>
    </row>
    <row r="95" spans="3:52" s="46" customFormat="1" ht="30" hidden="1" customHeight="1" outlineLevel="1">
      <c r="C95" s="678">
        <v>80</v>
      </c>
      <c r="D95" s="691"/>
      <c r="E95" s="680"/>
      <c r="F95" s="681"/>
      <c r="G95" s="1942"/>
      <c r="H95" s="1943"/>
      <c r="I95" s="682"/>
      <c r="J95" s="683"/>
      <c r="K95" s="684"/>
      <c r="L95" s="685"/>
      <c r="M95" s="685"/>
      <c r="N95" s="685"/>
      <c r="O95" s="685"/>
      <c r="P95" s="1045"/>
      <c r="Q95" s="686"/>
      <c r="R95" s="687"/>
      <c r="S95" s="685"/>
      <c r="T95" s="672"/>
      <c r="U95" s="2"/>
      <c r="V95" s="1054"/>
      <c r="W95" s="673"/>
      <c r="X95" s="2"/>
      <c r="Y95" s="688">
        <f t="shared" si="35"/>
        <v>0</v>
      </c>
      <c r="Z95" s="674">
        <f t="shared" si="32"/>
        <v>0</v>
      </c>
      <c r="AA95" s="674">
        <f t="shared" si="33"/>
        <v>0</v>
      </c>
      <c r="AB95" s="688">
        <f>IF(Y95=0,,VLOOKUP(Y95,リスト!CX:CY,2,0))</f>
        <v>0</v>
      </c>
      <c r="AC95" s="688">
        <f t="shared" si="19"/>
        <v>0</v>
      </c>
      <c r="AD95" s="689">
        <f>IF(AC95=0,,VLOOKUP(AC95,リスト!DK:DL,2,0))</f>
        <v>0</v>
      </c>
      <c r="AE95" s="674">
        <f>IF(Y95=0,,
IF(OR(リスト!$C$21="小麦",リスト!$C$21="二条大麦",リスト!$C$21="六条大麦",リスト!$C$21="はだか麦",リスト!$C$21="なたね"),IF(K95&lt;9,調査年-J95,調査年-J95-1),
IF(リスト!$C$21="さとうきび",IF(K95&gt;=4,調査年-J95,調査年-J95+1),
調査年-J95)))</f>
        <v>0</v>
      </c>
      <c r="AF95" s="252">
        <f t="shared" si="20"/>
        <v>0</v>
      </c>
      <c r="AG95" s="252">
        <f t="shared" si="21"/>
        <v>0</v>
      </c>
      <c r="AH95" s="252">
        <f t="shared" si="22"/>
        <v>0</v>
      </c>
      <c r="AI95" s="252">
        <f t="shared" si="23"/>
        <v>0</v>
      </c>
      <c r="AJ95" s="252">
        <f t="shared" si="24"/>
        <v>0</v>
      </c>
      <c r="AK95" s="252">
        <f t="shared" si="34"/>
        <v>0</v>
      </c>
      <c r="AL95" s="252">
        <f t="shared" si="25"/>
        <v>0</v>
      </c>
      <c r="AM95" s="252">
        <f t="shared" si="26"/>
        <v>0</v>
      </c>
      <c r="AN95" s="403"/>
      <c r="AO95" s="67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6">
        <f t="shared" si="27"/>
        <v>0</v>
      </c>
      <c r="AQ95" s="252">
        <f t="shared" si="28"/>
        <v>0</v>
      </c>
      <c r="AR95" s="676">
        <f t="shared" si="29"/>
        <v>0</v>
      </c>
      <c r="AS95" s="25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52">
        <f t="shared" si="30"/>
        <v>0</v>
      </c>
      <c r="AU95" s="252" t="str">
        <f t="shared" si="31"/>
        <v/>
      </c>
      <c r="AV95" s="690"/>
      <c r="AW95" s="690"/>
      <c r="AX95" s="690"/>
      <c r="AY95" s="690"/>
      <c r="AZ95" s="690"/>
    </row>
    <row r="96" spans="3:52" s="46" customFormat="1" ht="30" hidden="1" customHeight="1" outlineLevel="1">
      <c r="C96" s="678">
        <v>81</v>
      </c>
      <c r="D96" s="691"/>
      <c r="E96" s="680"/>
      <c r="F96" s="681"/>
      <c r="G96" s="1942"/>
      <c r="H96" s="1943"/>
      <c r="I96" s="682"/>
      <c r="J96" s="683"/>
      <c r="K96" s="684"/>
      <c r="L96" s="685"/>
      <c r="M96" s="685"/>
      <c r="N96" s="685"/>
      <c r="O96" s="685"/>
      <c r="P96" s="1045"/>
      <c r="Q96" s="686"/>
      <c r="R96" s="687"/>
      <c r="S96" s="685"/>
      <c r="T96" s="672"/>
      <c r="U96" s="2"/>
      <c r="V96" s="1054"/>
      <c r="W96" s="673"/>
      <c r="X96" s="2"/>
      <c r="Y96" s="688">
        <f t="shared" si="35"/>
        <v>0</v>
      </c>
      <c r="Z96" s="674">
        <f t="shared" si="32"/>
        <v>0</v>
      </c>
      <c r="AA96" s="674">
        <f t="shared" si="33"/>
        <v>0</v>
      </c>
      <c r="AB96" s="688">
        <f>IF(Y96=0,,VLOOKUP(Y96,リスト!CX:CY,2,0))</f>
        <v>0</v>
      </c>
      <c r="AC96" s="688">
        <f t="shared" si="19"/>
        <v>0</v>
      </c>
      <c r="AD96" s="689">
        <f>IF(AC96=0,,VLOOKUP(AC96,リスト!DK:DL,2,0))</f>
        <v>0</v>
      </c>
      <c r="AE96" s="674">
        <f>IF(Y96=0,,
IF(OR(リスト!$C$21="小麦",リスト!$C$21="二条大麦",リスト!$C$21="六条大麦",リスト!$C$21="はだか麦",リスト!$C$21="なたね"),IF(K96&lt;9,調査年-J96,調査年-J96-1),
IF(リスト!$C$21="さとうきび",IF(K96&gt;=4,調査年-J96,調査年-J96+1),
調査年-J96)))</f>
        <v>0</v>
      </c>
      <c r="AF96" s="252">
        <f t="shared" si="20"/>
        <v>0</v>
      </c>
      <c r="AG96" s="252">
        <f t="shared" si="21"/>
        <v>0</v>
      </c>
      <c r="AH96" s="252">
        <f t="shared" si="22"/>
        <v>0</v>
      </c>
      <c r="AI96" s="252">
        <f t="shared" si="23"/>
        <v>0</v>
      </c>
      <c r="AJ96" s="252">
        <f t="shared" si="24"/>
        <v>0</v>
      </c>
      <c r="AK96" s="252">
        <f t="shared" si="34"/>
        <v>0</v>
      </c>
      <c r="AL96" s="252">
        <f t="shared" si="25"/>
        <v>0</v>
      </c>
      <c r="AM96" s="252">
        <f t="shared" si="26"/>
        <v>0</v>
      </c>
      <c r="AN96" s="403"/>
      <c r="AO96" s="67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6">
        <f t="shared" si="27"/>
        <v>0</v>
      </c>
      <c r="AQ96" s="252">
        <f t="shared" si="28"/>
        <v>0</v>
      </c>
      <c r="AR96" s="676">
        <f t="shared" si="29"/>
        <v>0</v>
      </c>
      <c r="AS96" s="25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52">
        <f t="shared" si="30"/>
        <v>0</v>
      </c>
      <c r="AU96" s="252" t="str">
        <f t="shared" si="31"/>
        <v/>
      </c>
      <c r="AV96" s="690"/>
      <c r="AW96" s="690"/>
      <c r="AX96" s="690"/>
      <c r="AY96" s="690"/>
      <c r="AZ96" s="690"/>
    </row>
    <row r="97" spans="3:52" s="46" customFormat="1" ht="30" hidden="1" customHeight="1" outlineLevel="1">
      <c r="C97" s="678">
        <v>82</v>
      </c>
      <c r="D97" s="691"/>
      <c r="E97" s="680"/>
      <c r="F97" s="681"/>
      <c r="G97" s="1942"/>
      <c r="H97" s="1943"/>
      <c r="I97" s="682"/>
      <c r="J97" s="683"/>
      <c r="K97" s="684"/>
      <c r="L97" s="685"/>
      <c r="M97" s="685"/>
      <c r="N97" s="685"/>
      <c r="O97" s="685"/>
      <c r="P97" s="1045"/>
      <c r="Q97" s="686"/>
      <c r="R97" s="687"/>
      <c r="S97" s="685"/>
      <c r="T97" s="672"/>
      <c r="U97" s="2"/>
      <c r="V97" s="1054"/>
      <c r="W97" s="673"/>
      <c r="X97" s="2"/>
      <c r="Y97" s="688">
        <f t="shared" si="35"/>
        <v>0</v>
      </c>
      <c r="Z97" s="674">
        <f t="shared" si="32"/>
        <v>0</v>
      </c>
      <c r="AA97" s="674">
        <f t="shared" si="33"/>
        <v>0</v>
      </c>
      <c r="AB97" s="688">
        <f>IF(Y97=0,,VLOOKUP(Y97,リスト!CX:CY,2,0))</f>
        <v>0</v>
      </c>
      <c r="AC97" s="688">
        <f t="shared" si="19"/>
        <v>0</v>
      </c>
      <c r="AD97" s="689">
        <f>IF(AC97=0,,VLOOKUP(AC97,リスト!DK:DL,2,0))</f>
        <v>0</v>
      </c>
      <c r="AE97" s="674">
        <f>IF(Y97=0,,
IF(OR(リスト!$C$21="小麦",リスト!$C$21="二条大麦",リスト!$C$21="六条大麦",リスト!$C$21="はだか麦",リスト!$C$21="なたね"),IF(K97&lt;9,調査年-J97,調査年-J97-1),
IF(リスト!$C$21="さとうきび",IF(K97&gt;=4,調査年-J97,調査年-J97+1),
調査年-J97)))</f>
        <v>0</v>
      </c>
      <c r="AF97" s="252">
        <f t="shared" si="20"/>
        <v>0</v>
      </c>
      <c r="AG97" s="252">
        <f t="shared" si="21"/>
        <v>0</v>
      </c>
      <c r="AH97" s="252">
        <f t="shared" si="22"/>
        <v>0</v>
      </c>
      <c r="AI97" s="252">
        <f t="shared" si="23"/>
        <v>0</v>
      </c>
      <c r="AJ97" s="252">
        <f t="shared" si="24"/>
        <v>0</v>
      </c>
      <c r="AK97" s="252">
        <f t="shared" si="34"/>
        <v>0</v>
      </c>
      <c r="AL97" s="252">
        <f t="shared" si="25"/>
        <v>0</v>
      </c>
      <c r="AM97" s="252">
        <f t="shared" si="26"/>
        <v>0</v>
      </c>
      <c r="AN97" s="403"/>
      <c r="AO97" s="67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6">
        <f t="shared" si="27"/>
        <v>0</v>
      </c>
      <c r="AQ97" s="252">
        <f t="shared" si="28"/>
        <v>0</v>
      </c>
      <c r="AR97" s="676">
        <f t="shared" si="29"/>
        <v>0</v>
      </c>
      <c r="AS97" s="25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52">
        <f t="shared" si="30"/>
        <v>0</v>
      </c>
      <c r="AU97" s="252" t="str">
        <f t="shared" si="31"/>
        <v/>
      </c>
      <c r="AV97" s="690"/>
      <c r="AW97" s="690"/>
      <c r="AX97" s="690"/>
      <c r="AY97" s="690"/>
      <c r="AZ97" s="690"/>
    </row>
    <row r="98" spans="3:52" s="46" customFormat="1" ht="30" hidden="1" customHeight="1" outlineLevel="1">
      <c r="C98" s="678">
        <v>83</v>
      </c>
      <c r="D98" s="691"/>
      <c r="E98" s="680"/>
      <c r="F98" s="681"/>
      <c r="G98" s="1942"/>
      <c r="H98" s="1943"/>
      <c r="I98" s="682"/>
      <c r="J98" s="683"/>
      <c r="K98" s="684"/>
      <c r="L98" s="685"/>
      <c r="M98" s="685"/>
      <c r="N98" s="685"/>
      <c r="O98" s="685"/>
      <c r="P98" s="1045"/>
      <c r="Q98" s="686"/>
      <c r="R98" s="687"/>
      <c r="S98" s="685"/>
      <c r="T98" s="672"/>
      <c r="U98" s="2"/>
      <c r="V98" s="1054"/>
      <c r="W98" s="673"/>
      <c r="X98" s="2"/>
      <c r="Y98" s="688">
        <f t="shared" si="35"/>
        <v>0</v>
      </c>
      <c r="Z98" s="674">
        <f t="shared" si="32"/>
        <v>0</v>
      </c>
      <c r="AA98" s="674">
        <f t="shared" si="33"/>
        <v>0</v>
      </c>
      <c r="AB98" s="688">
        <f>IF(Y98=0,,VLOOKUP(Y98,リスト!CX:CY,2,0))</f>
        <v>0</v>
      </c>
      <c r="AC98" s="688">
        <f t="shared" si="19"/>
        <v>0</v>
      </c>
      <c r="AD98" s="689">
        <f>IF(AC98=0,,VLOOKUP(AC98,リスト!DK:DL,2,0))</f>
        <v>0</v>
      </c>
      <c r="AE98" s="674">
        <f>IF(Y98=0,,
IF(OR(リスト!$C$21="小麦",リスト!$C$21="二条大麦",リスト!$C$21="六条大麦",リスト!$C$21="はだか麦",リスト!$C$21="なたね"),IF(K98&lt;9,調査年-J98,調査年-J98-1),
IF(リスト!$C$21="さとうきび",IF(K98&gt;=4,調査年-J98,調査年-J98+1),
調査年-J98)))</f>
        <v>0</v>
      </c>
      <c r="AF98" s="252">
        <f t="shared" si="20"/>
        <v>0</v>
      </c>
      <c r="AG98" s="252">
        <f t="shared" si="21"/>
        <v>0</v>
      </c>
      <c r="AH98" s="252">
        <f t="shared" si="22"/>
        <v>0</v>
      </c>
      <c r="AI98" s="252">
        <f t="shared" si="23"/>
        <v>0</v>
      </c>
      <c r="AJ98" s="252">
        <f t="shared" si="24"/>
        <v>0</v>
      </c>
      <c r="AK98" s="252">
        <f t="shared" si="34"/>
        <v>0</v>
      </c>
      <c r="AL98" s="252">
        <f t="shared" si="25"/>
        <v>0</v>
      </c>
      <c r="AM98" s="252">
        <f t="shared" si="26"/>
        <v>0</v>
      </c>
      <c r="AN98" s="403"/>
      <c r="AO98" s="67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6">
        <f t="shared" si="27"/>
        <v>0</v>
      </c>
      <c r="AQ98" s="252">
        <f t="shared" si="28"/>
        <v>0</v>
      </c>
      <c r="AR98" s="676">
        <f t="shared" si="29"/>
        <v>0</v>
      </c>
      <c r="AS98" s="25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52">
        <f t="shared" si="30"/>
        <v>0</v>
      </c>
      <c r="AU98" s="252" t="str">
        <f t="shared" si="31"/>
        <v/>
      </c>
      <c r="AV98" s="690"/>
      <c r="AW98" s="690"/>
      <c r="AX98" s="690"/>
      <c r="AY98" s="690"/>
      <c r="AZ98" s="690"/>
    </row>
    <row r="99" spans="3:52" s="46" customFormat="1" ht="30" hidden="1" customHeight="1" outlineLevel="1">
      <c r="C99" s="678">
        <v>84</v>
      </c>
      <c r="D99" s="691"/>
      <c r="E99" s="680"/>
      <c r="F99" s="681"/>
      <c r="G99" s="1942"/>
      <c r="H99" s="1943"/>
      <c r="I99" s="682"/>
      <c r="J99" s="683"/>
      <c r="K99" s="684"/>
      <c r="L99" s="685"/>
      <c r="M99" s="685"/>
      <c r="N99" s="685"/>
      <c r="O99" s="685"/>
      <c r="P99" s="1045"/>
      <c r="Q99" s="686"/>
      <c r="R99" s="687"/>
      <c r="S99" s="685"/>
      <c r="T99" s="672"/>
      <c r="U99" s="2"/>
      <c r="V99" s="1054"/>
      <c r="W99" s="673"/>
      <c r="X99" s="2"/>
      <c r="Y99" s="688">
        <f t="shared" si="35"/>
        <v>0</v>
      </c>
      <c r="Z99" s="674">
        <f t="shared" si="32"/>
        <v>0</v>
      </c>
      <c r="AA99" s="674">
        <f t="shared" si="33"/>
        <v>0</v>
      </c>
      <c r="AB99" s="688">
        <f>IF(Y99=0,,VLOOKUP(Y99,リスト!CX:CY,2,0))</f>
        <v>0</v>
      </c>
      <c r="AC99" s="688">
        <f t="shared" si="19"/>
        <v>0</v>
      </c>
      <c r="AD99" s="689">
        <f>IF(AC99=0,,VLOOKUP(AC99,リスト!DK:DL,2,0))</f>
        <v>0</v>
      </c>
      <c r="AE99" s="674">
        <f>IF(Y99=0,,
IF(OR(リスト!$C$21="小麦",リスト!$C$21="二条大麦",リスト!$C$21="六条大麦",リスト!$C$21="はだか麦",リスト!$C$21="なたね"),IF(K99&lt;9,調査年-J99,調査年-J99-1),
IF(リスト!$C$21="さとうきび",IF(K99&gt;=4,調査年-J99,調査年-J99+1),
調査年-J99)))</f>
        <v>0</v>
      </c>
      <c r="AF99" s="252">
        <f t="shared" si="20"/>
        <v>0</v>
      </c>
      <c r="AG99" s="252">
        <f t="shared" si="21"/>
        <v>0</v>
      </c>
      <c r="AH99" s="252">
        <f t="shared" si="22"/>
        <v>0</v>
      </c>
      <c r="AI99" s="252">
        <f t="shared" si="23"/>
        <v>0</v>
      </c>
      <c r="AJ99" s="252">
        <f t="shared" si="24"/>
        <v>0</v>
      </c>
      <c r="AK99" s="252">
        <f t="shared" si="34"/>
        <v>0</v>
      </c>
      <c r="AL99" s="252">
        <f t="shared" si="25"/>
        <v>0</v>
      </c>
      <c r="AM99" s="252">
        <f t="shared" si="26"/>
        <v>0</v>
      </c>
      <c r="AN99" s="403"/>
      <c r="AO99" s="67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6">
        <f t="shared" si="27"/>
        <v>0</v>
      </c>
      <c r="AQ99" s="252">
        <f t="shared" si="28"/>
        <v>0</v>
      </c>
      <c r="AR99" s="676">
        <f t="shared" si="29"/>
        <v>0</v>
      </c>
      <c r="AS99" s="25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52">
        <f t="shared" si="30"/>
        <v>0</v>
      </c>
      <c r="AU99" s="252" t="str">
        <f t="shared" si="31"/>
        <v/>
      </c>
      <c r="AV99" s="690"/>
      <c r="AW99" s="690"/>
      <c r="AX99" s="690"/>
      <c r="AY99" s="690"/>
      <c r="AZ99" s="690"/>
    </row>
    <row r="100" spans="3:52" s="46" customFormat="1" ht="30" hidden="1" customHeight="1" outlineLevel="1">
      <c r="C100" s="678">
        <v>85</v>
      </c>
      <c r="D100" s="691"/>
      <c r="E100" s="680"/>
      <c r="F100" s="681"/>
      <c r="G100" s="1942"/>
      <c r="H100" s="1943"/>
      <c r="I100" s="682"/>
      <c r="J100" s="683"/>
      <c r="K100" s="684"/>
      <c r="L100" s="685"/>
      <c r="M100" s="685"/>
      <c r="N100" s="685"/>
      <c r="O100" s="685"/>
      <c r="P100" s="1045"/>
      <c r="Q100" s="686"/>
      <c r="R100" s="687"/>
      <c r="S100" s="685"/>
      <c r="T100" s="672"/>
      <c r="U100" s="2"/>
      <c r="V100" s="1054"/>
      <c r="W100" s="673"/>
      <c r="X100" s="2"/>
      <c r="Y100" s="688">
        <f t="shared" si="35"/>
        <v>0</v>
      </c>
      <c r="Z100" s="674">
        <f t="shared" si="32"/>
        <v>0</v>
      </c>
      <c r="AA100" s="674">
        <f t="shared" si="33"/>
        <v>0</v>
      </c>
      <c r="AB100" s="688">
        <f>IF(Y100=0,,VLOOKUP(Y100,リスト!CX:CY,2,0))</f>
        <v>0</v>
      </c>
      <c r="AC100" s="688">
        <f t="shared" si="19"/>
        <v>0</v>
      </c>
      <c r="AD100" s="689">
        <f>IF(AC100=0,,VLOOKUP(AC100,リスト!DK:DL,2,0))</f>
        <v>0</v>
      </c>
      <c r="AE100" s="674">
        <f>IF(Y100=0,,
IF(OR(リスト!$C$21="小麦",リスト!$C$21="二条大麦",リスト!$C$21="六条大麦",リスト!$C$21="はだか麦",リスト!$C$21="なたね"),IF(K100&lt;9,調査年-J100,調査年-J100-1),
IF(リスト!$C$21="さとうきび",IF(K100&gt;=4,調査年-J100,調査年-J100+1),
調査年-J100)))</f>
        <v>0</v>
      </c>
      <c r="AF100" s="252">
        <f t="shared" si="20"/>
        <v>0</v>
      </c>
      <c r="AG100" s="252">
        <f t="shared" si="21"/>
        <v>0</v>
      </c>
      <c r="AH100" s="252">
        <f t="shared" si="22"/>
        <v>0</v>
      </c>
      <c r="AI100" s="252">
        <f t="shared" si="23"/>
        <v>0</v>
      </c>
      <c r="AJ100" s="252">
        <f t="shared" si="24"/>
        <v>0</v>
      </c>
      <c r="AK100" s="252">
        <f t="shared" si="34"/>
        <v>0</v>
      </c>
      <c r="AL100" s="252">
        <f t="shared" si="25"/>
        <v>0</v>
      </c>
      <c r="AM100" s="252">
        <f t="shared" si="26"/>
        <v>0</v>
      </c>
      <c r="AN100" s="403"/>
      <c r="AO100" s="67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6">
        <f t="shared" si="27"/>
        <v>0</v>
      </c>
      <c r="AQ100" s="252">
        <f t="shared" si="28"/>
        <v>0</v>
      </c>
      <c r="AR100" s="676">
        <f t="shared" si="29"/>
        <v>0</v>
      </c>
      <c r="AS100" s="25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52">
        <f t="shared" si="30"/>
        <v>0</v>
      </c>
      <c r="AU100" s="252" t="str">
        <f t="shared" si="31"/>
        <v/>
      </c>
      <c r="AV100" s="690"/>
      <c r="AW100" s="690"/>
      <c r="AX100" s="690"/>
      <c r="AY100" s="690"/>
      <c r="AZ100" s="690"/>
    </row>
    <row r="101" spans="3:52" s="46" customFormat="1" ht="30" hidden="1" customHeight="1" outlineLevel="1">
      <c r="C101" s="678">
        <v>86</v>
      </c>
      <c r="D101" s="691"/>
      <c r="E101" s="680"/>
      <c r="F101" s="681"/>
      <c r="G101" s="1942"/>
      <c r="H101" s="1943"/>
      <c r="I101" s="682"/>
      <c r="J101" s="683"/>
      <c r="K101" s="684"/>
      <c r="L101" s="685"/>
      <c r="M101" s="685"/>
      <c r="N101" s="685"/>
      <c r="O101" s="685"/>
      <c r="P101" s="1045"/>
      <c r="Q101" s="686"/>
      <c r="R101" s="687"/>
      <c r="S101" s="685"/>
      <c r="T101" s="672"/>
      <c r="U101" s="2"/>
      <c r="V101" s="1054"/>
      <c r="W101" s="673"/>
      <c r="X101" s="2"/>
      <c r="Y101" s="688">
        <f t="shared" si="35"/>
        <v>0</v>
      </c>
      <c r="Z101" s="674">
        <f t="shared" si="32"/>
        <v>0</v>
      </c>
      <c r="AA101" s="674">
        <f t="shared" si="33"/>
        <v>0</v>
      </c>
      <c r="AB101" s="688">
        <f>IF(Y101=0,,VLOOKUP(Y101,リスト!CX:CY,2,0))</f>
        <v>0</v>
      </c>
      <c r="AC101" s="688">
        <f t="shared" si="19"/>
        <v>0</v>
      </c>
      <c r="AD101" s="689">
        <f>IF(AC101=0,,VLOOKUP(AC101,リスト!DK:DL,2,0))</f>
        <v>0</v>
      </c>
      <c r="AE101" s="674">
        <f>IF(Y101=0,,
IF(OR(リスト!$C$21="小麦",リスト!$C$21="二条大麦",リスト!$C$21="六条大麦",リスト!$C$21="はだか麦",リスト!$C$21="なたね"),IF(K101&lt;9,調査年-J101,調査年-J101-1),
IF(リスト!$C$21="さとうきび",IF(K101&gt;=4,調査年-J101,調査年-J101+1),
調査年-J101)))</f>
        <v>0</v>
      </c>
      <c r="AF101" s="252">
        <f t="shared" si="20"/>
        <v>0</v>
      </c>
      <c r="AG101" s="252">
        <f t="shared" si="21"/>
        <v>0</v>
      </c>
      <c r="AH101" s="252">
        <f t="shared" si="22"/>
        <v>0</v>
      </c>
      <c r="AI101" s="252">
        <f t="shared" si="23"/>
        <v>0</v>
      </c>
      <c r="AJ101" s="252">
        <f t="shared" si="24"/>
        <v>0</v>
      </c>
      <c r="AK101" s="252">
        <f t="shared" si="34"/>
        <v>0</v>
      </c>
      <c r="AL101" s="252">
        <f t="shared" si="25"/>
        <v>0</v>
      </c>
      <c r="AM101" s="252">
        <f t="shared" si="26"/>
        <v>0</v>
      </c>
      <c r="AN101" s="403"/>
      <c r="AO101" s="67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6">
        <f t="shared" si="27"/>
        <v>0</v>
      </c>
      <c r="AQ101" s="252">
        <f t="shared" si="28"/>
        <v>0</v>
      </c>
      <c r="AR101" s="676">
        <f t="shared" si="29"/>
        <v>0</v>
      </c>
      <c r="AS101" s="25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52">
        <f t="shared" si="30"/>
        <v>0</v>
      </c>
      <c r="AU101" s="252" t="str">
        <f t="shared" si="31"/>
        <v/>
      </c>
      <c r="AV101" s="690"/>
      <c r="AW101" s="690"/>
      <c r="AX101" s="690"/>
      <c r="AY101" s="690"/>
      <c r="AZ101" s="690"/>
    </row>
    <row r="102" spans="3:52" s="46" customFormat="1" ht="30" hidden="1" customHeight="1" outlineLevel="1">
      <c r="C102" s="678">
        <v>87</v>
      </c>
      <c r="D102" s="691"/>
      <c r="E102" s="680"/>
      <c r="F102" s="681"/>
      <c r="G102" s="1942"/>
      <c r="H102" s="1943"/>
      <c r="I102" s="682"/>
      <c r="J102" s="683"/>
      <c r="K102" s="684"/>
      <c r="L102" s="685"/>
      <c r="M102" s="685"/>
      <c r="N102" s="685"/>
      <c r="O102" s="685"/>
      <c r="P102" s="1045"/>
      <c r="Q102" s="686"/>
      <c r="R102" s="687"/>
      <c r="S102" s="685"/>
      <c r="T102" s="672"/>
      <c r="U102" s="2"/>
      <c r="V102" s="1054"/>
      <c r="W102" s="673"/>
      <c r="X102" s="2"/>
      <c r="Y102" s="688">
        <f t="shared" si="35"/>
        <v>0</v>
      </c>
      <c r="Z102" s="674">
        <f t="shared" si="32"/>
        <v>0</v>
      </c>
      <c r="AA102" s="674">
        <f t="shared" si="33"/>
        <v>0</v>
      </c>
      <c r="AB102" s="688">
        <f>IF(Y102=0,,VLOOKUP(Y102,リスト!CX:CY,2,0))</f>
        <v>0</v>
      </c>
      <c r="AC102" s="688">
        <f t="shared" si="19"/>
        <v>0</v>
      </c>
      <c r="AD102" s="689">
        <f>IF(AC102=0,,VLOOKUP(AC102,リスト!DK:DL,2,0))</f>
        <v>0</v>
      </c>
      <c r="AE102" s="674">
        <f>IF(Y102=0,,
IF(OR(リスト!$C$21="小麦",リスト!$C$21="二条大麦",リスト!$C$21="六条大麦",リスト!$C$21="はだか麦",リスト!$C$21="なたね"),IF(K102&lt;9,調査年-J102,調査年-J102-1),
IF(リスト!$C$21="さとうきび",IF(K102&gt;=4,調査年-J102,調査年-J102+1),
調査年-J102)))</f>
        <v>0</v>
      </c>
      <c r="AF102" s="252">
        <f t="shared" si="20"/>
        <v>0</v>
      </c>
      <c r="AG102" s="252">
        <f t="shared" si="21"/>
        <v>0</v>
      </c>
      <c r="AH102" s="252">
        <f t="shared" si="22"/>
        <v>0</v>
      </c>
      <c r="AI102" s="252">
        <f t="shared" si="23"/>
        <v>0</v>
      </c>
      <c r="AJ102" s="252">
        <f t="shared" si="24"/>
        <v>0</v>
      </c>
      <c r="AK102" s="252">
        <f t="shared" si="34"/>
        <v>0</v>
      </c>
      <c r="AL102" s="252">
        <f t="shared" si="25"/>
        <v>0</v>
      </c>
      <c r="AM102" s="252">
        <f t="shared" si="26"/>
        <v>0</v>
      </c>
      <c r="AN102" s="403"/>
      <c r="AO102" s="67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6">
        <f t="shared" si="27"/>
        <v>0</v>
      </c>
      <c r="AQ102" s="252">
        <f t="shared" si="28"/>
        <v>0</v>
      </c>
      <c r="AR102" s="676">
        <f t="shared" si="29"/>
        <v>0</v>
      </c>
      <c r="AS102" s="25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52">
        <f t="shared" si="30"/>
        <v>0</v>
      </c>
      <c r="AU102" s="252" t="str">
        <f t="shared" si="31"/>
        <v/>
      </c>
      <c r="AV102" s="690"/>
      <c r="AW102" s="690"/>
      <c r="AX102" s="690"/>
      <c r="AY102" s="690"/>
      <c r="AZ102" s="690"/>
    </row>
    <row r="103" spans="3:52" s="46" customFormat="1" ht="30" hidden="1" customHeight="1" outlineLevel="1">
      <c r="C103" s="678">
        <v>88</v>
      </c>
      <c r="D103" s="691"/>
      <c r="E103" s="680"/>
      <c r="F103" s="681"/>
      <c r="G103" s="1942"/>
      <c r="H103" s="1943"/>
      <c r="I103" s="682"/>
      <c r="J103" s="683"/>
      <c r="K103" s="684"/>
      <c r="L103" s="685"/>
      <c r="M103" s="685"/>
      <c r="N103" s="685"/>
      <c r="O103" s="685"/>
      <c r="P103" s="1045"/>
      <c r="Q103" s="686"/>
      <c r="R103" s="687"/>
      <c r="S103" s="685"/>
      <c r="T103" s="672"/>
      <c r="U103" s="2"/>
      <c r="V103" s="1054"/>
      <c r="W103" s="673"/>
      <c r="X103" s="2"/>
      <c r="Y103" s="688">
        <f t="shared" si="35"/>
        <v>0</v>
      </c>
      <c r="Z103" s="674">
        <f t="shared" si="32"/>
        <v>0</v>
      </c>
      <c r="AA103" s="674">
        <f t="shared" si="33"/>
        <v>0</v>
      </c>
      <c r="AB103" s="688">
        <f>IF(Y103=0,,VLOOKUP(Y103,リスト!CX:CY,2,0))</f>
        <v>0</v>
      </c>
      <c r="AC103" s="688">
        <f t="shared" si="19"/>
        <v>0</v>
      </c>
      <c r="AD103" s="689">
        <f>IF(AC103=0,,VLOOKUP(AC103,リスト!DK:DL,2,0))</f>
        <v>0</v>
      </c>
      <c r="AE103" s="674">
        <f>IF(Y103=0,,
IF(OR(リスト!$C$21="小麦",リスト!$C$21="二条大麦",リスト!$C$21="六条大麦",リスト!$C$21="はだか麦",リスト!$C$21="なたね"),IF(K103&lt;9,調査年-J103,調査年-J103-1),
IF(リスト!$C$21="さとうきび",IF(K103&gt;=4,調査年-J103,調査年-J103+1),
調査年-J103)))</f>
        <v>0</v>
      </c>
      <c r="AF103" s="252">
        <f t="shared" si="20"/>
        <v>0</v>
      </c>
      <c r="AG103" s="252">
        <f t="shared" si="21"/>
        <v>0</v>
      </c>
      <c r="AH103" s="252">
        <f t="shared" si="22"/>
        <v>0</v>
      </c>
      <c r="AI103" s="252">
        <f t="shared" si="23"/>
        <v>0</v>
      </c>
      <c r="AJ103" s="252">
        <f t="shared" si="24"/>
        <v>0</v>
      </c>
      <c r="AK103" s="252">
        <f t="shared" si="34"/>
        <v>0</v>
      </c>
      <c r="AL103" s="252">
        <f t="shared" si="25"/>
        <v>0</v>
      </c>
      <c r="AM103" s="252">
        <f t="shared" si="26"/>
        <v>0</v>
      </c>
      <c r="AN103" s="403"/>
      <c r="AO103" s="67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6">
        <f t="shared" si="27"/>
        <v>0</v>
      </c>
      <c r="AQ103" s="252">
        <f t="shared" si="28"/>
        <v>0</v>
      </c>
      <c r="AR103" s="676">
        <f t="shared" si="29"/>
        <v>0</v>
      </c>
      <c r="AS103" s="25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52">
        <f t="shared" si="30"/>
        <v>0</v>
      </c>
      <c r="AU103" s="252" t="str">
        <f t="shared" si="31"/>
        <v/>
      </c>
      <c r="AV103" s="690"/>
      <c r="AW103" s="690"/>
      <c r="AX103" s="690"/>
      <c r="AY103" s="690"/>
      <c r="AZ103" s="690"/>
    </row>
    <row r="104" spans="3:52" s="46" customFormat="1" ht="30" hidden="1" customHeight="1" outlineLevel="1">
      <c r="C104" s="678">
        <v>89</v>
      </c>
      <c r="D104" s="691"/>
      <c r="E104" s="680"/>
      <c r="F104" s="681"/>
      <c r="G104" s="1942"/>
      <c r="H104" s="1943"/>
      <c r="I104" s="682"/>
      <c r="J104" s="683"/>
      <c r="K104" s="684"/>
      <c r="L104" s="685"/>
      <c r="M104" s="685"/>
      <c r="N104" s="685"/>
      <c r="O104" s="685"/>
      <c r="P104" s="1045"/>
      <c r="Q104" s="686"/>
      <c r="R104" s="687"/>
      <c r="S104" s="685"/>
      <c r="T104" s="672"/>
      <c r="U104" s="2"/>
      <c r="V104" s="1054"/>
      <c r="W104" s="673"/>
      <c r="X104" s="2"/>
      <c r="Y104" s="688">
        <f t="shared" si="35"/>
        <v>0</v>
      </c>
      <c r="Z104" s="674">
        <f t="shared" si="32"/>
        <v>0</v>
      </c>
      <c r="AA104" s="674">
        <f t="shared" si="33"/>
        <v>0</v>
      </c>
      <c r="AB104" s="688">
        <f>IF(Y104=0,,VLOOKUP(Y104,リスト!CX:CY,2,0))</f>
        <v>0</v>
      </c>
      <c r="AC104" s="688">
        <f t="shared" si="19"/>
        <v>0</v>
      </c>
      <c r="AD104" s="689">
        <f>IF(AC104=0,,VLOOKUP(AC104,リスト!DK:DL,2,0))</f>
        <v>0</v>
      </c>
      <c r="AE104" s="674">
        <f>IF(Y104=0,,
IF(OR(リスト!$C$21="小麦",リスト!$C$21="二条大麦",リスト!$C$21="六条大麦",リスト!$C$21="はだか麦",リスト!$C$21="なたね"),IF(K104&lt;9,調査年-J104,調査年-J104-1),
IF(リスト!$C$21="さとうきび",IF(K104&gt;=4,調査年-J104,調査年-J104+1),
調査年-J104)))</f>
        <v>0</v>
      </c>
      <c r="AF104" s="252">
        <f t="shared" si="20"/>
        <v>0</v>
      </c>
      <c r="AG104" s="252">
        <f t="shared" si="21"/>
        <v>0</v>
      </c>
      <c r="AH104" s="252">
        <f t="shared" si="22"/>
        <v>0</v>
      </c>
      <c r="AI104" s="252">
        <f t="shared" si="23"/>
        <v>0</v>
      </c>
      <c r="AJ104" s="252">
        <f t="shared" si="24"/>
        <v>0</v>
      </c>
      <c r="AK104" s="252">
        <f t="shared" si="34"/>
        <v>0</v>
      </c>
      <c r="AL104" s="252">
        <f t="shared" si="25"/>
        <v>0</v>
      </c>
      <c r="AM104" s="252">
        <f t="shared" si="26"/>
        <v>0</v>
      </c>
      <c r="AN104" s="403"/>
      <c r="AO104" s="67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6">
        <f t="shared" si="27"/>
        <v>0</v>
      </c>
      <c r="AQ104" s="252">
        <f t="shared" si="28"/>
        <v>0</v>
      </c>
      <c r="AR104" s="676">
        <f t="shared" si="29"/>
        <v>0</v>
      </c>
      <c r="AS104" s="25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52">
        <f t="shared" si="30"/>
        <v>0</v>
      </c>
      <c r="AU104" s="252" t="str">
        <f t="shared" si="31"/>
        <v/>
      </c>
      <c r="AV104" s="690"/>
      <c r="AW104" s="690"/>
      <c r="AX104" s="690"/>
      <c r="AY104" s="690"/>
      <c r="AZ104" s="690"/>
    </row>
    <row r="105" spans="3:52" s="46" customFormat="1" ht="30" hidden="1" customHeight="1" outlineLevel="1">
      <c r="C105" s="678">
        <v>90</v>
      </c>
      <c r="D105" s="691"/>
      <c r="E105" s="680"/>
      <c r="F105" s="681"/>
      <c r="G105" s="1942"/>
      <c r="H105" s="1943"/>
      <c r="I105" s="682"/>
      <c r="J105" s="683"/>
      <c r="K105" s="684"/>
      <c r="L105" s="685"/>
      <c r="M105" s="685"/>
      <c r="N105" s="685"/>
      <c r="O105" s="685"/>
      <c r="P105" s="1045"/>
      <c r="Q105" s="686"/>
      <c r="R105" s="687"/>
      <c r="S105" s="685"/>
      <c r="T105" s="672"/>
      <c r="U105" s="2"/>
      <c r="V105" s="1054"/>
      <c r="W105" s="673"/>
      <c r="X105" s="2"/>
      <c r="Y105" s="688">
        <f t="shared" si="35"/>
        <v>0</v>
      </c>
      <c r="Z105" s="674">
        <f t="shared" si="32"/>
        <v>0</v>
      </c>
      <c r="AA105" s="674">
        <f t="shared" si="33"/>
        <v>0</v>
      </c>
      <c r="AB105" s="688">
        <f>IF(Y105=0,,VLOOKUP(Y105,リスト!CX:CY,2,0))</f>
        <v>0</v>
      </c>
      <c r="AC105" s="688">
        <f t="shared" si="19"/>
        <v>0</v>
      </c>
      <c r="AD105" s="689">
        <f>IF(AC105=0,,VLOOKUP(AC105,リスト!DK:DL,2,0))</f>
        <v>0</v>
      </c>
      <c r="AE105" s="674">
        <f>IF(Y105=0,,
IF(OR(リスト!$C$21="小麦",リスト!$C$21="二条大麦",リスト!$C$21="六条大麦",リスト!$C$21="はだか麦",リスト!$C$21="なたね"),IF(K105&lt;9,調査年-J105,調査年-J105-1),
IF(リスト!$C$21="さとうきび",IF(K105&gt;=4,調査年-J105,調査年-J105+1),
調査年-J105)))</f>
        <v>0</v>
      </c>
      <c r="AF105" s="252">
        <f t="shared" si="20"/>
        <v>0</v>
      </c>
      <c r="AG105" s="252">
        <f t="shared" si="21"/>
        <v>0</v>
      </c>
      <c r="AH105" s="252">
        <f t="shared" si="22"/>
        <v>0</v>
      </c>
      <c r="AI105" s="252">
        <f t="shared" si="23"/>
        <v>0</v>
      </c>
      <c r="AJ105" s="252">
        <f t="shared" si="24"/>
        <v>0</v>
      </c>
      <c r="AK105" s="252">
        <f t="shared" si="34"/>
        <v>0</v>
      </c>
      <c r="AL105" s="252">
        <f t="shared" si="25"/>
        <v>0</v>
      </c>
      <c r="AM105" s="252">
        <f t="shared" si="26"/>
        <v>0</v>
      </c>
      <c r="AN105" s="403"/>
      <c r="AO105" s="67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6">
        <f t="shared" si="27"/>
        <v>0</v>
      </c>
      <c r="AQ105" s="252">
        <f t="shared" si="28"/>
        <v>0</v>
      </c>
      <c r="AR105" s="676">
        <f t="shared" si="29"/>
        <v>0</v>
      </c>
      <c r="AS105" s="25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52">
        <f t="shared" si="30"/>
        <v>0</v>
      </c>
      <c r="AU105" s="252" t="str">
        <f t="shared" si="31"/>
        <v/>
      </c>
      <c r="AV105" s="690"/>
      <c r="AW105" s="690"/>
      <c r="AX105" s="690"/>
      <c r="AY105" s="690"/>
      <c r="AZ105" s="690"/>
    </row>
    <row r="106" spans="3:52" s="46" customFormat="1" ht="30" hidden="1" customHeight="1" outlineLevel="1">
      <c r="C106" s="678">
        <v>91</v>
      </c>
      <c r="D106" s="691"/>
      <c r="E106" s="680"/>
      <c r="F106" s="681"/>
      <c r="G106" s="1942"/>
      <c r="H106" s="1943"/>
      <c r="I106" s="682"/>
      <c r="J106" s="683"/>
      <c r="K106" s="684"/>
      <c r="L106" s="685"/>
      <c r="M106" s="685"/>
      <c r="N106" s="685"/>
      <c r="O106" s="685"/>
      <c r="P106" s="1045"/>
      <c r="Q106" s="686"/>
      <c r="R106" s="687"/>
      <c r="S106" s="685"/>
      <c r="T106" s="672"/>
      <c r="U106" s="2"/>
      <c r="V106" s="1054"/>
      <c r="W106" s="673"/>
      <c r="X106" s="2"/>
      <c r="Y106" s="688">
        <f t="shared" si="35"/>
        <v>0</v>
      </c>
      <c r="Z106" s="674">
        <f t="shared" si="32"/>
        <v>0</v>
      </c>
      <c r="AA106" s="674">
        <f t="shared" si="33"/>
        <v>0</v>
      </c>
      <c r="AB106" s="688">
        <f>IF(Y106=0,,VLOOKUP(Y106,リスト!CX:CY,2,0))</f>
        <v>0</v>
      </c>
      <c r="AC106" s="688">
        <f t="shared" si="19"/>
        <v>0</v>
      </c>
      <c r="AD106" s="689">
        <f>IF(AC106=0,,VLOOKUP(AC106,リスト!DK:DL,2,0))</f>
        <v>0</v>
      </c>
      <c r="AE106" s="674">
        <f>IF(Y106=0,,
IF(OR(リスト!$C$21="小麦",リスト!$C$21="二条大麦",リスト!$C$21="六条大麦",リスト!$C$21="はだか麦",リスト!$C$21="なたね"),IF(K106&lt;9,調査年-J106,調査年-J106-1),
IF(リスト!$C$21="さとうきび",IF(K106&gt;=4,調査年-J106,調査年-J106+1),
調査年-J106)))</f>
        <v>0</v>
      </c>
      <c r="AF106" s="252">
        <f t="shared" si="20"/>
        <v>0</v>
      </c>
      <c r="AG106" s="252">
        <f t="shared" si="21"/>
        <v>0</v>
      </c>
      <c r="AH106" s="252">
        <f t="shared" si="22"/>
        <v>0</v>
      </c>
      <c r="AI106" s="252">
        <f t="shared" si="23"/>
        <v>0</v>
      </c>
      <c r="AJ106" s="252">
        <f t="shared" si="24"/>
        <v>0</v>
      </c>
      <c r="AK106" s="252">
        <f t="shared" si="34"/>
        <v>0</v>
      </c>
      <c r="AL106" s="252">
        <f t="shared" si="25"/>
        <v>0</v>
      </c>
      <c r="AM106" s="252">
        <f t="shared" si="26"/>
        <v>0</v>
      </c>
      <c r="AN106" s="403"/>
      <c r="AO106" s="67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6">
        <f t="shared" si="27"/>
        <v>0</v>
      </c>
      <c r="AQ106" s="252">
        <f t="shared" si="28"/>
        <v>0</v>
      </c>
      <c r="AR106" s="676">
        <f t="shared" si="29"/>
        <v>0</v>
      </c>
      <c r="AS106" s="25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52">
        <f t="shared" si="30"/>
        <v>0</v>
      </c>
      <c r="AU106" s="252" t="str">
        <f t="shared" si="31"/>
        <v/>
      </c>
      <c r="AV106" s="690"/>
      <c r="AW106" s="690"/>
      <c r="AX106" s="690"/>
      <c r="AY106" s="690"/>
      <c r="AZ106" s="690"/>
    </row>
    <row r="107" spans="3:52" s="46" customFormat="1" ht="30" hidden="1" customHeight="1" outlineLevel="1">
      <c r="C107" s="678">
        <v>92</v>
      </c>
      <c r="D107" s="691"/>
      <c r="E107" s="680"/>
      <c r="F107" s="681"/>
      <c r="G107" s="1942"/>
      <c r="H107" s="1943"/>
      <c r="I107" s="682"/>
      <c r="J107" s="683"/>
      <c r="K107" s="684"/>
      <c r="L107" s="685"/>
      <c r="M107" s="685"/>
      <c r="N107" s="685"/>
      <c r="O107" s="685"/>
      <c r="P107" s="1045"/>
      <c r="Q107" s="686"/>
      <c r="R107" s="687"/>
      <c r="S107" s="685"/>
      <c r="T107" s="672"/>
      <c r="U107" s="2"/>
      <c r="V107" s="1054"/>
      <c r="W107" s="673"/>
      <c r="X107" s="2"/>
      <c r="Y107" s="688">
        <f t="shared" si="35"/>
        <v>0</v>
      </c>
      <c r="Z107" s="674">
        <f t="shared" si="32"/>
        <v>0</v>
      </c>
      <c r="AA107" s="674">
        <f t="shared" si="33"/>
        <v>0</v>
      </c>
      <c r="AB107" s="688">
        <f>IF(Y107=0,,VLOOKUP(Y107,リスト!CX:CY,2,0))</f>
        <v>0</v>
      </c>
      <c r="AC107" s="688">
        <f t="shared" si="19"/>
        <v>0</v>
      </c>
      <c r="AD107" s="689">
        <f>IF(AC107=0,,VLOOKUP(AC107,リスト!DK:DL,2,0))</f>
        <v>0</v>
      </c>
      <c r="AE107" s="674">
        <f>IF(Y107=0,,
IF(OR(リスト!$C$21="小麦",リスト!$C$21="二条大麦",リスト!$C$21="六条大麦",リスト!$C$21="はだか麦",リスト!$C$21="なたね"),IF(K107&lt;9,調査年-J107,調査年-J107-1),
IF(リスト!$C$21="さとうきび",IF(K107&gt;=4,調査年-J107,調査年-J107+1),
調査年-J107)))</f>
        <v>0</v>
      </c>
      <c r="AF107" s="252">
        <f t="shared" si="20"/>
        <v>0</v>
      </c>
      <c r="AG107" s="252">
        <f t="shared" si="21"/>
        <v>0</v>
      </c>
      <c r="AH107" s="252">
        <f t="shared" si="22"/>
        <v>0</v>
      </c>
      <c r="AI107" s="252">
        <f t="shared" si="23"/>
        <v>0</v>
      </c>
      <c r="AJ107" s="252">
        <f t="shared" si="24"/>
        <v>0</v>
      </c>
      <c r="AK107" s="252">
        <f t="shared" si="34"/>
        <v>0</v>
      </c>
      <c r="AL107" s="252">
        <f t="shared" si="25"/>
        <v>0</v>
      </c>
      <c r="AM107" s="252">
        <f t="shared" si="26"/>
        <v>0</v>
      </c>
      <c r="AN107" s="403"/>
      <c r="AO107" s="67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6">
        <f t="shared" si="27"/>
        <v>0</v>
      </c>
      <c r="AQ107" s="252">
        <f t="shared" si="28"/>
        <v>0</v>
      </c>
      <c r="AR107" s="676">
        <f t="shared" si="29"/>
        <v>0</v>
      </c>
      <c r="AS107" s="25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52">
        <f t="shared" si="30"/>
        <v>0</v>
      </c>
      <c r="AU107" s="252" t="str">
        <f t="shared" si="31"/>
        <v/>
      </c>
      <c r="AV107" s="690"/>
      <c r="AW107" s="690"/>
      <c r="AX107" s="690"/>
      <c r="AY107" s="690"/>
      <c r="AZ107" s="690"/>
    </row>
    <row r="108" spans="3:52" s="46" customFormat="1" ht="30" hidden="1" customHeight="1" outlineLevel="1">
      <c r="C108" s="678">
        <v>93</v>
      </c>
      <c r="D108" s="691"/>
      <c r="E108" s="680"/>
      <c r="F108" s="681"/>
      <c r="G108" s="1942"/>
      <c r="H108" s="1943"/>
      <c r="I108" s="682"/>
      <c r="J108" s="683"/>
      <c r="K108" s="684"/>
      <c r="L108" s="685"/>
      <c r="M108" s="685"/>
      <c r="N108" s="685"/>
      <c r="O108" s="685"/>
      <c r="P108" s="1045"/>
      <c r="Q108" s="686"/>
      <c r="R108" s="687"/>
      <c r="S108" s="685"/>
      <c r="T108" s="672"/>
      <c r="U108" s="2"/>
      <c r="V108" s="1054"/>
      <c r="W108" s="673"/>
      <c r="X108" s="2"/>
      <c r="Y108" s="688">
        <f t="shared" si="35"/>
        <v>0</v>
      </c>
      <c r="Z108" s="674">
        <f t="shared" si="32"/>
        <v>0</v>
      </c>
      <c r="AA108" s="674">
        <f t="shared" si="33"/>
        <v>0</v>
      </c>
      <c r="AB108" s="688">
        <f>IF(Y108=0,,VLOOKUP(Y108,リスト!CX:CY,2,0))</f>
        <v>0</v>
      </c>
      <c r="AC108" s="688">
        <f t="shared" si="19"/>
        <v>0</v>
      </c>
      <c r="AD108" s="689">
        <f>IF(AC108=0,,VLOOKUP(AC108,リスト!DK:DL,2,0))</f>
        <v>0</v>
      </c>
      <c r="AE108" s="674">
        <f>IF(Y108=0,,
IF(OR(リスト!$C$21="小麦",リスト!$C$21="二条大麦",リスト!$C$21="六条大麦",リスト!$C$21="はだか麦",リスト!$C$21="なたね"),IF(K108&lt;9,調査年-J108,調査年-J108-1),
IF(リスト!$C$21="さとうきび",IF(K108&gt;=4,調査年-J108,調査年-J108+1),
調査年-J108)))</f>
        <v>0</v>
      </c>
      <c r="AF108" s="252">
        <f t="shared" si="20"/>
        <v>0</v>
      </c>
      <c r="AG108" s="252">
        <f t="shared" si="21"/>
        <v>0</v>
      </c>
      <c r="AH108" s="252">
        <f t="shared" si="22"/>
        <v>0</v>
      </c>
      <c r="AI108" s="252">
        <f t="shared" si="23"/>
        <v>0</v>
      </c>
      <c r="AJ108" s="252">
        <f t="shared" si="24"/>
        <v>0</v>
      </c>
      <c r="AK108" s="252">
        <f t="shared" si="34"/>
        <v>0</v>
      </c>
      <c r="AL108" s="252">
        <f t="shared" si="25"/>
        <v>0</v>
      </c>
      <c r="AM108" s="252">
        <f t="shared" si="26"/>
        <v>0</v>
      </c>
      <c r="AN108" s="403"/>
      <c r="AO108" s="67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6">
        <f t="shared" si="27"/>
        <v>0</v>
      </c>
      <c r="AQ108" s="252">
        <f t="shared" si="28"/>
        <v>0</v>
      </c>
      <c r="AR108" s="676">
        <f t="shared" si="29"/>
        <v>0</v>
      </c>
      <c r="AS108" s="25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52">
        <f t="shared" si="30"/>
        <v>0</v>
      </c>
      <c r="AU108" s="252" t="str">
        <f t="shared" si="31"/>
        <v/>
      </c>
      <c r="AV108" s="690"/>
      <c r="AW108" s="690"/>
      <c r="AX108" s="690"/>
      <c r="AY108" s="690"/>
      <c r="AZ108" s="690"/>
    </row>
    <row r="109" spans="3:52" s="46" customFormat="1" ht="30" hidden="1" customHeight="1" outlineLevel="1">
      <c r="C109" s="678">
        <v>94</v>
      </c>
      <c r="D109" s="691"/>
      <c r="E109" s="680"/>
      <c r="F109" s="681"/>
      <c r="G109" s="1942"/>
      <c r="H109" s="1943"/>
      <c r="I109" s="682"/>
      <c r="J109" s="683"/>
      <c r="K109" s="684"/>
      <c r="L109" s="685"/>
      <c r="M109" s="685"/>
      <c r="N109" s="685"/>
      <c r="O109" s="685"/>
      <c r="P109" s="1045"/>
      <c r="Q109" s="686"/>
      <c r="R109" s="687"/>
      <c r="S109" s="685"/>
      <c r="T109" s="672"/>
      <c r="U109" s="2"/>
      <c r="V109" s="1054"/>
      <c r="W109" s="673"/>
      <c r="X109" s="2"/>
      <c r="Y109" s="688">
        <f t="shared" si="35"/>
        <v>0</v>
      </c>
      <c r="Z109" s="674">
        <f t="shared" si="32"/>
        <v>0</v>
      </c>
      <c r="AA109" s="674">
        <f t="shared" si="33"/>
        <v>0</v>
      </c>
      <c r="AB109" s="688">
        <f>IF(Y109=0,,VLOOKUP(Y109,リスト!CX:CY,2,0))</f>
        <v>0</v>
      </c>
      <c r="AC109" s="688">
        <f t="shared" si="19"/>
        <v>0</v>
      </c>
      <c r="AD109" s="689">
        <f>IF(AC109=0,,VLOOKUP(AC109,リスト!DK:DL,2,0))</f>
        <v>0</v>
      </c>
      <c r="AE109" s="674">
        <f>IF(Y109=0,,
IF(OR(リスト!$C$21="小麦",リスト!$C$21="二条大麦",リスト!$C$21="六条大麦",リスト!$C$21="はだか麦",リスト!$C$21="なたね"),IF(K109&lt;9,調査年-J109,調査年-J109-1),
IF(リスト!$C$21="さとうきび",IF(K109&gt;=4,調査年-J109,調査年-J109+1),
調査年-J109)))</f>
        <v>0</v>
      </c>
      <c r="AF109" s="252">
        <f t="shared" si="20"/>
        <v>0</v>
      </c>
      <c r="AG109" s="252">
        <f t="shared" si="21"/>
        <v>0</v>
      </c>
      <c r="AH109" s="252">
        <f t="shared" si="22"/>
        <v>0</v>
      </c>
      <c r="AI109" s="252">
        <f t="shared" si="23"/>
        <v>0</v>
      </c>
      <c r="AJ109" s="252">
        <f t="shared" si="24"/>
        <v>0</v>
      </c>
      <c r="AK109" s="252">
        <f t="shared" si="34"/>
        <v>0</v>
      </c>
      <c r="AL109" s="252">
        <f t="shared" si="25"/>
        <v>0</v>
      </c>
      <c r="AM109" s="252">
        <f t="shared" si="26"/>
        <v>0</v>
      </c>
      <c r="AN109" s="403"/>
      <c r="AO109" s="67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6">
        <f t="shared" si="27"/>
        <v>0</v>
      </c>
      <c r="AQ109" s="252">
        <f t="shared" si="28"/>
        <v>0</v>
      </c>
      <c r="AR109" s="676">
        <f t="shared" si="29"/>
        <v>0</v>
      </c>
      <c r="AS109" s="25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52">
        <f t="shared" si="30"/>
        <v>0</v>
      </c>
      <c r="AU109" s="252" t="str">
        <f t="shared" si="31"/>
        <v/>
      </c>
      <c r="AV109" s="690"/>
      <c r="AW109" s="690"/>
      <c r="AX109" s="690"/>
      <c r="AY109" s="690"/>
      <c r="AZ109" s="690"/>
    </row>
    <row r="110" spans="3:52" s="46" customFormat="1" ht="30" hidden="1" customHeight="1" outlineLevel="1">
      <c r="C110" s="678">
        <v>95</v>
      </c>
      <c r="D110" s="691"/>
      <c r="E110" s="680"/>
      <c r="F110" s="681"/>
      <c r="G110" s="1942"/>
      <c r="H110" s="1943"/>
      <c r="I110" s="682"/>
      <c r="J110" s="683"/>
      <c r="K110" s="684"/>
      <c r="L110" s="685"/>
      <c r="M110" s="685"/>
      <c r="N110" s="685"/>
      <c r="O110" s="685"/>
      <c r="P110" s="1045"/>
      <c r="Q110" s="686"/>
      <c r="R110" s="687"/>
      <c r="S110" s="685"/>
      <c r="T110" s="672"/>
      <c r="U110" s="2"/>
      <c r="V110" s="1054"/>
      <c r="W110" s="673"/>
      <c r="X110" s="2"/>
      <c r="Y110" s="688">
        <f t="shared" si="35"/>
        <v>0</v>
      </c>
      <c r="Z110" s="674">
        <f t="shared" si="32"/>
        <v>0</v>
      </c>
      <c r="AA110" s="674">
        <f t="shared" si="33"/>
        <v>0</v>
      </c>
      <c r="AB110" s="688">
        <f>IF(Y110=0,,VLOOKUP(Y110,リスト!CX:CY,2,0))</f>
        <v>0</v>
      </c>
      <c r="AC110" s="688">
        <f t="shared" si="19"/>
        <v>0</v>
      </c>
      <c r="AD110" s="689">
        <f>IF(AC110=0,,VLOOKUP(AC110,リスト!DK:DL,2,0))</f>
        <v>0</v>
      </c>
      <c r="AE110" s="674">
        <f>IF(Y110=0,,
IF(OR(リスト!$C$21="小麦",リスト!$C$21="二条大麦",リスト!$C$21="六条大麦",リスト!$C$21="はだか麦",リスト!$C$21="なたね"),IF(K110&lt;9,調査年-J110,調査年-J110-1),
IF(リスト!$C$21="さとうきび",IF(K110&gt;=4,調査年-J110,調査年-J110+1),
調査年-J110)))</f>
        <v>0</v>
      </c>
      <c r="AF110" s="252">
        <f t="shared" si="20"/>
        <v>0</v>
      </c>
      <c r="AG110" s="252">
        <f t="shared" si="21"/>
        <v>0</v>
      </c>
      <c r="AH110" s="252">
        <f t="shared" si="22"/>
        <v>0</v>
      </c>
      <c r="AI110" s="252">
        <f t="shared" si="23"/>
        <v>0</v>
      </c>
      <c r="AJ110" s="252">
        <f t="shared" si="24"/>
        <v>0</v>
      </c>
      <c r="AK110" s="252">
        <f t="shared" si="34"/>
        <v>0</v>
      </c>
      <c r="AL110" s="252">
        <f t="shared" si="25"/>
        <v>0</v>
      </c>
      <c r="AM110" s="252">
        <f t="shared" si="26"/>
        <v>0</v>
      </c>
      <c r="AN110" s="403"/>
      <c r="AO110" s="67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6">
        <f t="shared" si="27"/>
        <v>0</v>
      </c>
      <c r="AQ110" s="252">
        <f t="shared" si="28"/>
        <v>0</v>
      </c>
      <c r="AR110" s="676">
        <f t="shared" si="29"/>
        <v>0</v>
      </c>
      <c r="AS110" s="25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52">
        <f t="shared" si="30"/>
        <v>0</v>
      </c>
      <c r="AU110" s="252" t="str">
        <f t="shared" si="31"/>
        <v/>
      </c>
      <c r="AV110" s="690"/>
      <c r="AW110" s="690"/>
      <c r="AX110" s="690"/>
      <c r="AY110" s="690"/>
      <c r="AZ110" s="690"/>
    </row>
    <row r="111" spans="3:52" s="46" customFormat="1" ht="30" hidden="1" customHeight="1" outlineLevel="1">
      <c r="C111" s="678">
        <v>96</v>
      </c>
      <c r="D111" s="691"/>
      <c r="E111" s="680"/>
      <c r="F111" s="681"/>
      <c r="G111" s="1942"/>
      <c r="H111" s="1943"/>
      <c r="I111" s="682"/>
      <c r="J111" s="683"/>
      <c r="K111" s="684"/>
      <c r="L111" s="685"/>
      <c r="M111" s="685"/>
      <c r="N111" s="685"/>
      <c r="O111" s="685"/>
      <c r="P111" s="1045"/>
      <c r="Q111" s="686"/>
      <c r="R111" s="687"/>
      <c r="S111" s="685"/>
      <c r="T111" s="672"/>
      <c r="U111" s="2"/>
      <c r="V111" s="1054"/>
      <c r="W111" s="673"/>
      <c r="X111" s="2"/>
      <c r="Y111" s="688">
        <f t="shared" si="35"/>
        <v>0</v>
      </c>
      <c r="Z111" s="674">
        <f t="shared" si="32"/>
        <v>0</v>
      </c>
      <c r="AA111" s="674">
        <f t="shared" si="33"/>
        <v>0</v>
      </c>
      <c r="AB111" s="688">
        <f>IF(Y111=0,,VLOOKUP(Y111,リスト!CX:CY,2,0))</f>
        <v>0</v>
      </c>
      <c r="AC111" s="688">
        <f t="shared" si="19"/>
        <v>0</v>
      </c>
      <c r="AD111" s="689">
        <f>IF(AC111=0,,VLOOKUP(AC111,リスト!DK:DL,2,0))</f>
        <v>0</v>
      </c>
      <c r="AE111" s="674">
        <f>IF(Y111=0,,
IF(OR(リスト!$C$21="小麦",リスト!$C$21="二条大麦",リスト!$C$21="六条大麦",リスト!$C$21="はだか麦",リスト!$C$21="なたね"),IF(K111&lt;9,調査年-J111,調査年-J111-1),
IF(リスト!$C$21="さとうきび",IF(K111&gt;=4,調査年-J111,調査年-J111+1),
調査年-J111)))</f>
        <v>0</v>
      </c>
      <c r="AF111" s="252">
        <f t="shared" si="20"/>
        <v>0</v>
      </c>
      <c r="AG111" s="252">
        <f t="shared" si="21"/>
        <v>0</v>
      </c>
      <c r="AH111" s="252">
        <f t="shared" si="22"/>
        <v>0</v>
      </c>
      <c r="AI111" s="252">
        <f t="shared" si="23"/>
        <v>0</v>
      </c>
      <c r="AJ111" s="252">
        <f t="shared" si="24"/>
        <v>0</v>
      </c>
      <c r="AK111" s="252">
        <f t="shared" si="34"/>
        <v>0</v>
      </c>
      <c r="AL111" s="252">
        <f t="shared" si="25"/>
        <v>0</v>
      </c>
      <c r="AM111" s="252">
        <f t="shared" si="26"/>
        <v>0</v>
      </c>
      <c r="AN111" s="403"/>
      <c r="AO111" s="67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6">
        <f t="shared" si="27"/>
        <v>0</v>
      </c>
      <c r="AQ111" s="252">
        <f t="shared" si="28"/>
        <v>0</v>
      </c>
      <c r="AR111" s="676">
        <f t="shared" si="29"/>
        <v>0</v>
      </c>
      <c r="AS111" s="25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52">
        <f t="shared" si="30"/>
        <v>0</v>
      </c>
      <c r="AU111" s="252" t="str">
        <f t="shared" si="31"/>
        <v/>
      </c>
      <c r="AV111" s="690"/>
      <c r="AW111" s="690"/>
      <c r="AX111" s="690"/>
      <c r="AY111" s="690"/>
      <c r="AZ111" s="690"/>
    </row>
    <row r="112" spans="3:52" s="46" customFormat="1" ht="30" hidden="1" customHeight="1" outlineLevel="1">
      <c r="C112" s="678">
        <v>97</v>
      </c>
      <c r="D112" s="691"/>
      <c r="E112" s="680"/>
      <c r="F112" s="681"/>
      <c r="G112" s="1942"/>
      <c r="H112" s="1943"/>
      <c r="I112" s="682"/>
      <c r="J112" s="683"/>
      <c r="K112" s="684"/>
      <c r="L112" s="685"/>
      <c r="M112" s="685"/>
      <c r="N112" s="685"/>
      <c r="O112" s="685"/>
      <c r="P112" s="1045"/>
      <c r="Q112" s="686"/>
      <c r="R112" s="687"/>
      <c r="S112" s="685"/>
      <c r="T112" s="672"/>
      <c r="U112" s="2"/>
      <c r="V112" s="1054"/>
      <c r="W112" s="673"/>
      <c r="X112" s="2"/>
      <c r="Y112" s="688">
        <f t="shared" si="35"/>
        <v>0</v>
      </c>
      <c r="Z112" s="674">
        <f t="shared" si="32"/>
        <v>0</v>
      </c>
      <c r="AA112" s="674">
        <f t="shared" si="33"/>
        <v>0</v>
      </c>
      <c r="AB112" s="688">
        <f>IF(Y112=0,,VLOOKUP(Y112,リスト!CX:CY,2,0))</f>
        <v>0</v>
      </c>
      <c r="AC112" s="688">
        <f t="shared" si="19"/>
        <v>0</v>
      </c>
      <c r="AD112" s="689">
        <f>IF(AC112=0,,VLOOKUP(AC112,リスト!DK:DL,2,0))</f>
        <v>0</v>
      </c>
      <c r="AE112" s="674">
        <f>IF(Y112=0,,
IF(OR(リスト!$C$21="小麦",リスト!$C$21="二条大麦",リスト!$C$21="六条大麦",リスト!$C$21="はだか麦",リスト!$C$21="なたね"),IF(K112&lt;9,調査年-J112,調査年-J112-1),
IF(リスト!$C$21="さとうきび",IF(K112&gt;=4,調査年-J112,調査年-J112+1),
調査年-J112)))</f>
        <v>0</v>
      </c>
      <c r="AF112" s="252">
        <f t="shared" ref="AF112:AF115" si="36">IF(OR(Y112=0,Z112=1),,
IF(AND(AC112&gt;0,AE112&lt;AC112,AG112&lt;=ROUND((L112-1)*AD112,0)),ROUND(AG112*IF(R112="[2]部分取り壊し",IFERROR(1-(V112%),1),1),0),
IF(AND(AC112&gt;0,AE112&lt;AC112),ROUND((L112-1)*AD112*IF(R112="[2]部分取り壊し",IFERROR(1-(V112%),1),1),0),)))</f>
        <v>0</v>
      </c>
      <c r="AG112" s="252">
        <f t="shared" si="21"/>
        <v>0</v>
      </c>
      <c r="AH112" s="252">
        <f t="shared" si="22"/>
        <v>0</v>
      </c>
      <c r="AI112" s="252">
        <f t="shared" si="23"/>
        <v>0</v>
      </c>
      <c r="AJ112" s="252">
        <f t="shared" si="24"/>
        <v>0</v>
      </c>
      <c r="AK112" s="252">
        <f t="shared" si="34"/>
        <v>0</v>
      </c>
      <c r="AL112" s="252">
        <f t="shared" si="25"/>
        <v>0</v>
      </c>
      <c r="AM112" s="252">
        <f t="shared" si="26"/>
        <v>0</v>
      </c>
      <c r="AN112" s="403"/>
      <c r="AO112" s="67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6">
        <f t="shared" si="27"/>
        <v>0</v>
      </c>
      <c r="AQ112" s="252">
        <f t="shared" si="28"/>
        <v>0</v>
      </c>
      <c r="AR112" s="676">
        <f t="shared" si="29"/>
        <v>0</v>
      </c>
      <c r="AS112" s="25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52">
        <f t="shared" si="30"/>
        <v>0</v>
      </c>
      <c r="AU112" s="252" t="str">
        <f t="shared" si="31"/>
        <v/>
      </c>
      <c r="AV112" s="690"/>
      <c r="AW112" s="690"/>
      <c r="AX112" s="690"/>
      <c r="AY112" s="690"/>
      <c r="AZ112" s="690"/>
    </row>
    <row r="113" spans="3:52" s="46" customFormat="1" ht="30" hidden="1" customHeight="1" outlineLevel="1">
      <c r="C113" s="678">
        <v>98</v>
      </c>
      <c r="D113" s="691"/>
      <c r="E113" s="680"/>
      <c r="F113" s="681"/>
      <c r="G113" s="1942"/>
      <c r="H113" s="1943"/>
      <c r="I113" s="682"/>
      <c r="J113" s="683"/>
      <c r="K113" s="684"/>
      <c r="L113" s="685"/>
      <c r="M113" s="685"/>
      <c r="N113" s="685"/>
      <c r="O113" s="685"/>
      <c r="P113" s="1045"/>
      <c r="Q113" s="686"/>
      <c r="R113" s="687"/>
      <c r="S113" s="685"/>
      <c r="T113" s="672"/>
      <c r="U113" s="2"/>
      <c r="V113" s="1054"/>
      <c r="W113" s="673"/>
      <c r="X113" s="2"/>
      <c r="Y113" s="688">
        <f t="shared" si="35"/>
        <v>0</v>
      </c>
      <c r="Z113" s="674">
        <f t="shared" si="32"/>
        <v>0</v>
      </c>
      <c r="AA113" s="674">
        <f t="shared" si="33"/>
        <v>0</v>
      </c>
      <c r="AB113" s="688">
        <f>IF(Y113=0,,VLOOKUP(Y113,リスト!CX:CY,2,0))</f>
        <v>0</v>
      </c>
      <c r="AC113" s="688">
        <f t="shared" si="19"/>
        <v>0</v>
      </c>
      <c r="AD113" s="689">
        <f>IF(AC113=0,,VLOOKUP(AC113,リスト!DK:DL,2,0))</f>
        <v>0</v>
      </c>
      <c r="AE113" s="674">
        <f>IF(Y113=0,,
IF(OR(リスト!$C$21="小麦",リスト!$C$21="二条大麦",リスト!$C$21="六条大麦",リスト!$C$21="はだか麦",リスト!$C$21="なたね"),IF(K113&lt;9,調査年-J113,調査年-J113-1),
IF(リスト!$C$21="さとうきび",IF(K113&gt;=4,調査年-J113,調査年-J113+1),
調査年-J113)))</f>
        <v>0</v>
      </c>
      <c r="AF113" s="252">
        <f t="shared" si="36"/>
        <v>0</v>
      </c>
      <c r="AG113" s="252">
        <f t="shared" si="21"/>
        <v>0</v>
      </c>
      <c r="AH113" s="252">
        <f t="shared" si="22"/>
        <v>0</v>
      </c>
      <c r="AI113" s="252">
        <f t="shared" si="23"/>
        <v>0</v>
      </c>
      <c r="AJ113" s="252">
        <f t="shared" si="24"/>
        <v>0</v>
      </c>
      <c r="AK113" s="252">
        <f t="shared" si="34"/>
        <v>0</v>
      </c>
      <c r="AL113" s="252">
        <f t="shared" si="25"/>
        <v>0</v>
      </c>
      <c r="AM113" s="252">
        <f t="shared" si="26"/>
        <v>0</v>
      </c>
      <c r="AN113" s="403"/>
      <c r="AO113" s="67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6">
        <f t="shared" si="27"/>
        <v>0</v>
      </c>
      <c r="AQ113" s="252">
        <f t="shared" si="28"/>
        <v>0</v>
      </c>
      <c r="AR113" s="676">
        <f t="shared" si="29"/>
        <v>0</v>
      </c>
      <c r="AS113" s="25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52">
        <f t="shared" si="30"/>
        <v>0</v>
      </c>
      <c r="AU113" s="252" t="str">
        <f t="shared" si="31"/>
        <v/>
      </c>
      <c r="AV113" s="690"/>
      <c r="AW113" s="690"/>
      <c r="AX113" s="690"/>
      <c r="AY113" s="690"/>
      <c r="AZ113" s="690"/>
    </row>
    <row r="114" spans="3:52" s="46" customFormat="1" ht="30" hidden="1" customHeight="1" outlineLevel="1">
      <c r="C114" s="678">
        <v>99</v>
      </c>
      <c r="D114" s="691"/>
      <c r="E114" s="680"/>
      <c r="F114" s="681"/>
      <c r="G114" s="1942"/>
      <c r="H114" s="1943"/>
      <c r="I114" s="682"/>
      <c r="J114" s="683"/>
      <c r="K114" s="684"/>
      <c r="L114" s="685"/>
      <c r="M114" s="685"/>
      <c r="N114" s="685"/>
      <c r="O114" s="685"/>
      <c r="P114" s="1045"/>
      <c r="Q114" s="686"/>
      <c r="R114" s="687"/>
      <c r="S114" s="685"/>
      <c r="T114" s="672"/>
      <c r="U114" s="2"/>
      <c r="V114" s="1054"/>
      <c r="W114" s="673"/>
      <c r="X114" s="2"/>
      <c r="Y114" s="688">
        <f t="shared" si="35"/>
        <v>0</v>
      </c>
      <c r="Z114" s="674">
        <f t="shared" si="32"/>
        <v>0</v>
      </c>
      <c r="AA114" s="674">
        <f t="shared" si="33"/>
        <v>0</v>
      </c>
      <c r="AB114" s="688">
        <f>IF(Y114=0,,VLOOKUP(Y114,リスト!CX:CY,2,0))</f>
        <v>0</v>
      </c>
      <c r="AC114" s="688">
        <f t="shared" si="19"/>
        <v>0</v>
      </c>
      <c r="AD114" s="689">
        <f>IF(AC114=0,,VLOOKUP(AC114,リスト!DK:DL,2,0))</f>
        <v>0</v>
      </c>
      <c r="AE114" s="674">
        <f>IF(Y114=0,,
IF(OR(リスト!$C$21="小麦",リスト!$C$21="二条大麦",リスト!$C$21="六条大麦",リスト!$C$21="はだか麦",リスト!$C$21="なたね"),IF(K114&lt;9,調査年-J114,調査年-J114-1),
IF(リスト!$C$21="さとうきび",IF(K114&gt;=4,調査年-J114,調査年-J114+1),
調査年-J114)))</f>
        <v>0</v>
      </c>
      <c r="AF114" s="252">
        <f t="shared" si="36"/>
        <v>0</v>
      </c>
      <c r="AG114" s="252">
        <f t="shared" si="21"/>
        <v>0</v>
      </c>
      <c r="AH114" s="252">
        <f t="shared" si="22"/>
        <v>0</v>
      </c>
      <c r="AI114" s="252">
        <f t="shared" si="23"/>
        <v>0</v>
      </c>
      <c r="AJ114" s="252">
        <f t="shared" si="24"/>
        <v>0</v>
      </c>
      <c r="AK114" s="252">
        <f t="shared" si="34"/>
        <v>0</v>
      </c>
      <c r="AL114" s="252">
        <f t="shared" si="25"/>
        <v>0</v>
      </c>
      <c r="AM114" s="252">
        <f t="shared" si="26"/>
        <v>0</v>
      </c>
      <c r="AN114" s="403"/>
      <c r="AO114" s="67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6">
        <f t="shared" si="27"/>
        <v>0</v>
      </c>
      <c r="AQ114" s="252">
        <f t="shared" si="28"/>
        <v>0</v>
      </c>
      <c r="AR114" s="676">
        <f t="shared" si="29"/>
        <v>0</v>
      </c>
      <c r="AS114" s="25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52">
        <f t="shared" si="30"/>
        <v>0</v>
      </c>
      <c r="AU114" s="252" t="str">
        <f t="shared" si="31"/>
        <v/>
      </c>
      <c r="AV114" s="690"/>
      <c r="AW114" s="690"/>
      <c r="AX114" s="690"/>
      <c r="AY114" s="690"/>
      <c r="AZ114" s="690"/>
    </row>
    <row r="115" spans="3:52" s="46" customFormat="1" ht="30" hidden="1" customHeight="1" outlineLevel="1" thickBot="1">
      <c r="C115" s="678">
        <v>100</v>
      </c>
      <c r="D115" s="693"/>
      <c r="E115" s="694"/>
      <c r="F115" s="695"/>
      <c r="G115" s="1944"/>
      <c r="H115" s="1945"/>
      <c r="I115" s="696"/>
      <c r="J115" s="697"/>
      <c r="K115" s="698"/>
      <c r="L115" s="699"/>
      <c r="M115" s="699"/>
      <c r="N115" s="699"/>
      <c r="O115" s="699"/>
      <c r="P115" s="1046"/>
      <c r="Q115" s="700"/>
      <c r="R115" s="701"/>
      <c r="S115" s="702"/>
      <c r="T115" s="672"/>
      <c r="U115" s="2"/>
      <c r="V115" s="1055"/>
      <c r="W115" s="673"/>
      <c r="X115" s="2"/>
      <c r="Y115" s="688">
        <f t="shared" si="35"/>
        <v>0</v>
      </c>
      <c r="Z115" s="674">
        <f t="shared" si="32"/>
        <v>0</v>
      </c>
      <c r="AA115" s="674">
        <f t="shared" si="33"/>
        <v>0</v>
      </c>
      <c r="AB115" s="688">
        <f>IF(Y115=0,,VLOOKUP(Y115,リスト!CX:CY,2,0))</f>
        <v>0</v>
      </c>
      <c r="AC115" s="688">
        <f t="shared" si="19"/>
        <v>0</v>
      </c>
      <c r="AD115" s="689">
        <f>IF(AC115=0,,VLOOKUP(AC115,リスト!DK:DL,2,0))</f>
        <v>0</v>
      </c>
      <c r="AE115" s="674">
        <f>IF(Y115=0,,
IF(OR(リスト!$C$21="小麦",リスト!$C$21="二条大麦",リスト!$C$21="六条大麦",リスト!$C$21="はだか麦",リスト!$C$21="なたね"),IF(K115&lt;9,調査年-J115,調査年-J115-1),
IF(リスト!$C$21="さとうきび",IF(K115&gt;=4,調査年-J115,調査年-J115+1),
調査年-J115)))</f>
        <v>0</v>
      </c>
      <c r="AF115" s="252">
        <f t="shared" si="36"/>
        <v>0</v>
      </c>
      <c r="AG115" s="252">
        <f t="shared" si="21"/>
        <v>0</v>
      </c>
      <c r="AH115" s="252">
        <f t="shared" si="22"/>
        <v>0</v>
      </c>
      <c r="AI115" s="252">
        <f t="shared" si="23"/>
        <v>0</v>
      </c>
      <c r="AJ115" s="252">
        <f t="shared" si="24"/>
        <v>0</v>
      </c>
      <c r="AK115" s="252">
        <f t="shared" si="34"/>
        <v>0</v>
      </c>
      <c r="AL115" s="252">
        <f t="shared" si="25"/>
        <v>0</v>
      </c>
      <c r="AM115" s="252">
        <f t="shared" si="26"/>
        <v>0</v>
      </c>
      <c r="AN115" s="403"/>
      <c r="AO115" s="67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6">
        <f t="shared" si="27"/>
        <v>0</v>
      </c>
      <c r="AQ115" s="252">
        <f t="shared" si="28"/>
        <v>0</v>
      </c>
      <c r="AR115" s="676">
        <f t="shared" si="29"/>
        <v>0</v>
      </c>
      <c r="AS115" s="25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52">
        <f t="shared" si="30"/>
        <v>0</v>
      </c>
      <c r="AU115" s="252" t="str">
        <f t="shared" si="31"/>
        <v/>
      </c>
      <c r="AV115" s="690"/>
      <c r="AW115" s="690"/>
      <c r="AX115" s="690"/>
      <c r="AY115" s="690"/>
      <c r="AZ115" s="690"/>
    </row>
    <row r="116" spans="3:52" ht="14.25" customHeight="1" collapsed="1" thickTop="1">
      <c r="C116" s="391"/>
      <c r="D116" s="391"/>
      <c r="E116" s="392"/>
      <c r="F116" s="392"/>
      <c r="G116" s="392"/>
      <c r="H116" s="392"/>
      <c r="I116" s="392"/>
      <c r="J116" s="392"/>
      <c r="K116" s="392"/>
      <c r="L116" s="392"/>
      <c r="M116" s="392"/>
      <c r="N116" s="392"/>
      <c r="O116" s="392"/>
      <c r="P116" s="392"/>
      <c r="Q116" s="392"/>
      <c r="R116" s="392"/>
      <c r="S116" s="392"/>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104775</xdr:colOff>
                <xdr:row>0</xdr:row>
                <xdr:rowOff>152400</xdr:rowOff>
              </from>
              <to>
                <xdr:col>32</xdr:col>
                <xdr:colOff>571500</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0" customWidth="1" outlineLevel="1"/>
    <col min="50" max="50" width="2.625" style="2" outlineLevel="1"/>
    <col min="51" max="16384" width="2.625" style="2"/>
  </cols>
  <sheetData>
    <row r="1" spans="1:49" ht="14.25" customHeight="1">
      <c r="W1" s="2" t="s">
        <v>376</v>
      </c>
      <c r="Y1" s="183"/>
      <c r="AC1" s="46"/>
      <c r="AD1" s="46"/>
      <c r="AQ1" s="46"/>
      <c r="AR1" s="46"/>
      <c r="AW1" s="144"/>
    </row>
    <row r="2" spans="1:49" ht="14.25" customHeight="1">
      <c r="A2" s="105" t="s">
        <v>532</v>
      </c>
      <c r="W2" s="416" t="s">
        <v>532</v>
      </c>
      <c r="X2" s="416"/>
      <c r="AC2" s="1085" t="s">
        <v>1367</v>
      </c>
    </row>
    <row r="3" spans="1:49" ht="14.25" customHeight="1">
      <c r="A3" s="105"/>
      <c r="AC3" s="1087">
        <v>15</v>
      </c>
    </row>
    <row r="4" spans="1:49" ht="14.25" customHeight="1">
      <c r="A4" s="105" t="s">
        <v>533</v>
      </c>
      <c r="C4" s="608" t="s">
        <v>1419</v>
      </c>
    </row>
    <row r="5" spans="1:49" ht="14.25" customHeight="1">
      <c r="A5" s="105"/>
      <c r="C5" s="46" t="s">
        <v>534</v>
      </c>
    </row>
    <row r="6" spans="1:49" ht="14.25" customHeight="1">
      <c r="B6" s="586"/>
      <c r="C6" s="46" t="s">
        <v>535</v>
      </c>
      <c r="D6" s="586"/>
      <c r="E6" s="586"/>
      <c r="F6" s="586"/>
      <c r="G6" s="586"/>
      <c r="H6" s="586"/>
      <c r="I6" s="586"/>
      <c r="J6" s="586"/>
      <c r="K6" s="586"/>
      <c r="L6" s="586"/>
    </row>
    <row r="7" spans="1:49" ht="14.25" customHeight="1">
      <c r="B7" s="586"/>
      <c r="C7" s="46" t="s">
        <v>1420</v>
      </c>
      <c r="D7" s="586"/>
      <c r="E7" s="586"/>
      <c r="F7" s="586"/>
      <c r="G7" s="586"/>
      <c r="H7" s="586"/>
      <c r="I7" s="586"/>
      <c r="J7" s="586"/>
      <c r="K7" s="586"/>
      <c r="L7" s="586"/>
    </row>
    <row r="8" spans="1:49" ht="14.25" customHeight="1">
      <c r="B8" s="586"/>
      <c r="C8" s="46"/>
      <c r="D8" s="586"/>
      <c r="E8" s="586"/>
      <c r="F8" s="586"/>
      <c r="G8" s="586"/>
      <c r="H8" s="586"/>
      <c r="I8" s="586"/>
      <c r="J8" s="586"/>
      <c r="K8" s="586"/>
      <c r="L8" s="586"/>
      <c r="W8" s="39" t="s">
        <v>536</v>
      </c>
      <c r="X8" s="39"/>
      <c r="AW8" s="2"/>
    </row>
    <row r="9" spans="1:49" ht="14.25" customHeight="1">
      <c r="B9" s="586"/>
      <c r="C9" s="46"/>
      <c r="D9" s="586"/>
      <c r="E9" s="586"/>
      <c r="F9" s="586"/>
      <c r="G9" s="586"/>
      <c r="H9" s="586"/>
      <c r="I9" s="586"/>
      <c r="J9" s="586"/>
      <c r="K9" s="586"/>
      <c r="L9" s="586"/>
      <c r="W9" s="39" t="s">
        <v>537</v>
      </c>
      <c r="X9" s="39"/>
      <c r="AW9" s="2"/>
    </row>
    <row r="10" spans="1:49" ht="14.25" customHeight="1" thickBot="1">
      <c r="B10" s="586"/>
      <c r="C10" s="46"/>
      <c r="D10" s="586"/>
      <c r="E10" s="586"/>
      <c r="F10" s="586"/>
      <c r="G10" s="586"/>
      <c r="H10" s="586"/>
      <c r="I10" s="586"/>
      <c r="J10" s="586"/>
      <c r="K10" s="586"/>
      <c r="L10" s="586"/>
      <c r="W10" s="2012" t="s">
        <v>538</v>
      </c>
      <c r="X10" s="2012" t="s">
        <v>539</v>
      </c>
      <c r="Z10" s="1493" t="s">
        <v>483</v>
      </c>
      <c r="AA10" s="1493"/>
      <c r="AB10" s="1493"/>
      <c r="AC10" s="1493"/>
      <c r="AD10" s="1493"/>
      <c r="AE10" s="1493"/>
      <c r="AF10" s="1493"/>
      <c r="AG10" s="1493"/>
      <c r="AH10" s="1979" t="s">
        <v>484</v>
      </c>
      <c r="AI10" s="1980"/>
      <c r="AJ10" s="1981"/>
      <c r="AK10" s="2019"/>
      <c r="AL10" s="1979" t="s">
        <v>487</v>
      </c>
      <c r="AM10" s="1980"/>
      <c r="AN10" s="1980"/>
      <c r="AO10" s="1980"/>
      <c r="AP10" s="1980"/>
      <c r="AQ10" s="1980"/>
      <c r="AR10" s="1980"/>
      <c r="AS10" s="1980"/>
      <c r="AT10" s="1980"/>
      <c r="AU10" s="1980"/>
      <c r="AV10" s="1980"/>
      <c r="AW10" s="1981"/>
    </row>
    <row r="11" spans="1:49" s="46" customFormat="1" ht="14.25" customHeight="1">
      <c r="C11" s="1985" t="s">
        <v>488</v>
      </c>
      <c r="D11" s="2045" t="s">
        <v>489</v>
      </c>
      <c r="E11" s="2048" t="s">
        <v>540</v>
      </c>
      <c r="F11" s="2051" t="s">
        <v>541</v>
      </c>
      <c r="G11" s="1997" t="s">
        <v>492</v>
      </c>
      <c r="H11" s="1998"/>
      <c r="I11" s="2001" t="s">
        <v>493</v>
      </c>
      <c r="J11" s="2033" t="s">
        <v>494</v>
      </c>
      <c r="K11" s="2034"/>
      <c r="L11" s="1967" t="s">
        <v>495</v>
      </c>
      <c r="M11" s="1997" t="s">
        <v>497</v>
      </c>
      <c r="N11" s="1997" t="s">
        <v>542</v>
      </c>
      <c r="O11" s="1997" t="s">
        <v>543</v>
      </c>
      <c r="P11" s="2038" t="s">
        <v>544</v>
      </c>
      <c r="Q11" s="2039"/>
      <c r="R11" s="1969" t="s">
        <v>1418</v>
      </c>
      <c r="S11" s="1971" t="s">
        <v>499</v>
      </c>
      <c r="T11" s="1973" t="s">
        <v>500</v>
      </c>
      <c r="U11" s="1974"/>
      <c r="V11" s="690"/>
      <c r="W11" s="2013"/>
      <c r="X11" s="2013"/>
      <c r="Z11" s="1534"/>
      <c r="AA11" s="1534"/>
      <c r="AB11" s="1534"/>
      <c r="AC11" s="1534"/>
      <c r="AD11" s="1534"/>
      <c r="AE11" s="1534"/>
      <c r="AF11" s="1534"/>
      <c r="AG11" s="1534"/>
      <c r="AH11" s="1982"/>
      <c r="AI11" s="1983"/>
      <c r="AJ11" s="1984"/>
      <c r="AK11" s="2020"/>
      <c r="AL11" s="1982"/>
      <c r="AM11" s="1983"/>
      <c r="AN11" s="1983"/>
      <c r="AO11" s="1983"/>
      <c r="AP11" s="1983"/>
      <c r="AQ11" s="1983"/>
      <c r="AR11" s="1983"/>
      <c r="AS11" s="1983"/>
      <c r="AT11" s="1983"/>
      <c r="AU11" s="1983"/>
      <c r="AV11" s="1983"/>
      <c r="AW11" s="1984"/>
    </row>
    <row r="12" spans="1:49" s="46" customFormat="1" ht="14.25" customHeight="1">
      <c r="C12" s="1986"/>
      <c r="D12" s="2046"/>
      <c r="E12" s="2049"/>
      <c r="F12" s="2052"/>
      <c r="G12" s="1999"/>
      <c r="H12" s="2000"/>
      <c r="I12" s="2002"/>
      <c r="J12" s="2035"/>
      <c r="K12" s="2036"/>
      <c r="L12" s="1968"/>
      <c r="M12" s="2037"/>
      <c r="N12" s="2037"/>
      <c r="O12" s="2037"/>
      <c r="P12" s="2040"/>
      <c r="Q12" s="2041"/>
      <c r="R12" s="1947"/>
      <c r="S12" s="1730"/>
      <c r="T12" s="1975"/>
      <c r="U12" s="1976"/>
      <c r="V12" s="690"/>
      <c r="W12" s="2013"/>
      <c r="X12" s="2013"/>
      <c r="Z12" s="1963" t="s">
        <v>501</v>
      </c>
      <c r="AA12" s="1963" t="s">
        <v>502</v>
      </c>
      <c r="AB12" s="1963" t="s">
        <v>503</v>
      </c>
      <c r="AC12" s="1963" t="s">
        <v>504</v>
      </c>
      <c r="AD12" s="1963" t="s">
        <v>505</v>
      </c>
      <c r="AE12" s="1963" t="s">
        <v>506</v>
      </c>
      <c r="AF12" s="1963" t="s">
        <v>507</v>
      </c>
      <c r="AG12" s="1963" t="s">
        <v>508</v>
      </c>
      <c r="AH12" s="1963" t="s">
        <v>509</v>
      </c>
      <c r="AI12" s="2022" t="s">
        <v>510</v>
      </c>
      <c r="AJ12" s="645"/>
      <c r="AK12" s="2020"/>
      <c r="AL12" s="1946" t="s">
        <v>511</v>
      </c>
      <c r="AM12" s="1966" t="s">
        <v>515</v>
      </c>
      <c r="AN12" s="646"/>
      <c r="AO12" s="1946" t="s">
        <v>516</v>
      </c>
      <c r="AP12" s="1946" t="s">
        <v>517</v>
      </c>
      <c r="AQ12" s="1946" t="s">
        <v>545</v>
      </c>
      <c r="AR12" s="1946" t="s">
        <v>546</v>
      </c>
      <c r="AS12" s="1946" t="s">
        <v>547</v>
      </c>
      <c r="AT12" s="1946" t="s">
        <v>548</v>
      </c>
      <c r="AU12" s="1946" t="s">
        <v>549</v>
      </c>
      <c r="AV12" s="1946" t="s">
        <v>444</v>
      </c>
      <c r="AW12" s="1946" t="s">
        <v>550</v>
      </c>
    </row>
    <row r="13" spans="1:49" s="46" customFormat="1" ht="14.25" customHeight="1">
      <c r="C13" s="1986"/>
      <c r="D13" s="2046"/>
      <c r="E13" s="2049"/>
      <c r="F13" s="2052"/>
      <c r="G13" s="1949" t="s">
        <v>551</v>
      </c>
      <c r="H13" s="1949" t="s">
        <v>520</v>
      </c>
      <c r="I13" s="2002"/>
      <c r="J13" s="1954" t="s">
        <v>521</v>
      </c>
      <c r="K13" s="1954" t="s">
        <v>522</v>
      </c>
      <c r="L13" s="704" t="s">
        <v>523</v>
      </c>
      <c r="M13" s="705" t="s">
        <v>523</v>
      </c>
      <c r="N13" s="706" t="s">
        <v>523</v>
      </c>
      <c r="O13" s="706" t="s">
        <v>523</v>
      </c>
      <c r="P13" s="2042"/>
      <c r="Q13" s="2043"/>
      <c r="R13" s="1947"/>
      <c r="S13" s="1730"/>
      <c r="T13" s="1956" t="s">
        <v>524</v>
      </c>
      <c r="U13" s="1960" t="s">
        <v>552</v>
      </c>
      <c r="V13" s="690"/>
      <c r="W13" s="2013"/>
      <c r="X13" s="2013"/>
      <c r="Z13" s="1964"/>
      <c r="AA13" s="1964"/>
      <c r="AB13" s="1964"/>
      <c r="AC13" s="1964"/>
      <c r="AD13" s="1964"/>
      <c r="AE13" s="1964"/>
      <c r="AF13" s="1964" t="s">
        <v>527</v>
      </c>
      <c r="AG13" s="1964"/>
      <c r="AH13" s="1964" t="s">
        <v>527</v>
      </c>
      <c r="AI13" s="1964" t="s">
        <v>527</v>
      </c>
      <c r="AJ13" s="1963" t="s">
        <v>528</v>
      </c>
      <c r="AK13" s="2020"/>
      <c r="AL13" s="1947"/>
      <c r="AM13" s="2031"/>
      <c r="AN13" s="1946" t="s">
        <v>528</v>
      </c>
      <c r="AO13" s="1947" t="s">
        <v>527</v>
      </c>
      <c r="AP13" s="1947"/>
      <c r="AQ13" s="1947"/>
      <c r="AR13" s="1947"/>
      <c r="AS13" s="1947"/>
      <c r="AT13" s="1947"/>
      <c r="AU13" s="1947"/>
      <c r="AV13" s="1947"/>
      <c r="AW13" s="1947"/>
    </row>
    <row r="14" spans="1:49" s="46" customFormat="1" ht="14.25" customHeight="1">
      <c r="C14" s="1986"/>
      <c r="D14" s="2046"/>
      <c r="E14" s="2049"/>
      <c r="F14" s="2052"/>
      <c r="G14" s="1950"/>
      <c r="H14" s="1950"/>
      <c r="I14" s="2002"/>
      <c r="J14" s="1955"/>
      <c r="K14" s="1955"/>
      <c r="L14" s="707"/>
      <c r="M14" s="708"/>
      <c r="N14" s="651"/>
      <c r="O14" s="709"/>
      <c r="P14" s="2054" t="s">
        <v>553</v>
      </c>
      <c r="Q14" s="2054" t="s">
        <v>444</v>
      </c>
      <c r="R14" s="1947"/>
      <c r="S14" s="1730"/>
      <c r="T14" s="1957"/>
      <c r="U14" s="1961"/>
      <c r="V14" s="690"/>
      <c r="W14" s="2013"/>
      <c r="X14" s="2013"/>
      <c r="Z14" s="1964"/>
      <c r="AA14" s="1964"/>
      <c r="AB14" s="1964"/>
      <c r="AC14" s="1964"/>
      <c r="AD14" s="1964"/>
      <c r="AE14" s="1964"/>
      <c r="AF14" s="1964"/>
      <c r="AG14" s="1964"/>
      <c r="AH14" s="1964"/>
      <c r="AI14" s="1964"/>
      <c r="AJ14" s="1964"/>
      <c r="AK14" s="2020"/>
      <c r="AL14" s="1947"/>
      <c r="AM14" s="2031"/>
      <c r="AN14" s="1947"/>
      <c r="AO14" s="1947"/>
      <c r="AP14" s="1947"/>
      <c r="AQ14" s="1947"/>
      <c r="AR14" s="1947"/>
      <c r="AS14" s="1947"/>
      <c r="AT14" s="1947"/>
      <c r="AU14" s="1947"/>
      <c r="AV14" s="1947"/>
      <c r="AW14" s="1947"/>
    </row>
    <row r="15" spans="1:49" s="46" customFormat="1" ht="14.25" customHeight="1">
      <c r="C15" s="1986"/>
      <c r="D15" s="2046"/>
      <c r="E15" s="2049"/>
      <c r="F15" s="2052"/>
      <c r="G15" s="1950"/>
      <c r="H15" s="1950"/>
      <c r="I15" s="2002"/>
      <c r="J15" s="1955"/>
      <c r="K15" s="1955"/>
      <c r="L15" s="707"/>
      <c r="M15" s="708"/>
      <c r="N15" s="651"/>
      <c r="O15" s="709"/>
      <c r="P15" s="2037"/>
      <c r="Q15" s="2037"/>
      <c r="R15" s="1947"/>
      <c r="S15" s="1730"/>
      <c r="T15" s="1957"/>
      <c r="U15" s="710"/>
      <c r="V15" s="690"/>
      <c r="W15" s="2013"/>
      <c r="X15" s="2013"/>
      <c r="Z15" s="1964"/>
      <c r="AA15" s="1964"/>
      <c r="AB15" s="1964"/>
      <c r="AC15" s="1964"/>
      <c r="AD15" s="1964"/>
      <c r="AE15" s="1964"/>
      <c r="AF15" s="1964"/>
      <c r="AG15" s="1964"/>
      <c r="AH15" s="1964"/>
      <c r="AI15" s="1964"/>
      <c r="AJ15" s="1964"/>
      <c r="AK15" s="2020"/>
      <c r="AL15" s="1947"/>
      <c r="AM15" s="2031"/>
      <c r="AN15" s="1947"/>
      <c r="AO15" s="1947"/>
      <c r="AP15" s="1947"/>
      <c r="AQ15" s="1947"/>
      <c r="AR15" s="1947"/>
      <c r="AS15" s="1947"/>
      <c r="AT15" s="1947"/>
      <c r="AU15" s="1947"/>
      <c r="AV15" s="1947"/>
      <c r="AW15" s="1947"/>
    </row>
    <row r="16" spans="1:49" s="46" customFormat="1" ht="14.25" customHeight="1">
      <c r="C16" s="1986"/>
      <c r="D16" s="2046"/>
      <c r="E16" s="2049"/>
      <c r="F16" s="2052"/>
      <c r="G16" s="1950"/>
      <c r="H16" s="1950"/>
      <c r="I16" s="2002"/>
      <c r="J16" s="1955"/>
      <c r="K16" s="1955"/>
      <c r="L16" s="707"/>
      <c r="M16" s="708"/>
      <c r="N16" s="651"/>
      <c r="O16" s="709"/>
      <c r="P16" s="2055" t="s">
        <v>523</v>
      </c>
      <c r="Q16" s="2057" t="s">
        <v>523</v>
      </c>
      <c r="R16" s="1947"/>
      <c r="S16" s="1730"/>
      <c r="T16" s="1958"/>
      <c r="U16" s="710"/>
      <c r="V16" s="690"/>
      <c r="W16" s="2013"/>
      <c r="X16" s="2013"/>
      <c r="Z16" s="1965"/>
      <c r="AA16" s="1965"/>
      <c r="AB16" s="1965"/>
      <c r="AC16" s="1965"/>
      <c r="AD16" s="1965"/>
      <c r="AE16" s="1965"/>
      <c r="AF16" s="1965"/>
      <c r="AG16" s="1965"/>
      <c r="AH16" s="1965"/>
      <c r="AI16" s="1965"/>
      <c r="AJ16" s="1965"/>
      <c r="AK16" s="2021"/>
      <c r="AL16" s="1948"/>
      <c r="AM16" s="2032"/>
      <c r="AN16" s="1948"/>
      <c r="AO16" s="1948"/>
      <c r="AP16" s="1948"/>
      <c r="AQ16" s="1948"/>
      <c r="AR16" s="1948"/>
      <c r="AS16" s="1948"/>
      <c r="AT16" s="1948"/>
      <c r="AU16" s="1948"/>
      <c r="AV16" s="1948"/>
      <c r="AW16" s="1948"/>
    </row>
    <row r="17" spans="3:51" s="46" customFormat="1" ht="30" customHeight="1" thickBot="1">
      <c r="C17" s="1987"/>
      <c r="D17" s="2047"/>
      <c r="E17" s="2050"/>
      <c r="F17" s="2053"/>
      <c r="G17" s="1950"/>
      <c r="H17" s="1950"/>
      <c r="I17" s="2003"/>
      <c r="J17" s="1955"/>
      <c r="K17" s="1955"/>
      <c r="L17" s="711"/>
      <c r="M17" s="708"/>
      <c r="N17" s="651"/>
      <c r="O17" s="712"/>
      <c r="P17" s="2056"/>
      <c r="Q17" s="2058"/>
      <c r="R17" s="2044"/>
      <c r="S17" s="1972"/>
      <c r="T17" s="1959"/>
      <c r="U17" s="713"/>
      <c r="V17" s="690"/>
      <c r="W17" s="2014"/>
      <c r="X17" s="2014"/>
      <c r="Z17" s="656"/>
      <c r="AA17" s="656"/>
      <c r="AB17" s="656"/>
      <c r="AC17" s="656"/>
      <c r="AD17" s="656"/>
      <c r="AE17" s="656"/>
      <c r="AF17" s="656"/>
      <c r="AG17" s="656"/>
      <c r="AH17" s="656"/>
      <c r="AI17" s="656"/>
      <c r="AJ17" s="656"/>
      <c r="AK17" s="714" t="s">
        <v>554</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6"/>
    </row>
    <row r="18" spans="3:51" s="46" customFormat="1" ht="30.75" customHeight="1" thickTop="1">
      <c r="C18" s="716">
        <v>1</v>
      </c>
      <c r="D18" s="661"/>
      <c r="E18" s="717"/>
      <c r="F18" s="718"/>
      <c r="G18" s="2029"/>
      <c r="H18" s="2030"/>
      <c r="I18" s="664"/>
      <c r="J18" s="665"/>
      <c r="K18" s="666"/>
      <c r="L18" s="669"/>
      <c r="M18" s="669"/>
      <c r="N18" s="669"/>
      <c r="O18" s="669"/>
      <c r="P18" s="668"/>
      <c r="Q18" s="668"/>
      <c r="R18" s="1047"/>
      <c r="S18" s="670"/>
      <c r="T18" s="719"/>
      <c r="U18" s="720"/>
      <c r="V18" s="721"/>
      <c r="W18" s="722"/>
      <c r="X18" s="723"/>
      <c r="Z18" s="674">
        <f t="shared" ref="Z18:Z81" si="2">IF(AND(E18&gt;0,F18&gt;0),"["&amp;RIGHT(LEFT(E18,2),1)&amp;RIGHT(LEFT(F18,2),1)&amp;"]",)</f>
        <v>0</v>
      </c>
      <c r="AA18" s="674">
        <f t="shared" ref="AA18:AA81" si="3">IF(Z18=0,,IF(L18&lt;100000,1,0))</f>
        <v>0</v>
      </c>
      <c r="AB18" s="674">
        <f t="shared" ref="AB18:AB81" si="4">IF(Z18=0,,IF(AND(AA18=0,L18&lt;200000),1,))</f>
        <v>0</v>
      </c>
      <c r="AC18" s="674">
        <f>IF(Z18=0,,VLOOKUP(Z18,リスト!DC:DD,2,0))</f>
        <v>0</v>
      </c>
      <c r="AD18" s="674">
        <f t="shared" ref="AD18:AD81" si="5">IF(AB18=1,3,IF(G18="[2]中古",MIN(AC18,I18),AC18))</f>
        <v>0</v>
      </c>
      <c r="AE18" s="675">
        <f>IF(AD18=0,,VLOOKUP(AD18,リスト!DK:DL,2,0))</f>
        <v>0</v>
      </c>
      <c r="AF18" s="674">
        <f>IF(Z18=0,,
IF(OR(リスト!$C$21="小麦",リスト!$C$21="二条大麦",リスト!$C$21="六条大麦",リスト!$C$21="はだか麦",リスト!$C$21="なたね"),IF(K18&lt;9,調査年-J18,調査年-J18-1),
IF(リスト!$C$21="さとうきび",IF(K18&gt;=4,調査年-J18,調査年-J18+1),
調査年-J18)))</f>
        <v>0</v>
      </c>
      <c r="AG18" s="676">
        <f t="shared" ref="AG18:AG49" si="6">IF(OR(Z18=0,AA18=1),,
IF(AND(AD18&gt;0,AF18&lt;AD18,AH18&lt;=ROUND((L18-1)*AE18,0)),ROUND(AH18,0),
IF(AND(AD18&gt;0,AF18&lt;AD18),ROUND((L18-1)*AE18,0),)))</f>
        <v>0</v>
      </c>
      <c r="AH18" s="676">
        <f t="shared" ref="AH18:AH81" si="7">IF(OR(Z18=0,AA18=1),,
IF(AND(AD18&gt;0,AF18&lt;AD18),L18-ROUND((L18-1)*AE18*AF18,0),1
))</f>
        <v>0</v>
      </c>
      <c r="AI18" s="676">
        <f t="shared" ref="AI18:AI81" si="8">IF(OR(Z18=0,AA18=1),,
IF(T18=0,AG18,
IF(T18="[2]廃棄等",SUM(AH18,U18),
IF(T18="[1]売却",AH18-U18,))))</f>
        <v>0</v>
      </c>
      <c r="AJ18" s="676">
        <f t="shared" ref="AJ18:AJ81" si="9">IF(AND(AI18=0,AG18=0),,
IF(OR(T18="[1]売却",T18="[2]廃棄等"),SUM(AI18)-SUM(AG18),))</f>
        <v>0</v>
      </c>
      <c r="AK18" s="724"/>
      <c r="AL18" s="67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6">
        <f t="shared" ref="AM18:AM81" si="10">IF(R18=0,,IF(AI18=0,,ROUND(AI18*R18%,0)))</f>
        <v>0</v>
      </c>
      <c r="AN18" s="676">
        <f t="shared" ref="AN18:AN81" si="11">IF(R18=0,,IF(AJ18=0,,ROUND(AJ18*R18%,0)))</f>
        <v>0</v>
      </c>
      <c r="AO18" s="676">
        <f t="shared" ref="AO18:AO81" si="12">IF(R18=0,,IF(AH18=0,,ROUND(AH18*R18%,0)))</f>
        <v>0</v>
      </c>
      <c r="AP18" s="67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6">
        <f t="shared" ref="AQ18:AQ81" si="13">IF(R18=0,,IF(N18=0,,ROUND(N18*R18%,0)))</f>
        <v>0</v>
      </c>
      <c r="AR18" s="676">
        <f t="shared" ref="AR18:AR81" si="14">IF(OR(AP18&gt;0,AQ18&gt;0),SUM(AP18:AQ18),)</f>
        <v>0</v>
      </c>
      <c r="AS18" s="676">
        <f>IF(O18&gt;0,IF(AND(F18&lt;&gt;"[1]軽自動車",F18&lt;&gt;"[3]自動二輪・三輪"),ROUND(O18*R18%,),),)</f>
        <v>0</v>
      </c>
      <c r="AT18" s="676">
        <f>IF(O18&gt;0,IF(OR(F18="[1]軽自動車",F18="[3]自動二輪・三輪"),ROUND(O18*R18%,),),)</f>
        <v>0</v>
      </c>
      <c r="AU18" s="676">
        <f t="shared" ref="AU18:AU81" si="15">IF(P18&gt;0,ROUND(P18*R18%,),)</f>
        <v>0</v>
      </c>
      <c r="AV18" s="676">
        <f t="shared" ref="AV18:AV81" si="16">IF(Q18&gt;0,ROUND(Q18*$R18%,),)</f>
        <v>0</v>
      </c>
      <c r="AW18" s="725">
        <f t="shared" ref="AW18:AW81" si="17">IF(X18="○",,IF(AND(W18&gt;0,R18&gt;0),ROUND(1/W18,1),IF(R18&gt;0,ROUND(1,1),)))</f>
        <v>0</v>
      </c>
      <c r="AX18" s="690"/>
      <c r="AY18" s="690"/>
    </row>
    <row r="19" spans="3:51" s="46" customFormat="1" ht="30.75" customHeight="1">
      <c r="C19" s="726">
        <v>2</v>
      </c>
      <c r="D19" s="679"/>
      <c r="E19" s="727"/>
      <c r="F19" s="728"/>
      <c r="G19" s="2023"/>
      <c r="H19" s="2024"/>
      <c r="I19" s="682"/>
      <c r="J19" s="729"/>
      <c r="K19" s="684"/>
      <c r="L19" s="685"/>
      <c r="M19" s="685"/>
      <c r="N19" s="685"/>
      <c r="O19" s="685"/>
      <c r="P19" s="685"/>
      <c r="Q19" s="685"/>
      <c r="R19" s="1045"/>
      <c r="S19" s="686"/>
      <c r="T19" s="730"/>
      <c r="U19" s="731"/>
      <c r="V19" s="721"/>
      <c r="W19" s="732"/>
      <c r="X19" s="733"/>
      <c r="Y19" s="641"/>
      <c r="Z19" s="674">
        <f t="shared" si="2"/>
        <v>0</v>
      </c>
      <c r="AA19" s="674">
        <f t="shared" si="3"/>
        <v>0</v>
      </c>
      <c r="AB19" s="674">
        <f t="shared" si="4"/>
        <v>0</v>
      </c>
      <c r="AC19" s="674">
        <f>IF(Z19=0,,VLOOKUP(Z19,リスト!DC:DD,2,0))</f>
        <v>0</v>
      </c>
      <c r="AD19" s="674">
        <f t="shared" si="5"/>
        <v>0</v>
      </c>
      <c r="AE19" s="675">
        <f>IF(AD19=0,,VLOOKUP(AD19,リスト!DK:DL,2,0))</f>
        <v>0</v>
      </c>
      <c r="AF19" s="674">
        <f>IF(Z19=0,,
IF(OR(リスト!$C$21="小麦",リスト!$C$21="二条大麦",リスト!$C$21="六条大麦",リスト!$C$21="はだか麦",リスト!$C$21="なたね"),IF(K19&lt;9,調査年-J19,調査年-J19-1),
IF(リスト!$C$21="さとうきび",IF(K19&gt;=4,調査年-J19,調査年-J19+1),
調査年-J19)))</f>
        <v>0</v>
      </c>
      <c r="AG19" s="676">
        <f t="shared" si="6"/>
        <v>0</v>
      </c>
      <c r="AH19" s="676">
        <f t="shared" si="7"/>
        <v>0</v>
      </c>
      <c r="AI19" s="676">
        <f t="shared" si="8"/>
        <v>0</v>
      </c>
      <c r="AJ19" s="676">
        <f t="shared" si="9"/>
        <v>0</v>
      </c>
      <c r="AK19" s="403"/>
      <c r="AL19" s="67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6">
        <f t="shared" si="10"/>
        <v>0</v>
      </c>
      <c r="AN19" s="676">
        <f t="shared" si="11"/>
        <v>0</v>
      </c>
      <c r="AO19" s="676">
        <f t="shared" si="12"/>
        <v>0</v>
      </c>
      <c r="AP19" s="67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6">
        <f t="shared" si="13"/>
        <v>0</v>
      </c>
      <c r="AR19" s="676">
        <f t="shared" si="14"/>
        <v>0</v>
      </c>
      <c r="AS19" s="676">
        <f t="shared" ref="AS19:AS82" si="18">IF(O19&gt;0,IF(AND(F19&lt;&gt;"[1]軽自動車",F19&lt;&gt;"[3]自動二輪・三輪"),ROUND(O19*R19%,),),)</f>
        <v>0</v>
      </c>
      <c r="AT19" s="676">
        <f t="shared" ref="AT19:AT82" si="19">IF(O19&gt;0,IF(OR(F19="[1]軽自動車",F19="[3]自動二輪・三輪"),ROUND(O19*R19%,),),)</f>
        <v>0</v>
      </c>
      <c r="AU19" s="676">
        <f t="shared" si="15"/>
        <v>0</v>
      </c>
      <c r="AV19" s="676">
        <f t="shared" si="16"/>
        <v>0</v>
      </c>
      <c r="AW19" s="725">
        <f t="shared" si="17"/>
        <v>0</v>
      </c>
      <c r="AX19" s="690"/>
      <c r="AY19" s="690"/>
    </row>
    <row r="20" spans="3:51" s="46" customFormat="1" ht="30.75" customHeight="1">
      <c r="C20" s="726">
        <v>3</v>
      </c>
      <c r="D20" s="691"/>
      <c r="E20" s="727"/>
      <c r="F20" s="728"/>
      <c r="G20" s="2023"/>
      <c r="H20" s="2024"/>
      <c r="I20" s="682"/>
      <c r="J20" s="729"/>
      <c r="K20" s="684"/>
      <c r="L20" s="685"/>
      <c r="M20" s="685"/>
      <c r="N20" s="685"/>
      <c r="O20" s="685"/>
      <c r="P20" s="685"/>
      <c r="Q20" s="685"/>
      <c r="R20" s="1045"/>
      <c r="S20" s="686"/>
      <c r="T20" s="730"/>
      <c r="U20" s="731"/>
      <c r="V20" s="721"/>
      <c r="W20" s="732"/>
      <c r="X20" s="733"/>
      <c r="Y20" s="641"/>
      <c r="Z20" s="674">
        <f t="shared" si="2"/>
        <v>0</v>
      </c>
      <c r="AA20" s="674">
        <f t="shared" si="3"/>
        <v>0</v>
      </c>
      <c r="AB20" s="674">
        <f t="shared" si="4"/>
        <v>0</v>
      </c>
      <c r="AC20" s="674">
        <f>IF(Z20=0,,VLOOKUP(Z20,リスト!DC:DD,2,0))</f>
        <v>0</v>
      </c>
      <c r="AD20" s="674">
        <f t="shared" si="5"/>
        <v>0</v>
      </c>
      <c r="AE20" s="675">
        <f>IF(AD20=0,,VLOOKUP(AD20,リスト!DK:DL,2,0))</f>
        <v>0</v>
      </c>
      <c r="AF20" s="674">
        <f>IF(Z20=0,,
IF(OR(リスト!$C$21="小麦",リスト!$C$21="二条大麦",リスト!$C$21="六条大麦",リスト!$C$21="はだか麦",リスト!$C$21="なたね"),IF(K20&lt;9,調査年-J20,調査年-J20-1),
IF(リスト!$C$21="さとうきび",IF(K20&gt;=4,調査年-J20,調査年-J20+1),
調査年-J20)))</f>
        <v>0</v>
      </c>
      <c r="AG20" s="676">
        <f t="shared" si="6"/>
        <v>0</v>
      </c>
      <c r="AH20" s="676">
        <f t="shared" si="7"/>
        <v>0</v>
      </c>
      <c r="AI20" s="676">
        <f t="shared" si="8"/>
        <v>0</v>
      </c>
      <c r="AJ20" s="676">
        <f t="shared" si="9"/>
        <v>0</v>
      </c>
      <c r="AK20" s="403"/>
      <c r="AL20" s="67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6">
        <f t="shared" si="10"/>
        <v>0</v>
      </c>
      <c r="AN20" s="676">
        <f t="shared" si="11"/>
        <v>0</v>
      </c>
      <c r="AO20" s="676">
        <f t="shared" si="12"/>
        <v>0</v>
      </c>
      <c r="AP20" s="67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6">
        <f t="shared" si="13"/>
        <v>0</v>
      </c>
      <c r="AR20" s="676">
        <f t="shared" si="14"/>
        <v>0</v>
      </c>
      <c r="AS20" s="676">
        <f t="shared" si="18"/>
        <v>0</v>
      </c>
      <c r="AT20" s="676">
        <f t="shared" si="19"/>
        <v>0</v>
      </c>
      <c r="AU20" s="676">
        <f t="shared" si="15"/>
        <v>0</v>
      </c>
      <c r="AV20" s="676">
        <f t="shared" si="16"/>
        <v>0</v>
      </c>
      <c r="AW20" s="725">
        <f t="shared" si="17"/>
        <v>0</v>
      </c>
      <c r="AX20" s="690"/>
      <c r="AY20" s="690"/>
    </row>
    <row r="21" spans="3:51" s="46" customFormat="1" ht="30.75" customHeight="1">
      <c r="C21" s="726">
        <v>4</v>
      </c>
      <c r="D21" s="691"/>
      <c r="E21" s="727"/>
      <c r="F21" s="728"/>
      <c r="G21" s="2023"/>
      <c r="H21" s="2024"/>
      <c r="I21" s="683"/>
      <c r="J21" s="729"/>
      <c r="K21" s="684"/>
      <c r="L21" s="685"/>
      <c r="M21" s="685"/>
      <c r="N21" s="685"/>
      <c r="O21" s="685"/>
      <c r="P21" s="685"/>
      <c r="Q21" s="685"/>
      <c r="R21" s="1045"/>
      <c r="S21" s="686"/>
      <c r="T21" s="730"/>
      <c r="U21" s="731"/>
      <c r="V21" s="721"/>
      <c r="W21" s="732"/>
      <c r="X21" s="733"/>
      <c r="Y21" s="641"/>
      <c r="Z21" s="674">
        <f t="shared" si="2"/>
        <v>0</v>
      </c>
      <c r="AA21" s="674">
        <f t="shared" si="3"/>
        <v>0</v>
      </c>
      <c r="AB21" s="674">
        <f t="shared" si="4"/>
        <v>0</v>
      </c>
      <c r="AC21" s="674">
        <f>IF(Z21=0,,VLOOKUP(Z21,リスト!DC:DD,2,0))</f>
        <v>0</v>
      </c>
      <c r="AD21" s="674">
        <f t="shared" si="5"/>
        <v>0</v>
      </c>
      <c r="AE21" s="675">
        <f>IF(AD21=0,,VLOOKUP(AD21,リスト!DK:DL,2,0))</f>
        <v>0</v>
      </c>
      <c r="AF21" s="674">
        <f>IF(Z21=0,,
IF(OR(リスト!$C$21="小麦",リスト!$C$21="二条大麦",リスト!$C$21="六条大麦",リスト!$C$21="はだか麦",リスト!$C$21="なたね"),IF(K21&lt;9,調査年-J21,調査年-J21-1),
IF(リスト!$C$21="さとうきび",IF(K21&gt;=4,調査年-J21,調査年-J21+1),
調査年-J21)))</f>
        <v>0</v>
      </c>
      <c r="AG21" s="676">
        <f t="shared" si="6"/>
        <v>0</v>
      </c>
      <c r="AH21" s="676">
        <f t="shared" si="7"/>
        <v>0</v>
      </c>
      <c r="AI21" s="676">
        <f t="shared" si="8"/>
        <v>0</v>
      </c>
      <c r="AJ21" s="676">
        <f t="shared" si="9"/>
        <v>0</v>
      </c>
      <c r="AK21" s="403"/>
      <c r="AL21" s="67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6">
        <f t="shared" si="10"/>
        <v>0</v>
      </c>
      <c r="AN21" s="676">
        <f t="shared" si="11"/>
        <v>0</v>
      </c>
      <c r="AO21" s="676">
        <f t="shared" si="12"/>
        <v>0</v>
      </c>
      <c r="AP21" s="67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6">
        <f t="shared" si="13"/>
        <v>0</v>
      </c>
      <c r="AR21" s="676">
        <f t="shared" si="14"/>
        <v>0</v>
      </c>
      <c r="AS21" s="676">
        <f t="shared" si="18"/>
        <v>0</v>
      </c>
      <c r="AT21" s="676">
        <f t="shared" si="19"/>
        <v>0</v>
      </c>
      <c r="AU21" s="676">
        <f t="shared" si="15"/>
        <v>0</v>
      </c>
      <c r="AV21" s="676">
        <f t="shared" si="16"/>
        <v>0</v>
      </c>
      <c r="AW21" s="725">
        <f t="shared" si="17"/>
        <v>0</v>
      </c>
      <c r="AX21" s="690"/>
      <c r="AY21" s="690"/>
    </row>
    <row r="22" spans="3:51" s="46" customFormat="1" ht="30.75" customHeight="1">
      <c r="C22" s="726">
        <v>5</v>
      </c>
      <c r="D22" s="691"/>
      <c r="E22" s="727"/>
      <c r="F22" s="728"/>
      <c r="G22" s="2023"/>
      <c r="H22" s="2024"/>
      <c r="I22" s="683"/>
      <c r="J22" s="729"/>
      <c r="K22" s="684"/>
      <c r="L22" s="685"/>
      <c r="M22" s="685"/>
      <c r="N22" s="685"/>
      <c r="O22" s="685"/>
      <c r="P22" s="685"/>
      <c r="Q22" s="685"/>
      <c r="R22" s="1045"/>
      <c r="S22" s="686"/>
      <c r="T22" s="730"/>
      <c r="U22" s="731"/>
      <c r="V22" s="721"/>
      <c r="W22" s="732"/>
      <c r="X22" s="733"/>
      <c r="Z22" s="674">
        <f t="shared" si="2"/>
        <v>0</v>
      </c>
      <c r="AA22" s="674">
        <f t="shared" si="3"/>
        <v>0</v>
      </c>
      <c r="AB22" s="674">
        <f t="shared" si="4"/>
        <v>0</v>
      </c>
      <c r="AC22" s="674">
        <f>IF(Z22=0,,VLOOKUP(Z22,リスト!DC:DD,2,0))</f>
        <v>0</v>
      </c>
      <c r="AD22" s="674">
        <f t="shared" si="5"/>
        <v>0</v>
      </c>
      <c r="AE22" s="675">
        <f>IF(AD22=0,,VLOOKUP(AD22,リスト!DK:DL,2,0))</f>
        <v>0</v>
      </c>
      <c r="AF22" s="674">
        <f>IF(Z22=0,,
IF(OR(リスト!$C$21="小麦",リスト!$C$21="二条大麦",リスト!$C$21="六条大麦",リスト!$C$21="はだか麦",リスト!$C$21="なたね"),IF(K22&lt;9,調査年-J22,調査年-J22-1),
IF(リスト!$C$21="さとうきび",IF(K22&gt;=4,調査年-J22,調査年-J22+1),
調査年-J22)))</f>
        <v>0</v>
      </c>
      <c r="AG22" s="676">
        <f t="shared" si="6"/>
        <v>0</v>
      </c>
      <c r="AH22" s="676">
        <f t="shared" si="7"/>
        <v>0</v>
      </c>
      <c r="AI22" s="676">
        <f t="shared" si="8"/>
        <v>0</v>
      </c>
      <c r="AJ22" s="676">
        <f t="shared" si="9"/>
        <v>0</v>
      </c>
      <c r="AK22" s="403"/>
      <c r="AL22" s="67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6">
        <f t="shared" si="10"/>
        <v>0</v>
      </c>
      <c r="AN22" s="676">
        <f t="shared" si="11"/>
        <v>0</v>
      </c>
      <c r="AO22" s="676">
        <f t="shared" si="12"/>
        <v>0</v>
      </c>
      <c r="AP22" s="67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6">
        <f t="shared" si="13"/>
        <v>0</v>
      </c>
      <c r="AR22" s="676">
        <f t="shared" si="14"/>
        <v>0</v>
      </c>
      <c r="AS22" s="676">
        <f t="shared" si="18"/>
        <v>0</v>
      </c>
      <c r="AT22" s="676">
        <f t="shared" si="19"/>
        <v>0</v>
      </c>
      <c r="AU22" s="676">
        <f t="shared" si="15"/>
        <v>0</v>
      </c>
      <c r="AV22" s="676">
        <f t="shared" si="16"/>
        <v>0</v>
      </c>
      <c r="AW22" s="725">
        <f t="shared" si="17"/>
        <v>0</v>
      </c>
      <c r="AX22" s="690"/>
      <c r="AY22" s="690"/>
    </row>
    <row r="23" spans="3:51" s="46" customFormat="1" ht="30.75" customHeight="1">
      <c r="C23" s="726">
        <v>6</v>
      </c>
      <c r="D23" s="691"/>
      <c r="E23" s="727"/>
      <c r="F23" s="728"/>
      <c r="G23" s="2023"/>
      <c r="H23" s="2024"/>
      <c r="I23" s="683"/>
      <c r="J23" s="729"/>
      <c r="K23" s="684"/>
      <c r="L23" s="685"/>
      <c r="M23" s="685"/>
      <c r="N23" s="685"/>
      <c r="O23" s="685"/>
      <c r="P23" s="685"/>
      <c r="Q23" s="685"/>
      <c r="R23" s="1045"/>
      <c r="S23" s="686"/>
      <c r="T23" s="730"/>
      <c r="U23" s="731"/>
      <c r="V23" s="721"/>
      <c r="W23" s="732"/>
      <c r="X23" s="733"/>
      <c r="Y23" s="641"/>
      <c r="Z23" s="674">
        <f t="shared" si="2"/>
        <v>0</v>
      </c>
      <c r="AA23" s="674">
        <f t="shared" si="3"/>
        <v>0</v>
      </c>
      <c r="AB23" s="674">
        <f t="shared" si="4"/>
        <v>0</v>
      </c>
      <c r="AC23" s="674">
        <f>IF(Z23=0,,VLOOKUP(Z23,リスト!DC:DD,2,0))</f>
        <v>0</v>
      </c>
      <c r="AD23" s="674">
        <f t="shared" si="5"/>
        <v>0</v>
      </c>
      <c r="AE23" s="675">
        <f>IF(AD23=0,,VLOOKUP(AD23,リスト!DK:DL,2,0))</f>
        <v>0</v>
      </c>
      <c r="AF23" s="674">
        <f>IF(Z23=0,,
IF(OR(リスト!$C$21="小麦",リスト!$C$21="二条大麦",リスト!$C$21="六条大麦",リスト!$C$21="はだか麦",リスト!$C$21="なたね"),IF(K23&lt;9,調査年-J23,調査年-J23-1),
IF(リスト!$C$21="さとうきび",IF(K23&gt;=4,調査年-J23,調査年-J23+1),
調査年-J23)))</f>
        <v>0</v>
      </c>
      <c r="AG23" s="676">
        <f t="shared" si="6"/>
        <v>0</v>
      </c>
      <c r="AH23" s="676">
        <f t="shared" si="7"/>
        <v>0</v>
      </c>
      <c r="AI23" s="676">
        <f t="shared" si="8"/>
        <v>0</v>
      </c>
      <c r="AJ23" s="676">
        <f t="shared" si="9"/>
        <v>0</v>
      </c>
      <c r="AK23" s="403"/>
      <c r="AL23" s="67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6">
        <f t="shared" si="10"/>
        <v>0</v>
      </c>
      <c r="AN23" s="676">
        <f t="shared" si="11"/>
        <v>0</v>
      </c>
      <c r="AO23" s="676">
        <f t="shared" si="12"/>
        <v>0</v>
      </c>
      <c r="AP23" s="67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6">
        <f t="shared" si="13"/>
        <v>0</v>
      </c>
      <c r="AR23" s="676">
        <f t="shared" si="14"/>
        <v>0</v>
      </c>
      <c r="AS23" s="676">
        <f t="shared" si="18"/>
        <v>0</v>
      </c>
      <c r="AT23" s="676">
        <f t="shared" si="19"/>
        <v>0</v>
      </c>
      <c r="AU23" s="676">
        <f t="shared" si="15"/>
        <v>0</v>
      </c>
      <c r="AV23" s="676">
        <f t="shared" si="16"/>
        <v>0</v>
      </c>
      <c r="AW23" s="725">
        <f t="shared" si="17"/>
        <v>0</v>
      </c>
      <c r="AX23" s="690"/>
      <c r="AY23" s="690"/>
    </row>
    <row r="24" spans="3:51" s="46" customFormat="1" ht="30.75" customHeight="1">
      <c r="C24" s="726">
        <v>7</v>
      </c>
      <c r="D24" s="691"/>
      <c r="E24" s="727"/>
      <c r="F24" s="728"/>
      <c r="G24" s="2023"/>
      <c r="H24" s="2024"/>
      <c r="I24" s="683"/>
      <c r="J24" s="729"/>
      <c r="K24" s="684"/>
      <c r="L24" s="685"/>
      <c r="M24" s="685"/>
      <c r="N24" s="685"/>
      <c r="O24" s="685"/>
      <c r="P24" s="685"/>
      <c r="Q24" s="685"/>
      <c r="R24" s="1045"/>
      <c r="S24" s="686"/>
      <c r="T24" s="730"/>
      <c r="U24" s="731"/>
      <c r="V24" s="721"/>
      <c r="W24" s="732"/>
      <c r="X24" s="733"/>
      <c r="Y24" s="641"/>
      <c r="Z24" s="674">
        <f t="shared" si="2"/>
        <v>0</v>
      </c>
      <c r="AA24" s="674">
        <f t="shared" si="3"/>
        <v>0</v>
      </c>
      <c r="AB24" s="674">
        <f t="shared" si="4"/>
        <v>0</v>
      </c>
      <c r="AC24" s="674">
        <f>IF(Z24=0,,VLOOKUP(Z24,リスト!DC:DD,2,0))</f>
        <v>0</v>
      </c>
      <c r="AD24" s="674">
        <f t="shared" si="5"/>
        <v>0</v>
      </c>
      <c r="AE24" s="675">
        <f>IF(AD24=0,,VLOOKUP(AD24,リスト!DK:DL,2,0))</f>
        <v>0</v>
      </c>
      <c r="AF24" s="674">
        <f>IF(Z24=0,,
IF(OR(リスト!$C$21="小麦",リスト!$C$21="二条大麦",リスト!$C$21="六条大麦",リスト!$C$21="はだか麦",リスト!$C$21="なたね"),IF(K24&lt;9,調査年-J24,調査年-J24-1),
IF(リスト!$C$21="さとうきび",IF(K24&gt;=4,調査年-J24,調査年-J24+1),
調査年-J24)))</f>
        <v>0</v>
      </c>
      <c r="AG24" s="676">
        <f t="shared" si="6"/>
        <v>0</v>
      </c>
      <c r="AH24" s="676">
        <f t="shared" si="7"/>
        <v>0</v>
      </c>
      <c r="AI24" s="676">
        <f t="shared" si="8"/>
        <v>0</v>
      </c>
      <c r="AJ24" s="676">
        <f t="shared" si="9"/>
        <v>0</v>
      </c>
      <c r="AK24" s="403"/>
      <c r="AL24" s="67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6">
        <f t="shared" si="10"/>
        <v>0</v>
      </c>
      <c r="AN24" s="676">
        <f t="shared" si="11"/>
        <v>0</v>
      </c>
      <c r="AO24" s="676">
        <f t="shared" si="12"/>
        <v>0</v>
      </c>
      <c r="AP24" s="67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6">
        <f t="shared" si="13"/>
        <v>0</v>
      </c>
      <c r="AR24" s="676">
        <f t="shared" si="14"/>
        <v>0</v>
      </c>
      <c r="AS24" s="676">
        <f t="shared" si="18"/>
        <v>0</v>
      </c>
      <c r="AT24" s="676">
        <f t="shared" si="19"/>
        <v>0</v>
      </c>
      <c r="AU24" s="676">
        <f t="shared" si="15"/>
        <v>0</v>
      </c>
      <c r="AV24" s="676">
        <f t="shared" si="16"/>
        <v>0</v>
      </c>
      <c r="AW24" s="725">
        <f t="shared" si="17"/>
        <v>0</v>
      </c>
      <c r="AX24" s="690"/>
      <c r="AY24" s="690"/>
    </row>
    <row r="25" spans="3:51" s="46" customFormat="1" ht="30.75" customHeight="1">
      <c r="C25" s="726">
        <v>8</v>
      </c>
      <c r="D25" s="691"/>
      <c r="E25" s="727"/>
      <c r="F25" s="728"/>
      <c r="G25" s="2023"/>
      <c r="H25" s="2024"/>
      <c r="I25" s="683"/>
      <c r="J25" s="729"/>
      <c r="K25" s="684"/>
      <c r="L25" s="685"/>
      <c r="M25" s="685"/>
      <c r="N25" s="685"/>
      <c r="O25" s="685"/>
      <c r="P25" s="685"/>
      <c r="Q25" s="685"/>
      <c r="R25" s="1045"/>
      <c r="S25" s="686"/>
      <c r="T25" s="730"/>
      <c r="U25" s="731"/>
      <c r="V25" s="721"/>
      <c r="W25" s="732"/>
      <c r="X25" s="733"/>
      <c r="Y25" s="51"/>
      <c r="Z25" s="674">
        <f t="shared" si="2"/>
        <v>0</v>
      </c>
      <c r="AA25" s="674">
        <f t="shared" si="3"/>
        <v>0</v>
      </c>
      <c r="AB25" s="674">
        <f t="shared" si="4"/>
        <v>0</v>
      </c>
      <c r="AC25" s="674">
        <f>IF(Z25=0,,VLOOKUP(Z25,リスト!DC:DD,2,0))</f>
        <v>0</v>
      </c>
      <c r="AD25" s="674">
        <f t="shared" si="5"/>
        <v>0</v>
      </c>
      <c r="AE25" s="675">
        <f>IF(AD25=0,,VLOOKUP(AD25,リスト!DK:DL,2,0))</f>
        <v>0</v>
      </c>
      <c r="AF25" s="674">
        <f>IF(Z25=0,,
IF(OR(リスト!$C$21="小麦",リスト!$C$21="二条大麦",リスト!$C$21="六条大麦",リスト!$C$21="はだか麦",リスト!$C$21="なたね"),IF(K25&lt;9,調査年-J25,調査年-J25-1),
IF(リスト!$C$21="さとうきび",IF(K25&gt;=4,調査年-J25,調査年-J25+1),
調査年-J25)))</f>
        <v>0</v>
      </c>
      <c r="AG25" s="676">
        <f t="shared" si="6"/>
        <v>0</v>
      </c>
      <c r="AH25" s="676">
        <f t="shared" si="7"/>
        <v>0</v>
      </c>
      <c r="AI25" s="676">
        <f t="shared" si="8"/>
        <v>0</v>
      </c>
      <c r="AJ25" s="676">
        <f t="shared" si="9"/>
        <v>0</v>
      </c>
      <c r="AK25" s="403"/>
      <c r="AL25" s="67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6">
        <f t="shared" si="10"/>
        <v>0</v>
      </c>
      <c r="AN25" s="676">
        <f t="shared" si="11"/>
        <v>0</v>
      </c>
      <c r="AO25" s="676">
        <f t="shared" si="12"/>
        <v>0</v>
      </c>
      <c r="AP25" s="67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6">
        <f t="shared" si="13"/>
        <v>0</v>
      </c>
      <c r="AR25" s="676">
        <f t="shared" si="14"/>
        <v>0</v>
      </c>
      <c r="AS25" s="676">
        <f t="shared" si="18"/>
        <v>0</v>
      </c>
      <c r="AT25" s="676">
        <f t="shared" si="19"/>
        <v>0</v>
      </c>
      <c r="AU25" s="676">
        <f t="shared" si="15"/>
        <v>0</v>
      </c>
      <c r="AV25" s="676">
        <f t="shared" si="16"/>
        <v>0</v>
      </c>
      <c r="AW25" s="725">
        <f t="shared" si="17"/>
        <v>0</v>
      </c>
      <c r="AX25" s="690"/>
      <c r="AY25" s="690"/>
    </row>
    <row r="26" spans="3:51" s="46" customFormat="1" ht="30.75" customHeight="1">
      <c r="C26" s="726">
        <v>9</v>
      </c>
      <c r="D26" s="691"/>
      <c r="E26" s="727"/>
      <c r="F26" s="728"/>
      <c r="G26" s="2023"/>
      <c r="H26" s="2024"/>
      <c r="I26" s="683"/>
      <c r="J26" s="729"/>
      <c r="K26" s="684"/>
      <c r="L26" s="685"/>
      <c r="M26" s="685"/>
      <c r="N26" s="685"/>
      <c r="O26" s="685"/>
      <c r="P26" s="685"/>
      <c r="Q26" s="685"/>
      <c r="R26" s="1045"/>
      <c r="S26" s="686"/>
      <c r="T26" s="730"/>
      <c r="U26" s="731"/>
      <c r="V26" s="721"/>
      <c r="W26" s="732"/>
      <c r="X26" s="733"/>
      <c r="Y26" s="51"/>
      <c r="Z26" s="674">
        <f t="shared" si="2"/>
        <v>0</v>
      </c>
      <c r="AA26" s="674">
        <f t="shared" si="3"/>
        <v>0</v>
      </c>
      <c r="AB26" s="674">
        <f t="shared" si="4"/>
        <v>0</v>
      </c>
      <c r="AC26" s="674">
        <f>IF(Z26=0,,VLOOKUP(Z26,リスト!DC:DD,2,0))</f>
        <v>0</v>
      </c>
      <c r="AD26" s="674">
        <f t="shared" si="5"/>
        <v>0</v>
      </c>
      <c r="AE26" s="675">
        <f>IF(AD26=0,,VLOOKUP(AD26,リスト!DK:DL,2,0))</f>
        <v>0</v>
      </c>
      <c r="AF26" s="674">
        <f>IF(Z26=0,,
IF(OR(リスト!$C$21="小麦",リスト!$C$21="二条大麦",リスト!$C$21="六条大麦",リスト!$C$21="はだか麦",リスト!$C$21="なたね"),IF(K26&lt;9,調査年-J26,調査年-J26-1),
IF(リスト!$C$21="さとうきび",IF(K26&gt;=4,調査年-J26,調査年-J26+1),
調査年-J26)))</f>
        <v>0</v>
      </c>
      <c r="AG26" s="676">
        <f t="shared" si="6"/>
        <v>0</v>
      </c>
      <c r="AH26" s="676">
        <f t="shared" si="7"/>
        <v>0</v>
      </c>
      <c r="AI26" s="676">
        <f t="shared" si="8"/>
        <v>0</v>
      </c>
      <c r="AJ26" s="676">
        <f t="shared" si="9"/>
        <v>0</v>
      </c>
      <c r="AK26" s="403"/>
      <c r="AL26" s="67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6">
        <f t="shared" si="10"/>
        <v>0</v>
      </c>
      <c r="AN26" s="676">
        <f t="shared" si="11"/>
        <v>0</v>
      </c>
      <c r="AO26" s="676">
        <f t="shared" si="12"/>
        <v>0</v>
      </c>
      <c r="AP26" s="67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6">
        <f t="shared" si="13"/>
        <v>0</v>
      </c>
      <c r="AR26" s="676">
        <f t="shared" si="14"/>
        <v>0</v>
      </c>
      <c r="AS26" s="676">
        <f t="shared" si="18"/>
        <v>0</v>
      </c>
      <c r="AT26" s="676">
        <f t="shared" si="19"/>
        <v>0</v>
      </c>
      <c r="AU26" s="676">
        <f t="shared" si="15"/>
        <v>0</v>
      </c>
      <c r="AV26" s="676">
        <f t="shared" si="16"/>
        <v>0</v>
      </c>
      <c r="AW26" s="725">
        <f t="shared" si="17"/>
        <v>0</v>
      </c>
      <c r="AX26" s="690"/>
      <c r="AY26" s="690"/>
    </row>
    <row r="27" spans="3:51" s="46" customFormat="1" ht="30.75" customHeight="1">
      <c r="C27" s="726">
        <v>10</v>
      </c>
      <c r="D27" s="691"/>
      <c r="E27" s="727"/>
      <c r="F27" s="728"/>
      <c r="G27" s="2023"/>
      <c r="H27" s="2024"/>
      <c r="I27" s="683"/>
      <c r="J27" s="729"/>
      <c r="K27" s="684"/>
      <c r="L27" s="685"/>
      <c r="M27" s="685"/>
      <c r="N27" s="685"/>
      <c r="O27" s="685"/>
      <c r="P27" s="685"/>
      <c r="Q27" s="685"/>
      <c r="R27" s="1045"/>
      <c r="S27" s="686"/>
      <c r="T27" s="730"/>
      <c r="U27" s="731"/>
      <c r="V27" s="721"/>
      <c r="W27" s="732"/>
      <c r="X27" s="733"/>
      <c r="Y27" s="51"/>
      <c r="Z27" s="674">
        <f t="shared" si="2"/>
        <v>0</v>
      </c>
      <c r="AA27" s="674">
        <f t="shared" si="3"/>
        <v>0</v>
      </c>
      <c r="AB27" s="674">
        <f t="shared" si="4"/>
        <v>0</v>
      </c>
      <c r="AC27" s="674">
        <f>IF(Z27=0,,VLOOKUP(Z27,リスト!DC:DD,2,0))</f>
        <v>0</v>
      </c>
      <c r="AD27" s="674">
        <f t="shared" si="5"/>
        <v>0</v>
      </c>
      <c r="AE27" s="675">
        <f>IF(AD27=0,,VLOOKUP(AD27,リスト!DK:DL,2,0))</f>
        <v>0</v>
      </c>
      <c r="AF27" s="674">
        <f>IF(Z27=0,,
IF(OR(リスト!$C$21="小麦",リスト!$C$21="二条大麦",リスト!$C$21="六条大麦",リスト!$C$21="はだか麦",リスト!$C$21="なたね"),IF(K27&lt;9,調査年-J27,調査年-J27-1),
IF(リスト!$C$21="さとうきび",IF(K27&gt;=4,調査年-J27,調査年-J27+1),
調査年-J27)))</f>
        <v>0</v>
      </c>
      <c r="AG27" s="676">
        <f t="shared" si="6"/>
        <v>0</v>
      </c>
      <c r="AH27" s="676">
        <f t="shared" si="7"/>
        <v>0</v>
      </c>
      <c r="AI27" s="676">
        <f t="shared" si="8"/>
        <v>0</v>
      </c>
      <c r="AJ27" s="676">
        <f t="shared" si="9"/>
        <v>0</v>
      </c>
      <c r="AK27" s="403"/>
      <c r="AL27" s="67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6">
        <f t="shared" si="10"/>
        <v>0</v>
      </c>
      <c r="AN27" s="676">
        <f t="shared" si="11"/>
        <v>0</v>
      </c>
      <c r="AO27" s="676">
        <f t="shared" si="12"/>
        <v>0</v>
      </c>
      <c r="AP27" s="67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6">
        <f t="shared" si="13"/>
        <v>0</v>
      </c>
      <c r="AR27" s="676">
        <f t="shared" si="14"/>
        <v>0</v>
      </c>
      <c r="AS27" s="676">
        <f t="shared" si="18"/>
        <v>0</v>
      </c>
      <c r="AT27" s="676">
        <f t="shared" si="19"/>
        <v>0</v>
      </c>
      <c r="AU27" s="676">
        <f t="shared" si="15"/>
        <v>0</v>
      </c>
      <c r="AV27" s="676">
        <f t="shared" si="16"/>
        <v>0</v>
      </c>
      <c r="AW27" s="725">
        <f t="shared" si="17"/>
        <v>0</v>
      </c>
      <c r="AX27" s="690"/>
      <c r="AY27" s="690"/>
    </row>
    <row r="28" spans="3:51" s="46" customFormat="1" ht="30.75" customHeight="1">
      <c r="C28" s="726">
        <v>11</v>
      </c>
      <c r="D28" s="691"/>
      <c r="E28" s="727"/>
      <c r="F28" s="728"/>
      <c r="G28" s="2023"/>
      <c r="H28" s="2024"/>
      <c r="I28" s="683"/>
      <c r="J28" s="729"/>
      <c r="K28" s="684"/>
      <c r="L28" s="685"/>
      <c r="M28" s="685"/>
      <c r="N28" s="685"/>
      <c r="O28" s="685"/>
      <c r="P28" s="685"/>
      <c r="Q28" s="685"/>
      <c r="R28" s="1045"/>
      <c r="S28" s="686"/>
      <c r="T28" s="730"/>
      <c r="U28" s="731"/>
      <c r="V28" s="721"/>
      <c r="W28" s="732"/>
      <c r="X28" s="733"/>
      <c r="Y28" s="51"/>
      <c r="Z28" s="674">
        <f t="shared" si="2"/>
        <v>0</v>
      </c>
      <c r="AA28" s="674">
        <f t="shared" si="3"/>
        <v>0</v>
      </c>
      <c r="AB28" s="674">
        <f t="shared" si="4"/>
        <v>0</v>
      </c>
      <c r="AC28" s="674">
        <f>IF(Z28=0,,VLOOKUP(Z28,リスト!DC:DD,2,0))</f>
        <v>0</v>
      </c>
      <c r="AD28" s="674">
        <f t="shared" si="5"/>
        <v>0</v>
      </c>
      <c r="AE28" s="675">
        <f>IF(AD28=0,,VLOOKUP(AD28,リスト!DK:DL,2,0))</f>
        <v>0</v>
      </c>
      <c r="AF28" s="674">
        <f>IF(Z28=0,,
IF(OR(リスト!$C$21="小麦",リスト!$C$21="二条大麦",リスト!$C$21="六条大麦",リスト!$C$21="はだか麦",リスト!$C$21="なたね"),IF(K28&lt;9,調査年-J28,調査年-J28-1),
IF(リスト!$C$21="さとうきび",IF(K28&gt;=4,調査年-J28,調査年-J28+1),
調査年-J28)))</f>
        <v>0</v>
      </c>
      <c r="AG28" s="676">
        <f t="shared" si="6"/>
        <v>0</v>
      </c>
      <c r="AH28" s="676">
        <f t="shared" si="7"/>
        <v>0</v>
      </c>
      <c r="AI28" s="676">
        <f t="shared" si="8"/>
        <v>0</v>
      </c>
      <c r="AJ28" s="676">
        <f t="shared" si="9"/>
        <v>0</v>
      </c>
      <c r="AK28" s="403"/>
      <c r="AL28" s="67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6">
        <f t="shared" si="10"/>
        <v>0</v>
      </c>
      <c r="AN28" s="676">
        <f t="shared" si="11"/>
        <v>0</v>
      </c>
      <c r="AO28" s="676">
        <f t="shared" si="12"/>
        <v>0</v>
      </c>
      <c r="AP28" s="67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6">
        <f t="shared" si="13"/>
        <v>0</v>
      </c>
      <c r="AR28" s="676">
        <f t="shared" si="14"/>
        <v>0</v>
      </c>
      <c r="AS28" s="676">
        <f t="shared" si="18"/>
        <v>0</v>
      </c>
      <c r="AT28" s="676">
        <f t="shared" si="19"/>
        <v>0</v>
      </c>
      <c r="AU28" s="676">
        <f t="shared" si="15"/>
        <v>0</v>
      </c>
      <c r="AV28" s="676">
        <f t="shared" si="16"/>
        <v>0</v>
      </c>
      <c r="AW28" s="725">
        <f t="shared" si="17"/>
        <v>0</v>
      </c>
      <c r="AX28" s="690"/>
      <c r="AY28" s="690"/>
    </row>
    <row r="29" spans="3:51" s="46" customFormat="1" ht="30.75" customHeight="1">
      <c r="C29" s="726">
        <v>12</v>
      </c>
      <c r="D29" s="691"/>
      <c r="E29" s="727"/>
      <c r="F29" s="728"/>
      <c r="G29" s="2023"/>
      <c r="H29" s="2024"/>
      <c r="I29" s="683"/>
      <c r="J29" s="729"/>
      <c r="K29" s="684"/>
      <c r="L29" s="685"/>
      <c r="M29" s="685"/>
      <c r="N29" s="685"/>
      <c r="O29" s="685"/>
      <c r="P29" s="685"/>
      <c r="Q29" s="685"/>
      <c r="R29" s="1045"/>
      <c r="S29" s="686"/>
      <c r="T29" s="730"/>
      <c r="U29" s="731"/>
      <c r="V29" s="721"/>
      <c r="W29" s="732"/>
      <c r="X29" s="733"/>
      <c r="Y29" s="51"/>
      <c r="Z29" s="674">
        <f t="shared" si="2"/>
        <v>0</v>
      </c>
      <c r="AA29" s="674">
        <f t="shared" si="3"/>
        <v>0</v>
      </c>
      <c r="AB29" s="674">
        <f t="shared" si="4"/>
        <v>0</v>
      </c>
      <c r="AC29" s="674">
        <f>IF(Z29=0,,VLOOKUP(Z29,リスト!DC:DD,2,0))</f>
        <v>0</v>
      </c>
      <c r="AD29" s="674">
        <f t="shared" si="5"/>
        <v>0</v>
      </c>
      <c r="AE29" s="675">
        <f>IF(AD29=0,,VLOOKUP(AD29,リスト!DK:DL,2,0))</f>
        <v>0</v>
      </c>
      <c r="AF29" s="674">
        <f>IF(Z29=0,,
IF(OR(リスト!$C$21="小麦",リスト!$C$21="二条大麦",リスト!$C$21="六条大麦",リスト!$C$21="はだか麦",リスト!$C$21="なたね"),IF(K29&lt;9,調査年-J29,調査年-J29-1),
IF(リスト!$C$21="さとうきび",IF(K29&gt;=4,調査年-J29,調査年-J29+1),
調査年-J29)))</f>
        <v>0</v>
      </c>
      <c r="AG29" s="676">
        <f t="shared" si="6"/>
        <v>0</v>
      </c>
      <c r="AH29" s="676">
        <f t="shared" si="7"/>
        <v>0</v>
      </c>
      <c r="AI29" s="676">
        <f t="shared" si="8"/>
        <v>0</v>
      </c>
      <c r="AJ29" s="676">
        <f t="shared" si="9"/>
        <v>0</v>
      </c>
      <c r="AK29" s="403"/>
      <c r="AL29" s="67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6">
        <f t="shared" si="10"/>
        <v>0</v>
      </c>
      <c r="AN29" s="676">
        <f t="shared" si="11"/>
        <v>0</v>
      </c>
      <c r="AO29" s="676">
        <f t="shared" si="12"/>
        <v>0</v>
      </c>
      <c r="AP29" s="67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6">
        <f t="shared" si="13"/>
        <v>0</v>
      </c>
      <c r="AR29" s="676">
        <f t="shared" si="14"/>
        <v>0</v>
      </c>
      <c r="AS29" s="676">
        <f t="shared" si="18"/>
        <v>0</v>
      </c>
      <c r="AT29" s="676">
        <f t="shared" si="19"/>
        <v>0</v>
      </c>
      <c r="AU29" s="676">
        <f t="shared" si="15"/>
        <v>0</v>
      </c>
      <c r="AV29" s="676">
        <f t="shared" si="16"/>
        <v>0</v>
      </c>
      <c r="AW29" s="725">
        <f t="shared" si="17"/>
        <v>0</v>
      </c>
      <c r="AX29" s="690"/>
      <c r="AY29" s="690"/>
    </row>
    <row r="30" spans="3:51" s="46" customFormat="1" ht="30.75" customHeight="1">
      <c r="C30" s="726">
        <v>13</v>
      </c>
      <c r="D30" s="691"/>
      <c r="E30" s="727"/>
      <c r="F30" s="728"/>
      <c r="G30" s="2023"/>
      <c r="H30" s="2024"/>
      <c r="I30" s="683"/>
      <c r="J30" s="729"/>
      <c r="K30" s="684"/>
      <c r="L30" s="685"/>
      <c r="M30" s="685"/>
      <c r="N30" s="685"/>
      <c r="O30" s="685"/>
      <c r="P30" s="685"/>
      <c r="Q30" s="685"/>
      <c r="R30" s="1045"/>
      <c r="S30" s="686"/>
      <c r="T30" s="730"/>
      <c r="U30" s="731"/>
      <c r="V30" s="721"/>
      <c r="W30" s="732"/>
      <c r="X30" s="733"/>
      <c r="Y30" s="51"/>
      <c r="Z30" s="674">
        <f t="shared" si="2"/>
        <v>0</v>
      </c>
      <c r="AA30" s="674">
        <f t="shared" si="3"/>
        <v>0</v>
      </c>
      <c r="AB30" s="674">
        <f t="shared" si="4"/>
        <v>0</v>
      </c>
      <c r="AC30" s="674">
        <f>IF(Z30=0,,VLOOKUP(Z30,リスト!DC:DD,2,0))</f>
        <v>0</v>
      </c>
      <c r="AD30" s="674">
        <f t="shared" si="5"/>
        <v>0</v>
      </c>
      <c r="AE30" s="675">
        <f>IF(AD30=0,,VLOOKUP(AD30,リスト!DK:DL,2,0))</f>
        <v>0</v>
      </c>
      <c r="AF30" s="674">
        <f>IF(Z30=0,,
IF(OR(リスト!$C$21="小麦",リスト!$C$21="二条大麦",リスト!$C$21="六条大麦",リスト!$C$21="はだか麦",リスト!$C$21="なたね"),IF(K30&lt;9,調査年-J30,調査年-J30-1),
IF(リスト!$C$21="さとうきび",IF(K30&gt;=4,調査年-J30,調査年-J30+1),
調査年-J30)))</f>
        <v>0</v>
      </c>
      <c r="AG30" s="676">
        <f t="shared" si="6"/>
        <v>0</v>
      </c>
      <c r="AH30" s="676">
        <f t="shared" si="7"/>
        <v>0</v>
      </c>
      <c r="AI30" s="676">
        <f t="shared" si="8"/>
        <v>0</v>
      </c>
      <c r="AJ30" s="676">
        <f t="shared" si="9"/>
        <v>0</v>
      </c>
      <c r="AK30" s="403"/>
      <c r="AL30" s="67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6">
        <f t="shared" si="10"/>
        <v>0</v>
      </c>
      <c r="AN30" s="676">
        <f t="shared" si="11"/>
        <v>0</v>
      </c>
      <c r="AO30" s="676">
        <f t="shared" si="12"/>
        <v>0</v>
      </c>
      <c r="AP30" s="67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6">
        <f t="shared" si="13"/>
        <v>0</v>
      </c>
      <c r="AR30" s="676">
        <f t="shared" si="14"/>
        <v>0</v>
      </c>
      <c r="AS30" s="676">
        <f t="shared" si="18"/>
        <v>0</v>
      </c>
      <c r="AT30" s="676">
        <f t="shared" si="19"/>
        <v>0</v>
      </c>
      <c r="AU30" s="676">
        <f t="shared" si="15"/>
        <v>0</v>
      </c>
      <c r="AV30" s="676">
        <f t="shared" si="16"/>
        <v>0</v>
      </c>
      <c r="AW30" s="725">
        <f t="shared" si="17"/>
        <v>0</v>
      </c>
      <c r="AX30" s="690"/>
      <c r="AY30" s="690"/>
    </row>
    <row r="31" spans="3:51" s="46" customFormat="1" ht="30.75" customHeight="1">
      <c r="C31" s="726">
        <v>14</v>
      </c>
      <c r="D31" s="691"/>
      <c r="E31" s="727"/>
      <c r="F31" s="728"/>
      <c r="G31" s="2023"/>
      <c r="H31" s="2024"/>
      <c r="I31" s="683"/>
      <c r="J31" s="729"/>
      <c r="K31" s="684"/>
      <c r="L31" s="685"/>
      <c r="M31" s="685"/>
      <c r="N31" s="685"/>
      <c r="O31" s="685"/>
      <c r="P31" s="685"/>
      <c r="Q31" s="685"/>
      <c r="R31" s="1045"/>
      <c r="S31" s="686"/>
      <c r="T31" s="730"/>
      <c r="U31" s="731"/>
      <c r="V31" s="721"/>
      <c r="W31" s="732"/>
      <c r="X31" s="733"/>
      <c r="Y31" s="51"/>
      <c r="Z31" s="674">
        <f t="shared" si="2"/>
        <v>0</v>
      </c>
      <c r="AA31" s="674">
        <f t="shared" si="3"/>
        <v>0</v>
      </c>
      <c r="AB31" s="674">
        <f t="shared" si="4"/>
        <v>0</v>
      </c>
      <c r="AC31" s="674">
        <f>IF(Z31=0,,VLOOKUP(Z31,リスト!DC:DD,2,0))</f>
        <v>0</v>
      </c>
      <c r="AD31" s="674">
        <f t="shared" si="5"/>
        <v>0</v>
      </c>
      <c r="AE31" s="675">
        <f>IF(AD31=0,,VLOOKUP(AD31,リスト!DK:DL,2,0))</f>
        <v>0</v>
      </c>
      <c r="AF31" s="674">
        <f>IF(Z31=0,,
IF(OR(リスト!$C$21="小麦",リスト!$C$21="二条大麦",リスト!$C$21="六条大麦",リスト!$C$21="はだか麦",リスト!$C$21="なたね"),IF(K31&lt;9,調査年-J31,調査年-J31-1),
IF(リスト!$C$21="さとうきび",IF(K31&gt;=4,調査年-J31,調査年-J31+1),
調査年-J31)))</f>
        <v>0</v>
      </c>
      <c r="AG31" s="676">
        <f t="shared" si="6"/>
        <v>0</v>
      </c>
      <c r="AH31" s="676">
        <f t="shared" si="7"/>
        <v>0</v>
      </c>
      <c r="AI31" s="676">
        <f t="shared" si="8"/>
        <v>0</v>
      </c>
      <c r="AJ31" s="676">
        <f t="shared" si="9"/>
        <v>0</v>
      </c>
      <c r="AK31" s="403"/>
      <c r="AL31" s="67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6">
        <f t="shared" si="10"/>
        <v>0</v>
      </c>
      <c r="AN31" s="676">
        <f t="shared" si="11"/>
        <v>0</v>
      </c>
      <c r="AO31" s="676">
        <f t="shared" si="12"/>
        <v>0</v>
      </c>
      <c r="AP31" s="67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6">
        <f t="shared" si="13"/>
        <v>0</v>
      </c>
      <c r="AR31" s="676">
        <f t="shared" si="14"/>
        <v>0</v>
      </c>
      <c r="AS31" s="676">
        <f t="shared" si="18"/>
        <v>0</v>
      </c>
      <c r="AT31" s="676">
        <f t="shared" si="19"/>
        <v>0</v>
      </c>
      <c r="AU31" s="676">
        <f t="shared" si="15"/>
        <v>0</v>
      </c>
      <c r="AV31" s="676">
        <f t="shared" si="16"/>
        <v>0</v>
      </c>
      <c r="AW31" s="725">
        <f t="shared" si="17"/>
        <v>0</v>
      </c>
      <c r="AX31" s="690"/>
      <c r="AY31" s="690"/>
    </row>
    <row r="32" spans="3:51" s="46" customFormat="1" ht="30.75" customHeight="1" collapsed="1" thickBot="1">
      <c r="C32" s="734">
        <v>15</v>
      </c>
      <c r="D32" s="691"/>
      <c r="E32" s="727"/>
      <c r="F32" s="728"/>
      <c r="G32" s="2023"/>
      <c r="H32" s="2024"/>
      <c r="I32" s="683"/>
      <c r="J32" s="729"/>
      <c r="K32" s="684"/>
      <c r="L32" s="685"/>
      <c r="M32" s="685"/>
      <c r="N32" s="685"/>
      <c r="O32" s="685"/>
      <c r="P32" s="685"/>
      <c r="Q32" s="685"/>
      <c r="R32" s="1045"/>
      <c r="S32" s="686"/>
      <c r="T32" s="730"/>
      <c r="U32" s="731"/>
      <c r="V32" s="721"/>
      <c r="W32" s="732"/>
      <c r="X32" s="733"/>
      <c r="Z32" s="674">
        <f t="shared" si="2"/>
        <v>0</v>
      </c>
      <c r="AA32" s="674">
        <f t="shared" si="3"/>
        <v>0</v>
      </c>
      <c r="AB32" s="674">
        <f t="shared" si="4"/>
        <v>0</v>
      </c>
      <c r="AC32" s="674">
        <f>IF(Z32=0,,VLOOKUP(Z32,リスト!DC:DD,2,0))</f>
        <v>0</v>
      </c>
      <c r="AD32" s="674">
        <f t="shared" si="5"/>
        <v>0</v>
      </c>
      <c r="AE32" s="675">
        <f>IF(AD32=0,,VLOOKUP(AD32,リスト!DK:DL,2,0))</f>
        <v>0</v>
      </c>
      <c r="AF32" s="674">
        <f>IF(Z32=0,,
IF(OR(リスト!$C$21="小麦",リスト!$C$21="二条大麦",リスト!$C$21="六条大麦",リスト!$C$21="はだか麦",リスト!$C$21="なたね"),IF(K32&lt;9,調査年-J32,調査年-J32-1),
IF(リスト!$C$21="さとうきび",IF(K32&gt;=4,調査年-J32,調査年-J32+1),
調査年-J32)))</f>
        <v>0</v>
      </c>
      <c r="AG32" s="676">
        <f t="shared" si="6"/>
        <v>0</v>
      </c>
      <c r="AH32" s="676">
        <f t="shared" si="7"/>
        <v>0</v>
      </c>
      <c r="AI32" s="676">
        <f t="shared" si="8"/>
        <v>0</v>
      </c>
      <c r="AJ32" s="676">
        <f t="shared" si="9"/>
        <v>0</v>
      </c>
      <c r="AK32" s="403"/>
      <c r="AL32" s="67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6">
        <f t="shared" si="10"/>
        <v>0</v>
      </c>
      <c r="AN32" s="676">
        <f t="shared" si="11"/>
        <v>0</v>
      </c>
      <c r="AO32" s="676">
        <f t="shared" si="12"/>
        <v>0</v>
      </c>
      <c r="AP32" s="67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6">
        <f t="shared" si="13"/>
        <v>0</v>
      </c>
      <c r="AR32" s="676">
        <f t="shared" si="14"/>
        <v>0</v>
      </c>
      <c r="AS32" s="676">
        <f t="shared" si="18"/>
        <v>0</v>
      </c>
      <c r="AT32" s="676">
        <f t="shared" si="19"/>
        <v>0</v>
      </c>
      <c r="AU32" s="676">
        <f t="shared" si="15"/>
        <v>0</v>
      </c>
      <c r="AV32" s="676">
        <f t="shared" si="16"/>
        <v>0</v>
      </c>
      <c r="AW32" s="725">
        <f t="shared" si="17"/>
        <v>0</v>
      </c>
      <c r="AX32" s="690"/>
      <c r="AY32" s="690"/>
    </row>
    <row r="33" spans="3:51" s="46" customFormat="1" ht="30.75" hidden="1" customHeight="1" outlineLevel="1">
      <c r="C33" s="726">
        <v>16</v>
      </c>
      <c r="D33" s="691"/>
      <c r="E33" s="727"/>
      <c r="F33" s="728"/>
      <c r="G33" s="2023"/>
      <c r="H33" s="2024"/>
      <c r="I33" s="683"/>
      <c r="J33" s="729"/>
      <c r="K33" s="684"/>
      <c r="L33" s="685"/>
      <c r="M33" s="685"/>
      <c r="N33" s="685"/>
      <c r="O33" s="685"/>
      <c r="P33" s="685"/>
      <c r="Q33" s="685"/>
      <c r="R33" s="1045"/>
      <c r="S33" s="686"/>
      <c r="T33" s="730"/>
      <c r="U33" s="731"/>
      <c r="V33" s="721"/>
      <c r="W33" s="732"/>
      <c r="X33" s="733"/>
      <c r="Z33" s="674">
        <f t="shared" si="2"/>
        <v>0</v>
      </c>
      <c r="AA33" s="674">
        <f t="shared" si="3"/>
        <v>0</v>
      </c>
      <c r="AB33" s="674">
        <f t="shared" si="4"/>
        <v>0</v>
      </c>
      <c r="AC33" s="674">
        <f>IF(Z33=0,,VLOOKUP(Z33,リスト!DC:DD,2,0))</f>
        <v>0</v>
      </c>
      <c r="AD33" s="674">
        <f t="shared" si="5"/>
        <v>0</v>
      </c>
      <c r="AE33" s="675">
        <f>IF(AD33=0,,VLOOKUP(AD33,リスト!DK:DL,2,0))</f>
        <v>0</v>
      </c>
      <c r="AF33" s="674">
        <f>IF(Z33=0,,
IF(OR(リスト!$C$21="小麦",リスト!$C$21="二条大麦",リスト!$C$21="六条大麦",リスト!$C$21="はだか麦",リスト!$C$21="なたね"),IF(K33&lt;9,調査年-J33,調査年-J33-1),
IF(リスト!$C$21="さとうきび",IF(K33&gt;=4,調査年-J33,調査年-J33+1),
調査年-J33)))</f>
        <v>0</v>
      </c>
      <c r="AG33" s="676">
        <f t="shared" si="6"/>
        <v>0</v>
      </c>
      <c r="AH33" s="676">
        <f t="shared" si="7"/>
        <v>0</v>
      </c>
      <c r="AI33" s="676">
        <f t="shared" si="8"/>
        <v>0</v>
      </c>
      <c r="AJ33" s="676">
        <f t="shared" si="9"/>
        <v>0</v>
      </c>
      <c r="AK33" s="403"/>
      <c r="AL33" s="67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6">
        <f t="shared" si="10"/>
        <v>0</v>
      </c>
      <c r="AN33" s="676">
        <f t="shared" si="11"/>
        <v>0</v>
      </c>
      <c r="AO33" s="676">
        <f t="shared" si="12"/>
        <v>0</v>
      </c>
      <c r="AP33" s="67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6">
        <f t="shared" si="13"/>
        <v>0</v>
      </c>
      <c r="AR33" s="676">
        <f t="shared" si="14"/>
        <v>0</v>
      </c>
      <c r="AS33" s="676">
        <f t="shared" si="18"/>
        <v>0</v>
      </c>
      <c r="AT33" s="676">
        <f t="shared" si="19"/>
        <v>0</v>
      </c>
      <c r="AU33" s="676">
        <f t="shared" si="15"/>
        <v>0</v>
      </c>
      <c r="AV33" s="676">
        <f t="shared" si="16"/>
        <v>0</v>
      </c>
      <c r="AW33" s="725">
        <f t="shared" si="17"/>
        <v>0</v>
      </c>
      <c r="AX33" s="690"/>
      <c r="AY33" s="690"/>
    </row>
    <row r="34" spans="3:51" s="46" customFormat="1" ht="30.75" hidden="1" customHeight="1" outlineLevel="1">
      <c r="C34" s="726">
        <v>17</v>
      </c>
      <c r="D34" s="691"/>
      <c r="E34" s="727"/>
      <c r="F34" s="728"/>
      <c r="G34" s="2023"/>
      <c r="H34" s="2024"/>
      <c r="I34" s="683"/>
      <c r="J34" s="729"/>
      <c r="K34" s="684"/>
      <c r="L34" s="685"/>
      <c r="M34" s="685"/>
      <c r="N34" s="685"/>
      <c r="O34" s="685"/>
      <c r="P34" s="685"/>
      <c r="Q34" s="685"/>
      <c r="R34" s="1045"/>
      <c r="S34" s="686"/>
      <c r="T34" s="730"/>
      <c r="U34" s="731"/>
      <c r="V34" s="721"/>
      <c r="W34" s="732"/>
      <c r="X34" s="733"/>
      <c r="Z34" s="674">
        <f t="shared" si="2"/>
        <v>0</v>
      </c>
      <c r="AA34" s="674">
        <f t="shared" si="3"/>
        <v>0</v>
      </c>
      <c r="AB34" s="674">
        <f t="shared" si="4"/>
        <v>0</v>
      </c>
      <c r="AC34" s="674">
        <f>IF(Z34=0,,VLOOKUP(Z34,リスト!DC:DD,2,0))</f>
        <v>0</v>
      </c>
      <c r="AD34" s="674">
        <f t="shared" si="5"/>
        <v>0</v>
      </c>
      <c r="AE34" s="675">
        <f>IF(AD34=0,,VLOOKUP(AD34,リスト!DK:DL,2,0))</f>
        <v>0</v>
      </c>
      <c r="AF34" s="674">
        <f>IF(Z34=0,,
IF(OR(リスト!$C$21="小麦",リスト!$C$21="二条大麦",リスト!$C$21="六条大麦",リスト!$C$21="はだか麦",リスト!$C$21="なたね"),IF(K34&lt;9,調査年-J34,調査年-J34-1),
IF(リスト!$C$21="さとうきび",IF(K34&gt;=4,調査年-J34,調査年-J34+1),
調査年-J34)))</f>
        <v>0</v>
      </c>
      <c r="AG34" s="676">
        <f t="shared" si="6"/>
        <v>0</v>
      </c>
      <c r="AH34" s="676">
        <f t="shared" si="7"/>
        <v>0</v>
      </c>
      <c r="AI34" s="676">
        <f t="shared" si="8"/>
        <v>0</v>
      </c>
      <c r="AJ34" s="676">
        <f t="shared" si="9"/>
        <v>0</v>
      </c>
      <c r="AK34" s="403"/>
      <c r="AL34" s="67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6">
        <f t="shared" si="10"/>
        <v>0</v>
      </c>
      <c r="AN34" s="676">
        <f t="shared" si="11"/>
        <v>0</v>
      </c>
      <c r="AO34" s="676">
        <f t="shared" si="12"/>
        <v>0</v>
      </c>
      <c r="AP34" s="67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6">
        <f t="shared" si="13"/>
        <v>0</v>
      </c>
      <c r="AR34" s="676">
        <f t="shared" si="14"/>
        <v>0</v>
      </c>
      <c r="AS34" s="676">
        <f t="shared" si="18"/>
        <v>0</v>
      </c>
      <c r="AT34" s="676">
        <f t="shared" si="19"/>
        <v>0</v>
      </c>
      <c r="AU34" s="676">
        <f t="shared" si="15"/>
        <v>0</v>
      </c>
      <c r="AV34" s="676">
        <f t="shared" si="16"/>
        <v>0</v>
      </c>
      <c r="AW34" s="725">
        <f t="shared" si="17"/>
        <v>0</v>
      </c>
      <c r="AX34" s="690"/>
      <c r="AY34" s="690"/>
    </row>
    <row r="35" spans="3:51" s="46" customFormat="1" ht="30.75" hidden="1" customHeight="1" outlineLevel="1">
      <c r="C35" s="726">
        <v>18</v>
      </c>
      <c r="D35" s="691"/>
      <c r="E35" s="727"/>
      <c r="F35" s="728"/>
      <c r="G35" s="2023"/>
      <c r="H35" s="2024"/>
      <c r="I35" s="683"/>
      <c r="J35" s="729"/>
      <c r="K35" s="684"/>
      <c r="L35" s="685"/>
      <c r="M35" s="685"/>
      <c r="N35" s="685"/>
      <c r="O35" s="685"/>
      <c r="P35" s="685"/>
      <c r="Q35" s="685"/>
      <c r="R35" s="1045"/>
      <c r="S35" s="686"/>
      <c r="T35" s="730"/>
      <c r="U35" s="731"/>
      <c r="V35" s="721"/>
      <c r="W35" s="732"/>
      <c r="X35" s="733"/>
      <c r="Z35" s="674">
        <f t="shared" si="2"/>
        <v>0</v>
      </c>
      <c r="AA35" s="674">
        <f t="shared" si="3"/>
        <v>0</v>
      </c>
      <c r="AB35" s="674">
        <f t="shared" si="4"/>
        <v>0</v>
      </c>
      <c r="AC35" s="674">
        <f>IF(Z35=0,,VLOOKUP(Z35,リスト!DC:DD,2,0))</f>
        <v>0</v>
      </c>
      <c r="AD35" s="674">
        <f t="shared" si="5"/>
        <v>0</v>
      </c>
      <c r="AE35" s="675">
        <f>IF(AD35=0,,VLOOKUP(AD35,リスト!DK:DL,2,0))</f>
        <v>0</v>
      </c>
      <c r="AF35" s="674">
        <f>IF(Z35=0,,
IF(OR(リスト!$C$21="小麦",リスト!$C$21="二条大麦",リスト!$C$21="六条大麦",リスト!$C$21="はだか麦",リスト!$C$21="なたね"),IF(K35&lt;9,調査年-J35,調査年-J35-1),
IF(リスト!$C$21="さとうきび",IF(K35&gt;=4,調査年-J35,調査年-J35+1),
調査年-J35)))</f>
        <v>0</v>
      </c>
      <c r="AG35" s="676">
        <f t="shared" si="6"/>
        <v>0</v>
      </c>
      <c r="AH35" s="676">
        <f t="shared" si="7"/>
        <v>0</v>
      </c>
      <c r="AI35" s="676">
        <f t="shared" si="8"/>
        <v>0</v>
      </c>
      <c r="AJ35" s="676">
        <f t="shared" si="9"/>
        <v>0</v>
      </c>
      <c r="AK35" s="403"/>
      <c r="AL35" s="67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6">
        <f t="shared" si="10"/>
        <v>0</v>
      </c>
      <c r="AN35" s="676">
        <f t="shared" si="11"/>
        <v>0</v>
      </c>
      <c r="AO35" s="676">
        <f t="shared" si="12"/>
        <v>0</v>
      </c>
      <c r="AP35" s="67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6">
        <f t="shared" si="13"/>
        <v>0</v>
      </c>
      <c r="AR35" s="676">
        <f t="shared" si="14"/>
        <v>0</v>
      </c>
      <c r="AS35" s="676">
        <f t="shared" si="18"/>
        <v>0</v>
      </c>
      <c r="AT35" s="676">
        <f t="shared" si="19"/>
        <v>0</v>
      </c>
      <c r="AU35" s="676">
        <f t="shared" si="15"/>
        <v>0</v>
      </c>
      <c r="AV35" s="676">
        <f t="shared" si="16"/>
        <v>0</v>
      </c>
      <c r="AW35" s="725">
        <f t="shared" si="17"/>
        <v>0</v>
      </c>
      <c r="AX35" s="690"/>
      <c r="AY35" s="690"/>
    </row>
    <row r="36" spans="3:51" s="46" customFormat="1" ht="30.75" hidden="1" customHeight="1" outlineLevel="1">
      <c r="C36" s="726">
        <v>19</v>
      </c>
      <c r="D36" s="691"/>
      <c r="E36" s="727"/>
      <c r="F36" s="728"/>
      <c r="G36" s="2023"/>
      <c r="H36" s="2024"/>
      <c r="I36" s="683"/>
      <c r="J36" s="729"/>
      <c r="K36" s="684"/>
      <c r="L36" s="685"/>
      <c r="M36" s="685"/>
      <c r="N36" s="685"/>
      <c r="O36" s="685"/>
      <c r="P36" s="685"/>
      <c r="Q36" s="685"/>
      <c r="R36" s="1045"/>
      <c r="S36" s="686"/>
      <c r="T36" s="730"/>
      <c r="U36" s="731"/>
      <c r="V36" s="721"/>
      <c r="W36" s="732"/>
      <c r="X36" s="733"/>
      <c r="Z36" s="674">
        <f t="shared" si="2"/>
        <v>0</v>
      </c>
      <c r="AA36" s="674">
        <f t="shared" si="3"/>
        <v>0</v>
      </c>
      <c r="AB36" s="674">
        <f t="shared" si="4"/>
        <v>0</v>
      </c>
      <c r="AC36" s="674">
        <f>IF(Z36=0,,VLOOKUP(Z36,リスト!DC:DD,2,0))</f>
        <v>0</v>
      </c>
      <c r="AD36" s="674">
        <f t="shared" si="5"/>
        <v>0</v>
      </c>
      <c r="AE36" s="675">
        <f>IF(AD36=0,,VLOOKUP(AD36,リスト!DK:DL,2,0))</f>
        <v>0</v>
      </c>
      <c r="AF36" s="674">
        <f>IF(Z36=0,,
IF(OR(リスト!$C$21="小麦",リスト!$C$21="二条大麦",リスト!$C$21="六条大麦",リスト!$C$21="はだか麦",リスト!$C$21="なたね"),IF(K36&lt;9,調査年-J36,調査年-J36-1),
IF(リスト!$C$21="さとうきび",IF(K36&gt;=4,調査年-J36,調査年-J36+1),
調査年-J36)))</f>
        <v>0</v>
      </c>
      <c r="AG36" s="676">
        <f t="shared" si="6"/>
        <v>0</v>
      </c>
      <c r="AH36" s="676">
        <f t="shared" si="7"/>
        <v>0</v>
      </c>
      <c r="AI36" s="676">
        <f t="shared" si="8"/>
        <v>0</v>
      </c>
      <c r="AJ36" s="676">
        <f t="shared" si="9"/>
        <v>0</v>
      </c>
      <c r="AK36" s="403"/>
      <c r="AL36" s="67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6">
        <f t="shared" si="10"/>
        <v>0</v>
      </c>
      <c r="AN36" s="676">
        <f t="shared" si="11"/>
        <v>0</v>
      </c>
      <c r="AO36" s="676">
        <f t="shared" si="12"/>
        <v>0</v>
      </c>
      <c r="AP36" s="67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6">
        <f t="shared" si="13"/>
        <v>0</v>
      </c>
      <c r="AR36" s="676">
        <f t="shared" si="14"/>
        <v>0</v>
      </c>
      <c r="AS36" s="676">
        <f t="shared" si="18"/>
        <v>0</v>
      </c>
      <c r="AT36" s="676">
        <f t="shared" si="19"/>
        <v>0</v>
      </c>
      <c r="AU36" s="676">
        <f t="shared" si="15"/>
        <v>0</v>
      </c>
      <c r="AV36" s="676">
        <f t="shared" si="16"/>
        <v>0</v>
      </c>
      <c r="AW36" s="725">
        <f t="shared" si="17"/>
        <v>0</v>
      </c>
      <c r="AX36" s="690"/>
      <c r="AY36" s="690"/>
    </row>
    <row r="37" spans="3:51" s="46" customFormat="1" ht="30.75" hidden="1" customHeight="1" outlineLevel="1">
      <c r="C37" s="726">
        <v>20</v>
      </c>
      <c r="D37" s="691"/>
      <c r="E37" s="727"/>
      <c r="F37" s="728"/>
      <c r="G37" s="2023"/>
      <c r="H37" s="2024"/>
      <c r="I37" s="683"/>
      <c r="J37" s="729"/>
      <c r="K37" s="684"/>
      <c r="L37" s="685"/>
      <c r="M37" s="685"/>
      <c r="N37" s="685"/>
      <c r="O37" s="685"/>
      <c r="P37" s="685"/>
      <c r="Q37" s="685"/>
      <c r="R37" s="1045"/>
      <c r="S37" s="686"/>
      <c r="T37" s="730"/>
      <c r="U37" s="731"/>
      <c r="V37" s="721"/>
      <c r="W37" s="732"/>
      <c r="X37" s="733"/>
      <c r="Z37" s="674">
        <f t="shared" si="2"/>
        <v>0</v>
      </c>
      <c r="AA37" s="674">
        <f t="shared" si="3"/>
        <v>0</v>
      </c>
      <c r="AB37" s="674">
        <f t="shared" si="4"/>
        <v>0</v>
      </c>
      <c r="AC37" s="674">
        <f>IF(Z37=0,,VLOOKUP(Z37,リスト!DC:DD,2,0))</f>
        <v>0</v>
      </c>
      <c r="AD37" s="674">
        <f t="shared" si="5"/>
        <v>0</v>
      </c>
      <c r="AE37" s="675">
        <f>IF(AD37=0,,VLOOKUP(AD37,リスト!DK:DL,2,0))</f>
        <v>0</v>
      </c>
      <c r="AF37" s="674">
        <f>IF(Z37=0,,
IF(OR(リスト!$C$21="小麦",リスト!$C$21="二条大麦",リスト!$C$21="六条大麦",リスト!$C$21="はだか麦",リスト!$C$21="なたね"),IF(K37&lt;9,調査年-J37,調査年-J37-1),
IF(リスト!$C$21="さとうきび",IF(K37&gt;=4,調査年-J37,調査年-J37+1),
調査年-J37)))</f>
        <v>0</v>
      </c>
      <c r="AG37" s="676">
        <f t="shared" si="6"/>
        <v>0</v>
      </c>
      <c r="AH37" s="676">
        <f t="shared" si="7"/>
        <v>0</v>
      </c>
      <c r="AI37" s="676">
        <f t="shared" si="8"/>
        <v>0</v>
      </c>
      <c r="AJ37" s="676">
        <f t="shared" si="9"/>
        <v>0</v>
      </c>
      <c r="AK37" s="403"/>
      <c r="AL37" s="67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6">
        <f t="shared" si="10"/>
        <v>0</v>
      </c>
      <c r="AN37" s="676">
        <f t="shared" si="11"/>
        <v>0</v>
      </c>
      <c r="AO37" s="676">
        <f t="shared" si="12"/>
        <v>0</v>
      </c>
      <c r="AP37" s="67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6">
        <f t="shared" si="13"/>
        <v>0</v>
      </c>
      <c r="AR37" s="676">
        <f t="shared" si="14"/>
        <v>0</v>
      </c>
      <c r="AS37" s="676">
        <f t="shared" si="18"/>
        <v>0</v>
      </c>
      <c r="AT37" s="676">
        <f t="shared" si="19"/>
        <v>0</v>
      </c>
      <c r="AU37" s="676">
        <f t="shared" si="15"/>
        <v>0</v>
      </c>
      <c r="AV37" s="676">
        <f t="shared" si="16"/>
        <v>0</v>
      </c>
      <c r="AW37" s="725">
        <f t="shared" si="17"/>
        <v>0</v>
      </c>
      <c r="AX37" s="690"/>
      <c r="AY37" s="690"/>
    </row>
    <row r="38" spans="3:51" s="46" customFormat="1" ht="30.75" hidden="1" customHeight="1" outlineLevel="1">
      <c r="C38" s="726">
        <v>21</v>
      </c>
      <c r="D38" s="691"/>
      <c r="E38" s="727"/>
      <c r="F38" s="728"/>
      <c r="G38" s="2023"/>
      <c r="H38" s="2024"/>
      <c r="I38" s="683"/>
      <c r="J38" s="729"/>
      <c r="K38" s="684"/>
      <c r="L38" s="685"/>
      <c r="M38" s="685"/>
      <c r="N38" s="685"/>
      <c r="O38" s="685"/>
      <c r="P38" s="685"/>
      <c r="Q38" s="685"/>
      <c r="R38" s="1045"/>
      <c r="S38" s="686"/>
      <c r="T38" s="730"/>
      <c r="U38" s="731"/>
      <c r="V38" s="721"/>
      <c r="W38" s="732"/>
      <c r="X38" s="733"/>
      <c r="Z38" s="674">
        <f t="shared" si="2"/>
        <v>0</v>
      </c>
      <c r="AA38" s="674">
        <f t="shared" si="3"/>
        <v>0</v>
      </c>
      <c r="AB38" s="674">
        <f t="shared" si="4"/>
        <v>0</v>
      </c>
      <c r="AC38" s="674">
        <f>IF(Z38=0,,VLOOKUP(Z38,リスト!DC:DD,2,0))</f>
        <v>0</v>
      </c>
      <c r="AD38" s="674">
        <f t="shared" si="5"/>
        <v>0</v>
      </c>
      <c r="AE38" s="675">
        <f>IF(AD38=0,,VLOOKUP(AD38,リスト!DK:DL,2,0))</f>
        <v>0</v>
      </c>
      <c r="AF38" s="674">
        <f>IF(Z38=0,,
IF(OR(リスト!$C$21="小麦",リスト!$C$21="二条大麦",リスト!$C$21="六条大麦",リスト!$C$21="はだか麦",リスト!$C$21="なたね"),IF(K38&lt;9,調査年-J38,調査年-J38-1),
IF(リスト!$C$21="さとうきび",IF(K38&gt;=4,調査年-J38,調査年-J38+1),
調査年-J38)))</f>
        <v>0</v>
      </c>
      <c r="AG38" s="676">
        <f t="shared" si="6"/>
        <v>0</v>
      </c>
      <c r="AH38" s="676">
        <f t="shared" si="7"/>
        <v>0</v>
      </c>
      <c r="AI38" s="676">
        <f t="shared" si="8"/>
        <v>0</v>
      </c>
      <c r="AJ38" s="676">
        <f t="shared" si="9"/>
        <v>0</v>
      </c>
      <c r="AK38" s="403"/>
      <c r="AL38" s="67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6">
        <f t="shared" si="10"/>
        <v>0</v>
      </c>
      <c r="AN38" s="676">
        <f t="shared" si="11"/>
        <v>0</v>
      </c>
      <c r="AO38" s="676">
        <f t="shared" si="12"/>
        <v>0</v>
      </c>
      <c r="AP38" s="67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6">
        <f t="shared" si="13"/>
        <v>0</v>
      </c>
      <c r="AR38" s="676">
        <f t="shared" si="14"/>
        <v>0</v>
      </c>
      <c r="AS38" s="676">
        <f t="shared" si="18"/>
        <v>0</v>
      </c>
      <c r="AT38" s="676">
        <f t="shared" si="19"/>
        <v>0</v>
      </c>
      <c r="AU38" s="676">
        <f t="shared" si="15"/>
        <v>0</v>
      </c>
      <c r="AV38" s="676">
        <f t="shared" si="16"/>
        <v>0</v>
      </c>
      <c r="AW38" s="725">
        <f t="shared" si="17"/>
        <v>0</v>
      </c>
      <c r="AX38" s="690"/>
      <c r="AY38" s="690"/>
    </row>
    <row r="39" spans="3:51" s="46" customFormat="1" ht="30.75" hidden="1" customHeight="1" outlineLevel="1">
      <c r="C39" s="726">
        <v>22</v>
      </c>
      <c r="D39" s="691"/>
      <c r="E39" s="727"/>
      <c r="F39" s="728"/>
      <c r="G39" s="2023"/>
      <c r="H39" s="2024"/>
      <c r="I39" s="683"/>
      <c r="J39" s="729"/>
      <c r="K39" s="684"/>
      <c r="L39" s="685"/>
      <c r="M39" s="685"/>
      <c r="N39" s="685"/>
      <c r="O39" s="685"/>
      <c r="P39" s="685"/>
      <c r="Q39" s="685"/>
      <c r="R39" s="1045"/>
      <c r="S39" s="686"/>
      <c r="T39" s="730"/>
      <c r="U39" s="731"/>
      <c r="V39" s="721"/>
      <c r="W39" s="732"/>
      <c r="X39" s="733"/>
      <c r="Z39" s="674">
        <f t="shared" si="2"/>
        <v>0</v>
      </c>
      <c r="AA39" s="674">
        <f t="shared" si="3"/>
        <v>0</v>
      </c>
      <c r="AB39" s="674">
        <f t="shared" si="4"/>
        <v>0</v>
      </c>
      <c r="AC39" s="674">
        <f>IF(Z39=0,,VLOOKUP(Z39,リスト!DC:DD,2,0))</f>
        <v>0</v>
      </c>
      <c r="AD39" s="674">
        <f t="shared" si="5"/>
        <v>0</v>
      </c>
      <c r="AE39" s="675">
        <f>IF(AD39=0,,VLOOKUP(AD39,リスト!DK:DL,2,0))</f>
        <v>0</v>
      </c>
      <c r="AF39" s="674">
        <f>IF(Z39=0,,
IF(OR(リスト!$C$21="小麦",リスト!$C$21="二条大麦",リスト!$C$21="六条大麦",リスト!$C$21="はだか麦",リスト!$C$21="なたね"),IF(K39&lt;9,調査年-J39,調査年-J39-1),
IF(リスト!$C$21="さとうきび",IF(K39&gt;=4,調査年-J39,調査年-J39+1),
調査年-J39)))</f>
        <v>0</v>
      </c>
      <c r="AG39" s="676">
        <f t="shared" si="6"/>
        <v>0</v>
      </c>
      <c r="AH39" s="676">
        <f t="shared" si="7"/>
        <v>0</v>
      </c>
      <c r="AI39" s="676">
        <f t="shared" si="8"/>
        <v>0</v>
      </c>
      <c r="AJ39" s="676">
        <f t="shared" si="9"/>
        <v>0</v>
      </c>
      <c r="AK39" s="403"/>
      <c r="AL39" s="67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6">
        <f t="shared" si="10"/>
        <v>0</v>
      </c>
      <c r="AN39" s="676">
        <f t="shared" si="11"/>
        <v>0</v>
      </c>
      <c r="AO39" s="676">
        <f t="shared" si="12"/>
        <v>0</v>
      </c>
      <c r="AP39" s="67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6">
        <f t="shared" si="13"/>
        <v>0</v>
      </c>
      <c r="AR39" s="676">
        <f t="shared" si="14"/>
        <v>0</v>
      </c>
      <c r="AS39" s="676">
        <f t="shared" si="18"/>
        <v>0</v>
      </c>
      <c r="AT39" s="676">
        <f t="shared" si="19"/>
        <v>0</v>
      </c>
      <c r="AU39" s="676">
        <f t="shared" si="15"/>
        <v>0</v>
      </c>
      <c r="AV39" s="676">
        <f t="shared" si="16"/>
        <v>0</v>
      </c>
      <c r="AW39" s="725">
        <f t="shared" si="17"/>
        <v>0</v>
      </c>
      <c r="AX39" s="690"/>
      <c r="AY39" s="690"/>
    </row>
    <row r="40" spans="3:51" s="46" customFormat="1" ht="30.75" hidden="1" customHeight="1" outlineLevel="1">
      <c r="C40" s="726">
        <v>23</v>
      </c>
      <c r="D40" s="691"/>
      <c r="E40" s="727"/>
      <c r="F40" s="728"/>
      <c r="G40" s="2023"/>
      <c r="H40" s="2024"/>
      <c r="I40" s="683"/>
      <c r="J40" s="729"/>
      <c r="K40" s="684"/>
      <c r="L40" s="685"/>
      <c r="M40" s="685"/>
      <c r="N40" s="685"/>
      <c r="O40" s="685"/>
      <c r="P40" s="685"/>
      <c r="Q40" s="685"/>
      <c r="R40" s="1045"/>
      <c r="S40" s="686"/>
      <c r="T40" s="730"/>
      <c r="U40" s="731"/>
      <c r="V40" s="721"/>
      <c r="W40" s="732"/>
      <c r="X40" s="733"/>
      <c r="Z40" s="674">
        <f t="shared" si="2"/>
        <v>0</v>
      </c>
      <c r="AA40" s="674">
        <f t="shared" si="3"/>
        <v>0</v>
      </c>
      <c r="AB40" s="674">
        <f t="shared" si="4"/>
        <v>0</v>
      </c>
      <c r="AC40" s="674">
        <f>IF(Z40=0,,VLOOKUP(Z40,リスト!DC:DD,2,0))</f>
        <v>0</v>
      </c>
      <c r="AD40" s="674">
        <f t="shared" si="5"/>
        <v>0</v>
      </c>
      <c r="AE40" s="675">
        <f>IF(AD40=0,,VLOOKUP(AD40,リスト!DK:DL,2,0))</f>
        <v>0</v>
      </c>
      <c r="AF40" s="674">
        <f>IF(Z40=0,,
IF(OR(リスト!$C$21="小麦",リスト!$C$21="二条大麦",リスト!$C$21="六条大麦",リスト!$C$21="はだか麦",リスト!$C$21="なたね"),IF(K40&lt;9,調査年-J40,調査年-J40-1),
IF(リスト!$C$21="さとうきび",IF(K40&gt;=4,調査年-J40,調査年-J40+1),
調査年-J40)))</f>
        <v>0</v>
      </c>
      <c r="AG40" s="676">
        <f t="shared" si="6"/>
        <v>0</v>
      </c>
      <c r="AH40" s="676">
        <f t="shared" si="7"/>
        <v>0</v>
      </c>
      <c r="AI40" s="676">
        <f t="shared" si="8"/>
        <v>0</v>
      </c>
      <c r="AJ40" s="676">
        <f t="shared" si="9"/>
        <v>0</v>
      </c>
      <c r="AK40" s="403"/>
      <c r="AL40" s="67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6">
        <f t="shared" si="10"/>
        <v>0</v>
      </c>
      <c r="AN40" s="676">
        <f t="shared" si="11"/>
        <v>0</v>
      </c>
      <c r="AO40" s="676">
        <f t="shared" si="12"/>
        <v>0</v>
      </c>
      <c r="AP40" s="67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6">
        <f t="shared" si="13"/>
        <v>0</v>
      </c>
      <c r="AR40" s="676">
        <f t="shared" si="14"/>
        <v>0</v>
      </c>
      <c r="AS40" s="676">
        <f t="shared" si="18"/>
        <v>0</v>
      </c>
      <c r="AT40" s="676">
        <f t="shared" si="19"/>
        <v>0</v>
      </c>
      <c r="AU40" s="676">
        <f t="shared" si="15"/>
        <v>0</v>
      </c>
      <c r="AV40" s="676">
        <f t="shared" si="16"/>
        <v>0</v>
      </c>
      <c r="AW40" s="725">
        <f t="shared" si="17"/>
        <v>0</v>
      </c>
      <c r="AX40" s="690"/>
      <c r="AY40" s="690"/>
    </row>
    <row r="41" spans="3:51" s="46" customFormat="1" ht="30.75" hidden="1" customHeight="1" outlineLevel="1">
      <c r="C41" s="726">
        <v>24</v>
      </c>
      <c r="D41" s="691"/>
      <c r="E41" s="727"/>
      <c r="F41" s="728"/>
      <c r="G41" s="2023"/>
      <c r="H41" s="2024"/>
      <c r="I41" s="683"/>
      <c r="J41" s="729"/>
      <c r="K41" s="684"/>
      <c r="L41" s="685"/>
      <c r="M41" s="685"/>
      <c r="N41" s="685"/>
      <c r="O41" s="685"/>
      <c r="P41" s="685"/>
      <c r="Q41" s="685"/>
      <c r="R41" s="1045"/>
      <c r="S41" s="686"/>
      <c r="T41" s="730"/>
      <c r="U41" s="731"/>
      <c r="V41" s="721"/>
      <c r="W41" s="732"/>
      <c r="X41" s="733"/>
      <c r="Z41" s="674">
        <f t="shared" si="2"/>
        <v>0</v>
      </c>
      <c r="AA41" s="674">
        <f t="shared" si="3"/>
        <v>0</v>
      </c>
      <c r="AB41" s="674">
        <f t="shared" si="4"/>
        <v>0</v>
      </c>
      <c r="AC41" s="674">
        <f>IF(Z41=0,,VLOOKUP(Z41,リスト!DC:DD,2,0))</f>
        <v>0</v>
      </c>
      <c r="AD41" s="674">
        <f t="shared" si="5"/>
        <v>0</v>
      </c>
      <c r="AE41" s="675">
        <f>IF(AD41=0,,VLOOKUP(AD41,リスト!DK:DL,2,0))</f>
        <v>0</v>
      </c>
      <c r="AF41" s="674">
        <f>IF(Z41=0,,
IF(OR(リスト!$C$21="小麦",リスト!$C$21="二条大麦",リスト!$C$21="六条大麦",リスト!$C$21="はだか麦",リスト!$C$21="なたね"),IF(K41&lt;9,調査年-J41,調査年-J41-1),
IF(リスト!$C$21="さとうきび",IF(K41&gt;=4,調査年-J41,調査年-J41+1),
調査年-J41)))</f>
        <v>0</v>
      </c>
      <c r="AG41" s="676">
        <f t="shared" si="6"/>
        <v>0</v>
      </c>
      <c r="AH41" s="676">
        <f t="shared" si="7"/>
        <v>0</v>
      </c>
      <c r="AI41" s="676">
        <f t="shared" si="8"/>
        <v>0</v>
      </c>
      <c r="AJ41" s="676">
        <f t="shared" si="9"/>
        <v>0</v>
      </c>
      <c r="AK41" s="403"/>
      <c r="AL41" s="67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6">
        <f t="shared" si="10"/>
        <v>0</v>
      </c>
      <c r="AN41" s="676">
        <f t="shared" si="11"/>
        <v>0</v>
      </c>
      <c r="AO41" s="676">
        <f t="shared" si="12"/>
        <v>0</v>
      </c>
      <c r="AP41" s="67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6">
        <f t="shared" si="13"/>
        <v>0</v>
      </c>
      <c r="AR41" s="676">
        <f t="shared" si="14"/>
        <v>0</v>
      </c>
      <c r="AS41" s="676">
        <f t="shared" si="18"/>
        <v>0</v>
      </c>
      <c r="AT41" s="676">
        <f t="shared" si="19"/>
        <v>0</v>
      </c>
      <c r="AU41" s="676">
        <f t="shared" si="15"/>
        <v>0</v>
      </c>
      <c r="AV41" s="676">
        <f t="shared" si="16"/>
        <v>0</v>
      </c>
      <c r="AW41" s="725">
        <f t="shared" si="17"/>
        <v>0</v>
      </c>
      <c r="AX41" s="690"/>
      <c r="AY41" s="690"/>
    </row>
    <row r="42" spans="3:51" s="46" customFormat="1" ht="30.75" hidden="1" customHeight="1" outlineLevel="1">
      <c r="C42" s="726">
        <v>25</v>
      </c>
      <c r="D42" s="691"/>
      <c r="E42" s="727"/>
      <c r="F42" s="728"/>
      <c r="G42" s="2023"/>
      <c r="H42" s="2024"/>
      <c r="I42" s="683"/>
      <c r="J42" s="729"/>
      <c r="K42" s="684"/>
      <c r="L42" s="685"/>
      <c r="M42" s="685"/>
      <c r="N42" s="685"/>
      <c r="O42" s="685"/>
      <c r="P42" s="685"/>
      <c r="Q42" s="685"/>
      <c r="R42" s="1045"/>
      <c r="S42" s="686"/>
      <c r="T42" s="730"/>
      <c r="U42" s="731"/>
      <c r="V42" s="721"/>
      <c r="W42" s="732"/>
      <c r="X42" s="733"/>
      <c r="Z42" s="674">
        <f t="shared" si="2"/>
        <v>0</v>
      </c>
      <c r="AA42" s="674">
        <f t="shared" si="3"/>
        <v>0</v>
      </c>
      <c r="AB42" s="674">
        <f t="shared" si="4"/>
        <v>0</v>
      </c>
      <c r="AC42" s="674">
        <f>IF(Z42=0,,VLOOKUP(Z42,リスト!DC:DD,2,0))</f>
        <v>0</v>
      </c>
      <c r="AD42" s="674">
        <f t="shared" si="5"/>
        <v>0</v>
      </c>
      <c r="AE42" s="675">
        <f>IF(AD42=0,,VLOOKUP(AD42,リスト!DK:DL,2,0))</f>
        <v>0</v>
      </c>
      <c r="AF42" s="674">
        <f>IF(Z42=0,,
IF(OR(リスト!$C$21="小麦",リスト!$C$21="二条大麦",リスト!$C$21="六条大麦",リスト!$C$21="はだか麦",リスト!$C$21="なたね"),IF(K42&lt;9,調査年-J42,調査年-J42-1),
IF(リスト!$C$21="さとうきび",IF(K42&gt;=4,調査年-J42,調査年-J42+1),
調査年-J42)))</f>
        <v>0</v>
      </c>
      <c r="AG42" s="676">
        <f t="shared" si="6"/>
        <v>0</v>
      </c>
      <c r="AH42" s="676">
        <f t="shared" si="7"/>
        <v>0</v>
      </c>
      <c r="AI42" s="676">
        <f t="shared" si="8"/>
        <v>0</v>
      </c>
      <c r="AJ42" s="676">
        <f t="shared" si="9"/>
        <v>0</v>
      </c>
      <c r="AK42" s="403"/>
      <c r="AL42" s="67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6">
        <f t="shared" si="10"/>
        <v>0</v>
      </c>
      <c r="AN42" s="676">
        <f t="shared" si="11"/>
        <v>0</v>
      </c>
      <c r="AO42" s="676">
        <f t="shared" si="12"/>
        <v>0</v>
      </c>
      <c r="AP42" s="67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6">
        <f t="shared" si="13"/>
        <v>0</v>
      </c>
      <c r="AR42" s="676">
        <f t="shared" si="14"/>
        <v>0</v>
      </c>
      <c r="AS42" s="676">
        <f t="shared" si="18"/>
        <v>0</v>
      </c>
      <c r="AT42" s="676">
        <f t="shared" si="19"/>
        <v>0</v>
      </c>
      <c r="AU42" s="676">
        <f t="shared" si="15"/>
        <v>0</v>
      </c>
      <c r="AV42" s="676">
        <f t="shared" si="16"/>
        <v>0</v>
      </c>
      <c r="AW42" s="725">
        <f t="shared" si="17"/>
        <v>0</v>
      </c>
      <c r="AX42" s="690"/>
      <c r="AY42" s="690"/>
    </row>
    <row r="43" spans="3:51" s="46" customFormat="1" ht="30.75" hidden="1" customHeight="1" outlineLevel="1">
      <c r="C43" s="726">
        <v>26</v>
      </c>
      <c r="D43" s="691"/>
      <c r="E43" s="735"/>
      <c r="F43" s="736"/>
      <c r="G43" s="2027"/>
      <c r="H43" s="2028"/>
      <c r="I43" s="737"/>
      <c r="J43" s="738"/>
      <c r="K43" s="739"/>
      <c r="L43" s="740"/>
      <c r="M43" s="740"/>
      <c r="N43" s="740"/>
      <c r="O43" s="740"/>
      <c r="P43" s="740"/>
      <c r="Q43" s="740"/>
      <c r="R43" s="1045"/>
      <c r="S43" s="741"/>
      <c r="T43" s="742"/>
      <c r="U43" s="743"/>
      <c r="V43" s="721"/>
      <c r="W43" s="732"/>
      <c r="X43" s="733"/>
      <c r="Z43" s="674">
        <f t="shared" si="2"/>
        <v>0</v>
      </c>
      <c r="AA43" s="674">
        <f t="shared" si="3"/>
        <v>0</v>
      </c>
      <c r="AB43" s="674">
        <f t="shared" si="4"/>
        <v>0</v>
      </c>
      <c r="AC43" s="674">
        <f>IF(Z43=0,,VLOOKUP(Z43,リスト!DC:DD,2,0))</f>
        <v>0</v>
      </c>
      <c r="AD43" s="674">
        <f t="shared" si="5"/>
        <v>0</v>
      </c>
      <c r="AE43" s="675">
        <f>IF(AD43=0,,VLOOKUP(AD43,リスト!DK:DL,2,0))</f>
        <v>0</v>
      </c>
      <c r="AF43" s="674">
        <f>IF(Z43=0,,
IF(OR(リスト!$C$21="小麦",リスト!$C$21="二条大麦",リスト!$C$21="六条大麦",リスト!$C$21="はだか麦",リスト!$C$21="なたね"),IF(K43&lt;9,調査年-J43,調査年-J43-1),
IF(リスト!$C$21="さとうきび",IF(K43&gt;=4,調査年-J43,調査年-J43+1),
調査年-J43)))</f>
        <v>0</v>
      </c>
      <c r="AG43" s="676">
        <f t="shared" si="6"/>
        <v>0</v>
      </c>
      <c r="AH43" s="676">
        <f t="shared" si="7"/>
        <v>0</v>
      </c>
      <c r="AI43" s="676">
        <f t="shared" si="8"/>
        <v>0</v>
      </c>
      <c r="AJ43" s="676">
        <f t="shared" si="9"/>
        <v>0</v>
      </c>
      <c r="AK43" s="403"/>
      <c r="AL43" s="67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6">
        <f t="shared" si="10"/>
        <v>0</v>
      </c>
      <c r="AN43" s="676">
        <f t="shared" si="11"/>
        <v>0</v>
      </c>
      <c r="AO43" s="676">
        <f t="shared" si="12"/>
        <v>0</v>
      </c>
      <c r="AP43" s="67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6">
        <f t="shared" si="13"/>
        <v>0</v>
      </c>
      <c r="AR43" s="676">
        <f t="shared" si="14"/>
        <v>0</v>
      </c>
      <c r="AS43" s="676">
        <f t="shared" si="18"/>
        <v>0</v>
      </c>
      <c r="AT43" s="676">
        <f t="shared" si="19"/>
        <v>0</v>
      </c>
      <c r="AU43" s="676">
        <f t="shared" si="15"/>
        <v>0</v>
      </c>
      <c r="AV43" s="676">
        <f t="shared" si="16"/>
        <v>0</v>
      </c>
      <c r="AW43" s="725">
        <f t="shared" si="17"/>
        <v>0</v>
      </c>
      <c r="AX43" s="690"/>
      <c r="AY43" s="690"/>
    </row>
    <row r="44" spans="3:51" s="46" customFormat="1" ht="30.75" hidden="1" customHeight="1" outlineLevel="1">
      <c r="C44" s="726">
        <v>27</v>
      </c>
      <c r="D44" s="691"/>
      <c r="E44" s="727"/>
      <c r="F44" s="728"/>
      <c r="G44" s="2023"/>
      <c r="H44" s="2024"/>
      <c r="I44" s="683"/>
      <c r="J44" s="729"/>
      <c r="K44" s="684"/>
      <c r="L44" s="685"/>
      <c r="M44" s="685"/>
      <c r="N44" s="685"/>
      <c r="O44" s="685"/>
      <c r="P44" s="685"/>
      <c r="Q44" s="685"/>
      <c r="R44" s="1045"/>
      <c r="S44" s="686"/>
      <c r="T44" s="730"/>
      <c r="U44" s="731"/>
      <c r="V44" s="721"/>
      <c r="W44" s="732"/>
      <c r="X44" s="733"/>
      <c r="Z44" s="674">
        <f t="shared" si="2"/>
        <v>0</v>
      </c>
      <c r="AA44" s="674">
        <f t="shared" si="3"/>
        <v>0</v>
      </c>
      <c r="AB44" s="674">
        <f t="shared" si="4"/>
        <v>0</v>
      </c>
      <c r="AC44" s="674">
        <f>IF(Z44=0,,VLOOKUP(Z44,リスト!DC:DD,2,0))</f>
        <v>0</v>
      </c>
      <c r="AD44" s="674">
        <f t="shared" si="5"/>
        <v>0</v>
      </c>
      <c r="AE44" s="675">
        <f>IF(AD44=0,,VLOOKUP(AD44,リスト!DK:DL,2,0))</f>
        <v>0</v>
      </c>
      <c r="AF44" s="674">
        <f>IF(Z44=0,,
IF(OR(リスト!$C$21="小麦",リスト!$C$21="二条大麦",リスト!$C$21="六条大麦",リスト!$C$21="はだか麦",リスト!$C$21="なたね"),IF(K44&lt;9,調査年-J44,調査年-J44-1),
IF(リスト!$C$21="さとうきび",IF(K44&gt;=4,調査年-J44,調査年-J44+1),
調査年-J44)))</f>
        <v>0</v>
      </c>
      <c r="AG44" s="676">
        <f t="shared" si="6"/>
        <v>0</v>
      </c>
      <c r="AH44" s="676">
        <f t="shared" si="7"/>
        <v>0</v>
      </c>
      <c r="AI44" s="676">
        <f t="shared" si="8"/>
        <v>0</v>
      </c>
      <c r="AJ44" s="676">
        <f t="shared" si="9"/>
        <v>0</v>
      </c>
      <c r="AK44" s="403"/>
      <c r="AL44" s="67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6">
        <f t="shared" si="10"/>
        <v>0</v>
      </c>
      <c r="AN44" s="676">
        <f t="shared" si="11"/>
        <v>0</v>
      </c>
      <c r="AO44" s="676">
        <f t="shared" si="12"/>
        <v>0</v>
      </c>
      <c r="AP44" s="67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6">
        <f t="shared" si="13"/>
        <v>0</v>
      </c>
      <c r="AR44" s="676">
        <f t="shared" si="14"/>
        <v>0</v>
      </c>
      <c r="AS44" s="676">
        <f t="shared" si="18"/>
        <v>0</v>
      </c>
      <c r="AT44" s="676">
        <f t="shared" si="19"/>
        <v>0</v>
      </c>
      <c r="AU44" s="676">
        <f t="shared" si="15"/>
        <v>0</v>
      </c>
      <c r="AV44" s="676">
        <f t="shared" si="16"/>
        <v>0</v>
      </c>
      <c r="AW44" s="725">
        <f t="shared" si="17"/>
        <v>0</v>
      </c>
      <c r="AX44" s="690"/>
      <c r="AY44" s="690"/>
    </row>
    <row r="45" spans="3:51" s="46" customFormat="1" ht="30.75" hidden="1" customHeight="1" outlineLevel="1">
      <c r="C45" s="726">
        <v>28</v>
      </c>
      <c r="D45" s="691"/>
      <c r="E45" s="727"/>
      <c r="F45" s="728"/>
      <c r="G45" s="2023"/>
      <c r="H45" s="2024"/>
      <c r="I45" s="683"/>
      <c r="J45" s="729"/>
      <c r="K45" s="684"/>
      <c r="L45" s="685"/>
      <c r="M45" s="685"/>
      <c r="N45" s="685"/>
      <c r="O45" s="685"/>
      <c r="P45" s="685"/>
      <c r="Q45" s="685"/>
      <c r="R45" s="1045"/>
      <c r="S45" s="686"/>
      <c r="T45" s="730"/>
      <c r="U45" s="731"/>
      <c r="V45" s="721"/>
      <c r="W45" s="732"/>
      <c r="X45" s="733"/>
      <c r="Z45" s="674">
        <f t="shared" si="2"/>
        <v>0</v>
      </c>
      <c r="AA45" s="674">
        <f t="shared" si="3"/>
        <v>0</v>
      </c>
      <c r="AB45" s="674">
        <f t="shared" si="4"/>
        <v>0</v>
      </c>
      <c r="AC45" s="674">
        <f>IF(Z45=0,,VLOOKUP(Z45,リスト!DC:DD,2,0))</f>
        <v>0</v>
      </c>
      <c r="AD45" s="674">
        <f t="shared" si="5"/>
        <v>0</v>
      </c>
      <c r="AE45" s="675">
        <f>IF(AD45=0,,VLOOKUP(AD45,リスト!DK:DL,2,0))</f>
        <v>0</v>
      </c>
      <c r="AF45" s="674">
        <f>IF(Z45=0,,
IF(OR(リスト!$C$21="小麦",リスト!$C$21="二条大麦",リスト!$C$21="六条大麦",リスト!$C$21="はだか麦",リスト!$C$21="なたね"),IF(K45&lt;9,調査年-J45,調査年-J45-1),
IF(リスト!$C$21="さとうきび",IF(K45&gt;=4,調査年-J45,調査年-J45+1),
調査年-J45)))</f>
        <v>0</v>
      </c>
      <c r="AG45" s="676">
        <f t="shared" si="6"/>
        <v>0</v>
      </c>
      <c r="AH45" s="676">
        <f t="shared" si="7"/>
        <v>0</v>
      </c>
      <c r="AI45" s="676">
        <f t="shared" si="8"/>
        <v>0</v>
      </c>
      <c r="AJ45" s="676">
        <f t="shared" si="9"/>
        <v>0</v>
      </c>
      <c r="AK45" s="403"/>
      <c r="AL45" s="67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6">
        <f t="shared" si="10"/>
        <v>0</v>
      </c>
      <c r="AN45" s="676">
        <f t="shared" si="11"/>
        <v>0</v>
      </c>
      <c r="AO45" s="676">
        <f t="shared" si="12"/>
        <v>0</v>
      </c>
      <c r="AP45" s="67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6">
        <f t="shared" si="13"/>
        <v>0</v>
      </c>
      <c r="AR45" s="676">
        <f t="shared" si="14"/>
        <v>0</v>
      </c>
      <c r="AS45" s="676">
        <f t="shared" si="18"/>
        <v>0</v>
      </c>
      <c r="AT45" s="676">
        <f t="shared" si="19"/>
        <v>0</v>
      </c>
      <c r="AU45" s="676">
        <f t="shared" si="15"/>
        <v>0</v>
      </c>
      <c r="AV45" s="676">
        <f t="shared" si="16"/>
        <v>0</v>
      </c>
      <c r="AW45" s="725">
        <f t="shared" si="17"/>
        <v>0</v>
      </c>
      <c r="AX45" s="690"/>
      <c r="AY45" s="690"/>
    </row>
    <row r="46" spans="3:51" s="46" customFormat="1" ht="30.75" hidden="1" customHeight="1" outlineLevel="1">
      <c r="C46" s="726">
        <v>29</v>
      </c>
      <c r="D46" s="691"/>
      <c r="E46" s="727"/>
      <c r="F46" s="728"/>
      <c r="G46" s="2023"/>
      <c r="H46" s="2024"/>
      <c r="I46" s="683"/>
      <c r="J46" s="729"/>
      <c r="K46" s="684"/>
      <c r="L46" s="685"/>
      <c r="M46" s="685"/>
      <c r="N46" s="685"/>
      <c r="O46" s="685"/>
      <c r="P46" s="685"/>
      <c r="Q46" s="685"/>
      <c r="R46" s="1045"/>
      <c r="S46" s="686"/>
      <c r="T46" s="730"/>
      <c r="U46" s="731"/>
      <c r="V46" s="721"/>
      <c r="W46" s="732"/>
      <c r="X46" s="733"/>
      <c r="Z46" s="674">
        <f t="shared" si="2"/>
        <v>0</v>
      </c>
      <c r="AA46" s="674">
        <f t="shared" si="3"/>
        <v>0</v>
      </c>
      <c r="AB46" s="674">
        <f t="shared" si="4"/>
        <v>0</v>
      </c>
      <c r="AC46" s="674">
        <f>IF(Z46=0,,VLOOKUP(Z46,リスト!DC:DD,2,0))</f>
        <v>0</v>
      </c>
      <c r="AD46" s="674">
        <f t="shared" si="5"/>
        <v>0</v>
      </c>
      <c r="AE46" s="675">
        <f>IF(AD46=0,,VLOOKUP(AD46,リスト!DK:DL,2,0))</f>
        <v>0</v>
      </c>
      <c r="AF46" s="674">
        <f>IF(Z46=0,,
IF(OR(リスト!$C$21="小麦",リスト!$C$21="二条大麦",リスト!$C$21="六条大麦",リスト!$C$21="はだか麦",リスト!$C$21="なたね"),IF(K46&lt;9,調査年-J46,調査年-J46-1),
IF(リスト!$C$21="さとうきび",IF(K46&gt;=4,調査年-J46,調査年-J46+1),
調査年-J46)))</f>
        <v>0</v>
      </c>
      <c r="AG46" s="676">
        <f t="shared" si="6"/>
        <v>0</v>
      </c>
      <c r="AH46" s="676">
        <f t="shared" si="7"/>
        <v>0</v>
      </c>
      <c r="AI46" s="676">
        <f t="shared" si="8"/>
        <v>0</v>
      </c>
      <c r="AJ46" s="676">
        <f t="shared" si="9"/>
        <v>0</v>
      </c>
      <c r="AK46" s="403"/>
      <c r="AL46" s="67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6">
        <f t="shared" si="10"/>
        <v>0</v>
      </c>
      <c r="AN46" s="676">
        <f t="shared" si="11"/>
        <v>0</v>
      </c>
      <c r="AO46" s="676">
        <f t="shared" si="12"/>
        <v>0</v>
      </c>
      <c r="AP46" s="67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6">
        <f t="shared" si="13"/>
        <v>0</v>
      </c>
      <c r="AR46" s="676">
        <f t="shared" si="14"/>
        <v>0</v>
      </c>
      <c r="AS46" s="676">
        <f t="shared" si="18"/>
        <v>0</v>
      </c>
      <c r="AT46" s="676">
        <f t="shared" si="19"/>
        <v>0</v>
      </c>
      <c r="AU46" s="676">
        <f t="shared" si="15"/>
        <v>0</v>
      </c>
      <c r="AV46" s="676">
        <f t="shared" si="16"/>
        <v>0</v>
      </c>
      <c r="AW46" s="725">
        <f t="shared" si="17"/>
        <v>0</v>
      </c>
      <c r="AX46" s="690"/>
      <c r="AY46" s="690"/>
    </row>
    <row r="47" spans="3:51" s="46" customFormat="1" ht="30.75" hidden="1" customHeight="1" outlineLevel="1">
      <c r="C47" s="726">
        <v>30</v>
      </c>
      <c r="D47" s="691"/>
      <c r="E47" s="727"/>
      <c r="F47" s="728"/>
      <c r="G47" s="2023"/>
      <c r="H47" s="2024"/>
      <c r="I47" s="683"/>
      <c r="J47" s="729"/>
      <c r="K47" s="684"/>
      <c r="L47" s="685"/>
      <c r="M47" s="685"/>
      <c r="N47" s="685"/>
      <c r="O47" s="685"/>
      <c r="P47" s="685"/>
      <c r="Q47" s="685"/>
      <c r="R47" s="1045"/>
      <c r="S47" s="686"/>
      <c r="T47" s="730"/>
      <c r="U47" s="731"/>
      <c r="V47" s="721"/>
      <c r="W47" s="732"/>
      <c r="X47" s="733"/>
      <c r="Z47" s="674">
        <f t="shared" si="2"/>
        <v>0</v>
      </c>
      <c r="AA47" s="674">
        <f t="shared" si="3"/>
        <v>0</v>
      </c>
      <c r="AB47" s="674">
        <f t="shared" si="4"/>
        <v>0</v>
      </c>
      <c r="AC47" s="674">
        <f>IF(Z47=0,,VLOOKUP(Z47,リスト!DC:DD,2,0))</f>
        <v>0</v>
      </c>
      <c r="AD47" s="674">
        <f t="shared" si="5"/>
        <v>0</v>
      </c>
      <c r="AE47" s="675">
        <f>IF(AD47=0,,VLOOKUP(AD47,リスト!DK:DL,2,0))</f>
        <v>0</v>
      </c>
      <c r="AF47" s="674">
        <f>IF(Z47=0,,
IF(OR(リスト!$C$21="小麦",リスト!$C$21="二条大麦",リスト!$C$21="六条大麦",リスト!$C$21="はだか麦",リスト!$C$21="なたね"),IF(K47&lt;9,調査年-J47,調査年-J47-1),
IF(リスト!$C$21="さとうきび",IF(K47&gt;=4,調査年-J47,調査年-J47+1),
調査年-J47)))</f>
        <v>0</v>
      </c>
      <c r="AG47" s="676">
        <f t="shared" si="6"/>
        <v>0</v>
      </c>
      <c r="AH47" s="676">
        <f t="shared" si="7"/>
        <v>0</v>
      </c>
      <c r="AI47" s="676">
        <f t="shared" si="8"/>
        <v>0</v>
      </c>
      <c r="AJ47" s="676">
        <f t="shared" si="9"/>
        <v>0</v>
      </c>
      <c r="AK47" s="403"/>
      <c r="AL47" s="67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6">
        <f t="shared" si="10"/>
        <v>0</v>
      </c>
      <c r="AN47" s="676">
        <f t="shared" si="11"/>
        <v>0</v>
      </c>
      <c r="AO47" s="676">
        <f t="shared" si="12"/>
        <v>0</v>
      </c>
      <c r="AP47" s="67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6">
        <f t="shared" si="13"/>
        <v>0</v>
      </c>
      <c r="AR47" s="676">
        <f t="shared" si="14"/>
        <v>0</v>
      </c>
      <c r="AS47" s="676">
        <f t="shared" si="18"/>
        <v>0</v>
      </c>
      <c r="AT47" s="676">
        <f t="shared" si="19"/>
        <v>0</v>
      </c>
      <c r="AU47" s="676">
        <f t="shared" si="15"/>
        <v>0</v>
      </c>
      <c r="AV47" s="676">
        <f t="shared" si="16"/>
        <v>0</v>
      </c>
      <c r="AW47" s="725">
        <f t="shared" si="17"/>
        <v>0</v>
      </c>
      <c r="AX47" s="690"/>
      <c r="AY47" s="690"/>
    </row>
    <row r="48" spans="3:51" s="46" customFormat="1" ht="30.75" hidden="1" customHeight="1" outlineLevel="1">
      <c r="C48" s="726">
        <v>31</v>
      </c>
      <c r="D48" s="691"/>
      <c r="E48" s="727"/>
      <c r="F48" s="728"/>
      <c r="G48" s="2023"/>
      <c r="H48" s="2024"/>
      <c r="I48" s="683"/>
      <c r="J48" s="729"/>
      <c r="K48" s="684"/>
      <c r="L48" s="685"/>
      <c r="M48" s="685"/>
      <c r="N48" s="685"/>
      <c r="O48" s="685"/>
      <c r="P48" s="685"/>
      <c r="Q48" s="685"/>
      <c r="R48" s="1045"/>
      <c r="S48" s="686"/>
      <c r="T48" s="730"/>
      <c r="U48" s="731"/>
      <c r="V48" s="721"/>
      <c r="W48" s="732"/>
      <c r="X48" s="733"/>
      <c r="Z48" s="674">
        <f t="shared" si="2"/>
        <v>0</v>
      </c>
      <c r="AA48" s="674">
        <f t="shared" si="3"/>
        <v>0</v>
      </c>
      <c r="AB48" s="674">
        <f t="shared" si="4"/>
        <v>0</v>
      </c>
      <c r="AC48" s="674">
        <f>IF(Z48=0,,VLOOKUP(Z48,リスト!DC:DD,2,0))</f>
        <v>0</v>
      </c>
      <c r="AD48" s="674">
        <f t="shared" si="5"/>
        <v>0</v>
      </c>
      <c r="AE48" s="675">
        <f>IF(AD48=0,,VLOOKUP(AD48,リスト!DK:DL,2,0))</f>
        <v>0</v>
      </c>
      <c r="AF48" s="674">
        <f>IF(Z48=0,,
IF(OR(リスト!$C$21="小麦",リスト!$C$21="二条大麦",リスト!$C$21="六条大麦",リスト!$C$21="はだか麦",リスト!$C$21="なたね"),IF(K48&lt;9,調査年-J48,調査年-J48-1),
IF(リスト!$C$21="さとうきび",IF(K48&gt;=4,調査年-J48,調査年-J48+1),
調査年-J48)))</f>
        <v>0</v>
      </c>
      <c r="AG48" s="676">
        <f t="shared" si="6"/>
        <v>0</v>
      </c>
      <c r="AH48" s="676">
        <f t="shared" si="7"/>
        <v>0</v>
      </c>
      <c r="AI48" s="676">
        <f t="shared" si="8"/>
        <v>0</v>
      </c>
      <c r="AJ48" s="676">
        <f t="shared" si="9"/>
        <v>0</v>
      </c>
      <c r="AK48" s="403"/>
      <c r="AL48" s="67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6">
        <f t="shared" si="10"/>
        <v>0</v>
      </c>
      <c r="AN48" s="676">
        <f t="shared" si="11"/>
        <v>0</v>
      </c>
      <c r="AO48" s="676">
        <f t="shared" si="12"/>
        <v>0</v>
      </c>
      <c r="AP48" s="67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6">
        <f t="shared" si="13"/>
        <v>0</v>
      </c>
      <c r="AR48" s="676">
        <f t="shared" si="14"/>
        <v>0</v>
      </c>
      <c r="AS48" s="676">
        <f t="shared" si="18"/>
        <v>0</v>
      </c>
      <c r="AT48" s="676">
        <f t="shared" si="19"/>
        <v>0</v>
      </c>
      <c r="AU48" s="676">
        <f t="shared" si="15"/>
        <v>0</v>
      </c>
      <c r="AV48" s="676">
        <f t="shared" si="16"/>
        <v>0</v>
      </c>
      <c r="AW48" s="725">
        <f t="shared" si="17"/>
        <v>0</v>
      </c>
      <c r="AX48" s="690"/>
      <c r="AY48" s="690"/>
    </row>
    <row r="49" spans="3:51" s="46" customFormat="1" ht="30.75" hidden="1" customHeight="1" outlineLevel="1">
      <c r="C49" s="726">
        <v>32</v>
      </c>
      <c r="D49" s="679"/>
      <c r="E49" s="727"/>
      <c r="F49" s="728"/>
      <c r="G49" s="2023"/>
      <c r="H49" s="2024"/>
      <c r="I49" s="683"/>
      <c r="J49" s="729"/>
      <c r="K49" s="684"/>
      <c r="L49" s="685"/>
      <c r="M49" s="685"/>
      <c r="N49" s="685"/>
      <c r="O49" s="685"/>
      <c r="P49" s="685"/>
      <c r="Q49" s="685"/>
      <c r="R49" s="1045"/>
      <c r="S49" s="686"/>
      <c r="T49" s="730"/>
      <c r="U49" s="731"/>
      <c r="V49" s="721"/>
      <c r="W49" s="732"/>
      <c r="X49" s="733"/>
      <c r="Z49" s="674">
        <f t="shared" si="2"/>
        <v>0</v>
      </c>
      <c r="AA49" s="674">
        <f t="shared" si="3"/>
        <v>0</v>
      </c>
      <c r="AB49" s="674">
        <f t="shared" si="4"/>
        <v>0</v>
      </c>
      <c r="AC49" s="674">
        <f>IF(Z49=0,,VLOOKUP(Z49,リスト!DC:DD,2,0))</f>
        <v>0</v>
      </c>
      <c r="AD49" s="674">
        <f t="shared" si="5"/>
        <v>0</v>
      </c>
      <c r="AE49" s="675">
        <f>IF(AD49=0,,VLOOKUP(AD49,リスト!DK:DL,2,0))</f>
        <v>0</v>
      </c>
      <c r="AF49" s="674">
        <f>IF(Z49=0,,
IF(OR(リスト!$C$21="小麦",リスト!$C$21="二条大麦",リスト!$C$21="六条大麦",リスト!$C$21="はだか麦",リスト!$C$21="なたね"),IF(K49&lt;9,調査年-J49,調査年-J49-1),
IF(リスト!$C$21="さとうきび",IF(K49&gt;=4,調査年-J49,調査年-J49+1),
調査年-J49)))</f>
        <v>0</v>
      </c>
      <c r="AG49" s="676">
        <f t="shared" si="6"/>
        <v>0</v>
      </c>
      <c r="AH49" s="676">
        <f t="shared" si="7"/>
        <v>0</v>
      </c>
      <c r="AI49" s="676">
        <f t="shared" si="8"/>
        <v>0</v>
      </c>
      <c r="AJ49" s="676">
        <f t="shared" si="9"/>
        <v>0</v>
      </c>
      <c r="AK49" s="403"/>
      <c r="AL49" s="67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6">
        <f t="shared" si="10"/>
        <v>0</v>
      </c>
      <c r="AN49" s="676">
        <f t="shared" si="11"/>
        <v>0</v>
      </c>
      <c r="AO49" s="676">
        <f t="shared" si="12"/>
        <v>0</v>
      </c>
      <c r="AP49" s="67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6">
        <f t="shared" si="13"/>
        <v>0</v>
      </c>
      <c r="AR49" s="676">
        <f t="shared" si="14"/>
        <v>0</v>
      </c>
      <c r="AS49" s="676">
        <f t="shared" si="18"/>
        <v>0</v>
      </c>
      <c r="AT49" s="676">
        <f t="shared" si="19"/>
        <v>0</v>
      </c>
      <c r="AU49" s="676">
        <f t="shared" si="15"/>
        <v>0</v>
      </c>
      <c r="AV49" s="676">
        <f t="shared" si="16"/>
        <v>0</v>
      </c>
      <c r="AW49" s="725">
        <f t="shared" si="17"/>
        <v>0</v>
      </c>
      <c r="AX49" s="690"/>
      <c r="AY49" s="690"/>
    </row>
    <row r="50" spans="3:51" s="46" customFormat="1" ht="30.75" hidden="1" customHeight="1" outlineLevel="1">
      <c r="C50" s="726">
        <v>33</v>
      </c>
      <c r="D50" s="691"/>
      <c r="E50" s="727"/>
      <c r="F50" s="728"/>
      <c r="G50" s="2023"/>
      <c r="H50" s="2024"/>
      <c r="I50" s="683"/>
      <c r="J50" s="729"/>
      <c r="K50" s="684"/>
      <c r="L50" s="685"/>
      <c r="M50" s="685"/>
      <c r="N50" s="685"/>
      <c r="O50" s="685"/>
      <c r="P50" s="685"/>
      <c r="Q50" s="685"/>
      <c r="R50" s="1045"/>
      <c r="S50" s="686"/>
      <c r="T50" s="730"/>
      <c r="U50" s="731"/>
      <c r="V50" s="721"/>
      <c r="W50" s="732"/>
      <c r="X50" s="733"/>
      <c r="Z50" s="674">
        <f t="shared" si="2"/>
        <v>0</v>
      </c>
      <c r="AA50" s="674">
        <f t="shared" si="3"/>
        <v>0</v>
      </c>
      <c r="AB50" s="674">
        <f t="shared" si="4"/>
        <v>0</v>
      </c>
      <c r="AC50" s="674">
        <f>IF(Z50=0,,VLOOKUP(Z50,リスト!DC:DD,2,0))</f>
        <v>0</v>
      </c>
      <c r="AD50" s="674">
        <f t="shared" si="5"/>
        <v>0</v>
      </c>
      <c r="AE50" s="675">
        <f>IF(AD50=0,,VLOOKUP(AD50,リスト!DK:DL,2,0))</f>
        <v>0</v>
      </c>
      <c r="AF50" s="674">
        <f>IF(Z50=0,,
IF(OR(リスト!$C$21="小麦",リスト!$C$21="二条大麦",リスト!$C$21="六条大麦",リスト!$C$21="はだか麦",リスト!$C$21="なたね"),IF(K50&lt;9,調査年-J50,調査年-J50-1),
IF(リスト!$C$21="さとうきび",IF(K50&gt;=4,調査年-J50,調査年-J50+1),
調査年-J50)))</f>
        <v>0</v>
      </c>
      <c r="AG50" s="676">
        <f t="shared" ref="AG50:AG81" si="20">IF(OR(Z50=0,AA50=1),,
IF(AND(AD50&gt;0,AF50&lt;AD50,AH50&lt;=ROUND((L50-1)*AE50,0)),ROUND(AH50,0),
IF(AND(AD50&gt;0,AF50&lt;AD50),ROUND((L50-1)*AE50,0),)))</f>
        <v>0</v>
      </c>
      <c r="AH50" s="676">
        <f t="shared" si="7"/>
        <v>0</v>
      </c>
      <c r="AI50" s="676">
        <f t="shared" si="8"/>
        <v>0</v>
      </c>
      <c r="AJ50" s="676">
        <f t="shared" si="9"/>
        <v>0</v>
      </c>
      <c r="AK50" s="403"/>
      <c r="AL50" s="67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6">
        <f t="shared" si="10"/>
        <v>0</v>
      </c>
      <c r="AN50" s="676">
        <f t="shared" si="11"/>
        <v>0</v>
      </c>
      <c r="AO50" s="676">
        <f t="shared" si="12"/>
        <v>0</v>
      </c>
      <c r="AP50" s="67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6">
        <f t="shared" si="13"/>
        <v>0</v>
      </c>
      <c r="AR50" s="676">
        <f t="shared" si="14"/>
        <v>0</v>
      </c>
      <c r="AS50" s="676">
        <f t="shared" si="18"/>
        <v>0</v>
      </c>
      <c r="AT50" s="676">
        <f t="shared" si="19"/>
        <v>0</v>
      </c>
      <c r="AU50" s="676">
        <f t="shared" si="15"/>
        <v>0</v>
      </c>
      <c r="AV50" s="676">
        <f t="shared" si="16"/>
        <v>0</v>
      </c>
      <c r="AW50" s="725">
        <f t="shared" si="17"/>
        <v>0</v>
      </c>
      <c r="AX50" s="690"/>
      <c r="AY50" s="690"/>
    </row>
    <row r="51" spans="3:51" s="46" customFormat="1" ht="30.75" hidden="1" customHeight="1" outlineLevel="1">
      <c r="C51" s="726">
        <v>34</v>
      </c>
      <c r="D51" s="691"/>
      <c r="E51" s="727"/>
      <c r="F51" s="728"/>
      <c r="G51" s="2023"/>
      <c r="H51" s="2024"/>
      <c r="I51" s="683"/>
      <c r="J51" s="729"/>
      <c r="K51" s="684"/>
      <c r="L51" s="685"/>
      <c r="M51" s="685"/>
      <c r="N51" s="685"/>
      <c r="O51" s="685"/>
      <c r="P51" s="685"/>
      <c r="Q51" s="685"/>
      <c r="R51" s="1045"/>
      <c r="S51" s="686"/>
      <c r="T51" s="730"/>
      <c r="U51" s="731"/>
      <c r="V51" s="721"/>
      <c r="W51" s="732"/>
      <c r="X51" s="733"/>
      <c r="Z51" s="674">
        <f t="shared" si="2"/>
        <v>0</v>
      </c>
      <c r="AA51" s="674">
        <f t="shared" si="3"/>
        <v>0</v>
      </c>
      <c r="AB51" s="674">
        <f t="shared" si="4"/>
        <v>0</v>
      </c>
      <c r="AC51" s="674">
        <f>IF(Z51=0,,VLOOKUP(Z51,リスト!DC:DD,2,0))</f>
        <v>0</v>
      </c>
      <c r="AD51" s="674">
        <f t="shared" si="5"/>
        <v>0</v>
      </c>
      <c r="AE51" s="675">
        <f>IF(AD51=0,,VLOOKUP(AD51,リスト!DK:DL,2,0))</f>
        <v>0</v>
      </c>
      <c r="AF51" s="674">
        <f>IF(Z51=0,,
IF(OR(リスト!$C$21="小麦",リスト!$C$21="二条大麦",リスト!$C$21="六条大麦",リスト!$C$21="はだか麦",リスト!$C$21="なたね"),IF(K51&lt;9,調査年-J51,調査年-J51-1),
IF(リスト!$C$21="さとうきび",IF(K51&gt;=4,調査年-J51,調査年-J51+1),
調査年-J51)))</f>
        <v>0</v>
      </c>
      <c r="AG51" s="676">
        <f t="shared" si="20"/>
        <v>0</v>
      </c>
      <c r="AH51" s="676">
        <f t="shared" si="7"/>
        <v>0</v>
      </c>
      <c r="AI51" s="676">
        <f t="shared" si="8"/>
        <v>0</v>
      </c>
      <c r="AJ51" s="676">
        <f t="shared" si="9"/>
        <v>0</v>
      </c>
      <c r="AK51" s="403"/>
      <c r="AL51" s="67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6">
        <f t="shared" si="10"/>
        <v>0</v>
      </c>
      <c r="AN51" s="676">
        <f t="shared" si="11"/>
        <v>0</v>
      </c>
      <c r="AO51" s="676">
        <f t="shared" si="12"/>
        <v>0</v>
      </c>
      <c r="AP51" s="67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6">
        <f t="shared" si="13"/>
        <v>0</v>
      </c>
      <c r="AR51" s="676">
        <f t="shared" si="14"/>
        <v>0</v>
      </c>
      <c r="AS51" s="676">
        <f t="shared" si="18"/>
        <v>0</v>
      </c>
      <c r="AT51" s="676">
        <f t="shared" si="19"/>
        <v>0</v>
      </c>
      <c r="AU51" s="676">
        <f t="shared" si="15"/>
        <v>0</v>
      </c>
      <c r="AV51" s="676">
        <f t="shared" si="16"/>
        <v>0</v>
      </c>
      <c r="AW51" s="725">
        <f t="shared" si="17"/>
        <v>0</v>
      </c>
      <c r="AX51" s="690"/>
      <c r="AY51" s="690"/>
    </row>
    <row r="52" spans="3:51" s="46" customFormat="1" ht="30.75" hidden="1" customHeight="1" outlineLevel="1">
      <c r="C52" s="726">
        <v>35</v>
      </c>
      <c r="D52" s="691"/>
      <c r="E52" s="727"/>
      <c r="F52" s="728"/>
      <c r="G52" s="2023"/>
      <c r="H52" s="2024"/>
      <c r="I52" s="683"/>
      <c r="J52" s="729"/>
      <c r="K52" s="684"/>
      <c r="L52" s="685"/>
      <c r="M52" s="685"/>
      <c r="N52" s="685"/>
      <c r="O52" s="685"/>
      <c r="P52" s="685"/>
      <c r="Q52" s="685"/>
      <c r="R52" s="1045"/>
      <c r="S52" s="686"/>
      <c r="T52" s="730"/>
      <c r="U52" s="731"/>
      <c r="V52" s="721"/>
      <c r="W52" s="732"/>
      <c r="X52" s="733"/>
      <c r="Z52" s="674">
        <f t="shared" si="2"/>
        <v>0</v>
      </c>
      <c r="AA52" s="674">
        <f t="shared" si="3"/>
        <v>0</v>
      </c>
      <c r="AB52" s="674">
        <f t="shared" si="4"/>
        <v>0</v>
      </c>
      <c r="AC52" s="674">
        <f>IF(Z52=0,,VLOOKUP(Z52,リスト!DC:DD,2,0))</f>
        <v>0</v>
      </c>
      <c r="AD52" s="674">
        <f t="shared" si="5"/>
        <v>0</v>
      </c>
      <c r="AE52" s="675">
        <f>IF(AD52=0,,VLOOKUP(AD52,リスト!DK:DL,2,0))</f>
        <v>0</v>
      </c>
      <c r="AF52" s="674">
        <f>IF(Z52=0,,
IF(OR(リスト!$C$21="小麦",リスト!$C$21="二条大麦",リスト!$C$21="六条大麦",リスト!$C$21="はだか麦",リスト!$C$21="なたね"),IF(K52&lt;9,調査年-J52,調査年-J52-1),
IF(リスト!$C$21="さとうきび",IF(K52&gt;=4,調査年-J52,調査年-J52+1),
調査年-J52)))</f>
        <v>0</v>
      </c>
      <c r="AG52" s="676">
        <f t="shared" si="20"/>
        <v>0</v>
      </c>
      <c r="AH52" s="676">
        <f t="shared" si="7"/>
        <v>0</v>
      </c>
      <c r="AI52" s="676">
        <f t="shared" si="8"/>
        <v>0</v>
      </c>
      <c r="AJ52" s="676">
        <f t="shared" si="9"/>
        <v>0</v>
      </c>
      <c r="AK52" s="403"/>
      <c r="AL52" s="67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6">
        <f t="shared" si="10"/>
        <v>0</v>
      </c>
      <c r="AN52" s="676">
        <f t="shared" si="11"/>
        <v>0</v>
      </c>
      <c r="AO52" s="676">
        <f t="shared" si="12"/>
        <v>0</v>
      </c>
      <c r="AP52" s="67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6">
        <f t="shared" si="13"/>
        <v>0</v>
      </c>
      <c r="AR52" s="676">
        <f t="shared" si="14"/>
        <v>0</v>
      </c>
      <c r="AS52" s="676">
        <f t="shared" si="18"/>
        <v>0</v>
      </c>
      <c r="AT52" s="676">
        <f t="shared" si="19"/>
        <v>0</v>
      </c>
      <c r="AU52" s="676">
        <f t="shared" si="15"/>
        <v>0</v>
      </c>
      <c r="AV52" s="676">
        <f t="shared" si="16"/>
        <v>0</v>
      </c>
      <c r="AW52" s="725">
        <f t="shared" si="17"/>
        <v>0</v>
      </c>
      <c r="AX52" s="690"/>
      <c r="AY52" s="690"/>
    </row>
    <row r="53" spans="3:51" s="46" customFormat="1" ht="30.75" hidden="1" customHeight="1" outlineLevel="1">
      <c r="C53" s="726">
        <v>36</v>
      </c>
      <c r="D53" s="691"/>
      <c r="E53" s="735"/>
      <c r="F53" s="736"/>
      <c r="G53" s="2027"/>
      <c r="H53" s="2028"/>
      <c r="I53" s="737"/>
      <c r="J53" s="738"/>
      <c r="K53" s="739"/>
      <c r="L53" s="740"/>
      <c r="M53" s="740"/>
      <c r="N53" s="740"/>
      <c r="O53" s="740"/>
      <c r="P53" s="740"/>
      <c r="Q53" s="740"/>
      <c r="R53" s="1045"/>
      <c r="S53" s="741"/>
      <c r="T53" s="742"/>
      <c r="U53" s="743"/>
      <c r="V53" s="721"/>
      <c r="W53" s="732"/>
      <c r="X53" s="733"/>
      <c r="Z53" s="674">
        <f t="shared" si="2"/>
        <v>0</v>
      </c>
      <c r="AA53" s="674">
        <f t="shared" si="3"/>
        <v>0</v>
      </c>
      <c r="AB53" s="674">
        <f t="shared" si="4"/>
        <v>0</v>
      </c>
      <c r="AC53" s="674">
        <f>IF(Z53=0,,VLOOKUP(Z53,リスト!DC:DD,2,0))</f>
        <v>0</v>
      </c>
      <c r="AD53" s="674">
        <f t="shared" si="5"/>
        <v>0</v>
      </c>
      <c r="AE53" s="675">
        <f>IF(AD53=0,,VLOOKUP(AD53,リスト!DK:DL,2,0))</f>
        <v>0</v>
      </c>
      <c r="AF53" s="674">
        <f>IF(Z53=0,,
IF(OR(リスト!$C$21="小麦",リスト!$C$21="二条大麦",リスト!$C$21="六条大麦",リスト!$C$21="はだか麦",リスト!$C$21="なたね"),IF(K53&lt;9,調査年-J53,調査年-J53-1),
IF(リスト!$C$21="さとうきび",IF(K53&gt;=4,調査年-J53,調査年-J53+1),
調査年-J53)))</f>
        <v>0</v>
      </c>
      <c r="AG53" s="676">
        <f t="shared" si="20"/>
        <v>0</v>
      </c>
      <c r="AH53" s="676">
        <f t="shared" si="7"/>
        <v>0</v>
      </c>
      <c r="AI53" s="676">
        <f t="shared" si="8"/>
        <v>0</v>
      </c>
      <c r="AJ53" s="676">
        <f t="shared" si="9"/>
        <v>0</v>
      </c>
      <c r="AK53" s="403"/>
      <c r="AL53" s="67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6">
        <f t="shared" si="10"/>
        <v>0</v>
      </c>
      <c r="AN53" s="676">
        <f t="shared" si="11"/>
        <v>0</v>
      </c>
      <c r="AO53" s="676">
        <f t="shared" si="12"/>
        <v>0</v>
      </c>
      <c r="AP53" s="67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6">
        <f t="shared" si="13"/>
        <v>0</v>
      </c>
      <c r="AR53" s="676">
        <f t="shared" si="14"/>
        <v>0</v>
      </c>
      <c r="AS53" s="676">
        <f t="shared" si="18"/>
        <v>0</v>
      </c>
      <c r="AT53" s="676">
        <f t="shared" si="19"/>
        <v>0</v>
      </c>
      <c r="AU53" s="676">
        <f t="shared" si="15"/>
        <v>0</v>
      </c>
      <c r="AV53" s="676">
        <f t="shared" si="16"/>
        <v>0</v>
      </c>
      <c r="AW53" s="725">
        <f t="shared" si="17"/>
        <v>0</v>
      </c>
      <c r="AX53" s="690"/>
      <c r="AY53" s="690"/>
    </row>
    <row r="54" spans="3:51" s="46" customFormat="1" ht="30.75" hidden="1" customHeight="1" outlineLevel="1">
      <c r="C54" s="726">
        <v>37</v>
      </c>
      <c r="D54" s="691"/>
      <c r="E54" s="727"/>
      <c r="F54" s="728"/>
      <c r="G54" s="2023"/>
      <c r="H54" s="2024"/>
      <c r="I54" s="683"/>
      <c r="J54" s="729"/>
      <c r="K54" s="684"/>
      <c r="L54" s="685"/>
      <c r="M54" s="685"/>
      <c r="N54" s="685"/>
      <c r="O54" s="685"/>
      <c r="P54" s="685"/>
      <c r="Q54" s="685"/>
      <c r="R54" s="1045"/>
      <c r="S54" s="686"/>
      <c r="T54" s="730"/>
      <c r="U54" s="731"/>
      <c r="V54" s="721"/>
      <c r="W54" s="732"/>
      <c r="X54" s="733"/>
      <c r="Z54" s="674">
        <f t="shared" si="2"/>
        <v>0</v>
      </c>
      <c r="AA54" s="674">
        <f t="shared" si="3"/>
        <v>0</v>
      </c>
      <c r="AB54" s="674">
        <f t="shared" si="4"/>
        <v>0</v>
      </c>
      <c r="AC54" s="674">
        <f>IF(Z54=0,,VLOOKUP(Z54,リスト!DC:DD,2,0))</f>
        <v>0</v>
      </c>
      <c r="AD54" s="674">
        <f t="shared" si="5"/>
        <v>0</v>
      </c>
      <c r="AE54" s="675">
        <f>IF(AD54=0,,VLOOKUP(AD54,リスト!DK:DL,2,0))</f>
        <v>0</v>
      </c>
      <c r="AF54" s="674">
        <f>IF(Z54=0,,
IF(OR(リスト!$C$21="小麦",リスト!$C$21="二条大麦",リスト!$C$21="六条大麦",リスト!$C$21="はだか麦",リスト!$C$21="なたね"),IF(K54&lt;9,調査年-J54,調査年-J54-1),
IF(リスト!$C$21="さとうきび",IF(K54&gt;=4,調査年-J54,調査年-J54+1),
調査年-J54)))</f>
        <v>0</v>
      </c>
      <c r="AG54" s="676">
        <f t="shared" si="20"/>
        <v>0</v>
      </c>
      <c r="AH54" s="676">
        <f t="shared" si="7"/>
        <v>0</v>
      </c>
      <c r="AI54" s="676">
        <f t="shared" si="8"/>
        <v>0</v>
      </c>
      <c r="AJ54" s="676">
        <f t="shared" si="9"/>
        <v>0</v>
      </c>
      <c r="AK54" s="403"/>
      <c r="AL54" s="67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6">
        <f t="shared" si="10"/>
        <v>0</v>
      </c>
      <c r="AN54" s="676">
        <f t="shared" si="11"/>
        <v>0</v>
      </c>
      <c r="AO54" s="676">
        <f t="shared" si="12"/>
        <v>0</v>
      </c>
      <c r="AP54" s="67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6">
        <f t="shared" si="13"/>
        <v>0</v>
      </c>
      <c r="AR54" s="676">
        <f t="shared" si="14"/>
        <v>0</v>
      </c>
      <c r="AS54" s="676">
        <f t="shared" si="18"/>
        <v>0</v>
      </c>
      <c r="AT54" s="676">
        <f t="shared" si="19"/>
        <v>0</v>
      </c>
      <c r="AU54" s="676">
        <f t="shared" si="15"/>
        <v>0</v>
      </c>
      <c r="AV54" s="676">
        <f t="shared" si="16"/>
        <v>0</v>
      </c>
      <c r="AW54" s="725">
        <f t="shared" si="17"/>
        <v>0</v>
      </c>
      <c r="AX54" s="690"/>
      <c r="AY54" s="690"/>
    </row>
    <row r="55" spans="3:51" s="46" customFormat="1" ht="30.75" hidden="1" customHeight="1" outlineLevel="1">
      <c r="C55" s="726">
        <v>38</v>
      </c>
      <c r="D55" s="691"/>
      <c r="E55" s="727"/>
      <c r="F55" s="728"/>
      <c r="G55" s="2023"/>
      <c r="H55" s="2024"/>
      <c r="I55" s="683"/>
      <c r="J55" s="729"/>
      <c r="K55" s="684"/>
      <c r="L55" s="685"/>
      <c r="M55" s="685"/>
      <c r="N55" s="685"/>
      <c r="O55" s="685"/>
      <c r="P55" s="685"/>
      <c r="Q55" s="685"/>
      <c r="R55" s="1045"/>
      <c r="S55" s="686"/>
      <c r="T55" s="730"/>
      <c r="U55" s="731"/>
      <c r="V55" s="721"/>
      <c r="W55" s="732"/>
      <c r="X55" s="733"/>
      <c r="Z55" s="674">
        <f t="shared" si="2"/>
        <v>0</v>
      </c>
      <c r="AA55" s="674">
        <f t="shared" si="3"/>
        <v>0</v>
      </c>
      <c r="AB55" s="674">
        <f t="shared" si="4"/>
        <v>0</v>
      </c>
      <c r="AC55" s="674">
        <f>IF(Z55=0,,VLOOKUP(Z55,リスト!DC:DD,2,0))</f>
        <v>0</v>
      </c>
      <c r="AD55" s="674">
        <f t="shared" si="5"/>
        <v>0</v>
      </c>
      <c r="AE55" s="675">
        <f>IF(AD55=0,,VLOOKUP(AD55,リスト!DK:DL,2,0))</f>
        <v>0</v>
      </c>
      <c r="AF55" s="674">
        <f>IF(Z55=0,,
IF(OR(リスト!$C$21="小麦",リスト!$C$21="二条大麦",リスト!$C$21="六条大麦",リスト!$C$21="はだか麦",リスト!$C$21="なたね"),IF(K55&lt;9,調査年-J55,調査年-J55-1),
IF(リスト!$C$21="さとうきび",IF(K55&gt;=4,調査年-J55,調査年-J55+1),
調査年-J55)))</f>
        <v>0</v>
      </c>
      <c r="AG55" s="676">
        <f t="shared" si="20"/>
        <v>0</v>
      </c>
      <c r="AH55" s="676">
        <f t="shared" si="7"/>
        <v>0</v>
      </c>
      <c r="AI55" s="676">
        <f t="shared" si="8"/>
        <v>0</v>
      </c>
      <c r="AJ55" s="676">
        <f t="shared" si="9"/>
        <v>0</v>
      </c>
      <c r="AK55" s="403"/>
      <c r="AL55" s="67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6">
        <f t="shared" si="10"/>
        <v>0</v>
      </c>
      <c r="AN55" s="676">
        <f t="shared" si="11"/>
        <v>0</v>
      </c>
      <c r="AO55" s="676">
        <f t="shared" si="12"/>
        <v>0</v>
      </c>
      <c r="AP55" s="67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6">
        <f t="shared" si="13"/>
        <v>0</v>
      </c>
      <c r="AR55" s="676">
        <f t="shared" si="14"/>
        <v>0</v>
      </c>
      <c r="AS55" s="676">
        <f t="shared" si="18"/>
        <v>0</v>
      </c>
      <c r="AT55" s="676">
        <f t="shared" si="19"/>
        <v>0</v>
      </c>
      <c r="AU55" s="676">
        <f t="shared" si="15"/>
        <v>0</v>
      </c>
      <c r="AV55" s="676">
        <f t="shared" si="16"/>
        <v>0</v>
      </c>
      <c r="AW55" s="725">
        <f t="shared" si="17"/>
        <v>0</v>
      </c>
      <c r="AX55" s="690"/>
      <c r="AY55" s="690"/>
    </row>
    <row r="56" spans="3:51" s="46" customFormat="1" ht="30.75" hidden="1" customHeight="1" outlineLevel="1">
      <c r="C56" s="726">
        <v>39</v>
      </c>
      <c r="D56" s="691"/>
      <c r="E56" s="727"/>
      <c r="F56" s="728"/>
      <c r="G56" s="2023"/>
      <c r="H56" s="2024"/>
      <c r="I56" s="683"/>
      <c r="J56" s="729"/>
      <c r="K56" s="684"/>
      <c r="L56" s="685"/>
      <c r="M56" s="685"/>
      <c r="N56" s="685"/>
      <c r="O56" s="685"/>
      <c r="P56" s="685"/>
      <c r="Q56" s="685"/>
      <c r="R56" s="1045"/>
      <c r="S56" s="686"/>
      <c r="T56" s="730"/>
      <c r="U56" s="731"/>
      <c r="V56" s="721"/>
      <c r="W56" s="732"/>
      <c r="X56" s="733"/>
      <c r="Z56" s="674">
        <f t="shared" si="2"/>
        <v>0</v>
      </c>
      <c r="AA56" s="674">
        <f t="shared" si="3"/>
        <v>0</v>
      </c>
      <c r="AB56" s="674">
        <f t="shared" si="4"/>
        <v>0</v>
      </c>
      <c r="AC56" s="674">
        <f>IF(Z56=0,,VLOOKUP(Z56,リスト!DC:DD,2,0))</f>
        <v>0</v>
      </c>
      <c r="AD56" s="674">
        <f t="shared" si="5"/>
        <v>0</v>
      </c>
      <c r="AE56" s="675">
        <f>IF(AD56=0,,VLOOKUP(AD56,リスト!DK:DL,2,0))</f>
        <v>0</v>
      </c>
      <c r="AF56" s="674">
        <f>IF(Z56=0,,
IF(OR(リスト!$C$21="小麦",リスト!$C$21="二条大麦",リスト!$C$21="六条大麦",リスト!$C$21="はだか麦",リスト!$C$21="なたね"),IF(K56&lt;9,調査年-J56,調査年-J56-1),
IF(リスト!$C$21="さとうきび",IF(K56&gt;=4,調査年-J56,調査年-J56+1),
調査年-J56)))</f>
        <v>0</v>
      </c>
      <c r="AG56" s="676">
        <f t="shared" si="20"/>
        <v>0</v>
      </c>
      <c r="AH56" s="676">
        <f t="shared" si="7"/>
        <v>0</v>
      </c>
      <c r="AI56" s="676">
        <f t="shared" si="8"/>
        <v>0</v>
      </c>
      <c r="AJ56" s="676">
        <f t="shared" si="9"/>
        <v>0</v>
      </c>
      <c r="AK56" s="403"/>
      <c r="AL56" s="67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6">
        <f t="shared" si="10"/>
        <v>0</v>
      </c>
      <c r="AN56" s="676">
        <f t="shared" si="11"/>
        <v>0</v>
      </c>
      <c r="AO56" s="676">
        <f t="shared" si="12"/>
        <v>0</v>
      </c>
      <c r="AP56" s="67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6">
        <f t="shared" si="13"/>
        <v>0</v>
      </c>
      <c r="AR56" s="676">
        <f t="shared" si="14"/>
        <v>0</v>
      </c>
      <c r="AS56" s="676">
        <f t="shared" si="18"/>
        <v>0</v>
      </c>
      <c r="AT56" s="676">
        <f t="shared" si="19"/>
        <v>0</v>
      </c>
      <c r="AU56" s="676">
        <f t="shared" si="15"/>
        <v>0</v>
      </c>
      <c r="AV56" s="676">
        <f t="shared" si="16"/>
        <v>0</v>
      </c>
      <c r="AW56" s="725">
        <f t="shared" si="17"/>
        <v>0</v>
      </c>
      <c r="AX56" s="690"/>
      <c r="AY56" s="690"/>
    </row>
    <row r="57" spans="3:51" s="46" customFormat="1" ht="30.75" hidden="1" customHeight="1" outlineLevel="1">
      <c r="C57" s="726">
        <v>40</v>
      </c>
      <c r="D57" s="691"/>
      <c r="E57" s="727"/>
      <c r="F57" s="728"/>
      <c r="G57" s="2023"/>
      <c r="H57" s="2024"/>
      <c r="I57" s="683"/>
      <c r="J57" s="729"/>
      <c r="K57" s="684"/>
      <c r="L57" s="685"/>
      <c r="M57" s="685"/>
      <c r="N57" s="685"/>
      <c r="O57" s="685"/>
      <c r="P57" s="685"/>
      <c r="Q57" s="685"/>
      <c r="R57" s="1045"/>
      <c r="S57" s="686"/>
      <c r="T57" s="730"/>
      <c r="U57" s="731"/>
      <c r="V57" s="721"/>
      <c r="W57" s="732"/>
      <c r="X57" s="733"/>
      <c r="Z57" s="674">
        <f t="shared" si="2"/>
        <v>0</v>
      </c>
      <c r="AA57" s="674">
        <f t="shared" si="3"/>
        <v>0</v>
      </c>
      <c r="AB57" s="674">
        <f t="shared" si="4"/>
        <v>0</v>
      </c>
      <c r="AC57" s="674">
        <f>IF(Z57=0,,VLOOKUP(Z57,リスト!DC:DD,2,0))</f>
        <v>0</v>
      </c>
      <c r="AD57" s="674">
        <f t="shared" si="5"/>
        <v>0</v>
      </c>
      <c r="AE57" s="675">
        <f>IF(AD57=0,,VLOOKUP(AD57,リスト!DK:DL,2,0))</f>
        <v>0</v>
      </c>
      <c r="AF57" s="674">
        <f>IF(Z57=0,,
IF(OR(リスト!$C$21="小麦",リスト!$C$21="二条大麦",リスト!$C$21="六条大麦",リスト!$C$21="はだか麦",リスト!$C$21="なたね"),IF(K57&lt;9,調査年-J57,調査年-J57-1),
IF(リスト!$C$21="さとうきび",IF(K57&gt;=4,調査年-J57,調査年-J57+1),
調査年-J57)))</f>
        <v>0</v>
      </c>
      <c r="AG57" s="676">
        <f t="shared" si="20"/>
        <v>0</v>
      </c>
      <c r="AH57" s="676">
        <f t="shared" si="7"/>
        <v>0</v>
      </c>
      <c r="AI57" s="676">
        <f t="shared" si="8"/>
        <v>0</v>
      </c>
      <c r="AJ57" s="676">
        <f t="shared" si="9"/>
        <v>0</v>
      </c>
      <c r="AK57" s="403"/>
      <c r="AL57" s="67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6">
        <f t="shared" si="10"/>
        <v>0</v>
      </c>
      <c r="AN57" s="676">
        <f t="shared" si="11"/>
        <v>0</v>
      </c>
      <c r="AO57" s="676">
        <f t="shared" si="12"/>
        <v>0</v>
      </c>
      <c r="AP57" s="67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6">
        <f t="shared" si="13"/>
        <v>0</v>
      </c>
      <c r="AR57" s="676">
        <f t="shared" si="14"/>
        <v>0</v>
      </c>
      <c r="AS57" s="676">
        <f t="shared" si="18"/>
        <v>0</v>
      </c>
      <c r="AT57" s="676">
        <f t="shared" si="19"/>
        <v>0</v>
      </c>
      <c r="AU57" s="676">
        <f t="shared" si="15"/>
        <v>0</v>
      </c>
      <c r="AV57" s="676">
        <f t="shared" si="16"/>
        <v>0</v>
      </c>
      <c r="AW57" s="725">
        <f t="shared" si="17"/>
        <v>0</v>
      </c>
      <c r="AX57" s="690"/>
      <c r="AY57" s="690"/>
    </row>
    <row r="58" spans="3:51" s="46" customFormat="1" ht="30.75" hidden="1" customHeight="1" outlineLevel="1">
      <c r="C58" s="726">
        <v>41</v>
      </c>
      <c r="D58" s="691"/>
      <c r="E58" s="735"/>
      <c r="F58" s="736"/>
      <c r="G58" s="2027"/>
      <c r="H58" s="2028"/>
      <c r="I58" s="737"/>
      <c r="J58" s="738"/>
      <c r="K58" s="739"/>
      <c r="L58" s="740"/>
      <c r="M58" s="740"/>
      <c r="N58" s="740"/>
      <c r="O58" s="740"/>
      <c r="P58" s="740"/>
      <c r="Q58" s="740"/>
      <c r="R58" s="1045"/>
      <c r="S58" s="741"/>
      <c r="T58" s="742"/>
      <c r="U58" s="743"/>
      <c r="V58" s="721"/>
      <c r="W58" s="732"/>
      <c r="X58" s="733"/>
      <c r="Z58" s="674">
        <f t="shared" si="2"/>
        <v>0</v>
      </c>
      <c r="AA58" s="674">
        <f t="shared" si="3"/>
        <v>0</v>
      </c>
      <c r="AB58" s="674">
        <f t="shared" si="4"/>
        <v>0</v>
      </c>
      <c r="AC58" s="674">
        <f>IF(Z58=0,,VLOOKUP(Z58,リスト!DC:DD,2,0))</f>
        <v>0</v>
      </c>
      <c r="AD58" s="674">
        <f t="shared" si="5"/>
        <v>0</v>
      </c>
      <c r="AE58" s="675">
        <f>IF(AD58=0,,VLOOKUP(AD58,リスト!DK:DL,2,0))</f>
        <v>0</v>
      </c>
      <c r="AF58" s="674">
        <f>IF(Z58=0,,
IF(OR(リスト!$C$21="小麦",リスト!$C$21="二条大麦",リスト!$C$21="六条大麦",リスト!$C$21="はだか麦",リスト!$C$21="なたね"),IF(K58&lt;9,調査年-J58,調査年-J58-1),
IF(リスト!$C$21="さとうきび",IF(K58&gt;=4,調査年-J58,調査年-J58+1),
調査年-J58)))</f>
        <v>0</v>
      </c>
      <c r="AG58" s="676">
        <f t="shared" si="20"/>
        <v>0</v>
      </c>
      <c r="AH58" s="676">
        <f t="shared" si="7"/>
        <v>0</v>
      </c>
      <c r="AI58" s="676">
        <f t="shared" si="8"/>
        <v>0</v>
      </c>
      <c r="AJ58" s="676">
        <f t="shared" si="9"/>
        <v>0</v>
      </c>
      <c r="AK58" s="403"/>
      <c r="AL58" s="67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6">
        <f t="shared" si="10"/>
        <v>0</v>
      </c>
      <c r="AN58" s="676">
        <f t="shared" si="11"/>
        <v>0</v>
      </c>
      <c r="AO58" s="676">
        <f t="shared" si="12"/>
        <v>0</v>
      </c>
      <c r="AP58" s="67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6">
        <f t="shared" si="13"/>
        <v>0</v>
      </c>
      <c r="AR58" s="676">
        <f t="shared" si="14"/>
        <v>0</v>
      </c>
      <c r="AS58" s="676">
        <f t="shared" si="18"/>
        <v>0</v>
      </c>
      <c r="AT58" s="676">
        <f t="shared" si="19"/>
        <v>0</v>
      </c>
      <c r="AU58" s="676">
        <f t="shared" si="15"/>
        <v>0</v>
      </c>
      <c r="AV58" s="676">
        <f t="shared" si="16"/>
        <v>0</v>
      </c>
      <c r="AW58" s="725">
        <f t="shared" si="17"/>
        <v>0</v>
      </c>
      <c r="AX58" s="690"/>
      <c r="AY58" s="690"/>
    </row>
    <row r="59" spans="3:51" s="46" customFormat="1" ht="30.75" hidden="1" customHeight="1" outlineLevel="1">
      <c r="C59" s="726">
        <v>42</v>
      </c>
      <c r="D59" s="691"/>
      <c r="E59" s="727"/>
      <c r="F59" s="728"/>
      <c r="G59" s="2023"/>
      <c r="H59" s="2024"/>
      <c r="I59" s="683"/>
      <c r="J59" s="729"/>
      <c r="K59" s="684"/>
      <c r="L59" s="685"/>
      <c r="M59" s="685"/>
      <c r="N59" s="685"/>
      <c r="O59" s="685"/>
      <c r="P59" s="685"/>
      <c r="Q59" s="685"/>
      <c r="R59" s="1045"/>
      <c r="S59" s="686"/>
      <c r="T59" s="730"/>
      <c r="U59" s="731"/>
      <c r="V59" s="721"/>
      <c r="W59" s="732"/>
      <c r="X59" s="733"/>
      <c r="Z59" s="674">
        <f t="shared" si="2"/>
        <v>0</v>
      </c>
      <c r="AA59" s="674">
        <f t="shared" si="3"/>
        <v>0</v>
      </c>
      <c r="AB59" s="674">
        <f t="shared" si="4"/>
        <v>0</v>
      </c>
      <c r="AC59" s="674">
        <f>IF(Z59=0,,VLOOKUP(Z59,リスト!DC:DD,2,0))</f>
        <v>0</v>
      </c>
      <c r="AD59" s="674">
        <f t="shared" si="5"/>
        <v>0</v>
      </c>
      <c r="AE59" s="675">
        <f>IF(AD59=0,,VLOOKUP(AD59,リスト!DK:DL,2,0))</f>
        <v>0</v>
      </c>
      <c r="AF59" s="674">
        <f>IF(Z59=0,,
IF(OR(リスト!$C$21="小麦",リスト!$C$21="二条大麦",リスト!$C$21="六条大麦",リスト!$C$21="はだか麦",リスト!$C$21="なたね"),IF(K59&lt;9,調査年-J59,調査年-J59-1),
IF(リスト!$C$21="さとうきび",IF(K59&gt;=4,調査年-J59,調査年-J59+1),
調査年-J59)))</f>
        <v>0</v>
      </c>
      <c r="AG59" s="676">
        <f t="shared" si="20"/>
        <v>0</v>
      </c>
      <c r="AH59" s="676">
        <f t="shared" si="7"/>
        <v>0</v>
      </c>
      <c r="AI59" s="676">
        <f t="shared" si="8"/>
        <v>0</v>
      </c>
      <c r="AJ59" s="676">
        <f t="shared" si="9"/>
        <v>0</v>
      </c>
      <c r="AK59" s="403"/>
      <c r="AL59" s="67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6">
        <f t="shared" si="10"/>
        <v>0</v>
      </c>
      <c r="AN59" s="676">
        <f t="shared" si="11"/>
        <v>0</v>
      </c>
      <c r="AO59" s="676">
        <f t="shared" si="12"/>
        <v>0</v>
      </c>
      <c r="AP59" s="67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6">
        <f t="shared" si="13"/>
        <v>0</v>
      </c>
      <c r="AR59" s="676">
        <f t="shared" si="14"/>
        <v>0</v>
      </c>
      <c r="AS59" s="676">
        <f t="shared" si="18"/>
        <v>0</v>
      </c>
      <c r="AT59" s="676">
        <f t="shared" si="19"/>
        <v>0</v>
      </c>
      <c r="AU59" s="676">
        <f t="shared" si="15"/>
        <v>0</v>
      </c>
      <c r="AV59" s="676">
        <f t="shared" si="16"/>
        <v>0</v>
      </c>
      <c r="AW59" s="725">
        <f t="shared" si="17"/>
        <v>0</v>
      </c>
      <c r="AX59" s="690"/>
      <c r="AY59" s="690"/>
    </row>
    <row r="60" spans="3:51" s="46" customFormat="1" ht="30.75" hidden="1" customHeight="1" outlineLevel="1">
      <c r="C60" s="726">
        <v>43</v>
      </c>
      <c r="D60" s="691"/>
      <c r="E60" s="727"/>
      <c r="F60" s="728"/>
      <c r="G60" s="2023"/>
      <c r="H60" s="2024"/>
      <c r="I60" s="683"/>
      <c r="J60" s="729"/>
      <c r="K60" s="684"/>
      <c r="L60" s="685"/>
      <c r="M60" s="685"/>
      <c r="N60" s="685"/>
      <c r="O60" s="685"/>
      <c r="P60" s="685"/>
      <c r="Q60" s="685"/>
      <c r="R60" s="1045"/>
      <c r="S60" s="686"/>
      <c r="T60" s="730"/>
      <c r="U60" s="731"/>
      <c r="V60" s="721"/>
      <c r="W60" s="732"/>
      <c r="X60" s="733"/>
      <c r="Z60" s="674">
        <f t="shared" si="2"/>
        <v>0</v>
      </c>
      <c r="AA60" s="674">
        <f t="shared" si="3"/>
        <v>0</v>
      </c>
      <c r="AB60" s="674">
        <f t="shared" si="4"/>
        <v>0</v>
      </c>
      <c r="AC60" s="674">
        <f>IF(Z60=0,,VLOOKUP(Z60,リスト!DC:DD,2,0))</f>
        <v>0</v>
      </c>
      <c r="AD60" s="674">
        <f t="shared" si="5"/>
        <v>0</v>
      </c>
      <c r="AE60" s="675">
        <f>IF(AD60=0,,VLOOKUP(AD60,リスト!DK:DL,2,0))</f>
        <v>0</v>
      </c>
      <c r="AF60" s="674">
        <f>IF(Z60=0,,
IF(OR(リスト!$C$21="小麦",リスト!$C$21="二条大麦",リスト!$C$21="六条大麦",リスト!$C$21="はだか麦",リスト!$C$21="なたね"),IF(K60&lt;9,調査年-J60,調査年-J60-1),
IF(リスト!$C$21="さとうきび",IF(K60&gt;=4,調査年-J60,調査年-J60+1),
調査年-J60)))</f>
        <v>0</v>
      </c>
      <c r="AG60" s="676">
        <f t="shared" si="20"/>
        <v>0</v>
      </c>
      <c r="AH60" s="676">
        <f t="shared" si="7"/>
        <v>0</v>
      </c>
      <c r="AI60" s="676">
        <f t="shared" si="8"/>
        <v>0</v>
      </c>
      <c r="AJ60" s="676">
        <f t="shared" si="9"/>
        <v>0</v>
      </c>
      <c r="AK60" s="403"/>
      <c r="AL60" s="67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6">
        <f t="shared" si="10"/>
        <v>0</v>
      </c>
      <c r="AN60" s="676">
        <f t="shared" si="11"/>
        <v>0</v>
      </c>
      <c r="AO60" s="676">
        <f t="shared" si="12"/>
        <v>0</v>
      </c>
      <c r="AP60" s="67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6">
        <f t="shared" si="13"/>
        <v>0</v>
      </c>
      <c r="AR60" s="676">
        <f t="shared" si="14"/>
        <v>0</v>
      </c>
      <c r="AS60" s="676">
        <f t="shared" si="18"/>
        <v>0</v>
      </c>
      <c r="AT60" s="676">
        <f t="shared" si="19"/>
        <v>0</v>
      </c>
      <c r="AU60" s="676">
        <f t="shared" si="15"/>
        <v>0</v>
      </c>
      <c r="AV60" s="676">
        <f t="shared" si="16"/>
        <v>0</v>
      </c>
      <c r="AW60" s="725">
        <f t="shared" si="17"/>
        <v>0</v>
      </c>
      <c r="AX60" s="690"/>
      <c r="AY60" s="690"/>
    </row>
    <row r="61" spans="3:51" s="46" customFormat="1" ht="30.75" hidden="1" customHeight="1" outlineLevel="1">
      <c r="C61" s="726">
        <v>44</v>
      </c>
      <c r="D61" s="691"/>
      <c r="E61" s="727"/>
      <c r="F61" s="728"/>
      <c r="G61" s="2023"/>
      <c r="H61" s="2024"/>
      <c r="I61" s="683"/>
      <c r="J61" s="729"/>
      <c r="K61" s="684"/>
      <c r="L61" s="685"/>
      <c r="M61" s="685"/>
      <c r="N61" s="685"/>
      <c r="O61" s="685"/>
      <c r="P61" s="685"/>
      <c r="Q61" s="685"/>
      <c r="R61" s="1045"/>
      <c r="S61" s="686"/>
      <c r="T61" s="730"/>
      <c r="U61" s="731"/>
      <c r="V61" s="721"/>
      <c r="W61" s="732"/>
      <c r="X61" s="733"/>
      <c r="Z61" s="674">
        <f t="shared" si="2"/>
        <v>0</v>
      </c>
      <c r="AA61" s="674">
        <f t="shared" si="3"/>
        <v>0</v>
      </c>
      <c r="AB61" s="674">
        <f t="shared" si="4"/>
        <v>0</v>
      </c>
      <c r="AC61" s="674">
        <f>IF(Z61=0,,VLOOKUP(Z61,リスト!DC:DD,2,0))</f>
        <v>0</v>
      </c>
      <c r="AD61" s="674">
        <f t="shared" si="5"/>
        <v>0</v>
      </c>
      <c r="AE61" s="675">
        <f>IF(AD61=0,,VLOOKUP(AD61,リスト!DK:DL,2,0))</f>
        <v>0</v>
      </c>
      <c r="AF61" s="674">
        <f>IF(Z61=0,,
IF(OR(リスト!$C$21="小麦",リスト!$C$21="二条大麦",リスト!$C$21="六条大麦",リスト!$C$21="はだか麦",リスト!$C$21="なたね"),IF(K61&lt;9,調査年-J61,調査年-J61-1),
IF(リスト!$C$21="さとうきび",IF(K61&gt;=4,調査年-J61,調査年-J61+1),
調査年-J61)))</f>
        <v>0</v>
      </c>
      <c r="AG61" s="676">
        <f t="shared" si="20"/>
        <v>0</v>
      </c>
      <c r="AH61" s="676">
        <f t="shared" si="7"/>
        <v>0</v>
      </c>
      <c r="AI61" s="676">
        <f t="shared" si="8"/>
        <v>0</v>
      </c>
      <c r="AJ61" s="676">
        <f t="shared" si="9"/>
        <v>0</v>
      </c>
      <c r="AK61" s="403"/>
      <c r="AL61" s="67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6">
        <f t="shared" si="10"/>
        <v>0</v>
      </c>
      <c r="AN61" s="676">
        <f t="shared" si="11"/>
        <v>0</v>
      </c>
      <c r="AO61" s="676">
        <f t="shared" si="12"/>
        <v>0</v>
      </c>
      <c r="AP61" s="67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6">
        <f t="shared" si="13"/>
        <v>0</v>
      </c>
      <c r="AR61" s="676">
        <f t="shared" si="14"/>
        <v>0</v>
      </c>
      <c r="AS61" s="676">
        <f t="shared" si="18"/>
        <v>0</v>
      </c>
      <c r="AT61" s="676">
        <f t="shared" si="19"/>
        <v>0</v>
      </c>
      <c r="AU61" s="676">
        <f t="shared" si="15"/>
        <v>0</v>
      </c>
      <c r="AV61" s="676">
        <f t="shared" si="16"/>
        <v>0</v>
      </c>
      <c r="AW61" s="725">
        <f t="shared" si="17"/>
        <v>0</v>
      </c>
      <c r="AX61" s="690"/>
      <c r="AY61" s="690"/>
    </row>
    <row r="62" spans="3:51" s="46" customFormat="1" ht="30.75" hidden="1" customHeight="1" outlineLevel="1">
      <c r="C62" s="726">
        <v>45</v>
      </c>
      <c r="D62" s="691"/>
      <c r="E62" s="727"/>
      <c r="F62" s="728"/>
      <c r="G62" s="2023"/>
      <c r="H62" s="2024"/>
      <c r="I62" s="683"/>
      <c r="J62" s="729"/>
      <c r="K62" s="684"/>
      <c r="L62" s="685"/>
      <c r="M62" s="685"/>
      <c r="N62" s="685"/>
      <c r="O62" s="685"/>
      <c r="P62" s="685"/>
      <c r="Q62" s="685"/>
      <c r="R62" s="1045"/>
      <c r="S62" s="686"/>
      <c r="T62" s="730"/>
      <c r="U62" s="731"/>
      <c r="V62" s="721"/>
      <c r="W62" s="732"/>
      <c r="X62" s="733"/>
      <c r="Z62" s="674">
        <f t="shared" si="2"/>
        <v>0</v>
      </c>
      <c r="AA62" s="674">
        <f t="shared" si="3"/>
        <v>0</v>
      </c>
      <c r="AB62" s="674">
        <f t="shared" si="4"/>
        <v>0</v>
      </c>
      <c r="AC62" s="674">
        <f>IF(Z62=0,,VLOOKUP(Z62,リスト!DC:DD,2,0))</f>
        <v>0</v>
      </c>
      <c r="AD62" s="674">
        <f t="shared" si="5"/>
        <v>0</v>
      </c>
      <c r="AE62" s="675">
        <f>IF(AD62=0,,VLOOKUP(AD62,リスト!DK:DL,2,0))</f>
        <v>0</v>
      </c>
      <c r="AF62" s="674">
        <f>IF(Z62=0,,
IF(OR(リスト!$C$21="小麦",リスト!$C$21="二条大麦",リスト!$C$21="六条大麦",リスト!$C$21="はだか麦",リスト!$C$21="なたね"),IF(K62&lt;9,調査年-J62,調査年-J62-1),
IF(リスト!$C$21="さとうきび",IF(K62&gt;=4,調査年-J62,調査年-J62+1),
調査年-J62)))</f>
        <v>0</v>
      </c>
      <c r="AG62" s="676">
        <f t="shared" si="20"/>
        <v>0</v>
      </c>
      <c r="AH62" s="676">
        <f t="shared" si="7"/>
        <v>0</v>
      </c>
      <c r="AI62" s="676">
        <f t="shared" si="8"/>
        <v>0</v>
      </c>
      <c r="AJ62" s="676">
        <f t="shared" si="9"/>
        <v>0</v>
      </c>
      <c r="AK62" s="403"/>
      <c r="AL62" s="67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6">
        <f t="shared" si="10"/>
        <v>0</v>
      </c>
      <c r="AN62" s="676">
        <f t="shared" si="11"/>
        <v>0</v>
      </c>
      <c r="AO62" s="676">
        <f t="shared" si="12"/>
        <v>0</v>
      </c>
      <c r="AP62" s="67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6">
        <f t="shared" si="13"/>
        <v>0</v>
      </c>
      <c r="AR62" s="676">
        <f t="shared" si="14"/>
        <v>0</v>
      </c>
      <c r="AS62" s="676">
        <f t="shared" si="18"/>
        <v>0</v>
      </c>
      <c r="AT62" s="676">
        <f t="shared" si="19"/>
        <v>0</v>
      </c>
      <c r="AU62" s="676">
        <f t="shared" si="15"/>
        <v>0</v>
      </c>
      <c r="AV62" s="676">
        <f t="shared" si="16"/>
        <v>0</v>
      </c>
      <c r="AW62" s="725">
        <f t="shared" si="17"/>
        <v>0</v>
      </c>
      <c r="AX62" s="690"/>
      <c r="AY62" s="690"/>
    </row>
    <row r="63" spans="3:51" s="46" customFormat="1" ht="30.75" hidden="1" customHeight="1" outlineLevel="1">
      <c r="C63" s="726">
        <v>46</v>
      </c>
      <c r="D63" s="691"/>
      <c r="E63" s="735"/>
      <c r="F63" s="736"/>
      <c r="G63" s="2027"/>
      <c r="H63" s="2028"/>
      <c r="I63" s="737"/>
      <c r="J63" s="738"/>
      <c r="K63" s="739"/>
      <c r="L63" s="740"/>
      <c r="M63" s="740"/>
      <c r="N63" s="740"/>
      <c r="O63" s="740"/>
      <c r="P63" s="740"/>
      <c r="Q63" s="740"/>
      <c r="R63" s="1045"/>
      <c r="S63" s="741"/>
      <c r="T63" s="742"/>
      <c r="U63" s="743"/>
      <c r="V63" s="721"/>
      <c r="W63" s="732"/>
      <c r="X63" s="733"/>
      <c r="Z63" s="674">
        <f t="shared" si="2"/>
        <v>0</v>
      </c>
      <c r="AA63" s="674">
        <f t="shared" si="3"/>
        <v>0</v>
      </c>
      <c r="AB63" s="674">
        <f t="shared" si="4"/>
        <v>0</v>
      </c>
      <c r="AC63" s="674">
        <f>IF(Z63=0,,VLOOKUP(Z63,リスト!DC:DD,2,0))</f>
        <v>0</v>
      </c>
      <c r="AD63" s="674">
        <f t="shared" si="5"/>
        <v>0</v>
      </c>
      <c r="AE63" s="675">
        <f>IF(AD63=0,,VLOOKUP(AD63,リスト!DK:DL,2,0))</f>
        <v>0</v>
      </c>
      <c r="AF63" s="674">
        <f>IF(Z63=0,,
IF(OR(リスト!$C$21="小麦",リスト!$C$21="二条大麦",リスト!$C$21="六条大麦",リスト!$C$21="はだか麦",リスト!$C$21="なたね"),IF(K63&lt;9,調査年-J63,調査年-J63-1),
IF(リスト!$C$21="さとうきび",IF(K63&gt;=4,調査年-J63,調査年-J63+1),
調査年-J63)))</f>
        <v>0</v>
      </c>
      <c r="AG63" s="676">
        <f t="shared" si="20"/>
        <v>0</v>
      </c>
      <c r="AH63" s="676">
        <f t="shared" si="7"/>
        <v>0</v>
      </c>
      <c r="AI63" s="676">
        <f t="shared" si="8"/>
        <v>0</v>
      </c>
      <c r="AJ63" s="676">
        <f t="shared" si="9"/>
        <v>0</v>
      </c>
      <c r="AK63" s="403"/>
      <c r="AL63" s="67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6">
        <f t="shared" si="10"/>
        <v>0</v>
      </c>
      <c r="AN63" s="676">
        <f t="shared" si="11"/>
        <v>0</v>
      </c>
      <c r="AO63" s="676">
        <f t="shared" si="12"/>
        <v>0</v>
      </c>
      <c r="AP63" s="67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6">
        <f t="shared" si="13"/>
        <v>0</v>
      </c>
      <c r="AR63" s="676">
        <f t="shared" si="14"/>
        <v>0</v>
      </c>
      <c r="AS63" s="676">
        <f t="shared" si="18"/>
        <v>0</v>
      </c>
      <c r="AT63" s="676">
        <f t="shared" si="19"/>
        <v>0</v>
      </c>
      <c r="AU63" s="676">
        <f t="shared" si="15"/>
        <v>0</v>
      </c>
      <c r="AV63" s="676">
        <f t="shared" si="16"/>
        <v>0</v>
      </c>
      <c r="AW63" s="725">
        <f t="shared" si="17"/>
        <v>0</v>
      </c>
      <c r="AX63" s="690"/>
      <c r="AY63" s="690"/>
    </row>
    <row r="64" spans="3:51" s="46" customFormat="1" ht="30.75" hidden="1" customHeight="1" outlineLevel="1">
      <c r="C64" s="726">
        <v>47</v>
      </c>
      <c r="D64" s="691"/>
      <c r="E64" s="727"/>
      <c r="F64" s="728"/>
      <c r="G64" s="2023"/>
      <c r="H64" s="2024"/>
      <c r="I64" s="683"/>
      <c r="J64" s="729"/>
      <c r="K64" s="684"/>
      <c r="L64" s="685"/>
      <c r="M64" s="685"/>
      <c r="N64" s="685"/>
      <c r="O64" s="685"/>
      <c r="P64" s="685"/>
      <c r="Q64" s="685"/>
      <c r="R64" s="1045"/>
      <c r="S64" s="686"/>
      <c r="T64" s="730"/>
      <c r="U64" s="731"/>
      <c r="V64" s="721"/>
      <c r="W64" s="732"/>
      <c r="X64" s="733"/>
      <c r="Z64" s="674">
        <f t="shared" si="2"/>
        <v>0</v>
      </c>
      <c r="AA64" s="674">
        <f t="shared" si="3"/>
        <v>0</v>
      </c>
      <c r="AB64" s="674">
        <f t="shared" si="4"/>
        <v>0</v>
      </c>
      <c r="AC64" s="674">
        <f>IF(Z64=0,,VLOOKUP(Z64,リスト!DC:DD,2,0))</f>
        <v>0</v>
      </c>
      <c r="AD64" s="674">
        <f t="shared" si="5"/>
        <v>0</v>
      </c>
      <c r="AE64" s="675">
        <f>IF(AD64=0,,VLOOKUP(AD64,リスト!DK:DL,2,0))</f>
        <v>0</v>
      </c>
      <c r="AF64" s="674">
        <f>IF(Z64=0,,
IF(OR(リスト!$C$21="小麦",リスト!$C$21="二条大麦",リスト!$C$21="六条大麦",リスト!$C$21="はだか麦",リスト!$C$21="なたね"),IF(K64&lt;9,調査年-J64,調査年-J64-1),
IF(リスト!$C$21="さとうきび",IF(K64&gt;=4,調査年-J64,調査年-J64+1),
調査年-J64)))</f>
        <v>0</v>
      </c>
      <c r="AG64" s="676">
        <f t="shared" si="20"/>
        <v>0</v>
      </c>
      <c r="AH64" s="676">
        <f t="shared" si="7"/>
        <v>0</v>
      </c>
      <c r="AI64" s="676">
        <f t="shared" si="8"/>
        <v>0</v>
      </c>
      <c r="AJ64" s="676">
        <f t="shared" si="9"/>
        <v>0</v>
      </c>
      <c r="AK64" s="403"/>
      <c r="AL64" s="67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6">
        <f t="shared" si="10"/>
        <v>0</v>
      </c>
      <c r="AN64" s="676">
        <f t="shared" si="11"/>
        <v>0</v>
      </c>
      <c r="AO64" s="676">
        <f t="shared" si="12"/>
        <v>0</v>
      </c>
      <c r="AP64" s="67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6">
        <f t="shared" si="13"/>
        <v>0</v>
      </c>
      <c r="AR64" s="676">
        <f t="shared" si="14"/>
        <v>0</v>
      </c>
      <c r="AS64" s="676">
        <f t="shared" si="18"/>
        <v>0</v>
      </c>
      <c r="AT64" s="676">
        <f t="shared" si="19"/>
        <v>0</v>
      </c>
      <c r="AU64" s="676">
        <f t="shared" si="15"/>
        <v>0</v>
      </c>
      <c r="AV64" s="676">
        <f t="shared" si="16"/>
        <v>0</v>
      </c>
      <c r="AW64" s="725">
        <f t="shared" si="17"/>
        <v>0</v>
      </c>
      <c r="AX64" s="690"/>
      <c r="AY64" s="690"/>
    </row>
    <row r="65" spans="3:51" s="46" customFormat="1" ht="30.75" hidden="1" customHeight="1" outlineLevel="1">
      <c r="C65" s="726">
        <v>48</v>
      </c>
      <c r="D65" s="691"/>
      <c r="E65" s="727"/>
      <c r="F65" s="728"/>
      <c r="G65" s="2023"/>
      <c r="H65" s="2024"/>
      <c r="I65" s="683"/>
      <c r="J65" s="729"/>
      <c r="K65" s="684"/>
      <c r="L65" s="685"/>
      <c r="M65" s="685"/>
      <c r="N65" s="685"/>
      <c r="O65" s="685"/>
      <c r="P65" s="685"/>
      <c r="Q65" s="685"/>
      <c r="R65" s="1045"/>
      <c r="S65" s="686"/>
      <c r="T65" s="730"/>
      <c r="U65" s="731"/>
      <c r="V65" s="721"/>
      <c r="W65" s="732"/>
      <c r="X65" s="733"/>
      <c r="Z65" s="674">
        <f t="shared" si="2"/>
        <v>0</v>
      </c>
      <c r="AA65" s="674">
        <f t="shared" si="3"/>
        <v>0</v>
      </c>
      <c r="AB65" s="674">
        <f t="shared" si="4"/>
        <v>0</v>
      </c>
      <c r="AC65" s="674">
        <f>IF(Z65=0,,VLOOKUP(Z65,リスト!DC:DD,2,0))</f>
        <v>0</v>
      </c>
      <c r="AD65" s="674">
        <f t="shared" si="5"/>
        <v>0</v>
      </c>
      <c r="AE65" s="675">
        <f>IF(AD65=0,,VLOOKUP(AD65,リスト!DK:DL,2,0))</f>
        <v>0</v>
      </c>
      <c r="AF65" s="674">
        <f>IF(Z65=0,,
IF(OR(リスト!$C$21="小麦",リスト!$C$21="二条大麦",リスト!$C$21="六条大麦",リスト!$C$21="はだか麦",リスト!$C$21="なたね"),IF(K65&lt;9,調査年-J65,調査年-J65-1),
IF(リスト!$C$21="さとうきび",IF(K65&gt;=4,調査年-J65,調査年-J65+1),
調査年-J65)))</f>
        <v>0</v>
      </c>
      <c r="AG65" s="676">
        <f t="shared" si="20"/>
        <v>0</v>
      </c>
      <c r="AH65" s="676">
        <f t="shared" si="7"/>
        <v>0</v>
      </c>
      <c r="AI65" s="676">
        <f t="shared" si="8"/>
        <v>0</v>
      </c>
      <c r="AJ65" s="676">
        <f t="shared" si="9"/>
        <v>0</v>
      </c>
      <c r="AK65" s="403"/>
      <c r="AL65" s="67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6">
        <f t="shared" si="10"/>
        <v>0</v>
      </c>
      <c r="AN65" s="676">
        <f t="shared" si="11"/>
        <v>0</v>
      </c>
      <c r="AO65" s="676">
        <f t="shared" si="12"/>
        <v>0</v>
      </c>
      <c r="AP65" s="67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6">
        <f t="shared" si="13"/>
        <v>0</v>
      </c>
      <c r="AR65" s="676">
        <f t="shared" si="14"/>
        <v>0</v>
      </c>
      <c r="AS65" s="676">
        <f t="shared" si="18"/>
        <v>0</v>
      </c>
      <c r="AT65" s="676">
        <f t="shared" si="19"/>
        <v>0</v>
      </c>
      <c r="AU65" s="676">
        <f t="shared" si="15"/>
        <v>0</v>
      </c>
      <c r="AV65" s="676">
        <f t="shared" si="16"/>
        <v>0</v>
      </c>
      <c r="AW65" s="725">
        <f t="shared" si="17"/>
        <v>0</v>
      </c>
      <c r="AX65" s="690"/>
      <c r="AY65" s="690"/>
    </row>
    <row r="66" spans="3:51" s="46" customFormat="1" ht="30.75" hidden="1" customHeight="1" outlineLevel="1">
      <c r="C66" s="726">
        <v>49</v>
      </c>
      <c r="D66" s="691"/>
      <c r="E66" s="727"/>
      <c r="F66" s="728"/>
      <c r="G66" s="2023"/>
      <c r="H66" s="2024"/>
      <c r="I66" s="683"/>
      <c r="J66" s="729"/>
      <c r="K66" s="684"/>
      <c r="L66" s="685"/>
      <c r="M66" s="685"/>
      <c r="N66" s="685"/>
      <c r="O66" s="685"/>
      <c r="P66" s="685"/>
      <c r="Q66" s="685"/>
      <c r="R66" s="1045"/>
      <c r="S66" s="686"/>
      <c r="T66" s="730"/>
      <c r="U66" s="731"/>
      <c r="V66" s="721"/>
      <c r="W66" s="732"/>
      <c r="X66" s="733"/>
      <c r="Z66" s="674">
        <f t="shared" si="2"/>
        <v>0</v>
      </c>
      <c r="AA66" s="674">
        <f t="shared" si="3"/>
        <v>0</v>
      </c>
      <c r="AB66" s="674">
        <f t="shared" si="4"/>
        <v>0</v>
      </c>
      <c r="AC66" s="674">
        <f>IF(Z66=0,,VLOOKUP(Z66,リスト!DC:DD,2,0))</f>
        <v>0</v>
      </c>
      <c r="AD66" s="674">
        <f t="shared" si="5"/>
        <v>0</v>
      </c>
      <c r="AE66" s="675">
        <f>IF(AD66=0,,VLOOKUP(AD66,リスト!DK:DL,2,0))</f>
        <v>0</v>
      </c>
      <c r="AF66" s="674">
        <f>IF(Z66=0,,
IF(OR(リスト!$C$21="小麦",リスト!$C$21="二条大麦",リスト!$C$21="六条大麦",リスト!$C$21="はだか麦",リスト!$C$21="なたね"),IF(K66&lt;9,調査年-J66,調査年-J66-1),
IF(リスト!$C$21="さとうきび",IF(K66&gt;=4,調査年-J66,調査年-J66+1),
調査年-J66)))</f>
        <v>0</v>
      </c>
      <c r="AG66" s="676">
        <f t="shared" si="20"/>
        <v>0</v>
      </c>
      <c r="AH66" s="676">
        <f t="shared" si="7"/>
        <v>0</v>
      </c>
      <c r="AI66" s="676">
        <f t="shared" si="8"/>
        <v>0</v>
      </c>
      <c r="AJ66" s="676">
        <f t="shared" si="9"/>
        <v>0</v>
      </c>
      <c r="AK66" s="403"/>
      <c r="AL66" s="67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6">
        <f t="shared" si="10"/>
        <v>0</v>
      </c>
      <c r="AN66" s="676">
        <f t="shared" si="11"/>
        <v>0</v>
      </c>
      <c r="AO66" s="676">
        <f t="shared" si="12"/>
        <v>0</v>
      </c>
      <c r="AP66" s="67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6">
        <f t="shared" si="13"/>
        <v>0</v>
      </c>
      <c r="AR66" s="676">
        <f t="shared" si="14"/>
        <v>0</v>
      </c>
      <c r="AS66" s="676">
        <f t="shared" si="18"/>
        <v>0</v>
      </c>
      <c r="AT66" s="676">
        <f t="shared" si="19"/>
        <v>0</v>
      </c>
      <c r="AU66" s="676">
        <f t="shared" si="15"/>
        <v>0</v>
      </c>
      <c r="AV66" s="676">
        <f t="shared" si="16"/>
        <v>0</v>
      </c>
      <c r="AW66" s="725">
        <f t="shared" si="17"/>
        <v>0</v>
      </c>
      <c r="AX66" s="690"/>
      <c r="AY66" s="690"/>
    </row>
    <row r="67" spans="3:51" s="46" customFormat="1" ht="30.75" hidden="1" customHeight="1" outlineLevel="1">
      <c r="C67" s="726">
        <v>50</v>
      </c>
      <c r="D67" s="691"/>
      <c r="E67" s="727"/>
      <c r="F67" s="728"/>
      <c r="G67" s="2023"/>
      <c r="H67" s="2024"/>
      <c r="I67" s="683"/>
      <c r="J67" s="729"/>
      <c r="K67" s="684"/>
      <c r="L67" s="685"/>
      <c r="M67" s="685"/>
      <c r="N67" s="685"/>
      <c r="O67" s="685"/>
      <c r="P67" s="685"/>
      <c r="Q67" s="685"/>
      <c r="R67" s="1045"/>
      <c r="S67" s="686"/>
      <c r="T67" s="730"/>
      <c r="U67" s="731"/>
      <c r="V67" s="721"/>
      <c r="W67" s="732"/>
      <c r="X67" s="733"/>
      <c r="Z67" s="674">
        <f t="shared" si="2"/>
        <v>0</v>
      </c>
      <c r="AA67" s="674">
        <f t="shared" si="3"/>
        <v>0</v>
      </c>
      <c r="AB67" s="674">
        <f t="shared" si="4"/>
        <v>0</v>
      </c>
      <c r="AC67" s="674">
        <f>IF(Z67=0,,VLOOKUP(Z67,リスト!DC:DD,2,0))</f>
        <v>0</v>
      </c>
      <c r="AD67" s="674">
        <f t="shared" si="5"/>
        <v>0</v>
      </c>
      <c r="AE67" s="675">
        <f>IF(AD67=0,,VLOOKUP(AD67,リスト!DK:DL,2,0))</f>
        <v>0</v>
      </c>
      <c r="AF67" s="674">
        <f>IF(Z67=0,,
IF(OR(リスト!$C$21="小麦",リスト!$C$21="二条大麦",リスト!$C$21="六条大麦",リスト!$C$21="はだか麦",リスト!$C$21="なたね"),IF(K67&lt;9,調査年-J67,調査年-J67-1),
IF(リスト!$C$21="さとうきび",IF(K67&gt;=4,調査年-J67,調査年-J67+1),
調査年-J67)))</f>
        <v>0</v>
      </c>
      <c r="AG67" s="676">
        <f t="shared" si="20"/>
        <v>0</v>
      </c>
      <c r="AH67" s="676">
        <f t="shared" si="7"/>
        <v>0</v>
      </c>
      <c r="AI67" s="676">
        <f t="shared" si="8"/>
        <v>0</v>
      </c>
      <c r="AJ67" s="676">
        <f t="shared" si="9"/>
        <v>0</v>
      </c>
      <c r="AK67" s="403"/>
      <c r="AL67" s="67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6">
        <f t="shared" si="10"/>
        <v>0</v>
      </c>
      <c r="AN67" s="676">
        <f t="shared" si="11"/>
        <v>0</v>
      </c>
      <c r="AO67" s="676">
        <f t="shared" si="12"/>
        <v>0</v>
      </c>
      <c r="AP67" s="67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6">
        <f t="shared" si="13"/>
        <v>0</v>
      </c>
      <c r="AR67" s="676">
        <f t="shared" si="14"/>
        <v>0</v>
      </c>
      <c r="AS67" s="676">
        <f t="shared" si="18"/>
        <v>0</v>
      </c>
      <c r="AT67" s="676">
        <f t="shared" si="19"/>
        <v>0</v>
      </c>
      <c r="AU67" s="676">
        <f t="shared" si="15"/>
        <v>0</v>
      </c>
      <c r="AV67" s="676">
        <f t="shared" si="16"/>
        <v>0</v>
      </c>
      <c r="AW67" s="725">
        <f t="shared" si="17"/>
        <v>0</v>
      </c>
      <c r="AX67" s="690"/>
      <c r="AY67" s="690"/>
    </row>
    <row r="68" spans="3:51" s="46" customFormat="1" ht="30.75" hidden="1" customHeight="1" outlineLevel="1">
      <c r="C68" s="726">
        <v>51</v>
      </c>
      <c r="D68" s="691"/>
      <c r="E68" s="727"/>
      <c r="F68" s="728"/>
      <c r="G68" s="2023"/>
      <c r="H68" s="2024"/>
      <c r="I68" s="683"/>
      <c r="J68" s="729"/>
      <c r="K68" s="684"/>
      <c r="L68" s="685"/>
      <c r="M68" s="685"/>
      <c r="N68" s="685"/>
      <c r="O68" s="685"/>
      <c r="P68" s="685"/>
      <c r="Q68" s="685"/>
      <c r="R68" s="1045"/>
      <c r="S68" s="686"/>
      <c r="T68" s="730"/>
      <c r="U68" s="731"/>
      <c r="V68" s="721"/>
      <c r="W68" s="732"/>
      <c r="X68" s="733"/>
      <c r="Z68" s="674">
        <f t="shared" si="2"/>
        <v>0</v>
      </c>
      <c r="AA68" s="674">
        <f t="shared" si="3"/>
        <v>0</v>
      </c>
      <c r="AB68" s="674">
        <f t="shared" si="4"/>
        <v>0</v>
      </c>
      <c r="AC68" s="674">
        <f>IF(Z68=0,,VLOOKUP(Z68,リスト!DC:DD,2,0))</f>
        <v>0</v>
      </c>
      <c r="AD68" s="674">
        <f t="shared" si="5"/>
        <v>0</v>
      </c>
      <c r="AE68" s="675">
        <f>IF(AD68=0,,VLOOKUP(AD68,リスト!DK:DL,2,0))</f>
        <v>0</v>
      </c>
      <c r="AF68" s="674">
        <f>IF(Z68=0,,
IF(OR(リスト!$C$21="小麦",リスト!$C$21="二条大麦",リスト!$C$21="六条大麦",リスト!$C$21="はだか麦",リスト!$C$21="なたね"),IF(K68&lt;9,調査年-J68,調査年-J68-1),
IF(リスト!$C$21="さとうきび",IF(K68&gt;=4,調査年-J68,調査年-J68+1),
調査年-J68)))</f>
        <v>0</v>
      </c>
      <c r="AG68" s="676">
        <f t="shared" si="20"/>
        <v>0</v>
      </c>
      <c r="AH68" s="676">
        <f t="shared" si="7"/>
        <v>0</v>
      </c>
      <c r="AI68" s="676">
        <f t="shared" si="8"/>
        <v>0</v>
      </c>
      <c r="AJ68" s="676">
        <f t="shared" si="9"/>
        <v>0</v>
      </c>
      <c r="AK68" s="403"/>
      <c r="AL68" s="67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6">
        <f t="shared" si="10"/>
        <v>0</v>
      </c>
      <c r="AN68" s="676">
        <f t="shared" si="11"/>
        <v>0</v>
      </c>
      <c r="AO68" s="676">
        <f t="shared" si="12"/>
        <v>0</v>
      </c>
      <c r="AP68" s="67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6">
        <f t="shared" si="13"/>
        <v>0</v>
      </c>
      <c r="AR68" s="676">
        <f t="shared" si="14"/>
        <v>0</v>
      </c>
      <c r="AS68" s="676">
        <f t="shared" si="18"/>
        <v>0</v>
      </c>
      <c r="AT68" s="676">
        <f t="shared" si="19"/>
        <v>0</v>
      </c>
      <c r="AU68" s="676">
        <f t="shared" si="15"/>
        <v>0</v>
      </c>
      <c r="AV68" s="676">
        <f t="shared" si="16"/>
        <v>0</v>
      </c>
      <c r="AW68" s="725">
        <f t="shared" si="17"/>
        <v>0</v>
      </c>
      <c r="AX68" s="690"/>
      <c r="AY68" s="690"/>
    </row>
    <row r="69" spans="3:51" s="46" customFormat="1" ht="30.75" hidden="1" customHeight="1" outlineLevel="1">
      <c r="C69" s="726">
        <v>52</v>
      </c>
      <c r="D69" s="691"/>
      <c r="E69" s="727"/>
      <c r="F69" s="728"/>
      <c r="G69" s="2023"/>
      <c r="H69" s="2024"/>
      <c r="I69" s="683"/>
      <c r="J69" s="729"/>
      <c r="K69" s="684"/>
      <c r="L69" s="685"/>
      <c r="M69" s="685"/>
      <c r="N69" s="685"/>
      <c r="O69" s="685"/>
      <c r="P69" s="685"/>
      <c r="Q69" s="685"/>
      <c r="R69" s="1045"/>
      <c r="S69" s="686"/>
      <c r="T69" s="730"/>
      <c r="U69" s="731"/>
      <c r="V69" s="721"/>
      <c r="W69" s="732"/>
      <c r="X69" s="733"/>
      <c r="Z69" s="674">
        <f t="shared" si="2"/>
        <v>0</v>
      </c>
      <c r="AA69" s="674">
        <f t="shared" si="3"/>
        <v>0</v>
      </c>
      <c r="AB69" s="674">
        <f t="shared" si="4"/>
        <v>0</v>
      </c>
      <c r="AC69" s="674">
        <f>IF(Z69=0,,VLOOKUP(Z69,リスト!DC:DD,2,0))</f>
        <v>0</v>
      </c>
      <c r="AD69" s="674">
        <f t="shared" si="5"/>
        <v>0</v>
      </c>
      <c r="AE69" s="675">
        <f>IF(AD69=0,,VLOOKUP(AD69,リスト!DK:DL,2,0))</f>
        <v>0</v>
      </c>
      <c r="AF69" s="674">
        <f>IF(Z69=0,,
IF(OR(リスト!$C$21="小麦",リスト!$C$21="二条大麦",リスト!$C$21="六条大麦",リスト!$C$21="はだか麦",リスト!$C$21="なたね"),IF(K69&lt;9,調査年-J69,調査年-J69-1),
IF(リスト!$C$21="さとうきび",IF(K69&gt;=4,調査年-J69,調査年-J69+1),
調査年-J69)))</f>
        <v>0</v>
      </c>
      <c r="AG69" s="676">
        <f t="shared" si="20"/>
        <v>0</v>
      </c>
      <c r="AH69" s="676">
        <f t="shared" si="7"/>
        <v>0</v>
      </c>
      <c r="AI69" s="676">
        <f t="shared" si="8"/>
        <v>0</v>
      </c>
      <c r="AJ69" s="676">
        <f t="shared" si="9"/>
        <v>0</v>
      </c>
      <c r="AK69" s="403"/>
      <c r="AL69" s="67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6">
        <f t="shared" si="10"/>
        <v>0</v>
      </c>
      <c r="AN69" s="676">
        <f t="shared" si="11"/>
        <v>0</v>
      </c>
      <c r="AO69" s="676">
        <f t="shared" si="12"/>
        <v>0</v>
      </c>
      <c r="AP69" s="67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6">
        <f t="shared" si="13"/>
        <v>0</v>
      </c>
      <c r="AR69" s="676">
        <f t="shared" si="14"/>
        <v>0</v>
      </c>
      <c r="AS69" s="676">
        <f t="shared" si="18"/>
        <v>0</v>
      </c>
      <c r="AT69" s="676">
        <f t="shared" si="19"/>
        <v>0</v>
      </c>
      <c r="AU69" s="676">
        <f t="shared" si="15"/>
        <v>0</v>
      </c>
      <c r="AV69" s="676">
        <f t="shared" si="16"/>
        <v>0</v>
      </c>
      <c r="AW69" s="725">
        <f t="shared" si="17"/>
        <v>0</v>
      </c>
      <c r="AX69" s="690"/>
      <c r="AY69" s="690"/>
    </row>
    <row r="70" spans="3:51" s="46" customFormat="1" ht="30.75" hidden="1" customHeight="1" outlineLevel="1">
      <c r="C70" s="726">
        <v>53</v>
      </c>
      <c r="D70" s="691"/>
      <c r="E70" s="727"/>
      <c r="F70" s="728"/>
      <c r="G70" s="2023"/>
      <c r="H70" s="2024"/>
      <c r="I70" s="683"/>
      <c r="J70" s="729"/>
      <c r="K70" s="684"/>
      <c r="L70" s="685"/>
      <c r="M70" s="685"/>
      <c r="N70" s="685"/>
      <c r="O70" s="685"/>
      <c r="P70" s="685"/>
      <c r="Q70" s="685"/>
      <c r="R70" s="1045"/>
      <c r="S70" s="686"/>
      <c r="T70" s="730"/>
      <c r="U70" s="731"/>
      <c r="V70" s="721"/>
      <c r="W70" s="732"/>
      <c r="X70" s="733"/>
      <c r="Z70" s="674">
        <f t="shared" si="2"/>
        <v>0</v>
      </c>
      <c r="AA70" s="674">
        <f t="shared" si="3"/>
        <v>0</v>
      </c>
      <c r="AB70" s="674">
        <f t="shared" si="4"/>
        <v>0</v>
      </c>
      <c r="AC70" s="674">
        <f>IF(Z70=0,,VLOOKUP(Z70,リスト!DC:DD,2,0))</f>
        <v>0</v>
      </c>
      <c r="AD70" s="674">
        <f t="shared" si="5"/>
        <v>0</v>
      </c>
      <c r="AE70" s="675">
        <f>IF(AD70=0,,VLOOKUP(AD70,リスト!DK:DL,2,0))</f>
        <v>0</v>
      </c>
      <c r="AF70" s="674">
        <f>IF(Z70=0,,
IF(OR(リスト!$C$21="小麦",リスト!$C$21="二条大麦",リスト!$C$21="六条大麦",リスト!$C$21="はだか麦",リスト!$C$21="なたね"),IF(K70&lt;9,調査年-J70,調査年-J70-1),
IF(リスト!$C$21="さとうきび",IF(K70&gt;=4,調査年-J70,調査年-J70+1),
調査年-J70)))</f>
        <v>0</v>
      </c>
      <c r="AG70" s="676">
        <f t="shared" si="20"/>
        <v>0</v>
      </c>
      <c r="AH70" s="676">
        <f t="shared" si="7"/>
        <v>0</v>
      </c>
      <c r="AI70" s="676">
        <f t="shared" si="8"/>
        <v>0</v>
      </c>
      <c r="AJ70" s="676">
        <f t="shared" si="9"/>
        <v>0</v>
      </c>
      <c r="AK70" s="403"/>
      <c r="AL70" s="67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6">
        <f t="shared" si="10"/>
        <v>0</v>
      </c>
      <c r="AN70" s="676">
        <f t="shared" si="11"/>
        <v>0</v>
      </c>
      <c r="AO70" s="676">
        <f t="shared" si="12"/>
        <v>0</v>
      </c>
      <c r="AP70" s="67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6">
        <f t="shared" si="13"/>
        <v>0</v>
      </c>
      <c r="AR70" s="676">
        <f t="shared" si="14"/>
        <v>0</v>
      </c>
      <c r="AS70" s="676">
        <f t="shared" si="18"/>
        <v>0</v>
      </c>
      <c r="AT70" s="676">
        <f t="shared" si="19"/>
        <v>0</v>
      </c>
      <c r="AU70" s="676">
        <f t="shared" si="15"/>
        <v>0</v>
      </c>
      <c r="AV70" s="676">
        <f t="shared" si="16"/>
        <v>0</v>
      </c>
      <c r="AW70" s="725">
        <f t="shared" si="17"/>
        <v>0</v>
      </c>
      <c r="AX70" s="690"/>
      <c r="AY70" s="690"/>
    </row>
    <row r="71" spans="3:51" s="46" customFormat="1" ht="30.75" hidden="1" customHeight="1" outlineLevel="1">
      <c r="C71" s="726">
        <v>54</v>
      </c>
      <c r="D71" s="691"/>
      <c r="E71" s="727"/>
      <c r="F71" s="728"/>
      <c r="G71" s="2023"/>
      <c r="H71" s="2024"/>
      <c r="I71" s="683"/>
      <c r="J71" s="729"/>
      <c r="K71" s="684"/>
      <c r="L71" s="685"/>
      <c r="M71" s="685"/>
      <c r="N71" s="685"/>
      <c r="O71" s="685"/>
      <c r="P71" s="685"/>
      <c r="Q71" s="685"/>
      <c r="R71" s="1045"/>
      <c r="S71" s="686"/>
      <c r="T71" s="730"/>
      <c r="U71" s="731"/>
      <c r="V71" s="721"/>
      <c r="W71" s="732"/>
      <c r="X71" s="733"/>
      <c r="Z71" s="674">
        <f t="shared" si="2"/>
        <v>0</v>
      </c>
      <c r="AA71" s="674">
        <f t="shared" si="3"/>
        <v>0</v>
      </c>
      <c r="AB71" s="674">
        <f t="shared" si="4"/>
        <v>0</v>
      </c>
      <c r="AC71" s="674">
        <f>IF(Z71=0,,VLOOKUP(Z71,リスト!DC:DD,2,0))</f>
        <v>0</v>
      </c>
      <c r="AD71" s="674">
        <f t="shared" si="5"/>
        <v>0</v>
      </c>
      <c r="AE71" s="675">
        <f>IF(AD71=0,,VLOOKUP(AD71,リスト!DK:DL,2,0))</f>
        <v>0</v>
      </c>
      <c r="AF71" s="674">
        <f>IF(Z71=0,,
IF(OR(リスト!$C$21="小麦",リスト!$C$21="二条大麦",リスト!$C$21="六条大麦",リスト!$C$21="はだか麦",リスト!$C$21="なたね"),IF(K71&lt;9,調査年-J71,調査年-J71-1),
IF(リスト!$C$21="さとうきび",IF(K71&gt;=4,調査年-J71,調査年-J71+1),
調査年-J71)))</f>
        <v>0</v>
      </c>
      <c r="AG71" s="676">
        <f t="shared" si="20"/>
        <v>0</v>
      </c>
      <c r="AH71" s="676">
        <f t="shared" si="7"/>
        <v>0</v>
      </c>
      <c r="AI71" s="676">
        <f t="shared" si="8"/>
        <v>0</v>
      </c>
      <c r="AJ71" s="676">
        <f t="shared" si="9"/>
        <v>0</v>
      </c>
      <c r="AK71" s="403"/>
      <c r="AL71" s="67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6">
        <f t="shared" si="10"/>
        <v>0</v>
      </c>
      <c r="AN71" s="676">
        <f t="shared" si="11"/>
        <v>0</v>
      </c>
      <c r="AO71" s="676">
        <f t="shared" si="12"/>
        <v>0</v>
      </c>
      <c r="AP71" s="67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6">
        <f t="shared" si="13"/>
        <v>0</v>
      </c>
      <c r="AR71" s="676">
        <f t="shared" si="14"/>
        <v>0</v>
      </c>
      <c r="AS71" s="676">
        <f t="shared" si="18"/>
        <v>0</v>
      </c>
      <c r="AT71" s="676">
        <f t="shared" si="19"/>
        <v>0</v>
      </c>
      <c r="AU71" s="676">
        <f t="shared" si="15"/>
        <v>0</v>
      </c>
      <c r="AV71" s="676">
        <f t="shared" si="16"/>
        <v>0</v>
      </c>
      <c r="AW71" s="725">
        <f t="shared" si="17"/>
        <v>0</v>
      </c>
      <c r="AX71" s="690"/>
      <c r="AY71" s="690"/>
    </row>
    <row r="72" spans="3:51" s="46" customFormat="1" ht="30.75" hidden="1" customHeight="1" outlineLevel="1">
      <c r="C72" s="726">
        <v>55</v>
      </c>
      <c r="D72" s="691"/>
      <c r="E72" s="727"/>
      <c r="F72" s="728"/>
      <c r="G72" s="2023"/>
      <c r="H72" s="2024"/>
      <c r="I72" s="683"/>
      <c r="J72" s="729"/>
      <c r="K72" s="684"/>
      <c r="L72" s="685"/>
      <c r="M72" s="685"/>
      <c r="N72" s="685"/>
      <c r="O72" s="685"/>
      <c r="P72" s="685"/>
      <c r="Q72" s="685"/>
      <c r="R72" s="1045"/>
      <c r="S72" s="686"/>
      <c r="T72" s="730"/>
      <c r="U72" s="731"/>
      <c r="V72" s="721"/>
      <c r="W72" s="732"/>
      <c r="X72" s="733"/>
      <c r="Z72" s="674">
        <f t="shared" si="2"/>
        <v>0</v>
      </c>
      <c r="AA72" s="674">
        <f t="shared" si="3"/>
        <v>0</v>
      </c>
      <c r="AB72" s="674">
        <f t="shared" si="4"/>
        <v>0</v>
      </c>
      <c r="AC72" s="674">
        <f>IF(Z72=0,,VLOOKUP(Z72,リスト!DC:DD,2,0))</f>
        <v>0</v>
      </c>
      <c r="AD72" s="674">
        <f t="shared" si="5"/>
        <v>0</v>
      </c>
      <c r="AE72" s="675">
        <f>IF(AD72=0,,VLOOKUP(AD72,リスト!DK:DL,2,0))</f>
        <v>0</v>
      </c>
      <c r="AF72" s="674">
        <f>IF(Z72=0,,
IF(OR(リスト!$C$21="小麦",リスト!$C$21="二条大麦",リスト!$C$21="六条大麦",リスト!$C$21="はだか麦",リスト!$C$21="なたね"),IF(K72&lt;9,調査年-J72,調査年-J72-1),
IF(リスト!$C$21="さとうきび",IF(K72&gt;=4,調査年-J72,調査年-J72+1),
調査年-J72)))</f>
        <v>0</v>
      </c>
      <c r="AG72" s="676">
        <f t="shared" si="20"/>
        <v>0</v>
      </c>
      <c r="AH72" s="676">
        <f t="shared" si="7"/>
        <v>0</v>
      </c>
      <c r="AI72" s="676">
        <f t="shared" si="8"/>
        <v>0</v>
      </c>
      <c r="AJ72" s="676">
        <f t="shared" si="9"/>
        <v>0</v>
      </c>
      <c r="AK72" s="403"/>
      <c r="AL72" s="67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6">
        <f t="shared" si="10"/>
        <v>0</v>
      </c>
      <c r="AN72" s="676">
        <f t="shared" si="11"/>
        <v>0</v>
      </c>
      <c r="AO72" s="676">
        <f t="shared" si="12"/>
        <v>0</v>
      </c>
      <c r="AP72" s="67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6">
        <f t="shared" si="13"/>
        <v>0</v>
      </c>
      <c r="AR72" s="676">
        <f t="shared" si="14"/>
        <v>0</v>
      </c>
      <c r="AS72" s="676">
        <f t="shared" si="18"/>
        <v>0</v>
      </c>
      <c r="AT72" s="676">
        <f t="shared" si="19"/>
        <v>0</v>
      </c>
      <c r="AU72" s="676">
        <f t="shared" si="15"/>
        <v>0</v>
      </c>
      <c r="AV72" s="676">
        <f t="shared" si="16"/>
        <v>0</v>
      </c>
      <c r="AW72" s="725">
        <f t="shared" si="17"/>
        <v>0</v>
      </c>
      <c r="AX72" s="690"/>
      <c r="AY72" s="690"/>
    </row>
    <row r="73" spans="3:51" s="46" customFormat="1" ht="30.75" hidden="1" customHeight="1" outlineLevel="1">
      <c r="C73" s="726">
        <v>56</v>
      </c>
      <c r="D73" s="691"/>
      <c r="E73" s="735"/>
      <c r="F73" s="736"/>
      <c r="G73" s="2027"/>
      <c r="H73" s="2028"/>
      <c r="I73" s="737"/>
      <c r="J73" s="738"/>
      <c r="K73" s="739"/>
      <c r="L73" s="740"/>
      <c r="M73" s="740"/>
      <c r="N73" s="740"/>
      <c r="O73" s="740"/>
      <c r="P73" s="740"/>
      <c r="Q73" s="740"/>
      <c r="R73" s="1045"/>
      <c r="S73" s="741"/>
      <c r="T73" s="742"/>
      <c r="U73" s="743"/>
      <c r="V73" s="721"/>
      <c r="W73" s="732"/>
      <c r="X73" s="733"/>
      <c r="Z73" s="674">
        <f t="shared" si="2"/>
        <v>0</v>
      </c>
      <c r="AA73" s="674">
        <f t="shared" si="3"/>
        <v>0</v>
      </c>
      <c r="AB73" s="674">
        <f t="shared" si="4"/>
        <v>0</v>
      </c>
      <c r="AC73" s="674">
        <f>IF(Z73=0,,VLOOKUP(Z73,リスト!DC:DD,2,0))</f>
        <v>0</v>
      </c>
      <c r="AD73" s="674">
        <f t="shared" si="5"/>
        <v>0</v>
      </c>
      <c r="AE73" s="675">
        <f>IF(AD73=0,,VLOOKUP(AD73,リスト!DK:DL,2,0))</f>
        <v>0</v>
      </c>
      <c r="AF73" s="674">
        <f>IF(Z73=0,,
IF(OR(リスト!$C$21="小麦",リスト!$C$21="二条大麦",リスト!$C$21="六条大麦",リスト!$C$21="はだか麦",リスト!$C$21="なたね"),IF(K73&lt;9,調査年-J73,調査年-J73-1),
IF(リスト!$C$21="さとうきび",IF(K73&gt;=4,調査年-J73,調査年-J73+1),
調査年-J73)))</f>
        <v>0</v>
      </c>
      <c r="AG73" s="676">
        <f t="shared" si="20"/>
        <v>0</v>
      </c>
      <c r="AH73" s="676">
        <f t="shared" si="7"/>
        <v>0</v>
      </c>
      <c r="AI73" s="676">
        <f t="shared" si="8"/>
        <v>0</v>
      </c>
      <c r="AJ73" s="676">
        <f t="shared" si="9"/>
        <v>0</v>
      </c>
      <c r="AK73" s="403"/>
      <c r="AL73" s="67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6">
        <f t="shared" si="10"/>
        <v>0</v>
      </c>
      <c r="AN73" s="676">
        <f t="shared" si="11"/>
        <v>0</v>
      </c>
      <c r="AO73" s="676">
        <f t="shared" si="12"/>
        <v>0</v>
      </c>
      <c r="AP73" s="67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6">
        <f t="shared" si="13"/>
        <v>0</v>
      </c>
      <c r="AR73" s="676">
        <f t="shared" si="14"/>
        <v>0</v>
      </c>
      <c r="AS73" s="676">
        <f t="shared" si="18"/>
        <v>0</v>
      </c>
      <c r="AT73" s="676">
        <f t="shared" si="19"/>
        <v>0</v>
      </c>
      <c r="AU73" s="676">
        <f t="shared" si="15"/>
        <v>0</v>
      </c>
      <c r="AV73" s="676">
        <f t="shared" si="16"/>
        <v>0</v>
      </c>
      <c r="AW73" s="725">
        <f t="shared" si="17"/>
        <v>0</v>
      </c>
      <c r="AX73" s="690"/>
      <c r="AY73" s="690"/>
    </row>
    <row r="74" spans="3:51" s="46" customFormat="1" ht="30.75" hidden="1" customHeight="1" outlineLevel="1">
      <c r="C74" s="726">
        <v>57</v>
      </c>
      <c r="D74" s="691"/>
      <c r="E74" s="727"/>
      <c r="F74" s="728"/>
      <c r="G74" s="2023"/>
      <c r="H74" s="2024"/>
      <c r="I74" s="683"/>
      <c r="J74" s="729"/>
      <c r="K74" s="684"/>
      <c r="L74" s="685"/>
      <c r="M74" s="685"/>
      <c r="N74" s="685"/>
      <c r="O74" s="685"/>
      <c r="P74" s="685"/>
      <c r="Q74" s="685"/>
      <c r="R74" s="1045"/>
      <c r="S74" s="686"/>
      <c r="T74" s="730"/>
      <c r="U74" s="731"/>
      <c r="V74" s="721"/>
      <c r="W74" s="732"/>
      <c r="X74" s="733"/>
      <c r="Z74" s="674">
        <f t="shared" si="2"/>
        <v>0</v>
      </c>
      <c r="AA74" s="674">
        <f t="shared" si="3"/>
        <v>0</v>
      </c>
      <c r="AB74" s="674">
        <f t="shared" si="4"/>
        <v>0</v>
      </c>
      <c r="AC74" s="674">
        <f>IF(Z74=0,,VLOOKUP(Z74,リスト!DC:DD,2,0))</f>
        <v>0</v>
      </c>
      <c r="AD74" s="674">
        <f t="shared" si="5"/>
        <v>0</v>
      </c>
      <c r="AE74" s="675">
        <f>IF(AD74=0,,VLOOKUP(AD74,リスト!DK:DL,2,0))</f>
        <v>0</v>
      </c>
      <c r="AF74" s="674">
        <f>IF(Z74=0,,
IF(OR(リスト!$C$21="小麦",リスト!$C$21="二条大麦",リスト!$C$21="六条大麦",リスト!$C$21="はだか麦",リスト!$C$21="なたね"),IF(K74&lt;9,調査年-J74,調査年-J74-1),
IF(リスト!$C$21="さとうきび",IF(K74&gt;=4,調査年-J74,調査年-J74+1),
調査年-J74)))</f>
        <v>0</v>
      </c>
      <c r="AG74" s="676">
        <f t="shared" si="20"/>
        <v>0</v>
      </c>
      <c r="AH74" s="676">
        <f t="shared" si="7"/>
        <v>0</v>
      </c>
      <c r="AI74" s="676">
        <f t="shared" si="8"/>
        <v>0</v>
      </c>
      <c r="AJ74" s="676">
        <f t="shared" si="9"/>
        <v>0</v>
      </c>
      <c r="AK74" s="403"/>
      <c r="AL74" s="67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6">
        <f t="shared" si="10"/>
        <v>0</v>
      </c>
      <c r="AN74" s="676">
        <f t="shared" si="11"/>
        <v>0</v>
      </c>
      <c r="AO74" s="676">
        <f t="shared" si="12"/>
        <v>0</v>
      </c>
      <c r="AP74" s="67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6">
        <f t="shared" si="13"/>
        <v>0</v>
      </c>
      <c r="AR74" s="676">
        <f t="shared" si="14"/>
        <v>0</v>
      </c>
      <c r="AS74" s="676">
        <f t="shared" si="18"/>
        <v>0</v>
      </c>
      <c r="AT74" s="676">
        <f t="shared" si="19"/>
        <v>0</v>
      </c>
      <c r="AU74" s="676">
        <f t="shared" si="15"/>
        <v>0</v>
      </c>
      <c r="AV74" s="676">
        <f t="shared" si="16"/>
        <v>0</v>
      </c>
      <c r="AW74" s="725">
        <f t="shared" si="17"/>
        <v>0</v>
      </c>
      <c r="AX74" s="690"/>
      <c r="AY74" s="690"/>
    </row>
    <row r="75" spans="3:51" s="46" customFormat="1" ht="30.75" hidden="1" customHeight="1" outlineLevel="1">
      <c r="C75" s="726">
        <v>58</v>
      </c>
      <c r="D75" s="691"/>
      <c r="E75" s="727"/>
      <c r="F75" s="728"/>
      <c r="G75" s="2023"/>
      <c r="H75" s="2024"/>
      <c r="I75" s="683"/>
      <c r="J75" s="729"/>
      <c r="K75" s="684"/>
      <c r="L75" s="685"/>
      <c r="M75" s="685"/>
      <c r="N75" s="685"/>
      <c r="O75" s="685"/>
      <c r="P75" s="685"/>
      <c r="Q75" s="685"/>
      <c r="R75" s="1045"/>
      <c r="S75" s="686"/>
      <c r="T75" s="730"/>
      <c r="U75" s="731"/>
      <c r="V75" s="721"/>
      <c r="W75" s="732"/>
      <c r="X75" s="733"/>
      <c r="Z75" s="674">
        <f t="shared" si="2"/>
        <v>0</v>
      </c>
      <c r="AA75" s="674">
        <f t="shared" si="3"/>
        <v>0</v>
      </c>
      <c r="AB75" s="674">
        <f t="shared" si="4"/>
        <v>0</v>
      </c>
      <c r="AC75" s="674">
        <f>IF(Z75=0,,VLOOKUP(Z75,リスト!DC:DD,2,0))</f>
        <v>0</v>
      </c>
      <c r="AD75" s="674">
        <f t="shared" si="5"/>
        <v>0</v>
      </c>
      <c r="AE75" s="675">
        <f>IF(AD75=0,,VLOOKUP(AD75,リスト!DK:DL,2,0))</f>
        <v>0</v>
      </c>
      <c r="AF75" s="674">
        <f>IF(Z75=0,,
IF(OR(リスト!$C$21="小麦",リスト!$C$21="二条大麦",リスト!$C$21="六条大麦",リスト!$C$21="はだか麦",リスト!$C$21="なたね"),IF(K75&lt;9,調査年-J75,調査年-J75-1),
IF(リスト!$C$21="さとうきび",IF(K75&gt;=4,調査年-J75,調査年-J75+1),
調査年-J75)))</f>
        <v>0</v>
      </c>
      <c r="AG75" s="676">
        <f t="shared" si="20"/>
        <v>0</v>
      </c>
      <c r="AH75" s="676">
        <f t="shared" si="7"/>
        <v>0</v>
      </c>
      <c r="AI75" s="676">
        <f t="shared" si="8"/>
        <v>0</v>
      </c>
      <c r="AJ75" s="676">
        <f t="shared" si="9"/>
        <v>0</v>
      </c>
      <c r="AK75" s="403"/>
      <c r="AL75" s="67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6">
        <f t="shared" si="10"/>
        <v>0</v>
      </c>
      <c r="AN75" s="676">
        <f t="shared" si="11"/>
        <v>0</v>
      </c>
      <c r="AO75" s="676">
        <f t="shared" si="12"/>
        <v>0</v>
      </c>
      <c r="AP75" s="67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6">
        <f t="shared" si="13"/>
        <v>0</v>
      </c>
      <c r="AR75" s="676">
        <f t="shared" si="14"/>
        <v>0</v>
      </c>
      <c r="AS75" s="676">
        <f t="shared" si="18"/>
        <v>0</v>
      </c>
      <c r="AT75" s="676">
        <f t="shared" si="19"/>
        <v>0</v>
      </c>
      <c r="AU75" s="676">
        <f t="shared" si="15"/>
        <v>0</v>
      </c>
      <c r="AV75" s="676">
        <f t="shared" si="16"/>
        <v>0</v>
      </c>
      <c r="AW75" s="725">
        <f t="shared" si="17"/>
        <v>0</v>
      </c>
      <c r="AX75" s="690"/>
      <c r="AY75" s="690"/>
    </row>
    <row r="76" spans="3:51" s="46" customFormat="1" ht="30.75" hidden="1" customHeight="1" outlineLevel="1">
      <c r="C76" s="726">
        <v>59</v>
      </c>
      <c r="D76" s="691"/>
      <c r="E76" s="727"/>
      <c r="F76" s="728"/>
      <c r="G76" s="2023"/>
      <c r="H76" s="2024"/>
      <c r="I76" s="683"/>
      <c r="J76" s="729"/>
      <c r="K76" s="684"/>
      <c r="L76" s="685"/>
      <c r="M76" s="685"/>
      <c r="N76" s="685"/>
      <c r="O76" s="685"/>
      <c r="P76" s="685"/>
      <c r="Q76" s="685"/>
      <c r="R76" s="1045"/>
      <c r="S76" s="686"/>
      <c r="T76" s="730"/>
      <c r="U76" s="731"/>
      <c r="V76" s="721"/>
      <c r="W76" s="732"/>
      <c r="X76" s="733"/>
      <c r="Z76" s="674">
        <f t="shared" si="2"/>
        <v>0</v>
      </c>
      <c r="AA76" s="674">
        <f t="shared" si="3"/>
        <v>0</v>
      </c>
      <c r="AB76" s="674">
        <f t="shared" si="4"/>
        <v>0</v>
      </c>
      <c r="AC76" s="674">
        <f>IF(Z76=0,,VLOOKUP(Z76,リスト!DC:DD,2,0))</f>
        <v>0</v>
      </c>
      <c r="AD76" s="674">
        <f t="shared" si="5"/>
        <v>0</v>
      </c>
      <c r="AE76" s="675">
        <f>IF(AD76=0,,VLOOKUP(AD76,リスト!DK:DL,2,0))</f>
        <v>0</v>
      </c>
      <c r="AF76" s="674">
        <f>IF(Z76=0,,
IF(OR(リスト!$C$21="小麦",リスト!$C$21="二条大麦",リスト!$C$21="六条大麦",リスト!$C$21="はだか麦",リスト!$C$21="なたね"),IF(K76&lt;9,調査年-J76,調査年-J76-1),
IF(リスト!$C$21="さとうきび",IF(K76&gt;=4,調査年-J76,調査年-J76+1),
調査年-J76)))</f>
        <v>0</v>
      </c>
      <c r="AG76" s="676">
        <f t="shared" si="20"/>
        <v>0</v>
      </c>
      <c r="AH76" s="676">
        <f t="shared" si="7"/>
        <v>0</v>
      </c>
      <c r="AI76" s="676">
        <f t="shared" si="8"/>
        <v>0</v>
      </c>
      <c r="AJ76" s="676">
        <f t="shared" si="9"/>
        <v>0</v>
      </c>
      <c r="AK76" s="403"/>
      <c r="AL76" s="67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6">
        <f t="shared" si="10"/>
        <v>0</v>
      </c>
      <c r="AN76" s="676">
        <f t="shared" si="11"/>
        <v>0</v>
      </c>
      <c r="AO76" s="676">
        <f t="shared" si="12"/>
        <v>0</v>
      </c>
      <c r="AP76" s="67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6">
        <f t="shared" si="13"/>
        <v>0</v>
      </c>
      <c r="AR76" s="676">
        <f t="shared" si="14"/>
        <v>0</v>
      </c>
      <c r="AS76" s="676">
        <f t="shared" si="18"/>
        <v>0</v>
      </c>
      <c r="AT76" s="676">
        <f t="shared" si="19"/>
        <v>0</v>
      </c>
      <c r="AU76" s="676">
        <f t="shared" si="15"/>
        <v>0</v>
      </c>
      <c r="AV76" s="676">
        <f t="shared" si="16"/>
        <v>0</v>
      </c>
      <c r="AW76" s="725">
        <f t="shared" si="17"/>
        <v>0</v>
      </c>
      <c r="AX76" s="690"/>
      <c r="AY76" s="690"/>
    </row>
    <row r="77" spans="3:51" s="46" customFormat="1" ht="30.75" hidden="1" customHeight="1" outlineLevel="1">
      <c r="C77" s="726">
        <v>60</v>
      </c>
      <c r="D77" s="691"/>
      <c r="E77" s="727"/>
      <c r="F77" s="728"/>
      <c r="G77" s="2023"/>
      <c r="H77" s="2024"/>
      <c r="I77" s="683"/>
      <c r="J77" s="729"/>
      <c r="K77" s="684"/>
      <c r="L77" s="685"/>
      <c r="M77" s="685"/>
      <c r="N77" s="685"/>
      <c r="O77" s="685"/>
      <c r="P77" s="685"/>
      <c r="Q77" s="685"/>
      <c r="R77" s="1045"/>
      <c r="S77" s="686"/>
      <c r="T77" s="730"/>
      <c r="U77" s="731"/>
      <c r="V77" s="721"/>
      <c r="W77" s="732"/>
      <c r="X77" s="733"/>
      <c r="Z77" s="674">
        <f t="shared" si="2"/>
        <v>0</v>
      </c>
      <c r="AA77" s="674">
        <f t="shared" si="3"/>
        <v>0</v>
      </c>
      <c r="AB77" s="674">
        <f t="shared" si="4"/>
        <v>0</v>
      </c>
      <c r="AC77" s="674">
        <f>IF(Z77=0,,VLOOKUP(Z77,リスト!DC:DD,2,0))</f>
        <v>0</v>
      </c>
      <c r="AD77" s="674">
        <f t="shared" si="5"/>
        <v>0</v>
      </c>
      <c r="AE77" s="675">
        <f>IF(AD77=0,,VLOOKUP(AD77,リスト!DK:DL,2,0))</f>
        <v>0</v>
      </c>
      <c r="AF77" s="674">
        <f>IF(Z77=0,,
IF(OR(リスト!$C$21="小麦",リスト!$C$21="二条大麦",リスト!$C$21="六条大麦",リスト!$C$21="はだか麦",リスト!$C$21="なたね"),IF(K77&lt;9,調査年-J77,調査年-J77-1),
IF(リスト!$C$21="さとうきび",IF(K77&gt;=4,調査年-J77,調査年-J77+1),
調査年-J77)))</f>
        <v>0</v>
      </c>
      <c r="AG77" s="676">
        <f t="shared" si="20"/>
        <v>0</v>
      </c>
      <c r="AH77" s="676">
        <f t="shared" si="7"/>
        <v>0</v>
      </c>
      <c r="AI77" s="676">
        <f t="shared" si="8"/>
        <v>0</v>
      </c>
      <c r="AJ77" s="676">
        <f t="shared" si="9"/>
        <v>0</v>
      </c>
      <c r="AK77" s="403"/>
      <c r="AL77" s="67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6">
        <f t="shared" si="10"/>
        <v>0</v>
      </c>
      <c r="AN77" s="676">
        <f t="shared" si="11"/>
        <v>0</v>
      </c>
      <c r="AO77" s="676">
        <f t="shared" si="12"/>
        <v>0</v>
      </c>
      <c r="AP77" s="67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6">
        <f t="shared" si="13"/>
        <v>0</v>
      </c>
      <c r="AR77" s="676">
        <f t="shared" si="14"/>
        <v>0</v>
      </c>
      <c r="AS77" s="676">
        <f t="shared" si="18"/>
        <v>0</v>
      </c>
      <c r="AT77" s="676">
        <f t="shared" si="19"/>
        <v>0</v>
      </c>
      <c r="AU77" s="676">
        <f t="shared" si="15"/>
        <v>0</v>
      </c>
      <c r="AV77" s="676">
        <f t="shared" si="16"/>
        <v>0</v>
      </c>
      <c r="AW77" s="725">
        <f t="shared" si="17"/>
        <v>0</v>
      </c>
      <c r="AX77" s="690"/>
      <c r="AY77" s="690"/>
    </row>
    <row r="78" spans="3:51" s="46" customFormat="1" ht="30.75" hidden="1" customHeight="1" outlineLevel="1">
      <c r="C78" s="726">
        <v>61</v>
      </c>
      <c r="D78" s="691"/>
      <c r="E78" s="735"/>
      <c r="F78" s="736"/>
      <c r="G78" s="2027"/>
      <c r="H78" s="2028"/>
      <c r="I78" s="737"/>
      <c r="J78" s="738"/>
      <c r="K78" s="739"/>
      <c r="L78" s="740"/>
      <c r="M78" s="740"/>
      <c r="N78" s="740"/>
      <c r="O78" s="740"/>
      <c r="P78" s="740"/>
      <c r="Q78" s="740"/>
      <c r="R78" s="1045"/>
      <c r="S78" s="741"/>
      <c r="T78" s="742"/>
      <c r="U78" s="743"/>
      <c r="V78" s="721"/>
      <c r="W78" s="732"/>
      <c r="X78" s="733"/>
      <c r="Z78" s="674">
        <f t="shared" si="2"/>
        <v>0</v>
      </c>
      <c r="AA78" s="674">
        <f t="shared" si="3"/>
        <v>0</v>
      </c>
      <c r="AB78" s="674">
        <f t="shared" si="4"/>
        <v>0</v>
      </c>
      <c r="AC78" s="674">
        <f>IF(Z78=0,,VLOOKUP(Z78,リスト!DC:DD,2,0))</f>
        <v>0</v>
      </c>
      <c r="AD78" s="674">
        <f t="shared" si="5"/>
        <v>0</v>
      </c>
      <c r="AE78" s="675">
        <f>IF(AD78=0,,VLOOKUP(AD78,リスト!DK:DL,2,0))</f>
        <v>0</v>
      </c>
      <c r="AF78" s="674">
        <f>IF(Z78=0,,
IF(OR(リスト!$C$21="小麦",リスト!$C$21="二条大麦",リスト!$C$21="六条大麦",リスト!$C$21="はだか麦",リスト!$C$21="なたね"),IF(K78&lt;9,調査年-J78,調査年-J78-1),
IF(リスト!$C$21="さとうきび",IF(K78&gt;=4,調査年-J78,調査年-J78+1),
調査年-J78)))</f>
        <v>0</v>
      </c>
      <c r="AG78" s="676">
        <f t="shared" si="20"/>
        <v>0</v>
      </c>
      <c r="AH78" s="676">
        <f t="shared" si="7"/>
        <v>0</v>
      </c>
      <c r="AI78" s="676">
        <f t="shared" si="8"/>
        <v>0</v>
      </c>
      <c r="AJ78" s="676">
        <f t="shared" si="9"/>
        <v>0</v>
      </c>
      <c r="AK78" s="403"/>
      <c r="AL78" s="67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6">
        <f t="shared" si="10"/>
        <v>0</v>
      </c>
      <c r="AN78" s="676">
        <f t="shared" si="11"/>
        <v>0</v>
      </c>
      <c r="AO78" s="676">
        <f t="shared" si="12"/>
        <v>0</v>
      </c>
      <c r="AP78" s="67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6">
        <f t="shared" si="13"/>
        <v>0</v>
      </c>
      <c r="AR78" s="676">
        <f t="shared" si="14"/>
        <v>0</v>
      </c>
      <c r="AS78" s="676">
        <f t="shared" si="18"/>
        <v>0</v>
      </c>
      <c r="AT78" s="676">
        <f t="shared" si="19"/>
        <v>0</v>
      </c>
      <c r="AU78" s="676">
        <f t="shared" si="15"/>
        <v>0</v>
      </c>
      <c r="AV78" s="676">
        <f t="shared" si="16"/>
        <v>0</v>
      </c>
      <c r="AW78" s="725">
        <f t="shared" si="17"/>
        <v>0</v>
      </c>
      <c r="AX78" s="690"/>
      <c r="AY78" s="690"/>
    </row>
    <row r="79" spans="3:51" s="46" customFormat="1" ht="30.75" hidden="1" customHeight="1" outlineLevel="1">
      <c r="C79" s="726">
        <v>62</v>
      </c>
      <c r="D79" s="679"/>
      <c r="E79" s="727"/>
      <c r="F79" s="728"/>
      <c r="G79" s="2023"/>
      <c r="H79" s="2024"/>
      <c r="I79" s="683"/>
      <c r="J79" s="729"/>
      <c r="K79" s="684"/>
      <c r="L79" s="685"/>
      <c r="M79" s="685"/>
      <c r="N79" s="685"/>
      <c r="O79" s="685"/>
      <c r="P79" s="685"/>
      <c r="Q79" s="685"/>
      <c r="R79" s="1045"/>
      <c r="S79" s="686"/>
      <c r="T79" s="730"/>
      <c r="U79" s="731"/>
      <c r="V79" s="721"/>
      <c r="W79" s="732"/>
      <c r="X79" s="733"/>
      <c r="Z79" s="674">
        <f t="shared" si="2"/>
        <v>0</v>
      </c>
      <c r="AA79" s="674">
        <f t="shared" si="3"/>
        <v>0</v>
      </c>
      <c r="AB79" s="674">
        <f t="shared" si="4"/>
        <v>0</v>
      </c>
      <c r="AC79" s="674">
        <f>IF(Z79=0,,VLOOKUP(Z79,リスト!DC:DD,2,0))</f>
        <v>0</v>
      </c>
      <c r="AD79" s="674">
        <f t="shared" si="5"/>
        <v>0</v>
      </c>
      <c r="AE79" s="675">
        <f>IF(AD79=0,,VLOOKUP(AD79,リスト!DK:DL,2,0))</f>
        <v>0</v>
      </c>
      <c r="AF79" s="674">
        <f>IF(Z79=0,,
IF(OR(リスト!$C$21="小麦",リスト!$C$21="二条大麦",リスト!$C$21="六条大麦",リスト!$C$21="はだか麦",リスト!$C$21="なたね"),IF(K79&lt;9,調査年-J79,調査年-J79-1),
IF(リスト!$C$21="さとうきび",IF(K79&gt;=4,調査年-J79,調査年-J79+1),
調査年-J79)))</f>
        <v>0</v>
      </c>
      <c r="AG79" s="676">
        <f t="shared" si="20"/>
        <v>0</v>
      </c>
      <c r="AH79" s="676">
        <f t="shared" si="7"/>
        <v>0</v>
      </c>
      <c r="AI79" s="676">
        <f t="shared" si="8"/>
        <v>0</v>
      </c>
      <c r="AJ79" s="676">
        <f t="shared" si="9"/>
        <v>0</v>
      </c>
      <c r="AK79" s="403"/>
      <c r="AL79" s="67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6">
        <f t="shared" si="10"/>
        <v>0</v>
      </c>
      <c r="AN79" s="676">
        <f t="shared" si="11"/>
        <v>0</v>
      </c>
      <c r="AO79" s="676">
        <f t="shared" si="12"/>
        <v>0</v>
      </c>
      <c r="AP79" s="67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6">
        <f t="shared" si="13"/>
        <v>0</v>
      </c>
      <c r="AR79" s="676">
        <f t="shared" si="14"/>
        <v>0</v>
      </c>
      <c r="AS79" s="676">
        <f t="shared" si="18"/>
        <v>0</v>
      </c>
      <c r="AT79" s="676">
        <f t="shared" si="19"/>
        <v>0</v>
      </c>
      <c r="AU79" s="676">
        <f t="shared" si="15"/>
        <v>0</v>
      </c>
      <c r="AV79" s="676">
        <f t="shared" si="16"/>
        <v>0</v>
      </c>
      <c r="AW79" s="725">
        <f t="shared" si="17"/>
        <v>0</v>
      </c>
      <c r="AX79" s="690"/>
      <c r="AY79" s="690"/>
    </row>
    <row r="80" spans="3:51" s="46" customFormat="1" ht="30.75" hidden="1" customHeight="1" outlineLevel="1">
      <c r="C80" s="726">
        <v>63</v>
      </c>
      <c r="D80" s="691"/>
      <c r="E80" s="727"/>
      <c r="F80" s="728"/>
      <c r="G80" s="2023"/>
      <c r="H80" s="2024"/>
      <c r="I80" s="683"/>
      <c r="J80" s="729"/>
      <c r="K80" s="684"/>
      <c r="L80" s="685"/>
      <c r="M80" s="685"/>
      <c r="N80" s="685"/>
      <c r="O80" s="685"/>
      <c r="P80" s="685"/>
      <c r="Q80" s="685"/>
      <c r="R80" s="1045"/>
      <c r="S80" s="686"/>
      <c r="T80" s="730"/>
      <c r="U80" s="731"/>
      <c r="V80" s="721"/>
      <c r="W80" s="732"/>
      <c r="X80" s="733"/>
      <c r="Z80" s="674">
        <f t="shared" si="2"/>
        <v>0</v>
      </c>
      <c r="AA80" s="674">
        <f t="shared" si="3"/>
        <v>0</v>
      </c>
      <c r="AB80" s="674">
        <f t="shared" si="4"/>
        <v>0</v>
      </c>
      <c r="AC80" s="674">
        <f>IF(Z80=0,,VLOOKUP(Z80,リスト!DC:DD,2,0))</f>
        <v>0</v>
      </c>
      <c r="AD80" s="674">
        <f t="shared" si="5"/>
        <v>0</v>
      </c>
      <c r="AE80" s="675">
        <f>IF(AD80=0,,VLOOKUP(AD80,リスト!DK:DL,2,0))</f>
        <v>0</v>
      </c>
      <c r="AF80" s="674">
        <f>IF(Z80=0,,
IF(OR(リスト!$C$21="小麦",リスト!$C$21="二条大麦",リスト!$C$21="六条大麦",リスト!$C$21="はだか麦",リスト!$C$21="なたね"),IF(K80&lt;9,調査年-J80,調査年-J80-1),
IF(リスト!$C$21="さとうきび",IF(K80&gt;=4,調査年-J80,調査年-J80+1),
調査年-J80)))</f>
        <v>0</v>
      </c>
      <c r="AG80" s="676">
        <f t="shared" si="20"/>
        <v>0</v>
      </c>
      <c r="AH80" s="676">
        <f t="shared" si="7"/>
        <v>0</v>
      </c>
      <c r="AI80" s="676">
        <f t="shared" si="8"/>
        <v>0</v>
      </c>
      <c r="AJ80" s="676">
        <f t="shared" si="9"/>
        <v>0</v>
      </c>
      <c r="AK80" s="403"/>
      <c r="AL80" s="67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6">
        <f t="shared" si="10"/>
        <v>0</v>
      </c>
      <c r="AN80" s="676">
        <f t="shared" si="11"/>
        <v>0</v>
      </c>
      <c r="AO80" s="676">
        <f t="shared" si="12"/>
        <v>0</v>
      </c>
      <c r="AP80" s="67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6">
        <f t="shared" si="13"/>
        <v>0</v>
      </c>
      <c r="AR80" s="676">
        <f t="shared" si="14"/>
        <v>0</v>
      </c>
      <c r="AS80" s="676">
        <f t="shared" si="18"/>
        <v>0</v>
      </c>
      <c r="AT80" s="676">
        <f t="shared" si="19"/>
        <v>0</v>
      </c>
      <c r="AU80" s="676">
        <f t="shared" si="15"/>
        <v>0</v>
      </c>
      <c r="AV80" s="676">
        <f t="shared" si="16"/>
        <v>0</v>
      </c>
      <c r="AW80" s="725">
        <f t="shared" si="17"/>
        <v>0</v>
      </c>
      <c r="AX80" s="690"/>
      <c r="AY80" s="690"/>
    </row>
    <row r="81" spans="3:51" s="46" customFormat="1" ht="30.75" hidden="1" customHeight="1" outlineLevel="1">
      <c r="C81" s="726">
        <v>64</v>
      </c>
      <c r="D81" s="691"/>
      <c r="E81" s="727"/>
      <c r="F81" s="728"/>
      <c r="G81" s="2023"/>
      <c r="H81" s="2024"/>
      <c r="I81" s="683"/>
      <c r="J81" s="729"/>
      <c r="K81" s="684"/>
      <c r="L81" s="685"/>
      <c r="M81" s="685"/>
      <c r="N81" s="685"/>
      <c r="O81" s="685"/>
      <c r="P81" s="685"/>
      <c r="Q81" s="685"/>
      <c r="R81" s="1045"/>
      <c r="S81" s="686"/>
      <c r="T81" s="730"/>
      <c r="U81" s="731"/>
      <c r="V81" s="721"/>
      <c r="W81" s="732"/>
      <c r="X81" s="733"/>
      <c r="Z81" s="674">
        <f t="shared" si="2"/>
        <v>0</v>
      </c>
      <c r="AA81" s="674">
        <f t="shared" si="3"/>
        <v>0</v>
      </c>
      <c r="AB81" s="674">
        <f t="shared" si="4"/>
        <v>0</v>
      </c>
      <c r="AC81" s="674">
        <f>IF(Z81=0,,VLOOKUP(Z81,リスト!DC:DD,2,0))</f>
        <v>0</v>
      </c>
      <c r="AD81" s="674">
        <f t="shared" si="5"/>
        <v>0</v>
      </c>
      <c r="AE81" s="675">
        <f>IF(AD81=0,,VLOOKUP(AD81,リスト!DK:DL,2,0))</f>
        <v>0</v>
      </c>
      <c r="AF81" s="674">
        <f>IF(Z81=0,,
IF(OR(リスト!$C$21="小麦",リスト!$C$21="二条大麦",リスト!$C$21="六条大麦",リスト!$C$21="はだか麦",リスト!$C$21="なたね"),IF(K81&lt;9,調査年-J81,調査年-J81-1),
IF(リスト!$C$21="さとうきび",IF(K81&gt;=4,調査年-J81,調査年-J81+1),
調査年-J81)))</f>
        <v>0</v>
      </c>
      <c r="AG81" s="676">
        <f t="shared" si="20"/>
        <v>0</v>
      </c>
      <c r="AH81" s="676">
        <f t="shared" si="7"/>
        <v>0</v>
      </c>
      <c r="AI81" s="676">
        <f t="shared" si="8"/>
        <v>0</v>
      </c>
      <c r="AJ81" s="676">
        <f t="shared" si="9"/>
        <v>0</v>
      </c>
      <c r="AK81" s="403"/>
      <c r="AL81" s="67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6">
        <f t="shared" si="10"/>
        <v>0</v>
      </c>
      <c r="AN81" s="676">
        <f t="shared" si="11"/>
        <v>0</v>
      </c>
      <c r="AO81" s="676">
        <f t="shared" si="12"/>
        <v>0</v>
      </c>
      <c r="AP81" s="67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6">
        <f t="shared" si="13"/>
        <v>0</v>
      </c>
      <c r="AR81" s="676">
        <f t="shared" si="14"/>
        <v>0</v>
      </c>
      <c r="AS81" s="676">
        <f t="shared" si="18"/>
        <v>0</v>
      </c>
      <c r="AT81" s="676">
        <f t="shared" si="19"/>
        <v>0</v>
      </c>
      <c r="AU81" s="676">
        <f t="shared" si="15"/>
        <v>0</v>
      </c>
      <c r="AV81" s="676">
        <f t="shared" si="16"/>
        <v>0</v>
      </c>
      <c r="AW81" s="725">
        <f t="shared" si="17"/>
        <v>0</v>
      </c>
      <c r="AX81" s="690"/>
      <c r="AY81" s="690"/>
    </row>
    <row r="82" spans="3:51" s="46" customFormat="1" ht="30.75" hidden="1" customHeight="1" outlineLevel="1">
      <c r="C82" s="726">
        <v>65</v>
      </c>
      <c r="D82" s="691"/>
      <c r="E82" s="727"/>
      <c r="F82" s="728"/>
      <c r="G82" s="2023"/>
      <c r="H82" s="2024"/>
      <c r="I82" s="683"/>
      <c r="J82" s="729"/>
      <c r="K82" s="684"/>
      <c r="L82" s="685"/>
      <c r="M82" s="685"/>
      <c r="N82" s="685"/>
      <c r="O82" s="685"/>
      <c r="P82" s="685"/>
      <c r="Q82" s="685"/>
      <c r="R82" s="1045"/>
      <c r="S82" s="686"/>
      <c r="T82" s="730"/>
      <c r="U82" s="731"/>
      <c r="V82" s="721"/>
      <c r="W82" s="732"/>
      <c r="X82" s="733"/>
      <c r="Z82" s="674">
        <f t="shared" ref="Z82:Z117" si="21">IF(AND(E82&gt;0,F82&gt;0),"["&amp;RIGHT(LEFT(E82,2),1)&amp;RIGHT(LEFT(F82,2),1)&amp;"]",)</f>
        <v>0</v>
      </c>
      <c r="AA82" s="674">
        <f t="shared" ref="AA82:AA117" si="22">IF(Z82=0,,IF(L82&lt;100000,1,0))</f>
        <v>0</v>
      </c>
      <c r="AB82" s="674">
        <f t="shared" ref="AB82:AB117" si="23">IF(Z82=0,,IF(AND(AA82=0,L82&lt;200000),1,))</f>
        <v>0</v>
      </c>
      <c r="AC82" s="674">
        <f>IF(Z82=0,,VLOOKUP(Z82,リスト!DC:DD,2,0))</f>
        <v>0</v>
      </c>
      <c r="AD82" s="674">
        <f t="shared" ref="AD82:AD117" si="24">IF(AB82=1,3,IF(G82="[2]中古",MIN(AC82,I82),AC82))</f>
        <v>0</v>
      </c>
      <c r="AE82" s="675">
        <f>IF(AD82=0,,VLOOKUP(AD82,リスト!DK:DL,2,0))</f>
        <v>0</v>
      </c>
      <c r="AF82" s="674">
        <f>IF(Z82=0,,
IF(OR(リスト!$C$21="小麦",リスト!$C$21="二条大麦",リスト!$C$21="六条大麦",リスト!$C$21="はだか麦",リスト!$C$21="なたね"),IF(K82&lt;9,調査年-J82,調査年-J82-1),
IF(リスト!$C$21="さとうきび",IF(K82&gt;=4,調査年-J82,調査年-J82+1),
調査年-J82)))</f>
        <v>0</v>
      </c>
      <c r="AG82" s="676">
        <f t="shared" ref="AG82:AG113" si="25">IF(OR(Z82=0,AA82=1),,
IF(AND(AD82&gt;0,AF82&lt;AD82,AH82&lt;=ROUND((L82-1)*AE82,0)),ROUND(AH82,0),
IF(AND(AD82&gt;0,AF82&lt;AD82),ROUND((L82-1)*AE82,0),)))</f>
        <v>0</v>
      </c>
      <c r="AH82" s="676">
        <f t="shared" ref="AH82:AH117" si="26">IF(OR(Z82=0,AA82=1),,
IF(AND(AD82&gt;0,AF82&lt;AD82),L82-ROUND((L82-1)*AE82*AF82,0),1
))</f>
        <v>0</v>
      </c>
      <c r="AI82" s="676">
        <f t="shared" ref="AI82:AI117" si="27">IF(OR(Z82=0,AA82=1),,
IF(T82=0,AG82,
IF(T82="[2]廃棄等",SUM(AH82,U82),
IF(T82="[1]売却",AH82-U82,))))</f>
        <v>0</v>
      </c>
      <c r="AJ82" s="676">
        <f t="shared" ref="AJ82:AJ117" si="28">IF(AND(AI82=0,AG82=0),,
IF(OR(T82="[1]売却",T82="[2]廃棄等"),SUM(AI82)-SUM(AG82),))</f>
        <v>0</v>
      </c>
      <c r="AK82" s="403"/>
      <c r="AL82" s="67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6">
        <f t="shared" ref="AM82:AM117" si="29">IF(R82=0,,IF(AI82=0,,ROUND(AI82*R82%,0)))</f>
        <v>0</v>
      </c>
      <c r="AN82" s="676">
        <f t="shared" ref="AN82:AN117" si="30">IF(R82=0,,IF(AJ82=0,,ROUND(AJ82*R82%,0)))</f>
        <v>0</v>
      </c>
      <c r="AO82" s="676">
        <f t="shared" ref="AO82:AO117" si="31">IF(R82=0,,IF(AH82=0,,ROUND(AH82*R82%,0)))</f>
        <v>0</v>
      </c>
      <c r="AP82" s="67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6">
        <f t="shared" ref="AQ82:AQ117" si="32">IF(R82=0,,IF(N82=0,,ROUND(N82*R82%,0)))</f>
        <v>0</v>
      </c>
      <c r="AR82" s="676">
        <f t="shared" ref="AR82:AR117" si="33">IF(OR(AP82&gt;0,AQ82&gt;0),SUM(AP82:AQ82),)</f>
        <v>0</v>
      </c>
      <c r="AS82" s="676">
        <f t="shared" si="18"/>
        <v>0</v>
      </c>
      <c r="AT82" s="676">
        <f t="shared" si="19"/>
        <v>0</v>
      </c>
      <c r="AU82" s="676">
        <f t="shared" ref="AU82:AU117" si="34">IF(P82&gt;0,ROUND(P82*R82%,),)</f>
        <v>0</v>
      </c>
      <c r="AV82" s="676">
        <f t="shared" ref="AV82:AV117" si="35">IF(Q82&gt;0,ROUND(Q82*$R82%,),)</f>
        <v>0</v>
      </c>
      <c r="AW82" s="725">
        <f t="shared" ref="AW82:AW117" si="36">IF(X82="○",,IF(AND(W82&gt;0,R82&gt;0),ROUND(1/W82,1),IF(R82&gt;0,ROUND(1,1),)))</f>
        <v>0</v>
      </c>
      <c r="AX82" s="690"/>
      <c r="AY82" s="690"/>
    </row>
    <row r="83" spans="3:51" s="46" customFormat="1" ht="30.75" hidden="1" customHeight="1" outlineLevel="1">
      <c r="C83" s="726">
        <v>66</v>
      </c>
      <c r="D83" s="691"/>
      <c r="E83" s="735"/>
      <c r="F83" s="736"/>
      <c r="G83" s="2027"/>
      <c r="H83" s="2028"/>
      <c r="I83" s="737"/>
      <c r="J83" s="738"/>
      <c r="K83" s="739"/>
      <c r="L83" s="740"/>
      <c r="M83" s="740"/>
      <c r="N83" s="740"/>
      <c r="O83" s="740"/>
      <c r="P83" s="740"/>
      <c r="Q83" s="740"/>
      <c r="R83" s="1045"/>
      <c r="S83" s="741"/>
      <c r="T83" s="742"/>
      <c r="U83" s="743"/>
      <c r="V83" s="721"/>
      <c r="W83" s="732"/>
      <c r="X83" s="733"/>
      <c r="Z83" s="674">
        <f t="shared" si="21"/>
        <v>0</v>
      </c>
      <c r="AA83" s="674">
        <f t="shared" si="22"/>
        <v>0</v>
      </c>
      <c r="AB83" s="674">
        <f t="shared" si="23"/>
        <v>0</v>
      </c>
      <c r="AC83" s="674">
        <f>IF(Z83=0,,VLOOKUP(Z83,リスト!DC:DD,2,0))</f>
        <v>0</v>
      </c>
      <c r="AD83" s="674">
        <f t="shared" si="24"/>
        <v>0</v>
      </c>
      <c r="AE83" s="675">
        <f>IF(AD83=0,,VLOOKUP(AD83,リスト!DK:DL,2,0))</f>
        <v>0</v>
      </c>
      <c r="AF83" s="674">
        <f>IF(Z83=0,,
IF(OR(リスト!$C$21="小麦",リスト!$C$21="二条大麦",リスト!$C$21="六条大麦",リスト!$C$21="はだか麦",リスト!$C$21="なたね"),IF(K83&lt;9,調査年-J83,調査年-J83-1),
IF(リスト!$C$21="さとうきび",IF(K83&gt;=4,調査年-J83,調査年-J83+1),
調査年-J83)))</f>
        <v>0</v>
      </c>
      <c r="AG83" s="676">
        <f t="shared" si="25"/>
        <v>0</v>
      </c>
      <c r="AH83" s="676">
        <f t="shared" si="26"/>
        <v>0</v>
      </c>
      <c r="AI83" s="676">
        <f t="shared" si="27"/>
        <v>0</v>
      </c>
      <c r="AJ83" s="676">
        <f t="shared" si="28"/>
        <v>0</v>
      </c>
      <c r="AK83" s="403"/>
      <c r="AL83" s="67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6">
        <f t="shared" si="29"/>
        <v>0</v>
      </c>
      <c r="AN83" s="676">
        <f t="shared" si="30"/>
        <v>0</v>
      </c>
      <c r="AO83" s="676">
        <f t="shared" si="31"/>
        <v>0</v>
      </c>
      <c r="AP83" s="67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6">
        <f t="shared" si="32"/>
        <v>0</v>
      </c>
      <c r="AR83" s="676">
        <f t="shared" si="33"/>
        <v>0</v>
      </c>
      <c r="AS83" s="676">
        <f t="shared" ref="AS83:AS117" si="37">IF(O83&gt;0,IF(AND(F83&lt;&gt;"[1]軽自動車",F83&lt;&gt;"[3]自動二輪・三輪"),ROUND(O83*R83%,),),)</f>
        <v>0</v>
      </c>
      <c r="AT83" s="676">
        <f t="shared" ref="AT83:AT117" si="38">IF(O83&gt;0,IF(OR(F83="[1]軽自動車",F83="[3]自動二輪・三輪"),ROUND(O83*R83%,),),)</f>
        <v>0</v>
      </c>
      <c r="AU83" s="676">
        <f t="shared" si="34"/>
        <v>0</v>
      </c>
      <c r="AV83" s="676">
        <f t="shared" si="35"/>
        <v>0</v>
      </c>
      <c r="AW83" s="725">
        <f t="shared" si="36"/>
        <v>0</v>
      </c>
      <c r="AX83" s="690"/>
      <c r="AY83" s="690"/>
    </row>
    <row r="84" spans="3:51" s="46" customFormat="1" ht="30.75" hidden="1" customHeight="1" outlineLevel="1">
      <c r="C84" s="726">
        <v>67</v>
      </c>
      <c r="D84" s="691"/>
      <c r="E84" s="727"/>
      <c r="F84" s="728"/>
      <c r="G84" s="2023"/>
      <c r="H84" s="2024"/>
      <c r="I84" s="683"/>
      <c r="J84" s="729"/>
      <c r="K84" s="684"/>
      <c r="L84" s="685"/>
      <c r="M84" s="685"/>
      <c r="N84" s="685"/>
      <c r="O84" s="685"/>
      <c r="P84" s="685"/>
      <c r="Q84" s="685"/>
      <c r="R84" s="1045"/>
      <c r="S84" s="686"/>
      <c r="T84" s="730"/>
      <c r="U84" s="731"/>
      <c r="V84" s="721"/>
      <c r="W84" s="732"/>
      <c r="X84" s="733"/>
      <c r="Z84" s="674">
        <f t="shared" si="21"/>
        <v>0</v>
      </c>
      <c r="AA84" s="674">
        <f t="shared" si="22"/>
        <v>0</v>
      </c>
      <c r="AB84" s="674">
        <f t="shared" si="23"/>
        <v>0</v>
      </c>
      <c r="AC84" s="674">
        <f>IF(Z84=0,,VLOOKUP(Z84,リスト!DC:DD,2,0))</f>
        <v>0</v>
      </c>
      <c r="AD84" s="674">
        <f t="shared" si="24"/>
        <v>0</v>
      </c>
      <c r="AE84" s="675">
        <f>IF(AD84=0,,VLOOKUP(AD84,リスト!DK:DL,2,0))</f>
        <v>0</v>
      </c>
      <c r="AF84" s="674">
        <f>IF(Z84=0,,
IF(OR(リスト!$C$21="小麦",リスト!$C$21="二条大麦",リスト!$C$21="六条大麦",リスト!$C$21="はだか麦",リスト!$C$21="なたね"),IF(K84&lt;9,調査年-J84,調査年-J84-1),
IF(リスト!$C$21="さとうきび",IF(K84&gt;=4,調査年-J84,調査年-J84+1),
調査年-J84)))</f>
        <v>0</v>
      </c>
      <c r="AG84" s="676">
        <f t="shared" si="25"/>
        <v>0</v>
      </c>
      <c r="AH84" s="676">
        <f t="shared" si="26"/>
        <v>0</v>
      </c>
      <c r="AI84" s="676">
        <f t="shared" si="27"/>
        <v>0</v>
      </c>
      <c r="AJ84" s="676">
        <f t="shared" si="28"/>
        <v>0</v>
      </c>
      <c r="AK84" s="403"/>
      <c r="AL84" s="67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6">
        <f t="shared" si="29"/>
        <v>0</v>
      </c>
      <c r="AN84" s="676">
        <f t="shared" si="30"/>
        <v>0</v>
      </c>
      <c r="AO84" s="676">
        <f t="shared" si="31"/>
        <v>0</v>
      </c>
      <c r="AP84" s="67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6">
        <f t="shared" si="32"/>
        <v>0</v>
      </c>
      <c r="AR84" s="676">
        <f t="shared" si="33"/>
        <v>0</v>
      </c>
      <c r="AS84" s="676">
        <f t="shared" si="37"/>
        <v>0</v>
      </c>
      <c r="AT84" s="676">
        <f t="shared" si="38"/>
        <v>0</v>
      </c>
      <c r="AU84" s="676">
        <f t="shared" si="34"/>
        <v>0</v>
      </c>
      <c r="AV84" s="676">
        <f t="shared" si="35"/>
        <v>0</v>
      </c>
      <c r="AW84" s="725">
        <f t="shared" si="36"/>
        <v>0</v>
      </c>
      <c r="AX84" s="690"/>
      <c r="AY84" s="690"/>
    </row>
    <row r="85" spans="3:51" s="46" customFormat="1" ht="30.75" hidden="1" customHeight="1" outlineLevel="1">
      <c r="C85" s="726">
        <v>68</v>
      </c>
      <c r="D85" s="691"/>
      <c r="E85" s="727"/>
      <c r="F85" s="728"/>
      <c r="G85" s="2023"/>
      <c r="H85" s="2024"/>
      <c r="I85" s="683"/>
      <c r="J85" s="729"/>
      <c r="K85" s="684"/>
      <c r="L85" s="685"/>
      <c r="M85" s="685"/>
      <c r="N85" s="685"/>
      <c r="O85" s="685"/>
      <c r="P85" s="685"/>
      <c r="Q85" s="685"/>
      <c r="R85" s="1045"/>
      <c r="S85" s="686"/>
      <c r="T85" s="730"/>
      <c r="U85" s="731"/>
      <c r="V85" s="721"/>
      <c r="W85" s="732"/>
      <c r="X85" s="733"/>
      <c r="Z85" s="674">
        <f t="shared" si="21"/>
        <v>0</v>
      </c>
      <c r="AA85" s="674">
        <f t="shared" si="22"/>
        <v>0</v>
      </c>
      <c r="AB85" s="674">
        <f t="shared" si="23"/>
        <v>0</v>
      </c>
      <c r="AC85" s="674">
        <f>IF(Z85=0,,VLOOKUP(Z85,リスト!DC:DD,2,0))</f>
        <v>0</v>
      </c>
      <c r="AD85" s="674">
        <f t="shared" si="24"/>
        <v>0</v>
      </c>
      <c r="AE85" s="675">
        <f>IF(AD85=0,,VLOOKUP(AD85,リスト!DK:DL,2,0))</f>
        <v>0</v>
      </c>
      <c r="AF85" s="674">
        <f>IF(Z85=0,,
IF(OR(リスト!$C$21="小麦",リスト!$C$21="二条大麦",リスト!$C$21="六条大麦",リスト!$C$21="はだか麦",リスト!$C$21="なたね"),IF(K85&lt;9,調査年-J85,調査年-J85-1),
IF(リスト!$C$21="さとうきび",IF(K85&gt;=4,調査年-J85,調査年-J85+1),
調査年-J85)))</f>
        <v>0</v>
      </c>
      <c r="AG85" s="676">
        <f t="shared" si="25"/>
        <v>0</v>
      </c>
      <c r="AH85" s="676">
        <f t="shared" si="26"/>
        <v>0</v>
      </c>
      <c r="AI85" s="676">
        <f t="shared" si="27"/>
        <v>0</v>
      </c>
      <c r="AJ85" s="676">
        <f t="shared" si="28"/>
        <v>0</v>
      </c>
      <c r="AK85" s="403"/>
      <c r="AL85" s="67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6">
        <f t="shared" si="29"/>
        <v>0</v>
      </c>
      <c r="AN85" s="676">
        <f t="shared" si="30"/>
        <v>0</v>
      </c>
      <c r="AO85" s="676">
        <f t="shared" si="31"/>
        <v>0</v>
      </c>
      <c r="AP85" s="67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6">
        <f t="shared" si="32"/>
        <v>0</v>
      </c>
      <c r="AR85" s="676">
        <f t="shared" si="33"/>
        <v>0</v>
      </c>
      <c r="AS85" s="676">
        <f t="shared" si="37"/>
        <v>0</v>
      </c>
      <c r="AT85" s="676">
        <f t="shared" si="38"/>
        <v>0</v>
      </c>
      <c r="AU85" s="676">
        <f t="shared" si="34"/>
        <v>0</v>
      </c>
      <c r="AV85" s="676">
        <f t="shared" si="35"/>
        <v>0</v>
      </c>
      <c r="AW85" s="725">
        <f t="shared" si="36"/>
        <v>0</v>
      </c>
      <c r="AX85" s="690"/>
      <c r="AY85" s="690"/>
    </row>
    <row r="86" spans="3:51" s="46" customFormat="1" ht="30.75" hidden="1" customHeight="1" outlineLevel="1">
      <c r="C86" s="726">
        <v>69</v>
      </c>
      <c r="D86" s="691"/>
      <c r="E86" s="727"/>
      <c r="F86" s="728"/>
      <c r="G86" s="2023"/>
      <c r="H86" s="2024"/>
      <c r="I86" s="683"/>
      <c r="J86" s="729"/>
      <c r="K86" s="684"/>
      <c r="L86" s="685"/>
      <c r="M86" s="685"/>
      <c r="N86" s="685"/>
      <c r="O86" s="685"/>
      <c r="P86" s="685"/>
      <c r="Q86" s="685"/>
      <c r="R86" s="1045"/>
      <c r="S86" s="686"/>
      <c r="T86" s="730"/>
      <c r="U86" s="731"/>
      <c r="V86" s="721"/>
      <c r="W86" s="732"/>
      <c r="X86" s="733"/>
      <c r="Z86" s="674">
        <f t="shared" si="21"/>
        <v>0</v>
      </c>
      <c r="AA86" s="674">
        <f t="shared" si="22"/>
        <v>0</v>
      </c>
      <c r="AB86" s="674">
        <f t="shared" si="23"/>
        <v>0</v>
      </c>
      <c r="AC86" s="674">
        <f>IF(Z86=0,,VLOOKUP(Z86,リスト!DC:DD,2,0))</f>
        <v>0</v>
      </c>
      <c r="AD86" s="674">
        <f t="shared" si="24"/>
        <v>0</v>
      </c>
      <c r="AE86" s="675">
        <f>IF(AD86=0,,VLOOKUP(AD86,リスト!DK:DL,2,0))</f>
        <v>0</v>
      </c>
      <c r="AF86" s="674">
        <f>IF(Z86=0,,
IF(OR(リスト!$C$21="小麦",リスト!$C$21="二条大麦",リスト!$C$21="六条大麦",リスト!$C$21="はだか麦",リスト!$C$21="なたね"),IF(K86&lt;9,調査年-J86,調査年-J86-1),
IF(リスト!$C$21="さとうきび",IF(K86&gt;=4,調査年-J86,調査年-J86+1),
調査年-J86)))</f>
        <v>0</v>
      </c>
      <c r="AG86" s="676">
        <f t="shared" si="25"/>
        <v>0</v>
      </c>
      <c r="AH86" s="676">
        <f t="shared" si="26"/>
        <v>0</v>
      </c>
      <c r="AI86" s="676">
        <f t="shared" si="27"/>
        <v>0</v>
      </c>
      <c r="AJ86" s="676">
        <f t="shared" si="28"/>
        <v>0</v>
      </c>
      <c r="AK86" s="403"/>
      <c r="AL86" s="67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6">
        <f t="shared" si="29"/>
        <v>0</v>
      </c>
      <c r="AN86" s="676">
        <f t="shared" si="30"/>
        <v>0</v>
      </c>
      <c r="AO86" s="676">
        <f t="shared" si="31"/>
        <v>0</v>
      </c>
      <c r="AP86" s="67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6">
        <f t="shared" si="32"/>
        <v>0</v>
      </c>
      <c r="AR86" s="676">
        <f t="shared" si="33"/>
        <v>0</v>
      </c>
      <c r="AS86" s="676">
        <f t="shared" si="37"/>
        <v>0</v>
      </c>
      <c r="AT86" s="676">
        <f t="shared" si="38"/>
        <v>0</v>
      </c>
      <c r="AU86" s="676">
        <f t="shared" si="34"/>
        <v>0</v>
      </c>
      <c r="AV86" s="676">
        <f t="shared" si="35"/>
        <v>0</v>
      </c>
      <c r="AW86" s="725">
        <f t="shared" si="36"/>
        <v>0</v>
      </c>
      <c r="AX86" s="690"/>
      <c r="AY86" s="690"/>
    </row>
    <row r="87" spans="3:51" s="46" customFormat="1" ht="30.75" hidden="1" customHeight="1" outlineLevel="1">
      <c r="C87" s="726">
        <v>70</v>
      </c>
      <c r="D87" s="691"/>
      <c r="E87" s="727"/>
      <c r="F87" s="728"/>
      <c r="G87" s="2023"/>
      <c r="H87" s="2024"/>
      <c r="I87" s="683"/>
      <c r="J87" s="729"/>
      <c r="K87" s="684"/>
      <c r="L87" s="685"/>
      <c r="M87" s="685"/>
      <c r="N87" s="685"/>
      <c r="O87" s="685"/>
      <c r="P87" s="685"/>
      <c r="Q87" s="685"/>
      <c r="R87" s="1045"/>
      <c r="S87" s="686"/>
      <c r="T87" s="730"/>
      <c r="U87" s="731"/>
      <c r="V87" s="721"/>
      <c r="W87" s="732"/>
      <c r="X87" s="733"/>
      <c r="Z87" s="674">
        <f t="shared" si="21"/>
        <v>0</v>
      </c>
      <c r="AA87" s="674">
        <f t="shared" si="22"/>
        <v>0</v>
      </c>
      <c r="AB87" s="674">
        <f t="shared" si="23"/>
        <v>0</v>
      </c>
      <c r="AC87" s="674">
        <f>IF(Z87=0,,VLOOKUP(Z87,リスト!DC:DD,2,0))</f>
        <v>0</v>
      </c>
      <c r="AD87" s="674">
        <f t="shared" si="24"/>
        <v>0</v>
      </c>
      <c r="AE87" s="675">
        <f>IF(AD87=0,,VLOOKUP(AD87,リスト!DK:DL,2,0))</f>
        <v>0</v>
      </c>
      <c r="AF87" s="674">
        <f>IF(Z87=0,,
IF(OR(リスト!$C$21="小麦",リスト!$C$21="二条大麦",リスト!$C$21="六条大麦",リスト!$C$21="はだか麦",リスト!$C$21="なたね"),IF(K87&lt;9,調査年-J87,調査年-J87-1),
IF(リスト!$C$21="さとうきび",IF(K87&gt;=4,調査年-J87,調査年-J87+1),
調査年-J87)))</f>
        <v>0</v>
      </c>
      <c r="AG87" s="676">
        <f t="shared" si="25"/>
        <v>0</v>
      </c>
      <c r="AH87" s="676">
        <f t="shared" si="26"/>
        <v>0</v>
      </c>
      <c r="AI87" s="676">
        <f t="shared" si="27"/>
        <v>0</v>
      </c>
      <c r="AJ87" s="676">
        <f t="shared" si="28"/>
        <v>0</v>
      </c>
      <c r="AK87" s="403"/>
      <c r="AL87" s="67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6">
        <f t="shared" si="29"/>
        <v>0</v>
      </c>
      <c r="AN87" s="676">
        <f t="shared" si="30"/>
        <v>0</v>
      </c>
      <c r="AO87" s="676">
        <f t="shared" si="31"/>
        <v>0</v>
      </c>
      <c r="AP87" s="67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6">
        <f t="shared" si="32"/>
        <v>0</v>
      </c>
      <c r="AR87" s="676">
        <f t="shared" si="33"/>
        <v>0</v>
      </c>
      <c r="AS87" s="676">
        <f t="shared" si="37"/>
        <v>0</v>
      </c>
      <c r="AT87" s="676">
        <f t="shared" si="38"/>
        <v>0</v>
      </c>
      <c r="AU87" s="676">
        <f t="shared" si="34"/>
        <v>0</v>
      </c>
      <c r="AV87" s="676">
        <f t="shared" si="35"/>
        <v>0</v>
      </c>
      <c r="AW87" s="725">
        <f t="shared" si="36"/>
        <v>0</v>
      </c>
      <c r="AX87" s="690"/>
      <c r="AY87" s="690"/>
    </row>
    <row r="88" spans="3:51" s="46" customFormat="1" ht="30.75" hidden="1" customHeight="1" outlineLevel="1">
      <c r="C88" s="726">
        <v>71</v>
      </c>
      <c r="D88" s="691"/>
      <c r="E88" s="727"/>
      <c r="F88" s="728"/>
      <c r="G88" s="2023"/>
      <c r="H88" s="2024"/>
      <c r="I88" s="683"/>
      <c r="J88" s="729"/>
      <c r="K88" s="684"/>
      <c r="L88" s="685"/>
      <c r="M88" s="685"/>
      <c r="N88" s="685"/>
      <c r="O88" s="685"/>
      <c r="P88" s="685"/>
      <c r="Q88" s="685"/>
      <c r="R88" s="1045"/>
      <c r="S88" s="686"/>
      <c r="T88" s="730"/>
      <c r="U88" s="731"/>
      <c r="V88" s="721"/>
      <c r="W88" s="732"/>
      <c r="X88" s="733"/>
      <c r="Z88" s="674">
        <f t="shared" si="21"/>
        <v>0</v>
      </c>
      <c r="AA88" s="674">
        <f t="shared" si="22"/>
        <v>0</v>
      </c>
      <c r="AB88" s="674">
        <f t="shared" si="23"/>
        <v>0</v>
      </c>
      <c r="AC88" s="674">
        <f>IF(Z88=0,,VLOOKUP(Z88,リスト!DC:DD,2,0))</f>
        <v>0</v>
      </c>
      <c r="AD88" s="674">
        <f t="shared" si="24"/>
        <v>0</v>
      </c>
      <c r="AE88" s="675">
        <f>IF(AD88=0,,VLOOKUP(AD88,リスト!DK:DL,2,0))</f>
        <v>0</v>
      </c>
      <c r="AF88" s="674">
        <f>IF(Z88=0,,
IF(OR(リスト!$C$21="小麦",リスト!$C$21="二条大麦",リスト!$C$21="六条大麦",リスト!$C$21="はだか麦",リスト!$C$21="なたね"),IF(K88&lt;9,調査年-J88,調査年-J88-1),
IF(リスト!$C$21="さとうきび",IF(K88&gt;=4,調査年-J88,調査年-J88+1),
調査年-J88)))</f>
        <v>0</v>
      </c>
      <c r="AG88" s="676">
        <f t="shared" si="25"/>
        <v>0</v>
      </c>
      <c r="AH88" s="676">
        <f t="shared" si="26"/>
        <v>0</v>
      </c>
      <c r="AI88" s="676">
        <f t="shared" si="27"/>
        <v>0</v>
      </c>
      <c r="AJ88" s="676">
        <f t="shared" si="28"/>
        <v>0</v>
      </c>
      <c r="AK88" s="403"/>
      <c r="AL88" s="67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6">
        <f t="shared" si="29"/>
        <v>0</v>
      </c>
      <c r="AN88" s="676">
        <f t="shared" si="30"/>
        <v>0</v>
      </c>
      <c r="AO88" s="676">
        <f t="shared" si="31"/>
        <v>0</v>
      </c>
      <c r="AP88" s="67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6">
        <f t="shared" si="32"/>
        <v>0</v>
      </c>
      <c r="AR88" s="676">
        <f t="shared" si="33"/>
        <v>0</v>
      </c>
      <c r="AS88" s="676">
        <f t="shared" si="37"/>
        <v>0</v>
      </c>
      <c r="AT88" s="676">
        <f t="shared" si="38"/>
        <v>0</v>
      </c>
      <c r="AU88" s="676">
        <f t="shared" si="34"/>
        <v>0</v>
      </c>
      <c r="AV88" s="676">
        <f t="shared" si="35"/>
        <v>0</v>
      </c>
      <c r="AW88" s="725">
        <f t="shared" si="36"/>
        <v>0</v>
      </c>
      <c r="AX88" s="690"/>
      <c r="AY88" s="690"/>
    </row>
    <row r="89" spans="3:51" s="46" customFormat="1" ht="30.75" hidden="1" customHeight="1" outlineLevel="1">
      <c r="C89" s="726">
        <v>72</v>
      </c>
      <c r="D89" s="691"/>
      <c r="E89" s="727"/>
      <c r="F89" s="728"/>
      <c r="G89" s="2023"/>
      <c r="H89" s="2024"/>
      <c r="I89" s="683"/>
      <c r="J89" s="729"/>
      <c r="K89" s="684"/>
      <c r="L89" s="685"/>
      <c r="M89" s="685"/>
      <c r="N89" s="685"/>
      <c r="O89" s="685"/>
      <c r="P89" s="685"/>
      <c r="Q89" s="685"/>
      <c r="R89" s="1045"/>
      <c r="S89" s="686"/>
      <c r="T89" s="730"/>
      <c r="U89" s="731"/>
      <c r="V89" s="721"/>
      <c r="W89" s="732"/>
      <c r="X89" s="733"/>
      <c r="Z89" s="674">
        <f t="shared" si="21"/>
        <v>0</v>
      </c>
      <c r="AA89" s="674">
        <f t="shared" si="22"/>
        <v>0</v>
      </c>
      <c r="AB89" s="674">
        <f t="shared" si="23"/>
        <v>0</v>
      </c>
      <c r="AC89" s="674">
        <f>IF(Z89=0,,VLOOKUP(Z89,リスト!DC:DD,2,0))</f>
        <v>0</v>
      </c>
      <c r="AD89" s="674">
        <f t="shared" si="24"/>
        <v>0</v>
      </c>
      <c r="AE89" s="675">
        <f>IF(AD89=0,,VLOOKUP(AD89,リスト!DK:DL,2,0))</f>
        <v>0</v>
      </c>
      <c r="AF89" s="674">
        <f>IF(Z89=0,,
IF(OR(リスト!$C$21="小麦",リスト!$C$21="二条大麦",リスト!$C$21="六条大麦",リスト!$C$21="はだか麦",リスト!$C$21="なたね"),IF(K89&lt;9,調査年-J89,調査年-J89-1),
IF(リスト!$C$21="さとうきび",IF(K89&gt;=4,調査年-J89,調査年-J89+1),
調査年-J89)))</f>
        <v>0</v>
      </c>
      <c r="AG89" s="676">
        <f t="shared" si="25"/>
        <v>0</v>
      </c>
      <c r="AH89" s="676">
        <f t="shared" si="26"/>
        <v>0</v>
      </c>
      <c r="AI89" s="676">
        <f t="shared" si="27"/>
        <v>0</v>
      </c>
      <c r="AJ89" s="676">
        <f t="shared" si="28"/>
        <v>0</v>
      </c>
      <c r="AK89" s="403"/>
      <c r="AL89" s="67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6">
        <f t="shared" si="29"/>
        <v>0</v>
      </c>
      <c r="AN89" s="676">
        <f t="shared" si="30"/>
        <v>0</v>
      </c>
      <c r="AO89" s="676">
        <f t="shared" si="31"/>
        <v>0</v>
      </c>
      <c r="AP89" s="67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6">
        <f t="shared" si="32"/>
        <v>0</v>
      </c>
      <c r="AR89" s="676">
        <f t="shared" si="33"/>
        <v>0</v>
      </c>
      <c r="AS89" s="676">
        <f t="shared" si="37"/>
        <v>0</v>
      </c>
      <c r="AT89" s="676">
        <f t="shared" si="38"/>
        <v>0</v>
      </c>
      <c r="AU89" s="676">
        <f t="shared" si="34"/>
        <v>0</v>
      </c>
      <c r="AV89" s="676">
        <f t="shared" si="35"/>
        <v>0</v>
      </c>
      <c r="AW89" s="725">
        <f t="shared" si="36"/>
        <v>0</v>
      </c>
      <c r="AX89" s="690"/>
      <c r="AY89" s="690"/>
    </row>
    <row r="90" spans="3:51" s="46" customFormat="1" ht="30.75" hidden="1" customHeight="1" outlineLevel="1">
      <c r="C90" s="726">
        <v>73</v>
      </c>
      <c r="D90" s="691"/>
      <c r="E90" s="727"/>
      <c r="F90" s="728"/>
      <c r="G90" s="2023"/>
      <c r="H90" s="2024"/>
      <c r="I90" s="683"/>
      <c r="J90" s="729"/>
      <c r="K90" s="684"/>
      <c r="L90" s="685"/>
      <c r="M90" s="685"/>
      <c r="N90" s="685"/>
      <c r="O90" s="685"/>
      <c r="P90" s="685"/>
      <c r="Q90" s="685"/>
      <c r="R90" s="1045"/>
      <c r="S90" s="686"/>
      <c r="T90" s="730"/>
      <c r="U90" s="731"/>
      <c r="V90" s="721"/>
      <c r="W90" s="732"/>
      <c r="X90" s="733"/>
      <c r="Z90" s="674">
        <f t="shared" si="21"/>
        <v>0</v>
      </c>
      <c r="AA90" s="674">
        <f t="shared" si="22"/>
        <v>0</v>
      </c>
      <c r="AB90" s="674">
        <f t="shared" si="23"/>
        <v>0</v>
      </c>
      <c r="AC90" s="674">
        <f>IF(Z90=0,,VLOOKUP(Z90,リスト!DC:DD,2,0))</f>
        <v>0</v>
      </c>
      <c r="AD90" s="674">
        <f t="shared" si="24"/>
        <v>0</v>
      </c>
      <c r="AE90" s="675">
        <f>IF(AD90=0,,VLOOKUP(AD90,リスト!DK:DL,2,0))</f>
        <v>0</v>
      </c>
      <c r="AF90" s="674">
        <f>IF(Z90=0,,
IF(OR(リスト!$C$21="小麦",リスト!$C$21="二条大麦",リスト!$C$21="六条大麦",リスト!$C$21="はだか麦",リスト!$C$21="なたね"),IF(K90&lt;9,調査年-J90,調査年-J90-1),
IF(リスト!$C$21="さとうきび",IF(K90&gt;=4,調査年-J90,調査年-J90+1),
調査年-J90)))</f>
        <v>0</v>
      </c>
      <c r="AG90" s="676">
        <f t="shared" si="25"/>
        <v>0</v>
      </c>
      <c r="AH90" s="676">
        <f t="shared" si="26"/>
        <v>0</v>
      </c>
      <c r="AI90" s="676">
        <f t="shared" si="27"/>
        <v>0</v>
      </c>
      <c r="AJ90" s="676">
        <f t="shared" si="28"/>
        <v>0</v>
      </c>
      <c r="AK90" s="403"/>
      <c r="AL90" s="67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6">
        <f t="shared" si="29"/>
        <v>0</v>
      </c>
      <c r="AN90" s="676">
        <f t="shared" si="30"/>
        <v>0</v>
      </c>
      <c r="AO90" s="676">
        <f t="shared" si="31"/>
        <v>0</v>
      </c>
      <c r="AP90" s="67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6">
        <f t="shared" si="32"/>
        <v>0</v>
      </c>
      <c r="AR90" s="676">
        <f t="shared" si="33"/>
        <v>0</v>
      </c>
      <c r="AS90" s="676">
        <f t="shared" si="37"/>
        <v>0</v>
      </c>
      <c r="AT90" s="676">
        <f t="shared" si="38"/>
        <v>0</v>
      </c>
      <c r="AU90" s="676">
        <f t="shared" si="34"/>
        <v>0</v>
      </c>
      <c r="AV90" s="676">
        <f t="shared" si="35"/>
        <v>0</v>
      </c>
      <c r="AW90" s="725">
        <f t="shared" si="36"/>
        <v>0</v>
      </c>
      <c r="AX90" s="690"/>
      <c r="AY90" s="690"/>
    </row>
    <row r="91" spans="3:51" s="46" customFormat="1" ht="30.75" hidden="1" customHeight="1" outlineLevel="1">
      <c r="C91" s="726">
        <v>74</v>
      </c>
      <c r="D91" s="691"/>
      <c r="E91" s="727"/>
      <c r="F91" s="728"/>
      <c r="G91" s="2023"/>
      <c r="H91" s="2024"/>
      <c r="I91" s="683"/>
      <c r="J91" s="729"/>
      <c r="K91" s="684"/>
      <c r="L91" s="685"/>
      <c r="M91" s="685"/>
      <c r="N91" s="685"/>
      <c r="O91" s="685"/>
      <c r="P91" s="685"/>
      <c r="Q91" s="685"/>
      <c r="R91" s="1045"/>
      <c r="S91" s="686"/>
      <c r="T91" s="730"/>
      <c r="U91" s="731"/>
      <c r="V91" s="721"/>
      <c r="W91" s="732"/>
      <c r="X91" s="733"/>
      <c r="Z91" s="674">
        <f t="shared" si="21"/>
        <v>0</v>
      </c>
      <c r="AA91" s="674">
        <f t="shared" si="22"/>
        <v>0</v>
      </c>
      <c r="AB91" s="674">
        <f t="shared" si="23"/>
        <v>0</v>
      </c>
      <c r="AC91" s="674">
        <f>IF(Z91=0,,VLOOKUP(Z91,リスト!DC:DD,2,0))</f>
        <v>0</v>
      </c>
      <c r="AD91" s="674">
        <f t="shared" si="24"/>
        <v>0</v>
      </c>
      <c r="AE91" s="675">
        <f>IF(AD91=0,,VLOOKUP(AD91,リスト!DK:DL,2,0))</f>
        <v>0</v>
      </c>
      <c r="AF91" s="674">
        <f>IF(Z91=0,,
IF(OR(リスト!$C$21="小麦",リスト!$C$21="二条大麦",リスト!$C$21="六条大麦",リスト!$C$21="はだか麦",リスト!$C$21="なたね"),IF(K91&lt;9,調査年-J91,調査年-J91-1),
IF(リスト!$C$21="さとうきび",IF(K91&gt;=4,調査年-J91,調査年-J91+1),
調査年-J91)))</f>
        <v>0</v>
      </c>
      <c r="AG91" s="676">
        <f t="shared" si="25"/>
        <v>0</v>
      </c>
      <c r="AH91" s="676">
        <f t="shared" si="26"/>
        <v>0</v>
      </c>
      <c r="AI91" s="676">
        <f t="shared" si="27"/>
        <v>0</v>
      </c>
      <c r="AJ91" s="676">
        <f t="shared" si="28"/>
        <v>0</v>
      </c>
      <c r="AK91" s="403"/>
      <c r="AL91" s="67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6">
        <f t="shared" si="29"/>
        <v>0</v>
      </c>
      <c r="AN91" s="676">
        <f t="shared" si="30"/>
        <v>0</v>
      </c>
      <c r="AO91" s="676">
        <f t="shared" si="31"/>
        <v>0</v>
      </c>
      <c r="AP91" s="67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6">
        <f t="shared" si="32"/>
        <v>0</v>
      </c>
      <c r="AR91" s="676">
        <f t="shared" si="33"/>
        <v>0</v>
      </c>
      <c r="AS91" s="676">
        <f t="shared" si="37"/>
        <v>0</v>
      </c>
      <c r="AT91" s="676">
        <f t="shared" si="38"/>
        <v>0</v>
      </c>
      <c r="AU91" s="676">
        <f t="shared" si="34"/>
        <v>0</v>
      </c>
      <c r="AV91" s="676">
        <f t="shared" si="35"/>
        <v>0</v>
      </c>
      <c r="AW91" s="725">
        <f t="shared" si="36"/>
        <v>0</v>
      </c>
      <c r="AX91" s="690"/>
      <c r="AY91" s="690"/>
    </row>
    <row r="92" spans="3:51" s="46" customFormat="1" ht="30.75" hidden="1" customHeight="1" outlineLevel="1">
      <c r="C92" s="726">
        <v>75</v>
      </c>
      <c r="D92" s="691"/>
      <c r="E92" s="727"/>
      <c r="F92" s="728"/>
      <c r="G92" s="2023"/>
      <c r="H92" s="2024"/>
      <c r="I92" s="683"/>
      <c r="J92" s="729"/>
      <c r="K92" s="684"/>
      <c r="L92" s="685"/>
      <c r="M92" s="685"/>
      <c r="N92" s="685"/>
      <c r="O92" s="685"/>
      <c r="P92" s="685"/>
      <c r="Q92" s="685"/>
      <c r="R92" s="1045"/>
      <c r="S92" s="686"/>
      <c r="T92" s="730"/>
      <c r="U92" s="731"/>
      <c r="V92" s="721"/>
      <c r="W92" s="732"/>
      <c r="X92" s="733"/>
      <c r="Z92" s="674">
        <f t="shared" si="21"/>
        <v>0</v>
      </c>
      <c r="AA92" s="674">
        <f t="shared" si="22"/>
        <v>0</v>
      </c>
      <c r="AB92" s="674">
        <f t="shared" si="23"/>
        <v>0</v>
      </c>
      <c r="AC92" s="674">
        <f>IF(Z92=0,,VLOOKUP(Z92,リスト!DC:DD,2,0))</f>
        <v>0</v>
      </c>
      <c r="AD92" s="674">
        <f t="shared" si="24"/>
        <v>0</v>
      </c>
      <c r="AE92" s="675">
        <f>IF(AD92=0,,VLOOKUP(AD92,リスト!DK:DL,2,0))</f>
        <v>0</v>
      </c>
      <c r="AF92" s="674">
        <f>IF(Z92=0,,
IF(OR(リスト!$C$21="小麦",リスト!$C$21="二条大麦",リスト!$C$21="六条大麦",リスト!$C$21="はだか麦",リスト!$C$21="なたね"),IF(K92&lt;9,調査年-J92,調査年-J92-1),
IF(リスト!$C$21="さとうきび",IF(K92&gt;=4,調査年-J92,調査年-J92+1),
調査年-J92)))</f>
        <v>0</v>
      </c>
      <c r="AG92" s="676">
        <f t="shared" si="25"/>
        <v>0</v>
      </c>
      <c r="AH92" s="676">
        <f t="shared" si="26"/>
        <v>0</v>
      </c>
      <c r="AI92" s="676">
        <f t="shared" si="27"/>
        <v>0</v>
      </c>
      <c r="AJ92" s="676">
        <f t="shared" si="28"/>
        <v>0</v>
      </c>
      <c r="AK92" s="403"/>
      <c r="AL92" s="67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6">
        <f t="shared" si="29"/>
        <v>0</v>
      </c>
      <c r="AN92" s="676">
        <f t="shared" si="30"/>
        <v>0</v>
      </c>
      <c r="AO92" s="676">
        <f t="shared" si="31"/>
        <v>0</v>
      </c>
      <c r="AP92" s="67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6">
        <f t="shared" si="32"/>
        <v>0</v>
      </c>
      <c r="AR92" s="676">
        <f t="shared" si="33"/>
        <v>0</v>
      </c>
      <c r="AS92" s="676">
        <f t="shared" si="37"/>
        <v>0</v>
      </c>
      <c r="AT92" s="676">
        <f t="shared" si="38"/>
        <v>0</v>
      </c>
      <c r="AU92" s="676">
        <f t="shared" si="34"/>
        <v>0</v>
      </c>
      <c r="AV92" s="676">
        <f t="shared" si="35"/>
        <v>0</v>
      </c>
      <c r="AW92" s="725">
        <f t="shared" si="36"/>
        <v>0</v>
      </c>
      <c r="AX92" s="690"/>
      <c r="AY92" s="690"/>
    </row>
    <row r="93" spans="3:51" s="46" customFormat="1" ht="30.75" hidden="1" customHeight="1" outlineLevel="1">
      <c r="C93" s="726">
        <v>76</v>
      </c>
      <c r="D93" s="691"/>
      <c r="E93" s="735"/>
      <c r="F93" s="736"/>
      <c r="G93" s="2027"/>
      <c r="H93" s="2028"/>
      <c r="I93" s="737"/>
      <c r="J93" s="738"/>
      <c r="K93" s="739"/>
      <c r="L93" s="740"/>
      <c r="M93" s="740"/>
      <c r="N93" s="740"/>
      <c r="O93" s="740"/>
      <c r="P93" s="740"/>
      <c r="Q93" s="740"/>
      <c r="R93" s="1045"/>
      <c r="S93" s="741"/>
      <c r="T93" s="742"/>
      <c r="U93" s="743"/>
      <c r="V93" s="721"/>
      <c r="W93" s="732"/>
      <c r="X93" s="733"/>
      <c r="Z93" s="674">
        <f t="shared" si="21"/>
        <v>0</v>
      </c>
      <c r="AA93" s="674">
        <f t="shared" si="22"/>
        <v>0</v>
      </c>
      <c r="AB93" s="674">
        <f t="shared" si="23"/>
        <v>0</v>
      </c>
      <c r="AC93" s="674">
        <f>IF(Z93=0,,VLOOKUP(Z93,リスト!DC:DD,2,0))</f>
        <v>0</v>
      </c>
      <c r="AD93" s="674">
        <f t="shared" si="24"/>
        <v>0</v>
      </c>
      <c r="AE93" s="675">
        <f>IF(AD93=0,,VLOOKUP(AD93,リスト!DK:DL,2,0))</f>
        <v>0</v>
      </c>
      <c r="AF93" s="674">
        <f>IF(Z93=0,,
IF(OR(リスト!$C$21="小麦",リスト!$C$21="二条大麦",リスト!$C$21="六条大麦",リスト!$C$21="はだか麦",リスト!$C$21="なたね"),IF(K93&lt;9,調査年-J93,調査年-J93-1),
IF(リスト!$C$21="さとうきび",IF(K93&gt;=4,調査年-J93,調査年-J93+1),
調査年-J93)))</f>
        <v>0</v>
      </c>
      <c r="AG93" s="676">
        <f t="shared" si="25"/>
        <v>0</v>
      </c>
      <c r="AH93" s="676">
        <f t="shared" si="26"/>
        <v>0</v>
      </c>
      <c r="AI93" s="676">
        <f t="shared" si="27"/>
        <v>0</v>
      </c>
      <c r="AJ93" s="676">
        <f t="shared" si="28"/>
        <v>0</v>
      </c>
      <c r="AK93" s="403"/>
      <c r="AL93" s="67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6">
        <f t="shared" si="29"/>
        <v>0</v>
      </c>
      <c r="AN93" s="676">
        <f t="shared" si="30"/>
        <v>0</v>
      </c>
      <c r="AO93" s="676">
        <f t="shared" si="31"/>
        <v>0</v>
      </c>
      <c r="AP93" s="67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6">
        <f t="shared" si="32"/>
        <v>0</v>
      </c>
      <c r="AR93" s="676">
        <f t="shared" si="33"/>
        <v>0</v>
      </c>
      <c r="AS93" s="676">
        <f t="shared" si="37"/>
        <v>0</v>
      </c>
      <c r="AT93" s="676">
        <f t="shared" si="38"/>
        <v>0</v>
      </c>
      <c r="AU93" s="676">
        <f t="shared" si="34"/>
        <v>0</v>
      </c>
      <c r="AV93" s="676">
        <f t="shared" si="35"/>
        <v>0</v>
      </c>
      <c r="AW93" s="725">
        <f t="shared" si="36"/>
        <v>0</v>
      </c>
      <c r="AX93" s="690"/>
      <c r="AY93" s="690"/>
    </row>
    <row r="94" spans="3:51" s="46" customFormat="1" ht="30.75" hidden="1" customHeight="1" outlineLevel="1">
      <c r="C94" s="726">
        <v>77</v>
      </c>
      <c r="D94" s="691"/>
      <c r="E94" s="727"/>
      <c r="F94" s="728"/>
      <c r="G94" s="2023"/>
      <c r="H94" s="2024"/>
      <c r="I94" s="683"/>
      <c r="J94" s="729"/>
      <c r="K94" s="684"/>
      <c r="L94" s="685"/>
      <c r="M94" s="685"/>
      <c r="N94" s="685"/>
      <c r="O94" s="685"/>
      <c r="P94" s="685"/>
      <c r="Q94" s="685"/>
      <c r="R94" s="1045"/>
      <c r="S94" s="686"/>
      <c r="T94" s="730"/>
      <c r="U94" s="731"/>
      <c r="V94" s="721"/>
      <c r="W94" s="732"/>
      <c r="X94" s="733"/>
      <c r="Z94" s="674">
        <f t="shared" si="21"/>
        <v>0</v>
      </c>
      <c r="AA94" s="674">
        <f t="shared" si="22"/>
        <v>0</v>
      </c>
      <c r="AB94" s="674">
        <f t="shared" si="23"/>
        <v>0</v>
      </c>
      <c r="AC94" s="674">
        <f>IF(Z94=0,,VLOOKUP(Z94,リスト!DC:DD,2,0))</f>
        <v>0</v>
      </c>
      <c r="AD94" s="674">
        <f t="shared" si="24"/>
        <v>0</v>
      </c>
      <c r="AE94" s="675">
        <f>IF(AD94=0,,VLOOKUP(AD94,リスト!DK:DL,2,0))</f>
        <v>0</v>
      </c>
      <c r="AF94" s="674">
        <f>IF(Z94=0,,
IF(OR(リスト!$C$21="小麦",リスト!$C$21="二条大麦",リスト!$C$21="六条大麦",リスト!$C$21="はだか麦",リスト!$C$21="なたね"),IF(K94&lt;9,調査年-J94,調査年-J94-1),
IF(リスト!$C$21="さとうきび",IF(K94&gt;=4,調査年-J94,調査年-J94+1),
調査年-J94)))</f>
        <v>0</v>
      </c>
      <c r="AG94" s="676">
        <f t="shared" si="25"/>
        <v>0</v>
      </c>
      <c r="AH94" s="676">
        <f t="shared" si="26"/>
        <v>0</v>
      </c>
      <c r="AI94" s="676">
        <f t="shared" si="27"/>
        <v>0</v>
      </c>
      <c r="AJ94" s="676">
        <f t="shared" si="28"/>
        <v>0</v>
      </c>
      <c r="AK94" s="403"/>
      <c r="AL94" s="67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6">
        <f t="shared" si="29"/>
        <v>0</v>
      </c>
      <c r="AN94" s="676">
        <f t="shared" si="30"/>
        <v>0</v>
      </c>
      <c r="AO94" s="676">
        <f t="shared" si="31"/>
        <v>0</v>
      </c>
      <c r="AP94" s="67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6">
        <f t="shared" si="32"/>
        <v>0</v>
      </c>
      <c r="AR94" s="676">
        <f t="shared" si="33"/>
        <v>0</v>
      </c>
      <c r="AS94" s="676">
        <f t="shared" si="37"/>
        <v>0</v>
      </c>
      <c r="AT94" s="676">
        <f t="shared" si="38"/>
        <v>0</v>
      </c>
      <c r="AU94" s="676">
        <f t="shared" si="34"/>
        <v>0</v>
      </c>
      <c r="AV94" s="676">
        <f t="shared" si="35"/>
        <v>0</v>
      </c>
      <c r="AW94" s="725">
        <f t="shared" si="36"/>
        <v>0</v>
      </c>
      <c r="AX94" s="690"/>
      <c r="AY94" s="690"/>
    </row>
    <row r="95" spans="3:51" s="46" customFormat="1" ht="30.75" hidden="1" customHeight="1" outlineLevel="1">
      <c r="C95" s="726">
        <v>78</v>
      </c>
      <c r="D95" s="691"/>
      <c r="E95" s="727"/>
      <c r="F95" s="728"/>
      <c r="G95" s="2023"/>
      <c r="H95" s="2024"/>
      <c r="I95" s="683"/>
      <c r="J95" s="729"/>
      <c r="K95" s="684"/>
      <c r="L95" s="685"/>
      <c r="M95" s="685"/>
      <c r="N95" s="685"/>
      <c r="O95" s="685"/>
      <c r="P95" s="685"/>
      <c r="Q95" s="685"/>
      <c r="R95" s="1045"/>
      <c r="S95" s="686"/>
      <c r="T95" s="730"/>
      <c r="U95" s="731"/>
      <c r="V95" s="721"/>
      <c r="W95" s="732"/>
      <c r="X95" s="733"/>
      <c r="Z95" s="674">
        <f t="shared" si="21"/>
        <v>0</v>
      </c>
      <c r="AA95" s="674">
        <f t="shared" si="22"/>
        <v>0</v>
      </c>
      <c r="AB95" s="674">
        <f t="shared" si="23"/>
        <v>0</v>
      </c>
      <c r="AC95" s="674">
        <f>IF(Z95=0,,VLOOKUP(Z95,リスト!DC:DD,2,0))</f>
        <v>0</v>
      </c>
      <c r="AD95" s="674">
        <f t="shared" si="24"/>
        <v>0</v>
      </c>
      <c r="AE95" s="675">
        <f>IF(AD95=0,,VLOOKUP(AD95,リスト!DK:DL,2,0))</f>
        <v>0</v>
      </c>
      <c r="AF95" s="674">
        <f>IF(Z95=0,,
IF(OR(リスト!$C$21="小麦",リスト!$C$21="二条大麦",リスト!$C$21="六条大麦",リスト!$C$21="はだか麦",リスト!$C$21="なたね"),IF(K95&lt;9,調査年-J95,調査年-J95-1),
IF(リスト!$C$21="さとうきび",IF(K95&gt;=4,調査年-J95,調査年-J95+1),
調査年-J95)))</f>
        <v>0</v>
      </c>
      <c r="AG95" s="676">
        <f t="shared" si="25"/>
        <v>0</v>
      </c>
      <c r="AH95" s="676">
        <f t="shared" si="26"/>
        <v>0</v>
      </c>
      <c r="AI95" s="676">
        <f t="shared" si="27"/>
        <v>0</v>
      </c>
      <c r="AJ95" s="676">
        <f t="shared" si="28"/>
        <v>0</v>
      </c>
      <c r="AK95" s="403"/>
      <c r="AL95" s="67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6">
        <f t="shared" si="29"/>
        <v>0</v>
      </c>
      <c r="AN95" s="676">
        <f t="shared" si="30"/>
        <v>0</v>
      </c>
      <c r="AO95" s="676">
        <f t="shared" si="31"/>
        <v>0</v>
      </c>
      <c r="AP95" s="67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6">
        <f t="shared" si="32"/>
        <v>0</v>
      </c>
      <c r="AR95" s="676">
        <f t="shared" si="33"/>
        <v>0</v>
      </c>
      <c r="AS95" s="676">
        <f t="shared" si="37"/>
        <v>0</v>
      </c>
      <c r="AT95" s="676">
        <f t="shared" si="38"/>
        <v>0</v>
      </c>
      <c r="AU95" s="676">
        <f t="shared" si="34"/>
        <v>0</v>
      </c>
      <c r="AV95" s="676">
        <f t="shared" si="35"/>
        <v>0</v>
      </c>
      <c r="AW95" s="725">
        <f t="shared" si="36"/>
        <v>0</v>
      </c>
      <c r="AX95" s="690"/>
      <c r="AY95" s="690"/>
    </row>
    <row r="96" spans="3:51" s="46" customFormat="1" ht="30.75" hidden="1" customHeight="1" outlineLevel="1">
      <c r="C96" s="726">
        <v>79</v>
      </c>
      <c r="D96" s="691"/>
      <c r="E96" s="727"/>
      <c r="F96" s="728"/>
      <c r="G96" s="2023"/>
      <c r="H96" s="2024"/>
      <c r="I96" s="683"/>
      <c r="J96" s="729"/>
      <c r="K96" s="684"/>
      <c r="L96" s="685"/>
      <c r="M96" s="685"/>
      <c r="N96" s="685"/>
      <c r="O96" s="685"/>
      <c r="P96" s="685"/>
      <c r="Q96" s="685"/>
      <c r="R96" s="1045"/>
      <c r="S96" s="686"/>
      <c r="T96" s="730"/>
      <c r="U96" s="731"/>
      <c r="V96" s="721"/>
      <c r="W96" s="732"/>
      <c r="X96" s="733"/>
      <c r="Z96" s="674">
        <f t="shared" si="21"/>
        <v>0</v>
      </c>
      <c r="AA96" s="674">
        <f t="shared" si="22"/>
        <v>0</v>
      </c>
      <c r="AB96" s="674">
        <f t="shared" si="23"/>
        <v>0</v>
      </c>
      <c r="AC96" s="674">
        <f>IF(Z96=0,,VLOOKUP(Z96,リスト!DC:DD,2,0))</f>
        <v>0</v>
      </c>
      <c r="AD96" s="674">
        <f t="shared" si="24"/>
        <v>0</v>
      </c>
      <c r="AE96" s="675">
        <f>IF(AD96=0,,VLOOKUP(AD96,リスト!DK:DL,2,0))</f>
        <v>0</v>
      </c>
      <c r="AF96" s="674">
        <f>IF(Z96=0,,
IF(OR(リスト!$C$21="小麦",リスト!$C$21="二条大麦",リスト!$C$21="六条大麦",リスト!$C$21="はだか麦",リスト!$C$21="なたね"),IF(K96&lt;9,調査年-J96,調査年-J96-1),
IF(リスト!$C$21="さとうきび",IF(K96&gt;=4,調査年-J96,調査年-J96+1),
調査年-J96)))</f>
        <v>0</v>
      </c>
      <c r="AG96" s="676">
        <f t="shared" si="25"/>
        <v>0</v>
      </c>
      <c r="AH96" s="676">
        <f t="shared" si="26"/>
        <v>0</v>
      </c>
      <c r="AI96" s="676">
        <f t="shared" si="27"/>
        <v>0</v>
      </c>
      <c r="AJ96" s="676">
        <f t="shared" si="28"/>
        <v>0</v>
      </c>
      <c r="AK96" s="403"/>
      <c r="AL96" s="67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6">
        <f t="shared" si="29"/>
        <v>0</v>
      </c>
      <c r="AN96" s="676">
        <f t="shared" si="30"/>
        <v>0</v>
      </c>
      <c r="AO96" s="676">
        <f t="shared" si="31"/>
        <v>0</v>
      </c>
      <c r="AP96" s="67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6">
        <f t="shared" si="32"/>
        <v>0</v>
      </c>
      <c r="AR96" s="676">
        <f t="shared" si="33"/>
        <v>0</v>
      </c>
      <c r="AS96" s="676">
        <f t="shared" si="37"/>
        <v>0</v>
      </c>
      <c r="AT96" s="676">
        <f t="shared" si="38"/>
        <v>0</v>
      </c>
      <c r="AU96" s="676">
        <f t="shared" si="34"/>
        <v>0</v>
      </c>
      <c r="AV96" s="676">
        <f t="shared" si="35"/>
        <v>0</v>
      </c>
      <c r="AW96" s="725">
        <f t="shared" si="36"/>
        <v>0</v>
      </c>
      <c r="AX96" s="690"/>
      <c r="AY96" s="690"/>
    </row>
    <row r="97" spans="3:51" s="46" customFormat="1" ht="30.75" hidden="1" customHeight="1" outlineLevel="1">
      <c r="C97" s="726">
        <v>80</v>
      </c>
      <c r="D97" s="691"/>
      <c r="E97" s="727"/>
      <c r="F97" s="728"/>
      <c r="G97" s="2023"/>
      <c r="H97" s="2024"/>
      <c r="I97" s="683"/>
      <c r="J97" s="729"/>
      <c r="K97" s="684"/>
      <c r="L97" s="685"/>
      <c r="M97" s="685"/>
      <c r="N97" s="685"/>
      <c r="O97" s="685"/>
      <c r="P97" s="685"/>
      <c r="Q97" s="685"/>
      <c r="R97" s="1045"/>
      <c r="S97" s="686"/>
      <c r="T97" s="730"/>
      <c r="U97" s="731"/>
      <c r="V97" s="721"/>
      <c r="W97" s="732"/>
      <c r="X97" s="733"/>
      <c r="Z97" s="674">
        <f t="shared" si="21"/>
        <v>0</v>
      </c>
      <c r="AA97" s="674">
        <f t="shared" si="22"/>
        <v>0</v>
      </c>
      <c r="AB97" s="674">
        <f t="shared" si="23"/>
        <v>0</v>
      </c>
      <c r="AC97" s="674">
        <f>IF(Z97=0,,VLOOKUP(Z97,リスト!DC:DD,2,0))</f>
        <v>0</v>
      </c>
      <c r="AD97" s="674">
        <f t="shared" si="24"/>
        <v>0</v>
      </c>
      <c r="AE97" s="675">
        <f>IF(AD97=0,,VLOOKUP(AD97,リスト!DK:DL,2,0))</f>
        <v>0</v>
      </c>
      <c r="AF97" s="674">
        <f>IF(Z97=0,,
IF(OR(リスト!$C$21="小麦",リスト!$C$21="二条大麦",リスト!$C$21="六条大麦",リスト!$C$21="はだか麦",リスト!$C$21="なたね"),IF(K97&lt;9,調査年-J97,調査年-J97-1),
IF(リスト!$C$21="さとうきび",IF(K97&gt;=4,調査年-J97,調査年-J97+1),
調査年-J97)))</f>
        <v>0</v>
      </c>
      <c r="AG97" s="676">
        <f t="shared" si="25"/>
        <v>0</v>
      </c>
      <c r="AH97" s="676">
        <f t="shared" si="26"/>
        <v>0</v>
      </c>
      <c r="AI97" s="676">
        <f t="shared" si="27"/>
        <v>0</v>
      </c>
      <c r="AJ97" s="676">
        <f t="shared" si="28"/>
        <v>0</v>
      </c>
      <c r="AK97" s="403"/>
      <c r="AL97" s="67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6">
        <f t="shared" si="29"/>
        <v>0</v>
      </c>
      <c r="AN97" s="676">
        <f t="shared" si="30"/>
        <v>0</v>
      </c>
      <c r="AO97" s="676">
        <f t="shared" si="31"/>
        <v>0</v>
      </c>
      <c r="AP97" s="67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6">
        <f t="shared" si="32"/>
        <v>0</v>
      </c>
      <c r="AR97" s="676">
        <f t="shared" si="33"/>
        <v>0</v>
      </c>
      <c r="AS97" s="676">
        <f t="shared" si="37"/>
        <v>0</v>
      </c>
      <c r="AT97" s="676">
        <f t="shared" si="38"/>
        <v>0</v>
      </c>
      <c r="AU97" s="676">
        <f t="shared" si="34"/>
        <v>0</v>
      </c>
      <c r="AV97" s="676">
        <f t="shared" si="35"/>
        <v>0</v>
      </c>
      <c r="AW97" s="725">
        <f t="shared" si="36"/>
        <v>0</v>
      </c>
      <c r="AX97" s="690"/>
      <c r="AY97" s="690"/>
    </row>
    <row r="98" spans="3:51" s="46" customFormat="1" ht="30.75" hidden="1" customHeight="1" outlineLevel="1">
      <c r="C98" s="726">
        <v>81</v>
      </c>
      <c r="D98" s="691"/>
      <c r="E98" s="735"/>
      <c r="F98" s="736"/>
      <c r="G98" s="2027"/>
      <c r="H98" s="2028"/>
      <c r="I98" s="737"/>
      <c r="J98" s="738"/>
      <c r="K98" s="739"/>
      <c r="L98" s="740"/>
      <c r="M98" s="740"/>
      <c r="N98" s="740"/>
      <c r="O98" s="740"/>
      <c r="P98" s="740"/>
      <c r="Q98" s="740"/>
      <c r="R98" s="1045"/>
      <c r="S98" s="741"/>
      <c r="T98" s="742"/>
      <c r="U98" s="743"/>
      <c r="V98" s="721"/>
      <c r="W98" s="732"/>
      <c r="X98" s="733"/>
      <c r="Z98" s="674">
        <f t="shared" si="21"/>
        <v>0</v>
      </c>
      <c r="AA98" s="674">
        <f t="shared" si="22"/>
        <v>0</v>
      </c>
      <c r="AB98" s="674">
        <f t="shared" si="23"/>
        <v>0</v>
      </c>
      <c r="AC98" s="674">
        <f>IF(Z98=0,,VLOOKUP(Z98,リスト!DC:DD,2,0))</f>
        <v>0</v>
      </c>
      <c r="AD98" s="674">
        <f t="shared" si="24"/>
        <v>0</v>
      </c>
      <c r="AE98" s="675">
        <f>IF(AD98=0,,VLOOKUP(AD98,リスト!DK:DL,2,0))</f>
        <v>0</v>
      </c>
      <c r="AF98" s="674">
        <f>IF(Z98=0,,
IF(OR(リスト!$C$21="小麦",リスト!$C$21="二条大麦",リスト!$C$21="六条大麦",リスト!$C$21="はだか麦",リスト!$C$21="なたね"),IF(K98&lt;9,調査年-J98,調査年-J98-1),
IF(リスト!$C$21="さとうきび",IF(K98&gt;=4,調査年-J98,調査年-J98+1),
調査年-J98)))</f>
        <v>0</v>
      </c>
      <c r="AG98" s="676">
        <f t="shared" si="25"/>
        <v>0</v>
      </c>
      <c r="AH98" s="676">
        <f t="shared" si="26"/>
        <v>0</v>
      </c>
      <c r="AI98" s="676">
        <f t="shared" si="27"/>
        <v>0</v>
      </c>
      <c r="AJ98" s="676">
        <f t="shared" si="28"/>
        <v>0</v>
      </c>
      <c r="AK98" s="403"/>
      <c r="AL98" s="67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6">
        <f t="shared" si="29"/>
        <v>0</v>
      </c>
      <c r="AN98" s="676">
        <f t="shared" si="30"/>
        <v>0</v>
      </c>
      <c r="AO98" s="676">
        <f t="shared" si="31"/>
        <v>0</v>
      </c>
      <c r="AP98" s="67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6">
        <f t="shared" si="32"/>
        <v>0</v>
      </c>
      <c r="AR98" s="676">
        <f t="shared" si="33"/>
        <v>0</v>
      </c>
      <c r="AS98" s="676">
        <f t="shared" si="37"/>
        <v>0</v>
      </c>
      <c r="AT98" s="676">
        <f t="shared" si="38"/>
        <v>0</v>
      </c>
      <c r="AU98" s="676">
        <f t="shared" si="34"/>
        <v>0</v>
      </c>
      <c r="AV98" s="676">
        <f t="shared" si="35"/>
        <v>0</v>
      </c>
      <c r="AW98" s="725">
        <f t="shared" si="36"/>
        <v>0</v>
      </c>
      <c r="AX98" s="690"/>
      <c r="AY98" s="690"/>
    </row>
    <row r="99" spans="3:51" s="46" customFormat="1" ht="30.75" hidden="1" customHeight="1" outlineLevel="1">
      <c r="C99" s="726">
        <v>82</v>
      </c>
      <c r="D99" s="691"/>
      <c r="E99" s="727"/>
      <c r="F99" s="728"/>
      <c r="G99" s="2023"/>
      <c r="H99" s="2024"/>
      <c r="I99" s="683"/>
      <c r="J99" s="729"/>
      <c r="K99" s="684"/>
      <c r="L99" s="685"/>
      <c r="M99" s="685"/>
      <c r="N99" s="685"/>
      <c r="O99" s="685"/>
      <c r="P99" s="685"/>
      <c r="Q99" s="685"/>
      <c r="R99" s="1045"/>
      <c r="S99" s="686"/>
      <c r="T99" s="730"/>
      <c r="U99" s="731"/>
      <c r="V99" s="721"/>
      <c r="W99" s="732"/>
      <c r="X99" s="733"/>
      <c r="Z99" s="674">
        <f t="shared" si="21"/>
        <v>0</v>
      </c>
      <c r="AA99" s="674">
        <f t="shared" si="22"/>
        <v>0</v>
      </c>
      <c r="AB99" s="674">
        <f t="shared" si="23"/>
        <v>0</v>
      </c>
      <c r="AC99" s="674">
        <f>IF(Z99=0,,VLOOKUP(Z99,リスト!DC:DD,2,0))</f>
        <v>0</v>
      </c>
      <c r="AD99" s="674">
        <f t="shared" si="24"/>
        <v>0</v>
      </c>
      <c r="AE99" s="675">
        <f>IF(AD99=0,,VLOOKUP(AD99,リスト!DK:DL,2,0))</f>
        <v>0</v>
      </c>
      <c r="AF99" s="674">
        <f>IF(Z99=0,,
IF(OR(リスト!$C$21="小麦",リスト!$C$21="二条大麦",リスト!$C$21="六条大麦",リスト!$C$21="はだか麦",リスト!$C$21="なたね"),IF(K99&lt;9,調査年-J99,調査年-J99-1),
IF(リスト!$C$21="さとうきび",IF(K99&gt;=4,調査年-J99,調査年-J99+1),
調査年-J99)))</f>
        <v>0</v>
      </c>
      <c r="AG99" s="676">
        <f t="shared" si="25"/>
        <v>0</v>
      </c>
      <c r="AH99" s="676">
        <f t="shared" si="26"/>
        <v>0</v>
      </c>
      <c r="AI99" s="676">
        <f t="shared" si="27"/>
        <v>0</v>
      </c>
      <c r="AJ99" s="676">
        <f t="shared" si="28"/>
        <v>0</v>
      </c>
      <c r="AK99" s="403"/>
      <c r="AL99" s="67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6">
        <f t="shared" si="29"/>
        <v>0</v>
      </c>
      <c r="AN99" s="676">
        <f t="shared" si="30"/>
        <v>0</v>
      </c>
      <c r="AO99" s="676">
        <f t="shared" si="31"/>
        <v>0</v>
      </c>
      <c r="AP99" s="67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6">
        <f t="shared" si="32"/>
        <v>0</v>
      </c>
      <c r="AR99" s="676">
        <f t="shared" si="33"/>
        <v>0</v>
      </c>
      <c r="AS99" s="676">
        <f t="shared" si="37"/>
        <v>0</v>
      </c>
      <c r="AT99" s="676">
        <f t="shared" si="38"/>
        <v>0</v>
      </c>
      <c r="AU99" s="676">
        <f t="shared" si="34"/>
        <v>0</v>
      </c>
      <c r="AV99" s="676">
        <f t="shared" si="35"/>
        <v>0</v>
      </c>
      <c r="AW99" s="725">
        <f t="shared" si="36"/>
        <v>0</v>
      </c>
      <c r="AX99" s="690"/>
      <c r="AY99" s="690"/>
    </row>
    <row r="100" spans="3:51" s="46" customFormat="1" ht="30.75" hidden="1" customHeight="1" outlineLevel="1">
      <c r="C100" s="726">
        <v>83</v>
      </c>
      <c r="D100" s="691"/>
      <c r="E100" s="727"/>
      <c r="F100" s="728"/>
      <c r="G100" s="2023"/>
      <c r="H100" s="2024"/>
      <c r="I100" s="683"/>
      <c r="J100" s="729"/>
      <c r="K100" s="684"/>
      <c r="L100" s="685"/>
      <c r="M100" s="685"/>
      <c r="N100" s="685"/>
      <c r="O100" s="685"/>
      <c r="P100" s="685"/>
      <c r="Q100" s="685"/>
      <c r="R100" s="1045"/>
      <c r="S100" s="686"/>
      <c r="T100" s="730"/>
      <c r="U100" s="731"/>
      <c r="V100" s="721"/>
      <c r="W100" s="732"/>
      <c r="X100" s="733"/>
      <c r="Z100" s="674">
        <f t="shared" si="21"/>
        <v>0</v>
      </c>
      <c r="AA100" s="674">
        <f t="shared" si="22"/>
        <v>0</v>
      </c>
      <c r="AB100" s="674">
        <f t="shared" si="23"/>
        <v>0</v>
      </c>
      <c r="AC100" s="674">
        <f>IF(Z100=0,,VLOOKUP(Z100,リスト!DC:DD,2,0))</f>
        <v>0</v>
      </c>
      <c r="AD100" s="674">
        <f t="shared" si="24"/>
        <v>0</v>
      </c>
      <c r="AE100" s="675">
        <f>IF(AD100=0,,VLOOKUP(AD100,リスト!DK:DL,2,0))</f>
        <v>0</v>
      </c>
      <c r="AF100" s="674">
        <f>IF(Z100=0,,
IF(OR(リスト!$C$21="小麦",リスト!$C$21="二条大麦",リスト!$C$21="六条大麦",リスト!$C$21="はだか麦",リスト!$C$21="なたね"),IF(K100&lt;9,調査年-J100,調査年-J100-1),
IF(リスト!$C$21="さとうきび",IF(K100&gt;=4,調査年-J100,調査年-J100+1),
調査年-J100)))</f>
        <v>0</v>
      </c>
      <c r="AG100" s="676">
        <f t="shared" si="25"/>
        <v>0</v>
      </c>
      <c r="AH100" s="676">
        <f t="shared" si="26"/>
        <v>0</v>
      </c>
      <c r="AI100" s="676">
        <f t="shared" si="27"/>
        <v>0</v>
      </c>
      <c r="AJ100" s="676">
        <f t="shared" si="28"/>
        <v>0</v>
      </c>
      <c r="AK100" s="403"/>
      <c r="AL100" s="67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6">
        <f t="shared" si="29"/>
        <v>0</v>
      </c>
      <c r="AN100" s="676">
        <f t="shared" si="30"/>
        <v>0</v>
      </c>
      <c r="AO100" s="676">
        <f t="shared" si="31"/>
        <v>0</v>
      </c>
      <c r="AP100" s="67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6">
        <f t="shared" si="32"/>
        <v>0</v>
      </c>
      <c r="AR100" s="676">
        <f t="shared" si="33"/>
        <v>0</v>
      </c>
      <c r="AS100" s="676">
        <f t="shared" si="37"/>
        <v>0</v>
      </c>
      <c r="AT100" s="676">
        <f t="shared" si="38"/>
        <v>0</v>
      </c>
      <c r="AU100" s="676">
        <f t="shared" si="34"/>
        <v>0</v>
      </c>
      <c r="AV100" s="676">
        <f t="shared" si="35"/>
        <v>0</v>
      </c>
      <c r="AW100" s="725">
        <f t="shared" si="36"/>
        <v>0</v>
      </c>
      <c r="AX100" s="690"/>
      <c r="AY100" s="690"/>
    </row>
    <row r="101" spans="3:51" s="46" customFormat="1" ht="30.75" hidden="1" customHeight="1" outlineLevel="1">
      <c r="C101" s="726">
        <v>84</v>
      </c>
      <c r="D101" s="691"/>
      <c r="E101" s="727"/>
      <c r="F101" s="728"/>
      <c r="G101" s="2023"/>
      <c r="H101" s="2024"/>
      <c r="I101" s="683"/>
      <c r="J101" s="729"/>
      <c r="K101" s="684"/>
      <c r="L101" s="685"/>
      <c r="M101" s="685"/>
      <c r="N101" s="685"/>
      <c r="O101" s="685"/>
      <c r="P101" s="685"/>
      <c r="Q101" s="685"/>
      <c r="R101" s="1045"/>
      <c r="S101" s="686"/>
      <c r="T101" s="730"/>
      <c r="U101" s="731"/>
      <c r="V101" s="721"/>
      <c r="W101" s="732"/>
      <c r="X101" s="733"/>
      <c r="Z101" s="674">
        <f t="shared" si="21"/>
        <v>0</v>
      </c>
      <c r="AA101" s="674">
        <f t="shared" si="22"/>
        <v>0</v>
      </c>
      <c r="AB101" s="674">
        <f t="shared" si="23"/>
        <v>0</v>
      </c>
      <c r="AC101" s="674">
        <f>IF(Z101=0,,VLOOKUP(Z101,リスト!DC:DD,2,0))</f>
        <v>0</v>
      </c>
      <c r="AD101" s="674">
        <f t="shared" si="24"/>
        <v>0</v>
      </c>
      <c r="AE101" s="675">
        <f>IF(AD101=0,,VLOOKUP(AD101,リスト!DK:DL,2,0))</f>
        <v>0</v>
      </c>
      <c r="AF101" s="674">
        <f>IF(Z101=0,,
IF(OR(リスト!$C$21="小麦",リスト!$C$21="二条大麦",リスト!$C$21="六条大麦",リスト!$C$21="はだか麦",リスト!$C$21="なたね"),IF(K101&lt;9,調査年-J101,調査年-J101-1),
IF(リスト!$C$21="さとうきび",IF(K101&gt;=4,調査年-J101,調査年-J101+1),
調査年-J101)))</f>
        <v>0</v>
      </c>
      <c r="AG101" s="676">
        <f t="shared" si="25"/>
        <v>0</v>
      </c>
      <c r="AH101" s="676">
        <f t="shared" si="26"/>
        <v>0</v>
      </c>
      <c r="AI101" s="676">
        <f t="shared" si="27"/>
        <v>0</v>
      </c>
      <c r="AJ101" s="676">
        <f t="shared" si="28"/>
        <v>0</v>
      </c>
      <c r="AK101" s="403"/>
      <c r="AL101" s="67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6">
        <f t="shared" si="29"/>
        <v>0</v>
      </c>
      <c r="AN101" s="676">
        <f t="shared" si="30"/>
        <v>0</v>
      </c>
      <c r="AO101" s="676">
        <f t="shared" si="31"/>
        <v>0</v>
      </c>
      <c r="AP101" s="67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6">
        <f t="shared" si="32"/>
        <v>0</v>
      </c>
      <c r="AR101" s="676">
        <f t="shared" si="33"/>
        <v>0</v>
      </c>
      <c r="AS101" s="676">
        <f t="shared" si="37"/>
        <v>0</v>
      </c>
      <c r="AT101" s="676">
        <f t="shared" si="38"/>
        <v>0</v>
      </c>
      <c r="AU101" s="676">
        <f t="shared" si="34"/>
        <v>0</v>
      </c>
      <c r="AV101" s="676">
        <f t="shared" si="35"/>
        <v>0</v>
      </c>
      <c r="AW101" s="725">
        <f t="shared" si="36"/>
        <v>0</v>
      </c>
      <c r="AX101" s="690"/>
      <c r="AY101" s="690"/>
    </row>
    <row r="102" spans="3:51" s="46" customFormat="1" ht="30.75" hidden="1" customHeight="1" outlineLevel="1">
      <c r="C102" s="726">
        <v>85</v>
      </c>
      <c r="D102" s="691"/>
      <c r="E102" s="727"/>
      <c r="F102" s="728"/>
      <c r="G102" s="2023"/>
      <c r="H102" s="2024"/>
      <c r="I102" s="683"/>
      <c r="J102" s="729"/>
      <c r="K102" s="684"/>
      <c r="L102" s="685"/>
      <c r="M102" s="685"/>
      <c r="N102" s="685"/>
      <c r="O102" s="685"/>
      <c r="P102" s="685"/>
      <c r="Q102" s="685"/>
      <c r="R102" s="1045"/>
      <c r="S102" s="686"/>
      <c r="T102" s="730"/>
      <c r="U102" s="731"/>
      <c r="V102" s="721"/>
      <c r="W102" s="732"/>
      <c r="X102" s="733"/>
      <c r="Z102" s="674">
        <f t="shared" si="21"/>
        <v>0</v>
      </c>
      <c r="AA102" s="674">
        <f t="shared" si="22"/>
        <v>0</v>
      </c>
      <c r="AB102" s="674">
        <f t="shared" si="23"/>
        <v>0</v>
      </c>
      <c r="AC102" s="674">
        <f>IF(Z102=0,,VLOOKUP(Z102,リスト!DC:DD,2,0))</f>
        <v>0</v>
      </c>
      <c r="AD102" s="674">
        <f t="shared" si="24"/>
        <v>0</v>
      </c>
      <c r="AE102" s="675">
        <f>IF(AD102=0,,VLOOKUP(AD102,リスト!DK:DL,2,0))</f>
        <v>0</v>
      </c>
      <c r="AF102" s="674">
        <f>IF(Z102=0,,
IF(OR(リスト!$C$21="小麦",リスト!$C$21="二条大麦",リスト!$C$21="六条大麦",リスト!$C$21="はだか麦",リスト!$C$21="なたね"),IF(K102&lt;9,調査年-J102,調査年-J102-1),
IF(リスト!$C$21="さとうきび",IF(K102&gt;=4,調査年-J102,調査年-J102+1),
調査年-J102)))</f>
        <v>0</v>
      </c>
      <c r="AG102" s="676">
        <f t="shared" si="25"/>
        <v>0</v>
      </c>
      <c r="AH102" s="676">
        <f t="shared" si="26"/>
        <v>0</v>
      </c>
      <c r="AI102" s="676">
        <f t="shared" si="27"/>
        <v>0</v>
      </c>
      <c r="AJ102" s="676">
        <f t="shared" si="28"/>
        <v>0</v>
      </c>
      <c r="AK102" s="403"/>
      <c r="AL102" s="67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6">
        <f t="shared" si="29"/>
        <v>0</v>
      </c>
      <c r="AN102" s="676">
        <f t="shared" si="30"/>
        <v>0</v>
      </c>
      <c r="AO102" s="676">
        <f t="shared" si="31"/>
        <v>0</v>
      </c>
      <c r="AP102" s="67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6">
        <f t="shared" si="32"/>
        <v>0</v>
      </c>
      <c r="AR102" s="676">
        <f t="shared" si="33"/>
        <v>0</v>
      </c>
      <c r="AS102" s="676">
        <f t="shared" si="37"/>
        <v>0</v>
      </c>
      <c r="AT102" s="676">
        <f t="shared" si="38"/>
        <v>0</v>
      </c>
      <c r="AU102" s="676">
        <f t="shared" si="34"/>
        <v>0</v>
      </c>
      <c r="AV102" s="676">
        <f t="shared" si="35"/>
        <v>0</v>
      </c>
      <c r="AW102" s="725">
        <f t="shared" si="36"/>
        <v>0</v>
      </c>
      <c r="AX102" s="690"/>
      <c r="AY102" s="690"/>
    </row>
    <row r="103" spans="3:51" s="46" customFormat="1" ht="30.75" hidden="1" customHeight="1" outlineLevel="1">
      <c r="C103" s="726">
        <v>86</v>
      </c>
      <c r="D103" s="691"/>
      <c r="E103" s="727"/>
      <c r="F103" s="728"/>
      <c r="G103" s="2023"/>
      <c r="H103" s="2024"/>
      <c r="I103" s="683"/>
      <c r="J103" s="729"/>
      <c r="K103" s="684"/>
      <c r="L103" s="685"/>
      <c r="M103" s="685"/>
      <c r="N103" s="685"/>
      <c r="O103" s="685"/>
      <c r="P103" s="685"/>
      <c r="Q103" s="685"/>
      <c r="R103" s="1045"/>
      <c r="S103" s="686"/>
      <c r="T103" s="730"/>
      <c r="U103" s="731"/>
      <c r="V103" s="721"/>
      <c r="W103" s="732"/>
      <c r="X103" s="733"/>
      <c r="Z103" s="674">
        <f t="shared" si="21"/>
        <v>0</v>
      </c>
      <c r="AA103" s="674">
        <f t="shared" si="22"/>
        <v>0</v>
      </c>
      <c r="AB103" s="674">
        <f t="shared" si="23"/>
        <v>0</v>
      </c>
      <c r="AC103" s="674">
        <f>IF(Z103=0,,VLOOKUP(Z103,リスト!DC:DD,2,0))</f>
        <v>0</v>
      </c>
      <c r="AD103" s="674">
        <f t="shared" si="24"/>
        <v>0</v>
      </c>
      <c r="AE103" s="675">
        <f>IF(AD103=0,,VLOOKUP(AD103,リスト!DK:DL,2,0))</f>
        <v>0</v>
      </c>
      <c r="AF103" s="674">
        <f>IF(Z103=0,,
IF(OR(リスト!$C$21="小麦",リスト!$C$21="二条大麦",リスト!$C$21="六条大麦",リスト!$C$21="はだか麦",リスト!$C$21="なたね"),IF(K103&lt;9,調査年-J103,調査年-J103-1),
IF(リスト!$C$21="さとうきび",IF(K103&gt;=4,調査年-J103,調査年-J103+1),
調査年-J103)))</f>
        <v>0</v>
      </c>
      <c r="AG103" s="676">
        <f t="shared" si="25"/>
        <v>0</v>
      </c>
      <c r="AH103" s="676">
        <f t="shared" si="26"/>
        <v>0</v>
      </c>
      <c r="AI103" s="676">
        <f t="shared" si="27"/>
        <v>0</v>
      </c>
      <c r="AJ103" s="676">
        <f t="shared" si="28"/>
        <v>0</v>
      </c>
      <c r="AK103" s="403"/>
      <c r="AL103" s="67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6">
        <f t="shared" si="29"/>
        <v>0</v>
      </c>
      <c r="AN103" s="676">
        <f t="shared" si="30"/>
        <v>0</v>
      </c>
      <c r="AO103" s="676">
        <f t="shared" si="31"/>
        <v>0</v>
      </c>
      <c r="AP103" s="67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6">
        <f t="shared" si="32"/>
        <v>0</v>
      </c>
      <c r="AR103" s="676">
        <f t="shared" si="33"/>
        <v>0</v>
      </c>
      <c r="AS103" s="676">
        <f t="shared" si="37"/>
        <v>0</v>
      </c>
      <c r="AT103" s="676">
        <f t="shared" si="38"/>
        <v>0</v>
      </c>
      <c r="AU103" s="676">
        <f t="shared" si="34"/>
        <v>0</v>
      </c>
      <c r="AV103" s="676">
        <f t="shared" si="35"/>
        <v>0</v>
      </c>
      <c r="AW103" s="725">
        <f t="shared" si="36"/>
        <v>0</v>
      </c>
      <c r="AX103" s="690"/>
      <c r="AY103" s="690"/>
    </row>
    <row r="104" spans="3:51" s="46" customFormat="1" ht="30.75" hidden="1" customHeight="1" outlineLevel="1">
      <c r="C104" s="726">
        <v>87</v>
      </c>
      <c r="D104" s="691"/>
      <c r="E104" s="727"/>
      <c r="F104" s="728"/>
      <c r="G104" s="2023"/>
      <c r="H104" s="2024"/>
      <c r="I104" s="683"/>
      <c r="J104" s="729"/>
      <c r="K104" s="684"/>
      <c r="L104" s="685"/>
      <c r="M104" s="685"/>
      <c r="N104" s="685"/>
      <c r="O104" s="685"/>
      <c r="P104" s="685"/>
      <c r="Q104" s="685"/>
      <c r="R104" s="1045"/>
      <c r="S104" s="686"/>
      <c r="T104" s="730"/>
      <c r="U104" s="731"/>
      <c r="V104" s="721"/>
      <c r="W104" s="732"/>
      <c r="X104" s="733"/>
      <c r="Z104" s="674">
        <f t="shared" si="21"/>
        <v>0</v>
      </c>
      <c r="AA104" s="674">
        <f t="shared" si="22"/>
        <v>0</v>
      </c>
      <c r="AB104" s="674">
        <f t="shared" si="23"/>
        <v>0</v>
      </c>
      <c r="AC104" s="674">
        <f>IF(Z104=0,,VLOOKUP(Z104,リスト!DC:DD,2,0))</f>
        <v>0</v>
      </c>
      <c r="AD104" s="674">
        <f t="shared" si="24"/>
        <v>0</v>
      </c>
      <c r="AE104" s="675">
        <f>IF(AD104=0,,VLOOKUP(AD104,リスト!DK:DL,2,0))</f>
        <v>0</v>
      </c>
      <c r="AF104" s="674">
        <f>IF(Z104=0,,
IF(OR(リスト!$C$21="小麦",リスト!$C$21="二条大麦",リスト!$C$21="六条大麦",リスト!$C$21="はだか麦",リスト!$C$21="なたね"),IF(K104&lt;9,調査年-J104,調査年-J104-1),
IF(リスト!$C$21="さとうきび",IF(K104&gt;=4,調査年-J104,調査年-J104+1),
調査年-J104)))</f>
        <v>0</v>
      </c>
      <c r="AG104" s="676">
        <f t="shared" si="25"/>
        <v>0</v>
      </c>
      <c r="AH104" s="676">
        <f t="shared" si="26"/>
        <v>0</v>
      </c>
      <c r="AI104" s="676">
        <f t="shared" si="27"/>
        <v>0</v>
      </c>
      <c r="AJ104" s="676">
        <f t="shared" si="28"/>
        <v>0</v>
      </c>
      <c r="AK104" s="403"/>
      <c r="AL104" s="67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6">
        <f t="shared" si="29"/>
        <v>0</v>
      </c>
      <c r="AN104" s="676">
        <f t="shared" si="30"/>
        <v>0</v>
      </c>
      <c r="AO104" s="676">
        <f t="shared" si="31"/>
        <v>0</v>
      </c>
      <c r="AP104" s="67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6">
        <f t="shared" si="32"/>
        <v>0</v>
      </c>
      <c r="AR104" s="676">
        <f t="shared" si="33"/>
        <v>0</v>
      </c>
      <c r="AS104" s="676">
        <f t="shared" si="37"/>
        <v>0</v>
      </c>
      <c r="AT104" s="676">
        <f t="shared" si="38"/>
        <v>0</v>
      </c>
      <c r="AU104" s="676">
        <f t="shared" si="34"/>
        <v>0</v>
      </c>
      <c r="AV104" s="676">
        <f t="shared" si="35"/>
        <v>0</v>
      </c>
      <c r="AW104" s="725">
        <f t="shared" si="36"/>
        <v>0</v>
      </c>
      <c r="AX104" s="690"/>
      <c r="AY104" s="690"/>
    </row>
    <row r="105" spans="3:51" s="46" customFormat="1" ht="30.75" hidden="1" customHeight="1" outlineLevel="1">
      <c r="C105" s="726">
        <v>88</v>
      </c>
      <c r="D105" s="691"/>
      <c r="E105" s="727"/>
      <c r="F105" s="728"/>
      <c r="G105" s="2023"/>
      <c r="H105" s="2024"/>
      <c r="I105" s="683"/>
      <c r="J105" s="729"/>
      <c r="K105" s="684"/>
      <c r="L105" s="685"/>
      <c r="M105" s="685"/>
      <c r="N105" s="685"/>
      <c r="O105" s="685"/>
      <c r="P105" s="685"/>
      <c r="Q105" s="685"/>
      <c r="R105" s="1045"/>
      <c r="S105" s="686"/>
      <c r="T105" s="730"/>
      <c r="U105" s="731"/>
      <c r="V105" s="721"/>
      <c r="W105" s="732"/>
      <c r="X105" s="733"/>
      <c r="Z105" s="674">
        <f t="shared" si="21"/>
        <v>0</v>
      </c>
      <c r="AA105" s="674">
        <f t="shared" si="22"/>
        <v>0</v>
      </c>
      <c r="AB105" s="674">
        <f t="shared" si="23"/>
        <v>0</v>
      </c>
      <c r="AC105" s="674">
        <f>IF(Z105=0,,VLOOKUP(Z105,リスト!DC:DD,2,0))</f>
        <v>0</v>
      </c>
      <c r="AD105" s="674">
        <f t="shared" si="24"/>
        <v>0</v>
      </c>
      <c r="AE105" s="675">
        <f>IF(AD105=0,,VLOOKUP(AD105,リスト!DK:DL,2,0))</f>
        <v>0</v>
      </c>
      <c r="AF105" s="674">
        <f>IF(Z105=0,,
IF(OR(リスト!$C$21="小麦",リスト!$C$21="二条大麦",リスト!$C$21="六条大麦",リスト!$C$21="はだか麦",リスト!$C$21="なたね"),IF(K105&lt;9,調査年-J105,調査年-J105-1),
IF(リスト!$C$21="さとうきび",IF(K105&gt;=4,調査年-J105,調査年-J105+1),
調査年-J105)))</f>
        <v>0</v>
      </c>
      <c r="AG105" s="676">
        <f t="shared" si="25"/>
        <v>0</v>
      </c>
      <c r="AH105" s="676">
        <f t="shared" si="26"/>
        <v>0</v>
      </c>
      <c r="AI105" s="676">
        <f t="shared" si="27"/>
        <v>0</v>
      </c>
      <c r="AJ105" s="676">
        <f t="shared" si="28"/>
        <v>0</v>
      </c>
      <c r="AK105" s="403"/>
      <c r="AL105" s="67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6">
        <f t="shared" si="29"/>
        <v>0</v>
      </c>
      <c r="AN105" s="676">
        <f t="shared" si="30"/>
        <v>0</v>
      </c>
      <c r="AO105" s="676">
        <f t="shared" si="31"/>
        <v>0</v>
      </c>
      <c r="AP105" s="67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6">
        <f t="shared" si="32"/>
        <v>0</v>
      </c>
      <c r="AR105" s="676">
        <f t="shared" si="33"/>
        <v>0</v>
      </c>
      <c r="AS105" s="676">
        <f t="shared" si="37"/>
        <v>0</v>
      </c>
      <c r="AT105" s="676">
        <f t="shared" si="38"/>
        <v>0</v>
      </c>
      <c r="AU105" s="676">
        <f t="shared" si="34"/>
        <v>0</v>
      </c>
      <c r="AV105" s="676">
        <f t="shared" si="35"/>
        <v>0</v>
      </c>
      <c r="AW105" s="725">
        <f t="shared" si="36"/>
        <v>0</v>
      </c>
      <c r="AX105" s="690"/>
      <c r="AY105" s="690"/>
    </row>
    <row r="106" spans="3:51" s="46" customFormat="1" ht="30.75" hidden="1" customHeight="1" outlineLevel="1">
      <c r="C106" s="726">
        <v>89</v>
      </c>
      <c r="D106" s="691"/>
      <c r="E106" s="727"/>
      <c r="F106" s="728"/>
      <c r="G106" s="2023"/>
      <c r="H106" s="2024"/>
      <c r="I106" s="683"/>
      <c r="J106" s="729"/>
      <c r="K106" s="684"/>
      <c r="L106" s="685"/>
      <c r="M106" s="685"/>
      <c r="N106" s="685"/>
      <c r="O106" s="685"/>
      <c r="P106" s="685"/>
      <c r="Q106" s="685"/>
      <c r="R106" s="1045"/>
      <c r="S106" s="686"/>
      <c r="T106" s="730"/>
      <c r="U106" s="731"/>
      <c r="V106" s="721"/>
      <c r="W106" s="732"/>
      <c r="X106" s="733"/>
      <c r="Z106" s="674">
        <f t="shared" si="21"/>
        <v>0</v>
      </c>
      <c r="AA106" s="674">
        <f t="shared" si="22"/>
        <v>0</v>
      </c>
      <c r="AB106" s="674">
        <f t="shared" si="23"/>
        <v>0</v>
      </c>
      <c r="AC106" s="674">
        <f>IF(Z106=0,,VLOOKUP(Z106,リスト!DC:DD,2,0))</f>
        <v>0</v>
      </c>
      <c r="AD106" s="674">
        <f t="shared" si="24"/>
        <v>0</v>
      </c>
      <c r="AE106" s="675">
        <f>IF(AD106=0,,VLOOKUP(AD106,リスト!DK:DL,2,0))</f>
        <v>0</v>
      </c>
      <c r="AF106" s="674">
        <f>IF(Z106=0,,
IF(OR(リスト!$C$21="小麦",リスト!$C$21="二条大麦",リスト!$C$21="六条大麦",リスト!$C$21="はだか麦",リスト!$C$21="なたね"),IF(K106&lt;9,調査年-J106,調査年-J106-1),
IF(リスト!$C$21="さとうきび",IF(K106&gt;=4,調査年-J106,調査年-J106+1),
調査年-J106)))</f>
        <v>0</v>
      </c>
      <c r="AG106" s="676">
        <f t="shared" si="25"/>
        <v>0</v>
      </c>
      <c r="AH106" s="676">
        <f t="shared" si="26"/>
        <v>0</v>
      </c>
      <c r="AI106" s="676">
        <f t="shared" si="27"/>
        <v>0</v>
      </c>
      <c r="AJ106" s="676">
        <f t="shared" si="28"/>
        <v>0</v>
      </c>
      <c r="AK106" s="403"/>
      <c r="AL106" s="67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6">
        <f t="shared" si="29"/>
        <v>0</v>
      </c>
      <c r="AN106" s="676">
        <f t="shared" si="30"/>
        <v>0</v>
      </c>
      <c r="AO106" s="676">
        <f t="shared" si="31"/>
        <v>0</v>
      </c>
      <c r="AP106" s="67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6">
        <f t="shared" si="32"/>
        <v>0</v>
      </c>
      <c r="AR106" s="676">
        <f t="shared" si="33"/>
        <v>0</v>
      </c>
      <c r="AS106" s="676">
        <f t="shared" si="37"/>
        <v>0</v>
      </c>
      <c r="AT106" s="676">
        <f t="shared" si="38"/>
        <v>0</v>
      </c>
      <c r="AU106" s="676">
        <f t="shared" si="34"/>
        <v>0</v>
      </c>
      <c r="AV106" s="676">
        <f t="shared" si="35"/>
        <v>0</v>
      </c>
      <c r="AW106" s="725">
        <f t="shared" si="36"/>
        <v>0</v>
      </c>
      <c r="AX106" s="690"/>
      <c r="AY106" s="690"/>
    </row>
    <row r="107" spans="3:51" s="46" customFormat="1" ht="30.75" hidden="1" customHeight="1" outlineLevel="1">
      <c r="C107" s="726">
        <v>90</v>
      </c>
      <c r="D107" s="691"/>
      <c r="E107" s="727"/>
      <c r="F107" s="728"/>
      <c r="G107" s="2023"/>
      <c r="H107" s="2024"/>
      <c r="I107" s="683"/>
      <c r="J107" s="729"/>
      <c r="K107" s="684"/>
      <c r="L107" s="685"/>
      <c r="M107" s="685"/>
      <c r="N107" s="685"/>
      <c r="O107" s="685"/>
      <c r="P107" s="685"/>
      <c r="Q107" s="685"/>
      <c r="R107" s="1045"/>
      <c r="S107" s="686"/>
      <c r="T107" s="730"/>
      <c r="U107" s="731"/>
      <c r="V107" s="721"/>
      <c r="W107" s="732"/>
      <c r="X107" s="733"/>
      <c r="Z107" s="674">
        <f t="shared" si="21"/>
        <v>0</v>
      </c>
      <c r="AA107" s="674">
        <f t="shared" si="22"/>
        <v>0</v>
      </c>
      <c r="AB107" s="674">
        <f t="shared" si="23"/>
        <v>0</v>
      </c>
      <c r="AC107" s="674">
        <f>IF(Z107=0,,VLOOKUP(Z107,リスト!DC:DD,2,0))</f>
        <v>0</v>
      </c>
      <c r="AD107" s="674">
        <f t="shared" si="24"/>
        <v>0</v>
      </c>
      <c r="AE107" s="675">
        <f>IF(AD107=0,,VLOOKUP(AD107,リスト!DK:DL,2,0))</f>
        <v>0</v>
      </c>
      <c r="AF107" s="674">
        <f>IF(Z107=0,,
IF(OR(リスト!$C$21="小麦",リスト!$C$21="二条大麦",リスト!$C$21="六条大麦",リスト!$C$21="はだか麦",リスト!$C$21="なたね"),IF(K107&lt;9,調査年-J107,調査年-J107-1),
IF(リスト!$C$21="さとうきび",IF(K107&gt;=4,調査年-J107,調査年-J107+1),
調査年-J107)))</f>
        <v>0</v>
      </c>
      <c r="AG107" s="676">
        <f t="shared" si="25"/>
        <v>0</v>
      </c>
      <c r="AH107" s="676">
        <f t="shared" si="26"/>
        <v>0</v>
      </c>
      <c r="AI107" s="676">
        <f t="shared" si="27"/>
        <v>0</v>
      </c>
      <c r="AJ107" s="676">
        <f t="shared" si="28"/>
        <v>0</v>
      </c>
      <c r="AK107" s="403"/>
      <c r="AL107" s="67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6">
        <f t="shared" si="29"/>
        <v>0</v>
      </c>
      <c r="AN107" s="676">
        <f t="shared" si="30"/>
        <v>0</v>
      </c>
      <c r="AO107" s="676">
        <f t="shared" si="31"/>
        <v>0</v>
      </c>
      <c r="AP107" s="67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6">
        <f t="shared" si="32"/>
        <v>0</v>
      </c>
      <c r="AR107" s="676">
        <f t="shared" si="33"/>
        <v>0</v>
      </c>
      <c r="AS107" s="676">
        <f t="shared" si="37"/>
        <v>0</v>
      </c>
      <c r="AT107" s="676">
        <f t="shared" si="38"/>
        <v>0</v>
      </c>
      <c r="AU107" s="676">
        <f t="shared" si="34"/>
        <v>0</v>
      </c>
      <c r="AV107" s="676">
        <f t="shared" si="35"/>
        <v>0</v>
      </c>
      <c r="AW107" s="725">
        <f t="shared" si="36"/>
        <v>0</v>
      </c>
      <c r="AX107" s="690"/>
      <c r="AY107" s="690"/>
    </row>
    <row r="108" spans="3:51" s="46" customFormat="1" ht="30.75" hidden="1" customHeight="1" outlineLevel="1">
      <c r="C108" s="726">
        <v>91</v>
      </c>
      <c r="D108" s="691"/>
      <c r="E108" s="735"/>
      <c r="F108" s="736"/>
      <c r="G108" s="2027"/>
      <c r="H108" s="2028"/>
      <c r="I108" s="737"/>
      <c r="J108" s="738"/>
      <c r="K108" s="739"/>
      <c r="L108" s="740"/>
      <c r="M108" s="740"/>
      <c r="N108" s="740"/>
      <c r="O108" s="740"/>
      <c r="P108" s="740"/>
      <c r="Q108" s="740"/>
      <c r="R108" s="1045"/>
      <c r="S108" s="741"/>
      <c r="T108" s="742"/>
      <c r="U108" s="743"/>
      <c r="V108" s="721"/>
      <c r="W108" s="732"/>
      <c r="X108" s="733"/>
      <c r="Z108" s="674">
        <f t="shared" si="21"/>
        <v>0</v>
      </c>
      <c r="AA108" s="674">
        <f t="shared" si="22"/>
        <v>0</v>
      </c>
      <c r="AB108" s="674">
        <f t="shared" si="23"/>
        <v>0</v>
      </c>
      <c r="AC108" s="674">
        <f>IF(Z108=0,,VLOOKUP(Z108,リスト!DC:DD,2,0))</f>
        <v>0</v>
      </c>
      <c r="AD108" s="674">
        <f t="shared" si="24"/>
        <v>0</v>
      </c>
      <c r="AE108" s="675">
        <f>IF(AD108=0,,VLOOKUP(AD108,リスト!DK:DL,2,0))</f>
        <v>0</v>
      </c>
      <c r="AF108" s="674">
        <f>IF(Z108=0,,
IF(OR(リスト!$C$21="小麦",リスト!$C$21="二条大麦",リスト!$C$21="六条大麦",リスト!$C$21="はだか麦",リスト!$C$21="なたね"),IF(K108&lt;9,調査年-J108,調査年-J108-1),
IF(リスト!$C$21="さとうきび",IF(K108&gt;=4,調査年-J108,調査年-J108+1),
調査年-J108)))</f>
        <v>0</v>
      </c>
      <c r="AG108" s="676">
        <f t="shared" si="25"/>
        <v>0</v>
      </c>
      <c r="AH108" s="676">
        <f t="shared" si="26"/>
        <v>0</v>
      </c>
      <c r="AI108" s="676">
        <f t="shared" si="27"/>
        <v>0</v>
      </c>
      <c r="AJ108" s="676">
        <f t="shared" si="28"/>
        <v>0</v>
      </c>
      <c r="AK108" s="403"/>
      <c r="AL108" s="67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6">
        <f t="shared" si="29"/>
        <v>0</v>
      </c>
      <c r="AN108" s="676">
        <f t="shared" si="30"/>
        <v>0</v>
      </c>
      <c r="AO108" s="676">
        <f t="shared" si="31"/>
        <v>0</v>
      </c>
      <c r="AP108" s="67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6">
        <f t="shared" si="32"/>
        <v>0</v>
      </c>
      <c r="AR108" s="676">
        <f t="shared" si="33"/>
        <v>0</v>
      </c>
      <c r="AS108" s="676">
        <f t="shared" si="37"/>
        <v>0</v>
      </c>
      <c r="AT108" s="676">
        <f t="shared" si="38"/>
        <v>0</v>
      </c>
      <c r="AU108" s="676">
        <f t="shared" si="34"/>
        <v>0</v>
      </c>
      <c r="AV108" s="676">
        <f t="shared" si="35"/>
        <v>0</v>
      </c>
      <c r="AW108" s="725">
        <f t="shared" si="36"/>
        <v>0</v>
      </c>
      <c r="AX108" s="690"/>
      <c r="AY108" s="690"/>
    </row>
    <row r="109" spans="3:51" s="46" customFormat="1" ht="30.75" hidden="1" customHeight="1" outlineLevel="1">
      <c r="C109" s="726">
        <v>92</v>
      </c>
      <c r="D109" s="691"/>
      <c r="E109" s="727"/>
      <c r="F109" s="728"/>
      <c r="G109" s="2023"/>
      <c r="H109" s="2024"/>
      <c r="I109" s="683"/>
      <c r="J109" s="729"/>
      <c r="K109" s="684"/>
      <c r="L109" s="685"/>
      <c r="M109" s="685"/>
      <c r="N109" s="685"/>
      <c r="O109" s="685"/>
      <c r="P109" s="685"/>
      <c r="Q109" s="685"/>
      <c r="R109" s="1045"/>
      <c r="S109" s="686"/>
      <c r="T109" s="730"/>
      <c r="U109" s="731"/>
      <c r="V109" s="721"/>
      <c r="W109" s="732"/>
      <c r="X109" s="733"/>
      <c r="Z109" s="674">
        <f t="shared" si="21"/>
        <v>0</v>
      </c>
      <c r="AA109" s="674">
        <f t="shared" si="22"/>
        <v>0</v>
      </c>
      <c r="AB109" s="674">
        <f t="shared" si="23"/>
        <v>0</v>
      </c>
      <c r="AC109" s="674">
        <f>IF(Z109=0,,VLOOKUP(Z109,リスト!DC:DD,2,0))</f>
        <v>0</v>
      </c>
      <c r="AD109" s="674">
        <f t="shared" si="24"/>
        <v>0</v>
      </c>
      <c r="AE109" s="675">
        <f>IF(AD109=0,,VLOOKUP(AD109,リスト!DK:DL,2,0))</f>
        <v>0</v>
      </c>
      <c r="AF109" s="674">
        <f>IF(Z109=0,,
IF(OR(リスト!$C$21="小麦",リスト!$C$21="二条大麦",リスト!$C$21="六条大麦",リスト!$C$21="はだか麦",リスト!$C$21="なたね"),IF(K109&lt;9,調査年-J109,調査年-J109-1),
IF(リスト!$C$21="さとうきび",IF(K109&gt;=4,調査年-J109,調査年-J109+1),
調査年-J109)))</f>
        <v>0</v>
      </c>
      <c r="AG109" s="676">
        <f t="shared" si="25"/>
        <v>0</v>
      </c>
      <c r="AH109" s="676">
        <f t="shared" si="26"/>
        <v>0</v>
      </c>
      <c r="AI109" s="676">
        <f t="shared" si="27"/>
        <v>0</v>
      </c>
      <c r="AJ109" s="676">
        <f t="shared" si="28"/>
        <v>0</v>
      </c>
      <c r="AK109" s="403"/>
      <c r="AL109" s="67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6">
        <f t="shared" si="29"/>
        <v>0</v>
      </c>
      <c r="AN109" s="676">
        <f t="shared" si="30"/>
        <v>0</v>
      </c>
      <c r="AO109" s="676">
        <f t="shared" si="31"/>
        <v>0</v>
      </c>
      <c r="AP109" s="67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6">
        <f t="shared" si="32"/>
        <v>0</v>
      </c>
      <c r="AR109" s="676">
        <f t="shared" si="33"/>
        <v>0</v>
      </c>
      <c r="AS109" s="676">
        <f t="shared" si="37"/>
        <v>0</v>
      </c>
      <c r="AT109" s="676">
        <f t="shared" si="38"/>
        <v>0</v>
      </c>
      <c r="AU109" s="676">
        <f t="shared" si="34"/>
        <v>0</v>
      </c>
      <c r="AV109" s="676">
        <f t="shared" si="35"/>
        <v>0</v>
      </c>
      <c r="AW109" s="725">
        <f t="shared" si="36"/>
        <v>0</v>
      </c>
      <c r="AX109" s="690"/>
      <c r="AY109" s="690"/>
    </row>
    <row r="110" spans="3:51" s="46" customFormat="1" ht="30.75" hidden="1" customHeight="1" outlineLevel="1">
      <c r="C110" s="726">
        <v>93</v>
      </c>
      <c r="D110" s="691"/>
      <c r="E110" s="727"/>
      <c r="F110" s="728"/>
      <c r="G110" s="2023"/>
      <c r="H110" s="2024"/>
      <c r="I110" s="683"/>
      <c r="J110" s="729"/>
      <c r="K110" s="684"/>
      <c r="L110" s="685"/>
      <c r="M110" s="685"/>
      <c r="N110" s="685"/>
      <c r="O110" s="685"/>
      <c r="P110" s="685"/>
      <c r="Q110" s="685"/>
      <c r="R110" s="1045"/>
      <c r="S110" s="686"/>
      <c r="T110" s="730"/>
      <c r="U110" s="731"/>
      <c r="V110" s="721"/>
      <c r="W110" s="732"/>
      <c r="X110" s="733"/>
      <c r="Z110" s="674">
        <f t="shared" si="21"/>
        <v>0</v>
      </c>
      <c r="AA110" s="674">
        <f t="shared" si="22"/>
        <v>0</v>
      </c>
      <c r="AB110" s="674">
        <f t="shared" si="23"/>
        <v>0</v>
      </c>
      <c r="AC110" s="674">
        <f>IF(Z110=0,,VLOOKUP(Z110,リスト!DC:DD,2,0))</f>
        <v>0</v>
      </c>
      <c r="AD110" s="674">
        <f t="shared" si="24"/>
        <v>0</v>
      </c>
      <c r="AE110" s="675">
        <f>IF(AD110=0,,VLOOKUP(AD110,リスト!DK:DL,2,0))</f>
        <v>0</v>
      </c>
      <c r="AF110" s="674">
        <f>IF(Z110=0,,
IF(OR(リスト!$C$21="小麦",リスト!$C$21="二条大麦",リスト!$C$21="六条大麦",リスト!$C$21="はだか麦",リスト!$C$21="なたね"),IF(K110&lt;9,調査年-J110,調査年-J110-1),
IF(リスト!$C$21="さとうきび",IF(K110&gt;=4,調査年-J110,調査年-J110+1),
調査年-J110)))</f>
        <v>0</v>
      </c>
      <c r="AG110" s="676">
        <f t="shared" si="25"/>
        <v>0</v>
      </c>
      <c r="AH110" s="676">
        <f t="shared" si="26"/>
        <v>0</v>
      </c>
      <c r="AI110" s="676">
        <f t="shared" si="27"/>
        <v>0</v>
      </c>
      <c r="AJ110" s="676">
        <f t="shared" si="28"/>
        <v>0</v>
      </c>
      <c r="AK110" s="403"/>
      <c r="AL110" s="67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6">
        <f t="shared" si="29"/>
        <v>0</v>
      </c>
      <c r="AN110" s="676">
        <f t="shared" si="30"/>
        <v>0</v>
      </c>
      <c r="AO110" s="676">
        <f t="shared" si="31"/>
        <v>0</v>
      </c>
      <c r="AP110" s="67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6">
        <f t="shared" si="32"/>
        <v>0</v>
      </c>
      <c r="AR110" s="676">
        <f t="shared" si="33"/>
        <v>0</v>
      </c>
      <c r="AS110" s="676">
        <f t="shared" si="37"/>
        <v>0</v>
      </c>
      <c r="AT110" s="676">
        <f t="shared" si="38"/>
        <v>0</v>
      </c>
      <c r="AU110" s="676">
        <f t="shared" si="34"/>
        <v>0</v>
      </c>
      <c r="AV110" s="676">
        <f t="shared" si="35"/>
        <v>0</v>
      </c>
      <c r="AW110" s="725">
        <f t="shared" si="36"/>
        <v>0</v>
      </c>
      <c r="AX110" s="690"/>
      <c r="AY110" s="690"/>
    </row>
    <row r="111" spans="3:51" s="46" customFormat="1" ht="30.75" hidden="1" customHeight="1" outlineLevel="1">
      <c r="C111" s="726">
        <v>94</v>
      </c>
      <c r="D111" s="691"/>
      <c r="E111" s="727"/>
      <c r="F111" s="728"/>
      <c r="G111" s="2023"/>
      <c r="H111" s="2024"/>
      <c r="I111" s="683"/>
      <c r="J111" s="729"/>
      <c r="K111" s="684"/>
      <c r="L111" s="685"/>
      <c r="M111" s="685"/>
      <c r="N111" s="685"/>
      <c r="O111" s="685"/>
      <c r="P111" s="685"/>
      <c r="Q111" s="685"/>
      <c r="R111" s="1045"/>
      <c r="S111" s="686"/>
      <c r="T111" s="730"/>
      <c r="U111" s="731"/>
      <c r="V111" s="721"/>
      <c r="W111" s="732"/>
      <c r="X111" s="733"/>
      <c r="Z111" s="674">
        <f t="shared" si="21"/>
        <v>0</v>
      </c>
      <c r="AA111" s="674">
        <f t="shared" si="22"/>
        <v>0</v>
      </c>
      <c r="AB111" s="674">
        <f t="shared" si="23"/>
        <v>0</v>
      </c>
      <c r="AC111" s="674">
        <f>IF(Z111=0,,VLOOKUP(Z111,リスト!DC:DD,2,0))</f>
        <v>0</v>
      </c>
      <c r="AD111" s="674">
        <f t="shared" si="24"/>
        <v>0</v>
      </c>
      <c r="AE111" s="675">
        <f>IF(AD111=0,,VLOOKUP(AD111,リスト!DK:DL,2,0))</f>
        <v>0</v>
      </c>
      <c r="AF111" s="674">
        <f>IF(Z111=0,,
IF(OR(リスト!$C$21="小麦",リスト!$C$21="二条大麦",リスト!$C$21="六条大麦",リスト!$C$21="はだか麦",リスト!$C$21="なたね"),IF(K111&lt;9,調査年-J111,調査年-J111-1),
IF(リスト!$C$21="さとうきび",IF(K111&gt;=4,調査年-J111,調査年-J111+1),
調査年-J111)))</f>
        <v>0</v>
      </c>
      <c r="AG111" s="676">
        <f t="shared" si="25"/>
        <v>0</v>
      </c>
      <c r="AH111" s="676">
        <f t="shared" si="26"/>
        <v>0</v>
      </c>
      <c r="AI111" s="676">
        <f t="shared" si="27"/>
        <v>0</v>
      </c>
      <c r="AJ111" s="676">
        <f t="shared" si="28"/>
        <v>0</v>
      </c>
      <c r="AK111" s="403"/>
      <c r="AL111" s="67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6">
        <f t="shared" si="29"/>
        <v>0</v>
      </c>
      <c r="AN111" s="676">
        <f t="shared" si="30"/>
        <v>0</v>
      </c>
      <c r="AO111" s="676">
        <f t="shared" si="31"/>
        <v>0</v>
      </c>
      <c r="AP111" s="67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6">
        <f t="shared" si="32"/>
        <v>0</v>
      </c>
      <c r="AR111" s="676">
        <f t="shared" si="33"/>
        <v>0</v>
      </c>
      <c r="AS111" s="676">
        <f t="shared" si="37"/>
        <v>0</v>
      </c>
      <c r="AT111" s="676">
        <f t="shared" si="38"/>
        <v>0</v>
      </c>
      <c r="AU111" s="676">
        <f t="shared" si="34"/>
        <v>0</v>
      </c>
      <c r="AV111" s="676">
        <f t="shared" si="35"/>
        <v>0</v>
      </c>
      <c r="AW111" s="725">
        <f t="shared" si="36"/>
        <v>0</v>
      </c>
      <c r="AX111" s="690"/>
      <c r="AY111" s="690"/>
    </row>
    <row r="112" spans="3:51" s="46" customFormat="1" ht="30.75" hidden="1" customHeight="1" outlineLevel="1">
      <c r="C112" s="726">
        <v>95</v>
      </c>
      <c r="D112" s="691"/>
      <c r="E112" s="727"/>
      <c r="F112" s="728"/>
      <c r="G112" s="2023"/>
      <c r="H112" s="2024"/>
      <c r="I112" s="683"/>
      <c r="J112" s="729"/>
      <c r="K112" s="684"/>
      <c r="L112" s="685"/>
      <c r="M112" s="685"/>
      <c r="N112" s="685"/>
      <c r="O112" s="685"/>
      <c r="P112" s="685"/>
      <c r="Q112" s="685"/>
      <c r="R112" s="1045"/>
      <c r="S112" s="686"/>
      <c r="T112" s="730"/>
      <c r="U112" s="731"/>
      <c r="V112" s="721"/>
      <c r="W112" s="732"/>
      <c r="X112" s="733"/>
      <c r="Z112" s="674">
        <f t="shared" si="21"/>
        <v>0</v>
      </c>
      <c r="AA112" s="674">
        <f t="shared" si="22"/>
        <v>0</v>
      </c>
      <c r="AB112" s="674">
        <f t="shared" si="23"/>
        <v>0</v>
      </c>
      <c r="AC112" s="674">
        <f>IF(Z112=0,,VLOOKUP(Z112,リスト!DC:DD,2,0))</f>
        <v>0</v>
      </c>
      <c r="AD112" s="674">
        <f t="shared" si="24"/>
        <v>0</v>
      </c>
      <c r="AE112" s="675">
        <f>IF(AD112=0,,VLOOKUP(AD112,リスト!DK:DL,2,0))</f>
        <v>0</v>
      </c>
      <c r="AF112" s="674">
        <f>IF(Z112=0,,
IF(OR(リスト!$C$21="小麦",リスト!$C$21="二条大麦",リスト!$C$21="六条大麦",リスト!$C$21="はだか麦",リスト!$C$21="なたね"),IF(K112&lt;9,調査年-J112,調査年-J112-1),
IF(リスト!$C$21="さとうきび",IF(K112&gt;=4,調査年-J112,調査年-J112+1),
調査年-J112)))</f>
        <v>0</v>
      </c>
      <c r="AG112" s="676">
        <f t="shared" si="25"/>
        <v>0</v>
      </c>
      <c r="AH112" s="676">
        <f t="shared" si="26"/>
        <v>0</v>
      </c>
      <c r="AI112" s="676">
        <f t="shared" si="27"/>
        <v>0</v>
      </c>
      <c r="AJ112" s="676">
        <f t="shared" si="28"/>
        <v>0</v>
      </c>
      <c r="AK112" s="403"/>
      <c r="AL112" s="67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6">
        <f t="shared" si="29"/>
        <v>0</v>
      </c>
      <c r="AN112" s="676">
        <f t="shared" si="30"/>
        <v>0</v>
      </c>
      <c r="AO112" s="676">
        <f t="shared" si="31"/>
        <v>0</v>
      </c>
      <c r="AP112" s="67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6">
        <f t="shared" si="32"/>
        <v>0</v>
      </c>
      <c r="AR112" s="676">
        <f t="shared" si="33"/>
        <v>0</v>
      </c>
      <c r="AS112" s="676">
        <f t="shared" si="37"/>
        <v>0</v>
      </c>
      <c r="AT112" s="676">
        <f t="shared" si="38"/>
        <v>0</v>
      </c>
      <c r="AU112" s="676">
        <f t="shared" si="34"/>
        <v>0</v>
      </c>
      <c r="AV112" s="676">
        <f t="shared" si="35"/>
        <v>0</v>
      </c>
      <c r="AW112" s="725">
        <f t="shared" si="36"/>
        <v>0</v>
      </c>
      <c r="AX112" s="690"/>
      <c r="AY112" s="690"/>
    </row>
    <row r="113" spans="3:51" s="46" customFormat="1" ht="30.75" hidden="1" customHeight="1" outlineLevel="1">
      <c r="C113" s="726">
        <v>96</v>
      </c>
      <c r="D113" s="691"/>
      <c r="E113" s="727"/>
      <c r="F113" s="728"/>
      <c r="G113" s="2023"/>
      <c r="H113" s="2024"/>
      <c r="I113" s="683"/>
      <c r="J113" s="729"/>
      <c r="K113" s="684"/>
      <c r="L113" s="685"/>
      <c r="M113" s="685"/>
      <c r="N113" s="685"/>
      <c r="O113" s="685"/>
      <c r="P113" s="685"/>
      <c r="Q113" s="685"/>
      <c r="R113" s="1045"/>
      <c r="S113" s="686"/>
      <c r="T113" s="730"/>
      <c r="U113" s="731"/>
      <c r="V113" s="721"/>
      <c r="W113" s="732"/>
      <c r="X113" s="733"/>
      <c r="Z113" s="674">
        <f t="shared" si="21"/>
        <v>0</v>
      </c>
      <c r="AA113" s="674">
        <f t="shared" si="22"/>
        <v>0</v>
      </c>
      <c r="AB113" s="674">
        <f t="shared" si="23"/>
        <v>0</v>
      </c>
      <c r="AC113" s="674">
        <f>IF(Z113=0,,VLOOKUP(Z113,リスト!DC:DD,2,0))</f>
        <v>0</v>
      </c>
      <c r="AD113" s="674">
        <f t="shared" si="24"/>
        <v>0</v>
      </c>
      <c r="AE113" s="675">
        <f>IF(AD113=0,,VLOOKUP(AD113,リスト!DK:DL,2,0))</f>
        <v>0</v>
      </c>
      <c r="AF113" s="674">
        <f>IF(Z113=0,,
IF(OR(リスト!$C$21="小麦",リスト!$C$21="二条大麦",リスト!$C$21="六条大麦",リスト!$C$21="はだか麦",リスト!$C$21="なたね"),IF(K113&lt;9,調査年-J113,調査年-J113-1),
IF(リスト!$C$21="さとうきび",IF(K113&gt;=4,調査年-J113,調査年-J113+1),
調査年-J113)))</f>
        <v>0</v>
      </c>
      <c r="AG113" s="676">
        <f t="shared" si="25"/>
        <v>0</v>
      </c>
      <c r="AH113" s="676">
        <f t="shared" si="26"/>
        <v>0</v>
      </c>
      <c r="AI113" s="676">
        <f t="shared" si="27"/>
        <v>0</v>
      </c>
      <c r="AJ113" s="676">
        <f t="shared" si="28"/>
        <v>0</v>
      </c>
      <c r="AK113" s="403"/>
      <c r="AL113" s="67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6">
        <f t="shared" si="29"/>
        <v>0</v>
      </c>
      <c r="AN113" s="676">
        <f t="shared" si="30"/>
        <v>0</v>
      </c>
      <c r="AO113" s="676">
        <f t="shared" si="31"/>
        <v>0</v>
      </c>
      <c r="AP113" s="67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6">
        <f t="shared" si="32"/>
        <v>0</v>
      </c>
      <c r="AR113" s="676">
        <f t="shared" si="33"/>
        <v>0</v>
      </c>
      <c r="AS113" s="676">
        <f t="shared" si="37"/>
        <v>0</v>
      </c>
      <c r="AT113" s="676">
        <f t="shared" si="38"/>
        <v>0</v>
      </c>
      <c r="AU113" s="676">
        <f t="shared" si="34"/>
        <v>0</v>
      </c>
      <c r="AV113" s="676">
        <f t="shared" si="35"/>
        <v>0</v>
      </c>
      <c r="AW113" s="725">
        <f t="shared" si="36"/>
        <v>0</v>
      </c>
      <c r="AX113" s="690"/>
      <c r="AY113" s="690"/>
    </row>
    <row r="114" spans="3:51" s="46" customFormat="1" ht="30.75" hidden="1" customHeight="1" outlineLevel="1">
      <c r="C114" s="726">
        <v>97</v>
      </c>
      <c r="D114" s="691"/>
      <c r="E114" s="727"/>
      <c r="F114" s="728"/>
      <c r="G114" s="2023"/>
      <c r="H114" s="2024"/>
      <c r="I114" s="683"/>
      <c r="J114" s="729"/>
      <c r="K114" s="684"/>
      <c r="L114" s="685"/>
      <c r="M114" s="685"/>
      <c r="N114" s="685"/>
      <c r="O114" s="685"/>
      <c r="P114" s="685"/>
      <c r="Q114" s="685"/>
      <c r="R114" s="1045"/>
      <c r="S114" s="686"/>
      <c r="T114" s="730"/>
      <c r="U114" s="731"/>
      <c r="V114" s="721"/>
      <c r="W114" s="732"/>
      <c r="X114" s="733"/>
      <c r="Z114" s="674">
        <f t="shared" si="21"/>
        <v>0</v>
      </c>
      <c r="AA114" s="674">
        <f t="shared" si="22"/>
        <v>0</v>
      </c>
      <c r="AB114" s="674">
        <f t="shared" si="23"/>
        <v>0</v>
      </c>
      <c r="AC114" s="674">
        <f>IF(Z114=0,,VLOOKUP(Z114,リスト!DC:DD,2,0))</f>
        <v>0</v>
      </c>
      <c r="AD114" s="674">
        <f t="shared" si="24"/>
        <v>0</v>
      </c>
      <c r="AE114" s="675">
        <f>IF(AD114=0,,VLOOKUP(AD114,リスト!DK:DL,2,0))</f>
        <v>0</v>
      </c>
      <c r="AF114" s="674">
        <f>IF(Z114=0,,
IF(OR(リスト!$C$21="小麦",リスト!$C$21="二条大麦",リスト!$C$21="六条大麦",リスト!$C$21="はだか麦",リスト!$C$21="なたね"),IF(K114&lt;9,調査年-J114,調査年-J114-1),
IF(リスト!$C$21="さとうきび",IF(K114&gt;=4,調査年-J114,調査年-J114+1),
調査年-J114)))</f>
        <v>0</v>
      </c>
      <c r="AG114" s="676">
        <f t="shared" ref="AG114:AG117" si="39">IF(OR(Z114=0,AA114=1),,
IF(AND(AD114&gt;0,AF114&lt;AD114,AH114&lt;=ROUND((L114-1)*AE114,0)),ROUND(AH114,0),
IF(AND(AD114&gt;0,AF114&lt;AD114),ROUND((L114-1)*AE114,0),)))</f>
        <v>0</v>
      </c>
      <c r="AH114" s="676">
        <f t="shared" si="26"/>
        <v>0</v>
      </c>
      <c r="AI114" s="676">
        <f t="shared" si="27"/>
        <v>0</v>
      </c>
      <c r="AJ114" s="676">
        <f t="shared" si="28"/>
        <v>0</v>
      </c>
      <c r="AK114" s="403"/>
      <c r="AL114" s="67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6">
        <f t="shared" si="29"/>
        <v>0</v>
      </c>
      <c r="AN114" s="676">
        <f t="shared" si="30"/>
        <v>0</v>
      </c>
      <c r="AO114" s="676">
        <f t="shared" si="31"/>
        <v>0</v>
      </c>
      <c r="AP114" s="67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6">
        <f t="shared" si="32"/>
        <v>0</v>
      </c>
      <c r="AR114" s="676">
        <f t="shared" si="33"/>
        <v>0</v>
      </c>
      <c r="AS114" s="676">
        <f t="shared" si="37"/>
        <v>0</v>
      </c>
      <c r="AT114" s="676">
        <f t="shared" si="38"/>
        <v>0</v>
      </c>
      <c r="AU114" s="676">
        <f t="shared" si="34"/>
        <v>0</v>
      </c>
      <c r="AV114" s="676">
        <f t="shared" si="35"/>
        <v>0</v>
      </c>
      <c r="AW114" s="725">
        <f t="shared" si="36"/>
        <v>0</v>
      </c>
      <c r="AX114" s="690"/>
      <c r="AY114" s="690"/>
    </row>
    <row r="115" spans="3:51" s="46" customFormat="1" ht="30.75" hidden="1" customHeight="1" outlineLevel="1">
      <c r="C115" s="726">
        <v>98</v>
      </c>
      <c r="D115" s="691"/>
      <c r="E115" s="727"/>
      <c r="F115" s="728"/>
      <c r="G115" s="2023"/>
      <c r="H115" s="2024"/>
      <c r="I115" s="683"/>
      <c r="J115" s="729"/>
      <c r="K115" s="684"/>
      <c r="L115" s="685"/>
      <c r="M115" s="685"/>
      <c r="N115" s="685"/>
      <c r="O115" s="685"/>
      <c r="P115" s="685"/>
      <c r="Q115" s="685"/>
      <c r="R115" s="1045"/>
      <c r="S115" s="686"/>
      <c r="T115" s="730"/>
      <c r="U115" s="731"/>
      <c r="V115" s="721"/>
      <c r="W115" s="732"/>
      <c r="X115" s="733"/>
      <c r="Z115" s="674">
        <f t="shared" si="21"/>
        <v>0</v>
      </c>
      <c r="AA115" s="674">
        <f t="shared" si="22"/>
        <v>0</v>
      </c>
      <c r="AB115" s="674">
        <f t="shared" si="23"/>
        <v>0</v>
      </c>
      <c r="AC115" s="674">
        <f>IF(Z115=0,,VLOOKUP(Z115,リスト!DC:DD,2,0))</f>
        <v>0</v>
      </c>
      <c r="AD115" s="674">
        <f t="shared" si="24"/>
        <v>0</v>
      </c>
      <c r="AE115" s="675">
        <f>IF(AD115=0,,VLOOKUP(AD115,リスト!DK:DL,2,0))</f>
        <v>0</v>
      </c>
      <c r="AF115" s="674">
        <f>IF(Z115=0,,
IF(OR(リスト!$C$21="小麦",リスト!$C$21="二条大麦",リスト!$C$21="六条大麦",リスト!$C$21="はだか麦",リスト!$C$21="なたね"),IF(K115&lt;9,調査年-J115,調査年-J115-1),
IF(リスト!$C$21="さとうきび",IF(K115&gt;=4,調査年-J115,調査年-J115+1),
調査年-J115)))</f>
        <v>0</v>
      </c>
      <c r="AG115" s="676">
        <f t="shared" si="39"/>
        <v>0</v>
      </c>
      <c r="AH115" s="676">
        <f t="shared" si="26"/>
        <v>0</v>
      </c>
      <c r="AI115" s="676">
        <f t="shared" si="27"/>
        <v>0</v>
      </c>
      <c r="AJ115" s="676">
        <f t="shared" si="28"/>
        <v>0</v>
      </c>
      <c r="AK115" s="403"/>
      <c r="AL115" s="67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6">
        <f t="shared" si="29"/>
        <v>0</v>
      </c>
      <c r="AN115" s="676">
        <f t="shared" si="30"/>
        <v>0</v>
      </c>
      <c r="AO115" s="676">
        <f t="shared" si="31"/>
        <v>0</v>
      </c>
      <c r="AP115" s="67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6">
        <f t="shared" si="32"/>
        <v>0</v>
      </c>
      <c r="AR115" s="676">
        <f t="shared" si="33"/>
        <v>0</v>
      </c>
      <c r="AS115" s="676">
        <f t="shared" si="37"/>
        <v>0</v>
      </c>
      <c r="AT115" s="676">
        <f t="shared" si="38"/>
        <v>0</v>
      </c>
      <c r="AU115" s="676">
        <f t="shared" si="34"/>
        <v>0</v>
      </c>
      <c r="AV115" s="676">
        <f t="shared" si="35"/>
        <v>0</v>
      </c>
      <c r="AW115" s="725">
        <f t="shared" si="36"/>
        <v>0</v>
      </c>
      <c r="AX115" s="690"/>
      <c r="AY115" s="690"/>
    </row>
    <row r="116" spans="3:51" s="46" customFormat="1" ht="30.75" hidden="1" customHeight="1" outlineLevel="1">
      <c r="C116" s="726">
        <v>99</v>
      </c>
      <c r="D116" s="691"/>
      <c r="E116" s="727"/>
      <c r="F116" s="728"/>
      <c r="G116" s="2023"/>
      <c r="H116" s="2024"/>
      <c r="I116" s="683"/>
      <c r="J116" s="729"/>
      <c r="K116" s="684"/>
      <c r="L116" s="685"/>
      <c r="M116" s="685"/>
      <c r="N116" s="685"/>
      <c r="O116" s="685"/>
      <c r="P116" s="685"/>
      <c r="Q116" s="685"/>
      <c r="R116" s="1045"/>
      <c r="S116" s="686"/>
      <c r="T116" s="730"/>
      <c r="U116" s="731"/>
      <c r="V116" s="721"/>
      <c r="W116" s="732"/>
      <c r="X116" s="733"/>
      <c r="Z116" s="674">
        <f t="shared" si="21"/>
        <v>0</v>
      </c>
      <c r="AA116" s="674">
        <f t="shared" si="22"/>
        <v>0</v>
      </c>
      <c r="AB116" s="674">
        <f t="shared" si="23"/>
        <v>0</v>
      </c>
      <c r="AC116" s="674">
        <f>IF(Z116=0,,VLOOKUP(Z116,リスト!DC:DD,2,0))</f>
        <v>0</v>
      </c>
      <c r="AD116" s="674">
        <f t="shared" si="24"/>
        <v>0</v>
      </c>
      <c r="AE116" s="675">
        <f>IF(AD116=0,,VLOOKUP(AD116,リスト!DK:DL,2,0))</f>
        <v>0</v>
      </c>
      <c r="AF116" s="674">
        <f>IF(Z116=0,,
IF(OR(リスト!$C$21="小麦",リスト!$C$21="二条大麦",リスト!$C$21="六条大麦",リスト!$C$21="はだか麦",リスト!$C$21="なたね"),IF(K116&lt;9,調査年-J116,調査年-J116-1),
IF(リスト!$C$21="さとうきび",IF(K116&gt;=4,調査年-J116,調査年-J116+1),
調査年-J116)))</f>
        <v>0</v>
      </c>
      <c r="AG116" s="676">
        <f t="shared" si="39"/>
        <v>0</v>
      </c>
      <c r="AH116" s="676">
        <f t="shared" si="26"/>
        <v>0</v>
      </c>
      <c r="AI116" s="676">
        <f t="shared" si="27"/>
        <v>0</v>
      </c>
      <c r="AJ116" s="676">
        <f t="shared" si="28"/>
        <v>0</v>
      </c>
      <c r="AK116" s="403"/>
      <c r="AL116" s="67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6">
        <f t="shared" si="29"/>
        <v>0</v>
      </c>
      <c r="AN116" s="676">
        <f t="shared" si="30"/>
        <v>0</v>
      </c>
      <c r="AO116" s="676">
        <f t="shared" si="31"/>
        <v>0</v>
      </c>
      <c r="AP116" s="67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6">
        <f t="shared" si="32"/>
        <v>0</v>
      </c>
      <c r="AR116" s="676">
        <f t="shared" si="33"/>
        <v>0</v>
      </c>
      <c r="AS116" s="676">
        <f t="shared" si="37"/>
        <v>0</v>
      </c>
      <c r="AT116" s="676">
        <f t="shared" si="38"/>
        <v>0</v>
      </c>
      <c r="AU116" s="676">
        <f t="shared" si="34"/>
        <v>0</v>
      </c>
      <c r="AV116" s="676">
        <f t="shared" si="35"/>
        <v>0</v>
      </c>
      <c r="AW116" s="725">
        <f t="shared" si="36"/>
        <v>0</v>
      </c>
      <c r="AX116" s="690"/>
      <c r="AY116" s="690"/>
    </row>
    <row r="117" spans="3:51" s="46" customFormat="1" ht="30.75" hidden="1" customHeight="1" outlineLevel="1" thickBot="1">
      <c r="C117" s="744">
        <v>100</v>
      </c>
      <c r="D117" s="693"/>
      <c r="E117" s="745"/>
      <c r="F117" s="746"/>
      <c r="G117" s="2025"/>
      <c r="H117" s="2026"/>
      <c r="I117" s="697"/>
      <c r="J117" s="747"/>
      <c r="K117" s="698"/>
      <c r="L117" s="699"/>
      <c r="M117" s="699"/>
      <c r="N117" s="699"/>
      <c r="O117" s="699"/>
      <c r="P117" s="699"/>
      <c r="Q117" s="699"/>
      <c r="R117" s="1046"/>
      <c r="S117" s="700"/>
      <c r="T117" s="748"/>
      <c r="U117" s="749"/>
      <c r="V117" s="721"/>
      <c r="W117" s="750"/>
      <c r="X117" s="751"/>
      <c r="Z117" s="674">
        <f t="shared" si="21"/>
        <v>0</v>
      </c>
      <c r="AA117" s="674">
        <f t="shared" si="22"/>
        <v>0</v>
      </c>
      <c r="AB117" s="674">
        <f t="shared" si="23"/>
        <v>0</v>
      </c>
      <c r="AC117" s="674">
        <f>IF(Z117=0,,VLOOKUP(Z117,リスト!DC:DD,2,0))</f>
        <v>0</v>
      </c>
      <c r="AD117" s="674">
        <f t="shared" si="24"/>
        <v>0</v>
      </c>
      <c r="AE117" s="675">
        <f>IF(AD117=0,,VLOOKUP(AD117,リスト!DK:DL,2,0))</f>
        <v>0</v>
      </c>
      <c r="AF117" s="674">
        <f>IF(Z117=0,,
IF(OR(リスト!$C$21="小麦",リスト!$C$21="二条大麦",リスト!$C$21="六条大麦",リスト!$C$21="はだか麦",リスト!$C$21="なたね"),IF(K117&lt;9,調査年-J117,調査年-J117-1),
IF(リスト!$C$21="さとうきび",IF(K117&gt;=4,調査年-J117,調査年-J117+1),
調査年-J117)))</f>
        <v>0</v>
      </c>
      <c r="AG117" s="676">
        <f t="shared" si="39"/>
        <v>0</v>
      </c>
      <c r="AH117" s="676">
        <f t="shared" si="26"/>
        <v>0</v>
      </c>
      <c r="AI117" s="676">
        <f t="shared" si="27"/>
        <v>0</v>
      </c>
      <c r="AJ117" s="676">
        <f t="shared" si="28"/>
        <v>0</v>
      </c>
      <c r="AK117" s="403"/>
      <c r="AL117" s="67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6">
        <f t="shared" si="29"/>
        <v>0</v>
      </c>
      <c r="AN117" s="676">
        <f t="shared" si="30"/>
        <v>0</v>
      </c>
      <c r="AO117" s="676">
        <f t="shared" si="31"/>
        <v>0</v>
      </c>
      <c r="AP117" s="67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6">
        <f t="shared" si="32"/>
        <v>0</v>
      </c>
      <c r="AR117" s="676">
        <f t="shared" si="33"/>
        <v>0</v>
      </c>
      <c r="AS117" s="676">
        <f t="shared" si="37"/>
        <v>0</v>
      </c>
      <c r="AT117" s="676">
        <f t="shared" si="38"/>
        <v>0</v>
      </c>
      <c r="AU117" s="676">
        <f t="shared" si="34"/>
        <v>0</v>
      </c>
      <c r="AV117" s="676">
        <f t="shared" si="35"/>
        <v>0</v>
      </c>
      <c r="AW117" s="725">
        <f t="shared" si="36"/>
        <v>0</v>
      </c>
      <c r="AX117" s="690"/>
      <c r="AY117" s="690"/>
    </row>
    <row r="118" spans="3:51" ht="14.25" customHeight="1" thickTop="1">
      <c r="C118" s="391"/>
      <c r="D118" s="391"/>
      <c r="E118" s="392"/>
      <c r="F118" s="392"/>
      <c r="G118" s="392"/>
      <c r="H118" s="392"/>
      <c r="I118" s="392"/>
      <c r="J118" s="392"/>
      <c r="K118" s="392"/>
      <c r="L118" s="392"/>
      <c r="M118" s="392"/>
      <c r="N118" s="392"/>
      <c r="O118" s="392"/>
      <c r="P118" s="392"/>
      <c r="Q118" s="392"/>
      <c r="R118" s="392"/>
      <c r="S118" s="392"/>
      <c r="T118" s="392"/>
      <c r="U118" s="392"/>
      <c r="W118" s="703"/>
      <c r="X118" s="703"/>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161925</xdr:colOff>
                <xdr:row>0</xdr:row>
                <xdr:rowOff>152400</xdr:rowOff>
              </from>
              <to>
                <xdr:col>30</xdr:col>
                <xdr:colOff>609600</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0" customWidth="1" outlineLevel="1"/>
    <col min="52" max="52" width="2.625" style="2" outlineLevel="1"/>
    <col min="53" max="16384" width="2.625" style="2"/>
  </cols>
  <sheetData>
    <row r="1" spans="1:51" ht="14.25" customHeight="1">
      <c r="X1" s="2" t="s">
        <v>376</v>
      </c>
      <c r="AD1" s="46"/>
      <c r="AE1" s="46"/>
      <c r="AL1" s="46"/>
      <c r="AM1" s="46"/>
      <c r="AP1" s="46"/>
      <c r="AQ1" s="46"/>
      <c r="AR1" s="46"/>
      <c r="AY1" s="144"/>
    </row>
    <row r="2" spans="1:51" ht="14.25" customHeight="1">
      <c r="A2" s="105" t="s">
        <v>555</v>
      </c>
      <c r="X2" s="105" t="s">
        <v>555</v>
      </c>
      <c r="AE2" s="1085" t="s">
        <v>1367</v>
      </c>
    </row>
    <row r="3" spans="1:51" ht="14.25" customHeight="1">
      <c r="A3" s="105"/>
      <c r="B3" s="752"/>
      <c r="C3" s="608"/>
      <c r="D3" s="586"/>
      <c r="E3" s="586"/>
      <c r="F3" s="586"/>
      <c r="G3" s="586"/>
      <c r="H3" s="586"/>
      <c r="I3" s="586"/>
      <c r="J3" s="586"/>
      <c r="K3" s="586"/>
      <c r="L3" s="586"/>
      <c r="AE3" s="1087">
        <v>15</v>
      </c>
    </row>
    <row r="4" spans="1:51" ht="14.25" customHeight="1">
      <c r="A4" s="753"/>
      <c r="B4" s="586"/>
      <c r="C4" s="608" t="s">
        <v>1421</v>
      </c>
      <c r="D4" s="586"/>
      <c r="E4" s="586"/>
      <c r="F4" s="586"/>
      <c r="G4" s="586"/>
      <c r="H4" s="586"/>
      <c r="I4" s="586"/>
      <c r="J4" s="586"/>
      <c r="K4" s="586"/>
      <c r="L4" s="586"/>
    </row>
    <row r="5" spans="1:51" ht="14.25" customHeight="1">
      <c r="B5" s="586"/>
      <c r="C5" s="46" t="s">
        <v>1422</v>
      </c>
      <c r="E5" s="586"/>
      <c r="F5" s="586"/>
      <c r="G5" s="586"/>
      <c r="H5" s="586"/>
      <c r="I5" s="586"/>
      <c r="J5" s="586"/>
      <c r="K5" s="586"/>
      <c r="L5" s="586"/>
    </row>
    <row r="6" spans="1:51" ht="14.25" customHeight="1">
      <c r="B6" s="586"/>
      <c r="D6" s="586"/>
      <c r="E6" s="586"/>
      <c r="F6" s="586"/>
      <c r="G6" s="586"/>
      <c r="H6" s="586"/>
      <c r="I6" s="586"/>
      <c r="J6" s="586"/>
      <c r="K6" s="586"/>
      <c r="L6" s="586"/>
      <c r="X6" s="39" t="s">
        <v>536</v>
      </c>
    </row>
    <row r="7" spans="1:51" ht="14.25" customHeight="1">
      <c r="A7" s="2" t="s">
        <v>556</v>
      </c>
      <c r="B7" s="586"/>
      <c r="C7" s="46"/>
      <c r="D7" s="586"/>
      <c r="E7" s="586"/>
      <c r="F7" s="586"/>
      <c r="G7" s="586"/>
      <c r="H7" s="586"/>
      <c r="I7" s="586"/>
      <c r="J7" s="586"/>
      <c r="K7" s="586"/>
      <c r="L7" s="586"/>
      <c r="X7" s="39" t="s">
        <v>537</v>
      </c>
      <c r="AY7" s="2"/>
    </row>
    <row r="8" spans="1:51" ht="14.25" customHeight="1">
      <c r="B8" s="586"/>
      <c r="C8" s="46"/>
      <c r="D8" s="586"/>
      <c r="E8" s="586"/>
      <c r="F8" s="586"/>
      <c r="G8" s="586"/>
      <c r="H8" s="586"/>
      <c r="I8" s="586"/>
      <c r="J8" s="586"/>
      <c r="K8" s="586"/>
      <c r="L8" s="586"/>
      <c r="X8" s="2012" t="s">
        <v>538</v>
      </c>
      <c r="Y8" s="2012" t="s">
        <v>557</v>
      </c>
      <c r="AA8" s="1493" t="s">
        <v>483</v>
      </c>
      <c r="AB8" s="1493"/>
      <c r="AC8" s="1493"/>
      <c r="AD8" s="1493"/>
      <c r="AE8" s="1493"/>
      <c r="AF8" s="1493"/>
      <c r="AG8" s="1493"/>
      <c r="AH8" s="1493"/>
      <c r="AI8" s="1979" t="s">
        <v>484</v>
      </c>
      <c r="AJ8" s="1980"/>
      <c r="AK8" s="1981"/>
      <c r="AL8" s="2015" t="s">
        <v>485</v>
      </c>
      <c r="AM8" s="2016"/>
      <c r="AN8" s="2019"/>
      <c r="AO8" s="1979" t="s">
        <v>487</v>
      </c>
      <c r="AP8" s="1980"/>
      <c r="AQ8" s="1980"/>
      <c r="AR8" s="1980"/>
      <c r="AS8" s="1980"/>
      <c r="AT8" s="1980"/>
      <c r="AU8" s="1980"/>
      <c r="AV8" s="1980"/>
      <c r="AW8" s="1980"/>
      <c r="AX8" s="1980"/>
      <c r="AY8" s="1981"/>
    </row>
    <row r="9" spans="1:51" ht="14.25" customHeight="1" thickBot="1">
      <c r="B9" s="586"/>
      <c r="C9" s="46"/>
      <c r="D9" s="586"/>
      <c r="E9" s="586"/>
      <c r="F9" s="586"/>
      <c r="G9" s="586"/>
      <c r="H9" s="586"/>
      <c r="I9" s="586"/>
      <c r="J9" s="586"/>
      <c r="K9" s="586"/>
      <c r="L9" s="586"/>
      <c r="X9" s="2013"/>
      <c r="Y9" s="2013"/>
      <c r="Z9" s="46"/>
      <c r="AA9" s="1534"/>
      <c r="AB9" s="1534"/>
      <c r="AC9" s="1534"/>
      <c r="AD9" s="1534"/>
      <c r="AE9" s="1534"/>
      <c r="AF9" s="1534"/>
      <c r="AG9" s="1534"/>
      <c r="AH9" s="1534"/>
      <c r="AI9" s="1982"/>
      <c r="AJ9" s="1983"/>
      <c r="AK9" s="1984"/>
      <c r="AL9" s="2017"/>
      <c r="AM9" s="2018"/>
      <c r="AN9" s="2020"/>
      <c r="AO9" s="1982"/>
      <c r="AP9" s="1983"/>
      <c r="AQ9" s="1983"/>
      <c r="AR9" s="1983"/>
      <c r="AS9" s="1983"/>
      <c r="AT9" s="1983"/>
      <c r="AU9" s="1983"/>
      <c r="AV9" s="1983"/>
      <c r="AW9" s="1983"/>
      <c r="AX9" s="1983"/>
      <c r="AY9" s="1984"/>
    </row>
    <row r="10" spans="1:51" s="46" customFormat="1" ht="14.25" customHeight="1">
      <c r="C10" s="1985" t="s">
        <v>488</v>
      </c>
      <c r="D10" s="1988" t="s">
        <v>489</v>
      </c>
      <c r="E10" s="2065" t="s">
        <v>558</v>
      </c>
      <c r="F10" s="2001" t="s">
        <v>559</v>
      </c>
      <c r="G10" s="1997" t="s">
        <v>492</v>
      </c>
      <c r="H10" s="1998"/>
      <c r="I10" s="2001" t="s">
        <v>493</v>
      </c>
      <c r="J10" s="2004" t="s">
        <v>494</v>
      </c>
      <c r="K10" s="2005"/>
      <c r="L10" s="1967" t="s">
        <v>495</v>
      </c>
      <c r="M10" s="2068" t="s">
        <v>496</v>
      </c>
      <c r="N10" s="2059" t="s">
        <v>497</v>
      </c>
      <c r="O10" s="2059" t="s">
        <v>498</v>
      </c>
      <c r="P10" s="2061" t="s">
        <v>433</v>
      </c>
      <c r="Q10" s="2070" t="s">
        <v>1281</v>
      </c>
      <c r="R10" s="2071"/>
      <c r="S10" s="1969" t="s">
        <v>1418</v>
      </c>
      <c r="T10" s="1971" t="s">
        <v>499</v>
      </c>
      <c r="U10" s="1973" t="s">
        <v>500</v>
      </c>
      <c r="V10" s="1974"/>
      <c r="W10" s="690"/>
      <c r="X10" s="2013"/>
      <c r="Y10" s="2013"/>
      <c r="AA10" s="1963" t="s">
        <v>501</v>
      </c>
      <c r="AB10" s="1963" t="s">
        <v>502</v>
      </c>
      <c r="AC10" s="1963" t="s">
        <v>503</v>
      </c>
      <c r="AD10" s="1963" t="s">
        <v>504</v>
      </c>
      <c r="AE10" s="1963" t="s">
        <v>505</v>
      </c>
      <c r="AF10" s="1963" t="s">
        <v>506</v>
      </c>
      <c r="AG10" s="1963" t="s">
        <v>507</v>
      </c>
      <c r="AH10" s="1963" t="s">
        <v>508</v>
      </c>
      <c r="AI10" s="1963" t="s">
        <v>509</v>
      </c>
      <c r="AJ10" s="2022" t="s">
        <v>510</v>
      </c>
      <c r="AK10" s="645"/>
      <c r="AL10" s="1963" t="s">
        <v>511</v>
      </c>
      <c r="AM10" s="1963" t="s">
        <v>512</v>
      </c>
      <c r="AN10" s="2020"/>
      <c r="AO10" s="1946" t="s">
        <v>511</v>
      </c>
      <c r="AP10" s="1966" t="s">
        <v>515</v>
      </c>
      <c r="AQ10" s="646"/>
      <c r="AR10" s="1946" t="s">
        <v>516</v>
      </c>
      <c r="AS10" s="1946" t="s">
        <v>517</v>
      </c>
      <c r="AT10" s="1946" t="s">
        <v>498</v>
      </c>
      <c r="AU10" s="1946" t="s">
        <v>518</v>
      </c>
      <c r="AV10" s="1946" t="s">
        <v>560</v>
      </c>
      <c r="AW10" s="1946" t="s">
        <v>549</v>
      </c>
      <c r="AX10" s="1946" t="s">
        <v>1282</v>
      </c>
      <c r="AY10" s="1946" t="s">
        <v>550</v>
      </c>
    </row>
    <row r="11" spans="1:51" s="46" customFormat="1" ht="14.25" customHeight="1">
      <c r="C11" s="1986"/>
      <c r="D11" s="2063"/>
      <c r="E11" s="2066"/>
      <c r="F11" s="2067"/>
      <c r="G11" s="1999"/>
      <c r="H11" s="2000"/>
      <c r="I11" s="2002"/>
      <c r="J11" s="2006"/>
      <c r="K11" s="2007"/>
      <c r="L11" s="1968"/>
      <c r="M11" s="2069"/>
      <c r="N11" s="2060"/>
      <c r="O11" s="2060"/>
      <c r="P11" s="2062"/>
      <c r="Q11" s="2072"/>
      <c r="R11" s="2073"/>
      <c r="S11" s="1947"/>
      <c r="T11" s="1730"/>
      <c r="U11" s="1975"/>
      <c r="V11" s="1976"/>
      <c r="W11" s="690"/>
      <c r="X11" s="2013"/>
      <c r="Y11" s="2013"/>
      <c r="AA11" s="1964"/>
      <c r="AB11" s="1964"/>
      <c r="AC11" s="1964"/>
      <c r="AD11" s="1964"/>
      <c r="AE11" s="1964"/>
      <c r="AF11" s="1964"/>
      <c r="AG11" s="1964" t="s">
        <v>526</v>
      </c>
      <c r="AH11" s="1964"/>
      <c r="AI11" s="1964" t="s">
        <v>526</v>
      </c>
      <c r="AJ11" s="1964" t="s">
        <v>526</v>
      </c>
      <c r="AK11" s="1963" t="s">
        <v>528</v>
      </c>
      <c r="AL11" s="1964" t="s">
        <v>561</v>
      </c>
      <c r="AM11" s="1964" t="s">
        <v>526</v>
      </c>
      <c r="AN11" s="2020"/>
      <c r="AO11" s="1947"/>
      <c r="AP11" s="1947" t="s">
        <v>562</v>
      </c>
      <c r="AQ11" s="1946" t="s">
        <v>528</v>
      </c>
      <c r="AR11" s="1947" t="s">
        <v>556</v>
      </c>
      <c r="AS11" s="1947"/>
      <c r="AT11" s="1947"/>
      <c r="AU11" s="1947"/>
      <c r="AV11" s="1947"/>
      <c r="AW11" s="1947"/>
      <c r="AX11" s="1947"/>
      <c r="AY11" s="1947"/>
    </row>
    <row r="12" spans="1:51" s="46" customFormat="1" ht="14.25" customHeight="1">
      <c r="C12" s="1986"/>
      <c r="D12" s="2063"/>
      <c r="E12" s="2066"/>
      <c r="F12" s="2067"/>
      <c r="G12" s="1949" t="s">
        <v>551</v>
      </c>
      <c r="H12" s="1949" t="s">
        <v>520</v>
      </c>
      <c r="I12" s="2002"/>
      <c r="J12" s="1951" t="s">
        <v>521</v>
      </c>
      <c r="K12" s="1954" t="s">
        <v>522</v>
      </c>
      <c r="L12" s="704" t="s">
        <v>523</v>
      </c>
      <c r="M12" s="754" t="s">
        <v>523</v>
      </c>
      <c r="N12" s="706" t="s">
        <v>523</v>
      </c>
      <c r="O12" s="755" t="s">
        <v>523</v>
      </c>
      <c r="P12" s="756" t="s">
        <v>523</v>
      </c>
      <c r="Q12" s="2074"/>
      <c r="R12" s="2075"/>
      <c r="S12" s="1947"/>
      <c r="T12" s="1730"/>
      <c r="U12" s="2076" t="s">
        <v>524</v>
      </c>
      <c r="V12" s="1960" t="s">
        <v>552</v>
      </c>
      <c r="W12" s="690"/>
      <c r="X12" s="2013"/>
      <c r="Y12" s="2013"/>
      <c r="AA12" s="1964"/>
      <c r="AB12" s="1964"/>
      <c r="AC12" s="1964"/>
      <c r="AD12" s="1964"/>
      <c r="AE12" s="1964"/>
      <c r="AF12" s="1964"/>
      <c r="AG12" s="1964"/>
      <c r="AH12" s="1964"/>
      <c r="AI12" s="1964"/>
      <c r="AJ12" s="1964"/>
      <c r="AK12" s="1964"/>
      <c r="AL12" s="1964"/>
      <c r="AM12" s="1964"/>
      <c r="AN12" s="2020"/>
      <c r="AO12" s="1947"/>
      <c r="AP12" s="1947"/>
      <c r="AQ12" s="1947"/>
      <c r="AR12" s="1947"/>
      <c r="AS12" s="1947"/>
      <c r="AT12" s="1947"/>
      <c r="AU12" s="1947"/>
      <c r="AV12" s="1947"/>
      <c r="AW12" s="1947"/>
      <c r="AX12" s="1947"/>
      <c r="AY12" s="1947"/>
    </row>
    <row r="13" spans="1:51" s="46" customFormat="1" ht="14.25" customHeight="1">
      <c r="C13" s="1986"/>
      <c r="D13" s="2063"/>
      <c r="E13" s="2066"/>
      <c r="F13" s="2067"/>
      <c r="G13" s="1950"/>
      <c r="H13" s="1950"/>
      <c r="I13" s="2002"/>
      <c r="J13" s="1952"/>
      <c r="K13" s="1955"/>
      <c r="L13" s="707"/>
      <c r="M13" s="757"/>
      <c r="N13" s="651"/>
      <c r="O13" s="758"/>
      <c r="P13" s="708"/>
      <c r="Q13" s="2078" t="s">
        <v>553</v>
      </c>
      <c r="R13" s="2078" t="s">
        <v>444</v>
      </c>
      <c r="S13" s="1947"/>
      <c r="T13" s="1730"/>
      <c r="U13" s="2002"/>
      <c r="V13" s="1961"/>
      <c r="W13" s="690"/>
      <c r="X13" s="2013"/>
      <c r="Y13" s="2013"/>
      <c r="AA13" s="1964"/>
      <c r="AB13" s="1964"/>
      <c r="AC13" s="1964"/>
      <c r="AD13" s="1964"/>
      <c r="AE13" s="1964"/>
      <c r="AF13" s="1964"/>
      <c r="AG13" s="1964"/>
      <c r="AH13" s="1964"/>
      <c r="AI13" s="1964"/>
      <c r="AJ13" s="1964"/>
      <c r="AK13" s="1964"/>
      <c r="AL13" s="1964"/>
      <c r="AM13" s="1964"/>
      <c r="AN13" s="2021"/>
      <c r="AO13" s="1948"/>
      <c r="AP13" s="1948"/>
      <c r="AQ13" s="1948"/>
      <c r="AR13" s="1948"/>
      <c r="AS13" s="1948"/>
      <c r="AT13" s="1948"/>
      <c r="AU13" s="1948"/>
      <c r="AV13" s="1948"/>
      <c r="AW13" s="1948"/>
      <c r="AX13" s="1948"/>
      <c r="AY13" s="1948"/>
    </row>
    <row r="14" spans="1:51" s="46" customFormat="1" ht="30" customHeight="1">
      <c r="C14" s="1986"/>
      <c r="D14" s="2063"/>
      <c r="E14" s="2066"/>
      <c r="F14" s="2067"/>
      <c r="G14" s="1950"/>
      <c r="H14" s="1950"/>
      <c r="I14" s="2002"/>
      <c r="J14" s="1952"/>
      <c r="K14" s="1955"/>
      <c r="L14" s="707"/>
      <c r="M14" s="757"/>
      <c r="N14" s="651"/>
      <c r="O14" s="758"/>
      <c r="P14" s="708"/>
      <c r="Q14" s="2079"/>
      <c r="R14" s="2079"/>
      <c r="S14" s="1947"/>
      <c r="T14" s="1730"/>
      <c r="U14" s="2002"/>
      <c r="V14" s="710"/>
      <c r="W14" s="690"/>
      <c r="X14" s="2013"/>
      <c r="Y14" s="2013"/>
      <c r="AA14" s="1965"/>
      <c r="AB14" s="1965"/>
      <c r="AC14" s="1965"/>
      <c r="AD14" s="1965"/>
      <c r="AE14" s="1965"/>
      <c r="AF14" s="1965"/>
      <c r="AG14" s="1965"/>
      <c r="AH14" s="1965"/>
      <c r="AI14" s="1965"/>
      <c r="AJ14" s="1965"/>
      <c r="AK14" s="1965"/>
      <c r="AL14" s="1965"/>
      <c r="AM14" s="1965"/>
      <c r="AN14" s="595" t="s">
        <v>249</v>
      </c>
      <c r="AO14" s="203">
        <f t="shared" ref="AO14:AT14" si="0">SUM(AO15:AO16)</f>
        <v>0</v>
      </c>
      <c r="AP14" s="203">
        <f t="shared" si="0"/>
        <v>0</v>
      </c>
      <c r="AQ14" s="203">
        <f t="shared" si="0"/>
        <v>0</v>
      </c>
      <c r="AR14" s="203">
        <f>ROUND(SUM(AR15:AR16),)</f>
        <v>0</v>
      </c>
      <c r="AS14" s="203">
        <f t="shared" si="0"/>
        <v>0</v>
      </c>
      <c r="AT14" s="203">
        <f t="shared" si="0"/>
        <v>0</v>
      </c>
      <c r="AU14" s="203">
        <f>SUM(AS14:AT14)</f>
        <v>0</v>
      </c>
      <c r="AV14" s="252">
        <f>SUM(AV17:AV116)</f>
        <v>0</v>
      </c>
      <c r="AW14" s="252">
        <f>SUM(AW17:AW116)</f>
        <v>0</v>
      </c>
      <c r="AX14" s="252">
        <f t="shared" ref="AX14" si="1">SUM(AX17:AX116)</f>
        <v>0</v>
      </c>
      <c r="AY14" s="403"/>
    </row>
    <row r="15" spans="1:51" s="46" customFormat="1" ht="30" customHeight="1">
      <c r="C15" s="1986"/>
      <c r="D15" s="2063"/>
      <c r="E15" s="2066"/>
      <c r="F15" s="2067"/>
      <c r="G15" s="1950"/>
      <c r="H15" s="1950"/>
      <c r="I15" s="2002"/>
      <c r="J15" s="1953"/>
      <c r="K15" s="1955"/>
      <c r="L15" s="707"/>
      <c r="M15" s="757"/>
      <c r="N15" s="651"/>
      <c r="O15" s="758"/>
      <c r="P15" s="708"/>
      <c r="Q15" s="2080" t="s">
        <v>523</v>
      </c>
      <c r="R15" s="2080" t="s">
        <v>523</v>
      </c>
      <c r="S15" s="1947"/>
      <c r="T15" s="1730"/>
      <c r="U15" s="1450"/>
      <c r="V15" s="710"/>
      <c r="W15" s="690"/>
      <c r="X15" s="2013"/>
      <c r="Y15" s="2013"/>
      <c r="AA15" s="759"/>
      <c r="AB15" s="759"/>
      <c r="AC15" s="759"/>
      <c r="AD15" s="759"/>
      <c r="AE15" s="759"/>
      <c r="AF15" s="759"/>
      <c r="AG15" s="759"/>
      <c r="AH15" s="759"/>
      <c r="AI15" s="759"/>
      <c r="AJ15" s="759"/>
      <c r="AK15" s="759"/>
      <c r="AL15" s="759"/>
      <c r="AM15" s="759"/>
      <c r="AN15" s="760" t="s">
        <v>563</v>
      </c>
      <c r="AO15" s="252">
        <f t="shared" ref="AO15:AR15" si="2">SUM(SUMIFS(AO17:AO116,$E$17:$E$116,"&lt;&gt;",$E$17:$E$116,"&lt;&gt;[57]パソコン",$E$17:$E$116,"&lt;&gt;[58]その他の生産管理機器"))</f>
        <v>0</v>
      </c>
      <c r="AP15" s="252">
        <f t="shared" si="2"/>
        <v>0</v>
      </c>
      <c r="AQ15" s="252">
        <f t="shared" si="2"/>
        <v>0</v>
      </c>
      <c r="AR15" s="252">
        <f t="shared" si="2"/>
        <v>0</v>
      </c>
      <c r="AS15" s="252">
        <f>SUM(SUMIFS(AS17:AS116,$E$17:$E$116,"&lt;&gt;",$E$17:$E$116,"&lt;&gt;[57]パソコン",$E$17:$E$116,"&lt;&gt;[58]その他の生産管理機器"),【10】農具の購入費等!CC14)</f>
        <v>0</v>
      </c>
      <c r="AT15" s="252">
        <f>SUM(SUMIFS(AT17:AT116,$E$17:$E$116,"&lt;&gt;",$E$17:$E$116,"&lt;&gt;[57]パソコン",$E$17:$E$116,"&lt;&gt;[58]その他の生産管理機器"))</f>
        <v>0</v>
      </c>
      <c r="AU15" s="203">
        <f>ROUND(SUM(AS15:AT15),)</f>
        <v>0</v>
      </c>
      <c r="AV15" s="403"/>
      <c r="AW15" s="403"/>
      <c r="AX15" s="403"/>
      <c r="AY15" s="403"/>
    </row>
    <row r="16" spans="1:51" s="46" customFormat="1" ht="30" customHeight="1" thickBot="1">
      <c r="C16" s="1987"/>
      <c r="D16" s="2064"/>
      <c r="E16" s="2066"/>
      <c r="F16" s="2067"/>
      <c r="G16" s="1950"/>
      <c r="H16" s="1950"/>
      <c r="I16" s="2003"/>
      <c r="J16" s="1953"/>
      <c r="K16" s="1955"/>
      <c r="L16" s="711"/>
      <c r="M16" s="757"/>
      <c r="N16" s="651"/>
      <c r="O16" s="761"/>
      <c r="P16" s="708"/>
      <c r="Q16" s="2081"/>
      <c r="R16" s="2081"/>
      <c r="S16" s="2044"/>
      <c r="T16" s="1972"/>
      <c r="U16" s="2077"/>
      <c r="V16" s="713"/>
      <c r="W16" s="690"/>
      <c r="X16" s="2014"/>
      <c r="Y16" s="2014"/>
      <c r="AA16" s="656"/>
      <c r="AB16" s="656"/>
      <c r="AC16" s="656"/>
      <c r="AD16" s="656"/>
      <c r="AE16" s="656"/>
      <c r="AF16" s="656"/>
      <c r="AG16" s="656"/>
      <c r="AH16" s="656"/>
      <c r="AI16" s="656"/>
      <c r="AJ16" s="656"/>
      <c r="AK16" s="656"/>
      <c r="AL16" s="656"/>
      <c r="AM16" s="656"/>
      <c r="AN16" s="762" t="s">
        <v>564</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764">
        <f>ROUND(SUM(AS16:AT16),)</f>
        <v>0</v>
      </c>
      <c r="AV16" s="765"/>
      <c r="AW16" s="765"/>
      <c r="AX16" s="765"/>
      <c r="AY16" s="766"/>
    </row>
    <row r="17" spans="3:55" s="46" customFormat="1" ht="30.75" customHeight="1" thickTop="1">
      <c r="C17" s="767">
        <v>1</v>
      </c>
      <c r="D17" s="661"/>
      <c r="E17" s="768"/>
      <c r="F17" s="718"/>
      <c r="G17" s="2029"/>
      <c r="H17" s="2030"/>
      <c r="I17" s="665"/>
      <c r="J17" s="665"/>
      <c r="K17" s="666"/>
      <c r="L17" s="669"/>
      <c r="M17" s="669"/>
      <c r="N17" s="669"/>
      <c r="O17" s="669"/>
      <c r="P17" s="669"/>
      <c r="Q17" s="669"/>
      <c r="R17" s="669"/>
      <c r="S17" s="1047"/>
      <c r="T17" s="670"/>
      <c r="U17" s="719"/>
      <c r="V17" s="720"/>
      <c r="W17" s="721"/>
      <c r="X17" s="722"/>
      <c r="Y17" s="723"/>
      <c r="AA17" s="769">
        <f t="shared" ref="AA17:AA80" si="3">IF(AND(E17&gt;0,F17&gt;0),"["&amp;RIGHT(LEFT(E17,3),2)&amp;RIGHT(LEFT(F17,2),1)&amp;"]",)</f>
        <v>0</v>
      </c>
      <c r="AB17" s="769">
        <f>IF(AA17=0,,IF(L17+M17&lt;100000,1,0))</f>
        <v>0</v>
      </c>
      <c r="AC17" s="769">
        <f>IF(AA17=0,,IF(AND(AB17=0,L17+M17&lt;200000),1,))</f>
        <v>0</v>
      </c>
      <c r="AD17" s="769">
        <f>IF(AA17=0,,VLOOKUP(AA17,リスト!DH:DI,2,0))</f>
        <v>0</v>
      </c>
      <c r="AE17" s="769">
        <f t="shared" ref="AE17:AE80" si="4">IF(AC17=1,3,IF(G17="[2]中古",MIN(AD17,I17),AD17))</f>
        <v>0</v>
      </c>
      <c r="AF17" s="770">
        <f>IF(AE17=0,,VLOOKUP(AE17,リスト!DK:DL,2,0))</f>
        <v>0</v>
      </c>
      <c r="AG17" s="769">
        <f>IF(AA17=0,,
IF(OR(リスト!$C$21="小麦",リスト!$C$21="二条大麦",リスト!$C$21="六条大麦",リスト!$C$21="はだか麦",リスト!$C$21="なたね"),IF(K17&lt;9,調査年-J17,調査年-J17-1),
IF(リスト!$C$21="さとうきび",IF(K17&gt;=4,調査年-J17,調査年-J17+1),
調査年-J17)))</f>
        <v>0</v>
      </c>
      <c r="AH17" s="771">
        <f t="shared" ref="AH17:AH48" si="5">IF(OR(AA17=0,AB17=1),,
IF(AND(AE17&gt;0,AG17&lt;AE17,AI17&lt;=ROUND((L17-1)*AF17,0)),ROUND(AI17,0),
IF(AND(AE17&gt;0,AG17&lt;AE17),ROUND((L17-1)*AF17,0),)))</f>
        <v>0</v>
      </c>
      <c r="AI17" s="771">
        <f t="shared" ref="AI17:AI80" si="6">IF(OR(AA17=0,AB17=1),,
IF(AND(AE17&gt;0,AG17&lt;AE17),L17-ROUND((L17-1)*AF17*AG17,0),1
))</f>
        <v>0</v>
      </c>
      <c r="AJ17" s="771">
        <f t="shared" ref="AJ17:AJ80" si="7">IF(OR(AA17=0,AB17=1),,
IF(U17=0,AH17,
IF(U17="[2]廃棄等",SUM(AI17,V17),
IF(U17="[1]売却",AI17-V17,))))</f>
        <v>0</v>
      </c>
      <c r="AK17" s="771">
        <f t="shared" ref="AK17:AK80" si="8">IF(AND(AJ17=0,AH17=0),,
IF(OR(U17="[1]売却",U17="[2]廃棄等"),SUM(AJ17)-SUM(AH17),))</f>
        <v>0</v>
      </c>
      <c r="AL17" s="771">
        <f t="shared" ref="AL17:AL80" si="9">IF(OR(AB17=1,M17=0),,
IF(AND(AE17&gt;0,M17&gt;0,AG17&lt;AE17),M17-ROUND(M17*AF17*AG17,0),))</f>
        <v>0</v>
      </c>
      <c r="AM17" s="771">
        <f>IF(OR(AA17=0,AB17=1),IF(AND(AB17=1,AG17=0),M17,),
IF(AND(AE17&gt;0,AG17&lt;AE17,SUM(AL17)&gt;0,AL17&lt;=ROUND(M17*AF17,0)),AL17,
IF(AND(AE17&gt;0,AG17&lt;AE17,SUM(M17)&gt;0),ROUND(M17*AF17,0),)))</f>
        <v>0</v>
      </c>
      <c r="AN17" s="724"/>
      <c r="AO17" s="77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2">
        <f t="shared" ref="AP17:AP80" si="10">IF(S17=0,,IF(AJ17=0,,ROUND(AJ17*S17%,0)))</f>
        <v>0</v>
      </c>
      <c r="AQ17" s="772">
        <f t="shared" ref="AQ17:AQ80" si="11">IF(S17=0,,IF(AK17=0,,ROUND(AK17*S17%,0)))</f>
        <v>0</v>
      </c>
      <c r="AR17" s="772">
        <f t="shared" ref="AR17:AR80" si="12">IF(S17=0,,IF(AI17=0,,ROUND(AI17*S17%,0)))</f>
        <v>0</v>
      </c>
      <c r="AS17" s="77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2">
        <f t="shared" ref="AT17:AT80" si="13">IF(O17&gt;0,ROUND(O17*$S17%,),)</f>
        <v>0</v>
      </c>
      <c r="AU17" s="772">
        <f t="shared" ref="AU17:AU80" si="14">IF(OR(AS17&gt;0,AT17&gt;0),SUM(AS17:AT17),)</f>
        <v>0</v>
      </c>
      <c r="AV17" s="771">
        <f t="shared" ref="AV17:AX80" si="15">IF(P17&gt;0,ROUND(P17*$S17%,),)</f>
        <v>0</v>
      </c>
      <c r="AW17" s="771">
        <f>IF(Q17&gt;0,ROUND(Q17*$S17%,),)</f>
        <v>0</v>
      </c>
      <c r="AX17" s="771">
        <f>IF(R17&gt;0,ROUND(R17*$S17%,),)</f>
        <v>0</v>
      </c>
      <c r="AY17" s="725">
        <f t="shared" ref="AY17:AY80" si="16">IF(Y17="○",,IF(AND(X17&gt;0,S17&gt;0),ROUND(1/X17,1),IF(S17&gt;0,ROUND(1,1),)))</f>
        <v>0</v>
      </c>
      <c r="AZ17" s="690"/>
      <c r="BA17" s="690"/>
      <c r="BB17" s="690"/>
      <c r="BC17" s="690"/>
    </row>
    <row r="18" spans="3:55" s="46" customFormat="1" ht="30.75" customHeight="1">
      <c r="C18" s="744">
        <v>2</v>
      </c>
      <c r="D18" s="679"/>
      <c r="E18" s="773"/>
      <c r="F18" s="774"/>
      <c r="G18" s="2023"/>
      <c r="H18" s="2024"/>
      <c r="I18" s="683"/>
      <c r="J18" s="729"/>
      <c r="K18" s="684"/>
      <c r="L18" s="685"/>
      <c r="M18" s="685"/>
      <c r="N18" s="685"/>
      <c r="O18" s="685"/>
      <c r="P18" s="685"/>
      <c r="Q18" s="854"/>
      <c r="R18" s="1003"/>
      <c r="S18" s="1045"/>
      <c r="T18" s="686"/>
      <c r="U18" s="730"/>
      <c r="V18" s="731"/>
      <c r="W18" s="721"/>
      <c r="X18" s="732"/>
      <c r="Y18" s="733"/>
      <c r="Z18" s="641"/>
      <c r="AA18" s="688">
        <f t="shared" si="3"/>
        <v>0</v>
      </c>
      <c r="AB18" s="688">
        <f>IF(AA18=0,,IF(L18+M18&lt;100000,1,0))</f>
        <v>0</v>
      </c>
      <c r="AC18" s="688">
        <f>IF(AA18=0,,IF(AND(AB18=0,L18+M18&lt;200000),1,))</f>
        <v>0</v>
      </c>
      <c r="AD18" s="688">
        <f>IF(AA18=0,,VLOOKUP(AA18,リスト!DH:DI,2,0))</f>
        <v>0</v>
      </c>
      <c r="AE18" s="688">
        <f t="shared" si="4"/>
        <v>0</v>
      </c>
      <c r="AF18" s="689">
        <f>IF(AE18=0,,VLOOKUP(AE18,リスト!DK:DL,2,0))</f>
        <v>0</v>
      </c>
      <c r="AG18" s="688">
        <f>IF(AA18=0,,
IF(OR(リスト!$C$21="小麦",リスト!$C$21="二条大麦",リスト!$C$21="六条大麦",リスト!$C$21="はだか麦",リスト!$C$21="なたね"),IF(K18&lt;9,調査年-J18,調査年-J18-1),
IF(リスト!$C$21="さとうきび",IF(K18&gt;=4,調査年-J18,調査年-J18+1),
調査年-J18)))</f>
        <v>0</v>
      </c>
      <c r="AH18" s="252">
        <f t="shared" si="5"/>
        <v>0</v>
      </c>
      <c r="AI18" s="252">
        <f t="shared" si="6"/>
        <v>0</v>
      </c>
      <c r="AJ18" s="252">
        <f t="shared" si="7"/>
        <v>0</v>
      </c>
      <c r="AK18" s="252">
        <f t="shared" si="8"/>
        <v>0</v>
      </c>
      <c r="AL18" s="252">
        <f t="shared" si="9"/>
        <v>0</v>
      </c>
      <c r="AM18" s="252">
        <f t="shared" ref="AM18:AM81" si="17">IF(OR(AA18=0,AB18=1),IF(AND(AB18=1,AG18=0),M18,),
IF(AND(AE18&gt;0,AG18&lt;AE18,SUM(AL18)&gt;0,AL18&lt;=ROUND(M18*AF18,0)),AL18,
IF(AND(AE18&gt;0,AG18&lt;AE18,SUM(M18)&gt;0),ROUND(M18*AF18,0),)))</f>
        <v>0</v>
      </c>
      <c r="AN18" s="403"/>
      <c r="AO18" s="25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52">
        <f t="shared" si="10"/>
        <v>0</v>
      </c>
      <c r="AQ18" s="252">
        <f t="shared" si="11"/>
        <v>0</v>
      </c>
      <c r="AR18" s="252">
        <f t="shared" si="12"/>
        <v>0</v>
      </c>
      <c r="AS18" s="25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52">
        <f t="shared" si="13"/>
        <v>0</v>
      </c>
      <c r="AU18" s="252">
        <f t="shared" si="14"/>
        <v>0</v>
      </c>
      <c r="AV18" s="252">
        <f t="shared" si="15"/>
        <v>0</v>
      </c>
      <c r="AW18" s="252">
        <f>IF(Q18&gt;0,ROUND(Q18*$S18%,),)</f>
        <v>0</v>
      </c>
      <c r="AX18" s="252">
        <f>IF(R18&gt;0,ROUND(R18*$S18%,),)</f>
        <v>0</v>
      </c>
      <c r="AY18" s="725">
        <f t="shared" si="16"/>
        <v>0</v>
      </c>
      <c r="AZ18" s="690"/>
      <c r="BA18" s="690"/>
      <c r="BB18" s="690"/>
      <c r="BC18" s="690"/>
    </row>
    <row r="19" spans="3:55" s="46" customFormat="1" ht="30.75" customHeight="1">
      <c r="C19" s="744">
        <v>3</v>
      </c>
      <c r="D19" s="691"/>
      <c r="E19" s="775"/>
      <c r="F19" s="776"/>
      <c r="G19" s="2023"/>
      <c r="H19" s="2024"/>
      <c r="I19" s="683"/>
      <c r="J19" s="729"/>
      <c r="K19" s="684"/>
      <c r="L19" s="685"/>
      <c r="M19" s="685"/>
      <c r="N19" s="685"/>
      <c r="O19" s="685"/>
      <c r="P19" s="685"/>
      <c r="Q19" s="854"/>
      <c r="R19" s="1003"/>
      <c r="S19" s="1045"/>
      <c r="T19" s="686"/>
      <c r="U19" s="730"/>
      <c r="V19" s="731"/>
      <c r="W19" s="721"/>
      <c r="X19" s="732"/>
      <c r="Y19" s="733"/>
      <c r="Z19" s="777"/>
      <c r="AA19" s="688">
        <f t="shared" si="3"/>
        <v>0</v>
      </c>
      <c r="AB19" s="688">
        <f t="shared" ref="AB19:AB82" si="18">IF(AA19=0,,IF(L19+M19&lt;100000,1,0))</f>
        <v>0</v>
      </c>
      <c r="AC19" s="688">
        <f t="shared" ref="AC19:AC82" si="19">IF(AA19=0,,IF(AND(AB19=0,L19+M19&lt;200000),1,))</f>
        <v>0</v>
      </c>
      <c r="AD19" s="688">
        <f>IF(AA19=0,,VLOOKUP(AA19,リスト!DH:DI,2,0))</f>
        <v>0</v>
      </c>
      <c r="AE19" s="688">
        <f t="shared" si="4"/>
        <v>0</v>
      </c>
      <c r="AF19" s="689">
        <f>IF(AE19=0,,VLOOKUP(AE19,リスト!DK:DL,2,0))</f>
        <v>0</v>
      </c>
      <c r="AG19" s="688">
        <f>IF(AA19=0,,
IF(OR(リスト!$C$21="小麦",リスト!$C$21="二条大麦",リスト!$C$21="六条大麦",リスト!$C$21="はだか麦",リスト!$C$21="なたね"),IF(K19&lt;9,調査年-J19,調査年-J19-1),
IF(リスト!$C$21="さとうきび",IF(K19&gt;=4,調査年-J19,調査年-J19+1),
調査年-J19)))</f>
        <v>0</v>
      </c>
      <c r="AH19" s="252">
        <f t="shared" si="5"/>
        <v>0</v>
      </c>
      <c r="AI19" s="252">
        <f t="shared" si="6"/>
        <v>0</v>
      </c>
      <c r="AJ19" s="252">
        <f t="shared" si="7"/>
        <v>0</v>
      </c>
      <c r="AK19" s="252">
        <f t="shared" si="8"/>
        <v>0</v>
      </c>
      <c r="AL19" s="252">
        <f t="shared" si="9"/>
        <v>0</v>
      </c>
      <c r="AM19" s="252">
        <f t="shared" si="17"/>
        <v>0</v>
      </c>
      <c r="AN19" s="403"/>
      <c r="AO19" s="25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52">
        <f t="shared" si="10"/>
        <v>0</v>
      </c>
      <c r="AQ19" s="252">
        <f t="shared" si="11"/>
        <v>0</v>
      </c>
      <c r="AR19" s="252">
        <f t="shared" si="12"/>
        <v>0</v>
      </c>
      <c r="AS19" s="25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52">
        <f t="shared" si="13"/>
        <v>0</v>
      </c>
      <c r="AU19" s="252">
        <f t="shared" si="14"/>
        <v>0</v>
      </c>
      <c r="AV19" s="252">
        <f t="shared" si="15"/>
        <v>0</v>
      </c>
      <c r="AW19" s="252">
        <f t="shared" si="15"/>
        <v>0</v>
      </c>
      <c r="AX19" s="252">
        <f t="shared" si="15"/>
        <v>0</v>
      </c>
      <c r="AY19" s="725">
        <f t="shared" si="16"/>
        <v>0</v>
      </c>
      <c r="AZ19" s="690"/>
      <c r="BA19" s="690"/>
      <c r="BB19" s="690"/>
      <c r="BC19" s="690"/>
    </row>
    <row r="20" spans="3:55" s="46" customFormat="1" ht="30.75" customHeight="1">
      <c r="C20" s="744">
        <v>4</v>
      </c>
      <c r="D20" s="691"/>
      <c r="E20" s="778"/>
      <c r="F20" s="774"/>
      <c r="G20" s="2023"/>
      <c r="H20" s="2024"/>
      <c r="I20" s="683"/>
      <c r="J20" s="729"/>
      <c r="K20" s="684"/>
      <c r="L20" s="685"/>
      <c r="M20" s="685"/>
      <c r="N20" s="685"/>
      <c r="O20" s="685"/>
      <c r="P20" s="685"/>
      <c r="Q20" s="854"/>
      <c r="R20" s="1003"/>
      <c r="S20" s="1045"/>
      <c r="T20" s="686"/>
      <c r="U20" s="730"/>
      <c r="V20" s="731"/>
      <c r="W20" s="721"/>
      <c r="X20" s="732"/>
      <c r="Y20" s="733"/>
      <c r="Z20" s="777"/>
      <c r="AA20" s="688">
        <f t="shared" si="3"/>
        <v>0</v>
      </c>
      <c r="AB20" s="688">
        <f t="shared" si="18"/>
        <v>0</v>
      </c>
      <c r="AC20" s="688">
        <f t="shared" si="19"/>
        <v>0</v>
      </c>
      <c r="AD20" s="688">
        <f>IF(AA20=0,,VLOOKUP(AA20,リスト!DH:DI,2,0))</f>
        <v>0</v>
      </c>
      <c r="AE20" s="688">
        <f t="shared" si="4"/>
        <v>0</v>
      </c>
      <c r="AF20" s="689">
        <f>IF(AE20=0,,VLOOKUP(AE20,リスト!DK:DL,2,0))</f>
        <v>0</v>
      </c>
      <c r="AG20" s="688">
        <f>IF(AA20=0,,
IF(OR(リスト!$C$21="小麦",リスト!$C$21="二条大麦",リスト!$C$21="六条大麦",リスト!$C$21="はだか麦",リスト!$C$21="なたね"),IF(K20&lt;9,調査年-J20,調査年-J20-1),
IF(リスト!$C$21="さとうきび",IF(K20&gt;=4,調査年-J20,調査年-J20+1),
調査年-J20)))</f>
        <v>0</v>
      </c>
      <c r="AH20" s="252">
        <f t="shared" si="5"/>
        <v>0</v>
      </c>
      <c r="AI20" s="252">
        <f t="shared" si="6"/>
        <v>0</v>
      </c>
      <c r="AJ20" s="252">
        <f t="shared" si="7"/>
        <v>0</v>
      </c>
      <c r="AK20" s="252">
        <f t="shared" si="8"/>
        <v>0</v>
      </c>
      <c r="AL20" s="252">
        <f t="shared" si="9"/>
        <v>0</v>
      </c>
      <c r="AM20" s="252">
        <f t="shared" si="17"/>
        <v>0</v>
      </c>
      <c r="AN20" s="403"/>
      <c r="AO20" s="25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52">
        <f t="shared" si="10"/>
        <v>0</v>
      </c>
      <c r="AQ20" s="252">
        <f t="shared" si="11"/>
        <v>0</v>
      </c>
      <c r="AR20" s="252">
        <f t="shared" si="12"/>
        <v>0</v>
      </c>
      <c r="AS20" s="25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52">
        <f t="shared" si="13"/>
        <v>0</v>
      </c>
      <c r="AU20" s="252">
        <f t="shared" si="14"/>
        <v>0</v>
      </c>
      <c r="AV20" s="252">
        <f t="shared" si="15"/>
        <v>0</v>
      </c>
      <c r="AW20" s="252">
        <f t="shared" si="15"/>
        <v>0</v>
      </c>
      <c r="AX20" s="252">
        <f t="shared" si="15"/>
        <v>0</v>
      </c>
      <c r="AY20" s="725">
        <f t="shared" si="16"/>
        <v>0</v>
      </c>
      <c r="AZ20" s="690"/>
      <c r="BA20" s="690"/>
      <c r="BB20" s="690"/>
      <c r="BC20" s="690"/>
    </row>
    <row r="21" spans="3:55" s="46" customFormat="1" ht="30.75" customHeight="1">
      <c r="C21" s="744">
        <v>5</v>
      </c>
      <c r="D21" s="691"/>
      <c r="E21" s="778"/>
      <c r="F21" s="774"/>
      <c r="G21" s="2023"/>
      <c r="H21" s="2024"/>
      <c r="I21" s="683"/>
      <c r="J21" s="729"/>
      <c r="K21" s="684"/>
      <c r="L21" s="685"/>
      <c r="M21" s="685"/>
      <c r="N21" s="685"/>
      <c r="O21" s="685"/>
      <c r="P21" s="685"/>
      <c r="Q21" s="854"/>
      <c r="R21" s="1003"/>
      <c r="S21" s="1045"/>
      <c r="T21" s="686"/>
      <c r="U21" s="730"/>
      <c r="V21" s="731"/>
      <c r="W21" s="721"/>
      <c r="X21" s="732"/>
      <c r="Y21" s="733"/>
      <c r="Z21" s="777"/>
      <c r="AA21" s="688">
        <f t="shared" si="3"/>
        <v>0</v>
      </c>
      <c r="AB21" s="688">
        <f t="shared" si="18"/>
        <v>0</v>
      </c>
      <c r="AC21" s="688">
        <f t="shared" si="19"/>
        <v>0</v>
      </c>
      <c r="AD21" s="688">
        <f>IF(AA21=0,,VLOOKUP(AA21,リスト!DH:DI,2,0))</f>
        <v>0</v>
      </c>
      <c r="AE21" s="688">
        <f t="shared" si="4"/>
        <v>0</v>
      </c>
      <c r="AF21" s="689">
        <f>IF(AE21=0,,VLOOKUP(AE21,リスト!DK:DL,2,0))</f>
        <v>0</v>
      </c>
      <c r="AG21" s="688">
        <f>IF(AA21=0,,
IF(OR(リスト!$C$21="小麦",リスト!$C$21="二条大麦",リスト!$C$21="六条大麦",リスト!$C$21="はだか麦",リスト!$C$21="なたね"),IF(K21&lt;9,調査年-J21,調査年-J21-1),
IF(リスト!$C$21="さとうきび",IF(K21&gt;=4,調査年-J21,調査年-J21+1),
調査年-J21)))</f>
        <v>0</v>
      </c>
      <c r="AH21" s="252">
        <f t="shared" si="5"/>
        <v>0</v>
      </c>
      <c r="AI21" s="252">
        <f t="shared" si="6"/>
        <v>0</v>
      </c>
      <c r="AJ21" s="252">
        <f t="shared" si="7"/>
        <v>0</v>
      </c>
      <c r="AK21" s="252">
        <f t="shared" si="8"/>
        <v>0</v>
      </c>
      <c r="AL21" s="252">
        <f t="shared" si="9"/>
        <v>0</v>
      </c>
      <c r="AM21" s="252">
        <f t="shared" si="17"/>
        <v>0</v>
      </c>
      <c r="AN21" s="403"/>
      <c r="AO21" s="25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52">
        <f t="shared" si="10"/>
        <v>0</v>
      </c>
      <c r="AQ21" s="252">
        <f t="shared" si="11"/>
        <v>0</v>
      </c>
      <c r="AR21" s="252">
        <f t="shared" si="12"/>
        <v>0</v>
      </c>
      <c r="AS21" s="25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52">
        <f t="shared" si="13"/>
        <v>0</v>
      </c>
      <c r="AU21" s="252">
        <f t="shared" si="14"/>
        <v>0</v>
      </c>
      <c r="AV21" s="252">
        <f t="shared" si="15"/>
        <v>0</v>
      </c>
      <c r="AW21" s="252">
        <f t="shared" si="15"/>
        <v>0</v>
      </c>
      <c r="AX21" s="252">
        <f t="shared" si="15"/>
        <v>0</v>
      </c>
      <c r="AY21" s="725">
        <f t="shared" si="16"/>
        <v>0</v>
      </c>
      <c r="AZ21" s="690"/>
      <c r="BA21" s="690"/>
      <c r="BB21" s="690"/>
      <c r="BC21" s="690"/>
    </row>
    <row r="22" spans="3:55" s="46" customFormat="1" ht="30.75" customHeight="1">
      <c r="C22" s="744">
        <v>6</v>
      </c>
      <c r="D22" s="691"/>
      <c r="E22" s="778"/>
      <c r="F22" s="774"/>
      <c r="G22" s="2023"/>
      <c r="H22" s="2024"/>
      <c r="I22" s="683"/>
      <c r="J22" s="729"/>
      <c r="K22" s="684"/>
      <c r="L22" s="685"/>
      <c r="M22" s="685"/>
      <c r="N22" s="685"/>
      <c r="O22" s="685"/>
      <c r="P22" s="685"/>
      <c r="Q22" s="854"/>
      <c r="R22" s="1003"/>
      <c r="S22" s="1045"/>
      <c r="T22" s="686"/>
      <c r="U22" s="730"/>
      <c r="V22" s="731"/>
      <c r="W22" s="721"/>
      <c r="X22" s="732"/>
      <c r="Y22" s="733"/>
      <c r="Z22" s="777"/>
      <c r="AA22" s="688">
        <f t="shared" si="3"/>
        <v>0</v>
      </c>
      <c r="AB22" s="688">
        <f t="shared" si="18"/>
        <v>0</v>
      </c>
      <c r="AC22" s="688">
        <f t="shared" si="19"/>
        <v>0</v>
      </c>
      <c r="AD22" s="688">
        <f>IF(AA22=0,,VLOOKUP(AA22,リスト!DH:DI,2,0))</f>
        <v>0</v>
      </c>
      <c r="AE22" s="688">
        <f t="shared" si="4"/>
        <v>0</v>
      </c>
      <c r="AF22" s="689">
        <f>IF(AE22=0,,VLOOKUP(AE22,リスト!DK:DL,2,0))</f>
        <v>0</v>
      </c>
      <c r="AG22" s="688">
        <f>IF(AA22=0,,
IF(OR(リスト!$C$21="小麦",リスト!$C$21="二条大麦",リスト!$C$21="六条大麦",リスト!$C$21="はだか麦",リスト!$C$21="なたね"),IF(K22&lt;9,調査年-J22,調査年-J22-1),
IF(リスト!$C$21="さとうきび",IF(K22&gt;=4,調査年-J22,調査年-J22+1),
調査年-J22)))</f>
        <v>0</v>
      </c>
      <c r="AH22" s="252">
        <f t="shared" si="5"/>
        <v>0</v>
      </c>
      <c r="AI22" s="252">
        <f t="shared" si="6"/>
        <v>0</v>
      </c>
      <c r="AJ22" s="252">
        <f t="shared" si="7"/>
        <v>0</v>
      </c>
      <c r="AK22" s="252">
        <f t="shared" si="8"/>
        <v>0</v>
      </c>
      <c r="AL22" s="252">
        <f t="shared" si="9"/>
        <v>0</v>
      </c>
      <c r="AM22" s="252">
        <f t="shared" si="17"/>
        <v>0</v>
      </c>
      <c r="AN22" s="403"/>
      <c r="AO22" s="25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52">
        <f t="shared" si="10"/>
        <v>0</v>
      </c>
      <c r="AQ22" s="252">
        <f t="shared" si="11"/>
        <v>0</v>
      </c>
      <c r="AR22" s="252">
        <f t="shared" si="12"/>
        <v>0</v>
      </c>
      <c r="AS22" s="25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52">
        <f t="shared" si="13"/>
        <v>0</v>
      </c>
      <c r="AU22" s="252">
        <f t="shared" si="14"/>
        <v>0</v>
      </c>
      <c r="AV22" s="252">
        <f t="shared" si="15"/>
        <v>0</v>
      </c>
      <c r="AW22" s="252">
        <f t="shared" si="15"/>
        <v>0</v>
      </c>
      <c r="AX22" s="252">
        <f t="shared" si="15"/>
        <v>0</v>
      </c>
      <c r="AY22" s="725">
        <f t="shared" si="16"/>
        <v>0</v>
      </c>
      <c r="AZ22" s="690"/>
      <c r="BA22" s="690"/>
      <c r="BB22" s="690"/>
      <c r="BC22" s="690"/>
    </row>
    <row r="23" spans="3:55" s="46" customFormat="1" ht="30.75" customHeight="1">
      <c r="C23" s="744">
        <v>7</v>
      </c>
      <c r="D23" s="691"/>
      <c r="E23" s="778"/>
      <c r="F23" s="774"/>
      <c r="G23" s="2023"/>
      <c r="H23" s="2024"/>
      <c r="I23" s="683"/>
      <c r="J23" s="729"/>
      <c r="K23" s="684"/>
      <c r="L23" s="685"/>
      <c r="M23" s="685"/>
      <c r="N23" s="685"/>
      <c r="O23" s="685"/>
      <c r="P23" s="685"/>
      <c r="Q23" s="854"/>
      <c r="R23" s="1003"/>
      <c r="S23" s="1045"/>
      <c r="T23" s="686"/>
      <c r="U23" s="730"/>
      <c r="V23" s="731"/>
      <c r="W23" s="721"/>
      <c r="X23" s="732"/>
      <c r="Y23" s="733"/>
      <c r="Z23" s="777"/>
      <c r="AA23" s="688">
        <f t="shared" si="3"/>
        <v>0</v>
      </c>
      <c r="AB23" s="688">
        <f t="shared" si="18"/>
        <v>0</v>
      </c>
      <c r="AC23" s="688">
        <f t="shared" si="19"/>
        <v>0</v>
      </c>
      <c r="AD23" s="688">
        <f>IF(AA23=0,,VLOOKUP(AA23,リスト!DH:DI,2,0))</f>
        <v>0</v>
      </c>
      <c r="AE23" s="688">
        <f t="shared" si="4"/>
        <v>0</v>
      </c>
      <c r="AF23" s="689">
        <f>IF(AE23=0,,VLOOKUP(AE23,リスト!DK:DL,2,0))</f>
        <v>0</v>
      </c>
      <c r="AG23" s="688">
        <f>IF(AA23=0,,
IF(OR(リスト!$C$21="小麦",リスト!$C$21="二条大麦",リスト!$C$21="六条大麦",リスト!$C$21="はだか麦",リスト!$C$21="なたね"),IF(K23&lt;9,調査年-J23,調査年-J23-1),
IF(リスト!$C$21="さとうきび",IF(K23&gt;=4,調査年-J23,調査年-J23+1),
調査年-J23)))</f>
        <v>0</v>
      </c>
      <c r="AH23" s="252">
        <f t="shared" si="5"/>
        <v>0</v>
      </c>
      <c r="AI23" s="252">
        <f t="shared" si="6"/>
        <v>0</v>
      </c>
      <c r="AJ23" s="252">
        <f t="shared" si="7"/>
        <v>0</v>
      </c>
      <c r="AK23" s="252">
        <f t="shared" si="8"/>
        <v>0</v>
      </c>
      <c r="AL23" s="252">
        <f t="shared" si="9"/>
        <v>0</v>
      </c>
      <c r="AM23" s="252">
        <f t="shared" si="17"/>
        <v>0</v>
      </c>
      <c r="AN23" s="403"/>
      <c r="AO23" s="25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52">
        <f t="shared" si="10"/>
        <v>0</v>
      </c>
      <c r="AQ23" s="252">
        <f t="shared" si="11"/>
        <v>0</v>
      </c>
      <c r="AR23" s="252">
        <f t="shared" si="12"/>
        <v>0</v>
      </c>
      <c r="AS23" s="25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52">
        <f t="shared" si="13"/>
        <v>0</v>
      </c>
      <c r="AU23" s="252">
        <f t="shared" si="14"/>
        <v>0</v>
      </c>
      <c r="AV23" s="252">
        <f t="shared" si="15"/>
        <v>0</v>
      </c>
      <c r="AW23" s="252">
        <f t="shared" si="15"/>
        <v>0</v>
      </c>
      <c r="AX23" s="252">
        <f t="shared" si="15"/>
        <v>0</v>
      </c>
      <c r="AY23" s="725">
        <f t="shared" si="16"/>
        <v>0</v>
      </c>
      <c r="AZ23" s="690"/>
      <c r="BA23" s="690"/>
      <c r="BB23" s="690"/>
      <c r="BC23" s="690"/>
    </row>
    <row r="24" spans="3:55" s="46" customFormat="1" ht="30.75" customHeight="1">
      <c r="C24" s="744">
        <v>8</v>
      </c>
      <c r="D24" s="691"/>
      <c r="E24" s="778"/>
      <c r="F24" s="774"/>
      <c r="G24" s="2023"/>
      <c r="H24" s="2024"/>
      <c r="I24" s="683"/>
      <c r="J24" s="729"/>
      <c r="K24" s="684"/>
      <c r="L24" s="685"/>
      <c r="M24" s="685"/>
      <c r="N24" s="685"/>
      <c r="O24" s="685"/>
      <c r="P24" s="685"/>
      <c r="Q24" s="854"/>
      <c r="R24" s="1003"/>
      <c r="S24" s="1045"/>
      <c r="T24" s="686"/>
      <c r="U24" s="730"/>
      <c r="V24" s="731"/>
      <c r="W24" s="721"/>
      <c r="X24" s="732"/>
      <c r="Y24" s="733"/>
      <c r="Z24" s="777"/>
      <c r="AA24" s="688">
        <f t="shared" si="3"/>
        <v>0</v>
      </c>
      <c r="AB24" s="688">
        <f t="shared" si="18"/>
        <v>0</v>
      </c>
      <c r="AC24" s="688">
        <f t="shared" si="19"/>
        <v>0</v>
      </c>
      <c r="AD24" s="688">
        <f>IF(AA24=0,,VLOOKUP(AA24,リスト!DH:DI,2,0))</f>
        <v>0</v>
      </c>
      <c r="AE24" s="688">
        <f t="shared" si="4"/>
        <v>0</v>
      </c>
      <c r="AF24" s="689">
        <f>IF(AE24=0,,VLOOKUP(AE24,リスト!DK:DL,2,0))</f>
        <v>0</v>
      </c>
      <c r="AG24" s="688">
        <f>IF(AA24=0,,
IF(OR(リスト!$C$21="小麦",リスト!$C$21="二条大麦",リスト!$C$21="六条大麦",リスト!$C$21="はだか麦",リスト!$C$21="なたね"),IF(K24&lt;9,調査年-J24,調査年-J24-1),
IF(リスト!$C$21="さとうきび",IF(K24&gt;=4,調査年-J24,調査年-J24+1),
調査年-J24)))</f>
        <v>0</v>
      </c>
      <c r="AH24" s="252">
        <f t="shared" si="5"/>
        <v>0</v>
      </c>
      <c r="AI24" s="252">
        <f t="shared" si="6"/>
        <v>0</v>
      </c>
      <c r="AJ24" s="252">
        <f t="shared" si="7"/>
        <v>0</v>
      </c>
      <c r="AK24" s="252">
        <f t="shared" si="8"/>
        <v>0</v>
      </c>
      <c r="AL24" s="252">
        <f t="shared" si="9"/>
        <v>0</v>
      </c>
      <c r="AM24" s="252">
        <f t="shared" si="17"/>
        <v>0</v>
      </c>
      <c r="AN24" s="403"/>
      <c r="AO24" s="25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52">
        <f t="shared" si="10"/>
        <v>0</v>
      </c>
      <c r="AQ24" s="252">
        <f t="shared" si="11"/>
        <v>0</v>
      </c>
      <c r="AR24" s="252">
        <f t="shared" si="12"/>
        <v>0</v>
      </c>
      <c r="AS24" s="25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52">
        <f t="shared" si="13"/>
        <v>0</v>
      </c>
      <c r="AU24" s="252">
        <f t="shared" si="14"/>
        <v>0</v>
      </c>
      <c r="AV24" s="252">
        <f t="shared" si="15"/>
        <v>0</v>
      </c>
      <c r="AW24" s="252">
        <f t="shared" si="15"/>
        <v>0</v>
      </c>
      <c r="AX24" s="252">
        <f t="shared" si="15"/>
        <v>0</v>
      </c>
      <c r="AY24" s="725">
        <f t="shared" si="16"/>
        <v>0</v>
      </c>
      <c r="AZ24" s="690"/>
      <c r="BA24" s="690"/>
      <c r="BB24" s="690"/>
      <c r="BC24" s="690"/>
    </row>
    <row r="25" spans="3:55" s="46" customFormat="1" ht="30.75" customHeight="1">
      <c r="C25" s="744">
        <v>9</v>
      </c>
      <c r="D25" s="691"/>
      <c r="E25" s="778"/>
      <c r="F25" s="774"/>
      <c r="G25" s="2023"/>
      <c r="H25" s="2024"/>
      <c r="I25" s="683"/>
      <c r="J25" s="729"/>
      <c r="K25" s="684"/>
      <c r="L25" s="685"/>
      <c r="M25" s="685"/>
      <c r="N25" s="685"/>
      <c r="O25" s="685"/>
      <c r="P25" s="685"/>
      <c r="Q25" s="854"/>
      <c r="R25" s="1003"/>
      <c r="S25" s="1045"/>
      <c r="T25" s="686"/>
      <c r="U25" s="730"/>
      <c r="V25" s="731"/>
      <c r="W25" s="721"/>
      <c r="X25" s="732"/>
      <c r="Y25" s="733"/>
      <c r="Z25" s="777"/>
      <c r="AA25" s="688">
        <f t="shared" si="3"/>
        <v>0</v>
      </c>
      <c r="AB25" s="688">
        <f t="shared" si="18"/>
        <v>0</v>
      </c>
      <c r="AC25" s="688">
        <f t="shared" si="19"/>
        <v>0</v>
      </c>
      <c r="AD25" s="688">
        <f>IF(AA25=0,,VLOOKUP(AA25,リスト!DH:DI,2,0))</f>
        <v>0</v>
      </c>
      <c r="AE25" s="688">
        <f t="shared" si="4"/>
        <v>0</v>
      </c>
      <c r="AF25" s="689">
        <f>IF(AE25=0,,VLOOKUP(AE25,リスト!DK:DL,2,0))</f>
        <v>0</v>
      </c>
      <c r="AG25" s="688">
        <f>IF(AA25=0,,
IF(OR(リスト!$C$21="小麦",リスト!$C$21="二条大麦",リスト!$C$21="六条大麦",リスト!$C$21="はだか麦",リスト!$C$21="なたね"),IF(K25&lt;9,調査年-J25,調査年-J25-1),
IF(リスト!$C$21="さとうきび",IF(K25&gt;=4,調査年-J25,調査年-J25+1),
調査年-J25)))</f>
        <v>0</v>
      </c>
      <c r="AH25" s="252">
        <f t="shared" si="5"/>
        <v>0</v>
      </c>
      <c r="AI25" s="252">
        <f t="shared" si="6"/>
        <v>0</v>
      </c>
      <c r="AJ25" s="252">
        <f t="shared" si="7"/>
        <v>0</v>
      </c>
      <c r="AK25" s="252">
        <f t="shared" si="8"/>
        <v>0</v>
      </c>
      <c r="AL25" s="252">
        <f t="shared" si="9"/>
        <v>0</v>
      </c>
      <c r="AM25" s="252">
        <f t="shared" si="17"/>
        <v>0</v>
      </c>
      <c r="AN25" s="403"/>
      <c r="AO25" s="25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52">
        <f t="shared" si="10"/>
        <v>0</v>
      </c>
      <c r="AQ25" s="252">
        <f t="shared" si="11"/>
        <v>0</v>
      </c>
      <c r="AR25" s="252">
        <f t="shared" si="12"/>
        <v>0</v>
      </c>
      <c r="AS25" s="25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52">
        <f t="shared" si="13"/>
        <v>0</v>
      </c>
      <c r="AU25" s="252">
        <f t="shared" si="14"/>
        <v>0</v>
      </c>
      <c r="AV25" s="252">
        <f t="shared" si="15"/>
        <v>0</v>
      </c>
      <c r="AW25" s="252">
        <f t="shared" si="15"/>
        <v>0</v>
      </c>
      <c r="AX25" s="252">
        <f t="shared" si="15"/>
        <v>0</v>
      </c>
      <c r="AY25" s="725">
        <f t="shared" si="16"/>
        <v>0</v>
      </c>
      <c r="AZ25" s="690"/>
      <c r="BA25" s="690"/>
      <c r="BB25" s="690"/>
      <c r="BC25" s="690"/>
    </row>
    <row r="26" spans="3:55" s="46" customFormat="1" ht="30.75" customHeight="1">
      <c r="C26" s="744">
        <v>10</v>
      </c>
      <c r="D26" s="691"/>
      <c r="E26" s="778"/>
      <c r="F26" s="774"/>
      <c r="G26" s="2023"/>
      <c r="H26" s="2024"/>
      <c r="I26" s="683"/>
      <c r="J26" s="729"/>
      <c r="K26" s="684"/>
      <c r="L26" s="685"/>
      <c r="M26" s="685"/>
      <c r="N26" s="685"/>
      <c r="O26" s="685"/>
      <c r="P26" s="685"/>
      <c r="Q26" s="854"/>
      <c r="R26" s="1003"/>
      <c r="S26" s="1045"/>
      <c r="T26" s="686"/>
      <c r="U26" s="730"/>
      <c r="V26" s="731"/>
      <c r="W26" s="721"/>
      <c r="X26" s="732"/>
      <c r="Y26" s="733"/>
      <c r="Z26" s="777"/>
      <c r="AA26" s="688">
        <f t="shared" si="3"/>
        <v>0</v>
      </c>
      <c r="AB26" s="688">
        <f t="shared" si="18"/>
        <v>0</v>
      </c>
      <c r="AC26" s="688">
        <f t="shared" si="19"/>
        <v>0</v>
      </c>
      <c r="AD26" s="688">
        <f>IF(AA26=0,,VLOOKUP(AA26,リスト!DH:DI,2,0))</f>
        <v>0</v>
      </c>
      <c r="AE26" s="688">
        <f t="shared" si="4"/>
        <v>0</v>
      </c>
      <c r="AF26" s="689">
        <f>IF(AE26=0,,VLOOKUP(AE26,リスト!DK:DL,2,0))</f>
        <v>0</v>
      </c>
      <c r="AG26" s="688">
        <f>IF(AA26=0,,
IF(OR(リスト!$C$21="小麦",リスト!$C$21="二条大麦",リスト!$C$21="六条大麦",リスト!$C$21="はだか麦",リスト!$C$21="なたね"),IF(K26&lt;9,調査年-J26,調査年-J26-1),
IF(リスト!$C$21="さとうきび",IF(K26&gt;=4,調査年-J26,調査年-J26+1),
調査年-J26)))</f>
        <v>0</v>
      </c>
      <c r="AH26" s="252">
        <f t="shared" si="5"/>
        <v>0</v>
      </c>
      <c r="AI26" s="252">
        <f t="shared" si="6"/>
        <v>0</v>
      </c>
      <c r="AJ26" s="252">
        <f t="shared" si="7"/>
        <v>0</v>
      </c>
      <c r="AK26" s="252">
        <f t="shared" si="8"/>
        <v>0</v>
      </c>
      <c r="AL26" s="252">
        <f t="shared" si="9"/>
        <v>0</v>
      </c>
      <c r="AM26" s="252">
        <f t="shared" si="17"/>
        <v>0</v>
      </c>
      <c r="AN26" s="403"/>
      <c r="AO26" s="25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52">
        <f t="shared" si="10"/>
        <v>0</v>
      </c>
      <c r="AQ26" s="252">
        <f t="shared" si="11"/>
        <v>0</v>
      </c>
      <c r="AR26" s="252">
        <f t="shared" si="12"/>
        <v>0</v>
      </c>
      <c r="AS26" s="25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52">
        <f t="shared" si="13"/>
        <v>0</v>
      </c>
      <c r="AU26" s="252">
        <f t="shared" si="14"/>
        <v>0</v>
      </c>
      <c r="AV26" s="252">
        <f t="shared" si="15"/>
        <v>0</v>
      </c>
      <c r="AW26" s="252">
        <f t="shared" si="15"/>
        <v>0</v>
      </c>
      <c r="AX26" s="252">
        <f t="shared" si="15"/>
        <v>0</v>
      </c>
      <c r="AY26" s="725">
        <f t="shared" si="16"/>
        <v>0</v>
      </c>
      <c r="AZ26" s="690"/>
      <c r="BA26" s="690"/>
      <c r="BB26" s="690"/>
      <c r="BC26" s="690"/>
    </row>
    <row r="27" spans="3:55" s="46" customFormat="1" ht="30.75" customHeight="1">
      <c r="C27" s="744">
        <v>11</v>
      </c>
      <c r="D27" s="691"/>
      <c r="E27" s="778"/>
      <c r="F27" s="774"/>
      <c r="G27" s="2023"/>
      <c r="H27" s="2024"/>
      <c r="I27" s="683"/>
      <c r="J27" s="729"/>
      <c r="K27" s="684"/>
      <c r="L27" s="685"/>
      <c r="M27" s="685"/>
      <c r="N27" s="685"/>
      <c r="O27" s="685"/>
      <c r="P27" s="685"/>
      <c r="Q27" s="854"/>
      <c r="R27" s="1003"/>
      <c r="S27" s="1045"/>
      <c r="T27" s="686"/>
      <c r="U27" s="730"/>
      <c r="V27" s="731"/>
      <c r="W27" s="721"/>
      <c r="X27" s="732"/>
      <c r="Y27" s="733"/>
      <c r="Z27" s="777"/>
      <c r="AA27" s="688">
        <f t="shared" si="3"/>
        <v>0</v>
      </c>
      <c r="AB27" s="688">
        <f t="shared" si="18"/>
        <v>0</v>
      </c>
      <c r="AC27" s="688">
        <f t="shared" si="19"/>
        <v>0</v>
      </c>
      <c r="AD27" s="688">
        <f>IF(AA27=0,,VLOOKUP(AA27,リスト!DH:DI,2,0))</f>
        <v>0</v>
      </c>
      <c r="AE27" s="688">
        <f t="shared" si="4"/>
        <v>0</v>
      </c>
      <c r="AF27" s="689">
        <f>IF(AE27=0,,VLOOKUP(AE27,リスト!DK:DL,2,0))</f>
        <v>0</v>
      </c>
      <c r="AG27" s="688">
        <f>IF(AA27=0,,
IF(OR(リスト!$C$21="小麦",リスト!$C$21="二条大麦",リスト!$C$21="六条大麦",リスト!$C$21="はだか麦",リスト!$C$21="なたね"),IF(K27&lt;9,調査年-J27,調査年-J27-1),
IF(リスト!$C$21="さとうきび",IF(K27&gt;=4,調査年-J27,調査年-J27+1),
調査年-J27)))</f>
        <v>0</v>
      </c>
      <c r="AH27" s="252">
        <f t="shared" si="5"/>
        <v>0</v>
      </c>
      <c r="AI27" s="252">
        <f t="shared" si="6"/>
        <v>0</v>
      </c>
      <c r="AJ27" s="252">
        <f t="shared" si="7"/>
        <v>0</v>
      </c>
      <c r="AK27" s="252">
        <f t="shared" si="8"/>
        <v>0</v>
      </c>
      <c r="AL27" s="252">
        <f t="shared" si="9"/>
        <v>0</v>
      </c>
      <c r="AM27" s="252">
        <f t="shared" si="17"/>
        <v>0</v>
      </c>
      <c r="AN27" s="403"/>
      <c r="AO27" s="25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52">
        <f t="shared" si="10"/>
        <v>0</v>
      </c>
      <c r="AQ27" s="252">
        <f t="shared" si="11"/>
        <v>0</v>
      </c>
      <c r="AR27" s="252">
        <f t="shared" si="12"/>
        <v>0</v>
      </c>
      <c r="AS27" s="25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52">
        <f t="shared" si="13"/>
        <v>0</v>
      </c>
      <c r="AU27" s="252">
        <f t="shared" si="14"/>
        <v>0</v>
      </c>
      <c r="AV27" s="252">
        <f t="shared" si="15"/>
        <v>0</v>
      </c>
      <c r="AW27" s="252">
        <f t="shared" si="15"/>
        <v>0</v>
      </c>
      <c r="AX27" s="252">
        <f t="shared" si="15"/>
        <v>0</v>
      </c>
      <c r="AY27" s="725">
        <f t="shared" si="16"/>
        <v>0</v>
      </c>
      <c r="AZ27" s="690"/>
      <c r="BA27" s="690"/>
      <c r="BB27" s="690"/>
      <c r="BC27" s="690"/>
    </row>
    <row r="28" spans="3:55" s="46" customFormat="1" ht="30.75" customHeight="1">
      <c r="C28" s="744">
        <v>12</v>
      </c>
      <c r="D28" s="691"/>
      <c r="E28" s="778"/>
      <c r="F28" s="774"/>
      <c r="G28" s="2023"/>
      <c r="H28" s="2024"/>
      <c r="I28" s="683"/>
      <c r="J28" s="729"/>
      <c r="K28" s="684"/>
      <c r="L28" s="685"/>
      <c r="M28" s="685"/>
      <c r="N28" s="685"/>
      <c r="O28" s="685"/>
      <c r="P28" s="685"/>
      <c r="Q28" s="854"/>
      <c r="R28" s="1003"/>
      <c r="S28" s="1045"/>
      <c r="T28" s="686"/>
      <c r="U28" s="730"/>
      <c r="V28" s="731"/>
      <c r="W28" s="721"/>
      <c r="X28" s="732"/>
      <c r="Y28" s="733"/>
      <c r="Z28" s="777"/>
      <c r="AA28" s="688">
        <f t="shared" si="3"/>
        <v>0</v>
      </c>
      <c r="AB28" s="688">
        <f t="shared" si="18"/>
        <v>0</v>
      </c>
      <c r="AC28" s="688">
        <f t="shared" si="19"/>
        <v>0</v>
      </c>
      <c r="AD28" s="688">
        <f>IF(AA28=0,,VLOOKUP(AA28,リスト!DH:DI,2,0))</f>
        <v>0</v>
      </c>
      <c r="AE28" s="688">
        <f t="shared" si="4"/>
        <v>0</v>
      </c>
      <c r="AF28" s="689">
        <f>IF(AE28=0,,VLOOKUP(AE28,リスト!DK:DL,2,0))</f>
        <v>0</v>
      </c>
      <c r="AG28" s="688">
        <f>IF(AA28=0,,
IF(OR(リスト!$C$21="小麦",リスト!$C$21="二条大麦",リスト!$C$21="六条大麦",リスト!$C$21="はだか麦",リスト!$C$21="なたね"),IF(K28&lt;9,調査年-J28,調査年-J28-1),
IF(リスト!$C$21="さとうきび",IF(K28&gt;=4,調査年-J28,調査年-J28+1),
調査年-J28)))</f>
        <v>0</v>
      </c>
      <c r="AH28" s="252">
        <f t="shared" si="5"/>
        <v>0</v>
      </c>
      <c r="AI28" s="252">
        <f t="shared" si="6"/>
        <v>0</v>
      </c>
      <c r="AJ28" s="252">
        <f t="shared" si="7"/>
        <v>0</v>
      </c>
      <c r="AK28" s="252">
        <f t="shared" si="8"/>
        <v>0</v>
      </c>
      <c r="AL28" s="252">
        <f t="shared" si="9"/>
        <v>0</v>
      </c>
      <c r="AM28" s="252">
        <f t="shared" si="17"/>
        <v>0</v>
      </c>
      <c r="AN28" s="403"/>
      <c r="AO28" s="25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52">
        <f t="shared" si="10"/>
        <v>0</v>
      </c>
      <c r="AQ28" s="252">
        <f t="shared" si="11"/>
        <v>0</v>
      </c>
      <c r="AR28" s="252">
        <f t="shared" si="12"/>
        <v>0</v>
      </c>
      <c r="AS28" s="25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52">
        <f t="shared" si="13"/>
        <v>0</v>
      </c>
      <c r="AU28" s="252">
        <f t="shared" si="14"/>
        <v>0</v>
      </c>
      <c r="AV28" s="252">
        <f t="shared" si="15"/>
        <v>0</v>
      </c>
      <c r="AW28" s="252">
        <f t="shared" si="15"/>
        <v>0</v>
      </c>
      <c r="AX28" s="252">
        <f t="shared" si="15"/>
        <v>0</v>
      </c>
      <c r="AY28" s="725">
        <f t="shared" si="16"/>
        <v>0</v>
      </c>
      <c r="AZ28" s="690"/>
      <c r="BA28" s="690"/>
      <c r="BB28" s="690"/>
      <c r="BC28" s="690"/>
    </row>
    <row r="29" spans="3:55" s="46" customFormat="1" ht="30.75" customHeight="1">
      <c r="C29" s="744">
        <v>13</v>
      </c>
      <c r="D29" s="691"/>
      <c r="E29" s="778"/>
      <c r="F29" s="774"/>
      <c r="G29" s="2023"/>
      <c r="H29" s="2024"/>
      <c r="I29" s="683"/>
      <c r="J29" s="729"/>
      <c r="K29" s="684"/>
      <c r="L29" s="685"/>
      <c r="M29" s="685"/>
      <c r="N29" s="685"/>
      <c r="O29" s="685"/>
      <c r="P29" s="685"/>
      <c r="Q29" s="854"/>
      <c r="R29" s="1003"/>
      <c r="S29" s="1045"/>
      <c r="T29" s="686"/>
      <c r="U29" s="730"/>
      <c r="V29" s="731"/>
      <c r="W29" s="721"/>
      <c r="X29" s="732"/>
      <c r="Y29" s="733"/>
      <c r="Z29" s="777"/>
      <c r="AA29" s="688">
        <f t="shared" si="3"/>
        <v>0</v>
      </c>
      <c r="AB29" s="688">
        <f t="shared" si="18"/>
        <v>0</v>
      </c>
      <c r="AC29" s="688">
        <f t="shared" si="19"/>
        <v>0</v>
      </c>
      <c r="AD29" s="688">
        <f>IF(AA29=0,,VLOOKUP(AA29,リスト!DH:DI,2,0))</f>
        <v>0</v>
      </c>
      <c r="AE29" s="688">
        <f t="shared" si="4"/>
        <v>0</v>
      </c>
      <c r="AF29" s="689">
        <f>IF(AE29=0,,VLOOKUP(AE29,リスト!DK:DL,2,0))</f>
        <v>0</v>
      </c>
      <c r="AG29" s="688">
        <f>IF(AA29=0,,
IF(OR(リスト!$C$21="小麦",リスト!$C$21="二条大麦",リスト!$C$21="六条大麦",リスト!$C$21="はだか麦",リスト!$C$21="なたね"),IF(K29&lt;9,調査年-J29,調査年-J29-1),
IF(リスト!$C$21="さとうきび",IF(K29&gt;=4,調査年-J29,調査年-J29+1),
調査年-J29)))</f>
        <v>0</v>
      </c>
      <c r="AH29" s="252">
        <f t="shared" si="5"/>
        <v>0</v>
      </c>
      <c r="AI29" s="252">
        <f t="shared" si="6"/>
        <v>0</v>
      </c>
      <c r="AJ29" s="252">
        <f t="shared" si="7"/>
        <v>0</v>
      </c>
      <c r="AK29" s="252">
        <f t="shared" si="8"/>
        <v>0</v>
      </c>
      <c r="AL29" s="252">
        <f t="shared" si="9"/>
        <v>0</v>
      </c>
      <c r="AM29" s="252">
        <f t="shared" si="17"/>
        <v>0</v>
      </c>
      <c r="AN29" s="403"/>
      <c r="AO29" s="25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52">
        <f t="shared" si="10"/>
        <v>0</v>
      </c>
      <c r="AQ29" s="252">
        <f t="shared" si="11"/>
        <v>0</v>
      </c>
      <c r="AR29" s="252">
        <f t="shared" si="12"/>
        <v>0</v>
      </c>
      <c r="AS29" s="25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52">
        <f t="shared" si="13"/>
        <v>0</v>
      </c>
      <c r="AU29" s="252">
        <f t="shared" si="14"/>
        <v>0</v>
      </c>
      <c r="AV29" s="252">
        <f t="shared" si="15"/>
        <v>0</v>
      </c>
      <c r="AW29" s="252">
        <f t="shared" si="15"/>
        <v>0</v>
      </c>
      <c r="AX29" s="252">
        <f t="shared" si="15"/>
        <v>0</v>
      </c>
      <c r="AY29" s="725">
        <f t="shared" si="16"/>
        <v>0</v>
      </c>
      <c r="AZ29" s="690"/>
      <c r="BA29" s="690"/>
      <c r="BB29" s="690"/>
      <c r="BC29" s="690"/>
    </row>
    <row r="30" spans="3:55" s="46" customFormat="1" ht="30.75" customHeight="1">
      <c r="C30" s="744">
        <v>14</v>
      </c>
      <c r="D30" s="691"/>
      <c r="E30" s="778"/>
      <c r="F30" s="774"/>
      <c r="G30" s="2023"/>
      <c r="H30" s="2024"/>
      <c r="I30" s="683"/>
      <c r="J30" s="729"/>
      <c r="K30" s="684"/>
      <c r="L30" s="685"/>
      <c r="M30" s="685"/>
      <c r="N30" s="685"/>
      <c r="O30" s="685"/>
      <c r="P30" s="685"/>
      <c r="Q30" s="854"/>
      <c r="R30" s="1003"/>
      <c r="S30" s="1045"/>
      <c r="T30" s="686"/>
      <c r="U30" s="730"/>
      <c r="V30" s="731"/>
      <c r="W30" s="721"/>
      <c r="X30" s="732"/>
      <c r="Y30" s="733"/>
      <c r="Z30" s="777"/>
      <c r="AA30" s="688">
        <f t="shared" si="3"/>
        <v>0</v>
      </c>
      <c r="AB30" s="688">
        <f t="shared" si="18"/>
        <v>0</v>
      </c>
      <c r="AC30" s="688">
        <f t="shared" si="19"/>
        <v>0</v>
      </c>
      <c r="AD30" s="688">
        <f>IF(AA30=0,,VLOOKUP(AA30,リスト!DH:DI,2,0))</f>
        <v>0</v>
      </c>
      <c r="AE30" s="688">
        <f t="shared" si="4"/>
        <v>0</v>
      </c>
      <c r="AF30" s="689">
        <f>IF(AE30=0,,VLOOKUP(AE30,リスト!DK:DL,2,0))</f>
        <v>0</v>
      </c>
      <c r="AG30" s="688">
        <f>IF(AA30=0,,
IF(OR(リスト!$C$21="小麦",リスト!$C$21="二条大麦",リスト!$C$21="六条大麦",リスト!$C$21="はだか麦",リスト!$C$21="なたね"),IF(K30&lt;9,調査年-J30,調査年-J30-1),
IF(リスト!$C$21="さとうきび",IF(K30&gt;=4,調査年-J30,調査年-J30+1),
調査年-J30)))</f>
        <v>0</v>
      </c>
      <c r="AH30" s="252">
        <f t="shared" si="5"/>
        <v>0</v>
      </c>
      <c r="AI30" s="252">
        <f t="shared" si="6"/>
        <v>0</v>
      </c>
      <c r="AJ30" s="252">
        <f t="shared" si="7"/>
        <v>0</v>
      </c>
      <c r="AK30" s="252">
        <f t="shared" si="8"/>
        <v>0</v>
      </c>
      <c r="AL30" s="252">
        <f t="shared" si="9"/>
        <v>0</v>
      </c>
      <c r="AM30" s="252">
        <f t="shared" si="17"/>
        <v>0</v>
      </c>
      <c r="AN30" s="403"/>
      <c r="AO30" s="25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52">
        <f t="shared" si="10"/>
        <v>0</v>
      </c>
      <c r="AQ30" s="252">
        <f t="shared" si="11"/>
        <v>0</v>
      </c>
      <c r="AR30" s="252">
        <f t="shared" si="12"/>
        <v>0</v>
      </c>
      <c r="AS30" s="25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52">
        <f t="shared" si="13"/>
        <v>0</v>
      </c>
      <c r="AU30" s="252">
        <f t="shared" si="14"/>
        <v>0</v>
      </c>
      <c r="AV30" s="252">
        <f t="shared" si="15"/>
        <v>0</v>
      </c>
      <c r="AW30" s="252">
        <f t="shared" si="15"/>
        <v>0</v>
      </c>
      <c r="AX30" s="252">
        <f t="shared" si="15"/>
        <v>0</v>
      </c>
      <c r="AY30" s="725">
        <f t="shared" si="16"/>
        <v>0</v>
      </c>
      <c r="AZ30" s="690"/>
      <c r="BA30" s="690"/>
      <c r="BB30" s="690"/>
      <c r="BC30" s="690"/>
    </row>
    <row r="31" spans="3:55" s="46" customFormat="1" ht="30.75" customHeight="1" collapsed="1" thickBot="1">
      <c r="C31" s="779">
        <v>15</v>
      </c>
      <c r="D31" s="691"/>
      <c r="E31" s="778"/>
      <c r="F31" s="774"/>
      <c r="G31" s="2023"/>
      <c r="H31" s="2024"/>
      <c r="I31" s="683"/>
      <c r="J31" s="729"/>
      <c r="K31" s="684"/>
      <c r="L31" s="685"/>
      <c r="M31" s="685"/>
      <c r="N31" s="685"/>
      <c r="O31" s="685"/>
      <c r="P31" s="685"/>
      <c r="Q31" s="854"/>
      <c r="R31" s="1003"/>
      <c r="S31" s="1045"/>
      <c r="T31" s="686"/>
      <c r="U31" s="730"/>
      <c r="V31" s="731"/>
      <c r="W31" s="721"/>
      <c r="X31" s="780"/>
      <c r="Y31" s="781"/>
      <c r="Z31" s="777"/>
      <c r="AA31" s="688">
        <f t="shared" si="3"/>
        <v>0</v>
      </c>
      <c r="AB31" s="688">
        <f t="shared" si="18"/>
        <v>0</v>
      </c>
      <c r="AC31" s="688">
        <f t="shared" si="19"/>
        <v>0</v>
      </c>
      <c r="AD31" s="688">
        <f>IF(AA31=0,,VLOOKUP(AA31,リスト!DH:DI,2,0))</f>
        <v>0</v>
      </c>
      <c r="AE31" s="688">
        <f t="shared" si="4"/>
        <v>0</v>
      </c>
      <c r="AF31" s="689">
        <f>IF(AE31=0,,VLOOKUP(AE31,リスト!DK:DL,2,0))</f>
        <v>0</v>
      </c>
      <c r="AG31" s="688">
        <f>IF(AA31=0,,
IF(OR(リスト!$C$21="小麦",リスト!$C$21="二条大麦",リスト!$C$21="六条大麦",リスト!$C$21="はだか麦",リスト!$C$21="なたね"),IF(K31&lt;9,調査年-J31,調査年-J31-1),
IF(リスト!$C$21="さとうきび",IF(K31&gt;=4,調査年-J31,調査年-J31+1),
調査年-J31)))</f>
        <v>0</v>
      </c>
      <c r="AH31" s="252">
        <f t="shared" si="5"/>
        <v>0</v>
      </c>
      <c r="AI31" s="252">
        <f t="shared" si="6"/>
        <v>0</v>
      </c>
      <c r="AJ31" s="252">
        <f t="shared" si="7"/>
        <v>0</v>
      </c>
      <c r="AK31" s="252">
        <f t="shared" si="8"/>
        <v>0</v>
      </c>
      <c r="AL31" s="252">
        <f t="shared" si="9"/>
        <v>0</v>
      </c>
      <c r="AM31" s="252">
        <f t="shared" si="17"/>
        <v>0</v>
      </c>
      <c r="AN31" s="403"/>
      <c r="AO31" s="25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52">
        <f t="shared" si="10"/>
        <v>0</v>
      </c>
      <c r="AQ31" s="252">
        <f t="shared" si="11"/>
        <v>0</v>
      </c>
      <c r="AR31" s="252">
        <f t="shared" si="12"/>
        <v>0</v>
      </c>
      <c r="AS31" s="25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52">
        <f t="shared" si="13"/>
        <v>0</v>
      </c>
      <c r="AU31" s="252">
        <f t="shared" si="14"/>
        <v>0</v>
      </c>
      <c r="AV31" s="252">
        <f t="shared" si="15"/>
        <v>0</v>
      </c>
      <c r="AW31" s="252">
        <f t="shared" si="15"/>
        <v>0</v>
      </c>
      <c r="AX31" s="252">
        <f t="shared" si="15"/>
        <v>0</v>
      </c>
      <c r="AY31" s="725">
        <f t="shared" si="16"/>
        <v>0</v>
      </c>
      <c r="AZ31" s="690"/>
      <c r="BA31" s="690"/>
      <c r="BB31" s="690"/>
      <c r="BC31" s="690"/>
    </row>
    <row r="32" spans="3:55" s="46" customFormat="1" ht="30.75" hidden="1" customHeight="1" outlineLevel="1">
      <c r="C32" s="779">
        <v>16</v>
      </c>
      <c r="D32" s="691"/>
      <c r="E32" s="778"/>
      <c r="F32" s="774"/>
      <c r="G32" s="2023"/>
      <c r="H32" s="2024"/>
      <c r="I32" s="683"/>
      <c r="J32" s="729"/>
      <c r="K32" s="684"/>
      <c r="L32" s="685"/>
      <c r="M32" s="685"/>
      <c r="N32" s="685"/>
      <c r="O32" s="685"/>
      <c r="P32" s="685"/>
      <c r="Q32" s="854"/>
      <c r="R32" s="1003"/>
      <c r="S32" s="1045"/>
      <c r="T32" s="686"/>
      <c r="U32" s="730"/>
      <c r="V32" s="731"/>
      <c r="W32" s="721"/>
      <c r="X32" s="780"/>
      <c r="Y32" s="781"/>
      <c r="Z32" s="777"/>
      <c r="AA32" s="688">
        <f t="shared" si="3"/>
        <v>0</v>
      </c>
      <c r="AB32" s="688">
        <f t="shared" si="18"/>
        <v>0</v>
      </c>
      <c r="AC32" s="688">
        <f t="shared" si="19"/>
        <v>0</v>
      </c>
      <c r="AD32" s="688">
        <f>IF(AA32=0,,VLOOKUP(AA32,リスト!DH:DI,2,0))</f>
        <v>0</v>
      </c>
      <c r="AE32" s="688">
        <f t="shared" si="4"/>
        <v>0</v>
      </c>
      <c r="AF32" s="689">
        <f>IF(AE32=0,,VLOOKUP(AE32,リスト!DK:DL,2,0))</f>
        <v>0</v>
      </c>
      <c r="AG32" s="688">
        <f>IF(AA32=0,,
IF(OR(リスト!$C$21="小麦",リスト!$C$21="二条大麦",リスト!$C$21="六条大麦",リスト!$C$21="はだか麦",リスト!$C$21="なたね"),IF(K32&lt;9,調査年-J32,調査年-J32-1),
IF(リスト!$C$21="さとうきび",IF(K32&gt;=4,調査年-J32,調査年-J32+1),
調査年-J32)))</f>
        <v>0</v>
      </c>
      <c r="AH32" s="252">
        <f t="shared" si="5"/>
        <v>0</v>
      </c>
      <c r="AI32" s="252">
        <f t="shared" si="6"/>
        <v>0</v>
      </c>
      <c r="AJ32" s="252">
        <f t="shared" si="7"/>
        <v>0</v>
      </c>
      <c r="AK32" s="252">
        <f t="shared" si="8"/>
        <v>0</v>
      </c>
      <c r="AL32" s="252">
        <f t="shared" si="9"/>
        <v>0</v>
      </c>
      <c r="AM32" s="252">
        <f t="shared" si="17"/>
        <v>0</v>
      </c>
      <c r="AN32" s="403"/>
      <c r="AO32" s="25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52">
        <f t="shared" si="10"/>
        <v>0</v>
      </c>
      <c r="AQ32" s="252">
        <f t="shared" si="11"/>
        <v>0</v>
      </c>
      <c r="AR32" s="252">
        <f t="shared" si="12"/>
        <v>0</v>
      </c>
      <c r="AS32" s="25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52">
        <f t="shared" si="13"/>
        <v>0</v>
      </c>
      <c r="AU32" s="252">
        <f t="shared" si="14"/>
        <v>0</v>
      </c>
      <c r="AV32" s="252">
        <f t="shared" si="15"/>
        <v>0</v>
      </c>
      <c r="AW32" s="252">
        <f t="shared" si="15"/>
        <v>0</v>
      </c>
      <c r="AX32" s="252">
        <f t="shared" si="15"/>
        <v>0</v>
      </c>
      <c r="AY32" s="725">
        <f t="shared" si="16"/>
        <v>0</v>
      </c>
      <c r="AZ32" s="690"/>
      <c r="BA32" s="690"/>
      <c r="BB32" s="690"/>
      <c r="BC32" s="690"/>
    </row>
    <row r="33" spans="3:55" s="46" customFormat="1" ht="30.75" hidden="1" customHeight="1" outlineLevel="1">
      <c r="C33" s="744">
        <v>17</v>
      </c>
      <c r="D33" s="691"/>
      <c r="E33" s="778"/>
      <c r="F33" s="774"/>
      <c r="G33" s="2023"/>
      <c r="H33" s="2024"/>
      <c r="I33" s="683"/>
      <c r="J33" s="729"/>
      <c r="K33" s="684"/>
      <c r="L33" s="685"/>
      <c r="M33" s="685"/>
      <c r="N33" s="685"/>
      <c r="O33" s="685"/>
      <c r="P33" s="685"/>
      <c r="Q33" s="854"/>
      <c r="R33" s="1003"/>
      <c r="S33" s="1045"/>
      <c r="T33" s="686"/>
      <c r="U33" s="730"/>
      <c r="V33" s="731"/>
      <c r="W33" s="721"/>
      <c r="X33" s="780"/>
      <c r="Y33" s="781"/>
      <c r="Z33" s="777"/>
      <c r="AA33" s="688">
        <f t="shared" si="3"/>
        <v>0</v>
      </c>
      <c r="AB33" s="688">
        <f t="shared" si="18"/>
        <v>0</v>
      </c>
      <c r="AC33" s="688">
        <f t="shared" si="19"/>
        <v>0</v>
      </c>
      <c r="AD33" s="688">
        <f>IF(AA33=0,,VLOOKUP(AA33,リスト!DH:DI,2,0))</f>
        <v>0</v>
      </c>
      <c r="AE33" s="688">
        <f t="shared" si="4"/>
        <v>0</v>
      </c>
      <c r="AF33" s="689">
        <f>IF(AE33=0,,VLOOKUP(AE33,リスト!DK:DL,2,0))</f>
        <v>0</v>
      </c>
      <c r="AG33" s="688">
        <f>IF(AA33=0,,
IF(OR(リスト!$C$21="小麦",リスト!$C$21="二条大麦",リスト!$C$21="六条大麦",リスト!$C$21="はだか麦",リスト!$C$21="なたね"),IF(K33&lt;9,調査年-J33,調査年-J33-1),
IF(リスト!$C$21="さとうきび",IF(K33&gt;=4,調査年-J33,調査年-J33+1),
調査年-J33)))</f>
        <v>0</v>
      </c>
      <c r="AH33" s="252">
        <f t="shared" si="5"/>
        <v>0</v>
      </c>
      <c r="AI33" s="252">
        <f t="shared" si="6"/>
        <v>0</v>
      </c>
      <c r="AJ33" s="252">
        <f t="shared" si="7"/>
        <v>0</v>
      </c>
      <c r="AK33" s="252">
        <f t="shared" si="8"/>
        <v>0</v>
      </c>
      <c r="AL33" s="252">
        <f t="shared" si="9"/>
        <v>0</v>
      </c>
      <c r="AM33" s="252">
        <f t="shared" si="17"/>
        <v>0</v>
      </c>
      <c r="AN33" s="403"/>
      <c r="AO33" s="25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52">
        <f t="shared" si="10"/>
        <v>0</v>
      </c>
      <c r="AQ33" s="252">
        <f t="shared" si="11"/>
        <v>0</v>
      </c>
      <c r="AR33" s="252">
        <f t="shared" si="12"/>
        <v>0</v>
      </c>
      <c r="AS33" s="25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52">
        <f t="shared" si="13"/>
        <v>0</v>
      </c>
      <c r="AU33" s="252">
        <f t="shared" si="14"/>
        <v>0</v>
      </c>
      <c r="AV33" s="252">
        <f t="shared" si="15"/>
        <v>0</v>
      </c>
      <c r="AW33" s="252">
        <f t="shared" si="15"/>
        <v>0</v>
      </c>
      <c r="AX33" s="252">
        <f t="shared" si="15"/>
        <v>0</v>
      </c>
      <c r="AY33" s="725">
        <f t="shared" si="16"/>
        <v>0</v>
      </c>
      <c r="AZ33" s="690"/>
      <c r="BA33" s="690"/>
      <c r="BB33" s="690"/>
      <c r="BC33" s="690"/>
    </row>
    <row r="34" spans="3:55" s="46" customFormat="1" ht="30.75" hidden="1" customHeight="1" outlineLevel="1">
      <c r="C34" s="744">
        <v>18</v>
      </c>
      <c r="D34" s="691"/>
      <c r="E34" s="778"/>
      <c r="F34" s="774"/>
      <c r="G34" s="2023"/>
      <c r="H34" s="2024"/>
      <c r="I34" s="683"/>
      <c r="J34" s="729"/>
      <c r="K34" s="684"/>
      <c r="L34" s="685"/>
      <c r="M34" s="685"/>
      <c r="N34" s="685"/>
      <c r="O34" s="685"/>
      <c r="P34" s="685"/>
      <c r="Q34" s="854"/>
      <c r="R34" s="1003"/>
      <c r="S34" s="1045"/>
      <c r="T34" s="686"/>
      <c r="U34" s="730"/>
      <c r="V34" s="731"/>
      <c r="W34" s="721"/>
      <c r="X34" s="780"/>
      <c r="Y34" s="781"/>
      <c r="Z34" s="777"/>
      <c r="AA34" s="688">
        <f t="shared" si="3"/>
        <v>0</v>
      </c>
      <c r="AB34" s="688">
        <f t="shared" si="18"/>
        <v>0</v>
      </c>
      <c r="AC34" s="688">
        <f t="shared" si="19"/>
        <v>0</v>
      </c>
      <c r="AD34" s="688">
        <f>IF(AA34=0,,VLOOKUP(AA34,リスト!DH:DI,2,0))</f>
        <v>0</v>
      </c>
      <c r="AE34" s="688">
        <f t="shared" si="4"/>
        <v>0</v>
      </c>
      <c r="AF34" s="689">
        <f>IF(AE34=0,,VLOOKUP(AE34,リスト!DK:DL,2,0))</f>
        <v>0</v>
      </c>
      <c r="AG34" s="688">
        <f>IF(AA34=0,,
IF(OR(リスト!$C$21="小麦",リスト!$C$21="二条大麦",リスト!$C$21="六条大麦",リスト!$C$21="はだか麦",リスト!$C$21="なたね"),IF(K34&lt;9,調査年-J34,調査年-J34-1),
IF(リスト!$C$21="さとうきび",IF(K34&gt;=4,調査年-J34,調査年-J34+1),
調査年-J34)))</f>
        <v>0</v>
      </c>
      <c r="AH34" s="252">
        <f t="shared" si="5"/>
        <v>0</v>
      </c>
      <c r="AI34" s="252">
        <f t="shared" si="6"/>
        <v>0</v>
      </c>
      <c r="AJ34" s="252">
        <f t="shared" si="7"/>
        <v>0</v>
      </c>
      <c r="AK34" s="252">
        <f t="shared" si="8"/>
        <v>0</v>
      </c>
      <c r="AL34" s="252">
        <f t="shared" si="9"/>
        <v>0</v>
      </c>
      <c r="AM34" s="252">
        <f t="shared" si="17"/>
        <v>0</v>
      </c>
      <c r="AN34" s="403"/>
      <c r="AO34" s="25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52">
        <f t="shared" si="10"/>
        <v>0</v>
      </c>
      <c r="AQ34" s="252">
        <f t="shared" si="11"/>
        <v>0</v>
      </c>
      <c r="AR34" s="252">
        <f t="shared" si="12"/>
        <v>0</v>
      </c>
      <c r="AS34" s="25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52">
        <f t="shared" si="13"/>
        <v>0</v>
      </c>
      <c r="AU34" s="252">
        <f t="shared" si="14"/>
        <v>0</v>
      </c>
      <c r="AV34" s="252">
        <f t="shared" si="15"/>
        <v>0</v>
      </c>
      <c r="AW34" s="252">
        <f t="shared" si="15"/>
        <v>0</v>
      </c>
      <c r="AX34" s="252">
        <f t="shared" si="15"/>
        <v>0</v>
      </c>
      <c r="AY34" s="725">
        <f t="shared" si="16"/>
        <v>0</v>
      </c>
      <c r="AZ34" s="690"/>
      <c r="BA34" s="690"/>
      <c r="BB34" s="690"/>
      <c r="BC34" s="690"/>
    </row>
    <row r="35" spans="3:55" s="46" customFormat="1" ht="30.75" hidden="1" customHeight="1" outlineLevel="1">
      <c r="C35" s="744">
        <v>19</v>
      </c>
      <c r="D35" s="691"/>
      <c r="E35" s="778"/>
      <c r="F35" s="774"/>
      <c r="G35" s="2023"/>
      <c r="H35" s="2024"/>
      <c r="I35" s="683"/>
      <c r="J35" s="729"/>
      <c r="K35" s="684"/>
      <c r="L35" s="685"/>
      <c r="M35" s="685"/>
      <c r="N35" s="685"/>
      <c r="O35" s="685"/>
      <c r="P35" s="685"/>
      <c r="Q35" s="854"/>
      <c r="R35" s="1003"/>
      <c r="S35" s="1045"/>
      <c r="T35" s="686"/>
      <c r="U35" s="730"/>
      <c r="V35" s="731"/>
      <c r="W35" s="721"/>
      <c r="X35" s="780"/>
      <c r="Y35" s="781"/>
      <c r="Z35" s="777"/>
      <c r="AA35" s="688">
        <f t="shared" si="3"/>
        <v>0</v>
      </c>
      <c r="AB35" s="688">
        <f t="shared" si="18"/>
        <v>0</v>
      </c>
      <c r="AC35" s="688">
        <f t="shared" si="19"/>
        <v>0</v>
      </c>
      <c r="AD35" s="688">
        <f>IF(AA35=0,,VLOOKUP(AA35,リスト!DH:DI,2,0))</f>
        <v>0</v>
      </c>
      <c r="AE35" s="688">
        <f t="shared" si="4"/>
        <v>0</v>
      </c>
      <c r="AF35" s="689">
        <f>IF(AE35=0,,VLOOKUP(AE35,リスト!DK:DL,2,0))</f>
        <v>0</v>
      </c>
      <c r="AG35" s="688">
        <f>IF(AA35=0,,
IF(OR(リスト!$C$21="小麦",リスト!$C$21="二条大麦",リスト!$C$21="六条大麦",リスト!$C$21="はだか麦",リスト!$C$21="なたね"),IF(K35&lt;9,調査年-J35,調査年-J35-1),
IF(リスト!$C$21="さとうきび",IF(K35&gt;=4,調査年-J35,調査年-J35+1),
調査年-J35)))</f>
        <v>0</v>
      </c>
      <c r="AH35" s="252">
        <f t="shared" si="5"/>
        <v>0</v>
      </c>
      <c r="AI35" s="252">
        <f t="shared" si="6"/>
        <v>0</v>
      </c>
      <c r="AJ35" s="252">
        <f t="shared" si="7"/>
        <v>0</v>
      </c>
      <c r="AK35" s="252">
        <f t="shared" si="8"/>
        <v>0</v>
      </c>
      <c r="AL35" s="252">
        <f t="shared" si="9"/>
        <v>0</v>
      </c>
      <c r="AM35" s="252">
        <f t="shared" si="17"/>
        <v>0</v>
      </c>
      <c r="AN35" s="403"/>
      <c r="AO35" s="25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52">
        <f t="shared" si="10"/>
        <v>0</v>
      </c>
      <c r="AQ35" s="252">
        <f t="shared" si="11"/>
        <v>0</v>
      </c>
      <c r="AR35" s="252">
        <f t="shared" si="12"/>
        <v>0</v>
      </c>
      <c r="AS35" s="25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52">
        <f t="shared" si="13"/>
        <v>0</v>
      </c>
      <c r="AU35" s="252">
        <f t="shared" si="14"/>
        <v>0</v>
      </c>
      <c r="AV35" s="252">
        <f t="shared" si="15"/>
        <v>0</v>
      </c>
      <c r="AW35" s="252">
        <f t="shared" si="15"/>
        <v>0</v>
      </c>
      <c r="AX35" s="252">
        <f t="shared" si="15"/>
        <v>0</v>
      </c>
      <c r="AY35" s="725">
        <f t="shared" si="16"/>
        <v>0</v>
      </c>
      <c r="AZ35" s="690"/>
      <c r="BA35" s="690"/>
      <c r="BB35" s="690"/>
      <c r="BC35" s="690"/>
    </row>
    <row r="36" spans="3:55" s="46" customFormat="1" ht="30.75" hidden="1" customHeight="1" outlineLevel="1">
      <c r="C36" s="744">
        <v>20</v>
      </c>
      <c r="D36" s="691"/>
      <c r="E36" s="778"/>
      <c r="F36" s="774"/>
      <c r="G36" s="2023"/>
      <c r="H36" s="2024"/>
      <c r="I36" s="683"/>
      <c r="J36" s="729"/>
      <c r="K36" s="684"/>
      <c r="L36" s="685"/>
      <c r="M36" s="685"/>
      <c r="N36" s="685"/>
      <c r="O36" s="685"/>
      <c r="P36" s="685"/>
      <c r="Q36" s="854"/>
      <c r="R36" s="1003"/>
      <c r="S36" s="1045"/>
      <c r="T36" s="686"/>
      <c r="U36" s="730"/>
      <c r="V36" s="731"/>
      <c r="W36" s="721"/>
      <c r="X36" s="780"/>
      <c r="Y36" s="781"/>
      <c r="Z36" s="777"/>
      <c r="AA36" s="688">
        <f t="shared" si="3"/>
        <v>0</v>
      </c>
      <c r="AB36" s="688">
        <f t="shared" si="18"/>
        <v>0</v>
      </c>
      <c r="AC36" s="688">
        <f t="shared" si="19"/>
        <v>0</v>
      </c>
      <c r="AD36" s="688">
        <f>IF(AA36=0,,VLOOKUP(AA36,リスト!DH:DI,2,0))</f>
        <v>0</v>
      </c>
      <c r="AE36" s="688">
        <f t="shared" si="4"/>
        <v>0</v>
      </c>
      <c r="AF36" s="689">
        <f>IF(AE36=0,,VLOOKUP(AE36,リスト!DK:DL,2,0))</f>
        <v>0</v>
      </c>
      <c r="AG36" s="688">
        <f>IF(AA36=0,,
IF(OR(リスト!$C$21="小麦",リスト!$C$21="二条大麦",リスト!$C$21="六条大麦",リスト!$C$21="はだか麦",リスト!$C$21="なたね"),IF(K36&lt;9,調査年-J36,調査年-J36-1),
IF(リスト!$C$21="さとうきび",IF(K36&gt;=4,調査年-J36,調査年-J36+1),
調査年-J36)))</f>
        <v>0</v>
      </c>
      <c r="AH36" s="252">
        <f t="shared" si="5"/>
        <v>0</v>
      </c>
      <c r="AI36" s="252">
        <f t="shared" si="6"/>
        <v>0</v>
      </c>
      <c r="AJ36" s="252">
        <f t="shared" si="7"/>
        <v>0</v>
      </c>
      <c r="AK36" s="252">
        <f t="shared" si="8"/>
        <v>0</v>
      </c>
      <c r="AL36" s="252">
        <f t="shared" si="9"/>
        <v>0</v>
      </c>
      <c r="AM36" s="252">
        <f t="shared" si="17"/>
        <v>0</v>
      </c>
      <c r="AN36" s="403"/>
      <c r="AO36" s="25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52">
        <f t="shared" si="10"/>
        <v>0</v>
      </c>
      <c r="AQ36" s="252">
        <f t="shared" si="11"/>
        <v>0</v>
      </c>
      <c r="AR36" s="252">
        <f t="shared" si="12"/>
        <v>0</v>
      </c>
      <c r="AS36" s="25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52">
        <f t="shared" si="13"/>
        <v>0</v>
      </c>
      <c r="AU36" s="252">
        <f t="shared" si="14"/>
        <v>0</v>
      </c>
      <c r="AV36" s="252">
        <f t="shared" si="15"/>
        <v>0</v>
      </c>
      <c r="AW36" s="252">
        <f t="shared" si="15"/>
        <v>0</v>
      </c>
      <c r="AX36" s="252">
        <f t="shared" si="15"/>
        <v>0</v>
      </c>
      <c r="AY36" s="725">
        <f t="shared" si="16"/>
        <v>0</v>
      </c>
      <c r="AZ36" s="690"/>
      <c r="BA36" s="690"/>
      <c r="BB36" s="690"/>
      <c r="BC36" s="690"/>
    </row>
    <row r="37" spans="3:55" s="46" customFormat="1" ht="30.75" hidden="1" customHeight="1" outlineLevel="1">
      <c r="C37" s="744">
        <v>21</v>
      </c>
      <c r="D37" s="691"/>
      <c r="E37" s="778"/>
      <c r="F37" s="774"/>
      <c r="G37" s="2023"/>
      <c r="H37" s="2024"/>
      <c r="I37" s="683"/>
      <c r="J37" s="729"/>
      <c r="K37" s="684"/>
      <c r="L37" s="685"/>
      <c r="M37" s="685"/>
      <c r="N37" s="685"/>
      <c r="O37" s="685"/>
      <c r="P37" s="685"/>
      <c r="Q37" s="854"/>
      <c r="R37" s="1003"/>
      <c r="S37" s="1045"/>
      <c r="T37" s="686"/>
      <c r="U37" s="730"/>
      <c r="V37" s="731"/>
      <c r="W37" s="721"/>
      <c r="X37" s="780"/>
      <c r="Y37" s="781"/>
      <c r="Z37" s="777"/>
      <c r="AA37" s="688">
        <f t="shared" si="3"/>
        <v>0</v>
      </c>
      <c r="AB37" s="688">
        <f t="shared" si="18"/>
        <v>0</v>
      </c>
      <c r="AC37" s="688">
        <f t="shared" si="19"/>
        <v>0</v>
      </c>
      <c r="AD37" s="688">
        <f>IF(AA37=0,,VLOOKUP(AA37,リスト!DH:DI,2,0))</f>
        <v>0</v>
      </c>
      <c r="AE37" s="688">
        <f t="shared" si="4"/>
        <v>0</v>
      </c>
      <c r="AF37" s="689">
        <f>IF(AE37=0,,VLOOKUP(AE37,リスト!DK:DL,2,0))</f>
        <v>0</v>
      </c>
      <c r="AG37" s="688">
        <f>IF(AA37=0,,
IF(OR(リスト!$C$21="小麦",リスト!$C$21="二条大麦",リスト!$C$21="六条大麦",リスト!$C$21="はだか麦",リスト!$C$21="なたね"),IF(K37&lt;9,調査年-J37,調査年-J37-1),
IF(リスト!$C$21="さとうきび",IF(K37&gt;=4,調査年-J37,調査年-J37+1),
調査年-J37)))</f>
        <v>0</v>
      </c>
      <c r="AH37" s="252">
        <f t="shared" si="5"/>
        <v>0</v>
      </c>
      <c r="AI37" s="252">
        <f t="shared" si="6"/>
        <v>0</v>
      </c>
      <c r="AJ37" s="252">
        <f t="shared" si="7"/>
        <v>0</v>
      </c>
      <c r="AK37" s="252">
        <f t="shared" si="8"/>
        <v>0</v>
      </c>
      <c r="AL37" s="252">
        <f t="shared" si="9"/>
        <v>0</v>
      </c>
      <c r="AM37" s="252">
        <f t="shared" si="17"/>
        <v>0</v>
      </c>
      <c r="AN37" s="403"/>
      <c r="AO37" s="25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52">
        <f t="shared" si="10"/>
        <v>0</v>
      </c>
      <c r="AQ37" s="252">
        <f t="shared" si="11"/>
        <v>0</v>
      </c>
      <c r="AR37" s="252">
        <f t="shared" si="12"/>
        <v>0</v>
      </c>
      <c r="AS37" s="25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52">
        <f t="shared" si="13"/>
        <v>0</v>
      </c>
      <c r="AU37" s="252">
        <f t="shared" si="14"/>
        <v>0</v>
      </c>
      <c r="AV37" s="252">
        <f t="shared" si="15"/>
        <v>0</v>
      </c>
      <c r="AW37" s="252">
        <f t="shared" si="15"/>
        <v>0</v>
      </c>
      <c r="AX37" s="252">
        <f t="shared" si="15"/>
        <v>0</v>
      </c>
      <c r="AY37" s="725">
        <f t="shared" si="16"/>
        <v>0</v>
      </c>
      <c r="AZ37" s="690"/>
      <c r="BA37" s="690"/>
      <c r="BB37" s="690"/>
      <c r="BC37" s="690"/>
    </row>
    <row r="38" spans="3:55" s="46" customFormat="1" ht="30.75" hidden="1" customHeight="1" outlineLevel="1">
      <c r="C38" s="744">
        <v>22</v>
      </c>
      <c r="D38" s="691"/>
      <c r="E38" s="778"/>
      <c r="F38" s="774"/>
      <c r="G38" s="2023"/>
      <c r="H38" s="2024"/>
      <c r="I38" s="683"/>
      <c r="J38" s="729"/>
      <c r="K38" s="684"/>
      <c r="L38" s="685"/>
      <c r="M38" s="685"/>
      <c r="N38" s="685"/>
      <c r="O38" s="685"/>
      <c r="P38" s="685"/>
      <c r="Q38" s="854"/>
      <c r="R38" s="1003"/>
      <c r="S38" s="1045"/>
      <c r="T38" s="686"/>
      <c r="U38" s="730"/>
      <c r="V38" s="731"/>
      <c r="W38" s="721"/>
      <c r="X38" s="780"/>
      <c r="Y38" s="781"/>
      <c r="Z38" s="777"/>
      <c r="AA38" s="688">
        <f t="shared" si="3"/>
        <v>0</v>
      </c>
      <c r="AB38" s="688">
        <f t="shared" si="18"/>
        <v>0</v>
      </c>
      <c r="AC38" s="688">
        <f t="shared" si="19"/>
        <v>0</v>
      </c>
      <c r="AD38" s="688">
        <f>IF(AA38=0,,VLOOKUP(AA38,リスト!DH:DI,2,0))</f>
        <v>0</v>
      </c>
      <c r="AE38" s="688">
        <f t="shared" si="4"/>
        <v>0</v>
      </c>
      <c r="AF38" s="689">
        <f>IF(AE38=0,,VLOOKUP(AE38,リスト!DK:DL,2,0))</f>
        <v>0</v>
      </c>
      <c r="AG38" s="688">
        <f>IF(AA38=0,,
IF(OR(リスト!$C$21="小麦",リスト!$C$21="二条大麦",リスト!$C$21="六条大麦",リスト!$C$21="はだか麦",リスト!$C$21="なたね"),IF(K38&lt;9,調査年-J38,調査年-J38-1),
IF(リスト!$C$21="さとうきび",IF(K38&gt;=4,調査年-J38,調査年-J38+1),
調査年-J38)))</f>
        <v>0</v>
      </c>
      <c r="AH38" s="252">
        <f t="shared" si="5"/>
        <v>0</v>
      </c>
      <c r="AI38" s="252">
        <f t="shared" si="6"/>
        <v>0</v>
      </c>
      <c r="AJ38" s="252">
        <f t="shared" si="7"/>
        <v>0</v>
      </c>
      <c r="AK38" s="252">
        <f t="shared" si="8"/>
        <v>0</v>
      </c>
      <c r="AL38" s="252">
        <f t="shared" si="9"/>
        <v>0</v>
      </c>
      <c r="AM38" s="252">
        <f t="shared" si="17"/>
        <v>0</v>
      </c>
      <c r="AN38" s="403"/>
      <c r="AO38" s="25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52">
        <f t="shared" si="10"/>
        <v>0</v>
      </c>
      <c r="AQ38" s="252">
        <f t="shared" si="11"/>
        <v>0</v>
      </c>
      <c r="AR38" s="252">
        <f t="shared" si="12"/>
        <v>0</v>
      </c>
      <c r="AS38" s="25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52">
        <f t="shared" si="13"/>
        <v>0</v>
      </c>
      <c r="AU38" s="252">
        <f t="shared" si="14"/>
        <v>0</v>
      </c>
      <c r="AV38" s="252">
        <f t="shared" si="15"/>
        <v>0</v>
      </c>
      <c r="AW38" s="252">
        <f t="shared" si="15"/>
        <v>0</v>
      </c>
      <c r="AX38" s="252">
        <f t="shared" si="15"/>
        <v>0</v>
      </c>
      <c r="AY38" s="725">
        <f t="shared" si="16"/>
        <v>0</v>
      </c>
      <c r="AZ38" s="690"/>
      <c r="BA38" s="690"/>
      <c r="BB38" s="690"/>
      <c r="BC38" s="690"/>
    </row>
    <row r="39" spans="3:55" s="46" customFormat="1" ht="30.75" hidden="1" customHeight="1" outlineLevel="1">
      <c r="C39" s="744">
        <v>23</v>
      </c>
      <c r="D39" s="691"/>
      <c r="E39" s="778"/>
      <c r="F39" s="774"/>
      <c r="G39" s="2023"/>
      <c r="H39" s="2024"/>
      <c r="I39" s="683"/>
      <c r="J39" s="729"/>
      <c r="K39" s="684"/>
      <c r="L39" s="685"/>
      <c r="M39" s="685"/>
      <c r="N39" s="685"/>
      <c r="O39" s="685"/>
      <c r="P39" s="685"/>
      <c r="Q39" s="854"/>
      <c r="R39" s="1003"/>
      <c r="S39" s="1045"/>
      <c r="T39" s="686"/>
      <c r="U39" s="730"/>
      <c r="V39" s="731"/>
      <c r="W39" s="721"/>
      <c r="X39" s="780"/>
      <c r="Y39" s="781"/>
      <c r="Z39" s="777"/>
      <c r="AA39" s="688">
        <f t="shared" si="3"/>
        <v>0</v>
      </c>
      <c r="AB39" s="688">
        <f t="shared" si="18"/>
        <v>0</v>
      </c>
      <c r="AC39" s="688">
        <f t="shared" si="19"/>
        <v>0</v>
      </c>
      <c r="AD39" s="688">
        <f>IF(AA39=0,,VLOOKUP(AA39,リスト!DH:DI,2,0))</f>
        <v>0</v>
      </c>
      <c r="AE39" s="688">
        <f t="shared" si="4"/>
        <v>0</v>
      </c>
      <c r="AF39" s="689">
        <f>IF(AE39=0,,VLOOKUP(AE39,リスト!DK:DL,2,0))</f>
        <v>0</v>
      </c>
      <c r="AG39" s="688">
        <f>IF(AA39=0,,
IF(OR(リスト!$C$21="小麦",リスト!$C$21="二条大麦",リスト!$C$21="六条大麦",リスト!$C$21="はだか麦",リスト!$C$21="なたね"),IF(K39&lt;9,調査年-J39,調査年-J39-1),
IF(リスト!$C$21="さとうきび",IF(K39&gt;=4,調査年-J39,調査年-J39+1),
調査年-J39)))</f>
        <v>0</v>
      </c>
      <c r="AH39" s="252">
        <f t="shared" si="5"/>
        <v>0</v>
      </c>
      <c r="AI39" s="252">
        <f t="shared" si="6"/>
        <v>0</v>
      </c>
      <c r="AJ39" s="252">
        <f t="shared" si="7"/>
        <v>0</v>
      </c>
      <c r="AK39" s="252">
        <f t="shared" si="8"/>
        <v>0</v>
      </c>
      <c r="AL39" s="252">
        <f t="shared" si="9"/>
        <v>0</v>
      </c>
      <c r="AM39" s="252">
        <f t="shared" si="17"/>
        <v>0</v>
      </c>
      <c r="AN39" s="403"/>
      <c r="AO39" s="25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52">
        <f t="shared" si="10"/>
        <v>0</v>
      </c>
      <c r="AQ39" s="252">
        <f t="shared" si="11"/>
        <v>0</v>
      </c>
      <c r="AR39" s="252">
        <f t="shared" si="12"/>
        <v>0</v>
      </c>
      <c r="AS39" s="25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52">
        <f t="shared" si="13"/>
        <v>0</v>
      </c>
      <c r="AU39" s="252">
        <f t="shared" si="14"/>
        <v>0</v>
      </c>
      <c r="AV39" s="252">
        <f t="shared" si="15"/>
        <v>0</v>
      </c>
      <c r="AW39" s="252">
        <f t="shared" si="15"/>
        <v>0</v>
      </c>
      <c r="AX39" s="252">
        <f t="shared" si="15"/>
        <v>0</v>
      </c>
      <c r="AY39" s="725">
        <f t="shared" si="16"/>
        <v>0</v>
      </c>
      <c r="AZ39" s="690"/>
      <c r="BA39" s="690"/>
      <c r="BB39" s="690"/>
      <c r="BC39" s="690"/>
    </row>
    <row r="40" spans="3:55" s="46" customFormat="1" ht="30.75" hidden="1" customHeight="1" outlineLevel="1">
      <c r="C40" s="744">
        <v>24</v>
      </c>
      <c r="D40" s="691"/>
      <c r="E40" s="778"/>
      <c r="F40" s="774"/>
      <c r="G40" s="2023"/>
      <c r="H40" s="2024"/>
      <c r="I40" s="683"/>
      <c r="J40" s="729"/>
      <c r="K40" s="684"/>
      <c r="L40" s="685"/>
      <c r="M40" s="685"/>
      <c r="N40" s="685"/>
      <c r="O40" s="685"/>
      <c r="P40" s="685"/>
      <c r="Q40" s="854"/>
      <c r="R40" s="1003"/>
      <c r="S40" s="1045"/>
      <c r="T40" s="686"/>
      <c r="U40" s="730"/>
      <c r="V40" s="731"/>
      <c r="W40" s="721"/>
      <c r="X40" s="780"/>
      <c r="Y40" s="781"/>
      <c r="Z40" s="777"/>
      <c r="AA40" s="688">
        <f t="shared" si="3"/>
        <v>0</v>
      </c>
      <c r="AB40" s="688">
        <f t="shared" si="18"/>
        <v>0</v>
      </c>
      <c r="AC40" s="688">
        <f t="shared" si="19"/>
        <v>0</v>
      </c>
      <c r="AD40" s="688">
        <f>IF(AA40=0,,VLOOKUP(AA40,リスト!DH:DI,2,0))</f>
        <v>0</v>
      </c>
      <c r="AE40" s="688">
        <f t="shared" si="4"/>
        <v>0</v>
      </c>
      <c r="AF40" s="689">
        <f>IF(AE40=0,,VLOOKUP(AE40,リスト!DK:DL,2,0))</f>
        <v>0</v>
      </c>
      <c r="AG40" s="688">
        <f>IF(AA40=0,,
IF(OR(リスト!$C$21="小麦",リスト!$C$21="二条大麦",リスト!$C$21="六条大麦",リスト!$C$21="はだか麦",リスト!$C$21="なたね"),IF(K40&lt;9,調査年-J40,調査年-J40-1),
IF(リスト!$C$21="さとうきび",IF(K40&gt;=4,調査年-J40,調査年-J40+1),
調査年-J40)))</f>
        <v>0</v>
      </c>
      <c r="AH40" s="252">
        <f t="shared" si="5"/>
        <v>0</v>
      </c>
      <c r="AI40" s="252">
        <f t="shared" si="6"/>
        <v>0</v>
      </c>
      <c r="AJ40" s="252">
        <f t="shared" si="7"/>
        <v>0</v>
      </c>
      <c r="AK40" s="252">
        <f t="shared" si="8"/>
        <v>0</v>
      </c>
      <c r="AL40" s="252">
        <f t="shared" si="9"/>
        <v>0</v>
      </c>
      <c r="AM40" s="252">
        <f t="shared" si="17"/>
        <v>0</v>
      </c>
      <c r="AN40" s="403"/>
      <c r="AO40" s="25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52">
        <f t="shared" si="10"/>
        <v>0</v>
      </c>
      <c r="AQ40" s="252">
        <f t="shared" si="11"/>
        <v>0</v>
      </c>
      <c r="AR40" s="252">
        <f t="shared" si="12"/>
        <v>0</v>
      </c>
      <c r="AS40" s="25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52">
        <f t="shared" si="13"/>
        <v>0</v>
      </c>
      <c r="AU40" s="252">
        <f t="shared" si="14"/>
        <v>0</v>
      </c>
      <c r="AV40" s="252">
        <f t="shared" si="15"/>
        <v>0</v>
      </c>
      <c r="AW40" s="252">
        <f t="shared" si="15"/>
        <v>0</v>
      </c>
      <c r="AX40" s="252">
        <f t="shared" si="15"/>
        <v>0</v>
      </c>
      <c r="AY40" s="725">
        <f t="shared" si="16"/>
        <v>0</v>
      </c>
      <c r="AZ40" s="690"/>
      <c r="BA40" s="690"/>
      <c r="BB40" s="690"/>
      <c r="BC40" s="690"/>
    </row>
    <row r="41" spans="3:55" s="46" customFormat="1" ht="30.75" hidden="1" customHeight="1" outlineLevel="1">
      <c r="C41" s="744">
        <v>25</v>
      </c>
      <c r="D41" s="691"/>
      <c r="E41" s="778"/>
      <c r="F41" s="774"/>
      <c r="G41" s="2023"/>
      <c r="H41" s="2024"/>
      <c r="I41" s="683"/>
      <c r="J41" s="729"/>
      <c r="K41" s="684"/>
      <c r="L41" s="685"/>
      <c r="M41" s="685"/>
      <c r="N41" s="685"/>
      <c r="O41" s="685"/>
      <c r="P41" s="685"/>
      <c r="Q41" s="854"/>
      <c r="R41" s="1003"/>
      <c r="S41" s="1045"/>
      <c r="T41" s="686"/>
      <c r="U41" s="730"/>
      <c r="V41" s="731"/>
      <c r="W41" s="721"/>
      <c r="X41" s="780"/>
      <c r="Y41" s="781"/>
      <c r="Z41" s="777"/>
      <c r="AA41" s="688">
        <f t="shared" si="3"/>
        <v>0</v>
      </c>
      <c r="AB41" s="688">
        <f t="shared" si="18"/>
        <v>0</v>
      </c>
      <c r="AC41" s="688">
        <f t="shared" si="19"/>
        <v>0</v>
      </c>
      <c r="AD41" s="688">
        <f>IF(AA41=0,,VLOOKUP(AA41,リスト!DH:DI,2,0))</f>
        <v>0</v>
      </c>
      <c r="AE41" s="688">
        <f t="shared" si="4"/>
        <v>0</v>
      </c>
      <c r="AF41" s="689">
        <f>IF(AE41=0,,VLOOKUP(AE41,リスト!DK:DL,2,0))</f>
        <v>0</v>
      </c>
      <c r="AG41" s="688">
        <f>IF(AA41=0,,
IF(OR(リスト!$C$21="小麦",リスト!$C$21="二条大麦",リスト!$C$21="六条大麦",リスト!$C$21="はだか麦",リスト!$C$21="なたね"),IF(K41&lt;9,調査年-J41,調査年-J41-1),
IF(リスト!$C$21="さとうきび",IF(K41&gt;=4,調査年-J41,調査年-J41+1),
調査年-J41)))</f>
        <v>0</v>
      </c>
      <c r="AH41" s="252">
        <f t="shared" si="5"/>
        <v>0</v>
      </c>
      <c r="AI41" s="252">
        <f t="shared" si="6"/>
        <v>0</v>
      </c>
      <c r="AJ41" s="252">
        <f t="shared" si="7"/>
        <v>0</v>
      </c>
      <c r="AK41" s="252">
        <f t="shared" si="8"/>
        <v>0</v>
      </c>
      <c r="AL41" s="252">
        <f t="shared" si="9"/>
        <v>0</v>
      </c>
      <c r="AM41" s="252">
        <f t="shared" si="17"/>
        <v>0</v>
      </c>
      <c r="AN41" s="403"/>
      <c r="AO41" s="25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52">
        <f t="shared" si="10"/>
        <v>0</v>
      </c>
      <c r="AQ41" s="252">
        <f t="shared" si="11"/>
        <v>0</v>
      </c>
      <c r="AR41" s="252">
        <f t="shared" si="12"/>
        <v>0</v>
      </c>
      <c r="AS41" s="25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52">
        <f t="shared" si="13"/>
        <v>0</v>
      </c>
      <c r="AU41" s="252">
        <f t="shared" si="14"/>
        <v>0</v>
      </c>
      <c r="AV41" s="252">
        <f t="shared" si="15"/>
        <v>0</v>
      </c>
      <c r="AW41" s="252">
        <f t="shared" si="15"/>
        <v>0</v>
      </c>
      <c r="AX41" s="252">
        <f t="shared" si="15"/>
        <v>0</v>
      </c>
      <c r="AY41" s="725">
        <f t="shared" si="16"/>
        <v>0</v>
      </c>
      <c r="AZ41" s="690"/>
      <c r="BA41" s="690"/>
      <c r="BB41" s="690"/>
      <c r="BC41" s="690"/>
    </row>
    <row r="42" spans="3:55" s="46" customFormat="1" ht="30.75" hidden="1" customHeight="1" outlineLevel="1">
      <c r="C42" s="744">
        <v>26</v>
      </c>
      <c r="D42" s="691"/>
      <c r="E42" s="778"/>
      <c r="F42" s="774"/>
      <c r="G42" s="2023"/>
      <c r="H42" s="2024"/>
      <c r="I42" s="683"/>
      <c r="J42" s="729"/>
      <c r="K42" s="684"/>
      <c r="L42" s="685"/>
      <c r="M42" s="685"/>
      <c r="N42" s="685"/>
      <c r="O42" s="685"/>
      <c r="P42" s="685"/>
      <c r="Q42" s="854"/>
      <c r="R42" s="1003"/>
      <c r="S42" s="1045"/>
      <c r="T42" s="686"/>
      <c r="U42" s="730"/>
      <c r="V42" s="731"/>
      <c r="W42" s="721"/>
      <c r="X42" s="780"/>
      <c r="Y42" s="781"/>
      <c r="Z42" s="777"/>
      <c r="AA42" s="688">
        <f t="shared" si="3"/>
        <v>0</v>
      </c>
      <c r="AB42" s="688">
        <f t="shared" si="18"/>
        <v>0</v>
      </c>
      <c r="AC42" s="688">
        <f t="shared" si="19"/>
        <v>0</v>
      </c>
      <c r="AD42" s="688">
        <f>IF(AA42=0,,VLOOKUP(AA42,リスト!DH:DI,2,0))</f>
        <v>0</v>
      </c>
      <c r="AE42" s="688">
        <f t="shared" si="4"/>
        <v>0</v>
      </c>
      <c r="AF42" s="689">
        <f>IF(AE42=0,,VLOOKUP(AE42,リスト!DK:DL,2,0))</f>
        <v>0</v>
      </c>
      <c r="AG42" s="688">
        <f>IF(AA42=0,,
IF(OR(リスト!$C$21="小麦",リスト!$C$21="二条大麦",リスト!$C$21="六条大麦",リスト!$C$21="はだか麦",リスト!$C$21="なたね"),IF(K42&lt;9,調査年-J42,調査年-J42-1),
IF(リスト!$C$21="さとうきび",IF(K42&gt;=4,調査年-J42,調査年-J42+1),
調査年-J42)))</f>
        <v>0</v>
      </c>
      <c r="AH42" s="252">
        <f t="shared" si="5"/>
        <v>0</v>
      </c>
      <c r="AI42" s="252">
        <f t="shared" si="6"/>
        <v>0</v>
      </c>
      <c r="AJ42" s="252">
        <f t="shared" si="7"/>
        <v>0</v>
      </c>
      <c r="AK42" s="252">
        <f t="shared" si="8"/>
        <v>0</v>
      </c>
      <c r="AL42" s="252">
        <f t="shared" si="9"/>
        <v>0</v>
      </c>
      <c r="AM42" s="252">
        <f t="shared" si="17"/>
        <v>0</v>
      </c>
      <c r="AN42" s="403"/>
      <c r="AO42" s="25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52">
        <f t="shared" si="10"/>
        <v>0</v>
      </c>
      <c r="AQ42" s="252">
        <f t="shared" si="11"/>
        <v>0</v>
      </c>
      <c r="AR42" s="252">
        <f t="shared" si="12"/>
        <v>0</v>
      </c>
      <c r="AS42" s="25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52">
        <f t="shared" si="13"/>
        <v>0</v>
      </c>
      <c r="AU42" s="252">
        <f t="shared" si="14"/>
        <v>0</v>
      </c>
      <c r="AV42" s="252">
        <f t="shared" si="15"/>
        <v>0</v>
      </c>
      <c r="AW42" s="252">
        <f t="shared" si="15"/>
        <v>0</v>
      </c>
      <c r="AX42" s="252">
        <f t="shared" si="15"/>
        <v>0</v>
      </c>
      <c r="AY42" s="725">
        <f t="shared" si="16"/>
        <v>0</v>
      </c>
      <c r="AZ42" s="690"/>
      <c r="BA42" s="690"/>
      <c r="BB42" s="690"/>
      <c r="BC42" s="690"/>
    </row>
    <row r="43" spans="3:55" s="46" customFormat="1" ht="30.75" hidden="1" customHeight="1" outlineLevel="1">
      <c r="C43" s="744">
        <v>27</v>
      </c>
      <c r="D43" s="691"/>
      <c r="E43" s="778"/>
      <c r="F43" s="774"/>
      <c r="G43" s="2023"/>
      <c r="H43" s="2024"/>
      <c r="I43" s="683"/>
      <c r="J43" s="729"/>
      <c r="K43" s="684"/>
      <c r="L43" s="685"/>
      <c r="M43" s="685"/>
      <c r="N43" s="685"/>
      <c r="O43" s="685"/>
      <c r="P43" s="685"/>
      <c r="Q43" s="854"/>
      <c r="R43" s="1003"/>
      <c r="S43" s="1045"/>
      <c r="T43" s="686"/>
      <c r="U43" s="730"/>
      <c r="V43" s="731"/>
      <c r="W43" s="721"/>
      <c r="X43" s="780"/>
      <c r="Y43" s="781"/>
      <c r="Z43" s="777"/>
      <c r="AA43" s="688">
        <f t="shared" si="3"/>
        <v>0</v>
      </c>
      <c r="AB43" s="688">
        <f t="shared" si="18"/>
        <v>0</v>
      </c>
      <c r="AC43" s="688">
        <f t="shared" si="19"/>
        <v>0</v>
      </c>
      <c r="AD43" s="688">
        <f>IF(AA43=0,,VLOOKUP(AA43,リスト!DH:DI,2,0))</f>
        <v>0</v>
      </c>
      <c r="AE43" s="688">
        <f t="shared" si="4"/>
        <v>0</v>
      </c>
      <c r="AF43" s="689">
        <f>IF(AE43=0,,VLOOKUP(AE43,リスト!DK:DL,2,0))</f>
        <v>0</v>
      </c>
      <c r="AG43" s="688">
        <f>IF(AA43=0,,
IF(OR(リスト!$C$21="小麦",リスト!$C$21="二条大麦",リスト!$C$21="六条大麦",リスト!$C$21="はだか麦",リスト!$C$21="なたね"),IF(K43&lt;9,調査年-J43,調査年-J43-1),
IF(リスト!$C$21="さとうきび",IF(K43&gt;=4,調査年-J43,調査年-J43+1),
調査年-J43)))</f>
        <v>0</v>
      </c>
      <c r="AH43" s="252">
        <f t="shared" si="5"/>
        <v>0</v>
      </c>
      <c r="AI43" s="252">
        <f t="shared" si="6"/>
        <v>0</v>
      </c>
      <c r="AJ43" s="252">
        <f t="shared" si="7"/>
        <v>0</v>
      </c>
      <c r="AK43" s="252">
        <f t="shared" si="8"/>
        <v>0</v>
      </c>
      <c r="AL43" s="252">
        <f t="shared" si="9"/>
        <v>0</v>
      </c>
      <c r="AM43" s="252">
        <f t="shared" si="17"/>
        <v>0</v>
      </c>
      <c r="AN43" s="403"/>
      <c r="AO43" s="25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52">
        <f t="shared" si="10"/>
        <v>0</v>
      </c>
      <c r="AQ43" s="252">
        <f t="shared" si="11"/>
        <v>0</v>
      </c>
      <c r="AR43" s="252">
        <f t="shared" si="12"/>
        <v>0</v>
      </c>
      <c r="AS43" s="25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52">
        <f t="shared" si="13"/>
        <v>0</v>
      </c>
      <c r="AU43" s="252">
        <f t="shared" si="14"/>
        <v>0</v>
      </c>
      <c r="AV43" s="252">
        <f t="shared" si="15"/>
        <v>0</v>
      </c>
      <c r="AW43" s="252">
        <f t="shared" si="15"/>
        <v>0</v>
      </c>
      <c r="AX43" s="252">
        <f t="shared" si="15"/>
        <v>0</v>
      </c>
      <c r="AY43" s="725">
        <f t="shared" si="16"/>
        <v>0</v>
      </c>
      <c r="AZ43" s="690"/>
      <c r="BA43" s="690"/>
      <c r="BB43" s="690"/>
      <c r="BC43" s="690"/>
    </row>
    <row r="44" spans="3:55" s="46" customFormat="1" ht="30.75" hidden="1" customHeight="1" outlineLevel="1">
      <c r="C44" s="744">
        <v>28</v>
      </c>
      <c r="D44" s="691"/>
      <c r="E44" s="778"/>
      <c r="F44" s="774"/>
      <c r="G44" s="2023"/>
      <c r="H44" s="2024"/>
      <c r="I44" s="683"/>
      <c r="J44" s="729"/>
      <c r="K44" s="684"/>
      <c r="L44" s="685"/>
      <c r="M44" s="685"/>
      <c r="N44" s="685"/>
      <c r="O44" s="685"/>
      <c r="P44" s="685"/>
      <c r="Q44" s="854"/>
      <c r="R44" s="1003"/>
      <c r="S44" s="1045"/>
      <c r="T44" s="686"/>
      <c r="U44" s="730"/>
      <c r="V44" s="731"/>
      <c r="W44" s="721"/>
      <c r="X44" s="780"/>
      <c r="Y44" s="781"/>
      <c r="Z44" s="777"/>
      <c r="AA44" s="688">
        <f t="shared" si="3"/>
        <v>0</v>
      </c>
      <c r="AB44" s="688">
        <f t="shared" si="18"/>
        <v>0</v>
      </c>
      <c r="AC44" s="688">
        <f t="shared" si="19"/>
        <v>0</v>
      </c>
      <c r="AD44" s="688">
        <f>IF(AA44=0,,VLOOKUP(AA44,リスト!DH:DI,2,0))</f>
        <v>0</v>
      </c>
      <c r="AE44" s="688">
        <f t="shared" si="4"/>
        <v>0</v>
      </c>
      <c r="AF44" s="689">
        <f>IF(AE44=0,,VLOOKUP(AE44,リスト!DK:DL,2,0))</f>
        <v>0</v>
      </c>
      <c r="AG44" s="688">
        <f>IF(AA44=0,,
IF(OR(リスト!$C$21="小麦",リスト!$C$21="二条大麦",リスト!$C$21="六条大麦",リスト!$C$21="はだか麦",リスト!$C$21="なたね"),IF(K44&lt;9,調査年-J44,調査年-J44-1),
IF(リスト!$C$21="さとうきび",IF(K44&gt;=4,調査年-J44,調査年-J44+1),
調査年-J44)))</f>
        <v>0</v>
      </c>
      <c r="AH44" s="252">
        <f t="shared" si="5"/>
        <v>0</v>
      </c>
      <c r="AI44" s="252">
        <f t="shared" si="6"/>
        <v>0</v>
      </c>
      <c r="AJ44" s="252">
        <f t="shared" si="7"/>
        <v>0</v>
      </c>
      <c r="AK44" s="252">
        <f t="shared" si="8"/>
        <v>0</v>
      </c>
      <c r="AL44" s="252">
        <f t="shared" si="9"/>
        <v>0</v>
      </c>
      <c r="AM44" s="252">
        <f t="shared" si="17"/>
        <v>0</v>
      </c>
      <c r="AN44" s="403"/>
      <c r="AO44" s="25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52">
        <f t="shared" si="10"/>
        <v>0</v>
      </c>
      <c r="AQ44" s="252">
        <f t="shared" si="11"/>
        <v>0</v>
      </c>
      <c r="AR44" s="252">
        <f t="shared" si="12"/>
        <v>0</v>
      </c>
      <c r="AS44" s="25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52">
        <f t="shared" si="13"/>
        <v>0</v>
      </c>
      <c r="AU44" s="252">
        <f t="shared" si="14"/>
        <v>0</v>
      </c>
      <c r="AV44" s="252">
        <f t="shared" si="15"/>
        <v>0</v>
      </c>
      <c r="AW44" s="252">
        <f t="shared" si="15"/>
        <v>0</v>
      </c>
      <c r="AX44" s="252">
        <f t="shared" si="15"/>
        <v>0</v>
      </c>
      <c r="AY44" s="725">
        <f t="shared" si="16"/>
        <v>0</v>
      </c>
      <c r="AZ44" s="690"/>
      <c r="BA44" s="690"/>
      <c r="BB44" s="690"/>
      <c r="BC44" s="690"/>
    </row>
    <row r="45" spans="3:55" s="46" customFormat="1" ht="30.75" hidden="1" customHeight="1" outlineLevel="1">
      <c r="C45" s="744">
        <v>29</v>
      </c>
      <c r="D45" s="691"/>
      <c r="E45" s="778"/>
      <c r="F45" s="774"/>
      <c r="G45" s="2023"/>
      <c r="H45" s="2024"/>
      <c r="I45" s="683"/>
      <c r="J45" s="729"/>
      <c r="K45" s="684"/>
      <c r="L45" s="685"/>
      <c r="M45" s="685"/>
      <c r="N45" s="685"/>
      <c r="O45" s="685"/>
      <c r="P45" s="685"/>
      <c r="Q45" s="854"/>
      <c r="R45" s="1003"/>
      <c r="S45" s="1045"/>
      <c r="T45" s="686"/>
      <c r="U45" s="730"/>
      <c r="V45" s="731"/>
      <c r="W45" s="721"/>
      <c r="X45" s="780"/>
      <c r="Y45" s="781"/>
      <c r="Z45" s="777"/>
      <c r="AA45" s="688">
        <f t="shared" si="3"/>
        <v>0</v>
      </c>
      <c r="AB45" s="688">
        <f t="shared" si="18"/>
        <v>0</v>
      </c>
      <c r="AC45" s="688">
        <f t="shared" si="19"/>
        <v>0</v>
      </c>
      <c r="AD45" s="688">
        <f>IF(AA45=0,,VLOOKUP(AA45,リスト!DH:DI,2,0))</f>
        <v>0</v>
      </c>
      <c r="AE45" s="688">
        <f t="shared" si="4"/>
        <v>0</v>
      </c>
      <c r="AF45" s="689">
        <f>IF(AE45=0,,VLOOKUP(AE45,リスト!DK:DL,2,0))</f>
        <v>0</v>
      </c>
      <c r="AG45" s="688">
        <f>IF(AA45=0,,
IF(OR(リスト!$C$21="小麦",リスト!$C$21="二条大麦",リスト!$C$21="六条大麦",リスト!$C$21="はだか麦",リスト!$C$21="なたね"),IF(K45&lt;9,調査年-J45,調査年-J45-1),
IF(リスト!$C$21="さとうきび",IF(K45&gt;=4,調査年-J45,調査年-J45+1),
調査年-J45)))</f>
        <v>0</v>
      </c>
      <c r="AH45" s="252">
        <f t="shared" si="5"/>
        <v>0</v>
      </c>
      <c r="AI45" s="252">
        <f t="shared" si="6"/>
        <v>0</v>
      </c>
      <c r="AJ45" s="252">
        <f t="shared" si="7"/>
        <v>0</v>
      </c>
      <c r="AK45" s="252">
        <f t="shared" si="8"/>
        <v>0</v>
      </c>
      <c r="AL45" s="252">
        <f t="shared" si="9"/>
        <v>0</v>
      </c>
      <c r="AM45" s="252">
        <f t="shared" si="17"/>
        <v>0</v>
      </c>
      <c r="AN45" s="403"/>
      <c r="AO45" s="25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52">
        <f t="shared" si="10"/>
        <v>0</v>
      </c>
      <c r="AQ45" s="252">
        <f t="shared" si="11"/>
        <v>0</v>
      </c>
      <c r="AR45" s="252">
        <f t="shared" si="12"/>
        <v>0</v>
      </c>
      <c r="AS45" s="25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52">
        <f t="shared" si="13"/>
        <v>0</v>
      </c>
      <c r="AU45" s="252">
        <f t="shared" si="14"/>
        <v>0</v>
      </c>
      <c r="AV45" s="252">
        <f t="shared" si="15"/>
        <v>0</v>
      </c>
      <c r="AW45" s="252">
        <f t="shared" si="15"/>
        <v>0</v>
      </c>
      <c r="AX45" s="252">
        <f t="shared" si="15"/>
        <v>0</v>
      </c>
      <c r="AY45" s="725">
        <f t="shared" si="16"/>
        <v>0</v>
      </c>
      <c r="AZ45" s="690"/>
      <c r="BA45" s="690"/>
      <c r="BB45" s="690"/>
      <c r="BC45" s="690"/>
    </row>
    <row r="46" spans="3:55" s="46" customFormat="1" ht="30.75" hidden="1" customHeight="1" outlineLevel="1">
      <c r="C46" s="744">
        <v>30</v>
      </c>
      <c r="D46" s="691"/>
      <c r="E46" s="778"/>
      <c r="F46" s="774"/>
      <c r="G46" s="2023"/>
      <c r="H46" s="2024"/>
      <c r="I46" s="683"/>
      <c r="J46" s="729"/>
      <c r="K46" s="684"/>
      <c r="L46" s="685"/>
      <c r="M46" s="685"/>
      <c r="N46" s="685"/>
      <c r="O46" s="685"/>
      <c r="P46" s="685"/>
      <c r="Q46" s="854"/>
      <c r="R46" s="1003"/>
      <c r="S46" s="1045"/>
      <c r="T46" s="686"/>
      <c r="U46" s="730"/>
      <c r="V46" s="731"/>
      <c r="W46" s="721"/>
      <c r="X46" s="780"/>
      <c r="Y46" s="781"/>
      <c r="Z46" s="777"/>
      <c r="AA46" s="688">
        <f t="shared" si="3"/>
        <v>0</v>
      </c>
      <c r="AB46" s="688">
        <f t="shared" si="18"/>
        <v>0</v>
      </c>
      <c r="AC46" s="688">
        <f t="shared" si="19"/>
        <v>0</v>
      </c>
      <c r="AD46" s="688">
        <f>IF(AA46=0,,VLOOKUP(AA46,リスト!DH:DI,2,0))</f>
        <v>0</v>
      </c>
      <c r="AE46" s="688">
        <f t="shared" si="4"/>
        <v>0</v>
      </c>
      <c r="AF46" s="689">
        <f>IF(AE46=0,,VLOOKUP(AE46,リスト!DK:DL,2,0))</f>
        <v>0</v>
      </c>
      <c r="AG46" s="688">
        <f>IF(AA46=0,,
IF(OR(リスト!$C$21="小麦",リスト!$C$21="二条大麦",リスト!$C$21="六条大麦",リスト!$C$21="はだか麦",リスト!$C$21="なたね"),IF(K46&lt;9,調査年-J46,調査年-J46-1),
IF(リスト!$C$21="さとうきび",IF(K46&gt;=4,調査年-J46,調査年-J46+1),
調査年-J46)))</f>
        <v>0</v>
      </c>
      <c r="AH46" s="252">
        <f t="shared" si="5"/>
        <v>0</v>
      </c>
      <c r="AI46" s="252">
        <f t="shared" si="6"/>
        <v>0</v>
      </c>
      <c r="AJ46" s="252">
        <f t="shared" si="7"/>
        <v>0</v>
      </c>
      <c r="AK46" s="252">
        <f t="shared" si="8"/>
        <v>0</v>
      </c>
      <c r="AL46" s="252">
        <f t="shared" si="9"/>
        <v>0</v>
      </c>
      <c r="AM46" s="252">
        <f t="shared" si="17"/>
        <v>0</v>
      </c>
      <c r="AN46" s="403"/>
      <c r="AO46" s="25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52">
        <f t="shared" si="10"/>
        <v>0</v>
      </c>
      <c r="AQ46" s="252">
        <f t="shared" si="11"/>
        <v>0</v>
      </c>
      <c r="AR46" s="252">
        <f t="shared" si="12"/>
        <v>0</v>
      </c>
      <c r="AS46" s="25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52">
        <f t="shared" si="13"/>
        <v>0</v>
      </c>
      <c r="AU46" s="252">
        <f t="shared" si="14"/>
        <v>0</v>
      </c>
      <c r="AV46" s="252">
        <f t="shared" si="15"/>
        <v>0</v>
      </c>
      <c r="AW46" s="252">
        <f t="shared" si="15"/>
        <v>0</v>
      </c>
      <c r="AX46" s="252">
        <f t="shared" si="15"/>
        <v>0</v>
      </c>
      <c r="AY46" s="725">
        <f t="shared" si="16"/>
        <v>0</v>
      </c>
      <c r="AZ46" s="690"/>
      <c r="BA46" s="690"/>
      <c r="BB46" s="690"/>
      <c r="BC46" s="690"/>
    </row>
    <row r="47" spans="3:55" s="46" customFormat="1" ht="30.75" hidden="1" customHeight="1" outlineLevel="1">
      <c r="C47" s="744">
        <v>31</v>
      </c>
      <c r="D47" s="691"/>
      <c r="E47" s="778"/>
      <c r="F47" s="774"/>
      <c r="G47" s="2023"/>
      <c r="H47" s="2024"/>
      <c r="I47" s="683"/>
      <c r="J47" s="729"/>
      <c r="K47" s="684"/>
      <c r="L47" s="685"/>
      <c r="M47" s="685"/>
      <c r="N47" s="685"/>
      <c r="O47" s="685"/>
      <c r="P47" s="685"/>
      <c r="Q47" s="854"/>
      <c r="R47" s="1003"/>
      <c r="S47" s="1045"/>
      <c r="T47" s="686"/>
      <c r="U47" s="730"/>
      <c r="V47" s="731"/>
      <c r="W47" s="721"/>
      <c r="X47" s="780"/>
      <c r="Y47" s="781"/>
      <c r="Z47" s="777"/>
      <c r="AA47" s="688">
        <f t="shared" si="3"/>
        <v>0</v>
      </c>
      <c r="AB47" s="688">
        <f t="shared" si="18"/>
        <v>0</v>
      </c>
      <c r="AC47" s="688">
        <f t="shared" si="19"/>
        <v>0</v>
      </c>
      <c r="AD47" s="688">
        <f>IF(AA47=0,,VLOOKUP(AA47,リスト!DH:DI,2,0))</f>
        <v>0</v>
      </c>
      <c r="AE47" s="688">
        <f t="shared" si="4"/>
        <v>0</v>
      </c>
      <c r="AF47" s="689">
        <f>IF(AE47=0,,VLOOKUP(AE47,リスト!DK:DL,2,0))</f>
        <v>0</v>
      </c>
      <c r="AG47" s="688">
        <f>IF(AA47=0,,
IF(OR(リスト!$C$21="小麦",リスト!$C$21="二条大麦",リスト!$C$21="六条大麦",リスト!$C$21="はだか麦",リスト!$C$21="なたね"),IF(K47&lt;9,調査年-J47,調査年-J47-1),
IF(リスト!$C$21="さとうきび",IF(K47&gt;=4,調査年-J47,調査年-J47+1),
調査年-J47)))</f>
        <v>0</v>
      </c>
      <c r="AH47" s="252">
        <f t="shared" si="5"/>
        <v>0</v>
      </c>
      <c r="AI47" s="252">
        <f t="shared" si="6"/>
        <v>0</v>
      </c>
      <c r="AJ47" s="252">
        <f t="shared" si="7"/>
        <v>0</v>
      </c>
      <c r="AK47" s="252">
        <f t="shared" si="8"/>
        <v>0</v>
      </c>
      <c r="AL47" s="252">
        <f t="shared" si="9"/>
        <v>0</v>
      </c>
      <c r="AM47" s="252">
        <f t="shared" si="17"/>
        <v>0</v>
      </c>
      <c r="AN47" s="403"/>
      <c r="AO47" s="25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52">
        <f t="shared" si="10"/>
        <v>0</v>
      </c>
      <c r="AQ47" s="252">
        <f t="shared" si="11"/>
        <v>0</v>
      </c>
      <c r="AR47" s="252">
        <f t="shared" si="12"/>
        <v>0</v>
      </c>
      <c r="AS47" s="25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52">
        <f t="shared" si="13"/>
        <v>0</v>
      </c>
      <c r="AU47" s="252">
        <f t="shared" si="14"/>
        <v>0</v>
      </c>
      <c r="AV47" s="252">
        <f t="shared" si="15"/>
        <v>0</v>
      </c>
      <c r="AW47" s="252">
        <f t="shared" si="15"/>
        <v>0</v>
      </c>
      <c r="AX47" s="252">
        <f t="shared" si="15"/>
        <v>0</v>
      </c>
      <c r="AY47" s="725">
        <f t="shared" si="16"/>
        <v>0</v>
      </c>
      <c r="AZ47" s="690"/>
      <c r="BA47" s="690"/>
      <c r="BB47" s="690"/>
      <c r="BC47" s="690"/>
    </row>
    <row r="48" spans="3:55" s="46" customFormat="1" ht="30.75" hidden="1" customHeight="1" outlineLevel="1">
      <c r="C48" s="744">
        <v>32</v>
      </c>
      <c r="D48" s="679"/>
      <c r="E48" s="778"/>
      <c r="F48" s="774"/>
      <c r="G48" s="2023"/>
      <c r="H48" s="2024"/>
      <c r="I48" s="683"/>
      <c r="J48" s="729"/>
      <c r="K48" s="684"/>
      <c r="L48" s="685"/>
      <c r="M48" s="685"/>
      <c r="N48" s="685"/>
      <c r="O48" s="685"/>
      <c r="P48" s="685"/>
      <c r="Q48" s="854"/>
      <c r="R48" s="1003"/>
      <c r="S48" s="1045"/>
      <c r="T48" s="686"/>
      <c r="U48" s="730"/>
      <c r="V48" s="731"/>
      <c r="W48" s="721"/>
      <c r="X48" s="780"/>
      <c r="Y48" s="781"/>
      <c r="Z48" s="777"/>
      <c r="AA48" s="688">
        <f t="shared" si="3"/>
        <v>0</v>
      </c>
      <c r="AB48" s="688">
        <f t="shared" si="18"/>
        <v>0</v>
      </c>
      <c r="AC48" s="688">
        <f t="shared" si="19"/>
        <v>0</v>
      </c>
      <c r="AD48" s="688">
        <f>IF(AA48=0,,VLOOKUP(AA48,リスト!DH:DI,2,0))</f>
        <v>0</v>
      </c>
      <c r="AE48" s="688">
        <f t="shared" si="4"/>
        <v>0</v>
      </c>
      <c r="AF48" s="689">
        <f>IF(AE48=0,,VLOOKUP(AE48,リスト!DK:DL,2,0))</f>
        <v>0</v>
      </c>
      <c r="AG48" s="688">
        <f>IF(AA48=0,,
IF(OR(リスト!$C$21="小麦",リスト!$C$21="二条大麦",リスト!$C$21="六条大麦",リスト!$C$21="はだか麦",リスト!$C$21="なたね"),IF(K48&lt;9,調査年-J48,調査年-J48-1),
IF(リスト!$C$21="さとうきび",IF(K48&gt;=4,調査年-J48,調査年-J48+1),
調査年-J48)))</f>
        <v>0</v>
      </c>
      <c r="AH48" s="252">
        <f t="shared" si="5"/>
        <v>0</v>
      </c>
      <c r="AI48" s="252">
        <f t="shared" si="6"/>
        <v>0</v>
      </c>
      <c r="AJ48" s="252">
        <f t="shared" si="7"/>
        <v>0</v>
      </c>
      <c r="AK48" s="252">
        <f t="shared" si="8"/>
        <v>0</v>
      </c>
      <c r="AL48" s="252">
        <f t="shared" si="9"/>
        <v>0</v>
      </c>
      <c r="AM48" s="252">
        <f t="shared" si="17"/>
        <v>0</v>
      </c>
      <c r="AN48" s="403"/>
      <c r="AO48" s="25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52">
        <f t="shared" si="10"/>
        <v>0</v>
      </c>
      <c r="AQ48" s="252">
        <f t="shared" si="11"/>
        <v>0</v>
      </c>
      <c r="AR48" s="252">
        <f t="shared" si="12"/>
        <v>0</v>
      </c>
      <c r="AS48" s="25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52">
        <f t="shared" si="13"/>
        <v>0</v>
      </c>
      <c r="AU48" s="252">
        <f t="shared" si="14"/>
        <v>0</v>
      </c>
      <c r="AV48" s="252">
        <f t="shared" si="15"/>
        <v>0</v>
      </c>
      <c r="AW48" s="252">
        <f t="shared" si="15"/>
        <v>0</v>
      </c>
      <c r="AX48" s="252">
        <f t="shared" si="15"/>
        <v>0</v>
      </c>
      <c r="AY48" s="725">
        <f t="shared" si="16"/>
        <v>0</v>
      </c>
      <c r="AZ48" s="690"/>
      <c r="BA48" s="690"/>
      <c r="BB48" s="690"/>
      <c r="BC48" s="690"/>
    </row>
    <row r="49" spans="3:55" s="46" customFormat="1" ht="30.75" hidden="1" customHeight="1" outlineLevel="1">
      <c r="C49" s="744">
        <v>33</v>
      </c>
      <c r="D49" s="691"/>
      <c r="E49" s="778"/>
      <c r="F49" s="774"/>
      <c r="G49" s="2023"/>
      <c r="H49" s="2024"/>
      <c r="I49" s="683"/>
      <c r="J49" s="729"/>
      <c r="K49" s="684"/>
      <c r="L49" s="685"/>
      <c r="M49" s="685"/>
      <c r="N49" s="685"/>
      <c r="O49" s="685"/>
      <c r="P49" s="685"/>
      <c r="Q49" s="854"/>
      <c r="R49" s="1003"/>
      <c r="S49" s="1045"/>
      <c r="T49" s="686"/>
      <c r="U49" s="730"/>
      <c r="V49" s="731"/>
      <c r="W49" s="721"/>
      <c r="X49" s="780"/>
      <c r="Y49" s="781"/>
      <c r="Z49" s="777"/>
      <c r="AA49" s="688">
        <f t="shared" si="3"/>
        <v>0</v>
      </c>
      <c r="AB49" s="688">
        <f t="shared" si="18"/>
        <v>0</v>
      </c>
      <c r="AC49" s="688">
        <f t="shared" si="19"/>
        <v>0</v>
      </c>
      <c r="AD49" s="688">
        <f>IF(AA49=0,,VLOOKUP(AA49,リスト!DH:DI,2,0))</f>
        <v>0</v>
      </c>
      <c r="AE49" s="688">
        <f t="shared" si="4"/>
        <v>0</v>
      </c>
      <c r="AF49" s="689">
        <f>IF(AE49=0,,VLOOKUP(AE49,リスト!DK:DL,2,0))</f>
        <v>0</v>
      </c>
      <c r="AG49" s="688">
        <f>IF(AA49=0,,
IF(OR(リスト!$C$21="小麦",リスト!$C$21="二条大麦",リスト!$C$21="六条大麦",リスト!$C$21="はだか麦",リスト!$C$21="なたね"),IF(K49&lt;9,調査年-J49,調査年-J49-1),
IF(リスト!$C$21="さとうきび",IF(K49&gt;=4,調査年-J49,調査年-J49+1),
調査年-J49)))</f>
        <v>0</v>
      </c>
      <c r="AH49" s="252">
        <f t="shared" ref="AH49:AH80" si="20">IF(OR(AA49=0,AB49=1),,
IF(AND(AE49&gt;0,AG49&lt;AE49,AI49&lt;=ROUND((L49-1)*AF49,0)),ROUND(AI49,0),
IF(AND(AE49&gt;0,AG49&lt;AE49),ROUND((L49-1)*AF49,0),)))</f>
        <v>0</v>
      </c>
      <c r="AI49" s="252">
        <f t="shared" si="6"/>
        <v>0</v>
      </c>
      <c r="AJ49" s="252">
        <f t="shared" si="7"/>
        <v>0</v>
      </c>
      <c r="AK49" s="252">
        <f t="shared" si="8"/>
        <v>0</v>
      </c>
      <c r="AL49" s="252">
        <f t="shared" si="9"/>
        <v>0</v>
      </c>
      <c r="AM49" s="252">
        <f t="shared" si="17"/>
        <v>0</v>
      </c>
      <c r="AN49" s="403"/>
      <c r="AO49" s="25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52">
        <f t="shared" si="10"/>
        <v>0</v>
      </c>
      <c r="AQ49" s="252">
        <f t="shared" si="11"/>
        <v>0</v>
      </c>
      <c r="AR49" s="252">
        <f t="shared" si="12"/>
        <v>0</v>
      </c>
      <c r="AS49" s="25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52">
        <f t="shared" si="13"/>
        <v>0</v>
      </c>
      <c r="AU49" s="252">
        <f t="shared" si="14"/>
        <v>0</v>
      </c>
      <c r="AV49" s="252">
        <f t="shared" si="15"/>
        <v>0</v>
      </c>
      <c r="AW49" s="252">
        <f t="shared" si="15"/>
        <v>0</v>
      </c>
      <c r="AX49" s="252">
        <f t="shared" si="15"/>
        <v>0</v>
      </c>
      <c r="AY49" s="725">
        <f t="shared" si="16"/>
        <v>0</v>
      </c>
      <c r="AZ49" s="690"/>
      <c r="BA49" s="690"/>
      <c r="BB49" s="690"/>
      <c r="BC49" s="690"/>
    </row>
    <row r="50" spans="3:55" s="46" customFormat="1" ht="30.75" hidden="1" customHeight="1" outlineLevel="1">
      <c r="C50" s="744">
        <v>34</v>
      </c>
      <c r="D50" s="691"/>
      <c r="E50" s="778"/>
      <c r="F50" s="774"/>
      <c r="G50" s="2023"/>
      <c r="H50" s="2024"/>
      <c r="I50" s="683"/>
      <c r="J50" s="729"/>
      <c r="K50" s="684"/>
      <c r="L50" s="685"/>
      <c r="M50" s="685"/>
      <c r="N50" s="685"/>
      <c r="O50" s="685"/>
      <c r="P50" s="685"/>
      <c r="Q50" s="854"/>
      <c r="R50" s="1003"/>
      <c r="S50" s="1045"/>
      <c r="T50" s="686"/>
      <c r="U50" s="730"/>
      <c r="V50" s="731"/>
      <c r="W50" s="721"/>
      <c r="X50" s="780"/>
      <c r="Y50" s="781"/>
      <c r="Z50" s="777"/>
      <c r="AA50" s="688">
        <f t="shared" si="3"/>
        <v>0</v>
      </c>
      <c r="AB50" s="688">
        <f t="shared" si="18"/>
        <v>0</v>
      </c>
      <c r="AC50" s="688">
        <f t="shared" si="19"/>
        <v>0</v>
      </c>
      <c r="AD50" s="688">
        <f>IF(AA50=0,,VLOOKUP(AA50,リスト!DH:DI,2,0))</f>
        <v>0</v>
      </c>
      <c r="AE50" s="688">
        <f t="shared" si="4"/>
        <v>0</v>
      </c>
      <c r="AF50" s="689">
        <f>IF(AE50=0,,VLOOKUP(AE50,リスト!DK:DL,2,0))</f>
        <v>0</v>
      </c>
      <c r="AG50" s="688">
        <f>IF(AA50=0,,
IF(OR(リスト!$C$21="小麦",リスト!$C$21="二条大麦",リスト!$C$21="六条大麦",リスト!$C$21="はだか麦",リスト!$C$21="なたね"),IF(K50&lt;9,調査年-J50,調査年-J50-1),
IF(リスト!$C$21="さとうきび",IF(K50&gt;=4,調査年-J50,調査年-J50+1),
調査年-J50)))</f>
        <v>0</v>
      </c>
      <c r="AH50" s="252">
        <f t="shared" si="20"/>
        <v>0</v>
      </c>
      <c r="AI50" s="252">
        <f t="shared" si="6"/>
        <v>0</v>
      </c>
      <c r="AJ50" s="252">
        <f t="shared" si="7"/>
        <v>0</v>
      </c>
      <c r="AK50" s="252">
        <f t="shared" si="8"/>
        <v>0</v>
      </c>
      <c r="AL50" s="252">
        <f t="shared" si="9"/>
        <v>0</v>
      </c>
      <c r="AM50" s="252">
        <f t="shared" si="17"/>
        <v>0</v>
      </c>
      <c r="AN50" s="403"/>
      <c r="AO50" s="25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52">
        <f t="shared" si="10"/>
        <v>0</v>
      </c>
      <c r="AQ50" s="252">
        <f t="shared" si="11"/>
        <v>0</v>
      </c>
      <c r="AR50" s="252">
        <f t="shared" si="12"/>
        <v>0</v>
      </c>
      <c r="AS50" s="25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52">
        <f t="shared" si="13"/>
        <v>0</v>
      </c>
      <c r="AU50" s="252">
        <f t="shared" si="14"/>
        <v>0</v>
      </c>
      <c r="AV50" s="252">
        <f t="shared" si="15"/>
        <v>0</v>
      </c>
      <c r="AW50" s="252">
        <f t="shared" si="15"/>
        <v>0</v>
      </c>
      <c r="AX50" s="252">
        <f t="shared" si="15"/>
        <v>0</v>
      </c>
      <c r="AY50" s="725">
        <f t="shared" si="16"/>
        <v>0</v>
      </c>
      <c r="AZ50" s="690"/>
      <c r="BA50" s="690"/>
      <c r="BB50" s="690"/>
      <c r="BC50" s="690"/>
    </row>
    <row r="51" spans="3:55" s="46" customFormat="1" ht="30.75" hidden="1" customHeight="1" outlineLevel="1">
      <c r="C51" s="744">
        <v>35</v>
      </c>
      <c r="D51" s="691"/>
      <c r="E51" s="778"/>
      <c r="F51" s="774"/>
      <c r="G51" s="2023"/>
      <c r="H51" s="2024"/>
      <c r="I51" s="683"/>
      <c r="J51" s="729"/>
      <c r="K51" s="684"/>
      <c r="L51" s="685"/>
      <c r="M51" s="685"/>
      <c r="N51" s="685"/>
      <c r="O51" s="685"/>
      <c r="P51" s="685"/>
      <c r="Q51" s="854"/>
      <c r="R51" s="1003"/>
      <c r="S51" s="1045"/>
      <c r="T51" s="686"/>
      <c r="U51" s="730"/>
      <c r="V51" s="731"/>
      <c r="W51" s="721"/>
      <c r="X51" s="780"/>
      <c r="Y51" s="781"/>
      <c r="Z51" s="777"/>
      <c r="AA51" s="688">
        <f t="shared" si="3"/>
        <v>0</v>
      </c>
      <c r="AB51" s="688">
        <f t="shared" si="18"/>
        <v>0</v>
      </c>
      <c r="AC51" s="688">
        <f t="shared" si="19"/>
        <v>0</v>
      </c>
      <c r="AD51" s="688">
        <f>IF(AA51=0,,VLOOKUP(AA51,リスト!DH:DI,2,0))</f>
        <v>0</v>
      </c>
      <c r="AE51" s="688">
        <f t="shared" si="4"/>
        <v>0</v>
      </c>
      <c r="AF51" s="689">
        <f>IF(AE51=0,,VLOOKUP(AE51,リスト!DK:DL,2,0))</f>
        <v>0</v>
      </c>
      <c r="AG51" s="688">
        <f>IF(AA51=0,,
IF(OR(リスト!$C$21="小麦",リスト!$C$21="二条大麦",リスト!$C$21="六条大麦",リスト!$C$21="はだか麦",リスト!$C$21="なたね"),IF(K51&lt;9,調査年-J51,調査年-J51-1),
IF(リスト!$C$21="さとうきび",IF(K51&gt;=4,調査年-J51,調査年-J51+1),
調査年-J51)))</f>
        <v>0</v>
      </c>
      <c r="AH51" s="252">
        <f t="shared" si="20"/>
        <v>0</v>
      </c>
      <c r="AI51" s="252">
        <f t="shared" si="6"/>
        <v>0</v>
      </c>
      <c r="AJ51" s="252">
        <f t="shared" si="7"/>
        <v>0</v>
      </c>
      <c r="AK51" s="252">
        <f t="shared" si="8"/>
        <v>0</v>
      </c>
      <c r="AL51" s="252">
        <f t="shared" si="9"/>
        <v>0</v>
      </c>
      <c r="AM51" s="252">
        <f t="shared" si="17"/>
        <v>0</v>
      </c>
      <c r="AN51" s="403"/>
      <c r="AO51" s="25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52">
        <f t="shared" si="10"/>
        <v>0</v>
      </c>
      <c r="AQ51" s="252">
        <f t="shared" si="11"/>
        <v>0</v>
      </c>
      <c r="AR51" s="252">
        <f t="shared" si="12"/>
        <v>0</v>
      </c>
      <c r="AS51" s="25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52">
        <f t="shared" si="13"/>
        <v>0</v>
      </c>
      <c r="AU51" s="252">
        <f t="shared" si="14"/>
        <v>0</v>
      </c>
      <c r="AV51" s="252">
        <f t="shared" si="15"/>
        <v>0</v>
      </c>
      <c r="AW51" s="252">
        <f t="shared" si="15"/>
        <v>0</v>
      </c>
      <c r="AX51" s="252">
        <f t="shared" si="15"/>
        <v>0</v>
      </c>
      <c r="AY51" s="725">
        <f t="shared" si="16"/>
        <v>0</v>
      </c>
      <c r="AZ51" s="690"/>
      <c r="BA51" s="690"/>
      <c r="BB51" s="690"/>
      <c r="BC51" s="690"/>
    </row>
    <row r="52" spans="3:55" s="46" customFormat="1" ht="30.75" hidden="1" customHeight="1" outlineLevel="1">
      <c r="C52" s="744">
        <v>36</v>
      </c>
      <c r="D52" s="691"/>
      <c r="E52" s="778"/>
      <c r="F52" s="774"/>
      <c r="G52" s="2023"/>
      <c r="H52" s="2024"/>
      <c r="I52" s="683"/>
      <c r="J52" s="729"/>
      <c r="K52" s="684"/>
      <c r="L52" s="685"/>
      <c r="M52" s="685"/>
      <c r="N52" s="685"/>
      <c r="O52" s="685"/>
      <c r="P52" s="685"/>
      <c r="Q52" s="854"/>
      <c r="R52" s="1003"/>
      <c r="S52" s="1045"/>
      <c r="T52" s="686"/>
      <c r="U52" s="730"/>
      <c r="V52" s="731"/>
      <c r="W52" s="721"/>
      <c r="X52" s="780"/>
      <c r="Y52" s="781"/>
      <c r="Z52" s="777"/>
      <c r="AA52" s="688">
        <f t="shared" si="3"/>
        <v>0</v>
      </c>
      <c r="AB52" s="688">
        <f t="shared" si="18"/>
        <v>0</v>
      </c>
      <c r="AC52" s="688">
        <f t="shared" si="19"/>
        <v>0</v>
      </c>
      <c r="AD52" s="688">
        <f>IF(AA52=0,,VLOOKUP(AA52,リスト!DH:DI,2,0))</f>
        <v>0</v>
      </c>
      <c r="AE52" s="688">
        <f t="shared" si="4"/>
        <v>0</v>
      </c>
      <c r="AF52" s="689">
        <f>IF(AE52=0,,VLOOKUP(AE52,リスト!DK:DL,2,0))</f>
        <v>0</v>
      </c>
      <c r="AG52" s="688">
        <f>IF(AA52=0,,
IF(OR(リスト!$C$21="小麦",リスト!$C$21="二条大麦",リスト!$C$21="六条大麦",リスト!$C$21="はだか麦",リスト!$C$21="なたね"),IF(K52&lt;9,調査年-J52,調査年-J52-1),
IF(リスト!$C$21="さとうきび",IF(K52&gt;=4,調査年-J52,調査年-J52+1),
調査年-J52)))</f>
        <v>0</v>
      </c>
      <c r="AH52" s="252">
        <f t="shared" si="20"/>
        <v>0</v>
      </c>
      <c r="AI52" s="252">
        <f t="shared" si="6"/>
        <v>0</v>
      </c>
      <c r="AJ52" s="252">
        <f t="shared" si="7"/>
        <v>0</v>
      </c>
      <c r="AK52" s="252">
        <f t="shared" si="8"/>
        <v>0</v>
      </c>
      <c r="AL52" s="252">
        <f t="shared" si="9"/>
        <v>0</v>
      </c>
      <c r="AM52" s="252">
        <f t="shared" si="17"/>
        <v>0</v>
      </c>
      <c r="AN52" s="403"/>
      <c r="AO52" s="25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52">
        <f t="shared" si="10"/>
        <v>0</v>
      </c>
      <c r="AQ52" s="252">
        <f t="shared" si="11"/>
        <v>0</v>
      </c>
      <c r="AR52" s="252">
        <f t="shared" si="12"/>
        <v>0</v>
      </c>
      <c r="AS52" s="25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52">
        <f t="shared" si="13"/>
        <v>0</v>
      </c>
      <c r="AU52" s="252">
        <f t="shared" si="14"/>
        <v>0</v>
      </c>
      <c r="AV52" s="252">
        <f t="shared" si="15"/>
        <v>0</v>
      </c>
      <c r="AW52" s="252">
        <f t="shared" si="15"/>
        <v>0</v>
      </c>
      <c r="AX52" s="252">
        <f t="shared" si="15"/>
        <v>0</v>
      </c>
      <c r="AY52" s="725">
        <f t="shared" si="16"/>
        <v>0</v>
      </c>
      <c r="AZ52" s="690"/>
      <c r="BA52" s="690"/>
      <c r="BB52" s="690"/>
      <c r="BC52" s="690"/>
    </row>
    <row r="53" spans="3:55" s="46" customFormat="1" ht="30.75" hidden="1" customHeight="1" outlineLevel="1">
      <c r="C53" s="744">
        <v>37</v>
      </c>
      <c r="D53" s="691"/>
      <c r="E53" s="778"/>
      <c r="F53" s="774"/>
      <c r="G53" s="2023"/>
      <c r="H53" s="2024"/>
      <c r="I53" s="683"/>
      <c r="J53" s="729"/>
      <c r="K53" s="684"/>
      <c r="L53" s="685"/>
      <c r="M53" s="685"/>
      <c r="N53" s="685"/>
      <c r="O53" s="685"/>
      <c r="P53" s="685"/>
      <c r="Q53" s="854"/>
      <c r="R53" s="1003"/>
      <c r="S53" s="1045"/>
      <c r="T53" s="686"/>
      <c r="U53" s="730"/>
      <c r="V53" s="731"/>
      <c r="W53" s="721"/>
      <c r="X53" s="780"/>
      <c r="Y53" s="781"/>
      <c r="Z53" s="777"/>
      <c r="AA53" s="688">
        <f t="shared" si="3"/>
        <v>0</v>
      </c>
      <c r="AB53" s="688">
        <f t="shared" si="18"/>
        <v>0</v>
      </c>
      <c r="AC53" s="688">
        <f t="shared" si="19"/>
        <v>0</v>
      </c>
      <c r="AD53" s="688">
        <f>IF(AA53=0,,VLOOKUP(AA53,リスト!DH:DI,2,0))</f>
        <v>0</v>
      </c>
      <c r="AE53" s="688">
        <f t="shared" si="4"/>
        <v>0</v>
      </c>
      <c r="AF53" s="689">
        <f>IF(AE53=0,,VLOOKUP(AE53,リスト!DK:DL,2,0))</f>
        <v>0</v>
      </c>
      <c r="AG53" s="688">
        <f>IF(AA53=0,,
IF(OR(リスト!$C$21="小麦",リスト!$C$21="二条大麦",リスト!$C$21="六条大麦",リスト!$C$21="はだか麦",リスト!$C$21="なたね"),IF(K53&lt;9,調査年-J53,調査年-J53-1),
IF(リスト!$C$21="さとうきび",IF(K53&gt;=4,調査年-J53,調査年-J53+1),
調査年-J53)))</f>
        <v>0</v>
      </c>
      <c r="AH53" s="252">
        <f t="shared" si="20"/>
        <v>0</v>
      </c>
      <c r="AI53" s="252">
        <f t="shared" si="6"/>
        <v>0</v>
      </c>
      <c r="AJ53" s="252">
        <f t="shared" si="7"/>
        <v>0</v>
      </c>
      <c r="AK53" s="252">
        <f t="shared" si="8"/>
        <v>0</v>
      </c>
      <c r="AL53" s="252">
        <f t="shared" si="9"/>
        <v>0</v>
      </c>
      <c r="AM53" s="252">
        <f t="shared" si="17"/>
        <v>0</v>
      </c>
      <c r="AN53" s="403"/>
      <c r="AO53" s="25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52">
        <f t="shared" si="10"/>
        <v>0</v>
      </c>
      <c r="AQ53" s="252">
        <f t="shared" si="11"/>
        <v>0</v>
      </c>
      <c r="AR53" s="252">
        <f t="shared" si="12"/>
        <v>0</v>
      </c>
      <c r="AS53" s="25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52">
        <f t="shared" si="13"/>
        <v>0</v>
      </c>
      <c r="AU53" s="252">
        <f t="shared" si="14"/>
        <v>0</v>
      </c>
      <c r="AV53" s="252">
        <f t="shared" si="15"/>
        <v>0</v>
      </c>
      <c r="AW53" s="252">
        <f t="shared" si="15"/>
        <v>0</v>
      </c>
      <c r="AX53" s="252">
        <f t="shared" si="15"/>
        <v>0</v>
      </c>
      <c r="AY53" s="725">
        <f t="shared" si="16"/>
        <v>0</v>
      </c>
      <c r="AZ53" s="690"/>
      <c r="BA53" s="690"/>
      <c r="BB53" s="690"/>
      <c r="BC53" s="690"/>
    </row>
    <row r="54" spans="3:55" s="46" customFormat="1" ht="30.75" hidden="1" customHeight="1" outlineLevel="1">
      <c r="C54" s="744">
        <v>38</v>
      </c>
      <c r="D54" s="691"/>
      <c r="E54" s="778"/>
      <c r="F54" s="774"/>
      <c r="G54" s="2023"/>
      <c r="H54" s="2024"/>
      <c r="I54" s="683"/>
      <c r="J54" s="729"/>
      <c r="K54" s="684"/>
      <c r="L54" s="685"/>
      <c r="M54" s="685"/>
      <c r="N54" s="685"/>
      <c r="O54" s="685"/>
      <c r="P54" s="685"/>
      <c r="Q54" s="854"/>
      <c r="R54" s="1003"/>
      <c r="S54" s="1045"/>
      <c r="T54" s="686"/>
      <c r="U54" s="730"/>
      <c r="V54" s="731"/>
      <c r="W54" s="721"/>
      <c r="X54" s="780"/>
      <c r="Y54" s="781"/>
      <c r="Z54" s="777"/>
      <c r="AA54" s="688">
        <f t="shared" si="3"/>
        <v>0</v>
      </c>
      <c r="AB54" s="688">
        <f t="shared" si="18"/>
        <v>0</v>
      </c>
      <c r="AC54" s="688">
        <f t="shared" si="19"/>
        <v>0</v>
      </c>
      <c r="AD54" s="688">
        <f>IF(AA54=0,,VLOOKUP(AA54,リスト!DH:DI,2,0))</f>
        <v>0</v>
      </c>
      <c r="AE54" s="688">
        <f t="shared" si="4"/>
        <v>0</v>
      </c>
      <c r="AF54" s="689">
        <f>IF(AE54=0,,VLOOKUP(AE54,リスト!DK:DL,2,0))</f>
        <v>0</v>
      </c>
      <c r="AG54" s="688">
        <f>IF(AA54=0,,
IF(OR(リスト!$C$21="小麦",リスト!$C$21="二条大麦",リスト!$C$21="六条大麦",リスト!$C$21="はだか麦",リスト!$C$21="なたね"),IF(K54&lt;9,調査年-J54,調査年-J54-1),
IF(リスト!$C$21="さとうきび",IF(K54&gt;=4,調査年-J54,調査年-J54+1),
調査年-J54)))</f>
        <v>0</v>
      </c>
      <c r="AH54" s="252">
        <f t="shared" si="20"/>
        <v>0</v>
      </c>
      <c r="AI54" s="252">
        <f t="shared" si="6"/>
        <v>0</v>
      </c>
      <c r="AJ54" s="252">
        <f t="shared" si="7"/>
        <v>0</v>
      </c>
      <c r="AK54" s="252">
        <f t="shared" si="8"/>
        <v>0</v>
      </c>
      <c r="AL54" s="252">
        <f t="shared" si="9"/>
        <v>0</v>
      </c>
      <c r="AM54" s="252">
        <f t="shared" si="17"/>
        <v>0</v>
      </c>
      <c r="AN54" s="403"/>
      <c r="AO54" s="25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52">
        <f t="shared" si="10"/>
        <v>0</v>
      </c>
      <c r="AQ54" s="252">
        <f t="shared" si="11"/>
        <v>0</v>
      </c>
      <c r="AR54" s="252">
        <f t="shared" si="12"/>
        <v>0</v>
      </c>
      <c r="AS54" s="25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52">
        <f t="shared" si="13"/>
        <v>0</v>
      </c>
      <c r="AU54" s="252">
        <f t="shared" si="14"/>
        <v>0</v>
      </c>
      <c r="AV54" s="252">
        <f t="shared" si="15"/>
        <v>0</v>
      </c>
      <c r="AW54" s="252">
        <f t="shared" si="15"/>
        <v>0</v>
      </c>
      <c r="AX54" s="252">
        <f t="shared" si="15"/>
        <v>0</v>
      </c>
      <c r="AY54" s="725">
        <f t="shared" si="16"/>
        <v>0</v>
      </c>
      <c r="AZ54" s="690"/>
      <c r="BA54" s="690"/>
      <c r="BB54" s="690"/>
      <c r="BC54" s="690"/>
    </row>
    <row r="55" spans="3:55" s="46" customFormat="1" ht="30.75" hidden="1" customHeight="1" outlineLevel="1">
      <c r="C55" s="744">
        <v>39</v>
      </c>
      <c r="D55" s="691"/>
      <c r="E55" s="778"/>
      <c r="F55" s="774"/>
      <c r="G55" s="2023"/>
      <c r="H55" s="2024"/>
      <c r="I55" s="683"/>
      <c r="J55" s="729"/>
      <c r="K55" s="684"/>
      <c r="L55" s="685"/>
      <c r="M55" s="685"/>
      <c r="N55" s="685"/>
      <c r="O55" s="685"/>
      <c r="P55" s="685"/>
      <c r="Q55" s="854"/>
      <c r="R55" s="1003"/>
      <c r="S55" s="1045"/>
      <c r="T55" s="686"/>
      <c r="U55" s="730"/>
      <c r="V55" s="731"/>
      <c r="W55" s="721"/>
      <c r="X55" s="780"/>
      <c r="Y55" s="781"/>
      <c r="Z55" s="777"/>
      <c r="AA55" s="688">
        <f t="shared" si="3"/>
        <v>0</v>
      </c>
      <c r="AB55" s="688">
        <f t="shared" si="18"/>
        <v>0</v>
      </c>
      <c r="AC55" s="688">
        <f t="shared" si="19"/>
        <v>0</v>
      </c>
      <c r="AD55" s="688">
        <f>IF(AA55=0,,VLOOKUP(AA55,リスト!DH:DI,2,0))</f>
        <v>0</v>
      </c>
      <c r="AE55" s="688">
        <f t="shared" si="4"/>
        <v>0</v>
      </c>
      <c r="AF55" s="689">
        <f>IF(AE55=0,,VLOOKUP(AE55,リスト!DK:DL,2,0))</f>
        <v>0</v>
      </c>
      <c r="AG55" s="688">
        <f>IF(AA55=0,,
IF(OR(リスト!$C$21="小麦",リスト!$C$21="二条大麦",リスト!$C$21="六条大麦",リスト!$C$21="はだか麦",リスト!$C$21="なたね"),IF(K55&lt;9,調査年-J55,調査年-J55-1),
IF(リスト!$C$21="さとうきび",IF(K55&gt;=4,調査年-J55,調査年-J55+1),
調査年-J55)))</f>
        <v>0</v>
      </c>
      <c r="AH55" s="252">
        <f t="shared" si="20"/>
        <v>0</v>
      </c>
      <c r="AI55" s="252">
        <f t="shared" si="6"/>
        <v>0</v>
      </c>
      <c r="AJ55" s="252">
        <f t="shared" si="7"/>
        <v>0</v>
      </c>
      <c r="AK55" s="252">
        <f t="shared" si="8"/>
        <v>0</v>
      </c>
      <c r="AL55" s="252">
        <f t="shared" si="9"/>
        <v>0</v>
      </c>
      <c r="AM55" s="252">
        <f t="shared" si="17"/>
        <v>0</v>
      </c>
      <c r="AN55" s="403"/>
      <c r="AO55" s="25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52">
        <f t="shared" si="10"/>
        <v>0</v>
      </c>
      <c r="AQ55" s="252">
        <f t="shared" si="11"/>
        <v>0</v>
      </c>
      <c r="AR55" s="252">
        <f t="shared" si="12"/>
        <v>0</v>
      </c>
      <c r="AS55" s="25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52">
        <f t="shared" si="13"/>
        <v>0</v>
      </c>
      <c r="AU55" s="252">
        <f t="shared" si="14"/>
        <v>0</v>
      </c>
      <c r="AV55" s="252">
        <f t="shared" si="15"/>
        <v>0</v>
      </c>
      <c r="AW55" s="252">
        <f t="shared" si="15"/>
        <v>0</v>
      </c>
      <c r="AX55" s="252">
        <f t="shared" si="15"/>
        <v>0</v>
      </c>
      <c r="AY55" s="725">
        <f t="shared" si="16"/>
        <v>0</v>
      </c>
      <c r="AZ55" s="690"/>
      <c r="BA55" s="690"/>
      <c r="BB55" s="690"/>
      <c r="BC55" s="690"/>
    </row>
    <row r="56" spans="3:55" s="46" customFormat="1" ht="30.75" hidden="1" customHeight="1" outlineLevel="1">
      <c r="C56" s="744">
        <v>40</v>
      </c>
      <c r="D56" s="691"/>
      <c r="E56" s="778"/>
      <c r="F56" s="774"/>
      <c r="G56" s="2023"/>
      <c r="H56" s="2024"/>
      <c r="I56" s="683"/>
      <c r="J56" s="729"/>
      <c r="K56" s="684"/>
      <c r="L56" s="685"/>
      <c r="M56" s="685"/>
      <c r="N56" s="685"/>
      <c r="O56" s="685"/>
      <c r="P56" s="685"/>
      <c r="Q56" s="854"/>
      <c r="R56" s="1003"/>
      <c r="S56" s="1045"/>
      <c r="T56" s="686"/>
      <c r="U56" s="730"/>
      <c r="V56" s="731"/>
      <c r="W56" s="721"/>
      <c r="X56" s="780"/>
      <c r="Y56" s="781"/>
      <c r="Z56" s="777"/>
      <c r="AA56" s="688">
        <f t="shared" si="3"/>
        <v>0</v>
      </c>
      <c r="AB56" s="688">
        <f t="shared" si="18"/>
        <v>0</v>
      </c>
      <c r="AC56" s="688">
        <f t="shared" si="19"/>
        <v>0</v>
      </c>
      <c r="AD56" s="688">
        <f>IF(AA56=0,,VLOOKUP(AA56,リスト!DH:DI,2,0))</f>
        <v>0</v>
      </c>
      <c r="AE56" s="688">
        <f t="shared" si="4"/>
        <v>0</v>
      </c>
      <c r="AF56" s="689">
        <f>IF(AE56=0,,VLOOKUP(AE56,リスト!DK:DL,2,0))</f>
        <v>0</v>
      </c>
      <c r="AG56" s="688">
        <f>IF(AA56=0,,
IF(OR(リスト!$C$21="小麦",リスト!$C$21="二条大麦",リスト!$C$21="六条大麦",リスト!$C$21="はだか麦",リスト!$C$21="なたね"),IF(K56&lt;9,調査年-J56,調査年-J56-1),
IF(リスト!$C$21="さとうきび",IF(K56&gt;=4,調査年-J56,調査年-J56+1),
調査年-J56)))</f>
        <v>0</v>
      </c>
      <c r="AH56" s="252">
        <f t="shared" si="20"/>
        <v>0</v>
      </c>
      <c r="AI56" s="252">
        <f t="shared" si="6"/>
        <v>0</v>
      </c>
      <c r="AJ56" s="252">
        <f t="shared" si="7"/>
        <v>0</v>
      </c>
      <c r="AK56" s="252">
        <f t="shared" si="8"/>
        <v>0</v>
      </c>
      <c r="AL56" s="252">
        <f t="shared" si="9"/>
        <v>0</v>
      </c>
      <c r="AM56" s="252">
        <f t="shared" si="17"/>
        <v>0</v>
      </c>
      <c r="AN56" s="403"/>
      <c r="AO56" s="25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52">
        <f t="shared" si="10"/>
        <v>0</v>
      </c>
      <c r="AQ56" s="252">
        <f t="shared" si="11"/>
        <v>0</v>
      </c>
      <c r="AR56" s="252">
        <f t="shared" si="12"/>
        <v>0</v>
      </c>
      <c r="AS56" s="25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52">
        <f t="shared" si="13"/>
        <v>0</v>
      </c>
      <c r="AU56" s="252">
        <f t="shared" si="14"/>
        <v>0</v>
      </c>
      <c r="AV56" s="252">
        <f t="shared" si="15"/>
        <v>0</v>
      </c>
      <c r="AW56" s="252">
        <f t="shared" si="15"/>
        <v>0</v>
      </c>
      <c r="AX56" s="252">
        <f t="shared" si="15"/>
        <v>0</v>
      </c>
      <c r="AY56" s="725">
        <f t="shared" si="16"/>
        <v>0</v>
      </c>
      <c r="AZ56" s="690"/>
      <c r="BA56" s="690"/>
      <c r="BB56" s="690"/>
      <c r="BC56" s="690"/>
    </row>
    <row r="57" spans="3:55" s="46" customFormat="1" ht="30.75" hidden="1" customHeight="1" outlineLevel="1">
      <c r="C57" s="744">
        <v>41</v>
      </c>
      <c r="D57" s="691"/>
      <c r="E57" s="778"/>
      <c r="F57" s="774"/>
      <c r="G57" s="2023"/>
      <c r="H57" s="2024"/>
      <c r="I57" s="683"/>
      <c r="J57" s="729"/>
      <c r="K57" s="684"/>
      <c r="L57" s="685"/>
      <c r="M57" s="685"/>
      <c r="N57" s="685"/>
      <c r="O57" s="685"/>
      <c r="P57" s="685"/>
      <c r="Q57" s="854"/>
      <c r="R57" s="1003"/>
      <c r="S57" s="1045"/>
      <c r="T57" s="686"/>
      <c r="U57" s="730"/>
      <c r="V57" s="731"/>
      <c r="W57" s="721"/>
      <c r="X57" s="780"/>
      <c r="Y57" s="781"/>
      <c r="Z57" s="777"/>
      <c r="AA57" s="688">
        <f t="shared" si="3"/>
        <v>0</v>
      </c>
      <c r="AB57" s="688">
        <f t="shared" si="18"/>
        <v>0</v>
      </c>
      <c r="AC57" s="688">
        <f t="shared" si="19"/>
        <v>0</v>
      </c>
      <c r="AD57" s="688">
        <f>IF(AA57=0,,VLOOKUP(AA57,リスト!DH:DI,2,0))</f>
        <v>0</v>
      </c>
      <c r="AE57" s="688">
        <f t="shared" si="4"/>
        <v>0</v>
      </c>
      <c r="AF57" s="689">
        <f>IF(AE57=0,,VLOOKUP(AE57,リスト!DK:DL,2,0))</f>
        <v>0</v>
      </c>
      <c r="AG57" s="688">
        <f>IF(AA57=0,,
IF(OR(リスト!$C$21="小麦",リスト!$C$21="二条大麦",リスト!$C$21="六条大麦",リスト!$C$21="はだか麦",リスト!$C$21="なたね"),IF(K57&lt;9,調査年-J57,調査年-J57-1),
IF(リスト!$C$21="さとうきび",IF(K57&gt;=4,調査年-J57,調査年-J57+1),
調査年-J57)))</f>
        <v>0</v>
      </c>
      <c r="AH57" s="252">
        <f t="shared" si="20"/>
        <v>0</v>
      </c>
      <c r="AI57" s="252">
        <f t="shared" si="6"/>
        <v>0</v>
      </c>
      <c r="AJ57" s="252">
        <f t="shared" si="7"/>
        <v>0</v>
      </c>
      <c r="AK57" s="252">
        <f t="shared" si="8"/>
        <v>0</v>
      </c>
      <c r="AL57" s="252">
        <f t="shared" si="9"/>
        <v>0</v>
      </c>
      <c r="AM57" s="252">
        <f t="shared" si="17"/>
        <v>0</v>
      </c>
      <c r="AN57" s="403"/>
      <c r="AO57" s="25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52">
        <f t="shared" si="10"/>
        <v>0</v>
      </c>
      <c r="AQ57" s="252">
        <f t="shared" si="11"/>
        <v>0</v>
      </c>
      <c r="AR57" s="252">
        <f t="shared" si="12"/>
        <v>0</v>
      </c>
      <c r="AS57" s="25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52">
        <f t="shared" si="13"/>
        <v>0</v>
      </c>
      <c r="AU57" s="252">
        <f t="shared" si="14"/>
        <v>0</v>
      </c>
      <c r="AV57" s="252">
        <f t="shared" si="15"/>
        <v>0</v>
      </c>
      <c r="AW57" s="252">
        <f t="shared" si="15"/>
        <v>0</v>
      </c>
      <c r="AX57" s="252">
        <f t="shared" si="15"/>
        <v>0</v>
      </c>
      <c r="AY57" s="725">
        <f t="shared" si="16"/>
        <v>0</v>
      </c>
      <c r="AZ57" s="690"/>
      <c r="BA57" s="690"/>
      <c r="BB57" s="690"/>
      <c r="BC57" s="690"/>
    </row>
    <row r="58" spans="3:55" s="46" customFormat="1" ht="30.75" hidden="1" customHeight="1" outlineLevel="1">
      <c r="C58" s="744">
        <v>42</v>
      </c>
      <c r="D58" s="691"/>
      <c r="E58" s="778"/>
      <c r="F58" s="774"/>
      <c r="G58" s="2023"/>
      <c r="H58" s="2024"/>
      <c r="I58" s="683"/>
      <c r="J58" s="729"/>
      <c r="K58" s="684"/>
      <c r="L58" s="685"/>
      <c r="M58" s="685"/>
      <c r="N58" s="685"/>
      <c r="O58" s="685"/>
      <c r="P58" s="685"/>
      <c r="Q58" s="854"/>
      <c r="R58" s="1003"/>
      <c r="S58" s="1045"/>
      <c r="T58" s="686"/>
      <c r="U58" s="730"/>
      <c r="V58" s="731"/>
      <c r="W58" s="721"/>
      <c r="X58" s="780"/>
      <c r="Y58" s="781"/>
      <c r="Z58" s="777"/>
      <c r="AA58" s="688">
        <f t="shared" si="3"/>
        <v>0</v>
      </c>
      <c r="AB58" s="688">
        <f t="shared" si="18"/>
        <v>0</v>
      </c>
      <c r="AC58" s="688">
        <f t="shared" si="19"/>
        <v>0</v>
      </c>
      <c r="AD58" s="688">
        <f>IF(AA58=0,,VLOOKUP(AA58,リスト!DH:DI,2,0))</f>
        <v>0</v>
      </c>
      <c r="AE58" s="688">
        <f t="shared" si="4"/>
        <v>0</v>
      </c>
      <c r="AF58" s="689">
        <f>IF(AE58=0,,VLOOKUP(AE58,リスト!DK:DL,2,0))</f>
        <v>0</v>
      </c>
      <c r="AG58" s="688">
        <f>IF(AA58=0,,
IF(OR(リスト!$C$21="小麦",リスト!$C$21="二条大麦",リスト!$C$21="六条大麦",リスト!$C$21="はだか麦",リスト!$C$21="なたね"),IF(K58&lt;9,調査年-J58,調査年-J58-1),
IF(リスト!$C$21="さとうきび",IF(K58&gt;=4,調査年-J58,調査年-J58+1),
調査年-J58)))</f>
        <v>0</v>
      </c>
      <c r="AH58" s="252">
        <f t="shared" si="20"/>
        <v>0</v>
      </c>
      <c r="AI58" s="252">
        <f t="shared" si="6"/>
        <v>0</v>
      </c>
      <c r="AJ58" s="252">
        <f t="shared" si="7"/>
        <v>0</v>
      </c>
      <c r="AK58" s="252">
        <f t="shared" si="8"/>
        <v>0</v>
      </c>
      <c r="AL58" s="252">
        <f t="shared" si="9"/>
        <v>0</v>
      </c>
      <c r="AM58" s="252">
        <f t="shared" si="17"/>
        <v>0</v>
      </c>
      <c r="AN58" s="403"/>
      <c r="AO58" s="25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52">
        <f t="shared" si="10"/>
        <v>0</v>
      </c>
      <c r="AQ58" s="252">
        <f t="shared" si="11"/>
        <v>0</v>
      </c>
      <c r="AR58" s="252">
        <f t="shared" si="12"/>
        <v>0</v>
      </c>
      <c r="AS58" s="25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52">
        <f t="shared" si="13"/>
        <v>0</v>
      </c>
      <c r="AU58" s="252">
        <f t="shared" si="14"/>
        <v>0</v>
      </c>
      <c r="AV58" s="252">
        <f t="shared" si="15"/>
        <v>0</v>
      </c>
      <c r="AW58" s="252">
        <f t="shared" si="15"/>
        <v>0</v>
      </c>
      <c r="AX58" s="252">
        <f t="shared" si="15"/>
        <v>0</v>
      </c>
      <c r="AY58" s="725">
        <f t="shared" si="16"/>
        <v>0</v>
      </c>
      <c r="AZ58" s="690"/>
      <c r="BA58" s="690"/>
      <c r="BB58" s="690"/>
      <c r="BC58" s="690"/>
    </row>
    <row r="59" spans="3:55" s="46" customFormat="1" ht="30.75" hidden="1" customHeight="1" outlineLevel="1">
      <c r="C59" s="744">
        <v>43</v>
      </c>
      <c r="D59" s="691"/>
      <c r="E59" s="778"/>
      <c r="F59" s="774"/>
      <c r="G59" s="2023"/>
      <c r="H59" s="2024"/>
      <c r="I59" s="683"/>
      <c r="J59" s="729"/>
      <c r="K59" s="684"/>
      <c r="L59" s="685"/>
      <c r="M59" s="685"/>
      <c r="N59" s="685"/>
      <c r="O59" s="685"/>
      <c r="P59" s="685"/>
      <c r="Q59" s="854"/>
      <c r="R59" s="1003"/>
      <c r="S59" s="1045"/>
      <c r="T59" s="686"/>
      <c r="U59" s="730"/>
      <c r="V59" s="731"/>
      <c r="W59" s="721"/>
      <c r="X59" s="780"/>
      <c r="Y59" s="781"/>
      <c r="Z59" s="777"/>
      <c r="AA59" s="688">
        <f t="shared" si="3"/>
        <v>0</v>
      </c>
      <c r="AB59" s="688">
        <f t="shared" si="18"/>
        <v>0</v>
      </c>
      <c r="AC59" s="688">
        <f t="shared" si="19"/>
        <v>0</v>
      </c>
      <c r="AD59" s="688">
        <f>IF(AA59=0,,VLOOKUP(AA59,リスト!DH:DI,2,0))</f>
        <v>0</v>
      </c>
      <c r="AE59" s="688">
        <f t="shared" si="4"/>
        <v>0</v>
      </c>
      <c r="AF59" s="689">
        <f>IF(AE59=0,,VLOOKUP(AE59,リスト!DK:DL,2,0))</f>
        <v>0</v>
      </c>
      <c r="AG59" s="688">
        <f>IF(AA59=0,,
IF(OR(リスト!$C$21="小麦",リスト!$C$21="二条大麦",リスト!$C$21="六条大麦",リスト!$C$21="はだか麦",リスト!$C$21="なたね"),IF(K59&lt;9,調査年-J59,調査年-J59-1),
IF(リスト!$C$21="さとうきび",IF(K59&gt;=4,調査年-J59,調査年-J59+1),
調査年-J59)))</f>
        <v>0</v>
      </c>
      <c r="AH59" s="252">
        <f t="shared" si="20"/>
        <v>0</v>
      </c>
      <c r="AI59" s="252">
        <f t="shared" si="6"/>
        <v>0</v>
      </c>
      <c r="AJ59" s="252">
        <f t="shared" si="7"/>
        <v>0</v>
      </c>
      <c r="AK59" s="252">
        <f t="shared" si="8"/>
        <v>0</v>
      </c>
      <c r="AL59" s="252">
        <f t="shared" si="9"/>
        <v>0</v>
      </c>
      <c r="AM59" s="252">
        <f t="shared" si="17"/>
        <v>0</v>
      </c>
      <c r="AN59" s="403"/>
      <c r="AO59" s="25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52">
        <f t="shared" si="10"/>
        <v>0</v>
      </c>
      <c r="AQ59" s="252">
        <f t="shared" si="11"/>
        <v>0</v>
      </c>
      <c r="AR59" s="252">
        <f t="shared" si="12"/>
        <v>0</v>
      </c>
      <c r="AS59" s="25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52">
        <f t="shared" si="13"/>
        <v>0</v>
      </c>
      <c r="AU59" s="252">
        <f t="shared" si="14"/>
        <v>0</v>
      </c>
      <c r="AV59" s="252">
        <f t="shared" si="15"/>
        <v>0</v>
      </c>
      <c r="AW59" s="252">
        <f t="shared" si="15"/>
        <v>0</v>
      </c>
      <c r="AX59" s="252">
        <f t="shared" si="15"/>
        <v>0</v>
      </c>
      <c r="AY59" s="725">
        <f t="shared" si="16"/>
        <v>0</v>
      </c>
      <c r="AZ59" s="690"/>
      <c r="BA59" s="690"/>
      <c r="BB59" s="690"/>
      <c r="BC59" s="690"/>
    </row>
    <row r="60" spans="3:55" s="46" customFormat="1" ht="30.75" hidden="1" customHeight="1" outlineLevel="1">
      <c r="C60" s="744">
        <v>44</v>
      </c>
      <c r="D60" s="691"/>
      <c r="E60" s="778"/>
      <c r="F60" s="774"/>
      <c r="G60" s="2023"/>
      <c r="H60" s="2024"/>
      <c r="I60" s="683"/>
      <c r="J60" s="729"/>
      <c r="K60" s="684"/>
      <c r="L60" s="685"/>
      <c r="M60" s="685"/>
      <c r="N60" s="685"/>
      <c r="O60" s="685"/>
      <c r="P60" s="685"/>
      <c r="Q60" s="854"/>
      <c r="R60" s="1003"/>
      <c r="S60" s="1045"/>
      <c r="T60" s="686"/>
      <c r="U60" s="730"/>
      <c r="V60" s="731"/>
      <c r="W60" s="721"/>
      <c r="X60" s="780"/>
      <c r="Y60" s="781"/>
      <c r="Z60" s="777"/>
      <c r="AA60" s="688">
        <f t="shared" si="3"/>
        <v>0</v>
      </c>
      <c r="AB60" s="688">
        <f t="shared" si="18"/>
        <v>0</v>
      </c>
      <c r="AC60" s="688">
        <f t="shared" si="19"/>
        <v>0</v>
      </c>
      <c r="AD60" s="688">
        <f>IF(AA60=0,,VLOOKUP(AA60,リスト!DH:DI,2,0))</f>
        <v>0</v>
      </c>
      <c r="AE60" s="688">
        <f t="shared" si="4"/>
        <v>0</v>
      </c>
      <c r="AF60" s="689">
        <f>IF(AE60=0,,VLOOKUP(AE60,リスト!DK:DL,2,0))</f>
        <v>0</v>
      </c>
      <c r="AG60" s="688">
        <f>IF(AA60=0,,
IF(OR(リスト!$C$21="小麦",リスト!$C$21="二条大麦",リスト!$C$21="六条大麦",リスト!$C$21="はだか麦",リスト!$C$21="なたね"),IF(K60&lt;9,調査年-J60,調査年-J60-1),
IF(リスト!$C$21="さとうきび",IF(K60&gt;=4,調査年-J60,調査年-J60+1),
調査年-J60)))</f>
        <v>0</v>
      </c>
      <c r="AH60" s="252">
        <f t="shared" si="20"/>
        <v>0</v>
      </c>
      <c r="AI60" s="252">
        <f t="shared" si="6"/>
        <v>0</v>
      </c>
      <c r="AJ60" s="252">
        <f t="shared" si="7"/>
        <v>0</v>
      </c>
      <c r="AK60" s="252">
        <f t="shared" si="8"/>
        <v>0</v>
      </c>
      <c r="AL60" s="252">
        <f t="shared" si="9"/>
        <v>0</v>
      </c>
      <c r="AM60" s="252">
        <f t="shared" si="17"/>
        <v>0</v>
      </c>
      <c r="AN60" s="403"/>
      <c r="AO60" s="25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52">
        <f t="shared" si="10"/>
        <v>0</v>
      </c>
      <c r="AQ60" s="252">
        <f t="shared" si="11"/>
        <v>0</v>
      </c>
      <c r="AR60" s="252">
        <f t="shared" si="12"/>
        <v>0</v>
      </c>
      <c r="AS60" s="25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52">
        <f t="shared" si="13"/>
        <v>0</v>
      </c>
      <c r="AU60" s="252">
        <f t="shared" si="14"/>
        <v>0</v>
      </c>
      <c r="AV60" s="252">
        <f t="shared" si="15"/>
        <v>0</v>
      </c>
      <c r="AW60" s="252">
        <f t="shared" si="15"/>
        <v>0</v>
      </c>
      <c r="AX60" s="252">
        <f t="shared" si="15"/>
        <v>0</v>
      </c>
      <c r="AY60" s="725">
        <f t="shared" si="16"/>
        <v>0</v>
      </c>
      <c r="AZ60" s="690"/>
      <c r="BA60" s="690"/>
      <c r="BB60" s="690"/>
      <c r="BC60" s="690"/>
    </row>
    <row r="61" spans="3:55" s="46" customFormat="1" ht="30.75" hidden="1" customHeight="1" outlineLevel="1">
      <c r="C61" s="744">
        <v>45</v>
      </c>
      <c r="D61" s="691"/>
      <c r="E61" s="778"/>
      <c r="F61" s="774"/>
      <c r="G61" s="2023"/>
      <c r="H61" s="2024"/>
      <c r="I61" s="683"/>
      <c r="J61" s="729"/>
      <c r="K61" s="684"/>
      <c r="L61" s="685"/>
      <c r="M61" s="685"/>
      <c r="N61" s="685"/>
      <c r="O61" s="685"/>
      <c r="P61" s="685"/>
      <c r="Q61" s="854"/>
      <c r="R61" s="1003"/>
      <c r="S61" s="1045"/>
      <c r="T61" s="686"/>
      <c r="U61" s="730"/>
      <c r="V61" s="731"/>
      <c r="W61" s="721"/>
      <c r="X61" s="780"/>
      <c r="Y61" s="781"/>
      <c r="Z61" s="777"/>
      <c r="AA61" s="688">
        <f t="shared" si="3"/>
        <v>0</v>
      </c>
      <c r="AB61" s="688">
        <f t="shared" si="18"/>
        <v>0</v>
      </c>
      <c r="AC61" s="688">
        <f t="shared" si="19"/>
        <v>0</v>
      </c>
      <c r="AD61" s="688">
        <f>IF(AA61=0,,VLOOKUP(AA61,リスト!DH:DI,2,0))</f>
        <v>0</v>
      </c>
      <c r="AE61" s="688">
        <f t="shared" si="4"/>
        <v>0</v>
      </c>
      <c r="AF61" s="689">
        <f>IF(AE61=0,,VLOOKUP(AE61,リスト!DK:DL,2,0))</f>
        <v>0</v>
      </c>
      <c r="AG61" s="688">
        <f>IF(AA61=0,,
IF(OR(リスト!$C$21="小麦",リスト!$C$21="二条大麦",リスト!$C$21="六条大麦",リスト!$C$21="はだか麦",リスト!$C$21="なたね"),IF(K61&lt;9,調査年-J61,調査年-J61-1),
IF(リスト!$C$21="さとうきび",IF(K61&gt;=4,調査年-J61,調査年-J61+1),
調査年-J61)))</f>
        <v>0</v>
      </c>
      <c r="AH61" s="252">
        <f t="shared" si="20"/>
        <v>0</v>
      </c>
      <c r="AI61" s="252">
        <f t="shared" si="6"/>
        <v>0</v>
      </c>
      <c r="AJ61" s="252">
        <f t="shared" si="7"/>
        <v>0</v>
      </c>
      <c r="AK61" s="252">
        <f t="shared" si="8"/>
        <v>0</v>
      </c>
      <c r="AL61" s="252">
        <f t="shared" si="9"/>
        <v>0</v>
      </c>
      <c r="AM61" s="252">
        <f t="shared" si="17"/>
        <v>0</v>
      </c>
      <c r="AN61" s="403"/>
      <c r="AO61" s="25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52">
        <f t="shared" si="10"/>
        <v>0</v>
      </c>
      <c r="AQ61" s="252">
        <f t="shared" si="11"/>
        <v>0</v>
      </c>
      <c r="AR61" s="252">
        <f t="shared" si="12"/>
        <v>0</v>
      </c>
      <c r="AS61" s="25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52">
        <f t="shared" si="13"/>
        <v>0</v>
      </c>
      <c r="AU61" s="252">
        <f t="shared" si="14"/>
        <v>0</v>
      </c>
      <c r="AV61" s="252">
        <f t="shared" si="15"/>
        <v>0</v>
      </c>
      <c r="AW61" s="252">
        <f t="shared" si="15"/>
        <v>0</v>
      </c>
      <c r="AX61" s="252">
        <f t="shared" si="15"/>
        <v>0</v>
      </c>
      <c r="AY61" s="725">
        <f t="shared" si="16"/>
        <v>0</v>
      </c>
      <c r="AZ61" s="690"/>
      <c r="BA61" s="690"/>
      <c r="BB61" s="690"/>
      <c r="BC61" s="690"/>
    </row>
    <row r="62" spans="3:55" s="46" customFormat="1" ht="30.75" hidden="1" customHeight="1" outlineLevel="1">
      <c r="C62" s="744">
        <v>46</v>
      </c>
      <c r="D62" s="691"/>
      <c r="E62" s="778"/>
      <c r="F62" s="774"/>
      <c r="G62" s="2023"/>
      <c r="H62" s="2024"/>
      <c r="I62" s="683"/>
      <c r="J62" s="729"/>
      <c r="K62" s="684"/>
      <c r="L62" s="685"/>
      <c r="M62" s="685"/>
      <c r="N62" s="685"/>
      <c r="O62" s="685"/>
      <c r="P62" s="685"/>
      <c r="Q62" s="854"/>
      <c r="R62" s="1003"/>
      <c r="S62" s="1045"/>
      <c r="T62" s="686"/>
      <c r="U62" s="730"/>
      <c r="V62" s="731"/>
      <c r="W62" s="721"/>
      <c r="X62" s="780"/>
      <c r="Y62" s="781"/>
      <c r="Z62" s="777"/>
      <c r="AA62" s="688">
        <f t="shared" si="3"/>
        <v>0</v>
      </c>
      <c r="AB62" s="688">
        <f t="shared" si="18"/>
        <v>0</v>
      </c>
      <c r="AC62" s="688">
        <f t="shared" si="19"/>
        <v>0</v>
      </c>
      <c r="AD62" s="688">
        <f>IF(AA62=0,,VLOOKUP(AA62,リスト!DH:DI,2,0))</f>
        <v>0</v>
      </c>
      <c r="AE62" s="688">
        <f t="shared" si="4"/>
        <v>0</v>
      </c>
      <c r="AF62" s="689">
        <f>IF(AE62=0,,VLOOKUP(AE62,リスト!DK:DL,2,0))</f>
        <v>0</v>
      </c>
      <c r="AG62" s="688">
        <f>IF(AA62=0,,
IF(OR(リスト!$C$21="小麦",リスト!$C$21="二条大麦",リスト!$C$21="六条大麦",リスト!$C$21="はだか麦",リスト!$C$21="なたね"),IF(K62&lt;9,調査年-J62,調査年-J62-1),
IF(リスト!$C$21="さとうきび",IF(K62&gt;=4,調査年-J62,調査年-J62+1),
調査年-J62)))</f>
        <v>0</v>
      </c>
      <c r="AH62" s="252">
        <f t="shared" si="20"/>
        <v>0</v>
      </c>
      <c r="AI62" s="252">
        <f t="shared" si="6"/>
        <v>0</v>
      </c>
      <c r="AJ62" s="252">
        <f t="shared" si="7"/>
        <v>0</v>
      </c>
      <c r="AK62" s="252">
        <f t="shared" si="8"/>
        <v>0</v>
      </c>
      <c r="AL62" s="252">
        <f t="shared" si="9"/>
        <v>0</v>
      </c>
      <c r="AM62" s="252">
        <f t="shared" si="17"/>
        <v>0</v>
      </c>
      <c r="AN62" s="403"/>
      <c r="AO62" s="25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52">
        <f t="shared" si="10"/>
        <v>0</v>
      </c>
      <c r="AQ62" s="252">
        <f t="shared" si="11"/>
        <v>0</v>
      </c>
      <c r="AR62" s="252">
        <f t="shared" si="12"/>
        <v>0</v>
      </c>
      <c r="AS62" s="25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52">
        <f t="shared" si="13"/>
        <v>0</v>
      </c>
      <c r="AU62" s="252">
        <f t="shared" si="14"/>
        <v>0</v>
      </c>
      <c r="AV62" s="252">
        <f t="shared" si="15"/>
        <v>0</v>
      </c>
      <c r="AW62" s="252">
        <f t="shared" si="15"/>
        <v>0</v>
      </c>
      <c r="AX62" s="252">
        <f t="shared" si="15"/>
        <v>0</v>
      </c>
      <c r="AY62" s="725">
        <f t="shared" si="16"/>
        <v>0</v>
      </c>
      <c r="AZ62" s="690"/>
      <c r="BA62" s="690"/>
      <c r="BB62" s="690"/>
      <c r="BC62" s="690"/>
    </row>
    <row r="63" spans="3:55" s="46" customFormat="1" ht="30.75" hidden="1" customHeight="1" outlineLevel="1">
      <c r="C63" s="744">
        <v>47</v>
      </c>
      <c r="D63" s="691"/>
      <c r="E63" s="778"/>
      <c r="F63" s="774"/>
      <c r="G63" s="2023"/>
      <c r="H63" s="2024"/>
      <c r="I63" s="683"/>
      <c r="J63" s="729"/>
      <c r="K63" s="684"/>
      <c r="L63" s="685"/>
      <c r="M63" s="685"/>
      <c r="N63" s="685"/>
      <c r="O63" s="685"/>
      <c r="P63" s="685"/>
      <c r="Q63" s="854"/>
      <c r="R63" s="1003"/>
      <c r="S63" s="1045"/>
      <c r="T63" s="686"/>
      <c r="U63" s="730"/>
      <c r="V63" s="731"/>
      <c r="W63" s="721"/>
      <c r="X63" s="780"/>
      <c r="Y63" s="781"/>
      <c r="Z63" s="777"/>
      <c r="AA63" s="688">
        <f t="shared" si="3"/>
        <v>0</v>
      </c>
      <c r="AB63" s="688">
        <f t="shared" si="18"/>
        <v>0</v>
      </c>
      <c r="AC63" s="688">
        <f t="shared" si="19"/>
        <v>0</v>
      </c>
      <c r="AD63" s="688">
        <f>IF(AA63=0,,VLOOKUP(AA63,リスト!DH:DI,2,0))</f>
        <v>0</v>
      </c>
      <c r="AE63" s="688">
        <f t="shared" si="4"/>
        <v>0</v>
      </c>
      <c r="AF63" s="689">
        <f>IF(AE63=0,,VLOOKUP(AE63,リスト!DK:DL,2,0))</f>
        <v>0</v>
      </c>
      <c r="AG63" s="688">
        <f>IF(AA63=0,,
IF(OR(リスト!$C$21="小麦",リスト!$C$21="二条大麦",リスト!$C$21="六条大麦",リスト!$C$21="はだか麦",リスト!$C$21="なたね"),IF(K63&lt;9,調査年-J63,調査年-J63-1),
IF(リスト!$C$21="さとうきび",IF(K63&gt;=4,調査年-J63,調査年-J63+1),
調査年-J63)))</f>
        <v>0</v>
      </c>
      <c r="AH63" s="252">
        <f t="shared" si="20"/>
        <v>0</v>
      </c>
      <c r="AI63" s="252">
        <f t="shared" si="6"/>
        <v>0</v>
      </c>
      <c r="AJ63" s="252">
        <f t="shared" si="7"/>
        <v>0</v>
      </c>
      <c r="AK63" s="252">
        <f t="shared" si="8"/>
        <v>0</v>
      </c>
      <c r="AL63" s="252">
        <f t="shared" si="9"/>
        <v>0</v>
      </c>
      <c r="AM63" s="252">
        <f t="shared" si="17"/>
        <v>0</v>
      </c>
      <c r="AN63" s="403"/>
      <c r="AO63" s="25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52">
        <f t="shared" si="10"/>
        <v>0</v>
      </c>
      <c r="AQ63" s="252">
        <f t="shared" si="11"/>
        <v>0</v>
      </c>
      <c r="AR63" s="252">
        <f t="shared" si="12"/>
        <v>0</v>
      </c>
      <c r="AS63" s="25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52">
        <f t="shared" si="13"/>
        <v>0</v>
      </c>
      <c r="AU63" s="252">
        <f t="shared" si="14"/>
        <v>0</v>
      </c>
      <c r="AV63" s="252">
        <f t="shared" si="15"/>
        <v>0</v>
      </c>
      <c r="AW63" s="252">
        <f t="shared" si="15"/>
        <v>0</v>
      </c>
      <c r="AX63" s="252">
        <f t="shared" si="15"/>
        <v>0</v>
      </c>
      <c r="AY63" s="725">
        <f t="shared" si="16"/>
        <v>0</v>
      </c>
      <c r="AZ63" s="690"/>
      <c r="BA63" s="690"/>
      <c r="BB63" s="690"/>
      <c r="BC63" s="690"/>
    </row>
    <row r="64" spans="3:55" s="46" customFormat="1" ht="30.75" hidden="1" customHeight="1" outlineLevel="1">
      <c r="C64" s="744">
        <v>48</v>
      </c>
      <c r="D64" s="691"/>
      <c r="E64" s="778"/>
      <c r="F64" s="774"/>
      <c r="G64" s="2023"/>
      <c r="H64" s="2024"/>
      <c r="I64" s="683"/>
      <c r="J64" s="729"/>
      <c r="K64" s="684"/>
      <c r="L64" s="685"/>
      <c r="M64" s="685"/>
      <c r="N64" s="685"/>
      <c r="O64" s="685"/>
      <c r="P64" s="685"/>
      <c r="Q64" s="854"/>
      <c r="R64" s="1003"/>
      <c r="S64" s="1045"/>
      <c r="T64" s="686"/>
      <c r="U64" s="730"/>
      <c r="V64" s="731"/>
      <c r="W64" s="721"/>
      <c r="X64" s="780"/>
      <c r="Y64" s="781"/>
      <c r="Z64" s="777"/>
      <c r="AA64" s="688">
        <f t="shared" si="3"/>
        <v>0</v>
      </c>
      <c r="AB64" s="688">
        <f t="shared" si="18"/>
        <v>0</v>
      </c>
      <c r="AC64" s="688">
        <f t="shared" si="19"/>
        <v>0</v>
      </c>
      <c r="AD64" s="688">
        <f>IF(AA64=0,,VLOOKUP(AA64,リスト!DH:DI,2,0))</f>
        <v>0</v>
      </c>
      <c r="AE64" s="688">
        <f t="shared" si="4"/>
        <v>0</v>
      </c>
      <c r="AF64" s="689">
        <f>IF(AE64=0,,VLOOKUP(AE64,リスト!DK:DL,2,0))</f>
        <v>0</v>
      </c>
      <c r="AG64" s="688">
        <f>IF(AA64=0,,
IF(OR(リスト!$C$21="小麦",リスト!$C$21="二条大麦",リスト!$C$21="六条大麦",リスト!$C$21="はだか麦",リスト!$C$21="なたね"),IF(K64&lt;9,調査年-J64,調査年-J64-1),
IF(リスト!$C$21="さとうきび",IF(K64&gt;=4,調査年-J64,調査年-J64+1),
調査年-J64)))</f>
        <v>0</v>
      </c>
      <c r="AH64" s="252">
        <f t="shared" si="20"/>
        <v>0</v>
      </c>
      <c r="AI64" s="252">
        <f t="shared" si="6"/>
        <v>0</v>
      </c>
      <c r="AJ64" s="252">
        <f t="shared" si="7"/>
        <v>0</v>
      </c>
      <c r="AK64" s="252">
        <f t="shared" si="8"/>
        <v>0</v>
      </c>
      <c r="AL64" s="252">
        <f t="shared" si="9"/>
        <v>0</v>
      </c>
      <c r="AM64" s="252">
        <f t="shared" si="17"/>
        <v>0</v>
      </c>
      <c r="AN64" s="403"/>
      <c r="AO64" s="25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52">
        <f t="shared" si="10"/>
        <v>0</v>
      </c>
      <c r="AQ64" s="252">
        <f t="shared" si="11"/>
        <v>0</v>
      </c>
      <c r="AR64" s="252">
        <f t="shared" si="12"/>
        <v>0</v>
      </c>
      <c r="AS64" s="25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52">
        <f t="shared" si="13"/>
        <v>0</v>
      </c>
      <c r="AU64" s="252">
        <f t="shared" si="14"/>
        <v>0</v>
      </c>
      <c r="AV64" s="252">
        <f t="shared" si="15"/>
        <v>0</v>
      </c>
      <c r="AW64" s="252">
        <f t="shared" si="15"/>
        <v>0</v>
      </c>
      <c r="AX64" s="252">
        <f t="shared" si="15"/>
        <v>0</v>
      </c>
      <c r="AY64" s="725">
        <f t="shared" si="16"/>
        <v>0</v>
      </c>
      <c r="AZ64" s="690"/>
      <c r="BA64" s="690"/>
      <c r="BB64" s="690"/>
      <c r="BC64" s="690"/>
    </row>
    <row r="65" spans="3:55" s="46" customFormat="1" ht="30.75" hidden="1" customHeight="1" outlineLevel="1">
      <c r="C65" s="744">
        <v>49</v>
      </c>
      <c r="D65" s="691"/>
      <c r="E65" s="778"/>
      <c r="F65" s="774"/>
      <c r="G65" s="2023"/>
      <c r="H65" s="2024"/>
      <c r="I65" s="683"/>
      <c r="J65" s="729"/>
      <c r="K65" s="684"/>
      <c r="L65" s="685"/>
      <c r="M65" s="685"/>
      <c r="N65" s="685"/>
      <c r="O65" s="685"/>
      <c r="P65" s="685"/>
      <c r="Q65" s="854"/>
      <c r="R65" s="1003"/>
      <c r="S65" s="1045"/>
      <c r="T65" s="686"/>
      <c r="U65" s="730"/>
      <c r="V65" s="731"/>
      <c r="W65" s="721"/>
      <c r="X65" s="780"/>
      <c r="Y65" s="781"/>
      <c r="Z65" s="777"/>
      <c r="AA65" s="688">
        <f t="shared" si="3"/>
        <v>0</v>
      </c>
      <c r="AB65" s="688">
        <f t="shared" si="18"/>
        <v>0</v>
      </c>
      <c r="AC65" s="688">
        <f t="shared" si="19"/>
        <v>0</v>
      </c>
      <c r="AD65" s="688">
        <f>IF(AA65=0,,VLOOKUP(AA65,リスト!DH:DI,2,0))</f>
        <v>0</v>
      </c>
      <c r="AE65" s="688">
        <f t="shared" si="4"/>
        <v>0</v>
      </c>
      <c r="AF65" s="689">
        <f>IF(AE65=0,,VLOOKUP(AE65,リスト!DK:DL,2,0))</f>
        <v>0</v>
      </c>
      <c r="AG65" s="688">
        <f>IF(AA65=0,,
IF(OR(リスト!$C$21="小麦",リスト!$C$21="二条大麦",リスト!$C$21="六条大麦",リスト!$C$21="はだか麦",リスト!$C$21="なたね"),IF(K65&lt;9,調査年-J65,調査年-J65-1),
IF(リスト!$C$21="さとうきび",IF(K65&gt;=4,調査年-J65,調査年-J65+1),
調査年-J65)))</f>
        <v>0</v>
      </c>
      <c r="AH65" s="252">
        <f t="shared" si="20"/>
        <v>0</v>
      </c>
      <c r="AI65" s="252">
        <f t="shared" si="6"/>
        <v>0</v>
      </c>
      <c r="AJ65" s="252">
        <f t="shared" si="7"/>
        <v>0</v>
      </c>
      <c r="AK65" s="252">
        <f t="shared" si="8"/>
        <v>0</v>
      </c>
      <c r="AL65" s="252">
        <f t="shared" si="9"/>
        <v>0</v>
      </c>
      <c r="AM65" s="252">
        <f t="shared" si="17"/>
        <v>0</v>
      </c>
      <c r="AN65" s="403"/>
      <c r="AO65" s="25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52">
        <f t="shared" si="10"/>
        <v>0</v>
      </c>
      <c r="AQ65" s="252">
        <f t="shared" si="11"/>
        <v>0</v>
      </c>
      <c r="AR65" s="252">
        <f t="shared" si="12"/>
        <v>0</v>
      </c>
      <c r="AS65" s="25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52">
        <f t="shared" si="13"/>
        <v>0</v>
      </c>
      <c r="AU65" s="252">
        <f t="shared" si="14"/>
        <v>0</v>
      </c>
      <c r="AV65" s="252">
        <f t="shared" si="15"/>
        <v>0</v>
      </c>
      <c r="AW65" s="252">
        <f t="shared" si="15"/>
        <v>0</v>
      </c>
      <c r="AX65" s="252">
        <f t="shared" si="15"/>
        <v>0</v>
      </c>
      <c r="AY65" s="725">
        <f t="shared" si="16"/>
        <v>0</v>
      </c>
      <c r="AZ65" s="690"/>
      <c r="BA65" s="690"/>
      <c r="BB65" s="690"/>
      <c r="BC65" s="690"/>
    </row>
    <row r="66" spans="3:55" s="46" customFormat="1" ht="30.75" hidden="1" customHeight="1" outlineLevel="1">
      <c r="C66" s="744">
        <v>50</v>
      </c>
      <c r="D66" s="691"/>
      <c r="E66" s="778"/>
      <c r="F66" s="774"/>
      <c r="G66" s="2023"/>
      <c r="H66" s="2024"/>
      <c r="I66" s="683"/>
      <c r="J66" s="729"/>
      <c r="K66" s="684"/>
      <c r="L66" s="685"/>
      <c r="M66" s="685"/>
      <c r="N66" s="685"/>
      <c r="O66" s="685"/>
      <c r="P66" s="685"/>
      <c r="Q66" s="854"/>
      <c r="R66" s="1003"/>
      <c r="S66" s="1045"/>
      <c r="T66" s="686"/>
      <c r="U66" s="730"/>
      <c r="V66" s="731"/>
      <c r="W66" s="721"/>
      <c r="X66" s="780"/>
      <c r="Y66" s="781"/>
      <c r="Z66" s="777"/>
      <c r="AA66" s="688">
        <f t="shared" si="3"/>
        <v>0</v>
      </c>
      <c r="AB66" s="688">
        <f t="shared" si="18"/>
        <v>0</v>
      </c>
      <c r="AC66" s="688">
        <f t="shared" si="19"/>
        <v>0</v>
      </c>
      <c r="AD66" s="688">
        <f>IF(AA66=0,,VLOOKUP(AA66,リスト!DH:DI,2,0))</f>
        <v>0</v>
      </c>
      <c r="AE66" s="688">
        <f t="shared" si="4"/>
        <v>0</v>
      </c>
      <c r="AF66" s="689">
        <f>IF(AE66=0,,VLOOKUP(AE66,リスト!DK:DL,2,0))</f>
        <v>0</v>
      </c>
      <c r="AG66" s="688">
        <f>IF(AA66=0,,
IF(OR(リスト!$C$21="小麦",リスト!$C$21="二条大麦",リスト!$C$21="六条大麦",リスト!$C$21="はだか麦",リスト!$C$21="なたね"),IF(K66&lt;9,調査年-J66,調査年-J66-1),
IF(リスト!$C$21="さとうきび",IF(K66&gt;=4,調査年-J66,調査年-J66+1),
調査年-J66)))</f>
        <v>0</v>
      </c>
      <c r="AH66" s="252">
        <f t="shared" si="20"/>
        <v>0</v>
      </c>
      <c r="AI66" s="252">
        <f t="shared" si="6"/>
        <v>0</v>
      </c>
      <c r="AJ66" s="252">
        <f t="shared" si="7"/>
        <v>0</v>
      </c>
      <c r="AK66" s="252">
        <f t="shared" si="8"/>
        <v>0</v>
      </c>
      <c r="AL66" s="252">
        <f t="shared" si="9"/>
        <v>0</v>
      </c>
      <c r="AM66" s="252">
        <f t="shared" si="17"/>
        <v>0</v>
      </c>
      <c r="AN66" s="403"/>
      <c r="AO66" s="25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52">
        <f t="shared" si="10"/>
        <v>0</v>
      </c>
      <c r="AQ66" s="252">
        <f t="shared" si="11"/>
        <v>0</v>
      </c>
      <c r="AR66" s="252">
        <f t="shared" si="12"/>
        <v>0</v>
      </c>
      <c r="AS66" s="25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52">
        <f t="shared" si="13"/>
        <v>0</v>
      </c>
      <c r="AU66" s="252">
        <f t="shared" si="14"/>
        <v>0</v>
      </c>
      <c r="AV66" s="252">
        <f t="shared" si="15"/>
        <v>0</v>
      </c>
      <c r="AW66" s="252">
        <f t="shared" si="15"/>
        <v>0</v>
      </c>
      <c r="AX66" s="252">
        <f t="shared" si="15"/>
        <v>0</v>
      </c>
      <c r="AY66" s="725">
        <f t="shared" si="16"/>
        <v>0</v>
      </c>
      <c r="AZ66" s="690"/>
      <c r="BA66" s="690"/>
      <c r="BB66" s="690"/>
      <c r="BC66" s="690"/>
    </row>
    <row r="67" spans="3:55" s="46" customFormat="1" ht="30.75" hidden="1" customHeight="1" outlineLevel="1">
      <c r="C67" s="744">
        <v>51</v>
      </c>
      <c r="D67" s="691"/>
      <c r="E67" s="778"/>
      <c r="F67" s="774"/>
      <c r="G67" s="2023"/>
      <c r="H67" s="2024"/>
      <c r="I67" s="683"/>
      <c r="J67" s="729"/>
      <c r="K67" s="684"/>
      <c r="L67" s="685"/>
      <c r="M67" s="685"/>
      <c r="N67" s="685"/>
      <c r="O67" s="685"/>
      <c r="P67" s="685"/>
      <c r="Q67" s="854"/>
      <c r="R67" s="1003"/>
      <c r="S67" s="1045"/>
      <c r="T67" s="686"/>
      <c r="U67" s="730"/>
      <c r="V67" s="731"/>
      <c r="W67" s="721"/>
      <c r="X67" s="780"/>
      <c r="Y67" s="781"/>
      <c r="Z67" s="777"/>
      <c r="AA67" s="688">
        <f t="shared" si="3"/>
        <v>0</v>
      </c>
      <c r="AB67" s="688">
        <f t="shared" si="18"/>
        <v>0</v>
      </c>
      <c r="AC67" s="688">
        <f t="shared" si="19"/>
        <v>0</v>
      </c>
      <c r="AD67" s="688">
        <f>IF(AA67=0,,VLOOKUP(AA67,リスト!DH:DI,2,0))</f>
        <v>0</v>
      </c>
      <c r="AE67" s="688">
        <f t="shared" si="4"/>
        <v>0</v>
      </c>
      <c r="AF67" s="689">
        <f>IF(AE67=0,,VLOOKUP(AE67,リスト!DK:DL,2,0))</f>
        <v>0</v>
      </c>
      <c r="AG67" s="688">
        <f>IF(AA67=0,,
IF(OR(リスト!$C$21="小麦",リスト!$C$21="二条大麦",リスト!$C$21="六条大麦",リスト!$C$21="はだか麦",リスト!$C$21="なたね"),IF(K67&lt;9,調査年-J67,調査年-J67-1),
IF(リスト!$C$21="さとうきび",IF(K67&gt;=4,調査年-J67,調査年-J67+1),
調査年-J67)))</f>
        <v>0</v>
      </c>
      <c r="AH67" s="252">
        <f t="shared" si="20"/>
        <v>0</v>
      </c>
      <c r="AI67" s="252">
        <f t="shared" si="6"/>
        <v>0</v>
      </c>
      <c r="AJ67" s="252">
        <f t="shared" si="7"/>
        <v>0</v>
      </c>
      <c r="AK67" s="252">
        <f t="shared" si="8"/>
        <v>0</v>
      </c>
      <c r="AL67" s="252">
        <f t="shared" si="9"/>
        <v>0</v>
      </c>
      <c r="AM67" s="252">
        <f t="shared" si="17"/>
        <v>0</v>
      </c>
      <c r="AN67" s="403"/>
      <c r="AO67" s="25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52">
        <f t="shared" si="10"/>
        <v>0</v>
      </c>
      <c r="AQ67" s="252">
        <f t="shared" si="11"/>
        <v>0</v>
      </c>
      <c r="AR67" s="252">
        <f t="shared" si="12"/>
        <v>0</v>
      </c>
      <c r="AS67" s="25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52">
        <f t="shared" si="13"/>
        <v>0</v>
      </c>
      <c r="AU67" s="252">
        <f t="shared" si="14"/>
        <v>0</v>
      </c>
      <c r="AV67" s="252">
        <f t="shared" si="15"/>
        <v>0</v>
      </c>
      <c r="AW67" s="252">
        <f t="shared" si="15"/>
        <v>0</v>
      </c>
      <c r="AX67" s="252">
        <f t="shared" si="15"/>
        <v>0</v>
      </c>
      <c r="AY67" s="725">
        <f t="shared" si="16"/>
        <v>0</v>
      </c>
      <c r="AZ67" s="690"/>
      <c r="BA67" s="690"/>
      <c r="BB67" s="690"/>
      <c r="BC67" s="690"/>
    </row>
    <row r="68" spans="3:55" s="46" customFormat="1" ht="30.75" hidden="1" customHeight="1" outlineLevel="1">
      <c r="C68" s="744">
        <v>52</v>
      </c>
      <c r="D68" s="691"/>
      <c r="E68" s="778"/>
      <c r="F68" s="774"/>
      <c r="G68" s="2023"/>
      <c r="H68" s="2024"/>
      <c r="I68" s="683"/>
      <c r="J68" s="729"/>
      <c r="K68" s="684"/>
      <c r="L68" s="685"/>
      <c r="M68" s="685"/>
      <c r="N68" s="685"/>
      <c r="O68" s="685"/>
      <c r="P68" s="685"/>
      <c r="Q68" s="854"/>
      <c r="R68" s="1003"/>
      <c r="S68" s="1045"/>
      <c r="T68" s="686"/>
      <c r="U68" s="730"/>
      <c r="V68" s="731"/>
      <c r="W68" s="721"/>
      <c r="X68" s="780"/>
      <c r="Y68" s="781"/>
      <c r="Z68" s="777"/>
      <c r="AA68" s="688">
        <f t="shared" si="3"/>
        <v>0</v>
      </c>
      <c r="AB68" s="688">
        <f t="shared" si="18"/>
        <v>0</v>
      </c>
      <c r="AC68" s="688">
        <f t="shared" si="19"/>
        <v>0</v>
      </c>
      <c r="AD68" s="688">
        <f>IF(AA68=0,,VLOOKUP(AA68,リスト!DH:DI,2,0))</f>
        <v>0</v>
      </c>
      <c r="AE68" s="688">
        <f t="shared" si="4"/>
        <v>0</v>
      </c>
      <c r="AF68" s="689">
        <f>IF(AE68=0,,VLOOKUP(AE68,リスト!DK:DL,2,0))</f>
        <v>0</v>
      </c>
      <c r="AG68" s="688">
        <f>IF(AA68=0,,
IF(OR(リスト!$C$21="小麦",リスト!$C$21="二条大麦",リスト!$C$21="六条大麦",リスト!$C$21="はだか麦",リスト!$C$21="なたね"),IF(K68&lt;9,調査年-J68,調査年-J68-1),
IF(リスト!$C$21="さとうきび",IF(K68&gt;=4,調査年-J68,調査年-J68+1),
調査年-J68)))</f>
        <v>0</v>
      </c>
      <c r="AH68" s="252">
        <f t="shared" si="20"/>
        <v>0</v>
      </c>
      <c r="AI68" s="252">
        <f t="shared" si="6"/>
        <v>0</v>
      </c>
      <c r="AJ68" s="252">
        <f t="shared" si="7"/>
        <v>0</v>
      </c>
      <c r="AK68" s="252">
        <f t="shared" si="8"/>
        <v>0</v>
      </c>
      <c r="AL68" s="252">
        <f t="shared" si="9"/>
        <v>0</v>
      </c>
      <c r="AM68" s="252">
        <f t="shared" si="17"/>
        <v>0</v>
      </c>
      <c r="AN68" s="403"/>
      <c r="AO68" s="25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52">
        <f t="shared" si="10"/>
        <v>0</v>
      </c>
      <c r="AQ68" s="252">
        <f t="shared" si="11"/>
        <v>0</v>
      </c>
      <c r="AR68" s="252">
        <f t="shared" si="12"/>
        <v>0</v>
      </c>
      <c r="AS68" s="25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52">
        <f t="shared" si="13"/>
        <v>0</v>
      </c>
      <c r="AU68" s="252">
        <f t="shared" si="14"/>
        <v>0</v>
      </c>
      <c r="AV68" s="252">
        <f t="shared" si="15"/>
        <v>0</v>
      </c>
      <c r="AW68" s="252">
        <f t="shared" si="15"/>
        <v>0</v>
      </c>
      <c r="AX68" s="252">
        <f t="shared" si="15"/>
        <v>0</v>
      </c>
      <c r="AY68" s="725">
        <f t="shared" si="16"/>
        <v>0</v>
      </c>
      <c r="AZ68" s="690"/>
      <c r="BA68" s="690"/>
      <c r="BB68" s="690"/>
      <c r="BC68" s="690"/>
    </row>
    <row r="69" spans="3:55" s="46" customFormat="1" ht="30.75" hidden="1" customHeight="1" outlineLevel="1">
      <c r="C69" s="744">
        <v>53</v>
      </c>
      <c r="D69" s="691"/>
      <c r="E69" s="778"/>
      <c r="F69" s="774"/>
      <c r="G69" s="2023"/>
      <c r="H69" s="2024"/>
      <c r="I69" s="683"/>
      <c r="J69" s="729"/>
      <c r="K69" s="684"/>
      <c r="L69" s="685"/>
      <c r="M69" s="685"/>
      <c r="N69" s="685"/>
      <c r="O69" s="685"/>
      <c r="P69" s="685"/>
      <c r="Q69" s="854"/>
      <c r="R69" s="1003"/>
      <c r="S69" s="1045"/>
      <c r="T69" s="686"/>
      <c r="U69" s="730"/>
      <c r="V69" s="731"/>
      <c r="W69" s="721"/>
      <c r="X69" s="780"/>
      <c r="Y69" s="781"/>
      <c r="Z69" s="777"/>
      <c r="AA69" s="688">
        <f t="shared" si="3"/>
        <v>0</v>
      </c>
      <c r="AB69" s="688">
        <f t="shared" si="18"/>
        <v>0</v>
      </c>
      <c r="AC69" s="688">
        <f t="shared" si="19"/>
        <v>0</v>
      </c>
      <c r="AD69" s="688">
        <f>IF(AA69=0,,VLOOKUP(AA69,リスト!DH:DI,2,0))</f>
        <v>0</v>
      </c>
      <c r="AE69" s="688">
        <f t="shared" si="4"/>
        <v>0</v>
      </c>
      <c r="AF69" s="689">
        <f>IF(AE69=0,,VLOOKUP(AE69,リスト!DK:DL,2,0))</f>
        <v>0</v>
      </c>
      <c r="AG69" s="688">
        <f>IF(AA69=0,,
IF(OR(リスト!$C$21="小麦",リスト!$C$21="二条大麦",リスト!$C$21="六条大麦",リスト!$C$21="はだか麦",リスト!$C$21="なたね"),IF(K69&lt;9,調査年-J69,調査年-J69-1),
IF(リスト!$C$21="さとうきび",IF(K69&gt;=4,調査年-J69,調査年-J69+1),
調査年-J69)))</f>
        <v>0</v>
      </c>
      <c r="AH69" s="252">
        <f t="shared" si="20"/>
        <v>0</v>
      </c>
      <c r="AI69" s="252">
        <f t="shared" si="6"/>
        <v>0</v>
      </c>
      <c r="AJ69" s="252">
        <f t="shared" si="7"/>
        <v>0</v>
      </c>
      <c r="AK69" s="252">
        <f t="shared" si="8"/>
        <v>0</v>
      </c>
      <c r="AL69" s="252">
        <f t="shared" si="9"/>
        <v>0</v>
      </c>
      <c r="AM69" s="252">
        <f t="shared" si="17"/>
        <v>0</v>
      </c>
      <c r="AN69" s="403"/>
      <c r="AO69" s="25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52">
        <f t="shared" si="10"/>
        <v>0</v>
      </c>
      <c r="AQ69" s="252">
        <f t="shared" si="11"/>
        <v>0</v>
      </c>
      <c r="AR69" s="252">
        <f t="shared" si="12"/>
        <v>0</v>
      </c>
      <c r="AS69" s="25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52">
        <f t="shared" si="13"/>
        <v>0</v>
      </c>
      <c r="AU69" s="252">
        <f t="shared" si="14"/>
        <v>0</v>
      </c>
      <c r="AV69" s="252">
        <f t="shared" si="15"/>
        <v>0</v>
      </c>
      <c r="AW69" s="252">
        <f t="shared" si="15"/>
        <v>0</v>
      </c>
      <c r="AX69" s="252">
        <f t="shared" si="15"/>
        <v>0</v>
      </c>
      <c r="AY69" s="725">
        <f t="shared" si="16"/>
        <v>0</v>
      </c>
      <c r="AZ69" s="690"/>
      <c r="BA69" s="690"/>
      <c r="BB69" s="690"/>
      <c r="BC69" s="690"/>
    </row>
    <row r="70" spans="3:55" s="46" customFormat="1" ht="30.75" hidden="1" customHeight="1" outlineLevel="1">
      <c r="C70" s="744">
        <v>54</v>
      </c>
      <c r="D70" s="691"/>
      <c r="E70" s="778"/>
      <c r="F70" s="774"/>
      <c r="G70" s="2023"/>
      <c r="H70" s="2024"/>
      <c r="I70" s="683"/>
      <c r="J70" s="729"/>
      <c r="K70" s="684"/>
      <c r="L70" s="685"/>
      <c r="M70" s="685"/>
      <c r="N70" s="685"/>
      <c r="O70" s="685"/>
      <c r="P70" s="685"/>
      <c r="Q70" s="854"/>
      <c r="R70" s="1003"/>
      <c r="S70" s="1045"/>
      <c r="T70" s="686"/>
      <c r="U70" s="730"/>
      <c r="V70" s="731"/>
      <c r="W70" s="721"/>
      <c r="X70" s="780"/>
      <c r="Y70" s="781"/>
      <c r="Z70" s="777"/>
      <c r="AA70" s="688">
        <f t="shared" si="3"/>
        <v>0</v>
      </c>
      <c r="AB70" s="688">
        <f t="shared" si="18"/>
        <v>0</v>
      </c>
      <c r="AC70" s="688">
        <f t="shared" si="19"/>
        <v>0</v>
      </c>
      <c r="AD70" s="688">
        <f>IF(AA70=0,,VLOOKUP(AA70,リスト!DH:DI,2,0))</f>
        <v>0</v>
      </c>
      <c r="AE70" s="688">
        <f t="shared" si="4"/>
        <v>0</v>
      </c>
      <c r="AF70" s="689">
        <f>IF(AE70=0,,VLOOKUP(AE70,リスト!DK:DL,2,0))</f>
        <v>0</v>
      </c>
      <c r="AG70" s="688">
        <f>IF(AA70=0,,
IF(OR(リスト!$C$21="小麦",リスト!$C$21="二条大麦",リスト!$C$21="六条大麦",リスト!$C$21="はだか麦",リスト!$C$21="なたね"),IF(K70&lt;9,調査年-J70,調査年-J70-1),
IF(リスト!$C$21="さとうきび",IF(K70&gt;=4,調査年-J70,調査年-J70+1),
調査年-J70)))</f>
        <v>0</v>
      </c>
      <c r="AH70" s="252">
        <f t="shared" si="20"/>
        <v>0</v>
      </c>
      <c r="AI70" s="252">
        <f t="shared" si="6"/>
        <v>0</v>
      </c>
      <c r="AJ70" s="252">
        <f t="shared" si="7"/>
        <v>0</v>
      </c>
      <c r="AK70" s="252">
        <f t="shared" si="8"/>
        <v>0</v>
      </c>
      <c r="AL70" s="252">
        <f t="shared" si="9"/>
        <v>0</v>
      </c>
      <c r="AM70" s="252">
        <f t="shared" si="17"/>
        <v>0</v>
      </c>
      <c r="AN70" s="403"/>
      <c r="AO70" s="25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52">
        <f t="shared" si="10"/>
        <v>0</v>
      </c>
      <c r="AQ70" s="252">
        <f t="shared" si="11"/>
        <v>0</v>
      </c>
      <c r="AR70" s="252">
        <f t="shared" si="12"/>
        <v>0</v>
      </c>
      <c r="AS70" s="25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52">
        <f t="shared" si="13"/>
        <v>0</v>
      </c>
      <c r="AU70" s="252">
        <f t="shared" si="14"/>
        <v>0</v>
      </c>
      <c r="AV70" s="252">
        <f t="shared" si="15"/>
        <v>0</v>
      </c>
      <c r="AW70" s="252">
        <f t="shared" si="15"/>
        <v>0</v>
      </c>
      <c r="AX70" s="252">
        <f t="shared" si="15"/>
        <v>0</v>
      </c>
      <c r="AY70" s="725">
        <f t="shared" si="16"/>
        <v>0</v>
      </c>
      <c r="AZ70" s="690"/>
      <c r="BA70" s="690"/>
      <c r="BB70" s="690"/>
      <c r="BC70" s="690"/>
    </row>
    <row r="71" spans="3:55" s="46" customFormat="1" ht="30.75" hidden="1" customHeight="1" outlineLevel="1">
      <c r="C71" s="744">
        <v>55</v>
      </c>
      <c r="D71" s="691"/>
      <c r="E71" s="778"/>
      <c r="F71" s="774"/>
      <c r="G71" s="2023"/>
      <c r="H71" s="2024"/>
      <c r="I71" s="683"/>
      <c r="J71" s="729"/>
      <c r="K71" s="684"/>
      <c r="L71" s="685"/>
      <c r="M71" s="685"/>
      <c r="N71" s="685"/>
      <c r="O71" s="685"/>
      <c r="P71" s="685"/>
      <c r="Q71" s="854"/>
      <c r="R71" s="1003"/>
      <c r="S71" s="1045"/>
      <c r="T71" s="686"/>
      <c r="U71" s="730"/>
      <c r="V71" s="731"/>
      <c r="W71" s="721"/>
      <c r="X71" s="780"/>
      <c r="Y71" s="781"/>
      <c r="Z71" s="777"/>
      <c r="AA71" s="688">
        <f t="shared" si="3"/>
        <v>0</v>
      </c>
      <c r="AB71" s="688">
        <f t="shared" si="18"/>
        <v>0</v>
      </c>
      <c r="AC71" s="688">
        <f t="shared" si="19"/>
        <v>0</v>
      </c>
      <c r="AD71" s="688">
        <f>IF(AA71=0,,VLOOKUP(AA71,リスト!DH:DI,2,0))</f>
        <v>0</v>
      </c>
      <c r="AE71" s="688">
        <f t="shared" si="4"/>
        <v>0</v>
      </c>
      <c r="AF71" s="689">
        <f>IF(AE71=0,,VLOOKUP(AE71,リスト!DK:DL,2,0))</f>
        <v>0</v>
      </c>
      <c r="AG71" s="688">
        <f>IF(AA71=0,,
IF(OR(リスト!$C$21="小麦",リスト!$C$21="二条大麦",リスト!$C$21="六条大麦",リスト!$C$21="はだか麦",リスト!$C$21="なたね"),IF(K71&lt;9,調査年-J71,調査年-J71-1),
IF(リスト!$C$21="さとうきび",IF(K71&gt;=4,調査年-J71,調査年-J71+1),
調査年-J71)))</f>
        <v>0</v>
      </c>
      <c r="AH71" s="252">
        <f t="shared" si="20"/>
        <v>0</v>
      </c>
      <c r="AI71" s="252">
        <f t="shared" si="6"/>
        <v>0</v>
      </c>
      <c r="AJ71" s="252">
        <f t="shared" si="7"/>
        <v>0</v>
      </c>
      <c r="AK71" s="252">
        <f t="shared" si="8"/>
        <v>0</v>
      </c>
      <c r="AL71" s="252">
        <f t="shared" si="9"/>
        <v>0</v>
      </c>
      <c r="AM71" s="252">
        <f t="shared" si="17"/>
        <v>0</v>
      </c>
      <c r="AN71" s="403"/>
      <c r="AO71" s="25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52">
        <f t="shared" si="10"/>
        <v>0</v>
      </c>
      <c r="AQ71" s="252">
        <f t="shared" si="11"/>
        <v>0</v>
      </c>
      <c r="AR71" s="252">
        <f t="shared" si="12"/>
        <v>0</v>
      </c>
      <c r="AS71" s="25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52">
        <f t="shared" si="13"/>
        <v>0</v>
      </c>
      <c r="AU71" s="252">
        <f t="shared" si="14"/>
        <v>0</v>
      </c>
      <c r="AV71" s="252">
        <f t="shared" si="15"/>
        <v>0</v>
      </c>
      <c r="AW71" s="252">
        <f t="shared" si="15"/>
        <v>0</v>
      </c>
      <c r="AX71" s="252">
        <f t="shared" si="15"/>
        <v>0</v>
      </c>
      <c r="AY71" s="725">
        <f t="shared" si="16"/>
        <v>0</v>
      </c>
      <c r="AZ71" s="690"/>
      <c r="BA71" s="690"/>
      <c r="BB71" s="690"/>
      <c r="BC71" s="690"/>
    </row>
    <row r="72" spans="3:55" s="46" customFormat="1" ht="30.75" hidden="1" customHeight="1" outlineLevel="1">
      <c r="C72" s="744">
        <v>56</v>
      </c>
      <c r="D72" s="691"/>
      <c r="E72" s="778"/>
      <c r="F72" s="774"/>
      <c r="G72" s="2023"/>
      <c r="H72" s="2024"/>
      <c r="I72" s="683"/>
      <c r="J72" s="729"/>
      <c r="K72" s="684"/>
      <c r="L72" s="685"/>
      <c r="M72" s="685"/>
      <c r="N72" s="685"/>
      <c r="O72" s="685"/>
      <c r="P72" s="685"/>
      <c r="Q72" s="854"/>
      <c r="R72" s="1003"/>
      <c r="S72" s="1045"/>
      <c r="T72" s="686"/>
      <c r="U72" s="730"/>
      <c r="V72" s="731"/>
      <c r="W72" s="721"/>
      <c r="X72" s="780"/>
      <c r="Y72" s="781"/>
      <c r="Z72" s="777"/>
      <c r="AA72" s="688">
        <f t="shared" si="3"/>
        <v>0</v>
      </c>
      <c r="AB72" s="688">
        <f t="shared" si="18"/>
        <v>0</v>
      </c>
      <c r="AC72" s="688">
        <f t="shared" si="19"/>
        <v>0</v>
      </c>
      <c r="AD72" s="688">
        <f>IF(AA72=0,,VLOOKUP(AA72,リスト!DH:DI,2,0))</f>
        <v>0</v>
      </c>
      <c r="AE72" s="688">
        <f t="shared" si="4"/>
        <v>0</v>
      </c>
      <c r="AF72" s="689">
        <f>IF(AE72=0,,VLOOKUP(AE72,リスト!DK:DL,2,0))</f>
        <v>0</v>
      </c>
      <c r="AG72" s="688">
        <f>IF(AA72=0,,
IF(OR(リスト!$C$21="小麦",リスト!$C$21="二条大麦",リスト!$C$21="六条大麦",リスト!$C$21="はだか麦",リスト!$C$21="なたね"),IF(K72&lt;9,調査年-J72,調査年-J72-1),
IF(リスト!$C$21="さとうきび",IF(K72&gt;=4,調査年-J72,調査年-J72+1),
調査年-J72)))</f>
        <v>0</v>
      </c>
      <c r="AH72" s="252">
        <f t="shared" si="20"/>
        <v>0</v>
      </c>
      <c r="AI72" s="252">
        <f t="shared" si="6"/>
        <v>0</v>
      </c>
      <c r="AJ72" s="252">
        <f t="shared" si="7"/>
        <v>0</v>
      </c>
      <c r="AK72" s="252">
        <f t="shared" si="8"/>
        <v>0</v>
      </c>
      <c r="AL72" s="252">
        <f t="shared" si="9"/>
        <v>0</v>
      </c>
      <c r="AM72" s="252">
        <f t="shared" si="17"/>
        <v>0</v>
      </c>
      <c r="AN72" s="403"/>
      <c r="AO72" s="25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52">
        <f t="shared" si="10"/>
        <v>0</v>
      </c>
      <c r="AQ72" s="252">
        <f t="shared" si="11"/>
        <v>0</v>
      </c>
      <c r="AR72" s="252">
        <f t="shared" si="12"/>
        <v>0</v>
      </c>
      <c r="AS72" s="25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52">
        <f t="shared" si="13"/>
        <v>0</v>
      </c>
      <c r="AU72" s="252">
        <f t="shared" si="14"/>
        <v>0</v>
      </c>
      <c r="AV72" s="252">
        <f t="shared" si="15"/>
        <v>0</v>
      </c>
      <c r="AW72" s="252">
        <f t="shared" si="15"/>
        <v>0</v>
      </c>
      <c r="AX72" s="252">
        <f t="shared" si="15"/>
        <v>0</v>
      </c>
      <c r="AY72" s="725">
        <f t="shared" si="16"/>
        <v>0</v>
      </c>
      <c r="AZ72" s="690"/>
      <c r="BA72" s="690"/>
      <c r="BB72" s="690"/>
      <c r="BC72" s="690"/>
    </row>
    <row r="73" spans="3:55" s="46" customFormat="1" ht="30.75" hidden="1" customHeight="1" outlineLevel="1">
      <c r="C73" s="744">
        <v>57</v>
      </c>
      <c r="D73" s="691"/>
      <c r="E73" s="778"/>
      <c r="F73" s="774"/>
      <c r="G73" s="2023"/>
      <c r="H73" s="2024"/>
      <c r="I73" s="683"/>
      <c r="J73" s="729"/>
      <c r="K73" s="684"/>
      <c r="L73" s="685"/>
      <c r="M73" s="685"/>
      <c r="N73" s="685"/>
      <c r="O73" s="685"/>
      <c r="P73" s="685"/>
      <c r="Q73" s="854"/>
      <c r="R73" s="1003"/>
      <c r="S73" s="1045"/>
      <c r="T73" s="686"/>
      <c r="U73" s="730"/>
      <c r="V73" s="731"/>
      <c r="W73" s="721"/>
      <c r="X73" s="780"/>
      <c r="Y73" s="781"/>
      <c r="Z73" s="777"/>
      <c r="AA73" s="688">
        <f t="shared" si="3"/>
        <v>0</v>
      </c>
      <c r="AB73" s="688">
        <f t="shared" si="18"/>
        <v>0</v>
      </c>
      <c r="AC73" s="688">
        <f t="shared" si="19"/>
        <v>0</v>
      </c>
      <c r="AD73" s="688">
        <f>IF(AA73=0,,VLOOKUP(AA73,リスト!DH:DI,2,0))</f>
        <v>0</v>
      </c>
      <c r="AE73" s="688">
        <f t="shared" si="4"/>
        <v>0</v>
      </c>
      <c r="AF73" s="689">
        <f>IF(AE73=0,,VLOOKUP(AE73,リスト!DK:DL,2,0))</f>
        <v>0</v>
      </c>
      <c r="AG73" s="688">
        <f>IF(AA73=0,,
IF(OR(リスト!$C$21="小麦",リスト!$C$21="二条大麦",リスト!$C$21="六条大麦",リスト!$C$21="はだか麦",リスト!$C$21="なたね"),IF(K73&lt;9,調査年-J73,調査年-J73-1),
IF(リスト!$C$21="さとうきび",IF(K73&gt;=4,調査年-J73,調査年-J73+1),
調査年-J73)))</f>
        <v>0</v>
      </c>
      <c r="AH73" s="252">
        <f t="shared" si="20"/>
        <v>0</v>
      </c>
      <c r="AI73" s="252">
        <f t="shared" si="6"/>
        <v>0</v>
      </c>
      <c r="AJ73" s="252">
        <f t="shared" si="7"/>
        <v>0</v>
      </c>
      <c r="AK73" s="252">
        <f t="shared" si="8"/>
        <v>0</v>
      </c>
      <c r="AL73" s="252">
        <f t="shared" si="9"/>
        <v>0</v>
      </c>
      <c r="AM73" s="252">
        <f t="shared" si="17"/>
        <v>0</v>
      </c>
      <c r="AN73" s="403"/>
      <c r="AO73" s="25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52">
        <f t="shared" si="10"/>
        <v>0</v>
      </c>
      <c r="AQ73" s="252">
        <f t="shared" si="11"/>
        <v>0</v>
      </c>
      <c r="AR73" s="252">
        <f t="shared" si="12"/>
        <v>0</v>
      </c>
      <c r="AS73" s="25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52">
        <f t="shared" si="13"/>
        <v>0</v>
      </c>
      <c r="AU73" s="252">
        <f t="shared" si="14"/>
        <v>0</v>
      </c>
      <c r="AV73" s="252">
        <f t="shared" si="15"/>
        <v>0</v>
      </c>
      <c r="AW73" s="252">
        <f t="shared" si="15"/>
        <v>0</v>
      </c>
      <c r="AX73" s="252">
        <f t="shared" si="15"/>
        <v>0</v>
      </c>
      <c r="AY73" s="725">
        <f t="shared" si="16"/>
        <v>0</v>
      </c>
      <c r="AZ73" s="690"/>
      <c r="BA73" s="690"/>
      <c r="BB73" s="690"/>
      <c r="BC73" s="690"/>
    </row>
    <row r="74" spans="3:55" s="46" customFormat="1" ht="30.75" hidden="1" customHeight="1" outlineLevel="1">
      <c r="C74" s="744">
        <v>58</v>
      </c>
      <c r="D74" s="691"/>
      <c r="E74" s="778"/>
      <c r="F74" s="774"/>
      <c r="G74" s="2023"/>
      <c r="H74" s="2024"/>
      <c r="I74" s="683"/>
      <c r="J74" s="729"/>
      <c r="K74" s="684"/>
      <c r="L74" s="685"/>
      <c r="M74" s="685"/>
      <c r="N74" s="685"/>
      <c r="O74" s="685"/>
      <c r="P74" s="685"/>
      <c r="Q74" s="854"/>
      <c r="R74" s="1003"/>
      <c r="S74" s="1045"/>
      <c r="T74" s="686"/>
      <c r="U74" s="730"/>
      <c r="V74" s="731"/>
      <c r="W74" s="721"/>
      <c r="X74" s="780"/>
      <c r="Y74" s="781"/>
      <c r="Z74" s="777"/>
      <c r="AA74" s="688">
        <f t="shared" si="3"/>
        <v>0</v>
      </c>
      <c r="AB74" s="688">
        <f t="shared" si="18"/>
        <v>0</v>
      </c>
      <c r="AC74" s="688">
        <f t="shared" si="19"/>
        <v>0</v>
      </c>
      <c r="AD74" s="688">
        <f>IF(AA74=0,,VLOOKUP(AA74,リスト!DH:DI,2,0))</f>
        <v>0</v>
      </c>
      <c r="AE74" s="688">
        <f t="shared" si="4"/>
        <v>0</v>
      </c>
      <c r="AF74" s="689">
        <f>IF(AE74=0,,VLOOKUP(AE74,リスト!DK:DL,2,0))</f>
        <v>0</v>
      </c>
      <c r="AG74" s="688">
        <f>IF(AA74=0,,
IF(OR(リスト!$C$21="小麦",リスト!$C$21="二条大麦",リスト!$C$21="六条大麦",リスト!$C$21="はだか麦",リスト!$C$21="なたね"),IF(K74&lt;9,調査年-J74,調査年-J74-1),
IF(リスト!$C$21="さとうきび",IF(K74&gt;=4,調査年-J74,調査年-J74+1),
調査年-J74)))</f>
        <v>0</v>
      </c>
      <c r="AH74" s="252">
        <f t="shared" si="20"/>
        <v>0</v>
      </c>
      <c r="AI74" s="252">
        <f t="shared" si="6"/>
        <v>0</v>
      </c>
      <c r="AJ74" s="252">
        <f t="shared" si="7"/>
        <v>0</v>
      </c>
      <c r="AK74" s="252">
        <f t="shared" si="8"/>
        <v>0</v>
      </c>
      <c r="AL74" s="252">
        <f t="shared" si="9"/>
        <v>0</v>
      </c>
      <c r="AM74" s="252">
        <f t="shared" si="17"/>
        <v>0</v>
      </c>
      <c r="AN74" s="403"/>
      <c r="AO74" s="25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52">
        <f t="shared" si="10"/>
        <v>0</v>
      </c>
      <c r="AQ74" s="252">
        <f t="shared" si="11"/>
        <v>0</v>
      </c>
      <c r="AR74" s="252">
        <f t="shared" si="12"/>
        <v>0</v>
      </c>
      <c r="AS74" s="25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52">
        <f t="shared" si="13"/>
        <v>0</v>
      </c>
      <c r="AU74" s="252">
        <f t="shared" si="14"/>
        <v>0</v>
      </c>
      <c r="AV74" s="252">
        <f t="shared" si="15"/>
        <v>0</v>
      </c>
      <c r="AW74" s="252">
        <f t="shared" si="15"/>
        <v>0</v>
      </c>
      <c r="AX74" s="252">
        <f t="shared" si="15"/>
        <v>0</v>
      </c>
      <c r="AY74" s="725">
        <f t="shared" si="16"/>
        <v>0</v>
      </c>
      <c r="AZ74" s="690"/>
      <c r="BA74" s="690"/>
      <c r="BB74" s="690"/>
      <c r="BC74" s="690"/>
    </row>
    <row r="75" spans="3:55" s="46" customFormat="1" ht="30.75" hidden="1" customHeight="1" outlineLevel="1">
      <c r="C75" s="744">
        <v>59</v>
      </c>
      <c r="D75" s="691"/>
      <c r="E75" s="778"/>
      <c r="F75" s="774"/>
      <c r="G75" s="2023"/>
      <c r="H75" s="2024"/>
      <c r="I75" s="683"/>
      <c r="J75" s="729"/>
      <c r="K75" s="684"/>
      <c r="L75" s="685"/>
      <c r="M75" s="685"/>
      <c r="N75" s="685"/>
      <c r="O75" s="685"/>
      <c r="P75" s="685"/>
      <c r="Q75" s="854"/>
      <c r="R75" s="1003"/>
      <c r="S75" s="1045"/>
      <c r="T75" s="686"/>
      <c r="U75" s="730"/>
      <c r="V75" s="731"/>
      <c r="W75" s="721"/>
      <c r="X75" s="780"/>
      <c r="Y75" s="781"/>
      <c r="Z75" s="777"/>
      <c r="AA75" s="688">
        <f t="shared" si="3"/>
        <v>0</v>
      </c>
      <c r="AB75" s="688">
        <f t="shared" si="18"/>
        <v>0</v>
      </c>
      <c r="AC75" s="688">
        <f t="shared" si="19"/>
        <v>0</v>
      </c>
      <c r="AD75" s="688">
        <f>IF(AA75=0,,VLOOKUP(AA75,リスト!DH:DI,2,0))</f>
        <v>0</v>
      </c>
      <c r="AE75" s="688">
        <f t="shared" si="4"/>
        <v>0</v>
      </c>
      <c r="AF75" s="689">
        <f>IF(AE75=0,,VLOOKUP(AE75,リスト!DK:DL,2,0))</f>
        <v>0</v>
      </c>
      <c r="AG75" s="688">
        <f>IF(AA75=0,,
IF(OR(リスト!$C$21="小麦",リスト!$C$21="二条大麦",リスト!$C$21="六条大麦",リスト!$C$21="はだか麦",リスト!$C$21="なたね"),IF(K75&lt;9,調査年-J75,調査年-J75-1),
IF(リスト!$C$21="さとうきび",IF(K75&gt;=4,調査年-J75,調査年-J75+1),
調査年-J75)))</f>
        <v>0</v>
      </c>
      <c r="AH75" s="252">
        <f t="shared" si="20"/>
        <v>0</v>
      </c>
      <c r="AI75" s="252">
        <f t="shared" si="6"/>
        <v>0</v>
      </c>
      <c r="AJ75" s="252">
        <f t="shared" si="7"/>
        <v>0</v>
      </c>
      <c r="AK75" s="252">
        <f t="shared" si="8"/>
        <v>0</v>
      </c>
      <c r="AL75" s="252">
        <f t="shared" si="9"/>
        <v>0</v>
      </c>
      <c r="AM75" s="252">
        <f t="shared" si="17"/>
        <v>0</v>
      </c>
      <c r="AN75" s="403"/>
      <c r="AO75" s="25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52">
        <f t="shared" si="10"/>
        <v>0</v>
      </c>
      <c r="AQ75" s="252">
        <f t="shared" si="11"/>
        <v>0</v>
      </c>
      <c r="AR75" s="252">
        <f t="shared" si="12"/>
        <v>0</v>
      </c>
      <c r="AS75" s="25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52">
        <f t="shared" si="13"/>
        <v>0</v>
      </c>
      <c r="AU75" s="252">
        <f t="shared" si="14"/>
        <v>0</v>
      </c>
      <c r="AV75" s="252">
        <f t="shared" si="15"/>
        <v>0</v>
      </c>
      <c r="AW75" s="252">
        <f t="shared" si="15"/>
        <v>0</v>
      </c>
      <c r="AX75" s="252">
        <f t="shared" si="15"/>
        <v>0</v>
      </c>
      <c r="AY75" s="725">
        <f t="shared" si="16"/>
        <v>0</v>
      </c>
      <c r="AZ75" s="690"/>
      <c r="BA75" s="690"/>
      <c r="BB75" s="690"/>
      <c r="BC75" s="690"/>
    </row>
    <row r="76" spans="3:55" s="46" customFormat="1" ht="30.75" hidden="1" customHeight="1" outlineLevel="1">
      <c r="C76" s="744">
        <v>60</v>
      </c>
      <c r="D76" s="691"/>
      <c r="E76" s="778"/>
      <c r="F76" s="774"/>
      <c r="G76" s="2023"/>
      <c r="H76" s="2024"/>
      <c r="I76" s="683"/>
      <c r="J76" s="729"/>
      <c r="K76" s="684"/>
      <c r="L76" s="685"/>
      <c r="M76" s="685"/>
      <c r="N76" s="685"/>
      <c r="O76" s="685"/>
      <c r="P76" s="685"/>
      <c r="Q76" s="854"/>
      <c r="R76" s="1003"/>
      <c r="S76" s="1045"/>
      <c r="T76" s="686"/>
      <c r="U76" s="730"/>
      <c r="V76" s="731"/>
      <c r="W76" s="721"/>
      <c r="X76" s="780"/>
      <c r="Y76" s="781"/>
      <c r="Z76" s="777"/>
      <c r="AA76" s="688">
        <f t="shared" si="3"/>
        <v>0</v>
      </c>
      <c r="AB76" s="688">
        <f t="shared" si="18"/>
        <v>0</v>
      </c>
      <c r="AC76" s="688">
        <f t="shared" si="19"/>
        <v>0</v>
      </c>
      <c r="AD76" s="688">
        <f>IF(AA76=0,,VLOOKUP(AA76,リスト!DH:DI,2,0))</f>
        <v>0</v>
      </c>
      <c r="AE76" s="688">
        <f t="shared" si="4"/>
        <v>0</v>
      </c>
      <c r="AF76" s="689">
        <f>IF(AE76=0,,VLOOKUP(AE76,リスト!DK:DL,2,0))</f>
        <v>0</v>
      </c>
      <c r="AG76" s="688">
        <f>IF(AA76=0,,
IF(OR(リスト!$C$21="小麦",リスト!$C$21="二条大麦",リスト!$C$21="六条大麦",リスト!$C$21="はだか麦",リスト!$C$21="なたね"),IF(K76&lt;9,調査年-J76,調査年-J76-1),
IF(リスト!$C$21="さとうきび",IF(K76&gt;=4,調査年-J76,調査年-J76+1),
調査年-J76)))</f>
        <v>0</v>
      </c>
      <c r="AH76" s="252">
        <f t="shared" si="20"/>
        <v>0</v>
      </c>
      <c r="AI76" s="252">
        <f t="shared" si="6"/>
        <v>0</v>
      </c>
      <c r="AJ76" s="252">
        <f t="shared" si="7"/>
        <v>0</v>
      </c>
      <c r="AK76" s="252">
        <f t="shared" si="8"/>
        <v>0</v>
      </c>
      <c r="AL76" s="252">
        <f t="shared" si="9"/>
        <v>0</v>
      </c>
      <c r="AM76" s="252">
        <f t="shared" si="17"/>
        <v>0</v>
      </c>
      <c r="AN76" s="403"/>
      <c r="AO76" s="25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52">
        <f t="shared" si="10"/>
        <v>0</v>
      </c>
      <c r="AQ76" s="252">
        <f t="shared" si="11"/>
        <v>0</v>
      </c>
      <c r="AR76" s="252">
        <f t="shared" si="12"/>
        <v>0</v>
      </c>
      <c r="AS76" s="25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52">
        <f t="shared" si="13"/>
        <v>0</v>
      </c>
      <c r="AU76" s="252">
        <f t="shared" si="14"/>
        <v>0</v>
      </c>
      <c r="AV76" s="252">
        <f t="shared" si="15"/>
        <v>0</v>
      </c>
      <c r="AW76" s="252">
        <f t="shared" si="15"/>
        <v>0</v>
      </c>
      <c r="AX76" s="252">
        <f t="shared" si="15"/>
        <v>0</v>
      </c>
      <c r="AY76" s="725">
        <f t="shared" si="16"/>
        <v>0</v>
      </c>
      <c r="AZ76" s="690"/>
      <c r="BA76" s="690"/>
      <c r="BB76" s="690"/>
      <c r="BC76" s="690"/>
    </row>
    <row r="77" spans="3:55" s="46" customFormat="1" ht="30.75" hidden="1" customHeight="1" outlineLevel="1">
      <c r="C77" s="744">
        <v>61</v>
      </c>
      <c r="D77" s="691"/>
      <c r="E77" s="778"/>
      <c r="F77" s="774"/>
      <c r="G77" s="2023"/>
      <c r="H77" s="2024"/>
      <c r="I77" s="683"/>
      <c r="J77" s="729"/>
      <c r="K77" s="684"/>
      <c r="L77" s="685"/>
      <c r="M77" s="685"/>
      <c r="N77" s="685"/>
      <c r="O77" s="685"/>
      <c r="P77" s="685"/>
      <c r="Q77" s="854"/>
      <c r="R77" s="1003"/>
      <c r="S77" s="1045"/>
      <c r="T77" s="686"/>
      <c r="U77" s="730"/>
      <c r="V77" s="731"/>
      <c r="W77" s="721"/>
      <c r="X77" s="780"/>
      <c r="Y77" s="781"/>
      <c r="Z77" s="777"/>
      <c r="AA77" s="688">
        <f t="shared" si="3"/>
        <v>0</v>
      </c>
      <c r="AB77" s="688">
        <f t="shared" si="18"/>
        <v>0</v>
      </c>
      <c r="AC77" s="688">
        <f t="shared" si="19"/>
        <v>0</v>
      </c>
      <c r="AD77" s="688">
        <f>IF(AA77=0,,VLOOKUP(AA77,リスト!DH:DI,2,0))</f>
        <v>0</v>
      </c>
      <c r="AE77" s="688">
        <f t="shared" si="4"/>
        <v>0</v>
      </c>
      <c r="AF77" s="689">
        <f>IF(AE77=0,,VLOOKUP(AE77,リスト!DK:DL,2,0))</f>
        <v>0</v>
      </c>
      <c r="AG77" s="688">
        <f>IF(AA77=0,,
IF(OR(リスト!$C$21="小麦",リスト!$C$21="二条大麦",リスト!$C$21="六条大麦",リスト!$C$21="はだか麦",リスト!$C$21="なたね"),IF(K77&lt;9,調査年-J77,調査年-J77-1),
IF(リスト!$C$21="さとうきび",IF(K77&gt;=4,調査年-J77,調査年-J77+1),
調査年-J77)))</f>
        <v>0</v>
      </c>
      <c r="AH77" s="252">
        <f t="shared" si="20"/>
        <v>0</v>
      </c>
      <c r="AI77" s="252">
        <f t="shared" si="6"/>
        <v>0</v>
      </c>
      <c r="AJ77" s="252">
        <f t="shared" si="7"/>
        <v>0</v>
      </c>
      <c r="AK77" s="252">
        <f t="shared" si="8"/>
        <v>0</v>
      </c>
      <c r="AL77" s="252">
        <f t="shared" si="9"/>
        <v>0</v>
      </c>
      <c r="AM77" s="252">
        <f t="shared" si="17"/>
        <v>0</v>
      </c>
      <c r="AN77" s="403"/>
      <c r="AO77" s="25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52">
        <f t="shared" si="10"/>
        <v>0</v>
      </c>
      <c r="AQ77" s="252">
        <f t="shared" si="11"/>
        <v>0</v>
      </c>
      <c r="AR77" s="252">
        <f t="shared" si="12"/>
        <v>0</v>
      </c>
      <c r="AS77" s="25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52">
        <f t="shared" si="13"/>
        <v>0</v>
      </c>
      <c r="AU77" s="252">
        <f t="shared" si="14"/>
        <v>0</v>
      </c>
      <c r="AV77" s="252">
        <f t="shared" si="15"/>
        <v>0</v>
      </c>
      <c r="AW77" s="252">
        <f t="shared" si="15"/>
        <v>0</v>
      </c>
      <c r="AX77" s="252">
        <f t="shared" si="15"/>
        <v>0</v>
      </c>
      <c r="AY77" s="725">
        <f t="shared" si="16"/>
        <v>0</v>
      </c>
      <c r="AZ77" s="690"/>
      <c r="BA77" s="690"/>
      <c r="BB77" s="690"/>
      <c r="BC77" s="690"/>
    </row>
    <row r="78" spans="3:55" s="46" customFormat="1" ht="30.75" hidden="1" customHeight="1" outlineLevel="1">
      <c r="C78" s="744">
        <v>62</v>
      </c>
      <c r="D78" s="679"/>
      <c r="E78" s="778"/>
      <c r="F78" s="774"/>
      <c r="G78" s="2023"/>
      <c r="H78" s="2024"/>
      <c r="I78" s="683"/>
      <c r="J78" s="729"/>
      <c r="K78" s="684"/>
      <c r="L78" s="685"/>
      <c r="M78" s="685"/>
      <c r="N78" s="685"/>
      <c r="O78" s="685"/>
      <c r="P78" s="685"/>
      <c r="Q78" s="854"/>
      <c r="R78" s="1003"/>
      <c r="S78" s="1045"/>
      <c r="T78" s="686"/>
      <c r="U78" s="730"/>
      <c r="V78" s="731"/>
      <c r="W78" s="721"/>
      <c r="X78" s="780"/>
      <c r="Y78" s="781"/>
      <c r="Z78" s="777"/>
      <c r="AA78" s="688">
        <f t="shared" si="3"/>
        <v>0</v>
      </c>
      <c r="AB78" s="688">
        <f t="shared" si="18"/>
        <v>0</v>
      </c>
      <c r="AC78" s="688">
        <f t="shared" si="19"/>
        <v>0</v>
      </c>
      <c r="AD78" s="688">
        <f>IF(AA78=0,,VLOOKUP(AA78,リスト!DH:DI,2,0))</f>
        <v>0</v>
      </c>
      <c r="AE78" s="688">
        <f t="shared" si="4"/>
        <v>0</v>
      </c>
      <c r="AF78" s="689">
        <f>IF(AE78=0,,VLOOKUP(AE78,リスト!DK:DL,2,0))</f>
        <v>0</v>
      </c>
      <c r="AG78" s="688">
        <f>IF(AA78=0,,
IF(OR(リスト!$C$21="小麦",リスト!$C$21="二条大麦",リスト!$C$21="六条大麦",リスト!$C$21="はだか麦",リスト!$C$21="なたね"),IF(K78&lt;9,調査年-J78,調査年-J78-1),
IF(リスト!$C$21="さとうきび",IF(K78&gt;=4,調査年-J78,調査年-J78+1),
調査年-J78)))</f>
        <v>0</v>
      </c>
      <c r="AH78" s="252">
        <f t="shared" si="20"/>
        <v>0</v>
      </c>
      <c r="AI78" s="252">
        <f t="shared" si="6"/>
        <v>0</v>
      </c>
      <c r="AJ78" s="252">
        <f t="shared" si="7"/>
        <v>0</v>
      </c>
      <c r="AK78" s="252">
        <f t="shared" si="8"/>
        <v>0</v>
      </c>
      <c r="AL78" s="252">
        <f t="shared" si="9"/>
        <v>0</v>
      </c>
      <c r="AM78" s="252">
        <f t="shared" si="17"/>
        <v>0</v>
      </c>
      <c r="AN78" s="403"/>
      <c r="AO78" s="25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52">
        <f t="shared" si="10"/>
        <v>0</v>
      </c>
      <c r="AQ78" s="252">
        <f t="shared" si="11"/>
        <v>0</v>
      </c>
      <c r="AR78" s="252">
        <f t="shared" si="12"/>
        <v>0</v>
      </c>
      <c r="AS78" s="25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52">
        <f t="shared" si="13"/>
        <v>0</v>
      </c>
      <c r="AU78" s="252">
        <f t="shared" si="14"/>
        <v>0</v>
      </c>
      <c r="AV78" s="252">
        <f t="shared" si="15"/>
        <v>0</v>
      </c>
      <c r="AW78" s="252">
        <f t="shared" si="15"/>
        <v>0</v>
      </c>
      <c r="AX78" s="252">
        <f t="shared" si="15"/>
        <v>0</v>
      </c>
      <c r="AY78" s="725">
        <f t="shared" si="16"/>
        <v>0</v>
      </c>
      <c r="AZ78" s="690"/>
      <c r="BA78" s="690"/>
      <c r="BB78" s="690"/>
      <c r="BC78" s="690"/>
    </row>
    <row r="79" spans="3:55" s="46" customFormat="1" ht="30.75" hidden="1" customHeight="1" outlineLevel="1">
      <c r="C79" s="744">
        <v>63</v>
      </c>
      <c r="D79" s="691"/>
      <c r="E79" s="778"/>
      <c r="F79" s="774"/>
      <c r="G79" s="2023"/>
      <c r="H79" s="2024"/>
      <c r="I79" s="683"/>
      <c r="J79" s="729"/>
      <c r="K79" s="684"/>
      <c r="L79" s="685"/>
      <c r="M79" s="685"/>
      <c r="N79" s="685"/>
      <c r="O79" s="685"/>
      <c r="P79" s="685"/>
      <c r="Q79" s="854"/>
      <c r="R79" s="1003"/>
      <c r="S79" s="1045"/>
      <c r="T79" s="686"/>
      <c r="U79" s="730"/>
      <c r="V79" s="731"/>
      <c r="W79" s="721"/>
      <c r="X79" s="780"/>
      <c r="Y79" s="781"/>
      <c r="Z79" s="777"/>
      <c r="AA79" s="688">
        <f t="shared" si="3"/>
        <v>0</v>
      </c>
      <c r="AB79" s="688">
        <f t="shared" si="18"/>
        <v>0</v>
      </c>
      <c r="AC79" s="688">
        <f t="shared" si="19"/>
        <v>0</v>
      </c>
      <c r="AD79" s="688">
        <f>IF(AA79=0,,VLOOKUP(AA79,リスト!DH:DI,2,0))</f>
        <v>0</v>
      </c>
      <c r="AE79" s="688">
        <f t="shared" si="4"/>
        <v>0</v>
      </c>
      <c r="AF79" s="689">
        <f>IF(AE79=0,,VLOOKUP(AE79,リスト!DK:DL,2,0))</f>
        <v>0</v>
      </c>
      <c r="AG79" s="688">
        <f>IF(AA79=0,,
IF(OR(リスト!$C$21="小麦",リスト!$C$21="二条大麦",リスト!$C$21="六条大麦",リスト!$C$21="はだか麦",リスト!$C$21="なたね"),IF(K79&lt;9,調査年-J79,調査年-J79-1),
IF(リスト!$C$21="さとうきび",IF(K79&gt;=4,調査年-J79,調査年-J79+1),
調査年-J79)))</f>
        <v>0</v>
      </c>
      <c r="AH79" s="252">
        <f t="shared" si="20"/>
        <v>0</v>
      </c>
      <c r="AI79" s="252">
        <f t="shared" si="6"/>
        <v>0</v>
      </c>
      <c r="AJ79" s="252">
        <f t="shared" si="7"/>
        <v>0</v>
      </c>
      <c r="AK79" s="252">
        <f t="shared" si="8"/>
        <v>0</v>
      </c>
      <c r="AL79" s="252">
        <f t="shared" si="9"/>
        <v>0</v>
      </c>
      <c r="AM79" s="252">
        <f t="shared" si="17"/>
        <v>0</v>
      </c>
      <c r="AN79" s="403"/>
      <c r="AO79" s="25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52">
        <f t="shared" si="10"/>
        <v>0</v>
      </c>
      <c r="AQ79" s="252">
        <f t="shared" si="11"/>
        <v>0</v>
      </c>
      <c r="AR79" s="252">
        <f t="shared" si="12"/>
        <v>0</v>
      </c>
      <c r="AS79" s="25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52">
        <f t="shared" si="13"/>
        <v>0</v>
      </c>
      <c r="AU79" s="252">
        <f t="shared" si="14"/>
        <v>0</v>
      </c>
      <c r="AV79" s="252">
        <f t="shared" si="15"/>
        <v>0</v>
      </c>
      <c r="AW79" s="252">
        <f t="shared" si="15"/>
        <v>0</v>
      </c>
      <c r="AX79" s="252">
        <f t="shared" si="15"/>
        <v>0</v>
      </c>
      <c r="AY79" s="725">
        <f t="shared" si="16"/>
        <v>0</v>
      </c>
      <c r="AZ79" s="690"/>
      <c r="BA79" s="690"/>
      <c r="BB79" s="690"/>
      <c r="BC79" s="690"/>
    </row>
    <row r="80" spans="3:55" s="46" customFormat="1" ht="30.75" hidden="1" customHeight="1" outlineLevel="1">
      <c r="C80" s="744">
        <v>64</v>
      </c>
      <c r="D80" s="691"/>
      <c r="E80" s="778"/>
      <c r="F80" s="774"/>
      <c r="G80" s="2023"/>
      <c r="H80" s="2024"/>
      <c r="I80" s="683"/>
      <c r="J80" s="729"/>
      <c r="K80" s="684"/>
      <c r="L80" s="685"/>
      <c r="M80" s="685"/>
      <c r="N80" s="685"/>
      <c r="O80" s="685"/>
      <c r="P80" s="685"/>
      <c r="Q80" s="854"/>
      <c r="R80" s="1003"/>
      <c r="S80" s="1045"/>
      <c r="T80" s="686"/>
      <c r="U80" s="730"/>
      <c r="V80" s="731"/>
      <c r="W80" s="721"/>
      <c r="X80" s="780"/>
      <c r="Y80" s="781"/>
      <c r="Z80" s="777"/>
      <c r="AA80" s="688">
        <f t="shared" si="3"/>
        <v>0</v>
      </c>
      <c r="AB80" s="688">
        <f t="shared" si="18"/>
        <v>0</v>
      </c>
      <c r="AC80" s="688">
        <f t="shared" si="19"/>
        <v>0</v>
      </c>
      <c r="AD80" s="688">
        <f>IF(AA80=0,,VLOOKUP(AA80,リスト!DH:DI,2,0))</f>
        <v>0</v>
      </c>
      <c r="AE80" s="688">
        <f t="shared" si="4"/>
        <v>0</v>
      </c>
      <c r="AF80" s="689">
        <f>IF(AE80=0,,VLOOKUP(AE80,リスト!DK:DL,2,0))</f>
        <v>0</v>
      </c>
      <c r="AG80" s="688">
        <f>IF(AA80=0,,
IF(OR(リスト!$C$21="小麦",リスト!$C$21="二条大麦",リスト!$C$21="六条大麦",リスト!$C$21="はだか麦",リスト!$C$21="なたね"),IF(K80&lt;9,調査年-J80,調査年-J80-1),
IF(リスト!$C$21="さとうきび",IF(K80&gt;=4,調査年-J80,調査年-J80+1),
調査年-J80)))</f>
        <v>0</v>
      </c>
      <c r="AH80" s="252">
        <f t="shared" si="20"/>
        <v>0</v>
      </c>
      <c r="AI80" s="252">
        <f t="shared" si="6"/>
        <v>0</v>
      </c>
      <c r="AJ80" s="252">
        <f t="shared" si="7"/>
        <v>0</v>
      </c>
      <c r="AK80" s="252">
        <f t="shared" si="8"/>
        <v>0</v>
      </c>
      <c r="AL80" s="252">
        <f t="shared" si="9"/>
        <v>0</v>
      </c>
      <c r="AM80" s="252">
        <f t="shared" si="17"/>
        <v>0</v>
      </c>
      <c r="AN80" s="403"/>
      <c r="AO80" s="25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52">
        <f t="shared" si="10"/>
        <v>0</v>
      </c>
      <c r="AQ80" s="252">
        <f t="shared" si="11"/>
        <v>0</v>
      </c>
      <c r="AR80" s="252">
        <f t="shared" si="12"/>
        <v>0</v>
      </c>
      <c r="AS80" s="25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52">
        <f t="shared" si="13"/>
        <v>0</v>
      </c>
      <c r="AU80" s="252">
        <f t="shared" si="14"/>
        <v>0</v>
      </c>
      <c r="AV80" s="252">
        <f t="shared" si="15"/>
        <v>0</v>
      </c>
      <c r="AW80" s="252">
        <f t="shared" si="15"/>
        <v>0</v>
      </c>
      <c r="AX80" s="252">
        <f t="shared" si="15"/>
        <v>0</v>
      </c>
      <c r="AY80" s="725">
        <f t="shared" si="16"/>
        <v>0</v>
      </c>
      <c r="AZ80" s="690"/>
      <c r="BA80" s="690"/>
      <c r="BB80" s="690"/>
      <c r="BC80" s="690"/>
    </row>
    <row r="81" spans="3:55" s="46" customFormat="1" ht="30.75" hidden="1" customHeight="1" outlineLevel="1">
      <c r="C81" s="744">
        <v>65</v>
      </c>
      <c r="D81" s="691"/>
      <c r="E81" s="778"/>
      <c r="F81" s="774"/>
      <c r="G81" s="2023"/>
      <c r="H81" s="2024"/>
      <c r="I81" s="683"/>
      <c r="J81" s="729"/>
      <c r="K81" s="684"/>
      <c r="L81" s="685"/>
      <c r="M81" s="685"/>
      <c r="N81" s="685"/>
      <c r="O81" s="685"/>
      <c r="P81" s="685"/>
      <c r="Q81" s="854"/>
      <c r="R81" s="1003"/>
      <c r="S81" s="1045"/>
      <c r="T81" s="686"/>
      <c r="U81" s="730"/>
      <c r="V81" s="731"/>
      <c r="W81" s="721"/>
      <c r="X81" s="780"/>
      <c r="Y81" s="781"/>
      <c r="Z81" s="777"/>
      <c r="AA81" s="688">
        <f t="shared" ref="AA81:AA116" si="21">IF(AND(E81&gt;0,F81&gt;0),"["&amp;RIGHT(LEFT(E81,3),2)&amp;RIGHT(LEFT(F81,2),1)&amp;"]",)</f>
        <v>0</v>
      </c>
      <c r="AB81" s="688">
        <f t="shared" si="18"/>
        <v>0</v>
      </c>
      <c r="AC81" s="688">
        <f t="shared" si="19"/>
        <v>0</v>
      </c>
      <c r="AD81" s="688">
        <f>IF(AA81=0,,VLOOKUP(AA81,リスト!DH:DI,2,0))</f>
        <v>0</v>
      </c>
      <c r="AE81" s="688">
        <f t="shared" ref="AE81:AE116" si="22">IF(AC81=1,3,IF(G81="[2]中古",MIN(AD81,I81),AD81))</f>
        <v>0</v>
      </c>
      <c r="AF81" s="689">
        <f>IF(AE81=0,,VLOOKUP(AE81,リスト!DK:DL,2,0))</f>
        <v>0</v>
      </c>
      <c r="AG81" s="688">
        <f>IF(AA81=0,,
IF(OR(リスト!$C$21="小麦",リスト!$C$21="二条大麦",リスト!$C$21="六条大麦",リスト!$C$21="はだか麦",リスト!$C$21="なたね"),IF(K81&lt;9,調査年-J81,調査年-J81-1),
IF(リスト!$C$21="さとうきび",IF(K81&gt;=4,調査年-J81,調査年-J81+1),
調査年-J81)))</f>
        <v>0</v>
      </c>
      <c r="AH81" s="252">
        <f t="shared" ref="AH81:AH112" si="23">IF(OR(AA81=0,AB81=1),,
IF(AND(AE81&gt;0,AG81&lt;AE81,AI81&lt;=ROUND((L81-1)*AF81,0)),ROUND(AI81,0),
IF(AND(AE81&gt;0,AG81&lt;AE81),ROUND((L81-1)*AF81,0),)))</f>
        <v>0</v>
      </c>
      <c r="AI81" s="252">
        <f t="shared" ref="AI81:AI116" si="24">IF(OR(AA81=0,AB81=1),,
IF(AND(AE81&gt;0,AG81&lt;AE81),L81-ROUND((L81-1)*AF81*AG81,0),1
))</f>
        <v>0</v>
      </c>
      <c r="AJ81" s="252">
        <f t="shared" ref="AJ81:AJ116" si="25">IF(OR(AA81=0,AB81=1),,
IF(U81=0,AH81,
IF(U81="[2]廃棄等",SUM(AI81,V81),
IF(U81="[1]売却",AI81-V81,))))</f>
        <v>0</v>
      </c>
      <c r="AK81" s="252">
        <f t="shared" ref="AK81:AK116" si="26">IF(AND(AJ81=0,AH81=0),,
IF(OR(U81="[1]売却",U81="[2]廃棄等"),SUM(AJ81)-SUM(AH81),))</f>
        <v>0</v>
      </c>
      <c r="AL81" s="252">
        <f t="shared" ref="AL81:AL116" si="27">IF(OR(AB81=1,M81=0),,
IF(AND(AE81&gt;0,M81&gt;0,AG81&lt;AE81),M81-ROUND(M81*AF81*AG81,0),))</f>
        <v>0</v>
      </c>
      <c r="AM81" s="252">
        <f t="shared" si="17"/>
        <v>0</v>
      </c>
      <c r="AN81" s="403"/>
      <c r="AO81" s="25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52">
        <f t="shared" ref="AP81:AP116" si="28">IF(S81=0,,IF(AJ81=0,,ROUND(AJ81*S81%,0)))</f>
        <v>0</v>
      </c>
      <c r="AQ81" s="252">
        <f t="shared" ref="AQ81:AQ116" si="29">IF(S81=0,,IF(AK81=0,,ROUND(AK81*S81%,0)))</f>
        <v>0</v>
      </c>
      <c r="AR81" s="252">
        <f t="shared" ref="AR81:AR116" si="30">IF(S81=0,,IF(AI81=0,,ROUND(AI81*S81%,0)))</f>
        <v>0</v>
      </c>
      <c r="AS81" s="25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52">
        <f t="shared" ref="AT81:AT116" si="31">IF(O81&gt;0,ROUND(O81*$S81%,),)</f>
        <v>0</v>
      </c>
      <c r="AU81" s="252">
        <f t="shared" ref="AU81:AU116" si="32">IF(OR(AS81&gt;0,AT81&gt;0),SUM(AS81:AT81),)</f>
        <v>0</v>
      </c>
      <c r="AV81" s="252">
        <f t="shared" ref="AV81:AX116" si="33">IF(P81&gt;0,ROUND(P81*$S81%,),)</f>
        <v>0</v>
      </c>
      <c r="AW81" s="252">
        <f t="shared" si="33"/>
        <v>0</v>
      </c>
      <c r="AX81" s="252">
        <f t="shared" si="33"/>
        <v>0</v>
      </c>
      <c r="AY81" s="725">
        <f t="shared" ref="AY81:AY116" si="34">IF(Y81="○",,IF(AND(X81&gt;0,S81&gt;0),ROUND(1/X81,1),IF(S81&gt;0,ROUND(1,1),)))</f>
        <v>0</v>
      </c>
      <c r="AZ81" s="690"/>
      <c r="BA81" s="690"/>
      <c r="BB81" s="690"/>
      <c r="BC81" s="690"/>
    </row>
    <row r="82" spans="3:55" s="46" customFormat="1" ht="30.75" hidden="1" customHeight="1" outlineLevel="1">
      <c r="C82" s="744">
        <v>66</v>
      </c>
      <c r="D82" s="691"/>
      <c r="E82" s="778"/>
      <c r="F82" s="774"/>
      <c r="G82" s="2023"/>
      <c r="H82" s="2024"/>
      <c r="I82" s="683"/>
      <c r="J82" s="729"/>
      <c r="K82" s="684"/>
      <c r="L82" s="685"/>
      <c r="M82" s="685"/>
      <c r="N82" s="685"/>
      <c r="O82" s="685"/>
      <c r="P82" s="685"/>
      <c r="Q82" s="854"/>
      <c r="R82" s="1003"/>
      <c r="S82" s="1045"/>
      <c r="T82" s="686"/>
      <c r="U82" s="730"/>
      <c r="V82" s="731"/>
      <c r="W82" s="721"/>
      <c r="X82" s="780"/>
      <c r="Y82" s="781"/>
      <c r="Z82" s="777"/>
      <c r="AA82" s="688">
        <f t="shared" si="21"/>
        <v>0</v>
      </c>
      <c r="AB82" s="688">
        <f t="shared" si="18"/>
        <v>0</v>
      </c>
      <c r="AC82" s="688">
        <f t="shared" si="19"/>
        <v>0</v>
      </c>
      <c r="AD82" s="688">
        <f>IF(AA82=0,,VLOOKUP(AA82,リスト!DH:DI,2,0))</f>
        <v>0</v>
      </c>
      <c r="AE82" s="688">
        <f t="shared" si="22"/>
        <v>0</v>
      </c>
      <c r="AF82" s="689">
        <f>IF(AE82=0,,VLOOKUP(AE82,リスト!DK:DL,2,0))</f>
        <v>0</v>
      </c>
      <c r="AG82" s="688">
        <f>IF(AA82=0,,
IF(OR(リスト!$C$21="小麦",リスト!$C$21="二条大麦",リスト!$C$21="六条大麦",リスト!$C$21="はだか麦",リスト!$C$21="なたね"),IF(K82&lt;9,調査年-J82,調査年-J82-1),
IF(リスト!$C$21="さとうきび",IF(K82&gt;=4,調査年-J82,調査年-J82+1),
調査年-J82)))</f>
        <v>0</v>
      </c>
      <c r="AH82" s="252">
        <f t="shared" si="23"/>
        <v>0</v>
      </c>
      <c r="AI82" s="252">
        <f t="shared" si="24"/>
        <v>0</v>
      </c>
      <c r="AJ82" s="252">
        <f t="shared" si="25"/>
        <v>0</v>
      </c>
      <c r="AK82" s="252">
        <f t="shared" si="26"/>
        <v>0</v>
      </c>
      <c r="AL82" s="252">
        <f t="shared" si="27"/>
        <v>0</v>
      </c>
      <c r="AM82" s="252">
        <f t="shared" ref="AM82:AM116" si="35">IF(OR(AA82=0,AB82=1),IF(AND(AB82=1,AG82=0),M82,),
IF(AND(AE82&gt;0,AG82&lt;AE82,SUM(AL82)&gt;0,AL82&lt;=ROUND(M82*AF82,0)),AL82,
IF(AND(AE82&gt;0,AG82&lt;AE82,SUM(M82)&gt;0),ROUND(M82*AF82,0),)))</f>
        <v>0</v>
      </c>
      <c r="AN82" s="403"/>
      <c r="AO82" s="25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52">
        <f t="shared" si="28"/>
        <v>0</v>
      </c>
      <c r="AQ82" s="252">
        <f t="shared" si="29"/>
        <v>0</v>
      </c>
      <c r="AR82" s="252">
        <f t="shared" si="30"/>
        <v>0</v>
      </c>
      <c r="AS82" s="25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52">
        <f t="shared" si="31"/>
        <v>0</v>
      </c>
      <c r="AU82" s="252">
        <f t="shared" si="32"/>
        <v>0</v>
      </c>
      <c r="AV82" s="252">
        <f t="shared" si="33"/>
        <v>0</v>
      </c>
      <c r="AW82" s="252">
        <f t="shared" si="33"/>
        <v>0</v>
      </c>
      <c r="AX82" s="252">
        <f t="shared" si="33"/>
        <v>0</v>
      </c>
      <c r="AY82" s="725">
        <f t="shared" si="34"/>
        <v>0</v>
      </c>
      <c r="AZ82" s="690"/>
      <c r="BA82" s="690"/>
      <c r="BB82" s="690"/>
      <c r="BC82" s="690"/>
    </row>
    <row r="83" spans="3:55" s="46" customFormat="1" ht="30.75" hidden="1" customHeight="1" outlineLevel="1">
      <c r="C83" s="744">
        <v>67</v>
      </c>
      <c r="D83" s="691"/>
      <c r="E83" s="778"/>
      <c r="F83" s="774"/>
      <c r="G83" s="2023"/>
      <c r="H83" s="2024"/>
      <c r="I83" s="683"/>
      <c r="J83" s="729"/>
      <c r="K83" s="684"/>
      <c r="L83" s="685"/>
      <c r="M83" s="685"/>
      <c r="N83" s="685"/>
      <c r="O83" s="685"/>
      <c r="P83" s="685"/>
      <c r="Q83" s="854"/>
      <c r="R83" s="1003"/>
      <c r="S83" s="1045"/>
      <c r="T83" s="686"/>
      <c r="U83" s="730"/>
      <c r="V83" s="731"/>
      <c r="W83" s="721"/>
      <c r="X83" s="780"/>
      <c r="Y83" s="781"/>
      <c r="Z83" s="777"/>
      <c r="AA83" s="688">
        <f t="shared" si="21"/>
        <v>0</v>
      </c>
      <c r="AB83" s="688">
        <f t="shared" ref="AB83:AB116" si="36">IF(AA83=0,,IF(L83+M83&lt;100000,1,0))</f>
        <v>0</v>
      </c>
      <c r="AC83" s="688">
        <f t="shared" ref="AC83:AC116" si="37">IF(AA83=0,,IF(AND(AB83=0,L83+M83&lt;200000),1,))</f>
        <v>0</v>
      </c>
      <c r="AD83" s="688">
        <f>IF(AA83=0,,VLOOKUP(AA83,リスト!DH:DI,2,0))</f>
        <v>0</v>
      </c>
      <c r="AE83" s="688">
        <f t="shared" si="22"/>
        <v>0</v>
      </c>
      <c r="AF83" s="689">
        <f>IF(AE83=0,,VLOOKUP(AE83,リスト!DK:DL,2,0))</f>
        <v>0</v>
      </c>
      <c r="AG83" s="688">
        <f>IF(AA83=0,,
IF(OR(リスト!$C$21="小麦",リスト!$C$21="二条大麦",リスト!$C$21="六条大麦",リスト!$C$21="はだか麦",リスト!$C$21="なたね"),IF(K83&lt;9,調査年-J83,調査年-J83-1),
IF(リスト!$C$21="さとうきび",IF(K83&gt;=4,調査年-J83,調査年-J83+1),
調査年-J83)))</f>
        <v>0</v>
      </c>
      <c r="AH83" s="252">
        <f t="shared" si="23"/>
        <v>0</v>
      </c>
      <c r="AI83" s="252">
        <f t="shared" si="24"/>
        <v>0</v>
      </c>
      <c r="AJ83" s="252">
        <f t="shared" si="25"/>
        <v>0</v>
      </c>
      <c r="AK83" s="252">
        <f t="shared" si="26"/>
        <v>0</v>
      </c>
      <c r="AL83" s="252">
        <f t="shared" si="27"/>
        <v>0</v>
      </c>
      <c r="AM83" s="252">
        <f t="shared" si="35"/>
        <v>0</v>
      </c>
      <c r="AN83" s="403"/>
      <c r="AO83" s="25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52">
        <f t="shared" si="28"/>
        <v>0</v>
      </c>
      <c r="AQ83" s="252">
        <f t="shared" si="29"/>
        <v>0</v>
      </c>
      <c r="AR83" s="252">
        <f t="shared" si="30"/>
        <v>0</v>
      </c>
      <c r="AS83" s="25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52">
        <f t="shared" si="31"/>
        <v>0</v>
      </c>
      <c r="AU83" s="252">
        <f t="shared" si="32"/>
        <v>0</v>
      </c>
      <c r="AV83" s="252">
        <f t="shared" si="33"/>
        <v>0</v>
      </c>
      <c r="AW83" s="252">
        <f t="shared" si="33"/>
        <v>0</v>
      </c>
      <c r="AX83" s="252">
        <f t="shared" si="33"/>
        <v>0</v>
      </c>
      <c r="AY83" s="725">
        <f t="shared" si="34"/>
        <v>0</v>
      </c>
      <c r="AZ83" s="690"/>
      <c r="BA83" s="690"/>
      <c r="BB83" s="690"/>
      <c r="BC83" s="690"/>
    </row>
    <row r="84" spans="3:55" s="46" customFormat="1" ht="30.75" hidden="1" customHeight="1" outlineLevel="1">
      <c r="C84" s="744">
        <v>68</v>
      </c>
      <c r="D84" s="691"/>
      <c r="E84" s="778"/>
      <c r="F84" s="774"/>
      <c r="G84" s="2023"/>
      <c r="H84" s="2024"/>
      <c r="I84" s="683"/>
      <c r="J84" s="729"/>
      <c r="K84" s="684"/>
      <c r="L84" s="685"/>
      <c r="M84" s="685"/>
      <c r="N84" s="685"/>
      <c r="O84" s="685"/>
      <c r="P84" s="685"/>
      <c r="Q84" s="854"/>
      <c r="R84" s="1003"/>
      <c r="S84" s="1045"/>
      <c r="T84" s="686"/>
      <c r="U84" s="730"/>
      <c r="V84" s="731"/>
      <c r="W84" s="721"/>
      <c r="X84" s="780"/>
      <c r="Y84" s="781"/>
      <c r="Z84" s="777"/>
      <c r="AA84" s="688">
        <f t="shared" si="21"/>
        <v>0</v>
      </c>
      <c r="AB84" s="688">
        <f t="shared" si="36"/>
        <v>0</v>
      </c>
      <c r="AC84" s="688">
        <f t="shared" si="37"/>
        <v>0</v>
      </c>
      <c r="AD84" s="688">
        <f>IF(AA84=0,,VLOOKUP(AA84,リスト!DH:DI,2,0))</f>
        <v>0</v>
      </c>
      <c r="AE84" s="688">
        <f t="shared" si="22"/>
        <v>0</v>
      </c>
      <c r="AF84" s="689">
        <f>IF(AE84=0,,VLOOKUP(AE84,リスト!DK:DL,2,0))</f>
        <v>0</v>
      </c>
      <c r="AG84" s="688">
        <f>IF(AA84=0,,
IF(OR(リスト!$C$21="小麦",リスト!$C$21="二条大麦",リスト!$C$21="六条大麦",リスト!$C$21="はだか麦",リスト!$C$21="なたね"),IF(K84&lt;9,調査年-J84,調査年-J84-1),
IF(リスト!$C$21="さとうきび",IF(K84&gt;=4,調査年-J84,調査年-J84+1),
調査年-J84)))</f>
        <v>0</v>
      </c>
      <c r="AH84" s="252">
        <f t="shared" si="23"/>
        <v>0</v>
      </c>
      <c r="AI84" s="252">
        <f t="shared" si="24"/>
        <v>0</v>
      </c>
      <c r="AJ84" s="252">
        <f t="shared" si="25"/>
        <v>0</v>
      </c>
      <c r="AK84" s="252">
        <f t="shared" si="26"/>
        <v>0</v>
      </c>
      <c r="AL84" s="252">
        <f t="shared" si="27"/>
        <v>0</v>
      </c>
      <c r="AM84" s="252">
        <f t="shared" si="35"/>
        <v>0</v>
      </c>
      <c r="AN84" s="403"/>
      <c r="AO84" s="25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52">
        <f t="shared" si="28"/>
        <v>0</v>
      </c>
      <c r="AQ84" s="252">
        <f t="shared" si="29"/>
        <v>0</v>
      </c>
      <c r="AR84" s="252">
        <f t="shared" si="30"/>
        <v>0</v>
      </c>
      <c r="AS84" s="25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52">
        <f t="shared" si="31"/>
        <v>0</v>
      </c>
      <c r="AU84" s="252">
        <f t="shared" si="32"/>
        <v>0</v>
      </c>
      <c r="AV84" s="252">
        <f t="shared" si="33"/>
        <v>0</v>
      </c>
      <c r="AW84" s="252">
        <f t="shared" si="33"/>
        <v>0</v>
      </c>
      <c r="AX84" s="252">
        <f t="shared" si="33"/>
        <v>0</v>
      </c>
      <c r="AY84" s="725">
        <f t="shared" si="34"/>
        <v>0</v>
      </c>
      <c r="AZ84" s="690"/>
      <c r="BA84" s="690"/>
      <c r="BB84" s="690"/>
      <c r="BC84" s="690"/>
    </row>
    <row r="85" spans="3:55" s="46" customFormat="1" ht="30.75" hidden="1" customHeight="1" outlineLevel="1">
      <c r="C85" s="744">
        <v>69</v>
      </c>
      <c r="D85" s="691"/>
      <c r="E85" s="778"/>
      <c r="F85" s="774"/>
      <c r="G85" s="2023"/>
      <c r="H85" s="2024"/>
      <c r="I85" s="683"/>
      <c r="J85" s="729"/>
      <c r="K85" s="684"/>
      <c r="L85" s="685"/>
      <c r="M85" s="685"/>
      <c r="N85" s="685"/>
      <c r="O85" s="685"/>
      <c r="P85" s="685"/>
      <c r="Q85" s="854"/>
      <c r="R85" s="1003"/>
      <c r="S85" s="1045"/>
      <c r="T85" s="686"/>
      <c r="U85" s="730"/>
      <c r="V85" s="731"/>
      <c r="W85" s="721"/>
      <c r="X85" s="780"/>
      <c r="Y85" s="781"/>
      <c r="Z85" s="777"/>
      <c r="AA85" s="688">
        <f t="shared" si="21"/>
        <v>0</v>
      </c>
      <c r="AB85" s="688">
        <f t="shared" si="36"/>
        <v>0</v>
      </c>
      <c r="AC85" s="688">
        <f t="shared" si="37"/>
        <v>0</v>
      </c>
      <c r="AD85" s="688">
        <f>IF(AA85=0,,VLOOKUP(AA85,リスト!DH:DI,2,0))</f>
        <v>0</v>
      </c>
      <c r="AE85" s="688">
        <f t="shared" si="22"/>
        <v>0</v>
      </c>
      <c r="AF85" s="689">
        <f>IF(AE85=0,,VLOOKUP(AE85,リスト!DK:DL,2,0))</f>
        <v>0</v>
      </c>
      <c r="AG85" s="688">
        <f>IF(AA85=0,,
IF(OR(リスト!$C$21="小麦",リスト!$C$21="二条大麦",リスト!$C$21="六条大麦",リスト!$C$21="はだか麦",リスト!$C$21="なたね"),IF(K85&lt;9,調査年-J85,調査年-J85-1),
IF(リスト!$C$21="さとうきび",IF(K85&gt;=4,調査年-J85,調査年-J85+1),
調査年-J85)))</f>
        <v>0</v>
      </c>
      <c r="AH85" s="252">
        <f t="shared" si="23"/>
        <v>0</v>
      </c>
      <c r="AI85" s="252">
        <f t="shared" si="24"/>
        <v>0</v>
      </c>
      <c r="AJ85" s="252">
        <f t="shared" si="25"/>
        <v>0</v>
      </c>
      <c r="AK85" s="252">
        <f t="shared" si="26"/>
        <v>0</v>
      </c>
      <c r="AL85" s="252">
        <f t="shared" si="27"/>
        <v>0</v>
      </c>
      <c r="AM85" s="252">
        <f t="shared" si="35"/>
        <v>0</v>
      </c>
      <c r="AN85" s="403"/>
      <c r="AO85" s="25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52">
        <f t="shared" si="28"/>
        <v>0</v>
      </c>
      <c r="AQ85" s="252">
        <f t="shared" si="29"/>
        <v>0</v>
      </c>
      <c r="AR85" s="252">
        <f t="shared" si="30"/>
        <v>0</v>
      </c>
      <c r="AS85" s="25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52">
        <f t="shared" si="31"/>
        <v>0</v>
      </c>
      <c r="AU85" s="252">
        <f t="shared" si="32"/>
        <v>0</v>
      </c>
      <c r="AV85" s="252">
        <f t="shared" si="33"/>
        <v>0</v>
      </c>
      <c r="AW85" s="252">
        <f t="shared" si="33"/>
        <v>0</v>
      </c>
      <c r="AX85" s="252">
        <f t="shared" si="33"/>
        <v>0</v>
      </c>
      <c r="AY85" s="725">
        <f t="shared" si="34"/>
        <v>0</v>
      </c>
      <c r="AZ85" s="690"/>
      <c r="BA85" s="690"/>
      <c r="BB85" s="690"/>
      <c r="BC85" s="690"/>
    </row>
    <row r="86" spans="3:55" s="46" customFormat="1" ht="30.75" hidden="1" customHeight="1" outlineLevel="1">
      <c r="C86" s="744">
        <v>70</v>
      </c>
      <c r="D86" s="691"/>
      <c r="E86" s="778"/>
      <c r="F86" s="774"/>
      <c r="G86" s="2023"/>
      <c r="H86" s="2024"/>
      <c r="I86" s="683"/>
      <c r="J86" s="729"/>
      <c r="K86" s="684"/>
      <c r="L86" s="685"/>
      <c r="M86" s="685"/>
      <c r="N86" s="685"/>
      <c r="O86" s="685"/>
      <c r="P86" s="685"/>
      <c r="Q86" s="854"/>
      <c r="R86" s="1003"/>
      <c r="S86" s="1045"/>
      <c r="T86" s="686"/>
      <c r="U86" s="730"/>
      <c r="V86" s="731"/>
      <c r="W86" s="721"/>
      <c r="X86" s="780"/>
      <c r="Y86" s="781"/>
      <c r="Z86" s="777"/>
      <c r="AA86" s="688">
        <f t="shared" si="21"/>
        <v>0</v>
      </c>
      <c r="AB86" s="688">
        <f t="shared" si="36"/>
        <v>0</v>
      </c>
      <c r="AC86" s="688">
        <f t="shared" si="37"/>
        <v>0</v>
      </c>
      <c r="AD86" s="688">
        <f>IF(AA86=0,,VLOOKUP(AA86,リスト!DH:DI,2,0))</f>
        <v>0</v>
      </c>
      <c r="AE86" s="688">
        <f t="shared" si="22"/>
        <v>0</v>
      </c>
      <c r="AF86" s="689">
        <f>IF(AE86=0,,VLOOKUP(AE86,リスト!DK:DL,2,0))</f>
        <v>0</v>
      </c>
      <c r="AG86" s="688">
        <f>IF(AA86=0,,
IF(OR(リスト!$C$21="小麦",リスト!$C$21="二条大麦",リスト!$C$21="六条大麦",リスト!$C$21="はだか麦",リスト!$C$21="なたね"),IF(K86&lt;9,調査年-J86,調査年-J86-1),
IF(リスト!$C$21="さとうきび",IF(K86&gt;=4,調査年-J86,調査年-J86+1),
調査年-J86)))</f>
        <v>0</v>
      </c>
      <c r="AH86" s="252">
        <f t="shared" si="23"/>
        <v>0</v>
      </c>
      <c r="AI86" s="252">
        <f t="shared" si="24"/>
        <v>0</v>
      </c>
      <c r="AJ86" s="252">
        <f t="shared" si="25"/>
        <v>0</v>
      </c>
      <c r="AK86" s="252">
        <f t="shared" si="26"/>
        <v>0</v>
      </c>
      <c r="AL86" s="252">
        <f t="shared" si="27"/>
        <v>0</v>
      </c>
      <c r="AM86" s="252">
        <f t="shared" si="35"/>
        <v>0</v>
      </c>
      <c r="AN86" s="403"/>
      <c r="AO86" s="25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52">
        <f t="shared" si="28"/>
        <v>0</v>
      </c>
      <c r="AQ86" s="252">
        <f t="shared" si="29"/>
        <v>0</v>
      </c>
      <c r="AR86" s="252">
        <f t="shared" si="30"/>
        <v>0</v>
      </c>
      <c r="AS86" s="25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52">
        <f t="shared" si="31"/>
        <v>0</v>
      </c>
      <c r="AU86" s="252">
        <f t="shared" si="32"/>
        <v>0</v>
      </c>
      <c r="AV86" s="252">
        <f t="shared" si="33"/>
        <v>0</v>
      </c>
      <c r="AW86" s="252">
        <f t="shared" si="33"/>
        <v>0</v>
      </c>
      <c r="AX86" s="252">
        <f t="shared" si="33"/>
        <v>0</v>
      </c>
      <c r="AY86" s="725">
        <f t="shared" si="34"/>
        <v>0</v>
      </c>
      <c r="AZ86" s="690"/>
      <c r="BA86" s="690"/>
      <c r="BB86" s="690"/>
      <c r="BC86" s="690"/>
    </row>
    <row r="87" spans="3:55" s="46" customFormat="1" ht="30.75" hidden="1" customHeight="1" outlineLevel="1">
      <c r="C87" s="744">
        <v>71</v>
      </c>
      <c r="D87" s="691"/>
      <c r="E87" s="778"/>
      <c r="F87" s="774"/>
      <c r="G87" s="2023"/>
      <c r="H87" s="2024"/>
      <c r="I87" s="683"/>
      <c r="J87" s="729"/>
      <c r="K87" s="684"/>
      <c r="L87" s="685"/>
      <c r="M87" s="685"/>
      <c r="N87" s="685"/>
      <c r="O87" s="685"/>
      <c r="P87" s="685"/>
      <c r="Q87" s="854"/>
      <c r="R87" s="1003"/>
      <c r="S87" s="1045"/>
      <c r="T87" s="686"/>
      <c r="U87" s="730"/>
      <c r="V87" s="731"/>
      <c r="W87" s="721"/>
      <c r="X87" s="780"/>
      <c r="Y87" s="781"/>
      <c r="Z87" s="777"/>
      <c r="AA87" s="688">
        <f t="shared" si="21"/>
        <v>0</v>
      </c>
      <c r="AB87" s="688">
        <f t="shared" si="36"/>
        <v>0</v>
      </c>
      <c r="AC87" s="688">
        <f t="shared" si="37"/>
        <v>0</v>
      </c>
      <c r="AD87" s="688">
        <f>IF(AA87=0,,VLOOKUP(AA87,リスト!DH:DI,2,0))</f>
        <v>0</v>
      </c>
      <c r="AE87" s="688">
        <f t="shared" si="22"/>
        <v>0</v>
      </c>
      <c r="AF87" s="689">
        <f>IF(AE87=0,,VLOOKUP(AE87,リスト!DK:DL,2,0))</f>
        <v>0</v>
      </c>
      <c r="AG87" s="688">
        <f>IF(AA87=0,,
IF(OR(リスト!$C$21="小麦",リスト!$C$21="二条大麦",リスト!$C$21="六条大麦",リスト!$C$21="はだか麦",リスト!$C$21="なたね"),IF(K87&lt;9,調査年-J87,調査年-J87-1),
IF(リスト!$C$21="さとうきび",IF(K87&gt;=4,調査年-J87,調査年-J87+1),
調査年-J87)))</f>
        <v>0</v>
      </c>
      <c r="AH87" s="252">
        <f t="shared" si="23"/>
        <v>0</v>
      </c>
      <c r="AI87" s="252">
        <f t="shared" si="24"/>
        <v>0</v>
      </c>
      <c r="AJ87" s="252">
        <f t="shared" si="25"/>
        <v>0</v>
      </c>
      <c r="AK87" s="252">
        <f t="shared" si="26"/>
        <v>0</v>
      </c>
      <c r="AL87" s="252">
        <f t="shared" si="27"/>
        <v>0</v>
      </c>
      <c r="AM87" s="252">
        <f t="shared" si="35"/>
        <v>0</v>
      </c>
      <c r="AN87" s="403"/>
      <c r="AO87" s="25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52">
        <f t="shared" si="28"/>
        <v>0</v>
      </c>
      <c r="AQ87" s="252">
        <f t="shared" si="29"/>
        <v>0</v>
      </c>
      <c r="AR87" s="252">
        <f t="shared" si="30"/>
        <v>0</v>
      </c>
      <c r="AS87" s="25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52">
        <f t="shared" si="31"/>
        <v>0</v>
      </c>
      <c r="AU87" s="252">
        <f t="shared" si="32"/>
        <v>0</v>
      </c>
      <c r="AV87" s="252">
        <f t="shared" si="33"/>
        <v>0</v>
      </c>
      <c r="AW87" s="252">
        <f t="shared" si="33"/>
        <v>0</v>
      </c>
      <c r="AX87" s="252">
        <f t="shared" si="33"/>
        <v>0</v>
      </c>
      <c r="AY87" s="725">
        <f t="shared" si="34"/>
        <v>0</v>
      </c>
      <c r="AZ87" s="690"/>
      <c r="BA87" s="690"/>
      <c r="BB87" s="690"/>
      <c r="BC87" s="690"/>
    </row>
    <row r="88" spans="3:55" s="46" customFormat="1" ht="30.75" hidden="1" customHeight="1" outlineLevel="1">
      <c r="C88" s="744">
        <v>72</v>
      </c>
      <c r="D88" s="691"/>
      <c r="E88" s="778"/>
      <c r="F88" s="774"/>
      <c r="G88" s="2023"/>
      <c r="H88" s="2024"/>
      <c r="I88" s="683"/>
      <c r="J88" s="729"/>
      <c r="K88" s="684"/>
      <c r="L88" s="685"/>
      <c r="M88" s="685"/>
      <c r="N88" s="685"/>
      <c r="O88" s="685"/>
      <c r="P88" s="685"/>
      <c r="Q88" s="854"/>
      <c r="R88" s="1003"/>
      <c r="S88" s="1045"/>
      <c r="T88" s="686"/>
      <c r="U88" s="730"/>
      <c r="V88" s="731"/>
      <c r="W88" s="721"/>
      <c r="X88" s="780"/>
      <c r="Y88" s="781"/>
      <c r="Z88" s="777"/>
      <c r="AA88" s="688">
        <f t="shared" si="21"/>
        <v>0</v>
      </c>
      <c r="AB88" s="688">
        <f t="shared" si="36"/>
        <v>0</v>
      </c>
      <c r="AC88" s="688">
        <f t="shared" si="37"/>
        <v>0</v>
      </c>
      <c r="AD88" s="688">
        <f>IF(AA88=0,,VLOOKUP(AA88,リスト!DH:DI,2,0))</f>
        <v>0</v>
      </c>
      <c r="AE88" s="688">
        <f t="shared" si="22"/>
        <v>0</v>
      </c>
      <c r="AF88" s="689">
        <f>IF(AE88=0,,VLOOKUP(AE88,リスト!DK:DL,2,0))</f>
        <v>0</v>
      </c>
      <c r="AG88" s="688">
        <f>IF(AA88=0,,
IF(OR(リスト!$C$21="小麦",リスト!$C$21="二条大麦",リスト!$C$21="六条大麦",リスト!$C$21="はだか麦",リスト!$C$21="なたね"),IF(K88&lt;9,調査年-J88,調査年-J88-1),
IF(リスト!$C$21="さとうきび",IF(K88&gt;=4,調査年-J88,調査年-J88+1),
調査年-J88)))</f>
        <v>0</v>
      </c>
      <c r="AH88" s="252">
        <f t="shared" si="23"/>
        <v>0</v>
      </c>
      <c r="AI88" s="252">
        <f t="shared" si="24"/>
        <v>0</v>
      </c>
      <c r="AJ88" s="252">
        <f t="shared" si="25"/>
        <v>0</v>
      </c>
      <c r="AK88" s="252">
        <f t="shared" si="26"/>
        <v>0</v>
      </c>
      <c r="AL88" s="252">
        <f t="shared" si="27"/>
        <v>0</v>
      </c>
      <c r="AM88" s="252">
        <f t="shared" si="35"/>
        <v>0</v>
      </c>
      <c r="AN88" s="403"/>
      <c r="AO88" s="25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52">
        <f t="shared" si="28"/>
        <v>0</v>
      </c>
      <c r="AQ88" s="252">
        <f t="shared" si="29"/>
        <v>0</v>
      </c>
      <c r="AR88" s="252">
        <f t="shared" si="30"/>
        <v>0</v>
      </c>
      <c r="AS88" s="25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52">
        <f t="shared" si="31"/>
        <v>0</v>
      </c>
      <c r="AU88" s="252">
        <f t="shared" si="32"/>
        <v>0</v>
      </c>
      <c r="AV88" s="252">
        <f t="shared" si="33"/>
        <v>0</v>
      </c>
      <c r="AW88" s="252">
        <f t="shared" si="33"/>
        <v>0</v>
      </c>
      <c r="AX88" s="252">
        <f t="shared" si="33"/>
        <v>0</v>
      </c>
      <c r="AY88" s="725">
        <f t="shared" si="34"/>
        <v>0</v>
      </c>
      <c r="AZ88" s="690"/>
      <c r="BA88" s="690"/>
      <c r="BB88" s="690"/>
      <c r="BC88" s="690"/>
    </row>
    <row r="89" spans="3:55" s="46" customFormat="1" ht="30.75" hidden="1" customHeight="1" outlineLevel="1">
      <c r="C89" s="744">
        <v>73</v>
      </c>
      <c r="D89" s="691"/>
      <c r="E89" s="778"/>
      <c r="F89" s="774"/>
      <c r="G89" s="2023"/>
      <c r="H89" s="2024"/>
      <c r="I89" s="683"/>
      <c r="J89" s="729"/>
      <c r="K89" s="684"/>
      <c r="L89" s="685"/>
      <c r="M89" s="685"/>
      <c r="N89" s="685"/>
      <c r="O89" s="685"/>
      <c r="P89" s="685"/>
      <c r="Q89" s="854"/>
      <c r="R89" s="1003"/>
      <c r="S89" s="1045"/>
      <c r="T89" s="686"/>
      <c r="U89" s="730"/>
      <c r="V89" s="731"/>
      <c r="W89" s="721"/>
      <c r="X89" s="780"/>
      <c r="Y89" s="781"/>
      <c r="Z89" s="777"/>
      <c r="AA89" s="688">
        <f t="shared" si="21"/>
        <v>0</v>
      </c>
      <c r="AB89" s="688">
        <f t="shared" si="36"/>
        <v>0</v>
      </c>
      <c r="AC89" s="688">
        <f t="shared" si="37"/>
        <v>0</v>
      </c>
      <c r="AD89" s="688">
        <f>IF(AA89=0,,VLOOKUP(AA89,リスト!DH:DI,2,0))</f>
        <v>0</v>
      </c>
      <c r="AE89" s="688">
        <f t="shared" si="22"/>
        <v>0</v>
      </c>
      <c r="AF89" s="689">
        <f>IF(AE89=0,,VLOOKUP(AE89,リスト!DK:DL,2,0))</f>
        <v>0</v>
      </c>
      <c r="AG89" s="688">
        <f>IF(AA89=0,,
IF(OR(リスト!$C$21="小麦",リスト!$C$21="二条大麦",リスト!$C$21="六条大麦",リスト!$C$21="はだか麦",リスト!$C$21="なたね"),IF(K89&lt;9,調査年-J89,調査年-J89-1),
IF(リスト!$C$21="さとうきび",IF(K89&gt;=4,調査年-J89,調査年-J89+1),
調査年-J89)))</f>
        <v>0</v>
      </c>
      <c r="AH89" s="252">
        <f t="shared" si="23"/>
        <v>0</v>
      </c>
      <c r="AI89" s="252">
        <f t="shared" si="24"/>
        <v>0</v>
      </c>
      <c r="AJ89" s="252">
        <f t="shared" si="25"/>
        <v>0</v>
      </c>
      <c r="AK89" s="252">
        <f t="shared" si="26"/>
        <v>0</v>
      </c>
      <c r="AL89" s="252">
        <f t="shared" si="27"/>
        <v>0</v>
      </c>
      <c r="AM89" s="252">
        <f t="shared" si="35"/>
        <v>0</v>
      </c>
      <c r="AN89" s="403"/>
      <c r="AO89" s="25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52">
        <f t="shared" si="28"/>
        <v>0</v>
      </c>
      <c r="AQ89" s="252">
        <f t="shared" si="29"/>
        <v>0</v>
      </c>
      <c r="AR89" s="252">
        <f t="shared" si="30"/>
        <v>0</v>
      </c>
      <c r="AS89" s="25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52">
        <f t="shared" si="31"/>
        <v>0</v>
      </c>
      <c r="AU89" s="252">
        <f t="shared" si="32"/>
        <v>0</v>
      </c>
      <c r="AV89" s="252">
        <f t="shared" si="33"/>
        <v>0</v>
      </c>
      <c r="AW89" s="252">
        <f t="shared" si="33"/>
        <v>0</v>
      </c>
      <c r="AX89" s="252">
        <f t="shared" si="33"/>
        <v>0</v>
      </c>
      <c r="AY89" s="725">
        <f t="shared" si="34"/>
        <v>0</v>
      </c>
      <c r="AZ89" s="690"/>
      <c r="BA89" s="690"/>
      <c r="BB89" s="690"/>
      <c r="BC89" s="690"/>
    </row>
    <row r="90" spans="3:55" s="46" customFormat="1" ht="30.75" hidden="1" customHeight="1" outlineLevel="1">
      <c r="C90" s="744">
        <v>74</v>
      </c>
      <c r="D90" s="691"/>
      <c r="E90" s="778"/>
      <c r="F90" s="774"/>
      <c r="G90" s="2023"/>
      <c r="H90" s="2024"/>
      <c r="I90" s="683"/>
      <c r="J90" s="729"/>
      <c r="K90" s="684"/>
      <c r="L90" s="685"/>
      <c r="M90" s="685"/>
      <c r="N90" s="685"/>
      <c r="O90" s="685"/>
      <c r="P90" s="685"/>
      <c r="Q90" s="854"/>
      <c r="R90" s="1003"/>
      <c r="S90" s="1045"/>
      <c r="T90" s="686"/>
      <c r="U90" s="730"/>
      <c r="V90" s="731"/>
      <c r="W90" s="721"/>
      <c r="X90" s="780"/>
      <c r="Y90" s="781"/>
      <c r="Z90" s="777"/>
      <c r="AA90" s="688">
        <f t="shared" si="21"/>
        <v>0</v>
      </c>
      <c r="AB90" s="688">
        <f t="shared" si="36"/>
        <v>0</v>
      </c>
      <c r="AC90" s="688">
        <f t="shared" si="37"/>
        <v>0</v>
      </c>
      <c r="AD90" s="688">
        <f>IF(AA90=0,,VLOOKUP(AA90,リスト!DH:DI,2,0))</f>
        <v>0</v>
      </c>
      <c r="AE90" s="688">
        <f t="shared" si="22"/>
        <v>0</v>
      </c>
      <c r="AF90" s="689">
        <f>IF(AE90=0,,VLOOKUP(AE90,リスト!DK:DL,2,0))</f>
        <v>0</v>
      </c>
      <c r="AG90" s="688">
        <f>IF(AA90=0,,
IF(OR(リスト!$C$21="小麦",リスト!$C$21="二条大麦",リスト!$C$21="六条大麦",リスト!$C$21="はだか麦",リスト!$C$21="なたね"),IF(K90&lt;9,調査年-J90,調査年-J90-1),
IF(リスト!$C$21="さとうきび",IF(K90&gt;=4,調査年-J90,調査年-J90+1),
調査年-J90)))</f>
        <v>0</v>
      </c>
      <c r="AH90" s="252">
        <f t="shared" si="23"/>
        <v>0</v>
      </c>
      <c r="AI90" s="252">
        <f t="shared" si="24"/>
        <v>0</v>
      </c>
      <c r="AJ90" s="252">
        <f t="shared" si="25"/>
        <v>0</v>
      </c>
      <c r="AK90" s="252">
        <f t="shared" si="26"/>
        <v>0</v>
      </c>
      <c r="AL90" s="252">
        <f t="shared" si="27"/>
        <v>0</v>
      </c>
      <c r="AM90" s="252">
        <f t="shared" si="35"/>
        <v>0</v>
      </c>
      <c r="AN90" s="403"/>
      <c r="AO90" s="25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52">
        <f t="shared" si="28"/>
        <v>0</v>
      </c>
      <c r="AQ90" s="252">
        <f t="shared" si="29"/>
        <v>0</v>
      </c>
      <c r="AR90" s="252">
        <f t="shared" si="30"/>
        <v>0</v>
      </c>
      <c r="AS90" s="25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52">
        <f t="shared" si="31"/>
        <v>0</v>
      </c>
      <c r="AU90" s="252">
        <f t="shared" si="32"/>
        <v>0</v>
      </c>
      <c r="AV90" s="252">
        <f t="shared" si="33"/>
        <v>0</v>
      </c>
      <c r="AW90" s="252">
        <f t="shared" si="33"/>
        <v>0</v>
      </c>
      <c r="AX90" s="252">
        <f t="shared" si="33"/>
        <v>0</v>
      </c>
      <c r="AY90" s="725">
        <f t="shared" si="34"/>
        <v>0</v>
      </c>
      <c r="AZ90" s="690"/>
      <c r="BA90" s="690"/>
      <c r="BB90" s="690"/>
      <c r="BC90" s="690"/>
    </row>
    <row r="91" spans="3:55" s="46" customFormat="1" ht="30.75" hidden="1" customHeight="1" outlineLevel="1">
      <c r="C91" s="744">
        <v>75</v>
      </c>
      <c r="D91" s="691"/>
      <c r="E91" s="778"/>
      <c r="F91" s="774"/>
      <c r="G91" s="2023"/>
      <c r="H91" s="2024"/>
      <c r="I91" s="683"/>
      <c r="J91" s="729"/>
      <c r="K91" s="684"/>
      <c r="L91" s="685"/>
      <c r="M91" s="685"/>
      <c r="N91" s="685"/>
      <c r="O91" s="685"/>
      <c r="P91" s="685"/>
      <c r="Q91" s="854"/>
      <c r="R91" s="1003"/>
      <c r="S91" s="1045"/>
      <c r="T91" s="686"/>
      <c r="U91" s="730"/>
      <c r="V91" s="731"/>
      <c r="W91" s="721"/>
      <c r="X91" s="780"/>
      <c r="Y91" s="781"/>
      <c r="Z91" s="777"/>
      <c r="AA91" s="688">
        <f t="shared" si="21"/>
        <v>0</v>
      </c>
      <c r="AB91" s="688">
        <f t="shared" si="36"/>
        <v>0</v>
      </c>
      <c r="AC91" s="688">
        <f t="shared" si="37"/>
        <v>0</v>
      </c>
      <c r="AD91" s="688">
        <f>IF(AA91=0,,VLOOKUP(AA91,リスト!DH:DI,2,0))</f>
        <v>0</v>
      </c>
      <c r="AE91" s="688">
        <f t="shared" si="22"/>
        <v>0</v>
      </c>
      <c r="AF91" s="689">
        <f>IF(AE91=0,,VLOOKUP(AE91,リスト!DK:DL,2,0))</f>
        <v>0</v>
      </c>
      <c r="AG91" s="688">
        <f>IF(AA91=0,,
IF(OR(リスト!$C$21="小麦",リスト!$C$21="二条大麦",リスト!$C$21="六条大麦",リスト!$C$21="はだか麦",リスト!$C$21="なたね"),IF(K91&lt;9,調査年-J91,調査年-J91-1),
IF(リスト!$C$21="さとうきび",IF(K91&gt;=4,調査年-J91,調査年-J91+1),
調査年-J91)))</f>
        <v>0</v>
      </c>
      <c r="AH91" s="252">
        <f t="shared" si="23"/>
        <v>0</v>
      </c>
      <c r="AI91" s="252">
        <f t="shared" si="24"/>
        <v>0</v>
      </c>
      <c r="AJ91" s="252">
        <f t="shared" si="25"/>
        <v>0</v>
      </c>
      <c r="AK91" s="252">
        <f t="shared" si="26"/>
        <v>0</v>
      </c>
      <c r="AL91" s="252">
        <f t="shared" si="27"/>
        <v>0</v>
      </c>
      <c r="AM91" s="252">
        <f t="shared" si="35"/>
        <v>0</v>
      </c>
      <c r="AN91" s="403"/>
      <c r="AO91" s="25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52">
        <f t="shared" si="28"/>
        <v>0</v>
      </c>
      <c r="AQ91" s="252">
        <f t="shared" si="29"/>
        <v>0</v>
      </c>
      <c r="AR91" s="252">
        <f t="shared" si="30"/>
        <v>0</v>
      </c>
      <c r="AS91" s="25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52">
        <f t="shared" si="31"/>
        <v>0</v>
      </c>
      <c r="AU91" s="252">
        <f t="shared" si="32"/>
        <v>0</v>
      </c>
      <c r="AV91" s="252">
        <f t="shared" si="33"/>
        <v>0</v>
      </c>
      <c r="AW91" s="252">
        <f t="shared" si="33"/>
        <v>0</v>
      </c>
      <c r="AX91" s="252">
        <f t="shared" si="33"/>
        <v>0</v>
      </c>
      <c r="AY91" s="725">
        <f t="shared" si="34"/>
        <v>0</v>
      </c>
      <c r="AZ91" s="690"/>
      <c r="BA91" s="690"/>
      <c r="BB91" s="690"/>
      <c r="BC91" s="690"/>
    </row>
    <row r="92" spans="3:55" s="46" customFormat="1" ht="30.75" hidden="1" customHeight="1" outlineLevel="1">
      <c r="C92" s="744">
        <v>76</v>
      </c>
      <c r="D92" s="691"/>
      <c r="E92" s="778"/>
      <c r="F92" s="774"/>
      <c r="G92" s="2023"/>
      <c r="H92" s="2024"/>
      <c r="I92" s="683"/>
      <c r="J92" s="729"/>
      <c r="K92" s="684"/>
      <c r="L92" s="685"/>
      <c r="M92" s="685"/>
      <c r="N92" s="685"/>
      <c r="O92" s="685"/>
      <c r="P92" s="685"/>
      <c r="Q92" s="854"/>
      <c r="R92" s="1003"/>
      <c r="S92" s="1045"/>
      <c r="T92" s="686"/>
      <c r="U92" s="730"/>
      <c r="V92" s="731"/>
      <c r="W92" s="721"/>
      <c r="X92" s="780"/>
      <c r="Y92" s="781"/>
      <c r="Z92" s="777"/>
      <c r="AA92" s="688">
        <f t="shared" si="21"/>
        <v>0</v>
      </c>
      <c r="AB92" s="688">
        <f t="shared" si="36"/>
        <v>0</v>
      </c>
      <c r="AC92" s="688">
        <f t="shared" si="37"/>
        <v>0</v>
      </c>
      <c r="AD92" s="688">
        <f>IF(AA92=0,,VLOOKUP(AA92,リスト!DH:DI,2,0))</f>
        <v>0</v>
      </c>
      <c r="AE92" s="688">
        <f t="shared" si="22"/>
        <v>0</v>
      </c>
      <c r="AF92" s="689">
        <f>IF(AE92=0,,VLOOKUP(AE92,リスト!DK:DL,2,0))</f>
        <v>0</v>
      </c>
      <c r="AG92" s="688">
        <f>IF(AA92=0,,
IF(OR(リスト!$C$21="小麦",リスト!$C$21="二条大麦",リスト!$C$21="六条大麦",リスト!$C$21="はだか麦",リスト!$C$21="なたね"),IF(K92&lt;9,調査年-J92,調査年-J92-1),
IF(リスト!$C$21="さとうきび",IF(K92&gt;=4,調査年-J92,調査年-J92+1),
調査年-J92)))</f>
        <v>0</v>
      </c>
      <c r="AH92" s="252">
        <f t="shared" si="23"/>
        <v>0</v>
      </c>
      <c r="AI92" s="252">
        <f t="shared" si="24"/>
        <v>0</v>
      </c>
      <c r="AJ92" s="252">
        <f t="shared" si="25"/>
        <v>0</v>
      </c>
      <c r="AK92" s="252">
        <f t="shared" si="26"/>
        <v>0</v>
      </c>
      <c r="AL92" s="252">
        <f t="shared" si="27"/>
        <v>0</v>
      </c>
      <c r="AM92" s="252">
        <f t="shared" si="35"/>
        <v>0</v>
      </c>
      <c r="AN92" s="403"/>
      <c r="AO92" s="25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52">
        <f t="shared" si="28"/>
        <v>0</v>
      </c>
      <c r="AQ92" s="252">
        <f t="shared" si="29"/>
        <v>0</v>
      </c>
      <c r="AR92" s="252">
        <f t="shared" si="30"/>
        <v>0</v>
      </c>
      <c r="AS92" s="25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52">
        <f t="shared" si="31"/>
        <v>0</v>
      </c>
      <c r="AU92" s="252">
        <f t="shared" si="32"/>
        <v>0</v>
      </c>
      <c r="AV92" s="252">
        <f t="shared" si="33"/>
        <v>0</v>
      </c>
      <c r="AW92" s="252">
        <f t="shared" si="33"/>
        <v>0</v>
      </c>
      <c r="AX92" s="252">
        <f t="shared" si="33"/>
        <v>0</v>
      </c>
      <c r="AY92" s="725">
        <f t="shared" si="34"/>
        <v>0</v>
      </c>
      <c r="AZ92" s="690"/>
      <c r="BA92" s="690"/>
      <c r="BB92" s="690"/>
      <c r="BC92" s="690"/>
    </row>
    <row r="93" spans="3:55" s="46" customFormat="1" ht="30.75" hidden="1" customHeight="1" outlineLevel="1">
      <c r="C93" s="744">
        <v>77</v>
      </c>
      <c r="D93" s="691"/>
      <c r="E93" s="778"/>
      <c r="F93" s="774"/>
      <c r="G93" s="2023"/>
      <c r="H93" s="2024"/>
      <c r="I93" s="683"/>
      <c r="J93" s="729"/>
      <c r="K93" s="684"/>
      <c r="L93" s="685"/>
      <c r="M93" s="685"/>
      <c r="N93" s="685"/>
      <c r="O93" s="685"/>
      <c r="P93" s="685"/>
      <c r="Q93" s="854"/>
      <c r="R93" s="1003"/>
      <c r="S93" s="1045"/>
      <c r="T93" s="686"/>
      <c r="U93" s="730"/>
      <c r="V93" s="731"/>
      <c r="W93" s="721"/>
      <c r="X93" s="780"/>
      <c r="Y93" s="781"/>
      <c r="Z93" s="777"/>
      <c r="AA93" s="688">
        <f t="shared" si="21"/>
        <v>0</v>
      </c>
      <c r="AB93" s="688">
        <f t="shared" si="36"/>
        <v>0</v>
      </c>
      <c r="AC93" s="688">
        <f t="shared" si="37"/>
        <v>0</v>
      </c>
      <c r="AD93" s="688">
        <f>IF(AA93=0,,VLOOKUP(AA93,リスト!DH:DI,2,0))</f>
        <v>0</v>
      </c>
      <c r="AE93" s="688">
        <f t="shared" si="22"/>
        <v>0</v>
      </c>
      <c r="AF93" s="689">
        <f>IF(AE93=0,,VLOOKUP(AE93,リスト!DK:DL,2,0))</f>
        <v>0</v>
      </c>
      <c r="AG93" s="688">
        <f>IF(AA93=0,,
IF(OR(リスト!$C$21="小麦",リスト!$C$21="二条大麦",リスト!$C$21="六条大麦",リスト!$C$21="はだか麦",リスト!$C$21="なたね"),IF(K93&lt;9,調査年-J93,調査年-J93-1),
IF(リスト!$C$21="さとうきび",IF(K93&gt;=4,調査年-J93,調査年-J93+1),
調査年-J93)))</f>
        <v>0</v>
      </c>
      <c r="AH93" s="252">
        <f t="shared" si="23"/>
        <v>0</v>
      </c>
      <c r="AI93" s="252">
        <f t="shared" si="24"/>
        <v>0</v>
      </c>
      <c r="AJ93" s="252">
        <f t="shared" si="25"/>
        <v>0</v>
      </c>
      <c r="AK93" s="252">
        <f t="shared" si="26"/>
        <v>0</v>
      </c>
      <c r="AL93" s="252">
        <f t="shared" si="27"/>
        <v>0</v>
      </c>
      <c r="AM93" s="252">
        <f t="shared" si="35"/>
        <v>0</v>
      </c>
      <c r="AN93" s="403"/>
      <c r="AO93" s="25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52">
        <f t="shared" si="28"/>
        <v>0</v>
      </c>
      <c r="AQ93" s="252">
        <f t="shared" si="29"/>
        <v>0</v>
      </c>
      <c r="AR93" s="252">
        <f t="shared" si="30"/>
        <v>0</v>
      </c>
      <c r="AS93" s="25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52">
        <f t="shared" si="31"/>
        <v>0</v>
      </c>
      <c r="AU93" s="252">
        <f t="shared" si="32"/>
        <v>0</v>
      </c>
      <c r="AV93" s="252">
        <f t="shared" si="33"/>
        <v>0</v>
      </c>
      <c r="AW93" s="252">
        <f t="shared" si="33"/>
        <v>0</v>
      </c>
      <c r="AX93" s="252">
        <f t="shared" si="33"/>
        <v>0</v>
      </c>
      <c r="AY93" s="725">
        <f t="shared" si="34"/>
        <v>0</v>
      </c>
      <c r="AZ93" s="690"/>
      <c r="BA93" s="690"/>
      <c r="BB93" s="690"/>
      <c r="BC93" s="690"/>
    </row>
    <row r="94" spans="3:55" s="46" customFormat="1" ht="30.75" hidden="1" customHeight="1" outlineLevel="1">
      <c r="C94" s="744">
        <v>78</v>
      </c>
      <c r="D94" s="691"/>
      <c r="E94" s="778"/>
      <c r="F94" s="774"/>
      <c r="G94" s="2023"/>
      <c r="H94" s="2024"/>
      <c r="I94" s="683"/>
      <c r="J94" s="729"/>
      <c r="K94" s="684"/>
      <c r="L94" s="685"/>
      <c r="M94" s="685"/>
      <c r="N94" s="685"/>
      <c r="O94" s="685"/>
      <c r="P94" s="685"/>
      <c r="Q94" s="854"/>
      <c r="R94" s="1003"/>
      <c r="S94" s="1045"/>
      <c r="T94" s="686"/>
      <c r="U94" s="730"/>
      <c r="V94" s="731"/>
      <c r="W94" s="721"/>
      <c r="X94" s="780"/>
      <c r="Y94" s="781"/>
      <c r="Z94" s="777"/>
      <c r="AA94" s="688">
        <f t="shared" si="21"/>
        <v>0</v>
      </c>
      <c r="AB94" s="688">
        <f t="shared" si="36"/>
        <v>0</v>
      </c>
      <c r="AC94" s="688">
        <f t="shared" si="37"/>
        <v>0</v>
      </c>
      <c r="AD94" s="688">
        <f>IF(AA94=0,,VLOOKUP(AA94,リスト!DH:DI,2,0))</f>
        <v>0</v>
      </c>
      <c r="AE94" s="688">
        <f t="shared" si="22"/>
        <v>0</v>
      </c>
      <c r="AF94" s="689">
        <f>IF(AE94=0,,VLOOKUP(AE94,リスト!DK:DL,2,0))</f>
        <v>0</v>
      </c>
      <c r="AG94" s="688">
        <f>IF(AA94=0,,
IF(OR(リスト!$C$21="小麦",リスト!$C$21="二条大麦",リスト!$C$21="六条大麦",リスト!$C$21="はだか麦",リスト!$C$21="なたね"),IF(K94&lt;9,調査年-J94,調査年-J94-1),
IF(リスト!$C$21="さとうきび",IF(K94&gt;=4,調査年-J94,調査年-J94+1),
調査年-J94)))</f>
        <v>0</v>
      </c>
      <c r="AH94" s="252">
        <f t="shared" si="23"/>
        <v>0</v>
      </c>
      <c r="AI94" s="252">
        <f t="shared" si="24"/>
        <v>0</v>
      </c>
      <c r="AJ94" s="252">
        <f t="shared" si="25"/>
        <v>0</v>
      </c>
      <c r="AK94" s="252">
        <f t="shared" si="26"/>
        <v>0</v>
      </c>
      <c r="AL94" s="252">
        <f t="shared" si="27"/>
        <v>0</v>
      </c>
      <c r="AM94" s="252">
        <f t="shared" si="35"/>
        <v>0</v>
      </c>
      <c r="AN94" s="403"/>
      <c r="AO94" s="25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52">
        <f t="shared" si="28"/>
        <v>0</v>
      </c>
      <c r="AQ94" s="252">
        <f t="shared" si="29"/>
        <v>0</v>
      </c>
      <c r="AR94" s="252">
        <f t="shared" si="30"/>
        <v>0</v>
      </c>
      <c r="AS94" s="25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52">
        <f t="shared" si="31"/>
        <v>0</v>
      </c>
      <c r="AU94" s="252">
        <f t="shared" si="32"/>
        <v>0</v>
      </c>
      <c r="AV94" s="252">
        <f t="shared" si="33"/>
        <v>0</v>
      </c>
      <c r="AW94" s="252">
        <f t="shared" si="33"/>
        <v>0</v>
      </c>
      <c r="AX94" s="252">
        <f t="shared" si="33"/>
        <v>0</v>
      </c>
      <c r="AY94" s="725">
        <f t="shared" si="34"/>
        <v>0</v>
      </c>
      <c r="AZ94" s="690"/>
      <c r="BA94" s="690"/>
      <c r="BB94" s="690"/>
      <c r="BC94" s="690"/>
    </row>
    <row r="95" spans="3:55" s="46" customFormat="1" ht="30.75" hidden="1" customHeight="1" outlineLevel="1">
      <c r="C95" s="744">
        <v>79</v>
      </c>
      <c r="D95" s="691"/>
      <c r="E95" s="778"/>
      <c r="F95" s="774"/>
      <c r="G95" s="2023"/>
      <c r="H95" s="2024"/>
      <c r="I95" s="683"/>
      <c r="J95" s="729"/>
      <c r="K95" s="684"/>
      <c r="L95" s="685"/>
      <c r="M95" s="685"/>
      <c r="N95" s="685"/>
      <c r="O95" s="685"/>
      <c r="P95" s="685"/>
      <c r="Q95" s="854"/>
      <c r="R95" s="1003"/>
      <c r="S95" s="1045"/>
      <c r="T95" s="686"/>
      <c r="U95" s="730"/>
      <c r="V95" s="731"/>
      <c r="W95" s="721"/>
      <c r="X95" s="780"/>
      <c r="Y95" s="781"/>
      <c r="Z95" s="777"/>
      <c r="AA95" s="688">
        <f t="shared" si="21"/>
        <v>0</v>
      </c>
      <c r="AB95" s="688">
        <f t="shared" si="36"/>
        <v>0</v>
      </c>
      <c r="AC95" s="688">
        <f t="shared" si="37"/>
        <v>0</v>
      </c>
      <c r="AD95" s="688">
        <f>IF(AA95=0,,VLOOKUP(AA95,リスト!DH:DI,2,0))</f>
        <v>0</v>
      </c>
      <c r="AE95" s="688">
        <f t="shared" si="22"/>
        <v>0</v>
      </c>
      <c r="AF95" s="689">
        <f>IF(AE95=0,,VLOOKUP(AE95,リスト!DK:DL,2,0))</f>
        <v>0</v>
      </c>
      <c r="AG95" s="688">
        <f>IF(AA95=0,,
IF(OR(リスト!$C$21="小麦",リスト!$C$21="二条大麦",リスト!$C$21="六条大麦",リスト!$C$21="はだか麦",リスト!$C$21="なたね"),IF(K95&lt;9,調査年-J95,調査年-J95-1),
IF(リスト!$C$21="さとうきび",IF(K95&gt;=4,調査年-J95,調査年-J95+1),
調査年-J95)))</f>
        <v>0</v>
      </c>
      <c r="AH95" s="252">
        <f t="shared" si="23"/>
        <v>0</v>
      </c>
      <c r="AI95" s="252">
        <f t="shared" si="24"/>
        <v>0</v>
      </c>
      <c r="AJ95" s="252">
        <f t="shared" si="25"/>
        <v>0</v>
      </c>
      <c r="AK95" s="252">
        <f t="shared" si="26"/>
        <v>0</v>
      </c>
      <c r="AL95" s="252">
        <f t="shared" si="27"/>
        <v>0</v>
      </c>
      <c r="AM95" s="252">
        <f t="shared" si="35"/>
        <v>0</v>
      </c>
      <c r="AN95" s="403"/>
      <c r="AO95" s="25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52">
        <f t="shared" si="28"/>
        <v>0</v>
      </c>
      <c r="AQ95" s="252">
        <f t="shared" si="29"/>
        <v>0</v>
      </c>
      <c r="AR95" s="252">
        <f t="shared" si="30"/>
        <v>0</v>
      </c>
      <c r="AS95" s="25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52">
        <f t="shared" si="31"/>
        <v>0</v>
      </c>
      <c r="AU95" s="252">
        <f t="shared" si="32"/>
        <v>0</v>
      </c>
      <c r="AV95" s="252">
        <f t="shared" si="33"/>
        <v>0</v>
      </c>
      <c r="AW95" s="252">
        <f t="shared" si="33"/>
        <v>0</v>
      </c>
      <c r="AX95" s="252">
        <f t="shared" si="33"/>
        <v>0</v>
      </c>
      <c r="AY95" s="725">
        <f t="shared" si="34"/>
        <v>0</v>
      </c>
      <c r="AZ95" s="690"/>
      <c r="BA95" s="690"/>
      <c r="BB95" s="690"/>
      <c r="BC95" s="690"/>
    </row>
    <row r="96" spans="3:55" s="46" customFormat="1" ht="30.75" hidden="1" customHeight="1" outlineLevel="1">
      <c r="C96" s="744">
        <v>80</v>
      </c>
      <c r="D96" s="691"/>
      <c r="E96" s="778"/>
      <c r="F96" s="774"/>
      <c r="G96" s="2023"/>
      <c r="H96" s="2024"/>
      <c r="I96" s="683"/>
      <c r="J96" s="729"/>
      <c r="K96" s="684"/>
      <c r="L96" s="685"/>
      <c r="M96" s="685"/>
      <c r="N96" s="685"/>
      <c r="O96" s="685"/>
      <c r="P96" s="685"/>
      <c r="Q96" s="854"/>
      <c r="R96" s="1003"/>
      <c r="S96" s="1045"/>
      <c r="T96" s="686"/>
      <c r="U96" s="730"/>
      <c r="V96" s="731"/>
      <c r="W96" s="721"/>
      <c r="X96" s="780"/>
      <c r="Y96" s="781"/>
      <c r="Z96" s="777"/>
      <c r="AA96" s="688">
        <f t="shared" si="21"/>
        <v>0</v>
      </c>
      <c r="AB96" s="688">
        <f t="shared" si="36"/>
        <v>0</v>
      </c>
      <c r="AC96" s="688">
        <f t="shared" si="37"/>
        <v>0</v>
      </c>
      <c r="AD96" s="688">
        <f>IF(AA96=0,,VLOOKUP(AA96,リスト!DH:DI,2,0))</f>
        <v>0</v>
      </c>
      <c r="AE96" s="688">
        <f t="shared" si="22"/>
        <v>0</v>
      </c>
      <c r="AF96" s="689">
        <f>IF(AE96=0,,VLOOKUP(AE96,リスト!DK:DL,2,0))</f>
        <v>0</v>
      </c>
      <c r="AG96" s="688">
        <f>IF(AA96=0,,
IF(OR(リスト!$C$21="小麦",リスト!$C$21="二条大麦",リスト!$C$21="六条大麦",リスト!$C$21="はだか麦",リスト!$C$21="なたね"),IF(K96&lt;9,調査年-J96,調査年-J96-1),
IF(リスト!$C$21="さとうきび",IF(K96&gt;=4,調査年-J96,調査年-J96+1),
調査年-J96)))</f>
        <v>0</v>
      </c>
      <c r="AH96" s="252">
        <f t="shared" si="23"/>
        <v>0</v>
      </c>
      <c r="AI96" s="252">
        <f t="shared" si="24"/>
        <v>0</v>
      </c>
      <c r="AJ96" s="252">
        <f t="shared" si="25"/>
        <v>0</v>
      </c>
      <c r="AK96" s="252">
        <f t="shared" si="26"/>
        <v>0</v>
      </c>
      <c r="AL96" s="252">
        <f t="shared" si="27"/>
        <v>0</v>
      </c>
      <c r="AM96" s="252">
        <f t="shared" si="35"/>
        <v>0</v>
      </c>
      <c r="AN96" s="403"/>
      <c r="AO96" s="25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52">
        <f t="shared" si="28"/>
        <v>0</v>
      </c>
      <c r="AQ96" s="252">
        <f t="shared" si="29"/>
        <v>0</v>
      </c>
      <c r="AR96" s="252">
        <f t="shared" si="30"/>
        <v>0</v>
      </c>
      <c r="AS96" s="25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52">
        <f t="shared" si="31"/>
        <v>0</v>
      </c>
      <c r="AU96" s="252">
        <f t="shared" si="32"/>
        <v>0</v>
      </c>
      <c r="AV96" s="252">
        <f t="shared" si="33"/>
        <v>0</v>
      </c>
      <c r="AW96" s="252">
        <f t="shared" si="33"/>
        <v>0</v>
      </c>
      <c r="AX96" s="252">
        <f t="shared" si="33"/>
        <v>0</v>
      </c>
      <c r="AY96" s="725">
        <f t="shared" si="34"/>
        <v>0</v>
      </c>
      <c r="AZ96" s="690"/>
      <c r="BA96" s="690"/>
      <c r="BB96" s="690"/>
      <c r="BC96" s="690"/>
    </row>
    <row r="97" spans="3:55" s="46" customFormat="1" ht="30.75" hidden="1" customHeight="1" outlineLevel="1">
      <c r="C97" s="744">
        <v>81</v>
      </c>
      <c r="D97" s="691"/>
      <c r="E97" s="778"/>
      <c r="F97" s="774"/>
      <c r="G97" s="2023"/>
      <c r="H97" s="2024"/>
      <c r="I97" s="683"/>
      <c r="J97" s="729"/>
      <c r="K97" s="684"/>
      <c r="L97" s="685"/>
      <c r="M97" s="685"/>
      <c r="N97" s="685"/>
      <c r="O97" s="685"/>
      <c r="P97" s="685"/>
      <c r="Q97" s="854"/>
      <c r="R97" s="1003"/>
      <c r="S97" s="1045"/>
      <c r="T97" s="686"/>
      <c r="U97" s="730"/>
      <c r="V97" s="731"/>
      <c r="W97" s="721"/>
      <c r="X97" s="780"/>
      <c r="Y97" s="781"/>
      <c r="Z97" s="777"/>
      <c r="AA97" s="688">
        <f t="shared" si="21"/>
        <v>0</v>
      </c>
      <c r="AB97" s="688">
        <f t="shared" si="36"/>
        <v>0</v>
      </c>
      <c r="AC97" s="688">
        <f t="shared" si="37"/>
        <v>0</v>
      </c>
      <c r="AD97" s="688">
        <f>IF(AA97=0,,VLOOKUP(AA97,リスト!DH:DI,2,0))</f>
        <v>0</v>
      </c>
      <c r="AE97" s="688">
        <f t="shared" si="22"/>
        <v>0</v>
      </c>
      <c r="AF97" s="689">
        <f>IF(AE97=0,,VLOOKUP(AE97,リスト!DK:DL,2,0))</f>
        <v>0</v>
      </c>
      <c r="AG97" s="688">
        <f>IF(AA97=0,,
IF(OR(リスト!$C$21="小麦",リスト!$C$21="二条大麦",リスト!$C$21="六条大麦",リスト!$C$21="はだか麦",リスト!$C$21="なたね"),IF(K97&lt;9,調査年-J97,調査年-J97-1),
IF(リスト!$C$21="さとうきび",IF(K97&gt;=4,調査年-J97,調査年-J97+1),
調査年-J97)))</f>
        <v>0</v>
      </c>
      <c r="AH97" s="252">
        <f t="shared" si="23"/>
        <v>0</v>
      </c>
      <c r="AI97" s="252">
        <f t="shared" si="24"/>
        <v>0</v>
      </c>
      <c r="AJ97" s="252">
        <f t="shared" si="25"/>
        <v>0</v>
      </c>
      <c r="AK97" s="252">
        <f t="shared" si="26"/>
        <v>0</v>
      </c>
      <c r="AL97" s="252">
        <f t="shared" si="27"/>
        <v>0</v>
      </c>
      <c r="AM97" s="252">
        <f t="shared" si="35"/>
        <v>0</v>
      </c>
      <c r="AN97" s="403"/>
      <c r="AO97" s="25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52">
        <f t="shared" si="28"/>
        <v>0</v>
      </c>
      <c r="AQ97" s="252">
        <f t="shared" si="29"/>
        <v>0</v>
      </c>
      <c r="AR97" s="252">
        <f t="shared" si="30"/>
        <v>0</v>
      </c>
      <c r="AS97" s="25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52">
        <f t="shared" si="31"/>
        <v>0</v>
      </c>
      <c r="AU97" s="252">
        <f t="shared" si="32"/>
        <v>0</v>
      </c>
      <c r="AV97" s="252">
        <f t="shared" si="33"/>
        <v>0</v>
      </c>
      <c r="AW97" s="252">
        <f t="shared" si="33"/>
        <v>0</v>
      </c>
      <c r="AX97" s="252">
        <f t="shared" si="33"/>
        <v>0</v>
      </c>
      <c r="AY97" s="725">
        <f t="shared" si="34"/>
        <v>0</v>
      </c>
      <c r="AZ97" s="690"/>
      <c r="BA97" s="690"/>
      <c r="BB97" s="690"/>
      <c r="BC97" s="690"/>
    </row>
    <row r="98" spans="3:55" s="46" customFormat="1" ht="30.75" hidden="1" customHeight="1" outlineLevel="1">
      <c r="C98" s="744">
        <v>82</v>
      </c>
      <c r="D98" s="691"/>
      <c r="E98" s="778"/>
      <c r="F98" s="774"/>
      <c r="G98" s="2023"/>
      <c r="H98" s="2024"/>
      <c r="I98" s="683"/>
      <c r="J98" s="729"/>
      <c r="K98" s="684"/>
      <c r="L98" s="685"/>
      <c r="M98" s="685"/>
      <c r="N98" s="685"/>
      <c r="O98" s="685"/>
      <c r="P98" s="685"/>
      <c r="Q98" s="854"/>
      <c r="R98" s="1003"/>
      <c r="S98" s="1045"/>
      <c r="T98" s="686"/>
      <c r="U98" s="730"/>
      <c r="V98" s="731"/>
      <c r="W98" s="721"/>
      <c r="X98" s="780"/>
      <c r="Y98" s="781"/>
      <c r="Z98" s="777"/>
      <c r="AA98" s="688">
        <f t="shared" si="21"/>
        <v>0</v>
      </c>
      <c r="AB98" s="688">
        <f t="shared" si="36"/>
        <v>0</v>
      </c>
      <c r="AC98" s="688">
        <f t="shared" si="37"/>
        <v>0</v>
      </c>
      <c r="AD98" s="688">
        <f>IF(AA98=0,,VLOOKUP(AA98,リスト!DH:DI,2,0))</f>
        <v>0</v>
      </c>
      <c r="AE98" s="688">
        <f t="shared" si="22"/>
        <v>0</v>
      </c>
      <c r="AF98" s="689">
        <f>IF(AE98=0,,VLOOKUP(AE98,リスト!DK:DL,2,0))</f>
        <v>0</v>
      </c>
      <c r="AG98" s="688">
        <f>IF(AA98=0,,
IF(OR(リスト!$C$21="小麦",リスト!$C$21="二条大麦",リスト!$C$21="六条大麦",リスト!$C$21="はだか麦",リスト!$C$21="なたね"),IF(K98&lt;9,調査年-J98,調査年-J98-1),
IF(リスト!$C$21="さとうきび",IF(K98&gt;=4,調査年-J98,調査年-J98+1),
調査年-J98)))</f>
        <v>0</v>
      </c>
      <c r="AH98" s="252">
        <f t="shared" si="23"/>
        <v>0</v>
      </c>
      <c r="AI98" s="252">
        <f t="shared" si="24"/>
        <v>0</v>
      </c>
      <c r="AJ98" s="252">
        <f t="shared" si="25"/>
        <v>0</v>
      </c>
      <c r="AK98" s="252">
        <f t="shared" si="26"/>
        <v>0</v>
      </c>
      <c r="AL98" s="252">
        <f t="shared" si="27"/>
        <v>0</v>
      </c>
      <c r="AM98" s="252">
        <f t="shared" si="35"/>
        <v>0</v>
      </c>
      <c r="AN98" s="403"/>
      <c r="AO98" s="25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52">
        <f t="shared" si="28"/>
        <v>0</v>
      </c>
      <c r="AQ98" s="252">
        <f t="shared" si="29"/>
        <v>0</v>
      </c>
      <c r="AR98" s="252">
        <f t="shared" si="30"/>
        <v>0</v>
      </c>
      <c r="AS98" s="25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52">
        <f t="shared" si="31"/>
        <v>0</v>
      </c>
      <c r="AU98" s="252">
        <f t="shared" si="32"/>
        <v>0</v>
      </c>
      <c r="AV98" s="252">
        <f t="shared" si="33"/>
        <v>0</v>
      </c>
      <c r="AW98" s="252">
        <f t="shared" si="33"/>
        <v>0</v>
      </c>
      <c r="AX98" s="252">
        <f t="shared" si="33"/>
        <v>0</v>
      </c>
      <c r="AY98" s="725">
        <f t="shared" si="34"/>
        <v>0</v>
      </c>
      <c r="AZ98" s="690"/>
      <c r="BA98" s="690"/>
      <c r="BB98" s="690"/>
      <c r="BC98" s="690"/>
    </row>
    <row r="99" spans="3:55" s="46" customFormat="1" ht="30.75" hidden="1" customHeight="1" outlineLevel="1">
      <c r="C99" s="744">
        <v>83</v>
      </c>
      <c r="D99" s="691"/>
      <c r="E99" s="778"/>
      <c r="F99" s="774"/>
      <c r="G99" s="2023"/>
      <c r="H99" s="2024"/>
      <c r="I99" s="683"/>
      <c r="J99" s="729"/>
      <c r="K99" s="684"/>
      <c r="L99" s="685"/>
      <c r="M99" s="685"/>
      <c r="N99" s="685"/>
      <c r="O99" s="685"/>
      <c r="P99" s="685"/>
      <c r="Q99" s="854"/>
      <c r="R99" s="1003"/>
      <c r="S99" s="1045"/>
      <c r="T99" s="686"/>
      <c r="U99" s="730"/>
      <c r="V99" s="731"/>
      <c r="W99" s="721"/>
      <c r="X99" s="780"/>
      <c r="Y99" s="781"/>
      <c r="Z99" s="777"/>
      <c r="AA99" s="688">
        <f t="shared" si="21"/>
        <v>0</v>
      </c>
      <c r="AB99" s="688">
        <f t="shared" si="36"/>
        <v>0</v>
      </c>
      <c r="AC99" s="688">
        <f t="shared" si="37"/>
        <v>0</v>
      </c>
      <c r="AD99" s="688">
        <f>IF(AA99=0,,VLOOKUP(AA99,リスト!DH:DI,2,0))</f>
        <v>0</v>
      </c>
      <c r="AE99" s="688">
        <f t="shared" si="22"/>
        <v>0</v>
      </c>
      <c r="AF99" s="689">
        <f>IF(AE99=0,,VLOOKUP(AE99,リスト!DK:DL,2,0))</f>
        <v>0</v>
      </c>
      <c r="AG99" s="688">
        <f>IF(AA99=0,,
IF(OR(リスト!$C$21="小麦",リスト!$C$21="二条大麦",リスト!$C$21="六条大麦",リスト!$C$21="はだか麦",リスト!$C$21="なたね"),IF(K99&lt;9,調査年-J99,調査年-J99-1),
IF(リスト!$C$21="さとうきび",IF(K99&gt;=4,調査年-J99,調査年-J99+1),
調査年-J99)))</f>
        <v>0</v>
      </c>
      <c r="AH99" s="252">
        <f t="shared" si="23"/>
        <v>0</v>
      </c>
      <c r="AI99" s="252">
        <f t="shared" si="24"/>
        <v>0</v>
      </c>
      <c r="AJ99" s="252">
        <f t="shared" si="25"/>
        <v>0</v>
      </c>
      <c r="AK99" s="252">
        <f t="shared" si="26"/>
        <v>0</v>
      </c>
      <c r="AL99" s="252">
        <f t="shared" si="27"/>
        <v>0</v>
      </c>
      <c r="AM99" s="252">
        <f t="shared" si="35"/>
        <v>0</v>
      </c>
      <c r="AN99" s="403"/>
      <c r="AO99" s="25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52">
        <f t="shared" si="28"/>
        <v>0</v>
      </c>
      <c r="AQ99" s="252">
        <f t="shared" si="29"/>
        <v>0</v>
      </c>
      <c r="AR99" s="252">
        <f t="shared" si="30"/>
        <v>0</v>
      </c>
      <c r="AS99" s="25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52">
        <f t="shared" si="31"/>
        <v>0</v>
      </c>
      <c r="AU99" s="252">
        <f t="shared" si="32"/>
        <v>0</v>
      </c>
      <c r="AV99" s="252">
        <f t="shared" si="33"/>
        <v>0</v>
      </c>
      <c r="AW99" s="252">
        <f t="shared" si="33"/>
        <v>0</v>
      </c>
      <c r="AX99" s="252">
        <f t="shared" si="33"/>
        <v>0</v>
      </c>
      <c r="AY99" s="725">
        <f t="shared" si="34"/>
        <v>0</v>
      </c>
      <c r="AZ99" s="690"/>
      <c r="BA99" s="690"/>
      <c r="BB99" s="690"/>
      <c r="BC99" s="690"/>
    </row>
    <row r="100" spans="3:55" s="46" customFormat="1" ht="30.75" hidden="1" customHeight="1" outlineLevel="1">
      <c r="C100" s="744">
        <v>84</v>
      </c>
      <c r="D100" s="691"/>
      <c r="E100" s="778"/>
      <c r="F100" s="774"/>
      <c r="G100" s="2023"/>
      <c r="H100" s="2024"/>
      <c r="I100" s="683"/>
      <c r="J100" s="729"/>
      <c r="K100" s="684"/>
      <c r="L100" s="685"/>
      <c r="M100" s="685"/>
      <c r="N100" s="685"/>
      <c r="O100" s="685"/>
      <c r="P100" s="685"/>
      <c r="Q100" s="854"/>
      <c r="R100" s="1003"/>
      <c r="S100" s="1045"/>
      <c r="T100" s="686"/>
      <c r="U100" s="730"/>
      <c r="V100" s="731"/>
      <c r="W100" s="721"/>
      <c r="X100" s="780"/>
      <c r="Y100" s="781"/>
      <c r="Z100" s="777"/>
      <c r="AA100" s="688">
        <f t="shared" si="21"/>
        <v>0</v>
      </c>
      <c r="AB100" s="688">
        <f t="shared" si="36"/>
        <v>0</v>
      </c>
      <c r="AC100" s="688">
        <f t="shared" si="37"/>
        <v>0</v>
      </c>
      <c r="AD100" s="688">
        <f>IF(AA100=0,,VLOOKUP(AA100,リスト!DH:DI,2,0))</f>
        <v>0</v>
      </c>
      <c r="AE100" s="688">
        <f t="shared" si="22"/>
        <v>0</v>
      </c>
      <c r="AF100" s="689">
        <f>IF(AE100=0,,VLOOKUP(AE100,リスト!DK:DL,2,0))</f>
        <v>0</v>
      </c>
      <c r="AG100" s="688">
        <f>IF(AA100=0,,
IF(OR(リスト!$C$21="小麦",リスト!$C$21="二条大麦",リスト!$C$21="六条大麦",リスト!$C$21="はだか麦",リスト!$C$21="なたね"),IF(K100&lt;9,調査年-J100,調査年-J100-1),
IF(リスト!$C$21="さとうきび",IF(K100&gt;=4,調査年-J100,調査年-J100+1),
調査年-J100)))</f>
        <v>0</v>
      </c>
      <c r="AH100" s="252">
        <f t="shared" si="23"/>
        <v>0</v>
      </c>
      <c r="AI100" s="252">
        <f t="shared" si="24"/>
        <v>0</v>
      </c>
      <c r="AJ100" s="252">
        <f t="shared" si="25"/>
        <v>0</v>
      </c>
      <c r="AK100" s="252">
        <f t="shared" si="26"/>
        <v>0</v>
      </c>
      <c r="AL100" s="252">
        <f t="shared" si="27"/>
        <v>0</v>
      </c>
      <c r="AM100" s="252">
        <f t="shared" si="35"/>
        <v>0</v>
      </c>
      <c r="AN100" s="403"/>
      <c r="AO100" s="25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52">
        <f t="shared" si="28"/>
        <v>0</v>
      </c>
      <c r="AQ100" s="252">
        <f t="shared" si="29"/>
        <v>0</v>
      </c>
      <c r="AR100" s="252">
        <f t="shared" si="30"/>
        <v>0</v>
      </c>
      <c r="AS100" s="25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52">
        <f t="shared" si="31"/>
        <v>0</v>
      </c>
      <c r="AU100" s="252">
        <f t="shared" si="32"/>
        <v>0</v>
      </c>
      <c r="AV100" s="252">
        <f t="shared" si="33"/>
        <v>0</v>
      </c>
      <c r="AW100" s="252">
        <f t="shared" si="33"/>
        <v>0</v>
      </c>
      <c r="AX100" s="252">
        <f t="shared" si="33"/>
        <v>0</v>
      </c>
      <c r="AY100" s="725">
        <f t="shared" si="34"/>
        <v>0</v>
      </c>
      <c r="AZ100" s="690"/>
      <c r="BA100" s="690"/>
      <c r="BB100" s="690"/>
      <c r="BC100" s="690"/>
    </row>
    <row r="101" spans="3:55" s="46" customFormat="1" ht="30.75" hidden="1" customHeight="1" outlineLevel="1">
      <c r="C101" s="744">
        <v>85</v>
      </c>
      <c r="D101" s="691"/>
      <c r="E101" s="778"/>
      <c r="F101" s="774"/>
      <c r="G101" s="2023"/>
      <c r="H101" s="2024"/>
      <c r="I101" s="683"/>
      <c r="J101" s="729"/>
      <c r="K101" s="684"/>
      <c r="L101" s="685"/>
      <c r="M101" s="685"/>
      <c r="N101" s="685"/>
      <c r="O101" s="685"/>
      <c r="P101" s="685"/>
      <c r="Q101" s="854"/>
      <c r="R101" s="1003"/>
      <c r="S101" s="1045"/>
      <c r="T101" s="686"/>
      <c r="U101" s="730"/>
      <c r="V101" s="731"/>
      <c r="W101" s="721"/>
      <c r="X101" s="780"/>
      <c r="Y101" s="781"/>
      <c r="Z101" s="777"/>
      <c r="AA101" s="688">
        <f t="shared" si="21"/>
        <v>0</v>
      </c>
      <c r="AB101" s="688">
        <f t="shared" si="36"/>
        <v>0</v>
      </c>
      <c r="AC101" s="688">
        <f t="shared" si="37"/>
        <v>0</v>
      </c>
      <c r="AD101" s="688">
        <f>IF(AA101=0,,VLOOKUP(AA101,リスト!DH:DI,2,0))</f>
        <v>0</v>
      </c>
      <c r="AE101" s="688">
        <f t="shared" si="22"/>
        <v>0</v>
      </c>
      <c r="AF101" s="689">
        <f>IF(AE101=0,,VLOOKUP(AE101,リスト!DK:DL,2,0))</f>
        <v>0</v>
      </c>
      <c r="AG101" s="688">
        <f>IF(AA101=0,,
IF(OR(リスト!$C$21="小麦",リスト!$C$21="二条大麦",リスト!$C$21="六条大麦",リスト!$C$21="はだか麦",リスト!$C$21="なたね"),IF(K101&lt;9,調査年-J101,調査年-J101-1),
IF(リスト!$C$21="さとうきび",IF(K101&gt;=4,調査年-J101,調査年-J101+1),
調査年-J101)))</f>
        <v>0</v>
      </c>
      <c r="AH101" s="252">
        <f t="shared" si="23"/>
        <v>0</v>
      </c>
      <c r="AI101" s="252">
        <f t="shared" si="24"/>
        <v>0</v>
      </c>
      <c r="AJ101" s="252">
        <f t="shared" si="25"/>
        <v>0</v>
      </c>
      <c r="AK101" s="252">
        <f t="shared" si="26"/>
        <v>0</v>
      </c>
      <c r="AL101" s="252">
        <f t="shared" si="27"/>
        <v>0</v>
      </c>
      <c r="AM101" s="252">
        <f t="shared" si="35"/>
        <v>0</v>
      </c>
      <c r="AN101" s="403"/>
      <c r="AO101" s="25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52">
        <f t="shared" si="28"/>
        <v>0</v>
      </c>
      <c r="AQ101" s="252">
        <f t="shared" si="29"/>
        <v>0</v>
      </c>
      <c r="AR101" s="252">
        <f t="shared" si="30"/>
        <v>0</v>
      </c>
      <c r="AS101" s="25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52">
        <f t="shared" si="31"/>
        <v>0</v>
      </c>
      <c r="AU101" s="252">
        <f t="shared" si="32"/>
        <v>0</v>
      </c>
      <c r="AV101" s="252">
        <f t="shared" si="33"/>
        <v>0</v>
      </c>
      <c r="AW101" s="252">
        <f t="shared" si="33"/>
        <v>0</v>
      </c>
      <c r="AX101" s="252">
        <f t="shared" si="33"/>
        <v>0</v>
      </c>
      <c r="AY101" s="725">
        <f t="shared" si="34"/>
        <v>0</v>
      </c>
      <c r="AZ101" s="690"/>
      <c r="BA101" s="690"/>
      <c r="BB101" s="690"/>
      <c r="BC101" s="690"/>
    </row>
    <row r="102" spans="3:55" s="46" customFormat="1" ht="30.75" hidden="1" customHeight="1" outlineLevel="1">
      <c r="C102" s="744">
        <v>86</v>
      </c>
      <c r="D102" s="691"/>
      <c r="E102" s="778"/>
      <c r="F102" s="774"/>
      <c r="G102" s="2023"/>
      <c r="H102" s="2024"/>
      <c r="I102" s="683"/>
      <c r="J102" s="729"/>
      <c r="K102" s="684"/>
      <c r="L102" s="685"/>
      <c r="M102" s="685"/>
      <c r="N102" s="685"/>
      <c r="O102" s="685"/>
      <c r="P102" s="685"/>
      <c r="Q102" s="854"/>
      <c r="R102" s="1003"/>
      <c r="S102" s="1045"/>
      <c r="T102" s="686"/>
      <c r="U102" s="730"/>
      <c r="V102" s="731"/>
      <c r="W102" s="721"/>
      <c r="X102" s="780"/>
      <c r="Y102" s="781"/>
      <c r="Z102" s="777"/>
      <c r="AA102" s="688">
        <f t="shared" si="21"/>
        <v>0</v>
      </c>
      <c r="AB102" s="688">
        <f t="shared" si="36"/>
        <v>0</v>
      </c>
      <c r="AC102" s="688">
        <f t="shared" si="37"/>
        <v>0</v>
      </c>
      <c r="AD102" s="688">
        <f>IF(AA102=0,,VLOOKUP(AA102,リスト!DH:DI,2,0))</f>
        <v>0</v>
      </c>
      <c r="AE102" s="688">
        <f t="shared" si="22"/>
        <v>0</v>
      </c>
      <c r="AF102" s="689">
        <f>IF(AE102=0,,VLOOKUP(AE102,リスト!DK:DL,2,0))</f>
        <v>0</v>
      </c>
      <c r="AG102" s="688">
        <f>IF(AA102=0,,
IF(OR(リスト!$C$21="小麦",リスト!$C$21="二条大麦",リスト!$C$21="六条大麦",リスト!$C$21="はだか麦",リスト!$C$21="なたね"),IF(K102&lt;9,調査年-J102,調査年-J102-1),
IF(リスト!$C$21="さとうきび",IF(K102&gt;=4,調査年-J102,調査年-J102+1),
調査年-J102)))</f>
        <v>0</v>
      </c>
      <c r="AH102" s="252">
        <f t="shared" si="23"/>
        <v>0</v>
      </c>
      <c r="AI102" s="252">
        <f t="shared" si="24"/>
        <v>0</v>
      </c>
      <c r="AJ102" s="252">
        <f t="shared" si="25"/>
        <v>0</v>
      </c>
      <c r="AK102" s="252">
        <f t="shared" si="26"/>
        <v>0</v>
      </c>
      <c r="AL102" s="252">
        <f t="shared" si="27"/>
        <v>0</v>
      </c>
      <c r="AM102" s="252">
        <f t="shared" si="35"/>
        <v>0</v>
      </c>
      <c r="AN102" s="403"/>
      <c r="AO102" s="25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52">
        <f t="shared" si="28"/>
        <v>0</v>
      </c>
      <c r="AQ102" s="252">
        <f t="shared" si="29"/>
        <v>0</v>
      </c>
      <c r="AR102" s="252">
        <f t="shared" si="30"/>
        <v>0</v>
      </c>
      <c r="AS102" s="25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52">
        <f t="shared" si="31"/>
        <v>0</v>
      </c>
      <c r="AU102" s="252">
        <f t="shared" si="32"/>
        <v>0</v>
      </c>
      <c r="AV102" s="252">
        <f t="shared" si="33"/>
        <v>0</v>
      </c>
      <c r="AW102" s="252">
        <f t="shared" si="33"/>
        <v>0</v>
      </c>
      <c r="AX102" s="252">
        <f t="shared" si="33"/>
        <v>0</v>
      </c>
      <c r="AY102" s="725">
        <f t="shared" si="34"/>
        <v>0</v>
      </c>
      <c r="AZ102" s="690"/>
      <c r="BA102" s="690"/>
      <c r="BB102" s="690"/>
      <c r="BC102" s="690"/>
    </row>
    <row r="103" spans="3:55" s="46" customFormat="1" ht="30.75" hidden="1" customHeight="1" outlineLevel="1">
      <c r="C103" s="744">
        <v>87</v>
      </c>
      <c r="D103" s="691"/>
      <c r="E103" s="778"/>
      <c r="F103" s="774"/>
      <c r="G103" s="2023"/>
      <c r="H103" s="2024"/>
      <c r="I103" s="683"/>
      <c r="J103" s="729"/>
      <c r="K103" s="684"/>
      <c r="L103" s="685"/>
      <c r="M103" s="685"/>
      <c r="N103" s="685"/>
      <c r="O103" s="685"/>
      <c r="P103" s="685"/>
      <c r="Q103" s="854"/>
      <c r="R103" s="1003"/>
      <c r="S103" s="1045"/>
      <c r="T103" s="686"/>
      <c r="U103" s="730"/>
      <c r="V103" s="731"/>
      <c r="W103" s="721"/>
      <c r="X103" s="780"/>
      <c r="Y103" s="781"/>
      <c r="Z103" s="777"/>
      <c r="AA103" s="688">
        <f t="shared" si="21"/>
        <v>0</v>
      </c>
      <c r="AB103" s="688">
        <f t="shared" si="36"/>
        <v>0</v>
      </c>
      <c r="AC103" s="688">
        <f t="shared" si="37"/>
        <v>0</v>
      </c>
      <c r="AD103" s="688">
        <f>IF(AA103=0,,VLOOKUP(AA103,リスト!DH:DI,2,0))</f>
        <v>0</v>
      </c>
      <c r="AE103" s="688">
        <f t="shared" si="22"/>
        <v>0</v>
      </c>
      <c r="AF103" s="689">
        <f>IF(AE103=0,,VLOOKUP(AE103,リスト!DK:DL,2,0))</f>
        <v>0</v>
      </c>
      <c r="AG103" s="688">
        <f>IF(AA103=0,,
IF(OR(リスト!$C$21="小麦",リスト!$C$21="二条大麦",リスト!$C$21="六条大麦",リスト!$C$21="はだか麦",リスト!$C$21="なたね"),IF(K103&lt;9,調査年-J103,調査年-J103-1),
IF(リスト!$C$21="さとうきび",IF(K103&gt;=4,調査年-J103,調査年-J103+1),
調査年-J103)))</f>
        <v>0</v>
      </c>
      <c r="AH103" s="252">
        <f t="shared" si="23"/>
        <v>0</v>
      </c>
      <c r="AI103" s="252">
        <f t="shared" si="24"/>
        <v>0</v>
      </c>
      <c r="AJ103" s="252">
        <f t="shared" si="25"/>
        <v>0</v>
      </c>
      <c r="AK103" s="252">
        <f t="shared" si="26"/>
        <v>0</v>
      </c>
      <c r="AL103" s="252">
        <f t="shared" si="27"/>
        <v>0</v>
      </c>
      <c r="AM103" s="252">
        <f t="shared" si="35"/>
        <v>0</v>
      </c>
      <c r="AN103" s="403"/>
      <c r="AO103" s="25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52">
        <f t="shared" si="28"/>
        <v>0</v>
      </c>
      <c r="AQ103" s="252">
        <f t="shared" si="29"/>
        <v>0</v>
      </c>
      <c r="AR103" s="252">
        <f t="shared" si="30"/>
        <v>0</v>
      </c>
      <c r="AS103" s="25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52">
        <f t="shared" si="31"/>
        <v>0</v>
      </c>
      <c r="AU103" s="252">
        <f t="shared" si="32"/>
        <v>0</v>
      </c>
      <c r="AV103" s="252">
        <f t="shared" si="33"/>
        <v>0</v>
      </c>
      <c r="AW103" s="252">
        <f t="shared" si="33"/>
        <v>0</v>
      </c>
      <c r="AX103" s="252">
        <f t="shared" si="33"/>
        <v>0</v>
      </c>
      <c r="AY103" s="725">
        <f t="shared" si="34"/>
        <v>0</v>
      </c>
      <c r="AZ103" s="690"/>
      <c r="BA103" s="690"/>
      <c r="BB103" s="690"/>
      <c r="BC103" s="690"/>
    </row>
    <row r="104" spans="3:55" s="46" customFormat="1" ht="30.75" hidden="1" customHeight="1" outlineLevel="1">
      <c r="C104" s="744">
        <v>88</v>
      </c>
      <c r="D104" s="691"/>
      <c r="E104" s="778"/>
      <c r="F104" s="774"/>
      <c r="G104" s="2023"/>
      <c r="H104" s="2024"/>
      <c r="I104" s="683"/>
      <c r="J104" s="729"/>
      <c r="K104" s="684"/>
      <c r="L104" s="685"/>
      <c r="M104" s="685"/>
      <c r="N104" s="685"/>
      <c r="O104" s="685"/>
      <c r="P104" s="685"/>
      <c r="Q104" s="854"/>
      <c r="R104" s="1003"/>
      <c r="S104" s="1045"/>
      <c r="T104" s="686"/>
      <c r="U104" s="730"/>
      <c r="V104" s="731"/>
      <c r="W104" s="721"/>
      <c r="X104" s="780"/>
      <c r="Y104" s="781"/>
      <c r="Z104" s="777"/>
      <c r="AA104" s="688">
        <f t="shared" si="21"/>
        <v>0</v>
      </c>
      <c r="AB104" s="688">
        <f t="shared" si="36"/>
        <v>0</v>
      </c>
      <c r="AC104" s="688">
        <f t="shared" si="37"/>
        <v>0</v>
      </c>
      <c r="AD104" s="688">
        <f>IF(AA104=0,,VLOOKUP(AA104,リスト!DH:DI,2,0))</f>
        <v>0</v>
      </c>
      <c r="AE104" s="688">
        <f t="shared" si="22"/>
        <v>0</v>
      </c>
      <c r="AF104" s="689">
        <f>IF(AE104=0,,VLOOKUP(AE104,リスト!DK:DL,2,0))</f>
        <v>0</v>
      </c>
      <c r="AG104" s="688">
        <f>IF(AA104=0,,
IF(OR(リスト!$C$21="小麦",リスト!$C$21="二条大麦",リスト!$C$21="六条大麦",リスト!$C$21="はだか麦",リスト!$C$21="なたね"),IF(K104&lt;9,調査年-J104,調査年-J104-1),
IF(リスト!$C$21="さとうきび",IF(K104&gt;=4,調査年-J104,調査年-J104+1),
調査年-J104)))</f>
        <v>0</v>
      </c>
      <c r="AH104" s="252">
        <f t="shared" si="23"/>
        <v>0</v>
      </c>
      <c r="AI104" s="252">
        <f t="shared" si="24"/>
        <v>0</v>
      </c>
      <c r="AJ104" s="252">
        <f t="shared" si="25"/>
        <v>0</v>
      </c>
      <c r="AK104" s="252">
        <f t="shared" si="26"/>
        <v>0</v>
      </c>
      <c r="AL104" s="252">
        <f t="shared" si="27"/>
        <v>0</v>
      </c>
      <c r="AM104" s="252">
        <f t="shared" si="35"/>
        <v>0</v>
      </c>
      <c r="AN104" s="403"/>
      <c r="AO104" s="25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52">
        <f t="shared" si="28"/>
        <v>0</v>
      </c>
      <c r="AQ104" s="252">
        <f t="shared" si="29"/>
        <v>0</v>
      </c>
      <c r="AR104" s="252">
        <f t="shared" si="30"/>
        <v>0</v>
      </c>
      <c r="AS104" s="25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52">
        <f t="shared" si="31"/>
        <v>0</v>
      </c>
      <c r="AU104" s="252">
        <f t="shared" si="32"/>
        <v>0</v>
      </c>
      <c r="AV104" s="252">
        <f t="shared" si="33"/>
        <v>0</v>
      </c>
      <c r="AW104" s="252">
        <f t="shared" si="33"/>
        <v>0</v>
      </c>
      <c r="AX104" s="252">
        <f t="shared" si="33"/>
        <v>0</v>
      </c>
      <c r="AY104" s="725">
        <f t="shared" si="34"/>
        <v>0</v>
      </c>
      <c r="AZ104" s="690"/>
      <c r="BA104" s="690"/>
      <c r="BB104" s="690"/>
      <c r="BC104" s="690"/>
    </row>
    <row r="105" spans="3:55" s="46" customFormat="1" ht="30.75" hidden="1" customHeight="1" outlineLevel="1">
      <c r="C105" s="744">
        <v>89</v>
      </c>
      <c r="D105" s="691"/>
      <c r="E105" s="778"/>
      <c r="F105" s="774"/>
      <c r="G105" s="2023"/>
      <c r="H105" s="2024"/>
      <c r="I105" s="683"/>
      <c r="J105" s="729"/>
      <c r="K105" s="684"/>
      <c r="L105" s="685"/>
      <c r="M105" s="685"/>
      <c r="N105" s="685"/>
      <c r="O105" s="685"/>
      <c r="P105" s="685"/>
      <c r="Q105" s="854"/>
      <c r="R105" s="1003"/>
      <c r="S105" s="1045"/>
      <c r="T105" s="686"/>
      <c r="U105" s="730"/>
      <c r="V105" s="731"/>
      <c r="W105" s="721"/>
      <c r="X105" s="780"/>
      <c r="Y105" s="781"/>
      <c r="Z105" s="777"/>
      <c r="AA105" s="688">
        <f t="shared" si="21"/>
        <v>0</v>
      </c>
      <c r="AB105" s="688">
        <f t="shared" si="36"/>
        <v>0</v>
      </c>
      <c r="AC105" s="688">
        <f t="shared" si="37"/>
        <v>0</v>
      </c>
      <c r="AD105" s="688">
        <f>IF(AA105=0,,VLOOKUP(AA105,リスト!DH:DI,2,0))</f>
        <v>0</v>
      </c>
      <c r="AE105" s="688">
        <f t="shared" si="22"/>
        <v>0</v>
      </c>
      <c r="AF105" s="689">
        <f>IF(AE105=0,,VLOOKUP(AE105,リスト!DK:DL,2,0))</f>
        <v>0</v>
      </c>
      <c r="AG105" s="688">
        <f>IF(AA105=0,,
IF(OR(リスト!$C$21="小麦",リスト!$C$21="二条大麦",リスト!$C$21="六条大麦",リスト!$C$21="はだか麦",リスト!$C$21="なたね"),IF(K105&lt;9,調査年-J105,調査年-J105-1),
IF(リスト!$C$21="さとうきび",IF(K105&gt;=4,調査年-J105,調査年-J105+1),
調査年-J105)))</f>
        <v>0</v>
      </c>
      <c r="AH105" s="252">
        <f t="shared" si="23"/>
        <v>0</v>
      </c>
      <c r="AI105" s="252">
        <f t="shared" si="24"/>
        <v>0</v>
      </c>
      <c r="AJ105" s="252">
        <f t="shared" si="25"/>
        <v>0</v>
      </c>
      <c r="AK105" s="252">
        <f t="shared" si="26"/>
        <v>0</v>
      </c>
      <c r="AL105" s="252">
        <f t="shared" si="27"/>
        <v>0</v>
      </c>
      <c r="AM105" s="252">
        <f t="shared" si="35"/>
        <v>0</v>
      </c>
      <c r="AN105" s="403"/>
      <c r="AO105" s="25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52">
        <f t="shared" si="28"/>
        <v>0</v>
      </c>
      <c r="AQ105" s="252">
        <f t="shared" si="29"/>
        <v>0</v>
      </c>
      <c r="AR105" s="252">
        <f t="shared" si="30"/>
        <v>0</v>
      </c>
      <c r="AS105" s="25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52">
        <f t="shared" si="31"/>
        <v>0</v>
      </c>
      <c r="AU105" s="252">
        <f t="shared" si="32"/>
        <v>0</v>
      </c>
      <c r="AV105" s="252">
        <f t="shared" si="33"/>
        <v>0</v>
      </c>
      <c r="AW105" s="252">
        <f t="shared" si="33"/>
        <v>0</v>
      </c>
      <c r="AX105" s="252">
        <f t="shared" si="33"/>
        <v>0</v>
      </c>
      <c r="AY105" s="725">
        <f t="shared" si="34"/>
        <v>0</v>
      </c>
      <c r="AZ105" s="690"/>
      <c r="BA105" s="690"/>
      <c r="BB105" s="690"/>
      <c r="BC105" s="690"/>
    </row>
    <row r="106" spans="3:55" s="46" customFormat="1" ht="30.75" hidden="1" customHeight="1" outlineLevel="1">
      <c r="C106" s="744">
        <v>90</v>
      </c>
      <c r="D106" s="691"/>
      <c r="E106" s="778"/>
      <c r="F106" s="774"/>
      <c r="G106" s="2023"/>
      <c r="H106" s="2024"/>
      <c r="I106" s="683"/>
      <c r="J106" s="729"/>
      <c r="K106" s="684"/>
      <c r="L106" s="685"/>
      <c r="M106" s="685"/>
      <c r="N106" s="685"/>
      <c r="O106" s="685"/>
      <c r="P106" s="685"/>
      <c r="Q106" s="854"/>
      <c r="R106" s="1003"/>
      <c r="S106" s="1045"/>
      <c r="T106" s="686"/>
      <c r="U106" s="730"/>
      <c r="V106" s="731"/>
      <c r="W106" s="721"/>
      <c r="X106" s="780"/>
      <c r="Y106" s="781"/>
      <c r="Z106" s="777"/>
      <c r="AA106" s="688">
        <f t="shared" si="21"/>
        <v>0</v>
      </c>
      <c r="AB106" s="688">
        <f t="shared" si="36"/>
        <v>0</v>
      </c>
      <c r="AC106" s="688">
        <f t="shared" si="37"/>
        <v>0</v>
      </c>
      <c r="AD106" s="688">
        <f>IF(AA106=0,,VLOOKUP(AA106,リスト!DH:DI,2,0))</f>
        <v>0</v>
      </c>
      <c r="AE106" s="688">
        <f t="shared" si="22"/>
        <v>0</v>
      </c>
      <c r="AF106" s="689">
        <f>IF(AE106=0,,VLOOKUP(AE106,リスト!DK:DL,2,0))</f>
        <v>0</v>
      </c>
      <c r="AG106" s="688">
        <f>IF(AA106=0,,
IF(OR(リスト!$C$21="小麦",リスト!$C$21="二条大麦",リスト!$C$21="六条大麦",リスト!$C$21="はだか麦",リスト!$C$21="なたね"),IF(K106&lt;9,調査年-J106,調査年-J106-1),
IF(リスト!$C$21="さとうきび",IF(K106&gt;=4,調査年-J106,調査年-J106+1),
調査年-J106)))</f>
        <v>0</v>
      </c>
      <c r="AH106" s="252">
        <f t="shared" si="23"/>
        <v>0</v>
      </c>
      <c r="AI106" s="252">
        <f t="shared" si="24"/>
        <v>0</v>
      </c>
      <c r="AJ106" s="252">
        <f t="shared" si="25"/>
        <v>0</v>
      </c>
      <c r="AK106" s="252">
        <f t="shared" si="26"/>
        <v>0</v>
      </c>
      <c r="AL106" s="252">
        <f t="shared" si="27"/>
        <v>0</v>
      </c>
      <c r="AM106" s="252">
        <f t="shared" si="35"/>
        <v>0</v>
      </c>
      <c r="AN106" s="403"/>
      <c r="AO106" s="25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52">
        <f t="shared" si="28"/>
        <v>0</v>
      </c>
      <c r="AQ106" s="252">
        <f t="shared" si="29"/>
        <v>0</v>
      </c>
      <c r="AR106" s="252">
        <f t="shared" si="30"/>
        <v>0</v>
      </c>
      <c r="AS106" s="25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52">
        <f t="shared" si="31"/>
        <v>0</v>
      </c>
      <c r="AU106" s="252">
        <f t="shared" si="32"/>
        <v>0</v>
      </c>
      <c r="AV106" s="252">
        <f t="shared" si="33"/>
        <v>0</v>
      </c>
      <c r="AW106" s="252">
        <f t="shared" si="33"/>
        <v>0</v>
      </c>
      <c r="AX106" s="252">
        <f t="shared" si="33"/>
        <v>0</v>
      </c>
      <c r="AY106" s="725">
        <f t="shared" si="34"/>
        <v>0</v>
      </c>
      <c r="AZ106" s="690"/>
      <c r="BA106" s="690"/>
      <c r="BB106" s="690"/>
      <c r="BC106" s="690"/>
    </row>
    <row r="107" spans="3:55" s="46" customFormat="1" ht="30.75" hidden="1" customHeight="1" outlineLevel="1">
      <c r="C107" s="744">
        <v>91</v>
      </c>
      <c r="D107" s="691"/>
      <c r="E107" s="778"/>
      <c r="F107" s="774"/>
      <c r="G107" s="2023"/>
      <c r="H107" s="2024"/>
      <c r="I107" s="683"/>
      <c r="J107" s="729"/>
      <c r="K107" s="684"/>
      <c r="L107" s="685"/>
      <c r="M107" s="685"/>
      <c r="N107" s="685"/>
      <c r="O107" s="685"/>
      <c r="P107" s="685"/>
      <c r="Q107" s="854"/>
      <c r="R107" s="1003"/>
      <c r="S107" s="1045"/>
      <c r="T107" s="686"/>
      <c r="U107" s="730"/>
      <c r="V107" s="731"/>
      <c r="W107" s="721"/>
      <c r="X107" s="780"/>
      <c r="Y107" s="781"/>
      <c r="Z107" s="777"/>
      <c r="AA107" s="688">
        <f t="shared" si="21"/>
        <v>0</v>
      </c>
      <c r="AB107" s="688">
        <f t="shared" si="36"/>
        <v>0</v>
      </c>
      <c r="AC107" s="688">
        <f t="shared" si="37"/>
        <v>0</v>
      </c>
      <c r="AD107" s="688">
        <f>IF(AA107=0,,VLOOKUP(AA107,リスト!DH:DI,2,0))</f>
        <v>0</v>
      </c>
      <c r="AE107" s="688">
        <f t="shared" si="22"/>
        <v>0</v>
      </c>
      <c r="AF107" s="689">
        <f>IF(AE107=0,,VLOOKUP(AE107,リスト!DK:DL,2,0))</f>
        <v>0</v>
      </c>
      <c r="AG107" s="688">
        <f>IF(AA107=0,,
IF(OR(リスト!$C$21="小麦",リスト!$C$21="二条大麦",リスト!$C$21="六条大麦",リスト!$C$21="はだか麦",リスト!$C$21="なたね"),IF(K107&lt;9,調査年-J107,調査年-J107-1),
IF(リスト!$C$21="さとうきび",IF(K107&gt;=4,調査年-J107,調査年-J107+1),
調査年-J107)))</f>
        <v>0</v>
      </c>
      <c r="AH107" s="252">
        <f t="shared" si="23"/>
        <v>0</v>
      </c>
      <c r="AI107" s="252">
        <f t="shared" si="24"/>
        <v>0</v>
      </c>
      <c r="AJ107" s="252">
        <f t="shared" si="25"/>
        <v>0</v>
      </c>
      <c r="AK107" s="252">
        <f t="shared" si="26"/>
        <v>0</v>
      </c>
      <c r="AL107" s="252">
        <f t="shared" si="27"/>
        <v>0</v>
      </c>
      <c r="AM107" s="252">
        <f t="shared" si="35"/>
        <v>0</v>
      </c>
      <c r="AN107" s="403"/>
      <c r="AO107" s="25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52">
        <f t="shared" si="28"/>
        <v>0</v>
      </c>
      <c r="AQ107" s="252">
        <f t="shared" si="29"/>
        <v>0</v>
      </c>
      <c r="AR107" s="252">
        <f t="shared" si="30"/>
        <v>0</v>
      </c>
      <c r="AS107" s="25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52">
        <f t="shared" si="31"/>
        <v>0</v>
      </c>
      <c r="AU107" s="252">
        <f t="shared" si="32"/>
        <v>0</v>
      </c>
      <c r="AV107" s="252">
        <f t="shared" si="33"/>
        <v>0</v>
      </c>
      <c r="AW107" s="252">
        <f t="shared" si="33"/>
        <v>0</v>
      </c>
      <c r="AX107" s="252">
        <f t="shared" si="33"/>
        <v>0</v>
      </c>
      <c r="AY107" s="725">
        <f t="shared" si="34"/>
        <v>0</v>
      </c>
      <c r="AZ107" s="690"/>
      <c r="BA107" s="690"/>
      <c r="BB107" s="690"/>
      <c r="BC107" s="690"/>
    </row>
    <row r="108" spans="3:55" s="46" customFormat="1" ht="30.75" hidden="1" customHeight="1" outlineLevel="1">
      <c r="C108" s="744">
        <v>92</v>
      </c>
      <c r="D108" s="691"/>
      <c r="E108" s="778"/>
      <c r="F108" s="774"/>
      <c r="G108" s="2023"/>
      <c r="H108" s="2024"/>
      <c r="I108" s="683"/>
      <c r="J108" s="729"/>
      <c r="K108" s="684"/>
      <c r="L108" s="685"/>
      <c r="M108" s="685"/>
      <c r="N108" s="685"/>
      <c r="O108" s="685"/>
      <c r="P108" s="685"/>
      <c r="Q108" s="854"/>
      <c r="R108" s="1003"/>
      <c r="S108" s="1045"/>
      <c r="T108" s="686"/>
      <c r="U108" s="730"/>
      <c r="V108" s="731"/>
      <c r="W108" s="721"/>
      <c r="X108" s="780"/>
      <c r="Y108" s="781"/>
      <c r="Z108" s="777"/>
      <c r="AA108" s="688">
        <f t="shared" si="21"/>
        <v>0</v>
      </c>
      <c r="AB108" s="688">
        <f t="shared" si="36"/>
        <v>0</v>
      </c>
      <c r="AC108" s="688">
        <f t="shared" si="37"/>
        <v>0</v>
      </c>
      <c r="AD108" s="688">
        <f>IF(AA108=0,,VLOOKUP(AA108,リスト!DH:DI,2,0))</f>
        <v>0</v>
      </c>
      <c r="AE108" s="688">
        <f t="shared" si="22"/>
        <v>0</v>
      </c>
      <c r="AF108" s="689">
        <f>IF(AE108=0,,VLOOKUP(AE108,リスト!DK:DL,2,0))</f>
        <v>0</v>
      </c>
      <c r="AG108" s="688">
        <f>IF(AA108=0,,
IF(OR(リスト!$C$21="小麦",リスト!$C$21="二条大麦",リスト!$C$21="六条大麦",リスト!$C$21="はだか麦",リスト!$C$21="なたね"),IF(K108&lt;9,調査年-J108,調査年-J108-1),
IF(リスト!$C$21="さとうきび",IF(K108&gt;=4,調査年-J108,調査年-J108+1),
調査年-J108)))</f>
        <v>0</v>
      </c>
      <c r="AH108" s="252">
        <f t="shared" si="23"/>
        <v>0</v>
      </c>
      <c r="AI108" s="252">
        <f t="shared" si="24"/>
        <v>0</v>
      </c>
      <c r="AJ108" s="252">
        <f t="shared" si="25"/>
        <v>0</v>
      </c>
      <c r="AK108" s="252">
        <f t="shared" si="26"/>
        <v>0</v>
      </c>
      <c r="AL108" s="252">
        <f t="shared" si="27"/>
        <v>0</v>
      </c>
      <c r="AM108" s="252">
        <f t="shared" si="35"/>
        <v>0</v>
      </c>
      <c r="AN108" s="403"/>
      <c r="AO108" s="25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52">
        <f t="shared" si="28"/>
        <v>0</v>
      </c>
      <c r="AQ108" s="252">
        <f t="shared" si="29"/>
        <v>0</v>
      </c>
      <c r="AR108" s="252">
        <f t="shared" si="30"/>
        <v>0</v>
      </c>
      <c r="AS108" s="25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52">
        <f t="shared" si="31"/>
        <v>0</v>
      </c>
      <c r="AU108" s="252">
        <f t="shared" si="32"/>
        <v>0</v>
      </c>
      <c r="AV108" s="252">
        <f t="shared" si="33"/>
        <v>0</v>
      </c>
      <c r="AW108" s="252">
        <f t="shared" si="33"/>
        <v>0</v>
      </c>
      <c r="AX108" s="252">
        <f t="shared" si="33"/>
        <v>0</v>
      </c>
      <c r="AY108" s="725">
        <f t="shared" si="34"/>
        <v>0</v>
      </c>
      <c r="AZ108" s="690"/>
      <c r="BA108" s="690"/>
      <c r="BB108" s="690"/>
      <c r="BC108" s="690"/>
    </row>
    <row r="109" spans="3:55" s="46" customFormat="1" ht="30.75" hidden="1" customHeight="1" outlineLevel="1">
      <c r="C109" s="744">
        <v>93</v>
      </c>
      <c r="D109" s="691"/>
      <c r="E109" s="778"/>
      <c r="F109" s="774"/>
      <c r="G109" s="2023"/>
      <c r="H109" s="2024"/>
      <c r="I109" s="683"/>
      <c r="J109" s="729"/>
      <c r="K109" s="684"/>
      <c r="L109" s="685"/>
      <c r="M109" s="685"/>
      <c r="N109" s="685"/>
      <c r="O109" s="685"/>
      <c r="P109" s="685"/>
      <c r="Q109" s="854"/>
      <c r="R109" s="1003"/>
      <c r="S109" s="1045"/>
      <c r="T109" s="686"/>
      <c r="U109" s="730"/>
      <c r="V109" s="731"/>
      <c r="W109" s="721"/>
      <c r="X109" s="780"/>
      <c r="Y109" s="781"/>
      <c r="Z109" s="777"/>
      <c r="AA109" s="688">
        <f t="shared" si="21"/>
        <v>0</v>
      </c>
      <c r="AB109" s="688">
        <f t="shared" si="36"/>
        <v>0</v>
      </c>
      <c r="AC109" s="688">
        <f t="shared" si="37"/>
        <v>0</v>
      </c>
      <c r="AD109" s="688">
        <f>IF(AA109=0,,VLOOKUP(AA109,リスト!DH:DI,2,0))</f>
        <v>0</v>
      </c>
      <c r="AE109" s="688">
        <f t="shared" si="22"/>
        <v>0</v>
      </c>
      <c r="AF109" s="689">
        <f>IF(AE109=0,,VLOOKUP(AE109,リスト!DK:DL,2,0))</f>
        <v>0</v>
      </c>
      <c r="AG109" s="688">
        <f>IF(AA109=0,,
IF(OR(リスト!$C$21="小麦",リスト!$C$21="二条大麦",リスト!$C$21="六条大麦",リスト!$C$21="はだか麦",リスト!$C$21="なたね"),IF(K109&lt;9,調査年-J109,調査年-J109-1),
IF(リスト!$C$21="さとうきび",IF(K109&gt;=4,調査年-J109,調査年-J109+1),
調査年-J109)))</f>
        <v>0</v>
      </c>
      <c r="AH109" s="252">
        <f t="shared" si="23"/>
        <v>0</v>
      </c>
      <c r="AI109" s="252">
        <f t="shared" si="24"/>
        <v>0</v>
      </c>
      <c r="AJ109" s="252">
        <f t="shared" si="25"/>
        <v>0</v>
      </c>
      <c r="AK109" s="252">
        <f t="shared" si="26"/>
        <v>0</v>
      </c>
      <c r="AL109" s="252">
        <f t="shared" si="27"/>
        <v>0</v>
      </c>
      <c r="AM109" s="252">
        <f t="shared" si="35"/>
        <v>0</v>
      </c>
      <c r="AN109" s="403"/>
      <c r="AO109" s="25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52">
        <f t="shared" si="28"/>
        <v>0</v>
      </c>
      <c r="AQ109" s="252">
        <f t="shared" si="29"/>
        <v>0</v>
      </c>
      <c r="AR109" s="252">
        <f t="shared" si="30"/>
        <v>0</v>
      </c>
      <c r="AS109" s="25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52">
        <f t="shared" si="31"/>
        <v>0</v>
      </c>
      <c r="AU109" s="252">
        <f t="shared" si="32"/>
        <v>0</v>
      </c>
      <c r="AV109" s="252">
        <f t="shared" si="33"/>
        <v>0</v>
      </c>
      <c r="AW109" s="252">
        <f t="shared" si="33"/>
        <v>0</v>
      </c>
      <c r="AX109" s="252">
        <f t="shared" si="33"/>
        <v>0</v>
      </c>
      <c r="AY109" s="725">
        <f t="shared" si="34"/>
        <v>0</v>
      </c>
      <c r="AZ109" s="690"/>
      <c r="BA109" s="690"/>
      <c r="BB109" s="690"/>
      <c r="BC109" s="690"/>
    </row>
    <row r="110" spans="3:55" s="46" customFormat="1" ht="30.75" hidden="1" customHeight="1" outlineLevel="1">
      <c r="C110" s="744">
        <v>94</v>
      </c>
      <c r="D110" s="691"/>
      <c r="E110" s="778"/>
      <c r="F110" s="774"/>
      <c r="G110" s="2023"/>
      <c r="H110" s="2024"/>
      <c r="I110" s="683"/>
      <c r="J110" s="729"/>
      <c r="K110" s="684"/>
      <c r="L110" s="685"/>
      <c r="M110" s="685"/>
      <c r="N110" s="685"/>
      <c r="O110" s="685"/>
      <c r="P110" s="685"/>
      <c r="Q110" s="854"/>
      <c r="R110" s="1003"/>
      <c r="S110" s="1045"/>
      <c r="T110" s="686"/>
      <c r="U110" s="730"/>
      <c r="V110" s="731"/>
      <c r="W110" s="721"/>
      <c r="X110" s="780"/>
      <c r="Y110" s="781"/>
      <c r="Z110" s="777"/>
      <c r="AA110" s="688">
        <f t="shared" si="21"/>
        <v>0</v>
      </c>
      <c r="AB110" s="688">
        <f t="shared" si="36"/>
        <v>0</v>
      </c>
      <c r="AC110" s="688">
        <f t="shared" si="37"/>
        <v>0</v>
      </c>
      <c r="AD110" s="688">
        <f>IF(AA110=0,,VLOOKUP(AA110,リスト!DH:DI,2,0))</f>
        <v>0</v>
      </c>
      <c r="AE110" s="688">
        <f t="shared" si="22"/>
        <v>0</v>
      </c>
      <c r="AF110" s="689">
        <f>IF(AE110=0,,VLOOKUP(AE110,リスト!DK:DL,2,0))</f>
        <v>0</v>
      </c>
      <c r="AG110" s="688">
        <f>IF(AA110=0,,
IF(OR(リスト!$C$21="小麦",リスト!$C$21="二条大麦",リスト!$C$21="六条大麦",リスト!$C$21="はだか麦",リスト!$C$21="なたね"),IF(K110&lt;9,調査年-J110,調査年-J110-1),
IF(リスト!$C$21="さとうきび",IF(K110&gt;=4,調査年-J110,調査年-J110+1),
調査年-J110)))</f>
        <v>0</v>
      </c>
      <c r="AH110" s="252">
        <f t="shared" si="23"/>
        <v>0</v>
      </c>
      <c r="AI110" s="252">
        <f t="shared" si="24"/>
        <v>0</v>
      </c>
      <c r="AJ110" s="252">
        <f t="shared" si="25"/>
        <v>0</v>
      </c>
      <c r="AK110" s="252">
        <f t="shared" si="26"/>
        <v>0</v>
      </c>
      <c r="AL110" s="252">
        <f t="shared" si="27"/>
        <v>0</v>
      </c>
      <c r="AM110" s="252">
        <f t="shared" si="35"/>
        <v>0</v>
      </c>
      <c r="AN110" s="403"/>
      <c r="AO110" s="25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52">
        <f t="shared" si="28"/>
        <v>0</v>
      </c>
      <c r="AQ110" s="252">
        <f t="shared" si="29"/>
        <v>0</v>
      </c>
      <c r="AR110" s="252">
        <f t="shared" si="30"/>
        <v>0</v>
      </c>
      <c r="AS110" s="25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52">
        <f t="shared" si="31"/>
        <v>0</v>
      </c>
      <c r="AU110" s="252">
        <f t="shared" si="32"/>
        <v>0</v>
      </c>
      <c r="AV110" s="252">
        <f t="shared" si="33"/>
        <v>0</v>
      </c>
      <c r="AW110" s="252">
        <f t="shared" si="33"/>
        <v>0</v>
      </c>
      <c r="AX110" s="252">
        <f t="shared" si="33"/>
        <v>0</v>
      </c>
      <c r="AY110" s="725">
        <f t="shared" si="34"/>
        <v>0</v>
      </c>
      <c r="AZ110" s="690"/>
      <c r="BA110" s="690"/>
      <c r="BB110" s="690"/>
      <c r="BC110" s="690"/>
    </row>
    <row r="111" spans="3:55" s="46" customFormat="1" ht="30.75" hidden="1" customHeight="1" outlineLevel="1">
      <c r="C111" s="744">
        <v>95</v>
      </c>
      <c r="D111" s="691"/>
      <c r="E111" s="778"/>
      <c r="F111" s="774"/>
      <c r="G111" s="2023"/>
      <c r="H111" s="2024"/>
      <c r="I111" s="683"/>
      <c r="J111" s="729"/>
      <c r="K111" s="684"/>
      <c r="L111" s="685"/>
      <c r="M111" s="685"/>
      <c r="N111" s="685"/>
      <c r="O111" s="685"/>
      <c r="P111" s="685"/>
      <c r="Q111" s="854"/>
      <c r="R111" s="1003"/>
      <c r="S111" s="1045"/>
      <c r="T111" s="686"/>
      <c r="U111" s="730"/>
      <c r="V111" s="731"/>
      <c r="W111" s="721"/>
      <c r="X111" s="780"/>
      <c r="Y111" s="781"/>
      <c r="Z111" s="777"/>
      <c r="AA111" s="688">
        <f t="shared" si="21"/>
        <v>0</v>
      </c>
      <c r="AB111" s="688">
        <f t="shared" si="36"/>
        <v>0</v>
      </c>
      <c r="AC111" s="688">
        <f t="shared" si="37"/>
        <v>0</v>
      </c>
      <c r="AD111" s="688">
        <f>IF(AA111=0,,VLOOKUP(AA111,リスト!DH:DI,2,0))</f>
        <v>0</v>
      </c>
      <c r="AE111" s="688">
        <f t="shared" si="22"/>
        <v>0</v>
      </c>
      <c r="AF111" s="689">
        <f>IF(AE111=0,,VLOOKUP(AE111,リスト!DK:DL,2,0))</f>
        <v>0</v>
      </c>
      <c r="AG111" s="688">
        <f>IF(AA111=0,,
IF(OR(リスト!$C$21="小麦",リスト!$C$21="二条大麦",リスト!$C$21="六条大麦",リスト!$C$21="はだか麦",リスト!$C$21="なたね"),IF(K111&lt;9,調査年-J111,調査年-J111-1),
IF(リスト!$C$21="さとうきび",IF(K111&gt;=4,調査年-J111,調査年-J111+1),
調査年-J111)))</f>
        <v>0</v>
      </c>
      <c r="AH111" s="252">
        <f t="shared" si="23"/>
        <v>0</v>
      </c>
      <c r="AI111" s="252">
        <f t="shared" si="24"/>
        <v>0</v>
      </c>
      <c r="AJ111" s="252">
        <f t="shared" si="25"/>
        <v>0</v>
      </c>
      <c r="AK111" s="252">
        <f t="shared" si="26"/>
        <v>0</v>
      </c>
      <c r="AL111" s="252">
        <f t="shared" si="27"/>
        <v>0</v>
      </c>
      <c r="AM111" s="252">
        <f t="shared" si="35"/>
        <v>0</v>
      </c>
      <c r="AN111" s="403"/>
      <c r="AO111" s="25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52">
        <f t="shared" si="28"/>
        <v>0</v>
      </c>
      <c r="AQ111" s="252">
        <f t="shared" si="29"/>
        <v>0</v>
      </c>
      <c r="AR111" s="252">
        <f t="shared" si="30"/>
        <v>0</v>
      </c>
      <c r="AS111" s="25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52">
        <f t="shared" si="31"/>
        <v>0</v>
      </c>
      <c r="AU111" s="252">
        <f t="shared" si="32"/>
        <v>0</v>
      </c>
      <c r="AV111" s="252">
        <f t="shared" si="33"/>
        <v>0</v>
      </c>
      <c r="AW111" s="252">
        <f t="shared" si="33"/>
        <v>0</v>
      </c>
      <c r="AX111" s="252">
        <f t="shared" si="33"/>
        <v>0</v>
      </c>
      <c r="AY111" s="725">
        <f t="shared" si="34"/>
        <v>0</v>
      </c>
      <c r="AZ111" s="690"/>
      <c r="BA111" s="690"/>
      <c r="BB111" s="690"/>
      <c r="BC111" s="690"/>
    </row>
    <row r="112" spans="3:55" s="46" customFormat="1" ht="30.75" hidden="1" customHeight="1" outlineLevel="1">
      <c r="C112" s="744">
        <v>96</v>
      </c>
      <c r="D112" s="691"/>
      <c r="E112" s="778"/>
      <c r="F112" s="774"/>
      <c r="G112" s="2023"/>
      <c r="H112" s="2024"/>
      <c r="I112" s="683"/>
      <c r="J112" s="729"/>
      <c r="K112" s="684"/>
      <c r="L112" s="685"/>
      <c r="M112" s="685"/>
      <c r="N112" s="685"/>
      <c r="O112" s="685"/>
      <c r="P112" s="685"/>
      <c r="Q112" s="854"/>
      <c r="R112" s="1003"/>
      <c r="S112" s="1045"/>
      <c r="T112" s="686"/>
      <c r="U112" s="730"/>
      <c r="V112" s="731"/>
      <c r="W112" s="721"/>
      <c r="X112" s="780"/>
      <c r="Y112" s="781"/>
      <c r="Z112" s="777"/>
      <c r="AA112" s="688">
        <f t="shared" si="21"/>
        <v>0</v>
      </c>
      <c r="AB112" s="688">
        <f t="shared" si="36"/>
        <v>0</v>
      </c>
      <c r="AC112" s="688">
        <f t="shared" si="37"/>
        <v>0</v>
      </c>
      <c r="AD112" s="688">
        <f>IF(AA112=0,,VLOOKUP(AA112,リスト!DH:DI,2,0))</f>
        <v>0</v>
      </c>
      <c r="AE112" s="688">
        <f t="shared" si="22"/>
        <v>0</v>
      </c>
      <c r="AF112" s="689">
        <f>IF(AE112=0,,VLOOKUP(AE112,リスト!DK:DL,2,0))</f>
        <v>0</v>
      </c>
      <c r="AG112" s="688">
        <f>IF(AA112=0,,
IF(OR(リスト!$C$21="小麦",リスト!$C$21="二条大麦",リスト!$C$21="六条大麦",リスト!$C$21="はだか麦",リスト!$C$21="なたね"),IF(K112&lt;9,調査年-J112,調査年-J112-1),
IF(リスト!$C$21="さとうきび",IF(K112&gt;=4,調査年-J112,調査年-J112+1),
調査年-J112)))</f>
        <v>0</v>
      </c>
      <c r="AH112" s="252">
        <f t="shared" si="23"/>
        <v>0</v>
      </c>
      <c r="AI112" s="252">
        <f t="shared" si="24"/>
        <v>0</v>
      </c>
      <c r="AJ112" s="252">
        <f t="shared" si="25"/>
        <v>0</v>
      </c>
      <c r="AK112" s="252">
        <f t="shared" si="26"/>
        <v>0</v>
      </c>
      <c r="AL112" s="252">
        <f t="shared" si="27"/>
        <v>0</v>
      </c>
      <c r="AM112" s="252">
        <f t="shared" si="35"/>
        <v>0</v>
      </c>
      <c r="AN112" s="403"/>
      <c r="AO112" s="25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52">
        <f t="shared" si="28"/>
        <v>0</v>
      </c>
      <c r="AQ112" s="252">
        <f t="shared" si="29"/>
        <v>0</v>
      </c>
      <c r="AR112" s="252">
        <f t="shared" si="30"/>
        <v>0</v>
      </c>
      <c r="AS112" s="25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52">
        <f t="shared" si="31"/>
        <v>0</v>
      </c>
      <c r="AU112" s="252">
        <f t="shared" si="32"/>
        <v>0</v>
      </c>
      <c r="AV112" s="252">
        <f t="shared" si="33"/>
        <v>0</v>
      </c>
      <c r="AW112" s="252">
        <f t="shared" si="33"/>
        <v>0</v>
      </c>
      <c r="AX112" s="252">
        <f t="shared" si="33"/>
        <v>0</v>
      </c>
      <c r="AY112" s="725">
        <f t="shared" si="34"/>
        <v>0</v>
      </c>
      <c r="AZ112" s="690"/>
      <c r="BA112" s="690"/>
      <c r="BB112" s="690"/>
      <c r="BC112" s="690"/>
    </row>
    <row r="113" spans="3:55" s="46" customFormat="1" ht="30.75" hidden="1" customHeight="1" outlineLevel="1">
      <c r="C113" s="744">
        <v>97</v>
      </c>
      <c r="D113" s="691"/>
      <c r="E113" s="778"/>
      <c r="F113" s="774"/>
      <c r="G113" s="2023"/>
      <c r="H113" s="2024"/>
      <c r="I113" s="683"/>
      <c r="J113" s="729"/>
      <c r="K113" s="684"/>
      <c r="L113" s="685"/>
      <c r="M113" s="685"/>
      <c r="N113" s="685"/>
      <c r="O113" s="685"/>
      <c r="P113" s="685"/>
      <c r="Q113" s="854"/>
      <c r="R113" s="1003"/>
      <c r="S113" s="1045"/>
      <c r="T113" s="686"/>
      <c r="U113" s="730"/>
      <c r="V113" s="731"/>
      <c r="W113" s="721"/>
      <c r="X113" s="780"/>
      <c r="Y113" s="781"/>
      <c r="Z113" s="777"/>
      <c r="AA113" s="688">
        <f t="shared" si="21"/>
        <v>0</v>
      </c>
      <c r="AB113" s="688">
        <f t="shared" si="36"/>
        <v>0</v>
      </c>
      <c r="AC113" s="688">
        <f t="shared" si="37"/>
        <v>0</v>
      </c>
      <c r="AD113" s="688">
        <f>IF(AA113=0,,VLOOKUP(AA113,リスト!DH:DI,2,0))</f>
        <v>0</v>
      </c>
      <c r="AE113" s="688">
        <f t="shared" si="22"/>
        <v>0</v>
      </c>
      <c r="AF113" s="689">
        <f>IF(AE113=0,,VLOOKUP(AE113,リスト!DK:DL,2,0))</f>
        <v>0</v>
      </c>
      <c r="AG113" s="688">
        <f>IF(AA113=0,,
IF(OR(リスト!$C$21="小麦",リスト!$C$21="二条大麦",リスト!$C$21="六条大麦",リスト!$C$21="はだか麦",リスト!$C$21="なたね"),IF(K113&lt;9,調査年-J113,調査年-J113-1),
IF(リスト!$C$21="さとうきび",IF(K113&gt;=4,調査年-J113,調査年-J113+1),
調査年-J113)))</f>
        <v>0</v>
      </c>
      <c r="AH113" s="252">
        <f t="shared" ref="AH113:AH116" si="38">IF(OR(AA113=0,AB113=1),,
IF(AND(AE113&gt;0,AG113&lt;AE113,AI113&lt;=ROUND((L113-1)*AF113,0)),ROUND(AI113,0),
IF(AND(AE113&gt;0,AG113&lt;AE113),ROUND((L113-1)*AF113,0),)))</f>
        <v>0</v>
      </c>
      <c r="AI113" s="252">
        <f t="shared" si="24"/>
        <v>0</v>
      </c>
      <c r="AJ113" s="252">
        <f t="shared" si="25"/>
        <v>0</v>
      </c>
      <c r="AK113" s="252">
        <f t="shared" si="26"/>
        <v>0</v>
      </c>
      <c r="AL113" s="252">
        <f t="shared" si="27"/>
        <v>0</v>
      </c>
      <c r="AM113" s="252">
        <f t="shared" si="35"/>
        <v>0</v>
      </c>
      <c r="AN113" s="403"/>
      <c r="AO113" s="25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52">
        <f t="shared" si="28"/>
        <v>0</v>
      </c>
      <c r="AQ113" s="252">
        <f t="shared" si="29"/>
        <v>0</v>
      </c>
      <c r="AR113" s="252">
        <f t="shared" si="30"/>
        <v>0</v>
      </c>
      <c r="AS113" s="25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52">
        <f t="shared" si="31"/>
        <v>0</v>
      </c>
      <c r="AU113" s="252">
        <f t="shared" si="32"/>
        <v>0</v>
      </c>
      <c r="AV113" s="252">
        <f t="shared" si="33"/>
        <v>0</v>
      </c>
      <c r="AW113" s="252">
        <f t="shared" si="33"/>
        <v>0</v>
      </c>
      <c r="AX113" s="252">
        <f t="shared" si="33"/>
        <v>0</v>
      </c>
      <c r="AY113" s="725">
        <f t="shared" si="34"/>
        <v>0</v>
      </c>
      <c r="AZ113" s="690"/>
      <c r="BA113" s="690"/>
      <c r="BB113" s="690"/>
      <c r="BC113" s="690"/>
    </row>
    <row r="114" spans="3:55" s="46" customFormat="1" ht="30.75" hidden="1" customHeight="1" outlineLevel="1">
      <c r="C114" s="744">
        <v>98</v>
      </c>
      <c r="D114" s="691"/>
      <c r="E114" s="778"/>
      <c r="F114" s="774"/>
      <c r="G114" s="2023"/>
      <c r="H114" s="2024"/>
      <c r="I114" s="683"/>
      <c r="J114" s="729"/>
      <c r="K114" s="684"/>
      <c r="L114" s="685"/>
      <c r="M114" s="685"/>
      <c r="N114" s="685"/>
      <c r="O114" s="685"/>
      <c r="P114" s="685"/>
      <c r="Q114" s="854"/>
      <c r="R114" s="1003"/>
      <c r="S114" s="1045"/>
      <c r="T114" s="686"/>
      <c r="U114" s="730"/>
      <c r="V114" s="731"/>
      <c r="W114" s="721"/>
      <c r="X114" s="780"/>
      <c r="Y114" s="781"/>
      <c r="Z114" s="777"/>
      <c r="AA114" s="688">
        <f t="shared" si="21"/>
        <v>0</v>
      </c>
      <c r="AB114" s="688">
        <f t="shared" si="36"/>
        <v>0</v>
      </c>
      <c r="AC114" s="688">
        <f t="shared" si="37"/>
        <v>0</v>
      </c>
      <c r="AD114" s="688">
        <f>IF(AA114=0,,VLOOKUP(AA114,リスト!DH:DI,2,0))</f>
        <v>0</v>
      </c>
      <c r="AE114" s="688">
        <f t="shared" si="22"/>
        <v>0</v>
      </c>
      <c r="AF114" s="689">
        <f>IF(AE114=0,,VLOOKUP(AE114,リスト!DK:DL,2,0))</f>
        <v>0</v>
      </c>
      <c r="AG114" s="688">
        <f>IF(AA114=0,,
IF(OR(リスト!$C$21="小麦",リスト!$C$21="二条大麦",リスト!$C$21="六条大麦",リスト!$C$21="はだか麦",リスト!$C$21="なたね"),IF(K114&lt;9,調査年-J114,調査年-J114-1),
IF(リスト!$C$21="さとうきび",IF(K114&gt;=4,調査年-J114,調査年-J114+1),
調査年-J114)))</f>
        <v>0</v>
      </c>
      <c r="AH114" s="252">
        <f t="shared" si="38"/>
        <v>0</v>
      </c>
      <c r="AI114" s="252">
        <f t="shared" si="24"/>
        <v>0</v>
      </c>
      <c r="AJ114" s="252">
        <f t="shared" si="25"/>
        <v>0</v>
      </c>
      <c r="AK114" s="252">
        <f t="shared" si="26"/>
        <v>0</v>
      </c>
      <c r="AL114" s="252">
        <f t="shared" si="27"/>
        <v>0</v>
      </c>
      <c r="AM114" s="252">
        <f t="shared" si="35"/>
        <v>0</v>
      </c>
      <c r="AN114" s="403"/>
      <c r="AO114" s="25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52">
        <f t="shared" si="28"/>
        <v>0</v>
      </c>
      <c r="AQ114" s="252">
        <f t="shared" si="29"/>
        <v>0</v>
      </c>
      <c r="AR114" s="252">
        <f t="shared" si="30"/>
        <v>0</v>
      </c>
      <c r="AS114" s="25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52">
        <f t="shared" si="31"/>
        <v>0</v>
      </c>
      <c r="AU114" s="252">
        <f t="shared" si="32"/>
        <v>0</v>
      </c>
      <c r="AV114" s="252">
        <f t="shared" si="33"/>
        <v>0</v>
      </c>
      <c r="AW114" s="252">
        <f t="shared" si="33"/>
        <v>0</v>
      </c>
      <c r="AX114" s="252">
        <f t="shared" si="33"/>
        <v>0</v>
      </c>
      <c r="AY114" s="725">
        <f t="shared" si="34"/>
        <v>0</v>
      </c>
      <c r="AZ114" s="690"/>
      <c r="BA114" s="690"/>
      <c r="BB114" s="690"/>
      <c r="BC114" s="690"/>
    </row>
    <row r="115" spans="3:55" s="46" customFormat="1" ht="30.75" hidden="1" customHeight="1" outlineLevel="1">
      <c r="C115" s="744">
        <v>99</v>
      </c>
      <c r="D115" s="691"/>
      <c r="E115" s="778"/>
      <c r="F115" s="774"/>
      <c r="G115" s="2023"/>
      <c r="H115" s="2024"/>
      <c r="I115" s="683"/>
      <c r="J115" s="729"/>
      <c r="K115" s="684"/>
      <c r="L115" s="685"/>
      <c r="M115" s="685"/>
      <c r="N115" s="685"/>
      <c r="O115" s="685"/>
      <c r="P115" s="685"/>
      <c r="Q115" s="854"/>
      <c r="R115" s="1003"/>
      <c r="S115" s="1045"/>
      <c r="T115" s="686"/>
      <c r="U115" s="730"/>
      <c r="V115" s="731"/>
      <c r="W115" s="721"/>
      <c r="X115" s="780"/>
      <c r="Y115" s="781"/>
      <c r="Z115" s="777"/>
      <c r="AA115" s="688">
        <f t="shared" si="21"/>
        <v>0</v>
      </c>
      <c r="AB115" s="688">
        <f t="shared" si="36"/>
        <v>0</v>
      </c>
      <c r="AC115" s="688">
        <f t="shared" si="37"/>
        <v>0</v>
      </c>
      <c r="AD115" s="688">
        <f>IF(AA115=0,,VLOOKUP(AA115,リスト!DH:DI,2,0))</f>
        <v>0</v>
      </c>
      <c r="AE115" s="688">
        <f t="shared" si="22"/>
        <v>0</v>
      </c>
      <c r="AF115" s="689">
        <f>IF(AE115=0,,VLOOKUP(AE115,リスト!DK:DL,2,0))</f>
        <v>0</v>
      </c>
      <c r="AG115" s="688">
        <f>IF(AA115=0,,
IF(OR(リスト!$C$21="小麦",リスト!$C$21="二条大麦",リスト!$C$21="六条大麦",リスト!$C$21="はだか麦",リスト!$C$21="なたね"),IF(K115&lt;9,調査年-J115,調査年-J115-1),
IF(リスト!$C$21="さとうきび",IF(K115&gt;=4,調査年-J115,調査年-J115+1),
調査年-J115)))</f>
        <v>0</v>
      </c>
      <c r="AH115" s="252">
        <f t="shared" si="38"/>
        <v>0</v>
      </c>
      <c r="AI115" s="252">
        <f t="shared" si="24"/>
        <v>0</v>
      </c>
      <c r="AJ115" s="252">
        <f t="shared" si="25"/>
        <v>0</v>
      </c>
      <c r="AK115" s="252">
        <f t="shared" si="26"/>
        <v>0</v>
      </c>
      <c r="AL115" s="252">
        <f t="shared" si="27"/>
        <v>0</v>
      </c>
      <c r="AM115" s="252">
        <f t="shared" si="35"/>
        <v>0</v>
      </c>
      <c r="AN115" s="403"/>
      <c r="AO115" s="25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52">
        <f t="shared" si="28"/>
        <v>0</v>
      </c>
      <c r="AQ115" s="252">
        <f t="shared" si="29"/>
        <v>0</v>
      </c>
      <c r="AR115" s="252">
        <f t="shared" si="30"/>
        <v>0</v>
      </c>
      <c r="AS115" s="25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52">
        <f t="shared" si="31"/>
        <v>0</v>
      </c>
      <c r="AU115" s="252">
        <f t="shared" si="32"/>
        <v>0</v>
      </c>
      <c r="AV115" s="252">
        <f t="shared" si="33"/>
        <v>0</v>
      </c>
      <c r="AW115" s="252">
        <f t="shared" si="33"/>
        <v>0</v>
      </c>
      <c r="AX115" s="252">
        <f t="shared" si="33"/>
        <v>0</v>
      </c>
      <c r="AY115" s="725">
        <f t="shared" si="34"/>
        <v>0</v>
      </c>
      <c r="AZ115" s="690"/>
      <c r="BA115" s="690"/>
      <c r="BB115" s="690"/>
      <c r="BC115" s="690"/>
    </row>
    <row r="116" spans="3:55" s="46" customFormat="1" ht="30.75" hidden="1" customHeight="1" outlineLevel="1" thickBot="1">
      <c r="C116" s="744">
        <v>100</v>
      </c>
      <c r="D116" s="693"/>
      <c r="E116" s="782"/>
      <c r="F116" s="783"/>
      <c r="G116" s="2025"/>
      <c r="H116" s="2026"/>
      <c r="I116" s="697"/>
      <c r="J116" s="747"/>
      <c r="K116" s="698"/>
      <c r="L116" s="699"/>
      <c r="M116" s="699"/>
      <c r="N116" s="699"/>
      <c r="O116" s="699"/>
      <c r="P116" s="699"/>
      <c r="Q116" s="854"/>
      <c r="R116" s="1003"/>
      <c r="S116" s="1046"/>
      <c r="T116" s="700"/>
      <c r="U116" s="748"/>
      <c r="V116" s="749"/>
      <c r="W116" s="721"/>
      <c r="X116" s="750"/>
      <c r="Y116" s="751"/>
      <c r="Z116" s="777"/>
      <c r="AA116" s="688">
        <f t="shared" si="21"/>
        <v>0</v>
      </c>
      <c r="AB116" s="688">
        <f t="shared" si="36"/>
        <v>0</v>
      </c>
      <c r="AC116" s="688">
        <f t="shared" si="37"/>
        <v>0</v>
      </c>
      <c r="AD116" s="688">
        <f>IF(AA116=0,,VLOOKUP(AA116,リスト!DH:DI,2,0))</f>
        <v>0</v>
      </c>
      <c r="AE116" s="688">
        <f t="shared" si="22"/>
        <v>0</v>
      </c>
      <c r="AF116" s="689">
        <f>IF(AE116=0,,VLOOKUP(AE116,リスト!DK:DL,2,0))</f>
        <v>0</v>
      </c>
      <c r="AG116" s="688">
        <f>IF(AA116=0,,
IF(OR(リスト!$C$21="小麦",リスト!$C$21="二条大麦",リスト!$C$21="六条大麦",リスト!$C$21="はだか麦",リスト!$C$21="なたね"),IF(K116&lt;9,調査年-J116,調査年-J116-1),
IF(リスト!$C$21="さとうきび",IF(K116&gt;=4,調査年-J116,調査年-J116+1),
調査年-J116)))</f>
        <v>0</v>
      </c>
      <c r="AH116" s="252">
        <f t="shared" si="38"/>
        <v>0</v>
      </c>
      <c r="AI116" s="252">
        <f t="shared" si="24"/>
        <v>0</v>
      </c>
      <c r="AJ116" s="252">
        <f t="shared" si="25"/>
        <v>0</v>
      </c>
      <c r="AK116" s="252">
        <f t="shared" si="26"/>
        <v>0</v>
      </c>
      <c r="AL116" s="252">
        <f t="shared" si="27"/>
        <v>0</v>
      </c>
      <c r="AM116" s="252">
        <f t="shared" si="35"/>
        <v>0</v>
      </c>
      <c r="AN116" s="403"/>
      <c r="AO116" s="25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52">
        <f t="shared" si="28"/>
        <v>0</v>
      </c>
      <c r="AQ116" s="252">
        <f t="shared" si="29"/>
        <v>0</v>
      </c>
      <c r="AR116" s="252">
        <f t="shared" si="30"/>
        <v>0</v>
      </c>
      <c r="AS116" s="25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52">
        <f t="shared" si="31"/>
        <v>0</v>
      </c>
      <c r="AU116" s="252">
        <f t="shared" si="32"/>
        <v>0</v>
      </c>
      <c r="AV116" s="252">
        <f t="shared" si="33"/>
        <v>0</v>
      </c>
      <c r="AW116" s="252">
        <f t="shared" si="33"/>
        <v>0</v>
      </c>
      <c r="AX116" s="252">
        <f t="shared" si="33"/>
        <v>0</v>
      </c>
      <c r="AY116" s="725">
        <f t="shared" si="34"/>
        <v>0</v>
      </c>
      <c r="AZ116" s="690"/>
      <c r="BA116" s="690"/>
      <c r="BB116" s="690"/>
      <c r="BC116" s="690"/>
    </row>
    <row r="117" spans="3:55" ht="14.25" customHeight="1" thickTop="1">
      <c r="C117" s="391"/>
      <c r="D117" s="391"/>
      <c r="E117" s="392"/>
      <c r="F117" s="392"/>
      <c r="G117" s="392"/>
      <c r="H117" s="392"/>
      <c r="I117" s="392"/>
      <c r="J117" s="392"/>
      <c r="K117" s="392"/>
      <c r="L117" s="392"/>
      <c r="M117" s="392"/>
      <c r="N117" s="392"/>
      <c r="O117" s="392"/>
      <c r="P117" s="392"/>
      <c r="Q117" s="392"/>
      <c r="R117" s="392"/>
      <c r="S117" s="392"/>
      <c r="T117" s="392"/>
      <c r="U117" s="392"/>
      <c r="V117" s="392"/>
      <c r="X117" s="703"/>
      <c r="Y117" s="703"/>
      <c r="AA117" s="784"/>
      <c r="AB117" s="785"/>
      <c r="AC117" s="785"/>
      <c r="AD117" s="785"/>
      <c r="AE117" s="785"/>
      <c r="AF117" s="785"/>
      <c r="AG117" s="785"/>
      <c r="AH117" s="785"/>
      <c r="AK117" s="785"/>
      <c r="AL117" s="785"/>
      <c r="AM117" s="785"/>
      <c r="AN117" s="785"/>
      <c r="AO117" s="785"/>
      <c r="AP117" s="785"/>
      <c r="AQ117" s="785"/>
      <c r="AR117" s="785"/>
      <c r="AS117" s="785"/>
      <c r="AT117" s="785"/>
      <c r="AU117" s="785"/>
      <c r="AV117" s="785"/>
      <c r="AW117" s="785"/>
      <c r="AX117" s="785"/>
      <c r="AY117" s="144"/>
    </row>
    <row r="118" spans="3:55" ht="14.25" customHeight="1">
      <c r="AA118" s="785"/>
      <c r="AB118" s="785"/>
      <c r="AC118" s="785"/>
      <c r="AD118" s="785"/>
      <c r="AE118" s="785"/>
      <c r="AF118" s="785"/>
      <c r="AG118" s="785"/>
      <c r="AH118" s="785"/>
      <c r="AK118" s="785"/>
      <c r="AL118" s="785"/>
      <c r="AM118" s="785"/>
      <c r="AN118" s="785"/>
      <c r="AO118" s="785"/>
      <c r="AP118" s="785"/>
      <c r="AQ118" s="785"/>
      <c r="AR118" s="785"/>
      <c r="AS118" s="785"/>
      <c r="AT118" s="785"/>
      <c r="AU118" s="785"/>
      <c r="AV118" s="785"/>
      <c r="AW118" s="785"/>
      <c r="AX118" s="785"/>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31</xdr:col>
                <xdr:colOff>114300</xdr:colOff>
                <xdr:row>0</xdr:row>
                <xdr:rowOff>123825</xdr:rowOff>
              </from>
              <to>
                <xdr:col>32</xdr:col>
                <xdr:colOff>571500</xdr:colOff>
                <xdr:row>3</xdr:row>
                <xdr:rowOff>0</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640"/>
    <col min="14" max="15" width="20" style="144" customWidth="1"/>
    <col min="16" max="16384" width="3.125" style="144"/>
  </cols>
  <sheetData>
    <row r="1" spans="2:15" ht="28.5" customHeight="1">
      <c r="B1" s="786" t="s">
        <v>376</v>
      </c>
    </row>
    <row r="2" spans="2:15" s="640" customFormat="1" ht="21" customHeight="1">
      <c r="B2" s="2089" t="s">
        <v>565</v>
      </c>
      <c r="C2" s="2089"/>
      <c r="D2" s="2089"/>
      <c r="E2" s="2089"/>
      <c r="F2" s="2089"/>
      <c r="G2" s="2089"/>
      <c r="H2" s="2089"/>
      <c r="I2" s="2089"/>
      <c r="J2" s="2089"/>
      <c r="K2" s="2089"/>
      <c r="L2" s="2089"/>
      <c r="M2" s="2089"/>
      <c r="N2" s="2089"/>
      <c r="O2" s="2089"/>
    </row>
    <row r="3" spans="2:15" s="640" customFormat="1" ht="21" customHeight="1">
      <c r="B3" s="2090"/>
      <c r="C3" s="2091"/>
      <c r="D3" s="2091"/>
      <c r="E3" s="2091"/>
      <c r="F3" s="2091"/>
      <c r="G3" s="2091"/>
      <c r="H3" s="2091"/>
      <c r="I3" s="2091"/>
      <c r="J3" s="2091"/>
      <c r="K3" s="2091"/>
      <c r="L3" s="2091"/>
      <c r="M3" s="2092"/>
      <c r="N3" s="787" t="s">
        <v>566</v>
      </c>
      <c r="O3" s="1057" t="s">
        <v>567</v>
      </c>
    </row>
    <row r="4" spans="2:15" ht="30" customHeight="1">
      <c r="B4" s="2083" t="s">
        <v>568</v>
      </c>
      <c r="C4" s="2083"/>
      <c r="D4" s="2082" t="s">
        <v>569</v>
      </c>
      <c r="E4" s="2082"/>
      <c r="F4" s="2082"/>
      <c r="G4" s="2082"/>
      <c r="H4" s="2082"/>
      <c r="I4" s="2082"/>
      <c r="J4" s="2082"/>
      <c r="K4" s="2082"/>
      <c r="L4" s="2082"/>
      <c r="M4" s="2082"/>
      <c r="N4" s="788"/>
      <c r="O4" s="789">
        <f>SUMIFS(【７】建物及び構築物!$AP$16:$AP$115,【７】建物及び構築物!$E$16:$E$115,"[01]住宅")</f>
        <v>0</v>
      </c>
    </row>
    <row r="5" spans="2:15" ht="30" customHeight="1">
      <c r="B5" s="2083"/>
      <c r="C5" s="2083"/>
      <c r="D5" s="2082" t="s">
        <v>1309</v>
      </c>
      <c r="E5" s="2082"/>
      <c r="F5" s="2082"/>
      <c r="G5" s="2082"/>
      <c r="H5" s="2082"/>
      <c r="I5" s="2082"/>
      <c r="J5" s="2082"/>
      <c r="K5" s="2082"/>
      <c r="L5" s="2082"/>
      <c r="M5" s="2082"/>
      <c r="N5" s="788"/>
      <c r="O5" s="789">
        <f>SUMIFS(【７】建物及び構築物!$AP$16:$AP$115,【７】建物及び構築物!$E$16:$E$115,"[02]事務所")</f>
        <v>0</v>
      </c>
    </row>
    <row r="6" spans="2:15" ht="30" customHeight="1">
      <c r="B6" s="2083"/>
      <c r="C6" s="2083"/>
      <c r="D6" s="2082" t="s">
        <v>570</v>
      </c>
      <c r="E6" s="2082"/>
      <c r="F6" s="2082"/>
      <c r="G6" s="2082"/>
      <c r="H6" s="2082"/>
      <c r="I6" s="2082"/>
      <c r="J6" s="2082"/>
      <c r="K6" s="2082"/>
      <c r="L6" s="2082"/>
      <c r="M6" s="2082"/>
      <c r="N6" s="788"/>
      <c r="O6" s="789">
        <f>SUMIFS(【７】建物及び構築物!$AP$16:$AP$115,【７】建物及び構築物!$E$16:$E$115,"[03]納屋・倉庫")</f>
        <v>0</v>
      </c>
    </row>
    <row r="7" spans="2:15" ht="30" customHeight="1">
      <c r="B7" s="2083"/>
      <c r="C7" s="2083"/>
      <c r="D7" s="2082" t="s">
        <v>1310</v>
      </c>
      <c r="E7" s="2082"/>
      <c r="F7" s="2082"/>
      <c r="G7" s="2082"/>
      <c r="H7" s="2082"/>
      <c r="I7" s="2082"/>
      <c r="J7" s="2082"/>
      <c r="K7" s="2082"/>
      <c r="L7" s="2082"/>
      <c r="M7" s="2082"/>
      <c r="N7" s="788"/>
      <c r="O7" s="789">
        <f>SUMIFS(【７】建物及び構築物!$AP$16:$AP$115,【７】建物及び構築物!$E$16:$E$115,"[04]作業場")</f>
        <v>0</v>
      </c>
    </row>
    <row r="8" spans="2:15" ht="30" customHeight="1">
      <c r="B8" s="2083"/>
      <c r="C8" s="2083"/>
      <c r="D8" s="2082" t="s">
        <v>1311</v>
      </c>
      <c r="E8" s="2082"/>
      <c r="F8" s="2082"/>
      <c r="G8" s="2082"/>
      <c r="H8" s="2082"/>
      <c r="I8" s="2082"/>
      <c r="J8" s="2082"/>
      <c r="K8" s="2082"/>
      <c r="L8" s="2082"/>
      <c r="M8" s="2082"/>
      <c r="N8" s="788"/>
      <c r="O8" s="789">
        <f>SUMIFS(【７】建物及び構築物!$AP$16:$AP$115,【７】建物及び構築物!$E$16:$E$115,"[08]車庫")</f>
        <v>0</v>
      </c>
    </row>
    <row r="9" spans="2:15" ht="30" customHeight="1">
      <c r="B9" s="2083"/>
      <c r="C9" s="2083"/>
      <c r="D9" s="2082" t="s">
        <v>1312</v>
      </c>
      <c r="E9" s="2082"/>
      <c r="F9" s="2082"/>
      <c r="G9" s="2082"/>
      <c r="H9" s="2082"/>
      <c r="I9" s="2082"/>
      <c r="J9" s="2082"/>
      <c r="K9" s="2082"/>
      <c r="L9" s="2082"/>
      <c r="M9" s="2082"/>
      <c r="N9" s="788"/>
      <c r="O9" s="789">
        <f>SUMIFS(【７】建物及び構築物!$AP$16:$AP$115,【７】建物及び構築物!$E$16:$E$115,"[11]ライスセンター")</f>
        <v>0</v>
      </c>
    </row>
    <row r="10" spans="2:15" ht="30" customHeight="1">
      <c r="B10" s="2083"/>
      <c r="C10" s="2083"/>
      <c r="D10" s="2082" t="s">
        <v>1313</v>
      </c>
      <c r="E10" s="2082"/>
      <c r="F10" s="2082"/>
      <c r="G10" s="2082"/>
      <c r="H10" s="2082"/>
      <c r="I10" s="2082"/>
      <c r="J10" s="2082"/>
      <c r="K10" s="2082"/>
      <c r="L10" s="2082"/>
      <c r="M10" s="2082"/>
      <c r="N10" s="788"/>
      <c r="O10" s="789">
        <f>SUMIFS(【７】建物及び構築物!$AP$16:$AP$115,【７】建物及び構築物!$E$16:$E$115,"[12]育苗ハウス")</f>
        <v>0</v>
      </c>
    </row>
    <row r="11" spans="2:15" ht="30" customHeight="1">
      <c r="B11" s="2083"/>
      <c r="C11" s="2083"/>
      <c r="D11" s="2082" t="s">
        <v>1314</v>
      </c>
      <c r="E11" s="2082"/>
      <c r="F11" s="2082"/>
      <c r="G11" s="2082"/>
      <c r="H11" s="2082"/>
      <c r="I11" s="2082"/>
      <c r="J11" s="2082"/>
      <c r="K11" s="2082"/>
      <c r="L11" s="2082"/>
      <c r="M11" s="2082"/>
      <c r="N11" s="788"/>
      <c r="O11" s="789">
        <f>SUMIFS(【７】建物及び構築物!$AP$16:$AP$115,【７】建物及び構築物!$E$16:$E$115,"[14]稲架")</f>
        <v>0</v>
      </c>
    </row>
    <row r="12" spans="2:15" ht="30" customHeight="1">
      <c r="B12" s="2083"/>
      <c r="C12" s="2083"/>
      <c r="D12" s="2082" t="s">
        <v>573</v>
      </c>
      <c r="E12" s="2082"/>
      <c r="F12" s="2082"/>
      <c r="G12" s="2082"/>
      <c r="H12" s="2082"/>
      <c r="I12" s="2082"/>
      <c r="J12" s="2082"/>
      <c r="K12" s="2082"/>
      <c r="L12" s="2082"/>
      <c r="M12" s="2082"/>
      <c r="N12" s="788"/>
      <c r="O12" s="789">
        <f>SUMIFS(【７】建物及び構築物!$AP$16:$AP$115,【７】建物及び構築物!$E$16:$E$115,"[15]コンクリートけい畔")</f>
        <v>0</v>
      </c>
    </row>
    <row r="13" spans="2:15" ht="30" customHeight="1">
      <c r="B13" s="2083"/>
      <c r="C13" s="2083"/>
      <c r="D13" s="2082" t="s">
        <v>572</v>
      </c>
      <c r="E13" s="2082"/>
      <c r="F13" s="2082"/>
      <c r="G13" s="2082"/>
      <c r="H13" s="2082"/>
      <c r="I13" s="2082"/>
      <c r="J13" s="2082"/>
      <c r="K13" s="2082"/>
      <c r="L13" s="2082"/>
      <c r="M13" s="2082"/>
      <c r="N13" s="788"/>
      <c r="O13" s="789">
        <f>SUMIFS(【７】建物及び構築物!$AP$16:$AP$115,【７】建物及び構築物!$E$16:$E$115,"[16]暗きょ排水施設")</f>
        <v>0</v>
      </c>
    </row>
    <row r="14" spans="2:15" ht="30" customHeight="1">
      <c r="B14" s="2083"/>
      <c r="C14" s="2083"/>
      <c r="D14" s="2082" t="s">
        <v>574</v>
      </c>
      <c r="E14" s="2082"/>
      <c r="F14" s="2082"/>
      <c r="G14" s="2082"/>
      <c r="H14" s="2082"/>
      <c r="I14" s="2082"/>
      <c r="J14" s="2082"/>
      <c r="K14" s="2082"/>
      <c r="L14" s="2082"/>
      <c r="M14" s="2082"/>
      <c r="N14" s="788"/>
      <c r="O14" s="789">
        <f>SUMIFS(【７】建物及び構築物!$AP$16:$AP$115,【７】建物及び構築物!$E$16:$E$115,"[17]客土")</f>
        <v>0</v>
      </c>
    </row>
    <row r="15" spans="2:15" ht="30" customHeight="1">
      <c r="B15" s="2083"/>
      <c r="C15" s="2083"/>
      <c r="D15" s="2082" t="s">
        <v>1315</v>
      </c>
      <c r="E15" s="2082"/>
      <c r="F15" s="2082"/>
      <c r="G15" s="2082"/>
      <c r="H15" s="2082"/>
      <c r="I15" s="2082"/>
      <c r="J15" s="2082"/>
      <c r="K15" s="2082"/>
      <c r="L15" s="2082"/>
      <c r="M15" s="2082"/>
      <c r="N15" s="788"/>
      <c r="O15" s="789">
        <f>SUMIFS(【７】建物及び構築物!$AP$16:$AP$115,【７】建物及び構築物!$E$16:$E$115,"[18]作業道")</f>
        <v>0</v>
      </c>
    </row>
    <row r="16" spans="2:15" ht="30" customHeight="1">
      <c r="B16" s="2083"/>
      <c r="C16" s="2083"/>
      <c r="D16" s="2082" t="s">
        <v>571</v>
      </c>
      <c r="E16" s="2082"/>
      <c r="F16" s="2082"/>
      <c r="G16" s="2082"/>
      <c r="H16" s="2082"/>
      <c r="I16" s="2082"/>
      <c r="J16" s="2082"/>
      <c r="K16" s="2082"/>
      <c r="L16" s="2082"/>
      <c r="M16" s="2082"/>
      <c r="N16" s="788"/>
      <c r="O16" s="789">
        <f>SUMIFS(【７】建物及び構築物!$AP$16:$AP$115,【７】建物及び構築物!$E$16:$E$115,"[19]用水路")</f>
        <v>0</v>
      </c>
    </row>
    <row r="17" spans="2:15" ht="30" customHeight="1">
      <c r="B17" s="2083"/>
      <c r="C17" s="2083"/>
      <c r="D17" s="2082" t="s">
        <v>575</v>
      </c>
      <c r="E17" s="2082"/>
      <c r="F17" s="2082"/>
      <c r="G17" s="2082"/>
      <c r="H17" s="2082"/>
      <c r="I17" s="2082"/>
      <c r="J17" s="2082"/>
      <c r="K17" s="2082"/>
      <c r="L17" s="2082"/>
      <c r="M17" s="2082"/>
      <c r="N17" s="788"/>
      <c r="O17" s="789">
        <f>SUMIFS(【７】建物及び構築物!$AP$16:$AP$115,【７】建物及び構築物!$E$16:$E$115,"[25]たい肥盤")</f>
        <v>0</v>
      </c>
    </row>
    <row r="18" spans="2:15" ht="30" customHeight="1">
      <c r="B18" s="2083"/>
      <c r="C18" s="2083"/>
      <c r="D18" s="2082" t="s">
        <v>576</v>
      </c>
      <c r="E18" s="2082"/>
      <c r="F18" s="2082"/>
      <c r="G18" s="2082"/>
      <c r="H18" s="2082"/>
      <c r="I18" s="2082"/>
      <c r="J18" s="2082"/>
      <c r="K18" s="2082"/>
      <c r="L18" s="2082"/>
      <c r="M18" s="2082"/>
      <c r="N18" s="788"/>
      <c r="O18" s="789">
        <f>SUM(SUMIFS(【７】建物及び構築物!$AP$16:$AP$115,【７】建物及び構築物!$E$16:$E$115,{"[13]その他の建築物","[31]その他の構築物"}))</f>
        <v>0</v>
      </c>
    </row>
    <row r="19" spans="2:15" ht="30" customHeight="1">
      <c r="B19" s="2083"/>
      <c r="C19" s="2083"/>
      <c r="D19" s="2086" t="s">
        <v>577</v>
      </c>
      <c r="E19" s="2087"/>
      <c r="F19" s="2087"/>
      <c r="G19" s="2087"/>
      <c r="H19" s="2087"/>
      <c r="I19" s="2087"/>
      <c r="J19" s="2087"/>
      <c r="K19" s="2087"/>
      <c r="L19" s="2087"/>
      <c r="M19" s="2088"/>
      <c r="N19" s="788"/>
      <c r="O19" s="789">
        <f>SUM(O4:O18)</f>
        <v>0</v>
      </c>
    </row>
    <row r="20" spans="2:15" ht="30" customHeight="1">
      <c r="B20" s="2083"/>
      <c r="C20" s="2083"/>
      <c r="D20" s="1061"/>
      <c r="E20" s="1061"/>
      <c r="F20" s="1061"/>
      <c r="G20" s="2093" t="s">
        <v>578</v>
      </c>
      <c r="H20" s="2094"/>
      <c r="I20" s="2094"/>
      <c r="J20" s="2094"/>
      <c r="K20" s="2094"/>
      <c r="L20" s="2094"/>
      <c r="M20" s="2095"/>
      <c r="N20" s="788"/>
      <c r="O20" s="789">
        <f>【７】建物及び構築物!AQ13</f>
        <v>0</v>
      </c>
    </row>
    <row r="21" spans="2:15" ht="30" customHeight="1">
      <c r="B21" s="2083" t="s">
        <v>579</v>
      </c>
      <c r="C21" s="2083"/>
      <c r="D21" s="2082" t="s">
        <v>580</v>
      </c>
      <c r="E21" s="2082"/>
      <c r="F21" s="2082"/>
      <c r="G21" s="2082"/>
      <c r="H21" s="2082"/>
      <c r="I21" s="2082"/>
      <c r="J21" s="2082"/>
      <c r="K21" s="2082"/>
      <c r="L21" s="2082"/>
      <c r="M21" s="2082"/>
      <c r="N21" s="790">
        <f>ROUNDDOWN(SUMIFS(【８】自動車!$AW$18:$AW$117,【８】自動車!$E$18:$E$117,"[1]貨物自動車"),1)</f>
        <v>0</v>
      </c>
      <c r="O21" s="789">
        <f>SUMIFS(【８】自動車!$AM$18:$AM$117,【８】自動車!$E$18:$E$117,"[1]貨物自動車")</f>
        <v>0</v>
      </c>
    </row>
    <row r="22" spans="2:15" ht="30" customHeight="1">
      <c r="B22" s="2083"/>
      <c r="C22" s="2083"/>
      <c r="D22" s="2082" t="s">
        <v>576</v>
      </c>
      <c r="E22" s="2082"/>
      <c r="F22" s="2082"/>
      <c r="G22" s="2082"/>
      <c r="H22" s="2082"/>
      <c r="I22" s="2082"/>
      <c r="J22" s="2082"/>
      <c r="K22" s="2082"/>
      <c r="L22" s="2082"/>
      <c r="M22" s="2082"/>
      <c r="N22" s="788"/>
      <c r="O22" s="789">
        <f>SUMIFS(【８】自動車!$AM$18:$AM$117,【８】自動車!$E$18:$E$117,"[2]その他の自動車")</f>
        <v>0</v>
      </c>
    </row>
    <row r="23" spans="2:15" ht="30" customHeight="1">
      <c r="B23" s="2083"/>
      <c r="C23" s="2083"/>
      <c r="D23" s="2086" t="s">
        <v>577</v>
      </c>
      <c r="E23" s="2087"/>
      <c r="F23" s="2087"/>
      <c r="G23" s="2087"/>
      <c r="H23" s="2087"/>
      <c r="I23" s="2087"/>
      <c r="J23" s="2087"/>
      <c r="K23" s="2087"/>
      <c r="L23" s="2087"/>
      <c r="M23" s="2088"/>
      <c r="N23" s="788"/>
      <c r="O23" s="789">
        <f>SUM(O21:O22)</f>
        <v>0</v>
      </c>
    </row>
    <row r="24" spans="2:15" ht="30" customHeight="1">
      <c r="B24" s="2083"/>
      <c r="C24" s="2083"/>
      <c r="D24" s="1061"/>
      <c r="E24" s="1061"/>
      <c r="F24" s="1061"/>
      <c r="G24" s="2096" t="s">
        <v>578</v>
      </c>
      <c r="H24" s="2097"/>
      <c r="I24" s="2097"/>
      <c r="J24" s="2097"/>
      <c r="K24" s="2097"/>
      <c r="L24" s="2097"/>
      <c r="M24" s="2098"/>
      <c r="N24" s="788"/>
      <c r="O24" s="789">
        <f>【８】自動車!AN17</f>
        <v>0</v>
      </c>
    </row>
    <row r="25" spans="2:15" ht="30" hidden="1" customHeight="1">
      <c r="B25" s="2083" t="s">
        <v>581</v>
      </c>
      <c r="C25" s="2083"/>
      <c r="D25" s="2082" t="s">
        <v>582</v>
      </c>
      <c r="E25" s="2082"/>
      <c r="F25" s="2082"/>
      <c r="G25" s="2082"/>
      <c r="H25" s="2082"/>
      <c r="I25" s="2082"/>
      <c r="J25" s="2082"/>
      <c r="K25" s="2082"/>
      <c r="L25" s="2082"/>
      <c r="M25" s="2082"/>
      <c r="N25" s="790" t="e">
        <v>#VALUE!</v>
      </c>
      <c r="O25" s="789" t="e">
        <v>#VALUE!</v>
      </c>
    </row>
    <row r="26" spans="2:15" ht="30" hidden="1" customHeight="1">
      <c r="B26" s="2083"/>
      <c r="C26" s="2083"/>
      <c r="D26" s="2082" t="s">
        <v>583</v>
      </c>
      <c r="E26" s="2082"/>
      <c r="F26" s="2082"/>
      <c r="G26" s="2082"/>
      <c r="H26" s="2082"/>
      <c r="I26" s="2082"/>
      <c r="J26" s="2082"/>
      <c r="K26" s="2082"/>
      <c r="L26" s="2082"/>
      <c r="M26" s="2082"/>
      <c r="N26" s="790" t="e">
        <v>#VALUE!</v>
      </c>
      <c r="O26" s="789">
        <f>SUMIFS(【９】農業機械!$AP$17:$AP$116,【９】農業機械!$E$17:$E$116,"[02]発動機")</f>
        <v>0</v>
      </c>
    </row>
    <row r="27" spans="2:15" ht="30" hidden="1" customHeight="1">
      <c r="B27" s="2083"/>
      <c r="C27" s="2083"/>
      <c r="D27" s="2082" t="s">
        <v>584</v>
      </c>
      <c r="E27" s="2082"/>
      <c r="F27" s="2082"/>
      <c r="G27" s="2082"/>
      <c r="H27" s="2082"/>
      <c r="I27" s="2082"/>
      <c r="J27" s="2082"/>
      <c r="K27" s="2082"/>
      <c r="L27" s="2082"/>
      <c r="M27" s="2082"/>
      <c r="N27" s="790">
        <f>SUMIFS(【９】農業機械!$AY$17:$AY$116,【９】農業機械!$E$17:$E$116,"[15]揚水ポンプ")</f>
        <v>0</v>
      </c>
      <c r="O27" s="789">
        <f>SUMIFS(【９】農業機械!$AP$17:$AP$116,【９】農業機械!$E$17:$E$116,"[15]揚水ポンプ")</f>
        <v>0</v>
      </c>
    </row>
    <row r="28" spans="2:15" ht="30" customHeight="1">
      <c r="B28" s="2083"/>
      <c r="C28" s="2083"/>
      <c r="D28" s="2085" t="s">
        <v>585</v>
      </c>
      <c r="E28" s="2085"/>
      <c r="F28" s="2085"/>
      <c r="G28" s="2082" t="s">
        <v>586</v>
      </c>
      <c r="H28" s="2082"/>
      <c r="I28" s="2082"/>
      <c r="J28" s="2082"/>
      <c r="K28" s="2082"/>
      <c r="L28" s="2082"/>
      <c r="M28" s="2082"/>
      <c r="N28" s="790">
        <f>ROUNDDOWN(SUM(SUMIFS(【９】農業機械!$AY$17:$AY$116,【９】農業機械!$E$17:$E$116,"[04]乗用トラクター",【９】農業機械!$F$17:$F$116,"[1]２０馬力未満")),1)</f>
        <v>0</v>
      </c>
      <c r="O28" s="789">
        <f>SUM(SUMIFS(【９】農業機械!$AP$17:$AP$116,【９】農業機械!$E$17:$E$116,"[04]乗用トラクター",【９】農業機械!$F$17:$F$116,"[1]２０馬力未満"))</f>
        <v>0</v>
      </c>
    </row>
    <row r="29" spans="2:15" ht="30" customHeight="1">
      <c r="B29" s="2083"/>
      <c r="C29" s="2083"/>
      <c r="D29" s="2085"/>
      <c r="E29" s="2085"/>
      <c r="F29" s="2085"/>
      <c r="G29" s="2082" t="s">
        <v>587</v>
      </c>
      <c r="H29" s="2082"/>
      <c r="I29" s="2082"/>
      <c r="J29" s="2082"/>
      <c r="K29" s="2082"/>
      <c r="L29" s="2082"/>
      <c r="M29" s="2082"/>
      <c r="N29" s="790">
        <f>ROUNDDOWN(SUM(SUMIFS(【９】農業機械!$AY$17:$AY$116,【９】農業機械!$E$17:$E$116,"[04]乗用トラクター",【９】農業機械!$F$17:$F$116,"[2]２０～５０馬力未満")),1)</f>
        <v>0</v>
      </c>
      <c r="O29" s="789">
        <f>SUM(SUMIFS(【９】農業機械!$AP$17:$AP$116,【９】農業機械!$E$17:$E$116,"[04]乗用トラクター",【９】農業機械!$F$17:$F$116,"[2]２０～５０馬力未満"))</f>
        <v>0</v>
      </c>
    </row>
    <row r="30" spans="2:15" ht="30" customHeight="1">
      <c r="B30" s="2083"/>
      <c r="C30" s="2083"/>
      <c r="D30" s="2085"/>
      <c r="E30" s="2085"/>
      <c r="F30" s="2085"/>
      <c r="G30" s="2082" t="s">
        <v>1316</v>
      </c>
      <c r="H30" s="2082"/>
      <c r="I30" s="2082"/>
      <c r="J30" s="2082"/>
      <c r="K30" s="2082"/>
      <c r="L30" s="2082"/>
      <c r="M30" s="2082"/>
      <c r="N30" s="790">
        <f>ROUNDDOWN(SUM(SUMIFS(【９】農業機械!$AY$17:$AY$116,【９】農業機械!$E$17:$E$116,"[04]乗用トラクター",【９】農業機械!$F$17:$F$116,"[3]５０～８０馬力未満")),1)</f>
        <v>0</v>
      </c>
      <c r="O30" s="789">
        <f>SUM(SUMIFS(【９】農業機械!$AP$17:$AP$116,【９】農業機械!$E$17:$E$116,"[04]乗用トラクター",【９】農業機械!$F$17:$F$116,"[3]５０～８０馬力未満"))</f>
        <v>0</v>
      </c>
    </row>
    <row r="31" spans="2:15" ht="30" customHeight="1">
      <c r="B31" s="2083"/>
      <c r="C31" s="2083"/>
      <c r="D31" s="2085"/>
      <c r="E31" s="2085"/>
      <c r="F31" s="2085"/>
      <c r="G31" s="2082" t="s">
        <v>1317</v>
      </c>
      <c r="H31" s="2082"/>
      <c r="I31" s="2082"/>
      <c r="J31" s="2082"/>
      <c r="K31" s="2082"/>
      <c r="L31" s="2082"/>
      <c r="M31" s="2082"/>
      <c r="N31" s="790">
        <f>ROUNDDOWN(SUM(SUMIFS(【９】農業機械!$AY$17:$AY$116,【９】農業機械!$E$17:$E$116,"[04]乗用トラクター",【９】農業機械!$F$17:$F$116,"[4]８０～１００馬力未満")),1)</f>
        <v>0</v>
      </c>
      <c r="O31" s="789">
        <f>SUM(SUMIFS(【９】農業機械!$AP$17:$AP$116,【９】農業機械!$E$17:$E$116,"[04]乗用トラクター",【９】農業機械!$F$17:$F$116,"[4]８０～１００馬力未満"))</f>
        <v>0</v>
      </c>
    </row>
    <row r="32" spans="2:15" ht="30" customHeight="1">
      <c r="B32" s="2083"/>
      <c r="C32" s="2083"/>
      <c r="D32" s="2085"/>
      <c r="E32" s="2085"/>
      <c r="F32" s="2085"/>
      <c r="G32" s="2082" t="s">
        <v>1318</v>
      </c>
      <c r="H32" s="2082"/>
      <c r="I32" s="2082"/>
      <c r="J32" s="2082"/>
      <c r="K32" s="2082"/>
      <c r="L32" s="2082"/>
      <c r="M32" s="2082"/>
      <c r="N32" s="790">
        <f>ROUNDDOWN(SUM(SUMIFS(【９】農業機械!$AY$17:$AY$116,【９】農業機械!$E$17:$E$116,"[04]乗用トラクター",【９】農業機械!$F$17:$F$116,"[5]１００馬力以上")),1)</f>
        <v>0</v>
      </c>
      <c r="O32" s="789">
        <f>SUM(SUMIFS(【９】農業機械!$AP$17:$AP$116,【９】農業機械!$E$17:$E$116,"[04]乗用トラクター",【９】農業機械!$F$17:$F$116,"[5]１００馬力以上"))</f>
        <v>0</v>
      </c>
    </row>
    <row r="33" spans="2:15" ht="30" customHeight="1">
      <c r="B33" s="2083"/>
      <c r="C33" s="2083"/>
      <c r="D33" s="2085" t="s">
        <v>588</v>
      </c>
      <c r="E33" s="2085"/>
      <c r="F33" s="2085"/>
      <c r="G33" s="2085"/>
      <c r="H33" s="2085"/>
      <c r="I33" s="2085"/>
      <c r="J33" s="2085"/>
      <c r="K33" s="2085"/>
      <c r="L33" s="2085"/>
      <c r="M33" s="2085"/>
      <c r="N33" s="790">
        <f>ROUNDDOWN(SUMIFS(【９】農業機械!$AY$17:$AY$116,【９】農業機械!$E$17:$E$116,"[03]歩行用トラクター"),1)</f>
        <v>0</v>
      </c>
      <c r="O33" s="789">
        <f>SUMIFS(【９】農業機械!$AP$17:$AP$116,【９】農業機械!$E$17:$E$116,"[03]歩行用トラクター")</f>
        <v>0</v>
      </c>
    </row>
    <row r="34" spans="2:15" ht="8.25" hidden="1" customHeight="1">
      <c r="B34" s="2083"/>
      <c r="C34" s="2083"/>
      <c r="D34" s="2082" t="s">
        <v>589</v>
      </c>
      <c r="E34" s="2082"/>
      <c r="F34" s="2082"/>
      <c r="G34" s="2082"/>
      <c r="H34" s="2082"/>
      <c r="I34" s="2082"/>
      <c r="J34" s="2082"/>
      <c r="K34" s="2082"/>
      <c r="L34" s="2082"/>
      <c r="M34" s="2082"/>
      <c r="N34" s="790">
        <f>SUMIFS(【９】農業機械!$AY$17:$AY$116,【９】農業機械!$E$17:$E$116,"[12]電熱育苗機")</f>
        <v>0</v>
      </c>
      <c r="O34" s="789">
        <f>SUMIFS(【９】農業機械!$AP$17:$AP$116,【９】農業機械!$E$17:$E$116,"[12]電熱育苗機")</f>
        <v>0</v>
      </c>
    </row>
    <row r="35" spans="2:15" ht="8.25" hidden="1" customHeight="1">
      <c r="B35" s="2083"/>
      <c r="C35" s="2083"/>
      <c r="D35" s="2082" t="s">
        <v>590</v>
      </c>
      <c r="E35" s="2082"/>
      <c r="F35" s="2082"/>
      <c r="G35" s="2082" t="s">
        <v>591</v>
      </c>
      <c r="H35" s="2082"/>
      <c r="I35" s="2082"/>
      <c r="J35" s="2082"/>
      <c r="K35" s="2082"/>
      <c r="L35" s="2082"/>
      <c r="M35" s="2082"/>
      <c r="N35" s="790">
        <f>SUM(SUMIFS(【９】農業機械!$AY$17:$AY$116,【９】農業機械!$E$17:$E$116,"[13]田植機",【９】農業機械!$F$17:$F$116,"[1]２条植"))</f>
        <v>0</v>
      </c>
      <c r="O35" s="789">
        <f>SUM(SUMIFS(【９】農業機械!$AP$17:$AP$116,【９】農業機械!$E$17:$E$116,"[13]田植機",【９】農業機械!$F$17:$F$116,"[1]２条植"))</f>
        <v>0</v>
      </c>
    </row>
    <row r="36" spans="2:15" ht="8.25" hidden="1" customHeight="1">
      <c r="B36" s="2083"/>
      <c r="C36" s="2083"/>
      <c r="D36" s="2082"/>
      <c r="E36" s="2082"/>
      <c r="F36" s="2082"/>
      <c r="G36" s="2082" t="s">
        <v>592</v>
      </c>
      <c r="H36" s="2082"/>
      <c r="I36" s="2082"/>
      <c r="J36" s="2082"/>
      <c r="K36" s="2082"/>
      <c r="L36" s="2082"/>
      <c r="M36" s="2082"/>
      <c r="N36" s="790">
        <f>SUM(SUMIFS(【９】農業機械!$AY$17:$AY$116,【９】農業機械!$E$17:$E$116,"[13]田植機",【９】農業機械!$F$17:$F$116,"[2]３～５条植"))</f>
        <v>0</v>
      </c>
      <c r="O36" s="789">
        <f>SUM(SUMIFS(【９】農業機械!$AP$17:$AP$116,【９】農業機械!$E$17:$E$116,"[13]田植機",【９】農業機械!$F$17:$F$116,"[2]３～５条植"))</f>
        <v>0</v>
      </c>
    </row>
    <row r="37" spans="2:15" ht="8.25" hidden="1" customHeight="1">
      <c r="B37" s="2083"/>
      <c r="C37" s="2083"/>
      <c r="D37" s="2082"/>
      <c r="E37" s="2082"/>
      <c r="F37" s="2082"/>
      <c r="G37" s="2082" t="s">
        <v>1319</v>
      </c>
      <c r="H37" s="2082"/>
      <c r="I37" s="2082"/>
      <c r="J37" s="2082"/>
      <c r="K37" s="2082"/>
      <c r="L37" s="2082"/>
      <c r="M37" s="2082"/>
      <c r="N37" s="790"/>
      <c r="O37" s="789"/>
    </row>
    <row r="38" spans="2:15" ht="8.25" hidden="1" customHeight="1">
      <c r="B38" s="2083"/>
      <c r="C38" s="2083"/>
      <c r="D38" s="2082"/>
      <c r="E38" s="2082"/>
      <c r="F38" s="2082"/>
      <c r="G38" s="2082" t="s">
        <v>1320</v>
      </c>
      <c r="H38" s="2082"/>
      <c r="I38" s="2082"/>
      <c r="J38" s="2082"/>
      <c r="K38" s="2082"/>
      <c r="L38" s="2082"/>
      <c r="M38" s="2082"/>
      <c r="N38" s="790">
        <f>SUM(SUMIFS(【９】農業機械!$AY$17:$AY$116,【９】農業機械!$E$17:$E$116,"[13]田植機",【９】農業機械!$F$17:$F$116,"[3]６条植以上"))</f>
        <v>0</v>
      </c>
      <c r="O38" s="789">
        <f>SUM(SUMIFS(【９】農業機械!$AP$17:$AP$116,【９】農業機械!$E$17:$E$116,"[13]田植機",【９】農業機械!$F$17:$F$116,"[3]６条植以上"))</f>
        <v>0</v>
      </c>
    </row>
    <row r="39" spans="2:15" ht="30" customHeight="1">
      <c r="B39" s="2083"/>
      <c r="C39" s="2083"/>
      <c r="D39" s="2082" t="s">
        <v>593</v>
      </c>
      <c r="E39" s="2082"/>
      <c r="F39" s="2082"/>
      <c r="G39" s="2082"/>
      <c r="H39" s="2082"/>
      <c r="I39" s="2082"/>
      <c r="J39" s="2082"/>
      <c r="K39" s="2082"/>
      <c r="L39" s="2082"/>
      <c r="M39" s="2082"/>
      <c r="N39" s="790">
        <f>ROUNDDOWN(SUMIFS(【９】農業機械!$AY$17:$AY$116,【９】農業機械!$E$17:$E$116,"[08]たい肥等散布機"),1)</f>
        <v>0</v>
      </c>
      <c r="O39" s="789">
        <f>SUMIFS(【９】農業機械!$AP$17:$AP$116,【９】農業機械!$E$17:$E$116,"[08]たい肥等散布機")</f>
        <v>0</v>
      </c>
    </row>
    <row r="40" spans="2:15" ht="30" customHeight="1">
      <c r="B40" s="2083"/>
      <c r="C40" s="2083"/>
      <c r="D40" s="2082" t="s">
        <v>594</v>
      </c>
      <c r="E40" s="2082"/>
      <c r="F40" s="2082"/>
      <c r="G40" s="2082"/>
      <c r="H40" s="2082"/>
      <c r="I40" s="2082"/>
      <c r="J40" s="2082"/>
      <c r="K40" s="2082"/>
      <c r="L40" s="2082"/>
      <c r="M40" s="2082"/>
      <c r="N40" s="790">
        <f>ROUNDDOWN(SUMIFS(【９】農業機械!$AY$17:$AY$116,【９】農業機械!$E$17:$E$116,"[10]総合は種機"),1)</f>
        <v>0</v>
      </c>
      <c r="O40" s="789">
        <f>SUMIFS(【９】農業機械!$AP$17:$AP$116,【９】農業機械!$E$17:$E$116,"[10]総合は種機")</f>
        <v>0</v>
      </c>
    </row>
    <row r="41" spans="2:15" ht="30" customHeight="1">
      <c r="B41" s="2083"/>
      <c r="C41" s="2083"/>
      <c r="D41" s="2082" t="s">
        <v>595</v>
      </c>
      <c r="E41" s="2082"/>
      <c r="F41" s="2082"/>
      <c r="G41" s="2082"/>
      <c r="H41" s="2082"/>
      <c r="I41" s="2082"/>
      <c r="J41" s="2082"/>
      <c r="K41" s="2082"/>
      <c r="L41" s="2082"/>
      <c r="M41" s="2082"/>
      <c r="N41" s="790">
        <f>SUMIFS(【９】農業機械!$AY$17:$AY$116,【９】農業機械!$E$17:$E$116,"[14]移植機")</f>
        <v>0</v>
      </c>
      <c r="O41" s="789">
        <f>SUMIFS(【９】農業機械!$AP$17:$AP$116,【９】農業機械!$E$17:$E$116,"[14]移植機")</f>
        <v>0</v>
      </c>
    </row>
    <row r="42" spans="2:15" ht="30" customHeight="1">
      <c r="B42" s="2083"/>
      <c r="C42" s="2083"/>
      <c r="D42" s="2082" t="s">
        <v>596</v>
      </c>
      <c r="E42" s="2082"/>
      <c r="F42" s="2082"/>
      <c r="G42" s="2082"/>
      <c r="H42" s="2082"/>
      <c r="I42" s="2082"/>
      <c r="J42" s="2082"/>
      <c r="K42" s="2082"/>
      <c r="L42" s="2082"/>
      <c r="M42" s="2082"/>
      <c r="N42" s="790">
        <f>ROUNDDOWN(SUMIFS(【９】農業機械!$AY$17:$AY$116,【９】農業機械!$E$17:$E$116,"[16]中耕除草機"),1)</f>
        <v>0</v>
      </c>
      <c r="O42" s="789">
        <f>SUMIFS(【９】農業機械!$AP$17:$AP$116,【９】農業機械!$E$17:$E$116,"[16]中耕除草機")</f>
        <v>0</v>
      </c>
    </row>
    <row r="43" spans="2:15" ht="30" customHeight="1">
      <c r="B43" s="2083"/>
      <c r="C43" s="2083"/>
      <c r="D43" s="2082" t="s">
        <v>597</v>
      </c>
      <c r="E43" s="2082"/>
      <c r="F43" s="2082"/>
      <c r="G43" s="2082"/>
      <c r="H43" s="2082"/>
      <c r="I43" s="2082"/>
      <c r="J43" s="2082"/>
      <c r="K43" s="2082"/>
      <c r="L43" s="2082"/>
      <c r="M43" s="2082"/>
      <c r="N43" s="790">
        <f>ROUNDDOWN(SUMIFS(【９】農業機械!$AY$17:$AY$116,【９】農業機械!$E$17:$E$116,"[09]肥料散布機"),1)</f>
        <v>0</v>
      </c>
      <c r="O43" s="789">
        <f>SUMIFS(【９】農業機械!$AP$17:$AP$116,【９】農業機械!$E$17:$E$116,"[09]肥料散布機")</f>
        <v>0</v>
      </c>
    </row>
    <row r="44" spans="2:15" ht="30" customHeight="1">
      <c r="B44" s="2083"/>
      <c r="C44" s="2083"/>
      <c r="D44" s="2082" t="s">
        <v>598</v>
      </c>
      <c r="E44" s="2082"/>
      <c r="F44" s="2082"/>
      <c r="G44" s="2082"/>
      <c r="H44" s="2082"/>
      <c r="I44" s="2082"/>
      <c r="J44" s="2082"/>
      <c r="K44" s="2082"/>
      <c r="L44" s="2082"/>
      <c r="M44" s="2082"/>
      <c r="N44" s="790">
        <f>ROUNDDOWN(SUMIFS(【９】農業機械!$AY$17:$AY$116,【９】農業機械!$E$17:$E$116,"[17]動力噴霧機"),1)</f>
        <v>0</v>
      </c>
      <c r="O44" s="789">
        <f>SUMIFS(【９】農業機械!$AP$17:$AP$116,【９】農業機械!$E$17:$E$116,"[17]動力噴霧機")</f>
        <v>0</v>
      </c>
    </row>
    <row r="45" spans="2:15" ht="30" customHeight="1">
      <c r="B45" s="2083"/>
      <c r="C45" s="2083"/>
      <c r="D45" s="2082" t="s">
        <v>599</v>
      </c>
      <c r="E45" s="2082"/>
      <c r="F45" s="2082"/>
      <c r="G45" s="2082"/>
      <c r="H45" s="2082"/>
      <c r="I45" s="2082"/>
      <c r="J45" s="2082"/>
      <c r="K45" s="2082"/>
      <c r="L45" s="2082"/>
      <c r="M45" s="2082"/>
      <c r="N45" s="790">
        <f>ROUNDDOWN(SUMIFS(【９】農業機械!$AY$17:$AY$116,【９】農業機械!$E$17:$E$116,"[18]動力散粉機"),1)</f>
        <v>0</v>
      </c>
      <c r="O45" s="789">
        <f>SUMIFS(【９】農業機械!$AP$17:$AP$116,【９】農業機械!$E$17:$E$116,"[18]動力散粉機")</f>
        <v>0</v>
      </c>
    </row>
    <row r="46" spans="2:15" ht="30" hidden="1" customHeight="1">
      <c r="B46" s="2083"/>
      <c r="C46" s="2083"/>
      <c r="D46" s="2082" t="s">
        <v>600</v>
      </c>
      <c r="E46" s="2082"/>
      <c r="F46" s="2082"/>
      <c r="G46" s="2082"/>
      <c r="H46" s="2082"/>
      <c r="I46" s="2082"/>
      <c r="J46" s="2082"/>
      <c r="K46" s="2082"/>
      <c r="L46" s="2082"/>
      <c r="M46" s="2082"/>
      <c r="N46" s="790">
        <f>SUMIFS(【９】農業機械!$AY$17:$AY$116,【９】農業機械!$E$17:$E$116,"[19]バインダー")</f>
        <v>0</v>
      </c>
      <c r="O46" s="789">
        <f>SUMIFS(【９】農業機械!$AP$17:$AP$116,【９】農業機械!$E$17:$E$116,"[19]バインダー")</f>
        <v>0</v>
      </c>
    </row>
    <row r="47" spans="2:15" ht="30" customHeight="1">
      <c r="B47" s="2083"/>
      <c r="C47" s="2083"/>
      <c r="D47" s="2099" t="s">
        <v>601</v>
      </c>
      <c r="E47" s="2100"/>
      <c r="F47" s="2100"/>
      <c r="G47" s="2082" t="s">
        <v>602</v>
      </c>
      <c r="H47" s="2082"/>
      <c r="I47" s="2082"/>
      <c r="J47" s="2082"/>
      <c r="K47" s="2082"/>
      <c r="L47" s="2082"/>
      <c r="M47" s="2082"/>
      <c r="N47" s="790">
        <f>ROUNDDOWN(SUM(SUMIFS(【９】農業機械!$AY$17:$AY$116,【９】農業機械!$E$17:$E$116,"[20]自脱型コンバイン",【９】農業機械!$F$17:$F$116,"[1]３条刈以下")),1)</f>
        <v>0</v>
      </c>
      <c r="O47" s="789">
        <f>SUM(SUMIFS(【９】農業機械!$AP$17:$AP$116,【９】農業機械!$E$17:$E$116,"[20]自脱型コンバイン",【９】農業機械!$F$17:$F$116,"[1]３条刈以下"))</f>
        <v>0</v>
      </c>
    </row>
    <row r="48" spans="2:15" ht="30" customHeight="1">
      <c r="B48" s="2083"/>
      <c r="C48" s="2083"/>
      <c r="D48" s="2099"/>
      <c r="E48" s="2100"/>
      <c r="F48" s="2100"/>
      <c r="G48" s="2082" t="s">
        <v>1321</v>
      </c>
      <c r="H48" s="2082"/>
      <c r="I48" s="2082"/>
      <c r="J48" s="2082"/>
      <c r="K48" s="2082"/>
      <c r="L48" s="2082"/>
      <c r="M48" s="2082"/>
      <c r="N48" s="790">
        <f>ROUNDDOWN(SUM(SUMIFS(【９】農業機械!$AY$17:$AY$116,【９】農業機械!$E$17:$E$116,"[20]自脱型コンバイン",【９】農業機械!$F$17:$F$116,"[2]４～５条刈")),1)</f>
        <v>0</v>
      </c>
      <c r="O48" s="789">
        <f>SUM(SUMIFS(【９】農業機械!$AP$17:$AP$116,【９】農業機械!$E$17:$E$116,"[20]自脱型コンバイン",【９】農業機械!$F$17:$F$116,"[2]４～５条刈"))</f>
        <v>0</v>
      </c>
    </row>
    <row r="49" spans="2:15" ht="30" customHeight="1">
      <c r="B49" s="2083"/>
      <c r="C49" s="2083"/>
      <c r="D49" s="2100"/>
      <c r="E49" s="2100"/>
      <c r="F49" s="2100"/>
      <c r="G49" s="2082" t="s">
        <v>1322</v>
      </c>
      <c r="H49" s="2082"/>
      <c r="I49" s="2082"/>
      <c r="J49" s="2082"/>
      <c r="K49" s="2082"/>
      <c r="L49" s="2082"/>
      <c r="M49" s="2082"/>
      <c r="N49" s="790">
        <f>ROUNDDOWN(SUM(SUMIFS(【９】農業機械!$AY$17:$AY$116,【９】農業機械!$E$17:$E$116,"[20]自脱型コンバイン",【９】農業機械!$F$17:$F$116,"[3]６条刈以上")),1)</f>
        <v>0</v>
      </c>
      <c r="O49" s="789">
        <f>SUM(SUMIFS(【９】農業機械!$AP$17:$AP$116,【９】農業機械!$E$17:$E$116,"[20]自脱型コンバイン",【９】農業機械!$F$17:$F$116,"[3]６条刈以上"))</f>
        <v>0</v>
      </c>
    </row>
    <row r="50" spans="2:15" ht="30" customHeight="1">
      <c r="B50" s="2083"/>
      <c r="C50" s="2083"/>
      <c r="D50" s="2082" t="s">
        <v>603</v>
      </c>
      <c r="E50" s="2082"/>
      <c r="F50" s="2082"/>
      <c r="G50" s="2082"/>
      <c r="H50" s="2082"/>
      <c r="I50" s="2082"/>
      <c r="J50" s="2082"/>
      <c r="K50" s="2082"/>
      <c r="L50" s="2082"/>
      <c r="M50" s="2082"/>
      <c r="N50" s="790">
        <f>ROUNDDOWN(SUMIFS(【９】農業機械!$AY$17:$AY$116,【９】農業機械!$E$17:$E$116,"[21]普通型コンバイン"),1)</f>
        <v>0</v>
      </c>
      <c r="O50" s="789">
        <f>SUMIFS(【９】農業機械!$AP$17:$AP$116,【９】農業機械!$E$17:$E$116,"[21]普通型コンバイン")</f>
        <v>0</v>
      </c>
    </row>
    <row r="51" spans="2:15" ht="30" customHeight="1">
      <c r="B51" s="2083"/>
      <c r="C51" s="2083"/>
      <c r="D51" s="2082" t="s">
        <v>604</v>
      </c>
      <c r="E51" s="2082"/>
      <c r="F51" s="2082"/>
      <c r="G51" s="2082"/>
      <c r="H51" s="2082"/>
      <c r="I51" s="2082"/>
      <c r="J51" s="2082"/>
      <c r="K51" s="2082"/>
      <c r="L51" s="2082"/>
      <c r="M51" s="2082"/>
      <c r="N51" s="790" cm="1">
        <f t="array" ref="N51">ROUNDDOWN(SUM(SUMIFS(【９】農業機械!$AY$17:$AY$116,【９】農業機械!$E$17:$E$116,{"[22]そば収穫機","[23]大豆収穫機","[24]かんしょ収穫機","[25]ばれいしょ収穫機","[26]なたね収穫機","[27]てんさい収穫機","[28]さとうきび収穫機"})),1)</f>
        <v>0</v>
      </c>
      <c r="O51" s="789">
        <f>SUM(SUMIFS(【９】農業機械!$AP$17:$AP$116,【９】農業機械!$E$17:$E$116,{"[22]そば収穫機","[23]大豆収穫機","[24]かんしょ収穫機","[25]ばれいしょ収穫機","[26]なたね収穫機","[27]てんさい収穫機","[28]さとうきび収穫機"}))</f>
        <v>0</v>
      </c>
    </row>
    <row r="52" spans="2:15" ht="30" customHeight="1">
      <c r="B52" s="2083"/>
      <c r="C52" s="2083"/>
      <c r="D52" s="2082" t="s">
        <v>605</v>
      </c>
      <c r="E52" s="2082"/>
      <c r="F52" s="2082"/>
      <c r="G52" s="2082"/>
      <c r="H52" s="2082"/>
      <c r="I52" s="2082"/>
      <c r="J52" s="2082"/>
      <c r="K52" s="2082"/>
      <c r="L52" s="2082"/>
      <c r="M52" s="2082"/>
      <c r="N52" s="790">
        <f>ROUNDDOWN(SUMIFS(【９】農業機械!$AY$17:$AY$116,【９】農業機械!$E$17:$E$116,"[29]脱穀機"),1)</f>
        <v>0</v>
      </c>
      <c r="O52" s="789">
        <f>SUMIFS(【９】農業機械!$AP$17:$AP$116,【９】農業機械!$E$17:$E$116,"[29]脱穀機")</f>
        <v>0</v>
      </c>
    </row>
    <row r="53" spans="2:15" ht="30" customHeight="1">
      <c r="B53" s="2083"/>
      <c r="C53" s="2083"/>
      <c r="D53" s="2082" t="s">
        <v>606</v>
      </c>
      <c r="E53" s="2082"/>
      <c r="F53" s="2082"/>
      <c r="G53" s="2082"/>
      <c r="H53" s="2082"/>
      <c r="I53" s="2082"/>
      <c r="J53" s="2082"/>
      <c r="K53" s="2082"/>
      <c r="L53" s="2082"/>
      <c r="M53" s="2082"/>
      <c r="N53" s="790">
        <f>SUMIFS(【９】農業機械!$AY$17:$AY$116,【９】農業機械!$E$17:$E$116,"[30]きび脱葉機")</f>
        <v>0</v>
      </c>
      <c r="O53" s="789">
        <f>SUMIFS(【９】農業機械!$AP$17:$AP$116,【９】農業機械!$E$17:$E$116,"[30]きび脱葉機")</f>
        <v>0</v>
      </c>
    </row>
    <row r="54" spans="2:15" ht="30" hidden="1" customHeight="1">
      <c r="B54" s="2083"/>
      <c r="C54" s="2083"/>
      <c r="D54" s="2082" t="s">
        <v>607</v>
      </c>
      <c r="E54" s="2082"/>
      <c r="F54" s="2082"/>
      <c r="G54" s="2082"/>
      <c r="H54" s="2082"/>
      <c r="I54" s="2082"/>
      <c r="J54" s="2082"/>
      <c r="K54" s="2082"/>
      <c r="L54" s="2082"/>
      <c r="M54" s="2082"/>
      <c r="N54" s="790">
        <f>SUMIFS(【９】農業機械!$AY$17:$AY$116,【９】農業機械!$E$17:$E$116,"[32]もみすり機")</f>
        <v>0</v>
      </c>
      <c r="O54" s="789">
        <f>SUMIFS(【９】農業機械!$AP$17:$AP$116,【９】農業機械!$E$17:$E$116,"[32]もみすり機")</f>
        <v>0</v>
      </c>
    </row>
    <row r="55" spans="2:15" ht="30" hidden="1" customHeight="1">
      <c r="B55" s="2083"/>
      <c r="C55" s="2083"/>
      <c r="D55" s="2082" t="s">
        <v>608</v>
      </c>
      <c r="E55" s="2082"/>
      <c r="F55" s="2082"/>
      <c r="G55" s="2082" t="s">
        <v>609</v>
      </c>
      <c r="H55" s="2082"/>
      <c r="I55" s="2082"/>
      <c r="J55" s="2082"/>
      <c r="K55" s="2082"/>
      <c r="L55" s="2082"/>
      <c r="M55" s="2082"/>
      <c r="N55" s="790">
        <f>SUM(SUMIFS(【９】農業機械!$AY$17:$AY$116,【９】農業機械!$E$17:$E$116,"[31]乾燥機",【９】農業機械!$F$17:$F$116,"[1]静置式"))</f>
        <v>0</v>
      </c>
      <c r="O55" s="789">
        <f>SUM(SUMIFS(【９】農業機械!$AP$17:$AP$116,【９】農業機械!$E$17:$E$116,"[31]乾燥機",【９】農業機械!$F$17:$F$116,"[1]静置式"))</f>
        <v>0</v>
      </c>
    </row>
    <row r="56" spans="2:15" ht="30" hidden="1" customHeight="1">
      <c r="B56" s="2083"/>
      <c r="C56" s="2083"/>
      <c r="D56" s="2082"/>
      <c r="E56" s="2082"/>
      <c r="F56" s="2082"/>
      <c r="G56" s="2082" t="s">
        <v>610</v>
      </c>
      <c r="H56" s="2082"/>
      <c r="I56" s="2082"/>
      <c r="J56" s="2082"/>
      <c r="K56" s="2082"/>
      <c r="L56" s="2082"/>
      <c r="M56" s="2082"/>
      <c r="N56" s="790">
        <f>SUM(SUMIFS(【９】農業機械!$AY$17:$AY$116,【９】農業機械!$E$17:$E$116,"[31]乾燥機",【９】農業機械!$F$17:$F$116,"[2]循環式"))</f>
        <v>0</v>
      </c>
      <c r="O56" s="789">
        <f>SUM(SUMIFS(【９】農業機械!$AP$17:$AP$116,【９】農業機械!$E$17:$E$116,"[31]乾燥機",【９】農業機械!$F$17:$F$116,"[2]循環式"))</f>
        <v>0</v>
      </c>
    </row>
    <row r="57" spans="2:15" ht="30" customHeight="1">
      <c r="B57" s="2083"/>
      <c r="C57" s="2083"/>
      <c r="D57" s="2082" t="s">
        <v>608</v>
      </c>
      <c r="E57" s="2082"/>
      <c r="F57" s="2082"/>
      <c r="G57" s="2082"/>
      <c r="H57" s="2082"/>
      <c r="I57" s="2082"/>
      <c r="J57" s="2082"/>
      <c r="K57" s="2082"/>
      <c r="L57" s="2082"/>
      <c r="M57" s="2082"/>
      <c r="N57" s="790">
        <f>ROUNDDOWN(SUMIFS(【９】農業機械!$AY$17:$AY$116,【９】農業機械!$E$17:$E$116,"[31]乾燥機"),1)</f>
        <v>0</v>
      </c>
      <c r="O57" s="789">
        <f>SUMIFS(【９】農業機械!$AP$17:$AP$116,【９】農業機械!$E$17:$E$116,"[31]乾燥機")</f>
        <v>0</v>
      </c>
    </row>
    <row r="58" spans="2:15" ht="30" customHeight="1">
      <c r="B58" s="2083"/>
      <c r="C58" s="2083"/>
      <c r="D58" s="2082" t="s">
        <v>1323</v>
      </c>
      <c r="E58" s="2082"/>
      <c r="F58" s="2082"/>
      <c r="G58" s="2082"/>
      <c r="H58" s="2082"/>
      <c r="I58" s="2082"/>
      <c r="J58" s="2082"/>
      <c r="K58" s="2082"/>
      <c r="L58" s="2082"/>
      <c r="M58" s="2082"/>
      <c r="N58" s="790">
        <f>ROUNDDOWN(SUMIFS(【９】農業機械!$AY$17:$AY$116,【９】農業機械!$E$17:$E$116,"[33]ドローン"),1)</f>
        <v>0</v>
      </c>
      <c r="O58" s="789">
        <f>SUMIFS(【９】農業機械!$AP$17:$AP$116,【９】農業機械!$E$17:$E$116,"[33]ドローン")</f>
        <v>0</v>
      </c>
    </row>
    <row r="59" spans="2:15" ht="30" customHeight="1">
      <c r="B59" s="2083"/>
      <c r="C59" s="2083"/>
      <c r="D59" s="2082" t="s">
        <v>611</v>
      </c>
      <c r="E59" s="2082"/>
      <c r="F59" s="2082"/>
      <c r="G59" s="2082"/>
      <c r="H59" s="2082"/>
      <c r="I59" s="2082"/>
      <c r="J59" s="2082"/>
      <c r="K59" s="2082"/>
      <c r="L59" s="2082"/>
      <c r="M59" s="2082"/>
      <c r="N59" s="790">
        <f>ROUNDDOWN(SUMIFS(【９】農業機械!$AY$17:$AY$116,【９】農業機械!$E$17:$E$116,"[54]トレーラー"),1)</f>
        <v>0</v>
      </c>
      <c r="O59" s="789">
        <f>SUMIFS(【９】農業機械!$AP$17:$AP$116,【９】農業機械!$E$17:$E$116,"[54]トレーラー")</f>
        <v>0</v>
      </c>
    </row>
    <row r="60" spans="2:15" ht="30" customHeight="1">
      <c r="B60" s="2083"/>
      <c r="C60" s="2083"/>
      <c r="D60" s="2082" t="s">
        <v>576</v>
      </c>
      <c r="E60" s="2082"/>
      <c r="F60" s="2082"/>
      <c r="G60" s="2082"/>
      <c r="H60" s="2082"/>
      <c r="I60" s="2082"/>
      <c r="J60" s="2082"/>
      <c r="K60" s="2082"/>
      <c r="L60" s="2082"/>
      <c r="M60" s="2082"/>
      <c r="N60" s="788"/>
      <c r="O60" s="789">
        <f>SUM(SUMIFS(【９】農業機械!$AP$17:$AP$116,【９】農業機械!$E$17:$E$116,"[56]その他の農機具"))</f>
        <v>0</v>
      </c>
    </row>
    <row r="61" spans="2:15" ht="30" customHeight="1">
      <c r="B61" s="2083"/>
      <c r="C61" s="2083"/>
      <c r="D61" s="2086" t="s">
        <v>577</v>
      </c>
      <c r="E61" s="2087"/>
      <c r="F61" s="2087"/>
      <c r="G61" s="2087"/>
      <c r="H61" s="2087"/>
      <c r="I61" s="2087"/>
      <c r="J61" s="2087"/>
      <c r="K61" s="2087"/>
      <c r="L61" s="2087"/>
      <c r="M61" s="2088"/>
      <c r="N61" s="788"/>
      <c r="O61" s="789">
        <f>SUBTOTAL(109,O25:O60)</f>
        <v>0</v>
      </c>
    </row>
    <row r="62" spans="2:15" ht="30" customHeight="1">
      <c r="B62" s="2084"/>
      <c r="C62" s="2084"/>
      <c r="D62" s="1061"/>
      <c r="E62" s="1061"/>
      <c r="F62" s="1061"/>
      <c r="G62" s="2093" t="s">
        <v>578</v>
      </c>
      <c r="H62" s="2094"/>
      <c r="I62" s="2094"/>
      <c r="J62" s="2094"/>
      <c r="K62" s="2094"/>
      <c r="L62" s="2094"/>
      <c r="M62" s="2101"/>
      <c r="N62" s="788"/>
      <c r="O62" s="789">
        <f>【９】農業機械!AQ15</f>
        <v>0</v>
      </c>
    </row>
    <row r="63" spans="2:15" ht="30" customHeight="1">
      <c r="B63" s="2102" t="s">
        <v>612</v>
      </c>
      <c r="C63" s="2103"/>
      <c r="D63" s="2103"/>
      <c r="E63" s="2103"/>
      <c r="F63" s="2103"/>
      <c r="G63" s="2103"/>
      <c r="H63" s="2103"/>
      <c r="I63" s="2103"/>
      <c r="J63" s="2103"/>
      <c r="K63" s="2103"/>
      <c r="L63" s="2103"/>
      <c r="M63" s="2104"/>
      <c r="N63" s="788"/>
      <c r="O63" s="789">
        <f>【９】農業機械!AP16</f>
        <v>0</v>
      </c>
    </row>
    <row r="64" spans="2:15" ht="30" customHeight="1">
      <c r="B64" s="1062"/>
      <c r="C64" s="1063"/>
      <c r="D64" s="2093" t="s">
        <v>578</v>
      </c>
      <c r="E64" s="2094"/>
      <c r="F64" s="2094"/>
      <c r="G64" s="2094"/>
      <c r="H64" s="2094"/>
      <c r="I64" s="2094"/>
      <c r="J64" s="2094"/>
      <c r="K64" s="2094"/>
      <c r="L64" s="2094"/>
      <c r="M64" s="2101"/>
      <c r="N64" s="788"/>
      <c r="O64" s="789">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5"/>
  <pageMargins left="0.70866141732283472" right="0.70866141732283472" top="0.74803149606299213" bottom="0.74803149606299213" header="0.31496062992125984" footer="0.31496062992125984"/>
  <pageSetup paperSize="9" scale="35"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376</v>
      </c>
    </row>
    <row r="2" spans="1:81" ht="14.25" customHeight="1">
      <c r="A2" s="105" t="s">
        <v>1306</v>
      </c>
      <c r="AO2" s="105"/>
      <c r="CA2" s="105" t="s">
        <v>613</v>
      </c>
    </row>
    <row r="3" spans="1:81" s="46" customFormat="1" ht="14.25" customHeight="1">
      <c r="B3" s="46" t="s">
        <v>1423</v>
      </c>
      <c r="AJ3" s="690"/>
      <c r="AO3" s="2"/>
      <c r="AP3" s="791"/>
      <c r="AQ3" s="791"/>
      <c r="AR3" s="752"/>
      <c r="AS3" s="2"/>
      <c r="AT3" s="2"/>
      <c r="AU3" s="752"/>
      <c r="AV3" s="752"/>
      <c r="AW3" s="752"/>
      <c r="AX3" s="752"/>
      <c r="AY3" s="752"/>
      <c r="AZ3" s="609"/>
      <c r="BA3" s="609"/>
      <c r="BB3" s="609"/>
      <c r="BC3" s="609"/>
      <c r="BD3" s="609"/>
      <c r="BE3" s="609"/>
      <c r="BF3" s="609"/>
      <c r="BG3" s="609"/>
      <c r="BH3" s="609"/>
      <c r="BI3" s="609"/>
      <c r="BJ3" s="609"/>
      <c r="BK3" s="609"/>
      <c r="BL3" s="609"/>
      <c r="BM3" s="609"/>
      <c r="BN3" s="609"/>
      <c r="BO3" s="609"/>
      <c r="BP3" s="609"/>
      <c r="BQ3" s="2"/>
      <c r="BR3" s="2"/>
      <c r="BS3" s="2"/>
      <c r="BT3" s="2"/>
      <c r="BU3" s="2"/>
      <c r="BV3" s="2"/>
      <c r="BW3" s="2"/>
      <c r="BX3" s="690"/>
    </row>
    <row r="4" spans="1:81" s="46" customFormat="1" ht="14.25" customHeight="1">
      <c r="B4" s="58" t="s">
        <v>614</v>
      </c>
      <c r="AJ4" s="690"/>
      <c r="AO4" s="2"/>
      <c r="AP4" s="791"/>
      <c r="AQ4" s="791"/>
      <c r="AR4" s="752"/>
      <c r="AS4" s="2"/>
      <c r="AT4" s="2"/>
      <c r="AU4" s="752"/>
      <c r="AV4" s="752"/>
      <c r="AW4" s="752"/>
      <c r="AX4" s="752"/>
      <c r="AY4" s="752"/>
      <c r="AZ4" s="609"/>
      <c r="BA4" s="609"/>
      <c r="BB4" s="609"/>
      <c r="BC4" s="609"/>
      <c r="BD4" s="609"/>
      <c r="BE4" s="609"/>
      <c r="BF4" s="609"/>
      <c r="BG4" s="609"/>
      <c r="BH4" s="609"/>
      <c r="BI4" s="609"/>
      <c r="BJ4" s="609"/>
      <c r="BK4" s="609"/>
      <c r="BL4" s="609"/>
      <c r="BM4" s="609"/>
      <c r="BN4" s="609"/>
      <c r="BO4" s="609"/>
      <c r="BP4" s="609"/>
      <c r="BQ4" s="2"/>
      <c r="BR4" s="2"/>
      <c r="BS4" s="2"/>
      <c r="BT4" s="2"/>
      <c r="BU4" s="2"/>
      <c r="BV4" s="2"/>
      <c r="BW4" s="2"/>
      <c r="BX4" s="690"/>
      <c r="CC4" s="1098" t="s">
        <v>1367</v>
      </c>
    </row>
    <row r="5" spans="1:81" s="46" customFormat="1" ht="14.25" customHeight="1">
      <c r="AJ5" s="690"/>
      <c r="AO5" s="2"/>
      <c r="AP5" s="791"/>
      <c r="AQ5" s="791"/>
      <c r="AR5" s="752"/>
      <c r="AS5" s="2"/>
      <c r="AT5" s="2"/>
      <c r="AU5" s="752"/>
      <c r="AV5" s="752"/>
      <c r="AW5" s="752"/>
      <c r="AX5" s="752"/>
      <c r="AY5" s="752"/>
      <c r="AZ5" s="609"/>
      <c r="BA5" s="609"/>
      <c r="BB5" s="609"/>
      <c r="BC5" s="609"/>
      <c r="BD5" s="609"/>
      <c r="BE5" s="609"/>
      <c r="BF5" s="609"/>
      <c r="BG5" s="609"/>
      <c r="BH5" s="609"/>
      <c r="BI5" s="609"/>
      <c r="BJ5" s="609"/>
      <c r="BK5" s="609"/>
      <c r="BL5" s="609"/>
      <c r="BM5" s="609"/>
      <c r="BN5" s="609"/>
      <c r="BO5" s="609"/>
      <c r="BP5" s="609"/>
      <c r="BQ5" s="2"/>
      <c r="BR5" s="2"/>
      <c r="BS5" s="2"/>
      <c r="BT5" s="2"/>
      <c r="BU5" s="2"/>
      <c r="BV5" s="2"/>
      <c r="BW5" s="2"/>
      <c r="BX5" s="690"/>
      <c r="CC5" s="1099">
        <v>21</v>
      </c>
    </row>
    <row r="6" spans="1:81" s="46" customFormat="1" ht="14.25" customHeight="1">
      <c r="AJ6" s="690"/>
      <c r="AO6" s="2"/>
      <c r="AP6" s="791"/>
      <c r="AQ6" s="791"/>
      <c r="AR6" s="752"/>
      <c r="AS6" s="752"/>
      <c r="AT6" s="752"/>
      <c r="AU6" s="752"/>
      <c r="AV6" s="752"/>
      <c r="AW6" s="752"/>
      <c r="AX6" s="752"/>
      <c r="AY6" s="752"/>
      <c r="AZ6" s="609"/>
      <c r="BA6" s="609"/>
      <c r="BB6" s="609"/>
      <c r="BC6" s="609"/>
      <c r="BD6" s="609"/>
      <c r="BE6" s="609"/>
      <c r="BF6" s="609"/>
      <c r="BG6" s="609"/>
      <c r="BH6" s="609"/>
      <c r="BI6" s="609"/>
      <c r="BJ6" s="609"/>
      <c r="BK6" s="609"/>
      <c r="BL6" s="609"/>
      <c r="BM6" s="609"/>
      <c r="BN6" s="609"/>
      <c r="BO6" s="609"/>
      <c r="BP6" s="609"/>
      <c r="BQ6" s="2"/>
      <c r="BR6" s="2"/>
      <c r="BS6" s="2"/>
      <c r="BT6" s="2"/>
      <c r="BU6" s="2"/>
      <c r="BV6" s="2"/>
      <c r="BW6" s="2"/>
      <c r="BX6" s="690"/>
    </row>
    <row r="7" spans="1:81" s="46" customFormat="1" ht="14.25" customHeight="1">
      <c r="AJ7" s="690"/>
      <c r="AO7" s="2"/>
      <c r="AP7" s="791"/>
      <c r="AQ7" s="791"/>
      <c r="AR7" s="752"/>
      <c r="AS7" s="752"/>
      <c r="AT7" s="752"/>
      <c r="AU7" s="752"/>
      <c r="AV7" s="752"/>
      <c r="AW7" s="752"/>
      <c r="AX7" s="752"/>
      <c r="AY7" s="752"/>
      <c r="AZ7" s="609"/>
      <c r="BA7" s="609"/>
      <c r="BB7" s="609"/>
      <c r="BC7" s="609"/>
      <c r="BD7" s="609"/>
      <c r="BE7" s="609"/>
      <c r="BF7" s="609"/>
      <c r="BG7" s="609"/>
      <c r="BH7" s="609"/>
      <c r="BI7" s="609"/>
      <c r="BJ7" s="609"/>
      <c r="BK7" s="609"/>
      <c r="BL7" s="609"/>
      <c r="BM7" s="609"/>
      <c r="BN7" s="609"/>
      <c r="BO7" s="609"/>
      <c r="BP7" s="609"/>
      <c r="BQ7" s="2"/>
      <c r="BR7" s="2"/>
      <c r="BS7" s="2"/>
      <c r="BT7" s="2"/>
      <c r="BU7" s="2"/>
      <c r="BV7" s="2"/>
      <c r="BW7" s="2"/>
      <c r="BX7" s="690"/>
    </row>
    <row r="8" spans="1:81" s="46" customFormat="1" ht="14.25" customHeight="1">
      <c r="AJ8" s="690"/>
      <c r="AO8" s="2"/>
      <c r="AP8" s="791"/>
      <c r="AQ8" s="791"/>
      <c r="AR8" s="752"/>
      <c r="AS8" s="752"/>
      <c r="AT8" s="752"/>
      <c r="AU8" s="752"/>
      <c r="AV8" s="752"/>
      <c r="AW8" s="752"/>
      <c r="AX8" s="752"/>
      <c r="AY8" s="752"/>
      <c r="AZ8" s="609"/>
      <c r="BA8" s="609"/>
      <c r="BB8" s="609"/>
      <c r="BC8" s="609"/>
      <c r="BD8" s="609"/>
      <c r="BE8" s="609"/>
      <c r="BF8" s="609"/>
      <c r="BG8" s="609"/>
      <c r="BH8" s="609"/>
      <c r="BI8" s="609"/>
      <c r="BJ8" s="609"/>
      <c r="BK8" s="609"/>
      <c r="BL8" s="609"/>
      <c r="BM8" s="609"/>
      <c r="BN8" s="609"/>
      <c r="BO8" s="609"/>
      <c r="BP8" s="609"/>
      <c r="BQ8" s="2"/>
      <c r="BR8" s="2"/>
      <c r="BS8" s="2"/>
      <c r="BT8" s="2"/>
      <c r="BU8" s="2"/>
      <c r="BV8" s="2"/>
      <c r="BW8" s="2"/>
      <c r="BX8" s="690"/>
    </row>
    <row r="9" spans="1:81" ht="14.25" customHeight="1">
      <c r="A9" s="105"/>
      <c r="AP9" s="791"/>
      <c r="AQ9" s="791"/>
      <c r="AR9" s="752"/>
      <c r="AS9" s="752"/>
      <c r="AT9" s="752"/>
      <c r="AU9" s="752"/>
      <c r="AV9" s="752"/>
      <c r="AW9" s="752"/>
      <c r="AX9" s="752"/>
      <c r="AY9" s="752"/>
      <c r="AZ9" s="609"/>
      <c r="BA9" s="609"/>
      <c r="BB9" s="609"/>
      <c r="BC9" s="609"/>
      <c r="BD9" s="609"/>
      <c r="BE9" s="609"/>
      <c r="BF9" s="609"/>
      <c r="BG9" s="609"/>
      <c r="BH9" s="609"/>
      <c r="BI9" s="609"/>
      <c r="BJ9" s="609"/>
      <c r="BK9" s="609"/>
      <c r="BL9" s="609"/>
      <c r="BM9" s="609"/>
      <c r="BN9" s="609"/>
      <c r="BO9" s="609"/>
      <c r="BP9" s="609"/>
    </row>
    <row r="10" spans="1:81" ht="14.25" customHeight="1" thickBot="1">
      <c r="A10" s="105"/>
      <c r="AP10" s="791"/>
      <c r="AQ10" s="791"/>
      <c r="AR10" s="752"/>
      <c r="AS10" s="752"/>
      <c r="AT10" s="752"/>
      <c r="AU10" s="752"/>
      <c r="AV10" s="752"/>
      <c r="AW10" s="752"/>
      <c r="AX10" s="752"/>
      <c r="AY10" s="752"/>
      <c r="AZ10" s="609"/>
      <c r="BA10" s="609"/>
      <c r="BB10" s="609"/>
      <c r="BC10" s="609"/>
      <c r="BD10" s="609"/>
      <c r="BE10" s="609"/>
      <c r="BF10" s="609"/>
      <c r="BG10" s="609"/>
      <c r="BH10" s="609"/>
      <c r="BI10" s="609"/>
      <c r="BJ10" s="609"/>
      <c r="BK10" s="609"/>
      <c r="BL10" s="609"/>
      <c r="BM10" s="609"/>
      <c r="BN10" s="609"/>
      <c r="BO10" s="609"/>
      <c r="BP10" s="609"/>
    </row>
    <row r="11" spans="1:81" ht="14.1" customHeight="1">
      <c r="B11" s="792"/>
      <c r="C11" s="793"/>
      <c r="D11" s="1827" t="s">
        <v>615</v>
      </c>
      <c r="E11" s="1827"/>
      <c r="F11" s="1827"/>
      <c r="G11" s="1827"/>
      <c r="H11" s="1827"/>
      <c r="I11" s="1827"/>
      <c r="J11" s="1827"/>
      <c r="K11" s="1827"/>
      <c r="L11" s="1827"/>
      <c r="M11" s="1827"/>
      <c r="N11" s="272"/>
      <c r="O11" s="794"/>
      <c r="P11" s="2135" t="s">
        <v>193</v>
      </c>
      <c r="Q11" s="2135"/>
      <c r="R11" s="2135"/>
      <c r="S11" s="2135"/>
      <c r="T11" s="2135"/>
      <c r="U11" s="2135"/>
      <c r="V11" s="795"/>
      <c r="W11" s="1212" t="s">
        <v>1403</v>
      </c>
      <c r="X11" s="1688"/>
      <c r="Y11" s="1689"/>
      <c r="Z11" s="1291" t="s">
        <v>192</v>
      </c>
      <c r="AA11" s="1291"/>
      <c r="AB11" s="1291"/>
      <c r="AC11" s="1291"/>
      <c r="AD11" s="1291"/>
      <c r="AE11" s="1291"/>
      <c r="AF11" s="1291"/>
      <c r="AG11" s="1291"/>
      <c r="AH11" s="1291"/>
      <c r="AI11" s="1468"/>
      <c r="AJ11" s="796"/>
      <c r="AK11" s="125"/>
      <c r="AL11" s="125"/>
      <c r="AM11" s="125"/>
      <c r="AN11" s="125"/>
      <c r="AP11" s="792"/>
      <c r="AQ11" s="793"/>
      <c r="AR11" s="1827" t="s">
        <v>615</v>
      </c>
      <c r="AS11" s="1827"/>
      <c r="AT11" s="1827"/>
      <c r="AU11" s="1827"/>
      <c r="AV11" s="1827"/>
      <c r="AW11" s="1827"/>
      <c r="AX11" s="1827"/>
      <c r="AY11" s="1827"/>
      <c r="AZ11" s="1827"/>
      <c r="BA11" s="1827"/>
      <c r="BB11" s="272"/>
      <c r="BC11" s="794"/>
      <c r="BD11" s="2135" t="s">
        <v>193</v>
      </c>
      <c r="BE11" s="2135"/>
      <c r="BF11" s="2135"/>
      <c r="BG11" s="2135"/>
      <c r="BH11" s="2135"/>
      <c r="BI11" s="2135"/>
      <c r="BJ11" s="795"/>
      <c r="BK11" s="1212" t="s">
        <v>1403</v>
      </c>
      <c r="BL11" s="1688"/>
      <c r="BM11" s="1689"/>
      <c r="BN11" s="1291" t="s">
        <v>192</v>
      </c>
      <c r="BO11" s="1291"/>
      <c r="BP11" s="1291"/>
      <c r="BQ11" s="1291"/>
      <c r="BR11" s="1291"/>
      <c r="BS11" s="1291"/>
      <c r="BT11" s="1291"/>
      <c r="BU11" s="1291"/>
      <c r="BV11" s="1291"/>
      <c r="BW11" s="1468"/>
      <c r="CB11" s="2123" t="s">
        <v>615</v>
      </c>
      <c r="CC11" s="1472" t="s">
        <v>193</v>
      </c>
    </row>
    <row r="12" spans="1:81" ht="14.1" customHeight="1">
      <c r="B12" s="797"/>
      <c r="C12" s="145"/>
      <c r="D12" s="1828"/>
      <c r="E12" s="1828"/>
      <c r="F12" s="1828"/>
      <c r="G12" s="1828"/>
      <c r="H12" s="1828"/>
      <c r="I12" s="1828"/>
      <c r="J12" s="1828"/>
      <c r="K12" s="1828"/>
      <c r="L12" s="1828"/>
      <c r="M12" s="1828"/>
      <c r="N12" s="543"/>
      <c r="O12" s="146"/>
      <c r="P12" s="1173"/>
      <c r="Q12" s="1173"/>
      <c r="R12" s="1173"/>
      <c r="S12" s="1173"/>
      <c r="T12" s="1173"/>
      <c r="U12" s="1173"/>
      <c r="V12" s="798"/>
      <c r="W12" s="1690"/>
      <c r="X12" s="1691"/>
      <c r="Y12" s="1692"/>
      <c r="Z12" s="1276"/>
      <c r="AA12" s="1276"/>
      <c r="AB12" s="1276"/>
      <c r="AC12" s="1276"/>
      <c r="AD12" s="1276"/>
      <c r="AE12" s="1276"/>
      <c r="AF12" s="1276"/>
      <c r="AG12" s="1276"/>
      <c r="AH12" s="1276"/>
      <c r="AI12" s="1277"/>
      <c r="AJ12" s="796"/>
      <c r="AK12" s="125"/>
      <c r="AL12" s="125"/>
      <c r="AM12" s="125"/>
      <c r="AN12" s="125"/>
      <c r="AP12" s="797"/>
      <c r="AQ12" s="145"/>
      <c r="AR12" s="1828"/>
      <c r="AS12" s="1828"/>
      <c r="AT12" s="1828"/>
      <c r="AU12" s="1828"/>
      <c r="AV12" s="1828"/>
      <c r="AW12" s="1828"/>
      <c r="AX12" s="1828"/>
      <c r="AY12" s="1828"/>
      <c r="AZ12" s="1828"/>
      <c r="BA12" s="1828"/>
      <c r="BB12" s="543"/>
      <c r="BC12" s="146"/>
      <c r="BD12" s="1173"/>
      <c r="BE12" s="1173"/>
      <c r="BF12" s="1173"/>
      <c r="BG12" s="1173"/>
      <c r="BH12" s="1173"/>
      <c r="BI12" s="1173"/>
      <c r="BJ12" s="798"/>
      <c r="BK12" s="1690"/>
      <c r="BL12" s="1691"/>
      <c r="BM12" s="1692"/>
      <c r="BN12" s="1276"/>
      <c r="BO12" s="1276"/>
      <c r="BP12" s="1276"/>
      <c r="BQ12" s="1276"/>
      <c r="BR12" s="1276"/>
      <c r="BS12" s="1276"/>
      <c r="BT12" s="1276"/>
      <c r="BU12" s="1276"/>
      <c r="BV12" s="1276"/>
      <c r="BW12" s="1277"/>
      <c r="CB12" s="2123"/>
      <c r="CC12" s="1472"/>
    </row>
    <row r="13" spans="1:81" ht="14.1" customHeight="1" thickBot="1">
      <c r="B13" s="799"/>
      <c r="C13" s="167"/>
      <c r="D13" s="1829"/>
      <c r="E13" s="1829"/>
      <c r="F13" s="1829"/>
      <c r="G13" s="1829"/>
      <c r="H13" s="1829"/>
      <c r="I13" s="1829"/>
      <c r="J13" s="1829"/>
      <c r="K13" s="1829"/>
      <c r="L13" s="1829"/>
      <c r="M13" s="1829"/>
      <c r="N13" s="800"/>
      <c r="O13" s="146"/>
      <c r="P13" s="1173"/>
      <c r="Q13" s="1173"/>
      <c r="R13" s="1173"/>
      <c r="S13" s="1173"/>
      <c r="T13" s="1173"/>
      <c r="U13" s="1173"/>
      <c r="V13" s="798"/>
      <c r="W13" s="2136"/>
      <c r="X13" s="2137"/>
      <c r="Y13" s="2138"/>
      <c r="Z13" s="1266"/>
      <c r="AA13" s="1266"/>
      <c r="AB13" s="1266"/>
      <c r="AC13" s="1266"/>
      <c r="AD13" s="1266"/>
      <c r="AE13" s="1266"/>
      <c r="AF13" s="1266"/>
      <c r="AG13" s="1266"/>
      <c r="AH13" s="1266"/>
      <c r="AI13" s="1267"/>
      <c r="AJ13" s="796"/>
      <c r="AK13" s="125"/>
      <c r="AL13" s="125"/>
      <c r="AM13" s="125"/>
      <c r="AN13" s="125"/>
      <c r="AP13" s="799"/>
      <c r="AQ13" s="167"/>
      <c r="AR13" s="1829"/>
      <c r="AS13" s="1829"/>
      <c r="AT13" s="1829"/>
      <c r="AU13" s="1829"/>
      <c r="AV13" s="1829"/>
      <c r="AW13" s="1829"/>
      <c r="AX13" s="1829"/>
      <c r="AY13" s="1829"/>
      <c r="AZ13" s="1829"/>
      <c r="BA13" s="1829"/>
      <c r="BB13" s="800"/>
      <c r="BC13" s="146"/>
      <c r="BD13" s="1173"/>
      <c r="BE13" s="1173"/>
      <c r="BF13" s="1173"/>
      <c r="BG13" s="1173"/>
      <c r="BH13" s="1173"/>
      <c r="BI13" s="1173"/>
      <c r="BJ13" s="798"/>
      <c r="BK13" s="2136"/>
      <c r="BL13" s="2137"/>
      <c r="BM13" s="2138"/>
      <c r="BN13" s="1266"/>
      <c r="BO13" s="1266"/>
      <c r="BP13" s="1266"/>
      <c r="BQ13" s="1266"/>
      <c r="BR13" s="1266"/>
      <c r="BS13" s="1266"/>
      <c r="BT13" s="1266"/>
      <c r="BU13" s="1266"/>
      <c r="BV13" s="1266"/>
      <c r="BW13" s="1267"/>
      <c r="CB13" s="2123"/>
      <c r="CC13" s="1472"/>
    </row>
    <row r="14" spans="1:81" ht="30" customHeight="1" thickTop="1" thickBot="1">
      <c r="B14" s="1405" t="s">
        <v>616</v>
      </c>
      <c r="C14" s="2124"/>
      <c r="D14" s="801"/>
      <c r="E14" s="794"/>
      <c r="F14" s="794"/>
      <c r="G14" s="1205" t="s">
        <v>276</v>
      </c>
      <c r="H14" s="1205"/>
      <c r="I14" s="1205"/>
      <c r="J14" s="1205"/>
      <c r="K14" s="794"/>
      <c r="L14" s="794"/>
      <c r="M14" s="794"/>
      <c r="N14" s="146"/>
      <c r="O14" s="1868"/>
      <c r="P14" s="1869"/>
      <c r="Q14" s="1869"/>
      <c r="R14" s="1869"/>
      <c r="S14" s="1869"/>
      <c r="T14" s="1869"/>
      <c r="U14" s="1869"/>
      <c r="V14" s="1870"/>
      <c r="W14" s="1871"/>
      <c r="X14" s="1872"/>
      <c r="Y14" s="1873"/>
      <c r="Z14" s="2129" t="s">
        <v>617</v>
      </c>
      <c r="AA14" s="2129"/>
      <c r="AB14" s="2129"/>
      <c r="AC14" s="2129"/>
      <c r="AD14" s="2129"/>
      <c r="AE14" s="2129"/>
      <c r="AF14" s="2129"/>
      <c r="AG14" s="2129"/>
      <c r="AH14" s="2129"/>
      <c r="AI14" s="2130"/>
      <c r="AJ14" s="802"/>
      <c r="AK14" s="126"/>
      <c r="AL14" s="126"/>
      <c r="AM14" s="126"/>
      <c r="AN14" s="126"/>
      <c r="AP14" s="1405" t="s">
        <v>618</v>
      </c>
      <c r="AQ14" s="2124"/>
      <c r="AR14" s="801"/>
      <c r="AS14" s="794"/>
      <c r="AT14" s="794"/>
      <c r="AU14" s="1205" t="s">
        <v>276</v>
      </c>
      <c r="AV14" s="1205"/>
      <c r="AW14" s="1205"/>
      <c r="AX14" s="1205"/>
      <c r="AY14" s="794"/>
      <c r="AZ14" s="794"/>
      <c r="BA14" s="794"/>
      <c r="BB14" s="803"/>
      <c r="BC14" s="1868"/>
      <c r="BD14" s="1869"/>
      <c r="BE14" s="1869"/>
      <c r="BF14" s="1869"/>
      <c r="BG14" s="1869"/>
      <c r="BH14" s="1869"/>
      <c r="BI14" s="1869"/>
      <c r="BJ14" s="1870"/>
      <c r="BK14" s="1871"/>
      <c r="BL14" s="1872"/>
      <c r="BM14" s="1873"/>
      <c r="BN14" s="2129" t="s">
        <v>619</v>
      </c>
      <c r="BO14" s="2129"/>
      <c r="BP14" s="2129"/>
      <c r="BQ14" s="2129"/>
      <c r="BR14" s="2129"/>
      <c r="BS14" s="2129"/>
      <c r="BT14" s="2129"/>
      <c r="BU14" s="2129"/>
      <c r="BV14" s="2129"/>
      <c r="BW14" s="2130"/>
      <c r="BX14" s="802"/>
      <c r="CB14" s="804" t="s">
        <v>620</v>
      </c>
      <c r="CC14" s="203">
        <f>IF(OR(O14="",O14=0),SUMPRODUCT(O15:O114,W15:W114)/100,(O14*W14)/100)</f>
        <v>0</v>
      </c>
    </row>
    <row r="15" spans="1:81" ht="27.95" customHeight="1" thickTop="1">
      <c r="B15" s="2125"/>
      <c r="C15" s="2126"/>
      <c r="D15" s="1640"/>
      <c r="E15" s="1641"/>
      <c r="F15" s="1641"/>
      <c r="G15" s="1641"/>
      <c r="H15" s="1641"/>
      <c r="I15" s="1641"/>
      <c r="J15" s="1641"/>
      <c r="K15" s="1641"/>
      <c r="L15" s="1641"/>
      <c r="M15" s="1641"/>
      <c r="N15" s="1642"/>
      <c r="O15" s="2139"/>
      <c r="P15" s="2140"/>
      <c r="Q15" s="2140"/>
      <c r="R15" s="2140"/>
      <c r="S15" s="2140"/>
      <c r="T15" s="2140"/>
      <c r="U15" s="2140"/>
      <c r="V15" s="2141"/>
      <c r="W15" s="2142"/>
      <c r="X15" s="2143"/>
      <c r="Y15" s="2144"/>
      <c r="Z15" s="2131"/>
      <c r="AA15" s="2131"/>
      <c r="AB15" s="2131"/>
      <c r="AC15" s="2131"/>
      <c r="AD15" s="2131"/>
      <c r="AE15" s="2131"/>
      <c r="AF15" s="2131"/>
      <c r="AG15" s="2131"/>
      <c r="AH15" s="2131"/>
      <c r="AI15" s="2132"/>
      <c r="AJ15" s="802"/>
      <c r="AK15" s="126"/>
      <c r="AL15" s="126"/>
      <c r="AM15" s="126"/>
      <c r="AN15" s="126"/>
      <c r="AP15" s="2125"/>
      <c r="AQ15" s="2126"/>
      <c r="AR15" s="1640"/>
      <c r="AS15" s="1641"/>
      <c r="AT15" s="1641"/>
      <c r="AU15" s="1641"/>
      <c r="AV15" s="1641"/>
      <c r="AW15" s="1641"/>
      <c r="AX15" s="1641"/>
      <c r="AY15" s="1641"/>
      <c r="AZ15" s="1641"/>
      <c r="BA15" s="1641"/>
      <c r="BB15" s="1642"/>
      <c r="BC15" s="2139"/>
      <c r="BD15" s="2140"/>
      <c r="BE15" s="2140"/>
      <c r="BF15" s="2140"/>
      <c r="BG15" s="2140"/>
      <c r="BH15" s="2140"/>
      <c r="BI15" s="2140"/>
      <c r="BJ15" s="2141"/>
      <c r="BK15" s="2142"/>
      <c r="BL15" s="2143"/>
      <c r="BM15" s="2144"/>
      <c r="BN15" s="2131"/>
      <c r="BO15" s="2131"/>
      <c r="BP15" s="2131"/>
      <c r="BQ15" s="2131"/>
      <c r="BR15" s="2131"/>
      <c r="BS15" s="2131"/>
      <c r="BT15" s="2131"/>
      <c r="BU15" s="2131"/>
      <c r="BV15" s="2131"/>
      <c r="BW15" s="2132"/>
      <c r="BX15" s="802"/>
      <c r="CB15" s="804" t="s">
        <v>621</v>
      </c>
      <c r="CC15" s="203">
        <f>IF(OR(BC14="",BC14=0),SUMPRODUCT(BC15:BC114,BK15:BK114)/100,(BC14*BK14)/100)</f>
        <v>0</v>
      </c>
    </row>
    <row r="16" spans="1:81" ht="27.95" customHeight="1">
      <c r="B16" s="2125"/>
      <c r="C16" s="2126"/>
      <c r="D16" s="1640"/>
      <c r="E16" s="1641"/>
      <c r="F16" s="1641"/>
      <c r="G16" s="1641"/>
      <c r="H16" s="1641"/>
      <c r="I16" s="1641"/>
      <c r="J16" s="1641"/>
      <c r="K16" s="1641"/>
      <c r="L16" s="1641"/>
      <c r="M16" s="1641"/>
      <c r="N16" s="1642"/>
      <c r="O16" s="2114"/>
      <c r="P16" s="2115"/>
      <c r="Q16" s="2115"/>
      <c r="R16" s="2115"/>
      <c r="S16" s="2115"/>
      <c r="T16" s="2115"/>
      <c r="U16" s="2115"/>
      <c r="V16" s="2116"/>
      <c r="W16" s="1643"/>
      <c r="X16" s="1644"/>
      <c r="Y16" s="1645"/>
      <c r="Z16" s="2131"/>
      <c r="AA16" s="2131"/>
      <c r="AB16" s="2131"/>
      <c r="AC16" s="2131"/>
      <c r="AD16" s="2131"/>
      <c r="AE16" s="2131"/>
      <c r="AF16" s="2131"/>
      <c r="AG16" s="2131"/>
      <c r="AH16" s="2131"/>
      <c r="AI16" s="2132"/>
      <c r="AJ16" s="802"/>
      <c r="AK16" s="126"/>
      <c r="AL16" s="126"/>
      <c r="AM16" s="126"/>
      <c r="AN16" s="126"/>
      <c r="AP16" s="2125"/>
      <c r="AQ16" s="2126"/>
      <c r="AR16" s="1640"/>
      <c r="AS16" s="1641"/>
      <c r="AT16" s="1641"/>
      <c r="AU16" s="1641"/>
      <c r="AV16" s="1641"/>
      <c r="AW16" s="1641"/>
      <c r="AX16" s="1641"/>
      <c r="AY16" s="1641"/>
      <c r="AZ16" s="1641"/>
      <c r="BA16" s="1641"/>
      <c r="BB16" s="1642"/>
      <c r="BC16" s="2117"/>
      <c r="BD16" s="2118"/>
      <c r="BE16" s="2118"/>
      <c r="BF16" s="2118"/>
      <c r="BG16" s="2118"/>
      <c r="BH16" s="2118"/>
      <c r="BI16" s="2118"/>
      <c r="BJ16" s="2119"/>
      <c r="BK16" s="1643"/>
      <c r="BL16" s="1644"/>
      <c r="BM16" s="1645"/>
      <c r="BN16" s="2131"/>
      <c r="BO16" s="2131"/>
      <c r="BP16" s="2131"/>
      <c r="BQ16" s="2131"/>
      <c r="BR16" s="2131"/>
      <c r="BS16" s="2131"/>
      <c r="BT16" s="2131"/>
      <c r="BU16" s="2131"/>
      <c r="BV16" s="2131"/>
      <c r="BW16" s="2132"/>
      <c r="BX16" s="802"/>
    </row>
    <row r="17" spans="1:76" ht="27.95" customHeight="1">
      <c r="B17" s="2125"/>
      <c r="C17" s="2126"/>
      <c r="D17" s="1640"/>
      <c r="E17" s="1641"/>
      <c r="F17" s="1641"/>
      <c r="G17" s="1641"/>
      <c r="H17" s="1641"/>
      <c r="I17" s="1641"/>
      <c r="J17" s="1641"/>
      <c r="K17" s="1641"/>
      <c r="L17" s="1641"/>
      <c r="M17" s="1641"/>
      <c r="N17" s="1642"/>
      <c r="O17" s="2114"/>
      <c r="P17" s="2115"/>
      <c r="Q17" s="2115"/>
      <c r="R17" s="2115"/>
      <c r="S17" s="2115"/>
      <c r="T17" s="2115"/>
      <c r="U17" s="2115"/>
      <c r="V17" s="2116"/>
      <c r="W17" s="1643"/>
      <c r="X17" s="1644"/>
      <c r="Y17" s="1645"/>
      <c r="Z17" s="2131"/>
      <c r="AA17" s="2131"/>
      <c r="AB17" s="2131"/>
      <c r="AC17" s="2131"/>
      <c r="AD17" s="2131"/>
      <c r="AE17" s="2131"/>
      <c r="AF17" s="2131"/>
      <c r="AG17" s="2131"/>
      <c r="AH17" s="2131"/>
      <c r="AI17" s="2132"/>
      <c r="AJ17" s="802"/>
      <c r="AK17" s="126"/>
      <c r="AL17" s="126"/>
      <c r="AM17" s="126"/>
      <c r="AN17" s="126"/>
      <c r="AP17" s="2125"/>
      <c r="AQ17" s="2126"/>
      <c r="AR17" s="1640"/>
      <c r="AS17" s="1641"/>
      <c r="AT17" s="1641"/>
      <c r="AU17" s="1641"/>
      <c r="AV17" s="1641"/>
      <c r="AW17" s="1641"/>
      <c r="AX17" s="1641"/>
      <c r="AY17" s="1641"/>
      <c r="AZ17" s="1641"/>
      <c r="BA17" s="1641"/>
      <c r="BB17" s="1642"/>
      <c r="BC17" s="2117"/>
      <c r="BD17" s="2118"/>
      <c r="BE17" s="2118"/>
      <c r="BF17" s="2118"/>
      <c r="BG17" s="2118"/>
      <c r="BH17" s="2118"/>
      <c r="BI17" s="2118"/>
      <c r="BJ17" s="2119"/>
      <c r="BK17" s="1643"/>
      <c r="BL17" s="1644"/>
      <c r="BM17" s="1645"/>
      <c r="BN17" s="2131"/>
      <c r="BO17" s="2131"/>
      <c r="BP17" s="2131"/>
      <c r="BQ17" s="2131"/>
      <c r="BR17" s="2131"/>
      <c r="BS17" s="2131"/>
      <c r="BT17" s="2131"/>
      <c r="BU17" s="2131"/>
      <c r="BV17" s="2131"/>
      <c r="BW17" s="2132"/>
      <c r="BX17" s="802"/>
    </row>
    <row r="18" spans="1:76" ht="27.95" customHeight="1">
      <c r="B18" s="2125"/>
      <c r="C18" s="2126"/>
      <c r="D18" s="1640"/>
      <c r="E18" s="1641"/>
      <c r="F18" s="1641"/>
      <c r="G18" s="1641"/>
      <c r="H18" s="1641"/>
      <c r="I18" s="1641"/>
      <c r="J18" s="1641"/>
      <c r="K18" s="1641"/>
      <c r="L18" s="1641"/>
      <c r="M18" s="1641"/>
      <c r="N18" s="1642"/>
      <c r="O18" s="2114"/>
      <c r="P18" s="2115"/>
      <c r="Q18" s="2115"/>
      <c r="R18" s="2115"/>
      <c r="S18" s="2115"/>
      <c r="T18" s="2115"/>
      <c r="U18" s="2115"/>
      <c r="V18" s="2116"/>
      <c r="W18" s="1643"/>
      <c r="X18" s="1644"/>
      <c r="Y18" s="1645"/>
      <c r="Z18" s="2131"/>
      <c r="AA18" s="2131"/>
      <c r="AB18" s="2131"/>
      <c r="AC18" s="2131"/>
      <c r="AD18" s="2131"/>
      <c r="AE18" s="2131"/>
      <c r="AF18" s="2131"/>
      <c r="AG18" s="2131"/>
      <c r="AH18" s="2131"/>
      <c r="AI18" s="2132"/>
      <c r="AJ18" s="802"/>
      <c r="AK18" s="126"/>
      <c r="AL18" s="126"/>
      <c r="AM18" s="126"/>
      <c r="AN18" s="126"/>
      <c r="AP18" s="2125"/>
      <c r="AQ18" s="2126"/>
      <c r="AR18" s="1640"/>
      <c r="AS18" s="1641"/>
      <c r="AT18" s="1641"/>
      <c r="AU18" s="1641"/>
      <c r="AV18" s="1641"/>
      <c r="AW18" s="1641"/>
      <c r="AX18" s="1641"/>
      <c r="AY18" s="1641"/>
      <c r="AZ18" s="1641"/>
      <c r="BA18" s="1641"/>
      <c r="BB18" s="1642"/>
      <c r="BC18" s="2117"/>
      <c r="BD18" s="2118"/>
      <c r="BE18" s="2118"/>
      <c r="BF18" s="2118"/>
      <c r="BG18" s="2118"/>
      <c r="BH18" s="2118"/>
      <c r="BI18" s="2118"/>
      <c r="BJ18" s="2119"/>
      <c r="BK18" s="1643"/>
      <c r="BL18" s="1644"/>
      <c r="BM18" s="1645"/>
      <c r="BN18" s="2131"/>
      <c r="BO18" s="2131"/>
      <c r="BP18" s="2131"/>
      <c r="BQ18" s="2131"/>
      <c r="BR18" s="2131"/>
      <c r="BS18" s="2131"/>
      <c r="BT18" s="2131"/>
      <c r="BU18" s="2131"/>
      <c r="BV18" s="2131"/>
      <c r="BW18" s="2132"/>
      <c r="BX18" s="802"/>
    </row>
    <row r="19" spans="1:76" ht="27.95" customHeight="1">
      <c r="B19" s="2125"/>
      <c r="C19" s="2126"/>
      <c r="D19" s="1640"/>
      <c r="E19" s="1641"/>
      <c r="F19" s="1641"/>
      <c r="G19" s="1641"/>
      <c r="H19" s="1641"/>
      <c r="I19" s="1641"/>
      <c r="J19" s="1641"/>
      <c r="K19" s="1641"/>
      <c r="L19" s="1641"/>
      <c r="M19" s="1641"/>
      <c r="N19" s="1642"/>
      <c r="O19" s="2114"/>
      <c r="P19" s="2115"/>
      <c r="Q19" s="2115"/>
      <c r="R19" s="2115"/>
      <c r="S19" s="2115"/>
      <c r="T19" s="2115"/>
      <c r="U19" s="2115"/>
      <c r="V19" s="2116"/>
      <c r="W19" s="1643"/>
      <c r="X19" s="1644"/>
      <c r="Y19" s="1645"/>
      <c r="Z19" s="2131"/>
      <c r="AA19" s="2131"/>
      <c r="AB19" s="2131"/>
      <c r="AC19" s="2131"/>
      <c r="AD19" s="2131"/>
      <c r="AE19" s="2131"/>
      <c r="AF19" s="2131"/>
      <c r="AG19" s="2131"/>
      <c r="AH19" s="2131"/>
      <c r="AI19" s="2132"/>
      <c r="AJ19" s="802"/>
      <c r="AK19" s="126"/>
      <c r="AL19" s="126"/>
      <c r="AM19" s="126"/>
      <c r="AN19" s="126"/>
      <c r="AP19" s="2125"/>
      <c r="AQ19" s="2126"/>
      <c r="AR19" s="1640"/>
      <c r="AS19" s="1641"/>
      <c r="AT19" s="1641"/>
      <c r="AU19" s="1641"/>
      <c r="AV19" s="1641"/>
      <c r="AW19" s="1641"/>
      <c r="AX19" s="1641"/>
      <c r="AY19" s="1641"/>
      <c r="AZ19" s="1641"/>
      <c r="BA19" s="1641"/>
      <c r="BB19" s="1642"/>
      <c r="BC19" s="2117"/>
      <c r="BD19" s="2118"/>
      <c r="BE19" s="2118"/>
      <c r="BF19" s="2118"/>
      <c r="BG19" s="2118"/>
      <c r="BH19" s="2118"/>
      <c r="BI19" s="2118"/>
      <c r="BJ19" s="2119"/>
      <c r="BK19" s="1643"/>
      <c r="BL19" s="1644"/>
      <c r="BM19" s="1645"/>
      <c r="BN19" s="2131"/>
      <c r="BO19" s="2131"/>
      <c r="BP19" s="2131"/>
      <c r="BQ19" s="2131"/>
      <c r="BR19" s="2131"/>
      <c r="BS19" s="2131"/>
      <c r="BT19" s="2131"/>
      <c r="BU19" s="2131"/>
      <c r="BV19" s="2131"/>
      <c r="BW19" s="2132"/>
      <c r="BX19" s="802"/>
    </row>
    <row r="20" spans="1:76" ht="27.95" customHeight="1">
      <c r="B20" s="2125"/>
      <c r="C20" s="2126"/>
      <c r="D20" s="1640"/>
      <c r="E20" s="1641"/>
      <c r="F20" s="1641"/>
      <c r="G20" s="1641"/>
      <c r="H20" s="1641"/>
      <c r="I20" s="1641"/>
      <c r="J20" s="1641"/>
      <c r="K20" s="1641"/>
      <c r="L20" s="1641"/>
      <c r="M20" s="1641"/>
      <c r="N20" s="1642"/>
      <c r="O20" s="2114"/>
      <c r="P20" s="2115"/>
      <c r="Q20" s="2115"/>
      <c r="R20" s="2115"/>
      <c r="S20" s="2115"/>
      <c r="T20" s="2115"/>
      <c r="U20" s="2115"/>
      <c r="V20" s="2116"/>
      <c r="W20" s="1643"/>
      <c r="X20" s="1644"/>
      <c r="Y20" s="1645"/>
      <c r="Z20" s="2131"/>
      <c r="AA20" s="2131"/>
      <c r="AB20" s="2131"/>
      <c r="AC20" s="2131"/>
      <c r="AD20" s="2131"/>
      <c r="AE20" s="2131"/>
      <c r="AF20" s="2131"/>
      <c r="AG20" s="2131"/>
      <c r="AH20" s="2131"/>
      <c r="AI20" s="2132"/>
      <c r="AJ20" s="802"/>
      <c r="AK20" s="126"/>
      <c r="AL20" s="126"/>
      <c r="AM20" s="126"/>
      <c r="AN20" s="126"/>
      <c r="AP20" s="2125"/>
      <c r="AQ20" s="2126"/>
      <c r="AR20" s="1640"/>
      <c r="AS20" s="1641"/>
      <c r="AT20" s="1641"/>
      <c r="AU20" s="1641"/>
      <c r="AV20" s="1641"/>
      <c r="AW20" s="1641"/>
      <c r="AX20" s="1641"/>
      <c r="AY20" s="1641"/>
      <c r="AZ20" s="1641"/>
      <c r="BA20" s="1641"/>
      <c r="BB20" s="1642"/>
      <c r="BC20" s="2117"/>
      <c r="BD20" s="2118"/>
      <c r="BE20" s="2118"/>
      <c r="BF20" s="2118"/>
      <c r="BG20" s="2118"/>
      <c r="BH20" s="2118"/>
      <c r="BI20" s="2118"/>
      <c r="BJ20" s="2119"/>
      <c r="BK20" s="1643"/>
      <c r="BL20" s="1644"/>
      <c r="BM20" s="1645"/>
      <c r="BN20" s="2131"/>
      <c r="BO20" s="2131"/>
      <c r="BP20" s="2131"/>
      <c r="BQ20" s="2131"/>
      <c r="BR20" s="2131"/>
      <c r="BS20" s="2131"/>
      <c r="BT20" s="2131"/>
      <c r="BU20" s="2131"/>
      <c r="BV20" s="2131"/>
      <c r="BW20" s="2132"/>
      <c r="BX20" s="802"/>
    </row>
    <row r="21" spans="1:76" ht="27.95" customHeight="1">
      <c r="B21" s="2125"/>
      <c r="C21" s="2126"/>
      <c r="D21" s="1640"/>
      <c r="E21" s="1641"/>
      <c r="F21" s="1641"/>
      <c r="G21" s="1641"/>
      <c r="H21" s="1641"/>
      <c r="I21" s="1641"/>
      <c r="J21" s="1641"/>
      <c r="K21" s="1641"/>
      <c r="L21" s="1641"/>
      <c r="M21" s="1641"/>
      <c r="N21" s="1642"/>
      <c r="O21" s="2114"/>
      <c r="P21" s="2115"/>
      <c r="Q21" s="2115"/>
      <c r="R21" s="2115"/>
      <c r="S21" s="2115"/>
      <c r="T21" s="2115"/>
      <c r="U21" s="2115"/>
      <c r="V21" s="2116"/>
      <c r="W21" s="1643"/>
      <c r="X21" s="1644"/>
      <c r="Y21" s="1645"/>
      <c r="Z21" s="2131"/>
      <c r="AA21" s="2131"/>
      <c r="AB21" s="2131"/>
      <c r="AC21" s="2131"/>
      <c r="AD21" s="2131"/>
      <c r="AE21" s="2131"/>
      <c r="AF21" s="2131"/>
      <c r="AG21" s="2131"/>
      <c r="AH21" s="2131"/>
      <c r="AI21" s="2132"/>
      <c r="AJ21" s="802"/>
      <c r="AK21" s="126"/>
      <c r="AL21" s="126"/>
      <c r="AM21" s="126"/>
      <c r="AN21" s="126"/>
      <c r="AP21" s="2125"/>
      <c r="AQ21" s="2126"/>
      <c r="AR21" s="1640"/>
      <c r="AS21" s="1641"/>
      <c r="AT21" s="1641"/>
      <c r="AU21" s="1641"/>
      <c r="AV21" s="1641"/>
      <c r="AW21" s="1641"/>
      <c r="AX21" s="1641"/>
      <c r="AY21" s="1641"/>
      <c r="AZ21" s="1641"/>
      <c r="BA21" s="1641"/>
      <c r="BB21" s="1642"/>
      <c r="BC21" s="2117"/>
      <c r="BD21" s="2118"/>
      <c r="BE21" s="2118"/>
      <c r="BF21" s="2118"/>
      <c r="BG21" s="2118"/>
      <c r="BH21" s="2118"/>
      <c r="BI21" s="2118"/>
      <c r="BJ21" s="2119"/>
      <c r="BK21" s="1643"/>
      <c r="BL21" s="1644"/>
      <c r="BM21" s="1645"/>
      <c r="BN21" s="2131"/>
      <c r="BO21" s="2131"/>
      <c r="BP21" s="2131"/>
      <c r="BQ21" s="2131"/>
      <c r="BR21" s="2131"/>
      <c r="BS21" s="2131"/>
      <c r="BT21" s="2131"/>
      <c r="BU21" s="2131"/>
      <c r="BV21" s="2131"/>
      <c r="BW21" s="2132"/>
      <c r="BX21" s="802"/>
    </row>
    <row r="22" spans="1:76" ht="27.95" customHeight="1">
      <c r="B22" s="2125"/>
      <c r="C22" s="2126"/>
      <c r="D22" s="1640"/>
      <c r="E22" s="1641"/>
      <c r="F22" s="1641"/>
      <c r="G22" s="1641"/>
      <c r="H22" s="1641"/>
      <c r="I22" s="1641"/>
      <c r="J22" s="1641"/>
      <c r="K22" s="1641"/>
      <c r="L22" s="1641"/>
      <c r="M22" s="1641"/>
      <c r="N22" s="1642"/>
      <c r="O22" s="2114"/>
      <c r="P22" s="2115"/>
      <c r="Q22" s="2115"/>
      <c r="R22" s="2115"/>
      <c r="S22" s="2115"/>
      <c r="T22" s="2115"/>
      <c r="U22" s="2115"/>
      <c r="V22" s="2116"/>
      <c r="W22" s="1643"/>
      <c r="X22" s="1644"/>
      <c r="Y22" s="1645"/>
      <c r="Z22" s="2131"/>
      <c r="AA22" s="2131"/>
      <c r="AB22" s="2131"/>
      <c r="AC22" s="2131"/>
      <c r="AD22" s="2131"/>
      <c r="AE22" s="2131"/>
      <c r="AF22" s="2131"/>
      <c r="AG22" s="2131"/>
      <c r="AH22" s="2131"/>
      <c r="AI22" s="2132"/>
      <c r="AJ22" s="802"/>
      <c r="AK22" s="126"/>
      <c r="AL22" s="126"/>
      <c r="AM22" s="126"/>
      <c r="AN22" s="126"/>
      <c r="AP22" s="2125"/>
      <c r="AQ22" s="2126"/>
      <c r="AR22" s="1640"/>
      <c r="AS22" s="1641"/>
      <c r="AT22" s="1641"/>
      <c r="AU22" s="1641"/>
      <c r="AV22" s="1641"/>
      <c r="AW22" s="1641"/>
      <c r="AX22" s="1641"/>
      <c r="AY22" s="1641"/>
      <c r="AZ22" s="1641"/>
      <c r="BA22" s="1641"/>
      <c r="BB22" s="1642"/>
      <c r="BC22" s="2117"/>
      <c r="BD22" s="2118"/>
      <c r="BE22" s="2118"/>
      <c r="BF22" s="2118"/>
      <c r="BG22" s="2118"/>
      <c r="BH22" s="2118"/>
      <c r="BI22" s="2118"/>
      <c r="BJ22" s="2119"/>
      <c r="BK22" s="1643"/>
      <c r="BL22" s="1644"/>
      <c r="BM22" s="1645"/>
      <c r="BN22" s="2131"/>
      <c r="BO22" s="2131"/>
      <c r="BP22" s="2131"/>
      <c r="BQ22" s="2131"/>
      <c r="BR22" s="2131"/>
      <c r="BS22" s="2131"/>
      <c r="BT22" s="2131"/>
      <c r="BU22" s="2131"/>
      <c r="BV22" s="2131"/>
      <c r="BW22" s="2132"/>
      <c r="BX22" s="802"/>
    </row>
    <row r="23" spans="1:76" ht="27.95" customHeight="1">
      <c r="B23" s="2125"/>
      <c r="C23" s="2126"/>
      <c r="D23" s="1640"/>
      <c r="E23" s="1641"/>
      <c r="F23" s="1641"/>
      <c r="G23" s="1641"/>
      <c r="H23" s="1641"/>
      <c r="I23" s="1641"/>
      <c r="J23" s="1641"/>
      <c r="K23" s="1641"/>
      <c r="L23" s="1641"/>
      <c r="M23" s="1641"/>
      <c r="N23" s="1642"/>
      <c r="O23" s="2114"/>
      <c r="P23" s="2115"/>
      <c r="Q23" s="2115"/>
      <c r="R23" s="2115"/>
      <c r="S23" s="2115"/>
      <c r="T23" s="2115"/>
      <c r="U23" s="2115"/>
      <c r="V23" s="2116"/>
      <c r="W23" s="1643"/>
      <c r="X23" s="1644"/>
      <c r="Y23" s="1645"/>
      <c r="Z23" s="2131"/>
      <c r="AA23" s="2131"/>
      <c r="AB23" s="2131"/>
      <c r="AC23" s="2131"/>
      <c r="AD23" s="2131"/>
      <c r="AE23" s="2131"/>
      <c r="AF23" s="2131"/>
      <c r="AG23" s="2131"/>
      <c r="AH23" s="2131"/>
      <c r="AI23" s="2132"/>
      <c r="AJ23" s="802"/>
      <c r="AK23" s="126"/>
      <c r="AL23" s="126"/>
      <c r="AM23" s="126"/>
      <c r="AN23" s="126"/>
      <c r="AP23" s="2125"/>
      <c r="AQ23" s="2126"/>
      <c r="AR23" s="1640"/>
      <c r="AS23" s="1641"/>
      <c r="AT23" s="1641"/>
      <c r="AU23" s="1641"/>
      <c r="AV23" s="1641"/>
      <c r="AW23" s="1641"/>
      <c r="AX23" s="1641"/>
      <c r="AY23" s="1641"/>
      <c r="AZ23" s="1641"/>
      <c r="BA23" s="1641"/>
      <c r="BB23" s="1642"/>
      <c r="BC23" s="2117"/>
      <c r="BD23" s="2118"/>
      <c r="BE23" s="2118"/>
      <c r="BF23" s="2118"/>
      <c r="BG23" s="2118"/>
      <c r="BH23" s="2118"/>
      <c r="BI23" s="2118"/>
      <c r="BJ23" s="2119"/>
      <c r="BK23" s="1643"/>
      <c r="BL23" s="1644"/>
      <c r="BM23" s="1645"/>
      <c r="BN23" s="2131"/>
      <c r="BO23" s="2131"/>
      <c r="BP23" s="2131"/>
      <c r="BQ23" s="2131"/>
      <c r="BR23" s="2131"/>
      <c r="BS23" s="2131"/>
      <c r="BT23" s="2131"/>
      <c r="BU23" s="2131"/>
      <c r="BV23" s="2131"/>
      <c r="BW23" s="2132"/>
      <c r="BX23" s="802"/>
    </row>
    <row r="24" spans="1:76" ht="27.95" customHeight="1">
      <c r="B24" s="2125"/>
      <c r="C24" s="2126"/>
      <c r="D24" s="1640"/>
      <c r="E24" s="1641"/>
      <c r="F24" s="1641"/>
      <c r="G24" s="1641"/>
      <c r="H24" s="1641"/>
      <c r="I24" s="1641"/>
      <c r="J24" s="1641"/>
      <c r="K24" s="1641"/>
      <c r="L24" s="1641"/>
      <c r="M24" s="1641"/>
      <c r="N24" s="1642"/>
      <c r="O24" s="2114"/>
      <c r="P24" s="2115"/>
      <c r="Q24" s="2115"/>
      <c r="R24" s="2115"/>
      <c r="S24" s="2115"/>
      <c r="T24" s="2115"/>
      <c r="U24" s="2115"/>
      <c r="V24" s="2116"/>
      <c r="W24" s="1643"/>
      <c r="X24" s="1644"/>
      <c r="Y24" s="1645"/>
      <c r="Z24" s="2131"/>
      <c r="AA24" s="2131"/>
      <c r="AB24" s="2131"/>
      <c r="AC24" s="2131"/>
      <c r="AD24" s="2131"/>
      <c r="AE24" s="2131"/>
      <c r="AF24" s="2131"/>
      <c r="AG24" s="2131"/>
      <c r="AH24" s="2131"/>
      <c r="AI24" s="2132"/>
      <c r="AJ24" s="802"/>
      <c r="AK24" s="126"/>
      <c r="AL24" s="126"/>
      <c r="AM24" s="126"/>
      <c r="AN24" s="126"/>
      <c r="AP24" s="2125"/>
      <c r="AQ24" s="2126"/>
      <c r="AR24" s="1640"/>
      <c r="AS24" s="1641"/>
      <c r="AT24" s="1641"/>
      <c r="AU24" s="1641"/>
      <c r="AV24" s="1641"/>
      <c r="AW24" s="1641"/>
      <c r="AX24" s="1641"/>
      <c r="AY24" s="1641"/>
      <c r="AZ24" s="1641"/>
      <c r="BA24" s="1641"/>
      <c r="BB24" s="1642"/>
      <c r="BC24" s="2117"/>
      <c r="BD24" s="2118"/>
      <c r="BE24" s="2118"/>
      <c r="BF24" s="2118"/>
      <c r="BG24" s="2118"/>
      <c r="BH24" s="2118"/>
      <c r="BI24" s="2118"/>
      <c r="BJ24" s="2119"/>
      <c r="BK24" s="1643"/>
      <c r="BL24" s="1644"/>
      <c r="BM24" s="1645"/>
      <c r="BN24" s="2131"/>
      <c r="BO24" s="2131"/>
      <c r="BP24" s="2131"/>
      <c r="BQ24" s="2131"/>
      <c r="BR24" s="2131"/>
      <c r="BS24" s="2131"/>
      <c r="BT24" s="2131"/>
      <c r="BU24" s="2131"/>
      <c r="BV24" s="2131"/>
      <c r="BW24" s="2132"/>
      <c r="BX24" s="802"/>
    </row>
    <row r="25" spans="1:76" ht="27.95" customHeight="1">
      <c r="B25" s="2125"/>
      <c r="C25" s="2126"/>
      <c r="D25" s="1640"/>
      <c r="E25" s="1641"/>
      <c r="F25" s="1641"/>
      <c r="G25" s="1641"/>
      <c r="H25" s="1641"/>
      <c r="I25" s="1641"/>
      <c r="J25" s="1641"/>
      <c r="K25" s="1641"/>
      <c r="L25" s="1641"/>
      <c r="M25" s="1641"/>
      <c r="N25" s="1642"/>
      <c r="O25" s="2114"/>
      <c r="P25" s="2115"/>
      <c r="Q25" s="2115"/>
      <c r="R25" s="2115"/>
      <c r="S25" s="2115"/>
      <c r="T25" s="2115"/>
      <c r="U25" s="2115"/>
      <c r="V25" s="2116"/>
      <c r="W25" s="1643"/>
      <c r="X25" s="1644"/>
      <c r="Y25" s="1645"/>
      <c r="Z25" s="2131"/>
      <c r="AA25" s="2131"/>
      <c r="AB25" s="2131"/>
      <c r="AC25" s="2131"/>
      <c r="AD25" s="2131"/>
      <c r="AE25" s="2131"/>
      <c r="AF25" s="2131"/>
      <c r="AG25" s="2131"/>
      <c r="AH25" s="2131"/>
      <c r="AI25" s="2132"/>
      <c r="AJ25" s="802"/>
      <c r="AK25" s="126"/>
      <c r="AL25" s="126"/>
      <c r="AM25" s="126"/>
      <c r="AN25" s="126"/>
      <c r="AP25" s="2125"/>
      <c r="AQ25" s="2126"/>
      <c r="AR25" s="1640"/>
      <c r="AS25" s="1641"/>
      <c r="AT25" s="1641"/>
      <c r="AU25" s="1641"/>
      <c r="AV25" s="1641"/>
      <c r="AW25" s="1641"/>
      <c r="AX25" s="1641"/>
      <c r="AY25" s="1641"/>
      <c r="AZ25" s="1641"/>
      <c r="BA25" s="1641"/>
      <c r="BB25" s="1642"/>
      <c r="BC25" s="2117"/>
      <c r="BD25" s="2118"/>
      <c r="BE25" s="2118"/>
      <c r="BF25" s="2118"/>
      <c r="BG25" s="2118"/>
      <c r="BH25" s="2118"/>
      <c r="BI25" s="2118"/>
      <c r="BJ25" s="2119"/>
      <c r="BK25" s="1643"/>
      <c r="BL25" s="1644"/>
      <c r="BM25" s="1645"/>
      <c r="BN25" s="2131"/>
      <c r="BO25" s="2131"/>
      <c r="BP25" s="2131"/>
      <c r="BQ25" s="2131"/>
      <c r="BR25" s="2131"/>
      <c r="BS25" s="2131"/>
      <c r="BT25" s="2131"/>
      <c r="BU25" s="2131"/>
      <c r="BV25" s="2131"/>
      <c r="BW25" s="2132"/>
      <c r="BX25" s="802"/>
    </row>
    <row r="26" spans="1:76" ht="27.95" customHeight="1">
      <c r="A26" s="805"/>
      <c r="B26" s="2125"/>
      <c r="C26" s="2126"/>
      <c r="D26" s="1640"/>
      <c r="E26" s="1641"/>
      <c r="F26" s="1641"/>
      <c r="G26" s="1641"/>
      <c r="H26" s="1641"/>
      <c r="I26" s="1641"/>
      <c r="J26" s="1641"/>
      <c r="K26" s="1641"/>
      <c r="L26" s="1641"/>
      <c r="M26" s="1641"/>
      <c r="N26" s="1642"/>
      <c r="O26" s="2114"/>
      <c r="P26" s="2115"/>
      <c r="Q26" s="2115"/>
      <c r="R26" s="2115"/>
      <c r="S26" s="2115"/>
      <c r="T26" s="2115"/>
      <c r="U26" s="2115"/>
      <c r="V26" s="2116"/>
      <c r="W26" s="1643"/>
      <c r="X26" s="1644"/>
      <c r="Y26" s="1645"/>
      <c r="Z26" s="2131"/>
      <c r="AA26" s="2131"/>
      <c r="AB26" s="2131"/>
      <c r="AC26" s="2131"/>
      <c r="AD26" s="2131"/>
      <c r="AE26" s="2131"/>
      <c r="AF26" s="2131"/>
      <c r="AG26" s="2131"/>
      <c r="AH26" s="2131"/>
      <c r="AI26" s="2132"/>
      <c r="AJ26" s="802"/>
      <c r="AK26" s="126"/>
      <c r="AL26" s="126"/>
      <c r="AM26" s="126"/>
      <c r="AN26" s="126"/>
      <c r="AP26" s="2125"/>
      <c r="AQ26" s="2126"/>
      <c r="AR26" s="1640"/>
      <c r="AS26" s="1641"/>
      <c r="AT26" s="1641"/>
      <c r="AU26" s="1641"/>
      <c r="AV26" s="1641"/>
      <c r="AW26" s="1641"/>
      <c r="AX26" s="1641"/>
      <c r="AY26" s="1641"/>
      <c r="AZ26" s="1641"/>
      <c r="BA26" s="1641"/>
      <c r="BB26" s="1642"/>
      <c r="BC26" s="2117"/>
      <c r="BD26" s="2118"/>
      <c r="BE26" s="2118"/>
      <c r="BF26" s="2118"/>
      <c r="BG26" s="2118"/>
      <c r="BH26" s="2118"/>
      <c r="BI26" s="2118"/>
      <c r="BJ26" s="2119"/>
      <c r="BK26" s="1643"/>
      <c r="BL26" s="1644"/>
      <c r="BM26" s="1645"/>
      <c r="BN26" s="2131"/>
      <c r="BO26" s="2131"/>
      <c r="BP26" s="2131"/>
      <c r="BQ26" s="2131"/>
      <c r="BR26" s="2131"/>
      <c r="BS26" s="2131"/>
      <c r="BT26" s="2131"/>
      <c r="BU26" s="2131"/>
      <c r="BV26" s="2131"/>
      <c r="BW26" s="2132"/>
      <c r="BX26" s="802"/>
    </row>
    <row r="27" spans="1:76" ht="27.95" customHeight="1">
      <c r="B27" s="2125"/>
      <c r="C27" s="2126"/>
      <c r="D27" s="1640"/>
      <c r="E27" s="1641"/>
      <c r="F27" s="1641"/>
      <c r="G27" s="1641"/>
      <c r="H27" s="1641"/>
      <c r="I27" s="1641"/>
      <c r="J27" s="1641"/>
      <c r="K27" s="1641"/>
      <c r="L27" s="1641"/>
      <c r="M27" s="1641"/>
      <c r="N27" s="1642"/>
      <c r="O27" s="2114"/>
      <c r="P27" s="2115"/>
      <c r="Q27" s="2115"/>
      <c r="R27" s="2115"/>
      <c r="S27" s="2115"/>
      <c r="T27" s="2115"/>
      <c r="U27" s="2115"/>
      <c r="V27" s="2116"/>
      <c r="W27" s="1643"/>
      <c r="X27" s="1644"/>
      <c r="Y27" s="1645"/>
      <c r="Z27" s="2131"/>
      <c r="AA27" s="2131"/>
      <c r="AB27" s="2131"/>
      <c r="AC27" s="2131"/>
      <c r="AD27" s="2131"/>
      <c r="AE27" s="2131"/>
      <c r="AF27" s="2131"/>
      <c r="AG27" s="2131"/>
      <c r="AH27" s="2131"/>
      <c r="AI27" s="2132"/>
      <c r="AJ27" s="802"/>
      <c r="AK27" s="126"/>
      <c r="AL27" s="126"/>
      <c r="AM27" s="126"/>
      <c r="AN27" s="126"/>
      <c r="AP27" s="2125"/>
      <c r="AQ27" s="2126"/>
      <c r="AR27" s="1640"/>
      <c r="AS27" s="1641"/>
      <c r="AT27" s="1641"/>
      <c r="AU27" s="1641"/>
      <c r="AV27" s="1641"/>
      <c r="AW27" s="1641"/>
      <c r="AX27" s="1641"/>
      <c r="AY27" s="1641"/>
      <c r="AZ27" s="1641"/>
      <c r="BA27" s="1641"/>
      <c r="BB27" s="1642"/>
      <c r="BC27" s="2117"/>
      <c r="BD27" s="2118"/>
      <c r="BE27" s="2118"/>
      <c r="BF27" s="2118"/>
      <c r="BG27" s="2118"/>
      <c r="BH27" s="2118"/>
      <c r="BI27" s="2118"/>
      <c r="BJ27" s="2119"/>
      <c r="BK27" s="1643"/>
      <c r="BL27" s="1644"/>
      <c r="BM27" s="1645"/>
      <c r="BN27" s="2131"/>
      <c r="BO27" s="2131"/>
      <c r="BP27" s="2131"/>
      <c r="BQ27" s="2131"/>
      <c r="BR27" s="2131"/>
      <c r="BS27" s="2131"/>
      <c r="BT27" s="2131"/>
      <c r="BU27" s="2131"/>
      <c r="BV27" s="2131"/>
      <c r="BW27" s="2132"/>
      <c r="BX27" s="802"/>
    </row>
    <row r="28" spans="1:76" ht="27.95" customHeight="1">
      <c r="B28" s="2125"/>
      <c r="C28" s="2126"/>
      <c r="D28" s="1640"/>
      <c r="E28" s="1641"/>
      <c r="F28" s="1641"/>
      <c r="G28" s="1641"/>
      <c r="H28" s="1641"/>
      <c r="I28" s="1641"/>
      <c r="J28" s="1641"/>
      <c r="K28" s="1641"/>
      <c r="L28" s="1641"/>
      <c r="M28" s="1641"/>
      <c r="N28" s="1642"/>
      <c r="O28" s="2114"/>
      <c r="P28" s="2115"/>
      <c r="Q28" s="2115"/>
      <c r="R28" s="2115"/>
      <c r="S28" s="2115"/>
      <c r="T28" s="2115"/>
      <c r="U28" s="2115"/>
      <c r="V28" s="2116"/>
      <c r="W28" s="1643"/>
      <c r="X28" s="1644"/>
      <c r="Y28" s="1645"/>
      <c r="Z28" s="2131"/>
      <c r="AA28" s="2131"/>
      <c r="AB28" s="2131"/>
      <c r="AC28" s="2131"/>
      <c r="AD28" s="2131"/>
      <c r="AE28" s="2131"/>
      <c r="AF28" s="2131"/>
      <c r="AG28" s="2131"/>
      <c r="AH28" s="2131"/>
      <c r="AI28" s="2132"/>
      <c r="AJ28" s="802"/>
      <c r="AK28" s="126"/>
      <c r="AL28" s="126"/>
      <c r="AM28" s="126"/>
      <c r="AN28" s="126"/>
      <c r="AP28" s="2125"/>
      <c r="AQ28" s="2126"/>
      <c r="AR28" s="1640"/>
      <c r="AS28" s="1641"/>
      <c r="AT28" s="1641"/>
      <c r="AU28" s="1641"/>
      <c r="AV28" s="1641"/>
      <c r="AW28" s="1641"/>
      <c r="AX28" s="1641"/>
      <c r="AY28" s="1641"/>
      <c r="AZ28" s="1641"/>
      <c r="BA28" s="1641"/>
      <c r="BB28" s="1642"/>
      <c r="BC28" s="2117"/>
      <c r="BD28" s="2118"/>
      <c r="BE28" s="2118"/>
      <c r="BF28" s="2118"/>
      <c r="BG28" s="2118"/>
      <c r="BH28" s="2118"/>
      <c r="BI28" s="2118"/>
      <c r="BJ28" s="2119"/>
      <c r="BK28" s="1643"/>
      <c r="BL28" s="1644"/>
      <c r="BM28" s="1645"/>
      <c r="BN28" s="2131"/>
      <c r="BO28" s="2131"/>
      <c r="BP28" s="2131"/>
      <c r="BQ28" s="2131"/>
      <c r="BR28" s="2131"/>
      <c r="BS28" s="2131"/>
      <c r="BT28" s="2131"/>
      <c r="BU28" s="2131"/>
      <c r="BV28" s="2131"/>
      <c r="BW28" s="2132"/>
      <c r="BX28" s="802"/>
    </row>
    <row r="29" spans="1:76" ht="27.95" customHeight="1">
      <c r="B29" s="2125"/>
      <c r="C29" s="2126"/>
      <c r="D29" s="1640"/>
      <c r="E29" s="1641"/>
      <c r="F29" s="1641"/>
      <c r="G29" s="1641"/>
      <c r="H29" s="1641"/>
      <c r="I29" s="1641"/>
      <c r="J29" s="1641"/>
      <c r="K29" s="1641"/>
      <c r="L29" s="1641"/>
      <c r="M29" s="1641"/>
      <c r="N29" s="1642"/>
      <c r="O29" s="2114"/>
      <c r="P29" s="2115"/>
      <c r="Q29" s="2115"/>
      <c r="R29" s="2115"/>
      <c r="S29" s="2115"/>
      <c r="T29" s="2115"/>
      <c r="U29" s="2115"/>
      <c r="V29" s="2116"/>
      <c r="W29" s="1643"/>
      <c r="X29" s="1644"/>
      <c r="Y29" s="1645"/>
      <c r="Z29" s="2131"/>
      <c r="AA29" s="2131"/>
      <c r="AB29" s="2131"/>
      <c r="AC29" s="2131"/>
      <c r="AD29" s="2131"/>
      <c r="AE29" s="2131"/>
      <c r="AF29" s="2131"/>
      <c r="AG29" s="2131"/>
      <c r="AH29" s="2131"/>
      <c r="AI29" s="2132"/>
      <c r="AJ29" s="802"/>
      <c r="AK29" s="126"/>
      <c r="AL29" s="126"/>
      <c r="AM29" s="126"/>
      <c r="AN29" s="126"/>
      <c r="AP29" s="2125"/>
      <c r="AQ29" s="2126"/>
      <c r="AR29" s="1640"/>
      <c r="AS29" s="1641"/>
      <c r="AT29" s="1641"/>
      <c r="AU29" s="1641"/>
      <c r="AV29" s="1641"/>
      <c r="AW29" s="1641"/>
      <c r="AX29" s="1641"/>
      <c r="AY29" s="1641"/>
      <c r="AZ29" s="1641"/>
      <c r="BA29" s="1641"/>
      <c r="BB29" s="1642"/>
      <c r="BC29" s="2117"/>
      <c r="BD29" s="2118"/>
      <c r="BE29" s="2118"/>
      <c r="BF29" s="2118"/>
      <c r="BG29" s="2118"/>
      <c r="BH29" s="2118"/>
      <c r="BI29" s="2118"/>
      <c r="BJ29" s="2119"/>
      <c r="BK29" s="1643"/>
      <c r="BL29" s="1644"/>
      <c r="BM29" s="1645"/>
      <c r="BN29" s="2131"/>
      <c r="BO29" s="2131"/>
      <c r="BP29" s="2131"/>
      <c r="BQ29" s="2131"/>
      <c r="BR29" s="2131"/>
      <c r="BS29" s="2131"/>
      <c r="BT29" s="2131"/>
      <c r="BU29" s="2131"/>
      <c r="BV29" s="2131"/>
      <c r="BW29" s="2132"/>
      <c r="BX29" s="802"/>
    </row>
    <row r="30" spans="1:76" ht="27.95" customHeight="1">
      <c r="B30" s="2125"/>
      <c r="C30" s="2126"/>
      <c r="D30" s="1640"/>
      <c r="E30" s="1641"/>
      <c r="F30" s="1641"/>
      <c r="G30" s="1641"/>
      <c r="H30" s="1641"/>
      <c r="I30" s="1641"/>
      <c r="J30" s="1641"/>
      <c r="K30" s="1641"/>
      <c r="L30" s="1641"/>
      <c r="M30" s="1641"/>
      <c r="N30" s="1642"/>
      <c r="O30" s="2114"/>
      <c r="P30" s="2115"/>
      <c r="Q30" s="2115"/>
      <c r="R30" s="2115"/>
      <c r="S30" s="2115"/>
      <c r="T30" s="2115"/>
      <c r="U30" s="2115"/>
      <c r="V30" s="2116"/>
      <c r="W30" s="1643"/>
      <c r="X30" s="1644"/>
      <c r="Y30" s="1645"/>
      <c r="Z30" s="2131"/>
      <c r="AA30" s="2131"/>
      <c r="AB30" s="2131"/>
      <c r="AC30" s="2131"/>
      <c r="AD30" s="2131"/>
      <c r="AE30" s="2131"/>
      <c r="AF30" s="2131"/>
      <c r="AG30" s="2131"/>
      <c r="AH30" s="2131"/>
      <c r="AI30" s="2132"/>
      <c r="AJ30" s="802"/>
      <c r="AK30" s="126"/>
      <c r="AL30" s="126"/>
      <c r="AM30" s="126"/>
      <c r="AN30" s="126"/>
      <c r="AP30" s="2125"/>
      <c r="AQ30" s="2126"/>
      <c r="AR30" s="1640"/>
      <c r="AS30" s="1641"/>
      <c r="AT30" s="1641"/>
      <c r="AU30" s="1641"/>
      <c r="AV30" s="1641"/>
      <c r="AW30" s="1641"/>
      <c r="AX30" s="1641"/>
      <c r="AY30" s="1641"/>
      <c r="AZ30" s="1641"/>
      <c r="BA30" s="1641"/>
      <c r="BB30" s="1642"/>
      <c r="BC30" s="2117"/>
      <c r="BD30" s="2118"/>
      <c r="BE30" s="2118"/>
      <c r="BF30" s="2118"/>
      <c r="BG30" s="2118"/>
      <c r="BH30" s="2118"/>
      <c r="BI30" s="2118"/>
      <c r="BJ30" s="2119"/>
      <c r="BK30" s="1643"/>
      <c r="BL30" s="1644"/>
      <c r="BM30" s="1645"/>
      <c r="BN30" s="2131"/>
      <c r="BO30" s="2131"/>
      <c r="BP30" s="2131"/>
      <c r="BQ30" s="2131"/>
      <c r="BR30" s="2131"/>
      <c r="BS30" s="2131"/>
      <c r="BT30" s="2131"/>
      <c r="BU30" s="2131"/>
      <c r="BV30" s="2131"/>
      <c r="BW30" s="2132"/>
      <c r="BX30" s="802"/>
    </row>
    <row r="31" spans="1:76" ht="27.95" customHeight="1">
      <c r="B31" s="2125"/>
      <c r="C31" s="2126"/>
      <c r="D31" s="1640"/>
      <c r="E31" s="1641"/>
      <c r="F31" s="1641"/>
      <c r="G31" s="1641"/>
      <c r="H31" s="1641"/>
      <c r="I31" s="1641"/>
      <c r="J31" s="1641"/>
      <c r="K31" s="1641"/>
      <c r="L31" s="1641"/>
      <c r="M31" s="1641"/>
      <c r="N31" s="1642"/>
      <c r="O31" s="2114"/>
      <c r="P31" s="2115"/>
      <c r="Q31" s="2115"/>
      <c r="R31" s="2115"/>
      <c r="S31" s="2115"/>
      <c r="T31" s="2115"/>
      <c r="U31" s="2115"/>
      <c r="V31" s="2116"/>
      <c r="W31" s="1643"/>
      <c r="X31" s="1644"/>
      <c r="Y31" s="1645"/>
      <c r="Z31" s="2131"/>
      <c r="AA31" s="2131"/>
      <c r="AB31" s="2131"/>
      <c r="AC31" s="2131"/>
      <c r="AD31" s="2131"/>
      <c r="AE31" s="2131"/>
      <c r="AF31" s="2131"/>
      <c r="AG31" s="2131"/>
      <c r="AH31" s="2131"/>
      <c r="AI31" s="2132"/>
      <c r="AJ31" s="802"/>
      <c r="AK31" s="126"/>
      <c r="AL31" s="126"/>
      <c r="AM31" s="126"/>
      <c r="AN31" s="126"/>
      <c r="AP31" s="2125"/>
      <c r="AQ31" s="2126"/>
      <c r="AR31" s="1640"/>
      <c r="AS31" s="1641"/>
      <c r="AT31" s="1641"/>
      <c r="AU31" s="1641"/>
      <c r="AV31" s="1641"/>
      <c r="AW31" s="1641"/>
      <c r="AX31" s="1641"/>
      <c r="AY31" s="1641"/>
      <c r="AZ31" s="1641"/>
      <c r="BA31" s="1641"/>
      <c r="BB31" s="1642"/>
      <c r="BC31" s="2117"/>
      <c r="BD31" s="2118"/>
      <c r="BE31" s="2118"/>
      <c r="BF31" s="2118"/>
      <c r="BG31" s="2118"/>
      <c r="BH31" s="2118"/>
      <c r="BI31" s="2118"/>
      <c r="BJ31" s="2119"/>
      <c r="BK31" s="1643"/>
      <c r="BL31" s="1644"/>
      <c r="BM31" s="1645"/>
      <c r="BN31" s="2131"/>
      <c r="BO31" s="2131"/>
      <c r="BP31" s="2131"/>
      <c r="BQ31" s="2131"/>
      <c r="BR31" s="2131"/>
      <c r="BS31" s="2131"/>
      <c r="BT31" s="2131"/>
      <c r="BU31" s="2131"/>
      <c r="BV31" s="2131"/>
      <c r="BW31" s="2132"/>
      <c r="BX31" s="802"/>
    </row>
    <row r="32" spans="1:76" ht="27.95" customHeight="1">
      <c r="B32" s="2125"/>
      <c r="C32" s="2126"/>
      <c r="D32" s="1640"/>
      <c r="E32" s="1641"/>
      <c r="F32" s="1641"/>
      <c r="G32" s="1641"/>
      <c r="H32" s="1641"/>
      <c r="I32" s="1641"/>
      <c r="J32" s="1641"/>
      <c r="K32" s="1641"/>
      <c r="L32" s="1641"/>
      <c r="M32" s="1641"/>
      <c r="N32" s="1642"/>
      <c r="O32" s="2114"/>
      <c r="P32" s="2115"/>
      <c r="Q32" s="2115"/>
      <c r="R32" s="2115"/>
      <c r="S32" s="2115"/>
      <c r="T32" s="2115"/>
      <c r="U32" s="2115"/>
      <c r="V32" s="2116"/>
      <c r="W32" s="1643"/>
      <c r="X32" s="1644"/>
      <c r="Y32" s="1645"/>
      <c r="Z32" s="2131"/>
      <c r="AA32" s="2131"/>
      <c r="AB32" s="2131"/>
      <c r="AC32" s="2131"/>
      <c r="AD32" s="2131"/>
      <c r="AE32" s="2131"/>
      <c r="AF32" s="2131"/>
      <c r="AG32" s="2131"/>
      <c r="AH32" s="2131"/>
      <c r="AI32" s="2132"/>
      <c r="AJ32" s="802"/>
      <c r="AK32" s="126"/>
      <c r="AL32" s="126"/>
      <c r="AM32" s="126"/>
      <c r="AN32" s="126"/>
      <c r="AP32" s="2125"/>
      <c r="AQ32" s="2126"/>
      <c r="AR32" s="1640"/>
      <c r="AS32" s="1641"/>
      <c r="AT32" s="1641"/>
      <c r="AU32" s="1641"/>
      <c r="AV32" s="1641"/>
      <c r="AW32" s="1641"/>
      <c r="AX32" s="1641"/>
      <c r="AY32" s="1641"/>
      <c r="AZ32" s="1641"/>
      <c r="BA32" s="1641"/>
      <c r="BB32" s="1642"/>
      <c r="BC32" s="2117"/>
      <c r="BD32" s="2118"/>
      <c r="BE32" s="2118"/>
      <c r="BF32" s="2118"/>
      <c r="BG32" s="2118"/>
      <c r="BH32" s="2118"/>
      <c r="BI32" s="2118"/>
      <c r="BJ32" s="2119"/>
      <c r="BK32" s="1643"/>
      <c r="BL32" s="1644"/>
      <c r="BM32" s="1645"/>
      <c r="BN32" s="2131"/>
      <c r="BO32" s="2131"/>
      <c r="BP32" s="2131"/>
      <c r="BQ32" s="2131"/>
      <c r="BR32" s="2131"/>
      <c r="BS32" s="2131"/>
      <c r="BT32" s="2131"/>
      <c r="BU32" s="2131"/>
      <c r="BV32" s="2131"/>
      <c r="BW32" s="2132"/>
      <c r="BX32" s="802"/>
    </row>
    <row r="33" spans="1:76" ht="27.95" customHeight="1">
      <c r="B33" s="2125"/>
      <c r="C33" s="2126"/>
      <c r="D33" s="1640"/>
      <c r="E33" s="1641"/>
      <c r="F33" s="1641"/>
      <c r="G33" s="1641"/>
      <c r="H33" s="1641"/>
      <c r="I33" s="1641"/>
      <c r="J33" s="1641"/>
      <c r="K33" s="1641"/>
      <c r="L33" s="1641"/>
      <c r="M33" s="1641"/>
      <c r="N33" s="1642"/>
      <c r="O33" s="2114"/>
      <c r="P33" s="2115"/>
      <c r="Q33" s="2115"/>
      <c r="R33" s="2115"/>
      <c r="S33" s="2115"/>
      <c r="T33" s="2115"/>
      <c r="U33" s="2115"/>
      <c r="V33" s="2116"/>
      <c r="W33" s="1643"/>
      <c r="X33" s="1644"/>
      <c r="Y33" s="1645"/>
      <c r="Z33" s="2131"/>
      <c r="AA33" s="2131"/>
      <c r="AB33" s="2131"/>
      <c r="AC33" s="2131"/>
      <c r="AD33" s="2131"/>
      <c r="AE33" s="2131"/>
      <c r="AF33" s="2131"/>
      <c r="AG33" s="2131"/>
      <c r="AH33" s="2131"/>
      <c r="AI33" s="2132"/>
      <c r="AJ33" s="802"/>
      <c r="AK33" s="126"/>
      <c r="AL33" s="126"/>
      <c r="AM33" s="126"/>
      <c r="AN33" s="126"/>
      <c r="AP33" s="2125"/>
      <c r="AQ33" s="2126"/>
      <c r="AR33" s="1640"/>
      <c r="AS33" s="1641"/>
      <c r="AT33" s="1641"/>
      <c r="AU33" s="1641"/>
      <c r="AV33" s="1641"/>
      <c r="AW33" s="1641"/>
      <c r="AX33" s="1641"/>
      <c r="AY33" s="1641"/>
      <c r="AZ33" s="1641"/>
      <c r="BA33" s="1641"/>
      <c r="BB33" s="1642"/>
      <c r="BC33" s="2117"/>
      <c r="BD33" s="2118"/>
      <c r="BE33" s="2118"/>
      <c r="BF33" s="2118"/>
      <c r="BG33" s="2118"/>
      <c r="BH33" s="2118"/>
      <c r="BI33" s="2118"/>
      <c r="BJ33" s="2119"/>
      <c r="BK33" s="1643"/>
      <c r="BL33" s="1644"/>
      <c r="BM33" s="1645"/>
      <c r="BN33" s="2131"/>
      <c r="BO33" s="2131"/>
      <c r="BP33" s="2131"/>
      <c r="BQ33" s="2131"/>
      <c r="BR33" s="2131"/>
      <c r="BS33" s="2131"/>
      <c r="BT33" s="2131"/>
      <c r="BU33" s="2131"/>
      <c r="BV33" s="2131"/>
      <c r="BW33" s="2132"/>
      <c r="BX33" s="802"/>
    </row>
    <row r="34" spans="1:76" ht="27.95" customHeight="1">
      <c r="B34" s="2125"/>
      <c r="C34" s="2126"/>
      <c r="D34" s="1640"/>
      <c r="E34" s="1641"/>
      <c r="F34" s="1641"/>
      <c r="G34" s="1641"/>
      <c r="H34" s="1641"/>
      <c r="I34" s="1641"/>
      <c r="J34" s="1641"/>
      <c r="K34" s="1641"/>
      <c r="L34" s="1641"/>
      <c r="M34" s="1641"/>
      <c r="N34" s="1642"/>
      <c r="O34" s="2114"/>
      <c r="P34" s="2115"/>
      <c r="Q34" s="2115"/>
      <c r="R34" s="2115"/>
      <c r="S34" s="2115"/>
      <c r="T34" s="2115"/>
      <c r="U34" s="2115"/>
      <c r="V34" s="2116"/>
      <c r="W34" s="1643"/>
      <c r="X34" s="1644"/>
      <c r="Y34" s="1645"/>
      <c r="Z34" s="2131"/>
      <c r="AA34" s="2131"/>
      <c r="AB34" s="2131"/>
      <c r="AC34" s="2131"/>
      <c r="AD34" s="2131"/>
      <c r="AE34" s="2131"/>
      <c r="AF34" s="2131"/>
      <c r="AG34" s="2131"/>
      <c r="AH34" s="2131"/>
      <c r="AI34" s="2132"/>
      <c r="AJ34" s="802"/>
      <c r="AK34" s="126"/>
      <c r="AL34" s="126"/>
      <c r="AM34" s="126"/>
      <c r="AN34" s="126"/>
      <c r="AP34" s="2125"/>
      <c r="AQ34" s="2126"/>
      <c r="AR34" s="1640"/>
      <c r="AS34" s="1641"/>
      <c r="AT34" s="1641"/>
      <c r="AU34" s="1641"/>
      <c r="AV34" s="1641"/>
      <c r="AW34" s="1641"/>
      <c r="AX34" s="1641"/>
      <c r="AY34" s="1641"/>
      <c r="AZ34" s="1641"/>
      <c r="BA34" s="1641"/>
      <c r="BB34" s="1642"/>
      <c r="BC34" s="2117"/>
      <c r="BD34" s="2118"/>
      <c r="BE34" s="2118"/>
      <c r="BF34" s="2118"/>
      <c r="BG34" s="2118"/>
      <c r="BH34" s="2118"/>
      <c r="BI34" s="2118"/>
      <c r="BJ34" s="2119"/>
      <c r="BK34" s="1643"/>
      <c r="BL34" s="1644"/>
      <c r="BM34" s="1645"/>
      <c r="BN34" s="2131"/>
      <c r="BO34" s="2131"/>
      <c r="BP34" s="2131"/>
      <c r="BQ34" s="2131"/>
      <c r="BR34" s="2131"/>
      <c r="BS34" s="2131"/>
      <c r="BT34" s="2131"/>
      <c r="BU34" s="2131"/>
      <c r="BV34" s="2131"/>
      <c r="BW34" s="2132"/>
      <c r="BX34" s="802"/>
    </row>
    <row r="35" spans="1:76" ht="27.95" customHeight="1" collapsed="1" thickBot="1">
      <c r="B35" s="2125"/>
      <c r="C35" s="2126"/>
      <c r="D35" s="1640"/>
      <c r="E35" s="1641"/>
      <c r="F35" s="1641"/>
      <c r="G35" s="1641"/>
      <c r="H35" s="1641"/>
      <c r="I35" s="1641"/>
      <c r="J35" s="1641"/>
      <c r="K35" s="1641"/>
      <c r="L35" s="1641"/>
      <c r="M35" s="1641"/>
      <c r="N35" s="1642"/>
      <c r="O35" s="2114"/>
      <c r="P35" s="2115"/>
      <c r="Q35" s="2115"/>
      <c r="R35" s="2115"/>
      <c r="S35" s="2115"/>
      <c r="T35" s="2115"/>
      <c r="U35" s="2115"/>
      <c r="V35" s="2116"/>
      <c r="W35" s="1643"/>
      <c r="X35" s="1644"/>
      <c r="Y35" s="1645"/>
      <c r="Z35" s="2131"/>
      <c r="AA35" s="2131"/>
      <c r="AB35" s="2131"/>
      <c r="AC35" s="2131"/>
      <c r="AD35" s="2131"/>
      <c r="AE35" s="2131"/>
      <c r="AF35" s="2131"/>
      <c r="AG35" s="2131"/>
      <c r="AH35" s="2131"/>
      <c r="AI35" s="2132"/>
      <c r="AJ35" s="802"/>
      <c r="AK35" s="126"/>
      <c r="AL35" s="126"/>
      <c r="AM35" s="126"/>
      <c r="AN35" s="126"/>
      <c r="AP35" s="2125"/>
      <c r="AQ35" s="2126"/>
      <c r="AR35" s="1640"/>
      <c r="AS35" s="1641"/>
      <c r="AT35" s="1641"/>
      <c r="AU35" s="1641"/>
      <c r="AV35" s="1641"/>
      <c r="AW35" s="1641"/>
      <c r="AX35" s="1641"/>
      <c r="AY35" s="1641"/>
      <c r="AZ35" s="1641"/>
      <c r="BA35" s="1641"/>
      <c r="BB35" s="1642"/>
      <c r="BC35" s="2117"/>
      <c r="BD35" s="2118"/>
      <c r="BE35" s="2118"/>
      <c r="BF35" s="2118"/>
      <c r="BG35" s="2118"/>
      <c r="BH35" s="2118"/>
      <c r="BI35" s="2118"/>
      <c r="BJ35" s="2119"/>
      <c r="BK35" s="1643"/>
      <c r="BL35" s="1644"/>
      <c r="BM35" s="1645"/>
      <c r="BN35" s="2131"/>
      <c r="BO35" s="2131"/>
      <c r="BP35" s="2131"/>
      <c r="BQ35" s="2131"/>
      <c r="BR35" s="2131"/>
      <c r="BS35" s="2131"/>
      <c r="BT35" s="2131"/>
      <c r="BU35" s="2131"/>
      <c r="BV35" s="2131"/>
      <c r="BW35" s="2132"/>
      <c r="BX35" s="802"/>
    </row>
    <row r="36" spans="1:76" ht="27.95" hidden="1" customHeight="1" outlineLevel="1">
      <c r="A36" s="805"/>
      <c r="B36" s="2125"/>
      <c r="C36" s="2126"/>
      <c r="D36" s="2120"/>
      <c r="E36" s="2121"/>
      <c r="F36" s="2121"/>
      <c r="G36" s="2121"/>
      <c r="H36" s="2121"/>
      <c r="I36" s="2121"/>
      <c r="J36" s="2121"/>
      <c r="K36" s="2121"/>
      <c r="L36" s="2121"/>
      <c r="M36" s="2121"/>
      <c r="N36" s="2122"/>
      <c r="O36" s="2114"/>
      <c r="P36" s="2115"/>
      <c r="Q36" s="2115"/>
      <c r="R36" s="2115"/>
      <c r="S36" s="2115"/>
      <c r="T36" s="2115"/>
      <c r="U36" s="2115"/>
      <c r="V36" s="2116"/>
      <c r="W36" s="1643"/>
      <c r="X36" s="1644"/>
      <c r="Y36" s="1645"/>
      <c r="Z36" s="2131"/>
      <c r="AA36" s="2131"/>
      <c r="AB36" s="2131"/>
      <c r="AC36" s="2131"/>
      <c r="AD36" s="2131"/>
      <c r="AE36" s="2131"/>
      <c r="AF36" s="2131"/>
      <c r="AG36" s="2131"/>
      <c r="AH36" s="2131"/>
      <c r="AI36" s="2132"/>
      <c r="AJ36" s="802"/>
      <c r="AK36" s="126"/>
      <c r="AL36" s="126"/>
      <c r="AM36" s="126"/>
      <c r="AN36" s="126"/>
      <c r="AP36" s="2125"/>
      <c r="AQ36" s="2126"/>
      <c r="AR36" s="2120"/>
      <c r="AS36" s="2121"/>
      <c r="AT36" s="2121"/>
      <c r="AU36" s="2121"/>
      <c r="AV36" s="2121"/>
      <c r="AW36" s="2121"/>
      <c r="AX36" s="2121"/>
      <c r="AY36" s="2121"/>
      <c r="AZ36" s="2121"/>
      <c r="BA36" s="2121"/>
      <c r="BB36" s="2122"/>
      <c r="BC36" s="2117"/>
      <c r="BD36" s="2118"/>
      <c r="BE36" s="2118"/>
      <c r="BF36" s="2118"/>
      <c r="BG36" s="2118"/>
      <c r="BH36" s="2118"/>
      <c r="BI36" s="2118"/>
      <c r="BJ36" s="2119"/>
      <c r="BK36" s="1643"/>
      <c r="BL36" s="1644"/>
      <c r="BM36" s="1645"/>
      <c r="BN36" s="2131"/>
      <c r="BO36" s="2131"/>
      <c r="BP36" s="2131"/>
      <c r="BQ36" s="2131"/>
      <c r="BR36" s="2131"/>
      <c r="BS36" s="2131"/>
      <c r="BT36" s="2131"/>
      <c r="BU36" s="2131"/>
      <c r="BV36" s="2131"/>
      <c r="BW36" s="2132"/>
      <c r="BX36" s="802"/>
    </row>
    <row r="37" spans="1:76" ht="27.95" hidden="1" customHeight="1" outlineLevel="1">
      <c r="B37" s="2125"/>
      <c r="C37" s="2126"/>
      <c r="D37" s="1640"/>
      <c r="E37" s="1641"/>
      <c r="F37" s="1641"/>
      <c r="G37" s="1641"/>
      <c r="H37" s="1641"/>
      <c r="I37" s="1641"/>
      <c r="J37" s="1641"/>
      <c r="K37" s="1641"/>
      <c r="L37" s="1641"/>
      <c r="M37" s="1641"/>
      <c r="N37" s="1642"/>
      <c r="O37" s="2114"/>
      <c r="P37" s="2115"/>
      <c r="Q37" s="2115"/>
      <c r="R37" s="2115"/>
      <c r="S37" s="2115"/>
      <c r="T37" s="2115"/>
      <c r="U37" s="2115"/>
      <c r="V37" s="2116"/>
      <c r="W37" s="1643"/>
      <c r="X37" s="1644"/>
      <c r="Y37" s="1645"/>
      <c r="Z37" s="2131"/>
      <c r="AA37" s="2131"/>
      <c r="AB37" s="2131"/>
      <c r="AC37" s="2131"/>
      <c r="AD37" s="2131"/>
      <c r="AE37" s="2131"/>
      <c r="AF37" s="2131"/>
      <c r="AG37" s="2131"/>
      <c r="AH37" s="2131"/>
      <c r="AI37" s="2132"/>
      <c r="AJ37" s="802"/>
      <c r="AK37" s="126"/>
      <c r="AL37" s="126"/>
      <c r="AM37" s="126"/>
      <c r="AN37" s="126"/>
      <c r="AP37" s="2125"/>
      <c r="AQ37" s="2126"/>
      <c r="AR37" s="1640"/>
      <c r="AS37" s="1641"/>
      <c r="AT37" s="1641"/>
      <c r="AU37" s="1641"/>
      <c r="AV37" s="1641"/>
      <c r="AW37" s="1641"/>
      <c r="AX37" s="1641"/>
      <c r="AY37" s="1641"/>
      <c r="AZ37" s="1641"/>
      <c r="BA37" s="1641"/>
      <c r="BB37" s="1642"/>
      <c r="BC37" s="2117"/>
      <c r="BD37" s="2118"/>
      <c r="BE37" s="2118"/>
      <c r="BF37" s="2118"/>
      <c r="BG37" s="2118"/>
      <c r="BH37" s="2118"/>
      <c r="BI37" s="2118"/>
      <c r="BJ37" s="2119"/>
      <c r="BK37" s="1643"/>
      <c r="BL37" s="1644"/>
      <c r="BM37" s="1645"/>
      <c r="BN37" s="2131"/>
      <c r="BO37" s="2131"/>
      <c r="BP37" s="2131"/>
      <c r="BQ37" s="2131"/>
      <c r="BR37" s="2131"/>
      <c r="BS37" s="2131"/>
      <c r="BT37" s="2131"/>
      <c r="BU37" s="2131"/>
      <c r="BV37" s="2131"/>
      <c r="BW37" s="2132"/>
      <c r="BX37" s="802"/>
    </row>
    <row r="38" spans="1:76" ht="27.95" hidden="1" customHeight="1" outlineLevel="1">
      <c r="B38" s="2125"/>
      <c r="C38" s="2126"/>
      <c r="D38" s="1640"/>
      <c r="E38" s="1641"/>
      <c r="F38" s="1641"/>
      <c r="G38" s="1641"/>
      <c r="H38" s="1641"/>
      <c r="I38" s="1641"/>
      <c r="J38" s="1641"/>
      <c r="K38" s="1641"/>
      <c r="L38" s="1641"/>
      <c r="M38" s="1641"/>
      <c r="N38" s="1642"/>
      <c r="O38" s="2114"/>
      <c r="P38" s="2115"/>
      <c r="Q38" s="2115"/>
      <c r="R38" s="2115"/>
      <c r="S38" s="2115"/>
      <c r="T38" s="2115"/>
      <c r="U38" s="2115"/>
      <c r="V38" s="2116"/>
      <c r="W38" s="1643"/>
      <c r="X38" s="1644"/>
      <c r="Y38" s="1645"/>
      <c r="Z38" s="2131"/>
      <c r="AA38" s="2131"/>
      <c r="AB38" s="2131"/>
      <c r="AC38" s="2131"/>
      <c r="AD38" s="2131"/>
      <c r="AE38" s="2131"/>
      <c r="AF38" s="2131"/>
      <c r="AG38" s="2131"/>
      <c r="AH38" s="2131"/>
      <c r="AI38" s="2132"/>
      <c r="AJ38" s="802"/>
      <c r="AK38" s="126"/>
      <c r="AL38" s="126"/>
      <c r="AM38" s="126"/>
      <c r="AN38" s="126"/>
      <c r="AP38" s="2125"/>
      <c r="AQ38" s="2126"/>
      <c r="AR38" s="1640"/>
      <c r="AS38" s="1641"/>
      <c r="AT38" s="1641"/>
      <c r="AU38" s="1641"/>
      <c r="AV38" s="1641"/>
      <c r="AW38" s="1641"/>
      <c r="AX38" s="1641"/>
      <c r="AY38" s="1641"/>
      <c r="AZ38" s="1641"/>
      <c r="BA38" s="1641"/>
      <c r="BB38" s="1642"/>
      <c r="BC38" s="2117"/>
      <c r="BD38" s="2118"/>
      <c r="BE38" s="2118"/>
      <c r="BF38" s="2118"/>
      <c r="BG38" s="2118"/>
      <c r="BH38" s="2118"/>
      <c r="BI38" s="2118"/>
      <c r="BJ38" s="2119"/>
      <c r="BK38" s="1643"/>
      <c r="BL38" s="1644"/>
      <c r="BM38" s="1645"/>
      <c r="BN38" s="2131"/>
      <c r="BO38" s="2131"/>
      <c r="BP38" s="2131"/>
      <c r="BQ38" s="2131"/>
      <c r="BR38" s="2131"/>
      <c r="BS38" s="2131"/>
      <c r="BT38" s="2131"/>
      <c r="BU38" s="2131"/>
      <c r="BV38" s="2131"/>
      <c r="BW38" s="2132"/>
      <c r="BX38" s="802"/>
    </row>
    <row r="39" spans="1:76" ht="27.95" hidden="1" customHeight="1" outlineLevel="1">
      <c r="B39" s="2125"/>
      <c r="C39" s="2126"/>
      <c r="D39" s="1640"/>
      <c r="E39" s="1641"/>
      <c r="F39" s="1641"/>
      <c r="G39" s="1641"/>
      <c r="H39" s="1641"/>
      <c r="I39" s="1641"/>
      <c r="J39" s="1641"/>
      <c r="K39" s="1641"/>
      <c r="L39" s="1641"/>
      <c r="M39" s="1641"/>
      <c r="N39" s="1642"/>
      <c r="O39" s="2114"/>
      <c r="P39" s="2115"/>
      <c r="Q39" s="2115"/>
      <c r="R39" s="2115"/>
      <c r="S39" s="2115"/>
      <c r="T39" s="2115"/>
      <c r="U39" s="2115"/>
      <c r="V39" s="2116"/>
      <c r="W39" s="1643"/>
      <c r="X39" s="1644"/>
      <c r="Y39" s="1645"/>
      <c r="Z39" s="2131"/>
      <c r="AA39" s="2131"/>
      <c r="AB39" s="2131"/>
      <c r="AC39" s="2131"/>
      <c r="AD39" s="2131"/>
      <c r="AE39" s="2131"/>
      <c r="AF39" s="2131"/>
      <c r="AG39" s="2131"/>
      <c r="AH39" s="2131"/>
      <c r="AI39" s="2132"/>
      <c r="AJ39" s="802"/>
      <c r="AK39" s="126"/>
      <c r="AL39" s="126"/>
      <c r="AM39" s="126"/>
      <c r="AN39" s="126"/>
      <c r="AP39" s="2125"/>
      <c r="AQ39" s="2126"/>
      <c r="AR39" s="1640"/>
      <c r="AS39" s="1641"/>
      <c r="AT39" s="1641"/>
      <c r="AU39" s="1641"/>
      <c r="AV39" s="1641"/>
      <c r="AW39" s="1641"/>
      <c r="AX39" s="1641"/>
      <c r="AY39" s="1641"/>
      <c r="AZ39" s="1641"/>
      <c r="BA39" s="1641"/>
      <c r="BB39" s="1642"/>
      <c r="BC39" s="2117"/>
      <c r="BD39" s="2118"/>
      <c r="BE39" s="2118"/>
      <c r="BF39" s="2118"/>
      <c r="BG39" s="2118"/>
      <c r="BH39" s="2118"/>
      <c r="BI39" s="2118"/>
      <c r="BJ39" s="2119"/>
      <c r="BK39" s="1643"/>
      <c r="BL39" s="1644"/>
      <c r="BM39" s="1645"/>
      <c r="BN39" s="2131"/>
      <c r="BO39" s="2131"/>
      <c r="BP39" s="2131"/>
      <c r="BQ39" s="2131"/>
      <c r="BR39" s="2131"/>
      <c r="BS39" s="2131"/>
      <c r="BT39" s="2131"/>
      <c r="BU39" s="2131"/>
      <c r="BV39" s="2131"/>
      <c r="BW39" s="2132"/>
      <c r="BX39" s="802"/>
    </row>
    <row r="40" spans="1:76" ht="27.95" hidden="1" customHeight="1" outlineLevel="1">
      <c r="B40" s="2125"/>
      <c r="C40" s="2126"/>
      <c r="D40" s="1640"/>
      <c r="E40" s="1641"/>
      <c r="F40" s="1641"/>
      <c r="G40" s="1641"/>
      <c r="H40" s="1641"/>
      <c r="I40" s="1641"/>
      <c r="J40" s="1641"/>
      <c r="K40" s="1641"/>
      <c r="L40" s="1641"/>
      <c r="M40" s="1641"/>
      <c r="N40" s="1642"/>
      <c r="O40" s="2114"/>
      <c r="P40" s="2115"/>
      <c r="Q40" s="2115"/>
      <c r="R40" s="2115"/>
      <c r="S40" s="2115"/>
      <c r="T40" s="2115"/>
      <c r="U40" s="2115"/>
      <c r="V40" s="2116"/>
      <c r="W40" s="1643"/>
      <c r="X40" s="1644"/>
      <c r="Y40" s="1645"/>
      <c r="Z40" s="2131"/>
      <c r="AA40" s="2131"/>
      <c r="AB40" s="2131"/>
      <c r="AC40" s="2131"/>
      <c r="AD40" s="2131"/>
      <c r="AE40" s="2131"/>
      <c r="AF40" s="2131"/>
      <c r="AG40" s="2131"/>
      <c r="AH40" s="2131"/>
      <c r="AI40" s="2132"/>
      <c r="AJ40" s="802"/>
      <c r="AK40" s="126"/>
      <c r="AL40" s="126"/>
      <c r="AM40" s="126"/>
      <c r="AN40" s="126"/>
      <c r="AP40" s="2125"/>
      <c r="AQ40" s="2126"/>
      <c r="AR40" s="1640"/>
      <c r="AS40" s="1641"/>
      <c r="AT40" s="1641"/>
      <c r="AU40" s="1641"/>
      <c r="AV40" s="1641"/>
      <c r="AW40" s="1641"/>
      <c r="AX40" s="1641"/>
      <c r="AY40" s="1641"/>
      <c r="AZ40" s="1641"/>
      <c r="BA40" s="1641"/>
      <c r="BB40" s="1642"/>
      <c r="BC40" s="2117"/>
      <c r="BD40" s="2118"/>
      <c r="BE40" s="2118"/>
      <c r="BF40" s="2118"/>
      <c r="BG40" s="2118"/>
      <c r="BH40" s="2118"/>
      <c r="BI40" s="2118"/>
      <c r="BJ40" s="2119"/>
      <c r="BK40" s="1643"/>
      <c r="BL40" s="1644"/>
      <c r="BM40" s="1645"/>
      <c r="BN40" s="2131"/>
      <c r="BO40" s="2131"/>
      <c r="BP40" s="2131"/>
      <c r="BQ40" s="2131"/>
      <c r="BR40" s="2131"/>
      <c r="BS40" s="2131"/>
      <c r="BT40" s="2131"/>
      <c r="BU40" s="2131"/>
      <c r="BV40" s="2131"/>
      <c r="BW40" s="2132"/>
      <c r="BX40" s="802"/>
    </row>
    <row r="41" spans="1:76" ht="27.95" hidden="1" customHeight="1" outlineLevel="1">
      <c r="B41" s="2125"/>
      <c r="C41" s="2126"/>
      <c r="D41" s="1640"/>
      <c r="E41" s="1641"/>
      <c r="F41" s="1641"/>
      <c r="G41" s="1641"/>
      <c r="H41" s="1641"/>
      <c r="I41" s="1641"/>
      <c r="J41" s="1641"/>
      <c r="K41" s="1641"/>
      <c r="L41" s="1641"/>
      <c r="M41" s="1641"/>
      <c r="N41" s="1642"/>
      <c r="O41" s="2114"/>
      <c r="P41" s="2115"/>
      <c r="Q41" s="2115"/>
      <c r="R41" s="2115"/>
      <c r="S41" s="2115"/>
      <c r="T41" s="2115"/>
      <c r="U41" s="2115"/>
      <c r="V41" s="2116"/>
      <c r="W41" s="1643"/>
      <c r="X41" s="1644"/>
      <c r="Y41" s="1645"/>
      <c r="Z41" s="2131"/>
      <c r="AA41" s="2131"/>
      <c r="AB41" s="2131"/>
      <c r="AC41" s="2131"/>
      <c r="AD41" s="2131"/>
      <c r="AE41" s="2131"/>
      <c r="AF41" s="2131"/>
      <c r="AG41" s="2131"/>
      <c r="AH41" s="2131"/>
      <c r="AI41" s="2132"/>
      <c r="AJ41" s="802"/>
      <c r="AK41" s="126"/>
      <c r="AL41" s="126"/>
      <c r="AM41" s="126"/>
      <c r="AN41" s="126"/>
      <c r="AP41" s="2125"/>
      <c r="AQ41" s="2126"/>
      <c r="AR41" s="1640"/>
      <c r="AS41" s="1641"/>
      <c r="AT41" s="1641"/>
      <c r="AU41" s="1641"/>
      <c r="AV41" s="1641"/>
      <c r="AW41" s="1641"/>
      <c r="AX41" s="1641"/>
      <c r="AY41" s="1641"/>
      <c r="AZ41" s="1641"/>
      <c r="BA41" s="1641"/>
      <c r="BB41" s="1642"/>
      <c r="BC41" s="2117"/>
      <c r="BD41" s="2118"/>
      <c r="BE41" s="2118"/>
      <c r="BF41" s="2118"/>
      <c r="BG41" s="2118"/>
      <c r="BH41" s="2118"/>
      <c r="BI41" s="2118"/>
      <c r="BJ41" s="2119"/>
      <c r="BK41" s="1643"/>
      <c r="BL41" s="1644"/>
      <c r="BM41" s="1645"/>
      <c r="BN41" s="2131"/>
      <c r="BO41" s="2131"/>
      <c r="BP41" s="2131"/>
      <c r="BQ41" s="2131"/>
      <c r="BR41" s="2131"/>
      <c r="BS41" s="2131"/>
      <c r="BT41" s="2131"/>
      <c r="BU41" s="2131"/>
      <c r="BV41" s="2131"/>
      <c r="BW41" s="2132"/>
      <c r="BX41" s="802"/>
    </row>
    <row r="42" spans="1:76" ht="27.95" hidden="1" customHeight="1" outlineLevel="1">
      <c r="B42" s="2125"/>
      <c r="C42" s="2126"/>
      <c r="D42" s="1640"/>
      <c r="E42" s="1641"/>
      <c r="F42" s="1641"/>
      <c r="G42" s="1641"/>
      <c r="H42" s="1641"/>
      <c r="I42" s="1641"/>
      <c r="J42" s="1641"/>
      <c r="K42" s="1641"/>
      <c r="L42" s="1641"/>
      <c r="M42" s="1641"/>
      <c r="N42" s="1642"/>
      <c r="O42" s="2114"/>
      <c r="P42" s="2115"/>
      <c r="Q42" s="2115"/>
      <c r="R42" s="2115"/>
      <c r="S42" s="2115"/>
      <c r="T42" s="2115"/>
      <c r="U42" s="2115"/>
      <c r="V42" s="2116"/>
      <c r="W42" s="1643"/>
      <c r="X42" s="1644"/>
      <c r="Y42" s="1645"/>
      <c r="Z42" s="2131"/>
      <c r="AA42" s="2131"/>
      <c r="AB42" s="2131"/>
      <c r="AC42" s="2131"/>
      <c r="AD42" s="2131"/>
      <c r="AE42" s="2131"/>
      <c r="AF42" s="2131"/>
      <c r="AG42" s="2131"/>
      <c r="AH42" s="2131"/>
      <c r="AI42" s="2132"/>
      <c r="AJ42" s="802"/>
      <c r="AK42" s="126"/>
      <c r="AL42" s="126"/>
      <c r="AM42" s="126"/>
      <c r="AN42" s="126"/>
      <c r="AP42" s="2125"/>
      <c r="AQ42" s="2126"/>
      <c r="AR42" s="1640"/>
      <c r="AS42" s="1641"/>
      <c r="AT42" s="1641"/>
      <c r="AU42" s="1641"/>
      <c r="AV42" s="1641"/>
      <c r="AW42" s="1641"/>
      <c r="AX42" s="1641"/>
      <c r="AY42" s="1641"/>
      <c r="AZ42" s="1641"/>
      <c r="BA42" s="1641"/>
      <c r="BB42" s="1642"/>
      <c r="BC42" s="2117"/>
      <c r="BD42" s="2118"/>
      <c r="BE42" s="2118"/>
      <c r="BF42" s="2118"/>
      <c r="BG42" s="2118"/>
      <c r="BH42" s="2118"/>
      <c r="BI42" s="2118"/>
      <c r="BJ42" s="2119"/>
      <c r="BK42" s="1643"/>
      <c r="BL42" s="1644"/>
      <c r="BM42" s="1645"/>
      <c r="BN42" s="2131"/>
      <c r="BO42" s="2131"/>
      <c r="BP42" s="2131"/>
      <c r="BQ42" s="2131"/>
      <c r="BR42" s="2131"/>
      <c r="BS42" s="2131"/>
      <c r="BT42" s="2131"/>
      <c r="BU42" s="2131"/>
      <c r="BV42" s="2131"/>
      <c r="BW42" s="2132"/>
      <c r="BX42" s="802"/>
    </row>
    <row r="43" spans="1:76" ht="27.95" hidden="1" customHeight="1" outlineLevel="1">
      <c r="B43" s="2125"/>
      <c r="C43" s="2126"/>
      <c r="D43" s="1640"/>
      <c r="E43" s="1641"/>
      <c r="F43" s="1641"/>
      <c r="G43" s="1641"/>
      <c r="H43" s="1641"/>
      <c r="I43" s="1641"/>
      <c r="J43" s="1641"/>
      <c r="K43" s="1641"/>
      <c r="L43" s="1641"/>
      <c r="M43" s="1641"/>
      <c r="N43" s="1642"/>
      <c r="O43" s="2114"/>
      <c r="P43" s="2115"/>
      <c r="Q43" s="2115"/>
      <c r="R43" s="2115"/>
      <c r="S43" s="2115"/>
      <c r="T43" s="2115"/>
      <c r="U43" s="2115"/>
      <c r="V43" s="2116"/>
      <c r="W43" s="1643"/>
      <c r="X43" s="1644"/>
      <c r="Y43" s="1645"/>
      <c r="Z43" s="2131"/>
      <c r="AA43" s="2131"/>
      <c r="AB43" s="2131"/>
      <c r="AC43" s="2131"/>
      <c r="AD43" s="2131"/>
      <c r="AE43" s="2131"/>
      <c r="AF43" s="2131"/>
      <c r="AG43" s="2131"/>
      <c r="AH43" s="2131"/>
      <c r="AI43" s="2132"/>
      <c r="AJ43" s="802"/>
      <c r="AK43" s="126"/>
      <c r="AL43" s="126"/>
      <c r="AM43" s="126"/>
      <c r="AN43" s="126"/>
      <c r="AP43" s="2125"/>
      <c r="AQ43" s="2126"/>
      <c r="AR43" s="1640"/>
      <c r="AS43" s="1641"/>
      <c r="AT43" s="1641"/>
      <c r="AU43" s="1641"/>
      <c r="AV43" s="1641"/>
      <c r="AW43" s="1641"/>
      <c r="AX43" s="1641"/>
      <c r="AY43" s="1641"/>
      <c r="AZ43" s="1641"/>
      <c r="BA43" s="1641"/>
      <c r="BB43" s="1642"/>
      <c r="BC43" s="2117"/>
      <c r="BD43" s="2118"/>
      <c r="BE43" s="2118"/>
      <c r="BF43" s="2118"/>
      <c r="BG43" s="2118"/>
      <c r="BH43" s="2118"/>
      <c r="BI43" s="2118"/>
      <c r="BJ43" s="2119"/>
      <c r="BK43" s="1643"/>
      <c r="BL43" s="1644"/>
      <c r="BM43" s="1645"/>
      <c r="BN43" s="2131"/>
      <c r="BO43" s="2131"/>
      <c r="BP43" s="2131"/>
      <c r="BQ43" s="2131"/>
      <c r="BR43" s="2131"/>
      <c r="BS43" s="2131"/>
      <c r="BT43" s="2131"/>
      <c r="BU43" s="2131"/>
      <c r="BV43" s="2131"/>
      <c r="BW43" s="2132"/>
      <c r="BX43" s="802"/>
    </row>
    <row r="44" spans="1:76" ht="27.95" hidden="1" customHeight="1" outlineLevel="1">
      <c r="B44" s="2125"/>
      <c r="C44" s="2126"/>
      <c r="D44" s="1640"/>
      <c r="E44" s="1641"/>
      <c r="F44" s="1641"/>
      <c r="G44" s="1641"/>
      <c r="H44" s="1641"/>
      <c r="I44" s="1641"/>
      <c r="J44" s="1641"/>
      <c r="K44" s="1641"/>
      <c r="L44" s="1641"/>
      <c r="M44" s="1641"/>
      <c r="N44" s="1642"/>
      <c r="O44" s="2114"/>
      <c r="P44" s="2115"/>
      <c r="Q44" s="2115"/>
      <c r="R44" s="2115"/>
      <c r="S44" s="2115"/>
      <c r="T44" s="2115"/>
      <c r="U44" s="2115"/>
      <c r="V44" s="2116"/>
      <c r="W44" s="1643"/>
      <c r="X44" s="1644"/>
      <c r="Y44" s="1645"/>
      <c r="Z44" s="2131"/>
      <c r="AA44" s="2131"/>
      <c r="AB44" s="2131"/>
      <c r="AC44" s="2131"/>
      <c r="AD44" s="2131"/>
      <c r="AE44" s="2131"/>
      <c r="AF44" s="2131"/>
      <c r="AG44" s="2131"/>
      <c r="AH44" s="2131"/>
      <c r="AI44" s="2132"/>
      <c r="AJ44" s="802"/>
      <c r="AK44" s="126"/>
      <c r="AL44" s="126"/>
      <c r="AM44" s="126"/>
      <c r="AN44" s="126"/>
      <c r="AP44" s="2125"/>
      <c r="AQ44" s="2126"/>
      <c r="AR44" s="1640"/>
      <c r="AS44" s="1641"/>
      <c r="AT44" s="1641"/>
      <c r="AU44" s="1641"/>
      <c r="AV44" s="1641"/>
      <c r="AW44" s="1641"/>
      <c r="AX44" s="1641"/>
      <c r="AY44" s="1641"/>
      <c r="AZ44" s="1641"/>
      <c r="BA44" s="1641"/>
      <c r="BB44" s="1642"/>
      <c r="BC44" s="2117"/>
      <c r="BD44" s="2118"/>
      <c r="BE44" s="2118"/>
      <c r="BF44" s="2118"/>
      <c r="BG44" s="2118"/>
      <c r="BH44" s="2118"/>
      <c r="BI44" s="2118"/>
      <c r="BJ44" s="2119"/>
      <c r="BK44" s="1643"/>
      <c r="BL44" s="1644"/>
      <c r="BM44" s="1645"/>
      <c r="BN44" s="2131"/>
      <c r="BO44" s="2131"/>
      <c r="BP44" s="2131"/>
      <c r="BQ44" s="2131"/>
      <c r="BR44" s="2131"/>
      <c r="BS44" s="2131"/>
      <c r="BT44" s="2131"/>
      <c r="BU44" s="2131"/>
      <c r="BV44" s="2131"/>
      <c r="BW44" s="2132"/>
      <c r="BX44" s="802"/>
    </row>
    <row r="45" spans="1:76" ht="27.95" hidden="1" customHeight="1" outlineLevel="1">
      <c r="B45" s="2125"/>
      <c r="C45" s="2126"/>
      <c r="D45" s="1640"/>
      <c r="E45" s="1641"/>
      <c r="F45" s="1641"/>
      <c r="G45" s="1641"/>
      <c r="H45" s="1641"/>
      <c r="I45" s="1641"/>
      <c r="J45" s="1641"/>
      <c r="K45" s="1641"/>
      <c r="L45" s="1641"/>
      <c r="M45" s="1641"/>
      <c r="N45" s="1642"/>
      <c r="O45" s="2114"/>
      <c r="P45" s="2115"/>
      <c r="Q45" s="2115"/>
      <c r="R45" s="2115"/>
      <c r="S45" s="2115"/>
      <c r="T45" s="2115"/>
      <c r="U45" s="2115"/>
      <c r="V45" s="2116"/>
      <c r="W45" s="1643"/>
      <c r="X45" s="1644"/>
      <c r="Y45" s="1645"/>
      <c r="Z45" s="2131"/>
      <c r="AA45" s="2131"/>
      <c r="AB45" s="2131"/>
      <c r="AC45" s="2131"/>
      <c r="AD45" s="2131"/>
      <c r="AE45" s="2131"/>
      <c r="AF45" s="2131"/>
      <c r="AG45" s="2131"/>
      <c r="AH45" s="2131"/>
      <c r="AI45" s="2132"/>
      <c r="AJ45" s="802"/>
      <c r="AK45" s="126"/>
      <c r="AL45" s="126"/>
      <c r="AM45" s="126"/>
      <c r="AN45" s="126"/>
      <c r="AP45" s="2125"/>
      <c r="AQ45" s="2126"/>
      <c r="AR45" s="1640"/>
      <c r="AS45" s="1641"/>
      <c r="AT45" s="1641"/>
      <c r="AU45" s="1641"/>
      <c r="AV45" s="1641"/>
      <c r="AW45" s="1641"/>
      <c r="AX45" s="1641"/>
      <c r="AY45" s="1641"/>
      <c r="AZ45" s="1641"/>
      <c r="BA45" s="1641"/>
      <c r="BB45" s="1642"/>
      <c r="BC45" s="2117"/>
      <c r="BD45" s="2118"/>
      <c r="BE45" s="2118"/>
      <c r="BF45" s="2118"/>
      <c r="BG45" s="2118"/>
      <c r="BH45" s="2118"/>
      <c r="BI45" s="2118"/>
      <c r="BJ45" s="2119"/>
      <c r="BK45" s="1643"/>
      <c r="BL45" s="1644"/>
      <c r="BM45" s="1645"/>
      <c r="BN45" s="2131"/>
      <c r="BO45" s="2131"/>
      <c r="BP45" s="2131"/>
      <c r="BQ45" s="2131"/>
      <c r="BR45" s="2131"/>
      <c r="BS45" s="2131"/>
      <c r="BT45" s="2131"/>
      <c r="BU45" s="2131"/>
      <c r="BV45" s="2131"/>
      <c r="BW45" s="2132"/>
      <c r="BX45" s="802"/>
    </row>
    <row r="46" spans="1:76" ht="27.95" hidden="1" customHeight="1" outlineLevel="1">
      <c r="B46" s="2125"/>
      <c r="C46" s="2126"/>
      <c r="D46" s="1640"/>
      <c r="E46" s="1641"/>
      <c r="F46" s="1641"/>
      <c r="G46" s="1641"/>
      <c r="H46" s="1641"/>
      <c r="I46" s="1641"/>
      <c r="J46" s="1641"/>
      <c r="K46" s="1641"/>
      <c r="L46" s="1641"/>
      <c r="M46" s="1641"/>
      <c r="N46" s="1642"/>
      <c r="O46" s="2114"/>
      <c r="P46" s="2115"/>
      <c r="Q46" s="2115"/>
      <c r="R46" s="2115"/>
      <c r="S46" s="2115"/>
      <c r="T46" s="2115"/>
      <c r="U46" s="2115"/>
      <c r="V46" s="2116"/>
      <c r="W46" s="1643"/>
      <c r="X46" s="1644"/>
      <c r="Y46" s="1645"/>
      <c r="Z46" s="2131"/>
      <c r="AA46" s="2131"/>
      <c r="AB46" s="2131"/>
      <c r="AC46" s="2131"/>
      <c r="AD46" s="2131"/>
      <c r="AE46" s="2131"/>
      <c r="AF46" s="2131"/>
      <c r="AG46" s="2131"/>
      <c r="AH46" s="2131"/>
      <c r="AI46" s="2132"/>
      <c r="AJ46" s="802"/>
      <c r="AK46" s="126"/>
      <c r="AL46" s="126"/>
      <c r="AM46" s="126"/>
      <c r="AN46" s="126"/>
      <c r="AP46" s="2125"/>
      <c r="AQ46" s="2126"/>
      <c r="AR46" s="1640"/>
      <c r="AS46" s="1641"/>
      <c r="AT46" s="1641"/>
      <c r="AU46" s="1641"/>
      <c r="AV46" s="1641"/>
      <c r="AW46" s="1641"/>
      <c r="AX46" s="1641"/>
      <c r="AY46" s="1641"/>
      <c r="AZ46" s="1641"/>
      <c r="BA46" s="1641"/>
      <c r="BB46" s="1642"/>
      <c r="BC46" s="2117"/>
      <c r="BD46" s="2118"/>
      <c r="BE46" s="2118"/>
      <c r="BF46" s="2118"/>
      <c r="BG46" s="2118"/>
      <c r="BH46" s="2118"/>
      <c r="BI46" s="2118"/>
      <c r="BJ46" s="2119"/>
      <c r="BK46" s="1643"/>
      <c r="BL46" s="1644"/>
      <c r="BM46" s="1645"/>
      <c r="BN46" s="2131"/>
      <c r="BO46" s="2131"/>
      <c r="BP46" s="2131"/>
      <c r="BQ46" s="2131"/>
      <c r="BR46" s="2131"/>
      <c r="BS46" s="2131"/>
      <c r="BT46" s="2131"/>
      <c r="BU46" s="2131"/>
      <c r="BV46" s="2131"/>
      <c r="BW46" s="2132"/>
      <c r="BX46" s="802"/>
    </row>
    <row r="47" spans="1:76" ht="27.95" hidden="1" customHeight="1" outlineLevel="1">
      <c r="B47" s="2125"/>
      <c r="C47" s="2126"/>
      <c r="D47" s="1640"/>
      <c r="E47" s="1641"/>
      <c r="F47" s="1641"/>
      <c r="G47" s="1641"/>
      <c r="H47" s="1641"/>
      <c r="I47" s="1641"/>
      <c r="J47" s="1641"/>
      <c r="K47" s="1641"/>
      <c r="L47" s="1641"/>
      <c r="M47" s="1641"/>
      <c r="N47" s="1642"/>
      <c r="O47" s="2114"/>
      <c r="P47" s="2115"/>
      <c r="Q47" s="2115"/>
      <c r="R47" s="2115"/>
      <c r="S47" s="2115"/>
      <c r="T47" s="2115"/>
      <c r="U47" s="2115"/>
      <c r="V47" s="2116"/>
      <c r="W47" s="1643"/>
      <c r="X47" s="1644"/>
      <c r="Y47" s="1645"/>
      <c r="Z47" s="2131"/>
      <c r="AA47" s="2131"/>
      <c r="AB47" s="2131"/>
      <c r="AC47" s="2131"/>
      <c r="AD47" s="2131"/>
      <c r="AE47" s="2131"/>
      <c r="AF47" s="2131"/>
      <c r="AG47" s="2131"/>
      <c r="AH47" s="2131"/>
      <c r="AI47" s="2132"/>
      <c r="AJ47" s="802"/>
      <c r="AK47" s="126"/>
      <c r="AL47" s="126"/>
      <c r="AM47" s="126"/>
      <c r="AN47" s="126"/>
      <c r="AP47" s="2125"/>
      <c r="AQ47" s="2126"/>
      <c r="AR47" s="1640"/>
      <c r="AS47" s="1641"/>
      <c r="AT47" s="1641"/>
      <c r="AU47" s="1641"/>
      <c r="AV47" s="1641"/>
      <c r="AW47" s="1641"/>
      <c r="AX47" s="1641"/>
      <c r="AY47" s="1641"/>
      <c r="AZ47" s="1641"/>
      <c r="BA47" s="1641"/>
      <c r="BB47" s="1642"/>
      <c r="BC47" s="2117"/>
      <c r="BD47" s="2118"/>
      <c r="BE47" s="2118"/>
      <c r="BF47" s="2118"/>
      <c r="BG47" s="2118"/>
      <c r="BH47" s="2118"/>
      <c r="BI47" s="2118"/>
      <c r="BJ47" s="2119"/>
      <c r="BK47" s="1643"/>
      <c r="BL47" s="1644"/>
      <c r="BM47" s="1645"/>
      <c r="BN47" s="2131"/>
      <c r="BO47" s="2131"/>
      <c r="BP47" s="2131"/>
      <c r="BQ47" s="2131"/>
      <c r="BR47" s="2131"/>
      <c r="BS47" s="2131"/>
      <c r="BT47" s="2131"/>
      <c r="BU47" s="2131"/>
      <c r="BV47" s="2131"/>
      <c r="BW47" s="2132"/>
      <c r="BX47" s="802"/>
    </row>
    <row r="48" spans="1:76" ht="27.95" hidden="1" customHeight="1" outlineLevel="1">
      <c r="B48" s="2125"/>
      <c r="C48" s="2126"/>
      <c r="D48" s="1640"/>
      <c r="E48" s="1641"/>
      <c r="F48" s="1641"/>
      <c r="G48" s="1641"/>
      <c r="H48" s="1641"/>
      <c r="I48" s="1641"/>
      <c r="J48" s="1641"/>
      <c r="K48" s="1641"/>
      <c r="L48" s="1641"/>
      <c r="M48" s="1641"/>
      <c r="N48" s="1642"/>
      <c r="O48" s="2114"/>
      <c r="P48" s="2115"/>
      <c r="Q48" s="2115"/>
      <c r="R48" s="2115"/>
      <c r="S48" s="2115"/>
      <c r="T48" s="2115"/>
      <c r="U48" s="2115"/>
      <c r="V48" s="2116"/>
      <c r="W48" s="1643"/>
      <c r="X48" s="1644"/>
      <c r="Y48" s="1645"/>
      <c r="Z48" s="2131"/>
      <c r="AA48" s="2131"/>
      <c r="AB48" s="2131"/>
      <c r="AC48" s="2131"/>
      <c r="AD48" s="2131"/>
      <c r="AE48" s="2131"/>
      <c r="AF48" s="2131"/>
      <c r="AG48" s="2131"/>
      <c r="AH48" s="2131"/>
      <c r="AI48" s="2132"/>
      <c r="AJ48" s="802"/>
      <c r="AK48" s="126"/>
      <c r="AL48" s="126"/>
      <c r="AM48" s="126"/>
      <c r="AN48" s="126"/>
      <c r="AP48" s="2125"/>
      <c r="AQ48" s="2126"/>
      <c r="AR48" s="1640"/>
      <c r="AS48" s="1641"/>
      <c r="AT48" s="1641"/>
      <c r="AU48" s="1641"/>
      <c r="AV48" s="1641"/>
      <c r="AW48" s="1641"/>
      <c r="AX48" s="1641"/>
      <c r="AY48" s="1641"/>
      <c r="AZ48" s="1641"/>
      <c r="BA48" s="1641"/>
      <c r="BB48" s="1642"/>
      <c r="BC48" s="2117"/>
      <c r="BD48" s="2118"/>
      <c r="BE48" s="2118"/>
      <c r="BF48" s="2118"/>
      <c r="BG48" s="2118"/>
      <c r="BH48" s="2118"/>
      <c r="BI48" s="2118"/>
      <c r="BJ48" s="2119"/>
      <c r="BK48" s="1643"/>
      <c r="BL48" s="1644"/>
      <c r="BM48" s="1645"/>
      <c r="BN48" s="2131"/>
      <c r="BO48" s="2131"/>
      <c r="BP48" s="2131"/>
      <c r="BQ48" s="2131"/>
      <c r="BR48" s="2131"/>
      <c r="BS48" s="2131"/>
      <c r="BT48" s="2131"/>
      <c r="BU48" s="2131"/>
      <c r="BV48" s="2131"/>
      <c r="BW48" s="2132"/>
      <c r="BX48" s="802"/>
    </row>
    <row r="49" spans="1:76" ht="27.95" hidden="1" customHeight="1" outlineLevel="1">
      <c r="B49" s="2125"/>
      <c r="C49" s="2126"/>
      <c r="D49" s="1640"/>
      <c r="E49" s="1641"/>
      <c r="F49" s="1641"/>
      <c r="G49" s="1641"/>
      <c r="H49" s="1641"/>
      <c r="I49" s="1641"/>
      <c r="J49" s="1641"/>
      <c r="K49" s="1641"/>
      <c r="L49" s="1641"/>
      <c r="M49" s="1641"/>
      <c r="N49" s="1642"/>
      <c r="O49" s="2114"/>
      <c r="P49" s="2115"/>
      <c r="Q49" s="2115"/>
      <c r="R49" s="2115"/>
      <c r="S49" s="2115"/>
      <c r="T49" s="2115"/>
      <c r="U49" s="2115"/>
      <c r="V49" s="2116"/>
      <c r="W49" s="1643"/>
      <c r="X49" s="1644"/>
      <c r="Y49" s="1645"/>
      <c r="Z49" s="2131"/>
      <c r="AA49" s="2131"/>
      <c r="AB49" s="2131"/>
      <c r="AC49" s="2131"/>
      <c r="AD49" s="2131"/>
      <c r="AE49" s="2131"/>
      <c r="AF49" s="2131"/>
      <c r="AG49" s="2131"/>
      <c r="AH49" s="2131"/>
      <c r="AI49" s="2132"/>
      <c r="AJ49" s="802"/>
      <c r="AK49" s="126"/>
      <c r="AL49" s="126"/>
      <c r="AM49" s="126"/>
      <c r="AN49" s="126"/>
      <c r="AP49" s="2125"/>
      <c r="AQ49" s="2126"/>
      <c r="AR49" s="1640"/>
      <c r="AS49" s="1641"/>
      <c r="AT49" s="1641"/>
      <c r="AU49" s="1641"/>
      <c r="AV49" s="1641"/>
      <c r="AW49" s="1641"/>
      <c r="AX49" s="1641"/>
      <c r="AY49" s="1641"/>
      <c r="AZ49" s="1641"/>
      <c r="BA49" s="1641"/>
      <c r="BB49" s="1642"/>
      <c r="BC49" s="2117"/>
      <c r="BD49" s="2118"/>
      <c r="BE49" s="2118"/>
      <c r="BF49" s="2118"/>
      <c r="BG49" s="2118"/>
      <c r="BH49" s="2118"/>
      <c r="BI49" s="2118"/>
      <c r="BJ49" s="2119"/>
      <c r="BK49" s="1643"/>
      <c r="BL49" s="1644"/>
      <c r="BM49" s="1645"/>
      <c r="BN49" s="2131"/>
      <c r="BO49" s="2131"/>
      <c r="BP49" s="2131"/>
      <c r="BQ49" s="2131"/>
      <c r="BR49" s="2131"/>
      <c r="BS49" s="2131"/>
      <c r="BT49" s="2131"/>
      <c r="BU49" s="2131"/>
      <c r="BV49" s="2131"/>
      <c r="BW49" s="2132"/>
      <c r="BX49" s="802"/>
    </row>
    <row r="50" spans="1:76" ht="27.95" hidden="1" customHeight="1" outlineLevel="1">
      <c r="B50" s="2125"/>
      <c r="C50" s="2126"/>
      <c r="D50" s="1640"/>
      <c r="E50" s="1641"/>
      <c r="F50" s="1641"/>
      <c r="G50" s="1641"/>
      <c r="H50" s="1641"/>
      <c r="I50" s="1641"/>
      <c r="J50" s="1641"/>
      <c r="K50" s="1641"/>
      <c r="L50" s="1641"/>
      <c r="M50" s="1641"/>
      <c r="N50" s="1642"/>
      <c r="O50" s="2114"/>
      <c r="P50" s="2115"/>
      <c r="Q50" s="2115"/>
      <c r="R50" s="2115"/>
      <c r="S50" s="2115"/>
      <c r="T50" s="2115"/>
      <c r="U50" s="2115"/>
      <c r="V50" s="2116"/>
      <c r="W50" s="1643"/>
      <c r="X50" s="1644"/>
      <c r="Y50" s="1645"/>
      <c r="Z50" s="2131"/>
      <c r="AA50" s="2131"/>
      <c r="AB50" s="2131"/>
      <c r="AC50" s="2131"/>
      <c r="AD50" s="2131"/>
      <c r="AE50" s="2131"/>
      <c r="AF50" s="2131"/>
      <c r="AG50" s="2131"/>
      <c r="AH50" s="2131"/>
      <c r="AI50" s="2132"/>
      <c r="AJ50" s="802"/>
      <c r="AK50" s="126"/>
      <c r="AL50" s="126"/>
      <c r="AM50" s="126"/>
      <c r="AN50" s="126"/>
      <c r="AP50" s="2125"/>
      <c r="AQ50" s="2126"/>
      <c r="AR50" s="1640"/>
      <c r="AS50" s="1641"/>
      <c r="AT50" s="1641"/>
      <c r="AU50" s="1641"/>
      <c r="AV50" s="1641"/>
      <c r="AW50" s="1641"/>
      <c r="AX50" s="1641"/>
      <c r="AY50" s="1641"/>
      <c r="AZ50" s="1641"/>
      <c r="BA50" s="1641"/>
      <c r="BB50" s="1642"/>
      <c r="BC50" s="2117"/>
      <c r="BD50" s="2118"/>
      <c r="BE50" s="2118"/>
      <c r="BF50" s="2118"/>
      <c r="BG50" s="2118"/>
      <c r="BH50" s="2118"/>
      <c r="BI50" s="2118"/>
      <c r="BJ50" s="2119"/>
      <c r="BK50" s="1643"/>
      <c r="BL50" s="1644"/>
      <c r="BM50" s="1645"/>
      <c r="BN50" s="2131"/>
      <c r="BO50" s="2131"/>
      <c r="BP50" s="2131"/>
      <c r="BQ50" s="2131"/>
      <c r="BR50" s="2131"/>
      <c r="BS50" s="2131"/>
      <c r="BT50" s="2131"/>
      <c r="BU50" s="2131"/>
      <c r="BV50" s="2131"/>
      <c r="BW50" s="2132"/>
      <c r="BX50" s="802"/>
    </row>
    <row r="51" spans="1:76" ht="27.95" hidden="1" customHeight="1" outlineLevel="1">
      <c r="B51" s="2125"/>
      <c r="C51" s="2126"/>
      <c r="D51" s="1640"/>
      <c r="E51" s="1641"/>
      <c r="F51" s="1641"/>
      <c r="G51" s="1641"/>
      <c r="H51" s="1641"/>
      <c r="I51" s="1641"/>
      <c r="J51" s="1641"/>
      <c r="K51" s="1641"/>
      <c r="L51" s="1641"/>
      <c r="M51" s="1641"/>
      <c r="N51" s="1642"/>
      <c r="O51" s="2114"/>
      <c r="P51" s="2115"/>
      <c r="Q51" s="2115"/>
      <c r="R51" s="2115"/>
      <c r="S51" s="2115"/>
      <c r="T51" s="2115"/>
      <c r="U51" s="2115"/>
      <c r="V51" s="2116"/>
      <c r="W51" s="1643"/>
      <c r="X51" s="1644"/>
      <c r="Y51" s="1645"/>
      <c r="Z51" s="2131"/>
      <c r="AA51" s="2131"/>
      <c r="AB51" s="2131"/>
      <c r="AC51" s="2131"/>
      <c r="AD51" s="2131"/>
      <c r="AE51" s="2131"/>
      <c r="AF51" s="2131"/>
      <c r="AG51" s="2131"/>
      <c r="AH51" s="2131"/>
      <c r="AI51" s="2132"/>
      <c r="AJ51" s="802"/>
      <c r="AK51" s="126"/>
      <c r="AL51" s="126"/>
      <c r="AM51" s="126"/>
      <c r="AN51" s="126"/>
      <c r="AP51" s="2125"/>
      <c r="AQ51" s="2126"/>
      <c r="AR51" s="1640"/>
      <c r="AS51" s="1641"/>
      <c r="AT51" s="1641"/>
      <c r="AU51" s="1641"/>
      <c r="AV51" s="1641"/>
      <c r="AW51" s="1641"/>
      <c r="AX51" s="1641"/>
      <c r="AY51" s="1641"/>
      <c r="AZ51" s="1641"/>
      <c r="BA51" s="1641"/>
      <c r="BB51" s="1642"/>
      <c r="BC51" s="2117"/>
      <c r="BD51" s="2118"/>
      <c r="BE51" s="2118"/>
      <c r="BF51" s="2118"/>
      <c r="BG51" s="2118"/>
      <c r="BH51" s="2118"/>
      <c r="BI51" s="2118"/>
      <c r="BJ51" s="2119"/>
      <c r="BK51" s="1643"/>
      <c r="BL51" s="1644"/>
      <c r="BM51" s="1645"/>
      <c r="BN51" s="2131"/>
      <c r="BO51" s="2131"/>
      <c r="BP51" s="2131"/>
      <c r="BQ51" s="2131"/>
      <c r="BR51" s="2131"/>
      <c r="BS51" s="2131"/>
      <c r="BT51" s="2131"/>
      <c r="BU51" s="2131"/>
      <c r="BV51" s="2131"/>
      <c r="BW51" s="2132"/>
      <c r="BX51" s="802"/>
    </row>
    <row r="52" spans="1:76" ht="27.95" hidden="1" customHeight="1" outlineLevel="1">
      <c r="B52" s="2125"/>
      <c r="C52" s="2126"/>
      <c r="D52" s="1640"/>
      <c r="E52" s="1641"/>
      <c r="F52" s="1641"/>
      <c r="G52" s="1641"/>
      <c r="H52" s="1641"/>
      <c r="I52" s="1641"/>
      <c r="J52" s="1641"/>
      <c r="K52" s="1641"/>
      <c r="L52" s="1641"/>
      <c r="M52" s="1641"/>
      <c r="N52" s="1642"/>
      <c r="O52" s="2114"/>
      <c r="P52" s="2115"/>
      <c r="Q52" s="2115"/>
      <c r="R52" s="2115"/>
      <c r="S52" s="2115"/>
      <c r="T52" s="2115"/>
      <c r="U52" s="2115"/>
      <c r="V52" s="2116"/>
      <c r="W52" s="1643"/>
      <c r="X52" s="1644"/>
      <c r="Y52" s="1645"/>
      <c r="Z52" s="2131"/>
      <c r="AA52" s="2131"/>
      <c r="AB52" s="2131"/>
      <c r="AC52" s="2131"/>
      <c r="AD52" s="2131"/>
      <c r="AE52" s="2131"/>
      <c r="AF52" s="2131"/>
      <c r="AG52" s="2131"/>
      <c r="AH52" s="2131"/>
      <c r="AI52" s="2132"/>
      <c r="AJ52" s="802"/>
      <c r="AK52" s="126"/>
      <c r="AL52" s="126"/>
      <c r="AM52" s="126"/>
      <c r="AN52" s="126"/>
      <c r="AP52" s="2125"/>
      <c r="AQ52" s="2126"/>
      <c r="AR52" s="1640"/>
      <c r="AS52" s="1641"/>
      <c r="AT52" s="1641"/>
      <c r="AU52" s="1641"/>
      <c r="AV52" s="1641"/>
      <c r="AW52" s="1641"/>
      <c r="AX52" s="1641"/>
      <c r="AY52" s="1641"/>
      <c r="AZ52" s="1641"/>
      <c r="BA52" s="1641"/>
      <c r="BB52" s="1642"/>
      <c r="BC52" s="2117"/>
      <c r="BD52" s="2118"/>
      <c r="BE52" s="2118"/>
      <c r="BF52" s="2118"/>
      <c r="BG52" s="2118"/>
      <c r="BH52" s="2118"/>
      <c r="BI52" s="2118"/>
      <c r="BJ52" s="2119"/>
      <c r="BK52" s="1643"/>
      <c r="BL52" s="1644"/>
      <c r="BM52" s="1645"/>
      <c r="BN52" s="2131"/>
      <c r="BO52" s="2131"/>
      <c r="BP52" s="2131"/>
      <c r="BQ52" s="2131"/>
      <c r="BR52" s="2131"/>
      <c r="BS52" s="2131"/>
      <c r="BT52" s="2131"/>
      <c r="BU52" s="2131"/>
      <c r="BV52" s="2131"/>
      <c r="BW52" s="2132"/>
      <c r="BX52" s="802"/>
    </row>
    <row r="53" spans="1:76" ht="27.95" hidden="1" customHeight="1" outlineLevel="1">
      <c r="B53" s="2125"/>
      <c r="C53" s="2126"/>
      <c r="D53" s="1640"/>
      <c r="E53" s="1641"/>
      <c r="F53" s="1641"/>
      <c r="G53" s="1641"/>
      <c r="H53" s="1641"/>
      <c r="I53" s="1641"/>
      <c r="J53" s="1641"/>
      <c r="K53" s="1641"/>
      <c r="L53" s="1641"/>
      <c r="M53" s="1641"/>
      <c r="N53" s="1642"/>
      <c r="O53" s="2114"/>
      <c r="P53" s="2115"/>
      <c r="Q53" s="2115"/>
      <c r="R53" s="2115"/>
      <c r="S53" s="2115"/>
      <c r="T53" s="2115"/>
      <c r="U53" s="2115"/>
      <c r="V53" s="2116"/>
      <c r="W53" s="1643"/>
      <c r="X53" s="1644"/>
      <c r="Y53" s="1645"/>
      <c r="Z53" s="2131"/>
      <c r="AA53" s="2131"/>
      <c r="AB53" s="2131"/>
      <c r="AC53" s="2131"/>
      <c r="AD53" s="2131"/>
      <c r="AE53" s="2131"/>
      <c r="AF53" s="2131"/>
      <c r="AG53" s="2131"/>
      <c r="AH53" s="2131"/>
      <c r="AI53" s="2132"/>
      <c r="AJ53" s="802"/>
      <c r="AK53" s="126"/>
      <c r="AL53" s="126"/>
      <c r="AM53" s="126"/>
      <c r="AN53" s="126"/>
      <c r="AP53" s="2125"/>
      <c r="AQ53" s="2126"/>
      <c r="AR53" s="1640"/>
      <c r="AS53" s="1641"/>
      <c r="AT53" s="1641"/>
      <c r="AU53" s="1641"/>
      <c r="AV53" s="1641"/>
      <c r="AW53" s="1641"/>
      <c r="AX53" s="1641"/>
      <c r="AY53" s="1641"/>
      <c r="AZ53" s="1641"/>
      <c r="BA53" s="1641"/>
      <c r="BB53" s="1642"/>
      <c r="BC53" s="2117"/>
      <c r="BD53" s="2118"/>
      <c r="BE53" s="2118"/>
      <c r="BF53" s="2118"/>
      <c r="BG53" s="2118"/>
      <c r="BH53" s="2118"/>
      <c r="BI53" s="2118"/>
      <c r="BJ53" s="2119"/>
      <c r="BK53" s="1643"/>
      <c r="BL53" s="1644"/>
      <c r="BM53" s="1645"/>
      <c r="BN53" s="2131"/>
      <c r="BO53" s="2131"/>
      <c r="BP53" s="2131"/>
      <c r="BQ53" s="2131"/>
      <c r="BR53" s="2131"/>
      <c r="BS53" s="2131"/>
      <c r="BT53" s="2131"/>
      <c r="BU53" s="2131"/>
      <c r="BV53" s="2131"/>
      <c r="BW53" s="2132"/>
      <c r="BX53" s="802"/>
    </row>
    <row r="54" spans="1:76" ht="27.95" hidden="1" customHeight="1" outlineLevel="1">
      <c r="B54" s="2125"/>
      <c r="C54" s="2126"/>
      <c r="D54" s="1640"/>
      <c r="E54" s="1641"/>
      <c r="F54" s="1641"/>
      <c r="G54" s="1641"/>
      <c r="H54" s="1641"/>
      <c r="I54" s="1641"/>
      <c r="J54" s="1641"/>
      <c r="K54" s="1641"/>
      <c r="L54" s="1641"/>
      <c r="M54" s="1641"/>
      <c r="N54" s="1642"/>
      <c r="O54" s="2114"/>
      <c r="P54" s="2115"/>
      <c r="Q54" s="2115"/>
      <c r="R54" s="2115"/>
      <c r="S54" s="2115"/>
      <c r="T54" s="2115"/>
      <c r="U54" s="2115"/>
      <c r="V54" s="2116"/>
      <c r="W54" s="1643"/>
      <c r="X54" s="1644"/>
      <c r="Y54" s="1645"/>
      <c r="Z54" s="2131"/>
      <c r="AA54" s="2131"/>
      <c r="AB54" s="2131"/>
      <c r="AC54" s="2131"/>
      <c r="AD54" s="2131"/>
      <c r="AE54" s="2131"/>
      <c r="AF54" s="2131"/>
      <c r="AG54" s="2131"/>
      <c r="AH54" s="2131"/>
      <c r="AI54" s="2132"/>
      <c r="AJ54" s="802"/>
      <c r="AK54" s="126"/>
      <c r="AL54" s="126"/>
      <c r="AM54" s="126"/>
      <c r="AN54" s="126"/>
      <c r="AP54" s="2125"/>
      <c r="AQ54" s="2126"/>
      <c r="AR54" s="1640"/>
      <c r="AS54" s="1641"/>
      <c r="AT54" s="1641"/>
      <c r="AU54" s="1641"/>
      <c r="AV54" s="1641"/>
      <c r="AW54" s="1641"/>
      <c r="AX54" s="1641"/>
      <c r="AY54" s="1641"/>
      <c r="AZ54" s="1641"/>
      <c r="BA54" s="1641"/>
      <c r="BB54" s="1642"/>
      <c r="BC54" s="2117"/>
      <c r="BD54" s="2118"/>
      <c r="BE54" s="2118"/>
      <c r="BF54" s="2118"/>
      <c r="BG54" s="2118"/>
      <c r="BH54" s="2118"/>
      <c r="BI54" s="2118"/>
      <c r="BJ54" s="2119"/>
      <c r="BK54" s="1643"/>
      <c r="BL54" s="1644"/>
      <c r="BM54" s="1645"/>
      <c r="BN54" s="2131"/>
      <c r="BO54" s="2131"/>
      <c r="BP54" s="2131"/>
      <c r="BQ54" s="2131"/>
      <c r="BR54" s="2131"/>
      <c r="BS54" s="2131"/>
      <c r="BT54" s="2131"/>
      <c r="BU54" s="2131"/>
      <c r="BV54" s="2131"/>
      <c r="BW54" s="2132"/>
      <c r="BX54" s="802"/>
    </row>
    <row r="55" spans="1:76" ht="27.95" hidden="1" customHeight="1" outlineLevel="1">
      <c r="B55" s="2125"/>
      <c r="C55" s="2126"/>
      <c r="D55" s="1640"/>
      <c r="E55" s="1641"/>
      <c r="F55" s="1641"/>
      <c r="G55" s="1641"/>
      <c r="H55" s="1641"/>
      <c r="I55" s="1641"/>
      <c r="J55" s="1641"/>
      <c r="K55" s="1641"/>
      <c r="L55" s="1641"/>
      <c r="M55" s="1641"/>
      <c r="N55" s="1642"/>
      <c r="O55" s="2114"/>
      <c r="P55" s="2115"/>
      <c r="Q55" s="2115"/>
      <c r="R55" s="2115"/>
      <c r="S55" s="2115"/>
      <c r="T55" s="2115"/>
      <c r="U55" s="2115"/>
      <c r="V55" s="2116"/>
      <c r="W55" s="1643"/>
      <c r="X55" s="1644"/>
      <c r="Y55" s="1645"/>
      <c r="Z55" s="2131"/>
      <c r="AA55" s="2131"/>
      <c r="AB55" s="2131"/>
      <c r="AC55" s="2131"/>
      <c r="AD55" s="2131"/>
      <c r="AE55" s="2131"/>
      <c r="AF55" s="2131"/>
      <c r="AG55" s="2131"/>
      <c r="AH55" s="2131"/>
      <c r="AI55" s="2132"/>
      <c r="AJ55" s="802"/>
      <c r="AK55" s="126"/>
      <c r="AL55" s="126"/>
      <c r="AM55" s="126"/>
      <c r="AN55" s="126"/>
      <c r="AP55" s="2125"/>
      <c r="AQ55" s="2126"/>
      <c r="AR55" s="1640"/>
      <c r="AS55" s="1641"/>
      <c r="AT55" s="1641"/>
      <c r="AU55" s="1641"/>
      <c r="AV55" s="1641"/>
      <c r="AW55" s="1641"/>
      <c r="AX55" s="1641"/>
      <c r="AY55" s="1641"/>
      <c r="AZ55" s="1641"/>
      <c r="BA55" s="1641"/>
      <c r="BB55" s="1642"/>
      <c r="BC55" s="2117"/>
      <c r="BD55" s="2118"/>
      <c r="BE55" s="2118"/>
      <c r="BF55" s="2118"/>
      <c r="BG55" s="2118"/>
      <c r="BH55" s="2118"/>
      <c r="BI55" s="2118"/>
      <c r="BJ55" s="2119"/>
      <c r="BK55" s="1643"/>
      <c r="BL55" s="1644"/>
      <c r="BM55" s="1645"/>
      <c r="BN55" s="2131"/>
      <c r="BO55" s="2131"/>
      <c r="BP55" s="2131"/>
      <c r="BQ55" s="2131"/>
      <c r="BR55" s="2131"/>
      <c r="BS55" s="2131"/>
      <c r="BT55" s="2131"/>
      <c r="BU55" s="2131"/>
      <c r="BV55" s="2131"/>
      <c r="BW55" s="2132"/>
      <c r="BX55" s="802"/>
    </row>
    <row r="56" spans="1:76" ht="27.95" hidden="1" customHeight="1" outlineLevel="1">
      <c r="B56" s="2125"/>
      <c r="C56" s="2126"/>
      <c r="D56" s="1640"/>
      <c r="E56" s="1641"/>
      <c r="F56" s="1641"/>
      <c r="G56" s="1641"/>
      <c r="H56" s="1641"/>
      <c r="I56" s="1641"/>
      <c r="J56" s="1641"/>
      <c r="K56" s="1641"/>
      <c r="L56" s="1641"/>
      <c r="M56" s="1641"/>
      <c r="N56" s="1642"/>
      <c r="O56" s="2114"/>
      <c r="P56" s="2115"/>
      <c r="Q56" s="2115"/>
      <c r="R56" s="2115"/>
      <c r="S56" s="2115"/>
      <c r="T56" s="2115"/>
      <c r="U56" s="2115"/>
      <c r="V56" s="2116"/>
      <c r="W56" s="1643"/>
      <c r="X56" s="1644"/>
      <c r="Y56" s="1645"/>
      <c r="Z56" s="2131"/>
      <c r="AA56" s="2131"/>
      <c r="AB56" s="2131"/>
      <c r="AC56" s="2131"/>
      <c r="AD56" s="2131"/>
      <c r="AE56" s="2131"/>
      <c r="AF56" s="2131"/>
      <c r="AG56" s="2131"/>
      <c r="AH56" s="2131"/>
      <c r="AI56" s="2132"/>
      <c r="AJ56" s="802"/>
      <c r="AK56" s="126"/>
      <c r="AL56" s="126"/>
      <c r="AM56" s="126"/>
      <c r="AN56" s="126"/>
      <c r="AP56" s="2125"/>
      <c r="AQ56" s="2126"/>
      <c r="AR56" s="1640"/>
      <c r="AS56" s="1641"/>
      <c r="AT56" s="1641"/>
      <c r="AU56" s="1641"/>
      <c r="AV56" s="1641"/>
      <c r="AW56" s="1641"/>
      <c r="AX56" s="1641"/>
      <c r="AY56" s="1641"/>
      <c r="AZ56" s="1641"/>
      <c r="BA56" s="1641"/>
      <c r="BB56" s="1642"/>
      <c r="BC56" s="2117"/>
      <c r="BD56" s="2118"/>
      <c r="BE56" s="2118"/>
      <c r="BF56" s="2118"/>
      <c r="BG56" s="2118"/>
      <c r="BH56" s="2118"/>
      <c r="BI56" s="2118"/>
      <c r="BJ56" s="2119"/>
      <c r="BK56" s="1643"/>
      <c r="BL56" s="1644"/>
      <c r="BM56" s="1645"/>
      <c r="BN56" s="2131"/>
      <c r="BO56" s="2131"/>
      <c r="BP56" s="2131"/>
      <c r="BQ56" s="2131"/>
      <c r="BR56" s="2131"/>
      <c r="BS56" s="2131"/>
      <c r="BT56" s="2131"/>
      <c r="BU56" s="2131"/>
      <c r="BV56" s="2131"/>
      <c r="BW56" s="2132"/>
      <c r="BX56" s="802"/>
    </row>
    <row r="57" spans="1:76" ht="27.95" hidden="1" customHeight="1" outlineLevel="1">
      <c r="B57" s="2125"/>
      <c r="C57" s="2126"/>
      <c r="D57" s="1640"/>
      <c r="E57" s="1641"/>
      <c r="F57" s="1641"/>
      <c r="G57" s="1641"/>
      <c r="H57" s="1641"/>
      <c r="I57" s="1641"/>
      <c r="J57" s="1641"/>
      <c r="K57" s="1641"/>
      <c r="L57" s="1641"/>
      <c r="M57" s="1641"/>
      <c r="N57" s="1642"/>
      <c r="O57" s="2114"/>
      <c r="P57" s="2115"/>
      <c r="Q57" s="2115"/>
      <c r="R57" s="2115"/>
      <c r="S57" s="2115"/>
      <c r="T57" s="2115"/>
      <c r="U57" s="2115"/>
      <c r="V57" s="2116"/>
      <c r="W57" s="1643"/>
      <c r="X57" s="1644"/>
      <c r="Y57" s="1645"/>
      <c r="Z57" s="2131"/>
      <c r="AA57" s="2131"/>
      <c r="AB57" s="2131"/>
      <c r="AC57" s="2131"/>
      <c r="AD57" s="2131"/>
      <c r="AE57" s="2131"/>
      <c r="AF57" s="2131"/>
      <c r="AG57" s="2131"/>
      <c r="AH57" s="2131"/>
      <c r="AI57" s="2132"/>
      <c r="AJ57" s="802"/>
      <c r="AK57" s="126"/>
      <c r="AL57" s="126"/>
      <c r="AM57" s="126"/>
      <c r="AN57" s="126"/>
      <c r="AP57" s="2125"/>
      <c r="AQ57" s="2126"/>
      <c r="AR57" s="1640"/>
      <c r="AS57" s="1641"/>
      <c r="AT57" s="1641"/>
      <c r="AU57" s="1641"/>
      <c r="AV57" s="1641"/>
      <c r="AW57" s="1641"/>
      <c r="AX57" s="1641"/>
      <c r="AY57" s="1641"/>
      <c r="AZ57" s="1641"/>
      <c r="BA57" s="1641"/>
      <c r="BB57" s="1642"/>
      <c r="BC57" s="2117"/>
      <c r="BD57" s="2118"/>
      <c r="BE57" s="2118"/>
      <c r="BF57" s="2118"/>
      <c r="BG57" s="2118"/>
      <c r="BH57" s="2118"/>
      <c r="BI57" s="2118"/>
      <c r="BJ57" s="2119"/>
      <c r="BK57" s="1643"/>
      <c r="BL57" s="1644"/>
      <c r="BM57" s="1645"/>
      <c r="BN57" s="2131"/>
      <c r="BO57" s="2131"/>
      <c r="BP57" s="2131"/>
      <c r="BQ57" s="2131"/>
      <c r="BR57" s="2131"/>
      <c r="BS57" s="2131"/>
      <c r="BT57" s="2131"/>
      <c r="BU57" s="2131"/>
      <c r="BV57" s="2131"/>
      <c r="BW57" s="2132"/>
      <c r="BX57" s="802"/>
    </row>
    <row r="58" spans="1:76" ht="27.95" hidden="1" customHeight="1" outlineLevel="1">
      <c r="B58" s="2125"/>
      <c r="C58" s="2126"/>
      <c r="D58" s="1640"/>
      <c r="E58" s="1641"/>
      <c r="F58" s="1641"/>
      <c r="G58" s="1641"/>
      <c r="H58" s="1641"/>
      <c r="I58" s="1641"/>
      <c r="J58" s="1641"/>
      <c r="K58" s="1641"/>
      <c r="L58" s="1641"/>
      <c r="M58" s="1641"/>
      <c r="N58" s="1642"/>
      <c r="O58" s="2114"/>
      <c r="P58" s="2115"/>
      <c r="Q58" s="2115"/>
      <c r="R58" s="2115"/>
      <c r="S58" s="2115"/>
      <c r="T58" s="2115"/>
      <c r="U58" s="2115"/>
      <c r="V58" s="2116"/>
      <c r="W58" s="1643"/>
      <c r="X58" s="1644"/>
      <c r="Y58" s="1645"/>
      <c r="Z58" s="2131"/>
      <c r="AA58" s="2131"/>
      <c r="AB58" s="2131"/>
      <c r="AC58" s="2131"/>
      <c r="AD58" s="2131"/>
      <c r="AE58" s="2131"/>
      <c r="AF58" s="2131"/>
      <c r="AG58" s="2131"/>
      <c r="AH58" s="2131"/>
      <c r="AI58" s="2132"/>
      <c r="AJ58" s="802"/>
      <c r="AK58" s="126"/>
      <c r="AL58" s="126"/>
      <c r="AM58" s="126"/>
      <c r="AN58" s="126"/>
      <c r="AP58" s="2125"/>
      <c r="AQ58" s="2126"/>
      <c r="AR58" s="1640"/>
      <c r="AS58" s="1641"/>
      <c r="AT58" s="1641"/>
      <c r="AU58" s="1641"/>
      <c r="AV58" s="1641"/>
      <c r="AW58" s="1641"/>
      <c r="AX58" s="1641"/>
      <c r="AY58" s="1641"/>
      <c r="AZ58" s="1641"/>
      <c r="BA58" s="1641"/>
      <c r="BB58" s="1642"/>
      <c r="BC58" s="2117"/>
      <c r="BD58" s="2118"/>
      <c r="BE58" s="2118"/>
      <c r="BF58" s="2118"/>
      <c r="BG58" s="2118"/>
      <c r="BH58" s="2118"/>
      <c r="BI58" s="2118"/>
      <c r="BJ58" s="2119"/>
      <c r="BK58" s="1643"/>
      <c r="BL58" s="1644"/>
      <c r="BM58" s="1645"/>
      <c r="BN58" s="2131"/>
      <c r="BO58" s="2131"/>
      <c r="BP58" s="2131"/>
      <c r="BQ58" s="2131"/>
      <c r="BR58" s="2131"/>
      <c r="BS58" s="2131"/>
      <c r="BT58" s="2131"/>
      <c r="BU58" s="2131"/>
      <c r="BV58" s="2131"/>
      <c r="BW58" s="2132"/>
      <c r="BX58" s="802"/>
    </row>
    <row r="59" spans="1:76" ht="27.95" hidden="1" customHeight="1" outlineLevel="1">
      <c r="B59" s="2125"/>
      <c r="C59" s="2126"/>
      <c r="D59" s="1640"/>
      <c r="E59" s="1641"/>
      <c r="F59" s="1641"/>
      <c r="G59" s="1641"/>
      <c r="H59" s="1641"/>
      <c r="I59" s="1641"/>
      <c r="J59" s="1641"/>
      <c r="K59" s="1641"/>
      <c r="L59" s="1641"/>
      <c r="M59" s="1641"/>
      <c r="N59" s="1642"/>
      <c r="O59" s="2114"/>
      <c r="P59" s="2115"/>
      <c r="Q59" s="2115"/>
      <c r="R59" s="2115"/>
      <c r="S59" s="2115"/>
      <c r="T59" s="2115"/>
      <c r="U59" s="2115"/>
      <c r="V59" s="2116"/>
      <c r="W59" s="1643"/>
      <c r="X59" s="1644"/>
      <c r="Y59" s="1645"/>
      <c r="Z59" s="2131"/>
      <c r="AA59" s="2131"/>
      <c r="AB59" s="2131"/>
      <c r="AC59" s="2131"/>
      <c r="AD59" s="2131"/>
      <c r="AE59" s="2131"/>
      <c r="AF59" s="2131"/>
      <c r="AG59" s="2131"/>
      <c r="AH59" s="2131"/>
      <c r="AI59" s="2132"/>
      <c r="AJ59" s="802"/>
      <c r="AK59" s="126"/>
      <c r="AL59" s="126"/>
      <c r="AM59" s="126"/>
      <c r="AN59" s="126"/>
      <c r="AP59" s="2125"/>
      <c r="AQ59" s="2126"/>
      <c r="AR59" s="1640"/>
      <c r="AS59" s="1641"/>
      <c r="AT59" s="1641"/>
      <c r="AU59" s="1641"/>
      <c r="AV59" s="1641"/>
      <c r="AW59" s="1641"/>
      <c r="AX59" s="1641"/>
      <c r="AY59" s="1641"/>
      <c r="AZ59" s="1641"/>
      <c r="BA59" s="1641"/>
      <c r="BB59" s="1642"/>
      <c r="BC59" s="2117"/>
      <c r="BD59" s="2118"/>
      <c r="BE59" s="2118"/>
      <c r="BF59" s="2118"/>
      <c r="BG59" s="2118"/>
      <c r="BH59" s="2118"/>
      <c r="BI59" s="2118"/>
      <c r="BJ59" s="2119"/>
      <c r="BK59" s="1643"/>
      <c r="BL59" s="1644"/>
      <c r="BM59" s="1645"/>
      <c r="BN59" s="2131"/>
      <c r="BO59" s="2131"/>
      <c r="BP59" s="2131"/>
      <c r="BQ59" s="2131"/>
      <c r="BR59" s="2131"/>
      <c r="BS59" s="2131"/>
      <c r="BT59" s="2131"/>
      <c r="BU59" s="2131"/>
      <c r="BV59" s="2131"/>
      <c r="BW59" s="2132"/>
      <c r="BX59" s="802"/>
    </row>
    <row r="60" spans="1:76" ht="27.95" hidden="1" customHeight="1" outlineLevel="1">
      <c r="B60" s="2125"/>
      <c r="C60" s="2126"/>
      <c r="D60" s="1640"/>
      <c r="E60" s="1641"/>
      <c r="F60" s="1641"/>
      <c r="G60" s="1641"/>
      <c r="H60" s="1641"/>
      <c r="I60" s="1641"/>
      <c r="J60" s="1641"/>
      <c r="K60" s="1641"/>
      <c r="L60" s="1641"/>
      <c r="M60" s="1641"/>
      <c r="N60" s="1642"/>
      <c r="O60" s="2114"/>
      <c r="P60" s="2115"/>
      <c r="Q60" s="2115"/>
      <c r="R60" s="2115"/>
      <c r="S60" s="2115"/>
      <c r="T60" s="2115"/>
      <c r="U60" s="2115"/>
      <c r="V60" s="2116"/>
      <c r="W60" s="1643"/>
      <c r="X60" s="1644"/>
      <c r="Y60" s="1645"/>
      <c r="Z60" s="2131"/>
      <c r="AA60" s="2131"/>
      <c r="AB60" s="2131"/>
      <c r="AC60" s="2131"/>
      <c r="AD60" s="2131"/>
      <c r="AE60" s="2131"/>
      <c r="AF60" s="2131"/>
      <c r="AG60" s="2131"/>
      <c r="AH60" s="2131"/>
      <c r="AI60" s="2132"/>
      <c r="AJ60" s="802"/>
      <c r="AK60" s="126"/>
      <c r="AL60" s="126"/>
      <c r="AM60" s="126"/>
      <c r="AN60" s="126"/>
      <c r="AP60" s="2125"/>
      <c r="AQ60" s="2126"/>
      <c r="AR60" s="1640"/>
      <c r="AS60" s="1641"/>
      <c r="AT60" s="1641"/>
      <c r="AU60" s="1641"/>
      <c r="AV60" s="1641"/>
      <c r="AW60" s="1641"/>
      <c r="AX60" s="1641"/>
      <c r="AY60" s="1641"/>
      <c r="AZ60" s="1641"/>
      <c r="BA60" s="1641"/>
      <c r="BB60" s="1642"/>
      <c r="BC60" s="2117"/>
      <c r="BD60" s="2118"/>
      <c r="BE60" s="2118"/>
      <c r="BF60" s="2118"/>
      <c r="BG60" s="2118"/>
      <c r="BH60" s="2118"/>
      <c r="BI60" s="2118"/>
      <c r="BJ60" s="2119"/>
      <c r="BK60" s="1643"/>
      <c r="BL60" s="1644"/>
      <c r="BM60" s="1645"/>
      <c r="BN60" s="2131"/>
      <c r="BO60" s="2131"/>
      <c r="BP60" s="2131"/>
      <c r="BQ60" s="2131"/>
      <c r="BR60" s="2131"/>
      <c r="BS60" s="2131"/>
      <c r="BT60" s="2131"/>
      <c r="BU60" s="2131"/>
      <c r="BV60" s="2131"/>
      <c r="BW60" s="2132"/>
      <c r="BX60" s="802"/>
    </row>
    <row r="61" spans="1:76" ht="27.95" hidden="1" customHeight="1" outlineLevel="1">
      <c r="B61" s="2125"/>
      <c r="C61" s="2126"/>
      <c r="D61" s="1640"/>
      <c r="E61" s="1641"/>
      <c r="F61" s="1641"/>
      <c r="G61" s="1641"/>
      <c r="H61" s="1641"/>
      <c r="I61" s="1641"/>
      <c r="J61" s="1641"/>
      <c r="K61" s="1641"/>
      <c r="L61" s="1641"/>
      <c r="M61" s="1641"/>
      <c r="N61" s="1642"/>
      <c r="O61" s="2114"/>
      <c r="P61" s="2115"/>
      <c r="Q61" s="2115"/>
      <c r="R61" s="2115"/>
      <c r="S61" s="2115"/>
      <c r="T61" s="2115"/>
      <c r="U61" s="2115"/>
      <c r="V61" s="2116"/>
      <c r="W61" s="1643"/>
      <c r="X61" s="1644"/>
      <c r="Y61" s="1645"/>
      <c r="Z61" s="2131"/>
      <c r="AA61" s="2131"/>
      <c r="AB61" s="2131"/>
      <c r="AC61" s="2131"/>
      <c r="AD61" s="2131"/>
      <c r="AE61" s="2131"/>
      <c r="AF61" s="2131"/>
      <c r="AG61" s="2131"/>
      <c r="AH61" s="2131"/>
      <c r="AI61" s="2132"/>
      <c r="AJ61" s="802"/>
      <c r="AK61" s="126"/>
      <c r="AL61" s="126"/>
      <c r="AM61" s="126"/>
      <c r="AN61" s="126"/>
      <c r="AP61" s="2125"/>
      <c r="AQ61" s="2126"/>
      <c r="AR61" s="1640"/>
      <c r="AS61" s="1641"/>
      <c r="AT61" s="1641"/>
      <c r="AU61" s="1641"/>
      <c r="AV61" s="1641"/>
      <c r="AW61" s="1641"/>
      <c r="AX61" s="1641"/>
      <c r="AY61" s="1641"/>
      <c r="AZ61" s="1641"/>
      <c r="BA61" s="1641"/>
      <c r="BB61" s="1642"/>
      <c r="BC61" s="2117"/>
      <c r="BD61" s="2118"/>
      <c r="BE61" s="2118"/>
      <c r="BF61" s="2118"/>
      <c r="BG61" s="2118"/>
      <c r="BH61" s="2118"/>
      <c r="BI61" s="2118"/>
      <c r="BJ61" s="2119"/>
      <c r="BK61" s="1643"/>
      <c r="BL61" s="1644"/>
      <c r="BM61" s="1645"/>
      <c r="BN61" s="2131"/>
      <c r="BO61" s="2131"/>
      <c r="BP61" s="2131"/>
      <c r="BQ61" s="2131"/>
      <c r="BR61" s="2131"/>
      <c r="BS61" s="2131"/>
      <c r="BT61" s="2131"/>
      <c r="BU61" s="2131"/>
      <c r="BV61" s="2131"/>
      <c r="BW61" s="2132"/>
      <c r="BX61" s="802"/>
    </row>
    <row r="62" spans="1:76" ht="27.95" hidden="1" customHeight="1" outlineLevel="1">
      <c r="B62" s="2125"/>
      <c r="C62" s="2126"/>
      <c r="D62" s="1640"/>
      <c r="E62" s="1641"/>
      <c r="F62" s="1641"/>
      <c r="G62" s="1641"/>
      <c r="H62" s="1641"/>
      <c r="I62" s="1641"/>
      <c r="J62" s="1641"/>
      <c r="K62" s="1641"/>
      <c r="L62" s="1641"/>
      <c r="M62" s="1641"/>
      <c r="N62" s="1642"/>
      <c r="O62" s="2114"/>
      <c r="P62" s="2115"/>
      <c r="Q62" s="2115"/>
      <c r="R62" s="2115"/>
      <c r="S62" s="2115"/>
      <c r="T62" s="2115"/>
      <c r="U62" s="2115"/>
      <c r="V62" s="2116"/>
      <c r="W62" s="1643"/>
      <c r="X62" s="1644"/>
      <c r="Y62" s="1645"/>
      <c r="Z62" s="2131"/>
      <c r="AA62" s="2131"/>
      <c r="AB62" s="2131"/>
      <c r="AC62" s="2131"/>
      <c r="AD62" s="2131"/>
      <c r="AE62" s="2131"/>
      <c r="AF62" s="2131"/>
      <c r="AG62" s="2131"/>
      <c r="AH62" s="2131"/>
      <c r="AI62" s="2132"/>
      <c r="AJ62" s="802"/>
      <c r="AK62" s="126"/>
      <c r="AL62" s="126"/>
      <c r="AM62" s="126"/>
      <c r="AN62" s="126"/>
      <c r="AP62" s="2125"/>
      <c r="AQ62" s="2126"/>
      <c r="AR62" s="1640"/>
      <c r="AS62" s="1641"/>
      <c r="AT62" s="1641"/>
      <c r="AU62" s="1641"/>
      <c r="AV62" s="1641"/>
      <c r="AW62" s="1641"/>
      <c r="AX62" s="1641"/>
      <c r="AY62" s="1641"/>
      <c r="AZ62" s="1641"/>
      <c r="BA62" s="1641"/>
      <c r="BB62" s="1642"/>
      <c r="BC62" s="2117"/>
      <c r="BD62" s="2118"/>
      <c r="BE62" s="2118"/>
      <c r="BF62" s="2118"/>
      <c r="BG62" s="2118"/>
      <c r="BH62" s="2118"/>
      <c r="BI62" s="2118"/>
      <c r="BJ62" s="2119"/>
      <c r="BK62" s="1643"/>
      <c r="BL62" s="1644"/>
      <c r="BM62" s="1645"/>
      <c r="BN62" s="2131"/>
      <c r="BO62" s="2131"/>
      <c r="BP62" s="2131"/>
      <c r="BQ62" s="2131"/>
      <c r="BR62" s="2131"/>
      <c r="BS62" s="2131"/>
      <c r="BT62" s="2131"/>
      <c r="BU62" s="2131"/>
      <c r="BV62" s="2131"/>
      <c r="BW62" s="2132"/>
      <c r="BX62" s="802"/>
    </row>
    <row r="63" spans="1:76" ht="27.95" hidden="1" customHeight="1" outlineLevel="1">
      <c r="A63" s="805"/>
      <c r="B63" s="2125"/>
      <c r="C63" s="2126"/>
      <c r="D63" s="1640"/>
      <c r="E63" s="1641"/>
      <c r="F63" s="1641"/>
      <c r="G63" s="1641"/>
      <c r="H63" s="1641"/>
      <c r="I63" s="1641"/>
      <c r="J63" s="1641"/>
      <c r="K63" s="1641"/>
      <c r="L63" s="1641"/>
      <c r="M63" s="1641"/>
      <c r="N63" s="1642"/>
      <c r="O63" s="2114"/>
      <c r="P63" s="2115"/>
      <c r="Q63" s="2115"/>
      <c r="R63" s="2115"/>
      <c r="S63" s="2115"/>
      <c r="T63" s="2115"/>
      <c r="U63" s="2115"/>
      <c r="V63" s="2116"/>
      <c r="W63" s="1643"/>
      <c r="X63" s="1644"/>
      <c r="Y63" s="1645"/>
      <c r="Z63" s="2131"/>
      <c r="AA63" s="2131"/>
      <c r="AB63" s="2131"/>
      <c r="AC63" s="2131"/>
      <c r="AD63" s="2131"/>
      <c r="AE63" s="2131"/>
      <c r="AF63" s="2131"/>
      <c r="AG63" s="2131"/>
      <c r="AH63" s="2131"/>
      <c r="AI63" s="2132"/>
      <c r="AJ63" s="802"/>
      <c r="AK63" s="126"/>
      <c r="AL63" s="126"/>
      <c r="AM63" s="126"/>
      <c r="AN63" s="126"/>
      <c r="AP63" s="2125"/>
      <c r="AQ63" s="2126"/>
      <c r="AR63" s="1640"/>
      <c r="AS63" s="1641"/>
      <c r="AT63" s="1641"/>
      <c r="AU63" s="1641"/>
      <c r="AV63" s="1641"/>
      <c r="AW63" s="1641"/>
      <c r="AX63" s="1641"/>
      <c r="AY63" s="1641"/>
      <c r="AZ63" s="1641"/>
      <c r="BA63" s="1641"/>
      <c r="BB63" s="1642"/>
      <c r="BC63" s="2117"/>
      <c r="BD63" s="2118"/>
      <c r="BE63" s="2118"/>
      <c r="BF63" s="2118"/>
      <c r="BG63" s="2118"/>
      <c r="BH63" s="2118"/>
      <c r="BI63" s="2118"/>
      <c r="BJ63" s="2119"/>
      <c r="BK63" s="1643"/>
      <c r="BL63" s="1644"/>
      <c r="BM63" s="1645"/>
      <c r="BN63" s="2131"/>
      <c r="BO63" s="2131"/>
      <c r="BP63" s="2131"/>
      <c r="BQ63" s="2131"/>
      <c r="BR63" s="2131"/>
      <c r="BS63" s="2131"/>
      <c r="BT63" s="2131"/>
      <c r="BU63" s="2131"/>
      <c r="BV63" s="2131"/>
      <c r="BW63" s="2132"/>
      <c r="BX63" s="802"/>
    </row>
    <row r="64" spans="1:76" ht="27.95" hidden="1" customHeight="1" outlineLevel="1">
      <c r="B64" s="2125"/>
      <c r="C64" s="2126"/>
      <c r="D64" s="1640"/>
      <c r="E64" s="1641"/>
      <c r="F64" s="1641"/>
      <c r="G64" s="1641"/>
      <c r="H64" s="1641"/>
      <c r="I64" s="1641"/>
      <c r="J64" s="1641"/>
      <c r="K64" s="1641"/>
      <c r="L64" s="1641"/>
      <c r="M64" s="1641"/>
      <c r="N64" s="1642"/>
      <c r="O64" s="2114"/>
      <c r="P64" s="2115"/>
      <c r="Q64" s="2115"/>
      <c r="R64" s="2115"/>
      <c r="S64" s="2115"/>
      <c r="T64" s="2115"/>
      <c r="U64" s="2115"/>
      <c r="V64" s="2116"/>
      <c r="W64" s="1643"/>
      <c r="X64" s="1644"/>
      <c r="Y64" s="1645"/>
      <c r="Z64" s="2131"/>
      <c r="AA64" s="2131"/>
      <c r="AB64" s="2131"/>
      <c r="AC64" s="2131"/>
      <c r="AD64" s="2131"/>
      <c r="AE64" s="2131"/>
      <c r="AF64" s="2131"/>
      <c r="AG64" s="2131"/>
      <c r="AH64" s="2131"/>
      <c r="AI64" s="2132"/>
      <c r="AJ64" s="802"/>
      <c r="AK64" s="126"/>
      <c r="AL64" s="126"/>
      <c r="AM64" s="126"/>
      <c r="AN64" s="126"/>
      <c r="AP64" s="2125"/>
      <c r="AQ64" s="2126"/>
      <c r="AR64" s="1640"/>
      <c r="AS64" s="1641"/>
      <c r="AT64" s="1641"/>
      <c r="AU64" s="1641"/>
      <c r="AV64" s="1641"/>
      <c r="AW64" s="1641"/>
      <c r="AX64" s="1641"/>
      <c r="AY64" s="1641"/>
      <c r="AZ64" s="1641"/>
      <c r="BA64" s="1641"/>
      <c r="BB64" s="1642"/>
      <c r="BC64" s="2117"/>
      <c r="BD64" s="2118"/>
      <c r="BE64" s="2118"/>
      <c r="BF64" s="2118"/>
      <c r="BG64" s="2118"/>
      <c r="BH64" s="2118"/>
      <c r="BI64" s="2118"/>
      <c r="BJ64" s="2119"/>
      <c r="BK64" s="1643"/>
      <c r="BL64" s="1644"/>
      <c r="BM64" s="1645"/>
      <c r="BN64" s="2131"/>
      <c r="BO64" s="2131"/>
      <c r="BP64" s="2131"/>
      <c r="BQ64" s="2131"/>
      <c r="BR64" s="2131"/>
      <c r="BS64" s="2131"/>
      <c r="BT64" s="2131"/>
      <c r="BU64" s="2131"/>
      <c r="BV64" s="2131"/>
      <c r="BW64" s="2132"/>
      <c r="BX64" s="802"/>
    </row>
    <row r="65" spans="2:76" ht="27.95" hidden="1" customHeight="1" outlineLevel="1">
      <c r="B65" s="2125"/>
      <c r="C65" s="2126"/>
      <c r="D65" s="1640"/>
      <c r="E65" s="1641"/>
      <c r="F65" s="1641"/>
      <c r="G65" s="1641"/>
      <c r="H65" s="1641"/>
      <c r="I65" s="1641"/>
      <c r="J65" s="1641"/>
      <c r="K65" s="1641"/>
      <c r="L65" s="1641"/>
      <c r="M65" s="1641"/>
      <c r="N65" s="1642"/>
      <c r="O65" s="2114"/>
      <c r="P65" s="2115"/>
      <c r="Q65" s="2115"/>
      <c r="R65" s="2115"/>
      <c r="S65" s="2115"/>
      <c r="T65" s="2115"/>
      <c r="U65" s="2115"/>
      <c r="V65" s="2116"/>
      <c r="W65" s="1643"/>
      <c r="X65" s="1644"/>
      <c r="Y65" s="1645"/>
      <c r="Z65" s="2131"/>
      <c r="AA65" s="2131"/>
      <c r="AB65" s="2131"/>
      <c r="AC65" s="2131"/>
      <c r="AD65" s="2131"/>
      <c r="AE65" s="2131"/>
      <c r="AF65" s="2131"/>
      <c r="AG65" s="2131"/>
      <c r="AH65" s="2131"/>
      <c r="AI65" s="2132"/>
      <c r="AJ65" s="802"/>
      <c r="AK65" s="126"/>
      <c r="AL65" s="126"/>
      <c r="AM65" s="126"/>
      <c r="AN65" s="126"/>
      <c r="AP65" s="2125"/>
      <c r="AQ65" s="2126"/>
      <c r="AR65" s="1640"/>
      <c r="AS65" s="1641"/>
      <c r="AT65" s="1641"/>
      <c r="AU65" s="1641"/>
      <c r="AV65" s="1641"/>
      <c r="AW65" s="1641"/>
      <c r="AX65" s="1641"/>
      <c r="AY65" s="1641"/>
      <c r="AZ65" s="1641"/>
      <c r="BA65" s="1641"/>
      <c r="BB65" s="1642"/>
      <c r="BC65" s="2117"/>
      <c r="BD65" s="2118"/>
      <c r="BE65" s="2118"/>
      <c r="BF65" s="2118"/>
      <c r="BG65" s="2118"/>
      <c r="BH65" s="2118"/>
      <c r="BI65" s="2118"/>
      <c r="BJ65" s="2119"/>
      <c r="BK65" s="1643"/>
      <c r="BL65" s="1644"/>
      <c r="BM65" s="1645"/>
      <c r="BN65" s="2131"/>
      <c r="BO65" s="2131"/>
      <c r="BP65" s="2131"/>
      <c r="BQ65" s="2131"/>
      <c r="BR65" s="2131"/>
      <c r="BS65" s="2131"/>
      <c r="BT65" s="2131"/>
      <c r="BU65" s="2131"/>
      <c r="BV65" s="2131"/>
      <c r="BW65" s="2132"/>
      <c r="BX65" s="802"/>
    </row>
    <row r="66" spans="2:76" ht="27.95" hidden="1" customHeight="1" outlineLevel="1">
      <c r="B66" s="2125"/>
      <c r="C66" s="2126"/>
      <c r="D66" s="1640"/>
      <c r="E66" s="1641"/>
      <c r="F66" s="1641"/>
      <c r="G66" s="1641"/>
      <c r="H66" s="1641"/>
      <c r="I66" s="1641"/>
      <c r="J66" s="1641"/>
      <c r="K66" s="1641"/>
      <c r="L66" s="1641"/>
      <c r="M66" s="1641"/>
      <c r="N66" s="1642"/>
      <c r="O66" s="2114"/>
      <c r="P66" s="2115"/>
      <c r="Q66" s="2115"/>
      <c r="R66" s="2115"/>
      <c r="S66" s="2115"/>
      <c r="T66" s="2115"/>
      <c r="U66" s="2115"/>
      <c r="V66" s="2116"/>
      <c r="W66" s="1643"/>
      <c r="X66" s="1644"/>
      <c r="Y66" s="1645"/>
      <c r="Z66" s="2131"/>
      <c r="AA66" s="2131"/>
      <c r="AB66" s="2131"/>
      <c r="AC66" s="2131"/>
      <c r="AD66" s="2131"/>
      <c r="AE66" s="2131"/>
      <c r="AF66" s="2131"/>
      <c r="AG66" s="2131"/>
      <c r="AH66" s="2131"/>
      <c r="AI66" s="2132"/>
      <c r="AJ66" s="802"/>
      <c r="AK66" s="126"/>
      <c r="AL66" s="126"/>
      <c r="AM66" s="126"/>
      <c r="AN66" s="126"/>
      <c r="AP66" s="2125"/>
      <c r="AQ66" s="2126"/>
      <c r="AR66" s="1640"/>
      <c r="AS66" s="1641"/>
      <c r="AT66" s="1641"/>
      <c r="AU66" s="1641"/>
      <c r="AV66" s="1641"/>
      <c r="AW66" s="1641"/>
      <c r="AX66" s="1641"/>
      <c r="AY66" s="1641"/>
      <c r="AZ66" s="1641"/>
      <c r="BA66" s="1641"/>
      <c r="BB66" s="1642"/>
      <c r="BC66" s="2117"/>
      <c r="BD66" s="2118"/>
      <c r="BE66" s="2118"/>
      <c r="BF66" s="2118"/>
      <c r="BG66" s="2118"/>
      <c r="BH66" s="2118"/>
      <c r="BI66" s="2118"/>
      <c r="BJ66" s="2119"/>
      <c r="BK66" s="1643"/>
      <c r="BL66" s="1644"/>
      <c r="BM66" s="1645"/>
      <c r="BN66" s="2131"/>
      <c r="BO66" s="2131"/>
      <c r="BP66" s="2131"/>
      <c r="BQ66" s="2131"/>
      <c r="BR66" s="2131"/>
      <c r="BS66" s="2131"/>
      <c r="BT66" s="2131"/>
      <c r="BU66" s="2131"/>
      <c r="BV66" s="2131"/>
      <c r="BW66" s="2132"/>
      <c r="BX66" s="802"/>
    </row>
    <row r="67" spans="2:76" ht="27.95" hidden="1" customHeight="1" outlineLevel="1">
      <c r="B67" s="2125"/>
      <c r="C67" s="2126"/>
      <c r="D67" s="1640"/>
      <c r="E67" s="1641"/>
      <c r="F67" s="1641"/>
      <c r="G67" s="1641"/>
      <c r="H67" s="1641"/>
      <c r="I67" s="1641"/>
      <c r="J67" s="1641"/>
      <c r="K67" s="1641"/>
      <c r="L67" s="1641"/>
      <c r="M67" s="1641"/>
      <c r="N67" s="1642"/>
      <c r="O67" s="2114"/>
      <c r="P67" s="2115"/>
      <c r="Q67" s="2115"/>
      <c r="R67" s="2115"/>
      <c r="S67" s="2115"/>
      <c r="T67" s="2115"/>
      <c r="U67" s="2115"/>
      <c r="V67" s="2116"/>
      <c r="W67" s="1643"/>
      <c r="X67" s="1644"/>
      <c r="Y67" s="1645"/>
      <c r="Z67" s="2131"/>
      <c r="AA67" s="2131"/>
      <c r="AB67" s="2131"/>
      <c r="AC67" s="2131"/>
      <c r="AD67" s="2131"/>
      <c r="AE67" s="2131"/>
      <c r="AF67" s="2131"/>
      <c r="AG67" s="2131"/>
      <c r="AH67" s="2131"/>
      <c r="AI67" s="2132"/>
      <c r="AJ67" s="802"/>
      <c r="AK67" s="126"/>
      <c r="AL67" s="126"/>
      <c r="AM67" s="126"/>
      <c r="AN67" s="126"/>
      <c r="AP67" s="2125"/>
      <c r="AQ67" s="2126"/>
      <c r="AR67" s="1640"/>
      <c r="AS67" s="1641"/>
      <c r="AT67" s="1641"/>
      <c r="AU67" s="1641"/>
      <c r="AV67" s="1641"/>
      <c r="AW67" s="1641"/>
      <c r="AX67" s="1641"/>
      <c r="AY67" s="1641"/>
      <c r="AZ67" s="1641"/>
      <c r="BA67" s="1641"/>
      <c r="BB67" s="1642"/>
      <c r="BC67" s="2117"/>
      <c r="BD67" s="2118"/>
      <c r="BE67" s="2118"/>
      <c r="BF67" s="2118"/>
      <c r="BG67" s="2118"/>
      <c r="BH67" s="2118"/>
      <c r="BI67" s="2118"/>
      <c r="BJ67" s="2119"/>
      <c r="BK67" s="1643"/>
      <c r="BL67" s="1644"/>
      <c r="BM67" s="1645"/>
      <c r="BN67" s="2131"/>
      <c r="BO67" s="2131"/>
      <c r="BP67" s="2131"/>
      <c r="BQ67" s="2131"/>
      <c r="BR67" s="2131"/>
      <c r="BS67" s="2131"/>
      <c r="BT67" s="2131"/>
      <c r="BU67" s="2131"/>
      <c r="BV67" s="2131"/>
      <c r="BW67" s="2132"/>
      <c r="BX67" s="802"/>
    </row>
    <row r="68" spans="2:76" ht="27.95" hidden="1" customHeight="1" outlineLevel="1">
      <c r="B68" s="2125"/>
      <c r="C68" s="2126"/>
      <c r="D68" s="1640"/>
      <c r="E68" s="1641"/>
      <c r="F68" s="1641"/>
      <c r="G68" s="1641"/>
      <c r="H68" s="1641"/>
      <c r="I68" s="1641"/>
      <c r="J68" s="1641"/>
      <c r="K68" s="1641"/>
      <c r="L68" s="1641"/>
      <c r="M68" s="1641"/>
      <c r="N68" s="1642"/>
      <c r="O68" s="2114"/>
      <c r="P68" s="2115"/>
      <c r="Q68" s="2115"/>
      <c r="R68" s="2115"/>
      <c r="S68" s="2115"/>
      <c r="T68" s="2115"/>
      <c r="U68" s="2115"/>
      <c r="V68" s="2116"/>
      <c r="W68" s="1643"/>
      <c r="X68" s="1644"/>
      <c r="Y68" s="1645"/>
      <c r="Z68" s="2131"/>
      <c r="AA68" s="2131"/>
      <c r="AB68" s="2131"/>
      <c r="AC68" s="2131"/>
      <c r="AD68" s="2131"/>
      <c r="AE68" s="2131"/>
      <c r="AF68" s="2131"/>
      <c r="AG68" s="2131"/>
      <c r="AH68" s="2131"/>
      <c r="AI68" s="2132"/>
      <c r="AJ68" s="802"/>
      <c r="AK68" s="126"/>
      <c r="AL68" s="126"/>
      <c r="AM68" s="126"/>
      <c r="AN68" s="126"/>
      <c r="AP68" s="2125"/>
      <c r="AQ68" s="2126"/>
      <c r="AR68" s="1640"/>
      <c r="AS68" s="1641"/>
      <c r="AT68" s="1641"/>
      <c r="AU68" s="1641"/>
      <c r="AV68" s="1641"/>
      <c r="AW68" s="1641"/>
      <c r="AX68" s="1641"/>
      <c r="AY68" s="1641"/>
      <c r="AZ68" s="1641"/>
      <c r="BA68" s="1641"/>
      <c r="BB68" s="1642"/>
      <c r="BC68" s="2117"/>
      <c r="BD68" s="2118"/>
      <c r="BE68" s="2118"/>
      <c r="BF68" s="2118"/>
      <c r="BG68" s="2118"/>
      <c r="BH68" s="2118"/>
      <c r="BI68" s="2118"/>
      <c r="BJ68" s="2119"/>
      <c r="BK68" s="1643"/>
      <c r="BL68" s="1644"/>
      <c r="BM68" s="1645"/>
      <c r="BN68" s="2131"/>
      <c r="BO68" s="2131"/>
      <c r="BP68" s="2131"/>
      <c r="BQ68" s="2131"/>
      <c r="BR68" s="2131"/>
      <c r="BS68" s="2131"/>
      <c r="BT68" s="2131"/>
      <c r="BU68" s="2131"/>
      <c r="BV68" s="2131"/>
      <c r="BW68" s="2132"/>
      <c r="BX68" s="802"/>
    </row>
    <row r="69" spans="2:76" ht="27.95" hidden="1" customHeight="1" outlineLevel="1">
      <c r="B69" s="2125"/>
      <c r="C69" s="2126"/>
      <c r="D69" s="1640"/>
      <c r="E69" s="1641"/>
      <c r="F69" s="1641"/>
      <c r="G69" s="1641"/>
      <c r="H69" s="1641"/>
      <c r="I69" s="1641"/>
      <c r="J69" s="1641"/>
      <c r="K69" s="1641"/>
      <c r="L69" s="1641"/>
      <c r="M69" s="1641"/>
      <c r="N69" s="1642"/>
      <c r="O69" s="2114"/>
      <c r="P69" s="2115"/>
      <c r="Q69" s="2115"/>
      <c r="R69" s="2115"/>
      <c r="S69" s="2115"/>
      <c r="T69" s="2115"/>
      <c r="U69" s="2115"/>
      <c r="V69" s="2116"/>
      <c r="W69" s="1643"/>
      <c r="X69" s="1644"/>
      <c r="Y69" s="1645"/>
      <c r="Z69" s="2131"/>
      <c r="AA69" s="2131"/>
      <c r="AB69" s="2131"/>
      <c r="AC69" s="2131"/>
      <c r="AD69" s="2131"/>
      <c r="AE69" s="2131"/>
      <c r="AF69" s="2131"/>
      <c r="AG69" s="2131"/>
      <c r="AH69" s="2131"/>
      <c r="AI69" s="2132"/>
      <c r="AJ69" s="802"/>
      <c r="AK69" s="126"/>
      <c r="AL69" s="126"/>
      <c r="AM69" s="126"/>
      <c r="AN69" s="126"/>
      <c r="AP69" s="2125"/>
      <c r="AQ69" s="2126"/>
      <c r="AR69" s="1640"/>
      <c r="AS69" s="1641"/>
      <c r="AT69" s="1641"/>
      <c r="AU69" s="1641"/>
      <c r="AV69" s="1641"/>
      <c r="AW69" s="1641"/>
      <c r="AX69" s="1641"/>
      <c r="AY69" s="1641"/>
      <c r="AZ69" s="1641"/>
      <c r="BA69" s="1641"/>
      <c r="BB69" s="1642"/>
      <c r="BC69" s="2117"/>
      <c r="BD69" s="2118"/>
      <c r="BE69" s="2118"/>
      <c r="BF69" s="2118"/>
      <c r="BG69" s="2118"/>
      <c r="BH69" s="2118"/>
      <c r="BI69" s="2118"/>
      <c r="BJ69" s="2119"/>
      <c r="BK69" s="1643"/>
      <c r="BL69" s="1644"/>
      <c r="BM69" s="1645"/>
      <c r="BN69" s="2131"/>
      <c r="BO69" s="2131"/>
      <c r="BP69" s="2131"/>
      <c r="BQ69" s="2131"/>
      <c r="BR69" s="2131"/>
      <c r="BS69" s="2131"/>
      <c r="BT69" s="2131"/>
      <c r="BU69" s="2131"/>
      <c r="BV69" s="2131"/>
      <c r="BW69" s="2132"/>
      <c r="BX69" s="802"/>
    </row>
    <row r="70" spans="2:76" ht="27.95" hidden="1" customHeight="1" outlineLevel="1">
      <c r="B70" s="2125"/>
      <c r="C70" s="2126"/>
      <c r="D70" s="1640"/>
      <c r="E70" s="1641"/>
      <c r="F70" s="1641"/>
      <c r="G70" s="1641"/>
      <c r="H70" s="1641"/>
      <c r="I70" s="1641"/>
      <c r="J70" s="1641"/>
      <c r="K70" s="1641"/>
      <c r="L70" s="1641"/>
      <c r="M70" s="1641"/>
      <c r="N70" s="1642"/>
      <c r="O70" s="2114"/>
      <c r="P70" s="2115"/>
      <c r="Q70" s="2115"/>
      <c r="R70" s="2115"/>
      <c r="S70" s="2115"/>
      <c r="T70" s="2115"/>
      <c r="U70" s="2115"/>
      <c r="V70" s="2116"/>
      <c r="W70" s="1643"/>
      <c r="X70" s="1644"/>
      <c r="Y70" s="1645"/>
      <c r="Z70" s="2131"/>
      <c r="AA70" s="2131"/>
      <c r="AB70" s="2131"/>
      <c r="AC70" s="2131"/>
      <c r="AD70" s="2131"/>
      <c r="AE70" s="2131"/>
      <c r="AF70" s="2131"/>
      <c r="AG70" s="2131"/>
      <c r="AH70" s="2131"/>
      <c r="AI70" s="2132"/>
      <c r="AJ70" s="802"/>
      <c r="AK70" s="126"/>
      <c r="AL70" s="126"/>
      <c r="AM70" s="126"/>
      <c r="AN70" s="126"/>
      <c r="AP70" s="2125"/>
      <c r="AQ70" s="2126"/>
      <c r="AR70" s="1640"/>
      <c r="AS70" s="1641"/>
      <c r="AT70" s="1641"/>
      <c r="AU70" s="1641"/>
      <c r="AV70" s="1641"/>
      <c r="AW70" s="1641"/>
      <c r="AX70" s="1641"/>
      <c r="AY70" s="1641"/>
      <c r="AZ70" s="1641"/>
      <c r="BA70" s="1641"/>
      <c r="BB70" s="1642"/>
      <c r="BC70" s="2117"/>
      <c r="BD70" s="2118"/>
      <c r="BE70" s="2118"/>
      <c r="BF70" s="2118"/>
      <c r="BG70" s="2118"/>
      <c r="BH70" s="2118"/>
      <c r="BI70" s="2118"/>
      <c r="BJ70" s="2119"/>
      <c r="BK70" s="1643"/>
      <c r="BL70" s="1644"/>
      <c r="BM70" s="1645"/>
      <c r="BN70" s="2131"/>
      <c r="BO70" s="2131"/>
      <c r="BP70" s="2131"/>
      <c r="BQ70" s="2131"/>
      <c r="BR70" s="2131"/>
      <c r="BS70" s="2131"/>
      <c r="BT70" s="2131"/>
      <c r="BU70" s="2131"/>
      <c r="BV70" s="2131"/>
      <c r="BW70" s="2132"/>
      <c r="BX70" s="802"/>
    </row>
    <row r="71" spans="2:76" ht="27.95" hidden="1" customHeight="1" outlineLevel="1">
      <c r="B71" s="2125"/>
      <c r="C71" s="2126"/>
      <c r="D71" s="1640"/>
      <c r="E71" s="1641"/>
      <c r="F71" s="1641"/>
      <c r="G71" s="1641"/>
      <c r="H71" s="1641"/>
      <c r="I71" s="1641"/>
      <c r="J71" s="1641"/>
      <c r="K71" s="1641"/>
      <c r="L71" s="1641"/>
      <c r="M71" s="1641"/>
      <c r="N71" s="1642"/>
      <c r="O71" s="2114"/>
      <c r="P71" s="2115"/>
      <c r="Q71" s="2115"/>
      <c r="R71" s="2115"/>
      <c r="S71" s="2115"/>
      <c r="T71" s="2115"/>
      <c r="U71" s="2115"/>
      <c r="V71" s="2116"/>
      <c r="W71" s="1643"/>
      <c r="X71" s="1644"/>
      <c r="Y71" s="1645"/>
      <c r="Z71" s="2131"/>
      <c r="AA71" s="2131"/>
      <c r="AB71" s="2131"/>
      <c r="AC71" s="2131"/>
      <c r="AD71" s="2131"/>
      <c r="AE71" s="2131"/>
      <c r="AF71" s="2131"/>
      <c r="AG71" s="2131"/>
      <c r="AH71" s="2131"/>
      <c r="AI71" s="2132"/>
      <c r="AJ71" s="802"/>
      <c r="AK71" s="126"/>
      <c r="AL71" s="126"/>
      <c r="AM71" s="126"/>
      <c r="AN71" s="126"/>
      <c r="AP71" s="2125"/>
      <c r="AQ71" s="2126"/>
      <c r="AR71" s="1640"/>
      <c r="AS71" s="1641"/>
      <c r="AT71" s="1641"/>
      <c r="AU71" s="1641"/>
      <c r="AV71" s="1641"/>
      <c r="AW71" s="1641"/>
      <c r="AX71" s="1641"/>
      <c r="AY71" s="1641"/>
      <c r="AZ71" s="1641"/>
      <c r="BA71" s="1641"/>
      <c r="BB71" s="1642"/>
      <c r="BC71" s="2117"/>
      <c r="BD71" s="2118"/>
      <c r="BE71" s="2118"/>
      <c r="BF71" s="2118"/>
      <c r="BG71" s="2118"/>
      <c r="BH71" s="2118"/>
      <c r="BI71" s="2118"/>
      <c r="BJ71" s="2119"/>
      <c r="BK71" s="1643"/>
      <c r="BL71" s="1644"/>
      <c r="BM71" s="1645"/>
      <c r="BN71" s="2131"/>
      <c r="BO71" s="2131"/>
      <c r="BP71" s="2131"/>
      <c r="BQ71" s="2131"/>
      <c r="BR71" s="2131"/>
      <c r="BS71" s="2131"/>
      <c r="BT71" s="2131"/>
      <c r="BU71" s="2131"/>
      <c r="BV71" s="2131"/>
      <c r="BW71" s="2132"/>
      <c r="BX71" s="802"/>
    </row>
    <row r="72" spans="2:76" ht="27.95" hidden="1" customHeight="1" outlineLevel="1">
      <c r="B72" s="2125"/>
      <c r="C72" s="2126"/>
      <c r="D72" s="1640"/>
      <c r="E72" s="1641"/>
      <c r="F72" s="1641"/>
      <c r="G72" s="1641"/>
      <c r="H72" s="1641"/>
      <c r="I72" s="1641"/>
      <c r="J72" s="1641"/>
      <c r="K72" s="1641"/>
      <c r="L72" s="1641"/>
      <c r="M72" s="1641"/>
      <c r="N72" s="1642"/>
      <c r="O72" s="2114"/>
      <c r="P72" s="2115"/>
      <c r="Q72" s="2115"/>
      <c r="R72" s="2115"/>
      <c r="S72" s="2115"/>
      <c r="T72" s="2115"/>
      <c r="U72" s="2115"/>
      <c r="V72" s="2116"/>
      <c r="W72" s="1643"/>
      <c r="X72" s="1644"/>
      <c r="Y72" s="1645"/>
      <c r="Z72" s="2131"/>
      <c r="AA72" s="2131"/>
      <c r="AB72" s="2131"/>
      <c r="AC72" s="2131"/>
      <c r="AD72" s="2131"/>
      <c r="AE72" s="2131"/>
      <c r="AF72" s="2131"/>
      <c r="AG72" s="2131"/>
      <c r="AH72" s="2131"/>
      <c r="AI72" s="2132"/>
      <c r="AJ72" s="802"/>
      <c r="AK72" s="126"/>
      <c r="AL72" s="126"/>
      <c r="AM72" s="126"/>
      <c r="AN72" s="126"/>
      <c r="AP72" s="2125"/>
      <c r="AQ72" s="2126"/>
      <c r="AR72" s="1640"/>
      <c r="AS72" s="1641"/>
      <c r="AT72" s="1641"/>
      <c r="AU72" s="1641"/>
      <c r="AV72" s="1641"/>
      <c r="AW72" s="1641"/>
      <c r="AX72" s="1641"/>
      <c r="AY72" s="1641"/>
      <c r="AZ72" s="1641"/>
      <c r="BA72" s="1641"/>
      <c r="BB72" s="1642"/>
      <c r="BC72" s="2117"/>
      <c r="BD72" s="2118"/>
      <c r="BE72" s="2118"/>
      <c r="BF72" s="2118"/>
      <c r="BG72" s="2118"/>
      <c r="BH72" s="2118"/>
      <c r="BI72" s="2118"/>
      <c r="BJ72" s="2119"/>
      <c r="BK72" s="1643"/>
      <c r="BL72" s="1644"/>
      <c r="BM72" s="1645"/>
      <c r="BN72" s="2131"/>
      <c r="BO72" s="2131"/>
      <c r="BP72" s="2131"/>
      <c r="BQ72" s="2131"/>
      <c r="BR72" s="2131"/>
      <c r="BS72" s="2131"/>
      <c r="BT72" s="2131"/>
      <c r="BU72" s="2131"/>
      <c r="BV72" s="2131"/>
      <c r="BW72" s="2132"/>
      <c r="BX72" s="802"/>
    </row>
    <row r="73" spans="2:76" ht="27.95" hidden="1" customHeight="1" outlineLevel="1">
      <c r="B73" s="2125"/>
      <c r="C73" s="2126"/>
      <c r="D73" s="1640"/>
      <c r="E73" s="1641"/>
      <c r="F73" s="1641"/>
      <c r="G73" s="1641"/>
      <c r="H73" s="1641"/>
      <c r="I73" s="1641"/>
      <c r="J73" s="1641"/>
      <c r="K73" s="1641"/>
      <c r="L73" s="1641"/>
      <c r="M73" s="1641"/>
      <c r="N73" s="1642"/>
      <c r="O73" s="2114"/>
      <c r="P73" s="2115"/>
      <c r="Q73" s="2115"/>
      <c r="R73" s="2115"/>
      <c r="S73" s="2115"/>
      <c r="T73" s="2115"/>
      <c r="U73" s="2115"/>
      <c r="V73" s="2116"/>
      <c r="W73" s="1643"/>
      <c r="X73" s="1644"/>
      <c r="Y73" s="1645"/>
      <c r="Z73" s="2131"/>
      <c r="AA73" s="2131"/>
      <c r="AB73" s="2131"/>
      <c r="AC73" s="2131"/>
      <c r="AD73" s="2131"/>
      <c r="AE73" s="2131"/>
      <c r="AF73" s="2131"/>
      <c r="AG73" s="2131"/>
      <c r="AH73" s="2131"/>
      <c r="AI73" s="2132"/>
      <c r="AJ73" s="802"/>
      <c r="AK73" s="126"/>
      <c r="AL73" s="126"/>
      <c r="AM73" s="126"/>
      <c r="AN73" s="126"/>
      <c r="AP73" s="2125"/>
      <c r="AQ73" s="2126"/>
      <c r="AR73" s="1640"/>
      <c r="AS73" s="1641"/>
      <c r="AT73" s="1641"/>
      <c r="AU73" s="1641"/>
      <c r="AV73" s="1641"/>
      <c r="AW73" s="1641"/>
      <c r="AX73" s="1641"/>
      <c r="AY73" s="1641"/>
      <c r="AZ73" s="1641"/>
      <c r="BA73" s="1641"/>
      <c r="BB73" s="1642"/>
      <c r="BC73" s="2117"/>
      <c r="BD73" s="2118"/>
      <c r="BE73" s="2118"/>
      <c r="BF73" s="2118"/>
      <c r="BG73" s="2118"/>
      <c r="BH73" s="2118"/>
      <c r="BI73" s="2118"/>
      <c r="BJ73" s="2119"/>
      <c r="BK73" s="1643"/>
      <c r="BL73" s="1644"/>
      <c r="BM73" s="1645"/>
      <c r="BN73" s="2131"/>
      <c r="BO73" s="2131"/>
      <c r="BP73" s="2131"/>
      <c r="BQ73" s="2131"/>
      <c r="BR73" s="2131"/>
      <c r="BS73" s="2131"/>
      <c r="BT73" s="2131"/>
      <c r="BU73" s="2131"/>
      <c r="BV73" s="2131"/>
      <c r="BW73" s="2132"/>
      <c r="BX73" s="802"/>
    </row>
    <row r="74" spans="2:76" ht="27.95" hidden="1" customHeight="1" outlineLevel="1">
      <c r="B74" s="2125"/>
      <c r="C74" s="2126"/>
      <c r="D74" s="1640"/>
      <c r="E74" s="1641"/>
      <c r="F74" s="1641"/>
      <c r="G74" s="1641"/>
      <c r="H74" s="1641"/>
      <c r="I74" s="1641"/>
      <c r="J74" s="1641"/>
      <c r="K74" s="1641"/>
      <c r="L74" s="1641"/>
      <c r="M74" s="1641"/>
      <c r="N74" s="1642"/>
      <c r="O74" s="2114"/>
      <c r="P74" s="2115"/>
      <c r="Q74" s="2115"/>
      <c r="R74" s="2115"/>
      <c r="S74" s="2115"/>
      <c r="T74" s="2115"/>
      <c r="U74" s="2115"/>
      <c r="V74" s="2116"/>
      <c r="W74" s="1643"/>
      <c r="X74" s="1644"/>
      <c r="Y74" s="1645"/>
      <c r="Z74" s="2131"/>
      <c r="AA74" s="2131"/>
      <c r="AB74" s="2131"/>
      <c r="AC74" s="2131"/>
      <c r="AD74" s="2131"/>
      <c r="AE74" s="2131"/>
      <c r="AF74" s="2131"/>
      <c r="AG74" s="2131"/>
      <c r="AH74" s="2131"/>
      <c r="AI74" s="2132"/>
      <c r="AJ74" s="802"/>
      <c r="AK74" s="126"/>
      <c r="AL74" s="126"/>
      <c r="AM74" s="126"/>
      <c r="AN74" s="126"/>
      <c r="AP74" s="2125"/>
      <c r="AQ74" s="2126"/>
      <c r="AR74" s="1640"/>
      <c r="AS74" s="1641"/>
      <c r="AT74" s="1641"/>
      <c r="AU74" s="1641"/>
      <c r="AV74" s="1641"/>
      <c r="AW74" s="1641"/>
      <c r="AX74" s="1641"/>
      <c r="AY74" s="1641"/>
      <c r="AZ74" s="1641"/>
      <c r="BA74" s="1641"/>
      <c r="BB74" s="1642"/>
      <c r="BC74" s="2117"/>
      <c r="BD74" s="2118"/>
      <c r="BE74" s="2118"/>
      <c r="BF74" s="2118"/>
      <c r="BG74" s="2118"/>
      <c r="BH74" s="2118"/>
      <c r="BI74" s="2118"/>
      <c r="BJ74" s="2119"/>
      <c r="BK74" s="1643"/>
      <c r="BL74" s="1644"/>
      <c r="BM74" s="1645"/>
      <c r="BN74" s="2131"/>
      <c r="BO74" s="2131"/>
      <c r="BP74" s="2131"/>
      <c r="BQ74" s="2131"/>
      <c r="BR74" s="2131"/>
      <c r="BS74" s="2131"/>
      <c r="BT74" s="2131"/>
      <c r="BU74" s="2131"/>
      <c r="BV74" s="2131"/>
      <c r="BW74" s="2132"/>
      <c r="BX74" s="802"/>
    </row>
    <row r="75" spans="2:76" ht="27.95" hidden="1" customHeight="1" outlineLevel="1">
      <c r="B75" s="2125"/>
      <c r="C75" s="2126"/>
      <c r="D75" s="1640"/>
      <c r="E75" s="1641"/>
      <c r="F75" s="1641"/>
      <c r="G75" s="1641"/>
      <c r="H75" s="1641"/>
      <c r="I75" s="1641"/>
      <c r="J75" s="1641"/>
      <c r="K75" s="1641"/>
      <c r="L75" s="1641"/>
      <c r="M75" s="1641"/>
      <c r="N75" s="1642"/>
      <c r="O75" s="2114"/>
      <c r="P75" s="2115"/>
      <c r="Q75" s="2115"/>
      <c r="R75" s="2115"/>
      <c r="S75" s="2115"/>
      <c r="T75" s="2115"/>
      <c r="U75" s="2115"/>
      <c r="V75" s="2116"/>
      <c r="W75" s="1643"/>
      <c r="X75" s="1644"/>
      <c r="Y75" s="1645"/>
      <c r="Z75" s="2131"/>
      <c r="AA75" s="2131"/>
      <c r="AB75" s="2131"/>
      <c r="AC75" s="2131"/>
      <c r="AD75" s="2131"/>
      <c r="AE75" s="2131"/>
      <c r="AF75" s="2131"/>
      <c r="AG75" s="2131"/>
      <c r="AH75" s="2131"/>
      <c r="AI75" s="2132"/>
      <c r="AJ75" s="802"/>
      <c r="AK75" s="126"/>
      <c r="AL75" s="126"/>
      <c r="AM75" s="126"/>
      <c r="AN75" s="126"/>
      <c r="AP75" s="2125"/>
      <c r="AQ75" s="2126"/>
      <c r="AR75" s="1640"/>
      <c r="AS75" s="1641"/>
      <c r="AT75" s="1641"/>
      <c r="AU75" s="1641"/>
      <c r="AV75" s="1641"/>
      <c r="AW75" s="1641"/>
      <c r="AX75" s="1641"/>
      <c r="AY75" s="1641"/>
      <c r="AZ75" s="1641"/>
      <c r="BA75" s="1641"/>
      <c r="BB75" s="1642"/>
      <c r="BC75" s="2117"/>
      <c r="BD75" s="2118"/>
      <c r="BE75" s="2118"/>
      <c r="BF75" s="2118"/>
      <c r="BG75" s="2118"/>
      <c r="BH75" s="2118"/>
      <c r="BI75" s="2118"/>
      <c r="BJ75" s="2119"/>
      <c r="BK75" s="1643"/>
      <c r="BL75" s="1644"/>
      <c r="BM75" s="1645"/>
      <c r="BN75" s="2131"/>
      <c r="BO75" s="2131"/>
      <c r="BP75" s="2131"/>
      <c r="BQ75" s="2131"/>
      <c r="BR75" s="2131"/>
      <c r="BS75" s="2131"/>
      <c r="BT75" s="2131"/>
      <c r="BU75" s="2131"/>
      <c r="BV75" s="2131"/>
      <c r="BW75" s="2132"/>
      <c r="BX75" s="802"/>
    </row>
    <row r="76" spans="2:76" ht="27.95" hidden="1" customHeight="1" outlineLevel="1">
      <c r="B76" s="2125"/>
      <c r="C76" s="2126"/>
      <c r="D76" s="1640"/>
      <c r="E76" s="1641"/>
      <c r="F76" s="1641"/>
      <c r="G76" s="1641"/>
      <c r="H76" s="1641"/>
      <c r="I76" s="1641"/>
      <c r="J76" s="1641"/>
      <c r="K76" s="1641"/>
      <c r="L76" s="1641"/>
      <c r="M76" s="1641"/>
      <c r="N76" s="1642"/>
      <c r="O76" s="2114"/>
      <c r="P76" s="2115"/>
      <c r="Q76" s="2115"/>
      <c r="R76" s="2115"/>
      <c r="S76" s="2115"/>
      <c r="T76" s="2115"/>
      <c r="U76" s="2115"/>
      <c r="V76" s="2116"/>
      <c r="W76" s="1643"/>
      <c r="X76" s="1644"/>
      <c r="Y76" s="1645"/>
      <c r="Z76" s="2131"/>
      <c r="AA76" s="2131"/>
      <c r="AB76" s="2131"/>
      <c r="AC76" s="2131"/>
      <c r="AD76" s="2131"/>
      <c r="AE76" s="2131"/>
      <c r="AF76" s="2131"/>
      <c r="AG76" s="2131"/>
      <c r="AH76" s="2131"/>
      <c r="AI76" s="2132"/>
      <c r="AJ76" s="802"/>
      <c r="AK76" s="126"/>
      <c r="AL76" s="126"/>
      <c r="AM76" s="126"/>
      <c r="AN76" s="126"/>
      <c r="AP76" s="2125"/>
      <c r="AQ76" s="2126"/>
      <c r="AR76" s="1640"/>
      <c r="AS76" s="1641"/>
      <c r="AT76" s="1641"/>
      <c r="AU76" s="1641"/>
      <c r="AV76" s="1641"/>
      <c r="AW76" s="1641"/>
      <c r="AX76" s="1641"/>
      <c r="AY76" s="1641"/>
      <c r="AZ76" s="1641"/>
      <c r="BA76" s="1641"/>
      <c r="BB76" s="1642"/>
      <c r="BC76" s="2117"/>
      <c r="BD76" s="2118"/>
      <c r="BE76" s="2118"/>
      <c r="BF76" s="2118"/>
      <c r="BG76" s="2118"/>
      <c r="BH76" s="2118"/>
      <c r="BI76" s="2118"/>
      <c r="BJ76" s="2119"/>
      <c r="BK76" s="1643"/>
      <c r="BL76" s="1644"/>
      <c r="BM76" s="1645"/>
      <c r="BN76" s="2131"/>
      <c r="BO76" s="2131"/>
      <c r="BP76" s="2131"/>
      <c r="BQ76" s="2131"/>
      <c r="BR76" s="2131"/>
      <c r="BS76" s="2131"/>
      <c r="BT76" s="2131"/>
      <c r="BU76" s="2131"/>
      <c r="BV76" s="2131"/>
      <c r="BW76" s="2132"/>
      <c r="BX76" s="802"/>
    </row>
    <row r="77" spans="2:76" ht="27.95" hidden="1" customHeight="1" outlineLevel="1">
      <c r="B77" s="2125"/>
      <c r="C77" s="2126"/>
      <c r="D77" s="1640"/>
      <c r="E77" s="1641"/>
      <c r="F77" s="1641"/>
      <c r="G77" s="1641"/>
      <c r="H77" s="1641"/>
      <c r="I77" s="1641"/>
      <c r="J77" s="1641"/>
      <c r="K77" s="1641"/>
      <c r="L77" s="1641"/>
      <c r="M77" s="1641"/>
      <c r="N77" s="1642"/>
      <c r="O77" s="2114"/>
      <c r="P77" s="2115"/>
      <c r="Q77" s="2115"/>
      <c r="R77" s="2115"/>
      <c r="S77" s="2115"/>
      <c r="T77" s="2115"/>
      <c r="U77" s="2115"/>
      <c r="V77" s="2116"/>
      <c r="W77" s="1643"/>
      <c r="X77" s="1644"/>
      <c r="Y77" s="1645"/>
      <c r="Z77" s="2131"/>
      <c r="AA77" s="2131"/>
      <c r="AB77" s="2131"/>
      <c r="AC77" s="2131"/>
      <c r="AD77" s="2131"/>
      <c r="AE77" s="2131"/>
      <c r="AF77" s="2131"/>
      <c r="AG77" s="2131"/>
      <c r="AH77" s="2131"/>
      <c r="AI77" s="2132"/>
      <c r="AJ77" s="802"/>
      <c r="AK77" s="126"/>
      <c r="AL77" s="126"/>
      <c r="AM77" s="126"/>
      <c r="AN77" s="126"/>
      <c r="AP77" s="2125"/>
      <c r="AQ77" s="2126"/>
      <c r="AR77" s="1640"/>
      <c r="AS77" s="1641"/>
      <c r="AT77" s="1641"/>
      <c r="AU77" s="1641"/>
      <c r="AV77" s="1641"/>
      <c r="AW77" s="1641"/>
      <c r="AX77" s="1641"/>
      <c r="AY77" s="1641"/>
      <c r="AZ77" s="1641"/>
      <c r="BA77" s="1641"/>
      <c r="BB77" s="1642"/>
      <c r="BC77" s="2117"/>
      <c r="BD77" s="2118"/>
      <c r="BE77" s="2118"/>
      <c r="BF77" s="2118"/>
      <c r="BG77" s="2118"/>
      <c r="BH77" s="2118"/>
      <c r="BI77" s="2118"/>
      <c r="BJ77" s="2119"/>
      <c r="BK77" s="1643"/>
      <c r="BL77" s="1644"/>
      <c r="BM77" s="1645"/>
      <c r="BN77" s="2131"/>
      <c r="BO77" s="2131"/>
      <c r="BP77" s="2131"/>
      <c r="BQ77" s="2131"/>
      <c r="BR77" s="2131"/>
      <c r="BS77" s="2131"/>
      <c r="BT77" s="2131"/>
      <c r="BU77" s="2131"/>
      <c r="BV77" s="2131"/>
      <c r="BW77" s="2132"/>
      <c r="BX77" s="802"/>
    </row>
    <row r="78" spans="2:76" ht="27.95" hidden="1" customHeight="1" outlineLevel="1">
      <c r="B78" s="2125"/>
      <c r="C78" s="2126"/>
      <c r="D78" s="1640"/>
      <c r="E78" s="1641"/>
      <c r="F78" s="1641"/>
      <c r="G78" s="1641"/>
      <c r="H78" s="1641"/>
      <c r="I78" s="1641"/>
      <c r="J78" s="1641"/>
      <c r="K78" s="1641"/>
      <c r="L78" s="1641"/>
      <c r="M78" s="1641"/>
      <c r="N78" s="1642"/>
      <c r="O78" s="2114"/>
      <c r="P78" s="2115"/>
      <c r="Q78" s="2115"/>
      <c r="R78" s="2115"/>
      <c r="S78" s="2115"/>
      <c r="T78" s="2115"/>
      <c r="U78" s="2115"/>
      <c r="V78" s="2116"/>
      <c r="W78" s="1643"/>
      <c r="X78" s="1644"/>
      <c r="Y78" s="1645"/>
      <c r="Z78" s="2131"/>
      <c r="AA78" s="2131"/>
      <c r="AB78" s="2131"/>
      <c r="AC78" s="2131"/>
      <c r="AD78" s="2131"/>
      <c r="AE78" s="2131"/>
      <c r="AF78" s="2131"/>
      <c r="AG78" s="2131"/>
      <c r="AH78" s="2131"/>
      <c r="AI78" s="2132"/>
      <c r="AJ78" s="802"/>
      <c r="AK78" s="126"/>
      <c r="AL78" s="126"/>
      <c r="AM78" s="126"/>
      <c r="AN78" s="126"/>
      <c r="AP78" s="2125"/>
      <c r="AQ78" s="2126"/>
      <c r="AR78" s="1640"/>
      <c r="AS78" s="1641"/>
      <c r="AT78" s="1641"/>
      <c r="AU78" s="1641"/>
      <c r="AV78" s="1641"/>
      <c r="AW78" s="1641"/>
      <c r="AX78" s="1641"/>
      <c r="AY78" s="1641"/>
      <c r="AZ78" s="1641"/>
      <c r="BA78" s="1641"/>
      <c r="BB78" s="1642"/>
      <c r="BC78" s="2117"/>
      <c r="BD78" s="2118"/>
      <c r="BE78" s="2118"/>
      <c r="BF78" s="2118"/>
      <c r="BG78" s="2118"/>
      <c r="BH78" s="2118"/>
      <c r="BI78" s="2118"/>
      <c r="BJ78" s="2119"/>
      <c r="BK78" s="1643"/>
      <c r="BL78" s="1644"/>
      <c r="BM78" s="1645"/>
      <c r="BN78" s="2131"/>
      <c r="BO78" s="2131"/>
      <c r="BP78" s="2131"/>
      <c r="BQ78" s="2131"/>
      <c r="BR78" s="2131"/>
      <c r="BS78" s="2131"/>
      <c r="BT78" s="2131"/>
      <c r="BU78" s="2131"/>
      <c r="BV78" s="2131"/>
      <c r="BW78" s="2132"/>
      <c r="BX78" s="802"/>
    </row>
    <row r="79" spans="2:76" ht="27.95" hidden="1" customHeight="1" outlineLevel="1">
      <c r="B79" s="2125"/>
      <c r="C79" s="2126"/>
      <c r="D79" s="1640"/>
      <c r="E79" s="1641"/>
      <c r="F79" s="1641"/>
      <c r="G79" s="1641"/>
      <c r="H79" s="1641"/>
      <c r="I79" s="1641"/>
      <c r="J79" s="1641"/>
      <c r="K79" s="1641"/>
      <c r="L79" s="1641"/>
      <c r="M79" s="1641"/>
      <c r="N79" s="1642"/>
      <c r="O79" s="2114"/>
      <c r="P79" s="2115"/>
      <c r="Q79" s="2115"/>
      <c r="R79" s="2115"/>
      <c r="S79" s="2115"/>
      <c r="T79" s="2115"/>
      <c r="U79" s="2115"/>
      <c r="V79" s="2116"/>
      <c r="W79" s="1643"/>
      <c r="X79" s="1644"/>
      <c r="Y79" s="1645"/>
      <c r="Z79" s="2131"/>
      <c r="AA79" s="2131"/>
      <c r="AB79" s="2131"/>
      <c r="AC79" s="2131"/>
      <c r="AD79" s="2131"/>
      <c r="AE79" s="2131"/>
      <c r="AF79" s="2131"/>
      <c r="AG79" s="2131"/>
      <c r="AH79" s="2131"/>
      <c r="AI79" s="2132"/>
      <c r="AJ79" s="802"/>
      <c r="AK79" s="126"/>
      <c r="AL79" s="126"/>
      <c r="AM79" s="126"/>
      <c r="AN79" s="126"/>
      <c r="AP79" s="2125"/>
      <c r="AQ79" s="2126"/>
      <c r="AR79" s="1640"/>
      <c r="AS79" s="1641"/>
      <c r="AT79" s="1641"/>
      <c r="AU79" s="1641"/>
      <c r="AV79" s="1641"/>
      <c r="AW79" s="1641"/>
      <c r="AX79" s="1641"/>
      <c r="AY79" s="1641"/>
      <c r="AZ79" s="1641"/>
      <c r="BA79" s="1641"/>
      <c r="BB79" s="1642"/>
      <c r="BC79" s="2117"/>
      <c r="BD79" s="2118"/>
      <c r="BE79" s="2118"/>
      <c r="BF79" s="2118"/>
      <c r="BG79" s="2118"/>
      <c r="BH79" s="2118"/>
      <c r="BI79" s="2118"/>
      <c r="BJ79" s="2119"/>
      <c r="BK79" s="1643"/>
      <c r="BL79" s="1644"/>
      <c r="BM79" s="1645"/>
      <c r="BN79" s="2131"/>
      <c r="BO79" s="2131"/>
      <c r="BP79" s="2131"/>
      <c r="BQ79" s="2131"/>
      <c r="BR79" s="2131"/>
      <c r="BS79" s="2131"/>
      <c r="BT79" s="2131"/>
      <c r="BU79" s="2131"/>
      <c r="BV79" s="2131"/>
      <c r="BW79" s="2132"/>
      <c r="BX79" s="802"/>
    </row>
    <row r="80" spans="2:76" ht="27.95" hidden="1" customHeight="1" outlineLevel="1">
      <c r="B80" s="2125"/>
      <c r="C80" s="2126"/>
      <c r="D80" s="1640"/>
      <c r="E80" s="1641"/>
      <c r="F80" s="1641"/>
      <c r="G80" s="1641"/>
      <c r="H80" s="1641"/>
      <c r="I80" s="1641"/>
      <c r="J80" s="1641"/>
      <c r="K80" s="1641"/>
      <c r="L80" s="1641"/>
      <c r="M80" s="1641"/>
      <c r="N80" s="1642"/>
      <c r="O80" s="2114"/>
      <c r="P80" s="2115"/>
      <c r="Q80" s="2115"/>
      <c r="R80" s="2115"/>
      <c r="S80" s="2115"/>
      <c r="T80" s="2115"/>
      <c r="U80" s="2115"/>
      <c r="V80" s="2116"/>
      <c r="W80" s="1643"/>
      <c r="X80" s="1644"/>
      <c r="Y80" s="1645"/>
      <c r="Z80" s="2131"/>
      <c r="AA80" s="2131"/>
      <c r="AB80" s="2131"/>
      <c r="AC80" s="2131"/>
      <c r="AD80" s="2131"/>
      <c r="AE80" s="2131"/>
      <c r="AF80" s="2131"/>
      <c r="AG80" s="2131"/>
      <c r="AH80" s="2131"/>
      <c r="AI80" s="2132"/>
      <c r="AJ80" s="802"/>
      <c r="AK80" s="126"/>
      <c r="AL80" s="126"/>
      <c r="AM80" s="126"/>
      <c r="AN80" s="126"/>
      <c r="AP80" s="2125"/>
      <c r="AQ80" s="2126"/>
      <c r="AR80" s="1640"/>
      <c r="AS80" s="1641"/>
      <c r="AT80" s="1641"/>
      <c r="AU80" s="1641"/>
      <c r="AV80" s="1641"/>
      <c r="AW80" s="1641"/>
      <c r="AX80" s="1641"/>
      <c r="AY80" s="1641"/>
      <c r="AZ80" s="1641"/>
      <c r="BA80" s="1641"/>
      <c r="BB80" s="1642"/>
      <c r="BC80" s="2117"/>
      <c r="BD80" s="2118"/>
      <c r="BE80" s="2118"/>
      <c r="BF80" s="2118"/>
      <c r="BG80" s="2118"/>
      <c r="BH80" s="2118"/>
      <c r="BI80" s="2118"/>
      <c r="BJ80" s="2119"/>
      <c r="BK80" s="1643"/>
      <c r="BL80" s="1644"/>
      <c r="BM80" s="1645"/>
      <c r="BN80" s="2131"/>
      <c r="BO80" s="2131"/>
      <c r="BP80" s="2131"/>
      <c r="BQ80" s="2131"/>
      <c r="BR80" s="2131"/>
      <c r="BS80" s="2131"/>
      <c r="BT80" s="2131"/>
      <c r="BU80" s="2131"/>
      <c r="BV80" s="2131"/>
      <c r="BW80" s="2132"/>
      <c r="BX80" s="802"/>
    </row>
    <row r="81" spans="1:76" ht="27.95" hidden="1" customHeight="1" outlineLevel="1">
      <c r="B81" s="2125"/>
      <c r="C81" s="2126"/>
      <c r="D81" s="1640"/>
      <c r="E81" s="1641"/>
      <c r="F81" s="1641"/>
      <c r="G81" s="1641"/>
      <c r="H81" s="1641"/>
      <c r="I81" s="1641"/>
      <c r="J81" s="1641"/>
      <c r="K81" s="1641"/>
      <c r="L81" s="1641"/>
      <c r="M81" s="1641"/>
      <c r="N81" s="1642"/>
      <c r="O81" s="2114"/>
      <c r="P81" s="2115"/>
      <c r="Q81" s="2115"/>
      <c r="R81" s="2115"/>
      <c r="S81" s="2115"/>
      <c r="T81" s="2115"/>
      <c r="U81" s="2115"/>
      <c r="V81" s="2116"/>
      <c r="W81" s="1643"/>
      <c r="X81" s="1644"/>
      <c r="Y81" s="1645"/>
      <c r="Z81" s="2131"/>
      <c r="AA81" s="2131"/>
      <c r="AB81" s="2131"/>
      <c r="AC81" s="2131"/>
      <c r="AD81" s="2131"/>
      <c r="AE81" s="2131"/>
      <c r="AF81" s="2131"/>
      <c r="AG81" s="2131"/>
      <c r="AH81" s="2131"/>
      <c r="AI81" s="2132"/>
      <c r="AJ81" s="802"/>
      <c r="AK81" s="126"/>
      <c r="AL81" s="126"/>
      <c r="AM81" s="126"/>
      <c r="AN81" s="126"/>
      <c r="AP81" s="2125"/>
      <c r="AQ81" s="2126"/>
      <c r="AR81" s="1640"/>
      <c r="AS81" s="1641"/>
      <c r="AT81" s="1641"/>
      <c r="AU81" s="1641"/>
      <c r="AV81" s="1641"/>
      <c r="AW81" s="1641"/>
      <c r="AX81" s="1641"/>
      <c r="AY81" s="1641"/>
      <c r="AZ81" s="1641"/>
      <c r="BA81" s="1641"/>
      <c r="BB81" s="1642"/>
      <c r="BC81" s="2117"/>
      <c r="BD81" s="2118"/>
      <c r="BE81" s="2118"/>
      <c r="BF81" s="2118"/>
      <c r="BG81" s="2118"/>
      <c r="BH81" s="2118"/>
      <c r="BI81" s="2118"/>
      <c r="BJ81" s="2119"/>
      <c r="BK81" s="1643"/>
      <c r="BL81" s="1644"/>
      <c r="BM81" s="1645"/>
      <c r="BN81" s="2131"/>
      <c r="BO81" s="2131"/>
      <c r="BP81" s="2131"/>
      <c r="BQ81" s="2131"/>
      <c r="BR81" s="2131"/>
      <c r="BS81" s="2131"/>
      <c r="BT81" s="2131"/>
      <c r="BU81" s="2131"/>
      <c r="BV81" s="2131"/>
      <c r="BW81" s="2132"/>
      <c r="BX81" s="802"/>
    </row>
    <row r="82" spans="1:76" ht="27.95" hidden="1" customHeight="1" outlineLevel="1">
      <c r="B82" s="2125"/>
      <c r="C82" s="2126"/>
      <c r="D82" s="1640"/>
      <c r="E82" s="1641"/>
      <c r="F82" s="1641"/>
      <c r="G82" s="1641"/>
      <c r="H82" s="1641"/>
      <c r="I82" s="1641"/>
      <c r="J82" s="1641"/>
      <c r="K82" s="1641"/>
      <c r="L82" s="1641"/>
      <c r="M82" s="1641"/>
      <c r="N82" s="1642"/>
      <c r="O82" s="2114"/>
      <c r="P82" s="2115"/>
      <c r="Q82" s="2115"/>
      <c r="R82" s="2115"/>
      <c r="S82" s="2115"/>
      <c r="T82" s="2115"/>
      <c r="U82" s="2115"/>
      <c r="V82" s="2116"/>
      <c r="W82" s="1643"/>
      <c r="X82" s="1644"/>
      <c r="Y82" s="1645"/>
      <c r="Z82" s="2131"/>
      <c r="AA82" s="2131"/>
      <c r="AB82" s="2131"/>
      <c r="AC82" s="2131"/>
      <c r="AD82" s="2131"/>
      <c r="AE82" s="2131"/>
      <c r="AF82" s="2131"/>
      <c r="AG82" s="2131"/>
      <c r="AH82" s="2131"/>
      <c r="AI82" s="2132"/>
      <c r="AJ82" s="802"/>
      <c r="AK82" s="126"/>
      <c r="AL82" s="126"/>
      <c r="AM82" s="126"/>
      <c r="AN82" s="126"/>
      <c r="AP82" s="2125"/>
      <c r="AQ82" s="2126"/>
      <c r="AR82" s="1640"/>
      <c r="AS82" s="1641"/>
      <c r="AT82" s="1641"/>
      <c r="AU82" s="1641"/>
      <c r="AV82" s="1641"/>
      <c r="AW82" s="1641"/>
      <c r="AX82" s="1641"/>
      <c r="AY82" s="1641"/>
      <c r="AZ82" s="1641"/>
      <c r="BA82" s="1641"/>
      <c r="BB82" s="1642"/>
      <c r="BC82" s="2117"/>
      <c r="BD82" s="2118"/>
      <c r="BE82" s="2118"/>
      <c r="BF82" s="2118"/>
      <c r="BG82" s="2118"/>
      <c r="BH82" s="2118"/>
      <c r="BI82" s="2118"/>
      <c r="BJ82" s="2119"/>
      <c r="BK82" s="1643"/>
      <c r="BL82" s="1644"/>
      <c r="BM82" s="1645"/>
      <c r="BN82" s="2131"/>
      <c r="BO82" s="2131"/>
      <c r="BP82" s="2131"/>
      <c r="BQ82" s="2131"/>
      <c r="BR82" s="2131"/>
      <c r="BS82" s="2131"/>
      <c r="BT82" s="2131"/>
      <c r="BU82" s="2131"/>
      <c r="BV82" s="2131"/>
      <c r="BW82" s="2132"/>
      <c r="BX82" s="802"/>
    </row>
    <row r="83" spans="1:76" ht="27.95" hidden="1" customHeight="1" outlineLevel="1">
      <c r="B83" s="2125"/>
      <c r="C83" s="2126"/>
      <c r="D83" s="1640"/>
      <c r="E83" s="1641"/>
      <c r="F83" s="1641"/>
      <c r="G83" s="1641"/>
      <c r="H83" s="1641"/>
      <c r="I83" s="1641"/>
      <c r="J83" s="1641"/>
      <c r="K83" s="1641"/>
      <c r="L83" s="1641"/>
      <c r="M83" s="1641"/>
      <c r="N83" s="1642"/>
      <c r="O83" s="2114"/>
      <c r="P83" s="2115"/>
      <c r="Q83" s="2115"/>
      <c r="R83" s="2115"/>
      <c r="S83" s="2115"/>
      <c r="T83" s="2115"/>
      <c r="U83" s="2115"/>
      <c r="V83" s="2116"/>
      <c r="W83" s="1643"/>
      <c r="X83" s="1644"/>
      <c r="Y83" s="1645"/>
      <c r="Z83" s="2131"/>
      <c r="AA83" s="2131"/>
      <c r="AB83" s="2131"/>
      <c r="AC83" s="2131"/>
      <c r="AD83" s="2131"/>
      <c r="AE83" s="2131"/>
      <c r="AF83" s="2131"/>
      <c r="AG83" s="2131"/>
      <c r="AH83" s="2131"/>
      <c r="AI83" s="2132"/>
      <c r="AJ83" s="802"/>
      <c r="AK83" s="126"/>
      <c r="AL83" s="126"/>
      <c r="AM83" s="126"/>
      <c r="AN83" s="126"/>
      <c r="AP83" s="2125"/>
      <c r="AQ83" s="2126"/>
      <c r="AR83" s="1640"/>
      <c r="AS83" s="1641"/>
      <c r="AT83" s="1641"/>
      <c r="AU83" s="1641"/>
      <c r="AV83" s="1641"/>
      <c r="AW83" s="1641"/>
      <c r="AX83" s="1641"/>
      <c r="AY83" s="1641"/>
      <c r="AZ83" s="1641"/>
      <c r="BA83" s="1641"/>
      <c r="BB83" s="1642"/>
      <c r="BC83" s="2117"/>
      <c r="BD83" s="2118"/>
      <c r="BE83" s="2118"/>
      <c r="BF83" s="2118"/>
      <c r="BG83" s="2118"/>
      <c r="BH83" s="2118"/>
      <c r="BI83" s="2118"/>
      <c r="BJ83" s="2119"/>
      <c r="BK83" s="1643"/>
      <c r="BL83" s="1644"/>
      <c r="BM83" s="1645"/>
      <c r="BN83" s="2131"/>
      <c r="BO83" s="2131"/>
      <c r="BP83" s="2131"/>
      <c r="BQ83" s="2131"/>
      <c r="BR83" s="2131"/>
      <c r="BS83" s="2131"/>
      <c r="BT83" s="2131"/>
      <c r="BU83" s="2131"/>
      <c r="BV83" s="2131"/>
      <c r="BW83" s="2132"/>
      <c r="BX83" s="802"/>
    </row>
    <row r="84" spans="1:76" ht="27.95" hidden="1" customHeight="1" outlineLevel="1">
      <c r="B84" s="2125"/>
      <c r="C84" s="2126"/>
      <c r="D84" s="1640"/>
      <c r="E84" s="1641"/>
      <c r="F84" s="1641"/>
      <c r="G84" s="1641"/>
      <c r="H84" s="1641"/>
      <c r="I84" s="1641"/>
      <c r="J84" s="1641"/>
      <c r="K84" s="1641"/>
      <c r="L84" s="1641"/>
      <c r="M84" s="1641"/>
      <c r="N84" s="1642"/>
      <c r="O84" s="2114"/>
      <c r="P84" s="2115"/>
      <c r="Q84" s="2115"/>
      <c r="R84" s="2115"/>
      <c r="S84" s="2115"/>
      <c r="T84" s="2115"/>
      <c r="U84" s="2115"/>
      <c r="V84" s="2116"/>
      <c r="W84" s="1643"/>
      <c r="X84" s="1644"/>
      <c r="Y84" s="1645"/>
      <c r="Z84" s="2131"/>
      <c r="AA84" s="2131"/>
      <c r="AB84" s="2131"/>
      <c r="AC84" s="2131"/>
      <c r="AD84" s="2131"/>
      <c r="AE84" s="2131"/>
      <c r="AF84" s="2131"/>
      <c r="AG84" s="2131"/>
      <c r="AH84" s="2131"/>
      <c r="AI84" s="2132"/>
      <c r="AJ84" s="802"/>
      <c r="AK84" s="126"/>
      <c r="AL84" s="126"/>
      <c r="AM84" s="126"/>
      <c r="AN84" s="126"/>
      <c r="AP84" s="2125"/>
      <c r="AQ84" s="2126"/>
      <c r="AR84" s="1640"/>
      <c r="AS84" s="1641"/>
      <c r="AT84" s="1641"/>
      <c r="AU84" s="1641"/>
      <c r="AV84" s="1641"/>
      <c r="AW84" s="1641"/>
      <c r="AX84" s="1641"/>
      <c r="AY84" s="1641"/>
      <c r="AZ84" s="1641"/>
      <c r="BA84" s="1641"/>
      <c r="BB84" s="1642"/>
      <c r="BC84" s="2117"/>
      <c r="BD84" s="2118"/>
      <c r="BE84" s="2118"/>
      <c r="BF84" s="2118"/>
      <c r="BG84" s="2118"/>
      <c r="BH84" s="2118"/>
      <c r="BI84" s="2118"/>
      <c r="BJ84" s="2119"/>
      <c r="BK84" s="1643"/>
      <c r="BL84" s="1644"/>
      <c r="BM84" s="1645"/>
      <c r="BN84" s="2131"/>
      <c r="BO84" s="2131"/>
      <c r="BP84" s="2131"/>
      <c r="BQ84" s="2131"/>
      <c r="BR84" s="2131"/>
      <c r="BS84" s="2131"/>
      <c r="BT84" s="2131"/>
      <c r="BU84" s="2131"/>
      <c r="BV84" s="2131"/>
      <c r="BW84" s="2132"/>
      <c r="BX84" s="802"/>
    </row>
    <row r="85" spans="1:76" ht="27.95" hidden="1" customHeight="1" outlineLevel="1">
      <c r="B85" s="2125"/>
      <c r="C85" s="2126"/>
      <c r="D85" s="1640"/>
      <c r="E85" s="1641"/>
      <c r="F85" s="1641"/>
      <c r="G85" s="1641"/>
      <c r="H85" s="1641"/>
      <c r="I85" s="1641"/>
      <c r="J85" s="1641"/>
      <c r="K85" s="1641"/>
      <c r="L85" s="1641"/>
      <c r="M85" s="1641"/>
      <c r="N85" s="1642"/>
      <c r="O85" s="2114"/>
      <c r="P85" s="2115"/>
      <c r="Q85" s="2115"/>
      <c r="R85" s="2115"/>
      <c r="S85" s="2115"/>
      <c r="T85" s="2115"/>
      <c r="U85" s="2115"/>
      <c r="V85" s="2116"/>
      <c r="W85" s="1643"/>
      <c r="X85" s="1644"/>
      <c r="Y85" s="1645"/>
      <c r="Z85" s="2131"/>
      <c r="AA85" s="2131"/>
      <c r="AB85" s="2131"/>
      <c r="AC85" s="2131"/>
      <c r="AD85" s="2131"/>
      <c r="AE85" s="2131"/>
      <c r="AF85" s="2131"/>
      <c r="AG85" s="2131"/>
      <c r="AH85" s="2131"/>
      <c r="AI85" s="2132"/>
      <c r="AJ85" s="802"/>
      <c r="AK85" s="126"/>
      <c r="AL85" s="126"/>
      <c r="AM85" s="126"/>
      <c r="AN85" s="126"/>
      <c r="AP85" s="2125"/>
      <c r="AQ85" s="2126"/>
      <c r="AR85" s="1640"/>
      <c r="AS85" s="1641"/>
      <c r="AT85" s="1641"/>
      <c r="AU85" s="1641"/>
      <c r="AV85" s="1641"/>
      <c r="AW85" s="1641"/>
      <c r="AX85" s="1641"/>
      <c r="AY85" s="1641"/>
      <c r="AZ85" s="1641"/>
      <c r="BA85" s="1641"/>
      <c r="BB85" s="1642"/>
      <c r="BC85" s="2117"/>
      <c r="BD85" s="2118"/>
      <c r="BE85" s="2118"/>
      <c r="BF85" s="2118"/>
      <c r="BG85" s="2118"/>
      <c r="BH85" s="2118"/>
      <c r="BI85" s="2118"/>
      <c r="BJ85" s="2119"/>
      <c r="BK85" s="1643"/>
      <c r="BL85" s="1644"/>
      <c r="BM85" s="1645"/>
      <c r="BN85" s="2131"/>
      <c r="BO85" s="2131"/>
      <c r="BP85" s="2131"/>
      <c r="BQ85" s="2131"/>
      <c r="BR85" s="2131"/>
      <c r="BS85" s="2131"/>
      <c r="BT85" s="2131"/>
      <c r="BU85" s="2131"/>
      <c r="BV85" s="2131"/>
      <c r="BW85" s="2132"/>
      <c r="BX85" s="802"/>
    </row>
    <row r="86" spans="1:76" ht="27.95" hidden="1" customHeight="1" outlineLevel="1">
      <c r="B86" s="2125"/>
      <c r="C86" s="2126"/>
      <c r="D86" s="1640"/>
      <c r="E86" s="1641"/>
      <c r="F86" s="1641"/>
      <c r="G86" s="1641"/>
      <c r="H86" s="1641"/>
      <c r="I86" s="1641"/>
      <c r="J86" s="1641"/>
      <c r="K86" s="1641"/>
      <c r="L86" s="1641"/>
      <c r="M86" s="1641"/>
      <c r="N86" s="1642"/>
      <c r="O86" s="2114"/>
      <c r="P86" s="2115"/>
      <c r="Q86" s="2115"/>
      <c r="R86" s="2115"/>
      <c r="S86" s="2115"/>
      <c r="T86" s="2115"/>
      <c r="U86" s="2115"/>
      <c r="V86" s="2116"/>
      <c r="W86" s="1643"/>
      <c r="X86" s="1644"/>
      <c r="Y86" s="1645"/>
      <c r="Z86" s="2131"/>
      <c r="AA86" s="2131"/>
      <c r="AB86" s="2131"/>
      <c r="AC86" s="2131"/>
      <c r="AD86" s="2131"/>
      <c r="AE86" s="2131"/>
      <c r="AF86" s="2131"/>
      <c r="AG86" s="2131"/>
      <c r="AH86" s="2131"/>
      <c r="AI86" s="2132"/>
      <c r="AJ86" s="802"/>
      <c r="AK86" s="126"/>
      <c r="AL86" s="126"/>
      <c r="AM86" s="126"/>
      <c r="AN86" s="126"/>
      <c r="AP86" s="2125"/>
      <c r="AQ86" s="2126"/>
      <c r="AR86" s="1640"/>
      <c r="AS86" s="1641"/>
      <c r="AT86" s="1641"/>
      <c r="AU86" s="1641"/>
      <c r="AV86" s="1641"/>
      <c r="AW86" s="1641"/>
      <c r="AX86" s="1641"/>
      <c r="AY86" s="1641"/>
      <c r="AZ86" s="1641"/>
      <c r="BA86" s="1641"/>
      <c r="BB86" s="1642"/>
      <c r="BC86" s="2117"/>
      <c r="BD86" s="2118"/>
      <c r="BE86" s="2118"/>
      <c r="BF86" s="2118"/>
      <c r="BG86" s="2118"/>
      <c r="BH86" s="2118"/>
      <c r="BI86" s="2118"/>
      <c r="BJ86" s="2119"/>
      <c r="BK86" s="1643"/>
      <c r="BL86" s="1644"/>
      <c r="BM86" s="1645"/>
      <c r="BN86" s="2131"/>
      <c r="BO86" s="2131"/>
      <c r="BP86" s="2131"/>
      <c r="BQ86" s="2131"/>
      <c r="BR86" s="2131"/>
      <c r="BS86" s="2131"/>
      <c r="BT86" s="2131"/>
      <c r="BU86" s="2131"/>
      <c r="BV86" s="2131"/>
      <c r="BW86" s="2132"/>
      <c r="BX86" s="802"/>
    </row>
    <row r="87" spans="1:76" ht="27.95" hidden="1" customHeight="1" outlineLevel="1">
      <c r="B87" s="2125"/>
      <c r="C87" s="2126"/>
      <c r="D87" s="1640"/>
      <c r="E87" s="1641"/>
      <c r="F87" s="1641"/>
      <c r="G87" s="1641"/>
      <c r="H87" s="1641"/>
      <c r="I87" s="1641"/>
      <c r="J87" s="1641"/>
      <c r="K87" s="1641"/>
      <c r="L87" s="1641"/>
      <c r="M87" s="1641"/>
      <c r="N87" s="1642"/>
      <c r="O87" s="2114"/>
      <c r="P87" s="2115"/>
      <c r="Q87" s="2115"/>
      <c r="R87" s="2115"/>
      <c r="S87" s="2115"/>
      <c r="T87" s="2115"/>
      <c r="U87" s="2115"/>
      <c r="V87" s="2116"/>
      <c r="W87" s="1643"/>
      <c r="X87" s="1644"/>
      <c r="Y87" s="1645"/>
      <c r="Z87" s="2131"/>
      <c r="AA87" s="2131"/>
      <c r="AB87" s="2131"/>
      <c r="AC87" s="2131"/>
      <c r="AD87" s="2131"/>
      <c r="AE87" s="2131"/>
      <c r="AF87" s="2131"/>
      <c r="AG87" s="2131"/>
      <c r="AH87" s="2131"/>
      <c r="AI87" s="2132"/>
      <c r="AJ87" s="802"/>
      <c r="AK87" s="126"/>
      <c r="AL87" s="126"/>
      <c r="AM87" s="126"/>
      <c r="AN87" s="126"/>
      <c r="AP87" s="2125"/>
      <c r="AQ87" s="2126"/>
      <c r="AR87" s="1640"/>
      <c r="AS87" s="1641"/>
      <c r="AT87" s="1641"/>
      <c r="AU87" s="1641"/>
      <c r="AV87" s="1641"/>
      <c r="AW87" s="1641"/>
      <c r="AX87" s="1641"/>
      <c r="AY87" s="1641"/>
      <c r="AZ87" s="1641"/>
      <c r="BA87" s="1641"/>
      <c r="BB87" s="1642"/>
      <c r="BC87" s="2117"/>
      <c r="BD87" s="2118"/>
      <c r="BE87" s="2118"/>
      <c r="BF87" s="2118"/>
      <c r="BG87" s="2118"/>
      <c r="BH87" s="2118"/>
      <c r="BI87" s="2118"/>
      <c r="BJ87" s="2119"/>
      <c r="BK87" s="1643"/>
      <c r="BL87" s="1644"/>
      <c r="BM87" s="1645"/>
      <c r="BN87" s="2131"/>
      <c r="BO87" s="2131"/>
      <c r="BP87" s="2131"/>
      <c r="BQ87" s="2131"/>
      <c r="BR87" s="2131"/>
      <c r="BS87" s="2131"/>
      <c r="BT87" s="2131"/>
      <c r="BU87" s="2131"/>
      <c r="BV87" s="2131"/>
      <c r="BW87" s="2132"/>
      <c r="BX87" s="802"/>
    </row>
    <row r="88" spans="1:76" ht="27.95" hidden="1" customHeight="1" outlineLevel="1">
      <c r="B88" s="2125"/>
      <c r="C88" s="2126"/>
      <c r="D88" s="1640"/>
      <c r="E88" s="1641"/>
      <c r="F88" s="1641"/>
      <c r="G88" s="1641"/>
      <c r="H88" s="1641"/>
      <c r="I88" s="1641"/>
      <c r="J88" s="1641"/>
      <c r="K88" s="1641"/>
      <c r="L88" s="1641"/>
      <c r="M88" s="1641"/>
      <c r="N88" s="1642"/>
      <c r="O88" s="2114"/>
      <c r="P88" s="2115"/>
      <c r="Q88" s="2115"/>
      <c r="R88" s="2115"/>
      <c r="S88" s="2115"/>
      <c r="T88" s="2115"/>
      <c r="U88" s="2115"/>
      <c r="V88" s="2116"/>
      <c r="W88" s="1643"/>
      <c r="X88" s="1644"/>
      <c r="Y88" s="1645"/>
      <c r="Z88" s="2131"/>
      <c r="AA88" s="2131"/>
      <c r="AB88" s="2131"/>
      <c r="AC88" s="2131"/>
      <c r="AD88" s="2131"/>
      <c r="AE88" s="2131"/>
      <c r="AF88" s="2131"/>
      <c r="AG88" s="2131"/>
      <c r="AH88" s="2131"/>
      <c r="AI88" s="2132"/>
      <c r="AJ88" s="802"/>
      <c r="AK88" s="126"/>
      <c r="AL88" s="126"/>
      <c r="AM88" s="126"/>
      <c r="AN88" s="126"/>
      <c r="AP88" s="2125"/>
      <c r="AQ88" s="2126"/>
      <c r="AR88" s="1640"/>
      <c r="AS88" s="1641"/>
      <c r="AT88" s="1641"/>
      <c r="AU88" s="1641"/>
      <c r="AV88" s="1641"/>
      <c r="AW88" s="1641"/>
      <c r="AX88" s="1641"/>
      <c r="AY88" s="1641"/>
      <c r="AZ88" s="1641"/>
      <c r="BA88" s="1641"/>
      <c r="BB88" s="1642"/>
      <c r="BC88" s="2117"/>
      <c r="BD88" s="2118"/>
      <c r="BE88" s="2118"/>
      <c r="BF88" s="2118"/>
      <c r="BG88" s="2118"/>
      <c r="BH88" s="2118"/>
      <c r="BI88" s="2118"/>
      <c r="BJ88" s="2119"/>
      <c r="BK88" s="1643"/>
      <c r="BL88" s="1644"/>
      <c r="BM88" s="1645"/>
      <c r="BN88" s="2131"/>
      <c r="BO88" s="2131"/>
      <c r="BP88" s="2131"/>
      <c r="BQ88" s="2131"/>
      <c r="BR88" s="2131"/>
      <c r="BS88" s="2131"/>
      <c r="BT88" s="2131"/>
      <c r="BU88" s="2131"/>
      <c r="BV88" s="2131"/>
      <c r="BW88" s="2132"/>
      <c r="BX88" s="802"/>
    </row>
    <row r="89" spans="1:76" ht="27.95" hidden="1" customHeight="1" outlineLevel="1">
      <c r="B89" s="2125"/>
      <c r="C89" s="2126"/>
      <c r="D89" s="1640"/>
      <c r="E89" s="1641"/>
      <c r="F89" s="1641"/>
      <c r="G89" s="1641"/>
      <c r="H89" s="1641"/>
      <c r="I89" s="1641"/>
      <c r="J89" s="1641"/>
      <c r="K89" s="1641"/>
      <c r="L89" s="1641"/>
      <c r="M89" s="1641"/>
      <c r="N89" s="1642"/>
      <c r="O89" s="2114"/>
      <c r="P89" s="2115"/>
      <c r="Q89" s="2115"/>
      <c r="R89" s="2115"/>
      <c r="S89" s="2115"/>
      <c r="T89" s="2115"/>
      <c r="U89" s="2115"/>
      <c r="V89" s="2116"/>
      <c r="W89" s="1643"/>
      <c r="X89" s="1644"/>
      <c r="Y89" s="1645"/>
      <c r="Z89" s="2131"/>
      <c r="AA89" s="2131"/>
      <c r="AB89" s="2131"/>
      <c r="AC89" s="2131"/>
      <c r="AD89" s="2131"/>
      <c r="AE89" s="2131"/>
      <c r="AF89" s="2131"/>
      <c r="AG89" s="2131"/>
      <c r="AH89" s="2131"/>
      <c r="AI89" s="2132"/>
      <c r="AJ89" s="802"/>
      <c r="AK89" s="126"/>
      <c r="AL89" s="126"/>
      <c r="AM89" s="126"/>
      <c r="AN89" s="126"/>
      <c r="AP89" s="2125"/>
      <c r="AQ89" s="2126"/>
      <c r="AR89" s="1640"/>
      <c r="AS89" s="1641"/>
      <c r="AT89" s="1641"/>
      <c r="AU89" s="1641"/>
      <c r="AV89" s="1641"/>
      <c r="AW89" s="1641"/>
      <c r="AX89" s="1641"/>
      <c r="AY89" s="1641"/>
      <c r="AZ89" s="1641"/>
      <c r="BA89" s="1641"/>
      <c r="BB89" s="1642"/>
      <c r="BC89" s="2117"/>
      <c r="BD89" s="2118"/>
      <c r="BE89" s="2118"/>
      <c r="BF89" s="2118"/>
      <c r="BG89" s="2118"/>
      <c r="BH89" s="2118"/>
      <c r="BI89" s="2118"/>
      <c r="BJ89" s="2119"/>
      <c r="BK89" s="1643"/>
      <c r="BL89" s="1644"/>
      <c r="BM89" s="1645"/>
      <c r="BN89" s="2131"/>
      <c r="BO89" s="2131"/>
      <c r="BP89" s="2131"/>
      <c r="BQ89" s="2131"/>
      <c r="BR89" s="2131"/>
      <c r="BS89" s="2131"/>
      <c r="BT89" s="2131"/>
      <c r="BU89" s="2131"/>
      <c r="BV89" s="2131"/>
      <c r="BW89" s="2132"/>
      <c r="BX89" s="802"/>
    </row>
    <row r="90" spans="1:76" ht="27.95" hidden="1" customHeight="1" outlineLevel="1">
      <c r="A90" s="805"/>
      <c r="B90" s="2125"/>
      <c r="C90" s="2126"/>
      <c r="D90" s="1640"/>
      <c r="E90" s="1641"/>
      <c r="F90" s="1641"/>
      <c r="G90" s="1641"/>
      <c r="H90" s="1641"/>
      <c r="I90" s="1641"/>
      <c r="J90" s="1641"/>
      <c r="K90" s="1641"/>
      <c r="L90" s="1641"/>
      <c r="M90" s="1641"/>
      <c r="N90" s="1642"/>
      <c r="O90" s="2114"/>
      <c r="P90" s="2115"/>
      <c r="Q90" s="2115"/>
      <c r="R90" s="2115"/>
      <c r="S90" s="2115"/>
      <c r="T90" s="2115"/>
      <c r="U90" s="2115"/>
      <c r="V90" s="2116"/>
      <c r="W90" s="1643"/>
      <c r="X90" s="1644"/>
      <c r="Y90" s="1645"/>
      <c r="Z90" s="2131"/>
      <c r="AA90" s="2131"/>
      <c r="AB90" s="2131"/>
      <c r="AC90" s="2131"/>
      <c r="AD90" s="2131"/>
      <c r="AE90" s="2131"/>
      <c r="AF90" s="2131"/>
      <c r="AG90" s="2131"/>
      <c r="AH90" s="2131"/>
      <c r="AI90" s="2132"/>
      <c r="AJ90" s="802"/>
      <c r="AK90" s="126"/>
      <c r="AL90" s="126"/>
      <c r="AM90" s="126"/>
      <c r="AN90" s="126"/>
      <c r="AP90" s="2125"/>
      <c r="AQ90" s="2126"/>
      <c r="AR90" s="1640"/>
      <c r="AS90" s="1641"/>
      <c r="AT90" s="1641"/>
      <c r="AU90" s="1641"/>
      <c r="AV90" s="1641"/>
      <c r="AW90" s="1641"/>
      <c r="AX90" s="1641"/>
      <c r="AY90" s="1641"/>
      <c r="AZ90" s="1641"/>
      <c r="BA90" s="1641"/>
      <c r="BB90" s="1642"/>
      <c r="BC90" s="2117"/>
      <c r="BD90" s="2118"/>
      <c r="BE90" s="2118"/>
      <c r="BF90" s="2118"/>
      <c r="BG90" s="2118"/>
      <c r="BH90" s="2118"/>
      <c r="BI90" s="2118"/>
      <c r="BJ90" s="2119"/>
      <c r="BK90" s="1643"/>
      <c r="BL90" s="1644"/>
      <c r="BM90" s="1645"/>
      <c r="BN90" s="2131"/>
      <c r="BO90" s="2131"/>
      <c r="BP90" s="2131"/>
      <c r="BQ90" s="2131"/>
      <c r="BR90" s="2131"/>
      <c r="BS90" s="2131"/>
      <c r="BT90" s="2131"/>
      <c r="BU90" s="2131"/>
      <c r="BV90" s="2131"/>
      <c r="BW90" s="2132"/>
      <c r="BX90" s="802"/>
    </row>
    <row r="91" spans="1:76" ht="27.95" hidden="1" customHeight="1" outlineLevel="1">
      <c r="B91" s="2125"/>
      <c r="C91" s="2126"/>
      <c r="D91" s="1640"/>
      <c r="E91" s="1641"/>
      <c r="F91" s="1641"/>
      <c r="G91" s="1641"/>
      <c r="H91" s="1641"/>
      <c r="I91" s="1641"/>
      <c r="J91" s="1641"/>
      <c r="K91" s="1641"/>
      <c r="L91" s="1641"/>
      <c r="M91" s="1641"/>
      <c r="N91" s="1642"/>
      <c r="O91" s="2114"/>
      <c r="P91" s="2115"/>
      <c r="Q91" s="2115"/>
      <c r="R91" s="2115"/>
      <c r="S91" s="2115"/>
      <c r="T91" s="2115"/>
      <c r="U91" s="2115"/>
      <c r="V91" s="2116"/>
      <c r="W91" s="1643"/>
      <c r="X91" s="1644"/>
      <c r="Y91" s="1645"/>
      <c r="Z91" s="2131"/>
      <c r="AA91" s="2131"/>
      <c r="AB91" s="2131"/>
      <c r="AC91" s="2131"/>
      <c r="AD91" s="2131"/>
      <c r="AE91" s="2131"/>
      <c r="AF91" s="2131"/>
      <c r="AG91" s="2131"/>
      <c r="AH91" s="2131"/>
      <c r="AI91" s="2132"/>
      <c r="AJ91" s="802"/>
      <c r="AK91" s="126"/>
      <c r="AL91" s="126"/>
      <c r="AM91" s="126"/>
      <c r="AN91" s="126"/>
      <c r="AP91" s="2125"/>
      <c r="AQ91" s="2126"/>
      <c r="AR91" s="1640"/>
      <c r="AS91" s="1641"/>
      <c r="AT91" s="1641"/>
      <c r="AU91" s="1641"/>
      <c r="AV91" s="1641"/>
      <c r="AW91" s="1641"/>
      <c r="AX91" s="1641"/>
      <c r="AY91" s="1641"/>
      <c r="AZ91" s="1641"/>
      <c r="BA91" s="1641"/>
      <c r="BB91" s="1642"/>
      <c r="BC91" s="2117"/>
      <c r="BD91" s="2118"/>
      <c r="BE91" s="2118"/>
      <c r="BF91" s="2118"/>
      <c r="BG91" s="2118"/>
      <c r="BH91" s="2118"/>
      <c r="BI91" s="2118"/>
      <c r="BJ91" s="2119"/>
      <c r="BK91" s="1643"/>
      <c r="BL91" s="1644"/>
      <c r="BM91" s="1645"/>
      <c r="BN91" s="2131"/>
      <c r="BO91" s="2131"/>
      <c r="BP91" s="2131"/>
      <c r="BQ91" s="2131"/>
      <c r="BR91" s="2131"/>
      <c r="BS91" s="2131"/>
      <c r="BT91" s="2131"/>
      <c r="BU91" s="2131"/>
      <c r="BV91" s="2131"/>
      <c r="BW91" s="2132"/>
      <c r="BX91" s="802"/>
    </row>
    <row r="92" spans="1:76" ht="27.95" hidden="1" customHeight="1" outlineLevel="1">
      <c r="B92" s="2125"/>
      <c r="C92" s="2126"/>
      <c r="D92" s="1640"/>
      <c r="E92" s="1641"/>
      <c r="F92" s="1641"/>
      <c r="G92" s="1641"/>
      <c r="H92" s="1641"/>
      <c r="I92" s="1641"/>
      <c r="J92" s="1641"/>
      <c r="K92" s="1641"/>
      <c r="L92" s="1641"/>
      <c r="M92" s="1641"/>
      <c r="N92" s="1642"/>
      <c r="O92" s="2114"/>
      <c r="P92" s="2115"/>
      <c r="Q92" s="2115"/>
      <c r="R92" s="2115"/>
      <c r="S92" s="2115"/>
      <c r="T92" s="2115"/>
      <c r="U92" s="2115"/>
      <c r="V92" s="2116"/>
      <c r="W92" s="1643"/>
      <c r="X92" s="1644"/>
      <c r="Y92" s="1645"/>
      <c r="Z92" s="2131"/>
      <c r="AA92" s="2131"/>
      <c r="AB92" s="2131"/>
      <c r="AC92" s="2131"/>
      <c r="AD92" s="2131"/>
      <c r="AE92" s="2131"/>
      <c r="AF92" s="2131"/>
      <c r="AG92" s="2131"/>
      <c r="AH92" s="2131"/>
      <c r="AI92" s="2132"/>
      <c r="AJ92" s="802"/>
      <c r="AK92" s="126"/>
      <c r="AL92" s="126"/>
      <c r="AM92" s="126"/>
      <c r="AN92" s="126"/>
      <c r="AP92" s="2125"/>
      <c r="AQ92" s="2126"/>
      <c r="AR92" s="1640"/>
      <c r="AS92" s="1641"/>
      <c r="AT92" s="1641"/>
      <c r="AU92" s="1641"/>
      <c r="AV92" s="1641"/>
      <c r="AW92" s="1641"/>
      <c r="AX92" s="1641"/>
      <c r="AY92" s="1641"/>
      <c r="AZ92" s="1641"/>
      <c r="BA92" s="1641"/>
      <c r="BB92" s="1642"/>
      <c r="BC92" s="2117"/>
      <c r="BD92" s="2118"/>
      <c r="BE92" s="2118"/>
      <c r="BF92" s="2118"/>
      <c r="BG92" s="2118"/>
      <c r="BH92" s="2118"/>
      <c r="BI92" s="2118"/>
      <c r="BJ92" s="2119"/>
      <c r="BK92" s="1643"/>
      <c r="BL92" s="1644"/>
      <c r="BM92" s="1645"/>
      <c r="BN92" s="2131"/>
      <c r="BO92" s="2131"/>
      <c r="BP92" s="2131"/>
      <c r="BQ92" s="2131"/>
      <c r="BR92" s="2131"/>
      <c r="BS92" s="2131"/>
      <c r="BT92" s="2131"/>
      <c r="BU92" s="2131"/>
      <c r="BV92" s="2131"/>
      <c r="BW92" s="2132"/>
      <c r="BX92" s="802"/>
    </row>
    <row r="93" spans="1:76" ht="27.95" hidden="1" customHeight="1" outlineLevel="1">
      <c r="B93" s="2125"/>
      <c r="C93" s="2126"/>
      <c r="D93" s="1640"/>
      <c r="E93" s="1641"/>
      <c r="F93" s="1641"/>
      <c r="G93" s="1641"/>
      <c r="H93" s="1641"/>
      <c r="I93" s="1641"/>
      <c r="J93" s="1641"/>
      <c r="K93" s="1641"/>
      <c r="L93" s="1641"/>
      <c r="M93" s="1641"/>
      <c r="N93" s="1642"/>
      <c r="O93" s="2114"/>
      <c r="P93" s="2115"/>
      <c r="Q93" s="2115"/>
      <c r="R93" s="2115"/>
      <c r="S93" s="2115"/>
      <c r="T93" s="2115"/>
      <c r="U93" s="2115"/>
      <c r="V93" s="2116"/>
      <c r="W93" s="1643"/>
      <c r="X93" s="1644"/>
      <c r="Y93" s="1645"/>
      <c r="Z93" s="2131"/>
      <c r="AA93" s="2131"/>
      <c r="AB93" s="2131"/>
      <c r="AC93" s="2131"/>
      <c r="AD93" s="2131"/>
      <c r="AE93" s="2131"/>
      <c r="AF93" s="2131"/>
      <c r="AG93" s="2131"/>
      <c r="AH93" s="2131"/>
      <c r="AI93" s="2132"/>
      <c r="AJ93" s="802"/>
      <c r="AK93" s="126"/>
      <c r="AL93" s="126"/>
      <c r="AM93" s="126"/>
      <c r="AN93" s="126"/>
      <c r="AP93" s="2125"/>
      <c r="AQ93" s="2126"/>
      <c r="AR93" s="1640"/>
      <c r="AS93" s="1641"/>
      <c r="AT93" s="1641"/>
      <c r="AU93" s="1641"/>
      <c r="AV93" s="1641"/>
      <c r="AW93" s="1641"/>
      <c r="AX93" s="1641"/>
      <c r="AY93" s="1641"/>
      <c r="AZ93" s="1641"/>
      <c r="BA93" s="1641"/>
      <c r="BB93" s="1642"/>
      <c r="BC93" s="2117"/>
      <c r="BD93" s="2118"/>
      <c r="BE93" s="2118"/>
      <c r="BF93" s="2118"/>
      <c r="BG93" s="2118"/>
      <c r="BH93" s="2118"/>
      <c r="BI93" s="2118"/>
      <c r="BJ93" s="2119"/>
      <c r="BK93" s="1643"/>
      <c r="BL93" s="1644"/>
      <c r="BM93" s="1645"/>
      <c r="BN93" s="2131"/>
      <c r="BO93" s="2131"/>
      <c r="BP93" s="2131"/>
      <c r="BQ93" s="2131"/>
      <c r="BR93" s="2131"/>
      <c r="BS93" s="2131"/>
      <c r="BT93" s="2131"/>
      <c r="BU93" s="2131"/>
      <c r="BV93" s="2131"/>
      <c r="BW93" s="2132"/>
      <c r="BX93" s="802"/>
    </row>
    <row r="94" spans="1:76" ht="27.95" hidden="1" customHeight="1" outlineLevel="1">
      <c r="B94" s="2125"/>
      <c r="C94" s="2126"/>
      <c r="D94" s="1640"/>
      <c r="E94" s="1641"/>
      <c r="F94" s="1641"/>
      <c r="G94" s="1641"/>
      <c r="H94" s="1641"/>
      <c r="I94" s="1641"/>
      <c r="J94" s="1641"/>
      <c r="K94" s="1641"/>
      <c r="L94" s="1641"/>
      <c r="M94" s="1641"/>
      <c r="N94" s="1642"/>
      <c r="O94" s="2114"/>
      <c r="P94" s="2115"/>
      <c r="Q94" s="2115"/>
      <c r="R94" s="2115"/>
      <c r="S94" s="2115"/>
      <c r="T94" s="2115"/>
      <c r="U94" s="2115"/>
      <c r="V94" s="2116"/>
      <c r="W94" s="1643"/>
      <c r="X94" s="1644"/>
      <c r="Y94" s="1645"/>
      <c r="Z94" s="2131"/>
      <c r="AA94" s="2131"/>
      <c r="AB94" s="2131"/>
      <c r="AC94" s="2131"/>
      <c r="AD94" s="2131"/>
      <c r="AE94" s="2131"/>
      <c r="AF94" s="2131"/>
      <c r="AG94" s="2131"/>
      <c r="AH94" s="2131"/>
      <c r="AI94" s="2132"/>
      <c r="AJ94" s="802"/>
      <c r="AK94" s="126"/>
      <c r="AL94" s="126"/>
      <c r="AM94" s="126"/>
      <c r="AN94" s="126"/>
      <c r="AP94" s="2125"/>
      <c r="AQ94" s="2126"/>
      <c r="AR94" s="1640"/>
      <c r="AS94" s="1641"/>
      <c r="AT94" s="1641"/>
      <c r="AU94" s="1641"/>
      <c r="AV94" s="1641"/>
      <c r="AW94" s="1641"/>
      <c r="AX94" s="1641"/>
      <c r="AY94" s="1641"/>
      <c r="AZ94" s="1641"/>
      <c r="BA94" s="1641"/>
      <c r="BB94" s="1642"/>
      <c r="BC94" s="2117"/>
      <c r="BD94" s="2118"/>
      <c r="BE94" s="2118"/>
      <c r="BF94" s="2118"/>
      <c r="BG94" s="2118"/>
      <c r="BH94" s="2118"/>
      <c r="BI94" s="2118"/>
      <c r="BJ94" s="2119"/>
      <c r="BK94" s="1643"/>
      <c r="BL94" s="1644"/>
      <c r="BM94" s="1645"/>
      <c r="BN94" s="2131"/>
      <c r="BO94" s="2131"/>
      <c r="BP94" s="2131"/>
      <c r="BQ94" s="2131"/>
      <c r="BR94" s="2131"/>
      <c r="BS94" s="2131"/>
      <c r="BT94" s="2131"/>
      <c r="BU94" s="2131"/>
      <c r="BV94" s="2131"/>
      <c r="BW94" s="2132"/>
      <c r="BX94" s="802"/>
    </row>
    <row r="95" spans="1:76" ht="27.95" hidden="1" customHeight="1" outlineLevel="1">
      <c r="B95" s="2125"/>
      <c r="C95" s="2126"/>
      <c r="D95" s="1640"/>
      <c r="E95" s="1641"/>
      <c r="F95" s="1641"/>
      <c r="G95" s="1641"/>
      <c r="H95" s="1641"/>
      <c r="I95" s="1641"/>
      <c r="J95" s="1641"/>
      <c r="K95" s="1641"/>
      <c r="L95" s="1641"/>
      <c r="M95" s="1641"/>
      <c r="N95" s="1642"/>
      <c r="O95" s="2114"/>
      <c r="P95" s="2115"/>
      <c r="Q95" s="2115"/>
      <c r="R95" s="2115"/>
      <c r="S95" s="2115"/>
      <c r="T95" s="2115"/>
      <c r="U95" s="2115"/>
      <c r="V95" s="2116"/>
      <c r="W95" s="1643"/>
      <c r="X95" s="1644"/>
      <c r="Y95" s="1645"/>
      <c r="Z95" s="2131"/>
      <c r="AA95" s="2131"/>
      <c r="AB95" s="2131"/>
      <c r="AC95" s="2131"/>
      <c r="AD95" s="2131"/>
      <c r="AE95" s="2131"/>
      <c r="AF95" s="2131"/>
      <c r="AG95" s="2131"/>
      <c r="AH95" s="2131"/>
      <c r="AI95" s="2132"/>
      <c r="AJ95" s="802"/>
      <c r="AK95" s="126"/>
      <c r="AL95" s="126"/>
      <c r="AM95" s="126"/>
      <c r="AN95" s="126"/>
      <c r="AP95" s="2125"/>
      <c r="AQ95" s="2126"/>
      <c r="AR95" s="1640"/>
      <c r="AS95" s="1641"/>
      <c r="AT95" s="1641"/>
      <c r="AU95" s="1641"/>
      <c r="AV95" s="1641"/>
      <c r="AW95" s="1641"/>
      <c r="AX95" s="1641"/>
      <c r="AY95" s="1641"/>
      <c r="AZ95" s="1641"/>
      <c r="BA95" s="1641"/>
      <c r="BB95" s="1642"/>
      <c r="BC95" s="2117"/>
      <c r="BD95" s="2118"/>
      <c r="BE95" s="2118"/>
      <c r="BF95" s="2118"/>
      <c r="BG95" s="2118"/>
      <c r="BH95" s="2118"/>
      <c r="BI95" s="2118"/>
      <c r="BJ95" s="2119"/>
      <c r="BK95" s="1643"/>
      <c r="BL95" s="1644"/>
      <c r="BM95" s="1645"/>
      <c r="BN95" s="2131"/>
      <c r="BO95" s="2131"/>
      <c r="BP95" s="2131"/>
      <c r="BQ95" s="2131"/>
      <c r="BR95" s="2131"/>
      <c r="BS95" s="2131"/>
      <c r="BT95" s="2131"/>
      <c r="BU95" s="2131"/>
      <c r="BV95" s="2131"/>
      <c r="BW95" s="2132"/>
      <c r="BX95" s="802"/>
    </row>
    <row r="96" spans="1:76" ht="27.95" hidden="1" customHeight="1" outlineLevel="1">
      <c r="B96" s="2125"/>
      <c r="C96" s="2126"/>
      <c r="D96" s="1640"/>
      <c r="E96" s="1641"/>
      <c r="F96" s="1641"/>
      <c r="G96" s="1641"/>
      <c r="H96" s="1641"/>
      <c r="I96" s="1641"/>
      <c r="J96" s="1641"/>
      <c r="K96" s="1641"/>
      <c r="L96" s="1641"/>
      <c r="M96" s="1641"/>
      <c r="N96" s="1642"/>
      <c r="O96" s="2114"/>
      <c r="P96" s="2115"/>
      <c r="Q96" s="2115"/>
      <c r="R96" s="2115"/>
      <c r="S96" s="2115"/>
      <c r="T96" s="2115"/>
      <c r="U96" s="2115"/>
      <c r="V96" s="2116"/>
      <c r="W96" s="1643"/>
      <c r="X96" s="1644"/>
      <c r="Y96" s="1645"/>
      <c r="Z96" s="2131"/>
      <c r="AA96" s="2131"/>
      <c r="AB96" s="2131"/>
      <c r="AC96" s="2131"/>
      <c r="AD96" s="2131"/>
      <c r="AE96" s="2131"/>
      <c r="AF96" s="2131"/>
      <c r="AG96" s="2131"/>
      <c r="AH96" s="2131"/>
      <c r="AI96" s="2132"/>
      <c r="AJ96" s="802"/>
      <c r="AK96" s="126"/>
      <c r="AL96" s="126"/>
      <c r="AM96" s="126"/>
      <c r="AN96" s="126"/>
      <c r="AP96" s="2125"/>
      <c r="AQ96" s="2126"/>
      <c r="AR96" s="1640"/>
      <c r="AS96" s="1641"/>
      <c r="AT96" s="1641"/>
      <c r="AU96" s="1641"/>
      <c r="AV96" s="1641"/>
      <c r="AW96" s="1641"/>
      <c r="AX96" s="1641"/>
      <c r="AY96" s="1641"/>
      <c r="AZ96" s="1641"/>
      <c r="BA96" s="1641"/>
      <c r="BB96" s="1642"/>
      <c r="BC96" s="2117"/>
      <c r="BD96" s="2118"/>
      <c r="BE96" s="2118"/>
      <c r="BF96" s="2118"/>
      <c r="BG96" s="2118"/>
      <c r="BH96" s="2118"/>
      <c r="BI96" s="2118"/>
      <c r="BJ96" s="2119"/>
      <c r="BK96" s="1643"/>
      <c r="BL96" s="1644"/>
      <c r="BM96" s="1645"/>
      <c r="BN96" s="2131"/>
      <c r="BO96" s="2131"/>
      <c r="BP96" s="2131"/>
      <c r="BQ96" s="2131"/>
      <c r="BR96" s="2131"/>
      <c r="BS96" s="2131"/>
      <c r="BT96" s="2131"/>
      <c r="BU96" s="2131"/>
      <c r="BV96" s="2131"/>
      <c r="BW96" s="2132"/>
      <c r="BX96" s="802"/>
    </row>
    <row r="97" spans="2:76" ht="27.95" hidden="1" customHeight="1" outlineLevel="1">
      <c r="B97" s="2125"/>
      <c r="C97" s="2126"/>
      <c r="D97" s="1640"/>
      <c r="E97" s="1641"/>
      <c r="F97" s="1641"/>
      <c r="G97" s="1641"/>
      <c r="H97" s="1641"/>
      <c r="I97" s="1641"/>
      <c r="J97" s="1641"/>
      <c r="K97" s="1641"/>
      <c r="L97" s="1641"/>
      <c r="M97" s="1641"/>
      <c r="N97" s="1642"/>
      <c r="O97" s="2114"/>
      <c r="P97" s="2115"/>
      <c r="Q97" s="2115"/>
      <c r="R97" s="2115"/>
      <c r="S97" s="2115"/>
      <c r="T97" s="2115"/>
      <c r="U97" s="2115"/>
      <c r="V97" s="2116"/>
      <c r="W97" s="1643"/>
      <c r="X97" s="1644"/>
      <c r="Y97" s="1645"/>
      <c r="Z97" s="2131"/>
      <c r="AA97" s="2131"/>
      <c r="AB97" s="2131"/>
      <c r="AC97" s="2131"/>
      <c r="AD97" s="2131"/>
      <c r="AE97" s="2131"/>
      <c r="AF97" s="2131"/>
      <c r="AG97" s="2131"/>
      <c r="AH97" s="2131"/>
      <c r="AI97" s="2132"/>
      <c r="AJ97" s="802"/>
      <c r="AK97" s="126"/>
      <c r="AL97" s="126"/>
      <c r="AM97" s="126"/>
      <c r="AN97" s="126"/>
      <c r="AP97" s="2125"/>
      <c r="AQ97" s="2126"/>
      <c r="AR97" s="1640"/>
      <c r="AS97" s="1641"/>
      <c r="AT97" s="1641"/>
      <c r="AU97" s="1641"/>
      <c r="AV97" s="1641"/>
      <c r="AW97" s="1641"/>
      <c r="AX97" s="1641"/>
      <c r="AY97" s="1641"/>
      <c r="AZ97" s="1641"/>
      <c r="BA97" s="1641"/>
      <c r="BB97" s="1642"/>
      <c r="BC97" s="2117"/>
      <c r="BD97" s="2118"/>
      <c r="BE97" s="2118"/>
      <c r="BF97" s="2118"/>
      <c r="BG97" s="2118"/>
      <c r="BH97" s="2118"/>
      <c r="BI97" s="2118"/>
      <c r="BJ97" s="2119"/>
      <c r="BK97" s="1643"/>
      <c r="BL97" s="1644"/>
      <c r="BM97" s="1645"/>
      <c r="BN97" s="2131"/>
      <c r="BO97" s="2131"/>
      <c r="BP97" s="2131"/>
      <c r="BQ97" s="2131"/>
      <c r="BR97" s="2131"/>
      <c r="BS97" s="2131"/>
      <c r="BT97" s="2131"/>
      <c r="BU97" s="2131"/>
      <c r="BV97" s="2131"/>
      <c r="BW97" s="2132"/>
      <c r="BX97" s="802"/>
    </row>
    <row r="98" spans="2:76" ht="27.95" hidden="1" customHeight="1" outlineLevel="1">
      <c r="B98" s="2125"/>
      <c r="C98" s="2126"/>
      <c r="D98" s="1640"/>
      <c r="E98" s="1641"/>
      <c r="F98" s="1641"/>
      <c r="G98" s="1641"/>
      <c r="H98" s="1641"/>
      <c r="I98" s="1641"/>
      <c r="J98" s="1641"/>
      <c r="K98" s="1641"/>
      <c r="L98" s="1641"/>
      <c r="M98" s="1641"/>
      <c r="N98" s="1642"/>
      <c r="O98" s="2114"/>
      <c r="P98" s="2115"/>
      <c r="Q98" s="2115"/>
      <c r="R98" s="2115"/>
      <c r="S98" s="2115"/>
      <c r="T98" s="2115"/>
      <c r="U98" s="2115"/>
      <c r="V98" s="2116"/>
      <c r="W98" s="1643"/>
      <c r="X98" s="1644"/>
      <c r="Y98" s="1645"/>
      <c r="Z98" s="2131"/>
      <c r="AA98" s="2131"/>
      <c r="AB98" s="2131"/>
      <c r="AC98" s="2131"/>
      <c r="AD98" s="2131"/>
      <c r="AE98" s="2131"/>
      <c r="AF98" s="2131"/>
      <c r="AG98" s="2131"/>
      <c r="AH98" s="2131"/>
      <c r="AI98" s="2132"/>
      <c r="AJ98" s="802"/>
      <c r="AK98" s="126"/>
      <c r="AL98" s="126"/>
      <c r="AM98" s="126"/>
      <c r="AN98" s="126"/>
      <c r="AP98" s="2125"/>
      <c r="AQ98" s="2126"/>
      <c r="AR98" s="1640"/>
      <c r="AS98" s="1641"/>
      <c r="AT98" s="1641"/>
      <c r="AU98" s="1641"/>
      <c r="AV98" s="1641"/>
      <c r="AW98" s="1641"/>
      <c r="AX98" s="1641"/>
      <c r="AY98" s="1641"/>
      <c r="AZ98" s="1641"/>
      <c r="BA98" s="1641"/>
      <c r="BB98" s="1642"/>
      <c r="BC98" s="2117"/>
      <c r="BD98" s="2118"/>
      <c r="BE98" s="2118"/>
      <c r="BF98" s="2118"/>
      <c r="BG98" s="2118"/>
      <c r="BH98" s="2118"/>
      <c r="BI98" s="2118"/>
      <c r="BJ98" s="2119"/>
      <c r="BK98" s="1643"/>
      <c r="BL98" s="1644"/>
      <c r="BM98" s="1645"/>
      <c r="BN98" s="2131"/>
      <c r="BO98" s="2131"/>
      <c r="BP98" s="2131"/>
      <c r="BQ98" s="2131"/>
      <c r="BR98" s="2131"/>
      <c r="BS98" s="2131"/>
      <c r="BT98" s="2131"/>
      <c r="BU98" s="2131"/>
      <c r="BV98" s="2131"/>
      <c r="BW98" s="2132"/>
      <c r="BX98" s="802"/>
    </row>
    <row r="99" spans="2:76" ht="27.95" hidden="1" customHeight="1" outlineLevel="1">
      <c r="B99" s="2125"/>
      <c r="C99" s="2126"/>
      <c r="D99" s="1640"/>
      <c r="E99" s="1641"/>
      <c r="F99" s="1641"/>
      <c r="G99" s="1641"/>
      <c r="H99" s="1641"/>
      <c r="I99" s="1641"/>
      <c r="J99" s="1641"/>
      <c r="K99" s="1641"/>
      <c r="L99" s="1641"/>
      <c r="M99" s="1641"/>
      <c r="N99" s="1642"/>
      <c r="O99" s="2114"/>
      <c r="P99" s="2115"/>
      <c r="Q99" s="2115"/>
      <c r="R99" s="2115"/>
      <c r="S99" s="2115"/>
      <c r="T99" s="2115"/>
      <c r="U99" s="2115"/>
      <c r="V99" s="2116"/>
      <c r="W99" s="1643"/>
      <c r="X99" s="1644"/>
      <c r="Y99" s="1645"/>
      <c r="Z99" s="2131"/>
      <c r="AA99" s="2131"/>
      <c r="AB99" s="2131"/>
      <c r="AC99" s="2131"/>
      <c r="AD99" s="2131"/>
      <c r="AE99" s="2131"/>
      <c r="AF99" s="2131"/>
      <c r="AG99" s="2131"/>
      <c r="AH99" s="2131"/>
      <c r="AI99" s="2132"/>
      <c r="AJ99" s="802"/>
      <c r="AK99" s="126"/>
      <c r="AL99" s="126"/>
      <c r="AM99" s="126"/>
      <c r="AN99" s="126"/>
      <c r="AP99" s="2125"/>
      <c r="AQ99" s="2126"/>
      <c r="AR99" s="1640"/>
      <c r="AS99" s="1641"/>
      <c r="AT99" s="1641"/>
      <c r="AU99" s="1641"/>
      <c r="AV99" s="1641"/>
      <c r="AW99" s="1641"/>
      <c r="AX99" s="1641"/>
      <c r="AY99" s="1641"/>
      <c r="AZ99" s="1641"/>
      <c r="BA99" s="1641"/>
      <c r="BB99" s="1642"/>
      <c r="BC99" s="2117"/>
      <c r="BD99" s="2118"/>
      <c r="BE99" s="2118"/>
      <c r="BF99" s="2118"/>
      <c r="BG99" s="2118"/>
      <c r="BH99" s="2118"/>
      <c r="BI99" s="2118"/>
      <c r="BJ99" s="2119"/>
      <c r="BK99" s="1643"/>
      <c r="BL99" s="1644"/>
      <c r="BM99" s="1645"/>
      <c r="BN99" s="2131"/>
      <c r="BO99" s="2131"/>
      <c r="BP99" s="2131"/>
      <c r="BQ99" s="2131"/>
      <c r="BR99" s="2131"/>
      <c r="BS99" s="2131"/>
      <c r="BT99" s="2131"/>
      <c r="BU99" s="2131"/>
      <c r="BV99" s="2131"/>
      <c r="BW99" s="2132"/>
      <c r="BX99" s="802"/>
    </row>
    <row r="100" spans="2:76" ht="27.95" hidden="1" customHeight="1" outlineLevel="1">
      <c r="B100" s="2125"/>
      <c r="C100" s="2126"/>
      <c r="D100" s="1640"/>
      <c r="E100" s="1641"/>
      <c r="F100" s="1641"/>
      <c r="G100" s="1641"/>
      <c r="H100" s="1641"/>
      <c r="I100" s="1641"/>
      <c r="J100" s="1641"/>
      <c r="K100" s="1641"/>
      <c r="L100" s="1641"/>
      <c r="M100" s="1641"/>
      <c r="N100" s="1642"/>
      <c r="O100" s="2114"/>
      <c r="P100" s="2115"/>
      <c r="Q100" s="2115"/>
      <c r="R100" s="2115"/>
      <c r="S100" s="2115"/>
      <c r="T100" s="2115"/>
      <c r="U100" s="2115"/>
      <c r="V100" s="2116"/>
      <c r="W100" s="1643"/>
      <c r="X100" s="1644"/>
      <c r="Y100" s="1645"/>
      <c r="Z100" s="2131"/>
      <c r="AA100" s="2131"/>
      <c r="AB100" s="2131"/>
      <c r="AC100" s="2131"/>
      <c r="AD100" s="2131"/>
      <c r="AE100" s="2131"/>
      <c r="AF100" s="2131"/>
      <c r="AG100" s="2131"/>
      <c r="AH100" s="2131"/>
      <c r="AI100" s="2132"/>
      <c r="AJ100" s="802"/>
      <c r="AK100" s="126"/>
      <c r="AL100" s="126"/>
      <c r="AM100" s="126"/>
      <c r="AN100" s="126"/>
      <c r="AP100" s="2125"/>
      <c r="AQ100" s="2126"/>
      <c r="AR100" s="1640"/>
      <c r="AS100" s="1641"/>
      <c r="AT100" s="1641"/>
      <c r="AU100" s="1641"/>
      <c r="AV100" s="1641"/>
      <c r="AW100" s="1641"/>
      <c r="AX100" s="1641"/>
      <c r="AY100" s="1641"/>
      <c r="AZ100" s="1641"/>
      <c r="BA100" s="1641"/>
      <c r="BB100" s="1642"/>
      <c r="BC100" s="2117"/>
      <c r="BD100" s="2118"/>
      <c r="BE100" s="2118"/>
      <c r="BF100" s="2118"/>
      <c r="BG100" s="2118"/>
      <c r="BH100" s="2118"/>
      <c r="BI100" s="2118"/>
      <c r="BJ100" s="2119"/>
      <c r="BK100" s="1643"/>
      <c r="BL100" s="1644"/>
      <c r="BM100" s="1645"/>
      <c r="BN100" s="2131"/>
      <c r="BO100" s="2131"/>
      <c r="BP100" s="2131"/>
      <c r="BQ100" s="2131"/>
      <c r="BR100" s="2131"/>
      <c r="BS100" s="2131"/>
      <c r="BT100" s="2131"/>
      <c r="BU100" s="2131"/>
      <c r="BV100" s="2131"/>
      <c r="BW100" s="2132"/>
      <c r="BX100" s="802"/>
    </row>
    <row r="101" spans="2:76" ht="27.95" hidden="1" customHeight="1" outlineLevel="1">
      <c r="B101" s="2125"/>
      <c r="C101" s="2126"/>
      <c r="D101" s="1640"/>
      <c r="E101" s="1641"/>
      <c r="F101" s="1641"/>
      <c r="G101" s="1641"/>
      <c r="H101" s="1641"/>
      <c r="I101" s="1641"/>
      <c r="J101" s="1641"/>
      <c r="K101" s="1641"/>
      <c r="L101" s="1641"/>
      <c r="M101" s="1641"/>
      <c r="N101" s="1642"/>
      <c r="O101" s="2114"/>
      <c r="P101" s="2115"/>
      <c r="Q101" s="2115"/>
      <c r="R101" s="2115"/>
      <c r="S101" s="2115"/>
      <c r="T101" s="2115"/>
      <c r="U101" s="2115"/>
      <c r="V101" s="2116"/>
      <c r="W101" s="1643"/>
      <c r="X101" s="1644"/>
      <c r="Y101" s="1645"/>
      <c r="Z101" s="2131"/>
      <c r="AA101" s="2131"/>
      <c r="AB101" s="2131"/>
      <c r="AC101" s="2131"/>
      <c r="AD101" s="2131"/>
      <c r="AE101" s="2131"/>
      <c r="AF101" s="2131"/>
      <c r="AG101" s="2131"/>
      <c r="AH101" s="2131"/>
      <c r="AI101" s="2132"/>
      <c r="AJ101" s="802"/>
      <c r="AK101" s="126"/>
      <c r="AL101" s="126"/>
      <c r="AM101" s="126"/>
      <c r="AN101" s="126"/>
      <c r="AP101" s="2125"/>
      <c r="AQ101" s="2126"/>
      <c r="AR101" s="1640"/>
      <c r="AS101" s="1641"/>
      <c r="AT101" s="1641"/>
      <c r="AU101" s="1641"/>
      <c r="AV101" s="1641"/>
      <c r="AW101" s="1641"/>
      <c r="AX101" s="1641"/>
      <c r="AY101" s="1641"/>
      <c r="AZ101" s="1641"/>
      <c r="BA101" s="1641"/>
      <c r="BB101" s="1642"/>
      <c r="BC101" s="2117"/>
      <c r="BD101" s="2118"/>
      <c r="BE101" s="2118"/>
      <c r="BF101" s="2118"/>
      <c r="BG101" s="2118"/>
      <c r="BH101" s="2118"/>
      <c r="BI101" s="2118"/>
      <c r="BJ101" s="2119"/>
      <c r="BK101" s="1643"/>
      <c r="BL101" s="1644"/>
      <c r="BM101" s="1645"/>
      <c r="BN101" s="2131"/>
      <c r="BO101" s="2131"/>
      <c r="BP101" s="2131"/>
      <c r="BQ101" s="2131"/>
      <c r="BR101" s="2131"/>
      <c r="BS101" s="2131"/>
      <c r="BT101" s="2131"/>
      <c r="BU101" s="2131"/>
      <c r="BV101" s="2131"/>
      <c r="BW101" s="2132"/>
      <c r="BX101" s="802"/>
    </row>
    <row r="102" spans="2:76" ht="27.95" hidden="1" customHeight="1" outlineLevel="1">
      <c r="B102" s="2125"/>
      <c r="C102" s="2126"/>
      <c r="D102" s="1640"/>
      <c r="E102" s="1641"/>
      <c r="F102" s="1641"/>
      <c r="G102" s="1641"/>
      <c r="H102" s="1641"/>
      <c r="I102" s="1641"/>
      <c r="J102" s="1641"/>
      <c r="K102" s="1641"/>
      <c r="L102" s="1641"/>
      <c r="M102" s="1641"/>
      <c r="N102" s="1642"/>
      <c r="O102" s="2114"/>
      <c r="P102" s="2115"/>
      <c r="Q102" s="2115"/>
      <c r="R102" s="2115"/>
      <c r="S102" s="2115"/>
      <c r="T102" s="2115"/>
      <c r="U102" s="2115"/>
      <c r="V102" s="2116"/>
      <c r="W102" s="1643"/>
      <c r="X102" s="1644"/>
      <c r="Y102" s="1645"/>
      <c r="Z102" s="2131"/>
      <c r="AA102" s="2131"/>
      <c r="AB102" s="2131"/>
      <c r="AC102" s="2131"/>
      <c r="AD102" s="2131"/>
      <c r="AE102" s="2131"/>
      <c r="AF102" s="2131"/>
      <c r="AG102" s="2131"/>
      <c r="AH102" s="2131"/>
      <c r="AI102" s="2132"/>
      <c r="AJ102" s="802"/>
      <c r="AK102" s="126"/>
      <c r="AL102" s="126"/>
      <c r="AM102" s="126"/>
      <c r="AN102" s="126"/>
      <c r="AP102" s="2125"/>
      <c r="AQ102" s="2126"/>
      <c r="AR102" s="1640"/>
      <c r="AS102" s="1641"/>
      <c r="AT102" s="1641"/>
      <c r="AU102" s="1641"/>
      <c r="AV102" s="1641"/>
      <c r="AW102" s="1641"/>
      <c r="AX102" s="1641"/>
      <c r="AY102" s="1641"/>
      <c r="AZ102" s="1641"/>
      <c r="BA102" s="1641"/>
      <c r="BB102" s="1642"/>
      <c r="BC102" s="2117"/>
      <c r="BD102" s="2118"/>
      <c r="BE102" s="2118"/>
      <c r="BF102" s="2118"/>
      <c r="BG102" s="2118"/>
      <c r="BH102" s="2118"/>
      <c r="BI102" s="2118"/>
      <c r="BJ102" s="2119"/>
      <c r="BK102" s="1643"/>
      <c r="BL102" s="1644"/>
      <c r="BM102" s="1645"/>
      <c r="BN102" s="2131"/>
      <c r="BO102" s="2131"/>
      <c r="BP102" s="2131"/>
      <c r="BQ102" s="2131"/>
      <c r="BR102" s="2131"/>
      <c r="BS102" s="2131"/>
      <c r="BT102" s="2131"/>
      <c r="BU102" s="2131"/>
      <c r="BV102" s="2131"/>
      <c r="BW102" s="2132"/>
      <c r="BX102" s="802"/>
    </row>
    <row r="103" spans="2:76" ht="27.95" hidden="1" customHeight="1" outlineLevel="1">
      <c r="B103" s="2125"/>
      <c r="C103" s="2126"/>
      <c r="D103" s="1640"/>
      <c r="E103" s="1641"/>
      <c r="F103" s="1641"/>
      <c r="G103" s="1641"/>
      <c r="H103" s="1641"/>
      <c r="I103" s="1641"/>
      <c r="J103" s="1641"/>
      <c r="K103" s="1641"/>
      <c r="L103" s="1641"/>
      <c r="M103" s="1641"/>
      <c r="N103" s="1642"/>
      <c r="O103" s="2114"/>
      <c r="P103" s="2115"/>
      <c r="Q103" s="2115"/>
      <c r="R103" s="2115"/>
      <c r="S103" s="2115"/>
      <c r="T103" s="2115"/>
      <c r="U103" s="2115"/>
      <c r="V103" s="2116"/>
      <c r="W103" s="1643"/>
      <c r="X103" s="1644"/>
      <c r="Y103" s="1645"/>
      <c r="Z103" s="2131"/>
      <c r="AA103" s="2131"/>
      <c r="AB103" s="2131"/>
      <c r="AC103" s="2131"/>
      <c r="AD103" s="2131"/>
      <c r="AE103" s="2131"/>
      <c r="AF103" s="2131"/>
      <c r="AG103" s="2131"/>
      <c r="AH103" s="2131"/>
      <c r="AI103" s="2132"/>
      <c r="AJ103" s="802"/>
      <c r="AK103" s="126"/>
      <c r="AL103" s="126"/>
      <c r="AM103" s="126"/>
      <c r="AN103" s="126"/>
      <c r="AP103" s="2125"/>
      <c r="AQ103" s="2126"/>
      <c r="AR103" s="1640"/>
      <c r="AS103" s="1641"/>
      <c r="AT103" s="1641"/>
      <c r="AU103" s="1641"/>
      <c r="AV103" s="1641"/>
      <c r="AW103" s="1641"/>
      <c r="AX103" s="1641"/>
      <c r="AY103" s="1641"/>
      <c r="AZ103" s="1641"/>
      <c r="BA103" s="1641"/>
      <c r="BB103" s="1642"/>
      <c r="BC103" s="2117"/>
      <c r="BD103" s="2118"/>
      <c r="BE103" s="2118"/>
      <c r="BF103" s="2118"/>
      <c r="BG103" s="2118"/>
      <c r="BH103" s="2118"/>
      <c r="BI103" s="2118"/>
      <c r="BJ103" s="2119"/>
      <c r="BK103" s="1643"/>
      <c r="BL103" s="1644"/>
      <c r="BM103" s="1645"/>
      <c r="BN103" s="2131"/>
      <c r="BO103" s="2131"/>
      <c r="BP103" s="2131"/>
      <c r="BQ103" s="2131"/>
      <c r="BR103" s="2131"/>
      <c r="BS103" s="2131"/>
      <c r="BT103" s="2131"/>
      <c r="BU103" s="2131"/>
      <c r="BV103" s="2131"/>
      <c r="BW103" s="2132"/>
      <c r="BX103" s="802"/>
    </row>
    <row r="104" spans="2:76" ht="27.95" hidden="1" customHeight="1" outlineLevel="1">
      <c r="B104" s="2125"/>
      <c r="C104" s="2126"/>
      <c r="D104" s="1640"/>
      <c r="E104" s="1641"/>
      <c r="F104" s="1641"/>
      <c r="G104" s="1641"/>
      <c r="H104" s="1641"/>
      <c r="I104" s="1641"/>
      <c r="J104" s="1641"/>
      <c r="K104" s="1641"/>
      <c r="L104" s="1641"/>
      <c r="M104" s="1641"/>
      <c r="N104" s="1642"/>
      <c r="O104" s="2114"/>
      <c r="P104" s="2115"/>
      <c r="Q104" s="2115"/>
      <c r="R104" s="2115"/>
      <c r="S104" s="2115"/>
      <c r="T104" s="2115"/>
      <c r="U104" s="2115"/>
      <c r="V104" s="2116"/>
      <c r="W104" s="1643"/>
      <c r="X104" s="1644"/>
      <c r="Y104" s="1645"/>
      <c r="Z104" s="2131"/>
      <c r="AA104" s="2131"/>
      <c r="AB104" s="2131"/>
      <c r="AC104" s="2131"/>
      <c r="AD104" s="2131"/>
      <c r="AE104" s="2131"/>
      <c r="AF104" s="2131"/>
      <c r="AG104" s="2131"/>
      <c r="AH104" s="2131"/>
      <c r="AI104" s="2132"/>
      <c r="AJ104" s="802"/>
      <c r="AK104" s="126"/>
      <c r="AL104" s="126"/>
      <c r="AM104" s="126"/>
      <c r="AN104" s="126"/>
      <c r="AP104" s="2125"/>
      <c r="AQ104" s="2126"/>
      <c r="AR104" s="1640"/>
      <c r="AS104" s="1641"/>
      <c r="AT104" s="1641"/>
      <c r="AU104" s="1641"/>
      <c r="AV104" s="1641"/>
      <c r="AW104" s="1641"/>
      <c r="AX104" s="1641"/>
      <c r="AY104" s="1641"/>
      <c r="AZ104" s="1641"/>
      <c r="BA104" s="1641"/>
      <c r="BB104" s="1642"/>
      <c r="BC104" s="2117"/>
      <c r="BD104" s="2118"/>
      <c r="BE104" s="2118"/>
      <c r="BF104" s="2118"/>
      <c r="BG104" s="2118"/>
      <c r="BH104" s="2118"/>
      <c r="BI104" s="2118"/>
      <c r="BJ104" s="2119"/>
      <c r="BK104" s="1643"/>
      <c r="BL104" s="1644"/>
      <c r="BM104" s="1645"/>
      <c r="BN104" s="2131"/>
      <c r="BO104" s="2131"/>
      <c r="BP104" s="2131"/>
      <c r="BQ104" s="2131"/>
      <c r="BR104" s="2131"/>
      <c r="BS104" s="2131"/>
      <c r="BT104" s="2131"/>
      <c r="BU104" s="2131"/>
      <c r="BV104" s="2131"/>
      <c r="BW104" s="2132"/>
      <c r="BX104" s="802"/>
    </row>
    <row r="105" spans="2:76" ht="27.95" hidden="1" customHeight="1" outlineLevel="1">
      <c r="B105" s="2125"/>
      <c r="C105" s="2126"/>
      <c r="D105" s="1640"/>
      <c r="E105" s="1641"/>
      <c r="F105" s="1641"/>
      <c r="G105" s="1641"/>
      <c r="H105" s="1641"/>
      <c r="I105" s="1641"/>
      <c r="J105" s="1641"/>
      <c r="K105" s="1641"/>
      <c r="L105" s="1641"/>
      <c r="M105" s="1641"/>
      <c r="N105" s="1642"/>
      <c r="O105" s="2114"/>
      <c r="P105" s="2115"/>
      <c r="Q105" s="2115"/>
      <c r="R105" s="2115"/>
      <c r="S105" s="2115"/>
      <c r="T105" s="2115"/>
      <c r="U105" s="2115"/>
      <c r="V105" s="2116"/>
      <c r="W105" s="1643"/>
      <c r="X105" s="1644"/>
      <c r="Y105" s="1645"/>
      <c r="Z105" s="2131"/>
      <c r="AA105" s="2131"/>
      <c r="AB105" s="2131"/>
      <c r="AC105" s="2131"/>
      <c r="AD105" s="2131"/>
      <c r="AE105" s="2131"/>
      <c r="AF105" s="2131"/>
      <c r="AG105" s="2131"/>
      <c r="AH105" s="2131"/>
      <c r="AI105" s="2132"/>
      <c r="AJ105" s="802"/>
      <c r="AK105" s="126"/>
      <c r="AL105" s="126"/>
      <c r="AM105" s="126"/>
      <c r="AN105" s="126"/>
      <c r="AP105" s="2125"/>
      <c r="AQ105" s="2126"/>
      <c r="AR105" s="1640"/>
      <c r="AS105" s="1641"/>
      <c r="AT105" s="1641"/>
      <c r="AU105" s="1641"/>
      <c r="AV105" s="1641"/>
      <c r="AW105" s="1641"/>
      <c r="AX105" s="1641"/>
      <c r="AY105" s="1641"/>
      <c r="AZ105" s="1641"/>
      <c r="BA105" s="1641"/>
      <c r="BB105" s="1642"/>
      <c r="BC105" s="2117"/>
      <c r="BD105" s="2118"/>
      <c r="BE105" s="2118"/>
      <c r="BF105" s="2118"/>
      <c r="BG105" s="2118"/>
      <c r="BH105" s="2118"/>
      <c r="BI105" s="2118"/>
      <c r="BJ105" s="2119"/>
      <c r="BK105" s="1643"/>
      <c r="BL105" s="1644"/>
      <c r="BM105" s="1645"/>
      <c r="BN105" s="2131"/>
      <c r="BO105" s="2131"/>
      <c r="BP105" s="2131"/>
      <c r="BQ105" s="2131"/>
      <c r="BR105" s="2131"/>
      <c r="BS105" s="2131"/>
      <c r="BT105" s="2131"/>
      <c r="BU105" s="2131"/>
      <c r="BV105" s="2131"/>
      <c r="BW105" s="2132"/>
      <c r="BX105" s="802"/>
    </row>
    <row r="106" spans="2:76" ht="27.95" hidden="1" customHeight="1" outlineLevel="1">
      <c r="B106" s="2125"/>
      <c r="C106" s="2126"/>
      <c r="D106" s="1640"/>
      <c r="E106" s="1641"/>
      <c r="F106" s="1641"/>
      <c r="G106" s="1641"/>
      <c r="H106" s="1641"/>
      <c r="I106" s="1641"/>
      <c r="J106" s="1641"/>
      <c r="K106" s="1641"/>
      <c r="L106" s="1641"/>
      <c r="M106" s="1641"/>
      <c r="N106" s="1642"/>
      <c r="O106" s="2114"/>
      <c r="P106" s="2115"/>
      <c r="Q106" s="2115"/>
      <c r="R106" s="2115"/>
      <c r="S106" s="2115"/>
      <c r="T106" s="2115"/>
      <c r="U106" s="2115"/>
      <c r="V106" s="2116"/>
      <c r="W106" s="1643"/>
      <c r="X106" s="1644"/>
      <c r="Y106" s="1645"/>
      <c r="Z106" s="2131"/>
      <c r="AA106" s="2131"/>
      <c r="AB106" s="2131"/>
      <c r="AC106" s="2131"/>
      <c r="AD106" s="2131"/>
      <c r="AE106" s="2131"/>
      <c r="AF106" s="2131"/>
      <c r="AG106" s="2131"/>
      <c r="AH106" s="2131"/>
      <c r="AI106" s="2132"/>
      <c r="AJ106" s="802"/>
      <c r="AK106" s="126"/>
      <c r="AL106" s="126"/>
      <c r="AM106" s="126"/>
      <c r="AN106" s="126"/>
      <c r="AP106" s="2125"/>
      <c r="AQ106" s="2126"/>
      <c r="AR106" s="1640"/>
      <c r="AS106" s="1641"/>
      <c r="AT106" s="1641"/>
      <c r="AU106" s="1641"/>
      <c r="AV106" s="1641"/>
      <c r="AW106" s="1641"/>
      <c r="AX106" s="1641"/>
      <c r="AY106" s="1641"/>
      <c r="AZ106" s="1641"/>
      <c r="BA106" s="1641"/>
      <c r="BB106" s="1642"/>
      <c r="BC106" s="2117"/>
      <c r="BD106" s="2118"/>
      <c r="BE106" s="2118"/>
      <c r="BF106" s="2118"/>
      <c r="BG106" s="2118"/>
      <c r="BH106" s="2118"/>
      <c r="BI106" s="2118"/>
      <c r="BJ106" s="2119"/>
      <c r="BK106" s="1643"/>
      <c r="BL106" s="1644"/>
      <c r="BM106" s="1645"/>
      <c r="BN106" s="2131"/>
      <c r="BO106" s="2131"/>
      <c r="BP106" s="2131"/>
      <c r="BQ106" s="2131"/>
      <c r="BR106" s="2131"/>
      <c r="BS106" s="2131"/>
      <c r="BT106" s="2131"/>
      <c r="BU106" s="2131"/>
      <c r="BV106" s="2131"/>
      <c r="BW106" s="2132"/>
      <c r="BX106" s="802"/>
    </row>
    <row r="107" spans="2:76" ht="27.95" hidden="1" customHeight="1" outlineLevel="1">
      <c r="B107" s="2125"/>
      <c r="C107" s="2126"/>
      <c r="D107" s="1640"/>
      <c r="E107" s="1641"/>
      <c r="F107" s="1641"/>
      <c r="G107" s="1641"/>
      <c r="H107" s="1641"/>
      <c r="I107" s="1641"/>
      <c r="J107" s="1641"/>
      <c r="K107" s="1641"/>
      <c r="L107" s="1641"/>
      <c r="M107" s="1641"/>
      <c r="N107" s="1642"/>
      <c r="O107" s="2114"/>
      <c r="P107" s="2115"/>
      <c r="Q107" s="2115"/>
      <c r="R107" s="2115"/>
      <c r="S107" s="2115"/>
      <c r="T107" s="2115"/>
      <c r="U107" s="2115"/>
      <c r="V107" s="2116"/>
      <c r="W107" s="1643"/>
      <c r="X107" s="1644"/>
      <c r="Y107" s="1645"/>
      <c r="Z107" s="2131"/>
      <c r="AA107" s="2131"/>
      <c r="AB107" s="2131"/>
      <c r="AC107" s="2131"/>
      <c r="AD107" s="2131"/>
      <c r="AE107" s="2131"/>
      <c r="AF107" s="2131"/>
      <c r="AG107" s="2131"/>
      <c r="AH107" s="2131"/>
      <c r="AI107" s="2132"/>
      <c r="AJ107" s="802"/>
      <c r="AK107" s="126"/>
      <c r="AL107" s="126"/>
      <c r="AM107" s="126"/>
      <c r="AN107" s="126"/>
      <c r="AP107" s="2125"/>
      <c r="AQ107" s="2126"/>
      <c r="AR107" s="1640"/>
      <c r="AS107" s="1641"/>
      <c r="AT107" s="1641"/>
      <c r="AU107" s="1641"/>
      <c r="AV107" s="1641"/>
      <c r="AW107" s="1641"/>
      <c r="AX107" s="1641"/>
      <c r="AY107" s="1641"/>
      <c r="AZ107" s="1641"/>
      <c r="BA107" s="1641"/>
      <c r="BB107" s="1642"/>
      <c r="BC107" s="2117"/>
      <c r="BD107" s="2118"/>
      <c r="BE107" s="2118"/>
      <c r="BF107" s="2118"/>
      <c r="BG107" s="2118"/>
      <c r="BH107" s="2118"/>
      <c r="BI107" s="2118"/>
      <c r="BJ107" s="2119"/>
      <c r="BK107" s="1643"/>
      <c r="BL107" s="1644"/>
      <c r="BM107" s="1645"/>
      <c r="BN107" s="2131"/>
      <c r="BO107" s="2131"/>
      <c r="BP107" s="2131"/>
      <c r="BQ107" s="2131"/>
      <c r="BR107" s="2131"/>
      <c r="BS107" s="2131"/>
      <c r="BT107" s="2131"/>
      <c r="BU107" s="2131"/>
      <c r="BV107" s="2131"/>
      <c r="BW107" s="2132"/>
      <c r="BX107" s="802"/>
    </row>
    <row r="108" spans="2:76" ht="27.95" hidden="1" customHeight="1" outlineLevel="1">
      <c r="B108" s="2125"/>
      <c r="C108" s="2126"/>
      <c r="D108" s="1640"/>
      <c r="E108" s="1641"/>
      <c r="F108" s="1641"/>
      <c r="G108" s="1641"/>
      <c r="H108" s="1641"/>
      <c r="I108" s="1641"/>
      <c r="J108" s="1641"/>
      <c r="K108" s="1641"/>
      <c r="L108" s="1641"/>
      <c r="M108" s="1641"/>
      <c r="N108" s="1642"/>
      <c r="O108" s="2114"/>
      <c r="P108" s="2115"/>
      <c r="Q108" s="2115"/>
      <c r="R108" s="2115"/>
      <c r="S108" s="2115"/>
      <c r="T108" s="2115"/>
      <c r="U108" s="2115"/>
      <c r="V108" s="2116"/>
      <c r="W108" s="1643"/>
      <c r="X108" s="1644"/>
      <c r="Y108" s="1645"/>
      <c r="Z108" s="2131"/>
      <c r="AA108" s="2131"/>
      <c r="AB108" s="2131"/>
      <c r="AC108" s="2131"/>
      <c r="AD108" s="2131"/>
      <c r="AE108" s="2131"/>
      <c r="AF108" s="2131"/>
      <c r="AG108" s="2131"/>
      <c r="AH108" s="2131"/>
      <c r="AI108" s="2132"/>
      <c r="AJ108" s="802"/>
      <c r="AK108" s="126"/>
      <c r="AL108" s="126"/>
      <c r="AM108" s="126"/>
      <c r="AN108" s="126"/>
      <c r="AP108" s="2125"/>
      <c r="AQ108" s="2126"/>
      <c r="AR108" s="1640"/>
      <c r="AS108" s="1641"/>
      <c r="AT108" s="1641"/>
      <c r="AU108" s="1641"/>
      <c r="AV108" s="1641"/>
      <c r="AW108" s="1641"/>
      <c r="AX108" s="1641"/>
      <c r="AY108" s="1641"/>
      <c r="AZ108" s="1641"/>
      <c r="BA108" s="1641"/>
      <c r="BB108" s="1642"/>
      <c r="BC108" s="2117"/>
      <c r="BD108" s="2118"/>
      <c r="BE108" s="2118"/>
      <c r="BF108" s="2118"/>
      <c r="BG108" s="2118"/>
      <c r="BH108" s="2118"/>
      <c r="BI108" s="2118"/>
      <c r="BJ108" s="2119"/>
      <c r="BK108" s="1643"/>
      <c r="BL108" s="1644"/>
      <c r="BM108" s="1645"/>
      <c r="BN108" s="2131"/>
      <c r="BO108" s="2131"/>
      <c r="BP108" s="2131"/>
      <c r="BQ108" s="2131"/>
      <c r="BR108" s="2131"/>
      <c r="BS108" s="2131"/>
      <c r="BT108" s="2131"/>
      <c r="BU108" s="2131"/>
      <c r="BV108" s="2131"/>
      <c r="BW108" s="2132"/>
      <c r="BX108" s="802"/>
    </row>
    <row r="109" spans="2:76" ht="27.95" hidden="1" customHeight="1" outlineLevel="1">
      <c r="B109" s="2125"/>
      <c r="C109" s="2126"/>
      <c r="D109" s="1640"/>
      <c r="E109" s="1641"/>
      <c r="F109" s="1641"/>
      <c r="G109" s="1641"/>
      <c r="H109" s="1641"/>
      <c r="I109" s="1641"/>
      <c r="J109" s="1641"/>
      <c r="K109" s="1641"/>
      <c r="L109" s="1641"/>
      <c r="M109" s="1641"/>
      <c r="N109" s="1642"/>
      <c r="O109" s="2114"/>
      <c r="P109" s="2115"/>
      <c r="Q109" s="2115"/>
      <c r="R109" s="2115"/>
      <c r="S109" s="2115"/>
      <c r="T109" s="2115"/>
      <c r="U109" s="2115"/>
      <c r="V109" s="2116"/>
      <c r="W109" s="1643"/>
      <c r="X109" s="1644"/>
      <c r="Y109" s="1645"/>
      <c r="Z109" s="2131"/>
      <c r="AA109" s="2131"/>
      <c r="AB109" s="2131"/>
      <c r="AC109" s="2131"/>
      <c r="AD109" s="2131"/>
      <c r="AE109" s="2131"/>
      <c r="AF109" s="2131"/>
      <c r="AG109" s="2131"/>
      <c r="AH109" s="2131"/>
      <c r="AI109" s="2132"/>
      <c r="AJ109" s="802"/>
      <c r="AK109" s="126"/>
      <c r="AL109" s="126"/>
      <c r="AM109" s="126"/>
      <c r="AN109" s="126"/>
      <c r="AP109" s="2125"/>
      <c r="AQ109" s="2126"/>
      <c r="AR109" s="1640"/>
      <c r="AS109" s="1641"/>
      <c r="AT109" s="1641"/>
      <c r="AU109" s="1641"/>
      <c r="AV109" s="1641"/>
      <c r="AW109" s="1641"/>
      <c r="AX109" s="1641"/>
      <c r="AY109" s="1641"/>
      <c r="AZ109" s="1641"/>
      <c r="BA109" s="1641"/>
      <c r="BB109" s="1642"/>
      <c r="BC109" s="2117"/>
      <c r="BD109" s="2118"/>
      <c r="BE109" s="2118"/>
      <c r="BF109" s="2118"/>
      <c r="BG109" s="2118"/>
      <c r="BH109" s="2118"/>
      <c r="BI109" s="2118"/>
      <c r="BJ109" s="2119"/>
      <c r="BK109" s="1643"/>
      <c r="BL109" s="1644"/>
      <c r="BM109" s="1645"/>
      <c r="BN109" s="2131"/>
      <c r="BO109" s="2131"/>
      <c r="BP109" s="2131"/>
      <c r="BQ109" s="2131"/>
      <c r="BR109" s="2131"/>
      <c r="BS109" s="2131"/>
      <c r="BT109" s="2131"/>
      <c r="BU109" s="2131"/>
      <c r="BV109" s="2131"/>
      <c r="BW109" s="2132"/>
      <c r="BX109" s="802"/>
    </row>
    <row r="110" spans="2:76" ht="27.95" hidden="1" customHeight="1" outlineLevel="1">
      <c r="B110" s="2125"/>
      <c r="C110" s="2126"/>
      <c r="D110" s="1640"/>
      <c r="E110" s="1641"/>
      <c r="F110" s="1641"/>
      <c r="G110" s="1641"/>
      <c r="H110" s="1641"/>
      <c r="I110" s="1641"/>
      <c r="J110" s="1641"/>
      <c r="K110" s="1641"/>
      <c r="L110" s="1641"/>
      <c r="M110" s="1641"/>
      <c r="N110" s="1642"/>
      <c r="O110" s="2114"/>
      <c r="P110" s="2115"/>
      <c r="Q110" s="2115"/>
      <c r="R110" s="2115"/>
      <c r="S110" s="2115"/>
      <c r="T110" s="2115"/>
      <c r="U110" s="2115"/>
      <c r="V110" s="2116"/>
      <c r="W110" s="1643"/>
      <c r="X110" s="1644"/>
      <c r="Y110" s="1645"/>
      <c r="Z110" s="2131"/>
      <c r="AA110" s="2131"/>
      <c r="AB110" s="2131"/>
      <c r="AC110" s="2131"/>
      <c r="AD110" s="2131"/>
      <c r="AE110" s="2131"/>
      <c r="AF110" s="2131"/>
      <c r="AG110" s="2131"/>
      <c r="AH110" s="2131"/>
      <c r="AI110" s="2132"/>
      <c r="AJ110" s="802"/>
      <c r="AK110" s="126"/>
      <c r="AL110" s="126"/>
      <c r="AM110" s="126"/>
      <c r="AN110" s="126"/>
      <c r="AP110" s="2125"/>
      <c r="AQ110" s="2126"/>
      <c r="AR110" s="1640"/>
      <c r="AS110" s="1641"/>
      <c r="AT110" s="1641"/>
      <c r="AU110" s="1641"/>
      <c r="AV110" s="1641"/>
      <c r="AW110" s="1641"/>
      <c r="AX110" s="1641"/>
      <c r="AY110" s="1641"/>
      <c r="AZ110" s="1641"/>
      <c r="BA110" s="1641"/>
      <c r="BB110" s="1642"/>
      <c r="BC110" s="2117"/>
      <c r="BD110" s="2118"/>
      <c r="BE110" s="2118"/>
      <c r="BF110" s="2118"/>
      <c r="BG110" s="2118"/>
      <c r="BH110" s="2118"/>
      <c r="BI110" s="2118"/>
      <c r="BJ110" s="2119"/>
      <c r="BK110" s="1643"/>
      <c r="BL110" s="1644"/>
      <c r="BM110" s="1645"/>
      <c r="BN110" s="2131"/>
      <c r="BO110" s="2131"/>
      <c r="BP110" s="2131"/>
      <c r="BQ110" s="2131"/>
      <c r="BR110" s="2131"/>
      <c r="BS110" s="2131"/>
      <c r="BT110" s="2131"/>
      <c r="BU110" s="2131"/>
      <c r="BV110" s="2131"/>
      <c r="BW110" s="2132"/>
      <c r="BX110" s="802"/>
    </row>
    <row r="111" spans="2:76" ht="27.95" hidden="1" customHeight="1" outlineLevel="1">
      <c r="B111" s="2125"/>
      <c r="C111" s="2126"/>
      <c r="D111" s="1640"/>
      <c r="E111" s="1641"/>
      <c r="F111" s="1641"/>
      <c r="G111" s="1641"/>
      <c r="H111" s="1641"/>
      <c r="I111" s="1641"/>
      <c r="J111" s="1641"/>
      <c r="K111" s="1641"/>
      <c r="L111" s="1641"/>
      <c r="M111" s="1641"/>
      <c r="N111" s="1642"/>
      <c r="O111" s="2114"/>
      <c r="P111" s="2115"/>
      <c r="Q111" s="2115"/>
      <c r="R111" s="2115"/>
      <c r="S111" s="2115"/>
      <c r="T111" s="2115"/>
      <c r="U111" s="2115"/>
      <c r="V111" s="2116"/>
      <c r="W111" s="1643"/>
      <c r="X111" s="1644"/>
      <c r="Y111" s="1645"/>
      <c r="Z111" s="2131"/>
      <c r="AA111" s="2131"/>
      <c r="AB111" s="2131"/>
      <c r="AC111" s="2131"/>
      <c r="AD111" s="2131"/>
      <c r="AE111" s="2131"/>
      <c r="AF111" s="2131"/>
      <c r="AG111" s="2131"/>
      <c r="AH111" s="2131"/>
      <c r="AI111" s="2132"/>
      <c r="AJ111" s="802"/>
      <c r="AK111" s="126"/>
      <c r="AL111" s="126"/>
      <c r="AM111" s="126"/>
      <c r="AN111" s="126"/>
      <c r="AP111" s="2125"/>
      <c r="AQ111" s="2126"/>
      <c r="AR111" s="1640"/>
      <c r="AS111" s="1641"/>
      <c r="AT111" s="1641"/>
      <c r="AU111" s="1641"/>
      <c r="AV111" s="1641"/>
      <c r="AW111" s="1641"/>
      <c r="AX111" s="1641"/>
      <c r="AY111" s="1641"/>
      <c r="AZ111" s="1641"/>
      <c r="BA111" s="1641"/>
      <c r="BB111" s="1642"/>
      <c r="BC111" s="2117"/>
      <c r="BD111" s="2118"/>
      <c r="BE111" s="2118"/>
      <c r="BF111" s="2118"/>
      <c r="BG111" s="2118"/>
      <c r="BH111" s="2118"/>
      <c r="BI111" s="2118"/>
      <c r="BJ111" s="2119"/>
      <c r="BK111" s="1643"/>
      <c r="BL111" s="1644"/>
      <c r="BM111" s="1645"/>
      <c r="BN111" s="2131"/>
      <c r="BO111" s="2131"/>
      <c r="BP111" s="2131"/>
      <c r="BQ111" s="2131"/>
      <c r="BR111" s="2131"/>
      <c r="BS111" s="2131"/>
      <c r="BT111" s="2131"/>
      <c r="BU111" s="2131"/>
      <c r="BV111" s="2131"/>
      <c r="BW111" s="2132"/>
      <c r="BX111" s="802"/>
    </row>
    <row r="112" spans="2:76" ht="27.95" hidden="1" customHeight="1" outlineLevel="1">
      <c r="B112" s="2125"/>
      <c r="C112" s="2126"/>
      <c r="D112" s="1640"/>
      <c r="E112" s="1641"/>
      <c r="F112" s="1641"/>
      <c r="G112" s="1641"/>
      <c r="H112" s="1641"/>
      <c r="I112" s="1641"/>
      <c r="J112" s="1641"/>
      <c r="K112" s="1641"/>
      <c r="L112" s="1641"/>
      <c r="M112" s="1641"/>
      <c r="N112" s="1642"/>
      <c r="O112" s="2114"/>
      <c r="P112" s="2115"/>
      <c r="Q112" s="2115"/>
      <c r="R112" s="2115"/>
      <c r="S112" s="2115"/>
      <c r="T112" s="2115"/>
      <c r="U112" s="2115"/>
      <c r="V112" s="2116"/>
      <c r="W112" s="1643"/>
      <c r="X112" s="1644"/>
      <c r="Y112" s="1645"/>
      <c r="Z112" s="2131"/>
      <c r="AA112" s="2131"/>
      <c r="AB112" s="2131"/>
      <c r="AC112" s="2131"/>
      <c r="AD112" s="2131"/>
      <c r="AE112" s="2131"/>
      <c r="AF112" s="2131"/>
      <c r="AG112" s="2131"/>
      <c r="AH112" s="2131"/>
      <c r="AI112" s="2132"/>
      <c r="AJ112" s="802"/>
      <c r="AK112" s="126"/>
      <c r="AL112" s="126"/>
      <c r="AM112" s="126"/>
      <c r="AN112" s="126"/>
      <c r="AP112" s="2125"/>
      <c r="AQ112" s="2126"/>
      <c r="AR112" s="1640"/>
      <c r="AS112" s="1641"/>
      <c r="AT112" s="1641"/>
      <c r="AU112" s="1641"/>
      <c r="AV112" s="1641"/>
      <c r="AW112" s="1641"/>
      <c r="AX112" s="1641"/>
      <c r="AY112" s="1641"/>
      <c r="AZ112" s="1641"/>
      <c r="BA112" s="1641"/>
      <c r="BB112" s="1642"/>
      <c r="BC112" s="2117"/>
      <c r="BD112" s="2118"/>
      <c r="BE112" s="2118"/>
      <c r="BF112" s="2118"/>
      <c r="BG112" s="2118"/>
      <c r="BH112" s="2118"/>
      <c r="BI112" s="2118"/>
      <c r="BJ112" s="2119"/>
      <c r="BK112" s="1643"/>
      <c r="BL112" s="1644"/>
      <c r="BM112" s="1645"/>
      <c r="BN112" s="2131"/>
      <c r="BO112" s="2131"/>
      <c r="BP112" s="2131"/>
      <c r="BQ112" s="2131"/>
      <c r="BR112" s="2131"/>
      <c r="BS112" s="2131"/>
      <c r="BT112" s="2131"/>
      <c r="BU112" s="2131"/>
      <c r="BV112" s="2131"/>
      <c r="BW112" s="2132"/>
      <c r="BX112" s="802"/>
    </row>
    <row r="113" spans="2:76" ht="27.95" hidden="1" customHeight="1" outlineLevel="1">
      <c r="B113" s="2125"/>
      <c r="C113" s="2126"/>
      <c r="D113" s="1640"/>
      <c r="E113" s="1641"/>
      <c r="F113" s="1641"/>
      <c r="G113" s="1641"/>
      <c r="H113" s="1641"/>
      <c r="I113" s="1641"/>
      <c r="J113" s="1641"/>
      <c r="K113" s="1641"/>
      <c r="L113" s="1641"/>
      <c r="M113" s="1641"/>
      <c r="N113" s="1642"/>
      <c r="O113" s="2114"/>
      <c r="P113" s="2115"/>
      <c r="Q113" s="2115"/>
      <c r="R113" s="2115"/>
      <c r="S113" s="2115"/>
      <c r="T113" s="2115"/>
      <c r="U113" s="2115"/>
      <c r="V113" s="2116"/>
      <c r="W113" s="1643"/>
      <c r="X113" s="1644"/>
      <c r="Y113" s="1645"/>
      <c r="Z113" s="2131"/>
      <c r="AA113" s="2131"/>
      <c r="AB113" s="2131"/>
      <c r="AC113" s="2131"/>
      <c r="AD113" s="2131"/>
      <c r="AE113" s="2131"/>
      <c r="AF113" s="2131"/>
      <c r="AG113" s="2131"/>
      <c r="AH113" s="2131"/>
      <c r="AI113" s="2132"/>
      <c r="AJ113" s="802"/>
      <c r="AK113" s="126"/>
      <c r="AL113" s="126"/>
      <c r="AM113" s="126"/>
      <c r="AN113" s="126"/>
      <c r="AP113" s="2125"/>
      <c r="AQ113" s="2126"/>
      <c r="AR113" s="1640"/>
      <c r="AS113" s="1641"/>
      <c r="AT113" s="1641"/>
      <c r="AU113" s="1641"/>
      <c r="AV113" s="1641"/>
      <c r="AW113" s="1641"/>
      <c r="AX113" s="1641"/>
      <c r="AY113" s="1641"/>
      <c r="AZ113" s="1641"/>
      <c r="BA113" s="1641"/>
      <c r="BB113" s="1642"/>
      <c r="BC113" s="2117"/>
      <c r="BD113" s="2118"/>
      <c r="BE113" s="2118"/>
      <c r="BF113" s="2118"/>
      <c r="BG113" s="2118"/>
      <c r="BH113" s="2118"/>
      <c r="BI113" s="2118"/>
      <c r="BJ113" s="2119"/>
      <c r="BK113" s="1643"/>
      <c r="BL113" s="1644"/>
      <c r="BM113" s="1645"/>
      <c r="BN113" s="2131"/>
      <c r="BO113" s="2131"/>
      <c r="BP113" s="2131"/>
      <c r="BQ113" s="2131"/>
      <c r="BR113" s="2131"/>
      <c r="BS113" s="2131"/>
      <c r="BT113" s="2131"/>
      <c r="BU113" s="2131"/>
      <c r="BV113" s="2131"/>
      <c r="BW113" s="2132"/>
      <c r="BX113" s="802"/>
    </row>
    <row r="114" spans="2:76" ht="27.95" hidden="1" customHeight="1" outlineLevel="1" thickBot="1">
      <c r="B114" s="2127"/>
      <c r="C114" s="2128"/>
      <c r="D114" s="2105"/>
      <c r="E114" s="2106"/>
      <c r="F114" s="2106"/>
      <c r="G114" s="2106"/>
      <c r="H114" s="2106"/>
      <c r="I114" s="2106"/>
      <c r="J114" s="2106"/>
      <c r="K114" s="2106"/>
      <c r="L114" s="2106"/>
      <c r="M114" s="2106"/>
      <c r="N114" s="2107"/>
      <c r="O114" s="2108"/>
      <c r="P114" s="2109"/>
      <c r="Q114" s="2109"/>
      <c r="R114" s="2109"/>
      <c r="S114" s="2109"/>
      <c r="T114" s="2109"/>
      <c r="U114" s="2109"/>
      <c r="V114" s="2110"/>
      <c r="W114" s="2111"/>
      <c r="X114" s="2112"/>
      <c r="Y114" s="2113"/>
      <c r="Z114" s="2133"/>
      <c r="AA114" s="2133"/>
      <c r="AB114" s="2133"/>
      <c r="AC114" s="2133"/>
      <c r="AD114" s="2133"/>
      <c r="AE114" s="2133"/>
      <c r="AF114" s="2133"/>
      <c r="AG114" s="2133"/>
      <c r="AH114" s="2133"/>
      <c r="AI114" s="2134"/>
      <c r="AJ114" s="802"/>
      <c r="AK114" s="126"/>
      <c r="AL114" s="126"/>
      <c r="AM114" s="126"/>
      <c r="AN114" s="126"/>
      <c r="AP114" s="2127"/>
      <c r="AQ114" s="2128"/>
      <c r="AR114" s="2105"/>
      <c r="AS114" s="2106"/>
      <c r="AT114" s="2106"/>
      <c r="AU114" s="2106"/>
      <c r="AV114" s="2106"/>
      <c r="AW114" s="2106"/>
      <c r="AX114" s="2106"/>
      <c r="AY114" s="2106"/>
      <c r="AZ114" s="2106"/>
      <c r="BA114" s="2106"/>
      <c r="BB114" s="2107"/>
      <c r="BC114" s="2108"/>
      <c r="BD114" s="2109"/>
      <c r="BE114" s="2109"/>
      <c r="BF114" s="2109"/>
      <c r="BG114" s="2109"/>
      <c r="BH114" s="2109"/>
      <c r="BI114" s="2109"/>
      <c r="BJ114" s="2110"/>
      <c r="BK114" s="2111"/>
      <c r="BL114" s="2112"/>
      <c r="BM114" s="2113"/>
      <c r="BN114" s="2133"/>
      <c r="BO114" s="2133"/>
      <c r="BP114" s="2133"/>
      <c r="BQ114" s="2133"/>
      <c r="BR114" s="2133"/>
      <c r="BS114" s="2133"/>
      <c r="BT114" s="2133"/>
      <c r="BU114" s="2133"/>
      <c r="BV114" s="2133"/>
      <c r="BW114" s="2134"/>
      <c r="BX114" s="802"/>
    </row>
    <row r="115" spans="2:76" ht="27.95" customHeight="1">
      <c r="B115" s="806"/>
      <c r="C115" s="806"/>
      <c r="D115" s="806"/>
      <c r="E115" s="806"/>
      <c r="F115" s="806"/>
      <c r="G115" s="806"/>
      <c r="H115" s="806"/>
      <c r="I115" s="806"/>
      <c r="J115" s="806"/>
      <c r="K115" s="806"/>
      <c r="L115" s="806"/>
      <c r="M115" s="806"/>
      <c r="N115" s="807"/>
      <c r="O115" s="807"/>
      <c r="P115" s="807"/>
      <c r="Q115" s="807"/>
      <c r="R115" s="807"/>
      <c r="S115" s="807"/>
      <c r="T115" s="807"/>
      <c r="U115" s="807"/>
      <c r="V115" s="330"/>
      <c r="W115" s="808"/>
      <c r="X115" s="808"/>
      <c r="Y115" s="809"/>
      <c r="Z115" s="809"/>
      <c r="AA115" s="809"/>
      <c r="AB115" s="809"/>
      <c r="AC115" s="809"/>
      <c r="AD115" s="809"/>
      <c r="AE115" s="809"/>
      <c r="AF115" s="809"/>
      <c r="AG115" s="809"/>
      <c r="AH115" s="391"/>
      <c r="AI115" s="391"/>
      <c r="AP115" s="391"/>
      <c r="AQ115" s="391"/>
      <c r="AR115" s="391"/>
      <c r="AS115" s="391"/>
      <c r="AT115" s="391"/>
      <c r="AU115" s="391"/>
      <c r="AV115" s="391"/>
      <c r="AW115" s="391"/>
      <c r="AX115" s="391"/>
      <c r="AY115" s="391"/>
      <c r="AZ115" s="391"/>
      <c r="BA115" s="391"/>
      <c r="BB115" s="391"/>
      <c r="BC115" s="391"/>
      <c r="BD115" s="391"/>
      <c r="BE115" s="391"/>
      <c r="BF115" s="391"/>
      <c r="BG115" s="391"/>
      <c r="BH115" s="391"/>
      <c r="BI115" s="391"/>
      <c r="BJ115" s="391"/>
      <c r="BK115" s="391"/>
      <c r="BL115" s="391"/>
      <c r="BM115" s="391"/>
      <c r="BN115" s="391"/>
      <c r="BO115" s="391"/>
      <c r="BP115" s="391"/>
      <c r="BQ115" s="391"/>
      <c r="BR115" s="391"/>
      <c r="BS115" s="391"/>
      <c r="BT115" s="391"/>
      <c r="BU115" s="391"/>
      <c r="BV115" s="391"/>
      <c r="BW115" s="391"/>
    </row>
    <row r="116" spans="2:76" ht="27.95" customHeight="1">
      <c r="B116" s="284"/>
      <c r="C116" s="284"/>
      <c r="D116" s="125"/>
      <c r="E116" s="125"/>
      <c r="F116" s="125"/>
      <c r="G116" s="125"/>
      <c r="H116" s="125"/>
      <c r="I116" s="125"/>
      <c r="J116" s="125"/>
      <c r="K116" s="125"/>
      <c r="L116" s="125"/>
      <c r="M116" s="125"/>
      <c r="N116" s="246"/>
      <c r="O116" s="246"/>
      <c r="P116" s="246"/>
      <c r="Q116" s="246"/>
      <c r="R116" s="246"/>
      <c r="S116" s="246"/>
      <c r="T116" s="246"/>
      <c r="U116" s="246"/>
      <c r="V116" s="125"/>
      <c r="W116" s="593"/>
      <c r="X116" s="593"/>
      <c r="Y116" s="262"/>
      <c r="Z116" s="262"/>
      <c r="AA116" s="262"/>
      <c r="AB116" s="262"/>
      <c r="AC116" s="262"/>
      <c r="AD116" s="262"/>
      <c r="AE116" s="262"/>
      <c r="AF116" s="262"/>
      <c r="AG116" s="262"/>
    </row>
    <row r="117" spans="2:76" ht="27.95" customHeight="1">
      <c r="B117" s="284"/>
      <c r="C117" s="284"/>
      <c r="D117" s="125"/>
      <c r="E117" s="125"/>
      <c r="F117" s="125"/>
      <c r="G117" s="125"/>
      <c r="H117" s="125"/>
      <c r="I117" s="125"/>
      <c r="J117" s="125"/>
      <c r="K117" s="125"/>
      <c r="L117" s="125"/>
      <c r="M117" s="125"/>
      <c r="N117" s="246"/>
      <c r="O117" s="246"/>
      <c r="P117" s="246"/>
      <c r="Q117" s="246"/>
      <c r="R117" s="246"/>
      <c r="S117" s="246"/>
      <c r="T117" s="246"/>
      <c r="U117" s="246"/>
      <c r="V117" s="125"/>
      <c r="W117" s="593"/>
      <c r="X117" s="593"/>
      <c r="Y117" s="262"/>
      <c r="Z117" s="262"/>
      <c r="AA117" s="262"/>
      <c r="AB117" s="262"/>
      <c r="AC117" s="262"/>
      <c r="AD117" s="262"/>
      <c r="AE117" s="262"/>
      <c r="AF117" s="262"/>
      <c r="AG117" s="262"/>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 type="whole" allowBlank="1"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r:id="rId5">
            <anchor moveWithCells="1">
              <from>
                <xdr:col>81</xdr:col>
                <xdr:colOff>161925</xdr:colOff>
                <xdr:row>2</xdr:row>
                <xdr:rowOff>123825</xdr:rowOff>
              </from>
              <to>
                <xdr:col>88</xdr:col>
                <xdr:colOff>28575</xdr:colOff>
                <xdr:row>5</xdr:row>
                <xdr:rowOff>9525</xdr:rowOff>
              </to>
            </anchor>
          </controlPr>
        </control>
      </mc:Choice>
      <mc:Fallback>
        <control shapeId="18435"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622</v>
      </c>
      <c r="Y1" s="30"/>
      <c r="AD1" s="810"/>
    </row>
    <row r="2" spans="1:30" s="30" customFormat="1" ht="18" customHeight="1">
      <c r="A2" s="151" t="s">
        <v>623</v>
      </c>
      <c r="C2" s="20"/>
      <c r="H2" s="2"/>
      <c r="I2" s="2"/>
      <c r="J2" s="2"/>
      <c r="K2" s="2"/>
      <c r="AD2" s="811"/>
    </row>
    <row r="3" spans="1:30" ht="14.25" customHeight="1">
      <c r="A3" s="128"/>
      <c r="AD3" s="810"/>
    </row>
    <row r="4" spans="1:30" ht="14.25" customHeight="1">
      <c r="A4" s="106"/>
      <c r="AD4" s="810"/>
    </row>
    <row r="5" spans="1:30" ht="14.25" customHeight="1">
      <c r="B5" s="812"/>
      <c r="C5" s="813"/>
      <c r="D5" s="609"/>
      <c r="AD5" s="810"/>
    </row>
    <row r="6" spans="1:30" ht="14.25" customHeight="1">
      <c r="B6" s="812"/>
      <c r="C6" s="813"/>
      <c r="D6" s="609"/>
      <c r="AD6" s="810"/>
    </row>
    <row r="7" spans="1:30" ht="14.25" customHeight="1">
      <c r="A7" s="106"/>
      <c r="AD7" s="810"/>
    </row>
    <row r="8" spans="1:30" ht="14.25" customHeight="1">
      <c r="A8" s="106"/>
      <c r="AD8" s="810"/>
    </row>
    <row r="9" spans="1:30" ht="14.25" customHeight="1">
      <c r="A9" s="106"/>
      <c r="AD9" s="810"/>
    </row>
    <row r="10" spans="1:30" ht="14.25" customHeight="1">
      <c r="A10" s="106"/>
      <c r="AD10" s="810"/>
    </row>
    <row r="11" spans="1:30" ht="14.25" customHeight="1">
      <c r="A11" s="106"/>
      <c r="AD11" s="810"/>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c r="P16" s="1085" t="s">
        <v>1367</v>
      </c>
    </row>
    <row r="17" spans="1:53" ht="14.25" customHeight="1">
      <c r="A17" s="106"/>
      <c r="P17" s="1087">
        <v>10</v>
      </c>
    </row>
    <row r="18" spans="1:53" ht="18" customHeight="1">
      <c r="B18" s="106" t="s">
        <v>624</v>
      </c>
      <c r="S18" s="593"/>
      <c r="X18" s="2"/>
    </row>
    <row r="19" spans="1:53" ht="18" customHeight="1">
      <c r="C19" s="752" t="s">
        <v>625</v>
      </c>
      <c r="H19" s="609"/>
      <c r="R19" s="2157"/>
      <c r="S19" s="814" t="s">
        <v>626</v>
      </c>
      <c r="X19" s="2"/>
    </row>
    <row r="20" spans="1:53" s="30" customFormat="1" ht="18" customHeight="1">
      <c r="B20" s="812"/>
      <c r="C20" s="20"/>
      <c r="D20" s="608" t="s">
        <v>1424</v>
      </c>
      <c r="H20" s="609"/>
      <c r="I20" s="609"/>
      <c r="J20" s="2"/>
      <c r="K20" s="2"/>
      <c r="L20" s="146" t="s">
        <v>627</v>
      </c>
      <c r="R20" s="2157"/>
      <c r="S20" s="2162" t="s">
        <v>628</v>
      </c>
      <c r="T20" s="2"/>
      <c r="U20" s="2"/>
      <c r="X20" s="2"/>
      <c r="Y20" s="2"/>
      <c r="Z20" s="2"/>
      <c r="AA20" s="2"/>
      <c r="AB20" s="2"/>
      <c r="AC20" s="2"/>
    </row>
    <row r="21" spans="1:53" s="30" customFormat="1" ht="18" customHeight="1">
      <c r="B21" s="812"/>
      <c r="C21" s="20"/>
      <c r="D21" s="608" t="s">
        <v>629</v>
      </c>
      <c r="H21" s="609"/>
      <c r="I21" s="609"/>
      <c r="J21" s="2"/>
      <c r="K21" s="2"/>
      <c r="L21" s="146"/>
      <c r="R21" s="2157"/>
      <c r="S21" s="2154"/>
      <c r="T21" s="2"/>
      <c r="U21" s="2"/>
      <c r="X21" s="2"/>
      <c r="Y21" s="2"/>
      <c r="Z21" s="2"/>
      <c r="AA21" s="2"/>
      <c r="AB21" s="2"/>
      <c r="AC21" s="2"/>
    </row>
    <row r="22" spans="1:53" s="30" customFormat="1" ht="18" hidden="1" customHeight="1">
      <c r="B22" s="812"/>
      <c r="C22" s="20"/>
      <c r="D22" s="608"/>
      <c r="H22" s="609"/>
      <c r="I22" s="609"/>
      <c r="J22" s="2"/>
      <c r="K22" s="2"/>
      <c r="L22" s="146"/>
      <c r="R22" s="2157"/>
      <c r="S22" s="2154"/>
      <c r="T22" s="2"/>
      <c r="U22" s="2"/>
      <c r="X22" s="2"/>
      <c r="Y22" s="2"/>
      <c r="Z22" s="2"/>
      <c r="AA22" s="2"/>
      <c r="AB22" s="2"/>
      <c r="AC22" s="2"/>
    </row>
    <row r="23" spans="1:53" s="30" customFormat="1" ht="18.75" customHeight="1" thickBot="1">
      <c r="B23" s="812"/>
      <c r="H23" s="609"/>
      <c r="I23" s="609"/>
      <c r="J23" s="2"/>
      <c r="K23" s="2"/>
      <c r="L23" s="2145" t="s">
        <v>626</v>
      </c>
      <c r="M23" s="2145"/>
      <c r="N23" s="2145"/>
      <c r="O23" s="2145"/>
      <c r="P23" s="2145"/>
      <c r="R23" s="2157"/>
      <c r="S23" s="2155"/>
      <c r="T23" s="2"/>
      <c r="U23" s="2"/>
      <c r="X23" s="2"/>
      <c r="Y23" s="2"/>
      <c r="Z23" s="2"/>
      <c r="AA23" s="2"/>
      <c r="AB23" s="2"/>
      <c r="AC23" s="2"/>
      <c r="AD23" s="810"/>
    </row>
    <row r="24" spans="1:53" ht="30" customHeight="1">
      <c r="C24" s="2146" t="s">
        <v>630</v>
      </c>
      <c r="D24" s="1291" t="s">
        <v>631</v>
      </c>
      <c r="E24" s="2045" t="s">
        <v>632</v>
      </c>
      <c r="F24" s="2045" t="s">
        <v>633</v>
      </c>
      <c r="G24" s="1212" t="s">
        <v>1403</v>
      </c>
      <c r="H24" s="1988" t="s">
        <v>634</v>
      </c>
      <c r="I24" s="2159" t="s">
        <v>635</v>
      </c>
      <c r="L24" s="2154" t="s">
        <v>636</v>
      </c>
      <c r="M24" s="2154" t="s">
        <v>637</v>
      </c>
      <c r="N24" s="2156" t="s">
        <v>638</v>
      </c>
      <c r="O24" s="2154" t="s">
        <v>639</v>
      </c>
      <c r="P24" s="2154" t="s">
        <v>640</v>
      </c>
      <c r="R24" s="270" t="s">
        <v>249</v>
      </c>
      <c r="S24" s="815">
        <f>SUM(S25:S26)</f>
        <v>0</v>
      </c>
      <c r="X24" s="2"/>
      <c r="AD24" s="810"/>
      <c r="AN24" s="2"/>
      <c r="BA24" s="2"/>
    </row>
    <row r="25" spans="1:53" ht="30" customHeight="1">
      <c r="C25" s="2147"/>
      <c r="D25" s="1276"/>
      <c r="E25" s="2031"/>
      <c r="F25" s="2031"/>
      <c r="G25" s="1690"/>
      <c r="H25" s="1989"/>
      <c r="I25" s="2160"/>
      <c r="L25" s="2155"/>
      <c r="M25" s="2155"/>
      <c r="N25" s="2150"/>
      <c r="O25" s="2155"/>
      <c r="P25" s="2155"/>
      <c r="R25" s="270" t="s">
        <v>641</v>
      </c>
      <c r="S25" s="816">
        <f>ROUNDDOWN(SUMIF(H27:H1026,"[1]田",M27:M1026)+
SUMIF(【11】土地_２借入地_米・さとうきび以外!I25:I1024,"[1]田",【11】土地_２借入地_米・さとうきび以外!N25:N1024),1)</f>
        <v>0</v>
      </c>
      <c r="X25" s="2"/>
      <c r="AD25" s="810"/>
    </row>
    <row r="26" spans="1:53" ht="30" customHeight="1" thickBot="1">
      <c r="C26" s="2148"/>
      <c r="D26" s="1276"/>
      <c r="E26" s="2031"/>
      <c r="F26" s="1532"/>
      <c r="G26" s="2136"/>
      <c r="H26" s="2158"/>
      <c r="I26" s="2161"/>
      <c r="L26" s="817">
        <f>ROUNDDOWN(SUM(L27:L1026),1)</f>
        <v>0</v>
      </c>
      <c r="M26" s="817">
        <f>ROUNDDOWN(SUM(M27:M1026),1)</f>
        <v>0</v>
      </c>
      <c r="N26" s="818"/>
      <c r="O26" s="819">
        <f>SUM(O27:O1026)</f>
        <v>0</v>
      </c>
      <c r="P26" s="819">
        <f>SUM(P27:P1026)</f>
        <v>0</v>
      </c>
      <c r="R26" s="270" t="s">
        <v>642</v>
      </c>
      <c r="S26" s="816">
        <f>ROUNDDOWN(SUMIF(H27:H1026,"[2]畑",M27:M1026)+
SUMIF(【11】土地_２借入地_米・さとうきび以外!I25:I1024,"[2]畑",【11】土地_２借入地_米・さとうきび以外!N25:N1024),1)</f>
        <v>0</v>
      </c>
      <c r="X26" s="2"/>
      <c r="AD26" s="810"/>
    </row>
    <row r="27" spans="1:53" ht="30" customHeight="1" thickTop="1">
      <c r="C27" s="820">
        <v>1</v>
      </c>
      <c r="D27" s="821"/>
      <c r="E27" s="822"/>
      <c r="F27" s="822"/>
      <c r="G27" s="1048"/>
      <c r="H27" s="823"/>
      <c r="I27" s="824"/>
      <c r="L27" s="815">
        <f>IF($G27&gt;0,E27,)</f>
        <v>0</v>
      </c>
      <c r="M27" s="815">
        <f>IF($G27&gt;0,F27,)</f>
        <v>0</v>
      </c>
      <c r="N27" s="825"/>
      <c r="O27" s="826">
        <f>ROUND(L27*N27/10,)</f>
        <v>0</v>
      </c>
      <c r="P27" s="827">
        <f>ROUND(O27*G27%,)</f>
        <v>0</v>
      </c>
      <c r="AD27" s="810"/>
    </row>
    <row r="28" spans="1:53" ht="30" customHeight="1">
      <c r="C28" s="828">
        <v>2</v>
      </c>
      <c r="D28" s="829"/>
      <c r="E28" s="830"/>
      <c r="F28" s="830"/>
      <c r="G28" s="1049"/>
      <c r="H28" s="831"/>
      <c r="I28" s="832"/>
      <c r="L28" s="816">
        <f t="shared" ref="L28:M155" si="0">IF($G28&gt;0,E28,)</f>
        <v>0</v>
      </c>
      <c r="M28" s="833">
        <f t="shared" si="0"/>
        <v>0</v>
      </c>
      <c r="N28" s="834"/>
      <c r="O28" s="835">
        <f t="shared" ref="O28:O1026" si="1">ROUND(L28*N28/10,)</f>
        <v>0</v>
      </c>
      <c r="P28" s="827">
        <f t="shared" ref="P28:P91" si="2">ROUND(O28*G28%,)</f>
        <v>0</v>
      </c>
      <c r="AD28" s="810"/>
    </row>
    <row r="29" spans="1:53" ht="30" customHeight="1">
      <c r="C29" s="828">
        <v>3</v>
      </c>
      <c r="D29" s="829"/>
      <c r="E29" s="830"/>
      <c r="F29" s="830"/>
      <c r="G29" s="1049"/>
      <c r="H29" s="831"/>
      <c r="I29" s="832"/>
      <c r="L29" s="816">
        <f t="shared" si="0"/>
        <v>0</v>
      </c>
      <c r="M29" s="833">
        <f t="shared" si="0"/>
        <v>0</v>
      </c>
      <c r="N29" s="834"/>
      <c r="O29" s="835">
        <f t="shared" si="1"/>
        <v>0</v>
      </c>
      <c r="P29" s="827">
        <f t="shared" si="2"/>
        <v>0</v>
      </c>
      <c r="AD29" s="810"/>
    </row>
    <row r="30" spans="1:53" ht="30" customHeight="1">
      <c r="C30" s="828">
        <v>4</v>
      </c>
      <c r="D30" s="829"/>
      <c r="E30" s="830"/>
      <c r="F30" s="830"/>
      <c r="G30" s="1049"/>
      <c r="H30" s="831"/>
      <c r="I30" s="832"/>
      <c r="L30" s="816">
        <f t="shared" si="0"/>
        <v>0</v>
      </c>
      <c r="M30" s="833">
        <f t="shared" si="0"/>
        <v>0</v>
      </c>
      <c r="N30" s="834"/>
      <c r="O30" s="835">
        <f t="shared" si="1"/>
        <v>0</v>
      </c>
      <c r="P30" s="827">
        <f t="shared" si="2"/>
        <v>0</v>
      </c>
      <c r="AD30" s="810"/>
    </row>
    <row r="31" spans="1:53" ht="30" customHeight="1">
      <c r="C31" s="828">
        <v>5</v>
      </c>
      <c r="D31" s="829"/>
      <c r="E31" s="830"/>
      <c r="F31" s="830"/>
      <c r="G31" s="1049"/>
      <c r="H31" s="831"/>
      <c r="I31" s="832"/>
      <c r="L31" s="816">
        <f t="shared" si="0"/>
        <v>0</v>
      </c>
      <c r="M31" s="833">
        <f t="shared" si="0"/>
        <v>0</v>
      </c>
      <c r="N31" s="834"/>
      <c r="O31" s="835">
        <f t="shared" si="1"/>
        <v>0</v>
      </c>
      <c r="P31" s="827">
        <f t="shared" si="2"/>
        <v>0</v>
      </c>
      <c r="AD31" s="810"/>
    </row>
    <row r="32" spans="1:53" ht="30" customHeight="1">
      <c r="C32" s="828">
        <v>6</v>
      </c>
      <c r="D32" s="829"/>
      <c r="E32" s="830"/>
      <c r="F32" s="830"/>
      <c r="G32" s="1049"/>
      <c r="H32" s="831"/>
      <c r="I32" s="832"/>
      <c r="L32" s="816">
        <f t="shared" si="0"/>
        <v>0</v>
      </c>
      <c r="M32" s="833">
        <f t="shared" si="0"/>
        <v>0</v>
      </c>
      <c r="N32" s="834"/>
      <c r="O32" s="835">
        <f t="shared" si="1"/>
        <v>0</v>
      </c>
      <c r="P32" s="827">
        <f t="shared" si="2"/>
        <v>0</v>
      </c>
      <c r="AD32" s="810"/>
    </row>
    <row r="33" spans="3:30" ht="30" customHeight="1">
      <c r="C33" s="828">
        <v>7</v>
      </c>
      <c r="D33" s="829"/>
      <c r="E33" s="830"/>
      <c r="F33" s="830"/>
      <c r="G33" s="1049"/>
      <c r="H33" s="831"/>
      <c r="I33" s="832"/>
      <c r="L33" s="816">
        <f t="shared" si="0"/>
        <v>0</v>
      </c>
      <c r="M33" s="833">
        <f t="shared" si="0"/>
        <v>0</v>
      </c>
      <c r="N33" s="834"/>
      <c r="O33" s="835">
        <f t="shared" si="1"/>
        <v>0</v>
      </c>
      <c r="P33" s="827">
        <f t="shared" si="2"/>
        <v>0</v>
      </c>
      <c r="AD33" s="810"/>
    </row>
    <row r="34" spans="3:30" ht="30" customHeight="1">
      <c r="C34" s="828">
        <v>8</v>
      </c>
      <c r="D34" s="829"/>
      <c r="E34" s="830"/>
      <c r="F34" s="830"/>
      <c r="G34" s="1049"/>
      <c r="H34" s="831"/>
      <c r="I34" s="832"/>
      <c r="L34" s="816">
        <f t="shared" si="0"/>
        <v>0</v>
      </c>
      <c r="M34" s="833">
        <f t="shared" si="0"/>
        <v>0</v>
      </c>
      <c r="N34" s="834"/>
      <c r="O34" s="835">
        <f t="shared" si="1"/>
        <v>0</v>
      </c>
      <c r="P34" s="827">
        <f t="shared" si="2"/>
        <v>0</v>
      </c>
      <c r="AD34" s="810"/>
    </row>
    <row r="35" spans="3:30" ht="30" customHeight="1">
      <c r="C35" s="828">
        <v>9</v>
      </c>
      <c r="D35" s="829"/>
      <c r="E35" s="830"/>
      <c r="F35" s="830"/>
      <c r="G35" s="1049"/>
      <c r="H35" s="831"/>
      <c r="I35" s="832"/>
      <c r="L35" s="816">
        <f t="shared" si="0"/>
        <v>0</v>
      </c>
      <c r="M35" s="833">
        <f t="shared" si="0"/>
        <v>0</v>
      </c>
      <c r="N35" s="834"/>
      <c r="O35" s="835">
        <f t="shared" si="1"/>
        <v>0</v>
      </c>
      <c r="P35" s="827">
        <f t="shared" si="2"/>
        <v>0</v>
      </c>
      <c r="AD35" s="810"/>
    </row>
    <row r="36" spans="3:30" ht="30" customHeight="1" collapsed="1" thickBot="1">
      <c r="C36" s="828">
        <v>10</v>
      </c>
      <c r="D36" s="829"/>
      <c r="E36" s="830"/>
      <c r="F36" s="830"/>
      <c r="G36" s="1049"/>
      <c r="H36" s="831"/>
      <c r="I36" s="832"/>
      <c r="L36" s="816">
        <f t="shared" si="0"/>
        <v>0</v>
      </c>
      <c r="M36" s="833">
        <f t="shared" si="0"/>
        <v>0</v>
      </c>
      <c r="N36" s="834"/>
      <c r="O36" s="835">
        <f t="shared" si="1"/>
        <v>0</v>
      </c>
      <c r="P36" s="827">
        <f t="shared" si="2"/>
        <v>0</v>
      </c>
      <c r="AD36" s="810"/>
    </row>
    <row r="37" spans="3:30" ht="30" hidden="1" customHeight="1" outlineLevel="1">
      <c r="C37" s="828">
        <v>11</v>
      </c>
      <c r="D37" s="829"/>
      <c r="E37" s="830"/>
      <c r="F37" s="830"/>
      <c r="G37" s="1049"/>
      <c r="H37" s="831"/>
      <c r="I37" s="832"/>
      <c r="L37" s="816">
        <f t="shared" si="0"/>
        <v>0</v>
      </c>
      <c r="M37" s="833">
        <f t="shared" si="0"/>
        <v>0</v>
      </c>
      <c r="N37" s="834"/>
      <c r="O37" s="835">
        <f t="shared" si="1"/>
        <v>0</v>
      </c>
      <c r="P37" s="827">
        <f t="shared" si="2"/>
        <v>0</v>
      </c>
      <c r="AD37" s="810"/>
    </row>
    <row r="38" spans="3:30" ht="30" hidden="1" customHeight="1" outlineLevel="1">
      <c r="C38" s="828">
        <v>12</v>
      </c>
      <c r="D38" s="829"/>
      <c r="E38" s="830"/>
      <c r="F38" s="830"/>
      <c r="G38" s="1049"/>
      <c r="H38" s="831"/>
      <c r="I38" s="832"/>
      <c r="L38" s="816">
        <f t="shared" si="0"/>
        <v>0</v>
      </c>
      <c r="M38" s="833">
        <f t="shared" si="0"/>
        <v>0</v>
      </c>
      <c r="N38" s="834"/>
      <c r="O38" s="835">
        <f t="shared" si="1"/>
        <v>0</v>
      </c>
      <c r="P38" s="827">
        <f t="shared" si="2"/>
        <v>0</v>
      </c>
      <c r="AD38" s="810"/>
    </row>
    <row r="39" spans="3:30" ht="30" hidden="1" customHeight="1" outlineLevel="1">
      <c r="C39" s="828">
        <v>13</v>
      </c>
      <c r="D39" s="829"/>
      <c r="E39" s="830"/>
      <c r="F39" s="830"/>
      <c r="G39" s="1049"/>
      <c r="H39" s="831"/>
      <c r="I39" s="832"/>
      <c r="L39" s="816">
        <f t="shared" si="0"/>
        <v>0</v>
      </c>
      <c r="M39" s="833">
        <f t="shared" si="0"/>
        <v>0</v>
      </c>
      <c r="N39" s="834"/>
      <c r="O39" s="835">
        <f t="shared" si="1"/>
        <v>0</v>
      </c>
      <c r="P39" s="827">
        <f t="shared" si="2"/>
        <v>0</v>
      </c>
      <c r="AD39" s="810"/>
    </row>
    <row r="40" spans="3:30" ht="30" hidden="1" customHeight="1" outlineLevel="1">
      <c r="C40" s="828">
        <v>14</v>
      </c>
      <c r="D40" s="829"/>
      <c r="E40" s="830"/>
      <c r="F40" s="830"/>
      <c r="G40" s="1049"/>
      <c r="H40" s="831"/>
      <c r="I40" s="832"/>
      <c r="L40" s="816">
        <f t="shared" si="0"/>
        <v>0</v>
      </c>
      <c r="M40" s="833">
        <f t="shared" si="0"/>
        <v>0</v>
      </c>
      <c r="N40" s="834"/>
      <c r="O40" s="835">
        <f t="shared" si="1"/>
        <v>0</v>
      </c>
      <c r="P40" s="827">
        <f t="shared" si="2"/>
        <v>0</v>
      </c>
      <c r="AD40" s="810"/>
    </row>
    <row r="41" spans="3:30" ht="30" hidden="1" customHeight="1" outlineLevel="1">
      <c r="C41" s="828">
        <v>15</v>
      </c>
      <c r="D41" s="829"/>
      <c r="E41" s="830"/>
      <c r="F41" s="830"/>
      <c r="G41" s="1049"/>
      <c r="H41" s="831"/>
      <c r="I41" s="832"/>
      <c r="L41" s="816">
        <f t="shared" si="0"/>
        <v>0</v>
      </c>
      <c r="M41" s="833">
        <f t="shared" si="0"/>
        <v>0</v>
      </c>
      <c r="N41" s="834"/>
      <c r="O41" s="835">
        <f t="shared" si="1"/>
        <v>0</v>
      </c>
      <c r="P41" s="827">
        <f t="shared" si="2"/>
        <v>0</v>
      </c>
      <c r="AD41" s="810"/>
    </row>
    <row r="42" spans="3:30" ht="30" hidden="1" customHeight="1" outlineLevel="1">
      <c r="C42" s="828">
        <v>16</v>
      </c>
      <c r="D42" s="829"/>
      <c r="E42" s="830"/>
      <c r="F42" s="830"/>
      <c r="G42" s="1049"/>
      <c r="H42" s="831"/>
      <c r="I42" s="832"/>
      <c r="L42" s="816">
        <f t="shared" si="0"/>
        <v>0</v>
      </c>
      <c r="M42" s="833">
        <f t="shared" si="0"/>
        <v>0</v>
      </c>
      <c r="N42" s="834"/>
      <c r="O42" s="835">
        <f t="shared" si="1"/>
        <v>0</v>
      </c>
      <c r="P42" s="827">
        <f t="shared" si="2"/>
        <v>0</v>
      </c>
      <c r="AD42" s="810"/>
    </row>
    <row r="43" spans="3:30" ht="30" hidden="1" customHeight="1" outlineLevel="1">
      <c r="C43" s="828">
        <v>17</v>
      </c>
      <c r="D43" s="829"/>
      <c r="E43" s="830"/>
      <c r="F43" s="830"/>
      <c r="G43" s="1049"/>
      <c r="H43" s="831"/>
      <c r="I43" s="832"/>
      <c r="L43" s="816">
        <f t="shared" si="0"/>
        <v>0</v>
      </c>
      <c r="M43" s="833">
        <f t="shared" si="0"/>
        <v>0</v>
      </c>
      <c r="N43" s="834"/>
      <c r="O43" s="835">
        <f t="shared" si="1"/>
        <v>0</v>
      </c>
      <c r="P43" s="827">
        <f t="shared" si="2"/>
        <v>0</v>
      </c>
      <c r="AD43" s="810"/>
    </row>
    <row r="44" spans="3:30" ht="30" hidden="1" customHeight="1" outlineLevel="1">
      <c r="C44" s="828">
        <v>18</v>
      </c>
      <c r="D44" s="829"/>
      <c r="E44" s="830"/>
      <c r="F44" s="830"/>
      <c r="G44" s="1049"/>
      <c r="H44" s="831"/>
      <c r="I44" s="832"/>
      <c r="L44" s="816">
        <f t="shared" si="0"/>
        <v>0</v>
      </c>
      <c r="M44" s="833">
        <f t="shared" si="0"/>
        <v>0</v>
      </c>
      <c r="N44" s="834"/>
      <c r="O44" s="835">
        <f t="shared" si="1"/>
        <v>0</v>
      </c>
      <c r="P44" s="827">
        <f t="shared" si="2"/>
        <v>0</v>
      </c>
      <c r="AD44" s="810"/>
    </row>
    <row r="45" spans="3:30" ht="30" hidden="1" customHeight="1" outlineLevel="1">
      <c r="C45" s="828">
        <v>19</v>
      </c>
      <c r="D45" s="829"/>
      <c r="E45" s="830"/>
      <c r="F45" s="830"/>
      <c r="G45" s="1049"/>
      <c r="H45" s="831"/>
      <c r="I45" s="832"/>
      <c r="L45" s="816">
        <f t="shared" si="0"/>
        <v>0</v>
      </c>
      <c r="M45" s="833">
        <f t="shared" si="0"/>
        <v>0</v>
      </c>
      <c r="N45" s="834"/>
      <c r="O45" s="835">
        <f t="shared" si="1"/>
        <v>0</v>
      </c>
      <c r="P45" s="827">
        <f t="shared" si="2"/>
        <v>0</v>
      </c>
      <c r="AD45" s="810"/>
    </row>
    <row r="46" spans="3:30" ht="30" hidden="1" customHeight="1" outlineLevel="1">
      <c r="C46" s="828">
        <v>20</v>
      </c>
      <c r="D46" s="829"/>
      <c r="E46" s="830"/>
      <c r="F46" s="830"/>
      <c r="G46" s="1049"/>
      <c r="H46" s="831"/>
      <c r="I46" s="832"/>
      <c r="L46" s="816">
        <f t="shared" si="0"/>
        <v>0</v>
      </c>
      <c r="M46" s="833">
        <f t="shared" si="0"/>
        <v>0</v>
      </c>
      <c r="N46" s="834"/>
      <c r="O46" s="835">
        <f t="shared" si="1"/>
        <v>0</v>
      </c>
      <c r="P46" s="827">
        <f t="shared" si="2"/>
        <v>0</v>
      </c>
      <c r="AD46" s="810"/>
    </row>
    <row r="47" spans="3:30" ht="30" hidden="1" customHeight="1" outlineLevel="1">
      <c r="C47" s="828">
        <v>21</v>
      </c>
      <c r="D47" s="829"/>
      <c r="E47" s="830"/>
      <c r="F47" s="830"/>
      <c r="G47" s="1049"/>
      <c r="H47" s="831"/>
      <c r="I47" s="832"/>
      <c r="L47" s="816">
        <f t="shared" si="0"/>
        <v>0</v>
      </c>
      <c r="M47" s="833">
        <f t="shared" si="0"/>
        <v>0</v>
      </c>
      <c r="N47" s="834"/>
      <c r="O47" s="835">
        <f t="shared" si="1"/>
        <v>0</v>
      </c>
      <c r="P47" s="827">
        <f t="shared" si="2"/>
        <v>0</v>
      </c>
      <c r="AD47" s="810"/>
    </row>
    <row r="48" spans="3:30" ht="30" hidden="1" customHeight="1" outlineLevel="1">
      <c r="C48" s="828">
        <v>22</v>
      </c>
      <c r="D48" s="829"/>
      <c r="E48" s="830"/>
      <c r="F48" s="830"/>
      <c r="G48" s="1049"/>
      <c r="H48" s="831"/>
      <c r="I48" s="832"/>
      <c r="L48" s="816">
        <f t="shared" si="0"/>
        <v>0</v>
      </c>
      <c r="M48" s="833">
        <f t="shared" si="0"/>
        <v>0</v>
      </c>
      <c r="N48" s="834"/>
      <c r="O48" s="835">
        <f t="shared" si="1"/>
        <v>0</v>
      </c>
      <c r="P48" s="827">
        <f t="shared" si="2"/>
        <v>0</v>
      </c>
      <c r="AD48" s="810"/>
    </row>
    <row r="49" spans="3:30" ht="30" hidden="1" customHeight="1" outlineLevel="1">
      <c r="C49" s="828">
        <v>23</v>
      </c>
      <c r="D49" s="829"/>
      <c r="E49" s="830"/>
      <c r="F49" s="830"/>
      <c r="G49" s="1049"/>
      <c r="H49" s="831"/>
      <c r="I49" s="832"/>
      <c r="L49" s="816">
        <f t="shared" si="0"/>
        <v>0</v>
      </c>
      <c r="M49" s="833">
        <f t="shared" si="0"/>
        <v>0</v>
      </c>
      <c r="N49" s="834"/>
      <c r="O49" s="835">
        <f t="shared" si="1"/>
        <v>0</v>
      </c>
      <c r="P49" s="827">
        <f t="shared" si="2"/>
        <v>0</v>
      </c>
      <c r="AD49" s="810"/>
    </row>
    <row r="50" spans="3:30" ht="30" hidden="1" customHeight="1" outlineLevel="1">
      <c r="C50" s="828">
        <v>24</v>
      </c>
      <c r="D50" s="829"/>
      <c r="E50" s="830"/>
      <c r="F50" s="830"/>
      <c r="G50" s="1049"/>
      <c r="H50" s="831"/>
      <c r="I50" s="832"/>
      <c r="L50" s="816">
        <f t="shared" si="0"/>
        <v>0</v>
      </c>
      <c r="M50" s="833">
        <f t="shared" si="0"/>
        <v>0</v>
      </c>
      <c r="N50" s="834"/>
      <c r="O50" s="835">
        <f t="shared" si="1"/>
        <v>0</v>
      </c>
      <c r="P50" s="827">
        <f t="shared" si="2"/>
        <v>0</v>
      </c>
      <c r="AD50" s="810"/>
    </row>
    <row r="51" spans="3:30" ht="30" hidden="1" customHeight="1" outlineLevel="1">
      <c r="C51" s="828">
        <v>25</v>
      </c>
      <c r="D51" s="829"/>
      <c r="E51" s="830"/>
      <c r="F51" s="830"/>
      <c r="G51" s="1049"/>
      <c r="H51" s="831"/>
      <c r="I51" s="832"/>
      <c r="L51" s="816">
        <f t="shared" si="0"/>
        <v>0</v>
      </c>
      <c r="M51" s="833">
        <f t="shared" si="0"/>
        <v>0</v>
      </c>
      <c r="N51" s="834"/>
      <c r="O51" s="835">
        <f t="shared" si="1"/>
        <v>0</v>
      </c>
      <c r="P51" s="827">
        <f t="shared" si="2"/>
        <v>0</v>
      </c>
      <c r="AD51" s="810"/>
    </row>
    <row r="52" spans="3:30" ht="30" hidden="1" customHeight="1" outlineLevel="1">
      <c r="C52" s="828">
        <v>26</v>
      </c>
      <c r="D52" s="829"/>
      <c r="E52" s="830"/>
      <c r="F52" s="830"/>
      <c r="G52" s="1049"/>
      <c r="H52" s="831"/>
      <c r="I52" s="832"/>
      <c r="L52" s="816">
        <f t="shared" si="0"/>
        <v>0</v>
      </c>
      <c r="M52" s="833">
        <f t="shared" si="0"/>
        <v>0</v>
      </c>
      <c r="N52" s="834"/>
      <c r="O52" s="835">
        <f t="shared" si="1"/>
        <v>0</v>
      </c>
      <c r="P52" s="827">
        <f t="shared" si="2"/>
        <v>0</v>
      </c>
      <c r="AD52" s="810"/>
    </row>
    <row r="53" spans="3:30" ht="30" hidden="1" customHeight="1" outlineLevel="1">
      <c r="C53" s="828">
        <v>27</v>
      </c>
      <c r="D53" s="829"/>
      <c r="E53" s="830"/>
      <c r="F53" s="830"/>
      <c r="G53" s="1049"/>
      <c r="H53" s="831"/>
      <c r="I53" s="832"/>
      <c r="L53" s="816">
        <f t="shared" si="0"/>
        <v>0</v>
      </c>
      <c r="M53" s="833">
        <f t="shared" si="0"/>
        <v>0</v>
      </c>
      <c r="N53" s="834"/>
      <c r="O53" s="835">
        <f t="shared" si="1"/>
        <v>0</v>
      </c>
      <c r="P53" s="827">
        <f t="shared" si="2"/>
        <v>0</v>
      </c>
      <c r="AD53" s="810"/>
    </row>
    <row r="54" spans="3:30" ht="30" hidden="1" customHeight="1" outlineLevel="1">
      <c r="C54" s="828">
        <v>28</v>
      </c>
      <c r="D54" s="829"/>
      <c r="E54" s="830"/>
      <c r="F54" s="830"/>
      <c r="G54" s="1049"/>
      <c r="H54" s="831"/>
      <c r="I54" s="832"/>
      <c r="L54" s="816">
        <f t="shared" si="0"/>
        <v>0</v>
      </c>
      <c r="M54" s="833">
        <f t="shared" si="0"/>
        <v>0</v>
      </c>
      <c r="N54" s="834"/>
      <c r="O54" s="835">
        <f t="shared" si="1"/>
        <v>0</v>
      </c>
      <c r="P54" s="827">
        <f t="shared" si="2"/>
        <v>0</v>
      </c>
      <c r="AD54" s="810"/>
    </row>
    <row r="55" spans="3:30" ht="30" hidden="1" customHeight="1" outlineLevel="1">
      <c r="C55" s="828">
        <v>29</v>
      </c>
      <c r="D55" s="829"/>
      <c r="E55" s="830"/>
      <c r="F55" s="830"/>
      <c r="G55" s="1049"/>
      <c r="H55" s="831"/>
      <c r="I55" s="832"/>
      <c r="L55" s="816">
        <f t="shared" si="0"/>
        <v>0</v>
      </c>
      <c r="M55" s="833">
        <f t="shared" si="0"/>
        <v>0</v>
      </c>
      <c r="N55" s="834"/>
      <c r="O55" s="835">
        <f t="shared" si="1"/>
        <v>0</v>
      </c>
      <c r="P55" s="827">
        <f t="shared" si="2"/>
        <v>0</v>
      </c>
      <c r="AD55" s="810"/>
    </row>
    <row r="56" spans="3:30" ht="30" hidden="1" customHeight="1" outlineLevel="1">
      <c r="C56" s="828">
        <v>30</v>
      </c>
      <c r="D56" s="829"/>
      <c r="E56" s="830"/>
      <c r="F56" s="830"/>
      <c r="G56" s="1049"/>
      <c r="H56" s="831"/>
      <c r="I56" s="832"/>
      <c r="L56" s="816">
        <f t="shared" si="0"/>
        <v>0</v>
      </c>
      <c r="M56" s="833">
        <f t="shared" si="0"/>
        <v>0</v>
      </c>
      <c r="N56" s="834"/>
      <c r="O56" s="835">
        <f t="shared" si="1"/>
        <v>0</v>
      </c>
      <c r="P56" s="827">
        <f t="shared" si="2"/>
        <v>0</v>
      </c>
      <c r="AD56" s="810"/>
    </row>
    <row r="57" spans="3:30" ht="30" hidden="1" customHeight="1" outlineLevel="1">
      <c r="C57" s="828">
        <v>31</v>
      </c>
      <c r="D57" s="829"/>
      <c r="E57" s="830"/>
      <c r="F57" s="830"/>
      <c r="G57" s="1049"/>
      <c r="H57" s="831"/>
      <c r="I57" s="832"/>
      <c r="L57" s="816">
        <f t="shared" si="0"/>
        <v>0</v>
      </c>
      <c r="M57" s="833">
        <f t="shared" si="0"/>
        <v>0</v>
      </c>
      <c r="N57" s="834"/>
      <c r="O57" s="835">
        <f t="shared" si="1"/>
        <v>0</v>
      </c>
      <c r="P57" s="827">
        <f t="shared" si="2"/>
        <v>0</v>
      </c>
      <c r="AD57" s="810"/>
    </row>
    <row r="58" spans="3:30" ht="30" hidden="1" customHeight="1" outlineLevel="1">
      <c r="C58" s="828">
        <v>32</v>
      </c>
      <c r="D58" s="829"/>
      <c r="E58" s="830"/>
      <c r="F58" s="830"/>
      <c r="G58" s="1049"/>
      <c r="H58" s="831"/>
      <c r="I58" s="832"/>
      <c r="L58" s="816">
        <f t="shared" si="0"/>
        <v>0</v>
      </c>
      <c r="M58" s="833">
        <f t="shared" si="0"/>
        <v>0</v>
      </c>
      <c r="N58" s="834"/>
      <c r="O58" s="835">
        <f t="shared" si="1"/>
        <v>0</v>
      </c>
      <c r="P58" s="827">
        <f t="shared" si="2"/>
        <v>0</v>
      </c>
      <c r="AD58" s="810"/>
    </row>
    <row r="59" spans="3:30" ht="30" hidden="1" customHeight="1" outlineLevel="1">
      <c r="C59" s="828">
        <v>33</v>
      </c>
      <c r="D59" s="829"/>
      <c r="E59" s="830"/>
      <c r="F59" s="830"/>
      <c r="G59" s="1049"/>
      <c r="H59" s="831"/>
      <c r="I59" s="832"/>
      <c r="L59" s="816">
        <f t="shared" si="0"/>
        <v>0</v>
      </c>
      <c r="M59" s="833">
        <f t="shared" si="0"/>
        <v>0</v>
      </c>
      <c r="N59" s="834"/>
      <c r="O59" s="835">
        <f t="shared" si="1"/>
        <v>0</v>
      </c>
      <c r="P59" s="827">
        <f t="shared" si="2"/>
        <v>0</v>
      </c>
      <c r="AD59" s="810"/>
    </row>
    <row r="60" spans="3:30" ht="30" hidden="1" customHeight="1" outlineLevel="1">
      <c r="C60" s="828">
        <v>34</v>
      </c>
      <c r="D60" s="829"/>
      <c r="E60" s="830"/>
      <c r="F60" s="830"/>
      <c r="G60" s="1049"/>
      <c r="H60" s="831"/>
      <c r="I60" s="832"/>
      <c r="L60" s="816">
        <f t="shared" si="0"/>
        <v>0</v>
      </c>
      <c r="M60" s="833">
        <f t="shared" si="0"/>
        <v>0</v>
      </c>
      <c r="N60" s="834"/>
      <c r="O60" s="835">
        <f t="shared" si="1"/>
        <v>0</v>
      </c>
      <c r="P60" s="827">
        <f t="shared" si="2"/>
        <v>0</v>
      </c>
      <c r="AD60" s="810"/>
    </row>
    <row r="61" spans="3:30" ht="30" hidden="1" customHeight="1" outlineLevel="1">
      <c r="C61" s="828">
        <v>35</v>
      </c>
      <c r="D61" s="829"/>
      <c r="E61" s="830"/>
      <c r="F61" s="830"/>
      <c r="G61" s="1049"/>
      <c r="H61" s="831"/>
      <c r="I61" s="832"/>
      <c r="L61" s="816">
        <f t="shared" si="0"/>
        <v>0</v>
      </c>
      <c r="M61" s="833">
        <f t="shared" si="0"/>
        <v>0</v>
      </c>
      <c r="N61" s="834"/>
      <c r="O61" s="835">
        <f t="shared" si="1"/>
        <v>0</v>
      </c>
      <c r="P61" s="827">
        <f t="shared" si="2"/>
        <v>0</v>
      </c>
      <c r="AD61" s="810"/>
    </row>
    <row r="62" spans="3:30" ht="30" hidden="1" customHeight="1" outlineLevel="1">
      <c r="C62" s="828">
        <v>36</v>
      </c>
      <c r="D62" s="829"/>
      <c r="E62" s="830"/>
      <c r="F62" s="830"/>
      <c r="G62" s="1049"/>
      <c r="H62" s="831"/>
      <c r="I62" s="832"/>
      <c r="L62" s="816">
        <f t="shared" si="0"/>
        <v>0</v>
      </c>
      <c r="M62" s="833">
        <f t="shared" si="0"/>
        <v>0</v>
      </c>
      <c r="N62" s="834"/>
      <c r="O62" s="835">
        <f t="shared" si="1"/>
        <v>0</v>
      </c>
      <c r="P62" s="827">
        <f t="shared" si="2"/>
        <v>0</v>
      </c>
      <c r="AD62" s="810"/>
    </row>
    <row r="63" spans="3:30" ht="30" hidden="1" customHeight="1" outlineLevel="1">
      <c r="C63" s="828">
        <v>37</v>
      </c>
      <c r="D63" s="829"/>
      <c r="E63" s="830"/>
      <c r="F63" s="830"/>
      <c r="G63" s="1049"/>
      <c r="H63" s="831"/>
      <c r="I63" s="832"/>
      <c r="L63" s="816">
        <f t="shared" si="0"/>
        <v>0</v>
      </c>
      <c r="M63" s="833">
        <f t="shared" si="0"/>
        <v>0</v>
      </c>
      <c r="N63" s="834"/>
      <c r="O63" s="835">
        <f t="shared" si="1"/>
        <v>0</v>
      </c>
      <c r="P63" s="827">
        <f t="shared" si="2"/>
        <v>0</v>
      </c>
      <c r="AD63" s="810"/>
    </row>
    <row r="64" spans="3:30" ht="30" hidden="1" customHeight="1" outlineLevel="1">
      <c r="C64" s="828">
        <v>38</v>
      </c>
      <c r="D64" s="829"/>
      <c r="E64" s="830"/>
      <c r="F64" s="830"/>
      <c r="G64" s="1049"/>
      <c r="H64" s="831"/>
      <c r="I64" s="832"/>
      <c r="L64" s="816">
        <f t="shared" si="0"/>
        <v>0</v>
      </c>
      <c r="M64" s="833">
        <f t="shared" si="0"/>
        <v>0</v>
      </c>
      <c r="N64" s="834"/>
      <c r="O64" s="835">
        <f t="shared" si="1"/>
        <v>0</v>
      </c>
      <c r="P64" s="827">
        <f t="shared" si="2"/>
        <v>0</v>
      </c>
      <c r="AD64" s="810"/>
    </row>
    <row r="65" spans="3:30" ht="30" hidden="1" customHeight="1" outlineLevel="1">
      <c r="C65" s="828">
        <v>39</v>
      </c>
      <c r="D65" s="829"/>
      <c r="E65" s="830"/>
      <c r="F65" s="830"/>
      <c r="G65" s="1049"/>
      <c r="H65" s="831"/>
      <c r="I65" s="832"/>
      <c r="L65" s="816">
        <f t="shared" si="0"/>
        <v>0</v>
      </c>
      <c r="M65" s="833">
        <f t="shared" si="0"/>
        <v>0</v>
      </c>
      <c r="N65" s="834"/>
      <c r="O65" s="835">
        <f t="shared" si="1"/>
        <v>0</v>
      </c>
      <c r="P65" s="827">
        <f t="shared" si="2"/>
        <v>0</v>
      </c>
      <c r="AD65" s="810"/>
    </row>
    <row r="66" spans="3:30" ht="30" hidden="1" customHeight="1" outlineLevel="1">
      <c r="C66" s="828">
        <v>40</v>
      </c>
      <c r="D66" s="829"/>
      <c r="E66" s="830"/>
      <c r="F66" s="830"/>
      <c r="G66" s="1049"/>
      <c r="H66" s="831"/>
      <c r="I66" s="832"/>
      <c r="L66" s="816">
        <f t="shared" si="0"/>
        <v>0</v>
      </c>
      <c r="M66" s="833">
        <f t="shared" si="0"/>
        <v>0</v>
      </c>
      <c r="N66" s="834"/>
      <c r="O66" s="835">
        <f t="shared" si="1"/>
        <v>0</v>
      </c>
      <c r="P66" s="827">
        <f t="shared" si="2"/>
        <v>0</v>
      </c>
      <c r="AD66" s="810"/>
    </row>
    <row r="67" spans="3:30" ht="30" hidden="1" customHeight="1" outlineLevel="1">
      <c r="C67" s="828">
        <v>41</v>
      </c>
      <c r="D67" s="829"/>
      <c r="E67" s="830"/>
      <c r="F67" s="830"/>
      <c r="G67" s="1049"/>
      <c r="H67" s="831"/>
      <c r="I67" s="832"/>
      <c r="L67" s="816">
        <f t="shared" si="0"/>
        <v>0</v>
      </c>
      <c r="M67" s="833">
        <f t="shared" si="0"/>
        <v>0</v>
      </c>
      <c r="N67" s="834"/>
      <c r="O67" s="835">
        <f t="shared" si="1"/>
        <v>0</v>
      </c>
      <c r="P67" s="827">
        <f t="shared" si="2"/>
        <v>0</v>
      </c>
      <c r="AD67" s="810"/>
    </row>
    <row r="68" spans="3:30" ht="30" hidden="1" customHeight="1" outlineLevel="1">
      <c r="C68" s="828">
        <v>42</v>
      </c>
      <c r="D68" s="829"/>
      <c r="E68" s="830"/>
      <c r="F68" s="830"/>
      <c r="G68" s="1049"/>
      <c r="H68" s="831"/>
      <c r="I68" s="832"/>
      <c r="L68" s="816">
        <f t="shared" si="0"/>
        <v>0</v>
      </c>
      <c r="M68" s="833">
        <f t="shared" si="0"/>
        <v>0</v>
      </c>
      <c r="N68" s="834"/>
      <c r="O68" s="835">
        <f t="shared" si="1"/>
        <v>0</v>
      </c>
      <c r="P68" s="827">
        <f t="shared" si="2"/>
        <v>0</v>
      </c>
      <c r="AD68" s="810"/>
    </row>
    <row r="69" spans="3:30" ht="30" hidden="1" customHeight="1" outlineLevel="1">
      <c r="C69" s="828">
        <v>43</v>
      </c>
      <c r="D69" s="829"/>
      <c r="E69" s="830"/>
      <c r="F69" s="830"/>
      <c r="G69" s="1049"/>
      <c r="H69" s="831"/>
      <c r="I69" s="832"/>
      <c r="L69" s="816">
        <f t="shared" si="0"/>
        <v>0</v>
      </c>
      <c r="M69" s="833">
        <f t="shared" si="0"/>
        <v>0</v>
      </c>
      <c r="N69" s="834"/>
      <c r="O69" s="835">
        <f t="shared" si="1"/>
        <v>0</v>
      </c>
      <c r="P69" s="827">
        <f t="shared" si="2"/>
        <v>0</v>
      </c>
      <c r="AD69" s="810"/>
    </row>
    <row r="70" spans="3:30" ht="30" hidden="1" customHeight="1" outlineLevel="1">
      <c r="C70" s="828">
        <v>44</v>
      </c>
      <c r="D70" s="829"/>
      <c r="E70" s="830"/>
      <c r="F70" s="830"/>
      <c r="G70" s="1049"/>
      <c r="H70" s="831"/>
      <c r="I70" s="832"/>
      <c r="L70" s="816">
        <f t="shared" si="0"/>
        <v>0</v>
      </c>
      <c r="M70" s="833">
        <f t="shared" si="0"/>
        <v>0</v>
      </c>
      <c r="N70" s="834"/>
      <c r="O70" s="835">
        <f t="shared" si="1"/>
        <v>0</v>
      </c>
      <c r="P70" s="827">
        <f t="shared" si="2"/>
        <v>0</v>
      </c>
      <c r="AD70" s="810"/>
    </row>
    <row r="71" spans="3:30" ht="30" hidden="1" customHeight="1" outlineLevel="1">
      <c r="C71" s="828">
        <v>45</v>
      </c>
      <c r="D71" s="829"/>
      <c r="E71" s="830"/>
      <c r="F71" s="830"/>
      <c r="G71" s="1049"/>
      <c r="H71" s="831"/>
      <c r="I71" s="832"/>
      <c r="L71" s="816">
        <f t="shared" si="0"/>
        <v>0</v>
      </c>
      <c r="M71" s="833">
        <f t="shared" si="0"/>
        <v>0</v>
      </c>
      <c r="N71" s="834"/>
      <c r="O71" s="835">
        <f t="shared" si="1"/>
        <v>0</v>
      </c>
      <c r="P71" s="827">
        <f t="shared" si="2"/>
        <v>0</v>
      </c>
      <c r="AD71" s="810"/>
    </row>
    <row r="72" spans="3:30" ht="30" hidden="1" customHeight="1" outlineLevel="1">
      <c r="C72" s="828">
        <v>46</v>
      </c>
      <c r="D72" s="829"/>
      <c r="E72" s="830"/>
      <c r="F72" s="830"/>
      <c r="G72" s="1049"/>
      <c r="H72" s="831"/>
      <c r="I72" s="832"/>
      <c r="L72" s="816">
        <f t="shared" si="0"/>
        <v>0</v>
      </c>
      <c r="M72" s="833">
        <f t="shared" si="0"/>
        <v>0</v>
      </c>
      <c r="N72" s="834"/>
      <c r="O72" s="835">
        <f t="shared" si="1"/>
        <v>0</v>
      </c>
      <c r="P72" s="827">
        <f t="shared" si="2"/>
        <v>0</v>
      </c>
      <c r="AD72" s="810"/>
    </row>
    <row r="73" spans="3:30" ht="30" hidden="1" customHeight="1" outlineLevel="1">
      <c r="C73" s="828">
        <v>47</v>
      </c>
      <c r="D73" s="829"/>
      <c r="E73" s="830"/>
      <c r="F73" s="830"/>
      <c r="G73" s="1049"/>
      <c r="H73" s="831"/>
      <c r="I73" s="832"/>
      <c r="L73" s="816">
        <f t="shared" si="0"/>
        <v>0</v>
      </c>
      <c r="M73" s="833">
        <f t="shared" si="0"/>
        <v>0</v>
      </c>
      <c r="N73" s="834"/>
      <c r="O73" s="835">
        <f t="shared" si="1"/>
        <v>0</v>
      </c>
      <c r="P73" s="827">
        <f t="shared" si="2"/>
        <v>0</v>
      </c>
      <c r="AD73" s="810"/>
    </row>
    <row r="74" spans="3:30" ht="30" hidden="1" customHeight="1" outlineLevel="1">
      <c r="C74" s="828">
        <v>48</v>
      </c>
      <c r="D74" s="829"/>
      <c r="E74" s="830"/>
      <c r="F74" s="830"/>
      <c r="G74" s="1049"/>
      <c r="H74" s="831"/>
      <c r="I74" s="832"/>
      <c r="L74" s="816">
        <f t="shared" si="0"/>
        <v>0</v>
      </c>
      <c r="M74" s="833">
        <f t="shared" si="0"/>
        <v>0</v>
      </c>
      <c r="N74" s="834"/>
      <c r="O74" s="835">
        <f t="shared" si="1"/>
        <v>0</v>
      </c>
      <c r="P74" s="827">
        <f t="shared" si="2"/>
        <v>0</v>
      </c>
      <c r="AD74" s="810"/>
    </row>
    <row r="75" spans="3:30" ht="30" hidden="1" customHeight="1" outlineLevel="1">
      <c r="C75" s="828">
        <v>49</v>
      </c>
      <c r="D75" s="829"/>
      <c r="E75" s="830"/>
      <c r="F75" s="830"/>
      <c r="G75" s="1049"/>
      <c r="H75" s="831"/>
      <c r="I75" s="832"/>
      <c r="L75" s="816">
        <f t="shared" si="0"/>
        <v>0</v>
      </c>
      <c r="M75" s="833">
        <f t="shared" si="0"/>
        <v>0</v>
      </c>
      <c r="N75" s="834"/>
      <c r="O75" s="835">
        <f t="shared" si="1"/>
        <v>0</v>
      </c>
      <c r="P75" s="827">
        <f t="shared" si="2"/>
        <v>0</v>
      </c>
      <c r="AD75" s="810"/>
    </row>
    <row r="76" spans="3:30" ht="30" hidden="1" customHeight="1" outlineLevel="1">
      <c r="C76" s="828">
        <v>50</v>
      </c>
      <c r="D76" s="829"/>
      <c r="E76" s="830"/>
      <c r="F76" s="830"/>
      <c r="G76" s="1049"/>
      <c r="H76" s="831"/>
      <c r="I76" s="832"/>
      <c r="L76" s="816">
        <f t="shared" si="0"/>
        <v>0</v>
      </c>
      <c r="M76" s="833">
        <f t="shared" si="0"/>
        <v>0</v>
      </c>
      <c r="N76" s="834"/>
      <c r="O76" s="835">
        <f t="shared" si="1"/>
        <v>0</v>
      </c>
      <c r="P76" s="827">
        <f t="shared" si="2"/>
        <v>0</v>
      </c>
      <c r="AD76" s="810"/>
    </row>
    <row r="77" spans="3:30" ht="30" hidden="1" customHeight="1" outlineLevel="1">
      <c r="C77" s="828">
        <v>51</v>
      </c>
      <c r="D77" s="829"/>
      <c r="E77" s="830"/>
      <c r="F77" s="830"/>
      <c r="G77" s="1049"/>
      <c r="H77" s="831"/>
      <c r="I77" s="832"/>
      <c r="L77" s="816">
        <f t="shared" si="0"/>
        <v>0</v>
      </c>
      <c r="M77" s="833">
        <f t="shared" si="0"/>
        <v>0</v>
      </c>
      <c r="N77" s="834"/>
      <c r="O77" s="835">
        <f t="shared" si="1"/>
        <v>0</v>
      </c>
      <c r="P77" s="827">
        <f t="shared" si="2"/>
        <v>0</v>
      </c>
      <c r="AD77" s="810"/>
    </row>
    <row r="78" spans="3:30" ht="30" hidden="1" customHeight="1" outlineLevel="1">
      <c r="C78" s="828">
        <v>52</v>
      </c>
      <c r="D78" s="829"/>
      <c r="E78" s="830"/>
      <c r="F78" s="830"/>
      <c r="G78" s="1049"/>
      <c r="H78" s="831"/>
      <c r="I78" s="832"/>
      <c r="L78" s="816">
        <f t="shared" si="0"/>
        <v>0</v>
      </c>
      <c r="M78" s="833">
        <f t="shared" si="0"/>
        <v>0</v>
      </c>
      <c r="N78" s="834"/>
      <c r="O78" s="835">
        <f t="shared" si="1"/>
        <v>0</v>
      </c>
      <c r="P78" s="827">
        <f t="shared" si="2"/>
        <v>0</v>
      </c>
      <c r="AD78" s="810"/>
    </row>
    <row r="79" spans="3:30" ht="30" hidden="1" customHeight="1" outlineLevel="1">
      <c r="C79" s="828">
        <v>53</v>
      </c>
      <c r="D79" s="829"/>
      <c r="E79" s="830"/>
      <c r="F79" s="830"/>
      <c r="G79" s="1049"/>
      <c r="H79" s="831"/>
      <c r="I79" s="832"/>
      <c r="L79" s="816">
        <f t="shared" si="0"/>
        <v>0</v>
      </c>
      <c r="M79" s="833">
        <f t="shared" si="0"/>
        <v>0</v>
      </c>
      <c r="N79" s="834"/>
      <c r="O79" s="835">
        <f t="shared" si="1"/>
        <v>0</v>
      </c>
      <c r="P79" s="827">
        <f t="shared" si="2"/>
        <v>0</v>
      </c>
      <c r="AD79" s="810"/>
    </row>
    <row r="80" spans="3:30" ht="30" hidden="1" customHeight="1" outlineLevel="1">
      <c r="C80" s="828">
        <v>54</v>
      </c>
      <c r="D80" s="829"/>
      <c r="E80" s="830"/>
      <c r="F80" s="830"/>
      <c r="G80" s="1049"/>
      <c r="H80" s="831"/>
      <c r="I80" s="832"/>
      <c r="L80" s="816">
        <f t="shared" si="0"/>
        <v>0</v>
      </c>
      <c r="M80" s="833">
        <f t="shared" si="0"/>
        <v>0</v>
      </c>
      <c r="N80" s="834"/>
      <c r="O80" s="835">
        <f t="shared" si="1"/>
        <v>0</v>
      </c>
      <c r="P80" s="827">
        <f t="shared" si="2"/>
        <v>0</v>
      </c>
      <c r="AD80" s="810"/>
    </row>
    <row r="81" spans="3:30" ht="30" hidden="1" customHeight="1" outlineLevel="1">
      <c r="C81" s="828">
        <v>55</v>
      </c>
      <c r="D81" s="829"/>
      <c r="E81" s="830"/>
      <c r="F81" s="830"/>
      <c r="G81" s="1049"/>
      <c r="H81" s="831"/>
      <c r="I81" s="832"/>
      <c r="L81" s="816">
        <f t="shared" si="0"/>
        <v>0</v>
      </c>
      <c r="M81" s="833">
        <f t="shared" si="0"/>
        <v>0</v>
      </c>
      <c r="N81" s="834"/>
      <c r="O81" s="835">
        <f t="shared" si="1"/>
        <v>0</v>
      </c>
      <c r="P81" s="827">
        <f t="shared" si="2"/>
        <v>0</v>
      </c>
      <c r="AD81" s="810"/>
    </row>
    <row r="82" spans="3:30" ht="30" hidden="1" customHeight="1" outlineLevel="1">
      <c r="C82" s="828">
        <v>56</v>
      </c>
      <c r="D82" s="829"/>
      <c r="E82" s="830"/>
      <c r="F82" s="830"/>
      <c r="G82" s="1049"/>
      <c r="H82" s="831"/>
      <c r="I82" s="832"/>
      <c r="L82" s="816">
        <f t="shared" si="0"/>
        <v>0</v>
      </c>
      <c r="M82" s="833">
        <f t="shared" si="0"/>
        <v>0</v>
      </c>
      <c r="N82" s="834"/>
      <c r="O82" s="835">
        <f t="shared" si="1"/>
        <v>0</v>
      </c>
      <c r="P82" s="827">
        <f t="shared" si="2"/>
        <v>0</v>
      </c>
      <c r="AD82" s="810"/>
    </row>
    <row r="83" spans="3:30" ht="30" hidden="1" customHeight="1" outlineLevel="1">
      <c r="C83" s="828">
        <v>57</v>
      </c>
      <c r="D83" s="829"/>
      <c r="E83" s="830"/>
      <c r="F83" s="830"/>
      <c r="G83" s="1049"/>
      <c r="H83" s="831"/>
      <c r="I83" s="832"/>
      <c r="L83" s="816">
        <f t="shared" si="0"/>
        <v>0</v>
      </c>
      <c r="M83" s="833">
        <f t="shared" si="0"/>
        <v>0</v>
      </c>
      <c r="N83" s="834"/>
      <c r="O83" s="835">
        <f t="shared" si="1"/>
        <v>0</v>
      </c>
      <c r="P83" s="827">
        <f t="shared" si="2"/>
        <v>0</v>
      </c>
      <c r="AD83" s="810"/>
    </row>
    <row r="84" spans="3:30" ht="30" hidden="1" customHeight="1" outlineLevel="1">
      <c r="C84" s="828">
        <v>58</v>
      </c>
      <c r="D84" s="829"/>
      <c r="E84" s="830"/>
      <c r="F84" s="830"/>
      <c r="G84" s="1049"/>
      <c r="H84" s="831"/>
      <c r="I84" s="832"/>
      <c r="L84" s="816">
        <f t="shared" si="0"/>
        <v>0</v>
      </c>
      <c r="M84" s="833">
        <f t="shared" si="0"/>
        <v>0</v>
      </c>
      <c r="N84" s="834"/>
      <c r="O84" s="835">
        <f t="shared" si="1"/>
        <v>0</v>
      </c>
      <c r="P84" s="827">
        <f t="shared" si="2"/>
        <v>0</v>
      </c>
      <c r="AD84" s="810"/>
    </row>
    <row r="85" spans="3:30" ht="30" hidden="1" customHeight="1" outlineLevel="1">
      <c r="C85" s="828">
        <v>59</v>
      </c>
      <c r="D85" s="829"/>
      <c r="E85" s="830"/>
      <c r="F85" s="830"/>
      <c r="G85" s="1049"/>
      <c r="H85" s="831"/>
      <c r="I85" s="832"/>
      <c r="L85" s="816">
        <f t="shared" si="0"/>
        <v>0</v>
      </c>
      <c r="M85" s="833">
        <f t="shared" si="0"/>
        <v>0</v>
      </c>
      <c r="N85" s="834"/>
      <c r="O85" s="835">
        <f t="shared" si="1"/>
        <v>0</v>
      </c>
      <c r="P85" s="827">
        <f t="shared" si="2"/>
        <v>0</v>
      </c>
      <c r="AD85" s="810"/>
    </row>
    <row r="86" spans="3:30" ht="30" hidden="1" customHeight="1" outlineLevel="1">
      <c r="C86" s="828">
        <v>60</v>
      </c>
      <c r="D86" s="829"/>
      <c r="E86" s="830"/>
      <c r="F86" s="830"/>
      <c r="G86" s="1049"/>
      <c r="H86" s="831"/>
      <c r="I86" s="832"/>
      <c r="L86" s="816">
        <f t="shared" si="0"/>
        <v>0</v>
      </c>
      <c r="M86" s="833">
        <f t="shared" si="0"/>
        <v>0</v>
      </c>
      <c r="N86" s="834"/>
      <c r="O86" s="835">
        <f t="shared" si="1"/>
        <v>0</v>
      </c>
      <c r="P86" s="827">
        <f t="shared" si="2"/>
        <v>0</v>
      </c>
      <c r="AD86" s="810"/>
    </row>
    <row r="87" spans="3:30" ht="30" hidden="1" customHeight="1" outlineLevel="1">
      <c r="C87" s="828">
        <v>61</v>
      </c>
      <c r="D87" s="829"/>
      <c r="E87" s="830"/>
      <c r="F87" s="830"/>
      <c r="G87" s="1049"/>
      <c r="H87" s="831"/>
      <c r="I87" s="832"/>
      <c r="L87" s="816">
        <f t="shared" si="0"/>
        <v>0</v>
      </c>
      <c r="M87" s="833">
        <f t="shared" si="0"/>
        <v>0</v>
      </c>
      <c r="N87" s="834"/>
      <c r="O87" s="835">
        <f t="shared" si="1"/>
        <v>0</v>
      </c>
      <c r="P87" s="827">
        <f t="shared" si="2"/>
        <v>0</v>
      </c>
      <c r="AD87" s="810"/>
    </row>
    <row r="88" spans="3:30" ht="30" hidden="1" customHeight="1" outlineLevel="1">
      <c r="C88" s="828">
        <v>62</v>
      </c>
      <c r="D88" s="829"/>
      <c r="E88" s="830"/>
      <c r="F88" s="830"/>
      <c r="G88" s="1049"/>
      <c r="H88" s="831"/>
      <c r="I88" s="832"/>
      <c r="L88" s="816">
        <f t="shared" si="0"/>
        <v>0</v>
      </c>
      <c r="M88" s="833">
        <f t="shared" si="0"/>
        <v>0</v>
      </c>
      <c r="N88" s="834"/>
      <c r="O88" s="835">
        <f t="shared" si="1"/>
        <v>0</v>
      </c>
      <c r="P88" s="827">
        <f t="shared" si="2"/>
        <v>0</v>
      </c>
      <c r="AD88" s="810"/>
    </row>
    <row r="89" spans="3:30" ht="30" hidden="1" customHeight="1" outlineLevel="1">
      <c r="C89" s="828">
        <v>63</v>
      </c>
      <c r="D89" s="829"/>
      <c r="E89" s="830"/>
      <c r="F89" s="830"/>
      <c r="G89" s="1049"/>
      <c r="H89" s="831"/>
      <c r="I89" s="832"/>
      <c r="L89" s="816">
        <f t="shared" si="0"/>
        <v>0</v>
      </c>
      <c r="M89" s="833">
        <f t="shared" si="0"/>
        <v>0</v>
      </c>
      <c r="N89" s="834"/>
      <c r="O89" s="835">
        <f t="shared" si="1"/>
        <v>0</v>
      </c>
      <c r="P89" s="827">
        <f t="shared" si="2"/>
        <v>0</v>
      </c>
      <c r="AD89" s="810"/>
    </row>
    <row r="90" spans="3:30" ht="30" hidden="1" customHeight="1" outlineLevel="1">
      <c r="C90" s="828">
        <v>64</v>
      </c>
      <c r="D90" s="829"/>
      <c r="E90" s="830"/>
      <c r="F90" s="830"/>
      <c r="G90" s="1049"/>
      <c r="H90" s="831"/>
      <c r="I90" s="832"/>
      <c r="L90" s="816">
        <f t="shared" si="0"/>
        <v>0</v>
      </c>
      <c r="M90" s="833">
        <f t="shared" si="0"/>
        <v>0</v>
      </c>
      <c r="N90" s="834"/>
      <c r="O90" s="835">
        <f t="shared" si="1"/>
        <v>0</v>
      </c>
      <c r="P90" s="827">
        <f t="shared" si="2"/>
        <v>0</v>
      </c>
      <c r="AD90" s="810"/>
    </row>
    <row r="91" spans="3:30" ht="30" hidden="1" customHeight="1" outlineLevel="1">
      <c r="C91" s="828">
        <v>65</v>
      </c>
      <c r="D91" s="829"/>
      <c r="E91" s="830"/>
      <c r="F91" s="830"/>
      <c r="G91" s="1049"/>
      <c r="H91" s="831"/>
      <c r="I91" s="832"/>
      <c r="L91" s="816">
        <f t="shared" si="0"/>
        <v>0</v>
      </c>
      <c r="M91" s="833">
        <f t="shared" si="0"/>
        <v>0</v>
      </c>
      <c r="N91" s="834"/>
      <c r="O91" s="835">
        <f t="shared" si="1"/>
        <v>0</v>
      </c>
      <c r="P91" s="827">
        <f t="shared" si="2"/>
        <v>0</v>
      </c>
      <c r="AD91" s="810"/>
    </row>
    <row r="92" spans="3:30" ht="30" hidden="1" customHeight="1" outlineLevel="1">
      <c r="C92" s="828">
        <v>66</v>
      </c>
      <c r="D92" s="829"/>
      <c r="E92" s="830"/>
      <c r="F92" s="830"/>
      <c r="G92" s="1049"/>
      <c r="H92" s="831"/>
      <c r="I92" s="832"/>
      <c r="L92" s="816">
        <f t="shared" si="0"/>
        <v>0</v>
      </c>
      <c r="M92" s="833">
        <f t="shared" si="0"/>
        <v>0</v>
      </c>
      <c r="N92" s="834"/>
      <c r="O92" s="835">
        <f t="shared" si="1"/>
        <v>0</v>
      </c>
      <c r="P92" s="827">
        <f t="shared" ref="P92:P155" si="3">ROUND(O92*G92%,)</f>
        <v>0</v>
      </c>
      <c r="AD92" s="810"/>
    </row>
    <row r="93" spans="3:30" ht="30" hidden="1" customHeight="1" outlineLevel="1">
      <c r="C93" s="828">
        <v>67</v>
      </c>
      <c r="D93" s="829"/>
      <c r="E93" s="830"/>
      <c r="F93" s="830"/>
      <c r="G93" s="1049"/>
      <c r="H93" s="831"/>
      <c r="I93" s="832"/>
      <c r="L93" s="816">
        <f t="shared" si="0"/>
        <v>0</v>
      </c>
      <c r="M93" s="833">
        <f t="shared" si="0"/>
        <v>0</v>
      </c>
      <c r="N93" s="834"/>
      <c r="O93" s="835">
        <f t="shared" si="1"/>
        <v>0</v>
      </c>
      <c r="P93" s="827">
        <f t="shared" si="3"/>
        <v>0</v>
      </c>
      <c r="AD93" s="810"/>
    </row>
    <row r="94" spans="3:30" ht="30" hidden="1" customHeight="1" outlineLevel="1">
      <c r="C94" s="828">
        <v>68</v>
      </c>
      <c r="D94" s="829"/>
      <c r="E94" s="830"/>
      <c r="F94" s="830"/>
      <c r="G94" s="1049"/>
      <c r="H94" s="831"/>
      <c r="I94" s="832"/>
      <c r="L94" s="816">
        <f t="shared" si="0"/>
        <v>0</v>
      </c>
      <c r="M94" s="833">
        <f t="shared" si="0"/>
        <v>0</v>
      </c>
      <c r="N94" s="834"/>
      <c r="O94" s="835">
        <f t="shared" si="1"/>
        <v>0</v>
      </c>
      <c r="P94" s="827">
        <f t="shared" si="3"/>
        <v>0</v>
      </c>
      <c r="AD94" s="810"/>
    </row>
    <row r="95" spans="3:30" ht="30" hidden="1" customHeight="1" outlineLevel="1">
      <c r="C95" s="828">
        <v>69</v>
      </c>
      <c r="D95" s="829"/>
      <c r="E95" s="830"/>
      <c r="F95" s="830"/>
      <c r="G95" s="1049"/>
      <c r="H95" s="831"/>
      <c r="I95" s="832"/>
      <c r="L95" s="816">
        <f t="shared" si="0"/>
        <v>0</v>
      </c>
      <c r="M95" s="833">
        <f t="shared" si="0"/>
        <v>0</v>
      </c>
      <c r="N95" s="834"/>
      <c r="O95" s="835">
        <f t="shared" si="1"/>
        <v>0</v>
      </c>
      <c r="P95" s="827">
        <f t="shared" si="3"/>
        <v>0</v>
      </c>
      <c r="AD95" s="810"/>
    </row>
    <row r="96" spans="3:30" ht="30" hidden="1" customHeight="1" outlineLevel="1">
      <c r="C96" s="828">
        <v>70</v>
      </c>
      <c r="D96" s="829"/>
      <c r="E96" s="830"/>
      <c r="F96" s="830"/>
      <c r="G96" s="1049"/>
      <c r="H96" s="831"/>
      <c r="I96" s="832"/>
      <c r="L96" s="816">
        <f t="shared" si="0"/>
        <v>0</v>
      </c>
      <c r="M96" s="833">
        <f t="shared" si="0"/>
        <v>0</v>
      </c>
      <c r="N96" s="834"/>
      <c r="O96" s="835">
        <f t="shared" si="1"/>
        <v>0</v>
      </c>
      <c r="P96" s="827">
        <f t="shared" si="3"/>
        <v>0</v>
      </c>
      <c r="AD96" s="810"/>
    </row>
    <row r="97" spans="3:30" ht="30" hidden="1" customHeight="1" outlineLevel="1">
      <c r="C97" s="828">
        <v>71</v>
      </c>
      <c r="D97" s="829"/>
      <c r="E97" s="830"/>
      <c r="F97" s="830"/>
      <c r="G97" s="1049"/>
      <c r="H97" s="831"/>
      <c r="I97" s="832"/>
      <c r="L97" s="816">
        <f t="shared" si="0"/>
        <v>0</v>
      </c>
      <c r="M97" s="833">
        <f t="shared" si="0"/>
        <v>0</v>
      </c>
      <c r="N97" s="834"/>
      <c r="O97" s="835">
        <f t="shared" si="1"/>
        <v>0</v>
      </c>
      <c r="P97" s="827">
        <f t="shared" si="3"/>
        <v>0</v>
      </c>
      <c r="AD97" s="810"/>
    </row>
    <row r="98" spans="3:30" ht="30" hidden="1" customHeight="1" outlineLevel="1">
      <c r="C98" s="828">
        <v>72</v>
      </c>
      <c r="D98" s="829"/>
      <c r="E98" s="830"/>
      <c r="F98" s="830"/>
      <c r="G98" s="1049"/>
      <c r="H98" s="831"/>
      <c r="I98" s="832"/>
      <c r="L98" s="816">
        <f t="shared" si="0"/>
        <v>0</v>
      </c>
      <c r="M98" s="833">
        <f t="shared" si="0"/>
        <v>0</v>
      </c>
      <c r="N98" s="834"/>
      <c r="O98" s="835">
        <f t="shared" si="1"/>
        <v>0</v>
      </c>
      <c r="P98" s="827">
        <f t="shared" si="3"/>
        <v>0</v>
      </c>
      <c r="AD98" s="810"/>
    </row>
    <row r="99" spans="3:30" ht="30" hidden="1" customHeight="1" outlineLevel="1">
      <c r="C99" s="828">
        <v>73</v>
      </c>
      <c r="D99" s="829"/>
      <c r="E99" s="830"/>
      <c r="F99" s="830"/>
      <c r="G99" s="1049"/>
      <c r="H99" s="831"/>
      <c r="I99" s="832"/>
      <c r="L99" s="816">
        <f t="shared" si="0"/>
        <v>0</v>
      </c>
      <c r="M99" s="833">
        <f t="shared" si="0"/>
        <v>0</v>
      </c>
      <c r="N99" s="834"/>
      <c r="O99" s="835">
        <f t="shared" si="1"/>
        <v>0</v>
      </c>
      <c r="P99" s="827">
        <f t="shared" si="3"/>
        <v>0</v>
      </c>
      <c r="AD99" s="810"/>
    </row>
    <row r="100" spans="3:30" ht="30" hidden="1" customHeight="1" outlineLevel="1">
      <c r="C100" s="828">
        <v>74</v>
      </c>
      <c r="D100" s="829"/>
      <c r="E100" s="830"/>
      <c r="F100" s="830"/>
      <c r="G100" s="1049"/>
      <c r="H100" s="831"/>
      <c r="I100" s="832"/>
      <c r="L100" s="816">
        <f t="shared" si="0"/>
        <v>0</v>
      </c>
      <c r="M100" s="833">
        <f t="shared" si="0"/>
        <v>0</v>
      </c>
      <c r="N100" s="834"/>
      <c r="O100" s="835">
        <f t="shared" si="1"/>
        <v>0</v>
      </c>
      <c r="P100" s="827">
        <f t="shared" si="3"/>
        <v>0</v>
      </c>
      <c r="AD100" s="810"/>
    </row>
    <row r="101" spans="3:30" ht="30" hidden="1" customHeight="1" outlineLevel="1">
      <c r="C101" s="828">
        <v>75</v>
      </c>
      <c r="D101" s="829"/>
      <c r="E101" s="830"/>
      <c r="F101" s="830"/>
      <c r="G101" s="1049"/>
      <c r="H101" s="831"/>
      <c r="I101" s="832"/>
      <c r="L101" s="816">
        <f t="shared" si="0"/>
        <v>0</v>
      </c>
      <c r="M101" s="833">
        <f t="shared" si="0"/>
        <v>0</v>
      </c>
      <c r="N101" s="834"/>
      <c r="O101" s="835">
        <f t="shared" si="1"/>
        <v>0</v>
      </c>
      <c r="P101" s="827">
        <f t="shared" si="3"/>
        <v>0</v>
      </c>
      <c r="AD101" s="810"/>
    </row>
    <row r="102" spans="3:30" ht="30" hidden="1" customHeight="1" outlineLevel="1">
      <c r="C102" s="828">
        <v>76</v>
      </c>
      <c r="D102" s="829"/>
      <c r="E102" s="830"/>
      <c r="F102" s="830"/>
      <c r="G102" s="1049"/>
      <c r="H102" s="831"/>
      <c r="I102" s="832"/>
      <c r="L102" s="816">
        <f t="shared" si="0"/>
        <v>0</v>
      </c>
      <c r="M102" s="833">
        <f t="shared" si="0"/>
        <v>0</v>
      </c>
      <c r="N102" s="834"/>
      <c r="O102" s="835">
        <f t="shared" si="1"/>
        <v>0</v>
      </c>
      <c r="P102" s="827">
        <f t="shared" si="3"/>
        <v>0</v>
      </c>
      <c r="AD102" s="810"/>
    </row>
    <row r="103" spans="3:30" ht="30" hidden="1" customHeight="1" outlineLevel="1">
      <c r="C103" s="828">
        <v>77</v>
      </c>
      <c r="D103" s="829"/>
      <c r="E103" s="830"/>
      <c r="F103" s="830"/>
      <c r="G103" s="1049"/>
      <c r="H103" s="831"/>
      <c r="I103" s="832"/>
      <c r="L103" s="816">
        <f t="shared" si="0"/>
        <v>0</v>
      </c>
      <c r="M103" s="833">
        <f t="shared" si="0"/>
        <v>0</v>
      </c>
      <c r="N103" s="834"/>
      <c r="O103" s="835">
        <f t="shared" si="1"/>
        <v>0</v>
      </c>
      <c r="P103" s="827">
        <f t="shared" si="3"/>
        <v>0</v>
      </c>
      <c r="AD103" s="810"/>
    </row>
    <row r="104" spans="3:30" ht="30" hidden="1" customHeight="1" outlineLevel="1">
      <c r="C104" s="828">
        <v>78</v>
      </c>
      <c r="D104" s="829"/>
      <c r="E104" s="830"/>
      <c r="F104" s="830"/>
      <c r="G104" s="1049"/>
      <c r="H104" s="831"/>
      <c r="I104" s="832"/>
      <c r="L104" s="816">
        <f t="shared" si="0"/>
        <v>0</v>
      </c>
      <c r="M104" s="833">
        <f t="shared" si="0"/>
        <v>0</v>
      </c>
      <c r="N104" s="834"/>
      <c r="O104" s="835">
        <f t="shared" si="1"/>
        <v>0</v>
      </c>
      <c r="P104" s="827">
        <f t="shared" si="3"/>
        <v>0</v>
      </c>
      <c r="AD104" s="810"/>
    </row>
    <row r="105" spans="3:30" ht="30" hidden="1" customHeight="1" outlineLevel="1">
      <c r="C105" s="828">
        <v>79</v>
      </c>
      <c r="D105" s="829"/>
      <c r="E105" s="830"/>
      <c r="F105" s="830"/>
      <c r="G105" s="1049"/>
      <c r="H105" s="831"/>
      <c r="I105" s="832"/>
      <c r="L105" s="816">
        <f t="shared" si="0"/>
        <v>0</v>
      </c>
      <c r="M105" s="833">
        <f t="shared" si="0"/>
        <v>0</v>
      </c>
      <c r="N105" s="834"/>
      <c r="O105" s="835">
        <f t="shared" si="1"/>
        <v>0</v>
      </c>
      <c r="P105" s="827">
        <f t="shared" si="3"/>
        <v>0</v>
      </c>
      <c r="AD105" s="810"/>
    </row>
    <row r="106" spans="3:30" ht="30" hidden="1" customHeight="1" outlineLevel="1">
      <c r="C106" s="828">
        <v>80</v>
      </c>
      <c r="D106" s="829"/>
      <c r="E106" s="830"/>
      <c r="F106" s="830"/>
      <c r="G106" s="1049"/>
      <c r="H106" s="831"/>
      <c r="I106" s="832"/>
      <c r="L106" s="816">
        <f t="shared" si="0"/>
        <v>0</v>
      </c>
      <c r="M106" s="833">
        <f t="shared" si="0"/>
        <v>0</v>
      </c>
      <c r="N106" s="834"/>
      <c r="O106" s="835">
        <f t="shared" si="1"/>
        <v>0</v>
      </c>
      <c r="P106" s="827">
        <f t="shared" si="3"/>
        <v>0</v>
      </c>
      <c r="AD106" s="810"/>
    </row>
    <row r="107" spans="3:30" ht="30" hidden="1" customHeight="1" outlineLevel="1">
      <c r="C107" s="828">
        <v>81</v>
      </c>
      <c r="D107" s="829"/>
      <c r="E107" s="830"/>
      <c r="F107" s="830"/>
      <c r="G107" s="1049"/>
      <c r="H107" s="831"/>
      <c r="I107" s="832"/>
      <c r="L107" s="816">
        <f t="shared" si="0"/>
        <v>0</v>
      </c>
      <c r="M107" s="833">
        <f t="shared" si="0"/>
        <v>0</v>
      </c>
      <c r="N107" s="834"/>
      <c r="O107" s="835">
        <f t="shared" si="1"/>
        <v>0</v>
      </c>
      <c r="P107" s="827">
        <f t="shared" si="3"/>
        <v>0</v>
      </c>
      <c r="AD107" s="810"/>
    </row>
    <row r="108" spans="3:30" ht="30" hidden="1" customHeight="1" outlineLevel="1">
      <c r="C108" s="828">
        <v>82</v>
      </c>
      <c r="D108" s="829"/>
      <c r="E108" s="830"/>
      <c r="F108" s="830"/>
      <c r="G108" s="1049"/>
      <c r="H108" s="831"/>
      <c r="I108" s="832"/>
      <c r="L108" s="816">
        <f t="shared" si="0"/>
        <v>0</v>
      </c>
      <c r="M108" s="833">
        <f t="shared" si="0"/>
        <v>0</v>
      </c>
      <c r="N108" s="834"/>
      <c r="O108" s="835">
        <f t="shared" si="1"/>
        <v>0</v>
      </c>
      <c r="P108" s="827">
        <f t="shared" si="3"/>
        <v>0</v>
      </c>
      <c r="AD108" s="810"/>
    </row>
    <row r="109" spans="3:30" ht="30" hidden="1" customHeight="1" outlineLevel="1">
      <c r="C109" s="828">
        <v>83</v>
      </c>
      <c r="D109" s="829"/>
      <c r="E109" s="830"/>
      <c r="F109" s="830"/>
      <c r="G109" s="1049"/>
      <c r="H109" s="831"/>
      <c r="I109" s="832"/>
      <c r="L109" s="816">
        <f t="shared" si="0"/>
        <v>0</v>
      </c>
      <c r="M109" s="833">
        <f t="shared" si="0"/>
        <v>0</v>
      </c>
      <c r="N109" s="834"/>
      <c r="O109" s="835">
        <f t="shared" si="1"/>
        <v>0</v>
      </c>
      <c r="P109" s="827">
        <f t="shared" si="3"/>
        <v>0</v>
      </c>
      <c r="AD109" s="810"/>
    </row>
    <row r="110" spans="3:30" ht="30" hidden="1" customHeight="1" outlineLevel="1">
      <c r="C110" s="828">
        <v>84</v>
      </c>
      <c r="D110" s="829"/>
      <c r="E110" s="830"/>
      <c r="F110" s="830"/>
      <c r="G110" s="1049"/>
      <c r="H110" s="831"/>
      <c r="I110" s="832"/>
      <c r="L110" s="816">
        <f t="shared" si="0"/>
        <v>0</v>
      </c>
      <c r="M110" s="833">
        <f t="shared" si="0"/>
        <v>0</v>
      </c>
      <c r="N110" s="834"/>
      <c r="O110" s="835">
        <f t="shared" si="1"/>
        <v>0</v>
      </c>
      <c r="P110" s="827">
        <f t="shared" si="3"/>
        <v>0</v>
      </c>
      <c r="AD110" s="810"/>
    </row>
    <row r="111" spans="3:30" ht="30" hidden="1" customHeight="1" outlineLevel="1">
      <c r="C111" s="828">
        <v>85</v>
      </c>
      <c r="D111" s="829"/>
      <c r="E111" s="830"/>
      <c r="F111" s="830"/>
      <c r="G111" s="1049"/>
      <c r="H111" s="831"/>
      <c r="I111" s="832"/>
      <c r="L111" s="816">
        <f t="shared" si="0"/>
        <v>0</v>
      </c>
      <c r="M111" s="833">
        <f t="shared" si="0"/>
        <v>0</v>
      </c>
      <c r="N111" s="834"/>
      <c r="O111" s="835">
        <f t="shared" si="1"/>
        <v>0</v>
      </c>
      <c r="P111" s="827">
        <f t="shared" si="3"/>
        <v>0</v>
      </c>
      <c r="AD111" s="810"/>
    </row>
    <row r="112" spans="3:30" ht="30" hidden="1" customHeight="1" outlineLevel="1">
      <c r="C112" s="828">
        <v>86</v>
      </c>
      <c r="D112" s="829"/>
      <c r="E112" s="830"/>
      <c r="F112" s="830"/>
      <c r="G112" s="1049"/>
      <c r="H112" s="831"/>
      <c r="I112" s="832"/>
      <c r="L112" s="816">
        <f t="shared" si="0"/>
        <v>0</v>
      </c>
      <c r="M112" s="833">
        <f t="shared" si="0"/>
        <v>0</v>
      </c>
      <c r="N112" s="834"/>
      <c r="O112" s="835">
        <f t="shared" si="1"/>
        <v>0</v>
      </c>
      <c r="P112" s="827">
        <f t="shared" si="3"/>
        <v>0</v>
      </c>
      <c r="AD112" s="810"/>
    </row>
    <row r="113" spans="3:30" ht="30" hidden="1" customHeight="1" outlineLevel="1">
      <c r="C113" s="828">
        <v>87</v>
      </c>
      <c r="D113" s="829"/>
      <c r="E113" s="830"/>
      <c r="F113" s="830"/>
      <c r="G113" s="1049"/>
      <c r="H113" s="831"/>
      <c r="I113" s="832"/>
      <c r="L113" s="816">
        <f t="shared" si="0"/>
        <v>0</v>
      </c>
      <c r="M113" s="833">
        <f t="shared" si="0"/>
        <v>0</v>
      </c>
      <c r="N113" s="834"/>
      <c r="O113" s="835">
        <f t="shared" si="1"/>
        <v>0</v>
      </c>
      <c r="P113" s="827">
        <f t="shared" si="3"/>
        <v>0</v>
      </c>
      <c r="AD113" s="810"/>
    </row>
    <row r="114" spans="3:30" ht="30" hidden="1" customHeight="1" outlineLevel="1">
      <c r="C114" s="828">
        <v>88</v>
      </c>
      <c r="D114" s="829"/>
      <c r="E114" s="830"/>
      <c r="F114" s="830"/>
      <c r="G114" s="1049"/>
      <c r="H114" s="831"/>
      <c r="I114" s="832"/>
      <c r="L114" s="816">
        <f t="shared" si="0"/>
        <v>0</v>
      </c>
      <c r="M114" s="833">
        <f t="shared" si="0"/>
        <v>0</v>
      </c>
      <c r="N114" s="834"/>
      <c r="O114" s="835">
        <f t="shared" si="1"/>
        <v>0</v>
      </c>
      <c r="P114" s="827">
        <f t="shared" si="3"/>
        <v>0</v>
      </c>
      <c r="AD114" s="810"/>
    </row>
    <row r="115" spans="3:30" ht="30" hidden="1" customHeight="1" outlineLevel="1">
      <c r="C115" s="828">
        <v>89</v>
      </c>
      <c r="D115" s="829"/>
      <c r="E115" s="830"/>
      <c r="F115" s="830"/>
      <c r="G115" s="1049"/>
      <c r="H115" s="831"/>
      <c r="I115" s="832"/>
      <c r="L115" s="816">
        <f t="shared" si="0"/>
        <v>0</v>
      </c>
      <c r="M115" s="833">
        <f t="shared" si="0"/>
        <v>0</v>
      </c>
      <c r="N115" s="834"/>
      <c r="O115" s="835">
        <f t="shared" si="1"/>
        <v>0</v>
      </c>
      <c r="P115" s="827">
        <f t="shared" si="3"/>
        <v>0</v>
      </c>
      <c r="AD115" s="810"/>
    </row>
    <row r="116" spans="3:30" ht="30" hidden="1" customHeight="1" outlineLevel="1">
      <c r="C116" s="828">
        <v>90</v>
      </c>
      <c r="D116" s="829"/>
      <c r="E116" s="830"/>
      <c r="F116" s="830"/>
      <c r="G116" s="1049"/>
      <c r="H116" s="831"/>
      <c r="I116" s="832"/>
      <c r="L116" s="816">
        <f t="shared" si="0"/>
        <v>0</v>
      </c>
      <c r="M116" s="833">
        <f t="shared" si="0"/>
        <v>0</v>
      </c>
      <c r="N116" s="834"/>
      <c r="O116" s="835">
        <f t="shared" si="1"/>
        <v>0</v>
      </c>
      <c r="P116" s="827">
        <f t="shared" si="3"/>
        <v>0</v>
      </c>
      <c r="AD116" s="810"/>
    </row>
    <row r="117" spans="3:30" ht="30" hidden="1" customHeight="1" outlineLevel="1">
      <c r="C117" s="828">
        <v>91</v>
      </c>
      <c r="D117" s="829"/>
      <c r="E117" s="830"/>
      <c r="F117" s="830"/>
      <c r="G117" s="1049"/>
      <c r="H117" s="831"/>
      <c r="I117" s="832"/>
      <c r="L117" s="816">
        <f t="shared" si="0"/>
        <v>0</v>
      </c>
      <c r="M117" s="833">
        <f t="shared" si="0"/>
        <v>0</v>
      </c>
      <c r="N117" s="834"/>
      <c r="O117" s="835">
        <f t="shared" si="1"/>
        <v>0</v>
      </c>
      <c r="P117" s="827">
        <f t="shared" si="3"/>
        <v>0</v>
      </c>
      <c r="AD117" s="810"/>
    </row>
    <row r="118" spans="3:30" ht="30" hidden="1" customHeight="1" outlineLevel="1">
      <c r="C118" s="828">
        <v>92</v>
      </c>
      <c r="D118" s="829"/>
      <c r="E118" s="830"/>
      <c r="F118" s="830"/>
      <c r="G118" s="1049"/>
      <c r="H118" s="831"/>
      <c r="I118" s="832"/>
      <c r="L118" s="816">
        <f t="shared" si="0"/>
        <v>0</v>
      </c>
      <c r="M118" s="833">
        <f t="shared" si="0"/>
        <v>0</v>
      </c>
      <c r="N118" s="834"/>
      <c r="O118" s="835">
        <f t="shared" si="1"/>
        <v>0</v>
      </c>
      <c r="P118" s="827">
        <f t="shared" si="3"/>
        <v>0</v>
      </c>
      <c r="AD118" s="810"/>
    </row>
    <row r="119" spans="3:30" ht="30" hidden="1" customHeight="1" outlineLevel="1">
      <c r="C119" s="828">
        <v>93</v>
      </c>
      <c r="D119" s="829"/>
      <c r="E119" s="830"/>
      <c r="F119" s="830"/>
      <c r="G119" s="1049"/>
      <c r="H119" s="831"/>
      <c r="I119" s="832"/>
      <c r="L119" s="816">
        <f t="shared" si="0"/>
        <v>0</v>
      </c>
      <c r="M119" s="833">
        <f t="shared" si="0"/>
        <v>0</v>
      </c>
      <c r="N119" s="834"/>
      <c r="O119" s="835">
        <f t="shared" si="1"/>
        <v>0</v>
      </c>
      <c r="P119" s="827">
        <f t="shared" si="3"/>
        <v>0</v>
      </c>
      <c r="AD119" s="810"/>
    </row>
    <row r="120" spans="3:30" ht="30" hidden="1" customHeight="1" outlineLevel="1">
      <c r="C120" s="828">
        <v>94</v>
      </c>
      <c r="D120" s="829"/>
      <c r="E120" s="830"/>
      <c r="F120" s="830"/>
      <c r="G120" s="1049"/>
      <c r="H120" s="831"/>
      <c r="I120" s="832"/>
      <c r="L120" s="816">
        <f t="shared" si="0"/>
        <v>0</v>
      </c>
      <c r="M120" s="833">
        <f t="shared" si="0"/>
        <v>0</v>
      </c>
      <c r="N120" s="834"/>
      <c r="O120" s="835">
        <f t="shared" si="1"/>
        <v>0</v>
      </c>
      <c r="P120" s="827">
        <f t="shared" si="3"/>
        <v>0</v>
      </c>
      <c r="AD120" s="810"/>
    </row>
    <row r="121" spans="3:30" ht="30" hidden="1" customHeight="1" outlineLevel="1">
      <c r="C121" s="828">
        <v>95</v>
      </c>
      <c r="D121" s="829"/>
      <c r="E121" s="830"/>
      <c r="F121" s="830"/>
      <c r="G121" s="1049"/>
      <c r="H121" s="831"/>
      <c r="I121" s="832"/>
      <c r="L121" s="816">
        <f t="shared" si="0"/>
        <v>0</v>
      </c>
      <c r="M121" s="833">
        <f t="shared" si="0"/>
        <v>0</v>
      </c>
      <c r="N121" s="834"/>
      <c r="O121" s="835">
        <f t="shared" si="1"/>
        <v>0</v>
      </c>
      <c r="P121" s="827">
        <f t="shared" si="3"/>
        <v>0</v>
      </c>
      <c r="AD121" s="810"/>
    </row>
    <row r="122" spans="3:30" ht="30" hidden="1" customHeight="1" outlineLevel="1">
      <c r="C122" s="828">
        <v>96</v>
      </c>
      <c r="D122" s="829"/>
      <c r="E122" s="830"/>
      <c r="F122" s="830"/>
      <c r="G122" s="1049"/>
      <c r="H122" s="831"/>
      <c r="I122" s="832"/>
      <c r="L122" s="816">
        <f t="shared" si="0"/>
        <v>0</v>
      </c>
      <c r="M122" s="833">
        <f t="shared" si="0"/>
        <v>0</v>
      </c>
      <c r="N122" s="834"/>
      <c r="O122" s="835">
        <f t="shared" si="1"/>
        <v>0</v>
      </c>
      <c r="P122" s="827">
        <f t="shared" si="3"/>
        <v>0</v>
      </c>
      <c r="AD122" s="810"/>
    </row>
    <row r="123" spans="3:30" ht="30" hidden="1" customHeight="1" outlineLevel="1">
      <c r="C123" s="828">
        <v>97</v>
      </c>
      <c r="D123" s="829"/>
      <c r="E123" s="830"/>
      <c r="F123" s="830"/>
      <c r="G123" s="1049"/>
      <c r="H123" s="831"/>
      <c r="I123" s="832"/>
      <c r="L123" s="816">
        <f t="shared" si="0"/>
        <v>0</v>
      </c>
      <c r="M123" s="833">
        <f t="shared" si="0"/>
        <v>0</v>
      </c>
      <c r="N123" s="834"/>
      <c r="O123" s="835">
        <f t="shared" si="1"/>
        <v>0</v>
      </c>
      <c r="P123" s="827">
        <f t="shared" si="3"/>
        <v>0</v>
      </c>
      <c r="AD123" s="810"/>
    </row>
    <row r="124" spans="3:30" ht="30" hidden="1" customHeight="1" outlineLevel="1">
      <c r="C124" s="828">
        <v>98</v>
      </c>
      <c r="D124" s="829"/>
      <c r="E124" s="830"/>
      <c r="F124" s="830"/>
      <c r="G124" s="1049"/>
      <c r="H124" s="831"/>
      <c r="I124" s="832"/>
      <c r="L124" s="816">
        <f t="shared" si="0"/>
        <v>0</v>
      </c>
      <c r="M124" s="833">
        <f t="shared" si="0"/>
        <v>0</v>
      </c>
      <c r="N124" s="834"/>
      <c r="O124" s="835">
        <f t="shared" si="1"/>
        <v>0</v>
      </c>
      <c r="P124" s="827">
        <f t="shared" si="3"/>
        <v>0</v>
      </c>
      <c r="AD124" s="810"/>
    </row>
    <row r="125" spans="3:30" ht="30" hidden="1" customHeight="1" outlineLevel="1">
      <c r="C125" s="828">
        <v>99</v>
      </c>
      <c r="D125" s="829"/>
      <c r="E125" s="830"/>
      <c r="F125" s="830"/>
      <c r="G125" s="1049"/>
      <c r="H125" s="831"/>
      <c r="I125" s="832"/>
      <c r="L125" s="816">
        <f t="shared" si="0"/>
        <v>0</v>
      </c>
      <c r="M125" s="833">
        <f t="shared" si="0"/>
        <v>0</v>
      </c>
      <c r="N125" s="834"/>
      <c r="O125" s="835">
        <f t="shared" si="1"/>
        <v>0</v>
      </c>
      <c r="P125" s="827">
        <f t="shared" si="3"/>
        <v>0</v>
      </c>
      <c r="AD125" s="810"/>
    </row>
    <row r="126" spans="3:30" ht="30" hidden="1" customHeight="1" outlineLevel="1">
      <c r="C126" s="828">
        <v>100</v>
      </c>
      <c r="D126" s="829"/>
      <c r="E126" s="830"/>
      <c r="F126" s="830"/>
      <c r="G126" s="1049"/>
      <c r="H126" s="831"/>
      <c r="I126" s="832"/>
      <c r="L126" s="816">
        <f t="shared" si="0"/>
        <v>0</v>
      </c>
      <c r="M126" s="833">
        <f t="shared" si="0"/>
        <v>0</v>
      </c>
      <c r="N126" s="834"/>
      <c r="O126" s="835">
        <f t="shared" si="1"/>
        <v>0</v>
      </c>
      <c r="P126" s="827">
        <f t="shared" si="3"/>
        <v>0</v>
      </c>
      <c r="AD126" s="810"/>
    </row>
    <row r="127" spans="3:30" ht="30" hidden="1" customHeight="1" outlineLevel="1">
      <c r="C127" s="828">
        <v>101</v>
      </c>
      <c r="D127" s="829"/>
      <c r="E127" s="830"/>
      <c r="F127" s="830"/>
      <c r="G127" s="1049"/>
      <c r="H127" s="831"/>
      <c r="I127" s="832"/>
      <c r="L127" s="816">
        <f t="shared" si="0"/>
        <v>0</v>
      </c>
      <c r="M127" s="833">
        <f t="shared" si="0"/>
        <v>0</v>
      </c>
      <c r="N127" s="834"/>
      <c r="O127" s="835">
        <f t="shared" si="1"/>
        <v>0</v>
      </c>
      <c r="P127" s="827">
        <f t="shared" si="3"/>
        <v>0</v>
      </c>
      <c r="AD127" s="810"/>
    </row>
    <row r="128" spans="3:30" ht="30" hidden="1" customHeight="1" outlineLevel="1">
      <c r="C128" s="828">
        <v>102</v>
      </c>
      <c r="D128" s="829"/>
      <c r="E128" s="830"/>
      <c r="F128" s="830"/>
      <c r="G128" s="1049"/>
      <c r="H128" s="831"/>
      <c r="I128" s="832"/>
      <c r="L128" s="816">
        <f t="shared" si="0"/>
        <v>0</v>
      </c>
      <c r="M128" s="833">
        <f t="shared" si="0"/>
        <v>0</v>
      </c>
      <c r="N128" s="834"/>
      <c r="O128" s="835">
        <f t="shared" si="1"/>
        <v>0</v>
      </c>
      <c r="P128" s="827">
        <f t="shared" si="3"/>
        <v>0</v>
      </c>
      <c r="AD128" s="810"/>
    </row>
    <row r="129" spans="3:30" ht="30" hidden="1" customHeight="1" outlineLevel="1">
      <c r="C129" s="828">
        <v>103</v>
      </c>
      <c r="D129" s="829"/>
      <c r="E129" s="830"/>
      <c r="F129" s="830"/>
      <c r="G129" s="1049"/>
      <c r="H129" s="831"/>
      <c r="I129" s="832"/>
      <c r="L129" s="816">
        <f t="shared" si="0"/>
        <v>0</v>
      </c>
      <c r="M129" s="833">
        <f t="shared" si="0"/>
        <v>0</v>
      </c>
      <c r="N129" s="834"/>
      <c r="O129" s="835">
        <f t="shared" si="1"/>
        <v>0</v>
      </c>
      <c r="P129" s="827">
        <f t="shared" si="3"/>
        <v>0</v>
      </c>
      <c r="AD129" s="810"/>
    </row>
    <row r="130" spans="3:30" ht="30" hidden="1" customHeight="1" outlineLevel="1">
      <c r="C130" s="828">
        <v>104</v>
      </c>
      <c r="D130" s="829"/>
      <c r="E130" s="830"/>
      <c r="F130" s="830"/>
      <c r="G130" s="1049"/>
      <c r="H130" s="831"/>
      <c r="I130" s="832"/>
      <c r="L130" s="816">
        <f t="shared" si="0"/>
        <v>0</v>
      </c>
      <c r="M130" s="833">
        <f t="shared" si="0"/>
        <v>0</v>
      </c>
      <c r="N130" s="834"/>
      <c r="O130" s="835">
        <f t="shared" si="1"/>
        <v>0</v>
      </c>
      <c r="P130" s="827">
        <f t="shared" si="3"/>
        <v>0</v>
      </c>
      <c r="AD130" s="810"/>
    </row>
    <row r="131" spans="3:30" ht="30" hidden="1" customHeight="1" outlineLevel="1">
      <c r="C131" s="828">
        <v>105</v>
      </c>
      <c r="D131" s="829"/>
      <c r="E131" s="830"/>
      <c r="F131" s="830"/>
      <c r="G131" s="1049"/>
      <c r="H131" s="831"/>
      <c r="I131" s="832"/>
      <c r="L131" s="816">
        <f t="shared" si="0"/>
        <v>0</v>
      </c>
      <c r="M131" s="833">
        <f t="shared" si="0"/>
        <v>0</v>
      </c>
      <c r="N131" s="834"/>
      <c r="O131" s="835">
        <f t="shared" si="1"/>
        <v>0</v>
      </c>
      <c r="P131" s="827">
        <f t="shared" si="3"/>
        <v>0</v>
      </c>
      <c r="AD131" s="810"/>
    </row>
    <row r="132" spans="3:30" ht="30" hidden="1" customHeight="1" outlineLevel="1">
      <c r="C132" s="828">
        <v>106</v>
      </c>
      <c r="D132" s="829"/>
      <c r="E132" s="830"/>
      <c r="F132" s="830"/>
      <c r="G132" s="1049"/>
      <c r="H132" s="831"/>
      <c r="I132" s="832"/>
      <c r="L132" s="816">
        <f t="shared" si="0"/>
        <v>0</v>
      </c>
      <c r="M132" s="833">
        <f t="shared" si="0"/>
        <v>0</v>
      </c>
      <c r="N132" s="834"/>
      <c r="O132" s="835">
        <f t="shared" si="1"/>
        <v>0</v>
      </c>
      <c r="P132" s="827">
        <f t="shared" si="3"/>
        <v>0</v>
      </c>
      <c r="AD132" s="810"/>
    </row>
    <row r="133" spans="3:30" ht="30" hidden="1" customHeight="1" outlineLevel="1">
      <c r="C133" s="828">
        <v>107</v>
      </c>
      <c r="D133" s="829"/>
      <c r="E133" s="830"/>
      <c r="F133" s="830"/>
      <c r="G133" s="1049"/>
      <c r="H133" s="831"/>
      <c r="I133" s="832"/>
      <c r="L133" s="816">
        <f t="shared" si="0"/>
        <v>0</v>
      </c>
      <c r="M133" s="833">
        <f t="shared" si="0"/>
        <v>0</v>
      </c>
      <c r="N133" s="834"/>
      <c r="O133" s="835">
        <f t="shared" si="1"/>
        <v>0</v>
      </c>
      <c r="P133" s="827">
        <f t="shared" si="3"/>
        <v>0</v>
      </c>
      <c r="AD133" s="810"/>
    </row>
    <row r="134" spans="3:30" ht="30" hidden="1" customHeight="1" outlineLevel="1">
      <c r="C134" s="828">
        <v>108</v>
      </c>
      <c r="D134" s="829"/>
      <c r="E134" s="830"/>
      <c r="F134" s="830"/>
      <c r="G134" s="1049"/>
      <c r="H134" s="831"/>
      <c r="I134" s="832"/>
      <c r="L134" s="816">
        <f t="shared" si="0"/>
        <v>0</v>
      </c>
      <c r="M134" s="833">
        <f t="shared" si="0"/>
        <v>0</v>
      </c>
      <c r="N134" s="834"/>
      <c r="O134" s="835">
        <f t="shared" si="1"/>
        <v>0</v>
      </c>
      <c r="P134" s="827">
        <f t="shared" si="3"/>
        <v>0</v>
      </c>
      <c r="AD134" s="810"/>
    </row>
    <row r="135" spans="3:30" ht="30" hidden="1" customHeight="1" outlineLevel="1">
      <c r="C135" s="828">
        <v>109</v>
      </c>
      <c r="D135" s="829"/>
      <c r="E135" s="830"/>
      <c r="F135" s="830"/>
      <c r="G135" s="1049"/>
      <c r="H135" s="831"/>
      <c r="I135" s="832"/>
      <c r="L135" s="816">
        <f t="shared" si="0"/>
        <v>0</v>
      </c>
      <c r="M135" s="833">
        <f t="shared" si="0"/>
        <v>0</v>
      </c>
      <c r="N135" s="834"/>
      <c r="O135" s="835">
        <f t="shared" si="1"/>
        <v>0</v>
      </c>
      <c r="P135" s="827">
        <f t="shared" si="3"/>
        <v>0</v>
      </c>
      <c r="AD135" s="810"/>
    </row>
    <row r="136" spans="3:30" ht="30" hidden="1" customHeight="1" outlineLevel="1">
      <c r="C136" s="828">
        <v>110</v>
      </c>
      <c r="D136" s="829"/>
      <c r="E136" s="830"/>
      <c r="F136" s="830"/>
      <c r="G136" s="1049"/>
      <c r="H136" s="831"/>
      <c r="I136" s="832"/>
      <c r="L136" s="816">
        <f t="shared" si="0"/>
        <v>0</v>
      </c>
      <c r="M136" s="833">
        <f t="shared" si="0"/>
        <v>0</v>
      </c>
      <c r="N136" s="834"/>
      <c r="O136" s="835">
        <f t="shared" si="1"/>
        <v>0</v>
      </c>
      <c r="P136" s="827">
        <f t="shared" si="3"/>
        <v>0</v>
      </c>
      <c r="AD136" s="810"/>
    </row>
    <row r="137" spans="3:30" ht="30" hidden="1" customHeight="1" outlineLevel="1">
      <c r="C137" s="828">
        <v>111</v>
      </c>
      <c r="D137" s="829"/>
      <c r="E137" s="830"/>
      <c r="F137" s="830"/>
      <c r="G137" s="1049"/>
      <c r="H137" s="831"/>
      <c r="I137" s="832"/>
      <c r="L137" s="816">
        <f t="shared" si="0"/>
        <v>0</v>
      </c>
      <c r="M137" s="833">
        <f t="shared" si="0"/>
        <v>0</v>
      </c>
      <c r="N137" s="834"/>
      <c r="O137" s="835">
        <f t="shared" si="1"/>
        <v>0</v>
      </c>
      <c r="P137" s="827">
        <f t="shared" si="3"/>
        <v>0</v>
      </c>
      <c r="AD137" s="810"/>
    </row>
    <row r="138" spans="3:30" ht="30" hidden="1" customHeight="1" outlineLevel="1">
      <c r="C138" s="828">
        <v>112</v>
      </c>
      <c r="D138" s="829"/>
      <c r="E138" s="830"/>
      <c r="F138" s="830"/>
      <c r="G138" s="1049"/>
      <c r="H138" s="831"/>
      <c r="I138" s="832"/>
      <c r="L138" s="816">
        <f t="shared" si="0"/>
        <v>0</v>
      </c>
      <c r="M138" s="833">
        <f t="shared" si="0"/>
        <v>0</v>
      </c>
      <c r="N138" s="834"/>
      <c r="O138" s="835">
        <f t="shared" si="1"/>
        <v>0</v>
      </c>
      <c r="P138" s="827">
        <f t="shared" si="3"/>
        <v>0</v>
      </c>
      <c r="AD138" s="810"/>
    </row>
    <row r="139" spans="3:30" ht="30" hidden="1" customHeight="1" outlineLevel="1">
      <c r="C139" s="828">
        <v>113</v>
      </c>
      <c r="D139" s="829"/>
      <c r="E139" s="830"/>
      <c r="F139" s="830"/>
      <c r="G139" s="1049"/>
      <c r="H139" s="831"/>
      <c r="I139" s="832"/>
      <c r="L139" s="816">
        <f t="shared" si="0"/>
        <v>0</v>
      </c>
      <c r="M139" s="833">
        <f t="shared" si="0"/>
        <v>0</v>
      </c>
      <c r="N139" s="834"/>
      <c r="O139" s="835">
        <f t="shared" si="1"/>
        <v>0</v>
      </c>
      <c r="P139" s="827">
        <f t="shared" si="3"/>
        <v>0</v>
      </c>
      <c r="AD139" s="810"/>
    </row>
    <row r="140" spans="3:30" ht="30" hidden="1" customHeight="1" outlineLevel="1">
      <c r="C140" s="828">
        <v>114</v>
      </c>
      <c r="D140" s="829"/>
      <c r="E140" s="830"/>
      <c r="F140" s="830"/>
      <c r="G140" s="1049"/>
      <c r="H140" s="831"/>
      <c r="I140" s="832"/>
      <c r="L140" s="816">
        <f t="shared" si="0"/>
        <v>0</v>
      </c>
      <c r="M140" s="833">
        <f t="shared" si="0"/>
        <v>0</v>
      </c>
      <c r="N140" s="834"/>
      <c r="O140" s="835">
        <f t="shared" si="1"/>
        <v>0</v>
      </c>
      <c r="P140" s="827">
        <f t="shared" si="3"/>
        <v>0</v>
      </c>
      <c r="AD140" s="810"/>
    </row>
    <row r="141" spans="3:30" ht="30" hidden="1" customHeight="1" outlineLevel="1">
      <c r="C141" s="828">
        <v>115</v>
      </c>
      <c r="D141" s="829"/>
      <c r="E141" s="830"/>
      <c r="F141" s="830"/>
      <c r="G141" s="1049"/>
      <c r="H141" s="831"/>
      <c r="I141" s="832"/>
      <c r="L141" s="816">
        <f t="shared" si="0"/>
        <v>0</v>
      </c>
      <c r="M141" s="833">
        <f t="shared" si="0"/>
        <v>0</v>
      </c>
      <c r="N141" s="834"/>
      <c r="O141" s="835">
        <f t="shared" si="1"/>
        <v>0</v>
      </c>
      <c r="P141" s="827">
        <f t="shared" si="3"/>
        <v>0</v>
      </c>
      <c r="AD141" s="810"/>
    </row>
    <row r="142" spans="3:30" ht="30" hidden="1" customHeight="1" outlineLevel="1">
      <c r="C142" s="828">
        <v>116</v>
      </c>
      <c r="D142" s="829"/>
      <c r="E142" s="830"/>
      <c r="F142" s="830"/>
      <c r="G142" s="1049"/>
      <c r="H142" s="831"/>
      <c r="I142" s="832"/>
      <c r="L142" s="816">
        <f t="shared" si="0"/>
        <v>0</v>
      </c>
      <c r="M142" s="833">
        <f t="shared" si="0"/>
        <v>0</v>
      </c>
      <c r="N142" s="834"/>
      <c r="O142" s="835">
        <f t="shared" si="1"/>
        <v>0</v>
      </c>
      <c r="P142" s="827">
        <f t="shared" si="3"/>
        <v>0</v>
      </c>
      <c r="AD142" s="810"/>
    </row>
    <row r="143" spans="3:30" ht="30" hidden="1" customHeight="1" outlineLevel="1">
      <c r="C143" s="828">
        <v>117</v>
      </c>
      <c r="D143" s="829"/>
      <c r="E143" s="830"/>
      <c r="F143" s="830"/>
      <c r="G143" s="1049"/>
      <c r="H143" s="831"/>
      <c r="I143" s="832"/>
      <c r="L143" s="816">
        <f t="shared" si="0"/>
        <v>0</v>
      </c>
      <c r="M143" s="833">
        <f t="shared" si="0"/>
        <v>0</v>
      </c>
      <c r="N143" s="834"/>
      <c r="O143" s="835">
        <f t="shared" si="1"/>
        <v>0</v>
      </c>
      <c r="P143" s="827">
        <f t="shared" si="3"/>
        <v>0</v>
      </c>
      <c r="AD143" s="810"/>
    </row>
    <row r="144" spans="3:30" ht="30" hidden="1" customHeight="1" outlineLevel="1">
      <c r="C144" s="828">
        <v>118</v>
      </c>
      <c r="D144" s="829"/>
      <c r="E144" s="830"/>
      <c r="F144" s="830"/>
      <c r="G144" s="1049"/>
      <c r="H144" s="831"/>
      <c r="I144" s="832"/>
      <c r="L144" s="816">
        <f t="shared" si="0"/>
        <v>0</v>
      </c>
      <c r="M144" s="833">
        <f t="shared" si="0"/>
        <v>0</v>
      </c>
      <c r="N144" s="834"/>
      <c r="O144" s="835">
        <f t="shared" si="1"/>
        <v>0</v>
      </c>
      <c r="P144" s="827">
        <f t="shared" si="3"/>
        <v>0</v>
      </c>
      <c r="AD144" s="810"/>
    </row>
    <row r="145" spans="3:30" ht="30" hidden="1" customHeight="1" outlineLevel="1">
      <c r="C145" s="828">
        <v>119</v>
      </c>
      <c r="D145" s="829"/>
      <c r="E145" s="830"/>
      <c r="F145" s="830"/>
      <c r="G145" s="1049"/>
      <c r="H145" s="831"/>
      <c r="I145" s="832"/>
      <c r="L145" s="816">
        <f t="shared" si="0"/>
        <v>0</v>
      </c>
      <c r="M145" s="833">
        <f t="shared" si="0"/>
        <v>0</v>
      </c>
      <c r="N145" s="834"/>
      <c r="O145" s="835">
        <f t="shared" si="1"/>
        <v>0</v>
      </c>
      <c r="P145" s="827">
        <f t="shared" si="3"/>
        <v>0</v>
      </c>
      <c r="AD145" s="810"/>
    </row>
    <row r="146" spans="3:30" ht="30" hidden="1" customHeight="1" outlineLevel="1">
      <c r="C146" s="828">
        <v>120</v>
      </c>
      <c r="D146" s="829"/>
      <c r="E146" s="830"/>
      <c r="F146" s="830"/>
      <c r="G146" s="1049"/>
      <c r="H146" s="831"/>
      <c r="I146" s="832"/>
      <c r="L146" s="816">
        <f t="shared" si="0"/>
        <v>0</v>
      </c>
      <c r="M146" s="833">
        <f t="shared" si="0"/>
        <v>0</v>
      </c>
      <c r="N146" s="834"/>
      <c r="O146" s="835">
        <f t="shared" si="1"/>
        <v>0</v>
      </c>
      <c r="P146" s="827">
        <f t="shared" si="3"/>
        <v>0</v>
      </c>
      <c r="AD146" s="810"/>
    </row>
    <row r="147" spans="3:30" ht="30" hidden="1" customHeight="1" outlineLevel="1">
      <c r="C147" s="828">
        <v>121</v>
      </c>
      <c r="D147" s="829"/>
      <c r="E147" s="830"/>
      <c r="F147" s="830"/>
      <c r="G147" s="1049"/>
      <c r="H147" s="831"/>
      <c r="I147" s="832"/>
      <c r="L147" s="816">
        <f t="shared" si="0"/>
        <v>0</v>
      </c>
      <c r="M147" s="833">
        <f t="shared" si="0"/>
        <v>0</v>
      </c>
      <c r="N147" s="834"/>
      <c r="O147" s="835">
        <f t="shared" si="1"/>
        <v>0</v>
      </c>
      <c r="P147" s="827">
        <f t="shared" si="3"/>
        <v>0</v>
      </c>
      <c r="AD147" s="810"/>
    </row>
    <row r="148" spans="3:30" ht="30" hidden="1" customHeight="1" outlineLevel="1">
      <c r="C148" s="828">
        <v>122</v>
      </c>
      <c r="D148" s="829"/>
      <c r="E148" s="830"/>
      <c r="F148" s="830"/>
      <c r="G148" s="1049"/>
      <c r="H148" s="831"/>
      <c r="I148" s="832"/>
      <c r="L148" s="816">
        <f t="shared" si="0"/>
        <v>0</v>
      </c>
      <c r="M148" s="833">
        <f t="shared" si="0"/>
        <v>0</v>
      </c>
      <c r="N148" s="834"/>
      <c r="O148" s="835">
        <f t="shared" si="1"/>
        <v>0</v>
      </c>
      <c r="P148" s="827">
        <f t="shared" si="3"/>
        <v>0</v>
      </c>
      <c r="AD148" s="810"/>
    </row>
    <row r="149" spans="3:30" ht="30" hidden="1" customHeight="1" outlineLevel="1">
      <c r="C149" s="828">
        <v>123</v>
      </c>
      <c r="D149" s="829"/>
      <c r="E149" s="830"/>
      <c r="F149" s="830"/>
      <c r="G149" s="1049"/>
      <c r="H149" s="831"/>
      <c r="I149" s="832"/>
      <c r="L149" s="816">
        <f t="shared" si="0"/>
        <v>0</v>
      </c>
      <c r="M149" s="833">
        <f t="shared" si="0"/>
        <v>0</v>
      </c>
      <c r="N149" s="834"/>
      <c r="O149" s="835">
        <f t="shared" si="1"/>
        <v>0</v>
      </c>
      <c r="P149" s="827">
        <f t="shared" si="3"/>
        <v>0</v>
      </c>
      <c r="AD149" s="810"/>
    </row>
    <row r="150" spans="3:30" ht="30" hidden="1" customHeight="1" outlineLevel="1">
      <c r="C150" s="828">
        <v>124</v>
      </c>
      <c r="D150" s="829"/>
      <c r="E150" s="830"/>
      <c r="F150" s="830"/>
      <c r="G150" s="1049"/>
      <c r="H150" s="831"/>
      <c r="I150" s="832"/>
      <c r="L150" s="816">
        <f t="shared" si="0"/>
        <v>0</v>
      </c>
      <c r="M150" s="833">
        <f t="shared" si="0"/>
        <v>0</v>
      </c>
      <c r="N150" s="834"/>
      <c r="O150" s="835">
        <f t="shared" si="1"/>
        <v>0</v>
      </c>
      <c r="P150" s="827">
        <f t="shared" si="3"/>
        <v>0</v>
      </c>
      <c r="AD150" s="810"/>
    </row>
    <row r="151" spans="3:30" ht="30" hidden="1" customHeight="1" outlineLevel="1">
      <c r="C151" s="828">
        <v>125</v>
      </c>
      <c r="D151" s="829"/>
      <c r="E151" s="830"/>
      <c r="F151" s="830"/>
      <c r="G151" s="1049"/>
      <c r="H151" s="831"/>
      <c r="I151" s="832"/>
      <c r="L151" s="816">
        <f t="shared" si="0"/>
        <v>0</v>
      </c>
      <c r="M151" s="833">
        <f t="shared" si="0"/>
        <v>0</v>
      </c>
      <c r="N151" s="834"/>
      <c r="O151" s="835">
        <f t="shared" si="1"/>
        <v>0</v>
      </c>
      <c r="P151" s="827">
        <f t="shared" si="3"/>
        <v>0</v>
      </c>
      <c r="AD151" s="810"/>
    </row>
    <row r="152" spans="3:30" ht="30" hidden="1" customHeight="1" outlineLevel="1">
      <c r="C152" s="828">
        <v>126</v>
      </c>
      <c r="D152" s="829"/>
      <c r="E152" s="830"/>
      <c r="F152" s="830"/>
      <c r="G152" s="1049"/>
      <c r="H152" s="831"/>
      <c r="I152" s="832"/>
      <c r="L152" s="816">
        <f t="shared" si="0"/>
        <v>0</v>
      </c>
      <c r="M152" s="833">
        <f t="shared" si="0"/>
        <v>0</v>
      </c>
      <c r="N152" s="834"/>
      <c r="O152" s="835">
        <f t="shared" si="1"/>
        <v>0</v>
      </c>
      <c r="P152" s="827">
        <f t="shared" si="3"/>
        <v>0</v>
      </c>
      <c r="AD152" s="810"/>
    </row>
    <row r="153" spans="3:30" ht="30" hidden="1" customHeight="1" outlineLevel="1">
      <c r="C153" s="828">
        <v>127</v>
      </c>
      <c r="D153" s="829"/>
      <c r="E153" s="830"/>
      <c r="F153" s="830"/>
      <c r="G153" s="1049"/>
      <c r="H153" s="831"/>
      <c r="I153" s="832"/>
      <c r="L153" s="816">
        <f t="shared" si="0"/>
        <v>0</v>
      </c>
      <c r="M153" s="833">
        <f t="shared" si="0"/>
        <v>0</v>
      </c>
      <c r="N153" s="834"/>
      <c r="O153" s="835">
        <f t="shared" si="1"/>
        <v>0</v>
      </c>
      <c r="P153" s="827">
        <f t="shared" si="3"/>
        <v>0</v>
      </c>
      <c r="AD153" s="810"/>
    </row>
    <row r="154" spans="3:30" ht="30" hidden="1" customHeight="1" outlineLevel="1">
      <c r="C154" s="828">
        <v>128</v>
      </c>
      <c r="D154" s="829"/>
      <c r="E154" s="830"/>
      <c r="F154" s="830"/>
      <c r="G154" s="1049"/>
      <c r="H154" s="831"/>
      <c r="I154" s="832"/>
      <c r="L154" s="816">
        <f t="shared" si="0"/>
        <v>0</v>
      </c>
      <c r="M154" s="833">
        <f t="shared" si="0"/>
        <v>0</v>
      </c>
      <c r="N154" s="834"/>
      <c r="O154" s="835">
        <f t="shared" si="1"/>
        <v>0</v>
      </c>
      <c r="P154" s="827">
        <f t="shared" si="3"/>
        <v>0</v>
      </c>
      <c r="AD154" s="810"/>
    </row>
    <row r="155" spans="3:30" ht="30" hidden="1" customHeight="1" outlineLevel="1">
      <c r="C155" s="828">
        <v>129</v>
      </c>
      <c r="D155" s="829"/>
      <c r="E155" s="830"/>
      <c r="F155" s="830"/>
      <c r="G155" s="1049"/>
      <c r="H155" s="831"/>
      <c r="I155" s="832"/>
      <c r="L155" s="816">
        <f t="shared" si="0"/>
        <v>0</v>
      </c>
      <c r="M155" s="833">
        <f t="shared" ref="M155:M170" si="4">IF($G155&gt;0,F155,)</f>
        <v>0</v>
      </c>
      <c r="N155" s="834"/>
      <c r="O155" s="835">
        <f t="shared" si="1"/>
        <v>0</v>
      </c>
      <c r="P155" s="827">
        <f t="shared" si="3"/>
        <v>0</v>
      </c>
      <c r="AD155" s="810"/>
    </row>
    <row r="156" spans="3:30" ht="30" hidden="1" customHeight="1" outlineLevel="1">
      <c r="C156" s="828">
        <v>130</v>
      </c>
      <c r="D156" s="829"/>
      <c r="E156" s="830"/>
      <c r="F156" s="830"/>
      <c r="G156" s="1049"/>
      <c r="H156" s="831"/>
      <c r="I156" s="832"/>
      <c r="L156" s="816">
        <f t="shared" ref="L156:M175" si="5">IF($G156&gt;0,E156,)</f>
        <v>0</v>
      </c>
      <c r="M156" s="833">
        <f t="shared" si="4"/>
        <v>0</v>
      </c>
      <c r="N156" s="834"/>
      <c r="O156" s="835">
        <f t="shared" si="1"/>
        <v>0</v>
      </c>
      <c r="P156" s="827">
        <f t="shared" ref="P156:P1026" si="6">ROUND(O156*G156%,)</f>
        <v>0</v>
      </c>
      <c r="AD156" s="810"/>
    </row>
    <row r="157" spans="3:30" ht="30" hidden="1" customHeight="1" outlineLevel="1">
      <c r="C157" s="828">
        <v>131</v>
      </c>
      <c r="D157" s="829"/>
      <c r="E157" s="830"/>
      <c r="F157" s="830"/>
      <c r="G157" s="1049"/>
      <c r="H157" s="831"/>
      <c r="I157" s="832"/>
      <c r="L157" s="816">
        <f t="shared" si="5"/>
        <v>0</v>
      </c>
      <c r="M157" s="833">
        <f t="shared" si="4"/>
        <v>0</v>
      </c>
      <c r="N157" s="834"/>
      <c r="O157" s="835">
        <f t="shared" si="1"/>
        <v>0</v>
      </c>
      <c r="P157" s="827">
        <f t="shared" si="6"/>
        <v>0</v>
      </c>
      <c r="AD157" s="810"/>
    </row>
    <row r="158" spans="3:30" ht="30" hidden="1" customHeight="1" outlineLevel="1">
      <c r="C158" s="828">
        <v>132</v>
      </c>
      <c r="D158" s="829"/>
      <c r="E158" s="830"/>
      <c r="F158" s="830"/>
      <c r="G158" s="1049"/>
      <c r="H158" s="831"/>
      <c r="I158" s="832"/>
      <c r="L158" s="816">
        <f t="shared" si="5"/>
        <v>0</v>
      </c>
      <c r="M158" s="833">
        <f t="shared" si="4"/>
        <v>0</v>
      </c>
      <c r="N158" s="834"/>
      <c r="O158" s="835">
        <f t="shared" si="1"/>
        <v>0</v>
      </c>
      <c r="P158" s="827">
        <f t="shared" si="6"/>
        <v>0</v>
      </c>
      <c r="AD158" s="810"/>
    </row>
    <row r="159" spans="3:30" ht="30" hidden="1" customHeight="1" outlineLevel="1">
      <c r="C159" s="828">
        <v>133</v>
      </c>
      <c r="D159" s="829"/>
      <c r="E159" s="830"/>
      <c r="F159" s="830"/>
      <c r="G159" s="1049"/>
      <c r="H159" s="831"/>
      <c r="I159" s="832"/>
      <c r="L159" s="816">
        <f t="shared" si="5"/>
        <v>0</v>
      </c>
      <c r="M159" s="833">
        <f t="shared" si="4"/>
        <v>0</v>
      </c>
      <c r="N159" s="834"/>
      <c r="O159" s="835">
        <f t="shared" si="1"/>
        <v>0</v>
      </c>
      <c r="P159" s="827">
        <f t="shared" si="6"/>
        <v>0</v>
      </c>
      <c r="AD159" s="810"/>
    </row>
    <row r="160" spans="3:30" ht="30" hidden="1" customHeight="1" outlineLevel="1">
      <c r="C160" s="828">
        <v>134</v>
      </c>
      <c r="D160" s="829"/>
      <c r="E160" s="830"/>
      <c r="F160" s="830"/>
      <c r="G160" s="1049"/>
      <c r="H160" s="831"/>
      <c r="I160" s="832"/>
      <c r="L160" s="816">
        <f t="shared" si="5"/>
        <v>0</v>
      </c>
      <c r="M160" s="833">
        <f t="shared" si="4"/>
        <v>0</v>
      </c>
      <c r="N160" s="834"/>
      <c r="O160" s="835">
        <f t="shared" si="1"/>
        <v>0</v>
      </c>
      <c r="P160" s="827">
        <f t="shared" si="6"/>
        <v>0</v>
      </c>
      <c r="AD160" s="810"/>
    </row>
    <row r="161" spans="3:30" ht="30" hidden="1" customHeight="1" outlineLevel="1">
      <c r="C161" s="828">
        <v>135</v>
      </c>
      <c r="D161" s="829"/>
      <c r="E161" s="830"/>
      <c r="F161" s="830"/>
      <c r="G161" s="1049"/>
      <c r="H161" s="831"/>
      <c r="I161" s="832"/>
      <c r="L161" s="816">
        <f t="shared" si="5"/>
        <v>0</v>
      </c>
      <c r="M161" s="833">
        <f t="shared" si="4"/>
        <v>0</v>
      </c>
      <c r="N161" s="834"/>
      <c r="O161" s="835">
        <f t="shared" si="1"/>
        <v>0</v>
      </c>
      <c r="P161" s="827">
        <f t="shared" si="6"/>
        <v>0</v>
      </c>
      <c r="AD161" s="810"/>
    </row>
    <row r="162" spans="3:30" ht="30" hidden="1" customHeight="1" outlineLevel="1">
      <c r="C162" s="828">
        <v>136</v>
      </c>
      <c r="D162" s="829"/>
      <c r="E162" s="830"/>
      <c r="F162" s="830"/>
      <c r="G162" s="1049"/>
      <c r="H162" s="831"/>
      <c r="I162" s="832"/>
      <c r="L162" s="816">
        <f t="shared" si="5"/>
        <v>0</v>
      </c>
      <c r="M162" s="833">
        <f t="shared" si="4"/>
        <v>0</v>
      </c>
      <c r="N162" s="834"/>
      <c r="O162" s="835">
        <f t="shared" si="1"/>
        <v>0</v>
      </c>
      <c r="P162" s="827">
        <f t="shared" si="6"/>
        <v>0</v>
      </c>
      <c r="AD162" s="810"/>
    </row>
    <row r="163" spans="3:30" ht="30" hidden="1" customHeight="1" outlineLevel="1">
      <c r="C163" s="828">
        <v>137</v>
      </c>
      <c r="D163" s="829"/>
      <c r="E163" s="830"/>
      <c r="F163" s="830"/>
      <c r="G163" s="1049"/>
      <c r="H163" s="831"/>
      <c r="I163" s="832"/>
      <c r="L163" s="816">
        <f t="shared" si="5"/>
        <v>0</v>
      </c>
      <c r="M163" s="833">
        <f t="shared" si="4"/>
        <v>0</v>
      </c>
      <c r="N163" s="834"/>
      <c r="O163" s="835">
        <f t="shared" si="1"/>
        <v>0</v>
      </c>
      <c r="P163" s="827">
        <f t="shared" si="6"/>
        <v>0</v>
      </c>
      <c r="AD163" s="810"/>
    </row>
    <row r="164" spans="3:30" ht="30" hidden="1" customHeight="1" outlineLevel="1">
      <c r="C164" s="828">
        <v>138</v>
      </c>
      <c r="D164" s="829"/>
      <c r="E164" s="830"/>
      <c r="F164" s="830"/>
      <c r="G164" s="1049"/>
      <c r="H164" s="831"/>
      <c r="I164" s="832"/>
      <c r="L164" s="816">
        <f t="shared" si="5"/>
        <v>0</v>
      </c>
      <c r="M164" s="833">
        <f t="shared" si="4"/>
        <v>0</v>
      </c>
      <c r="N164" s="834"/>
      <c r="O164" s="835">
        <f t="shared" si="1"/>
        <v>0</v>
      </c>
      <c r="P164" s="827">
        <f t="shared" si="6"/>
        <v>0</v>
      </c>
      <c r="AD164" s="810"/>
    </row>
    <row r="165" spans="3:30" ht="30" hidden="1" customHeight="1" outlineLevel="1">
      <c r="C165" s="828">
        <v>139</v>
      </c>
      <c r="D165" s="829"/>
      <c r="E165" s="830"/>
      <c r="F165" s="830"/>
      <c r="G165" s="1049"/>
      <c r="H165" s="831"/>
      <c r="I165" s="832"/>
      <c r="L165" s="816">
        <f t="shared" si="5"/>
        <v>0</v>
      </c>
      <c r="M165" s="833">
        <f t="shared" si="4"/>
        <v>0</v>
      </c>
      <c r="N165" s="834"/>
      <c r="O165" s="835">
        <f t="shared" si="1"/>
        <v>0</v>
      </c>
      <c r="P165" s="827">
        <f t="shared" si="6"/>
        <v>0</v>
      </c>
      <c r="AD165" s="810"/>
    </row>
    <row r="166" spans="3:30" ht="30" hidden="1" customHeight="1" outlineLevel="1">
      <c r="C166" s="828">
        <v>140</v>
      </c>
      <c r="D166" s="829"/>
      <c r="E166" s="830"/>
      <c r="F166" s="830"/>
      <c r="G166" s="1049"/>
      <c r="H166" s="831"/>
      <c r="I166" s="832"/>
      <c r="L166" s="816">
        <f t="shared" si="5"/>
        <v>0</v>
      </c>
      <c r="M166" s="833">
        <f t="shared" si="4"/>
        <v>0</v>
      </c>
      <c r="N166" s="834"/>
      <c r="O166" s="835">
        <f t="shared" si="1"/>
        <v>0</v>
      </c>
      <c r="P166" s="827">
        <f t="shared" si="6"/>
        <v>0</v>
      </c>
      <c r="AD166" s="810"/>
    </row>
    <row r="167" spans="3:30" ht="30" hidden="1" customHeight="1" outlineLevel="1">
      <c r="C167" s="828">
        <v>141</v>
      </c>
      <c r="D167" s="829"/>
      <c r="E167" s="830"/>
      <c r="F167" s="830"/>
      <c r="G167" s="1049"/>
      <c r="H167" s="831"/>
      <c r="I167" s="832"/>
      <c r="L167" s="816">
        <f t="shared" si="5"/>
        <v>0</v>
      </c>
      <c r="M167" s="833">
        <f t="shared" si="4"/>
        <v>0</v>
      </c>
      <c r="N167" s="834"/>
      <c r="O167" s="835">
        <f t="shared" si="1"/>
        <v>0</v>
      </c>
      <c r="P167" s="827">
        <f t="shared" si="6"/>
        <v>0</v>
      </c>
      <c r="AD167" s="810"/>
    </row>
    <row r="168" spans="3:30" ht="30" hidden="1" customHeight="1" outlineLevel="1">
      <c r="C168" s="828">
        <v>142</v>
      </c>
      <c r="D168" s="829"/>
      <c r="E168" s="830"/>
      <c r="F168" s="830"/>
      <c r="G168" s="1049"/>
      <c r="H168" s="831"/>
      <c r="I168" s="832"/>
      <c r="L168" s="816">
        <f t="shared" si="5"/>
        <v>0</v>
      </c>
      <c r="M168" s="833">
        <f t="shared" si="4"/>
        <v>0</v>
      </c>
      <c r="N168" s="834"/>
      <c r="O168" s="835">
        <f t="shared" si="1"/>
        <v>0</v>
      </c>
      <c r="P168" s="827">
        <f t="shared" si="6"/>
        <v>0</v>
      </c>
      <c r="AD168" s="810"/>
    </row>
    <row r="169" spans="3:30" ht="30" hidden="1" customHeight="1" outlineLevel="1">
      <c r="C169" s="828">
        <v>143</v>
      </c>
      <c r="D169" s="829"/>
      <c r="E169" s="830"/>
      <c r="F169" s="830"/>
      <c r="G169" s="1049"/>
      <c r="H169" s="831"/>
      <c r="I169" s="832"/>
      <c r="L169" s="816">
        <f t="shared" si="5"/>
        <v>0</v>
      </c>
      <c r="M169" s="833">
        <f t="shared" si="4"/>
        <v>0</v>
      </c>
      <c r="N169" s="834"/>
      <c r="O169" s="835">
        <f t="shared" si="1"/>
        <v>0</v>
      </c>
      <c r="P169" s="827">
        <f t="shared" si="6"/>
        <v>0</v>
      </c>
      <c r="AD169" s="810"/>
    </row>
    <row r="170" spans="3:30" ht="30" hidden="1" customHeight="1" outlineLevel="1">
      <c r="C170" s="828">
        <v>144</v>
      </c>
      <c r="D170" s="829"/>
      <c r="E170" s="830"/>
      <c r="F170" s="830"/>
      <c r="G170" s="1049"/>
      <c r="H170" s="831"/>
      <c r="I170" s="832"/>
      <c r="L170" s="816">
        <f t="shared" si="5"/>
        <v>0</v>
      </c>
      <c r="M170" s="833">
        <f t="shared" si="4"/>
        <v>0</v>
      </c>
      <c r="N170" s="834"/>
      <c r="O170" s="835">
        <f t="shared" si="1"/>
        <v>0</v>
      </c>
      <c r="P170" s="827">
        <f t="shared" si="6"/>
        <v>0</v>
      </c>
      <c r="AD170" s="810"/>
    </row>
    <row r="171" spans="3:30" ht="30" hidden="1" customHeight="1" outlineLevel="1">
      <c r="C171" s="828">
        <v>145</v>
      </c>
      <c r="D171" s="829"/>
      <c r="E171" s="830"/>
      <c r="F171" s="830"/>
      <c r="G171" s="1049"/>
      <c r="H171" s="831"/>
      <c r="I171" s="832"/>
      <c r="L171" s="816">
        <f t="shared" si="5"/>
        <v>0</v>
      </c>
      <c r="M171" s="833">
        <f t="shared" si="5"/>
        <v>0</v>
      </c>
      <c r="N171" s="834"/>
      <c r="O171" s="835">
        <f t="shared" si="1"/>
        <v>0</v>
      </c>
      <c r="P171" s="827">
        <f t="shared" si="6"/>
        <v>0</v>
      </c>
      <c r="AD171" s="810"/>
    </row>
    <row r="172" spans="3:30" ht="30" hidden="1" customHeight="1" outlineLevel="1">
      <c r="C172" s="828">
        <v>146</v>
      </c>
      <c r="D172" s="829"/>
      <c r="E172" s="830"/>
      <c r="F172" s="830"/>
      <c r="G172" s="1049"/>
      <c r="H172" s="831"/>
      <c r="I172" s="832"/>
      <c r="L172" s="816">
        <f t="shared" si="5"/>
        <v>0</v>
      </c>
      <c r="M172" s="833">
        <f t="shared" si="5"/>
        <v>0</v>
      </c>
      <c r="N172" s="834"/>
      <c r="O172" s="835">
        <f t="shared" si="1"/>
        <v>0</v>
      </c>
      <c r="P172" s="827">
        <f t="shared" si="6"/>
        <v>0</v>
      </c>
      <c r="AD172" s="810"/>
    </row>
    <row r="173" spans="3:30" ht="30" hidden="1" customHeight="1" outlineLevel="1">
      <c r="C173" s="828">
        <v>147</v>
      </c>
      <c r="D173" s="829"/>
      <c r="E173" s="830"/>
      <c r="F173" s="830"/>
      <c r="G173" s="1049"/>
      <c r="H173" s="831"/>
      <c r="I173" s="832"/>
      <c r="L173" s="816">
        <f t="shared" si="5"/>
        <v>0</v>
      </c>
      <c r="M173" s="833">
        <f t="shared" si="5"/>
        <v>0</v>
      </c>
      <c r="N173" s="834"/>
      <c r="O173" s="835">
        <f t="shared" si="1"/>
        <v>0</v>
      </c>
      <c r="P173" s="827">
        <f t="shared" si="6"/>
        <v>0</v>
      </c>
      <c r="AD173" s="810"/>
    </row>
    <row r="174" spans="3:30" ht="30" hidden="1" customHeight="1" outlineLevel="1">
      <c r="C174" s="828">
        <v>148</v>
      </c>
      <c r="D174" s="829"/>
      <c r="E174" s="830"/>
      <c r="F174" s="830"/>
      <c r="G174" s="1049"/>
      <c r="H174" s="831"/>
      <c r="I174" s="832"/>
      <c r="L174" s="816">
        <f t="shared" si="5"/>
        <v>0</v>
      </c>
      <c r="M174" s="833">
        <f t="shared" si="5"/>
        <v>0</v>
      </c>
      <c r="N174" s="834"/>
      <c r="O174" s="835">
        <f t="shared" si="1"/>
        <v>0</v>
      </c>
      <c r="P174" s="827">
        <f t="shared" si="6"/>
        <v>0</v>
      </c>
      <c r="AD174" s="810"/>
    </row>
    <row r="175" spans="3:30" ht="30" hidden="1" customHeight="1" outlineLevel="1">
      <c r="C175" s="828">
        <v>149</v>
      </c>
      <c r="D175" s="829"/>
      <c r="E175" s="830"/>
      <c r="F175" s="830"/>
      <c r="G175" s="1049"/>
      <c r="H175" s="831"/>
      <c r="I175" s="832"/>
      <c r="L175" s="816">
        <f t="shared" si="5"/>
        <v>0</v>
      </c>
      <c r="M175" s="833">
        <f t="shared" si="5"/>
        <v>0</v>
      </c>
      <c r="N175" s="834"/>
      <c r="O175" s="835">
        <f t="shared" si="1"/>
        <v>0</v>
      </c>
      <c r="P175" s="827">
        <f t="shared" si="6"/>
        <v>0</v>
      </c>
      <c r="AD175" s="810"/>
    </row>
    <row r="176" spans="3:30" ht="30" hidden="1" customHeight="1" outlineLevel="1">
      <c r="C176" s="828">
        <v>150</v>
      </c>
      <c r="D176" s="829"/>
      <c r="E176" s="830"/>
      <c r="F176" s="830"/>
      <c r="G176" s="1049"/>
      <c r="H176" s="831"/>
      <c r="I176" s="832"/>
      <c r="L176" s="816">
        <f t="shared" ref="L176:L239" si="7">IF($G176&gt;0,E176,)</f>
        <v>0</v>
      </c>
      <c r="M176" s="833">
        <f t="shared" ref="M176:M239" si="8">IF($G176&gt;0,F176,)</f>
        <v>0</v>
      </c>
      <c r="N176" s="834"/>
      <c r="O176" s="835">
        <f t="shared" ref="O176:O239" si="9">ROUND(L176*N176/10,)</f>
        <v>0</v>
      </c>
      <c r="P176" s="827">
        <f t="shared" ref="P176:P239" si="10">ROUND(O176*G176%,)</f>
        <v>0</v>
      </c>
      <c r="AD176" s="810"/>
    </row>
    <row r="177" spans="3:30" ht="30" hidden="1" customHeight="1" outlineLevel="1">
      <c r="C177" s="828">
        <v>151</v>
      </c>
      <c r="D177" s="829"/>
      <c r="E177" s="830"/>
      <c r="F177" s="830"/>
      <c r="G177" s="1049"/>
      <c r="H177" s="831"/>
      <c r="I177" s="832"/>
      <c r="L177" s="816">
        <f t="shared" si="7"/>
        <v>0</v>
      </c>
      <c r="M177" s="833">
        <f t="shared" si="8"/>
        <v>0</v>
      </c>
      <c r="N177" s="834"/>
      <c r="O177" s="835">
        <f t="shared" si="9"/>
        <v>0</v>
      </c>
      <c r="P177" s="827">
        <f t="shared" si="10"/>
        <v>0</v>
      </c>
      <c r="AD177" s="810"/>
    </row>
    <row r="178" spans="3:30" ht="30" hidden="1" customHeight="1" outlineLevel="1">
      <c r="C178" s="828">
        <v>152</v>
      </c>
      <c r="D178" s="829"/>
      <c r="E178" s="830"/>
      <c r="F178" s="830"/>
      <c r="G178" s="1049"/>
      <c r="H178" s="831"/>
      <c r="I178" s="832"/>
      <c r="L178" s="816">
        <f t="shared" si="7"/>
        <v>0</v>
      </c>
      <c r="M178" s="833">
        <f t="shared" si="8"/>
        <v>0</v>
      </c>
      <c r="N178" s="834"/>
      <c r="O178" s="835">
        <f t="shared" si="9"/>
        <v>0</v>
      </c>
      <c r="P178" s="827">
        <f t="shared" si="10"/>
        <v>0</v>
      </c>
      <c r="AD178" s="810"/>
    </row>
    <row r="179" spans="3:30" ht="30" hidden="1" customHeight="1" outlineLevel="1">
      <c r="C179" s="828">
        <v>153</v>
      </c>
      <c r="D179" s="829"/>
      <c r="E179" s="830"/>
      <c r="F179" s="830"/>
      <c r="G179" s="1049"/>
      <c r="H179" s="831"/>
      <c r="I179" s="832"/>
      <c r="L179" s="816">
        <f t="shared" si="7"/>
        <v>0</v>
      </c>
      <c r="M179" s="833">
        <f t="shared" si="8"/>
        <v>0</v>
      </c>
      <c r="N179" s="834"/>
      <c r="O179" s="835">
        <f t="shared" si="9"/>
        <v>0</v>
      </c>
      <c r="P179" s="827">
        <f t="shared" si="10"/>
        <v>0</v>
      </c>
      <c r="AD179" s="810"/>
    </row>
    <row r="180" spans="3:30" ht="30" hidden="1" customHeight="1" outlineLevel="1">
      <c r="C180" s="828">
        <v>154</v>
      </c>
      <c r="D180" s="829"/>
      <c r="E180" s="830"/>
      <c r="F180" s="830"/>
      <c r="G180" s="1049"/>
      <c r="H180" s="831"/>
      <c r="I180" s="832"/>
      <c r="L180" s="816">
        <f t="shared" si="7"/>
        <v>0</v>
      </c>
      <c r="M180" s="833">
        <f t="shared" si="8"/>
        <v>0</v>
      </c>
      <c r="N180" s="834"/>
      <c r="O180" s="835">
        <f t="shared" si="9"/>
        <v>0</v>
      </c>
      <c r="P180" s="827">
        <f t="shared" si="10"/>
        <v>0</v>
      </c>
      <c r="AD180" s="810"/>
    </row>
    <row r="181" spans="3:30" ht="30" hidden="1" customHeight="1" outlineLevel="1">
      <c r="C181" s="828">
        <v>155</v>
      </c>
      <c r="D181" s="829"/>
      <c r="E181" s="830"/>
      <c r="F181" s="830"/>
      <c r="G181" s="1049"/>
      <c r="H181" s="831"/>
      <c r="I181" s="832"/>
      <c r="L181" s="816">
        <f t="shared" si="7"/>
        <v>0</v>
      </c>
      <c r="M181" s="833">
        <f t="shared" si="8"/>
        <v>0</v>
      </c>
      <c r="N181" s="834"/>
      <c r="O181" s="835">
        <f t="shared" si="9"/>
        <v>0</v>
      </c>
      <c r="P181" s="827">
        <f t="shared" si="10"/>
        <v>0</v>
      </c>
      <c r="AD181" s="810"/>
    </row>
    <row r="182" spans="3:30" ht="30" hidden="1" customHeight="1" outlineLevel="1">
      <c r="C182" s="828">
        <v>156</v>
      </c>
      <c r="D182" s="829"/>
      <c r="E182" s="830"/>
      <c r="F182" s="830"/>
      <c r="G182" s="1049"/>
      <c r="H182" s="831"/>
      <c r="I182" s="832"/>
      <c r="L182" s="816">
        <f t="shared" si="7"/>
        <v>0</v>
      </c>
      <c r="M182" s="833">
        <f t="shared" si="8"/>
        <v>0</v>
      </c>
      <c r="N182" s="834"/>
      <c r="O182" s="835">
        <f t="shared" si="9"/>
        <v>0</v>
      </c>
      <c r="P182" s="827">
        <f t="shared" si="10"/>
        <v>0</v>
      </c>
      <c r="AD182" s="810"/>
    </row>
    <row r="183" spans="3:30" ht="30" hidden="1" customHeight="1" outlineLevel="1">
      <c r="C183" s="828">
        <v>157</v>
      </c>
      <c r="D183" s="829"/>
      <c r="E183" s="830"/>
      <c r="F183" s="830"/>
      <c r="G183" s="1049"/>
      <c r="H183" s="831"/>
      <c r="I183" s="832"/>
      <c r="L183" s="816">
        <f t="shared" si="7"/>
        <v>0</v>
      </c>
      <c r="M183" s="833">
        <f t="shared" si="8"/>
        <v>0</v>
      </c>
      <c r="N183" s="834"/>
      <c r="O183" s="835">
        <f t="shared" si="9"/>
        <v>0</v>
      </c>
      <c r="P183" s="827">
        <f t="shared" si="10"/>
        <v>0</v>
      </c>
      <c r="AD183" s="810"/>
    </row>
    <row r="184" spans="3:30" ht="30" hidden="1" customHeight="1" outlineLevel="1">
      <c r="C184" s="828">
        <v>158</v>
      </c>
      <c r="D184" s="829"/>
      <c r="E184" s="830"/>
      <c r="F184" s="830"/>
      <c r="G184" s="1049"/>
      <c r="H184" s="831"/>
      <c r="I184" s="832"/>
      <c r="L184" s="816">
        <f t="shared" si="7"/>
        <v>0</v>
      </c>
      <c r="M184" s="833">
        <f t="shared" si="8"/>
        <v>0</v>
      </c>
      <c r="N184" s="834"/>
      <c r="O184" s="835">
        <f t="shared" si="9"/>
        <v>0</v>
      </c>
      <c r="P184" s="827">
        <f t="shared" si="10"/>
        <v>0</v>
      </c>
      <c r="AD184" s="810"/>
    </row>
    <row r="185" spans="3:30" ht="30" hidden="1" customHeight="1" outlineLevel="1">
      <c r="C185" s="828">
        <v>159</v>
      </c>
      <c r="D185" s="829"/>
      <c r="E185" s="830"/>
      <c r="F185" s="830"/>
      <c r="G185" s="1049"/>
      <c r="H185" s="831"/>
      <c r="I185" s="832"/>
      <c r="L185" s="816">
        <f t="shared" si="7"/>
        <v>0</v>
      </c>
      <c r="M185" s="833">
        <f t="shared" si="8"/>
        <v>0</v>
      </c>
      <c r="N185" s="834"/>
      <c r="O185" s="835">
        <f t="shared" si="9"/>
        <v>0</v>
      </c>
      <c r="P185" s="827">
        <f t="shared" si="10"/>
        <v>0</v>
      </c>
      <c r="AD185" s="810"/>
    </row>
    <row r="186" spans="3:30" ht="30" hidden="1" customHeight="1" outlineLevel="1">
      <c r="C186" s="828">
        <v>160</v>
      </c>
      <c r="D186" s="829"/>
      <c r="E186" s="830"/>
      <c r="F186" s="830"/>
      <c r="G186" s="1049"/>
      <c r="H186" s="831"/>
      <c r="I186" s="832"/>
      <c r="L186" s="816">
        <f t="shared" si="7"/>
        <v>0</v>
      </c>
      <c r="M186" s="833">
        <f t="shared" si="8"/>
        <v>0</v>
      </c>
      <c r="N186" s="834"/>
      <c r="O186" s="835">
        <f t="shared" si="9"/>
        <v>0</v>
      </c>
      <c r="P186" s="827">
        <f t="shared" si="10"/>
        <v>0</v>
      </c>
      <c r="AD186" s="810"/>
    </row>
    <row r="187" spans="3:30" ht="30" hidden="1" customHeight="1" outlineLevel="1">
      <c r="C187" s="828">
        <v>161</v>
      </c>
      <c r="D187" s="829"/>
      <c r="E187" s="830"/>
      <c r="F187" s="830"/>
      <c r="G187" s="1049"/>
      <c r="H187" s="831"/>
      <c r="I187" s="832"/>
      <c r="L187" s="816">
        <f t="shared" si="7"/>
        <v>0</v>
      </c>
      <c r="M187" s="833">
        <f t="shared" si="8"/>
        <v>0</v>
      </c>
      <c r="N187" s="834"/>
      <c r="O187" s="835">
        <f t="shared" si="9"/>
        <v>0</v>
      </c>
      <c r="P187" s="827">
        <f t="shared" si="10"/>
        <v>0</v>
      </c>
      <c r="AD187" s="810"/>
    </row>
    <row r="188" spans="3:30" ht="30" hidden="1" customHeight="1" outlineLevel="1">
      <c r="C188" s="828">
        <v>162</v>
      </c>
      <c r="D188" s="829"/>
      <c r="E188" s="830"/>
      <c r="F188" s="830"/>
      <c r="G188" s="1049"/>
      <c r="H188" s="831"/>
      <c r="I188" s="832"/>
      <c r="L188" s="816">
        <f t="shared" si="7"/>
        <v>0</v>
      </c>
      <c r="M188" s="833">
        <f t="shared" si="8"/>
        <v>0</v>
      </c>
      <c r="N188" s="834"/>
      <c r="O188" s="835">
        <f t="shared" si="9"/>
        <v>0</v>
      </c>
      <c r="P188" s="827">
        <f t="shared" si="10"/>
        <v>0</v>
      </c>
      <c r="AD188" s="810"/>
    </row>
    <row r="189" spans="3:30" ht="30" hidden="1" customHeight="1" outlineLevel="1">
      <c r="C189" s="828">
        <v>163</v>
      </c>
      <c r="D189" s="829"/>
      <c r="E189" s="830"/>
      <c r="F189" s="830"/>
      <c r="G189" s="1049"/>
      <c r="H189" s="831"/>
      <c r="I189" s="832"/>
      <c r="L189" s="816">
        <f t="shared" si="7"/>
        <v>0</v>
      </c>
      <c r="M189" s="833">
        <f t="shared" si="8"/>
        <v>0</v>
      </c>
      <c r="N189" s="834"/>
      <c r="O189" s="835">
        <f t="shared" si="9"/>
        <v>0</v>
      </c>
      <c r="P189" s="827">
        <f t="shared" si="10"/>
        <v>0</v>
      </c>
      <c r="AD189" s="810"/>
    </row>
    <row r="190" spans="3:30" ht="30" hidden="1" customHeight="1" outlineLevel="1">
      <c r="C190" s="828">
        <v>164</v>
      </c>
      <c r="D190" s="829"/>
      <c r="E190" s="830"/>
      <c r="F190" s="830"/>
      <c r="G190" s="1049"/>
      <c r="H190" s="831"/>
      <c r="I190" s="832"/>
      <c r="L190" s="816">
        <f t="shared" si="7"/>
        <v>0</v>
      </c>
      <c r="M190" s="833">
        <f t="shared" si="8"/>
        <v>0</v>
      </c>
      <c r="N190" s="834"/>
      <c r="O190" s="835">
        <f t="shared" si="9"/>
        <v>0</v>
      </c>
      <c r="P190" s="827">
        <f t="shared" si="10"/>
        <v>0</v>
      </c>
      <c r="AD190" s="810"/>
    </row>
    <row r="191" spans="3:30" ht="30" hidden="1" customHeight="1" outlineLevel="1">
      <c r="C191" s="828">
        <v>165</v>
      </c>
      <c r="D191" s="829"/>
      <c r="E191" s="830"/>
      <c r="F191" s="830"/>
      <c r="G191" s="1049"/>
      <c r="H191" s="831"/>
      <c r="I191" s="832"/>
      <c r="L191" s="816">
        <f t="shared" si="7"/>
        <v>0</v>
      </c>
      <c r="M191" s="833">
        <f t="shared" si="8"/>
        <v>0</v>
      </c>
      <c r="N191" s="834"/>
      <c r="O191" s="835">
        <f t="shared" si="9"/>
        <v>0</v>
      </c>
      <c r="P191" s="827">
        <f t="shared" si="10"/>
        <v>0</v>
      </c>
      <c r="AD191" s="810"/>
    </row>
    <row r="192" spans="3:30" ht="30" hidden="1" customHeight="1" outlineLevel="1">
      <c r="C192" s="828">
        <v>166</v>
      </c>
      <c r="D192" s="829"/>
      <c r="E192" s="830"/>
      <c r="F192" s="830"/>
      <c r="G192" s="1049"/>
      <c r="H192" s="831"/>
      <c r="I192" s="832"/>
      <c r="L192" s="816">
        <f t="shared" si="7"/>
        <v>0</v>
      </c>
      <c r="M192" s="833">
        <f t="shared" si="8"/>
        <v>0</v>
      </c>
      <c r="N192" s="834"/>
      <c r="O192" s="835">
        <f t="shared" si="9"/>
        <v>0</v>
      </c>
      <c r="P192" s="827">
        <f t="shared" si="10"/>
        <v>0</v>
      </c>
      <c r="AD192" s="810"/>
    </row>
    <row r="193" spans="3:30" ht="30" hidden="1" customHeight="1" outlineLevel="1">
      <c r="C193" s="828">
        <v>167</v>
      </c>
      <c r="D193" s="829"/>
      <c r="E193" s="830"/>
      <c r="F193" s="830"/>
      <c r="G193" s="1049"/>
      <c r="H193" s="831"/>
      <c r="I193" s="832"/>
      <c r="L193" s="816">
        <f t="shared" si="7"/>
        <v>0</v>
      </c>
      <c r="M193" s="833">
        <f t="shared" si="8"/>
        <v>0</v>
      </c>
      <c r="N193" s="834"/>
      <c r="O193" s="835">
        <f t="shared" si="9"/>
        <v>0</v>
      </c>
      <c r="P193" s="827">
        <f t="shared" si="10"/>
        <v>0</v>
      </c>
      <c r="AD193" s="810"/>
    </row>
    <row r="194" spans="3:30" ht="30" hidden="1" customHeight="1" outlineLevel="1">
      <c r="C194" s="828">
        <v>168</v>
      </c>
      <c r="D194" s="829"/>
      <c r="E194" s="830"/>
      <c r="F194" s="830"/>
      <c r="G194" s="1049"/>
      <c r="H194" s="831"/>
      <c r="I194" s="832"/>
      <c r="L194" s="816">
        <f t="shared" si="7"/>
        <v>0</v>
      </c>
      <c r="M194" s="833">
        <f t="shared" si="8"/>
        <v>0</v>
      </c>
      <c r="N194" s="834"/>
      <c r="O194" s="835">
        <f t="shared" si="9"/>
        <v>0</v>
      </c>
      <c r="P194" s="827">
        <f t="shared" si="10"/>
        <v>0</v>
      </c>
      <c r="AD194" s="810"/>
    </row>
    <row r="195" spans="3:30" ht="30" hidden="1" customHeight="1" outlineLevel="1">
      <c r="C195" s="828">
        <v>169</v>
      </c>
      <c r="D195" s="829"/>
      <c r="E195" s="830"/>
      <c r="F195" s="830"/>
      <c r="G195" s="1049"/>
      <c r="H195" s="831"/>
      <c r="I195" s="832"/>
      <c r="L195" s="816">
        <f t="shared" si="7"/>
        <v>0</v>
      </c>
      <c r="M195" s="833">
        <f t="shared" si="8"/>
        <v>0</v>
      </c>
      <c r="N195" s="834"/>
      <c r="O195" s="835">
        <f t="shared" si="9"/>
        <v>0</v>
      </c>
      <c r="P195" s="827">
        <f t="shared" si="10"/>
        <v>0</v>
      </c>
      <c r="AD195" s="810"/>
    </row>
    <row r="196" spans="3:30" ht="30" hidden="1" customHeight="1" outlineLevel="1">
      <c r="C196" s="828">
        <v>170</v>
      </c>
      <c r="D196" s="829"/>
      <c r="E196" s="830"/>
      <c r="F196" s="830"/>
      <c r="G196" s="1049"/>
      <c r="H196" s="831"/>
      <c r="I196" s="832"/>
      <c r="L196" s="816">
        <f t="shared" si="7"/>
        <v>0</v>
      </c>
      <c r="M196" s="833">
        <f t="shared" si="8"/>
        <v>0</v>
      </c>
      <c r="N196" s="834"/>
      <c r="O196" s="835">
        <f t="shared" si="9"/>
        <v>0</v>
      </c>
      <c r="P196" s="827">
        <f t="shared" si="10"/>
        <v>0</v>
      </c>
      <c r="AD196" s="810"/>
    </row>
    <row r="197" spans="3:30" ht="30" hidden="1" customHeight="1" outlineLevel="1">
      <c r="C197" s="828">
        <v>171</v>
      </c>
      <c r="D197" s="829"/>
      <c r="E197" s="830"/>
      <c r="F197" s="830"/>
      <c r="G197" s="1049"/>
      <c r="H197" s="831"/>
      <c r="I197" s="832"/>
      <c r="L197" s="816">
        <f t="shared" si="7"/>
        <v>0</v>
      </c>
      <c r="M197" s="833">
        <f t="shared" si="8"/>
        <v>0</v>
      </c>
      <c r="N197" s="834"/>
      <c r="O197" s="835">
        <f t="shared" si="9"/>
        <v>0</v>
      </c>
      <c r="P197" s="827">
        <f t="shared" si="10"/>
        <v>0</v>
      </c>
      <c r="AD197" s="810"/>
    </row>
    <row r="198" spans="3:30" ht="30" hidden="1" customHeight="1" outlineLevel="1">
      <c r="C198" s="828">
        <v>172</v>
      </c>
      <c r="D198" s="829"/>
      <c r="E198" s="830"/>
      <c r="F198" s="830"/>
      <c r="G198" s="1049"/>
      <c r="H198" s="831"/>
      <c r="I198" s="832"/>
      <c r="L198" s="816">
        <f t="shared" si="7"/>
        <v>0</v>
      </c>
      <c r="M198" s="833">
        <f t="shared" si="8"/>
        <v>0</v>
      </c>
      <c r="N198" s="834"/>
      <c r="O198" s="835">
        <f t="shared" si="9"/>
        <v>0</v>
      </c>
      <c r="P198" s="827">
        <f t="shared" si="10"/>
        <v>0</v>
      </c>
      <c r="AD198" s="810"/>
    </row>
    <row r="199" spans="3:30" ht="30" hidden="1" customHeight="1" outlineLevel="1">
      <c r="C199" s="828">
        <v>173</v>
      </c>
      <c r="D199" s="829"/>
      <c r="E199" s="830"/>
      <c r="F199" s="830"/>
      <c r="G199" s="1049"/>
      <c r="H199" s="831"/>
      <c r="I199" s="832"/>
      <c r="L199" s="816">
        <f t="shared" si="7"/>
        <v>0</v>
      </c>
      <c r="M199" s="833">
        <f t="shared" si="8"/>
        <v>0</v>
      </c>
      <c r="N199" s="834"/>
      <c r="O199" s="835">
        <f t="shared" si="9"/>
        <v>0</v>
      </c>
      <c r="P199" s="827">
        <f t="shared" si="10"/>
        <v>0</v>
      </c>
      <c r="AD199" s="810"/>
    </row>
    <row r="200" spans="3:30" ht="30" hidden="1" customHeight="1" outlineLevel="1">
      <c r="C200" s="828">
        <v>174</v>
      </c>
      <c r="D200" s="829"/>
      <c r="E200" s="830"/>
      <c r="F200" s="830"/>
      <c r="G200" s="1049"/>
      <c r="H200" s="831"/>
      <c r="I200" s="832"/>
      <c r="L200" s="816">
        <f t="shared" si="7"/>
        <v>0</v>
      </c>
      <c r="M200" s="833">
        <f t="shared" si="8"/>
        <v>0</v>
      </c>
      <c r="N200" s="834"/>
      <c r="O200" s="835">
        <f t="shared" si="9"/>
        <v>0</v>
      </c>
      <c r="P200" s="827">
        <f t="shared" si="10"/>
        <v>0</v>
      </c>
      <c r="AD200" s="810"/>
    </row>
    <row r="201" spans="3:30" ht="30" hidden="1" customHeight="1" outlineLevel="1">
      <c r="C201" s="828">
        <v>175</v>
      </c>
      <c r="D201" s="829"/>
      <c r="E201" s="830"/>
      <c r="F201" s="830"/>
      <c r="G201" s="1049"/>
      <c r="H201" s="831"/>
      <c r="I201" s="832"/>
      <c r="L201" s="816">
        <f t="shared" si="7"/>
        <v>0</v>
      </c>
      <c r="M201" s="833">
        <f t="shared" si="8"/>
        <v>0</v>
      </c>
      <c r="N201" s="834"/>
      <c r="O201" s="835">
        <f t="shared" si="9"/>
        <v>0</v>
      </c>
      <c r="P201" s="827">
        <f t="shared" si="10"/>
        <v>0</v>
      </c>
      <c r="AD201" s="810"/>
    </row>
    <row r="202" spans="3:30" ht="30" hidden="1" customHeight="1" outlineLevel="1">
      <c r="C202" s="828">
        <v>176</v>
      </c>
      <c r="D202" s="829"/>
      <c r="E202" s="830"/>
      <c r="F202" s="830"/>
      <c r="G202" s="1049"/>
      <c r="H202" s="831"/>
      <c r="I202" s="832"/>
      <c r="L202" s="816">
        <f t="shared" si="7"/>
        <v>0</v>
      </c>
      <c r="M202" s="833">
        <f t="shared" si="8"/>
        <v>0</v>
      </c>
      <c r="N202" s="834"/>
      <c r="O202" s="835">
        <f t="shared" si="9"/>
        <v>0</v>
      </c>
      <c r="P202" s="827">
        <f t="shared" si="10"/>
        <v>0</v>
      </c>
      <c r="AD202" s="810"/>
    </row>
    <row r="203" spans="3:30" ht="30" hidden="1" customHeight="1" outlineLevel="1">
      <c r="C203" s="828">
        <v>177</v>
      </c>
      <c r="D203" s="829"/>
      <c r="E203" s="830"/>
      <c r="F203" s="830"/>
      <c r="G203" s="1049"/>
      <c r="H203" s="831"/>
      <c r="I203" s="832"/>
      <c r="L203" s="816">
        <f t="shared" si="7"/>
        <v>0</v>
      </c>
      <c r="M203" s="833">
        <f t="shared" si="8"/>
        <v>0</v>
      </c>
      <c r="N203" s="834"/>
      <c r="O203" s="835">
        <f t="shared" si="9"/>
        <v>0</v>
      </c>
      <c r="P203" s="827">
        <f t="shared" si="10"/>
        <v>0</v>
      </c>
      <c r="AD203" s="810"/>
    </row>
    <row r="204" spans="3:30" ht="30" hidden="1" customHeight="1" outlineLevel="1">
      <c r="C204" s="828">
        <v>178</v>
      </c>
      <c r="D204" s="829"/>
      <c r="E204" s="830"/>
      <c r="F204" s="830"/>
      <c r="G204" s="1049"/>
      <c r="H204" s="831"/>
      <c r="I204" s="832"/>
      <c r="L204" s="816">
        <f t="shared" si="7"/>
        <v>0</v>
      </c>
      <c r="M204" s="833">
        <f t="shared" si="8"/>
        <v>0</v>
      </c>
      <c r="N204" s="834"/>
      <c r="O204" s="835">
        <f t="shared" si="9"/>
        <v>0</v>
      </c>
      <c r="P204" s="827">
        <f t="shared" si="10"/>
        <v>0</v>
      </c>
      <c r="AD204" s="810"/>
    </row>
    <row r="205" spans="3:30" ht="30" hidden="1" customHeight="1" outlineLevel="1">
      <c r="C205" s="828">
        <v>179</v>
      </c>
      <c r="D205" s="829"/>
      <c r="E205" s="830"/>
      <c r="F205" s="830"/>
      <c r="G205" s="1049"/>
      <c r="H205" s="831"/>
      <c r="I205" s="832"/>
      <c r="L205" s="816">
        <f t="shared" si="7"/>
        <v>0</v>
      </c>
      <c r="M205" s="833">
        <f t="shared" si="8"/>
        <v>0</v>
      </c>
      <c r="N205" s="834"/>
      <c r="O205" s="835">
        <f t="shared" si="9"/>
        <v>0</v>
      </c>
      <c r="P205" s="827">
        <f t="shared" si="10"/>
        <v>0</v>
      </c>
      <c r="AD205" s="810"/>
    </row>
    <row r="206" spans="3:30" ht="30" hidden="1" customHeight="1" outlineLevel="1">
      <c r="C206" s="828">
        <v>180</v>
      </c>
      <c r="D206" s="829"/>
      <c r="E206" s="830"/>
      <c r="F206" s="830"/>
      <c r="G206" s="1049"/>
      <c r="H206" s="831"/>
      <c r="I206" s="832"/>
      <c r="L206" s="816">
        <f t="shared" si="7"/>
        <v>0</v>
      </c>
      <c r="M206" s="833">
        <f t="shared" si="8"/>
        <v>0</v>
      </c>
      <c r="N206" s="834"/>
      <c r="O206" s="835">
        <f t="shared" si="9"/>
        <v>0</v>
      </c>
      <c r="P206" s="827">
        <f t="shared" si="10"/>
        <v>0</v>
      </c>
      <c r="AD206" s="810"/>
    </row>
    <row r="207" spans="3:30" ht="30" hidden="1" customHeight="1" outlineLevel="1">
      <c r="C207" s="828">
        <v>181</v>
      </c>
      <c r="D207" s="829"/>
      <c r="E207" s="830"/>
      <c r="F207" s="830"/>
      <c r="G207" s="1049"/>
      <c r="H207" s="831"/>
      <c r="I207" s="832"/>
      <c r="L207" s="816">
        <f t="shared" si="7"/>
        <v>0</v>
      </c>
      <c r="M207" s="833">
        <f t="shared" si="8"/>
        <v>0</v>
      </c>
      <c r="N207" s="834"/>
      <c r="O207" s="835">
        <f t="shared" si="9"/>
        <v>0</v>
      </c>
      <c r="P207" s="827">
        <f t="shared" si="10"/>
        <v>0</v>
      </c>
      <c r="AD207" s="810"/>
    </row>
    <row r="208" spans="3:30" ht="30" hidden="1" customHeight="1" outlineLevel="1">
      <c r="C208" s="828">
        <v>182</v>
      </c>
      <c r="D208" s="829"/>
      <c r="E208" s="830"/>
      <c r="F208" s="830"/>
      <c r="G208" s="1049"/>
      <c r="H208" s="831"/>
      <c r="I208" s="832"/>
      <c r="L208" s="816">
        <f t="shared" si="7"/>
        <v>0</v>
      </c>
      <c r="M208" s="833">
        <f t="shared" si="8"/>
        <v>0</v>
      </c>
      <c r="N208" s="834"/>
      <c r="O208" s="835">
        <f t="shared" si="9"/>
        <v>0</v>
      </c>
      <c r="P208" s="827">
        <f t="shared" si="10"/>
        <v>0</v>
      </c>
      <c r="AD208" s="810"/>
    </row>
    <row r="209" spans="3:30" ht="30" hidden="1" customHeight="1" outlineLevel="1">
      <c r="C209" s="828">
        <v>183</v>
      </c>
      <c r="D209" s="829"/>
      <c r="E209" s="830"/>
      <c r="F209" s="830"/>
      <c r="G209" s="1049"/>
      <c r="H209" s="831"/>
      <c r="I209" s="832"/>
      <c r="L209" s="816">
        <f t="shared" si="7"/>
        <v>0</v>
      </c>
      <c r="M209" s="833">
        <f t="shared" si="8"/>
        <v>0</v>
      </c>
      <c r="N209" s="834"/>
      <c r="O209" s="835">
        <f t="shared" si="9"/>
        <v>0</v>
      </c>
      <c r="P209" s="827">
        <f t="shared" si="10"/>
        <v>0</v>
      </c>
      <c r="AD209" s="810"/>
    </row>
    <row r="210" spans="3:30" ht="30" hidden="1" customHeight="1" outlineLevel="1">
      <c r="C210" s="828">
        <v>184</v>
      </c>
      <c r="D210" s="829"/>
      <c r="E210" s="830"/>
      <c r="F210" s="830"/>
      <c r="G210" s="1049"/>
      <c r="H210" s="831"/>
      <c r="I210" s="832"/>
      <c r="L210" s="816">
        <f t="shared" si="7"/>
        <v>0</v>
      </c>
      <c r="M210" s="833">
        <f t="shared" si="8"/>
        <v>0</v>
      </c>
      <c r="N210" s="834"/>
      <c r="O210" s="835">
        <f t="shared" si="9"/>
        <v>0</v>
      </c>
      <c r="P210" s="827">
        <f t="shared" si="10"/>
        <v>0</v>
      </c>
      <c r="AD210" s="810"/>
    </row>
    <row r="211" spans="3:30" ht="30" hidden="1" customHeight="1" outlineLevel="1">
      <c r="C211" s="828">
        <v>185</v>
      </c>
      <c r="D211" s="829"/>
      <c r="E211" s="830"/>
      <c r="F211" s="830"/>
      <c r="G211" s="1049"/>
      <c r="H211" s="831"/>
      <c r="I211" s="832"/>
      <c r="L211" s="816">
        <f t="shared" si="7"/>
        <v>0</v>
      </c>
      <c r="M211" s="833">
        <f t="shared" si="8"/>
        <v>0</v>
      </c>
      <c r="N211" s="834"/>
      <c r="O211" s="835">
        <f t="shared" si="9"/>
        <v>0</v>
      </c>
      <c r="P211" s="827">
        <f t="shared" si="10"/>
        <v>0</v>
      </c>
      <c r="AD211" s="810"/>
    </row>
    <row r="212" spans="3:30" ht="30" hidden="1" customHeight="1" outlineLevel="1">
      <c r="C212" s="828">
        <v>186</v>
      </c>
      <c r="D212" s="829"/>
      <c r="E212" s="830"/>
      <c r="F212" s="830"/>
      <c r="G212" s="1049"/>
      <c r="H212" s="831"/>
      <c r="I212" s="832"/>
      <c r="L212" s="816">
        <f t="shared" si="7"/>
        <v>0</v>
      </c>
      <c r="M212" s="833">
        <f t="shared" si="8"/>
        <v>0</v>
      </c>
      <c r="N212" s="834"/>
      <c r="O212" s="835">
        <f t="shared" si="9"/>
        <v>0</v>
      </c>
      <c r="P212" s="827">
        <f t="shared" si="10"/>
        <v>0</v>
      </c>
      <c r="AD212" s="810"/>
    </row>
    <row r="213" spans="3:30" ht="30" hidden="1" customHeight="1" outlineLevel="1">
      <c r="C213" s="828">
        <v>187</v>
      </c>
      <c r="D213" s="829"/>
      <c r="E213" s="830"/>
      <c r="F213" s="830"/>
      <c r="G213" s="1049"/>
      <c r="H213" s="831"/>
      <c r="I213" s="832"/>
      <c r="L213" s="816">
        <f t="shared" si="7"/>
        <v>0</v>
      </c>
      <c r="M213" s="833">
        <f t="shared" si="8"/>
        <v>0</v>
      </c>
      <c r="N213" s="834"/>
      <c r="O213" s="835">
        <f t="shared" si="9"/>
        <v>0</v>
      </c>
      <c r="P213" s="827">
        <f t="shared" si="10"/>
        <v>0</v>
      </c>
      <c r="AD213" s="810"/>
    </row>
    <row r="214" spans="3:30" ht="30" hidden="1" customHeight="1" outlineLevel="1">
      <c r="C214" s="828">
        <v>188</v>
      </c>
      <c r="D214" s="829"/>
      <c r="E214" s="830"/>
      <c r="F214" s="830"/>
      <c r="G214" s="1049"/>
      <c r="H214" s="831"/>
      <c r="I214" s="832"/>
      <c r="L214" s="816">
        <f t="shared" si="7"/>
        <v>0</v>
      </c>
      <c r="M214" s="833">
        <f t="shared" si="8"/>
        <v>0</v>
      </c>
      <c r="N214" s="834"/>
      <c r="O214" s="835">
        <f t="shared" si="9"/>
        <v>0</v>
      </c>
      <c r="P214" s="827">
        <f t="shared" si="10"/>
        <v>0</v>
      </c>
      <c r="AD214" s="810"/>
    </row>
    <row r="215" spans="3:30" ht="30" hidden="1" customHeight="1" outlineLevel="1">
      <c r="C215" s="828">
        <v>189</v>
      </c>
      <c r="D215" s="829"/>
      <c r="E215" s="830"/>
      <c r="F215" s="830"/>
      <c r="G215" s="1049"/>
      <c r="H215" s="831"/>
      <c r="I215" s="832"/>
      <c r="L215" s="816">
        <f t="shared" si="7"/>
        <v>0</v>
      </c>
      <c r="M215" s="833">
        <f t="shared" si="8"/>
        <v>0</v>
      </c>
      <c r="N215" s="834"/>
      <c r="O215" s="835">
        <f t="shared" si="9"/>
        <v>0</v>
      </c>
      <c r="P215" s="827">
        <f t="shared" si="10"/>
        <v>0</v>
      </c>
      <c r="AD215" s="810"/>
    </row>
    <row r="216" spans="3:30" ht="30" hidden="1" customHeight="1" outlineLevel="1">
      <c r="C216" s="828">
        <v>190</v>
      </c>
      <c r="D216" s="829"/>
      <c r="E216" s="830"/>
      <c r="F216" s="830"/>
      <c r="G216" s="1049"/>
      <c r="H216" s="831"/>
      <c r="I216" s="832"/>
      <c r="L216" s="816">
        <f t="shared" si="7"/>
        <v>0</v>
      </c>
      <c r="M216" s="833">
        <f t="shared" si="8"/>
        <v>0</v>
      </c>
      <c r="N216" s="834"/>
      <c r="O216" s="835">
        <f t="shared" si="9"/>
        <v>0</v>
      </c>
      <c r="P216" s="827">
        <f t="shared" si="10"/>
        <v>0</v>
      </c>
      <c r="AD216" s="810"/>
    </row>
    <row r="217" spans="3:30" ht="30" hidden="1" customHeight="1" outlineLevel="1">
      <c r="C217" s="828">
        <v>191</v>
      </c>
      <c r="D217" s="829"/>
      <c r="E217" s="830"/>
      <c r="F217" s="830"/>
      <c r="G217" s="1049"/>
      <c r="H217" s="831"/>
      <c r="I217" s="832"/>
      <c r="L217" s="816">
        <f t="shared" si="7"/>
        <v>0</v>
      </c>
      <c r="M217" s="833">
        <f t="shared" si="8"/>
        <v>0</v>
      </c>
      <c r="N217" s="834"/>
      <c r="O217" s="835">
        <f t="shared" si="9"/>
        <v>0</v>
      </c>
      <c r="P217" s="827">
        <f t="shared" si="10"/>
        <v>0</v>
      </c>
      <c r="AD217" s="810"/>
    </row>
    <row r="218" spans="3:30" ht="30" hidden="1" customHeight="1" outlineLevel="1">
      <c r="C218" s="828">
        <v>192</v>
      </c>
      <c r="D218" s="829"/>
      <c r="E218" s="830"/>
      <c r="F218" s="830"/>
      <c r="G218" s="1049"/>
      <c r="H218" s="831"/>
      <c r="I218" s="832"/>
      <c r="L218" s="816">
        <f t="shared" si="7"/>
        <v>0</v>
      </c>
      <c r="M218" s="833">
        <f t="shared" si="8"/>
        <v>0</v>
      </c>
      <c r="N218" s="834"/>
      <c r="O218" s="835">
        <f t="shared" si="9"/>
        <v>0</v>
      </c>
      <c r="P218" s="827">
        <f t="shared" si="10"/>
        <v>0</v>
      </c>
      <c r="AD218" s="810"/>
    </row>
    <row r="219" spans="3:30" ht="30" hidden="1" customHeight="1" outlineLevel="1">
      <c r="C219" s="828">
        <v>193</v>
      </c>
      <c r="D219" s="829"/>
      <c r="E219" s="830"/>
      <c r="F219" s="830"/>
      <c r="G219" s="1049"/>
      <c r="H219" s="831"/>
      <c r="I219" s="832"/>
      <c r="L219" s="816">
        <f t="shared" si="7"/>
        <v>0</v>
      </c>
      <c r="M219" s="833">
        <f t="shared" si="8"/>
        <v>0</v>
      </c>
      <c r="N219" s="834"/>
      <c r="O219" s="835">
        <f t="shared" si="9"/>
        <v>0</v>
      </c>
      <c r="P219" s="827">
        <f t="shared" si="10"/>
        <v>0</v>
      </c>
      <c r="AD219" s="810"/>
    </row>
    <row r="220" spans="3:30" ht="30" hidden="1" customHeight="1" outlineLevel="1">
      <c r="C220" s="828">
        <v>194</v>
      </c>
      <c r="D220" s="829"/>
      <c r="E220" s="830"/>
      <c r="F220" s="830"/>
      <c r="G220" s="1049"/>
      <c r="H220" s="831"/>
      <c r="I220" s="832"/>
      <c r="L220" s="816">
        <f t="shared" si="7"/>
        <v>0</v>
      </c>
      <c r="M220" s="833">
        <f t="shared" si="8"/>
        <v>0</v>
      </c>
      <c r="N220" s="834"/>
      <c r="O220" s="835">
        <f t="shared" si="9"/>
        <v>0</v>
      </c>
      <c r="P220" s="827">
        <f t="shared" si="10"/>
        <v>0</v>
      </c>
      <c r="AD220" s="810"/>
    </row>
    <row r="221" spans="3:30" ht="30" hidden="1" customHeight="1" outlineLevel="1">
      <c r="C221" s="828">
        <v>195</v>
      </c>
      <c r="D221" s="829"/>
      <c r="E221" s="830"/>
      <c r="F221" s="830"/>
      <c r="G221" s="1049"/>
      <c r="H221" s="831"/>
      <c r="I221" s="832"/>
      <c r="L221" s="816">
        <f t="shared" si="7"/>
        <v>0</v>
      </c>
      <c r="M221" s="833">
        <f t="shared" si="8"/>
        <v>0</v>
      </c>
      <c r="N221" s="834"/>
      <c r="O221" s="835">
        <f t="shared" si="9"/>
        <v>0</v>
      </c>
      <c r="P221" s="827">
        <f t="shared" si="10"/>
        <v>0</v>
      </c>
      <c r="AD221" s="810"/>
    </row>
    <row r="222" spans="3:30" ht="30" hidden="1" customHeight="1" outlineLevel="1">
      <c r="C222" s="828">
        <v>196</v>
      </c>
      <c r="D222" s="829"/>
      <c r="E222" s="830"/>
      <c r="F222" s="830"/>
      <c r="G222" s="1049"/>
      <c r="H222" s="831"/>
      <c r="I222" s="832"/>
      <c r="L222" s="816">
        <f t="shared" si="7"/>
        <v>0</v>
      </c>
      <c r="M222" s="833">
        <f t="shared" si="8"/>
        <v>0</v>
      </c>
      <c r="N222" s="834"/>
      <c r="O222" s="835">
        <f t="shared" si="9"/>
        <v>0</v>
      </c>
      <c r="P222" s="827">
        <f t="shared" si="10"/>
        <v>0</v>
      </c>
      <c r="AD222" s="810"/>
    </row>
    <row r="223" spans="3:30" ht="30" hidden="1" customHeight="1" outlineLevel="1">
      <c r="C223" s="828">
        <v>197</v>
      </c>
      <c r="D223" s="829"/>
      <c r="E223" s="830"/>
      <c r="F223" s="830"/>
      <c r="G223" s="1049"/>
      <c r="H223" s="831"/>
      <c r="I223" s="832"/>
      <c r="L223" s="816">
        <f t="shared" si="7"/>
        <v>0</v>
      </c>
      <c r="M223" s="833">
        <f t="shared" si="8"/>
        <v>0</v>
      </c>
      <c r="N223" s="834"/>
      <c r="O223" s="835">
        <f t="shared" si="9"/>
        <v>0</v>
      </c>
      <c r="P223" s="827">
        <f t="shared" si="10"/>
        <v>0</v>
      </c>
      <c r="AD223" s="810"/>
    </row>
    <row r="224" spans="3:30" ht="30" hidden="1" customHeight="1" outlineLevel="1">
      <c r="C224" s="828">
        <v>198</v>
      </c>
      <c r="D224" s="829"/>
      <c r="E224" s="830"/>
      <c r="F224" s="830"/>
      <c r="G224" s="1049"/>
      <c r="H224" s="831"/>
      <c r="I224" s="832"/>
      <c r="L224" s="816">
        <f t="shared" si="7"/>
        <v>0</v>
      </c>
      <c r="M224" s="833">
        <f t="shared" si="8"/>
        <v>0</v>
      </c>
      <c r="N224" s="834"/>
      <c r="O224" s="835">
        <f t="shared" si="9"/>
        <v>0</v>
      </c>
      <c r="P224" s="827">
        <f t="shared" si="10"/>
        <v>0</v>
      </c>
      <c r="AD224" s="810"/>
    </row>
    <row r="225" spans="3:30" ht="30" hidden="1" customHeight="1" outlineLevel="1">
      <c r="C225" s="828">
        <v>199</v>
      </c>
      <c r="D225" s="829"/>
      <c r="E225" s="830"/>
      <c r="F225" s="830"/>
      <c r="G225" s="1049"/>
      <c r="H225" s="831"/>
      <c r="I225" s="832"/>
      <c r="L225" s="816">
        <f t="shared" si="7"/>
        <v>0</v>
      </c>
      <c r="M225" s="833">
        <f t="shared" si="8"/>
        <v>0</v>
      </c>
      <c r="N225" s="834"/>
      <c r="O225" s="835">
        <f t="shared" si="9"/>
        <v>0</v>
      </c>
      <c r="P225" s="827">
        <f t="shared" si="10"/>
        <v>0</v>
      </c>
      <c r="AD225" s="810"/>
    </row>
    <row r="226" spans="3:30" ht="30" hidden="1" customHeight="1" outlineLevel="1">
      <c r="C226" s="828">
        <v>200</v>
      </c>
      <c r="D226" s="829"/>
      <c r="E226" s="830"/>
      <c r="F226" s="830"/>
      <c r="G226" s="1049"/>
      <c r="H226" s="831"/>
      <c r="I226" s="832"/>
      <c r="L226" s="816">
        <f t="shared" si="7"/>
        <v>0</v>
      </c>
      <c r="M226" s="833">
        <f t="shared" si="8"/>
        <v>0</v>
      </c>
      <c r="N226" s="834"/>
      <c r="O226" s="835">
        <f t="shared" si="9"/>
        <v>0</v>
      </c>
      <c r="P226" s="827">
        <f t="shared" si="10"/>
        <v>0</v>
      </c>
      <c r="AD226" s="810"/>
    </row>
    <row r="227" spans="3:30" ht="30" hidden="1" customHeight="1" outlineLevel="1">
      <c r="C227" s="828">
        <v>201</v>
      </c>
      <c r="D227" s="829"/>
      <c r="E227" s="830"/>
      <c r="F227" s="830"/>
      <c r="G227" s="1049"/>
      <c r="H227" s="831"/>
      <c r="I227" s="832"/>
      <c r="L227" s="816">
        <f t="shared" si="7"/>
        <v>0</v>
      </c>
      <c r="M227" s="833">
        <f t="shared" si="8"/>
        <v>0</v>
      </c>
      <c r="N227" s="834"/>
      <c r="O227" s="835">
        <f t="shared" si="9"/>
        <v>0</v>
      </c>
      <c r="P227" s="827">
        <f t="shared" si="10"/>
        <v>0</v>
      </c>
      <c r="AD227" s="810"/>
    </row>
    <row r="228" spans="3:30" ht="30" hidden="1" customHeight="1" outlineLevel="1">
      <c r="C228" s="828">
        <v>202</v>
      </c>
      <c r="D228" s="829"/>
      <c r="E228" s="830"/>
      <c r="F228" s="830"/>
      <c r="G228" s="1049"/>
      <c r="H228" s="831"/>
      <c r="I228" s="832"/>
      <c r="L228" s="816">
        <f t="shared" si="7"/>
        <v>0</v>
      </c>
      <c r="M228" s="833">
        <f t="shared" si="8"/>
        <v>0</v>
      </c>
      <c r="N228" s="834"/>
      <c r="O228" s="835">
        <f t="shared" si="9"/>
        <v>0</v>
      </c>
      <c r="P228" s="827">
        <f t="shared" si="10"/>
        <v>0</v>
      </c>
      <c r="AD228" s="810"/>
    </row>
    <row r="229" spans="3:30" ht="30" hidden="1" customHeight="1" outlineLevel="1">
      <c r="C229" s="828">
        <v>203</v>
      </c>
      <c r="D229" s="829"/>
      <c r="E229" s="830"/>
      <c r="F229" s="830"/>
      <c r="G229" s="1049"/>
      <c r="H229" s="831"/>
      <c r="I229" s="832"/>
      <c r="L229" s="816">
        <f t="shared" si="7"/>
        <v>0</v>
      </c>
      <c r="M229" s="833">
        <f t="shared" si="8"/>
        <v>0</v>
      </c>
      <c r="N229" s="834"/>
      <c r="O229" s="835">
        <f t="shared" si="9"/>
        <v>0</v>
      </c>
      <c r="P229" s="827">
        <f t="shared" si="10"/>
        <v>0</v>
      </c>
      <c r="AD229" s="810"/>
    </row>
    <row r="230" spans="3:30" ht="30" hidden="1" customHeight="1" outlineLevel="1">
      <c r="C230" s="828">
        <v>204</v>
      </c>
      <c r="D230" s="829"/>
      <c r="E230" s="830"/>
      <c r="F230" s="830"/>
      <c r="G230" s="1049"/>
      <c r="H230" s="831"/>
      <c r="I230" s="832"/>
      <c r="L230" s="816">
        <f t="shared" si="7"/>
        <v>0</v>
      </c>
      <c r="M230" s="833">
        <f t="shared" si="8"/>
        <v>0</v>
      </c>
      <c r="N230" s="834"/>
      <c r="O230" s="835">
        <f t="shared" si="9"/>
        <v>0</v>
      </c>
      <c r="P230" s="827">
        <f t="shared" si="10"/>
        <v>0</v>
      </c>
      <c r="AD230" s="810"/>
    </row>
    <row r="231" spans="3:30" ht="30" hidden="1" customHeight="1" outlineLevel="1">
      <c r="C231" s="828">
        <v>205</v>
      </c>
      <c r="D231" s="829"/>
      <c r="E231" s="830"/>
      <c r="F231" s="830"/>
      <c r="G231" s="1049"/>
      <c r="H231" s="831"/>
      <c r="I231" s="832"/>
      <c r="L231" s="816">
        <f t="shared" si="7"/>
        <v>0</v>
      </c>
      <c r="M231" s="833">
        <f t="shared" si="8"/>
        <v>0</v>
      </c>
      <c r="N231" s="834"/>
      <c r="O231" s="835">
        <f t="shared" si="9"/>
        <v>0</v>
      </c>
      <c r="P231" s="827">
        <f t="shared" si="10"/>
        <v>0</v>
      </c>
      <c r="AD231" s="810"/>
    </row>
    <row r="232" spans="3:30" ht="30" hidden="1" customHeight="1" outlineLevel="1">
      <c r="C232" s="828">
        <v>206</v>
      </c>
      <c r="D232" s="829"/>
      <c r="E232" s="830"/>
      <c r="F232" s="830"/>
      <c r="G232" s="1049"/>
      <c r="H232" s="831"/>
      <c r="I232" s="832"/>
      <c r="L232" s="816">
        <f t="shared" si="7"/>
        <v>0</v>
      </c>
      <c r="M232" s="833">
        <f t="shared" si="8"/>
        <v>0</v>
      </c>
      <c r="N232" s="834"/>
      <c r="O232" s="835">
        <f t="shared" si="9"/>
        <v>0</v>
      </c>
      <c r="P232" s="827">
        <f t="shared" si="10"/>
        <v>0</v>
      </c>
      <c r="AD232" s="810"/>
    </row>
    <row r="233" spans="3:30" ht="30" hidden="1" customHeight="1" outlineLevel="1">
      <c r="C233" s="828">
        <v>207</v>
      </c>
      <c r="D233" s="829"/>
      <c r="E233" s="830"/>
      <c r="F233" s="830"/>
      <c r="G233" s="1049"/>
      <c r="H233" s="831"/>
      <c r="I233" s="832"/>
      <c r="L233" s="816">
        <f t="shared" si="7"/>
        <v>0</v>
      </c>
      <c r="M233" s="833">
        <f t="shared" si="8"/>
        <v>0</v>
      </c>
      <c r="N233" s="834"/>
      <c r="O233" s="835">
        <f t="shared" si="9"/>
        <v>0</v>
      </c>
      <c r="P233" s="827">
        <f t="shared" si="10"/>
        <v>0</v>
      </c>
      <c r="AD233" s="810"/>
    </row>
    <row r="234" spans="3:30" ht="30" hidden="1" customHeight="1" outlineLevel="1">
      <c r="C234" s="828">
        <v>208</v>
      </c>
      <c r="D234" s="829"/>
      <c r="E234" s="830"/>
      <c r="F234" s="830"/>
      <c r="G234" s="1049"/>
      <c r="H234" s="831"/>
      <c r="I234" s="832"/>
      <c r="L234" s="816">
        <f t="shared" si="7"/>
        <v>0</v>
      </c>
      <c r="M234" s="833">
        <f t="shared" si="8"/>
        <v>0</v>
      </c>
      <c r="N234" s="834"/>
      <c r="O234" s="835">
        <f t="shared" si="9"/>
        <v>0</v>
      </c>
      <c r="P234" s="827">
        <f t="shared" si="10"/>
        <v>0</v>
      </c>
      <c r="AD234" s="810"/>
    </row>
    <row r="235" spans="3:30" ht="30" hidden="1" customHeight="1" outlineLevel="1">
      <c r="C235" s="828">
        <v>209</v>
      </c>
      <c r="D235" s="829"/>
      <c r="E235" s="830"/>
      <c r="F235" s="830"/>
      <c r="G235" s="1049"/>
      <c r="H235" s="831"/>
      <c r="I235" s="832"/>
      <c r="L235" s="816">
        <f t="shared" si="7"/>
        <v>0</v>
      </c>
      <c r="M235" s="833">
        <f t="shared" si="8"/>
        <v>0</v>
      </c>
      <c r="N235" s="834"/>
      <c r="O235" s="835">
        <f t="shared" si="9"/>
        <v>0</v>
      </c>
      <c r="P235" s="827">
        <f t="shared" si="10"/>
        <v>0</v>
      </c>
      <c r="AD235" s="810"/>
    </row>
    <row r="236" spans="3:30" ht="30" hidden="1" customHeight="1" outlineLevel="1">
      <c r="C236" s="828">
        <v>210</v>
      </c>
      <c r="D236" s="829"/>
      <c r="E236" s="830"/>
      <c r="F236" s="830"/>
      <c r="G236" s="1049"/>
      <c r="H236" s="831"/>
      <c r="I236" s="832"/>
      <c r="L236" s="816">
        <f t="shared" si="7"/>
        <v>0</v>
      </c>
      <c r="M236" s="833">
        <f t="shared" si="8"/>
        <v>0</v>
      </c>
      <c r="N236" s="834"/>
      <c r="O236" s="835">
        <f t="shared" si="9"/>
        <v>0</v>
      </c>
      <c r="P236" s="827">
        <f t="shared" si="10"/>
        <v>0</v>
      </c>
      <c r="AD236" s="810"/>
    </row>
    <row r="237" spans="3:30" ht="30" hidden="1" customHeight="1" outlineLevel="1">
      <c r="C237" s="828">
        <v>211</v>
      </c>
      <c r="D237" s="829"/>
      <c r="E237" s="830"/>
      <c r="F237" s="830"/>
      <c r="G237" s="1049"/>
      <c r="H237" s="831"/>
      <c r="I237" s="832"/>
      <c r="L237" s="816">
        <f t="shared" si="7"/>
        <v>0</v>
      </c>
      <c r="M237" s="833">
        <f t="shared" si="8"/>
        <v>0</v>
      </c>
      <c r="N237" s="834"/>
      <c r="O237" s="835">
        <f t="shared" si="9"/>
        <v>0</v>
      </c>
      <c r="P237" s="827">
        <f t="shared" si="10"/>
        <v>0</v>
      </c>
      <c r="AD237" s="810"/>
    </row>
    <row r="238" spans="3:30" ht="30" hidden="1" customHeight="1" outlineLevel="1">
      <c r="C238" s="828">
        <v>212</v>
      </c>
      <c r="D238" s="829"/>
      <c r="E238" s="830"/>
      <c r="F238" s="830"/>
      <c r="G238" s="1049"/>
      <c r="H238" s="831"/>
      <c r="I238" s="832"/>
      <c r="L238" s="816">
        <f t="shared" si="7"/>
        <v>0</v>
      </c>
      <c r="M238" s="833">
        <f t="shared" si="8"/>
        <v>0</v>
      </c>
      <c r="N238" s="834"/>
      <c r="O238" s="835">
        <f t="shared" si="9"/>
        <v>0</v>
      </c>
      <c r="P238" s="827">
        <f t="shared" si="10"/>
        <v>0</v>
      </c>
      <c r="AD238" s="810"/>
    </row>
    <row r="239" spans="3:30" ht="30" hidden="1" customHeight="1" outlineLevel="1">
      <c r="C239" s="828">
        <v>213</v>
      </c>
      <c r="D239" s="829"/>
      <c r="E239" s="830"/>
      <c r="F239" s="830"/>
      <c r="G239" s="1049"/>
      <c r="H239" s="831"/>
      <c r="I239" s="832"/>
      <c r="L239" s="816">
        <f t="shared" si="7"/>
        <v>0</v>
      </c>
      <c r="M239" s="833">
        <f t="shared" si="8"/>
        <v>0</v>
      </c>
      <c r="N239" s="834"/>
      <c r="O239" s="835">
        <f t="shared" si="9"/>
        <v>0</v>
      </c>
      <c r="P239" s="827">
        <f t="shared" si="10"/>
        <v>0</v>
      </c>
      <c r="AD239" s="810"/>
    </row>
    <row r="240" spans="3:30" ht="30" hidden="1" customHeight="1" outlineLevel="1">
      <c r="C240" s="828">
        <v>214</v>
      </c>
      <c r="D240" s="829"/>
      <c r="E240" s="830"/>
      <c r="F240" s="830"/>
      <c r="G240" s="1049"/>
      <c r="H240" s="831"/>
      <c r="I240" s="832"/>
      <c r="L240" s="816">
        <f t="shared" ref="L240:L303" si="11">IF($G240&gt;0,E240,)</f>
        <v>0</v>
      </c>
      <c r="M240" s="833">
        <f t="shared" ref="M240:M303" si="12">IF($G240&gt;0,F240,)</f>
        <v>0</v>
      </c>
      <c r="N240" s="834"/>
      <c r="O240" s="835">
        <f t="shared" ref="O240:O303" si="13">ROUND(L240*N240/10,)</f>
        <v>0</v>
      </c>
      <c r="P240" s="827">
        <f t="shared" ref="P240:P303" si="14">ROUND(O240*G240%,)</f>
        <v>0</v>
      </c>
      <c r="AD240" s="810"/>
    </row>
    <row r="241" spans="3:30" ht="30" hidden="1" customHeight="1" outlineLevel="1">
      <c r="C241" s="828">
        <v>215</v>
      </c>
      <c r="D241" s="829"/>
      <c r="E241" s="830"/>
      <c r="F241" s="830"/>
      <c r="G241" s="1049"/>
      <c r="H241" s="831"/>
      <c r="I241" s="832"/>
      <c r="L241" s="816">
        <f t="shared" si="11"/>
        <v>0</v>
      </c>
      <c r="M241" s="833">
        <f t="shared" si="12"/>
        <v>0</v>
      </c>
      <c r="N241" s="834"/>
      <c r="O241" s="835">
        <f t="shared" si="13"/>
        <v>0</v>
      </c>
      <c r="P241" s="827">
        <f t="shared" si="14"/>
        <v>0</v>
      </c>
      <c r="AD241" s="810"/>
    </row>
    <row r="242" spans="3:30" ht="30" hidden="1" customHeight="1" outlineLevel="1">
      <c r="C242" s="828">
        <v>216</v>
      </c>
      <c r="D242" s="829"/>
      <c r="E242" s="830"/>
      <c r="F242" s="830"/>
      <c r="G242" s="1049"/>
      <c r="H242" s="831"/>
      <c r="I242" s="832"/>
      <c r="L242" s="816">
        <f t="shared" si="11"/>
        <v>0</v>
      </c>
      <c r="M242" s="833">
        <f t="shared" si="12"/>
        <v>0</v>
      </c>
      <c r="N242" s="834"/>
      <c r="O242" s="835">
        <f t="shared" si="13"/>
        <v>0</v>
      </c>
      <c r="P242" s="827">
        <f t="shared" si="14"/>
        <v>0</v>
      </c>
      <c r="AD242" s="810"/>
    </row>
    <row r="243" spans="3:30" ht="30" hidden="1" customHeight="1" outlineLevel="1">
      <c r="C243" s="828">
        <v>217</v>
      </c>
      <c r="D243" s="829"/>
      <c r="E243" s="830"/>
      <c r="F243" s="830"/>
      <c r="G243" s="1049"/>
      <c r="H243" s="831"/>
      <c r="I243" s="832"/>
      <c r="L243" s="816">
        <f t="shared" si="11"/>
        <v>0</v>
      </c>
      <c r="M243" s="833">
        <f t="shared" si="12"/>
        <v>0</v>
      </c>
      <c r="N243" s="834"/>
      <c r="O243" s="835">
        <f t="shared" si="13"/>
        <v>0</v>
      </c>
      <c r="P243" s="827">
        <f t="shared" si="14"/>
        <v>0</v>
      </c>
      <c r="AD243" s="810"/>
    </row>
    <row r="244" spans="3:30" ht="30" hidden="1" customHeight="1" outlineLevel="1">
      <c r="C244" s="828">
        <v>218</v>
      </c>
      <c r="D244" s="829"/>
      <c r="E244" s="830"/>
      <c r="F244" s="830"/>
      <c r="G244" s="1049"/>
      <c r="H244" s="831"/>
      <c r="I244" s="832"/>
      <c r="L244" s="816">
        <f t="shared" si="11"/>
        <v>0</v>
      </c>
      <c r="M244" s="833">
        <f t="shared" si="12"/>
        <v>0</v>
      </c>
      <c r="N244" s="834"/>
      <c r="O244" s="835">
        <f t="shared" si="13"/>
        <v>0</v>
      </c>
      <c r="P244" s="827">
        <f t="shared" si="14"/>
        <v>0</v>
      </c>
      <c r="AD244" s="810"/>
    </row>
    <row r="245" spans="3:30" ht="30" hidden="1" customHeight="1" outlineLevel="1">
      <c r="C245" s="828">
        <v>219</v>
      </c>
      <c r="D245" s="829"/>
      <c r="E245" s="830"/>
      <c r="F245" s="830"/>
      <c r="G245" s="1049"/>
      <c r="H245" s="831"/>
      <c r="I245" s="832"/>
      <c r="L245" s="816">
        <f t="shared" si="11"/>
        <v>0</v>
      </c>
      <c r="M245" s="833">
        <f t="shared" si="12"/>
        <v>0</v>
      </c>
      <c r="N245" s="834"/>
      <c r="O245" s="835">
        <f t="shared" si="13"/>
        <v>0</v>
      </c>
      <c r="P245" s="827">
        <f t="shared" si="14"/>
        <v>0</v>
      </c>
      <c r="AD245" s="810"/>
    </row>
    <row r="246" spans="3:30" ht="30" hidden="1" customHeight="1" outlineLevel="1">
      <c r="C246" s="828">
        <v>220</v>
      </c>
      <c r="D246" s="829"/>
      <c r="E246" s="830"/>
      <c r="F246" s="830"/>
      <c r="G246" s="1049"/>
      <c r="H246" s="831"/>
      <c r="I246" s="832"/>
      <c r="L246" s="816">
        <f t="shared" si="11"/>
        <v>0</v>
      </c>
      <c r="M246" s="833">
        <f t="shared" si="12"/>
        <v>0</v>
      </c>
      <c r="N246" s="834"/>
      <c r="O246" s="835">
        <f t="shared" si="13"/>
        <v>0</v>
      </c>
      <c r="P246" s="827">
        <f t="shared" si="14"/>
        <v>0</v>
      </c>
      <c r="AD246" s="810"/>
    </row>
    <row r="247" spans="3:30" ht="30" hidden="1" customHeight="1" outlineLevel="1">
      <c r="C247" s="828">
        <v>221</v>
      </c>
      <c r="D247" s="829"/>
      <c r="E247" s="830"/>
      <c r="F247" s="830"/>
      <c r="G247" s="1049"/>
      <c r="H247" s="831"/>
      <c r="I247" s="832"/>
      <c r="L247" s="816">
        <f t="shared" si="11"/>
        <v>0</v>
      </c>
      <c r="M247" s="833">
        <f t="shared" si="12"/>
        <v>0</v>
      </c>
      <c r="N247" s="834"/>
      <c r="O247" s="835">
        <f t="shared" si="13"/>
        <v>0</v>
      </c>
      <c r="P247" s="827">
        <f t="shared" si="14"/>
        <v>0</v>
      </c>
      <c r="AD247" s="810"/>
    </row>
    <row r="248" spans="3:30" ht="30" hidden="1" customHeight="1" outlineLevel="1">
      <c r="C248" s="828">
        <v>222</v>
      </c>
      <c r="D248" s="829"/>
      <c r="E248" s="830"/>
      <c r="F248" s="830"/>
      <c r="G248" s="1049"/>
      <c r="H248" s="831"/>
      <c r="I248" s="832"/>
      <c r="L248" s="816">
        <f t="shared" si="11"/>
        <v>0</v>
      </c>
      <c r="M248" s="833">
        <f t="shared" si="12"/>
        <v>0</v>
      </c>
      <c r="N248" s="834"/>
      <c r="O248" s="835">
        <f t="shared" si="13"/>
        <v>0</v>
      </c>
      <c r="P248" s="827">
        <f t="shared" si="14"/>
        <v>0</v>
      </c>
      <c r="AD248" s="810"/>
    </row>
    <row r="249" spans="3:30" ht="30" hidden="1" customHeight="1" outlineLevel="1">
      <c r="C249" s="828">
        <v>223</v>
      </c>
      <c r="D249" s="829"/>
      <c r="E249" s="830"/>
      <c r="F249" s="830"/>
      <c r="G249" s="1049"/>
      <c r="H249" s="831"/>
      <c r="I249" s="832"/>
      <c r="L249" s="816">
        <f t="shared" si="11"/>
        <v>0</v>
      </c>
      <c r="M249" s="833">
        <f t="shared" si="12"/>
        <v>0</v>
      </c>
      <c r="N249" s="834"/>
      <c r="O249" s="835">
        <f t="shared" si="13"/>
        <v>0</v>
      </c>
      <c r="P249" s="827">
        <f t="shared" si="14"/>
        <v>0</v>
      </c>
      <c r="AD249" s="810"/>
    </row>
    <row r="250" spans="3:30" ht="30" hidden="1" customHeight="1" outlineLevel="1">
      <c r="C250" s="828">
        <v>224</v>
      </c>
      <c r="D250" s="829"/>
      <c r="E250" s="830"/>
      <c r="F250" s="830"/>
      <c r="G250" s="1049"/>
      <c r="H250" s="831"/>
      <c r="I250" s="832"/>
      <c r="L250" s="816">
        <f t="shared" si="11"/>
        <v>0</v>
      </c>
      <c r="M250" s="833">
        <f t="shared" si="12"/>
        <v>0</v>
      </c>
      <c r="N250" s="834"/>
      <c r="O250" s="835">
        <f t="shared" si="13"/>
        <v>0</v>
      </c>
      <c r="P250" s="827">
        <f t="shared" si="14"/>
        <v>0</v>
      </c>
      <c r="AD250" s="810"/>
    </row>
    <row r="251" spans="3:30" ht="30" hidden="1" customHeight="1" outlineLevel="1">
      <c r="C251" s="828">
        <v>225</v>
      </c>
      <c r="D251" s="829"/>
      <c r="E251" s="830"/>
      <c r="F251" s="830"/>
      <c r="G251" s="1049"/>
      <c r="H251" s="831"/>
      <c r="I251" s="832"/>
      <c r="L251" s="816">
        <f t="shared" si="11"/>
        <v>0</v>
      </c>
      <c r="M251" s="833">
        <f t="shared" si="12"/>
        <v>0</v>
      </c>
      <c r="N251" s="834"/>
      <c r="O251" s="835">
        <f t="shared" si="13"/>
        <v>0</v>
      </c>
      <c r="P251" s="827">
        <f t="shared" si="14"/>
        <v>0</v>
      </c>
      <c r="AD251" s="810"/>
    </row>
    <row r="252" spans="3:30" ht="30" hidden="1" customHeight="1" outlineLevel="1">
      <c r="C252" s="828">
        <v>226</v>
      </c>
      <c r="D252" s="829"/>
      <c r="E252" s="830"/>
      <c r="F252" s="830"/>
      <c r="G252" s="1049"/>
      <c r="H252" s="831"/>
      <c r="I252" s="832"/>
      <c r="L252" s="816">
        <f t="shared" si="11"/>
        <v>0</v>
      </c>
      <c r="M252" s="833">
        <f t="shared" si="12"/>
        <v>0</v>
      </c>
      <c r="N252" s="834"/>
      <c r="O252" s="835">
        <f t="shared" si="13"/>
        <v>0</v>
      </c>
      <c r="P252" s="827">
        <f t="shared" si="14"/>
        <v>0</v>
      </c>
      <c r="AD252" s="810"/>
    </row>
    <row r="253" spans="3:30" ht="30" hidden="1" customHeight="1" outlineLevel="1">
      <c r="C253" s="828">
        <v>227</v>
      </c>
      <c r="D253" s="829"/>
      <c r="E253" s="830"/>
      <c r="F253" s="830"/>
      <c r="G253" s="1049"/>
      <c r="H253" s="831"/>
      <c r="I253" s="832"/>
      <c r="L253" s="816">
        <f t="shared" si="11"/>
        <v>0</v>
      </c>
      <c r="M253" s="833">
        <f t="shared" si="12"/>
        <v>0</v>
      </c>
      <c r="N253" s="834"/>
      <c r="O253" s="835">
        <f t="shared" si="13"/>
        <v>0</v>
      </c>
      <c r="P253" s="827">
        <f t="shared" si="14"/>
        <v>0</v>
      </c>
      <c r="AD253" s="810"/>
    </row>
    <row r="254" spans="3:30" ht="30" hidden="1" customHeight="1" outlineLevel="1">
      <c r="C254" s="828">
        <v>228</v>
      </c>
      <c r="D254" s="829"/>
      <c r="E254" s="830"/>
      <c r="F254" s="830"/>
      <c r="G254" s="1049"/>
      <c r="H254" s="831"/>
      <c r="I254" s="832"/>
      <c r="L254" s="816">
        <f t="shared" si="11"/>
        <v>0</v>
      </c>
      <c r="M254" s="833">
        <f t="shared" si="12"/>
        <v>0</v>
      </c>
      <c r="N254" s="834"/>
      <c r="O254" s="835">
        <f t="shared" si="13"/>
        <v>0</v>
      </c>
      <c r="P254" s="827">
        <f t="shared" si="14"/>
        <v>0</v>
      </c>
      <c r="AD254" s="810"/>
    </row>
    <row r="255" spans="3:30" ht="30" hidden="1" customHeight="1" outlineLevel="1">
      <c r="C255" s="828">
        <v>229</v>
      </c>
      <c r="D255" s="829"/>
      <c r="E255" s="830"/>
      <c r="F255" s="830"/>
      <c r="G255" s="1049"/>
      <c r="H255" s="831"/>
      <c r="I255" s="832"/>
      <c r="L255" s="816">
        <f t="shared" si="11"/>
        <v>0</v>
      </c>
      <c r="M255" s="833">
        <f t="shared" si="12"/>
        <v>0</v>
      </c>
      <c r="N255" s="834"/>
      <c r="O255" s="835">
        <f t="shared" si="13"/>
        <v>0</v>
      </c>
      <c r="P255" s="827">
        <f t="shared" si="14"/>
        <v>0</v>
      </c>
      <c r="AD255" s="810"/>
    </row>
    <row r="256" spans="3:30" ht="30" hidden="1" customHeight="1" outlineLevel="1">
      <c r="C256" s="828">
        <v>230</v>
      </c>
      <c r="D256" s="829"/>
      <c r="E256" s="830"/>
      <c r="F256" s="830"/>
      <c r="G256" s="1049"/>
      <c r="H256" s="831"/>
      <c r="I256" s="832"/>
      <c r="L256" s="816">
        <f t="shared" si="11"/>
        <v>0</v>
      </c>
      <c r="M256" s="833">
        <f t="shared" si="12"/>
        <v>0</v>
      </c>
      <c r="N256" s="834"/>
      <c r="O256" s="835">
        <f t="shared" si="13"/>
        <v>0</v>
      </c>
      <c r="P256" s="827">
        <f t="shared" si="14"/>
        <v>0</v>
      </c>
      <c r="AD256" s="810"/>
    </row>
    <row r="257" spans="3:30" ht="30" hidden="1" customHeight="1" outlineLevel="1">
      <c r="C257" s="828">
        <v>231</v>
      </c>
      <c r="D257" s="829"/>
      <c r="E257" s="830"/>
      <c r="F257" s="830"/>
      <c r="G257" s="1049"/>
      <c r="H257" s="831"/>
      <c r="I257" s="832"/>
      <c r="L257" s="816">
        <f t="shared" si="11"/>
        <v>0</v>
      </c>
      <c r="M257" s="833">
        <f t="shared" si="12"/>
        <v>0</v>
      </c>
      <c r="N257" s="834"/>
      <c r="O257" s="835">
        <f t="shared" si="13"/>
        <v>0</v>
      </c>
      <c r="P257" s="827">
        <f t="shared" si="14"/>
        <v>0</v>
      </c>
      <c r="AD257" s="810"/>
    </row>
    <row r="258" spans="3:30" ht="30" hidden="1" customHeight="1" outlineLevel="1">
      <c r="C258" s="828">
        <v>232</v>
      </c>
      <c r="D258" s="829"/>
      <c r="E258" s="830"/>
      <c r="F258" s="830"/>
      <c r="G258" s="1049"/>
      <c r="H258" s="831"/>
      <c r="I258" s="832"/>
      <c r="L258" s="816">
        <f t="shared" si="11"/>
        <v>0</v>
      </c>
      <c r="M258" s="833">
        <f t="shared" si="12"/>
        <v>0</v>
      </c>
      <c r="N258" s="834"/>
      <c r="O258" s="835">
        <f t="shared" si="13"/>
        <v>0</v>
      </c>
      <c r="P258" s="827">
        <f t="shared" si="14"/>
        <v>0</v>
      </c>
      <c r="AD258" s="810"/>
    </row>
    <row r="259" spans="3:30" ht="30" hidden="1" customHeight="1" outlineLevel="1">
      <c r="C259" s="828">
        <v>233</v>
      </c>
      <c r="D259" s="829"/>
      <c r="E259" s="830"/>
      <c r="F259" s="830"/>
      <c r="G259" s="1049"/>
      <c r="H259" s="831"/>
      <c r="I259" s="832"/>
      <c r="L259" s="816">
        <f t="shared" si="11"/>
        <v>0</v>
      </c>
      <c r="M259" s="833">
        <f t="shared" si="12"/>
        <v>0</v>
      </c>
      <c r="N259" s="834"/>
      <c r="O259" s="835">
        <f t="shared" si="13"/>
        <v>0</v>
      </c>
      <c r="P259" s="827">
        <f t="shared" si="14"/>
        <v>0</v>
      </c>
      <c r="AD259" s="810"/>
    </row>
    <row r="260" spans="3:30" ht="30" hidden="1" customHeight="1" outlineLevel="1">
      <c r="C260" s="828">
        <v>234</v>
      </c>
      <c r="D260" s="829"/>
      <c r="E260" s="830"/>
      <c r="F260" s="830"/>
      <c r="G260" s="1049"/>
      <c r="H260" s="831"/>
      <c r="I260" s="832"/>
      <c r="L260" s="816">
        <f t="shared" si="11"/>
        <v>0</v>
      </c>
      <c r="M260" s="833">
        <f t="shared" si="12"/>
        <v>0</v>
      </c>
      <c r="N260" s="834"/>
      <c r="O260" s="835">
        <f t="shared" si="13"/>
        <v>0</v>
      </c>
      <c r="P260" s="827">
        <f t="shared" si="14"/>
        <v>0</v>
      </c>
      <c r="AD260" s="810"/>
    </row>
    <row r="261" spans="3:30" ht="30" hidden="1" customHeight="1" outlineLevel="1">
      <c r="C261" s="828">
        <v>235</v>
      </c>
      <c r="D261" s="829"/>
      <c r="E261" s="830"/>
      <c r="F261" s="830"/>
      <c r="G261" s="1049"/>
      <c r="H261" s="831"/>
      <c r="I261" s="832"/>
      <c r="L261" s="816">
        <f t="shared" si="11"/>
        <v>0</v>
      </c>
      <c r="M261" s="833">
        <f t="shared" si="12"/>
        <v>0</v>
      </c>
      <c r="N261" s="834"/>
      <c r="O261" s="835">
        <f t="shared" si="13"/>
        <v>0</v>
      </c>
      <c r="P261" s="827">
        <f t="shared" si="14"/>
        <v>0</v>
      </c>
      <c r="AD261" s="810"/>
    </row>
    <row r="262" spans="3:30" ht="30" hidden="1" customHeight="1" outlineLevel="1">
      <c r="C262" s="828">
        <v>236</v>
      </c>
      <c r="D262" s="829"/>
      <c r="E262" s="830"/>
      <c r="F262" s="830"/>
      <c r="G262" s="1049"/>
      <c r="H262" s="831"/>
      <c r="I262" s="832"/>
      <c r="L262" s="816">
        <f t="shared" si="11"/>
        <v>0</v>
      </c>
      <c r="M262" s="833">
        <f t="shared" si="12"/>
        <v>0</v>
      </c>
      <c r="N262" s="834"/>
      <c r="O262" s="835">
        <f t="shared" si="13"/>
        <v>0</v>
      </c>
      <c r="P262" s="827">
        <f t="shared" si="14"/>
        <v>0</v>
      </c>
      <c r="AD262" s="810"/>
    </row>
    <row r="263" spans="3:30" ht="30" hidden="1" customHeight="1" outlineLevel="1">
      <c r="C263" s="828">
        <v>237</v>
      </c>
      <c r="D263" s="829"/>
      <c r="E263" s="830"/>
      <c r="F263" s="830"/>
      <c r="G263" s="1049"/>
      <c r="H263" s="831"/>
      <c r="I263" s="832"/>
      <c r="L263" s="816">
        <f t="shared" si="11"/>
        <v>0</v>
      </c>
      <c r="M263" s="833">
        <f t="shared" si="12"/>
        <v>0</v>
      </c>
      <c r="N263" s="834"/>
      <c r="O263" s="835">
        <f t="shared" si="13"/>
        <v>0</v>
      </c>
      <c r="P263" s="827">
        <f t="shared" si="14"/>
        <v>0</v>
      </c>
      <c r="AD263" s="810"/>
    </row>
    <row r="264" spans="3:30" ht="30" hidden="1" customHeight="1" outlineLevel="1">
      <c r="C264" s="828">
        <v>238</v>
      </c>
      <c r="D264" s="829"/>
      <c r="E264" s="830"/>
      <c r="F264" s="830"/>
      <c r="G264" s="1049"/>
      <c r="H264" s="831"/>
      <c r="I264" s="832"/>
      <c r="L264" s="816">
        <f t="shared" si="11"/>
        <v>0</v>
      </c>
      <c r="M264" s="833">
        <f t="shared" si="12"/>
        <v>0</v>
      </c>
      <c r="N264" s="834"/>
      <c r="O264" s="835">
        <f t="shared" si="13"/>
        <v>0</v>
      </c>
      <c r="P264" s="827">
        <f t="shared" si="14"/>
        <v>0</v>
      </c>
      <c r="AD264" s="810"/>
    </row>
    <row r="265" spans="3:30" ht="30" hidden="1" customHeight="1" outlineLevel="1">
      <c r="C265" s="828">
        <v>239</v>
      </c>
      <c r="D265" s="829"/>
      <c r="E265" s="830"/>
      <c r="F265" s="830"/>
      <c r="G265" s="1049"/>
      <c r="H265" s="831"/>
      <c r="I265" s="832"/>
      <c r="L265" s="816">
        <f t="shared" si="11"/>
        <v>0</v>
      </c>
      <c r="M265" s="833">
        <f t="shared" si="12"/>
        <v>0</v>
      </c>
      <c r="N265" s="834"/>
      <c r="O265" s="835">
        <f t="shared" si="13"/>
        <v>0</v>
      </c>
      <c r="P265" s="827">
        <f t="shared" si="14"/>
        <v>0</v>
      </c>
      <c r="AD265" s="810"/>
    </row>
    <row r="266" spans="3:30" ht="30" hidden="1" customHeight="1" outlineLevel="1">
      <c r="C266" s="828">
        <v>240</v>
      </c>
      <c r="D266" s="829"/>
      <c r="E266" s="830"/>
      <c r="F266" s="830"/>
      <c r="G266" s="1049"/>
      <c r="H266" s="831"/>
      <c r="I266" s="832"/>
      <c r="L266" s="816">
        <f t="shared" si="11"/>
        <v>0</v>
      </c>
      <c r="M266" s="833">
        <f t="shared" si="12"/>
        <v>0</v>
      </c>
      <c r="N266" s="834"/>
      <c r="O266" s="835">
        <f t="shared" si="13"/>
        <v>0</v>
      </c>
      <c r="P266" s="827">
        <f t="shared" si="14"/>
        <v>0</v>
      </c>
      <c r="AD266" s="810"/>
    </row>
    <row r="267" spans="3:30" ht="30" hidden="1" customHeight="1" outlineLevel="1">
      <c r="C267" s="828">
        <v>241</v>
      </c>
      <c r="D267" s="829"/>
      <c r="E267" s="830"/>
      <c r="F267" s="830"/>
      <c r="G267" s="1049"/>
      <c r="H267" s="831"/>
      <c r="I267" s="832"/>
      <c r="L267" s="816">
        <f t="shared" si="11"/>
        <v>0</v>
      </c>
      <c r="M267" s="833">
        <f t="shared" si="12"/>
        <v>0</v>
      </c>
      <c r="N267" s="834"/>
      <c r="O267" s="835">
        <f t="shared" si="13"/>
        <v>0</v>
      </c>
      <c r="P267" s="827">
        <f t="shared" si="14"/>
        <v>0</v>
      </c>
      <c r="AD267" s="810"/>
    </row>
    <row r="268" spans="3:30" ht="30" hidden="1" customHeight="1" outlineLevel="1">
      <c r="C268" s="828">
        <v>242</v>
      </c>
      <c r="D268" s="829"/>
      <c r="E268" s="830"/>
      <c r="F268" s="830"/>
      <c r="G268" s="1049"/>
      <c r="H268" s="831"/>
      <c r="I268" s="832"/>
      <c r="L268" s="816">
        <f t="shared" si="11"/>
        <v>0</v>
      </c>
      <c r="M268" s="833">
        <f t="shared" si="12"/>
        <v>0</v>
      </c>
      <c r="N268" s="834"/>
      <c r="O268" s="835">
        <f t="shared" si="13"/>
        <v>0</v>
      </c>
      <c r="P268" s="827">
        <f t="shared" si="14"/>
        <v>0</v>
      </c>
      <c r="AD268" s="810"/>
    </row>
    <row r="269" spans="3:30" ht="30" hidden="1" customHeight="1" outlineLevel="1">
      <c r="C269" s="828">
        <v>243</v>
      </c>
      <c r="D269" s="829"/>
      <c r="E269" s="830"/>
      <c r="F269" s="830"/>
      <c r="G269" s="1049"/>
      <c r="H269" s="831"/>
      <c r="I269" s="832"/>
      <c r="L269" s="816">
        <f t="shared" si="11"/>
        <v>0</v>
      </c>
      <c r="M269" s="833">
        <f t="shared" si="12"/>
        <v>0</v>
      </c>
      <c r="N269" s="834"/>
      <c r="O269" s="835">
        <f t="shared" si="13"/>
        <v>0</v>
      </c>
      <c r="P269" s="827">
        <f t="shared" si="14"/>
        <v>0</v>
      </c>
      <c r="AD269" s="810"/>
    </row>
    <row r="270" spans="3:30" ht="30" hidden="1" customHeight="1" outlineLevel="1">
      <c r="C270" s="828">
        <v>244</v>
      </c>
      <c r="D270" s="829"/>
      <c r="E270" s="830"/>
      <c r="F270" s="830"/>
      <c r="G270" s="1049"/>
      <c r="H270" s="831"/>
      <c r="I270" s="832"/>
      <c r="L270" s="816">
        <f t="shared" si="11"/>
        <v>0</v>
      </c>
      <c r="M270" s="833">
        <f t="shared" si="12"/>
        <v>0</v>
      </c>
      <c r="N270" s="834"/>
      <c r="O270" s="835">
        <f t="shared" si="13"/>
        <v>0</v>
      </c>
      <c r="P270" s="827">
        <f t="shared" si="14"/>
        <v>0</v>
      </c>
      <c r="AD270" s="810"/>
    </row>
    <row r="271" spans="3:30" ht="30" hidden="1" customHeight="1" outlineLevel="1">
      <c r="C271" s="828">
        <v>245</v>
      </c>
      <c r="D271" s="829"/>
      <c r="E271" s="830"/>
      <c r="F271" s="830"/>
      <c r="G271" s="1049"/>
      <c r="H271" s="831"/>
      <c r="I271" s="832"/>
      <c r="L271" s="816">
        <f t="shared" si="11"/>
        <v>0</v>
      </c>
      <c r="M271" s="833">
        <f t="shared" si="12"/>
        <v>0</v>
      </c>
      <c r="N271" s="834"/>
      <c r="O271" s="835">
        <f t="shared" si="13"/>
        <v>0</v>
      </c>
      <c r="P271" s="827">
        <f t="shared" si="14"/>
        <v>0</v>
      </c>
      <c r="AD271" s="810"/>
    </row>
    <row r="272" spans="3:30" ht="30" hidden="1" customHeight="1" outlineLevel="1">
      <c r="C272" s="828">
        <v>246</v>
      </c>
      <c r="D272" s="829"/>
      <c r="E272" s="830"/>
      <c r="F272" s="830"/>
      <c r="G272" s="1049"/>
      <c r="H272" s="831"/>
      <c r="I272" s="832"/>
      <c r="L272" s="816">
        <f t="shared" si="11"/>
        <v>0</v>
      </c>
      <c r="M272" s="833">
        <f t="shared" si="12"/>
        <v>0</v>
      </c>
      <c r="N272" s="834"/>
      <c r="O272" s="835">
        <f t="shared" si="13"/>
        <v>0</v>
      </c>
      <c r="P272" s="827">
        <f t="shared" si="14"/>
        <v>0</v>
      </c>
      <c r="AD272" s="810"/>
    </row>
    <row r="273" spans="3:30" ht="30" hidden="1" customHeight="1" outlineLevel="1">
      <c r="C273" s="828">
        <v>247</v>
      </c>
      <c r="D273" s="829"/>
      <c r="E273" s="830"/>
      <c r="F273" s="830"/>
      <c r="G273" s="1049"/>
      <c r="H273" s="831"/>
      <c r="I273" s="832"/>
      <c r="L273" s="816">
        <f t="shared" si="11"/>
        <v>0</v>
      </c>
      <c r="M273" s="833">
        <f t="shared" si="12"/>
        <v>0</v>
      </c>
      <c r="N273" s="834"/>
      <c r="O273" s="835">
        <f t="shared" si="13"/>
        <v>0</v>
      </c>
      <c r="P273" s="827">
        <f t="shared" si="14"/>
        <v>0</v>
      </c>
      <c r="AD273" s="810"/>
    </row>
    <row r="274" spans="3:30" ht="30" hidden="1" customHeight="1" outlineLevel="1">
      <c r="C274" s="828">
        <v>248</v>
      </c>
      <c r="D274" s="829"/>
      <c r="E274" s="830"/>
      <c r="F274" s="830"/>
      <c r="G274" s="1049"/>
      <c r="H274" s="831"/>
      <c r="I274" s="832"/>
      <c r="L274" s="816">
        <f t="shared" si="11"/>
        <v>0</v>
      </c>
      <c r="M274" s="833">
        <f t="shared" si="12"/>
        <v>0</v>
      </c>
      <c r="N274" s="834"/>
      <c r="O274" s="835">
        <f t="shared" si="13"/>
        <v>0</v>
      </c>
      <c r="P274" s="827">
        <f t="shared" si="14"/>
        <v>0</v>
      </c>
      <c r="AD274" s="810"/>
    </row>
    <row r="275" spans="3:30" ht="30" hidden="1" customHeight="1" outlineLevel="1">
      <c r="C275" s="828">
        <v>249</v>
      </c>
      <c r="D275" s="829"/>
      <c r="E275" s="830"/>
      <c r="F275" s="830"/>
      <c r="G275" s="1049"/>
      <c r="H275" s="831"/>
      <c r="I275" s="832"/>
      <c r="L275" s="816">
        <f t="shared" si="11"/>
        <v>0</v>
      </c>
      <c r="M275" s="833">
        <f t="shared" si="12"/>
        <v>0</v>
      </c>
      <c r="N275" s="834"/>
      <c r="O275" s="835">
        <f t="shared" si="13"/>
        <v>0</v>
      </c>
      <c r="P275" s="827">
        <f t="shared" si="14"/>
        <v>0</v>
      </c>
      <c r="AD275" s="810"/>
    </row>
    <row r="276" spans="3:30" ht="30" hidden="1" customHeight="1" outlineLevel="1">
      <c r="C276" s="828">
        <v>250</v>
      </c>
      <c r="D276" s="829"/>
      <c r="E276" s="830"/>
      <c r="F276" s="830"/>
      <c r="G276" s="1049"/>
      <c r="H276" s="831"/>
      <c r="I276" s="832"/>
      <c r="L276" s="816">
        <f t="shared" si="11"/>
        <v>0</v>
      </c>
      <c r="M276" s="833">
        <f t="shared" si="12"/>
        <v>0</v>
      </c>
      <c r="N276" s="834"/>
      <c r="O276" s="835">
        <f t="shared" si="13"/>
        <v>0</v>
      </c>
      <c r="P276" s="827">
        <f t="shared" si="14"/>
        <v>0</v>
      </c>
      <c r="AD276" s="810"/>
    </row>
    <row r="277" spans="3:30" ht="30" hidden="1" customHeight="1" outlineLevel="1">
      <c r="C277" s="828">
        <v>251</v>
      </c>
      <c r="D277" s="829"/>
      <c r="E277" s="830"/>
      <c r="F277" s="830"/>
      <c r="G277" s="1049"/>
      <c r="H277" s="831"/>
      <c r="I277" s="832"/>
      <c r="L277" s="816">
        <f t="shared" si="11"/>
        <v>0</v>
      </c>
      <c r="M277" s="833">
        <f t="shared" si="12"/>
        <v>0</v>
      </c>
      <c r="N277" s="834"/>
      <c r="O277" s="835">
        <f t="shared" si="13"/>
        <v>0</v>
      </c>
      <c r="P277" s="827">
        <f t="shared" si="14"/>
        <v>0</v>
      </c>
      <c r="AD277" s="810"/>
    </row>
    <row r="278" spans="3:30" ht="30" hidden="1" customHeight="1" outlineLevel="1">
      <c r="C278" s="828">
        <v>252</v>
      </c>
      <c r="D278" s="829"/>
      <c r="E278" s="830"/>
      <c r="F278" s="830"/>
      <c r="G278" s="1049"/>
      <c r="H278" s="831"/>
      <c r="I278" s="832"/>
      <c r="L278" s="816">
        <f t="shared" si="11"/>
        <v>0</v>
      </c>
      <c r="M278" s="833">
        <f t="shared" si="12"/>
        <v>0</v>
      </c>
      <c r="N278" s="834"/>
      <c r="O278" s="835">
        <f t="shared" si="13"/>
        <v>0</v>
      </c>
      <c r="P278" s="827">
        <f t="shared" si="14"/>
        <v>0</v>
      </c>
      <c r="AD278" s="810"/>
    </row>
    <row r="279" spans="3:30" ht="30" hidden="1" customHeight="1" outlineLevel="1">
      <c r="C279" s="828">
        <v>253</v>
      </c>
      <c r="D279" s="829"/>
      <c r="E279" s="830"/>
      <c r="F279" s="830"/>
      <c r="G279" s="1049"/>
      <c r="H279" s="831"/>
      <c r="I279" s="832"/>
      <c r="L279" s="816">
        <f t="shared" si="11"/>
        <v>0</v>
      </c>
      <c r="M279" s="833">
        <f t="shared" si="12"/>
        <v>0</v>
      </c>
      <c r="N279" s="834"/>
      <c r="O279" s="835">
        <f t="shared" si="13"/>
        <v>0</v>
      </c>
      <c r="P279" s="827">
        <f t="shared" si="14"/>
        <v>0</v>
      </c>
      <c r="AD279" s="810"/>
    </row>
    <row r="280" spans="3:30" ht="30" hidden="1" customHeight="1" outlineLevel="1">
      <c r="C280" s="828">
        <v>254</v>
      </c>
      <c r="D280" s="829"/>
      <c r="E280" s="830"/>
      <c r="F280" s="830"/>
      <c r="G280" s="1049"/>
      <c r="H280" s="831"/>
      <c r="I280" s="832"/>
      <c r="L280" s="816">
        <f t="shared" si="11"/>
        <v>0</v>
      </c>
      <c r="M280" s="833">
        <f t="shared" si="12"/>
        <v>0</v>
      </c>
      <c r="N280" s="834"/>
      <c r="O280" s="835">
        <f t="shared" si="13"/>
        <v>0</v>
      </c>
      <c r="P280" s="827">
        <f t="shared" si="14"/>
        <v>0</v>
      </c>
      <c r="AD280" s="810"/>
    </row>
    <row r="281" spans="3:30" ht="30" hidden="1" customHeight="1" outlineLevel="1">
      <c r="C281" s="828">
        <v>255</v>
      </c>
      <c r="D281" s="829"/>
      <c r="E281" s="830"/>
      <c r="F281" s="830"/>
      <c r="G281" s="1049"/>
      <c r="H281" s="831"/>
      <c r="I281" s="832"/>
      <c r="L281" s="816">
        <f t="shared" si="11"/>
        <v>0</v>
      </c>
      <c r="M281" s="833">
        <f t="shared" si="12"/>
        <v>0</v>
      </c>
      <c r="N281" s="834"/>
      <c r="O281" s="835">
        <f t="shared" si="13"/>
        <v>0</v>
      </c>
      <c r="P281" s="827">
        <f t="shared" si="14"/>
        <v>0</v>
      </c>
      <c r="AD281" s="810"/>
    </row>
    <row r="282" spans="3:30" ht="30" hidden="1" customHeight="1" outlineLevel="1">
      <c r="C282" s="828">
        <v>256</v>
      </c>
      <c r="D282" s="829"/>
      <c r="E282" s="830"/>
      <c r="F282" s="830"/>
      <c r="G282" s="1049"/>
      <c r="H282" s="831"/>
      <c r="I282" s="832"/>
      <c r="L282" s="816">
        <f t="shared" si="11"/>
        <v>0</v>
      </c>
      <c r="M282" s="833">
        <f t="shared" si="12"/>
        <v>0</v>
      </c>
      <c r="N282" s="834"/>
      <c r="O282" s="835">
        <f t="shared" si="13"/>
        <v>0</v>
      </c>
      <c r="P282" s="827">
        <f t="shared" si="14"/>
        <v>0</v>
      </c>
      <c r="AD282" s="810"/>
    </row>
    <row r="283" spans="3:30" ht="30" hidden="1" customHeight="1" outlineLevel="1">
      <c r="C283" s="828">
        <v>257</v>
      </c>
      <c r="D283" s="829"/>
      <c r="E283" s="830"/>
      <c r="F283" s="830"/>
      <c r="G283" s="1049"/>
      <c r="H283" s="831"/>
      <c r="I283" s="832"/>
      <c r="L283" s="816">
        <f t="shared" si="11"/>
        <v>0</v>
      </c>
      <c r="M283" s="833">
        <f t="shared" si="12"/>
        <v>0</v>
      </c>
      <c r="N283" s="834"/>
      <c r="O283" s="835">
        <f t="shared" si="13"/>
        <v>0</v>
      </c>
      <c r="P283" s="827">
        <f t="shared" si="14"/>
        <v>0</v>
      </c>
      <c r="AD283" s="810"/>
    </row>
    <row r="284" spans="3:30" ht="30" hidden="1" customHeight="1" outlineLevel="1">
      <c r="C284" s="828">
        <v>258</v>
      </c>
      <c r="D284" s="829"/>
      <c r="E284" s="830"/>
      <c r="F284" s="830"/>
      <c r="G284" s="1049"/>
      <c r="H284" s="831"/>
      <c r="I284" s="832"/>
      <c r="L284" s="816">
        <f t="shared" si="11"/>
        <v>0</v>
      </c>
      <c r="M284" s="833">
        <f t="shared" si="12"/>
        <v>0</v>
      </c>
      <c r="N284" s="834"/>
      <c r="O284" s="835">
        <f t="shared" si="13"/>
        <v>0</v>
      </c>
      <c r="P284" s="827">
        <f t="shared" si="14"/>
        <v>0</v>
      </c>
      <c r="AD284" s="810"/>
    </row>
    <row r="285" spans="3:30" ht="30" hidden="1" customHeight="1" outlineLevel="1">
      <c r="C285" s="828">
        <v>259</v>
      </c>
      <c r="D285" s="829"/>
      <c r="E285" s="830"/>
      <c r="F285" s="830"/>
      <c r="G285" s="1049"/>
      <c r="H285" s="831"/>
      <c r="I285" s="832"/>
      <c r="L285" s="816">
        <f t="shared" si="11"/>
        <v>0</v>
      </c>
      <c r="M285" s="833">
        <f t="shared" si="12"/>
        <v>0</v>
      </c>
      <c r="N285" s="834"/>
      <c r="O285" s="835">
        <f t="shared" si="13"/>
        <v>0</v>
      </c>
      <c r="P285" s="827">
        <f t="shared" si="14"/>
        <v>0</v>
      </c>
      <c r="AD285" s="810"/>
    </row>
    <row r="286" spans="3:30" ht="30" hidden="1" customHeight="1" outlineLevel="1">
      <c r="C286" s="828">
        <v>260</v>
      </c>
      <c r="D286" s="829"/>
      <c r="E286" s="830"/>
      <c r="F286" s="830"/>
      <c r="G286" s="1049"/>
      <c r="H286" s="831"/>
      <c r="I286" s="832"/>
      <c r="L286" s="816">
        <f t="shared" si="11"/>
        <v>0</v>
      </c>
      <c r="M286" s="833">
        <f t="shared" si="12"/>
        <v>0</v>
      </c>
      <c r="N286" s="834"/>
      <c r="O286" s="835">
        <f t="shared" si="13"/>
        <v>0</v>
      </c>
      <c r="P286" s="827">
        <f t="shared" si="14"/>
        <v>0</v>
      </c>
      <c r="AD286" s="810"/>
    </row>
    <row r="287" spans="3:30" ht="30" hidden="1" customHeight="1" outlineLevel="1">
      <c r="C287" s="828">
        <v>261</v>
      </c>
      <c r="D287" s="829"/>
      <c r="E287" s="830"/>
      <c r="F287" s="830"/>
      <c r="G287" s="1049"/>
      <c r="H287" s="831"/>
      <c r="I287" s="832"/>
      <c r="L287" s="816">
        <f t="shared" si="11"/>
        <v>0</v>
      </c>
      <c r="M287" s="833">
        <f t="shared" si="12"/>
        <v>0</v>
      </c>
      <c r="N287" s="834"/>
      <c r="O287" s="835">
        <f t="shared" si="13"/>
        <v>0</v>
      </c>
      <c r="P287" s="827">
        <f t="shared" si="14"/>
        <v>0</v>
      </c>
      <c r="AD287" s="810"/>
    </row>
    <row r="288" spans="3:30" ht="30" hidden="1" customHeight="1" outlineLevel="1">
      <c r="C288" s="828">
        <v>262</v>
      </c>
      <c r="D288" s="829"/>
      <c r="E288" s="830"/>
      <c r="F288" s="830"/>
      <c r="G288" s="1049"/>
      <c r="H288" s="831"/>
      <c r="I288" s="832"/>
      <c r="L288" s="816">
        <f t="shared" si="11"/>
        <v>0</v>
      </c>
      <c r="M288" s="833">
        <f t="shared" si="12"/>
        <v>0</v>
      </c>
      <c r="N288" s="834"/>
      <c r="O288" s="835">
        <f t="shared" si="13"/>
        <v>0</v>
      </c>
      <c r="P288" s="827">
        <f t="shared" si="14"/>
        <v>0</v>
      </c>
      <c r="AD288" s="810"/>
    </row>
    <row r="289" spans="3:30" ht="30" hidden="1" customHeight="1" outlineLevel="1">
      <c r="C289" s="828">
        <v>263</v>
      </c>
      <c r="D289" s="829"/>
      <c r="E289" s="830"/>
      <c r="F289" s="830"/>
      <c r="G289" s="1049"/>
      <c r="H289" s="831"/>
      <c r="I289" s="832"/>
      <c r="L289" s="816">
        <f t="shared" si="11"/>
        <v>0</v>
      </c>
      <c r="M289" s="833">
        <f t="shared" si="12"/>
        <v>0</v>
      </c>
      <c r="N289" s="834"/>
      <c r="O289" s="835">
        <f t="shared" si="13"/>
        <v>0</v>
      </c>
      <c r="P289" s="827">
        <f t="shared" si="14"/>
        <v>0</v>
      </c>
      <c r="AD289" s="810"/>
    </row>
    <row r="290" spans="3:30" ht="30" hidden="1" customHeight="1" outlineLevel="1">
      <c r="C290" s="828">
        <v>264</v>
      </c>
      <c r="D290" s="829"/>
      <c r="E290" s="830"/>
      <c r="F290" s="830"/>
      <c r="G290" s="1049"/>
      <c r="H290" s="831"/>
      <c r="I290" s="832"/>
      <c r="L290" s="816">
        <f t="shared" si="11"/>
        <v>0</v>
      </c>
      <c r="M290" s="833">
        <f t="shared" si="12"/>
        <v>0</v>
      </c>
      <c r="N290" s="834"/>
      <c r="O290" s="835">
        <f t="shared" si="13"/>
        <v>0</v>
      </c>
      <c r="P290" s="827">
        <f t="shared" si="14"/>
        <v>0</v>
      </c>
      <c r="AD290" s="810"/>
    </row>
    <row r="291" spans="3:30" ht="30" hidden="1" customHeight="1" outlineLevel="1">
      <c r="C291" s="828">
        <v>265</v>
      </c>
      <c r="D291" s="829"/>
      <c r="E291" s="830"/>
      <c r="F291" s="830"/>
      <c r="G291" s="1049"/>
      <c r="H291" s="831"/>
      <c r="I291" s="832"/>
      <c r="L291" s="816">
        <f t="shared" si="11"/>
        <v>0</v>
      </c>
      <c r="M291" s="833">
        <f t="shared" si="12"/>
        <v>0</v>
      </c>
      <c r="N291" s="834"/>
      <c r="O291" s="835">
        <f t="shared" si="13"/>
        <v>0</v>
      </c>
      <c r="P291" s="827">
        <f t="shared" si="14"/>
        <v>0</v>
      </c>
      <c r="AD291" s="810"/>
    </row>
    <row r="292" spans="3:30" ht="30" hidden="1" customHeight="1" outlineLevel="1">
      <c r="C292" s="828">
        <v>266</v>
      </c>
      <c r="D292" s="829"/>
      <c r="E292" s="830"/>
      <c r="F292" s="830"/>
      <c r="G292" s="1049"/>
      <c r="H292" s="831"/>
      <c r="I292" s="832"/>
      <c r="L292" s="816">
        <f t="shared" si="11"/>
        <v>0</v>
      </c>
      <c r="M292" s="833">
        <f t="shared" si="12"/>
        <v>0</v>
      </c>
      <c r="N292" s="834"/>
      <c r="O292" s="835">
        <f t="shared" si="13"/>
        <v>0</v>
      </c>
      <c r="P292" s="827">
        <f t="shared" si="14"/>
        <v>0</v>
      </c>
      <c r="AD292" s="810"/>
    </row>
    <row r="293" spans="3:30" ht="30" hidden="1" customHeight="1" outlineLevel="1">
      <c r="C293" s="828">
        <v>267</v>
      </c>
      <c r="D293" s="829"/>
      <c r="E293" s="830"/>
      <c r="F293" s="830"/>
      <c r="G293" s="1049"/>
      <c r="H293" s="831"/>
      <c r="I293" s="832"/>
      <c r="L293" s="816">
        <f t="shared" si="11"/>
        <v>0</v>
      </c>
      <c r="M293" s="833">
        <f t="shared" si="12"/>
        <v>0</v>
      </c>
      <c r="N293" s="834"/>
      <c r="O293" s="835">
        <f t="shared" si="13"/>
        <v>0</v>
      </c>
      <c r="P293" s="827">
        <f t="shared" si="14"/>
        <v>0</v>
      </c>
      <c r="AD293" s="810"/>
    </row>
    <row r="294" spans="3:30" ht="30" hidden="1" customHeight="1" outlineLevel="1">
      <c r="C294" s="828">
        <v>268</v>
      </c>
      <c r="D294" s="829"/>
      <c r="E294" s="830"/>
      <c r="F294" s="830"/>
      <c r="G294" s="1049"/>
      <c r="H294" s="831"/>
      <c r="I294" s="832"/>
      <c r="L294" s="816">
        <f t="shared" si="11"/>
        <v>0</v>
      </c>
      <c r="M294" s="833">
        <f t="shared" si="12"/>
        <v>0</v>
      </c>
      <c r="N294" s="834"/>
      <c r="O294" s="835">
        <f t="shared" si="13"/>
        <v>0</v>
      </c>
      <c r="P294" s="827">
        <f t="shared" si="14"/>
        <v>0</v>
      </c>
      <c r="AD294" s="810"/>
    </row>
    <row r="295" spans="3:30" ht="30" hidden="1" customHeight="1" outlineLevel="1">
      <c r="C295" s="828">
        <v>269</v>
      </c>
      <c r="D295" s="829"/>
      <c r="E295" s="830"/>
      <c r="F295" s="830"/>
      <c r="G295" s="1049"/>
      <c r="H295" s="831"/>
      <c r="I295" s="832"/>
      <c r="L295" s="816">
        <f t="shared" si="11"/>
        <v>0</v>
      </c>
      <c r="M295" s="833">
        <f t="shared" si="12"/>
        <v>0</v>
      </c>
      <c r="N295" s="834"/>
      <c r="O295" s="835">
        <f t="shared" si="13"/>
        <v>0</v>
      </c>
      <c r="P295" s="827">
        <f t="shared" si="14"/>
        <v>0</v>
      </c>
      <c r="AD295" s="810"/>
    </row>
    <row r="296" spans="3:30" ht="30" hidden="1" customHeight="1" outlineLevel="1">
      <c r="C296" s="828">
        <v>270</v>
      </c>
      <c r="D296" s="829"/>
      <c r="E296" s="830"/>
      <c r="F296" s="830"/>
      <c r="G296" s="1049"/>
      <c r="H296" s="831"/>
      <c r="I296" s="832"/>
      <c r="L296" s="816">
        <f t="shared" si="11"/>
        <v>0</v>
      </c>
      <c r="M296" s="833">
        <f t="shared" si="12"/>
        <v>0</v>
      </c>
      <c r="N296" s="834"/>
      <c r="O296" s="835">
        <f t="shared" si="13"/>
        <v>0</v>
      </c>
      <c r="P296" s="827">
        <f t="shared" si="14"/>
        <v>0</v>
      </c>
      <c r="AD296" s="810"/>
    </row>
    <row r="297" spans="3:30" ht="30" hidden="1" customHeight="1" outlineLevel="1">
      <c r="C297" s="828">
        <v>271</v>
      </c>
      <c r="D297" s="829"/>
      <c r="E297" s="830"/>
      <c r="F297" s="830"/>
      <c r="G297" s="1049"/>
      <c r="H297" s="831"/>
      <c r="I297" s="832"/>
      <c r="L297" s="816">
        <f t="shared" si="11"/>
        <v>0</v>
      </c>
      <c r="M297" s="833">
        <f t="shared" si="12"/>
        <v>0</v>
      </c>
      <c r="N297" s="834"/>
      <c r="O297" s="835">
        <f t="shared" si="13"/>
        <v>0</v>
      </c>
      <c r="P297" s="827">
        <f t="shared" si="14"/>
        <v>0</v>
      </c>
      <c r="AD297" s="810"/>
    </row>
    <row r="298" spans="3:30" ht="30" hidden="1" customHeight="1" outlineLevel="1">
      <c r="C298" s="828">
        <v>272</v>
      </c>
      <c r="D298" s="829"/>
      <c r="E298" s="830"/>
      <c r="F298" s="830"/>
      <c r="G298" s="1049"/>
      <c r="H298" s="831"/>
      <c r="I298" s="832"/>
      <c r="L298" s="816">
        <f t="shared" si="11"/>
        <v>0</v>
      </c>
      <c r="M298" s="833">
        <f t="shared" si="12"/>
        <v>0</v>
      </c>
      <c r="N298" s="834"/>
      <c r="O298" s="835">
        <f t="shared" si="13"/>
        <v>0</v>
      </c>
      <c r="P298" s="827">
        <f t="shared" si="14"/>
        <v>0</v>
      </c>
      <c r="AD298" s="810"/>
    </row>
    <row r="299" spans="3:30" ht="30" hidden="1" customHeight="1" outlineLevel="1">
      <c r="C299" s="828">
        <v>273</v>
      </c>
      <c r="D299" s="829"/>
      <c r="E299" s="830"/>
      <c r="F299" s="830"/>
      <c r="G299" s="1049"/>
      <c r="H299" s="831"/>
      <c r="I299" s="832"/>
      <c r="L299" s="816">
        <f t="shared" si="11"/>
        <v>0</v>
      </c>
      <c r="M299" s="833">
        <f t="shared" si="12"/>
        <v>0</v>
      </c>
      <c r="N299" s="834"/>
      <c r="O299" s="835">
        <f t="shared" si="13"/>
        <v>0</v>
      </c>
      <c r="P299" s="827">
        <f t="shared" si="14"/>
        <v>0</v>
      </c>
      <c r="AD299" s="810"/>
    </row>
    <row r="300" spans="3:30" ht="30" hidden="1" customHeight="1" outlineLevel="1">
      <c r="C300" s="828">
        <v>274</v>
      </c>
      <c r="D300" s="829"/>
      <c r="E300" s="830"/>
      <c r="F300" s="830"/>
      <c r="G300" s="1049"/>
      <c r="H300" s="831"/>
      <c r="I300" s="832"/>
      <c r="L300" s="816">
        <f t="shared" si="11"/>
        <v>0</v>
      </c>
      <c r="M300" s="833">
        <f t="shared" si="12"/>
        <v>0</v>
      </c>
      <c r="N300" s="834"/>
      <c r="O300" s="835">
        <f t="shared" si="13"/>
        <v>0</v>
      </c>
      <c r="P300" s="827">
        <f t="shared" si="14"/>
        <v>0</v>
      </c>
      <c r="AD300" s="810"/>
    </row>
    <row r="301" spans="3:30" ht="30" hidden="1" customHeight="1" outlineLevel="1">
      <c r="C301" s="828">
        <v>275</v>
      </c>
      <c r="D301" s="829"/>
      <c r="E301" s="830"/>
      <c r="F301" s="830"/>
      <c r="G301" s="1049"/>
      <c r="H301" s="831"/>
      <c r="I301" s="832"/>
      <c r="L301" s="816">
        <f t="shared" si="11"/>
        <v>0</v>
      </c>
      <c r="M301" s="833">
        <f t="shared" si="12"/>
        <v>0</v>
      </c>
      <c r="N301" s="834"/>
      <c r="O301" s="835">
        <f t="shared" si="13"/>
        <v>0</v>
      </c>
      <c r="P301" s="827">
        <f t="shared" si="14"/>
        <v>0</v>
      </c>
      <c r="AD301" s="810"/>
    </row>
    <row r="302" spans="3:30" ht="30" hidden="1" customHeight="1" outlineLevel="1">
      <c r="C302" s="828">
        <v>276</v>
      </c>
      <c r="D302" s="829"/>
      <c r="E302" s="830"/>
      <c r="F302" s="830"/>
      <c r="G302" s="1049"/>
      <c r="H302" s="831"/>
      <c r="I302" s="832"/>
      <c r="L302" s="816">
        <f t="shared" si="11"/>
        <v>0</v>
      </c>
      <c r="M302" s="833">
        <f t="shared" si="12"/>
        <v>0</v>
      </c>
      <c r="N302" s="834"/>
      <c r="O302" s="835">
        <f t="shared" si="13"/>
        <v>0</v>
      </c>
      <c r="P302" s="827">
        <f t="shared" si="14"/>
        <v>0</v>
      </c>
      <c r="AD302" s="810"/>
    </row>
    <row r="303" spans="3:30" ht="30" hidden="1" customHeight="1" outlineLevel="1">
      <c r="C303" s="828">
        <v>277</v>
      </c>
      <c r="D303" s="829"/>
      <c r="E303" s="830"/>
      <c r="F303" s="830"/>
      <c r="G303" s="1049"/>
      <c r="H303" s="831"/>
      <c r="I303" s="832"/>
      <c r="L303" s="816">
        <f t="shared" si="11"/>
        <v>0</v>
      </c>
      <c r="M303" s="833">
        <f t="shared" si="12"/>
        <v>0</v>
      </c>
      <c r="N303" s="834"/>
      <c r="O303" s="835">
        <f t="shared" si="13"/>
        <v>0</v>
      </c>
      <c r="P303" s="827">
        <f t="shared" si="14"/>
        <v>0</v>
      </c>
      <c r="AD303" s="810"/>
    </row>
    <row r="304" spans="3:30" ht="30" hidden="1" customHeight="1" outlineLevel="1">
      <c r="C304" s="828">
        <v>278</v>
      </c>
      <c r="D304" s="829"/>
      <c r="E304" s="830"/>
      <c r="F304" s="830"/>
      <c r="G304" s="1049"/>
      <c r="H304" s="831"/>
      <c r="I304" s="832"/>
      <c r="L304" s="816">
        <f t="shared" ref="L304:L367" si="15">IF($G304&gt;0,E304,)</f>
        <v>0</v>
      </c>
      <c r="M304" s="833">
        <f t="shared" ref="M304:M367" si="16">IF($G304&gt;0,F304,)</f>
        <v>0</v>
      </c>
      <c r="N304" s="834"/>
      <c r="O304" s="835">
        <f t="shared" ref="O304:O367" si="17">ROUND(L304*N304/10,)</f>
        <v>0</v>
      </c>
      <c r="P304" s="827">
        <f t="shared" ref="P304:P367" si="18">ROUND(O304*G304%,)</f>
        <v>0</v>
      </c>
      <c r="AD304" s="810"/>
    </row>
    <row r="305" spans="3:30" ht="30" hidden="1" customHeight="1" outlineLevel="1">
      <c r="C305" s="828">
        <v>279</v>
      </c>
      <c r="D305" s="829"/>
      <c r="E305" s="830"/>
      <c r="F305" s="830"/>
      <c r="G305" s="1049"/>
      <c r="H305" s="831"/>
      <c r="I305" s="832"/>
      <c r="L305" s="816">
        <f t="shared" si="15"/>
        <v>0</v>
      </c>
      <c r="M305" s="833">
        <f t="shared" si="16"/>
        <v>0</v>
      </c>
      <c r="N305" s="834"/>
      <c r="O305" s="835">
        <f t="shared" si="17"/>
        <v>0</v>
      </c>
      <c r="P305" s="827">
        <f t="shared" si="18"/>
        <v>0</v>
      </c>
      <c r="AD305" s="810"/>
    </row>
    <row r="306" spans="3:30" ht="30" hidden="1" customHeight="1" outlineLevel="1">
      <c r="C306" s="828">
        <v>280</v>
      </c>
      <c r="D306" s="829"/>
      <c r="E306" s="830"/>
      <c r="F306" s="830"/>
      <c r="G306" s="1049"/>
      <c r="H306" s="831"/>
      <c r="I306" s="832"/>
      <c r="L306" s="816">
        <f t="shared" si="15"/>
        <v>0</v>
      </c>
      <c r="M306" s="833">
        <f t="shared" si="16"/>
        <v>0</v>
      </c>
      <c r="N306" s="834"/>
      <c r="O306" s="835">
        <f t="shared" si="17"/>
        <v>0</v>
      </c>
      <c r="P306" s="827">
        <f t="shared" si="18"/>
        <v>0</v>
      </c>
      <c r="AD306" s="810"/>
    </row>
    <row r="307" spans="3:30" ht="30" hidden="1" customHeight="1" outlineLevel="1">
      <c r="C307" s="828">
        <v>281</v>
      </c>
      <c r="D307" s="829"/>
      <c r="E307" s="830"/>
      <c r="F307" s="830"/>
      <c r="G307" s="1049"/>
      <c r="H307" s="831"/>
      <c r="I307" s="832"/>
      <c r="L307" s="816">
        <f t="shared" si="15"/>
        <v>0</v>
      </c>
      <c r="M307" s="833">
        <f t="shared" si="16"/>
        <v>0</v>
      </c>
      <c r="N307" s="834"/>
      <c r="O307" s="835">
        <f t="shared" si="17"/>
        <v>0</v>
      </c>
      <c r="P307" s="827">
        <f t="shared" si="18"/>
        <v>0</v>
      </c>
      <c r="AD307" s="810"/>
    </row>
    <row r="308" spans="3:30" ht="30" hidden="1" customHeight="1" outlineLevel="1">
      <c r="C308" s="828">
        <v>282</v>
      </c>
      <c r="D308" s="829"/>
      <c r="E308" s="830"/>
      <c r="F308" s="830"/>
      <c r="G308" s="1049"/>
      <c r="H308" s="831"/>
      <c r="I308" s="832"/>
      <c r="L308" s="816">
        <f t="shared" si="15"/>
        <v>0</v>
      </c>
      <c r="M308" s="833">
        <f t="shared" si="16"/>
        <v>0</v>
      </c>
      <c r="N308" s="834"/>
      <c r="O308" s="835">
        <f t="shared" si="17"/>
        <v>0</v>
      </c>
      <c r="P308" s="827">
        <f t="shared" si="18"/>
        <v>0</v>
      </c>
      <c r="AD308" s="810"/>
    </row>
    <row r="309" spans="3:30" ht="30" hidden="1" customHeight="1" outlineLevel="1">
      <c r="C309" s="828">
        <v>283</v>
      </c>
      <c r="D309" s="829"/>
      <c r="E309" s="830"/>
      <c r="F309" s="830"/>
      <c r="G309" s="1049"/>
      <c r="H309" s="831"/>
      <c r="I309" s="832"/>
      <c r="L309" s="816">
        <f t="shared" si="15"/>
        <v>0</v>
      </c>
      <c r="M309" s="833">
        <f t="shared" si="16"/>
        <v>0</v>
      </c>
      <c r="N309" s="834"/>
      <c r="O309" s="835">
        <f t="shared" si="17"/>
        <v>0</v>
      </c>
      <c r="P309" s="827">
        <f t="shared" si="18"/>
        <v>0</v>
      </c>
      <c r="AD309" s="810"/>
    </row>
    <row r="310" spans="3:30" ht="30" hidden="1" customHeight="1" outlineLevel="1">
      <c r="C310" s="828">
        <v>284</v>
      </c>
      <c r="D310" s="829"/>
      <c r="E310" s="830"/>
      <c r="F310" s="830"/>
      <c r="G310" s="1049"/>
      <c r="H310" s="831"/>
      <c r="I310" s="832"/>
      <c r="L310" s="816">
        <f t="shared" si="15"/>
        <v>0</v>
      </c>
      <c r="M310" s="833">
        <f t="shared" si="16"/>
        <v>0</v>
      </c>
      <c r="N310" s="834"/>
      <c r="O310" s="835">
        <f t="shared" si="17"/>
        <v>0</v>
      </c>
      <c r="P310" s="827">
        <f t="shared" si="18"/>
        <v>0</v>
      </c>
      <c r="AD310" s="810"/>
    </row>
    <row r="311" spans="3:30" ht="30" hidden="1" customHeight="1" outlineLevel="1">
      <c r="C311" s="828">
        <v>285</v>
      </c>
      <c r="D311" s="829"/>
      <c r="E311" s="830"/>
      <c r="F311" s="830"/>
      <c r="G311" s="1049"/>
      <c r="H311" s="831"/>
      <c r="I311" s="832"/>
      <c r="L311" s="816">
        <f t="shared" si="15"/>
        <v>0</v>
      </c>
      <c r="M311" s="833">
        <f t="shared" si="16"/>
        <v>0</v>
      </c>
      <c r="N311" s="834"/>
      <c r="O311" s="835">
        <f t="shared" si="17"/>
        <v>0</v>
      </c>
      <c r="P311" s="827">
        <f t="shared" si="18"/>
        <v>0</v>
      </c>
      <c r="AD311" s="810"/>
    </row>
    <row r="312" spans="3:30" ht="30" hidden="1" customHeight="1" outlineLevel="1">
      <c r="C312" s="828">
        <v>286</v>
      </c>
      <c r="D312" s="829"/>
      <c r="E312" s="830"/>
      <c r="F312" s="830"/>
      <c r="G312" s="1049"/>
      <c r="H312" s="831"/>
      <c r="I312" s="832"/>
      <c r="L312" s="816">
        <f t="shared" si="15"/>
        <v>0</v>
      </c>
      <c r="M312" s="833">
        <f t="shared" si="16"/>
        <v>0</v>
      </c>
      <c r="N312" s="834"/>
      <c r="O312" s="835">
        <f t="shared" si="17"/>
        <v>0</v>
      </c>
      <c r="P312" s="827">
        <f t="shared" si="18"/>
        <v>0</v>
      </c>
      <c r="AD312" s="810"/>
    </row>
    <row r="313" spans="3:30" ht="30" hidden="1" customHeight="1" outlineLevel="1">
      <c r="C313" s="828">
        <v>287</v>
      </c>
      <c r="D313" s="829"/>
      <c r="E313" s="830"/>
      <c r="F313" s="830"/>
      <c r="G313" s="1049"/>
      <c r="H313" s="831"/>
      <c r="I313" s="832"/>
      <c r="L313" s="816">
        <f t="shared" si="15"/>
        <v>0</v>
      </c>
      <c r="M313" s="833">
        <f t="shared" si="16"/>
        <v>0</v>
      </c>
      <c r="N313" s="834"/>
      <c r="O313" s="835">
        <f t="shared" si="17"/>
        <v>0</v>
      </c>
      <c r="P313" s="827">
        <f t="shared" si="18"/>
        <v>0</v>
      </c>
      <c r="AD313" s="810"/>
    </row>
    <row r="314" spans="3:30" ht="30" hidden="1" customHeight="1" outlineLevel="1">
      <c r="C314" s="828">
        <v>288</v>
      </c>
      <c r="D314" s="829"/>
      <c r="E314" s="830"/>
      <c r="F314" s="830"/>
      <c r="G314" s="1049"/>
      <c r="H314" s="831"/>
      <c r="I314" s="832"/>
      <c r="L314" s="816">
        <f t="shared" si="15"/>
        <v>0</v>
      </c>
      <c r="M314" s="833">
        <f t="shared" si="16"/>
        <v>0</v>
      </c>
      <c r="N314" s="834"/>
      <c r="O314" s="835">
        <f t="shared" si="17"/>
        <v>0</v>
      </c>
      <c r="P314" s="827">
        <f t="shared" si="18"/>
        <v>0</v>
      </c>
      <c r="AD314" s="810"/>
    </row>
    <row r="315" spans="3:30" ht="30" hidden="1" customHeight="1" outlineLevel="1">
      <c r="C315" s="828">
        <v>289</v>
      </c>
      <c r="D315" s="829"/>
      <c r="E315" s="830"/>
      <c r="F315" s="830"/>
      <c r="G315" s="1049"/>
      <c r="H315" s="831"/>
      <c r="I315" s="832"/>
      <c r="L315" s="816">
        <f t="shared" si="15"/>
        <v>0</v>
      </c>
      <c r="M315" s="833">
        <f t="shared" si="16"/>
        <v>0</v>
      </c>
      <c r="N315" s="834"/>
      <c r="O315" s="835">
        <f t="shared" si="17"/>
        <v>0</v>
      </c>
      <c r="P315" s="827">
        <f t="shared" si="18"/>
        <v>0</v>
      </c>
      <c r="AD315" s="810"/>
    </row>
    <row r="316" spans="3:30" ht="30" hidden="1" customHeight="1" outlineLevel="1">
      <c r="C316" s="828">
        <v>290</v>
      </c>
      <c r="D316" s="829"/>
      <c r="E316" s="830"/>
      <c r="F316" s="830"/>
      <c r="G316" s="1049"/>
      <c r="H316" s="831"/>
      <c r="I316" s="832"/>
      <c r="L316" s="816">
        <f t="shared" si="15"/>
        <v>0</v>
      </c>
      <c r="M316" s="833">
        <f t="shared" si="16"/>
        <v>0</v>
      </c>
      <c r="N316" s="834"/>
      <c r="O316" s="835">
        <f t="shared" si="17"/>
        <v>0</v>
      </c>
      <c r="P316" s="827">
        <f t="shared" si="18"/>
        <v>0</v>
      </c>
      <c r="AD316" s="810"/>
    </row>
    <row r="317" spans="3:30" ht="30" hidden="1" customHeight="1" outlineLevel="1">
      <c r="C317" s="828">
        <v>291</v>
      </c>
      <c r="D317" s="829"/>
      <c r="E317" s="830"/>
      <c r="F317" s="830"/>
      <c r="G317" s="1049"/>
      <c r="H317" s="831"/>
      <c r="I317" s="832"/>
      <c r="L317" s="816">
        <f t="shared" si="15"/>
        <v>0</v>
      </c>
      <c r="M317" s="833">
        <f t="shared" si="16"/>
        <v>0</v>
      </c>
      <c r="N317" s="834"/>
      <c r="O317" s="835">
        <f t="shared" si="17"/>
        <v>0</v>
      </c>
      <c r="P317" s="827">
        <f t="shared" si="18"/>
        <v>0</v>
      </c>
      <c r="AD317" s="810"/>
    </row>
    <row r="318" spans="3:30" ht="30" hidden="1" customHeight="1" outlineLevel="1">
      <c r="C318" s="828">
        <v>292</v>
      </c>
      <c r="D318" s="829"/>
      <c r="E318" s="830"/>
      <c r="F318" s="830"/>
      <c r="G318" s="1049"/>
      <c r="H318" s="831"/>
      <c r="I318" s="832"/>
      <c r="L318" s="816">
        <f t="shared" si="15"/>
        <v>0</v>
      </c>
      <c r="M318" s="833">
        <f t="shared" si="16"/>
        <v>0</v>
      </c>
      <c r="N318" s="834"/>
      <c r="O318" s="835">
        <f t="shared" si="17"/>
        <v>0</v>
      </c>
      <c r="P318" s="827">
        <f t="shared" si="18"/>
        <v>0</v>
      </c>
      <c r="AD318" s="810"/>
    </row>
    <row r="319" spans="3:30" ht="30" hidden="1" customHeight="1" outlineLevel="1">
      <c r="C319" s="828">
        <v>293</v>
      </c>
      <c r="D319" s="829"/>
      <c r="E319" s="830"/>
      <c r="F319" s="830"/>
      <c r="G319" s="1049"/>
      <c r="H319" s="831"/>
      <c r="I319" s="832"/>
      <c r="L319" s="816">
        <f t="shared" si="15"/>
        <v>0</v>
      </c>
      <c r="M319" s="833">
        <f t="shared" si="16"/>
        <v>0</v>
      </c>
      <c r="N319" s="834"/>
      <c r="O319" s="835">
        <f t="shared" si="17"/>
        <v>0</v>
      </c>
      <c r="P319" s="827">
        <f t="shared" si="18"/>
        <v>0</v>
      </c>
      <c r="AD319" s="810"/>
    </row>
    <row r="320" spans="3:30" ht="30" hidden="1" customHeight="1" outlineLevel="1">
      <c r="C320" s="828">
        <v>294</v>
      </c>
      <c r="D320" s="829"/>
      <c r="E320" s="830"/>
      <c r="F320" s="830"/>
      <c r="G320" s="1049"/>
      <c r="H320" s="831"/>
      <c r="I320" s="832"/>
      <c r="L320" s="816">
        <f t="shared" si="15"/>
        <v>0</v>
      </c>
      <c r="M320" s="833">
        <f t="shared" si="16"/>
        <v>0</v>
      </c>
      <c r="N320" s="834"/>
      <c r="O320" s="835">
        <f t="shared" si="17"/>
        <v>0</v>
      </c>
      <c r="P320" s="827">
        <f t="shared" si="18"/>
        <v>0</v>
      </c>
      <c r="AD320" s="810"/>
    </row>
    <row r="321" spans="3:30" ht="30" hidden="1" customHeight="1" outlineLevel="1">
      <c r="C321" s="828">
        <v>295</v>
      </c>
      <c r="D321" s="829"/>
      <c r="E321" s="830"/>
      <c r="F321" s="830"/>
      <c r="G321" s="1049"/>
      <c r="H321" s="831"/>
      <c r="I321" s="832"/>
      <c r="L321" s="816">
        <f t="shared" si="15"/>
        <v>0</v>
      </c>
      <c r="M321" s="833">
        <f t="shared" si="16"/>
        <v>0</v>
      </c>
      <c r="N321" s="834"/>
      <c r="O321" s="835">
        <f t="shared" si="17"/>
        <v>0</v>
      </c>
      <c r="P321" s="827">
        <f t="shared" si="18"/>
        <v>0</v>
      </c>
      <c r="AD321" s="810"/>
    </row>
    <row r="322" spans="3:30" ht="30" hidden="1" customHeight="1" outlineLevel="1">
      <c r="C322" s="828">
        <v>296</v>
      </c>
      <c r="D322" s="829"/>
      <c r="E322" s="830"/>
      <c r="F322" s="830"/>
      <c r="G322" s="1049"/>
      <c r="H322" s="831"/>
      <c r="I322" s="832"/>
      <c r="L322" s="816">
        <f t="shared" si="15"/>
        <v>0</v>
      </c>
      <c r="M322" s="833">
        <f t="shared" si="16"/>
        <v>0</v>
      </c>
      <c r="N322" s="834"/>
      <c r="O322" s="835">
        <f t="shared" si="17"/>
        <v>0</v>
      </c>
      <c r="P322" s="827">
        <f t="shared" si="18"/>
        <v>0</v>
      </c>
      <c r="AD322" s="810"/>
    </row>
    <row r="323" spans="3:30" ht="30" hidden="1" customHeight="1" outlineLevel="1">
      <c r="C323" s="828">
        <v>297</v>
      </c>
      <c r="D323" s="829"/>
      <c r="E323" s="830"/>
      <c r="F323" s="830"/>
      <c r="G323" s="1049"/>
      <c r="H323" s="831"/>
      <c r="I323" s="832"/>
      <c r="L323" s="816">
        <f t="shared" si="15"/>
        <v>0</v>
      </c>
      <c r="M323" s="833">
        <f t="shared" si="16"/>
        <v>0</v>
      </c>
      <c r="N323" s="834"/>
      <c r="O323" s="835">
        <f t="shared" si="17"/>
        <v>0</v>
      </c>
      <c r="P323" s="827">
        <f t="shared" si="18"/>
        <v>0</v>
      </c>
      <c r="AD323" s="810"/>
    </row>
    <row r="324" spans="3:30" ht="30" hidden="1" customHeight="1" outlineLevel="1">
      <c r="C324" s="828">
        <v>298</v>
      </c>
      <c r="D324" s="829"/>
      <c r="E324" s="830"/>
      <c r="F324" s="830"/>
      <c r="G324" s="1049"/>
      <c r="H324" s="831"/>
      <c r="I324" s="832"/>
      <c r="L324" s="816">
        <f t="shared" si="15"/>
        <v>0</v>
      </c>
      <c r="M324" s="833">
        <f t="shared" si="16"/>
        <v>0</v>
      </c>
      <c r="N324" s="834"/>
      <c r="O324" s="835">
        <f t="shared" si="17"/>
        <v>0</v>
      </c>
      <c r="P324" s="827">
        <f t="shared" si="18"/>
        <v>0</v>
      </c>
      <c r="AD324" s="810"/>
    </row>
    <row r="325" spans="3:30" ht="30" hidden="1" customHeight="1" outlineLevel="1">
      <c r="C325" s="828">
        <v>299</v>
      </c>
      <c r="D325" s="829"/>
      <c r="E325" s="830"/>
      <c r="F325" s="830"/>
      <c r="G325" s="1049"/>
      <c r="H325" s="831"/>
      <c r="I325" s="832"/>
      <c r="L325" s="816">
        <f t="shared" si="15"/>
        <v>0</v>
      </c>
      <c r="M325" s="833">
        <f t="shared" si="16"/>
        <v>0</v>
      </c>
      <c r="N325" s="834"/>
      <c r="O325" s="835">
        <f t="shared" si="17"/>
        <v>0</v>
      </c>
      <c r="P325" s="827">
        <f t="shared" si="18"/>
        <v>0</v>
      </c>
      <c r="AD325" s="810"/>
    </row>
    <row r="326" spans="3:30" ht="30" hidden="1" customHeight="1" outlineLevel="1">
      <c r="C326" s="828">
        <v>300</v>
      </c>
      <c r="D326" s="829"/>
      <c r="E326" s="830"/>
      <c r="F326" s="830"/>
      <c r="G326" s="1049"/>
      <c r="H326" s="831"/>
      <c r="I326" s="832"/>
      <c r="L326" s="816">
        <f t="shared" si="15"/>
        <v>0</v>
      </c>
      <c r="M326" s="833">
        <f t="shared" si="16"/>
        <v>0</v>
      </c>
      <c r="N326" s="834"/>
      <c r="O326" s="835">
        <f t="shared" si="17"/>
        <v>0</v>
      </c>
      <c r="P326" s="827">
        <f t="shared" si="18"/>
        <v>0</v>
      </c>
      <c r="AD326" s="810"/>
    </row>
    <row r="327" spans="3:30" ht="30" hidden="1" customHeight="1" outlineLevel="1">
      <c r="C327" s="828">
        <v>301</v>
      </c>
      <c r="D327" s="829"/>
      <c r="E327" s="830"/>
      <c r="F327" s="830"/>
      <c r="G327" s="1049"/>
      <c r="H327" s="831"/>
      <c r="I327" s="832"/>
      <c r="L327" s="816">
        <f t="shared" si="15"/>
        <v>0</v>
      </c>
      <c r="M327" s="833">
        <f t="shared" si="16"/>
        <v>0</v>
      </c>
      <c r="N327" s="834"/>
      <c r="O327" s="835">
        <f t="shared" si="17"/>
        <v>0</v>
      </c>
      <c r="P327" s="827">
        <f t="shared" si="18"/>
        <v>0</v>
      </c>
      <c r="AD327" s="810"/>
    </row>
    <row r="328" spans="3:30" ht="30" hidden="1" customHeight="1" outlineLevel="1">
      <c r="C328" s="828">
        <v>302</v>
      </c>
      <c r="D328" s="829"/>
      <c r="E328" s="830"/>
      <c r="F328" s="830"/>
      <c r="G328" s="1049"/>
      <c r="H328" s="831"/>
      <c r="I328" s="832"/>
      <c r="L328" s="816">
        <f t="shared" si="15"/>
        <v>0</v>
      </c>
      <c r="M328" s="833">
        <f t="shared" si="16"/>
        <v>0</v>
      </c>
      <c r="N328" s="834"/>
      <c r="O328" s="835">
        <f t="shared" si="17"/>
        <v>0</v>
      </c>
      <c r="P328" s="827">
        <f t="shared" si="18"/>
        <v>0</v>
      </c>
      <c r="AD328" s="810"/>
    </row>
    <row r="329" spans="3:30" ht="30" hidden="1" customHeight="1" outlineLevel="1">
      <c r="C329" s="828">
        <v>303</v>
      </c>
      <c r="D329" s="829"/>
      <c r="E329" s="830"/>
      <c r="F329" s="830"/>
      <c r="G329" s="1049"/>
      <c r="H329" s="831"/>
      <c r="I329" s="832"/>
      <c r="L329" s="816">
        <f t="shared" si="15"/>
        <v>0</v>
      </c>
      <c r="M329" s="833">
        <f t="shared" si="16"/>
        <v>0</v>
      </c>
      <c r="N329" s="834"/>
      <c r="O329" s="835">
        <f t="shared" si="17"/>
        <v>0</v>
      </c>
      <c r="P329" s="827">
        <f t="shared" si="18"/>
        <v>0</v>
      </c>
      <c r="AD329" s="810"/>
    </row>
    <row r="330" spans="3:30" ht="30" hidden="1" customHeight="1" outlineLevel="1">
      <c r="C330" s="828">
        <v>304</v>
      </c>
      <c r="D330" s="829"/>
      <c r="E330" s="830"/>
      <c r="F330" s="830"/>
      <c r="G330" s="1049"/>
      <c r="H330" s="831"/>
      <c r="I330" s="832"/>
      <c r="L330" s="816">
        <f t="shared" si="15"/>
        <v>0</v>
      </c>
      <c r="M330" s="833">
        <f t="shared" si="16"/>
        <v>0</v>
      </c>
      <c r="N330" s="834"/>
      <c r="O330" s="835">
        <f t="shared" si="17"/>
        <v>0</v>
      </c>
      <c r="P330" s="827">
        <f t="shared" si="18"/>
        <v>0</v>
      </c>
      <c r="AD330" s="810"/>
    </row>
    <row r="331" spans="3:30" ht="30" hidden="1" customHeight="1" outlineLevel="1">
      <c r="C331" s="828">
        <v>305</v>
      </c>
      <c r="D331" s="829"/>
      <c r="E331" s="830"/>
      <c r="F331" s="830"/>
      <c r="G331" s="1049"/>
      <c r="H331" s="831"/>
      <c r="I331" s="832"/>
      <c r="L331" s="816">
        <f t="shared" si="15"/>
        <v>0</v>
      </c>
      <c r="M331" s="833">
        <f t="shared" si="16"/>
        <v>0</v>
      </c>
      <c r="N331" s="834"/>
      <c r="O331" s="835">
        <f t="shared" si="17"/>
        <v>0</v>
      </c>
      <c r="P331" s="827">
        <f t="shared" si="18"/>
        <v>0</v>
      </c>
      <c r="AD331" s="810"/>
    </row>
    <row r="332" spans="3:30" ht="30" hidden="1" customHeight="1" outlineLevel="1">
      <c r="C332" s="828">
        <v>306</v>
      </c>
      <c r="D332" s="829"/>
      <c r="E332" s="830"/>
      <c r="F332" s="830"/>
      <c r="G332" s="1049"/>
      <c r="H332" s="831"/>
      <c r="I332" s="832"/>
      <c r="L332" s="816">
        <f t="shared" si="15"/>
        <v>0</v>
      </c>
      <c r="M332" s="833">
        <f t="shared" si="16"/>
        <v>0</v>
      </c>
      <c r="N332" s="834"/>
      <c r="O332" s="835">
        <f t="shared" si="17"/>
        <v>0</v>
      </c>
      <c r="P332" s="827">
        <f t="shared" si="18"/>
        <v>0</v>
      </c>
      <c r="AD332" s="810"/>
    </row>
    <row r="333" spans="3:30" ht="30" hidden="1" customHeight="1" outlineLevel="1">
      <c r="C333" s="828">
        <v>307</v>
      </c>
      <c r="D333" s="829"/>
      <c r="E333" s="830"/>
      <c r="F333" s="830"/>
      <c r="G333" s="1049"/>
      <c r="H333" s="831"/>
      <c r="I333" s="832"/>
      <c r="L333" s="816">
        <f t="shared" si="15"/>
        <v>0</v>
      </c>
      <c r="M333" s="833">
        <f t="shared" si="16"/>
        <v>0</v>
      </c>
      <c r="N333" s="834"/>
      <c r="O333" s="835">
        <f t="shared" si="17"/>
        <v>0</v>
      </c>
      <c r="P333" s="827">
        <f t="shared" si="18"/>
        <v>0</v>
      </c>
      <c r="AD333" s="810"/>
    </row>
    <row r="334" spans="3:30" ht="30" hidden="1" customHeight="1" outlineLevel="1">
      <c r="C334" s="828">
        <v>308</v>
      </c>
      <c r="D334" s="829"/>
      <c r="E334" s="830"/>
      <c r="F334" s="830"/>
      <c r="G334" s="1049"/>
      <c r="H334" s="831"/>
      <c r="I334" s="832"/>
      <c r="L334" s="816">
        <f t="shared" si="15"/>
        <v>0</v>
      </c>
      <c r="M334" s="833">
        <f t="shared" si="16"/>
        <v>0</v>
      </c>
      <c r="N334" s="834"/>
      <c r="O334" s="835">
        <f t="shared" si="17"/>
        <v>0</v>
      </c>
      <c r="P334" s="827">
        <f t="shared" si="18"/>
        <v>0</v>
      </c>
      <c r="AD334" s="810"/>
    </row>
    <row r="335" spans="3:30" ht="30" hidden="1" customHeight="1" outlineLevel="1">
      <c r="C335" s="828">
        <v>309</v>
      </c>
      <c r="D335" s="829"/>
      <c r="E335" s="830"/>
      <c r="F335" s="830"/>
      <c r="G335" s="1049"/>
      <c r="H335" s="831"/>
      <c r="I335" s="832"/>
      <c r="L335" s="816">
        <f t="shared" si="15"/>
        <v>0</v>
      </c>
      <c r="M335" s="833">
        <f t="shared" si="16"/>
        <v>0</v>
      </c>
      <c r="N335" s="834"/>
      <c r="O335" s="835">
        <f t="shared" si="17"/>
        <v>0</v>
      </c>
      <c r="P335" s="827">
        <f t="shared" si="18"/>
        <v>0</v>
      </c>
      <c r="AD335" s="810"/>
    </row>
    <row r="336" spans="3:30" ht="30" hidden="1" customHeight="1" outlineLevel="1">
      <c r="C336" s="828">
        <v>310</v>
      </c>
      <c r="D336" s="829"/>
      <c r="E336" s="830"/>
      <c r="F336" s="830"/>
      <c r="G336" s="1049"/>
      <c r="H336" s="831"/>
      <c r="I336" s="832"/>
      <c r="L336" s="816">
        <f t="shared" si="15"/>
        <v>0</v>
      </c>
      <c r="M336" s="833">
        <f t="shared" si="16"/>
        <v>0</v>
      </c>
      <c r="N336" s="834"/>
      <c r="O336" s="835">
        <f t="shared" si="17"/>
        <v>0</v>
      </c>
      <c r="P336" s="827">
        <f t="shared" si="18"/>
        <v>0</v>
      </c>
      <c r="AD336" s="810"/>
    </row>
    <row r="337" spans="3:30" ht="30" hidden="1" customHeight="1" outlineLevel="1">
      <c r="C337" s="828">
        <v>311</v>
      </c>
      <c r="D337" s="829"/>
      <c r="E337" s="830"/>
      <c r="F337" s="830"/>
      <c r="G337" s="1049"/>
      <c r="H337" s="831"/>
      <c r="I337" s="832"/>
      <c r="L337" s="816">
        <f t="shared" si="15"/>
        <v>0</v>
      </c>
      <c r="M337" s="833">
        <f t="shared" si="16"/>
        <v>0</v>
      </c>
      <c r="N337" s="834"/>
      <c r="O337" s="835">
        <f t="shared" si="17"/>
        <v>0</v>
      </c>
      <c r="P337" s="827">
        <f t="shared" si="18"/>
        <v>0</v>
      </c>
      <c r="AD337" s="810"/>
    </row>
    <row r="338" spans="3:30" ht="30" hidden="1" customHeight="1" outlineLevel="1">
      <c r="C338" s="828">
        <v>312</v>
      </c>
      <c r="D338" s="829"/>
      <c r="E338" s="830"/>
      <c r="F338" s="830"/>
      <c r="G338" s="1049"/>
      <c r="H338" s="831"/>
      <c r="I338" s="832"/>
      <c r="L338" s="816">
        <f t="shared" si="15"/>
        <v>0</v>
      </c>
      <c r="M338" s="833">
        <f t="shared" si="16"/>
        <v>0</v>
      </c>
      <c r="N338" s="834"/>
      <c r="O338" s="835">
        <f t="shared" si="17"/>
        <v>0</v>
      </c>
      <c r="P338" s="827">
        <f t="shared" si="18"/>
        <v>0</v>
      </c>
      <c r="AD338" s="810"/>
    </row>
    <row r="339" spans="3:30" ht="30" hidden="1" customHeight="1" outlineLevel="1">
      <c r="C339" s="828">
        <v>313</v>
      </c>
      <c r="D339" s="829"/>
      <c r="E339" s="830"/>
      <c r="F339" s="830"/>
      <c r="G339" s="1049"/>
      <c r="H339" s="831"/>
      <c r="I339" s="832"/>
      <c r="L339" s="816">
        <f t="shared" si="15"/>
        <v>0</v>
      </c>
      <c r="M339" s="833">
        <f t="shared" si="16"/>
        <v>0</v>
      </c>
      <c r="N339" s="834"/>
      <c r="O339" s="835">
        <f t="shared" si="17"/>
        <v>0</v>
      </c>
      <c r="P339" s="827">
        <f t="shared" si="18"/>
        <v>0</v>
      </c>
      <c r="AD339" s="810"/>
    </row>
    <row r="340" spans="3:30" ht="30" hidden="1" customHeight="1" outlineLevel="1">
      <c r="C340" s="828">
        <v>314</v>
      </c>
      <c r="D340" s="829"/>
      <c r="E340" s="830"/>
      <c r="F340" s="830"/>
      <c r="G340" s="1049"/>
      <c r="H340" s="831"/>
      <c r="I340" s="832"/>
      <c r="L340" s="816">
        <f t="shared" si="15"/>
        <v>0</v>
      </c>
      <c r="M340" s="833">
        <f t="shared" si="16"/>
        <v>0</v>
      </c>
      <c r="N340" s="834"/>
      <c r="O340" s="835">
        <f t="shared" si="17"/>
        <v>0</v>
      </c>
      <c r="P340" s="827">
        <f t="shared" si="18"/>
        <v>0</v>
      </c>
      <c r="AD340" s="810"/>
    </row>
    <row r="341" spans="3:30" ht="30" hidden="1" customHeight="1" outlineLevel="1">
      <c r="C341" s="828">
        <v>315</v>
      </c>
      <c r="D341" s="829"/>
      <c r="E341" s="830"/>
      <c r="F341" s="830"/>
      <c r="G341" s="1049"/>
      <c r="H341" s="831"/>
      <c r="I341" s="832"/>
      <c r="L341" s="816">
        <f t="shared" si="15"/>
        <v>0</v>
      </c>
      <c r="M341" s="833">
        <f t="shared" si="16"/>
        <v>0</v>
      </c>
      <c r="N341" s="834"/>
      <c r="O341" s="835">
        <f t="shared" si="17"/>
        <v>0</v>
      </c>
      <c r="P341" s="827">
        <f t="shared" si="18"/>
        <v>0</v>
      </c>
      <c r="AD341" s="810"/>
    </row>
    <row r="342" spans="3:30" ht="30" hidden="1" customHeight="1" outlineLevel="1">
      <c r="C342" s="828">
        <v>316</v>
      </c>
      <c r="D342" s="829"/>
      <c r="E342" s="830"/>
      <c r="F342" s="830"/>
      <c r="G342" s="1049"/>
      <c r="H342" s="831"/>
      <c r="I342" s="832"/>
      <c r="L342" s="816">
        <f t="shared" si="15"/>
        <v>0</v>
      </c>
      <c r="M342" s="833">
        <f t="shared" si="16"/>
        <v>0</v>
      </c>
      <c r="N342" s="834"/>
      <c r="O342" s="835">
        <f t="shared" si="17"/>
        <v>0</v>
      </c>
      <c r="P342" s="827">
        <f t="shared" si="18"/>
        <v>0</v>
      </c>
      <c r="AD342" s="810"/>
    </row>
    <row r="343" spans="3:30" ht="30" hidden="1" customHeight="1" outlineLevel="1">
      <c r="C343" s="828">
        <v>317</v>
      </c>
      <c r="D343" s="829"/>
      <c r="E343" s="830"/>
      <c r="F343" s="830"/>
      <c r="G343" s="1049"/>
      <c r="H343" s="831"/>
      <c r="I343" s="832"/>
      <c r="L343" s="816">
        <f t="shared" si="15"/>
        <v>0</v>
      </c>
      <c r="M343" s="833">
        <f t="shared" si="16"/>
        <v>0</v>
      </c>
      <c r="N343" s="834"/>
      <c r="O343" s="835">
        <f t="shared" si="17"/>
        <v>0</v>
      </c>
      <c r="P343" s="827">
        <f t="shared" si="18"/>
        <v>0</v>
      </c>
      <c r="AD343" s="810"/>
    </row>
    <row r="344" spans="3:30" ht="30" hidden="1" customHeight="1" outlineLevel="1">
      <c r="C344" s="828">
        <v>318</v>
      </c>
      <c r="D344" s="829"/>
      <c r="E344" s="830"/>
      <c r="F344" s="830"/>
      <c r="G344" s="1049"/>
      <c r="H344" s="831"/>
      <c r="I344" s="832"/>
      <c r="L344" s="816">
        <f t="shared" si="15"/>
        <v>0</v>
      </c>
      <c r="M344" s="833">
        <f t="shared" si="16"/>
        <v>0</v>
      </c>
      <c r="N344" s="834"/>
      <c r="O344" s="835">
        <f t="shared" si="17"/>
        <v>0</v>
      </c>
      <c r="P344" s="827">
        <f t="shared" si="18"/>
        <v>0</v>
      </c>
      <c r="AD344" s="810"/>
    </row>
    <row r="345" spans="3:30" ht="30" hidden="1" customHeight="1" outlineLevel="1">
      <c r="C345" s="828">
        <v>319</v>
      </c>
      <c r="D345" s="829"/>
      <c r="E345" s="830"/>
      <c r="F345" s="830"/>
      <c r="G345" s="1049"/>
      <c r="H345" s="831"/>
      <c r="I345" s="832"/>
      <c r="L345" s="816">
        <f t="shared" si="15"/>
        <v>0</v>
      </c>
      <c r="M345" s="833">
        <f t="shared" si="16"/>
        <v>0</v>
      </c>
      <c r="N345" s="834"/>
      <c r="O345" s="835">
        <f t="shared" si="17"/>
        <v>0</v>
      </c>
      <c r="P345" s="827">
        <f t="shared" si="18"/>
        <v>0</v>
      </c>
      <c r="AD345" s="810"/>
    </row>
    <row r="346" spans="3:30" ht="30" hidden="1" customHeight="1" outlineLevel="1">
      <c r="C346" s="828">
        <v>320</v>
      </c>
      <c r="D346" s="829"/>
      <c r="E346" s="830"/>
      <c r="F346" s="830"/>
      <c r="G346" s="1049"/>
      <c r="H346" s="831"/>
      <c r="I346" s="832"/>
      <c r="L346" s="816">
        <f t="shared" si="15"/>
        <v>0</v>
      </c>
      <c r="M346" s="833">
        <f t="shared" si="16"/>
        <v>0</v>
      </c>
      <c r="N346" s="834"/>
      <c r="O346" s="835">
        <f t="shared" si="17"/>
        <v>0</v>
      </c>
      <c r="P346" s="827">
        <f t="shared" si="18"/>
        <v>0</v>
      </c>
      <c r="AD346" s="810"/>
    </row>
    <row r="347" spans="3:30" ht="30" hidden="1" customHeight="1" outlineLevel="1">
      <c r="C347" s="828">
        <v>321</v>
      </c>
      <c r="D347" s="829"/>
      <c r="E347" s="830"/>
      <c r="F347" s="830"/>
      <c r="G347" s="1049"/>
      <c r="H347" s="831"/>
      <c r="I347" s="832"/>
      <c r="L347" s="816">
        <f t="shared" si="15"/>
        <v>0</v>
      </c>
      <c r="M347" s="833">
        <f t="shared" si="16"/>
        <v>0</v>
      </c>
      <c r="N347" s="834"/>
      <c r="O347" s="835">
        <f t="shared" si="17"/>
        <v>0</v>
      </c>
      <c r="P347" s="827">
        <f t="shared" si="18"/>
        <v>0</v>
      </c>
      <c r="AD347" s="810"/>
    </row>
    <row r="348" spans="3:30" ht="30" hidden="1" customHeight="1" outlineLevel="1">
      <c r="C348" s="828">
        <v>322</v>
      </c>
      <c r="D348" s="829"/>
      <c r="E348" s="830"/>
      <c r="F348" s="830"/>
      <c r="G348" s="1049"/>
      <c r="H348" s="831"/>
      <c r="I348" s="832"/>
      <c r="L348" s="816">
        <f t="shared" si="15"/>
        <v>0</v>
      </c>
      <c r="M348" s="833">
        <f t="shared" si="16"/>
        <v>0</v>
      </c>
      <c r="N348" s="834"/>
      <c r="O348" s="835">
        <f t="shared" si="17"/>
        <v>0</v>
      </c>
      <c r="P348" s="827">
        <f t="shared" si="18"/>
        <v>0</v>
      </c>
      <c r="AD348" s="810"/>
    </row>
    <row r="349" spans="3:30" ht="30" hidden="1" customHeight="1" outlineLevel="1">
      <c r="C349" s="828">
        <v>323</v>
      </c>
      <c r="D349" s="829"/>
      <c r="E349" s="830"/>
      <c r="F349" s="830"/>
      <c r="G349" s="1049"/>
      <c r="H349" s="831"/>
      <c r="I349" s="832"/>
      <c r="L349" s="816">
        <f t="shared" si="15"/>
        <v>0</v>
      </c>
      <c r="M349" s="833">
        <f t="shared" si="16"/>
        <v>0</v>
      </c>
      <c r="N349" s="834"/>
      <c r="O349" s="835">
        <f t="shared" si="17"/>
        <v>0</v>
      </c>
      <c r="P349" s="827">
        <f t="shared" si="18"/>
        <v>0</v>
      </c>
      <c r="AD349" s="810"/>
    </row>
    <row r="350" spans="3:30" ht="30" hidden="1" customHeight="1" outlineLevel="1">
      <c r="C350" s="828">
        <v>324</v>
      </c>
      <c r="D350" s="829"/>
      <c r="E350" s="830"/>
      <c r="F350" s="830"/>
      <c r="G350" s="1049"/>
      <c r="H350" s="831"/>
      <c r="I350" s="832"/>
      <c r="L350" s="816">
        <f t="shared" si="15"/>
        <v>0</v>
      </c>
      <c r="M350" s="833">
        <f t="shared" si="16"/>
        <v>0</v>
      </c>
      <c r="N350" s="834"/>
      <c r="O350" s="835">
        <f t="shared" si="17"/>
        <v>0</v>
      </c>
      <c r="P350" s="827">
        <f t="shared" si="18"/>
        <v>0</v>
      </c>
      <c r="AD350" s="810"/>
    </row>
    <row r="351" spans="3:30" ht="30" hidden="1" customHeight="1" outlineLevel="1">
      <c r="C351" s="828">
        <v>325</v>
      </c>
      <c r="D351" s="829"/>
      <c r="E351" s="830"/>
      <c r="F351" s="830"/>
      <c r="G351" s="1049"/>
      <c r="H351" s="831"/>
      <c r="I351" s="832"/>
      <c r="L351" s="816">
        <f t="shared" si="15"/>
        <v>0</v>
      </c>
      <c r="M351" s="833">
        <f t="shared" si="16"/>
        <v>0</v>
      </c>
      <c r="N351" s="834"/>
      <c r="O351" s="835">
        <f t="shared" si="17"/>
        <v>0</v>
      </c>
      <c r="P351" s="827">
        <f t="shared" si="18"/>
        <v>0</v>
      </c>
      <c r="AD351" s="810"/>
    </row>
    <row r="352" spans="3:30" ht="30" hidden="1" customHeight="1" outlineLevel="1">
      <c r="C352" s="828">
        <v>326</v>
      </c>
      <c r="D352" s="829"/>
      <c r="E352" s="830"/>
      <c r="F352" s="830"/>
      <c r="G352" s="1049"/>
      <c r="H352" s="831"/>
      <c r="I352" s="832"/>
      <c r="L352" s="816">
        <f t="shared" si="15"/>
        <v>0</v>
      </c>
      <c r="M352" s="833">
        <f t="shared" si="16"/>
        <v>0</v>
      </c>
      <c r="N352" s="834"/>
      <c r="O352" s="835">
        <f t="shared" si="17"/>
        <v>0</v>
      </c>
      <c r="P352" s="827">
        <f t="shared" si="18"/>
        <v>0</v>
      </c>
      <c r="AD352" s="810"/>
    </row>
    <row r="353" spans="3:30" ht="30" hidden="1" customHeight="1" outlineLevel="1">
      <c r="C353" s="828">
        <v>327</v>
      </c>
      <c r="D353" s="829"/>
      <c r="E353" s="830"/>
      <c r="F353" s="830"/>
      <c r="G353" s="1049"/>
      <c r="H353" s="831"/>
      <c r="I353" s="832"/>
      <c r="L353" s="816">
        <f t="shared" si="15"/>
        <v>0</v>
      </c>
      <c r="M353" s="833">
        <f t="shared" si="16"/>
        <v>0</v>
      </c>
      <c r="N353" s="834"/>
      <c r="O353" s="835">
        <f t="shared" si="17"/>
        <v>0</v>
      </c>
      <c r="P353" s="827">
        <f t="shared" si="18"/>
        <v>0</v>
      </c>
      <c r="AD353" s="810"/>
    </row>
    <row r="354" spans="3:30" ht="30" hidden="1" customHeight="1" outlineLevel="1">
      <c r="C354" s="828">
        <v>328</v>
      </c>
      <c r="D354" s="829"/>
      <c r="E354" s="830"/>
      <c r="F354" s="830"/>
      <c r="G354" s="1049"/>
      <c r="H354" s="831"/>
      <c r="I354" s="832"/>
      <c r="L354" s="816">
        <f t="shared" si="15"/>
        <v>0</v>
      </c>
      <c r="M354" s="833">
        <f t="shared" si="16"/>
        <v>0</v>
      </c>
      <c r="N354" s="834"/>
      <c r="O354" s="835">
        <f t="shared" si="17"/>
        <v>0</v>
      </c>
      <c r="P354" s="827">
        <f t="shared" si="18"/>
        <v>0</v>
      </c>
      <c r="AD354" s="810"/>
    </row>
    <row r="355" spans="3:30" ht="30" hidden="1" customHeight="1" outlineLevel="1">
      <c r="C355" s="828">
        <v>329</v>
      </c>
      <c r="D355" s="829"/>
      <c r="E355" s="830"/>
      <c r="F355" s="830"/>
      <c r="G355" s="1049"/>
      <c r="H355" s="831"/>
      <c r="I355" s="832"/>
      <c r="L355" s="816">
        <f t="shared" si="15"/>
        <v>0</v>
      </c>
      <c r="M355" s="833">
        <f t="shared" si="16"/>
        <v>0</v>
      </c>
      <c r="N355" s="834"/>
      <c r="O355" s="835">
        <f t="shared" si="17"/>
        <v>0</v>
      </c>
      <c r="P355" s="827">
        <f t="shared" si="18"/>
        <v>0</v>
      </c>
      <c r="AD355" s="810"/>
    </row>
    <row r="356" spans="3:30" ht="30" hidden="1" customHeight="1" outlineLevel="1">
      <c r="C356" s="828">
        <v>330</v>
      </c>
      <c r="D356" s="829"/>
      <c r="E356" s="830"/>
      <c r="F356" s="830"/>
      <c r="G356" s="1049"/>
      <c r="H356" s="831"/>
      <c r="I356" s="832"/>
      <c r="L356" s="816">
        <f t="shared" si="15"/>
        <v>0</v>
      </c>
      <c r="M356" s="833">
        <f t="shared" si="16"/>
        <v>0</v>
      </c>
      <c r="N356" s="834"/>
      <c r="O356" s="835">
        <f t="shared" si="17"/>
        <v>0</v>
      </c>
      <c r="P356" s="827">
        <f t="shared" si="18"/>
        <v>0</v>
      </c>
      <c r="AD356" s="810"/>
    </row>
    <row r="357" spans="3:30" ht="30" hidden="1" customHeight="1" outlineLevel="1">
      <c r="C357" s="828">
        <v>331</v>
      </c>
      <c r="D357" s="829"/>
      <c r="E357" s="830"/>
      <c r="F357" s="830"/>
      <c r="G357" s="1049"/>
      <c r="H357" s="831"/>
      <c r="I357" s="832"/>
      <c r="L357" s="816">
        <f t="shared" si="15"/>
        <v>0</v>
      </c>
      <c r="M357" s="833">
        <f t="shared" si="16"/>
        <v>0</v>
      </c>
      <c r="N357" s="834"/>
      <c r="O357" s="835">
        <f t="shared" si="17"/>
        <v>0</v>
      </c>
      <c r="P357" s="827">
        <f t="shared" si="18"/>
        <v>0</v>
      </c>
      <c r="AD357" s="810"/>
    </row>
    <row r="358" spans="3:30" ht="30" hidden="1" customHeight="1" outlineLevel="1">
      <c r="C358" s="828">
        <v>332</v>
      </c>
      <c r="D358" s="829"/>
      <c r="E358" s="830"/>
      <c r="F358" s="830"/>
      <c r="G358" s="1049"/>
      <c r="H358" s="831"/>
      <c r="I358" s="832"/>
      <c r="L358" s="816">
        <f t="shared" si="15"/>
        <v>0</v>
      </c>
      <c r="M358" s="833">
        <f t="shared" si="16"/>
        <v>0</v>
      </c>
      <c r="N358" s="834"/>
      <c r="O358" s="835">
        <f t="shared" si="17"/>
        <v>0</v>
      </c>
      <c r="P358" s="827">
        <f t="shared" si="18"/>
        <v>0</v>
      </c>
      <c r="AD358" s="810"/>
    </row>
    <row r="359" spans="3:30" ht="30" hidden="1" customHeight="1" outlineLevel="1">
      <c r="C359" s="828">
        <v>333</v>
      </c>
      <c r="D359" s="829"/>
      <c r="E359" s="830"/>
      <c r="F359" s="830"/>
      <c r="G359" s="1049"/>
      <c r="H359" s="831"/>
      <c r="I359" s="832"/>
      <c r="L359" s="816">
        <f t="shared" si="15"/>
        <v>0</v>
      </c>
      <c r="M359" s="833">
        <f t="shared" si="16"/>
        <v>0</v>
      </c>
      <c r="N359" s="834"/>
      <c r="O359" s="835">
        <f t="shared" si="17"/>
        <v>0</v>
      </c>
      <c r="P359" s="827">
        <f t="shared" si="18"/>
        <v>0</v>
      </c>
      <c r="AD359" s="810"/>
    </row>
    <row r="360" spans="3:30" ht="30" hidden="1" customHeight="1" outlineLevel="1">
      <c r="C360" s="828">
        <v>334</v>
      </c>
      <c r="D360" s="829"/>
      <c r="E360" s="830"/>
      <c r="F360" s="830"/>
      <c r="G360" s="1049"/>
      <c r="H360" s="831"/>
      <c r="I360" s="832"/>
      <c r="L360" s="816">
        <f t="shared" si="15"/>
        <v>0</v>
      </c>
      <c r="M360" s="833">
        <f t="shared" si="16"/>
        <v>0</v>
      </c>
      <c r="N360" s="834"/>
      <c r="O360" s="835">
        <f t="shared" si="17"/>
        <v>0</v>
      </c>
      <c r="P360" s="827">
        <f t="shared" si="18"/>
        <v>0</v>
      </c>
      <c r="AD360" s="810"/>
    </row>
    <row r="361" spans="3:30" ht="30" hidden="1" customHeight="1" outlineLevel="1">
      <c r="C361" s="828">
        <v>335</v>
      </c>
      <c r="D361" s="829"/>
      <c r="E361" s="830"/>
      <c r="F361" s="830"/>
      <c r="G361" s="1049"/>
      <c r="H361" s="831"/>
      <c r="I361" s="832"/>
      <c r="L361" s="816">
        <f t="shared" si="15"/>
        <v>0</v>
      </c>
      <c r="M361" s="833">
        <f t="shared" si="16"/>
        <v>0</v>
      </c>
      <c r="N361" s="834"/>
      <c r="O361" s="835">
        <f t="shared" si="17"/>
        <v>0</v>
      </c>
      <c r="P361" s="827">
        <f t="shared" si="18"/>
        <v>0</v>
      </c>
      <c r="AD361" s="810"/>
    </row>
    <row r="362" spans="3:30" ht="30" hidden="1" customHeight="1" outlineLevel="1">
      <c r="C362" s="828">
        <v>336</v>
      </c>
      <c r="D362" s="829"/>
      <c r="E362" s="830"/>
      <c r="F362" s="830"/>
      <c r="G362" s="1049"/>
      <c r="H362" s="831"/>
      <c r="I362" s="832"/>
      <c r="L362" s="816">
        <f t="shared" si="15"/>
        <v>0</v>
      </c>
      <c r="M362" s="833">
        <f t="shared" si="16"/>
        <v>0</v>
      </c>
      <c r="N362" s="834"/>
      <c r="O362" s="835">
        <f t="shared" si="17"/>
        <v>0</v>
      </c>
      <c r="P362" s="827">
        <f t="shared" si="18"/>
        <v>0</v>
      </c>
      <c r="AD362" s="810"/>
    </row>
    <row r="363" spans="3:30" ht="30" hidden="1" customHeight="1" outlineLevel="1">
      <c r="C363" s="828">
        <v>337</v>
      </c>
      <c r="D363" s="829"/>
      <c r="E363" s="830"/>
      <c r="F363" s="830"/>
      <c r="G363" s="1049"/>
      <c r="H363" s="831"/>
      <c r="I363" s="832"/>
      <c r="L363" s="816">
        <f t="shared" si="15"/>
        <v>0</v>
      </c>
      <c r="M363" s="833">
        <f t="shared" si="16"/>
        <v>0</v>
      </c>
      <c r="N363" s="834"/>
      <c r="O363" s="835">
        <f t="shared" si="17"/>
        <v>0</v>
      </c>
      <c r="P363" s="827">
        <f t="shared" si="18"/>
        <v>0</v>
      </c>
      <c r="AD363" s="810"/>
    </row>
    <row r="364" spans="3:30" ht="30" hidden="1" customHeight="1" outlineLevel="1">
      <c r="C364" s="828">
        <v>338</v>
      </c>
      <c r="D364" s="829"/>
      <c r="E364" s="830"/>
      <c r="F364" s="830"/>
      <c r="G364" s="1049"/>
      <c r="H364" s="831"/>
      <c r="I364" s="832"/>
      <c r="L364" s="816">
        <f t="shared" si="15"/>
        <v>0</v>
      </c>
      <c r="M364" s="833">
        <f t="shared" si="16"/>
        <v>0</v>
      </c>
      <c r="N364" s="834"/>
      <c r="O364" s="835">
        <f t="shared" si="17"/>
        <v>0</v>
      </c>
      <c r="P364" s="827">
        <f t="shared" si="18"/>
        <v>0</v>
      </c>
      <c r="AD364" s="810"/>
    </row>
    <row r="365" spans="3:30" ht="30" hidden="1" customHeight="1" outlineLevel="1">
      <c r="C365" s="828">
        <v>339</v>
      </c>
      <c r="D365" s="829"/>
      <c r="E365" s="830"/>
      <c r="F365" s="830"/>
      <c r="G365" s="1049"/>
      <c r="H365" s="831"/>
      <c r="I365" s="832"/>
      <c r="L365" s="816">
        <f t="shared" si="15"/>
        <v>0</v>
      </c>
      <c r="M365" s="833">
        <f t="shared" si="16"/>
        <v>0</v>
      </c>
      <c r="N365" s="834"/>
      <c r="O365" s="835">
        <f t="shared" si="17"/>
        <v>0</v>
      </c>
      <c r="P365" s="827">
        <f t="shared" si="18"/>
        <v>0</v>
      </c>
      <c r="AD365" s="810"/>
    </row>
    <row r="366" spans="3:30" ht="30" hidden="1" customHeight="1" outlineLevel="1">
      <c r="C366" s="828">
        <v>340</v>
      </c>
      <c r="D366" s="829"/>
      <c r="E366" s="830"/>
      <c r="F366" s="830"/>
      <c r="G366" s="1049"/>
      <c r="H366" s="831"/>
      <c r="I366" s="832"/>
      <c r="L366" s="816">
        <f t="shared" si="15"/>
        <v>0</v>
      </c>
      <c r="M366" s="833">
        <f t="shared" si="16"/>
        <v>0</v>
      </c>
      <c r="N366" s="834"/>
      <c r="O366" s="835">
        <f t="shared" si="17"/>
        <v>0</v>
      </c>
      <c r="P366" s="827">
        <f t="shared" si="18"/>
        <v>0</v>
      </c>
      <c r="AD366" s="810"/>
    </row>
    <row r="367" spans="3:30" ht="30" hidden="1" customHeight="1" outlineLevel="1">
      <c r="C367" s="828">
        <v>341</v>
      </c>
      <c r="D367" s="829"/>
      <c r="E367" s="830"/>
      <c r="F367" s="830"/>
      <c r="G367" s="1049"/>
      <c r="H367" s="831"/>
      <c r="I367" s="832"/>
      <c r="L367" s="816">
        <f t="shared" si="15"/>
        <v>0</v>
      </c>
      <c r="M367" s="833">
        <f t="shared" si="16"/>
        <v>0</v>
      </c>
      <c r="N367" s="834"/>
      <c r="O367" s="835">
        <f t="shared" si="17"/>
        <v>0</v>
      </c>
      <c r="P367" s="827">
        <f t="shared" si="18"/>
        <v>0</v>
      </c>
      <c r="AD367" s="810"/>
    </row>
    <row r="368" spans="3:30" ht="30" hidden="1" customHeight="1" outlineLevel="1">
      <c r="C368" s="828">
        <v>342</v>
      </c>
      <c r="D368" s="829"/>
      <c r="E368" s="830"/>
      <c r="F368" s="830"/>
      <c r="G368" s="1049"/>
      <c r="H368" s="831"/>
      <c r="I368" s="832"/>
      <c r="L368" s="816">
        <f t="shared" ref="L368:L431" si="19">IF($G368&gt;0,E368,)</f>
        <v>0</v>
      </c>
      <c r="M368" s="833">
        <f t="shared" ref="M368:M431" si="20">IF($G368&gt;0,F368,)</f>
        <v>0</v>
      </c>
      <c r="N368" s="834"/>
      <c r="O368" s="835">
        <f t="shared" ref="O368:O431" si="21">ROUND(L368*N368/10,)</f>
        <v>0</v>
      </c>
      <c r="P368" s="827">
        <f t="shared" ref="P368:P431" si="22">ROUND(O368*G368%,)</f>
        <v>0</v>
      </c>
      <c r="AD368" s="810"/>
    </row>
    <row r="369" spans="3:30" ht="30" hidden="1" customHeight="1" outlineLevel="1">
      <c r="C369" s="828">
        <v>343</v>
      </c>
      <c r="D369" s="829"/>
      <c r="E369" s="830"/>
      <c r="F369" s="830"/>
      <c r="G369" s="1049"/>
      <c r="H369" s="831"/>
      <c r="I369" s="832"/>
      <c r="L369" s="816">
        <f t="shared" si="19"/>
        <v>0</v>
      </c>
      <c r="M369" s="833">
        <f t="shared" si="20"/>
        <v>0</v>
      </c>
      <c r="N369" s="834"/>
      <c r="O369" s="835">
        <f t="shared" si="21"/>
        <v>0</v>
      </c>
      <c r="P369" s="827">
        <f t="shared" si="22"/>
        <v>0</v>
      </c>
      <c r="AD369" s="810"/>
    </row>
    <row r="370" spans="3:30" ht="30" hidden="1" customHeight="1" outlineLevel="1">
      <c r="C370" s="828">
        <v>344</v>
      </c>
      <c r="D370" s="829"/>
      <c r="E370" s="830"/>
      <c r="F370" s="830"/>
      <c r="G370" s="1049"/>
      <c r="H370" s="831"/>
      <c r="I370" s="832"/>
      <c r="L370" s="816">
        <f t="shared" si="19"/>
        <v>0</v>
      </c>
      <c r="M370" s="833">
        <f t="shared" si="20"/>
        <v>0</v>
      </c>
      <c r="N370" s="834"/>
      <c r="O370" s="835">
        <f t="shared" si="21"/>
        <v>0</v>
      </c>
      <c r="P370" s="827">
        <f t="shared" si="22"/>
        <v>0</v>
      </c>
      <c r="AD370" s="810"/>
    </row>
    <row r="371" spans="3:30" ht="30" hidden="1" customHeight="1" outlineLevel="1">
      <c r="C371" s="828">
        <v>345</v>
      </c>
      <c r="D371" s="829"/>
      <c r="E371" s="830"/>
      <c r="F371" s="830"/>
      <c r="G371" s="1049"/>
      <c r="H371" s="831"/>
      <c r="I371" s="832"/>
      <c r="L371" s="816">
        <f t="shared" si="19"/>
        <v>0</v>
      </c>
      <c r="M371" s="833">
        <f t="shared" si="20"/>
        <v>0</v>
      </c>
      <c r="N371" s="834"/>
      <c r="O371" s="835">
        <f t="shared" si="21"/>
        <v>0</v>
      </c>
      <c r="P371" s="827">
        <f t="shared" si="22"/>
        <v>0</v>
      </c>
      <c r="AD371" s="810"/>
    </row>
    <row r="372" spans="3:30" ht="30" hidden="1" customHeight="1" outlineLevel="1">
      <c r="C372" s="828">
        <v>346</v>
      </c>
      <c r="D372" s="829"/>
      <c r="E372" s="830"/>
      <c r="F372" s="830"/>
      <c r="G372" s="1049"/>
      <c r="H372" s="831"/>
      <c r="I372" s="832"/>
      <c r="L372" s="816">
        <f t="shared" si="19"/>
        <v>0</v>
      </c>
      <c r="M372" s="833">
        <f t="shared" si="20"/>
        <v>0</v>
      </c>
      <c r="N372" s="834"/>
      <c r="O372" s="835">
        <f t="shared" si="21"/>
        <v>0</v>
      </c>
      <c r="P372" s="827">
        <f t="shared" si="22"/>
        <v>0</v>
      </c>
      <c r="AD372" s="810"/>
    </row>
    <row r="373" spans="3:30" ht="30" hidden="1" customHeight="1" outlineLevel="1">
      <c r="C373" s="828">
        <v>347</v>
      </c>
      <c r="D373" s="829"/>
      <c r="E373" s="830"/>
      <c r="F373" s="830"/>
      <c r="G373" s="1049"/>
      <c r="H373" s="831"/>
      <c r="I373" s="832"/>
      <c r="L373" s="816">
        <f t="shared" si="19"/>
        <v>0</v>
      </c>
      <c r="M373" s="833">
        <f t="shared" si="20"/>
        <v>0</v>
      </c>
      <c r="N373" s="834"/>
      <c r="O373" s="835">
        <f t="shared" si="21"/>
        <v>0</v>
      </c>
      <c r="P373" s="827">
        <f t="shared" si="22"/>
        <v>0</v>
      </c>
      <c r="AD373" s="810"/>
    </row>
    <row r="374" spans="3:30" ht="30" hidden="1" customHeight="1" outlineLevel="1">
      <c r="C374" s="828">
        <v>348</v>
      </c>
      <c r="D374" s="829"/>
      <c r="E374" s="830"/>
      <c r="F374" s="830"/>
      <c r="G374" s="1049"/>
      <c r="H374" s="831"/>
      <c r="I374" s="832"/>
      <c r="L374" s="816">
        <f t="shared" si="19"/>
        <v>0</v>
      </c>
      <c r="M374" s="833">
        <f t="shared" si="20"/>
        <v>0</v>
      </c>
      <c r="N374" s="834"/>
      <c r="O374" s="835">
        <f t="shared" si="21"/>
        <v>0</v>
      </c>
      <c r="P374" s="827">
        <f t="shared" si="22"/>
        <v>0</v>
      </c>
      <c r="AD374" s="810"/>
    </row>
    <row r="375" spans="3:30" ht="30" hidden="1" customHeight="1" outlineLevel="1">
      <c r="C375" s="828">
        <v>349</v>
      </c>
      <c r="D375" s="829"/>
      <c r="E375" s="830"/>
      <c r="F375" s="830"/>
      <c r="G375" s="1049"/>
      <c r="H375" s="831"/>
      <c r="I375" s="832"/>
      <c r="L375" s="816">
        <f t="shared" si="19"/>
        <v>0</v>
      </c>
      <c r="M375" s="833">
        <f t="shared" si="20"/>
        <v>0</v>
      </c>
      <c r="N375" s="834"/>
      <c r="O375" s="835">
        <f t="shared" si="21"/>
        <v>0</v>
      </c>
      <c r="P375" s="827">
        <f t="shared" si="22"/>
        <v>0</v>
      </c>
      <c r="AD375" s="810"/>
    </row>
    <row r="376" spans="3:30" ht="30" hidden="1" customHeight="1" outlineLevel="1">
      <c r="C376" s="828">
        <v>350</v>
      </c>
      <c r="D376" s="829"/>
      <c r="E376" s="830"/>
      <c r="F376" s="830"/>
      <c r="G376" s="1049"/>
      <c r="H376" s="831"/>
      <c r="I376" s="832"/>
      <c r="L376" s="816">
        <f t="shared" si="19"/>
        <v>0</v>
      </c>
      <c r="M376" s="833">
        <f t="shared" si="20"/>
        <v>0</v>
      </c>
      <c r="N376" s="834"/>
      <c r="O376" s="835">
        <f t="shared" si="21"/>
        <v>0</v>
      </c>
      <c r="P376" s="827">
        <f t="shared" si="22"/>
        <v>0</v>
      </c>
      <c r="AD376" s="810"/>
    </row>
    <row r="377" spans="3:30" ht="30" hidden="1" customHeight="1" outlineLevel="1">
      <c r="C377" s="828">
        <v>351</v>
      </c>
      <c r="D377" s="829"/>
      <c r="E377" s="830"/>
      <c r="F377" s="830"/>
      <c r="G377" s="1049"/>
      <c r="H377" s="831"/>
      <c r="I377" s="832"/>
      <c r="L377" s="816">
        <f t="shared" si="19"/>
        <v>0</v>
      </c>
      <c r="M377" s="833">
        <f t="shared" si="20"/>
        <v>0</v>
      </c>
      <c r="N377" s="834"/>
      <c r="O377" s="835">
        <f t="shared" si="21"/>
        <v>0</v>
      </c>
      <c r="P377" s="827">
        <f t="shared" si="22"/>
        <v>0</v>
      </c>
      <c r="AD377" s="810"/>
    </row>
    <row r="378" spans="3:30" ht="30" hidden="1" customHeight="1" outlineLevel="1">
      <c r="C378" s="828">
        <v>352</v>
      </c>
      <c r="D378" s="829"/>
      <c r="E378" s="830"/>
      <c r="F378" s="830"/>
      <c r="G378" s="1049"/>
      <c r="H378" s="831"/>
      <c r="I378" s="832"/>
      <c r="L378" s="816">
        <f t="shared" si="19"/>
        <v>0</v>
      </c>
      <c r="M378" s="833">
        <f t="shared" si="20"/>
        <v>0</v>
      </c>
      <c r="N378" s="834"/>
      <c r="O378" s="835">
        <f t="shared" si="21"/>
        <v>0</v>
      </c>
      <c r="P378" s="827">
        <f t="shared" si="22"/>
        <v>0</v>
      </c>
      <c r="AD378" s="810"/>
    </row>
    <row r="379" spans="3:30" ht="30" hidden="1" customHeight="1" outlineLevel="1">
      <c r="C379" s="828">
        <v>353</v>
      </c>
      <c r="D379" s="829"/>
      <c r="E379" s="830"/>
      <c r="F379" s="830"/>
      <c r="G379" s="1049"/>
      <c r="H379" s="831"/>
      <c r="I379" s="832"/>
      <c r="L379" s="816">
        <f t="shared" si="19"/>
        <v>0</v>
      </c>
      <c r="M379" s="833">
        <f t="shared" si="20"/>
        <v>0</v>
      </c>
      <c r="N379" s="834"/>
      <c r="O379" s="835">
        <f t="shared" si="21"/>
        <v>0</v>
      </c>
      <c r="P379" s="827">
        <f t="shared" si="22"/>
        <v>0</v>
      </c>
      <c r="AD379" s="810"/>
    </row>
    <row r="380" spans="3:30" ht="30" hidden="1" customHeight="1" outlineLevel="1">
      <c r="C380" s="828">
        <v>354</v>
      </c>
      <c r="D380" s="829"/>
      <c r="E380" s="830"/>
      <c r="F380" s="830"/>
      <c r="G380" s="1049"/>
      <c r="H380" s="831"/>
      <c r="I380" s="832"/>
      <c r="L380" s="816">
        <f t="shared" si="19"/>
        <v>0</v>
      </c>
      <c r="M380" s="833">
        <f t="shared" si="20"/>
        <v>0</v>
      </c>
      <c r="N380" s="834"/>
      <c r="O380" s="835">
        <f t="shared" si="21"/>
        <v>0</v>
      </c>
      <c r="P380" s="827">
        <f t="shared" si="22"/>
        <v>0</v>
      </c>
      <c r="AD380" s="810"/>
    </row>
    <row r="381" spans="3:30" ht="30" hidden="1" customHeight="1" outlineLevel="1">
      <c r="C381" s="828">
        <v>355</v>
      </c>
      <c r="D381" s="829"/>
      <c r="E381" s="830"/>
      <c r="F381" s="830"/>
      <c r="G381" s="1049"/>
      <c r="H381" s="831"/>
      <c r="I381" s="832"/>
      <c r="L381" s="816">
        <f t="shared" si="19"/>
        <v>0</v>
      </c>
      <c r="M381" s="833">
        <f t="shared" si="20"/>
        <v>0</v>
      </c>
      <c r="N381" s="834"/>
      <c r="O381" s="835">
        <f t="shared" si="21"/>
        <v>0</v>
      </c>
      <c r="P381" s="827">
        <f t="shared" si="22"/>
        <v>0</v>
      </c>
      <c r="AD381" s="810"/>
    </row>
    <row r="382" spans="3:30" ht="30" hidden="1" customHeight="1" outlineLevel="1">
      <c r="C382" s="828">
        <v>356</v>
      </c>
      <c r="D382" s="829"/>
      <c r="E382" s="830"/>
      <c r="F382" s="830"/>
      <c r="G382" s="1049"/>
      <c r="H382" s="831"/>
      <c r="I382" s="832"/>
      <c r="L382" s="816">
        <f t="shared" si="19"/>
        <v>0</v>
      </c>
      <c r="M382" s="833">
        <f t="shared" si="20"/>
        <v>0</v>
      </c>
      <c r="N382" s="834"/>
      <c r="O382" s="835">
        <f t="shared" si="21"/>
        <v>0</v>
      </c>
      <c r="P382" s="827">
        <f t="shared" si="22"/>
        <v>0</v>
      </c>
      <c r="AD382" s="810"/>
    </row>
    <row r="383" spans="3:30" ht="30" hidden="1" customHeight="1" outlineLevel="1">
      <c r="C383" s="828">
        <v>357</v>
      </c>
      <c r="D383" s="829"/>
      <c r="E383" s="830"/>
      <c r="F383" s="830"/>
      <c r="G383" s="1049"/>
      <c r="H383" s="831"/>
      <c r="I383" s="832"/>
      <c r="L383" s="816">
        <f t="shared" si="19"/>
        <v>0</v>
      </c>
      <c r="M383" s="833">
        <f t="shared" si="20"/>
        <v>0</v>
      </c>
      <c r="N383" s="834"/>
      <c r="O383" s="835">
        <f t="shared" si="21"/>
        <v>0</v>
      </c>
      <c r="P383" s="827">
        <f t="shared" si="22"/>
        <v>0</v>
      </c>
      <c r="AD383" s="810"/>
    </row>
    <row r="384" spans="3:30" ht="30" hidden="1" customHeight="1" outlineLevel="1">
      <c r="C384" s="828">
        <v>358</v>
      </c>
      <c r="D384" s="829"/>
      <c r="E384" s="830"/>
      <c r="F384" s="830"/>
      <c r="G384" s="1049"/>
      <c r="H384" s="831"/>
      <c r="I384" s="832"/>
      <c r="L384" s="816">
        <f t="shared" si="19"/>
        <v>0</v>
      </c>
      <c r="M384" s="833">
        <f t="shared" si="20"/>
        <v>0</v>
      </c>
      <c r="N384" s="834"/>
      <c r="O384" s="835">
        <f t="shared" si="21"/>
        <v>0</v>
      </c>
      <c r="P384" s="827">
        <f t="shared" si="22"/>
        <v>0</v>
      </c>
      <c r="AD384" s="810"/>
    </row>
    <row r="385" spans="3:30" ht="30" hidden="1" customHeight="1" outlineLevel="1">
      <c r="C385" s="828">
        <v>359</v>
      </c>
      <c r="D385" s="829"/>
      <c r="E385" s="830"/>
      <c r="F385" s="830"/>
      <c r="G385" s="1049"/>
      <c r="H385" s="831"/>
      <c r="I385" s="832"/>
      <c r="L385" s="816">
        <f t="shared" si="19"/>
        <v>0</v>
      </c>
      <c r="M385" s="833">
        <f t="shared" si="20"/>
        <v>0</v>
      </c>
      <c r="N385" s="834"/>
      <c r="O385" s="835">
        <f t="shared" si="21"/>
        <v>0</v>
      </c>
      <c r="P385" s="827">
        <f t="shared" si="22"/>
        <v>0</v>
      </c>
      <c r="AD385" s="810"/>
    </row>
    <row r="386" spans="3:30" ht="30" hidden="1" customHeight="1" outlineLevel="1">
      <c r="C386" s="828">
        <v>360</v>
      </c>
      <c r="D386" s="829"/>
      <c r="E386" s="830"/>
      <c r="F386" s="830"/>
      <c r="G386" s="1049"/>
      <c r="H386" s="831"/>
      <c r="I386" s="832"/>
      <c r="L386" s="816">
        <f t="shared" si="19"/>
        <v>0</v>
      </c>
      <c r="M386" s="833">
        <f t="shared" si="20"/>
        <v>0</v>
      </c>
      <c r="N386" s="834"/>
      <c r="O386" s="835">
        <f t="shared" si="21"/>
        <v>0</v>
      </c>
      <c r="P386" s="827">
        <f t="shared" si="22"/>
        <v>0</v>
      </c>
      <c r="AD386" s="810"/>
    </row>
    <row r="387" spans="3:30" ht="30" hidden="1" customHeight="1" outlineLevel="1">
      <c r="C387" s="828">
        <v>361</v>
      </c>
      <c r="D387" s="829"/>
      <c r="E387" s="830"/>
      <c r="F387" s="830"/>
      <c r="G387" s="1049"/>
      <c r="H387" s="831"/>
      <c r="I387" s="832"/>
      <c r="L387" s="816">
        <f t="shared" si="19"/>
        <v>0</v>
      </c>
      <c r="M387" s="833">
        <f t="shared" si="20"/>
        <v>0</v>
      </c>
      <c r="N387" s="834"/>
      <c r="O387" s="835">
        <f t="shared" si="21"/>
        <v>0</v>
      </c>
      <c r="P387" s="827">
        <f t="shared" si="22"/>
        <v>0</v>
      </c>
      <c r="AD387" s="810"/>
    </row>
    <row r="388" spans="3:30" ht="30" hidden="1" customHeight="1" outlineLevel="1">
      <c r="C388" s="828">
        <v>362</v>
      </c>
      <c r="D388" s="829"/>
      <c r="E388" s="830"/>
      <c r="F388" s="830"/>
      <c r="G388" s="1049"/>
      <c r="H388" s="831"/>
      <c r="I388" s="832"/>
      <c r="L388" s="816">
        <f t="shared" si="19"/>
        <v>0</v>
      </c>
      <c r="M388" s="833">
        <f t="shared" si="20"/>
        <v>0</v>
      </c>
      <c r="N388" s="834"/>
      <c r="O388" s="835">
        <f t="shared" si="21"/>
        <v>0</v>
      </c>
      <c r="P388" s="827">
        <f t="shared" si="22"/>
        <v>0</v>
      </c>
      <c r="AD388" s="810"/>
    </row>
    <row r="389" spans="3:30" ht="30" hidden="1" customHeight="1" outlineLevel="1">
      <c r="C389" s="828">
        <v>363</v>
      </c>
      <c r="D389" s="829"/>
      <c r="E389" s="830"/>
      <c r="F389" s="830"/>
      <c r="G389" s="1049"/>
      <c r="H389" s="831"/>
      <c r="I389" s="832"/>
      <c r="L389" s="816">
        <f t="shared" si="19"/>
        <v>0</v>
      </c>
      <c r="M389" s="833">
        <f t="shared" si="20"/>
        <v>0</v>
      </c>
      <c r="N389" s="834"/>
      <c r="O389" s="835">
        <f t="shared" si="21"/>
        <v>0</v>
      </c>
      <c r="P389" s="827">
        <f t="shared" si="22"/>
        <v>0</v>
      </c>
      <c r="AD389" s="810"/>
    </row>
    <row r="390" spans="3:30" ht="30" hidden="1" customHeight="1" outlineLevel="1">
      <c r="C390" s="828">
        <v>364</v>
      </c>
      <c r="D390" s="829"/>
      <c r="E390" s="830"/>
      <c r="F390" s="830"/>
      <c r="G390" s="1049"/>
      <c r="H390" s="831"/>
      <c r="I390" s="832"/>
      <c r="L390" s="816">
        <f t="shared" si="19"/>
        <v>0</v>
      </c>
      <c r="M390" s="833">
        <f t="shared" si="20"/>
        <v>0</v>
      </c>
      <c r="N390" s="834"/>
      <c r="O390" s="835">
        <f t="shared" si="21"/>
        <v>0</v>
      </c>
      <c r="P390" s="827">
        <f t="shared" si="22"/>
        <v>0</v>
      </c>
      <c r="AD390" s="810"/>
    </row>
    <row r="391" spans="3:30" ht="30" hidden="1" customHeight="1" outlineLevel="1">
      <c r="C391" s="828">
        <v>365</v>
      </c>
      <c r="D391" s="829"/>
      <c r="E391" s="830"/>
      <c r="F391" s="830"/>
      <c r="G391" s="1049"/>
      <c r="H391" s="831"/>
      <c r="I391" s="832"/>
      <c r="L391" s="816">
        <f t="shared" si="19"/>
        <v>0</v>
      </c>
      <c r="M391" s="833">
        <f t="shared" si="20"/>
        <v>0</v>
      </c>
      <c r="N391" s="834"/>
      <c r="O391" s="835">
        <f t="shared" si="21"/>
        <v>0</v>
      </c>
      <c r="P391" s="827">
        <f t="shared" si="22"/>
        <v>0</v>
      </c>
      <c r="AD391" s="810"/>
    </row>
    <row r="392" spans="3:30" ht="30" hidden="1" customHeight="1" outlineLevel="1">
      <c r="C392" s="828">
        <v>366</v>
      </c>
      <c r="D392" s="829"/>
      <c r="E392" s="830"/>
      <c r="F392" s="830"/>
      <c r="G392" s="1049"/>
      <c r="H392" s="831"/>
      <c r="I392" s="832"/>
      <c r="L392" s="816">
        <f t="shared" si="19"/>
        <v>0</v>
      </c>
      <c r="M392" s="833">
        <f t="shared" si="20"/>
        <v>0</v>
      </c>
      <c r="N392" s="834"/>
      <c r="O392" s="835">
        <f t="shared" si="21"/>
        <v>0</v>
      </c>
      <c r="P392" s="827">
        <f t="shared" si="22"/>
        <v>0</v>
      </c>
      <c r="AD392" s="810"/>
    </row>
    <row r="393" spans="3:30" ht="30" hidden="1" customHeight="1" outlineLevel="1">
      <c r="C393" s="828">
        <v>367</v>
      </c>
      <c r="D393" s="829"/>
      <c r="E393" s="830"/>
      <c r="F393" s="830"/>
      <c r="G393" s="1049"/>
      <c r="H393" s="831"/>
      <c r="I393" s="832"/>
      <c r="L393" s="816">
        <f t="shared" si="19"/>
        <v>0</v>
      </c>
      <c r="M393" s="833">
        <f t="shared" si="20"/>
        <v>0</v>
      </c>
      <c r="N393" s="834"/>
      <c r="O393" s="835">
        <f t="shared" si="21"/>
        <v>0</v>
      </c>
      <c r="P393" s="827">
        <f t="shared" si="22"/>
        <v>0</v>
      </c>
      <c r="AD393" s="810"/>
    </row>
    <row r="394" spans="3:30" ht="30" hidden="1" customHeight="1" outlineLevel="1">
      <c r="C394" s="828">
        <v>368</v>
      </c>
      <c r="D394" s="829"/>
      <c r="E394" s="830"/>
      <c r="F394" s="830"/>
      <c r="G394" s="1049"/>
      <c r="H394" s="831"/>
      <c r="I394" s="832"/>
      <c r="L394" s="816">
        <f t="shared" si="19"/>
        <v>0</v>
      </c>
      <c r="M394" s="833">
        <f t="shared" si="20"/>
        <v>0</v>
      </c>
      <c r="N394" s="834"/>
      <c r="O394" s="835">
        <f t="shared" si="21"/>
        <v>0</v>
      </c>
      <c r="P394" s="827">
        <f t="shared" si="22"/>
        <v>0</v>
      </c>
      <c r="AD394" s="810"/>
    </row>
    <row r="395" spans="3:30" ht="30" hidden="1" customHeight="1" outlineLevel="1">
      <c r="C395" s="828">
        <v>369</v>
      </c>
      <c r="D395" s="829"/>
      <c r="E395" s="830"/>
      <c r="F395" s="830"/>
      <c r="G395" s="1049"/>
      <c r="H395" s="831"/>
      <c r="I395" s="832"/>
      <c r="L395" s="816">
        <f t="shared" si="19"/>
        <v>0</v>
      </c>
      <c r="M395" s="833">
        <f t="shared" si="20"/>
        <v>0</v>
      </c>
      <c r="N395" s="834"/>
      <c r="O395" s="835">
        <f t="shared" si="21"/>
        <v>0</v>
      </c>
      <c r="P395" s="827">
        <f t="shared" si="22"/>
        <v>0</v>
      </c>
      <c r="AD395" s="810"/>
    </row>
    <row r="396" spans="3:30" ht="30" hidden="1" customHeight="1" outlineLevel="1">
      <c r="C396" s="828">
        <v>370</v>
      </c>
      <c r="D396" s="829"/>
      <c r="E396" s="830"/>
      <c r="F396" s="830"/>
      <c r="G396" s="1049"/>
      <c r="H396" s="831"/>
      <c r="I396" s="832"/>
      <c r="L396" s="816">
        <f t="shared" si="19"/>
        <v>0</v>
      </c>
      <c r="M396" s="833">
        <f t="shared" si="20"/>
        <v>0</v>
      </c>
      <c r="N396" s="834"/>
      <c r="O396" s="835">
        <f t="shared" si="21"/>
        <v>0</v>
      </c>
      <c r="P396" s="827">
        <f t="shared" si="22"/>
        <v>0</v>
      </c>
      <c r="AD396" s="810"/>
    </row>
    <row r="397" spans="3:30" ht="30" hidden="1" customHeight="1" outlineLevel="1">
      <c r="C397" s="828">
        <v>371</v>
      </c>
      <c r="D397" s="829"/>
      <c r="E397" s="830"/>
      <c r="F397" s="830"/>
      <c r="G397" s="1049"/>
      <c r="H397" s="831"/>
      <c r="I397" s="832"/>
      <c r="L397" s="816">
        <f t="shared" si="19"/>
        <v>0</v>
      </c>
      <c r="M397" s="833">
        <f t="shared" si="20"/>
        <v>0</v>
      </c>
      <c r="N397" s="834"/>
      <c r="O397" s="835">
        <f t="shared" si="21"/>
        <v>0</v>
      </c>
      <c r="P397" s="827">
        <f t="shared" si="22"/>
        <v>0</v>
      </c>
      <c r="AD397" s="810"/>
    </row>
    <row r="398" spans="3:30" ht="30" hidden="1" customHeight="1" outlineLevel="1">
      <c r="C398" s="828">
        <v>372</v>
      </c>
      <c r="D398" s="829"/>
      <c r="E398" s="830"/>
      <c r="F398" s="830"/>
      <c r="G398" s="1049"/>
      <c r="H398" s="831"/>
      <c r="I398" s="832"/>
      <c r="L398" s="816">
        <f t="shared" si="19"/>
        <v>0</v>
      </c>
      <c r="M398" s="833">
        <f t="shared" si="20"/>
        <v>0</v>
      </c>
      <c r="N398" s="834"/>
      <c r="O398" s="835">
        <f t="shared" si="21"/>
        <v>0</v>
      </c>
      <c r="P398" s="827">
        <f t="shared" si="22"/>
        <v>0</v>
      </c>
      <c r="AD398" s="810"/>
    </row>
    <row r="399" spans="3:30" ht="30" hidden="1" customHeight="1" outlineLevel="1">
      <c r="C399" s="828">
        <v>373</v>
      </c>
      <c r="D399" s="829"/>
      <c r="E399" s="830"/>
      <c r="F399" s="830"/>
      <c r="G399" s="1049"/>
      <c r="H399" s="831"/>
      <c r="I399" s="832"/>
      <c r="L399" s="816">
        <f t="shared" si="19"/>
        <v>0</v>
      </c>
      <c r="M399" s="833">
        <f t="shared" si="20"/>
        <v>0</v>
      </c>
      <c r="N399" s="834"/>
      <c r="O399" s="835">
        <f t="shared" si="21"/>
        <v>0</v>
      </c>
      <c r="P399" s="827">
        <f t="shared" si="22"/>
        <v>0</v>
      </c>
      <c r="AD399" s="810"/>
    </row>
    <row r="400" spans="3:30" ht="30" hidden="1" customHeight="1" outlineLevel="1">
      <c r="C400" s="828">
        <v>374</v>
      </c>
      <c r="D400" s="829"/>
      <c r="E400" s="830"/>
      <c r="F400" s="830"/>
      <c r="G400" s="1049"/>
      <c r="H400" s="831"/>
      <c r="I400" s="832"/>
      <c r="L400" s="816">
        <f t="shared" si="19"/>
        <v>0</v>
      </c>
      <c r="M400" s="833">
        <f t="shared" si="20"/>
        <v>0</v>
      </c>
      <c r="N400" s="834"/>
      <c r="O400" s="835">
        <f t="shared" si="21"/>
        <v>0</v>
      </c>
      <c r="P400" s="827">
        <f t="shared" si="22"/>
        <v>0</v>
      </c>
      <c r="AD400" s="810"/>
    </row>
    <row r="401" spans="3:30" ht="30" hidden="1" customHeight="1" outlineLevel="1">
      <c r="C401" s="828">
        <v>375</v>
      </c>
      <c r="D401" s="829"/>
      <c r="E401" s="830"/>
      <c r="F401" s="830"/>
      <c r="G401" s="1049"/>
      <c r="H401" s="831"/>
      <c r="I401" s="832"/>
      <c r="L401" s="816">
        <f t="shared" si="19"/>
        <v>0</v>
      </c>
      <c r="M401" s="833">
        <f t="shared" si="20"/>
        <v>0</v>
      </c>
      <c r="N401" s="834"/>
      <c r="O401" s="835">
        <f t="shared" si="21"/>
        <v>0</v>
      </c>
      <c r="P401" s="827">
        <f t="shared" si="22"/>
        <v>0</v>
      </c>
      <c r="AD401" s="810"/>
    </row>
    <row r="402" spans="3:30" ht="30" hidden="1" customHeight="1" outlineLevel="1">
      <c r="C402" s="828">
        <v>376</v>
      </c>
      <c r="D402" s="829"/>
      <c r="E402" s="830"/>
      <c r="F402" s="830"/>
      <c r="G402" s="1049"/>
      <c r="H402" s="831"/>
      <c r="I402" s="832"/>
      <c r="L402" s="816">
        <f t="shared" si="19"/>
        <v>0</v>
      </c>
      <c r="M402" s="833">
        <f t="shared" si="20"/>
        <v>0</v>
      </c>
      <c r="N402" s="834"/>
      <c r="O402" s="835">
        <f t="shared" si="21"/>
        <v>0</v>
      </c>
      <c r="P402" s="827">
        <f t="shared" si="22"/>
        <v>0</v>
      </c>
      <c r="AD402" s="810"/>
    </row>
    <row r="403" spans="3:30" ht="30" hidden="1" customHeight="1" outlineLevel="1">
      <c r="C403" s="828">
        <v>377</v>
      </c>
      <c r="D403" s="829"/>
      <c r="E403" s="830"/>
      <c r="F403" s="830"/>
      <c r="G403" s="1049"/>
      <c r="H403" s="831"/>
      <c r="I403" s="832"/>
      <c r="L403" s="816">
        <f t="shared" si="19"/>
        <v>0</v>
      </c>
      <c r="M403" s="833">
        <f t="shared" si="20"/>
        <v>0</v>
      </c>
      <c r="N403" s="834"/>
      <c r="O403" s="835">
        <f t="shared" si="21"/>
        <v>0</v>
      </c>
      <c r="P403" s="827">
        <f t="shared" si="22"/>
        <v>0</v>
      </c>
      <c r="AD403" s="810"/>
    </row>
    <row r="404" spans="3:30" ht="30" hidden="1" customHeight="1" outlineLevel="1">
      <c r="C404" s="828">
        <v>378</v>
      </c>
      <c r="D404" s="829"/>
      <c r="E404" s="830"/>
      <c r="F404" s="830"/>
      <c r="G404" s="1049"/>
      <c r="H404" s="831"/>
      <c r="I404" s="832"/>
      <c r="L404" s="816">
        <f t="shared" si="19"/>
        <v>0</v>
      </c>
      <c r="M404" s="833">
        <f t="shared" si="20"/>
        <v>0</v>
      </c>
      <c r="N404" s="834"/>
      <c r="O404" s="835">
        <f t="shared" si="21"/>
        <v>0</v>
      </c>
      <c r="P404" s="827">
        <f t="shared" si="22"/>
        <v>0</v>
      </c>
      <c r="AD404" s="810"/>
    </row>
    <row r="405" spans="3:30" ht="30" hidden="1" customHeight="1" outlineLevel="1">
      <c r="C405" s="828">
        <v>379</v>
      </c>
      <c r="D405" s="829"/>
      <c r="E405" s="830"/>
      <c r="F405" s="830"/>
      <c r="G405" s="1049"/>
      <c r="H405" s="831"/>
      <c r="I405" s="832"/>
      <c r="L405" s="816">
        <f t="shared" si="19"/>
        <v>0</v>
      </c>
      <c r="M405" s="833">
        <f t="shared" si="20"/>
        <v>0</v>
      </c>
      <c r="N405" s="834"/>
      <c r="O405" s="835">
        <f t="shared" si="21"/>
        <v>0</v>
      </c>
      <c r="P405" s="827">
        <f t="shared" si="22"/>
        <v>0</v>
      </c>
      <c r="AD405" s="810"/>
    </row>
    <row r="406" spans="3:30" ht="30" hidden="1" customHeight="1" outlineLevel="1">
      <c r="C406" s="828">
        <v>380</v>
      </c>
      <c r="D406" s="829"/>
      <c r="E406" s="830"/>
      <c r="F406" s="830"/>
      <c r="G406" s="1049"/>
      <c r="H406" s="831"/>
      <c r="I406" s="832"/>
      <c r="L406" s="816">
        <f t="shared" si="19"/>
        <v>0</v>
      </c>
      <c r="M406" s="833">
        <f t="shared" si="20"/>
        <v>0</v>
      </c>
      <c r="N406" s="834"/>
      <c r="O406" s="835">
        <f t="shared" si="21"/>
        <v>0</v>
      </c>
      <c r="P406" s="827">
        <f t="shared" si="22"/>
        <v>0</v>
      </c>
      <c r="AD406" s="810"/>
    </row>
    <row r="407" spans="3:30" ht="30" hidden="1" customHeight="1" outlineLevel="1">
      <c r="C407" s="828">
        <v>381</v>
      </c>
      <c r="D407" s="829"/>
      <c r="E407" s="830"/>
      <c r="F407" s="830"/>
      <c r="G407" s="1049"/>
      <c r="H407" s="831"/>
      <c r="I407" s="832"/>
      <c r="L407" s="816">
        <f t="shared" si="19"/>
        <v>0</v>
      </c>
      <c r="M407" s="833">
        <f t="shared" si="20"/>
        <v>0</v>
      </c>
      <c r="N407" s="834"/>
      <c r="O407" s="835">
        <f t="shared" si="21"/>
        <v>0</v>
      </c>
      <c r="P407" s="827">
        <f t="shared" si="22"/>
        <v>0</v>
      </c>
      <c r="AD407" s="810"/>
    </row>
    <row r="408" spans="3:30" ht="30" hidden="1" customHeight="1" outlineLevel="1">
      <c r="C408" s="828">
        <v>382</v>
      </c>
      <c r="D408" s="829"/>
      <c r="E408" s="830"/>
      <c r="F408" s="830"/>
      <c r="G408" s="1049"/>
      <c r="H408" s="831"/>
      <c r="I408" s="832"/>
      <c r="L408" s="816">
        <f t="shared" si="19"/>
        <v>0</v>
      </c>
      <c r="M408" s="833">
        <f t="shared" si="20"/>
        <v>0</v>
      </c>
      <c r="N408" s="834"/>
      <c r="O408" s="835">
        <f t="shared" si="21"/>
        <v>0</v>
      </c>
      <c r="P408" s="827">
        <f t="shared" si="22"/>
        <v>0</v>
      </c>
      <c r="AD408" s="810"/>
    </row>
    <row r="409" spans="3:30" ht="30" hidden="1" customHeight="1" outlineLevel="1">
      <c r="C409" s="828">
        <v>383</v>
      </c>
      <c r="D409" s="829"/>
      <c r="E409" s="830"/>
      <c r="F409" s="830"/>
      <c r="G409" s="1049"/>
      <c r="H409" s="831"/>
      <c r="I409" s="832"/>
      <c r="L409" s="816">
        <f t="shared" si="19"/>
        <v>0</v>
      </c>
      <c r="M409" s="833">
        <f t="shared" si="20"/>
        <v>0</v>
      </c>
      <c r="N409" s="834"/>
      <c r="O409" s="835">
        <f t="shared" si="21"/>
        <v>0</v>
      </c>
      <c r="P409" s="827">
        <f t="shared" si="22"/>
        <v>0</v>
      </c>
      <c r="AD409" s="810"/>
    </row>
    <row r="410" spans="3:30" ht="30" hidden="1" customHeight="1" outlineLevel="1">
      <c r="C410" s="828">
        <v>384</v>
      </c>
      <c r="D410" s="829"/>
      <c r="E410" s="830"/>
      <c r="F410" s="830"/>
      <c r="G410" s="1049"/>
      <c r="H410" s="831"/>
      <c r="I410" s="832"/>
      <c r="L410" s="816">
        <f t="shared" si="19"/>
        <v>0</v>
      </c>
      <c r="M410" s="833">
        <f t="shared" si="20"/>
        <v>0</v>
      </c>
      <c r="N410" s="834"/>
      <c r="O410" s="835">
        <f t="shared" si="21"/>
        <v>0</v>
      </c>
      <c r="P410" s="827">
        <f t="shared" si="22"/>
        <v>0</v>
      </c>
      <c r="AD410" s="810"/>
    </row>
    <row r="411" spans="3:30" ht="30" hidden="1" customHeight="1" outlineLevel="1">
      <c r="C411" s="828">
        <v>385</v>
      </c>
      <c r="D411" s="829"/>
      <c r="E411" s="830"/>
      <c r="F411" s="830"/>
      <c r="G411" s="1049"/>
      <c r="H411" s="831"/>
      <c r="I411" s="832"/>
      <c r="L411" s="816">
        <f t="shared" si="19"/>
        <v>0</v>
      </c>
      <c r="M411" s="833">
        <f t="shared" si="20"/>
        <v>0</v>
      </c>
      <c r="N411" s="834"/>
      <c r="O411" s="835">
        <f t="shared" si="21"/>
        <v>0</v>
      </c>
      <c r="P411" s="827">
        <f t="shared" si="22"/>
        <v>0</v>
      </c>
      <c r="AD411" s="810"/>
    </row>
    <row r="412" spans="3:30" ht="30" hidden="1" customHeight="1" outlineLevel="1">
      <c r="C412" s="828">
        <v>386</v>
      </c>
      <c r="D412" s="829"/>
      <c r="E412" s="830"/>
      <c r="F412" s="830"/>
      <c r="G412" s="1049"/>
      <c r="H412" s="831"/>
      <c r="I412" s="832"/>
      <c r="L412" s="816">
        <f t="shared" si="19"/>
        <v>0</v>
      </c>
      <c r="M412" s="833">
        <f t="shared" si="20"/>
        <v>0</v>
      </c>
      <c r="N412" s="834"/>
      <c r="O412" s="835">
        <f t="shared" si="21"/>
        <v>0</v>
      </c>
      <c r="P412" s="827">
        <f t="shared" si="22"/>
        <v>0</v>
      </c>
      <c r="AD412" s="810"/>
    </row>
    <row r="413" spans="3:30" ht="30" hidden="1" customHeight="1" outlineLevel="1">
      <c r="C413" s="828">
        <v>387</v>
      </c>
      <c r="D413" s="829"/>
      <c r="E413" s="830"/>
      <c r="F413" s="830"/>
      <c r="G413" s="1049"/>
      <c r="H413" s="831"/>
      <c r="I413" s="832"/>
      <c r="L413" s="816">
        <f t="shared" si="19"/>
        <v>0</v>
      </c>
      <c r="M413" s="833">
        <f t="shared" si="20"/>
        <v>0</v>
      </c>
      <c r="N413" s="834"/>
      <c r="O413" s="835">
        <f t="shared" si="21"/>
        <v>0</v>
      </c>
      <c r="P413" s="827">
        <f t="shared" si="22"/>
        <v>0</v>
      </c>
      <c r="AD413" s="810"/>
    </row>
    <row r="414" spans="3:30" ht="30" hidden="1" customHeight="1" outlineLevel="1">
      <c r="C414" s="828">
        <v>388</v>
      </c>
      <c r="D414" s="829"/>
      <c r="E414" s="830"/>
      <c r="F414" s="830"/>
      <c r="G414" s="1049"/>
      <c r="H414" s="831"/>
      <c r="I414" s="832"/>
      <c r="L414" s="816">
        <f t="shared" si="19"/>
        <v>0</v>
      </c>
      <c r="M414" s="833">
        <f t="shared" si="20"/>
        <v>0</v>
      </c>
      <c r="N414" s="834"/>
      <c r="O414" s="835">
        <f t="shared" si="21"/>
        <v>0</v>
      </c>
      <c r="P414" s="827">
        <f t="shared" si="22"/>
        <v>0</v>
      </c>
      <c r="AD414" s="810"/>
    </row>
    <row r="415" spans="3:30" ht="30" hidden="1" customHeight="1" outlineLevel="1">
      <c r="C415" s="828">
        <v>389</v>
      </c>
      <c r="D415" s="829"/>
      <c r="E415" s="830"/>
      <c r="F415" s="830"/>
      <c r="G415" s="1049"/>
      <c r="H415" s="831"/>
      <c r="I415" s="832"/>
      <c r="L415" s="816">
        <f t="shared" si="19"/>
        <v>0</v>
      </c>
      <c r="M415" s="833">
        <f t="shared" si="20"/>
        <v>0</v>
      </c>
      <c r="N415" s="834"/>
      <c r="O415" s="835">
        <f t="shared" si="21"/>
        <v>0</v>
      </c>
      <c r="P415" s="827">
        <f t="shared" si="22"/>
        <v>0</v>
      </c>
      <c r="AD415" s="810"/>
    </row>
    <row r="416" spans="3:30" ht="30" hidden="1" customHeight="1" outlineLevel="1">
      <c r="C416" s="828">
        <v>390</v>
      </c>
      <c r="D416" s="829"/>
      <c r="E416" s="830"/>
      <c r="F416" s="830"/>
      <c r="G416" s="1049"/>
      <c r="H416" s="831"/>
      <c r="I416" s="832"/>
      <c r="L416" s="816">
        <f t="shared" si="19"/>
        <v>0</v>
      </c>
      <c r="M416" s="833">
        <f t="shared" si="20"/>
        <v>0</v>
      </c>
      <c r="N416" s="834"/>
      <c r="O416" s="835">
        <f t="shared" si="21"/>
        <v>0</v>
      </c>
      <c r="P416" s="827">
        <f t="shared" si="22"/>
        <v>0</v>
      </c>
      <c r="AD416" s="810"/>
    </row>
    <row r="417" spans="3:30" ht="30" hidden="1" customHeight="1" outlineLevel="1">
      <c r="C417" s="828">
        <v>391</v>
      </c>
      <c r="D417" s="829"/>
      <c r="E417" s="830"/>
      <c r="F417" s="830"/>
      <c r="G417" s="1049"/>
      <c r="H417" s="831"/>
      <c r="I417" s="832"/>
      <c r="L417" s="816">
        <f t="shared" si="19"/>
        <v>0</v>
      </c>
      <c r="M417" s="833">
        <f t="shared" si="20"/>
        <v>0</v>
      </c>
      <c r="N417" s="834"/>
      <c r="O417" s="835">
        <f t="shared" si="21"/>
        <v>0</v>
      </c>
      <c r="P417" s="827">
        <f t="shared" si="22"/>
        <v>0</v>
      </c>
      <c r="AD417" s="810"/>
    </row>
    <row r="418" spans="3:30" ht="30" hidden="1" customHeight="1" outlineLevel="1">
      <c r="C418" s="828">
        <v>392</v>
      </c>
      <c r="D418" s="829"/>
      <c r="E418" s="830"/>
      <c r="F418" s="830"/>
      <c r="G418" s="1049"/>
      <c r="H418" s="831"/>
      <c r="I418" s="832"/>
      <c r="L418" s="816">
        <f t="shared" si="19"/>
        <v>0</v>
      </c>
      <c r="M418" s="833">
        <f t="shared" si="20"/>
        <v>0</v>
      </c>
      <c r="N418" s="834"/>
      <c r="O418" s="835">
        <f t="shared" si="21"/>
        <v>0</v>
      </c>
      <c r="P418" s="827">
        <f t="shared" si="22"/>
        <v>0</v>
      </c>
      <c r="AD418" s="810"/>
    </row>
    <row r="419" spans="3:30" ht="30" hidden="1" customHeight="1" outlineLevel="1">
      <c r="C419" s="828">
        <v>393</v>
      </c>
      <c r="D419" s="829"/>
      <c r="E419" s="830"/>
      <c r="F419" s="830"/>
      <c r="G419" s="1049"/>
      <c r="H419" s="831"/>
      <c r="I419" s="832"/>
      <c r="L419" s="816">
        <f t="shared" si="19"/>
        <v>0</v>
      </c>
      <c r="M419" s="833">
        <f t="shared" si="20"/>
        <v>0</v>
      </c>
      <c r="N419" s="834"/>
      <c r="O419" s="835">
        <f t="shared" si="21"/>
        <v>0</v>
      </c>
      <c r="P419" s="827">
        <f t="shared" si="22"/>
        <v>0</v>
      </c>
      <c r="AD419" s="810"/>
    </row>
    <row r="420" spans="3:30" ht="30" hidden="1" customHeight="1" outlineLevel="1">
      <c r="C420" s="828">
        <v>394</v>
      </c>
      <c r="D420" s="829"/>
      <c r="E420" s="830"/>
      <c r="F420" s="830"/>
      <c r="G420" s="1049"/>
      <c r="H420" s="831"/>
      <c r="I420" s="832"/>
      <c r="L420" s="816">
        <f t="shared" si="19"/>
        <v>0</v>
      </c>
      <c r="M420" s="833">
        <f t="shared" si="20"/>
        <v>0</v>
      </c>
      <c r="N420" s="834"/>
      <c r="O420" s="835">
        <f t="shared" si="21"/>
        <v>0</v>
      </c>
      <c r="P420" s="827">
        <f t="shared" si="22"/>
        <v>0</v>
      </c>
      <c r="AD420" s="810"/>
    </row>
    <row r="421" spans="3:30" ht="30" hidden="1" customHeight="1" outlineLevel="1">
      <c r="C421" s="828">
        <v>395</v>
      </c>
      <c r="D421" s="829"/>
      <c r="E421" s="830"/>
      <c r="F421" s="830"/>
      <c r="G421" s="1049"/>
      <c r="H421" s="831"/>
      <c r="I421" s="832"/>
      <c r="L421" s="816">
        <f t="shared" si="19"/>
        <v>0</v>
      </c>
      <c r="M421" s="833">
        <f t="shared" si="20"/>
        <v>0</v>
      </c>
      <c r="N421" s="834"/>
      <c r="O421" s="835">
        <f t="shared" si="21"/>
        <v>0</v>
      </c>
      <c r="P421" s="827">
        <f t="shared" si="22"/>
        <v>0</v>
      </c>
      <c r="AD421" s="810"/>
    </row>
    <row r="422" spans="3:30" ht="30" hidden="1" customHeight="1" outlineLevel="1">
      <c r="C422" s="828">
        <v>396</v>
      </c>
      <c r="D422" s="829"/>
      <c r="E422" s="830"/>
      <c r="F422" s="830"/>
      <c r="G422" s="1049"/>
      <c r="H422" s="831"/>
      <c r="I422" s="832"/>
      <c r="L422" s="816">
        <f t="shared" si="19"/>
        <v>0</v>
      </c>
      <c r="M422" s="833">
        <f t="shared" si="20"/>
        <v>0</v>
      </c>
      <c r="N422" s="834"/>
      <c r="O422" s="835">
        <f t="shared" si="21"/>
        <v>0</v>
      </c>
      <c r="P422" s="827">
        <f t="shared" si="22"/>
        <v>0</v>
      </c>
      <c r="AD422" s="810"/>
    </row>
    <row r="423" spans="3:30" ht="30" hidden="1" customHeight="1" outlineLevel="1">
      <c r="C423" s="828">
        <v>397</v>
      </c>
      <c r="D423" s="829"/>
      <c r="E423" s="830"/>
      <c r="F423" s="830"/>
      <c r="G423" s="1049"/>
      <c r="H423" s="831"/>
      <c r="I423" s="832"/>
      <c r="L423" s="816">
        <f t="shared" si="19"/>
        <v>0</v>
      </c>
      <c r="M423" s="833">
        <f t="shared" si="20"/>
        <v>0</v>
      </c>
      <c r="N423" s="834"/>
      <c r="O423" s="835">
        <f t="shared" si="21"/>
        <v>0</v>
      </c>
      <c r="P423" s="827">
        <f t="shared" si="22"/>
        <v>0</v>
      </c>
      <c r="AD423" s="810"/>
    </row>
    <row r="424" spans="3:30" ht="30" hidden="1" customHeight="1" outlineLevel="1">
      <c r="C424" s="828">
        <v>398</v>
      </c>
      <c r="D424" s="829"/>
      <c r="E424" s="830"/>
      <c r="F424" s="830"/>
      <c r="G424" s="1049"/>
      <c r="H424" s="831"/>
      <c r="I424" s="832"/>
      <c r="L424" s="816">
        <f t="shared" si="19"/>
        <v>0</v>
      </c>
      <c r="M424" s="833">
        <f t="shared" si="20"/>
        <v>0</v>
      </c>
      <c r="N424" s="834"/>
      <c r="O424" s="835">
        <f t="shared" si="21"/>
        <v>0</v>
      </c>
      <c r="P424" s="827">
        <f t="shared" si="22"/>
        <v>0</v>
      </c>
      <c r="AD424" s="810"/>
    </row>
    <row r="425" spans="3:30" ht="30" hidden="1" customHeight="1" outlineLevel="1">
      <c r="C425" s="828">
        <v>399</v>
      </c>
      <c r="D425" s="829"/>
      <c r="E425" s="830"/>
      <c r="F425" s="830"/>
      <c r="G425" s="1049"/>
      <c r="H425" s="831"/>
      <c r="I425" s="832"/>
      <c r="L425" s="816">
        <f t="shared" si="19"/>
        <v>0</v>
      </c>
      <c r="M425" s="833">
        <f t="shared" si="20"/>
        <v>0</v>
      </c>
      <c r="N425" s="834"/>
      <c r="O425" s="835">
        <f t="shared" si="21"/>
        <v>0</v>
      </c>
      <c r="P425" s="827">
        <f t="shared" si="22"/>
        <v>0</v>
      </c>
      <c r="AD425" s="810"/>
    </row>
    <row r="426" spans="3:30" ht="30" hidden="1" customHeight="1" outlineLevel="1">
      <c r="C426" s="828">
        <v>400</v>
      </c>
      <c r="D426" s="829"/>
      <c r="E426" s="830"/>
      <c r="F426" s="830"/>
      <c r="G426" s="1049"/>
      <c r="H426" s="831"/>
      <c r="I426" s="832"/>
      <c r="L426" s="816">
        <f t="shared" si="19"/>
        <v>0</v>
      </c>
      <c r="M426" s="833">
        <f t="shared" si="20"/>
        <v>0</v>
      </c>
      <c r="N426" s="834"/>
      <c r="O426" s="835">
        <f t="shared" si="21"/>
        <v>0</v>
      </c>
      <c r="P426" s="827">
        <f t="shared" si="22"/>
        <v>0</v>
      </c>
      <c r="AD426" s="810"/>
    </row>
    <row r="427" spans="3:30" ht="30" hidden="1" customHeight="1" outlineLevel="1">
      <c r="C427" s="828">
        <v>401</v>
      </c>
      <c r="D427" s="829"/>
      <c r="E427" s="830"/>
      <c r="F427" s="830"/>
      <c r="G427" s="1049"/>
      <c r="H427" s="831"/>
      <c r="I427" s="832"/>
      <c r="L427" s="816">
        <f t="shared" si="19"/>
        <v>0</v>
      </c>
      <c r="M427" s="833">
        <f t="shared" si="20"/>
        <v>0</v>
      </c>
      <c r="N427" s="834"/>
      <c r="O427" s="835">
        <f t="shared" si="21"/>
        <v>0</v>
      </c>
      <c r="P427" s="827">
        <f t="shared" si="22"/>
        <v>0</v>
      </c>
      <c r="AD427" s="810"/>
    </row>
    <row r="428" spans="3:30" ht="30" hidden="1" customHeight="1" outlineLevel="1">
      <c r="C428" s="828">
        <v>402</v>
      </c>
      <c r="D428" s="829"/>
      <c r="E428" s="830"/>
      <c r="F428" s="830"/>
      <c r="G428" s="1049"/>
      <c r="H428" s="831"/>
      <c r="I428" s="832"/>
      <c r="L428" s="816">
        <f t="shared" si="19"/>
        <v>0</v>
      </c>
      <c r="M428" s="833">
        <f t="shared" si="20"/>
        <v>0</v>
      </c>
      <c r="N428" s="834"/>
      <c r="O428" s="835">
        <f t="shared" si="21"/>
        <v>0</v>
      </c>
      <c r="P428" s="827">
        <f t="shared" si="22"/>
        <v>0</v>
      </c>
      <c r="AD428" s="810"/>
    </row>
    <row r="429" spans="3:30" ht="30" hidden="1" customHeight="1" outlineLevel="1">
      <c r="C429" s="828">
        <v>403</v>
      </c>
      <c r="D429" s="829"/>
      <c r="E429" s="830"/>
      <c r="F429" s="830"/>
      <c r="G429" s="1049"/>
      <c r="H429" s="831"/>
      <c r="I429" s="832"/>
      <c r="L429" s="816">
        <f t="shared" si="19"/>
        <v>0</v>
      </c>
      <c r="M429" s="833">
        <f t="shared" si="20"/>
        <v>0</v>
      </c>
      <c r="N429" s="834"/>
      <c r="O429" s="835">
        <f t="shared" si="21"/>
        <v>0</v>
      </c>
      <c r="P429" s="827">
        <f t="shared" si="22"/>
        <v>0</v>
      </c>
      <c r="AD429" s="810"/>
    </row>
    <row r="430" spans="3:30" ht="30" hidden="1" customHeight="1" outlineLevel="1">
      <c r="C430" s="828">
        <v>404</v>
      </c>
      <c r="D430" s="829"/>
      <c r="E430" s="830"/>
      <c r="F430" s="830"/>
      <c r="G430" s="1049"/>
      <c r="H430" s="831"/>
      <c r="I430" s="832"/>
      <c r="L430" s="816">
        <f t="shared" si="19"/>
        <v>0</v>
      </c>
      <c r="M430" s="833">
        <f t="shared" si="20"/>
        <v>0</v>
      </c>
      <c r="N430" s="834"/>
      <c r="O430" s="835">
        <f t="shared" si="21"/>
        <v>0</v>
      </c>
      <c r="P430" s="827">
        <f t="shared" si="22"/>
        <v>0</v>
      </c>
      <c r="AD430" s="810"/>
    </row>
    <row r="431" spans="3:30" ht="30" hidden="1" customHeight="1" outlineLevel="1">
      <c r="C431" s="828">
        <v>405</v>
      </c>
      <c r="D431" s="829"/>
      <c r="E431" s="830"/>
      <c r="F431" s="830"/>
      <c r="G431" s="1049"/>
      <c r="H431" s="831"/>
      <c r="I431" s="832"/>
      <c r="L431" s="816">
        <f t="shared" si="19"/>
        <v>0</v>
      </c>
      <c r="M431" s="833">
        <f t="shared" si="20"/>
        <v>0</v>
      </c>
      <c r="N431" s="834"/>
      <c r="O431" s="835">
        <f t="shared" si="21"/>
        <v>0</v>
      </c>
      <c r="P431" s="827">
        <f t="shared" si="22"/>
        <v>0</v>
      </c>
      <c r="AD431" s="810"/>
    </row>
    <row r="432" spans="3:30" ht="30" hidden="1" customHeight="1" outlineLevel="1">
      <c r="C432" s="828">
        <v>406</v>
      </c>
      <c r="D432" s="829"/>
      <c r="E432" s="830"/>
      <c r="F432" s="830"/>
      <c r="G432" s="1049"/>
      <c r="H432" s="831"/>
      <c r="I432" s="832"/>
      <c r="L432" s="816">
        <f t="shared" ref="L432:L495" si="23">IF($G432&gt;0,E432,)</f>
        <v>0</v>
      </c>
      <c r="M432" s="833">
        <f t="shared" ref="M432:M495" si="24">IF($G432&gt;0,F432,)</f>
        <v>0</v>
      </c>
      <c r="N432" s="834"/>
      <c r="O432" s="835">
        <f t="shared" ref="O432:O495" si="25">ROUND(L432*N432/10,)</f>
        <v>0</v>
      </c>
      <c r="P432" s="827">
        <f t="shared" ref="P432:P495" si="26">ROUND(O432*G432%,)</f>
        <v>0</v>
      </c>
      <c r="AD432" s="810"/>
    </row>
    <row r="433" spans="3:30" ht="30" hidden="1" customHeight="1" outlineLevel="1">
      <c r="C433" s="828">
        <v>407</v>
      </c>
      <c r="D433" s="829"/>
      <c r="E433" s="830"/>
      <c r="F433" s="830"/>
      <c r="G433" s="1049"/>
      <c r="H433" s="831"/>
      <c r="I433" s="832"/>
      <c r="L433" s="816">
        <f t="shared" si="23"/>
        <v>0</v>
      </c>
      <c r="M433" s="833">
        <f t="shared" si="24"/>
        <v>0</v>
      </c>
      <c r="N433" s="834"/>
      <c r="O433" s="835">
        <f t="shared" si="25"/>
        <v>0</v>
      </c>
      <c r="P433" s="827">
        <f t="shared" si="26"/>
        <v>0</v>
      </c>
      <c r="AD433" s="810"/>
    </row>
    <row r="434" spans="3:30" ht="30" hidden="1" customHeight="1" outlineLevel="1">
      <c r="C434" s="828">
        <v>408</v>
      </c>
      <c r="D434" s="829"/>
      <c r="E434" s="830"/>
      <c r="F434" s="830"/>
      <c r="G434" s="1049"/>
      <c r="H434" s="831"/>
      <c r="I434" s="832"/>
      <c r="L434" s="816">
        <f t="shared" si="23"/>
        <v>0</v>
      </c>
      <c r="M434" s="833">
        <f t="shared" si="24"/>
        <v>0</v>
      </c>
      <c r="N434" s="834"/>
      <c r="O434" s="835">
        <f t="shared" si="25"/>
        <v>0</v>
      </c>
      <c r="P434" s="827">
        <f t="shared" si="26"/>
        <v>0</v>
      </c>
      <c r="AD434" s="810"/>
    </row>
    <row r="435" spans="3:30" ht="30" hidden="1" customHeight="1" outlineLevel="1">
      <c r="C435" s="828">
        <v>409</v>
      </c>
      <c r="D435" s="829"/>
      <c r="E435" s="830"/>
      <c r="F435" s="830"/>
      <c r="G435" s="1049"/>
      <c r="H435" s="831"/>
      <c r="I435" s="832"/>
      <c r="L435" s="816">
        <f t="shared" si="23"/>
        <v>0</v>
      </c>
      <c r="M435" s="833">
        <f t="shared" si="24"/>
        <v>0</v>
      </c>
      <c r="N435" s="834"/>
      <c r="O435" s="835">
        <f t="shared" si="25"/>
        <v>0</v>
      </c>
      <c r="P435" s="827">
        <f t="shared" si="26"/>
        <v>0</v>
      </c>
      <c r="AD435" s="810"/>
    </row>
    <row r="436" spans="3:30" ht="30" hidden="1" customHeight="1" outlineLevel="1">
      <c r="C436" s="828">
        <v>410</v>
      </c>
      <c r="D436" s="829"/>
      <c r="E436" s="830"/>
      <c r="F436" s="830"/>
      <c r="G436" s="1049"/>
      <c r="H436" s="831"/>
      <c r="I436" s="832"/>
      <c r="L436" s="816">
        <f t="shared" si="23"/>
        <v>0</v>
      </c>
      <c r="M436" s="833">
        <f t="shared" si="24"/>
        <v>0</v>
      </c>
      <c r="N436" s="834"/>
      <c r="O436" s="835">
        <f t="shared" si="25"/>
        <v>0</v>
      </c>
      <c r="P436" s="827">
        <f t="shared" si="26"/>
        <v>0</v>
      </c>
      <c r="AD436" s="810"/>
    </row>
    <row r="437" spans="3:30" ht="30" hidden="1" customHeight="1" outlineLevel="1">
      <c r="C437" s="828">
        <v>411</v>
      </c>
      <c r="D437" s="829"/>
      <c r="E437" s="830"/>
      <c r="F437" s="830"/>
      <c r="G437" s="1049"/>
      <c r="H437" s="831"/>
      <c r="I437" s="832"/>
      <c r="L437" s="816">
        <f t="shared" si="23"/>
        <v>0</v>
      </c>
      <c r="M437" s="833">
        <f t="shared" si="24"/>
        <v>0</v>
      </c>
      <c r="N437" s="834"/>
      <c r="O437" s="835">
        <f t="shared" si="25"/>
        <v>0</v>
      </c>
      <c r="P437" s="827">
        <f t="shared" si="26"/>
        <v>0</v>
      </c>
      <c r="AD437" s="810"/>
    </row>
    <row r="438" spans="3:30" ht="30" hidden="1" customHeight="1" outlineLevel="1">
      <c r="C438" s="828">
        <v>412</v>
      </c>
      <c r="D438" s="829"/>
      <c r="E438" s="830"/>
      <c r="F438" s="830"/>
      <c r="G438" s="1049"/>
      <c r="H438" s="831"/>
      <c r="I438" s="832"/>
      <c r="L438" s="816">
        <f t="shared" si="23"/>
        <v>0</v>
      </c>
      <c r="M438" s="833">
        <f t="shared" si="24"/>
        <v>0</v>
      </c>
      <c r="N438" s="834"/>
      <c r="O438" s="835">
        <f t="shared" si="25"/>
        <v>0</v>
      </c>
      <c r="P438" s="827">
        <f t="shared" si="26"/>
        <v>0</v>
      </c>
      <c r="AD438" s="810"/>
    </row>
    <row r="439" spans="3:30" ht="30" hidden="1" customHeight="1" outlineLevel="1">
      <c r="C439" s="828">
        <v>413</v>
      </c>
      <c r="D439" s="829"/>
      <c r="E439" s="830"/>
      <c r="F439" s="830"/>
      <c r="G439" s="1049"/>
      <c r="H439" s="831"/>
      <c r="I439" s="832"/>
      <c r="L439" s="816">
        <f t="shared" si="23"/>
        <v>0</v>
      </c>
      <c r="M439" s="833">
        <f t="shared" si="24"/>
        <v>0</v>
      </c>
      <c r="N439" s="834"/>
      <c r="O439" s="835">
        <f t="shared" si="25"/>
        <v>0</v>
      </c>
      <c r="P439" s="827">
        <f t="shared" si="26"/>
        <v>0</v>
      </c>
      <c r="AD439" s="810"/>
    </row>
    <row r="440" spans="3:30" ht="30" hidden="1" customHeight="1" outlineLevel="1">
      <c r="C440" s="828">
        <v>414</v>
      </c>
      <c r="D440" s="829"/>
      <c r="E440" s="830"/>
      <c r="F440" s="830"/>
      <c r="G440" s="1049"/>
      <c r="H440" s="831"/>
      <c r="I440" s="832"/>
      <c r="L440" s="816">
        <f t="shared" si="23"/>
        <v>0</v>
      </c>
      <c r="M440" s="833">
        <f t="shared" si="24"/>
        <v>0</v>
      </c>
      <c r="N440" s="834"/>
      <c r="O440" s="835">
        <f t="shared" si="25"/>
        <v>0</v>
      </c>
      <c r="P440" s="827">
        <f t="shared" si="26"/>
        <v>0</v>
      </c>
      <c r="AD440" s="810"/>
    </row>
    <row r="441" spans="3:30" ht="30" hidden="1" customHeight="1" outlineLevel="1">
      <c r="C441" s="828">
        <v>415</v>
      </c>
      <c r="D441" s="829"/>
      <c r="E441" s="830"/>
      <c r="F441" s="830"/>
      <c r="G441" s="1049"/>
      <c r="H441" s="831"/>
      <c r="I441" s="832"/>
      <c r="L441" s="816">
        <f t="shared" si="23"/>
        <v>0</v>
      </c>
      <c r="M441" s="833">
        <f t="shared" si="24"/>
        <v>0</v>
      </c>
      <c r="N441" s="834"/>
      <c r="O441" s="835">
        <f t="shared" si="25"/>
        <v>0</v>
      </c>
      <c r="P441" s="827">
        <f t="shared" si="26"/>
        <v>0</v>
      </c>
      <c r="AD441" s="810"/>
    </row>
    <row r="442" spans="3:30" ht="30" hidden="1" customHeight="1" outlineLevel="1">
      <c r="C442" s="828">
        <v>416</v>
      </c>
      <c r="D442" s="829"/>
      <c r="E442" s="830"/>
      <c r="F442" s="830"/>
      <c r="G442" s="1049"/>
      <c r="H442" s="831"/>
      <c r="I442" s="832"/>
      <c r="L442" s="816">
        <f t="shared" si="23"/>
        <v>0</v>
      </c>
      <c r="M442" s="833">
        <f t="shared" si="24"/>
        <v>0</v>
      </c>
      <c r="N442" s="834"/>
      <c r="O442" s="835">
        <f t="shared" si="25"/>
        <v>0</v>
      </c>
      <c r="P442" s="827">
        <f t="shared" si="26"/>
        <v>0</v>
      </c>
      <c r="AD442" s="810"/>
    </row>
    <row r="443" spans="3:30" ht="30" hidden="1" customHeight="1" outlineLevel="1">
      <c r="C443" s="828">
        <v>417</v>
      </c>
      <c r="D443" s="829"/>
      <c r="E443" s="830"/>
      <c r="F443" s="830"/>
      <c r="G443" s="1049"/>
      <c r="H443" s="831"/>
      <c r="I443" s="832"/>
      <c r="L443" s="816">
        <f t="shared" si="23"/>
        <v>0</v>
      </c>
      <c r="M443" s="833">
        <f t="shared" si="24"/>
        <v>0</v>
      </c>
      <c r="N443" s="834"/>
      <c r="O443" s="835">
        <f t="shared" si="25"/>
        <v>0</v>
      </c>
      <c r="P443" s="827">
        <f t="shared" si="26"/>
        <v>0</v>
      </c>
      <c r="AD443" s="810"/>
    </row>
    <row r="444" spans="3:30" ht="30" hidden="1" customHeight="1" outlineLevel="1">
      <c r="C444" s="828">
        <v>418</v>
      </c>
      <c r="D444" s="829"/>
      <c r="E444" s="830"/>
      <c r="F444" s="830"/>
      <c r="G444" s="1049"/>
      <c r="H444" s="831"/>
      <c r="I444" s="832"/>
      <c r="L444" s="816">
        <f t="shared" si="23"/>
        <v>0</v>
      </c>
      <c r="M444" s="833">
        <f t="shared" si="24"/>
        <v>0</v>
      </c>
      <c r="N444" s="834"/>
      <c r="O444" s="835">
        <f t="shared" si="25"/>
        <v>0</v>
      </c>
      <c r="P444" s="827">
        <f t="shared" si="26"/>
        <v>0</v>
      </c>
      <c r="AD444" s="810"/>
    </row>
    <row r="445" spans="3:30" ht="30" hidden="1" customHeight="1" outlineLevel="1">
      <c r="C445" s="828">
        <v>419</v>
      </c>
      <c r="D445" s="829"/>
      <c r="E445" s="830"/>
      <c r="F445" s="830"/>
      <c r="G445" s="1049"/>
      <c r="H445" s="831"/>
      <c r="I445" s="832"/>
      <c r="L445" s="816">
        <f t="shared" si="23"/>
        <v>0</v>
      </c>
      <c r="M445" s="833">
        <f t="shared" si="24"/>
        <v>0</v>
      </c>
      <c r="N445" s="834"/>
      <c r="O445" s="835">
        <f t="shared" si="25"/>
        <v>0</v>
      </c>
      <c r="P445" s="827">
        <f t="shared" si="26"/>
        <v>0</v>
      </c>
      <c r="AD445" s="810"/>
    </row>
    <row r="446" spans="3:30" ht="30" hidden="1" customHeight="1" outlineLevel="1">
      <c r="C446" s="828">
        <v>420</v>
      </c>
      <c r="D446" s="829"/>
      <c r="E446" s="830"/>
      <c r="F446" s="830"/>
      <c r="G446" s="1049"/>
      <c r="H446" s="831"/>
      <c r="I446" s="832"/>
      <c r="L446" s="816">
        <f t="shared" si="23"/>
        <v>0</v>
      </c>
      <c r="M446" s="833">
        <f t="shared" si="24"/>
        <v>0</v>
      </c>
      <c r="N446" s="834"/>
      <c r="O446" s="835">
        <f t="shared" si="25"/>
        <v>0</v>
      </c>
      <c r="P446" s="827">
        <f t="shared" si="26"/>
        <v>0</v>
      </c>
      <c r="AD446" s="810"/>
    </row>
    <row r="447" spans="3:30" ht="30" hidden="1" customHeight="1" outlineLevel="1">
      <c r="C447" s="828">
        <v>421</v>
      </c>
      <c r="D447" s="829"/>
      <c r="E447" s="830"/>
      <c r="F447" s="830"/>
      <c r="G447" s="1049"/>
      <c r="H447" s="831"/>
      <c r="I447" s="832"/>
      <c r="L447" s="816">
        <f t="shared" si="23"/>
        <v>0</v>
      </c>
      <c r="M447" s="833">
        <f t="shared" si="24"/>
        <v>0</v>
      </c>
      <c r="N447" s="834"/>
      <c r="O447" s="835">
        <f t="shared" si="25"/>
        <v>0</v>
      </c>
      <c r="P447" s="827">
        <f t="shared" si="26"/>
        <v>0</v>
      </c>
      <c r="AD447" s="810"/>
    </row>
    <row r="448" spans="3:30" ht="30" hidden="1" customHeight="1" outlineLevel="1">
      <c r="C448" s="828">
        <v>422</v>
      </c>
      <c r="D448" s="829"/>
      <c r="E448" s="830"/>
      <c r="F448" s="830"/>
      <c r="G448" s="1049"/>
      <c r="H448" s="831"/>
      <c r="I448" s="832"/>
      <c r="L448" s="816">
        <f t="shared" si="23"/>
        <v>0</v>
      </c>
      <c r="M448" s="833">
        <f t="shared" si="24"/>
        <v>0</v>
      </c>
      <c r="N448" s="834"/>
      <c r="O448" s="835">
        <f t="shared" si="25"/>
        <v>0</v>
      </c>
      <c r="P448" s="827">
        <f t="shared" si="26"/>
        <v>0</v>
      </c>
      <c r="AD448" s="810"/>
    </row>
    <row r="449" spans="3:30" ht="30" hidden="1" customHeight="1" outlineLevel="1">
      <c r="C449" s="828">
        <v>423</v>
      </c>
      <c r="D449" s="829"/>
      <c r="E449" s="830"/>
      <c r="F449" s="830"/>
      <c r="G449" s="1049"/>
      <c r="H449" s="831"/>
      <c r="I449" s="832"/>
      <c r="L449" s="816">
        <f t="shared" si="23"/>
        <v>0</v>
      </c>
      <c r="M449" s="833">
        <f t="shared" si="24"/>
        <v>0</v>
      </c>
      <c r="N449" s="834"/>
      <c r="O449" s="835">
        <f t="shared" si="25"/>
        <v>0</v>
      </c>
      <c r="P449" s="827">
        <f t="shared" si="26"/>
        <v>0</v>
      </c>
      <c r="AD449" s="810"/>
    </row>
    <row r="450" spans="3:30" ht="30" hidden="1" customHeight="1" outlineLevel="1">
      <c r="C450" s="828">
        <v>424</v>
      </c>
      <c r="D450" s="829"/>
      <c r="E450" s="830"/>
      <c r="F450" s="830"/>
      <c r="G450" s="1049"/>
      <c r="H450" s="831"/>
      <c r="I450" s="832"/>
      <c r="L450" s="816">
        <f t="shared" si="23"/>
        <v>0</v>
      </c>
      <c r="M450" s="833">
        <f t="shared" si="24"/>
        <v>0</v>
      </c>
      <c r="N450" s="834"/>
      <c r="O450" s="835">
        <f t="shared" si="25"/>
        <v>0</v>
      </c>
      <c r="P450" s="827">
        <f t="shared" si="26"/>
        <v>0</v>
      </c>
      <c r="AD450" s="810"/>
    </row>
    <row r="451" spans="3:30" ht="30" hidden="1" customHeight="1" outlineLevel="1">
      <c r="C451" s="828">
        <v>425</v>
      </c>
      <c r="D451" s="829"/>
      <c r="E451" s="830"/>
      <c r="F451" s="830"/>
      <c r="G451" s="1049"/>
      <c r="H451" s="831"/>
      <c r="I451" s="832"/>
      <c r="L451" s="816">
        <f t="shared" si="23"/>
        <v>0</v>
      </c>
      <c r="M451" s="833">
        <f t="shared" si="24"/>
        <v>0</v>
      </c>
      <c r="N451" s="834"/>
      <c r="O451" s="835">
        <f t="shared" si="25"/>
        <v>0</v>
      </c>
      <c r="P451" s="827">
        <f t="shared" si="26"/>
        <v>0</v>
      </c>
      <c r="AD451" s="810"/>
    </row>
    <row r="452" spans="3:30" ht="30" hidden="1" customHeight="1" outlineLevel="1">
      <c r="C452" s="828">
        <v>426</v>
      </c>
      <c r="D452" s="829"/>
      <c r="E452" s="830"/>
      <c r="F452" s="830"/>
      <c r="G452" s="1049"/>
      <c r="H452" s="831"/>
      <c r="I452" s="832"/>
      <c r="L452" s="816">
        <f t="shared" si="23"/>
        <v>0</v>
      </c>
      <c r="M452" s="833">
        <f t="shared" si="24"/>
        <v>0</v>
      </c>
      <c r="N452" s="834"/>
      <c r="O452" s="835">
        <f t="shared" si="25"/>
        <v>0</v>
      </c>
      <c r="P452" s="827">
        <f t="shared" si="26"/>
        <v>0</v>
      </c>
      <c r="AD452" s="810"/>
    </row>
    <row r="453" spans="3:30" ht="30" hidden="1" customHeight="1" outlineLevel="1">
      <c r="C453" s="828">
        <v>427</v>
      </c>
      <c r="D453" s="829"/>
      <c r="E453" s="830"/>
      <c r="F453" s="830"/>
      <c r="G453" s="1049"/>
      <c r="H453" s="831"/>
      <c r="I453" s="832"/>
      <c r="L453" s="816">
        <f t="shared" si="23"/>
        <v>0</v>
      </c>
      <c r="M453" s="833">
        <f t="shared" si="24"/>
        <v>0</v>
      </c>
      <c r="N453" s="834"/>
      <c r="O453" s="835">
        <f t="shared" si="25"/>
        <v>0</v>
      </c>
      <c r="P453" s="827">
        <f t="shared" si="26"/>
        <v>0</v>
      </c>
      <c r="AD453" s="810"/>
    </row>
    <row r="454" spans="3:30" ht="30" hidden="1" customHeight="1" outlineLevel="1">
      <c r="C454" s="828">
        <v>428</v>
      </c>
      <c r="D454" s="829"/>
      <c r="E454" s="830"/>
      <c r="F454" s="830"/>
      <c r="G454" s="1049"/>
      <c r="H454" s="831"/>
      <c r="I454" s="832"/>
      <c r="L454" s="816">
        <f t="shared" si="23"/>
        <v>0</v>
      </c>
      <c r="M454" s="833">
        <f t="shared" si="24"/>
        <v>0</v>
      </c>
      <c r="N454" s="834"/>
      <c r="O454" s="835">
        <f t="shared" si="25"/>
        <v>0</v>
      </c>
      <c r="P454" s="827">
        <f t="shared" si="26"/>
        <v>0</v>
      </c>
      <c r="AD454" s="810"/>
    </row>
    <row r="455" spans="3:30" ht="30" hidden="1" customHeight="1" outlineLevel="1">
      <c r="C455" s="828">
        <v>429</v>
      </c>
      <c r="D455" s="829"/>
      <c r="E455" s="830"/>
      <c r="F455" s="830"/>
      <c r="G455" s="1049"/>
      <c r="H455" s="831"/>
      <c r="I455" s="832"/>
      <c r="L455" s="816">
        <f t="shared" si="23"/>
        <v>0</v>
      </c>
      <c r="M455" s="833">
        <f t="shared" si="24"/>
        <v>0</v>
      </c>
      <c r="N455" s="834"/>
      <c r="O455" s="835">
        <f t="shared" si="25"/>
        <v>0</v>
      </c>
      <c r="P455" s="827">
        <f t="shared" si="26"/>
        <v>0</v>
      </c>
      <c r="AD455" s="810"/>
    </row>
    <row r="456" spans="3:30" ht="30" hidden="1" customHeight="1" outlineLevel="1">
      <c r="C456" s="828">
        <v>430</v>
      </c>
      <c r="D456" s="829"/>
      <c r="E456" s="830"/>
      <c r="F456" s="830"/>
      <c r="G456" s="1049"/>
      <c r="H456" s="831"/>
      <c r="I456" s="832"/>
      <c r="L456" s="816">
        <f t="shared" si="23"/>
        <v>0</v>
      </c>
      <c r="M456" s="833">
        <f t="shared" si="24"/>
        <v>0</v>
      </c>
      <c r="N456" s="834"/>
      <c r="O456" s="835">
        <f t="shared" si="25"/>
        <v>0</v>
      </c>
      <c r="P456" s="827">
        <f t="shared" si="26"/>
        <v>0</v>
      </c>
      <c r="AD456" s="810"/>
    </row>
    <row r="457" spans="3:30" ht="30" hidden="1" customHeight="1" outlineLevel="1">
      <c r="C457" s="828">
        <v>431</v>
      </c>
      <c r="D457" s="829"/>
      <c r="E457" s="830"/>
      <c r="F457" s="830"/>
      <c r="G457" s="1049"/>
      <c r="H457" s="831"/>
      <c r="I457" s="832"/>
      <c r="L457" s="816">
        <f t="shared" si="23"/>
        <v>0</v>
      </c>
      <c r="M457" s="833">
        <f t="shared" si="24"/>
        <v>0</v>
      </c>
      <c r="N457" s="834"/>
      <c r="O457" s="835">
        <f t="shared" si="25"/>
        <v>0</v>
      </c>
      <c r="P457" s="827">
        <f t="shared" si="26"/>
        <v>0</v>
      </c>
      <c r="AD457" s="810"/>
    </row>
    <row r="458" spans="3:30" ht="30" hidden="1" customHeight="1" outlineLevel="1">
      <c r="C458" s="828">
        <v>432</v>
      </c>
      <c r="D458" s="829"/>
      <c r="E458" s="830"/>
      <c r="F458" s="830"/>
      <c r="G458" s="1049"/>
      <c r="H458" s="831"/>
      <c r="I458" s="832"/>
      <c r="L458" s="816">
        <f t="shared" si="23"/>
        <v>0</v>
      </c>
      <c r="M458" s="833">
        <f t="shared" si="24"/>
        <v>0</v>
      </c>
      <c r="N458" s="834"/>
      <c r="O458" s="835">
        <f t="shared" si="25"/>
        <v>0</v>
      </c>
      <c r="P458" s="827">
        <f t="shared" si="26"/>
        <v>0</v>
      </c>
      <c r="AD458" s="810"/>
    </row>
    <row r="459" spans="3:30" ht="30" hidden="1" customHeight="1" outlineLevel="1">
      <c r="C459" s="828">
        <v>433</v>
      </c>
      <c r="D459" s="829"/>
      <c r="E459" s="830"/>
      <c r="F459" s="830"/>
      <c r="G459" s="1049"/>
      <c r="H459" s="831"/>
      <c r="I459" s="832"/>
      <c r="L459" s="816">
        <f t="shared" si="23"/>
        <v>0</v>
      </c>
      <c r="M459" s="833">
        <f t="shared" si="24"/>
        <v>0</v>
      </c>
      <c r="N459" s="834"/>
      <c r="O459" s="835">
        <f t="shared" si="25"/>
        <v>0</v>
      </c>
      <c r="P459" s="827">
        <f t="shared" si="26"/>
        <v>0</v>
      </c>
      <c r="AD459" s="810"/>
    </row>
    <row r="460" spans="3:30" ht="30" hidden="1" customHeight="1" outlineLevel="1">
      <c r="C460" s="828">
        <v>434</v>
      </c>
      <c r="D460" s="829"/>
      <c r="E460" s="830"/>
      <c r="F460" s="830"/>
      <c r="G460" s="1049"/>
      <c r="H460" s="831"/>
      <c r="I460" s="832"/>
      <c r="L460" s="816">
        <f t="shared" si="23"/>
        <v>0</v>
      </c>
      <c r="M460" s="833">
        <f t="shared" si="24"/>
        <v>0</v>
      </c>
      <c r="N460" s="834"/>
      <c r="O460" s="835">
        <f t="shared" si="25"/>
        <v>0</v>
      </c>
      <c r="P460" s="827">
        <f t="shared" si="26"/>
        <v>0</v>
      </c>
      <c r="AD460" s="810"/>
    </row>
    <row r="461" spans="3:30" ht="30" hidden="1" customHeight="1" outlineLevel="1">
      <c r="C461" s="828">
        <v>435</v>
      </c>
      <c r="D461" s="829"/>
      <c r="E461" s="830"/>
      <c r="F461" s="830"/>
      <c r="G461" s="1049"/>
      <c r="H461" s="831"/>
      <c r="I461" s="832"/>
      <c r="L461" s="816">
        <f t="shared" si="23"/>
        <v>0</v>
      </c>
      <c r="M461" s="833">
        <f t="shared" si="24"/>
        <v>0</v>
      </c>
      <c r="N461" s="834"/>
      <c r="O461" s="835">
        <f t="shared" si="25"/>
        <v>0</v>
      </c>
      <c r="P461" s="827">
        <f t="shared" si="26"/>
        <v>0</v>
      </c>
      <c r="AD461" s="810"/>
    </row>
    <row r="462" spans="3:30" ht="30" hidden="1" customHeight="1" outlineLevel="1">
      <c r="C462" s="828">
        <v>436</v>
      </c>
      <c r="D462" s="829"/>
      <c r="E462" s="830"/>
      <c r="F462" s="830"/>
      <c r="G462" s="1049"/>
      <c r="H462" s="831"/>
      <c r="I462" s="832"/>
      <c r="L462" s="816">
        <f t="shared" si="23"/>
        <v>0</v>
      </c>
      <c r="M462" s="833">
        <f t="shared" si="24"/>
        <v>0</v>
      </c>
      <c r="N462" s="834"/>
      <c r="O462" s="835">
        <f t="shared" si="25"/>
        <v>0</v>
      </c>
      <c r="P462" s="827">
        <f t="shared" si="26"/>
        <v>0</v>
      </c>
      <c r="AD462" s="810"/>
    </row>
    <row r="463" spans="3:30" ht="30" hidden="1" customHeight="1" outlineLevel="1">
      <c r="C463" s="828">
        <v>437</v>
      </c>
      <c r="D463" s="829"/>
      <c r="E463" s="830"/>
      <c r="F463" s="830"/>
      <c r="G463" s="1049"/>
      <c r="H463" s="831"/>
      <c r="I463" s="832"/>
      <c r="L463" s="816">
        <f t="shared" si="23"/>
        <v>0</v>
      </c>
      <c r="M463" s="833">
        <f t="shared" si="24"/>
        <v>0</v>
      </c>
      <c r="N463" s="834"/>
      <c r="O463" s="835">
        <f t="shared" si="25"/>
        <v>0</v>
      </c>
      <c r="P463" s="827">
        <f t="shared" si="26"/>
        <v>0</v>
      </c>
      <c r="AD463" s="810"/>
    </row>
    <row r="464" spans="3:30" ht="30" hidden="1" customHeight="1" outlineLevel="1">
      <c r="C464" s="828">
        <v>438</v>
      </c>
      <c r="D464" s="829"/>
      <c r="E464" s="830"/>
      <c r="F464" s="830"/>
      <c r="G464" s="1049"/>
      <c r="H464" s="831"/>
      <c r="I464" s="832"/>
      <c r="L464" s="816">
        <f t="shared" si="23"/>
        <v>0</v>
      </c>
      <c r="M464" s="833">
        <f t="shared" si="24"/>
        <v>0</v>
      </c>
      <c r="N464" s="834"/>
      <c r="O464" s="835">
        <f t="shared" si="25"/>
        <v>0</v>
      </c>
      <c r="P464" s="827">
        <f t="shared" si="26"/>
        <v>0</v>
      </c>
      <c r="AD464" s="810"/>
    </row>
    <row r="465" spans="3:30" ht="30" hidden="1" customHeight="1" outlineLevel="1">
      <c r="C465" s="828">
        <v>439</v>
      </c>
      <c r="D465" s="829"/>
      <c r="E465" s="830"/>
      <c r="F465" s="830"/>
      <c r="G465" s="1049"/>
      <c r="H465" s="831"/>
      <c r="I465" s="832"/>
      <c r="L465" s="816">
        <f t="shared" si="23"/>
        <v>0</v>
      </c>
      <c r="M465" s="833">
        <f t="shared" si="24"/>
        <v>0</v>
      </c>
      <c r="N465" s="834"/>
      <c r="O465" s="835">
        <f t="shared" si="25"/>
        <v>0</v>
      </c>
      <c r="P465" s="827">
        <f t="shared" si="26"/>
        <v>0</v>
      </c>
      <c r="AD465" s="810"/>
    </row>
    <row r="466" spans="3:30" ht="30" hidden="1" customHeight="1" outlineLevel="1">
      <c r="C466" s="828">
        <v>440</v>
      </c>
      <c r="D466" s="829"/>
      <c r="E466" s="830"/>
      <c r="F466" s="830"/>
      <c r="G466" s="1049"/>
      <c r="H466" s="831"/>
      <c r="I466" s="832"/>
      <c r="L466" s="816">
        <f t="shared" si="23"/>
        <v>0</v>
      </c>
      <c r="M466" s="833">
        <f t="shared" si="24"/>
        <v>0</v>
      </c>
      <c r="N466" s="834"/>
      <c r="O466" s="835">
        <f t="shared" si="25"/>
        <v>0</v>
      </c>
      <c r="P466" s="827">
        <f t="shared" si="26"/>
        <v>0</v>
      </c>
      <c r="AD466" s="810"/>
    </row>
    <row r="467" spans="3:30" ht="30" hidden="1" customHeight="1" outlineLevel="1">
      <c r="C467" s="828">
        <v>441</v>
      </c>
      <c r="D467" s="829"/>
      <c r="E467" s="830"/>
      <c r="F467" s="830"/>
      <c r="G467" s="1049"/>
      <c r="H467" s="831"/>
      <c r="I467" s="832"/>
      <c r="L467" s="816">
        <f t="shared" si="23"/>
        <v>0</v>
      </c>
      <c r="M467" s="833">
        <f t="shared" si="24"/>
        <v>0</v>
      </c>
      <c r="N467" s="834"/>
      <c r="O467" s="835">
        <f t="shared" si="25"/>
        <v>0</v>
      </c>
      <c r="P467" s="827">
        <f t="shared" si="26"/>
        <v>0</v>
      </c>
      <c r="AD467" s="810"/>
    </row>
    <row r="468" spans="3:30" ht="30" hidden="1" customHeight="1" outlineLevel="1">
      <c r="C468" s="828">
        <v>442</v>
      </c>
      <c r="D468" s="829"/>
      <c r="E468" s="830"/>
      <c r="F468" s="830"/>
      <c r="G468" s="1049"/>
      <c r="H468" s="831"/>
      <c r="I468" s="832"/>
      <c r="L468" s="816">
        <f t="shared" si="23"/>
        <v>0</v>
      </c>
      <c r="M468" s="833">
        <f t="shared" si="24"/>
        <v>0</v>
      </c>
      <c r="N468" s="834"/>
      <c r="O468" s="835">
        <f t="shared" si="25"/>
        <v>0</v>
      </c>
      <c r="P468" s="827">
        <f t="shared" si="26"/>
        <v>0</v>
      </c>
      <c r="AD468" s="810"/>
    </row>
    <row r="469" spans="3:30" ht="30" hidden="1" customHeight="1" outlineLevel="1">
      <c r="C469" s="828">
        <v>443</v>
      </c>
      <c r="D469" s="829"/>
      <c r="E469" s="830"/>
      <c r="F469" s="830"/>
      <c r="G469" s="1049"/>
      <c r="H469" s="831"/>
      <c r="I469" s="832"/>
      <c r="L469" s="816">
        <f t="shared" si="23"/>
        <v>0</v>
      </c>
      <c r="M469" s="833">
        <f t="shared" si="24"/>
        <v>0</v>
      </c>
      <c r="N469" s="834"/>
      <c r="O469" s="835">
        <f t="shared" si="25"/>
        <v>0</v>
      </c>
      <c r="P469" s="827">
        <f t="shared" si="26"/>
        <v>0</v>
      </c>
      <c r="AD469" s="810"/>
    </row>
    <row r="470" spans="3:30" ht="30" hidden="1" customHeight="1" outlineLevel="1">
      <c r="C470" s="828">
        <v>444</v>
      </c>
      <c r="D470" s="829"/>
      <c r="E470" s="830"/>
      <c r="F470" s="830"/>
      <c r="G470" s="1049"/>
      <c r="H470" s="831"/>
      <c r="I470" s="832"/>
      <c r="L470" s="816">
        <f t="shared" si="23"/>
        <v>0</v>
      </c>
      <c r="M470" s="833">
        <f t="shared" si="24"/>
        <v>0</v>
      </c>
      <c r="N470" s="834"/>
      <c r="O470" s="835">
        <f t="shared" si="25"/>
        <v>0</v>
      </c>
      <c r="P470" s="827">
        <f t="shared" si="26"/>
        <v>0</v>
      </c>
      <c r="AD470" s="810"/>
    </row>
    <row r="471" spans="3:30" ht="30" hidden="1" customHeight="1" outlineLevel="1">
      <c r="C471" s="828">
        <v>445</v>
      </c>
      <c r="D471" s="829"/>
      <c r="E471" s="830"/>
      <c r="F471" s="830"/>
      <c r="G471" s="1049"/>
      <c r="H471" s="831"/>
      <c r="I471" s="832"/>
      <c r="L471" s="816">
        <f t="shared" si="23"/>
        <v>0</v>
      </c>
      <c r="M471" s="833">
        <f t="shared" si="24"/>
        <v>0</v>
      </c>
      <c r="N471" s="834"/>
      <c r="O471" s="835">
        <f t="shared" si="25"/>
        <v>0</v>
      </c>
      <c r="P471" s="827">
        <f t="shared" si="26"/>
        <v>0</v>
      </c>
      <c r="AD471" s="810"/>
    </row>
    <row r="472" spans="3:30" ht="30" hidden="1" customHeight="1" outlineLevel="1">
      <c r="C472" s="828">
        <v>446</v>
      </c>
      <c r="D472" s="829"/>
      <c r="E472" s="830"/>
      <c r="F472" s="830"/>
      <c r="G472" s="1049"/>
      <c r="H472" s="831"/>
      <c r="I472" s="832"/>
      <c r="L472" s="816">
        <f t="shared" si="23"/>
        <v>0</v>
      </c>
      <c r="M472" s="833">
        <f t="shared" si="24"/>
        <v>0</v>
      </c>
      <c r="N472" s="834"/>
      <c r="O472" s="835">
        <f t="shared" si="25"/>
        <v>0</v>
      </c>
      <c r="P472" s="827">
        <f t="shared" si="26"/>
        <v>0</v>
      </c>
      <c r="AD472" s="810"/>
    </row>
    <row r="473" spans="3:30" ht="30" hidden="1" customHeight="1" outlineLevel="1">
      <c r="C473" s="828">
        <v>447</v>
      </c>
      <c r="D473" s="829"/>
      <c r="E473" s="830"/>
      <c r="F473" s="830"/>
      <c r="G473" s="1049"/>
      <c r="H473" s="831"/>
      <c r="I473" s="832"/>
      <c r="L473" s="816">
        <f t="shared" si="23"/>
        <v>0</v>
      </c>
      <c r="M473" s="833">
        <f t="shared" si="24"/>
        <v>0</v>
      </c>
      <c r="N473" s="834"/>
      <c r="O473" s="835">
        <f t="shared" si="25"/>
        <v>0</v>
      </c>
      <c r="P473" s="827">
        <f t="shared" si="26"/>
        <v>0</v>
      </c>
      <c r="AD473" s="810"/>
    </row>
    <row r="474" spans="3:30" ht="30" hidden="1" customHeight="1" outlineLevel="1">
      <c r="C474" s="828">
        <v>448</v>
      </c>
      <c r="D474" s="829"/>
      <c r="E474" s="830"/>
      <c r="F474" s="830"/>
      <c r="G474" s="1049"/>
      <c r="H474" s="831"/>
      <c r="I474" s="832"/>
      <c r="L474" s="816">
        <f t="shared" si="23"/>
        <v>0</v>
      </c>
      <c r="M474" s="833">
        <f t="shared" si="24"/>
        <v>0</v>
      </c>
      <c r="N474" s="834"/>
      <c r="O474" s="835">
        <f t="shared" si="25"/>
        <v>0</v>
      </c>
      <c r="P474" s="827">
        <f t="shared" si="26"/>
        <v>0</v>
      </c>
      <c r="AD474" s="810"/>
    </row>
    <row r="475" spans="3:30" ht="30" hidden="1" customHeight="1" outlineLevel="1">
      <c r="C475" s="828">
        <v>449</v>
      </c>
      <c r="D475" s="829"/>
      <c r="E475" s="830"/>
      <c r="F475" s="830"/>
      <c r="G475" s="1049"/>
      <c r="H475" s="831"/>
      <c r="I475" s="832"/>
      <c r="L475" s="816">
        <f t="shared" si="23"/>
        <v>0</v>
      </c>
      <c r="M475" s="833">
        <f t="shared" si="24"/>
        <v>0</v>
      </c>
      <c r="N475" s="834"/>
      <c r="O475" s="835">
        <f t="shared" si="25"/>
        <v>0</v>
      </c>
      <c r="P475" s="827">
        <f t="shared" si="26"/>
        <v>0</v>
      </c>
      <c r="AD475" s="810"/>
    </row>
    <row r="476" spans="3:30" ht="30" hidden="1" customHeight="1" outlineLevel="1">
      <c r="C476" s="828">
        <v>450</v>
      </c>
      <c r="D476" s="829"/>
      <c r="E476" s="830"/>
      <c r="F476" s="830"/>
      <c r="G476" s="1049"/>
      <c r="H476" s="831"/>
      <c r="I476" s="832"/>
      <c r="L476" s="816">
        <f t="shared" si="23"/>
        <v>0</v>
      </c>
      <c r="M476" s="833">
        <f t="shared" si="24"/>
        <v>0</v>
      </c>
      <c r="N476" s="834"/>
      <c r="O476" s="835">
        <f t="shared" si="25"/>
        <v>0</v>
      </c>
      <c r="P476" s="827">
        <f t="shared" si="26"/>
        <v>0</v>
      </c>
      <c r="AD476" s="810"/>
    </row>
    <row r="477" spans="3:30" ht="30" hidden="1" customHeight="1" outlineLevel="1">
      <c r="C477" s="828">
        <v>451</v>
      </c>
      <c r="D477" s="829"/>
      <c r="E477" s="830"/>
      <c r="F477" s="830"/>
      <c r="G477" s="1049"/>
      <c r="H477" s="831"/>
      <c r="I477" s="832"/>
      <c r="L477" s="816">
        <f t="shared" si="23"/>
        <v>0</v>
      </c>
      <c r="M477" s="833">
        <f t="shared" si="24"/>
        <v>0</v>
      </c>
      <c r="N477" s="834"/>
      <c r="O477" s="835">
        <f t="shared" si="25"/>
        <v>0</v>
      </c>
      <c r="P477" s="827">
        <f t="shared" si="26"/>
        <v>0</v>
      </c>
      <c r="AD477" s="810"/>
    </row>
    <row r="478" spans="3:30" ht="30" hidden="1" customHeight="1" outlineLevel="1">
      <c r="C478" s="828">
        <v>452</v>
      </c>
      <c r="D478" s="829"/>
      <c r="E478" s="830"/>
      <c r="F478" s="830"/>
      <c r="G478" s="1049"/>
      <c r="H478" s="831"/>
      <c r="I478" s="832"/>
      <c r="L478" s="816">
        <f t="shared" si="23"/>
        <v>0</v>
      </c>
      <c r="M478" s="833">
        <f t="shared" si="24"/>
        <v>0</v>
      </c>
      <c r="N478" s="834"/>
      <c r="O478" s="835">
        <f t="shared" si="25"/>
        <v>0</v>
      </c>
      <c r="P478" s="827">
        <f t="shared" si="26"/>
        <v>0</v>
      </c>
      <c r="AD478" s="810"/>
    </row>
    <row r="479" spans="3:30" ht="30" hidden="1" customHeight="1" outlineLevel="1">
      <c r="C479" s="828">
        <v>453</v>
      </c>
      <c r="D479" s="829"/>
      <c r="E479" s="830"/>
      <c r="F479" s="830"/>
      <c r="G479" s="1049"/>
      <c r="H479" s="831"/>
      <c r="I479" s="832"/>
      <c r="L479" s="816">
        <f t="shared" si="23"/>
        <v>0</v>
      </c>
      <c r="M479" s="833">
        <f t="shared" si="24"/>
        <v>0</v>
      </c>
      <c r="N479" s="834"/>
      <c r="O479" s="835">
        <f t="shared" si="25"/>
        <v>0</v>
      </c>
      <c r="P479" s="827">
        <f t="shared" si="26"/>
        <v>0</v>
      </c>
      <c r="AD479" s="810"/>
    </row>
    <row r="480" spans="3:30" ht="30" hidden="1" customHeight="1" outlineLevel="1">
      <c r="C480" s="828">
        <v>454</v>
      </c>
      <c r="D480" s="829"/>
      <c r="E480" s="830"/>
      <c r="F480" s="830"/>
      <c r="G480" s="1049"/>
      <c r="H480" s="831"/>
      <c r="I480" s="832"/>
      <c r="L480" s="816">
        <f t="shared" si="23"/>
        <v>0</v>
      </c>
      <c r="M480" s="833">
        <f t="shared" si="24"/>
        <v>0</v>
      </c>
      <c r="N480" s="834"/>
      <c r="O480" s="835">
        <f t="shared" si="25"/>
        <v>0</v>
      </c>
      <c r="P480" s="827">
        <f t="shared" si="26"/>
        <v>0</v>
      </c>
      <c r="AD480" s="810"/>
    </row>
    <row r="481" spans="3:30" ht="30" hidden="1" customHeight="1" outlineLevel="1">
      <c r="C481" s="828">
        <v>455</v>
      </c>
      <c r="D481" s="829"/>
      <c r="E481" s="830"/>
      <c r="F481" s="830"/>
      <c r="G481" s="1049"/>
      <c r="H481" s="831"/>
      <c r="I481" s="832"/>
      <c r="L481" s="816">
        <f t="shared" si="23"/>
        <v>0</v>
      </c>
      <c r="M481" s="833">
        <f t="shared" si="24"/>
        <v>0</v>
      </c>
      <c r="N481" s="834"/>
      <c r="O481" s="835">
        <f t="shared" si="25"/>
        <v>0</v>
      </c>
      <c r="P481" s="827">
        <f t="shared" si="26"/>
        <v>0</v>
      </c>
      <c r="AD481" s="810"/>
    </row>
    <row r="482" spans="3:30" ht="30" hidden="1" customHeight="1" outlineLevel="1">
      <c r="C482" s="828">
        <v>456</v>
      </c>
      <c r="D482" s="829"/>
      <c r="E482" s="830"/>
      <c r="F482" s="830"/>
      <c r="G482" s="1049"/>
      <c r="H482" s="831"/>
      <c r="I482" s="832"/>
      <c r="L482" s="816">
        <f t="shared" si="23"/>
        <v>0</v>
      </c>
      <c r="M482" s="833">
        <f t="shared" si="24"/>
        <v>0</v>
      </c>
      <c r="N482" s="834"/>
      <c r="O482" s="835">
        <f t="shared" si="25"/>
        <v>0</v>
      </c>
      <c r="P482" s="827">
        <f t="shared" si="26"/>
        <v>0</v>
      </c>
      <c r="AD482" s="810"/>
    </row>
    <row r="483" spans="3:30" ht="30" hidden="1" customHeight="1" outlineLevel="1">
      <c r="C483" s="828">
        <v>457</v>
      </c>
      <c r="D483" s="829"/>
      <c r="E483" s="830"/>
      <c r="F483" s="830"/>
      <c r="G483" s="1049"/>
      <c r="H483" s="831"/>
      <c r="I483" s="832"/>
      <c r="L483" s="816">
        <f t="shared" si="23"/>
        <v>0</v>
      </c>
      <c r="M483" s="833">
        <f t="shared" si="24"/>
        <v>0</v>
      </c>
      <c r="N483" s="834"/>
      <c r="O483" s="835">
        <f t="shared" si="25"/>
        <v>0</v>
      </c>
      <c r="P483" s="827">
        <f t="shared" si="26"/>
        <v>0</v>
      </c>
      <c r="AD483" s="810"/>
    </row>
    <row r="484" spans="3:30" ht="30" hidden="1" customHeight="1" outlineLevel="1">
      <c r="C484" s="828">
        <v>458</v>
      </c>
      <c r="D484" s="829"/>
      <c r="E484" s="830"/>
      <c r="F484" s="830"/>
      <c r="G484" s="1049"/>
      <c r="H484" s="831"/>
      <c r="I484" s="832"/>
      <c r="L484" s="816">
        <f t="shared" si="23"/>
        <v>0</v>
      </c>
      <c r="M484" s="833">
        <f t="shared" si="24"/>
        <v>0</v>
      </c>
      <c r="N484" s="834"/>
      <c r="O484" s="835">
        <f t="shared" si="25"/>
        <v>0</v>
      </c>
      <c r="P484" s="827">
        <f t="shared" si="26"/>
        <v>0</v>
      </c>
      <c r="AD484" s="810"/>
    </row>
    <row r="485" spans="3:30" ht="30" hidden="1" customHeight="1" outlineLevel="1">
      <c r="C485" s="828">
        <v>459</v>
      </c>
      <c r="D485" s="829"/>
      <c r="E485" s="830"/>
      <c r="F485" s="830"/>
      <c r="G485" s="1049"/>
      <c r="H485" s="831"/>
      <c r="I485" s="832"/>
      <c r="L485" s="816">
        <f t="shared" si="23"/>
        <v>0</v>
      </c>
      <c r="M485" s="833">
        <f t="shared" si="24"/>
        <v>0</v>
      </c>
      <c r="N485" s="834"/>
      <c r="O485" s="835">
        <f t="shared" si="25"/>
        <v>0</v>
      </c>
      <c r="P485" s="827">
        <f t="shared" si="26"/>
        <v>0</v>
      </c>
      <c r="AD485" s="810"/>
    </row>
    <row r="486" spans="3:30" ht="30" hidden="1" customHeight="1" outlineLevel="1">
      <c r="C486" s="828">
        <v>460</v>
      </c>
      <c r="D486" s="829"/>
      <c r="E486" s="830"/>
      <c r="F486" s="830"/>
      <c r="G486" s="1049"/>
      <c r="H486" s="831"/>
      <c r="I486" s="832"/>
      <c r="L486" s="816">
        <f t="shared" si="23"/>
        <v>0</v>
      </c>
      <c r="M486" s="833">
        <f t="shared" si="24"/>
        <v>0</v>
      </c>
      <c r="N486" s="834"/>
      <c r="O486" s="835">
        <f t="shared" si="25"/>
        <v>0</v>
      </c>
      <c r="P486" s="827">
        <f t="shared" si="26"/>
        <v>0</v>
      </c>
      <c r="AD486" s="810"/>
    </row>
    <row r="487" spans="3:30" ht="30" hidden="1" customHeight="1" outlineLevel="1">
      <c r="C487" s="828">
        <v>461</v>
      </c>
      <c r="D487" s="829"/>
      <c r="E487" s="830"/>
      <c r="F487" s="830"/>
      <c r="G487" s="1049"/>
      <c r="H487" s="831"/>
      <c r="I487" s="832"/>
      <c r="L487" s="816">
        <f t="shared" si="23"/>
        <v>0</v>
      </c>
      <c r="M487" s="833">
        <f t="shared" si="24"/>
        <v>0</v>
      </c>
      <c r="N487" s="834"/>
      <c r="O487" s="835">
        <f t="shared" si="25"/>
        <v>0</v>
      </c>
      <c r="P487" s="827">
        <f t="shared" si="26"/>
        <v>0</v>
      </c>
      <c r="AD487" s="810"/>
    </row>
    <row r="488" spans="3:30" ht="30" hidden="1" customHeight="1" outlineLevel="1">
      <c r="C488" s="828">
        <v>462</v>
      </c>
      <c r="D488" s="829"/>
      <c r="E488" s="830"/>
      <c r="F488" s="830"/>
      <c r="G488" s="1049"/>
      <c r="H488" s="831"/>
      <c r="I488" s="832"/>
      <c r="L488" s="816">
        <f t="shared" si="23"/>
        <v>0</v>
      </c>
      <c r="M488" s="833">
        <f t="shared" si="24"/>
        <v>0</v>
      </c>
      <c r="N488" s="834"/>
      <c r="O488" s="835">
        <f t="shared" si="25"/>
        <v>0</v>
      </c>
      <c r="P488" s="827">
        <f t="shared" si="26"/>
        <v>0</v>
      </c>
      <c r="AD488" s="810"/>
    </row>
    <row r="489" spans="3:30" ht="30" hidden="1" customHeight="1" outlineLevel="1">
      <c r="C489" s="828">
        <v>463</v>
      </c>
      <c r="D489" s="829"/>
      <c r="E489" s="830"/>
      <c r="F489" s="830"/>
      <c r="G489" s="1049"/>
      <c r="H489" s="831"/>
      <c r="I489" s="832"/>
      <c r="L489" s="816">
        <f t="shared" si="23"/>
        <v>0</v>
      </c>
      <c r="M489" s="833">
        <f t="shared" si="24"/>
        <v>0</v>
      </c>
      <c r="N489" s="834"/>
      <c r="O489" s="835">
        <f t="shared" si="25"/>
        <v>0</v>
      </c>
      <c r="P489" s="827">
        <f t="shared" si="26"/>
        <v>0</v>
      </c>
      <c r="AD489" s="810"/>
    </row>
    <row r="490" spans="3:30" ht="30" hidden="1" customHeight="1" outlineLevel="1">
      <c r="C490" s="828">
        <v>464</v>
      </c>
      <c r="D490" s="829"/>
      <c r="E490" s="830"/>
      <c r="F490" s="830"/>
      <c r="G490" s="1049"/>
      <c r="H490" s="831"/>
      <c r="I490" s="832"/>
      <c r="L490" s="816">
        <f t="shared" si="23"/>
        <v>0</v>
      </c>
      <c r="M490" s="833">
        <f t="shared" si="24"/>
        <v>0</v>
      </c>
      <c r="N490" s="834"/>
      <c r="O490" s="835">
        <f t="shared" si="25"/>
        <v>0</v>
      </c>
      <c r="P490" s="827">
        <f t="shared" si="26"/>
        <v>0</v>
      </c>
      <c r="AD490" s="810"/>
    </row>
    <row r="491" spans="3:30" ht="30" hidden="1" customHeight="1" outlineLevel="1">
      <c r="C491" s="828">
        <v>465</v>
      </c>
      <c r="D491" s="829"/>
      <c r="E491" s="830"/>
      <c r="F491" s="830"/>
      <c r="G491" s="1049"/>
      <c r="H491" s="831"/>
      <c r="I491" s="832"/>
      <c r="L491" s="816">
        <f t="shared" si="23"/>
        <v>0</v>
      </c>
      <c r="M491" s="833">
        <f t="shared" si="24"/>
        <v>0</v>
      </c>
      <c r="N491" s="834"/>
      <c r="O491" s="835">
        <f t="shared" si="25"/>
        <v>0</v>
      </c>
      <c r="P491" s="827">
        <f t="shared" si="26"/>
        <v>0</v>
      </c>
      <c r="AD491" s="810"/>
    </row>
    <row r="492" spans="3:30" ht="30" hidden="1" customHeight="1" outlineLevel="1">
      <c r="C492" s="828">
        <v>466</v>
      </c>
      <c r="D492" s="829"/>
      <c r="E492" s="830"/>
      <c r="F492" s="830"/>
      <c r="G492" s="1049"/>
      <c r="H492" s="831"/>
      <c r="I492" s="832"/>
      <c r="L492" s="816">
        <f t="shared" si="23"/>
        <v>0</v>
      </c>
      <c r="M492" s="833">
        <f t="shared" si="24"/>
        <v>0</v>
      </c>
      <c r="N492" s="834"/>
      <c r="O492" s="835">
        <f t="shared" si="25"/>
        <v>0</v>
      </c>
      <c r="P492" s="827">
        <f t="shared" si="26"/>
        <v>0</v>
      </c>
      <c r="AD492" s="810"/>
    </row>
    <row r="493" spans="3:30" ht="30" hidden="1" customHeight="1" outlineLevel="1">
      <c r="C493" s="828">
        <v>467</v>
      </c>
      <c r="D493" s="829"/>
      <c r="E493" s="830"/>
      <c r="F493" s="830"/>
      <c r="G493" s="1049"/>
      <c r="H493" s="831"/>
      <c r="I493" s="832"/>
      <c r="L493" s="816">
        <f t="shared" si="23"/>
        <v>0</v>
      </c>
      <c r="M493" s="833">
        <f t="shared" si="24"/>
        <v>0</v>
      </c>
      <c r="N493" s="834"/>
      <c r="O493" s="835">
        <f t="shared" si="25"/>
        <v>0</v>
      </c>
      <c r="P493" s="827">
        <f t="shared" si="26"/>
        <v>0</v>
      </c>
      <c r="AD493" s="810"/>
    </row>
    <row r="494" spans="3:30" ht="30" hidden="1" customHeight="1" outlineLevel="1">
      <c r="C494" s="828">
        <v>468</v>
      </c>
      <c r="D494" s="829"/>
      <c r="E494" s="830"/>
      <c r="F494" s="830"/>
      <c r="G494" s="1049"/>
      <c r="H494" s="831"/>
      <c r="I494" s="832"/>
      <c r="L494" s="816">
        <f t="shared" si="23"/>
        <v>0</v>
      </c>
      <c r="M494" s="833">
        <f t="shared" si="24"/>
        <v>0</v>
      </c>
      <c r="N494" s="834"/>
      <c r="O494" s="835">
        <f t="shared" si="25"/>
        <v>0</v>
      </c>
      <c r="P494" s="827">
        <f t="shared" si="26"/>
        <v>0</v>
      </c>
      <c r="AD494" s="810"/>
    </row>
    <row r="495" spans="3:30" ht="30" hidden="1" customHeight="1" outlineLevel="1">
      <c r="C495" s="828">
        <v>469</v>
      </c>
      <c r="D495" s="829"/>
      <c r="E495" s="830"/>
      <c r="F495" s="830"/>
      <c r="G495" s="1049"/>
      <c r="H495" s="831"/>
      <c r="I495" s="832"/>
      <c r="L495" s="816">
        <f t="shared" si="23"/>
        <v>0</v>
      </c>
      <c r="M495" s="833">
        <f t="shared" si="24"/>
        <v>0</v>
      </c>
      <c r="N495" s="834"/>
      <c r="O495" s="835">
        <f t="shared" si="25"/>
        <v>0</v>
      </c>
      <c r="P495" s="827">
        <f t="shared" si="26"/>
        <v>0</v>
      </c>
      <c r="AD495" s="810"/>
    </row>
    <row r="496" spans="3:30" ht="30" hidden="1" customHeight="1" outlineLevel="1">
      <c r="C496" s="828">
        <v>470</v>
      </c>
      <c r="D496" s="829"/>
      <c r="E496" s="830"/>
      <c r="F496" s="830"/>
      <c r="G496" s="1049"/>
      <c r="H496" s="831"/>
      <c r="I496" s="832"/>
      <c r="L496" s="816">
        <f t="shared" ref="L496:L559" si="27">IF($G496&gt;0,E496,)</f>
        <v>0</v>
      </c>
      <c r="M496" s="833">
        <f t="shared" ref="M496:M559" si="28">IF($G496&gt;0,F496,)</f>
        <v>0</v>
      </c>
      <c r="N496" s="834"/>
      <c r="O496" s="835">
        <f t="shared" ref="O496:O559" si="29">ROUND(L496*N496/10,)</f>
        <v>0</v>
      </c>
      <c r="P496" s="827">
        <f t="shared" ref="P496:P559" si="30">ROUND(O496*G496%,)</f>
        <v>0</v>
      </c>
      <c r="AD496" s="810"/>
    </row>
    <row r="497" spans="3:30" ht="30" hidden="1" customHeight="1" outlineLevel="1">
      <c r="C497" s="828">
        <v>471</v>
      </c>
      <c r="D497" s="829"/>
      <c r="E497" s="830"/>
      <c r="F497" s="830"/>
      <c r="G497" s="1049"/>
      <c r="H497" s="831"/>
      <c r="I497" s="832"/>
      <c r="L497" s="816">
        <f t="shared" si="27"/>
        <v>0</v>
      </c>
      <c r="M497" s="833">
        <f t="shared" si="28"/>
        <v>0</v>
      </c>
      <c r="N497" s="834"/>
      <c r="O497" s="835">
        <f t="shared" si="29"/>
        <v>0</v>
      </c>
      <c r="P497" s="827">
        <f t="shared" si="30"/>
        <v>0</v>
      </c>
      <c r="AD497" s="810"/>
    </row>
    <row r="498" spans="3:30" ht="30" hidden="1" customHeight="1" outlineLevel="1">
      <c r="C498" s="828">
        <v>472</v>
      </c>
      <c r="D498" s="829"/>
      <c r="E498" s="830"/>
      <c r="F498" s="830"/>
      <c r="G498" s="1049"/>
      <c r="H498" s="831"/>
      <c r="I498" s="832"/>
      <c r="L498" s="816">
        <f t="shared" si="27"/>
        <v>0</v>
      </c>
      <c r="M498" s="833">
        <f t="shared" si="28"/>
        <v>0</v>
      </c>
      <c r="N498" s="834"/>
      <c r="O498" s="835">
        <f t="shared" si="29"/>
        <v>0</v>
      </c>
      <c r="P498" s="827">
        <f t="shared" si="30"/>
        <v>0</v>
      </c>
      <c r="AD498" s="810"/>
    </row>
    <row r="499" spans="3:30" ht="30" hidden="1" customHeight="1" outlineLevel="1">
      <c r="C499" s="828">
        <v>473</v>
      </c>
      <c r="D499" s="829"/>
      <c r="E499" s="830"/>
      <c r="F499" s="830"/>
      <c r="G499" s="1049"/>
      <c r="H499" s="831"/>
      <c r="I499" s="832"/>
      <c r="L499" s="816">
        <f t="shared" si="27"/>
        <v>0</v>
      </c>
      <c r="M499" s="833">
        <f t="shared" si="28"/>
        <v>0</v>
      </c>
      <c r="N499" s="834"/>
      <c r="O499" s="835">
        <f t="shared" si="29"/>
        <v>0</v>
      </c>
      <c r="P499" s="827">
        <f t="shared" si="30"/>
        <v>0</v>
      </c>
      <c r="AD499" s="810"/>
    </row>
    <row r="500" spans="3:30" ht="30" hidden="1" customHeight="1" outlineLevel="1">
      <c r="C500" s="828">
        <v>474</v>
      </c>
      <c r="D500" s="829"/>
      <c r="E500" s="830"/>
      <c r="F500" s="830"/>
      <c r="G500" s="1049"/>
      <c r="H500" s="831"/>
      <c r="I500" s="832"/>
      <c r="L500" s="816">
        <f t="shared" si="27"/>
        <v>0</v>
      </c>
      <c r="M500" s="833">
        <f t="shared" si="28"/>
        <v>0</v>
      </c>
      <c r="N500" s="834"/>
      <c r="O500" s="835">
        <f t="shared" si="29"/>
        <v>0</v>
      </c>
      <c r="P500" s="827">
        <f t="shared" si="30"/>
        <v>0</v>
      </c>
      <c r="AD500" s="810"/>
    </row>
    <row r="501" spans="3:30" ht="30" hidden="1" customHeight="1" outlineLevel="1">
      <c r="C501" s="828">
        <v>475</v>
      </c>
      <c r="D501" s="829"/>
      <c r="E501" s="830"/>
      <c r="F501" s="830"/>
      <c r="G501" s="1049"/>
      <c r="H501" s="831"/>
      <c r="I501" s="832"/>
      <c r="L501" s="816">
        <f t="shared" si="27"/>
        <v>0</v>
      </c>
      <c r="M501" s="833">
        <f t="shared" si="28"/>
        <v>0</v>
      </c>
      <c r="N501" s="834"/>
      <c r="O501" s="835">
        <f t="shared" si="29"/>
        <v>0</v>
      </c>
      <c r="P501" s="827">
        <f t="shared" si="30"/>
        <v>0</v>
      </c>
      <c r="AD501" s="810"/>
    </row>
    <row r="502" spans="3:30" ht="30" hidden="1" customHeight="1" outlineLevel="1">
      <c r="C502" s="828">
        <v>476</v>
      </c>
      <c r="D502" s="829"/>
      <c r="E502" s="830"/>
      <c r="F502" s="830"/>
      <c r="G502" s="1049"/>
      <c r="H502" s="831"/>
      <c r="I502" s="832"/>
      <c r="L502" s="816">
        <f t="shared" si="27"/>
        <v>0</v>
      </c>
      <c r="M502" s="833">
        <f t="shared" si="28"/>
        <v>0</v>
      </c>
      <c r="N502" s="834"/>
      <c r="O502" s="835">
        <f t="shared" si="29"/>
        <v>0</v>
      </c>
      <c r="P502" s="827">
        <f t="shared" si="30"/>
        <v>0</v>
      </c>
      <c r="AD502" s="810"/>
    </row>
    <row r="503" spans="3:30" ht="30" hidden="1" customHeight="1" outlineLevel="1">
      <c r="C503" s="828">
        <v>477</v>
      </c>
      <c r="D503" s="829"/>
      <c r="E503" s="830"/>
      <c r="F503" s="830"/>
      <c r="G503" s="1049"/>
      <c r="H503" s="831"/>
      <c r="I503" s="832"/>
      <c r="L503" s="816">
        <f t="shared" si="27"/>
        <v>0</v>
      </c>
      <c r="M503" s="833">
        <f t="shared" si="28"/>
        <v>0</v>
      </c>
      <c r="N503" s="834"/>
      <c r="O503" s="835">
        <f t="shared" si="29"/>
        <v>0</v>
      </c>
      <c r="P503" s="827">
        <f t="shared" si="30"/>
        <v>0</v>
      </c>
      <c r="AD503" s="810"/>
    </row>
    <row r="504" spans="3:30" ht="30" hidden="1" customHeight="1" outlineLevel="1">
      <c r="C504" s="828">
        <v>478</v>
      </c>
      <c r="D504" s="829"/>
      <c r="E504" s="830"/>
      <c r="F504" s="830"/>
      <c r="G504" s="1049"/>
      <c r="H504" s="831"/>
      <c r="I504" s="832"/>
      <c r="L504" s="816">
        <f t="shared" si="27"/>
        <v>0</v>
      </c>
      <c r="M504" s="833">
        <f t="shared" si="28"/>
        <v>0</v>
      </c>
      <c r="N504" s="834"/>
      <c r="O504" s="835">
        <f t="shared" si="29"/>
        <v>0</v>
      </c>
      <c r="P504" s="827">
        <f t="shared" si="30"/>
        <v>0</v>
      </c>
      <c r="AD504" s="810"/>
    </row>
    <row r="505" spans="3:30" ht="30" hidden="1" customHeight="1" outlineLevel="1">
      <c r="C505" s="828">
        <v>479</v>
      </c>
      <c r="D505" s="829"/>
      <c r="E505" s="830"/>
      <c r="F505" s="830"/>
      <c r="G505" s="1049"/>
      <c r="H505" s="831"/>
      <c r="I505" s="832"/>
      <c r="L505" s="816">
        <f t="shared" si="27"/>
        <v>0</v>
      </c>
      <c r="M505" s="833">
        <f t="shared" si="28"/>
        <v>0</v>
      </c>
      <c r="N505" s="834"/>
      <c r="O505" s="835">
        <f t="shared" si="29"/>
        <v>0</v>
      </c>
      <c r="P505" s="827">
        <f t="shared" si="30"/>
        <v>0</v>
      </c>
      <c r="AD505" s="810"/>
    </row>
    <row r="506" spans="3:30" ht="30" hidden="1" customHeight="1" outlineLevel="1">
      <c r="C506" s="828">
        <v>480</v>
      </c>
      <c r="D506" s="829"/>
      <c r="E506" s="830"/>
      <c r="F506" s="830"/>
      <c r="G506" s="1049"/>
      <c r="H506" s="831"/>
      <c r="I506" s="832"/>
      <c r="L506" s="816">
        <f t="shared" si="27"/>
        <v>0</v>
      </c>
      <c r="M506" s="833">
        <f t="shared" si="28"/>
        <v>0</v>
      </c>
      <c r="N506" s="834"/>
      <c r="O506" s="835">
        <f t="shared" si="29"/>
        <v>0</v>
      </c>
      <c r="P506" s="827">
        <f t="shared" si="30"/>
        <v>0</v>
      </c>
      <c r="AD506" s="810"/>
    </row>
    <row r="507" spans="3:30" ht="30" hidden="1" customHeight="1" outlineLevel="1">
      <c r="C507" s="828">
        <v>481</v>
      </c>
      <c r="D507" s="829"/>
      <c r="E507" s="830"/>
      <c r="F507" s="830"/>
      <c r="G507" s="1049"/>
      <c r="H507" s="831"/>
      <c r="I507" s="832"/>
      <c r="L507" s="816">
        <f t="shared" si="27"/>
        <v>0</v>
      </c>
      <c r="M507" s="833">
        <f t="shared" si="28"/>
        <v>0</v>
      </c>
      <c r="N507" s="834"/>
      <c r="O507" s="835">
        <f t="shared" si="29"/>
        <v>0</v>
      </c>
      <c r="P507" s="827">
        <f t="shared" si="30"/>
        <v>0</v>
      </c>
      <c r="AD507" s="810"/>
    </row>
    <row r="508" spans="3:30" ht="30" hidden="1" customHeight="1" outlineLevel="1">
      <c r="C508" s="828">
        <v>482</v>
      </c>
      <c r="D508" s="829"/>
      <c r="E508" s="830"/>
      <c r="F508" s="830"/>
      <c r="G508" s="1049"/>
      <c r="H508" s="831"/>
      <c r="I508" s="832"/>
      <c r="L508" s="816">
        <f t="shared" si="27"/>
        <v>0</v>
      </c>
      <c r="M508" s="833">
        <f t="shared" si="28"/>
        <v>0</v>
      </c>
      <c r="N508" s="834"/>
      <c r="O508" s="835">
        <f t="shared" si="29"/>
        <v>0</v>
      </c>
      <c r="P508" s="827">
        <f t="shared" si="30"/>
        <v>0</v>
      </c>
      <c r="AD508" s="810"/>
    </row>
    <row r="509" spans="3:30" ht="30" hidden="1" customHeight="1" outlineLevel="1">
      <c r="C509" s="828">
        <v>483</v>
      </c>
      <c r="D509" s="829"/>
      <c r="E509" s="830"/>
      <c r="F509" s="830"/>
      <c r="G509" s="1049"/>
      <c r="H509" s="831"/>
      <c r="I509" s="832"/>
      <c r="L509" s="816">
        <f t="shared" si="27"/>
        <v>0</v>
      </c>
      <c r="M509" s="833">
        <f t="shared" si="28"/>
        <v>0</v>
      </c>
      <c r="N509" s="834"/>
      <c r="O509" s="835">
        <f t="shared" si="29"/>
        <v>0</v>
      </c>
      <c r="P509" s="827">
        <f t="shared" si="30"/>
        <v>0</v>
      </c>
      <c r="AD509" s="810"/>
    </row>
    <row r="510" spans="3:30" ht="30" hidden="1" customHeight="1" outlineLevel="1">
      <c r="C510" s="828">
        <v>484</v>
      </c>
      <c r="D510" s="829"/>
      <c r="E510" s="830"/>
      <c r="F510" s="830"/>
      <c r="G510" s="1049"/>
      <c r="H510" s="831"/>
      <c r="I510" s="832"/>
      <c r="L510" s="816">
        <f t="shared" si="27"/>
        <v>0</v>
      </c>
      <c r="M510" s="833">
        <f t="shared" si="28"/>
        <v>0</v>
      </c>
      <c r="N510" s="834"/>
      <c r="O510" s="835">
        <f t="shared" si="29"/>
        <v>0</v>
      </c>
      <c r="P510" s="827">
        <f t="shared" si="30"/>
        <v>0</v>
      </c>
      <c r="AD510" s="810"/>
    </row>
    <row r="511" spans="3:30" ht="30" hidden="1" customHeight="1" outlineLevel="1">
      <c r="C511" s="828">
        <v>485</v>
      </c>
      <c r="D511" s="829"/>
      <c r="E511" s="830"/>
      <c r="F511" s="830"/>
      <c r="G511" s="1049"/>
      <c r="H511" s="831"/>
      <c r="I511" s="832"/>
      <c r="L511" s="816">
        <f t="shared" si="27"/>
        <v>0</v>
      </c>
      <c r="M511" s="833">
        <f t="shared" si="28"/>
        <v>0</v>
      </c>
      <c r="N511" s="834"/>
      <c r="O511" s="835">
        <f t="shared" si="29"/>
        <v>0</v>
      </c>
      <c r="P511" s="827">
        <f t="shared" si="30"/>
        <v>0</v>
      </c>
      <c r="AD511" s="810"/>
    </row>
    <row r="512" spans="3:30" ht="30" hidden="1" customHeight="1" outlineLevel="1">
      <c r="C512" s="828">
        <v>486</v>
      </c>
      <c r="D512" s="829"/>
      <c r="E512" s="830"/>
      <c r="F512" s="830"/>
      <c r="G512" s="1049"/>
      <c r="H512" s="831"/>
      <c r="I512" s="832"/>
      <c r="L512" s="816">
        <f t="shared" si="27"/>
        <v>0</v>
      </c>
      <c r="M512" s="833">
        <f t="shared" si="28"/>
        <v>0</v>
      </c>
      <c r="N512" s="834"/>
      <c r="O512" s="835">
        <f t="shared" si="29"/>
        <v>0</v>
      </c>
      <c r="P512" s="827">
        <f t="shared" si="30"/>
        <v>0</v>
      </c>
      <c r="AD512" s="810"/>
    </row>
    <row r="513" spans="3:30" ht="30" hidden="1" customHeight="1" outlineLevel="1">
      <c r="C513" s="828">
        <v>487</v>
      </c>
      <c r="D513" s="829"/>
      <c r="E513" s="830"/>
      <c r="F513" s="830"/>
      <c r="G513" s="1049"/>
      <c r="H513" s="831"/>
      <c r="I513" s="832"/>
      <c r="L513" s="816">
        <f t="shared" si="27"/>
        <v>0</v>
      </c>
      <c r="M513" s="833">
        <f t="shared" si="28"/>
        <v>0</v>
      </c>
      <c r="N513" s="834"/>
      <c r="O513" s="835">
        <f t="shared" si="29"/>
        <v>0</v>
      </c>
      <c r="P513" s="827">
        <f t="shared" si="30"/>
        <v>0</v>
      </c>
      <c r="AD513" s="810"/>
    </row>
    <row r="514" spans="3:30" ht="30" hidden="1" customHeight="1" outlineLevel="1">
      <c r="C514" s="828">
        <v>488</v>
      </c>
      <c r="D514" s="829"/>
      <c r="E514" s="830"/>
      <c r="F514" s="830"/>
      <c r="G514" s="1049"/>
      <c r="H514" s="831"/>
      <c r="I514" s="832"/>
      <c r="L514" s="816">
        <f t="shared" si="27"/>
        <v>0</v>
      </c>
      <c r="M514" s="833">
        <f t="shared" si="28"/>
        <v>0</v>
      </c>
      <c r="N514" s="834"/>
      <c r="O514" s="835">
        <f t="shared" si="29"/>
        <v>0</v>
      </c>
      <c r="P514" s="827">
        <f t="shared" si="30"/>
        <v>0</v>
      </c>
      <c r="AD514" s="810"/>
    </row>
    <row r="515" spans="3:30" ht="30" hidden="1" customHeight="1" outlineLevel="1">
      <c r="C515" s="828">
        <v>489</v>
      </c>
      <c r="D515" s="829"/>
      <c r="E515" s="830"/>
      <c r="F515" s="830"/>
      <c r="G515" s="1049"/>
      <c r="H515" s="831"/>
      <c r="I515" s="832"/>
      <c r="L515" s="816">
        <f t="shared" si="27"/>
        <v>0</v>
      </c>
      <c r="M515" s="833">
        <f t="shared" si="28"/>
        <v>0</v>
      </c>
      <c r="N515" s="834"/>
      <c r="O515" s="835">
        <f t="shared" si="29"/>
        <v>0</v>
      </c>
      <c r="P515" s="827">
        <f t="shared" si="30"/>
        <v>0</v>
      </c>
      <c r="AD515" s="810"/>
    </row>
    <row r="516" spans="3:30" ht="30" hidden="1" customHeight="1" outlineLevel="1">
      <c r="C516" s="828">
        <v>490</v>
      </c>
      <c r="D516" s="829"/>
      <c r="E516" s="830"/>
      <c r="F516" s="830"/>
      <c r="G516" s="1049"/>
      <c r="H516" s="831"/>
      <c r="I516" s="832"/>
      <c r="L516" s="816">
        <f t="shared" si="27"/>
        <v>0</v>
      </c>
      <c r="M516" s="833">
        <f t="shared" si="28"/>
        <v>0</v>
      </c>
      <c r="N516" s="834"/>
      <c r="O516" s="835">
        <f t="shared" si="29"/>
        <v>0</v>
      </c>
      <c r="P516" s="827">
        <f t="shared" si="30"/>
        <v>0</v>
      </c>
      <c r="AD516" s="810"/>
    </row>
    <row r="517" spans="3:30" ht="30" hidden="1" customHeight="1" outlineLevel="1">
      <c r="C517" s="828">
        <v>491</v>
      </c>
      <c r="D517" s="829"/>
      <c r="E517" s="830"/>
      <c r="F517" s="830"/>
      <c r="G517" s="1049"/>
      <c r="H517" s="831"/>
      <c r="I517" s="832"/>
      <c r="L517" s="816">
        <f t="shared" si="27"/>
        <v>0</v>
      </c>
      <c r="M517" s="833">
        <f t="shared" si="28"/>
        <v>0</v>
      </c>
      <c r="N517" s="834"/>
      <c r="O517" s="835">
        <f t="shared" si="29"/>
        <v>0</v>
      </c>
      <c r="P517" s="827">
        <f t="shared" si="30"/>
        <v>0</v>
      </c>
      <c r="AD517" s="810"/>
    </row>
    <row r="518" spans="3:30" ht="30" hidden="1" customHeight="1" outlineLevel="1">
      <c r="C518" s="828">
        <v>492</v>
      </c>
      <c r="D518" s="829"/>
      <c r="E518" s="830"/>
      <c r="F518" s="830"/>
      <c r="G518" s="1049"/>
      <c r="H518" s="831"/>
      <c r="I518" s="832"/>
      <c r="L518" s="816">
        <f t="shared" si="27"/>
        <v>0</v>
      </c>
      <c r="M518" s="833">
        <f t="shared" si="28"/>
        <v>0</v>
      </c>
      <c r="N518" s="834"/>
      <c r="O518" s="835">
        <f t="shared" si="29"/>
        <v>0</v>
      </c>
      <c r="P518" s="827">
        <f t="shared" si="30"/>
        <v>0</v>
      </c>
      <c r="AD518" s="810"/>
    </row>
    <row r="519" spans="3:30" ht="30" hidden="1" customHeight="1" outlineLevel="1">
      <c r="C519" s="828">
        <v>493</v>
      </c>
      <c r="D519" s="829"/>
      <c r="E519" s="830"/>
      <c r="F519" s="830"/>
      <c r="G519" s="1049"/>
      <c r="H519" s="831"/>
      <c r="I519" s="832"/>
      <c r="L519" s="816">
        <f t="shared" si="27"/>
        <v>0</v>
      </c>
      <c r="M519" s="833">
        <f t="shared" si="28"/>
        <v>0</v>
      </c>
      <c r="N519" s="834"/>
      <c r="O519" s="835">
        <f t="shared" si="29"/>
        <v>0</v>
      </c>
      <c r="P519" s="827">
        <f t="shared" si="30"/>
        <v>0</v>
      </c>
      <c r="AD519" s="810"/>
    </row>
    <row r="520" spans="3:30" ht="30" hidden="1" customHeight="1" outlineLevel="1">
      <c r="C520" s="828">
        <v>494</v>
      </c>
      <c r="D520" s="829"/>
      <c r="E520" s="830"/>
      <c r="F520" s="830"/>
      <c r="G520" s="1049"/>
      <c r="H520" s="831"/>
      <c r="I520" s="832"/>
      <c r="L520" s="816">
        <f t="shared" si="27"/>
        <v>0</v>
      </c>
      <c r="M520" s="833">
        <f t="shared" si="28"/>
        <v>0</v>
      </c>
      <c r="N520" s="834"/>
      <c r="O520" s="835">
        <f t="shared" si="29"/>
        <v>0</v>
      </c>
      <c r="P520" s="827">
        <f t="shared" si="30"/>
        <v>0</v>
      </c>
      <c r="AD520" s="810"/>
    </row>
    <row r="521" spans="3:30" ht="30" hidden="1" customHeight="1" outlineLevel="1">
      <c r="C521" s="828">
        <v>495</v>
      </c>
      <c r="D521" s="829"/>
      <c r="E521" s="830"/>
      <c r="F521" s="830"/>
      <c r="G521" s="1049"/>
      <c r="H521" s="831"/>
      <c r="I521" s="832"/>
      <c r="L521" s="816">
        <f t="shared" si="27"/>
        <v>0</v>
      </c>
      <c r="M521" s="833">
        <f t="shared" si="28"/>
        <v>0</v>
      </c>
      <c r="N521" s="834"/>
      <c r="O521" s="835">
        <f t="shared" si="29"/>
        <v>0</v>
      </c>
      <c r="P521" s="827">
        <f t="shared" si="30"/>
        <v>0</v>
      </c>
      <c r="AD521" s="810"/>
    </row>
    <row r="522" spans="3:30" ht="30" hidden="1" customHeight="1" outlineLevel="1">
      <c r="C522" s="828">
        <v>496</v>
      </c>
      <c r="D522" s="829"/>
      <c r="E522" s="830"/>
      <c r="F522" s="830"/>
      <c r="G522" s="1049"/>
      <c r="H522" s="831"/>
      <c r="I522" s="832"/>
      <c r="L522" s="816">
        <f t="shared" si="27"/>
        <v>0</v>
      </c>
      <c r="M522" s="833">
        <f t="shared" si="28"/>
        <v>0</v>
      </c>
      <c r="N522" s="834"/>
      <c r="O522" s="835">
        <f t="shared" si="29"/>
        <v>0</v>
      </c>
      <c r="P522" s="827">
        <f t="shared" si="30"/>
        <v>0</v>
      </c>
      <c r="AD522" s="810"/>
    </row>
    <row r="523" spans="3:30" ht="30" hidden="1" customHeight="1" outlineLevel="1">
      <c r="C523" s="828">
        <v>497</v>
      </c>
      <c r="D523" s="829"/>
      <c r="E523" s="830"/>
      <c r="F523" s="830"/>
      <c r="G523" s="1049"/>
      <c r="H523" s="831"/>
      <c r="I523" s="832"/>
      <c r="L523" s="816">
        <f t="shared" si="27"/>
        <v>0</v>
      </c>
      <c r="M523" s="833">
        <f t="shared" si="28"/>
        <v>0</v>
      </c>
      <c r="N523" s="834"/>
      <c r="O523" s="835">
        <f t="shared" si="29"/>
        <v>0</v>
      </c>
      <c r="P523" s="827">
        <f t="shared" si="30"/>
        <v>0</v>
      </c>
      <c r="AD523" s="810"/>
    </row>
    <row r="524" spans="3:30" ht="30" hidden="1" customHeight="1" outlineLevel="1">
      <c r="C524" s="828">
        <v>498</v>
      </c>
      <c r="D524" s="829"/>
      <c r="E524" s="830"/>
      <c r="F524" s="830"/>
      <c r="G524" s="1049"/>
      <c r="H524" s="831"/>
      <c r="I524" s="832"/>
      <c r="L524" s="816">
        <f t="shared" si="27"/>
        <v>0</v>
      </c>
      <c r="M524" s="833">
        <f t="shared" si="28"/>
        <v>0</v>
      </c>
      <c r="N524" s="834"/>
      <c r="O524" s="835">
        <f t="shared" si="29"/>
        <v>0</v>
      </c>
      <c r="P524" s="827">
        <f t="shared" si="30"/>
        <v>0</v>
      </c>
      <c r="AD524" s="810"/>
    </row>
    <row r="525" spans="3:30" ht="30" hidden="1" customHeight="1" outlineLevel="1">
      <c r="C525" s="828">
        <v>499</v>
      </c>
      <c r="D525" s="829"/>
      <c r="E525" s="830"/>
      <c r="F525" s="830"/>
      <c r="G525" s="1049"/>
      <c r="H525" s="831"/>
      <c r="I525" s="832"/>
      <c r="L525" s="816">
        <f t="shared" si="27"/>
        <v>0</v>
      </c>
      <c r="M525" s="833">
        <f t="shared" si="28"/>
        <v>0</v>
      </c>
      <c r="N525" s="834"/>
      <c r="O525" s="835">
        <f t="shared" si="29"/>
        <v>0</v>
      </c>
      <c r="P525" s="827">
        <f t="shared" si="30"/>
        <v>0</v>
      </c>
      <c r="AD525" s="810"/>
    </row>
    <row r="526" spans="3:30" ht="30" hidden="1" customHeight="1" outlineLevel="1">
      <c r="C526" s="828">
        <v>500</v>
      </c>
      <c r="D526" s="829"/>
      <c r="E526" s="830"/>
      <c r="F526" s="830"/>
      <c r="G526" s="1049"/>
      <c r="H526" s="831"/>
      <c r="I526" s="832"/>
      <c r="L526" s="816">
        <f t="shared" si="27"/>
        <v>0</v>
      </c>
      <c r="M526" s="833">
        <f t="shared" si="28"/>
        <v>0</v>
      </c>
      <c r="N526" s="834"/>
      <c r="O526" s="835">
        <f t="shared" si="29"/>
        <v>0</v>
      </c>
      <c r="P526" s="827">
        <f t="shared" si="30"/>
        <v>0</v>
      </c>
      <c r="AD526" s="810"/>
    </row>
    <row r="527" spans="3:30" ht="30" hidden="1" customHeight="1" outlineLevel="1">
      <c r="C527" s="828">
        <v>501</v>
      </c>
      <c r="D527" s="829"/>
      <c r="E527" s="830"/>
      <c r="F527" s="830"/>
      <c r="G527" s="1049"/>
      <c r="H527" s="831"/>
      <c r="I527" s="832"/>
      <c r="L527" s="816">
        <f t="shared" si="27"/>
        <v>0</v>
      </c>
      <c r="M527" s="833">
        <f t="shared" si="28"/>
        <v>0</v>
      </c>
      <c r="N527" s="834"/>
      <c r="O527" s="835">
        <f t="shared" si="29"/>
        <v>0</v>
      </c>
      <c r="P527" s="827">
        <f t="shared" si="30"/>
        <v>0</v>
      </c>
      <c r="AD527" s="810"/>
    </row>
    <row r="528" spans="3:30" ht="30" hidden="1" customHeight="1" outlineLevel="1">
      <c r="C528" s="828">
        <v>502</v>
      </c>
      <c r="D528" s="829"/>
      <c r="E528" s="830"/>
      <c r="F528" s="830"/>
      <c r="G528" s="1049"/>
      <c r="H528" s="831"/>
      <c r="I528" s="832"/>
      <c r="L528" s="816">
        <f t="shared" si="27"/>
        <v>0</v>
      </c>
      <c r="M528" s="833">
        <f t="shared" si="28"/>
        <v>0</v>
      </c>
      <c r="N528" s="834"/>
      <c r="O528" s="835">
        <f t="shared" si="29"/>
        <v>0</v>
      </c>
      <c r="P528" s="827">
        <f t="shared" si="30"/>
        <v>0</v>
      </c>
      <c r="AD528" s="810"/>
    </row>
    <row r="529" spans="3:30" ht="30" hidden="1" customHeight="1" outlineLevel="1">
      <c r="C529" s="828">
        <v>503</v>
      </c>
      <c r="D529" s="829"/>
      <c r="E529" s="830"/>
      <c r="F529" s="830"/>
      <c r="G529" s="1049"/>
      <c r="H529" s="831"/>
      <c r="I529" s="832"/>
      <c r="L529" s="816">
        <f t="shared" si="27"/>
        <v>0</v>
      </c>
      <c r="M529" s="833">
        <f t="shared" si="28"/>
        <v>0</v>
      </c>
      <c r="N529" s="834"/>
      <c r="O529" s="835">
        <f t="shared" si="29"/>
        <v>0</v>
      </c>
      <c r="P529" s="827">
        <f t="shared" si="30"/>
        <v>0</v>
      </c>
      <c r="AD529" s="810"/>
    </row>
    <row r="530" spans="3:30" ht="30" hidden="1" customHeight="1" outlineLevel="1">
      <c r="C530" s="828">
        <v>504</v>
      </c>
      <c r="D530" s="829"/>
      <c r="E530" s="830"/>
      <c r="F530" s="830"/>
      <c r="G530" s="1049"/>
      <c r="H530" s="831"/>
      <c r="I530" s="832"/>
      <c r="L530" s="816">
        <f t="shared" si="27"/>
        <v>0</v>
      </c>
      <c r="M530" s="833">
        <f t="shared" si="28"/>
        <v>0</v>
      </c>
      <c r="N530" s="834"/>
      <c r="O530" s="835">
        <f t="shared" si="29"/>
        <v>0</v>
      </c>
      <c r="P530" s="827">
        <f t="shared" si="30"/>
        <v>0</v>
      </c>
      <c r="AD530" s="810"/>
    </row>
    <row r="531" spans="3:30" ht="30" hidden="1" customHeight="1" outlineLevel="1">
      <c r="C531" s="828">
        <v>505</v>
      </c>
      <c r="D531" s="829"/>
      <c r="E531" s="830"/>
      <c r="F531" s="830"/>
      <c r="G531" s="1049"/>
      <c r="H531" s="831"/>
      <c r="I531" s="832"/>
      <c r="L531" s="816">
        <f t="shared" si="27"/>
        <v>0</v>
      </c>
      <c r="M531" s="833">
        <f t="shared" si="28"/>
        <v>0</v>
      </c>
      <c r="N531" s="834"/>
      <c r="O531" s="835">
        <f t="shared" si="29"/>
        <v>0</v>
      </c>
      <c r="P531" s="827">
        <f t="shared" si="30"/>
        <v>0</v>
      </c>
      <c r="AD531" s="810"/>
    </row>
    <row r="532" spans="3:30" ht="30" hidden="1" customHeight="1" outlineLevel="1">
      <c r="C532" s="828">
        <v>506</v>
      </c>
      <c r="D532" s="829"/>
      <c r="E532" s="830"/>
      <c r="F532" s="830"/>
      <c r="G532" s="1049"/>
      <c r="H532" s="831"/>
      <c r="I532" s="832"/>
      <c r="L532" s="816">
        <f t="shared" si="27"/>
        <v>0</v>
      </c>
      <c r="M532" s="833">
        <f t="shared" si="28"/>
        <v>0</v>
      </c>
      <c r="N532" s="834"/>
      <c r="O532" s="835">
        <f t="shared" si="29"/>
        <v>0</v>
      </c>
      <c r="P532" s="827">
        <f t="shared" si="30"/>
        <v>0</v>
      </c>
      <c r="AD532" s="810"/>
    </row>
    <row r="533" spans="3:30" ht="30" hidden="1" customHeight="1" outlineLevel="1">
      <c r="C533" s="828">
        <v>507</v>
      </c>
      <c r="D533" s="829"/>
      <c r="E533" s="830"/>
      <c r="F533" s="830"/>
      <c r="G533" s="1049"/>
      <c r="H533" s="831"/>
      <c r="I533" s="832"/>
      <c r="L533" s="816">
        <f t="shared" si="27"/>
        <v>0</v>
      </c>
      <c r="M533" s="833">
        <f t="shared" si="28"/>
        <v>0</v>
      </c>
      <c r="N533" s="834"/>
      <c r="O533" s="835">
        <f t="shared" si="29"/>
        <v>0</v>
      </c>
      <c r="P533" s="827">
        <f t="shared" si="30"/>
        <v>0</v>
      </c>
      <c r="AD533" s="810"/>
    </row>
    <row r="534" spans="3:30" ht="30" hidden="1" customHeight="1" outlineLevel="1">
      <c r="C534" s="828">
        <v>508</v>
      </c>
      <c r="D534" s="829"/>
      <c r="E534" s="830"/>
      <c r="F534" s="830"/>
      <c r="G534" s="1049"/>
      <c r="H534" s="831"/>
      <c r="I534" s="832"/>
      <c r="L534" s="816">
        <f t="shared" si="27"/>
        <v>0</v>
      </c>
      <c r="M534" s="833">
        <f t="shared" si="28"/>
        <v>0</v>
      </c>
      <c r="N534" s="834"/>
      <c r="O534" s="835">
        <f t="shared" si="29"/>
        <v>0</v>
      </c>
      <c r="P534" s="827">
        <f t="shared" si="30"/>
        <v>0</v>
      </c>
      <c r="AD534" s="810"/>
    </row>
    <row r="535" spans="3:30" ht="30" hidden="1" customHeight="1" outlineLevel="1">
      <c r="C535" s="828">
        <v>509</v>
      </c>
      <c r="D535" s="829"/>
      <c r="E535" s="830"/>
      <c r="F535" s="830"/>
      <c r="G535" s="1049"/>
      <c r="H535" s="831"/>
      <c r="I535" s="832"/>
      <c r="L535" s="816">
        <f t="shared" si="27"/>
        <v>0</v>
      </c>
      <c r="M535" s="833">
        <f t="shared" si="28"/>
        <v>0</v>
      </c>
      <c r="N535" s="834"/>
      <c r="O535" s="835">
        <f t="shared" si="29"/>
        <v>0</v>
      </c>
      <c r="P535" s="827">
        <f t="shared" si="30"/>
        <v>0</v>
      </c>
      <c r="AD535" s="810"/>
    </row>
    <row r="536" spans="3:30" ht="30" hidden="1" customHeight="1" outlineLevel="1">
      <c r="C536" s="828">
        <v>510</v>
      </c>
      <c r="D536" s="829"/>
      <c r="E536" s="830"/>
      <c r="F536" s="830"/>
      <c r="G536" s="1049"/>
      <c r="H536" s="831"/>
      <c r="I536" s="832"/>
      <c r="L536" s="816">
        <f t="shared" si="27"/>
        <v>0</v>
      </c>
      <c r="M536" s="833">
        <f t="shared" si="28"/>
        <v>0</v>
      </c>
      <c r="N536" s="834"/>
      <c r="O536" s="835">
        <f t="shared" si="29"/>
        <v>0</v>
      </c>
      <c r="P536" s="827">
        <f t="shared" si="30"/>
        <v>0</v>
      </c>
      <c r="AD536" s="810"/>
    </row>
    <row r="537" spans="3:30" ht="30" hidden="1" customHeight="1" outlineLevel="1">
      <c r="C537" s="828">
        <v>511</v>
      </c>
      <c r="D537" s="829"/>
      <c r="E537" s="830"/>
      <c r="F537" s="830"/>
      <c r="G537" s="1049"/>
      <c r="H537" s="831"/>
      <c r="I537" s="832"/>
      <c r="L537" s="816">
        <f t="shared" si="27"/>
        <v>0</v>
      </c>
      <c r="M537" s="833">
        <f t="shared" si="28"/>
        <v>0</v>
      </c>
      <c r="N537" s="834"/>
      <c r="O537" s="835">
        <f t="shared" si="29"/>
        <v>0</v>
      </c>
      <c r="P537" s="827">
        <f t="shared" si="30"/>
        <v>0</v>
      </c>
      <c r="AD537" s="810"/>
    </row>
    <row r="538" spans="3:30" ht="30" hidden="1" customHeight="1" outlineLevel="1">
      <c r="C538" s="828">
        <v>512</v>
      </c>
      <c r="D538" s="829"/>
      <c r="E538" s="830"/>
      <c r="F538" s="830"/>
      <c r="G538" s="1049"/>
      <c r="H538" s="831"/>
      <c r="I538" s="832"/>
      <c r="L538" s="816">
        <f t="shared" si="27"/>
        <v>0</v>
      </c>
      <c r="M538" s="833">
        <f t="shared" si="28"/>
        <v>0</v>
      </c>
      <c r="N538" s="834"/>
      <c r="O538" s="835">
        <f t="shared" si="29"/>
        <v>0</v>
      </c>
      <c r="P538" s="827">
        <f t="shared" si="30"/>
        <v>0</v>
      </c>
      <c r="AD538" s="810"/>
    </row>
    <row r="539" spans="3:30" ht="30" hidden="1" customHeight="1" outlineLevel="1">
      <c r="C539" s="828">
        <v>513</v>
      </c>
      <c r="D539" s="829"/>
      <c r="E539" s="830"/>
      <c r="F539" s="830"/>
      <c r="G539" s="1049"/>
      <c r="H539" s="831"/>
      <c r="I539" s="832"/>
      <c r="L539" s="816">
        <f t="shared" si="27"/>
        <v>0</v>
      </c>
      <c r="M539" s="833">
        <f t="shared" si="28"/>
        <v>0</v>
      </c>
      <c r="N539" s="834"/>
      <c r="O539" s="835">
        <f t="shared" si="29"/>
        <v>0</v>
      </c>
      <c r="P539" s="827">
        <f t="shared" si="30"/>
        <v>0</v>
      </c>
      <c r="AD539" s="810"/>
    </row>
    <row r="540" spans="3:30" ht="30" hidden="1" customHeight="1" outlineLevel="1">
      <c r="C540" s="828">
        <v>514</v>
      </c>
      <c r="D540" s="829"/>
      <c r="E540" s="830"/>
      <c r="F540" s="830"/>
      <c r="G540" s="1049"/>
      <c r="H540" s="831"/>
      <c r="I540" s="832"/>
      <c r="L540" s="816">
        <f t="shared" si="27"/>
        <v>0</v>
      </c>
      <c r="M540" s="833">
        <f t="shared" si="28"/>
        <v>0</v>
      </c>
      <c r="N540" s="834"/>
      <c r="O540" s="835">
        <f t="shared" si="29"/>
        <v>0</v>
      </c>
      <c r="P540" s="827">
        <f t="shared" si="30"/>
        <v>0</v>
      </c>
      <c r="AD540" s="810"/>
    </row>
    <row r="541" spans="3:30" ht="30" hidden="1" customHeight="1" outlineLevel="1">
      <c r="C541" s="828">
        <v>515</v>
      </c>
      <c r="D541" s="829"/>
      <c r="E541" s="830"/>
      <c r="F541" s="830"/>
      <c r="G541" s="1049"/>
      <c r="H541" s="831"/>
      <c r="I541" s="832"/>
      <c r="L541" s="816">
        <f t="shared" si="27"/>
        <v>0</v>
      </c>
      <c r="M541" s="833">
        <f t="shared" si="28"/>
        <v>0</v>
      </c>
      <c r="N541" s="834"/>
      <c r="O541" s="835">
        <f t="shared" si="29"/>
        <v>0</v>
      </c>
      <c r="P541" s="827">
        <f t="shared" si="30"/>
        <v>0</v>
      </c>
      <c r="AD541" s="810"/>
    </row>
    <row r="542" spans="3:30" ht="30" hidden="1" customHeight="1" outlineLevel="1">
      <c r="C542" s="828">
        <v>516</v>
      </c>
      <c r="D542" s="829"/>
      <c r="E542" s="830"/>
      <c r="F542" s="830"/>
      <c r="G542" s="1049"/>
      <c r="H542" s="831"/>
      <c r="I542" s="832"/>
      <c r="L542" s="816">
        <f t="shared" si="27"/>
        <v>0</v>
      </c>
      <c r="M542" s="833">
        <f t="shared" si="28"/>
        <v>0</v>
      </c>
      <c r="N542" s="834"/>
      <c r="O542" s="835">
        <f t="shared" si="29"/>
        <v>0</v>
      </c>
      <c r="P542" s="827">
        <f t="shared" si="30"/>
        <v>0</v>
      </c>
      <c r="AD542" s="810"/>
    </row>
    <row r="543" spans="3:30" ht="30" hidden="1" customHeight="1" outlineLevel="1">
      <c r="C543" s="828">
        <v>517</v>
      </c>
      <c r="D543" s="829"/>
      <c r="E543" s="830"/>
      <c r="F543" s="830"/>
      <c r="G543" s="1049"/>
      <c r="H543" s="831"/>
      <c r="I543" s="832"/>
      <c r="L543" s="816">
        <f t="shared" si="27"/>
        <v>0</v>
      </c>
      <c r="M543" s="833">
        <f t="shared" si="28"/>
        <v>0</v>
      </c>
      <c r="N543" s="834"/>
      <c r="O543" s="835">
        <f t="shared" si="29"/>
        <v>0</v>
      </c>
      <c r="P543" s="827">
        <f t="shared" si="30"/>
        <v>0</v>
      </c>
      <c r="AD543" s="810"/>
    </row>
    <row r="544" spans="3:30" ht="30" hidden="1" customHeight="1" outlineLevel="1">
      <c r="C544" s="828">
        <v>518</v>
      </c>
      <c r="D544" s="829"/>
      <c r="E544" s="830"/>
      <c r="F544" s="830"/>
      <c r="G544" s="1049"/>
      <c r="H544" s="831"/>
      <c r="I544" s="832"/>
      <c r="L544" s="816">
        <f t="shared" si="27"/>
        <v>0</v>
      </c>
      <c r="M544" s="833">
        <f t="shared" si="28"/>
        <v>0</v>
      </c>
      <c r="N544" s="834"/>
      <c r="O544" s="835">
        <f t="shared" si="29"/>
        <v>0</v>
      </c>
      <c r="P544" s="827">
        <f t="shared" si="30"/>
        <v>0</v>
      </c>
      <c r="AD544" s="810"/>
    </row>
    <row r="545" spans="3:30" ht="30" hidden="1" customHeight="1" outlineLevel="1">
      <c r="C545" s="828">
        <v>519</v>
      </c>
      <c r="D545" s="829"/>
      <c r="E545" s="830"/>
      <c r="F545" s="830"/>
      <c r="G545" s="1049"/>
      <c r="H545" s="831"/>
      <c r="I545" s="832"/>
      <c r="L545" s="816">
        <f t="shared" si="27"/>
        <v>0</v>
      </c>
      <c r="M545" s="833">
        <f t="shared" si="28"/>
        <v>0</v>
      </c>
      <c r="N545" s="834"/>
      <c r="O545" s="835">
        <f t="shared" si="29"/>
        <v>0</v>
      </c>
      <c r="P545" s="827">
        <f t="shared" si="30"/>
        <v>0</v>
      </c>
      <c r="AD545" s="810"/>
    </row>
    <row r="546" spans="3:30" ht="30" hidden="1" customHeight="1" outlineLevel="1">
      <c r="C546" s="828">
        <v>520</v>
      </c>
      <c r="D546" s="829"/>
      <c r="E546" s="830"/>
      <c r="F546" s="830"/>
      <c r="G546" s="1049"/>
      <c r="H546" s="831"/>
      <c r="I546" s="832"/>
      <c r="L546" s="816">
        <f t="shared" si="27"/>
        <v>0</v>
      </c>
      <c r="M546" s="833">
        <f t="shared" si="28"/>
        <v>0</v>
      </c>
      <c r="N546" s="834"/>
      <c r="O546" s="835">
        <f t="shared" si="29"/>
        <v>0</v>
      </c>
      <c r="P546" s="827">
        <f t="shared" si="30"/>
        <v>0</v>
      </c>
      <c r="AD546" s="810"/>
    </row>
    <row r="547" spans="3:30" ht="30" hidden="1" customHeight="1" outlineLevel="1">
      <c r="C547" s="828">
        <v>521</v>
      </c>
      <c r="D547" s="829"/>
      <c r="E547" s="830"/>
      <c r="F547" s="830"/>
      <c r="G547" s="1049"/>
      <c r="H547" s="831"/>
      <c r="I547" s="832"/>
      <c r="L547" s="816">
        <f t="shared" si="27"/>
        <v>0</v>
      </c>
      <c r="M547" s="833">
        <f t="shared" si="28"/>
        <v>0</v>
      </c>
      <c r="N547" s="834"/>
      <c r="O547" s="835">
        <f t="shared" si="29"/>
        <v>0</v>
      </c>
      <c r="P547" s="827">
        <f t="shared" si="30"/>
        <v>0</v>
      </c>
      <c r="AD547" s="810"/>
    </row>
    <row r="548" spans="3:30" ht="30" hidden="1" customHeight="1" outlineLevel="1">
      <c r="C548" s="828">
        <v>522</v>
      </c>
      <c r="D548" s="829"/>
      <c r="E548" s="830"/>
      <c r="F548" s="830"/>
      <c r="G548" s="1049"/>
      <c r="H548" s="831"/>
      <c r="I548" s="832"/>
      <c r="L548" s="816">
        <f t="shared" si="27"/>
        <v>0</v>
      </c>
      <c r="M548" s="833">
        <f t="shared" si="28"/>
        <v>0</v>
      </c>
      <c r="N548" s="834"/>
      <c r="O548" s="835">
        <f t="shared" si="29"/>
        <v>0</v>
      </c>
      <c r="P548" s="827">
        <f t="shared" si="30"/>
        <v>0</v>
      </c>
      <c r="AD548" s="810"/>
    </row>
    <row r="549" spans="3:30" ht="30" hidden="1" customHeight="1" outlineLevel="1">
      <c r="C549" s="828">
        <v>523</v>
      </c>
      <c r="D549" s="829"/>
      <c r="E549" s="830"/>
      <c r="F549" s="830"/>
      <c r="G549" s="1049"/>
      <c r="H549" s="831"/>
      <c r="I549" s="832"/>
      <c r="L549" s="816">
        <f t="shared" si="27"/>
        <v>0</v>
      </c>
      <c r="M549" s="833">
        <f t="shared" si="28"/>
        <v>0</v>
      </c>
      <c r="N549" s="834"/>
      <c r="O549" s="835">
        <f t="shared" si="29"/>
        <v>0</v>
      </c>
      <c r="P549" s="827">
        <f t="shared" si="30"/>
        <v>0</v>
      </c>
      <c r="AD549" s="810"/>
    </row>
    <row r="550" spans="3:30" ht="30" hidden="1" customHeight="1" outlineLevel="1">
      <c r="C550" s="828">
        <v>524</v>
      </c>
      <c r="D550" s="829"/>
      <c r="E550" s="830"/>
      <c r="F550" s="830"/>
      <c r="G550" s="1049"/>
      <c r="H550" s="831"/>
      <c r="I550" s="832"/>
      <c r="L550" s="816">
        <f t="shared" si="27"/>
        <v>0</v>
      </c>
      <c r="M550" s="833">
        <f t="shared" si="28"/>
        <v>0</v>
      </c>
      <c r="N550" s="834"/>
      <c r="O550" s="835">
        <f t="shared" si="29"/>
        <v>0</v>
      </c>
      <c r="P550" s="827">
        <f t="shared" si="30"/>
        <v>0</v>
      </c>
      <c r="AD550" s="810"/>
    </row>
    <row r="551" spans="3:30" ht="30" hidden="1" customHeight="1" outlineLevel="1">
      <c r="C551" s="828">
        <v>525</v>
      </c>
      <c r="D551" s="829"/>
      <c r="E551" s="830"/>
      <c r="F551" s="830"/>
      <c r="G551" s="1049"/>
      <c r="H551" s="831"/>
      <c r="I551" s="832"/>
      <c r="L551" s="816">
        <f t="shared" si="27"/>
        <v>0</v>
      </c>
      <c r="M551" s="833">
        <f t="shared" si="28"/>
        <v>0</v>
      </c>
      <c r="N551" s="834"/>
      <c r="O551" s="835">
        <f t="shared" si="29"/>
        <v>0</v>
      </c>
      <c r="P551" s="827">
        <f t="shared" si="30"/>
        <v>0</v>
      </c>
      <c r="AD551" s="810"/>
    </row>
    <row r="552" spans="3:30" ht="30" hidden="1" customHeight="1" outlineLevel="1">
      <c r="C552" s="828">
        <v>526</v>
      </c>
      <c r="D552" s="829"/>
      <c r="E552" s="830"/>
      <c r="F552" s="830"/>
      <c r="G552" s="1049"/>
      <c r="H552" s="831"/>
      <c r="I552" s="832"/>
      <c r="L552" s="816">
        <f t="shared" si="27"/>
        <v>0</v>
      </c>
      <c r="M552" s="833">
        <f t="shared" si="28"/>
        <v>0</v>
      </c>
      <c r="N552" s="834"/>
      <c r="O552" s="835">
        <f t="shared" si="29"/>
        <v>0</v>
      </c>
      <c r="P552" s="827">
        <f t="shared" si="30"/>
        <v>0</v>
      </c>
      <c r="AD552" s="810"/>
    </row>
    <row r="553" spans="3:30" ht="30" hidden="1" customHeight="1" outlineLevel="1">
      <c r="C553" s="828">
        <v>527</v>
      </c>
      <c r="D553" s="829"/>
      <c r="E553" s="830"/>
      <c r="F553" s="830"/>
      <c r="G553" s="1049"/>
      <c r="H553" s="831"/>
      <c r="I553" s="832"/>
      <c r="L553" s="816">
        <f t="shared" si="27"/>
        <v>0</v>
      </c>
      <c r="M553" s="833">
        <f t="shared" si="28"/>
        <v>0</v>
      </c>
      <c r="N553" s="834"/>
      <c r="O553" s="835">
        <f t="shared" si="29"/>
        <v>0</v>
      </c>
      <c r="P553" s="827">
        <f t="shared" si="30"/>
        <v>0</v>
      </c>
      <c r="AD553" s="810"/>
    </row>
    <row r="554" spans="3:30" ht="30" hidden="1" customHeight="1" outlineLevel="1">
      <c r="C554" s="828">
        <v>528</v>
      </c>
      <c r="D554" s="829"/>
      <c r="E554" s="830"/>
      <c r="F554" s="830"/>
      <c r="G554" s="1049"/>
      <c r="H554" s="831"/>
      <c r="I554" s="832"/>
      <c r="L554" s="816">
        <f t="shared" si="27"/>
        <v>0</v>
      </c>
      <c r="M554" s="833">
        <f t="shared" si="28"/>
        <v>0</v>
      </c>
      <c r="N554" s="834"/>
      <c r="O554" s="835">
        <f t="shared" si="29"/>
        <v>0</v>
      </c>
      <c r="P554" s="827">
        <f t="shared" si="30"/>
        <v>0</v>
      </c>
      <c r="AD554" s="810"/>
    </row>
    <row r="555" spans="3:30" ht="30" hidden="1" customHeight="1" outlineLevel="1">
      <c r="C555" s="828">
        <v>529</v>
      </c>
      <c r="D555" s="829"/>
      <c r="E555" s="830"/>
      <c r="F555" s="830"/>
      <c r="G555" s="1049"/>
      <c r="H555" s="831"/>
      <c r="I555" s="832"/>
      <c r="L555" s="816">
        <f t="shared" si="27"/>
        <v>0</v>
      </c>
      <c r="M555" s="833">
        <f t="shared" si="28"/>
        <v>0</v>
      </c>
      <c r="N555" s="834"/>
      <c r="O555" s="835">
        <f t="shared" si="29"/>
        <v>0</v>
      </c>
      <c r="P555" s="827">
        <f t="shared" si="30"/>
        <v>0</v>
      </c>
      <c r="AD555" s="810"/>
    </row>
    <row r="556" spans="3:30" ht="30" hidden="1" customHeight="1" outlineLevel="1">
      <c r="C556" s="828">
        <v>530</v>
      </c>
      <c r="D556" s="829"/>
      <c r="E556" s="830"/>
      <c r="F556" s="830"/>
      <c r="G556" s="1049"/>
      <c r="H556" s="831"/>
      <c r="I556" s="832"/>
      <c r="L556" s="816">
        <f t="shared" si="27"/>
        <v>0</v>
      </c>
      <c r="M556" s="833">
        <f t="shared" si="28"/>
        <v>0</v>
      </c>
      <c r="N556" s="834"/>
      <c r="O556" s="835">
        <f t="shared" si="29"/>
        <v>0</v>
      </c>
      <c r="P556" s="827">
        <f t="shared" si="30"/>
        <v>0</v>
      </c>
      <c r="AD556" s="810"/>
    </row>
    <row r="557" spans="3:30" ht="30" hidden="1" customHeight="1" outlineLevel="1">
      <c r="C557" s="828">
        <v>531</v>
      </c>
      <c r="D557" s="829"/>
      <c r="E557" s="830"/>
      <c r="F557" s="830"/>
      <c r="G557" s="1049"/>
      <c r="H557" s="831"/>
      <c r="I557" s="832"/>
      <c r="L557" s="816">
        <f t="shared" si="27"/>
        <v>0</v>
      </c>
      <c r="M557" s="833">
        <f t="shared" si="28"/>
        <v>0</v>
      </c>
      <c r="N557" s="834"/>
      <c r="O557" s="835">
        <f t="shared" si="29"/>
        <v>0</v>
      </c>
      <c r="P557" s="827">
        <f t="shared" si="30"/>
        <v>0</v>
      </c>
      <c r="AD557" s="810"/>
    </row>
    <row r="558" spans="3:30" ht="30" hidden="1" customHeight="1" outlineLevel="1">
      <c r="C558" s="828">
        <v>532</v>
      </c>
      <c r="D558" s="829"/>
      <c r="E558" s="830"/>
      <c r="F558" s="830"/>
      <c r="G558" s="1049"/>
      <c r="H558" s="831"/>
      <c r="I558" s="832"/>
      <c r="L558" s="816">
        <f t="shared" si="27"/>
        <v>0</v>
      </c>
      <c r="M558" s="833">
        <f t="shared" si="28"/>
        <v>0</v>
      </c>
      <c r="N558" s="834"/>
      <c r="O558" s="835">
        <f t="shared" si="29"/>
        <v>0</v>
      </c>
      <c r="P558" s="827">
        <f t="shared" si="30"/>
        <v>0</v>
      </c>
      <c r="AD558" s="810"/>
    </row>
    <row r="559" spans="3:30" ht="30" hidden="1" customHeight="1" outlineLevel="1">
      <c r="C559" s="828">
        <v>533</v>
      </c>
      <c r="D559" s="829"/>
      <c r="E559" s="830"/>
      <c r="F559" s="830"/>
      <c r="G559" s="1049"/>
      <c r="H559" s="831"/>
      <c r="I559" s="832"/>
      <c r="L559" s="816">
        <f t="shared" si="27"/>
        <v>0</v>
      </c>
      <c r="M559" s="833">
        <f t="shared" si="28"/>
        <v>0</v>
      </c>
      <c r="N559" s="834"/>
      <c r="O559" s="835">
        <f t="shared" si="29"/>
        <v>0</v>
      </c>
      <c r="P559" s="827">
        <f t="shared" si="30"/>
        <v>0</v>
      </c>
      <c r="AD559" s="810"/>
    </row>
    <row r="560" spans="3:30" ht="30" hidden="1" customHeight="1" outlineLevel="1">
      <c r="C560" s="828">
        <v>534</v>
      </c>
      <c r="D560" s="829"/>
      <c r="E560" s="830"/>
      <c r="F560" s="830"/>
      <c r="G560" s="1049"/>
      <c r="H560" s="831"/>
      <c r="I560" s="832"/>
      <c r="L560" s="816">
        <f t="shared" ref="L560:L623" si="31">IF($G560&gt;0,E560,)</f>
        <v>0</v>
      </c>
      <c r="M560" s="833">
        <f t="shared" ref="M560:M623" si="32">IF($G560&gt;0,F560,)</f>
        <v>0</v>
      </c>
      <c r="N560" s="834"/>
      <c r="O560" s="835">
        <f t="shared" ref="O560:O623" si="33">ROUND(L560*N560/10,)</f>
        <v>0</v>
      </c>
      <c r="P560" s="827">
        <f t="shared" ref="P560:P623" si="34">ROUND(O560*G560%,)</f>
        <v>0</v>
      </c>
      <c r="AD560" s="810"/>
    </row>
    <row r="561" spans="3:30" ht="30" hidden="1" customHeight="1" outlineLevel="1">
      <c r="C561" s="828">
        <v>535</v>
      </c>
      <c r="D561" s="829"/>
      <c r="E561" s="830"/>
      <c r="F561" s="830"/>
      <c r="G561" s="1049"/>
      <c r="H561" s="831"/>
      <c r="I561" s="832"/>
      <c r="L561" s="816">
        <f t="shared" si="31"/>
        <v>0</v>
      </c>
      <c r="M561" s="833">
        <f t="shared" si="32"/>
        <v>0</v>
      </c>
      <c r="N561" s="834"/>
      <c r="O561" s="835">
        <f t="shared" si="33"/>
        <v>0</v>
      </c>
      <c r="P561" s="827">
        <f t="shared" si="34"/>
        <v>0</v>
      </c>
      <c r="AD561" s="810"/>
    </row>
    <row r="562" spans="3:30" ht="30" hidden="1" customHeight="1" outlineLevel="1">
      <c r="C562" s="828">
        <v>536</v>
      </c>
      <c r="D562" s="829"/>
      <c r="E562" s="830"/>
      <c r="F562" s="830"/>
      <c r="G562" s="1049"/>
      <c r="H562" s="831"/>
      <c r="I562" s="832"/>
      <c r="L562" s="816">
        <f t="shared" si="31"/>
        <v>0</v>
      </c>
      <c r="M562" s="833">
        <f t="shared" si="32"/>
        <v>0</v>
      </c>
      <c r="N562" s="834"/>
      <c r="O562" s="835">
        <f t="shared" si="33"/>
        <v>0</v>
      </c>
      <c r="P562" s="827">
        <f t="shared" si="34"/>
        <v>0</v>
      </c>
      <c r="AD562" s="810"/>
    </row>
    <row r="563" spans="3:30" ht="30" hidden="1" customHeight="1" outlineLevel="1">
      <c r="C563" s="828">
        <v>537</v>
      </c>
      <c r="D563" s="829"/>
      <c r="E563" s="830"/>
      <c r="F563" s="830"/>
      <c r="G563" s="1049"/>
      <c r="H563" s="831"/>
      <c r="I563" s="832"/>
      <c r="L563" s="816">
        <f t="shared" si="31"/>
        <v>0</v>
      </c>
      <c r="M563" s="833">
        <f t="shared" si="32"/>
        <v>0</v>
      </c>
      <c r="N563" s="834"/>
      <c r="O563" s="835">
        <f t="shared" si="33"/>
        <v>0</v>
      </c>
      <c r="P563" s="827">
        <f t="shared" si="34"/>
        <v>0</v>
      </c>
      <c r="AD563" s="810"/>
    </row>
    <row r="564" spans="3:30" ht="30" hidden="1" customHeight="1" outlineLevel="1">
      <c r="C564" s="828">
        <v>538</v>
      </c>
      <c r="D564" s="829"/>
      <c r="E564" s="830"/>
      <c r="F564" s="830"/>
      <c r="G564" s="1049"/>
      <c r="H564" s="831"/>
      <c r="I564" s="832"/>
      <c r="L564" s="816">
        <f t="shared" si="31"/>
        <v>0</v>
      </c>
      <c r="M564" s="833">
        <f t="shared" si="32"/>
        <v>0</v>
      </c>
      <c r="N564" s="834"/>
      <c r="O564" s="835">
        <f t="shared" si="33"/>
        <v>0</v>
      </c>
      <c r="P564" s="827">
        <f t="shared" si="34"/>
        <v>0</v>
      </c>
      <c r="AD564" s="810"/>
    </row>
    <row r="565" spans="3:30" ht="30" hidden="1" customHeight="1" outlineLevel="1">
      <c r="C565" s="828">
        <v>539</v>
      </c>
      <c r="D565" s="829"/>
      <c r="E565" s="830"/>
      <c r="F565" s="830"/>
      <c r="G565" s="1049"/>
      <c r="H565" s="831"/>
      <c r="I565" s="832"/>
      <c r="L565" s="816">
        <f t="shared" si="31"/>
        <v>0</v>
      </c>
      <c r="M565" s="833">
        <f t="shared" si="32"/>
        <v>0</v>
      </c>
      <c r="N565" s="834"/>
      <c r="O565" s="835">
        <f t="shared" si="33"/>
        <v>0</v>
      </c>
      <c r="P565" s="827">
        <f t="shared" si="34"/>
        <v>0</v>
      </c>
      <c r="AD565" s="810"/>
    </row>
    <row r="566" spans="3:30" ht="30" hidden="1" customHeight="1" outlineLevel="1">
      <c r="C566" s="828">
        <v>540</v>
      </c>
      <c r="D566" s="829"/>
      <c r="E566" s="830"/>
      <c r="F566" s="830"/>
      <c r="G566" s="1049"/>
      <c r="H566" s="831"/>
      <c r="I566" s="832"/>
      <c r="L566" s="816">
        <f t="shared" si="31"/>
        <v>0</v>
      </c>
      <c r="M566" s="833">
        <f t="shared" si="32"/>
        <v>0</v>
      </c>
      <c r="N566" s="834"/>
      <c r="O566" s="835">
        <f t="shared" si="33"/>
        <v>0</v>
      </c>
      <c r="P566" s="827">
        <f t="shared" si="34"/>
        <v>0</v>
      </c>
      <c r="AD566" s="810"/>
    </row>
    <row r="567" spans="3:30" ht="30" hidden="1" customHeight="1" outlineLevel="1">
      <c r="C567" s="828">
        <v>541</v>
      </c>
      <c r="D567" s="829"/>
      <c r="E567" s="830"/>
      <c r="F567" s="830"/>
      <c r="G567" s="1049"/>
      <c r="H567" s="831"/>
      <c r="I567" s="832"/>
      <c r="L567" s="816">
        <f t="shared" si="31"/>
        <v>0</v>
      </c>
      <c r="M567" s="833">
        <f t="shared" si="32"/>
        <v>0</v>
      </c>
      <c r="N567" s="834"/>
      <c r="O567" s="835">
        <f t="shared" si="33"/>
        <v>0</v>
      </c>
      <c r="P567" s="827">
        <f t="shared" si="34"/>
        <v>0</v>
      </c>
      <c r="AD567" s="810"/>
    </row>
    <row r="568" spans="3:30" ht="30" hidden="1" customHeight="1" outlineLevel="1">
      <c r="C568" s="828">
        <v>542</v>
      </c>
      <c r="D568" s="829"/>
      <c r="E568" s="830"/>
      <c r="F568" s="830"/>
      <c r="G568" s="1049"/>
      <c r="H568" s="831"/>
      <c r="I568" s="832"/>
      <c r="L568" s="816">
        <f t="shared" si="31"/>
        <v>0</v>
      </c>
      <c r="M568" s="833">
        <f t="shared" si="32"/>
        <v>0</v>
      </c>
      <c r="N568" s="834"/>
      <c r="O568" s="835">
        <f t="shared" si="33"/>
        <v>0</v>
      </c>
      <c r="P568" s="827">
        <f t="shared" si="34"/>
        <v>0</v>
      </c>
      <c r="AD568" s="810"/>
    </row>
    <row r="569" spans="3:30" ht="30" hidden="1" customHeight="1" outlineLevel="1">
      <c r="C569" s="828">
        <v>543</v>
      </c>
      <c r="D569" s="829"/>
      <c r="E569" s="830"/>
      <c r="F569" s="830"/>
      <c r="G569" s="1049"/>
      <c r="H569" s="831"/>
      <c r="I569" s="832"/>
      <c r="L569" s="816">
        <f t="shared" si="31"/>
        <v>0</v>
      </c>
      <c r="M569" s="833">
        <f t="shared" si="32"/>
        <v>0</v>
      </c>
      <c r="N569" s="834"/>
      <c r="O569" s="835">
        <f t="shared" si="33"/>
        <v>0</v>
      </c>
      <c r="P569" s="827">
        <f t="shared" si="34"/>
        <v>0</v>
      </c>
      <c r="AD569" s="810"/>
    </row>
    <row r="570" spans="3:30" ht="30" hidden="1" customHeight="1" outlineLevel="1">
      <c r="C570" s="828">
        <v>544</v>
      </c>
      <c r="D570" s="829"/>
      <c r="E570" s="830"/>
      <c r="F570" s="830"/>
      <c r="G570" s="1049"/>
      <c r="H570" s="831"/>
      <c r="I570" s="832"/>
      <c r="L570" s="816">
        <f t="shared" si="31"/>
        <v>0</v>
      </c>
      <c r="M570" s="833">
        <f t="shared" si="32"/>
        <v>0</v>
      </c>
      <c r="N570" s="834"/>
      <c r="O570" s="835">
        <f t="shared" si="33"/>
        <v>0</v>
      </c>
      <c r="P570" s="827">
        <f t="shared" si="34"/>
        <v>0</v>
      </c>
      <c r="AD570" s="810"/>
    </row>
    <row r="571" spans="3:30" ht="30" hidden="1" customHeight="1" outlineLevel="1">
      <c r="C571" s="828">
        <v>545</v>
      </c>
      <c r="D571" s="829"/>
      <c r="E571" s="830"/>
      <c r="F571" s="830"/>
      <c r="G571" s="1049"/>
      <c r="H571" s="831"/>
      <c r="I571" s="832"/>
      <c r="L571" s="816">
        <f t="shared" si="31"/>
        <v>0</v>
      </c>
      <c r="M571" s="833">
        <f t="shared" si="32"/>
        <v>0</v>
      </c>
      <c r="N571" s="834"/>
      <c r="O571" s="835">
        <f t="shared" si="33"/>
        <v>0</v>
      </c>
      <c r="P571" s="827">
        <f t="shared" si="34"/>
        <v>0</v>
      </c>
      <c r="AD571" s="810"/>
    </row>
    <row r="572" spans="3:30" ht="30" hidden="1" customHeight="1" outlineLevel="1">
      <c r="C572" s="828">
        <v>546</v>
      </c>
      <c r="D572" s="829"/>
      <c r="E572" s="830"/>
      <c r="F572" s="830"/>
      <c r="G572" s="1049"/>
      <c r="H572" s="831"/>
      <c r="I572" s="832"/>
      <c r="L572" s="816">
        <f t="shared" si="31"/>
        <v>0</v>
      </c>
      <c r="M572" s="833">
        <f t="shared" si="32"/>
        <v>0</v>
      </c>
      <c r="N572" s="834"/>
      <c r="O572" s="835">
        <f t="shared" si="33"/>
        <v>0</v>
      </c>
      <c r="P572" s="827">
        <f t="shared" si="34"/>
        <v>0</v>
      </c>
      <c r="AD572" s="810"/>
    </row>
    <row r="573" spans="3:30" ht="30" hidden="1" customHeight="1" outlineLevel="1">
      <c r="C573" s="828">
        <v>547</v>
      </c>
      <c r="D573" s="829"/>
      <c r="E573" s="830"/>
      <c r="F573" s="830"/>
      <c r="G573" s="1049"/>
      <c r="H573" s="831"/>
      <c r="I573" s="832"/>
      <c r="L573" s="816">
        <f t="shared" si="31"/>
        <v>0</v>
      </c>
      <c r="M573" s="833">
        <f t="shared" si="32"/>
        <v>0</v>
      </c>
      <c r="N573" s="834"/>
      <c r="O573" s="835">
        <f t="shared" si="33"/>
        <v>0</v>
      </c>
      <c r="P573" s="827">
        <f t="shared" si="34"/>
        <v>0</v>
      </c>
      <c r="AD573" s="810"/>
    </row>
    <row r="574" spans="3:30" ht="30" hidden="1" customHeight="1" outlineLevel="1">
      <c r="C574" s="828">
        <v>548</v>
      </c>
      <c r="D574" s="829"/>
      <c r="E574" s="830"/>
      <c r="F574" s="830"/>
      <c r="G574" s="1049"/>
      <c r="H574" s="831"/>
      <c r="I574" s="832"/>
      <c r="L574" s="816">
        <f t="shared" si="31"/>
        <v>0</v>
      </c>
      <c r="M574" s="833">
        <f t="shared" si="32"/>
        <v>0</v>
      </c>
      <c r="N574" s="834"/>
      <c r="O574" s="835">
        <f t="shared" si="33"/>
        <v>0</v>
      </c>
      <c r="P574" s="827">
        <f t="shared" si="34"/>
        <v>0</v>
      </c>
      <c r="AD574" s="810"/>
    </row>
    <row r="575" spans="3:30" ht="30" hidden="1" customHeight="1" outlineLevel="1">
      <c r="C575" s="828">
        <v>549</v>
      </c>
      <c r="D575" s="829"/>
      <c r="E575" s="830"/>
      <c r="F575" s="830"/>
      <c r="G575" s="1049"/>
      <c r="H575" s="831"/>
      <c r="I575" s="832"/>
      <c r="L575" s="816">
        <f t="shared" si="31"/>
        <v>0</v>
      </c>
      <c r="M575" s="833">
        <f t="shared" si="32"/>
        <v>0</v>
      </c>
      <c r="N575" s="834"/>
      <c r="O575" s="835">
        <f t="shared" si="33"/>
        <v>0</v>
      </c>
      <c r="P575" s="827">
        <f t="shared" si="34"/>
        <v>0</v>
      </c>
      <c r="AD575" s="810"/>
    </row>
    <row r="576" spans="3:30" ht="30" hidden="1" customHeight="1" outlineLevel="1">
      <c r="C576" s="828">
        <v>550</v>
      </c>
      <c r="D576" s="829"/>
      <c r="E576" s="830"/>
      <c r="F576" s="830"/>
      <c r="G576" s="1049"/>
      <c r="H576" s="831"/>
      <c r="I576" s="832"/>
      <c r="L576" s="816">
        <f t="shared" si="31"/>
        <v>0</v>
      </c>
      <c r="M576" s="833">
        <f t="shared" si="32"/>
        <v>0</v>
      </c>
      <c r="N576" s="834"/>
      <c r="O576" s="835">
        <f t="shared" si="33"/>
        <v>0</v>
      </c>
      <c r="P576" s="827">
        <f t="shared" si="34"/>
        <v>0</v>
      </c>
      <c r="AD576" s="810"/>
    </row>
    <row r="577" spans="3:30" ht="30" hidden="1" customHeight="1" outlineLevel="1">
      <c r="C577" s="828">
        <v>551</v>
      </c>
      <c r="D577" s="829"/>
      <c r="E577" s="830"/>
      <c r="F577" s="830"/>
      <c r="G577" s="1049"/>
      <c r="H577" s="831"/>
      <c r="I577" s="832"/>
      <c r="L577" s="816">
        <f t="shared" si="31"/>
        <v>0</v>
      </c>
      <c r="M577" s="833">
        <f t="shared" si="32"/>
        <v>0</v>
      </c>
      <c r="N577" s="834"/>
      <c r="O577" s="835">
        <f t="shared" si="33"/>
        <v>0</v>
      </c>
      <c r="P577" s="827">
        <f t="shared" si="34"/>
        <v>0</v>
      </c>
      <c r="AD577" s="810"/>
    </row>
    <row r="578" spans="3:30" ht="30" hidden="1" customHeight="1" outlineLevel="1">
      <c r="C578" s="828">
        <v>552</v>
      </c>
      <c r="D578" s="829"/>
      <c r="E578" s="830"/>
      <c r="F578" s="830"/>
      <c r="G578" s="1049"/>
      <c r="H578" s="831"/>
      <c r="I578" s="832"/>
      <c r="L578" s="816">
        <f t="shared" si="31"/>
        <v>0</v>
      </c>
      <c r="M578" s="833">
        <f t="shared" si="32"/>
        <v>0</v>
      </c>
      <c r="N578" s="834"/>
      <c r="O578" s="835">
        <f t="shared" si="33"/>
        <v>0</v>
      </c>
      <c r="P578" s="827">
        <f t="shared" si="34"/>
        <v>0</v>
      </c>
      <c r="AD578" s="810"/>
    </row>
    <row r="579" spans="3:30" ht="30" hidden="1" customHeight="1" outlineLevel="1">
      <c r="C579" s="828">
        <v>553</v>
      </c>
      <c r="D579" s="829"/>
      <c r="E579" s="830"/>
      <c r="F579" s="830"/>
      <c r="G579" s="1049"/>
      <c r="H579" s="831"/>
      <c r="I579" s="832"/>
      <c r="L579" s="816">
        <f t="shared" si="31"/>
        <v>0</v>
      </c>
      <c r="M579" s="833">
        <f t="shared" si="32"/>
        <v>0</v>
      </c>
      <c r="N579" s="834"/>
      <c r="O579" s="835">
        <f t="shared" si="33"/>
        <v>0</v>
      </c>
      <c r="P579" s="827">
        <f t="shared" si="34"/>
        <v>0</v>
      </c>
      <c r="AD579" s="810"/>
    </row>
    <row r="580" spans="3:30" ht="30" hidden="1" customHeight="1" outlineLevel="1">
      <c r="C580" s="828">
        <v>554</v>
      </c>
      <c r="D580" s="829"/>
      <c r="E580" s="830"/>
      <c r="F580" s="830"/>
      <c r="G580" s="1049"/>
      <c r="H580" s="831"/>
      <c r="I580" s="832"/>
      <c r="L580" s="816">
        <f t="shared" si="31"/>
        <v>0</v>
      </c>
      <c r="M580" s="833">
        <f t="shared" si="32"/>
        <v>0</v>
      </c>
      <c r="N580" s="834"/>
      <c r="O580" s="835">
        <f t="shared" si="33"/>
        <v>0</v>
      </c>
      <c r="P580" s="827">
        <f t="shared" si="34"/>
        <v>0</v>
      </c>
      <c r="AD580" s="810"/>
    </row>
    <row r="581" spans="3:30" ht="30" hidden="1" customHeight="1" outlineLevel="1">
      <c r="C581" s="828">
        <v>555</v>
      </c>
      <c r="D581" s="829"/>
      <c r="E581" s="830"/>
      <c r="F581" s="830"/>
      <c r="G581" s="1049"/>
      <c r="H581" s="831"/>
      <c r="I581" s="832"/>
      <c r="L581" s="816">
        <f t="shared" si="31"/>
        <v>0</v>
      </c>
      <c r="M581" s="833">
        <f t="shared" si="32"/>
        <v>0</v>
      </c>
      <c r="N581" s="834"/>
      <c r="O581" s="835">
        <f t="shared" si="33"/>
        <v>0</v>
      </c>
      <c r="P581" s="827">
        <f t="shared" si="34"/>
        <v>0</v>
      </c>
      <c r="AD581" s="810"/>
    </row>
    <row r="582" spans="3:30" ht="30" hidden="1" customHeight="1" outlineLevel="1">
      <c r="C582" s="828">
        <v>556</v>
      </c>
      <c r="D582" s="829"/>
      <c r="E582" s="830"/>
      <c r="F582" s="830"/>
      <c r="G582" s="1049"/>
      <c r="H582" s="831"/>
      <c r="I582" s="832"/>
      <c r="L582" s="816">
        <f t="shared" si="31"/>
        <v>0</v>
      </c>
      <c r="M582" s="833">
        <f t="shared" si="32"/>
        <v>0</v>
      </c>
      <c r="N582" s="834"/>
      <c r="O582" s="835">
        <f t="shared" si="33"/>
        <v>0</v>
      </c>
      <c r="P582" s="827">
        <f t="shared" si="34"/>
        <v>0</v>
      </c>
      <c r="AD582" s="810"/>
    </row>
    <row r="583" spans="3:30" ht="30" hidden="1" customHeight="1" outlineLevel="1">
      <c r="C583" s="828">
        <v>557</v>
      </c>
      <c r="D583" s="829"/>
      <c r="E583" s="830"/>
      <c r="F583" s="830"/>
      <c r="G583" s="1049"/>
      <c r="H583" s="831"/>
      <c r="I583" s="832"/>
      <c r="L583" s="816">
        <f t="shared" si="31"/>
        <v>0</v>
      </c>
      <c r="M583" s="833">
        <f t="shared" si="32"/>
        <v>0</v>
      </c>
      <c r="N583" s="834"/>
      <c r="O583" s="835">
        <f t="shared" si="33"/>
        <v>0</v>
      </c>
      <c r="P583" s="827">
        <f t="shared" si="34"/>
        <v>0</v>
      </c>
      <c r="AD583" s="810"/>
    </row>
    <row r="584" spans="3:30" ht="30" hidden="1" customHeight="1" outlineLevel="1">
      <c r="C584" s="828">
        <v>558</v>
      </c>
      <c r="D584" s="829"/>
      <c r="E584" s="830"/>
      <c r="F584" s="830"/>
      <c r="G584" s="1049"/>
      <c r="H584" s="831"/>
      <c r="I584" s="832"/>
      <c r="L584" s="816">
        <f t="shared" si="31"/>
        <v>0</v>
      </c>
      <c r="M584" s="833">
        <f t="shared" si="32"/>
        <v>0</v>
      </c>
      <c r="N584" s="834"/>
      <c r="O584" s="835">
        <f t="shared" si="33"/>
        <v>0</v>
      </c>
      <c r="P584" s="827">
        <f t="shared" si="34"/>
        <v>0</v>
      </c>
      <c r="AD584" s="810"/>
    </row>
    <row r="585" spans="3:30" ht="30" hidden="1" customHeight="1" outlineLevel="1">
      <c r="C585" s="828">
        <v>559</v>
      </c>
      <c r="D585" s="829"/>
      <c r="E585" s="830"/>
      <c r="F585" s="830"/>
      <c r="G585" s="1049"/>
      <c r="H585" s="831"/>
      <c r="I585" s="832"/>
      <c r="L585" s="816">
        <f t="shared" si="31"/>
        <v>0</v>
      </c>
      <c r="M585" s="833">
        <f t="shared" si="32"/>
        <v>0</v>
      </c>
      <c r="N585" s="834"/>
      <c r="O585" s="835">
        <f t="shared" si="33"/>
        <v>0</v>
      </c>
      <c r="P585" s="827">
        <f t="shared" si="34"/>
        <v>0</v>
      </c>
      <c r="AD585" s="810"/>
    </row>
    <row r="586" spans="3:30" ht="30" hidden="1" customHeight="1" outlineLevel="1">
      <c r="C586" s="828">
        <v>560</v>
      </c>
      <c r="D586" s="829"/>
      <c r="E586" s="830"/>
      <c r="F586" s="830"/>
      <c r="G586" s="1049"/>
      <c r="H586" s="831"/>
      <c r="I586" s="832"/>
      <c r="L586" s="816">
        <f t="shared" si="31"/>
        <v>0</v>
      </c>
      <c r="M586" s="833">
        <f t="shared" si="32"/>
        <v>0</v>
      </c>
      <c r="N586" s="834"/>
      <c r="O586" s="835">
        <f t="shared" si="33"/>
        <v>0</v>
      </c>
      <c r="P586" s="827">
        <f t="shared" si="34"/>
        <v>0</v>
      </c>
      <c r="AD586" s="810"/>
    </row>
    <row r="587" spans="3:30" ht="30" hidden="1" customHeight="1" outlineLevel="1">
      <c r="C587" s="828">
        <v>561</v>
      </c>
      <c r="D587" s="829"/>
      <c r="E587" s="830"/>
      <c r="F587" s="830"/>
      <c r="G587" s="1049"/>
      <c r="H587" s="831"/>
      <c r="I587" s="832"/>
      <c r="L587" s="816">
        <f t="shared" si="31"/>
        <v>0</v>
      </c>
      <c r="M587" s="833">
        <f t="shared" si="32"/>
        <v>0</v>
      </c>
      <c r="N587" s="834"/>
      <c r="O587" s="835">
        <f t="shared" si="33"/>
        <v>0</v>
      </c>
      <c r="P587" s="827">
        <f t="shared" si="34"/>
        <v>0</v>
      </c>
      <c r="AD587" s="810"/>
    </row>
    <row r="588" spans="3:30" ht="30" hidden="1" customHeight="1" outlineLevel="1">
      <c r="C588" s="828">
        <v>562</v>
      </c>
      <c r="D588" s="829"/>
      <c r="E588" s="830"/>
      <c r="F588" s="830"/>
      <c r="G588" s="1049"/>
      <c r="H588" s="831"/>
      <c r="I588" s="832"/>
      <c r="L588" s="816">
        <f t="shared" si="31"/>
        <v>0</v>
      </c>
      <c r="M588" s="833">
        <f t="shared" si="32"/>
        <v>0</v>
      </c>
      <c r="N588" s="834"/>
      <c r="O588" s="835">
        <f t="shared" si="33"/>
        <v>0</v>
      </c>
      <c r="P588" s="827">
        <f t="shared" si="34"/>
        <v>0</v>
      </c>
      <c r="AD588" s="810"/>
    </row>
    <row r="589" spans="3:30" ht="30" hidden="1" customHeight="1" outlineLevel="1">
      <c r="C589" s="828">
        <v>563</v>
      </c>
      <c r="D589" s="829"/>
      <c r="E589" s="830"/>
      <c r="F589" s="830"/>
      <c r="G589" s="1049"/>
      <c r="H589" s="831"/>
      <c r="I589" s="832"/>
      <c r="L589" s="816">
        <f t="shared" si="31"/>
        <v>0</v>
      </c>
      <c r="M589" s="833">
        <f t="shared" si="32"/>
        <v>0</v>
      </c>
      <c r="N589" s="834"/>
      <c r="O589" s="835">
        <f t="shared" si="33"/>
        <v>0</v>
      </c>
      <c r="P589" s="827">
        <f t="shared" si="34"/>
        <v>0</v>
      </c>
      <c r="AD589" s="810"/>
    </row>
    <row r="590" spans="3:30" ht="30" hidden="1" customHeight="1" outlineLevel="1">
      <c r="C590" s="828">
        <v>564</v>
      </c>
      <c r="D590" s="829"/>
      <c r="E590" s="830"/>
      <c r="F590" s="830"/>
      <c r="G590" s="1049"/>
      <c r="H590" s="831"/>
      <c r="I590" s="832"/>
      <c r="L590" s="816">
        <f t="shared" si="31"/>
        <v>0</v>
      </c>
      <c r="M590" s="833">
        <f t="shared" si="32"/>
        <v>0</v>
      </c>
      <c r="N590" s="834"/>
      <c r="O590" s="835">
        <f t="shared" si="33"/>
        <v>0</v>
      </c>
      <c r="P590" s="827">
        <f t="shared" si="34"/>
        <v>0</v>
      </c>
      <c r="AD590" s="810"/>
    </row>
    <row r="591" spans="3:30" ht="30" hidden="1" customHeight="1" outlineLevel="1">
      <c r="C591" s="828">
        <v>565</v>
      </c>
      <c r="D591" s="829"/>
      <c r="E591" s="830"/>
      <c r="F591" s="830"/>
      <c r="G591" s="1049"/>
      <c r="H591" s="831"/>
      <c r="I591" s="832"/>
      <c r="L591" s="816">
        <f t="shared" si="31"/>
        <v>0</v>
      </c>
      <c r="M591" s="833">
        <f t="shared" si="32"/>
        <v>0</v>
      </c>
      <c r="N591" s="834"/>
      <c r="O591" s="835">
        <f t="shared" si="33"/>
        <v>0</v>
      </c>
      <c r="P591" s="827">
        <f t="shared" si="34"/>
        <v>0</v>
      </c>
      <c r="AD591" s="810"/>
    </row>
    <row r="592" spans="3:30" ht="30" hidden="1" customHeight="1" outlineLevel="1">
      <c r="C592" s="828">
        <v>566</v>
      </c>
      <c r="D592" s="829"/>
      <c r="E592" s="830"/>
      <c r="F592" s="830"/>
      <c r="G592" s="1049"/>
      <c r="H592" s="831"/>
      <c r="I592" s="832"/>
      <c r="L592" s="816">
        <f t="shared" si="31"/>
        <v>0</v>
      </c>
      <c r="M592" s="833">
        <f t="shared" si="32"/>
        <v>0</v>
      </c>
      <c r="N592" s="834"/>
      <c r="O592" s="835">
        <f t="shared" si="33"/>
        <v>0</v>
      </c>
      <c r="P592" s="827">
        <f t="shared" si="34"/>
        <v>0</v>
      </c>
      <c r="AD592" s="810"/>
    </row>
    <row r="593" spans="3:30" ht="30" hidden="1" customHeight="1" outlineLevel="1">
      <c r="C593" s="828">
        <v>567</v>
      </c>
      <c r="D593" s="829"/>
      <c r="E593" s="830"/>
      <c r="F593" s="830"/>
      <c r="G593" s="1049"/>
      <c r="H593" s="831"/>
      <c r="I593" s="832"/>
      <c r="L593" s="816">
        <f t="shared" si="31"/>
        <v>0</v>
      </c>
      <c r="M593" s="833">
        <f t="shared" si="32"/>
        <v>0</v>
      </c>
      <c r="N593" s="834"/>
      <c r="O593" s="835">
        <f t="shared" si="33"/>
        <v>0</v>
      </c>
      <c r="P593" s="827">
        <f t="shared" si="34"/>
        <v>0</v>
      </c>
      <c r="AD593" s="810"/>
    </row>
    <row r="594" spans="3:30" ht="30" hidden="1" customHeight="1" outlineLevel="1">
      <c r="C594" s="828">
        <v>568</v>
      </c>
      <c r="D594" s="829"/>
      <c r="E594" s="830"/>
      <c r="F594" s="830"/>
      <c r="G594" s="1049"/>
      <c r="H594" s="831"/>
      <c r="I594" s="832"/>
      <c r="L594" s="816">
        <f t="shared" si="31"/>
        <v>0</v>
      </c>
      <c r="M594" s="833">
        <f t="shared" si="32"/>
        <v>0</v>
      </c>
      <c r="N594" s="834"/>
      <c r="O594" s="835">
        <f t="shared" si="33"/>
        <v>0</v>
      </c>
      <c r="P594" s="827">
        <f t="shared" si="34"/>
        <v>0</v>
      </c>
      <c r="AD594" s="810"/>
    </row>
    <row r="595" spans="3:30" ht="30" hidden="1" customHeight="1" outlineLevel="1">
      <c r="C595" s="828">
        <v>569</v>
      </c>
      <c r="D595" s="829"/>
      <c r="E595" s="830"/>
      <c r="F595" s="830"/>
      <c r="G595" s="1049"/>
      <c r="H595" s="831"/>
      <c r="I595" s="832"/>
      <c r="L595" s="816">
        <f t="shared" si="31"/>
        <v>0</v>
      </c>
      <c r="M595" s="833">
        <f t="shared" si="32"/>
        <v>0</v>
      </c>
      <c r="N595" s="834"/>
      <c r="O595" s="835">
        <f t="shared" si="33"/>
        <v>0</v>
      </c>
      <c r="P595" s="827">
        <f t="shared" si="34"/>
        <v>0</v>
      </c>
      <c r="AD595" s="810"/>
    </row>
    <row r="596" spans="3:30" ht="30" hidden="1" customHeight="1" outlineLevel="1">
      <c r="C596" s="828">
        <v>570</v>
      </c>
      <c r="D596" s="829"/>
      <c r="E596" s="830"/>
      <c r="F596" s="830"/>
      <c r="G596" s="1049"/>
      <c r="H596" s="831"/>
      <c r="I596" s="832"/>
      <c r="L596" s="816">
        <f t="shared" si="31"/>
        <v>0</v>
      </c>
      <c r="M596" s="833">
        <f t="shared" si="32"/>
        <v>0</v>
      </c>
      <c r="N596" s="834"/>
      <c r="O596" s="835">
        <f t="shared" si="33"/>
        <v>0</v>
      </c>
      <c r="P596" s="827">
        <f t="shared" si="34"/>
        <v>0</v>
      </c>
      <c r="AD596" s="810"/>
    </row>
    <row r="597" spans="3:30" ht="30" hidden="1" customHeight="1" outlineLevel="1">
      <c r="C597" s="828">
        <v>571</v>
      </c>
      <c r="D597" s="829"/>
      <c r="E597" s="830"/>
      <c r="F597" s="830"/>
      <c r="G597" s="1049"/>
      <c r="H597" s="831"/>
      <c r="I597" s="832"/>
      <c r="L597" s="816">
        <f t="shared" si="31"/>
        <v>0</v>
      </c>
      <c r="M597" s="833">
        <f t="shared" si="32"/>
        <v>0</v>
      </c>
      <c r="N597" s="834"/>
      <c r="O597" s="835">
        <f t="shared" si="33"/>
        <v>0</v>
      </c>
      <c r="P597" s="827">
        <f t="shared" si="34"/>
        <v>0</v>
      </c>
      <c r="AD597" s="810"/>
    </row>
    <row r="598" spans="3:30" ht="30" hidden="1" customHeight="1" outlineLevel="1">
      <c r="C598" s="828">
        <v>572</v>
      </c>
      <c r="D598" s="829"/>
      <c r="E598" s="830"/>
      <c r="F598" s="830"/>
      <c r="G598" s="1049"/>
      <c r="H598" s="831"/>
      <c r="I598" s="832"/>
      <c r="L598" s="816">
        <f t="shared" si="31"/>
        <v>0</v>
      </c>
      <c r="M598" s="833">
        <f t="shared" si="32"/>
        <v>0</v>
      </c>
      <c r="N598" s="834"/>
      <c r="O598" s="835">
        <f t="shared" si="33"/>
        <v>0</v>
      </c>
      <c r="P598" s="827">
        <f t="shared" si="34"/>
        <v>0</v>
      </c>
      <c r="AD598" s="810"/>
    </row>
    <row r="599" spans="3:30" ht="30" hidden="1" customHeight="1" outlineLevel="1">
      <c r="C599" s="828">
        <v>573</v>
      </c>
      <c r="D599" s="829"/>
      <c r="E599" s="830"/>
      <c r="F599" s="830"/>
      <c r="G599" s="1049"/>
      <c r="H599" s="831"/>
      <c r="I599" s="832"/>
      <c r="L599" s="816">
        <f t="shared" si="31"/>
        <v>0</v>
      </c>
      <c r="M599" s="833">
        <f t="shared" si="32"/>
        <v>0</v>
      </c>
      <c r="N599" s="834"/>
      <c r="O599" s="835">
        <f t="shared" si="33"/>
        <v>0</v>
      </c>
      <c r="P599" s="827">
        <f t="shared" si="34"/>
        <v>0</v>
      </c>
      <c r="AD599" s="810"/>
    </row>
    <row r="600" spans="3:30" ht="30" hidden="1" customHeight="1" outlineLevel="1">
      <c r="C600" s="828">
        <v>574</v>
      </c>
      <c r="D600" s="829"/>
      <c r="E600" s="830"/>
      <c r="F600" s="830"/>
      <c r="G600" s="1049"/>
      <c r="H600" s="831"/>
      <c r="I600" s="832"/>
      <c r="L600" s="816">
        <f t="shared" si="31"/>
        <v>0</v>
      </c>
      <c r="M600" s="833">
        <f t="shared" si="32"/>
        <v>0</v>
      </c>
      <c r="N600" s="834"/>
      <c r="O600" s="835">
        <f t="shared" si="33"/>
        <v>0</v>
      </c>
      <c r="P600" s="827">
        <f t="shared" si="34"/>
        <v>0</v>
      </c>
      <c r="AD600" s="810"/>
    </row>
    <row r="601" spans="3:30" ht="30" hidden="1" customHeight="1" outlineLevel="1">
      <c r="C601" s="828">
        <v>575</v>
      </c>
      <c r="D601" s="829"/>
      <c r="E601" s="830"/>
      <c r="F601" s="830"/>
      <c r="G601" s="1049"/>
      <c r="H601" s="831"/>
      <c r="I601" s="832"/>
      <c r="L601" s="816">
        <f t="shared" si="31"/>
        <v>0</v>
      </c>
      <c r="M601" s="833">
        <f t="shared" si="32"/>
        <v>0</v>
      </c>
      <c r="N601" s="834"/>
      <c r="O601" s="835">
        <f t="shared" si="33"/>
        <v>0</v>
      </c>
      <c r="P601" s="827">
        <f t="shared" si="34"/>
        <v>0</v>
      </c>
      <c r="AD601" s="810"/>
    </row>
    <row r="602" spans="3:30" ht="30" hidden="1" customHeight="1" outlineLevel="1">
      <c r="C602" s="828">
        <v>576</v>
      </c>
      <c r="D602" s="829"/>
      <c r="E602" s="830"/>
      <c r="F602" s="830"/>
      <c r="G602" s="1049"/>
      <c r="H602" s="831"/>
      <c r="I602" s="832"/>
      <c r="L602" s="816">
        <f t="shared" si="31"/>
        <v>0</v>
      </c>
      <c r="M602" s="833">
        <f t="shared" si="32"/>
        <v>0</v>
      </c>
      <c r="N602" s="834"/>
      <c r="O602" s="835">
        <f t="shared" si="33"/>
        <v>0</v>
      </c>
      <c r="P602" s="827">
        <f t="shared" si="34"/>
        <v>0</v>
      </c>
      <c r="AD602" s="810"/>
    </row>
    <row r="603" spans="3:30" ht="30" hidden="1" customHeight="1" outlineLevel="1">
      <c r="C603" s="828">
        <v>577</v>
      </c>
      <c r="D603" s="829"/>
      <c r="E603" s="830"/>
      <c r="F603" s="830"/>
      <c r="G603" s="1049"/>
      <c r="H603" s="831"/>
      <c r="I603" s="832"/>
      <c r="L603" s="816">
        <f t="shared" si="31"/>
        <v>0</v>
      </c>
      <c r="M603" s="833">
        <f t="shared" si="32"/>
        <v>0</v>
      </c>
      <c r="N603" s="834"/>
      <c r="O603" s="835">
        <f t="shared" si="33"/>
        <v>0</v>
      </c>
      <c r="P603" s="827">
        <f t="shared" si="34"/>
        <v>0</v>
      </c>
      <c r="AD603" s="810"/>
    </row>
    <row r="604" spans="3:30" ht="30" hidden="1" customHeight="1" outlineLevel="1">
      <c r="C604" s="828">
        <v>578</v>
      </c>
      <c r="D604" s="829"/>
      <c r="E604" s="830"/>
      <c r="F604" s="830"/>
      <c r="G604" s="1049"/>
      <c r="H604" s="831"/>
      <c r="I604" s="832"/>
      <c r="L604" s="816">
        <f t="shared" si="31"/>
        <v>0</v>
      </c>
      <c r="M604" s="833">
        <f t="shared" si="32"/>
        <v>0</v>
      </c>
      <c r="N604" s="834"/>
      <c r="O604" s="835">
        <f t="shared" si="33"/>
        <v>0</v>
      </c>
      <c r="P604" s="827">
        <f t="shared" si="34"/>
        <v>0</v>
      </c>
      <c r="AD604" s="810"/>
    </row>
    <row r="605" spans="3:30" ht="30" hidden="1" customHeight="1" outlineLevel="1">
      <c r="C605" s="828">
        <v>579</v>
      </c>
      <c r="D605" s="829"/>
      <c r="E605" s="830"/>
      <c r="F605" s="830"/>
      <c r="G605" s="1049"/>
      <c r="H605" s="831"/>
      <c r="I605" s="832"/>
      <c r="L605" s="816">
        <f t="shared" si="31"/>
        <v>0</v>
      </c>
      <c r="M605" s="833">
        <f t="shared" si="32"/>
        <v>0</v>
      </c>
      <c r="N605" s="834"/>
      <c r="O605" s="835">
        <f t="shared" si="33"/>
        <v>0</v>
      </c>
      <c r="P605" s="827">
        <f t="shared" si="34"/>
        <v>0</v>
      </c>
      <c r="AD605" s="810"/>
    </row>
    <row r="606" spans="3:30" ht="30" hidden="1" customHeight="1" outlineLevel="1">
      <c r="C606" s="828">
        <v>580</v>
      </c>
      <c r="D606" s="829"/>
      <c r="E606" s="830"/>
      <c r="F606" s="830"/>
      <c r="G606" s="1049"/>
      <c r="H606" s="831"/>
      <c r="I606" s="832"/>
      <c r="L606" s="816">
        <f t="shared" si="31"/>
        <v>0</v>
      </c>
      <c r="M606" s="833">
        <f t="shared" si="32"/>
        <v>0</v>
      </c>
      <c r="N606" s="834"/>
      <c r="O606" s="835">
        <f t="shared" si="33"/>
        <v>0</v>
      </c>
      <c r="P606" s="827">
        <f t="shared" si="34"/>
        <v>0</v>
      </c>
      <c r="AD606" s="810"/>
    </row>
    <row r="607" spans="3:30" ht="30" hidden="1" customHeight="1" outlineLevel="1">
      <c r="C607" s="828">
        <v>581</v>
      </c>
      <c r="D607" s="829"/>
      <c r="E607" s="830"/>
      <c r="F607" s="830"/>
      <c r="G607" s="1049"/>
      <c r="H607" s="831"/>
      <c r="I607" s="832"/>
      <c r="L607" s="816">
        <f t="shared" si="31"/>
        <v>0</v>
      </c>
      <c r="M607" s="833">
        <f t="shared" si="32"/>
        <v>0</v>
      </c>
      <c r="N607" s="834"/>
      <c r="O607" s="835">
        <f t="shared" si="33"/>
        <v>0</v>
      </c>
      <c r="P607" s="827">
        <f t="shared" si="34"/>
        <v>0</v>
      </c>
      <c r="AD607" s="810"/>
    </row>
    <row r="608" spans="3:30" ht="30" hidden="1" customHeight="1" outlineLevel="1">
      <c r="C608" s="828">
        <v>582</v>
      </c>
      <c r="D608" s="829"/>
      <c r="E608" s="830"/>
      <c r="F608" s="830"/>
      <c r="G608" s="1049"/>
      <c r="H608" s="831"/>
      <c r="I608" s="832"/>
      <c r="L608" s="816">
        <f t="shared" si="31"/>
        <v>0</v>
      </c>
      <c r="M608" s="833">
        <f t="shared" si="32"/>
        <v>0</v>
      </c>
      <c r="N608" s="834"/>
      <c r="O608" s="835">
        <f t="shared" si="33"/>
        <v>0</v>
      </c>
      <c r="P608" s="827">
        <f t="shared" si="34"/>
        <v>0</v>
      </c>
      <c r="AD608" s="810"/>
    </row>
    <row r="609" spans="3:30" ht="30" hidden="1" customHeight="1" outlineLevel="1">
      <c r="C609" s="828">
        <v>583</v>
      </c>
      <c r="D609" s="829"/>
      <c r="E609" s="830"/>
      <c r="F609" s="830"/>
      <c r="G609" s="1049"/>
      <c r="H609" s="831"/>
      <c r="I609" s="832"/>
      <c r="L609" s="816">
        <f t="shared" si="31"/>
        <v>0</v>
      </c>
      <c r="M609" s="833">
        <f t="shared" si="32"/>
        <v>0</v>
      </c>
      <c r="N609" s="834"/>
      <c r="O609" s="835">
        <f t="shared" si="33"/>
        <v>0</v>
      </c>
      <c r="P609" s="827">
        <f t="shared" si="34"/>
        <v>0</v>
      </c>
      <c r="AD609" s="810"/>
    </row>
    <row r="610" spans="3:30" ht="30" hidden="1" customHeight="1" outlineLevel="1">
      <c r="C610" s="828">
        <v>584</v>
      </c>
      <c r="D610" s="829"/>
      <c r="E610" s="830"/>
      <c r="F610" s="830"/>
      <c r="G610" s="1049"/>
      <c r="H610" s="831"/>
      <c r="I610" s="832"/>
      <c r="L610" s="816">
        <f t="shared" si="31"/>
        <v>0</v>
      </c>
      <c r="M610" s="833">
        <f t="shared" si="32"/>
        <v>0</v>
      </c>
      <c r="N610" s="834"/>
      <c r="O610" s="835">
        <f t="shared" si="33"/>
        <v>0</v>
      </c>
      <c r="P610" s="827">
        <f t="shared" si="34"/>
        <v>0</v>
      </c>
      <c r="AD610" s="810"/>
    </row>
    <row r="611" spans="3:30" ht="30" hidden="1" customHeight="1" outlineLevel="1">
      <c r="C611" s="828">
        <v>585</v>
      </c>
      <c r="D611" s="829"/>
      <c r="E611" s="830"/>
      <c r="F611" s="830"/>
      <c r="G611" s="1049"/>
      <c r="H611" s="831"/>
      <c r="I611" s="832"/>
      <c r="L611" s="816">
        <f t="shared" si="31"/>
        <v>0</v>
      </c>
      <c r="M611" s="833">
        <f t="shared" si="32"/>
        <v>0</v>
      </c>
      <c r="N611" s="834"/>
      <c r="O611" s="835">
        <f t="shared" si="33"/>
        <v>0</v>
      </c>
      <c r="P611" s="827">
        <f t="shared" si="34"/>
        <v>0</v>
      </c>
      <c r="AD611" s="810"/>
    </row>
    <row r="612" spans="3:30" ht="30" hidden="1" customHeight="1" outlineLevel="1">
      <c r="C612" s="828">
        <v>586</v>
      </c>
      <c r="D612" s="829"/>
      <c r="E612" s="830"/>
      <c r="F612" s="830"/>
      <c r="G612" s="1049"/>
      <c r="H612" s="831"/>
      <c r="I612" s="832"/>
      <c r="L612" s="816">
        <f t="shared" si="31"/>
        <v>0</v>
      </c>
      <c r="M612" s="833">
        <f t="shared" si="32"/>
        <v>0</v>
      </c>
      <c r="N612" s="834"/>
      <c r="O612" s="835">
        <f t="shared" si="33"/>
        <v>0</v>
      </c>
      <c r="P612" s="827">
        <f t="shared" si="34"/>
        <v>0</v>
      </c>
      <c r="AD612" s="810"/>
    </row>
    <row r="613" spans="3:30" ht="30" hidden="1" customHeight="1" outlineLevel="1">
      <c r="C613" s="828">
        <v>587</v>
      </c>
      <c r="D613" s="829"/>
      <c r="E613" s="830"/>
      <c r="F613" s="830"/>
      <c r="G613" s="1049"/>
      <c r="H613" s="831"/>
      <c r="I613" s="832"/>
      <c r="L613" s="816">
        <f t="shared" si="31"/>
        <v>0</v>
      </c>
      <c r="M613" s="833">
        <f t="shared" si="32"/>
        <v>0</v>
      </c>
      <c r="N613" s="834"/>
      <c r="O613" s="835">
        <f t="shared" si="33"/>
        <v>0</v>
      </c>
      <c r="P613" s="827">
        <f t="shared" si="34"/>
        <v>0</v>
      </c>
      <c r="AD613" s="810"/>
    </row>
    <row r="614" spans="3:30" ht="30" hidden="1" customHeight="1" outlineLevel="1">
      <c r="C614" s="828">
        <v>588</v>
      </c>
      <c r="D614" s="829"/>
      <c r="E614" s="830"/>
      <c r="F614" s="830"/>
      <c r="G614" s="1049"/>
      <c r="H614" s="831"/>
      <c r="I614" s="832"/>
      <c r="L614" s="816">
        <f t="shared" si="31"/>
        <v>0</v>
      </c>
      <c r="M614" s="833">
        <f t="shared" si="32"/>
        <v>0</v>
      </c>
      <c r="N614" s="834"/>
      <c r="O614" s="835">
        <f t="shared" si="33"/>
        <v>0</v>
      </c>
      <c r="P614" s="827">
        <f t="shared" si="34"/>
        <v>0</v>
      </c>
      <c r="AD614" s="810"/>
    </row>
    <row r="615" spans="3:30" ht="30" hidden="1" customHeight="1" outlineLevel="1">
      <c r="C615" s="828">
        <v>589</v>
      </c>
      <c r="D615" s="829"/>
      <c r="E615" s="830"/>
      <c r="F615" s="830"/>
      <c r="G615" s="1049"/>
      <c r="H615" s="831"/>
      <c r="I615" s="832"/>
      <c r="L615" s="816">
        <f t="shared" si="31"/>
        <v>0</v>
      </c>
      <c r="M615" s="833">
        <f t="shared" si="32"/>
        <v>0</v>
      </c>
      <c r="N615" s="834"/>
      <c r="O615" s="835">
        <f t="shared" si="33"/>
        <v>0</v>
      </c>
      <c r="P615" s="827">
        <f t="shared" si="34"/>
        <v>0</v>
      </c>
      <c r="AD615" s="810"/>
    </row>
    <row r="616" spans="3:30" ht="30" hidden="1" customHeight="1" outlineLevel="1">
      <c r="C616" s="828">
        <v>590</v>
      </c>
      <c r="D616" s="829"/>
      <c r="E616" s="830"/>
      <c r="F616" s="830"/>
      <c r="G616" s="1049"/>
      <c r="H616" s="831"/>
      <c r="I616" s="832"/>
      <c r="L616" s="816">
        <f t="shared" si="31"/>
        <v>0</v>
      </c>
      <c r="M616" s="833">
        <f t="shared" si="32"/>
        <v>0</v>
      </c>
      <c r="N616" s="834"/>
      <c r="O616" s="835">
        <f t="shared" si="33"/>
        <v>0</v>
      </c>
      <c r="P616" s="827">
        <f t="shared" si="34"/>
        <v>0</v>
      </c>
      <c r="AD616" s="810"/>
    </row>
    <row r="617" spans="3:30" ht="30" hidden="1" customHeight="1" outlineLevel="1">
      <c r="C617" s="828">
        <v>591</v>
      </c>
      <c r="D617" s="829"/>
      <c r="E617" s="830"/>
      <c r="F617" s="830"/>
      <c r="G617" s="1049"/>
      <c r="H617" s="831"/>
      <c r="I617" s="832"/>
      <c r="L617" s="816">
        <f t="shared" si="31"/>
        <v>0</v>
      </c>
      <c r="M617" s="833">
        <f t="shared" si="32"/>
        <v>0</v>
      </c>
      <c r="N617" s="834"/>
      <c r="O617" s="835">
        <f t="shared" si="33"/>
        <v>0</v>
      </c>
      <c r="P617" s="827">
        <f t="shared" si="34"/>
        <v>0</v>
      </c>
      <c r="AD617" s="810"/>
    </row>
    <row r="618" spans="3:30" ht="30" hidden="1" customHeight="1" outlineLevel="1">
      <c r="C618" s="828">
        <v>592</v>
      </c>
      <c r="D618" s="829"/>
      <c r="E618" s="830"/>
      <c r="F618" s="830"/>
      <c r="G618" s="1049"/>
      <c r="H618" s="831"/>
      <c r="I618" s="832"/>
      <c r="L618" s="816">
        <f t="shared" si="31"/>
        <v>0</v>
      </c>
      <c r="M618" s="833">
        <f t="shared" si="32"/>
        <v>0</v>
      </c>
      <c r="N618" s="834"/>
      <c r="O618" s="835">
        <f t="shared" si="33"/>
        <v>0</v>
      </c>
      <c r="P618" s="827">
        <f t="shared" si="34"/>
        <v>0</v>
      </c>
      <c r="AD618" s="810"/>
    </row>
    <row r="619" spans="3:30" ht="30" hidden="1" customHeight="1" outlineLevel="1">
      <c r="C619" s="828">
        <v>593</v>
      </c>
      <c r="D619" s="829"/>
      <c r="E619" s="830"/>
      <c r="F619" s="830"/>
      <c r="G619" s="1049"/>
      <c r="H619" s="831"/>
      <c r="I619" s="832"/>
      <c r="L619" s="816">
        <f t="shared" si="31"/>
        <v>0</v>
      </c>
      <c r="M619" s="833">
        <f t="shared" si="32"/>
        <v>0</v>
      </c>
      <c r="N619" s="834"/>
      <c r="O619" s="835">
        <f t="shared" si="33"/>
        <v>0</v>
      </c>
      <c r="P619" s="827">
        <f t="shared" si="34"/>
        <v>0</v>
      </c>
      <c r="AD619" s="810"/>
    </row>
    <row r="620" spans="3:30" ht="30" hidden="1" customHeight="1" outlineLevel="1">
      <c r="C620" s="828">
        <v>594</v>
      </c>
      <c r="D620" s="829"/>
      <c r="E620" s="830"/>
      <c r="F620" s="830"/>
      <c r="G620" s="1049"/>
      <c r="H620" s="831"/>
      <c r="I620" s="832"/>
      <c r="L620" s="816">
        <f t="shared" si="31"/>
        <v>0</v>
      </c>
      <c r="M620" s="833">
        <f t="shared" si="32"/>
        <v>0</v>
      </c>
      <c r="N620" s="834"/>
      <c r="O620" s="835">
        <f t="shared" si="33"/>
        <v>0</v>
      </c>
      <c r="P620" s="827">
        <f t="shared" si="34"/>
        <v>0</v>
      </c>
      <c r="AD620" s="810"/>
    </row>
    <row r="621" spans="3:30" ht="30" hidden="1" customHeight="1" outlineLevel="1">
      <c r="C621" s="828">
        <v>595</v>
      </c>
      <c r="D621" s="829"/>
      <c r="E621" s="830"/>
      <c r="F621" s="830"/>
      <c r="G621" s="1049"/>
      <c r="H621" s="831"/>
      <c r="I621" s="832"/>
      <c r="L621" s="816">
        <f t="shared" si="31"/>
        <v>0</v>
      </c>
      <c r="M621" s="833">
        <f t="shared" si="32"/>
        <v>0</v>
      </c>
      <c r="N621" s="834"/>
      <c r="O621" s="835">
        <f t="shared" si="33"/>
        <v>0</v>
      </c>
      <c r="P621" s="827">
        <f t="shared" si="34"/>
        <v>0</v>
      </c>
      <c r="AD621" s="810"/>
    </row>
    <row r="622" spans="3:30" ht="30" hidden="1" customHeight="1" outlineLevel="1">
      <c r="C622" s="828">
        <v>596</v>
      </c>
      <c r="D622" s="829"/>
      <c r="E622" s="830"/>
      <c r="F622" s="830"/>
      <c r="G622" s="1049"/>
      <c r="H622" s="831"/>
      <c r="I622" s="832"/>
      <c r="L622" s="816">
        <f t="shared" si="31"/>
        <v>0</v>
      </c>
      <c r="M622" s="833">
        <f t="shared" si="32"/>
        <v>0</v>
      </c>
      <c r="N622" s="834"/>
      <c r="O622" s="835">
        <f t="shared" si="33"/>
        <v>0</v>
      </c>
      <c r="P622" s="827">
        <f t="shared" si="34"/>
        <v>0</v>
      </c>
      <c r="AD622" s="810"/>
    </row>
    <row r="623" spans="3:30" ht="30" hidden="1" customHeight="1" outlineLevel="1">
      <c r="C623" s="828">
        <v>597</v>
      </c>
      <c r="D623" s="829"/>
      <c r="E623" s="830"/>
      <c r="F623" s="830"/>
      <c r="G623" s="1049"/>
      <c r="H623" s="831"/>
      <c r="I623" s="832"/>
      <c r="L623" s="816">
        <f t="shared" si="31"/>
        <v>0</v>
      </c>
      <c r="M623" s="833">
        <f t="shared" si="32"/>
        <v>0</v>
      </c>
      <c r="N623" s="834"/>
      <c r="O623" s="835">
        <f t="shared" si="33"/>
        <v>0</v>
      </c>
      <c r="P623" s="827">
        <f t="shared" si="34"/>
        <v>0</v>
      </c>
      <c r="AD623" s="810"/>
    </row>
    <row r="624" spans="3:30" ht="30" hidden="1" customHeight="1" outlineLevel="1">
      <c r="C624" s="828">
        <v>598</v>
      </c>
      <c r="D624" s="829"/>
      <c r="E624" s="830"/>
      <c r="F624" s="830"/>
      <c r="G624" s="1049"/>
      <c r="H624" s="831"/>
      <c r="I624" s="832"/>
      <c r="L624" s="816">
        <f t="shared" ref="L624:L687" si="35">IF($G624&gt;0,E624,)</f>
        <v>0</v>
      </c>
      <c r="M624" s="833">
        <f t="shared" ref="M624:M687" si="36">IF($G624&gt;0,F624,)</f>
        <v>0</v>
      </c>
      <c r="N624" s="834"/>
      <c r="O624" s="835">
        <f t="shared" ref="O624:O687" si="37">ROUND(L624*N624/10,)</f>
        <v>0</v>
      </c>
      <c r="P624" s="827">
        <f t="shared" ref="P624:P687" si="38">ROUND(O624*G624%,)</f>
        <v>0</v>
      </c>
      <c r="AD624" s="810"/>
    </row>
    <row r="625" spans="3:30" ht="30" hidden="1" customHeight="1" outlineLevel="1">
      <c r="C625" s="828">
        <v>599</v>
      </c>
      <c r="D625" s="829"/>
      <c r="E625" s="830"/>
      <c r="F625" s="830"/>
      <c r="G625" s="1049"/>
      <c r="H625" s="831"/>
      <c r="I625" s="832"/>
      <c r="L625" s="816">
        <f t="shared" si="35"/>
        <v>0</v>
      </c>
      <c r="M625" s="833">
        <f t="shared" si="36"/>
        <v>0</v>
      </c>
      <c r="N625" s="834"/>
      <c r="O625" s="835">
        <f t="shared" si="37"/>
        <v>0</v>
      </c>
      <c r="P625" s="827">
        <f t="shared" si="38"/>
        <v>0</v>
      </c>
      <c r="AD625" s="810"/>
    </row>
    <row r="626" spans="3:30" ht="30" hidden="1" customHeight="1" outlineLevel="1">
      <c r="C626" s="828">
        <v>600</v>
      </c>
      <c r="D626" s="829"/>
      <c r="E626" s="830"/>
      <c r="F626" s="830"/>
      <c r="G626" s="1049"/>
      <c r="H626" s="831"/>
      <c r="I626" s="832"/>
      <c r="L626" s="816">
        <f t="shared" si="35"/>
        <v>0</v>
      </c>
      <c r="M626" s="833">
        <f t="shared" si="36"/>
        <v>0</v>
      </c>
      <c r="N626" s="834"/>
      <c r="O626" s="835">
        <f t="shared" si="37"/>
        <v>0</v>
      </c>
      <c r="P626" s="827">
        <f t="shared" si="38"/>
        <v>0</v>
      </c>
      <c r="AD626" s="810"/>
    </row>
    <row r="627" spans="3:30" ht="30" hidden="1" customHeight="1" outlineLevel="1">
      <c r="C627" s="828">
        <v>601</v>
      </c>
      <c r="D627" s="829"/>
      <c r="E627" s="830"/>
      <c r="F627" s="830"/>
      <c r="G627" s="1049"/>
      <c r="H627" s="831"/>
      <c r="I627" s="832"/>
      <c r="L627" s="816">
        <f t="shared" si="35"/>
        <v>0</v>
      </c>
      <c r="M627" s="833">
        <f t="shared" si="36"/>
        <v>0</v>
      </c>
      <c r="N627" s="834"/>
      <c r="O627" s="835">
        <f t="shared" si="37"/>
        <v>0</v>
      </c>
      <c r="P627" s="827">
        <f t="shared" si="38"/>
        <v>0</v>
      </c>
      <c r="AD627" s="810"/>
    </row>
    <row r="628" spans="3:30" ht="30" hidden="1" customHeight="1" outlineLevel="1">
      <c r="C628" s="828">
        <v>602</v>
      </c>
      <c r="D628" s="829"/>
      <c r="E628" s="830"/>
      <c r="F628" s="830"/>
      <c r="G628" s="1049"/>
      <c r="H628" s="831"/>
      <c r="I628" s="832"/>
      <c r="L628" s="816">
        <f t="shared" si="35"/>
        <v>0</v>
      </c>
      <c r="M628" s="833">
        <f t="shared" si="36"/>
        <v>0</v>
      </c>
      <c r="N628" s="834"/>
      <c r="O628" s="835">
        <f t="shared" si="37"/>
        <v>0</v>
      </c>
      <c r="P628" s="827">
        <f t="shared" si="38"/>
        <v>0</v>
      </c>
      <c r="AD628" s="810"/>
    </row>
    <row r="629" spans="3:30" ht="30" hidden="1" customHeight="1" outlineLevel="1">
      <c r="C629" s="828">
        <v>603</v>
      </c>
      <c r="D629" s="829"/>
      <c r="E629" s="830"/>
      <c r="F629" s="830"/>
      <c r="G629" s="1049"/>
      <c r="H629" s="831"/>
      <c r="I629" s="832"/>
      <c r="L629" s="816">
        <f t="shared" si="35"/>
        <v>0</v>
      </c>
      <c r="M629" s="833">
        <f t="shared" si="36"/>
        <v>0</v>
      </c>
      <c r="N629" s="834"/>
      <c r="O629" s="835">
        <f t="shared" si="37"/>
        <v>0</v>
      </c>
      <c r="P629" s="827">
        <f t="shared" si="38"/>
        <v>0</v>
      </c>
      <c r="AD629" s="810"/>
    </row>
    <row r="630" spans="3:30" ht="30" hidden="1" customHeight="1" outlineLevel="1">
      <c r="C630" s="828">
        <v>604</v>
      </c>
      <c r="D630" s="829"/>
      <c r="E630" s="830"/>
      <c r="F630" s="830"/>
      <c r="G630" s="1049"/>
      <c r="H630" s="831"/>
      <c r="I630" s="832"/>
      <c r="L630" s="816">
        <f t="shared" si="35"/>
        <v>0</v>
      </c>
      <c r="M630" s="833">
        <f t="shared" si="36"/>
        <v>0</v>
      </c>
      <c r="N630" s="834"/>
      <c r="O630" s="835">
        <f t="shared" si="37"/>
        <v>0</v>
      </c>
      <c r="P630" s="827">
        <f t="shared" si="38"/>
        <v>0</v>
      </c>
      <c r="AD630" s="810"/>
    </row>
    <row r="631" spans="3:30" ht="30" hidden="1" customHeight="1" outlineLevel="1">
      <c r="C631" s="828">
        <v>605</v>
      </c>
      <c r="D631" s="829"/>
      <c r="E631" s="830"/>
      <c r="F631" s="830"/>
      <c r="G631" s="1049"/>
      <c r="H631" s="831"/>
      <c r="I631" s="832"/>
      <c r="L631" s="816">
        <f t="shared" si="35"/>
        <v>0</v>
      </c>
      <c r="M631" s="833">
        <f t="shared" si="36"/>
        <v>0</v>
      </c>
      <c r="N631" s="834"/>
      <c r="O631" s="835">
        <f t="shared" si="37"/>
        <v>0</v>
      </c>
      <c r="P631" s="827">
        <f t="shared" si="38"/>
        <v>0</v>
      </c>
      <c r="AD631" s="810"/>
    </row>
    <row r="632" spans="3:30" ht="30" hidden="1" customHeight="1" outlineLevel="1">
      <c r="C632" s="828">
        <v>606</v>
      </c>
      <c r="D632" s="829"/>
      <c r="E632" s="830"/>
      <c r="F632" s="830"/>
      <c r="G632" s="1049"/>
      <c r="H632" s="831"/>
      <c r="I632" s="832"/>
      <c r="L632" s="816">
        <f t="shared" si="35"/>
        <v>0</v>
      </c>
      <c r="M632" s="833">
        <f t="shared" si="36"/>
        <v>0</v>
      </c>
      <c r="N632" s="834"/>
      <c r="O632" s="835">
        <f t="shared" si="37"/>
        <v>0</v>
      </c>
      <c r="P632" s="827">
        <f t="shared" si="38"/>
        <v>0</v>
      </c>
      <c r="AD632" s="810"/>
    </row>
    <row r="633" spans="3:30" ht="30" hidden="1" customHeight="1" outlineLevel="1">
      <c r="C633" s="828">
        <v>607</v>
      </c>
      <c r="D633" s="829"/>
      <c r="E633" s="830"/>
      <c r="F633" s="830"/>
      <c r="G633" s="1049"/>
      <c r="H633" s="831"/>
      <c r="I633" s="832"/>
      <c r="L633" s="816">
        <f t="shared" si="35"/>
        <v>0</v>
      </c>
      <c r="M633" s="833">
        <f t="shared" si="36"/>
        <v>0</v>
      </c>
      <c r="N633" s="834"/>
      <c r="O633" s="835">
        <f t="shared" si="37"/>
        <v>0</v>
      </c>
      <c r="P633" s="827">
        <f t="shared" si="38"/>
        <v>0</v>
      </c>
      <c r="AD633" s="810"/>
    </row>
    <row r="634" spans="3:30" ht="30" hidden="1" customHeight="1" outlineLevel="1">
      <c r="C634" s="828">
        <v>608</v>
      </c>
      <c r="D634" s="829"/>
      <c r="E634" s="830"/>
      <c r="F634" s="830"/>
      <c r="G634" s="1049"/>
      <c r="H634" s="831"/>
      <c r="I634" s="832"/>
      <c r="L634" s="816">
        <f t="shared" si="35"/>
        <v>0</v>
      </c>
      <c r="M634" s="833">
        <f t="shared" si="36"/>
        <v>0</v>
      </c>
      <c r="N634" s="834"/>
      <c r="O634" s="835">
        <f t="shared" si="37"/>
        <v>0</v>
      </c>
      <c r="P634" s="827">
        <f t="shared" si="38"/>
        <v>0</v>
      </c>
      <c r="AD634" s="810"/>
    </row>
    <row r="635" spans="3:30" ht="30" hidden="1" customHeight="1" outlineLevel="1">
      <c r="C635" s="828">
        <v>609</v>
      </c>
      <c r="D635" s="829"/>
      <c r="E635" s="830"/>
      <c r="F635" s="830"/>
      <c r="G635" s="1049"/>
      <c r="H635" s="831"/>
      <c r="I635" s="832"/>
      <c r="L635" s="816">
        <f t="shared" si="35"/>
        <v>0</v>
      </c>
      <c r="M635" s="833">
        <f t="shared" si="36"/>
        <v>0</v>
      </c>
      <c r="N635" s="834"/>
      <c r="O635" s="835">
        <f t="shared" si="37"/>
        <v>0</v>
      </c>
      <c r="P635" s="827">
        <f t="shared" si="38"/>
        <v>0</v>
      </c>
      <c r="AD635" s="810"/>
    </row>
    <row r="636" spans="3:30" ht="30" hidden="1" customHeight="1" outlineLevel="1">
      <c r="C636" s="828">
        <v>610</v>
      </c>
      <c r="D636" s="829"/>
      <c r="E636" s="830"/>
      <c r="F636" s="830"/>
      <c r="G636" s="1049"/>
      <c r="H636" s="831"/>
      <c r="I636" s="832"/>
      <c r="L636" s="816">
        <f t="shared" si="35"/>
        <v>0</v>
      </c>
      <c r="M636" s="833">
        <f t="shared" si="36"/>
        <v>0</v>
      </c>
      <c r="N636" s="834"/>
      <c r="O636" s="835">
        <f t="shared" si="37"/>
        <v>0</v>
      </c>
      <c r="P636" s="827">
        <f t="shared" si="38"/>
        <v>0</v>
      </c>
      <c r="AD636" s="810"/>
    </row>
    <row r="637" spans="3:30" ht="30" hidden="1" customHeight="1" outlineLevel="1">
      <c r="C637" s="828">
        <v>611</v>
      </c>
      <c r="D637" s="829"/>
      <c r="E637" s="830"/>
      <c r="F637" s="830"/>
      <c r="G637" s="1049"/>
      <c r="H637" s="831"/>
      <c r="I637" s="832"/>
      <c r="L637" s="816">
        <f t="shared" si="35"/>
        <v>0</v>
      </c>
      <c r="M637" s="833">
        <f t="shared" si="36"/>
        <v>0</v>
      </c>
      <c r="N637" s="834"/>
      <c r="O637" s="835">
        <f t="shared" si="37"/>
        <v>0</v>
      </c>
      <c r="P637" s="827">
        <f t="shared" si="38"/>
        <v>0</v>
      </c>
      <c r="AD637" s="810"/>
    </row>
    <row r="638" spans="3:30" ht="30" hidden="1" customHeight="1" outlineLevel="1">
      <c r="C638" s="828">
        <v>612</v>
      </c>
      <c r="D638" s="829"/>
      <c r="E638" s="830"/>
      <c r="F638" s="830"/>
      <c r="G638" s="1049"/>
      <c r="H638" s="831"/>
      <c r="I638" s="832"/>
      <c r="L638" s="816">
        <f t="shared" si="35"/>
        <v>0</v>
      </c>
      <c r="M638" s="833">
        <f t="shared" si="36"/>
        <v>0</v>
      </c>
      <c r="N638" s="834"/>
      <c r="O638" s="835">
        <f t="shared" si="37"/>
        <v>0</v>
      </c>
      <c r="P638" s="827">
        <f t="shared" si="38"/>
        <v>0</v>
      </c>
      <c r="AD638" s="810"/>
    </row>
    <row r="639" spans="3:30" ht="30" hidden="1" customHeight="1" outlineLevel="1">
      <c r="C639" s="828">
        <v>613</v>
      </c>
      <c r="D639" s="829"/>
      <c r="E639" s="830"/>
      <c r="F639" s="830"/>
      <c r="G639" s="1049"/>
      <c r="H639" s="831"/>
      <c r="I639" s="832"/>
      <c r="L639" s="816">
        <f t="shared" si="35"/>
        <v>0</v>
      </c>
      <c r="M639" s="833">
        <f t="shared" si="36"/>
        <v>0</v>
      </c>
      <c r="N639" s="834"/>
      <c r="O639" s="835">
        <f t="shared" si="37"/>
        <v>0</v>
      </c>
      <c r="P639" s="827">
        <f t="shared" si="38"/>
        <v>0</v>
      </c>
      <c r="AD639" s="810"/>
    </row>
    <row r="640" spans="3:30" ht="30" hidden="1" customHeight="1" outlineLevel="1">
      <c r="C640" s="828">
        <v>614</v>
      </c>
      <c r="D640" s="829"/>
      <c r="E640" s="830"/>
      <c r="F640" s="830"/>
      <c r="G640" s="1049"/>
      <c r="H640" s="831"/>
      <c r="I640" s="832"/>
      <c r="L640" s="816">
        <f t="shared" si="35"/>
        <v>0</v>
      </c>
      <c r="M640" s="833">
        <f t="shared" si="36"/>
        <v>0</v>
      </c>
      <c r="N640" s="834"/>
      <c r="O640" s="835">
        <f t="shared" si="37"/>
        <v>0</v>
      </c>
      <c r="P640" s="827">
        <f t="shared" si="38"/>
        <v>0</v>
      </c>
      <c r="AD640" s="810"/>
    </row>
    <row r="641" spans="3:30" ht="30" hidden="1" customHeight="1" outlineLevel="1">
      <c r="C641" s="828">
        <v>615</v>
      </c>
      <c r="D641" s="829"/>
      <c r="E641" s="830"/>
      <c r="F641" s="830"/>
      <c r="G641" s="1049"/>
      <c r="H641" s="831"/>
      <c r="I641" s="832"/>
      <c r="L641" s="816">
        <f t="shared" si="35"/>
        <v>0</v>
      </c>
      <c r="M641" s="833">
        <f t="shared" si="36"/>
        <v>0</v>
      </c>
      <c r="N641" s="834"/>
      <c r="O641" s="835">
        <f t="shared" si="37"/>
        <v>0</v>
      </c>
      <c r="P641" s="827">
        <f t="shared" si="38"/>
        <v>0</v>
      </c>
      <c r="AD641" s="810"/>
    </row>
    <row r="642" spans="3:30" ht="30" hidden="1" customHeight="1" outlineLevel="1">
      <c r="C642" s="828">
        <v>616</v>
      </c>
      <c r="D642" s="829"/>
      <c r="E642" s="830"/>
      <c r="F642" s="830"/>
      <c r="G642" s="1049"/>
      <c r="H642" s="831"/>
      <c r="I642" s="832"/>
      <c r="L642" s="816">
        <f t="shared" si="35"/>
        <v>0</v>
      </c>
      <c r="M642" s="833">
        <f t="shared" si="36"/>
        <v>0</v>
      </c>
      <c r="N642" s="834"/>
      <c r="O642" s="835">
        <f t="shared" si="37"/>
        <v>0</v>
      </c>
      <c r="P642" s="827">
        <f t="shared" si="38"/>
        <v>0</v>
      </c>
      <c r="AD642" s="810"/>
    </row>
    <row r="643" spans="3:30" ht="30" hidden="1" customHeight="1" outlineLevel="1">
      <c r="C643" s="828">
        <v>617</v>
      </c>
      <c r="D643" s="829"/>
      <c r="E643" s="830"/>
      <c r="F643" s="830"/>
      <c r="G643" s="1049"/>
      <c r="H643" s="831"/>
      <c r="I643" s="832"/>
      <c r="L643" s="816">
        <f t="shared" si="35"/>
        <v>0</v>
      </c>
      <c r="M643" s="833">
        <f t="shared" si="36"/>
        <v>0</v>
      </c>
      <c r="N643" s="834"/>
      <c r="O643" s="835">
        <f t="shared" si="37"/>
        <v>0</v>
      </c>
      <c r="P643" s="827">
        <f t="shared" si="38"/>
        <v>0</v>
      </c>
      <c r="AD643" s="810"/>
    </row>
    <row r="644" spans="3:30" ht="30" hidden="1" customHeight="1" outlineLevel="1">
      <c r="C644" s="828">
        <v>618</v>
      </c>
      <c r="D644" s="829"/>
      <c r="E644" s="830"/>
      <c r="F644" s="830"/>
      <c r="G644" s="1049"/>
      <c r="H644" s="831"/>
      <c r="I644" s="832"/>
      <c r="L644" s="816">
        <f t="shared" si="35"/>
        <v>0</v>
      </c>
      <c r="M644" s="833">
        <f t="shared" si="36"/>
        <v>0</v>
      </c>
      <c r="N644" s="834"/>
      <c r="O644" s="835">
        <f t="shared" si="37"/>
        <v>0</v>
      </c>
      <c r="P644" s="827">
        <f t="shared" si="38"/>
        <v>0</v>
      </c>
      <c r="AD644" s="810"/>
    </row>
    <row r="645" spans="3:30" ht="30" hidden="1" customHeight="1" outlineLevel="1">
      <c r="C645" s="828">
        <v>619</v>
      </c>
      <c r="D645" s="829"/>
      <c r="E645" s="830"/>
      <c r="F645" s="830"/>
      <c r="G645" s="1049"/>
      <c r="H645" s="831"/>
      <c r="I645" s="832"/>
      <c r="L645" s="816">
        <f t="shared" si="35"/>
        <v>0</v>
      </c>
      <c r="M645" s="833">
        <f t="shared" si="36"/>
        <v>0</v>
      </c>
      <c r="N645" s="834"/>
      <c r="O645" s="835">
        <f t="shared" si="37"/>
        <v>0</v>
      </c>
      <c r="P645" s="827">
        <f t="shared" si="38"/>
        <v>0</v>
      </c>
      <c r="AD645" s="810"/>
    </row>
    <row r="646" spans="3:30" ht="30" hidden="1" customHeight="1" outlineLevel="1">
      <c r="C646" s="828">
        <v>620</v>
      </c>
      <c r="D646" s="829"/>
      <c r="E646" s="830"/>
      <c r="F646" s="830"/>
      <c r="G646" s="1049"/>
      <c r="H646" s="831"/>
      <c r="I646" s="832"/>
      <c r="L646" s="816">
        <f t="shared" si="35"/>
        <v>0</v>
      </c>
      <c r="M646" s="833">
        <f t="shared" si="36"/>
        <v>0</v>
      </c>
      <c r="N646" s="834"/>
      <c r="O646" s="835">
        <f t="shared" si="37"/>
        <v>0</v>
      </c>
      <c r="P646" s="827">
        <f t="shared" si="38"/>
        <v>0</v>
      </c>
      <c r="AD646" s="810"/>
    </row>
    <row r="647" spans="3:30" ht="30" hidden="1" customHeight="1" outlineLevel="1">
      <c r="C647" s="828">
        <v>621</v>
      </c>
      <c r="D647" s="829"/>
      <c r="E647" s="830"/>
      <c r="F647" s="830"/>
      <c r="G647" s="1049"/>
      <c r="H647" s="831"/>
      <c r="I647" s="832"/>
      <c r="L647" s="816">
        <f t="shared" si="35"/>
        <v>0</v>
      </c>
      <c r="M647" s="833">
        <f t="shared" si="36"/>
        <v>0</v>
      </c>
      <c r="N647" s="834"/>
      <c r="O647" s="835">
        <f t="shared" si="37"/>
        <v>0</v>
      </c>
      <c r="P647" s="827">
        <f t="shared" si="38"/>
        <v>0</v>
      </c>
      <c r="AD647" s="810"/>
    </row>
    <row r="648" spans="3:30" ht="30" hidden="1" customHeight="1" outlineLevel="1">
      <c r="C648" s="828">
        <v>622</v>
      </c>
      <c r="D648" s="829"/>
      <c r="E648" s="830"/>
      <c r="F648" s="830"/>
      <c r="G648" s="1049"/>
      <c r="H648" s="831"/>
      <c r="I648" s="832"/>
      <c r="L648" s="816">
        <f t="shared" si="35"/>
        <v>0</v>
      </c>
      <c r="M648" s="833">
        <f t="shared" si="36"/>
        <v>0</v>
      </c>
      <c r="N648" s="834"/>
      <c r="O648" s="835">
        <f t="shared" si="37"/>
        <v>0</v>
      </c>
      <c r="P648" s="827">
        <f t="shared" si="38"/>
        <v>0</v>
      </c>
      <c r="AD648" s="810"/>
    </row>
    <row r="649" spans="3:30" ht="30" hidden="1" customHeight="1" outlineLevel="1">
      <c r="C649" s="828">
        <v>623</v>
      </c>
      <c r="D649" s="829"/>
      <c r="E649" s="830"/>
      <c r="F649" s="830"/>
      <c r="G649" s="1049"/>
      <c r="H649" s="831"/>
      <c r="I649" s="832"/>
      <c r="L649" s="816">
        <f t="shared" si="35"/>
        <v>0</v>
      </c>
      <c r="M649" s="833">
        <f t="shared" si="36"/>
        <v>0</v>
      </c>
      <c r="N649" s="834"/>
      <c r="O649" s="835">
        <f t="shared" si="37"/>
        <v>0</v>
      </c>
      <c r="P649" s="827">
        <f t="shared" si="38"/>
        <v>0</v>
      </c>
      <c r="AD649" s="810"/>
    </row>
    <row r="650" spans="3:30" ht="30" hidden="1" customHeight="1" outlineLevel="1">
      <c r="C650" s="828">
        <v>624</v>
      </c>
      <c r="D650" s="829"/>
      <c r="E650" s="830"/>
      <c r="F650" s="830"/>
      <c r="G650" s="1049"/>
      <c r="H650" s="831"/>
      <c r="I650" s="832"/>
      <c r="L650" s="816">
        <f t="shared" si="35"/>
        <v>0</v>
      </c>
      <c r="M650" s="833">
        <f t="shared" si="36"/>
        <v>0</v>
      </c>
      <c r="N650" s="834"/>
      <c r="O650" s="835">
        <f t="shared" si="37"/>
        <v>0</v>
      </c>
      <c r="P650" s="827">
        <f t="shared" si="38"/>
        <v>0</v>
      </c>
      <c r="AD650" s="810"/>
    </row>
    <row r="651" spans="3:30" ht="30" hidden="1" customHeight="1" outlineLevel="1">
      <c r="C651" s="828">
        <v>625</v>
      </c>
      <c r="D651" s="829"/>
      <c r="E651" s="830"/>
      <c r="F651" s="830"/>
      <c r="G651" s="1049"/>
      <c r="H651" s="831"/>
      <c r="I651" s="832"/>
      <c r="L651" s="816">
        <f t="shared" si="35"/>
        <v>0</v>
      </c>
      <c r="M651" s="833">
        <f t="shared" si="36"/>
        <v>0</v>
      </c>
      <c r="N651" s="834"/>
      <c r="O651" s="835">
        <f t="shared" si="37"/>
        <v>0</v>
      </c>
      <c r="P651" s="827">
        <f t="shared" si="38"/>
        <v>0</v>
      </c>
      <c r="AD651" s="810"/>
    </row>
    <row r="652" spans="3:30" ht="30" hidden="1" customHeight="1" outlineLevel="1">
      <c r="C652" s="828">
        <v>626</v>
      </c>
      <c r="D652" s="829"/>
      <c r="E652" s="830"/>
      <c r="F652" s="830"/>
      <c r="G652" s="1049"/>
      <c r="H652" s="831"/>
      <c r="I652" s="832"/>
      <c r="L652" s="816">
        <f t="shared" si="35"/>
        <v>0</v>
      </c>
      <c r="M652" s="833">
        <f t="shared" si="36"/>
        <v>0</v>
      </c>
      <c r="N652" s="834"/>
      <c r="O652" s="835">
        <f t="shared" si="37"/>
        <v>0</v>
      </c>
      <c r="P652" s="827">
        <f t="shared" si="38"/>
        <v>0</v>
      </c>
      <c r="AD652" s="810"/>
    </row>
    <row r="653" spans="3:30" ht="30" hidden="1" customHeight="1" outlineLevel="1">
      <c r="C653" s="828">
        <v>627</v>
      </c>
      <c r="D653" s="829"/>
      <c r="E653" s="830"/>
      <c r="F653" s="830"/>
      <c r="G653" s="1049"/>
      <c r="H653" s="831"/>
      <c r="I653" s="832"/>
      <c r="L653" s="816">
        <f t="shared" si="35"/>
        <v>0</v>
      </c>
      <c r="M653" s="833">
        <f t="shared" si="36"/>
        <v>0</v>
      </c>
      <c r="N653" s="834"/>
      <c r="O653" s="835">
        <f t="shared" si="37"/>
        <v>0</v>
      </c>
      <c r="P653" s="827">
        <f t="shared" si="38"/>
        <v>0</v>
      </c>
      <c r="AD653" s="810"/>
    </row>
    <row r="654" spans="3:30" ht="30" hidden="1" customHeight="1" outlineLevel="1">
      <c r="C654" s="828">
        <v>628</v>
      </c>
      <c r="D654" s="829"/>
      <c r="E654" s="830"/>
      <c r="F654" s="830"/>
      <c r="G654" s="1049"/>
      <c r="H654" s="831"/>
      <c r="I654" s="832"/>
      <c r="L654" s="816">
        <f t="shared" si="35"/>
        <v>0</v>
      </c>
      <c r="M654" s="833">
        <f t="shared" si="36"/>
        <v>0</v>
      </c>
      <c r="N654" s="834"/>
      <c r="O654" s="835">
        <f t="shared" si="37"/>
        <v>0</v>
      </c>
      <c r="P654" s="827">
        <f t="shared" si="38"/>
        <v>0</v>
      </c>
      <c r="AD654" s="810"/>
    </row>
    <row r="655" spans="3:30" ht="30" hidden="1" customHeight="1" outlineLevel="1">
      <c r="C655" s="828">
        <v>629</v>
      </c>
      <c r="D655" s="829"/>
      <c r="E655" s="830"/>
      <c r="F655" s="830"/>
      <c r="G655" s="1049"/>
      <c r="H655" s="831"/>
      <c r="I655" s="832"/>
      <c r="L655" s="816">
        <f t="shared" si="35"/>
        <v>0</v>
      </c>
      <c r="M655" s="833">
        <f t="shared" si="36"/>
        <v>0</v>
      </c>
      <c r="N655" s="834"/>
      <c r="O655" s="835">
        <f t="shared" si="37"/>
        <v>0</v>
      </c>
      <c r="P655" s="827">
        <f t="shared" si="38"/>
        <v>0</v>
      </c>
      <c r="AD655" s="810"/>
    </row>
    <row r="656" spans="3:30" ht="30" hidden="1" customHeight="1" outlineLevel="1">
      <c r="C656" s="828">
        <v>630</v>
      </c>
      <c r="D656" s="829"/>
      <c r="E656" s="830"/>
      <c r="F656" s="830"/>
      <c r="G656" s="1049"/>
      <c r="H656" s="831"/>
      <c r="I656" s="832"/>
      <c r="L656" s="816">
        <f t="shared" si="35"/>
        <v>0</v>
      </c>
      <c r="M656" s="833">
        <f t="shared" si="36"/>
        <v>0</v>
      </c>
      <c r="N656" s="834"/>
      <c r="O656" s="835">
        <f t="shared" si="37"/>
        <v>0</v>
      </c>
      <c r="P656" s="827">
        <f t="shared" si="38"/>
        <v>0</v>
      </c>
      <c r="AD656" s="810"/>
    </row>
    <row r="657" spans="3:30" ht="30" hidden="1" customHeight="1" outlineLevel="1">
      <c r="C657" s="828">
        <v>631</v>
      </c>
      <c r="D657" s="829"/>
      <c r="E657" s="830"/>
      <c r="F657" s="830"/>
      <c r="G657" s="1049"/>
      <c r="H657" s="831"/>
      <c r="I657" s="832"/>
      <c r="L657" s="816">
        <f t="shared" si="35"/>
        <v>0</v>
      </c>
      <c r="M657" s="833">
        <f t="shared" si="36"/>
        <v>0</v>
      </c>
      <c r="N657" s="834"/>
      <c r="O657" s="835">
        <f t="shared" si="37"/>
        <v>0</v>
      </c>
      <c r="P657" s="827">
        <f t="shared" si="38"/>
        <v>0</v>
      </c>
      <c r="AD657" s="810"/>
    </row>
    <row r="658" spans="3:30" ht="30" hidden="1" customHeight="1" outlineLevel="1">
      <c r="C658" s="828">
        <v>632</v>
      </c>
      <c r="D658" s="829"/>
      <c r="E658" s="830"/>
      <c r="F658" s="830"/>
      <c r="G658" s="1049"/>
      <c r="H658" s="831"/>
      <c r="I658" s="832"/>
      <c r="L658" s="816">
        <f t="shared" si="35"/>
        <v>0</v>
      </c>
      <c r="M658" s="833">
        <f t="shared" si="36"/>
        <v>0</v>
      </c>
      <c r="N658" s="834"/>
      <c r="O658" s="835">
        <f t="shared" si="37"/>
        <v>0</v>
      </c>
      <c r="P658" s="827">
        <f t="shared" si="38"/>
        <v>0</v>
      </c>
      <c r="AD658" s="810"/>
    </row>
    <row r="659" spans="3:30" ht="30" hidden="1" customHeight="1" outlineLevel="1">
      <c r="C659" s="828">
        <v>633</v>
      </c>
      <c r="D659" s="829"/>
      <c r="E659" s="830"/>
      <c r="F659" s="830"/>
      <c r="G659" s="1049"/>
      <c r="H659" s="831"/>
      <c r="I659" s="832"/>
      <c r="L659" s="816">
        <f t="shared" si="35"/>
        <v>0</v>
      </c>
      <c r="M659" s="833">
        <f t="shared" si="36"/>
        <v>0</v>
      </c>
      <c r="N659" s="834"/>
      <c r="O659" s="835">
        <f t="shared" si="37"/>
        <v>0</v>
      </c>
      <c r="P659" s="827">
        <f t="shared" si="38"/>
        <v>0</v>
      </c>
      <c r="AD659" s="810"/>
    </row>
    <row r="660" spans="3:30" ht="30" hidden="1" customHeight="1" outlineLevel="1">
      <c r="C660" s="828">
        <v>634</v>
      </c>
      <c r="D660" s="829"/>
      <c r="E660" s="830"/>
      <c r="F660" s="830"/>
      <c r="G660" s="1049"/>
      <c r="H660" s="831"/>
      <c r="I660" s="832"/>
      <c r="L660" s="816">
        <f t="shared" si="35"/>
        <v>0</v>
      </c>
      <c r="M660" s="833">
        <f t="shared" si="36"/>
        <v>0</v>
      </c>
      <c r="N660" s="834"/>
      <c r="O660" s="835">
        <f t="shared" si="37"/>
        <v>0</v>
      </c>
      <c r="P660" s="827">
        <f t="shared" si="38"/>
        <v>0</v>
      </c>
      <c r="AD660" s="810"/>
    </row>
    <row r="661" spans="3:30" ht="30" hidden="1" customHeight="1" outlineLevel="1">
      <c r="C661" s="828">
        <v>635</v>
      </c>
      <c r="D661" s="829"/>
      <c r="E661" s="830"/>
      <c r="F661" s="830"/>
      <c r="G661" s="1049"/>
      <c r="H661" s="831"/>
      <c r="I661" s="832"/>
      <c r="L661" s="816">
        <f t="shared" si="35"/>
        <v>0</v>
      </c>
      <c r="M661" s="833">
        <f t="shared" si="36"/>
        <v>0</v>
      </c>
      <c r="N661" s="834"/>
      <c r="O661" s="835">
        <f t="shared" si="37"/>
        <v>0</v>
      </c>
      <c r="P661" s="827">
        <f t="shared" si="38"/>
        <v>0</v>
      </c>
      <c r="AD661" s="810"/>
    </row>
    <row r="662" spans="3:30" ht="30" hidden="1" customHeight="1" outlineLevel="1">
      <c r="C662" s="828">
        <v>636</v>
      </c>
      <c r="D662" s="829"/>
      <c r="E662" s="830"/>
      <c r="F662" s="830"/>
      <c r="G662" s="1049"/>
      <c r="H662" s="831"/>
      <c r="I662" s="832"/>
      <c r="L662" s="816">
        <f t="shared" si="35"/>
        <v>0</v>
      </c>
      <c r="M662" s="833">
        <f t="shared" si="36"/>
        <v>0</v>
      </c>
      <c r="N662" s="834"/>
      <c r="O662" s="835">
        <f t="shared" si="37"/>
        <v>0</v>
      </c>
      <c r="P662" s="827">
        <f t="shared" si="38"/>
        <v>0</v>
      </c>
      <c r="AD662" s="810"/>
    </row>
    <row r="663" spans="3:30" ht="30" hidden="1" customHeight="1" outlineLevel="1">
      <c r="C663" s="828">
        <v>637</v>
      </c>
      <c r="D663" s="829"/>
      <c r="E663" s="830"/>
      <c r="F663" s="830"/>
      <c r="G663" s="1049"/>
      <c r="H663" s="831"/>
      <c r="I663" s="832"/>
      <c r="L663" s="816">
        <f t="shared" si="35"/>
        <v>0</v>
      </c>
      <c r="M663" s="833">
        <f t="shared" si="36"/>
        <v>0</v>
      </c>
      <c r="N663" s="834"/>
      <c r="O663" s="835">
        <f t="shared" si="37"/>
        <v>0</v>
      </c>
      <c r="P663" s="827">
        <f t="shared" si="38"/>
        <v>0</v>
      </c>
      <c r="AD663" s="810"/>
    </row>
    <row r="664" spans="3:30" ht="30" hidden="1" customHeight="1" outlineLevel="1">
      <c r="C664" s="828">
        <v>638</v>
      </c>
      <c r="D664" s="829"/>
      <c r="E664" s="830"/>
      <c r="F664" s="830"/>
      <c r="G664" s="1049"/>
      <c r="H664" s="831"/>
      <c r="I664" s="832"/>
      <c r="L664" s="816">
        <f t="shared" si="35"/>
        <v>0</v>
      </c>
      <c r="M664" s="833">
        <f t="shared" si="36"/>
        <v>0</v>
      </c>
      <c r="N664" s="834"/>
      <c r="O664" s="835">
        <f t="shared" si="37"/>
        <v>0</v>
      </c>
      <c r="P664" s="827">
        <f t="shared" si="38"/>
        <v>0</v>
      </c>
      <c r="AD664" s="810"/>
    </row>
    <row r="665" spans="3:30" ht="30" hidden="1" customHeight="1" outlineLevel="1">
      <c r="C665" s="828">
        <v>639</v>
      </c>
      <c r="D665" s="829"/>
      <c r="E665" s="830"/>
      <c r="F665" s="830"/>
      <c r="G665" s="1049"/>
      <c r="H665" s="831"/>
      <c r="I665" s="832"/>
      <c r="L665" s="816">
        <f t="shared" si="35"/>
        <v>0</v>
      </c>
      <c r="M665" s="833">
        <f t="shared" si="36"/>
        <v>0</v>
      </c>
      <c r="N665" s="834"/>
      <c r="O665" s="835">
        <f t="shared" si="37"/>
        <v>0</v>
      </c>
      <c r="P665" s="827">
        <f t="shared" si="38"/>
        <v>0</v>
      </c>
      <c r="AD665" s="810"/>
    </row>
    <row r="666" spans="3:30" ht="30" hidden="1" customHeight="1" outlineLevel="1">
      <c r="C666" s="828">
        <v>640</v>
      </c>
      <c r="D666" s="829"/>
      <c r="E666" s="830"/>
      <c r="F666" s="830"/>
      <c r="G666" s="1049"/>
      <c r="H666" s="831"/>
      <c r="I666" s="832"/>
      <c r="L666" s="816">
        <f t="shared" si="35"/>
        <v>0</v>
      </c>
      <c r="M666" s="833">
        <f t="shared" si="36"/>
        <v>0</v>
      </c>
      <c r="N666" s="834"/>
      <c r="O666" s="835">
        <f t="shared" si="37"/>
        <v>0</v>
      </c>
      <c r="P666" s="827">
        <f t="shared" si="38"/>
        <v>0</v>
      </c>
      <c r="AD666" s="810"/>
    </row>
    <row r="667" spans="3:30" ht="30" hidden="1" customHeight="1" outlineLevel="1">
      <c r="C667" s="828">
        <v>641</v>
      </c>
      <c r="D667" s="829"/>
      <c r="E667" s="830"/>
      <c r="F667" s="830"/>
      <c r="G667" s="1049"/>
      <c r="H667" s="831"/>
      <c r="I667" s="832"/>
      <c r="L667" s="816">
        <f t="shared" si="35"/>
        <v>0</v>
      </c>
      <c r="M667" s="833">
        <f t="shared" si="36"/>
        <v>0</v>
      </c>
      <c r="N667" s="834"/>
      <c r="O667" s="835">
        <f t="shared" si="37"/>
        <v>0</v>
      </c>
      <c r="P667" s="827">
        <f t="shared" si="38"/>
        <v>0</v>
      </c>
      <c r="AD667" s="810"/>
    </row>
    <row r="668" spans="3:30" ht="30" hidden="1" customHeight="1" outlineLevel="1">
      <c r="C668" s="828">
        <v>642</v>
      </c>
      <c r="D668" s="829"/>
      <c r="E668" s="830"/>
      <c r="F668" s="830"/>
      <c r="G668" s="1049"/>
      <c r="H668" s="831"/>
      <c r="I668" s="832"/>
      <c r="L668" s="816">
        <f t="shared" si="35"/>
        <v>0</v>
      </c>
      <c r="M668" s="833">
        <f t="shared" si="36"/>
        <v>0</v>
      </c>
      <c r="N668" s="834"/>
      <c r="O668" s="835">
        <f t="shared" si="37"/>
        <v>0</v>
      </c>
      <c r="P668" s="827">
        <f t="shared" si="38"/>
        <v>0</v>
      </c>
      <c r="AD668" s="810"/>
    </row>
    <row r="669" spans="3:30" ht="30" hidden="1" customHeight="1" outlineLevel="1">
      <c r="C669" s="828">
        <v>643</v>
      </c>
      <c r="D669" s="829"/>
      <c r="E669" s="830"/>
      <c r="F669" s="830"/>
      <c r="G669" s="1049"/>
      <c r="H669" s="831"/>
      <c r="I669" s="832"/>
      <c r="L669" s="816">
        <f t="shared" si="35"/>
        <v>0</v>
      </c>
      <c r="M669" s="833">
        <f t="shared" si="36"/>
        <v>0</v>
      </c>
      <c r="N669" s="834"/>
      <c r="O669" s="835">
        <f t="shared" si="37"/>
        <v>0</v>
      </c>
      <c r="P669" s="827">
        <f t="shared" si="38"/>
        <v>0</v>
      </c>
      <c r="AD669" s="810"/>
    </row>
    <row r="670" spans="3:30" ht="30" hidden="1" customHeight="1" outlineLevel="1">
      <c r="C670" s="828">
        <v>644</v>
      </c>
      <c r="D670" s="829"/>
      <c r="E670" s="830"/>
      <c r="F670" s="830"/>
      <c r="G670" s="1049"/>
      <c r="H670" s="831"/>
      <c r="I670" s="832"/>
      <c r="L670" s="816">
        <f t="shared" si="35"/>
        <v>0</v>
      </c>
      <c r="M670" s="833">
        <f t="shared" si="36"/>
        <v>0</v>
      </c>
      <c r="N670" s="834"/>
      <c r="O670" s="835">
        <f t="shared" si="37"/>
        <v>0</v>
      </c>
      <c r="P670" s="827">
        <f t="shared" si="38"/>
        <v>0</v>
      </c>
      <c r="AD670" s="810"/>
    </row>
    <row r="671" spans="3:30" ht="30" hidden="1" customHeight="1" outlineLevel="1">
      <c r="C671" s="828">
        <v>645</v>
      </c>
      <c r="D671" s="829"/>
      <c r="E671" s="830"/>
      <c r="F671" s="830"/>
      <c r="G671" s="1049"/>
      <c r="H671" s="831"/>
      <c r="I671" s="832"/>
      <c r="L671" s="816">
        <f t="shared" si="35"/>
        <v>0</v>
      </c>
      <c r="M671" s="833">
        <f t="shared" si="36"/>
        <v>0</v>
      </c>
      <c r="N671" s="834"/>
      <c r="O671" s="835">
        <f t="shared" si="37"/>
        <v>0</v>
      </c>
      <c r="P671" s="827">
        <f t="shared" si="38"/>
        <v>0</v>
      </c>
      <c r="AD671" s="810"/>
    </row>
    <row r="672" spans="3:30" ht="30" hidden="1" customHeight="1" outlineLevel="1">
      <c r="C672" s="828">
        <v>646</v>
      </c>
      <c r="D672" s="829"/>
      <c r="E672" s="830"/>
      <c r="F672" s="830"/>
      <c r="G672" s="1049"/>
      <c r="H672" s="831"/>
      <c r="I672" s="832"/>
      <c r="L672" s="816">
        <f t="shared" si="35"/>
        <v>0</v>
      </c>
      <c r="M672" s="833">
        <f t="shared" si="36"/>
        <v>0</v>
      </c>
      <c r="N672" s="834"/>
      <c r="O672" s="835">
        <f t="shared" si="37"/>
        <v>0</v>
      </c>
      <c r="P672" s="827">
        <f t="shared" si="38"/>
        <v>0</v>
      </c>
      <c r="AD672" s="810"/>
    </row>
    <row r="673" spans="3:30" ht="30" hidden="1" customHeight="1" outlineLevel="1">
      <c r="C673" s="828">
        <v>647</v>
      </c>
      <c r="D673" s="829"/>
      <c r="E673" s="830"/>
      <c r="F673" s="830"/>
      <c r="G673" s="1049"/>
      <c r="H673" s="831"/>
      <c r="I673" s="832"/>
      <c r="L673" s="816">
        <f t="shared" si="35"/>
        <v>0</v>
      </c>
      <c r="M673" s="833">
        <f t="shared" si="36"/>
        <v>0</v>
      </c>
      <c r="N673" s="834"/>
      <c r="O673" s="835">
        <f t="shared" si="37"/>
        <v>0</v>
      </c>
      <c r="P673" s="827">
        <f t="shared" si="38"/>
        <v>0</v>
      </c>
      <c r="AD673" s="810"/>
    </row>
    <row r="674" spans="3:30" ht="30" hidden="1" customHeight="1" outlineLevel="1">
      <c r="C674" s="828">
        <v>648</v>
      </c>
      <c r="D674" s="829"/>
      <c r="E674" s="830"/>
      <c r="F674" s="830"/>
      <c r="G674" s="1049"/>
      <c r="H674" s="831"/>
      <c r="I674" s="832"/>
      <c r="L674" s="816">
        <f t="shared" si="35"/>
        <v>0</v>
      </c>
      <c r="M674" s="833">
        <f t="shared" si="36"/>
        <v>0</v>
      </c>
      <c r="N674" s="834"/>
      <c r="O674" s="835">
        <f t="shared" si="37"/>
        <v>0</v>
      </c>
      <c r="P674" s="827">
        <f t="shared" si="38"/>
        <v>0</v>
      </c>
      <c r="AD674" s="810"/>
    </row>
    <row r="675" spans="3:30" ht="30" hidden="1" customHeight="1" outlineLevel="1">
      <c r="C675" s="828">
        <v>649</v>
      </c>
      <c r="D675" s="829"/>
      <c r="E675" s="830"/>
      <c r="F675" s="830"/>
      <c r="G675" s="1049"/>
      <c r="H675" s="831"/>
      <c r="I675" s="832"/>
      <c r="L675" s="816">
        <f t="shared" si="35"/>
        <v>0</v>
      </c>
      <c r="M675" s="833">
        <f t="shared" si="36"/>
        <v>0</v>
      </c>
      <c r="N675" s="834"/>
      <c r="O675" s="835">
        <f t="shared" si="37"/>
        <v>0</v>
      </c>
      <c r="P675" s="827">
        <f t="shared" si="38"/>
        <v>0</v>
      </c>
      <c r="AD675" s="810"/>
    </row>
    <row r="676" spans="3:30" ht="30" hidden="1" customHeight="1" outlineLevel="1">
      <c r="C676" s="828">
        <v>650</v>
      </c>
      <c r="D676" s="829"/>
      <c r="E676" s="830"/>
      <c r="F676" s="830"/>
      <c r="G676" s="1049"/>
      <c r="H676" s="831"/>
      <c r="I676" s="832"/>
      <c r="L676" s="816">
        <f t="shared" si="35"/>
        <v>0</v>
      </c>
      <c r="M676" s="833">
        <f t="shared" si="36"/>
        <v>0</v>
      </c>
      <c r="N676" s="834"/>
      <c r="O676" s="835">
        <f t="shared" si="37"/>
        <v>0</v>
      </c>
      <c r="P676" s="827">
        <f t="shared" si="38"/>
        <v>0</v>
      </c>
      <c r="AD676" s="810"/>
    </row>
    <row r="677" spans="3:30" ht="30" hidden="1" customHeight="1" outlineLevel="1">
      <c r="C677" s="828">
        <v>651</v>
      </c>
      <c r="D677" s="829"/>
      <c r="E677" s="830"/>
      <c r="F677" s="830"/>
      <c r="G677" s="1049"/>
      <c r="H677" s="831"/>
      <c r="I677" s="832"/>
      <c r="L677" s="816">
        <f t="shared" si="35"/>
        <v>0</v>
      </c>
      <c r="M677" s="833">
        <f t="shared" si="36"/>
        <v>0</v>
      </c>
      <c r="N677" s="834"/>
      <c r="O677" s="835">
        <f t="shared" si="37"/>
        <v>0</v>
      </c>
      <c r="P677" s="827">
        <f t="shared" si="38"/>
        <v>0</v>
      </c>
      <c r="AD677" s="810"/>
    </row>
    <row r="678" spans="3:30" ht="30" hidden="1" customHeight="1" outlineLevel="1">
      <c r="C678" s="828">
        <v>652</v>
      </c>
      <c r="D678" s="829"/>
      <c r="E678" s="830"/>
      <c r="F678" s="830"/>
      <c r="G678" s="1049"/>
      <c r="H678" s="831"/>
      <c r="I678" s="832"/>
      <c r="L678" s="816">
        <f t="shared" si="35"/>
        <v>0</v>
      </c>
      <c r="M678" s="833">
        <f t="shared" si="36"/>
        <v>0</v>
      </c>
      <c r="N678" s="834"/>
      <c r="O678" s="835">
        <f t="shared" si="37"/>
        <v>0</v>
      </c>
      <c r="P678" s="827">
        <f t="shared" si="38"/>
        <v>0</v>
      </c>
      <c r="AD678" s="810"/>
    </row>
    <row r="679" spans="3:30" ht="30" hidden="1" customHeight="1" outlineLevel="1">
      <c r="C679" s="828">
        <v>653</v>
      </c>
      <c r="D679" s="829"/>
      <c r="E679" s="830"/>
      <c r="F679" s="830"/>
      <c r="G679" s="1049"/>
      <c r="H679" s="831"/>
      <c r="I679" s="832"/>
      <c r="L679" s="816">
        <f t="shared" si="35"/>
        <v>0</v>
      </c>
      <c r="M679" s="833">
        <f t="shared" si="36"/>
        <v>0</v>
      </c>
      <c r="N679" s="834"/>
      <c r="O679" s="835">
        <f t="shared" si="37"/>
        <v>0</v>
      </c>
      <c r="P679" s="827">
        <f t="shared" si="38"/>
        <v>0</v>
      </c>
      <c r="AD679" s="810"/>
    </row>
    <row r="680" spans="3:30" ht="30" hidden="1" customHeight="1" outlineLevel="1">
      <c r="C680" s="828">
        <v>654</v>
      </c>
      <c r="D680" s="829"/>
      <c r="E680" s="830"/>
      <c r="F680" s="830"/>
      <c r="G680" s="1049"/>
      <c r="H680" s="831"/>
      <c r="I680" s="832"/>
      <c r="L680" s="816">
        <f t="shared" si="35"/>
        <v>0</v>
      </c>
      <c r="M680" s="833">
        <f t="shared" si="36"/>
        <v>0</v>
      </c>
      <c r="N680" s="834"/>
      <c r="O680" s="835">
        <f t="shared" si="37"/>
        <v>0</v>
      </c>
      <c r="P680" s="827">
        <f t="shared" si="38"/>
        <v>0</v>
      </c>
      <c r="AD680" s="810"/>
    </row>
    <row r="681" spans="3:30" ht="30" hidden="1" customHeight="1" outlineLevel="1">
      <c r="C681" s="828">
        <v>655</v>
      </c>
      <c r="D681" s="829"/>
      <c r="E681" s="830"/>
      <c r="F681" s="830"/>
      <c r="G681" s="1049"/>
      <c r="H681" s="831"/>
      <c r="I681" s="832"/>
      <c r="L681" s="816">
        <f t="shared" si="35"/>
        <v>0</v>
      </c>
      <c r="M681" s="833">
        <f t="shared" si="36"/>
        <v>0</v>
      </c>
      <c r="N681" s="834"/>
      <c r="O681" s="835">
        <f t="shared" si="37"/>
        <v>0</v>
      </c>
      <c r="P681" s="827">
        <f t="shared" si="38"/>
        <v>0</v>
      </c>
      <c r="AD681" s="810"/>
    </row>
    <row r="682" spans="3:30" ht="30" hidden="1" customHeight="1" outlineLevel="1">
      <c r="C682" s="828">
        <v>656</v>
      </c>
      <c r="D682" s="829"/>
      <c r="E682" s="830"/>
      <c r="F682" s="830"/>
      <c r="G682" s="1049"/>
      <c r="H682" s="831"/>
      <c r="I682" s="832"/>
      <c r="L682" s="816">
        <f t="shared" si="35"/>
        <v>0</v>
      </c>
      <c r="M682" s="833">
        <f t="shared" si="36"/>
        <v>0</v>
      </c>
      <c r="N682" s="834"/>
      <c r="O682" s="835">
        <f t="shared" si="37"/>
        <v>0</v>
      </c>
      <c r="P682" s="827">
        <f t="shared" si="38"/>
        <v>0</v>
      </c>
      <c r="AD682" s="810"/>
    </row>
    <row r="683" spans="3:30" ht="30" hidden="1" customHeight="1" outlineLevel="1">
      <c r="C683" s="828">
        <v>657</v>
      </c>
      <c r="D683" s="829"/>
      <c r="E683" s="830"/>
      <c r="F683" s="830"/>
      <c r="G683" s="1049"/>
      <c r="H683" s="831"/>
      <c r="I683" s="832"/>
      <c r="L683" s="816">
        <f t="shared" si="35"/>
        <v>0</v>
      </c>
      <c r="M683" s="833">
        <f t="shared" si="36"/>
        <v>0</v>
      </c>
      <c r="N683" s="834"/>
      <c r="O683" s="835">
        <f t="shared" si="37"/>
        <v>0</v>
      </c>
      <c r="P683" s="827">
        <f t="shared" si="38"/>
        <v>0</v>
      </c>
      <c r="AD683" s="810"/>
    </row>
    <row r="684" spans="3:30" ht="30" hidden="1" customHeight="1" outlineLevel="1">
      <c r="C684" s="828">
        <v>658</v>
      </c>
      <c r="D684" s="829"/>
      <c r="E684" s="830"/>
      <c r="F684" s="830"/>
      <c r="G684" s="1049"/>
      <c r="H684" s="831"/>
      <c r="I684" s="832"/>
      <c r="L684" s="816">
        <f t="shared" si="35"/>
        <v>0</v>
      </c>
      <c r="M684" s="833">
        <f t="shared" si="36"/>
        <v>0</v>
      </c>
      <c r="N684" s="834"/>
      <c r="O684" s="835">
        <f t="shared" si="37"/>
        <v>0</v>
      </c>
      <c r="P684" s="827">
        <f t="shared" si="38"/>
        <v>0</v>
      </c>
      <c r="AD684" s="810"/>
    </row>
    <row r="685" spans="3:30" ht="30" hidden="1" customHeight="1" outlineLevel="1">
      <c r="C685" s="828">
        <v>659</v>
      </c>
      <c r="D685" s="829"/>
      <c r="E685" s="830"/>
      <c r="F685" s="830"/>
      <c r="G685" s="1049"/>
      <c r="H685" s="831"/>
      <c r="I685" s="832"/>
      <c r="L685" s="816">
        <f t="shared" si="35"/>
        <v>0</v>
      </c>
      <c r="M685" s="833">
        <f t="shared" si="36"/>
        <v>0</v>
      </c>
      <c r="N685" s="834"/>
      <c r="O685" s="835">
        <f t="shared" si="37"/>
        <v>0</v>
      </c>
      <c r="P685" s="827">
        <f t="shared" si="38"/>
        <v>0</v>
      </c>
      <c r="AD685" s="810"/>
    </row>
    <row r="686" spans="3:30" ht="30" hidden="1" customHeight="1" outlineLevel="1">
      <c r="C686" s="828">
        <v>660</v>
      </c>
      <c r="D686" s="829"/>
      <c r="E686" s="830"/>
      <c r="F686" s="830"/>
      <c r="G686" s="1049"/>
      <c r="H686" s="831"/>
      <c r="I686" s="832"/>
      <c r="L686" s="816">
        <f t="shared" si="35"/>
        <v>0</v>
      </c>
      <c r="M686" s="833">
        <f t="shared" si="36"/>
        <v>0</v>
      </c>
      <c r="N686" s="834"/>
      <c r="O686" s="835">
        <f t="shared" si="37"/>
        <v>0</v>
      </c>
      <c r="P686" s="827">
        <f t="shared" si="38"/>
        <v>0</v>
      </c>
      <c r="AD686" s="810"/>
    </row>
    <row r="687" spans="3:30" ht="30" hidden="1" customHeight="1" outlineLevel="1">
      <c r="C687" s="828">
        <v>661</v>
      </c>
      <c r="D687" s="829"/>
      <c r="E687" s="830"/>
      <c r="F687" s="830"/>
      <c r="G687" s="1049"/>
      <c r="H687" s="831"/>
      <c r="I687" s="832"/>
      <c r="L687" s="816">
        <f t="shared" si="35"/>
        <v>0</v>
      </c>
      <c r="M687" s="833">
        <f t="shared" si="36"/>
        <v>0</v>
      </c>
      <c r="N687" s="834"/>
      <c r="O687" s="835">
        <f t="shared" si="37"/>
        <v>0</v>
      </c>
      <c r="P687" s="827">
        <f t="shared" si="38"/>
        <v>0</v>
      </c>
      <c r="AD687" s="810"/>
    </row>
    <row r="688" spans="3:30" ht="30" hidden="1" customHeight="1" outlineLevel="1">
      <c r="C688" s="828">
        <v>662</v>
      </c>
      <c r="D688" s="829"/>
      <c r="E688" s="830"/>
      <c r="F688" s="830"/>
      <c r="G688" s="1049"/>
      <c r="H688" s="831"/>
      <c r="I688" s="832"/>
      <c r="L688" s="816">
        <f t="shared" ref="L688:L751" si="39">IF($G688&gt;0,E688,)</f>
        <v>0</v>
      </c>
      <c r="M688" s="833">
        <f t="shared" ref="M688:M751" si="40">IF($G688&gt;0,F688,)</f>
        <v>0</v>
      </c>
      <c r="N688" s="834"/>
      <c r="O688" s="835">
        <f t="shared" ref="O688:O751" si="41">ROUND(L688*N688/10,)</f>
        <v>0</v>
      </c>
      <c r="P688" s="827">
        <f t="shared" ref="P688:P751" si="42">ROUND(O688*G688%,)</f>
        <v>0</v>
      </c>
      <c r="AD688" s="810"/>
    </row>
    <row r="689" spans="3:30" ht="30" hidden="1" customHeight="1" outlineLevel="1">
      <c r="C689" s="828">
        <v>663</v>
      </c>
      <c r="D689" s="829"/>
      <c r="E689" s="830"/>
      <c r="F689" s="830"/>
      <c r="G689" s="1049"/>
      <c r="H689" s="831"/>
      <c r="I689" s="832"/>
      <c r="L689" s="816">
        <f t="shared" si="39"/>
        <v>0</v>
      </c>
      <c r="M689" s="833">
        <f t="shared" si="40"/>
        <v>0</v>
      </c>
      <c r="N689" s="834"/>
      <c r="O689" s="835">
        <f t="shared" si="41"/>
        <v>0</v>
      </c>
      <c r="P689" s="827">
        <f t="shared" si="42"/>
        <v>0</v>
      </c>
      <c r="AD689" s="810"/>
    </row>
    <row r="690" spans="3:30" ht="30" hidden="1" customHeight="1" outlineLevel="1">
      <c r="C690" s="828">
        <v>664</v>
      </c>
      <c r="D690" s="829"/>
      <c r="E690" s="830"/>
      <c r="F690" s="830"/>
      <c r="G690" s="1049"/>
      <c r="H690" s="831"/>
      <c r="I690" s="832"/>
      <c r="L690" s="816">
        <f t="shared" si="39"/>
        <v>0</v>
      </c>
      <c r="M690" s="833">
        <f t="shared" si="40"/>
        <v>0</v>
      </c>
      <c r="N690" s="834"/>
      <c r="O690" s="835">
        <f t="shared" si="41"/>
        <v>0</v>
      </c>
      <c r="P690" s="827">
        <f t="shared" si="42"/>
        <v>0</v>
      </c>
      <c r="AD690" s="810"/>
    </row>
    <row r="691" spans="3:30" ht="30" hidden="1" customHeight="1" outlineLevel="1">
      <c r="C691" s="828">
        <v>665</v>
      </c>
      <c r="D691" s="829"/>
      <c r="E691" s="830"/>
      <c r="F691" s="830"/>
      <c r="G691" s="1049"/>
      <c r="H691" s="831"/>
      <c r="I691" s="832"/>
      <c r="L691" s="816">
        <f t="shared" si="39"/>
        <v>0</v>
      </c>
      <c r="M691" s="833">
        <f t="shared" si="40"/>
        <v>0</v>
      </c>
      <c r="N691" s="834"/>
      <c r="O691" s="835">
        <f t="shared" si="41"/>
        <v>0</v>
      </c>
      <c r="P691" s="827">
        <f t="shared" si="42"/>
        <v>0</v>
      </c>
      <c r="AD691" s="810"/>
    </row>
    <row r="692" spans="3:30" ht="30" hidden="1" customHeight="1" outlineLevel="1">
      <c r="C692" s="828">
        <v>666</v>
      </c>
      <c r="D692" s="829"/>
      <c r="E692" s="830"/>
      <c r="F692" s="830"/>
      <c r="G692" s="1049"/>
      <c r="H692" s="831"/>
      <c r="I692" s="832"/>
      <c r="L692" s="816">
        <f t="shared" si="39"/>
        <v>0</v>
      </c>
      <c r="M692" s="833">
        <f t="shared" si="40"/>
        <v>0</v>
      </c>
      <c r="N692" s="834"/>
      <c r="O692" s="835">
        <f t="shared" si="41"/>
        <v>0</v>
      </c>
      <c r="P692" s="827">
        <f t="shared" si="42"/>
        <v>0</v>
      </c>
      <c r="AD692" s="810"/>
    </row>
    <row r="693" spans="3:30" ht="30" hidden="1" customHeight="1" outlineLevel="1">
      <c r="C693" s="828">
        <v>667</v>
      </c>
      <c r="D693" s="829"/>
      <c r="E693" s="830"/>
      <c r="F693" s="830"/>
      <c r="G693" s="1049"/>
      <c r="H693" s="831"/>
      <c r="I693" s="832"/>
      <c r="L693" s="816">
        <f t="shared" si="39"/>
        <v>0</v>
      </c>
      <c r="M693" s="833">
        <f t="shared" si="40"/>
        <v>0</v>
      </c>
      <c r="N693" s="834"/>
      <c r="O693" s="835">
        <f t="shared" si="41"/>
        <v>0</v>
      </c>
      <c r="P693" s="827">
        <f t="shared" si="42"/>
        <v>0</v>
      </c>
      <c r="AD693" s="810"/>
    </row>
    <row r="694" spans="3:30" ht="30" hidden="1" customHeight="1" outlineLevel="1">
      <c r="C694" s="828">
        <v>668</v>
      </c>
      <c r="D694" s="829"/>
      <c r="E694" s="830"/>
      <c r="F694" s="830"/>
      <c r="G694" s="1049"/>
      <c r="H694" s="831"/>
      <c r="I694" s="832"/>
      <c r="L694" s="816">
        <f t="shared" si="39"/>
        <v>0</v>
      </c>
      <c r="M694" s="833">
        <f t="shared" si="40"/>
        <v>0</v>
      </c>
      <c r="N694" s="834"/>
      <c r="O694" s="835">
        <f t="shared" si="41"/>
        <v>0</v>
      </c>
      <c r="P694" s="827">
        <f t="shared" si="42"/>
        <v>0</v>
      </c>
      <c r="AD694" s="810"/>
    </row>
    <row r="695" spans="3:30" ht="30" hidden="1" customHeight="1" outlineLevel="1">
      <c r="C695" s="828">
        <v>669</v>
      </c>
      <c r="D695" s="829"/>
      <c r="E695" s="830"/>
      <c r="F695" s="830"/>
      <c r="G695" s="1049"/>
      <c r="H695" s="831"/>
      <c r="I695" s="832"/>
      <c r="L695" s="816">
        <f t="shared" si="39"/>
        <v>0</v>
      </c>
      <c r="M695" s="833">
        <f t="shared" si="40"/>
        <v>0</v>
      </c>
      <c r="N695" s="834"/>
      <c r="O695" s="835">
        <f t="shared" si="41"/>
        <v>0</v>
      </c>
      <c r="P695" s="827">
        <f t="shared" si="42"/>
        <v>0</v>
      </c>
      <c r="AD695" s="810"/>
    </row>
    <row r="696" spans="3:30" ht="30" hidden="1" customHeight="1" outlineLevel="1">
      <c r="C696" s="828">
        <v>670</v>
      </c>
      <c r="D696" s="829"/>
      <c r="E696" s="830"/>
      <c r="F696" s="830"/>
      <c r="G696" s="1049"/>
      <c r="H696" s="831"/>
      <c r="I696" s="832"/>
      <c r="L696" s="816">
        <f t="shared" si="39"/>
        <v>0</v>
      </c>
      <c r="M696" s="833">
        <f t="shared" si="40"/>
        <v>0</v>
      </c>
      <c r="N696" s="834"/>
      <c r="O696" s="835">
        <f t="shared" si="41"/>
        <v>0</v>
      </c>
      <c r="P696" s="827">
        <f t="shared" si="42"/>
        <v>0</v>
      </c>
      <c r="AD696" s="810"/>
    </row>
    <row r="697" spans="3:30" ht="30" hidden="1" customHeight="1" outlineLevel="1">
      <c r="C697" s="828">
        <v>671</v>
      </c>
      <c r="D697" s="829"/>
      <c r="E697" s="830"/>
      <c r="F697" s="830"/>
      <c r="G697" s="1049"/>
      <c r="H697" s="831"/>
      <c r="I697" s="832"/>
      <c r="L697" s="816">
        <f t="shared" si="39"/>
        <v>0</v>
      </c>
      <c r="M697" s="833">
        <f t="shared" si="40"/>
        <v>0</v>
      </c>
      <c r="N697" s="834"/>
      <c r="O697" s="835">
        <f t="shared" si="41"/>
        <v>0</v>
      </c>
      <c r="P697" s="827">
        <f t="shared" si="42"/>
        <v>0</v>
      </c>
      <c r="AD697" s="810"/>
    </row>
    <row r="698" spans="3:30" ht="30" hidden="1" customHeight="1" outlineLevel="1">
      <c r="C698" s="828">
        <v>672</v>
      </c>
      <c r="D698" s="829"/>
      <c r="E698" s="830"/>
      <c r="F698" s="830"/>
      <c r="G698" s="1049"/>
      <c r="H698" s="831"/>
      <c r="I698" s="832"/>
      <c r="L698" s="816">
        <f t="shared" si="39"/>
        <v>0</v>
      </c>
      <c r="M698" s="833">
        <f t="shared" si="40"/>
        <v>0</v>
      </c>
      <c r="N698" s="834"/>
      <c r="O698" s="835">
        <f t="shared" si="41"/>
        <v>0</v>
      </c>
      <c r="P698" s="827">
        <f t="shared" si="42"/>
        <v>0</v>
      </c>
      <c r="AD698" s="810"/>
    </row>
    <row r="699" spans="3:30" ht="30" hidden="1" customHeight="1" outlineLevel="1">
      <c r="C699" s="828">
        <v>673</v>
      </c>
      <c r="D699" s="829"/>
      <c r="E699" s="830"/>
      <c r="F699" s="830"/>
      <c r="G699" s="1049"/>
      <c r="H699" s="831"/>
      <c r="I699" s="832"/>
      <c r="L699" s="816">
        <f t="shared" si="39"/>
        <v>0</v>
      </c>
      <c r="M699" s="833">
        <f t="shared" si="40"/>
        <v>0</v>
      </c>
      <c r="N699" s="834"/>
      <c r="O699" s="835">
        <f t="shared" si="41"/>
        <v>0</v>
      </c>
      <c r="P699" s="827">
        <f t="shared" si="42"/>
        <v>0</v>
      </c>
      <c r="AD699" s="810"/>
    </row>
    <row r="700" spans="3:30" ht="30" hidden="1" customHeight="1" outlineLevel="1">
      <c r="C700" s="828">
        <v>674</v>
      </c>
      <c r="D700" s="829"/>
      <c r="E700" s="830"/>
      <c r="F700" s="830"/>
      <c r="G700" s="1049"/>
      <c r="H700" s="831"/>
      <c r="I700" s="832"/>
      <c r="L700" s="816">
        <f t="shared" si="39"/>
        <v>0</v>
      </c>
      <c r="M700" s="833">
        <f t="shared" si="40"/>
        <v>0</v>
      </c>
      <c r="N700" s="834"/>
      <c r="O700" s="835">
        <f t="shared" si="41"/>
        <v>0</v>
      </c>
      <c r="P700" s="827">
        <f t="shared" si="42"/>
        <v>0</v>
      </c>
      <c r="AD700" s="810"/>
    </row>
    <row r="701" spans="3:30" ht="30" hidden="1" customHeight="1" outlineLevel="1">
      <c r="C701" s="828">
        <v>675</v>
      </c>
      <c r="D701" s="829"/>
      <c r="E701" s="830"/>
      <c r="F701" s="830"/>
      <c r="G701" s="1049"/>
      <c r="H701" s="831"/>
      <c r="I701" s="832"/>
      <c r="L701" s="816">
        <f t="shared" si="39"/>
        <v>0</v>
      </c>
      <c r="M701" s="833">
        <f t="shared" si="40"/>
        <v>0</v>
      </c>
      <c r="N701" s="834"/>
      <c r="O701" s="835">
        <f t="shared" si="41"/>
        <v>0</v>
      </c>
      <c r="P701" s="827">
        <f t="shared" si="42"/>
        <v>0</v>
      </c>
      <c r="AD701" s="810"/>
    </row>
    <row r="702" spans="3:30" ht="30" hidden="1" customHeight="1" outlineLevel="1">
      <c r="C702" s="828">
        <v>676</v>
      </c>
      <c r="D702" s="829"/>
      <c r="E702" s="830"/>
      <c r="F702" s="830"/>
      <c r="G702" s="1049"/>
      <c r="H702" s="831"/>
      <c r="I702" s="832"/>
      <c r="L702" s="816">
        <f t="shared" si="39"/>
        <v>0</v>
      </c>
      <c r="M702" s="833">
        <f t="shared" si="40"/>
        <v>0</v>
      </c>
      <c r="N702" s="834"/>
      <c r="O702" s="835">
        <f t="shared" si="41"/>
        <v>0</v>
      </c>
      <c r="P702" s="827">
        <f t="shared" si="42"/>
        <v>0</v>
      </c>
      <c r="AD702" s="810"/>
    </row>
    <row r="703" spans="3:30" ht="30" hidden="1" customHeight="1" outlineLevel="1">
      <c r="C703" s="828">
        <v>677</v>
      </c>
      <c r="D703" s="829"/>
      <c r="E703" s="830"/>
      <c r="F703" s="830"/>
      <c r="G703" s="1049"/>
      <c r="H703" s="831"/>
      <c r="I703" s="832"/>
      <c r="L703" s="816">
        <f t="shared" si="39"/>
        <v>0</v>
      </c>
      <c r="M703" s="833">
        <f t="shared" si="40"/>
        <v>0</v>
      </c>
      <c r="N703" s="834"/>
      <c r="O703" s="835">
        <f t="shared" si="41"/>
        <v>0</v>
      </c>
      <c r="P703" s="827">
        <f t="shared" si="42"/>
        <v>0</v>
      </c>
      <c r="AD703" s="810"/>
    </row>
    <row r="704" spans="3:30" ht="30" hidden="1" customHeight="1" outlineLevel="1">
      <c r="C704" s="828">
        <v>678</v>
      </c>
      <c r="D704" s="829"/>
      <c r="E704" s="830"/>
      <c r="F704" s="830"/>
      <c r="G704" s="1049"/>
      <c r="H704" s="831"/>
      <c r="I704" s="832"/>
      <c r="L704" s="816">
        <f t="shared" si="39"/>
        <v>0</v>
      </c>
      <c r="M704" s="833">
        <f t="shared" si="40"/>
        <v>0</v>
      </c>
      <c r="N704" s="834"/>
      <c r="O704" s="835">
        <f t="shared" si="41"/>
        <v>0</v>
      </c>
      <c r="P704" s="827">
        <f t="shared" si="42"/>
        <v>0</v>
      </c>
      <c r="AD704" s="810"/>
    </row>
    <row r="705" spans="3:30" ht="30" hidden="1" customHeight="1" outlineLevel="1">
      <c r="C705" s="828">
        <v>679</v>
      </c>
      <c r="D705" s="829"/>
      <c r="E705" s="830"/>
      <c r="F705" s="830"/>
      <c r="G705" s="1049"/>
      <c r="H705" s="831"/>
      <c r="I705" s="832"/>
      <c r="L705" s="816">
        <f t="shared" si="39"/>
        <v>0</v>
      </c>
      <c r="M705" s="833">
        <f t="shared" si="40"/>
        <v>0</v>
      </c>
      <c r="N705" s="834"/>
      <c r="O705" s="835">
        <f t="shared" si="41"/>
        <v>0</v>
      </c>
      <c r="P705" s="827">
        <f t="shared" si="42"/>
        <v>0</v>
      </c>
      <c r="AD705" s="810"/>
    </row>
    <row r="706" spans="3:30" ht="30" hidden="1" customHeight="1" outlineLevel="1">
      <c r="C706" s="828">
        <v>680</v>
      </c>
      <c r="D706" s="829"/>
      <c r="E706" s="830"/>
      <c r="F706" s="830"/>
      <c r="G706" s="1049"/>
      <c r="H706" s="831"/>
      <c r="I706" s="832"/>
      <c r="L706" s="816">
        <f t="shared" si="39"/>
        <v>0</v>
      </c>
      <c r="M706" s="833">
        <f t="shared" si="40"/>
        <v>0</v>
      </c>
      <c r="N706" s="834"/>
      <c r="O706" s="835">
        <f t="shared" si="41"/>
        <v>0</v>
      </c>
      <c r="P706" s="827">
        <f t="shared" si="42"/>
        <v>0</v>
      </c>
      <c r="AD706" s="810"/>
    </row>
    <row r="707" spans="3:30" ht="30" hidden="1" customHeight="1" outlineLevel="1">
      <c r="C707" s="828">
        <v>681</v>
      </c>
      <c r="D707" s="829"/>
      <c r="E707" s="830"/>
      <c r="F707" s="830"/>
      <c r="G707" s="1049"/>
      <c r="H707" s="831"/>
      <c r="I707" s="832"/>
      <c r="L707" s="816">
        <f t="shared" si="39"/>
        <v>0</v>
      </c>
      <c r="M707" s="833">
        <f t="shared" si="40"/>
        <v>0</v>
      </c>
      <c r="N707" s="834"/>
      <c r="O707" s="835">
        <f t="shared" si="41"/>
        <v>0</v>
      </c>
      <c r="P707" s="827">
        <f t="shared" si="42"/>
        <v>0</v>
      </c>
      <c r="AD707" s="810"/>
    </row>
    <row r="708" spans="3:30" ht="30" hidden="1" customHeight="1" outlineLevel="1">
      <c r="C708" s="828">
        <v>682</v>
      </c>
      <c r="D708" s="829"/>
      <c r="E708" s="830"/>
      <c r="F708" s="830"/>
      <c r="G708" s="1049"/>
      <c r="H708" s="831"/>
      <c r="I708" s="832"/>
      <c r="L708" s="816">
        <f t="shared" si="39"/>
        <v>0</v>
      </c>
      <c r="M708" s="833">
        <f t="shared" si="40"/>
        <v>0</v>
      </c>
      <c r="N708" s="834"/>
      <c r="O708" s="835">
        <f t="shared" si="41"/>
        <v>0</v>
      </c>
      <c r="P708" s="827">
        <f t="shared" si="42"/>
        <v>0</v>
      </c>
      <c r="AD708" s="810"/>
    </row>
    <row r="709" spans="3:30" ht="30" hidden="1" customHeight="1" outlineLevel="1">
      <c r="C709" s="828">
        <v>683</v>
      </c>
      <c r="D709" s="829"/>
      <c r="E709" s="830"/>
      <c r="F709" s="830"/>
      <c r="G709" s="1049"/>
      <c r="H709" s="831"/>
      <c r="I709" s="832"/>
      <c r="L709" s="816">
        <f t="shared" si="39"/>
        <v>0</v>
      </c>
      <c r="M709" s="833">
        <f t="shared" si="40"/>
        <v>0</v>
      </c>
      <c r="N709" s="834"/>
      <c r="O709" s="835">
        <f t="shared" si="41"/>
        <v>0</v>
      </c>
      <c r="P709" s="827">
        <f t="shared" si="42"/>
        <v>0</v>
      </c>
      <c r="AD709" s="810"/>
    </row>
    <row r="710" spans="3:30" ht="30" hidden="1" customHeight="1" outlineLevel="1">
      <c r="C710" s="828">
        <v>684</v>
      </c>
      <c r="D710" s="829"/>
      <c r="E710" s="830"/>
      <c r="F710" s="830"/>
      <c r="G710" s="1049"/>
      <c r="H710" s="831"/>
      <c r="I710" s="832"/>
      <c r="L710" s="816">
        <f t="shared" si="39"/>
        <v>0</v>
      </c>
      <c r="M710" s="833">
        <f t="shared" si="40"/>
        <v>0</v>
      </c>
      <c r="N710" s="834"/>
      <c r="O710" s="835">
        <f t="shared" si="41"/>
        <v>0</v>
      </c>
      <c r="P710" s="827">
        <f t="shared" si="42"/>
        <v>0</v>
      </c>
      <c r="AD710" s="810"/>
    </row>
    <row r="711" spans="3:30" ht="30" hidden="1" customHeight="1" outlineLevel="1">
      <c r="C711" s="828">
        <v>685</v>
      </c>
      <c r="D711" s="829"/>
      <c r="E711" s="830"/>
      <c r="F711" s="830"/>
      <c r="G711" s="1049"/>
      <c r="H711" s="831"/>
      <c r="I711" s="832"/>
      <c r="L711" s="816">
        <f t="shared" si="39"/>
        <v>0</v>
      </c>
      <c r="M711" s="833">
        <f t="shared" si="40"/>
        <v>0</v>
      </c>
      <c r="N711" s="834"/>
      <c r="O711" s="835">
        <f t="shared" si="41"/>
        <v>0</v>
      </c>
      <c r="P711" s="827">
        <f t="shared" si="42"/>
        <v>0</v>
      </c>
      <c r="AD711" s="810"/>
    </row>
    <row r="712" spans="3:30" ht="30" hidden="1" customHeight="1" outlineLevel="1">
      <c r="C712" s="828">
        <v>686</v>
      </c>
      <c r="D712" s="829"/>
      <c r="E712" s="830"/>
      <c r="F712" s="830"/>
      <c r="G712" s="1049"/>
      <c r="H712" s="831"/>
      <c r="I712" s="832"/>
      <c r="L712" s="816">
        <f t="shared" si="39"/>
        <v>0</v>
      </c>
      <c r="M712" s="833">
        <f t="shared" si="40"/>
        <v>0</v>
      </c>
      <c r="N712" s="834"/>
      <c r="O712" s="835">
        <f t="shared" si="41"/>
        <v>0</v>
      </c>
      <c r="P712" s="827">
        <f t="shared" si="42"/>
        <v>0</v>
      </c>
      <c r="AD712" s="810"/>
    </row>
    <row r="713" spans="3:30" ht="30" hidden="1" customHeight="1" outlineLevel="1">
      <c r="C713" s="828">
        <v>687</v>
      </c>
      <c r="D713" s="829"/>
      <c r="E713" s="830"/>
      <c r="F713" s="830"/>
      <c r="G713" s="1049"/>
      <c r="H713" s="831"/>
      <c r="I713" s="832"/>
      <c r="L713" s="816">
        <f t="shared" si="39"/>
        <v>0</v>
      </c>
      <c r="M713" s="833">
        <f t="shared" si="40"/>
        <v>0</v>
      </c>
      <c r="N713" s="834"/>
      <c r="O713" s="835">
        <f t="shared" si="41"/>
        <v>0</v>
      </c>
      <c r="P713" s="827">
        <f t="shared" si="42"/>
        <v>0</v>
      </c>
      <c r="AD713" s="810"/>
    </row>
    <row r="714" spans="3:30" ht="30" hidden="1" customHeight="1" outlineLevel="1">
      <c r="C714" s="828">
        <v>688</v>
      </c>
      <c r="D714" s="829"/>
      <c r="E714" s="830"/>
      <c r="F714" s="830"/>
      <c r="G714" s="1049"/>
      <c r="H714" s="831"/>
      <c r="I714" s="832"/>
      <c r="L714" s="816">
        <f t="shared" si="39"/>
        <v>0</v>
      </c>
      <c r="M714" s="833">
        <f t="shared" si="40"/>
        <v>0</v>
      </c>
      <c r="N714" s="834"/>
      <c r="O714" s="835">
        <f t="shared" si="41"/>
        <v>0</v>
      </c>
      <c r="P714" s="827">
        <f t="shared" si="42"/>
        <v>0</v>
      </c>
      <c r="AD714" s="810"/>
    </row>
    <row r="715" spans="3:30" ht="30" hidden="1" customHeight="1" outlineLevel="1">
      <c r="C715" s="828">
        <v>689</v>
      </c>
      <c r="D715" s="829"/>
      <c r="E715" s="830"/>
      <c r="F715" s="830"/>
      <c r="G715" s="1049"/>
      <c r="H715" s="831"/>
      <c r="I715" s="832"/>
      <c r="L715" s="816">
        <f t="shared" si="39"/>
        <v>0</v>
      </c>
      <c r="M715" s="833">
        <f t="shared" si="40"/>
        <v>0</v>
      </c>
      <c r="N715" s="834"/>
      <c r="O715" s="835">
        <f t="shared" si="41"/>
        <v>0</v>
      </c>
      <c r="P715" s="827">
        <f t="shared" si="42"/>
        <v>0</v>
      </c>
      <c r="AD715" s="810"/>
    </row>
    <row r="716" spans="3:30" ht="30" hidden="1" customHeight="1" outlineLevel="1">
      <c r="C716" s="828">
        <v>690</v>
      </c>
      <c r="D716" s="829"/>
      <c r="E716" s="830"/>
      <c r="F716" s="830"/>
      <c r="G716" s="1049"/>
      <c r="H716" s="831"/>
      <c r="I716" s="832"/>
      <c r="L716" s="816">
        <f t="shared" si="39"/>
        <v>0</v>
      </c>
      <c r="M716" s="833">
        <f t="shared" si="40"/>
        <v>0</v>
      </c>
      <c r="N716" s="834"/>
      <c r="O716" s="835">
        <f t="shared" si="41"/>
        <v>0</v>
      </c>
      <c r="P716" s="827">
        <f t="shared" si="42"/>
        <v>0</v>
      </c>
      <c r="AD716" s="810"/>
    </row>
    <row r="717" spans="3:30" ht="30" hidden="1" customHeight="1" outlineLevel="1">
      <c r="C717" s="828">
        <v>691</v>
      </c>
      <c r="D717" s="829"/>
      <c r="E717" s="830"/>
      <c r="F717" s="830"/>
      <c r="G717" s="1049"/>
      <c r="H717" s="831"/>
      <c r="I717" s="832"/>
      <c r="L717" s="816">
        <f t="shared" si="39"/>
        <v>0</v>
      </c>
      <c r="M717" s="833">
        <f t="shared" si="40"/>
        <v>0</v>
      </c>
      <c r="N717" s="834"/>
      <c r="O717" s="835">
        <f t="shared" si="41"/>
        <v>0</v>
      </c>
      <c r="P717" s="827">
        <f t="shared" si="42"/>
        <v>0</v>
      </c>
      <c r="AD717" s="810"/>
    </row>
    <row r="718" spans="3:30" ht="30" hidden="1" customHeight="1" outlineLevel="1">
      <c r="C718" s="828">
        <v>692</v>
      </c>
      <c r="D718" s="829"/>
      <c r="E718" s="830"/>
      <c r="F718" s="830"/>
      <c r="G718" s="1049"/>
      <c r="H718" s="831"/>
      <c r="I718" s="832"/>
      <c r="L718" s="816">
        <f t="shared" si="39"/>
        <v>0</v>
      </c>
      <c r="M718" s="833">
        <f t="shared" si="40"/>
        <v>0</v>
      </c>
      <c r="N718" s="834"/>
      <c r="O718" s="835">
        <f t="shared" si="41"/>
        <v>0</v>
      </c>
      <c r="P718" s="827">
        <f t="shared" si="42"/>
        <v>0</v>
      </c>
      <c r="AD718" s="810"/>
    </row>
    <row r="719" spans="3:30" ht="30" hidden="1" customHeight="1" outlineLevel="1">
      <c r="C719" s="828">
        <v>693</v>
      </c>
      <c r="D719" s="829"/>
      <c r="E719" s="830"/>
      <c r="F719" s="830"/>
      <c r="G719" s="1049"/>
      <c r="H719" s="831"/>
      <c r="I719" s="832"/>
      <c r="L719" s="816">
        <f t="shared" si="39"/>
        <v>0</v>
      </c>
      <c r="M719" s="833">
        <f t="shared" si="40"/>
        <v>0</v>
      </c>
      <c r="N719" s="834"/>
      <c r="O719" s="835">
        <f t="shared" si="41"/>
        <v>0</v>
      </c>
      <c r="P719" s="827">
        <f t="shared" si="42"/>
        <v>0</v>
      </c>
      <c r="AD719" s="810"/>
    </row>
    <row r="720" spans="3:30" ht="30" hidden="1" customHeight="1" outlineLevel="1">
      <c r="C720" s="828">
        <v>694</v>
      </c>
      <c r="D720" s="829"/>
      <c r="E720" s="830"/>
      <c r="F720" s="830"/>
      <c r="G720" s="1049"/>
      <c r="H720" s="831"/>
      <c r="I720" s="832"/>
      <c r="L720" s="816">
        <f t="shared" si="39"/>
        <v>0</v>
      </c>
      <c r="M720" s="833">
        <f t="shared" si="40"/>
        <v>0</v>
      </c>
      <c r="N720" s="834"/>
      <c r="O720" s="835">
        <f t="shared" si="41"/>
        <v>0</v>
      </c>
      <c r="P720" s="827">
        <f t="shared" si="42"/>
        <v>0</v>
      </c>
      <c r="AD720" s="810"/>
    </row>
    <row r="721" spans="3:30" ht="30" hidden="1" customHeight="1" outlineLevel="1">
      <c r="C721" s="828">
        <v>695</v>
      </c>
      <c r="D721" s="829"/>
      <c r="E721" s="830"/>
      <c r="F721" s="830"/>
      <c r="G721" s="1049"/>
      <c r="H721" s="831"/>
      <c r="I721" s="832"/>
      <c r="L721" s="816">
        <f t="shared" si="39"/>
        <v>0</v>
      </c>
      <c r="M721" s="833">
        <f t="shared" si="40"/>
        <v>0</v>
      </c>
      <c r="N721" s="834"/>
      <c r="O721" s="835">
        <f t="shared" si="41"/>
        <v>0</v>
      </c>
      <c r="P721" s="827">
        <f t="shared" si="42"/>
        <v>0</v>
      </c>
      <c r="AD721" s="810"/>
    </row>
    <row r="722" spans="3:30" ht="30" hidden="1" customHeight="1" outlineLevel="1">
      <c r="C722" s="828">
        <v>696</v>
      </c>
      <c r="D722" s="829"/>
      <c r="E722" s="830"/>
      <c r="F722" s="830"/>
      <c r="G722" s="1049"/>
      <c r="H722" s="831"/>
      <c r="I722" s="832"/>
      <c r="L722" s="816">
        <f t="shared" si="39"/>
        <v>0</v>
      </c>
      <c r="M722" s="833">
        <f t="shared" si="40"/>
        <v>0</v>
      </c>
      <c r="N722" s="834"/>
      <c r="O722" s="835">
        <f t="shared" si="41"/>
        <v>0</v>
      </c>
      <c r="P722" s="827">
        <f t="shared" si="42"/>
        <v>0</v>
      </c>
      <c r="AD722" s="810"/>
    </row>
    <row r="723" spans="3:30" ht="30" hidden="1" customHeight="1" outlineLevel="1">
      <c r="C723" s="828">
        <v>697</v>
      </c>
      <c r="D723" s="829"/>
      <c r="E723" s="830"/>
      <c r="F723" s="830"/>
      <c r="G723" s="1049"/>
      <c r="H723" s="831"/>
      <c r="I723" s="832"/>
      <c r="L723" s="816">
        <f t="shared" si="39"/>
        <v>0</v>
      </c>
      <c r="M723" s="833">
        <f t="shared" si="40"/>
        <v>0</v>
      </c>
      <c r="N723" s="834"/>
      <c r="O723" s="835">
        <f t="shared" si="41"/>
        <v>0</v>
      </c>
      <c r="P723" s="827">
        <f t="shared" si="42"/>
        <v>0</v>
      </c>
      <c r="AD723" s="810"/>
    </row>
    <row r="724" spans="3:30" ht="30" hidden="1" customHeight="1" outlineLevel="1">
      <c r="C724" s="828">
        <v>698</v>
      </c>
      <c r="D724" s="829"/>
      <c r="E724" s="830"/>
      <c r="F724" s="830"/>
      <c r="G724" s="1049"/>
      <c r="H724" s="831"/>
      <c r="I724" s="832"/>
      <c r="L724" s="816">
        <f t="shared" si="39"/>
        <v>0</v>
      </c>
      <c r="M724" s="833">
        <f t="shared" si="40"/>
        <v>0</v>
      </c>
      <c r="N724" s="834"/>
      <c r="O724" s="835">
        <f t="shared" si="41"/>
        <v>0</v>
      </c>
      <c r="P724" s="827">
        <f t="shared" si="42"/>
        <v>0</v>
      </c>
      <c r="AD724" s="810"/>
    </row>
    <row r="725" spans="3:30" ht="30" hidden="1" customHeight="1" outlineLevel="1">
      <c r="C725" s="828">
        <v>699</v>
      </c>
      <c r="D725" s="829"/>
      <c r="E725" s="830"/>
      <c r="F725" s="830"/>
      <c r="G725" s="1049"/>
      <c r="H725" s="831"/>
      <c r="I725" s="832"/>
      <c r="L725" s="816">
        <f t="shared" si="39"/>
        <v>0</v>
      </c>
      <c r="M725" s="833">
        <f t="shared" si="40"/>
        <v>0</v>
      </c>
      <c r="N725" s="834"/>
      <c r="O725" s="835">
        <f t="shared" si="41"/>
        <v>0</v>
      </c>
      <c r="P725" s="827">
        <f t="shared" si="42"/>
        <v>0</v>
      </c>
      <c r="AD725" s="810"/>
    </row>
    <row r="726" spans="3:30" ht="30" hidden="1" customHeight="1" outlineLevel="1">
      <c r="C726" s="828">
        <v>700</v>
      </c>
      <c r="D726" s="829"/>
      <c r="E726" s="830"/>
      <c r="F726" s="830"/>
      <c r="G726" s="1049"/>
      <c r="H726" s="831"/>
      <c r="I726" s="832"/>
      <c r="L726" s="816">
        <f t="shared" si="39"/>
        <v>0</v>
      </c>
      <c r="M726" s="833">
        <f t="shared" si="40"/>
        <v>0</v>
      </c>
      <c r="N726" s="834"/>
      <c r="O726" s="835">
        <f t="shared" si="41"/>
        <v>0</v>
      </c>
      <c r="P726" s="827">
        <f t="shared" si="42"/>
        <v>0</v>
      </c>
      <c r="AD726" s="810"/>
    </row>
    <row r="727" spans="3:30" ht="30" hidden="1" customHeight="1" outlineLevel="1">
      <c r="C727" s="828">
        <v>701</v>
      </c>
      <c r="D727" s="829"/>
      <c r="E727" s="830"/>
      <c r="F727" s="830"/>
      <c r="G727" s="1049"/>
      <c r="H727" s="831"/>
      <c r="I727" s="832"/>
      <c r="L727" s="816">
        <f t="shared" si="39"/>
        <v>0</v>
      </c>
      <c r="M727" s="833">
        <f t="shared" si="40"/>
        <v>0</v>
      </c>
      <c r="N727" s="834"/>
      <c r="O727" s="835">
        <f t="shared" si="41"/>
        <v>0</v>
      </c>
      <c r="P727" s="827">
        <f t="shared" si="42"/>
        <v>0</v>
      </c>
      <c r="AD727" s="810"/>
    </row>
    <row r="728" spans="3:30" ht="30" hidden="1" customHeight="1" outlineLevel="1">
      <c r="C728" s="828">
        <v>702</v>
      </c>
      <c r="D728" s="829"/>
      <c r="E728" s="830"/>
      <c r="F728" s="830"/>
      <c r="G728" s="1049"/>
      <c r="H728" s="831"/>
      <c r="I728" s="832"/>
      <c r="L728" s="816">
        <f t="shared" si="39"/>
        <v>0</v>
      </c>
      <c r="M728" s="833">
        <f t="shared" si="40"/>
        <v>0</v>
      </c>
      <c r="N728" s="834"/>
      <c r="O728" s="835">
        <f t="shared" si="41"/>
        <v>0</v>
      </c>
      <c r="P728" s="827">
        <f t="shared" si="42"/>
        <v>0</v>
      </c>
      <c r="AD728" s="810"/>
    </row>
    <row r="729" spans="3:30" ht="30" hidden="1" customHeight="1" outlineLevel="1">
      <c r="C729" s="828">
        <v>703</v>
      </c>
      <c r="D729" s="829"/>
      <c r="E729" s="830"/>
      <c r="F729" s="830"/>
      <c r="G729" s="1049"/>
      <c r="H729" s="831"/>
      <c r="I729" s="832"/>
      <c r="L729" s="816">
        <f t="shared" si="39"/>
        <v>0</v>
      </c>
      <c r="M729" s="833">
        <f t="shared" si="40"/>
        <v>0</v>
      </c>
      <c r="N729" s="834"/>
      <c r="O729" s="835">
        <f t="shared" si="41"/>
        <v>0</v>
      </c>
      <c r="P729" s="827">
        <f t="shared" si="42"/>
        <v>0</v>
      </c>
      <c r="AD729" s="810"/>
    </row>
    <row r="730" spans="3:30" ht="30" hidden="1" customHeight="1" outlineLevel="1">
      <c r="C730" s="828">
        <v>704</v>
      </c>
      <c r="D730" s="829"/>
      <c r="E730" s="830"/>
      <c r="F730" s="830"/>
      <c r="G730" s="1049"/>
      <c r="H730" s="831"/>
      <c r="I730" s="832"/>
      <c r="L730" s="816">
        <f t="shared" si="39"/>
        <v>0</v>
      </c>
      <c r="M730" s="833">
        <f t="shared" si="40"/>
        <v>0</v>
      </c>
      <c r="N730" s="834"/>
      <c r="O730" s="835">
        <f t="shared" si="41"/>
        <v>0</v>
      </c>
      <c r="P730" s="827">
        <f t="shared" si="42"/>
        <v>0</v>
      </c>
      <c r="AD730" s="810"/>
    </row>
    <row r="731" spans="3:30" ht="30" hidden="1" customHeight="1" outlineLevel="1">
      <c r="C731" s="828">
        <v>705</v>
      </c>
      <c r="D731" s="829"/>
      <c r="E731" s="830"/>
      <c r="F731" s="830"/>
      <c r="G731" s="1049"/>
      <c r="H731" s="831"/>
      <c r="I731" s="832"/>
      <c r="L731" s="816">
        <f t="shared" si="39"/>
        <v>0</v>
      </c>
      <c r="M731" s="833">
        <f t="shared" si="40"/>
        <v>0</v>
      </c>
      <c r="N731" s="834"/>
      <c r="O731" s="835">
        <f t="shared" si="41"/>
        <v>0</v>
      </c>
      <c r="P731" s="827">
        <f t="shared" si="42"/>
        <v>0</v>
      </c>
      <c r="AD731" s="810"/>
    </row>
    <row r="732" spans="3:30" ht="30" hidden="1" customHeight="1" outlineLevel="1">
      <c r="C732" s="828">
        <v>706</v>
      </c>
      <c r="D732" s="829"/>
      <c r="E732" s="830"/>
      <c r="F732" s="830"/>
      <c r="G732" s="1049"/>
      <c r="H732" s="831"/>
      <c r="I732" s="832"/>
      <c r="L732" s="816">
        <f t="shared" si="39"/>
        <v>0</v>
      </c>
      <c r="M732" s="833">
        <f t="shared" si="40"/>
        <v>0</v>
      </c>
      <c r="N732" s="834"/>
      <c r="O732" s="835">
        <f t="shared" si="41"/>
        <v>0</v>
      </c>
      <c r="P732" s="827">
        <f t="shared" si="42"/>
        <v>0</v>
      </c>
      <c r="AD732" s="810"/>
    </row>
    <row r="733" spans="3:30" ht="30" hidden="1" customHeight="1" outlineLevel="1">
      <c r="C733" s="828">
        <v>707</v>
      </c>
      <c r="D733" s="829"/>
      <c r="E733" s="830"/>
      <c r="F733" s="830"/>
      <c r="G733" s="1049"/>
      <c r="H733" s="831"/>
      <c r="I733" s="832"/>
      <c r="L733" s="816">
        <f t="shared" si="39"/>
        <v>0</v>
      </c>
      <c r="M733" s="833">
        <f t="shared" si="40"/>
        <v>0</v>
      </c>
      <c r="N733" s="834"/>
      <c r="O733" s="835">
        <f t="shared" si="41"/>
        <v>0</v>
      </c>
      <c r="P733" s="827">
        <f t="shared" si="42"/>
        <v>0</v>
      </c>
      <c r="AD733" s="810"/>
    </row>
    <row r="734" spans="3:30" ht="30" hidden="1" customHeight="1" outlineLevel="1">
      <c r="C734" s="828">
        <v>708</v>
      </c>
      <c r="D734" s="829"/>
      <c r="E734" s="830"/>
      <c r="F734" s="830"/>
      <c r="G734" s="1049"/>
      <c r="H734" s="831"/>
      <c r="I734" s="832"/>
      <c r="L734" s="816">
        <f t="shared" si="39"/>
        <v>0</v>
      </c>
      <c r="M734" s="833">
        <f t="shared" si="40"/>
        <v>0</v>
      </c>
      <c r="N734" s="834"/>
      <c r="O734" s="835">
        <f t="shared" si="41"/>
        <v>0</v>
      </c>
      <c r="P734" s="827">
        <f t="shared" si="42"/>
        <v>0</v>
      </c>
      <c r="AD734" s="810"/>
    </row>
    <row r="735" spans="3:30" ht="30" hidden="1" customHeight="1" outlineLevel="1">
      <c r="C735" s="828">
        <v>709</v>
      </c>
      <c r="D735" s="829"/>
      <c r="E735" s="830"/>
      <c r="F735" s="830"/>
      <c r="G735" s="1049"/>
      <c r="H735" s="831"/>
      <c r="I735" s="832"/>
      <c r="L735" s="816">
        <f t="shared" si="39"/>
        <v>0</v>
      </c>
      <c r="M735" s="833">
        <f t="shared" si="40"/>
        <v>0</v>
      </c>
      <c r="N735" s="834"/>
      <c r="O735" s="835">
        <f t="shared" si="41"/>
        <v>0</v>
      </c>
      <c r="P735" s="827">
        <f t="shared" si="42"/>
        <v>0</v>
      </c>
      <c r="AD735" s="810"/>
    </row>
    <row r="736" spans="3:30" ht="30" hidden="1" customHeight="1" outlineLevel="1">
      <c r="C736" s="828">
        <v>710</v>
      </c>
      <c r="D736" s="829"/>
      <c r="E736" s="830"/>
      <c r="F736" s="830"/>
      <c r="G736" s="1049"/>
      <c r="H736" s="831"/>
      <c r="I736" s="832"/>
      <c r="L736" s="816">
        <f t="shared" si="39"/>
        <v>0</v>
      </c>
      <c r="M736" s="833">
        <f t="shared" si="40"/>
        <v>0</v>
      </c>
      <c r="N736" s="834"/>
      <c r="O736" s="835">
        <f t="shared" si="41"/>
        <v>0</v>
      </c>
      <c r="P736" s="827">
        <f t="shared" si="42"/>
        <v>0</v>
      </c>
      <c r="AD736" s="810"/>
    </row>
    <row r="737" spans="3:30" ht="30" hidden="1" customHeight="1" outlineLevel="1">
      <c r="C737" s="828">
        <v>711</v>
      </c>
      <c r="D737" s="829"/>
      <c r="E737" s="830"/>
      <c r="F737" s="830"/>
      <c r="G737" s="1049"/>
      <c r="H737" s="831"/>
      <c r="I737" s="832"/>
      <c r="L737" s="816">
        <f t="shared" si="39"/>
        <v>0</v>
      </c>
      <c r="M737" s="833">
        <f t="shared" si="40"/>
        <v>0</v>
      </c>
      <c r="N737" s="834"/>
      <c r="O737" s="835">
        <f t="shared" si="41"/>
        <v>0</v>
      </c>
      <c r="P737" s="827">
        <f t="shared" si="42"/>
        <v>0</v>
      </c>
      <c r="AD737" s="810"/>
    </row>
    <row r="738" spans="3:30" ht="30" hidden="1" customHeight="1" outlineLevel="1">
      <c r="C738" s="828">
        <v>712</v>
      </c>
      <c r="D738" s="829"/>
      <c r="E738" s="830"/>
      <c r="F738" s="830"/>
      <c r="G738" s="1049"/>
      <c r="H738" s="831"/>
      <c r="I738" s="832"/>
      <c r="L738" s="816">
        <f t="shared" si="39"/>
        <v>0</v>
      </c>
      <c r="M738" s="833">
        <f t="shared" si="40"/>
        <v>0</v>
      </c>
      <c r="N738" s="834"/>
      <c r="O738" s="835">
        <f t="shared" si="41"/>
        <v>0</v>
      </c>
      <c r="P738" s="827">
        <f t="shared" si="42"/>
        <v>0</v>
      </c>
      <c r="AD738" s="810"/>
    </row>
    <row r="739" spans="3:30" ht="30" hidden="1" customHeight="1" outlineLevel="1">
      <c r="C739" s="828">
        <v>713</v>
      </c>
      <c r="D739" s="829"/>
      <c r="E739" s="830"/>
      <c r="F739" s="830"/>
      <c r="G739" s="1049"/>
      <c r="H739" s="831"/>
      <c r="I739" s="832"/>
      <c r="L739" s="816">
        <f t="shared" si="39"/>
        <v>0</v>
      </c>
      <c r="M739" s="833">
        <f t="shared" si="40"/>
        <v>0</v>
      </c>
      <c r="N739" s="834"/>
      <c r="O739" s="835">
        <f t="shared" si="41"/>
        <v>0</v>
      </c>
      <c r="P739" s="827">
        <f t="shared" si="42"/>
        <v>0</v>
      </c>
      <c r="AD739" s="810"/>
    </row>
    <row r="740" spans="3:30" ht="30" hidden="1" customHeight="1" outlineLevel="1">
      <c r="C740" s="828">
        <v>714</v>
      </c>
      <c r="D740" s="829"/>
      <c r="E740" s="830"/>
      <c r="F740" s="830"/>
      <c r="G740" s="1049"/>
      <c r="H740" s="831"/>
      <c r="I740" s="832"/>
      <c r="L740" s="816">
        <f t="shared" si="39"/>
        <v>0</v>
      </c>
      <c r="M740" s="833">
        <f t="shared" si="40"/>
        <v>0</v>
      </c>
      <c r="N740" s="834"/>
      <c r="O740" s="835">
        <f t="shared" si="41"/>
        <v>0</v>
      </c>
      <c r="P740" s="827">
        <f t="shared" si="42"/>
        <v>0</v>
      </c>
      <c r="AD740" s="810"/>
    </row>
    <row r="741" spans="3:30" ht="30" hidden="1" customHeight="1" outlineLevel="1">
      <c r="C741" s="828">
        <v>715</v>
      </c>
      <c r="D741" s="829"/>
      <c r="E741" s="830"/>
      <c r="F741" s="830"/>
      <c r="G741" s="1049"/>
      <c r="H741" s="831"/>
      <c r="I741" s="832"/>
      <c r="L741" s="816">
        <f t="shared" si="39"/>
        <v>0</v>
      </c>
      <c r="M741" s="833">
        <f t="shared" si="40"/>
        <v>0</v>
      </c>
      <c r="N741" s="834"/>
      <c r="O741" s="835">
        <f t="shared" si="41"/>
        <v>0</v>
      </c>
      <c r="P741" s="827">
        <f t="shared" si="42"/>
        <v>0</v>
      </c>
      <c r="AD741" s="810"/>
    </row>
    <row r="742" spans="3:30" ht="30" hidden="1" customHeight="1" outlineLevel="1">
      <c r="C742" s="828">
        <v>716</v>
      </c>
      <c r="D742" s="829"/>
      <c r="E742" s="830"/>
      <c r="F742" s="830"/>
      <c r="G742" s="1049"/>
      <c r="H742" s="831"/>
      <c r="I742" s="832"/>
      <c r="L742" s="816">
        <f t="shared" si="39"/>
        <v>0</v>
      </c>
      <c r="M742" s="833">
        <f t="shared" si="40"/>
        <v>0</v>
      </c>
      <c r="N742" s="834"/>
      <c r="O742" s="835">
        <f t="shared" si="41"/>
        <v>0</v>
      </c>
      <c r="P742" s="827">
        <f t="shared" si="42"/>
        <v>0</v>
      </c>
      <c r="AD742" s="810"/>
    </row>
    <row r="743" spans="3:30" ht="30" hidden="1" customHeight="1" outlineLevel="1">
      <c r="C743" s="828">
        <v>717</v>
      </c>
      <c r="D743" s="829"/>
      <c r="E743" s="830"/>
      <c r="F743" s="830"/>
      <c r="G743" s="1049"/>
      <c r="H743" s="831"/>
      <c r="I743" s="832"/>
      <c r="L743" s="816">
        <f t="shared" si="39"/>
        <v>0</v>
      </c>
      <c r="M743" s="833">
        <f t="shared" si="40"/>
        <v>0</v>
      </c>
      <c r="N743" s="834"/>
      <c r="O743" s="835">
        <f t="shared" si="41"/>
        <v>0</v>
      </c>
      <c r="P743" s="827">
        <f t="shared" si="42"/>
        <v>0</v>
      </c>
      <c r="AD743" s="810"/>
    </row>
    <row r="744" spans="3:30" ht="30" hidden="1" customHeight="1" outlineLevel="1">
      <c r="C744" s="828">
        <v>718</v>
      </c>
      <c r="D744" s="829"/>
      <c r="E744" s="830"/>
      <c r="F744" s="830"/>
      <c r="G744" s="1049"/>
      <c r="H744" s="831"/>
      <c r="I744" s="832"/>
      <c r="L744" s="816">
        <f t="shared" si="39"/>
        <v>0</v>
      </c>
      <c r="M744" s="833">
        <f t="shared" si="40"/>
        <v>0</v>
      </c>
      <c r="N744" s="834"/>
      <c r="O744" s="835">
        <f t="shared" si="41"/>
        <v>0</v>
      </c>
      <c r="P744" s="827">
        <f t="shared" si="42"/>
        <v>0</v>
      </c>
      <c r="AD744" s="810"/>
    </row>
    <row r="745" spans="3:30" ht="30" hidden="1" customHeight="1" outlineLevel="1">
      <c r="C745" s="828">
        <v>719</v>
      </c>
      <c r="D745" s="829"/>
      <c r="E745" s="830"/>
      <c r="F745" s="830"/>
      <c r="G745" s="1049"/>
      <c r="H745" s="831"/>
      <c r="I745" s="832"/>
      <c r="L745" s="816">
        <f t="shared" si="39"/>
        <v>0</v>
      </c>
      <c r="M745" s="833">
        <f t="shared" si="40"/>
        <v>0</v>
      </c>
      <c r="N745" s="834"/>
      <c r="O745" s="835">
        <f t="shared" si="41"/>
        <v>0</v>
      </c>
      <c r="P745" s="827">
        <f t="shared" si="42"/>
        <v>0</v>
      </c>
      <c r="AD745" s="810"/>
    </row>
    <row r="746" spans="3:30" ht="30" hidden="1" customHeight="1" outlineLevel="1">
      <c r="C746" s="828">
        <v>720</v>
      </c>
      <c r="D746" s="829"/>
      <c r="E746" s="830"/>
      <c r="F746" s="830"/>
      <c r="G746" s="1049"/>
      <c r="H746" s="831"/>
      <c r="I746" s="832"/>
      <c r="L746" s="816">
        <f t="shared" si="39"/>
        <v>0</v>
      </c>
      <c r="M746" s="833">
        <f t="shared" si="40"/>
        <v>0</v>
      </c>
      <c r="N746" s="834"/>
      <c r="O746" s="835">
        <f t="shared" si="41"/>
        <v>0</v>
      </c>
      <c r="P746" s="827">
        <f t="shared" si="42"/>
        <v>0</v>
      </c>
      <c r="AD746" s="810"/>
    </row>
    <row r="747" spans="3:30" ht="30" hidden="1" customHeight="1" outlineLevel="1">
      <c r="C747" s="828">
        <v>721</v>
      </c>
      <c r="D747" s="829"/>
      <c r="E747" s="830"/>
      <c r="F747" s="830"/>
      <c r="G747" s="1049"/>
      <c r="H747" s="831"/>
      <c r="I747" s="832"/>
      <c r="L747" s="816">
        <f t="shared" si="39"/>
        <v>0</v>
      </c>
      <c r="M747" s="833">
        <f t="shared" si="40"/>
        <v>0</v>
      </c>
      <c r="N747" s="834"/>
      <c r="O747" s="835">
        <f t="shared" si="41"/>
        <v>0</v>
      </c>
      <c r="P747" s="827">
        <f t="shared" si="42"/>
        <v>0</v>
      </c>
      <c r="AD747" s="810"/>
    </row>
    <row r="748" spans="3:30" ht="30" hidden="1" customHeight="1" outlineLevel="1">
      <c r="C748" s="828">
        <v>722</v>
      </c>
      <c r="D748" s="829"/>
      <c r="E748" s="830"/>
      <c r="F748" s="830"/>
      <c r="G748" s="1049"/>
      <c r="H748" s="831"/>
      <c r="I748" s="832"/>
      <c r="L748" s="816">
        <f t="shared" si="39"/>
        <v>0</v>
      </c>
      <c r="M748" s="833">
        <f t="shared" si="40"/>
        <v>0</v>
      </c>
      <c r="N748" s="834"/>
      <c r="O748" s="835">
        <f t="shared" si="41"/>
        <v>0</v>
      </c>
      <c r="P748" s="827">
        <f t="shared" si="42"/>
        <v>0</v>
      </c>
      <c r="AD748" s="810"/>
    </row>
    <row r="749" spans="3:30" ht="30" hidden="1" customHeight="1" outlineLevel="1">
      <c r="C749" s="828">
        <v>723</v>
      </c>
      <c r="D749" s="829"/>
      <c r="E749" s="830"/>
      <c r="F749" s="830"/>
      <c r="G749" s="1049"/>
      <c r="H749" s="831"/>
      <c r="I749" s="832"/>
      <c r="L749" s="816">
        <f t="shared" si="39"/>
        <v>0</v>
      </c>
      <c r="M749" s="833">
        <f t="shared" si="40"/>
        <v>0</v>
      </c>
      <c r="N749" s="834"/>
      <c r="O749" s="835">
        <f t="shared" si="41"/>
        <v>0</v>
      </c>
      <c r="P749" s="827">
        <f t="shared" si="42"/>
        <v>0</v>
      </c>
      <c r="AD749" s="810"/>
    </row>
    <row r="750" spans="3:30" ht="30" hidden="1" customHeight="1" outlineLevel="1">
      <c r="C750" s="828">
        <v>724</v>
      </c>
      <c r="D750" s="829"/>
      <c r="E750" s="830"/>
      <c r="F750" s="830"/>
      <c r="G750" s="1049"/>
      <c r="H750" s="831"/>
      <c r="I750" s="832"/>
      <c r="L750" s="816">
        <f t="shared" si="39"/>
        <v>0</v>
      </c>
      <c r="M750" s="833">
        <f t="shared" si="40"/>
        <v>0</v>
      </c>
      <c r="N750" s="834"/>
      <c r="O750" s="835">
        <f t="shared" si="41"/>
        <v>0</v>
      </c>
      <c r="P750" s="827">
        <f t="shared" si="42"/>
        <v>0</v>
      </c>
      <c r="AD750" s="810"/>
    </row>
    <row r="751" spans="3:30" ht="30" hidden="1" customHeight="1" outlineLevel="1">
      <c r="C751" s="828">
        <v>725</v>
      </c>
      <c r="D751" s="829"/>
      <c r="E751" s="830"/>
      <c r="F751" s="830"/>
      <c r="G751" s="1049"/>
      <c r="H751" s="831"/>
      <c r="I751" s="832"/>
      <c r="L751" s="816">
        <f t="shared" si="39"/>
        <v>0</v>
      </c>
      <c r="M751" s="833">
        <f t="shared" si="40"/>
        <v>0</v>
      </c>
      <c r="N751" s="834"/>
      <c r="O751" s="835">
        <f t="shared" si="41"/>
        <v>0</v>
      </c>
      <c r="P751" s="827">
        <f t="shared" si="42"/>
        <v>0</v>
      </c>
      <c r="AD751" s="810"/>
    </row>
    <row r="752" spans="3:30" ht="30" hidden="1" customHeight="1" outlineLevel="1">
      <c r="C752" s="828">
        <v>726</v>
      </c>
      <c r="D752" s="829"/>
      <c r="E752" s="830"/>
      <c r="F752" s="830"/>
      <c r="G752" s="1049"/>
      <c r="H752" s="831"/>
      <c r="I752" s="832"/>
      <c r="L752" s="816">
        <f t="shared" ref="L752:L815" si="43">IF($G752&gt;0,E752,)</f>
        <v>0</v>
      </c>
      <c r="M752" s="833">
        <f t="shared" ref="M752:M815" si="44">IF($G752&gt;0,F752,)</f>
        <v>0</v>
      </c>
      <c r="N752" s="834"/>
      <c r="O752" s="835">
        <f t="shared" ref="O752:O815" si="45">ROUND(L752*N752/10,)</f>
        <v>0</v>
      </c>
      <c r="P752" s="827">
        <f t="shared" ref="P752:P815" si="46">ROUND(O752*G752%,)</f>
        <v>0</v>
      </c>
      <c r="AD752" s="810"/>
    </row>
    <row r="753" spans="3:30" ht="30" hidden="1" customHeight="1" outlineLevel="1">
      <c r="C753" s="828">
        <v>727</v>
      </c>
      <c r="D753" s="829"/>
      <c r="E753" s="830"/>
      <c r="F753" s="830"/>
      <c r="G753" s="1049"/>
      <c r="H753" s="831"/>
      <c r="I753" s="832"/>
      <c r="L753" s="816">
        <f t="shared" si="43"/>
        <v>0</v>
      </c>
      <c r="M753" s="833">
        <f t="shared" si="44"/>
        <v>0</v>
      </c>
      <c r="N753" s="834"/>
      <c r="O753" s="835">
        <f t="shared" si="45"/>
        <v>0</v>
      </c>
      <c r="P753" s="827">
        <f t="shared" si="46"/>
        <v>0</v>
      </c>
      <c r="AD753" s="810"/>
    </row>
    <row r="754" spans="3:30" ht="30" hidden="1" customHeight="1" outlineLevel="1">
      <c r="C754" s="828">
        <v>728</v>
      </c>
      <c r="D754" s="829"/>
      <c r="E754" s="830"/>
      <c r="F754" s="830"/>
      <c r="G754" s="1049"/>
      <c r="H754" s="831"/>
      <c r="I754" s="832"/>
      <c r="L754" s="816">
        <f t="shared" si="43"/>
        <v>0</v>
      </c>
      <c r="M754" s="833">
        <f t="shared" si="44"/>
        <v>0</v>
      </c>
      <c r="N754" s="834"/>
      <c r="O754" s="835">
        <f t="shared" si="45"/>
        <v>0</v>
      </c>
      <c r="P754" s="827">
        <f t="shared" si="46"/>
        <v>0</v>
      </c>
      <c r="AD754" s="810"/>
    </row>
    <row r="755" spans="3:30" ht="30" hidden="1" customHeight="1" outlineLevel="1">
      <c r="C755" s="828">
        <v>729</v>
      </c>
      <c r="D755" s="829"/>
      <c r="E755" s="830"/>
      <c r="F755" s="830"/>
      <c r="G755" s="1049"/>
      <c r="H755" s="831"/>
      <c r="I755" s="832"/>
      <c r="L755" s="816">
        <f t="shared" si="43"/>
        <v>0</v>
      </c>
      <c r="M755" s="833">
        <f t="shared" si="44"/>
        <v>0</v>
      </c>
      <c r="N755" s="834"/>
      <c r="O755" s="835">
        <f t="shared" si="45"/>
        <v>0</v>
      </c>
      <c r="P755" s="827">
        <f t="shared" si="46"/>
        <v>0</v>
      </c>
      <c r="AD755" s="810"/>
    </row>
    <row r="756" spans="3:30" ht="30" hidden="1" customHeight="1" outlineLevel="1">
      <c r="C756" s="828">
        <v>730</v>
      </c>
      <c r="D756" s="829"/>
      <c r="E756" s="830"/>
      <c r="F756" s="830"/>
      <c r="G756" s="1049"/>
      <c r="H756" s="831"/>
      <c r="I756" s="832"/>
      <c r="L756" s="816">
        <f t="shared" si="43"/>
        <v>0</v>
      </c>
      <c r="M756" s="833">
        <f t="shared" si="44"/>
        <v>0</v>
      </c>
      <c r="N756" s="834"/>
      <c r="O756" s="835">
        <f t="shared" si="45"/>
        <v>0</v>
      </c>
      <c r="P756" s="827">
        <f t="shared" si="46"/>
        <v>0</v>
      </c>
      <c r="AD756" s="810"/>
    </row>
    <row r="757" spans="3:30" ht="30" hidden="1" customHeight="1" outlineLevel="1">
      <c r="C757" s="828">
        <v>731</v>
      </c>
      <c r="D757" s="829"/>
      <c r="E757" s="830"/>
      <c r="F757" s="830"/>
      <c r="G757" s="1049"/>
      <c r="H757" s="831"/>
      <c r="I757" s="832"/>
      <c r="L757" s="816">
        <f t="shared" si="43"/>
        <v>0</v>
      </c>
      <c r="M757" s="833">
        <f t="shared" si="44"/>
        <v>0</v>
      </c>
      <c r="N757" s="834"/>
      <c r="O757" s="835">
        <f t="shared" si="45"/>
        <v>0</v>
      </c>
      <c r="P757" s="827">
        <f t="shared" si="46"/>
        <v>0</v>
      </c>
      <c r="AD757" s="810"/>
    </row>
    <row r="758" spans="3:30" ht="30" hidden="1" customHeight="1" outlineLevel="1">
      <c r="C758" s="828">
        <v>732</v>
      </c>
      <c r="D758" s="829"/>
      <c r="E758" s="830"/>
      <c r="F758" s="830"/>
      <c r="G758" s="1049"/>
      <c r="H758" s="831"/>
      <c r="I758" s="832"/>
      <c r="L758" s="816">
        <f t="shared" si="43"/>
        <v>0</v>
      </c>
      <c r="M758" s="833">
        <f t="shared" si="44"/>
        <v>0</v>
      </c>
      <c r="N758" s="834"/>
      <c r="O758" s="835">
        <f t="shared" si="45"/>
        <v>0</v>
      </c>
      <c r="P758" s="827">
        <f t="shared" si="46"/>
        <v>0</v>
      </c>
      <c r="AD758" s="810"/>
    </row>
    <row r="759" spans="3:30" ht="30" hidden="1" customHeight="1" outlineLevel="1">
      <c r="C759" s="828">
        <v>733</v>
      </c>
      <c r="D759" s="829"/>
      <c r="E759" s="830"/>
      <c r="F759" s="830"/>
      <c r="G759" s="1049"/>
      <c r="H759" s="831"/>
      <c r="I759" s="832"/>
      <c r="L759" s="816">
        <f t="shared" si="43"/>
        <v>0</v>
      </c>
      <c r="M759" s="833">
        <f t="shared" si="44"/>
        <v>0</v>
      </c>
      <c r="N759" s="834"/>
      <c r="O759" s="835">
        <f t="shared" si="45"/>
        <v>0</v>
      </c>
      <c r="P759" s="827">
        <f t="shared" si="46"/>
        <v>0</v>
      </c>
      <c r="AD759" s="810"/>
    </row>
    <row r="760" spans="3:30" ht="30" hidden="1" customHeight="1" outlineLevel="1">
      <c r="C760" s="828">
        <v>734</v>
      </c>
      <c r="D760" s="829"/>
      <c r="E760" s="830"/>
      <c r="F760" s="830"/>
      <c r="G760" s="1049"/>
      <c r="H760" s="831"/>
      <c r="I760" s="832"/>
      <c r="L760" s="816">
        <f t="shared" si="43"/>
        <v>0</v>
      </c>
      <c r="M760" s="833">
        <f t="shared" si="44"/>
        <v>0</v>
      </c>
      <c r="N760" s="834"/>
      <c r="O760" s="835">
        <f t="shared" si="45"/>
        <v>0</v>
      </c>
      <c r="P760" s="827">
        <f t="shared" si="46"/>
        <v>0</v>
      </c>
      <c r="AD760" s="810"/>
    </row>
    <row r="761" spans="3:30" ht="30" hidden="1" customHeight="1" outlineLevel="1">
      <c r="C761" s="828">
        <v>735</v>
      </c>
      <c r="D761" s="829"/>
      <c r="E761" s="830"/>
      <c r="F761" s="830"/>
      <c r="G761" s="1049"/>
      <c r="H761" s="831"/>
      <c r="I761" s="832"/>
      <c r="L761" s="816">
        <f t="shared" si="43"/>
        <v>0</v>
      </c>
      <c r="M761" s="833">
        <f t="shared" si="44"/>
        <v>0</v>
      </c>
      <c r="N761" s="834"/>
      <c r="O761" s="835">
        <f t="shared" si="45"/>
        <v>0</v>
      </c>
      <c r="P761" s="827">
        <f t="shared" si="46"/>
        <v>0</v>
      </c>
      <c r="AD761" s="810"/>
    </row>
    <row r="762" spans="3:30" ht="30" hidden="1" customHeight="1" outlineLevel="1">
      <c r="C762" s="828">
        <v>736</v>
      </c>
      <c r="D762" s="829"/>
      <c r="E762" s="830"/>
      <c r="F762" s="830"/>
      <c r="G762" s="1049"/>
      <c r="H762" s="831"/>
      <c r="I762" s="832"/>
      <c r="L762" s="816">
        <f t="shared" si="43"/>
        <v>0</v>
      </c>
      <c r="M762" s="833">
        <f t="shared" si="44"/>
        <v>0</v>
      </c>
      <c r="N762" s="834"/>
      <c r="O762" s="835">
        <f t="shared" si="45"/>
        <v>0</v>
      </c>
      <c r="P762" s="827">
        <f t="shared" si="46"/>
        <v>0</v>
      </c>
      <c r="AD762" s="810"/>
    </row>
    <row r="763" spans="3:30" ht="30" hidden="1" customHeight="1" outlineLevel="1">
      <c r="C763" s="828">
        <v>737</v>
      </c>
      <c r="D763" s="829"/>
      <c r="E763" s="830"/>
      <c r="F763" s="830"/>
      <c r="G763" s="1049"/>
      <c r="H763" s="831"/>
      <c r="I763" s="832"/>
      <c r="L763" s="816">
        <f t="shared" si="43"/>
        <v>0</v>
      </c>
      <c r="M763" s="833">
        <f t="shared" si="44"/>
        <v>0</v>
      </c>
      <c r="N763" s="834"/>
      <c r="O763" s="835">
        <f t="shared" si="45"/>
        <v>0</v>
      </c>
      <c r="P763" s="827">
        <f t="shared" si="46"/>
        <v>0</v>
      </c>
      <c r="AD763" s="810"/>
    </row>
    <row r="764" spans="3:30" ht="30" hidden="1" customHeight="1" outlineLevel="1">
      <c r="C764" s="828">
        <v>738</v>
      </c>
      <c r="D764" s="829"/>
      <c r="E764" s="830"/>
      <c r="F764" s="830"/>
      <c r="G764" s="1049"/>
      <c r="H764" s="831"/>
      <c r="I764" s="832"/>
      <c r="L764" s="816">
        <f t="shared" si="43"/>
        <v>0</v>
      </c>
      <c r="M764" s="833">
        <f t="shared" si="44"/>
        <v>0</v>
      </c>
      <c r="N764" s="834"/>
      <c r="O764" s="835">
        <f t="shared" si="45"/>
        <v>0</v>
      </c>
      <c r="P764" s="827">
        <f t="shared" si="46"/>
        <v>0</v>
      </c>
      <c r="AD764" s="810"/>
    </row>
    <row r="765" spans="3:30" ht="30" hidden="1" customHeight="1" outlineLevel="1">
      <c r="C765" s="828">
        <v>739</v>
      </c>
      <c r="D765" s="829"/>
      <c r="E765" s="830"/>
      <c r="F765" s="830"/>
      <c r="G765" s="1049"/>
      <c r="H765" s="831"/>
      <c r="I765" s="832"/>
      <c r="L765" s="816">
        <f t="shared" si="43"/>
        <v>0</v>
      </c>
      <c r="M765" s="833">
        <f t="shared" si="44"/>
        <v>0</v>
      </c>
      <c r="N765" s="834"/>
      <c r="O765" s="835">
        <f t="shared" si="45"/>
        <v>0</v>
      </c>
      <c r="P765" s="827">
        <f t="shared" si="46"/>
        <v>0</v>
      </c>
      <c r="AD765" s="810"/>
    </row>
    <row r="766" spans="3:30" ht="30" hidden="1" customHeight="1" outlineLevel="1">
      <c r="C766" s="828">
        <v>740</v>
      </c>
      <c r="D766" s="829"/>
      <c r="E766" s="830"/>
      <c r="F766" s="830"/>
      <c r="G766" s="1049"/>
      <c r="H766" s="831"/>
      <c r="I766" s="832"/>
      <c r="L766" s="816">
        <f t="shared" si="43"/>
        <v>0</v>
      </c>
      <c r="M766" s="833">
        <f t="shared" si="44"/>
        <v>0</v>
      </c>
      <c r="N766" s="834"/>
      <c r="O766" s="835">
        <f t="shared" si="45"/>
        <v>0</v>
      </c>
      <c r="P766" s="827">
        <f t="shared" si="46"/>
        <v>0</v>
      </c>
      <c r="AD766" s="810"/>
    </row>
    <row r="767" spans="3:30" ht="30" hidden="1" customHeight="1" outlineLevel="1">
      <c r="C767" s="828">
        <v>741</v>
      </c>
      <c r="D767" s="829"/>
      <c r="E767" s="830"/>
      <c r="F767" s="830"/>
      <c r="G767" s="1049"/>
      <c r="H767" s="831"/>
      <c r="I767" s="832"/>
      <c r="L767" s="816">
        <f t="shared" si="43"/>
        <v>0</v>
      </c>
      <c r="M767" s="833">
        <f t="shared" si="44"/>
        <v>0</v>
      </c>
      <c r="N767" s="834"/>
      <c r="O767" s="835">
        <f t="shared" si="45"/>
        <v>0</v>
      </c>
      <c r="P767" s="827">
        <f t="shared" si="46"/>
        <v>0</v>
      </c>
      <c r="AD767" s="810"/>
    </row>
    <row r="768" spans="3:30" ht="30" hidden="1" customHeight="1" outlineLevel="1">
      <c r="C768" s="828">
        <v>742</v>
      </c>
      <c r="D768" s="829"/>
      <c r="E768" s="830"/>
      <c r="F768" s="830"/>
      <c r="G768" s="1049"/>
      <c r="H768" s="831"/>
      <c r="I768" s="832"/>
      <c r="L768" s="816">
        <f t="shared" si="43"/>
        <v>0</v>
      </c>
      <c r="M768" s="833">
        <f t="shared" si="44"/>
        <v>0</v>
      </c>
      <c r="N768" s="834"/>
      <c r="O768" s="835">
        <f t="shared" si="45"/>
        <v>0</v>
      </c>
      <c r="P768" s="827">
        <f t="shared" si="46"/>
        <v>0</v>
      </c>
      <c r="AD768" s="810"/>
    </row>
    <row r="769" spans="3:30" ht="30" hidden="1" customHeight="1" outlineLevel="1">
      <c r="C769" s="828">
        <v>743</v>
      </c>
      <c r="D769" s="829"/>
      <c r="E769" s="830"/>
      <c r="F769" s="830"/>
      <c r="G769" s="1049"/>
      <c r="H769" s="831"/>
      <c r="I769" s="832"/>
      <c r="L769" s="816">
        <f t="shared" si="43"/>
        <v>0</v>
      </c>
      <c r="M769" s="833">
        <f t="shared" si="44"/>
        <v>0</v>
      </c>
      <c r="N769" s="834"/>
      <c r="O769" s="835">
        <f t="shared" si="45"/>
        <v>0</v>
      </c>
      <c r="P769" s="827">
        <f t="shared" si="46"/>
        <v>0</v>
      </c>
      <c r="AD769" s="810"/>
    </row>
    <row r="770" spans="3:30" ht="30" hidden="1" customHeight="1" outlineLevel="1">
      <c r="C770" s="828">
        <v>744</v>
      </c>
      <c r="D770" s="829"/>
      <c r="E770" s="830"/>
      <c r="F770" s="830"/>
      <c r="G770" s="1049"/>
      <c r="H770" s="831"/>
      <c r="I770" s="832"/>
      <c r="L770" s="816">
        <f t="shared" si="43"/>
        <v>0</v>
      </c>
      <c r="M770" s="833">
        <f t="shared" si="44"/>
        <v>0</v>
      </c>
      <c r="N770" s="834"/>
      <c r="O770" s="835">
        <f t="shared" si="45"/>
        <v>0</v>
      </c>
      <c r="P770" s="827">
        <f t="shared" si="46"/>
        <v>0</v>
      </c>
      <c r="AD770" s="810"/>
    </row>
    <row r="771" spans="3:30" ht="30" hidden="1" customHeight="1" outlineLevel="1">
      <c r="C771" s="828">
        <v>745</v>
      </c>
      <c r="D771" s="829"/>
      <c r="E771" s="830"/>
      <c r="F771" s="830"/>
      <c r="G771" s="1049"/>
      <c r="H771" s="831"/>
      <c r="I771" s="832"/>
      <c r="L771" s="816">
        <f t="shared" si="43"/>
        <v>0</v>
      </c>
      <c r="M771" s="833">
        <f t="shared" si="44"/>
        <v>0</v>
      </c>
      <c r="N771" s="834"/>
      <c r="O771" s="835">
        <f t="shared" si="45"/>
        <v>0</v>
      </c>
      <c r="P771" s="827">
        <f t="shared" si="46"/>
        <v>0</v>
      </c>
      <c r="AD771" s="810"/>
    </row>
    <row r="772" spans="3:30" ht="30" hidden="1" customHeight="1" outlineLevel="1">
      <c r="C772" s="828">
        <v>746</v>
      </c>
      <c r="D772" s="829"/>
      <c r="E772" s="830"/>
      <c r="F772" s="830"/>
      <c r="G772" s="1049"/>
      <c r="H772" s="831"/>
      <c r="I772" s="832"/>
      <c r="L772" s="816">
        <f t="shared" si="43"/>
        <v>0</v>
      </c>
      <c r="M772" s="833">
        <f t="shared" si="44"/>
        <v>0</v>
      </c>
      <c r="N772" s="834"/>
      <c r="O772" s="835">
        <f t="shared" si="45"/>
        <v>0</v>
      </c>
      <c r="P772" s="827">
        <f t="shared" si="46"/>
        <v>0</v>
      </c>
      <c r="AD772" s="810"/>
    </row>
    <row r="773" spans="3:30" ht="30" hidden="1" customHeight="1" outlineLevel="1">
      <c r="C773" s="828">
        <v>747</v>
      </c>
      <c r="D773" s="829"/>
      <c r="E773" s="830"/>
      <c r="F773" s="830"/>
      <c r="G773" s="1049"/>
      <c r="H773" s="831"/>
      <c r="I773" s="832"/>
      <c r="L773" s="816">
        <f t="shared" si="43"/>
        <v>0</v>
      </c>
      <c r="M773" s="833">
        <f t="shared" si="44"/>
        <v>0</v>
      </c>
      <c r="N773" s="834"/>
      <c r="O773" s="835">
        <f t="shared" si="45"/>
        <v>0</v>
      </c>
      <c r="P773" s="827">
        <f t="shared" si="46"/>
        <v>0</v>
      </c>
      <c r="AD773" s="810"/>
    </row>
    <row r="774" spans="3:30" ht="30" hidden="1" customHeight="1" outlineLevel="1">
      <c r="C774" s="828">
        <v>748</v>
      </c>
      <c r="D774" s="829"/>
      <c r="E774" s="830"/>
      <c r="F774" s="830"/>
      <c r="G774" s="1049"/>
      <c r="H774" s="831"/>
      <c r="I774" s="832"/>
      <c r="L774" s="816">
        <f t="shared" si="43"/>
        <v>0</v>
      </c>
      <c r="M774" s="833">
        <f t="shared" si="44"/>
        <v>0</v>
      </c>
      <c r="N774" s="834"/>
      <c r="O774" s="835">
        <f t="shared" si="45"/>
        <v>0</v>
      </c>
      <c r="P774" s="827">
        <f t="shared" si="46"/>
        <v>0</v>
      </c>
      <c r="AD774" s="810"/>
    </row>
    <row r="775" spans="3:30" ht="30" hidden="1" customHeight="1" outlineLevel="1">
      <c r="C775" s="828">
        <v>749</v>
      </c>
      <c r="D775" s="829"/>
      <c r="E775" s="830"/>
      <c r="F775" s="830"/>
      <c r="G775" s="1049"/>
      <c r="H775" s="831"/>
      <c r="I775" s="832"/>
      <c r="L775" s="816">
        <f t="shared" si="43"/>
        <v>0</v>
      </c>
      <c r="M775" s="833">
        <f t="shared" si="44"/>
        <v>0</v>
      </c>
      <c r="N775" s="834"/>
      <c r="O775" s="835">
        <f t="shared" si="45"/>
        <v>0</v>
      </c>
      <c r="P775" s="827">
        <f t="shared" si="46"/>
        <v>0</v>
      </c>
      <c r="AD775" s="810"/>
    </row>
    <row r="776" spans="3:30" ht="30" hidden="1" customHeight="1" outlineLevel="1">
      <c r="C776" s="828">
        <v>750</v>
      </c>
      <c r="D776" s="829"/>
      <c r="E776" s="830"/>
      <c r="F776" s="830"/>
      <c r="G776" s="1049"/>
      <c r="H776" s="831"/>
      <c r="I776" s="832"/>
      <c r="L776" s="816">
        <f t="shared" si="43"/>
        <v>0</v>
      </c>
      <c r="M776" s="833">
        <f t="shared" si="44"/>
        <v>0</v>
      </c>
      <c r="N776" s="834"/>
      <c r="O776" s="835">
        <f t="shared" si="45"/>
        <v>0</v>
      </c>
      <c r="P776" s="827">
        <f t="shared" si="46"/>
        <v>0</v>
      </c>
      <c r="AD776" s="810"/>
    </row>
    <row r="777" spans="3:30" ht="30" hidden="1" customHeight="1" outlineLevel="1">
      <c r="C777" s="828">
        <v>751</v>
      </c>
      <c r="D777" s="829"/>
      <c r="E777" s="830"/>
      <c r="F777" s="830"/>
      <c r="G777" s="1049"/>
      <c r="H777" s="831"/>
      <c r="I777" s="832"/>
      <c r="L777" s="816">
        <f t="shared" si="43"/>
        <v>0</v>
      </c>
      <c r="M777" s="833">
        <f t="shared" si="44"/>
        <v>0</v>
      </c>
      <c r="N777" s="834"/>
      <c r="O777" s="835">
        <f t="shared" si="45"/>
        <v>0</v>
      </c>
      <c r="P777" s="827">
        <f t="shared" si="46"/>
        <v>0</v>
      </c>
      <c r="AD777" s="810"/>
    </row>
    <row r="778" spans="3:30" ht="30" hidden="1" customHeight="1" outlineLevel="1">
      <c r="C778" s="828">
        <v>752</v>
      </c>
      <c r="D778" s="829"/>
      <c r="E778" s="830"/>
      <c r="F778" s="830"/>
      <c r="G778" s="1049"/>
      <c r="H778" s="831"/>
      <c r="I778" s="832"/>
      <c r="L778" s="816">
        <f t="shared" si="43"/>
        <v>0</v>
      </c>
      <c r="M778" s="833">
        <f t="shared" si="44"/>
        <v>0</v>
      </c>
      <c r="N778" s="834"/>
      <c r="O778" s="835">
        <f t="shared" si="45"/>
        <v>0</v>
      </c>
      <c r="P778" s="827">
        <f t="shared" si="46"/>
        <v>0</v>
      </c>
      <c r="AD778" s="810"/>
    </row>
    <row r="779" spans="3:30" ht="30" hidden="1" customHeight="1" outlineLevel="1">
      <c r="C779" s="828">
        <v>753</v>
      </c>
      <c r="D779" s="829"/>
      <c r="E779" s="830"/>
      <c r="F779" s="830"/>
      <c r="G779" s="1049"/>
      <c r="H779" s="831"/>
      <c r="I779" s="832"/>
      <c r="L779" s="816">
        <f t="shared" si="43"/>
        <v>0</v>
      </c>
      <c r="M779" s="833">
        <f t="shared" si="44"/>
        <v>0</v>
      </c>
      <c r="N779" s="834"/>
      <c r="O779" s="835">
        <f t="shared" si="45"/>
        <v>0</v>
      </c>
      <c r="P779" s="827">
        <f t="shared" si="46"/>
        <v>0</v>
      </c>
      <c r="AD779" s="810"/>
    </row>
    <row r="780" spans="3:30" ht="30" hidden="1" customHeight="1" outlineLevel="1">
      <c r="C780" s="828">
        <v>754</v>
      </c>
      <c r="D780" s="829"/>
      <c r="E780" s="830"/>
      <c r="F780" s="830"/>
      <c r="G780" s="1049"/>
      <c r="H780" s="831"/>
      <c r="I780" s="832"/>
      <c r="L780" s="816">
        <f t="shared" si="43"/>
        <v>0</v>
      </c>
      <c r="M780" s="833">
        <f t="shared" si="44"/>
        <v>0</v>
      </c>
      <c r="N780" s="834"/>
      <c r="O780" s="835">
        <f t="shared" si="45"/>
        <v>0</v>
      </c>
      <c r="P780" s="827">
        <f t="shared" si="46"/>
        <v>0</v>
      </c>
      <c r="AD780" s="810"/>
    </row>
    <row r="781" spans="3:30" ht="30" hidden="1" customHeight="1" outlineLevel="1">
      <c r="C781" s="828">
        <v>755</v>
      </c>
      <c r="D781" s="829"/>
      <c r="E781" s="830"/>
      <c r="F781" s="830"/>
      <c r="G781" s="1049"/>
      <c r="H781" s="831"/>
      <c r="I781" s="832"/>
      <c r="L781" s="816">
        <f t="shared" si="43"/>
        <v>0</v>
      </c>
      <c r="M781" s="833">
        <f t="shared" si="44"/>
        <v>0</v>
      </c>
      <c r="N781" s="834"/>
      <c r="O781" s="835">
        <f t="shared" si="45"/>
        <v>0</v>
      </c>
      <c r="P781" s="827">
        <f t="shared" si="46"/>
        <v>0</v>
      </c>
      <c r="AD781" s="810"/>
    </row>
    <row r="782" spans="3:30" ht="30" hidden="1" customHeight="1" outlineLevel="1">
      <c r="C782" s="828">
        <v>756</v>
      </c>
      <c r="D782" s="829"/>
      <c r="E782" s="830"/>
      <c r="F782" s="830"/>
      <c r="G782" s="1049"/>
      <c r="H782" s="831"/>
      <c r="I782" s="832"/>
      <c r="L782" s="816">
        <f t="shared" si="43"/>
        <v>0</v>
      </c>
      <c r="M782" s="833">
        <f t="shared" si="44"/>
        <v>0</v>
      </c>
      <c r="N782" s="834"/>
      <c r="O782" s="835">
        <f t="shared" si="45"/>
        <v>0</v>
      </c>
      <c r="P782" s="827">
        <f t="shared" si="46"/>
        <v>0</v>
      </c>
      <c r="AD782" s="810"/>
    </row>
    <row r="783" spans="3:30" ht="30" hidden="1" customHeight="1" outlineLevel="1">
      <c r="C783" s="828">
        <v>757</v>
      </c>
      <c r="D783" s="829"/>
      <c r="E783" s="830"/>
      <c r="F783" s="830"/>
      <c r="G783" s="1049"/>
      <c r="H783" s="831"/>
      <c r="I783" s="832"/>
      <c r="L783" s="816">
        <f t="shared" si="43"/>
        <v>0</v>
      </c>
      <c r="M783" s="833">
        <f t="shared" si="44"/>
        <v>0</v>
      </c>
      <c r="N783" s="834"/>
      <c r="O783" s="835">
        <f t="shared" si="45"/>
        <v>0</v>
      </c>
      <c r="P783" s="827">
        <f t="shared" si="46"/>
        <v>0</v>
      </c>
      <c r="AD783" s="810"/>
    </row>
    <row r="784" spans="3:30" ht="30" hidden="1" customHeight="1" outlineLevel="1">
      <c r="C784" s="828">
        <v>758</v>
      </c>
      <c r="D784" s="829"/>
      <c r="E784" s="830"/>
      <c r="F784" s="830"/>
      <c r="G784" s="1049"/>
      <c r="H784" s="831"/>
      <c r="I784" s="832"/>
      <c r="L784" s="816">
        <f t="shared" si="43"/>
        <v>0</v>
      </c>
      <c r="M784" s="833">
        <f t="shared" si="44"/>
        <v>0</v>
      </c>
      <c r="N784" s="834"/>
      <c r="O784" s="835">
        <f t="shared" si="45"/>
        <v>0</v>
      </c>
      <c r="P784" s="827">
        <f t="shared" si="46"/>
        <v>0</v>
      </c>
      <c r="AD784" s="810"/>
    </row>
    <row r="785" spans="3:30" ht="30" hidden="1" customHeight="1" outlineLevel="1">
      <c r="C785" s="828">
        <v>759</v>
      </c>
      <c r="D785" s="829"/>
      <c r="E785" s="830"/>
      <c r="F785" s="830"/>
      <c r="G785" s="1049"/>
      <c r="H785" s="831"/>
      <c r="I785" s="832"/>
      <c r="L785" s="816">
        <f t="shared" si="43"/>
        <v>0</v>
      </c>
      <c r="M785" s="833">
        <f t="shared" si="44"/>
        <v>0</v>
      </c>
      <c r="N785" s="834"/>
      <c r="O785" s="835">
        <f t="shared" si="45"/>
        <v>0</v>
      </c>
      <c r="P785" s="827">
        <f t="shared" si="46"/>
        <v>0</v>
      </c>
      <c r="AD785" s="810"/>
    </row>
    <row r="786" spans="3:30" ht="30" hidden="1" customHeight="1" outlineLevel="1">
      <c r="C786" s="828">
        <v>760</v>
      </c>
      <c r="D786" s="829"/>
      <c r="E786" s="830"/>
      <c r="F786" s="830"/>
      <c r="G786" s="1049"/>
      <c r="H786" s="831"/>
      <c r="I786" s="832"/>
      <c r="L786" s="816">
        <f t="shared" si="43"/>
        <v>0</v>
      </c>
      <c r="M786" s="833">
        <f t="shared" si="44"/>
        <v>0</v>
      </c>
      <c r="N786" s="834"/>
      <c r="O786" s="835">
        <f t="shared" si="45"/>
        <v>0</v>
      </c>
      <c r="P786" s="827">
        <f t="shared" si="46"/>
        <v>0</v>
      </c>
      <c r="AD786" s="810"/>
    </row>
    <row r="787" spans="3:30" ht="30" hidden="1" customHeight="1" outlineLevel="1">
      <c r="C787" s="828">
        <v>761</v>
      </c>
      <c r="D787" s="829"/>
      <c r="E787" s="830"/>
      <c r="F787" s="830"/>
      <c r="G787" s="1049"/>
      <c r="H787" s="831"/>
      <c r="I787" s="832"/>
      <c r="L787" s="816">
        <f t="shared" si="43"/>
        <v>0</v>
      </c>
      <c r="M787" s="833">
        <f t="shared" si="44"/>
        <v>0</v>
      </c>
      <c r="N787" s="834"/>
      <c r="O787" s="835">
        <f t="shared" si="45"/>
        <v>0</v>
      </c>
      <c r="P787" s="827">
        <f t="shared" si="46"/>
        <v>0</v>
      </c>
      <c r="AD787" s="810"/>
    </row>
    <row r="788" spans="3:30" ht="30" hidden="1" customHeight="1" outlineLevel="1">
      <c r="C788" s="828">
        <v>762</v>
      </c>
      <c r="D788" s="829"/>
      <c r="E788" s="830"/>
      <c r="F788" s="830"/>
      <c r="G788" s="1049"/>
      <c r="H788" s="831"/>
      <c r="I788" s="832"/>
      <c r="L788" s="816">
        <f t="shared" si="43"/>
        <v>0</v>
      </c>
      <c r="M788" s="833">
        <f t="shared" si="44"/>
        <v>0</v>
      </c>
      <c r="N788" s="834"/>
      <c r="O788" s="835">
        <f t="shared" si="45"/>
        <v>0</v>
      </c>
      <c r="P788" s="827">
        <f t="shared" si="46"/>
        <v>0</v>
      </c>
      <c r="AD788" s="810"/>
    </row>
    <row r="789" spans="3:30" ht="30" hidden="1" customHeight="1" outlineLevel="1">
      <c r="C789" s="828">
        <v>763</v>
      </c>
      <c r="D789" s="829"/>
      <c r="E789" s="830"/>
      <c r="F789" s="830"/>
      <c r="G789" s="1049"/>
      <c r="H789" s="831"/>
      <c r="I789" s="832"/>
      <c r="L789" s="816">
        <f t="shared" si="43"/>
        <v>0</v>
      </c>
      <c r="M789" s="833">
        <f t="shared" si="44"/>
        <v>0</v>
      </c>
      <c r="N789" s="834"/>
      <c r="O789" s="835">
        <f t="shared" si="45"/>
        <v>0</v>
      </c>
      <c r="P789" s="827">
        <f t="shared" si="46"/>
        <v>0</v>
      </c>
      <c r="AD789" s="810"/>
    </row>
    <row r="790" spans="3:30" ht="30" hidden="1" customHeight="1" outlineLevel="1">
      <c r="C790" s="828">
        <v>764</v>
      </c>
      <c r="D790" s="829"/>
      <c r="E790" s="830"/>
      <c r="F790" s="830"/>
      <c r="G790" s="1049"/>
      <c r="H790" s="831"/>
      <c r="I790" s="832"/>
      <c r="L790" s="816">
        <f t="shared" si="43"/>
        <v>0</v>
      </c>
      <c r="M790" s="833">
        <f t="shared" si="44"/>
        <v>0</v>
      </c>
      <c r="N790" s="834"/>
      <c r="O790" s="835">
        <f t="shared" si="45"/>
        <v>0</v>
      </c>
      <c r="P790" s="827">
        <f t="shared" si="46"/>
        <v>0</v>
      </c>
      <c r="AD790" s="810"/>
    </row>
    <row r="791" spans="3:30" ht="30" hidden="1" customHeight="1" outlineLevel="1">
      <c r="C791" s="828">
        <v>765</v>
      </c>
      <c r="D791" s="829"/>
      <c r="E791" s="830"/>
      <c r="F791" s="830"/>
      <c r="G791" s="1049"/>
      <c r="H791" s="831"/>
      <c r="I791" s="832"/>
      <c r="L791" s="816">
        <f t="shared" si="43"/>
        <v>0</v>
      </c>
      <c r="M791" s="833">
        <f t="shared" si="44"/>
        <v>0</v>
      </c>
      <c r="N791" s="834"/>
      <c r="O791" s="835">
        <f t="shared" si="45"/>
        <v>0</v>
      </c>
      <c r="P791" s="827">
        <f t="shared" si="46"/>
        <v>0</v>
      </c>
      <c r="AD791" s="810"/>
    </row>
    <row r="792" spans="3:30" ht="30" hidden="1" customHeight="1" outlineLevel="1">
      <c r="C792" s="828">
        <v>766</v>
      </c>
      <c r="D792" s="829"/>
      <c r="E792" s="830"/>
      <c r="F792" s="830"/>
      <c r="G792" s="1049"/>
      <c r="H792" s="831"/>
      <c r="I792" s="832"/>
      <c r="L792" s="816">
        <f t="shared" si="43"/>
        <v>0</v>
      </c>
      <c r="M792" s="833">
        <f t="shared" si="44"/>
        <v>0</v>
      </c>
      <c r="N792" s="834"/>
      <c r="O792" s="835">
        <f t="shared" si="45"/>
        <v>0</v>
      </c>
      <c r="P792" s="827">
        <f t="shared" si="46"/>
        <v>0</v>
      </c>
      <c r="AD792" s="810"/>
    </row>
    <row r="793" spans="3:30" ht="30" hidden="1" customHeight="1" outlineLevel="1">
      <c r="C793" s="828">
        <v>767</v>
      </c>
      <c r="D793" s="829"/>
      <c r="E793" s="830"/>
      <c r="F793" s="830"/>
      <c r="G793" s="1049"/>
      <c r="H793" s="831"/>
      <c r="I793" s="832"/>
      <c r="L793" s="816">
        <f t="shared" si="43"/>
        <v>0</v>
      </c>
      <c r="M793" s="833">
        <f t="shared" si="44"/>
        <v>0</v>
      </c>
      <c r="N793" s="834"/>
      <c r="O793" s="835">
        <f t="shared" si="45"/>
        <v>0</v>
      </c>
      <c r="P793" s="827">
        <f t="shared" si="46"/>
        <v>0</v>
      </c>
      <c r="AD793" s="810"/>
    </row>
    <row r="794" spans="3:30" ht="30" hidden="1" customHeight="1" outlineLevel="1">
      <c r="C794" s="828">
        <v>768</v>
      </c>
      <c r="D794" s="829"/>
      <c r="E794" s="830"/>
      <c r="F794" s="830"/>
      <c r="G794" s="1049"/>
      <c r="H794" s="831"/>
      <c r="I794" s="832"/>
      <c r="L794" s="816">
        <f t="shared" si="43"/>
        <v>0</v>
      </c>
      <c r="M794" s="833">
        <f t="shared" si="44"/>
        <v>0</v>
      </c>
      <c r="N794" s="834"/>
      <c r="O794" s="835">
        <f t="shared" si="45"/>
        <v>0</v>
      </c>
      <c r="P794" s="827">
        <f t="shared" si="46"/>
        <v>0</v>
      </c>
      <c r="AD794" s="810"/>
    </row>
    <row r="795" spans="3:30" ht="30" hidden="1" customHeight="1" outlineLevel="1">
      <c r="C795" s="828">
        <v>769</v>
      </c>
      <c r="D795" s="829"/>
      <c r="E795" s="830"/>
      <c r="F795" s="830"/>
      <c r="G795" s="1049"/>
      <c r="H795" s="831"/>
      <c r="I795" s="832"/>
      <c r="L795" s="816">
        <f t="shared" si="43"/>
        <v>0</v>
      </c>
      <c r="M795" s="833">
        <f t="shared" si="44"/>
        <v>0</v>
      </c>
      <c r="N795" s="834"/>
      <c r="O795" s="835">
        <f t="shared" si="45"/>
        <v>0</v>
      </c>
      <c r="P795" s="827">
        <f t="shared" si="46"/>
        <v>0</v>
      </c>
      <c r="AD795" s="810"/>
    </row>
    <row r="796" spans="3:30" ht="30" hidden="1" customHeight="1" outlineLevel="1">
      <c r="C796" s="828">
        <v>770</v>
      </c>
      <c r="D796" s="829"/>
      <c r="E796" s="830"/>
      <c r="F796" s="830"/>
      <c r="G796" s="1049"/>
      <c r="H796" s="831"/>
      <c r="I796" s="832"/>
      <c r="L796" s="816">
        <f t="shared" si="43"/>
        <v>0</v>
      </c>
      <c r="M796" s="833">
        <f t="shared" si="44"/>
        <v>0</v>
      </c>
      <c r="N796" s="834"/>
      <c r="O796" s="835">
        <f t="shared" si="45"/>
        <v>0</v>
      </c>
      <c r="P796" s="827">
        <f t="shared" si="46"/>
        <v>0</v>
      </c>
      <c r="AD796" s="810"/>
    </row>
    <row r="797" spans="3:30" ht="30" hidden="1" customHeight="1" outlineLevel="1">
      <c r="C797" s="828">
        <v>771</v>
      </c>
      <c r="D797" s="829"/>
      <c r="E797" s="830"/>
      <c r="F797" s="830"/>
      <c r="G797" s="1049"/>
      <c r="H797" s="831"/>
      <c r="I797" s="832"/>
      <c r="L797" s="816">
        <f t="shared" si="43"/>
        <v>0</v>
      </c>
      <c r="M797" s="833">
        <f t="shared" si="44"/>
        <v>0</v>
      </c>
      <c r="N797" s="834"/>
      <c r="O797" s="835">
        <f t="shared" si="45"/>
        <v>0</v>
      </c>
      <c r="P797" s="827">
        <f t="shared" si="46"/>
        <v>0</v>
      </c>
      <c r="AD797" s="810"/>
    </row>
    <row r="798" spans="3:30" ht="30" hidden="1" customHeight="1" outlineLevel="1">
      <c r="C798" s="828">
        <v>772</v>
      </c>
      <c r="D798" s="829"/>
      <c r="E798" s="830"/>
      <c r="F798" s="830"/>
      <c r="G798" s="1049"/>
      <c r="H798" s="831"/>
      <c r="I798" s="832"/>
      <c r="L798" s="816">
        <f t="shared" si="43"/>
        <v>0</v>
      </c>
      <c r="M798" s="833">
        <f t="shared" si="44"/>
        <v>0</v>
      </c>
      <c r="N798" s="834"/>
      <c r="O798" s="835">
        <f t="shared" si="45"/>
        <v>0</v>
      </c>
      <c r="P798" s="827">
        <f t="shared" si="46"/>
        <v>0</v>
      </c>
      <c r="AD798" s="810"/>
    </row>
    <row r="799" spans="3:30" ht="30" hidden="1" customHeight="1" outlineLevel="1">
      <c r="C799" s="828">
        <v>773</v>
      </c>
      <c r="D799" s="829"/>
      <c r="E799" s="830"/>
      <c r="F799" s="830"/>
      <c r="G799" s="1049"/>
      <c r="H799" s="831"/>
      <c r="I799" s="832"/>
      <c r="L799" s="816">
        <f t="shared" si="43"/>
        <v>0</v>
      </c>
      <c r="M799" s="833">
        <f t="shared" si="44"/>
        <v>0</v>
      </c>
      <c r="N799" s="834"/>
      <c r="O799" s="835">
        <f t="shared" si="45"/>
        <v>0</v>
      </c>
      <c r="P799" s="827">
        <f t="shared" si="46"/>
        <v>0</v>
      </c>
      <c r="AD799" s="810"/>
    </row>
    <row r="800" spans="3:30" ht="30" hidden="1" customHeight="1" outlineLevel="1">
      <c r="C800" s="828">
        <v>774</v>
      </c>
      <c r="D800" s="829"/>
      <c r="E800" s="830"/>
      <c r="F800" s="830"/>
      <c r="G800" s="1049"/>
      <c r="H800" s="831"/>
      <c r="I800" s="832"/>
      <c r="L800" s="816">
        <f t="shared" si="43"/>
        <v>0</v>
      </c>
      <c r="M800" s="833">
        <f t="shared" si="44"/>
        <v>0</v>
      </c>
      <c r="N800" s="834"/>
      <c r="O800" s="835">
        <f t="shared" si="45"/>
        <v>0</v>
      </c>
      <c r="P800" s="827">
        <f t="shared" si="46"/>
        <v>0</v>
      </c>
      <c r="AD800" s="810"/>
    </row>
    <row r="801" spans="3:30" ht="30" hidden="1" customHeight="1" outlineLevel="1">
      <c r="C801" s="828">
        <v>775</v>
      </c>
      <c r="D801" s="829"/>
      <c r="E801" s="830"/>
      <c r="F801" s="830"/>
      <c r="G801" s="1049"/>
      <c r="H801" s="831"/>
      <c r="I801" s="832"/>
      <c r="L801" s="816">
        <f t="shared" si="43"/>
        <v>0</v>
      </c>
      <c r="M801" s="833">
        <f t="shared" si="44"/>
        <v>0</v>
      </c>
      <c r="N801" s="834"/>
      <c r="O801" s="835">
        <f t="shared" si="45"/>
        <v>0</v>
      </c>
      <c r="P801" s="827">
        <f t="shared" si="46"/>
        <v>0</v>
      </c>
      <c r="AD801" s="810"/>
    </row>
    <row r="802" spans="3:30" ht="30" hidden="1" customHeight="1" outlineLevel="1">
      <c r="C802" s="828">
        <v>776</v>
      </c>
      <c r="D802" s="829"/>
      <c r="E802" s="830"/>
      <c r="F802" s="830"/>
      <c r="G802" s="1049"/>
      <c r="H802" s="831"/>
      <c r="I802" s="832"/>
      <c r="L802" s="816">
        <f t="shared" si="43"/>
        <v>0</v>
      </c>
      <c r="M802" s="833">
        <f t="shared" si="44"/>
        <v>0</v>
      </c>
      <c r="N802" s="834"/>
      <c r="O802" s="835">
        <f t="shared" si="45"/>
        <v>0</v>
      </c>
      <c r="P802" s="827">
        <f t="shared" si="46"/>
        <v>0</v>
      </c>
      <c r="AD802" s="810"/>
    </row>
    <row r="803" spans="3:30" ht="30" hidden="1" customHeight="1" outlineLevel="1">
      <c r="C803" s="828">
        <v>777</v>
      </c>
      <c r="D803" s="829"/>
      <c r="E803" s="830"/>
      <c r="F803" s="830"/>
      <c r="G803" s="1049"/>
      <c r="H803" s="831"/>
      <c r="I803" s="832"/>
      <c r="L803" s="816">
        <f t="shared" si="43"/>
        <v>0</v>
      </c>
      <c r="M803" s="833">
        <f t="shared" si="44"/>
        <v>0</v>
      </c>
      <c r="N803" s="834"/>
      <c r="O803" s="835">
        <f t="shared" si="45"/>
        <v>0</v>
      </c>
      <c r="P803" s="827">
        <f t="shared" si="46"/>
        <v>0</v>
      </c>
      <c r="AD803" s="810"/>
    </row>
    <row r="804" spans="3:30" ht="30" hidden="1" customHeight="1" outlineLevel="1">
      <c r="C804" s="828">
        <v>778</v>
      </c>
      <c r="D804" s="829"/>
      <c r="E804" s="830"/>
      <c r="F804" s="830"/>
      <c r="G804" s="1049"/>
      <c r="H804" s="831"/>
      <c r="I804" s="832"/>
      <c r="L804" s="816">
        <f t="shared" si="43"/>
        <v>0</v>
      </c>
      <c r="M804" s="833">
        <f t="shared" si="44"/>
        <v>0</v>
      </c>
      <c r="N804" s="834"/>
      <c r="O804" s="835">
        <f t="shared" si="45"/>
        <v>0</v>
      </c>
      <c r="P804" s="827">
        <f t="shared" si="46"/>
        <v>0</v>
      </c>
      <c r="AD804" s="810"/>
    </row>
    <row r="805" spans="3:30" ht="30" hidden="1" customHeight="1" outlineLevel="1">
      <c r="C805" s="828">
        <v>779</v>
      </c>
      <c r="D805" s="829"/>
      <c r="E805" s="830"/>
      <c r="F805" s="830"/>
      <c r="G805" s="1049"/>
      <c r="H805" s="831"/>
      <c r="I805" s="832"/>
      <c r="L805" s="816">
        <f t="shared" si="43"/>
        <v>0</v>
      </c>
      <c r="M805" s="833">
        <f t="shared" si="44"/>
        <v>0</v>
      </c>
      <c r="N805" s="834"/>
      <c r="O805" s="835">
        <f t="shared" si="45"/>
        <v>0</v>
      </c>
      <c r="P805" s="827">
        <f t="shared" si="46"/>
        <v>0</v>
      </c>
      <c r="AD805" s="810"/>
    </row>
    <row r="806" spans="3:30" ht="30" hidden="1" customHeight="1" outlineLevel="1">
      <c r="C806" s="828">
        <v>780</v>
      </c>
      <c r="D806" s="829"/>
      <c r="E806" s="830"/>
      <c r="F806" s="830"/>
      <c r="G806" s="1049"/>
      <c r="H806" s="831"/>
      <c r="I806" s="832"/>
      <c r="L806" s="816">
        <f t="shared" si="43"/>
        <v>0</v>
      </c>
      <c r="M806" s="833">
        <f t="shared" si="44"/>
        <v>0</v>
      </c>
      <c r="N806" s="834"/>
      <c r="O806" s="835">
        <f t="shared" si="45"/>
        <v>0</v>
      </c>
      <c r="P806" s="827">
        <f t="shared" si="46"/>
        <v>0</v>
      </c>
      <c r="AD806" s="810"/>
    </row>
    <row r="807" spans="3:30" ht="30" hidden="1" customHeight="1" outlineLevel="1">
      <c r="C807" s="828">
        <v>781</v>
      </c>
      <c r="D807" s="829"/>
      <c r="E807" s="830"/>
      <c r="F807" s="830"/>
      <c r="G807" s="1049"/>
      <c r="H807" s="831"/>
      <c r="I807" s="832"/>
      <c r="L807" s="816">
        <f t="shared" si="43"/>
        <v>0</v>
      </c>
      <c r="M807" s="833">
        <f t="shared" si="44"/>
        <v>0</v>
      </c>
      <c r="N807" s="834"/>
      <c r="O807" s="835">
        <f t="shared" si="45"/>
        <v>0</v>
      </c>
      <c r="P807" s="827">
        <f t="shared" si="46"/>
        <v>0</v>
      </c>
      <c r="AD807" s="810"/>
    </row>
    <row r="808" spans="3:30" ht="30" hidden="1" customHeight="1" outlineLevel="1">
      <c r="C808" s="828">
        <v>782</v>
      </c>
      <c r="D808" s="829"/>
      <c r="E808" s="830"/>
      <c r="F808" s="830"/>
      <c r="G808" s="1049"/>
      <c r="H808" s="831"/>
      <c r="I808" s="832"/>
      <c r="L808" s="816">
        <f t="shared" si="43"/>
        <v>0</v>
      </c>
      <c r="M808" s="833">
        <f t="shared" si="44"/>
        <v>0</v>
      </c>
      <c r="N808" s="834"/>
      <c r="O808" s="835">
        <f t="shared" si="45"/>
        <v>0</v>
      </c>
      <c r="P808" s="827">
        <f t="shared" si="46"/>
        <v>0</v>
      </c>
      <c r="AD808" s="810"/>
    </row>
    <row r="809" spans="3:30" ht="30" hidden="1" customHeight="1" outlineLevel="1">
      <c r="C809" s="828">
        <v>783</v>
      </c>
      <c r="D809" s="829"/>
      <c r="E809" s="830"/>
      <c r="F809" s="830"/>
      <c r="G809" s="1049"/>
      <c r="H809" s="831"/>
      <c r="I809" s="832"/>
      <c r="L809" s="816">
        <f t="shared" si="43"/>
        <v>0</v>
      </c>
      <c r="M809" s="833">
        <f t="shared" si="44"/>
        <v>0</v>
      </c>
      <c r="N809" s="834"/>
      <c r="O809" s="835">
        <f t="shared" si="45"/>
        <v>0</v>
      </c>
      <c r="P809" s="827">
        <f t="shared" si="46"/>
        <v>0</v>
      </c>
      <c r="AD809" s="810"/>
    </row>
    <row r="810" spans="3:30" ht="30" hidden="1" customHeight="1" outlineLevel="1">
      <c r="C810" s="828">
        <v>784</v>
      </c>
      <c r="D810" s="829"/>
      <c r="E810" s="830"/>
      <c r="F810" s="830"/>
      <c r="G810" s="1049"/>
      <c r="H810" s="831"/>
      <c r="I810" s="832"/>
      <c r="L810" s="816">
        <f t="shared" si="43"/>
        <v>0</v>
      </c>
      <c r="M810" s="833">
        <f t="shared" si="44"/>
        <v>0</v>
      </c>
      <c r="N810" s="834"/>
      <c r="O810" s="835">
        <f t="shared" si="45"/>
        <v>0</v>
      </c>
      <c r="P810" s="827">
        <f t="shared" si="46"/>
        <v>0</v>
      </c>
      <c r="AD810" s="810"/>
    </row>
    <row r="811" spans="3:30" ht="30" hidden="1" customHeight="1" outlineLevel="1">
      <c r="C811" s="828">
        <v>785</v>
      </c>
      <c r="D811" s="829"/>
      <c r="E811" s="830"/>
      <c r="F811" s="830"/>
      <c r="G811" s="1049"/>
      <c r="H811" s="831"/>
      <c r="I811" s="832"/>
      <c r="L811" s="816">
        <f t="shared" si="43"/>
        <v>0</v>
      </c>
      <c r="M811" s="833">
        <f t="shared" si="44"/>
        <v>0</v>
      </c>
      <c r="N811" s="834"/>
      <c r="O811" s="835">
        <f t="shared" si="45"/>
        <v>0</v>
      </c>
      <c r="P811" s="827">
        <f t="shared" si="46"/>
        <v>0</v>
      </c>
      <c r="AD811" s="810"/>
    </row>
    <row r="812" spans="3:30" ht="30" hidden="1" customHeight="1" outlineLevel="1">
      <c r="C812" s="828">
        <v>786</v>
      </c>
      <c r="D812" s="829"/>
      <c r="E812" s="830"/>
      <c r="F812" s="830"/>
      <c r="G812" s="1049"/>
      <c r="H812" s="831"/>
      <c r="I812" s="832"/>
      <c r="L812" s="816">
        <f t="shared" si="43"/>
        <v>0</v>
      </c>
      <c r="M812" s="833">
        <f t="shared" si="44"/>
        <v>0</v>
      </c>
      <c r="N812" s="834"/>
      <c r="O812" s="835">
        <f t="shared" si="45"/>
        <v>0</v>
      </c>
      <c r="P812" s="827">
        <f t="shared" si="46"/>
        <v>0</v>
      </c>
      <c r="AD812" s="810"/>
    </row>
    <row r="813" spans="3:30" ht="30" hidden="1" customHeight="1" outlineLevel="1">
      <c r="C813" s="828">
        <v>787</v>
      </c>
      <c r="D813" s="829"/>
      <c r="E813" s="830"/>
      <c r="F813" s="830"/>
      <c r="G813" s="1049"/>
      <c r="H813" s="831"/>
      <c r="I813" s="832"/>
      <c r="L813" s="816">
        <f t="shared" si="43"/>
        <v>0</v>
      </c>
      <c r="M813" s="833">
        <f t="shared" si="44"/>
        <v>0</v>
      </c>
      <c r="N813" s="834"/>
      <c r="O813" s="835">
        <f t="shared" si="45"/>
        <v>0</v>
      </c>
      <c r="P813" s="827">
        <f t="shared" si="46"/>
        <v>0</v>
      </c>
      <c r="AD813" s="810"/>
    </row>
    <row r="814" spans="3:30" ht="30" hidden="1" customHeight="1" outlineLevel="1">
      <c r="C814" s="828">
        <v>788</v>
      </c>
      <c r="D814" s="829"/>
      <c r="E814" s="830"/>
      <c r="F814" s="830"/>
      <c r="G814" s="1049"/>
      <c r="H814" s="831"/>
      <c r="I814" s="832"/>
      <c r="L814" s="816">
        <f t="shared" si="43"/>
        <v>0</v>
      </c>
      <c r="M814" s="833">
        <f t="shared" si="44"/>
        <v>0</v>
      </c>
      <c r="N814" s="834"/>
      <c r="O814" s="835">
        <f t="shared" si="45"/>
        <v>0</v>
      </c>
      <c r="P814" s="827">
        <f t="shared" si="46"/>
        <v>0</v>
      </c>
      <c r="AD814" s="810"/>
    </row>
    <row r="815" spans="3:30" ht="30" hidden="1" customHeight="1" outlineLevel="1">
      <c r="C815" s="828">
        <v>789</v>
      </c>
      <c r="D815" s="829"/>
      <c r="E815" s="830"/>
      <c r="F815" s="830"/>
      <c r="G815" s="1049"/>
      <c r="H815" s="831"/>
      <c r="I815" s="832"/>
      <c r="L815" s="816">
        <f t="shared" si="43"/>
        <v>0</v>
      </c>
      <c r="M815" s="833">
        <f t="shared" si="44"/>
        <v>0</v>
      </c>
      <c r="N815" s="834"/>
      <c r="O815" s="835">
        <f t="shared" si="45"/>
        <v>0</v>
      </c>
      <c r="P815" s="827">
        <f t="shared" si="46"/>
        <v>0</v>
      </c>
      <c r="AD815" s="810"/>
    </row>
    <row r="816" spans="3:30" ht="30" hidden="1" customHeight="1" outlineLevel="1">
      <c r="C816" s="828">
        <v>790</v>
      </c>
      <c r="D816" s="829"/>
      <c r="E816" s="830"/>
      <c r="F816" s="830"/>
      <c r="G816" s="1049"/>
      <c r="H816" s="831"/>
      <c r="I816" s="832"/>
      <c r="L816" s="816">
        <f t="shared" ref="L816:L879" si="47">IF($G816&gt;0,E816,)</f>
        <v>0</v>
      </c>
      <c r="M816" s="833">
        <f t="shared" ref="M816:M879" si="48">IF($G816&gt;0,F816,)</f>
        <v>0</v>
      </c>
      <c r="N816" s="834"/>
      <c r="O816" s="835">
        <f t="shared" ref="O816:O879" si="49">ROUND(L816*N816/10,)</f>
        <v>0</v>
      </c>
      <c r="P816" s="827">
        <f t="shared" ref="P816:P879" si="50">ROUND(O816*G816%,)</f>
        <v>0</v>
      </c>
      <c r="AD816" s="810"/>
    </row>
    <row r="817" spans="3:30" ht="30" hidden="1" customHeight="1" outlineLevel="1">
      <c r="C817" s="828">
        <v>791</v>
      </c>
      <c r="D817" s="829"/>
      <c r="E817" s="830"/>
      <c r="F817" s="830"/>
      <c r="G817" s="1049"/>
      <c r="H817" s="831"/>
      <c r="I817" s="832"/>
      <c r="L817" s="816">
        <f t="shared" si="47"/>
        <v>0</v>
      </c>
      <c r="M817" s="833">
        <f t="shared" si="48"/>
        <v>0</v>
      </c>
      <c r="N817" s="834"/>
      <c r="O817" s="835">
        <f t="shared" si="49"/>
        <v>0</v>
      </c>
      <c r="P817" s="827">
        <f t="shared" si="50"/>
        <v>0</v>
      </c>
      <c r="AD817" s="810"/>
    </row>
    <row r="818" spans="3:30" ht="30" hidden="1" customHeight="1" outlineLevel="1">
      <c r="C818" s="828">
        <v>792</v>
      </c>
      <c r="D818" s="829"/>
      <c r="E818" s="830"/>
      <c r="F818" s="830"/>
      <c r="G818" s="1049"/>
      <c r="H818" s="831"/>
      <c r="I818" s="832"/>
      <c r="L818" s="816">
        <f t="shared" si="47"/>
        <v>0</v>
      </c>
      <c r="M818" s="833">
        <f t="shared" si="48"/>
        <v>0</v>
      </c>
      <c r="N818" s="834"/>
      <c r="O818" s="835">
        <f t="shared" si="49"/>
        <v>0</v>
      </c>
      <c r="P818" s="827">
        <f t="shared" si="50"/>
        <v>0</v>
      </c>
      <c r="AD818" s="810"/>
    </row>
    <row r="819" spans="3:30" ht="30" hidden="1" customHeight="1" outlineLevel="1">
      <c r="C819" s="828">
        <v>793</v>
      </c>
      <c r="D819" s="829"/>
      <c r="E819" s="830"/>
      <c r="F819" s="830"/>
      <c r="G819" s="1049"/>
      <c r="H819" s="831"/>
      <c r="I819" s="832"/>
      <c r="L819" s="816">
        <f t="shared" si="47"/>
        <v>0</v>
      </c>
      <c r="M819" s="833">
        <f t="shared" si="48"/>
        <v>0</v>
      </c>
      <c r="N819" s="834"/>
      <c r="O819" s="835">
        <f t="shared" si="49"/>
        <v>0</v>
      </c>
      <c r="P819" s="827">
        <f t="shared" si="50"/>
        <v>0</v>
      </c>
      <c r="AD819" s="810"/>
    </row>
    <row r="820" spans="3:30" ht="30" hidden="1" customHeight="1" outlineLevel="1">
      <c r="C820" s="828">
        <v>794</v>
      </c>
      <c r="D820" s="829"/>
      <c r="E820" s="830"/>
      <c r="F820" s="830"/>
      <c r="G820" s="1049"/>
      <c r="H820" s="831"/>
      <c r="I820" s="832"/>
      <c r="L820" s="816">
        <f t="shared" si="47"/>
        <v>0</v>
      </c>
      <c r="M820" s="833">
        <f t="shared" si="48"/>
        <v>0</v>
      </c>
      <c r="N820" s="834"/>
      <c r="O820" s="835">
        <f t="shared" si="49"/>
        <v>0</v>
      </c>
      <c r="P820" s="827">
        <f t="shared" si="50"/>
        <v>0</v>
      </c>
      <c r="AD820" s="810"/>
    </row>
    <row r="821" spans="3:30" ht="30" hidden="1" customHeight="1" outlineLevel="1">
      <c r="C821" s="828">
        <v>795</v>
      </c>
      <c r="D821" s="829"/>
      <c r="E821" s="830"/>
      <c r="F821" s="830"/>
      <c r="G821" s="1049"/>
      <c r="H821" s="831"/>
      <c r="I821" s="832"/>
      <c r="L821" s="816">
        <f t="shared" si="47"/>
        <v>0</v>
      </c>
      <c r="M821" s="833">
        <f t="shared" si="48"/>
        <v>0</v>
      </c>
      <c r="N821" s="834"/>
      <c r="O821" s="835">
        <f t="shared" si="49"/>
        <v>0</v>
      </c>
      <c r="P821" s="827">
        <f t="shared" si="50"/>
        <v>0</v>
      </c>
      <c r="AD821" s="810"/>
    </row>
    <row r="822" spans="3:30" ht="30" hidden="1" customHeight="1" outlineLevel="1">
      <c r="C822" s="828">
        <v>796</v>
      </c>
      <c r="D822" s="829"/>
      <c r="E822" s="830"/>
      <c r="F822" s="830"/>
      <c r="G822" s="1049"/>
      <c r="H822" s="831"/>
      <c r="I822" s="832"/>
      <c r="L822" s="816">
        <f t="shared" si="47"/>
        <v>0</v>
      </c>
      <c r="M822" s="833">
        <f t="shared" si="48"/>
        <v>0</v>
      </c>
      <c r="N822" s="834"/>
      <c r="O822" s="835">
        <f t="shared" si="49"/>
        <v>0</v>
      </c>
      <c r="P822" s="827">
        <f t="shared" si="50"/>
        <v>0</v>
      </c>
      <c r="AD822" s="810"/>
    </row>
    <row r="823" spans="3:30" ht="30" hidden="1" customHeight="1" outlineLevel="1">
      <c r="C823" s="828">
        <v>797</v>
      </c>
      <c r="D823" s="829"/>
      <c r="E823" s="830"/>
      <c r="F823" s="830"/>
      <c r="G823" s="1049"/>
      <c r="H823" s="831"/>
      <c r="I823" s="832"/>
      <c r="L823" s="816">
        <f t="shared" si="47"/>
        <v>0</v>
      </c>
      <c r="M823" s="833">
        <f t="shared" si="48"/>
        <v>0</v>
      </c>
      <c r="N823" s="834"/>
      <c r="O823" s="835">
        <f t="shared" si="49"/>
        <v>0</v>
      </c>
      <c r="P823" s="827">
        <f t="shared" si="50"/>
        <v>0</v>
      </c>
      <c r="AD823" s="810"/>
    </row>
    <row r="824" spans="3:30" ht="30" hidden="1" customHeight="1" outlineLevel="1">
      <c r="C824" s="828">
        <v>798</v>
      </c>
      <c r="D824" s="829"/>
      <c r="E824" s="830"/>
      <c r="F824" s="830"/>
      <c r="G824" s="1049"/>
      <c r="H824" s="831"/>
      <c r="I824" s="832"/>
      <c r="L824" s="816">
        <f t="shared" si="47"/>
        <v>0</v>
      </c>
      <c r="M824" s="833">
        <f t="shared" si="48"/>
        <v>0</v>
      </c>
      <c r="N824" s="834"/>
      <c r="O824" s="835">
        <f t="shared" si="49"/>
        <v>0</v>
      </c>
      <c r="P824" s="827">
        <f t="shared" si="50"/>
        <v>0</v>
      </c>
      <c r="AD824" s="810"/>
    </row>
    <row r="825" spans="3:30" ht="30" hidden="1" customHeight="1" outlineLevel="1">
      <c r="C825" s="828">
        <v>799</v>
      </c>
      <c r="D825" s="829"/>
      <c r="E825" s="830"/>
      <c r="F825" s="830"/>
      <c r="G825" s="1049"/>
      <c r="H825" s="831"/>
      <c r="I825" s="832"/>
      <c r="L825" s="816">
        <f t="shared" si="47"/>
        <v>0</v>
      </c>
      <c r="M825" s="833">
        <f t="shared" si="48"/>
        <v>0</v>
      </c>
      <c r="N825" s="834"/>
      <c r="O825" s="835">
        <f t="shared" si="49"/>
        <v>0</v>
      </c>
      <c r="P825" s="827">
        <f t="shared" si="50"/>
        <v>0</v>
      </c>
      <c r="AD825" s="810"/>
    </row>
    <row r="826" spans="3:30" ht="30" hidden="1" customHeight="1" outlineLevel="1">
      <c r="C826" s="828">
        <v>800</v>
      </c>
      <c r="D826" s="829"/>
      <c r="E826" s="830"/>
      <c r="F826" s="830"/>
      <c r="G826" s="1049"/>
      <c r="H826" s="831"/>
      <c r="I826" s="832"/>
      <c r="L826" s="816">
        <f t="shared" si="47"/>
        <v>0</v>
      </c>
      <c r="M826" s="833">
        <f t="shared" si="48"/>
        <v>0</v>
      </c>
      <c r="N826" s="834"/>
      <c r="O826" s="835">
        <f t="shared" si="49"/>
        <v>0</v>
      </c>
      <c r="P826" s="827">
        <f t="shared" si="50"/>
        <v>0</v>
      </c>
      <c r="AD826" s="810"/>
    </row>
    <row r="827" spans="3:30" ht="30" hidden="1" customHeight="1" outlineLevel="1">
      <c r="C827" s="828">
        <v>801</v>
      </c>
      <c r="D827" s="829"/>
      <c r="E827" s="830"/>
      <c r="F827" s="830"/>
      <c r="G827" s="1049"/>
      <c r="H827" s="831"/>
      <c r="I827" s="832"/>
      <c r="L827" s="816">
        <f t="shared" si="47"/>
        <v>0</v>
      </c>
      <c r="M827" s="833">
        <f t="shared" si="48"/>
        <v>0</v>
      </c>
      <c r="N827" s="834"/>
      <c r="O827" s="835">
        <f t="shared" si="49"/>
        <v>0</v>
      </c>
      <c r="P827" s="827">
        <f t="shared" si="50"/>
        <v>0</v>
      </c>
      <c r="AD827" s="810"/>
    </row>
    <row r="828" spans="3:30" ht="30" hidden="1" customHeight="1" outlineLevel="1">
      <c r="C828" s="828">
        <v>802</v>
      </c>
      <c r="D828" s="829"/>
      <c r="E828" s="830"/>
      <c r="F828" s="830"/>
      <c r="G828" s="1049"/>
      <c r="H828" s="831"/>
      <c r="I828" s="832"/>
      <c r="L828" s="816">
        <f t="shared" si="47"/>
        <v>0</v>
      </c>
      <c r="M828" s="833">
        <f t="shared" si="48"/>
        <v>0</v>
      </c>
      <c r="N828" s="834"/>
      <c r="O828" s="835">
        <f t="shared" si="49"/>
        <v>0</v>
      </c>
      <c r="P828" s="827">
        <f t="shared" si="50"/>
        <v>0</v>
      </c>
      <c r="AD828" s="810"/>
    </row>
    <row r="829" spans="3:30" ht="30" hidden="1" customHeight="1" outlineLevel="1">
      <c r="C829" s="828">
        <v>803</v>
      </c>
      <c r="D829" s="829"/>
      <c r="E829" s="830"/>
      <c r="F829" s="830"/>
      <c r="G829" s="1049"/>
      <c r="H829" s="831"/>
      <c r="I829" s="832"/>
      <c r="L829" s="816">
        <f t="shared" si="47"/>
        <v>0</v>
      </c>
      <c r="M829" s="833">
        <f t="shared" si="48"/>
        <v>0</v>
      </c>
      <c r="N829" s="834"/>
      <c r="O829" s="835">
        <f t="shared" si="49"/>
        <v>0</v>
      </c>
      <c r="P829" s="827">
        <f t="shared" si="50"/>
        <v>0</v>
      </c>
      <c r="AD829" s="810"/>
    </row>
    <row r="830" spans="3:30" ht="30" hidden="1" customHeight="1" outlineLevel="1">
      <c r="C830" s="828">
        <v>804</v>
      </c>
      <c r="D830" s="829"/>
      <c r="E830" s="830"/>
      <c r="F830" s="830"/>
      <c r="G830" s="1049"/>
      <c r="H830" s="831"/>
      <c r="I830" s="832"/>
      <c r="L830" s="816">
        <f t="shared" si="47"/>
        <v>0</v>
      </c>
      <c r="M830" s="833">
        <f t="shared" si="48"/>
        <v>0</v>
      </c>
      <c r="N830" s="834"/>
      <c r="O830" s="835">
        <f t="shared" si="49"/>
        <v>0</v>
      </c>
      <c r="P830" s="827">
        <f t="shared" si="50"/>
        <v>0</v>
      </c>
      <c r="AD830" s="810"/>
    </row>
    <row r="831" spans="3:30" ht="30" hidden="1" customHeight="1" outlineLevel="1">
      <c r="C831" s="828">
        <v>805</v>
      </c>
      <c r="D831" s="829"/>
      <c r="E831" s="830"/>
      <c r="F831" s="830"/>
      <c r="G831" s="1049"/>
      <c r="H831" s="831"/>
      <c r="I831" s="832"/>
      <c r="L831" s="816">
        <f t="shared" si="47"/>
        <v>0</v>
      </c>
      <c r="M831" s="833">
        <f t="shared" si="48"/>
        <v>0</v>
      </c>
      <c r="N831" s="834"/>
      <c r="O831" s="835">
        <f t="shared" si="49"/>
        <v>0</v>
      </c>
      <c r="P831" s="827">
        <f t="shared" si="50"/>
        <v>0</v>
      </c>
      <c r="AD831" s="810"/>
    </row>
    <row r="832" spans="3:30" ht="30" hidden="1" customHeight="1" outlineLevel="1">
      <c r="C832" s="828">
        <v>806</v>
      </c>
      <c r="D832" s="829"/>
      <c r="E832" s="830"/>
      <c r="F832" s="830"/>
      <c r="G832" s="1049"/>
      <c r="H832" s="831"/>
      <c r="I832" s="832"/>
      <c r="L832" s="816">
        <f t="shared" si="47"/>
        <v>0</v>
      </c>
      <c r="M832" s="833">
        <f t="shared" si="48"/>
        <v>0</v>
      </c>
      <c r="N832" s="834"/>
      <c r="O832" s="835">
        <f t="shared" si="49"/>
        <v>0</v>
      </c>
      <c r="P832" s="827">
        <f t="shared" si="50"/>
        <v>0</v>
      </c>
      <c r="AD832" s="810"/>
    </row>
    <row r="833" spans="3:30" ht="30" hidden="1" customHeight="1" outlineLevel="1">
      <c r="C833" s="828">
        <v>807</v>
      </c>
      <c r="D833" s="829"/>
      <c r="E833" s="830"/>
      <c r="F833" s="830"/>
      <c r="G833" s="1049"/>
      <c r="H833" s="831"/>
      <c r="I833" s="832"/>
      <c r="L833" s="816">
        <f t="shared" si="47"/>
        <v>0</v>
      </c>
      <c r="M833" s="833">
        <f t="shared" si="48"/>
        <v>0</v>
      </c>
      <c r="N833" s="834"/>
      <c r="O833" s="835">
        <f t="shared" si="49"/>
        <v>0</v>
      </c>
      <c r="P833" s="827">
        <f t="shared" si="50"/>
        <v>0</v>
      </c>
      <c r="AD833" s="810"/>
    </row>
    <row r="834" spans="3:30" ht="30" hidden="1" customHeight="1" outlineLevel="1">
      <c r="C834" s="828">
        <v>808</v>
      </c>
      <c r="D834" s="829"/>
      <c r="E834" s="830"/>
      <c r="F834" s="830"/>
      <c r="G834" s="1049"/>
      <c r="H834" s="831"/>
      <c r="I834" s="832"/>
      <c r="L834" s="816">
        <f t="shared" si="47"/>
        <v>0</v>
      </c>
      <c r="M834" s="833">
        <f t="shared" si="48"/>
        <v>0</v>
      </c>
      <c r="N834" s="834"/>
      <c r="O834" s="835">
        <f t="shared" si="49"/>
        <v>0</v>
      </c>
      <c r="P834" s="827">
        <f t="shared" si="50"/>
        <v>0</v>
      </c>
      <c r="AD834" s="810"/>
    </row>
    <row r="835" spans="3:30" ht="30" hidden="1" customHeight="1" outlineLevel="1">
      <c r="C835" s="828">
        <v>809</v>
      </c>
      <c r="D835" s="829"/>
      <c r="E835" s="830"/>
      <c r="F835" s="830"/>
      <c r="G835" s="1049"/>
      <c r="H835" s="831"/>
      <c r="I835" s="832"/>
      <c r="L835" s="816">
        <f t="shared" si="47"/>
        <v>0</v>
      </c>
      <c r="M835" s="833">
        <f t="shared" si="48"/>
        <v>0</v>
      </c>
      <c r="N835" s="834"/>
      <c r="O835" s="835">
        <f t="shared" si="49"/>
        <v>0</v>
      </c>
      <c r="P835" s="827">
        <f t="shared" si="50"/>
        <v>0</v>
      </c>
      <c r="AD835" s="810"/>
    </row>
    <row r="836" spans="3:30" ht="30" hidden="1" customHeight="1" outlineLevel="1">
      <c r="C836" s="828">
        <v>810</v>
      </c>
      <c r="D836" s="829"/>
      <c r="E836" s="830"/>
      <c r="F836" s="830"/>
      <c r="G836" s="1049"/>
      <c r="H836" s="831"/>
      <c r="I836" s="832"/>
      <c r="L836" s="816">
        <f t="shared" si="47"/>
        <v>0</v>
      </c>
      <c r="M836" s="833">
        <f t="shared" si="48"/>
        <v>0</v>
      </c>
      <c r="N836" s="834"/>
      <c r="O836" s="835">
        <f t="shared" si="49"/>
        <v>0</v>
      </c>
      <c r="P836" s="827">
        <f t="shared" si="50"/>
        <v>0</v>
      </c>
      <c r="AD836" s="810"/>
    </row>
    <row r="837" spans="3:30" ht="30" hidden="1" customHeight="1" outlineLevel="1">
      <c r="C837" s="828">
        <v>811</v>
      </c>
      <c r="D837" s="829"/>
      <c r="E837" s="830"/>
      <c r="F837" s="830"/>
      <c r="G837" s="1049"/>
      <c r="H837" s="831"/>
      <c r="I837" s="832"/>
      <c r="L837" s="816">
        <f t="shared" si="47"/>
        <v>0</v>
      </c>
      <c r="M837" s="833">
        <f t="shared" si="48"/>
        <v>0</v>
      </c>
      <c r="N837" s="834"/>
      <c r="O837" s="835">
        <f t="shared" si="49"/>
        <v>0</v>
      </c>
      <c r="P837" s="827">
        <f t="shared" si="50"/>
        <v>0</v>
      </c>
      <c r="AD837" s="810"/>
    </row>
    <row r="838" spans="3:30" ht="30" hidden="1" customHeight="1" outlineLevel="1">
      <c r="C838" s="828">
        <v>812</v>
      </c>
      <c r="D838" s="829"/>
      <c r="E838" s="830"/>
      <c r="F838" s="830"/>
      <c r="G838" s="1049"/>
      <c r="H838" s="831"/>
      <c r="I838" s="832"/>
      <c r="L838" s="816">
        <f t="shared" si="47"/>
        <v>0</v>
      </c>
      <c r="M838" s="833">
        <f t="shared" si="48"/>
        <v>0</v>
      </c>
      <c r="N838" s="834"/>
      <c r="O838" s="835">
        <f t="shared" si="49"/>
        <v>0</v>
      </c>
      <c r="P838" s="827">
        <f t="shared" si="50"/>
        <v>0</v>
      </c>
      <c r="AD838" s="810"/>
    </row>
    <row r="839" spans="3:30" ht="30" hidden="1" customHeight="1" outlineLevel="1">
      <c r="C839" s="828">
        <v>813</v>
      </c>
      <c r="D839" s="829"/>
      <c r="E839" s="830"/>
      <c r="F839" s="830"/>
      <c r="G839" s="1049"/>
      <c r="H839" s="831"/>
      <c r="I839" s="832"/>
      <c r="L839" s="816">
        <f t="shared" si="47"/>
        <v>0</v>
      </c>
      <c r="M839" s="833">
        <f t="shared" si="48"/>
        <v>0</v>
      </c>
      <c r="N839" s="834"/>
      <c r="O839" s="835">
        <f t="shared" si="49"/>
        <v>0</v>
      </c>
      <c r="P839" s="827">
        <f t="shared" si="50"/>
        <v>0</v>
      </c>
      <c r="AD839" s="810"/>
    </row>
    <row r="840" spans="3:30" ht="30" hidden="1" customHeight="1" outlineLevel="1">
      <c r="C840" s="828">
        <v>814</v>
      </c>
      <c r="D840" s="829"/>
      <c r="E840" s="830"/>
      <c r="F840" s="830"/>
      <c r="G840" s="1049"/>
      <c r="H840" s="831"/>
      <c r="I840" s="832"/>
      <c r="L840" s="816">
        <f t="shared" si="47"/>
        <v>0</v>
      </c>
      <c r="M840" s="833">
        <f t="shared" si="48"/>
        <v>0</v>
      </c>
      <c r="N840" s="834"/>
      <c r="O840" s="835">
        <f t="shared" si="49"/>
        <v>0</v>
      </c>
      <c r="P840" s="827">
        <f t="shared" si="50"/>
        <v>0</v>
      </c>
      <c r="AD840" s="810"/>
    </row>
    <row r="841" spans="3:30" ht="30" hidden="1" customHeight="1" outlineLevel="1">
      <c r="C841" s="828">
        <v>815</v>
      </c>
      <c r="D841" s="829"/>
      <c r="E841" s="830"/>
      <c r="F841" s="830"/>
      <c r="G841" s="1049"/>
      <c r="H841" s="831"/>
      <c r="I841" s="832"/>
      <c r="L841" s="816">
        <f t="shared" si="47"/>
        <v>0</v>
      </c>
      <c r="M841" s="833">
        <f t="shared" si="48"/>
        <v>0</v>
      </c>
      <c r="N841" s="834"/>
      <c r="O841" s="835">
        <f t="shared" si="49"/>
        <v>0</v>
      </c>
      <c r="P841" s="827">
        <f t="shared" si="50"/>
        <v>0</v>
      </c>
      <c r="AD841" s="810"/>
    </row>
    <row r="842" spans="3:30" ht="30" hidden="1" customHeight="1" outlineLevel="1">
      <c r="C842" s="828">
        <v>816</v>
      </c>
      <c r="D842" s="829"/>
      <c r="E842" s="830"/>
      <c r="F842" s="830"/>
      <c r="G842" s="1049"/>
      <c r="H842" s="831"/>
      <c r="I842" s="832"/>
      <c r="L842" s="816">
        <f t="shared" si="47"/>
        <v>0</v>
      </c>
      <c r="M842" s="833">
        <f t="shared" si="48"/>
        <v>0</v>
      </c>
      <c r="N842" s="834"/>
      <c r="O842" s="835">
        <f t="shared" si="49"/>
        <v>0</v>
      </c>
      <c r="P842" s="827">
        <f t="shared" si="50"/>
        <v>0</v>
      </c>
      <c r="AD842" s="810"/>
    </row>
    <row r="843" spans="3:30" ht="30" hidden="1" customHeight="1" outlineLevel="1">
      <c r="C843" s="828">
        <v>817</v>
      </c>
      <c r="D843" s="829"/>
      <c r="E843" s="830"/>
      <c r="F843" s="830"/>
      <c r="G843" s="1049"/>
      <c r="H843" s="831"/>
      <c r="I843" s="832"/>
      <c r="L843" s="816">
        <f t="shared" si="47"/>
        <v>0</v>
      </c>
      <c r="M843" s="833">
        <f t="shared" si="48"/>
        <v>0</v>
      </c>
      <c r="N843" s="834"/>
      <c r="O843" s="835">
        <f t="shared" si="49"/>
        <v>0</v>
      </c>
      <c r="P843" s="827">
        <f t="shared" si="50"/>
        <v>0</v>
      </c>
      <c r="AD843" s="810"/>
    </row>
    <row r="844" spans="3:30" ht="30" hidden="1" customHeight="1" outlineLevel="1">
      <c r="C844" s="828">
        <v>818</v>
      </c>
      <c r="D844" s="829"/>
      <c r="E844" s="830"/>
      <c r="F844" s="830"/>
      <c r="G844" s="1049"/>
      <c r="H844" s="831"/>
      <c r="I844" s="832"/>
      <c r="L844" s="816">
        <f t="shared" si="47"/>
        <v>0</v>
      </c>
      <c r="M844" s="833">
        <f t="shared" si="48"/>
        <v>0</v>
      </c>
      <c r="N844" s="834"/>
      <c r="O844" s="835">
        <f t="shared" si="49"/>
        <v>0</v>
      </c>
      <c r="P844" s="827">
        <f t="shared" si="50"/>
        <v>0</v>
      </c>
      <c r="AD844" s="810"/>
    </row>
    <row r="845" spans="3:30" ht="30" hidden="1" customHeight="1" outlineLevel="1">
      <c r="C845" s="828">
        <v>819</v>
      </c>
      <c r="D845" s="829"/>
      <c r="E845" s="830"/>
      <c r="F845" s="830"/>
      <c r="G845" s="1049"/>
      <c r="H845" s="831"/>
      <c r="I845" s="832"/>
      <c r="L845" s="816">
        <f t="shared" si="47"/>
        <v>0</v>
      </c>
      <c r="M845" s="833">
        <f t="shared" si="48"/>
        <v>0</v>
      </c>
      <c r="N845" s="834"/>
      <c r="O845" s="835">
        <f t="shared" si="49"/>
        <v>0</v>
      </c>
      <c r="P845" s="827">
        <f t="shared" si="50"/>
        <v>0</v>
      </c>
      <c r="AD845" s="810"/>
    </row>
    <row r="846" spans="3:30" ht="30" hidden="1" customHeight="1" outlineLevel="1">
      <c r="C846" s="828">
        <v>820</v>
      </c>
      <c r="D846" s="829"/>
      <c r="E846" s="830"/>
      <c r="F846" s="830"/>
      <c r="G846" s="1049"/>
      <c r="H846" s="831"/>
      <c r="I846" s="832"/>
      <c r="L846" s="816">
        <f t="shared" si="47"/>
        <v>0</v>
      </c>
      <c r="M846" s="833">
        <f t="shared" si="48"/>
        <v>0</v>
      </c>
      <c r="N846" s="834"/>
      <c r="O846" s="835">
        <f t="shared" si="49"/>
        <v>0</v>
      </c>
      <c r="P846" s="827">
        <f t="shared" si="50"/>
        <v>0</v>
      </c>
      <c r="AD846" s="810"/>
    </row>
    <row r="847" spans="3:30" ht="30" hidden="1" customHeight="1" outlineLevel="1">
      <c r="C847" s="828">
        <v>821</v>
      </c>
      <c r="D847" s="829"/>
      <c r="E847" s="830"/>
      <c r="F847" s="830"/>
      <c r="G847" s="1049"/>
      <c r="H847" s="831"/>
      <c r="I847" s="832"/>
      <c r="L847" s="816">
        <f t="shared" si="47"/>
        <v>0</v>
      </c>
      <c r="M847" s="833">
        <f t="shared" si="48"/>
        <v>0</v>
      </c>
      <c r="N847" s="834"/>
      <c r="O847" s="835">
        <f t="shared" si="49"/>
        <v>0</v>
      </c>
      <c r="P847" s="827">
        <f t="shared" si="50"/>
        <v>0</v>
      </c>
      <c r="AD847" s="810"/>
    </row>
    <row r="848" spans="3:30" ht="30" hidden="1" customHeight="1" outlineLevel="1">
      <c r="C848" s="828">
        <v>822</v>
      </c>
      <c r="D848" s="829"/>
      <c r="E848" s="830"/>
      <c r="F848" s="830"/>
      <c r="G848" s="1049"/>
      <c r="H848" s="831"/>
      <c r="I848" s="832"/>
      <c r="L848" s="816">
        <f t="shared" si="47"/>
        <v>0</v>
      </c>
      <c r="M848" s="833">
        <f t="shared" si="48"/>
        <v>0</v>
      </c>
      <c r="N848" s="834"/>
      <c r="O848" s="835">
        <f t="shared" si="49"/>
        <v>0</v>
      </c>
      <c r="P848" s="827">
        <f t="shared" si="50"/>
        <v>0</v>
      </c>
      <c r="AD848" s="810"/>
    </row>
    <row r="849" spans="3:30" ht="30" hidden="1" customHeight="1" outlineLevel="1">
      <c r="C849" s="828">
        <v>823</v>
      </c>
      <c r="D849" s="829"/>
      <c r="E849" s="830"/>
      <c r="F849" s="830"/>
      <c r="G849" s="1049"/>
      <c r="H849" s="831"/>
      <c r="I849" s="832"/>
      <c r="L849" s="816">
        <f t="shared" si="47"/>
        <v>0</v>
      </c>
      <c r="M849" s="833">
        <f t="shared" si="48"/>
        <v>0</v>
      </c>
      <c r="N849" s="834"/>
      <c r="O849" s="835">
        <f t="shared" si="49"/>
        <v>0</v>
      </c>
      <c r="P849" s="827">
        <f t="shared" si="50"/>
        <v>0</v>
      </c>
      <c r="AD849" s="810"/>
    </row>
    <row r="850" spans="3:30" ht="30" hidden="1" customHeight="1" outlineLevel="1">
      <c r="C850" s="828">
        <v>824</v>
      </c>
      <c r="D850" s="829"/>
      <c r="E850" s="830"/>
      <c r="F850" s="830"/>
      <c r="G850" s="1049"/>
      <c r="H850" s="831"/>
      <c r="I850" s="832"/>
      <c r="L850" s="816">
        <f t="shared" si="47"/>
        <v>0</v>
      </c>
      <c r="M850" s="833">
        <f t="shared" si="48"/>
        <v>0</v>
      </c>
      <c r="N850" s="834"/>
      <c r="O850" s="835">
        <f t="shared" si="49"/>
        <v>0</v>
      </c>
      <c r="P850" s="827">
        <f t="shared" si="50"/>
        <v>0</v>
      </c>
      <c r="AD850" s="810"/>
    </row>
    <row r="851" spans="3:30" ht="30" hidden="1" customHeight="1" outlineLevel="1">
      <c r="C851" s="828">
        <v>825</v>
      </c>
      <c r="D851" s="829"/>
      <c r="E851" s="830"/>
      <c r="F851" s="830"/>
      <c r="G851" s="1049"/>
      <c r="H851" s="831"/>
      <c r="I851" s="832"/>
      <c r="L851" s="816">
        <f t="shared" si="47"/>
        <v>0</v>
      </c>
      <c r="M851" s="833">
        <f t="shared" si="48"/>
        <v>0</v>
      </c>
      <c r="N851" s="834"/>
      <c r="O851" s="835">
        <f t="shared" si="49"/>
        <v>0</v>
      </c>
      <c r="P851" s="827">
        <f t="shared" si="50"/>
        <v>0</v>
      </c>
      <c r="AD851" s="810"/>
    </row>
    <row r="852" spans="3:30" ht="30" hidden="1" customHeight="1" outlineLevel="1">
      <c r="C852" s="828">
        <v>826</v>
      </c>
      <c r="D852" s="829"/>
      <c r="E852" s="830"/>
      <c r="F852" s="830"/>
      <c r="G852" s="1049"/>
      <c r="H852" s="831"/>
      <c r="I852" s="832"/>
      <c r="L852" s="816">
        <f t="shared" si="47"/>
        <v>0</v>
      </c>
      <c r="M852" s="833">
        <f t="shared" si="48"/>
        <v>0</v>
      </c>
      <c r="N852" s="834"/>
      <c r="O852" s="835">
        <f t="shared" si="49"/>
        <v>0</v>
      </c>
      <c r="P852" s="827">
        <f t="shared" si="50"/>
        <v>0</v>
      </c>
      <c r="AD852" s="810"/>
    </row>
    <row r="853" spans="3:30" ht="30" hidden="1" customHeight="1" outlineLevel="1">
      <c r="C853" s="828">
        <v>827</v>
      </c>
      <c r="D853" s="829"/>
      <c r="E853" s="830"/>
      <c r="F853" s="830"/>
      <c r="G853" s="1049"/>
      <c r="H853" s="831"/>
      <c r="I853" s="832"/>
      <c r="L853" s="816">
        <f t="shared" si="47"/>
        <v>0</v>
      </c>
      <c r="M853" s="833">
        <f t="shared" si="48"/>
        <v>0</v>
      </c>
      <c r="N853" s="834"/>
      <c r="O853" s="835">
        <f t="shared" si="49"/>
        <v>0</v>
      </c>
      <c r="P853" s="827">
        <f t="shared" si="50"/>
        <v>0</v>
      </c>
      <c r="AD853" s="810"/>
    </row>
    <row r="854" spans="3:30" ht="30" hidden="1" customHeight="1" outlineLevel="1">
      <c r="C854" s="828">
        <v>828</v>
      </c>
      <c r="D854" s="829"/>
      <c r="E854" s="830"/>
      <c r="F854" s="830"/>
      <c r="G854" s="1049"/>
      <c r="H854" s="831"/>
      <c r="I854" s="832"/>
      <c r="L854" s="816">
        <f t="shared" si="47"/>
        <v>0</v>
      </c>
      <c r="M854" s="833">
        <f t="shared" si="48"/>
        <v>0</v>
      </c>
      <c r="N854" s="834"/>
      <c r="O854" s="835">
        <f t="shared" si="49"/>
        <v>0</v>
      </c>
      <c r="P854" s="827">
        <f t="shared" si="50"/>
        <v>0</v>
      </c>
      <c r="AD854" s="810"/>
    </row>
    <row r="855" spans="3:30" ht="30" hidden="1" customHeight="1" outlineLevel="1">
      <c r="C855" s="828">
        <v>829</v>
      </c>
      <c r="D855" s="829"/>
      <c r="E855" s="830"/>
      <c r="F855" s="830"/>
      <c r="G855" s="1049"/>
      <c r="H855" s="831"/>
      <c r="I855" s="832"/>
      <c r="L855" s="816">
        <f t="shared" si="47"/>
        <v>0</v>
      </c>
      <c r="M855" s="833">
        <f t="shared" si="48"/>
        <v>0</v>
      </c>
      <c r="N855" s="834"/>
      <c r="O855" s="835">
        <f t="shared" si="49"/>
        <v>0</v>
      </c>
      <c r="P855" s="827">
        <f t="shared" si="50"/>
        <v>0</v>
      </c>
      <c r="AD855" s="810"/>
    </row>
    <row r="856" spans="3:30" ht="30" hidden="1" customHeight="1" outlineLevel="1">
      <c r="C856" s="828">
        <v>830</v>
      </c>
      <c r="D856" s="829"/>
      <c r="E856" s="830"/>
      <c r="F856" s="830"/>
      <c r="G856" s="1049"/>
      <c r="H856" s="831"/>
      <c r="I856" s="832"/>
      <c r="L856" s="816">
        <f t="shared" si="47"/>
        <v>0</v>
      </c>
      <c r="M856" s="833">
        <f t="shared" si="48"/>
        <v>0</v>
      </c>
      <c r="N856" s="834"/>
      <c r="O856" s="835">
        <f t="shared" si="49"/>
        <v>0</v>
      </c>
      <c r="P856" s="827">
        <f t="shared" si="50"/>
        <v>0</v>
      </c>
      <c r="AD856" s="810"/>
    </row>
    <row r="857" spans="3:30" ht="30" hidden="1" customHeight="1" outlineLevel="1">
      <c r="C857" s="828">
        <v>831</v>
      </c>
      <c r="D857" s="829"/>
      <c r="E857" s="830"/>
      <c r="F857" s="830"/>
      <c r="G857" s="1049"/>
      <c r="H857" s="831"/>
      <c r="I857" s="832"/>
      <c r="L857" s="816">
        <f t="shared" si="47"/>
        <v>0</v>
      </c>
      <c r="M857" s="833">
        <f t="shared" si="48"/>
        <v>0</v>
      </c>
      <c r="N857" s="834"/>
      <c r="O857" s="835">
        <f t="shared" si="49"/>
        <v>0</v>
      </c>
      <c r="P857" s="827">
        <f t="shared" si="50"/>
        <v>0</v>
      </c>
      <c r="AD857" s="810"/>
    </row>
    <row r="858" spans="3:30" ht="30" hidden="1" customHeight="1" outlineLevel="1">
      <c r="C858" s="828">
        <v>832</v>
      </c>
      <c r="D858" s="829"/>
      <c r="E858" s="830"/>
      <c r="F858" s="830"/>
      <c r="G858" s="1049"/>
      <c r="H858" s="831"/>
      <c r="I858" s="832"/>
      <c r="L858" s="816">
        <f t="shared" si="47"/>
        <v>0</v>
      </c>
      <c r="M858" s="833">
        <f t="shared" si="48"/>
        <v>0</v>
      </c>
      <c r="N858" s="834"/>
      <c r="O858" s="835">
        <f t="shared" si="49"/>
        <v>0</v>
      </c>
      <c r="P858" s="827">
        <f t="shared" si="50"/>
        <v>0</v>
      </c>
      <c r="AD858" s="810"/>
    </row>
    <row r="859" spans="3:30" ht="30" hidden="1" customHeight="1" outlineLevel="1">
      <c r="C859" s="828">
        <v>833</v>
      </c>
      <c r="D859" s="829"/>
      <c r="E859" s="830"/>
      <c r="F859" s="830"/>
      <c r="G859" s="1049"/>
      <c r="H859" s="831"/>
      <c r="I859" s="832"/>
      <c r="L859" s="816">
        <f t="shared" si="47"/>
        <v>0</v>
      </c>
      <c r="M859" s="833">
        <f t="shared" si="48"/>
        <v>0</v>
      </c>
      <c r="N859" s="834"/>
      <c r="O859" s="835">
        <f t="shared" si="49"/>
        <v>0</v>
      </c>
      <c r="P859" s="827">
        <f t="shared" si="50"/>
        <v>0</v>
      </c>
      <c r="AD859" s="810"/>
    </row>
    <row r="860" spans="3:30" ht="30" hidden="1" customHeight="1" outlineLevel="1">
      <c r="C860" s="828">
        <v>834</v>
      </c>
      <c r="D860" s="829"/>
      <c r="E860" s="830"/>
      <c r="F860" s="830"/>
      <c r="G860" s="1049"/>
      <c r="H860" s="831"/>
      <c r="I860" s="832"/>
      <c r="L860" s="816">
        <f t="shared" si="47"/>
        <v>0</v>
      </c>
      <c r="M860" s="833">
        <f t="shared" si="48"/>
        <v>0</v>
      </c>
      <c r="N860" s="834"/>
      <c r="O860" s="835">
        <f t="shared" si="49"/>
        <v>0</v>
      </c>
      <c r="P860" s="827">
        <f t="shared" si="50"/>
        <v>0</v>
      </c>
      <c r="AD860" s="810"/>
    </row>
    <row r="861" spans="3:30" ht="30" hidden="1" customHeight="1" outlineLevel="1">
      <c r="C861" s="828">
        <v>835</v>
      </c>
      <c r="D861" s="829"/>
      <c r="E861" s="830"/>
      <c r="F861" s="830"/>
      <c r="G861" s="1049"/>
      <c r="H861" s="831"/>
      <c r="I861" s="832"/>
      <c r="L861" s="816">
        <f t="shared" si="47"/>
        <v>0</v>
      </c>
      <c r="M861" s="833">
        <f t="shared" si="48"/>
        <v>0</v>
      </c>
      <c r="N861" s="834"/>
      <c r="O861" s="835">
        <f t="shared" si="49"/>
        <v>0</v>
      </c>
      <c r="P861" s="827">
        <f t="shared" si="50"/>
        <v>0</v>
      </c>
      <c r="AD861" s="810"/>
    </row>
    <row r="862" spans="3:30" ht="30" hidden="1" customHeight="1" outlineLevel="1">
      <c r="C862" s="828">
        <v>836</v>
      </c>
      <c r="D862" s="829"/>
      <c r="E862" s="830"/>
      <c r="F862" s="830"/>
      <c r="G862" s="1049"/>
      <c r="H862" s="831"/>
      <c r="I862" s="832"/>
      <c r="L862" s="816">
        <f t="shared" si="47"/>
        <v>0</v>
      </c>
      <c r="M862" s="833">
        <f t="shared" si="48"/>
        <v>0</v>
      </c>
      <c r="N862" s="834"/>
      <c r="O862" s="835">
        <f t="shared" si="49"/>
        <v>0</v>
      </c>
      <c r="P862" s="827">
        <f t="shared" si="50"/>
        <v>0</v>
      </c>
      <c r="AD862" s="810"/>
    </row>
    <row r="863" spans="3:30" ht="30" hidden="1" customHeight="1" outlineLevel="1">
      <c r="C863" s="828">
        <v>837</v>
      </c>
      <c r="D863" s="829"/>
      <c r="E863" s="830"/>
      <c r="F863" s="830"/>
      <c r="G863" s="1049"/>
      <c r="H863" s="831"/>
      <c r="I863" s="832"/>
      <c r="L863" s="816">
        <f t="shared" si="47"/>
        <v>0</v>
      </c>
      <c r="M863" s="833">
        <f t="shared" si="48"/>
        <v>0</v>
      </c>
      <c r="N863" s="834"/>
      <c r="O863" s="835">
        <f t="shared" si="49"/>
        <v>0</v>
      </c>
      <c r="P863" s="827">
        <f t="shared" si="50"/>
        <v>0</v>
      </c>
      <c r="AD863" s="810"/>
    </row>
    <row r="864" spans="3:30" ht="30" hidden="1" customHeight="1" outlineLevel="1">
      <c r="C864" s="828">
        <v>838</v>
      </c>
      <c r="D864" s="829"/>
      <c r="E864" s="830"/>
      <c r="F864" s="830"/>
      <c r="G864" s="1049"/>
      <c r="H864" s="831"/>
      <c r="I864" s="832"/>
      <c r="L864" s="816">
        <f t="shared" si="47"/>
        <v>0</v>
      </c>
      <c r="M864" s="833">
        <f t="shared" si="48"/>
        <v>0</v>
      </c>
      <c r="N864" s="834"/>
      <c r="O864" s="835">
        <f t="shared" si="49"/>
        <v>0</v>
      </c>
      <c r="P864" s="827">
        <f t="shared" si="50"/>
        <v>0</v>
      </c>
      <c r="AD864" s="810"/>
    </row>
    <row r="865" spans="3:30" ht="30" hidden="1" customHeight="1" outlineLevel="1">
      <c r="C865" s="828">
        <v>839</v>
      </c>
      <c r="D865" s="829"/>
      <c r="E865" s="830"/>
      <c r="F865" s="830"/>
      <c r="G865" s="1049"/>
      <c r="H865" s="831"/>
      <c r="I865" s="832"/>
      <c r="L865" s="816">
        <f t="shared" si="47"/>
        <v>0</v>
      </c>
      <c r="M865" s="833">
        <f t="shared" si="48"/>
        <v>0</v>
      </c>
      <c r="N865" s="834"/>
      <c r="O865" s="835">
        <f t="shared" si="49"/>
        <v>0</v>
      </c>
      <c r="P865" s="827">
        <f t="shared" si="50"/>
        <v>0</v>
      </c>
      <c r="AD865" s="810"/>
    </row>
    <row r="866" spans="3:30" ht="30" hidden="1" customHeight="1" outlineLevel="1">
      <c r="C866" s="828">
        <v>840</v>
      </c>
      <c r="D866" s="829"/>
      <c r="E866" s="830"/>
      <c r="F866" s="830"/>
      <c r="G866" s="1049"/>
      <c r="H866" s="831"/>
      <c r="I866" s="832"/>
      <c r="L866" s="816">
        <f t="shared" si="47"/>
        <v>0</v>
      </c>
      <c r="M866" s="833">
        <f t="shared" si="48"/>
        <v>0</v>
      </c>
      <c r="N866" s="834"/>
      <c r="O866" s="835">
        <f t="shared" si="49"/>
        <v>0</v>
      </c>
      <c r="P866" s="827">
        <f t="shared" si="50"/>
        <v>0</v>
      </c>
      <c r="AD866" s="810"/>
    </row>
    <row r="867" spans="3:30" ht="30" hidden="1" customHeight="1" outlineLevel="1">
      <c r="C867" s="828">
        <v>841</v>
      </c>
      <c r="D867" s="829"/>
      <c r="E867" s="830"/>
      <c r="F867" s="830"/>
      <c r="G867" s="1049"/>
      <c r="H867" s="831"/>
      <c r="I867" s="832"/>
      <c r="L867" s="816">
        <f t="shared" si="47"/>
        <v>0</v>
      </c>
      <c r="M867" s="833">
        <f t="shared" si="48"/>
        <v>0</v>
      </c>
      <c r="N867" s="834"/>
      <c r="O867" s="835">
        <f t="shared" si="49"/>
        <v>0</v>
      </c>
      <c r="P867" s="827">
        <f t="shared" si="50"/>
        <v>0</v>
      </c>
      <c r="AD867" s="810"/>
    </row>
    <row r="868" spans="3:30" ht="30" hidden="1" customHeight="1" outlineLevel="1">
      <c r="C868" s="828">
        <v>842</v>
      </c>
      <c r="D868" s="829"/>
      <c r="E868" s="830"/>
      <c r="F868" s="830"/>
      <c r="G868" s="1049"/>
      <c r="H868" s="831"/>
      <c r="I868" s="832"/>
      <c r="L868" s="816">
        <f t="shared" si="47"/>
        <v>0</v>
      </c>
      <c r="M868" s="833">
        <f t="shared" si="48"/>
        <v>0</v>
      </c>
      <c r="N868" s="834"/>
      <c r="O868" s="835">
        <f t="shared" si="49"/>
        <v>0</v>
      </c>
      <c r="P868" s="827">
        <f t="shared" si="50"/>
        <v>0</v>
      </c>
      <c r="AD868" s="810"/>
    </row>
    <row r="869" spans="3:30" ht="30" hidden="1" customHeight="1" outlineLevel="1">
      <c r="C869" s="828">
        <v>843</v>
      </c>
      <c r="D869" s="829"/>
      <c r="E869" s="830"/>
      <c r="F869" s="830"/>
      <c r="G869" s="1049"/>
      <c r="H869" s="831"/>
      <c r="I869" s="832"/>
      <c r="L869" s="816">
        <f t="shared" si="47"/>
        <v>0</v>
      </c>
      <c r="M869" s="833">
        <f t="shared" si="48"/>
        <v>0</v>
      </c>
      <c r="N869" s="834"/>
      <c r="O869" s="835">
        <f t="shared" si="49"/>
        <v>0</v>
      </c>
      <c r="P869" s="827">
        <f t="shared" si="50"/>
        <v>0</v>
      </c>
      <c r="AD869" s="810"/>
    </row>
    <row r="870" spans="3:30" ht="30" hidden="1" customHeight="1" outlineLevel="1">
      <c r="C870" s="828">
        <v>844</v>
      </c>
      <c r="D870" s="829"/>
      <c r="E870" s="830"/>
      <c r="F870" s="830"/>
      <c r="G870" s="1049"/>
      <c r="H870" s="831"/>
      <c r="I870" s="832"/>
      <c r="L870" s="816">
        <f t="shared" si="47"/>
        <v>0</v>
      </c>
      <c r="M870" s="833">
        <f t="shared" si="48"/>
        <v>0</v>
      </c>
      <c r="N870" s="834"/>
      <c r="O870" s="835">
        <f t="shared" si="49"/>
        <v>0</v>
      </c>
      <c r="P870" s="827">
        <f t="shared" si="50"/>
        <v>0</v>
      </c>
      <c r="AD870" s="810"/>
    </row>
    <row r="871" spans="3:30" ht="30" hidden="1" customHeight="1" outlineLevel="1">
      <c r="C871" s="828">
        <v>845</v>
      </c>
      <c r="D871" s="829"/>
      <c r="E871" s="830"/>
      <c r="F871" s="830"/>
      <c r="G871" s="1049"/>
      <c r="H871" s="831"/>
      <c r="I871" s="832"/>
      <c r="L871" s="816">
        <f t="shared" si="47"/>
        <v>0</v>
      </c>
      <c r="M871" s="833">
        <f t="shared" si="48"/>
        <v>0</v>
      </c>
      <c r="N871" s="834"/>
      <c r="O871" s="835">
        <f t="shared" si="49"/>
        <v>0</v>
      </c>
      <c r="P871" s="827">
        <f t="shared" si="50"/>
        <v>0</v>
      </c>
      <c r="AD871" s="810"/>
    </row>
    <row r="872" spans="3:30" ht="30" hidden="1" customHeight="1" outlineLevel="1">
      <c r="C872" s="828">
        <v>846</v>
      </c>
      <c r="D872" s="829"/>
      <c r="E872" s="830"/>
      <c r="F872" s="830"/>
      <c r="G872" s="1049"/>
      <c r="H872" s="831"/>
      <c r="I872" s="832"/>
      <c r="L872" s="816">
        <f t="shared" si="47"/>
        <v>0</v>
      </c>
      <c r="M872" s="833">
        <f t="shared" si="48"/>
        <v>0</v>
      </c>
      <c r="N872" s="834"/>
      <c r="O872" s="835">
        <f t="shared" si="49"/>
        <v>0</v>
      </c>
      <c r="P872" s="827">
        <f t="shared" si="50"/>
        <v>0</v>
      </c>
      <c r="AD872" s="810"/>
    </row>
    <row r="873" spans="3:30" ht="30" hidden="1" customHeight="1" outlineLevel="1">
      <c r="C873" s="828">
        <v>847</v>
      </c>
      <c r="D873" s="829"/>
      <c r="E873" s="830"/>
      <c r="F873" s="830"/>
      <c r="G873" s="1049"/>
      <c r="H873" s="831"/>
      <c r="I873" s="832"/>
      <c r="L873" s="816">
        <f t="shared" si="47"/>
        <v>0</v>
      </c>
      <c r="M873" s="833">
        <f t="shared" si="48"/>
        <v>0</v>
      </c>
      <c r="N873" s="834"/>
      <c r="O873" s="835">
        <f t="shared" si="49"/>
        <v>0</v>
      </c>
      <c r="P873" s="827">
        <f t="shared" si="50"/>
        <v>0</v>
      </c>
      <c r="AD873" s="810"/>
    </row>
    <row r="874" spans="3:30" ht="30" hidden="1" customHeight="1" outlineLevel="1">
      <c r="C874" s="828">
        <v>848</v>
      </c>
      <c r="D874" s="829"/>
      <c r="E874" s="830"/>
      <c r="F874" s="830"/>
      <c r="G874" s="1049"/>
      <c r="H874" s="831"/>
      <c r="I874" s="832"/>
      <c r="L874" s="816">
        <f t="shared" si="47"/>
        <v>0</v>
      </c>
      <c r="M874" s="833">
        <f t="shared" si="48"/>
        <v>0</v>
      </c>
      <c r="N874" s="834"/>
      <c r="O874" s="835">
        <f t="shared" si="49"/>
        <v>0</v>
      </c>
      <c r="P874" s="827">
        <f t="shared" si="50"/>
        <v>0</v>
      </c>
      <c r="AD874" s="810"/>
    </row>
    <row r="875" spans="3:30" ht="30" hidden="1" customHeight="1" outlineLevel="1">
      <c r="C875" s="828">
        <v>849</v>
      </c>
      <c r="D875" s="829"/>
      <c r="E875" s="830"/>
      <c r="F875" s="830"/>
      <c r="G875" s="1049"/>
      <c r="H875" s="831"/>
      <c r="I875" s="832"/>
      <c r="L875" s="816">
        <f t="shared" si="47"/>
        <v>0</v>
      </c>
      <c r="M875" s="833">
        <f t="shared" si="48"/>
        <v>0</v>
      </c>
      <c r="N875" s="834"/>
      <c r="O875" s="835">
        <f t="shared" si="49"/>
        <v>0</v>
      </c>
      <c r="P875" s="827">
        <f t="shared" si="50"/>
        <v>0</v>
      </c>
      <c r="AD875" s="810"/>
    </row>
    <row r="876" spans="3:30" ht="30" hidden="1" customHeight="1" outlineLevel="1">
      <c r="C876" s="828">
        <v>850</v>
      </c>
      <c r="D876" s="829"/>
      <c r="E876" s="830"/>
      <c r="F876" s="830"/>
      <c r="G876" s="1049"/>
      <c r="H876" s="831"/>
      <c r="I876" s="832"/>
      <c r="L876" s="816">
        <f t="shared" si="47"/>
        <v>0</v>
      </c>
      <c r="M876" s="833">
        <f t="shared" si="48"/>
        <v>0</v>
      </c>
      <c r="N876" s="834"/>
      <c r="O876" s="835">
        <f t="shared" si="49"/>
        <v>0</v>
      </c>
      <c r="P876" s="827">
        <f t="shared" si="50"/>
        <v>0</v>
      </c>
      <c r="AD876" s="810"/>
    </row>
    <row r="877" spans="3:30" ht="30" hidden="1" customHeight="1" outlineLevel="1">
      <c r="C877" s="828">
        <v>851</v>
      </c>
      <c r="D877" s="829"/>
      <c r="E877" s="830"/>
      <c r="F877" s="830"/>
      <c r="G877" s="1049"/>
      <c r="H877" s="831"/>
      <c r="I877" s="832"/>
      <c r="L877" s="816">
        <f t="shared" si="47"/>
        <v>0</v>
      </c>
      <c r="M877" s="833">
        <f t="shared" si="48"/>
        <v>0</v>
      </c>
      <c r="N877" s="834"/>
      <c r="O877" s="835">
        <f t="shared" si="49"/>
        <v>0</v>
      </c>
      <c r="P877" s="827">
        <f t="shared" si="50"/>
        <v>0</v>
      </c>
      <c r="AD877" s="810"/>
    </row>
    <row r="878" spans="3:30" ht="30" hidden="1" customHeight="1" outlineLevel="1">
      <c r="C878" s="828">
        <v>852</v>
      </c>
      <c r="D878" s="829"/>
      <c r="E878" s="830"/>
      <c r="F878" s="830"/>
      <c r="G878" s="1049"/>
      <c r="H878" s="831"/>
      <c r="I878" s="832"/>
      <c r="L878" s="816">
        <f t="shared" si="47"/>
        <v>0</v>
      </c>
      <c r="M878" s="833">
        <f t="shared" si="48"/>
        <v>0</v>
      </c>
      <c r="N878" s="834"/>
      <c r="O878" s="835">
        <f t="shared" si="49"/>
        <v>0</v>
      </c>
      <c r="P878" s="827">
        <f t="shared" si="50"/>
        <v>0</v>
      </c>
      <c r="AD878" s="810"/>
    </row>
    <row r="879" spans="3:30" ht="30" hidden="1" customHeight="1" outlineLevel="1">
      <c r="C879" s="828">
        <v>853</v>
      </c>
      <c r="D879" s="829"/>
      <c r="E879" s="830"/>
      <c r="F879" s="830"/>
      <c r="G879" s="1049"/>
      <c r="H879" s="831"/>
      <c r="I879" s="832"/>
      <c r="L879" s="816">
        <f t="shared" si="47"/>
        <v>0</v>
      </c>
      <c r="M879" s="833">
        <f t="shared" si="48"/>
        <v>0</v>
      </c>
      <c r="N879" s="834"/>
      <c r="O879" s="835">
        <f t="shared" si="49"/>
        <v>0</v>
      </c>
      <c r="P879" s="827">
        <f t="shared" si="50"/>
        <v>0</v>
      </c>
      <c r="AD879" s="810"/>
    </row>
    <row r="880" spans="3:30" ht="30" hidden="1" customHeight="1" outlineLevel="1">
      <c r="C880" s="828">
        <v>854</v>
      </c>
      <c r="D880" s="829"/>
      <c r="E880" s="830"/>
      <c r="F880" s="830"/>
      <c r="G880" s="1049"/>
      <c r="H880" s="831"/>
      <c r="I880" s="832"/>
      <c r="L880" s="816">
        <f t="shared" ref="L880:L943" si="51">IF($G880&gt;0,E880,)</f>
        <v>0</v>
      </c>
      <c r="M880" s="833">
        <f t="shared" ref="M880:M943" si="52">IF($G880&gt;0,F880,)</f>
        <v>0</v>
      </c>
      <c r="N880" s="834"/>
      <c r="O880" s="835">
        <f t="shared" ref="O880:O943" si="53">ROUND(L880*N880/10,)</f>
        <v>0</v>
      </c>
      <c r="P880" s="827">
        <f t="shared" ref="P880:P943" si="54">ROUND(O880*G880%,)</f>
        <v>0</v>
      </c>
      <c r="AD880" s="810"/>
    </row>
    <row r="881" spans="3:30" ht="30" hidden="1" customHeight="1" outlineLevel="1">
      <c r="C881" s="828">
        <v>855</v>
      </c>
      <c r="D881" s="829"/>
      <c r="E881" s="830"/>
      <c r="F881" s="830"/>
      <c r="G881" s="1049"/>
      <c r="H881" s="831"/>
      <c r="I881" s="832"/>
      <c r="L881" s="816">
        <f t="shared" si="51"/>
        <v>0</v>
      </c>
      <c r="M881" s="833">
        <f t="shared" si="52"/>
        <v>0</v>
      </c>
      <c r="N881" s="834"/>
      <c r="O881" s="835">
        <f t="shared" si="53"/>
        <v>0</v>
      </c>
      <c r="P881" s="827">
        <f t="shared" si="54"/>
        <v>0</v>
      </c>
      <c r="AD881" s="810"/>
    </row>
    <row r="882" spans="3:30" ht="30" hidden="1" customHeight="1" outlineLevel="1">
      <c r="C882" s="828">
        <v>856</v>
      </c>
      <c r="D882" s="829"/>
      <c r="E882" s="830"/>
      <c r="F882" s="830"/>
      <c r="G882" s="1049"/>
      <c r="H882" s="831"/>
      <c r="I882" s="832"/>
      <c r="L882" s="816">
        <f t="shared" si="51"/>
        <v>0</v>
      </c>
      <c r="M882" s="833">
        <f t="shared" si="52"/>
        <v>0</v>
      </c>
      <c r="N882" s="834"/>
      <c r="O882" s="835">
        <f t="shared" si="53"/>
        <v>0</v>
      </c>
      <c r="P882" s="827">
        <f t="shared" si="54"/>
        <v>0</v>
      </c>
      <c r="AD882" s="810"/>
    </row>
    <row r="883" spans="3:30" ht="30" hidden="1" customHeight="1" outlineLevel="1">
      <c r="C883" s="828">
        <v>857</v>
      </c>
      <c r="D883" s="829"/>
      <c r="E883" s="830"/>
      <c r="F883" s="830"/>
      <c r="G883" s="1049"/>
      <c r="H883" s="831"/>
      <c r="I883" s="832"/>
      <c r="L883" s="816">
        <f t="shared" si="51"/>
        <v>0</v>
      </c>
      <c r="M883" s="833">
        <f t="shared" si="52"/>
        <v>0</v>
      </c>
      <c r="N883" s="834"/>
      <c r="O883" s="835">
        <f t="shared" si="53"/>
        <v>0</v>
      </c>
      <c r="P883" s="827">
        <f t="shared" si="54"/>
        <v>0</v>
      </c>
      <c r="AD883" s="810"/>
    </row>
    <row r="884" spans="3:30" ht="30" hidden="1" customHeight="1" outlineLevel="1">
      <c r="C884" s="828">
        <v>858</v>
      </c>
      <c r="D884" s="829"/>
      <c r="E884" s="830"/>
      <c r="F884" s="830"/>
      <c r="G884" s="1049"/>
      <c r="H884" s="831"/>
      <c r="I884" s="832"/>
      <c r="L884" s="816">
        <f t="shared" si="51"/>
        <v>0</v>
      </c>
      <c r="M884" s="833">
        <f t="shared" si="52"/>
        <v>0</v>
      </c>
      <c r="N884" s="834"/>
      <c r="O884" s="835">
        <f t="shared" si="53"/>
        <v>0</v>
      </c>
      <c r="P884" s="827">
        <f t="shared" si="54"/>
        <v>0</v>
      </c>
      <c r="AD884" s="810"/>
    </row>
    <row r="885" spans="3:30" ht="30" hidden="1" customHeight="1" outlineLevel="1">
      <c r="C885" s="828">
        <v>859</v>
      </c>
      <c r="D885" s="829"/>
      <c r="E885" s="830"/>
      <c r="F885" s="830"/>
      <c r="G885" s="1049"/>
      <c r="H885" s="831"/>
      <c r="I885" s="832"/>
      <c r="L885" s="816">
        <f t="shared" si="51"/>
        <v>0</v>
      </c>
      <c r="M885" s="833">
        <f t="shared" si="52"/>
        <v>0</v>
      </c>
      <c r="N885" s="834"/>
      <c r="O885" s="835">
        <f t="shared" si="53"/>
        <v>0</v>
      </c>
      <c r="P885" s="827">
        <f t="shared" si="54"/>
        <v>0</v>
      </c>
      <c r="AD885" s="810"/>
    </row>
    <row r="886" spans="3:30" ht="30" hidden="1" customHeight="1" outlineLevel="1">
      <c r="C886" s="828">
        <v>860</v>
      </c>
      <c r="D886" s="829"/>
      <c r="E886" s="830"/>
      <c r="F886" s="830"/>
      <c r="G886" s="1049"/>
      <c r="H886" s="831"/>
      <c r="I886" s="832"/>
      <c r="L886" s="816">
        <f t="shared" si="51"/>
        <v>0</v>
      </c>
      <c r="M886" s="833">
        <f t="shared" si="52"/>
        <v>0</v>
      </c>
      <c r="N886" s="834"/>
      <c r="O886" s="835">
        <f t="shared" si="53"/>
        <v>0</v>
      </c>
      <c r="P886" s="827">
        <f t="shared" si="54"/>
        <v>0</v>
      </c>
      <c r="AD886" s="810"/>
    </row>
    <row r="887" spans="3:30" ht="30" hidden="1" customHeight="1" outlineLevel="1">
      <c r="C887" s="828">
        <v>861</v>
      </c>
      <c r="D887" s="829"/>
      <c r="E887" s="830"/>
      <c r="F887" s="830"/>
      <c r="G887" s="1049"/>
      <c r="H887" s="831"/>
      <c r="I887" s="832"/>
      <c r="L887" s="816">
        <f t="shared" si="51"/>
        <v>0</v>
      </c>
      <c r="M887" s="833">
        <f t="shared" si="52"/>
        <v>0</v>
      </c>
      <c r="N887" s="834"/>
      <c r="O887" s="835">
        <f t="shared" si="53"/>
        <v>0</v>
      </c>
      <c r="P887" s="827">
        <f t="shared" si="54"/>
        <v>0</v>
      </c>
      <c r="AD887" s="810"/>
    </row>
    <row r="888" spans="3:30" ht="30" hidden="1" customHeight="1" outlineLevel="1">
      <c r="C888" s="828">
        <v>862</v>
      </c>
      <c r="D888" s="829"/>
      <c r="E888" s="830"/>
      <c r="F888" s="830"/>
      <c r="G888" s="1049"/>
      <c r="H888" s="831"/>
      <c r="I888" s="832"/>
      <c r="L888" s="816">
        <f t="shared" si="51"/>
        <v>0</v>
      </c>
      <c r="M888" s="833">
        <f t="shared" si="52"/>
        <v>0</v>
      </c>
      <c r="N888" s="834"/>
      <c r="O888" s="835">
        <f t="shared" si="53"/>
        <v>0</v>
      </c>
      <c r="P888" s="827">
        <f t="shared" si="54"/>
        <v>0</v>
      </c>
      <c r="AD888" s="810"/>
    </row>
    <row r="889" spans="3:30" ht="30" hidden="1" customHeight="1" outlineLevel="1">
      <c r="C889" s="828">
        <v>863</v>
      </c>
      <c r="D889" s="829"/>
      <c r="E889" s="830"/>
      <c r="F889" s="830"/>
      <c r="G889" s="1049"/>
      <c r="H889" s="831"/>
      <c r="I889" s="832"/>
      <c r="L889" s="816">
        <f t="shared" si="51"/>
        <v>0</v>
      </c>
      <c r="M889" s="833">
        <f t="shared" si="52"/>
        <v>0</v>
      </c>
      <c r="N889" s="834"/>
      <c r="O889" s="835">
        <f t="shared" si="53"/>
        <v>0</v>
      </c>
      <c r="P889" s="827">
        <f t="shared" si="54"/>
        <v>0</v>
      </c>
      <c r="AD889" s="810"/>
    </row>
    <row r="890" spans="3:30" ht="30" hidden="1" customHeight="1" outlineLevel="1">
      <c r="C890" s="828">
        <v>864</v>
      </c>
      <c r="D890" s="829"/>
      <c r="E890" s="830"/>
      <c r="F890" s="830"/>
      <c r="G890" s="1049"/>
      <c r="H890" s="831"/>
      <c r="I890" s="832"/>
      <c r="L890" s="816">
        <f t="shared" si="51"/>
        <v>0</v>
      </c>
      <c r="M890" s="833">
        <f t="shared" si="52"/>
        <v>0</v>
      </c>
      <c r="N890" s="834"/>
      <c r="O890" s="835">
        <f t="shared" si="53"/>
        <v>0</v>
      </c>
      <c r="P890" s="827">
        <f t="shared" si="54"/>
        <v>0</v>
      </c>
      <c r="AD890" s="810"/>
    </row>
    <row r="891" spans="3:30" ht="30" hidden="1" customHeight="1" outlineLevel="1">
      <c r="C891" s="828">
        <v>865</v>
      </c>
      <c r="D891" s="829"/>
      <c r="E891" s="830"/>
      <c r="F891" s="830"/>
      <c r="G891" s="1049"/>
      <c r="H891" s="831"/>
      <c r="I891" s="832"/>
      <c r="L891" s="816">
        <f t="shared" si="51"/>
        <v>0</v>
      </c>
      <c r="M891" s="833">
        <f t="shared" si="52"/>
        <v>0</v>
      </c>
      <c r="N891" s="834"/>
      <c r="O891" s="835">
        <f t="shared" si="53"/>
        <v>0</v>
      </c>
      <c r="P891" s="827">
        <f t="shared" si="54"/>
        <v>0</v>
      </c>
      <c r="AD891" s="810"/>
    </row>
    <row r="892" spans="3:30" ht="30" hidden="1" customHeight="1" outlineLevel="1">
      <c r="C892" s="828">
        <v>866</v>
      </c>
      <c r="D892" s="829"/>
      <c r="E892" s="830"/>
      <c r="F892" s="830"/>
      <c r="G892" s="1049"/>
      <c r="H892" s="831"/>
      <c r="I892" s="832"/>
      <c r="L892" s="816">
        <f t="shared" si="51"/>
        <v>0</v>
      </c>
      <c r="M892" s="833">
        <f t="shared" si="52"/>
        <v>0</v>
      </c>
      <c r="N892" s="834"/>
      <c r="O892" s="835">
        <f t="shared" si="53"/>
        <v>0</v>
      </c>
      <c r="P892" s="827">
        <f t="shared" si="54"/>
        <v>0</v>
      </c>
      <c r="AD892" s="810"/>
    </row>
    <row r="893" spans="3:30" ht="30" hidden="1" customHeight="1" outlineLevel="1">
      <c r="C893" s="828">
        <v>867</v>
      </c>
      <c r="D893" s="829"/>
      <c r="E893" s="830"/>
      <c r="F893" s="830"/>
      <c r="G893" s="1049"/>
      <c r="H893" s="831"/>
      <c r="I893" s="832"/>
      <c r="L893" s="816">
        <f t="shared" si="51"/>
        <v>0</v>
      </c>
      <c r="M893" s="833">
        <f t="shared" si="52"/>
        <v>0</v>
      </c>
      <c r="N893" s="834"/>
      <c r="O893" s="835">
        <f t="shared" si="53"/>
        <v>0</v>
      </c>
      <c r="P893" s="827">
        <f t="shared" si="54"/>
        <v>0</v>
      </c>
      <c r="AD893" s="810"/>
    </row>
    <row r="894" spans="3:30" ht="30" hidden="1" customHeight="1" outlineLevel="1">
      <c r="C894" s="828">
        <v>868</v>
      </c>
      <c r="D894" s="829"/>
      <c r="E894" s="830"/>
      <c r="F894" s="830"/>
      <c r="G894" s="1049"/>
      <c r="H894" s="831"/>
      <c r="I894" s="832"/>
      <c r="L894" s="816">
        <f t="shared" si="51"/>
        <v>0</v>
      </c>
      <c r="M894" s="833">
        <f t="shared" si="52"/>
        <v>0</v>
      </c>
      <c r="N894" s="834"/>
      <c r="O894" s="835">
        <f t="shared" si="53"/>
        <v>0</v>
      </c>
      <c r="P894" s="827">
        <f t="shared" si="54"/>
        <v>0</v>
      </c>
      <c r="AD894" s="810"/>
    </row>
    <row r="895" spans="3:30" ht="30" hidden="1" customHeight="1" outlineLevel="1">
      <c r="C895" s="828">
        <v>869</v>
      </c>
      <c r="D895" s="829"/>
      <c r="E895" s="830"/>
      <c r="F895" s="830"/>
      <c r="G895" s="1049"/>
      <c r="H895" s="831"/>
      <c r="I895" s="832"/>
      <c r="L895" s="816">
        <f t="shared" si="51"/>
        <v>0</v>
      </c>
      <c r="M895" s="833">
        <f t="shared" si="52"/>
        <v>0</v>
      </c>
      <c r="N895" s="834"/>
      <c r="O895" s="835">
        <f t="shared" si="53"/>
        <v>0</v>
      </c>
      <c r="P895" s="827">
        <f t="shared" si="54"/>
        <v>0</v>
      </c>
      <c r="AD895" s="810"/>
    </row>
    <row r="896" spans="3:30" ht="30" hidden="1" customHeight="1" outlineLevel="1">
      <c r="C896" s="828">
        <v>870</v>
      </c>
      <c r="D896" s="829"/>
      <c r="E896" s="830"/>
      <c r="F896" s="830"/>
      <c r="G896" s="1049"/>
      <c r="H896" s="831"/>
      <c r="I896" s="832"/>
      <c r="L896" s="816">
        <f t="shared" si="51"/>
        <v>0</v>
      </c>
      <c r="M896" s="833">
        <f t="shared" si="52"/>
        <v>0</v>
      </c>
      <c r="N896" s="834"/>
      <c r="O896" s="835">
        <f t="shared" si="53"/>
        <v>0</v>
      </c>
      <c r="P896" s="827">
        <f t="shared" si="54"/>
        <v>0</v>
      </c>
      <c r="AD896" s="810"/>
    </row>
    <row r="897" spans="3:30" ht="30" hidden="1" customHeight="1" outlineLevel="1">
      <c r="C897" s="828">
        <v>871</v>
      </c>
      <c r="D897" s="829"/>
      <c r="E897" s="830"/>
      <c r="F897" s="830"/>
      <c r="G897" s="1049"/>
      <c r="H897" s="831"/>
      <c r="I897" s="832"/>
      <c r="L897" s="816">
        <f t="shared" si="51"/>
        <v>0</v>
      </c>
      <c r="M897" s="833">
        <f t="shared" si="52"/>
        <v>0</v>
      </c>
      <c r="N897" s="834"/>
      <c r="O897" s="835">
        <f t="shared" si="53"/>
        <v>0</v>
      </c>
      <c r="P897" s="827">
        <f t="shared" si="54"/>
        <v>0</v>
      </c>
      <c r="AD897" s="810"/>
    </row>
    <row r="898" spans="3:30" ht="30" hidden="1" customHeight="1" outlineLevel="1">
      <c r="C898" s="828">
        <v>872</v>
      </c>
      <c r="D898" s="829"/>
      <c r="E898" s="830"/>
      <c r="F898" s="830"/>
      <c r="G898" s="1049"/>
      <c r="H898" s="831"/>
      <c r="I898" s="832"/>
      <c r="L898" s="816">
        <f t="shared" si="51"/>
        <v>0</v>
      </c>
      <c r="M898" s="833">
        <f t="shared" si="52"/>
        <v>0</v>
      </c>
      <c r="N898" s="834"/>
      <c r="O898" s="835">
        <f t="shared" si="53"/>
        <v>0</v>
      </c>
      <c r="P898" s="827">
        <f t="shared" si="54"/>
        <v>0</v>
      </c>
      <c r="AD898" s="810"/>
    </row>
    <row r="899" spans="3:30" ht="30" hidden="1" customHeight="1" outlineLevel="1">
      <c r="C899" s="828">
        <v>873</v>
      </c>
      <c r="D899" s="829"/>
      <c r="E899" s="830"/>
      <c r="F899" s="830"/>
      <c r="G899" s="1049"/>
      <c r="H899" s="831"/>
      <c r="I899" s="832"/>
      <c r="L899" s="816">
        <f t="shared" si="51"/>
        <v>0</v>
      </c>
      <c r="M899" s="833">
        <f t="shared" si="52"/>
        <v>0</v>
      </c>
      <c r="N899" s="834"/>
      <c r="O899" s="835">
        <f t="shared" si="53"/>
        <v>0</v>
      </c>
      <c r="P899" s="827">
        <f t="shared" si="54"/>
        <v>0</v>
      </c>
      <c r="AD899" s="810"/>
    </row>
    <row r="900" spans="3:30" ht="30" hidden="1" customHeight="1" outlineLevel="1">
      <c r="C900" s="828">
        <v>874</v>
      </c>
      <c r="D900" s="829"/>
      <c r="E900" s="830"/>
      <c r="F900" s="830"/>
      <c r="G900" s="1049"/>
      <c r="H900" s="831"/>
      <c r="I900" s="832"/>
      <c r="L900" s="816">
        <f t="shared" si="51"/>
        <v>0</v>
      </c>
      <c r="M900" s="833">
        <f t="shared" si="52"/>
        <v>0</v>
      </c>
      <c r="N900" s="834"/>
      <c r="O900" s="835">
        <f t="shared" si="53"/>
        <v>0</v>
      </c>
      <c r="P900" s="827">
        <f t="shared" si="54"/>
        <v>0</v>
      </c>
      <c r="AD900" s="810"/>
    </row>
    <row r="901" spans="3:30" ht="30" hidden="1" customHeight="1" outlineLevel="1">
      <c r="C901" s="828">
        <v>875</v>
      </c>
      <c r="D901" s="829"/>
      <c r="E901" s="830"/>
      <c r="F901" s="830"/>
      <c r="G901" s="1049"/>
      <c r="H901" s="831"/>
      <c r="I901" s="832"/>
      <c r="L901" s="816">
        <f t="shared" si="51"/>
        <v>0</v>
      </c>
      <c r="M901" s="833">
        <f t="shared" si="52"/>
        <v>0</v>
      </c>
      <c r="N901" s="834"/>
      <c r="O901" s="835">
        <f t="shared" si="53"/>
        <v>0</v>
      </c>
      <c r="P901" s="827">
        <f t="shared" si="54"/>
        <v>0</v>
      </c>
      <c r="AD901" s="810"/>
    </row>
    <row r="902" spans="3:30" ht="30" hidden="1" customHeight="1" outlineLevel="1">
      <c r="C902" s="828">
        <v>876</v>
      </c>
      <c r="D902" s="829"/>
      <c r="E902" s="830"/>
      <c r="F902" s="830"/>
      <c r="G902" s="1049"/>
      <c r="H902" s="831"/>
      <c r="I902" s="832"/>
      <c r="L902" s="816">
        <f t="shared" si="51"/>
        <v>0</v>
      </c>
      <c r="M902" s="833">
        <f t="shared" si="52"/>
        <v>0</v>
      </c>
      <c r="N902" s="834"/>
      <c r="O902" s="835">
        <f t="shared" si="53"/>
        <v>0</v>
      </c>
      <c r="P902" s="827">
        <f t="shared" si="54"/>
        <v>0</v>
      </c>
      <c r="AD902" s="810"/>
    </row>
    <row r="903" spans="3:30" ht="30" hidden="1" customHeight="1" outlineLevel="1">
      <c r="C903" s="828">
        <v>877</v>
      </c>
      <c r="D903" s="829"/>
      <c r="E903" s="830"/>
      <c r="F903" s="830"/>
      <c r="G903" s="1049"/>
      <c r="H903" s="831"/>
      <c r="I903" s="832"/>
      <c r="L903" s="816">
        <f t="shared" si="51"/>
        <v>0</v>
      </c>
      <c r="M903" s="833">
        <f t="shared" si="52"/>
        <v>0</v>
      </c>
      <c r="N903" s="834"/>
      <c r="O903" s="835">
        <f t="shared" si="53"/>
        <v>0</v>
      </c>
      <c r="P903" s="827">
        <f t="shared" si="54"/>
        <v>0</v>
      </c>
      <c r="AD903" s="810"/>
    </row>
    <row r="904" spans="3:30" ht="30" hidden="1" customHeight="1" outlineLevel="1">
      <c r="C904" s="828">
        <v>878</v>
      </c>
      <c r="D904" s="829"/>
      <c r="E904" s="830"/>
      <c r="F904" s="830"/>
      <c r="G904" s="1049"/>
      <c r="H904" s="831"/>
      <c r="I904" s="832"/>
      <c r="L904" s="816">
        <f t="shared" si="51"/>
        <v>0</v>
      </c>
      <c r="M904" s="833">
        <f t="shared" si="52"/>
        <v>0</v>
      </c>
      <c r="N904" s="834"/>
      <c r="O904" s="835">
        <f t="shared" si="53"/>
        <v>0</v>
      </c>
      <c r="P904" s="827">
        <f t="shared" si="54"/>
        <v>0</v>
      </c>
      <c r="AD904" s="810"/>
    </row>
    <row r="905" spans="3:30" ht="30" hidden="1" customHeight="1" outlineLevel="1">
      <c r="C905" s="828">
        <v>879</v>
      </c>
      <c r="D905" s="829"/>
      <c r="E905" s="830"/>
      <c r="F905" s="830"/>
      <c r="G905" s="1049"/>
      <c r="H905" s="831"/>
      <c r="I905" s="832"/>
      <c r="L905" s="816">
        <f t="shared" si="51"/>
        <v>0</v>
      </c>
      <c r="M905" s="833">
        <f t="shared" si="52"/>
        <v>0</v>
      </c>
      <c r="N905" s="834"/>
      <c r="O905" s="835">
        <f t="shared" si="53"/>
        <v>0</v>
      </c>
      <c r="P905" s="827">
        <f t="shared" si="54"/>
        <v>0</v>
      </c>
      <c r="AD905" s="810"/>
    </row>
    <row r="906" spans="3:30" ht="30" hidden="1" customHeight="1" outlineLevel="1">
      <c r="C906" s="828">
        <v>880</v>
      </c>
      <c r="D906" s="829"/>
      <c r="E906" s="830"/>
      <c r="F906" s="830"/>
      <c r="G906" s="1049"/>
      <c r="H906" s="831"/>
      <c r="I906" s="832"/>
      <c r="L906" s="816">
        <f t="shared" si="51"/>
        <v>0</v>
      </c>
      <c r="M906" s="833">
        <f t="shared" si="52"/>
        <v>0</v>
      </c>
      <c r="N906" s="834"/>
      <c r="O906" s="835">
        <f t="shared" si="53"/>
        <v>0</v>
      </c>
      <c r="P906" s="827">
        <f t="shared" si="54"/>
        <v>0</v>
      </c>
      <c r="AD906" s="810"/>
    </row>
    <row r="907" spans="3:30" ht="30" hidden="1" customHeight="1" outlineLevel="1">
      <c r="C907" s="828">
        <v>881</v>
      </c>
      <c r="D907" s="829"/>
      <c r="E907" s="830"/>
      <c r="F907" s="830"/>
      <c r="G907" s="1049"/>
      <c r="H907" s="831"/>
      <c r="I907" s="832"/>
      <c r="L907" s="816">
        <f t="shared" si="51"/>
        <v>0</v>
      </c>
      <c r="M907" s="833">
        <f t="shared" si="52"/>
        <v>0</v>
      </c>
      <c r="N907" s="834"/>
      <c r="O907" s="835">
        <f t="shared" si="53"/>
        <v>0</v>
      </c>
      <c r="P907" s="827">
        <f t="shared" si="54"/>
        <v>0</v>
      </c>
      <c r="AD907" s="810"/>
    </row>
    <row r="908" spans="3:30" ht="30" hidden="1" customHeight="1" outlineLevel="1">
      <c r="C908" s="828">
        <v>882</v>
      </c>
      <c r="D908" s="829"/>
      <c r="E908" s="830"/>
      <c r="F908" s="830"/>
      <c r="G908" s="1049"/>
      <c r="H908" s="831"/>
      <c r="I908" s="832"/>
      <c r="L908" s="816">
        <f t="shared" si="51"/>
        <v>0</v>
      </c>
      <c r="M908" s="833">
        <f t="shared" si="52"/>
        <v>0</v>
      </c>
      <c r="N908" s="834"/>
      <c r="O908" s="835">
        <f t="shared" si="53"/>
        <v>0</v>
      </c>
      <c r="P908" s="827">
        <f t="shared" si="54"/>
        <v>0</v>
      </c>
      <c r="AD908" s="810"/>
    </row>
    <row r="909" spans="3:30" ht="30" hidden="1" customHeight="1" outlineLevel="1">
      <c r="C909" s="828">
        <v>883</v>
      </c>
      <c r="D909" s="829"/>
      <c r="E909" s="830"/>
      <c r="F909" s="830"/>
      <c r="G909" s="1049"/>
      <c r="H909" s="831"/>
      <c r="I909" s="832"/>
      <c r="L909" s="816">
        <f t="shared" si="51"/>
        <v>0</v>
      </c>
      <c r="M909" s="833">
        <f t="shared" si="52"/>
        <v>0</v>
      </c>
      <c r="N909" s="834"/>
      <c r="O909" s="835">
        <f t="shared" si="53"/>
        <v>0</v>
      </c>
      <c r="P909" s="827">
        <f t="shared" si="54"/>
        <v>0</v>
      </c>
      <c r="AD909" s="810"/>
    </row>
    <row r="910" spans="3:30" ht="30" hidden="1" customHeight="1" outlineLevel="1">
      <c r="C910" s="828">
        <v>884</v>
      </c>
      <c r="D910" s="829"/>
      <c r="E910" s="830"/>
      <c r="F910" s="830"/>
      <c r="G910" s="1049"/>
      <c r="H910" s="831"/>
      <c r="I910" s="832"/>
      <c r="L910" s="816">
        <f t="shared" si="51"/>
        <v>0</v>
      </c>
      <c r="M910" s="833">
        <f t="shared" si="52"/>
        <v>0</v>
      </c>
      <c r="N910" s="834"/>
      <c r="O910" s="835">
        <f t="shared" si="53"/>
        <v>0</v>
      </c>
      <c r="P910" s="827">
        <f t="shared" si="54"/>
        <v>0</v>
      </c>
      <c r="AD910" s="810"/>
    </row>
    <row r="911" spans="3:30" ht="30" hidden="1" customHeight="1" outlineLevel="1">
      <c r="C911" s="828">
        <v>885</v>
      </c>
      <c r="D911" s="829"/>
      <c r="E911" s="830"/>
      <c r="F911" s="830"/>
      <c r="G911" s="1049"/>
      <c r="H911" s="831"/>
      <c r="I911" s="832"/>
      <c r="L911" s="816">
        <f t="shared" si="51"/>
        <v>0</v>
      </c>
      <c r="M911" s="833">
        <f t="shared" si="52"/>
        <v>0</v>
      </c>
      <c r="N911" s="834"/>
      <c r="O911" s="835">
        <f t="shared" si="53"/>
        <v>0</v>
      </c>
      <c r="P911" s="827">
        <f t="shared" si="54"/>
        <v>0</v>
      </c>
      <c r="AD911" s="810"/>
    </row>
    <row r="912" spans="3:30" ht="30" hidden="1" customHeight="1" outlineLevel="1">
      <c r="C912" s="828">
        <v>886</v>
      </c>
      <c r="D912" s="829"/>
      <c r="E912" s="830"/>
      <c r="F912" s="830"/>
      <c r="G912" s="1049"/>
      <c r="H912" s="831"/>
      <c r="I912" s="832"/>
      <c r="L912" s="816">
        <f t="shared" si="51"/>
        <v>0</v>
      </c>
      <c r="M912" s="833">
        <f t="shared" si="52"/>
        <v>0</v>
      </c>
      <c r="N912" s="834"/>
      <c r="O912" s="835">
        <f t="shared" si="53"/>
        <v>0</v>
      </c>
      <c r="P912" s="827">
        <f t="shared" si="54"/>
        <v>0</v>
      </c>
      <c r="AD912" s="810"/>
    </row>
    <row r="913" spans="3:30" ht="30" hidden="1" customHeight="1" outlineLevel="1">
      <c r="C913" s="828">
        <v>887</v>
      </c>
      <c r="D913" s="829"/>
      <c r="E913" s="830"/>
      <c r="F913" s="830"/>
      <c r="G913" s="1049"/>
      <c r="H913" s="831"/>
      <c r="I913" s="832"/>
      <c r="L913" s="816">
        <f t="shared" si="51"/>
        <v>0</v>
      </c>
      <c r="M913" s="833">
        <f t="shared" si="52"/>
        <v>0</v>
      </c>
      <c r="N913" s="834"/>
      <c r="O913" s="835">
        <f t="shared" si="53"/>
        <v>0</v>
      </c>
      <c r="P913" s="827">
        <f t="shared" si="54"/>
        <v>0</v>
      </c>
      <c r="AD913" s="810"/>
    </row>
    <row r="914" spans="3:30" ht="30" hidden="1" customHeight="1" outlineLevel="1">
      <c r="C914" s="828">
        <v>888</v>
      </c>
      <c r="D914" s="829"/>
      <c r="E914" s="830"/>
      <c r="F914" s="830"/>
      <c r="G914" s="1049"/>
      <c r="H914" s="831"/>
      <c r="I914" s="832"/>
      <c r="L914" s="816">
        <f t="shared" si="51"/>
        <v>0</v>
      </c>
      <c r="M914" s="833">
        <f t="shared" si="52"/>
        <v>0</v>
      </c>
      <c r="N914" s="834"/>
      <c r="O914" s="835">
        <f t="shared" si="53"/>
        <v>0</v>
      </c>
      <c r="P914" s="827">
        <f t="shared" si="54"/>
        <v>0</v>
      </c>
      <c r="AD914" s="810"/>
    </row>
    <row r="915" spans="3:30" ht="30" hidden="1" customHeight="1" outlineLevel="1">
      <c r="C915" s="828">
        <v>889</v>
      </c>
      <c r="D915" s="829"/>
      <c r="E915" s="830"/>
      <c r="F915" s="830"/>
      <c r="G915" s="1049"/>
      <c r="H915" s="831"/>
      <c r="I915" s="832"/>
      <c r="L915" s="816">
        <f t="shared" si="51"/>
        <v>0</v>
      </c>
      <c r="M915" s="833">
        <f t="shared" si="52"/>
        <v>0</v>
      </c>
      <c r="N915" s="834"/>
      <c r="O915" s="835">
        <f t="shared" si="53"/>
        <v>0</v>
      </c>
      <c r="P915" s="827">
        <f t="shared" si="54"/>
        <v>0</v>
      </c>
      <c r="AD915" s="810"/>
    </row>
    <row r="916" spans="3:30" ht="30" hidden="1" customHeight="1" outlineLevel="1">
      <c r="C916" s="828">
        <v>890</v>
      </c>
      <c r="D916" s="829"/>
      <c r="E916" s="830"/>
      <c r="F916" s="830"/>
      <c r="G916" s="1049"/>
      <c r="H916" s="831"/>
      <c r="I916" s="832"/>
      <c r="L916" s="816">
        <f t="shared" si="51"/>
        <v>0</v>
      </c>
      <c r="M916" s="833">
        <f t="shared" si="52"/>
        <v>0</v>
      </c>
      <c r="N916" s="834"/>
      <c r="O916" s="835">
        <f t="shared" si="53"/>
        <v>0</v>
      </c>
      <c r="P916" s="827">
        <f t="shared" si="54"/>
        <v>0</v>
      </c>
      <c r="AD916" s="810"/>
    </row>
    <row r="917" spans="3:30" ht="30" hidden="1" customHeight="1" outlineLevel="1">
      <c r="C917" s="828">
        <v>891</v>
      </c>
      <c r="D917" s="829"/>
      <c r="E917" s="830"/>
      <c r="F917" s="830"/>
      <c r="G917" s="1049"/>
      <c r="H917" s="831"/>
      <c r="I917" s="832"/>
      <c r="L917" s="816">
        <f t="shared" si="51"/>
        <v>0</v>
      </c>
      <c r="M917" s="833">
        <f t="shared" si="52"/>
        <v>0</v>
      </c>
      <c r="N917" s="834"/>
      <c r="O917" s="835">
        <f t="shared" si="53"/>
        <v>0</v>
      </c>
      <c r="P917" s="827">
        <f t="shared" si="54"/>
        <v>0</v>
      </c>
      <c r="AD917" s="810"/>
    </row>
    <row r="918" spans="3:30" ht="30" hidden="1" customHeight="1" outlineLevel="1">
      <c r="C918" s="828">
        <v>892</v>
      </c>
      <c r="D918" s="829"/>
      <c r="E918" s="830"/>
      <c r="F918" s="830"/>
      <c r="G918" s="1049"/>
      <c r="H918" s="831"/>
      <c r="I918" s="832"/>
      <c r="L918" s="816">
        <f t="shared" si="51"/>
        <v>0</v>
      </c>
      <c r="M918" s="833">
        <f t="shared" si="52"/>
        <v>0</v>
      </c>
      <c r="N918" s="834"/>
      <c r="O918" s="835">
        <f t="shared" si="53"/>
        <v>0</v>
      </c>
      <c r="P918" s="827">
        <f t="shared" si="54"/>
        <v>0</v>
      </c>
      <c r="AD918" s="810"/>
    </row>
    <row r="919" spans="3:30" ht="30" hidden="1" customHeight="1" outlineLevel="1">
      <c r="C919" s="828">
        <v>893</v>
      </c>
      <c r="D919" s="829"/>
      <c r="E919" s="830"/>
      <c r="F919" s="830"/>
      <c r="G919" s="1049"/>
      <c r="H919" s="831"/>
      <c r="I919" s="832"/>
      <c r="L919" s="816">
        <f t="shared" si="51"/>
        <v>0</v>
      </c>
      <c r="M919" s="833">
        <f t="shared" si="52"/>
        <v>0</v>
      </c>
      <c r="N919" s="834"/>
      <c r="O919" s="835">
        <f t="shared" si="53"/>
        <v>0</v>
      </c>
      <c r="P919" s="827">
        <f t="shared" si="54"/>
        <v>0</v>
      </c>
      <c r="AD919" s="810"/>
    </row>
    <row r="920" spans="3:30" ht="30" hidden="1" customHeight="1" outlineLevel="1">
      <c r="C920" s="828">
        <v>894</v>
      </c>
      <c r="D920" s="829"/>
      <c r="E920" s="830"/>
      <c r="F920" s="830"/>
      <c r="G920" s="1049"/>
      <c r="H920" s="831"/>
      <c r="I920" s="832"/>
      <c r="L920" s="816">
        <f t="shared" si="51"/>
        <v>0</v>
      </c>
      <c r="M920" s="833">
        <f t="shared" si="52"/>
        <v>0</v>
      </c>
      <c r="N920" s="834"/>
      <c r="O920" s="835">
        <f t="shared" si="53"/>
        <v>0</v>
      </c>
      <c r="P920" s="827">
        <f t="shared" si="54"/>
        <v>0</v>
      </c>
      <c r="AD920" s="810"/>
    </row>
    <row r="921" spans="3:30" ht="30" hidden="1" customHeight="1" outlineLevel="1">
      <c r="C921" s="828">
        <v>895</v>
      </c>
      <c r="D921" s="829"/>
      <c r="E921" s="830"/>
      <c r="F921" s="830"/>
      <c r="G921" s="1049"/>
      <c r="H921" s="831"/>
      <c r="I921" s="832"/>
      <c r="L921" s="816">
        <f t="shared" si="51"/>
        <v>0</v>
      </c>
      <c r="M921" s="833">
        <f t="shared" si="52"/>
        <v>0</v>
      </c>
      <c r="N921" s="834"/>
      <c r="O921" s="835">
        <f t="shared" si="53"/>
        <v>0</v>
      </c>
      <c r="P921" s="827">
        <f t="shared" si="54"/>
        <v>0</v>
      </c>
      <c r="AD921" s="810"/>
    </row>
    <row r="922" spans="3:30" ht="30" hidden="1" customHeight="1" outlineLevel="1">
      <c r="C922" s="828">
        <v>896</v>
      </c>
      <c r="D922" s="829"/>
      <c r="E922" s="830"/>
      <c r="F922" s="830"/>
      <c r="G922" s="1049"/>
      <c r="H922" s="831"/>
      <c r="I922" s="832"/>
      <c r="L922" s="816">
        <f t="shared" si="51"/>
        <v>0</v>
      </c>
      <c r="M922" s="833">
        <f t="shared" si="52"/>
        <v>0</v>
      </c>
      <c r="N922" s="834"/>
      <c r="O922" s="835">
        <f t="shared" si="53"/>
        <v>0</v>
      </c>
      <c r="P922" s="827">
        <f t="shared" si="54"/>
        <v>0</v>
      </c>
      <c r="AD922" s="810"/>
    </row>
    <row r="923" spans="3:30" ht="30" hidden="1" customHeight="1" outlineLevel="1">
      <c r="C923" s="828">
        <v>897</v>
      </c>
      <c r="D923" s="829"/>
      <c r="E923" s="830"/>
      <c r="F923" s="830"/>
      <c r="G923" s="1049"/>
      <c r="H923" s="831"/>
      <c r="I923" s="832"/>
      <c r="L923" s="816">
        <f t="shared" si="51"/>
        <v>0</v>
      </c>
      <c r="M923" s="833">
        <f t="shared" si="52"/>
        <v>0</v>
      </c>
      <c r="N923" s="834"/>
      <c r="O923" s="835">
        <f t="shared" si="53"/>
        <v>0</v>
      </c>
      <c r="P923" s="827">
        <f t="shared" si="54"/>
        <v>0</v>
      </c>
      <c r="AD923" s="810"/>
    </row>
    <row r="924" spans="3:30" ht="30" hidden="1" customHeight="1" outlineLevel="1">
      <c r="C924" s="828">
        <v>898</v>
      </c>
      <c r="D924" s="829"/>
      <c r="E924" s="830"/>
      <c r="F924" s="830"/>
      <c r="G924" s="1049"/>
      <c r="H924" s="831"/>
      <c r="I924" s="832"/>
      <c r="L924" s="816">
        <f t="shared" si="51"/>
        <v>0</v>
      </c>
      <c r="M924" s="833">
        <f t="shared" si="52"/>
        <v>0</v>
      </c>
      <c r="N924" s="834"/>
      <c r="O924" s="835">
        <f t="shared" si="53"/>
        <v>0</v>
      </c>
      <c r="P924" s="827">
        <f t="shared" si="54"/>
        <v>0</v>
      </c>
      <c r="AD924" s="810"/>
    </row>
    <row r="925" spans="3:30" ht="30" hidden="1" customHeight="1" outlineLevel="1">
      <c r="C925" s="828">
        <v>899</v>
      </c>
      <c r="D925" s="829"/>
      <c r="E925" s="830"/>
      <c r="F925" s="830"/>
      <c r="G925" s="1049"/>
      <c r="H925" s="831"/>
      <c r="I925" s="832"/>
      <c r="L925" s="816">
        <f t="shared" si="51"/>
        <v>0</v>
      </c>
      <c r="M925" s="833">
        <f t="shared" si="52"/>
        <v>0</v>
      </c>
      <c r="N925" s="834"/>
      <c r="O925" s="835">
        <f t="shared" si="53"/>
        <v>0</v>
      </c>
      <c r="P925" s="827">
        <f t="shared" si="54"/>
        <v>0</v>
      </c>
      <c r="AD925" s="810"/>
    </row>
    <row r="926" spans="3:30" ht="30" hidden="1" customHeight="1" outlineLevel="1">
      <c r="C926" s="828">
        <v>900</v>
      </c>
      <c r="D926" s="829"/>
      <c r="E926" s="830"/>
      <c r="F926" s="830"/>
      <c r="G926" s="1049"/>
      <c r="H926" s="831"/>
      <c r="I926" s="832"/>
      <c r="L926" s="816">
        <f t="shared" si="51"/>
        <v>0</v>
      </c>
      <c r="M926" s="833">
        <f t="shared" si="52"/>
        <v>0</v>
      </c>
      <c r="N926" s="834"/>
      <c r="O926" s="835">
        <f t="shared" si="53"/>
        <v>0</v>
      </c>
      <c r="P926" s="827">
        <f t="shared" si="54"/>
        <v>0</v>
      </c>
      <c r="AD926" s="810"/>
    </row>
    <row r="927" spans="3:30" ht="30" hidden="1" customHeight="1" outlineLevel="1">
      <c r="C927" s="828">
        <v>901</v>
      </c>
      <c r="D927" s="829"/>
      <c r="E927" s="830"/>
      <c r="F927" s="830"/>
      <c r="G927" s="1049"/>
      <c r="H927" s="831"/>
      <c r="I927" s="832"/>
      <c r="L927" s="816">
        <f t="shared" si="51"/>
        <v>0</v>
      </c>
      <c r="M927" s="833">
        <f t="shared" si="52"/>
        <v>0</v>
      </c>
      <c r="N927" s="834"/>
      <c r="O927" s="835">
        <f t="shared" si="53"/>
        <v>0</v>
      </c>
      <c r="P927" s="827">
        <f t="shared" si="54"/>
        <v>0</v>
      </c>
      <c r="AD927" s="810"/>
    </row>
    <row r="928" spans="3:30" ht="30" hidden="1" customHeight="1" outlineLevel="1">
      <c r="C928" s="828">
        <v>902</v>
      </c>
      <c r="D928" s="829"/>
      <c r="E928" s="830"/>
      <c r="F928" s="830"/>
      <c r="G928" s="1049"/>
      <c r="H928" s="831"/>
      <c r="I928" s="832"/>
      <c r="L928" s="816">
        <f t="shared" si="51"/>
        <v>0</v>
      </c>
      <c r="M928" s="833">
        <f t="shared" si="52"/>
        <v>0</v>
      </c>
      <c r="N928" s="834"/>
      <c r="O928" s="835">
        <f t="shared" si="53"/>
        <v>0</v>
      </c>
      <c r="P928" s="827">
        <f t="shared" si="54"/>
        <v>0</v>
      </c>
      <c r="AD928" s="810"/>
    </row>
    <row r="929" spans="3:30" ht="30" hidden="1" customHeight="1" outlineLevel="1">
      <c r="C929" s="828">
        <v>903</v>
      </c>
      <c r="D929" s="829"/>
      <c r="E929" s="830"/>
      <c r="F929" s="830"/>
      <c r="G929" s="1049"/>
      <c r="H929" s="831"/>
      <c r="I929" s="832"/>
      <c r="L929" s="816">
        <f t="shared" si="51"/>
        <v>0</v>
      </c>
      <c r="M929" s="833">
        <f t="shared" si="52"/>
        <v>0</v>
      </c>
      <c r="N929" s="834"/>
      <c r="O929" s="835">
        <f t="shared" si="53"/>
        <v>0</v>
      </c>
      <c r="P929" s="827">
        <f t="shared" si="54"/>
        <v>0</v>
      </c>
      <c r="AD929" s="810"/>
    </row>
    <row r="930" spans="3:30" ht="30" hidden="1" customHeight="1" outlineLevel="1">
      <c r="C930" s="828">
        <v>904</v>
      </c>
      <c r="D930" s="829"/>
      <c r="E930" s="830"/>
      <c r="F930" s="830"/>
      <c r="G930" s="1049"/>
      <c r="H930" s="831"/>
      <c r="I930" s="832"/>
      <c r="L930" s="816">
        <f t="shared" si="51"/>
        <v>0</v>
      </c>
      <c r="M930" s="833">
        <f t="shared" si="52"/>
        <v>0</v>
      </c>
      <c r="N930" s="834"/>
      <c r="O930" s="835">
        <f t="shared" si="53"/>
        <v>0</v>
      </c>
      <c r="P930" s="827">
        <f t="shared" si="54"/>
        <v>0</v>
      </c>
      <c r="AD930" s="810"/>
    </row>
    <row r="931" spans="3:30" ht="30" hidden="1" customHeight="1" outlineLevel="1">
      <c r="C931" s="828">
        <v>905</v>
      </c>
      <c r="D931" s="829"/>
      <c r="E931" s="830"/>
      <c r="F931" s="830"/>
      <c r="G931" s="1049"/>
      <c r="H931" s="831"/>
      <c r="I931" s="832"/>
      <c r="L931" s="816">
        <f t="shared" si="51"/>
        <v>0</v>
      </c>
      <c r="M931" s="833">
        <f t="shared" si="52"/>
        <v>0</v>
      </c>
      <c r="N931" s="834"/>
      <c r="O931" s="835">
        <f t="shared" si="53"/>
        <v>0</v>
      </c>
      <c r="P931" s="827">
        <f t="shared" si="54"/>
        <v>0</v>
      </c>
      <c r="AD931" s="810"/>
    </row>
    <row r="932" spans="3:30" ht="30" hidden="1" customHeight="1" outlineLevel="1">
      <c r="C932" s="828">
        <v>906</v>
      </c>
      <c r="D932" s="829"/>
      <c r="E932" s="830"/>
      <c r="F932" s="830"/>
      <c r="G932" s="1049"/>
      <c r="H932" s="831"/>
      <c r="I932" s="832"/>
      <c r="L932" s="816">
        <f t="shared" si="51"/>
        <v>0</v>
      </c>
      <c r="M932" s="833">
        <f t="shared" si="52"/>
        <v>0</v>
      </c>
      <c r="N932" s="834"/>
      <c r="O932" s="835">
        <f t="shared" si="53"/>
        <v>0</v>
      </c>
      <c r="P932" s="827">
        <f t="shared" si="54"/>
        <v>0</v>
      </c>
      <c r="AD932" s="810"/>
    </row>
    <row r="933" spans="3:30" ht="30" hidden="1" customHeight="1" outlineLevel="1">
      <c r="C933" s="828">
        <v>907</v>
      </c>
      <c r="D933" s="829"/>
      <c r="E933" s="830"/>
      <c r="F933" s="830"/>
      <c r="G933" s="1049"/>
      <c r="H933" s="831"/>
      <c r="I933" s="832"/>
      <c r="L933" s="816">
        <f t="shared" si="51"/>
        <v>0</v>
      </c>
      <c r="M933" s="833">
        <f t="shared" si="52"/>
        <v>0</v>
      </c>
      <c r="N933" s="834"/>
      <c r="O933" s="835">
        <f t="shared" si="53"/>
        <v>0</v>
      </c>
      <c r="P933" s="827">
        <f t="shared" si="54"/>
        <v>0</v>
      </c>
      <c r="AD933" s="810"/>
    </row>
    <row r="934" spans="3:30" ht="30" hidden="1" customHeight="1" outlineLevel="1">
      <c r="C934" s="828">
        <v>908</v>
      </c>
      <c r="D934" s="829"/>
      <c r="E934" s="830"/>
      <c r="F934" s="830"/>
      <c r="G934" s="1049"/>
      <c r="H934" s="831"/>
      <c r="I934" s="832"/>
      <c r="L934" s="816">
        <f t="shared" si="51"/>
        <v>0</v>
      </c>
      <c r="M934" s="833">
        <f t="shared" si="52"/>
        <v>0</v>
      </c>
      <c r="N934" s="834"/>
      <c r="O934" s="835">
        <f t="shared" si="53"/>
        <v>0</v>
      </c>
      <c r="P934" s="827">
        <f t="shared" si="54"/>
        <v>0</v>
      </c>
      <c r="AD934" s="810"/>
    </row>
    <row r="935" spans="3:30" ht="30" hidden="1" customHeight="1" outlineLevel="1">
      <c r="C935" s="828">
        <v>909</v>
      </c>
      <c r="D935" s="829"/>
      <c r="E935" s="830"/>
      <c r="F935" s="830"/>
      <c r="G935" s="1049"/>
      <c r="H935" s="831"/>
      <c r="I935" s="832"/>
      <c r="L935" s="816">
        <f t="shared" si="51"/>
        <v>0</v>
      </c>
      <c r="M935" s="833">
        <f t="shared" si="52"/>
        <v>0</v>
      </c>
      <c r="N935" s="834"/>
      <c r="O935" s="835">
        <f t="shared" si="53"/>
        <v>0</v>
      </c>
      <c r="P935" s="827">
        <f t="shared" si="54"/>
        <v>0</v>
      </c>
      <c r="AD935" s="810"/>
    </row>
    <row r="936" spans="3:30" ht="30" hidden="1" customHeight="1" outlineLevel="1">
      <c r="C936" s="828">
        <v>910</v>
      </c>
      <c r="D936" s="829"/>
      <c r="E936" s="830"/>
      <c r="F936" s="830"/>
      <c r="G936" s="1049"/>
      <c r="H936" s="831"/>
      <c r="I936" s="832"/>
      <c r="L936" s="816">
        <f t="shared" si="51"/>
        <v>0</v>
      </c>
      <c r="M936" s="833">
        <f t="shared" si="52"/>
        <v>0</v>
      </c>
      <c r="N936" s="834"/>
      <c r="O936" s="835">
        <f t="shared" si="53"/>
        <v>0</v>
      </c>
      <c r="P936" s="827">
        <f t="shared" si="54"/>
        <v>0</v>
      </c>
      <c r="AD936" s="810"/>
    </row>
    <row r="937" spans="3:30" ht="30" hidden="1" customHeight="1" outlineLevel="1">
      <c r="C937" s="828">
        <v>911</v>
      </c>
      <c r="D937" s="829"/>
      <c r="E937" s="830"/>
      <c r="F937" s="830"/>
      <c r="G937" s="1049"/>
      <c r="H937" s="831"/>
      <c r="I937" s="832"/>
      <c r="L937" s="816">
        <f t="shared" si="51"/>
        <v>0</v>
      </c>
      <c r="M937" s="833">
        <f t="shared" si="52"/>
        <v>0</v>
      </c>
      <c r="N937" s="834"/>
      <c r="O937" s="835">
        <f t="shared" si="53"/>
        <v>0</v>
      </c>
      <c r="P937" s="827">
        <f t="shared" si="54"/>
        <v>0</v>
      </c>
      <c r="AD937" s="810"/>
    </row>
    <row r="938" spans="3:30" ht="30" hidden="1" customHeight="1" outlineLevel="1">
      <c r="C938" s="828">
        <v>912</v>
      </c>
      <c r="D938" s="829"/>
      <c r="E938" s="830"/>
      <c r="F938" s="830"/>
      <c r="G938" s="1049"/>
      <c r="H938" s="831"/>
      <c r="I938" s="832"/>
      <c r="L938" s="816">
        <f t="shared" si="51"/>
        <v>0</v>
      </c>
      <c r="M938" s="833">
        <f t="shared" si="52"/>
        <v>0</v>
      </c>
      <c r="N938" s="834"/>
      <c r="O938" s="835">
        <f t="shared" si="53"/>
        <v>0</v>
      </c>
      <c r="P938" s="827">
        <f t="shared" si="54"/>
        <v>0</v>
      </c>
      <c r="AD938" s="810"/>
    </row>
    <row r="939" spans="3:30" ht="30" hidden="1" customHeight="1" outlineLevel="1">
      <c r="C939" s="828">
        <v>913</v>
      </c>
      <c r="D939" s="829"/>
      <c r="E939" s="830"/>
      <c r="F939" s="830"/>
      <c r="G939" s="1049"/>
      <c r="H939" s="831"/>
      <c r="I939" s="832"/>
      <c r="L939" s="816">
        <f t="shared" si="51"/>
        <v>0</v>
      </c>
      <c r="M939" s="833">
        <f t="shared" si="52"/>
        <v>0</v>
      </c>
      <c r="N939" s="834"/>
      <c r="O939" s="835">
        <f t="shared" si="53"/>
        <v>0</v>
      </c>
      <c r="P939" s="827">
        <f t="shared" si="54"/>
        <v>0</v>
      </c>
      <c r="AD939" s="810"/>
    </row>
    <row r="940" spans="3:30" ht="30" hidden="1" customHeight="1" outlineLevel="1">
      <c r="C940" s="828">
        <v>914</v>
      </c>
      <c r="D940" s="829"/>
      <c r="E940" s="830"/>
      <c r="F940" s="830"/>
      <c r="G940" s="1049"/>
      <c r="H940" s="831"/>
      <c r="I940" s="832"/>
      <c r="L940" s="816">
        <f t="shared" si="51"/>
        <v>0</v>
      </c>
      <c r="M940" s="833">
        <f t="shared" si="52"/>
        <v>0</v>
      </c>
      <c r="N940" s="834"/>
      <c r="O940" s="835">
        <f t="shared" si="53"/>
        <v>0</v>
      </c>
      <c r="P940" s="827">
        <f t="shared" si="54"/>
        <v>0</v>
      </c>
      <c r="AD940" s="810"/>
    </row>
    <row r="941" spans="3:30" ht="30" hidden="1" customHeight="1" outlineLevel="1">
      <c r="C941" s="828">
        <v>915</v>
      </c>
      <c r="D941" s="829"/>
      <c r="E941" s="830"/>
      <c r="F941" s="830"/>
      <c r="G941" s="1049"/>
      <c r="H941" s="831"/>
      <c r="I941" s="832"/>
      <c r="L941" s="816">
        <f t="shared" si="51"/>
        <v>0</v>
      </c>
      <c r="M941" s="833">
        <f t="shared" si="52"/>
        <v>0</v>
      </c>
      <c r="N941" s="834"/>
      <c r="O941" s="835">
        <f t="shared" si="53"/>
        <v>0</v>
      </c>
      <c r="P941" s="827">
        <f t="shared" si="54"/>
        <v>0</v>
      </c>
      <c r="AD941" s="810"/>
    </row>
    <row r="942" spans="3:30" ht="30" hidden="1" customHeight="1" outlineLevel="1">
      <c r="C942" s="828">
        <v>916</v>
      </c>
      <c r="D942" s="829"/>
      <c r="E942" s="830"/>
      <c r="F942" s="830"/>
      <c r="G942" s="1049"/>
      <c r="H942" s="831"/>
      <c r="I942" s="832"/>
      <c r="L942" s="816">
        <f t="shared" si="51"/>
        <v>0</v>
      </c>
      <c r="M942" s="833">
        <f t="shared" si="52"/>
        <v>0</v>
      </c>
      <c r="N942" s="834"/>
      <c r="O942" s="835">
        <f t="shared" si="53"/>
        <v>0</v>
      </c>
      <c r="P942" s="827">
        <f t="shared" si="54"/>
        <v>0</v>
      </c>
      <c r="AD942" s="810"/>
    </row>
    <row r="943" spans="3:30" ht="30" hidden="1" customHeight="1" outlineLevel="1">
      <c r="C943" s="828">
        <v>917</v>
      </c>
      <c r="D943" s="829"/>
      <c r="E943" s="830"/>
      <c r="F943" s="830"/>
      <c r="G943" s="1049"/>
      <c r="H943" s="831"/>
      <c r="I943" s="832"/>
      <c r="L943" s="816">
        <f t="shared" si="51"/>
        <v>0</v>
      </c>
      <c r="M943" s="833">
        <f t="shared" si="52"/>
        <v>0</v>
      </c>
      <c r="N943" s="834"/>
      <c r="O943" s="835">
        <f t="shared" si="53"/>
        <v>0</v>
      </c>
      <c r="P943" s="827">
        <f t="shared" si="54"/>
        <v>0</v>
      </c>
      <c r="AD943" s="810"/>
    </row>
    <row r="944" spans="3:30" ht="30" hidden="1" customHeight="1" outlineLevel="1">
      <c r="C944" s="828">
        <v>918</v>
      </c>
      <c r="D944" s="829"/>
      <c r="E944" s="830"/>
      <c r="F944" s="830"/>
      <c r="G944" s="1049"/>
      <c r="H944" s="831"/>
      <c r="I944" s="832"/>
      <c r="L944" s="816">
        <f t="shared" ref="L944:L1007" si="55">IF($G944&gt;0,E944,)</f>
        <v>0</v>
      </c>
      <c r="M944" s="833">
        <f t="shared" ref="M944:M1007" si="56">IF($G944&gt;0,F944,)</f>
        <v>0</v>
      </c>
      <c r="N944" s="834"/>
      <c r="O944" s="835">
        <f t="shared" ref="O944:O1007" si="57">ROUND(L944*N944/10,)</f>
        <v>0</v>
      </c>
      <c r="P944" s="827">
        <f t="shared" ref="P944:P1007" si="58">ROUND(O944*G944%,)</f>
        <v>0</v>
      </c>
      <c r="AD944" s="810"/>
    </row>
    <row r="945" spans="3:30" ht="30" hidden="1" customHeight="1" outlineLevel="1">
      <c r="C945" s="828">
        <v>919</v>
      </c>
      <c r="D945" s="829"/>
      <c r="E945" s="830"/>
      <c r="F945" s="830"/>
      <c r="G945" s="1049"/>
      <c r="H945" s="831"/>
      <c r="I945" s="832"/>
      <c r="L945" s="816">
        <f t="shared" si="55"/>
        <v>0</v>
      </c>
      <c r="M945" s="833">
        <f t="shared" si="56"/>
        <v>0</v>
      </c>
      <c r="N945" s="834"/>
      <c r="O945" s="835">
        <f t="shared" si="57"/>
        <v>0</v>
      </c>
      <c r="P945" s="827">
        <f t="shared" si="58"/>
        <v>0</v>
      </c>
      <c r="AD945" s="810"/>
    </row>
    <row r="946" spans="3:30" ht="30" hidden="1" customHeight="1" outlineLevel="1">
      <c r="C946" s="828">
        <v>920</v>
      </c>
      <c r="D946" s="829"/>
      <c r="E946" s="830"/>
      <c r="F946" s="830"/>
      <c r="G946" s="1049"/>
      <c r="H946" s="831"/>
      <c r="I946" s="832"/>
      <c r="L946" s="816">
        <f t="shared" si="55"/>
        <v>0</v>
      </c>
      <c r="M946" s="833">
        <f t="shared" si="56"/>
        <v>0</v>
      </c>
      <c r="N946" s="834"/>
      <c r="O946" s="835">
        <f t="shared" si="57"/>
        <v>0</v>
      </c>
      <c r="P946" s="827">
        <f t="shared" si="58"/>
        <v>0</v>
      </c>
      <c r="AD946" s="810"/>
    </row>
    <row r="947" spans="3:30" ht="30" hidden="1" customHeight="1" outlineLevel="1">
      <c r="C947" s="828">
        <v>921</v>
      </c>
      <c r="D947" s="829"/>
      <c r="E947" s="830"/>
      <c r="F947" s="830"/>
      <c r="G947" s="1049"/>
      <c r="H947" s="831"/>
      <c r="I947" s="832"/>
      <c r="L947" s="816">
        <f t="shared" si="55"/>
        <v>0</v>
      </c>
      <c r="M947" s="833">
        <f t="shared" si="56"/>
        <v>0</v>
      </c>
      <c r="N947" s="834"/>
      <c r="O947" s="835">
        <f t="shared" si="57"/>
        <v>0</v>
      </c>
      <c r="P947" s="827">
        <f t="shared" si="58"/>
        <v>0</v>
      </c>
      <c r="AD947" s="810"/>
    </row>
    <row r="948" spans="3:30" ht="30" hidden="1" customHeight="1" outlineLevel="1">
      <c r="C948" s="828">
        <v>922</v>
      </c>
      <c r="D948" s="829"/>
      <c r="E948" s="830"/>
      <c r="F948" s="830"/>
      <c r="G948" s="1049"/>
      <c r="H948" s="831"/>
      <c r="I948" s="832"/>
      <c r="L948" s="816">
        <f t="shared" si="55"/>
        <v>0</v>
      </c>
      <c r="M948" s="833">
        <f t="shared" si="56"/>
        <v>0</v>
      </c>
      <c r="N948" s="834"/>
      <c r="O948" s="835">
        <f t="shared" si="57"/>
        <v>0</v>
      </c>
      <c r="P948" s="827">
        <f t="shared" si="58"/>
        <v>0</v>
      </c>
      <c r="AD948" s="810"/>
    </row>
    <row r="949" spans="3:30" ht="30" hidden="1" customHeight="1" outlineLevel="1">
      <c r="C949" s="828">
        <v>923</v>
      </c>
      <c r="D949" s="829"/>
      <c r="E949" s="830"/>
      <c r="F949" s="830"/>
      <c r="G949" s="1049"/>
      <c r="H949" s="831"/>
      <c r="I949" s="832"/>
      <c r="L949" s="816">
        <f t="shared" si="55"/>
        <v>0</v>
      </c>
      <c r="M949" s="833">
        <f t="shared" si="56"/>
        <v>0</v>
      </c>
      <c r="N949" s="834"/>
      <c r="O949" s="835">
        <f t="shared" si="57"/>
        <v>0</v>
      </c>
      <c r="P949" s="827">
        <f t="shared" si="58"/>
        <v>0</v>
      </c>
      <c r="AD949" s="810"/>
    </row>
    <row r="950" spans="3:30" ht="30" hidden="1" customHeight="1" outlineLevel="1">
      <c r="C950" s="828">
        <v>924</v>
      </c>
      <c r="D950" s="829"/>
      <c r="E950" s="830"/>
      <c r="F950" s="830"/>
      <c r="G950" s="1049"/>
      <c r="H950" s="831"/>
      <c r="I950" s="832"/>
      <c r="L950" s="816">
        <f t="shared" si="55"/>
        <v>0</v>
      </c>
      <c r="M950" s="833">
        <f t="shared" si="56"/>
        <v>0</v>
      </c>
      <c r="N950" s="834"/>
      <c r="O950" s="835">
        <f t="shared" si="57"/>
        <v>0</v>
      </c>
      <c r="P950" s="827">
        <f t="shared" si="58"/>
        <v>0</v>
      </c>
      <c r="AD950" s="810"/>
    </row>
    <row r="951" spans="3:30" ht="30" hidden="1" customHeight="1" outlineLevel="1">
      <c r="C951" s="828">
        <v>925</v>
      </c>
      <c r="D951" s="829"/>
      <c r="E951" s="830"/>
      <c r="F951" s="830"/>
      <c r="G951" s="1049"/>
      <c r="H951" s="831"/>
      <c r="I951" s="832"/>
      <c r="L951" s="816">
        <f t="shared" si="55"/>
        <v>0</v>
      </c>
      <c r="M951" s="833">
        <f t="shared" si="56"/>
        <v>0</v>
      </c>
      <c r="N951" s="834"/>
      <c r="O951" s="835">
        <f t="shared" si="57"/>
        <v>0</v>
      </c>
      <c r="P951" s="827">
        <f t="shared" si="58"/>
        <v>0</v>
      </c>
      <c r="AD951" s="810"/>
    </row>
    <row r="952" spans="3:30" ht="30" hidden="1" customHeight="1" outlineLevel="1">
      <c r="C952" s="828">
        <v>926</v>
      </c>
      <c r="D952" s="829"/>
      <c r="E952" s="830"/>
      <c r="F952" s="830"/>
      <c r="G952" s="1049"/>
      <c r="H952" s="831"/>
      <c r="I952" s="832"/>
      <c r="L952" s="816">
        <f t="shared" si="55"/>
        <v>0</v>
      </c>
      <c r="M952" s="833">
        <f t="shared" si="56"/>
        <v>0</v>
      </c>
      <c r="N952" s="834"/>
      <c r="O952" s="835">
        <f t="shared" si="57"/>
        <v>0</v>
      </c>
      <c r="P952" s="827">
        <f t="shared" si="58"/>
        <v>0</v>
      </c>
      <c r="AD952" s="810"/>
    </row>
    <row r="953" spans="3:30" ht="30" hidden="1" customHeight="1" outlineLevel="1">
      <c r="C953" s="828">
        <v>927</v>
      </c>
      <c r="D953" s="829"/>
      <c r="E953" s="830"/>
      <c r="F953" s="830"/>
      <c r="G953" s="1049"/>
      <c r="H953" s="831"/>
      <c r="I953" s="832"/>
      <c r="L953" s="816">
        <f t="shared" si="55"/>
        <v>0</v>
      </c>
      <c r="M953" s="833">
        <f t="shared" si="56"/>
        <v>0</v>
      </c>
      <c r="N953" s="834"/>
      <c r="O953" s="835">
        <f t="shared" si="57"/>
        <v>0</v>
      </c>
      <c r="P953" s="827">
        <f t="shared" si="58"/>
        <v>0</v>
      </c>
      <c r="AD953" s="810"/>
    </row>
    <row r="954" spans="3:30" ht="30" hidden="1" customHeight="1" outlineLevel="1">
      <c r="C954" s="828">
        <v>928</v>
      </c>
      <c r="D954" s="829"/>
      <c r="E954" s="830"/>
      <c r="F954" s="830"/>
      <c r="G954" s="1049"/>
      <c r="H954" s="831"/>
      <c r="I954" s="832"/>
      <c r="L954" s="816">
        <f t="shared" si="55"/>
        <v>0</v>
      </c>
      <c r="M954" s="833">
        <f t="shared" si="56"/>
        <v>0</v>
      </c>
      <c r="N954" s="834"/>
      <c r="O954" s="835">
        <f t="shared" si="57"/>
        <v>0</v>
      </c>
      <c r="P954" s="827">
        <f t="shared" si="58"/>
        <v>0</v>
      </c>
      <c r="AD954" s="810"/>
    </row>
    <row r="955" spans="3:30" ht="30" hidden="1" customHeight="1" outlineLevel="1">
      <c r="C955" s="828">
        <v>929</v>
      </c>
      <c r="D955" s="829"/>
      <c r="E955" s="830"/>
      <c r="F955" s="830"/>
      <c r="G955" s="1049"/>
      <c r="H955" s="831"/>
      <c r="I955" s="832"/>
      <c r="L955" s="816">
        <f t="shared" si="55"/>
        <v>0</v>
      </c>
      <c r="M955" s="833">
        <f t="shared" si="56"/>
        <v>0</v>
      </c>
      <c r="N955" s="834"/>
      <c r="O955" s="835">
        <f t="shared" si="57"/>
        <v>0</v>
      </c>
      <c r="P955" s="827">
        <f t="shared" si="58"/>
        <v>0</v>
      </c>
      <c r="AD955" s="810"/>
    </row>
    <row r="956" spans="3:30" ht="30" hidden="1" customHeight="1" outlineLevel="1">
      <c r="C956" s="828">
        <v>930</v>
      </c>
      <c r="D956" s="829"/>
      <c r="E956" s="830"/>
      <c r="F956" s="830"/>
      <c r="G956" s="1049"/>
      <c r="H956" s="831"/>
      <c r="I956" s="832"/>
      <c r="L956" s="816">
        <f t="shared" si="55"/>
        <v>0</v>
      </c>
      <c r="M956" s="833">
        <f t="shared" si="56"/>
        <v>0</v>
      </c>
      <c r="N956" s="834"/>
      <c r="O956" s="835">
        <f t="shared" si="57"/>
        <v>0</v>
      </c>
      <c r="P956" s="827">
        <f t="shared" si="58"/>
        <v>0</v>
      </c>
      <c r="AD956" s="810"/>
    </row>
    <row r="957" spans="3:30" ht="30" hidden="1" customHeight="1" outlineLevel="1">
      <c r="C957" s="828">
        <v>931</v>
      </c>
      <c r="D957" s="829"/>
      <c r="E957" s="830"/>
      <c r="F957" s="830"/>
      <c r="G957" s="1049"/>
      <c r="H957" s="831"/>
      <c r="I957" s="832"/>
      <c r="L957" s="816">
        <f t="shared" si="55"/>
        <v>0</v>
      </c>
      <c r="M957" s="833">
        <f t="shared" si="56"/>
        <v>0</v>
      </c>
      <c r="N957" s="834"/>
      <c r="O957" s="835">
        <f t="shared" si="57"/>
        <v>0</v>
      </c>
      <c r="P957" s="827">
        <f t="shared" si="58"/>
        <v>0</v>
      </c>
      <c r="AD957" s="810"/>
    </row>
    <row r="958" spans="3:30" ht="30" hidden="1" customHeight="1" outlineLevel="1">
      <c r="C958" s="828">
        <v>932</v>
      </c>
      <c r="D958" s="829"/>
      <c r="E958" s="830"/>
      <c r="F958" s="830"/>
      <c r="G958" s="1049"/>
      <c r="H958" s="831"/>
      <c r="I958" s="832"/>
      <c r="L958" s="816">
        <f t="shared" si="55"/>
        <v>0</v>
      </c>
      <c r="M958" s="833">
        <f t="shared" si="56"/>
        <v>0</v>
      </c>
      <c r="N958" s="834"/>
      <c r="O958" s="835">
        <f t="shared" si="57"/>
        <v>0</v>
      </c>
      <c r="P958" s="827">
        <f t="shared" si="58"/>
        <v>0</v>
      </c>
      <c r="AD958" s="810"/>
    </row>
    <row r="959" spans="3:30" ht="30" hidden="1" customHeight="1" outlineLevel="1">
      <c r="C959" s="828">
        <v>933</v>
      </c>
      <c r="D959" s="829"/>
      <c r="E959" s="830"/>
      <c r="F959" s="830"/>
      <c r="G959" s="1049"/>
      <c r="H959" s="831"/>
      <c r="I959" s="832"/>
      <c r="L959" s="816">
        <f t="shared" si="55"/>
        <v>0</v>
      </c>
      <c r="M959" s="833">
        <f t="shared" si="56"/>
        <v>0</v>
      </c>
      <c r="N959" s="834"/>
      <c r="O959" s="835">
        <f t="shared" si="57"/>
        <v>0</v>
      </c>
      <c r="P959" s="827">
        <f t="shared" si="58"/>
        <v>0</v>
      </c>
      <c r="AD959" s="810"/>
    </row>
    <row r="960" spans="3:30" ht="30" hidden="1" customHeight="1" outlineLevel="1">
      <c r="C960" s="828">
        <v>934</v>
      </c>
      <c r="D960" s="829"/>
      <c r="E960" s="830"/>
      <c r="F960" s="830"/>
      <c r="G960" s="1049"/>
      <c r="H960" s="831"/>
      <c r="I960" s="832"/>
      <c r="L960" s="816">
        <f t="shared" si="55"/>
        <v>0</v>
      </c>
      <c r="M960" s="833">
        <f t="shared" si="56"/>
        <v>0</v>
      </c>
      <c r="N960" s="834"/>
      <c r="O960" s="835">
        <f t="shared" si="57"/>
        <v>0</v>
      </c>
      <c r="P960" s="827">
        <f t="shared" si="58"/>
        <v>0</v>
      </c>
      <c r="AD960" s="810"/>
    </row>
    <row r="961" spans="3:30" ht="30" hidden="1" customHeight="1" outlineLevel="1">
      <c r="C961" s="828">
        <v>935</v>
      </c>
      <c r="D961" s="829"/>
      <c r="E961" s="830"/>
      <c r="F961" s="830"/>
      <c r="G961" s="1049"/>
      <c r="H961" s="831"/>
      <c r="I961" s="832"/>
      <c r="L961" s="816">
        <f t="shared" si="55"/>
        <v>0</v>
      </c>
      <c r="M961" s="833">
        <f t="shared" si="56"/>
        <v>0</v>
      </c>
      <c r="N961" s="834"/>
      <c r="O961" s="835">
        <f t="shared" si="57"/>
        <v>0</v>
      </c>
      <c r="P961" s="827">
        <f t="shared" si="58"/>
        <v>0</v>
      </c>
      <c r="AD961" s="810"/>
    </row>
    <row r="962" spans="3:30" ht="30" hidden="1" customHeight="1" outlineLevel="1">
      <c r="C962" s="828">
        <v>936</v>
      </c>
      <c r="D962" s="829"/>
      <c r="E962" s="830"/>
      <c r="F962" s="830"/>
      <c r="G962" s="1049"/>
      <c r="H962" s="831"/>
      <c r="I962" s="832"/>
      <c r="L962" s="816">
        <f t="shared" si="55"/>
        <v>0</v>
      </c>
      <c r="M962" s="833">
        <f t="shared" si="56"/>
        <v>0</v>
      </c>
      <c r="N962" s="834"/>
      <c r="O962" s="835">
        <f t="shared" si="57"/>
        <v>0</v>
      </c>
      <c r="P962" s="827">
        <f t="shared" si="58"/>
        <v>0</v>
      </c>
      <c r="AD962" s="810"/>
    </row>
    <row r="963" spans="3:30" ht="30" hidden="1" customHeight="1" outlineLevel="1">
      <c r="C963" s="828">
        <v>937</v>
      </c>
      <c r="D963" s="829"/>
      <c r="E963" s="830"/>
      <c r="F963" s="830"/>
      <c r="G963" s="1049"/>
      <c r="H963" s="831"/>
      <c r="I963" s="832"/>
      <c r="L963" s="816">
        <f t="shared" si="55"/>
        <v>0</v>
      </c>
      <c r="M963" s="833">
        <f t="shared" si="56"/>
        <v>0</v>
      </c>
      <c r="N963" s="834"/>
      <c r="O963" s="835">
        <f t="shared" si="57"/>
        <v>0</v>
      </c>
      <c r="P963" s="827">
        <f t="shared" si="58"/>
        <v>0</v>
      </c>
      <c r="AD963" s="810"/>
    </row>
    <row r="964" spans="3:30" ht="30" hidden="1" customHeight="1" outlineLevel="1">
      <c r="C964" s="828">
        <v>938</v>
      </c>
      <c r="D964" s="829"/>
      <c r="E964" s="830"/>
      <c r="F964" s="830"/>
      <c r="G964" s="1049"/>
      <c r="H964" s="831"/>
      <c r="I964" s="832"/>
      <c r="L964" s="816">
        <f t="shared" si="55"/>
        <v>0</v>
      </c>
      <c r="M964" s="833">
        <f t="shared" si="56"/>
        <v>0</v>
      </c>
      <c r="N964" s="834"/>
      <c r="O964" s="835">
        <f t="shared" si="57"/>
        <v>0</v>
      </c>
      <c r="P964" s="827">
        <f t="shared" si="58"/>
        <v>0</v>
      </c>
      <c r="AD964" s="810"/>
    </row>
    <row r="965" spans="3:30" ht="30" hidden="1" customHeight="1" outlineLevel="1">
      <c r="C965" s="828">
        <v>939</v>
      </c>
      <c r="D965" s="829"/>
      <c r="E965" s="830"/>
      <c r="F965" s="830"/>
      <c r="G965" s="1049"/>
      <c r="H965" s="831"/>
      <c r="I965" s="832"/>
      <c r="L965" s="816">
        <f t="shared" si="55"/>
        <v>0</v>
      </c>
      <c r="M965" s="833">
        <f t="shared" si="56"/>
        <v>0</v>
      </c>
      <c r="N965" s="834"/>
      <c r="O965" s="835">
        <f t="shared" si="57"/>
        <v>0</v>
      </c>
      <c r="P965" s="827">
        <f t="shared" si="58"/>
        <v>0</v>
      </c>
      <c r="AD965" s="810"/>
    </row>
    <row r="966" spans="3:30" ht="30" hidden="1" customHeight="1" outlineLevel="1">
      <c r="C966" s="828">
        <v>940</v>
      </c>
      <c r="D966" s="829"/>
      <c r="E966" s="830"/>
      <c r="F966" s="830"/>
      <c r="G966" s="1049"/>
      <c r="H966" s="831"/>
      <c r="I966" s="832"/>
      <c r="L966" s="816">
        <f t="shared" si="55"/>
        <v>0</v>
      </c>
      <c r="M966" s="833">
        <f t="shared" si="56"/>
        <v>0</v>
      </c>
      <c r="N966" s="834"/>
      <c r="O966" s="835">
        <f t="shared" si="57"/>
        <v>0</v>
      </c>
      <c r="P966" s="827">
        <f t="shared" si="58"/>
        <v>0</v>
      </c>
      <c r="AD966" s="810"/>
    </row>
    <row r="967" spans="3:30" ht="30" hidden="1" customHeight="1" outlineLevel="1">
      <c r="C967" s="828">
        <v>941</v>
      </c>
      <c r="D967" s="829"/>
      <c r="E967" s="830"/>
      <c r="F967" s="830"/>
      <c r="G967" s="1049"/>
      <c r="H967" s="831"/>
      <c r="I967" s="832"/>
      <c r="L967" s="816">
        <f t="shared" si="55"/>
        <v>0</v>
      </c>
      <c r="M967" s="833">
        <f t="shared" si="56"/>
        <v>0</v>
      </c>
      <c r="N967" s="834"/>
      <c r="O967" s="835">
        <f t="shared" si="57"/>
        <v>0</v>
      </c>
      <c r="P967" s="827">
        <f t="shared" si="58"/>
        <v>0</v>
      </c>
      <c r="AD967" s="810"/>
    </row>
    <row r="968" spans="3:30" ht="30" hidden="1" customHeight="1" outlineLevel="1">
      <c r="C968" s="828">
        <v>942</v>
      </c>
      <c r="D968" s="829"/>
      <c r="E968" s="830"/>
      <c r="F968" s="830"/>
      <c r="G968" s="1049"/>
      <c r="H968" s="831"/>
      <c r="I968" s="832"/>
      <c r="L968" s="816">
        <f t="shared" si="55"/>
        <v>0</v>
      </c>
      <c r="M968" s="833">
        <f t="shared" si="56"/>
        <v>0</v>
      </c>
      <c r="N968" s="834"/>
      <c r="O968" s="835">
        <f t="shared" si="57"/>
        <v>0</v>
      </c>
      <c r="P968" s="827">
        <f t="shared" si="58"/>
        <v>0</v>
      </c>
      <c r="AD968" s="810"/>
    </row>
    <row r="969" spans="3:30" ht="30" hidden="1" customHeight="1" outlineLevel="1">
      <c r="C969" s="828">
        <v>943</v>
      </c>
      <c r="D969" s="829"/>
      <c r="E969" s="830"/>
      <c r="F969" s="830"/>
      <c r="G969" s="1049"/>
      <c r="H969" s="831"/>
      <c r="I969" s="832"/>
      <c r="L969" s="816">
        <f t="shared" si="55"/>
        <v>0</v>
      </c>
      <c r="M969" s="833">
        <f t="shared" si="56"/>
        <v>0</v>
      </c>
      <c r="N969" s="834"/>
      <c r="O969" s="835">
        <f t="shared" si="57"/>
        <v>0</v>
      </c>
      <c r="P969" s="827">
        <f t="shared" si="58"/>
        <v>0</v>
      </c>
      <c r="AD969" s="810"/>
    </row>
    <row r="970" spans="3:30" ht="30" hidden="1" customHeight="1" outlineLevel="1">
      <c r="C970" s="828">
        <v>944</v>
      </c>
      <c r="D970" s="829"/>
      <c r="E970" s="830"/>
      <c r="F970" s="830"/>
      <c r="G970" s="1049"/>
      <c r="H970" s="831"/>
      <c r="I970" s="832"/>
      <c r="L970" s="816">
        <f t="shared" si="55"/>
        <v>0</v>
      </c>
      <c r="M970" s="833">
        <f t="shared" si="56"/>
        <v>0</v>
      </c>
      <c r="N970" s="834"/>
      <c r="O970" s="835">
        <f t="shared" si="57"/>
        <v>0</v>
      </c>
      <c r="P970" s="827">
        <f t="shared" si="58"/>
        <v>0</v>
      </c>
      <c r="AD970" s="810"/>
    </row>
    <row r="971" spans="3:30" ht="30" hidden="1" customHeight="1" outlineLevel="1">
      <c r="C971" s="828">
        <v>945</v>
      </c>
      <c r="D971" s="829"/>
      <c r="E971" s="830"/>
      <c r="F971" s="830"/>
      <c r="G971" s="1049"/>
      <c r="H971" s="831"/>
      <c r="I971" s="832"/>
      <c r="L971" s="816">
        <f t="shared" si="55"/>
        <v>0</v>
      </c>
      <c r="M971" s="833">
        <f t="shared" si="56"/>
        <v>0</v>
      </c>
      <c r="N971" s="834"/>
      <c r="O971" s="835">
        <f t="shared" si="57"/>
        <v>0</v>
      </c>
      <c r="P971" s="827">
        <f t="shared" si="58"/>
        <v>0</v>
      </c>
      <c r="AD971" s="810"/>
    </row>
    <row r="972" spans="3:30" ht="30" hidden="1" customHeight="1" outlineLevel="1">
      <c r="C972" s="828">
        <v>946</v>
      </c>
      <c r="D972" s="829"/>
      <c r="E972" s="830"/>
      <c r="F972" s="830"/>
      <c r="G972" s="1049"/>
      <c r="H972" s="831"/>
      <c r="I972" s="832"/>
      <c r="L972" s="816">
        <f t="shared" si="55"/>
        <v>0</v>
      </c>
      <c r="M972" s="833">
        <f t="shared" si="56"/>
        <v>0</v>
      </c>
      <c r="N972" s="834"/>
      <c r="O972" s="835">
        <f t="shared" si="57"/>
        <v>0</v>
      </c>
      <c r="P972" s="827">
        <f t="shared" si="58"/>
        <v>0</v>
      </c>
      <c r="AD972" s="810"/>
    </row>
    <row r="973" spans="3:30" ht="30" hidden="1" customHeight="1" outlineLevel="1">
      <c r="C973" s="828">
        <v>947</v>
      </c>
      <c r="D973" s="829"/>
      <c r="E973" s="830"/>
      <c r="F973" s="830"/>
      <c r="G973" s="1049"/>
      <c r="H973" s="831"/>
      <c r="I973" s="832"/>
      <c r="L973" s="816">
        <f t="shared" si="55"/>
        <v>0</v>
      </c>
      <c r="M973" s="833">
        <f t="shared" si="56"/>
        <v>0</v>
      </c>
      <c r="N973" s="834"/>
      <c r="O973" s="835">
        <f t="shared" si="57"/>
        <v>0</v>
      </c>
      <c r="P973" s="827">
        <f t="shared" si="58"/>
        <v>0</v>
      </c>
      <c r="AD973" s="810"/>
    </row>
    <row r="974" spans="3:30" ht="30" hidden="1" customHeight="1" outlineLevel="1">
      <c r="C974" s="828">
        <v>948</v>
      </c>
      <c r="D974" s="829"/>
      <c r="E974" s="830"/>
      <c r="F974" s="830"/>
      <c r="G974" s="1049"/>
      <c r="H974" s="831"/>
      <c r="I974" s="832"/>
      <c r="L974" s="816">
        <f t="shared" si="55"/>
        <v>0</v>
      </c>
      <c r="M974" s="833">
        <f t="shared" si="56"/>
        <v>0</v>
      </c>
      <c r="N974" s="834"/>
      <c r="O974" s="835">
        <f t="shared" si="57"/>
        <v>0</v>
      </c>
      <c r="P974" s="827">
        <f t="shared" si="58"/>
        <v>0</v>
      </c>
      <c r="AD974" s="810"/>
    </row>
    <row r="975" spans="3:30" ht="30" hidden="1" customHeight="1" outlineLevel="1">
      <c r="C975" s="828">
        <v>949</v>
      </c>
      <c r="D975" s="829"/>
      <c r="E975" s="830"/>
      <c r="F975" s="830"/>
      <c r="G975" s="1049"/>
      <c r="H975" s="831"/>
      <c r="I975" s="832"/>
      <c r="L975" s="816">
        <f t="shared" si="55"/>
        <v>0</v>
      </c>
      <c r="M975" s="833">
        <f t="shared" si="56"/>
        <v>0</v>
      </c>
      <c r="N975" s="834"/>
      <c r="O975" s="835">
        <f t="shared" si="57"/>
        <v>0</v>
      </c>
      <c r="P975" s="827">
        <f t="shared" si="58"/>
        <v>0</v>
      </c>
      <c r="AD975" s="810"/>
    </row>
    <row r="976" spans="3:30" ht="30" hidden="1" customHeight="1" outlineLevel="1">
      <c r="C976" s="828">
        <v>950</v>
      </c>
      <c r="D976" s="829"/>
      <c r="E976" s="830"/>
      <c r="F976" s="830"/>
      <c r="G976" s="1049"/>
      <c r="H976" s="831"/>
      <c r="I976" s="832"/>
      <c r="L976" s="816">
        <f t="shared" si="55"/>
        <v>0</v>
      </c>
      <c r="M976" s="833">
        <f t="shared" si="56"/>
        <v>0</v>
      </c>
      <c r="N976" s="834"/>
      <c r="O976" s="835">
        <f t="shared" si="57"/>
        <v>0</v>
      </c>
      <c r="P976" s="827">
        <f t="shared" si="58"/>
        <v>0</v>
      </c>
      <c r="AD976" s="810"/>
    </row>
    <row r="977" spans="3:30" ht="30" hidden="1" customHeight="1" outlineLevel="1">
      <c r="C977" s="828">
        <v>951</v>
      </c>
      <c r="D977" s="829"/>
      <c r="E977" s="830"/>
      <c r="F977" s="830"/>
      <c r="G977" s="1049"/>
      <c r="H977" s="831"/>
      <c r="I977" s="832"/>
      <c r="L977" s="816">
        <f t="shared" si="55"/>
        <v>0</v>
      </c>
      <c r="M977" s="833">
        <f t="shared" si="56"/>
        <v>0</v>
      </c>
      <c r="N977" s="834"/>
      <c r="O977" s="835">
        <f t="shared" si="57"/>
        <v>0</v>
      </c>
      <c r="P977" s="827">
        <f t="shared" si="58"/>
        <v>0</v>
      </c>
      <c r="AD977" s="810"/>
    </row>
    <row r="978" spans="3:30" ht="30" hidden="1" customHeight="1" outlineLevel="1">
      <c r="C978" s="828">
        <v>952</v>
      </c>
      <c r="D978" s="829"/>
      <c r="E978" s="830"/>
      <c r="F978" s="830"/>
      <c r="G978" s="1049"/>
      <c r="H978" s="831"/>
      <c r="I978" s="832"/>
      <c r="L978" s="816">
        <f t="shared" si="55"/>
        <v>0</v>
      </c>
      <c r="M978" s="833">
        <f t="shared" si="56"/>
        <v>0</v>
      </c>
      <c r="N978" s="834"/>
      <c r="O978" s="835">
        <f t="shared" si="57"/>
        <v>0</v>
      </c>
      <c r="P978" s="827">
        <f t="shared" si="58"/>
        <v>0</v>
      </c>
      <c r="AD978" s="810"/>
    </row>
    <row r="979" spans="3:30" ht="30" hidden="1" customHeight="1" outlineLevel="1">
      <c r="C979" s="828">
        <v>953</v>
      </c>
      <c r="D979" s="829"/>
      <c r="E979" s="830"/>
      <c r="F979" s="830"/>
      <c r="G979" s="1049"/>
      <c r="H979" s="831"/>
      <c r="I979" s="832"/>
      <c r="L979" s="816">
        <f t="shared" si="55"/>
        <v>0</v>
      </c>
      <c r="M979" s="833">
        <f t="shared" si="56"/>
        <v>0</v>
      </c>
      <c r="N979" s="834"/>
      <c r="O979" s="835">
        <f t="shared" si="57"/>
        <v>0</v>
      </c>
      <c r="P979" s="827">
        <f t="shared" si="58"/>
        <v>0</v>
      </c>
      <c r="AD979" s="810"/>
    </row>
    <row r="980" spans="3:30" ht="30" hidden="1" customHeight="1" outlineLevel="1">
      <c r="C980" s="828">
        <v>954</v>
      </c>
      <c r="D980" s="829"/>
      <c r="E980" s="830"/>
      <c r="F980" s="830"/>
      <c r="G980" s="1049"/>
      <c r="H980" s="831"/>
      <c r="I980" s="832"/>
      <c r="L980" s="816">
        <f t="shared" si="55"/>
        <v>0</v>
      </c>
      <c r="M980" s="833">
        <f t="shared" si="56"/>
        <v>0</v>
      </c>
      <c r="N980" s="834"/>
      <c r="O980" s="835">
        <f t="shared" si="57"/>
        <v>0</v>
      </c>
      <c r="P980" s="827">
        <f t="shared" si="58"/>
        <v>0</v>
      </c>
      <c r="AD980" s="810"/>
    </row>
    <row r="981" spans="3:30" ht="30" hidden="1" customHeight="1" outlineLevel="1">
      <c r="C981" s="828">
        <v>955</v>
      </c>
      <c r="D981" s="829"/>
      <c r="E981" s="830"/>
      <c r="F981" s="830"/>
      <c r="G981" s="1049"/>
      <c r="H981" s="831"/>
      <c r="I981" s="832"/>
      <c r="L981" s="816">
        <f t="shared" si="55"/>
        <v>0</v>
      </c>
      <c r="M981" s="833">
        <f t="shared" si="56"/>
        <v>0</v>
      </c>
      <c r="N981" s="834"/>
      <c r="O981" s="835">
        <f t="shared" si="57"/>
        <v>0</v>
      </c>
      <c r="P981" s="827">
        <f t="shared" si="58"/>
        <v>0</v>
      </c>
      <c r="AD981" s="810"/>
    </row>
    <row r="982" spans="3:30" ht="30" hidden="1" customHeight="1" outlineLevel="1">
      <c r="C982" s="828">
        <v>956</v>
      </c>
      <c r="D982" s="829"/>
      <c r="E982" s="830"/>
      <c r="F982" s="830"/>
      <c r="G982" s="1049"/>
      <c r="H982" s="831"/>
      <c r="I982" s="832"/>
      <c r="L982" s="816">
        <f t="shared" si="55"/>
        <v>0</v>
      </c>
      <c r="M982" s="833">
        <f t="shared" si="56"/>
        <v>0</v>
      </c>
      <c r="N982" s="834"/>
      <c r="O982" s="835">
        <f t="shared" si="57"/>
        <v>0</v>
      </c>
      <c r="P982" s="827">
        <f t="shared" si="58"/>
        <v>0</v>
      </c>
      <c r="AD982" s="810"/>
    </row>
    <row r="983" spans="3:30" ht="30" hidden="1" customHeight="1" outlineLevel="1">
      <c r="C983" s="828">
        <v>957</v>
      </c>
      <c r="D983" s="829"/>
      <c r="E983" s="830"/>
      <c r="F983" s="830"/>
      <c r="G983" s="1049"/>
      <c r="H983" s="831"/>
      <c r="I983" s="832"/>
      <c r="L983" s="816">
        <f t="shared" si="55"/>
        <v>0</v>
      </c>
      <c r="M983" s="833">
        <f t="shared" si="56"/>
        <v>0</v>
      </c>
      <c r="N983" s="834"/>
      <c r="O983" s="835">
        <f t="shared" si="57"/>
        <v>0</v>
      </c>
      <c r="P983" s="827">
        <f t="shared" si="58"/>
        <v>0</v>
      </c>
      <c r="AD983" s="810"/>
    </row>
    <row r="984" spans="3:30" ht="30" hidden="1" customHeight="1" outlineLevel="1">
      <c r="C984" s="828">
        <v>958</v>
      </c>
      <c r="D984" s="829"/>
      <c r="E984" s="830"/>
      <c r="F984" s="830"/>
      <c r="G984" s="1049"/>
      <c r="H984" s="831"/>
      <c r="I984" s="832"/>
      <c r="L984" s="816">
        <f t="shared" si="55"/>
        <v>0</v>
      </c>
      <c r="M984" s="833">
        <f t="shared" si="56"/>
        <v>0</v>
      </c>
      <c r="N984" s="834"/>
      <c r="O984" s="835">
        <f t="shared" si="57"/>
        <v>0</v>
      </c>
      <c r="P984" s="827">
        <f t="shared" si="58"/>
        <v>0</v>
      </c>
      <c r="AD984" s="810"/>
    </row>
    <row r="985" spans="3:30" ht="30" hidden="1" customHeight="1" outlineLevel="1">
      <c r="C985" s="828">
        <v>959</v>
      </c>
      <c r="D985" s="829"/>
      <c r="E985" s="830"/>
      <c r="F985" s="830"/>
      <c r="G985" s="1049"/>
      <c r="H985" s="831"/>
      <c r="I985" s="832"/>
      <c r="L985" s="816">
        <f t="shared" si="55"/>
        <v>0</v>
      </c>
      <c r="M985" s="833">
        <f t="shared" si="56"/>
        <v>0</v>
      </c>
      <c r="N985" s="834"/>
      <c r="O985" s="835">
        <f t="shared" si="57"/>
        <v>0</v>
      </c>
      <c r="P985" s="827">
        <f t="shared" si="58"/>
        <v>0</v>
      </c>
      <c r="AD985" s="810"/>
    </row>
    <row r="986" spans="3:30" ht="30" hidden="1" customHeight="1" outlineLevel="1">
      <c r="C986" s="828">
        <v>960</v>
      </c>
      <c r="D986" s="829"/>
      <c r="E986" s="830"/>
      <c r="F986" s="830"/>
      <c r="G986" s="1049"/>
      <c r="H986" s="831"/>
      <c r="I986" s="832"/>
      <c r="L986" s="816">
        <f t="shared" si="55"/>
        <v>0</v>
      </c>
      <c r="M986" s="833">
        <f t="shared" si="56"/>
        <v>0</v>
      </c>
      <c r="N986" s="834"/>
      <c r="O986" s="835">
        <f t="shared" si="57"/>
        <v>0</v>
      </c>
      <c r="P986" s="827">
        <f t="shared" si="58"/>
        <v>0</v>
      </c>
      <c r="AD986" s="810"/>
    </row>
    <row r="987" spans="3:30" ht="30" hidden="1" customHeight="1" outlineLevel="1">
      <c r="C987" s="828">
        <v>961</v>
      </c>
      <c r="D987" s="829"/>
      <c r="E987" s="830"/>
      <c r="F987" s="830"/>
      <c r="G987" s="1049"/>
      <c r="H987" s="831"/>
      <c r="I987" s="832"/>
      <c r="L987" s="816">
        <f t="shared" si="55"/>
        <v>0</v>
      </c>
      <c r="M987" s="833">
        <f t="shared" si="56"/>
        <v>0</v>
      </c>
      <c r="N987" s="834"/>
      <c r="O987" s="835">
        <f t="shared" si="57"/>
        <v>0</v>
      </c>
      <c r="P987" s="827">
        <f t="shared" si="58"/>
        <v>0</v>
      </c>
      <c r="AD987" s="810"/>
    </row>
    <row r="988" spans="3:30" ht="30" hidden="1" customHeight="1" outlineLevel="1">
      <c r="C988" s="828">
        <v>962</v>
      </c>
      <c r="D988" s="829"/>
      <c r="E988" s="830"/>
      <c r="F988" s="830"/>
      <c r="G988" s="1049"/>
      <c r="H988" s="831"/>
      <c r="I988" s="832"/>
      <c r="L988" s="816">
        <f t="shared" si="55"/>
        <v>0</v>
      </c>
      <c r="M988" s="833">
        <f t="shared" si="56"/>
        <v>0</v>
      </c>
      <c r="N988" s="834"/>
      <c r="O988" s="835">
        <f t="shared" si="57"/>
        <v>0</v>
      </c>
      <c r="P988" s="827">
        <f t="shared" si="58"/>
        <v>0</v>
      </c>
      <c r="AD988" s="810"/>
    </row>
    <row r="989" spans="3:30" ht="30" hidden="1" customHeight="1" outlineLevel="1">
      <c r="C989" s="828">
        <v>963</v>
      </c>
      <c r="D989" s="829"/>
      <c r="E989" s="830"/>
      <c r="F989" s="830"/>
      <c r="G989" s="1049"/>
      <c r="H989" s="831"/>
      <c r="I989" s="832"/>
      <c r="L989" s="816">
        <f t="shared" si="55"/>
        <v>0</v>
      </c>
      <c r="M989" s="833">
        <f t="shared" si="56"/>
        <v>0</v>
      </c>
      <c r="N989" s="834"/>
      <c r="O989" s="835">
        <f t="shared" si="57"/>
        <v>0</v>
      </c>
      <c r="P989" s="827">
        <f t="shared" si="58"/>
        <v>0</v>
      </c>
      <c r="AD989" s="810"/>
    </row>
    <row r="990" spans="3:30" ht="30" hidden="1" customHeight="1" outlineLevel="1">
      <c r="C990" s="828">
        <v>964</v>
      </c>
      <c r="D990" s="829"/>
      <c r="E990" s="830"/>
      <c r="F990" s="830"/>
      <c r="G990" s="1049"/>
      <c r="H990" s="831"/>
      <c r="I990" s="832"/>
      <c r="L990" s="816">
        <f t="shared" si="55"/>
        <v>0</v>
      </c>
      <c r="M990" s="833">
        <f t="shared" si="56"/>
        <v>0</v>
      </c>
      <c r="N990" s="834"/>
      <c r="O990" s="835">
        <f t="shared" si="57"/>
        <v>0</v>
      </c>
      <c r="P990" s="827">
        <f t="shared" si="58"/>
        <v>0</v>
      </c>
      <c r="AD990" s="810"/>
    </row>
    <row r="991" spans="3:30" ht="30" hidden="1" customHeight="1" outlineLevel="1">
      <c r="C991" s="828">
        <v>965</v>
      </c>
      <c r="D991" s="829"/>
      <c r="E991" s="830"/>
      <c r="F991" s="830"/>
      <c r="G991" s="1049"/>
      <c r="H991" s="831"/>
      <c r="I991" s="832"/>
      <c r="L991" s="816">
        <f t="shared" si="55"/>
        <v>0</v>
      </c>
      <c r="M991" s="833">
        <f t="shared" si="56"/>
        <v>0</v>
      </c>
      <c r="N991" s="834"/>
      <c r="O991" s="835">
        <f t="shared" si="57"/>
        <v>0</v>
      </c>
      <c r="P991" s="827">
        <f t="shared" si="58"/>
        <v>0</v>
      </c>
      <c r="AD991" s="810"/>
    </row>
    <row r="992" spans="3:30" ht="30" hidden="1" customHeight="1" outlineLevel="1">
      <c r="C992" s="828">
        <v>966</v>
      </c>
      <c r="D992" s="829"/>
      <c r="E992" s="830"/>
      <c r="F992" s="830"/>
      <c r="G992" s="1049"/>
      <c r="H992" s="831"/>
      <c r="I992" s="832"/>
      <c r="L992" s="816">
        <f t="shared" si="55"/>
        <v>0</v>
      </c>
      <c r="M992" s="833">
        <f t="shared" si="56"/>
        <v>0</v>
      </c>
      <c r="N992" s="834"/>
      <c r="O992" s="835">
        <f t="shared" si="57"/>
        <v>0</v>
      </c>
      <c r="P992" s="827">
        <f t="shared" si="58"/>
        <v>0</v>
      </c>
      <c r="AD992" s="810"/>
    </row>
    <row r="993" spans="3:30" ht="30" hidden="1" customHeight="1" outlineLevel="1">
      <c r="C993" s="828">
        <v>967</v>
      </c>
      <c r="D993" s="829"/>
      <c r="E993" s="830"/>
      <c r="F993" s="830"/>
      <c r="G993" s="1049"/>
      <c r="H993" s="831"/>
      <c r="I993" s="832"/>
      <c r="L993" s="816">
        <f t="shared" si="55"/>
        <v>0</v>
      </c>
      <c r="M993" s="833">
        <f t="shared" si="56"/>
        <v>0</v>
      </c>
      <c r="N993" s="834"/>
      <c r="O993" s="835">
        <f t="shared" si="57"/>
        <v>0</v>
      </c>
      <c r="P993" s="827">
        <f t="shared" si="58"/>
        <v>0</v>
      </c>
      <c r="AD993" s="810"/>
    </row>
    <row r="994" spans="3:30" ht="30" hidden="1" customHeight="1" outlineLevel="1">
      <c r="C994" s="828">
        <v>968</v>
      </c>
      <c r="D994" s="829"/>
      <c r="E994" s="830"/>
      <c r="F994" s="830"/>
      <c r="G994" s="1049"/>
      <c r="H994" s="831"/>
      <c r="I994" s="832"/>
      <c r="L994" s="816">
        <f t="shared" si="55"/>
        <v>0</v>
      </c>
      <c r="M994" s="833">
        <f t="shared" si="56"/>
        <v>0</v>
      </c>
      <c r="N994" s="834"/>
      <c r="O994" s="835">
        <f t="shared" si="57"/>
        <v>0</v>
      </c>
      <c r="P994" s="827">
        <f t="shared" si="58"/>
        <v>0</v>
      </c>
      <c r="AD994" s="810"/>
    </row>
    <row r="995" spans="3:30" ht="30" hidden="1" customHeight="1" outlineLevel="1">
      <c r="C995" s="828">
        <v>969</v>
      </c>
      <c r="D995" s="829"/>
      <c r="E995" s="830"/>
      <c r="F995" s="830"/>
      <c r="G995" s="1049"/>
      <c r="H995" s="831"/>
      <c r="I995" s="832"/>
      <c r="L995" s="816">
        <f t="shared" si="55"/>
        <v>0</v>
      </c>
      <c r="M995" s="833">
        <f t="shared" si="56"/>
        <v>0</v>
      </c>
      <c r="N995" s="834"/>
      <c r="O995" s="835">
        <f t="shared" si="57"/>
        <v>0</v>
      </c>
      <c r="P995" s="827">
        <f t="shared" si="58"/>
        <v>0</v>
      </c>
      <c r="AD995" s="810"/>
    </row>
    <row r="996" spans="3:30" ht="30" hidden="1" customHeight="1" outlineLevel="1">
      <c r="C996" s="828">
        <v>970</v>
      </c>
      <c r="D996" s="829"/>
      <c r="E996" s="830"/>
      <c r="F996" s="830"/>
      <c r="G996" s="1049"/>
      <c r="H996" s="831"/>
      <c r="I996" s="832"/>
      <c r="L996" s="816">
        <f t="shared" si="55"/>
        <v>0</v>
      </c>
      <c r="M996" s="833">
        <f t="shared" si="56"/>
        <v>0</v>
      </c>
      <c r="N996" s="834"/>
      <c r="O996" s="835">
        <f t="shared" si="57"/>
        <v>0</v>
      </c>
      <c r="P996" s="827">
        <f t="shared" si="58"/>
        <v>0</v>
      </c>
      <c r="AD996" s="810"/>
    </row>
    <row r="997" spans="3:30" ht="30" hidden="1" customHeight="1" outlineLevel="1">
      <c r="C997" s="828">
        <v>971</v>
      </c>
      <c r="D997" s="829"/>
      <c r="E997" s="830"/>
      <c r="F997" s="830"/>
      <c r="G997" s="1049"/>
      <c r="H997" s="831"/>
      <c r="I997" s="832"/>
      <c r="L997" s="816">
        <f t="shared" si="55"/>
        <v>0</v>
      </c>
      <c r="M997" s="833">
        <f t="shared" si="56"/>
        <v>0</v>
      </c>
      <c r="N997" s="834"/>
      <c r="O997" s="835">
        <f t="shared" si="57"/>
        <v>0</v>
      </c>
      <c r="P997" s="827">
        <f t="shared" si="58"/>
        <v>0</v>
      </c>
      <c r="AD997" s="810"/>
    </row>
    <row r="998" spans="3:30" ht="30" hidden="1" customHeight="1" outlineLevel="1">
      <c r="C998" s="828">
        <v>972</v>
      </c>
      <c r="D998" s="829"/>
      <c r="E998" s="830"/>
      <c r="F998" s="830"/>
      <c r="G998" s="1049"/>
      <c r="H998" s="831"/>
      <c r="I998" s="832"/>
      <c r="L998" s="816">
        <f t="shared" si="55"/>
        <v>0</v>
      </c>
      <c r="M998" s="833">
        <f t="shared" si="56"/>
        <v>0</v>
      </c>
      <c r="N998" s="834"/>
      <c r="O998" s="835">
        <f t="shared" si="57"/>
        <v>0</v>
      </c>
      <c r="P998" s="827">
        <f t="shared" si="58"/>
        <v>0</v>
      </c>
      <c r="AD998" s="810"/>
    </row>
    <row r="999" spans="3:30" ht="30" hidden="1" customHeight="1" outlineLevel="1">
      <c r="C999" s="828">
        <v>973</v>
      </c>
      <c r="D999" s="829"/>
      <c r="E999" s="830"/>
      <c r="F999" s="830"/>
      <c r="G999" s="1049"/>
      <c r="H999" s="831"/>
      <c r="I999" s="832"/>
      <c r="L999" s="816">
        <f t="shared" si="55"/>
        <v>0</v>
      </c>
      <c r="M999" s="833">
        <f t="shared" si="56"/>
        <v>0</v>
      </c>
      <c r="N999" s="834"/>
      <c r="O999" s="835">
        <f t="shared" si="57"/>
        <v>0</v>
      </c>
      <c r="P999" s="827">
        <f t="shared" si="58"/>
        <v>0</v>
      </c>
      <c r="AD999" s="810"/>
    </row>
    <row r="1000" spans="3:30" ht="30" hidden="1" customHeight="1" outlineLevel="1">
      <c r="C1000" s="828">
        <v>974</v>
      </c>
      <c r="D1000" s="829"/>
      <c r="E1000" s="830"/>
      <c r="F1000" s="830"/>
      <c r="G1000" s="1049"/>
      <c r="H1000" s="831"/>
      <c r="I1000" s="832"/>
      <c r="L1000" s="816">
        <f t="shared" si="55"/>
        <v>0</v>
      </c>
      <c r="M1000" s="833">
        <f t="shared" si="56"/>
        <v>0</v>
      </c>
      <c r="N1000" s="834"/>
      <c r="O1000" s="835">
        <f t="shared" si="57"/>
        <v>0</v>
      </c>
      <c r="P1000" s="827">
        <f t="shared" si="58"/>
        <v>0</v>
      </c>
      <c r="AD1000" s="810"/>
    </row>
    <row r="1001" spans="3:30" ht="30" hidden="1" customHeight="1" outlineLevel="1">
      <c r="C1001" s="828">
        <v>975</v>
      </c>
      <c r="D1001" s="829"/>
      <c r="E1001" s="830"/>
      <c r="F1001" s="830"/>
      <c r="G1001" s="1049"/>
      <c r="H1001" s="831"/>
      <c r="I1001" s="832"/>
      <c r="L1001" s="816">
        <f t="shared" si="55"/>
        <v>0</v>
      </c>
      <c r="M1001" s="833">
        <f t="shared" si="56"/>
        <v>0</v>
      </c>
      <c r="N1001" s="834"/>
      <c r="O1001" s="835">
        <f t="shared" si="57"/>
        <v>0</v>
      </c>
      <c r="P1001" s="827">
        <f t="shared" si="58"/>
        <v>0</v>
      </c>
      <c r="AD1001" s="810"/>
    </row>
    <row r="1002" spans="3:30" ht="30" hidden="1" customHeight="1" outlineLevel="1">
      <c r="C1002" s="828">
        <v>976</v>
      </c>
      <c r="D1002" s="829"/>
      <c r="E1002" s="830"/>
      <c r="F1002" s="830"/>
      <c r="G1002" s="1049"/>
      <c r="H1002" s="831"/>
      <c r="I1002" s="832"/>
      <c r="L1002" s="816">
        <f t="shared" si="55"/>
        <v>0</v>
      </c>
      <c r="M1002" s="833">
        <f t="shared" si="56"/>
        <v>0</v>
      </c>
      <c r="N1002" s="834"/>
      <c r="O1002" s="835">
        <f t="shared" si="57"/>
        <v>0</v>
      </c>
      <c r="P1002" s="827">
        <f t="shared" si="58"/>
        <v>0</v>
      </c>
      <c r="AD1002" s="810"/>
    </row>
    <row r="1003" spans="3:30" ht="30" hidden="1" customHeight="1" outlineLevel="1">
      <c r="C1003" s="828">
        <v>977</v>
      </c>
      <c r="D1003" s="829"/>
      <c r="E1003" s="830"/>
      <c r="F1003" s="830"/>
      <c r="G1003" s="1049"/>
      <c r="H1003" s="831"/>
      <c r="I1003" s="832"/>
      <c r="L1003" s="816">
        <f t="shared" si="55"/>
        <v>0</v>
      </c>
      <c r="M1003" s="833">
        <f t="shared" si="56"/>
        <v>0</v>
      </c>
      <c r="N1003" s="834"/>
      <c r="O1003" s="835">
        <f t="shared" si="57"/>
        <v>0</v>
      </c>
      <c r="P1003" s="827">
        <f t="shared" si="58"/>
        <v>0</v>
      </c>
      <c r="AD1003" s="810"/>
    </row>
    <row r="1004" spans="3:30" ht="30" hidden="1" customHeight="1" outlineLevel="1">
      <c r="C1004" s="828">
        <v>978</v>
      </c>
      <c r="D1004" s="829"/>
      <c r="E1004" s="830"/>
      <c r="F1004" s="830"/>
      <c r="G1004" s="1049"/>
      <c r="H1004" s="831"/>
      <c r="I1004" s="832"/>
      <c r="L1004" s="816">
        <f t="shared" si="55"/>
        <v>0</v>
      </c>
      <c r="M1004" s="833">
        <f t="shared" si="56"/>
        <v>0</v>
      </c>
      <c r="N1004" s="834"/>
      <c r="O1004" s="835">
        <f t="shared" si="57"/>
        <v>0</v>
      </c>
      <c r="P1004" s="827">
        <f t="shared" si="58"/>
        <v>0</v>
      </c>
      <c r="AD1004" s="810"/>
    </row>
    <row r="1005" spans="3:30" ht="30" hidden="1" customHeight="1" outlineLevel="1">
      <c r="C1005" s="828">
        <v>979</v>
      </c>
      <c r="D1005" s="829"/>
      <c r="E1005" s="830"/>
      <c r="F1005" s="830"/>
      <c r="G1005" s="1049"/>
      <c r="H1005" s="831"/>
      <c r="I1005" s="832"/>
      <c r="L1005" s="816">
        <f t="shared" si="55"/>
        <v>0</v>
      </c>
      <c r="M1005" s="833">
        <f t="shared" si="56"/>
        <v>0</v>
      </c>
      <c r="N1005" s="834"/>
      <c r="O1005" s="835">
        <f t="shared" si="57"/>
        <v>0</v>
      </c>
      <c r="P1005" s="827">
        <f t="shared" si="58"/>
        <v>0</v>
      </c>
      <c r="AD1005" s="810"/>
    </row>
    <row r="1006" spans="3:30" ht="30" hidden="1" customHeight="1" outlineLevel="1">
      <c r="C1006" s="828">
        <v>980</v>
      </c>
      <c r="D1006" s="829"/>
      <c r="E1006" s="830"/>
      <c r="F1006" s="830"/>
      <c r="G1006" s="1049"/>
      <c r="H1006" s="831"/>
      <c r="I1006" s="832"/>
      <c r="L1006" s="816">
        <f t="shared" si="55"/>
        <v>0</v>
      </c>
      <c r="M1006" s="833">
        <f t="shared" si="56"/>
        <v>0</v>
      </c>
      <c r="N1006" s="834"/>
      <c r="O1006" s="835">
        <f t="shared" si="57"/>
        <v>0</v>
      </c>
      <c r="P1006" s="827">
        <f t="shared" si="58"/>
        <v>0</v>
      </c>
      <c r="AD1006" s="810"/>
    </row>
    <row r="1007" spans="3:30" ht="30" hidden="1" customHeight="1" outlineLevel="1">
      <c r="C1007" s="828">
        <v>981</v>
      </c>
      <c r="D1007" s="829"/>
      <c r="E1007" s="830"/>
      <c r="F1007" s="830"/>
      <c r="G1007" s="1049"/>
      <c r="H1007" s="831"/>
      <c r="I1007" s="832"/>
      <c r="L1007" s="816">
        <f t="shared" si="55"/>
        <v>0</v>
      </c>
      <c r="M1007" s="833">
        <f t="shared" si="56"/>
        <v>0</v>
      </c>
      <c r="N1007" s="834"/>
      <c r="O1007" s="835">
        <f t="shared" si="57"/>
        <v>0</v>
      </c>
      <c r="P1007" s="827">
        <f t="shared" si="58"/>
        <v>0</v>
      </c>
      <c r="AD1007" s="810"/>
    </row>
    <row r="1008" spans="3:30" ht="30" hidden="1" customHeight="1" outlineLevel="1">
      <c r="C1008" s="828">
        <v>982</v>
      </c>
      <c r="D1008" s="829"/>
      <c r="E1008" s="830"/>
      <c r="F1008" s="830"/>
      <c r="G1008" s="1049"/>
      <c r="H1008" s="831"/>
      <c r="I1008" s="832"/>
      <c r="L1008" s="816">
        <f t="shared" ref="L1008:L1025" si="59">IF($G1008&gt;0,E1008,)</f>
        <v>0</v>
      </c>
      <c r="M1008" s="833">
        <f t="shared" ref="M1008:M1025" si="60">IF($G1008&gt;0,F1008,)</f>
        <v>0</v>
      </c>
      <c r="N1008" s="834"/>
      <c r="O1008" s="835">
        <f t="shared" ref="O1008:O1025" si="61">ROUND(L1008*N1008/10,)</f>
        <v>0</v>
      </c>
      <c r="P1008" s="827">
        <f t="shared" ref="P1008:P1025" si="62">ROUND(O1008*G1008%,)</f>
        <v>0</v>
      </c>
      <c r="AD1008" s="810"/>
    </row>
    <row r="1009" spans="3:30" ht="30" hidden="1" customHeight="1" outlineLevel="1">
      <c r="C1009" s="828">
        <v>983</v>
      </c>
      <c r="D1009" s="829"/>
      <c r="E1009" s="830"/>
      <c r="F1009" s="830"/>
      <c r="G1009" s="1049"/>
      <c r="H1009" s="831"/>
      <c r="I1009" s="832"/>
      <c r="L1009" s="816">
        <f t="shared" si="59"/>
        <v>0</v>
      </c>
      <c r="M1009" s="833">
        <f t="shared" si="60"/>
        <v>0</v>
      </c>
      <c r="N1009" s="834"/>
      <c r="O1009" s="835">
        <f t="shared" si="61"/>
        <v>0</v>
      </c>
      <c r="P1009" s="827">
        <f t="shared" si="62"/>
        <v>0</v>
      </c>
      <c r="AD1009" s="810"/>
    </row>
    <row r="1010" spans="3:30" ht="30" hidden="1" customHeight="1" outlineLevel="1">
      <c r="C1010" s="828">
        <v>984</v>
      </c>
      <c r="D1010" s="829"/>
      <c r="E1010" s="830"/>
      <c r="F1010" s="830"/>
      <c r="G1010" s="1049"/>
      <c r="H1010" s="831"/>
      <c r="I1010" s="832"/>
      <c r="L1010" s="816">
        <f t="shared" si="59"/>
        <v>0</v>
      </c>
      <c r="M1010" s="833">
        <f t="shared" si="60"/>
        <v>0</v>
      </c>
      <c r="N1010" s="834"/>
      <c r="O1010" s="835">
        <f t="shared" si="61"/>
        <v>0</v>
      </c>
      <c r="P1010" s="827">
        <f t="shared" si="62"/>
        <v>0</v>
      </c>
      <c r="AD1010" s="810"/>
    </row>
    <row r="1011" spans="3:30" ht="30" hidden="1" customHeight="1" outlineLevel="1">
      <c r="C1011" s="828">
        <v>985</v>
      </c>
      <c r="D1011" s="829"/>
      <c r="E1011" s="830"/>
      <c r="F1011" s="830"/>
      <c r="G1011" s="1049"/>
      <c r="H1011" s="831"/>
      <c r="I1011" s="832"/>
      <c r="L1011" s="816">
        <f t="shared" si="59"/>
        <v>0</v>
      </c>
      <c r="M1011" s="833">
        <f t="shared" si="60"/>
        <v>0</v>
      </c>
      <c r="N1011" s="834"/>
      <c r="O1011" s="835">
        <f t="shared" si="61"/>
        <v>0</v>
      </c>
      <c r="P1011" s="827">
        <f t="shared" si="62"/>
        <v>0</v>
      </c>
      <c r="AD1011" s="810"/>
    </row>
    <row r="1012" spans="3:30" ht="30" hidden="1" customHeight="1" outlineLevel="1">
      <c r="C1012" s="828">
        <v>986</v>
      </c>
      <c r="D1012" s="829"/>
      <c r="E1012" s="830"/>
      <c r="F1012" s="830"/>
      <c r="G1012" s="1049"/>
      <c r="H1012" s="831"/>
      <c r="I1012" s="832"/>
      <c r="L1012" s="816">
        <f t="shared" si="59"/>
        <v>0</v>
      </c>
      <c r="M1012" s="833">
        <f t="shared" si="60"/>
        <v>0</v>
      </c>
      <c r="N1012" s="834"/>
      <c r="O1012" s="835">
        <f t="shared" si="61"/>
        <v>0</v>
      </c>
      <c r="P1012" s="827">
        <f t="shared" si="62"/>
        <v>0</v>
      </c>
      <c r="AD1012" s="810"/>
    </row>
    <row r="1013" spans="3:30" ht="30" hidden="1" customHeight="1" outlineLevel="1">
      <c r="C1013" s="828">
        <v>987</v>
      </c>
      <c r="D1013" s="829"/>
      <c r="E1013" s="830"/>
      <c r="F1013" s="830"/>
      <c r="G1013" s="1049"/>
      <c r="H1013" s="831"/>
      <c r="I1013" s="832"/>
      <c r="L1013" s="816">
        <f t="shared" si="59"/>
        <v>0</v>
      </c>
      <c r="M1013" s="833">
        <f t="shared" si="60"/>
        <v>0</v>
      </c>
      <c r="N1013" s="834"/>
      <c r="O1013" s="835">
        <f t="shared" si="61"/>
        <v>0</v>
      </c>
      <c r="P1013" s="827">
        <f t="shared" si="62"/>
        <v>0</v>
      </c>
      <c r="AD1013" s="810"/>
    </row>
    <row r="1014" spans="3:30" ht="30" hidden="1" customHeight="1" outlineLevel="1">
      <c r="C1014" s="828">
        <v>988</v>
      </c>
      <c r="D1014" s="829"/>
      <c r="E1014" s="830"/>
      <c r="F1014" s="830"/>
      <c r="G1014" s="1049"/>
      <c r="H1014" s="831"/>
      <c r="I1014" s="832"/>
      <c r="L1014" s="816">
        <f t="shared" si="59"/>
        <v>0</v>
      </c>
      <c r="M1014" s="833">
        <f t="shared" si="60"/>
        <v>0</v>
      </c>
      <c r="N1014" s="834"/>
      <c r="O1014" s="835">
        <f t="shared" si="61"/>
        <v>0</v>
      </c>
      <c r="P1014" s="827">
        <f t="shared" si="62"/>
        <v>0</v>
      </c>
      <c r="AD1014" s="810"/>
    </row>
    <row r="1015" spans="3:30" ht="30" hidden="1" customHeight="1" outlineLevel="1">
      <c r="C1015" s="828">
        <v>989</v>
      </c>
      <c r="D1015" s="829"/>
      <c r="E1015" s="830"/>
      <c r="F1015" s="830"/>
      <c r="G1015" s="1049"/>
      <c r="H1015" s="831"/>
      <c r="I1015" s="832"/>
      <c r="L1015" s="816">
        <f t="shared" si="59"/>
        <v>0</v>
      </c>
      <c r="M1015" s="833">
        <f t="shared" si="60"/>
        <v>0</v>
      </c>
      <c r="N1015" s="834"/>
      <c r="O1015" s="835">
        <f t="shared" si="61"/>
        <v>0</v>
      </c>
      <c r="P1015" s="827">
        <f t="shared" si="62"/>
        <v>0</v>
      </c>
      <c r="AD1015" s="810"/>
    </row>
    <row r="1016" spans="3:30" ht="30" hidden="1" customHeight="1" outlineLevel="1">
      <c r="C1016" s="828">
        <v>990</v>
      </c>
      <c r="D1016" s="829"/>
      <c r="E1016" s="830"/>
      <c r="F1016" s="830"/>
      <c r="G1016" s="1049"/>
      <c r="H1016" s="831"/>
      <c r="I1016" s="832"/>
      <c r="L1016" s="816">
        <f t="shared" si="59"/>
        <v>0</v>
      </c>
      <c r="M1016" s="833">
        <f t="shared" si="60"/>
        <v>0</v>
      </c>
      <c r="N1016" s="834"/>
      <c r="O1016" s="835">
        <f t="shared" si="61"/>
        <v>0</v>
      </c>
      <c r="P1016" s="827">
        <f t="shared" si="62"/>
        <v>0</v>
      </c>
      <c r="AD1016" s="810"/>
    </row>
    <row r="1017" spans="3:30" ht="30" hidden="1" customHeight="1" outlineLevel="1">
      <c r="C1017" s="828">
        <v>991</v>
      </c>
      <c r="D1017" s="829"/>
      <c r="E1017" s="830"/>
      <c r="F1017" s="830"/>
      <c r="G1017" s="1049"/>
      <c r="H1017" s="831"/>
      <c r="I1017" s="832"/>
      <c r="L1017" s="816">
        <f t="shared" si="59"/>
        <v>0</v>
      </c>
      <c r="M1017" s="833">
        <f t="shared" si="60"/>
        <v>0</v>
      </c>
      <c r="N1017" s="834"/>
      <c r="O1017" s="835">
        <f t="shared" si="61"/>
        <v>0</v>
      </c>
      <c r="P1017" s="827">
        <f t="shared" si="62"/>
        <v>0</v>
      </c>
      <c r="AD1017" s="810"/>
    </row>
    <row r="1018" spans="3:30" ht="30" hidden="1" customHeight="1" outlineLevel="1">
      <c r="C1018" s="828">
        <v>992</v>
      </c>
      <c r="D1018" s="829"/>
      <c r="E1018" s="830"/>
      <c r="F1018" s="830"/>
      <c r="G1018" s="1049"/>
      <c r="H1018" s="831"/>
      <c r="I1018" s="832"/>
      <c r="L1018" s="816">
        <f t="shared" si="59"/>
        <v>0</v>
      </c>
      <c r="M1018" s="833">
        <f t="shared" si="60"/>
        <v>0</v>
      </c>
      <c r="N1018" s="834"/>
      <c r="O1018" s="835">
        <f t="shared" si="61"/>
        <v>0</v>
      </c>
      <c r="P1018" s="827">
        <f t="shared" si="62"/>
        <v>0</v>
      </c>
      <c r="AD1018" s="810"/>
    </row>
    <row r="1019" spans="3:30" ht="30" hidden="1" customHeight="1" outlineLevel="1">
      <c r="C1019" s="828">
        <v>993</v>
      </c>
      <c r="D1019" s="829"/>
      <c r="E1019" s="830"/>
      <c r="F1019" s="830"/>
      <c r="G1019" s="1049"/>
      <c r="H1019" s="831"/>
      <c r="I1019" s="832"/>
      <c r="L1019" s="816">
        <f t="shared" si="59"/>
        <v>0</v>
      </c>
      <c r="M1019" s="833">
        <f t="shared" si="60"/>
        <v>0</v>
      </c>
      <c r="N1019" s="834"/>
      <c r="O1019" s="835">
        <f t="shared" si="61"/>
        <v>0</v>
      </c>
      <c r="P1019" s="827">
        <f t="shared" si="62"/>
        <v>0</v>
      </c>
      <c r="AD1019" s="810"/>
    </row>
    <row r="1020" spans="3:30" ht="30" hidden="1" customHeight="1" outlineLevel="1">
      <c r="C1020" s="828">
        <v>994</v>
      </c>
      <c r="D1020" s="829"/>
      <c r="E1020" s="830"/>
      <c r="F1020" s="830"/>
      <c r="G1020" s="1049"/>
      <c r="H1020" s="831"/>
      <c r="I1020" s="832"/>
      <c r="L1020" s="816">
        <f t="shared" si="59"/>
        <v>0</v>
      </c>
      <c r="M1020" s="833">
        <f t="shared" si="60"/>
        <v>0</v>
      </c>
      <c r="N1020" s="834"/>
      <c r="O1020" s="835">
        <f t="shared" si="61"/>
        <v>0</v>
      </c>
      <c r="P1020" s="827">
        <f t="shared" si="62"/>
        <v>0</v>
      </c>
      <c r="AD1020" s="810"/>
    </row>
    <row r="1021" spans="3:30" ht="30" hidden="1" customHeight="1" outlineLevel="1">
      <c r="C1021" s="828">
        <v>995</v>
      </c>
      <c r="D1021" s="829"/>
      <c r="E1021" s="830"/>
      <c r="F1021" s="830"/>
      <c r="G1021" s="1049"/>
      <c r="H1021" s="831"/>
      <c r="I1021" s="832"/>
      <c r="L1021" s="816">
        <f t="shared" si="59"/>
        <v>0</v>
      </c>
      <c r="M1021" s="833">
        <f t="shared" si="60"/>
        <v>0</v>
      </c>
      <c r="N1021" s="834"/>
      <c r="O1021" s="835">
        <f t="shared" si="61"/>
        <v>0</v>
      </c>
      <c r="P1021" s="827">
        <f t="shared" si="62"/>
        <v>0</v>
      </c>
      <c r="AD1021" s="810"/>
    </row>
    <row r="1022" spans="3:30" ht="30" hidden="1" customHeight="1" outlineLevel="1">
      <c r="C1022" s="828">
        <v>996</v>
      </c>
      <c r="D1022" s="829"/>
      <c r="E1022" s="830"/>
      <c r="F1022" s="830"/>
      <c r="G1022" s="1049"/>
      <c r="H1022" s="831"/>
      <c r="I1022" s="832"/>
      <c r="L1022" s="816">
        <f t="shared" si="59"/>
        <v>0</v>
      </c>
      <c r="M1022" s="833">
        <f t="shared" si="60"/>
        <v>0</v>
      </c>
      <c r="N1022" s="834"/>
      <c r="O1022" s="835">
        <f t="shared" si="61"/>
        <v>0</v>
      </c>
      <c r="P1022" s="827">
        <f t="shared" si="62"/>
        <v>0</v>
      </c>
      <c r="AD1022" s="810"/>
    </row>
    <row r="1023" spans="3:30" ht="30" hidden="1" customHeight="1" outlineLevel="1">
      <c r="C1023" s="828">
        <v>997</v>
      </c>
      <c r="D1023" s="829"/>
      <c r="E1023" s="830"/>
      <c r="F1023" s="830"/>
      <c r="G1023" s="1049"/>
      <c r="H1023" s="831"/>
      <c r="I1023" s="832"/>
      <c r="L1023" s="816">
        <f t="shared" si="59"/>
        <v>0</v>
      </c>
      <c r="M1023" s="833">
        <f t="shared" si="60"/>
        <v>0</v>
      </c>
      <c r="N1023" s="834"/>
      <c r="O1023" s="835">
        <f t="shared" si="61"/>
        <v>0</v>
      </c>
      <c r="P1023" s="827">
        <f t="shared" si="62"/>
        <v>0</v>
      </c>
      <c r="AD1023" s="810"/>
    </row>
    <row r="1024" spans="3:30" ht="30" hidden="1" customHeight="1" outlineLevel="1">
      <c r="C1024" s="828">
        <v>998</v>
      </c>
      <c r="D1024" s="829"/>
      <c r="E1024" s="830"/>
      <c r="F1024" s="830"/>
      <c r="G1024" s="1049"/>
      <c r="H1024" s="831"/>
      <c r="I1024" s="832"/>
      <c r="L1024" s="816">
        <f t="shared" si="59"/>
        <v>0</v>
      </c>
      <c r="M1024" s="833">
        <f t="shared" si="60"/>
        <v>0</v>
      </c>
      <c r="N1024" s="834"/>
      <c r="O1024" s="835">
        <f t="shared" si="61"/>
        <v>0</v>
      </c>
      <c r="P1024" s="827">
        <f t="shared" si="62"/>
        <v>0</v>
      </c>
      <c r="AD1024" s="810"/>
    </row>
    <row r="1025" spans="3:54" ht="30" hidden="1" customHeight="1" outlineLevel="1">
      <c r="C1025" s="828">
        <v>999</v>
      </c>
      <c r="D1025" s="829"/>
      <c r="E1025" s="830"/>
      <c r="F1025" s="830"/>
      <c r="G1025" s="1049"/>
      <c r="H1025" s="831"/>
      <c r="I1025" s="832"/>
      <c r="L1025" s="816">
        <f t="shared" si="59"/>
        <v>0</v>
      </c>
      <c r="M1025" s="833">
        <f t="shared" si="60"/>
        <v>0</v>
      </c>
      <c r="N1025" s="834"/>
      <c r="O1025" s="835">
        <f t="shared" si="61"/>
        <v>0</v>
      </c>
      <c r="P1025" s="827">
        <f t="shared" si="62"/>
        <v>0</v>
      </c>
      <c r="AD1025" s="810"/>
    </row>
    <row r="1026" spans="3:54" ht="30" hidden="1" customHeight="1" outlineLevel="1" thickBot="1">
      <c r="C1026" s="836">
        <v>1000</v>
      </c>
      <c r="D1026" s="837"/>
      <c r="E1026" s="838"/>
      <c r="F1026" s="838"/>
      <c r="G1026" s="1050"/>
      <c r="H1026" s="839"/>
      <c r="I1026" s="840"/>
      <c r="L1026" s="816">
        <f>IF($G1026&gt;0,E1026,)</f>
        <v>0</v>
      </c>
      <c r="M1026" s="833">
        <f>IF($G1026&gt;0,F1026,)</f>
        <v>0</v>
      </c>
      <c r="N1026" s="841"/>
      <c r="O1026" s="835">
        <f t="shared" si="1"/>
        <v>0</v>
      </c>
      <c r="P1026" s="827">
        <f t="shared" si="6"/>
        <v>0</v>
      </c>
      <c r="AD1026" s="810"/>
    </row>
    <row r="1027" spans="3:54" ht="15.75" customHeight="1" thickTop="1">
      <c r="C1027" s="842" t="s">
        <v>643</v>
      </c>
      <c r="D1027" s="843"/>
      <c r="E1027" s="843"/>
      <c r="F1027" s="843"/>
      <c r="G1027" s="843"/>
      <c r="H1027" s="392"/>
      <c r="I1027" s="593"/>
      <c r="L1027" s="844"/>
      <c r="M1027" s="844"/>
      <c r="N1027" s="845"/>
      <c r="O1027" s="844"/>
      <c r="P1027" s="844"/>
      <c r="Q1027" s="844"/>
      <c r="W1027" s="593"/>
      <c r="Y1027" s="844"/>
      <c r="Z1027" s="844"/>
      <c r="AA1027" s="844"/>
      <c r="AB1027" s="844"/>
      <c r="AC1027" s="844"/>
      <c r="AD1027" s="846"/>
      <c r="AN1027" s="2"/>
      <c r="BA1027" s="2"/>
    </row>
    <row r="1028" spans="3:54" ht="15.75" customHeight="1">
      <c r="C1028" s="2"/>
      <c r="I1028" s="183"/>
      <c r="Q1028" s="118"/>
    </row>
    <row r="1029" spans="3:54" ht="15.75" customHeight="1">
      <c r="C1029" s="2"/>
      <c r="I1029" s="183"/>
      <c r="Q1029" s="118"/>
    </row>
    <row r="1030" spans="3:54" ht="14.1" customHeight="1">
      <c r="C1030" s="2"/>
      <c r="I1030" s="183"/>
    </row>
    <row r="1031" spans="3:54" ht="14.1" customHeight="1">
      <c r="C1031" s="2"/>
      <c r="I1031" s="183"/>
    </row>
    <row r="1032" spans="3:54" ht="14.1" customHeight="1">
      <c r="C1032" s="2"/>
      <c r="I1032" s="183"/>
    </row>
    <row r="1033" spans="3:54" ht="14.25" customHeight="1">
      <c r="C1033" s="2"/>
      <c r="I1033" s="183"/>
    </row>
    <row r="1034" spans="3:54" ht="14.25" customHeight="1">
      <c r="C1034" s="2"/>
      <c r="I1034" s="183"/>
      <c r="P1034" s="1085" t="s">
        <v>1367</v>
      </c>
    </row>
    <row r="1035" spans="3:54" ht="18" customHeight="1">
      <c r="C1035" s="106" t="s">
        <v>644</v>
      </c>
      <c r="J1035" s="183"/>
      <c r="P1035" s="1087">
        <v>3</v>
      </c>
      <c r="X1035" s="2"/>
      <c r="Y1035" s="183"/>
      <c r="AN1035" s="2"/>
      <c r="AO1035" s="183"/>
      <c r="BA1035" s="2"/>
      <c r="BB1035" s="183"/>
    </row>
    <row r="1036" spans="3:54" ht="18" customHeight="1">
      <c r="C1036" s="30"/>
      <c r="D1036" s="607" t="s">
        <v>1425</v>
      </c>
      <c r="E1036" s="30"/>
      <c r="F1036" s="30"/>
      <c r="G1036" s="30"/>
      <c r="I1036" s="609"/>
      <c r="J1036" s="194"/>
      <c r="L1036" s="146" t="s">
        <v>645</v>
      </c>
      <c r="AA1036" s="30"/>
      <c r="AB1036" s="30"/>
      <c r="AC1036" s="30"/>
    </row>
    <row r="1037" spans="3:54" ht="18" customHeight="1" thickBot="1">
      <c r="C1037" s="847" t="s">
        <v>646</v>
      </c>
      <c r="D1037" s="607"/>
      <c r="E1037" s="30"/>
      <c r="F1037" s="30"/>
      <c r="G1037" s="30"/>
      <c r="I1037" s="609"/>
      <c r="J1037" s="194"/>
      <c r="L1037" s="2145" t="s">
        <v>626</v>
      </c>
      <c r="M1037" s="2145"/>
      <c r="N1037" s="2145"/>
      <c r="O1037" s="2145"/>
      <c r="P1037" s="2145"/>
    </row>
    <row r="1038" spans="3:54" ht="18" hidden="1" customHeight="1">
      <c r="C1038" s="847"/>
      <c r="D1038" s="607"/>
      <c r="E1038" s="30"/>
      <c r="F1038" s="30"/>
      <c r="G1038" s="30"/>
      <c r="I1038" s="609"/>
      <c r="J1038" s="194"/>
      <c r="L1038" s="848"/>
      <c r="M1038" s="848"/>
      <c r="N1038" s="848"/>
      <c r="O1038" s="848"/>
      <c r="P1038" s="849"/>
    </row>
    <row r="1039" spans="3:54" ht="18" hidden="1" customHeight="1" thickBot="1">
      <c r="C1039" s="847"/>
      <c r="D1039" s="607"/>
      <c r="E1039" s="30"/>
      <c r="F1039" s="30"/>
      <c r="G1039" s="30"/>
      <c r="I1039" s="609"/>
      <c r="J1039" s="194"/>
      <c r="L1039" s="848"/>
      <c r="M1039" s="848"/>
      <c r="N1039" s="848"/>
      <c r="O1039" s="848"/>
      <c r="P1039" s="849"/>
    </row>
    <row r="1040" spans="3:54" ht="30" customHeight="1">
      <c r="C1040" s="2146" t="s">
        <v>630</v>
      </c>
      <c r="D1040" s="1291" t="s">
        <v>647</v>
      </c>
      <c r="E1040" s="2045" t="s">
        <v>648</v>
      </c>
      <c r="F1040" s="2045" t="s">
        <v>649</v>
      </c>
      <c r="G1040" s="1551" t="s">
        <v>1403</v>
      </c>
      <c r="H1040" s="2153"/>
      <c r="J1040" s="344"/>
      <c r="L1040" s="2154" t="s">
        <v>650</v>
      </c>
      <c r="M1040" s="2154" t="s">
        <v>651</v>
      </c>
      <c r="N1040" s="2156" t="s">
        <v>652</v>
      </c>
      <c r="O1040" s="2156" t="s">
        <v>653</v>
      </c>
      <c r="P1040" s="2149" t="s">
        <v>654</v>
      </c>
    </row>
    <row r="1041" spans="3:16" ht="30" customHeight="1">
      <c r="C1041" s="2147"/>
      <c r="D1041" s="1276"/>
      <c r="E1041" s="2031"/>
      <c r="F1041" s="1532"/>
      <c r="G1041" s="1552"/>
      <c r="H1041" s="2153"/>
      <c r="J1041" s="344"/>
      <c r="L1041" s="2155"/>
      <c r="M1041" s="2155"/>
      <c r="N1041" s="2150"/>
      <c r="O1041" s="2150"/>
      <c r="P1041" s="2150"/>
    </row>
    <row r="1042" spans="3:16" ht="30" customHeight="1" thickBot="1">
      <c r="C1042" s="2148"/>
      <c r="D1042" s="1276"/>
      <c r="E1042" s="2151"/>
      <c r="F1042" s="1210"/>
      <c r="G1042" s="2152"/>
      <c r="H1042" s="2153"/>
      <c r="J1042" s="119"/>
      <c r="L1042" s="817">
        <f>SUM(L1043:L1092)</f>
        <v>0</v>
      </c>
      <c r="M1042" s="817">
        <f>ROUNDDOWN(SUM(M1043:M1092),1)</f>
        <v>0</v>
      </c>
      <c r="N1042" s="850"/>
      <c r="O1042" s="819">
        <f>SUM(O1043:O1092)</f>
        <v>0</v>
      </c>
      <c r="P1042" s="819">
        <f>SUM(P1043:P1092)</f>
        <v>0</v>
      </c>
    </row>
    <row r="1043" spans="3:16" ht="30" customHeight="1" thickTop="1">
      <c r="C1043" s="820">
        <v>1</v>
      </c>
      <c r="D1043" s="821"/>
      <c r="E1043" s="822"/>
      <c r="F1043" s="822"/>
      <c r="G1043" s="1041"/>
      <c r="K1043" s="472"/>
      <c r="L1043" s="815">
        <f t="shared" ref="L1043:M1092" si="63">IF($G1043&gt;0,E1043,)</f>
        <v>0</v>
      </c>
      <c r="M1043" s="815">
        <f t="shared" si="63"/>
        <v>0</v>
      </c>
      <c r="N1043" s="825"/>
      <c r="O1043" s="826">
        <f>ROUND(L1043*N1043/10,)</f>
        <v>0</v>
      </c>
      <c r="P1043" s="827">
        <f t="shared" ref="P1043:P1092" si="64">ROUND(O1043*G1043%,)</f>
        <v>0</v>
      </c>
    </row>
    <row r="1044" spans="3:16" ht="30" customHeight="1">
      <c r="C1044" s="828">
        <v>2</v>
      </c>
      <c r="D1044" s="829"/>
      <c r="E1044" s="830"/>
      <c r="F1044" s="830"/>
      <c r="G1044" s="1039"/>
      <c r="K1044" s="472"/>
      <c r="L1044" s="816">
        <f t="shared" si="63"/>
        <v>0</v>
      </c>
      <c r="M1044" s="833">
        <f t="shared" si="63"/>
        <v>0</v>
      </c>
      <c r="N1044" s="834"/>
      <c r="O1044" s="835">
        <f t="shared" ref="O1044:O1092" si="65">ROUND(L1044*N1044/10,)</f>
        <v>0</v>
      </c>
      <c r="P1044" s="827">
        <f t="shared" si="64"/>
        <v>0</v>
      </c>
    </row>
    <row r="1045" spans="3:16" ht="30" customHeight="1" collapsed="1" thickBot="1">
      <c r="C1045" s="828">
        <v>3</v>
      </c>
      <c r="D1045" s="829"/>
      <c r="E1045" s="830"/>
      <c r="F1045" s="830"/>
      <c r="G1045" s="1039"/>
      <c r="K1045" s="472"/>
      <c r="L1045" s="816">
        <f t="shared" si="63"/>
        <v>0</v>
      </c>
      <c r="M1045" s="833">
        <f t="shared" si="63"/>
        <v>0</v>
      </c>
      <c r="N1045" s="834"/>
      <c r="O1045" s="835">
        <f t="shared" si="65"/>
        <v>0</v>
      </c>
      <c r="P1045" s="827">
        <f t="shared" si="64"/>
        <v>0</v>
      </c>
    </row>
    <row r="1046" spans="3:16" ht="30" hidden="1" customHeight="1" outlineLevel="1">
      <c r="C1046" s="828">
        <v>4</v>
      </c>
      <c r="D1046" s="829"/>
      <c r="E1046" s="830"/>
      <c r="F1046" s="830"/>
      <c r="G1046" s="1039"/>
      <c r="K1046" s="472"/>
      <c r="L1046" s="816">
        <f t="shared" si="63"/>
        <v>0</v>
      </c>
      <c r="M1046" s="833">
        <f t="shared" si="63"/>
        <v>0</v>
      </c>
      <c r="N1046" s="834"/>
      <c r="O1046" s="835">
        <f t="shared" si="65"/>
        <v>0</v>
      </c>
      <c r="P1046" s="827">
        <f t="shared" si="64"/>
        <v>0</v>
      </c>
    </row>
    <row r="1047" spans="3:16" ht="30" hidden="1" customHeight="1" outlineLevel="1">
      <c r="C1047" s="828">
        <v>5</v>
      </c>
      <c r="D1047" s="829"/>
      <c r="E1047" s="830"/>
      <c r="F1047" s="830"/>
      <c r="G1047" s="1039"/>
      <c r="K1047" s="472"/>
      <c r="L1047" s="816">
        <f t="shared" si="63"/>
        <v>0</v>
      </c>
      <c r="M1047" s="833">
        <f t="shared" si="63"/>
        <v>0</v>
      </c>
      <c r="N1047" s="834"/>
      <c r="O1047" s="835">
        <f t="shared" si="65"/>
        <v>0</v>
      </c>
      <c r="P1047" s="827">
        <f t="shared" si="64"/>
        <v>0</v>
      </c>
    </row>
    <row r="1048" spans="3:16" ht="30" hidden="1" customHeight="1" outlineLevel="1">
      <c r="C1048" s="828">
        <v>6</v>
      </c>
      <c r="D1048" s="829"/>
      <c r="E1048" s="830"/>
      <c r="F1048" s="830"/>
      <c r="G1048" s="1039"/>
      <c r="K1048" s="472"/>
      <c r="L1048" s="816">
        <f t="shared" si="63"/>
        <v>0</v>
      </c>
      <c r="M1048" s="833">
        <f t="shared" si="63"/>
        <v>0</v>
      </c>
      <c r="N1048" s="834"/>
      <c r="O1048" s="835">
        <f t="shared" si="65"/>
        <v>0</v>
      </c>
      <c r="P1048" s="827">
        <f t="shared" si="64"/>
        <v>0</v>
      </c>
    </row>
    <row r="1049" spans="3:16" ht="30" hidden="1" customHeight="1" outlineLevel="1">
      <c r="C1049" s="828">
        <v>7</v>
      </c>
      <c r="D1049" s="829"/>
      <c r="E1049" s="830"/>
      <c r="F1049" s="830"/>
      <c r="G1049" s="1039"/>
      <c r="K1049" s="472"/>
      <c r="L1049" s="816">
        <f t="shared" si="63"/>
        <v>0</v>
      </c>
      <c r="M1049" s="833">
        <f t="shared" si="63"/>
        <v>0</v>
      </c>
      <c r="N1049" s="834"/>
      <c r="O1049" s="835">
        <f t="shared" si="65"/>
        <v>0</v>
      </c>
      <c r="P1049" s="827">
        <f t="shared" si="64"/>
        <v>0</v>
      </c>
    </row>
    <row r="1050" spans="3:16" ht="30" hidden="1" customHeight="1" outlineLevel="1">
      <c r="C1050" s="828">
        <v>8</v>
      </c>
      <c r="D1050" s="829"/>
      <c r="E1050" s="830"/>
      <c r="F1050" s="830"/>
      <c r="G1050" s="1039"/>
      <c r="K1050" s="472"/>
      <c r="L1050" s="816">
        <f t="shared" si="63"/>
        <v>0</v>
      </c>
      <c r="M1050" s="833">
        <f t="shared" si="63"/>
        <v>0</v>
      </c>
      <c r="N1050" s="834"/>
      <c r="O1050" s="835">
        <f t="shared" si="65"/>
        <v>0</v>
      </c>
      <c r="P1050" s="827">
        <f t="shared" si="64"/>
        <v>0</v>
      </c>
    </row>
    <row r="1051" spans="3:16" ht="30" hidden="1" customHeight="1" outlineLevel="1">
      <c r="C1051" s="828">
        <v>9</v>
      </c>
      <c r="D1051" s="829"/>
      <c r="E1051" s="830"/>
      <c r="F1051" s="830"/>
      <c r="G1051" s="1039"/>
      <c r="K1051" s="472"/>
      <c r="L1051" s="816">
        <f t="shared" si="63"/>
        <v>0</v>
      </c>
      <c r="M1051" s="833">
        <f t="shared" si="63"/>
        <v>0</v>
      </c>
      <c r="N1051" s="834"/>
      <c r="O1051" s="835">
        <f t="shared" si="65"/>
        <v>0</v>
      </c>
      <c r="P1051" s="827">
        <f t="shared" si="64"/>
        <v>0</v>
      </c>
    </row>
    <row r="1052" spans="3:16" ht="30" hidden="1" customHeight="1" outlineLevel="1">
      <c r="C1052" s="828">
        <v>10</v>
      </c>
      <c r="D1052" s="829"/>
      <c r="E1052" s="830"/>
      <c r="F1052" s="830"/>
      <c r="G1052" s="1039"/>
      <c r="K1052" s="472"/>
      <c r="L1052" s="816">
        <f t="shared" si="63"/>
        <v>0</v>
      </c>
      <c r="M1052" s="833">
        <f t="shared" si="63"/>
        <v>0</v>
      </c>
      <c r="N1052" s="834"/>
      <c r="O1052" s="835">
        <f t="shared" si="65"/>
        <v>0</v>
      </c>
      <c r="P1052" s="827">
        <f t="shared" si="64"/>
        <v>0</v>
      </c>
    </row>
    <row r="1053" spans="3:16" ht="30" hidden="1" customHeight="1" outlineLevel="1">
      <c r="C1053" s="828">
        <v>11</v>
      </c>
      <c r="D1053" s="829"/>
      <c r="E1053" s="830"/>
      <c r="F1053" s="830"/>
      <c r="G1053" s="1039"/>
      <c r="K1053" s="472"/>
      <c r="L1053" s="816">
        <f t="shared" si="63"/>
        <v>0</v>
      </c>
      <c r="M1053" s="833">
        <f t="shared" si="63"/>
        <v>0</v>
      </c>
      <c r="N1053" s="834"/>
      <c r="O1053" s="835">
        <f t="shared" si="65"/>
        <v>0</v>
      </c>
      <c r="P1053" s="827">
        <f t="shared" si="64"/>
        <v>0</v>
      </c>
    </row>
    <row r="1054" spans="3:16" ht="30" hidden="1" customHeight="1" outlineLevel="1">
      <c r="C1054" s="828">
        <v>12</v>
      </c>
      <c r="D1054" s="829"/>
      <c r="E1054" s="830"/>
      <c r="F1054" s="830"/>
      <c r="G1054" s="1039"/>
      <c r="K1054" s="472"/>
      <c r="L1054" s="816">
        <f t="shared" si="63"/>
        <v>0</v>
      </c>
      <c r="M1054" s="833">
        <f t="shared" si="63"/>
        <v>0</v>
      </c>
      <c r="N1054" s="834"/>
      <c r="O1054" s="835">
        <f t="shared" si="65"/>
        <v>0</v>
      </c>
      <c r="P1054" s="827">
        <f t="shared" si="64"/>
        <v>0</v>
      </c>
    </row>
    <row r="1055" spans="3:16" ht="30" hidden="1" customHeight="1" outlineLevel="1">
      <c r="C1055" s="828">
        <v>13</v>
      </c>
      <c r="D1055" s="829"/>
      <c r="E1055" s="830"/>
      <c r="F1055" s="830"/>
      <c r="G1055" s="1039"/>
      <c r="K1055" s="472"/>
      <c r="L1055" s="816">
        <f t="shared" si="63"/>
        <v>0</v>
      </c>
      <c r="M1055" s="833">
        <f t="shared" si="63"/>
        <v>0</v>
      </c>
      <c r="N1055" s="834"/>
      <c r="O1055" s="835">
        <f t="shared" si="65"/>
        <v>0</v>
      </c>
      <c r="P1055" s="827">
        <f t="shared" si="64"/>
        <v>0</v>
      </c>
    </row>
    <row r="1056" spans="3:16" ht="30" hidden="1" customHeight="1" outlineLevel="1">
      <c r="C1056" s="828">
        <v>14</v>
      </c>
      <c r="D1056" s="829"/>
      <c r="E1056" s="830"/>
      <c r="F1056" s="830"/>
      <c r="G1056" s="1039"/>
      <c r="K1056" s="472"/>
      <c r="L1056" s="816">
        <f t="shared" si="63"/>
        <v>0</v>
      </c>
      <c r="M1056" s="833">
        <f t="shared" si="63"/>
        <v>0</v>
      </c>
      <c r="N1056" s="834"/>
      <c r="O1056" s="835">
        <f t="shared" si="65"/>
        <v>0</v>
      </c>
      <c r="P1056" s="827">
        <f t="shared" si="64"/>
        <v>0</v>
      </c>
    </row>
    <row r="1057" spans="3:16" ht="30" hidden="1" customHeight="1" outlineLevel="1">
      <c r="C1057" s="828">
        <v>15</v>
      </c>
      <c r="D1057" s="829"/>
      <c r="E1057" s="830"/>
      <c r="F1057" s="830"/>
      <c r="G1057" s="1039"/>
      <c r="K1057" s="472"/>
      <c r="L1057" s="816">
        <f t="shared" si="63"/>
        <v>0</v>
      </c>
      <c r="M1057" s="833">
        <f t="shared" si="63"/>
        <v>0</v>
      </c>
      <c r="N1057" s="834"/>
      <c r="O1057" s="835">
        <f t="shared" si="65"/>
        <v>0</v>
      </c>
      <c r="P1057" s="827">
        <f t="shared" si="64"/>
        <v>0</v>
      </c>
    </row>
    <row r="1058" spans="3:16" ht="30" hidden="1" customHeight="1" outlineLevel="1">
      <c r="C1058" s="828">
        <v>16</v>
      </c>
      <c r="D1058" s="829"/>
      <c r="E1058" s="830"/>
      <c r="F1058" s="830"/>
      <c r="G1058" s="1039"/>
      <c r="K1058" s="472"/>
      <c r="L1058" s="816">
        <f t="shared" si="63"/>
        <v>0</v>
      </c>
      <c r="M1058" s="833">
        <f t="shared" si="63"/>
        <v>0</v>
      </c>
      <c r="N1058" s="834"/>
      <c r="O1058" s="835">
        <f t="shared" si="65"/>
        <v>0</v>
      </c>
      <c r="P1058" s="827">
        <f t="shared" si="64"/>
        <v>0</v>
      </c>
    </row>
    <row r="1059" spans="3:16" ht="30" hidden="1" customHeight="1" outlineLevel="1">
      <c r="C1059" s="828">
        <v>17</v>
      </c>
      <c r="D1059" s="829"/>
      <c r="E1059" s="830"/>
      <c r="F1059" s="830"/>
      <c r="G1059" s="1039"/>
      <c r="K1059" s="472"/>
      <c r="L1059" s="816">
        <f t="shared" si="63"/>
        <v>0</v>
      </c>
      <c r="M1059" s="833">
        <f t="shared" si="63"/>
        <v>0</v>
      </c>
      <c r="N1059" s="834"/>
      <c r="O1059" s="835">
        <f t="shared" si="65"/>
        <v>0</v>
      </c>
      <c r="P1059" s="827">
        <f t="shared" si="64"/>
        <v>0</v>
      </c>
    </row>
    <row r="1060" spans="3:16" ht="30" hidden="1" customHeight="1" outlineLevel="1">
      <c r="C1060" s="828">
        <v>18</v>
      </c>
      <c r="D1060" s="829"/>
      <c r="E1060" s="830"/>
      <c r="F1060" s="830"/>
      <c r="G1060" s="1039"/>
      <c r="K1060" s="472"/>
      <c r="L1060" s="816">
        <f t="shared" si="63"/>
        <v>0</v>
      </c>
      <c r="M1060" s="833">
        <f t="shared" si="63"/>
        <v>0</v>
      </c>
      <c r="N1060" s="834"/>
      <c r="O1060" s="835">
        <f t="shared" si="65"/>
        <v>0</v>
      </c>
      <c r="P1060" s="827">
        <f t="shared" si="64"/>
        <v>0</v>
      </c>
    </row>
    <row r="1061" spans="3:16" ht="30" hidden="1" customHeight="1" outlineLevel="1">
      <c r="C1061" s="828">
        <v>19</v>
      </c>
      <c r="D1061" s="829"/>
      <c r="E1061" s="830"/>
      <c r="F1061" s="830"/>
      <c r="G1061" s="1039"/>
      <c r="K1061" s="472"/>
      <c r="L1061" s="816">
        <f t="shared" si="63"/>
        <v>0</v>
      </c>
      <c r="M1061" s="833">
        <f t="shared" si="63"/>
        <v>0</v>
      </c>
      <c r="N1061" s="834"/>
      <c r="O1061" s="835">
        <f t="shared" si="65"/>
        <v>0</v>
      </c>
      <c r="P1061" s="827">
        <f t="shared" si="64"/>
        <v>0</v>
      </c>
    </row>
    <row r="1062" spans="3:16" ht="30" hidden="1" customHeight="1" outlineLevel="1">
      <c r="C1062" s="828">
        <v>20</v>
      </c>
      <c r="D1062" s="829"/>
      <c r="E1062" s="830"/>
      <c r="F1062" s="830"/>
      <c r="G1062" s="1039"/>
      <c r="K1062" s="472"/>
      <c r="L1062" s="816">
        <f t="shared" si="63"/>
        <v>0</v>
      </c>
      <c r="M1062" s="833">
        <f t="shared" si="63"/>
        <v>0</v>
      </c>
      <c r="N1062" s="834"/>
      <c r="O1062" s="835">
        <f t="shared" si="65"/>
        <v>0</v>
      </c>
      <c r="P1062" s="827">
        <f t="shared" si="64"/>
        <v>0</v>
      </c>
    </row>
    <row r="1063" spans="3:16" ht="30" hidden="1" customHeight="1" outlineLevel="1">
      <c r="C1063" s="828">
        <v>21</v>
      </c>
      <c r="D1063" s="829"/>
      <c r="E1063" s="830"/>
      <c r="F1063" s="830"/>
      <c r="G1063" s="1039"/>
      <c r="K1063" s="472"/>
      <c r="L1063" s="816">
        <f t="shared" si="63"/>
        <v>0</v>
      </c>
      <c r="M1063" s="833">
        <f t="shared" si="63"/>
        <v>0</v>
      </c>
      <c r="N1063" s="834"/>
      <c r="O1063" s="835">
        <f t="shared" si="65"/>
        <v>0</v>
      </c>
      <c r="P1063" s="827">
        <f t="shared" si="64"/>
        <v>0</v>
      </c>
    </row>
    <row r="1064" spans="3:16" ht="30" hidden="1" customHeight="1" outlineLevel="1">
      <c r="C1064" s="828">
        <v>22</v>
      </c>
      <c r="D1064" s="829"/>
      <c r="E1064" s="830"/>
      <c r="F1064" s="830"/>
      <c r="G1064" s="1039"/>
      <c r="K1064" s="472"/>
      <c r="L1064" s="816">
        <f t="shared" si="63"/>
        <v>0</v>
      </c>
      <c r="M1064" s="833">
        <f t="shared" si="63"/>
        <v>0</v>
      </c>
      <c r="N1064" s="834"/>
      <c r="O1064" s="835">
        <f t="shared" si="65"/>
        <v>0</v>
      </c>
      <c r="P1064" s="827">
        <f t="shared" si="64"/>
        <v>0</v>
      </c>
    </row>
    <row r="1065" spans="3:16" ht="30" hidden="1" customHeight="1" outlineLevel="1">
      <c r="C1065" s="828">
        <v>23</v>
      </c>
      <c r="D1065" s="829"/>
      <c r="E1065" s="830"/>
      <c r="F1065" s="830"/>
      <c r="G1065" s="1039"/>
      <c r="K1065" s="472"/>
      <c r="L1065" s="816">
        <f t="shared" si="63"/>
        <v>0</v>
      </c>
      <c r="M1065" s="833">
        <f t="shared" si="63"/>
        <v>0</v>
      </c>
      <c r="N1065" s="834"/>
      <c r="O1065" s="835">
        <f t="shared" si="65"/>
        <v>0</v>
      </c>
      <c r="P1065" s="827">
        <f t="shared" si="64"/>
        <v>0</v>
      </c>
    </row>
    <row r="1066" spans="3:16" ht="30" hidden="1" customHeight="1" outlineLevel="1">
      <c r="C1066" s="828">
        <v>24</v>
      </c>
      <c r="D1066" s="829"/>
      <c r="E1066" s="830"/>
      <c r="F1066" s="830"/>
      <c r="G1066" s="1039"/>
      <c r="K1066" s="472"/>
      <c r="L1066" s="816">
        <f t="shared" si="63"/>
        <v>0</v>
      </c>
      <c r="M1066" s="833">
        <f t="shared" si="63"/>
        <v>0</v>
      </c>
      <c r="N1066" s="834"/>
      <c r="O1066" s="835">
        <f t="shared" si="65"/>
        <v>0</v>
      </c>
      <c r="P1066" s="827">
        <f t="shared" si="64"/>
        <v>0</v>
      </c>
    </row>
    <row r="1067" spans="3:16" ht="30" hidden="1" customHeight="1" outlineLevel="1">
      <c r="C1067" s="828">
        <v>25</v>
      </c>
      <c r="D1067" s="829"/>
      <c r="E1067" s="830"/>
      <c r="F1067" s="830"/>
      <c r="G1067" s="1039"/>
      <c r="K1067" s="472"/>
      <c r="L1067" s="816">
        <f t="shared" si="63"/>
        <v>0</v>
      </c>
      <c r="M1067" s="833">
        <f t="shared" si="63"/>
        <v>0</v>
      </c>
      <c r="N1067" s="834"/>
      <c r="O1067" s="835">
        <f t="shared" si="65"/>
        <v>0</v>
      </c>
      <c r="P1067" s="827">
        <f t="shared" si="64"/>
        <v>0</v>
      </c>
    </row>
    <row r="1068" spans="3:16" ht="30" hidden="1" customHeight="1" outlineLevel="1">
      <c r="C1068" s="828">
        <v>26</v>
      </c>
      <c r="D1068" s="829"/>
      <c r="E1068" s="830"/>
      <c r="F1068" s="830"/>
      <c r="G1068" s="1039"/>
      <c r="K1068" s="472"/>
      <c r="L1068" s="816">
        <f t="shared" si="63"/>
        <v>0</v>
      </c>
      <c r="M1068" s="833">
        <f t="shared" si="63"/>
        <v>0</v>
      </c>
      <c r="N1068" s="834"/>
      <c r="O1068" s="835">
        <f t="shared" si="65"/>
        <v>0</v>
      </c>
      <c r="P1068" s="827">
        <f t="shared" si="64"/>
        <v>0</v>
      </c>
    </row>
    <row r="1069" spans="3:16" ht="30" hidden="1" customHeight="1" outlineLevel="1">
      <c r="C1069" s="828">
        <v>27</v>
      </c>
      <c r="D1069" s="829"/>
      <c r="E1069" s="830"/>
      <c r="F1069" s="830"/>
      <c r="G1069" s="1039"/>
      <c r="K1069" s="472"/>
      <c r="L1069" s="816">
        <f t="shared" si="63"/>
        <v>0</v>
      </c>
      <c r="M1069" s="833">
        <f t="shared" si="63"/>
        <v>0</v>
      </c>
      <c r="N1069" s="834"/>
      <c r="O1069" s="835">
        <f t="shared" si="65"/>
        <v>0</v>
      </c>
      <c r="P1069" s="827">
        <f t="shared" si="64"/>
        <v>0</v>
      </c>
    </row>
    <row r="1070" spans="3:16" ht="30" hidden="1" customHeight="1" outlineLevel="1">
      <c r="C1070" s="828">
        <v>28</v>
      </c>
      <c r="D1070" s="829"/>
      <c r="E1070" s="830"/>
      <c r="F1070" s="830"/>
      <c r="G1070" s="1039"/>
      <c r="K1070" s="472"/>
      <c r="L1070" s="816">
        <f t="shared" si="63"/>
        <v>0</v>
      </c>
      <c r="M1070" s="833">
        <f t="shared" si="63"/>
        <v>0</v>
      </c>
      <c r="N1070" s="834"/>
      <c r="O1070" s="835">
        <f t="shared" si="65"/>
        <v>0</v>
      </c>
      <c r="P1070" s="827">
        <f t="shared" si="64"/>
        <v>0</v>
      </c>
    </row>
    <row r="1071" spans="3:16" ht="30" hidden="1" customHeight="1" outlineLevel="1">
      <c r="C1071" s="828">
        <v>29</v>
      </c>
      <c r="D1071" s="829"/>
      <c r="E1071" s="830"/>
      <c r="F1071" s="830"/>
      <c r="G1071" s="1039"/>
      <c r="K1071" s="472"/>
      <c r="L1071" s="816">
        <f t="shared" si="63"/>
        <v>0</v>
      </c>
      <c r="M1071" s="833">
        <f t="shared" si="63"/>
        <v>0</v>
      </c>
      <c r="N1071" s="834"/>
      <c r="O1071" s="835">
        <f t="shared" si="65"/>
        <v>0</v>
      </c>
      <c r="P1071" s="827">
        <f t="shared" si="64"/>
        <v>0</v>
      </c>
    </row>
    <row r="1072" spans="3:16" ht="30" hidden="1" customHeight="1" outlineLevel="1">
      <c r="C1072" s="828">
        <v>30</v>
      </c>
      <c r="D1072" s="829"/>
      <c r="E1072" s="830"/>
      <c r="F1072" s="830"/>
      <c r="G1072" s="1039"/>
      <c r="K1072" s="472"/>
      <c r="L1072" s="816">
        <f t="shared" si="63"/>
        <v>0</v>
      </c>
      <c r="M1072" s="833">
        <f t="shared" si="63"/>
        <v>0</v>
      </c>
      <c r="N1072" s="834"/>
      <c r="O1072" s="835">
        <f t="shared" si="65"/>
        <v>0</v>
      </c>
      <c r="P1072" s="827">
        <f t="shared" si="64"/>
        <v>0</v>
      </c>
    </row>
    <row r="1073" spans="3:16" ht="30" hidden="1" customHeight="1" outlineLevel="1">
      <c r="C1073" s="828">
        <v>31</v>
      </c>
      <c r="D1073" s="829"/>
      <c r="E1073" s="830"/>
      <c r="F1073" s="830"/>
      <c r="G1073" s="1039"/>
      <c r="K1073" s="472"/>
      <c r="L1073" s="816">
        <f t="shared" si="63"/>
        <v>0</v>
      </c>
      <c r="M1073" s="833">
        <f t="shared" si="63"/>
        <v>0</v>
      </c>
      <c r="N1073" s="834"/>
      <c r="O1073" s="835">
        <f t="shared" si="65"/>
        <v>0</v>
      </c>
      <c r="P1073" s="827">
        <f t="shared" si="64"/>
        <v>0</v>
      </c>
    </row>
    <row r="1074" spans="3:16" ht="30" hidden="1" customHeight="1" outlineLevel="1">
      <c r="C1074" s="828">
        <v>32</v>
      </c>
      <c r="D1074" s="829"/>
      <c r="E1074" s="830"/>
      <c r="F1074" s="830"/>
      <c r="G1074" s="1039"/>
      <c r="K1074" s="472"/>
      <c r="L1074" s="816">
        <f t="shared" si="63"/>
        <v>0</v>
      </c>
      <c r="M1074" s="833">
        <f t="shared" si="63"/>
        <v>0</v>
      </c>
      <c r="N1074" s="834"/>
      <c r="O1074" s="835">
        <f t="shared" si="65"/>
        <v>0</v>
      </c>
      <c r="P1074" s="827">
        <f t="shared" si="64"/>
        <v>0</v>
      </c>
    </row>
    <row r="1075" spans="3:16" ht="30" hidden="1" customHeight="1" outlineLevel="1">
      <c r="C1075" s="828">
        <v>33</v>
      </c>
      <c r="D1075" s="829"/>
      <c r="E1075" s="830"/>
      <c r="F1075" s="830"/>
      <c r="G1075" s="1039"/>
      <c r="K1075" s="472"/>
      <c r="L1075" s="816">
        <f t="shared" si="63"/>
        <v>0</v>
      </c>
      <c r="M1075" s="833">
        <f t="shared" si="63"/>
        <v>0</v>
      </c>
      <c r="N1075" s="834"/>
      <c r="O1075" s="835">
        <f t="shared" si="65"/>
        <v>0</v>
      </c>
      <c r="P1075" s="827">
        <f t="shared" si="64"/>
        <v>0</v>
      </c>
    </row>
    <row r="1076" spans="3:16" ht="30" hidden="1" customHeight="1" outlineLevel="1">
      <c r="C1076" s="828">
        <v>34</v>
      </c>
      <c r="D1076" s="829"/>
      <c r="E1076" s="830"/>
      <c r="F1076" s="830"/>
      <c r="G1076" s="1039"/>
      <c r="K1076" s="472"/>
      <c r="L1076" s="816">
        <f t="shared" si="63"/>
        <v>0</v>
      </c>
      <c r="M1076" s="833">
        <f t="shared" si="63"/>
        <v>0</v>
      </c>
      <c r="N1076" s="834"/>
      <c r="O1076" s="835">
        <f t="shared" si="65"/>
        <v>0</v>
      </c>
      <c r="P1076" s="827">
        <f t="shared" si="64"/>
        <v>0</v>
      </c>
    </row>
    <row r="1077" spans="3:16" ht="30" hidden="1" customHeight="1" outlineLevel="1">
      <c r="C1077" s="828">
        <v>35</v>
      </c>
      <c r="D1077" s="829"/>
      <c r="E1077" s="830"/>
      <c r="F1077" s="830"/>
      <c r="G1077" s="1039"/>
      <c r="K1077" s="472"/>
      <c r="L1077" s="816">
        <f t="shared" si="63"/>
        <v>0</v>
      </c>
      <c r="M1077" s="833">
        <f t="shared" si="63"/>
        <v>0</v>
      </c>
      <c r="N1077" s="834"/>
      <c r="O1077" s="835">
        <f t="shared" si="65"/>
        <v>0</v>
      </c>
      <c r="P1077" s="827">
        <f t="shared" si="64"/>
        <v>0</v>
      </c>
    </row>
    <row r="1078" spans="3:16" ht="30" hidden="1" customHeight="1" outlineLevel="1">
      <c r="C1078" s="828">
        <v>36</v>
      </c>
      <c r="D1078" s="829"/>
      <c r="E1078" s="830"/>
      <c r="F1078" s="830"/>
      <c r="G1078" s="1039"/>
      <c r="K1078" s="472"/>
      <c r="L1078" s="816">
        <f t="shared" si="63"/>
        <v>0</v>
      </c>
      <c r="M1078" s="833">
        <f t="shared" si="63"/>
        <v>0</v>
      </c>
      <c r="N1078" s="834"/>
      <c r="O1078" s="835">
        <f t="shared" si="65"/>
        <v>0</v>
      </c>
      <c r="P1078" s="827">
        <f t="shared" si="64"/>
        <v>0</v>
      </c>
    </row>
    <row r="1079" spans="3:16" ht="30" hidden="1" customHeight="1" outlineLevel="1">
      <c r="C1079" s="828">
        <v>37</v>
      </c>
      <c r="D1079" s="829"/>
      <c r="E1079" s="830"/>
      <c r="F1079" s="830"/>
      <c r="G1079" s="1039"/>
      <c r="K1079" s="472"/>
      <c r="L1079" s="816">
        <f t="shared" si="63"/>
        <v>0</v>
      </c>
      <c r="M1079" s="833">
        <f t="shared" si="63"/>
        <v>0</v>
      </c>
      <c r="N1079" s="834"/>
      <c r="O1079" s="835">
        <f t="shared" si="65"/>
        <v>0</v>
      </c>
      <c r="P1079" s="827">
        <f t="shared" si="64"/>
        <v>0</v>
      </c>
    </row>
    <row r="1080" spans="3:16" ht="30" hidden="1" customHeight="1" outlineLevel="1">
      <c r="C1080" s="828">
        <v>38</v>
      </c>
      <c r="D1080" s="829"/>
      <c r="E1080" s="830"/>
      <c r="F1080" s="830"/>
      <c r="G1080" s="1039"/>
      <c r="K1080" s="472"/>
      <c r="L1080" s="816">
        <f t="shared" si="63"/>
        <v>0</v>
      </c>
      <c r="M1080" s="833">
        <f t="shared" si="63"/>
        <v>0</v>
      </c>
      <c r="N1080" s="834"/>
      <c r="O1080" s="835">
        <f t="shared" si="65"/>
        <v>0</v>
      </c>
      <c r="P1080" s="827">
        <f t="shared" si="64"/>
        <v>0</v>
      </c>
    </row>
    <row r="1081" spans="3:16" ht="30" hidden="1" customHeight="1" outlineLevel="1">
      <c r="C1081" s="828">
        <v>39</v>
      </c>
      <c r="D1081" s="829"/>
      <c r="E1081" s="830"/>
      <c r="F1081" s="830"/>
      <c r="G1081" s="1039"/>
      <c r="K1081" s="472"/>
      <c r="L1081" s="816">
        <f t="shared" si="63"/>
        <v>0</v>
      </c>
      <c r="M1081" s="833">
        <f t="shared" si="63"/>
        <v>0</v>
      </c>
      <c r="N1081" s="834"/>
      <c r="O1081" s="835">
        <f t="shared" si="65"/>
        <v>0</v>
      </c>
      <c r="P1081" s="827">
        <f t="shared" si="64"/>
        <v>0</v>
      </c>
    </row>
    <row r="1082" spans="3:16" ht="30" hidden="1" customHeight="1" outlineLevel="1">
      <c r="C1082" s="828">
        <v>40</v>
      </c>
      <c r="D1082" s="829"/>
      <c r="E1082" s="830"/>
      <c r="F1082" s="830"/>
      <c r="G1082" s="1039"/>
      <c r="K1082" s="472"/>
      <c r="L1082" s="816">
        <f t="shared" si="63"/>
        <v>0</v>
      </c>
      <c r="M1082" s="833">
        <f t="shared" si="63"/>
        <v>0</v>
      </c>
      <c r="N1082" s="834"/>
      <c r="O1082" s="835">
        <f t="shared" si="65"/>
        <v>0</v>
      </c>
      <c r="P1082" s="827">
        <f t="shared" si="64"/>
        <v>0</v>
      </c>
    </row>
    <row r="1083" spans="3:16" ht="30" hidden="1" customHeight="1" outlineLevel="1">
      <c r="C1083" s="828">
        <v>41</v>
      </c>
      <c r="D1083" s="829"/>
      <c r="E1083" s="830"/>
      <c r="F1083" s="830"/>
      <c r="G1083" s="1039"/>
      <c r="K1083" s="472"/>
      <c r="L1083" s="816">
        <f t="shared" si="63"/>
        <v>0</v>
      </c>
      <c r="M1083" s="833">
        <f t="shared" si="63"/>
        <v>0</v>
      </c>
      <c r="N1083" s="834"/>
      <c r="O1083" s="835">
        <f t="shared" si="65"/>
        <v>0</v>
      </c>
      <c r="P1083" s="827">
        <f t="shared" si="64"/>
        <v>0</v>
      </c>
    </row>
    <row r="1084" spans="3:16" ht="30" hidden="1" customHeight="1" outlineLevel="1">
      <c r="C1084" s="828">
        <v>42</v>
      </c>
      <c r="D1084" s="829"/>
      <c r="E1084" s="830"/>
      <c r="F1084" s="830"/>
      <c r="G1084" s="1039"/>
      <c r="K1084" s="472"/>
      <c r="L1084" s="816">
        <f t="shared" si="63"/>
        <v>0</v>
      </c>
      <c r="M1084" s="833">
        <f t="shared" si="63"/>
        <v>0</v>
      </c>
      <c r="N1084" s="834"/>
      <c r="O1084" s="835">
        <f t="shared" si="65"/>
        <v>0</v>
      </c>
      <c r="P1084" s="827">
        <f t="shared" si="64"/>
        <v>0</v>
      </c>
    </row>
    <row r="1085" spans="3:16" ht="30" hidden="1" customHeight="1" outlineLevel="1">
      <c r="C1085" s="828">
        <v>43</v>
      </c>
      <c r="D1085" s="829"/>
      <c r="E1085" s="830"/>
      <c r="F1085" s="830"/>
      <c r="G1085" s="1039"/>
      <c r="K1085" s="472"/>
      <c r="L1085" s="816">
        <f t="shared" si="63"/>
        <v>0</v>
      </c>
      <c r="M1085" s="833">
        <f t="shared" si="63"/>
        <v>0</v>
      </c>
      <c r="N1085" s="834"/>
      <c r="O1085" s="835">
        <f t="shared" si="65"/>
        <v>0</v>
      </c>
      <c r="P1085" s="827">
        <f t="shared" si="64"/>
        <v>0</v>
      </c>
    </row>
    <row r="1086" spans="3:16" ht="30" hidden="1" customHeight="1" outlineLevel="1">
      <c r="C1086" s="828">
        <v>44</v>
      </c>
      <c r="D1086" s="829"/>
      <c r="E1086" s="830"/>
      <c r="F1086" s="830"/>
      <c r="G1086" s="1039"/>
      <c r="K1086" s="472"/>
      <c r="L1086" s="816">
        <f t="shared" si="63"/>
        <v>0</v>
      </c>
      <c r="M1086" s="833">
        <f t="shared" si="63"/>
        <v>0</v>
      </c>
      <c r="N1086" s="834"/>
      <c r="O1086" s="835">
        <f t="shared" si="65"/>
        <v>0</v>
      </c>
      <c r="P1086" s="827">
        <f t="shared" si="64"/>
        <v>0</v>
      </c>
    </row>
    <row r="1087" spans="3:16" ht="30" hidden="1" customHeight="1" outlineLevel="1">
      <c r="C1087" s="828">
        <v>45</v>
      </c>
      <c r="D1087" s="829"/>
      <c r="E1087" s="830"/>
      <c r="F1087" s="830"/>
      <c r="G1087" s="1039"/>
      <c r="K1087" s="472"/>
      <c r="L1087" s="816">
        <f t="shared" si="63"/>
        <v>0</v>
      </c>
      <c r="M1087" s="833">
        <f t="shared" si="63"/>
        <v>0</v>
      </c>
      <c r="N1087" s="834"/>
      <c r="O1087" s="835">
        <f t="shared" si="65"/>
        <v>0</v>
      </c>
      <c r="P1087" s="827">
        <f t="shared" si="64"/>
        <v>0</v>
      </c>
    </row>
    <row r="1088" spans="3:16" ht="30" hidden="1" customHeight="1" outlineLevel="1">
      <c r="C1088" s="828">
        <v>46</v>
      </c>
      <c r="D1088" s="829"/>
      <c r="E1088" s="830"/>
      <c r="F1088" s="830"/>
      <c r="G1088" s="1039"/>
      <c r="K1088" s="472"/>
      <c r="L1088" s="816">
        <f t="shared" si="63"/>
        <v>0</v>
      </c>
      <c r="M1088" s="833">
        <f t="shared" si="63"/>
        <v>0</v>
      </c>
      <c r="N1088" s="834"/>
      <c r="O1088" s="835">
        <f t="shared" si="65"/>
        <v>0</v>
      </c>
      <c r="P1088" s="827">
        <f t="shared" si="64"/>
        <v>0</v>
      </c>
    </row>
    <row r="1089" spans="2:16" ht="30" hidden="1" customHeight="1" outlineLevel="1">
      <c r="C1089" s="828">
        <v>47</v>
      </c>
      <c r="D1089" s="829"/>
      <c r="E1089" s="830"/>
      <c r="F1089" s="830"/>
      <c r="G1089" s="1039"/>
      <c r="K1089" s="472"/>
      <c r="L1089" s="816">
        <f t="shared" si="63"/>
        <v>0</v>
      </c>
      <c r="M1089" s="833">
        <f t="shared" si="63"/>
        <v>0</v>
      </c>
      <c r="N1089" s="834"/>
      <c r="O1089" s="835">
        <f t="shared" si="65"/>
        <v>0</v>
      </c>
      <c r="P1089" s="827">
        <f t="shared" si="64"/>
        <v>0</v>
      </c>
    </row>
    <row r="1090" spans="2:16" ht="30" hidden="1" customHeight="1" outlineLevel="1">
      <c r="C1090" s="828">
        <v>48</v>
      </c>
      <c r="D1090" s="829"/>
      <c r="E1090" s="830"/>
      <c r="F1090" s="830"/>
      <c r="G1090" s="1039"/>
      <c r="K1090" s="472"/>
      <c r="L1090" s="816">
        <f t="shared" si="63"/>
        <v>0</v>
      </c>
      <c r="M1090" s="833">
        <f t="shared" si="63"/>
        <v>0</v>
      </c>
      <c r="N1090" s="834"/>
      <c r="O1090" s="835">
        <f t="shared" si="65"/>
        <v>0</v>
      </c>
      <c r="P1090" s="827">
        <f t="shared" si="64"/>
        <v>0</v>
      </c>
    </row>
    <row r="1091" spans="2:16" ht="30" hidden="1" customHeight="1" outlineLevel="1">
      <c r="C1091" s="828">
        <v>49</v>
      </c>
      <c r="D1091" s="829"/>
      <c r="E1091" s="830"/>
      <c r="F1091" s="830"/>
      <c r="G1091" s="1039"/>
      <c r="K1091" s="472"/>
      <c r="L1091" s="816">
        <f t="shared" si="63"/>
        <v>0</v>
      </c>
      <c r="M1091" s="833">
        <f t="shared" si="63"/>
        <v>0</v>
      </c>
      <c r="N1091" s="834"/>
      <c r="O1091" s="835">
        <f t="shared" si="65"/>
        <v>0</v>
      </c>
      <c r="P1091" s="827">
        <f t="shared" si="64"/>
        <v>0</v>
      </c>
    </row>
    <row r="1092" spans="2:16" ht="30" hidden="1" customHeight="1" outlineLevel="1" thickBot="1">
      <c r="C1092" s="836">
        <v>50</v>
      </c>
      <c r="D1092" s="837"/>
      <c r="E1092" s="838"/>
      <c r="F1092" s="838"/>
      <c r="G1092" s="1051"/>
      <c r="K1092" s="472"/>
      <c r="L1092" s="816">
        <f t="shared" si="63"/>
        <v>0</v>
      </c>
      <c r="M1092" s="833">
        <f t="shared" si="63"/>
        <v>0</v>
      </c>
      <c r="N1092" s="841"/>
      <c r="O1092" s="835">
        <f t="shared" si="65"/>
        <v>0</v>
      </c>
      <c r="P1092" s="827">
        <f t="shared" si="64"/>
        <v>0</v>
      </c>
    </row>
    <row r="1093" spans="2:16" ht="14.25" customHeight="1" thickTop="1">
      <c r="C1093" s="851"/>
      <c r="D1093" s="392"/>
      <c r="E1093" s="392"/>
      <c r="F1093" s="392"/>
      <c r="G1093" s="392"/>
      <c r="I1093" s="593"/>
      <c r="N1093" s="703"/>
    </row>
    <row r="1094" spans="2:16" ht="14.25" customHeight="1">
      <c r="B1094" s="106"/>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5"/>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9465" r:id="rId5" name="btnKoushin2">
          <controlPr defaultSize="0" print="0" autoLine="0" r:id="rId6">
            <anchor moveWithCells="1">
              <from>
                <xdr:col>17</xdr:col>
                <xdr:colOff>0</xdr:colOff>
                <xdr:row>1033</xdr:row>
                <xdr:rowOff>0</xdr:rowOff>
              </from>
              <to>
                <xdr:col>18</xdr:col>
                <xdr:colOff>895350</xdr:colOff>
                <xdr:row>1035</xdr:row>
                <xdr:rowOff>0</xdr:rowOff>
              </to>
            </anchor>
          </controlPr>
        </control>
      </mc:Choice>
      <mc:Fallback>
        <control shapeId="19465" r:id="rId5" name="btnKoushin2"/>
      </mc:Fallback>
    </mc:AlternateContent>
    <mc:AlternateContent xmlns:mc="http://schemas.openxmlformats.org/markup-compatibility/2006">
      <mc:Choice Requires="x14">
        <control shapeId="19459" r:id="rId7" name="btnKoushin1">
          <controlPr defaultSize="0" print="0" autoLine="0" r:id="rId6">
            <anchor moveWithCells="1">
              <from>
                <xdr:col>16</xdr:col>
                <xdr:colOff>161925</xdr:colOff>
                <xdr:row>14</xdr:row>
                <xdr:rowOff>161925</xdr:rowOff>
              </from>
              <to>
                <xdr:col>18</xdr:col>
                <xdr:colOff>857250</xdr:colOff>
                <xdr:row>17</xdr:row>
                <xdr:rowOff>28575</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655</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08"/>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656</v>
      </c>
      <c r="C16" s="2"/>
      <c r="K16" s="183"/>
      <c r="L16" s="183"/>
      <c r="P16" s="1085" t="s">
        <v>1382</v>
      </c>
    </row>
    <row r="17" spans="1:16" ht="14.25" customHeight="1">
      <c r="C17" s="106" t="s">
        <v>625</v>
      </c>
      <c r="K17" s="183"/>
      <c r="L17" s="183"/>
      <c r="M17" s="44"/>
      <c r="N17" s="44"/>
      <c r="O17" s="44"/>
      <c r="P17" s="1100">
        <v>10</v>
      </c>
    </row>
    <row r="18" spans="1:16" ht="14.25" customHeight="1">
      <c r="A18" s="30"/>
      <c r="B18" s="30"/>
      <c r="C18" s="30"/>
      <c r="D18" s="608" t="s">
        <v>1426</v>
      </c>
      <c r="E18" s="30"/>
      <c r="F18" s="30"/>
      <c r="G18" s="30"/>
      <c r="H18" s="30"/>
      <c r="I18" s="30"/>
      <c r="J18" s="609"/>
      <c r="K18" s="194"/>
      <c r="L18" s="194"/>
      <c r="M18" s="44"/>
      <c r="N18" s="44"/>
      <c r="O18" s="44"/>
      <c r="P18" s="44"/>
    </row>
    <row r="19" spans="1:16" ht="14.25" customHeight="1">
      <c r="A19" s="30"/>
      <c r="B19" s="30"/>
      <c r="C19" s="30"/>
      <c r="D19" s="608" t="s">
        <v>629</v>
      </c>
      <c r="E19" s="30"/>
      <c r="F19" s="30"/>
      <c r="G19" s="30"/>
      <c r="H19" s="30"/>
      <c r="I19" s="30"/>
      <c r="J19" s="609"/>
      <c r="K19" s="194"/>
      <c r="L19" s="194"/>
      <c r="M19" s="44"/>
      <c r="N19" s="44"/>
      <c r="O19" s="44"/>
      <c r="P19" s="44"/>
    </row>
    <row r="20" spans="1:16" ht="14.25" hidden="1" customHeight="1">
      <c r="A20" s="30"/>
      <c r="B20" s="30"/>
      <c r="C20" s="30"/>
      <c r="D20" s="608"/>
      <c r="E20" s="30"/>
      <c r="F20" s="30"/>
      <c r="G20" s="30"/>
      <c r="H20" s="30"/>
      <c r="I20" s="30"/>
      <c r="J20" s="609"/>
      <c r="K20" s="194"/>
      <c r="L20" s="194"/>
      <c r="M20" s="852"/>
      <c r="N20" s="852"/>
      <c r="O20" s="852"/>
      <c r="P20" s="852"/>
    </row>
    <row r="21" spans="1:16" ht="18" customHeight="1" thickBot="1">
      <c r="A21" s="30"/>
      <c r="B21" s="30"/>
      <c r="C21" s="30"/>
      <c r="E21" s="30"/>
      <c r="F21" s="30"/>
      <c r="G21" s="30"/>
      <c r="H21" s="30"/>
      <c r="I21" s="30"/>
      <c r="J21" s="609"/>
      <c r="K21" s="194"/>
      <c r="L21" s="194"/>
      <c r="M21" s="1169" t="s">
        <v>626</v>
      </c>
      <c r="N21" s="1169"/>
      <c r="O21" s="1169"/>
      <c r="P21" s="1169"/>
    </row>
    <row r="22" spans="1:16" ht="21.75" customHeight="1">
      <c r="A22" s="20"/>
      <c r="B22" s="20"/>
      <c r="C22" s="2146" t="s">
        <v>630</v>
      </c>
      <c r="D22" s="1291" t="s">
        <v>631</v>
      </c>
      <c r="E22" s="2045" t="s">
        <v>632</v>
      </c>
      <c r="F22" s="2045" t="s">
        <v>657</v>
      </c>
      <c r="G22" s="2045" t="s">
        <v>658</v>
      </c>
      <c r="H22" s="1582" t="s">
        <v>1403</v>
      </c>
      <c r="I22" s="1988" t="s">
        <v>634</v>
      </c>
      <c r="J22" s="2159" t="s">
        <v>635</v>
      </c>
      <c r="K22" s="183"/>
      <c r="L22" s="183"/>
      <c r="M22" s="2154" t="s">
        <v>659</v>
      </c>
      <c r="N22" s="2154" t="s">
        <v>660</v>
      </c>
      <c r="O22" s="2154" t="s">
        <v>661</v>
      </c>
      <c r="P22" s="2154" t="s">
        <v>662</v>
      </c>
    </row>
    <row r="23" spans="1:16" ht="21.75" customHeight="1">
      <c r="A23" s="20"/>
      <c r="B23" s="20"/>
      <c r="C23" s="2147"/>
      <c r="D23" s="1276"/>
      <c r="E23" s="2031"/>
      <c r="F23" s="2031"/>
      <c r="G23" s="2031"/>
      <c r="H23" s="1583"/>
      <c r="I23" s="1989"/>
      <c r="J23" s="2160"/>
      <c r="K23" s="183"/>
      <c r="L23" s="183"/>
      <c r="M23" s="2155"/>
      <c r="N23" s="2155"/>
      <c r="O23" s="2155"/>
      <c r="P23" s="2155"/>
    </row>
    <row r="24" spans="1:16" ht="30" customHeight="1" thickBot="1">
      <c r="A24" s="20"/>
      <c r="B24" s="20"/>
      <c r="C24" s="2148"/>
      <c r="D24" s="1276"/>
      <c r="E24" s="2031"/>
      <c r="F24" s="1532"/>
      <c r="G24" s="1210"/>
      <c r="H24" s="2163"/>
      <c r="I24" s="2158"/>
      <c r="J24" s="2160"/>
      <c r="K24" s="183"/>
      <c r="L24" s="183"/>
      <c r="M24" s="817">
        <f>ROUNDDOWN(SUM(M25:M1024),1)</f>
        <v>0</v>
      </c>
      <c r="N24" s="817">
        <f>ROUNDDOWN(SUM(N25:N1024),1)</f>
        <v>0</v>
      </c>
      <c r="O24" s="819">
        <f>SUM(O25:O1024)</f>
        <v>0</v>
      </c>
      <c r="P24" s="819">
        <f>SUM(P25:P1024)</f>
        <v>0</v>
      </c>
    </row>
    <row r="25" spans="1:16" ht="30" customHeight="1" thickTop="1">
      <c r="A25" s="118"/>
      <c r="B25" s="118"/>
      <c r="C25" s="820">
        <v>1</v>
      </c>
      <c r="D25" s="821"/>
      <c r="E25" s="822"/>
      <c r="F25" s="822"/>
      <c r="G25" s="669"/>
      <c r="H25" s="1048"/>
      <c r="I25" s="823"/>
      <c r="J25" s="853"/>
      <c r="K25" s="802"/>
      <c r="L25" s="472"/>
      <c r="M25" s="815">
        <f>IF($H25&gt;0,E25,)</f>
        <v>0</v>
      </c>
      <c r="N25" s="815">
        <f>IF($H25&gt;0,F25,)</f>
        <v>0</v>
      </c>
      <c r="O25" s="827">
        <f>IF(H25&gt;0,ROUND(G25,),)</f>
        <v>0</v>
      </c>
      <c r="P25" s="827">
        <f>ROUND(O25*H25%,)</f>
        <v>0</v>
      </c>
    </row>
    <row r="26" spans="1:16" ht="30" customHeight="1">
      <c r="A26" s="118"/>
      <c r="B26" s="118"/>
      <c r="C26" s="828">
        <v>2</v>
      </c>
      <c r="D26" s="829"/>
      <c r="E26" s="830"/>
      <c r="F26" s="830"/>
      <c r="G26" s="854"/>
      <c r="H26" s="1049"/>
      <c r="I26" s="831"/>
      <c r="J26" s="855"/>
      <c r="K26" s="802"/>
      <c r="L26" s="472"/>
      <c r="M26" s="816">
        <f t="shared" ref="M26:N153" si="0">IF($H26&gt;0,E26,)</f>
        <v>0</v>
      </c>
      <c r="N26" s="833">
        <f t="shared" si="0"/>
        <v>0</v>
      </c>
      <c r="O26" s="265">
        <f t="shared" ref="O26:O1024" si="1">IF(H26&gt;0,ROUND(G26,),)</f>
        <v>0</v>
      </c>
      <c r="P26" s="827">
        <f t="shared" ref="P26:P89" si="2">ROUND(O26*H26%,)</f>
        <v>0</v>
      </c>
    </row>
    <row r="27" spans="1:16" ht="30" customHeight="1">
      <c r="A27" s="118"/>
      <c r="B27" s="118"/>
      <c r="C27" s="828">
        <v>3</v>
      </c>
      <c r="D27" s="829"/>
      <c r="E27" s="830"/>
      <c r="F27" s="830"/>
      <c r="G27" s="854"/>
      <c r="H27" s="1049"/>
      <c r="I27" s="831"/>
      <c r="J27" s="855"/>
      <c r="K27" s="802"/>
      <c r="L27" s="472"/>
      <c r="M27" s="816">
        <f t="shared" si="0"/>
        <v>0</v>
      </c>
      <c r="N27" s="833">
        <f t="shared" si="0"/>
        <v>0</v>
      </c>
      <c r="O27" s="265">
        <f t="shared" si="1"/>
        <v>0</v>
      </c>
      <c r="P27" s="827">
        <f t="shared" si="2"/>
        <v>0</v>
      </c>
    </row>
    <row r="28" spans="1:16" ht="30" customHeight="1">
      <c r="A28" s="118"/>
      <c r="B28" s="118"/>
      <c r="C28" s="828">
        <v>4</v>
      </c>
      <c r="D28" s="829"/>
      <c r="E28" s="830"/>
      <c r="F28" s="830"/>
      <c r="G28" s="854"/>
      <c r="H28" s="1049"/>
      <c r="I28" s="831"/>
      <c r="J28" s="855"/>
      <c r="K28" s="802"/>
      <c r="L28" s="472"/>
      <c r="M28" s="816">
        <f t="shared" si="0"/>
        <v>0</v>
      </c>
      <c r="N28" s="833">
        <f t="shared" si="0"/>
        <v>0</v>
      </c>
      <c r="O28" s="265">
        <f t="shared" si="1"/>
        <v>0</v>
      </c>
      <c r="P28" s="827">
        <f t="shared" si="2"/>
        <v>0</v>
      </c>
    </row>
    <row r="29" spans="1:16" ht="30" customHeight="1">
      <c r="A29" s="118"/>
      <c r="B29" s="118"/>
      <c r="C29" s="828">
        <v>5</v>
      </c>
      <c r="D29" s="829"/>
      <c r="E29" s="830"/>
      <c r="F29" s="830"/>
      <c r="G29" s="854"/>
      <c r="H29" s="1049"/>
      <c r="I29" s="831"/>
      <c r="J29" s="855"/>
      <c r="K29" s="802"/>
      <c r="L29" s="472"/>
      <c r="M29" s="816">
        <f t="shared" si="0"/>
        <v>0</v>
      </c>
      <c r="N29" s="833">
        <f t="shared" si="0"/>
        <v>0</v>
      </c>
      <c r="O29" s="265">
        <f t="shared" si="1"/>
        <v>0</v>
      </c>
      <c r="P29" s="827">
        <f t="shared" si="2"/>
        <v>0</v>
      </c>
    </row>
    <row r="30" spans="1:16" ht="30" customHeight="1">
      <c r="A30" s="118"/>
      <c r="B30" s="118"/>
      <c r="C30" s="828">
        <v>6</v>
      </c>
      <c r="D30" s="829"/>
      <c r="E30" s="830"/>
      <c r="F30" s="830"/>
      <c r="G30" s="854"/>
      <c r="H30" s="1049"/>
      <c r="I30" s="831"/>
      <c r="J30" s="855"/>
      <c r="K30" s="802"/>
      <c r="L30" s="472"/>
      <c r="M30" s="816">
        <f t="shared" si="0"/>
        <v>0</v>
      </c>
      <c r="N30" s="833">
        <f t="shared" si="0"/>
        <v>0</v>
      </c>
      <c r="O30" s="265">
        <f t="shared" si="1"/>
        <v>0</v>
      </c>
      <c r="P30" s="827">
        <f t="shared" si="2"/>
        <v>0</v>
      </c>
    </row>
    <row r="31" spans="1:16" ht="30" customHeight="1">
      <c r="A31" s="118"/>
      <c r="B31" s="118"/>
      <c r="C31" s="828">
        <v>7</v>
      </c>
      <c r="D31" s="829"/>
      <c r="E31" s="830"/>
      <c r="F31" s="830"/>
      <c r="G31" s="854"/>
      <c r="H31" s="1049"/>
      <c r="I31" s="831"/>
      <c r="J31" s="855"/>
      <c r="K31" s="802"/>
      <c r="L31" s="472"/>
      <c r="M31" s="816">
        <f t="shared" si="0"/>
        <v>0</v>
      </c>
      <c r="N31" s="833">
        <f t="shared" si="0"/>
        <v>0</v>
      </c>
      <c r="O31" s="265">
        <f t="shared" si="1"/>
        <v>0</v>
      </c>
      <c r="P31" s="827">
        <f t="shared" si="2"/>
        <v>0</v>
      </c>
    </row>
    <row r="32" spans="1:16" ht="30" customHeight="1">
      <c r="A32" s="118"/>
      <c r="B32" s="118"/>
      <c r="C32" s="828">
        <v>8</v>
      </c>
      <c r="D32" s="829"/>
      <c r="E32" s="830"/>
      <c r="F32" s="830"/>
      <c r="G32" s="854"/>
      <c r="H32" s="1049"/>
      <c r="I32" s="831"/>
      <c r="J32" s="855"/>
      <c r="K32" s="802"/>
      <c r="L32" s="472"/>
      <c r="M32" s="816">
        <f t="shared" si="0"/>
        <v>0</v>
      </c>
      <c r="N32" s="833">
        <f t="shared" si="0"/>
        <v>0</v>
      </c>
      <c r="O32" s="265">
        <f t="shared" si="1"/>
        <v>0</v>
      </c>
      <c r="P32" s="827">
        <f t="shared" si="2"/>
        <v>0</v>
      </c>
    </row>
    <row r="33" spans="1:16" ht="30" customHeight="1">
      <c r="A33" s="118"/>
      <c r="B33" s="118"/>
      <c r="C33" s="828">
        <v>9</v>
      </c>
      <c r="D33" s="829"/>
      <c r="E33" s="830"/>
      <c r="F33" s="830"/>
      <c r="G33" s="854"/>
      <c r="H33" s="1049"/>
      <c r="I33" s="831"/>
      <c r="J33" s="855"/>
      <c r="K33" s="802"/>
      <c r="L33" s="472"/>
      <c r="M33" s="816">
        <f t="shared" si="0"/>
        <v>0</v>
      </c>
      <c r="N33" s="833">
        <f t="shared" si="0"/>
        <v>0</v>
      </c>
      <c r="O33" s="265">
        <f t="shared" si="1"/>
        <v>0</v>
      </c>
      <c r="P33" s="827">
        <f t="shared" si="2"/>
        <v>0</v>
      </c>
    </row>
    <row r="34" spans="1:16" ht="30" customHeight="1" collapsed="1" thickBot="1">
      <c r="A34" s="118"/>
      <c r="B34" s="118"/>
      <c r="C34" s="828">
        <v>10</v>
      </c>
      <c r="D34" s="829"/>
      <c r="E34" s="830"/>
      <c r="F34" s="830"/>
      <c r="G34" s="854"/>
      <c r="H34" s="1049"/>
      <c r="I34" s="831"/>
      <c r="J34" s="855"/>
      <c r="K34" s="802"/>
      <c r="L34" s="472"/>
      <c r="M34" s="816">
        <f t="shared" si="0"/>
        <v>0</v>
      </c>
      <c r="N34" s="833">
        <f t="shared" si="0"/>
        <v>0</v>
      </c>
      <c r="O34" s="265">
        <f t="shared" si="1"/>
        <v>0</v>
      </c>
      <c r="P34" s="827">
        <f t="shared" si="2"/>
        <v>0</v>
      </c>
    </row>
    <row r="35" spans="1:16" ht="30" hidden="1" customHeight="1" outlineLevel="1">
      <c r="A35" s="118"/>
      <c r="B35" s="118"/>
      <c r="C35" s="828">
        <v>11</v>
      </c>
      <c r="D35" s="829"/>
      <c r="E35" s="830"/>
      <c r="F35" s="830"/>
      <c r="G35" s="854"/>
      <c r="H35" s="1049"/>
      <c r="I35" s="856"/>
      <c r="J35" s="857"/>
      <c r="K35" s="858"/>
      <c r="L35" s="472"/>
      <c r="M35" s="816">
        <f t="shared" si="0"/>
        <v>0</v>
      </c>
      <c r="N35" s="833">
        <f t="shared" si="0"/>
        <v>0</v>
      </c>
      <c r="O35" s="265">
        <f t="shared" si="1"/>
        <v>0</v>
      </c>
      <c r="P35" s="827">
        <f t="shared" si="2"/>
        <v>0</v>
      </c>
    </row>
    <row r="36" spans="1:16" ht="30" hidden="1" customHeight="1" outlineLevel="1">
      <c r="A36" s="118"/>
      <c r="B36" s="118"/>
      <c r="C36" s="828">
        <v>12</v>
      </c>
      <c r="D36" s="829"/>
      <c r="E36" s="830"/>
      <c r="F36" s="830"/>
      <c r="G36" s="854"/>
      <c r="H36" s="1049"/>
      <c r="I36" s="856"/>
      <c r="J36" s="857"/>
      <c r="K36" s="858"/>
      <c r="L36" s="472"/>
      <c r="M36" s="816">
        <f t="shared" si="0"/>
        <v>0</v>
      </c>
      <c r="N36" s="833">
        <f t="shared" si="0"/>
        <v>0</v>
      </c>
      <c r="O36" s="265">
        <f t="shared" si="1"/>
        <v>0</v>
      </c>
      <c r="P36" s="827">
        <f t="shared" si="2"/>
        <v>0</v>
      </c>
    </row>
    <row r="37" spans="1:16" ht="30" hidden="1" customHeight="1" outlineLevel="1">
      <c r="A37" s="118"/>
      <c r="B37" s="118"/>
      <c r="C37" s="828">
        <v>13</v>
      </c>
      <c r="D37" s="829"/>
      <c r="E37" s="830"/>
      <c r="F37" s="830"/>
      <c r="G37" s="854"/>
      <c r="H37" s="1049"/>
      <c r="I37" s="856"/>
      <c r="J37" s="857"/>
      <c r="K37" s="858"/>
      <c r="L37" s="472"/>
      <c r="M37" s="816">
        <f t="shared" si="0"/>
        <v>0</v>
      </c>
      <c r="N37" s="833">
        <f t="shared" si="0"/>
        <v>0</v>
      </c>
      <c r="O37" s="265">
        <f t="shared" si="1"/>
        <v>0</v>
      </c>
      <c r="P37" s="827">
        <f t="shared" si="2"/>
        <v>0</v>
      </c>
    </row>
    <row r="38" spans="1:16" ht="30" hidden="1" customHeight="1" outlineLevel="1">
      <c r="A38" s="118"/>
      <c r="B38" s="118"/>
      <c r="C38" s="828">
        <v>14</v>
      </c>
      <c r="D38" s="829"/>
      <c r="E38" s="830"/>
      <c r="F38" s="830"/>
      <c r="G38" s="854"/>
      <c r="H38" s="1049"/>
      <c r="I38" s="856"/>
      <c r="J38" s="857"/>
      <c r="K38" s="858"/>
      <c r="L38" s="472"/>
      <c r="M38" s="816">
        <f t="shared" si="0"/>
        <v>0</v>
      </c>
      <c r="N38" s="833">
        <f t="shared" si="0"/>
        <v>0</v>
      </c>
      <c r="O38" s="265">
        <f t="shared" si="1"/>
        <v>0</v>
      </c>
      <c r="P38" s="827">
        <f t="shared" si="2"/>
        <v>0</v>
      </c>
    </row>
    <row r="39" spans="1:16" ht="30" hidden="1" customHeight="1" outlineLevel="1">
      <c r="A39" s="118"/>
      <c r="B39" s="118"/>
      <c r="C39" s="828">
        <v>15</v>
      </c>
      <c r="D39" s="829"/>
      <c r="E39" s="830"/>
      <c r="F39" s="830"/>
      <c r="G39" s="854"/>
      <c r="H39" s="1049"/>
      <c r="I39" s="856"/>
      <c r="J39" s="857"/>
      <c r="K39" s="858"/>
      <c r="L39" s="472"/>
      <c r="M39" s="816">
        <f t="shared" si="0"/>
        <v>0</v>
      </c>
      <c r="N39" s="833">
        <f t="shared" si="0"/>
        <v>0</v>
      </c>
      <c r="O39" s="265">
        <f t="shared" si="1"/>
        <v>0</v>
      </c>
      <c r="P39" s="827">
        <f t="shared" si="2"/>
        <v>0</v>
      </c>
    </row>
    <row r="40" spans="1:16" ht="30" hidden="1" customHeight="1" outlineLevel="1">
      <c r="A40" s="118"/>
      <c r="B40" s="118"/>
      <c r="C40" s="828">
        <v>16</v>
      </c>
      <c r="D40" s="829"/>
      <c r="E40" s="830"/>
      <c r="F40" s="830"/>
      <c r="G40" s="854"/>
      <c r="H40" s="1049"/>
      <c r="I40" s="856"/>
      <c r="J40" s="857"/>
      <c r="K40" s="858"/>
      <c r="L40" s="472"/>
      <c r="M40" s="816">
        <f t="shared" si="0"/>
        <v>0</v>
      </c>
      <c r="N40" s="833">
        <f t="shared" si="0"/>
        <v>0</v>
      </c>
      <c r="O40" s="265">
        <f t="shared" si="1"/>
        <v>0</v>
      </c>
      <c r="P40" s="827">
        <f t="shared" si="2"/>
        <v>0</v>
      </c>
    </row>
    <row r="41" spans="1:16" ht="30" hidden="1" customHeight="1" outlineLevel="1">
      <c r="A41" s="118"/>
      <c r="B41" s="118"/>
      <c r="C41" s="828">
        <v>17</v>
      </c>
      <c r="D41" s="829"/>
      <c r="E41" s="830"/>
      <c r="F41" s="830"/>
      <c r="G41" s="854"/>
      <c r="H41" s="1049"/>
      <c r="I41" s="856"/>
      <c r="J41" s="857"/>
      <c r="K41" s="858"/>
      <c r="L41" s="472"/>
      <c r="M41" s="816">
        <f t="shared" si="0"/>
        <v>0</v>
      </c>
      <c r="N41" s="833">
        <f t="shared" si="0"/>
        <v>0</v>
      </c>
      <c r="O41" s="265">
        <f t="shared" si="1"/>
        <v>0</v>
      </c>
      <c r="P41" s="827">
        <f t="shared" si="2"/>
        <v>0</v>
      </c>
    </row>
    <row r="42" spans="1:16" ht="30" hidden="1" customHeight="1" outlineLevel="1">
      <c r="A42" s="118"/>
      <c r="B42" s="118"/>
      <c r="C42" s="828">
        <v>18</v>
      </c>
      <c r="D42" s="829"/>
      <c r="E42" s="830"/>
      <c r="F42" s="830"/>
      <c r="G42" s="854"/>
      <c r="H42" s="1049"/>
      <c r="I42" s="856"/>
      <c r="J42" s="857"/>
      <c r="K42" s="858"/>
      <c r="L42" s="472"/>
      <c r="M42" s="816">
        <f t="shared" si="0"/>
        <v>0</v>
      </c>
      <c r="N42" s="833">
        <f t="shared" si="0"/>
        <v>0</v>
      </c>
      <c r="O42" s="265">
        <f t="shared" si="1"/>
        <v>0</v>
      </c>
      <c r="P42" s="827">
        <f t="shared" si="2"/>
        <v>0</v>
      </c>
    </row>
    <row r="43" spans="1:16" ht="30" hidden="1" customHeight="1" outlineLevel="1">
      <c r="A43" s="118"/>
      <c r="B43" s="118"/>
      <c r="C43" s="828">
        <v>19</v>
      </c>
      <c r="D43" s="829"/>
      <c r="E43" s="830"/>
      <c r="F43" s="830"/>
      <c r="G43" s="854"/>
      <c r="H43" s="1049"/>
      <c r="I43" s="856"/>
      <c r="J43" s="857"/>
      <c r="K43" s="858"/>
      <c r="L43" s="472"/>
      <c r="M43" s="816">
        <f t="shared" si="0"/>
        <v>0</v>
      </c>
      <c r="N43" s="833">
        <f t="shared" si="0"/>
        <v>0</v>
      </c>
      <c r="O43" s="265">
        <f t="shared" si="1"/>
        <v>0</v>
      </c>
      <c r="P43" s="827">
        <f t="shared" si="2"/>
        <v>0</v>
      </c>
    </row>
    <row r="44" spans="1:16" ht="30" hidden="1" customHeight="1" outlineLevel="1">
      <c r="A44" s="118"/>
      <c r="B44" s="118"/>
      <c r="C44" s="828">
        <v>20</v>
      </c>
      <c r="D44" s="829"/>
      <c r="E44" s="830"/>
      <c r="F44" s="830"/>
      <c r="G44" s="854"/>
      <c r="H44" s="1049"/>
      <c r="I44" s="856"/>
      <c r="J44" s="857"/>
      <c r="K44" s="858"/>
      <c r="L44" s="472"/>
      <c r="M44" s="816">
        <f t="shared" si="0"/>
        <v>0</v>
      </c>
      <c r="N44" s="833">
        <f t="shared" si="0"/>
        <v>0</v>
      </c>
      <c r="O44" s="265">
        <f t="shared" si="1"/>
        <v>0</v>
      </c>
      <c r="P44" s="827">
        <f t="shared" si="2"/>
        <v>0</v>
      </c>
    </row>
    <row r="45" spans="1:16" ht="30" hidden="1" customHeight="1" outlineLevel="1">
      <c r="A45" s="118"/>
      <c r="B45" s="118"/>
      <c r="C45" s="828">
        <v>21</v>
      </c>
      <c r="D45" s="829"/>
      <c r="E45" s="830"/>
      <c r="F45" s="830"/>
      <c r="G45" s="854"/>
      <c r="H45" s="1049"/>
      <c r="I45" s="856"/>
      <c r="J45" s="857"/>
      <c r="K45" s="858"/>
      <c r="L45" s="472"/>
      <c r="M45" s="816">
        <f t="shared" si="0"/>
        <v>0</v>
      </c>
      <c r="N45" s="833">
        <f t="shared" si="0"/>
        <v>0</v>
      </c>
      <c r="O45" s="265">
        <f t="shared" si="1"/>
        <v>0</v>
      </c>
      <c r="P45" s="827">
        <f t="shared" si="2"/>
        <v>0</v>
      </c>
    </row>
    <row r="46" spans="1:16" ht="30" hidden="1" customHeight="1" outlineLevel="1">
      <c r="A46" s="118"/>
      <c r="B46" s="118"/>
      <c r="C46" s="828">
        <v>22</v>
      </c>
      <c r="D46" s="829"/>
      <c r="E46" s="830"/>
      <c r="F46" s="830"/>
      <c r="G46" s="854"/>
      <c r="H46" s="1049"/>
      <c r="I46" s="856"/>
      <c r="J46" s="857"/>
      <c r="K46" s="858"/>
      <c r="L46" s="472"/>
      <c r="M46" s="816">
        <f t="shared" si="0"/>
        <v>0</v>
      </c>
      <c r="N46" s="833">
        <f t="shared" si="0"/>
        <v>0</v>
      </c>
      <c r="O46" s="265">
        <f t="shared" si="1"/>
        <v>0</v>
      </c>
      <c r="P46" s="827">
        <f t="shared" si="2"/>
        <v>0</v>
      </c>
    </row>
    <row r="47" spans="1:16" ht="30" hidden="1" customHeight="1" outlineLevel="1">
      <c r="A47" s="118"/>
      <c r="B47" s="118"/>
      <c r="C47" s="828">
        <v>23</v>
      </c>
      <c r="D47" s="829"/>
      <c r="E47" s="830"/>
      <c r="F47" s="830"/>
      <c r="G47" s="854"/>
      <c r="H47" s="1049"/>
      <c r="I47" s="856"/>
      <c r="J47" s="857"/>
      <c r="K47" s="858"/>
      <c r="L47" s="472"/>
      <c r="M47" s="816">
        <f t="shared" si="0"/>
        <v>0</v>
      </c>
      <c r="N47" s="833">
        <f t="shared" si="0"/>
        <v>0</v>
      </c>
      <c r="O47" s="265">
        <f t="shared" si="1"/>
        <v>0</v>
      </c>
      <c r="P47" s="827">
        <f t="shared" si="2"/>
        <v>0</v>
      </c>
    </row>
    <row r="48" spans="1:16" ht="30" hidden="1" customHeight="1" outlineLevel="1">
      <c r="A48" s="118"/>
      <c r="B48" s="118"/>
      <c r="C48" s="828">
        <v>24</v>
      </c>
      <c r="D48" s="829"/>
      <c r="E48" s="830"/>
      <c r="F48" s="830"/>
      <c r="G48" s="854"/>
      <c r="H48" s="1049"/>
      <c r="I48" s="856"/>
      <c r="J48" s="857"/>
      <c r="K48" s="858"/>
      <c r="L48" s="472"/>
      <c r="M48" s="816">
        <f t="shared" si="0"/>
        <v>0</v>
      </c>
      <c r="N48" s="833">
        <f t="shared" si="0"/>
        <v>0</v>
      </c>
      <c r="O48" s="265">
        <f t="shared" si="1"/>
        <v>0</v>
      </c>
      <c r="P48" s="827">
        <f t="shared" si="2"/>
        <v>0</v>
      </c>
    </row>
    <row r="49" spans="1:16" ht="30" hidden="1" customHeight="1" outlineLevel="1">
      <c r="A49" s="118"/>
      <c r="B49" s="118"/>
      <c r="C49" s="828">
        <v>25</v>
      </c>
      <c r="D49" s="829"/>
      <c r="E49" s="830"/>
      <c r="F49" s="830"/>
      <c r="G49" s="854"/>
      <c r="H49" s="1049"/>
      <c r="I49" s="856"/>
      <c r="J49" s="857"/>
      <c r="K49" s="858"/>
      <c r="L49" s="472"/>
      <c r="M49" s="816">
        <f t="shared" si="0"/>
        <v>0</v>
      </c>
      <c r="N49" s="833">
        <f t="shared" si="0"/>
        <v>0</v>
      </c>
      <c r="O49" s="265">
        <f t="shared" si="1"/>
        <v>0</v>
      </c>
      <c r="P49" s="827">
        <f t="shared" si="2"/>
        <v>0</v>
      </c>
    </row>
    <row r="50" spans="1:16" ht="30" hidden="1" customHeight="1" outlineLevel="1">
      <c r="A50" s="118"/>
      <c r="B50" s="118"/>
      <c r="C50" s="828">
        <v>26</v>
      </c>
      <c r="D50" s="829"/>
      <c r="E50" s="830"/>
      <c r="F50" s="830"/>
      <c r="G50" s="854"/>
      <c r="H50" s="1049"/>
      <c r="I50" s="856"/>
      <c r="J50" s="857"/>
      <c r="K50" s="858"/>
      <c r="L50" s="472"/>
      <c r="M50" s="816">
        <f t="shared" si="0"/>
        <v>0</v>
      </c>
      <c r="N50" s="833">
        <f t="shared" si="0"/>
        <v>0</v>
      </c>
      <c r="O50" s="265">
        <f t="shared" si="1"/>
        <v>0</v>
      </c>
      <c r="P50" s="827">
        <f t="shared" si="2"/>
        <v>0</v>
      </c>
    </row>
    <row r="51" spans="1:16" ht="30" hidden="1" customHeight="1" outlineLevel="1">
      <c r="A51" s="118"/>
      <c r="B51" s="118"/>
      <c r="C51" s="828">
        <v>27</v>
      </c>
      <c r="D51" s="829"/>
      <c r="E51" s="830"/>
      <c r="F51" s="830"/>
      <c r="G51" s="854"/>
      <c r="H51" s="1049"/>
      <c r="I51" s="856"/>
      <c r="J51" s="857"/>
      <c r="K51" s="858"/>
      <c r="L51" s="472"/>
      <c r="M51" s="816">
        <f t="shared" si="0"/>
        <v>0</v>
      </c>
      <c r="N51" s="833">
        <f t="shared" si="0"/>
        <v>0</v>
      </c>
      <c r="O51" s="265">
        <f t="shared" si="1"/>
        <v>0</v>
      </c>
      <c r="P51" s="827">
        <f t="shared" si="2"/>
        <v>0</v>
      </c>
    </row>
    <row r="52" spans="1:16" ht="30" hidden="1" customHeight="1" outlineLevel="1">
      <c r="A52" s="118"/>
      <c r="B52" s="118"/>
      <c r="C52" s="828">
        <v>28</v>
      </c>
      <c r="D52" s="829"/>
      <c r="E52" s="830"/>
      <c r="F52" s="830"/>
      <c r="G52" s="854"/>
      <c r="H52" s="1049"/>
      <c r="I52" s="856"/>
      <c r="J52" s="857"/>
      <c r="K52" s="858"/>
      <c r="L52" s="472"/>
      <c r="M52" s="816">
        <f t="shared" si="0"/>
        <v>0</v>
      </c>
      <c r="N52" s="833">
        <f t="shared" si="0"/>
        <v>0</v>
      </c>
      <c r="O52" s="265">
        <f t="shared" si="1"/>
        <v>0</v>
      </c>
      <c r="P52" s="827">
        <f t="shared" si="2"/>
        <v>0</v>
      </c>
    </row>
    <row r="53" spans="1:16" ht="30" hidden="1" customHeight="1" outlineLevel="1">
      <c r="A53" s="118"/>
      <c r="B53" s="118"/>
      <c r="C53" s="828">
        <v>29</v>
      </c>
      <c r="D53" s="829"/>
      <c r="E53" s="830"/>
      <c r="F53" s="830"/>
      <c r="G53" s="854"/>
      <c r="H53" s="1049"/>
      <c r="I53" s="856"/>
      <c r="J53" s="857"/>
      <c r="K53" s="858"/>
      <c r="L53" s="472"/>
      <c r="M53" s="816">
        <f t="shared" si="0"/>
        <v>0</v>
      </c>
      <c r="N53" s="833">
        <f t="shared" si="0"/>
        <v>0</v>
      </c>
      <c r="O53" s="265">
        <f t="shared" si="1"/>
        <v>0</v>
      </c>
      <c r="P53" s="827">
        <f t="shared" si="2"/>
        <v>0</v>
      </c>
    </row>
    <row r="54" spans="1:16" ht="30" hidden="1" customHeight="1" outlineLevel="1">
      <c r="A54" s="118"/>
      <c r="B54" s="118"/>
      <c r="C54" s="828">
        <v>30</v>
      </c>
      <c r="D54" s="829"/>
      <c r="E54" s="830"/>
      <c r="F54" s="830"/>
      <c r="G54" s="854"/>
      <c r="H54" s="1049"/>
      <c r="I54" s="856"/>
      <c r="J54" s="857"/>
      <c r="K54" s="858"/>
      <c r="L54" s="472"/>
      <c r="M54" s="816">
        <f t="shared" si="0"/>
        <v>0</v>
      </c>
      <c r="N54" s="833">
        <f t="shared" si="0"/>
        <v>0</v>
      </c>
      <c r="O54" s="265">
        <f t="shared" si="1"/>
        <v>0</v>
      </c>
      <c r="P54" s="827">
        <f t="shared" si="2"/>
        <v>0</v>
      </c>
    </row>
    <row r="55" spans="1:16" ht="30" hidden="1" customHeight="1" outlineLevel="1">
      <c r="A55" s="118"/>
      <c r="B55" s="118"/>
      <c r="C55" s="828">
        <v>31</v>
      </c>
      <c r="D55" s="829"/>
      <c r="E55" s="830"/>
      <c r="F55" s="830"/>
      <c r="G55" s="854"/>
      <c r="H55" s="1049"/>
      <c r="I55" s="856"/>
      <c r="J55" s="857"/>
      <c r="K55" s="858"/>
      <c r="L55" s="472"/>
      <c r="M55" s="816">
        <f t="shared" si="0"/>
        <v>0</v>
      </c>
      <c r="N55" s="833">
        <f t="shared" si="0"/>
        <v>0</v>
      </c>
      <c r="O55" s="265">
        <f t="shared" si="1"/>
        <v>0</v>
      </c>
      <c r="P55" s="827">
        <f t="shared" si="2"/>
        <v>0</v>
      </c>
    </row>
    <row r="56" spans="1:16" ht="30" hidden="1" customHeight="1" outlineLevel="1">
      <c r="A56" s="118"/>
      <c r="B56" s="118"/>
      <c r="C56" s="828">
        <v>32</v>
      </c>
      <c r="D56" s="829"/>
      <c r="E56" s="830"/>
      <c r="F56" s="830"/>
      <c r="G56" s="854"/>
      <c r="H56" s="1049"/>
      <c r="I56" s="856"/>
      <c r="J56" s="857"/>
      <c r="K56" s="858"/>
      <c r="L56" s="472"/>
      <c r="M56" s="816">
        <f t="shared" si="0"/>
        <v>0</v>
      </c>
      <c r="N56" s="833">
        <f t="shared" si="0"/>
        <v>0</v>
      </c>
      <c r="O56" s="265">
        <f t="shared" si="1"/>
        <v>0</v>
      </c>
      <c r="P56" s="827">
        <f t="shared" si="2"/>
        <v>0</v>
      </c>
    </row>
    <row r="57" spans="1:16" ht="30" hidden="1" customHeight="1" outlineLevel="1">
      <c r="A57" s="118"/>
      <c r="B57" s="118"/>
      <c r="C57" s="828">
        <v>33</v>
      </c>
      <c r="D57" s="829"/>
      <c r="E57" s="830"/>
      <c r="F57" s="830"/>
      <c r="G57" s="854"/>
      <c r="H57" s="1049"/>
      <c r="I57" s="856"/>
      <c r="J57" s="857"/>
      <c r="K57" s="858"/>
      <c r="L57" s="472"/>
      <c r="M57" s="816">
        <f t="shared" si="0"/>
        <v>0</v>
      </c>
      <c r="N57" s="833">
        <f t="shared" si="0"/>
        <v>0</v>
      </c>
      <c r="O57" s="265">
        <f t="shared" si="1"/>
        <v>0</v>
      </c>
      <c r="P57" s="827">
        <f t="shared" si="2"/>
        <v>0</v>
      </c>
    </row>
    <row r="58" spans="1:16" ht="30" hidden="1" customHeight="1" outlineLevel="1">
      <c r="A58" s="118"/>
      <c r="B58" s="118"/>
      <c r="C58" s="828">
        <v>34</v>
      </c>
      <c r="D58" s="829"/>
      <c r="E58" s="830"/>
      <c r="F58" s="830"/>
      <c r="G58" s="854"/>
      <c r="H58" s="1049"/>
      <c r="I58" s="856"/>
      <c r="J58" s="857"/>
      <c r="K58" s="858"/>
      <c r="L58" s="472"/>
      <c r="M58" s="816">
        <f t="shared" si="0"/>
        <v>0</v>
      </c>
      <c r="N58" s="833">
        <f t="shared" si="0"/>
        <v>0</v>
      </c>
      <c r="O58" s="265">
        <f t="shared" si="1"/>
        <v>0</v>
      </c>
      <c r="P58" s="827">
        <f t="shared" si="2"/>
        <v>0</v>
      </c>
    </row>
    <row r="59" spans="1:16" ht="30" hidden="1" customHeight="1" outlineLevel="1">
      <c r="A59" s="118"/>
      <c r="B59" s="118"/>
      <c r="C59" s="828">
        <v>35</v>
      </c>
      <c r="D59" s="829"/>
      <c r="E59" s="830"/>
      <c r="F59" s="830"/>
      <c r="G59" s="854"/>
      <c r="H59" s="1049"/>
      <c r="I59" s="856"/>
      <c r="J59" s="857"/>
      <c r="K59" s="858"/>
      <c r="L59" s="472"/>
      <c r="M59" s="816">
        <f t="shared" si="0"/>
        <v>0</v>
      </c>
      <c r="N59" s="833">
        <f t="shared" si="0"/>
        <v>0</v>
      </c>
      <c r="O59" s="265">
        <f t="shared" si="1"/>
        <v>0</v>
      </c>
      <c r="P59" s="827">
        <f t="shared" si="2"/>
        <v>0</v>
      </c>
    </row>
    <row r="60" spans="1:16" ht="30" hidden="1" customHeight="1" outlineLevel="1">
      <c r="A60" s="118"/>
      <c r="B60" s="118"/>
      <c r="C60" s="828">
        <v>36</v>
      </c>
      <c r="D60" s="829"/>
      <c r="E60" s="830"/>
      <c r="F60" s="830"/>
      <c r="G60" s="854"/>
      <c r="H60" s="1049"/>
      <c r="I60" s="856"/>
      <c r="J60" s="857"/>
      <c r="K60" s="858"/>
      <c r="L60" s="472"/>
      <c r="M60" s="816">
        <f t="shared" si="0"/>
        <v>0</v>
      </c>
      <c r="N60" s="833">
        <f t="shared" si="0"/>
        <v>0</v>
      </c>
      <c r="O60" s="265">
        <f t="shared" si="1"/>
        <v>0</v>
      </c>
      <c r="P60" s="827">
        <f t="shared" si="2"/>
        <v>0</v>
      </c>
    </row>
    <row r="61" spans="1:16" ht="30" hidden="1" customHeight="1" outlineLevel="1">
      <c r="A61" s="118"/>
      <c r="B61" s="118"/>
      <c r="C61" s="828">
        <v>37</v>
      </c>
      <c r="D61" s="829"/>
      <c r="E61" s="830"/>
      <c r="F61" s="830"/>
      <c r="G61" s="854"/>
      <c r="H61" s="1049"/>
      <c r="I61" s="856"/>
      <c r="J61" s="857"/>
      <c r="K61" s="858"/>
      <c r="L61" s="472"/>
      <c r="M61" s="816">
        <f t="shared" si="0"/>
        <v>0</v>
      </c>
      <c r="N61" s="833">
        <f t="shared" si="0"/>
        <v>0</v>
      </c>
      <c r="O61" s="265">
        <f t="shared" si="1"/>
        <v>0</v>
      </c>
      <c r="P61" s="827">
        <f t="shared" si="2"/>
        <v>0</v>
      </c>
    </row>
    <row r="62" spans="1:16" ht="30" hidden="1" customHeight="1" outlineLevel="1">
      <c r="A62" s="118"/>
      <c r="B62" s="118"/>
      <c r="C62" s="828">
        <v>38</v>
      </c>
      <c r="D62" s="829"/>
      <c r="E62" s="830"/>
      <c r="F62" s="830"/>
      <c r="G62" s="854"/>
      <c r="H62" s="1049"/>
      <c r="I62" s="856"/>
      <c r="J62" s="857"/>
      <c r="K62" s="858"/>
      <c r="L62" s="472"/>
      <c r="M62" s="816">
        <f t="shared" si="0"/>
        <v>0</v>
      </c>
      <c r="N62" s="833">
        <f t="shared" si="0"/>
        <v>0</v>
      </c>
      <c r="O62" s="265">
        <f t="shared" si="1"/>
        <v>0</v>
      </c>
      <c r="P62" s="827">
        <f t="shared" si="2"/>
        <v>0</v>
      </c>
    </row>
    <row r="63" spans="1:16" ht="30" hidden="1" customHeight="1" outlineLevel="1">
      <c r="A63" s="118"/>
      <c r="B63" s="118"/>
      <c r="C63" s="828">
        <v>39</v>
      </c>
      <c r="D63" s="829"/>
      <c r="E63" s="830"/>
      <c r="F63" s="830"/>
      <c r="G63" s="854"/>
      <c r="H63" s="1049"/>
      <c r="I63" s="856"/>
      <c r="J63" s="857"/>
      <c r="K63" s="858"/>
      <c r="L63" s="472"/>
      <c r="M63" s="816">
        <f t="shared" si="0"/>
        <v>0</v>
      </c>
      <c r="N63" s="833">
        <f t="shared" si="0"/>
        <v>0</v>
      </c>
      <c r="O63" s="265">
        <f t="shared" si="1"/>
        <v>0</v>
      </c>
      <c r="P63" s="827">
        <f t="shared" si="2"/>
        <v>0</v>
      </c>
    </row>
    <row r="64" spans="1:16" ht="30" hidden="1" customHeight="1" outlineLevel="1">
      <c r="A64" s="118"/>
      <c r="B64" s="118"/>
      <c r="C64" s="828">
        <v>40</v>
      </c>
      <c r="D64" s="829"/>
      <c r="E64" s="830"/>
      <c r="F64" s="830"/>
      <c r="G64" s="854"/>
      <c r="H64" s="1049"/>
      <c r="I64" s="856"/>
      <c r="J64" s="857"/>
      <c r="K64" s="858"/>
      <c r="L64" s="472"/>
      <c r="M64" s="816">
        <f t="shared" si="0"/>
        <v>0</v>
      </c>
      <c r="N64" s="833">
        <f t="shared" si="0"/>
        <v>0</v>
      </c>
      <c r="O64" s="265">
        <f t="shared" si="1"/>
        <v>0</v>
      </c>
      <c r="P64" s="827">
        <f t="shared" si="2"/>
        <v>0</v>
      </c>
    </row>
    <row r="65" spans="1:16" ht="30" hidden="1" customHeight="1" outlineLevel="1">
      <c r="A65" s="118"/>
      <c r="B65" s="118"/>
      <c r="C65" s="828">
        <v>41</v>
      </c>
      <c r="D65" s="829"/>
      <c r="E65" s="830"/>
      <c r="F65" s="830"/>
      <c r="G65" s="854"/>
      <c r="H65" s="1049"/>
      <c r="I65" s="856"/>
      <c r="J65" s="857"/>
      <c r="K65" s="858"/>
      <c r="L65" s="472"/>
      <c r="M65" s="816">
        <f t="shared" si="0"/>
        <v>0</v>
      </c>
      <c r="N65" s="833">
        <f t="shared" si="0"/>
        <v>0</v>
      </c>
      <c r="O65" s="265">
        <f t="shared" si="1"/>
        <v>0</v>
      </c>
      <c r="P65" s="827">
        <f t="shared" si="2"/>
        <v>0</v>
      </c>
    </row>
    <row r="66" spans="1:16" ht="30" hidden="1" customHeight="1" outlineLevel="1">
      <c r="A66" s="118"/>
      <c r="B66" s="118"/>
      <c r="C66" s="828">
        <v>42</v>
      </c>
      <c r="D66" s="829"/>
      <c r="E66" s="830"/>
      <c r="F66" s="830"/>
      <c r="G66" s="854"/>
      <c r="H66" s="1049"/>
      <c r="I66" s="856"/>
      <c r="J66" s="857"/>
      <c r="K66" s="858"/>
      <c r="L66" s="472"/>
      <c r="M66" s="816">
        <f t="shared" si="0"/>
        <v>0</v>
      </c>
      <c r="N66" s="833">
        <f t="shared" si="0"/>
        <v>0</v>
      </c>
      <c r="O66" s="265">
        <f t="shared" si="1"/>
        <v>0</v>
      </c>
      <c r="P66" s="827">
        <f t="shared" si="2"/>
        <v>0</v>
      </c>
    </row>
    <row r="67" spans="1:16" ht="30" hidden="1" customHeight="1" outlineLevel="1">
      <c r="A67" s="118"/>
      <c r="B67" s="118"/>
      <c r="C67" s="828">
        <v>43</v>
      </c>
      <c r="D67" s="829"/>
      <c r="E67" s="830"/>
      <c r="F67" s="830"/>
      <c r="G67" s="854"/>
      <c r="H67" s="1049"/>
      <c r="I67" s="856"/>
      <c r="J67" s="857"/>
      <c r="K67" s="858"/>
      <c r="L67" s="472"/>
      <c r="M67" s="816">
        <f t="shared" si="0"/>
        <v>0</v>
      </c>
      <c r="N67" s="833">
        <f t="shared" si="0"/>
        <v>0</v>
      </c>
      <c r="O67" s="265">
        <f t="shared" si="1"/>
        <v>0</v>
      </c>
      <c r="P67" s="827">
        <f t="shared" si="2"/>
        <v>0</v>
      </c>
    </row>
    <row r="68" spans="1:16" ht="30" hidden="1" customHeight="1" outlineLevel="1">
      <c r="A68" s="118"/>
      <c r="B68" s="118"/>
      <c r="C68" s="828">
        <v>44</v>
      </c>
      <c r="D68" s="829"/>
      <c r="E68" s="830"/>
      <c r="F68" s="830"/>
      <c r="G68" s="854"/>
      <c r="H68" s="1049"/>
      <c r="I68" s="856"/>
      <c r="J68" s="857"/>
      <c r="K68" s="858"/>
      <c r="L68" s="472"/>
      <c r="M68" s="816">
        <f t="shared" si="0"/>
        <v>0</v>
      </c>
      <c r="N68" s="833">
        <f t="shared" si="0"/>
        <v>0</v>
      </c>
      <c r="O68" s="265">
        <f t="shared" si="1"/>
        <v>0</v>
      </c>
      <c r="P68" s="827">
        <f t="shared" si="2"/>
        <v>0</v>
      </c>
    </row>
    <row r="69" spans="1:16" ht="30" hidden="1" customHeight="1" outlineLevel="1">
      <c r="A69" s="118"/>
      <c r="B69" s="118"/>
      <c r="C69" s="828">
        <v>45</v>
      </c>
      <c r="D69" s="829"/>
      <c r="E69" s="830"/>
      <c r="F69" s="830"/>
      <c r="G69" s="854"/>
      <c r="H69" s="1049"/>
      <c r="I69" s="856"/>
      <c r="J69" s="857"/>
      <c r="K69" s="858"/>
      <c r="L69" s="472"/>
      <c r="M69" s="816">
        <f t="shared" si="0"/>
        <v>0</v>
      </c>
      <c r="N69" s="833">
        <f t="shared" si="0"/>
        <v>0</v>
      </c>
      <c r="O69" s="265">
        <f t="shared" si="1"/>
        <v>0</v>
      </c>
      <c r="P69" s="827">
        <f t="shared" si="2"/>
        <v>0</v>
      </c>
    </row>
    <row r="70" spans="1:16" ht="30" hidden="1" customHeight="1" outlineLevel="1">
      <c r="A70" s="118"/>
      <c r="B70" s="118"/>
      <c r="C70" s="828">
        <v>46</v>
      </c>
      <c r="D70" s="829"/>
      <c r="E70" s="830"/>
      <c r="F70" s="830"/>
      <c r="G70" s="854"/>
      <c r="H70" s="1049"/>
      <c r="I70" s="856"/>
      <c r="J70" s="857"/>
      <c r="K70" s="858"/>
      <c r="L70" s="472"/>
      <c r="M70" s="816">
        <f t="shared" si="0"/>
        <v>0</v>
      </c>
      <c r="N70" s="833">
        <f t="shared" si="0"/>
        <v>0</v>
      </c>
      <c r="O70" s="265">
        <f t="shared" si="1"/>
        <v>0</v>
      </c>
      <c r="P70" s="827">
        <f t="shared" si="2"/>
        <v>0</v>
      </c>
    </row>
    <row r="71" spans="1:16" ht="30" hidden="1" customHeight="1" outlineLevel="1">
      <c r="A71" s="118"/>
      <c r="B71" s="118"/>
      <c r="C71" s="828">
        <v>47</v>
      </c>
      <c r="D71" s="829"/>
      <c r="E71" s="830"/>
      <c r="F71" s="830"/>
      <c r="G71" s="854"/>
      <c r="H71" s="1049"/>
      <c r="I71" s="856"/>
      <c r="J71" s="857"/>
      <c r="K71" s="858"/>
      <c r="L71" s="472"/>
      <c r="M71" s="816">
        <f t="shared" si="0"/>
        <v>0</v>
      </c>
      <c r="N71" s="833">
        <f t="shared" si="0"/>
        <v>0</v>
      </c>
      <c r="O71" s="265">
        <f t="shared" si="1"/>
        <v>0</v>
      </c>
      <c r="P71" s="827">
        <f t="shared" si="2"/>
        <v>0</v>
      </c>
    </row>
    <row r="72" spans="1:16" ht="30" hidden="1" customHeight="1" outlineLevel="1">
      <c r="A72" s="118"/>
      <c r="B72" s="118"/>
      <c r="C72" s="828">
        <v>48</v>
      </c>
      <c r="D72" s="829"/>
      <c r="E72" s="830"/>
      <c r="F72" s="830"/>
      <c r="G72" s="854"/>
      <c r="H72" s="1049"/>
      <c r="I72" s="856"/>
      <c r="J72" s="857"/>
      <c r="K72" s="858"/>
      <c r="L72" s="472"/>
      <c r="M72" s="816">
        <f t="shared" si="0"/>
        <v>0</v>
      </c>
      <c r="N72" s="833">
        <f t="shared" si="0"/>
        <v>0</v>
      </c>
      <c r="O72" s="265">
        <f t="shared" si="1"/>
        <v>0</v>
      </c>
      <c r="P72" s="827">
        <f t="shared" si="2"/>
        <v>0</v>
      </c>
    </row>
    <row r="73" spans="1:16" ht="30" hidden="1" customHeight="1" outlineLevel="1">
      <c r="A73" s="118"/>
      <c r="B73" s="118"/>
      <c r="C73" s="828">
        <v>49</v>
      </c>
      <c r="D73" s="829"/>
      <c r="E73" s="830"/>
      <c r="F73" s="830"/>
      <c r="G73" s="854"/>
      <c r="H73" s="1049"/>
      <c r="I73" s="856"/>
      <c r="J73" s="857"/>
      <c r="K73" s="858"/>
      <c r="L73" s="472"/>
      <c r="M73" s="816">
        <f t="shared" si="0"/>
        <v>0</v>
      </c>
      <c r="N73" s="833">
        <f t="shared" si="0"/>
        <v>0</v>
      </c>
      <c r="O73" s="265">
        <f t="shared" si="1"/>
        <v>0</v>
      </c>
      <c r="P73" s="827">
        <f t="shared" si="2"/>
        <v>0</v>
      </c>
    </row>
    <row r="74" spans="1:16" ht="30" hidden="1" customHeight="1" outlineLevel="1">
      <c r="A74" s="118"/>
      <c r="B74" s="118"/>
      <c r="C74" s="828">
        <v>50</v>
      </c>
      <c r="D74" s="829"/>
      <c r="E74" s="830"/>
      <c r="F74" s="830"/>
      <c r="G74" s="854"/>
      <c r="H74" s="1049"/>
      <c r="I74" s="856"/>
      <c r="J74" s="857"/>
      <c r="K74" s="858"/>
      <c r="L74" s="472"/>
      <c r="M74" s="816">
        <f t="shared" si="0"/>
        <v>0</v>
      </c>
      <c r="N74" s="833">
        <f t="shared" si="0"/>
        <v>0</v>
      </c>
      <c r="O74" s="265">
        <f t="shared" si="1"/>
        <v>0</v>
      </c>
      <c r="P74" s="827">
        <f t="shared" si="2"/>
        <v>0</v>
      </c>
    </row>
    <row r="75" spans="1:16" ht="30" hidden="1" customHeight="1" outlineLevel="1">
      <c r="A75" s="118"/>
      <c r="B75" s="118"/>
      <c r="C75" s="828">
        <v>51</v>
      </c>
      <c r="D75" s="829"/>
      <c r="E75" s="830"/>
      <c r="F75" s="830"/>
      <c r="G75" s="854"/>
      <c r="H75" s="1049"/>
      <c r="I75" s="856"/>
      <c r="J75" s="857"/>
      <c r="K75" s="858"/>
      <c r="L75" s="472"/>
      <c r="M75" s="816">
        <f t="shared" si="0"/>
        <v>0</v>
      </c>
      <c r="N75" s="833">
        <f t="shared" si="0"/>
        <v>0</v>
      </c>
      <c r="O75" s="265">
        <f t="shared" si="1"/>
        <v>0</v>
      </c>
      <c r="P75" s="827">
        <f t="shared" si="2"/>
        <v>0</v>
      </c>
    </row>
    <row r="76" spans="1:16" ht="30" hidden="1" customHeight="1" outlineLevel="1">
      <c r="A76" s="118"/>
      <c r="B76" s="118"/>
      <c r="C76" s="828">
        <v>52</v>
      </c>
      <c r="D76" s="829"/>
      <c r="E76" s="830"/>
      <c r="F76" s="830"/>
      <c r="G76" s="854"/>
      <c r="H76" s="1049"/>
      <c r="I76" s="856"/>
      <c r="J76" s="857"/>
      <c r="K76" s="858"/>
      <c r="L76" s="472"/>
      <c r="M76" s="816">
        <f t="shared" si="0"/>
        <v>0</v>
      </c>
      <c r="N76" s="833">
        <f t="shared" si="0"/>
        <v>0</v>
      </c>
      <c r="O76" s="265">
        <f t="shared" si="1"/>
        <v>0</v>
      </c>
      <c r="P76" s="827">
        <f t="shared" si="2"/>
        <v>0</v>
      </c>
    </row>
    <row r="77" spans="1:16" ht="30" hidden="1" customHeight="1" outlineLevel="1">
      <c r="A77" s="118"/>
      <c r="B77" s="118"/>
      <c r="C77" s="828">
        <v>53</v>
      </c>
      <c r="D77" s="829"/>
      <c r="E77" s="830"/>
      <c r="F77" s="830"/>
      <c r="G77" s="854"/>
      <c r="H77" s="1049"/>
      <c r="I77" s="856"/>
      <c r="J77" s="857"/>
      <c r="K77" s="858"/>
      <c r="L77" s="472"/>
      <c r="M77" s="816">
        <f t="shared" si="0"/>
        <v>0</v>
      </c>
      <c r="N77" s="833">
        <f t="shared" si="0"/>
        <v>0</v>
      </c>
      <c r="O77" s="265">
        <f t="shared" si="1"/>
        <v>0</v>
      </c>
      <c r="P77" s="827">
        <f t="shared" si="2"/>
        <v>0</v>
      </c>
    </row>
    <row r="78" spans="1:16" ht="30" hidden="1" customHeight="1" outlineLevel="1">
      <c r="A78" s="118"/>
      <c r="B78" s="118"/>
      <c r="C78" s="828">
        <v>54</v>
      </c>
      <c r="D78" s="829"/>
      <c r="E78" s="830"/>
      <c r="F78" s="830"/>
      <c r="G78" s="854"/>
      <c r="H78" s="1049"/>
      <c r="I78" s="856"/>
      <c r="J78" s="857"/>
      <c r="K78" s="858"/>
      <c r="L78" s="472"/>
      <c r="M78" s="816">
        <f t="shared" si="0"/>
        <v>0</v>
      </c>
      <c r="N78" s="833">
        <f t="shared" si="0"/>
        <v>0</v>
      </c>
      <c r="O78" s="265">
        <f t="shared" si="1"/>
        <v>0</v>
      </c>
      <c r="P78" s="827">
        <f t="shared" si="2"/>
        <v>0</v>
      </c>
    </row>
    <row r="79" spans="1:16" ht="30" hidden="1" customHeight="1" outlineLevel="1">
      <c r="A79" s="118"/>
      <c r="B79" s="118"/>
      <c r="C79" s="828">
        <v>55</v>
      </c>
      <c r="D79" s="829"/>
      <c r="E79" s="830"/>
      <c r="F79" s="830"/>
      <c r="G79" s="854"/>
      <c r="H79" s="1049"/>
      <c r="I79" s="856"/>
      <c r="J79" s="857"/>
      <c r="K79" s="858"/>
      <c r="L79" s="472"/>
      <c r="M79" s="816">
        <f t="shared" si="0"/>
        <v>0</v>
      </c>
      <c r="N79" s="833">
        <f t="shared" si="0"/>
        <v>0</v>
      </c>
      <c r="O79" s="265">
        <f t="shared" si="1"/>
        <v>0</v>
      </c>
      <c r="P79" s="827">
        <f t="shared" si="2"/>
        <v>0</v>
      </c>
    </row>
    <row r="80" spans="1:16" ht="30" hidden="1" customHeight="1" outlineLevel="1">
      <c r="A80" s="118"/>
      <c r="B80" s="118"/>
      <c r="C80" s="828">
        <v>56</v>
      </c>
      <c r="D80" s="829"/>
      <c r="E80" s="830"/>
      <c r="F80" s="830"/>
      <c r="G80" s="854"/>
      <c r="H80" s="1049"/>
      <c r="I80" s="856"/>
      <c r="J80" s="857"/>
      <c r="K80" s="858"/>
      <c r="L80" s="472"/>
      <c r="M80" s="816">
        <f t="shared" si="0"/>
        <v>0</v>
      </c>
      <c r="N80" s="833">
        <f t="shared" si="0"/>
        <v>0</v>
      </c>
      <c r="O80" s="265">
        <f t="shared" si="1"/>
        <v>0</v>
      </c>
      <c r="P80" s="827">
        <f t="shared" si="2"/>
        <v>0</v>
      </c>
    </row>
    <row r="81" spans="1:16" ht="30" hidden="1" customHeight="1" outlineLevel="1">
      <c r="A81" s="118"/>
      <c r="B81" s="118"/>
      <c r="C81" s="828">
        <v>57</v>
      </c>
      <c r="D81" s="829"/>
      <c r="E81" s="830"/>
      <c r="F81" s="830"/>
      <c r="G81" s="854"/>
      <c r="H81" s="1049"/>
      <c r="I81" s="856"/>
      <c r="J81" s="857"/>
      <c r="K81" s="858"/>
      <c r="L81" s="472"/>
      <c r="M81" s="816">
        <f t="shared" si="0"/>
        <v>0</v>
      </c>
      <c r="N81" s="833">
        <f t="shared" si="0"/>
        <v>0</v>
      </c>
      <c r="O81" s="265">
        <f t="shared" si="1"/>
        <v>0</v>
      </c>
      <c r="P81" s="827">
        <f t="shared" si="2"/>
        <v>0</v>
      </c>
    </row>
    <row r="82" spans="1:16" ht="30" hidden="1" customHeight="1" outlineLevel="1">
      <c r="A82" s="118"/>
      <c r="B82" s="118"/>
      <c r="C82" s="828">
        <v>58</v>
      </c>
      <c r="D82" s="829"/>
      <c r="E82" s="830"/>
      <c r="F82" s="830"/>
      <c r="G82" s="854"/>
      <c r="H82" s="1049"/>
      <c r="I82" s="856"/>
      <c r="J82" s="857"/>
      <c r="K82" s="858"/>
      <c r="L82" s="472"/>
      <c r="M82" s="816">
        <f t="shared" si="0"/>
        <v>0</v>
      </c>
      <c r="N82" s="833">
        <f t="shared" si="0"/>
        <v>0</v>
      </c>
      <c r="O82" s="265">
        <f t="shared" si="1"/>
        <v>0</v>
      </c>
      <c r="P82" s="827">
        <f t="shared" si="2"/>
        <v>0</v>
      </c>
    </row>
    <row r="83" spans="1:16" ht="30" hidden="1" customHeight="1" outlineLevel="1">
      <c r="A83" s="118"/>
      <c r="B83" s="118"/>
      <c r="C83" s="828">
        <v>59</v>
      </c>
      <c r="D83" s="829"/>
      <c r="E83" s="830"/>
      <c r="F83" s="830"/>
      <c r="G83" s="854"/>
      <c r="H83" s="1049"/>
      <c r="I83" s="856"/>
      <c r="J83" s="857"/>
      <c r="K83" s="858"/>
      <c r="L83" s="472"/>
      <c r="M83" s="816">
        <f t="shared" si="0"/>
        <v>0</v>
      </c>
      <c r="N83" s="833">
        <f t="shared" si="0"/>
        <v>0</v>
      </c>
      <c r="O83" s="265">
        <f t="shared" si="1"/>
        <v>0</v>
      </c>
      <c r="P83" s="827">
        <f t="shared" si="2"/>
        <v>0</v>
      </c>
    </row>
    <row r="84" spans="1:16" ht="30" hidden="1" customHeight="1" outlineLevel="1">
      <c r="A84" s="118"/>
      <c r="B84" s="118"/>
      <c r="C84" s="828">
        <v>60</v>
      </c>
      <c r="D84" s="829"/>
      <c r="E84" s="830"/>
      <c r="F84" s="830"/>
      <c r="G84" s="854"/>
      <c r="H84" s="1049"/>
      <c r="I84" s="856"/>
      <c r="J84" s="857"/>
      <c r="K84" s="858"/>
      <c r="L84" s="472"/>
      <c r="M84" s="816">
        <f t="shared" si="0"/>
        <v>0</v>
      </c>
      <c r="N84" s="833">
        <f t="shared" si="0"/>
        <v>0</v>
      </c>
      <c r="O84" s="265">
        <f t="shared" si="1"/>
        <v>0</v>
      </c>
      <c r="P84" s="827">
        <f t="shared" si="2"/>
        <v>0</v>
      </c>
    </row>
    <row r="85" spans="1:16" ht="30" hidden="1" customHeight="1" outlineLevel="1">
      <c r="A85" s="118"/>
      <c r="B85" s="118"/>
      <c r="C85" s="828">
        <v>61</v>
      </c>
      <c r="D85" s="829"/>
      <c r="E85" s="830"/>
      <c r="F85" s="830"/>
      <c r="G85" s="854"/>
      <c r="H85" s="1049"/>
      <c r="I85" s="856"/>
      <c r="J85" s="857"/>
      <c r="K85" s="858"/>
      <c r="L85" s="472"/>
      <c r="M85" s="816">
        <f t="shared" si="0"/>
        <v>0</v>
      </c>
      <c r="N85" s="833">
        <f t="shared" si="0"/>
        <v>0</v>
      </c>
      <c r="O85" s="265">
        <f t="shared" si="1"/>
        <v>0</v>
      </c>
      <c r="P85" s="827">
        <f t="shared" si="2"/>
        <v>0</v>
      </c>
    </row>
    <row r="86" spans="1:16" ht="30" hidden="1" customHeight="1" outlineLevel="1">
      <c r="A86" s="118"/>
      <c r="B86" s="118"/>
      <c r="C86" s="828">
        <v>62</v>
      </c>
      <c r="D86" s="829"/>
      <c r="E86" s="830"/>
      <c r="F86" s="830"/>
      <c r="G86" s="854"/>
      <c r="H86" s="1049"/>
      <c r="I86" s="856"/>
      <c r="J86" s="857"/>
      <c r="K86" s="858"/>
      <c r="L86" s="472"/>
      <c r="M86" s="816">
        <f t="shared" si="0"/>
        <v>0</v>
      </c>
      <c r="N86" s="833">
        <f t="shared" si="0"/>
        <v>0</v>
      </c>
      <c r="O86" s="265">
        <f t="shared" si="1"/>
        <v>0</v>
      </c>
      <c r="P86" s="827">
        <f t="shared" si="2"/>
        <v>0</v>
      </c>
    </row>
    <row r="87" spans="1:16" ht="30" hidden="1" customHeight="1" outlineLevel="1">
      <c r="A87" s="118"/>
      <c r="B87" s="118"/>
      <c r="C87" s="828">
        <v>63</v>
      </c>
      <c r="D87" s="829"/>
      <c r="E87" s="830"/>
      <c r="F87" s="830"/>
      <c r="G87" s="854"/>
      <c r="H87" s="1049"/>
      <c r="I87" s="856"/>
      <c r="J87" s="857"/>
      <c r="K87" s="858"/>
      <c r="L87" s="472"/>
      <c r="M87" s="816">
        <f t="shared" si="0"/>
        <v>0</v>
      </c>
      <c r="N87" s="833">
        <f t="shared" si="0"/>
        <v>0</v>
      </c>
      <c r="O87" s="265">
        <f t="shared" si="1"/>
        <v>0</v>
      </c>
      <c r="P87" s="827">
        <f t="shared" si="2"/>
        <v>0</v>
      </c>
    </row>
    <row r="88" spans="1:16" ht="30" hidden="1" customHeight="1" outlineLevel="1">
      <c r="A88" s="118"/>
      <c r="B88" s="118"/>
      <c r="C88" s="828">
        <v>64</v>
      </c>
      <c r="D88" s="829"/>
      <c r="E88" s="830"/>
      <c r="F88" s="830"/>
      <c r="G88" s="854"/>
      <c r="H88" s="1049"/>
      <c r="I88" s="856"/>
      <c r="J88" s="857"/>
      <c r="K88" s="858"/>
      <c r="L88" s="472"/>
      <c r="M88" s="816">
        <f t="shared" si="0"/>
        <v>0</v>
      </c>
      <c r="N88" s="833">
        <f t="shared" si="0"/>
        <v>0</v>
      </c>
      <c r="O88" s="265">
        <f t="shared" si="1"/>
        <v>0</v>
      </c>
      <c r="P88" s="827">
        <f t="shared" si="2"/>
        <v>0</v>
      </c>
    </row>
    <row r="89" spans="1:16" ht="30" hidden="1" customHeight="1" outlineLevel="1">
      <c r="A89" s="118"/>
      <c r="B89" s="118"/>
      <c r="C89" s="828">
        <v>65</v>
      </c>
      <c r="D89" s="829"/>
      <c r="E89" s="830"/>
      <c r="F89" s="830"/>
      <c r="G89" s="854"/>
      <c r="H89" s="1049"/>
      <c r="I89" s="856"/>
      <c r="J89" s="857"/>
      <c r="K89" s="858"/>
      <c r="L89" s="472"/>
      <c r="M89" s="816">
        <f t="shared" si="0"/>
        <v>0</v>
      </c>
      <c r="N89" s="833">
        <f t="shared" si="0"/>
        <v>0</v>
      </c>
      <c r="O89" s="265">
        <f t="shared" si="1"/>
        <v>0</v>
      </c>
      <c r="P89" s="827">
        <f t="shared" si="2"/>
        <v>0</v>
      </c>
    </row>
    <row r="90" spans="1:16" ht="30" hidden="1" customHeight="1" outlineLevel="1">
      <c r="A90" s="118"/>
      <c r="B90" s="118"/>
      <c r="C90" s="828">
        <v>66</v>
      </c>
      <c r="D90" s="829"/>
      <c r="E90" s="830"/>
      <c r="F90" s="830"/>
      <c r="G90" s="854"/>
      <c r="H90" s="1049"/>
      <c r="I90" s="856"/>
      <c r="J90" s="857"/>
      <c r="K90" s="858"/>
      <c r="L90" s="472"/>
      <c r="M90" s="816">
        <f t="shared" si="0"/>
        <v>0</v>
      </c>
      <c r="N90" s="833">
        <f t="shared" si="0"/>
        <v>0</v>
      </c>
      <c r="O90" s="265">
        <f t="shared" si="1"/>
        <v>0</v>
      </c>
      <c r="P90" s="827">
        <f t="shared" ref="P90:P153" si="3">ROUND(O90*H90%,)</f>
        <v>0</v>
      </c>
    </row>
    <row r="91" spans="1:16" ht="30" hidden="1" customHeight="1" outlineLevel="1">
      <c r="A91" s="118"/>
      <c r="B91" s="118"/>
      <c r="C91" s="828">
        <v>67</v>
      </c>
      <c r="D91" s="829"/>
      <c r="E91" s="830"/>
      <c r="F91" s="830"/>
      <c r="G91" s="854"/>
      <c r="H91" s="1049"/>
      <c r="I91" s="856"/>
      <c r="J91" s="857"/>
      <c r="K91" s="858"/>
      <c r="L91" s="472"/>
      <c r="M91" s="816">
        <f t="shared" si="0"/>
        <v>0</v>
      </c>
      <c r="N91" s="833">
        <f t="shared" si="0"/>
        <v>0</v>
      </c>
      <c r="O91" s="265">
        <f t="shared" si="1"/>
        <v>0</v>
      </c>
      <c r="P91" s="827">
        <f t="shared" si="3"/>
        <v>0</v>
      </c>
    </row>
    <row r="92" spans="1:16" ht="30" hidden="1" customHeight="1" outlineLevel="1">
      <c r="A92" s="118"/>
      <c r="B92" s="118"/>
      <c r="C92" s="828">
        <v>68</v>
      </c>
      <c r="D92" s="829"/>
      <c r="E92" s="830"/>
      <c r="F92" s="830"/>
      <c r="G92" s="854"/>
      <c r="H92" s="1049"/>
      <c r="I92" s="856"/>
      <c r="J92" s="857"/>
      <c r="K92" s="858"/>
      <c r="L92" s="472"/>
      <c r="M92" s="816">
        <f t="shared" si="0"/>
        <v>0</v>
      </c>
      <c r="N92" s="833">
        <f t="shared" si="0"/>
        <v>0</v>
      </c>
      <c r="O92" s="265">
        <f t="shared" si="1"/>
        <v>0</v>
      </c>
      <c r="P92" s="827">
        <f t="shared" si="3"/>
        <v>0</v>
      </c>
    </row>
    <row r="93" spans="1:16" ht="30" hidden="1" customHeight="1" outlineLevel="1">
      <c r="A93" s="118"/>
      <c r="B93" s="118"/>
      <c r="C93" s="828">
        <v>69</v>
      </c>
      <c r="D93" s="829"/>
      <c r="E93" s="830"/>
      <c r="F93" s="830"/>
      <c r="G93" s="854"/>
      <c r="H93" s="1049"/>
      <c r="I93" s="856"/>
      <c r="J93" s="857"/>
      <c r="K93" s="858"/>
      <c r="L93" s="472"/>
      <c r="M93" s="816">
        <f t="shared" si="0"/>
        <v>0</v>
      </c>
      <c r="N93" s="833">
        <f t="shared" si="0"/>
        <v>0</v>
      </c>
      <c r="O93" s="265">
        <f t="shared" si="1"/>
        <v>0</v>
      </c>
      <c r="P93" s="827">
        <f t="shared" si="3"/>
        <v>0</v>
      </c>
    </row>
    <row r="94" spans="1:16" ht="30" hidden="1" customHeight="1" outlineLevel="1">
      <c r="A94" s="118"/>
      <c r="B94" s="118"/>
      <c r="C94" s="828">
        <v>70</v>
      </c>
      <c r="D94" s="829"/>
      <c r="E94" s="830"/>
      <c r="F94" s="830"/>
      <c r="G94" s="854"/>
      <c r="H94" s="1049"/>
      <c r="I94" s="856"/>
      <c r="J94" s="857"/>
      <c r="K94" s="858"/>
      <c r="L94" s="472"/>
      <c r="M94" s="816">
        <f t="shared" si="0"/>
        <v>0</v>
      </c>
      <c r="N94" s="833">
        <f t="shared" si="0"/>
        <v>0</v>
      </c>
      <c r="O94" s="265">
        <f t="shared" si="1"/>
        <v>0</v>
      </c>
      <c r="P94" s="827">
        <f t="shared" si="3"/>
        <v>0</v>
      </c>
    </row>
    <row r="95" spans="1:16" ht="30" hidden="1" customHeight="1" outlineLevel="1">
      <c r="A95" s="118"/>
      <c r="B95" s="118"/>
      <c r="C95" s="828">
        <v>71</v>
      </c>
      <c r="D95" s="829"/>
      <c r="E95" s="830"/>
      <c r="F95" s="830"/>
      <c r="G95" s="854"/>
      <c r="H95" s="1049"/>
      <c r="I95" s="856"/>
      <c r="J95" s="857"/>
      <c r="K95" s="858"/>
      <c r="L95" s="472"/>
      <c r="M95" s="816">
        <f t="shared" si="0"/>
        <v>0</v>
      </c>
      <c r="N95" s="833">
        <f t="shared" si="0"/>
        <v>0</v>
      </c>
      <c r="O95" s="265">
        <f t="shared" si="1"/>
        <v>0</v>
      </c>
      <c r="P95" s="827">
        <f t="shared" si="3"/>
        <v>0</v>
      </c>
    </row>
    <row r="96" spans="1:16" ht="30" hidden="1" customHeight="1" outlineLevel="1">
      <c r="A96" s="118"/>
      <c r="B96" s="118"/>
      <c r="C96" s="828">
        <v>72</v>
      </c>
      <c r="D96" s="829"/>
      <c r="E96" s="830"/>
      <c r="F96" s="830"/>
      <c r="G96" s="854"/>
      <c r="H96" s="1049"/>
      <c r="I96" s="856"/>
      <c r="J96" s="857"/>
      <c r="K96" s="858"/>
      <c r="L96" s="472"/>
      <c r="M96" s="816">
        <f t="shared" si="0"/>
        <v>0</v>
      </c>
      <c r="N96" s="833">
        <f t="shared" si="0"/>
        <v>0</v>
      </c>
      <c r="O96" s="265">
        <f t="shared" si="1"/>
        <v>0</v>
      </c>
      <c r="P96" s="827">
        <f t="shared" si="3"/>
        <v>0</v>
      </c>
    </row>
    <row r="97" spans="1:16" ht="30" hidden="1" customHeight="1" outlineLevel="1">
      <c r="A97" s="118"/>
      <c r="B97" s="118"/>
      <c r="C97" s="828">
        <v>73</v>
      </c>
      <c r="D97" s="829"/>
      <c r="E97" s="830"/>
      <c r="F97" s="830"/>
      <c r="G97" s="854"/>
      <c r="H97" s="1049"/>
      <c r="I97" s="856"/>
      <c r="J97" s="857"/>
      <c r="K97" s="858"/>
      <c r="L97" s="472"/>
      <c r="M97" s="816">
        <f t="shared" si="0"/>
        <v>0</v>
      </c>
      <c r="N97" s="833">
        <f t="shared" si="0"/>
        <v>0</v>
      </c>
      <c r="O97" s="265">
        <f t="shared" si="1"/>
        <v>0</v>
      </c>
      <c r="P97" s="827">
        <f t="shared" si="3"/>
        <v>0</v>
      </c>
    </row>
    <row r="98" spans="1:16" ht="30" hidden="1" customHeight="1" outlineLevel="1">
      <c r="A98" s="118"/>
      <c r="B98" s="118"/>
      <c r="C98" s="828">
        <v>74</v>
      </c>
      <c r="D98" s="829"/>
      <c r="E98" s="830"/>
      <c r="F98" s="830"/>
      <c r="G98" s="854"/>
      <c r="H98" s="1049"/>
      <c r="I98" s="856"/>
      <c r="J98" s="857"/>
      <c r="K98" s="858"/>
      <c r="L98" s="472"/>
      <c r="M98" s="816">
        <f t="shared" si="0"/>
        <v>0</v>
      </c>
      <c r="N98" s="833">
        <f t="shared" si="0"/>
        <v>0</v>
      </c>
      <c r="O98" s="265">
        <f t="shared" si="1"/>
        <v>0</v>
      </c>
      <c r="P98" s="827">
        <f t="shared" si="3"/>
        <v>0</v>
      </c>
    </row>
    <row r="99" spans="1:16" ht="30" hidden="1" customHeight="1" outlineLevel="1">
      <c r="A99" s="118"/>
      <c r="B99" s="118"/>
      <c r="C99" s="828">
        <v>75</v>
      </c>
      <c r="D99" s="829"/>
      <c r="E99" s="830"/>
      <c r="F99" s="830"/>
      <c r="G99" s="854"/>
      <c r="H99" s="1049"/>
      <c r="I99" s="856"/>
      <c r="J99" s="857"/>
      <c r="K99" s="858"/>
      <c r="L99" s="472"/>
      <c r="M99" s="816">
        <f t="shared" si="0"/>
        <v>0</v>
      </c>
      <c r="N99" s="833">
        <f t="shared" si="0"/>
        <v>0</v>
      </c>
      <c r="O99" s="265">
        <f t="shared" si="1"/>
        <v>0</v>
      </c>
      <c r="P99" s="827">
        <f t="shared" si="3"/>
        <v>0</v>
      </c>
    </row>
    <row r="100" spans="1:16" ht="30" hidden="1" customHeight="1" outlineLevel="1">
      <c r="A100" s="118"/>
      <c r="B100" s="118"/>
      <c r="C100" s="828">
        <v>76</v>
      </c>
      <c r="D100" s="829"/>
      <c r="E100" s="830"/>
      <c r="F100" s="830"/>
      <c r="G100" s="854"/>
      <c r="H100" s="1049"/>
      <c r="I100" s="856"/>
      <c r="J100" s="857"/>
      <c r="K100" s="858"/>
      <c r="L100" s="472"/>
      <c r="M100" s="816">
        <f t="shared" si="0"/>
        <v>0</v>
      </c>
      <c r="N100" s="833">
        <f t="shared" si="0"/>
        <v>0</v>
      </c>
      <c r="O100" s="265">
        <f t="shared" si="1"/>
        <v>0</v>
      </c>
      <c r="P100" s="827">
        <f t="shared" si="3"/>
        <v>0</v>
      </c>
    </row>
    <row r="101" spans="1:16" ht="30" hidden="1" customHeight="1" outlineLevel="1">
      <c r="A101" s="118"/>
      <c r="B101" s="118"/>
      <c r="C101" s="828">
        <v>77</v>
      </c>
      <c r="D101" s="829"/>
      <c r="E101" s="830"/>
      <c r="F101" s="830"/>
      <c r="G101" s="854"/>
      <c r="H101" s="1049"/>
      <c r="I101" s="856"/>
      <c r="J101" s="857"/>
      <c r="K101" s="858"/>
      <c r="L101" s="472"/>
      <c r="M101" s="816">
        <f t="shared" si="0"/>
        <v>0</v>
      </c>
      <c r="N101" s="833">
        <f t="shared" si="0"/>
        <v>0</v>
      </c>
      <c r="O101" s="265">
        <f t="shared" si="1"/>
        <v>0</v>
      </c>
      <c r="P101" s="827">
        <f t="shared" si="3"/>
        <v>0</v>
      </c>
    </row>
    <row r="102" spans="1:16" ht="30" hidden="1" customHeight="1" outlineLevel="1">
      <c r="A102" s="118"/>
      <c r="B102" s="118"/>
      <c r="C102" s="828">
        <v>78</v>
      </c>
      <c r="D102" s="829"/>
      <c r="E102" s="830"/>
      <c r="F102" s="830"/>
      <c r="G102" s="854"/>
      <c r="H102" s="1049"/>
      <c r="I102" s="856"/>
      <c r="J102" s="857"/>
      <c r="K102" s="858"/>
      <c r="L102" s="472"/>
      <c r="M102" s="816">
        <f t="shared" si="0"/>
        <v>0</v>
      </c>
      <c r="N102" s="833">
        <f t="shared" si="0"/>
        <v>0</v>
      </c>
      <c r="O102" s="265">
        <f t="shared" si="1"/>
        <v>0</v>
      </c>
      <c r="P102" s="827">
        <f t="shared" si="3"/>
        <v>0</v>
      </c>
    </row>
    <row r="103" spans="1:16" ht="30" hidden="1" customHeight="1" outlineLevel="1">
      <c r="A103" s="118"/>
      <c r="B103" s="118"/>
      <c r="C103" s="828">
        <v>79</v>
      </c>
      <c r="D103" s="829"/>
      <c r="E103" s="830"/>
      <c r="F103" s="830"/>
      <c r="G103" s="854"/>
      <c r="H103" s="1049"/>
      <c r="I103" s="856"/>
      <c r="J103" s="857"/>
      <c r="K103" s="858"/>
      <c r="L103" s="472"/>
      <c r="M103" s="816">
        <f t="shared" si="0"/>
        <v>0</v>
      </c>
      <c r="N103" s="833">
        <f t="shared" si="0"/>
        <v>0</v>
      </c>
      <c r="O103" s="265">
        <f t="shared" si="1"/>
        <v>0</v>
      </c>
      <c r="P103" s="827">
        <f t="shared" si="3"/>
        <v>0</v>
      </c>
    </row>
    <row r="104" spans="1:16" ht="30" hidden="1" customHeight="1" outlineLevel="1">
      <c r="A104" s="118"/>
      <c r="B104" s="118"/>
      <c r="C104" s="828">
        <v>80</v>
      </c>
      <c r="D104" s="829"/>
      <c r="E104" s="830"/>
      <c r="F104" s="830"/>
      <c r="G104" s="854"/>
      <c r="H104" s="1049"/>
      <c r="I104" s="856"/>
      <c r="J104" s="857"/>
      <c r="K104" s="858"/>
      <c r="L104" s="472"/>
      <c r="M104" s="816">
        <f t="shared" si="0"/>
        <v>0</v>
      </c>
      <c r="N104" s="833">
        <f t="shared" si="0"/>
        <v>0</v>
      </c>
      <c r="O104" s="265">
        <f t="shared" si="1"/>
        <v>0</v>
      </c>
      <c r="P104" s="827">
        <f t="shared" si="3"/>
        <v>0</v>
      </c>
    </row>
    <row r="105" spans="1:16" ht="30" hidden="1" customHeight="1" outlineLevel="1">
      <c r="A105" s="118"/>
      <c r="B105" s="118"/>
      <c r="C105" s="828">
        <v>81</v>
      </c>
      <c r="D105" s="829"/>
      <c r="E105" s="830"/>
      <c r="F105" s="830"/>
      <c r="G105" s="854"/>
      <c r="H105" s="1049"/>
      <c r="I105" s="856"/>
      <c r="J105" s="857"/>
      <c r="K105" s="858"/>
      <c r="L105" s="472"/>
      <c r="M105" s="816">
        <f t="shared" si="0"/>
        <v>0</v>
      </c>
      <c r="N105" s="833">
        <f t="shared" si="0"/>
        <v>0</v>
      </c>
      <c r="O105" s="265">
        <f t="shared" si="1"/>
        <v>0</v>
      </c>
      <c r="P105" s="827">
        <f t="shared" si="3"/>
        <v>0</v>
      </c>
    </row>
    <row r="106" spans="1:16" ht="30" hidden="1" customHeight="1" outlineLevel="1">
      <c r="A106" s="118"/>
      <c r="B106" s="118"/>
      <c r="C106" s="828">
        <v>82</v>
      </c>
      <c r="D106" s="829"/>
      <c r="E106" s="830"/>
      <c r="F106" s="830"/>
      <c r="G106" s="854"/>
      <c r="H106" s="1049"/>
      <c r="I106" s="856"/>
      <c r="J106" s="857"/>
      <c r="K106" s="858"/>
      <c r="L106" s="472"/>
      <c r="M106" s="816">
        <f t="shared" si="0"/>
        <v>0</v>
      </c>
      <c r="N106" s="833">
        <f t="shared" si="0"/>
        <v>0</v>
      </c>
      <c r="O106" s="265">
        <f t="shared" si="1"/>
        <v>0</v>
      </c>
      <c r="P106" s="827">
        <f t="shared" si="3"/>
        <v>0</v>
      </c>
    </row>
    <row r="107" spans="1:16" ht="30" hidden="1" customHeight="1" outlineLevel="1">
      <c r="A107" s="118"/>
      <c r="B107" s="118"/>
      <c r="C107" s="828">
        <v>83</v>
      </c>
      <c r="D107" s="829"/>
      <c r="E107" s="830"/>
      <c r="F107" s="830"/>
      <c r="G107" s="854"/>
      <c r="H107" s="1049"/>
      <c r="I107" s="856"/>
      <c r="J107" s="857"/>
      <c r="K107" s="858"/>
      <c r="L107" s="472"/>
      <c r="M107" s="816">
        <f t="shared" si="0"/>
        <v>0</v>
      </c>
      <c r="N107" s="833">
        <f t="shared" si="0"/>
        <v>0</v>
      </c>
      <c r="O107" s="265">
        <f t="shared" si="1"/>
        <v>0</v>
      </c>
      <c r="P107" s="827">
        <f t="shared" si="3"/>
        <v>0</v>
      </c>
    </row>
    <row r="108" spans="1:16" ht="30" hidden="1" customHeight="1" outlineLevel="1">
      <c r="A108" s="118"/>
      <c r="B108" s="118"/>
      <c r="C108" s="828">
        <v>84</v>
      </c>
      <c r="D108" s="829"/>
      <c r="E108" s="830"/>
      <c r="F108" s="830"/>
      <c r="G108" s="854"/>
      <c r="H108" s="1049"/>
      <c r="I108" s="856"/>
      <c r="J108" s="857"/>
      <c r="K108" s="858"/>
      <c r="L108" s="472"/>
      <c r="M108" s="816">
        <f t="shared" si="0"/>
        <v>0</v>
      </c>
      <c r="N108" s="833">
        <f t="shared" si="0"/>
        <v>0</v>
      </c>
      <c r="O108" s="265">
        <f t="shared" si="1"/>
        <v>0</v>
      </c>
      <c r="P108" s="827">
        <f t="shared" si="3"/>
        <v>0</v>
      </c>
    </row>
    <row r="109" spans="1:16" ht="30" hidden="1" customHeight="1" outlineLevel="1">
      <c r="A109" s="118"/>
      <c r="B109" s="118"/>
      <c r="C109" s="828">
        <v>85</v>
      </c>
      <c r="D109" s="829"/>
      <c r="E109" s="830"/>
      <c r="F109" s="830"/>
      <c r="G109" s="854"/>
      <c r="H109" s="1049"/>
      <c r="I109" s="856"/>
      <c r="J109" s="857"/>
      <c r="K109" s="858"/>
      <c r="L109" s="472"/>
      <c r="M109" s="816">
        <f t="shared" si="0"/>
        <v>0</v>
      </c>
      <c r="N109" s="833">
        <f t="shared" si="0"/>
        <v>0</v>
      </c>
      <c r="O109" s="265">
        <f t="shared" si="1"/>
        <v>0</v>
      </c>
      <c r="P109" s="827">
        <f t="shared" si="3"/>
        <v>0</v>
      </c>
    </row>
    <row r="110" spans="1:16" ht="30" hidden="1" customHeight="1" outlineLevel="1">
      <c r="A110" s="118"/>
      <c r="B110" s="118"/>
      <c r="C110" s="828">
        <v>86</v>
      </c>
      <c r="D110" s="829"/>
      <c r="E110" s="830"/>
      <c r="F110" s="830"/>
      <c r="G110" s="854"/>
      <c r="H110" s="1049"/>
      <c r="I110" s="856"/>
      <c r="J110" s="857"/>
      <c r="K110" s="858"/>
      <c r="L110" s="472"/>
      <c r="M110" s="816">
        <f t="shared" si="0"/>
        <v>0</v>
      </c>
      <c r="N110" s="833">
        <f t="shared" si="0"/>
        <v>0</v>
      </c>
      <c r="O110" s="265">
        <f t="shared" si="1"/>
        <v>0</v>
      </c>
      <c r="P110" s="827">
        <f t="shared" si="3"/>
        <v>0</v>
      </c>
    </row>
    <row r="111" spans="1:16" ht="30" hidden="1" customHeight="1" outlineLevel="1">
      <c r="A111" s="118"/>
      <c r="B111" s="118"/>
      <c r="C111" s="828">
        <v>87</v>
      </c>
      <c r="D111" s="829"/>
      <c r="E111" s="830"/>
      <c r="F111" s="830"/>
      <c r="G111" s="854"/>
      <c r="H111" s="1049"/>
      <c r="I111" s="856"/>
      <c r="J111" s="857"/>
      <c r="K111" s="858"/>
      <c r="L111" s="472"/>
      <c r="M111" s="816">
        <f t="shared" si="0"/>
        <v>0</v>
      </c>
      <c r="N111" s="833">
        <f t="shared" si="0"/>
        <v>0</v>
      </c>
      <c r="O111" s="265">
        <f t="shared" si="1"/>
        <v>0</v>
      </c>
      <c r="P111" s="827">
        <f t="shared" si="3"/>
        <v>0</v>
      </c>
    </row>
    <row r="112" spans="1:16" ht="30" hidden="1" customHeight="1" outlineLevel="1">
      <c r="A112" s="118"/>
      <c r="B112" s="118"/>
      <c r="C112" s="828">
        <v>88</v>
      </c>
      <c r="D112" s="829"/>
      <c r="E112" s="830"/>
      <c r="F112" s="830"/>
      <c r="G112" s="854"/>
      <c r="H112" s="1049"/>
      <c r="I112" s="856"/>
      <c r="J112" s="857"/>
      <c r="K112" s="858"/>
      <c r="L112" s="472"/>
      <c r="M112" s="816">
        <f t="shared" si="0"/>
        <v>0</v>
      </c>
      <c r="N112" s="833">
        <f t="shared" si="0"/>
        <v>0</v>
      </c>
      <c r="O112" s="265">
        <f t="shared" si="1"/>
        <v>0</v>
      </c>
      <c r="P112" s="827">
        <f t="shared" si="3"/>
        <v>0</v>
      </c>
    </row>
    <row r="113" spans="1:16" ht="30" hidden="1" customHeight="1" outlineLevel="1">
      <c r="A113" s="118"/>
      <c r="B113" s="118"/>
      <c r="C113" s="828">
        <v>89</v>
      </c>
      <c r="D113" s="829"/>
      <c r="E113" s="830"/>
      <c r="F113" s="830"/>
      <c r="G113" s="854"/>
      <c r="H113" s="1049"/>
      <c r="I113" s="856"/>
      <c r="J113" s="857"/>
      <c r="K113" s="858"/>
      <c r="L113" s="472"/>
      <c r="M113" s="816">
        <f t="shared" si="0"/>
        <v>0</v>
      </c>
      <c r="N113" s="833">
        <f t="shared" si="0"/>
        <v>0</v>
      </c>
      <c r="O113" s="265">
        <f t="shared" si="1"/>
        <v>0</v>
      </c>
      <c r="P113" s="827">
        <f t="shared" si="3"/>
        <v>0</v>
      </c>
    </row>
    <row r="114" spans="1:16" ht="30" hidden="1" customHeight="1" outlineLevel="1">
      <c r="A114" s="118"/>
      <c r="B114" s="118"/>
      <c r="C114" s="828">
        <v>90</v>
      </c>
      <c r="D114" s="829"/>
      <c r="E114" s="830"/>
      <c r="F114" s="830"/>
      <c r="G114" s="854"/>
      <c r="H114" s="1049"/>
      <c r="I114" s="856"/>
      <c r="J114" s="857"/>
      <c r="K114" s="858"/>
      <c r="L114" s="472"/>
      <c r="M114" s="816">
        <f t="shared" si="0"/>
        <v>0</v>
      </c>
      <c r="N114" s="833">
        <f t="shared" si="0"/>
        <v>0</v>
      </c>
      <c r="O114" s="265">
        <f t="shared" si="1"/>
        <v>0</v>
      </c>
      <c r="P114" s="827">
        <f t="shared" si="3"/>
        <v>0</v>
      </c>
    </row>
    <row r="115" spans="1:16" ht="30" hidden="1" customHeight="1" outlineLevel="1">
      <c r="A115" s="118"/>
      <c r="B115" s="118"/>
      <c r="C115" s="828">
        <v>91</v>
      </c>
      <c r="D115" s="829"/>
      <c r="E115" s="830"/>
      <c r="F115" s="830"/>
      <c r="G115" s="854"/>
      <c r="H115" s="1049"/>
      <c r="I115" s="856"/>
      <c r="J115" s="857"/>
      <c r="K115" s="858"/>
      <c r="L115" s="472"/>
      <c r="M115" s="816">
        <f t="shared" si="0"/>
        <v>0</v>
      </c>
      <c r="N115" s="833">
        <f t="shared" si="0"/>
        <v>0</v>
      </c>
      <c r="O115" s="265">
        <f t="shared" si="1"/>
        <v>0</v>
      </c>
      <c r="P115" s="827">
        <f t="shared" si="3"/>
        <v>0</v>
      </c>
    </row>
    <row r="116" spans="1:16" ht="30" hidden="1" customHeight="1" outlineLevel="1">
      <c r="A116" s="118"/>
      <c r="B116" s="118"/>
      <c r="C116" s="828">
        <v>92</v>
      </c>
      <c r="D116" s="829"/>
      <c r="E116" s="830"/>
      <c r="F116" s="830"/>
      <c r="G116" s="854"/>
      <c r="H116" s="1049"/>
      <c r="I116" s="856"/>
      <c r="J116" s="857"/>
      <c r="K116" s="858"/>
      <c r="L116" s="472"/>
      <c r="M116" s="816">
        <f t="shared" si="0"/>
        <v>0</v>
      </c>
      <c r="N116" s="833">
        <f t="shared" si="0"/>
        <v>0</v>
      </c>
      <c r="O116" s="265">
        <f t="shared" si="1"/>
        <v>0</v>
      </c>
      <c r="P116" s="827">
        <f t="shared" si="3"/>
        <v>0</v>
      </c>
    </row>
    <row r="117" spans="1:16" ht="30" hidden="1" customHeight="1" outlineLevel="1">
      <c r="A117" s="118"/>
      <c r="B117" s="118"/>
      <c r="C117" s="828">
        <v>93</v>
      </c>
      <c r="D117" s="829"/>
      <c r="E117" s="830"/>
      <c r="F117" s="830"/>
      <c r="G117" s="854"/>
      <c r="H117" s="1049"/>
      <c r="I117" s="856"/>
      <c r="J117" s="857"/>
      <c r="K117" s="858"/>
      <c r="L117" s="472"/>
      <c r="M117" s="816">
        <f t="shared" si="0"/>
        <v>0</v>
      </c>
      <c r="N117" s="833">
        <f t="shared" si="0"/>
        <v>0</v>
      </c>
      <c r="O117" s="265">
        <f t="shared" si="1"/>
        <v>0</v>
      </c>
      <c r="P117" s="827">
        <f t="shared" si="3"/>
        <v>0</v>
      </c>
    </row>
    <row r="118" spans="1:16" ht="30" hidden="1" customHeight="1" outlineLevel="1">
      <c r="A118" s="118"/>
      <c r="B118" s="118"/>
      <c r="C118" s="828">
        <v>94</v>
      </c>
      <c r="D118" s="829"/>
      <c r="E118" s="830"/>
      <c r="F118" s="830"/>
      <c r="G118" s="854"/>
      <c r="H118" s="1049"/>
      <c r="I118" s="856"/>
      <c r="J118" s="857"/>
      <c r="K118" s="858"/>
      <c r="L118" s="472"/>
      <c r="M118" s="816">
        <f t="shared" si="0"/>
        <v>0</v>
      </c>
      <c r="N118" s="833">
        <f t="shared" si="0"/>
        <v>0</v>
      </c>
      <c r="O118" s="265">
        <f t="shared" si="1"/>
        <v>0</v>
      </c>
      <c r="P118" s="827">
        <f t="shared" si="3"/>
        <v>0</v>
      </c>
    </row>
    <row r="119" spans="1:16" ht="30" hidden="1" customHeight="1" outlineLevel="1">
      <c r="A119" s="118"/>
      <c r="B119" s="118"/>
      <c r="C119" s="828">
        <v>95</v>
      </c>
      <c r="D119" s="829"/>
      <c r="E119" s="830"/>
      <c r="F119" s="830"/>
      <c r="G119" s="854"/>
      <c r="H119" s="1049"/>
      <c r="I119" s="856"/>
      <c r="J119" s="857"/>
      <c r="K119" s="858"/>
      <c r="L119" s="472"/>
      <c r="M119" s="816">
        <f t="shared" si="0"/>
        <v>0</v>
      </c>
      <c r="N119" s="833">
        <f t="shared" si="0"/>
        <v>0</v>
      </c>
      <c r="O119" s="265">
        <f t="shared" si="1"/>
        <v>0</v>
      </c>
      <c r="P119" s="827">
        <f t="shared" si="3"/>
        <v>0</v>
      </c>
    </row>
    <row r="120" spans="1:16" ht="30" hidden="1" customHeight="1" outlineLevel="1">
      <c r="A120" s="118"/>
      <c r="B120" s="118"/>
      <c r="C120" s="828">
        <v>96</v>
      </c>
      <c r="D120" s="829"/>
      <c r="E120" s="830"/>
      <c r="F120" s="830"/>
      <c r="G120" s="854"/>
      <c r="H120" s="1049"/>
      <c r="I120" s="856"/>
      <c r="J120" s="857"/>
      <c r="K120" s="858"/>
      <c r="L120" s="472"/>
      <c r="M120" s="816">
        <f t="shared" si="0"/>
        <v>0</v>
      </c>
      <c r="N120" s="833">
        <f t="shared" si="0"/>
        <v>0</v>
      </c>
      <c r="O120" s="265">
        <f t="shared" si="1"/>
        <v>0</v>
      </c>
      <c r="P120" s="827">
        <f t="shared" si="3"/>
        <v>0</v>
      </c>
    </row>
    <row r="121" spans="1:16" ht="30" hidden="1" customHeight="1" outlineLevel="1">
      <c r="A121" s="118"/>
      <c r="B121" s="118"/>
      <c r="C121" s="828">
        <v>97</v>
      </c>
      <c r="D121" s="829"/>
      <c r="E121" s="830"/>
      <c r="F121" s="830"/>
      <c r="G121" s="854"/>
      <c r="H121" s="1049"/>
      <c r="I121" s="856"/>
      <c r="J121" s="857"/>
      <c r="K121" s="858"/>
      <c r="L121" s="472"/>
      <c r="M121" s="816">
        <f t="shared" si="0"/>
        <v>0</v>
      </c>
      <c r="N121" s="833">
        <f t="shared" si="0"/>
        <v>0</v>
      </c>
      <c r="O121" s="265">
        <f t="shared" si="1"/>
        <v>0</v>
      </c>
      <c r="P121" s="827">
        <f t="shared" si="3"/>
        <v>0</v>
      </c>
    </row>
    <row r="122" spans="1:16" ht="30" hidden="1" customHeight="1" outlineLevel="1">
      <c r="A122" s="118"/>
      <c r="B122" s="118"/>
      <c r="C122" s="828">
        <v>98</v>
      </c>
      <c r="D122" s="829"/>
      <c r="E122" s="830"/>
      <c r="F122" s="830"/>
      <c r="G122" s="854"/>
      <c r="H122" s="1049"/>
      <c r="I122" s="856"/>
      <c r="J122" s="857"/>
      <c r="K122" s="858"/>
      <c r="L122" s="472"/>
      <c r="M122" s="816">
        <f t="shared" si="0"/>
        <v>0</v>
      </c>
      <c r="N122" s="833">
        <f t="shared" si="0"/>
        <v>0</v>
      </c>
      <c r="O122" s="265">
        <f t="shared" si="1"/>
        <v>0</v>
      </c>
      <c r="P122" s="827">
        <f t="shared" si="3"/>
        <v>0</v>
      </c>
    </row>
    <row r="123" spans="1:16" ht="30" hidden="1" customHeight="1" outlineLevel="1">
      <c r="A123" s="118"/>
      <c r="B123" s="118"/>
      <c r="C123" s="828">
        <v>99</v>
      </c>
      <c r="D123" s="829"/>
      <c r="E123" s="830"/>
      <c r="F123" s="830"/>
      <c r="G123" s="854"/>
      <c r="H123" s="1049"/>
      <c r="I123" s="856"/>
      <c r="J123" s="857"/>
      <c r="K123" s="858"/>
      <c r="L123" s="472"/>
      <c r="M123" s="816">
        <f t="shared" si="0"/>
        <v>0</v>
      </c>
      <c r="N123" s="833">
        <f t="shared" si="0"/>
        <v>0</v>
      </c>
      <c r="O123" s="265">
        <f t="shared" si="1"/>
        <v>0</v>
      </c>
      <c r="P123" s="827">
        <f t="shared" si="3"/>
        <v>0</v>
      </c>
    </row>
    <row r="124" spans="1:16" ht="30" hidden="1" customHeight="1" outlineLevel="1">
      <c r="A124" s="118"/>
      <c r="B124" s="118"/>
      <c r="C124" s="828">
        <v>100</v>
      </c>
      <c r="D124" s="829"/>
      <c r="E124" s="830"/>
      <c r="F124" s="830"/>
      <c r="G124" s="854"/>
      <c r="H124" s="1049"/>
      <c r="I124" s="856"/>
      <c r="J124" s="857"/>
      <c r="K124" s="858"/>
      <c r="L124" s="472"/>
      <c r="M124" s="816">
        <f t="shared" si="0"/>
        <v>0</v>
      </c>
      <c r="N124" s="833">
        <f t="shared" si="0"/>
        <v>0</v>
      </c>
      <c r="O124" s="265">
        <f t="shared" si="1"/>
        <v>0</v>
      </c>
      <c r="P124" s="827">
        <f t="shared" si="3"/>
        <v>0</v>
      </c>
    </row>
    <row r="125" spans="1:16" ht="30" hidden="1" customHeight="1" outlineLevel="1">
      <c r="A125" s="118"/>
      <c r="B125" s="118"/>
      <c r="C125" s="828">
        <v>101</v>
      </c>
      <c r="D125" s="829"/>
      <c r="E125" s="830"/>
      <c r="F125" s="830"/>
      <c r="G125" s="854"/>
      <c r="H125" s="1049"/>
      <c r="I125" s="856"/>
      <c r="J125" s="857"/>
      <c r="K125" s="858"/>
      <c r="L125" s="472"/>
      <c r="M125" s="816">
        <f t="shared" si="0"/>
        <v>0</v>
      </c>
      <c r="N125" s="833">
        <f t="shared" si="0"/>
        <v>0</v>
      </c>
      <c r="O125" s="265">
        <f t="shared" si="1"/>
        <v>0</v>
      </c>
      <c r="P125" s="827">
        <f t="shared" si="3"/>
        <v>0</v>
      </c>
    </row>
    <row r="126" spans="1:16" ht="30" hidden="1" customHeight="1" outlineLevel="1">
      <c r="A126" s="118"/>
      <c r="B126" s="118"/>
      <c r="C126" s="828">
        <v>102</v>
      </c>
      <c r="D126" s="829"/>
      <c r="E126" s="830"/>
      <c r="F126" s="830"/>
      <c r="G126" s="854"/>
      <c r="H126" s="1049"/>
      <c r="I126" s="856"/>
      <c r="J126" s="857"/>
      <c r="K126" s="858"/>
      <c r="L126" s="472"/>
      <c r="M126" s="816">
        <f t="shared" si="0"/>
        <v>0</v>
      </c>
      <c r="N126" s="833">
        <f t="shared" si="0"/>
        <v>0</v>
      </c>
      <c r="O126" s="265">
        <f t="shared" si="1"/>
        <v>0</v>
      </c>
      <c r="P126" s="827">
        <f t="shared" si="3"/>
        <v>0</v>
      </c>
    </row>
    <row r="127" spans="1:16" ht="30" hidden="1" customHeight="1" outlineLevel="1">
      <c r="A127" s="118"/>
      <c r="B127" s="118"/>
      <c r="C127" s="828">
        <v>103</v>
      </c>
      <c r="D127" s="829"/>
      <c r="E127" s="830"/>
      <c r="F127" s="830"/>
      <c r="G127" s="854"/>
      <c r="H127" s="1049"/>
      <c r="I127" s="856"/>
      <c r="J127" s="857"/>
      <c r="K127" s="858"/>
      <c r="L127" s="472"/>
      <c r="M127" s="816">
        <f t="shared" si="0"/>
        <v>0</v>
      </c>
      <c r="N127" s="833">
        <f t="shared" si="0"/>
        <v>0</v>
      </c>
      <c r="O127" s="265">
        <f t="shared" si="1"/>
        <v>0</v>
      </c>
      <c r="P127" s="827">
        <f t="shared" si="3"/>
        <v>0</v>
      </c>
    </row>
    <row r="128" spans="1:16" ht="30" hidden="1" customHeight="1" outlineLevel="1">
      <c r="A128" s="118"/>
      <c r="B128" s="118"/>
      <c r="C128" s="828">
        <v>104</v>
      </c>
      <c r="D128" s="829"/>
      <c r="E128" s="830"/>
      <c r="F128" s="830"/>
      <c r="G128" s="854"/>
      <c r="H128" s="1049"/>
      <c r="I128" s="856"/>
      <c r="J128" s="857"/>
      <c r="K128" s="858"/>
      <c r="L128" s="472"/>
      <c r="M128" s="816">
        <f t="shared" si="0"/>
        <v>0</v>
      </c>
      <c r="N128" s="833">
        <f t="shared" si="0"/>
        <v>0</v>
      </c>
      <c r="O128" s="265">
        <f t="shared" si="1"/>
        <v>0</v>
      </c>
      <c r="P128" s="827">
        <f t="shared" si="3"/>
        <v>0</v>
      </c>
    </row>
    <row r="129" spans="1:16" ht="30" hidden="1" customHeight="1" outlineLevel="1">
      <c r="A129" s="118"/>
      <c r="B129" s="118"/>
      <c r="C129" s="828">
        <v>105</v>
      </c>
      <c r="D129" s="829"/>
      <c r="E129" s="830"/>
      <c r="F129" s="830"/>
      <c r="G129" s="854"/>
      <c r="H129" s="1049"/>
      <c r="I129" s="856"/>
      <c r="J129" s="857"/>
      <c r="K129" s="858"/>
      <c r="L129" s="472"/>
      <c r="M129" s="816">
        <f t="shared" si="0"/>
        <v>0</v>
      </c>
      <c r="N129" s="833">
        <f t="shared" si="0"/>
        <v>0</v>
      </c>
      <c r="O129" s="265">
        <f t="shared" si="1"/>
        <v>0</v>
      </c>
      <c r="P129" s="827">
        <f t="shared" si="3"/>
        <v>0</v>
      </c>
    </row>
    <row r="130" spans="1:16" ht="30" hidden="1" customHeight="1" outlineLevel="1">
      <c r="A130" s="118"/>
      <c r="B130" s="118"/>
      <c r="C130" s="828">
        <v>106</v>
      </c>
      <c r="D130" s="829"/>
      <c r="E130" s="830"/>
      <c r="F130" s="830"/>
      <c r="G130" s="854"/>
      <c r="H130" s="1049"/>
      <c r="I130" s="856"/>
      <c r="J130" s="857"/>
      <c r="K130" s="858"/>
      <c r="L130" s="472"/>
      <c r="M130" s="816">
        <f t="shared" si="0"/>
        <v>0</v>
      </c>
      <c r="N130" s="833">
        <f t="shared" si="0"/>
        <v>0</v>
      </c>
      <c r="O130" s="265">
        <f t="shared" si="1"/>
        <v>0</v>
      </c>
      <c r="P130" s="827">
        <f t="shared" si="3"/>
        <v>0</v>
      </c>
    </row>
    <row r="131" spans="1:16" ht="30" hidden="1" customHeight="1" outlineLevel="1">
      <c r="A131" s="118"/>
      <c r="B131" s="118"/>
      <c r="C131" s="828">
        <v>107</v>
      </c>
      <c r="D131" s="829"/>
      <c r="E131" s="830"/>
      <c r="F131" s="830"/>
      <c r="G131" s="854"/>
      <c r="H131" s="1049"/>
      <c r="I131" s="856"/>
      <c r="J131" s="857"/>
      <c r="K131" s="858"/>
      <c r="L131" s="472"/>
      <c r="M131" s="816">
        <f t="shared" si="0"/>
        <v>0</v>
      </c>
      <c r="N131" s="833">
        <f t="shared" si="0"/>
        <v>0</v>
      </c>
      <c r="O131" s="265">
        <f t="shared" si="1"/>
        <v>0</v>
      </c>
      <c r="P131" s="827">
        <f t="shared" si="3"/>
        <v>0</v>
      </c>
    </row>
    <row r="132" spans="1:16" ht="30" hidden="1" customHeight="1" outlineLevel="1">
      <c r="A132" s="118"/>
      <c r="B132" s="118"/>
      <c r="C132" s="828">
        <v>108</v>
      </c>
      <c r="D132" s="829"/>
      <c r="E132" s="830"/>
      <c r="F132" s="830"/>
      <c r="G132" s="854"/>
      <c r="H132" s="1049"/>
      <c r="I132" s="856"/>
      <c r="J132" s="857"/>
      <c r="K132" s="858"/>
      <c r="L132" s="472"/>
      <c r="M132" s="816">
        <f t="shared" si="0"/>
        <v>0</v>
      </c>
      <c r="N132" s="833">
        <f t="shared" si="0"/>
        <v>0</v>
      </c>
      <c r="O132" s="265">
        <f t="shared" si="1"/>
        <v>0</v>
      </c>
      <c r="P132" s="827">
        <f t="shared" si="3"/>
        <v>0</v>
      </c>
    </row>
    <row r="133" spans="1:16" ht="30" hidden="1" customHeight="1" outlineLevel="1">
      <c r="A133" s="118"/>
      <c r="B133" s="118"/>
      <c r="C133" s="828">
        <v>109</v>
      </c>
      <c r="D133" s="829"/>
      <c r="E133" s="830"/>
      <c r="F133" s="830"/>
      <c r="G133" s="854"/>
      <c r="H133" s="1049"/>
      <c r="I133" s="856"/>
      <c r="J133" s="857"/>
      <c r="K133" s="858"/>
      <c r="L133" s="472"/>
      <c r="M133" s="816">
        <f t="shared" si="0"/>
        <v>0</v>
      </c>
      <c r="N133" s="833">
        <f t="shared" si="0"/>
        <v>0</v>
      </c>
      <c r="O133" s="265">
        <f t="shared" si="1"/>
        <v>0</v>
      </c>
      <c r="P133" s="827">
        <f t="shared" si="3"/>
        <v>0</v>
      </c>
    </row>
    <row r="134" spans="1:16" ht="30" hidden="1" customHeight="1" outlineLevel="1">
      <c r="A134" s="118"/>
      <c r="B134" s="118"/>
      <c r="C134" s="828">
        <v>110</v>
      </c>
      <c r="D134" s="829"/>
      <c r="E134" s="830"/>
      <c r="F134" s="830"/>
      <c r="G134" s="854"/>
      <c r="H134" s="1049"/>
      <c r="I134" s="856"/>
      <c r="J134" s="857"/>
      <c r="K134" s="858"/>
      <c r="L134" s="472"/>
      <c r="M134" s="816">
        <f t="shared" si="0"/>
        <v>0</v>
      </c>
      <c r="N134" s="833">
        <f t="shared" si="0"/>
        <v>0</v>
      </c>
      <c r="O134" s="265">
        <f t="shared" si="1"/>
        <v>0</v>
      </c>
      <c r="P134" s="827">
        <f t="shared" si="3"/>
        <v>0</v>
      </c>
    </row>
    <row r="135" spans="1:16" ht="30" hidden="1" customHeight="1" outlineLevel="1">
      <c r="A135" s="118"/>
      <c r="B135" s="118"/>
      <c r="C135" s="828">
        <v>111</v>
      </c>
      <c r="D135" s="829"/>
      <c r="E135" s="830"/>
      <c r="F135" s="830"/>
      <c r="G135" s="854"/>
      <c r="H135" s="1049"/>
      <c r="I135" s="856"/>
      <c r="J135" s="857"/>
      <c r="K135" s="858"/>
      <c r="L135" s="472"/>
      <c r="M135" s="816">
        <f t="shared" si="0"/>
        <v>0</v>
      </c>
      <c r="N135" s="833">
        <f t="shared" si="0"/>
        <v>0</v>
      </c>
      <c r="O135" s="265">
        <f t="shared" si="1"/>
        <v>0</v>
      </c>
      <c r="P135" s="827">
        <f t="shared" si="3"/>
        <v>0</v>
      </c>
    </row>
    <row r="136" spans="1:16" ht="30" hidden="1" customHeight="1" outlineLevel="1">
      <c r="A136" s="118"/>
      <c r="B136" s="118"/>
      <c r="C136" s="828">
        <v>112</v>
      </c>
      <c r="D136" s="829"/>
      <c r="E136" s="830"/>
      <c r="F136" s="830"/>
      <c r="G136" s="854"/>
      <c r="H136" s="1049"/>
      <c r="I136" s="856"/>
      <c r="J136" s="857"/>
      <c r="K136" s="858"/>
      <c r="L136" s="472"/>
      <c r="M136" s="816">
        <f t="shared" si="0"/>
        <v>0</v>
      </c>
      <c r="N136" s="833">
        <f t="shared" si="0"/>
        <v>0</v>
      </c>
      <c r="O136" s="265">
        <f t="shared" si="1"/>
        <v>0</v>
      </c>
      <c r="P136" s="827">
        <f t="shared" si="3"/>
        <v>0</v>
      </c>
    </row>
    <row r="137" spans="1:16" ht="30" hidden="1" customHeight="1" outlineLevel="1">
      <c r="A137" s="118"/>
      <c r="B137" s="118"/>
      <c r="C137" s="828">
        <v>113</v>
      </c>
      <c r="D137" s="829"/>
      <c r="E137" s="830"/>
      <c r="F137" s="830"/>
      <c r="G137" s="854"/>
      <c r="H137" s="1049"/>
      <c r="I137" s="856"/>
      <c r="J137" s="857"/>
      <c r="K137" s="858"/>
      <c r="L137" s="472"/>
      <c r="M137" s="816">
        <f t="shared" si="0"/>
        <v>0</v>
      </c>
      <c r="N137" s="833">
        <f t="shared" si="0"/>
        <v>0</v>
      </c>
      <c r="O137" s="265">
        <f t="shared" si="1"/>
        <v>0</v>
      </c>
      <c r="P137" s="827">
        <f t="shared" si="3"/>
        <v>0</v>
      </c>
    </row>
    <row r="138" spans="1:16" ht="30" hidden="1" customHeight="1" outlineLevel="1">
      <c r="A138" s="118"/>
      <c r="B138" s="118"/>
      <c r="C138" s="828">
        <v>114</v>
      </c>
      <c r="D138" s="829"/>
      <c r="E138" s="830"/>
      <c r="F138" s="830"/>
      <c r="G138" s="854"/>
      <c r="H138" s="1049"/>
      <c r="I138" s="856"/>
      <c r="J138" s="857"/>
      <c r="K138" s="858"/>
      <c r="L138" s="472"/>
      <c r="M138" s="816">
        <f t="shared" si="0"/>
        <v>0</v>
      </c>
      <c r="N138" s="833">
        <f t="shared" si="0"/>
        <v>0</v>
      </c>
      <c r="O138" s="265">
        <f t="shared" si="1"/>
        <v>0</v>
      </c>
      <c r="P138" s="827">
        <f t="shared" si="3"/>
        <v>0</v>
      </c>
    </row>
    <row r="139" spans="1:16" ht="30" hidden="1" customHeight="1" outlineLevel="1">
      <c r="A139" s="118"/>
      <c r="B139" s="118"/>
      <c r="C139" s="828">
        <v>115</v>
      </c>
      <c r="D139" s="829"/>
      <c r="E139" s="830"/>
      <c r="F139" s="830"/>
      <c r="G139" s="854"/>
      <c r="H139" s="1049"/>
      <c r="I139" s="856"/>
      <c r="J139" s="857"/>
      <c r="K139" s="858"/>
      <c r="L139" s="472"/>
      <c r="M139" s="816">
        <f t="shared" si="0"/>
        <v>0</v>
      </c>
      <c r="N139" s="833">
        <f t="shared" si="0"/>
        <v>0</v>
      </c>
      <c r="O139" s="265">
        <f t="shared" si="1"/>
        <v>0</v>
      </c>
      <c r="P139" s="827">
        <f t="shared" si="3"/>
        <v>0</v>
      </c>
    </row>
    <row r="140" spans="1:16" ht="30" hidden="1" customHeight="1" outlineLevel="1">
      <c r="A140" s="118"/>
      <c r="B140" s="118"/>
      <c r="C140" s="828">
        <v>116</v>
      </c>
      <c r="D140" s="829"/>
      <c r="E140" s="830"/>
      <c r="F140" s="830"/>
      <c r="G140" s="854"/>
      <c r="H140" s="1049"/>
      <c r="I140" s="856"/>
      <c r="J140" s="857"/>
      <c r="K140" s="858"/>
      <c r="L140" s="472"/>
      <c r="M140" s="816">
        <f t="shared" si="0"/>
        <v>0</v>
      </c>
      <c r="N140" s="833">
        <f t="shared" si="0"/>
        <v>0</v>
      </c>
      <c r="O140" s="265">
        <f t="shared" si="1"/>
        <v>0</v>
      </c>
      <c r="P140" s="827">
        <f t="shared" si="3"/>
        <v>0</v>
      </c>
    </row>
    <row r="141" spans="1:16" ht="30" hidden="1" customHeight="1" outlineLevel="1">
      <c r="A141" s="118"/>
      <c r="B141" s="118"/>
      <c r="C141" s="828">
        <v>117</v>
      </c>
      <c r="D141" s="829"/>
      <c r="E141" s="830"/>
      <c r="F141" s="830"/>
      <c r="G141" s="854"/>
      <c r="H141" s="1049"/>
      <c r="I141" s="856"/>
      <c r="J141" s="857"/>
      <c r="K141" s="858"/>
      <c r="L141" s="472"/>
      <c r="M141" s="816">
        <f t="shared" si="0"/>
        <v>0</v>
      </c>
      <c r="N141" s="833">
        <f t="shared" si="0"/>
        <v>0</v>
      </c>
      <c r="O141" s="265">
        <f t="shared" si="1"/>
        <v>0</v>
      </c>
      <c r="P141" s="827">
        <f t="shared" si="3"/>
        <v>0</v>
      </c>
    </row>
    <row r="142" spans="1:16" ht="30" hidden="1" customHeight="1" outlineLevel="1">
      <c r="A142" s="118"/>
      <c r="B142" s="118"/>
      <c r="C142" s="828">
        <v>118</v>
      </c>
      <c r="D142" s="829"/>
      <c r="E142" s="830"/>
      <c r="F142" s="830"/>
      <c r="G142" s="854"/>
      <c r="H142" s="1049"/>
      <c r="I142" s="856"/>
      <c r="J142" s="857"/>
      <c r="K142" s="858"/>
      <c r="L142" s="472"/>
      <c r="M142" s="816">
        <f t="shared" si="0"/>
        <v>0</v>
      </c>
      <c r="N142" s="833">
        <f t="shared" si="0"/>
        <v>0</v>
      </c>
      <c r="O142" s="265">
        <f t="shared" si="1"/>
        <v>0</v>
      </c>
      <c r="P142" s="827">
        <f t="shared" si="3"/>
        <v>0</v>
      </c>
    </row>
    <row r="143" spans="1:16" ht="30" hidden="1" customHeight="1" outlineLevel="1">
      <c r="A143" s="118"/>
      <c r="B143" s="118"/>
      <c r="C143" s="828">
        <v>119</v>
      </c>
      <c r="D143" s="829"/>
      <c r="E143" s="830"/>
      <c r="F143" s="830"/>
      <c r="G143" s="854"/>
      <c r="H143" s="1049"/>
      <c r="I143" s="856"/>
      <c r="J143" s="857"/>
      <c r="K143" s="858"/>
      <c r="L143" s="472"/>
      <c r="M143" s="816">
        <f t="shared" si="0"/>
        <v>0</v>
      </c>
      <c r="N143" s="833">
        <f t="shared" si="0"/>
        <v>0</v>
      </c>
      <c r="O143" s="265">
        <f t="shared" si="1"/>
        <v>0</v>
      </c>
      <c r="P143" s="827">
        <f t="shared" si="3"/>
        <v>0</v>
      </c>
    </row>
    <row r="144" spans="1:16" ht="30" hidden="1" customHeight="1" outlineLevel="1">
      <c r="A144" s="118"/>
      <c r="B144" s="118"/>
      <c r="C144" s="828">
        <v>120</v>
      </c>
      <c r="D144" s="829"/>
      <c r="E144" s="830"/>
      <c r="F144" s="830"/>
      <c r="G144" s="854"/>
      <c r="H144" s="1049"/>
      <c r="I144" s="856"/>
      <c r="J144" s="857"/>
      <c r="K144" s="858"/>
      <c r="L144" s="472"/>
      <c r="M144" s="816">
        <f t="shared" si="0"/>
        <v>0</v>
      </c>
      <c r="N144" s="833">
        <f t="shared" si="0"/>
        <v>0</v>
      </c>
      <c r="O144" s="265">
        <f t="shared" si="1"/>
        <v>0</v>
      </c>
      <c r="P144" s="827">
        <f t="shared" si="3"/>
        <v>0</v>
      </c>
    </row>
    <row r="145" spans="1:16" ht="30" hidden="1" customHeight="1" outlineLevel="1">
      <c r="A145" s="118"/>
      <c r="B145" s="118"/>
      <c r="C145" s="828">
        <v>121</v>
      </c>
      <c r="D145" s="829"/>
      <c r="E145" s="830"/>
      <c r="F145" s="830"/>
      <c r="G145" s="854"/>
      <c r="H145" s="1049"/>
      <c r="I145" s="856"/>
      <c r="J145" s="857"/>
      <c r="K145" s="858"/>
      <c r="L145" s="472"/>
      <c r="M145" s="816">
        <f t="shared" si="0"/>
        <v>0</v>
      </c>
      <c r="N145" s="833">
        <f t="shared" si="0"/>
        <v>0</v>
      </c>
      <c r="O145" s="265">
        <f t="shared" si="1"/>
        <v>0</v>
      </c>
      <c r="P145" s="827">
        <f t="shared" si="3"/>
        <v>0</v>
      </c>
    </row>
    <row r="146" spans="1:16" ht="30" hidden="1" customHeight="1" outlineLevel="1">
      <c r="A146" s="118"/>
      <c r="B146" s="118"/>
      <c r="C146" s="828">
        <v>122</v>
      </c>
      <c r="D146" s="829"/>
      <c r="E146" s="830"/>
      <c r="F146" s="830"/>
      <c r="G146" s="854"/>
      <c r="H146" s="1049"/>
      <c r="I146" s="856"/>
      <c r="J146" s="857"/>
      <c r="K146" s="858"/>
      <c r="L146" s="472"/>
      <c r="M146" s="816">
        <f t="shared" si="0"/>
        <v>0</v>
      </c>
      <c r="N146" s="833">
        <f t="shared" si="0"/>
        <v>0</v>
      </c>
      <c r="O146" s="265">
        <f t="shared" si="1"/>
        <v>0</v>
      </c>
      <c r="P146" s="827">
        <f t="shared" si="3"/>
        <v>0</v>
      </c>
    </row>
    <row r="147" spans="1:16" ht="30" hidden="1" customHeight="1" outlineLevel="1">
      <c r="A147" s="118"/>
      <c r="B147" s="118"/>
      <c r="C147" s="828">
        <v>123</v>
      </c>
      <c r="D147" s="829"/>
      <c r="E147" s="830"/>
      <c r="F147" s="830"/>
      <c r="G147" s="854"/>
      <c r="H147" s="1049"/>
      <c r="I147" s="856"/>
      <c r="J147" s="857"/>
      <c r="K147" s="858"/>
      <c r="L147" s="472"/>
      <c r="M147" s="816">
        <f t="shared" si="0"/>
        <v>0</v>
      </c>
      <c r="N147" s="833">
        <f t="shared" si="0"/>
        <v>0</v>
      </c>
      <c r="O147" s="265">
        <f t="shared" si="1"/>
        <v>0</v>
      </c>
      <c r="P147" s="827">
        <f t="shared" si="3"/>
        <v>0</v>
      </c>
    </row>
    <row r="148" spans="1:16" ht="30" hidden="1" customHeight="1" outlineLevel="1">
      <c r="A148" s="118"/>
      <c r="B148" s="118"/>
      <c r="C148" s="828">
        <v>124</v>
      </c>
      <c r="D148" s="829"/>
      <c r="E148" s="830"/>
      <c r="F148" s="830"/>
      <c r="G148" s="854"/>
      <c r="H148" s="1049"/>
      <c r="I148" s="856"/>
      <c r="J148" s="857"/>
      <c r="K148" s="858"/>
      <c r="L148" s="472"/>
      <c r="M148" s="816">
        <f t="shared" si="0"/>
        <v>0</v>
      </c>
      <c r="N148" s="833">
        <f t="shared" si="0"/>
        <v>0</v>
      </c>
      <c r="O148" s="265">
        <f t="shared" si="1"/>
        <v>0</v>
      </c>
      <c r="P148" s="827">
        <f t="shared" si="3"/>
        <v>0</v>
      </c>
    </row>
    <row r="149" spans="1:16" ht="30" hidden="1" customHeight="1" outlineLevel="1">
      <c r="A149" s="118"/>
      <c r="B149" s="118"/>
      <c r="C149" s="828">
        <v>125</v>
      </c>
      <c r="D149" s="829"/>
      <c r="E149" s="830"/>
      <c r="F149" s="830"/>
      <c r="G149" s="854"/>
      <c r="H149" s="1049"/>
      <c r="I149" s="856"/>
      <c r="J149" s="857"/>
      <c r="K149" s="858"/>
      <c r="L149" s="472"/>
      <c r="M149" s="816">
        <f t="shared" si="0"/>
        <v>0</v>
      </c>
      <c r="N149" s="833">
        <f t="shared" si="0"/>
        <v>0</v>
      </c>
      <c r="O149" s="265">
        <f t="shared" si="1"/>
        <v>0</v>
      </c>
      <c r="P149" s="827">
        <f t="shared" si="3"/>
        <v>0</v>
      </c>
    </row>
    <row r="150" spans="1:16" ht="30" hidden="1" customHeight="1" outlineLevel="1">
      <c r="A150" s="118"/>
      <c r="B150" s="118"/>
      <c r="C150" s="828">
        <v>126</v>
      </c>
      <c r="D150" s="829"/>
      <c r="E150" s="830"/>
      <c r="F150" s="830"/>
      <c r="G150" s="854"/>
      <c r="H150" s="1049"/>
      <c r="I150" s="856"/>
      <c r="J150" s="857"/>
      <c r="K150" s="858"/>
      <c r="L150" s="472"/>
      <c r="M150" s="816">
        <f t="shared" si="0"/>
        <v>0</v>
      </c>
      <c r="N150" s="833">
        <f t="shared" si="0"/>
        <v>0</v>
      </c>
      <c r="O150" s="265">
        <f t="shared" si="1"/>
        <v>0</v>
      </c>
      <c r="P150" s="827">
        <f t="shared" si="3"/>
        <v>0</v>
      </c>
    </row>
    <row r="151" spans="1:16" ht="30" hidden="1" customHeight="1" outlineLevel="1">
      <c r="A151" s="118"/>
      <c r="B151" s="118"/>
      <c r="C151" s="828">
        <v>127</v>
      </c>
      <c r="D151" s="829"/>
      <c r="E151" s="830"/>
      <c r="F151" s="830"/>
      <c r="G151" s="854"/>
      <c r="H151" s="1049"/>
      <c r="I151" s="856"/>
      <c r="J151" s="857"/>
      <c r="K151" s="858"/>
      <c r="L151" s="472"/>
      <c r="M151" s="816">
        <f t="shared" si="0"/>
        <v>0</v>
      </c>
      <c r="N151" s="833">
        <f t="shared" si="0"/>
        <v>0</v>
      </c>
      <c r="O151" s="265">
        <f t="shared" si="1"/>
        <v>0</v>
      </c>
      <c r="P151" s="827">
        <f t="shared" si="3"/>
        <v>0</v>
      </c>
    </row>
    <row r="152" spans="1:16" ht="30" hidden="1" customHeight="1" outlineLevel="1">
      <c r="A152" s="118"/>
      <c r="B152" s="118"/>
      <c r="C152" s="828">
        <v>128</v>
      </c>
      <c r="D152" s="829"/>
      <c r="E152" s="830"/>
      <c r="F152" s="830"/>
      <c r="G152" s="854"/>
      <c r="H152" s="1049"/>
      <c r="I152" s="856"/>
      <c r="J152" s="857"/>
      <c r="K152" s="858"/>
      <c r="L152" s="472"/>
      <c r="M152" s="816">
        <f t="shared" si="0"/>
        <v>0</v>
      </c>
      <c r="N152" s="833">
        <f t="shared" si="0"/>
        <v>0</v>
      </c>
      <c r="O152" s="265">
        <f t="shared" si="1"/>
        <v>0</v>
      </c>
      <c r="P152" s="827">
        <f t="shared" si="3"/>
        <v>0</v>
      </c>
    </row>
    <row r="153" spans="1:16" ht="30" hidden="1" customHeight="1" outlineLevel="1">
      <c r="A153" s="118"/>
      <c r="B153" s="118"/>
      <c r="C153" s="828">
        <v>129</v>
      </c>
      <c r="D153" s="829"/>
      <c r="E153" s="830"/>
      <c r="F153" s="830"/>
      <c r="G153" s="854"/>
      <c r="H153" s="1049"/>
      <c r="I153" s="856"/>
      <c r="J153" s="857"/>
      <c r="K153" s="858"/>
      <c r="L153" s="472"/>
      <c r="M153" s="816">
        <f t="shared" si="0"/>
        <v>0</v>
      </c>
      <c r="N153" s="833">
        <f>IF($H153&gt;0,F153,)</f>
        <v>0</v>
      </c>
      <c r="O153" s="265">
        <f t="shared" si="1"/>
        <v>0</v>
      </c>
      <c r="P153" s="827">
        <f t="shared" si="3"/>
        <v>0</v>
      </c>
    </row>
    <row r="154" spans="1:16" ht="30" hidden="1" customHeight="1" outlineLevel="1">
      <c r="A154" s="118"/>
      <c r="B154" s="118"/>
      <c r="C154" s="828">
        <v>130</v>
      </c>
      <c r="D154" s="829"/>
      <c r="E154" s="830"/>
      <c r="F154" s="830"/>
      <c r="G154" s="854"/>
      <c r="H154" s="1049"/>
      <c r="I154" s="856"/>
      <c r="J154" s="857"/>
      <c r="K154" s="858"/>
      <c r="L154" s="472"/>
      <c r="M154" s="816">
        <f t="shared" ref="M154:N1024" si="4">IF($H154&gt;0,E154,)</f>
        <v>0</v>
      </c>
      <c r="N154" s="833">
        <f t="shared" si="4"/>
        <v>0</v>
      </c>
      <c r="O154" s="265">
        <f t="shared" si="1"/>
        <v>0</v>
      </c>
      <c r="P154" s="827">
        <f t="shared" ref="P154:P1024" si="5">ROUND(O154*H154%,)</f>
        <v>0</v>
      </c>
    </row>
    <row r="155" spans="1:16" ht="30" hidden="1" customHeight="1" outlineLevel="1">
      <c r="A155" s="118"/>
      <c r="B155" s="118"/>
      <c r="C155" s="828">
        <v>131</v>
      </c>
      <c r="D155" s="829"/>
      <c r="E155" s="830"/>
      <c r="F155" s="830"/>
      <c r="G155" s="854"/>
      <c r="H155" s="1049"/>
      <c r="I155" s="856"/>
      <c r="J155" s="857"/>
      <c r="K155" s="858"/>
      <c r="L155" s="472"/>
      <c r="M155" s="816">
        <f t="shared" si="4"/>
        <v>0</v>
      </c>
      <c r="N155" s="833">
        <f t="shared" si="4"/>
        <v>0</v>
      </c>
      <c r="O155" s="265">
        <f t="shared" si="1"/>
        <v>0</v>
      </c>
      <c r="P155" s="827">
        <f t="shared" si="5"/>
        <v>0</v>
      </c>
    </row>
    <row r="156" spans="1:16" ht="30" hidden="1" customHeight="1" outlineLevel="1">
      <c r="A156" s="118"/>
      <c r="B156" s="118"/>
      <c r="C156" s="828">
        <v>132</v>
      </c>
      <c r="D156" s="829"/>
      <c r="E156" s="830"/>
      <c r="F156" s="830"/>
      <c r="G156" s="854"/>
      <c r="H156" s="1049"/>
      <c r="I156" s="856"/>
      <c r="J156" s="857"/>
      <c r="K156" s="858"/>
      <c r="L156" s="472"/>
      <c r="M156" s="816">
        <f t="shared" si="4"/>
        <v>0</v>
      </c>
      <c r="N156" s="833">
        <f t="shared" si="4"/>
        <v>0</v>
      </c>
      <c r="O156" s="265">
        <f t="shared" si="1"/>
        <v>0</v>
      </c>
      <c r="P156" s="827">
        <f t="shared" si="5"/>
        <v>0</v>
      </c>
    </row>
    <row r="157" spans="1:16" ht="30" hidden="1" customHeight="1" outlineLevel="1">
      <c r="A157" s="118"/>
      <c r="B157" s="118"/>
      <c r="C157" s="828">
        <v>133</v>
      </c>
      <c r="D157" s="829"/>
      <c r="E157" s="830"/>
      <c r="F157" s="830"/>
      <c r="G157" s="854"/>
      <c r="H157" s="1049"/>
      <c r="I157" s="856"/>
      <c r="J157" s="857"/>
      <c r="K157" s="858"/>
      <c r="L157" s="472"/>
      <c r="M157" s="816">
        <f t="shared" si="4"/>
        <v>0</v>
      </c>
      <c r="N157" s="833">
        <f t="shared" si="4"/>
        <v>0</v>
      </c>
      <c r="O157" s="265">
        <f t="shared" si="1"/>
        <v>0</v>
      </c>
      <c r="P157" s="827">
        <f t="shared" si="5"/>
        <v>0</v>
      </c>
    </row>
    <row r="158" spans="1:16" ht="30" hidden="1" customHeight="1" outlineLevel="1">
      <c r="A158" s="118"/>
      <c r="B158" s="118"/>
      <c r="C158" s="828">
        <v>134</v>
      </c>
      <c r="D158" s="829"/>
      <c r="E158" s="830"/>
      <c r="F158" s="830"/>
      <c r="G158" s="854"/>
      <c r="H158" s="1049"/>
      <c r="I158" s="856"/>
      <c r="J158" s="857"/>
      <c r="K158" s="858"/>
      <c r="L158" s="472"/>
      <c r="M158" s="816">
        <f t="shared" si="4"/>
        <v>0</v>
      </c>
      <c r="N158" s="833">
        <f t="shared" si="4"/>
        <v>0</v>
      </c>
      <c r="O158" s="265">
        <f t="shared" si="1"/>
        <v>0</v>
      </c>
      <c r="P158" s="827">
        <f t="shared" si="5"/>
        <v>0</v>
      </c>
    </row>
    <row r="159" spans="1:16" ht="30" hidden="1" customHeight="1" outlineLevel="1">
      <c r="A159" s="118"/>
      <c r="B159" s="118"/>
      <c r="C159" s="828">
        <v>135</v>
      </c>
      <c r="D159" s="829"/>
      <c r="E159" s="830"/>
      <c r="F159" s="830"/>
      <c r="G159" s="854"/>
      <c r="H159" s="1049"/>
      <c r="I159" s="856"/>
      <c r="J159" s="857"/>
      <c r="K159" s="858"/>
      <c r="L159" s="472"/>
      <c r="M159" s="816">
        <f t="shared" si="4"/>
        <v>0</v>
      </c>
      <c r="N159" s="833">
        <f t="shared" si="4"/>
        <v>0</v>
      </c>
      <c r="O159" s="265">
        <f t="shared" si="1"/>
        <v>0</v>
      </c>
      <c r="P159" s="827">
        <f t="shared" si="5"/>
        <v>0</v>
      </c>
    </row>
    <row r="160" spans="1:16" ht="30" hidden="1" customHeight="1" outlineLevel="1">
      <c r="A160" s="118"/>
      <c r="B160" s="118"/>
      <c r="C160" s="828">
        <v>136</v>
      </c>
      <c r="D160" s="829"/>
      <c r="E160" s="830"/>
      <c r="F160" s="830"/>
      <c r="G160" s="854"/>
      <c r="H160" s="1049"/>
      <c r="I160" s="856"/>
      <c r="J160" s="857"/>
      <c r="K160" s="858"/>
      <c r="L160" s="472"/>
      <c r="M160" s="816">
        <f t="shared" si="4"/>
        <v>0</v>
      </c>
      <c r="N160" s="833">
        <f t="shared" si="4"/>
        <v>0</v>
      </c>
      <c r="O160" s="265">
        <f t="shared" si="1"/>
        <v>0</v>
      </c>
      <c r="P160" s="827">
        <f t="shared" si="5"/>
        <v>0</v>
      </c>
    </row>
    <row r="161" spans="1:16" ht="30" hidden="1" customHeight="1" outlineLevel="1">
      <c r="A161" s="118"/>
      <c r="B161" s="118"/>
      <c r="C161" s="828">
        <v>137</v>
      </c>
      <c r="D161" s="829"/>
      <c r="E161" s="830"/>
      <c r="F161" s="830"/>
      <c r="G161" s="854"/>
      <c r="H161" s="1049"/>
      <c r="I161" s="856"/>
      <c r="J161" s="857"/>
      <c r="K161" s="858"/>
      <c r="L161" s="472"/>
      <c r="M161" s="816">
        <f t="shared" si="4"/>
        <v>0</v>
      </c>
      <c r="N161" s="833">
        <f t="shared" si="4"/>
        <v>0</v>
      </c>
      <c r="O161" s="265">
        <f t="shared" si="1"/>
        <v>0</v>
      </c>
      <c r="P161" s="827">
        <f t="shared" si="5"/>
        <v>0</v>
      </c>
    </row>
    <row r="162" spans="1:16" ht="30" hidden="1" customHeight="1" outlineLevel="1">
      <c r="A162" s="118"/>
      <c r="B162" s="118"/>
      <c r="C162" s="828">
        <v>138</v>
      </c>
      <c r="D162" s="829"/>
      <c r="E162" s="830"/>
      <c r="F162" s="830"/>
      <c r="G162" s="854"/>
      <c r="H162" s="1049"/>
      <c r="I162" s="856"/>
      <c r="J162" s="857"/>
      <c r="K162" s="858"/>
      <c r="L162" s="472"/>
      <c r="M162" s="816">
        <f t="shared" si="4"/>
        <v>0</v>
      </c>
      <c r="N162" s="833">
        <f t="shared" si="4"/>
        <v>0</v>
      </c>
      <c r="O162" s="265">
        <f t="shared" si="1"/>
        <v>0</v>
      </c>
      <c r="P162" s="827">
        <f t="shared" si="5"/>
        <v>0</v>
      </c>
    </row>
    <row r="163" spans="1:16" ht="30" hidden="1" customHeight="1" outlineLevel="1">
      <c r="A163" s="118"/>
      <c r="B163" s="118"/>
      <c r="C163" s="828">
        <v>139</v>
      </c>
      <c r="D163" s="829"/>
      <c r="E163" s="830"/>
      <c r="F163" s="830"/>
      <c r="G163" s="854"/>
      <c r="H163" s="1049"/>
      <c r="I163" s="856"/>
      <c r="J163" s="857"/>
      <c r="K163" s="858"/>
      <c r="L163" s="472"/>
      <c r="M163" s="816">
        <f t="shared" si="4"/>
        <v>0</v>
      </c>
      <c r="N163" s="833">
        <f t="shared" si="4"/>
        <v>0</v>
      </c>
      <c r="O163" s="265">
        <f t="shared" si="1"/>
        <v>0</v>
      </c>
      <c r="P163" s="827">
        <f t="shared" si="5"/>
        <v>0</v>
      </c>
    </row>
    <row r="164" spans="1:16" ht="30" hidden="1" customHeight="1" outlineLevel="1">
      <c r="A164" s="118"/>
      <c r="B164" s="118"/>
      <c r="C164" s="828">
        <v>140</v>
      </c>
      <c r="D164" s="829"/>
      <c r="E164" s="830"/>
      <c r="F164" s="830"/>
      <c r="G164" s="854"/>
      <c r="H164" s="1049"/>
      <c r="I164" s="856"/>
      <c r="J164" s="857"/>
      <c r="K164" s="858"/>
      <c r="L164" s="472"/>
      <c r="M164" s="816">
        <f t="shared" si="4"/>
        <v>0</v>
      </c>
      <c r="N164" s="833">
        <f t="shared" si="4"/>
        <v>0</v>
      </c>
      <c r="O164" s="265">
        <f t="shared" si="1"/>
        <v>0</v>
      </c>
      <c r="P164" s="827">
        <f t="shared" si="5"/>
        <v>0</v>
      </c>
    </row>
    <row r="165" spans="1:16" ht="30" hidden="1" customHeight="1" outlineLevel="1">
      <c r="A165" s="118"/>
      <c r="B165" s="118"/>
      <c r="C165" s="828">
        <v>141</v>
      </c>
      <c r="D165" s="829"/>
      <c r="E165" s="830"/>
      <c r="F165" s="830"/>
      <c r="G165" s="854"/>
      <c r="H165" s="1049"/>
      <c r="I165" s="856"/>
      <c r="J165" s="857"/>
      <c r="K165" s="858"/>
      <c r="L165" s="472"/>
      <c r="M165" s="816">
        <f t="shared" si="4"/>
        <v>0</v>
      </c>
      <c r="N165" s="833">
        <f t="shared" si="4"/>
        <v>0</v>
      </c>
      <c r="O165" s="265">
        <f t="shared" si="1"/>
        <v>0</v>
      </c>
      <c r="P165" s="827">
        <f t="shared" si="5"/>
        <v>0</v>
      </c>
    </row>
    <row r="166" spans="1:16" ht="30" hidden="1" customHeight="1" outlineLevel="1">
      <c r="A166" s="118"/>
      <c r="B166" s="118"/>
      <c r="C166" s="828">
        <v>142</v>
      </c>
      <c r="D166" s="829"/>
      <c r="E166" s="830"/>
      <c r="F166" s="830"/>
      <c r="G166" s="854"/>
      <c r="H166" s="1049"/>
      <c r="I166" s="856"/>
      <c r="J166" s="857"/>
      <c r="K166" s="858"/>
      <c r="L166" s="472"/>
      <c r="M166" s="816">
        <f t="shared" si="4"/>
        <v>0</v>
      </c>
      <c r="N166" s="833">
        <f t="shared" si="4"/>
        <v>0</v>
      </c>
      <c r="O166" s="265">
        <f t="shared" si="1"/>
        <v>0</v>
      </c>
      <c r="P166" s="827">
        <f t="shared" si="5"/>
        <v>0</v>
      </c>
    </row>
    <row r="167" spans="1:16" ht="30" hidden="1" customHeight="1" outlineLevel="1">
      <c r="A167" s="118"/>
      <c r="B167" s="118"/>
      <c r="C167" s="828">
        <v>143</v>
      </c>
      <c r="D167" s="829"/>
      <c r="E167" s="830"/>
      <c r="F167" s="830"/>
      <c r="G167" s="854"/>
      <c r="H167" s="1049"/>
      <c r="I167" s="856"/>
      <c r="J167" s="857"/>
      <c r="K167" s="858"/>
      <c r="L167" s="472"/>
      <c r="M167" s="816">
        <f t="shared" si="4"/>
        <v>0</v>
      </c>
      <c r="N167" s="833">
        <f t="shared" si="4"/>
        <v>0</v>
      </c>
      <c r="O167" s="265">
        <f t="shared" si="1"/>
        <v>0</v>
      </c>
      <c r="P167" s="827">
        <f t="shared" si="5"/>
        <v>0</v>
      </c>
    </row>
    <row r="168" spans="1:16" ht="30" hidden="1" customHeight="1" outlineLevel="1">
      <c r="A168" s="118"/>
      <c r="B168" s="118"/>
      <c r="C168" s="828">
        <v>144</v>
      </c>
      <c r="D168" s="829"/>
      <c r="E168" s="830"/>
      <c r="F168" s="830"/>
      <c r="G168" s="854"/>
      <c r="H168" s="1049"/>
      <c r="I168" s="856"/>
      <c r="J168" s="857"/>
      <c r="K168" s="858"/>
      <c r="L168" s="472"/>
      <c r="M168" s="816">
        <f t="shared" si="4"/>
        <v>0</v>
      </c>
      <c r="N168" s="833">
        <f t="shared" si="4"/>
        <v>0</v>
      </c>
      <c r="O168" s="265">
        <f t="shared" si="1"/>
        <v>0</v>
      </c>
      <c r="P168" s="827">
        <f t="shared" si="5"/>
        <v>0</v>
      </c>
    </row>
    <row r="169" spans="1:16" ht="30" hidden="1" customHeight="1" outlineLevel="1">
      <c r="A169" s="118"/>
      <c r="B169" s="118"/>
      <c r="C169" s="828">
        <v>145</v>
      </c>
      <c r="D169" s="829"/>
      <c r="E169" s="830"/>
      <c r="F169" s="830"/>
      <c r="G169" s="854"/>
      <c r="H169" s="1049"/>
      <c r="I169" s="856"/>
      <c r="J169" s="857"/>
      <c r="K169" s="858"/>
      <c r="L169" s="472"/>
      <c r="M169" s="816">
        <f t="shared" si="4"/>
        <v>0</v>
      </c>
      <c r="N169" s="833">
        <f t="shared" si="4"/>
        <v>0</v>
      </c>
      <c r="O169" s="265">
        <f t="shared" si="1"/>
        <v>0</v>
      </c>
      <c r="P169" s="827">
        <f t="shared" si="5"/>
        <v>0</v>
      </c>
    </row>
    <row r="170" spans="1:16" ht="30" hidden="1" customHeight="1" outlineLevel="1">
      <c r="A170" s="118"/>
      <c r="B170" s="118"/>
      <c r="C170" s="828">
        <v>146</v>
      </c>
      <c r="D170" s="829"/>
      <c r="E170" s="830"/>
      <c r="F170" s="830"/>
      <c r="G170" s="854"/>
      <c r="H170" s="1049"/>
      <c r="I170" s="856"/>
      <c r="J170" s="857"/>
      <c r="K170" s="858"/>
      <c r="L170" s="472"/>
      <c r="M170" s="816">
        <f t="shared" si="4"/>
        <v>0</v>
      </c>
      <c r="N170" s="833">
        <f t="shared" si="4"/>
        <v>0</v>
      </c>
      <c r="O170" s="265">
        <f t="shared" si="1"/>
        <v>0</v>
      </c>
      <c r="P170" s="827">
        <f t="shared" si="5"/>
        <v>0</v>
      </c>
    </row>
    <row r="171" spans="1:16" ht="30" hidden="1" customHeight="1" outlineLevel="1">
      <c r="A171" s="118"/>
      <c r="B171" s="118"/>
      <c r="C171" s="828">
        <v>147</v>
      </c>
      <c r="D171" s="829"/>
      <c r="E171" s="830"/>
      <c r="F171" s="830"/>
      <c r="G171" s="854"/>
      <c r="H171" s="1049"/>
      <c r="I171" s="856"/>
      <c r="J171" s="857"/>
      <c r="K171" s="858"/>
      <c r="L171" s="472"/>
      <c r="M171" s="816">
        <f t="shared" si="4"/>
        <v>0</v>
      </c>
      <c r="N171" s="833">
        <f t="shared" si="4"/>
        <v>0</v>
      </c>
      <c r="O171" s="265">
        <f t="shared" si="1"/>
        <v>0</v>
      </c>
      <c r="P171" s="827">
        <f t="shared" si="5"/>
        <v>0</v>
      </c>
    </row>
    <row r="172" spans="1:16" ht="30" hidden="1" customHeight="1" outlineLevel="1">
      <c r="A172" s="118"/>
      <c r="B172" s="118"/>
      <c r="C172" s="828">
        <v>148</v>
      </c>
      <c r="D172" s="829"/>
      <c r="E172" s="830"/>
      <c r="F172" s="830"/>
      <c r="G172" s="854"/>
      <c r="H172" s="1049"/>
      <c r="I172" s="856"/>
      <c r="J172" s="857"/>
      <c r="K172" s="858"/>
      <c r="L172" s="472"/>
      <c r="M172" s="816">
        <f t="shared" si="4"/>
        <v>0</v>
      </c>
      <c r="N172" s="833">
        <f t="shared" si="4"/>
        <v>0</v>
      </c>
      <c r="O172" s="265">
        <f t="shared" si="1"/>
        <v>0</v>
      </c>
      <c r="P172" s="827">
        <f t="shared" si="5"/>
        <v>0</v>
      </c>
    </row>
    <row r="173" spans="1:16" ht="30" hidden="1" customHeight="1" outlineLevel="1">
      <c r="A173" s="118"/>
      <c r="B173" s="118"/>
      <c r="C173" s="828">
        <v>149</v>
      </c>
      <c r="D173" s="829"/>
      <c r="E173" s="830"/>
      <c r="F173" s="830"/>
      <c r="G173" s="854"/>
      <c r="H173" s="1049"/>
      <c r="I173" s="856"/>
      <c r="J173" s="857"/>
      <c r="K173" s="858"/>
      <c r="L173" s="472"/>
      <c r="M173" s="816">
        <f t="shared" si="4"/>
        <v>0</v>
      </c>
      <c r="N173" s="833">
        <f t="shared" si="4"/>
        <v>0</v>
      </c>
      <c r="O173" s="265">
        <f t="shared" si="1"/>
        <v>0</v>
      </c>
      <c r="P173" s="827">
        <f t="shared" si="5"/>
        <v>0</v>
      </c>
    </row>
    <row r="174" spans="1:16" ht="30" hidden="1" customHeight="1" outlineLevel="1">
      <c r="A174" s="118"/>
      <c r="B174" s="118"/>
      <c r="C174" s="828">
        <v>150</v>
      </c>
      <c r="D174" s="829"/>
      <c r="E174" s="830"/>
      <c r="F174" s="830"/>
      <c r="G174" s="854"/>
      <c r="H174" s="1049"/>
      <c r="I174" s="856"/>
      <c r="J174" s="857"/>
      <c r="K174" s="858"/>
      <c r="L174" s="472"/>
      <c r="M174" s="816">
        <f t="shared" ref="M174:M237" si="6">IF($H174&gt;0,E174,)</f>
        <v>0</v>
      </c>
      <c r="N174" s="833">
        <f t="shared" ref="N174:N237" si="7">IF($H174&gt;0,F174,)</f>
        <v>0</v>
      </c>
      <c r="O174" s="265">
        <f t="shared" ref="O174:O237" si="8">IF(H174&gt;0,ROUND(G174,),)</f>
        <v>0</v>
      </c>
      <c r="P174" s="827">
        <f t="shared" ref="P174:P237" si="9">ROUND(O174*H174%,)</f>
        <v>0</v>
      </c>
    </row>
    <row r="175" spans="1:16" ht="30" hidden="1" customHeight="1" outlineLevel="1">
      <c r="A175" s="118"/>
      <c r="B175" s="118"/>
      <c r="C175" s="828">
        <v>151</v>
      </c>
      <c r="D175" s="829"/>
      <c r="E175" s="830"/>
      <c r="F175" s="830"/>
      <c r="G175" s="854"/>
      <c r="H175" s="1049"/>
      <c r="I175" s="856"/>
      <c r="J175" s="857"/>
      <c r="K175" s="858"/>
      <c r="L175" s="472"/>
      <c r="M175" s="816">
        <f t="shared" si="6"/>
        <v>0</v>
      </c>
      <c r="N175" s="833">
        <f t="shared" si="7"/>
        <v>0</v>
      </c>
      <c r="O175" s="265">
        <f t="shared" si="8"/>
        <v>0</v>
      </c>
      <c r="P175" s="827">
        <f t="shared" si="9"/>
        <v>0</v>
      </c>
    </row>
    <row r="176" spans="1:16" ht="30" hidden="1" customHeight="1" outlineLevel="1">
      <c r="A176" s="118"/>
      <c r="B176" s="118"/>
      <c r="C176" s="828">
        <v>152</v>
      </c>
      <c r="D176" s="829"/>
      <c r="E176" s="830"/>
      <c r="F176" s="830"/>
      <c r="G176" s="854"/>
      <c r="H176" s="1049"/>
      <c r="I176" s="856"/>
      <c r="J176" s="857"/>
      <c r="K176" s="858"/>
      <c r="L176" s="472"/>
      <c r="M176" s="816">
        <f t="shared" si="6"/>
        <v>0</v>
      </c>
      <c r="N176" s="833">
        <f t="shared" si="7"/>
        <v>0</v>
      </c>
      <c r="O176" s="265">
        <f t="shared" si="8"/>
        <v>0</v>
      </c>
      <c r="P176" s="827">
        <f t="shared" si="9"/>
        <v>0</v>
      </c>
    </row>
    <row r="177" spans="1:16" ht="30" hidden="1" customHeight="1" outlineLevel="1">
      <c r="A177" s="118"/>
      <c r="B177" s="118"/>
      <c r="C177" s="828">
        <v>153</v>
      </c>
      <c r="D177" s="829"/>
      <c r="E177" s="830"/>
      <c r="F177" s="830"/>
      <c r="G177" s="854"/>
      <c r="H177" s="1049"/>
      <c r="I177" s="856"/>
      <c r="J177" s="857"/>
      <c r="K177" s="858"/>
      <c r="L177" s="472"/>
      <c r="M177" s="816">
        <f t="shared" si="6"/>
        <v>0</v>
      </c>
      <c r="N177" s="833">
        <f t="shared" si="7"/>
        <v>0</v>
      </c>
      <c r="O177" s="265">
        <f t="shared" si="8"/>
        <v>0</v>
      </c>
      <c r="P177" s="827">
        <f t="shared" si="9"/>
        <v>0</v>
      </c>
    </row>
    <row r="178" spans="1:16" ht="30" hidden="1" customHeight="1" outlineLevel="1">
      <c r="A178" s="118"/>
      <c r="B178" s="118"/>
      <c r="C178" s="828">
        <v>154</v>
      </c>
      <c r="D178" s="829"/>
      <c r="E178" s="830"/>
      <c r="F178" s="830"/>
      <c r="G178" s="854"/>
      <c r="H178" s="1049"/>
      <c r="I178" s="856"/>
      <c r="J178" s="857"/>
      <c r="K178" s="858"/>
      <c r="L178" s="472"/>
      <c r="M178" s="816">
        <f t="shared" si="6"/>
        <v>0</v>
      </c>
      <c r="N178" s="833">
        <f t="shared" si="7"/>
        <v>0</v>
      </c>
      <c r="O178" s="265">
        <f t="shared" si="8"/>
        <v>0</v>
      </c>
      <c r="P178" s="827">
        <f t="shared" si="9"/>
        <v>0</v>
      </c>
    </row>
    <row r="179" spans="1:16" ht="30" hidden="1" customHeight="1" outlineLevel="1">
      <c r="A179" s="118"/>
      <c r="B179" s="118"/>
      <c r="C179" s="828">
        <v>155</v>
      </c>
      <c r="D179" s="829"/>
      <c r="E179" s="830"/>
      <c r="F179" s="830"/>
      <c r="G179" s="854"/>
      <c r="H179" s="1049"/>
      <c r="I179" s="856"/>
      <c r="J179" s="857"/>
      <c r="K179" s="858"/>
      <c r="L179" s="472"/>
      <c r="M179" s="816">
        <f t="shared" si="6"/>
        <v>0</v>
      </c>
      <c r="N179" s="833">
        <f t="shared" si="7"/>
        <v>0</v>
      </c>
      <c r="O179" s="265">
        <f t="shared" si="8"/>
        <v>0</v>
      </c>
      <c r="P179" s="827">
        <f t="shared" si="9"/>
        <v>0</v>
      </c>
    </row>
    <row r="180" spans="1:16" ht="30" hidden="1" customHeight="1" outlineLevel="1">
      <c r="A180" s="118"/>
      <c r="B180" s="118"/>
      <c r="C180" s="828">
        <v>156</v>
      </c>
      <c r="D180" s="829"/>
      <c r="E180" s="830"/>
      <c r="F180" s="830"/>
      <c r="G180" s="854"/>
      <c r="H180" s="1049"/>
      <c r="I180" s="856"/>
      <c r="J180" s="857"/>
      <c r="K180" s="858"/>
      <c r="L180" s="472"/>
      <c r="M180" s="816">
        <f t="shared" si="6"/>
        <v>0</v>
      </c>
      <c r="N180" s="833">
        <f t="shared" si="7"/>
        <v>0</v>
      </c>
      <c r="O180" s="265">
        <f t="shared" si="8"/>
        <v>0</v>
      </c>
      <c r="P180" s="827">
        <f t="shared" si="9"/>
        <v>0</v>
      </c>
    </row>
    <row r="181" spans="1:16" ht="30" hidden="1" customHeight="1" outlineLevel="1">
      <c r="A181" s="118"/>
      <c r="B181" s="118"/>
      <c r="C181" s="828">
        <v>157</v>
      </c>
      <c r="D181" s="829"/>
      <c r="E181" s="830"/>
      <c r="F181" s="830"/>
      <c r="G181" s="854"/>
      <c r="H181" s="1049"/>
      <c r="I181" s="856"/>
      <c r="J181" s="857"/>
      <c r="K181" s="858"/>
      <c r="L181" s="472"/>
      <c r="M181" s="816">
        <f t="shared" si="6"/>
        <v>0</v>
      </c>
      <c r="N181" s="833">
        <f t="shared" si="7"/>
        <v>0</v>
      </c>
      <c r="O181" s="265">
        <f t="shared" si="8"/>
        <v>0</v>
      </c>
      <c r="P181" s="827">
        <f t="shared" si="9"/>
        <v>0</v>
      </c>
    </row>
    <row r="182" spans="1:16" ht="30" hidden="1" customHeight="1" outlineLevel="1">
      <c r="A182" s="118"/>
      <c r="B182" s="118"/>
      <c r="C182" s="828">
        <v>158</v>
      </c>
      <c r="D182" s="829"/>
      <c r="E182" s="830"/>
      <c r="F182" s="830"/>
      <c r="G182" s="854"/>
      <c r="H182" s="1049"/>
      <c r="I182" s="856"/>
      <c r="J182" s="857"/>
      <c r="K182" s="858"/>
      <c r="L182" s="472"/>
      <c r="M182" s="816">
        <f t="shared" si="6"/>
        <v>0</v>
      </c>
      <c r="N182" s="833">
        <f t="shared" si="7"/>
        <v>0</v>
      </c>
      <c r="O182" s="265">
        <f t="shared" si="8"/>
        <v>0</v>
      </c>
      <c r="P182" s="827">
        <f t="shared" si="9"/>
        <v>0</v>
      </c>
    </row>
    <row r="183" spans="1:16" ht="30" hidden="1" customHeight="1" outlineLevel="1">
      <c r="A183" s="118"/>
      <c r="B183" s="118"/>
      <c r="C183" s="828">
        <v>159</v>
      </c>
      <c r="D183" s="829"/>
      <c r="E183" s="830"/>
      <c r="F183" s="830"/>
      <c r="G183" s="854"/>
      <c r="H183" s="1049"/>
      <c r="I183" s="856"/>
      <c r="J183" s="857"/>
      <c r="K183" s="858"/>
      <c r="L183" s="472"/>
      <c r="M183" s="816">
        <f t="shared" si="6"/>
        <v>0</v>
      </c>
      <c r="N183" s="833">
        <f t="shared" si="7"/>
        <v>0</v>
      </c>
      <c r="O183" s="265">
        <f t="shared" si="8"/>
        <v>0</v>
      </c>
      <c r="P183" s="827">
        <f t="shared" si="9"/>
        <v>0</v>
      </c>
    </row>
    <row r="184" spans="1:16" ht="30" hidden="1" customHeight="1" outlineLevel="1">
      <c r="A184" s="118"/>
      <c r="B184" s="118"/>
      <c r="C184" s="828">
        <v>160</v>
      </c>
      <c r="D184" s="829"/>
      <c r="E184" s="830"/>
      <c r="F184" s="830"/>
      <c r="G184" s="854"/>
      <c r="H184" s="1049"/>
      <c r="I184" s="856"/>
      <c r="J184" s="857"/>
      <c r="K184" s="858"/>
      <c r="L184" s="472"/>
      <c r="M184" s="816">
        <f t="shared" si="6"/>
        <v>0</v>
      </c>
      <c r="N184" s="833">
        <f t="shared" si="7"/>
        <v>0</v>
      </c>
      <c r="O184" s="265">
        <f t="shared" si="8"/>
        <v>0</v>
      </c>
      <c r="P184" s="827">
        <f t="shared" si="9"/>
        <v>0</v>
      </c>
    </row>
    <row r="185" spans="1:16" ht="30" hidden="1" customHeight="1" outlineLevel="1">
      <c r="A185" s="118"/>
      <c r="B185" s="118"/>
      <c r="C185" s="828">
        <v>161</v>
      </c>
      <c r="D185" s="829"/>
      <c r="E185" s="830"/>
      <c r="F185" s="830"/>
      <c r="G185" s="854"/>
      <c r="H185" s="1049"/>
      <c r="I185" s="856"/>
      <c r="J185" s="857"/>
      <c r="K185" s="858"/>
      <c r="L185" s="472"/>
      <c r="M185" s="816">
        <f t="shared" si="6"/>
        <v>0</v>
      </c>
      <c r="N185" s="833">
        <f t="shared" si="7"/>
        <v>0</v>
      </c>
      <c r="O185" s="265">
        <f t="shared" si="8"/>
        <v>0</v>
      </c>
      <c r="P185" s="827">
        <f t="shared" si="9"/>
        <v>0</v>
      </c>
    </row>
    <row r="186" spans="1:16" ht="30" hidden="1" customHeight="1" outlineLevel="1">
      <c r="A186" s="118"/>
      <c r="B186" s="118"/>
      <c r="C186" s="828">
        <v>162</v>
      </c>
      <c r="D186" s="829"/>
      <c r="E186" s="830"/>
      <c r="F186" s="830"/>
      <c r="G186" s="854"/>
      <c r="H186" s="1049"/>
      <c r="I186" s="856"/>
      <c r="J186" s="857"/>
      <c r="K186" s="858"/>
      <c r="L186" s="472"/>
      <c r="M186" s="816">
        <f t="shared" si="6"/>
        <v>0</v>
      </c>
      <c r="N186" s="833">
        <f t="shared" si="7"/>
        <v>0</v>
      </c>
      <c r="O186" s="265">
        <f t="shared" si="8"/>
        <v>0</v>
      </c>
      <c r="P186" s="827">
        <f t="shared" si="9"/>
        <v>0</v>
      </c>
    </row>
    <row r="187" spans="1:16" ht="30" hidden="1" customHeight="1" outlineLevel="1">
      <c r="A187" s="118"/>
      <c r="B187" s="118"/>
      <c r="C187" s="828">
        <v>163</v>
      </c>
      <c r="D187" s="829"/>
      <c r="E187" s="830"/>
      <c r="F187" s="830"/>
      <c r="G187" s="854"/>
      <c r="H187" s="1049"/>
      <c r="I187" s="856"/>
      <c r="J187" s="857"/>
      <c r="K187" s="858"/>
      <c r="L187" s="472"/>
      <c r="M187" s="816">
        <f t="shared" si="6"/>
        <v>0</v>
      </c>
      <c r="N187" s="833">
        <f t="shared" si="7"/>
        <v>0</v>
      </c>
      <c r="O187" s="265">
        <f t="shared" si="8"/>
        <v>0</v>
      </c>
      <c r="P187" s="827">
        <f t="shared" si="9"/>
        <v>0</v>
      </c>
    </row>
    <row r="188" spans="1:16" ht="30" hidden="1" customHeight="1" outlineLevel="1">
      <c r="A188" s="118"/>
      <c r="B188" s="118"/>
      <c r="C188" s="828">
        <v>164</v>
      </c>
      <c r="D188" s="829"/>
      <c r="E188" s="830"/>
      <c r="F188" s="830"/>
      <c r="G188" s="854"/>
      <c r="H188" s="1049"/>
      <c r="I188" s="856"/>
      <c r="J188" s="857"/>
      <c r="K188" s="858"/>
      <c r="L188" s="472"/>
      <c r="M188" s="816">
        <f t="shared" si="6"/>
        <v>0</v>
      </c>
      <c r="N188" s="833">
        <f t="shared" si="7"/>
        <v>0</v>
      </c>
      <c r="O188" s="265">
        <f t="shared" si="8"/>
        <v>0</v>
      </c>
      <c r="P188" s="827">
        <f t="shared" si="9"/>
        <v>0</v>
      </c>
    </row>
    <row r="189" spans="1:16" ht="30" hidden="1" customHeight="1" outlineLevel="1">
      <c r="A189" s="118"/>
      <c r="B189" s="118"/>
      <c r="C189" s="828">
        <v>165</v>
      </c>
      <c r="D189" s="829"/>
      <c r="E189" s="830"/>
      <c r="F189" s="830"/>
      <c r="G189" s="854"/>
      <c r="H189" s="1049"/>
      <c r="I189" s="856"/>
      <c r="J189" s="857"/>
      <c r="K189" s="858"/>
      <c r="L189" s="472"/>
      <c r="M189" s="816">
        <f t="shared" si="6"/>
        <v>0</v>
      </c>
      <c r="N189" s="833">
        <f t="shared" si="7"/>
        <v>0</v>
      </c>
      <c r="O189" s="265">
        <f t="shared" si="8"/>
        <v>0</v>
      </c>
      <c r="P189" s="827">
        <f t="shared" si="9"/>
        <v>0</v>
      </c>
    </row>
    <row r="190" spans="1:16" ht="30" hidden="1" customHeight="1" outlineLevel="1">
      <c r="A190" s="118"/>
      <c r="B190" s="118"/>
      <c r="C190" s="828">
        <v>166</v>
      </c>
      <c r="D190" s="829"/>
      <c r="E190" s="830"/>
      <c r="F190" s="830"/>
      <c r="G190" s="854"/>
      <c r="H190" s="1049"/>
      <c r="I190" s="856"/>
      <c r="J190" s="857"/>
      <c r="K190" s="858"/>
      <c r="L190" s="472"/>
      <c r="M190" s="816">
        <f t="shared" si="6"/>
        <v>0</v>
      </c>
      <c r="N190" s="833">
        <f t="shared" si="7"/>
        <v>0</v>
      </c>
      <c r="O190" s="265">
        <f t="shared" si="8"/>
        <v>0</v>
      </c>
      <c r="P190" s="827">
        <f t="shared" si="9"/>
        <v>0</v>
      </c>
    </row>
    <row r="191" spans="1:16" ht="30" hidden="1" customHeight="1" outlineLevel="1">
      <c r="A191" s="118"/>
      <c r="B191" s="118"/>
      <c r="C191" s="828">
        <v>167</v>
      </c>
      <c r="D191" s="829"/>
      <c r="E191" s="830"/>
      <c r="F191" s="830"/>
      <c r="G191" s="854"/>
      <c r="H191" s="1049"/>
      <c r="I191" s="856"/>
      <c r="J191" s="857"/>
      <c r="K191" s="858"/>
      <c r="L191" s="472"/>
      <c r="M191" s="816">
        <f t="shared" si="6"/>
        <v>0</v>
      </c>
      <c r="N191" s="833">
        <f t="shared" si="7"/>
        <v>0</v>
      </c>
      <c r="O191" s="265">
        <f t="shared" si="8"/>
        <v>0</v>
      </c>
      <c r="P191" s="827">
        <f t="shared" si="9"/>
        <v>0</v>
      </c>
    </row>
    <row r="192" spans="1:16" ht="30" hidden="1" customHeight="1" outlineLevel="1">
      <c r="A192" s="118"/>
      <c r="B192" s="118"/>
      <c r="C192" s="828">
        <v>168</v>
      </c>
      <c r="D192" s="829"/>
      <c r="E192" s="830"/>
      <c r="F192" s="830"/>
      <c r="G192" s="854"/>
      <c r="H192" s="1049"/>
      <c r="I192" s="856"/>
      <c r="J192" s="857"/>
      <c r="K192" s="858"/>
      <c r="L192" s="472"/>
      <c r="M192" s="816">
        <f t="shared" si="6"/>
        <v>0</v>
      </c>
      <c r="N192" s="833">
        <f t="shared" si="7"/>
        <v>0</v>
      </c>
      <c r="O192" s="265">
        <f t="shared" si="8"/>
        <v>0</v>
      </c>
      <c r="P192" s="827">
        <f t="shared" si="9"/>
        <v>0</v>
      </c>
    </row>
    <row r="193" spans="1:16" ht="30" hidden="1" customHeight="1" outlineLevel="1">
      <c r="A193" s="118"/>
      <c r="B193" s="118"/>
      <c r="C193" s="828">
        <v>169</v>
      </c>
      <c r="D193" s="829"/>
      <c r="E193" s="830"/>
      <c r="F193" s="830"/>
      <c r="G193" s="854"/>
      <c r="H193" s="1049"/>
      <c r="I193" s="856"/>
      <c r="J193" s="857"/>
      <c r="K193" s="858"/>
      <c r="L193" s="472"/>
      <c r="M193" s="816">
        <f t="shared" si="6"/>
        <v>0</v>
      </c>
      <c r="N193" s="833">
        <f t="shared" si="7"/>
        <v>0</v>
      </c>
      <c r="O193" s="265">
        <f t="shared" si="8"/>
        <v>0</v>
      </c>
      <c r="P193" s="827">
        <f t="shared" si="9"/>
        <v>0</v>
      </c>
    </row>
    <row r="194" spans="1:16" ht="30" hidden="1" customHeight="1" outlineLevel="1">
      <c r="A194" s="118"/>
      <c r="B194" s="118"/>
      <c r="C194" s="828">
        <v>170</v>
      </c>
      <c r="D194" s="829"/>
      <c r="E194" s="830"/>
      <c r="F194" s="830"/>
      <c r="G194" s="854"/>
      <c r="H194" s="1049"/>
      <c r="I194" s="856"/>
      <c r="J194" s="857"/>
      <c r="K194" s="858"/>
      <c r="L194" s="472"/>
      <c r="M194" s="816">
        <f t="shared" si="6"/>
        <v>0</v>
      </c>
      <c r="N194" s="833">
        <f t="shared" si="7"/>
        <v>0</v>
      </c>
      <c r="O194" s="265">
        <f t="shared" si="8"/>
        <v>0</v>
      </c>
      <c r="P194" s="827">
        <f t="shared" si="9"/>
        <v>0</v>
      </c>
    </row>
    <row r="195" spans="1:16" ht="30" hidden="1" customHeight="1" outlineLevel="1">
      <c r="A195" s="118"/>
      <c r="B195" s="118"/>
      <c r="C195" s="828">
        <v>171</v>
      </c>
      <c r="D195" s="829"/>
      <c r="E195" s="830"/>
      <c r="F195" s="830"/>
      <c r="G195" s="854"/>
      <c r="H195" s="1049"/>
      <c r="I195" s="856"/>
      <c r="J195" s="857"/>
      <c r="K195" s="858"/>
      <c r="L195" s="472"/>
      <c r="M195" s="816">
        <f t="shared" si="6"/>
        <v>0</v>
      </c>
      <c r="N195" s="833">
        <f t="shared" si="7"/>
        <v>0</v>
      </c>
      <c r="O195" s="265">
        <f t="shared" si="8"/>
        <v>0</v>
      </c>
      <c r="P195" s="827">
        <f t="shared" si="9"/>
        <v>0</v>
      </c>
    </row>
    <row r="196" spans="1:16" ht="30" hidden="1" customHeight="1" outlineLevel="1">
      <c r="A196" s="118"/>
      <c r="B196" s="118"/>
      <c r="C196" s="828">
        <v>172</v>
      </c>
      <c r="D196" s="829"/>
      <c r="E196" s="830"/>
      <c r="F196" s="830"/>
      <c r="G196" s="854"/>
      <c r="H196" s="1049"/>
      <c r="I196" s="856"/>
      <c r="J196" s="857"/>
      <c r="K196" s="858"/>
      <c r="L196" s="472"/>
      <c r="M196" s="816">
        <f t="shared" si="6"/>
        <v>0</v>
      </c>
      <c r="N196" s="833">
        <f t="shared" si="7"/>
        <v>0</v>
      </c>
      <c r="O196" s="265">
        <f t="shared" si="8"/>
        <v>0</v>
      </c>
      <c r="P196" s="827">
        <f t="shared" si="9"/>
        <v>0</v>
      </c>
    </row>
    <row r="197" spans="1:16" ht="30" hidden="1" customHeight="1" outlineLevel="1">
      <c r="A197" s="118"/>
      <c r="B197" s="118"/>
      <c r="C197" s="828">
        <v>173</v>
      </c>
      <c r="D197" s="829"/>
      <c r="E197" s="830"/>
      <c r="F197" s="830"/>
      <c r="G197" s="854"/>
      <c r="H197" s="1049"/>
      <c r="I197" s="856"/>
      <c r="J197" s="857"/>
      <c r="K197" s="858"/>
      <c r="L197" s="472"/>
      <c r="M197" s="816">
        <f t="shared" si="6"/>
        <v>0</v>
      </c>
      <c r="N197" s="833">
        <f t="shared" si="7"/>
        <v>0</v>
      </c>
      <c r="O197" s="265">
        <f t="shared" si="8"/>
        <v>0</v>
      </c>
      <c r="P197" s="827">
        <f t="shared" si="9"/>
        <v>0</v>
      </c>
    </row>
    <row r="198" spans="1:16" ht="30" hidden="1" customHeight="1" outlineLevel="1">
      <c r="A198" s="118"/>
      <c r="B198" s="118"/>
      <c r="C198" s="828">
        <v>174</v>
      </c>
      <c r="D198" s="829"/>
      <c r="E198" s="830"/>
      <c r="F198" s="830"/>
      <c r="G198" s="854"/>
      <c r="H198" s="1049"/>
      <c r="I198" s="856"/>
      <c r="J198" s="857"/>
      <c r="K198" s="858"/>
      <c r="L198" s="472"/>
      <c r="M198" s="816">
        <f t="shared" si="6"/>
        <v>0</v>
      </c>
      <c r="N198" s="833">
        <f t="shared" si="7"/>
        <v>0</v>
      </c>
      <c r="O198" s="265">
        <f t="shared" si="8"/>
        <v>0</v>
      </c>
      <c r="P198" s="827">
        <f t="shared" si="9"/>
        <v>0</v>
      </c>
    </row>
    <row r="199" spans="1:16" ht="30" hidden="1" customHeight="1" outlineLevel="1">
      <c r="A199" s="118"/>
      <c r="B199" s="118"/>
      <c r="C199" s="828">
        <v>175</v>
      </c>
      <c r="D199" s="829"/>
      <c r="E199" s="830"/>
      <c r="F199" s="830"/>
      <c r="G199" s="854"/>
      <c r="H199" s="1049"/>
      <c r="I199" s="856"/>
      <c r="J199" s="857"/>
      <c r="K199" s="858"/>
      <c r="L199" s="472"/>
      <c r="M199" s="816">
        <f t="shared" si="6"/>
        <v>0</v>
      </c>
      <c r="N199" s="833">
        <f t="shared" si="7"/>
        <v>0</v>
      </c>
      <c r="O199" s="265">
        <f t="shared" si="8"/>
        <v>0</v>
      </c>
      <c r="P199" s="827">
        <f t="shared" si="9"/>
        <v>0</v>
      </c>
    </row>
    <row r="200" spans="1:16" ht="30" hidden="1" customHeight="1" outlineLevel="1">
      <c r="A200" s="118"/>
      <c r="B200" s="118"/>
      <c r="C200" s="828">
        <v>176</v>
      </c>
      <c r="D200" s="829"/>
      <c r="E200" s="830"/>
      <c r="F200" s="830"/>
      <c r="G200" s="854"/>
      <c r="H200" s="1049"/>
      <c r="I200" s="856"/>
      <c r="J200" s="857"/>
      <c r="K200" s="858"/>
      <c r="L200" s="472"/>
      <c r="M200" s="816">
        <f t="shared" si="6"/>
        <v>0</v>
      </c>
      <c r="N200" s="833">
        <f t="shared" si="7"/>
        <v>0</v>
      </c>
      <c r="O200" s="265">
        <f t="shared" si="8"/>
        <v>0</v>
      </c>
      <c r="P200" s="827">
        <f t="shared" si="9"/>
        <v>0</v>
      </c>
    </row>
    <row r="201" spans="1:16" ht="30" hidden="1" customHeight="1" outlineLevel="1">
      <c r="A201" s="118"/>
      <c r="B201" s="118"/>
      <c r="C201" s="828">
        <v>177</v>
      </c>
      <c r="D201" s="829"/>
      <c r="E201" s="830"/>
      <c r="F201" s="830"/>
      <c r="G201" s="854"/>
      <c r="H201" s="1049"/>
      <c r="I201" s="856"/>
      <c r="J201" s="857"/>
      <c r="K201" s="858"/>
      <c r="L201" s="472"/>
      <c r="M201" s="816">
        <f t="shared" si="6"/>
        <v>0</v>
      </c>
      <c r="N201" s="833">
        <f t="shared" si="7"/>
        <v>0</v>
      </c>
      <c r="O201" s="265">
        <f t="shared" si="8"/>
        <v>0</v>
      </c>
      <c r="P201" s="827">
        <f t="shared" si="9"/>
        <v>0</v>
      </c>
    </row>
    <row r="202" spans="1:16" ht="30" hidden="1" customHeight="1" outlineLevel="1">
      <c r="A202" s="118"/>
      <c r="B202" s="118"/>
      <c r="C202" s="828">
        <v>178</v>
      </c>
      <c r="D202" s="829"/>
      <c r="E202" s="830"/>
      <c r="F202" s="830"/>
      <c r="G202" s="854"/>
      <c r="H202" s="1049"/>
      <c r="I202" s="856"/>
      <c r="J202" s="857"/>
      <c r="K202" s="858"/>
      <c r="L202" s="472"/>
      <c r="M202" s="816">
        <f t="shared" si="6"/>
        <v>0</v>
      </c>
      <c r="N202" s="833">
        <f t="shared" si="7"/>
        <v>0</v>
      </c>
      <c r="O202" s="265">
        <f t="shared" si="8"/>
        <v>0</v>
      </c>
      <c r="P202" s="827">
        <f t="shared" si="9"/>
        <v>0</v>
      </c>
    </row>
    <row r="203" spans="1:16" ht="30" hidden="1" customHeight="1" outlineLevel="1">
      <c r="A203" s="118"/>
      <c r="B203" s="118"/>
      <c r="C203" s="828">
        <v>179</v>
      </c>
      <c r="D203" s="829"/>
      <c r="E203" s="830"/>
      <c r="F203" s="830"/>
      <c r="G203" s="854"/>
      <c r="H203" s="1049"/>
      <c r="I203" s="856"/>
      <c r="J203" s="857"/>
      <c r="K203" s="858"/>
      <c r="L203" s="472"/>
      <c r="M203" s="816">
        <f t="shared" si="6"/>
        <v>0</v>
      </c>
      <c r="N203" s="833">
        <f t="shared" si="7"/>
        <v>0</v>
      </c>
      <c r="O203" s="265">
        <f t="shared" si="8"/>
        <v>0</v>
      </c>
      <c r="P203" s="827">
        <f t="shared" si="9"/>
        <v>0</v>
      </c>
    </row>
    <row r="204" spans="1:16" ht="30" hidden="1" customHeight="1" outlineLevel="1">
      <c r="A204" s="118"/>
      <c r="B204" s="118"/>
      <c r="C204" s="828">
        <v>180</v>
      </c>
      <c r="D204" s="829"/>
      <c r="E204" s="830"/>
      <c r="F204" s="830"/>
      <c r="G204" s="854"/>
      <c r="H204" s="1049"/>
      <c r="I204" s="856"/>
      <c r="J204" s="857"/>
      <c r="K204" s="858"/>
      <c r="L204" s="472"/>
      <c r="M204" s="816">
        <f t="shared" si="6"/>
        <v>0</v>
      </c>
      <c r="N204" s="833">
        <f t="shared" si="7"/>
        <v>0</v>
      </c>
      <c r="O204" s="265">
        <f t="shared" si="8"/>
        <v>0</v>
      </c>
      <c r="P204" s="827">
        <f t="shared" si="9"/>
        <v>0</v>
      </c>
    </row>
    <row r="205" spans="1:16" ht="30" hidden="1" customHeight="1" outlineLevel="1">
      <c r="A205" s="118"/>
      <c r="B205" s="118"/>
      <c r="C205" s="828">
        <v>181</v>
      </c>
      <c r="D205" s="829"/>
      <c r="E205" s="830"/>
      <c r="F205" s="830"/>
      <c r="G205" s="854"/>
      <c r="H205" s="1049"/>
      <c r="I205" s="856"/>
      <c r="J205" s="857"/>
      <c r="K205" s="858"/>
      <c r="L205" s="472"/>
      <c r="M205" s="816">
        <f t="shared" si="6"/>
        <v>0</v>
      </c>
      <c r="N205" s="833">
        <f t="shared" si="7"/>
        <v>0</v>
      </c>
      <c r="O205" s="265">
        <f t="shared" si="8"/>
        <v>0</v>
      </c>
      <c r="P205" s="827">
        <f t="shared" si="9"/>
        <v>0</v>
      </c>
    </row>
    <row r="206" spans="1:16" ht="30" hidden="1" customHeight="1" outlineLevel="1">
      <c r="A206" s="118"/>
      <c r="B206" s="118"/>
      <c r="C206" s="828">
        <v>182</v>
      </c>
      <c r="D206" s="829"/>
      <c r="E206" s="830"/>
      <c r="F206" s="830"/>
      <c r="G206" s="854"/>
      <c r="H206" s="1049"/>
      <c r="I206" s="856"/>
      <c r="J206" s="857"/>
      <c r="K206" s="858"/>
      <c r="L206" s="472"/>
      <c r="M206" s="816">
        <f t="shared" si="6"/>
        <v>0</v>
      </c>
      <c r="N206" s="833">
        <f t="shared" si="7"/>
        <v>0</v>
      </c>
      <c r="O206" s="265">
        <f t="shared" si="8"/>
        <v>0</v>
      </c>
      <c r="P206" s="827">
        <f t="shared" si="9"/>
        <v>0</v>
      </c>
    </row>
    <row r="207" spans="1:16" ht="30" hidden="1" customHeight="1" outlineLevel="1">
      <c r="A207" s="118"/>
      <c r="B207" s="118"/>
      <c r="C207" s="828">
        <v>183</v>
      </c>
      <c r="D207" s="829"/>
      <c r="E207" s="830"/>
      <c r="F207" s="830"/>
      <c r="G207" s="854"/>
      <c r="H207" s="1049"/>
      <c r="I207" s="856"/>
      <c r="J207" s="857"/>
      <c r="K207" s="858"/>
      <c r="L207" s="472"/>
      <c r="M207" s="816">
        <f t="shared" si="6"/>
        <v>0</v>
      </c>
      <c r="N207" s="833">
        <f t="shared" si="7"/>
        <v>0</v>
      </c>
      <c r="O207" s="265">
        <f t="shared" si="8"/>
        <v>0</v>
      </c>
      <c r="P207" s="827">
        <f t="shared" si="9"/>
        <v>0</v>
      </c>
    </row>
    <row r="208" spans="1:16" ht="30" hidden="1" customHeight="1" outlineLevel="1">
      <c r="A208" s="118"/>
      <c r="B208" s="118"/>
      <c r="C208" s="828">
        <v>184</v>
      </c>
      <c r="D208" s="829"/>
      <c r="E208" s="830"/>
      <c r="F208" s="830"/>
      <c r="G208" s="854"/>
      <c r="H208" s="1049"/>
      <c r="I208" s="856"/>
      <c r="J208" s="857"/>
      <c r="K208" s="858"/>
      <c r="L208" s="472"/>
      <c r="M208" s="816">
        <f t="shared" si="6"/>
        <v>0</v>
      </c>
      <c r="N208" s="833">
        <f t="shared" si="7"/>
        <v>0</v>
      </c>
      <c r="O208" s="265">
        <f t="shared" si="8"/>
        <v>0</v>
      </c>
      <c r="P208" s="827">
        <f t="shared" si="9"/>
        <v>0</v>
      </c>
    </row>
    <row r="209" spans="1:16" ht="30" hidden="1" customHeight="1" outlineLevel="1">
      <c r="A209" s="118"/>
      <c r="B209" s="118"/>
      <c r="C209" s="828">
        <v>185</v>
      </c>
      <c r="D209" s="829"/>
      <c r="E209" s="830"/>
      <c r="F209" s="830"/>
      <c r="G209" s="854"/>
      <c r="H209" s="1049"/>
      <c r="I209" s="856"/>
      <c r="J209" s="857"/>
      <c r="K209" s="858"/>
      <c r="L209" s="472"/>
      <c r="M209" s="816">
        <f t="shared" si="6"/>
        <v>0</v>
      </c>
      <c r="N209" s="833">
        <f t="shared" si="7"/>
        <v>0</v>
      </c>
      <c r="O209" s="265">
        <f t="shared" si="8"/>
        <v>0</v>
      </c>
      <c r="P209" s="827">
        <f t="shared" si="9"/>
        <v>0</v>
      </c>
    </row>
    <row r="210" spans="1:16" ht="30" hidden="1" customHeight="1" outlineLevel="1">
      <c r="A210" s="118"/>
      <c r="B210" s="118"/>
      <c r="C210" s="828">
        <v>186</v>
      </c>
      <c r="D210" s="829"/>
      <c r="E210" s="830"/>
      <c r="F210" s="830"/>
      <c r="G210" s="854"/>
      <c r="H210" s="1049"/>
      <c r="I210" s="856"/>
      <c r="J210" s="857"/>
      <c r="K210" s="858"/>
      <c r="L210" s="472"/>
      <c r="M210" s="816">
        <f t="shared" si="6"/>
        <v>0</v>
      </c>
      <c r="N210" s="833">
        <f t="shared" si="7"/>
        <v>0</v>
      </c>
      <c r="O210" s="265">
        <f t="shared" si="8"/>
        <v>0</v>
      </c>
      <c r="P210" s="827">
        <f t="shared" si="9"/>
        <v>0</v>
      </c>
    </row>
    <row r="211" spans="1:16" ht="30" hidden="1" customHeight="1" outlineLevel="1">
      <c r="A211" s="118"/>
      <c r="B211" s="118"/>
      <c r="C211" s="828">
        <v>187</v>
      </c>
      <c r="D211" s="829"/>
      <c r="E211" s="830"/>
      <c r="F211" s="830"/>
      <c r="G211" s="854"/>
      <c r="H211" s="1049"/>
      <c r="I211" s="856"/>
      <c r="J211" s="857"/>
      <c r="K211" s="858"/>
      <c r="L211" s="472"/>
      <c r="M211" s="816">
        <f t="shared" si="6"/>
        <v>0</v>
      </c>
      <c r="N211" s="833">
        <f t="shared" si="7"/>
        <v>0</v>
      </c>
      <c r="O211" s="265">
        <f t="shared" si="8"/>
        <v>0</v>
      </c>
      <c r="P211" s="827">
        <f t="shared" si="9"/>
        <v>0</v>
      </c>
    </row>
    <row r="212" spans="1:16" ht="30" hidden="1" customHeight="1" outlineLevel="1">
      <c r="A212" s="118"/>
      <c r="B212" s="118"/>
      <c r="C212" s="828">
        <v>188</v>
      </c>
      <c r="D212" s="829"/>
      <c r="E212" s="830"/>
      <c r="F212" s="830"/>
      <c r="G212" s="854"/>
      <c r="H212" s="1049"/>
      <c r="I212" s="856"/>
      <c r="J212" s="857"/>
      <c r="K212" s="858"/>
      <c r="L212" s="472"/>
      <c r="M212" s="816">
        <f t="shared" si="6"/>
        <v>0</v>
      </c>
      <c r="N212" s="833">
        <f t="shared" si="7"/>
        <v>0</v>
      </c>
      <c r="O212" s="265">
        <f t="shared" si="8"/>
        <v>0</v>
      </c>
      <c r="P212" s="827">
        <f t="shared" si="9"/>
        <v>0</v>
      </c>
    </row>
    <row r="213" spans="1:16" ht="30" hidden="1" customHeight="1" outlineLevel="1">
      <c r="A213" s="118"/>
      <c r="B213" s="118"/>
      <c r="C213" s="828">
        <v>189</v>
      </c>
      <c r="D213" s="829"/>
      <c r="E213" s="830"/>
      <c r="F213" s="830"/>
      <c r="G213" s="854"/>
      <c r="H213" s="1049"/>
      <c r="I213" s="856"/>
      <c r="J213" s="857"/>
      <c r="K213" s="858"/>
      <c r="L213" s="472"/>
      <c r="M213" s="816">
        <f t="shared" si="6"/>
        <v>0</v>
      </c>
      <c r="N213" s="833">
        <f t="shared" si="7"/>
        <v>0</v>
      </c>
      <c r="O213" s="265">
        <f t="shared" si="8"/>
        <v>0</v>
      </c>
      <c r="P213" s="827">
        <f t="shared" si="9"/>
        <v>0</v>
      </c>
    </row>
    <row r="214" spans="1:16" ht="30" hidden="1" customHeight="1" outlineLevel="1">
      <c r="A214" s="118"/>
      <c r="B214" s="118"/>
      <c r="C214" s="828">
        <v>190</v>
      </c>
      <c r="D214" s="829"/>
      <c r="E214" s="830"/>
      <c r="F214" s="830"/>
      <c r="G214" s="854"/>
      <c r="H214" s="1049"/>
      <c r="I214" s="856"/>
      <c r="J214" s="857"/>
      <c r="K214" s="858"/>
      <c r="L214" s="472"/>
      <c r="M214" s="816">
        <f t="shared" si="6"/>
        <v>0</v>
      </c>
      <c r="N214" s="833">
        <f t="shared" si="7"/>
        <v>0</v>
      </c>
      <c r="O214" s="265">
        <f t="shared" si="8"/>
        <v>0</v>
      </c>
      <c r="P214" s="827">
        <f t="shared" si="9"/>
        <v>0</v>
      </c>
    </row>
    <row r="215" spans="1:16" ht="30" hidden="1" customHeight="1" outlineLevel="1">
      <c r="A215" s="118"/>
      <c r="B215" s="118"/>
      <c r="C215" s="828">
        <v>191</v>
      </c>
      <c r="D215" s="829"/>
      <c r="E215" s="830"/>
      <c r="F215" s="830"/>
      <c r="G215" s="854"/>
      <c r="H215" s="1049"/>
      <c r="I215" s="856"/>
      <c r="J215" s="857"/>
      <c r="K215" s="858"/>
      <c r="L215" s="472"/>
      <c r="M215" s="816">
        <f t="shared" si="6"/>
        <v>0</v>
      </c>
      <c r="N215" s="833">
        <f t="shared" si="7"/>
        <v>0</v>
      </c>
      <c r="O215" s="265">
        <f t="shared" si="8"/>
        <v>0</v>
      </c>
      <c r="P215" s="827">
        <f t="shared" si="9"/>
        <v>0</v>
      </c>
    </row>
    <row r="216" spans="1:16" ht="30" hidden="1" customHeight="1" outlineLevel="1">
      <c r="A216" s="118"/>
      <c r="B216" s="118"/>
      <c r="C216" s="828">
        <v>192</v>
      </c>
      <c r="D216" s="829"/>
      <c r="E216" s="830"/>
      <c r="F216" s="830"/>
      <c r="G216" s="854"/>
      <c r="H216" s="1049"/>
      <c r="I216" s="856"/>
      <c r="J216" s="857"/>
      <c r="K216" s="858"/>
      <c r="L216" s="472"/>
      <c r="M216" s="816">
        <f t="shared" si="6"/>
        <v>0</v>
      </c>
      <c r="N216" s="833">
        <f t="shared" si="7"/>
        <v>0</v>
      </c>
      <c r="O216" s="265">
        <f t="shared" si="8"/>
        <v>0</v>
      </c>
      <c r="P216" s="827">
        <f t="shared" si="9"/>
        <v>0</v>
      </c>
    </row>
    <row r="217" spans="1:16" ht="30" hidden="1" customHeight="1" outlineLevel="1">
      <c r="A217" s="118"/>
      <c r="B217" s="118"/>
      <c r="C217" s="828">
        <v>193</v>
      </c>
      <c r="D217" s="829"/>
      <c r="E217" s="830"/>
      <c r="F217" s="830"/>
      <c r="G217" s="854"/>
      <c r="H217" s="1049"/>
      <c r="I217" s="856"/>
      <c r="J217" s="857"/>
      <c r="K217" s="858"/>
      <c r="L217" s="472"/>
      <c r="M217" s="816">
        <f t="shared" si="6"/>
        <v>0</v>
      </c>
      <c r="N217" s="833">
        <f t="shared" si="7"/>
        <v>0</v>
      </c>
      <c r="O217" s="265">
        <f t="shared" si="8"/>
        <v>0</v>
      </c>
      <c r="P217" s="827">
        <f t="shared" si="9"/>
        <v>0</v>
      </c>
    </row>
    <row r="218" spans="1:16" ht="30" hidden="1" customHeight="1" outlineLevel="1">
      <c r="A218" s="118"/>
      <c r="B218" s="118"/>
      <c r="C218" s="828">
        <v>194</v>
      </c>
      <c r="D218" s="829"/>
      <c r="E218" s="830"/>
      <c r="F218" s="830"/>
      <c r="G218" s="854"/>
      <c r="H218" s="1049"/>
      <c r="I218" s="856"/>
      <c r="J218" s="857"/>
      <c r="K218" s="858"/>
      <c r="L218" s="472"/>
      <c r="M218" s="816">
        <f t="shared" si="6"/>
        <v>0</v>
      </c>
      <c r="N218" s="833">
        <f t="shared" si="7"/>
        <v>0</v>
      </c>
      <c r="O218" s="265">
        <f t="shared" si="8"/>
        <v>0</v>
      </c>
      <c r="P218" s="827">
        <f t="shared" si="9"/>
        <v>0</v>
      </c>
    </row>
    <row r="219" spans="1:16" ht="30" hidden="1" customHeight="1" outlineLevel="1">
      <c r="A219" s="118"/>
      <c r="B219" s="118"/>
      <c r="C219" s="828">
        <v>195</v>
      </c>
      <c r="D219" s="829"/>
      <c r="E219" s="830"/>
      <c r="F219" s="830"/>
      <c r="G219" s="854"/>
      <c r="H219" s="1049"/>
      <c r="I219" s="856"/>
      <c r="J219" s="857"/>
      <c r="K219" s="858"/>
      <c r="L219" s="472"/>
      <c r="M219" s="816">
        <f t="shared" si="6"/>
        <v>0</v>
      </c>
      <c r="N219" s="833">
        <f t="shared" si="7"/>
        <v>0</v>
      </c>
      <c r="O219" s="265">
        <f t="shared" si="8"/>
        <v>0</v>
      </c>
      <c r="P219" s="827">
        <f t="shared" si="9"/>
        <v>0</v>
      </c>
    </row>
    <row r="220" spans="1:16" ht="30" hidden="1" customHeight="1" outlineLevel="1">
      <c r="A220" s="118"/>
      <c r="B220" s="118"/>
      <c r="C220" s="828">
        <v>196</v>
      </c>
      <c r="D220" s="829"/>
      <c r="E220" s="830"/>
      <c r="F220" s="830"/>
      <c r="G220" s="854"/>
      <c r="H220" s="1049"/>
      <c r="I220" s="856"/>
      <c r="J220" s="857"/>
      <c r="K220" s="858"/>
      <c r="L220" s="472"/>
      <c r="M220" s="816">
        <f t="shared" si="6"/>
        <v>0</v>
      </c>
      <c r="N220" s="833">
        <f t="shared" si="7"/>
        <v>0</v>
      </c>
      <c r="O220" s="265">
        <f t="shared" si="8"/>
        <v>0</v>
      </c>
      <c r="P220" s="827">
        <f t="shared" si="9"/>
        <v>0</v>
      </c>
    </row>
    <row r="221" spans="1:16" ht="30" hidden="1" customHeight="1" outlineLevel="1">
      <c r="A221" s="118"/>
      <c r="B221" s="118"/>
      <c r="C221" s="828">
        <v>197</v>
      </c>
      <c r="D221" s="829"/>
      <c r="E221" s="830"/>
      <c r="F221" s="830"/>
      <c r="G221" s="854"/>
      <c r="H221" s="1049"/>
      <c r="I221" s="856"/>
      <c r="J221" s="857"/>
      <c r="K221" s="858"/>
      <c r="L221" s="472"/>
      <c r="M221" s="816">
        <f t="shared" si="6"/>
        <v>0</v>
      </c>
      <c r="N221" s="833">
        <f t="shared" si="7"/>
        <v>0</v>
      </c>
      <c r="O221" s="265">
        <f t="shared" si="8"/>
        <v>0</v>
      </c>
      <c r="P221" s="827">
        <f t="shared" si="9"/>
        <v>0</v>
      </c>
    </row>
    <row r="222" spans="1:16" ht="30" hidden="1" customHeight="1" outlineLevel="1">
      <c r="A222" s="118"/>
      <c r="B222" s="118"/>
      <c r="C222" s="828">
        <v>198</v>
      </c>
      <c r="D222" s="829"/>
      <c r="E222" s="830"/>
      <c r="F222" s="830"/>
      <c r="G222" s="854"/>
      <c r="H222" s="1049"/>
      <c r="I222" s="856"/>
      <c r="J222" s="857"/>
      <c r="K222" s="858"/>
      <c r="L222" s="472"/>
      <c r="M222" s="816">
        <f t="shared" si="6"/>
        <v>0</v>
      </c>
      <c r="N222" s="833">
        <f t="shared" si="7"/>
        <v>0</v>
      </c>
      <c r="O222" s="265">
        <f t="shared" si="8"/>
        <v>0</v>
      </c>
      <c r="P222" s="827">
        <f t="shared" si="9"/>
        <v>0</v>
      </c>
    </row>
    <row r="223" spans="1:16" ht="30" hidden="1" customHeight="1" outlineLevel="1">
      <c r="A223" s="118"/>
      <c r="B223" s="118"/>
      <c r="C223" s="828">
        <v>199</v>
      </c>
      <c r="D223" s="829"/>
      <c r="E223" s="830"/>
      <c r="F223" s="830"/>
      <c r="G223" s="854"/>
      <c r="H223" s="1049"/>
      <c r="I223" s="856"/>
      <c r="J223" s="857"/>
      <c r="K223" s="858"/>
      <c r="L223" s="472"/>
      <c r="M223" s="816">
        <f t="shared" si="6"/>
        <v>0</v>
      </c>
      <c r="N223" s="833">
        <f t="shared" si="7"/>
        <v>0</v>
      </c>
      <c r="O223" s="265">
        <f t="shared" si="8"/>
        <v>0</v>
      </c>
      <c r="P223" s="827">
        <f t="shared" si="9"/>
        <v>0</v>
      </c>
    </row>
    <row r="224" spans="1:16" ht="30" hidden="1" customHeight="1" outlineLevel="1">
      <c r="A224" s="118"/>
      <c r="B224" s="118"/>
      <c r="C224" s="828">
        <v>200</v>
      </c>
      <c r="D224" s="829"/>
      <c r="E224" s="830"/>
      <c r="F224" s="830"/>
      <c r="G224" s="854"/>
      <c r="H224" s="1049"/>
      <c r="I224" s="856"/>
      <c r="J224" s="857"/>
      <c r="K224" s="858"/>
      <c r="L224" s="472"/>
      <c r="M224" s="816">
        <f t="shared" si="6"/>
        <v>0</v>
      </c>
      <c r="N224" s="833">
        <f t="shared" si="7"/>
        <v>0</v>
      </c>
      <c r="O224" s="265">
        <f t="shared" si="8"/>
        <v>0</v>
      </c>
      <c r="P224" s="827">
        <f t="shared" si="9"/>
        <v>0</v>
      </c>
    </row>
    <row r="225" spans="1:16" ht="30" hidden="1" customHeight="1" outlineLevel="1">
      <c r="A225" s="118"/>
      <c r="B225" s="118"/>
      <c r="C225" s="828">
        <v>201</v>
      </c>
      <c r="D225" s="829"/>
      <c r="E225" s="830"/>
      <c r="F225" s="830"/>
      <c r="G225" s="854"/>
      <c r="H225" s="1049"/>
      <c r="I225" s="856"/>
      <c r="J225" s="857"/>
      <c r="K225" s="858"/>
      <c r="L225" s="472"/>
      <c r="M225" s="816">
        <f t="shared" si="6"/>
        <v>0</v>
      </c>
      <c r="N225" s="833">
        <f t="shared" si="7"/>
        <v>0</v>
      </c>
      <c r="O225" s="265">
        <f t="shared" si="8"/>
        <v>0</v>
      </c>
      <c r="P225" s="827">
        <f t="shared" si="9"/>
        <v>0</v>
      </c>
    </row>
    <row r="226" spans="1:16" ht="30" hidden="1" customHeight="1" outlineLevel="1">
      <c r="A226" s="118"/>
      <c r="B226" s="118"/>
      <c r="C226" s="828">
        <v>202</v>
      </c>
      <c r="D226" s="829"/>
      <c r="E226" s="830"/>
      <c r="F226" s="830"/>
      <c r="G226" s="854"/>
      <c r="H226" s="1049"/>
      <c r="I226" s="856"/>
      <c r="J226" s="857"/>
      <c r="K226" s="858"/>
      <c r="L226" s="472"/>
      <c r="M226" s="816">
        <f t="shared" si="6"/>
        <v>0</v>
      </c>
      <c r="N226" s="833">
        <f t="shared" si="7"/>
        <v>0</v>
      </c>
      <c r="O226" s="265">
        <f t="shared" si="8"/>
        <v>0</v>
      </c>
      <c r="P226" s="827">
        <f t="shared" si="9"/>
        <v>0</v>
      </c>
    </row>
    <row r="227" spans="1:16" ht="30" hidden="1" customHeight="1" outlineLevel="1">
      <c r="A227" s="118"/>
      <c r="B227" s="118"/>
      <c r="C227" s="828">
        <v>203</v>
      </c>
      <c r="D227" s="829"/>
      <c r="E227" s="830"/>
      <c r="F227" s="830"/>
      <c r="G227" s="854"/>
      <c r="H227" s="1049"/>
      <c r="I227" s="856"/>
      <c r="J227" s="857"/>
      <c r="K227" s="858"/>
      <c r="L227" s="472"/>
      <c r="M227" s="816">
        <f t="shared" si="6"/>
        <v>0</v>
      </c>
      <c r="N227" s="833">
        <f t="shared" si="7"/>
        <v>0</v>
      </c>
      <c r="O227" s="265">
        <f t="shared" si="8"/>
        <v>0</v>
      </c>
      <c r="P227" s="827">
        <f t="shared" si="9"/>
        <v>0</v>
      </c>
    </row>
    <row r="228" spans="1:16" ht="30" hidden="1" customHeight="1" outlineLevel="1">
      <c r="A228" s="118"/>
      <c r="B228" s="118"/>
      <c r="C228" s="828">
        <v>204</v>
      </c>
      <c r="D228" s="829"/>
      <c r="E228" s="830"/>
      <c r="F228" s="830"/>
      <c r="G228" s="854"/>
      <c r="H228" s="1049"/>
      <c r="I228" s="856"/>
      <c r="J228" s="857"/>
      <c r="K228" s="858"/>
      <c r="L228" s="472"/>
      <c r="M228" s="816">
        <f t="shared" si="6"/>
        <v>0</v>
      </c>
      <c r="N228" s="833">
        <f t="shared" si="7"/>
        <v>0</v>
      </c>
      <c r="O228" s="265">
        <f t="shared" si="8"/>
        <v>0</v>
      </c>
      <c r="P228" s="827">
        <f t="shared" si="9"/>
        <v>0</v>
      </c>
    </row>
    <row r="229" spans="1:16" ht="30" hidden="1" customHeight="1" outlineLevel="1">
      <c r="A229" s="118"/>
      <c r="B229" s="118"/>
      <c r="C229" s="828">
        <v>205</v>
      </c>
      <c r="D229" s="829"/>
      <c r="E229" s="830"/>
      <c r="F229" s="830"/>
      <c r="G229" s="854"/>
      <c r="H229" s="1049"/>
      <c r="I229" s="856"/>
      <c r="J229" s="857"/>
      <c r="K229" s="858"/>
      <c r="L229" s="472"/>
      <c r="M229" s="816">
        <f t="shared" si="6"/>
        <v>0</v>
      </c>
      <c r="N229" s="833">
        <f t="shared" si="7"/>
        <v>0</v>
      </c>
      <c r="O229" s="265">
        <f t="shared" si="8"/>
        <v>0</v>
      </c>
      <c r="P229" s="827">
        <f t="shared" si="9"/>
        <v>0</v>
      </c>
    </row>
    <row r="230" spans="1:16" ht="30" hidden="1" customHeight="1" outlineLevel="1">
      <c r="A230" s="118"/>
      <c r="B230" s="118"/>
      <c r="C230" s="828">
        <v>206</v>
      </c>
      <c r="D230" s="829"/>
      <c r="E230" s="830"/>
      <c r="F230" s="830"/>
      <c r="G230" s="854"/>
      <c r="H230" s="1049"/>
      <c r="I230" s="856"/>
      <c r="J230" s="857"/>
      <c r="K230" s="858"/>
      <c r="L230" s="472"/>
      <c r="M230" s="816">
        <f t="shared" si="6"/>
        <v>0</v>
      </c>
      <c r="N230" s="833">
        <f t="shared" si="7"/>
        <v>0</v>
      </c>
      <c r="O230" s="265">
        <f t="shared" si="8"/>
        <v>0</v>
      </c>
      <c r="P230" s="827">
        <f t="shared" si="9"/>
        <v>0</v>
      </c>
    </row>
    <row r="231" spans="1:16" ht="30" hidden="1" customHeight="1" outlineLevel="1">
      <c r="A231" s="118"/>
      <c r="B231" s="118"/>
      <c r="C231" s="828">
        <v>207</v>
      </c>
      <c r="D231" s="829"/>
      <c r="E231" s="830"/>
      <c r="F231" s="830"/>
      <c r="G231" s="854"/>
      <c r="H231" s="1049"/>
      <c r="I231" s="856"/>
      <c r="J231" s="857"/>
      <c r="K231" s="858"/>
      <c r="L231" s="472"/>
      <c r="M231" s="816">
        <f t="shared" si="6"/>
        <v>0</v>
      </c>
      <c r="N231" s="833">
        <f t="shared" si="7"/>
        <v>0</v>
      </c>
      <c r="O231" s="265">
        <f t="shared" si="8"/>
        <v>0</v>
      </c>
      <c r="P231" s="827">
        <f t="shared" si="9"/>
        <v>0</v>
      </c>
    </row>
    <row r="232" spans="1:16" ht="30" hidden="1" customHeight="1" outlineLevel="1">
      <c r="A232" s="118"/>
      <c r="B232" s="118"/>
      <c r="C232" s="828">
        <v>208</v>
      </c>
      <c r="D232" s="829"/>
      <c r="E232" s="830"/>
      <c r="F232" s="830"/>
      <c r="G232" s="854"/>
      <c r="H232" s="1049"/>
      <c r="I232" s="856"/>
      <c r="J232" s="857"/>
      <c r="K232" s="858"/>
      <c r="L232" s="472"/>
      <c r="M232" s="816">
        <f t="shared" si="6"/>
        <v>0</v>
      </c>
      <c r="N232" s="833">
        <f t="shared" si="7"/>
        <v>0</v>
      </c>
      <c r="O232" s="265">
        <f t="shared" si="8"/>
        <v>0</v>
      </c>
      <c r="P232" s="827">
        <f t="shared" si="9"/>
        <v>0</v>
      </c>
    </row>
    <row r="233" spans="1:16" ht="30" hidden="1" customHeight="1" outlineLevel="1">
      <c r="A233" s="118"/>
      <c r="B233" s="118"/>
      <c r="C233" s="828">
        <v>209</v>
      </c>
      <c r="D233" s="829"/>
      <c r="E233" s="830"/>
      <c r="F233" s="830"/>
      <c r="G233" s="854"/>
      <c r="H233" s="1049"/>
      <c r="I233" s="856"/>
      <c r="J233" s="857"/>
      <c r="K233" s="858"/>
      <c r="L233" s="472"/>
      <c r="M233" s="816">
        <f t="shared" si="6"/>
        <v>0</v>
      </c>
      <c r="N233" s="833">
        <f t="shared" si="7"/>
        <v>0</v>
      </c>
      <c r="O233" s="265">
        <f t="shared" si="8"/>
        <v>0</v>
      </c>
      <c r="P233" s="827">
        <f t="shared" si="9"/>
        <v>0</v>
      </c>
    </row>
    <row r="234" spans="1:16" ht="30" hidden="1" customHeight="1" outlineLevel="1">
      <c r="A234" s="118"/>
      <c r="B234" s="118"/>
      <c r="C234" s="828">
        <v>210</v>
      </c>
      <c r="D234" s="829"/>
      <c r="E234" s="830"/>
      <c r="F234" s="830"/>
      <c r="G234" s="854"/>
      <c r="H234" s="1049"/>
      <c r="I234" s="856"/>
      <c r="J234" s="857"/>
      <c r="K234" s="858"/>
      <c r="L234" s="472"/>
      <c r="M234" s="816">
        <f t="shared" si="6"/>
        <v>0</v>
      </c>
      <c r="N234" s="833">
        <f t="shared" si="7"/>
        <v>0</v>
      </c>
      <c r="O234" s="265">
        <f t="shared" si="8"/>
        <v>0</v>
      </c>
      <c r="P234" s="827">
        <f t="shared" si="9"/>
        <v>0</v>
      </c>
    </row>
    <row r="235" spans="1:16" ht="30" hidden="1" customHeight="1" outlineLevel="1">
      <c r="A235" s="118"/>
      <c r="B235" s="118"/>
      <c r="C235" s="828">
        <v>211</v>
      </c>
      <c r="D235" s="829"/>
      <c r="E235" s="830"/>
      <c r="F235" s="830"/>
      <c r="G235" s="854"/>
      <c r="H235" s="1049"/>
      <c r="I235" s="856"/>
      <c r="J235" s="857"/>
      <c r="K235" s="858"/>
      <c r="L235" s="472"/>
      <c r="M235" s="816">
        <f t="shared" si="6"/>
        <v>0</v>
      </c>
      <c r="N235" s="833">
        <f t="shared" si="7"/>
        <v>0</v>
      </c>
      <c r="O235" s="265">
        <f t="shared" si="8"/>
        <v>0</v>
      </c>
      <c r="P235" s="827">
        <f t="shared" si="9"/>
        <v>0</v>
      </c>
    </row>
    <row r="236" spans="1:16" ht="30" hidden="1" customHeight="1" outlineLevel="1">
      <c r="A236" s="118"/>
      <c r="B236" s="118"/>
      <c r="C236" s="828">
        <v>212</v>
      </c>
      <c r="D236" s="829"/>
      <c r="E236" s="830"/>
      <c r="F236" s="830"/>
      <c r="G236" s="854"/>
      <c r="H236" s="1049"/>
      <c r="I236" s="856"/>
      <c r="J236" s="857"/>
      <c r="K236" s="858"/>
      <c r="L236" s="472"/>
      <c r="M236" s="816">
        <f t="shared" si="6"/>
        <v>0</v>
      </c>
      <c r="N236" s="833">
        <f t="shared" si="7"/>
        <v>0</v>
      </c>
      <c r="O236" s="265">
        <f t="shared" si="8"/>
        <v>0</v>
      </c>
      <c r="P236" s="827">
        <f t="shared" si="9"/>
        <v>0</v>
      </c>
    </row>
    <row r="237" spans="1:16" ht="30" hidden="1" customHeight="1" outlineLevel="1">
      <c r="A237" s="118"/>
      <c r="B237" s="118"/>
      <c r="C237" s="828">
        <v>213</v>
      </c>
      <c r="D237" s="829"/>
      <c r="E237" s="830"/>
      <c r="F237" s="830"/>
      <c r="G237" s="854"/>
      <c r="H237" s="1049"/>
      <c r="I237" s="856"/>
      <c r="J237" s="857"/>
      <c r="K237" s="858"/>
      <c r="L237" s="472"/>
      <c r="M237" s="816">
        <f t="shared" si="6"/>
        <v>0</v>
      </c>
      <c r="N237" s="833">
        <f t="shared" si="7"/>
        <v>0</v>
      </c>
      <c r="O237" s="265">
        <f t="shared" si="8"/>
        <v>0</v>
      </c>
      <c r="P237" s="827">
        <f t="shared" si="9"/>
        <v>0</v>
      </c>
    </row>
    <row r="238" spans="1:16" ht="30" hidden="1" customHeight="1" outlineLevel="1">
      <c r="A238" s="118"/>
      <c r="B238" s="118"/>
      <c r="C238" s="828">
        <v>214</v>
      </c>
      <c r="D238" s="829"/>
      <c r="E238" s="830"/>
      <c r="F238" s="830"/>
      <c r="G238" s="854"/>
      <c r="H238" s="1049"/>
      <c r="I238" s="856"/>
      <c r="J238" s="857"/>
      <c r="K238" s="858"/>
      <c r="L238" s="472"/>
      <c r="M238" s="816">
        <f t="shared" ref="M238:M301" si="10">IF($H238&gt;0,E238,)</f>
        <v>0</v>
      </c>
      <c r="N238" s="833">
        <f t="shared" ref="N238:N301" si="11">IF($H238&gt;0,F238,)</f>
        <v>0</v>
      </c>
      <c r="O238" s="265">
        <f t="shared" ref="O238:O301" si="12">IF(H238&gt;0,ROUND(G238,),)</f>
        <v>0</v>
      </c>
      <c r="P238" s="827">
        <f t="shared" ref="P238:P301" si="13">ROUND(O238*H238%,)</f>
        <v>0</v>
      </c>
    </row>
    <row r="239" spans="1:16" ht="30" hidden="1" customHeight="1" outlineLevel="1">
      <c r="A239" s="118"/>
      <c r="B239" s="118"/>
      <c r="C239" s="828">
        <v>215</v>
      </c>
      <c r="D239" s="829"/>
      <c r="E239" s="830"/>
      <c r="F239" s="830"/>
      <c r="G239" s="854"/>
      <c r="H239" s="1049"/>
      <c r="I239" s="856"/>
      <c r="J239" s="857"/>
      <c r="K239" s="858"/>
      <c r="L239" s="472"/>
      <c r="M239" s="816">
        <f t="shared" si="10"/>
        <v>0</v>
      </c>
      <c r="N239" s="833">
        <f t="shared" si="11"/>
        <v>0</v>
      </c>
      <c r="O239" s="265">
        <f t="shared" si="12"/>
        <v>0</v>
      </c>
      <c r="P239" s="827">
        <f t="shared" si="13"/>
        <v>0</v>
      </c>
    </row>
    <row r="240" spans="1:16" ht="30" hidden="1" customHeight="1" outlineLevel="1">
      <c r="A240" s="118"/>
      <c r="B240" s="118"/>
      <c r="C240" s="828">
        <v>216</v>
      </c>
      <c r="D240" s="829"/>
      <c r="E240" s="830"/>
      <c r="F240" s="830"/>
      <c r="G240" s="854"/>
      <c r="H240" s="1049"/>
      <c r="I240" s="856"/>
      <c r="J240" s="857"/>
      <c r="K240" s="858"/>
      <c r="L240" s="472"/>
      <c r="M240" s="816">
        <f t="shared" si="10"/>
        <v>0</v>
      </c>
      <c r="N240" s="833">
        <f t="shared" si="11"/>
        <v>0</v>
      </c>
      <c r="O240" s="265">
        <f t="shared" si="12"/>
        <v>0</v>
      </c>
      <c r="P240" s="827">
        <f t="shared" si="13"/>
        <v>0</v>
      </c>
    </row>
    <row r="241" spans="1:16" ht="30" hidden="1" customHeight="1" outlineLevel="1">
      <c r="A241" s="118"/>
      <c r="B241" s="118"/>
      <c r="C241" s="828">
        <v>217</v>
      </c>
      <c r="D241" s="829"/>
      <c r="E241" s="830"/>
      <c r="F241" s="830"/>
      <c r="G241" s="854"/>
      <c r="H241" s="1049"/>
      <c r="I241" s="856"/>
      <c r="J241" s="857"/>
      <c r="K241" s="858"/>
      <c r="L241" s="472"/>
      <c r="M241" s="816">
        <f t="shared" si="10"/>
        <v>0</v>
      </c>
      <c r="N241" s="833">
        <f t="shared" si="11"/>
        <v>0</v>
      </c>
      <c r="O241" s="265">
        <f t="shared" si="12"/>
        <v>0</v>
      </c>
      <c r="P241" s="827">
        <f t="shared" si="13"/>
        <v>0</v>
      </c>
    </row>
    <row r="242" spans="1:16" ht="30" hidden="1" customHeight="1" outlineLevel="1">
      <c r="A242" s="118"/>
      <c r="B242" s="118"/>
      <c r="C242" s="828">
        <v>218</v>
      </c>
      <c r="D242" s="829"/>
      <c r="E242" s="830"/>
      <c r="F242" s="830"/>
      <c r="G242" s="854"/>
      <c r="H242" s="1049"/>
      <c r="I242" s="856"/>
      <c r="J242" s="857"/>
      <c r="K242" s="858"/>
      <c r="L242" s="472"/>
      <c r="M242" s="816">
        <f t="shared" si="10"/>
        <v>0</v>
      </c>
      <c r="N242" s="833">
        <f t="shared" si="11"/>
        <v>0</v>
      </c>
      <c r="O242" s="265">
        <f t="shared" si="12"/>
        <v>0</v>
      </c>
      <c r="P242" s="827">
        <f t="shared" si="13"/>
        <v>0</v>
      </c>
    </row>
    <row r="243" spans="1:16" ht="30" hidden="1" customHeight="1" outlineLevel="1">
      <c r="A243" s="118"/>
      <c r="B243" s="118"/>
      <c r="C243" s="828">
        <v>219</v>
      </c>
      <c r="D243" s="829"/>
      <c r="E243" s="830"/>
      <c r="F243" s="830"/>
      <c r="G243" s="854"/>
      <c r="H243" s="1049"/>
      <c r="I243" s="856"/>
      <c r="J243" s="857"/>
      <c r="K243" s="858"/>
      <c r="L243" s="472"/>
      <c r="M243" s="816">
        <f t="shared" si="10"/>
        <v>0</v>
      </c>
      <c r="N243" s="833">
        <f t="shared" si="11"/>
        <v>0</v>
      </c>
      <c r="O243" s="265">
        <f t="shared" si="12"/>
        <v>0</v>
      </c>
      <c r="P243" s="827">
        <f t="shared" si="13"/>
        <v>0</v>
      </c>
    </row>
    <row r="244" spans="1:16" ht="30" hidden="1" customHeight="1" outlineLevel="1">
      <c r="A244" s="118"/>
      <c r="B244" s="118"/>
      <c r="C244" s="828">
        <v>220</v>
      </c>
      <c r="D244" s="829"/>
      <c r="E244" s="830"/>
      <c r="F244" s="830"/>
      <c r="G244" s="854"/>
      <c r="H244" s="1049"/>
      <c r="I244" s="856"/>
      <c r="J244" s="857"/>
      <c r="K244" s="858"/>
      <c r="L244" s="472"/>
      <c r="M244" s="816">
        <f t="shared" si="10"/>
        <v>0</v>
      </c>
      <c r="N244" s="833">
        <f t="shared" si="11"/>
        <v>0</v>
      </c>
      <c r="O244" s="265">
        <f t="shared" si="12"/>
        <v>0</v>
      </c>
      <c r="P244" s="827">
        <f t="shared" si="13"/>
        <v>0</v>
      </c>
    </row>
    <row r="245" spans="1:16" ht="30" hidden="1" customHeight="1" outlineLevel="1">
      <c r="A245" s="118"/>
      <c r="B245" s="118"/>
      <c r="C245" s="828">
        <v>221</v>
      </c>
      <c r="D245" s="829"/>
      <c r="E245" s="830"/>
      <c r="F245" s="830"/>
      <c r="G245" s="854"/>
      <c r="H245" s="1049"/>
      <c r="I245" s="856"/>
      <c r="J245" s="857"/>
      <c r="K245" s="858"/>
      <c r="L245" s="472"/>
      <c r="M245" s="816">
        <f t="shared" si="10"/>
        <v>0</v>
      </c>
      <c r="N245" s="833">
        <f t="shared" si="11"/>
        <v>0</v>
      </c>
      <c r="O245" s="265">
        <f t="shared" si="12"/>
        <v>0</v>
      </c>
      <c r="P245" s="827">
        <f t="shared" si="13"/>
        <v>0</v>
      </c>
    </row>
    <row r="246" spans="1:16" ht="30" hidden="1" customHeight="1" outlineLevel="1">
      <c r="A246" s="118"/>
      <c r="B246" s="118"/>
      <c r="C246" s="828">
        <v>222</v>
      </c>
      <c r="D246" s="829"/>
      <c r="E246" s="830"/>
      <c r="F246" s="830"/>
      <c r="G246" s="854"/>
      <c r="H246" s="1049"/>
      <c r="I246" s="856"/>
      <c r="J246" s="857"/>
      <c r="K246" s="858"/>
      <c r="L246" s="472"/>
      <c r="M246" s="816">
        <f t="shared" si="10"/>
        <v>0</v>
      </c>
      <c r="N246" s="833">
        <f t="shared" si="11"/>
        <v>0</v>
      </c>
      <c r="O246" s="265">
        <f t="shared" si="12"/>
        <v>0</v>
      </c>
      <c r="P246" s="827">
        <f t="shared" si="13"/>
        <v>0</v>
      </c>
    </row>
    <row r="247" spans="1:16" ht="30" hidden="1" customHeight="1" outlineLevel="1">
      <c r="A247" s="118"/>
      <c r="B247" s="118"/>
      <c r="C247" s="828">
        <v>223</v>
      </c>
      <c r="D247" s="829"/>
      <c r="E247" s="830"/>
      <c r="F247" s="830"/>
      <c r="G247" s="854"/>
      <c r="H247" s="1049"/>
      <c r="I247" s="856"/>
      <c r="J247" s="857"/>
      <c r="K247" s="858"/>
      <c r="L247" s="472"/>
      <c r="M247" s="816">
        <f t="shared" si="10"/>
        <v>0</v>
      </c>
      <c r="N247" s="833">
        <f t="shared" si="11"/>
        <v>0</v>
      </c>
      <c r="O247" s="265">
        <f t="shared" si="12"/>
        <v>0</v>
      </c>
      <c r="P247" s="827">
        <f t="shared" si="13"/>
        <v>0</v>
      </c>
    </row>
    <row r="248" spans="1:16" ht="30" hidden="1" customHeight="1" outlineLevel="1">
      <c r="A248" s="118"/>
      <c r="B248" s="118"/>
      <c r="C248" s="828">
        <v>224</v>
      </c>
      <c r="D248" s="829"/>
      <c r="E248" s="830"/>
      <c r="F248" s="830"/>
      <c r="G248" s="854"/>
      <c r="H248" s="1049"/>
      <c r="I248" s="856"/>
      <c r="J248" s="857"/>
      <c r="K248" s="858"/>
      <c r="L248" s="472"/>
      <c r="M248" s="816">
        <f t="shared" si="10"/>
        <v>0</v>
      </c>
      <c r="N248" s="833">
        <f t="shared" si="11"/>
        <v>0</v>
      </c>
      <c r="O248" s="265">
        <f t="shared" si="12"/>
        <v>0</v>
      </c>
      <c r="P248" s="827">
        <f t="shared" si="13"/>
        <v>0</v>
      </c>
    </row>
    <row r="249" spans="1:16" ht="30" hidden="1" customHeight="1" outlineLevel="1">
      <c r="A249" s="118"/>
      <c r="B249" s="118"/>
      <c r="C249" s="828">
        <v>225</v>
      </c>
      <c r="D249" s="829"/>
      <c r="E249" s="830"/>
      <c r="F249" s="830"/>
      <c r="G249" s="854"/>
      <c r="H249" s="1049"/>
      <c r="I249" s="856"/>
      <c r="J249" s="857"/>
      <c r="K249" s="858"/>
      <c r="L249" s="472"/>
      <c r="M249" s="816">
        <f t="shared" si="10"/>
        <v>0</v>
      </c>
      <c r="N249" s="833">
        <f t="shared" si="11"/>
        <v>0</v>
      </c>
      <c r="O249" s="265">
        <f t="shared" si="12"/>
        <v>0</v>
      </c>
      <c r="P249" s="827">
        <f t="shared" si="13"/>
        <v>0</v>
      </c>
    </row>
    <row r="250" spans="1:16" ht="30" hidden="1" customHeight="1" outlineLevel="1">
      <c r="A250" s="118"/>
      <c r="B250" s="118"/>
      <c r="C250" s="828">
        <v>226</v>
      </c>
      <c r="D250" s="829"/>
      <c r="E250" s="830"/>
      <c r="F250" s="830"/>
      <c r="G250" s="854"/>
      <c r="H250" s="1049"/>
      <c r="I250" s="856"/>
      <c r="J250" s="857"/>
      <c r="K250" s="858"/>
      <c r="L250" s="472"/>
      <c r="M250" s="816">
        <f t="shared" si="10"/>
        <v>0</v>
      </c>
      <c r="N250" s="833">
        <f t="shared" si="11"/>
        <v>0</v>
      </c>
      <c r="O250" s="265">
        <f t="shared" si="12"/>
        <v>0</v>
      </c>
      <c r="P250" s="827">
        <f t="shared" si="13"/>
        <v>0</v>
      </c>
    </row>
    <row r="251" spans="1:16" ht="30" hidden="1" customHeight="1" outlineLevel="1">
      <c r="A251" s="118"/>
      <c r="B251" s="118"/>
      <c r="C251" s="828">
        <v>227</v>
      </c>
      <c r="D251" s="829"/>
      <c r="E251" s="830"/>
      <c r="F251" s="830"/>
      <c r="G251" s="854"/>
      <c r="H251" s="1049"/>
      <c r="I251" s="856"/>
      <c r="J251" s="857"/>
      <c r="K251" s="858"/>
      <c r="L251" s="472"/>
      <c r="M251" s="816">
        <f t="shared" si="10"/>
        <v>0</v>
      </c>
      <c r="N251" s="833">
        <f t="shared" si="11"/>
        <v>0</v>
      </c>
      <c r="O251" s="265">
        <f t="shared" si="12"/>
        <v>0</v>
      </c>
      <c r="P251" s="827">
        <f t="shared" si="13"/>
        <v>0</v>
      </c>
    </row>
    <row r="252" spans="1:16" ht="30" hidden="1" customHeight="1" outlineLevel="1">
      <c r="A252" s="118"/>
      <c r="B252" s="118"/>
      <c r="C252" s="828">
        <v>228</v>
      </c>
      <c r="D252" s="829"/>
      <c r="E252" s="830"/>
      <c r="F252" s="830"/>
      <c r="G252" s="854"/>
      <c r="H252" s="1049"/>
      <c r="I252" s="856"/>
      <c r="J252" s="857"/>
      <c r="K252" s="858"/>
      <c r="L252" s="472"/>
      <c r="M252" s="816">
        <f t="shared" si="10"/>
        <v>0</v>
      </c>
      <c r="N252" s="833">
        <f t="shared" si="11"/>
        <v>0</v>
      </c>
      <c r="O252" s="265">
        <f t="shared" si="12"/>
        <v>0</v>
      </c>
      <c r="P252" s="827">
        <f t="shared" si="13"/>
        <v>0</v>
      </c>
    </row>
    <row r="253" spans="1:16" ht="30" hidden="1" customHeight="1" outlineLevel="1">
      <c r="A253" s="118"/>
      <c r="B253" s="118"/>
      <c r="C253" s="828">
        <v>229</v>
      </c>
      <c r="D253" s="829"/>
      <c r="E253" s="830"/>
      <c r="F253" s="830"/>
      <c r="G253" s="854"/>
      <c r="H253" s="1049"/>
      <c r="I253" s="856"/>
      <c r="J253" s="857"/>
      <c r="K253" s="858"/>
      <c r="L253" s="472"/>
      <c r="M253" s="816">
        <f t="shared" si="10"/>
        <v>0</v>
      </c>
      <c r="N253" s="833">
        <f t="shared" si="11"/>
        <v>0</v>
      </c>
      <c r="O253" s="265">
        <f t="shared" si="12"/>
        <v>0</v>
      </c>
      <c r="P253" s="827">
        <f t="shared" si="13"/>
        <v>0</v>
      </c>
    </row>
    <row r="254" spans="1:16" ht="30" hidden="1" customHeight="1" outlineLevel="1">
      <c r="A254" s="118"/>
      <c r="B254" s="118"/>
      <c r="C254" s="828">
        <v>230</v>
      </c>
      <c r="D254" s="829"/>
      <c r="E254" s="830"/>
      <c r="F254" s="830"/>
      <c r="G254" s="854"/>
      <c r="H254" s="1049"/>
      <c r="I254" s="856"/>
      <c r="J254" s="857"/>
      <c r="K254" s="858"/>
      <c r="L254" s="472"/>
      <c r="M254" s="816">
        <f t="shared" si="10"/>
        <v>0</v>
      </c>
      <c r="N254" s="833">
        <f t="shared" si="11"/>
        <v>0</v>
      </c>
      <c r="O254" s="265">
        <f t="shared" si="12"/>
        <v>0</v>
      </c>
      <c r="P254" s="827">
        <f t="shared" si="13"/>
        <v>0</v>
      </c>
    </row>
    <row r="255" spans="1:16" ht="30" hidden="1" customHeight="1" outlineLevel="1">
      <c r="A255" s="118"/>
      <c r="B255" s="118"/>
      <c r="C255" s="828">
        <v>231</v>
      </c>
      <c r="D255" s="829"/>
      <c r="E255" s="830"/>
      <c r="F255" s="830"/>
      <c r="G255" s="854"/>
      <c r="H255" s="1049"/>
      <c r="I255" s="856"/>
      <c r="J255" s="857"/>
      <c r="K255" s="858"/>
      <c r="L255" s="472"/>
      <c r="M255" s="816">
        <f t="shared" si="10"/>
        <v>0</v>
      </c>
      <c r="N255" s="833">
        <f t="shared" si="11"/>
        <v>0</v>
      </c>
      <c r="O255" s="265">
        <f t="shared" si="12"/>
        <v>0</v>
      </c>
      <c r="P255" s="827">
        <f t="shared" si="13"/>
        <v>0</v>
      </c>
    </row>
    <row r="256" spans="1:16" ht="30" hidden="1" customHeight="1" outlineLevel="1">
      <c r="A256" s="118"/>
      <c r="B256" s="118"/>
      <c r="C256" s="828">
        <v>232</v>
      </c>
      <c r="D256" s="829"/>
      <c r="E256" s="830"/>
      <c r="F256" s="830"/>
      <c r="G256" s="854"/>
      <c r="H256" s="1049"/>
      <c r="I256" s="856"/>
      <c r="J256" s="857"/>
      <c r="K256" s="858"/>
      <c r="L256" s="472"/>
      <c r="M256" s="816">
        <f t="shared" si="10"/>
        <v>0</v>
      </c>
      <c r="N256" s="833">
        <f t="shared" si="11"/>
        <v>0</v>
      </c>
      <c r="O256" s="265">
        <f t="shared" si="12"/>
        <v>0</v>
      </c>
      <c r="P256" s="827">
        <f t="shared" si="13"/>
        <v>0</v>
      </c>
    </row>
    <row r="257" spans="1:16" ht="30" hidden="1" customHeight="1" outlineLevel="1">
      <c r="A257" s="118"/>
      <c r="B257" s="118"/>
      <c r="C257" s="828">
        <v>233</v>
      </c>
      <c r="D257" s="829"/>
      <c r="E257" s="830"/>
      <c r="F257" s="830"/>
      <c r="G257" s="854"/>
      <c r="H257" s="1049"/>
      <c r="I257" s="856"/>
      <c r="J257" s="857"/>
      <c r="K257" s="858"/>
      <c r="L257" s="472"/>
      <c r="M257" s="816">
        <f t="shared" si="10"/>
        <v>0</v>
      </c>
      <c r="N257" s="833">
        <f t="shared" si="11"/>
        <v>0</v>
      </c>
      <c r="O257" s="265">
        <f t="shared" si="12"/>
        <v>0</v>
      </c>
      <c r="P257" s="827">
        <f t="shared" si="13"/>
        <v>0</v>
      </c>
    </row>
    <row r="258" spans="1:16" ht="30" hidden="1" customHeight="1" outlineLevel="1">
      <c r="A258" s="118"/>
      <c r="B258" s="118"/>
      <c r="C258" s="828">
        <v>234</v>
      </c>
      <c r="D258" s="829"/>
      <c r="E258" s="830"/>
      <c r="F258" s="830"/>
      <c r="G258" s="854"/>
      <c r="H258" s="1049"/>
      <c r="I258" s="856"/>
      <c r="J258" s="857"/>
      <c r="K258" s="858"/>
      <c r="L258" s="472"/>
      <c r="M258" s="816">
        <f t="shared" si="10"/>
        <v>0</v>
      </c>
      <c r="N258" s="833">
        <f t="shared" si="11"/>
        <v>0</v>
      </c>
      <c r="O258" s="265">
        <f t="shared" si="12"/>
        <v>0</v>
      </c>
      <c r="P258" s="827">
        <f t="shared" si="13"/>
        <v>0</v>
      </c>
    </row>
    <row r="259" spans="1:16" ht="30" hidden="1" customHeight="1" outlineLevel="1">
      <c r="A259" s="118"/>
      <c r="B259" s="118"/>
      <c r="C259" s="828">
        <v>235</v>
      </c>
      <c r="D259" s="829"/>
      <c r="E259" s="830"/>
      <c r="F259" s="830"/>
      <c r="G259" s="854"/>
      <c r="H259" s="1049"/>
      <c r="I259" s="856"/>
      <c r="J259" s="857"/>
      <c r="K259" s="858"/>
      <c r="L259" s="472"/>
      <c r="M259" s="816">
        <f t="shared" si="10"/>
        <v>0</v>
      </c>
      <c r="N259" s="833">
        <f t="shared" si="11"/>
        <v>0</v>
      </c>
      <c r="O259" s="265">
        <f t="shared" si="12"/>
        <v>0</v>
      </c>
      <c r="P259" s="827">
        <f t="shared" si="13"/>
        <v>0</v>
      </c>
    </row>
    <row r="260" spans="1:16" ht="30" hidden="1" customHeight="1" outlineLevel="1">
      <c r="A260" s="118"/>
      <c r="B260" s="118"/>
      <c r="C260" s="828">
        <v>236</v>
      </c>
      <c r="D260" s="829"/>
      <c r="E260" s="830"/>
      <c r="F260" s="830"/>
      <c r="G260" s="854"/>
      <c r="H260" s="1049"/>
      <c r="I260" s="856"/>
      <c r="J260" s="857"/>
      <c r="K260" s="858"/>
      <c r="L260" s="472"/>
      <c r="M260" s="816">
        <f t="shared" si="10"/>
        <v>0</v>
      </c>
      <c r="N260" s="833">
        <f t="shared" si="11"/>
        <v>0</v>
      </c>
      <c r="O260" s="265">
        <f t="shared" si="12"/>
        <v>0</v>
      </c>
      <c r="P260" s="827">
        <f t="shared" si="13"/>
        <v>0</v>
      </c>
    </row>
    <row r="261" spans="1:16" ht="30" hidden="1" customHeight="1" outlineLevel="1">
      <c r="A261" s="118"/>
      <c r="B261" s="118"/>
      <c r="C261" s="828">
        <v>237</v>
      </c>
      <c r="D261" s="829"/>
      <c r="E261" s="830"/>
      <c r="F261" s="830"/>
      <c r="G261" s="854"/>
      <c r="H261" s="1049"/>
      <c r="I261" s="856"/>
      <c r="J261" s="857"/>
      <c r="K261" s="858"/>
      <c r="L261" s="472"/>
      <c r="M261" s="816">
        <f t="shared" si="10"/>
        <v>0</v>
      </c>
      <c r="N261" s="833">
        <f t="shared" si="11"/>
        <v>0</v>
      </c>
      <c r="O261" s="265">
        <f t="shared" si="12"/>
        <v>0</v>
      </c>
      <c r="P261" s="827">
        <f t="shared" si="13"/>
        <v>0</v>
      </c>
    </row>
    <row r="262" spans="1:16" ht="30" hidden="1" customHeight="1" outlineLevel="1">
      <c r="A262" s="118"/>
      <c r="B262" s="118"/>
      <c r="C262" s="828">
        <v>238</v>
      </c>
      <c r="D262" s="829"/>
      <c r="E262" s="830"/>
      <c r="F262" s="830"/>
      <c r="G262" s="854"/>
      <c r="H262" s="1049"/>
      <c r="I262" s="856"/>
      <c r="J262" s="857"/>
      <c r="K262" s="858"/>
      <c r="L262" s="472"/>
      <c r="M262" s="816">
        <f t="shared" si="10"/>
        <v>0</v>
      </c>
      <c r="N262" s="833">
        <f t="shared" si="11"/>
        <v>0</v>
      </c>
      <c r="O262" s="265">
        <f t="shared" si="12"/>
        <v>0</v>
      </c>
      <c r="P262" s="827">
        <f t="shared" si="13"/>
        <v>0</v>
      </c>
    </row>
    <row r="263" spans="1:16" ht="30" hidden="1" customHeight="1" outlineLevel="1">
      <c r="A263" s="118"/>
      <c r="B263" s="118"/>
      <c r="C263" s="828">
        <v>239</v>
      </c>
      <c r="D263" s="829"/>
      <c r="E263" s="830"/>
      <c r="F263" s="830"/>
      <c r="G263" s="854"/>
      <c r="H263" s="1049"/>
      <c r="I263" s="856"/>
      <c r="J263" s="857"/>
      <c r="K263" s="858"/>
      <c r="L263" s="472"/>
      <c r="M263" s="816">
        <f t="shared" si="10"/>
        <v>0</v>
      </c>
      <c r="N263" s="833">
        <f t="shared" si="11"/>
        <v>0</v>
      </c>
      <c r="O263" s="265">
        <f t="shared" si="12"/>
        <v>0</v>
      </c>
      <c r="P263" s="827">
        <f t="shared" si="13"/>
        <v>0</v>
      </c>
    </row>
    <row r="264" spans="1:16" ht="30" hidden="1" customHeight="1" outlineLevel="1">
      <c r="A264" s="118"/>
      <c r="B264" s="118"/>
      <c r="C264" s="828">
        <v>240</v>
      </c>
      <c r="D264" s="829"/>
      <c r="E264" s="830"/>
      <c r="F264" s="830"/>
      <c r="G264" s="854"/>
      <c r="H264" s="1049"/>
      <c r="I264" s="856"/>
      <c r="J264" s="857"/>
      <c r="K264" s="858"/>
      <c r="L264" s="472"/>
      <c r="M264" s="816">
        <f t="shared" si="10"/>
        <v>0</v>
      </c>
      <c r="N264" s="833">
        <f t="shared" si="11"/>
        <v>0</v>
      </c>
      <c r="O264" s="265">
        <f t="shared" si="12"/>
        <v>0</v>
      </c>
      <c r="P264" s="827">
        <f t="shared" si="13"/>
        <v>0</v>
      </c>
    </row>
    <row r="265" spans="1:16" ht="30" hidden="1" customHeight="1" outlineLevel="1">
      <c r="A265" s="118"/>
      <c r="B265" s="118"/>
      <c r="C265" s="828">
        <v>241</v>
      </c>
      <c r="D265" s="829"/>
      <c r="E265" s="830"/>
      <c r="F265" s="830"/>
      <c r="G265" s="854"/>
      <c r="H265" s="1049"/>
      <c r="I265" s="856"/>
      <c r="J265" s="857"/>
      <c r="K265" s="858"/>
      <c r="L265" s="472"/>
      <c r="M265" s="816">
        <f t="shared" si="10"/>
        <v>0</v>
      </c>
      <c r="N265" s="833">
        <f t="shared" si="11"/>
        <v>0</v>
      </c>
      <c r="O265" s="265">
        <f t="shared" si="12"/>
        <v>0</v>
      </c>
      <c r="P265" s="827">
        <f t="shared" si="13"/>
        <v>0</v>
      </c>
    </row>
    <row r="266" spans="1:16" ht="30" hidden="1" customHeight="1" outlineLevel="1">
      <c r="A266" s="118"/>
      <c r="B266" s="118"/>
      <c r="C266" s="828">
        <v>242</v>
      </c>
      <c r="D266" s="829"/>
      <c r="E266" s="830"/>
      <c r="F266" s="830"/>
      <c r="G266" s="854"/>
      <c r="H266" s="1049"/>
      <c r="I266" s="856"/>
      <c r="J266" s="857"/>
      <c r="K266" s="858"/>
      <c r="L266" s="472"/>
      <c r="M266" s="816">
        <f t="shared" si="10"/>
        <v>0</v>
      </c>
      <c r="N266" s="833">
        <f t="shared" si="11"/>
        <v>0</v>
      </c>
      <c r="O266" s="265">
        <f t="shared" si="12"/>
        <v>0</v>
      </c>
      <c r="P266" s="827">
        <f t="shared" si="13"/>
        <v>0</v>
      </c>
    </row>
    <row r="267" spans="1:16" ht="30" hidden="1" customHeight="1" outlineLevel="1">
      <c r="A267" s="118"/>
      <c r="B267" s="118"/>
      <c r="C267" s="828">
        <v>243</v>
      </c>
      <c r="D267" s="829"/>
      <c r="E267" s="830"/>
      <c r="F267" s="830"/>
      <c r="G267" s="854"/>
      <c r="H267" s="1049"/>
      <c r="I267" s="856"/>
      <c r="J267" s="857"/>
      <c r="K267" s="858"/>
      <c r="L267" s="472"/>
      <c r="M267" s="816">
        <f t="shared" si="10"/>
        <v>0</v>
      </c>
      <c r="N267" s="833">
        <f t="shared" si="11"/>
        <v>0</v>
      </c>
      <c r="O267" s="265">
        <f t="shared" si="12"/>
        <v>0</v>
      </c>
      <c r="P267" s="827">
        <f t="shared" si="13"/>
        <v>0</v>
      </c>
    </row>
    <row r="268" spans="1:16" ht="30" hidden="1" customHeight="1" outlineLevel="1">
      <c r="A268" s="118"/>
      <c r="B268" s="118"/>
      <c r="C268" s="828">
        <v>244</v>
      </c>
      <c r="D268" s="829"/>
      <c r="E268" s="830"/>
      <c r="F268" s="830"/>
      <c r="G268" s="854"/>
      <c r="H268" s="1049"/>
      <c r="I268" s="856"/>
      <c r="J268" s="857"/>
      <c r="K268" s="858"/>
      <c r="L268" s="472"/>
      <c r="M268" s="816">
        <f t="shared" si="10"/>
        <v>0</v>
      </c>
      <c r="N268" s="833">
        <f t="shared" si="11"/>
        <v>0</v>
      </c>
      <c r="O268" s="265">
        <f t="shared" si="12"/>
        <v>0</v>
      </c>
      <c r="P268" s="827">
        <f t="shared" si="13"/>
        <v>0</v>
      </c>
    </row>
    <row r="269" spans="1:16" ht="30" hidden="1" customHeight="1" outlineLevel="1">
      <c r="A269" s="118"/>
      <c r="B269" s="118"/>
      <c r="C269" s="828">
        <v>245</v>
      </c>
      <c r="D269" s="829"/>
      <c r="E269" s="830"/>
      <c r="F269" s="830"/>
      <c r="G269" s="854"/>
      <c r="H269" s="1049"/>
      <c r="I269" s="856"/>
      <c r="J269" s="857"/>
      <c r="K269" s="858"/>
      <c r="L269" s="472"/>
      <c r="M269" s="816">
        <f t="shared" si="10"/>
        <v>0</v>
      </c>
      <c r="N269" s="833">
        <f t="shared" si="11"/>
        <v>0</v>
      </c>
      <c r="O269" s="265">
        <f t="shared" si="12"/>
        <v>0</v>
      </c>
      <c r="P269" s="827">
        <f t="shared" si="13"/>
        <v>0</v>
      </c>
    </row>
    <row r="270" spans="1:16" ht="30" hidden="1" customHeight="1" outlineLevel="1">
      <c r="A270" s="118"/>
      <c r="B270" s="118"/>
      <c r="C270" s="828">
        <v>246</v>
      </c>
      <c r="D270" s="829"/>
      <c r="E270" s="830"/>
      <c r="F270" s="830"/>
      <c r="G270" s="854"/>
      <c r="H270" s="1049"/>
      <c r="I270" s="856"/>
      <c r="J270" s="857"/>
      <c r="K270" s="858"/>
      <c r="L270" s="472"/>
      <c r="M270" s="816">
        <f t="shared" si="10"/>
        <v>0</v>
      </c>
      <c r="N270" s="833">
        <f t="shared" si="11"/>
        <v>0</v>
      </c>
      <c r="O270" s="265">
        <f t="shared" si="12"/>
        <v>0</v>
      </c>
      <c r="P270" s="827">
        <f t="shared" si="13"/>
        <v>0</v>
      </c>
    </row>
    <row r="271" spans="1:16" ht="30" hidden="1" customHeight="1" outlineLevel="1">
      <c r="A271" s="118"/>
      <c r="B271" s="118"/>
      <c r="C271" s="828">
        <v>247</v>
      </c>
      <c r="D271" s="829"/>
      <c r="E271" s="830"/>
      <c r="F271" s="830"/>
      <c r="G271" s="854"/>
      <c r="H271" s="1049"/>
      <c r="I271" s="856"/>
      <c r="J271" s="857"/>
      <c r="K271" s="858"/>
      <c r="L271" s="472"/>
      <c r="M271" s="816">
        <f t="shared" si="10"/>
        <v>0</v>
      </c>
      <c r="N271" s="833">
        <f t="shared" si="11"/>
        <v>0</v>
      </c>
      <c r="O271" s="265">
        <f t="shared" si="12"/>
        <v>0</v>
      </c>
      <c r="P271" s="827">
        <f t="shared" si="13"/>
        <v>0</v>
      </c>
    </row>
    <row r="272" spans="1:16" ht="30" hidden="1" customHeight="1" outlineLevel="1">
      <c r="A272" s="118"/>
      <c r="B272" s="118"/>
      <c r="C272" s="828">
        <v>248</v>
      </c>
      <c r="D272" s="829"/>
      <c r="E272" s="830"/>
      <c r="F272" s="830"/>
      <c r="G272" s="854"/>
      <c r="H272" s="1049"/>
      <c r="I272" s="856"/>
      <c r="J272" s="857"/>
      <c r="K272" s="858"/>
      <c r="L272" s="472"/>
      <c r="M272" s="816">
        <f t="shared" si="10"/>
        <v>0</v>
      </c>
      <c r="N272" s="833">
        <f t="shared" si="11"/>
        <v>0</v>
      </c>
      <c r="O272" s="265">
        <f t="shared" si="12"/>
        <v>0</v>
      </c>
      <c r="P272" s="827">
        <f t="shared" si="13"/>
        <v>0</v>
      </c>
    </row>
    <row r="273" spans="1:16" ht="30" hidden="1" customHeight="1" outlineLevel="1">
      <c r="A273" s="118"/>
      <c r="B273" s="118"/>
      <c r="C273" s="828">
        <v>249</v>
      </c>
      <c r="D273" s="829"/>
      <c r="E273" s="830"/>
      <c r="F273" s="830"/>
      <c r="G273" s="854"/>
      <c r="H273" s="1049"/>
      <c r="I273" s="856"/>
      <c r="J273" s="857"/>
      <c r="K273" s="858"/>
      <c r="L273" s="472"/>
      <c r="M273" s="816">
        <f t="shared" si="10"/>
        <v>0</v>
      </c>
      <c r="N273" s="833">
        <f t="shared" si="11"/>
        <v>0</v>
      </c>
      <c r="O273" s="265">
        <f t="shared" si="12"/>
        <v>0</v>
      </c>
      <c r="P273" s="827">
        <f t="shared" si="13"/>
        <v>0</v>
      </c>
    </row>
    <row r="274" spans="1:16" ht="30" hidden="1" customHeight="1" outlineLevel="1">
      <c r="A274" s="118"/>
      <c r="B274" s="118"/>
      <c r="C274" s="828">
        <v>250</v>
      </c>
      <c r="D274" s="829"/>
      <c r="E274" s="830"/>
      <c r="F274" s="830"/>
      <c r="G274" s="854"/>
      <c r="H274" s="1049"/>
      <c r="I274" s="856"/>
      <c r="J274" s="857"/>
      <c r="K274" s="858"/>
      <c r="L274" s="472"/>
      <c r="M274" s="816">
        <f t="shared" si="10"/>
        <v>0</v>
      </c>
      <c r="N274" s="833">
        <f t="shared" si="11"/>
        <v>0</v>
      </c>
      <c r="O274" s="265">
        <f t="shared" si="12"/>
        <v>0</v>
      </c>
      <c r="P274" s="827">
        <f t="shared" si="13"/>
        <v>0</v>
      </c>
    </row>
    <row r="275" spans="1:16" ht="30" hidden="1" customHeight="1" outlineLevel="1">
      <c r="A275" s="118"/>
      <c r="B275" s="118"/>
      <c r="C275" s="828">
        <v>251</v>
      </c>
      <c r="D275" s="829"/>
      <c r="E275" s="830"/>
      <c r="F275" s="830"/>
      <c r="G275" s="854"/>
      <c r="H275" s="1049"/>
      <c r="I275" s="856"/>
      <c r="J275" s="857"/>
      <c r="K275" s="858"/>
      <c r="L275" s="472"/>
      <c r="M275" s="816">
        <f t="shared" si="10"/>
        <v>0</v>
      </c>
      <c r="N275" s="833">
        <f t="shared" si="11"/>
        <v>0</v>
      </c>
      <c r="O275" s="265">
        <f t="shared" si="12"/>
        <v>0</v>
      </c>
      <c r="P275" s="827">
        <f t="shared" si="13"/>
        <v>0</v>
      </c>
    </row>
    <row r="276" spans="1:16" ht="30" hidden="1" customHeight="1" outlineLevel="1">
      <c r="A276" s="118"/>
      <c r="B276" s="118"/>
      <c r="C276" s="828">
        <v>252</v>
      </c>
      <c r="D276" s="829"/>
      <c r="E276" s="830"/>
      <c r="F276" s="830"/>
      <c r="G276" s="854"/>
      <c r="H276" s="1049"/>
      <c r="I276" s="856"/>
      <c r="J276" s="857"/>
      <c r="K276" s="858"/>
      <c r="L276" s="472"/>
      <c r="M276" s="816">
        <f t="shared" si="10"/>
        <v>0</v>
      </c>
      <c r="N276" s="833">
        <f t="shared" si="11"/>
        <v>0</v>
      </c>
      <c r="O276" s="265">
        <f t="shared" si="12"/>
        <v>0</v>
      </c>
      <c r="P276" s="827">
        <f t="shared" si="13"/>
        <v>0</v>
      </c>
    </row>
    <row r="277" spans="1:16" ht="30" hidden="1" customHeight="1" outlineLevel="1">
      <c r="A277" s="118"/>
      <c r="B277" s="118"/>
      <c r="C277" s="828">
        <v>253</v>
      </c>
      <c r="D277" s="829"/>
      <c r="E277" s="830"/>
      <c r="F277" s="830"/>
      <c r="G277" s="854"/>
      <c r="H277" s="1049"/>
      <c r="I277" s="856"/>
      <c r="J277" s="857"/>
      <c r="K277" s="858"/>
      <c r="L277" s="472"/>
      <c r="M277" s="816">
        <f t="shared" si="10"/>
        <v>0</v>
      </c>
      <c r="N277" s="833">
        <f t="shared" si="11"/>
        <v>0</v>
      </c>
      <c r="O277" s="265">
        <f t="shared" si="12"/>
        <v>0</v>
      </c>
      <c r="P277" s="827">
        <f t="shared" si="13"/>
        <v>0</v>
      </c>
    </row>
    <row r="278" spans="1:16" ht="30" hidden="1" customHeight="1" outlineLevel="1">
      <c r="A278" s="118"/>
      <c r="B278" s="118"/>
      <c r="C278" s="828">
        <v>254</v>
      </c>
      <c r="D278" s="829"/>
      <c r="E278" s="830"/>
      <c r="F278" s="830"/>
      <c r="G278" s="854"/>
      <c r="H278" s="1049"/>
      <c r="I278" s="856"/>
      <c r="J278" s="857"/>
      <c r="K278" s="858"/>
      <c r="L278" s="472"/>
      <c r="M278" s="816">
        <f t="shared" si="10"/>
        <v>0</v>
      </c>
      <c r="N278" s="833">
        <f t="shared" si="11"/>
        <v>0</v>
      </c>
      <c r="O278" s="265">
        <f t="shared" si="12"/>
        <v>0</v>
      </c>
      <c r="P278" s="827">
        <f t="shared" si="13"/>
        <v>0</v>
      </c>
    </row>
    <row r="279" spans="1:16" ht="30" hidden="1" customHeight="1" outlineLevel="1">
      <c r="A279" s="118"/>
      <c r="B279" s="118"/>
      <c r="C279" s="828">
        <v>255</v>
      </c>
      <c r="D279" s="829"/>
      <c r="E279" s="830"/>
      <c r="F279" s="830"/>
      <c r="G279" s="854"/>
      <c r="H279" s="1049"/>
      <c r="I279" s="856"/>
      <c r="J279" s="857"/>
      <c r="K279" s="858"/>
      <c r="L279" s="472"/>
      <c r="M279" s="816">
        <f t="shared" si="10"/>
        <v>0</v>
      </c>
      <c r="N279" s="833">
        <f t="shared" si="11"/>
        <v>0</v>
      </c>
      <c r="O279" s="265">
        <f t="shared" si="12"/>
        <v>0</v>
      </c>
      <c r="P279" s="827">
        <f t="shared" si="13"/>
        <v>0</v>
      </c>
    </row>
    <row r="280" spans="1:16" ht="30" hidden="1" customHeight="1" outlineLevel="1">
      <c r="A280" s="118"/>
      <c r="B280" s="118"/>
      <c r="C280" s="828">
        <v>256</v>
      </c>
      <c r="D280" s="829"/>
      <c r="E280" s="830"/>
      <c r="F280" s="830"/>
      <c r="G280" s="854"/>
      <c r="H280" s="1049"/>
      <c r="I280" s="856"/>
      <c r="J280" s="857"/>
      <c r="K280" s="858"/>
      <c r="L280" s="472"/>
      <c r="M280" s="816">
        <f t="shared" si="10"/>
        <v>0</v>
      </c>
      <c r="N280" s="833">
        <f t="shared" si="11"/>
        <v>0</v>
      </c>
      <c r="O280" s="265">
        <f t="shared" si="12"/>
        <v>0</v>
      </c>
      <c r="P280" s="827">
        <f t="shared" si="13"/>
        <v>0</v>
      </c>
    </row>
    <row r="281" spans="1:16" ht="30" hidden="1" customHeight="1" outlineLevel="1">
      <c r="A281" s="118"/>
      <c r="B281" s="118"/>
      <c r="C281" s="828">
        <v>257</v>
      </c>
      <c r="D281" s="829"/>
      <c r="E281" s="830"/>
      <c r="F281" s="830"/>
      <c r="G281" s="854"/>
      <c r="H281" s="1049"/>
      <c r="I281" s="856"/>
      <c r="J281" s="857"/>
      <c r="K281" s="858"/>
      <c r="L281" s="472"/>
      <c r="M281" s="816">
        <f t="shared" si="10"/>
        <v>0</v>
      </c>
      <c r="N281" s="833">
        <f t="shared" si="11"/>
        <v>0</v>
      </c>
      <c r="O281" s="265">
        <f t="shared" si="12"/>
        <v>0</v>
      </c>
      <c r="P281" s="827">
        <f t="shared" si="13"/>
        <v>0</v>
      </c>
    </row>
    <row r="282" spans="1:16" ht="30" hidden="1" customHeight="1" outlineLevel="1">
      <c r="A282" s="118"/>
      <c r="B282" s="118"/>
      <c r="C282" s="828">
        <v>258</v>
      </c>
      <c r="D282" s="829"/>
      <c r="E282" s="830"/>
      <c r="F282" s="830"/>
      <c r="G282" s="854"/>
      <c r="H282" s="1049"/>
      <c r="I282" s="856"/>
      <c r="J282" s="857"/>
      <c r="K282" s="858"/>
      <c r="L282" s="472"/>
      <c r="M282" s="816">
        <f t="shared" si="10"/>
        <v>0</v>
      </c>
      <c r="N282" s="833">
        <f t="shared" si="11"/>
        <v>0</v>
      </c>
      <c r="O282" s="265">
        <f t="shared" si="12"/>
        <v>0</v>
      </c>
      <c r="P282" s="827">
        <f t="shared" si="13"/>
        <v>0</v>
      </c>
    </row>
    <row r="283" spans="1:16" ht="30" hidden="1" customHeight="1" outlineLevel="1">
      <c r="A283" s="118"/>
      <c r="B283" s="118"/>
      <c r="C283" s="828">
        <v>259</v>
      </c>
      <c r="D283" s="829"/>
      <c r="E283" s="830"/>
      <c r="F283" s="830"/>
      <c r="G283" s="854"/>
      <c r="H283" s="1049"/>
      <c r="I283" s="856"/>
      <c r="J283" s="857"/>
      <c r="K283" s="858"/>
      <c r="L283" s="472"/>
      <c r="M283" s="816">
        <f t="shared" si="10"/>
        <v>0</v>
      </c>
      <c r="N283" s="833">
        <f t="shared" si="11"/>
        <v>0</v>
      </c>
      <c r="O283" s="265">
        <f t="shared" si="12"/>
        <v>0</v>
      </c>
      <c r="P283" s="827">
        <f t="shared" si="13"/>
        <v>0</v>
      </c>
    </row>
    <row r="284" spans="1:16" ht="30" hidden="1" customHeight="1" outlineLevel="1">
      <c r="A284" s="118"/>
      <c r="B284" s="118"/>
      <c r="C284" s="828">
        <v>260</v>
      </c>
      <c r="D284" s="829"/>
      <c r="E284" s="830"/>
      <c r="F284" s="830"/>
      <c r="G284" s="854"/>
      <c r="H284" s="1049"/>
      <c r="I284" s="856"/>
      <c r="J284" s="857"/>
      <c r="K284" s="858"/>
      <c r="L284" s="472"/>
      <c r="M284" s="816">
        <f t="shared" si="10"/>
        <v>0</v>
      </c>
      <c r="N284" s="833">
        <f t="shared" si="11"/>
        <v>0</v>
      </c>
      <c r="O284" s="265">
        <f t="shared" si="12"/>
        <v>0</v>
      </c>
      <c r="P284" s="827">
        <f t="shared" si="13"/>
        <v>0</v>
      </c>
    </row>
    <row r="285" spans="1:16" ht="30" hidden="1" customHeight="1" outlineLevel="1">
      <c r="A285" s="118"/>
      <c r="B285" s="118"/>
      <c r="C285" s="828">
        <v>261</v>
      </c>
      <c r="D285" s="829"/>
      <c r="E285" s="830"/>
      <c r="F285" s="830"/>
      <c r="G285" s="854"/>
      <c r="H285" s="1049"/>
      <c r="I285" s="856"/>
      <c r="J285" s="857"/>
      <c r="K285" s="858"/>
      <c r="L285" s="472"/>
      <c r="M285" s="816">
        <f t="shared" si="10"/>
        <v>0</v>
      </c>
      <c r="N285" s="833">
        <f t="shared" si="11"/>
        <v>0</v>
      </c>
      <c r="O285" s="265">
        <f t="shared" si="12"/>
        <v>0</v>
      </c>
      <c r="P285" s="827">
        <f t="shared" si="13"/>
        <v>0</v>
      </c>
    </row>
    <row r="286" spans="1:16" ht="30" hidden="1" customHeight="1" outlineLevel="1">
      <c r="A286" s="118"/>
      <c r="B286" s="118"/>
      <c r="C286" s="828">
        <v>262</v>
      </c>
      <c r="D286" s="829"/>
      <c r="E286" s="830"/>
      <c r="F286" s="830"/>
      <c r="G286" s="854"/>
      <c r="H286" s="1049"/>
      <c r="I286" s="856"/>
      <c r="J286" s="857"/>
      <c r="K286" s="858"/>
      <c r="L286" s="472"/>
      <c r="M286" s="816">
        <f t="shared" si="10"/>
        <v>0</v>
      </c>
      <c r="N286" s="833">
        <f t="shared" si="11"/>
        <v>0</v>
      </c>
      <c r="O286" s="265">
        <f t="shared" si="12"/>
        <v>0</v>
      </c>
      <c r="P286" s="827">
        <f t="shared" si="13"/>
        <v>0</v>
      </c>
    </row>
    <row r="287" spans="1:16" ht="30" hidden="1" customHeight="1" outlineLevel="1">
      <c r="A287" s="118"/>
      <c r="B287" s="118"/>
      <c r="C287" s="828">
        <v>263</v>
      </c>
      <c r="D287" s="829"/>
      <c r="E287" s="830"/>
      <c r="F287" s="830"/>
      <c r="G287" s="854"/>
      <c r="H287" s="1049"/>
      <c r="I287" s="856"/>
      <c r="J287" s="857"/>
      <c r="K287" s="858"/>
      <c r="L287" s="472"/>
      <c r="M287" s="816">
        <f t="shared" si="10"/>
        <v>0</v>
      </c>
      <c r="N287" s="833">
        <f t="shared" si="11"/>
        <v>0</v>
      </c>
      <c r="O287" s="265">
        <f t="shared" si="12"/>
        <v>0</v>
      </c>
      <c r="P287" s="827">
        <f t="shared" si="13"/>
        <v>0</v>
      </c>
    </row>
    <row r="288" spans="1:16" ht="30" hidden="1" customHeight="1" outlineLevel="1">
      <c r="A288" s="118"/>
      <c r="B288" s="118"/>
      <c r="C288" s="828">
        <v>264</v>
      </c>
      <c r="D288" s="829"/>
      <c r="E288" s="830"/>
      <c r="F288" s="830"/>
      <c r="G288" s="854"/>
      <c r="H288" s="1049"/>
      <c r="I288" s="856"/>
      <c r="J288" s="857"/>
      <c r="K288" s="858"/>
      <c r="L288" s="472"/>
      <c r="M288" s="816">
        <f t="shared" si="10"/>
        <v>0</v>
      </c>
      <c r="N288" s="833">
        <f t="shared" si="11"/>
        <v>0</v>
      </c>
      <c r="O288" s="265">
        <f t="shared" si="12"/>
        <v>0</v>
      </c>
      <c r="P288" s="827">
        <f t="shared" si="13"/>
        <v>0</v>
      </c>
    </row>
    <row r="289" spans="1:16" ht="30" hidden="1" customHeight="1" outlineLevel="1">
      <c r="A289" s="118"/>
      <c r="B289" s="118"/>
      <c r="C289" s="828">
        <v>265</v>
      </c>
      <c r="D289" s="829"/>
      <c r="E289" s="830"/>
      <c r="F289" s="830"/>
      <c r="G289" s="854"/>
      <c r="H289" s="1049"/>
      <c r="I289" s="856"/>
      <c r="J289" s="857"/>
      <c r="K289" s="858"/>
      <c r="L289" s="472"/>
      <c r="M289" s="816">
        <f t="shared" si="10"/>
        <v>0</v>
      </c>
      <c r="N289" s="833">
        <f t="shared" si="11"/>
        <v>0</v>
      </c>
      <c r="O289" s="265">
        <f t="shared" si="12"/>
        <v>0</v>
      </c>
      <c r="P289" s="827">
        <f t="shared" si="13"/>
        <v>0</v>
      </c>
    </row>
    <row r="290" spans="1:16" ht="30" hidden="1" customHeight="1" outlineLevel="1">
      <c r="A290" s="118"/>
      <c r="B290" s="118"/>
      <c r="C290" s="828">
        <v>266</v>
      </c>
      <c r="D290" s="829"/>
      <c r="E290" s="830"/>
      <c r="F290" s="830"/>
      <c r="G290" s="854"/>
      <c r="H290" s="1049"/>
      <c r="I290" s="856"/>
      <c r="J290" s="857"/>
      <c r="K290" s="858"/>
      <c r="L290" s="472"/>
      <c r="M290" s="816">
        <f t="shared" si="10"/>
        <v>0</v>
      </c>
      <c r="N290" s="833">
        <f t="shared" si="11"/>
        <v>0</v>
      </c>
      <c r="O290" s="265">
        <f t="shared" si="12"/>
        <v>0</v>
      </c>
      <c r="P290" s="827">
        <f t="shared" si="13"/>
        <v>0</v>
      </c>
    </row>
    <row r="291" spans="1:16" ht="30" hidden="1" customHeight="1" outlineLevel="1">
      <c r="A291" s="118"/>
      <c r="B291" s="118"/>
      <c r="C291" s="828">
        <v>267</v>
      </c>
      <c r="D291" s="829"/>
      <c r="E291" s="830"/>
      <c r="F291" s="830"/>
      <c r="G291" s="854"/>
      <c r="H291" s="1049"/>
      <c r="I291" s="856"/>
      <c r="J291" s="857"/>
      <c r="K291" s="858"/>
      <c r="L291" s="472"/>
      <c r="M291" s="816">
        <f t="shared" si="10"/>
        <v>0</v>
      </c>
      <c r="N291" s="833">
        <f t="shared" si="11"/>
        <v>0</v>
      </c>
      <c r="O291" s="265">
        <f t="shared" si="12"/>
        <v>0</v>
      </c>
      <c r="P291" s="827">
        <f t="shared" si="13"/>
        <v>0</v>
      </c>
    </row>
    <row r="292" spans="1:16" ht="30" hidden="1" customHeight="1" outlineLevel="1">
      <c r="A292" s="118"/>
      <c r="B292" s="118"/>
      <c r="C292" s="828">
        <v>268</v>
      </c>
      <c r="D292" s="829"/>
      <c r="E292" s="830"/>
      <c r="F292" s="830"/>
      <c r="G292" s="854"/>
      <c r="H292" s="1049"/>
      <c r="I292" s="856"/>
      <c r="J292" s="857"/>
      <c r="K292" s="858"/>
      <c r="L292" s="472"/>
      <c r="M292" s="816">
        <f t="shared" si="10"/>
        <v>0</v>
      </c>
      <c r="N292" s="833">
        <f t="shared" si="11"/>
        <v>0</v>
      </c>
      <c r="O292" s="265">
        <f t="shared" si="12"/>
        <v>0</v>
      </c>
      <c r="P292" s="827">
        <f t="shared" si="13"/>
        <v>0</v>
      </c>
    </row>
    <row r="293" spans="1:16" ht="30" hidden="1" customHeight="1" outlineLevel="1">
      <c r="A293" s="118"/>
      <c r="B293" s="118"/>
      <c r="C293" s="828">
        <v>269</v>
      </c>
      <c r="D293" s="829"/>
      <c r="E293" s="830"/>
      <c r="F293" s="830"/>
      <c r="G293" s="854"/>
      <c r="H293" s="1049"/>
      <c r="I293" s="856"/>
      <c r="J293" s="857"/>
      <c r="K293" s="858"/>
      <c r="L293" s="472"/>
      <c r="M293" s="816">
        <f t="shared" si="10"/>
        <v>0</v>
      </c>
      <c r="N293" s="833">
        <f t="shared" si="11"/>
        <v>0</v>
      </c>
      <c r="O293" s="265">
        <f t="shared" si="12"/>
        <v>0</v>
      </c>
      <c r="P293" s="827">
        <f t="shared" si="13"/>
        <v>0</v>
      </c>
    </row>
    <row r="294" spans="1:16" ht="30" hidden="1" customHeight="1" outlineLevel="1">
      <c r="A294" s="118"/>
      <c r="B294" s="118"/>
      <c r="C294" s="828">
        <v>270</v>
      </c>
      <c r="D294" s="829"/>
      <c r="E294" s="830"/>
      <c r="F294" s="830"/>
      <c r="G294" s="854"/>
      <c r="H294" s="1049"/>
      <c r="I294" s="856"/>
      <c r="J294" s="857"/>
      <c r="K294" s="858"/>
      <c r="L294" s="472"/>
      <c r="M294" s="816">
        <f t="shared" si="10"/>
        <v>0</v>
      </c>
      <c r="N294" s="833">
        <f t="shared" si="11"/>
        <v>0</v>
      </c>
      <c r="O294" s="265">
        <f t="shared" si="12"/>
        <v>0</v>
      </c>
      <c r="P294" s="827">
        <f t="shared" si="13"/>
        <v>0</v>
      </c>
    </row>
    <row r="295" spans="1:16" ht="30" hidden="1" customHeight="1" outlineLevel="1">
      <c r="A295" s="118"/>
      <c r="B295" s="118"/>
      <c r="C295" s="828">
        <v>271</v>
      </c>
      <c r="D295" s="829"/>
      <c r="E295" s="830"/>
      <c r="F295" s="830"/>
      <c r="G295" s="854"/>
      <c r="H295" s="1049"/>
      <c r="I295" s="856"/>
      <c r="J295" s="857"/>
      <c r="K295" s="858"/>
      <c r="L295" s="472"/>
      <c r="M295" s="816">
        <f t="shared" si="10"/>
        <v>0</v>
      </c>
      <c r="N295" s="833">
        <f t="shared" si="11"/>
        <v>0</v>
      </c>
      <c r="O295" s="265">
        <f t="shared" si="12"/>
        <v>0</v>
      </c>
      <c r="P295" s="827">
        <f t="shared" si="13"/>
        <v>0</v>
      </c>
    </row>
    <row r="296" spans="1:16" ht="30" hidden="1" customHeight="1" outlineLevel="1">
      <c r="A296" s="118"/>
      <c r="B296" s="118"/>
      <c r="C296" s="828">
        <v>272</v>
      </c>
      <c r="D296" s="829"/>
      <c r="E296" s="830"/>
      <c r="F296" s="830"/>
      <c r="G296" s="854"/>
      <c r="H296" s="1049"/>
      <c r="I296" s="856"/>
      <c r="J296" s="857"/>
      <c r="K296" s="858"/>
      <c r="L296" s="472"/>
      <c r="M296" s="816">
        <f t="shared" si="10"/>
        <v>0</v>
      </c>
      <c r="N296" s="833">
        <f t="shared" si="11"/>
        <v>0</v>
      </c>
      <c r="O296" s="265">
        <f t="shared" si="12"/>
        <v>0</v>
      </c>
      <c r="P296" s="827">
        <f t="shared" si="13"/>
        <v>0</v>
      </c>
    </row>
    <row r="297" spans="1:16" ht="30" hidden="1" customHeight="1" outlineLevel="1">
      <c r="A297" s="118"/>
      <c r="B297" s="118"/>
      <c r="C297" s="828">
        <v>273</v>
      </c>
      <c r="D297" s="829"/>
      <c r="E297" s="830"/>
      <c r="F297" s="830"/>
      <c r="G297" s="854"/>
      <c r="H297" s="1049"/>
      <c r="I297" s="856"/>
      <c r="J297" s="857"/>
      <c r="K297" s="858"/>
      <c r="L297" s="472"/>
      <c r="M297" s="816">
        <f t="shared" si="10"/>
        <v>0</v>
      </c>
      <c r="N297" s="833">
        <f t="shared" si="11"/>
        <v>0</v>
      </c>
      <c r="O297" s="265">
        <f t="shared" si="12"/>
        <v>0</v>
      </c>
      <c r="P297" s="827">
        <f t="shared" si="13"/>
        <v>0</v>
      </c>
    </row>
    <row r="298" spans="1:16" ht="30" hidden="1" customHeight="1" outlineLevel="1">
      <c r="A298" s="118"/>
      <c r="B298" s="118"/>
      <c r="C298" s="828">
        <v>274</v>
      </c>
      <c r="D298" s="829"/>
      <c r="E298" s="830"/>
      <c r="F298" s="830"/>
      <c r="G298" s="854"/>
      <c r="H298" s="1049"/>
      <c r="I298" s="856"/>
      <c r="J298" s="857"/>
      <c r="K298" s="858"/>
      <c r="L298" s="472"/>
      <c r="M298" s="816">
        <f t="shared" si="10"/>
        <v>0</v>
      </c>
      <c r="N298" s="833">
        <f t="shared" si="11"/>
        <v>0</v>
      </c>
      <c r="O298" s="265">
        <f t="shared" si="12"/>
        <v>0</v>
      </c>
      <c r="P298" s="827">
        <f t="shared" si="13"/>
        <v>0</v>
      </c>
    </row>
    <row r="299" spans="1:16" ht="30" hidden="1" customHeight="1" outlineLevel="1">
      <c r="A299" s="118"/>
      <c r="B299" s="118"/>
      <c r="C299" s="828">
        <v>275</v>
      </c>
      <c r="D299" s="829"/>
      <c r="E299" s="830"/>
      <c r="F299" s="830"/>
      <c r="G299" s="854"/>
      <c r="H299" s="1049"/>
      <c r="I299" s="856"/>
      <c r="J299" s="857"/>
      <c r="K299" s="858"/>
      <c r="L299" s="472"/>
      <c r="M299" s="816">
        <f t="shared" si="10"/>
        <v>0</v>
      </c>
      <c r="N299" s="833">
        <f t="shared" si="11"/>
        <v>0</v>
      </c>
      <c r="O299" s="265">
        <f t="shared" si="12"/>
        <v>0</v>
      </c>
      <c r="P299" s="827">
        <f t="shared" si="13"/>
        <v>0</v>
      </c>
    </row>
    <row r="300" spans="1:16" ht="30" hidden="1" customHeight="1" outlineLevel="1">
      <c r="A300" s="118"/>
      <c r="B300" s="118"/>
      <c r="C300" s="828">
        <v>276</v>
      </c>
      <c r="D300" s="829"/>
      <c r="E300" s="830"/>
      <c r="F300" s="830"/>
      <c r="G300" s="854"/>
      <c r="H300" s="1049"/>
      <c r="I300" s="856"/>
      <c r="J300" s="857"/>
      <c r="K300" s="858"/>
      <c r="L300" s="472"/>
      <c r="M300" s="816">
        <f t="shared" si="10"/>
        <v>0</v>
      </c>
      <c r="N300" s="833">
        <f t="shared" si="11"/>
        <v>0</v>
      </c>
      <c r="O300" s="265">
        <f t="shared" si="12"/>
        <v>0</v>
      </c>
      <c r="P300" s="827">
        <f t="shared" si="13"/>
        <v>0</v>
      </c>
    </row>
    <row r="301" spans="1:16" ht="30" hidden="1" customHeight="1" outlineLevel="1">
      <c r="A301" s="118"/>
      <c r="B301" s="118"/>
      <c r="C301" s="828">
        <v>277</v>
      </c>
      <c r="D301" s="829"/>
      <c r="E301" s="830"/>
      <c r="F301" s="830"/>
      <c r="G301" s="854"/>
      <c r="H301" s="1049"/>
      <c r="I301" s="856"/>
      <c r="J301" s="857"/>
      <c r="K301" s="858"/>
      <c r="L301" s="472"/>
      <c r="M301" s="816">
        <f t="shared" si="10"/>
        <v>0</v>
      </c>
      <c r="N301" s="833">
        <f t="shared" si="11"/>
        <v>0</v>
      </c>
      <c r="O301" s="265">
        <f t="shared" si="12"/>
        <v>0</v>
      </c>
      <c r="P301" s="827">
        <f t="shared" si="13"/>
        <v>0</v>
      </c>
    </row>
    <row r="302" spans="1:16" ht="30" hidden="1" customHeight="1" outlineLevel="1">
      <c r="A302" s="118"/>
      <c r="B302" s="118"/>
      <c r="C302" s="828">
        <v>278</v>
      </c>
      <c r="D302" s="829"/>
      <c r="E302" s="830"/>
      <c r="F302" s="830"/>
      <c r="G302" s="854"/>
      <c r="H302" s="1049"/>
      <c r="I302" s="856"/>
      <c r="J302" s="857"/>
      <c r="K302" s="858"/>
      <c r="L302" s="472"/>
      <c r="M302" s="816">
        <f t="shared" ref="M302:M365" si="14">IF($H302&gt;0,E302,)</f>
        <v>0</v>
      </c>
      <c r="N302" s="833">
        <f t="shared" ref="N302:N365" si="15">IF($H302&gt;0,F302,)</f>
        <v>0</v>
      </c>
      <c r="O302" s="265">
        <f t="shared" ref="O302:O365" si="16">IF(H302&gt;0,ROUND(G302,),)</f>
        <v>0</v>
      </c>
      <c r="P302" s="827">
        <f t="shared" ref="P302:P365" si="17">ROUND(O302*H302%,)</f>
        <v>0</v>
      </c>
    </row>
    <row r="303" spans="1:16" ht="30" hidden="1" customHeight="1" outlineLevel="1">
      <c r="A303" s="118"/>
      <c r="B303" s="118"/>
      <c r="C303" s="828">
        <v>279</v>
      </c>
      <c r="D303" s="829"/>
      <c r="E303" s="830"/>
      <c r="F303" s="830"/>
      <c r="G303" s="854"/>
      <c r="H303" s="1049"/>
      <c r="I303" s="856"/>
      <c r="J303" s="857"/>
      <c r="K303" s="858"/>
      <c r="L303" s="472"/>
      <c r="M303" s="816">
        <f t="shared" si="14"/>
        <v>0</v>
      </c>
      <c r="N303" s="833">
        <f t="shared" si="15"/>
        <v>0</v>
      </c>
      <c r="O303" s="265">
        <f t="shared" si="16"/>
        <v>0</v>
      </c>
      <c r="P303" s="827">
        <f t="shared" si="17"/>
        <v>0</v>
      </c>
    </row>
    <row r="304" spans="1:16" ht="30" hidden="1" customHeight="1" outlineLevel="1">
      <c r="A304" s="118"/>
      <c r="B304" s="118"/>
      <c r="C304" s="828">
        <v>280</v>
      </c>
      <c r="D304" s="829"/>
      <c r="E304" s="830"/>
      <c r="F304" s="830"/>
      <c r="G304" s="854"/>
      <c r="H304" s="1049"/>
      <c r="I304" s="856"/>
      <c r="J304" s="857"/>
      <c r="K304" s="858"/>
      <c r="L304" s="472"/>
      <c r="M304" s="816">
        <f t="shared" si="14"/>
        <v>0</v>
      </c>
      <c r="N304" s="833">
        <f t="shared" si="15"/>
        <v>0</v>
      </c>
      <c r="O304" s="265">
        <f t="shared" si="16"/>
        <v>0</v>
      </c>
      <c r="P304" s="827">
        <f t="shared" si="17"/>
        <v>0</v>
      </c>
    </row>
    <row r="305" spans="1:16" ht="30" hidden="1" customHeight="1" outlineLevel="1">
      <c r="A305" s="118"/>
      <c r="B305" s="118"/>
      <c r="C305" s="828">
        <v>281</v>
      </c>
      <c r="D305" s="829"/>
      <c r="E305" s="830"/>
      <c r="F305" s="830"/>
      <c r="G305" s="854"/>
      <c r="H305" s="1049"/>
      <c r="I305" s="856"/>
      <c r="J305" s="857"/>
      <c r="K305" s="858"/>
      <c r="L305" s="472"/>
      <c r="M305" s="816">
        <f t="shared" si="14"/>
        <v>0</v>
      </c>
      <c r="N305" s="833">
        <f t="shared" si="15"/>
        <v>0</v>
      </c>
      <c r="O305" s="265">
        <f t="shared" si="16"/>
        <v>0</v>
      </c>
      <c r="P305" s="827">
        <f t="shared" si="17"/>
        <v>0</v>
      </c>
    </row>
    <row r="306" spans="1:16" ht="30" hidden="1" customHeight="1" outlineLevel="1">
      <c r="A306" s="118"/>
      <c r="B306" s="118"/>
      <c r="C306" s="828">
        <v>282</v>
      </c>
      <c r="D306" s="829"/>
      <c r="E306" s="830"/>
      <c r="F306" s="830"/>
      <c r="G306" s="854"/>
      <c r="H306" s="1049"/>
      <c r="I306" s="856"/>
      <c r="J306" s="857"/>
      <c r="K306" s="858"/>
      <c r="L306" s="472"/>
      <c r="M306" s="816">
        <f t="shared" si="14"/>
        <v>0</v>
      </c>
      <c r="N306" s="833">
        <f t="shared" si="15"/>
        <v>0</v>
      </c>
      <c r="O306" s="265">
        <f t="shared" si="16"/>
        <v>0</v>
      </c>
      <c r="P306" s="827">
        <f t="shared" si="17"/>
        <v>0</v>
      </c>
    </row>
    <row r="307" spans="1:16" ht="30" hidden="1" customHeight="1" outlineLevel="1">
      <c r="A307" s="118"/>
      <c r="B307" s="118"/>
      <c r="C307" s="828">
        <v>283</v>
      </c>
      <c r="D307" s="829"/>
      <c r="E307" s="830"/>
      <c r="F307" s="830"/>
      <c r="G307" s="854"/>
      <c r="H307" s="1049"/>
      <c r="I307" s="856"/>
      <c r="J307" s="857"/>
      <c r="K307" s="858"/>
      <c r="L307" s="472"/>
      <c r="M307" s="816">
        <f t="shared" si="14"/>
        <v>0</v>
      </c>
      <c r="N307" s="833">
        <f t="shared" si="15"/>
        <v>0</v>
      </c>
      <c r="O307" s="265">
        <f t="shared" si="16"/>
        <v>0</v>
      </c>
      <c r="P307" s="827">
        <f t="shared" si="17"/>
        <v>0</v>
      </c>
    </row>
    <row r="308" spans="1:16" ht="30" hidden="1" customHeight="1" outlineLevel="1">
      <c r="A308" s="118"/>
      <c r="B308" s="118"/>
      <c r="C308" s="828">
        <v>284</v>
      </c>
      <c r="D308" s="829"/>
      <c r="E308" s="830"/>
      <c r="F308" s="830"/>
      <c r="G308" s="854"/>
      <c r="H308" s="1049"/>
      <c r="I308" s="856"/>
      <c r="J308" s="857"/>
      <c r="K308" s="858"/>
      <c r="L308" s="472"/>
      <c r="M308" s="816">
        <f t="shared" si="14"/>
        <v>0</v>
      </c>
      <c r="N308" s="833">
        <f t="shared" si="15"/>
        <v>0</v>
      </c>
      <c r="O308" s="265">
        <f t="shared" si="16"/>
        <v>0</v>
      </c>
      <c r="P308" s="827">
        <f t="shared" si="17"/>
        <v>0</v>
      </c>
    </row>
    <row r="309" spans="1:16" ht="30" hidden="1" customHeight="1" outlineLevel="1">
      <c r="A309" s="118"/>
      <c r="B309" s="118"/>
      <c r="C309" s="828">
        <v>285</v>
      </c>
      <c r="D309" s="829"/>
      <c r="E309" s="830"/>
      <c r="F309" s="830"/>
      <c r="G309" s="854"/>
      <c r="H309" s="1049"/>
      <c r="I309" s="856"/>
      <c r="J309" s="857"/>
      <c r="K309" s="858"/>
      <c r="L309" s="472"/>
      <c r="M309" s="816">
        <f t="shared" si="14"/>
        <v>0</v>
      </c>
      <c r="N309" s="833">
        <f t="shared" si="15"/>
        <v>0</v>
      </c>
      <c r="O309" s="265">
        <f t="shared" si="16"/>
        <v>0</v>
      </c>
      <c r="P309" s="827">
        <f t="shared" si="17"/>
        <v>0</v>
      </c>
    </row>
    <row r="310" spans="1:16" ht="30" hidden="1" customHeight="1" outlineLevel="1">
      <c r="A310" s="118"/>
      <c r="B310" s="118"/>
      <c r="C310" s="828">
        <v>286</v>
      </c>
      <c r="D310" s="829"/>
      <c r="E310" s="830"/>
      <c r="F310" s="830"/>
      <c r="G310" s="854"/>
      <c r="H310" s="1049"/>
      <c r="I310" s="856"/>
      <c r="J310" s="857"/>
      <c r="K310" s="858"/>
      <c r="L310" s="472"/>
      <c r="M310" s="816">
        <f t="shared" si="14"/>
        <v>0</v>
      </c>
      <c r="N310" s="833">
        <f t="shared" si="15"/>
        <v>0</v>
      </c>
      <c r="O310" s="265">
        <f t="shared" si="16"/>
        <v>0</v>
      </c>
      <c r="P310" s="827">
        <f t="shared" si="17"/>
        <v>0</v>
      </c>
    </row>
    <row r="311" spans="1:16" ht="30" hidden="1" customHeight="1" outlineLevel="1">
      <c r="A311" s="118"/>
      <c r="B311" s="118"/>
      <c r="C311" s="828">
        <v>287</v>
      </c>
      <c r="D311" s="829"/>
      <c r="E311" s="830"/>
      <c r="F311" s="830"/>
      <c r="G311" s="854"/>
      <c r="H311" s="1049"/>
      <c r="I311" s="856"/>
      <c r="J311" s="857"/>
      <c r="K311" s="858"/>
      <c r="L311" s="472"/>
      <c r="M311" s="816">
        <f t="shared" si="14"/>
        <v>0</v>
      </c>
      <c r="N311" s="833">
        <f t="shared" si="15"/>
        <v>0</v>
      </c>
      <c r="O311" s="265">
        <f t="shared" si="16"/>
        <v>0</v>
      </c>
      <c r="P311" s="827">
        <f t="shared" si="17"/>
        <v>0</v>
      </c>
    </row>
    <row r="312" spans="1:16" ht="30" hidden="1" customHeight="1" outlineLevel="1">
      <c r="A312" s="118"/>
      <c r="B312" s="118"/>
      <c r="C312" s="828">
        <v>288</v>
      </c>
      <c r="D312" s="829"/>
      <c r="E312" s="830"/>
      <c r="F312" s="830"/>
      <c r="G312" s="854"/>
      <c r="H312" s="1049"/>
      <c r="I312" s="856"/>
      <c r="J312" s="857"/>
      <c r="K312" s="858"/>
      <c r="L312" s="472"/>
      <c r="M312" s="816">
        <f t="shared" si="14"/>
        <v>0</v>
      </c>
      <c r="N312" s="833">
        <f t="shared" si="15"/>
        <v>0</v>
      </c>
      <c r="O312" s="265">
        <f t="shared" si="16"/>
        <v>0</v>
      </c>
      <c r="P312" s="827">
        <f t="shared" si="17"/>
        <v>0</v>
      </c>
    </row>
    <row r="313" spans="1:16" ht="30" hidden="1" customHeight="1" outlineLevel="1">
      <c r="A313" s="118"/>
      <c r="B313" s="118"/>
      <c r="C313" s="828">
        <v>289</v>
      </c>
      <c r="D313" s="829"/>
      <c r="E313" s="830"/>
      <c r="F313" s="830"/>
      <c r="G313" s="854"/>
      <c r="H313" s="1049"/>
      <c r="I313" s="856"/>
      <c r="J313" s="857"/>
      <c r="K313" s="858"/>
      <c r="L313" s="472"/>
      <c r="M313" s="816">
        <f t="shared" si="14"/>
        <v>0</v>
      </c>
      <c r="N313" s="833">
        <f t="shared" si="15"/>
        <v>0</v>
      </c>
      <c r="O313" s="265">
        <f t="shared" si="16"/>
        <v>0</v>
      </c>
      <c r="P313" s="827">
        <f t="shared" si="17"/>
        <v>0</v>
      </c>
    </row>
    <row r="314" spans="1:16" ht="30" hidden="1" customHeight="1" outlineLevel="1">
      <c r="A314" s="118"/>
      <c r="B314" s="118"/>
      <c r="C314" s="828">
        <v>290</v>
      </c>
      <c r="D314" s="829"/>
      <c r="E314" s="830"/>
      <c r="F314" s="830"/>
      <c r="G314" s="854"/>
      <c r="H314" s="1049"/>
      <c r="I314" s="856"/>
      <c r="J314" s="857"/>
      <c r="K314" s="858"/>
      <c r="L314" s="472"/>
      <c r="M314" s="816">
        <f t="shared" si="14"/>
        <v>0</v>
      </c>
      <c r="N314" s="833">
        <f t="shared" si="15"/>
        <v>0</v>
      </c>
      <c r="O314" s="265">
        <f t="shared" si="16"/>
        <v>0</v>
      </c>
      <c r="P314" s="827">
        <f t="shared" si="17"/>
        <v>0</v>
      </c>
    </row>
    <row r="315" spans="1:16" ht="30" hidden="1" customHeight="1" outlineLevel="1">
      <c r="A315" s="118"/>
      <c r="B315" s="118"/>
      <c r="C315" s="828">
        <v>291</v>
      </c>
      <c r="D315" s="829"/>
      <c r="E315" s="830"/>
      <c r="F315" s="830"/>
      <c r="G315" s="854"/>
      <c r="H315" s="1049"/>
      <c r="I315" s="856"/>
      <c r="J315" s="857"/>
      <c r="K315" s="858"/>
      <c r="L315" s="472"/>
      <c r="M315" s="816">
        <f t="shared" si="14"/>
        <v>0</v>
      </c>
      <c r="N315" s="833">
        <f t="shared" si="15"/>
        <v>0</v>
      </c>
      <c r="O315" s="265">
        <f t="shared" si="16"/>
        <v>0</v>
      </c>
      <c r="P315" s="827">
        <f t="shared" si="17"/>
        <v>0</v>
      </c>
    </row>
    <row r="316" spans="1:16" ht="30" hidden="1" customHeight="1" outlineLevel="1">
      <c r="A316" s="118"/>
      <c r="B316" s="118"/>
      <c r="C316" s="828">
        <v>292</v>
      </c>
      <c r="D316" s="829"/>
      <c r="E316" s="830"/>
      <c r="F316" s="830"/>
      <c r="G316" s="854"/>
      <c r="H316" s="1049"/>
      <c r="I316" s="856"/>
      <c r="J316" s="857"/>
      <c r="K316" s="858"/>
      <c r="L316" s="472"/>
      <c r="M316" s="816">
        <f t="shared" si="14"/>
        <v>0</v>
      </c>
      <c r="N316" s="833">
        <f t="shared" si="15"/>
        <v>0</v>
      </c>
      <c r="O316" s="265">
        <f t="shared" si="16"/>
        <v>0</v>
      </c>
      <c r="P316" s="827">
        <f t="shared" si="17"/>
        <v>0</v>
      </c>
    </row>
    <row r="317" spans="1:16" ht="30" hidden="1" customHeight="1" outlineLevel="1">
      <c r="A317" s="118"/>
      <c r="B317" s="118"/>
      <c r="C317" s="828">
        <v>293</v>
      </c>
      <c r="D317" s="829"/>
      <c r="E317" s="830"/>
      <c r="F317" s="830"/>
      <c r="G317" s="854"/>
      <c r="H317" s="1049"/>
      <c r="I317" s="856"/>
      <c r="J317" s="857"/>
      <c r="K317" s="858"/>
      <c r="L317" s="472"/>
      <c r="M317" s="816">
        <f t="shared" si="14"/>
        <v>0</v>
      </c>
      <c r="N317" s="833">
        <f t="shared" si="15"/>
        <v>0</v>
      </c>
      <c r="O317" s="265">
        <f t="shared" si="16"/>
        <v>0</v>
      </c>
      <c r="P317" s="827">
        <f t="shared" si="17"/>
        <v>0</v>
      </c>
    </row>
    <row r="318" spans="1:16" ht="30" hidden="1" customHeight="1" outlineLevel="1">
      <c r="A318" s="118"/>
      <c r="B318" s="118"/>
      <c r="C318" s="828">
        <v>294</v>
      </c>
      <c r="D318" s="829"/>
      <c r="E318" s="830"/>
      <c r="F318" s="830"/>
      <c r="G318" s="854"/>
      <c r="H318" s="1049"/>
      <c r="I318" s="856"/>
      <c r="J318" s="857"/>
      <c r="K318" s="858"/>
      <c r="L318" s="472"/>
      <c r="M318" s="816">
        <f t="shared" si="14"/>
        <v>0</v>
      </c>
      <c r="N318" s="833">
        <f t="shared" si="15"/>
        <v>0</v>
      </c>
      <c r="O318" s="265">
        <f t="shared" si="16"/>
        <v>0</v>
      </c>
      <c r="P318" s="827">
        <f t="shared" si="17"/>
        <v>0</v>
      </c>
    </row>
    <row r="319" spans="1:16" ht="30" hidden="1" customHeight="1" outlineLevel="1">
      <c r="A319" s="118"/>
      <c r="B319" s="118"/>
      <c r="C319" s="828">
        <v>295</v>
      </c>
      <c r="D319" s="829"/>
      <c r="E319" s="830"/>
      <c r="F319" s="830"/>
      <c r="G319" s="854"/>
      <c r="H319" s="1049"/>
      <c r="I319" s="856"/>
      <c r="J319" s="857"/>
      <c r="K319" s="858"/>
      <c r="L319" s="472"/>
      <c r="M319" s="816">
        <f t="shared" si="14"/>
        <v>0</v>
      </c>
      <c r="N319" s="833">
        <f t="shared" si="15"/>
        <v>0</v>
      </c>
      <c r="O319" s="265">
        <f t="shared" si="16"/>
        <v>0</v>
      </c>
      <c r="P319" s="827">
        <f t="shared" si="17"/>
        <v>0</v>
      </c>
    </row>
    <row r="320" spans="1:16" ht="30" hidden="1" customHeight="1" outlineLevel="1">
      <c r="A320" s="118"/>
      <c r="B320" s="118"/>
      <c r="C320" s="828">
        <v>296</v>
      </c>
      <c r="D320" s="829"/>
      <c r="E320" s="830"/>
      <c r="F320" s="830"/>
      <c r="G320" s="854"/>
      <c r="H320" s="1049"/>
      <c r="I320" s="856"/>
      <c r="J320" s="857"/>
      <c r="K320" s="858"/>
      <c r="L320" s="472"/>
      <c r="M320" s="816">
        <f t="shared" si="14"/>
        <v>0</v>
      </c>
      <c r="N320" s="833">
        <f t="shared" si="15"/>
        <v>0</v>
      </c>
      <c r="O320" s="265">
        <f t="shared" si="16"/>
        <v>0</v>
      </c>
      <c r="P320" s="827">
        <f t="shared" si="17"/>
        <v>0</v>
      </c>
    </row>
    <row r="321" spans="1:16" ht="30" hidden="1" customHeight="1" outlineLevel="1">
      <c r="A321" s="118"/>
      <c r="B321" s="118"/>
      <c r="C321" s="828">
        <v>297</v>
      </c>
      <c r="D321" s="829"/>
      <c r="E321" s="830"/>
      <c r="F321" s="830"/>
      <c r="G321" s="854"/>
      <c r="H321" s="1049"/>
      <c r="I321" s="856"/>
      <c r="J321" s="857"/>
      <c r="K321" s="858"/>
      <c r="L321" s="472"/>
      <c r="M321" s="816">
        <f t="shared" si="14"/>
        <v>0</v>
      </c>
      <c r="N321" s="833">
        <f t="shared" si="15"/>
        <v>0</v>
      </c>
      <c r="O321" s="265">
        <f t="shared" si="16"/>
        <v>0</v>
      </c>
      <c r="P321" s="827">
        <f t="shared" si="17"/>
        <v>0</v>
      </c>
    </row>
    <row r="322" spans="1:16" ht="30" hidden="1" customHeight="1" outlineLevel="1">
      <c r="A322" s="118"/>
      <c r="B322" s="118"/>
      <c r="C322" s="828">
        <v>298</v>
      </c>
      <c r="D322" s="829"/>
      <c r="E322" s="830"/>
      <c r="F322" s="830"/>
      <c r="G322" s="854"/>
      <c r="H322" s="1049"/>
      <c r="I322" s="856"/>
      <c r="J322" s="857"/>
      <c r="K322" s="858"/>
      <c r="L322" s="472"/>
      <c r="M322" s="816">
        <f t="shared" si="14"/>
        <v>0</v>
      </c>
      <c r="N322" s="833">
        <f t="shared" si="15"/>
        <v>0</v>
      </c>
      <c r="O322" s="265">
        <f t="shared" si="16"/>
        <v>0</v>
      </c>
      <c r="P322" s="827">
        <f t="shared" si="17"/>
        <v>0</v>
      </c>
    </row>
    <row r="323" spans="1:16" ht="30" hidden="1" customHeight="1" outlineLevel="1">
      <c r="A323" s="118"/>
      <c r="B323" s="118"/>
      <c r="C323" s="828">
        <v>299</v>
      </c>
      <c r="D323" s="829"/>
      <c r="E323" s="830"/>
      <c r="F323" s="830"/>
      <c r="G323" s="854"/>
      <c r="H323" s="1049"/>
      <c r="I323" s="856"/>
      <c r="J323" s="857"/>
      <c r="K323" s="858"/>
      <c r="L323" s="472"/>
      <c r="M323" s="816">
        <f t="shared" si="14"/>
        <v>0</v>
      </c>
      <c r="N323" s="833">
        <f t="shared" si="15"/>
        <v>0</v>
      </c>
      <c r="O323" s="265">
        <f t="shared" si="16"/>
        <v>0</v>
      </c>
      <c r="P323" s="827">
        <f t="shared" si="17"/>
        <v>0</v>
      </c>
    </row>
    <row r="324" spans="1:16" ht="30" hidden="1" customHeight="1" outlineLevel="1">
      <c r="A324" s="118"/>
      <c r="B324" s="118"/>
      <c r="C324" s="828">
        <v>300</v>
      </c>
      <c r="D324" s="829"/>
      <c r="E324" s="830"/>
      <c r="F324" s="830"/>
      <c r="G324" s="854"/>
      <c r="H324" s="1049"/>
      <c r="I324" s="856"/>
      <c r="J324" s="857"/>
      <c r="K324" s="858"/>
      <c r="L324" s="472"/>
      <c r="M324" s="816">
        <f t="shared" si="14"/>
        <v>0</v>
      </c>
      <c r="N324" s="833">
        <f t="shared" si="15"/>
        <v>0</v>
      </c>
      <c r="O324" s="265">
        <f t="shared" si="16"/>
        <v>0</v>
      </c>
      <c r="P324" s="827">
        <f t="shared" si="17"/>
        <v>0</v>
      </c>
    </row>
    <row r="325" spans="1:16" ht="30" hidden="1" customHeight="1" outlineLevel="1">
      <c r="A325" s="118"/>
      <c r="B325" s="118"/>
      <c r="C325" s="828">
        <v>301</v>
      </c>
      <c r="D325" s="829"/>
      <c r="E325" s="830"/>
      <c r="F325" s="830"/>
      <c r="G325" s="854"/>
      <c r="H325" s="1049"/>
      <c r="I325" s="856"/>
      <c r="J325" s="857"/>
      <c r="K325" s="858"/>
      <c r="L325" s="472"/>
      <c r="M325" s="816">
        <f t="shared" si="14"/>
        <v>0</v>
      </c>
      <c r="N325" s="833">
        <f t="shared" si="15"/>
        <v>0</v>
      </c>
      <c r="O325" s="265">
        <f t="shared" si="16"/>
        <v>0</v>
      </c>
      <c r="P325" s="827">
        <f t="shared" si="17"/>
        <v>0</v>
      </c>
    </row>
    <row r="326" spans="1:16" ht="30" hidden="1" customHeight="1" outlineLevel="1">
      <c r="A326" s="118"/>
      <c r="B326" s="118"/>
      <c r="C326" s="828">
        <v>302</v>
      </c>
      <c r="D326" s="829"/>
      <c r="E326" s="830"/>
      <c r="F326" s="830"/>
      <c r="G326" s="854"/>
      <c r="H326" s="1049"/>
      <c r="I326" s="856"/>
      <c r="J326" s="857"/>
      <c r="K326" s="858"/>
      <c r="L326" s="472"/>
      <c r="M326" s="816">
        <f t="shared" si="14"/>
        <v>0</v>
      </c>
      <c r="N326" s="833">
        <f t="shared" si="15"/>
        <v>0</v>
      </c>
      <c r="O326" s="265">
        <f t="shared" si="16"/>
        <v>0</v>
      </c>
      <c r="P326" s="827">
        <f t="shared" si="17"/>
        <v>0</v>
      </c>
    </row>
    <row r="327" spans="1:16" ht="30" hidden="1" customHeight="1" outlineLevel="1">
      <c r="A327" s="118"/>
      <c r="B327" s="118"/>
      <c r="C327" s="828">
        <v>303</v>
      </c>
      <c r="D327" s="829"/>
      <c r="E327" s="830"/>
      <c r="F327" s="830"/>
      <c r="G327" s="854"/>
      <c r="H327" s="1049"/>
      <c r="I327" s="856"/>
      <c r="J327" s="857"/>
      <c r="K327" s="858"/>
      <c r="L327" s="472"/>
      <c r="M327" s="816">
        <f t="shared" si="14"/>
        <v>0</v>
      </c>
      <c r="N327" s="833">
        <f t="shared" si="15"/>
        <v>0</v>
      </c>
      <c r="O327" s="265">
        <f t="shared" si="16"/>
        <v>0</v>
      </c>
      <c r="P327" s="827">
        <f t="shared" si="17"/>
        <v>0</v>
      </c>
    </row>
    <row r="328" spans="1:16" ht="30" hidden="1" customHeight="1" outlineLevel="1">
      <c r="A328" s="118"/>
      <c r="B328" s="118"/>
      <c r="C328" s="828">
        <v>304</v>
      </c>
      <c r="D328" s="829"/>
      <c r="E328" s="830"/>
      <c r="F328" s="830"/>
      <c r="G328" s="854"/>
      <c r="H328" s="1049"/>
      <c r="I328" s="856"/>
      <c r="J328" s="857"/>
      <c r="K328" s="858"/>
      <c r="L328" s="472"/>
      <c r="M328" s="816">
        <f t="shared" si="14"/>
        <v>0</v>
      </c>
      <c r="N328" s="833">
        <f t="shared" si="15"/>
        <v>0</v>
      </c>
      <c r="O328" s="265">
        <f t="shared" si="16"/>
        <v>0</v>
      </c>
      <c r="P328" s="827">
        <f t="shared" si="17"/>
        <v>0</v>
      </c>
    </row>
    <row r="329" spans="1:16" ht="30" hidden="1" customHeight="1" outlineLevel="1">
      <c r="A329" s="118"/>
      <c r="B329" s="118"/>
      <c r="C329" s="828">
        <v>305</v>
      </c>
      <c r="D329" s="829"/>
      <c r="E329" s="830"/>
      <c r="F329" s="830"/>
      <c r="G329" s="854"/>
      <c r="H329" s="1049"/>
      <c r="I329" s="856"/>
      <c r="J329" s="857"/>
      <c r="K329" s="858"/>
      <c r="L329" s="472"/>
      <c r="M329" s="816">
        <f t="shared" si="14"/>
        <v>0</v>
      </c>
      <c r="N329" s="833">
        <f t="shared" si="15"/>
        <v>0</v>
      </c>
      <c r="O329" s="265">
        <f t="shared" si="16"/>
        <v>0</v>
      </c>
      <c r="P329" s="827">
        <f t="shared" si="17"/>
        <v>0</v>
      </c>
    </row>
    <row r="330" spans="1:16" ht="30" hidden="1" customHeight="1" outlineLevel="1">
      <c r="A330" s="118"/>
      <c r="B330" s="118"/>
      <c r="C330" s="828">
        <v>306</v>
      </c>
      <c r="D330" s="829"/>
      <c r="E330" s="830"/>
      <c r="F330" s="830"/>
      <c r="G330" s="854"/>
      <c r="H330" s="1049"/>
      <c r="I330" s="856"/>
      <c r="J330" s="857"/>
      <c r="K330" s="858"/>
      <c r="L330" s="472"/>
      <c r="M330" s="816">
        <f t="shared" si="14"/>
        <v>0</v>
      </c>
      <c r="N330" s="833">
        <f t="shared" si="15"/>
        <v>0</v>
      </c>
      <c r="O330" s="265">
        <f t="shared" si="16"/>
        <v>0</v>
      </c>
      <c r="P330" s="827">
        <f t="shared" si="17"/>
        <v>0</v>
      </c>
    </row>
    <row r="331" spans="1:16" ht="30" hidden="1" customHeight="1" outlineLevel="1">
      <c r="A331" s="118"/>
      <c r="B331" s="118"/>
      <c r="C331" s="828">
        <v>307</v>
      </c>
      <c r="D331" s="829"/>
      <c r="E331" s="830"/>
      <c r="F331" s="830"/>
      <c r="G331" s="854"/>
      <c r="H331" s="1049"/>
      <c r="I331" s="856"/>
      <c r="J331" s="857"/>
      <c r="K331" s="858"/>
      <c r="L331" s="472"/>
      <c r="M331" s="816">
        <f t="shared" si="14"/>
        <v>0</v>
      </c>
      <c r="N331" s="833">
        <f t="shared" si="15"/>
        <v>0</v>
      </c>
      <c r="O331" s="265">
        <f t="shared" si="16"/>
        <v>0</v>
      </c>
      <c r="P331" s="827">
        <f t="shared" si="17"/>
        <v>0</v>
      </c>
    </row>
    <row r="332" spans="1:16" ht="30" hidden="1" customHeight="1" outlineLevel="1">
      <c r="A332" s="118"/>
      <c r="B332" s="118"/>
      <c r="C332" s="828">
        <v>308</v>
      </c>
      <c r="D332" s="829"/>
      <c r="E332" s="830"/>
      <c r="F332" s="830"/>
      <c r="G332" s="854"/>
      <c r="H332" s="1049"/>
      <c r="I332" s="856"/>
      <c r="J332" s="857"/>
      <c r="K332" s="858"/>
      <c r="L332" s="472"/>
      <c r="M332" s="816">
        <f t="shared" si="14"/>
        <v>0</v>
      </c>
      <c r="N332" s="833">
        <f t="shared" si="15"/>
        <v>0</v>
      </c>
      <c r="O332" s="265">
        <f t="shared" si="16"/>
        <v>0</v>
      </c>
      <c r="P332" s="827">
        <f t="shared" si="17"/>
        <v>0</v>
      </c>
    </row>
    <row r="333" spans="1:16" ht="30" hidden="1" customHeight="1" outlineLevel="1">
      <c r="A333" s="118"/>
      <c r="B333" s="118"/>
      <c r="C333" s="828">
        <v>309</v>
      </c>
      <c r="D333" s="829"/>
      <c r="E333" s="830"/>
      <c r="F333" s="830"/>
      <c r="G333" s="854"/>
      <c r="H333" s="1049"/>
      <c r="I333" s="856"/>
      <c r="J333" s="857"/>
      <c r="K333" s="858"/>
      <c r="L333" s="472"/>
      <c r="M333" s="816">
        <f t="shared" si="14"/>
        <v>0</v>
      </c>
      <c r="N333" s="833">
        <f t="shared" si="15"/>
        <v>0</v>
      </c>
      <c r="O333" s="265">
        <f t="shared" si="16"/>
        <v>0</v>
      </c>
      <c r="P333" s="827">
        <f t="shared" si="17"/>
        <v>0</v>
      </c>
    </row>
    <row r="334" spans="1:16" ht="30" hidden="1" customHeight="1" outlineLevel="1">
      <c r="A334" s="118"/>
      <c r="B334" s="118"/>
      <c r="C334" s="828">
        <v>310</v>
      </c>
      <c r="D334" s="829"/>
      <c r="E334" s="830"/>
      <c r="F334" s="830"/>
      <c r="G334" s="854"/>
      <c r="H334" s="1049"/>
      <c r="I334" s="856"/>
      <c r="J334" s="857"/>
      <c r="K334" s="858"/>
      <c r="L334" s="472"/>
      <c r="M334" s="816">
        <f t="shared" si="14"/>
        <v>0</v>
      </c>
      <c r="N334" s="833">
        <f t="shared" si="15"/>
        <v>0</v>
      </c>
      <c r="O334" s="265">
        <f t="shared" si="16"/>
        <v>0</v>
      </c>
      <c r="P334" s="827">
        <f t="shared" si="17"/>
        <v>0</v>
      </c>
    </row>
    <row r="335" spans="1:16" ht="30" hidden="1" customHeight="1" outlineLevel="1">
      <c r="A335" s="118"/>
      <c r="B335" s="118"/>
      <c r="C335" s="828">
        <v>311</v>
      </c>
      <c r="D335" s="829"/>
      <c r="E335" s="830"/>
      <c r="F335" s="830"/>
      <c r="G335" s="854"/>
      <c r="H335" s="1049"/>
      <c r="I335" s="856"/>
      <c r="J335" s="857"/>
      <c r="K335" s="858"/>
      <c r="L335" s="472"/>
      <c r="M335" s="816">
        <f t="shared" si="14"/>
        <v>0</v>
      </c>
      <c r="N335" s="833">
        <f t="shared" si="15"/>
        <v>0</v>
      </c>
      <c r="O335" s="265">
        <f t="shared" si="16"/>
        <v>0</v>
      </c>
      <c r="P335" s="827">
        <f t="shared" si="17"/>
        <v>0</v>
      </c>
    </row>
    <row r="336" spans="1:16" ht="30" hidden="1" customHeight="1" outlineLevel="1">
      <c r="A336" s="118"/>
      <c r="B336" s="118"/>
      <c r="C336" s="828">
        <v>312</v>
      </c>
      <c r="D336" s="829"/>
      <c r="E336" s="830"/>
      <c r="F336" s="830"/>
      <c r="G336" s="854"/>
      <c r="H336" s="1049"/>
      <c r="I336" s="856"/>
      <c r="J336" s="857"/>
      <c r="K336" s="858"/>
      <c r="L336" s="472"/>
      <c r="M336" s="816">
        <f t="shared" si="14"/>
        <v>0</v>
      </c>
      <c r="N336" s="833">
        <f t="shared" si="15"/>
        <v>0</v>
      </c>
      <c r="O336" s="265">
        <f t="shared" si="16"/>
        <v>0</v>
      </c>
      <c r="P336" s="827">
        <f t="shared" si="17"/>
        <v>0</v>
      </c>
    </row>
    <row r="337" spans="1:16" ht="30" hidden="1" customHeight="1" outlineLevel="1">
      <c r="A337" s="118"/>
      <c r="B337" s="118"/>
      <c r="C337" s="828">
        <v>313</v>
      </c>
      <c r="D337" s="829"/>
      <c r="E337" s="830"/>
      <c r="F337" s="830"/>
      <c r="G337" s="854"/>
      <c r="H337" s="1049"/>
      <c r="I337" s="856"/>
      <c r="J337" s="857"/>
      <c r="K337" s="858"/>
      <c r="L337" s="472"/>
      <c r="M337" s="816">
        <f t="shared" si="14"/>
        <v>0</v>
      </c>
      <c r="N337" s="833">
        <f t="shared" si="15"/>
        <v>0</v>
      </c>
      <c r="O337" s="265">
        <f t="shared" si="16"/>
        <v>0</v>
      </c>
      <c r="P337" s="827">
        <f t="shared" si="17"/>
        <v>0</v>
      </c>
    </row>
    <row r="338" spans="1:16" ht="30" hidden="1" customHeight="1" outlineLevel="1">
      <c r="A338" s="118"/>
      <c r="B338" s="118"/>
      <c r="C338" s="828">
        <v>314</v>
      </c>
      <c r="D338" s="829"/>
      <c r="E338" s="830"/>
      <c r="F338" s="830"/>
      <c r="G338" s="854"/>
      <c r="H338" s="1049"/>
      <c r="I338" s="856"/>
      <c r="J338" s="857"/>
      <c r="K338" s="858"/>
      <c r="L338" s="472"/>
      <c r="M338" s="816">
        <f t="shared" si="14"/>
        <v>0</v>
      </c>
      <c r="N338" s="833">
        <f t="shared" si="15"/>
        <v>0</v>
      </c>
      <c r="O338" s="265">
        <f t="shared" si="16"/>
        <v>0</v>
      </c>
      <c r="P338" s="827">
        <f t="shared" si="17"/>
        <v>0</v>
      </c>
    </row>
    <row r="339" spans="1:16" ht="30" hidden="1" customHeight="1" outlineLevel="1">
      <c r="A339" s="118"/>
      <c r="B339" s="118"/>
      <c r="C339" s="828">
        <v>315</v>
      </c>
      <c r="D339" s="829"/>
      <c r="E339" s="830"/>
      <c r="F339" s="830"/>
      <c r="G339" s="854"/>
      <c r="H339" s="1049"/>
      <c r="I339" s="856"/>
      <c r="J339" s="857"/>
      <c r="K339" s="858"/>
      <c r="L339" s="472"/>
      <c r="M339" s="816">
        <f t="shared" si="14"/>
        <v>0</v>
      </c>
      <c r="N339" s="833">
        <f t="shared" si="15"/>
        <v>0</v>
      </c>
      <c r="O339" s="265">
        <f t="shared" si="16"/>
        <v>0</v>
      </c>
      <c r="P339" s="827">
        <f t="shared" si="17"/>
        <v>0</v>
      </c>
    </row>
    <row r="340" spans="1:16" ht="30" hidden="1" customHeight="1" outlineLevel="1">
      <c r="A340" s="118"/>
      <c r="B340" s="118"/>
      <c r="C340" s="828">
        <v>316</v>
      </c>
      <c r="D340" s="829"/>
      <c r="E340" s="830"/>
      <c r="F340" s="830"/>
      <c r="G340" s="854"/>
      <c r="H340" s="1049"/>
      <c r="I340" s="856"/>
      <c r="J340" s="857"/>
      <c r="K340" s="858"/>
      <c r="L340" s="472"/>
      <c r="M340" s="816">
        <f t="shared" si="14"/>
        <v>0</v>
      </c>
      <c r="N340" s="833">
        <f t="shared" si="15"/>
        <v>0</v>
      </c>
      <c r="O340" s="265">
        <f t="shared" si="16"/>
        <v>0</v>
      </c>
      <c r="P340" s="827">
        <f t="shared" si="17"/>
        <v>0</v>
      </c>
    </row>
    <row r="341" spans="1:16" ht="30" hidden="1" customHeight="1" outlineLevel="1">
      <c r="A341" s="118"/>
      <c r="B341" s="118"/>
      <c r="C341" s="828">
        <v>317</v>
      </c>
      <c r="D341" s="829"/>
      <c r="E341" s="830"/>
      <c r="F341" s="830"/>
      <c r="G341" s="854"/>
      <c r="H341" s="1049"/>
      <c r="I341" s="856"/>
      <c r="J341" s="857"/>
      <c r="K341" s="858"/>
      <c r="L341" s="472"/>
      <c r="M341" s="816">
        <f t="shared" si="14"/>
        <v>0</v>
      </c>
      <c r="N341" s="833">
        <f t="shared" si="15"/>
        <v>0</v>
      </c>
      <c r="O341" s="265">
        <f t="shared" si="16"/>
        <v>0</v>
      </c>
      <c r="P341" s="827">
        <f t="shared" si="17"/>
        <v>0</v>
      </c>
    </row>
    <row r="342" spans="1:16" ht="30" hidden="1" customHeight="1" outlineLevel="1">
      <c r="A342" s="118"/>
      <c r="B342" s="118"/>
      <c r="C342" s="828">
        <v>318</v>
      </c>
      <c r="D342" s="829"/>
      <c r="E342" s="830"/>
      <c r="F342" s="830"/>
      <c r="G342" s="854"/>
      <c r="H342" s="1049"/>
      <c r="I342" s="856"/>
      <c r="J342" s="857"/>
      <c r="K342" s="858"/>
      <c r="L342" s="472"/>
      <c r="M342" s="816">
        <f t="shared" si="14"/>
        <v>0</v>
      </c>
      <c r="N342" s="833">
        <f t="shared" si="15"/>
        <v>0</v>
      </c>
      <c r="O342" s="265">
        <f t="shared" si="16"/>
        <v>0</v>
      </c>
      <c r="P342" s="827">
        <f t="shared" si="17"/>
        <v>0</v>
      </c>
    </row>
    <row r="343" spans="1:16" ht="30" hidden="1" customHeight="1" outlineLevel="1">
      <c r="A343" s="118"/>
      <c r="B343" s="118"/>
      <c r="C343" s="828">
        <v>319</v>
      </c>
      <c r="D343" s="829"/>
      <c r="E343" s="830"/>
      <c r="F343" s="830"/>
      <c r="G343" s="854"/>
      <c r="H343" s="1049"/>
      <c r="I343" s="856"/>
      <c r="J343" s="857"/>
      <c r="K343" s="858"/>
      <c r="L343" s="472"/>
      <c r="M343" s="816">
        <f t="shared" si="14"/>
        <v>0</v>
      </c>
      <c r="N343" s="833">
        <f t="shared" si="15"/>
        <v>0</v>
      </c>
      <c r="O343" s="265">
        <f t="shared" si="16"/>
        <v>0</v>
      </c>
      <c r="P343" s="827">
        <f t="shared" si="17"/>
        <v>0</v>
      </c>
    </row>
    <row r="344" spans="1:16" ht="30" hidden="1" customHeight="1" outlineLevel="1">
      <c r="A344" s="118"/>
      <c r="B344" s="118"/>
      <c r="C344" s="828">
        <v>320</v>
      </c>
      <c r="D344" s="829"/>
      <c r="E344" s="830"/>
      <c r="F344" s="830"/>
      <c r="G344" s="854"/>
      <c r="H344" s="1049"/>
      <c r="I344" s="856"/>
      <c r="J344" s="857"/>
      <c r="K344" s="858"/>
      <c r="L344" s="472"/>
      <c r="M344" s="816">
        <f t="shared" si="14"/>
        <v>0</v>
      </c>
      <c r="N344" s="833">
        <f t="shared" si="15"/>
        <v>0</v>
      </c>
      <c r="O344" s="265">
        <f t="shared" si="16"/>
        <v>0</v>
      </c>
      <c r="P344" s="827">
        <f t="shared" si="17"/>
        <v>0</v>
      </c>
    </row>
    <row r="345" spans="1:16" ht="30" hidden="1" customHeight="1" outlineLevel="1">
      <c r="A345" s="118"/>
      <c r="B345" s="118"/>
      <c r="C345" s="828">
        <v>321</v>
      </c>
      <c r="D345" s="829"/>
      <c r="E345" s="830"/>
      <c r="F345" s="830"/>
      <c r="G345" s="854"/>
      <c r="H345" s="1049"/>
      <c r="I345" s="856"/>
      <c r="J345" s="857"/>
      <c r="K345" s="858"/>
      <c r="L345" s="472"/>
      <c r="M345" s="816">
        <f t="shared" si="14"/>
        <v>0</v>
      </c>
      <c r="N345" s="833">
        <f t="shared" si="15"/>
        <v>0</v>
      </c>
      <c r="O345" s="265">
        <f t="shared" si="16"/>
        <v>0</v>
      </c>
      <c r="P345" s="827">
        <f t="shared" si="17"/>
        <v>0</v>
      </c>
    </row>
    <row r="346" spans="1:16" ht="30" hidden="1" customHeight="1" outlineLevel="1">
      <c r="A346" s="118"/>
      <c r="B346" s="118"/>
      <c r="C346" s="828">
        <v>322</v>
      </c>
      <c r="D346" s="829"/>
      <c r="E346" s="830"/>
      <c r="F346" s="830"/>
      <c r="G346" s="854"/>
      <c r="H346" s="1049"/>
      <c r="I346" s="856"/>
      <c r="J346" s="857"/>
      <c r="K346" s="858"/>
      <c r="L346" s="472"/>
      <c r="M346" s="816">
        <f t="shared" si="14"/>
        <v>0</v>
      </c>
      <c r="N346" s="833">
        <f t="shared" si="15"/>
        <v>0</v>
      </c>
      <c r="O346" s="265">
        <f t="shared" si="16"/>
        <v>0</v>
      </c>
      <c r="P346" s="827">
        <f t="shared" si="17"/>
        <v>0</v>
      </c>
    </row>
    <row r="347" spans="1:16" ht="30" hidden="1" customHeight="1" outlineLevel="1">
      <c r="A347" s="118"/>
      <c r="B347" s="118"/>
      <c r="C347" s="828">
        <v>323</v>
      </c>
      <c r="D347" s="829"/>
      <c r="E347" s="830"/>
      <c r="F347" s="830"/>
      <c r="G347" s="854"/>
      <c r="H347" s="1049"/>
      <c r="I347" s="856"/>
      <c r="J347" s="857"/>
      <c r="K347" s="858"/>
      <c r="L347" s="472"/>
      <c r="M347" s="816">
        <f t="shared" si="14"/>
        <v>0</v>
      </c>
      <c r="N347" s="833">
        <f t="shared" si="15"/>
        <v>0</v>
      </c>
      <c r="O347" s="265">
        <f t="shared" si="16"/>
        <v>0</v>
      </c>
      <c r="P347" s="827">
        <f t="shared" si="17"/>
        <v>0</v>
      </c>
    </row>
    <row r="348" spans="1:16" ht="30" hidden="1" customHeight="1" outlineLevel="1">
      <c r="A348" s="118"/>
      <c r="B348" s="118"/>
      <c r="C348" s="828">
        <v>324</v>
      </c>
      <c r="D348" s="829"/>
      <c r="E348" s="830"/>
      <c r="F348" s="830"/>
      <c r="G348" s="854"/>
      <c r="H348" s="1049"/>
      <c r="I348" s="856"/>
      <c r="J348" s="857"/>
      <c r="K348" s="858"/>
      <c r="L348" s="472"/>
      <c r="M348" s="816">
        <f t="shared" si="14"/>
        <v>0</v>
      </c>
      <c r="N348" s="833">
        <f t="shared" si="15"/>
        <v>0</v>
      </c>
      <c r="O348" s="265">
        <f t="shared" si="16"/>
        <v>0</v>
      </c>
      <c r="P348" s="827">
        <f t="shared" si="17"/>
        <v>0</v>
      </c>
    </row>
    <row r="349" spans="1:16" ht="30" hidden="1" customHeight="1" outlineLevel="1">
      <c r="A349" s="118"/>
      <c r="B349" s="118"/>
      <c r="C349" s="828">
        <v>325</v>
      </c>
      <c r="D349" s="829"/>
      <c r="E349" s="830"/>
      <c r="F349" s="830"/>
      <c r="G349" s="854"/>
      <c r="H349" s="1049"/>
      <c r="I349" s="856"/>
      <c r="J349" s="857"/>
      <c r="K349" s="858"/>
      <c r="L349" s="472"/>
      <c r="M349" s="816">
        <f t="shared" si="14"/>
        <v>0</v>
      </c>
      <c r="N349" s="833">
        <f t="shared" si="15"/>
        <v>0</v>
      </c>
      <c r="O349" s="265">
        <f t="shared" si="16"/>
        <v>0</v>
      </c>
      <c r="P349" s="827">
        <f t="shared" si="17"/>
        <v>0</v>
      </c>
    </row>
    <row r="350" spans="1:16" ht="30" hidden="1" customHeight="1" outlineLevel="1">
      <c r="A350" s="118"/>
      <c r="B350" s="118"/>
      <c r="C350" s="828">
        <v>326</v>
      </c>
      <c r="D350" s="829"/>
      <c r="E350" s="830"/>
      <c r="F350" s="830"/>
      <c r="G350" s="854"/>
      <c r="H350" s="1049"/>
      <c r="I350" s="856"/>
      <c r="J350" s="857"/>
      <c r="K350" s="858"/>
      <c r="L350" s="472"/>
      <c r="M350" s="816">
        <f t="shared" si="14"/>
        <v>0</v>
      </c>
      <c r="N350" s="833">
        <f t="shared" si="15"/>
        <v>0</v>
      </c>
      <c r="O350" s="265">
        <f t="shared" si="16"/>
        <v>0</v>
      </c>
      <c r="P350" s="827">
        <f t="shared" si="17"/>
        <v>0</v>
      </c>
    </row>
    <row r="351" spans="1:16" ht="30" hidden="1" customHeight="1" outlineLevel="1">
      <c r="A351" s="118"/>
      <c r="B351" s="118"/>
      <c r="C351" s="828">
        <v>327</v>
      </c>
      <c r="D351" s="829"/>
      <c r="E351" s="830"/>
      <c r="F351" s="830"/>
      <c r="G351" s="854"/>
      <c r="H351" s="1049"/>
      <c r="I351" s="856"/>
      <c r="J351" s="857"/>
      <c r="K351" s="858"/>
      <c r="L351" s="472"/>
      <c r="M351" s="816">
        <f t="shared" si="14"/>
        <v>0</v>
      </c>
      <c r="N351" s="833">
        <f t="shared" si="15"/>
        <v>0</v>
      </c>
      <c r="O351" s="265">
        <f t="shared" si="16"/>
        <v>0</v>
      </c>
      <c r="P351" s="827">
        <f t="shared" si="17"/>
        <v>0</v>
      </c>
    </row>
    <row r="352" spans="1:16" ht="30" hidden="1" customHeight="1" outlineLevel="1">
      <c r="A352" s="118"/>
      <c r="B352" s="118"/>
      <c r="C352" s="828">
        <v>328</v>
      </c>
      <c r="D352" s="829"/>
      <c r="E352" s="830"/>
      <c r="F352" s="830"/>
      <c r="G352" s="854"/>
      <c r="H352" s="1049"/>
      <c r="I352" s="856"/>
      <c r="J352" s="857"/>
      <c r="K352" s="858"/>
      <c r="L352" s="472"/>
      <c r="M352" s="816">
        <f t="shared" si="14"/>
        <v>0</v>
      </c>
      <c r="N352" s="833">
        <f t="shared" si="15"/>
        <v>0</v>
      </c>
      <c r="O352" s="265">
        <f t="shared" si="16"/>
        <v>0</v>
      </c>
      <c r="P352" s="827">
        <f t="shared" si="17"/>
        <v>0</v>
      </c>
    </row>
    <row r="353" spans="1:16" ht="30" hidden="1" customHeight="1" outlineLevel="1">
      <c r="A353" s="118"/>
      <c r="B353" s="118"/>
      <c r="C353" s="828">
        <v>329</v>
      </c>
      <c r="D353" s="829"/>
      <c r="E353" s="830"/>
      <c r="F353" s="830"/>
      <c r="G353" s="854"/>
      <c r="H353" s="1049"/>
      <c r="I353" s="856"/>
      <c r="J353" s="857"/>
      <c r="K353" s="858"/>
      <c r="L353" s="472"/>
      <c r="M353" s="816">
        <f t="shared" si="14"/>
        <v>0</v>
      </c>
      <c r="N353" s="833">
        <f t="shared" si="15"/>
        <v>0</v>
      </c>
      <c r="O353" s="265">
        <f t="shared" si="16"/>
        <v>0</v>
      </c>
      <c r="P353" s="827">
        <f t="shared" si="17"/>
        <v>0</v>
      </c>
    </row>
    <row r="354" spans="1:16" ht="30" hidden="1" customHeight="1" outlineLevel="1">
      <c r="A354" s="118"/>
      <c r="B354" s="118"/>
      <c r="C354" s="828">
        <v>330</v>
      </c>
      <c r="D354" s="829"/>
      <c r="E354" s="830"/>
      <c r="F354" s="830"/>
      <c r="G354" s="854"/>
      <c r="H354" s="1049"/>
      <c r="I354" s="856"/>
      <c r="J354" s="857"/>
      <c r="K354" s="858"/>
      <c r="L354" s="472"/>
      <c r="M354" s="816">
        <f t="shared" si="14"/>
        <v>0</v>
      </c>
      <c r="N354" s="833">
        <f t="shared" si="15"/>
        <v>0</v>
      </c>
      <c r="O354" s="265">
        <f t="shared" si="16"/>
        <v>0</v>
      </c>
      <c r="P354" s="827">
        <f t="shared" si="17"/>
        <v>0</v>
      </c>
    </row>
    <row r="355" spans="1:16" ht="30" hidden="1" customHeight="1" outlineLevel="1">
      <c r="A355" s="118"/>
      <c r="B355" s="118"/>
      <c r="C355" s="828">
        <v>331</v>
      </c>
      <c r="D355" s="829"/>
      <c r="E355" s="830"/>
      <c r="F355" s="830"/>
      <c r="G355" s="854"/>
      <c r="H355" s="1049"/>
      <c r="I355" s="856"/>
      <c r="J355" s="857"/>
      <c r="K355" s="858"/>
      <c r="L355" s="472"/>
      <c r="M355" s="816">
        <f t="shared" si="14"/>
        <v>0</v>
      </c>
      <c r="N355" s="833">
        <f t="shared" si="15"/>
        <v>0</v>
      </c>
      <c r="O355" s="265">
        <f t="shared" si="16"/>
        <v>0</v>
      </c>
      <c r="P355" s="827">
        <f t="shared" si="17"/>
        <v>0</v>
      </c>
    </row>
    <row r="356" spans="1:16" ht="30" hidden="1" customHeight="1" outlineLevel="1">
      <c r="A356" s="118"/>
      <c r="B356" s="118"/>
      <c r="C356" s="828">
        <v>332</v>
      </c>
      <c r="D356" s="829"/>
      <c r="E356" s="830"/>
      <c r="F356" s="830"/>
      <c r="G356" s="854"/>
      <c r="H356" s="1049"/>
      <c r="I356" s="856"/>
      <c r="J356" s="857"/>
      <c r="K356" s="858"/>
      <c r="L356" s="472"/>
      <c r="M356" s="816">
        <f t="shared" si="14"/>
        <v>0</v>
      </c>
      <c r="N356" s="833">
        <f t="shared" si="15"/>
        <v>0</v>
      </c>
      <c r="O356" s="265">
        <f t="shared" si="16"/>
        <v>0</v>
      </c>
      <c r="P356" s="827">
        <f t="shared" si="17"/>
        <v>0</v>
      </c>
    </row>
    <row r="357" spans="1:16" ht="30" hidden="1" customHeight="1" outlineLevel="1">
      <c r="A357" s="118"/>
      <c r="B357" s="118"/>
      <c r="C357" s="828">
        <v>333</v>
      </c>
      <c r="D357" s="829"/>
      <c r="E357" s="830"/>
      <c r="F357" s="830"/>
      <c r="G357" s="854"/>
      <c r="H357" s="1049"/>
      <c r="I357" s="856"/>
      <c r="J357" s="857"/>
      <c r="K357" s="858"/>
      <c r="L357" s="472"/>
      <c r="M357" s="816">
        <f t="shared" si="14"/>
        <v>0</v>
      </c>
      <c r="N357" s="833">
        <f t="shared" si="15"/>
        <v>0</v>
      </c>
      <c r="O357" s="265">
        <f t="shared" si="16"/>
        <v>0</v>
      </c>
      <c r="P357" s="827">
        <f t="shared" si="17"/>
        <v>0</v>
      </c>
    </row>
    <row r="358" spans="1:16" ht="30" hidden="1" customHeight="1" outlineLevel="1">
      <c r="A358" s="118"/>
      <c r="B358" s="118"/>
      <c r="C358" s="828">
        <v>334</v>
      </c>
      <c r="D358" s="829"/>
      <c r="E358" s="830"/>
      <c r="F358" s="830"/>
      <c r="G358" s="854"/>
      <c r="H358" s="1049"/>
      <c r="I358" s="856"/>
      <c r="J358" s="857"/>
      <c r="K358" s="858"/>
      <c r="L358" s="472"/>
      <c r="M358" s="816">
        <f t="shared" si="14"/>
        <v>0</v>
      </c>
      <c r="N358" s="833">
        <f t="shared" si="15"/>
        <v>0</v>
      </c>
      <c r="O358" s="265">
        <f t="shared" si="16"/>
        <v>0</v>
      </c>
      <c r="P358" s="827">
        <f t="shared" si="17"/>
        <v>0</v>
      </c>
    </row>
    <row r="359" spans="1:16" ht="30" hidden="1" customHeight="1" outlineLevel="1">
      <c r="A359" s="118"/>
      <c r="B359" s="118"/>
      <c r="C359" s="828">
        <v>335</v>
      </c>
      <c r="D359" s="829"/>
      <c r="E359" s="830"/>
      <c r="F359" s="830"/>
      <c r="G359" s="854"/>
      <c r="H359" s="1049"/>
      <c r="I359" s="856"/>
      <c r="J359" s="857"/>
      <c r="K359" s="858"/>
      <c r="L359" s="472"/>
      <c r="M359" s="816">
        <f t="shared" si="14"/>
        <v>0</v>
      </c>
      <c r="N359" s="833">
        <f t="shared" si="15"/>
        <v>0</v>
      </c>
      <c r="O359" s="265">
        <f t="shared" si="16"/>
        <v>0</v>
      </c>
      <c r="P359" s="827">
        <f t="shared" si="17"/>
        <v>0</v>
      </c>
    </row>
    <row r="360" spans="1:16" ht="30" hidden="1" customHeight="1" outlineLevel="1">
      <c r="A360" s="118"/>
      <c r="B360" s="118"/>
      <c r="C360" s="828">
        <v>336</v>
      </c>
      <c r="D360" s="829"/>
      <c r="E360" s="830"/>
      <c r="F360" s="830"/>
      <c r="G360" s="854"/>
      <c r="H360" s="1049"/>
      <c r="I360" s="856"/>
      <c r="J360" s="857"/>
      <c r="K360" s="858"/>
      <c r="L360" s="472"/>
      <c r="M360" s="816">
        <f t="shared" si="14"/>
        <v>0</v>
      </c>
      <c r="N360" s="833">
        <f t="shared" si="15"/>
        <v>0</v>
      </c>
      <c r="O360" s="265">
        <f t="shared" si="16"/>
        <v>0</v>
      </c>
      <c r="P360" s="827">
        <f t="shared" si="17"/>
        <v>0</v>
      </c>
    </row>
    <row r="361" spans="1:16" ht="30" hidden="1" customHeight="1" outlineLevel="1">
      <c r="A361" s="118"/>
      <c r="B361" s="118"/>
      <c r="C361" s="828">
        <v>337</v>
      </c>
      <c r="D361" s="829"/>
      <c r="E361" s="830"/>
      <c r="F361" s="830"/>
      <c r="G361" s="854"/>
      <c r="H361" s="1049"/>
      <c r="I361" s="856"/>
      <c r="J361" s="857"/>
      <c r="K361" s="858"/>
      <c r="L361" s="472"/>
      <c r="M361" s="816">
        <f t="shared" si="14"/>
        <v>0</v>
      </c>
      <c r="N361" s="833">
        <f t="shared" si="15"/>
        <v>0</v>
      </c>
      <c r="O361" s="265">
        <f t="shared" si="16"/>
        <v>0</v>
      </c>
      <c r="P361" s="827">
        <f t="shared" si="17"/>
        <v>0</v>
      </c>
    </row>
    <row r="362" spans="1:16" ht="30" hidden="1" customHeight="1" outlineLevel="1">
      <c r="A362" s="118"/>
      <c r="B362" s="118"/>
      <c r="C362" s="828">
        <v>338</v>
      </c>
      <c r="D362" s="829"/>
      <c r="E362" s="830"/>
      <c r="F362" s="830"/>
      <c r="G362" s="854"/>
      <c r="H362" s="1049"/>
      <c r="I362" s="856"/>
      <c r="J362" s="857"/>
      <c r="K362" s="858"/>
      <c r="L362" s="472"/>
      <c r="M362" s="816">
        <f t="shared" si="14"/>
        <v>0</v>
      </c>
      <c r="N362" s="833">
        <f t="shared" si="15"/>
        <v>0</v>
      </c>
      <c r="O362" s="265">
        <f t="shared" si="16"/>
        <v>0</v>
      </c>
      <c r="P362" s="827">
        <f t="shared" si="17"/>
        <v>0</v>
      </c>
    </row>
    <row r="363" spans="1:16" ht="30" hidden="1" customHeight="1" outlineLevel="1">
      <c r="A363" s="118"/>
      <c r="B363" s="118"/>
      <c r="C363" s="828">
        <v>339</v>
      </c>
      <c r="D363" s="829"/>
      <c r="E363" s="830"/>
      <c r="F363" s="830"/>
      <c r="G363" s="854"/>
      <c r="H363" s="1049"/>
      <c r="I363" s="856"/>
      <c r="J363" s="857"/>
      <c r="K363" s="858"/>
      <c r="L363" s="472"/>
      <c r="M363" s="816">
        <f t="shared" si="14"/>
        <v>0</v>
      </c>
      <c r="N363" s="833">
        <f t="shared" si="15"/>
        <v>0</v>
      </c>
      <c r="O363" s="265">
        <f t="shared" si="16"/>
        <v>0</v>
      </c>
      <c r="P363" s="827">
        <f t="shared" si="17"/>
        <v>0</v>
      </c>
    </row>
    <row r="364" spans="1:16" ht="30" hidden="1" customHeight="1" outlineLevel="1">
      <c r="A364" s="118"/>
      <c r="B364" s="118"/>
      <c r="C364" s="828">
        <v>340</v>
      </c>
      <c r="D364" s="829"/>
      <c r="E364" s="830"/>
      <c r="F364" s="830"/>
      <c r="G364" s="854"/>
      <c r="H364" s="1049"/>
      <c r="I364" s="856"/>
      <c r="J364" s="857"/>
      <c r="K364" s="858"/>
      <c r="L364" s="472"/>
      <c r="M364" s="816">
        <f t="shared" si="14"/>
        <v>0</v>
      </c>
      <c r="N364" s="833">
        <f t="shared" si="15"/>
        <v>0</v>
      </c>
      <c r="O364" s="265">
        <f t="shared" si="16"/>
        <v>0</v>
      </c>
      <c r="P364" s="827">
        <f t="shared" si="17"/>
        <v>0</v>
      </c>
    </row>
    <row r="365" spans="1:16" ht="30" hidden="1" customHeight="1" outlineLevel="1">
      <c r="A365" s="118"/>
      <c r="B365" s="118"/>
      <c r="C365" s="828">
        <v>341</v>
      </c>
      <c r="D365" s="829"/>
      <c r="E365" s="830"/>
      <c r="F365" s="830"/>
      <c r="G365" s="854"/>
      <c r="H365" s="1049"/>
      <c r="I365" s="856"/>
      <c r="J365" s="857"/>
      <c r="K365" s="858"/>
      <c r="L365" s="472"/>
      <c r="M365" s="816">
        <f t="shared" si="14"/>
        <v>0</v>
      </c>
      <c r="N365" s="833">
        <f t="shared" si="15"/>
        <v>0</v>
      </c>
      <c r="O365" s="265">
        <f t="shared" si="16"/>
        <v>0</v>
      </c>
      <c r="P365" s="827">
        <f t="shared" si="17"/>
        <v>0</v>
      </c>
    </row>
    <row r="366" spans="1:16" ht="30" hidden="1" customHeight="1" outlineLevel="1">
      <c r="A366" s="118"/>
      <c r="B366" s="118"/>
      <c r="C366" s="828">
        <v>342</v>
      </c>
      <c r="D366" s="829"/>
      <c r="E366" s="830"/>
      <c r="F366" s="830"/>
      <c r="G366" s="854"/>
      <c r="H366" s="1049"/>
      <c r="I366" s="856"/>
      <c r="J366" s="857"/>
      <c r="K366" s="858"/>
      <c r="L366" s="472"/>
      <c r="M366" s="816">
        <f t="shared" ref="M366:M429" si="18">IF($H366&gt;0,E366,)</f>
        <v>0</v>
      </c>
      <c r="N366" s="833">
        <f t="shared" ref="N366:N429" si="19">IF($H366&gt;0,F366,)</f>
        <v>0</v>
      </c>
      <c r="O366" s="265">
        <f t="shared" ref="O366:O429" si="20">IF(H366&gt;0,ROUND(G366,),)</f>
        <v>0</v>
      </c>
      <c r="P366" s="827">
        <f t="shared" ref="P366:P429" si="21">ROUND(O366*H366%,)</f>
        <v>0</v>
      </c>
    </row>
    <row r="367" spans="1:16" ht="30" hidden="1" customHeight="1" outlineLevel="1">
      <c r="A367" s="118"/>
      <c r="B367" s="118"/>
      <c r="C367" s="828">
        <v>343</v>
      </c>
      <c r="D367" s="829"/>
      <c r="E367" s="830"/>
      <c r="F367" s="830"/>
      <c r="G367" s="854"/>
      <c r="H367" s="1049"/>
      <c r="I367" s="856"/>
      <c r="J367" s="857"/>
      <c r="K367" s="858"/>
      <c r="L367" s="472"/>
      <c r="M367" s="816">
        <f t="shared" si="18"/>
        <v>0</v>
      </c>
      <c r="N367" s="833">
        <f t="shared" si="19"/>
        <v>0</v>
      </c>
      <c r="O367" s="265">
        <f t="shared" si="20"/>
        <v>0</v>
      </c>
      <c r="P367" s="827">
        <f t="shared" si="21"/>
        <v>0</v>
      </c>
    </row>
    <row r="368" spans="1:16" ht="30" hidden="1" customHeight="1" outlineLevel="1">
      <c r="A368" s="118"/>
      <c r="B368" s="118"/>
      <c r="C368" s="828">
        <v>344</v>
      </c>
      <c r="D368" s="829"/>
      <c r="E368" s="830"/>
      <c r="F368" s="830"/>
      <c r="G368" s="854"/>
      <c r="H368" s="1049"/>
      <c r="I368" s="856"/>
      <c r="J368" s="857"/>
      <c r="K368" s="858"/>
      <c r="L368" s="472"/>
      <c r="M368" s="816">
        <f t="shared" si="18"/>
        <v>0</v>
      </c>
      <c r="N368" s="833">
        <f t="shared" si="19"/>
        <v>0</v>
      </c>
      <c r="O368" s="265">
        <f t="shared" si="20"/>
        <v>0</v>
      </c>
      <c r="P368" s="827">
        <f t="shared" si="21"/>
        <v>0</v>
      </c>
    </row>
    <row r="369" spans="1:16" ht="30" hidden="1" customHeight="1" outlineLevel="1">
      <c r="A369" s="118"/>
      <c r="B369" s="118"/>
      <c r="C369" s="828">
        <v>345</v>
      </c>
      <c r="D369" s="829"/>
      <c r="E369" s="830"/>
      <c r="F369" s="830"/>
      <c r="G369" s="854"/>
      <c r="H369" s="1049"/>
      <c r="I369" s="856"/>
      <c r="J369" s="857"/>
      <c r="K369" s="858"/>
      <c r="L369" s="472"/>
      <c r="M369" s="816">
        <f t="shared" si="18"/>
        <v>0</v>
      </c>
      <c r="N369" s="833">
        <f t="shared" si="19"/>
        <v>0</v>
      </c>
      <c r="O369" s="265">
        <f t="shared" si="20"/>
        <v>0</v>
      </c>
      <c r="P369" s="827">
        <f t="shared" si="21"/>
        <v>0</v>
      </c>
    </row>
    <row r="370" spans="1:16" ht="30" hidden="1" customHeight="1" outlineLevel="1">
      <c r="A370" s="118"/>
      <c r="B370" s="118"/>
      <c r="C370" s="828">
        <v>346</v>
      </c>
      <c r="D370" s="829"/>
      <c r="E370" s="830"/>
      <c r="F370" s="830"/>
      <c r="G370" s="854"/>
      <c r="H370" s="1049"/>
      <c r="I370" s="856"/>
      <c r="J370" s="857"/>
      <c r="K370" s="858"/>
      <c r="L370" s="472"/>
      <c r="M370" s="816">
        <f t="shared" si="18"/>
        <v>0</v>
      </c>
      <c r="N370" s="833">
        <f t="shared" si="19"/>
        <v>0</v>
      </c>
      <c r="O370" s="265">
        <f t="shared" si="20"/>
        <v>0</v>
      </c>
      <c r="P370" s="827">
        <f t="shared" si="21"/>
        <v>0</v>
      </c>
    </row>
    <row r="371" spans="1:16" ht="30" hidden="1" customHeight="1" outlineLevel="1">
      <c r="A371" s="118"/>
      <c r="B371" s="118"/>
      <c r="C371" s="828">
        <v>347</v>
      </c>
      <c r="D371" s="829"/>
      <c r="E371" s="830"/>
      <c r="F371" s="830"/>
      <c r="G371" s="854"/>
      <c r="H371" s="1049"/>
      <c r="I371" s="856"/>
      <c r="J371" s="857"/>
      <c r="K371" s="858"/>
      <c r="L371" s="472"/>
      <c r="M371" s="816">
        <f t="shared" si="18"/>
        <v>0</v>
      </c>
      <c r="N371" s="833">
        <f t="shared" si="19"/>
        <v>0</v>
      </c>
      <c r="O371" s="265">
        <f t="shared" si="20"/>
        <v>0</v>
      </c>
      <c r="P371" s="827">
        <f t="shared" si="21"/>
        <v>0</v>
      </c>
    </row>
    <row r="372" spans="1:16" ht="30" hidden="1" customHeight="1" outlineLevel="1">
      <c r="A372" s="118"/>
      <c r="B372" s="118"/>
      <c r="C372" s="828">
        <v>348</v>
      </c>
      <c r="D372" s="829"/>
      <c r="E372" s="830"/>
      <c r="F372" s="830"/>
      <c r="G372" s="854"/>
      <c r="H372" s="1049"/>
      <c r="I372" s="856"/>
      <c r="J372" s="857"/>
      <c r="K372" s="858"/>
      <c r="L372" s="472"/>
      <c r="M372" s="816">
        <f t="shared" si="18"/>
        <v>0</v>
      </c>
      <c r="N372" s="833">
        <f t="shared" si="19"/>
        <v>0</v>
      </c>
      <c r="O372" s="265">
        <f t="shared" si="20"/>
        <v>0</v>
      </c>
      <c r="P372" s="827">
        <f t="shared" si="21"/>
        <v>0</v>
      </c>
    </row>
    <row r="373" spans="1:16" ht="30" hidden="1" customHeight="1" outlineLevel="1">
      <c r="A373" s="118"/>
      <c r="B373" s="118"/>
      <c r="C373" s="828">
        <v>349</v>
      </c>
      <c r="D373" s="829"/>
      <c r="E373" s="830"/>
      <c r="F373" s="830"/>
      <c r="G373" s="854"/>
      <c r="H373" s="1049"/>
      <c r="I373" s="856"/>
      <c r="J373" s="857"/>
      <c r="K373" s="858"/>
      <c r="L373" s="472"/>
      <c r="M373" s="816">
        <f t="shared" si="18"/>
        <v>0</v>
      </c>
      <c r="N373" s="833">
        <f t="shared" si="19"/>
        <v>0</v>
      </c>
      <c r="O373" s="265">
        <f t="shared" si="20"/>
        <v>0</v>
      </c>
      <c r="P373" s="827">
        <f t="shared" si="21"/>
        <v>0</v>
      </c>
    </row>
    <row r="374" spans="1:16" ht="30" hidden="1" customHeight="1" outlineLevel="1">
      <c r="A374" s="118"/>
      <c r="B374" s="118"/>
      <c r="C374" s="828">
        <v>350</v>
      </c>
      <c r="D374" s="829"/>
      <c r="E374" s="830"/>
      <c r="F374" s="830"/>
      <c r="G374" s="854"/>
      <c r="H374" s="1049"/>
      <c r="I374" s="856"/>
      <c r="J374" s="857"/>
      <c r="K374" s="858"/>
      <c r="L374" s="472"/>
      <c r="M374" s="816">
        <f t="shared" si="18"/>
        <v>0</v>
      </c>
      <c r="N374" s="833">
        <f t="shared" si="19"/>
        <v>0</v>
      </c>
      <c r="O374" s="265">
        <f t="shared" si="20"/>
        <v>0</v>
      </c>
      <c r="P374" s="827">
        <f t="shared" si="21"/>
        <v>0</v>
      </c>
    </row>
    <row r="375" spans="1:16" ht="30" hidden="1" customHeight="1" outlineLevel="1">
      <c r="A375" s="118"/>
      <c r="B375" s="118"/>
      <c r="C375" s="828">
        <v>351</v>
      </c>
      <c r="D375" s="829"/>
      <c r="E375" s="830"/>
      <c r="F375" s="830"/>
      <c r="G375" s="854"/>
      <c r="H375" s="1049"/>
      <c r="I375" s="856"/>
      <c r="J375" s="857"/>
      <c r="K375" s="858"/>
      <c r="L375" s="472"/>
      <c r="M375" s="816">
        <f t="shared" si="18"/>
        <v>0</v>
      </c>
      <c r="N375" s="833">
        <f t="shared" si="19"/>
        <v>0</v>
      </c>
      <c r="O375" s="265">
        <f t="shared" si="20"/>
        <v>0</v>
      </c>
      <c r="P375" s="827">
        <f t="shared" si="21"/>
        <v>0</v>
      </c>
    </row>
    <row r="376" spans="1:16" ht="30" hidden="1" customHeight="1" outlineLevel="1">
      <c r="A376" s="118"/>
      <c r="B376" s="118"/>
      <c r="C376" s="828">
        <v>352</v>
      </c>
      <c r="D376" s="829"/>
      <c r="E376" s="830"/>
      <c r="F376" s="830"/>
      <c r="G376" s="854"/>
      <c r="H376" s="1049"/>
      <c r="I376" s="856"/>
      <c r="J376" s="857"/>
      <c r="K376" s="858"/>
      <c r="L376" s="472"/>
      <c r="M376" s="816">
        <f t="shared" si="18"/>
        <v>0</v>
      </c>
      <c r="N376" s="833">
        <f t="shared" si="19"/>
        <v>0</v>
      </c>
      <c r="O376" s="265">
        <f t="shared" si="20"/>
        <v>0</v>
      </c>
      <c r="P376" s="827">
        <f t="shared" si="21"/>
        <v>0</v>
      </c>
    </row>
    <row r="377" spans="1:16" ht="30" hidden="1" customHeight="1" outlineLevel="1">
      <c r="A377" s="118"/>
      <c r="B377" s="118"/>
      <c r="C377" s="828">
        <v>353</v>
      </c>
      <c r="D377" s="829"/>
      <c r="E377" s="830"/>
      <c r="F377" s="830"/>
      <c r="G377" s="854"/>
      <c r="H377" s="1049"/>
      <c r="I377" s="856"/>
      <c r="J377" s="857"/>
      <c r="K377" s="858"/>
      <c r="L377" s="472"/>
      <c r="M377" s="816">
        <f t="shared" si="18"/>
        <v>0</v>
      </c>
      <c r="N377" s="833">
        <f t="shared" si="19"/>
        <v>0</v>
      </c>
      <c r="O377" s="265">
        <f t="shared" si="20"/>
        <v>0</v>
      </c>
      <c r="P377" s="827">
        <f t="shared" si="21"/>
        <v>0</v>
      </c>
    </row>
    <row r="378" spans="1:16" ht="30" hidden="1" customHeight="1" outlineLevel="1">
      <c r="A378" s="118"/>
      <c r="B378" s="118"/>
      <c r="C378" s="828">
        <v>354</v>
      </c>
      <c r="D378" s="829"/>
      <c r="E378" s="830"/>
      <c r="F378" s="830"/>
      <c r="G378" s="854"/>
      <c r="H378" s="1049"/>
      <c r="I378" s="856"/>
      <c r="J378" s="857"/>
      <c r="K378" s="858"/>
      <c r="L378" s="472"/>
      <c r="M378" s="816">
        <f t="shared" si="18"/>
        <v>0</v>
      </c>
      <c r="N378" s="833">
        <f t="shared" si="19"/>
        <v>0</v>
      </c>
      <c r="O378" s="265">
        <f t="shared" si="20"/>
        <v>0</v>
      </c>
      <c r="P378" s="827">
        <f t="shared" si="21"/>
        <v>0</v>
      </c>
    </row>
    <row r="379" spans="1:16" ht="30" hidden="1" customHeight="1" outlineLevel="1">
      <c r="A379" s="118"/>
      <c r="B379" s="118"/>
      <c r="C379" s="828">
        <v>355</v>
      </c>
      <c r="D379" s="829"/>
      <c r="E379" s="830"/>
      <c r="F379" s="830"/>
      <c r="G379" s="854"/>
      <c r="H379" s="1049"/>
      <c r="I379" s="856"/>
      <c r="J379" s="857"/>
      <c r="K379" s="858"/>
      <c r="L379" s="472"/>
      <c r="M379" s="816">
        <f t="shared" si="18"/>
        <v>0</v>
      </c>
      <c r="N379" s="833">
        <f t="shared" si="19"/>
        <v>0</v>
      </c>
      <c r="O379" s="265">
        <f t="shared" si="20"/>
        <v>0</v>
      </c>
      <c r="P379" s="827">
        <f t="shared" si="21"/>
        <v>0</v>
      </c>
    </row>
    <row r="380" spans="1:16" ht="30" hidden="1" customHeight="1" outlineLevel="1">
      <c r="A380" s="118"/>
      <c r="B380" s="118"/>
      <c r="C380" s="828">
        <v>356</v>
      </c>
      <c r="D380" s="829"/>
      <c r="E380" s="830"/>
      <c r="F380" s="830"/>
      <c r="G380" s="854"/>
      <c r="H380" s="1049"/>
      <c r="I380" s="856"/>
      <c r="J380" s="857"/>
      <c r="K380" s="858"/>
      <c r="L380" s="472"/>
      <c r="M380" s="816">
        <f t="shared" si="18"/>
        <v>0</v>
      </c>
      <c r="N380" s="833">
        <f t="shared" si="19"/>
        <v>0</v>
      </c>
      <c r="O380" s="265">
        <f t="shared" si="20"/>
        <v>0</v>
      </c>
      <c r="P380" s="827">
        <f t="shared" si="21"/>
        <v>0</v>
      </c>
    </row>
    <row r="381" spans="1:16" ht="30" hidden="1" customHeight="1" outlineLevel="1">
      <c r="A381" s="118"/>
      <c r="B381" s="118"/>
      <c r="C381" s="828">
        <v>357</v>
      </c>
      <c r="D381" s="829"/>
      <c r="E381" s="830"/>
      <c r="F381" s="830"/>
      <c r="G381" s="854"/>
      <c r="H381" s="1049"/>
      <c r="I381" s="856"/>
      <c r="J381" s="857"/>
      <c r="K381" s="858"/>
      <c r="L381" s="472"/>
      <c r="M381" s="816">
        <f t="shared" si="18"/>
        <v>0</v>
      </c>
      <c r="N381" s="833">
        <f t="shared" si="19"/>
        <v>0</v>
      </c>
      <c r="O381" s="265">
        <f t="shared" si="20"/>
        <v>0</v>
      </c>
      <c r="P381" s="827">
        <f t="shared" si="21"/>
        <v>0</v>
      </c>
    </row>
    <row r="382" spans="1:16" ht="30" hidden="1" customHeight="1" outlineLevel="1">
      <c r="A382" s="118"/>
      <c r="B382" s="118"/>
      <c r="C382" s="828">
        <v>358</v>
      </c>
      <c r="D382" s="829"/>
      <c r="E382" s="830"/>
      <c r="F382" s="830"/>
      <c r="G382" s="854"/>
      <c r="H382" s="1049"/>
      <c r="I382" s="856"/>
      <c r="J382" s="857"/>
      <c r="K382" s="858"/>
      <c r="L382" s="472"/>
      <c r="M382" s="816">
        <f t="shared" si="18"/>
        <v>0</v>
      </c>
      <c r="N382" s="833">
        <f t="shared" si="19"/>
        <v>0</v>
      </c>
      <c r="O382" s="265">
        <f t="shared" si="20"/>
        <v>0</v>
      </c>
      <c r="P382" s="827">
        <f t="shared" si="21"/>
        <v>0</v>
      </c>
    </row>
    <row r="383" spans="1:16" ht="30" hidden="1" customHeight="1" outlineLevel="1">
      <c r="A383" s="118"/>
      <c r="B383" s="118"/>
      <c r="C383" s="828">
        <v>359</v>
      </c>
      <c r="D383" s="829"/>
      <c r="E383" s="830"/>
      <c r="F383" s="830"/>
      <c r="G383" s="854"/>
      <c r="H383" s="1049"/>
      <c r="I383" s="856"/>
      <c r="J383" s="857"/>
      <c r="K383" s="858"/>
      <c r="L383" s="472"/>
      <c r="M383" s="816">
        <f t="shared" si="18"/>
        <v>0</v>
      </c>
      <c r="N383" s="833">
        <f t="shared" si="19"/>
        <v>0</v>
      </c>
      <c r="O383" s="265">
        <f t="shared" si="20"/>
        <v>0</v>
      </c>
      <c r="P383" s="827">
        <f t="shared" si="21"/>
        <v>0</v>
      </c>
    </row>
    <row r="384" spans="1:16" ht="30" hidden="1" customHeight="1" outlineLevel="1">
      <c r="A384" s="118"/>
      <c r="B384" s="118"/>
      <c r="C384" s="828">
        <v>360</v>
      </c>
      <c r="D384" s="829"/>
      <c r="E384" s="830"/>
      <c r="F384" s="830"/>
      <c r="G384" s="854"/>
      <c r="H384" s="1049"/>
      <c r="I384" s="856"/>
      <c r="J384" s="857"/>
      <c r="K384" s="858"/>
      <c r="L384" s="472"/>
      <c r="M384" s="816">
        <f t="shared" si="18"/>
        <v>0</v>
      </c>
      <c r="N384" s="833">
        <f t="shared" si="19"/>
        <v>0</v>
      </c>
      <c r="O384" s="265">
        <f t="shared" si="20"/>
        <v>0</v>
      </c>
      <c r="P384" s="827">
        <f t="shared" si="21"/>
        <v>0</v>
      </c>
    </row>
    <row r="385" spans="1:16" ht="30" hidden="1" customHeight="1" outlineLevel="1">
      <c r="A385" s="118"/>
      <c r="B385" s="118"/>
      <c r="C385" s="828">
        <v>361</v>
      </c>
      <c r="D385" s="829"/>
      <c r="E385" s="830"/>
      <c r="F385" s="830"/>
      <c r="G385" s="854"/>
      <c r="H385" s="1049"/>
      <c r="I385" s="856"/>
      <c r="J385" s="857"/>
      <c r="K385" s="858"/>
      <c r="L385" s="472"/>
      <c r="M385" s="816">
        <f t="shared" si="18"/>
        <v>0</v>
      </c>
      <c r="N385" s="833">
        <f t="shared" si="19"/>
        <v>0</v>
      </c>
      <c r="O385" s="265">
        <f t="shared" si="20"/>
        <v>0</v>
      </c>
      <c r="P385" s="827">
        <f t="shared" si="21"/>
        <v>0</v>
      </c>
    </row>
    <row r="386" spans="1:16" ht="30" hidden="1" customHeight="1" outlineLevel="1">
      <c r="A386" s="118"/>
      <c r="B386" s="118"/>
      <c r="C386" s="828">
        <v>362</v>
      </c>
      <c r="D386" s="829"/>
      <c r="E386" s="830"/>
      <c r="F386" s="830"/>
      <c r="G386" s="854"/>
      <c r="H386" s="1049"/>
      <c r="I386" s="856"/>
      <c r="J386" s="857"/>
      <c r="K386" s="858"/>
      <c r="L386" s="472"/>
      <c r="M386" s="816">
        <f t="shared" si="18"/>
        <v>0</v>
      </c>
      <c r="N386" s="833">
        <f t="shared" si="19"/>
        <v>0</v>
      </c>
      <c r="O386" s="265">
        <f t="shared" si="20"/>
        <v>0</v>
      </c>
      <c r="P386" s="827">
        <f t="shared" si="21"/>
        <v>0</v>
      </c>
    </row>
    <row r="387" spans="1:16" ht="30" hidden="1" customHeight="1" outlineLevel="1">
      <c r="A387" s="118"/>
      <c r="B387" s="118"/>
      <c r="C387" s="828">
        <v>363</v>
      </c>
      <c r="D387" s="829"/>
      <c r="E387" s="830"/>
      <c r="F387" s="830"/>
      <c r="G387" s="854"/>
      <c r="H387" s="1049"/>
      <c r="I387" s="856"/>
      <c r="J387" s="857"/>
      <c r="K387" s="858"/>
      <c r="L387" s="472"/>
      <c r="M387" s="816">
        <f t="shared" si="18"/>
        <v>0</v>
      </c>
      <c r="N387" s="833">
        <f t="shared" si="19"/>
        <v>0</v>
      </c>
      <c r="O387" s="265">
        <f t="shared" si="20"/>
        <v>0</v>
      </c>
      <c r="P387" s="827">
        <f t="shared" si="21"/>
        <v>0</v>
      </c>
    </row>
    <row r="388" spans="1:16" ht="30" hidden="1" customHeight="1" outlineLevel="1">
      <c r="A388" s="118"/>
      <c r="B388" s="118"/>
      <c r="C388" s="828">
        <v>364</v>
      </c>
      <c r="D388" s="829"/>
      <c r="E388" s="830"/>
      <c r="F388" s="830"/>
      <c r="G388" s="854"/>
      <c r="H388" s="1049"/>
      <c r="I388" s="856"/>
      <c r="J388" s="857"/>
      <c r="K388" s="858"/>
      <c r="L388" s="472"/>
      <c r="M388" s="816">
        <f t="shared" si="18"/>
        <v>0</v>
      </c>
      <c r="N388" s="833">
        <f t="shared" si="19"/>
        <v>0</v>
      </c>
      <c r="O388" s="265">
        <f t="shared" si="20"/>
        <v>0</v>
      </c>
      <c r="P388" s="827">
        <f t="shared" si="21"/>
        <v>0</v>
      </c>
    </row>
    <row r="389" spans="1:16" ht="30" hidden="1" customHeight="1" outlineLevel="1">
      <c r="A389" s="118"/>
      <c r="B389" s="118"/>
      <c r="C389" s="828">
        <v>365</v>
      </c>
      <c r="D389" s="829"/>
      <c r="E389" s="830"/>
      <c r="F389" s="830"/>
      <c r="G389" s="854"/>
      <c r="H389" s="1049"/>
      <c r="I389" s="856"/>
      <c r="J389" s="857"/>
      <c r="K389" s="858"/>
      <c r="L389" s="472"/>
      <c r="M389" s="816">
        <f t="shared" si="18"/>
        <v>0</v>
      </c>
      <c r="N389" s="833">
        <f t="shared" si="19"/>
        <v>0</v>
      </c>
      <c r="O389" s="265">
        <f t="shared" si="20"/>
        <v>0</v>
      </c>
      <c r="P389" s="827">
        <f t="shared" si="21"/>
        <v>0</v>
      </c>
    </row>
    <row r="390" spans="1:16" ht="30" hidden="1" customHeight="1" outlineLevel="1">
      <c r="A390" s="118"/>
      <c r="B390" s="118"/>
      <c r="C390" s="828">
        <v>366</v>
      </c>
      <c r="D390" s="829"/>
      <c r="E390" s="830"/>
      <c r="F390" s="830"/>
      <c r="G390" s="854"/>
      <c r="H390" s="1049"/>
      <c r="I390" s="856"/>
      <c r="J390" s="857"/>
      <c r="K390" s="858"/>
      <c r="L390" s="472"/>
      <c r="M390" s="816">
        <f t="shared" si="18"/>
        <v>0</v>
      </c>
      <c r="N390" s="833">
        <f t="shared" si="19"/>
        <v>0</v>
      </c>
      <c r="O390" s="265">
        <f t="shared" si="20"/>
        <v>0</v>
      </c>
      <c r="P390" s="827">
        <f t="shared" si="21"/>
        <v>0</v>
      </c>
    </row>
    <row r="391" spans="1:16" ht="30" hidden="1" customHeight="1" outlineLevel="1">
      <c r="A391" s="118"/>
      <c r="B391" s="118"/>
      <c r="C391" s="828">
        <v>367</v>
      </c>
      <c r="D391" s="829"/>
      <c r="E391" s="830"/>
      <c r="F391" s="830"/>
      <c r="G391" s="854"/>
      <c r="H391" s="1049"/>
      <c r="I391" s="856"/>
      <c r="J391" s="857"/>
      <c r="K391" s="858"/>
      <c r="L391" s="472"/>
      <c r="M391" s="816">
        <f t="shared" si="18"/>
        <v>0</v>
      </c>
      <c r="N391" s="833">
        <f t="shared" si="19"/>
        <v>0</v>
      </c>
      <c r="O391" s="265">
        <f t="shared" si="20"/>
        <v>0</v>
      </c>
      <c r="P391" s="827">
        <f t="shared" si="21"/>
        <v>0</v>
      </c>
    </row>
    <row r="392" spans="1:16" ht="30" hidden="1" customHeight="1" outlineLevel="1">
      <c r="A392" s="118"/>
      <c r="B392" s="118"/>
      <c r="C392" s="828">
        <v>368</v>
      </c>
      <c r="D392" s="829"/>
      <c r="E392" s="830"/>
      <c r="F392" s="830"/>
      <c r="G392" s="854"/>
      <c r="H392" s="1049"/>
      <c r="I392" s="856"/>
      <c r="J392" s="857"/>
      <c r="K392" s="858"/>
      <c r="L392" s="472"/>
      <c r="M392" s="816">
        <f t="shared" si="18"/>
        <v>0</v>
      </c>
      <c r="N392" s="833">
        <f t="shared" si="19"/>
        <v>0</v>
      </c>
      <c r="O392" s="265">
        <f t="shared" si="20"/>
        <v>0</v>
      </c>
      <c r="P392" s="827">
        <f t="shared" si="21"/>
        <v>0</v>
      </c>
    </row>
    <row r="393" spans="1:16" ht="30" hidden="1" customHeight="1" outlineLevel="1">
      <c r="A393" s="118"/>
      <c r="B393" s="118"/>
      <c r="C393" s="828">
        <v>369</v>
      </c>
      <c r="D393" s="829"/>
      <c r="E393" s="830"/>
      <c r="F393" s="830"/>
      <c r="G393" s="854"/>
      <c r="H393" s="1049"/>
      <c r="I393" s="856"/>
      <c r="J393" s="857"/>
      <c r="K393" s="858"/>
      <c r="L393" s="472"/>
      <c r="M393" s="816">
        <f t="shared" si="18"/>
        <v>0</v>
      </c>
      <c r="N393" s="833">
        <f t="shared" si="19"/>
        <v>0</v>
      </c>
      <c r="O393" s="265">
        <f t="shared" si="20"/>
        <v>0</v>
      </c>
      <c r="P393" s="827">
        <f t="shared" si="21"/>
        <v>0</v>
      </c>
    </row>
    <row r="394" spans="1:16" ht="30" hidden="1" customHeight="1" outlineLevel="1">
      <c r="A394" s="118"/>
      <c r="B394" s="118"/>
      <c r="C394" s="828">
        <v>370</v>
      </c>
      <c r="D394" s="829"/>
      <c r="E394" s="830"/>
      <c r="F394" s="830"/>
      <c r="G394" s="854"/>
      <c r="H394" s="1049"/>
      <c r="I394" s="856"/>
      <c r="J394" s="857"/>
      <c r="K394" s="858"/>
      <c r="L394" s="472"/>
      <c r="M394" s="816">
        <f t="shared" si="18"/>
        <v>0</v>
      </c>
      <c r="N394" s="833">
        <f t="shared" si="19"/>
        <v>0</v>
      </c>
      <c r="O394" s="265">
        <f t="shared" si="20"/>
        <v>0</v>
      </c>
      <c r="P394" s="827">
        <f t="shared" si="21"/>
        <v>0</v>
      </c>
    </row>
    <row r="395" spans="1:16" ht="30" hidden="1" customHeight="1" outlineLevel="1">
      <c r="A395" s="118"/>
      <c r="B395" s="118"/>
      <c r="C395" s="828">
        <v>371</v>
      </c>
      <c r="D395" s="829"/>
      <c r="E395" s="830"/>
      <c r="F395" s="830"/>
      <c r="G395" s="854"/>
      <c r="H395" s="1049"/>
      <c r="I395" s="856"/>
      <c r="J395" s="857"/>
      <c r="K395" s="858"/>
      <c r="L395" s="472"/>
      <c r="M395" s="816">
        <f t="shared" si="18"/>
        <v>0</v>
      </c>
      <c r="N395" s="833">
        <f t="shared" si="19"/>
        <v>0</v>
      </c>
      <c r="O395" s="265">
        <f t="shared" si="20"/>
        <v>0</v>
      </c>
      <c r="P395" s="827">
        <f t="shared" si="21"/>
        <v>0</v>
      </c>
    </row>
    <row r="396" spans="1:16" ht="30" hidden="1" customHeight="1" outlineLevel="1">
      <c r="A396" s="118"/>
      <c r="B396" s="118"/>
      <c r="C396" s="828">
        <v>372</v>
      </c>
      <c r="D396" s="829"/>
      <c r="E396" s="830"/>
      <c r="F396" s="830"/>
      <c r="G396" s="854"/>
      <c r="H396" s="1049"/>
      <c r="I396" s="856"/>
      <c r="J396" s="857"/>
      <c r="K396" s="858"/>
      <c r="L396" s="472"/>
      <c r="M396" s="816">
        <f t="shared" si="18"/>
        <v>0</v>
      </c>
      <c r="N396" s="833">
        <f t="shared" si="19"/>
        <v>0</v>
      </c>
      <c r="O396" s="265">
        <f t="shared" si="20"/>
        <v>0</v>
      </c>
      <c r="P396" s="827">
        <f t="shared" si="21"/>
        <v>0</v>
      </c>
    </row>
    <row r="397" spans="1:16" ht="30" hidden="1" customHeight="1" outlineLevel="1">
      <c r="A397" s="118"/>
      <c r="B397" s="118"/>
      <c r="C397" s="828">
        <v>373</v>
      </c>
      <c r="D397" s="829"/>
      <c r="E397" s="830"/>
      <c r="F397" s="830"/>
      <c r="G397" s="854"/>
      <c r="H397" s="1049"/>
      <c r="I397" s="856"/>
      <c r="J397" s="857"/>
      <c r="K397" s="858"/>
      <c r="L397" s="472"/>
      <c r="M397" s="816">
        <f t="shared" si="18"/>
        <v>0</v>
      </c>
      <c r="N397" s="833">
        <f t="shared" si="19"/>
        <v>0</v>
      </c>
      <c r="O397" s="265">
        <f t="shared" si="20"/>
        <v>0</v>
      </c>
      <c r="P397" s="827">
        <f t="shared" si="21"/>
        <v>0</v>
      </c>
    </row>
    <row r="398" spans="1:16" ht="30" hidden="1" customHeight="1" outlineLevel="1">
      <c r="A398" s="118"/>
      <c r="B398" s="118"/>
      <c r="C398" s="828">
        <v>374</v>
      </c>
      <c r="D398" s="829"/>
      <c r="E398" s="830"/>
      <c r="F398" s="830"/>
      <c r="G398" s="854"/>
      <c r="H398" s="1049"/>
      <c r="I398" s="856"/>
      <c r="J398" s="857"/>
      <c r="K398" s="858"/>
      <c r="L398" s="472"/>
      <c r="M398" s="816">
        <f t="shared" si="18"/>
        <v>0</v>
      </c>
      <c r="N398" s="833">
        <f t="shared" si="19"/>
        <v>0</v>
      </c>
      <c r="O398" s="265">
        <f t="shared" si="20"/>
        <v>0</v>
      </c>
      <c r="P398" s="827">
        <f t="shared" si="21"/>
        <v>0</v>
      </c>
    </row>
    <row r="399" spans="1:16" ht="30" hidden="1" customHeight="1" outlineLevel="1">
      <c r="A399" s="118"/>
      <c r="B399" s="118"/>
      <c r="C399" s="828">
        <v>375</v>
      </c>
      <c r="D399" s="829"/>
      <c r="E399" s="830"/>
      <c r="F399" s="830"/>
      <c r="G399" s="854"/>
      <c r="H399" s="1049"/>
      <c r="I399" s="856"/>
      <c r="J399" s="857"/>
      <c r="K399" s="858"/>
      <c r="L399" s="472"/>
      <c r="M399" s="816">
        <f t="shared" si="18"/>
        <v>0</v>
      </c>
      <c r="N399" s="833">
        <f t="shared" si="19"/>
        <v>0</v>
      </c>
      <c r="O399" s="265">
        <f t="shared" si="20"/>
        <v>0</v>
      </c>
      <c r="P399" s="827">
        <f t="shared" si="21"/>
        <v>0</v>
      </c>
    </row>
    <row r="400" spans="1:16" ht="30" hidden="1" customHeight="1" outlineLevel="1">
      <c r="A400" s="118"/>
      <c r="B400" s="118"/>
      <c r="C400" s="828">
        <v>376</v>
      </c>
      <c r="D400" s="829"/>
      <c r="E400" s="830"/>
      <c r="F400" s="830"/>
      <c r="G400" s="854"/>
      <c r="H400" s="1049"/>
      <c r="I400" s="856"/>
      <c r="J400" s="857"/>
      <c r="K400" s="858"/>
      <c r="L400" s="472"/>
      <c r="M400" s="816">
        <f t="shared" si="18"/>
        <v>0</v>
      </c>
      <c r="N400" s="833">
        <f t="shared" si="19"/>
        <v>0</v>
      </c>
      <c r="O400" s="265">
        <f t="shared" si="20"/>
        <v>0</v>
      </c>
      <c r="P400" s="827">
        <f t="shared" si="21"/>
        <v>0</v>
      </c>
    </row>
    <row r="401" spans="1:16" ht="30" hidden="1" customHeight="1" outlineLevel="1">
      <c r="A401" s="118"/>
      <c r="B401" s="118"/>
      <c r="C401" s="828">
        <v>377</v>
      </c>
      <c r="D401" s="829"/>
      <c r="E401" s="830"/>
      <c r="F401" s="830"/>
      <c r="G401" s="854"/>
      <c r="H401" s="1049"/>
      <c r="I401" s="856"/>
      <c r="J401" s="857"/>
      <c r="K401" s="858"/>
      <c r="L401" s="472"/>
      <c r="M401" s="816">
        <f t="shared" si="18"/>
        <v>0</v>
      </c>
      <c r="N401" s="833">
        <f t="shared" si="19"/>
        <v>0</v>
      </c>
      <c r="O401" s="265">
        <f t="shared" si="20"/>
        <v>0</v>
      </c>
      <c r="P401" s="827">
        <f t="shared" si="21"/>
        <v>0</v>
      </c>
    </row>
    <row r="402" spans="1:16" ht="30" hidden="1" customHeight="1" outlineLevel="1">
      <c r="A402" s="118"/>
      <c r="B402" s="118"/>
      <c r="C402" s="828">
        <v>378</v>
      </c>
      <c r="D402" s="829"/>
      <c r="E402" s="830"/>
      <c r="F402" s="830"/>
      <c r="G402" s="854"/>
      <c r="H402" s="1049"/>
      <c r="I402" s="856"/>
      <c r="J402" s="857"/>
      <c r="K402" s="858"/>
      <c r="L402" s="472"/>
      <c r="M402" s="816">
        <f t="shared" si="18"/>
        <v>0</v>
      </c>
      <c r="N402" s="833">
        <f t="shared" si="19"/>
        <v>0</v>
      </c>
      <c r="O402" s="265">
        <f t="shared" si="20"/>
        <v>0</v>
      </c>
      <c r="P402" s="827">
        <f t="shared" si="21"/>
        <v>0</v>
      </c>
    </row>
    <row r="403" spans="1:16" ht="30" hidden="1" customHeight="1" outlineLevel="1">
      <c r="A403" s="118"/>
      <c r="B403" s="118"/>
      <c r="C403" s="828">
        <v>379</v>
      </c>
      <c r="D403" s="829"/>
      <c r="E403" s="830"/>
      <c r="F403" s="830"/>
      <c r="G403" s="854"/>
      <c r="H403" s="1049"/>
      <c r="I403" s="856"/>
      <c r="J403" s="857"/>
      <c r="K403" s="858"/>
      <c r="L403" s="472"/>
      <c r="M403" s="816">
        <f t="shared" si="18"/>
        <v>0</v>
      </c>
      <c r="N403" s="833">
        <f t="shared" si="19"/>
        <v>0</v>
      </c>
      <c r="O403" s="265">
        <f t="shared" si="20"/>
        <v>0</v>
      </c>
      <c r="P403" s="827">
        <f t="shared" si="21"/>
        <v>0</v>
      </c>
    </row>
    <row r="404" spans="1:16" ht="30" hidden="1" customHeight="1" outlineLevel="1">
      <c r="A404" s="118"/>
      <c r="B404" s="118"/>
      <c r="C404" s="828">
        <v>380</v>
      </c>
      <c r="D404" s="829"/>
      <c r="E404" s="830"/>
      <c r="F404" s="830"/>
      <c r="G404" s="854"/>
      <c r="H404" s="1049"/>
      <c r="I404" s="856"/>
      <c r="J404" s="857"/>
      <c r="K404" s="858"/>
      <c r="L404" s="472"/>
      <c r="M404" s="816">
        <f t="shared" si="18"/>
        <v>0</v>
      </c>
      <c r="N404" s="833">
        <f t="shared" si="19"/>
        <v>0</v>
      </c>
      <c r="O404" s="265">
        <f t="shared" si="20"/>
        <v>0</v>
      </c>
      <c r="P404" s="827">
        <f t="shared" si="21"/>
        <v>0</v>
      </c>
    </row>
    <row r="405" spans="1:16" ht="30" hidden="1" customHeight="1" outlineLevel="1">
      <c r="A405" s="118"/>
      <c r="B405" s="118"/>
      <c r="C405" s="828">
        <v>381</v>
      </c>
      <c r="D405" s="829"/>
      <c r="E405" s="830"/>
      <c r="F405" s="830"/>
      <c r="G405" s="854"/>
      <c r="H405" s="1049"/>
      <c r="I405" s="856"/>
      <c r="J405" s="857"/>
      <c r="K405" s="858"/>
      <c r="L405" s="472"/>
      <c r="M405" s="816">
        <f t="shared" si="18"/>
        <v>0</v>
      </c>
      <c r="N405" s="833">
        <f t="shared" si="19"/>
        <v>0</v>
      </c>
      <c r="O405" s="265">
        <f t="shared" si="20"/>
        <v>0</v>
      </c>
      <c r="P405" s="827">
        <f t="shared" si="21"/>
        <v>0</v>
      </c>
    </row>
    <row r="406" spans="1:16" ht="30" hidden="1" customHeight="1" outlineLevel="1">
      <c r="A406" s="118"/>
      <c r="B406" s="118"/>
      <c r="C406" s="828">
        <v>382</v>
      </c>
      <c r="D406" s="829"/>
      <c r="E406" s="830"/>
      <c r="F406" s="830"/>
      <c r="G406" s="854"/>
      <c r="H406" s="1049"/>
      <c r="I406" s="856"/>
      <c r="J406" s="857"/>
      <c r="K406" s="858"/>
      <c r="L406" s="472"/>
      <c r="M406" s="816">
        <f t="shared" si="18"/>
        <v>0</v>
      </c>
      <c r="N406" s="833">
        <f t="shared" si="19"/>
        <v>0</v>
      </c>
      <c r="O406" s="265">
        <f t="shared" si="20"/>
        <v>0</v>
      </c>
      <c r="P406" s="827">
        <f t="shared" si="21"/>
        <v>0</v>
      </c>
    </row>
    <row r="407" spans="1:16" ht="30" hidden="1" customHeight="1" outlineLevel="1">
      <c r="A407" s="118"/>
      <c r="B407" s="118"/>
      <c r="C407" s="828">
        <v>383</v>
      </c>
      <c r="D407" s="829"/>
      <c r="E407" s="830"/>
      <c r="F407" s="830"/>
      <c r="G407" s="854"/>
      <c r="H407" s="1049"/>
      <c r="I407" s="856"/>
      <c r="J407" s="857"/>
      <c r="K407" s="858"/>
      <c r="L407" s="472"/>
      <c r="M407" s="816">
        <f t="shared" si="18"/>
        <v>0</v>
      </c>
      <c r="N407" s="833">
        <f t="shared" si="19"/>
        <v>0</v>
      </c>
      <c r="O407" s="265">
        <f t="shared" si="20"/>
        <v>0</v>
      </c>
      <c r="P407" s="827">
        <f t="shared" si="21"/>
        <v>0</v>
      </c>
    </row>
    <row r="408" spans="1:16" ht="30" hidden="1" customHeight="1" outlineLevel="1">
      <c r="A408" s="118"/>
      <c r="B408" s="118"/>
      <c r="C408" s="828">
        <v>384</v>
      </c>
      <c r="D408" s="829"/>
      <c r="E408" s="830"/>
      <c r="F408" s="830"/>
      <c r="G408" s="854"/>
      <c r="H408" s="1049"/>
      <c r="I408" s="856"/>
      <c r="J408" s="857"/>
      <c r="K408" s="858"/>
      <c r="L408" s="472"/>
      <c r="M408" s="816">
        <f t="shared" si="18"/>
        <v>0</v>
      </c>
      <c r="N408" s="833">
        <f t="shared" si="19"/>
        <v>0</v>
      </c>
      <c r="O408" s="265">
        <f t="shared" si="20"/>
        <v>0</v>
      </c>
      <c r="P408" s="827">
        <f t="shared" si="21"/>
        <v>0</v>
      </c>
    </row>
    <row r="409" spans="1:16" ht="30" hidden="1" customHeight="1" outlineLevel="1">
      <c r="A409" s="118"/>
      <c r="B409" s="118"/>
      <c r="C409" s="828">
        <v>385</v>
      </c>
      <c r="D409" s="829"/>
      <c r="E409" s="830"/>
      <c r="F409" s="830"/>
      <c r="G409" s="854"/>
      <c r="H409" s="1049"/>
      <c r="I409" s="856"/>
      <c r="J409" s="857"/>
      <c r="K409" s="858"/>
      <c r="L409" s="472"/>
      <c r="M409" s="816">
        <f t="shared" si="18"/>
        <v>0</v>
      </c>
      <c r="N409" s="833">
        <f t="shared" si="19"/>
        <v>0</v>
      </c>
      <c r="O409" s="265">
        <f t="shared" si="20"/>
        <v>0</v>
      </c>
      <c r="P409" s="827">
        <f t="shared" si="21"/>
        <v>0</v>
      </c>
    </row>
    <row r="410" spans="1:16" ht="30" hidden="1" customHeight="1" outlineLevel="1">
      <c r="A410" s="118"/>
      <c r="B410" s="118"/>
      <c r="C410" s="828">
        <v>386</v>
      </c>
      <c r="D410" s="829"/>
      <c r="E410" s="830"/>
      <c r="F410" s="830"/>
      <c r="G410" s="854"/>
      <c r="H410" s="1049"/>
      <c r="I410" s="856"/>
      <c r="J410" s="857"/>
      <c r="K410" s="858"/>
      <c r="L410" s="472"/>
      <c r="M410" s="816">
        <f t="shared" si="18"/>
        <v>0</v>
      </c>
      <c r="N410" s="833">
        <f t="shared" si="19"/>
        <v>0</v>
      </c>
      <c r="O410" s="265">
        <f t="shared" si="20"/>
        <v>0</v>
      </c>
      <c r="P410" s="827">
        <f t="shared" si="21"/>
        <v>0</v>
      </c>
    </row>
    <row r="411" spans="1:16" ht="30" hidden="1" customHeight="1" outlineLevel="1">
      <c r="A411" s="118"/>
      <c r="B411" s="118"/>
      <c r="C411" s="828">
        <v>387</v>
      </c>
      <c r="D411" s="829"/>
      <c r="E411" s="830"/>
      <c r="F411" s="830"/>
      <c r="G411" s="854"/>
      <c r="H411" s="1049"/>
      <c r="I411" s="856"/>
      <c r="J411" s="857"/>
      <c r="K411" s="858"/>
      <c r="L411" s="472"/>
      <c r="M411" s="816">
        <f t="shared" si="18"/>
        <v>0</v>
      </c>
      <c r="N411" s="833">
        <f t="shared" si="19"/>
        <v>0</v>
      </c>
      <c r="O411" s="265">
        <f t="shared" si="20"/>
        <v>0</v>
      </c>
      <c r="P411" s="827">
        <f t="shared" si="21"/>
        <v>0</v>
      </c>
    </row>
    <row r="412" spans="1:16" ht="30" hidden="1" customHeight="1" outlineLevel="1">
      <c r="A412" s="118"/>
      <c r="B412" s="118"/>
      <c r="C412" s="828">
        <v>388</v>
      </c>
      <c r="D412" s="829"/>
      <c r="E412" s="830"/>
      <c r="F412" s="830"/>
      <c r="G412" s="854"/>
      <c r="H412" s="1049"/>
      <c r="I412" s="856"/>
      <c r="J412" s="857"/>
      <c r="K412" s="858"/>
      <c r="L412" s="472"/>
      <c r="M412" s="816">
        <f t="shared" si="18"/>
        <v>0</v>
      </c>
      <c r="N412" s="833">
        <f t="shared" si="19"/>
        <v>0</v>
      </c>
      <c r="O412" s="265">
        <f t="shared" si="20"/>
        <v>0</v>
      </c>
      <c r="P412" s="827">
        <f t="shared" si="21"/>
        <v>0</v>
      </c>
    </row>
    <row r="413" spans="1:16" ht="30" hidden="1" customHeight="1" outlineLevel="1">
      <c r="A413" s="118"/>
      <c r="B413" s="118"/>
      <c r="C413" s="828">
        <v>389</v>
      </c>
      <c r="D413" s="829"/>
      <c r="E413" s="830"/>
      <c r="F413" s="830"/>
      <c r="G413" s="854"/>
      <c r="H413" s="1049"/>
      <c r="I413" s="856"/>
      <c r="J413" s="857"/>
      <c r="K413" s="858"/>
      <c r="L413" s="472"/>
      <c r="M413" s="816">
        <f t="shared" si="18"/>
        <v>0</v>
      </c>
      <c r="N413" s="833">
        <f t="shared" si="19"/>
        <v>0</v>
      </c>
      <c r="O413" s="265">
        <f t="shared" si="20"/>
        <v>0</v>
      </c>
      <c r="P413" s="827">
        <f t="shared" si="21"/>
        <v>0</v>
      </c>
    </row>
    <row r="414" spans="1:16" ht="30" hidden="1" customHeight="1" outlineLevel="1">
      <c r="A414" s="118"/>
      <c r="B414" s="118"/>
      <c r="C414" s="828">
        <v>390</v>
      </c>
      <c r="D414" s="829"/>
      <c r="E414" s="830"/>
      <c r="F414" s="830"/>
      <c r="G414" s="854"/>
      <c r="H414" s="1049"/>
      <c r="I414" s="856"/>
      <c r="J414" s="857"/>
      <c r="K414" s="858"/>
      <c r="L414" s="472"/>
      <c r="M414" s="816">
        <f t="shared" si="18"/>
        <v>0</v>
      </c>
      <c r="N414" s="833">
        <f t="shared" si="19"/>
        <v>0</v>
      </c>
      <c r="O414" s="265">
        <f t="shared" si="20"/>
        <v>0</v>
      </c>
      <c r="P414" s="827">
        <f t="shared" si="21"/>
        <v>0</v>
      </c>
    </row>
    <row r="415" spans="1:16" ht="30" hidden="1" customHeight="1" outlineLevel="1">
      <c r="A415" s="118"/>
      <c r="B415" s="118"/>
      <c r="C415" s="828">
        <v>391</v>
      </c>
      <c r="D415" s="829"/>
      <c r="E415" s="830"/>
      <c r="F415" s="830"/>
      <c r="G415" s="854"/>
      <c r="H415" s="1049"/>
      <c r="I415" s="856"/>
      <c r="J415" s="857"/>
      <c r="K415" s="858"/>
      <c r="L415" s="472"/>
      <c r="M415" s="816">
        <f t="shared" si="18"/>
        <v>0</v>
      </c>
      <c r="N415" s="833">
        <f t="shared" si="19"/>
        <v>0</v>
      </c>
      <c r="O415" s="265">
        <f t="shared" si="20"/>
        <v>0</v>
      </c>
      <c r="P415" s="827">
        <f t="shared" si="21"/>
        <v>0</v>
      </c>
    </row>
    <row r="416" spans="1:16" ht="30" hidden="1" customHeight="1" outlineLevel="1">
      <c r="A416" s="118"/>
      <c r="B416" s="118"/>
      <c r="C416" s="828">
        <v>392</v>
      </c>
      <c r="D416" s="829"/>
      <c r="E416" s="830"/>
      <c r="F416" s="830"/>
      <c r="G416" s="854"/>
      <c r="H416" s="1049"/>
      <c r="I416" s="856"/>
      <c r="J416" s="857"/>
      <c r="K416" s="858"/>
      <c r="L416" s="472"/>
      <c r="M416" s="816">
        <f t="shared" si="18"/>
        <v>0</v>
      </c>
      <c r="N416" s="833">
        <f t="shared" si="19"/>
        <v>0</v>
      </c>
      <c r="O416" s="265">
        <f t="shared" si="20"/>
        <v>0</v>
      </c>
      <c r="P416" s="827">
        <f t="shared" si="21"/>
        <v>0</v>
      </c>
    </row>
    <row r="417" spans="1:16" ht="30" hidden="1" customHeight="1" outlineLevel="1">
      <c r="A417" s="118"/>
      <c r="B417" s="118"/>
      <c r="C417" s="828">
        <v>393</v>
      </c>
      <c r="D417" s="829"/>
      <c r="E417" s="830"/>
      <c r="F417" s="830"/>
      <c r="G417" s="854"/>
      <c r="H417" s="1049"/>
      <c r="I417" s="856"/>
      <c r="J417" s="857"/>
      <c r="K417" s="858"/>
      <c r="L417" s="472"/>
      <c r="M417" s="816">
        <f t="shared" si="18"/>
        <v>0</v>
      </c>
      <c r="N417" s="833">
        <f t="shared" si="19"/>
        <v>0</v>
      </c>
      <c r="O417" s="265">
        <f t="shared" si="20"/>
        <v>0</v>
      </c>
      <c r="P417" s="827">
        <f t="shared" si="21"/>
        <v>0</v>
      </c>
    </row>
    <row r="418" spans="1:16" ht="30" hidden="1" customHeight="1" outlineLevel="1">
      <c r="A418" s="118"/>
      <c r="B418" s="118"/>
      <c r="C418" s="828">
        <v>394</v>
      </c>
      <c r="D418" s="829"/>
      <c r="E418" s="830"/>
      <c r="F418" s="830"/>
      <c r="G418" s="854"/>
      <c r="H418" s="1049"/>
      <c r="I418" s="856"/>
      <c r="J418" s="857"/>
      <c r="K418" s="858"/>
      <c r="L418" s="472"/>
      <c r="M418" s="816">
        <f t="shared" si="18"/>
        <v>0</v>
      </c>
      <c r="N418" s="833">
        <f t="shared" si="19"/>
        <v>0</v>
      </c>
      <c r="O418" s="265">
        <f t="shared" si="20"/>
        <v>0</v>
      </c>
      <c r="P418" s="827">
        <f t="shared" si="21"/>
        <v>0</v>
      </c>
    </row>
    <row r="419" spans="1:16" ht="30" hidden="1" customHeight="1" outlineLevel="1">
      <c r="A419" s="118"/>
      <c r="B419" s="118"/>
      <c r="C419" s="828">
        <v>395</v>
      </c>
      <c r="D419" s="829"/>
      <c r="E419" s="830"/>
      <c r="F419" s="830"/>
      <c r="G419" s="854"/>
      <c r="H419" s="1049"/>
      <c r="I419" s="856"/>
      <c r="J419" s="857"/>
      <c r="K419" s="858"/>
      <c r="L419" s="472"/>
      <c r="M419" s="816">
        <f t="shared" si="18"/>
        <v>0</v>
      </c>
      <c r="N419" s="833">
        <f t="shared" si="19"/>
        <v>0</v>
      </c>
      <c r="O419" s="265">
        <f t="shared" si="20"/>
        <v>0</v>
      </c>
      <c r="P419" s="827">
        <f t="shared" si="21"/>
        <v>0</v>
      </c>
    </row>
    <row r="420" spans="1:16" ht="30" hidden="1" customHeight="1" outlineLevel="1">
      <c r="A420" s="118"/>
      <c r="B420" s="118"/>
      <c r="C420" s="828">
        <v>396</v>
      </c>
      <c r="D420" s="829"/>
      <c r="E420" s="830"/>
      <c r="F420" s="830"/>
      <c r="G420" s="854"/>
      <c r="H420" s="1049"/>
      <c r="I420" s="856"/>
      <c r="J420" s="857"/>
      <c r="K420" s="858"/>
      <c r="L420" s="472"/>
      <c r="M420" s="816">
        <f t="shared" si="18"/>
        <v>0</v>
      </c>
      <c r="N420" s="833">
        <f t="shared" si="19"/>
        <v>0</v>
      </c>
      <c r="O420" s="265">
        <f t="shared" si="20"/>
        <v>0</v>
      </c>
      <c r="P420" s="827">
        <f t="shared" si="21"/>
        <v>0</v>
      </c>
    </row>
    <row r="421" spans="1:16" ht="30" hidden="1" customHeight="1" outlineLevel="1">
      <c r="A421" s="118"/>
      <c r="B421" s="118"/>
      <c r="C421" s="828">
        <v>397</v>
      </c>
      <c r="D421" s="829"/>
      <c r="E421" s="830"/>
      <c r="F421" s="830"/>
      <c r="G421" s="854"/>
      <c r="H421" s="1049"/>
      <c r="I421" s="856"/>
      <c r="J421" s="857"/>
      <c r="K421" s="858"/>
      <c r="L421" s="472"/>
      <c r="M421" s="816">
        <f t="shared" si="18"/>
        <v>0</v>
      </c>
      <c r="N421" s="833">
        <f t="shared" si="19"/>
        <v>0</v>
      </c>
      <c r="O421" s="265">
        <f t="shared" si="20"/>
        <v>0</v>
      </c>
      <c r="P421" s="827">
        <f t="shared" si="21"/>
        <v>0</v>
      </c>
    </row>
    <row r="422" spans="1:16" ht="30" hidden="1" customHeight="1" outlineLevel="1">
      <c r="A422" s="118"/>
      <c r="B422" s="118"/>
      <c r="C422" s="828">
        <v>398</v>
      </c>
      <c r="D422" s="829"/>
      <c r="E422" s="830"/>
      <c r="F422" s="830"/>
      <c r="G422" s="854"/>
      <c r="H422" s="1049"/>
      <c r="I422" s="856"/>
      <c r="J422" s="857"/>
      <c r="K422" s="858"/>
      <c r="L422" s="472"/>
      <c r="M422" s="816">
        <f t="shared" si="18"/>
        <v>0</v>
      </c>
      <c r="N422" s="833">
        <f t="shared" si="19"/>
        <v>0</v>
      </c>
      <c r="O422" s="265">
        <f t="shared" si="20"/>
        <v>0</v>
      </c>
      <c r="P422" s="827">
        <f t="shared" si="21"/>
        <v>0</v>
      </c>
    </row>
    <row r="423" spans="1:16" ht="30" hidden="1" customHeight="1" outlineLevel="1">
      <c r="A423" s="118"/>
      <c r="B423" s="118"/>
      <c r="C423" s="828">
        <v>399</v>
      </c>
      <c r="D423" s="829"/>
      <c r="E423" s="830"/>
      <c r="F423" s="830"/>
      <c r="G423" s="854"/>
      <c r="H423" s="1049"/>
      <c r="I423" s="856"/>
      <c r="J423" s="857"/>
      <c r="K423" s="858"/>
      <c r="L423" s="472"/>
      <c r="M423" s="816">
        <f t="shared" si="18"/>
        <v>0</v>
      </c>
      <c r="N423" s="833">
        <f t="shared" si="19"/>
        <v>0</v>
      </c>
      <c r="O423" s="265">
        <f t="shared" si="20"/>
        <v>0</v>
      </c>
      <c r="P423" s="827">
        <f t="shared" si="21"/>
        <v>0</v>
      </c>
    </row>
    <row r="424" spans="1:16" ht="30" hidden="1" customHeight="1" outlineLevel="1">
      <c r="A424" s="118"/>
      <c r="B424" s="118"/>
      <c r="C424" s="828">
        <v>400</v>
      </c>
      <c r="D424" s="829"/>
      <c r="E424" s="830"/>
      <c r="F424" s="830"/>
      <c r="G424" s="854"/>
      <c r="H424" s="1049"/>
      <c r="I424" s="856"/>
      <c r="J424" s="857"/>
      <c r="K424" s="858"/>
      <c r="L424" s="472"/>
      <c r="M424" s="816">
        <f t="shared" si="18"/>
        <v>0</v>
      </c>
      <c r="N424" s="833">
        <f t="shared" si="19"/>
        <v>0</v>
      </c>
      <c r="O424" s="265">
        <f t="shared" si="20"/>
        <v>0</v>
      </c>
      <c r="P424" s="827">
        <f t="shared" si="21"/>
        <v>0</v>
      </c>
    </row>
    <row r="425" spans="1:16" ht="30" hidden="1" customHeight="1" outlineLevel="1">
      <c r="A425" s="118"/>
      <c r="B425" s="118"/>
      <c r="C425" s="828">
        <v>401</v>
      </c>
      <c r="D425" s="829"/>
      <c r="E425" s="830"/>
      <c r="F425" s="830"/>
      <c r="G425" s="854"/>
      <c r="H425" s="1049"/>
      <c r="I425" s="856"/>
      <c r="J425" s="857"/>
      <c r="K425" s="858"/>
      <c r="L425" s="472"/>
      <c r="M425" s="816">
        <f t="shared" si="18"/>
        <v>0</v>
      </c>
      <c r="N425" s="833">
        <f t="shared" si="19"/>
        <v>0</v>
      </c>
      <c r="O425" s="265">
        <f t="shared" si="20"/>
        <v>0</v>
      </c>
      <c r="P425" s="827">
        <f t="shared" si="21"/>
        <v>0</v>
      </c>
    </row>
    <row r="426" spans="1:16" ht="30" hidden="1" customHeight="1" outlineLevel="1">
      <c r="A426" s="118"/>
      <c r="B426" s="118"/>
      <c r="C426" s="828">
        <v>402</v>
      </c>
      <c r="D426" s="829"/>
      <c r="E426" s="830"/>
      <c r="F426" s="830"/>
      <c r="G426" s="854"/>
      <c r="H426" s="1049"/>
      <c r="I426" s="856"/>
      <c r="J426" s="857"/>
      <c r="K426" s="858"/>
      <c r="L426" s="472"/>
      <c r="M426" s="816">
        <f t="shared" si="18"/>
        <v>0</v>
      </c>
      <c r="N426" s="833">
        <f t="shared" si="19"/>
        <v>0</v>
      </c>
      <c r="O426" s="265">
        <f t="shared" si="20"/>
        <v>0</v>
      </c>
      <c r="P426" s="827">
        <f t="shared" si="21"/>
        <v>0</v>
      </c>
    </row>
    <row r="427" spans="1:16" ht="30" hidden="1" customHeight="1" outlineLevel="1">
      <c r="A427" s="118"/>
      <c r="B427" s="118"/>
      <c r="C427" s="828">
        <v>403</v>
      </c>
      <c r="D427" s="829"/>
      <c r="E427" s="830"/>
      <c r="F427" s="830"/>
      <c r="G427" s="854"/>
      <c r="H427" s="1049"/>
      <c r="I427" s="856"/>
      <c r="J427" s="857"/>
      <c r="K427" s="858"/>
      <c r="L427" s="472"/>
      <c r="M427" s="816">
        <f t="shared" si="18"/>
        <v>0</v>
      </c>
      <c r="N427" s="833">
        <f t="shared" si="19"/>
        <v>0</v>
      </c>
      <c r="O427" s="265">
        <f t="shared" si="20"/>
        <v>0</v>
      </c>
      <c r="P427" s="827">
        <f t="shared" si="21"/>
        <v>0</v>
      </c>
    </row>
    <row r="428" spans="1:16" ht="30" hidden="1" customHeight="1" outlineLevel="1">
      <c r="A428" s="118"/>
      <c r="B428" s="118"/>
      <c r="C428" s="828">
        <v>404</v>
      </c>
      <c r="D428" s="829"/>
      <c r="E428" s="830"/>
      <c r="F428" s="830"/>
      <c r="G428" s="854"/>
      <c r="H428" s="1049"/>
      <c r="I428" s="856"/>
      <c r="J428" s="857"/>
      <c r="K428" s="858"/>
      <c r="L428" s="472"/>
      <c r="M428" s="816">
        <f t="shared" si="18"/>
        <v>0</v>
      </c>
      <c r="N428" s="833">
        <f t="shared" si="19"/>
        <v>0</v>
      </c>
      <c r="O428" s="265">
        <f t="shared" si="20"/>
        <v>0</v>
      </c>
      <c r="P428" s="827">
        <f t="shared" si="21"/>
        <v>0</v>
      </c>
    </row>
    <row r="429" spans="1:16" ht="30" hidden="1" customHeight="1" outlineLevel="1">
      <c r="A429" s="118"/>
      <c r="B429" s="118"/>
      <c r="C429" s="828">
        <v>405</v>
      </c>
      <c r="D429" s="829"/>
      <c r="E429" s="830"/>
      <c r="F429" s="830"/>
      <c r="G429" s="854"/>
      <c r="H429" s="1049"/>
      <c r="I429" s="856"/>
      <c r="J429" s="857"/>
      <c r="K429" s="858"/>
      <c r="L429" s="472"/>
      <c r="M429" s="816">
        <f t="shared" si="18"/>
        <v>0</v>
      </c>
      <c r="N429" s="833">
        <f t="shared" si="19"/>
        <v>0</v>
      </c>
      <c r="O429" s="265">
        <f t="shared" si="20"/>
        <v>0</v>
      </c>
      <c r="P429" s="827">
        <f t="shared" si="21"/>
        <v>0</v>
      </c>
    </row>
    <row r="430" spans="1:16" ht="30" hidden="1" customHeight="1" outlineLevel="1">
      <c r="A430" s="118"/>
      <c r="B430" s="118"/>
      <c r="C430" s="828">
        <v>406</v>
      </c>
      <c r="D430" s="829"/>
      <c r="E430" s="830"/>
      <c r="F430" s="830"/>
      <c r="G430" s="854"/>
      <c r="H430" s="1049"/>
      <c r="I430" s="856"/>
      <c r="J430" s="857"/>
      <c r="K430" s="858"/>
      <c r="L430" s="472"/>
      <c r="M430" s="816">
        <f t="shared" ref="M430:M493" si="22">IF($H430&gt;0,E430,)</f>
        <v>0</v>
      </c>
      <c r="N430" s="833">
        <f t="shared" ref="N430:N493" si="23">IF($H430&gt;0,F430,)</f>
        <v>0</v>
      </c>
      <c r="O430" s="265">
        <f t="shared" ref="O430:O493" si="24">IF(H430&gt;0,ROUND(G430,),)</f>
        <v>0</v>
      </c>
      <c r="P430" s="827">
        <f t="shared" ref="P430:P493" si="25">ROUND(O430*H430%,)</f>
        <v>0</v>
      </c>
    </row>
    <row r="431" spans="1:16" ht="30" hidden="1" customHeight="1" outlineLevel="1">
      <c r="A431" s="118"/>
      <c r="B431" s="118"/>
      <c r="C431" s="828">
        <v>407</v>
      </c>
      <c r="D431" s="829"/>
      <c r="E431" s="830"/>
      <c r="F431" s="830"/>
      <c r="G431" s="854"/>
      <c r="H431" s="1049"/>
      <c r="I431" s="856"/>
      <c r="J431" s="857"/>
      <c r="K431" s="858"/>
      <c r="L431" s="472"/>
      <c r="M431" s="816">
        <f t="shared" si="22"/>
        <v>0</v>
      </c>
      <c r="N431" s="833">
        <f t="shared" si="23"/>
        <v>0</v>
      </c>
      <c r="O431" s="265">
        <f t="shared" si="24"/>
        <v>0</v>
      </c>
      <c r="P431" s="827">
        <f t="shared" si="25"/>
        <v>0</v>
      </c>
    </row>
    <row r="432" spans="1:16" ht="30" hidden="1" customHeight="1" outlineLevel="1">
      <c r="A432" s="118"/>
      <c r="B432" s="118"/>
      <c r="C432" s="828">
        <v>408</v>
      </c>
      <c r="D432" s="829"/>
      <c r="E432" s="830"/>
      <c r="F432" s="830"/>
      <c r="G432" s="854"/>
      <c r="H432" s="1049"/>
      <c r="I432" s="856"/>
      <c r="J432" s="857"/>
      <c r="K432" s="858"/>
      <c r="L432" s="472"/>
      <c r="M432" s="816">
        <f t="shared" si="22"/>
        <v>0</v>
      </c>
      <c r="N432" s="833">
        <f t="shared" si="23"/>
        <v>0</v>
      </c>
      <c r="O432" s="265">
        <f t="shared" si="24"/>
        <v>0</v>
      </c>
      <c r="P432" s="827">
        <f t="shared" si="25"/>
        <v>0</v>
      </c>
    </row>
    <row r="433" spans="1:16" ht="30" hidden="1" customHeight="1" outlineLevel="1">
      <c r="A433" s="118"/>
      <c r="B433" s="118"/>
      <c r="C433" s="828">
        <v>409</v>
      </c>
      <c r="D433" s="829"/>
      <c r="E433" s="830"/>
      <c r="F433" s="830"/>
      <c r="G433" s="854"/>
      <c r="H433" s="1049"/>
      <c r="I433" s="856"/>
      <c r="J433" s="857"/>
      <c r="K433" s="858"/>
      <c r="L433" s="472"/>
      <c r="M433" s="816">
        <f t="shared" si="22"/>
        <v>0</v>
      </c>
      <c r="N433" s="833">
        <f t="shared" si="23"/>
        <v>0</v>
      </c>
      <c r="O433" s="265">
        <f t="shared" si="24"/>
        <v>0</v>
      </c>
      <c r="P433" s="827">
        <f t="shared" si="25"/>
        <v>0</v>
      </c>
    </row>
    <row r="434" spans="1:16" ht="30" hidden="1" customHeight="1" outlineLevel="1">
      <c r="A434" s="118"/>
      <c r="B434" s="118"/>
      <c r="C434" s="828">
        <v>410</v>
      </c>
      <c r="D434" s="829"/>
      <c r="E434" s="830"/>
      <c r="F434" s="830"/>
      <c r="G434" s="854"/>
      <c r="H434" s="1049"/>
      <c r="I434" s="856"/>
      <c r="J434" s="857"/>
      <c r="K434" s="858"/>
      <c r="L434" s="472"/>
      <c r="M434" s="816">
        <f t="shared" si="22"/>
        <v>0</v>
      </c>
      <c r="N434" s="833">
        <f t="shared" si="23"/>
        <v>0</v>
      </c>
      <c r="O434" s="265">
        <f t="shared" si="24"/>
        <v>0</v>
      </c>
      <c r="P434" s="827">
        <f t="shared" si="25"/>
        <v>0</v>
      </c>
    </row>
    <row r="435" spans="1:16" ht="30" hidden="1" customHeight="1" outlineLevel="1">
      <c r="A435" s="118"/>
      <c r="B435" s="118"/>
      <c r="C435" s="828">
        <v>411</v>
      </c>
      <c r="D435" s="829"/>
      <c r="E435" s="830"/>
      <c r="F435" s="830"/>
      <c r="G435" s="854"/>
      <c r="H435" s="1049"/>
      <c r="I435" s="856"/>
      <c r="J435" s="857"/>
      <c r="K435" s="858"/>
      <c r="L435" s="472"/>
      <c r="M435" s="816">
        <f t="shared" si="22"/>
        <v>0</v>
      </c>
      <c r="N435" s="833">
        <f t="shared" si="23"/>
        <v>0</v>
      </c>
      <c r="O435" s="265">
        <f t="shared" si="24"/>
        <v>0</v>
      </c>
      <c r="P435" s="827">
        <f t="shared" si="25"/>
        <v>0</v>
      </c>
    </row>
    <row r="436" spans="1:16" ht="30" hidden="1" customHeight="1" outlineLevel="1">
      <c r="A436" s="118"/>
      <c r="B436" s="118"/>
      <c r="C436" s="828">
        <v>412</v>
      </c>
      <c r="D436" s="829"/>
      <c r="E436" s="830"/>
      <c r="F436" s="830"/>
      <c r="G436" s="854"/>
      <c r="H436" s="1049"/>
      <c r="I436" s="856"/>
      <c r="J436" s="857"/>
      <c r="K436" s="858"/>
      <c r="L436" s="472"/>
      <c r="M436" s="816">
        <f t="shared" si="22"/>
        <v>0</v>
      </c>
      <c r="N436" s="833">
        <f t="shared" si="23"/>
        <v>0</v>
      </c>
      <c r="O436" s="265">
        <f t="shared" si="24"/>
        <v>0</v>
      </c>
      <c r="P436" s="827">
        <f t="shared" si="25"/>
        <v>0</v>
      </c>
    </row>
    <row r="437" spans="1:16" ht="30" hidden="1" customHeight="1" outlineLevel="1">
      <c r="A437" s="118"/>
      <c r="B437" s="118"/>
      <c r="C437" s="828">
        <v>413</v>
      </c>
      <c r="D437" s="829"/>
      <c r="E437" s="830"/>
      <c r="F437" s="830"/>
      <c r="G437" s="854"/>
      <c r="H437" s="1049"/>
      <c r="I437" s="856"/>
      <c r="J437" s="857"/>
      <c r="K437" s="858"/>
      <c r="L437" s="472"/>
      <c r="M437" s="816">
        <f t="shared" si="22"/>
        <v>0</v>
      </c>
      <c r="N437" s="833">
        <f t="shared" si="23"/>
        <v>0</v>
      </c>
      <c r="O437" s="265">
        <f t="shared" si="24"/>
        <v>0</v>
      </c>
      <c r="P437" s="827">
        <f t="shared" si="25"/>
        <v>0</v>
      </c>
    </row>
    <row r="438" spans="1:16" ht="30" hidden="1" customHeight="1" outlineLevel="1">
      <c r="A438" s="118"/>
      <c r="B438" s="118"/>
      <c r="C438" s="828">
        <v>414</v>
      </c>
      <c r="D438" s="829"/>
      <c r="E438" s="830"/>
      <c r="F438" s="830"/>
      <c r="G438" s="854"/>
      <c r="H438" s="1049"/>
      <c r="I438" s="856"/>
      <c r="J438" s="857"/>
      <c r="K438" s="858"/>
      <c r="L438" s="472"/>
      <c r="M438" s="816">
        <f t="shared" si="22"/>
        <v>0</v>
      </c>
      <c r="N438" s="833">
        <f t="shared" si="23"/>
        <v>0</v>
      </c>
      <c r="O438" s="265">
        <f t="shared" si="24"/>
        <v>0</v>
      </c>
      <c r="P438" s="827">
        <f t="shared" si="25"/>
        <v>0</v>
      </c>
    </row>
    <row r="439" spans="1:16" ht="30" hidden="1" customHeight="1" outlineLevel="1">
      <c r="A439" s="118"/>
      <c r="B439" s="118"/>
      <c r="C439" s="828">
        <v>415</v>
      </c>
      <c r="D439" s="829"/>
      <c r="E439" s="830"/>
      <c r="F439" s="830"/>
      <c r="G439" s="854"/>
      <c r="H439" s="1049"/>
      <c r="I439" s="856"/>
      <c r="J439" s="857"/>
      <c r="K439" s="858"/>
      <c r="L439" s="472"/>
      <c r="M439" s="816">
        <f t="shared" si="22"/>
        <v>0</v>
      </c>
      <c r="N439" s="833">
        <f t="shared" si="23"/>
        <v>0</v>
      </c>
      <c r="O439" s="265">
        <f t="shared" si="24"/>
        <v>0</v>
      </c>
      <c r="P439" s="827">
        <f t="shared" si="25"/>
        <v>0</v>
      </c>
    </row>
    <row r="440" spans="1:16" ht="30" hidden="1" customHeight="1" outlineLevel="1">
      <c r="A440" s="118"/>
      <c r="B440" s="118"/>
      <c r="C440" s="828">
        <v>416</v>
      </c>
      <c r="D440" s="829"/>
      <c r="E440" s="830"/>
      <c r="F440" s="830"/>
      <c r="G440" s="854"/>
      <c r="H440" s="1049"/>
      <c r="I440" s="856"/>
      <c r="J440" s="857"/>
      <c r="K440" s="858"/>
      <c r="L440" s="472"/>
      <c r="M440" s="816">
        <f t="shared" si="22"/>
        <v>0</v>
      </c>
      <c r="N440" s="833">
        <f t="shared" si="23"/>
        <v>0</v>
      </c>
      <c r="O440" s="265">
        <f t="shared" si="24"/>
        <v>0</v>
      </c>
      <c r="P440" s="827">
        <f t="shared" si="25"/>
        <v>0</v>
      </c>
    </row>
    <row r="441" spans="1:16" ht="30" hidden="1" customHeight="1" outlineLevel="1">
      <c r="A441" s="118"/>
      <c r="B441" s="118"/>
      <c r="C441" s="828">
        <v>417</v>
      </c>
      <c r="D441" s="829"/>
      <c r="E441" s="830"/>
      <c r="F441" s="830"/>
      <c r="G441" s="854"/>
      <c r="H441" s="1049"/>
      <c r="I441" s="856"/>
      <c r="J441" s="857"/>
      <c r="K441" s="858"/>
      <c r="L441" s="472"/>
      <c r="M441" s="816">
        <f t="shared" si="22"/>
        <v>0</v>
      </c>
      <c r="N441" s="833">
        <f t="shared" si="23"/>
        <v>0</v>
      </c>
      <c r="O441" s="265">
        <f t="shared" si="24"/>
        <v>0</v>
      </c>
      <c r="P441" s="827">
        <f t="shared" si="25"/>
        <v>0</v>
      </c>
    </row>
    <row r="442" spans="1:16" ht="30" hidden="1" customHeight="1" outlineLevel="1">
      <c r="A442" s="118"/>
      <c r="B442" s="118"/>
      <c r="C442" s="828">
        <v>418</v>
      </c>
      <c r="D442" s="829"/>
      <c r="E442" s="830"/>
      <c r="F442" s="830"/>
      <c r="G442" s="854"/>
      <c r="H442" s="1049"/>
      <c r="I442" s="856"/>
      <c r="J442" s="857"/>
      <c r="K442" s="858"/>
      <c r="L442" s="472"/>
      <c r="M442" s="816">
        <f t="shared" si="22"/>
        <v>0</v>
      </c>
      <c r="N442" s="833">
        <f t="shared" si="23"/>
        <v>0</v>
      </c>
      <c r="O442" s="265">
        <f t="shared" si="24"/>
        <v>0</v>
      </c>
      <c r="P442" s="827">
        <f t="shared" si="25"/>
        <v>0</v>
      </c>
    </row>
    <row r="443" spans="1:16" ht="30" hidden="1" customHeight="1" outlineLevel="1">
      <c r="A443" s="118"/>
      <c r="B443" s="118"/>
      <c r="C443" s="828">
        <v>419</v>
      </c>
      <c r="D443" s="829"/>
      <c r="E443" s="830"/>
      <c r="F443" s="830"/>
      <c r="G443" s="854"/>
      <c r="H443" s="1049"/>
      <c r="I443" s="856"/>
      <c r="J443" s="857"/>
      <c r="K443" s="858"/>
      <c r="L443" s="472"/>
      <c r="M443" s="816">
        <f t="shared" si="22"/>
        <v>0</v>
      </c>
      <c r="N443" s="833">
        <f t="shared" si="23"/>
        <v>0</v>
      </c>
      <c r="O443" s="265">
        <f t="shared" si="24"/>
        <v>0</v>
      </c>
      <c r="P443" s="827">
        <f t="shared" si="25"/>
        <v>0</v>
      </c>
    </row>
    <row r="444" spans="1:16" ht="30" hidden="1" customHeight="1" outlineLevel="1">
      <c r="A444" s="118"/>
      <c r="B444" s="118"/>
      <c r="C444" s="828">
        <v>420</v>
      </c>
      <c r="D444" s="829"/>
      <c r="E444" s="830"/>
      <c r="F444" s="830"/>
      <c r="G444" s="854"/>
      <c r="H444" s="1049"/>
      <c r="I444" s="856"/>
      <c r="J444" s="857"/>
      <c r="K444" s="858"/>
      <c r="L444" s="472"/>
      <c r="M444" s="816">
        <f t="shared" si="22"/>
        <v>0</v>
      </c>
      <c r="N444" s="833">
        <f t="shared" si="23"/>
        <v>0</v>
      </c>
      <c r="O444" s="265">
        <f t="shared" si="24"/>
        <v>0</v>
      </c>
      <c r="P444" s="827">
        <f t="shared" si="25"/>
        <v>0</v>
      </c>
    </row>
    <row r="445" spans="1:16" ht="30" hidden="1" customHeight="1" outlineLevel="1">
      <c r="A445" s="118"/>
      <c r="B445" s="118"/>
      <c r="C445" s="828">
        <v>421</v>
      </c>
      <c r="D445" s="829"/>
      <c r="E445" s="830"/>
      <c r="F445" s="830"/>
      <c r="G445" s="854"/>
      <c r="H445" s="1049"/>
      <c r="I445" s="856"/>
      <c r="J445" s="857"/>
      <c r="K445" s="858"/>
      <c r="L445" s="472"/>
      <c r="M445" s="816">
        <f t="shared" si="22"/>
        <v>0</v>
      </c>
      <c r="N445" s="833">
        <f t="shared" si="23"/>
        <v>0</v>
      </c>
      <c r="O445" s="265">
        <f t="shared" si="24"/>
        <v>0</v>
      </c>
      <c r="P445" s="827">
        <f t="shared" si="25"/>
        <v>0</v>
      </c>
    </row>
    <row r="446" spans="1:16" ht="30" hidden="1" customHeight="1" outlineLevel="1">
      <c r="A446" s="118"/>
      <c r="B446" s="118"/>
      <c r="C446" s="828">
        <v>422</v>
      </c>
      <c r="D446" s="829"/>
      <c r="E446" s="830"/>
      <c r="F446" s="830"/>
      <c r="G446" s="854"/>
      <c r="H446" s="1049"/>
      <c r="I446" s="856"/>
      <c r="J446" s="857"/>
      <c r="K446" s="858"/>
      <c r="L446" s="472"/>
      <c r="M446" s="816">
        <f t="shared" si="22"/>
        <v>0</v>
      </c>
      <c r="N446" s="833">
        <f t="shared" si="23"/>
        <v>0</v>
      </c>
      <c r="O446" s="265">
        <f t="shared" si="24"/>
        <v>0</v>
      </c>
      <c r="P446" s="827">
        <f t="shared" si="25"/>
        <v>0</v>
      </c>
    </row>
    <row r="447" spans="1:16" ht="30" hidden="1" customHeight="1" outlineLevel="1">
      <c r="A447" s="118"/>
      <c r="B447" s="118"/>
      <c r="C447" s="828">
        <v>423</v>
      </c>
      <c r="D447" s="829"/>
      <c r="E447" s="830"/>
      <c r="F447" s="830"/>
      <c r="G447" s="854"/>
      <c r="H447" s="1049"/>
      <c r="I447" s="856"/>
      <c r="J447" s="857"/>
      <c r="K447" s="858"/>
      <c r="L447" s="472"/>
      <c r="M447" s="816">
        <f t="shared" si="22"/>
        <v>0</v>
      </c>
      <c r="N447" s="833">
        <f t="shared" si="23"/>
        <v>0</v>
      </c>
      <c r="O447" s="265">
        <f t="shared" si="24"/>
        <v>0</v>
      </c>
      <c r="P447" s="827">
        <f t="shared" si="25"/>
        <v>0</v>
      </c>
    </row>
    <row r="448" spans="1:16" ht="30" hidden="1" customHeight="1" outlineLevel="1">
      <c r="A448" s="118"/>
      <c r="B448" s="118"/>
      <c r="C448" s="828">
        <v>424</v>
      </c>
      <c r="D448" s="829"/>
      <c r="E448" s="830"/>
      <c r="F448" s="830"/>
      <c r="G448" s="854"/>
      <c r="H448" s="1049"/>
      <c r="I448" s="856"/>
      <c r="J448" s="857"/>
      <c r="K448" s="858"/>
      <c r="L448" s="472"/>
      <c r="M448" s="816">
        <f t="shared" si="22"/>
        <v>0</v>
      </c>
      <c r="N448" s="833">
        <f t="shared" si="23"/>
        <v>0</v>
      </c>
      <c r="O448" s="265">
        <f t="shared" si="24"/>
        <v>0</v>
      </c>
      <c r="P448" s="827">
        <f t="shared" si="25"/>
        <v>0</v>
      </c>
    </row>
    <row r="449" spans="1:16" ht="30" hidden="1" customHeight="1" outlineLevel="1">
      <c r="A449" s="118"/>
      <c r="B449" s="118"/>
      <c r="C449" s="828">
        <v>425</v>
      </c>
      <c r="D449" s="829"/>
      <c r="E449" s="830"/>
      <c r="F449" s="830"/>
      <c r="G449" s="854"/>
      <c r="H449" s="1049"/>
      <c r="I449" s="856"/>
      <c r="J449" s="857"/>
      <c r="K449" s="858"/>
      <c r="L449" s="472"/>
      <c r="M449" s="816">
        <f t="shared" si="22"/>
        <v>0</v>
      </c>
      <c r="N449" s="833">
        <f t="shared" si="23"/>
        <v>0</v>
      </c>
      <c r="O449" s="265">
        <f t="shared" si="24"/>
        <v>0</v>
      </c>
      <c r="P449" s="827">
        <f t="shared" si="25"/>
        <v>0</v>
      </c>
    </row>
    <row r="450" spans="1:16" ht="30" hidden="1" customHeight="1" outlineLevel="1">
      <c r="A450" s="118"/>
      <c r="B450" s="118"/>
      <c r="C450" s="828">
        <v>426</v>
      </c>
      <c r="D450" s="829"/>
      <c r="E450" s="830"/>
      <c r="F450" s="830"/>
      <c r="G450" s="854"/>
      <c r="H450" s="1049"/>
      <c r="I450" s="856"/>
      <c r="J450" s="857"/>
      <c r="K450" s="858"/>
      <c r="L450" s="472"/>
      <c r="M450" s="816">
        <f t="shared" si="22"/>
        <v>0</v>
      </c>
      <c r="N450" s="833">
        <f t="shared" si="23"/>
        <v>0</v>
      </c>
      <c r="O450" s="265">
        <f t="shared" si="24"/>
        <v>0</v>
      </c>
      <c r="P450" s="827">
        <f t="shared" si="25"/>
        <v>0</v>
      </c>
    </row>
    <row r="451" spans="1:16" ht="30" hidden="1" customHeight="1" outlineLevel="1">
      <c r="A451" s="118"/>
      <c r="B451" s="118"/>
      <c r="C451" s="828">
        <v>427</v>
      </c>
      <c r="D451" s="829"/>
      <c r="E451" s="830"/>
      <c r="F451" s="830"/>
      <c r="G451" s="854"/>
      <c r="H451" s="1049"/>
      <c r="I451" s="856"/>
      <c r="J451" s="857"/>
      <c r="K451" s="858"/>
      <c r="L451" s="472"/>
      <c r="M451" s="816">
        <f t="shared" si="22"/>
        <v>0</v>
      </c>
      <c r="N451" s="833">
        <f t="shared" si="23"/>
        <v>0</v>
      </c>
      <c r="O451" s="265">
        <f t="shared" si="24"/>
        <v>0</v>
      </c>
      <c r="P451" s="827">
        <f t="shared" si="25"/>
        <v>0</v>
      </c>
    </row>
    <row r="452" spans="1:16" ht="30" hidden="1" customHeight="1" outlineLevel="1">
      <c r="A452" s="118"/>
      <c r="B452" s="118"/>
      <c r="C452" s="828">
        <v>428</v>
      </c>
      <c r="D452" s="829"/>
      <c r="E452" s="830"/>
      <c r="F452" s="830"/>
      <c r="G452" s="854"/>
      <c r="H452" s="1049"/>
      <c r="I452" s="856"/>
      <c r="J452" s="857"/>
      <c r="K452" s="858"/>
      <c r="L452" s="472"/>
      <c r="M452" s="816">
        <f t="shared" si="22"/>
        <v>0</v>
      </c>
      <c r="N452" s="833">
        <f t="shared" si="23"/>
        <v>0</v>
      </c>
      <c r="O452" s="265">
        <f t="shared" si="24"/>
        <v>0</v>
      </c>
      <c r="P452" s="827">
        <f t="shared" si="25"/>
        <v>0</v>
      </c>
    </row>
    <row r="453" spans="1:16" ht="30" hidden="1" customHeight="1" outlineLevel="1">
      <c r="A453" s="118"/>
      <c r="B453" s="118"/>
      <c r="C453" s="828">
        <v>429</v>
      </c>
      <c r="D453" s="829"/>
      <c r="E453" s="830"/>
      <c r="F453" s="830"/>
      <c r="G453" s="854"/>
      <c r="H453" s="1049"/>
      <c r="I453" s="856"/>
      <c r="J453" s="857"/>
      <c r="K453" s="858"/>
      <c r="L453" s="472"/>
      <c r="M453" s="816">
        <f t="shared" si="22"/>
        <v>0</v>
      </c>
      <c r="N453" s="833">
        <f t="shared" si="23"/>
        <v>0</v>
      </c>
      <c r="O453" s="265">
        <f t="shared" si="24"/>
        <v>0</v>
      </c>
      <c r="P453" s="827">
        <f t="shared" si="25"/>
        <v>0</v>
      </c>
    </row>
    <row r="454" spans="1:16" ht="30" hidden="1" customHeight="1" outlineLevel="1">
      <c r="A454" s="118"/>
      <c r="B454" s="118"/>
      <c r="C454" s="828">
        <v>430</v>
      </c>
      <c r="D454" s="829"/>
      <c r="E454" s="830"/>
      <c r="F454" s="830"/>
      <c r="G454" s="854"/>
      <c r="H454" s="1049"/>
      <c r="I454" s="856"/>
      <c r="J454" s="857"/>
      <c r="K454" s="858"/>
      <c r="L454" s="472"/>
      <c r="M454" s="816">
        <f t="shared" si="22"/>
        <v>0</v>
      </c>
      <c r="N454" s="833">
        <f t="shared" si="23"/>
        <v>0</v>
      </c>
      <c r="O454" s="265">
        <f t="shared" si="24"/>
        <v>0</v>
      </c>
      <c r="P454" s="827">
        <f t="shared" si="25"/>
        <v>0</v>
      </c>
    </row>
    <row r="455" spans="1:16" ht="30" hidden="1" customHeight="1" outlineLevel="1">
      <c r="A455" s="118"/>
      <c r="B455" s="118"/>
      <c r="C455" s="828">
        <v>431</v>
      </c>
      <c r="D455" s="829"/>
      <c r="E455" s="830"/>
      <c r="F455" s="830"/>
      <c r="G455" s="854"/>
      <c r="H455" s="1049"/>
      <c r="I455" s="856"/>
      <c r="J455" s="857"/>
      <c r="K455" s="858"/>
      <c r="L455" s="472"/>
      <c r="M455" s="816">
        <f t="shared" si="22"/>
        <v>0</v>
      </c>
      <c r="N455" s="833">
        <f t="shared" si="23"/>
        <v>0</v>
      </c>
      <c r="O455" s="265">
        <f t="shared" si="24"/>
        <v>0</v>
      </c>
      <c r="P455" s="827">
        <f t="shared" si="25"/>
        <v>0</v>
      </c>
    </row>
    <row r="456" spans="1:16" ht="30" hidden="1" customHeight="1" outlineLevel="1">
      <c r="A456" s="118"/>
      <c r="B456" s="118"/>
      <c r="C456" s="828">
        <v>432</v>
      </c>
      <c r="D456" s="829"/>
      <c r="E456" s="830"/>
      <c r="F456" s="830"/>
      <c r="G456" s="854"/>
      <c r="H456" s="1049"/>
      <c r="I456" s="856"/>
      <c r="J456" s="857"/>
      <c r="K456" s="858"/>
      <c r="L456" s="472"/>
      <c r="M456" s="816">
        <f t="shared" si="22"/>
        <v>0</v>
      </c>
      <c r="N456" s="833">
        <f t="shared" si="23"/>
        <v>0</v>
      </c>
      <c r="O456" s="265">
        <f t="shared" si="24"/>
        <v>0</v>
      </c>
      <c r="P456" s="827">
        <f t="shared" si="25"/>
        <v>0</v>
      </c>
    </row>
    <row r="457" spans="1:16" ht="30" hidden="1" customHeight="1" outlineLevel="1">
      <c r="A457" s="118"/>
      <c r="B457" s="118"/>
      <c r="C457" s="828">
        <v>433</v>
      </c>
      <c r="D457" s="829"/>
      <c r="E457" s="830"/>
      <c r="F457" s="830"/>
      <c r="G457" s="854"/>
      <c r="H457" s="1049"/>
      <c r="I457" s="856"/>
      <c r="J457" s="857"/>
      <c r="K457" s="858"/>
      <c r="L457" s="472"/>
      <c r="M457" s="816">
        <f t="shared" si="22"/>
        <v>0</v>
      </c>
      <c r="N457" s="833">
        <f t="shared" si="23"/>
        <v>0</v>
      </c>
      <c r="O457" s="265">
        <f t="shared" si="24"/>
        <v>0</v>
      </c>
      <c r="P457" s="827">
        <f t="shared" si="25"/>
        <v>0</v>
      </c>
    </row>
    <row r="458" spans="1:16" ht="30" hidden="1" customHeight="1" outlineLevel="1">
      <c r="A458" s="118"/>
      <c r="B458" s="118"/>
      <c r="C458" s="828">
        <v>434</v>
      </c>
      <c r="D458" s="829"/>
      <c r="E458" s="830"/>
      <c r="F458" s="830"/>
      <c r="G458" s="854"/>
      <c r="H458" s="1049"/>
      <c r="I458" s="856"/>
      <c r="J458" s="857"/>
      <c r="K458" s="858"/>
      <c r="L458" s="472"/>
      <c r="M458" s="816">
        <f t="shared" si="22"/>
        <v>0</v>
      </c>
      <c r="N458" s="833">
        <f t="shared" si="23"/>
        <v>0</v>
      </c>
      <c r="O458" s="265">
        <f t="shared" si="24"/>
        <v>0</v>
      </c>
      <c r="P458" s="827">
        <f t="shared" si="25"/>
        <v>0</v>
      </c>
    </row>
    <row r="459" spans="1:16" ht="30" hidden="1" customHeight="1" outlineLevel="1">
      <c r="A459" s="118"/>
      <c r="B459" s="118"/>
      <c r="C459" s="828">
        <v>435</v>
      </c>
      <c r="D459" s="829"/>
      <c r="E459" s="830"/>
      <c r="F459" s="830"/>
      <c r="G459" s="854"/>
      <c r="H459" s="1049"/>
      <c r="I459" s="856"/>
      <c r="J459" s="857"/>
      <c r="K459" s="858"/>
      <c r="L459" s="472"/>
      <c r="M459" s="816">
        <f t="shared" si="22"/>
        <v>0</v>
      </c>
      <c r="N459" s="833">
        <f t="shared" si="23"/>
        <v>0</v>
      </c>
      <c r="O459" s="265">
        <f t="shared" si="24"/>
        <v>0</v>
      </c>
      <c r="P459" s="827">
        <f t="shared" si="25"/>
        <v>0</v>
      </c>
    </row>
    <row r="460" spans="1:16" ht="30" hidden="1" customHeight="1" outlineLevel="1">
      <c r="A460" s="118"/>
      <c r="B460" s="118"/>
      <c r="C460" s="828">
        <v>436</v>
      </c>
      <c r="D460" s="829"/>
      <c r="E460" s="830"/>
      <c r="F460" s="830"/>
      <c r="G460" s="854"/>
      <c r="H460" s="1049"/>
      <c r="I460" s="856"/>
      <c r="J460" s="857"/>
      <c r="K460" s="858"/>
      <c r="L460" s="472"/>
      <c r="M460" s="816">
        <f t="shared" si="22"/>
        <v>0</v>
      </c>
      <c r="N460" s="833">
        <f t="shared" si="23"/>
        <v>0</v>
      </c>
      <c r="O460" s="265">
        <f t="shared" si="24"/>
        <v>0</v>
      </c>
      <c r="P460" s="827">
        <f t="shared" si="25"/>
        <v>0</v>
      </c>
    </row>
    <row r="461" spans="1:16" ht="30" hidden="1" customHeight="1" outlineLevel="1">
      <c r="A461" s="118"/>
      <c r="B461" s="118"/>
      <c r="C461" s="828">
        <v>437</v>
      </c>
      <c r="D461" s="829"/>
      <c r="E461" s="830"/>
      <c r="F461" s="830"/>
      <c r="G461" s="854"/>
      <c r="H461" s="1049"/>
      <c r="I461" s="856"/>
      <c r="J461" s="857"/>
      <c r="K461" s="858"/>
      <c r="L461" s="472"/>
      <c r="M461" s="816">
        <f t="shared" si="22"/>
        <v>0</v>
      </c>
      <c r="N461" s="833">
        <f t="shared" si="23"/>
        <v>0</v>
      </c>
      <c r="O461" s="265">
        <f t="shared" si="24"/>
        <v>0</v>
      </c>
      <c r="P461" s="827">
        <f t="shared" si="25"/>
        <v>0</v>
      </c>
    </row>
    <row r="462" spans="1:16" ht="30" hidden="1" customHeight="1" outlineLevel="1">
      <c r="A462" s="118"/>
      <c r="B462" s="118"/>
      <c r="C462" s="828">
        <v>438</v>
      </c>
      <c r="D462" s="829"/>
      <c r="E462" s="830"/>
      <c r="F462" s="830"/>
      <c r="G462" s="854"/>
      <c r="H462" s="1049"/>
      <c r="I462" s="856"/>
      <c r="J462" s="857"/>
      <c r="K462" s="858"/>
      <c r="L462" s="472"/>
      <c r="M462" s="816">
        <f t="shared" si="22"/>
        <v>0</v>
      </c>
      <c r="N462" s="833">
        <f t="shared" si="23"/>
        <v>0</v>
      </c>
      <c r="O462" s="265">
        <f t="shared" si="24"/>
        <v>0</v>
      </c>
      <c r="P462" s="827">
        <f t="shared" si="25"/>
        <v>0</v>
      </c>
    </row>
    <row r="463" spans="1:16" ht="30" hidden="1" customHeight="1" outlineLevel="1">
      <c r="A463" s="118"/>
      <c r="B463" s="118"/>
      <c r="C463" s="828">
        <v>439</v>
      </c>
      <c r="D463" s="829"/>
      <c r="E463" s="830"/>
      <c r="F463" s="830"/>
      <c r="G463" s="854"/>
      <c r="H463" s="1049"/>
      <c r="I463" s="856"/>
      <c r="J463" s="857"/>
      <c r="K463" s="858"/>
      <c r="L463" s="472"/>
      <c r="M463" s="816">
        <f t="shared" si="22"/>
        <v>0</v>
      </c>
      <c r="N463" s="833">
        <f t="shared" si="23"/>
        <v>0</v>
      </c>
      <c r="O463" s="265">
        <f t="shared" si="24"/>
        <v>0</v>
      </c>
      <c r="P463" s="827">
        <f t="shared" si="25"/>
        <v>0</v>
      </c>
    </row>
    <row r="464" spans="1:16" ht="30" hidden="1" customHeight="1" outlineLevel="1">
      <c r="A464" s="118"/>
      <c r="B464" s="118"/>
      <c r="C464" s="828">
        <v>440</v>
      </c>
      <c r="D464" s="829"/>
      <c r="E464" s="830"/>
      <c r="F464" s="830"/>
      <c r="G464" s="854"/>
      <c r="H464" s="1049"/>
      <c r="I464" s="856"/>
      <c r="J464" s="857"/>
      <c r="K464" s="858"/>
      <c r="L464" s="472"/>
      <c r="M464" s="816">
        <f t="shared" si="22"/>
        <v>0</v>
      </c>
      <c r="N464" s="833">
        <f t="shared" si="23"/>
        <v>0</v>
      </c>
      <c r="O464" s="265">
        <f t="shared" si="24"/>
        <v>0</v>
      </c>
      <c r="P464" s="827">
        <f t="shared" si="25"/>
        <v>0</v>
      </c>
    </row>
    <row r="465" spans="1:16" ht="30" hidden="1" customHeight="1" outlineLevel="1">
      <c r="A465" s="118"/>
      <c r="B465" s="118"/>
      <c r="C465" s="828">
        <v>441</v>
      </c>
      <c r="D465" s="829"/>
      <c r="E465" s="830"/>
      <c r="F465" s="830"/>
      <c r="G465" s="854"/>
      <c r="H465" s="1049"/>
      <c r="I465" s="856"/>
      <c r="J465" s="857"/>
      <c r="K465" s="858"/>
      <c r="L465" s="472"/>
      <c r="M465" s="816">
        <f t="shared" si="22"/>
        <v>0</v>
      </c>
      <c r="N465" s="833">
        <f t="shared" si="23"/>
        <v>0</v>
      </c>
      <c r="O465" s="265">
        <f t="shared" si="24"/>
        <v>0</v>
      </c>
      <c r="P465" s="827">
        <f t="shared" si="25"/>
        <v>0</v>
      </c>
    </row>
    <row r="466" spans="1:16" ht="30" hidden="1" customHeight="1" outlineLevel="1">
      <c r="A466" s="118"/>
      <c r="B466" s="118"/>
      <c r="C466" s="828">
        <v>442</v>
      </c>
      <c r="D466" s="829"/>
      <c r="E466" s="830"/>
      <c r="F466" s="830"/>
      <c r="G466" s="854"/>
      <c r="H466" s="1049"/>
      <c r="I466" s="856"/>
      <c r="J466" s="857"/>
      <c r="K466" s="858"/>
      <c r="L466" s="472"/>
      <c r="M466" s="816">
        <f t="shared" si="22"/>
        <v>0</v>
      </c>
      <c r="N466" s="833">
        <f t="shared" si="23"/>
        <v>0</v>
      </c>
      <c r="O466" s="265">
        <f t="shared" si="24"/>
        <v>0</v>
      </c>
      <c r="P466" s="827">
        <f t="shared" si="25"/>
        <v>0</v>
      </c>
    </row>
    <row r="467" spans="1:16" ht="30" hidden="1" customHeight="1" outlineLevel="1">
      <c r="A467" s="118"/>
      <c r="B467" s="118"/>
      <c r="C467" s="828">
        <v>443</v>
      </c>
      <c r="D467" s="829"/>
      <c r="E467" s="830"/>
      <c r="F467" s="830"/>
      <c r="G467" s="854"/>
      <c r="H467" s="1049"/>
      <c r="I467" s="856"/>
      <c r="J467" s="857"/>
      <c r="K467" s="858"/>
      <c r="L467" s="472"/>
      <c r="M467" s="816">
        <f t="shared" si="22"/>
        <v>0</v>
      </c>
      <c r="N467" s="833">
        <f t="shared" si="23"/>
        <v>0</v>
      </c>
      <c r="O467" s="265">
        <f t="shared" si="24"/>
        <v>0</v>
      </c>
      <c r="P467" s="827">
        <f t="shared" si="25"/>
        <v>0</v>
      </c>
    </row>
    <row r="468" spans="1:16" ht="30" hidden="1" customHeight="1" outlineLevel="1">
      <c r="A468" s="118"/>
      <c r="B468" s="118"/>
      <c r="C468" s="828">
        <v>444</v>
      </c>
      <c r="D468" s="829"/>
      <c r="E468" s="830"/>
      <c r="F468" s="830"/>
      <c r="G468" s="854"/>
      <c r="H468" s="1049"/>
      <c r="I468" s="856"/>
      <c r="J468" s="857"/>
      <c r="K468" s="858"/>
      <c r="L468" s="472"/>
      <c r="M468" s="816">
        <f t="shared" si="22"/>
        <v>0</v>
      </c>
      <c r="N468" s="833">
        <f t="shared" si="23"/>
        <v>0</v>
      </c>
      <c r="O468" s="265">
        <f t="shared" si="24"/>
        <v>0</v>
      </c>
      <c r="P468" s="827">
        <f t="shared" si="25"/>
        <v>0</v>
      </c>
    </row>
    <row r="469" spans="1:16" ht="30" hidden="1" customHeight="1" outlineLevel="1">
      <c r="A469" s="118"/>
      <c r="B469" s="118"/>
      <c r="C469" s="828">
        <v>445</v>
      </c>
      <c r="D469" s="829"/>
      <c r="E469" s="830"/>
      <c r="F469" s="830"/>
      <c r="G469" s="854"/>
      <c r="H469" s="1049"/>
      <c r="I469" s="856"/>
      <c r="J469" s="857"/>
      <c r="K469" s="858"/>
      <c r="L469" s="472"/>
      <c r="M469" s="816">
        <f t="shared" si="22"/>
        <v>0</v>
      </c>
      <c r="N469" s="833">
        <f t="shared" si="23"/>
        <v>0</v>
      </c>
      <c r="O469" s="265">
        <f t="shared" si="24"/>
        <v>0</v>
      </c>
      <c r="P469" s="827">
        <f t="shared" si="25"/>
        <v>0</v>
      </c>
    </row>
    <row r="470" spans="1:16" ht="30" hidden="1" customHeight="1" outlineLevel="1">
      <c r="A470" s="118"/>
      <c r="B470" s="118"/>
      <c r="C470" s="828">
        <v>446</v>
      </c>
      <c r="D470" s="829"/>
      <c r="E470" s="830"/>
      <c r="F470" s="830"/>
      <c r="G470" s="854"/>
      <c r="H470" s="1049"/>
      <c r="I470" s="856"/>
      <c r="J470" s="857"/>
      <c r="K470" s="858"/>
      <c r="L470" s="472"/>
      <c r="M470" s="816">
        <f t="shared" si="22"/>
        <v>0</v>
      </c>
      <c r="N470" s="833">
        <f t="shared" si="23"/>
        <v>0</v>
      </c>
      <c r="O470" s="265">
        <f t="shared" si="24"/>
        <v>0</v>
      </c>
      <c r="P470" s="827">
        <f t="shared" si="25"/>
        <v>0</v>
      </c>
    </row>
    <row r="471" spans="1:16" ht="30" hidden="1" customHeight="1" outlineLevel="1">
      <c r="A471" s="118"/>
      <c r="B471" s="118"/>
      <c r="C471" s="828">
        <v>447</v>
      </c>
      <c r="D471" s="829"/>
      <c r="E471" s="830"/>
      <c r="F471" s="830"/>
      <c r="G471" s="854"/>
      <c r="H471" s="1049"/>
      <c r="I471" s="856"/>
      <c r="J471" s="857"/>
      <c r="K471" s="858"/>
      <c r="L471" s="472"/>
      <c r="M471" s="816">
        <f t="shared" si="22"/>
        <v>0</v>
      </c>
      <c r="N471" s="833">
        <f t="shared" si="23"/>
        <v>0</v>
      </c>
      <c r="O471" s="265">
        <f t="shared" si="24"/>
        <v>0</v>
      </c>
      <c r="P471" s="827">
        <f t="shared" si="25"/>
        <v>0</v>
      </c>
    </row>
    <row r="472" spans="1:16" ht="30" hidden="1" customHeight="1" outlineLevel="1">
      <c r="A472" s="118"/>
      <c r="B472" s="118"/>
      <c r="C472" s="828">
        <v>448</v>
      </c>
      <c r="D472" s="829"/>
      <c r="E472" s="830"/>
      <c r="F472" s="830"/>
      <c r="G472" s="854"/>
      <c r="H472" s="1049"/>
      <c r="I472" s="856"/>
      <c r="J472" s="857"/>
      <c r="K472" s="858"/>
      <c r="L472" s="472"/>
      <c r="M472" s="816">
        <f t="shared" si="22"/>
        <v>0</v>
      </c>
      <c r="N472" s="833">
        <f t="shared" si="23"/>
        <v>0</v>
      </c>
      <c r="O472" s="265">
        <f t="shared" si="24"/>
        <v>0</v>
      </c>
      <c r="P472" s="827">
        <f t="shared" si="25"/>
        <v>0</v>
      </c>
    </row>
    <row r="473" spans="1:16" ht="30" hidden="1" customHeight="1" outlineLevel="1">
      <c r="A473" s="118"/>
      <c r="B473" s="118"/>
      <c r="C473" s="828">
        <v>449</v>
      </c>
      <c r="D473" s="829"/>
      <c r="E473" s="830"/>
      <c r="F473" s="830"/>
      <c r="G473" s="854"/>
      <c r="H473" s="1049"/>
      <c r="I473" s="856"/>
      <c r="J473" s="857"/>
      <c r="K473" s="858"/>
      <c r="L473" s="472"/>
      <c r="M473" s="816">
        <f t="shared" si="22"/>
        <v>0</v>
      </c>
      <c r="N473" s="833">
        <f t="shared" si="23"/>
        <v>0</v>
      </c>
      <c r="O473" s="265">
        <f t="shared" si="24"/>
        <v>0</v>
      </c>
      <c r="P473" s="827">
        <f t="shared" si="25"/>
        <v>0</v>
      </c>
    </row>
    <row r="474" spans="1:16" ht="30" hidden="1" customHeight="1" outlineLevel="1">
      <c r="A474" s="118"/>
      <c r="B474" s="118"/>
      <c r="C474" s="828">
        <v>450</v>
      </c>
      <c r="D474" s="829"/>
      <c r="E474" s="830"/>
      <c r="F474" s="830"/>
      <c r="G474" s="854"/>
      <c r="H474" s="1049"/>
      <c r="I474" s="856"/>
      <c r="J474" s="857"/>
      <c r="K474" s="858"/>
      <c r="L474" s="472"/>
      <c r="M474" s="816">
        <f t="shared" si="22"/>
        <v>0</v>
      </c>
      <c r="N474" s="833">
        <f t="shared" si="23"/>
        <v>0</v>
      </c>
      <c r="O474" s="265">
        <f t="shared" si="24"/>
        <v>0</v>
      </c>
      <c r="P474" s="827">
        <f t="shared" si="25"/>
        <v>0</v>
      </c>
    </row>
    <row r="475" spans="1:16" ht="30" hidden="1" customHeight="1" outlineLevel="1">
      <c r="A475" s="118"/>
      <c r="B475" s="118"/>
      <c r="C475" s="828">
        <v>451</v>
      </c>
      <c r="D475" s="829"/>
      <c r="E475" s="830"/>
      <c r="F475" s="830"/>
      <c r="G475" s="854"/>
      <c r="H475" s="1049"/>
      <c r="I475" s="856"/>
      <c r="J475" s="857"/>
      <c r="K475" s="858"/>
      <c r="L475" s="472"/>
      <c r="M475" s="816">
        <f t="shared" si="22"/>
        <v>0</v>
      </c>
      <c r="N475" s="833">
        <f t="shared" si="23"/>
        <v>0</v>
      </c>
      <c r="O475" s="265">
        <f t="shared" si="24"/>
        <v>0</v>
      </c>
      <c r="P475" s="827">
        <f t="shared" si="25"/>
        <v>0</v>
      </c>
    </row>
    <row r="476" spans="1:16" ht="30" hidden="1" customHeight="1" outlineLevel="1">
      <c r="A476" s="118"/>
      <c r="B476" s="118"/>
      <c r="C476" s="828">
        <v>452</v>
      </c>
      <c r="D476" s="829"/>
      <c r="E476" s="830"/>
      <c r="F476" s="830"/>
      <c r="G476" s="854"/>
      <c r="H476" s="1049"/>
      <c r="I476" s="856"/>
      <c r="J476" s="857"/>
      <c r="K476" s="858"/>
      <c r="L476" s="472"/>
      <c r="M476" s="816">
        <f t="shared" si="22"/>
        <v>0</v>
      </c>
      <c r="N476" s="833">
        <f t="shared" si="23"/>
        <v>0</v>
      </c>
      <c r="O476" s="265">
        <f t="shared" si="24"/>
        <v>0</v>
      </c>
      <c r="P476" s="827">
        <f t="shared" si="25"/>
        <v>0</v>
      </c>
    </row>
    <row r="477" spans="1:16" ht="30" hidden="1" customHeight="1" outlineLevel="1">
      <c r="A477" s="118"/>
      <c r="B477" s="118"/>
      <c r="C477" s="828">
        <v>453</v>
      </c>
      <c r="D477" s="829"/>
      <c r="E477" s="830"/>
      <c r="F477" s="830"/>
      <c r="G477" s="854"/>
      <c r="H477" s="1049"/>
      <c r="I477" s="856"/>
      <c r="J477" s="857"/>
      <c r="K477" s="858"/>
      <c r="L477" s="472"/>
      <c r="M477" s="816">
        <f t="shared" si="22"/>
        <v>0</v>
      </c>
      <c r="N477" s="833">
        <f t="shared" si="23"/>
        <v>0</v>
      </c>
      <c r="O477" s="265">
        <f t="shared" si="24"/>
        <v>0</v>
      </c>
      <c r="P477" s="827">
        <f t="shared" si="25"/>
        <v>0</v>
      </c>
    </row>
    <row r="478" spans="1:16" ht="30" hidden="1" customHeight="1" outlineLevel="1">
      <c r="A478" s="118"/>
      <c r="B478" s="118"/>
      <c r="C478" s="828">
        <v>454</v>
      </c>
      <c r="D478" s="829"/>
      <c r="E478" s="830"/>
      <c r="F478" s="830"/>
      <c r="G478" s="854"/>
      <c r="H478" s="1049"/>
      <c r="I478" s="856"/>
      <c r="J478" s="857"/>
      <c r="K478" s="858"/>
      <c r="L478" s="472"/>
      <c r="M478" s="816">
        <f t="shared" si="22"/>
        <v>0</v>
      </c>
      <c r="N478" s="833">
        <f t="shared" si="23"/>
        <v>0</v>
      </c>
      <c r="O478" s="265">
        <f t="shared" si="24"/>
        <v>0</v>
      </c>
      <c r="P478" s="827">
        <f t="shared" si="25"/>
        <v>0</v>
      </c>
    </row>
    <row r="479" spans="1:16" ht="30" hidden="1" customHeight="1" outlineLevel="1">
      <c r="A479" s="118"/>
      <c r="B479" s="118"/>
      <c r="C479" s="828">
        <v>455</v>
      </c>
      <c r="D479" s="829"/>
      <c r="E479" s="830"/>
      <c r="F479" s="830"/>
      <c r="G479" s="854"/>
      <c r="H479" s="1049"/>
      <c r="I479" s="856"/>
      <c r="J479" s="857"/>
      <c r="K479" s="858"/>
      <c r="L479" s="472"/>
      <c r="M479" s="816">
        <f t="shared" si="22"/>
        <v>0</v>
      </c>
      <c r="N479" s="833">
        <f t="shared" si="23"/>
        <v>0</v>
      </c>
      <c r="O479" s="265">
        <f t="shared" si="24"/>
        <v>0</v>
      </c>
      <c r="P479" s="827">
        <f t="shared" si="25"/>
        <v>0</v>
      </c>
    </row>
    <row r="480" spans="1:16" ht="30" hidden="1" customHeight="1" outlineLevel="1">
      <c r="A480" s="118"/>
      <c r="B480" s="118"/>
      <c r="C480" s="828">
        <v>456</v>
      </c>
      <c r="D480" s="829"/>
      <c r="E480" s="830"/>
      <c r="F480" s="830"/>
      <c r="G480" s="854"/>
      <c r="H480" s="1049"/>
      <c r="I480" s="856"/>
      <c r="J480" s="857"/>
      <c r="K480" s="858"/>
      <c r="L480" s="472"/>
      <c r="M480" s="816">
        <f t="shared" si="22"/>
        <v>0</v>
      </c>
      <c r="N480" s="833">
        <f t="shared" si="23"/>
        <v>0</v>
      </c>
      <c r="O480" s="265">
        <f t="shared" si="24"/>
        <v>0</v>
      </c>
      <c r="P480" s="827">
        <f t="shared" si="25"/>
        <v>0</v>
      </c>
    </row>
    <row r="481" spans="1:16" ht="30" hidden="1" customHeight="1" outlineLevel="1">
      <c r="A481" s="118"/>
      <c r="B481" s="118"/>
      <c r="C481" s="828">
        <v>457</v>
      </c>
      <c r="D481" s="829"/>
      <c r="E481" s="830"/>
      <c r="F481" s="830"/>
      <c r="G481" s="854"/>
      <c r="H481" s="1049"/>
      <c r="I481" s="856"/>
      <c r="J481" s="857"/>
      <c r="K481" s="858"/>
      <c r="L481" s="472"/>
      <c r="M481" s="816">
        <f t="shared" si="22"/>
        <v>0</v>
      </c>
      <c r="N481" s="833">
        <f t="shared" si="23"/>
        <v>0</v>
      </c>
      <c r="O481" s="265">
        <f t="shared" si="24"/>
        <v>0</v>
      </c>
      <c r="P481" s="827">
        <f t="shared" si="25"/>
        <v>0</v>
      </c>
    </row>
    <row r="482" spans="1:16" ht="30" hidden="1" customHeight="1" outlineLevel="1">
      <c r="A482" s="118"/>
      <c r="B482" s="118"/>
      <c r="C482" s="828">
        <v>458</v>
      </c>
      <c r="D482" s="829"/>
      <c r="E482" s="830"/>
      <c r="F482" s="830"/>
      <c r="G482" s="854"/>
      <c r="H482" s="1049"/>
      <c r="I482" s="856"/>
      <c r="J482" s="857"/>
      <c r="K482" s="858"/>
      <c r="L482" s="472"/>
      <c r="M482" s="816">
        <f t="shared" si="22"/>
        <v>0</v>
      </c>
      <c r="N482" s="833">
        <f t="shared" si="23"/>
        <v>0</v>
      </c>
      <c r="O482" s="265">
        <f t="shared" si="24"/>
        <v>0</v>
      </c>
      <c r="P482" s="827">
        <f t="shared" si="25"/>
        <v>0</v>
      </c>
    </row>
    <row r="483" spans="1:16" ht="30" hidden="1" customHeight="1" outlineLevel="1">
      <c r="A483" s="118"/>
      <c r="B483" s="118"/>
      <c r="C483" s="828">
        <v>459</v>
      </c>
      <c r="D483" s="829"/>
      <c r="E483" s="830"/>
      <c r="F483" s="830"/>
      <c r="G483" s="854"/>
      <c r="H483" s="1049"/>
      <c r="I483" s="856"/>
      <c r="J483" s="857"/>
      <c r="K483" s="858"/>
      <c r="L483" s="472"/>
      <c r="M483" s="816">
        <f t="shared" si="22"/>
        <v>0</v>
      </c>
      <c r="N483" s="833">
        <f t="shared" si="23"/>
        <v>0</v>
      </c>
      <c r="O483" s="265">
        <f t="shared" si="24"/>
        <v>0</v>
      </c>
      <c r="P483" s="827">
        <f t="shared" si="25"/>
        <v>0</v>
      </c>
    </row>
    <row r="484" spans="1:16" ht="30" hidden="1" customHeight="1" outlineLevel="1">
      <c r="A484" s="118"/>
      <c r="B484" s="118"/>
      <c r="C484" s="828">
        <v>460</v>
      </c>
      <c r="D484" s="829"/>
      <c r="E484" s="830"/>
      <c r="F484" s="830"/>
      <c r="G484" s="854"/>
      <c r="H484" s="1049"/>
      <c r="I484" s="856"/>
      <c r="J484" s="857"/>
      <c r="K484" s="858"/>
      <c r="L484" s="472"/>
      <c r="M484" s="816">
        <f t="shared" si="22"/>
        <v>0</v>
      </c>
      <c r="N484" s="833">
        <f t="shared" si="23"/>
        <v>0</v>
      </c>
      <c r="O484" s="265">
        <f t="shared" si="24"/>
        <v>0</v>
      </c>
      <c r="P484" s="827">
        <f t="shared" si="25"/>
        <v>0</v>
      </c>
    </row>
    <row r="485" spans="1:16" ht="30" hidden="1" customHeight="1" outlineLevel="1">
      <c r="A485" s="118"/>
      <c r="B485" s="118"/>
      <c r="C485" s="828">
        <v>461</v>
      </c>
      <c r="D485" s="829"/>
      <c r="E485" s="830"/>
      <c r="F485" s="830"/>
      <c r="G485" s="854"/>
      <c r="H485" s="1049"/>
      <c r="I485" s="856"/>
      <c r="J485" s="857"/>
      <c r="K485" s="858"/>
      <c r="L485" s="472"/>
      <c r="M485" s="816">
        <f t="shared" si="22"/>
        <v>0</v>
      </c>
      <c r="N485" s="833">
        <f t="shared" si="23"/>
        <v>0</v>
      </c>
      <c r="O485" s="265">
        <f t="shared" si="24"/>
        <v>0</v>
      </c>
      <c r="P485" s="827">
        <f t="shared" si="25"/>
        <v>0</v>
      </c>
    </row>
    <row r="486" spans="1:16" ht="30" hidden="1" customHeight="1" outlineLevel="1">
      <c r="A486" s="118"/>
      <c r="B486" s="118"/>
      <c r="C486" s="828">
        <v>462</v>
      </c>
      <c r="D486" s="829"/>
      <c r="E486" s="830"/>
      <c r="F486" s="830"/>
      <c r="G486" s="854"/>
      <c r="H486" s="1049"/>
      <c r="I486" s="856"/>
      <c r="J486" s="857"/>
      <c r="K486" s="858"/>
      <c r="L486" s="472"/>
      <c r="M486" s="816">
        <f t="shared" si="22"/>
        <v>0</v>
      </c>
      <c r="N486" s="833">
        <f t="shared" si="23"/>
        <v>0</v>
      </c>
      <c r="O486" s="265">
        <f t="shared" si="24"/>
        <v>0</v>
      </c>
      <c r="P486" s="827">
        <f t="shared" si="25"/>
        <v>0</v>
      </c>
    </row>
    <row r="487" spans="1:16" ht="30" hidden="1" customHeight="1" outlineLevel="1">
      <c r="A487" s="118"/>
      <c r="B487" s="118"/>
      <c r="C487" s="828">
        <v>463</v>
      </c>
      <c r="D487" s="829"/>
      <c r="E487" s="830"/>
      <c r="F487" s="830"/>
      <c r="G487" s="854"/>
      <c r="H487" s="1049"/>
      <c r="I487" s="856"/>
      <c r="J487" s="857"/>
      <c r="K487" s="858"/>
      <c r="L487" s="472"/>
      <c r="M487" s="816">
        <f t="shared" si="22"/>
        <v>0</v>
      </c>
      <c r="N487" s="833">
        <f t="shared" si="23"/>
        <v>0</v>
      </c>
      <c r="O487" s="265">
        <f t="shared" si="24"/>
        <v>0</v>
      </c>
      <c r="P487" s="827">
        <f t="shared" si="25"/>
        <v>0</v>
      </c>
    </row>
    <row r="488" spans="1:16" ht="30" hidden="1" customHeight="1" outlineLevel="1">
      <c r="A488" s="118"/>
      <c r="B488" s="118"/>
      <c r="C488" s="828">
        <v>464</v>
      </c>
      <c r="D488" s="829"/>
      <c r="E488" s="830"/>
      <c r="F488" s="830"/>
      <c r="G488" s="854"/>
      <c r="H488" s="1049"/>
      <c r="I488" s="856"/>
      <c r="J488" s="857"/>
      <c r="K488" s="858"/>
      <c r="L488" s="472"/>
      <c r="M488" s="816">
        <f t="shared" si="22"/>
        <v>0</v>
      </c>
      <c r="N488" s="833">
        <f t="shared" si="23"/>
        <v>0</v>
      </c>
      <c r="O488" s="265">
        <f t="shared" si="24"/>
        <v>0</v>
      </c>
      <c r="P488" s="827">
        <f t="shared" si="25"/>
        <v>0</v>
      </c>
    </row>
    <row r="489" spans="1:16" ht="30" hidden="1" customHeight="1" outlineLevel="1">
      <c r="A489" s="118"/>
      <c r="B489" s="118"/>
      <c r="C489" s="828">
        <v>465</v>
      </c>
      <c r="D489" s="829"/>
      <c r="E489" s="830"/>
      <c r="F489" s="830"/>
      <c r="G489" s="854"/>
      <c r="H489" s="1049"/>
      <c r="I489" s="856"/>
      <c r="J489" s="857"/>
      <c r="K489" s="858"/>
      <c r="L489" s="472"/>
      <c r="M489" s="816">
        <f t="shared" si="22"/>
        <v>0</v>
      </c>
      <c r="N489" s="833">
        <f t="shared" si="23"/>
        <v>0</v>
      </c>
      <c r="O489" s="265">
        <f t="shared" si="24"/>
        <v>0</v>
      </c>
      <c r="P489" s="827">
        <f t="shared" si="25"/>
        <v>0</v>
      </c>
    </row>
    <row r="490" spans="1:16" ht="30" hidden="1" customHeight="1" outlineLevel="1">
      <c r="A490" s="118"/>
      <c r="B490" s="118"/>
      <c r="C490" s="828">
        <v>466</v>
      </c>
      <c r="D490" s="829"/>
      <c r="E490" s="830"/>
      <c r="F490" s="830"/>
      <c r="G490" s="854"/>
      <c r="H490" s="1049"/>
      <c r="I490" s="856"/>
      <c r="J490" s="857"/>
      <c r="K490" s="858"/>
      <c r="L490" s="472"/>
      <c r="M490" s="816">
        <f t="shared" si="22"/>
        <v>0</v>
      </c>
      <c r="N490" s="833">
        <f t="shared" si="23"/>
        <v>0</v>
      </c>
      <c r="O490" s="265">
        <f t="shared" si="24"/>
        <v>0</v>
      </c>
      <c r="P490" s="827">
        <f t="shared" si="25"/>
        <v>0</v>
      </c>
    </row>
    <row r="491" spans="1:16" ht="30" hidden="1" customHeight="1" outlineLevel="1">
      <c r="A491" s="118"/>
      <c r="B491" s="118"/>
      <c r="C491" s="828">
        <v>467</v>
      </c>
      <c r="D491" s="829"/>
      <c r="E491" s="830"/>
      <c r="F491" s="830"/>
      <c r="G491" s="854"/>
      <c r="H491" s="1049"/>
      <c r="I491" s="856"/>
      <c r="J491" s="857"/>
      <c r="K491" s="858"/>
      <c r="L491" s="472"/>
      <c r="M491" s="816">
        <f t="shared" si="22"/>
        <v>0</v>
      </c>
      <c r="N491" s="833">
        <f t="shared" si="23"/>
        <v>0</v>
      </c>
      <c r="O491" s="265">
        <f t="shared" si="24"/>
        <v>0</v>
      </c>
      <c r="P491" s="827">
        <f t="shared" si="25"/>
        <v>0</v>
      </c>
    </row>
    <row r="492" spans="1:16" ht="30" hidden="1" customHeight="1" outlineLevel="1">
      <c r="A492" s="118"/>
      <c r="B492" s="118"/>
      <c r="C492" s="828">
        <v>468</v>
      </c>
      <c r="D492" s="829"/>
      <c r="E492" s="830"/>
      <c r="F492" s="830"/>
      <c r="G492" s="854"/>
      <c r="H492" s="1049"/>
      <c r="I492" s="856"/>
      <c r="J492" s="857"/>
      <c r="K492" s="858"/>
      <c r="L492" s="472"/>
      <c r="M492" s="816">
        <f t="shared" si="22"/>
        <v>0</v>
      </c>
      <c r="N492" s="833">
        <f t="shared" si="23"/>
        <v>0</v>
      </c>
      <c r="O492" s="265">
        <f t="shared" si="24"/>
        <v>0</v>
      </c>
      <c r="P492" s="827">
        <f t="shared" si="25"/>
        <v>0</v>
      </c>
    </row>
    <row r="493" spans="1:16" ht="30" hidden="1" customHeight="1" outlineLevel="1">
      <c r="A493" s="118"/>
      <c r="B493" s="118"/>
      <c r="C493" s="828">
        <v>469</v>
      </c>
      <c r="D493" s="829"/>
      <c r="E493" s="830"/>
      <c r="F493" s="830"/>
      <c r="G493" s="854"/>
      <c r="H493" s="1049"/>
      <c r="I493" s="856"/>
      <c r="J493" s="857"/>
      <c r="K493" s="858"/>
      <c r="L493" s="472"/>
      <c r="M493" s="816">
        <f t="shared" si="22"/>
        <v>0</v>
      </c>
      <c r="N493" s="833">
        <f t="shared" si="23"/>
        <v>0</v>
      </c>
      <c r="O493" s="265">
        <f t="shared" si="24"/>
        <v>0</v>
      </c>
      <c r="P493" s="827">
        <f t="shared" si="25"/>
        <v>0</v>
      </c>
    </row>
    <row r="494" spans="1:16" ht="30" hidden="1" customHeight="1" outlineLevel="1">
      <c r="A494" s="118"/>
      <c r="B494" s="118"/>
      <c r="C494" s="828">
        <v>470</v>
      </c>
      <c r="D494" s="829"/>
      <c r="E494" s="830"/>
      <c r="F494" s="830"/>
      <c r="G494" s="854"/>
      <c r="H494" s="1049"/>
      <c r="I494" s="856"/>
      <c r="J494" s="857"/>
      <c r="K494" s="858"/>
      <c r="L494" s="472"/>
      <c r="M494" s="816">
        <f t="shared" ref="M494:M557" si="26">IF($H494&gt;0,E494,)</f>
        <v>0</v>
      </c>
      <c r="N494" s="833">
        <f t="shared" ref="N494:N557" si="27">IF($H494&gt;0,F494,)</f>
        <v>0</v>
      </c>
      <c r="O494" s="265">
        <f t="shared" ref="O494:O557" si="28">IF(H494&gt;0,ROUND(G494,),)</f>
        <v>0</v>
      </c>
      <c r="P494" s="827">
        <f t="shared" ref="P494:P557" si="29">ROUND(O494*H494%,)</f>
        <v>0</v>
      </c>
    </row>
    <row r="495" spans="1:16" ht="30" hidden="1" customHeight="1" outlineLevel="1">
      <c r="A495" s="118"/>
      <c r="B495" s="118"/>
      <c r="C495" s="828">
        <v>471</v>
      </c>
      <c r="D495" s="829"/>
      <c r="E495" s="830"/>
      <c r="F495" s="830"/>
      <c r="G495" s="854"/>
      <c r="H495" s="1049"/>
      <c r="I495" s="856"/>
      <c r="J495" s="857"/>
      <c r="K495" s="858"/>
      <c r="L495" s="472"/>
      <c r="M495" s="816">
        <f t="shared" si="26"/>
        <v>0</v>
      </c>
      <c r="N495" s="833">
        <f t="shared" si="27"/>
        <v>0</v>
      </c>
      <c r="O495" s="265">
        <f t="shared" si="28"/>
        <v>0</v>
      </c>
      <c r="P495" s="827">
        <f t="shared" si="29"/>
        <v>0</v>
      </c>
    </row>
    <row r="496" spans="1:16" ht="30" hidden="1" customHeight="1" outlineLevel="1">
      <c r="A496" s="118"/>
      <c r="B496" s="118"/>
      <c r="C496" s="828">
        <v>472</v>
      </c>
      <c r="D496" s="829"/>
      <c r="E496" s="830"/>
      <c r="F496" s="830"/>
      <c r="G496" s="854"/>
      <c r="H496" s="1049"/>
      <c r="I496" s="856"/>
      <c r="J496" s="857"/>
      <c r="K496" s="858"/>
      <c r="L496" s="472"/>
      <c r="M496" s="816">
        <f t="shared" si="26"/>
        <v>0</v>
      </c>
      <c r="N496" s="833">
        <f t="shared" si="27"/>
        <v>0</v>
      </c>
      <c r="O496" s="265">
        <f t="shared" si="28"/>
        <v>0</v>
      </c>
      <c r="P496" s="827">
        <f t="shared" si="29"/>
        <v>0</v>
      </c>
    </row>
    <row r="497" spans="1:16" ht="30" hidden="1" customHeight="1" outlineLevel="1">
      <c r="A497" s="118"/>
      <c r="B497" s="118"/>
      <c r="C497" s="828">
        <v>473</v>
      </c>
      <c r="D497" s="829"/>
      <c r="E497" s="830"/>
      <c r="F497" s="830"/>
      <c r="G497" s="854"/>
      <c r="H497" s="1049"/>
      <c r="I497" s="856"/>
      <c r="J497" s="857"/>
      <c r="K497" s="858"/>
      <c r="L497" s="472"/>
      <c r="M497" s="816">
        <f t="shared" si="26"/>
        <v>0</v>
      </c>
      <c r="N497" s="833">
        <f t="shared" si="27"/>
        <v>0</v>
      </c>
      <c r="O497" s="265">
        <f t="shared" si="28"/>
        <v>0</v>
      </c>
      <c r="P497" s="827">
        <f t="shared" si="29"/>
        <v>0</v>
      </c>
    </row>
    <row r="498" spans="1:16" ht="30" hidden="1" customHeight="1" outlineLevel="1">
      <c r="A498" s="118"/>
      <c r="B498" s="118"/>
      <c r="C498" s="828">
        <v>474</v>
      </c>
      <c r="D498" s="829"/>
      <c r="E498" s="830"/>
      <c r="F498" s="830"/>
      <c r="G498" s="854"/>
      <c r="H498" s="1049"/>
      <c r="I498" s="856"/>
      <c r="J498" s="857"/>
      <c r="K498" s="858"/>
      <c r="L498" s="472"/>
      <c r="M498" s="816">
        <f t="shared" si="26"/>
        <v>0</v>
      </c>
      <c r="N498" s="833">
        <f t="shared" si="27"/>
        <v>0</v>
      </c>
      <c r="O498" s="265">
        <f t="shared" si="28"/>
        <v>0</v>
      </c>
      <c r="P498" s="827">
        <f t="shared" si="29"/>
        <v>0</v>
      </c>
    </row>
    <row r="499" spans="1:16" ht="30" hidden="1" customHeight="1" outlineLevel="1">
      <c r="A499" s="118"/>
      <c r="B499" s="118"/>
      <c r="C499" s="828">
        <v>475</v>
      </c>
      <c r="D499" s="829"/>
      <c r="E499" s="830"/>
      <c r="F499" s="830"/>
      <c r="G499" s="854"/>
      <c r="H499" s="1049"/>
      <c r="I499" s="856"/>
      <c r="J499" s="857"/>
      <c r="K499" s="858"/>
      <c r="L499" s="472"/>
      <c r="M499" s="816">
        <f t="shared" si="26"/>
        <v>0</v>
      </c>
      <c r="N499" s="833">
        <f t="shared" si="27"/>
        <v>0</v>
      </c>
      <c r="O499" s="265">
        <f t="shared" si="28"/>
        <v>0</v>
      </c>
      <c r="P499" s="827">
        <f t="shared" si="29"/>
        <v>0</v>
      </c>
    </row>
    <row r="500" spans="1:16" ht="30" hidden="1" customHeight="1" outlineLevel="1">
      <c r="A500" s="118"/>
      <c r="B500" s="118"/>
      <c r="C500" s="828">
        <v>476</v>
      </c>
      <c r="D500" s="829"/>
      <c r="E500" s="830"/>
      <c r="F500" s="830"/>
      <c r="G500" s="854"/>
      <c r="H500" s="1049"/>
      <c r="I500" s="856"/>
      <c r="J500" s="857"/>
      <c r="K500" s="858"/>
      <c r="L500" s="472"/>
      <c r="M500" s="816">
        <f t="shared" si="26"/>
        <v>0</v>
      </c>
      <c r="N500" s="833">
        <f t="shared" si="27"/>
        <v>0</v>
      </c>
      <c r="O500" s="265">
        <f t="shared" si="28"/>
        <v>0</v>
      </c>
      <c r="P500" s="827">
        <f t="shared" si="29"/>
        <v>0</v>
      </c>
    </row>
    <row r="501" spans="1:16" ht="30" hidden="1" customHeight="1" outlineLevel="1">
      <c r="A501" s="118"/>
      <c r="B501" s="118"/>
      <c r="C501" s="828">
        <v>477</v>
      </c>
      <c r="D501" s="829"/>
      <c r="E501" s="830"/>
      <c r="F501" s="830"/>
      <c r="G501" s="854"/>
      <c r="H501" s="1049"/>
      <c r="I501" s="856"/>
      <c r="J501" s="857"/>
      <c r="K501" s="858"/>
      <c r="L501" s="472"/>
      <c r="M501" s="816">
        <f t="shared" si="26"/>
        <v>0</v>
      </c>
      <c r="N501" s="833">
        <f t="shared" si="27"/>
        <v>0</v>
      </c>
      <c r="O501" s="265">
        <f t="shared" si="28"/>
        <v>0</v>
      </c>
      <c r="P501" s="827">
        <f t="shared" si="29"/>
        <v>0</v>
      </c>
    </row>
    <row r="502" spans="1:16" ht="30" hidden="1" customHeight="1" outlineLevel="1">
      <c r="A502" s="118"/>
      <c r="B502" s="118"/>
      <c r="C502" s="828">
        <v>478</v>
      </c>
      <c r="D502" s="829"/>
      <c r="E502" s="830"/>
      <c r="F502" s="830"/>
      <c r="G502" s="854"/>
      <c r="H502" s="1049"/>
      <c r="I502" s="856"/>
      <c r="J502" s="857"/>
      <c r="K502" s="858"/>
      <c r="L502" s="472"/>
      <c r="M502" s="816">
        <f t="shared" si="26"/>
        <v>0</v>
      </c>
      <c r="N502" s="833">
        <f t="shared" si="27"/>
        <v>0</v>
      </c>
      <c r="O502" s="265">
        <f t="shared" si="28"/>
        <v>0</v>
      </c>
      <c r="P502" s="827">
        <f t="shared" si="29"/>
        <v>0</v>
      </c>
    </row>
    <row r="503" spans="1:16" ht="30" hidden="1" customHeight="1" outlineLevel="1">
      <c r="A503" s="118"/>
      <c r="B503" s="118"/>
      <c r="C503" s="828">
        <v>479</v>
      </c>
      <c r="D503" s="829"/>
      <c r="E503" s="830"/>
      <c r="F503" s="830"/>
      <c r="G503" s="854"/>
      <c r="H503" s="1049"/>
      <c r="I503" s="856"/>
      <c r="J503" s="857"/>
      <c r="K503" s="858"/>
      <c r="L503" s="472"/>
      <c r="M503" s="816">
        <f t="shared" si="26"/>
        <v>0</v>
      </c>
      <c r="N503" s="833">
        <f t="shared" si="27"/>
        <v>0</v>
      </c>
      <c r="O503" s="265">
        <f t="shared" si="28"/>
        <v>0</v>
      </c>
      <c r="P503" s="827">
        <f t="shared" si="29"/>
        <v>0</v>
      </c>
    </row>
    <row r="504" spans="1:16" ht="30" hidden="1" customHeight="1" outlineLevel="1">
      <c r="A504" s="118"/>
      <c r="B504" s="118"/>
      <c r="C504" s="828">
        <v>480</v>
      </c>
      <c r="D504" s="829"/>
      <c r="E504" s="830"/>
      <c r="F504" s="830"/>
      <c r="G504" s="854"/>
      <c r="H504" s="1049"/>
      <c r="I504" s="856"/>
      <c r="J504" s="857"/>
      <c r="K504" s="858"/>
      <c r="L504" s="472"/>
      <c r="M504" s="816">
        <f t="shared" si="26"/>
        <v>0</v>
      </c>
      <c r="N504" s="833">
        <f t="shared" si="27"/>
        <v>0</v>
      </c>
      <c r="O504" s="265">
        <f t="shared" si="28"/>
        <v>0</v>
      </c>
      <c r="P504" s="827">
        <f t="shared" si="29"/>
        <v>0</v>
      </c>
    </row>
    <row r="505" spans="1:16" ht="30" hidden="1" customHeight="1" outlineLevel="1">
      <c r="A505" s="118"/>
      <c r="B505" s="118"/>
      <c r="C505" s="828">
        <v>481</v>
      </c>
      <c r="D505" s="829"/>
      <c r="E505" s="830"/>
      <c r="F505" s="830"/>
      <c r="G505" s="854"/>
      <c r="H505" s="1049"/>
      <c r="I505" s="856"/>
      <c r="J505" s="857"/>
      <c r="K505" s="858"/>
      <c r="L505" s="472"/>
      <c r="M505" s="816">
        <f t="shared" si="26"/>
        <v>0</v>
      </c>
      <c r="N505" s="833">
        <f t="shared" si="27"/>
        <v>0</v>
      </c>
      <c r="O505" s="265">
        <f t="shared" si="28"/>
        <v>0</v>
      </c>
      <c r="P505" s="827">
        <f t="shared" si="29"/>
        <v>0</v>
      </c>
    </row>
    <row r="506" spans="1:16" ht="30" hidden="1" customHeight="1" outlineLevel="1">
      <c r="A506" s="118"/>
      <c r="B506" s="118"/>
      <c r="C506" s="828">
        <v>482</v>
      </c>
      <c r="D506" s="829"/>
      <c r="E506" s="830"/>
      <c r="F506" s="830"/>
      <c r="G506" s="854"/>
      <c r="H506" s="1049"/>
      <c r="I506" s="856"/>
      <c r="J506" s="857"/>
      <c r="K506" s="858"/>
      <c r="L506" s="472"/>
      <c r="M506" s="816">
        <f t="shared" si="26"/>
        <v>0</v>
      </c>
      <c r="N506" s="833">
        <f t="shared" si="27"/>
        <v>0</v>
      </c>
      <c r="O506" s="265">
        <f t="shared" si="28"/>
        <v>0</v>
      </c>
      <c r="P506" s="827">
        <f t="shared" si="29"/>
        <v>0</v>
      </c>
    </row>
    <row r="507" spans="1:16" ht="30" hidden="1" customHeight="1" outlineLevel="1">
      <c r="A507" s="118"/>
      <c r="B507" s="118"/>
      <c r="C507" s="828">
        <v>483</v>
      </c>
      <c r="D507" s="829"/>
      <c r="E507" s="830"/>
      <c r="F507" s="830"/>
      <c r="G507" s="854"/>
      <c r="H507" s="1049"/>
      <c r="I507" s="856"/>
      <c r="J507" s="857"/>
      <c r="K507" s="858"/>
      <c r="L507" s="472"/>
      <c r="M507" s="816">
        <f t="shared" si="26"/>
        <v>0</v>
      </c>
      <c r="N507" s="833">
        <f t="shared" si="27"/>
        <v>0</v>
      </c>
      <c r="O507" s="265">
        <f t="shared" si="28"/>
        <v>0</v>
      </c>
      <c r="P507" s="827">
        <f t="shared" si="29"/>
        <v>0</v>
      </c>
    </row>
    <row r="508" spans="1:16" ht="30" hidden="1" customHeight="1" outlineLevel="1">
      <c r="A508" s="118"/>
      <c r="B508" s="118"/>
      <c r="C508" s="828">
        <v>484</v>
      </c>
      <c r="D508" s="829"/>
      <c r="E508" s="830"/>
      <c r="F508" s="830"/>
      <c r="G508" s="854"/>
      <c r="H508" s="1049"/>
      <c r="I508" s="856"/>
      <c r="J508" s="857"/>
      <c r="K508" s="858"/>
      <c r="L508" s="472"/>
      <c r="M508" s="816">
        <f t="shared" si="26"/>
        <v>0</v>
      </c>
      <c r="N508" s="833">
        <f t="shared" si="27"/>
        <v>0</v>
      </c>
      <c r="O508" s="265">
        <f t="shared" si="28"/>
        <v>0</v>
      </c>
      <c r="P508" s="827">
        <f t="shared" si="29"/>
        <v>0</v>
      </c>
    </row>
    <row r="509" spans="1:16" ht="30" hidden="1" customHeight="1" outlineLevel="1">
      <c r="A509" s="118"/>
      <c r="B509" s="118"/>
      <c r="C509" s="828">
        <v>485</v>
      </c>
      <c r="D509" s="829"/>
      <c r="E509" s="830"/>
      <c r="F509" s="830"/>
      <c r="G509" s="854"/>
      <c r="H509" s="1049"/>
      <c r="I509" s="856"/>
      <c r="J509" s="857"/>
      <c r="K509" s="858"/>
      <c r="L509" s="472"/>
      <c r="M509" s="816">
        <f t="shared" si="26"/>
        <v>0</v>
      </c>
      <c r="N509" s="833">
        <f t="shared" si="27"/>
        <v>0</v>
      </c>
      <c r="O509" s="265">
        <f t="shared" si="28"/>
        <v>0</v>
      </c>
      <c r="P509" s="827">
        <f t="shared" si="29"/>
        <v>0</v>
      </c>
    </row>
    <row r="510" spans="1:16" ht="30" hidden="1" customHeight="1" outlineLevel="1">
      <c r="A510" s="118"/>
      <c r="B510" s="118"/>
      <c r="C510" s="828">
        <v>486</v>
      </c>
      <c r="D510" s="829"/>
      <c r="E510" s="830"/>
      <c r="F510" s="830"/>
      <c r="G510" s="854"/>
      <c r="H510" s="1049"/>
      <c r="I510" s="856"/>
      <c r="J510" s="857"/>
      <c r="K510" s="858"/>
      <c r="L510" s="472"/>
      <c r="M510" s="816">
        <f t="shared" si="26"/>
        <v>0</v>
      </c>
      <c r="N510" s="833">
        <f t="shared" si="27"/>
        <v>0</v>
      </c>
      <c r="O510" s="265">
        <f t="shared" si="28"/>
        <v>0</v>
      </c>
      <c r="P510" s="827">
        <f t="shared" si="29"/>
        <v>0</v>
      </c>
    </row>
    <row r="511" spans="1:16" ht="30" hidden="1" customHeight="1" outlineLevel="1">
      <c r="A511" s="118"/>
      <c r="B511" s="118"/>
      <c r="C511" s="828">
        <v>487</v>
      </c>
      <c r="D511" s="829"/>
      <c r="E511" s="830"/>
      <c r="F511" s="830"/>
      <c r="G511" s="854"/>
      <c r="H511" s="1049"/>
      <c r="I511" s="856"/>
      <c r="J511" s="857"/>
      <c r="K511" s="858"/>
      <c r="L511" s="472"/>
      <c r="M511" s="816">
        <f t="shared" si="26"/>
        <v>0</v>
      </c>
      <c r="N511" s="833">
        <f t="shared" si="27"/>
        <v>0</v>
      </c>
      <c r="O511" s="265">
        <f t="shared" si="28"/>
        <v>0</v>
      </c>
      <c r="P511" s="827">
        <f t="shared" si="29"/>
        <v>0</v>
      </c>
    </row>
    <row r="512" spans="1:16" ht="30" hidden="1" customHeight="1" outlineLevel="1">
      <c r="A512" s="118"/>
      <c r="B512" s="118"/>
      <c r="C512" s="828">
        <v>488</v>
      </c>
      <c r="D512" s="829"/>
      <c r="E512" s="830"/>
      <c r="F512" s="830"/>
      <c r="G512" s="854"/>
      <c r="H512" s="1049"/>
      <c r="I512" s="856"/>
      <c r="J512" s="857"/>
      <c r="K512" s="858"/>
      <c r="L512" s="472"/>
      <c r="M512" s="816">
        <f t="shared" si="26"/>
        <v>0</v>
      </c>
      <c r="N512" s="833">
        <f t="shared" si="27"/>
        <v>0</v>
      </c>
      <c r="O512" s="265">
        <f t="shared" si="28"/>
        <v>0</v>
      </c>
      <c r="P512" s="827">
        <f t="shared" si="29"/>
        <v>0</v>
      </c>
    </row>
    <row r="513" spans="1:16" ht="30" hidden="1" customHeight="1" outlineLevel="1">
      <c r="A513" s="118"/>
      <c r="B513" s="118"/>
      <c r="C513" s="828">
        <v>489</v>
      </c>
      <c r="D513" s="829"/>
      <c r="E513" s="830"/>
      <c r="F513" s="830"/>
      <c r="G513" s="854"/>
      <c r="H513" s="1049"/>
      <c r="I513" s="856"/>
      <c r="J513" s="857"/>
      <c r="K513" s="858"/>
      <c r="L513" s="472"/>
      <c r="M513" s="816">
        <f t="shared" si="26"/>
        <v>0</v>
      </c>
      <c r="N513" s="833">
        <f t="shared" si="27"/>
        <v>0</v>
      </c>
      <c r="O513" s="265">
        <f t="shared" si="28"/>
        <v>0</v>
      </c>
      <c r="P513" s="827">
        <f t="shared" si="29"/>
        <v>0</v>
      </c>
    </row>
    <row r="514" spans="1:16" ht="30" hidden="1" customHeight="1" outlineLevel="1">
      <c r="A514" s="118"/>
      <c r="B514" s="118"/>
      <c r="C514" s="828">
        <v>490</v>
      </c>
      <c r="D514" s="829"/>
      <c r="E514" s="830"/>
      <c r="F514" s="830"/>
      <c r="G514" s="854"/>
      <c r="H514" s="1049"/>
      <c r="I514" s="856"/>
      <c r="J514" s="857"/>
      <c r="K514" s="858"/>
      <c r="L514" s="472"/>
      <c r="M514" s="816">
        <f t="shared" si="26"/>
        <v>0</v>
      </c>
      <c r="N514" s="833">
        <f t="shared" si="27"/>
        <v>0</v>
      </c>
      <c r="O514" s="265">
        <f t="shared" si="28"/>
        <v>0</v>
      </c>
      <c r="P514" s="827">
        <f t="shared" si="29"/>
        <v>0</v>
      </c>
    </row>
    <row r="515" spans="1:16" ht="30" hidden="1" customHeight="1" outlineLevel="1">
      <c r="A515" s="118"/>
      <c r="B515" s="118"/>
      <c r="C515" s="828">
        <v>491</v>
      </c>
      <c r="D515" s="829"/>
      <c r="E515" s="830"/>
      <c r="F515" s="830"/>
      <c r="G515" s="854"/>
      <c r="H515" s="1049"/>
      <c r="I515" s="856"/>
      <c r="J515" s="857"/>
      <c r="K515" s="858"/>
      <c r="L515" s="472"/>
      <c r="M515" s="816">
        <f t="shared" si="26"/>
        <v>0</v>
      </c>
      <c r="N515" s="833">
        <f t="shared" si="27"/>
        <v>0</v>
      </c>
      <c r="O515" s="265">
        <f t="shared" si="28"/>
        <v>0</v>
      </c>
      <c r="P515" s="827">
        <f t="shared" si="29"/>
        <v>0</v>
      </c>
    </row>
    <row r="516" spans="1:16" ht="30" hidden="1" customHeight="1" outlineLevel="1">
      <c r="A516" s="118"/>
      <c r="B516" s="118"/>
      <c r="C516" s="828">
        <v>492</v>
      </c>
      <c r="D516" s="829"/>
      <c r="E516" s="830"/>
      <c r="F516" s="830"/>
      <c r="G516" s="854"/>
      <c r="H516" s="1049"/>
      <c r="I516" s="856"/>
      <c r="J516" s="857"/>
      <c r="K516" s="858"/>
      <c r="L516" s="472"/>
      <c r="M516" s="816">
        <f t="shared" si="26"/>
        <v>0</v>
      </c>
      <c r="N516" s="833">
        <f t="shared" si="27"/>
        <v>0</v>
      </c>
      <c r="O516" s="265">
        <f t="shared" si="28"/>
        <v>0</v>
      </c>
      <c r="P516" s="827">
        <f t="shared" si="29"/>
        <v>0</v>
      </c>
    </row>
    <row r="517" spans="1:16" ht="30" hidden="1" customHeight="1" outlineLevel="1">
      <c r="A517" s="118"/>
      <c r="B517" s="118"/>
      <c r="C517" s="828">
        <v>493</v>
      </c>
      <c r="D517" s="829"/>
      <c r="E517" s="830"/>
      <c r="F517" s="830"/>
      <c r="G517" s="854"/>
      <c r="H517" s="1049"/>
      <c r="I517" s="856"/>
      <c r="J517" s="857"/>
      <c r="K517" s="858"/>
      <c r="L517" s="472"/>
      <c r="M517" s="816">
        <f t="shared" si="26"/>
        <v>0</v>
      </c>
      <c r="N517" s="833">
        <f t="shared" si="27"/>
        <v>0</v>
      </c>
      <c r="O517" s="265">
        <f t="shared" si="28"/>
        <v>0</v>
      </c>
      <c r="P517" s="827">
        <f t="shared" si="29"/>
        <v>0</v>
      </c>
    </row>
    <row r="518" spans="1:16" ht="30" hidden="1" customHeight="1" outlineLevel="1">
      <c r="A518" s="118"/>
      <c r="B518" s="118"/>
      <c r="C518" s="828">
        <v>494</v>
      </c>
      <c r="D518" s="829"/>
      <c r="E518" s="830"/>
      <c r="F518" s="830"/>
      <c r="G518" s="854"/>
      <c r="H518" s="1049"/>
      <c r="I518" s="856"/>
      <c r="J518" s="857"/>
      <c r="K518" s="858"/>
      <c r="L518" s="472"/>
      <c r="M518" s="816">
        <f t="shared" si="26"/>
        <v>0</v>
      </c>
      <c r="N518" s="833">
        <f t="shared" si="27"/>
        <v>0</v>
      </c>
      <c r="O518" s="265">
        <f t="shared" si="28"/>
        <v>0</v>
      </c>
      <c r="P518" s="827">
        <f t="shared" si="29"/>
        <v>0</v>
      </c>
    </row>
    <row r="519" spans="1:16" ht="30" hidden="1" customHeight="1" outlineLevel="1">
      <c r="A519" s="118"/>
      <c r="B519" s="118"/>
      <c r="C519" s="828">
        <v>495</v>
      </c>
      <c r="D519" s="829"/>
      <c r="E519" s="830"/>
      <c r="F519" s="830"/>
      <c r="G519" s="854"/>
      <c r="H519" s="1049"/>
      <c r="I519" s="856"/>
      <c r="J519" s="857"/>
      <c r="K519" s="858"/>
      <c r="L519" s="472"/>
      <c r="M519" s="816">
        <f t="shared" si="26"/>
        <v>0</v>
      </c>
      <c r="N519" s="833">
        <f t="shared" si="27"/>
        <v>0</v>
      </c>
      <c r="O519" s="265">
        <f t="shared" si="28"/>
        <v>0</v>
      </c>
      <c r="P519" s="827">
        <f t="shared" si="29"/>
        <v>0</v>
      </c>
    </row>
    <row r="520" spans="1:16" ht="30" hidden="1" customHeight="1" outlineLevel="1">
      <c r="A520" s="118"/>
      <c r="B520" s="118"/>
      <c r="C520" s="828">
        <v>496</v>
      </c>
      <c r="D520" s="829"/>
      <c r="E520" s="830"/>
      <c r="F520" s="830"/>
      <c r="G520" s="854"/>
      <c r="H520" s="1049"/>
      <c r="I520" s="856"/>
      <c r="J520" s="857"/>
      <c r="K520" s="858"/>
      <c r="L520" s="472"/>
      <c r="M520" s="816">
        <f t="shared" si="26"/>
        <v>0</v>
      </c>
      <c r="N520" s="833">
        <f t="shared" si="27"/>
        <v>0</v>
      </c>
      <c r="O520" s="265">
        <f t="shared" si="28"/>
        <v>0</v>
      </c>
      <c r="P520" s="827">
        <f t="shared" si="29"/>
        <v>0</v>
      </c>
    </row>
    <row r="521" spans="1:16" ht="30" hidden="1" customHeight="1" outlineLevel="1">
      <c r="A521" s="118"/>
      <c r="B521" s="118"/>
      <c r="C521" s="828">
        <v>497</v>
      </c>
      <c r="D521" s="829"/>
      <c r="E521" s="830"/>
      <c r="F521" s="830"/>
      <c r="G521" s="854"/>
      <c r="H521" s="1049"/>
      <c r="I521" s="856"/>
      <c r="J521" s="857"/>
      <c r="K521" s="858"/>
      <c r="L521" s="472"/>
      <c r="M521" s="816">
        <f t="shared" si="26"/>
        <v>0</v>
      </c>
      <c r="N521" s="833">
        <f t="shared" si="27"/>
        <v>0</v>
      </c>
      <c r="O521" s="265">
        <f t="shared" si="28"/>
        <v>0</v>
      </c>
      <c r="P521" s="827">
        <f t="shared" si="29"/>
        <v>0</v>
      </c>
    </row>
    <row r="522" spans="1:16" ht="30" hidden="1" customHeight="1" outlineLevel="1">
      <c r="A522" s="118"/>
      <c r="B522" s="118"/>
      <c r="C522" s="828">
        <v>498</v>
      </c>
      <c r="D522" s="829"/>
      <c r="E522" s="830"/>
      <c r="F522" s="830"/>
      <c r="G522" s="854"/>
      <c r="H522" s="1049"/>
      <c r="I522" s="856"/>
      <c r="J522" s="857"/>
      <c r="K522" s="858"/>
      <c r="L522" s="472"/>
      <c r="M522" s="816">
        <f t="shared" si="26"/>
        <v>0</v>
      </c>
      <c r="N522" s="833">
        <f t="shared" si="27"/>
        <v>0</v>
      </c>
      <c r="O522" s="265">
        <f t="shared" si="28"/>
        <v>0</v>
      </c>
      <c r="P522" s="827">
        <f t="shared" si="29"/>
        <v>0</v>
      </c>
    </row>
    <row r="523" spans="1:16" ht="30" hidden="1" customHeight="1" outlineLevel="1">
      <c r="A523" s="118"/>
      <c r="B523" s="118"/>
      <c r="C523" s="828">
        <v>499</v>
      </c>
      <c r="D523" s="829"/>
      <c r="E523" s="830"/>
      <c r="F523" s="830"/>
      <c r="G523" s="854"/>
      <c r="H523" s="1049"/>
      <c r="I523" s="856"/>
      <c r="J523" s="857"/>
      <c r="K523" s="858"/>
      <c r="L523" s="472"/>
      <c r="M523" s="816">
        <f t="shared" si="26"/>
        <v>0</v>
      </c>
      <c r="N523" s="833">
        <f t="shared" si="27"/>
        <v>0</v>
      </c>
      <c r="O523" s="265">
        <f t="shared" si="28"/>
        <v>0</v>
      </c>
      <c r="P523" s="827">
        <f t="shared" si="29"/>
        <v>0</v>
      </c>
    </row>
    <row r="524" spans="1:16" ht="30" hidden="1" customHeight="1" outlineLevel="1">
      <c r="A524" s="118"/>
      <c r="B524" s="118"/>
      <c r="C524" s="828">
        <v>500</v>
      </c>
      <c r="D524" s="829"/>
      <c r="E524" s="830"/>
      <c r="F524" s="830"/>
      <c r="G524" s="854"/>
      <c r="H524" s="1049"/>
      <c r="I524" s="856"/>
      <c r="J524" s="857"/>
      <c r="K524" s="858"/>
      <c r="L524" s="472"/>
      <c r="M524" s="816">
        <f t="shared" si="26"/>
        <v>0</v>
      </c>
      <c r="N524" s="833">
        <f t="shared" si="27"/>
        <v>0</v>
      </c>
      <c r="O524" s="265">
        <f t="shared" si="28"/>
        <v>0</v>
      </c>
      <c r="P524" s="827">
        <f t="shared" si="29"/>
        <v>0</v>
      </c>
    </row>
    <row r="525" spans="1:16" ht="30" hidden="1" customHeight="1" outlineLevel="1">
      <c r="A525" s="118"/>
      <c r="B525" s="118"/>
      <c r="C525" s="828">
        <v>501</v>
      </c>
      <c r="D525" s="829"/>
      <c r="E525" s="830"/>
      <c r="F525" s="830"/>
      <c r="G525" s="854"/>
      <c r="H525" s="1049"/>
      <c r="I525" s="856"/>
      <c r="J525" s="857"/>
      <c r="K525" s="858"/>
      <c r="L525" s="472"/>
      <c r="M525" s="816">
        <f t="shared" si="26"/>
        <v>0</v>
      </c>
      <c r="N525" s="833">
        <f t="shared" si="27"/>
        <v>0</v>
      </c>
      <c r="O525" s="265">
        <f t="shared" si="28"/>
        <v>0</v>
      </c>
      <c r="P525" s="827">
        <f t="shared" si="29"/>
        <v>0</v>
      </c>
    </row>
    <row r="526" spans="1:16" ht="30" hidden="1" customHeight="1" outlineLevel="1">
      <c r="A526" s="118"/>
      <c r="B526" s="118"/>
      <c r="C526" s="828">
        <v>502</v>
      </c>
      <c r="D526" s="829"/>
      <c r="E526" s="830"/>
      <c r="F526" s="830"/>
      <c r="G526" s="854"/>
      <c r="H526" s="1049"/>
      <c r="I526" s="856"/>
      <c r="J526" s="857"/>
      <c r="K526" s="858"/>
      <c r="L526" s="472"/>
      <c r="M526" s="816">
        <f t="shared" si="26"/>
        <v>0</v>
      </c>
      <c r="N526" s="833">
        <f t="shared" si="27"/>
        <v>0</v>
      </c>
      <c r="O526" s="265">
        <f t="shared" si="28"/>
        <v>0</v>
      </c>
      <c r="P526" s="827">
        <f t="shared" si="29"/>
        <v>0</v>
      </c>
    </row>
    <row r="527" spans="1:16" ht="30" hidden="1" customHeight="1" outlineLevel="1">
      <c r="A527" s="118"/>
      <c r="B527" s="118"/>
      <c r="C527" s="828">
        <v>503</v>
      </c>
      <c r="D527" s="829"/>
      <c r="E527" s="830"/>
      <c r="F527" s="830"/>
      <c r="G527" s="854"/>
      <c r="H527" s="1049"/>
      <c r="I527" s="856"/>
      <c r="J527" s="857"/>
      <c r="K527" s="858"/>
      <c r="L527" s="472"/>
      <c r="M527" s="816">
        <f t="shared" si="26"/>
        <v>0</v>
      </c>
      <c r="N527" s="833">
        <f t="shared" si="27"/>
        <v>0</v>
      </c>
      <c r="O527" s="265">
        <f t="shared" si="28"/>
        <v>0</v>
      </c>
      <c r="P527" s="827">
        <f t="shared" si="29"/>
        <v>0</v>
      </c>
    </row>
    <row r="528" spans="1:16" ht="30" hidden="1" customHeight="1" outlineLevel="1">
      <c r="A528" s="118"/>
      <c r="B528" s="118"/>
      <c r="C528" s="828">
        <v>504</v>
      </c>
      <c r="D528" s="829"/>
      <c r="E528" s="830"/>
      <c r="F528" s="830"/>
      <c r="G528" s="854"/>
      <c r="H528" s="1049"/>
      <c r="I528" s="856"/>
      <c r="J528" s="857"/>
      <c r="K528" s="858"/>
      <c r="L528" s="472"/>
      <c r="M528" s="816">
        <f t="shared" si="26"/>
        <v>0</v>
      </c>
      <c r="N528" s="833">
        <f t="shared" si="27"/>
        <v>0</v>
      </c>
      <c r="O528" s="265">
        <f t="shared" si="28"/>
        <v>0</v>
      </c>
      <c r="P528" s="827">
        <f t="shared" si="29"/>
        <v>0</v>
      </c>
    </row>
    <row r="529" spans="1:16" ht="30" hidden="1" customHeight="1" outlineLevel="1">
      <c r="A529" s="118"/>
      <c r="B529" s="118"/>
      <c r="C529" s="828">
        <v>505</v>
      </c>
      <c r="D529" s="829"/>
      <c r="E529" s="830"/>
      <c r="F529" s="830"/>
      <c r="G529" s="854"/>
      <c r="H529" s="1049"/>
      <c r="I529" s="856"/>
      <c r="J529" s="857"/>
      <c r="K529" s="858"/>
      <c r="L529" s="472"/>
      <c r="M529" s="816">
        <f t="shared" si="26"/>
        <v>0</v>
      </c>
      <c r="N529" s="833">
        <f t="shared" si="27"/>
        <v>0</v>
      </c>
      <c r="O529" s="265">
        <f t="shared" si="28"/>
        <v>0</v>
      </c>
      <c r="P529" s="827">
        <f t="shared" si="29"/>
        <v>0</v>
      </c>
    </row>
    <row r="530" spans="1:16" ht="30" hidden="1" customHeight="1" outlineLevel="1">
      <c r="A530" s="118"/>
      <c r="B530" s="118"/>
      <c r="C530" s="828">
        <v>506</v>
      </c>
      <c r="D530" s="829"/>
      <c r="E530" s="830"/>
      <c r="F530" s="830"/>
      <c r="G530" s="854"/>
      <c r="H530" s="1049"/>
      <c r="I530" s="856"/>
      <c r="J530" s="857"/>
      <c r="K530" s="858"/>
      <c r="L530" s="472"/>
      <c r="M530" s="816">
        <f t="shared" si="26"/>
        <v>0</v>
      </c>
      <c r="N530" s="833">
        <f t="shared" si="27"/>
        <v>0</v>
      </c>
      <c r="O530" s="265">
        <f t="shared" si="28"/>
        <v>0</v>
      </c>
      <c r="P530" s="827">
        <f t="shared" si="29"/>
        <v>0</v>
      </c>
    </row>
    <row r="531" spans="1:16" ht="30" hidden="1" customHeight="1" outlineLevel="1">
      <c r="A531" s="118"/>
      <c r="B531" s="118"/>
      <c r="C531" s="828">
        <v>507</v>
      </c>
      <c r="D531" s="829"/>
      <c r="E531" s="830"/>
      <c r="F531" s="830"/>
      <c r="G531" s="854"/>
      <c r="H531" s="1049"/>
      <c r="I531" s="856"/>
      <c r="J531" s="857"/>
      <c r="K531" s="858"/>
      <c r="L531" s="472"/>
      <c r="M531" s="816">
        <f t="shared" si="26"/>
        <v>0</v>
      </c>
      <c r="N531" s="833">
        <f t="shared" si="27"/>
        <v>0</v>
      </c>
      <c r="O531" s="265">
        <f t="shared" si="28"/>
        <v>0</v>
      </c>
      <c r="P531" s="827">
        <f t="shared" si="29"/>
        <v>0</v>
      </c>
    </row>
    <row r="532" spans="1:16" ht="30" hidden="1" customHeight="1" outlineLevel="1">
      <c r="A532" s="118"/>
      <c r="B532" s="118"/>
      <c r="C532" s="828">
        <v>508</v>
      </c>
      <c r="D532" s="829"/>
      <c r="E532" s="830"/>
      <c r="F532" s="830"/>
      <c r="G532" s="854"/>
      <c r="H532" s="1049"/>
      <c r="I532" s="856"/>
      <c r="J532" s="857"/>
      <c r="K532" s="858"/>
      <c r="L532" s="472"/>
      <c r="M532" s="816">
        <f t="shared" si="26"/>
        <v>0</v>
      </c>
      <c r="N532" s="833">
        <f t="shared" si="27"/>
        <v>0</v>
      </c>
      <c r="O532" s="265">
        <f t="shared" si="28"/>
        <v>0</v>
      </c>
      <c r="P532" s="827">
        <f t="shared" si="29"/>
        <v>0</v>
      </c>
    </row>
    <row r="533" spans="1:16" ht="30" hidden="1" customHeight="1" outlineLevel="1">
      <c r="A533" s="118"/>
      <c r="B533" s="118"/>
      <c r="C533" s="828">
        <v>509</v>
      </c>
      <c r="D533" s="829"/>
      <c r="E533" s="830"/>
      <c r="F533" s="830"/>
      <c r="G533" s="854"/>
      <c r="H533" s="1049"/>
      <c r="I533" s="856"/>
      <c r="J533" s="857"/>
      <c r="K533" s="858"/>
      <c r="L533" s="472"/>
      <c r="M533" s="816">
        <f t="shared" si="26"/>
        <v>0</v>
      </c>
      <c r="N533" s="833">
        <f t="shared" si="27"/>
        <v>0</v>
      </c>
      <c r="O533" s="265">
        <f t="shared" si="28"/>
        <v>0</v>
      </c>
      <c r="P533" s="827">
        <f t="shared" si="29"/>
        <v>0</v>
      </c>
    </row>
    <row r="534" spans="1:16" ht="30" hidden="1" customHeight="1" outlineLevel="1">
      <c r="A534" s="118"/>
      <c r="B534" s="118"/>
      <c r="C534" s="828">
        <v>510</v>
      </c>
      <c r="D534" s="829"/>
      <c r="E534" s="830"/>
      <c r="F534" s="830"/>
      <c r="G534" s="854"/>
      <c r="H534" s="1049"/>
      <c r="I534" s="856"/>
      <c r="J534" s="857"/>
      <c r="K534" s="858"/>
      <c r="L534" s="472"/>
      <c r="M534" s="816">
        <f t="shared" si="26"/>
        <v>0</v>
      </c>
      <c r="N534" s="833">
        <f t="shared" si="27"/>
        <v>0</v>
      </c>
      <c r="O534" s="265">
        <f t="shared" si="28"/>
        <v>0</v>
      </c>
      <c r="P534" s="827">
        <f t="shared" si="29"/>
        <v>0</v>
      </c>
    </row>
    <row r="535" spans="1:16" ht="30" hidden="1" customHeight="1" outlineLevel="1">
      <c r="A535" s="118"/>
      <c r="B535" s="118"/>
      <c r="C535" s="828">
        <v>511</v>
      </c>
      <c r="D535" s="829"/>
      <c r="E535" s="830"/>
      <c r="F535" s="830"/>
      <c r="G535" s="854"/>
      <c r="H535" s="1049"/>
      <c r="I535" s="856"/>
      <c r="J535" s="857"/>
      <c r="K535" s="858"/>
      <c r="L535" s="472"/>
      <c r="M535" s="816">
        <f t="shared" si="26"/>
        <v>0</v>
      </c>
      <c r="N535" s="833">
        <f t="shared" si="27"/>
        <v>0</v>
      </c>
      <c r="O535" s="265">
        <f t="shared" si="28"/>
        <v>0</v>
      </c>
      <c r="P535" s="827">
        <f t="shared" si="29"/>
        <v>0</v>
      </c>
    </row>
    <row r="536" spans="1:16" ht="30" hidden="1" customHeight="1" outlineLevel="1">
      <c r="A536" s="118"/>
      <c r="B536" s="118"/>
      <c r="C536" s="828">
        <v>512</v>
      </c>
      <c r="D536" s="829"/>
      <c r="E536" s="830"/>
      <c r="F536" s="830"/>
      <c r="G536" s="854"/>
      <c r="H536" s="1049"/>
      <c r="I536" s="856"/>
      <c r="J536" s="857"/>
      <c r="K536" s="858"/>
      <c r="L536" s="472"/>
      <c r="M536" s="816">
        <f t="shared" si="26"/>
        <v>0</v>
      </c>
      <c r="N536" s="833">
        <f t="shared" si="27"/>
        <v>0</v>
      </c>
      <c r="O536" s="265">
        <f t="shared" si="28"/>
        <v>0</v>
      </c>
      <c r="P536" s="827">
        <f t="shared" si="29"/>
        <v>0</v>
      </c>
    </row>
    <row r="537" spans="1:16" ht="30" hidden="1" customHeight="1" outlineLevel="1">
      <c r="A537" s="118"/>
      <c r="B537" s="118"/>
      <c r="C537" s="828">
        <v>513</v>
      </c>
      <c r="D537" s="829"/>
      <c r="E537" s="830"/>
      <c r="F537" s="830"/>
      <c r="G537" s="854"/>
      <c r="H537" s="1049"/>
      <c r="I537" s="856"/>
      <c r="J537" s="857"/>
      <c r="K537" s="858"/>
      <c r="L537" s="472"/>
      <c r="M537" s="816">
        <f t="shared" si="26"/>
        <v>0</v>
      </c>
      <c r="N537" s="833">
        <f t="shared" si="27"/>
        <v>0</v>
      </c>
      <c r="O537" s="265">
        <f t="shared" si="28"/>
        <v>0</v>
      </c>
      <c r="P537" s="827">
        <f t="shared" si="29"/>
        <v>0</v>
      </c>
    </row>
    <row r="538" spans="1:16" ht="30" hidden="1" customHeight="1" outlineLevel="1">
      <c r="A538" s="118"/>
      <c r="B538" s="118"/>
      <c r="C538" s="828">
        <v>514</v>
      </c>
      <c r="D538" s="829"/>
      <c r="E538" s="830"/>
      <c r="F538" s="830"/>
      <c r="G538" s="854"/>
      <c r="H538" s="1049"/>
      <c r="I538" s="856"/>
      <c r="J538" s="857"/>
      <c r="K538" s="858"/>
      <c r="L538" s="472"/>
      <c r="M538" s="816">
        <f t="shared" si="26"/>
        <v>0</v>
      </c>
      <c r="N538" s="833">
        <f t="shared" si="27"/>
        <v>0</v>
      </c>
      <c r="O538" s="265">
        <f t="shared" si="28"/>
        <v>0</v>
      </c>
      <c r="P538" s="827">
        <f t="shared" si="29"/>
        <v>0</v>
      </c>
    </row>
    <row r="539" spans="1:16" ht="30" hidden="1" customHeight="1" outlineLevel="1">
      <c r="A539" s="118"/>
      <c r="B539" s="118"/>
      <c r="C539" s="828">
        <v>515</v>
      </c>
      <c r="D539" s="829"/>
      <c r="E539" s="830"/>
      <c r="F539" s="830"/>
      <c r="G539" s="854"/>
      <c r="H539" s="1049"/>
      <c r="I539" s="856"/>
      <c r="J539" s="857"/>
      <c r="K539" s="858"/>
      <c r="L539" s="472"/>
      <c r="M539" s="816">
        <f t="shared" si="26"/>
        <v>0</v>
      </c>
      <c r="N539" s="833">
        <f t="shared" si="27"/>
        <v>0</v>
      </c>
      <c r="O539" s="265">
        <f t="shared" si="28"/>
        <v>0</v>
      </c>
      <c r="P539" s="827">
        <f t="shared" si="29"/>
        <v>0</v>
      </c>
    </row>
    <row r="540" spans="1:16" ht="30" hidden="1" customHeight="1" outlineLevel="1">
      <c r="A540" s="118"/>
      <c r="B540" s="118"/>
      <c r="C540" s="828">
        <v>516</v>
      </c>
      <c r="D540" s="829"/>
      <c r="E540" s="830"/>
      <c r="F540" s="830"/>
      <c r="G540" s="854"/>
      <c r="H540" s="1049"/>
      <c r="I540" s="856"/>
      <c r="J540" s="857"/>
      <c r="K540" s="858"/>
      <c r="L540" s="472"/>
      <c r="M540" s="816">
        <f t="shared" si="26"/>
        <v>0</v>
      </c>
      <c r="N540" s="833">
        <f t="shared" si="27"/>
        <v>0</v>
      </c>
      <c r="O540" s="265">
        <f t="shared" si="28"/>
        <v>0</v>
      </c>
      <c r="P540" s="827">
        <f t="shared" si="29"/>
        <v>0</v>
      </c>
    </row>
    <row r="541" spans="1:16" ht="30" hidden="1" customHeight="1" outlineLevel="1">
      <c r="A541" s="118"/>
      <c r="B541" s="118"/>
      <c r="C541" s="828">
        <v>517</v>
      </c>
      <c r="D541" s="829"/>
      <c r="E541" s="830"/>
      <c r="F541" s="830"/>
      <c r="G541" s="854"/>
      <c r="H541" s="1049"/>
      <c r="I541" s="856"/>
      <c r="J541" s="857"/>
      <c r="K541" s="858"/>
      <c r="L541" s="472"/>
      <c r="M541" s="816">
        <f t="shared" si="26"/>
        <v>0</v>
      </c>
      <c r="N541" s="833">
        <f t="shared" si="27"/>
        <v>0</v>
      </c>
      <c r="O541" s="265">
        <f t="shared" si="28"/>
        <v>0</v>
      </c>
      <c r="P541" s="827">
        <f t="shared" si="29"/>
        <v>0</v>
      </c>
    </row>
    <row r="542" spans="1:16" ht="30" hidden="1" customHeight="1" outlineLevel="1">
      <c r="A542" s="118"/>
      <c r="B542" s="118"/>
      <c r="C542" s="828">
        <v>518</v>
      </c>
      <c r="D542" s="829"/>
      <c r="E542" s="830"/>
      <c r="F542" s="830"/>
      <c r="G542" s="854"/>
      <c r="H542" s="1049"/>
      <c r="I542" s="856"/>
      <c r="J542" s="857"/>
      <c r="K542" s="858"/>
      <c r="L542" s="472"/>
      <c r="M542" s="816">
        <f t="shared" si="26"/>
        <v>0</v>
      </c>
      <c r="N542" s="833">
        <f t="shared" si="27"/>
        <v>0</v>
      </c>
      <c r="O542" s="265">
        <f t="shared" si="28"/>
        <v>0</v>
      </c>
      <c r="P542" s="827">
        <f t="shared" si="29"/>
        <v>0</v>
      </c>
    </row>
    <row r="543" spans="1:16" ht="30" hidden="1" customHeight="1" outlineLevel="1">
      <c r="A543" s="118"/>
      <c r="B543" s="118"/>
      <c r="C543" s="828">
        <v>519</v>
      </c>
      <c r="D543" s="829"/>
      <c r="E543" s="830"/>
      <c r="F543" s="830"/>
      <c r="G543" s="854"/>
      <c r="H543" s="1049"/>
      <c r="I543" s="856"/>
      <c r="J543" s="857"/>
      <c r="K543" s="858"/>
      <c r="L543" s="472"/>
      <c r="M543" s="816">
        <f t="shared" si="26"/>
        <v>0</v>
      </c>
      <c r="N543" s="833">
        <f t="shared" si="27"/>
        <v>0</v>
      </c>
      <c r="O543" s="265">
        <f t="shared" si="28"/>
        <v>0</v>
      </c>
      <c r="P543" s="827">
        <f t="shared" si="29"/>
        <v>0</v>
      </c>
    </row>
    <row r="544" spans="1:16" ht="30" hidden="1" customHeight="1" outlineLevel="1">
      <c r="A544" s="118"/>
      <c r="B544" s="118"/>
      <c r="C544" s="828">
        <v>520</v>
      </c>
      <c r="D544" s="829"/>
      <c r="E544" s="830"/>
      <c r="F544" s="830"/>
      <c r="G544" s="854"/>
      <c r="H544" s="1049"/>
      <c r="I544" s="856"/>
      <c r="J544" s="857"/>
      <c r="K544" s="858"/>
      <c r="L544" s="472"/>
      <c r="M544" s="816">
        <f t="shared" si="26"/>
        <v>0</v>
      </c>
      <c r="N544" s="833">
        <f t="shared" si="27"/>
        <v>0</v>
      </c>
      <c r="O544" s="265">
        <f t="shared" si="28"/>
        <v>0</v>
      </c>
      <c r="P544" s="827">
        <f t="shared" si="29"/>
        <v>0</v>
      </c>
    </row>
    <row r="545" spans="1:16" ht="30" hidden="1" customHeight="1" outlineLevel="1">
      <c r="A545" s="118"/>
      <c r="B545" s="118"/>
      <c r="C545" s="828">
        <v>521</v>
      </c>
      <c r="D545" s="829"/>
      <c r="E545" s="830"/>
      <c r="F545" s="830"/>
      <c r="G545" s="854"/>
      <c r="H545" s="1049"/>
      <c r="I545" s="856"/>
      <c r="J545" s="857"/>
      <c r="K545" s="858"/>
      <c r="L545" s="472"/>
      <c r="M545" s="816">
        <f t="shared" si="26"/>
        <v>0</v>
      </c>
      <c r="N545" s="833">
        <f t="shared" si="27"/>
        <v>0</v>
      </c>
      <c r="O545" s="265">
        <f t="shared" si="28"/>
        <v>0</v>
      </c>
      <c r="P545" s="827">
        <f t="shared" si="29"/>
        <v>0</v>
      </c>
    </row>
    <row r="546" spans="1:16" ht="30" hidden="1" customHeight="1" outlineLevel="1">
      <c r="A546" s="118"/>
      <c r="B546" s="118"/>
      <c r="C546" s="828">
        <v>522</v>
      </c>
      <c r="D546" s="829"/>
      <c r="E546" s="830"/>
      <c r="F546" s="830"/>
      <c r="G546" s="854"/>
      <c r="H546" s="1049"/>
      <c r="I546" s="856"/>
      <c r="J546" s="857"/>
      <c r="K546" s="858"/>
      <c r="L546" s="472"/>
      <c r="M546" s="816">
        <f t="shared" si="26"/>
        <v>0</v>
      </c>
      <c r="N546" s="833">
        <f t="shared" si="27"/>
        <v>0</v>
      </c>
      <c r="O546" s="265">
        <f t="shared" si="28"/>
        <v>0</v>
      </c>
      <c r="P546" s="827">
        <f t="shared" si="29"/>
        <v>0</v>
      </c>
    </row>
    <row r="547" spans="1:16" ht="30" hidden="1" customHeight="1" outlineLevel="1">
      <c r="A547" s="118"/>
      <c r="B547" s="118"/>
      <c r="C547" s="828">
        <v>523</v>
      </c>
      <c r="D547" s="829"/>
      <c r="E547" s="830"/>
      <c r="F547" s="830"/>
      <c r="G547" s="854"/>
      <c r="H547" s="1049"/>
      <c r="I547" s="856"/>
      <c r="J547" s="857"/>
      <c r="K547" s="858"/>
      <c r="L547" s="472"/>
      <c r="M547" s="816">
        <f t="shared" si="26"/>
        <v>0</v>
      </c>
      <c r="N547" s="833">
        <f t="shared" si="27"/>
        <v>0</v>
      </c>
      <c r="O547" s="265">
        <f t="shared" si="28"/>
        <v>0</v>
      </c>
      <c r="P547" s="827">
        <f t="shared" si="29"/>
        <v>0</v>
      </c>
    </row>
    <row r="548" spans="1:16" ht="30" hidden="1" customHeight="1" outlineLevel="1">
      <c r="A548" s="118"/>
      <c r="B548" s="118"/>
      <c r="C548" s="828">
        <v>524</v>
      </c>
      <c r="D548" s="829"/>
      <c r="E548" s="830"/>
      <c r="F548" s="830"/>
      <c r="G548" s="854"/>
      <c r="H548" s="1049"/>
      <c r="I548" s="856"/>
      <c r="J548" s="857"/>
      <c r="K548" s="858"/>
      <c r="L548" s="472"/>
      <c r="M548" s="816">
        <f t="shared" si="26"/>
        <v>0</v>
      </c>
      <c r="N548" s="833">
        <f t="shared" si="27"/>
        <v>0</v>
      </c>
      <c r="O548" s="265">
        <f t="shared" si="28"/>
        <v>0</v>
      </c>
      <c r="P548" s="827">
        <f t="shared" si="29"/>
        <v>0</v>
      </c>
    </row>
    <row r="549" spans="1:16" ht="30" hidden="1" customHeight="1" outlineLevel="1">
      <c r="A549" s="118"/>
      <c r="B549" s="118"/>
      <c r="C549" s="828">
        <v>525</v>
      </c>
      <c r="D549" s="829"/>
      <c r="E549" s="830"/>
      <c r="F549" s="830"/>
      <c r="G549" s="854"/>
      <c r="H549" s="1049"/>
      <c r="I549" s="856"/>
      <c r="J549" s="857"/>
      <c r="K549" s="858"/>
      <c r="L549" s="472"/>
      <c r="M549" s="816">
        <f t="shared" si="26"/>
        <v>0</v>
      </c>
      <c r="N549" s="833">
        <f t="shared" si="27"/>
        <v>0</v>
      </c>
      <c r="O549" s="265">
        <f t="shared" si="28"/>
        <v>0</v>
      </c>
      <c r="P549" s="827">
        <f t="shared" si="29"/>
        <v>0</v>
      </c>
    </row>
    <row r="550" spans="1:16" ht="30" hidden="1" customHeight="1" outlineLevel="1">
      <c r="A550" s="118"/>
      <c r="B550" s="118"/>
      <c r="C550" s="828">
        <v>526</v>
      </c>
      <c r="D550" s="829"/>
      <c r="E550" s="830"/>
      <c r="F550" s="830"/>
      <c r="G550" s="854"/>
      <c r="H550" s="1049"/>
      <c r="I550" s="856"/>
      <c r="J550" s="857"/>
      <c r="K550" s="858"/>
      <c r="L550" s="472"/>
      <c r="M550" s="816">
        <f t="shared" si="26"/>
        <v>0</v>
      </c>
      <c r="N550" s="833">
        <f t="shared" si="27"/>
        <v>0</v>
      </c>
      <c r="O550" s="265">
        <f t="shared" si="28"/>
        <v>0</v>
      </c>
      <c r="P550" s="827">
        <f t="shared" si="29"/>
        <v>0</v>
      </c>
    </row>
    <row r="551" spans="1:16" ht="30" hidden="1" customHeight="1" outlineLevel="1">
      <c r="A551" s="118"/>
      <c r="B551" s="118"/>
      <c r="C551" s="828">
        <v>527</v>
      </c>
      <c r="D551" s="829"/>
      <c r="E551" s="830"/>
      <c r="F551" s="830"/>
      <c r="G551" s="854"/>
      <c r="H551" s="1049"/>
      <c r="I551" s="856"/>
      <c r="J551" s="857"/>
      <c r="K551" s="858"/>
      <c r="L551" s="472"/>
      <c r="M551" s="816">
        <f t="shared" si="26"/>
        <v>0</v>
      </c>
      <c r="N551" s="833">
        <f t="shared" si="27"/>
        <v>0</v>
      </c>
      <c r="O551" s="265">
        <f t="shared" si="28"/>
        <v>0</v>
      </c>
      <c r="P551" s="827">
        <f t="shared" si="29"/>
        <v>0</v>
      </c>
    </row>
    <row r="552" spans="1:16" ht="30" hidden="1" customHeight="1" outlineLevel="1">
      <c r="A552" s="118"/>
      <c r="B552" s="118"/>
      <c r="C552" s="828">
        <v>528</v>
      </c>
      <c r="D552" s="829"/>
      <c r="E552" s="830"/>
      <c r="F552" s="830"/>
      <c r="G552" s="854"/>
      <c r="H552" s="1049"/>
      <c r="I552" s="856"/>
      <c r="J552" s="857"/>
      <c r="K552" s="858"/>
      <c r="L552" s="472"/>
      <c r="M552" s="816">
        <f t="shared" si="26"/>
        <v>0</v>
      </c>
      <c r="N552" s="833">
        <f t="shared" si="27"/>
        <v>0</v>
      </c>
      <c r="O552" s="265">
        <f t="shared" si="28"/>
        <v>0</v>
      </c>
      <c r="P552" s="827">
        <f t="shared" si="29"/>
        <v>0</v>
      </c>
    </row>
    <row r="553" spans="1:16" ht="30" hidden="1" customHeight="1" outlineLevel="1">
      <c r="A553" s="118"/>
      <c r="B553" s="118"/>
      <c r="C553" s="828">
        <v>529</v>
      </c>
      <c r="D553" s="829"/>
      <c r="E553" s="830"/>
      <c r="F553" s="830"/>
      <c r="G553" s="854"/>
      <c r="H553" s="1049"/>
      <c r="I553" s="856"/>
      <c r="J553" s="857"/>
      <c r="K553" s="858"/>
      <c r="L553" s="472"/>
      <c r="M553" s="816">
        <f t="shared" si="26"/>
        <v>0</v>
      </c>
      <c r="N553" s="833">
        <f t="shared" si="27"/>
        <v>0</v>
      </c>
      <c r="O553" s="265">
        <f t="shared" si="28"/>
        <v>0</v>
      </c>
      <c r="P553" s="827">
        <f t="shared" si="29"/>
        <v>0</v>
      </c>
    </row>
    <row r="554" spans="1:16" ht="30" hidden="1" customHeight="1" outlineLevel="1">
      <c r="A554" s="118"/>
      <c r="B554" s="118"/>
      <c r="C554" s="828">
        <v>530</v>
      </c>
      <c r="D554" s="829"/>
      <c r="E554" s="830"/>
      <c r="F554" s="830"/>
      <c r="G554" s="854"/>
      <c r="H554" s="1049"/>
      <c r="I554" s="856"/>
      <c r="J554" s="857"/>
      <c r="K554" s="858"/>
      <c r="L554" s="472"/>
      <c r="M554" s="816">
        <f t="shared" si="26"/>
        <v>0</v>
      </c>
      <c r="N554" s="833">
        <f t="shared" si="27"/>
        <v>0</v>
      </c>
      <c r="O554" s="265">
        <f t="shared" si="28"/>
        <v>0</v>
      </c>
      <c r="P554" s="827">
        <f t="shared" si="29"/>
        <v>0</v>
      </c>
    </row>
    <row r="555" spans="1:16" ht="30" hidden="1" customHeight="1" outlineLevel="1">
      <c r="A555" s="118"/>
      <c r="B555" s="118"/>
      <c r="C555" s="828">
        <v>531</v>
      </c>
      <c r="D555" s="829"/>
      <c r="E555" s="830"/>
      <c r="F555" s="830"/>
      <c r="G555" s="854"/>
      <c r="H555" s="1049"/>
      <c r="I555" s="856"/>
      <c r="J555" s="857"/>
      <c r="K555" s="858"/>
      <c r="L555" s="472"/>
      <c r="M555" s="816">
        <f t="shared" si="26"/>
        <v>0</v>
      </c>
      <c r="N555" s="833">
        <f t="shared" si="27"/>
        <v>0</v>
      </c>
      <c r="O555" s="265">
        <f t="shared" si="28"/>
        <v>0</v>
      </c>
      <c r="P555" s="827">
        <f t="shared" si="29"/>
        <v>0</v>
      </c>
    </row>
    <row r="556" spans="1:16" ht="30" hidden="1" customHeight="1" outlineLevel="1">
      <c r="A556" s="118"/>
      <c r="B556" s="118"/>
      <c r="C556" s="828">
        <v>532</v>
      </c>
      <c r="D556" s="829"/>
      <c r="E556" s="830"/>
      <c r="F556" s="830"/>
      <c r="G556" s="854"/>
      <c r="H556" s="1049"/>
      <c r="I556" s="856"/>
      <c r="J556" s="857"/>
      <c r="K556" s="858"/>
      <c r="L556" s="472"/>
      <c r="M556" s="816">
        <f t="shared" si="26"/>
        <v>0</v>
      </c>
      <c r="N556" s="833">
        <f t="shared" si="27"/>
        <v>0</v>
      </c>
      <c r="O556" s="265">
        <f t="shared" si="28"/>
        <v>0</v>
      </c>
      <c r="P556" s="827">
        <f t="shared" si="29"/>
        <v>0</v>
      </c>
    </row>
    <row r="557" spans="1:16" ht="30" hidden="1" customHeight="1" outlineLevel="1">
      <c r="A557" s="118"/>
      <c r="B557" s="118"/>
      <c r="C557" s="828">
        <v>533</v>
      </c>
      <c r="D557" s="829"/>
      <c r="E557" s="830"/>
      <c r="F557" s="830"/>
      <c r="G557" s="854"/>
      <c r="H557" s="1049"/>
      <c r="I557" s="856"/>
      <c r="J557" s="857"/>
      <c r="K557" s="858"/>
      <c r="L557" s="472"/>
      <c r="M557" s="816">
        <f t="shared" si="26"/>
        <v>0</v>
      </c>
      <c r="N557" s="833">
        <f t="shared" si="27"/>
        <v>0</v>
      </c>
      <c r="O557" s="265">
        <f t="shared" si="28"/>
        <v>0</v>
      </c>
      <c r="P557" s="827">
        <f t="shared" si="29"/>
        <v>0</v>
      </c>
    </row>
    <row r="558" spans="1:16" ht="30" hidden="1" customHeight="1" outlineLevel="1">
      <c r="A558" s="118"/>
      <c r="B558" s="118"/>
      <c r="C558" s="828">
        <v>534</v>
      </c>
      <c r="D558" s="829"/>
      <c r="E558" s="830"/>
      <c r="F558" s="830"/>
      <c r="G558" s="854"/>
      <c r="H558" s="1049"/>
      <c r="I558" s="856"/>
      <c r="J558" s="857"/>
      <c r="K558" s="858"/>
      <c r="L558" s="472"/>
      <c r="M558" s="816">
        <f t="shared" ref="M558:M621" si="30">IF($H558&gt;0,E558,)</f>
        <v>0</v>
      </c>
      <c r="N558" s="833">
        <f t="shared" ref="N558:N621" si="31">IF($H558&gt;0,F558,)</f>
        <v>0</v>
      </c>
      <c r="O558" s="265">
        <f t="shared" ref="O558:O621" si="32">IF(H558&gt;0,ROUND(G558,),)</f>
        <v>0</v>
      </c>
      <c r="P558" s="827">
        <f t="shared" ref="P558:P621" si="33">ROUND(O558*H558%,)</f>
        <v>0</v>
      </c>
    </row>
    <row r="559" spans="1:16" ht="30" hidden="1" customHeight="1" outlineLevel="1">
      <c r="A559" s="118"/>
      <c r="B559" s="118"/>
      <c r="C559" s="828">
        <v>535</v>
      </c>
      <c r="D559" s="829"/>
      <c r="E559" s="830"/>
      <c r="F559" s="830"/>
      <c r="G559" s="854"/>
      <c r="H559" s="1049"/>
      <c r="I559" s="856"/>
      <c r="J559" s="857"/>
      <c r="K559" s="858"/>
      <c r="L559" s="472"/>
      <c r="M559" s="816">
        <f t="shared" si="30"/>
        <v>0</v>
      </c>
      <c r="N559" s="833">
        <f t="shared" si="31"/>
        <v>0</v>
      </c>
      <c r="O559" s="265">
        <f t="shared" si="32"/>
        <v>0</v>
      </c>
      <c r="P559" s="827">
        <f t="shared" si="33"/>
        <v>0</v>
      </c>
    </row>
    <row r="560" spans="1:16" ht="30" hidden="1" customHeight="1" outlineLevel="1">
      <c r="A560" s="118"/>
      <c r="B560" s="118"/>
      <c r="C560" s="828">
        <v>536</v>
      </c>
      <c r="D560" s="829"/>
      <c r="E560" s="830"/>
      <c r="F560" s="830"/>
      <c r="G560" s="854"/>
      <c r="H560" s="1049"/>
      <c r="I560" s="856"/>
      <c r="J560" s="857"/>
      <c r="K560" s="858"/>
      <c r="L560" s="472"/>
      <c r="M560" s="816">
        <f t="shared" si="30"/>
        <v>0</v>
      </c>
      <c r="N560" s="833">
        <f t="shared" si="31"/>
        <v>0</v>
      </c>
      <c r="O560" s="265">
        <f t="shared" si="32"/>
        <v>0</v>
      </c>
      <c r="P560" s="827">
        <f t="shared" si="33"/>
        <v>0</v>
      </c>
    </row>
    <row r="561" spans="1:16" ht="30" hidden="1" customHeight="1" outlineLevel="1">
      <c r="A561" s="118"/>
      <c r="B561" s="118"/>
      <c r="C561" s="828">
        <v>537</v>
      </c>
      <c r="D561" s="829"/>
      <c r="E561" s="830"/>
      <c r="F561" s="830"/>
      <c r="G561" s="854"/>
      <c r="H561" s="1049"/>
      <c r="I561" s="856"/>
      <c r="J561" s="857"/>
      <c r="K561" s="858"/>
      <c r="L561" s="472"/>
      <c r="M561" s="816">
        <f t="shared" si="30"/>
        <v>0</v>
      </c>
      <c r="N561" s="833">
        <f t="shared" si="31"/>
        <v>0</v>
      </c>
      <c r="O561" s="265">
        <f t="shared" si="32"/>
        <v>0</v>
      </c>
      <c r="P561" s="827">
        <f t="shared" si="33"/>
        <v>0</v>
      </c>
    </row>
    <row r="562" spans="1:16" ht="30" hidden="1" customHeight="1" outlineLevel="1">
      <c r="A562" s="118"/>
      <c r="B562" s="118"/>
      <c r="C562" s="828">
        <v>538</v>
      </c>
      <c r="D562" s="829"/>
      <c r="E562" s="830"/>
      <c r="F562" s="830"/>
      <c r="G562" s="854"/>
      <c r="H562" s="1049"/>
      <c r="I562" s="856"/>
      <c r="J562" s="857"/>
      <c r="K562" s="858"/>
      <c r="L562" s="472"/>
      <c r="M562" s="816">
        <f t="shared" si="30"/>
        <v>0</v>
      </c>
      <c r="N562" s="833">
        <f t="shared" si="31"/>
        <v>0</v>
      </c>
      <c r="O562" s="265">
        <f t="shared" si="32"/>
        <v>0</v>
      </c>
      <c r="P562" s="827">
        <f t="shared" si="33"/>
        <v>0</v>
      </c>
    </row>
    <row r="563" spans="1:16" ht="30" hidden="1" customHeight="1" outlineLevel="1">
      <c r="A563" s="118"/>
      <c r="B563" s="118"/>
      <c r="C563" s="828">
        <v>539</v>
      </c>
      <c r="D563" s="829"/>
      <c r="E563" s="830"/>
      <c r="F563" s="830"/>
      <c r="G563" s="854"/>
      <c r="H563" s="1049"/>
      <c r="I563" s="856"/>
      <c r="J563" s="857"/>
      <c r="K563" s="858"/>
      <c r="L563" s="472"/>
      <c r="M563" s="816">
        <f t="shared" si="30"/>
        <v>0</v>
      </c>
      <c r="N563" s="833">
        <f t="shared" si="31"/>
        <v>0</v>
      </c>
      <c r="O563" s="265">
        <f t="shared" si="32"/>
        <v>0</v>
      </c>
      <c r="P563" s="827">
        <f t="shared" si="33"/>
        <v>0</v>
      </c>
    </row>
    <row r="564" spans="1:16" ht="30" hidden="1" customHeight="1" outlineLevel="1">
      <c r="A564" s="118"/>
      <c r="B564" s="118"/>
      <c r="C564" s="828">
        <v>540</v>
      </c>
      <c r="D564" s="829"/>
      <c r="E564" s="830"/>
      <c r="F564" s="830"/>
      <c r="G564" s="854"/>
      <c r="H564" s="1049"/>
      <c r="I564" s="856"/>
      <c r="J564" s="857"/>
      <c r="K564" s="858"/>
      <c r="L564" s="472"/>
      <c r="M564" s="816">
        <f t="shared" si="30"/>
        <v>0</v>
      </c>
      <c r="N564" s="833">
        <f t="shared" si="31"/>
        <v>0</v>
      </c>
      <c r="O564" s="265">
        <f t="shared" si="32"/>
        <v>0</v>
      </c>
      <c r="P564" s="827">
        <f t="shared" si="33"/>
        <v>0</v>
      </c>
    </row>
    <row r="565" spans="1:16" ht="30" hidden="1" customHeight="1" outlineLevel="1">
      <c r="A565" s="118"/>
      <c r="B565" s="118"/>
      <c r="C565" s="828">
        <v>541</v>
      </c>
      <c r="D565" s="829"/>
      <c r="E565" s="830"/>
      <c r="F565" s="830"/>
      <c r="G565" s="854"/>
      <c r="H565" s="1049"/>
      <c r="I565" s="856"/>
      <c r="J565" s="857"/>
      <c r="K565" s="858"/>
      <c r="L565" s="472"/>
      <c r="M565" s="816">
        <f t="shared" si="30"/>
        <v>0</v>
      </c>
      <c r="N565" s="833">
        <f t="shared" si="31"/>
        <v>0</v>
      </c>
      <c r="O565" s="265">
        <f t="shared" si="32"/>
        <v>0</v>
      </c>
      <c r="P565" s="827">
        <f t="shared" si="33"/>
        <v>0</v>
      </c>
    </row>
    <row r="566" spans="1:16" ht="30" hidden="1" customHeight="1" outlineLevel="1">
      <c r="A566" s="118"/>
      <c r="B566" s="118"/>
      <c r="C566" s="828">
        <v>542</v>
      </c>
      <c r="D566" s="829"/>
      <c r="E566" s="830"/>
      <c r="F566" s="830"/>
      <c r="G566" s="854"/>
      <c r="H566" s="1049"/>
      <c r="I566" s="856"/>
      <c r="J566" s="857"/>
      <c r="K566" s="858"/>
      <c r="L566" s="472"/>
      <c r="M566" s="816">
        <f t="shared" si="30"/>
        <v>0</v>
      </c>
      <c r="N566" s="833">
        <f t="shared" si="31"/>
        <v>0</v>
      </c>
      <c r="O566" s="265">
        <f t="shared" si="32"/>
        <v>0</v>
      </c>
      <c r="P566" s="827">
        <f t="shared" si="33"/>
        <v>0</v>
      </c>
    </row>
    <row r="567" spans="1:16" ht="30" hidden="1" customHeight="1" outlineLevel="1">
      <c r="A567" s="118"/>
      <c r="B567" s="118"/>
      <c r="C567" s="828">
        <v>543</v>
      </c>
      <c r="D567" s="829"/>
      <c r="E567" s="830"/>
      <c r="F567" s="830"/>
      <c r="G567" s="854"/>
      <c r="H567" s="1049"/>
      <c r="I567" s="856"/>
      <c r="J567" s="857"/>
      <c r="K567" s="858"/>
      <c r="L567" s="472"/>
      <c r="M567" s="816">
        <f t="shared" si="30"/>
        <v>0</v>
      </c>
      <c r="N567" s="833">
        <f t="shared" si="31"/>
        <v>0</v>
      </c>
      <c r="O567" s="265">
        <f t="shared" si="32"/>
        <v>0</v>
      </c>
      <c r="P567" s="827">
        <f t="shared" si="33"/>
        <v>0</v>
      </c>
    </row>
    <row r="568" spans="1:16" ht="30" hidden="1" customHeight="1" outlineLevel="1">
      <c r="A568" s="118"/>
      <c r="B568" s="118"/>
      <c r="C568" s="828">
        <v>544</v>
      </c>
      <c r="D568" s="829"/>
      <c r="E568" s="830"/>
      <c r="F568" s="830"/>
      <c r="G568" s="854"/>
      <c r="H568" s="1049"/>
      <c r="I568" s="856"/>
      <c r="J568" s="857"/>
      <c r="K568" s="858"/>
      <c r="L568" s="472"/>
      <c r="M568" s="816">
        <f t="shared" si="30"/>
        <v>0</v>
      </c>
      <c r="N568" s="833">
        <f t="shared" si="31"/>
        <v>0</v>
      </c>
      <c r="O568" s="265">
        <f t="shared" si="32"/>
        <v>0</v>
      </c>
      <c r="P568" s="827">
        <f t="shared" si="33"/>
        <v>0</v>
      </c>
    </row>
    <row r="569" spans="1:16" ht="30" hidden="1" customHeight="1" outlineLevel="1">
      <c r="A569" s="118"/>
      <c r="B569" s="118"/>
      <c r="C569" s="828">
        <v>545</v>
      </c>
      <c r="D569" s="829"/>
      <c r="E569" s="830"/>
      <c r="F569" s="830"/>
      <c r="G569" s="854"/>
      <c r="H569" s="1049"/>
      <c r="I569" s="856"/>
      <c r="J569" s="857"/>
      <c r="K569" s="858"/>
      <c r="L569" s="472"/>
      <c r="M569" s="816">
        <f t="shared" si="30"/>
        <v>0</v>
      </c>
      <c r="N569" s="833">
        <f t="shared" si="31"/>
        <v>0</v>
      </c>
      <c r="O569" s="265">
        <f t="shared" si="32"/>
        <v>0</v>
      </c>
      <c r="P569" s="827">
        <f t="shared" si="33"/>
        <v>0</v>
      </c>
    </row>
    <row r="570" spans="1:16" ht="30" hidden="1" customHeight="1" outlineLevel="1">
      <c r="A570" s="118"/>
      <c r="B570" s="118"/>
      <c r="C570" s="828">
        <v>546</v>
      </c>
      <c r="D570" s="829"/>
      <c r="E570" s="830"/>
      <c r="F570" s="830"/>
      <c r="G570" s="854"/>
      <c r="H570" s="1049"/>
      <c r="I570" s="856"/>
      <c r="J570" s="857"/>
      <c r="K570" s="858"/>
      <c r="L570" s="472"/>
      <c r="M570" s="816">
        <f t="shared" si="30"/>
        <v>0</v>
      </c>
      <c r="N570" s="833">
        <f t="shared" si="31"/>
        <v>0</v>
      </c>
      <c r="O570" s="265">
        <f t="shared" si="32"/>
        <v>0</v>
      </c>
      <c r="P570" s="827">
        <f t="shared" si="33"/>
        <v>0</v>
      </c>
    </row>
    <row r="571" spans="1:16" ht="30" hidden="1" customHeight="1" outlineLevel="1">
      <c r="A571" s="118"/>
      <c r="B571" s="118"/>
      <c r="C571" s="828">
        <v>547</v>
      </c>
      <c r="D571" s="829"/>
      <c r="E571" s="830"/>
      <c r="F571" s="830"/>
      <c r="G571" s="854"/>
      <c r="H571" s="1049"/>
      <c r="I571" s="856"/>
      <c r="J571" s="857"/>
      <c r="K571" s="858"/>
      <c r="L571" s="472"/>
      <c r="M571" s="816">
        <f t="shared" si="30"/>
        <v>0</v>
      </c>
      <c r="N571" s="833">
        <f t="shared" si="31"/>
        <v>0</v>
      </c>
      <c r="O571" s="265">
        <f t="shared" si="32"/>
        <v>0</v>
      </c>
      <c r="P571" s="827">
        <f t="shared" si="33"/>
        <v>0</v>
      </c>
    </row>
    <row r="572" spans="1:16" ht="30" hidden="1" customHeight="1" outlineLevel="1">
      <c r="A572" s="118"/>
      <c r="B572" s="118"/>
      <c r="C572" s="828">
        <v>548</v>
      </c>
      <c r="D572" s="829"/>
      <c r="E572" s="830"/>
      <c r="F572" s="830"/>
      <c r="G572" s="854"/>
      <c r="H572" s="1049"/>
      <c r="I572" s="856"/>
      <c r="J572" s="857"/>
      <c r="K572" s="858"/>
      <c r="L572" s="472"/>
      <c r="M572" s="816">
        <f t="shared" si="30"/>
        <v>0</v>
      </c>
      <c r="N572" s="833">
        <f t="shared" si="31"/>
        <v>0</v>
      </c>
      <c r="O572" s="265">
        <f t="shared" si="32"/>
        <v>0</v>
      </c>
      <c r="P572" s="827">
        <f t="shared" si="33"/>
        <v>0</v>
      </c>
    </row>
    <row r="573" spans="1:16" ht="30" hidden="1" customHeight="1" outlineLevel="1">
      <c r="A573" s="118"/>
      <c r="B573" s="118"/>
      <c r="C573" s="828">
        <v>549</v>
      </c>
      <c r="D573" s="829"/>
      <c r="E573" s="830"/>
      <c r="F573" s="830"/>
      <c r="G573" s="854"/>
      <c r="H573" s="1049"/>
      <c r="I573" s="856"/>
      <c r="J573" s="857"/>
      <c r="K573" s="858"/>
      <c r="L573" s="472"/>
      <c r="M573" s="816">
        <f t="shared" si="30"/>
        <v>0</v>
      </c>
      <c r="N573" s="833">
        <f t="shared" si="31"/>
        <v>0</v>
      </c>
      <c r="O573" s="265">
        <f t="shared" si="32"/>
        <v>0</v>
      </c>
      <c r="P573" s="827">
        <f t="shared" si="33"/>
        <v>0</v>
      </c>
    </row>
    <row r="574" spans="1:16" ht="30" hidden="1" customHeight="1" outlineLevel="1">
      <c r="A574" s="118"/>
      <c r="B574" s="118"/>
      <c r="C574" s="828">
        <v>550</v>
      </c>
      <c r="D574" s="829"/>
      <c r="E574" s="830"/>
      <c r="F574" s="830"/>
      <c r="G574" s="854"/>
      <c r="H574" s="1049"/>
      <c r="I574" s="856"/>
      <c r="J574" s="857"/>
      <c r="K574" s="858"/>
      <c r="L574" s="472"/>
      <c r="M574" s="816">
        <f t="shared" si="30"/>
        <v>0</v>
      </c>
      <c r="N574" s="833">
        <f t="shared" si="31"/>
        <v>0</v>
      </c>
      <c r="O574" s="265">
        <f t="shared" si="32"/>
        <v>0</v>
      </c>
      <c r="P574" s="827">
        <f t="shared" si="33"/>
        <v>0</v>
      </c>
    </row>
    <row r="575" spans="1:16" ht="30" hidden="1" customHeight="1" outlineLevel="1">
      <c r="A575" s="118"/>
      <c r="B575" s="118"/>
      <c r="C575" s="828">
        <v>551</v>
      </c>
      <c r="D575" s="829"/>
      <c r="E575" s="830"/>
      <c r="F575" s="830"/>
      <c r="G575" s="854"/>
      <c r="H575" s="1049"/>
      <c r="I575" s="856"/>
      <c r="J575" s="857"/>
      <c r="K575" s="858"/>
      <c r="L575" s="472"/>
      <c r="M575" s="816">
        <f t="shared" si="30"/>
        <v>0</v>
      </c>
      <c r="N575" s="833">
        <f t="shared" si="31"/>
        <v>0</v>
      </c>
      <c r="O575" s="265">
        <f t="shared" si="32"/>
        <v>0</v>
      </c>
      <c r="P575" s="827">
        <f t="shared" si="33"/>
        <v>0</v>
      </c>
    </row>
    <row r="576" spans="1:16" ht="30" hidden="1" customHeight="1" outlineLevel="1">
      <c r="A576" s="118"/>
      <c r="B576" s="118"/>
      <c r="C576" s="828">
        <v>552</v>
      </c>
      <c r="D576" s="829"/>
      <c r="E576" s="830"/>
      <c r="F576" s="830"/>
      <c r="G576" s="854"/>
      <c r="H576" s="1049"/>
      <c r="I576" s="856"/>
      <c r="J576" s="857"/>
      <c r="K576" s="858"/>
      <c r="L576" s="472"/>
      <c r="M576" s="816">
        <f t="shared" si="30"/>
        <v>0</v>
      </c>
      <c r="N576" s="833">
        <f t="shared" si="31"/>
        <v>0</v>
      </c>
      <c r="O576" s="265">
        <f t="shared" si="32"/>
        <v>0</v>
      </c>
      <c r="P576" s="827">
        <f t="shared" si="33"/>
        <v>0</v>
      </c>
    </row>
    <row r="577" spans="1:16" ht="30" hidden="1" customHeight="1" outlineLevel="1">
      <c r="A577" s="118"/>
      <c r="B577" s="118"/>
      <c r="C577" s="828">
        <v>553</v>
      </c>
      <c r="D577" s="829"/>
      <c r="E577" s="830"/>
      <c r="F577" s="830"/>
      <c r="G577" s="854"/>
      <c r="H577" s="1049"/>
      <c r="I577" s="856"/>
      <c r="J577" s="857"/>
      <c r="K577" s="858"/>
      <c r="L577" s="472"/>
      <c r="M577" s="816">
        <f t="shared" si="30"/>
        <v>0</v>
      </c>
      <c r="N577" s="833">
        <f t="shared" si="31"/>
        <v>0</v>
      </c>
      <c r="O577" s="265">
        <f t="shared" si="32"/>
        <v>0</v>
      </c>
      <c r="P577" s="827">
        <f t="shared" si="33"/>
        <v>0</v>
      </c>
    </row>
    <row r="578" spans="1:16" ht="30" hidden="1" customHeight="1" outlineLevel="1">
      <c r="A578" s="118"/>
      <c r="B578" s="118"/>
      <c r="C578" s="828">
        <v>554</v>
      </c>
      <c r="D578" s="829"/>
      <c r="E578" s="830"/>
      <c r="F578" s="830"/>
      <c r="G578" s="854"/>
      <c r="H578" s="1049"/>
      <c r="I578" s="856"/>
      <c r="J578" s="857"/>
      <c r="K578" s="858"/>
      <c r="L578" s="472"/>
      <c r="M578" s="816">
        <f t="shared" si="30"/>
        <v>0</v>
      </c>
      <c r="N578" s="833">
        <f t="shared" si="31"/>
        <v>0</v>
      </c>
      <c r="O578" s="265">
        <f t="shared" si="32"/>
        <v>0</v>
      </c>
      <c r="P578" s="827">
        <f t="shared" si="33"/>
        <v>0</v>
      </c>
    </row>
    <row r="579" spans="1:16" ht="30" hidden="1" customHeight="1" outlineLevel="1">
      <c r="A579" s="118"/>
      <c r="B579" s="118"/>
      <c r="C579" s="828">
        <v>555</v>
      </c>
      <c r="D579" s="829"/>
      <c r="E579" s="830"/>
      <c r="F579" s="830"/>
      <c r="G579" s="854"/>
      <c r="H579" s="1049"/>
      <c r="I579" s="856"/>
      <c r="J579" s="857"/>
      <c r="K579" s="858"/>
      <c r="L579" s="472"/>
      <c r="M579" s="816">
        <f t="shared" si="30"/>
        <v>0</v>
      </c>
      <c r="N579" s="833">
        <f t="shared" si="31"/>
        <v>0</v>
      </c>
      <c r="O579" s="265">
        <f t="shared" si="32"/>
        <v>0</v>
      </c>
      <c r="P579" s="827">
        <f t="shared" si="33"/>
        <v>0</v>
      </c>
    </row>
    <row r="580" spans="1:16" ht="30" hidden="1" customHeight="1" outlineLevel="1">
      <c r="A580" s="118"/>
      <c r="B580" s="118"/>
      <c r="C580" s="828">
        <v>556</v>
      </c>
      <c r="D580" s="829"/>
      <c r="E580" s="830"/>
      <c r="F580" s="830"/>
      <c r="G580" s="854"/>
      <c r="H580" s="1049"/>
      <c r="I580" s="856"/>
      <c r="J580" s="857"/>
      <c r="K580" s="858"/>
      <c r="L580" s="472"/>
      <c r="M580" s="816">
        <f t="shared" si="30"/>
        <v>0</v>
      </c>
      <c r="N580" s="833">
        <f t="shared" si="31"/>
        <v>0</v>
      </c>
      <c r="O580" s="265">
        <f t="shared" si="32"/>
        <v>0</v>
      </c>
      <c r="P580" s="827">
        <f t="shared" si="33"/>
        <v>0</v>
      </c>
    </row>
    <row r="581" spans="1:16" ht="30" hidden="1" customHeight="1" outlineLevel="1">
      <c r="A581" s="118"/>
      <c r="B581" s="118"/>
      <c r="C581" s="828">
        <v>557</v>
      </c>
      <c r="D581" s="829"/>
      <c r="E581" s="830"/>
      <c r="F581" s="830"/>
      <c r="G581" s="854"/>
      <c r="H581" s="1049"/>
      <c r="I581" s="856"/>
      <c r="J581" s="857"/>
      <c r="K581" s="858"/>
      <c r="L581" s="472"/>
      <c r="M581" s="816">
        <f t="shared" si="30"/>
        <v>0</v>
      </c>
      <c r="N581" s="833">
        <f t="shared" si="31"/>
        <v>0</v>
      </c>
      <c r="O581" s="265">
        <f t="shared" si="32"/>
        <v>0</v>
      </c>
      <c r="P581" s="827">
        <f t="shared" si="33"/>
        <v>0</v>
      </c>
    </row>
    <row r="582" spans="1:16" ht="30" hidden="1" customHeight="1" outlineLevel="1">
      <c r="A582" s="118"/>
      <c r="B582" s="118"/>
      <c r="C582" s="828">
        <v>558</v>
      </c>
      <c r="D582" s="829"/>
      <c r="E582" s="830"/>
      <c r="F582" s="830"/>
      <c r="G582" s="854"/>
      <c r="H582" s="1049"/>
      <c r="I582" s="856"/>
      <c r="J582" s="857"/>
      <c r="K582" s="858"/>
      <c r="L582" s="472"/>
      <c r="M582" s="816">
        <f t="shared" si="30"/>
        <v>0</v>
      </c>
      <c r="N582" s="833">
        <f t="shared" si="31"/>
        <v>0</v>
      </c>
      <c r="O582" s="265">
        <f t="shared" si="32"/>
        <v>0</v>
      </c>
      <c r="P582" s="827">
        <f t="shared" si="33"/>
        <v>0</v>
      </c>
    </row>
    <row r="583" spans="1:16" ht="30" hidden="1" customHeight="1" outlineLevel="1">
      <c r="A583" s="118"/>
      <c r="B583" s="118"/>
      <c r="C583" s="828">
        <v>559</v>
      </c>
      <c r="D583" s="829"/>
      <c r="E583" s="830"/>
      <c r="F583" s="830"/>
      <c r="G583" s="854"/>
      <c r="H583" s="1049"/>
      <c r="I583" s="856"/>
      <c r="J583" s="857"/>
      <c r="K583" s="858"/>
      <c r="L583" s="472"/>
      <c r="M583" s="816">
        <f t="shared" si="30"/>
        <v>0</v>
      </c>
      <c r="N583" s="833">
        <f t="shared" si="31"/>
        <v>0</v>
      </c>
      <c r="O583" s="265">
        <f t="shared" si="32"/>
        <v>0</v>
      </c>
      <c r="P583" s="827">
        <f t="shared" si="33"/>
        <v>0</v>
      </c>
    </row>
    <row r="584" spans="1:16" ht="30" hidden="1" customHeight="1" outlineLevel="1">
      <c r="A584" s="118"/>
      <c r="B584" s="118"/>
      <c r="C584" s="828">
        <v>560</v>
      </c>
      <c r="D584" s="829"/>
      <c r="E584" s="830"/>
      <c r="F584" s="830"/>
      <c r="G584" s="854"/>
      <c r="H584" s="1049"/>
      <c r="I584" s="856"/>
      <c r="J584" s="857"/>
      <c r="K584" s="858"/>
      <c r="L584" s="472"/>
      <c r="M584" s="816">
        <f t="shared" si="30"/>
        <v>0</v>
      </c>
      <c r="N584" s="833">
        <f t="shared" si="31"/>
        <v>0</v>
      </c>
      <c r="O584" s="265">
        <f t="shared" si="32"/>
        <v>0</v>
      </c>
      <c r="P584" s="827">
        <f t="shared" si="33"/>
        <v>0</v>
      </c>
    </row>
    <row r="585" spans="1:16" ht="30" hidden="1" customHeight="1" outlineLevel="1">
      <c r="A585" s="118"/>
      <c r="B585" s="118"/>
      <c r="C585" s="828">
        <v>561</v>
      </c>
      <c r="D585" s="829"/>
      <c r="E585" s="830"/>
      <c r="F585" s="830"/>
      <c r="G585" s="854"/>
      <c r="H585" s="1049"/>
      <c r="I585" s="856"/>
      <c r="J585" s="857"/>
      <c r="K585" s="858"/>
      <c r="L585" s="472"/>
      <c r="M585" s="816">
        <f t="shared" si="30"/>
        <v>0</v>
      </c>
      <c r="N585" s="833">
        <f t="shared" si="31"/>
        <v>0</v>
      </c>
      <c r="O585" s="265">
        <f t="shared" si="32"/>
        <v>0</v>
      </c>
      <c r="P585" s="827">
        <f t="shared" si="33"/>
        <v>0</v>
      </c>
    </row>
    <row r="586" spans="1:16" ht="30" hidden="1" customHeight="1" outlineLevel="1">
      <c r="A586" s="118"/>
      <c r="B586" s="118"/>
      <c r="C586" s="828">
        <v>562</v>
      </c>
      <c r="D586" s="829"/>
      <c r="E586" s="830"/>
      <c r="F586" s="830"/>
      <c r="G586" s="854"/>
      <c r="H586" s="1049"/>
      <c r="I586" s="856"/>
      <c r="J586" s="857"/>
      <c r="K586" s="858"/>
      <c r="L586" s="472"/>
      <c r="M586" s="816">
        <f t="shared" si="30"/>
        <v>0</v>
      </c>
      <c r="N586" s="833">
        <f t="shared" si="31"/>
        <v>0</v>
      </c>
      <c r="O586" s="265">
        <f t="shared" si="32"/>
        <v>0</v>
      </c>
      <c r="P586" s="827">
        <f t="shared" si="33"/>
        <v>0</v>
      </c>
    </row>
    <row r="587" spans="1:16" ht="30" hidden="1" customHeight="1" outlineLevel="1">
      <c r="A587" s="118"/>
      <c r="B587" s="118"/>
      <c r="C587" s="828">
        <v>563</v>
      </c>
      <c r="D587" s="829"/>
      <c r="E587" s="830"/>
      <c r="F587" s="830"/>
      <c r="G587" s="854"/>
      <c r="H587" s="1049"/>
      <c r="I587" s="856"/>
      <c r="J587" s="857"/>
      <c r="K587" s="858"/>
      <c r="L587" s="472"/>
      <c r="M587" s="816">
        <f t="shared" si="30"/>
        <v>0</v>
      </c>
      <c r="N587" s="833">
        <f t="shared" si="31"/>
        <v>0</v>
      </c>
      <c r="O587" s="265">
        <f t="shared" si="32"/>
        <v>0</v>
      </c>
      <c r="P587" s="827">
        <f t="shared" si="33"/>
        <v>0</v>
      </c>
    </row>
    <row r="588" spans="1:16" ht="30" hidden="1" customHeight="1" outlineLevel="1">
      <c r="A588" s="118"/>
      <c r="B588" s="118"/>
      <c r="C588" s="828">
        <v>564</v>
      </c>
      <c r="D588" s="829"/>
      <c r="E588" s="830"/>
      <c r="F588" s="830"/>
      <c r="G588" s="854"/>
      <c r="H588" s="1049"/>
      <c r="I588" s="856"/>
      <c r="J588" s="857"/>
      <c r="K588" s="858"/>
      <c r="L588" s="472"/>
      <c r="M588" s="816">
        <f t="shared" si="30"/>
        <v>0</v>
      </c>
      <c r="N588" s="833">
        <f t="shared" si="31"/>
        <v>0</v>
      </c>
      <c r="O588" s="265">
        <f t="shared" si="32"/>
        <v>0</v>
      </c>
      <c r="P588" s="827">
        <f t="shared" si="33"/>
        <v>0</v>
      </c>
    </row>
    <row r="589" spans="1:16" ht="30" hidden="1" customHeight="1" outlineLevel="1">
      <c r="A589" s="118"/>
      <c r="B589" s="118"/>
      <c r="C589" s="828">
        <v>565</v>
      </c>
      <c r="D589" s="829"/>
      <c r="E589" s="830"/>
      <c r="F589" s="830"/>
      <c r="G589" s="854"/>
      <c r="H589" s="1049"/>
      <c r="I589" s="856"/>
      <c r="J589" s="857"/>
      <c r="K589" s="858"/>
      <c r="L589" s="472"/>
      <c r="M589" s="816">
        <f t="shared" si="30"/>
        <v>0</v>
      </c>
      <c r="N589" s="833">
        <f t="shared" si="31"/>
        <v>0</v>
      </c>
      <c r="O589" s="265">
        <f t="shared" si="32"/>
        <v>0</v>
      </c>
      <c r="P589" s="827">
        <f t="shared" si="33"/>
        <v>0</v>
      </c>
    </row>
    <row r="590" spans="1:16" ht="30" hidden="1" customHeight="1" outlineLevel="1">
      <c r="A590" s="118"/>
      <c r="B590" s="118"/>
      <c r="C590" s="828">
        <v>566</v>
      </c>
      <c r="D590" s="829"/>
      <c r="E590" s="830"/>
      <c r="F590" s="830"/>
      <c r="G590" s="854"/>
      <c r="H590" s="1049"/>
      <c r="I590" s="856"/>
      <c r="J590" s="857"/>
      <c r="K590" s="858"/>
      <c r="L590" s="472"/>
      <c r="M590" s="816">
        <f t="shared" si="30"/>
        <v>0</v>
      </c>
      <c r="N590" s="833">
        <f t="shared" si="31"/>
        <v>0</v>
      </c>
      <c r="O590" s="265">
        <f t="shared" si="32"/>
        <v>0</v>
      </c>
      <c r="P590" s="827">
        <f t="shared" si="33"/>
        <v>0</v>
      </c>
    </row>
    <row r="591" spans="1:16" ht="30" hidden="1" customHeight="1" outlineLevel="1">
      <c r="A591" s="118"/>
      <c r="B591" s="118"/>
      <c r="C591" s="828">
        <v>567</v>
      </c>
      <c r="D591" s="829"/>
      <c r="E591" s="830"/>
      <c r="F591" s="830"/>
      <c r="G591" s="854"/>
      <c r="H591" s="1049"/>
      <c r="I591" s="856"/>
      <c r="J591" s="857"/>
      <c r="K591" s="858"/>
      <c r="L591" s="472"/>
      <c r="M591" s="816">
        <f t="shared" si="30"/>
        <v>0</v>
      </c>
      <c r="N591" s="833">
        <f t="shared" si="31"/>
        <v>0</v>
      </c>
      <c r="O591" s="265">
        <f t="shared" si="32"/>
        <v>0</v>
      </c>
      <c r="P591" s="827">
        <f t="shared" si="33"/>
        <v>0</v>
      </c>
    </row>
    <row r="592" spans="1:16" ht="30" hidden="1" customHeight="1" outlineLevel="1">
      <c r="A592" s="118"/>
      <c r="B592" s="118"/>
      <c r="C592" s="828">
        <v>568</v>
      </c>
      <c r="D592" s="829"/>
      <c r="E592" s="830"/>
      <c r="F592" s="830"/>
      <c r="G592" s="854"/>
      <c r="H592" s="1049"/>
      <c r="I592" s="856"/>
      <c r="J592" s="857"/>
      <c r="K592" s="858"/>
      <c r="L592" s="472"/>
      <c r="M592" s="816">
        <f t="shared" si="30"/>
        <v>0</v>
      </c>
      <c r="N592" s="833">
        <f t="shared" si="31"/>
        <v>0</v>
      </c>
      <c r="O592" s="265">
        <f t="shared" si="32"/>
        <v>0</v>
      </c>
      <c r="P592" s="827">
        <f t="shared" si="33"/>
        <v>0</v>
      </c>
    </row>
    <row r="593" spans="1:16" ht="30" hidden="1" customHeight="1" outlineLevel="1">
      <c r="A593" s="118"/>
      <c r="B593" s="118"/>
      <c r="C593" s="828">
        <v>569</v>
      </c>
      <c r="D593" s="829"/>
      <c r="E593" s="830"/>
      <c r="F593" s="830"/>
      <c r="G593" s="854"/>
      <c r="H593" s="1049"/>
      <c r="I593" s="856"/>
      <c r="J593" s="857"/>
      <c r="K593" s="858"/>
      <c r="L593" s="472"/>
      <c r="M593" s="816">
        <f t="shared" si="30"/>
        <v>0</v>
      </c>
      <c r="N593" s="833">
        <f t="shared" si="31"/>
        <v>0</v>
      </c>
      <c r="O593" s="265">
        <f t="shared" si="32"/>
        <v>0</v>
      </c>
      <c r="P593" s="827">
        <f t="shared" si="33"/>
        <v>0</v>
      </c>
    </row>
    <row r="594" spans="1:16" ht="30" hidden="1" customHeight="1" outlineLevel="1">
      <c r="A594" s="118"/>
      <c r="B594" s="118"/>
      <c r="C594" s="828">
        <v>570</v>
      </c>
      <c r="D594" s="829"/>
      <c r="E594" s="830"/>
      <c r="F594" s="830"/>
      <c r="G594" s="854"/>
      <c r="H594" s="1049"/>
      <c r="I594" s="856"/>
      <c r="J594" s="857"/>
      <c r="K594" s="858"/>
      <c r="L594" s="472"/>
      <c r="M594" s="816">
        <f t="shared" si="30"/>
        <v>0</v>
      </c>
      <c r="N594" s="833">
        <f t="shared" si="31"/>
        <v>0</v>
      </c>
      <c r="O594" s="265">
        <f t="shared" si="32"/>
        <v>0</v>
      </c>
      <c r="P594" s="827">
        <f t="shared" si="33"/>
        <v>0</v>
      </c>
    </row>
    <row r="595" spans="1:16" ht="30" hidden="1" customHeight="1" outlineLevel="1">
      <c r="A595" s="118"/>
      <c r="B595" s="118"/>
      <c r="C595" s="828">
        <v>571</v>
      </c>
      <c r="D595" s="829"/>
      <c r="E595" s="830"/>
      <c r="F595" s="830"/>
      <c r="G595" s="854"/>
      <c r="H595" s="1049"/>
      <c r="I595" s="856"/>
      <c r="J595" s="857"/>
      <c r="K595" s="858"/>
      <c r="L595" s="472"/>
      <c r="M595" s="816">
        <f t="shared" si="30"/>
        <v>0</v>
      </c>
      <c r="N595" s="833">
        <f t="shared" si="31"/>
        <v>0</v>
      </c>
      <c r="O595" s="265">
        <f t="shared" si="32"/>
        <v>0</v>
      </c>
      <c r="P595" s="827">
        <f t="shared" si="33"/>
        <v>0</v>
      </c>
    </row>
    <row r="596" spans="1:16" ht="30" hidden="1" customHeight="1" outlineLevel="1">
      <c r="A596" s="118"/>
      <c r="B596" s="118"/>
      <c r="C596" s="828">
        <v>572</v>
      </c>
      <c r="D596" s="829"/>
      <c r="E596" s="830"/>
      <c r="F596" s="830"/>
      <c r="G596" s="854"/>
      <c r="H596" s="1049"/>
      <c r="I596" s="856"/>
      <c r="J596" s="857"/>
      <c r="K596" s="858"/>
      <c r="L596" s="472"/>
      <c r="M596" s="816">
        <f t="shared" si="30"/>
        <v>0</v>
      </c>
      <c r="N596" s="833">
        <f t="shared" si="31"/>
        <v>0</v>
      </c>
      <c r="O596" s="265">
        <f t="shared" si="32"/>
        <v>0</v>
      </c>
      <c r="P596" s="827">
        <f t="shared" si="33"/>
        <v>0</v>
      </c>
    </row>
    <row r="597" spans="1:16" ht="30" hidden="1" customHeight="1" outlineLevel="1">
      <c r="A597" s="118"/>
      <c r="B597" s="118"/>
      <c r="C597" s="828">
        <v>573</v>
      </c>
      <c r="D597" s="829"/>
      <c r="E597" s="830"/>
      <c r="F597" s="830"/>
      <c r="G597" s="854"/>
      <c r="H597" s="1049"/>
      <c r="I597" s="856"/>
      <c r="J597" s="857"/>
      <c r="K597" s="858"/>
      <c r="L597" s="472"/>
      <c r="M597" s="816">
        <f t="shared" si="30"/>
        <v>0</v>
      </c>
      <c r="N597" s="833">
        <f t="shared" si="31"/>
        <v>0</v>
      </c>
      <c r="O597" s="265">
        <f t="shared" si="32"/>
        <v>0</v>
      </c>
      <c r="P597" s="827">
        <f t="shared" si="33"/>
        <v>0</v>
      </c>
    </row>
    <row r="598" spans="1:16" ht="30" hidden="1" customHeight="1" outlineLevel="1">
      <c r="A598" s="118"/>
      <c r="B598" s="118"/>
      <c r="C598" s="828">
        <v>574</v>
      </c>
      <c r="D598" s="829"/>
      <c r="E598" s="830"/>
      <c r="F598" s="830"/>
      <c r="G598" s="854"/>
      <c r="H598" s="1049"/>
      <c r="I598" s="856"/>
      <c r="J598" s="857"/>
      <c r="K598" s="858"/>
      <c r="L598" s="472"/>
      <c r="M598" s="816">
        <f t="shared" si="30"/>
        <v>0</v>
      </c>
      <c r="N598" s="833">
        <f t="shared" si="31"/>
        <v>0</v>
      </c>
      <c r="O598" s="265">
        <f t="shared" si="32"/>
        <v>0</v>
      </c>
      <c r="P598" s="827">
        <f t="shared" si="33"/>
        <v>0</v>
      </c>
    </row>
    <row r="599" spans="1:16" ht="30" hidden="1" customHeight="1" outlineLevel="1">
      <c r="A599" s="118"/>
      <c r="B599" s="118"/>
      <c r="C599" s="828">
        <v>575</v>
      </c>
      <c r="D599" s="829"/>
      <c r="E599" s="830"/>
      <c r="F599" s="830"/>
      <c r="G599" s="854"/>
      <c r="H599" s="1049"/>
      <c r="I599" s="856"/>
      <c r="J599" s="857"/>
      <c r="K599" s="858"/>
      <c r="L599" s="472"/>
      <c r="M599" s="816">
        <f t="shared" si="30"/>
        <v>0</v>
      </c>
      <c r="N599" s="833">
        <f t="shared" si="31"/>
        <v>0</v>
      </c>
      <c r="O599" s="265">
        <f t="shared" si="32"/>
        <v>0</v>
      </c>
      <c r="P599" s="827">
        <f t="shared" si="33"/>
        <v>0</v>
      </c>
    </row>
    <row r="600" spans="1:16" ht="30" hidden="1" customHeight="1" outlineLevel="1">
      <c r="A600" s="118"/>
      <c r="B600" s="118"/>
      <c r="C600" s="828">
        <v>576</v>
      </c>
      <c r="D600" s="829"/>
      <c r="E600" s="830"/>
      <c r="F600" s="830"/>
      <c r="G600" s="854"/>
      <c r="H600" s="1049"/>
      <c r="I600" s="856"/>
      <c r="J600" s="857"/>
      <c r="K600" s="858"/>
      <c r="L600" s="472"/>
      <c r="M600" s="816">
        <f t="shared" si="30"/>
        <v>0</v>
      </c>
      <c r="N600" s="833">
        <f t="shared" si="31"/>
        <v>0</v>
      </c>
      <c r="O600" s="265">
        <f t="shared" si="32"/>
        <v>0</v>
      </c>
      <c r="P600" s="827">
        <f t="shared" si="33"/>
        <v>0</v>
      </c>
    </row>
    <row r="601" spans="1:16" ht="30" hidden="1" customHeight="1" outlineLevel="1">
      <c r="A601" s="118"/>
      <c r="B601" s="118"/>
      <c r="C601" s="828">
        <v>577</v>
      </c>
      <c r="D601" s="829"/>
      <c r="E601" s="830"/>
      <c r="F601" s="830"/>
      <c r="G601" s="854"/>
      <c r="H601" s="1049"/>
      <c r="I601" s="856"/>
      <c r="J601" s="857"/>
      <c r="K601" s="858"/>
      <c r="L601" s="472"/>
      <c r="M601" s="816">
        <f t="shared" si="30"/>
        <v>0</v>
      </c>
      <c r="N601" s="833">
        <f t="shared" si="31"/>
        <v>0</v>
      </c>
      <c r="O601" s="265">
        <f t="shared" si="32"/>
        <v>0</v>
      </c>
      <c r="P601" s="827">
        <f t="shared" si="33"/>
        <v>0</v>
      </c>
    </row>
    <row r="602" spans="1:16" ht="30" hidden="1" customHeight="1" outlineLevel="1">
      <c r="A602" s="118"/>
      <c r="B602" s="118"/>
      <c r="C602" s="828">
        <v>578</v>
      </c>
      <c r="D602" s="829"/>
      <c r="E602" s="830"/>
      <c r="F602" s="830"/>
      <c r="G602" s="854"/>
      <c r="H602" s="1049"/>
      <c r="I602" s="856"/>
      <c r="J602" s="857"/>
      <c r="K602" s="858"/>
      <c r="L602" s="472"/>
      <c r="M602" s="816">
        <f t="shared" si="30"/>
        <v>0</v>
      </c>
      <c r="N602" s="833">
        <f t="shared" si="31"/>
        <v>0</v>
      </c>
      <c r="O602" s="265">
        <f t="shared" si="32"/>
        <v>0</v>
      </c>
      <c r="P602" s="827">
        <f t="shared" si="33"/>
        <v>0</v>
      </c>
    </row>
    <row r="603" spans="1:16" ht="30" hidden="1" customHeight="1" outlineLevel="1">
      <c r="A603" s="118"/>
      <c r="B603" s="118"/>
      <c r="C603" s="828">
        <v>579</v>
      </c>
      <c r="D603" s="829"/>
      <c r="E603" s="830"/>
      <c r="F603" s="830"/>
      <c r="G603" s="854"/>
      <c r="H603" s="1049"/>
      <c r="I603" s="856"/>
      <c r="J603" s="857"/>
      <c r="K603" s="858"/>
      <c r="L603" s="472"/>
      <c r="M603" s="816">
        <f t="shared" si="30"/>
        <v>0</v>
      </c>
      <c r="N603" s="833">
        <f t="shared" si="31"/>
        <v>0</v>
      </c>
      <c r="O603" s="265">
        <f t="shared" si="32"/>
        <v>0</v>
      </c>
      <c r="P603" s="827">
        <f t="shared" si="33"/>
        <v>0</v>
      </c>
    </row>
    <row r="604" spans="1:16" ht="30" hidden="1" customHeight="1" outlineLevel="1">
      <c r="A604" s="118"/>
      <c r="B604" s="118"/>
      <c r="C604" s="828">
        <v>580</v>
      </c>
      <c r="D604" s="829"/>
      <c r="E604" s="830"/>
      <c r="F604" s="830"/>
      <c r="G604" s="854"/>
      <c r="H604" s="1049"/>
      <c r="I604" s="856"/>
      <c r="J604" s="857"/>
      <c r="K604" s="858"/>
      <c r="L604" s="472"/>
      <c r="M604" s="816">
        <f t="shared" si="30"/>
        <v>0</v>
      </c>
      <c r="N604" s="833">
        <f t="shared" si="31"/>
        <v>0</v>
      </c>
      <c r="O604" s="265">
        <f t="shared" si="32"/>
        <v>0</v>
      </c>
      <c r="P604" s="827">
        <f t="shared" si="33"/>
        <v>0</v>
      </c>
    </row>
    <row r="605" spans="1:16" ht="30" hidden="1" customHeight="1" outlineLevel="1">
      <c r="A605" s="118"/>
      <c r="B605" s="118"/>
      <c r="C605" s="828">
        <v>581</v>
      </c>
      <c r="D605" s="829"/>
      <c r="E605" s="830"/>
      <c r="F605" s="830"/>
      <c r="G605" s="854"/>
      <c r="H605" s="1049"/>
      <c r="I605" s="856"/>
      <c r="J605" s="857"/>
      <c r="K605" s="858"/>
      <c r="L605" s="472"/>
      <c r="M605" s="816">
        <f t="shared" si="30"/>
        <v>0</v>
      </c>
      <c r="N605" s="833">
        <f t="shared" si="31"/>
        <v>0</v>
      </c>
      <c r="O605" s="265">
        <f t="shared" si="32"/>
        <v>0</v>
      </c>
      <c r="P605" s="827">
        <f t="shared" si="33"/>
        <v>0</v>
      </c>
    </row>
    <row r="606" spans="1:16" ht="30" hidden="1" customHeight="1" outlineLevel="1">
      <c r="A606" s="118"/>
      <c r="B606" s="118"/>
      <c r="C606" s="828">
        <v>582</v>
      </c>
      <c r="D606" s="829"/>
      <c r="E606" s="830"/>
      <c r="F606" s="830"/>
      <c r="G606" s="854"/>
      <c r="H606" s="1049"/>
      <c r="I606" s="856"/>
      <c r="J606" s="857"/>
      <c r="K606" s="858"/>
      <c r="L606" s="472"/>
      <c r="M606" s="816">
        <f t="shared" si="30"/>
        <v>0</v>
      </c>
      <c r="N606" s="833">
        <f t="shared" si="31"/>
        <v>0</v>
      </c>
      <c r="O606" s="265">
        <f t="shared" si="32"/>
        <v>0</v>
      </c>
      <c r="P606" s="827">
        <f t="shared" si="33"/>
        <v>0</v>
      </c>
    </row>
    <row r="607" spans="1:16" ht="30" hidden="1" customHeight="1" outlineLevel="1">
      <c r="A607" s="118"/>
      <c r="B607" s="118"/>
      <c r="C607" s="828">
        <v>583</v>
      </c>
      <c r="D607" s="829"/>
      <c r="E607" s="830"/>
      <c r="F607" s="830"/>
      <c r="G607" s="854"/>
      <c r="H607" s="1049"/>
      <c r="I607" s="856"/>
      <c r="J607" s="857"/>
      <c r="K607" s="858"/>
      <c r="L607" s="472"/>
      <c r="M607" s="816">
        <f t="shared" si="30"/>
        <v>0</v>
      </c>
      <c r="N607" s="833">
        <f t="shared" si="31"/>
        <v>0</v>
      </c>
      <c r="O607" s="265">
        <f t="shared" si="32"/>
        <v>0</v>
      </c>
      <c r="P607" s="827">
        <f t="shared" si="33"/>
        <v>0</v>
      </c>
    </row>
    <row r="608" spans="1:16" ht="30" hidden="1" customHeight="1" outlineLevel="1">
      <c r="A608" s="118"/>
      <c r="B608" s="118"/>
      <c r="C608" s="828">
        <v>584</v>
      </c>
      <c r="D608" s="829"/>
      <c r="E608" s="830"/>
      <c r="F608" s="830"/>
      <c r="G608" s="854"/>
      <c r="H608" s="1049"/>
      <c r="I608" s="856"/>
      <c r="J608" s="857"/>
      <c r="K608" s="858"/>
      <c r="L608" s="472"/>
      <c r="M608" s="816">
        <f t="shared" si="30"/>
        <v>0</v>
      </c>
      <c r="N608" s="833">
        <f t="shared" si="31"/>
        <v>0</v>
      </c>
      <c r="O608" s="265">
        <f t="shared" si="32"/>
        <v>0</v>
      </c>
      <c r="P608" s="827">
        <f t="shared" si="33"/>
        <v>0</v>
      </c>
    </row>
    <row r="609" spans="1:16" ht="30" hidden="1" customHeight="1" outlineLevel="1">
      <c r="A609" s="118"/>
      <c r="B609" s="118"/>
      <c r="C609" s="828">
        <v>585</v>
      </c>
      <c r="D609" s="829"/>
      <c r="E609" s="830"/>
      <c r="F609" s="830"/>
      <c r="G609" s="854"/>
      <c r="H609" s="1049"/>
      <c r="I609" s="856"/>
      <c r="J609" s="857"/>
      <c r="K609" s="858"/>
      <c r="L609" s="472"/>
      <c r="M609" s="816">
        <f t="shared" si="30"/>
        <v>0</v>
      </c>
      <c r="N609" s="833">
        <f t="shared" si="31"/>
        <v>0</v>
      </c>
      <c r="O609" s="265">
        <f t="shared" si="32"/>
        <v>0</v>
      </c>
      <c r="P609" s="827">
        <f t="shared" si="33"/>
        <v>0</v>
      </c>
    </row>
    <row r="610" spans="1:16" ht="30" hidden="1" customHeight="1" outlineLevel="1">
      <c r="A610" s="118"/>
      <c r="B610" s="118"/>
      <c r="C610" s="828">
        <v>586</v>
      </c>
      <c r="D610" s="829"/>
      <c r="E610" s="830"/>
      <c r="F610" s="830"/>
      <c r="G610" s="854"/>
      <c r="H610" s="1049"/>
      <c r="I610" s="856"/>
      <c r="J610" s="857"/>
      <c r="K610" s="858"/>
      <c r="L610" s="472"/>
      <c r="M610" s="816">
        <f t="shared" si="30"/>
        <v>0</v>
      </c>
      <c r="N610" s="833">
        <f t="shared" si="31"/>
        <v>0</v>
      </c>
      <c r="O610" s="265">
        <f t="shared" si="32"/>
        <v>0</v>
      </c>
      <c r="P610" s="827">
        <f t="shared" si="33"/>
        <v>0</v>
      </c>
    </row>
    <row r="611" spans="1:16" ht="30" hidden="1" customHeight="1" outlineLevel="1">
      <c r="A611" s="118"/>
      <c r="B611" s="118"/>
      <c r="C611" s="828">
        <v>587</v>
      </c>
      <c r="D611" s="829"/>
      <c r="E611" s="830"/>
      <c r="F611" s="830"/>
      <c r="G611" s="854"/>
      <c r="H611" s="1049"/>
      <c r="I611" s="856"/>
      <c r="J611" s="857"/>
      <c r="K611" s="858"/>
      <c r="L611" s="472"/>
      <c r="M611" s="816">
        <f t="shared" si="30"/>
        <v>0</v>
      </c>
      <c r="N611" s="833">
        <f t="shared" si="31"/>
        <v>0</v>
      </c>
      <c r="O611" s="265">
        <f t="shared" si="32"/>
        <v>0</v>
      </c>
      <c r="P611" s="827">
        <f t="shared" si="33"/>
        <v>0</v>
      </c>
    </row>
    <row r="612" spans="1:16" ht="30" hidden="1" customHeight="1" outlineLevel="1">
      <c r="A612" s="118"/>
      <c r="B612" s="118"/>
      <c r="C612" s="828">
        <v>588</v>
      </c>
      <c r="D612" s="829"/>
      <c r="E612" s="830"/>
      <c r="F612" s="830"/>
      <c r="G612" s="854"/>
      <c r="H612" s="1049"/>
      <c r="I612" s="856"/>
      <c r="J612" s="857"/>
      <c r="K612" s="858"/>
      <c r="L612" s="472"/>
      <c r="M612" s="816">
        <f t="shared" si="30"/>
        <v>0</v>
      </c>
      <c r="N612" s="833">
        <f t="shared" si="31"/>
        <v>0</v>
      </c>
      <c r="O612" s="265">
        <f t="shared" si="32"/>
        <v>0</v>
      </c>
      <c r="P612" s="827">
        <f t="shared" si="33"/>
        <v>0</v>
      </c>
    </row>
    <row r="613" spans="1:16" ht="30" hidden="1" customHeight="1" outlineLevel="1">
      <c r="A613" s="118"/>
      <c r="B613" s="118"/>
      <c r="C613" s="828">
        <v>589</v>
      </c>
      <c r="D613" s="829"/>
      <c r="E613" s="830"/>
      <c r="F613" s="830"/>
      <c r="G613" s="854"/>
      <c r="H613" s="1049"/>
      <c r="I613" s="856"/>
      <c r="J613" s="857"/>
      <c r="K613" s="858"/>
      <c r="L613" s="472"/>
      <c r="M613" s="816">
        <f t="shared" si="30"/>
        <v>0</v>
      </c>
      <c r="N613" s="833">
        <f t="shared" si="31"/>
        <v>0</v>
      </c>
      <c r="O613" s="265">
        <f t="shared" si="32"/>
        <v>0</v>
      </c>
      <c r="P613" s="827">
        <f t="shared" si="33"/>
        <v>0</v>
      </c>
    </row>
    <row r="614" spans="1:16" ht="30" hidden="1" customHeight="1" outlineLevel="1">
      <c r="A614" s="118"/>
      <c r="B614" s="118"/>
      <c r="C614" s="828">
        <v>590</v>
      </c>
      <c r="D614" s="829"/>
      <c r="E614" s="830"/>
      <c r="F614" s="830"/>
      <c r="G614" s="854"/>
      <c r="H614" s="1049"/>
      <c r="I614" s="856"/>
      <c r="J614" s="857"/>
      <c r="K614" s="858"/>
      <c r="L614" s="472"/>
      <c r="M614" s="816">
        <f t="shared" si="30"/>
        <v>0</v>
      </c>
      <c r="N614" s="833">
        <f t="shared" si="31"/>
        <v>0</v>
      </c>
      <c r="O614" s="265">
        <f t="shared" si="32"/>
        <v>0</v>
      </c>
      <c r="P614" s="827">
        <f t="shared" si="33"/>
        <v>0</v>
      </c>
    </row>
    <row r="615" spans="1:16" ht="30" hidden="1" customHeight="1" outlineLevel="1">
      <c r="A615" s="118"/>
      <c r="B615" s="118"/>
      <c r="C615" s="828">
        <v>591</v>
      </c>
      <c r="D615" s="829"/>
      <c r="E615" s="830"/>
      <c r="F615" s="830"/>
      <c r="G615" s="854"/>
      <c r="H615" s="1049"/>
      <c r="I615" s="856"/>
      <c r="J615" s="857"/>
      <c r="K615" s="858"/>
      <c r="L615" s="472"/>
      <c r="M615" s="816">
        <f t="shared" si="30"/>
        <v>0</v>
      </c>
      <c r="N615" s="833">
        <f t="shared" si="31"/>
        <v>0</v>
      </c>
      <c r="O615" s="265">
        <f t="shared" si="32"/>
        <v>0</v>
      </c>
      <c r="P615" s="827">
        <f t="shared" si="33"/>
        <v>0</v>
      </c>
    </row>
    <row r="616" spans="1:16" ht="30" hidden="1" customHeight="1" outlineLevel="1">
      <c r="A616" s="118"/>
      <c r="B616" s="118"/>
      <c r="C616" s="828">
        <v>592</v>
      </c>
      <c r="D616" s="829"/>
      <c r="E616" s="830"/>
      <c r="F616" s="830"/>
      <c r="G616" s="854"/>
      <c r="H616" s="1049"/>
      <c r="I616" s="856"/>
      <c r="J616" s="857"/>
      <c r="K616" s="858"/>
      <c r="L616" s="472"/>
      <c r="M616" s="816">
        <f t="shared" si="30"/>
        <v>0</v>
      </c>
      <c r="N616" s="833">
        <f t="shared" si="31"/>
        <v>0</v>
      </c>
      <c r="O616" s="265">
        <f t="shared" si="32"/>
        <v>0</v>
      </c>
      <c r="P616" s="827">
        <f t="shared" si="33"/>
        <v>0</v>
      </c>
    </row>
    <row r="617" spans="1:16" ht="30" hidden="1" customHeight="1" outlineLevel="1">
      <c r="A617" s="118"/>
      <c r="B617" s="118"/>
      <c r="C617" s="828">
        <v>593</v>
      </c>
      <c r="D617" s="829"/>
      <c r="E617" s="830"/>
      <c r="F617" s="830"/>
      <c r="G617" s="854"/>
      <c r="H617" s="1049"/>
      <c r="I617" s="856"/>
      <c r="J617" s="857"/>
      <c r="K617" s="858"/>
      <c r="L617" s="472"/>
      <c r="M617" s="816">
        <f t="shared" si="30"/>
        <v>0</v>
      </c>
      <c r="N617" s="833">
        <f t="shared" si="31"/>
        <v>0</v>
      </c>
      <c r="O617" s="265">
        <f t="shared" si="32"/>
        <v>0</v>
      </c>
      <c r="P617" s="827">
        <f t="shared" si="33"/>
        <v>0</v>
      </c>
    </row>
    <row r="618" spans="1:16" ht="30" hidden="1" customHeight="1" outlineLevel="1">
      <c r="A618" s="118"/>
      <c r="B618" s="118"/>
      <c r="C618" s="828">
        <v>594</v>
      </c>
      <c r="D618" s="829"/>
      <c r="E618" s="830"/>
      <c r="F618" s="830"/>
      <c r="G618" s="854"/>
      <c r="H618" s="1049"/>
      <c r="I618" s="856"/>
      <c r="J618" s="857"/>
      <c r="K618" s="858"/>
      <c r="L618" s="472"/>
      <c r="M618" s="816">
        <f t="shared" si="30"/>
        <v>0</v>
      </c>
      <c r="N618" s="833">
        <f t="shared" si="31"/>
        <v>0</v>
      </c>
      <c r="O618" s="265">
        <f t="shared" si="32"/>
        <v>0</v>
      </c>
      <c r="P618" s="827">
        <f t="shared" si="33"/>
        <v>0</v>
      </c>
    </row>
    <row r="619" spans="1:16" ht="30" hidden="1" customHeight="1" outlineLevel="1">
      <c r="A619" s="118"/>
      <c r="B619" s="118"/>
      <c r="C619" s="828">
        <v>595</v>
      </c>
      <c r="D619" s="829"/>
      <c r="E619" s="830"/>
      <c r="F619" s="830"/>
      <c r="G619" s="854"/>
      <c r="H619" s="1049"/>
      <c r="I619" s="856"/>
      <c r="J619" s="857"/>
      <c r="K619" s="858"/>
      <c r="L619" s="472"/>
      <c r="M619" s="816">
        <f t="shared" si="30"/>
        <v>0</v>
      </c>
      <c r="N619" s="833">
        <f t="shared" si="31"/>
        <v>0</v>
      </c>
      <c r="O619" s="265">
        <f t="shared" si="32"/>
        <v>0</v>
      </c>
      <c r="P619" s="827">
        <f t="shared" si="33"/>
        <v>0</v>
      </c>
    </row>
    <row r="620" spans="1:16" ht="30" hidden="1" customHeight="1" outlineLevel="1">
      <c r="A620" s="118"/>
      <c r="B620" s="118"/>
      <c r="C620" s="828">
        <v>596</v>
      </c>
      <c r="D620" s="829"/>
      <c r="E620" s="830"/>
      <c r="F620" s="830"/>
      <c r="G620" s="854"/>
      <c r="H620" s="1049"/>
      <c r="I620" s="856"/>
      <c r="J620" s="857"/>
      <c r="K620" s="858"/>
      <c r="L620" s="472"/>
      <c r="M620" s="816">
        <f t="shared" si="30"/>
        <v>0</v>
      </c>
      <c r="N620" s="833">
        <f t="shared" si="31"/>
        <v>0</v>
      </c>
      <c r="O620" s="265">
        <f t="shared" si="32"/>
        <v>0</v>
      </c>
      <c r="P620" s="827">
        <f t="shared" si="33"/>
        <v>0</v>
      </c>
    </row>
    <row r="621" spans="1:16" ht="30" hidden="1" customHeight="1" outlineLevel="1">
      <c r="A621" s="118"/>
      <c r="B621" s="118"/>
      <c r="C621" s="828">
        <v>597</v>
      </c>
      <c r="D621" s="829"/>
      <c r="E621" s="830"/>
      <c r="F621" s="830"/>
      <c r="G621" s="854"/>
      <c r="H621" s="1049"/>
      <c r="I621" s="856"/>
      <c r="J621" s="857"/>
      <c r="K621" s="858"/>
      <c r="L621" s="472"/>
      <c r="M621" s="816">
        <f t="shared" si="30"/>
        <v>0</v>
      </c>
      <c r="N621" s="833">
        <f t="shared" si="31"/>
        <v>0</v>
      </c>
      <c r="O621" s="265">
        <f t="shared" si="32"/>
        <v>0</v>
      </c>
      <c r="P621" s="827">
        <f t="shared" si="33"/>
        <v>0</v>
      </c>
    </row>
    <row r="622" spans="1:16" ht="30" hidden="1" customHeight="1" outlineLevel="1">
      <c r="A622" s="118"/>
      <c r="B622" s="118"/>
      <c r="C622" s="828">
        <v>598</v>
      </c>
      <c r="D622" s="829"/>
      <c r="E622" s="830"/>
      <c r="F622" s="830"/>
      <c r="G622" s="854"/>
      <c r="H622" s="1049"/>
      <c r="I622" s="856"/>
      <c r="J622" s="857"/>
      <c r="K622" s="858"/>
      <c r="L622" s="472"/>
      <c r="M622" s="816">
        <f t="shared" ref="M622:M685" si="34">IF($H622&gt;0,E622,)</f>
        <v>0</v>
      </c>
      <c r="N622" s="833">
        <f t="shared" ref="N622:N685" si="35">IF($H622&gt;0,F622,)</f>
        <v>0</v>
      </c>
      <c r="O622" s="265">
        <f t="shared" ref="O622:O685" si="36">IF(H622&gt;0,ROUND(G622,),)</f>
        <v>0</v>
      </c>
      <c r="P622" s="827">
        <f t="shared" ref="P622:P685" si="37">ROUND(O622*H622%,)</f>
        <v>0</v>
      </c>
    </row>
    <row r="623" spans="1:16" ht="30" hidden="1" customHeight="1" outlineLevel="1">
      <c r="A623" s="118"/>
      <c r="B623" s="118"/>
      <c r="C623" s="828">
        <v>599</v>
      </c>
      <c r="D623" s="829"/>
      <c r="E623" s="830"/>
      <c r="F623" s="830"/>
      <c r="G623" s="854"/>
      <c r="H623" s="1049"/>
      <c r="I623" s="856"/>
      <c r="J623" s="857"/>
      <c r="K623" s="858"/>
      <c r="L623" s="472"/>
      <c r="M623" s="816">
        <f t="shared" si="34"/>
        <v>0</v>
      </c>
      <c r="N623" s="833">
        <f t="shared" si="35"/>
        <v>0</v>
      </c>
      <c r="O623" s="265">
        <f t="shared" si="36"/>
        <v>0</v>
      </c>
      <c r="P623" s="827">
        <f t="shared" si="37"/>
        <v>0</v>
      </c>
    </row>
    <row r="624" spans="1:16" ht="30" hidden="1" customHeight="1" outlineLevel="1">
      <c r="A624" s="118"/>
      <c r="B624" s="118"/>
      <c r="C624" s="828">
        <v>600</v>
      </c>
      <c r="D624" s="829"/>
      <c r="E624" s="830"/>
      <c r="F624" s="830"/>
      <c r="G624" s="854"/>
      <c r="H624" s="1049"/>
      <c r="I624" s="856"/>
      <c r="J624" s="857"/>
      <c r="K624" s="858"/>
      <c r="L624" s="472"/>
      <c r="M624" s="816">
        <f t="shared" si="34"/>
        <v>0</v>
      </c>
      <c r="N624" s="833">
        <f t="shared" si="35"/>
        <v>0</v>
      </c>
      <c r="O624" s="265">
        <f t="shared" si="36"/>
        <v>0</v>
      </c>
      <c r="P624" s="827">
        <f t="shared" si="37"/>
        <v>0</v>
      </c>
    </row>
    <row r="625" spans="1:16" ht="30" hidden="1" customHeight="1" outlineLevel="1">
      <c r="A625" s="118"/>
      <c r="B625" s="118"/>
      <c r="C625" s="828">
        <v>601</v>
      </c>
      <c r="D625" s="829"/>
      <c r="E625" s="830"/>
      <c r="F625" s="830"/>
      <c r="G625" s="854"/>
      <c r="H625" s="1049"/>
      <c r="I625" s="856"/>
      <c r="J625" s="857"/>
      <c r="K625" s="858"/>
      <c r="L625" s="472"/>
      <c r="M625" s="816">
        <f t="shared" si="34"/>
        <v>0</v>
      </c>
      <c r="N625" s="833">
        <f t="shared" si="35"/>
        <v>0</v>
      </c>
      <c r="O625" s="265">
        <f t="shared" si="36"/>
        <v>0</v>
      </c>
      <c r="P625" s="827">
        <f t="shared" si="37"/>
        <v>0</v>
      </c>
    </row>
    <row r="626" spans="1:16" ht="30" hidden="1" customHeight="1" outlineLevel="1">
      <c r="A626" s="118"/>
      <c r="B626" s="118"/>
      <c r="C626" s="828">
        <v>602</v>
      </c>
      <c r="D626" s="829"/>
      <c r="E626" s="830"/>
      <c r="F626" s="830"/>
      <c r="G626" s="854"/>
      <c r="H626" s="1049"/>
      <c r="I626" s="856"/>
      <c r="J626" s="857"/>
      <c r="K626" s="858"/>
      <c r="L626" s="472"/>
      <c r="M626" s="816">
        <f t="shared" si="34"/>
        <v>0</v>
      </c>
      <c r="N626" s="833">
        <f t="shared" si="35"/>
        <v>0</v>
      </c>
      <c r="O626" s="265">
        <f t="shared" si="36"/>
        <v>0</v>
      </c>
      <c r="P626" s="827">
        <f t="shared" si="37"/>
        <v>0</v>
      </c>
    </row>
    <row r="627" spans="1:16" ht="30" hidden="1" customHeight="1" outlineLevel="1">
      <c r="A627" s="118"/>
      <c r="B627" s="118"/>
      <c r="C627" s="828">
        <v>603</v>
      </c>
      <c r="D627" s="829"/>
      <c r="E627" s="830"/>
      <c r="F627" s="830"/>
      <c r="G627" s="854"/>
      <c r="H627" s="1049"/>
      <c r="I627" s="856"/>
      <c r="J627" s="857"/>
      <c r="K627" s="858"/>
      <c r="L627" s="472"/>
      <c r="M627" s="816">
        <f t="shared" si="34"/>
        <v>0</v>
      </c>
      <c r="N627" s="833">
        <f t="shared" si="35"/>
        <v>0</v>
      </c>
      <c r="O627" s="265">
        <f t="shared" si="36"/>
        <v>0</v>
      </c>
      <c r="P627" s="827">
        <f t="shared" si="37"/>
        <v>0</v>
      </c>
    </row>
    <row r="628" spans="1:16" ht="30" hidden="1" customHeight="1" outlineLevel="1">
      <c r="A628" s="118"/>
      <c r="B628" s="118"/>
      <c r="C628" s="828">
        <v>604</v>
      </c>
      <c r="D628" s="829"/>
      <c r="E628" s="830"/>
      <c r="F628" s="830"/>
      <c r="G628" s="854"/>
      <c r="H628" s="1049"/>
      <c r="I628" s="856"/>
      <c r="J628" s="857"/>
      <c r="K628" s="858"/>
      <c r="L628" s="472"/>
      <c r="M628" s="816">
        <f t="shared" si="34"/>
        <v>0</v>
      </c>
      <c r="N628" s="833">
        <f t="shared" si="35"/>
        <v>0</v>
      </c>
      <c r="O628" s="265">
        <f t="shared" si="36"/>
        <v>0</v>
      </c>
      <c r="P628" s="827">
        <f t="shared" si="37"/>
        <v>0</v>
      </c>
    </row>
    <row r="629" spans="1:16" ht="30" hidden="1" customHeight="1" outlineLevel="1">
      <c r="A629" s="118"/>
      <c r="B629" s="118"/>
      <c r="C629" s="828">
        <v>605</v>
      </c>
      <c r="D629" s="829"/>
      <c r="E629" s="830"/>
      <c r="F629" s="830"/>
      <c r="G629" s="854"/>
      <c r="H629" s="1049"/>
      <c r="I629" s="856"/>
      <c r="J629" s="857"/>
      <c r="K629" s="858"/>
      <c r="L629" s="472"/>
      <c r="M629" s="816">
        <f t="shared" si="34"/>
        <v>0</v>
      </c>
      <c r="N629" s="833">
        <f t="shared" si="35"/>
        <v>0</v>
      </c>
      <c r="O629" s="265">
        <f t="shared" si="36"/>
        <v>0</v>
      </c>
      <c r="P629" s="827">
        <f t="shared" si="37"/>
        <v>0</v>
      </c>
    </row>
    <row r="630" spans="1:16" ht="30" hidden="1" customHeight="1" outlineLevel="1">
      <c r="A630" s="118"/>
      <c r="B630" s="118"/>
      <c r="C630" s="828">
        <v>606</v>
      </c>
      <c r="D630" s="829"/>
      <c r="E630" s="830"/>
      <c r="F630" s="830"/>
      <c r="G630" s="854"/>
      <c r="H630" s="1049"/>
      <c r="I630" s="856"/>
      <c r="J630" s="857"/>
      <c r="K630" s="858"/>
      <c r="L630" s="472"/>
      <c r="M630" s="816">
        <f t="shared" si="34"/>
        <v>0</v>
      </c>
      <c r="N630" s="833">
        <f t="shared" si="35"/>
        <v>0</v>
      </c>
      <c r="O630" s="265">
        <f t="shared" si="36"/>
        <v>0</v>
      </c>
      <c r="P630" s="827">
        <f t="shared" si="37"/>
        <v>0</v>
      </c>
    </row>
    <row r="631" spans="1:16" ht="30" hidden="1" customHeight="1" outlineLevel="1">
      <c r="A631" s="118"/>
      <c r="B631" s="118"/>
      <c r="C631" s="828">
        <v>607</v>
      </c>
      <c r="D631" s="829"/>
      <c r="E631" s="830"/>
      <c r="F631" s="830"/>
      <c r="G631" s="854"/>
      <c r="H631" s="1049"/>
      <c r="I631" s="856"/>
      <c r="J631" s="857"/>
      <c r="K631" s="858"/>
      <c r="L631" s="472"/>
      <c r="M631" s="816">
        <f t="shared" si="34"/>
        <v>0</v>
      </c>
      <c r="N631" s="833">
        <f t="shared" si="35"/>
        <v>0</v>
      </c>
      <c r="O631" s="265">
        <f t="shared" si="36"/>
        <v>0</v>
      </c>
      <c r="P631" s="827">
        <f t="shared" si="37"/>
        <v>0</v>
      </c>
    </row>
    <row r="632" spans="1:16" ht="30" hidden="1" customHeight="1" outlineLevel="1">
      <c r="A632" s="118"/>
      <c r="B632" s="118"/>
      <c r="C632" s="828">
        <v>608</v>
      </c>
      <c r="D632" s="829"/>
      <c r="E632" s="830"/>
      <c r="F632" s="830"/>
      <c r="G632" s="854"/>
      <c r="H632" s="1049"/>
      <c r="I632" s="856"/>
      <c r="J632" s="857"/>
      <c r="K632" s="858"/>
      <c r="L632" s="472"/>
      <c r="M632" s="816">
        <f t="shared" si="34"/>
        <v>0</v>
      </c>
      <c r="N632" s="833">
        <f t="shared" si="35"/>
        <v>0</v>
      </c>
      <c r="O632" s="265">
        <f t="shared" si="36"/>
        <v>0</v>
      </c>
      <c r="P632" s="827">
        <f t="shared" si="37"/>
        <v>0</v>
      </c>
    </row>
    <row r="633" spans="1:16" ht="30" hidden="1" customHeight="1" outlineLevel="1">
      <c r="A633" s="118"/>
      <c r="B633" s="118"/>
      <c r="C633" s="828">
        <v>609</v>
      </c>
      <c r="D633" s="829"/>
      <c r="E633" s="830"/>
      <c r="F633" s="830"/>
      <c r="G633" s="854"/>
      <c r="H633" s="1049"/>
      <c r="I633" s="856"/>
      <c r="J633" s="857"/>
      <c r="K633" s="858"/>
      <c r="L633" s="472"/>
      <c r="M633" s="816">
        <f t="shared" si="34"/>
        <v>0</v>
      </c>
      <c r="N633" s="833">
        <f t="shared" si="35"/>
        <v>0</v>
      </c>
      <c r="O633" s="265">
        <f t="shared" si="36"/>
        <v>0</v>
      </c>
      <c r="P633" s="827">
        <f t="shared" si="37"/>
        <v>0</v>
      </c>
    </row>
    <row r="634" spans="1:16" ht="30" hidden="1" customHeight="1" outlineLevel="1">
      <c r="A634" s="118"/>
      <c r="B634" s="118"/>
      <c r="C634" s="828">
        <v>610</v>
      </c>
      <c r="D634" s="829"/>
      <c r="E634" s="830"/>
      <c r="F634" s="830"/>
      <c r="G634" s="854"/>
      <c r="H634" s="1049"/>
      <c r="I634" s="856"/>
      <c r="J634" s="857"/>
      <c r="K634" s="858"/>
      <c r="L634" s="472"/>
      <c r="M634" s="816">
        <f t="shared" si="34"/>
        <v>0</v>
      </c>
      <c r="N634" s="833">
        <f t="shared" si="35"/>
        <v>0</v>
      </c>
      <c r="O634" s="265">
        <f t="shared" si="36"/>
        <v>0</v>
      </c>
      <c r="P634" s="827">
        <f t="shared" si="37"/>
        <v>0</v>
      </c>
    </row>
    <row r="635" spans="1:16" ht="30" hidden="1" customHeight="1" outlineLevel="1">
      <c r="A635" s="118"/>
      <c r="B635" s="118"/>
      <c r="C635" s="828">
        <v>611</v>
      </c>
      <c r="D635" s="829"/>
      <c r="E635" s="830"/>
      <c r="F635" s="830"/>
      <c r="G635" s="854"/>
      <c r="H635" s="1049"/>
      <c r="I635" s="856"/>
      <c r="J635" s="857"/>
      <c r="K635" s="858"/>
      <c r="L635" s="472"/>
      <c r="M635" s="816">
        <f t="shared" si="34"/>
        <v>0</v>
      </c>
      <c r="N635" s="833">
        <f t="shared" si="35"/>
        <v>0</v>
      </c>
      <c r="O635" s="265">
        <f t="shared" si="36"/>
        <v>0</v>
      </c>
      <c r="P635" s="827">
        <f t="shared" si="37"/>
        <v>0</v>
      </c>
    </row>
    <row r="636" spans="1:16" ht="30" hidden="1" customHeight="1" outlineLevel="1">
      <c r="A636" s="118"/>
      <c r="B636" s="118"/>
      <c r="C636" s="828">
        <v>612</v>
      </c>
      <c r="D636" s="829"/>
      <c r="E636" s="830"/>
      <c r="F636" s="830"/>
      <c r="G636" s="854"/>
      <c r="H636" s="1049"/>
      <c r="I636" s="856"/>
      <c r="J636" s="857"/>
      <c r="K636" s="858"/>
      <c r="L636" s="472"/>
      <c r="M636" s="816">
        <f t="shared" si="34"/>
        <v>0</v>
      </c>
      <c r="N636" s="833">
        <f t="shared" si="35"/>
        <v>0</v>
      </c>
      <c r="O636" s="265">
        <f t="shared" si="36"/>
        <v>0</v>
      </c>
      <c r="P636" s="827">
        <f t="shared" si="37"/>
        <v>0</v>
      </c>
    </row>
    <row r="637" spans="1:16" ht="30" hidden="1" customHeight="1" outlineLevel="1">
      <c r="A637" s="118"/>
      <c r="B637" s="118"/>
      <c r="C637" s="828">
        <v>613</v>
      </c>
      <c r="D637" s="829"/>
      <c r="E637" s="830"/>
      <c r="F637" s="830"/>
      <c r="G637" s="854"/>
      <c r="H637" s="1049"/>
      <c r="I637" s="856"/>
      <c r="J637" s="857"/>
      <c r="K637" s="858"/>
      <c r="L637" s="472"/>
      <c r="M637" s="816">
        <f t="shared" si="34"/>
        <v>0</v>
      </c>
      <c r="N637" s="833">
        <f t="shared" si="35"/>
        <v>0</v>
      </c>
      <c r="O637" s="265">
        <f t="shared" si="36"/>
        <v>0</v>
      </c>
      <c r="P637" s="827">
        <f t="shared" si="37"/>
        <v>0</v>
      </c>
    </row>
    <row r="638" spans="1:16" ht="30" hidden="1" customHeight="1" outlineLevel="1">
      <c r="A638" s="118"/>
      <c r="B638" s="118"/>
      <c r="C638" s="828">
        <v>614</v>
      </c>
      <c r="D638" s="829"/>
      <c r="E638" s="830"/>
      <c r="F638" s="830"/>
      <c r="G638" s="854"/>
      <c r="H638" s="1049"/>
      <c r="I638" s="856"/>
      <c r="J638" s="857"/>
      <c r="K638" s="858"/>
      <c r="L638" s="472"/>
      <c r="M638" s="816">
        <f t="shared" si="34"/>
        <v>0</v>
      </c>
      <c r="N638" s="833">
        <f t="shared" si="35"/>
        <v>0</v>
      </c>
      <c r="O638" s="265">
        <f t="shared" si="36"/>
        <v>0</v>
      </c>
      <c r="P638" s="827">
        <f t="shared" si="37"/>
        <v>0</v>
      </c>
    </row>
    <row r="639" spans="1:16" ht="30" hidden="1" customHeight="1" outlineLevel="1">
      <c r="A639" s="118"/>
      <c r="B639" s="118"/>
      <c r="C639" s="828">
        <v>615</v>
      </c>
      <c r="D639" s="829"/>
      <c r="E639" s="830"/>
      <c r="F639" s="830"/>
      <c r="G639" s="854"/>
      <c r="H639" s="1049"/>
      <c r="I639" s="856"/>
      <c r="J639" s="857"/>
      <c r="K639" s="858"/>
      <c r="L639" s="472"/>
      <c r="M639" s="816">
        <f t="shared" si="34"/>
        <v>0</v>
      </c>
      <c r="N639" s="833">
        <f t="shared" si="35"/>
        <v>0</v>
      </c>
      <c r="O639" s="265">
        <f t="shared" si="36"/>
        <v>0</v>
      </c>
      <c r="P639" s="827">
        <f t="shared" si="37"/>
        <v>0</v>
      </c>
    </row>
    <row r="640" spans="1:16" ht="30" hidden="1" customHeight="1" outlineLevel="1">
      <c r="A640" s="118"/>
      <c r="B640" s="118"/>
      <c r="C640" s="828">
        <v>616</v>
      </c>
      <c r="D640" s="829"/>
      <c r="E640" s="830"/>
      <c r="F640" s="830"/>
      <c r="G640" s="854"/>
      <c r="H640" s="1049"/>
      <c r="I640" s="856"/>
      <c r="J640" s="857"/>
      <c r="K640" s="858"/>
      <c r="L640" s="472"/>
      <c r="M640" s="816">
        <f t="shared" si="34"/>
        <v>0</v>
      </c>
      <c r="N640" s="833">
        <f t="shared" si="35"/>
        <v>0</v>
      </c>
      <c r="O640" s="265">
        <f t="shared" si="36"/>
        <v>0</v>
      </c>
      <c r="P640" s="827">
        <f t="shared" si="37"/>
        <v>0</v>
      </c>
    </row>
    <row r="641" spans="1:16" ht="30" hidden="1" customHeight="1" outlineLevel="1">
      <c r="A641" s="118"/>
      <c r="B641" s="118"/>
      <c r="C641" s="828">
        <v>617</v>
      </c>
      <c r="D641" s="829"/>
      <c r="E641" s="830"/>
      <c r="F641" s="830"/>
      <c r="G641" s="854"/>
      <c r="H641" s="1049"/>
      <c r="I641" s="856"/>
      <c r="J641" s="857"/>
      <c r="K641" s="858"/>
      <c r="L641" s="472"/>
      <c r="M641" s="816">
        <f t="shared" si="34"/>
        <v>0</v>
      </c>
      <c r="N641" s="833">
        <f t="shared" si="35"/>
        <v>0</v>
      </c>
      <c r="O641" s="265">
        <f t="shared" si="36"/>
        <v>0</v>
      </c>
      <c r="P641" s="827">
        <f t="shared" si="37"/>
        <v>0</v>
      </c>
    </row>
    <row r="642" spans="1:16" ht="30" hidden="1" customHeight="1" outlineLevel="1">
      <c r="A642" s="118"/>
      <c r="B642" s="118"/>
      <c r="C642" s="828">
        <v>618</v>
      </c>
      <c r="D642" s="829"/>
      <c r="E642" s="830"/>
      <c r="F642" s="830"/>
      <c r="G642" s="854"/>
      <c r="H642" s="1049"/>
      <c r="I642" s="856"/>
      <c r="J642" s="857"/>
      <c r="K642" s="858"/>
      <c r="L642" s="472"/>
      <c r="M642" s="816">
        <f t="shared" si="34"/>
        <v>0</v>
      </c>
      <c r="N642" s="833">
        <f t="shared" si="35"/>
        <v>0</v>
      </c>
      <c r="O642" s="265">
        <f t="shared" si="36"/>
        <v>0</v>
      </c>
      <c r="P642" s="827">
        <f t="shared" si="37"/>
        <v>0</v>
      </c>
    </row>
    <row r="643" spans="1:16" ht="30" hidden="1" customHeight="1" outlineLevel="1">
      <c r="A643" s="118"/>
      <c r="B643" s="118"/>
      <c r="C643" s="828">
        <v>619</v>
      </c>
      <c r="D643" s="829"/>
      <c r="E643" s="830"/>
      <c r="F643" s="830"/>
      <c r="G643" s="854"/>
      <c r="H643" s="1049"/>
      <c r="I643" s="856"/>
      <c r="J643" s="857"/>
      <c r="K643" s="858"/>
      <c r="L643" s="472"/>
      <c r="M643" s="816">
        <f t="shared" si="34"/>
        <v>0</v>
      </c>
      <c r="N643" s="833">
        <f t="shared" si="35"/>
        <v>0</v>
      </c>
      <c r="O643" s="265">
        <f t="shared" si="36"/>
        <v>0</v>
      </c>
      <c r="P643" s="827">
        <f t="shared" si="37"/>
        <v>0</v>
      </c>
    </row>
    <row r="644" spans="1:16" ht="30" hidden="1" customHeight="1" outlineLevel="1">
      <c r="A644" s="118"/>
      <c r="B644" s="118"/>
      <c r="C644" s="828">
        <v>620</v>
      </c>
      <c r="D644" s="829"/>
      <c r="E644" s="830"/>
      <c r="F644" s="830"/>
      <c r="G644" s="854"/>
      <c r="H644" s="1049"/>
      <c r="I644" s="856"/>
      <c r="J644" s="857"/>
      <c r="K644" s="858"/>
      <c r="L644" s="472"/>
      <c r="M644" s="816">
        <f t="shared" si="34"/>
        <v>0</v>
      </c>
      <c r="N644" s="833">
        <f t="shared" si="35"/>
        <v>0</v>
      </c>
      <c r="O644" s="265">
        <f t="shared" si="36"/>
        <v>0</v>
      </c>
      <c r="P644" s="827">
        <f t="shared" si="37"/>
        <v>0</v>
      </c>
    </row>
    <row r="645" spans="1:16" ht="30" hidden="1" customHeight="1" outlineLevel="1">
      <c r="A645" s="118"/>
      <c r="B645" s="118"/>
      <c r="C645" s="828">
        <v>621</v>
      </c>
      <c r="D645" s="829"/>
      <c r="E645" s="830"/>
      <c r="F645" s="830"/>
      <c r="G645" s="854"/>
      <c r="H645" s="1049"/>
      <c r="I645" s="856"/>
      <c r="J645" s="857"/>
      <c r="K645" s="858"/>
      <c r="L645" s="472"/>
      <c r="M645" s="816">
        <f t="shared" si="34"/>
        <v>0</v>
      </c>
      <c r="N645" s="833">
        <f t="shared" si="35"/>
        <v>0</v>
      </c>
      <c r="O645" s="265">
        <f t="shared" si="36"/>
        <v>0</v>
      </c>
      <c r="P645" s="827">
        <f t="shared" si="37"/>
        <v>0</v>
      </c>
    </row>
    <row r="646" spans="1:16" ht="30" hidden="1" customHeight="1" outlineLevel="1">
      <c r="A646" s="118"/>
      <c r="B646" s="118"/>
      <c r="C646" s="828">
        <v>622</v>
      </c>
      <c r="D646" s="829"/>
      <c r="E646" s="830"/>
      <c r="F646" s="830"/>
      <c r="G646" s="854"/>
      <c r="H646" s="1049"/>
      <c r="I646" s="856"/>
      <c r="J646" s="857"/>
      <c r="K646" s="858"/>
      <c r="L646" s="472"/>
      <c r="M646" s="816">
        <f t="shared" si="34"/>
        <v>0</v>
      </c>
      <c r="N646" s="833">
        <f t="shared" si="35"/>
        <v>0</v>
      </c>
      <c r="O646" s="265">
        <f t="shared" si="36"/>
        <v>0</v>
      </c>
      <c r="P646" s="827">
        <f t="shared" si="37"/>
        <v>0</v>
      </c>
    </row>
    <row r="647" spans="1:16" ht="30" hidden="1" customHeight="1" outlineLevel="1">
      <c r="A647" s="118"/>
      <c r="B647" s="118"/>
      <c r="C647" s="828">
        <v>623</v>
      </c>
      <c r="D647" s="829"/>
      <c r="E647" s="830"/>
      <c r="F647" s="830"/>
      <c r="G647" s="854"/>
      <c r="H647" s="1049"/>
      <c r="I647" s="856"/>
      <c r="J647" s="857"/>
      <c r="K647" s="858"/>
      <c r="L647" s="472"/>
      <c r="M647" s="816">
        <f t="shared" si="34"/>
        <v>0</v>
      </c>
      <c r="N647" s="833">
        <f t="shared" si="35"/>
        <v>0</v>
      </c>
      <c r="O647" s="265">
        <f t="shared" si="36"/>
        <v>0</v>
      </c>
      <c r="P647" s="827">
        <f t="shared" si="37"/>
        <v>0</v>
      </c>
    </row>
    <row r="648" spans="1:16" ht="30" hidden="1" customHeight="1" outlineLevel="1">
      <c r="A648" s="118"/>
      <c r="B648" s="118"/>
      <c r="C648" s="828">
        <v>624</v>
      </c>
      <c r="D648" s="829"/>
      <c r="E648" s="830"/>
      <c r="F648" s="830"/>
      <c r="G648" s="854"/>
      <c r="H648" s="1049"/>
      <c r="I648" s="856"/>
      <c r="J648" s="857"/>
      <c r="K648" s="858"/>
      <c r="L648" s="472"/>
      <c r="M648" s="816">
        <f t="shared" si="34"/>
        <v>0</v>
      </c>
      <c r="N648" s="833">
        <f t="shared" si="35"/>
        <v>0</v>
      </c>
      <c r="O648" s="265">
        <f t="shared" si="36"/>
        <v>0</v>
      </c>
      <c r="P648" s="827">
        <f t="shared" si="37"/>
        <v>0</v>
      </c>
    </row>
    <row r="649" spans="1:16" ht="30" hidden="1" customHeight="1" outlineLevel="1">
      <c r="A649" s="118"/>
      <c r="B649" s="118"/>
      <c r="C649" s="828">
        <v>625</v>
      </c>
      <c r="D649" s="829"/>
      <c r="E649" s="830"/>
      <c r="F649" s="830"/>
      <c r="G649" s="854"/>
      <c r="H649" s="1049"/>
      <c r="I649" s="856"/>
      <c r="J649" s="857"/>
      <c r="K649" s="858"/>
      <c r="L649" s="472"/>
      <c r="M649" s="816">
        <f t="shared" si="34"/>
        <v>0</v>
      </c>
      <c r="N649" s="833">
        <f t="shared" si="35"/>
        <v>0</v>
      </c>
      <c r="O649" s="265">
        <f t="shared" si="36"/>
        <v>0</v>
      </c>
      <c r="P649" s="827">
        <f t="shared" si="37"/>
        <v>0</v>
      </c>
    </row>
    <row r="650" spans="1:16" ht="30" hidden="1" customHeight="1" outlineLevel="1">
      <c r="A650" s="118"/>
      <c r="B650" s="118"/>
      <c r="C650" s="828">
        <v>626</v>
      </c>
      <c r="D650" s="829"/>
      <c r="E650" s="830"/>
      <c r="F650" s="830"/>
      <c r="G650" s="854"/>
      <c r="H650" s="1049"/>
      <c r="I650" s="856"/>
      <c r="J650" s="857"/>
      <c r="K650" s="858"/>
      <c r="L650" s="472"/>
      <c r="M650" s="816">
        <f t="shared" si="34"/>
        <v>0</v>
      </c>
      <c r="N650" s="833">
        <f t="shared" si="35"/>
        <v>0</v>
      </c>
      <c r="O650" s="265">
        <f t="shared" si="36"/>
        <v>0</v>
      </c>
      <c r="P650" s="827">
        <f t="shared" si="37"/>
        <v>0</v>
      </c>
    </row>
    <row r="651" spans="1:16" ht="30" hidden="1" customHeight="1" outlineLevel="1">
      <c r="A651" s="118"/>
      <c r="B651" s="118"/>
      <c r="C651" s="828">
        <v>627</v>
      </c>
      <c r="D651" s="829"/>
      <c r="E651" s="830"/>
      <c r="F651" s="830"/>
      <c r="G651" s="854"/>
      <c r="H651" s="1049"/>
      <c r="I651" s="856"/>
      <c r="J651" s="857"/>
      <c r="K651" s="858"/>
      <c r="L651" s="472"/>
      <c r="M651" s="816">
        <f t="shared" si="34"/>
        <v>0</v>
      </c>
      <c r="N651" s="833">
        <f t="shared" si="35"/>
        <v>0</v>
      </c>
      <c r="O651" s="265">
        <f t="shared" si="36"/>
        <v>0</v>
      </c>
      <c r="P651" s="827">
        <f t="shared" si="37"/>
        <v>0</v>
      </c>
    </row>
    <row r="652" spans="1:16" ht="30" hidden="1" customHeight="1" outlineLevel="1">
      <c r="A652" s="118"/>
      <c r="B652" s="118"/>
      <c r="C652" s="828">
        <v>628</v>
      </c>
      <c r="D652" s="829"/>
      <c r="E652" s="830"/>
      <c r="F652" s="830"/>
      <c r="G652" s="854"/>
      <c r="H652" s="1049"/>
      <c r="I652" s="856"/>
      <c r="J652" s="857"/>
      <c r="K652" s="858"/>
      <c r="L652" s="472"/>
      <c r="M652" s="816">
        <f t="shared" si="34"/>
        <v>0</v>
      </c>
      <c r="N652" s="833">
        <f t="shared" si="35"/>
        <v>0</v>
      </c>
      <c r="O652" s="265">
        <f t="shared" si="36"/>
        <v>0</v>
      </c>
      <c r="P652" s="827">
        <f t="shared" si="37"/>
        <v>0</v>
      </c>
    </row>
    <row r="653" spans="1:16" ht="30" hidden="1" customHeight="1" outlineLevel="1">
      <c r="A653" s="118"/>
      <c r="B653" s="118"/>
      <c r="C653" s="828">
        <v>629</v>
      </c>
      <c r="D653" s="829"/>
      <c r="E653" s="830"/>
      <c r="F653" s="830"/>
      <c r="G653" s="854"/>
      <c r="H653" s="1049"/>
      <c r="I653" s="856"/>
      <c r="J653" s="857"/>
      <c r="K653" s="858"/>
      <c r="L653" s="472"/>
      <c r="M653" s="816">
        <f t="shared" si="34"/>
        <v>0</v>
      </c>
      <c r="N653" s="833">
        <f t="shared" si="35"/>
        <v>0</v>
      </c>
      <c r="O653" s="265">
        <f t="shared" si="36"/>
        <v>0</v>
      </c>
      <c r="P653" s="827">
        <f t="shared" si="37"/>
        <v>0</v>
      </c>
    </row>
    <row r="654" spans="1:16" ht="30" hidden="1" customHeight="1" outlineLevel="1">
      <c r="A654" s="118"/>
      <c r="B654" s="118"/>
      <c r="C654" s="828">
        <v>630</v>
      </c>
      <c r="D654" s="829"/>
      <c r="E654" s="830"/>
      <c r="F654" s="830"/>
      <c r="G654" s="854"/>
      <c r="H654" s="1049"/>
      <c r="I654" s="856"/>
      <c r="J654" s="857"/>
      <c r="K654" s="858"/>
      <c r="L654" s="472"/>
      <c r="M654" s="816">
        <f t="shared" si="34"/>
        <v>0</v>
      </c>
      <c r="N654" s="833">
        <f t="shared" si="35"/>
        <v>0</v>
      </c>
      <c r="O654" s="265">
        <f t="shared" si="36"/>
        <v>0</v>
      </c>
      <c r="P654" s="827">
        <f t="shared" si="37"/>
        <v>0</v>
      </c>
    </row>
    <row r="655" spans="1:16" ht="30" hidden="1" customHeight="1" outlineLevel="1">
      <c r="A655" s="118"/>
      <c r="B655" s="118"/>
      <c r="C655" s="828">
        <v>631</v>
      </c>
      <c r="D655" s="829"/>
      <c r="E655" s="830"/>
      <c r="F655" s="830"/>
      <c r="G655" s="854"/>
      <c r="H655" s="1049"/>
      <c r="I655" s="856"/>
      <c r="J655" s="857"/>
      <c r="K655" s="858"/>
      <c r="L655" s="472"/>
      <c r="M655" s="816">
        <f t="shared" si="34"/>
        <v>0</v>
      </c>
      <c r="N655" s="833">
        <f t="shared" si="35"/>
        <v>0</v>
      </c>
      <c r="O655" s="265">
        <f t="shared" si="36"/>
        <v>0</v>
      </c>
      <c r="P655" s="827">
        <f t="shared" si="37"/>
        <v>0</v>
      </c>
    </row>
    <row r="656" spans="1:16" ht="30" hidden="1" customHeight="1" outlineLevel="1">
      <c r="A656" s="118"/>
      <c r="B656" s="118"/>
      <c r="C656" s="828">
        <v>632</v>
      </c>
      <c r="D656" s="829"/>
      <c r="E656" s="830"/>
      <c r="F656" s="830"/>
      <c r="G656" s="854"/>
      <c r="H656" s="1049"/>
      <c r="I656" s="856"/>
      <c r="J656" s="857"/>
      <c r="K656" s="858"/>
      <c r="L656" s="472"/>
      <c r="M656" s="816">
        <f t="shared" si="34"/>
        <v>0</v>
      </c>
      <c r="N656" s="833">
        <f t="shared" si="35"/>
        <v>0</v>
      </c>
      <c r="O656" s="265">
        <f t="shared" si="36"/>
        <v>0</v>
      </c>
      <c r="P656" s="827">
        <f t="shared" si="37"/>
        <v>0</v>
      </c>
    </row>
    <row r="657" spans="1:16" ht="30" hidden="1" customHeight="1" outlineLevel="1">
      <c r="A657" s="118"/>
      <c r="B657" s="118"/>
      <c r="C657" s="828">
        <v>633</v>
      </c>
      <c r="D657" s="829"/>
      <c r="E657" s="830"/>
      <c r="F657" s="830"/>
      <c r="G657" s="854"/>
      <c r="H657" s="1049"/>
      <c r="I657" s="856"/>
      <c r="J657" s="857"/>
      <c r="K657" s="858"/>
      <c r="L657" s="472"/>
      <c r="M657" s="816">
        <f t="shared" si="34"/>
        <v>0</v>
      </c>
      <c r="N657" s="833">
        <f t="shared" si="35"/>
        <v>0</v>
      </c>
      <c r="O657" s="265">
        <f t="shared" si="36"/>
        <v>0</v>
      </c>
      <c r="P657" s="827">
        <f t="shared" si="37"/>
        <v>0</v>
      </c>
    </row>
    <row r="658" spans="1:16" ht="30" hidden="1" customHeight="1" outlineLevel="1">
      <c r="A658" s="118"/>
      <c r="B658" s="118"/>
      <c r="C658" s="828">
        <v>634</v>
      </c>
      <c r="D658" s="829"/>
      <c r="E658" s="830"/>
      <c r="F658" s="830"/>
      <c r="G658" s="854"/>
      <c r="H658" s="1049"/>
      <c r="I658" s="856"/>
      <c r="J658" s="857"/>
      <c r="K658" s="858"/>
      <c r="L658" s="472"/>
      <c r="M658" s="816">
        <f t="shared" si="34"/>
        <v>0</v>
      </c>
      <c r="N658" s="833">
        <f t="shared" si="35"/>
        <v>0</v>
      </c>
      <c r="O658" s="265">
        <f t="shared" si="36"/>
        <v>0</v>
      </c>
      <c r="P658" s="827">
        <f t="shared" si="37"/>
        <v>0</v>
      </c>
    </row>
    <row r="659" spans="1:16" ht="30" hidden="1" customHeight="1" outlineLevel="1">
      <c r="A659" s="118"/>
      <c r="B659" s="118"/>
      <c r="C659" s="828">
        <v>635</v>
      </c>
      <c r="D659" s="829"/>
      <c r="E659" s="830"/>
      <c r="F659" s="830"/>
      <c r="G659" s="854"/>
      <c r="H659" s="1049"/>
      <c r="I659" s="856"/>
      <c r="J659" s="857"/>
      <c r="K659" s="858"/>
      <c r="L659" s="472"/>
      <c r="M659" s="816">
        <f t="shared" si="34"/>
        <v>0</v>
      </c>
      <c r="N659" s="833">
        <f t="shared" si="35"/>
        <v>0</v>
      </c>
      <c r="O659" s="265">
        <f t="shared" si="36"/>
        <v>0</v>
      </c>
      <c r="P659" s="827">
        <f t="shared" si="37"/>
        <v>0</v>
      </c>
    </row>
    <row r="660" spans="1:16" ht="30" hidden="1" customHeight="1" outlineLevel="1">
      <c r="A660" s="118"/>
      <c r="B660" s="118"/>
      <c r="C660" s="828">
        <v>636</v>
      </c>
      <c r="D660" s="829"/>
      <c r="E660" s="830"/>
      <c r="F660" s="830"/>
      <c r="G660" s="854"/>
      <c r="H660" s="1049"/>
      <c r="I660" s="856"/>
      <c r="J660" s="857"/>
      <c r="K660" s="858"/>
      <c r="L660" s="472"/>
      <c r="M660" s="816">
        <f t="shared" si="34"/>
        <v>0</v>
      </c>
      <c r="N660" s="833">
        <f t="shared" si="35"/>
        <v>0</v>
      </c>
      <c r="O660" s="265">
        <f t="shared" si="36"/>
        <v>0</v>
      </c>
      <c r="P660" s="827">
        <f t="shared" si="37"/>
        <v>0</v>
      </c>
    </row>
    <row r="661" spans="1:16" ht="30" hidden="1" customHeight="1" outlineLevel="1">
      <c r="A661" s="118"/>
      <c r="B661" s="118"/>
      <c r="C661" s="828">
        <v>637</v>
      </c>
      <c r="D661" s="829"/>
      <c r="E661" s="830"/>
      <c r="F661" s="830"/>
      <c r="G661" s="854"/>
      <c r="H661" s="1049"/>
      <c r="I661" s="856"/>
      <c r="J661" s="857"/>
      <c r="K661" s="858"/>
      <c r="L661" s="472"/>
      <c r="M661" s="816">
        <f t="shared" si="34"/>
        <v>0</v>
      </c>
      <c r="N661" s="833">
        <f t="shared" si="35"/>
        <v>0</v>
      </c>
      <c r="O661" s="265">
        <f t="shared" si="36"/>
        <v>0</v>
      </c>
      <c r="P661" s="827">
        <f t="shared" si="37"/>
        <v>0</v>
      </c>
    </row>
    <row r="662" spans="1:16" ht="30" hidden="1" customHeight="1" outlineLevel="1">
      <c r="A662" s="118"/>
      <c r="B662" s="118"/>
      <c r="C662" s="828">
        <v>638</v>
      </c>
      <c r="D662" s="829"/>
      <c r="E662" s="830"/>
      <c r="F662" s="830"/>
      <c r="G662" s="854"/>
      <c r="H662" s="1049"/>
      <c r="I662" s="856"/>
      <c r="J662" s="857"/>
      <c r="K662" s="858"/>
      <c r="L662" s="472"/>
      <c r="M662" s="816">
        <f t="shared" si="34"/>
        <v>0</v>
      </c>
      <c r="N662" s="833">
        <f t="shared" si="35"/>
        <v>0</v>
      </c>
      <c r="O662" s="265">
        <f t="shared" si="36"/>
        <v>0</v>
      </c>
      <c r="P662" s="827">
        <f t="shared" si="37"/>
        <v>0</v>
      </c>
    </row>
    <row r="663" spans="1:16" ht="30" hidden="1" customHeight="1" outlineLevel="1">
      <c r="A663" s="118"/>
      <c r="B663" s="118"/>
      <c r="C663" s="828">
        <v>639</v>
      </c>
      <c r="D663" s="829"/>
      <c r="E663" s="830"/>
      <c r="F663" s="830"/>
      <c r="G663" s="854"/>
      <c r="H663" s="1049"/>
      <c r="I663" s="856"/>
      <c r="J663" s="857"/>
      <c r="K663" s="858"/>
      <c r="L663" s="472"/>
      <c r="M663" s="816">
        <f t="shared" si="34"/>
        <v>0</v>
      </c>
      <c r="N663" s="833">
        <f t="shared" si="35"/>
        <v>0</v>
      </c>
      <c r="O663" s="265">
        <f t="shared" si="36"/>
        <v>0</v>
      </c>
      <c r="P663" s="827">
        <f t="shared" si="37"/>
        <v>0</v>
      </c>
    </row>
    <row r="664" spans="1:16" ht="30" hidden="1" customHeight="1" outlineLevel="1">
      <c r="A664" s="118"/>
      <c r="B664" s="118"/>
      <c r="C664" s="828">
        <v>640</v>
      </c>
      <c r="D664" s="829"/>
      <c r="E664" s="830"/>
      <c r="F664" s="830"/>
      <c r="G664" s="854"/>
      <c r="H664" s="1049"/>
      <c r="I664" s="856"/>
      <c r="J664" s="857"/>
      <c r="K664" s="858"/>
      <c r="L664" s="472"/>
      <c r="M664" s="816">
        <f t="shared" si="34"/>
        <v>0</v>
      </c>
      <c r="N664" s="833">
        <f t="shared" si="35"/>
        <v>0</v>
      </c>
      <c r="O664" s="265">
        <f t="shared" si="36"/>
        <v>0</v>
      </c>
      <c r="P664" s="827">
        <f t="shared" si="37"/>
        <v>0</v>
      </c>
    </row>
    <row r="665" spans="1:16" ht="30" hidden="1" customHeight="1" outlineLevel="1">
      <c r="A665" s="118"/>
      <c r="B665" s="118"/>
      <c r="C665" s="828">
        <v>641</v>
      </c>
      <c r="D665" s="829"/>
      <c r="E665" s="830"/>
      <c r="F665" s="830"/>
      <c r="G665" s="854"/>
      <c r="H665" s="1049"/>
      <c r="I665" s="856"/>
      <c r="J665" s="857"/>
      <c r="K665" s="858"/>
      <c r="L665" s="472"/>
      <c r="M665" s="816">
        <f t="shared" si="34"/>
        <v>0</v>
      </c>
      <c r="N665" s="833">
        <f t="shared" si="35"/>
        <v>0</v>
      </c>
      <c r="O665" s="265">
        <f t="shared" si="36"/>
        <v>0</v>
      </c>
      <c r="P665" s="827">
        <f t="shared" si="37"/>
        <v>0</v>
      </c>
    </row>
    <row r="666" spans="1:16" ht="30" hidden="1" customHeight="1" outlineLevel="1">
      <c r="A666" s="118"/>
      <c r="B666" s="118"/>
      <c r="C666" s="828">
        <v>642</v>
      </c>
      <c r="D666" s="829"/>
      <c r="E666" s="830"/>
      <c r="F666" s="830"/>
      <c r="G666" s="854"/>
      <c r="H666" s="1049"/>
      <c r="I666" s="856"/>
      <c r="J666" s="857"/>
      <c r="K666" s="858"/>
      <c r="L666" s="472"/>
      <c r="M666" s="816">
        <f t="shared" si="34"/>
        <v>0</v>
      </c>
      <c r="N666" s="833">
        <f t="shared" si="35"/>
        <v>0</v>
      </c>
      <c r="O666" s="265">
        <f t="shared" si="36"/>
        <v>0</v>
      </c>
      <c r="P666" s="827">
        <f t="shared" si="37"/>
        <v>0</v>
      </c>
    </row>
    <row r="667" spans="1:16" ht="30" hidden="1" customHeight="1" outlineLevel="1">
      <c r="A667" s="118"/>
      <c r="B667" s="118"/>
      <c r="C667" s="828">
        <v>643</v>
      </c>
      <c r="D667" s="829"/>
      <c r="E667" s="830"/>
      <c r="F667" s="830"/>
      <c r="G667" s="854"/>
      <c r="H667" s="1049"/>
      <c r="I667" s="856"/>
      <c r="J667" s="857"/>
      <c r="K667" s="858"/>
      <c r="L667" s="472"/>
      <c r="M667" s="816">
        <f t="shared" si="34"/>
        <v>0</v>
      </c>
      <c r="N667" s="833">
        <f t="shared" si="35"/>
        <v>0</v>
      </c>
      <c r="O667" s="265">
        <f t="shared" si="36"/>
        <v>0</v>
      </c>
      <c r="P667" s="827">
        <f t="shared" si="37"/>
        <v>0</v>
      </c>
    </row>
    <row r="668" spans="1:16" ht="30" hidden="1" customHeight="1" outlineLevel="1">
      <c r="A668" s="118"/>
      <c r="B668" s="118"/>
      <c r="C668" s="828">
        <v>644</v>
      </c>
      <c r="D668" s="829"/>
      <c r="E668" s="830"/>
      <c r="F668" s="830"/>
      <c r="G668" s="854"/>
      <c r="H668" s="1049"/>
      <c r="I668" s="856"/>
      <c r="J668" s="857"/>
      <c r="K668" s="858"/>
      <c r="L668" s="472"/>
      <c r="M668" s="816">
        <f t="shared" si="34"/>
        <v>0</v>
      </c>
      <c r="N668" s="833">
        <f t="shared" si="35"/>
        <v>0</v>
      </c>
      <c r="O668" s="265">
        <f t="shared" si="36"/>
        <v>0</v>
      </c>
      <c r="P668" s="827">
        <f t="shared" si="37"/>
        <v>0</v>
      </c>
    </row>
    <row r="669" spans="1:16" ht="30" hidden="1" customHeight="1" outlineLevel="1">
      <c r="A669" s="118"/>
      <c r="B669" s="118"/>
      <c r="C669" s="828">
        <v>645</v>
      </c>
      <c r="D669" s="829"/>
      <c r="E669" s="830"/>
      <c r="F669" s="830"/>
      <c r="G669" s="854"/>
      <c r="H669" s="1049"/>
      <c r="I669" s="856"/>
      <c r="J669" s="857"/>
      <c r="K669" s="858"/>
      <c r="L669" s="472"/>
      <c r="M669" s="816">
        <f t="shared" si="34"/>
        <v>0</v>
      </c>
      <c r="N669" s="833">
        <f t="shared" si="35"/>
        <v>0</v>
      </c>
      <c r="O669" s="265">
        <f t="shared" si="36"/>
        <v>0</v>
      </c>
      <c r="P669" s="827">
        <f t="shared" si="37"/>
        <v>0</v>
      </c>
    </row>
    <row r="670" spans="1:16" ht="30" hidden="1" customHeight="1" outlineLevel="1">
      <c r="A670" s="118"/>
      <c r="B670" s="118"/>
      <c r="C670" s="828">
        <v>646</v>
      </c>
      <c r="D670" s="829"/>
      <c r="E670" s="830"/>
      <c r="F670" s="830"/>
      <c r="G670" s="854"/>
      <c r="H670" s="1049"/>
      <c r="I670" s="856"/>
      <c r="J670" s="857"/>
      <c r="K670" s="858"/>
      <c r="L670" s="472"/>
      <c r="M670" s="816">
        <f t="shared" si="34"/>
        <v>0</v>
      </c>
      <c r="N670" s="833">
        <f t="shared" si="35"/>
        <v>0</v>
      </c>
      <c r="O670" s="265">
        <f t="shared" si="36"/>
        <v>0</v>
      </c>
      <c r="P670" s="827">
        <f t="shared" si="37"/>
        <v>0</v>
      </c>
    </row>
    <row r="671" spans="1:16" ht="30" hidden="1" customHeight="1" outlineLevel="1">
      <c r="A671" s="118"/>
      <c r="B671" s="118"/>
      <c r="C671" s="828">
        <v>647</v>
      </c>
      <c r="D671" s="829"/>
      <c r="E671" s="830"/>
      <c r="F671" s="830"/>
      <c r="G671" s="854"/>
      <c r="H671" s="1049"/>
      <c r="I671" s="856"/>
      <c r="J671" s="857"/>
      <c r="K671" s="858"/>
      <c r="L671" s="472"/>
      <c r="M671" s="816">
        <f t="shared" si="34"/>
        <v>0</v>
      </c>
      <c r="N671" s="833">
        <f t="shared" si="35"/>
        <v>0</v>
      </c>
      <c r="O671" s="265">
        <f t="shared" si="36"/>
        <v>0</v>
      </c>
      <c r="P671" s="827">
        <f t="shared" si="37"/>
        <v>0</v>
      </c>
    </row>
    <row r="672" spans="1:16" ht="30" hidden="1" customHeight="1" outlineLevel="1">
      <c r="A672" s="118"/>
      <c r="B672" s="118"/>
      <c r="C672" s="828">
        <v>648</v>
      </c>
      <c r="D672" s="829"/>
      <c r="E672" s="830"/>
      <c r="F672" s="830"/>
      <c r="G672" s="854"/>
      <c r="H672" s="1049"/>
      <c r="I672" s="856"/>
      <c r="J672" s="857"/>
      <c r="K672" s="858"/>
      <c r="L672" s="472"/>
      <c r="M672" s="816">
        <f t="shared" si="34"/>
        <v>0</v>
      </c>
      <c r="N672" s="833">
        <f t="shared" si="35"/>
        <v>0</v>
      </c>
      <c r="O672" s="265">
        <f t="shared" si="36"/>
        <v>0</v>
      </c>
      <c r="P672" s="827">
        <f t="shared" si="37"/>
        <v>0</v>
      </c>
    </row>
    <row r="673" spans="1:16" ht="30" hidden="1" customHeight="1" outlineLevel="1">
      <c r="A673" s="118"/>
      <c r="B673" s="118"/>
      <c r="C673" s="828">
        <v>649</v>
      </c>
      <c r="D673" s="829"/>
      <c r="E673" s="830"/>
      <c r="F673" s="830"/>
      <c r="G673" s="854"/>
      <c r="H673" s="1049"/>
      <c r="I673" s="856"/>
      <c r="J673" s="857"/>
      <c r="K673" s="858"/>
      <c r="L673" s="472"/>
      <c r="M673" s="816">
        <f t="shared" si="34"/>
        <v>0</v>
      </c>
      <c r="N673" s="833">
        <f t="shared" si="35"/>
        <v>0</v>
      </c>
      <c r="O673" s="265">
        <f t="shared" si="36"/>
        <v>0</v>
      </c>
      <c r="P673" s="827">
        <f t="shared" si="37"/>
        <v>0</v>
      </c>
    </row>
    <row r="674" spans="1:16" ht="30" hidden="1" customHeight="1" outlineLevel="1">
      <c r="A674" s="118"/>
      <c r="B674" s="118"/>
      <c r="C674" s="828">
        <v>650</v>
      </c>
      <c r="D674" s="829"/>
      <c r="E674" s="830"/>
      <c r="F674" s="830"/>
      <c r="G674" s="854"/>
      <c r="H674" s="1049"/>
      <c r="I674" s="856"/>
      <c r="J674" s="857"/>
      <c r="K674" s="858"/>
      <c r="L674" s="472"/>
      <c r="M674" s="816">
        <f t="shared" si="34"/>
        <v>0</v>
      </c>
      <c r="N674" s="833">
        <f t="shared" si="35"/>
        <v>0</v>
      </c>
      <c r="O674" s="265">
        <f t="shared" si="36"/>
        <v>0</v>
      </c>
      <c r="P674" s="827">
        <f t="shared" si="37"/>
        <v>0</v>
      </c>
    </row>
    <row r="675" spans="1:16" ht="30" hidden="1" customHeight="1" outlineLevel="1">
      <c r="A675" s="118"/>
      <c r="B675" s="118"/>
      <c r="C675" s="828">
        <v>651</v>
      </c>
      <c r="D675" s="829"/>
      <c r="E675" s="830"/>
      <c r="F675" s="830"/>
      <c r="G675" s="854"/>
      <c r="H675" s="1049"/>
      <c r="I675" s="856"/>
      <c r="J675" s="857"/>
      <c r="K675" s="858"/>
      <c r="L675" s="472"/>
      <c r="M675" s="816">
        <f t="shared" si="34"/>
        <v>0</v>
      </c>
      <c r="N675" s="833">
        <f t="shared" si="35"/>
        <v>0</v>
      </c>
      <c r="O675" s="265">
        <f t="shared" si="36"/>
        <v>0</v>
      </c>
      <c r="P675" s="827">
        <f t="shared" si="37"/>
        <v>0</v>
      </c>
    </row>
    <row r="676" spans="1:16" ht="30" hidden="1" customHeight="1" outlineLevel="1">
      <c r="A676" s="118"/>
      <c r="B676" s="118"/>
      <c r="C676" s="828">
        <v>652</v>
      </c>
      <c r="D676" s="829"/>
      <c r="E676" s="830"/>
      <c r="F676" s="830"/>
      <c r="G676" s="854"/>
      <c r="H676" s="1049"/>
      <c r="I676" s="856"/>
      <c r="J676" s="857"/>
      <c r="K676" s="858"/>
      <c r="L676" s="472"/>
      <c r="M676" s="816">
        <f t="shared" si="34"/>
        <v>0</v>
      </c>
      <c r="N676" s="833">
        <f t="shared" si="35"/>
        <v>0</v>
      </c>
      <c r="O676" s="265">
        <f t="shared" si="36"/>
        <v>0</v>
      </c>
      <c r="P676" s="827">
        <f t="shared" si="37"/>
        <v>0</v>
      </c>
    </row>
    <row r="677" spans="1:16" ht="30" hidden="1" customHeight="1" outlineLevel="1">
      <c r="A677" s="118"/>
      <c r="B677" s="118"/>
      <c r="C677" s="828">
        <v>653</v>
      </c>
      <c r="D677" s="829"/>
      <c r="E677" s="830"/>
      <c r="F677" s="830"/>
      <c r="G677" s="854"/>
      <c r="H677" s="1049"/>
      <c r="I677" s="856"/>
      <c r="J677" s="857"/>
      <c r="K677" s="858"/>
      <c r="L677" s="472"/>
      <c r="M677" s="816">
        <f t="shared" si="34"/>
        <v>0</v>
      </c>
      <c r="N677" s="833">
        <f t="shared" si="35"/>
        <v>0</v>
      </c>
      <c r="O677" s="265">
        <f t="shared" si="36"/>
        <v>0</v>
      </c>
      <c r="P677" s="827">
        <f t="shared" si="37"/>
        <v>0</v>
      </c>
    </row>
    <row r="678" spans="1:16" ht="30" hidden="1" customHeight="1" outlineLevel="1">
      <c r="A678" s="118"/>
      <c r="B678" s="118"/>
      <c r="C678" s="828">
        <v>654</v>
      </c>
      <c r="D678" s="829"/>
      <c r="E678" s="830"/>
      <c r="F678" s="830"/>
      <c r="G678" s="854"/>
      <c r="H678" s="1049"/>
      <c r="I678" s="856"/>
      <c r="J678" s="857"/>
      <c r="K678" s="858"/>
      <c r="L678" s="472"/>
      <c r="M678" s="816">
        <f t="shared" si="34"/>
        <v>0</v>
      </c>
      <c r="N678" s="833">
        <f t="shared" si="35"/>
        <v>0</v>
      </c>
      <c r="O678" s="265">
        <f t="shared" si="36"/>
        <v>0</v>
      </c>
      <c r="P678" s="827">
        <f t="shared" si="37"/>
        <v>0</v>
      </c>
    </row>
    <row r="679" spans="1:16" ht="30" hidden="1" customHeight="1" outlineLevel="1">
      <c r="A679" s="118"/>
      <c r="B679" s="118"/>
      <c r="C679" s="828">
        <v>655</v>
      </c>
      <c r="D679" s="829"/>
      <c r="E679" s="830"/>
      <c r="F679" s="830"/>
      <c r="G679" s="854"/>
      <c r="H679" s="1049"/>
      <c r="I679" s="856"/>
      <c r="J679" s="857"/>
      <c r="K679" s="858"/>
      <c r="L679" s="472"/>
      <c r="M679" s="816">
        <f t="shared" si="34"/>
        <v>0</v>
      </c>
      <c r="N679" s="833">
        <f t="shared" si="35"/>
        <v>0</v>
      </c>
      <c r="O679" s="265">
        <f t="shared" si="36"/>
        <v>0</v>
      </c>
      <c r="P679" s="827">
        <f t="shared" si="37"/>
        <v>0</v>
      </c>
    </row>
    <row r="680" spans="1:16" ht="30" hidden="1" customHeight="1" outlineLevel="1">
      <c r="A680" s="118"/>
      <c r="B680" s="118"/>
      <c r="C680" s="828">
        <v>656</v>
      </c>
      <c r="D680" s="829"/>
      <c r="E680" s="830"/>
      <c r="F680" s="830"/>
      <c r="G680" s="854"/>
      <c r="H680" s="1049"/>
      <c r="I680" s="856"/>
      <c r="J680" s="857"/>
      <c r="K680" s="858"/>
      <c r="L680" s="472"/>
      <c r="M680" s="816">
        <f t="shared" si="34"/>
        <v>0</v>
      </c>
      <c r="N680" s="833">
        <f t="shared" si="35"/>
        <v>0</v>
      </c>
      <c r="O680" s="265">
        <f t="shared" si="36"/>
        <v>0</v>
      </c>
      <c r="P680" s="827">
        <f t="shared" si="37"/>
        <v>0</v>
      </c>
    </row>
    <row r="681" spans="1:16" ht="30" hidden="1" customHeight="1" outlineLevel="1">
      <c r="A681" s="118"/>
      <c r="B681" s="118"/>
      <c r="C681" s="828">
        <v>657</v>
      </c>
      <c r="D681" s="829"/>
      <c r="E681" s="830"/>
      <c r="F681" s="830"/>
      <c r="G681" s="854"/>
      <c r="H681" s="1049"/>
      <c r="I681" s="856"/>
      <c r="J681" s="857"/>
      <c r="K681" s="858"/>
      <c r="L681" s="472"/>
      <c r="M681" s="816">
        <f t="shared" si="34"/>
        <v>0</v>
      </c>
      <c r="N681" s="833">
        <f t="shared" si="35"/>
        <v>0</v>
      </c>
      <c r="O681" s="265">
        <f t="shared" si="36"/>
        <v>0</v>
      </c>
      <c r="P681" s="827">
        <f t="shared" si="37"/>
        <v>0</v>
      </c>
    </row>
    <row r="682" spans="1:16" ht="30" hidden="1" customHeight="1" outlineLevel="1">
      <c r="A682" s="118"/>
      <c r="B682" s="118"/>
      <c r="C682" s="828">
        <v>658</v>
      </c>
      <c r="D682" s="829"/>
      <c r="E682" s="830"/>
      <c r="F682" s="830"/>
      <c r="G682" s="854"/>
      <c r="H682" s="1049"/>
      <c r="I682" s="856"/>
      <c r="J682" s="857"/>
      <c r="K682" s="858"/>
      <c r="L682" s="472"/>
      <c r="M682" s="816">
        <f t="shared" si="34"/>
        <v>0</v>
      </c>
      <c r="N682" s="833">
        <f t="shared" si="35"/>
        <v>0</v>
      </c>
      <c r="O682" s="265">
        <f t="shared" si="36"/>
        <v>0</v>
      </c>
      <c r="P682" s="827">
        <f t="shared" si="37"/>
        <v>0</v>
      </c>
    </row>
    <row r="683" spans="1:16" ht="30" hidden="1" customHeight="1" outlineLevel="1">
      <c r="A683" s="118"/>
      <c r="B683" s="118"/>
      <c r="C683" s="828">
        <v>659</v>
      </c>
      <c r="D683" s="829"/>
      <c r="E683" s="830"/>
      <c r="F683" s="830"/>
      <c r="G683" s="854"/>
      <c r="H683" s="1049"/>
      <c r="I683" s="856"/>
      <c r="J683" s="857"/>
      <c r="K683" s="858"/>
      <c r="L683" s="472"/>
      <c r="M683" s="816">
        <f t="shared" si="34"/>
        <v>0</v>
      </c>
      <c r="N683" s="833">
        <f t="shared" si="35"/>
        <v>0</v>
      </c>
      <c r="O683" s="265">
        <f t="shared" si="36"/>
        <v>0</v>
      </c>
      <c r="P683" s="827">
        <f t="shared" si="37"/>
        <v>0</v>
      </c>
    </row>
    <row r="684" spans="1:16" ht="30" hidden="1" customHeight="1" outlineLevel="1">
      <c r="A684" s="118"/>
      <c r="B684" s="118"/>
      <c r="C684" s="828">
        <v>660</v>
      </c>
      <c r="D684" s="829"/>
      <c r="E684" s="830"/>
      <c r="F684" s="830"/>
      <c r="G684" s="854"/>
      <c r="H684" s="1049"/>
      <c r="I684" s="856"/>
      <c r="J684" s="857"/>
      <c r="K684" s="858"/>
      <c r="L684" s="472"/>
      <c r="M684" s="816">
        <f t="shared" si="34"/>
        <v>0</v>
      </c>
      <c r="N684" s="833">
        <f t="shared" si="35"/>
        <v>0</v>
      </c>
      <c r="O684" s="265">
        <f t="shared" si="36"/>
        <v>0</v>
      </c>
      <c r="P684" s="827">
        <f t="shared" si="37"/>
        <v>0</v>
      </c>
    </row>
    <row r="685" spans="1:16" ht="30" hidden="1" customHeight="1" outlineLevel="1">
      <c r="A685" s="118"/>
      <c r="B685" s="118"/>
      <c r="C685" s="828">
        <v>661</v>
      </c>
      <c r="D685" s="829"/>
      <c r="E685" s="830"/>
      <c r="F685" s="830"/>
      <c r="G685" s="854"/>
      <c r="H685" s="1049"/>
      <c r="I685" s="856"/>
      <c r="J685" s="857"/>
      <c r="K685" s="858"/>
      <c r="L685" s="472"/>
      <c r="M685" s="816">
        <f t="shared" si="34"/>
        <v>0</v>
      </c>
      <c r="N685" s="833">
        <f t="shared" si="35"/>
        <v>0</v>
      </c>
      <c r="O685" s="265">
        <f t="shared" si="36"/>
        <v>0</v>
      </c>
      <c r="P685" s="827">
        <f t="shared" si="37"/>
        <v>0</v>
      </c>
    </row>
    <row r="686" spans="1:16" ht="30" hidden="1" customHeight="1" outlineLevel="1">
      <c r="A686" s="118"/>
      <c r="B686" s="118"/>
      <c r="C686" s="828">
        <v>662</v>
      </c>
      <c r="D686" s="829"/>
      <c r="E686" s="830"/>
      <c r="F686" s="830"/>
      <c r="G686" s="854"/>
      <c r="H686" s="1049"/>
      <c r="I686" s="856"/>
      <c r="J686" s="857"/>
      <c r="K686" s="858"/>
      <c r="L686" s="472"/>
      <c r="M686" s="816">
        <f t="shared" ref="M686:M749" si="38">IF($H686&gt;0,E686,)</f>
        <v>0</v>
      </c>
      <c r="N686" s="833">
        <f t="shared" ref="N686:N749" si="39">IF($H686&gt;0,F686,)</f>
        <v>0</v>
      </c>
      <c r="O686" s="265">
        <f t="shared" ref="O686:O749" si="40">IF(H686&gt;0,ROUND(G686,),)</f>
        <v>0</v>
      </c>
      <c r="P686" s="827">
        <f t="shared" ref="P686:P749" si="41">ROUND(O686*H686%,)</f>
        <v>0</v>
      </c>
    </row>
    <row r="687" spans="1:16" ht="30" hidden="1" customHeight="1" outlineLevel="1">
      <c r="A687" s="118"/>
      <c r="B687" s="118"/>
      <c r="C687" s="828">
        <v>663</v>
      </c>
      <c r="D687" s="829"/>
      <c r="E687" s="830"/>
      <c r="F687" s="830"/>
      <c r="G687" s="854"/>
      <c r="H687" s="1049"/>
      <c r="I687" s="856"/>
      <c r="J687" s="857"/>
      <c r="K687" s="858"/>
      <c r="L687" s="472"/>
      <c r="M687" s="816">
        <f t="shared" si="38"/>
        <v>0</v>
      </c>
      <c r="N687" s="833">
        <f t="shared" si="39"/>
        <v>0</v>
      </c>
      <c r="O687" s="265">
        <f t="shared" si="40"/>
        <v>0</v>
      </c>
      <c r="P687" s="827">
        <f t="shared" si="41"/>
        <v>0</v>
      </c>
    </row>
    <row r="688" spans="1:16" ht="30" hidden="1" customHeight="1" outlineLevel="1">
      <c r="A688" s="118"/>
      <c r="B688" s="118"/>
      <c r="C688" s="828">
        <v>664</v>
      </c>
      <c r="D688" s="829"/>
      <c r="E688" s="830"/>
      <c r="F688" s="830"/>
      <c r="G688" s="854"/>
      <c r="H688" s="1049"/>
      <c r="I688" s="856"/>
      <c r="J688" s="857"/>
      <c r="K688" s="858"/>
      <c r="L688" s="472"/>
      <c r="M688" s="816">
        <f t="shared" si="38"/>
        <v>0</v>
      </c>
      <c r="N688" s="833">
        <f t="shared" si="39"/>
        <v>0</v>
      </c>
      <c r="O688" s="265">
        <f t="shared" si="40"/>
        <v>0</v>
      </c>
      <c r="P688" s="827">
        <f t="shared" si="41"/>
        <v>0</v>
      </c>
    </row>
    <row r="689" spans="1:16" ht="30" hidden="1" customHeight="1" outlineLevel="1">
      <c r="A689" s="118"/>
      <c r="B689" s="118"/>
      <c r="C689" s="828">
        <v>665</v>
      </c>
      <c r="D689" s="829"/>
      <c r="E689" s="830"/>
      <c r="F689" s="830"/>
      <c r="G689" s="854"/>
      <c r="H689" s="1049"/>
      <c r="I689" s="856"/>
      <c r="J689" s="857"/>
      <c r="K689" s="858"/>
      <c r="L689" s="472"/>
      <c r="M689" s="816">
        <f t="shared" si="38"/>
        <v>0</v>
      </c>
      <c r="N689" s="833">
        <f t="shared" si="39"/>
        <v>0</v>
      </c>
      <c r="O689" s="265">
        <f t="shared" si="40"/>
        <v>0</v>
      </c>
      <c r="P689" s="827">
        <f t="shared" si="41"/>
        <v>0</v>
      </c>
    </row>
    <row r="690" spans="1:16" ht="30" hidden="1" customHeight="1" outlineLevel="1">
      <c r="A690" s="118"/>
      <c r="B690" s="118"/>
      <c r="C690" s="828">
        <v>666</v>
      </c>
      <c r="D690" s="829"/>
      <c r="E690" s="830"/>
      <c r="F690" s="830"/>
      <c r="G690" s="854"/>
      <c r="H690" s="1049"/>
      <c r="I690" s="856"/>
      <c r="J690" s="857"/>
      <c r="K690" s="858"/>
      <c r="L690" s="472"/>
      <c r="M690" s="816">
        <f t="shared" si="38"/>
        <v>0</v>
      </c>
      <c r="N690" s="833">
        <f t="shared" si="39"/>
        <v>0</v>
      </c>
      <c r="O690" s="265">
        <f t="shared" si="40"/>
        <v>0</v>
      </c>
      <c r="P690" s="827">
        <f t="shared" si="41"/>
        <v>0</v>
      </c>
    </row>
    <row r="691" spans="1:16" ht="30" hidden="1" customHeight="1" outlineLevel="1">
      <c r="A691" s="118"/>
      <c r="B691" s="118"/>
      <c r="C691" s="828">
        <v>667</v>
      </c>
      <c r="D691" s="829"/>
      <c r="E691" s="830"/>
      <c r="F691" s="830"/>
      <c r="G691" s="854"/>
      <c r="H691" s="1049"/>
      <c r="I691" s="856"/>
      <c r="J691" s="857"/>
      <c r="K691" s="858"/>
      <c r="L691" s="472"/>
      <c r="M691" s="816">
        <f t="shared" si="38"/>
        <v>0</v>
      </c>
      <c r="N691" s="833">
        <f t="shared" si="39"/>
        <v>0</v>
      </c>
      <c r="O691" s="265">
        <f t="shared" si="40"/>
        <v>0</v>
      </c>
      <c r="P691" s="827">
        <f t="shared" si="41"/>
        <v>0</v>
      </c>
    </row>
    <row r="692" spans="1:16" ht="30" hidden="1" customHeight="1" outlineLevel="1">
      <c r="A692" s="118"/>
      <c r="B692" s="118"/>
      <c r="C692" s="828">
        <v>668</v>
      </c>
      <c r="D692" s="829"/>
      <c r="E692" s="830"/>
      <c r="F692" s="830"/>
      <c r="G692" s="854"/>
      <c r="H692" s="1049"/>
      <c r="I692" s="856"/>
      <c r="J692" s="857"/>
      <c r="K692" s="858"/>
      <c r="L692" s="472"/>
      <c r="M692" s="816">
        <f t="shared" si="38"/>
        <v>0</v>
      </c>
      <c r="N692" s="833">
        <f t="shared" si="39"/>
        <v>0</v>
      </c>
      <c r="O692" s="265">
        <f t="shared" si="40"/>
        <v>0</v>
      </c>
      <c r="P692" s="827">
        <f t="shared" si="41"/>
        <v>0</v>
      </c>
    </row>
    <row r="693" spans="1:16" ht="30" hidden="1" customHeight="1" outlineLevel="1">
      <c r="A693" s="118"/>
      <c r="B693" s="118"/>
      <c r="C693" s="828">
        <v>669</v>
      </c>
      <c r="D693" s="829"/>
      <c r="E693" s="830"/>
      <c r="F693" s="830"/>
      <c r="G693" s="854"/>
      <c r="H693" s="1049"/>
      <c r="I693" s="856"/>
      <c r="J693" s="857"/>
      <c r="K693" s="858"/>
      <c r="L693" s="472"/>
      <c r="M693" s="816">
        <f t="shared" si="38"/>
        <v>0</v>
      </c>
      <c r="N693" s="833">
        <f t="shared" si="39"/>
        <v>0</v>
      </c>
      <c r="O693" s="265">
        <f t="shared" si="40"/>
        <v>0</v>
      </c>
      <c r="P693" s="827">
        <f t="shared" si="41"/>
        <v>0</v>
      </c>
    </row>
    <row r="694" spans="1:16" ht="30" hidden="1" customHeight="1" outlineLevel="1">
      <c r="A694" s="118"/>
      <c r="B694" s="118"/>
      <c r="C694" s="828">
        <v>670</v>
      </c>
      <c r="D694" s="829"/>
      <c r="E694" s="830"/>
      <c r="F694" s="830"/>
      <c r="G694" s="854"/>
      <c r="H694" s="1049"/>
      <c r="I694" s="856"/>
      <c r="J694" s="857"/>
      <c r="K694" s="858"/>
      <c r="L694" s="472"/>
      <c r="M694" s="816">
        <f t="shared" si="38"/>
        <v>0</v>
      </c>
      <c r="N694" s="833">
        <f t="shared" si="39"/>
        <v>0</v>
      </c>
      <c r="O694" s="265">
        <f t="shared" si="40"/>
        <v>0</v>
      </c>
      <c r="P694" s="827">
        <f t="shared" si="41"/>
        <v>0</v>
      </c>
    </row>
    <row r="695" spans="1:16" ht="30" hidden="1" customHeight="1" outlineLevel="1">
      <c r="A695" s="118"/>
      <c r="B695" s="118"/>
      <c r="C695" s="828">
        <v>671</v>
      </c>
      <c r="D695" s="829"/>
      <c r="E695" s="830"/>
      <c r="F695" s="830"/>
      <c r="G695" s="854"/>
      <c r="H695" s="1049"/>
      <c r="I695" s="856"/>
      <c r="J695" s="857"/>
      <c r="K695" s="858"/>
      <c r="L695" s="472"/>
      <c r="M695" s="816">
        <f t="shared" si="38"/>
        <v>0</v>
      </c>
      <c r="N695" s="833">
        <f t="shared" si="39"/>
        <v>0</v>
      </c>
      <c r="O695" s="265">
        <f t="shared" si="40"/>
        <v>0</v>
      </c>
      <c r="P695" s="827">
        <f t="shared" si="41"/>
        <v>0</v>
      </c>
    </row>
    <row r="696" spans="1:16" ht="30" hidden="1" customHeight="1" outlineLevel="1">
      <c r="A696" s="118"/>
      <c r="B696" s="118"/>
      <c r="C696" s="828">
        <v>672</v>
      </c>
      <c r="D696" s="829"/>
      <c r="E696" s="830"/>
      <c r="F696" s="830"/>
      <c r="G696" s="854"/>
      <c r="H696" s="1049"/>
      <c r="I696" s="856"/>
      <c r="J696" s="857"/>
      <c r="K696" s="858"/>
      <c r="L696" s="472"/>
      <c r="M696" s="816">
        <f t="shared" si="38"/>
        <v>0</v>
      </c>
      <c r="N696" s="833">
        <f t="shared" si="39"/>
        <v>0</v>
      </c>
      <c r="O696" s="265">
        <f t="shared" si="40"/>
        <v>0</v>
      </c>
      <c r="P696" s="827">
        <f t="shared" si="41"/>
        <v>0</v>
      </c>
    </row>
    <row r="697" spans="1:16" ht="30" hidden="1" customHeight="1" outlineLevel="1">
      <c r="A697" s="118"/>
      <c r="B697" s="118"/>
      <c r="C697" s="828">
        <v>673</v>
      </c>
      <c r="D697" s="829"/>
      <c r="E697" s="830"/>
      <c r="F697" s="830"/>
      <c r="G697" s="854"/>
      <c r="H697" s="1049"/>
      <c r="I697" s="856"/>
      <c r="J697" s="857"/>
      <c r="K697" s="858"/>
      <c r="L697" s="472"/>
      <c r="M697" s="816">
        <f t="shared" si="38"/>
        <v>0</v>
      </c>
      <c r="N697" s="833">
        <f t="shared" si="39"/>
        <v>0</v>
      </c>
      <c r="O697" s="265">
        <f t="shared" si="40"/>
        <v>0</v>
      </c>
      <c r="P697" s="827">
        <f t="shared" si="41"/>
        <v>0</v>
      </c>
    </row>
    <row r="698" spans="1:16" ht="30" hidden="1" customHeight="1" outlineLevel="1">
      <c r="A698" s="118"/>
      <c r="B698" s="118"/>
      <c r="C698" s="828">
        <v>674</v>
      </c>
      <c r="D698" s="829"/>
      <c r="E698" s="830"/>
      <c r="F698" s="830"/>
      <c r="G698" s="854"/>
      <c r="H698" s="1049"/>
      <c r="I698" s="856"/>
      <c r="J698" s="857"/>
      <c r="K698" s="858"/>
      <c r="L698" s="472"/>
      <c r="M698" s="816">
        <f t="shared" si="38"/>
        <v>0</v>
      </c>
      <c r="N698" s="833">
        <f t="shared" si="39"/>
        <v>0</v>
      </c>
      <c r="O698" s="265">
        <f t="shared" si="40"/>
        <v>0</v>
      </c>
      <c r="P698" s="827">
        <f t="shared" si="41"/>
        <v>0</v>
      </c>
    </row>
    <row r="699" spans="1:16" ht="30" hidden="1" customHeight="1" outlineLevel="1">
      <c r="A699" s="118"/>
      <c r="B699" s="118"/>
      <c r="C699" s="828">
        <v>675</v>
      </c>
      <c r="D699" s="829"/>
      <c r="E699" s="830"/>
      <c r="F699" s="830"/>
      <c r="G699" s="854"/>
      <c r="H699" s="1049"/>
      <c r="I699" s="856"/>
      <c r="J699" s="857"/>
      <c r="K699" s="858"/>
      <c r="L699" s="472"/>
      <c r="M699" s="816">
        <f t="shared" si="38"/>
        <v>0</v>
      </c>
      <c r="N699" s="833">
        <f t="shared" si="39"/>
        <v>0</v>
      </c>
      <c r="O699" s="265">
        <f t="shared" si="40"/>
        <v>0</v>
      </c>
      <c r="P699" s="827">
        <f t="shared" si="41"/>
        <v>0</v>
      </c>
    </row>
    <row r="700" spans="1:16" ht="30" hidden="1" customHeight="1" outlineLevel="1">
      <c r="A700" s="118"/>
      <c r="B700" s="118"/>
      <c r="C700" s="828">
        <v>676</v>
      </c>
      <c r="D700" s="829"/>
      <c r="E700" s="830"/>
      <c r="F700" s="830"/>
      <c r="G700" s="854"/>
      <c r="H700" s="1049"/>
      <c r="I700" s="856"/>
      <c r="J700" s="857"/>
      <c r="K700" s="858"/>
      <c r="L700" s="472"/>
      <c r="M700" s="816">
        <f t="shared" si="38"/>
        <v>0</v>
      </c>
      <c r="N700" s="833">
        <f t="shared" si="39"/>
        <v>0</v>
      </c>
      <c r="O700" s="265">
        <f t="shared" si="40"/>
        <v>0</v>
      </c>
      <c r="P700" s="827">
        <f t="shared" si="41"/>
        <v>0</v>
      </c>
    </row>
    <row r="701" spans="1:16" ht="30" hidden="1" customHeight="1" outlineLevel="1">
      <c r="A701" s="118"/>
      <c r="B701" s="118"/>
      <c r="C701" s="828">
        <v>677</v>
      </c>
      <c r="D701" s="829"/>
      <c r="E701" s="830"/>
      <c r="F701" s="830"/>
      <c r="G701" s="854"/>
      <c r="H701" s="1049"/>
      <c r="I701" s="856"/>
      <c r="J701" s="857"/>
      <c r="K701" s="858"/>
      <c r="L701" s="472"/>
      <c r="M701" s="816">
        <f t="shared" si="38"/>
        <v>0</v>
      </c>
      <c r="N701" s="833">
        <f t="shared" si="39"/>
        <v>0</v>
      </c>
      <c r="O701" s="265">
        <f t="shared" si="40"/>
        <v>0</v>
      </c>
      <c r="P701" s="827">
        <f t="shared" si="41"/>
        <v>0</v>
      </c>
    </row>
    <row r="702" spans="1:16" ht="30" hidden="1" customHeight="1" outlineLevel="1">
      <c r="A702" s="118"/>
      <c r="B702" s="118"/>
      <c r="C702" s="828">
        <v>678</v>
      </c>
      <c r="D702" s="829"/>
      <c r="E702" s="830"/>
      <c r="F702" s="830"/>
      <c r="G702" s="854"/>
      <c r="H702" s="1049"/>
      <c r="I702" s="856"/>
      <c r="J702" s="857"/>
      <c r="K702" s="858"/>
      <c r="L702" s="472"/>
      <c r="M702" s="816">
        <f t="shared" si="38"/>
        <v>0</v>
      </c>
      <c r="N702" s="833">
        <f t="shared" si="39"/>
        <v>0</v>
      </c>
      <c r="O702" s="265">
        <f t="shared" si="40"/>
        <v>0</v>
      </c>
      <c r="P702" s="827">
        <f t="shared" si="41"/>
        <v>0</v>
      </c>
    </row>
    <row r="703" spans="1:16" ht="30" hidden="1" customHeight="1" outlineLevel="1">
      <c r="A703" s="118"/>
      <c r="B703" s="118"/>
      <c r="C703" s="828">
        <v>679</v>
      </c>
      <c r="D703" s="829"/>
      <c r="E703" s="830"/>
      <c r="F703" s="830"/>
      <c r="G703" s="854"/>
      <c r="H703" s="1049"/>
      <c r="I703" s="856"/>
      <c r="J703" s="857"/>
      <c r="K703" s="858"/>
      <c r="L703" s="472"/>
      <c r="M703" s="816">
        <f t="shared" si="38"/>
        <v>0</v>
      </c>
      <c r="N703" s="833">
        <f t="shared" si="39"/>
        <v>0</v>
      </c>
      <c r="O703" s="265">
        <f t="shared" si="40"/>
        <v>0</v>
      </c>
      <c r="P703" s="827">
        <f t="shared" si="41"/>
        <v>0</v>
      </c>
    </row>
    <row r="704" spans="1:16" ht="30" hidden="1" customHeight="1" outlineLevel="1">
      <c r="A704" s="118"/>
      <c r="B704" s="118"/>
      <c r="C704" s="828">
        <v>680</v>
      </c>
      <c r="D704" s="829"/>
      <c r="E704" s="830"/>
      <c r="F704" s="830"/>
      <c r="G704" s="854"/>
      <c r="H704" s="1049"/>
      <c r="I704" s="856"/>
      <c r="J704" s="857"/>
      <c r="K704" s="858"/>
      <c r="L704" s="472"/>
      <c r="M704" s="816">
        <f t="shared" si="38"/>
        <v>0</v>
      </c>
      <c r="N704" s="833">
        <f t="shared" si="39"/>
        <v>0</v>
      </c>
      <c r="O704" s="265">
        <f t="shared" si="40"/>
        <v>0</v>
      </c>
      <c r="P704" s="827">
        <f t="shared" si="41"/>
        <v>0</v>
      </c>
    </row>
    <row r="705" spans="1:16" ht="30" hidden="1" customHeight="1" outlineLevel="1">
      <c r="A705" s="118"/>
      <c r="B705" s="118"/>
      <c r="C705" s="828">
        <v>681</v>
      </c>
      <c r="D705" s="829"/>
      <c r="E705" s="830"/>
      <c r="F705" s="830"/>
      <c r="G705" s="854"/>
      <c r="H705" s="1049"/>
      <c r="I705" s="856"/>
      <c r="J705" s="857"/>
      <c r="K705" s="858"/>
      <c r="L705" s="472"/>
      <c r="M705" s="816">
        <f t="shared" si="38"/>
        <v>0</v>
      </c>
      <c r="N705" s="833">
        <f t="shared" si="39"/>
        <v>0</v>
      </c>
      <c r="O705" s="265">
        <f t="shared" si="40"/>
        <v>0</v>
      </c>
      <c r="P705" s="827">
        <f t="shared" si="41"/>
        <v>0</v>
      </c>
    </row>
    <row r="706" spans="1:16" ht="30" hidden="1" customHeight="1" outlineLevel="1">
      <c r="A706" s="118"/>
      <c r="B706" s="118"/>
      <c r="C706" s="828">
        <v>682</v>
      </c>
      <c r="D706" s="829"/>
      <c r="E706" s="830"/>
      <c r="F706" s="830"/>
      <c r="G706" s="854"/>
      <c r="H706" s="1049"/>
      <c r="I706" s="856"/>
      <c r="J706" s="857"/>
      <c r="K706" s="858"/>
      <c r="L706" s="472"/>
      <c r="M706" s="816">
        <f t="shared" si="38"/>
        <v>0</v>
      </c>
      <c r="N706" s="833">
        <f t="shared" si="39"/>
        <v>0</v>
      </c>
      <c r="O706" s="265">
        <f t="shared" si="40"/>
        <v>0</v>
      </c>
      <c r="P706" s="827">
        <f t="shared" si="41"/>
        <v>0</v>
      </c>
    </row>
    <row r="707" spans="1:16" ht="30" hidden="1" customHeight="1" outlineLevel="1">
      <c r="A707" s="118"/>
      <c r="B707" s="118"/>
      <c r="C707" s="828">
        <v>683</v>
      </c>
      <c r="D707" s="829"/>
      <c r="E707" s="830"/>
      <c r="F707" s="830"/>
      <c r="G707" s="854"/>
      <c r="H707" s="1049"/>
      <c r="I707" s="856"/>
      <c r="J707" s="857"/>
      <c r="K707" s="858"/>
      <c r="L707" s="472"/>
      <c r="M707" s="816">
        <f t="shared" si="38"/>
        <v>0</v>
      </c>
      <c r="N707" s="833">
        <f t="shared" si="39"/>
        <v>0</v>
      </c>
      <c r="O707" s="265">
        <f t="shared" si="40"/>
        <v>0</v>
      </c>
      <c r="P707" s="827">
        <f t="shared" si="41"/>
        <v>0</v>
      </c>
    </row>
    <row r="708" spans="1:16" ht="30" hidden="1" customHeight="1" outlineLevel="1">
      <c r="A708" s="118"/>
      <c r="B708" s="118"/>
      <c r="C708" s="828">
        <v>684</v>
      </c>
      <c r="D708" s="829"/>
      <c r="E708" s="830"/>
      <c r="F708" s="830"/>
      <c r="G708" s="854"/>
      <c r="H708" s="1049"/>
      <c r="I708" s="856"/>
      <c r="J708" s="857"/>
      <c r="K708" s="858"/>
      <c r="L708" s="472"/>
      <c r="M708" s="816">
        <f t="shared" si="38"/>
        <v>0</v>
      </c>
      <c r="N708" s="833">
        <f t="shared" si="39"/>
        <v>0</v>
      </c>
      <c r="O708" s="265">
        <f t="shared" si="40"/>
        <v>0</v>
      </c>
      <c r="P708" s="827">
        <f t="shared" si="41"/>
        <v>0</v>
      </c>
    </row>
    <row r="709" spans="1:16" ht="30" hidden="1" customHeight="1" outlineLevel="1">
      <c r="A709" s="118"/>
      <c r="B709" s="118"/>
      <c r="C709" s="828">
        <v>685</v>
      </c>
      <c r="D709" s="829"/>
      <c r="E709" s="830"/>
      <c r="F709" s="830"/>
      <c r="G709" s="854"/>
      <c r="H709" s="1049"/>
      <c r="I709" s="856"/>
      <c r="J709" s="857"/>
      <c r="K709" s="858"/>
      <c r="L709" s="472"/>
      <c r="M709" s="816">
        <f t="shared" si="38"/>
        <v>0</v>
      </c>
      <c r="N709" s="833">
        <f t="shared" si="39"/>
        <v>0</v>
      </c>
      <c r="O709" s="265">
        <f t="shared" si="40"/>
        <v>0</v>
      </c>
      <c r="P709" s="827">
        <f t="shared" si="41"/>
        <v>0</v>
      </c>
    </row>
    <row r="710" spans="1:16" ht="30" hidden="1" customHeight="1" outlineLevel="1">
      <c r="A710" s="118"/>
      <c r="B710" s="118"/>
      <c r="C710" s="828">
        <v>686</v>
      </c>
      <c r="D710" s="829"/>
      <c r="E710" s="830"/>
      <c r="F710" s="830"/>
      <c r="G710" s="854"/>
      <c r="H710" s="1049"/>
      <c r="I710" s="856"/>
      <c r="J710" s="857"/>
      <c r="K710" s="858"/>
      <c r="L710" s="472"/>
      <c r="M710" s="816">
        <f t="shared" si="38"/>
        <v>0</v>
      </c>
      <c r="N710" s="833">
        <f t="shared" si="39"/>
        <v>0</v>
      </c>
      <c r="O710" s="265">
        <f t="shared" si="40"/>
        <v>0</v>
      </c>
      <c r="P710" s="827">
        <f t="shared" si="41"/>
        <v>0</v>
      </c>
    </row>
    <row r="711" spans="1:16" ht="30" hidden="1" customHeight="1" outlineLevel="1">
      <c r="A711" s="118"/>
      <c r="B711" s="118"/>
      <c r="C711" s="828">
        <v>687</v>
      </c>
      <c r="D711" s="829"/>
      <c r="E711" s="830"/>
      <c r="F711" s="830"/>
      <c r="G711" s="854"/>
      <c r="H711" s="1049"/>
      <c r="I711" s="856"/>
      <c r="J711" s="857"/>
      <c r="K711" s="858"/>
      <c r="L711" s="472"/>
      <c r="M711" s="816">
        <f t="shared" si="38"/>
        <v>0</v>
      </c>
      <c r="N711" s="833">
        <f t="shared" si="39"/>
        <v>0</v>
      </c>
      <c r="O711" s="265">
        <f t="shared" si="40"/>
        <v>0</v>
      </c>
      <c r="P711" s="827">
        <f t="shared" si="41"/>
        <v>0</v>
      </c>
    </row>
    <row r="712" spans="1:16" ht="30" hidden="1" customHeight="1" outlineLevel="1">
      <c r="A712" s="118"/>
      <c r="B712" s="118"/>
      <c r="C712" s="828">
        <v>688</v>
      </c>
      <c r="D712" s="829"/>
      <c r="E712" s="830"/>
      <c r="F712" s="830"/>
      <c r="G712" s="854"/>
      <c r="H712" s="1049"/>
      <c r="I712" s="856"/>
      <c r="J712" s="857"/>
      <c r="K712" s="858"/>
      <c r="L712" s="472"/>
      <c r="M712" s="816">
        <f t="shared" si="38"/>
        <v>0</v>
      </c>
      <c r="N712" s="833">
        <f t="shared" si="39"/>
        <v>0</v>
      </c>
      <c r="O712" s="265">
        <f t="shared" si="40"/>
        <v>0</v>
      </c>
      <c r="P712" s="827">
        <f t="shared" si="41"/>
        <v>0</v>
      </c>
    </row>
    <row r="713" spans="1:16" ht="30" hidden="1" customHeight="1" outlineLevel="1">
      <c r="A713" s="118"/>
      <c r="B713" s="118"/>
      <c r="C713" s="828">
        <v>689</v>
      </c>
      <c r="D713" s="829"/>
      <c r="E713" s="830"/>
      <c r="F713" s="830"/>
      <c r="G713" s="854"/>
      <c r="H713" s="1049"/>
      <c r="I713" s="856"/>
      <c r="J713" s="857"/>
      <c r="K713" s="858"/>
      <c r="L713" s="472"/>
      <c r="M713" s="816">
        <f t="shared" si="38"/>
        <v>0</v>
      </c>
      <c r="N713" s="833">
        <f t="shared" si="39"/>
        <v>0</v>
      </c>
      <c r="O713" s="265">
        <f t="shared" si="40"/>
        <v>0</v>
      </c>
      <c r="P713" s="827">
        <f t="shared" si="41"/>
        <v>0</v>
      </c>
    </row>
    <row r="714" spans="1:16" ht="30" hidden="1" customHeight="1" outlineLevel="1">
      <c r="A714" s="118"/>
      <c r="B714" s="118"/>
      <c r="C714" s="828">
        <v>690</v>
      </c>
      <c r="D714" s="829"/>
      <c r="E714" s="830"/>
      <c r="F714" s="830"/>
      <c r="G714" s="854"/>
      <c r="H714" s="1049"/>
      <c r="I714" s="856"/>
      <c r="J714" s="857"/>
      <c r="K714" s="858"/>
      <c r="L714" s="472"/>
      <c r="M714" s="816">
        <f t="shared" si="38"/>
        <v>0</v>
      </c>
      <c r="N714" s="833">
        <f t="shared" si="39"/>
        <v>0</v>
      </c>
      <c r="O714" s="265">
        <f t="shared" si="40"/>
        <v>0</v>
      </c>
      <c r="P714" s="827">
        <f t="shared" si="41"/>
        <v>0</v>
      </c>
    </row>
    <row r="715" spans="1:16" ht="30" hidden="1" customHeight="1" outlineLevel="1">
      <c r="A715" s="118"/>
      <c r="B715" s="118"/>
      <c r="C715" s="828">
        <v>691</v>
      </c>
      <c r="D715" s="829"/>
      <c r="E715" s="830"/>
      <c r="F715" s="830"/>
      <c r="G715" s="854"/>
      <c r="H715" s="1049"/>
      <c r="I715" s="856"/>
      <c r="J715" s="857"/>
      <c r="K715" s="858"/>
      <c r="L715" s="472"/>
      <c r="M715" s="816">
        <f t="shared" si="38"/>
        <v>0</v>
      </c>
      <c r="N715" s="833">
        <f t="shared" si="39"/>
        <v>0</v>
      </c>
      <c r="O715" s="265">
        <f t="shared" si="40"/>
        <v>0</v>
      </c>
      <c r="P715" s="827">
        <f t="shared" si="41"/>
        <v>0</v>
      </c>
    </row>
    <row r="716" spans="1:16" ht="30" hidden="1" customHeight="1" outlineLevel="1">
      <c r="A716" s="118"/>
      <c r="B716" s="118"/>
      <c r="C716" s="828">
        <v>692</v>
      </c>
      <c r="D716" s="829"/>
      <c r="E716" s="830"/>
      <c r="F716" s="830"/>
      <c r="G716" s="854"/>
      <c r="H716" s="1049"/>
      <c r="I716" s="856"/>
      <c r="J716" s="857"/>
      <c r="K716" s="858"/>
      <c r="L716" s="472"/>
      <c r="M716" s="816">
        <f t="shared" si="38"/>
        <v>0</v>
      </c>
      <c r="N716" s="833">
        <f t="shared" si="39"/>
        <v>0</v>
      </c>
      <c r="O716" s="265">
        <f t="shared" si="40"/>
        <v>0</v>
      </c>
      <c r="P716" s="827">
        <f t="shared" si="41"/>
        <v>0</v>
      </c>
    </row>
    <row r="717" spans="1:16" ht="30" hidden="1" customHeight="1" outlineLevel="1">
      <c r="A717" s="118"/>
      <c r="B717" s="118"/>
      <c r="C717" s="828">
        <v>693</v>
      </c>
      <c r="D717" s="829"/>
      <c r="E717" s="830"/>
      <c r="F717" s="830"/>
      <c r="G717" s="854"/>
      <c r="H717" s="1049"/>
      <c r="I717" s="856"/>
      <c r="J717" s="857"/>
      <c r="K717" s="858"/>
      <c r="L717" s="472"/>
      <c r="M717" s="816">
        <f t="shared" si="38"/>
        <v>0</v>
      </c>
      <c r="N717" s="833">
        <f t="shared" si="39"/>
        <v>0</v>
      </c>
      <c r="O717" s="265">
        <f t="shared" si="40"/>
        <v>0</v>
      </c>
      <c r="P717" s="827">
        <f t="shared" si="41"/>
        <v>0</v>
      </c>
    </row>
    <row r="718" spans="1:16" ht="30" hidden="1" customHeight="1" outlineLevel="1">
      <c r="A718" s="118"/>
      <c r="B718" s="118"/>
      <c r="C718" s="828">
        <v>694</v>
      </c>
      <c r="D718" s="829"/>
      <c r="E718" s="830"/>
      <c r="F718" s="830"/>
      <c r="G718" s="854"/>
      <c r="H718" s="1049"/>
      <c r="I718" s="856"/>
      <c r="J718" s="857"/>
      <c r="K718" s="858"/>
      <c r="L718" s="472"/>
      <c r="M718" s="816">
        <f t="shared" si="38"/>
        <v>0</v>
      </c>
      <c r="N718" s="833">
        <f t="shared" si="39"/>
        <v>0</v>
      </c>
      <c r="O718" s="265">
        <f t="shared" si="40"/>
        <v>0</v>
      </c>
      <c r="P718" s="827">
        <f t="shared" si="41"/>
        <v>0</v>
      </c>
    </row>
    <row r="719" spans="1:16" ht="30" hidden="1" customHeight="1" outlineLevel="1">
      <c r="A719" s="118"/>
      <c r="B719" s="118"/>
      <c r="C719" s="828">
        <v>695</v>
      </c>
      <c r="D719" s="829"/>
      <c r="E719" s="830"/>
      <c r="F719" s="830"/>
      <c r="G719" s="854"/>
      <c r="H719" s="1049"/>
      <c r="I719" s="856"/>
      <c r="J719" s="857"/>
      <c r="K719" s="858"/>
      <c r="L719" s="472"/>
      <c r="M719" s="816">
        <f t="shared" si="38"/>
        <v>0</v>
      </c>
      <c r="N719" s="833">
        <f t="shared" si="39"/>
        <v>0</v>
      </c>
      <c r="O719" s="265">
        <f t="shared" si="40"/>
        <v>0</v>
      </c>
      <c r="P719" s="827">
        <f t="shared" si="41"/>
        <v>0</v>
      </c>
    </row>
    <row r="720" spans="1:16" ht="30" hidden="1" customHeight="1" outlineLevel="1">
      <c r="A720" s="118"/>
      <c r="B720" s="118"/>
      <c r="C720" s="828">
        <v>696</v>
      </c>
      <c r="D720" s="829"/>
      <c r="E720" s="830"/>
      <c r="F720" s="830"/>
      <c r="G720" s="854"/>
      <c r="H720" s="1049"/>
      <c r="I720" s="856"/>
      <c r="J720" s="857"/>
      <c r="K720" s="858"/>
      <c r="L720" s="472"/>
      <c r="M720" s="816">
        <f t="shared" si="38"/>
        <v>0</v>
      </c>
      <c r="N720" s="833">
        <f t="shared" si="39"/>
        <v>0</v>
      </c>
      <c r="O720" s="265">
        <f t="shared" si="40"/>
        <v>0</v>
      </c>
      <c r="P720" s="827">
        <f t="shared" si="41"/>
        <v>0</v>
      </c>
    </row>
    <row r="721" spans="1:16" ht="30" hidden="1" customHeight="1" outlineLevel="1">
      <c r="A721" s="118"/>
      <c r="B721" s="118"/>
      <c r="C721" s="828">
        <v>697</v>
      </c>
      <c r="D721" s="829"/>
      <c r="E721" s="830"/>
      <c r="F721" s="830"/>
      <c r="G721" s="854"/>
      <c r="H721" s="1049"/>
      <c r="I721" s="856"/>
      <c r="J721" s="857"/>
      <c r="K721" s="858"/>
      <c r="L721" s="472"/>
      <c r="M721" s="816">
        <f t="shared" si="38"/>
        <v>0</v>
      </c>
      <c r="N721" s="833">
        <f t="shared" si="39"/>
        <v>0</v>
      </c>
      <c r="O721" s="265">
        <f t="shared" si="40"/>
        <v>0</v>
      </c>
      <c r="P721" s="827">
        <f t="shared" si="41"/>
        <v>0</v>
      </c>
    </row>
    <row r="722" spans="1:16" ht="30" hidden="1" customHeight="1" outlineLevel="1">
      <c r="A722" s="118"/>
      <c r="B722" s="118"/>
      <c r="C722" s="828">
        <v>698</v>
      </c>
      <c r="D722" s="829"/>
      <c r="E722" s="830"/>
      <c r="F722" s="830"/>
      <c r="G722" s="854"/>
      <c r="H722" s="1049"/>
      <c r="I722" s="856"/>
      <c r="J722" s="857"/>
      <c r="K722" s="858"/>
      <c r="L722" s="472"/>
      <c r="M722" s="816">
        <f t="shared" si="38"/>
        <v>0</v>
      </c>
      <c r="N722" s="833">
        <f t="shared" si="39"/>
        <v>0</v>
      </c>
      <c r="O722" s="265">
        <f t="shared" si="40"/>
        <v>0</v>
      </c>
      <c r="P722" s="827">
        <f t="shared" si="41"/>
        <v>0</v>
      </c>
    </row>
    <row r="723" spans="1:16" ht="30" hidden="1" customHeight="1" outlineLevel="1">
      <c r="A723" s="118"/>
      <c r="B723" s="118"/>
      <c r="C723" s="828">
        <v>699</v>
      </c>
      <c r="D723" s="829"/>
      <c r="E723" s="830"/>
      <c r="F723" s="830"/>
      <c r="G723" s="854"/>
      <c r="H723" s="1049"/>
      <c r="I723" s="856"/>
      <c r="J723" s="857"/>
      <c r="K723" s="858"/>
      <c r="L723" s="472"/>
      <c r="M723" s="816">
        <f t="shared" si="38"/>
        <v>0</v>
      </c>
      <c r="N723" s="833">
        <f t="shared" si="39"/>
        <v>0</v>
      </c>
      <c r="O723" s="265">
        <f t="shared" si="40"/>
        <v>0</v>
      </c>
      <c r="P723" s="827">
        <f t="shared" si="41"/>
        <v>0</v>
      </c>
    </row>
    <row r="724" spans="1:16" ht="30" hidden="1" customHeight="1" outlineLevel="1">
      <c r="A724" s="118"/>
      <c r="B724" s="118"/>
      <c r="C724" s="828">
        <v>700</v>
      </c>
      <c r="D724" s="829"/>
      <c r="E724" s="830"/>
      <c r="F724" s="830"/>
      <c r="G724" s="854"/>
      <c r="H724" s="1049"/>
      <c r="I724" s="856"/>
      <c r="J724" s="857"/>
      <c r="K724" s="858"/>
      <c r="L724" s="472"/>
      <c r="M724" s="816">
        <f t="shared" si="38"/>
        <v>0</v>
      </c>
      <c r="N724" s="833">
        <f t="shared" si="39"/>
        <v>0</v>
      </c>
      <c r="O724" s="265">
        <f t="shared" si="40"/>
        <v>0</v>
      </c>
      <c r="P724" s="827">
        <f t="shared" si="41"/>
        <v>0</v>
      </c>
    </row>
    <row r="725" spans="1:16" ht="30" hidden="1" customHeight="1" outlineLevel="1">
      <c r="A725" s="118"/>
      <c r="B725" s="118"/>
      <c r="C725" s="828">
        <v>701</v>
      </c>
      <c r="D725" s="829"/>
      <c r="E725" s="830"/>
      <c r="F725" s="830"/>
      <c r="G725" s="854"/>
      <c r="H725" s="1049"/>
      <c r="I725" s="856"/>
      <c r="J725" s="857"/>
      <c r="K725" s="858"/>
      <c r="L725" s="472"/>
      <c r="M725" s="816">
        <f t="shared" si="38"/>
        <v>0</v>
      </c>
      <c r="N725" s="833">
        <f t="shared" si="39"/>
        <v>0</v>
      </c>
      <c r="O725" s="265">
        <f t="shared" si="40"/>
        <v>0</v>
      </c>
      <c r="P725" s="827">
        <f t="shared" si="41"/>
        <v>0</v>
      </c>
    </row>
    <row r="726" spans="1:16" ht="30" hidden="1" customHeight="1" outlineLevel="1">
      <c r="A726" s="118"/>
      <c r="B726" s="118"/>
      <c r="C726" s="828">
        <v>702</v>
      </c>
      <c r="D726" s="829"/>
      <c r="E726" s="830"/>
      <c r="F726" s="830"/>
      <c r="G726" s="854"/>
      <c r="H726" s="1049"/>
      <c r="I726" s="856"/>
      <c r="J726" s="857"/>
      <c r="K726" s="858"/>
      <c r="L726" s="472"/>
      <c r="M726" s="816">
        <f t="shared" si="38"/>
        <v>0</v>
      </c>
      <c r="N726" s="833">
        <f t="shared" si="39"/>
        <v>0</v>
      </c>
      <c r="O726" s="265">
        <f t="shared" si="40"/>
        <v>0</v>
      </c>
      <c r="P726" s="827">
        <f t="shared" si="41"/>
        <v>0</v>
      </c>
    </row>
    <row r="727" spans="1:16" ht="30" hidden="1" customHeight="1" outlineLevel="1">
      <c r="A727" s="118"/>
      <c r="B727" s="118"/>
      <c r="C727" s="828">
        <v>703</v>
      </c>
      <c r="D727" s="829"/>
      <c r="E727" s="830"/>
      <c r="F727" s="830"/>
      <c r="G727" s="854"/>
      <c r="H727" s="1049"/>
      <c r="I727" s="856"/>
      <c r="J727" s="857"/>
      <c r="K727" s="858"/>
      <c r="L727" s="472"/>
      <c r="M727" s="816">
        <f t="shared" si="38"/>
        <v>0</v>
      </c>
      <c r="N727" s="833">
        <f t="shared" si="39"/>
        <v>0</v>
      </c>
      <c r="O727" s="265">
        <f t="shared" si="40"/>
        <v>0</v>
      </c>
      <c r="P727" s="827">
        <f t="shared" si="41"/>
        <v>0</v>
      </c>
    </row>
    <row r="728" spans="1:16" ht="30" hidden="1" customHeight="1" outlineLevel="1">
      <c r="A728" s="118"/>
      <c r="B728" s="118"/>
      <c r="C728" s="828">
        <v>704</v>
      </c>
      <c r="D728" s="829"/>
      <c r="E728" s="830"/>
      <c r="F728" s="830"/>
      <c r="G728" s="854"/>
      <c r="H728" s="1049"/>
      <c r="I728" s="856"/>
      <c r="J728" s="857"/>
      <c r="K728" s="858"/>
      <c r="L728" s="472"/>
      <c r="M728" s="816">
        <f t="shared" si="38"/>
        <v>0</v>
      </c>
      <c r="N728" s="833">
        <f t="shared" si="39"/>
        <v>0</v>
      </c>
      <c r="O728" s="265">
        <f t="shared" si="40"/>
        <v>0</v>
      </c>
      <c r="P728" s="827">
        <f t="shared" si="41"/>
        <v>0</v>
      </c>
    </row>
    <row r="729" spans="1:16" ht="30" hidden="1" customHeight="1" outlineLevel="1">
      <c r="A729" s="118"/>
      <c r="B729" s="118"/>
      <c r="C729" s="828">
        <v>705</v>
      </c>
      <c r="D729" s="829"/>
      <c r="E729" s="830"/>
      <c r="F729" s="830"/>
      <c r="G729" s="854"/>
      <c r="H729" s="1049"/>
      <c r="I729" s="856"/>
      <c r="J729" s="857"/>
      <c r="K729" s="858"/>
      <c r="L729" s="472"/>
      <c r="M729" s="816">
        <f t="shared" si="38"/>
        <v>0</v>
      </c>
      <c r="N729" s="833">
        <f t="shared" si="39"/>
        <v>0</v>
      </c>
      <c r="O729" s="265">
        <f t="shared" si="40"/>
        <v>0</v>
      </c>
      <c r="P729" s="827">
        <f t="shared" si="41"/>
        <v>0</v>
      </c>
    </row>
    <row r="730" spans="1:16" ht="30" hidden="1" customHeight="1" outlineLevel="1">
      <c r="A730" s="118"/>
      <c r="B730" s="118"/>
      <c r="C730" s="828">
        <v>706</v>
      </c>
      <c r="D730" s="829"/>
      <c r="E730" s="830"/>
      <c r="F730" s="830"/>
      <c r="G730" s="854"/>
      <c r="H730" s="1049"/>
      <c r="I730" s="856"/>
      <c r="J730" s="857"/>
      <c r="K730" s="858"/>
      <c r="L730" s="472"/>
      <c r="M730" s="816">
        <f t="shared" si="38"/>
        <v>0</v>
      </c>
      <c r="N730" s="833">
        <f t="shared" si="39"/>
        <v>0</v>
      </c>
      <c r="O730" s="265">
        <f t="shared" si="40"/>
        <v>0</v>
      </c>
      <c r="P730" s="827">
        <f t="shared" si="41"/>
        <v>0</v>
      </c>
    </row>
    <row r="731" spans="1:16" ht="30" hidden="1" customHeight="1" outlineLevel="1">
      <c r="A731" s="118"/>
      <c r="B731" s="118"/>
      <c r="C731" s="828">
        <v>707</v>
      </c>
      <c r="D731" s="829"/>
      <c r="E731" s="830"/>
      <c r="F731" s="830"/>
      <c r="G731" s="854"/>
      <c r="H731" s="1049"/>
      <c r="I731" s="856"/>
      <c r="J731" s="857"/>
      <c r="K731" s="858"/>
      <c r="L731" s="472"/>
      <c r="M731" s="816">
        <f t="shared" si="38"/>
        <v>0</v>
      </c>
      <c r="N731" s="833">
        <f t="shared" si="39"/>
        <v>0</v>
      </c>
      <c r="O731" s="265">
        <f t="shared" si="40"/>
        <v>0</v>
      </c>
      <c r="P731" s="827">
        <f t="shared" si="41"/>
        <v>0</v>
      </c>
    </row>
    <row r="732" spans="1:16" ht="30" hidden="1" customHeight="1" outlineLevel="1">
      <c r="A732" s="118"/>
      <c r="B732" s="118"/>
      <c r="C732" s="828">
        <v>708</v>
      </c>
      <c r="D732" s="829"/>
      <c r="E732" s="830"/>
      <c r="F732" s="830"/>
      <c r="G732" s="854"/>
      <c r="H732" s="1049"/>
      <c r="I732" s="856"/>
      <c r="J732" s="857"/>
      <c r="K732" s="858"/>
      <c r="L732" s="472"/>
      <c r="M732" s="816">
        <f t="shared" si="38"/>
        <v>0</v>
      </c>
      <c r="N732" s="833">
        <f t="shared" si="39"/>
        <v>0</v>
      </c>
      <c r="O732" s="265">
        <f t="shared" si="40"/>
        <v>0</v>
      </c>
      <c r="P732" s="827">
        <f t="shared" si="41"/>
        <v>0</v>
      </c>
    </row>
    <row r="733" spans="1:16" ht="30" hidden="1" customHeight="1" outlineLevel="1">
      <c r="A733" s="118"/>
      <c r="B733" s="118"/>
      <c r="C733" s="828">
        <v>709</v>
      </c>
      <c r="D733" s="829"/>
      <c r="E733" s="830"/>
      <c r="F733" s="830"/>
      <c r="G733" s="854"/>
      <c r="H733" s="1049"/>
      <c r="I733" s="856"/>
      <c r="J733" s="857"/>
      <c r="K733" s="858"/>
      <c r="L733" s="472"/>
      <c r="M733" s="816">
        <f t="shared" si="38"/>
        <v>0</v>
      </c>
      <c r="N733" s="833">
        <f t="shared" si="39"/>
        <v>0</v>
      </c>
      <c r="O733" s="265">
        <f t="shared" si="40"/>
        <v>0</v>
      </c>
      <c r="P733" s="827">
        <f t="shared" si="41"/>
        <v>0</v>
      </c>
    </row>
    <row r="734" spans="1:16" ht="30" hidden="1" customHeight="1" outlineLevel="1">
      <c r="A734" s="118"/>
      <c r="B734" s="118"/>
      <c r="C734" s="828">
        <v>710</v>
      </c>
      <c r="D734" s="829"/>
      <c r="E734" s="830"/>
      <c r="F734" s="830"/>
      <c r="G734" s="854"/>
      <c r="H734" s="1049"/>
      <c r="I734" s="856"/>
      <c r="J734" s="857"/>
      <c r="K734" s="858"/>
      <c r="L734" s="472"/>
      <c r="M734" s="816">
        <f t="shared" si="38"/>
        <v>0</v>
      </c>
      <c r="N734" s="833">
        <f t="shared" si="39"/>
        <v>0</v>
      </c>
      <c r="O734" s="265">
        <f t="shared" si="40"/>
        <v>0</v>
      </c>
      <c r="P734" s="827">
        <f t="shared" si="41"/>
        <v>0</v>
      </c>
    </row>
    <row r="735" spans="1:16" ht="30" hidden="1" customHeight="1" outlineLevel="1">
      <c r="A735" s="118"/>
      <c r="B735" s="118"/>
      <c r="C735" s="828">
        <v>711</v>
      </c>
      <c r="D735" s="829"/>
      <c r="E735" s="830"/>
      <c r="F735" s="830"/>
      <c r="G735" s="854"/>
      <c r="H735" s="1049"/>
      <c r="I735" s="856"/>
      <c r="J735" s="857"/>
      <c r="K735" s="858"/>
      <c r="L735" s="472"/>
      <c r="M735" s="816">
        <f t="shared" si="38"/>
        <v>0</v>
      </c>
      <c r="N735" s="833">
        <f t="shared" si="39"/>
        <v>0</v>
      </c>
      <c r="O735" s="265">
        <f t="shared" si="40"/>
        <v>0</v>
      </c>
      <c r="P735" s="827">
        <f t="shared" si="41"/>
        <v>0</v>
      </c>
    </row>
    <row r="736" spans="1:16" ht="30" hidden="1" customHeight="1" outlineLevel="1">
      <c r="A736" s="118"/>
      <c r="B736" s="118"/>
      <c r="C736" s="828">
        <v>712</v>
      </c>
      <c r="D736" s="829"/>
      <c r="E736" s="830"/>
      <c r="F736" s="830"/>
      <c r="G736" s="854"/>
      <c r="H736" s="1049"/>
      <c r="I736" s="856"/>
      <c r="J736" s="857"/>
      <c r="K736" s="858"/>
      <c r="L736" s="472"/>
      <c r="M736" s="816">
        <f t="shared" si="38"/>
        <v>0</v>
      </c>
      <c r="N736" s="833">
        <f t="shared" si="39"/>
        <v>0</v>
      </c>
      <c r="O736" s="265">
        <f t="shared" si="40"/>
        <v>0</v>
      </c>
      <c r="P736" s="827">
        <f t="shared" si="41"/>
        <v>0</v>
      </c>
    </row>
    <row r="737" spans="1:16" ht="30" hidden="1" customHeight="1" outlineLevel="1">
      <c r="A737" s="118"/>
      <c r="B737" s="118"/>
      <c r="C737" s="828">
        <v>713</v>
      </c>
      <c r="D737" s="829"/>
      <c r="E737" s="830"/>
      <c r="F737" s="830"/>
      <c r="G737" s="854"/>
      <c r="H737" s="1049"/>
      <c r="I737" s="856"/>
      <c r="J737" s="857"/>
      <c r="K737" s="858"/>
      <c r="L737" s="472"/>
      <c r="M737" s="816">
        <f t="shared" si="38"/>
        <v>0</v>
      </c>
      <c r="N737" s="833">
        <f t="shared" si="39"/>
        <v>0</v>
      </c>
      <c r="O737" s="265">
        <f t="shared" si="40"/>
        <v>0</v>
      </c>
      <c r="P737" s="827">
        <f t="shared" si="41"/>
        <v>0</v>
      </c>
    </row>
    <row r="738" spans="1:16" ht="30" hidden="1" customHeight="1" outlineLevel="1">
      <c r="A738" s="118"/>
      <c r="B738" s="118"/>
      <c r="C738" s="828">
        <v>714</v>
      </c>
      <c r="D738" s="829"/>
      <c r="E738" s="830"/>
      <c r="F738" s="830"/>
      <c r="G738" s="854"/>
      <c r="H738" s="1049"/>
      <c r="I738" s="856"/>
      <c r="J738" s="857"/>
      <c r="K738" s="858"/>
      <c r="L738" s="472"/>
      <c r="M738" s="816">
        <f t="shared" si="38"/>
        <v>0</v>
      </c>
      <c r="N738" s="833">
        <f t="shared" si="39"/>
        <v>0</v>
      </c>
      <c r="O738" s="265">
        <f t="shared" si="40"/>
        <v>0</v>
      </c>
      <c r="P738" s="827">
        <f t="shared" si="41"/>
        <v>0</v>
      </c>
    </row>
    <row r="739" spans="1:16" ht="30" hidden="1" customHeight="1" outlineLevel="1">
      <c r="A739" s="118"/>
      <c r="B739" s="118"/>
      <c r="C739" s="828">
        <v>715</v>
      </c>
      <c r="D739" s="829"/>
      <c r="E739" s="830"/>
      <c r="F739" s="830"/>
      <c r="G739" s="854"/>
      <c r="H739" s="1049"/>
      <c r="I739" s="856"/>
      <c r="J739" s="857"/>
      <c r="K739" s="858"/>
      <c r="L739" s="472"/>
      <c r="M739" s="816">
        <f t="shared" si="38"/>
        <v>0</v>
      </c>
      <c r="N739" s="833">
        <f t="shared" si="39"/>
        <v>0</v>
      </c>
      <c r="O739" s="265">
        <f t="shared" si="40"/>
        <v>0</v>
      </c>
      <c r="P739" s="827">
        <f t="shared" si="41"/>
        <v>0</v>
      </c>
    </row>
    <row r="740" spans="1:16" ht="30" hidden="1" customHeight="1" outlineLevel="1">
      <c r="A740" s="118"/>
      <c r="B740" s="118"/>
      <c r="C740" s="828">
        <v>716</v>
      </c>
      <c r="D740" s="829"/>
      <c r="E740" s="830"/>
      <c r="F740" s="830"/>
      <c r="G740" s="854"/>
      <c r="H740" s="1049"/>
      <c r="I740" s="856"/>
      <c r="J740" s="857"/>
      <c r="K740" s="858"/>
      <c r="L740" s="472"/>
      <c r="M740" s="816">
        <f t="shared" si="38"/>
        <v>0</v>
      </c>
      <c r="N740" s="833">
        <f t="shared" si="39"/>
        <v>0</v>
      </c>
      <c r="O740" s="265">
        <f t="shared" si="40"/>
        <v>0</v>
      </c>
      <c r="P740" s="827">
        <f t="shared" si="41"/>
        <v>0</v>
      </c>
    </row>
    <row r="741" spans="1:16" ht="30" hidden="1" customHeight="1" outlineLevel="1">
      <c r="A741" s="118"/>
      <c r="B741" s="118"/>
      <c r="C741" s="828">
        <v>717</v>
      </c>
      <c r="D741" s="829"/>
      <c r="E741" s="830"/>
      <c r="F741" s="830"/>
      <c r="G741" s="854"/>
      <c r="H741" s="1049"/>
      <c r="I741" s="856"/>
      <c r="J741" s="857"/>
      <c r="K741" s="858"/>
      <c r="L741" s="472"/>
      <c r="M741" s="816">
        <f t="shared" si="38"/>
        <v>0</v>
      </c>
      <c r="N741" s="833">
        <f t="shared" si="39"/>
        <v>0</v>
      </c>
      <c r="O741" s="265">
        <f t="shared" si="40"/>
        <v>0</v>
      </c>
      <c r="P741" s="827">
        <f t="shared" si="41"/>
        <v>0</v>
      </c>
    </row>
    <row r="742" spans="1:16" ht="30" hidden="1" customHeight="1" outlineLevel="1">
      <c r="A742" s="118"/>
      <c r="B742" s="118"/>
      <c r="C742" s="828">
        <v>718</v>
      </c>
      <c r="D742" s="829"/>
      <c r="E742" s="830"/>
      <c r="F742" s="830"/>
      <c r="G742" s="854"/>
      <c r="H742" s="1049"/>
      <c r="I742" s="856"/>
      <c r="J742" s="857"/>
      <c r="K742" s="858"/>
      <c r="L742" s="472"/>
      <c r="M742" s="816">
        <f t="shared" si="38"/>
        <v>0</v>
      </c>
      <c r="N742" s="833">
        <f t="shared" si="39"/>
        <v>0</v>
      </c>
      <c r="O742" s="265">
        <f t="shared" si="40"/>
        <v>0</v>
      </c>
      <c r="P742" s="827">
        <f t="shared" si="41"/>
        <v>0</v>
      </c>
    </row>
    <row r="743" spans="1:16" ht="30" hidden="1" customHeight="1" outlineLevel="1">
      <c r="A743" s="118"/>
      <c r="B743" s="118"/>
      <c r="C743" s="828">
        <v>719</v>
      </c>
      <c r="D743" s="829"/>
      <c r="E743" s="830"/>
      <c r="F743" s="830"/>
      <c r="G743" s="854"/>
      <c r="H743" s="1049"/>
      <c r="I743" s="856"/>
      <c r="J743" s="857"/>
      <c r="K743" s="858"/>
      <c r="L743" s="472"/>
      <c r="M743" s="816">
        <f t="shared" si="38"/>
        <v>0</v>
      </c>
      <c r="N743" s="833">
        <f t="shared" si="39"/>
        <v>0</v>
      </c>
      <c r="O743" s="265">
        <f t="shared" si="40"/>
        <v>0</v>
      </c>
      <c r="P743" s="827">
        <f t="shared" si="41"/>
        <v>0</v>
      </c>
    </row>
    <row r="744" spans="1:16" ht="30" hidden="1" customHeight="1" outlineLevel="1">
      <c r="A744" s="118"/>
      <c r="B744" s="118"/>
      <c r="C744" s="828">
        <v>720</v>
      </c>
      <c r="D744" s="829"/>
      <c r="E744" s="830"/>
      <c r="F744" s="830"/>
      <c r="G744" s="854"/>
      <c r="H744" s="1049"/>
      <c r="I744" s="856"/>
      <c r="J744" s="857"/>
      <c r="K744" s="858"/>
      <c r="L744" s="472"/>
      <c r="M744" s="816">
        <f t="shared" si="38"/>
        <v>0</v>
      </c>
      <c r="N744" s="833">
        <f t="shared" si="39"/>
        <v>0</v>
      </c>
      <c r="O744" s="265">
        <f t="shared" si="40"/>
        <v>0</v>
      </c>
      <c r="P744" s="827">
        <f t="shared" si="41"/>
        <v>0</v>
      </c>
    </row>
    <row r="745" spans="1:16" ht="30" hidden="1" customHeight="1" outlineLevel="1">
      <c r="A745" s="118"/>
      <c r="B745" s="118"/>
      <c r="C745" s="828">
        <v>721</v>
      </c>
      <c r="D745" s="829"/>
      <c r="E745" s="830"/>
      <c r="F745" s="830"/>
      <c r="G745" s="854"/>
      <c r="H745" s="1049"/>
      <c r="I745" s="856"/>
      <c r="J745" s="857"/>
      <c r="K745" s="858"/>
      <c r="L745" s="472"/>
      <c r="M745" s="816">
        <f t="shared" si="38"/>
        <v>0</v>
      </c>
      <c r="N745" s="833">
        <f t="shared" si="39"/>
        <v>0</v>
      </c>
      <c r="O745" s="265">
        <f t="shared" si="40"/>
        <v>0</v>
      </c>
      <c r="P745" s="827">
        <f t="shared" si="41"/>
        <v>0</v>
      </c>
    </row>
    <row r="746" spans="1:16" ht="30" hidden="1" customHeight="1" outlineLevel="1">
      <c r="A746" s="118"/>
      <c r="B746" s="118"/>
      <c r="C746" s="828">
        <v>722</v>
      </c>
      <c r="D746" s="829"/>
      <c r="E746" s="830"/>
      <c r="F746" s="830"/>
      <c r="G746" s="854"/>
      <c r="H746" s="1049"/>
      <c r="I746" s="856"/>
      <c r="J746" s="857"/>
      <c r="K746" s="858"/>
      <c r="L746" s="472"/>
      <c r="M746" s="816">
        <f t="shared" si="38"/>
        <v>0</v>
      </c>
      <c r="N746" s="833">
        <f t="shared" si="39"/>
        <v>0</v>
      </c>
      <c r="O746" s="265">
        <f t="shared" si="40"/>
        <v>0</v>
      </c>
      <c r="P746" s="827">
        <f t="shared" si="41"/>
        <v>0</v>
      </c>
    </row>
    <row r="747" spans="1:16" ht="30" hidden="1" customHeight="1" outlineLevel="1">
      <c r="A747" s="118"/>
      <c r="B747" s="118"/>
      <c r="C747" s="828">
        <v>723</v>
      </c>
      <c r="D747" s="829"/>
      <c r="E747" s="830"/>
      <c r="F747" s="830"/>
      <c r="G747" s="854"/>
      <c r="H747" s="1049"/>
      <c r="I747" s="856"/>
      <c r="J747" s="857"/>
      <c r="K747" s="858"/>
      <c r="L747" s="472"/>
      <c r="M747" s="816">
        <f t="shared" si="38"/>
        <v>0</v>
      </c>
      <c r="N747" s="833">
        <f t="shared" si="39"/>
        <v>0</v>
      </c>
      <c r="O747" s="265">
        <f t="shared" si="40"/>
        <v>0</v>
      </c>
      <c r="P747" s="827">
        <f t="shared" si="41"/>
        <v>0</v>
      </c>
    </row>
    <row r="748" spans="1:16" ht="30" hidden="1" customHeight="1" outlineLevel="1">
      <c r="A748" s="118"/>
      <c r="B748" s="118"/>
      <c r="C748" s="828">
        <v>724</v>
      </c>
      <c r="D748" s="829"/>
      <c r="E748" s="830"/>
      <c r="F748" s="830"/>
      <c r="G748" s="854"/>
      <c r="H748" s="1049"/>
      <c r="I748" s="856"/>
      <c r="J748" s="857"/>
      <c r="K748" s="858"/>
      <c r="L748" s="472"/>
      <c r="M748" s="816">
        <f t="shared" si="38"/>
        <v>0</v>
      </c>
      <c r="N748" s="833">
        <f t="shared" si="39"/>
        <v>0</v>
      </c>
      <c r="O748" s="265">
        <f t="shared" si="40"/>
        <v>0</v>
      </c>
      <c r="P748" s="827">
        <f t="shared" si="41"/>
        <v>0</v>
      </c>
    </row>
    <row r="749" spans="1:16" ht="30" hidden="1" customHeight="1" outlineLevel="1">
      <c r="A749" s="118"/>
      <c r="B749" s="118"/>
      <c r="C749" s="828">
        <v>725</v>
      </c>
      <c r="D749" s="829"/>
      <c r="E749" s="830"/>
      <c r="F749" s="830"/>
      <c r="G749" s="854"/>
      <c r="H749" s="1049"/>
      <c r="I749" s="856"/>
      <c r="J749" s="857"/>
      <c r="K749" s="858"/>
      <c r="L749" s="472"/>
      <c r="M749" s="816">
        <f t="shared" si="38"/>
        <v>0</v>
      </c>
      <c r="N749" s="833">
        <f t="shared" si="39"/>
        <v>0</v>
      </c>
      <c r="O749" s="265">
        <f t="shared" si="40"/>
        <v>0</v>
      </c>
      <c r="P749" s="827">
        <f t="shared" si="41"/>
        <v>0</v>
      </c>
    </row>
    <row r="750" spans="1:16" ht="30" hidden="1" customHeight="1" outlineLevel="1">
      <c r="A750" s="118"/>
      <c r="B750" s="118"/>
      <c r="C750" s="828">
        <v>726</v>
      </c>
      <c r="D750" s="829"/>
      <c r="E750" s="830"/>
      <c r="F750" s="830"/>
      <c r="G750" s="854"/>
      <c r="H750" s="1049"/>
      <c r="I750" s="856"/>
      <c r="J750" s="857"/>
      <c r="K750" s="858"/>
      <c r="L750" s="472"/>
      <c r="M750" s="816">
        <f t="shared" ref="M750:M813" si="42">IF($H750&gt;0,E750,)</f>
        <v>0</v>
      </c>
      <c r="N750" s="833">
        <f t="shared" ref="N750:N813" si="43">IF($H750&gt;0,F750,)</f>
        <v>0</v>
      </c>
      <c r="O750" s="265">
        <f t="shared" ref="O750:O813" si="44">IF(H750&gt;0,ROUND(G750,),)</f>
        <v>0</v>
      </c>
      <c r="P750" s="827">
        <f t="shared" ref="P750:P813" si="45">ROUND(O750*H750%,)</f>
        <v>0</v>
      </c>
    </row>
    <row r="751" spans="1:16" ht="30" hidden="1" customHeight="1" outlineLevel="1">
      <c r="A751" s="118"/>
      <c r="B751" s="118"/>
      <c r="C751" s="828">
        <v>727</v>
      </c>
      <c r="D751" s="829"/>
      <c r="E751" s="830"/>
      <c r="F751" s="830"/>
      <c r="G751" s="854"/>
      <c r="H751" s="1049"/>
      <c r="I751" s="856"/>
      <c r="J751" s="857"/>
      <c r="K751" s="858"/>
      <c r="L751" s="472"/>
      <c r="M751" s="816">
        <f t="shared" si="42"/>
        <v>0</v>
      </c>
      <c r="N751" s="833">
        <f t="shared" si="43"/>
        <v>0</v>
      </c>
      <c r="O751" s="265">
        <f t="shared" si="44"/>
        <v>0</v>
      </c>
      <c r="P751" s="827">
        <f t="shared" si="45"/>
        <v>0</v>
      </c>
    </row>
    <row r="752" spans="1:16" ht="30" hidden="1" customHeight="1" outlineLevel="1">
      <c r="A752" s="118"/>
      <c r="B752" s="118"/>
      <c r="C752" s="828">
        <v>728</v>
      </c>
      <c r="D752" s="829"/>
      <c r="E752" s="830"/>
      <c r="F752" s="830"/>
      <c r="G752" s="854"/>
      <c r="H752" s="1049"/>
      <c r="I752" s="856"/>
      <c r="J752" s="857"/>
      <c r="K752" s="858"/>
      <c r="L752" s="472"/>
      <c r="M752" s="816">
        <f t="shared" si="42"/>
        <v>0</v>
      </c>
      <c r="N752" s="833">
        <f t="shared" si="43"/>
        <v>0</v>
      </c>
      <c r="O752" s="265">
        <f t="shared" si="44"/>
        <v>0</v>
      </c>
      <c r="P752" s="827">
        <f t="shared" si="45"/>
        <v>0</v>
      </c>
    </row>
    <row r="753" spans="1:16" ht="30" hidden="1" customHeight="1" outlineLevel="1">
      <c r="A753" s="118"/>
      <c r="B753" s="118"/>
      <c r="C753" s="828">
        <v>729</v>
      </c>
      <c r="D753" s="829"/>
      <c r="E753" s="830"/>
      <c r="F753" s="830"/>
      <c r="G753" s="854"/>
      <c r="H753" s="1049"/>
      <c r="I753" s="856"/>
      <c r="J753" s="857"/>
      <c r="K753" s="858"/>
      <c r="L753" s="472"/>
      <c r="M753" s="816">
        <f t="shared" si="42"/>
        <v>0</v>
      </c>
      <c r="N753" s="833">
        <f t="shared" si="43"/>
        <v>0</v>
      </c>
      <c r="O753" s="265">
        <f t="shared" si="44"/>
        <v>0</v>
      </c>
      <c r="P753" s="827">
        <f t="shared" si="45"/>
        <v>0</v>
      </c>
    </row>
    <row r="754" spans="1:16" ht="30" hidden="1" customHeight="1" outlineLevel="1">
      <c r="A754" s="118"/>
      <c r="B754" s="118"/>
      <c r="C754" s="828">
        <v>730</v>
      </c>
      <c r="D754" s="829"/>
      <c r="E754" s="830"/>
      <c r="F754" s="830"/>
      <c r="G754" s="854"/>
      <c r="H754" s="1049"/>
      <c r="I754" s="856"/>
      <c r="J754" s="857"/>
      <c r="K754" s="858"/>
      <c r="L754" s="472"/>
      <c r="M754" s="816">
        <f t="shared" si="42"/>
        <v>0</v>
      </c>
      <c r="N754" s="833">
        <f t="shared" si="43"/>
        <v>0</v>
      </c>
      <c r="O754" s="265">
        <f t="shared" si="44"/>
        <v>0</v>
      </c>
      <c r="P754" s="827">
        <f t="shared" si="45"/>
        <v>0</v>
      </c>
    </row>
    <row r="755" spans="1:16" ht="30" hidden="1" customHeight="1" outlineLevel="1">
      <c r="A755" s="118"/>
      <c r="B755" s="118"/>
      <c r="C755" s="828">
        <v>731</v>
      </c>
      <c r="D755" s="829"/>
      <c r="E755" s="830"/>
      <c r="F755" s="830"/>
      <c r="G755" s="854"/>
      <c r="H755" s="1049"/>
      <c r="I755" s="856"/>
      <c r="J755" s="857"/>
      <c r="K755" s="858"/>
      <c r="L755" s="472"/>
      <c r="M755" s="816">
        <f t="shared" si="42"/>
        <v>0</v>
      </c>
      <c r="N755" s="833">
        <f t="shared" si="43"/>
        <v>0</v>
      </c>
      <c r="O755" s="265">
        <f t="shared" si="44"/>
        <v>0</v>
      </c>
      <c r="P755" s="827">
        <f t="shared" si="45"/>
        <v>0</v>
      </c>
    </row>
    <row r="756" spans="1:16" ht="30" hidden="1" customHeight="1" outlineLevel="1">
      <c r="A756" s="118"/>
      <c r="B756" s="118"/>
      <c r="C756" s="828">
        <v>732</v>
      </c>
      <c r="D756" s="829"/>
      <c r="E756" s="830"/>
      <c r="F756" s="830"/>
      <c r="G756" s="854"/>
      <c r="H756" s="1049"/>
      <c r="I756" s="856"/>
      <c r="J756" s="857"/>
      <c r="K756" s="858"/>
      <c r="L756" s="472"/>
      <c r="M756" s="816">
        <f t="shared" si="42"/>
        <v>0</v>
      </c>
      <c r="N756" s="833">
        <f t="shared" si="43"/>
        <v>0</v>
      </c>
      <c r="O756" s="265">
        <f t="shared" si="44"/>
        <v>0</v>
      </c>
      <c r="P756" s="827">
        <f t="shared" si="45"/>
        <v>0</v>
      </c>
    </row>
    <row r="757" spans="1:16" ht="30" hidden="1" customHeight="1" outlineLevel="1">
      <c r="A757" s="118"/>
      <c r="B757" s="118"/>
      <c r="C757" s="828">
        <v>733</v>
      </c>
      <c r="D757" s="829"/>
      <c r="E757" s="830"/>
      <c r="F757" s="830"/>
      <c r="G757" s="854"/>
      <c r="H757" s="1049"/>
      <c r="I757" s="856"/>
      <c r="J757" s="857"/>
      <c r="K757" s="858"/>
      <c r="L757" s="472"/>
      <c r="M757" s="816">
        <f t="shared" si="42"/>
        <v>0</v>
      </c>
      <c r="N757" s="833">
        <f t="shared" si="43"/>
        <v>0</v>
      </c>
      <c r="O757" s="265">
        <f t="shared" si="44"/>
        <v>0</v>
      </c>
      <c r="P757" s="827">
        <f t="shared" si="45"/>
        <v>0</v>
      </c>
    </row>
    <row r="758" spans="1:16" ht="30" hidden="1" customHeight="1" outlineLevel="1">
      <c r="A758" s="118"/>
      <c r="B758" s="118"/>
      <c r="C758" s="828">
        <v>734</v>
      </c>
      <c r="D758" s="829"/>
      <c r="E758" s="830"/>
      <c r="F758" s="830"/>
      <c r="G758" s="854"/>
      <c r="H758" s="1049"/>
      <c r="I758" s="856"/>
      <c r="J758" s="857"/>
      <c r="K758" s="858"/>
      <c r="L758" s="472"/>
      <c r="M758" s="816">
        <f t="shared" si="42"/>
        <v>0</v>
      </c>
      <c r="N758" s="833">
        <f t="shared" si="43"/>
        <v>0</v>
      </c>
      <c r="O758" s="265">
        <f t="shared" si="44"/>
        <v>0</v>
      </c>
      <c r="P758" s="827">
        <f t="shared" si="45"/>
        <v>0</v>
      </c>
    </row>
    <row r="759" spans="1:16" ht="30" hidden="1" customHeight="1" outlineLevel="1">
      <c r="A759" s="118"/>
      <c r="B759" s="118"/>
      <c r="C759" s="828">
        <v>735</v>
      </c>
      <c r="D759" s="829"/>
      <c r="E759" s="830"/>
      <c r="F759" s="830"/>
      <c r="G759" s="854"/>
      <c r="H759" s="1049"/>
      <c r="I759" s="856"/>
      <c r="J759" s="857"/>
      <c r="K759" s="858"/>
      <c r="L759" s="472"/>
      <c r="M759" s="816">
        <f t="shared" si="42"/>
        <v>0</v>
      </c>
      <c r="N759" s="833">
        <f t="shared" si="43"/>
        <v>0</v>
      </c>
      <c r="O759" s="265">
        <f t="shared" si="44"/>
        <v>0</v>
      </c>
      <c r="P759" s="827">
        <f t="shared" si="45"/>
        <v>0</v>
      </c>
    </row>
    <row r="760" spans="1:16" ht="30" hidden="1" customHeight="1" outlineLevel="1">
      <c r="A760" s="118"/>
      <c r="B760" s="118"/>
      <c r="C760" s="828">
        <v>736</v>
      </c>
      <c r="D760" s="829"/>
      <c r="E760" s="830"/>
      <c r="F760" s="830"/>
      <c r="G760" s="854"/>
      <c r="H760" s="1049"/>
      <c r="I760" s="856"/>
      <c r="J760" s="857"/>
      <c r="K760" s="858"/>
      <c r="L760" s="472"/>
      <c r="M760" s="816">
        <f t="shared" si="42"/>
        <v>0</v>
      </c>
      <c r="N760" s="833">
        <f t="shared" si="43"/>
        <v>0</v>
      </c>
      <c r="O760" s="265">
        <f t="shared" si="44"/>
        <v>0</v>
      </c>
      <c r="P760" s="827">
        <f t="shared" si="45"/>
        <v>0</v>
      </c>
    </row>
    <row r="761" spans="1:16" ht="30" hidden="1" customHeight="1" outlineLevel="1">
      <c r="A761" s="118"/>
      <c r="B761" s="118"/>
      <c r="C761" s="828">
        <v>737</v>
      </c>
      <c r="D761" s="829"/>
      <c r="E761" s="830"/>
      <c r="F761" s="830"/>
      <c r="G761" s="854"/>
      <c r="H761" s="1049"/>
      <c r="I761" s="856"/>
      <c r="J761" s="857"/>
      <c r="K761" s="858"/>
      <c r="L761" s="472"/>
      <c r="M761" s="816">
        <f t="shared" si="42"/>
        <v>0</v>
      </c>
      <c r="N761" s="833">
        <f t="shared" si="43"/>
        <v>0</v>
      </c>
      <c r="O761" s="265">
        <f t="shared" si="44"/>
        <v>0</v>
      </c>
      <c r="P761" s="827">
        <f t="shared" si="45"/>
        <v>0</v>
      </c>
    </row>
    <row r="762" spans="1:16" ht="30" hidden="1" customHeight="1" outlineLevel="1">
      <c r="A762" s="118"/>
      <c r="B762" s="118"/>
      <c r="C762" s="828">
        <v>738</v>
      </c>
      <c r="D762" s="829"/>
      <c r="E762" s="830"/>
      <c r="F762" s="830"/>
      <c r="G762" s="854"/>
      <c r="H762" s="1049"/>
      <c r="I762" s="856"/>
      <c r="J762" s="857"/>
      <c r="K762" s="858"/>
      <c r="L762" s="472"/>
      <c r="M762" s="816">
        <f t="shared" si="42"/>
        <v>0</v>
      </c>
      <c r="N762" s="833">
        <f t="shared" si="43"/>
        <v>0</v>
      </c>
      <c r="O762" s="265">
        <f t="shared" si="44"/>
        <v>0</v>
      </c>
      <c r="P762" s="827">
        <f t="shared" si="45"/>
        <v>0</v>
      </c>
    </row>
    <row r="763" spans="1:16" ht="30" hidden="1" customHeight="1" outlineLevel="1">
      <c r="A763" s="118"/>
      <c r="B763" s="118"/>
      <c r="C763" s="828">
        <v>739</v>
      </c>
      <c r="D763" s="829"/>
      <c r="E763" s="830"/>
      <c r="F763" s="830"/>
      <c r="G763" s="854"/>
      <c r="H763" s="1049"/>
      <c r="I763" s="856"/>
      <c r="J763" s="857"/>
      <c r="K763" s="858"/>
      <c r="L763" s="472"/>
      <c r="M763" s="816">
        <f t="shared" si="42"/>
        <v>0</v>
      </c>
      <c r="N763" s="833">
        <f t="shared" si="43"/>
        <v>0</v>
      </c>
      <c r="O763" s="265">
        <f t="shared" si="44"/>
        <v>0</v>
      </c>
      <c r="P763" s="827">
        <f t="shared" si="45"/>
        <v>0</v>
      </c>
    </row>
    <row r="764" spans="1:16" ht="30" hidden="1" customHeight="1" outlineLevel="1">
      <c r="A764" s="118"/>
      <c r="B764" s="118"/>
      <c r="C764" s="828">
        <v>740</v>
      </c>
      <c r="D764" s="829"/>
      <c r="E764" s="830"/>
      <c r="F764" s="830"/>
      <c r="G764" s="854"/>
      <c r="H764" s="1049"/>
      <c r="I764" s="856"/>
      <c r="J764" s="857"/>
      <c r="K764" s="858"/>
      <c r="L764" s="472"/>
      <c r="M764" s="816">
        <f t="shared" si="42"/>
        <v>0</v>
      </c>
      <c r="N764" s="833">
        <f t="shared" si="43"/>
        <v>0</v>
      </c>
      <c r="O764" s="265">
        <f t="shared" si="44"/>
        <v>0</v>
      </c>
      <c r="P764" s="827">
        <f t="shared" si="45"/>
        <v>0</v>
      </c>
    </row>
    <row r="765" spans="1:16" ht="30" hidden="1" customHeight="1" outlineLevel="1">
      <c r="A765" s="118"/>
      <c r="B765" s="118"/>
      <c r="C765" s="828">
        <v>741</v>
      </c>
      <c r="D765" s="829"/>
      <c r="E765" s="830"/>
      <c r="F765" s="830"/>
      <c r="G765" s="854"/>
      <c r="H765" s="1049"/>
      <c r="I765" s="856"/>
      <c r="J765" s="857"/>
      <c r="K765" s="858"/>
      <c r="L765" s="472"/>
      <c r="M765" s="816">
        <f t="shared" si="42"/>
        <v>0</v>
      </c>
      <c r="N765" s="833">
        <f t="shared" si="43"/>
        <v>0</v>
      </c>
      <c r="O765" s="265">
        <f t="shared" si="44"/>
        <v>0</v>
      </c>
      <c r="P765" s="827">
        <f t="shared" si="45"/>
        <v>0</v>
      </c>
    </row>
    <row r="766" spans="1:16" ht="30" hidden="1" customHeight="1" outlineLevel="1">
      <c r="A766" s="118"/>
      <c r="B766" s="118"/>
      <c r="C766" s="828">
        <v>742</v>
      </c>
      <c r="D766" s="829"/>
      <c r="E766" s="830"/>
      <c r="F766" s="830"/>
      <c r="G766" s="854"/>
      <c r="H766" s="1049"/>
      <c r="I766" s="856"/>
      <c r="J766" s="857"/>
      <c r="K766" s="858"/>
      <c r="L766" s="472"/>
      <c r="M766" s="816">
        <f t="shared" si="42"/>
        <v>0</v>
      </c>
      <c r="N766" s="833">
        <f t="shared" si="43"/>
        <v>0</v>
      </c>
      <c r="O766" s="265">
        <f t="shared" si="44"/>
        <v>0</v>
      </c>
      <c r="P766" s="827">
        <f t="shared" si="45"/>
        <v>0</v>
      </c>
    </row>
    <row r="767" spans="1:16" ht="30" hidden="1" customHeight="1" outlineLevel="1">
      <c r="A767" s="118"/>
      <c r="B767" s="118"/>
      <c r="C767" s="828">
        <v>743</v>
      </c>
      <c r="D767" s="829"/>
      <c r="E767" s="830"/>
      <c r="F767" s="830"/>
      <c r="G767" s="854"/>
      <c r="H767" s="1049"/>
      <c r="I767" s="856"/>
      <c r="J767" s="857"/>
      <c r="K767" s="858"/>
      <c r="L767" s="472"/>
      <c r="M767" s="816">
        <f t="shared" si="42"/>
        <v>0</v>
      </c>
      <c r="N767" s="833">
        <f t="shared" si="43"/>
        <v>0</v>
      </c>
      <c r="O767" s="265">
        <f t="shared" si="44"/>
        <v>0</v>
      </c>
      <c r="P767" s="827">
        <f t="shared" si="45"/>
        <v>0</v>
      </c>
    </row>
    <row r="768" spans="1:16" ht="30" hidden="1" customHeight="1" outlineLevel="1">
      <c r="A768" s="118"/>
      <c r="B768" s="118"/>
      <c r="C768" s="828">
        <v>744</v>
      </c>
      <c r="D768" s="829"/>
      <c r="E768" s="830"/>
      <c r="F768" s="830"/>
      <c r="G768" s="854"/>
      <c r="H768" s="1049"/>
      <c r="I768" s="856"/>
      <c r="J768" s="857"/>
      <c r="K768" s="858"/>
      <c r="L768" s="472"/>
      <c r="M768" s="816">
        <f t="shared" si="42"/>
        <v>0</v>
      </c>
      <c r="N768" s="833">
        <f t="shared" si="43"/>
        <v>0</v>
      </c>
      <c r="O768" s="265">
        <f t="shared" si="44"/>
        <v>0</v>
      </c>
      <c r="P768" s="827">
        <f t="shared" si="45"/>
        <v>0</v>
      </c>
    </row>
    <row r="769" spans="1:16" ht="30" hidden="1" customHeight="1" outlineLevel="1">
      <c r="A769" s="118"/>
      <c r="B769" s="118"/>
      <c r="C769" s="828">
        <v>745</v>
      </c>
      <c r="D769" s="829"/>
      <c r="E769" s="830"/>
      <c r="F769" s="830"/>
      <c r="G769" s="854"/>
      <c r="H769" s="1049"/>
      <c r="I769" s="856"/>
      <c r="J769" s="857"/>
      <c r="K769" s="858"/>
      <c r="L769" s="472"/>
      <c r="M769" s="816">
        <f t="shared" si="42"/>
        <v>0</v>
      </c>
      <c r="N769" s="833">
        <f t="shared" si="43"/>
        <v>0</v>
      </c>
      <c r="O769" s="265">
        <f t="shared" si="44"/>
        <v>0</v>
      </c>
      <c r="P769" s="827">
        <f t="shared" si="45"/>
        <v>0</v>
      </c>
    </row>
    <row r="770" spans="1:16" ht="30" hidden="1" customHeight="1" outlineLevel="1">
      <c r="A770" s="118"/>
      <c r="B770" s="118"/>
      <c r="C770" s="828">
        <v>746</v>
      </c>
      <c r="D770" s="829"/>
      <c r="E770" s="830"/>
      <c r="F770" s="830"/>
      <c r="G770" s="854"/>
      <c r="H770" s="1049"/>
      <c r="I770" s="856"/>
      <c r="J770" s="857"/>
      <c r="K770" s="858"/>
      <c r="L770" s="472"/>
      <c r="M770" s="816">
        <f t="shared" si="42"/>
        <v>0</v>
      </c>
      <c r="N770" s="833">
        <f t="shared" si="43"/>
        <v>0</v>
      </c>
      <c r="O770" s="265">
        <f t="shared" si="44"/>
        <v>0</v>
      </c>
      <c r="P770" s="827">
        <f t="shared" si="45"/>
        <v>0</v>
      </c>
    </row>
    <row r="771" spans="1:16" ht="30" hidden="1" customHeight="1" outlineLevel="1">
      <c r="A771" s="118"/>
      <c r="B771" s="118"/>
      <c r="C771" s="828">
        <v>747</v>
      </c>
      <c r="D771" s="829"/>
      <c r="E771" s="830"/>
      <c r="F771" s="830"/>
      <c r="G771" s="854"/>
      <c r="H771" s="1049"/>
      <c r="I771" s="856"/>
      <c r="J771" s="857"/>
      <c r="K771" s="858"/>
      <c r="L771" s="472"/>
      <c r="M771" s="816">
        <f t="shared" si="42"/>
        <v>0</v>
      </c>
      <c r="N771" s="833">
        <f t="shared" si="43"/>
        <v>0</v>
      </c>
      <c r="O771" s="265">
        <f t="shared" si="44"/>
        <v>0</v>
      </c>
      <c r="P771" s="827">
        <f t="shared" si="45"/>
        <v>0</v>
      </c>
    </row>
    <row r="772" spans="1:16" ht="30" hidden="1" customHeight="1" outlineLevel="1">
      <c r="A772" s="118"/>
      <c r="B772" s="118"/>
      <c r="C772" s="828">
        <v>748</v>
      </c>
      <c r="D772" s="829"/>
      <c r="E772" s="830"/>
      <c r="F772" s="830"/>
      <c r="G772" s="854"/>
      <c r="H772" s="1049"/>
      <c r="I772" s="856"/>
      <c r="J772" s="857"/>
      <c r="K772" s="858"/>
      <c r="L772" s="472"/>
      <c r="M772" s="816">
        <f t="shared" si="42"/>
        <v>0</v>
      </c>
      <c r="N772" s="833">
        <f t="shared" si="43"/>
        <v>0</v>
      </c>
      <c r="O772" s="265">
        <f t="shared" si="44"/>
        <v>0</v>
      </c>
      <c r="P772" s="827">
        <f t="shared" si="45"/>
        <v>0</v>
      </c>
    </row>
    <row r="773" spans="1:16" ht="30" hidden="1" customHeight="1" outlineLevel="1">
      <c r="A773" s="118"/>
      <c r="B773" s="118"/>
      <c r="C773" s="828">
        <v>749</v>
      </c>
      <c r="D773" s="829"/>
      <c r="E773" s="830"/>
      <c r="F773" s="830"/>
      <c r="G773" s="854"/>
      <c r="H773" s="1049"/>
      <c r="I773" s="856"/>
      <c r="J773" s="857"/>
      <c r="K773" s="858"/>
      <c r="L773" s="472"/>
      <c r="M773" s="816">
        <f t="shared" si="42"/>
        <v>0</v>
      </c>
      <c r="N773" s="833">
        <f t="shared" si="43"/>
        <v>0</v>
      </c>
      <c r="O773" s="265">
        <f t="shared" si="44"/>
        <v>0</v>
      </c>
      <c r="P773" s="827">
        <f t="shared" si="45"/>
        <v>0</v>
      </c>
    </row>
    <row r="774" spans="1:16" ht="30" hidden="1" customHeight="1" outlineLevel="1">
      <c r="A774" s="118"/>
      <c r="B774" s="118"/>
      <c r="C774" s="828">
        <v>750</v>
      </c>
      <c r="D774" s="829"/>
      <c r="E774" s="830"/>
      <c r="F774" s="830"/>
      <c r="G774" s="854"/>
      <c r="H774" s="1049"/>
      <c r="I774" s="856"/>
      <c r="J774" s="857"/>
      <c r="K774" s="858"/>
      <c r="L774" s="472"/>
      <c r="M774" s="816">
        <f t="shared" si="42"/>
        <v>0</v>
      </c>
      <c r="N774" s="833">
        <f t="shared" si="43"/>
        <v>0</v>
      </c>
      <c r="O774" s="265">
        <f t="shared" si="44"/>
        <v>0</v>
      </c>
      <c r="P774" s="827">
        <f t="shared" si="45"/>
        <v>0</v>
      </c>
    </row>
    <row r="775" spans="1:16" ht="30" hidden="1" customHeight="1" outlineLevel="1">
      <c r="A775" s="118"/>
      <c r="B775" s="118"/>
      <c r="C775" s="828">
        <v>751</v>
      </c>
      <c r="D775" s="829"/>
      <c r="E775" s="830"/>
      <c r="F775" s="830"/>
      <c r="G775" s="854"/>
      <c r="H775" s="1049"/>
      <c r="I775" s="856"/>
      <c r="J775" s="857"/>
      <c r="K775" s="858"/>
      <c r="L775" s="472"/>
      <c r="M775" s="816">
        <f t="shared" si="42"/>
        <v>0</v>
      </c>
      <c r="N775" s="833">
        <f t="shared" si="43"/>
        <v>0</v>
      </c>
      <c r="O775" s="265">
        <f t="shared" si="44"/>
        <v>0</v>
      </c>
      <c r="P775" s="827">
        <f t="shared" si="45"/>
        <v>0</v>
      </c>
    </row>
    <row r="776" spans="1:16" ht="30" hidden="1" customHeight="1" outlineLevel="1">
      <c r="A776" s="118"/>
      <c r="B776" s="118"/>
      <c r="C776" s="828">
        <v>752</v>
      </c>
      <c r="D776" s="829"/>
      <c r="E776" s="830"/>
      <c r="F776" s="830"/>
      <c r="G776" s="854"/>
      <c r="H776" s="1049"/>
      <c r="I776" s="856"/>
      <c r="J776" s="857"/>
      <c r="K776" s="858"/>
      <c r="L776" s="472"/>
      <c r="M776" s="816">
        <f t="shared" si="42"/>
        <v>0</v>
      </c>
      <c r="N776" s="833">
        <f t="shared" si="43"/>
        <v>0</v>
      </c>
      <c r="O776" s="265">
        <f t="shared" si="44"/>
        <v>0</v>
      </c>
      <c r="P776" s="827">
        <f t="shared" si="45"/>
        <v>0</v>
      </c>
    </row>
    <row r="777" spans="1:16" ht="30" hidden="1" customHeight="1" outlineLevel="1">
      <c r="A777" s="118"/>
      <c r="B777" s="118"/>
      <c r="C777" s="828">
        <v>753</v>
      </c>
      <c r="D777" s="829"/>
      <c r="E777" s="830"/>
      <c r="F777" s="830"/>
      <c r="G777" s="854"/>
      <c r="H777" s="1049"/>
      <c r="I777" s="856"/>
      <c r="J777" s="857"/>
      <c r="K777" s="858"/>
      <c r="L777" s="472"/>
      <c r="M777" s="816">
        <f t="shared" si="42"/>
        <v>0</v>
      </c>
      <c r="N777" s="833">
        <f t="shared" si="43"/>
        <v>0</v>
      </c>
      <c r="O777" s="265">
        <f t="shared" si="44"/>
        <v>0</v>
      </c>
      <c r="P777" s="827">
        <f t="shared" si="45"/>
        <v>0</v>
      </c>
    </row>
    <row r="778" spans="1:16" ht="30" hidden="1" customHeight="1" outlineLevel="1">
      <c r="A778" s="118"/>
      <c r="B778" s="118"/>
      <c r="C778" s="828">
        <v>754</v>
      </c>
      <c r="D778" s="829"/>
      <c r="E778" s="830"/>
      <c r="F778" s="830"/>
      <c r="G778" s="854"/>
      <c r="H778" s="1049"/>
      <c r="I778" s="856"/>
      <c r="J778" s="857"/>
      <c r="K778" s="858"/>
      <c r="L778" s="472"/>
      <c r="M778" s="816">
        <f t="shared" si="42"/>
        <v>0</v>
      </c>
      <c r="N778" s="833">
        <f t="shared" si="43"/>
        <v>0</v>
      </c>
      <c r="O778" s="265">
        <f t="shared" si="44"/>
        <v>0</v>
      </c>
      <c r="P778" s="827">
        <f t="shared" si="45"/>
        <v>0</v>
      </c>
    </row>
    <row r="779" spans="1:16" ht="30" hidden="1" customHeight="1" outlineLevel="1">
      <c r="A779" s="118"/>
      <c r="B779" s="118"/>
      <c r="C779" s="828">
        <v>755</v>
      </c>
      <c r="D779" s="829"/>
      <c r="E779" s="830"/>
      <c r="F779" s="830"/>
      <c r="G779" s="854"/>
      <c r="H779" s="1049"/>
      <c r="I779" s="856"/>
      <c r="J779" s="857"/>
      <c r="K779" s="858"/>
      <c r="L779" s="472"/>
      <c r="M779" s="816">
        <f t="shared" si="42"/>
        <v>0</v>
      </c>
      <c r="N779" s="833">
        <f t="shared" si="43"/>
        <v>0</v>
      </c>
      <c r="O779" s="265">
        <f t="shared" si="44"/>
        <v>0</v>
      </c>
      <c r="P779" s="827">
        <f t="shared" si="45"/>
        <v>0</v>
      </c>
    </row>
    <row r="780" spans="1:16" ht="30" hidden="1" customHeight="1" outlineLevel="1">
      <c r="A780" s="118"/>
      <c r="B780" s="118"/>
      <c r="C780" s="828">
        <v>756</v>
      </c>
      <c r="D780" s="829"/>
      <c r="E780" s="830"/>
      <c r="F780" s="830"/>
      <c r="G780" s="854"/>
      <c r="H780" s="1049"/>
      <c r="I780" s="856"/>
      <c r="J780" s="857"/>
      <c r="K780" s="858"/>
      <c r="L780" s="472"/>
      <c r="M780" s="816">
        <f t="shared" si="42"/>
        <v>0</v>
      </c>
      <c r="N780" s="833">
        <f t="shared" si="43"/>
        <v>0</v>
      </c>
      <c r="O780" s="265">
        <f t="shared" si="44"/>
        <v>0</v>
      </c>
      <c r="P780" s="827">
        <f t="shared" si="45"/>
        <v>0</v>
      </c>
    </row>
    <row r="781" spans="1:16" ht="30" hidden="1" customHeight="1" outlineLevel="1">
      <c r="A781" s="118"/>
      <c r="B781" s="118"/>
      <c r="C781" s="828">
        <v>757</v>
      </c>
      <c r="D781" s="829"/>
      <c r="E781" s="830"/>
      <c r="F781" s="830"/>
      <c r="G781" s="854"/>
      <c r="H781" s="1049"/>
      <c r="I781" s="856"/>
      <c r="J781" s="857"/>
      <c r="K781" s="858"/>
      <c r="L781" s="472"/>
      <c r="M781" s="816">
        <f t="shared" si="42"/>
        <v>0</v>
      </c>
      <c r="N781" s="833">
        <f t="shared" si="43"/>
        <v>0</v>
      </c>
      <c r="O781" s="265">
        <f t="shared" si="44"/>
        <v>0</v>
      </c>
      <c r="P781" s="827">
        <f t="shared" si="45"/>
        <v>0</v>
      </c>
    </row>
    <row r="782" spans="1:16" ht="30" hidden="1" customHeight="1" outlineLevel="1">
      <c r="A782" s="118"/>
      <c r="B782" s="118"/>
      <c r="C782" s="828">
        <v>758</v>
      </c>
      <c r="D782" s="829"/>
      <c r="E782" s="830"/>
      <c r="F782" s="830"/>
      <c r="G782" s="854"/>
      <c r="H782" s="1049"/>
      <c r="I782" s="856"/>
      <c r="J782" s="857"/>
      <c r="K782" s="858"/>
      <c r="L782" s="472"/>
      <c r="M782" s="816">
        <f t="shared" si="42"/>
        <v>0</v>
      </c>
      <c r="N782" s="833">
        <f t="shared" si="43"/>
        <v>0</v>
      </c>
      <c r="O782" s="265">
        <f t="shared" si="44"/>
        <v>0</v>
      </c>
      <c r="P782" s="827">
        <f t="shared" si="45"/>
        <v>0</v>
      </c>
    </row>
    <row r="783" spans="1:16" ht="30" hidden="1" customHeight="1" outlineLevel="1">
      <c r="A783" s="118"/>
      <c r="B783" s="118"/>
      <c r="C783" s="828">
        <v>759</v>
      </c>
      <c r="D783" s="829"/>
      <c r="E783" s="830"/>
      <c r="F783" s="830"/>
      <c r="G783" s="854"/>
      <c r="H783" s="1049"/>
      <c r="I783" s="856"/>
      <c r="J783" s="857"/>
      <c r="K783" s="858"/>
      <c r="L783" s="472"/>
      <c r="M783" s="816">
        <f t="shared" si="42"/>
        <v>0</v>
      </c>
      <c r="N783" s="833">
        <f t="shared" si="43"/>
        <v>0</v>
      </c>
      <c r="O783" s="265">
        <f t="shared" si="44"/>
        <v>0</v>
      </c>
      <c r="P783" s="827">
        <f t="shared" si="45"/>
        <v>0</v>
      </c>
    </row>
    <row r="784" spans="1:16" ht="30" hidden="1" customHeight="1" outlineLevel="1">
      <c r="A784" s="118"/>
      <c r="B784" s="118"/>
      <c r="C784" s="828">
        <v>760</v>
      </c>
      <c r="D784" s="829"/>
      <c r="E784" s="830"/>
      <c r="F784" s="830"/>
      <c r="G784" s="854"/>
      <c r="H784" s="1049"/>
      <c r="I784" s="856"/>
      <c r="J784" s="857"/>
      <c r="K784" s="858"/>
      <c r="L784" s="472"/>
      <c r="M784" s="816">
        <f t="shared" si="42"/>
        <v>0</v>
      </c>
      <c r="N784" s="833">
        <f t="shared" si="43"/>
        <v>0</v>
      </c>
      <c r="O784" s="265">
        <f t="shared" si="44"/>
        <v>0</v>
      </c>
      <c r="P784" s="827">
        <f t="shared" si="45"/>
        <v>0</v>
      </c>
    </row>
    <row r="785" spans="1:16" ht="30" hidden="1" customHeight="1" outlineLevel="1">
      <c r="A785" s="118"/>
      <c r="B785" s="118"/>
      <c r="C785" s="828">
        <v>761</v>
      </c>
      <c r="D785" s="829"/>
      <c r="E785" s="830"/>
      <c r="F785" s="830"/>
      <c r="G785" s="854"/>
      <c r="H785" s="1049"/>
      <c r="I785" s="856"/>
      <c r="J785" s="857"/>
      <c r="K785" s="858"/>
      <c r="L785" s="472"/>
      <c r="M785" s="816">
        <f t="shared" si="42"/>
        <v>0</v>
      </c>
      <c r="N785" s="833">
        <f t="shared" si="43"/>
        <v>0</v>
      </c>
      <c r="O785" s="265">
        <f t="shared" si="44"/>
        <v>0</v>
      </c>
      <c r="P785" s="827">
        <f t="shared" si="45"/>
        <v>0</v>
      </c>
    </row>
    <row r="786" spans="1:16" ht="30" hidden="1" customHeight="1" outlineLevel="1">
      <c r="A786" s="118"/>
      <c r="B786" s="118"/>
      <c r="C786" s="828">
        <v>762</v>
      </c>
      <c r="D786" s="829"/>
      <c r="E786" s="830"/>
      <c r="F786" s="830"/>
      <c r="G786" s="854"/>
      <c r="H786" s="1049"/>
      <c r="I786" s="856"/>
      <c r="J786" s="857"/>
      <c r="K786" s="858"/>
      <c r="L786" s="472"/>
      <c r="M786" s="816">
        <f t="shared" si="42"/>
        <v>0</v>
      </c>
      <c r="N786" s="833">
        <f t="shared" si="43"/>
        <v>0</v>
      </c>
      <c r="O786" s="265">
        <f t="shared" si="44"/>
        <v>0</v>
      </c>
      <c r="P786" s="827">
        <f t="shared" si="45"/>
        <v>0</v>
      </c>
    </row>
    <row r="787" spans="1:16" ht="30" hidden="1" customHeight="1" outlineLevel="1">
      <c r="A787" s="118"/>
      <c r="B787" s="118"/>
      <c r="C787" s="828">
        <v>763</v>
      </c>
      <c r="D787" s="829"/>
      <c r="E787" s="830"/>
      <c r="F787" s="830"/>
      <c r="G787" s="854"/>
      <c r="H787" s="1049"/>
      <c r="I787" s="856"/>
      <c r="J787" s="857"/>
      <c r="K787" s="858"/>
      <c r="L787" s="472"/>
      <c r="M787" s="816">
        <f t="shared" si="42"/>
        <v>0</v>
      </c>
      <c r="N787" s="833">
        <f t="shared" si="43"/>
        <v>0</v>
      </c>
      <c r="O787" s="265">
        <f t="shared" si="44"/>
        <v>0</v>
      </c>
      <c r="P787" s="827">
        <f t="shared" si="45"/>
        <v>0</v>
      </c>
    </row>
    <row r="788" spans="1:16" ht="30" hidden="1" customHeight="1" outlineLevel="1">
      <c r="A788" s="118"/>
      <c r="B788" s="118"/>
      <c r="C788" s="828">
        <v>764</v>
      </c>
      <c r="D788" s="829"/>
      <c r="E788" s="830"/>
      <c r="F788" s="830"/>
      <c r="G788" s="854"/>
      <c r="H788" s="1049"/>
      <c r="I788" s="856"/>
      <c r="J788" s="857"/>
      <c r="K788" s="858"/>
      <c r="L788" s="472"/>
      <c r="M788" s="816">
        <f t="shared" si="42"/>
        <v>0</v>
      </c>
      <c r="N788" s="833">
        <f t="shared" si="43"/>
        <v>0</v>
      </c>
      <c r="O788" s="265">
        <f t="shared" si="44"/>
        <v>0</v>
      </c>
      <c r="P788" s="827">
        <f t="shared" si="45"/>
        <v>0</v>
      </c>
    </row>
    <row r="789" spans="1:16" ht="30" hidden="1" customHeight="1" outlineLevel="1">
      <c r="A789" s="118"/>
      <c r="B789" s="118"/>
      <c r="C789" s="828">
        <v>765</v>
      </c>
      <c r="D789" s="829"/>
      <c r="E789" s="830"/>
      <c r="F789" s="830"/>
      <c r="G789" s="854"/>
      <c r="H789" s="1049"/>
      <c r="I789" s="856"/>
      <c r="J789" s="857"/>
      <c r="K789" s="858"/>
      <c r="L789" s="472"/>
      <c r="M789" s="816">
        <f t="shared" si="42"/>
        <v>0</v>
      </c>
      <c r="N789" s="833">
        <f t="shared" si="43"/>
        <v>0</v>
      </c>
      <c r="O789" s="265">
        <f t="shared" si="44"/>
        <v>0</v>
      </c>
      <c r="P789" s="827">
        <f t="shared" si="45"/>
        <v>0</v>
      </c>
    </row>
    <row r="790" spans="1:16" ht="30" hidden="1" customHeight="1" outlineLevel="1">
      <c r="A790" s="118"/>
      <c r="B790" s="118"/>
      <c r="C790" s="828">
        <v>766</v>
      </c>
      <c r="D790" s="829"/>
      <c r="E790" s="830"/>
      <c r="F790" s="830"/>
      <c r="G790" s="854"/>
      <c r="H790" s="1049"/>
      <c r="I790" s="856"/>
      <c r="J790" s="857"/>
      <c r="K790" s="858"/>
      <c r="L790" s="472"/>
      <c r="M790" s="816">
        <f t="shared" si="42"/>
        <v>0</v>
      </c>
      <c r="N790" s="833">
        <f t="shared" si="43"/>
        <v>0</v>
      </c>
      <c r="O790" s="265">
        <f t="shared" si="44"/>
        <v>0</v>
      </c>
      <c r="P790" s="827">
        <f t="shared" si="45"/>
        <v>0</v>
      </c>
    </row>
    <row r="791" spans="1:16" ht="30" hidden="1" customHeight="1" outlineLevel="1">
      <c r="A791" s="118"/>
      <c r="B791" s="118"/>
      <c r="C791" s="828">
        <v>767</v>
      </c>
      <c r="D791" s="829"/>
      <c r="E791" s="830"/>
      <c r="F791" s="830"/>
      <c r="G791" s="854"/>
      <c r="H791" s="1049"/>
      <c r="I791" s="856"/>
      <c r="J791" s="857"/>
      <c r="K791" s="858"/>
      <c r="L791" s="472"/>
      <c r="M791" s="816">
        <f t="shared" si="42"/>
        <v>0</v>
      </c>
      <c r="N791" s="833">
        <f t="shared" si="43"/>
        <v>0</v>
      </c>
      <c r="O791" s="265">
        <f t="shared" si="44"/>
        <v>0</v>
      </c>
      <c r="P791" s="827">
        <f t="shared" si="45"/>
        <v>0</v>
      </c>
    </row>
    <row r="792" spans="1:16" ht="30" hidden="1" customHeight="1" outlineLevel="1">
      <c r="A792" s="118"/>
      <c r="B792" s="118"/>
      <c r="C792" s="828">
        <v>768</v>
      </c>
      <c r="D792" s="829"/>
      <c r="E792" s="830"/>
      <c r="F792" s="830"/>
      <c r="G792" s="854"/>
      <c r="H792" s="1049"/>
      <c r="I792" s="856"/>
      <c r="J792" s="857"/>
      <c r="K792" s="858"/>
      <c r="L792" s="472"/>
      <c r="M792" s="816">
        <f t="shared" si="42"/>
        <v>0</v>
      </c>
      <c r="N792" s="833">
        <f t="shared" si="43"/>
        <v>0</v>
      </c>
      <c r="O792" s="265">
        <f t="shared" si="44"/>
        <v>0</v>
      </c>
      <c r="P792" s="827">
        <f t="shared" si="45"/>
        <v>0</v>
      </c>
    </row>
    <row r="793" spans="1:16" ht="30" hidden="1" customHeight="1" outlineLevel="1">
      <c r="A793" s="118"/>
      <c r="B793" s="118"/>
      <c r="C793" s="828">
        <v>769</v>
      </c>
      <c r="D793" s="829"/>
      <c r="E793" s="830"/>
      <c r="F793" s="830"/>
      <c r="G793" s="854"/>
      <c r="H793" s="1049"/>
      <c r="I793" s="856"/>
      <c r="J793" s="857"/>
      <c r="K793" s="858"/>
      <c r="L793" s="472"/>
      <c r="M793" s="816">
        <f t="shared" si="42"/>
        <v>0</v>
      </c>
      <c r="N793" s="833">
        <f t="shared" si="43"/>
        <v>0</v>
      </c>
      <c r="O793" s="265">
        <f t="shared" si="44"/>
        <v>0</v>
      </c>
      <c r="P793" s="827">
        <f t="shared" si="45"/>
        <v>0</v>
      </c>
    </row>
    <row r="794" spans="1:16" ht="30" hidden="1" customHeight="1" outlineLevel="1">
      <c r="A794" s="118"/>
      <c r="B794" s="118"/>
      <c r="C794" s="828">
        <v>770</v>
      </c>
      <c r="D794" s="829"/>
      <c r="E794" s="830"/>
      <c r="F794" s="830"/>
      <c r="G794" s="854"/>
      <c r="H794" s="1049"/>
      <c r="I794" s="856"/>
      <c r="J794" s="857"/>
      <c r="K794" s="858"/>
      <c r="L794" s="472"/>
      <c r="M794" s="816">
        <f t="shared" si="42"/>
        <v>0</v>
      </c>
      <c r="N794" s="833">
        <f t="shared" si="43"/>
        <v>0</v>
      </c>
      <c r="O794" s="265">
        <f t="shared" si="44"/>
        <v>0</v>
      </c>
      <c r="P794" s="827">
        <f t="shared" si="45"/>
        <v>0</v>
      </c>
    </row>
    <row r="795" spans="1:16" ht="30" hidden="1" customHeight="1" outlineLevel="1">
      <c r="A795" s="118"/>
      <c r="B795" s="118"/>
      <c r="C795" s="828">
        <v>771</v>
      </c>
      <c r="D795" s="829"/>
      <c r="E795" s="830"/>
      <c r="F795" s="830"/>
      <c r="G795" s="854"/>
      <c r="H795" s="1049"/>
      <c r="I795" s="856"/>
      <c r="J795" s="857"/>
      <c r="K795" s="858"/>
      <c r="L795" s="472"/>
      <c r="M795" s="816">
        <f t="shared" si="42"/>
        <v>0</v>
      </c>
      <c r="N795" s="833">
        <f t="shared" si="43"/>
        <v>0</v>
      </c>
      <c r="O795" s="265">
        <f t="shared" si="44"/>
        <v>0</v>
      </c>
      <c r="P795" s="827">
        <f t="shared" si="45"/>
        <v>0</v>
      </c>
    </row>
    <row r="796" spans="1:16" ht="30" hidden="1" customHeight="1" outlineLevel="1">
      <c r="A796" s="118"/>
      <c r="B796" s="118"/>
      <c r="C796" s="828">
        <v>772</v>
      </c>
      <c r="D796" s="829"/>
      <c r="E796" s="830"/>
      <c r="F796" s="830"/>
      <c r="G796" s="854"/>
      <c r="H796" s="1049"/>
      <c r="I796" s="856"/>
      <c r="J796" s="857"/>
      <c r="K796" s="858"/>
      <c r="L796" s="472"/>
      <c r="M796" s="816">
        <f t="shared" si="42"/>
        <v>0</v>
      </c>
      <c r="N796" s="833">
        <f t="shared" si="43"/>
        <v>0</v>
      </c>
      <c r="O796" s="265">
        <f t="shared" si="44"/>
        <v>0</v>
      </c>
      <c r="P796" s="827">
        <f t="shared" si="45"/>
        <v>0</v>
      </c>
    </row>
    <row r="797" spans="1:16" ht="30" hidden="1" customHeight="1" outlineLevel="1">
      <c r="A797" s="118"/>
      <c r="B797" s="118"/>
      <c r="C797" s="828">
        <v>773</v>
      </c>
      <c r="D797" s="829"/>
      <c r="E797" s="830"/>
      <c r="F797" s="830"/>
      <c r="G797" s="854"/>
      <c r="H797" s="1049"/>
      <c r="I797" s="856"/>
      <c r="J797" s="857"/>
      <c r="K797" s="858"/>
      <c r="L797" s="472"/>
      <c r="M797" s="816">
        <f t="shared" si="42"/>
        <v>0</v>
      </c>
      <c r="N797" s="833">
        <f t="shared" si="43"/>
        <v>0</v>
      </c>
      <c r="O797" s="265">
        <f t="shared" si="44"/>
        <v>0</v>
      </c>
      <c r="P797" s="827">
        <f t="shared" si="45"/>
        <v>0</v>
      </c>
    </row>
    <row r="798" spans="1:16" ht="30" hidden="1" customHeight="1" outlineLevel="1">
      <c r="A798" s="118"/>
      <c r="B798" s="118"/>
      <c r="C798" s="828">
        <v>774</v>
      </c>
      <c r="D798" s="829"/>
      <c r="E798" s="830"/>
      <c r="F798" s="830"/>
      <c r="G798" s="854"/>
      <c r="H798" s="1049"/>
      <c r="I798" s="856"/>
      <c r="J798" s="857"/>
      <c r="K798" s="858"/>
      <c r="L798" s="472"/>
      <c r="M798" s="816">
        <f t="shared" si="42"/>
        <v>0</v>
      </c>
      <c r="N798" s="833">
        <f t="shared" si="43"/>
        <v>0</v>
      </c>
      <c r="O798" s="265">
        <f t="shared" si="44"/>
        <v>0</v>
      </c>
      <c r="P798" s="827">
        <f t="shared" si="45"/>
        <v>0</v>
      </c>
    </row>
    <row r="799" spans="1:16" ht="30" hidden="1" customHeight="1" outlineLevel="1">
      <c r="A799" s="118"/>
      <c r="B799" s="118"/>
      <c r="C799" s="828">
        <v>775</v>
      </c>
      <c r="D799" s="829"/>
      <c r="E799" s="830"/>
      <c r="F799" s="830"/>
      <c r="G799" s="854"/>
      <c r="H799" s="1049"/>
      <c r="I799" s="856"/>
      <c r="J799" s="857"/>
      <c r="K799" s="858"/>
      <c r="L799" s="472"/>
      <c r="M799" s="816">
        <f t="shared" si="42"/>
        <v>0</v>
      </c>
      <c r="N799" s="833">
        <f t="shared" si="43"/>
        <v>0</v>
      </c>
      <c r="O799" s="265">
        <f t="shared" si="44"/>
        <v>0</v>
      </c>
      <c r="P799" s="827">
        <f t="shared" si="45"/>
        <v>0</v>
      </c>
    </row>
    <row r="800" spans="1:16" ht="30" hidden="1" customHeight="1" outlineLevel="1">
      <c r="A800" s="118"/>
      <c r="B800" s="118"/>
      <c r="C800" s="828">
        <v>776</v>
      </c>
      <c r="D800" s="829"/>
      <c r="E800" s="830"/>
      <c r="F800" s="830"/>
      <c r="G800" s="854"/>
      <c r="H800" s="1049"/>
      <c r="I800" s="856"/>
      <c r="J800" s="857"/>
      <c r="K800" s="858"/>
      <c r="L800" s="472"/>
      <c r="M800" s="816">
        <f t="shared" si="42"/>
        <v>0</v>
      </c>
      <c r="N800" s="833">
        <f t="shared" si="43"/>
        <v>0</v>
      </c>
      <c r="O800" s="265">
        <f t="shared" si="44"/>
        <v>0</v>
      </c>
      <c r="P800" s="827">
        <f t="shared" si="45"/>
        <v>0</v>
      </c>
    </row>
    <row r="801" spans="1:16" ht="30" hidden="1" customHeight="1" outlineLevel="1">
      <c r="A801" s="118"/>
      <c r="B801" s="118"/>
      <c r="C801" s="828">
        <v>777</v>
      </c>
      <c r="D801" s="829"/>
      <c r="E801" s="830"/>
      <c r="F801" s="830"/>
      <c r="G801" s="854"/>
      <c r="H801" s="1049"/>
      <c r="I801" s="856"/>
      <c r="J801" s="857"/>
      <c r="K801" s="858"/>
      <c r="L801" s="472"/>
      <c r="M801" s="816">
        <f t="shared" si="42"/>
        <v>0</v>
      </c>
      <c r="N801" s="833">
        <f t="shared" si="43"/>
        <v>0</v>
      </c>
      <c r="O801" s="265">
        <f t="shared" si="44"/>
        <v>0</v>
      </c>
      <c r="P801" s="827">
        <f t="shared" si="45"/>
        <v>0</v>
      </c>
    </row>
    <row r="802" spans="1:16" ht="30" hidden="1" customHeight="1" outlineLevel="1">
      <c r="A802" s="118"/>
      <c r="B802" s="118"/>
      <c r="C802" s="828">
        <v>778</v>
      </c>
      <c r="D802" s="829"/>
      <c r="E802" s="830"/>
      <c r="F802" s="830"/>
      <c r="G802" s="854"/>
      <c r="H802" s="1049"/>
      <c r="I802" s="856"/>
      <c r="J802" s="857"/>
      <c r="K802" s="858"/>
      <c r="L802" s="472"/>
      <c r="M802" s="816">
        <f t="shared" si="42"/>
        <v>0</v>
      </c>
      <c r="N802" s="833">
        <f t="shared" si="43"/>
        <v>0</v>
      </c>
      <c r="O802" s="265">
        <f t="shared" si="44"/>
        <v>0</v>
      </c>
      <c r="P802" s="827">
        <f t="shared" si="45"/>
        <v>0</v>
      </c>
    </row>
    <row r="803" spans="1:16" ht="30" hidden="1" customHeight="1" outlineLevel="1">
      <c r="A803" s="118"/>
      <c r="B803" s="118"/>
      <c r="C803" s="828">
        <v>779</v>
      </c>
      <c r="D803" s="829"/>
      <c r="E803" s="830"/>
      <c r="F803" s="830"/>
      <c r="G803" s="854"/>
      <c r="H803" s="1049"/>
      <c r="I803" s="856"/>
      <c r="J803" s="857"/>
      <c r="K803" s="858"/>
      <c r="L803" s="472"/>
      <c r="M803" s="816">
        <f t="shared" si="42"/>
        <v>0</v>
      </c>
      <c r="N803" s="833">
        <f t="shared" si="43"/>
        <v>0</v>
      </c>
      <c r="O803" s="265">
        <f t="shared" si="44"/>
        <v>0</v>
      </c>
      <c r="P803" s="827">
        <f t="shared" si="45"/>
        <v>0</v>
      </c>
    </row>
    <row r="804" spans="1:16" ht="30" hidden="1" customHeight="1" outlineLevel="1">
      <c r="A804" s="118"/>
      <c r="B804" s="118"/>
      <c r="C804" s="828">
        <v>780</v>
      </c>
      <c r="D804" s="829"/>
      <c r="E804" s="830"/>
      <c r="F804" s="830"/>
      <c r="G804" s="854"/>
      <c r="H804" s="1049"/>
      <c r="I804" s="856"/>
      <c r="J804" s="857"/>
      <c r="K804" s="858"/>
      <c r="L804" s="472"/>
      <c r="M804" s="816">
        <f t="shared" si="42"/>
        <v>0</v>
      </c>
      <c r="N804" s="833">
        <f t="shared" si="43"/>
        <v>0</v>
      </c>
      <c r="O804" s="265">
        <f t="shared" si="44"/>
        <v>0</v>
      </c>
      <c r="P804" s="827">
        <f t="shared" si="45"/>
        <v>0</v>
      </c>
    </row>
    <row r="805" spans="1:16" ht="30" hidden="1" customHeight="1" outlineLevel="1">
      <c r="A805" s="118"/>
      <c r="B805" s="118"/>
      <c r="C805" s="828">
        <v>781</v>
      </c>
      <c r="D805" s="829"/>
      <c r="E805" s="830"/>
      <c r="F805" s="830"/>
      <c r="G805" s="854"/>
      <c r="H805" s="1049"/>
      <c r="I805" s="856"/>
      <c r="J805" s="857"/>
      <c r="K805" s="858"/>
      <c r="L805" s="472"/>
      <c r="M805" s="816">
        <f t="shared" si="42"/>
        <v>0</v>
      </c>
      <c r="N805" s="833">
        <f t="shared" si="43"/>
        <v>0</v>
      </c>
      <c r="O805" s="265">
        <f t="shared" si="44"/>
        <v>0</v>
      </c>
      <c r="P805" s="827">
        <f t="shared" si="45"/>
        <v>0</v>
      </c>
    </row>
    <row r="806" spans="1:16" ht="30" hidden="1" customHeight="1" outlineLevel="1">
      <c r="A806" s="118"/>
      <c r="B806" s="118"/>
      <c r="C806" s="828">
        <v>782</v>
      </c>
      <c r="D806" s="829"/>
      <c r="E806" s="830"/>
      <c r="F806" s="830"/>
      <c r="G806" s="854"/>
      <c r="H806" s="1049"/>
      <c r="I806" s="856"/>
      <c r="J806" s="857"/>
      <c r="K806" s="858"/>
      <c r="L806" s="472"/>
      <c r="M806" s="816">
        <f t="shared" si="42"/>
        <v>0</v>
      </c>
      <c r="N806" s="833">
        <f t="shared" si="43"/>
        <v>0</v>
      </c>
      <c r="O806" s="265">
        <f t="shared" si="44"/>
        <v>0</v>
      </c>
      <c r="P806" s="827">
        <f t="shared" si="45"/>
        <v>0</v>
      </c>
    </row>
    <row r="807" spans="1:16" ht="30" hidden="1" customHeight="1" outlineLevel="1">
      <c r="A807" s="118"/>
      <c r="B807" s="118"/>
      <c r="C807" s="828">
        <v>783</v>
      </c>
      <c r="D807" s="829"/>
      <c r="E807" s="830"/>
      <c r="F807" s="830"/>
      <c r="G807" s="854"/>
      <c r="H807" s="1049"/>
      <c r="I807" s="856"/>
      <c r="J807" s="857"/>
      <c r="K807" s="858"/>
      <c r="L807" s="472"/>
      <c r="M807" s="816">
        <f t="shared" si="42"/>
        <v>0</v>
      </c>
      <c r="N807" s="833">
        <f t="shared" si="43"/>
        <v>0</v>
      </c>
      <c r="O807" s="265">
        <f t="shared" si="44"/>
        <v>0</v>
      </c>
      <c r="P807" s="827">
        <f t="shared" si="45"/>
        <v>0</v>
      </c>
    </row>
    <row r="808" spans="1:16" ht="30" hidden="1" customHeight="1" outlineLevel="1">
      <c r="A808" s="118"/>
      <c r="B808" s="118"/>
      <c r="C808" s="828">
        <v>784</v>
      </c>
      <c r="D808" s="829"/>
      <c r="E808" s="830"/>
      <c r="F808" s="830"/>
      <c r="G808" s="854"/>
      <c r="H808" s="1049"/>
      <c r="I808" s="856"/>
      <c r="J808" s="857"/>
      <c r="K808" s="858"/>
      <c r="L808" s="472"/>
      <c r="M808" s="816">
        <f t="shared" si="42"/>
        <v>0</v>
      </c>
      <c r="N808" s="833">
        <f t="shared" si="43"/>
        <v>0</v>
      </c>
      <c r="O808" s="265">
        <f t="shared" si="44"/>
        <v>0</v>
      </c>
      <c r="P808" s="827">
        <f t="shared" si="45"/>
        <v>0</v>
      </c>
    </row>
    <row r="809" spans="1:16" ht="30" hidden="1" customHeight="1" outlineLevel="1">
      <c r="A809" s="118"/>
      <c r="B809" s="118"/>
      <c r="C809" s="828">
        <v>785</v>
      </c>
      <c r="D809" s="829"/>
      <c r="E809" s="830"/>
      <c r="F809" s="830"/>
      <c r="G809" s="854"/>
      <c r="H809" s="1049"/>
      <c r="I809" s="856"/>
      <c r="J809" s="857"/>
      <c r="K809" s="858"/>
      <c r="L809" s="472"/>
      <c r="M809" s="816">
        <f t="shared" si="42"/>
        <v>0</v>
      </c>
      <c r="N809" s="833">
        <f t="shared" si="43"/>
        <v>0</v>
      </c>
      <c r="O809" s="265">
        <f t="shared" si="44"/>
        <v>0</v>
      </c>
      <c r="P809" s="827">
        <f t="shared" si="45"/>
        <v>0</v>
      </c>
    </row>
    <row r="810" spans="1:16" ht="30" hidden="1" customHeight="1" outlineLevel="1">
      <c r="A810" s="118"/>
      <c r="B810" s="118"/>
      <c r="C810" s="828">
        <v>786</v>
      </c>
      <c r="D810" s="829"/>
      <c r="E810" s="830"/>
      <c r="F810" s="830"/>
      <c r="G810" s="854"/>
      <c r="H810" s="1049"/>
      <c r="I810" s="856"/>
      <c r="J810" s="857"/>
      <c r="K810" s="858"/>
      <c r="L810" s="472"/>
      <c r="M810" s="816">
        <f t="shared" si="42"/>
        <v>0</v>
      </c>
      <c r="N810" s="833">
        <f t="shared" si="43"/>
        <v>0</v>
      </c>
      <c r="O810" s="265">
        <f t="shared" si="44"/>
        <v>0</v>
      </c>
      <c r="P810" s="827">
        <f t="shared" si="45"/>
        <v>0</v>
      </c>
    </row>
    <row r="811" spans="1:16" ht="30" hidden="1" customHeight="1" outlineLevel="1">
      <c r="A811" s="118"/>
      <c r="B811" s="118"/>
      <c r="C811" s="828">
        <v>787</v>
      </c>
      <c r="D811" s="829"/>
      <c r="E811" s="830"/>
      <c r="F811" s="830"/>
      <c r="G811" s="854"/>
      <c r="H811" s="1049"/>
      <c r="I811" s="856"/>
      <c r="J811" s="857"/>
      <c r="K811" s="858"/>
      <c r="L811" s="472"/>
      <c r="M811" s="816">
        <f t="shared" si="42"/>
        <v>0</v>
      </c>
      <c r="N811" s="833">
        <f t="shared" si="43"/>
        <v>0</v>
      </c>
      <c r="O811" s="265">
        <f t="shared" si="44"/>
        <v>0</v>
      </c>
      <c r="P811" s="827">
        <f t="shared" si="45"/>
        <v>0</v>
      </c>
    </row>
    <row r="812" spans="1:16" ht="30" hidden="1" customHeight="1" outlineLevel="1">
      <c r="A812" s="118"/>
      <c r="B812" s="118"/>
      <c r="C812" s="828">
        <v>788</v>
      </c>
      <c r="D812" s="829"/>
      <c r="E812" s="830"/>
      <c r="F812" s="830"/>
      <c r="G812" s="854"/>
      <c r="H812" s="1049"/>
      <c r="I812" s="856"/>
      <c r="J812" s="857"/>
      <c r="K812" s="858"/>
      <c r="L812" s="472"/>
      <c r="M812" s="816">
        <f t="shared" si="42"/>
        <v>0</v>
      </c>
      <c r="N812" s="833">
        <f t="shared" si="43"/>
        <v>0</v>
      </c>
      <c r="O812" s="265">
        <f t="shared" si="44"/>
        <v>0</v>
      </c>
      <c r="P812" s="827">
        <f t="shared" si="45"/>
        <v>0</v>
      </c>
    </row>
    <row r="813" spans="1:16" ht="30" hidden="1" customHeight="1" outlineLevel="1">
      <c r="A813" s="118"/>
      <c r="B813" s="118"/>
      <c r="C813" s="828">
        <v>789</v>
      </c>
      <c r="D813" s="829"/>
      <c r="E813" s="830"/>
      <c r="F813" s="830"/>
      <c r="G813" s="854"/>
      <c r="H813" s="1049"/>
      <c r="I813" s="856"/>
      <c r="J813" s="857"/>
      <c r="K813" s="858"/>
      <c r="L813" s="472"/>
      <c r="M813" s="816">
        <f t="shared" si="42"/>
        <v>0</v>
      </c>
      <c r="N813" s="833">
        <f t="shared" si="43"/>
        <v>0</v>
      </c>
      <c r="O813" s="265">
        <f t="shared" si="44"/>
        <v>0</v>
      </c>
      <c r="P813" s="827">
        <f t="shared" si="45"/>
        <v>0</v>
      </c>
    </row>
    <row r="814" spans="1:16" ht="30" hidden="1" customHeight="1" outlineLevel="1">
      <c r="A814" s="118"/>
      <c r="B814" s="118"/>
      <c r="C814" s="828">
        <v>790</v>
      </c>
      <c r="D814" s="829"/>
      <c r="E814" s="830"/>
      <c r="F814" s="830"/>
      <c r="G814" s="854"/>
      <c r="H814" s="1049"/>
      <c r="I814" s="856"/>
      <c r="J814" s="857"/>
      <c r="K814" s="858"/>
      <c r="L814" s="472"/>
      <c r="M814" s="816">
        <f t="shared" ref="M814:M877" si="46">IF($H814&gt;0,E814,)</f>
        <v>0</v>
      </c>
      <c r="N814" s="833">
        <f t="shared" ref="N814:N877" si="47">IF($H814&gt;0,F814,)</f>
        <v>0</v>
      </c>
      <c r="O814" s="265">
        <f t="shared" ref="O814:O877" si="48">IF(H814&gt;0,ROUND(G814,),)</f>
        <v>0</v>
      </c>
      <c r="P814" s="827">
        <f t="shared" ref="P814:P877" si="49">ROUND(O814*H814%,)</f>
        <v>0</v>
      </c>
    </row>
    <row r="815" spans="1:16" ht="30" hidden="1" customHeight="1" outlineLevel="1">
      <c r="A815" s="118"/>
      <c r="B815" s="118"/>
      <c r="C815" s="828">
        <v>791</v>
      </c>
      <c r="D815" s="829"/>
      <c r="E815" s="830"/>
      <c r="F815" s="830"/>
      <c r="G815" s="854"/>
      <c r="H815" s="1049"/>
      <c r="I815" s="856"/>
      <c r="J815" s="857"/>
      <c r="K815" s="858"/>
      <c r="L815" s="472"/>
      <c r="M815" s="816">
        <f t="shared" si="46"/>
        <v>0</v>
      </c>
      <c r="N815" s="833">
        <f t="shared" si="47"/>
        <v>0</v>
      </c>
      <c r="O815" s="265">
        <f t="shared" si="48"/>
        <v>0</v>
      </c>
      <c r="P815" s="827">
        <f t="shared" si="49"/>
        <v>0</v>
      </c>
    </row>
    <row r="816" spans="1:16" ht="30" hidden="1" customHeight="1" outlineLevel="1">
      <c r="A816" s="118"/>
      <c r="B816" s="118"/>
      <c r="C816" s="828">
        <v>792</v>
      </c>
      <c r="D816" s="829"/>
      <c r="E816" s="830"/>
      <c r="F816" s="830"/>
      <c r="G816" s="854"/>
      <c r="H816" s="1049"/>
      <c r="I816" s="856"/>
      <c r="J816" s="857"/>
      <c r="K816" s="858"/>
      <c r="L816" s="472"/>
      <c r="M816" s="816">
        <f t="shared" si="46"/>
        <v>0</v>
      </c>
      <c r="N816" s="833">
        <f t="shared" si="47"/>
        <v>0</v>
      </c>
      <c r="O816" s="265">
        <f t="shared" si="48"/>
        <v>0</v>
      </c>
      <c r="P816" s="827">
        <f t="shared" si="49"/>
        <v>0</v>
      </c>
    </row>
    <row r="817" spans="1:16" ht="30" hidden="1" customHeight="1" outlineLevel="1">
      <c r="A817" s="118"/>
      <c r="B817" s="118"/>
      <c r="C817" s="828">
        <v>793</v>
      </c>
      <c r="D817" s="829"/>
      <c r="E817" s="830"/>
      <c r="F817" s="830"/>
      <c r="G817" s="854"/>
      <c r="H817" s="1049"/>
      <c r="I817" s="856"/>
      <c r="J817" s="857"/>
      <c r="K817" s="858"/>
      <c r="L817" s="472"/>
      <c r="M817" s="816">
        <f t="shared" si="46"/>
        <v>0</v>
      </c>
      <c r="N817" s="833">
        <f t="shared" si="47"/>
        <v>0</v>
      </c>
      <c r="O817" s="265">
        <f t="shared" si="48"/>
        <v>0</v>
      </c>
      <c r="P817" s="827">
        <f t="shared" si="49"/>
        <v>0</v>
      </c>
    </row>
    <row r="818" spans="1:16" ht="30" hidden="1" customHeight="1" outlineLevel="1">
      <c r="A818" s="118"/>
      <c r="B818" s="118"/>
      <c r="C818" s="828">
        <v>794</v>
      </c>
      <c r="D818" s="829"/>
      <c r="E818" s="830"/>
      <c r="F818" s="830"/>
      <c r="G818" s="854"/>
      <c r="H818" s="1049"/>
      <c r="I818" s="856"/>
      <c r="J818" s="857"/>
      <c r="K818" s="858"/>
      <c r="L818" s="472"/>
      <c r="M818" s="816">
        <f t="shared" si="46"/>
        <v>0</v>
      </c>
      <c r="N818" s="833">
        <f t="shared" si="47"/>
        <v>0</v>
      </c>
      <c r="O818" s="265">
        <f t="shared" si="48"/>
        <v>0</v>
      </c>
      <c r="P818" s="827">
        <f t="shared" si="49"/>
        <v>0</v>
      </c>
    </row>
    <row r="819" spans="1:16" ht="30" hidden="1" customHeight="1" outlineLevel="1">
      <c r="A819" s="118"/>
      <c r="B819" s="118"/>
      <c r="C819" s="828">
        <v>795</v>
      </c>
      <c r="D819" s="829"/>
      <c r="E819" s="830"/>
      <c r="F819" s="830"/>
      <c r="G819" s="854"/>
      <c r="H819" s="1049"/>
      <c r="I819" s="856"/>
      <c r="J819" s="857"/>
      <c r="K819" s="858"/>
      <c r="L819" s="472"/>
      <c r="M819" s="816">
        <f t="shared" si="46"/>
        <v>0</v>
      </c>
      <c r="N819" s="833">
        <f t="shared" si="47"/>
        <v>0</v>
      </c>
      <c r="O819" s="265">
        <f t="shared" si="48"/>
        <v>0</v>
      </c>
      <c r="P819" s="827">
        <f t="shared" si="49"/>
        <v>0</v>
      </c>
    </row>
    <row r="820" spans="1:16" ht="30" hidden="1" customHeight="1" outlineLevel="1">
      <c r="A820" s="118"/>
      <c r="B820" s="118"/>
      <c r="C820" s="828">
        <v>796</v>
      </c>
      <c r="D820" s="829"/>
      <c r="E820" s="830"/>
      <c r="F820" s="830"/>
      <c r="G820" s="854"/>
      <c r="H820" s="1049"/>
      <c r="I820" s="856"/>
      <c r="J820" s="857"/>
      <c r="K820" s="858"/>
      <c r="L820" s="472"/>
      <c r="M820" s="816">
        <f t="shared" si="46"/>
        <v>0</v>
      </c>
      <c r="N820" s="833">
        <f t="shared" si="47"/>
        <v>0</v>
      </c>
      <c r="O820" s="265">
        <f t="shared" si="48"/>
        <v>0</v>
      </c>
      <c r="P820" s="827">
        <f t="shared" si="49"/>
        <v>0</v>
      </c>
    </row>
    <row r="821" spans="1:16" ht="30" hidden="1" customHeight="1" outlineLevel="1">
      <c r="A821" s="118"/>
      <c r="B821" s="118"/>
      <c r="C821" s="828">
        <v>797</v>
      </c>
      <c r="D821" s="829"/>
      <c r="E821" s="830"/>
      <c r="F821" s="830"/>
      <c r="G821" s="854"/>
      <c r="H821" s="1049"/>
      <c r="I821" s="856"/>
      <c r="J821" s="857"/>
      <c r="K821" s="858"/>
      <c r="L821" s="472"/>
      <c r="M821" s="816">
        <f t="shared" si="46"/>
        <v>0</v>
      </c>
      <c r="N821" s="833">
        <f t="shared" si="47"/>
        <v>0</v>
      </c>
      <c r="O821" s="265">
        <f t="shared" si="48"/>
        <v>0</v>
      </c>
      <c r="P821" s="827">
        <f t="shared" si="49"/>
        <v>0</v>
      </c>
    </row>
    <row r="822" spans="1:16" ht="30" hidden="1" customHeight="1" outlineLevel="1">
      <c r="A822" s="118"/>
      <c r="B822" s="118"/>
      <c r="C822" s="828">
        <v>798</v>
      </c>
      <c r="D822" s="829"/>
      <c r="E822" s="830"/>
      <c r="F822" s="830"/>
      <c r="G822" s="854"/>
      <c r="H822" s="1049"/>
      <c r="I822" s="856"/>
      <c r="J822" s="857"/>
      <c r="K822" s="858"/>
      <c r="L822" s="472"/>
      <c r="M822" s="816">
        <f t="shared" si="46"/>
        <v>0</v>
      </c>
      <c r="N822" s="833">
        <f t="shared" si="47"/>
        <v>0</v>
      </c>
      <c r="O822" s="265">
        <f t="shared" si="48"/>
        <v>0</v>
      </c>
      <c r="P822" s="827">
        <f t="shared" si="49"/>
        <v>0</v>
      </c>
    </row>
    <row r="823" spans="1:16" ht="30" hidden="1" customHeight="1" outlineLevel="1">
      <c r="A823" s="118"/>
      <c r="B823" s="118"/>
      <c r="C823" s="828">
        <v>799</v>
      </c>
      <c r="D823" s="829"/>
      <c r="E823" s="830"/>
      <c r="F823" s="830"/>
      <c r="G823" s="854"/>
      <c r="H823" s="1049"/>
      <c r="I823" s="856"/>
      <c r="J823" s="857"/>
      <c r="K823" s="858"/>
      <c r="L823" s="472"/>
      <c r="M823" s="816">
        <f t="shared" si="46"/>
        <v>0</v>
      </c>
      <c r="N823" s="833">
        <f t="shared" si="47"/>
        <v>0</v>
      </c>
      <c r="O823" s="265">
        <f t="shared" si="48"/>
        <v>0</v>
      </c>
      <c r="P823" s="827">
        <f t="shared" si="49"/>
        <v>0</v>
      </c>
    </row>
    <row r="824" spans="1:16" ht="30" hidden="1" customHeight="1" outlineLevel="1">
      <c r="A824" s="118"/>
      <c r="B824" s="118"/>
      <c r="C824" s="828">
        <v>800</v>
      </c>
      <c r="D824" s="829"/>
      <c r="E824" s="830"/>
      <c r="F824" s="830"/>
      <c r="G824" s="854"/>
      <c r="H824" s="1049"/>
      <c r="I824" s="856"/>
      <c r="J824" s="857"/>
      <c r="K824" s="858"/>
      <c r="L824" s="472"/>
      <c r="M824" s="816">
        <f t="shared" si="46"/>
        <v>0</v>
      </c>
      <c r="N824" s="833">
        <f t="shared" si="47"/>
        <v>0</v>
      </c>
      <c r="O824" s="265">
        <f t="shared" si="48"/>
        <v>0</v>
      </c>
      <c r="P824" s="827">
        <f t="shared" si="49"/>
        <v>0</v>
      </c>
    </row>
    <row r="825" spans="1:16" ht="30" hidden="1" customHeight="1" outlineLevel="1">
      <c r="A825" s="118"/>
      <c r="B825" s="118"/>
      <c r="C825" s="828">
        <v>801</v>
      </c>
      <c r="D825" s="829"/>
      <c r="E825" s="830"/>
      <c r="F825" s="830"/>
      <c r="G825" s="854"/>
      <c r="H825" s="1049"/>
      <c r="I825" s="856"/>
      <c r="J825" s="857"/>
      <c r="K825" s="858"/>
      <c r="L825" s="472"/>
      <c r="M825" s="816">
        <f t="shared" si="46"/>
        <v>0</v>
      </c>
      <c r="N825" s="833">
        <f t="shared" si="47"/>
        <v>0</v>
      </c>
      <c r="O825" s="265">
        <f t="shared" si="48"/>
        <v>0</v>
      </c>
      <c r="P825" s="827">
        <f t="shared" si="49"/>
        <v>0</v>
      </c>
    </row>
    <row r="826" spans="1:16" ht="30" hidden="1" customHeight="1" outlineLevel="1">
      <c r="A826" s="118"/>
      <c r="B826" s="118"/>
      <c r="C826" s="828">
        <v>802</v>
      </c>
      <c r="D826" s="829"/>
      <c r="E826" s="830"/>
      <c r="F826" s="830"/>
      <c r="G826" s="854"/>
      <c r="H826" s="1049"/>
      <c r="I826" s="856"/>
      <c r="J826" s="857"/>
      <c r="K826" s="858"/>
      <c r="L826" s="472"/>
      <c r="M826" s="816">
        <f t="shared" si="46"/>
        <v>0</v>
      </c>
      <c r="N826" s="833">
        <f t="shared" si="47"/>
        <v>0</v>
      </c>
      <c r="O826" s="265">
        <f t="shared" si="48"/>
        <v>0</v>
      </c>
      <c r="P826" s="827">
        <f t="shared" si="49"/>
        <v>0</v>
      </c>
    </row>
    <row r="827" spans="1:16" ht="30" hidden="1" customHeight="1" outlineLevel="1">
      <c r="A827" s="118"/>
      <c r="B827" s="118"/>
      <c r="C827" s="828">
        <v>803</v>
      </c>
      <c r="D827" s="829"/>
      <c r="E827" s="830"/>
      <c r="F827" s="830"/>
      <c r="G827" s="854"/>
      <c r="H827" s="1049"/>
      <c r="I827" s="856"/>
      <c r="J827" s="857"/>
      <c r="K827" s="858"/>
      <c r="L827" s="472"/>
      <c r="M827" s="816">
        <f t="shared" si="46"/>
        <v>0</v>
      </c>
      <c r="N827" s="833">
        <f t="shared" si="47"/>
        <v>0</v>
      </c>
      <c r="O827" s="265">
        <f t="shared" si="48"/>
        <v>0</v>
      </c>
      <c r="P827" s="827">
        <f t="shared" si="49"/>
        <v>0</v>
      </c>
    </row>
    <row r="828" spans="1:16" ht="30" hidden="1" customHeight="1" outlineLevel="1">
      <c r="A828" s="118"/>
      <c r="B828" s="118"/>
      <c r="C828" s="828">
        <v>804</v>
      </c>
      <c r="D828" s="829"/>
      <c r="E828" s="830"/>
      <c r="F828" s="830"/>
      <c r="G828" s="854"/>
      <c r="H828" s="1049"/>
      <c r="I828" s="856"/>
      <c r="J828" s="857"/>
      <c r="K828" s="858"/>
      <c r="L828" s="472"/>
      <c r="M828" s="816">
        <f t="shared" si="46"/>
        <v>0</v>
      </c>
      <c r="N828" s="833">
        <f t="shared" si="47"/>
        <v>0</v>
      </c>
      <c r="O828" s="265">
        <f t="shared" si="48"/>
        <v>0</v>
      </c>
      <c r="P828" s="827">
        <f t="shared" si="49"/>
        <v>0</v>
      </c>
    </row>
    <row r="829" spans="1:16" ht="30" hidden="1" customHeight="1" outlineLevel="1">
      <c r="A829" s="118"/>
      <c r="B829" s="118"/>
      <c r="C829" s="828">
        <v>805</v>
      </c>
      <c r="D829" s="829"/>
      <c r="E829" s="830"/>
      <c r="F829" s="830"/>
      <c r="G829" s="854"/>
      <c r="H829" s="1049"/>
      <c r="I829" s="856"/>
      <c r="J829" s="857"/>
      <c r="K829" s="858"/>
      <c r="L829" s="472"/>
      <c r="M829" s="816">
        <f t="shared" si="46"/>
        <v>0</v>
      </c>
      <c r="N829" s="833">
        <f t="shared" si="47"/>
        <v>0</v>
      </c>
      <c r="O829" s="265">
        <f t="shared" si="48"/>
        <v>0</v>
      </c>
      <c r="P829" s="827">
        <f t="shared" si="49"/>
        <v>0</v>
      </c>
    </row>
    <row r="830" spans="1:16" ht="30" hidden="1" customHeight="1" outlineLevel="1">
      <c r="A830" s="118"/>
      <c r="B830" s="118"/>
      <c r="C830" s="828">
        <v>806</v>
      </c>
      <c r="D830" s="829"/>
      <c r="E830" s="830"/>
      <c r="F830" s="830"/>
      <c r="G830" s="854"/>
      <c r="H830" s="1049"/>
      <c r="I830" s="856"/>
      <c r="J830" s="857"/>
      <c r="K830" s="858"/>
      <c r="L830" s="472"/>
      <c r="M830" s="816">
        <f t="shared" si="46"/>
        <v>0</v>
      </c>
      <c r="N830" s="833">
        <f t="shared" si="47"/>
        <v>0</v>
      </c>
      <c r="O830" s="265">
        <f t="shared" si="48"/>
        <v>0</v>
      </c>
      <c r="P830" s="827">
        <f t="shared" si="49"/>
        <v>0</v>
      </c>
    </row>
    <row r="831" spans="1:16" ht="30" hidden="1" customHeight="1" outlineLevel="1">
      <c r="A831" s="118"/>
      <c r="B831" s="118"/>
      <c r="C831" s="828">
        <v>807</v>
      </c>
      <c r="D831" s="829"/>
      <c r="E831" s="830"/>
      <c r="F831" s="830"/>
      <c r="G831" s="854"/>
      <c r="H831" s="1049"/>
      <c r="I831" s="856"/>
      <c r="J831" s="857"/>
      <c r="K831" s="858"/>
      <c r="L831" s="472"/>
      <c r="M831" s="816">
        <f t="shared" si="46"/>
        <v>0</v>
      </c>
      <c r="N831" s="833">
        <f t="shared" si="47"/>
        <v>0</v>
      </c>
      <c r="O831" s="265">
        <f t="shared" si="48"/>
        <v>0</v>
      </c>
      <c r="P831" s="827">
        <f t="shared" si="49"/>
        <v>0</v>
      </c>
    </row>
    <row r="832" spans="1:16" ht="30" hidden="1" customHeight="1" outlineLevel="1">
      <c r="A832" s="118"/>
      <c r="B832" s="118"/>
      <c r="C832" s="828">
        <v>808</v>
      </c>
      <c r="D832" s="829"/>
      <c r="E832" s="830"/>
      <c r="F832" s="830"/>
      <c r="G832" s="854"/>
      <c r="H832" s="1049"/>
      <c r="I832" s="856"/>
      <c r="J832" s="857"/>
      <c r="K832" s="858"/>
      <c r="L832" s="472"/>
      <c r="M832" s="816">
        <f t="shared" si="46"/>
        <v>0</v>
      </c>
      <c r="N832" s="833">
        <f t="shared" si="47"/>
        <v>0</v>
      </c>
      <c r="O832" s="265">
        <f t="shared" si="48"/>
        <v>0</v>
      </c>
      <c r="P832" s="827">
        <f t="shared" si="49"/>
        <v>0</v>
      </c>
    </row>
    <row r="833" spans="1:16" ht="30" hidden="1" customHeight="1" outlineLevel="1">
      <c r="A833" s="118"/>
      <c r="B833" s="118"/>
      <c r="C833" s="828">
        <v>809</v>
      </c>
      <c r="D833" s="829"/>
      <c r="E833" s="830"/>
      <c r="F833" s="830"/>
      <c r="G833" s="854"/>
      <c r="H833" s="1049"/>
      <c r="I833" s="856"/>
      <c r="J833" s="857"/>
      <c r="K833" s="858"/>
      <c r="L833" s="472"/>
      <c r="M833" s="816">
        <f t="shared" si="46"/>
        <v>0</v>
      </c>
      <c r="N833" s="833">
        <f t="shared" si="47"/>
        <v>0</v>
      </c>
      <c r="O833" s="265">
        <f t="shared" si="48"/>
        <v>0</v>
      </c>
      <c r="P833" s="827">
        <f t="shared" si="49"/>
        <v>0</v>
      </c>
    </row>
    <row r="834" spans="1:16" ht="30" hidden="1" customHeight="1" outlineLevel="1">
      <c r="A834" s="118"/>
      <c r="B834" s="118"/>
      <c r="C834" s="828">
        <v>810</v>
      </c>
      <c r="D834" s="829"/>
      <c r="E834" s="830"/>
      <c r="F834" s="830"/>
      <c r="G834" s="854"/>
      <c r="H834" s="1049"/>
      <c r="I834" s="856"/>
      <c r="J834" s="857"/>
      <c r="K834" s="858"/>
      <c r="L834" s="472"/>
      <c r="M834" s="816">
        <f t="shared" si="46"/>
        <v>0</v>
      </c>
      <c r="N834" s="833">
        <f t="shared" si="47"/>
        <v>0</v>
      </c>
      <c r="O834" s="265">
        <f t="shared" si="48"/>
        <v>0</v>
      </c>
      <c r="P834" s="827">
        <f t="shared" si="49"/>
        <v>0</v>
      </c>
    </row>
    <row r="835" spans="1:16" ht="30" hidden="1" customHeight="1" outlineLevel="1">
      <c r="A835" s="118"/>
      <c r="B835" s="118"/>
      <c r="C835" s="828">
        <v>811</v>
      </c>
      <c r="D835" s="829"/>
      <c r="E835" s="830"/>
      <c r="F835" s="830"/>
      <c r="G835" s="854"/>
      <c r="H835" s="1049"/>
      <c r="I835" s="856"/>
      <c r="J835" s="857"/>
      <c r="K835" s="858"/>
      <c r="L835" s="472"/>
      <c r="M835" s="816">
        <f t="shared" si="46"/>
        <v>0</v>
      </c>
      <c r="N835" s="833">
        <f t="shared" si="47"/>
        <v>0</v>
      </c>
      <c r="O835" s="265">
        <f t="shared" si="48"/>
        <v>0</v>
      </c>
      <c r="P835" s="827">
        <f t="shared" si="49"/>
        <v>0</v>
      </c>
    </row>
    <row r="836" spans="1:16" ht="30" hidden="1" customHeight="1" outlineLevel="1">
      <c r="A836" s="118"/>
      <c r="B836" s="118"/>
      <c r="C836" s="828">
        <v>812</v>
      </c>
      <c r="D836" s="829"/>
      <c r="E836" s="830"/>
      <c r="F836" s="830"/>
      <c r="G836" s="854"/>
      <c r="H836" s="1049"/>
      <c r="I836" s="856"/>
      <c r="J836" s="857"/>
      <c r="K836" s="858"/>
      <c r="L836" s="472"/>
      <c r="M836" s="816">
        <f t="shared" si="46"/>
        <v>0</v>
      </c>
      <c r="N836" s="833">
        <f t="shared" si="47"/>
        <v>0</v>
      </c>
      <c r="O836" s="265">
        <f t="shared" si="48"/>
        <v>0</v>
      </c>
      <c r="P836" s="827">
        <f t="shared" si="49"/>
        <v>0</v>
      </c>
    </row>
    <row r="837" spans="1:16" ht="30" hidden="1" customHeight="1" outlineLevel="1">
      <c r="A837" s="118"/>
      <c r="B837" s="118"/>
      <c r="C837" s="828">
        <v>813</v>
      </c>
      <c r="D837" s="829"/>
      <c r="E837" s="830"/>
      <c r="F837" s="830"/>
      <c r="G837" s="854"/>
      <c r="H837" s="1049"/>
      <c r="I837" s="856"/>
      <c r="J837" s="857"/>
      <c r="K837" s="858"/>
      <c r="L837" s="472"/>
      <c r="M837" s="816">
        <f t="shared" si="46"/>
        <v>0</v>
      </c>
      <c r="N837" s="833">
        <f t="shared" si="47"/>
        <v>0</v>
      </c>
      <c r="O837" s="265">
        <f t="shared" si="48"/>
        <v>0</v>
      </c>
      <c r="P837" s="827">
        <f t="shared" si="49"/>
        <v>0</v>
      </c>
    </row>
    <row r="838" spans="1:16" ht="30" hidden="1" customHeight="1" outlineLevel="1">
      <c r="A838" s="118"/>
      <c r="B838" s="118"/>
      <c r="C838" s="828">
        <v>814</v>
      </c>
      <c r="D838" s="829"/>
      <c r="E838" s="830"/>
      <c r="F838" s="830"/>
      <c r="G838" s="854"/>
      <c r="H838" s="1049"/>
      <c r="I838" s="856"/>
      <c r="J838" s="857"/>
      <c r="K838" s="858"/>
      <c r="L838" s="472"/>
      <c r="M838" s="816">
        <f t="shared" si="46"/>
        <v>0</v>
      </c>
      <c r="N838" s="833">
        <f t="shared" si="47"/>
        <v>0</v>
      </c>
      <c r="O838" s="265">
        <f t="shared" si="48"/>
        <v>0</v>
      </c>
      <c r="P838" s="827">
        <f t="shared" si="49"/>
        <v>0</v>
      </c>
    </row>
    <row r="839" spans="1:16" ht="30" hidden="1" customHeight="1" outlineLevel="1">
      <c r="A839" s="118"/>
      <c r="B839" s="118"/>
      <c r="C839" s="828">
        <v>815</v>
      </c>
      <c r="D839" s="829"/>
      <c r="E839" s="830"/>
      <c r="F839" s="830"/>
      <c r="G839" s="854"/>
      <c r="H839" s="1049"/>
      <c r="I839" s="856"/>
      <c r="J839" s="857"/>
      <c r="K839" s="858"/>
      <c r="L839" s="472"/>
      <c r="M839" s="816">
        <f t="shared" si="46"/>
        <v>0</v>
      </c>
      <c r="N839" s="833">
        <f t="shared" si="47"/>
        <v>0</v>
      </c>
      <c r="O839" s="265">
        <f t="shared" si="48"/>
        <v>0</v>
      </c>
      <c r="P839" s="827">
        <f t="shared" si="49"/>
        <v>0</v>
      </c>
    </row>
    <row r="840" spans="1:16" ht="30" hidden="1" customHeight="1" outlineLevel="1">
      <c r="A840" s="118"/>
      <c r="B840" s="118"/>
      <c r="C840" s="828">
        <v>816</v>
      </c>
      <c r="D840" s="829"/>
      <c r="E840" s="830"/>
      <c r="F840" s="830"/>
      <c r="G840" s="854"/>
      <c r="H840" s="1049"/>
      <c r="I840" s="856"/>
      <c r="J840" s="857"/>
      <c r="K840" s="858"/>
      <c r="L840" s="472"/>
      <c r="M840" s="816">
        <f t="shared" si="46"/>
        <v>0</v>
      </c>
      <c r="N840" s="833">
        <f t="shared" si="47"/>
        <v>0</v>
      </c>
      <c r="O840" s="265">
        <f t="shared" si="48"/>
        <v>0</v>
      </c>
      <c r="P840" s="827">
        <f t="shared" si="49"/>
        <v>0</v>
      </c>
    </row>
    <row r="841" spans="1:16" ht="30" hidden="1" customHeight="1" outlineLevel="1">
      <c r="A841" s="118"/>
      <c r="B841" s="118"/>
      <c r="C841" s="828">
        <v>817</v>
      </c>
      <c r="D841" s="829"/>
      <c r="E841" s="830"/>
      <c r="F841" s="830"/>
      <c r="G841" s="854"/>
      <c r="H841" s="1049"/>
      <c r="I841" s="856"/>
      <c r="J841" s="857"/>
      <c r="K841" s="858"/>
      <c r="L841" s="472"/>
      <c r="M841" s="816">
        <f t="shared" si="46"/>
        <v>0</v>
      </c>
      <c r="N841" s="833">
        <f t="shared" si="47"/>
        <v>0</v>
      </c>
      <c r="O841" s="265">
        <f t="shared" si="48"/>
        <v>0</v>
      </c>
      <c r="P841" s="827">
        <f t="shared" si="49"/>
        <v>0</v>
      </c>
    </row>
    <row r="842" spans="1:16" ht="30" hidden="1" customHeight="1" outlineLevel="1">
      <c r="A842" s="118"/>
      <c r="B842" s="118"/>
      <c r="C842" s="828">
        <v>818</v>
      </c>
      <c r="D842" s="829"/>
      <c r="E842" s="830"/>
      <c r="F842" s="830"/>
      <c r="G842" s="854"/>
      <c r="H842" s="1049"/>
      <c r="I842" s="856"/>
      <c r="J842" s="857"/>
      <c r="K842" s="858"/>
      <c r="L842" s="472"/>
      <c r="M842" s="816">
        <f t="shared" si="46"/>
        <v>0</v>
      </c>
      <c r="N842" s="833">
        <f t="shared" si="47"/>
        <v>0</v>
      </c>
      <c r="O842" s="265">
        <f t="shared" si="48"/>
        <v>0</v>
      </c>
      <c r="P842" s="827">
        <f t="shared" si="49"/>
        <v>0</v>
      </c>
    </row>
    <row r="843" spans="1:16" ht="30" hidden="1" customHeight="1" outlineLevel="1">
      <c r="A843" s="118"/>
      <c r="B843" s="118"/>
      <c r="C843" s="828">
        <v>819</v>
      </c>
      <c r="D843" s="829"/>
      <c r="E843" s="830"/>
      <c r="F843" s="830"/>
      <c r="G843" s="854"/>
      <c r="H843" s="1049"/>
      <c r="I843" s="856"/>
      <c r="J843" s="857"/>
      <c r="K843" s="858"/>
      <c r="L843" s="472"/>
      <c r="M843" s="816">
        <f t="shared" si="46"/>
        <v>0</v>
      </c>
      <c r="N843" s="833">
        <f t="shared" si="47"/>
        <v>0</v>
      </c>
      <c r="O843" s="265">
        <f t="shared" si="48"/>
        <v>0</v>
      </c>
      <c r="P843" s="827">
        <f t="shared" si="49"/>
        <v>0</v>
      </c>
    </row>
    <row r="844" spans="1:16" ht="30" hidden="1" customHeight="1" outlineLevel="1">
      <c r="A844" s="118"/>
      <c r="B844" s="118"/>
      <c r="C844" s="828">
        <v>820</v>
      </c>
      <c r="D844" s="829"/>
      <c r="E844" s="830"/>
      <c r="F844" s="830"/>
      <c r="G844" s="854"/>
      <c r="H844" s="1049"/>
      <c r="I844" s="856"/>
      <c r="J844" s="857"/>
      <c r="K844" s="858"/>
      <c r="L844" s="472"/>
      <c r="M844" s="816">
        <f t="shared" si="46"/>
        <v>0</v>
      </c>
      <c r="N844" s="833">
        <f t="shared" si="47"/>
        <v>0</v>
      </c>
      <c r="O844" s="265">
        <f t="shared" si="48"/>
        <v>0</v>
      </c>
      <c r="P844" s="827">
        <f t="shared" si="49"/>
        <v>0</v>
      </c>
    </row>
    <row r="845" spans="1:16" ht="30" hidden="1" customHeight="1" outlineLevel="1">
      <c r="A845" s="118"/>
      <c r="B845" s="118"/>
      <c r="C845" s="828">
        <v>821</v>
      </c>
      <c r="D845" s="829"/>
      <c r="E845" s="830"/>
      <c r="F845" s="830"/>
      <c r="G845" s="854"/>
      <c r="H845" s="1049"/>
      <c r="I845" s="856"/>
      <c r="J845" s="857"/>
      <c r="K845" s="858"/>
      <c r="L845" s="472"/>
      <c r="M845" s="816">
        <f t="shared" si="46"/>
        <v>0</v>
      </c>
      <c r="N845" s="833">
        <f t="shared" si="47"/>
        <v>0</v>
      </c>
      <c r="O845" s="265">
        <f t="shared" si="48"/>
        <v>0</v>
      </c>
      <c r="P845" s="827">
        <f t="shared" si="49"/>
        <v>0</v>
      </c>
    </row>
    <row r="846" spans="1:16" ht="30" hidden="1" customHeight="1" outlineLevel="1">
      <c r="A846" s="118"/>
      <c r="B846" s="118"/>
      <c r="C846" s="828">
        <v>822</v>
      </c>
      <c r="D846" s="829"/>
      <c r="E846" s="830"/>
      <c r="F846" s="830"/>
      <c r="G846" s="854"/>
      <c r="H846" s="1049"/>
      <c r="I846" s="856"/>
      <c r="J846" s="857"/>
      <c r="K846" s="858"/>
      <c r="L846" s="472"/>
      <c r="M846" s="816">
        <f t="shared" si="46"/>
        <v>0</v>
      </c>
      <c r="N846" s="833">
        <f t="shared" si="47"/>
        <v>0</v>
      </c>
      <c r="O846" s="265">
        <f t="shared" si="48"/>
        <v>0</v>
      </c>
      <c r="P846" s="827">
        <f t="shared" si="49"/>
        <v>0</v>
      </c>
    </row>
    <row r="847" spans="1:16" ht="30" hidden="1" customHeight="1" outlineLevel="1">
      <c r="A847" s="118"/>
      <c r="B847" s="118"/>
      <c r="C847" s="828">
        <v>823</v>
      </c>
      <c r="D847" s="829"/>
      <c r="E847" s="830"/>
      <c r="F847" s="830"/>
      <c r="G847" s="854"/>
      <c r="H847" s="1049"/>
      <c r="I847" s="856"/>
      <c r="J847" s="857"/>
      <c r="K847" s="858"/>
      <c r="L847" s="472"/>
      <c r="M847" s="816">
        <f t="shared" si="46"/>
        <v>0</v>
      </c>
      <c r="N847" s="833">
        <f t="shared" si="47"/>
        <v>0</v>
      </c>
      <c r="O847" s="265">
        <f t="shared" si="48"/>
        <v>0</v>
      </c>
      <c r="P847" s="827">
        <f t="shared" si="49"/>
        <v>0</v>
      </c>
    </row>
    <row r="848" spans="1:16" ht="30" hidden="1" customHeight="1" outlineLevel="1">
      <c r="A848" s="118"/>
      <c r="B848" s="118"/>
      <c r="C848" s="828">
        <v>824</v>
      </c>
      <c r="D848" s="829"/>
      <c r="E848" s="830"/>
      <c r="F848" s="830"/>
      <c r="G848" s="854"/>
      <c r="H848" s="1049"/>
      <c r="I848" s="856"/>
      <c r="J848" s="857"/>
      <c r="K848" s="858"/>
      <c r="L848" s="472"/>
      <c r="M848" s="816">
        <f t="shared" si="46"/>
        <v>0</v>
      </c>
      <c r="N848" s="833">
        <f t="shared" si="47"/>
        <v>0</v>
      </c>
      <c r="O848" s="265">
        <f t="shared" si="48"/>
        <v>0</v>
      </c>
      <c r="P848" s="827">
        <f t="shared" si="49"/>
        <v>0</v>
      </c>
    </row>
    <row r="849" spans="1:16" ht="30" hidden="1" customHeight="1" outlineLevel="1">
      <c r="A849" s="118"/>
      <c r="B849" s="118"/>
      <c r="C849" s="828">
        <v>825</v>
      </c>
      <c r="D849" s="829"/>
      <c r="E849" s="830"/>
      <c r="F849" s="830"/>
      <c r="G849" s="854"/>
      <c r="H849" s="1049"/>
      <c r="I849" s="856"/>
      <c r="J849" s="857"/>
      <c r="K849" s="858"/>
      <c r="L849" s="472"/>
      <c r="M849" s="816">
        <f t="shared" si="46"/>
        <v>0</v>
      </c>
      <c r="N849" s="833">
        <f t="shared" si="47"/>
        <v>0</v>
      </c>
      <c r="O849" s="265">
        <f t="shared" si="48"/>
        <v>0</v>
      </c>
      <c r="P849" s="827">
        <f t="shared" si="49"/>
        <v>0</v>
      </c>
    </row>
    <row r="850" spans="1:16" ht="30" hidden="1" customHeight="1" outlineLevel="1">
      <c r="A850" s="118"/>
      <c r="B850" s="118"/>
      <c r="C850" s="828">
        <v>826</v>
      </c>
      <c r="D850" s="829"/>
      <c r="E850" s="830"/>
      <c r="F850" s="830"/>
      <c r="G850" s="854"/>
      <c r="H850" s="1049"/>
      <c r="I850" s="856"/>
      <c r="J850" s="857"/>
      <c r="K850" s="858"/>
      <c r="L850" s="472"/>
      <c r="M850" s="816">
        <f t="shared" si="46"/>
        <v>0</v>
      </c>
      <c r="N850" s="833">
        <f t="shared" si="47"/>
        <v>0</v>
      </c>
      <c r="O850" s="265">
        <f t="shared" si="48"/>
        <v>0</v>
      </c>
      <c r="P850" s="827">
        <f t="shared" si="49"/>
        <v>0</v>
      </c>
    </row>
    <row r="851" spans="1:16" ht="30" hidden="1" customHeight="1" outlineLevel="1">
      <c r="A851" s="118"/>
      <c r="B851" s="118"/>
      <c r="C851" s="828">
        <v>827</v>
      </c>
      <c r="D851" s="829"/>
      <c r="E851" s="830"/>
      <c r="F851" s="830"/>
      <c r="G851" s="854"/>
      <c r="H851" s="1049"/>
      <c r="I851" s="856"/>
      <c r="J851" s="857"/>
      <c r="K851" s="858"/>
      <c r="L851" s="472"/>
      <c r="M851" s="816">
        <f t="shared" si="46"/>
        <v>0</v>
      </c>
      <c r="N851" s="833">
        <f t="shared" si="47"/>
        <v>0</v>
      </c>
      <c r="O851" s="265">
        <f t="shared" si="48"/>
        <v>0</v>
      </c>
      <c r="P851" s="827">
        <f t="shared" si="49"/>
        <v>0</v>
      </c>
    </row>
    <row r="852" spans="1:16" ht="30" hidden="1" customHeight="1" outlineLevel="1">
      <c r="A852" s="118"/>
      <c r="B852" s="118"/>
      <c r="C852" s="828">
        <v>828</v>
      </c>
      <c r="D852" s="829"/>
      <c r="E852" s="830"/>
      <c r="F852" s="830"/>
      <c r="G852" s="854"/>
      <c r="H852" s="1049"/>
      <c r="I852" s="856"/>
      <c r="J852" s="857"/>
      <c r="K852" s="858"/>
      <c r="L852" s="472"/>
      <c r="M852" s="816">
        <f t="shared" si="46"/>
        <v>0</v>
      </c>
      <c r="N852" s="833">
        <f t="shared" si="47"/>
        <v>0</v>
      </c>
      <c r="O852" s="265">
        <f t="shared" si="48"/>
        <v>0</v>
      </c>
      <c r="P852" s="827">
        <f t="shared" si="49"/>
        <v>0</v>
      </c>
    </row>
    <row r="853" spans="1:16" ht="30" hidden="1" customHeight="1" outlineLevel="1">
      <c r="A853" s="118"/>
      <c r="B853" s="118"/>
      <c r="C853" s="828">
        <v>829</v>
      </c>
      <c r="D853" s="829"/>
      <c r="E853" s="830"/>
      <c r="F853" s="830"/>
      <c r="G853" s="854"/>
      <c r="H853" s="1049"/>
      <c r="I853" s="856"/>
      <c r="J853" s="857"/>
      <c r="K853" s="858"/>
      <c r="L853" s="472"/>
      <c r="M853" s="816">
        <f t="shared" si="46"/>
        <v>0</v>
      </c>
      <c r="N853" s="833">
        <f t="shared" si="47"/>
        <v>0</v>
      </c>
      <c r="O853" s="265">
        <f t="shared" si="48"/>
        <v>0</v>
      </c>
      <c r="P853" s="827">
        <f t="shared" si="49"/>
        <v>0</v>
      </c>
    </row>
    <row r="854" spans="1:16" ht="30" hidden="1" customHeight="1" outlineLevel="1">
      <c r="A854" s="118"/>
      <c r="B854" s="118"/>
      <c r="C854" s="828">
        <v>830</v>
      </c>
      <c r="D854" s="829"/>
      <c r="E854" s="830"/>
      <c r="F854" s="830"/>
      <c r="G854" s="854"/>
      <c r="H854" s="1049"/>
      <c r="I854" s="856"/>
      <c r="J854" s="857"/>
      <c r="K854" s="858"/>
      <c r="L854" s="472"/>
      <c r="M854" s="816">
        <f t="shared" si="46"/>
        <v>0</v>
      </c>
      <c r="N854" s="833">
        <f t="shared" si="47"/>
        <v>0</v>
      </c>
      <c r="O854" s="265">
        <f t="shared" si="48"/>
        <v>0</v>
      </c>
      <c r="P854" s="827">
        <f t="shared" si="49"/>
        <v>0</v>
      </c>
    </row>
    <row r="855" spans="1:16" ht="30" hidden="1" customHeight="1" outlineLevel="1">
      <c r="A855" s="118"/>
      <c r="B855" s="118"/>
      <c r="C855" s="828">
        <v>831</v>
      </c>
      <c r="D855" s="829"/>
      <c r="E855" s="830"/>
      <c r="F855" s="830"/>
      <c r="G855" s="854"/>
      <c r="H855" s="1049"/>
      <c r="I855" s="856"/>
      <c r="J855" s="857"/>
      <c r="K855" s="858"/>
      <c r="L855" s="472"/>
      <c r="M855" s="816">
        <f t="shared" si="46"/>
        <v>0</v>
      </c>
      <c r="N855" s="833">
        <f t="shared" si="47"/>
        <v>0</v>
      </c>
      <c r="O855" s="265">
        <f t="shared" si="48"/>
        <v>0</v>
      </c>
      <c r="P855" s="827">
        <f t="shared" si="49"/>
        <v>0</v>
      </c>
    </row>
    <row r="856" spans="1:16" ht="30" hidden="1" customHeight="1" outlineLevel="1">
      <c r="A856" s="118"/>
      <c r="B856" s="118"/>
      <c r="C856" s="828">
        <v>832</v>
      </c>
      <c r="D856" s="829"/>
      <c r="E856" s="830"/>
      <c r="F856" s="830"/>
      <c r="G856" s="854"/>
      <c r="H856" s="1049"/>
      <c r="I856" s="856"/>
      <c r="J856" s="857"/>
      <c r="K856" s="858"/>
      <c r="L856" s="472"/>
      <c r="M856" s="816">
        <f t="shared" si="46"/>
        <v>0</v>
      </c>
      <c r="N856" s="833">
        <f t="shared" si="47"/>
        <v>0</v>
      </c>
      <c r="O856" s="265">
        <f t="shared" si="48"/>
        <v>0</v>
      </c>
      <c r="P856" s="827">
        <f t="shared" si="49"/>
        <v>0</v>
      </c>
    </row>
    <row r="857" spans="1:16" ht="30" hidden="1" customHeight="1" outlineLevel="1">
      <c r="A857" s="118"/>
      <c r="B857" s="118"/>
      <c r="C857" s="828">
        <v>833</v>
      </c>
      <c r="D857" s="829"/>
      <c r="E857" s="830"/>
      <c r="F857" s="830"/>
      <c r="G857" s="854"/>
      <c r="H857" s="1049"/>
      <c r="I857" s="856"/>
      <c r="J857" s="857"/>
      <c r="K857" s="858"/>
      <c r="L857" s="472"/>
      <c r="M857" s="816">
        <f t="shared" si="46"/>
        <v>0</v>
      </c>
      <c r="N857" s="833">
        <f t="shared" si="47"/>
        <v>0</v>
      </c>
      <c r="O857" s="265">
        <f t="shared" si="48"/>
        <v>0</v>
      </c>
      <c r="P857" s="827">
        <f t="shared" si="49"/>
        <v>0</v>
      </c>
    </row>
    <row r="858" spans="1:16" ht="30" hidden="1" customHeight="1" outlineLevel="1">
      <c r="A858" s="118"/>
      <c r="B858" s="118"/>
      <c r="C858" s="828">
        <v>834</v>
      </c>
      <c r="D858" s="829"/>
      <c r="E858" s="830"/>
      <c r="F858" s="830"/>
      <c r="G858" s="854"/>
      <c r="H858" s="1049"/>
      <c r="I858" s="856"/>
      <c r="J858" s="857"/>
      <c r="K858" s="858"/>
      <c r="L858" s="472"/>
      <c r="M858" s="816">
        <f t="shared" si="46"/>
        <v>0</v>
      </c>
      <c r="N858" s="833">
        <f t="shared" si="47"/>
        <v>0</v>
      </c>
      <c r="O858" s="265">
        <f t="shared" si="48"/>
        <v>0</v>
      </c>
      <c r="P858" s="827">
        <f t="shared" si="49"/>
        <v>0</v>
      </c>
    </row>
    <row r="859" spans="1:16" ht="30" hidden="1" customHeight="1" outlineLevel="1">
      <c r="A859" s="118"/>
      <c r="B859" s="118"/>
      <c r="C859" s="828">
        <v>835</v>
      </c>
      <c r="D859" s="829"/>
      <c r="E859" s="830"/>
      <c r="F859" s="830"/>
      <c r="G859" s="854"/>
      <c r="H859" s="1049"/>
      <c r="I859" s="856"/>
      <c r="J859" s="857"/>
      <c r="K859" s="858"/>
      <c r="L859" s="472"/>
      <c r="M859" s="816">
        <f t="shared" si="46"/>
        <v>0</v>
      </c>
      <c r="N859" s="833">
        <f t="shared" si="47"/>
        <v>0</v>
      </c>
      <c r="O859" s="265">
        <f t="shared" si="48"/>
        <v>0</v>
      </c>
      <c r="P859" s="827">
        <f t="shared" si="49"/>
        <v>0</v>
      </c>
    </row>
    <row r="860" spans="1:16" ht="30" hidden="1" customHeight="1" outlineLevel="1">
      <c r="A860" s="118"/>
      <c r="B860" s="118"/>
      <c r="C860" s="828">
        <v>836</v>
      </c>
      <c r="D860" s="829"/>
      <c r="E860" s="830"/>
      <c r="F860" s="830"/>
      <c r="G860" s="854"/>
      <c r="H860" s="1049"/>
      <c r="I860" s="856"/>
      <c r="J860" s="857"/>
      <c r="K860" s="858"/>
      <c r="L860" s="472"/>
      <c r="M860" s="816">
        <f t="shared" si="46"/>
        <v>0</v>
      </c>
      <c r="N860" s="833">
        <f t="shared" si="47"/>
        <v>0</v>
      </c>
      <c r="O860" s="265">
        <f t="shared" si="48"/>
        <v>0</v>
      </c>
      <c r="P860" s="827">
        <f t="shared" si="49"/>
        <v>0</v>
      </c>
    </row>
    <row r="861" spans="1:16" ht="30" hidden="1" customHeight="1" outlineLevel="1">
      <c r="A861" s="118"/>
      <c r="B861" s="118"/>
      <c r="C861" s="828">
        <v>837</v>
      </c>
      <c r="D861" s="829"/>
      <c r="E861" s="830"/>
      <c r="F861" s="830"/>
      <c r="G861" s="854"/>
      <c r="H861" s="1049"/>
      <c r="I861" s="856"/>
      <c r="J861" s="857"/>
      <c r="K861" s="858"/>
      <c r="L861" s="472"/>
      <c r="M861" s="816">
        <f t="shared" si="46"/>
        <v>0</v>
      </c>
      <c r="N861" s="833">
        <f t="shared" si="47"/>
        <v>0</v>
      </c>
      <c r="O861" s="265">
        <f t="shared" si="48"/>
        <v>0</v>
      </c>
      <c r="P861" s="827">
        <f t="shared" si="49"/>
        <v>0</v>
      </c>
    </row>
    <row r="862" spans="1:16" ht="30" hidden="1" customHeight="1" outlineLevel="1">
      <c r="A862" s="118"/>
      <c r="B862" s="118"/>
      <c r="C862" s="828">
        <v>838</v>
      </c>
      <c r="D862" s="829"/>
      <c r="E862" s="830"/>
      <c r="F862" s="830"/>
      <c r="G862" s="854"/>
      <c r="H862" s="1049"/>
      <c r="I862" s="856"/>
      <c r="J862" s="857"/>
      <c r="K862" s="858"/>
      <c r="L862" s="472"/>
      <c r="M862" s="816">
        <f t="shared" si="46"/>
        <v>0</v>
      </c>
      <c r="N862" s="833">
        <f t="shared" si="47"/>
        <v>0</v>
      </c>
      <c r="O862" s="265">
        <f t="shared" si="48"/>
        <v>0</v>
      </c>
      <c r="P862" s="827">
        <f t="shared" si="49"/>
        <v>0</v>
      </c>
    </row>
    <row r="863" spans="1:16" ht="30" hidden="1" customHeight="1" outlineLevel="1">
      <c r="A863" s="118"/>
      <c r="B863" s="118"/>
      <c r="C863" s="828">
        <v>839</v>
      </c>
      <c r="D863" s="829"/>
      <c r="E863" s="830"/>
      <c r="F863" s="830"/>
      <c r="G863" s="854"/>
      <c r="H863" s="1049"/>
      <c r="I863" s="856"/>
      <c r="J863" s="857"/>
      <c r="K863" s="858"/>
      <c r="L863" s="472"/>
      <c r="M863" s="816">
        <f t="shared" si="46"/>
        <v>0</v>
      </c>
      <c r="N863" s="833">
        <f t="shared" si="47"/>
        <v>0</v>
      </c>
      <c r="O863" s="265">
        <f t="shared" si="48"/>
        <v>0</v>
      </c>
      <c r="P863" s="827">
        <f t="shared" si="49"/>
        <v>0</v>
      </c>
    </row>
    <row r="864" spans="1:16" ht="30" hidden="1" customHeight="1" outlineLevel="1">
      <c r="A864" s="118"/>
      <c r="B864" s="118"/>
      <c r="C864" s="828">
        <v>840</v>
      </c>
      <c r="D864" s="829"/>
      <c r="E864" s="830"/>
      <c r="F864" s="830"/>
      <c r="G864" s="854"/>
      <c r="H864" s="1049"/>
      <c r="I864" s="856"/>
      <c r="J864" s="857"/>
      <c r="K864" s="858"/>
      <c r="L864" s="472"/>
      <c r="M864" s="816">
        <f t="shared" si="46"/>
        <v>0</v>
      </c>
      <c r="N864" s="833">
        <f t="shared" si="47"/>
        <v>0</v>
      </c>
      <c r="O864" s="265">
        <f t="shared" si="48"/>
        <v>0</v>
      </c>
      <c r="P864" s="827">
        <f t="shared" si="49"/>
        <v>0</v>
      </c>
    </row>
    <row r="865" spans="1:16" ht="30" hidden="1" customHeight="1" outlineLevel="1">
      <c r="A865" s="118"/>
      <c r="B865" s="118"/>
      <c r="C865" s="828">
        <v>841</v>
      </c>
      <c r="D865" s="829"/>
      <c r="E865" s="830"/>
      <c r="F865" s="830"/>
      <c r="G865" s="854"/>
      <c r="H865" s="1049"/>
      <c r="I865" s="856"/>
      <c r="J865" s="857"/>
      <c r="K865" s="858"/>
      <c r="L865" s="472"/>
      <c r="M865" s="816">
        <f t="shared" si="46"/>
        <v>0</v>
      </c>
      <c r="N865" s="833">
        <f t="shared" si="47"/>
        <v>0</v>
      </c>
      <c r="O865" s="265">
        <f t="shared" si="48"/>
        <v>0</v>
      </c>
      <c r="P865" s="827">
        <f t="shared" si="49"/>
        <v>0</v>
      </c>
    </row>
    <row r="866" spans="1:16" ht="30" hidden="1" customHeight="1" outlineLevel="1">
      <c r="A866" s="118"/>
      <c r="B866" s="118"/>
      <c r="C866" s="828">
        <v>842</v>
      </c>
      <c r="D866" s="829"/>
      <c r="E866" s="830"/>
      <c r="F866" s="830"/>
      <c r="G866" s="854"/>
      <c r="H866" s="1049"/>
      <c r="I866" s="856"/>
      <c r="J866" s="857"/>
      <c r="K866" s="858"/>
      <c r="L866" s="472"/>
      <c r="M866" s="816">
        <f t="shared" si="46"/>
        <v>0</v>
      </c>
      <c r="N866" s="833">
        <f t="shared" si="47"/>
        <v>0</v>
      </c>
      <c r="O866" s="265">
        <f t="shared" si="48"/>
        <v>0</v>
      </c>
      <c r="P866" s="827">
        <f t="shared" si="49"/>
        <v>0</v>
      </c>
    </row>
    <row r="867" spans="1:16" ht="30" hidden="1" customHeight="1" outlineLevel="1">
      <c r="A867" s="118"/>
      <c r="B867" s="118"/>
      <c r="C867" s="828">
        <v>843</v>
      </c>
      <c r="D867" s="829"/>
      <c r="E867" s="830"/>
      <c r="F867" s="830"/>
      <c r="G867" s="854"/>
      <c r="H867" s="1049"/>
      <c r="I867" s="856"/>
      <c r="J867" s="857"/>
      <c r="K867" s="858"/>
      <c r="L867" s="472"/>
      <c r="M867" s="816">
        <f t="shared" si="46"/>
        <v>0</v>
      </c>
      <c r="N867" s="833">
        <f t="shared" si="47"/>
        <v>0</v>
      </c>
      <c r="O867" s="265">
        <f t="shared" si="48"/>
        <v>0</v>
      </c>
      <c r="P867" s="827">
        <f t="shared" si="49"/>
        <v>0</v>
      </c>
    </row>
    <row r="868" spans="1:16" ht="30" hidden="1" customHeight="1" outlineLevel="1">
      <c r="A868" s="118"/>
      <c r="B868" s="118"/>
      <c r="C868" s="828">
        <v>844</v>
      </c>
      <c r="D868" s="829"/>
      <c r="E868" s="830"/>
      <c r="F868" s="830"/>
      <c r="G868" s="854"/>
      <c r="H868" s="1049"/>
      <c r="I868" s="856"/>
      <c r="J868" s="857"/>
      <c r="K868" s="858"/>
      <c r="L868" s="472"/>
      <c r="M868" s="816">
        <f t="shared" si="46"/>
        <v>0</v>
      </c>
      <c r="N868" s="833">
        <f t="shared" si="47"/>
        <v>0</v>
      </c>
      <c r="O868" s="265">
        <f t="shared" si="48"/>
        <v>0</v>
      </c>
      <c r="P868" s="827">
        <f t="shared" si="49"/>
        <v>0</v>
      </c>
    </row>
    <row r="869" spans="1:16" ht="30" hidden="1" customHeight="1" outlineLevel="1">
      <c r="A869" s="118"/>
      <c r="B869" s="118"/>
      <c r="C869" s="828">
        <v>845</v>
      </c>
      <c r="D869" s="829"/>
      <c r="E869" s="830"/>
      <c r="F869" s="830"/>
      <c r="G869" s="854"/>
      <c r="H869" s="1049"/>
      <c r="I869" s="856"/>
      <c r="J869" s="857"/>
      <c r="K869" s="858"/>
      <c r="L869" s="472"/>
      <c r="M869" s="816">
        <f t="shared" si="46"/>
        <v>0</v>
      </c>
      <c r="N869" s="833">
        <f t="shared" si="47"/>
        <v>0</v>
      </c>
      <c r="O869" s="265">
        <f t="shared" si="48"/>
        <v>0</v>
      </c>
      <c r="P869" s="827">
        <f t="shared" si="49"/>
        <v>0</v>
      </c>
    </row>
    <row r="870" spans="1:16" ht="30" hidden="1" customHeight="1" outlineLevel="1">
      <c r="A870" s="118"/>
      <c r="B870" s="118"/>
      <c r="C870" s="828">
        <v>846</v>
      </c>
      <c r="D870" s="829"/>
      <c r="E870" s="830"/>
      <c r="F870" s="830"/>
      <c r="G870" s="854"/>
      <c r="H870" s="1049"/>
      <c r="I870" s="856"/>
      <c r="J870" s="857"/>
      <c r="K870" s="858"/>
      <c r="L870" s="472"/>
      <c r="M870" s="816">
        <f t="shared" si="46"/>
        <v>0</v>
      </c>
      <c r="N870" s="833">
        <f t="shared" si="47"/>
        <v>0</v>
      </c>
      <c r="O870" s="265">
        <f t="shared" si="48"/>
        <v>0</v>
      </c>
      <c r="P870" s="827">
        <f t="shared" si="49"/>
        <v>0</v>
      </c>
    </row>
    <row r="871" spans="1:16" ht="30" hidden="1" customHeight="1" outlineLevel="1">
      <c r="A871" s="118"/>
      <c r="B871" s="118"/>
      <c r="C871" s="828">
        <v>847</v>
      </c>
      <c r="D871" s="829"/>
      <c r="E871" s="830"/>
      <c r="F871" s="830"/>
      <c r="G871" s="854"/>
      <c r="H871" s="1049"/>
      <c r="I871" s="856"/>
      <c r="J871" s="857"/>
      <c r="K871" s="858"/>
      <c r="L871" s="472"/>
      <c r="M871" s="816">
        <f t="shared" si="46"/>
        <v>0</v>
      </c>
      <c r="N871" s="833">
        <f t="shared" si="47"/>
        <v>0</v>
      </c>
      <c r="O871" s="265">
        <f t="shared" si="48"/>
        <v>0</v>
      </c>
      <c r="P871" s="827">
        <f t="shared" si="49"/>
        <v>0</v>
      </c>
    </row>
    <row r="872" spans="1:16" ht="30" hidden="1" customHeight="1" outlineLevel="1">
      <c r="A872" s="118"/>
      <c r="B872" s="118"/>
      <c r="C872" s="828">
        <v>848</v>
      </c>
      <c r="D872" s="829"/>
      <c r="E872" s="830"/>
      <c r="F872" s="830"/>
      <c r="G872" s="854"/>
      <c r="H872" s="1049"/>
      <c r="I872" s="856"/>
      <c r="J872" s="857"/>
      <c r="K872" s="858"/>
      <c r="L872" s="472"/>
      <c r="M872" s="816">
        <f t="shared" si="46"/>
        <v>0</v>
      </c>
      <c r="N872" s="833">
        <f t="shared" si="47"/>
        <v>0</v>
      </c>
      <c r="O872" s="265">
        <f t="shared" si="48"/>
        <v>0</v>
      </c>
      <c r="P872" s="827">
        <f t="shared" si="49"/>
        <v>0</v>
      </c>
    </row>
    <row r="873" spans="1:16" ht="30" hidden="1" customHeight="1" outlineLevel="1">
      <c r="A873" s="118"/>
      <c r="B873" s="118"/>
      <c r="C873" s="828">
        <v>849</v>
      </c>
      <c r="D873" s="829"/>
      <c r="E873" s="830"/>
      <c r="F873" s="830"/>
      <c r="G873" s="854"/>
      <c r="H873" s="1049"/>
      <c r="I873" s="856"/>
      <c r="J873" s="857"/>
      <c r="K873" s="858"/>
      <c r="L873" s="472"/>
      <c r="M873" s="816">
        <f t="shared" si="46"/>
        <v>0</v>
      </c>
      <c r="N873" s="833">
        <f t="shared" si="47"/>
        <v>0</v>
      </c>
      <c r="O873" s="265">
        <f t="shared" si="48"/>
        <v>0</v>
      </c>
      <c r="P873" s="827">
        <f t="shared" si="49"/>
        <v>0</v>
      </c>
    </row>
    <row r="874" spans="1:16" ht="30" hidden="1" customHeight="1" outlineLevel="1">
      <c r="A874" s="118"/>
      <c r="B874" s="118"/>
      <c r="C874" s="828">
        <v>850</v>
      </c>
      <c r="D874" s="829"/>
      <c r="E874" s="830"/>
      <c r="F874" s="830"/>
      <c r="G874" s="854"/>
      <c r="H874" s="1049"/>
      <c r="I874" s="856"/>
      <c r="J874" s="857"/>
      <c r="K874" s="858"/>
      <c r="L874" s="472"/>
      <c r="M874" s="816">
        <f t="shared" si="46"/>
        <v>0</v>
      </c>
      <c r="N874" s="833">
        <f t="shared" si="47"/>
        <v>0</v>
      </c>
      <c r="O874" s="265">
        <f t="shared" si="48"/>
        <v>0</v>
      </c>
      <c r="P874" s="827">
        <f t="shared" si="49"/>
        <v>0</v>
      </c>
    </row>
    <row r="875" spans="1:16" ht="30" hidden="1" customHeight="1" outlineLevel="1">
      <c r="A875" s="118"/>
      <c r="B875" s="118"/>
      <c r="C875" s="828">
        <v>851</v>
      </c>
      <c r="D875" s="829"/>
      <c r="E875" s="830"/>
      <c r="F875" s="830"/>
      <c r="G875" s="854"/>
      <c r="H875" s="1049"/>
      <c r="I875" s="856"/>
      <c r="J875" s="857"/>
      <c r="K875" s="858"/>
      <c r="L875" s="472"/>
      <c r="M875" s="816">
        <f t="shared" si="46"/>
        <v>0</v>
      </c>
      <c r="N875" s="833">
        <f t="shared" si="47"/>
        <v>0</v>
      </c>
      <c r="O875" s="265">
        <f t="shared" si="48"/>
        <v>0</v>
      </c>
      <c r="P875" s="827">
        <f t="shared" si="49"/>
        <v>0</v>
      </c>
    </row>
    <row r="876" spans="1:16" ht="30" hidden="1" customHeight="1" outlineLevel="1">
      <c r="A876" s="118"/>
      <c r="B876" s="118"/>
      <c r="C876" s="828">
        <v>852</v>
      </c>
      <c r="D876" s="829"/>
      <c r="E876" s="830"/>
      <c r="F876" s="830"/>
      <c r="G876" s="854"/>
      <c r="H876" s="1049"/>
      <c r="I876" s="856"/>
      <c r="J876" s="857"/>
      <c r="K876" s="858"/>
      <c r="L876" s="472"/>
      <c r="M876" s="816">
        <f t="shared" si="46"/>
        <v>0</v>
      </c>
      <c r="N876" s="833">
        <f t="shared" si="47"/>
        <v>0</v>
      </c>
      <c r="O876" s="265">
        <f t="shared" si="48"/>
        <v>0</v>
      </c>
      <c r="P876" s="827">
        <f t="shared" si="49"/>
        <v>0</v>
      </c>
    </row>
    <row r="877" spans="1:16" ht="30" hidden="1" customHeight="1" outlineLevel="1">
      <c r="A877" s="118"/>
      <c r="B877" s="118"/>
      <c r="C877" s="828">
        <v>853</v>
      </c>
      <c r="D877" s="829"/>
      <c r="E877" s="830"/>
      <c r="F877" s="830"/>
      <c r="G877" s="854"/>
      <c r="H877" s="1049"/>
      <c r="I877" s="856"/>
      <c r="J877" s="857"/>
      <c r="K877" s="858"/>
      <c r="L877" s="472"/>
      <c r="M877" s="816">
        <f t="shared" si="46"/>
        <v>0</v>
      </c>
      <c r="N877" s="833">
        <f t="shared" si="47"/>
        <v>0</v>
      </c>
      <c r="O877" s="265">
        <f t="shared" si="48"/>
        <v>0</v>
      </c>
      <c r="P877" s="827">
        <f t="shared" si="49"/>
        <v>0</v>
      </c>
    </row>
    <row r="878" spans="1:16" ht="30" hidden="1" customHeight="1" outlineLevel="1">
      <c r="A878" s="118"/>
      <c r="B878" s="118"/>
      <c r="C878" s="828">
        <v>854</v>
      </c>
      <c r="D878" s="829"/>
      <c r="E878" s="830"/>
      <c r="F878" s="830"/>
      <c r="G878" s="854"/>
      <c r="H878" s="1049"/>
      <c r="I878" s="856"/>
      <c r="J878" s="857"/>
      <c r="K878" s="858"/>
      <c r="L878" s="472"/>
      <c r="M878" s="816">
        <f t="shared" ref="M878:M941" si="50">IF($H878&gt;0,E878,)</f>
        <v>0</v>
      </c>
      <c r="N878" s="833">
        <f t="shared" ref="N878:N941" si="51">IF($H878&gt;0,F878,)</f>
        <v>0</v>
      </c>
      <c r="O878" s="265">
        <f t="shared" ref="O878:O941" si="52">IF(H878&gt;0,ROUND(G878,),)</f>
        <v>0</v>
      </c>
      <c r="P878" s="827">
        <f t="shared" ref="P878:P941" si="53">ROUND(O878*H878%,)</f>
        <v>0</v>
      </c>
    </row>
    <row r="879" spans="1:16" ht="30" hidden="1" customHeight="1" outlineLevel="1">
      <c r="A879" s="118"/>
      <c r="B879" s="118"/>
      <c r="C879" s="828">
        <v>855</v>
      </c>
      <c r="D879" s="829"/>
      <c r="E879" s="830"/>
      <c r="F879" s="830"/>
      <c r="G879" s="854"/>
      <c r="H879" s="1049"/>
      <c r="I879" s="856"/>
      <c r="J879" s="857"/>
      <c r="K879" s="858"/>
      <c r="L879" s="472"/>
      <c r="M879" s="816">
        <f t="shared" si="50"/>
        <v>0</v>
      </c>
      <c r="N879" s="833">
        <f t="shared" si="51"/>
        <v>0</v>
      </c>
      <c r="O879" s="265">
        <f t="shared" si="52"/>
        <v>0</v>
      </c>
      <c r="P879" s="827">
        <f t="shared" si="53"/>
        <v>0</v>
      </c>
    </row>
    <row r="880" spans="1:16" ht="30" hidden="1" customHeight="1" outlineLevel="1">
      <c r="A880" s="118"/>
      <c r="B880" s="118"/>
      <c r="C880" s="828">
        <v>856</v>
      </c>
      <c r="D880" s="829"/>
      <c r="E880" s="830"/>
      <c r="F880" s="830"/>
      <c r="G880" s="854"/>
      <c r="H880" s="1049"/>
      <c r="I880" s="856"/>
      <c r="J880" s="857"/>
      <c r="K880" s="858"/>
      <c r="L880" s="472"/>
      <c r="M880" s="816">
        <f t="shared" si="50"/>
        <v>0</v>
      </c>
      <c r="N880" s="833">
        <f t="shared" si="51"/>
        <v>0</v>
      </c>
      <c r="O880" s="265">
        <f t="shared" si="52"/>
        <v>0</v>
      </c>
      <c r="P880" s="827">
        <f t="shared" si="53"/>
        <v>0</v>
      </c>
    </row>
    <row r="881" spans="1:16" ht="30" hidden="1" customHeight="1" outlineLevel="1">
      <c r="A881" s="118"/>
      <c r="B881" s="118"/>
      <c r="C881" s="828">
        <v>857</v>
      </c>
      <c r="D881" s="829"/>
      <c r="E881" s="830"/>
      <c r="F881" s="830"/>
      <c r="G881" s="854"/>
      <c r="H881" s="1049"/>
      <c r="I881" s="856"/>
      <c r="J881" s="857"/>
      <c r="K881" s="858"/>
      <c r="L881" s="472"/>
      <c r="M881" s="816">
        <f t="shared" si="50"/>
        <v>0</v>
      </c>
      <c r="N881" s="833">
        <f t="shared" si="51"/>
        <v>0</v>
      </c>
      <c r="O881" s="265">
        <f t="shared" si="52"/>
        <v>0</v>
      </c>
      <c r="P881" s="827">
        <f t="shared" si="53"/>
        <v>0</v>
      </c>
    </row>
    <row r="882" spans="1:16" ht="30" hidden="1" customHeight="1" outlineLevel="1">
      <c r="A882" s="118"/>
      <c r="B882" s="118"/>
      <c r="C882" s="828">
        <v>858</v>
      </c>
      <c r="D882" s="829"/>
      <c r="E882" s="830"/>
      <c r="F882" s="830"/>
      <c r="G882" s="854"/>
      <c r="H882" s="1049"/>
      <c r="I882" s="856"/>
      <c r="J882" s="857"/>
      <c r="K882" s="858"/>
      <c r="L882" s="472"/>
      <c r="M882" s="816">
        <f t="shared" si="50"/>
        <v>0</v>
      </c>
      <c r="N882" s="833">
        <f t="shared" si="51"/>
        <v>0</v>
      </c>
      <c r="O882" s="265">
        <f t="shared" si="52"/>
        <v>0</v>
      </c>
      <c r="P882" s="827">
        <f t="shared" si="53"/>
        <v>0</v>
      </c>
    </row>
    <row r="883" spans="1:16" ht="30" hidden="1" customHeight="1" outlineLevel="1">
      <c r="A883" s="118"/>
      <c r="B883" s="118"/>
      <c r="C883" s="828">
        <v>859</v>
      </c>
      <c r="D883" s="829"/>
      <c r="E883" s="830"/>
      <c r="F883" s="830"/>
      <c r="G883" s="854"/>
      <c r="H883" s="1049"/>
      <c r="I883" s="856"/>
      <c r="J883" s="857"/>
      <c r="K883" s="858"/>
      <c r="L883" s="472"/>
      <c r="M883" s="816">
        <f t="shared" si="50"/>
        <v>0</v>
      </c>
      <c r="N883" s="833">
        <f t="shared" si="51"/>
        <v>0</v>
      </c>
      <c r="O883" s="265">
        <f t="shared" si="52"/>
        <v>0</v>
      </c>
      <c r="P883" s="827">
        <f t="shared" si="53"/>
        <v>0</v>
      </c>
    </row>
    <row r="884" spans="1:16" ht="30" hidden="1" customHeight="1" outlineLevel="1">
      <c r="A884" s="118"/>
      <c r="B884" s="118"/>
      <c r="C884" s="828">
        <v>860</v>
      </c>
      <c r="D884" s="829"/>
      <c r="E884" s="830"/>
      <c r="F884" s="830"/>
      <c r="G884" s="854"/>
      <c r="H884" s="1049"/>
      <c r="I884" s="856"/>
      <c r="J884" s="857"/>
      <c r="K884" s="858"/>
      <c r="L884" s="472"/>
      <c r="M884" s="816">
        <f t="shared" si="50"/>
        <v>0</v>
      </c>
      <c r="N884" s="833">
        <f t="shared" si="51"/>
        <v>0</v>
      </c>
      <c r="O884" s="265">
        <f t="shared" si="52"/>
        <v>0</v>
      </c>
      <c r="P884" s="827">
        <f t="shared" si="53"/>
        <v>0</v>
      </c>
    </row>
    <row r="885" spans="1:16" ht="30" hidden="1" customHeight="1" outlineLevel="1">
      <c r="A885" s="118"/>
      <c r="B885" s="118"/>
      <c r="C885" s="828">
        <v>861</v>
      </c>
      <c r="D885" s="829"/>
      <c r="E885" s="830"/>
      <c r="F885" s="830"/>
      <c r="G885" s="854"/>
      <c r="H885" s="1049"/>
      <c r="I885" s="856"/>
      <c r="J885" s="857"/>
      <c r="K885" s="858"/>
      <c r="L885" s="472"/>
      <c r="M885" s="816">
        <f t="shared" si="50"/>
        <v>0</v>
      </c>
      <c r="N885" s="833">
        <f t="shared" si="51"/>
        <v>0</v>
      </c>
      <c r="O885" s="265">
        <f t="shared" si="52"/>
        <v>0</v>
      </c>
      <c r="P885" s="827">
        <f t="shared" si="53"/>
        <v>0</v>
      </c>
    </row>
    <row r="886" spans="1:16" ht="30" hidden="1" customHeight="1" outlineLevel="1">
      <c r="A886" s="118"/>
      <c r="B886" s="118"/>
      <c r="C886" s="828">
        <v>862</v>
      </c>
      <c r="D886" s="829"/>
      <c r="E886" s="830"/>
      <c r="F886" s="830"/>
      <c r="G886" s="854"/>
      <c r="H886" s="1049"/>
      <c r="I886" s="856"/>
      <c r="J886" s="857"/>
      <c r="K886" s="858"/>
      <c r="L886" s="472"/>
      <c r="M886" s="816">
        <f t="shared" si="50"/>
        <v>0</v>
      </c>
      <c r="N886" s="833">
        <f t="shared" si="51"/>
        <v>0</v>
      </c>
      <c r="O886" s="265">
        <f t="shared" si="52"/>
        <v>0</v>
      </c>
      <c r="P886" s="827">
        <f t="shared" si="53"/>
        <v>0</v>
      </c>
    </row>
    <row r="887" spans="1:16" ht="30" hidden="1" customHeight="1" outlineLevel="1">
      <c r="A887" s="118"/>
      <c r="B887" s="118"/>
      <c r="C887" s="828">
        <v>863</v>
      </c>
      <c r="D887" s="829"/>
      <c r="E887" s="830"/>
      <c r="F887" s="830"/>
      <c r="G887" s="854"/>
      <c r="H887" s="1049"/>
      <c r="I887" s="856"/>
      <c r="J887" s="857"/>
      <c r="K887" s="858"/>
      <c r="L887" s="472"/>
      <c r="M887" s="816">
        <f t="shared" si="50"/>
        <v>0</v>
      </c>
      <c r="N887" s="833">
        <f t="shared" si="51"/>
        <v>0</v>
      </c>
      <c r="O887" s="265">
        <f t="shared" si="52"/>
        <v>0</v>
      </c>
      <c r="P887" s="827">
        <f t="shared" si="53"/>
        <v>0</v>
      </c>
    </row>
    <row r="888" spans="1:16" ht="30" hidden="1" customHeight="1" outlineLevel="1">
      <c r="A888" s="118"/>
      <c r="B888" s="118"/>
      <c r="C888" s="828">
        <v>864</v>
      </c>
      <c r="D888" s="829"/>
      <c r="E888" s="830"/>
      <c r="F888" s="830"/>
      <c r="G888" s="854"/>
      <c r="H888" s="1049"/>
      <c r="I888" s="856"/>
      <c r="J888" s="857"/>
      <c r="K888" s="858"/>
      <c r="L888" s="472"/>
      <c r="M888" s="816">
        <f t="shared" si="50"/>
        <v>0</v>
      </c>
      <c r="N888" s="833">
        <f t="shared" si="51"/>
        <v>0</v>
      </c>
      <c r="O888" s="265">
        <f t="shared" si="52"/>
        <v>0</v>
      </c>
      <c r="P888" s="827">
        <f t="shared" si="53"/>
        <v>0</v>
      </c>
    </row>
    <row r="889" spans="1:16" ht="30" hidden="1" customHeight="1" outlineLevel="1">
      <c r="A889" s="118"/>
      <c r="B889" s="118"/>
      <c r="C889" s="828">
        <v>865</v>
      </c>
      <c r="D889" s="829"/>
      <c r="E889" s="830"/>
      <c r="F889" s="830"/>
      <c r="G889" s="854"/>
      <c r="H889" s="1049"/>
      <c r="I889" s="856"/>
      <c r="J889" s="857"/>
      <c r="K889" s="858"/>
      <c r="L889" s="472"/>
      <c r="M889" s="816">
        <f t="shared" si="50"/>
        <v>0</v>
      </c>
      <c r="N889" s="833">
        <f t="shared" si="51"/>
        <v>0</v>
      </c>
      <c r="O889" s="265">
        <f t="shared" si="52"/>
        <v>0</v>
      </c>
      <c r="P889" s="827">
        <f t="shared" si="53"/>
        <v>0</v>
      </c>
    </row>
    <row r="890" spans="1:16" ht="30" hidden="1" customHeight="1" outlineLevel="1">
      <c r="A890" s="118"/>
      <c r="B890" s="118"/>
      <c r="C890" s="828">
        <v>866</v>
      </c>
      <c r="D890" s="829"/>
      <c r="E890" s="830"/>
      <c r="F890" s="830"/>
      <c r="G890" s="854"/>
      <c r="H890" s="1049"/>
      <c r="I890" s="856"/>
      <c r="J890" s="857"/>
      <c r="K890" s="858"/>
      <c r="L890" s="472"/>
      <c r="M890" s="816">
        <f t="shared" si="50"/>
        <v>0</v>
      </c>
      <c r="N890" s="833">
        <f t="shared" si="51"/>
        <v>0</v>
      </c>
      <c r="O890" s="265">
        <f t="shared" si="52"/>
        <v>0</v>
      </c>
      <c r="P890" s="827">
        <f t="shared" si="53"/>
        <v>0</v>
      </c>
    </row>
    <row r="891" spans="1:16" ht="30" hidden="1" customHeight="1" outlineLevel="1">
      <c r="A891" s="118"/>
      <c r="B891" s="118"/>
      <c r="C891" s="828">
        <v>867</v>
      </c>
      <c r="D891" s="829"/>
      <c r="E891" s="830"/>
      <c r="F891" s="830"/>
      <c r="G891" s="854"/>
      <c r="H891" s="1049"/>
      <c r="I891" s="856"/>
      <c r="J891" s="857"/>
      <c r="K891" s="858"/>
      <c r="L891" s="472"/>
      <c r="M891" s="816">
        <f t="shared" si="50"/>
        <v>0</v>
      </c>
      <c r="N891" s="833">
        <f t="shared" si="51"/>
        <v>0</v>
      </c>
      <c r="O891" s="265">
        <f t="shared" si="52"/>
        <v>0</v>
      </c>
      <c r="P891" s="827">
        <f t="shared" si="53"/>
        <v>0</v>
      </c>
    </row>
    <row r="892" spans="1:16" ht="30" hidden="1" customHeight="1" outlineLevel="1">
      <c r="A892" s="118"/>
      <c r="B892" s="118"/>
      <c r="C892" s="828">
        <v>868</v>
      </c>
      <c r="D892" s="829"/>
      <c r="E892" s="830"/>
      <c r="F892" s="830"/>
      <c r="G892" s="854"/>
      <c r="H892" s="1049"/>
      <c r="I892" s="856"/>
      <c r="J892" s="857"/>
      <c r="K892" s="858"/>
      <c r="L892" s="472"/>
      <c r="M892" s="816">
        <f t="shared" si="50"/>
        <v>0</v>
      </c>
      <c r="N892" s="833">
        <f t="shared" si="51"/>
        <v>0</v>
      </c>
      <c r="O892" s="265">
        <f t="shared" si="52"/>
        <v>0</v>
      </c>
      <c r="P892" s="827">
        <f t="shared" si="53"/>
        <v>0</v>
      </c>
    </row>
    <row r="893" spans="1:16" ht="30" hidden="1" customHeight="1" outlineLevel="1">
      <c r="A893" s="118"/>
      <c r="B893" s="118"/>
      <c r="C893" s="828">
        <v>869</v>
      </c>
      <c r="D893" s="829"/>
      <c r="E893" s="830"/>
      <c r="F893" s="830"/>
      <c r="G893" s="854"/>
      <c r="H893" s="1049"/>
      <c r="I893" s="856"/>
      <c r="J893" s="857"/>
      <c r="K893" s="858"/>
      <c r="L893" s="472"/>
      <c r="M893" s="816">
        <f t="shared" si="50"/>
        <v>0</v>
      </c>
      <c r="N893" s="833">
        <f t="shared" si="51"/>
        <v>0</v>
      </c>
      <c r="O893" s="265">
        <f t="shared" si="52"/>
        <v>0</v>
      </c>
      <c r="P893" s="827">
        <f t="shared" si="53"/>
        <v>0</v>
      </c>
    </row>
    <row r="894" spans="1:16" ht="30" hidden="1" customHeight="1" outlineLevel="1">
      <c r="A894" s="118"/>
      <c r="B894" s="118"/>
      <c r="C894" s="828">
        <v>870</v>
      </c>
      <c r="D894" s="829"/>
      <c r="E894" s="830"/>
      <c r="F894" s="830"/>
      <c r="G894" s="854"/>
      <c r="H894" s="1049"/>
      <c r="I894" s="856"/>
      <c r="J894" s="857"/>
      <c r="K894" s="858"/>
      <c r="L894" s="472"/>
      <c r="M894" s="816">
        <f t="shared" si="50"/>
        <v>0</v>
      </c>
      <c r="N894" s="833">
        <f t="shared" si="51"/>
        <v>0</v>
      </c>
      <c r="O894" s="265">
        <f t="shared" si="52"/>
        <v>0</v>
      </c>
      <c r="P894" s="827">
        <f t="shared" si="53"/>
        <v>0</v>
      </c>
    </row>
    <row r="895" spans="1:16" ht="30" hidden="1" customHeight="1" outlineLevel="1">
      <c r="A895" s="118"/>
      <c r="B895" s="118"/>
      <c r="C895" s="828">
        <v>871</v>
      </c>
      <c r="D895" s="829"/>
      <c r="E895" s="830"/>
      <c r="F895" s="830"/>
      <c r="G895" s="854"/>
      <c r="H895" s="1049"/>
      <c r="I895" s="856"/>
      <c r="J895" s="857"/>
      <c r="K895" s="858"/>
      <c r="L895" s="472"/>
      <c r="M895" s="816">
        <f t="shared" si="50"/>
        <v>0</v>
      </c>
      <c r="N895" s="833">
        <f t="shared" si="51"/>
        <v>0</v>
      </c>
      <c r="O895" s="265">
        <f t="shared" si="52"/>
        <v>0</v>
      </c>
      <c r="P895" s="827">
        <f t="shared" si="53"/>
        <v>0</v>
      </c>
    </row>
    <row r="896" spans="1:16" ht="30" hidden="1" customHeight="1" outlineLevel="1">
      <c r="A896" s="118"/>
      <c r="B896" s="118"/>
      <c r="C896" s="828">
        <v>872</v>
      </c>
      <c r="D896" s="829"/>
      <c r="E896" s="830"/>
      <c r="F896" s="830"/>
      <c r="G896" s="854"/>
      <c r="H896" s="1049"/>
      <c r="I896" s="856"/>
      <c r="J896" s="857"/>
      <c r="K896" s="858"/>
      <c r="L896" s="472"/>
      <c r="M896" s="816">
        <f t="shared" si="50"/>
        <v>0</v>
      </c>
      <c r="N896" s="833">
        <f t="shared" si="51"/>
        <v>0</v>
      </c>
      <c r="O896" s="265">
        <f t="shared" si="52"/>
        <v>0</v>
      </c>
      <c r="P896" s="827">
        <f t="shared" si="53"/>
        <v>0</v>
      </c>
    </row>
    <row r="897" spans="1:16" ht="30" hidden="1" customHeight="1" outlineLevel="1">
      <c r="A897" s="118"/>
      <c r="B897" s="118"/>
      <c r="C897" s="828">
        <v>873</v>
      </c>
      <c r="D897" s="829"/>
      <c r="E897" s="830"/>
      <c r="F897" s="830"/>
      <c r="G897" s="854"/>
      <c r="H897" s="1049"/>
      <c r="I897" s="856"/>
      <c r="J897" s="857"/>
      <c r="K897" s="858"/>
      <c r="L897" s="472"/>
      <c r="M897" s="816">
        <f t="shared" si="50"/>
        <v>0</v>
      </c>
      <c r="N897" s="833">
        <f t="shared" si="51"/>
        <v>0</v>
      </c>
      <c r="O897" s="265">
        <f t="shared" si="52"/>
        <v>0</v>
      </c>
      <c r="P897" s="827">
        <f t="shared" si="53"/>
        <v>0</v>
      </c>
    </row>
    <row r="898" spans="1:16" ht="30" hidden="1" customHeight="1" outlineLevel="1">
      <c r="A898" s="118"/>
      <c r="B898" s="118"/>
      <c r="C898" s="828">
        <v>874</v>
      </c>
      <c r="D898" s="829"/>
      <c r="E898" s="830"/>
      <c r="F898" s="830"/>
      <c r="G898" s="854"/>
      <c r="H898" s="1049"/>
      <c r="I898" s="856"/>
      <c r="J898" s="857"/>
      <c r="K898" s="858"/>
      <c r="L898" s="472"/>
      <c r="M898" s="816">
        <f t="shared" si="50"/>
        <v>0</v>
      </c>
      <c r="N898" s="833">
        <f t="shared" si="51"/>
        <v>0</v>
      </c>
      <c r="O898" s="265">
        <f t="shared" si="52"/>
        <v>0</v>
      </c>
      <c r="P898" s="827">
        <f t="shared" si="53"/>
        <v>0</v>
      </c>
    </row>
    <row r="899" spans="1:16" ht="30" hidden="1" customHeight="1" outlineLevel="1">
      <c r="A899" s="118"/>
      <c r="B899" s="118"/>
      <c r="C899" s="828">
        <v>875</v>
      </c>
      <c r="D899" s="829"/>
      <c r="E899" s="830"/>
      <c r="F899" s="830"/>
      <c r="G899" s="854"/>
      <c r="H899" s="1049"/>
      <c r="I899" s="856"/>
      <c r="J899" s="857"/>
      <c r="K899" s="858"/>
      <c r="L899" s="472"/>
      <c r="M899" s="816">
        <f t="shared" si="50"/>
        <v>0</v>
      </c>
      <c r="N899" s="833">
        <f t="shared" si="51"/>
        <v>0</v>
      </c>
      <c r="O899" s="265">
        <f t="shared" si="52"/>
        <v>0</v>
      </c>
      <c r="P899" s="827">
        <f t="shared" si="53"/>
        <v>0</v>
      </c>
    </row>
    <row r="900" spans="1:16" ht="30" hidden="1" customHeight="1" outlineLevel="1">
      <c r="A900" s="118"/>
      <c r="B900" s="118"/>
      <c r="C900" s="828">
        <v>876</v>
      </c>
      <c r="D900" s="829"/>
      <c r="E900" s="830"/>
      <c r="F900" s="830"/>
      <c r="G900" s="854"/>
      <c r="H900" s="1049"/>
      <c r="I900" s="856"/>
      <c r="J900" s="857"/>
      <c r="K900" s="858"/>
      <c r="L900" s="472"/>
      <c r="M900" s="816">
        <f t="shared" si="50"/>
        <v>0</v>
      </c>
      <c r="N900" s="833">
        <f t="shared" si="51"/>
        <v>0</v>
      </c>
      <c r="O900" s="265">
        <f t="shared" si="52"/>
        <v>0</v>
      </c>
      <c r="P900" s="827">
        <f t="shared" si="53"/>
        <v>0</v>
      </c>
    </row>
    <row r="901" spans="1:16" ht="30" hidden="1" customHeight="1" outlineLevel="1">
      <c r="A901" s="118"/>
      <c r="B901" s="118"/>
      <c r="C901" s="828">
        <v>877</v>
      </c>
      <c r="D901" s="829"/>
      <c r="E901" s="830"/>
      <c r="F901" s="830"/>
      <c r="G901" s="854"/>
      <c r="H901" s="1049"/>
      <c r="I901" s="856"/>
      <c r="J901" s="857"/>
      <c r="K901" s="858"/>
      <c r="L901" s="472"/>
      <c r="M901" s="816">
        <f t="shared" si="50"/>
        <v>0</v>
      </c>
      <c r="N901" s="833">
        <f t="shared" si="51"/>
        <v>0</v>
      </c>
      <c r="O901" s="265">
        <f t="shared" si="52"/>
        <v>0</v>
      </c>
      <c r="P901" s="827">
        <f t="shared" si="53"/>
        <v>0</v>
      </c>
    </row>
    <row r="902" spans="1:16" ht="30" hidden="1" customHeight="1" outlineLevel="1">
      <c r="A902" s="118"/>
      <c r="B902" s="118"/>
      <c r="C902" s="828">
        <v>878</v>
      </c>
      <c r="D902" s="829"/>
      <c r="E902" s="830"/>
      <c r="F902" s="830"/>
      <c r="G902" s="854"/>
      <c r="H902" s="1049"/>
      <c r="I902" s="856"/>
      <c r="J902" s="857"/>
      <c r="K902" s="858"/>
      <c r="L902" s="472"/>
      <c r="M902" s="816">
        <f t="shared" si="50"/>
        <v>0</v>
      </c>
      <c r="N902" s="833">
        <f t="shared" si="51"/>
        <v>0</v>
      </c>
      <c r="O902" s="265">
        <f t="shared" si="52"/>
        <v>0</v>
      </c>
      <c r="P902" s="827">
        <f t="shared" si="53"/>
        <v>0</v>
      </c>
    </row>
    <row r="903" spans="1:16" ht="30" hidden="1" customHeight="1" outlineLevel="1">
      <c r="A903" s="118"/>
      <c r="B903" s="118"/>
      <c r="C903" s="828">
        <v>879</v>
      </c>
      <c r="D903" s="829"/>
      <c r="E903" s="830"/>
      <c r="F903" s="830"/>
      <c r="G903" s="854"/>
      <c r="H903" s="1049"/>
      <c r="I903" s="856"/>
      <c r="J903" s="857"/>
      <c r="K903" s="858"/>
      <c r="L903" s="472"/>
      <c r="M903" s="816">
        <f t="shared" si="50"/>
        <v>0</v>
      </c>
      <c r="N903" s="833">
        <f t="shared" si="51"/>
        <v>0</v>
      </c>
      <c r="O903" s="265">
        <f t="shared" si="52"/>
        <v>0</v>
      </c>
      <c r="P903" s="827">
        <f t="shared" si="53"/>
        <v>0</v>
      </c>
    </row>
    <row r="904" spans="1:16" ht="30" hidden="1" customHeight="1" outlineLevel="1">
      <c r="A904" s="118"/>
      <c r="B904" s="118"/>
      <c r="C904" s="828">
        <v>880</v>
      </c>
      <c r="D904" s="829"/>
      <c r="E904" s="830"/>
      <c r="F904" s="830"/>
      <c r="G904" s="854"/>
      <c r="H904" s="1049"/>
      <c r="I904" s="856"/>
      <c r="J904" s="857"/>
      <c r="K904" s="858"/>
      <c r="L904" s="472"/>
      <c r="M904" s="816">
        <f t="shared" si="50"/>
        <v>0</v>
      </c>
      <c r="N904" s="833">
        <f t="shared" si="51"/>
        <v>0</v>
      </c>
      <c r="O904" s="265">
        <f t="shared" si="52"/>
        <v>0</v>
      </c>
      <c r="P904" s="827">
        <f t="shared" si="53"/>
        <v>0</v>
      </c>
    </row>
    <row r="905" spans="1:16" ht="30" hidden="1" customHeight="1" outlineLevel="1">
      <c r="A905" s="118"/>
      <c r="B905" s="118"/>
      <c r="C905" s="828">
        <v>881</v>
      </c>
      <c r="D905" s="829"/>
      <c r="E905" s="830"/>
      <c r="F905" s="830"/>
      <c r="G905" s="854"/>
      <c r="H905" s="1049"/>
      <c r="I905" s="856"/>
      <c r="J905" s="857"/>
      <c r="K905" s="858"/>
      <c r="L905" s="472"/>
      <c r="M905" s="816">
        <f t="shared" si="50"/>
        <v>0</v>
      </c>
      <c r="N905" s="833">
        <f t="shared" si="51"/>
        <v>0</v>
      </c>
      <c r="O905" s="265">
        <f t="shared" si="52"/>
        <v>0</v>
      </c>
      <c r="P905" s="827">
        <f t="shared" si="53"/>
        <v>0</v>
      </c>
    </row>
    <row r="906" spans="1:16" ht="30" hidden="1" customHeight="1" outlineLevel="1">
      <c r="A906" s="118"/>
      <c r="B906" s="118"/>
      <c r="C906" s="828">
        <v>882</v>
      </c>
      <c r="D906" s="829"/>
      <c r="E906" s="830"/>
      <c r="F906" s="830"/>
      <c r="G906" s="854"/>
      <c r="H906" s="1049"/>
      <c r="I906" s="856"/>
      <c r="J906" s="857"/>
      <c r="K906" s="858"/>
      <c r="L906" s="472"/>
      <c r="M906" s="816">
        <f t="shared" si="50"/>
        <v>0</v>
      </c>
      <c r="N906" s="833">
        <f t="shared" si="51"/>
        <v>0</v>
      </c>
      <c r="O906" s="265">
        <f t="shared" si="52"/>
        <v>0</v>
      </c>
      <c r="P906" s="827">
        <f t="shared" si="53"/>
        <v>0</v>
      </c>
    </row>
    <row r="907" spans="1:16" ht="30" hidden="1" customHeight="1" outlineLevel="1">
      <c r="A907" s="118"/>
      <c r="B907" s="118"/>
      <c r="C907" s="828">
        <v>883</v>
      </c>
      <c r="D907" s="829"/>
      <c r="E907" s="830"/>
      <c r="F907" s="830"/>
      <c r="G907" s="854"/>
      <c r="H907" s="1049"/>
      <c r="I907" s="856"/>
      <c r="J907" s="857"/>
      <c r="K907" s="858"/>
      <c r="L907" s="472"/>
      <c r="M907" s="816">
        <f t="shared" si="50"/>
        <v>0</v>
      </c>
      <c r="N907" s="833">
        <f t="shared" si="51"/>
        <v>0</v>
      </c>
      <c r="O907" s="265">
        <f t="shared" si="52"/>
        <v>0</v>
      </c>
      <c r="P907" s="827">
        <f t="shared" si="53"/>
        <v>0</v>
      </c>
    </row>
    <row r="908" spans="1:16" ht="30" hidden="1" customHeight="1" outlineLevel="1">
      <c r="A908" s="118"/>
      <c r="B908" s="118"/>
      <c r="C908" s="828">
        <v>884</v>
      </c>
      <c r="D908" s="829"/>
      <c r="E908" s="830"/>
      <c r="F908" s="830"/>
      <c r="G908" s="854"/>
      <c r="H908" s="1049"/>
      <c r="I908" s="856"/>
      <c r="J908" s="857"/>
      <c r="K908" s="858"/>
      <c r="L908" s="472"/>
      <c r="M908" s="816">
        <f t="shared" si="50"/>
        <v>0</v>
      </c>
      <c r="N908" s="833">
        <f t="shared" si="51"/>
        <v>0</v>
      </c>
      <c r="O908" s="265">
        <f t="shared" si="52"/>
        <v>0</v>
      </c>
      <c r="P908" s="827">
        <f t="shared" si="53"/>
        <v>0</v>
      </c>
    </row>
    <row r="909" spans="1:16" ht="30" hidden="1" customHeight="1" outlineLevel="1">
      <c r="A909" s="118"/>
      <c r="B909" s="118"/>
      <c r="C909" s="828">
        <v>885</v>
      </c>
      <c r="D909" s="829"/>
      <c r="E909" s="830"/>
      <c r="F909" s="830"/>
      <c r="G909" s="854"/>
      <c r="H909" s="1049"/>
      <c r="I909" s="856"/>
      <c r="J909" s="857"/>
      <c r="K909" s="858"/>
      <c r="L909" s="472"/>
      <c r="M909" s="816">
        <f t="shared" si="50"/>
        <v>0</v>
      </c>
      <c r="N909" s="833">
        <f t="shared" si="51"/>
        <v>0</v>
      </c>
      <c r="O909" s="265">
        <f t="shared" si="52"/>
        <v>0</v>
      </c>
      <c r="P909" s="827">
        <f t="shared" si="53"/>
        <v>0</v>
      </c>
    </row>
    <row r="910" spans="1:16" ht="30" hidden="1" customHeight="1" outlineLevel="1">
      <c r="A910" s="118"/>
      <c r="B910" s="118"/>
      <c r="C910" s="828">
        <v>886</v>
      </c>
      <c r="D910" s="829"/>
      <c r="E910" s="830"/>
      <c r="F910" s="830"/>
      <c r="G910" s="854"/>
      <c r="H910" s="1049"/>
      <c r="I910" s="856"/>
      <c r="J910" s="857"/>
      <c r="K910" s="858"/>
      <c r="L910" s="472"/>
      <c r="M910" s="816">
        <f t="shared" si="50"/>
        <v>0</v>
      </c>
      <c r="N910" s="833">
        <f t="shared" si="51"/>
        <v>0</v>
      </c>
      <c r="O910" s="265">
        <f t="shared" si="52"/>
        <v>0</v>
      </c>
      <c r="P910" s="827">
        <f t="shared" si="53"/>
        <v>0</v>
      </c>
    </row>
    <row r="911" spans="1:16" ht="30" hidden="1" customHeight="1" outlineLevel="1">
      <c r="A911" s="118"/>
      <c r="B911" s="118"/>
      <c r="C911" s="828">
        <v>887</v>
      </c>
      <c r="D911" s="829"/>
      <c r="E911" s="830"/>
      <c r="F911" s="830"/>
      <c r="G911" s="854"/>
      <c r="H911" s="1049"/>
      <c r="I911" s="856"/>
      <c r="J911" s="857"/>
      <c r="K911" s="858"/>
      <c r="L911" s="472"/>
      <c r="M911" s="816">
        <f t="shared" si="50"/>
        <v>0</v>
      </c>
      <c r="N911" s="833">
        <f t="shared" si="51"/>
        <v>0</v>
      </c>
      <c r="O911" s="265">
        <f t="shared" si="52"/>
        <v>0</v>
      </c>
      <c r="P911" s="827">
        <f t="shared" si="53"/>
        <v>0</v>
      </c>
    </row>
    <row r="912" spans="1:16" ht="30" hidden="1" customHeight="1" outlineLevel="1">
      <c r="A912" s="118"/>
      <c r="B912" s="118"/>
      <c r="C912" s="828">
        <v>888</v>
      </c>
      <c r="D912" s="829"/>
      <c r="E912" s="830"/>
      <c r="F912" s="830"/>
      <c r="G912" s="854"/>
      <c r="H912" s="1049"/>
      <c r="I912" s="856"/>
      <c r="J912" s="857"/>
      <c r="K912" s="858"/>
      <c r="L912" s="472"/>
      <c r="M912" s="816">
        <f t="shared" si="50"/>
        <v>0</v>
      </c>
      <c r="N912" s="833">
        <f t="shared" si="51"/>
        <v>0</v>
      </c>
      <c r="O912" s="265">
        <f t="shared" si="52"/>
        <v>0</v>
      </c>
      <c r="P912" s="827">
        <f t="shared" si="53"/>
        <v>0</v>
      </c>
    </row>
    <row r="913" spans="1:16" ht="30" hidden="1" customHeight="1" outlineLevel="1">
      <c r="A913" s="118"/>
      <c r="B913" s="118"/>
      <c r="C913" s="828">
        <v>889</v>
      </c>
      <c r="D913" s="829"/>
      <c r="E913" s="830"/>
      <c r="F913" s="830"/>
      <c r="G913" s="854"/>
      <c r="H913" s="1049"/>
      <c r="I913" s="856"/>
      <c r="J913" s="857"/>
      <c r="K913" s="858"/>
      <c r="L913" s="472"/>
      <c r="M913" s="816">
        <f t="shared" si="50"/>
        <v>0</v>
      </c>
      <c r="N913" s="833">
        <f t="shared" si="51"/>
        <v>0</v>
      </c>
      <c r="O913" s="265">
        <f t="shared" si="52"/>
        <v>0</v>
      </c>
      <c r="P913" s="827">
        <f t="shared" si="53"/>
        <v>0</v>
      </c>
    </row>
    <row r="914" spans="1:16" ht="30" hidden="1" customHeight="1" outlineLevel="1">
      <c r="A914" s="118"/>
      <c r="B914" s="118"/>
      <c r="C914" s="828">
        <v>890</v>
      </c>
      <c r="D914" s="829"/>
      <c r="E914" s="830"/>
      <c r="F914" s="830"/>
      <c r="G914" s="854"/>
      <c r="H914" s="1049"/>
      <c r="I914" s="856"/>
      <c r="J914" s="857"/>
      <c r="K914" s="858"/>
      <c r="L914" s="472"/>
      <c r="M914" s="816">
        <f t="shared" si="50"/>
        <v>0</v>
      </c>
      <c r="N914" s="833">
        <f t="shared" si="51"/>
        <v>0</v>
      </c>
      <c r="O914" s="265">
        <f t="shared" si="52"/>
        <v>0</v>
      </c>
      <c r="P914" s="827">
        <f t="shared" si="53"/>
        <v>0</v>
      </c>
    </row>
    <row r="915" spans="1:16" ht="30" hidden="1" customHeight="1" outlineLevel="1">
      <c r="A915" s="118"/>
      <c r="B915" s="118"/>
      <c r="C915" s="828">
        <v>891</v>
      </c>
      <c r="D915" s="829"/>
      <c r="E915" s="830"/>
      <c r="F915" s="830"/>
      <c r="G915" s="854"/>
      <c r="H915" s="1049"/>
      <c r="I915" s="856"/>
      <c r="J915" s="857"/>
      <c r="K915" s="858"/>
      <c r="L915" s="472"/>
      <c r="M915" s="816">
        <f t="shared" si="50"/>
        <v>0</v>
      </c>
      <c r="N915" s="833">
        <f t="shared" si="51"/>
        <v>0</v>
      </c>
      <c r="O915" s="265">
        <f t="shared" si="52"/>
        <v>0</v>
      </c>
      <c r="P915" s="827">
        <f t="shared" si="53"/>
        <v>0</v>
      </c>
    </row>
    <row r="916" spans="1:16" ht="30" hidden="1" customHeight="1" outlineLevel="1">
      <c r="A916" s="118"/>
      <c r="B916" s="118"/>
      <c r="C916" s="828">
        <v>892</v>
      </c>
      <c r="D916" s="829"/>
      <c r="E916" s="830"/>
      <c r="F916" s="830"/>
      <c r="G916" s="854"/>
      <c r="H916" s="1049"/>
      <c r="I916" s="856"/>
      <c r="J916" s="857"/>
      <c r="K916" s="858"/>
      <c r="L916" s="472"/>
      <c r="M916" s="816">
        <f t="shared" si="50"/>
        <v>0</v>
      </c>
      <c r="N916" s="833">
        <f t="shared" si="51"/>
        <v>0</v>
      </c>
      <c r="O916" s="265">
        <f t="shared" si="52"/>
        <v>0</v>
      </c>
      <c r="P916" s="827">
        <f t="shared" si="53"/>
        <v>0</v>
      </c>
    </row>
    <row r="917" spans="1:16" ht="30" hidden="1" customHeight="1" outlineLevel="1">
      <c r="A917" s="118"/>
      <c r="B917" s="118"/>
      <c r="C917" s="828">
        <v>893</v>
      </c>
      <c r="D917" s="829"/>
      <c r="E917" s="830"/>
      <c r="F917" s="830"/>
      <c r="G917" s="854"/>
      <c r="H917" s="1049"/>
      <c r="I917" s="856"/>
      <c r="J917" s="857"/>
      <c r="K917" s="858"/>
      <c r="L917" s="472"/>
      <c r="M917" s="816">
        <f t="shared" si="50"/>
        <v>0</v>
      </c>
      <c r="N917" s="833">
        <f t="shared" si="51"/>
        <v>0</v>
      </c>
      <c r="O917" s="265">
        <f t="shared" si="52"/>
        <v>0</v>
      </c>
      <c r="P917" s="827">
        <f t="shared" si="53"/>
        <v>0</v>
      </c>
    </row>
    <row r="918" spans="1:16" ht="30" hidden="1" customHeight="1" outlineLevel="1">
      <c r="A918" s="118"/>
      <c r="B918" s="118"/>
      <c r="C918" s="828">
        <v>894</v>
      </c>
      <c r="D918" s="829"/>
      <c r="E918" s="830"/>
      <c r="F918" s="830"/>
      <c r="G918" s="854"/>
      <c r="H918" s="1049"/>
      <c r="I918" s="856"/>
      <c r="J918" s="857"/>
      <c r="K918" s="858"/>
      <c r="L918" s="472"/>
      <c r="M918" s="816">
        <f t="shared" si="50"/>
        <v>0</v>
      </c>
      <c r="N918" s="833">
        <f t="shared" si="51"/>
        <v>0</v>
      </c>
      <c r="O918" s="265">
        <f t="shared" si="52"/>
        <v>0</v>
      </c>
      <c r="P918" s="827">
        <f t="shared" si="53"/>
        <v>0</v>
      </c>
    </row>
    <row r="919" spans="1:16" ht="30" hidden="1" customHeight="1" outlineLevel="1">
      <c r="A919" s="118"/>
      <c r="B919" s="118"/>
      <c r="C919" s="828">
        <v>895</v>
      </c>
      <c r="D919" s="829"/>
      <c r="E919" s="830"/>
      <c r="F919" s="830"/>
      <c r="G919" s="854"/>
      <c r="H919" s="1049"/>
      <c r="I919" s="856"/>
      <c r="J919" s="857"/>
      <c r="K919" s="858"/>
      <c r="L919" s="472"/>
      <c r="M919" s="816">
        <f t="shared" si="50"/>
        <v>0</v>
      </c>
      <c r="N919" s="833">
        <f t="shared" si="51"/>
        <v>0</v>
      </c>
      <c r="O919" s="265">
        <f t="shared" si="52"/>
        <v>0</v>
      </c>
      <c r="P919" s="827">
        <f t="shared" si="53"/>
        <v>0</v>
      </c>
    </row>
    <row r="920" spans="1:16" ht="30" hidden="1" customHeight="1" outlineLevel="1">
      <c r="A920" s="118"/>
      <c r="B920" s="118"/>
      <c r="C920" s="828">
        <v>896</v>
      </c>
      <c r="D920" s="829"/>
      <c r="E920" s="830"/>
      <c r="F920" s="830"/>
      <c r="G920" s="854"/>
      <c r="H920" s="1049"/>
      <c r="I920" s="856"/>
      <c r="J920" s="857"/>
      <c r="K920" s="858"/>
      <c r="L920" s="472"/>
      <c r="M920" s="816">
        <f t="shared" si="50"/>
        <v>0</v>
      </c>
      <c r="N920" s="833">
        <f t="shared" si="51"/>
        <v>0</v>
      </c>
      <c r="O920" s="265">
        <f t="shared" si="52"/>
        <v>0</v>
      </c>
      <c r="P920" s="827">
        <f t="shared" si="53"/>
        <v>0</v>
      </c>
    </row>
    <row r="921" spans="1:16" ht="30" hidden="1" customHeight="1" outlineLevel="1">
      <c r="A921" s="118"/>
      <c r="B921" s="118"/>
      <c r="C921" s="828">
        <v>897</v>
      </c>
      <c r="D921" s="829"/>
      <c r="E921" s="830"/>
      <c r="F921" s="830"/>
      <c r="G921" s="854"/>
      <c r="H921" s="1049"/>
      <c r="I921" s="856"/>
      <c r="J921" s="857"/>
      <c r="K921" s="858"/>
      <c r="L921" s="472"/>
      <c r="M921" s="816">
        <f t="shared" si="50"/>
        <v>0</v>
      </c>
      <c r="N921" s="833">
        <f t="shared" si="51"/>
        <v>0</v>
      </c>
      <c r="O921" s="265">
        <f t="shared" si="52"/>
        <v>0</v>
      </c>
      <c r="P921" s="827">
        <f t="shared" si="53"/>
        <v>0</v>
      </c>
    </row>
    <row r="922" spans="1:16" ht="30" hidden="1" customHeight="1" outlineLevel="1">
      <c r="A922" s="118"/>
      <c r="B922" s="118"/>
      <c r="C922" s="828">
        <v>898</v>
      </c>
      <c r="D922" s="829"/>
      <c r="E922" s="830"/>
      <c r="F922" s="830"/>
      <c r="G922" s="854"/>
      <c r="H922" s="1049"/>
      <c r="I922" s="856"/>
      <c r="J922" s="857"/>
      <c r="K922" s="858"/>
      <c r="L922" s="472"/>
      <c r="M922" s="816">
        <f t="shared" si="50"/>
        <v>0</v>
      </c>
      <c r="N922" s="833">
        <f t="shared" si="51"/>
        <v>0</v>
      </c>
      <c r="O922" s="265">
        <f t="shared" si="52"/>
        <v>0</v>
      </c>
      <c r="P922" s="827">
        <f t="shared" si="53"/>
        <v>0</v>
      </c>
    </row>
    <row r="923" spans="1:16" ht="30" hidden="1" customHeight="1" outlineLevel="1">
      <c r="A923" s="118"/>
      <c r="B923" s="118"/>
      <c r="C923" s="828">
        <v>899</v>
      </c>
      <c r="D923" s="829"/>
      <c r="E923" s="830"/>
      <c r="F923" s="830"/>
      <c r="G923" s="854"/>
      <c r="H923" s="1049"/>
      <c r="I923" s="856"/>
      <c r="J923" s="857"/>
      <c r="K923" s="858"/>
      <c r="L923" s="472"/>
      <c r="M923" s="816">
        <f t="shared" si="50"/>
        <v>0</v>
      </c>
      <c r="N923" s="833">
        <f t="shared" si="51"/>
        <v>0</v>
      </c>
      <c r="O923" s="265">
        <f t="shared" si="52"/>
        <v>0</v>
      </c>
      <c r="P923" s="827">
        <f t="shared" si="53"/>
        <v>0</v>
      </c>
    </row>
    <row r="924" spans="1:16" ht="30" hidden="1" customHeight="1" outlineLevel="1">
      <c r="A924" s="118"/>
      <c r="B924" s="118"/>
      <c r="C924" s="828">
        <v>900</v>
      </c>
      <c r="D924" s="829"/>
      <c r="E924" s="830"/>
      <c r="F924" s="830"/>
      <c r="G924" s="854"/>
      <c r="H924" s="1049"/>
      <c r="I924" s="856"/>
      <c r="J924" s="857"/>
      <c r="K924" s="858"/>
      <c r="L924" s="472"/>
      <c r="M924" s="816">
        <f t="shared" si="50"/>
        <v>0</v>
      </c>
      <c r="N924" s="833">
        <f t="shared" si="51"/>
        <v>0</v>
      </c>
      <c r="O924" s="265">
        <f t="shared" si="52"/>
        <v>0</v>
      </c>
      <c r="P924" s="827">
        <f t="shared" si="53"/>
        <v>0</v>
      </c>
    </row>
    <row r="925" spans="1:16" ht="30" hidden="1" customHeight="1" outlineLevel="1">
      <c r="A925" s="118"/>
      <c r="B925" s="118"/>
      <c r="C925" s="828">
        <v>901</v>
      </c>
      <c r="D925" s="829"/>
      <c r="E925" s="830"/>
      <c r="F925" s="830"/>
      <c r="G925" s="854"/>
      <c r="H925" s="1049"/>
      <c r="I925" s="856"/>
      <c r="J925" s="857"/>
      <c r="K925" s="858"/>
      <c r="L925" s="472"/>
      <c r="M925" s="816">
        <f t="shared" si="50"/>
        <v>0</v>
      </c>
      <c r="N925" s="833">
        <f t="shared" si="51"/>
        <v>0</v>
      </c>
      <c r="O925" s="265">
        <f t="shared" si="52"/>
        <v>0</v>
      </c>
      <c r="P925" s="827">
        <f t="shared" si="53"/>
        <v>0</v>
      </c>
    </row>
    <row r="926" spans="1:16" ht="30" hidden="1" customHeight="1" outlineLevel="1">
      <c r="A926" s="118"/>
      <c r="B926" s="118"/>
      <c r="C926" s="828">
        <v>902</v>
      </c>
      <c r="D926" s="829"/>
      <c r="E926" s="830"/>
      <c r="F926" s="830"/>
      <c r="G926" s="854"/>
      <c r="H926" s="1049"/>
      <c r="I926" s="856"/>
      <c r="J926" s="857"/>
      <c r="K926" s="858"/>
      <c r="L926" s="472"/>
      <c r="M926" s="816">
        <f t="shared" si="50"/>
        <v>0</v>
      </c>
      <c r="N926" s="833">
        <f t="shared" si="51"/>
        <v>0</v>
      </c>
      <c r="O926" s="265">
        <f t="shared" si="52"/>
        <v>0</v>
      </c>
      <c r="P926" s="827">
        <f t="shared" si="53"/>
        <v>0</v>
      </c>
    </row>
    <row r="927" spans="1:16" ht="30" hidden="1" customHeight="1" outlineLevel="1">
      <c r="A927" s="118"/>
      <c r="B927" s="118"/>
      <c r="C927" s="828">
        <v>903</v>
      </c>
      <c r="D927" s="829"/>
      <c r="E927" s="830"/>
      <c r="F927" s="830"/>
      <c r="G927" s="854"/>
      <c r="H927" s="1049"/>
      <c r="I927" s="856"/>
      <c r="J927" s="857"/>
      <c r="K927" s="858"/>
      <c r="L927" s="472"/>
      <c r="M927" s="816">
        <f t="shared" si="50"/>
        <v>0</v>
      </c>
      <c r="N927" s="833">
        <f t="shared" si="51"/>
        <v>0</v>
      </c>
      <c r="O927" s="265">
        <f t="shared" si="52"/>
        <v>0</v>
      </c>
      <c r="P927" s="827">
        <f t="shared" si="53"/>
        <v>0</v>
      </c>
    </row>
    <row r="928" spans="1:16" ht="30" hidden="1" customHeight="1" outlineLevel="1">
      <c r="A928" s="118"/>
      <c r="B928" s="118"/>
      <c r="C928" s="828">
        <v>904</v>
      </c>
      <c r="D928" s="829"/>
      <c r="E928" s="830"/>
      <c r="F928" s="830"/>
      <c r="G928" s="854"/>
      <c r="H928" s="1049"/>
      <c r="I928" s="856"/>
      <c r="J928" s="857"/>
      <c r="K928" s="858"/>
      <c r="L928" s="472"/>
      <c r="M928" s="816">
        <f t="shared" si="50"/>
        <v>0</v>
      </c>
      <c r="N928" s="833">
        <f t="shared" si="51"/>
        <v>0</v>
      </c>
      <c r="O928" s="265">
        <f t="shared" si="52"/>
        <v>0</v>
      </c>
      <c r="P928" s="827">
        <f t="shared" si="53"/>
        <v>0</v>
      </c>
    </row>
    <row r="929" spans="1:16" ht="30" hidden="1" customHeight="1" outlineLevel="1">
      <c r="A929" s="118"/>
      <c r="B929" s="118"/>
      <c r="C929" s="828">
        <v>905</v>
      </c>
      <c r="D929" s="829"/>
      <c r="E929" s="830"/>
      <c r="F929" s="830"/>
      <c r="G929" s="854"/>
      <c r="H929" s="1049"/>
      <c r="I929" s="856"/>
      <c r="J929" s="857"/>
      <c r="K929" s="858"/>
      <c r="L929" s="472"/>
      <c r="M929" s="816">
        <f t="shared" si="50"/>
        <v>0</v>
      </c>
      <c r="N929" s="833">
        <f t="shared" si="51"/>
        <v>0</v>
      </c>
      <c r="O929" s="265">
        <f t="shared" si="52"/>
        <v>0</v>
      </c>
      <c r="P929" s="827">
        <f t="shared" si="53"/>
        <v>0</v>
      </c>
    </row>
    <row r="930" spans="1:16" ht="30" hidden="1" customHeight="1" outlineLevel="1">
      <c r="A930" s="118"/>
      <c r="B930" s="118"/>
      <c r="C930" s="828">
        <v>906</v>
      </c>
      <c r="D930" s="829"/>
      <c r="E930" s="830"/>
      <c r="F930" s="830"/>
      <c r="G930" s="854"/>
      <c r="H930" s="1049"/>
      <c r="I930" s="856"/>
      <c r="J930" s="857"/>
      <c r="K930" s="858"/>
      <c r="L930" s="472"/>
      <c r="M930" s="816">
        <f t="shared" si="50"/>
        <v>0</v>
      </c>
      <c r="N930" s="833">
        <f t="shared" si="51"/>
        <v>0</v>
      </c>
      <c r="O930" s="265">
        <f t="shared" si="52"/>
        <v>0</v>
      </c>
      <c r="P930" s="827">
        <f t="shared" si="53"/>
        <v>0</v>
      </c>
    </row>
    <row r="931" spans="1:16" ht="30" hidden="1" customHeight="1" outlineLevel="1">
      <c r="A931" s="118"/>
      <c r="B931" s="118"/>
      <c r="C931" s="828">
        <v>907</v>
      </c>
      <c r="D931" s="829"/>
      <c r="E931" s="830"/>
      <c r="F931" s="830"/>
      <c r="G931" s="854"/>
      <c r="H931" s="1049"/>
      <c r="I931" s="856"/>
      <c r="J931" s="857"/>
      <c r="K931" s="858"/>
      <c r="L931" s="472"/>
      <c r="M931" s="816">
        <f t="shared" si="50"/>
        <v>0</v>
      </c>
      <c r="N931" s="833">
        <f t="shared" si="51"/>
        <v>0</v>
      </c>
      <c r="O931" s="265">
        <f t="shared" si="52"/>
        <v>0</v>
      </c>
      <c r="P931" s="827">
        <f t="shared" si="53"/>
        <v>0</v>
      </c>
    </row>
    <row r="932" spans="1:16" ht="30" hidden="1" customHeight="1" outlineLevel="1">
      <c r="A932" s="118"/>
      <c r="B932" s="118"/>
      <c r="C932" s="828">
        <v>908</v>
      </c>
      <c r="D932" s="829"/>
      <c r="E932" s="830"/>
      <c r="F932" s="830"/>
      <c r="G932" s="854"/>
      <c r="H932" s="1049"/>
      <c r="I932" s="856"/>
      <c r="J932" s="857"/>
      <c r="K932" s="858"/>
      <c r="L932" s="472"/>
      <c r="M932" s="816">
        <f t="shared" si="50"/>
        <v>0</v>
      </c>
      <c r="N932" s="833">
        <f t="shared" si="51"/>
        <v>0</v>
      </c>
      <c r="O932" s="265">
        <f t="shared" si="52"/>
        <v>0</v>
      </c>
      <c r="P932" s="827">
        <f t="shared" si="53"/>
        <v>0</v>
      </c>
    </row>
    <row r="933" spans="1:16" ht="30" hidden="1" customHeight="1" outlineLevel="1">
      <c r="A933" s="118"/>
      <c r="B933" s="118"/>
      <c r="C933" s="828">
        <v>909</v>
      </c>
      <c r="D933" s="829"/>
      <c r="E933" s="830"/>
      <c r="F933" s="830"/>
      <c r="G933" s="854"/>
      <c r="H933" s="1049"/>
      <c r="I933" s="856"/>
      <c r="J933" s="857"/>
      <c r="K933" s="858"/>
      <c r="L933" s="472"/>
      <c r="M933" s="816">
        <f t="shared" si="50"/>
        <v>0</v>
      </c>
      <c r="N933" s="833">
        <f t="shared" si="51"/>
        <v>0</v>
      </c>
      <c r="O933" s="265">
        <f t="shared" si="52"/>
        <v>0</v>
      </c>
      <c r="P933" s="827">
        <f t="shared" si="53"/>
        <v>0</v>
      </c>
    </row>
    <row r="934" spans="1:16" ht="30" hidden="1" customHeight="1" outlineLevel="1">
      <c r="A934" s="118"/>
      <c r="B934" s="118"/>
      <c r="C934" s="828">
        <v>910</v>
      </c>
      <c r="D934" s="829"/>
      <c r="E934" s="830"/>
      <c r="F934" s="830"/>
      <c r="G934" s="854"/>
      <c r="H934" s="1049"/>
      <c r="I934" s="856"/>
      <c r="J934" s="857"/>
      <c r="K934" s="858"/>
      <c r="L934" s="472"/>
      <c r="M934" s="816">
        <f t="shared" si="50"/>
        <v>0</v>
      </c>
      <c r="N934" s="833">
        <f t="shared" si="51"/>
        <v>0</v>
      </c>
      <c r="O934" s="265">
        <f t="shared" si="52"/>
        <v>0</v>
      </c>
      <c r="P934" s="827">
        <f t="shared" si="53"/>
        <v>0</v>
      </c>
    </row>
    <row r="935" spans="1:16" ht="30" hidden="1" customHeight="1" outlineLevel="1">
      <c r="A935" s="118"/>
      <c r="B935" s="118"/>
      <c r="C935" s="828">
        <v>911</v>
      </c>
      <c r="D935" s="829"/>
      <c r="E935" s="830"/>
      <c r="F935" s="830"/>
      <c r="G935" s="854"/>
      <c r="H935" s="1049"/>
      <c r="I935" s="856"/>
      <c r="J935" s="857"/>
      <c r="K935" s="858"/>
      <c r="L935" s="472"/>
      <c r="M935" s="816">
        <f t="shared" si="50"/>
        <v>0</v>
      </c>
      <c r="N935" s="833">
        <f t="shared" si="51"/>
        <v>0</v>
      </c>
      <c r="O935" s="265">
        <f t="shared" si="52"/>
        <v>0</v>
      </c>
      <c r="P935" s="827">
        <f t="shared" si="53"/>
        <v>0</v>
      </c>
    </row>
    <row r="936" spans="1:16" ht="30" hidden="1" customHeight="1" outlineLevel="1">
      <c r="A936" s="118"/>
      <c r="B936" s="118"/>
      <c r="C936" s="828">
        <v>912</v>
      </c>
      <c r="D936" s="829"/>
      <c r="E936" s="830"/>
      <c r="F936" s="830"/>
      <c r="G936" s="854"/>
      <c r="H936" s="1049"/>
      <c r="I936" s="856"/>
      <c r="J936" s="857"/>
      <c r="K936" s="858"/>
      <c r="L936" s="472"/>
      <c r="M936" s="816">
        <f t="shared" si="50"/>
        <v>0</v>
      </c>
      <c r="N936" s="833">
        <f t="shared" si="51"/>
        <v>0</v>
      </c>
      <c r="O936" s="265">
        <f t="shared" si="52"/>
        <v>0</v>
      </c>
      <c r="P936" s="827">
        <f t="shared" si="53"/>
        <v>0</v>
      </c>
    </row>
    <row r="937" spans="1:16" ht="30" hidden="1" customHeight="1" outlineLevel="1">
      <c r="A937" s="118"/>
      <c r="B937" s="118"/>
      <c r="C937" s="828">
        <v>913</v>
      </c>
      <c r="D937" s="829"/>
      <c r="E937" s="830"/>
      <c r="F937" s="830"/>
      <c r="G937" s="854"/>
      <c r="H937" s="1049"/>
      <c r="I937" s="856"/>
      <c r="J937" s="857"/>
      <c r="K937" s="858"/>
      <c r="L937" s="472"/>
      <c r="M937" s="816">
        <f t="shared" si="50"/>
        <v>0</v>
      </c>
      <c r="N937" s="833">
        <f t="shared" si="51"/>
        <v>0</v>
      </c>
      <c r="O937" s="265">
        <f t="shared" si="52"/>
        <v>0</v>
      </c>
      <c r="P937" s="827">
        <f t="shared" si="53"/>
        <v>0</v>
      </c>
    </row>
    <row r="938" spans="1:16" ht="30" hidden="1" customHeight="1" outlineLevel="1">
      <c r="A938" s="118"/>
      <c r="B938" s="118"/>
      <c r="C938" s="828">
        <v>914</v>
      </c>
      <c r="D938" s="829"/>
      <c r="E938" s="830"/>
      <c r="F938" s="830"/>
      <c r="G938" s="854"/>
      <c r="H938" s="1049"/>
      <c r="I938" s="856"/>
      <c r="J938" s="857"/>
      <c r="K938" s="858"/>
      <c r="L938" s="472"/>
      <c r="M938" s="816">
        <f t="shared" si="50"/>
        <v>0</v>
      </c>
      <c r="N938" s="833">
        <f t="shared" si="51"/>
        <v>0</v>
      </c>
      <c r="O938" s="265">
        <f t="shared" si="52"/>
        <v>0</v>
      </c>
      <c r="P938" s="827">
        <f t="shared" si="53"/>
        <v>0</v>
      </c>
    </row>
    <row r="939" spans="1:16" ht="30" hidden="1" customHeight="1" outlineLevel="1">
      <c r="A939" s="118"/>
      <c r="B939" s="118"/>
      <c r="C939" s="828">
        <v>915</v>
      </c>
      <c r="D939" s="829"/>
      <c r="E939" s="830"/>
      <c r="F939" s="830"/>
      <c r="G939" s="854"/>
      <c r="H939" s="1049"/>
      <c r="I939" s="856"/>
      <c r="J939" s="857"/>
      <c r="K939" s="858"/>
      <c r="L939" s="472"/>
      <c r="M939" s="816">
        <f t="shared" si="50"/>
        <v>0</v>
      </c>
      <c r="N939" s="833">
        <f t="shared" si="51"/>
        <v>0</v>
      </c>
      <c r="O939" s="265">
        <f t="shared" si="52"/>
        <v>0</v>
      </c>
      <c r="P939" s="827">
        <f t="shared" si="53"/>
        <v>0</v>
      </c>
    </row>
    <row r="940" spans="1:16" ht="30" hidden="1" customHeight="1" outlineLevel="1">
      <c r="A940" s="118"/>
      <c r="B940" s="118"/>
      <c r="C940" s="828">
        <v>916</v>
      </c>
      <c r="D940" s="829"/>
      <c r="E940" s="830"/>
      <c r="F940" s="830"/>
      <c r="G940" s="854"/>
      <c r="H940" s="1049"/>
      <c r="I940" s="856"/>
      <c r="J940" s="857"/>
      <c r="K940" s="858"/>
      <c r="L940" s="472"/>
      <c r="M940" s="816">
        <f t="shared" si="50"/>
        <v>0</v>
      </c>
      <c r="N940" s="833">
        <f t="shared" si="51"/>
        <v>0</v>
      </c>
      <c r="O940" s="265">
        <f t="shared" si="52"/>
        <v>0</v>
      </c>
      <c r="P940" s="827">
        <f t="shared" si="53"/>
        <v>0</v>
      </c>
    </row>
    <row r="941" spans="1:16" ht="30" hidden="1" customHeight="1" outlineLevel="1">
      <c r="A941" s="118"/>
      <c r="B941" s="118"/>
      <c r="C941" s="828">
        <v>917</v>
      </c>
      <c r="D941" s="829"/>
      <c r="E941" s="830"/>
      <c r="F941" s="830"/>
      <c r="G941" s="854"/>
      <c r="H941" s="1049"/>
      <c r="I941" s="856"/>
      <c r="J941" s="857"/>
      <c r="K941" s="858"/>
      <c r="L941" s="472"/>
      <c r="M941" s="816">
        <f t="shared" si="50"/>
        <v>0</v>
      </c>
      <c r="N941" s="833">
        <f t="shared" si="51"/>
        <v>0</v>
      </c>
      <c r="O941" s="265">
        <f t="shared" si="52"/>
        <v>0</v>
      </c>
      <c r="P941" s="827">
        <f t="shared" si="53"/>
        <v>0</v>
      </c>
    </row>
    <row r="942" spans="1:16" ht="30" hidden="1" customHeight="1" outlineLevel="1">
      <c r="A942" s="118"/>
      <c r="B942" s="118"/>
      <c r="C942" s="828">
        <v>918</v>
      </c>
      <c r="D942" s="829"/>
      <c r="E942" s="830"/>
      <c r="F942" s="830"/>
      <c r="G942" s="854"/>
      <c r="H942" s="1049"/>
      <c r="I942" s="856"/>
      <c r="J942" s="857"/>
      <c r="K942" s="858"/>
      <c r="L942" s="472"/>
      <c r="M942" s="816">
        <f t="shared" ref="M942:M1005" si="54">IF($H942&gt;0,E942,)</f>
        <v>0</v>
      </c>
      <c r="N942" s="833">
        <f t="shared" ref="N942:N1005" si="55">IF($H942&gt;0,F942,)</f>
        <v>0</v>
      </c>
      <c r="O942" s="265">
        <f t="shared" ref="O942:O1005" si="56">IF(H942&gt;0,ROUND(G942,),)</f>
        <v>0</v>
      </c>
      <c r="P942" s="827">
        <f t="shared" ref="P942:P1005" si="57">ROUND(O942*H942%,)</f>
        <v>0</v>
      </c>
    </row>
    <row r="943" spans="1:16" ht="30" hidden="1" customHeight="1" outlineLevel="1">
      <c r="A943" s="118"/>
      <c r="B943" s="118"/>
      <c r="C943" s="828">
        <v>919</v>
      </c>
      <c r="D943" s="829"/>
      <c r="E943" s="830"/>
      <c r="F943" s="830"/>
      <c r="G943" s="854"/>
      <c r="H943" s="1049"/>
      <c r="I943" s="856"/>
      <c r="J943" s="857"/>
      <c r="K943" s="858"/>
      <c r="L943" s="472"/>
      <c r="M943" s="816">
        <f t="shared" si="54"/>
        <v>0</v>
      </c>
      <c r="N943" s="833">
        <f t="shared" si="55"/>
        <v>0</v>
      </c>
      <c r="O943" s="265">
        <f t="shared" si="56"/>
        <v>0</v>
      </c>
      <c r="P943" s="827">
        <f t="shared" si="57"/>
        <v>0</v>
      </c>
    </row>
    <row r="944" spans="1:16" ht="30" hidden="1" customHeight="1" outlineLevel="1">
      <c r="A944" s="118"/>
      <c r="B944" s="118"/>
      <c r="C944" s="828">
        <v>920</v>
      </c>
      <c r="D944" s="829"/>
      <c r="E944" s="830"/>
      <c r="F944" s="830"/>
      <c r="G944" s="854"/>
      <c r="H944" s="1049"/>
      <c r="I944" s="856"/>
      <c r="J944" s="857"/>
      <c r="K944" s="858"/>
      <c r="L944" s="472"/>
      <c r="M944" s="816">
        <f t="shared" si="54"/>
        <v>0</v>
      </c>
      <c r="N944" s="833">
        <f t="shared" si="55"/>
        <v>0</v>
      </c>
      <c r="O944" s="265">
        <f t="shared" si="56"/>
        <v>0</v>
      </c>
      <c r="P944" s="827">
        <f t="shared" si="57"/>
        <v>0</v>
      </c>
    </row>
    <row r="945" spans="1:16" ht="30" hidden="1" customHeight="1" outlineLevel="1">
      <c r="A945" s="118"/>
      <c r="B945" s="118"/>
      <c r="C945" s="828">
        <v>921</v>
      </c>
      <c r="D945" s="829"/>
      <c r="E945" s="830"/>
      <c r="F945" s="830"/>
      <c r="G945" s="854"/>
      <c r="H945" s="1049"/>
      <c r="I945" s="856"/>
      <c r="J945" s="857"/>
      <c r="K945" s="858"/>
      <c r="L945" s="472"/>
      <c r="M945" s="816">
        <f t="shared" si="54"/>
        <v>0</v>
      </c>
      <c r="N945" s="833">
        <f t="shared" si="55"/>
        <v>0</v>
      </c>
      <c r="O945" s="265">
        <f t="shared" si="56"/>
        <v>0</v>
      </c>
      <c r="P945" s="827">
        <f t="shared" si="57"/>
        <v>0</v>
      </c>
    </row>
    <row r="946" spans="1:16" ht="30" hidden="1" customHeight="1" outlineLevel="1">
      <c r="A946" s="118"/>
      <c r="B946" s="118"/>
      <c r="C946" s="828">
        <v>922</v>
      </c>
      <c r="D946" s="829"/>
      <c r="E946" s="830"/>
      <c r="F946" s="830"/>
      <c r="G946" s="854"/>
      <c r="H946" s="1049"/>
      <c r="I946" s="856"/>
      <c r="J946" s="857"/>
      <c r="K946" s="858"/>
      <c r="L946" s="472"/>
      <c r="M946" s="816">
        <f t="shared" si="54"/>
        <v>0</v>
      </c>
      <c r="N946" s="833">
        <f t="shared" si="55"/>
        <v>0</v>
      </c>
      <c r="O946" s="265">
        <f t="shared" si="56"/>
        <v>0</v>
      </c>
      <c r="P946" s="827">
        <f t="shared" si="57"/>
        <v>0</v>
      </c>
    </row>
    <row r="947" spans="1:16" ht="30" hidden="1" customHeight="1" outlineLevel="1">
      <c r="A947" s="118"/>
      <c r="B947" s="118"/>
      <c r="C947" s="828">
        <v>923</v>
      </c>
      <c r="D947" s="829"/>
      <c r="E947" s="830"/>
      <c r="F947" s="830"/>
      <c r="G947" s="854"/>
      <c r="H947" s="1049"/>
      <c r="I947" s="856"/>
      <c r="J947" s="857"/>
      <c r="K947" s="858"/>
      <c r="L947" s="472"/>
      <c r="M947" s="816">
        <f t="shared" si="54"/>
        <v>0</v>
      </c>
      <c r="N947" s="833">
        <f t="shared" si="55"/>
        <v>0</v>
      </c>
      <c r="O947" s="265">
        <f t="shared" si="56"/>
        <v>0</v>
      </c>
      <c r="P947" s="827">
        <f t="shared" si="57"/>
        <v>0</v>
      </c>
    </row>
    <row r="948" spans="1:16" ht="30" hidden="1" customHeight="1" outlineLevel="1">
      <c r="A948" s="118"/>
      <c r="B948" s="118"/>
      <c r="C948" s="828">
        <v>924</v>
      </c>
      <c r="D948" s="829"/>
      <c r="E948" s="830"/>
      <c r="F948" s="830"/>
      <c r="G948" s="854"/>
      <c r="H948" s="1049"/>
      <c r="I948" s="856"/>
      <c r="J948" s="857"/>
      <c r="K948" s="858"/>
      <c r="L948" s="472"/>
      <c r="M948" s="816">
        <f t="shared" si="54"/>
        <v>0</v>
      </c>
      <c r="N948" s="833">
        <f t="shared" si="55"/>
        <v>0</v>
      </c>
      <c r="O948" s="265">
        <f t="shared" si="56"/>
        <v>0</v>
      </c>
      <c r="P948" s="827">
        <f t="shared" si="57"/>
        <v>0</v>
      </c>
    </row>
    <row r="949" spans="1:16" ht="30" hidden="1" customHeight="1" outlineLevel="1">
      <c r="A949" s="118"/>
      <c r="B949" s="118"/>
      <c r="C949" s="828">
        <v>925</v>
      </c>
      <c r="D949" s="829"/>
      <c r="E949" s="830"/>
      <c r="F949" s="830"/>
      <c r="G949" s="854"/>
      <c r="H949" s="1049"/>
      <c r="I949" s="856"/>
      <c r="J949" s="857"/>
      <c r="K949" s="858"/>
      <c r="L949" s="472"/>
      <c r="M949" s="816">
        <f t="shared" si="54"/>
        <v>0</v>
      </c>
      <c r="N949" s="833">
        <f t="shared" si="55"/>
        <v>0</v>
      </c>
      <c r="O949" s="265">
        <f t="shared" si="56"/>
        <v>0</v>
      </c>
      <c r="P949" s="827">
        <f t="shared" si="57"/>
        <v>0</v>
      </c>
    </row>
    <row r="950" spans="1:16" ht="30" hidden="1" customHeight="1" outlineLevel="1">
      <c r="A950" s="118"/>
      <c r="B950" s="118"/>
      <c r="C950" s="828">
        <v>926</v>
      </c>
      <c r="D950" s="829"/>
      <c r="E950" s="830"/>
      <c r="F950" s="830"/>
      <c r="G950" s="854"/>
      <c r="H950" s="1049"/>
      <c r="I950" s="856"/>
      <c r="J950" s="857"/>
      <c r="K950" s="858"/>
      <c r="L950" s="472"/>
      <c r="M950" s="816">
        <f t="shared" si="54"/>
        <v>0</v>
      </c>
      <c r="N950" s="833">
        <f t="shared" si="55"/>
        <v>0</v>
      </c>
      <c r="O950" s="265">
        <f t="shared" si="56"/>
        <v>0</v>
      </c>
      <c r="P950" s="827">
        <f t="shared" si="57"/>
        <v>0</v>
      </c>
    </row>
    <row r="951" spans="1:16" ht="30" hidden="1" customHeight="1" outlineLevel="1">
      <c r="A951" s="118"/>
      <c r="B951" s="118"/>
      <c r="C951" s="828">
        <v>927</v>
      </c>
      <c r="D951" s="829"/>
      <c r="E951" s="830"/>
      <c r="F951" s="830"/>
      <c r="G951" s="854"/>
      <c r="H951" s="1049"/>
      <c r="I951" s="856"/>
      <c r="J951" s="857"/>
      <c r="K951" s="858"/>
      <c r="L951" s="472"/>
      <c r="M951" s="816">
        <f t="shared" si="54"/>
        <v>0</v>
      </c>
      <c r="N951" s="833">
        <f t="shared" si="55"/>
        <v>0</v>
      </c>
      <c r="O951" s="265">
        <f t="shared" si="56"/>
        <v>0</v>
      </c>
      <c r="P951" s="827">
        <f t="shared" si="57"/>
        <v>0</v>
      </c>
    </row>
    <row r="952" spans="1:16" ht="30" hidden="1" customHeight="1" outlineLevel="1">
      <c r="A952" s="118"/>
      <c r="B952" s="118"/>
      <c r="C952" s="828">
        <v>928</v>
      </c>
      <c r="D952" s="829"/>
      <c r="E952" s="830"/>
      <c r="F952" s="830"/>
      <c r="G952" s="854"/>
      <c r="H952" s="1049"/>
      <c r="I952" s="856"/>
      <c r="J952" s="857"/>
      <c r="K952" s="858"/>
      <c r="L952" s="472"/>
      <c r="M952" s="816">
        <f t="shared" si="54"/>
        <v>0</v>
      </c>
      <c r="N952" s="833">
        <f t="shared" si="55"/>
        <v>0</v>
      </c>
      <c r="O952" s="265">
        <f t="shared" si="56"/>
        <v>0</v>
      </c>
      <c r="P952" s="827">
        <f t="shared" si="57"/>
        <v>0</v>
      </c>
    </row>
    <row r="953" spans="1:16" ht="30" hidden="1" customHeight="1" outlineLevel="1">
      <c r="A953" s="118"/>
      <c r="B953" s="118"/>
      <c r="C953" s="828">
        <v>929</v>
      </c>
      <c r="D953" s="829"/>
      <c r="E953" s="830"/>
      <c r="F953" s="830"/>
      <c r="G953" s="854"/>
      <c r="H953" s="1049"/>
      <c r="I953" s="856"/>
      <c r="J953" s="857"/>
      <c r="K953" s="858"/>
      <c r="L953" s="472"/>
      <c r="M953" s="816">
        <f t="shared" si="54"/>
        <v>0</v>
      </c>
      <c r="N953" s="833">
        <f t="shared" si="55"/>
        <v>0</v>
      </c>
      <c r="O953" s="265">
        <f t="shared" si="56"/>
        <v>0</v>
      </c>
      <c r="P953" s="827">
        <f t="shared" si="57"/>
        <v>0</v>
      </c>
    </row>
    <row r="954" spans="1:16" ht="30" hidden="1" customHeight="1" outlineLevel="1">
      <c r="A954" s="118"/>
      <c r="B954" s="118"/>
      <c r="C954" s="828">
        <v>930</v>
      </c>
      <c r="D954" s="829"/>
      <c r="E954" s="830"/>
      <c r="F954" s="830"/>
      <c r="G954" s="854"/>
      <c r="H954" s="1049"/>
      <c r="I954" s="856"/>
      <c r="J954" s="857"/>
      <c r="K954" s="858"/>
      <c r="L954" s="472"/>
      <c r="M954" s="816">
        <f t="shared" si="54"/>
        <v>0</v>
      </c>
      <c r="N954" s="833">
        <f t="shared" si="55"/>
        <v>0</v>
      </c>
      <c r="O954" s="265">
        <f t="shared" si="56"/>
        <v>0</v>
      </c>
      <c r="P954" s="827">
        <f t="shared" si="57"/>
        <v>0</v>
      </c>
    </row>
    <row r="955" spans="1:16" ht="30" hidden="1" customHeight="1" outlineLevel="1">
      <c r="A955" s="118"/>
      <c r="B955" s="118"/>
      <c r="C955" s="828">
        <v>931</v>
      </c>
      <c r="D955" s="829"/>
      <c r="E955" s="830"/>
      <c r="F955" s="830"/>
      <c r="G955" s="854"/>
      <c r="H955" s="1049"/>
      <c r="I955" s="856"/>
      <c r="J955" s="857"/>
      <c r="K955" s="858"/>
      <c r="L955" s="472"/>
      <c r="M955" s="816">
        <f t="shared" si="54"/>
        <v>0</v>
      </c>
      <c r="N955" s="833">
        <f t="shared" si="55"/>
        <v>0</v>
      </c>
      <c r="O955" s="265">
        <f t="shared" si="56"/>
        <v>0</v>
      </c>
      <c r="P955" s="827">
        <f t="shared" si="57"/>
        <v>0</v>
      </c>
    </row>
    <row r="956" spans="1:16" ht="30" hidden="1" customHeight="1" outlineLevel="1">
      <c r="A956" s="118"/>
      <c r="B956" s="118"/>
      <c r="C956" s="828">
        <v>932</v>
      </c>
      <c r="D956" s="829"/>
      <c r="E956" s="830"/>
      <c r="F956" s="830"/>
      <c r="G956" s="854"/>
      <c r="H956" s="1049"/>
      <c r="I956" s="856"/>
      <c r="J956" s="857"/>
      <c r="K956" s="858"/>
      <c r="L956" s="472"/>
      <c r="M956" s="816">
        <f t="shared" si="54"/>
        <v>0</v>
      </c>
      <c r="N956" s="833">
        <f t="shared" si="55"/>
        <v>0</v>
      </c>
      <c r="O956" s="265">
        <f t="shared" si="56"/>
        <v>0</v>
      </c>
      <c r="P956" s="827">
        <f t="shared" si="57"/>
        <v>0</v>
      </c>
    </row>
    <row r="957" spans="1:16" ht="30" hidden="1" customHeight="1" outlineLevel="1">
      <c r="A957" s="118"/>
      <c r="B957" s="118"/>
      <c r="C957" s="828">
        <v>933</v>
      </c>
      <c r="D957" s="829"/>
      <c r="E957" s="830"/>
      <c r="F957" s="830"/>
      <c r="G957" s="854"/>
      <c r="H957" s="1049"/>
      <c r="I957" s="856"/>
      <c r="J957" s="857"/>
      <c r="K957" s="858"/>
      <c r="L957" s="472"/>
      <c r="M957" s="816">
        <f t="shared" si="54"/>
        <v>0</v>
      </c>
      <c r="N957" s="833">
        <f t="shared" si="55"/>
        <v>0</v>
      </c>
      <c r="O957" s="265">
        <f t="shared" si="56"/>
        <v>0</v>
      </c>
      <c r="P957" s="827">
        <f t="shared" si="57"/>
        <v>0</v>
      </c>
    </row>
    <row r="958" spans="1:16" ht="30" hidden="1" customHeight="1" outlineLevel="1">
      <c r="A958" s="118"/>
      <c r="B958" s="118"/>
      <c r="C958" s="828">
        <v>934</v>
      </c>
      <c r="D958" s="829"/>
      <c r="E958" s="830"/>
      <c r="F958" s="830"/>
      <c r="G958" s="854"/>
      <c r="H958" s="1049"/>
      <c r="I958" s="856"/>
      <c r="J958" s="857"/>
      <c r="K958" s="858"/>
      <c r="L958" s="472"/>
      <c r="M958" s="816">
        <f t="shared" si="54"/>
        <v>0</v>
      </c>
      <c r="N958" s="833">
        <f t="shared" si="55"/>
        <v>0</v>
      </c>
      <c r="O958" s="265">
        <f t="shared" si="56"/>
        <v>0</v>
      </c>
      <c r="P958" s="827">
        <f t="shared" si="57"/>
        <v>0</v>
      </c>
    </row>
    <row r="959" spans="1:16" ht="30" hidden="1" customHeight="1" outlineLevel="1">
      <c r="A959" s="118"/>
      <c r="B959" s="118"/>
      <c r="C959" s="828">
        <v>935</v>
      </c>
      <c r="D959" s="829"/>
      <c r="E959" s="830"/>
      <c r="F959" s="830"/>
      <c r="G959" s="854"/>
      <c r="H959" s="1049"/>
      <c r="I959" s="856"/>
      <c r="J959" s="857"/>
      <c r="K959" s="858"/>
      <c r="L959" s="472"/>
      <c r="M959" s="816">
        <f t="shared" si="54"/>
        <v>0</v>
      </c>
      <c r="N959" s="833">
        <f t="shared" si="55"/>
        <v>0</v>
      </c>
      <c r="O959" s="265">
        <f t="shared" si="56"/>
        <v>0</v>
      </c>
      <c r="P959" s="827">
        <f t="shared" si="57"/>
        <v>0</v>
      </c>
    </row>
    <row r="960" spans="1:16" ht="30" hidden="1" customHeight="1" outlineLevel="1">
      <c r="A960" s="118"/>
      <c r="B960" s="118"/>
      <c r="C960" s="828">
        <v>936</v>
      </c>
      <c r="D960" s="829"/>
      <c r="E960" s="830"/>
      <c r="F960" s="830"/>
      <c r="G960" s="854"/>
      <c r="H960" s="1049"/>
      <c r="I960" s="856"/>
      <c r="J960" s="857"/>
      <c r="K960" s="858"/>
      <c r="L960" s="472"/>
      <c r="M960" s="816">
        <f t="shared" si="54"/>
        <v>0</v>
      </c>
      <c r="N960" s="833">
        <f t="shared" si="55"/>
        <v>0</v>
      </c>
      <c r="O960" s="265">
        <f t="shared" si="56"/>
        <v>0</v>
      </c>
      <c r="P960" s="827">
        <f t="shared" si="57"/>
        <v>0</v>
      </c>
    </row>
    <row r="961" spans="1:16" ht="30" hidden="1" customHeight="1" outlineLevel="1">
      <c r="A961" s="118"/>
      <c r="B961" s="118"/>
      <c r="C961" s="828">
        <v>937</v>
      </c>
      <c r="D961" s="829"/>
      <c r="E961" s="830"/>
      <c r="F961" s="830"/>
      <c r="G961" s="854"/>
      <c r="H961" s="1049"/>
      <c r="I961" s="856"/>
      <c r="J961" s="857"/>
      <c r="K961" s="858"/>
      <c r="L961" s="472"/>
      <c r="M961" s="816">
        <f t="shared" si="54"/>
        <v>0</v>
      </c>
      <c r="N961" s="833">
        <f t="shared" si="55"/>
        <v>0</v>
      </c>
      <c r="O961" s="265">
        <f t="shared" si="56"/>
        <v>0</v>
      </c>
      <c r="P961" s="827">
        <f t="shared" si="57"/>
        <v>0</v>
      </c>
    </row>
    <row r="962" spans="1:16" ht="30" hidden="1" customHeight="1" outlineLevel="1">
      <c r="A962" s="118"/>
      <c r="B962" s="118"/>
      <c r="C962" s="828">
        <v>938</v>
      </c>
      <c r="D962" s="829"/>
      <c r="E962" s="830"/>
      <c r="F962" s="830"/>
      <c r="G962" s="854"/>
      <c r="H962" s="1049"/>
      <c r="I962" s="856"/>
      <c r="J962" s="857"/>
      <c r="K962" s="858"/>
      <c r="L962" s="472"/>
      <c r="M962" s="816">
        <f t="shared" si="54"/>
        <v>0</v>
      </c>
      <c r="N962" s="833">
        <f t="shared" si="55"/>
        <v>0</v>
      </c>
      <c r="O962" s="265">
        <f t="shared" si="56"/>
        <v>0</v>
      </c>
      <c r="P962" s="827">
        <f t="shared" si="57"/>
        <v>0</v>
      </c>
    </row>
    <row r="963" spans="1:16" ht="30" hidden="1" customHeight="1" outlineLevel="1">
      <c r="A963" s="118"/>
      <c r="B963" s="118"/>
      <c r="C963" s="828">
        <v>939</v>
      </c>
      <c r="D963" s="829"/>
      <c r="E963" s="830"/>
      <c r="F963" s="830"/>
      <c r="G963" s="854"/>
      <c r="H963" s="1049"/>
      <c r="I963" s="856"/>
      <c r="J963" s="857"/>
      <c r="K963" s="858"/>
      <c r="L963" s="472"/>
      <c r="M963" s="816">
        <f t="shared" si="54"/>
        <v>0</v>
      </c>
      <c r="N963" s="833">
        <f t="shared" si="55"/>
        <v>0</v>
      </c>
      <c r="O963" s="265">
        <f t="shared" si="56"/>
        <v>0</v>
      </c>
      <c r="P963" s="827">
        <f t="shared" si="57"/>
        <v>0</v>
      </c>
    </row>
    <row r="964" spans="1:16" ht="30" hidden="1" customHeight="1" outlineLevel="1">
      <c r="A964" s="118"/>
      <c r="B964" s="118"/>
      <c r="C964" s="828">
        <v>940</v>
      </c>
      <c r="D964" s="829"/>
      <c r="E964" s="830"/>
      <c r="F964" s="830"/>
      <c r="G964" s="854"/>
      <c r="H964" s="1049"/>
      <c r="I964" s="856"/>
      <c r="J964" s="857"/>
      <c r="K964" s="858"/>
      <c r="L964" s="472"/>
      <c r="M964" s="816">
        <f t="shared" si="54"/>
        <v>0</v>
      </c>
      <c r="N964" s="833">
        <f t="shared" si="55"/>
        <v>0</v>
      </c>
      <c r="O964" s="265">
        <f t="shared" si="56"/>
        <v>0</v>
      </c>
      <c r="P964" s="827">
        <f t="shared" si="57"/>
        <v>0</v>
      </c>
    </row>
    <row r="965" spans="1:16" ht="30" hidden="1" customHeight="1" outlineLevel="1">
      <c r="A965" s="118"/>
      <c r="B965" s="118"/>
      <c r="C965" s="828">
        <v>941</v>
      </c>
      <c r="D965" s="829"/>
      <c r="E965" s="830"/>
      <c r="F965" s="830"/>
      <c r="G965" s="854"/>
      <c r="H965" s="1049"/>
      <c r="I965" s="856"/>
      <c r="J965" s="857"/>
      <c r="K965" s="858"/>
      <c r="L965" s="472"/>
      <c r="M965" s="816">
        <f t="shared" si="54"/>
        <v>0</v>
      </c>
      <c r="N965" s="833">
        <f t="shared" si="55"/>
        <v>0</v>
      </c>
      <c r="O965" s="265">
        <f t="shared" si="56"/>
        <v>0</v>
      </c>
      <c r="P965" s="827">
        <f t="shared" si="57"/>
        <v>0</v>
      </c>
    </row>
    <row r="966" spans="1:16" ht="30" hidden="1" customHeight="1" outlineLevel="1">
      <c r="A966" s="118"/>
      <c r="B966" s="118"/>
      <c r="C966" s="828">
        <v>942</v>
      </c>
      <c r="D966" s="829"/>
      <c r="E966" s="830"/>
      <c r="F966" s="830"/>
      <c r="G966" s="854"/>
      <c r="H966" s="1049"/>
      <c r="I966" s="856"/>
      <c r="J966" s="857"/>
      <c r="K966" s="858"/>
      <c r="L966" s="472"/>
      <c r="M966" s="816">
        <f t="shared" si="54"/>
        <v>0</v>
      </c>
      <c r="N966" s="833">
        <f t="shared" si="55"/>
        <v>0</v>
      </c>
      <c r="O966" s="265">
        <f t="shared" si="56"/>
        <v>0</v>
      </c>
      <c r="P966" s="827">
        <f t="shared" si="57"/>
        <v>0</v>
      </c>
    </row>
    <row r="967" spans="1:16" ht="30" hidden="1" customHeight="1" outlineLevel="1">
      <c r="A967" s="118"/>
      <c r="B967" s="118"/>
      <c r="C967" s="828">
        <v>943</v>
      </c>
      <c r="D967" s="829"/>
      <c r="E967" s="830"/>
      <c r="F967" s="830"/>
      <c r="G967" s="854"/>
      <c r="H967" s="1049"/>
      <c r="I967" s="856"/>
      <c r="J967" s="857"/>
      <c r="K967" s="858"/>
      <c r="L967" s="472"/>
      <c r="M967" s="816">
        <f t="shared" si="54"/>
        <v>0</v>
      </c>
      <c r="N967" s="833">
        <f t="shared" si="55"/>
        <v>0</v>
      </c>
      <c r="O967" s="265">
        <f t="shared" si="56"/>
        <v>0</v>
      </c>
      <c r="P967" s="827">
        <f t="shared" si="57"/>
        <v>0</v>
      </c>
    </row>
    <row r="968" spans="1:16" ht="30" hidden="1" customHeight="1" outlineLevel="1">
      <c r="A968" s="118"/>
      <c r="B968" s="118"/>
      <c r="C968" s="828">
        <v>944</v>
      </c>
      <c r="D968" s="829"/>
      <c r="E968" s="830"/>
      <c r="F968" s="830"/>
      <c r="G968" s="854"/>
      <c r="H968" s="1049"/>
      <c r="I968" s="856"/>
      <c r="J968" s="857"/>
      <c r="K968" s="858"/>
      <c r="L968" s="472"/>
      <c r="M968" s="816">
        <f t="shared" si="54"/>
        <v>0</v>
      </c>
      <c r="N968" s="833">
        <f t="shared" si="55"/>
        <v>0</v>
      </c>
      <c r="O968" s="265">
        <f t="shared" si="56"/>
        <v>0</v>
      </c>
      <c r="P968" s="827">
        <f t="shared" si="57"/>
        <v>0</v>
      </c>
    </row>
    <row r="969" spans="1:16" ht="30" hidden="1" customHeight="1" outlineLevel="1">
      <c r="A969" s="118"/>
      <c r="B969" s="118"/>
      <c r="C969" s="828">
        <v>945</v>
      </c>
      <c r="D969" s="829"/>
      <c r="E969" s="830"/>
      <c r="F969" s="830"/>
      <c r="G969" s="854"/>
      <c r="H969" s="1049"/>
      <c r="I969" s="856"/>
      <c r="J969" s="857"/>
      <c r="K969" s="858"/>
      <c r="L969" s="472"/>
      <c r="M969" s="816">
        <f t="shared" si="54"/>
        <v>0</v>
      </c>
      <c r="N969" s="833">
        <f t="shared" si="55"/>
        <v>0</v>
      </c>
      <c r="O969" s="265">
        <f t="shared" si="56"/>
        <v>0</v>
      </c>
      <c r="P969" s="827">
        <f t="shared" si="57"/>
        <v>0</v>
      </c>
    </row>
    <row r="970" spans="1:16" ht="30" hidden="1" customHeight="1" outlineLevel="1">
      <c r="A970" s="118"/>
      <c r="B970" s="118"/>
      <c r="C970" s="828">
        <v>946</v>
      </c>
      <c r="D970" s="829"/>
      <c r="E970" s="830"/>
      <c r="F970" s="830"/>
      <c r="G970" s="854"/>
      <c r="H970" s="1049"/>
      <c r="I970" s="856"/>
      <c r="J970" s="857"/>
      <c r="K970" s="858"/>
      <c r="L970" s="472"/>
      <c r="M970" s="816">
        <f t="shared" si="54"/>
        <v>0</v>
      </c>
      <c r="N970" s="833">
        <f t="shared" si="55"/>
        <v>0</v>
      </c>
      <c r="O970" s="265">
        <f t="shared" si="56"/>
        <v>0</v>
      </c>
      <c r="P970" s="827">
        <f t="shared" si="57"/>
        <v>0</v>
      </c>
    </row>
    <row r="971" spans="1:16" ht="30" hidden="1" customHeight="1" outlineLevel="1">
      <c r="A971" s="118"/>
      <c r="B971" s="118"/>
      <c r="C971" s="828">
        <v>947</v>
      </c>
      <c r="D971" s="829"/>
      <c r="E971" s="830"/>
      <c r="F971" s="830"/>
      <c r="G971" s="854"/>
      <c r="H971" s="1049"/>
      <c r="I971" s="856"/>
      <c r="J971" s="857"/>
      <c r="K971" s="858"/>
      <c r="L971" s="472"/>
      <c r="M971" s="816">
        <f t="shared" si="54"/>
        <v>0</v>
      </c>
      <c r="N971" s="833">
        <f t="shared" si="55"/>
        <v>0</v>
      </c>
      <c r="O971" s="265">
        <f t="shared" si="56"/>
        <v>0</v>
      </c>
      <c r="P971" s="827">
        <f t="shared" si="57"/>
        <v>0</v>
      </c>
    </row>
    <row r="972" spans="1:16" ht="30" hidden="1" customHeight="1" outlineLevel="1">
      <c r="A972" s="118"/>
      <c r="B972" s="118"/>
      <c r="C972" s="828">
        <v>948</v>
      </c>
      <c r="D972" s="829"/>
      <c r="E972" s="830"/>
      <c r="F972" s="830"/>
      <c r="G972" s="854"/>
      <c r="H972" s="1049"/>
      <c r="I972" s="856"/>
      <c r="J972" s="857"/>
      <c r="K972" s="858"/>
      <c r="L972" s="472"/>
      <c r="M972" s="816">
        <f t="shared" si="54"/>
        <v>0</v>
      </c>
      <c r="N972" s="833">
        <f t="shared" si="55"/>
        <v>0</v>
      </c>
      <c r="O972" s="265">
        <f t="shared" si="56"/>
        <v>0</v>
      </c>
      <c r="P972" s="827">
        <f t="shared" si="57"/>
        <v>0</v>
      </c>
    </row>
    <row r="973" spans="1:16" ht="30" hidden="1" customHeight="1" outlineLevel="1">
      <c r="A973" s="118"/>
      <c r="B973" s="118"/>
      <c r="C973" s="828">
        <v>949</v>
      </c>
      <c r="D973" s="829"/>
      <c r="E973" s="830"/>
      <c r="F973" s="830"/>
      <c r="G973" s="854"/>
      <c r="H973" s="1049"/>
      <c r="I973" s="856"/>
      <c r="J973" s="857"/>
      <c r="K973" s="858"/>
      <c r="L973" s="472"/>
      <c r="M973" s="816">
        <f t="shared" si="54"/>
        <v>0</v>
      </c>
      <c r="N973" s="833">
        <f t="shared" si="55"/>
        <v>0</v>
      </c>
      <c r="O973" s="265">
        <f t="shared" si="56"/>
        <v>0</v>
      </c>
      <c r="P973" s="827">
        <f t="shared" si="57"/>
        <v>0</v>
      </c>
    </row>
    <row r="974" spans="1:16" ht="30" hidden="1" customHeight="1" outlineLevel="1">
      <c r="A974" s="118"/>
      <c r="B974" s="118"/>
      <c r="C974" s="828">
        <v>950</v>
      </c>
      <c r="D974" s="829"/>
      <c r="E974" s="830"/>
      <c r="F974" s="830"/>
      <c r="G974" s="854"/>
      <c r="H974" s="1049"/>
      <c r="I974" s="856"/>
      <c r="J974" s="857"/>
      <c r="K974" s="858"/>
      <c r="L974" s="472"/>
      <c r="M974" s="816">
        <f t="shared" si="54"/>
        <v>0</v>
      </c>
      <c r="N974" s="833">
        <f t="shared" si="55"/>
        <v>0</v>
      </c>
      <c r="O974" s="265">
        <f t="shared" si="56"/>
        <v>0</v>
      </c>
      <c r="P974" s="827">
        <f t="shared" si="57"/>
        <v>0</v>
      </c>
    </row>
    <row r="975" spans="1:16" ht="30" hidden="1" customHeight="1" outlineLevel="1">
      <c r="A975" s="118"/>
      <c r="B975" s="118"/>
      <c r="C975" s="828">
        <v>951</v>
      </c>
      <c r="D975" s="829"/>
      <c r="E975" s="830"/>
      <c r="F975" s="830"/>
      <c r="G975" s="854"/>
      <c r="H975" s="1049"/>
      <c r="I975" s="856"/>
      <c r="J975" s="857"/>
      <c r="K975" s="858"/>
      <c r="L975" s="472"/>
      <c r="M975" s="816">
        <f t="shared" si="54"/>
        <v>0</v>
      </c>
      <c r="N975" s="833">
        <f t="shared" si="55"/>
        <v>0</v>
      </c>
      <c r="O975" s="265">
        <f t="shared" si="56"/>
        <v>0</v>
      </c>
      <c r="P975" s="827">
        <f t="shared" si="57"/>
        <v>0</v>
      </c>
    </row>
    <row r="976" spans="1:16" ht="30" hidden="1" customHeight="1" outlineLevel="1">
      <c r="A976" s="118"/>
      <c r="B976" s="118"/>
      <c r="C976" s="828">
        <v>952</v>
      </c>
      <c r="D976" s="829"/>
      <c r="E976" s="830"/>
      <c r="F976" s="830"/>
      <c r="G976" s="854"/>
      <c r="H976" s="1049"/>
      <c r="I976" s="856"/>
      <c r="J976" s="857"/>
      <c r="K976" s="858"/>
      <c r="L976" s="472"/>
      <c r="M976" s="816">
        <f t="shared" si="54"/>
        <v>0</v>
      </c>
      <c r="N976" s="833">
        <f t="shared" si="55"/>
        <v>0</v>
      </c>
      <c r="O976" s="265">
        <f t="shared" si="56"/>
        <v>0</v>
      </c>
      <c r="P976" s="827">
        <f t="shared" si="57"/>
        <v>0</v>
      </c>
    </row>
    <row r="977" spans="1:16" ht="30" hidden="1" customHeight="1" outlineLevel="1">
      <c r="A977" s="118"/>
      <c r="B977" s="118"/>
      <c r="C977" s="828">
        <v>953</v>
      </c>
      <c r="D977" s="829"/>
      <c r="E977" s="830"/>
      <c r="F977" s="830"/>
      <c r="G977" s="854"/>
      <c r="H977" s="1049"/>
      <c r="I977" s="856"/>
      <c r="J977" s="857"/>
      <c r="K977" s="858"/>
      <c r="L977" s="472"/>
      <c r="M977" s="816">
        <f t="shared" si="54"/>
        <v>0</v>
      </c>
      <c r="N977" s="833">
        <f t="shared" si="55"/>
        <v>0</v>
      </c>
      <c r="O977" s="265">
        <f t="shared" si="56"/>
        <v>0</v>
      </c>
      <c r="P977" s="827">
        <f t="shared" si="57"/>
        <v>0</v>
      </c>
    </row>
    <row r="978" spans="1:16" ht="30" hidden="1" customHeight="1" outlineLevel="1">
      <c r="A978" s="118"/>
      <c r="B978" s="118"/>
      <c r="C978" s="828">
        <v>954</v>
      </c>
      <c r="D978" s="829"/>
      <c r="E978" s="830"/>
      <c r="F978" s="830"/>
      <c r="G978" s="854"/>
      <c r="H978" s="1049"/>
      <c r="I978" s="856"/>
      <c r="J978" s="857"/>
      <c r="K978" s="858"/>
      <c r="L978" s="472"/>
      <c r="M978" s="816">
        <f t="shared" si="54"/>
        <v>0</v>
      </c>
      <c r="N978" s="833">
        <f t="shared" si="55"/>
        <v>0</v>
      </c>
      <c r="O978" s="265">
        <f t="shared" si="56"/>
        <v>0</v>
      </c>
      <c r="P978" s="827">
        <f t="shared" si="57"/>
        <v>0</v>
      </c>
    </row>
    <row r="979" spans="1:16" ht="30" hidden="1" customHeight="1" outlineLevel="1">
      <c r="A979" s="118"/>
      <c r="B979" s="118"/>
      <c r="C979" s="828">
        <v>955</v>
      </c>
      <c r="D979" s="829"/>
      <c r="E979" s="830"/>
      <c r="F979" s="830"/>
      <c r="G979" s="854"/>
      <c r="H979" s="1049"/>
      <c r="I979" s="856"/>
      <c r="J979" s="857"/>
      <c r="K979" s="858"/>
      <c r="L979" s="472"/>
      <c r="M979" s="816">
        <f t="shared" si="54"/>
        <v>0</v>
      </c>
      <c r="N979" s="833">
        <f t="shared" si="55"/>
        <v>0</v>
      </c>
      <c r="O979" s="265">
        <f t="shared" si="56"/>
        <v>0</v>
      </c>
      <c r="P979" s="827">
        <f t="shared" si="57"/>
        <v>0</v>
      </c>
    </row>
    <row r="980" spans="1:16" ht="30" hidden="1" customHeight="1" outlineLevel="1">
      <c r="A980" s="118"/>
      <c r="B980" s="118"/>
      <c r="C980" s="828">
        <v>956</v>
      </c>
      <c r="D980" s="829"/>
      <c r="E980" s="830"/>
      <c r="F980" s="830"/>
      <c r="G980" s="854"/>
      <c r="H980" s="1049"/>
      <c r="I980" s="856"/>
      <c r="J980" s="857"/>
      <c r="K980" s="858"/>
      <c r="L980" s="472"/>
      <c r="M980" s="816">
        <f t="shared" si="54"/>
        <v>0</v>
      </c>
      <c r="N980" s="833">
        <f t="shared" si="55"/>
        <v>0</v>
      </c>
      <c r="O980" s="265">
        <f t="shared" si="56"/>
        <v>0</v>
      </c>
      <c r="P980" s="827">
        <f t="shared" si="57"/>
        <v>0</v>
      </c>
    </row>
    <row r="981" spans="1:16" ht="30" hidden="1" customHeight="1" outlineLevel="1">
      <c r="A981" s="118"/>
      <c r="B981" s="118"/>
      <c r="C981" s="828">
        <v>957</v>
      </c>
      <c r="D981" s="829"/>
      <c r="E981" s="830"/>
      <c r="F981" s="830"/>
      <c r="G981" s="854"/>
      <c r="H981" s="1049"/>
      <c r="I981" s="856"/>
      <c r="J981" s="857"/>
      <c r="K981" s="858"/>
      <c r="L981" s="472"/>
      <c r="M981" s="816">
        <f t="shared" si="54"/>
        <v>0</v>
      </c>
      <c r="N981" s="833">
        <f t="shared" si="55"/>
        <v>0</v>
      </c>
      <c r="O981" s="265">
        <f t="shared" si="56"/>
        <v>0</v>
      </c>
      <c r="P981" s="827">
        <f t="shared" si="57"/>
        <v>0</v>
      </c>
    </row>
    <row r="982" spans="1:16" ht="30" hidden="1" customHeight="1" outlineLevel="1">
      <c r="A982" s="118"/>
      <c r="B982" s="118"/>
      <c r="C982" s="828">
        <v>958</v>
      </c>
      <c r="D982" s="829"/>
      <c r="E982" s="830"/>
      <c r="F982" s="830"/>
      <c r="G982" s="854"/>
      <c r="H982" s="1049"/>
      <c r="I982" s="856"/>
      <c r="J982" s="857"/>
      <c r="K982" s="858"/>
      <c r="L982" s="472"/>
      <c r="M982" s="816">
        <f t="shared" si="54"/>
        <v>0</v>
      </c>
      <c r="N982" s="833">
        <f t="shared" si="55"/>
        <v>0</v>
      </c>
      <c r="O982" s="265">
        <f t="shared" si="56"/>
        <v>0</v>
      </c>
      <c r="P982" s="827">
        <f t="shared" si="57"/>
        <v>0</v>
      </c>
    </row>
    <row r="983" spans="1:16" ht="30" hidden="1" customHeight="1" outlineLevel="1">
      <c r="A983" s="118"/>
      <c r="B983" s="118"/>
      <c r="C983" s="828">
        <v>959</v>
      </c>
      <c r="D983" s="829"/>
      <c r="E983" s="830"/>
      <c r="F983" s="830"/>
      <c r="G983" s="854"/>
      <c r="H983" s="1049"/>
      <c r="I983" s="856"/>
      <c r="J983" s="857"/>
      <c r="K983" s="858"/>
      <c r="L983" s="472"/>
      <c r="M983" s="816">
        <f t="shared" si="54"/>
        <v>0</v>
      </c>
      <c r="N983" s="833">
        <f t="shared" si="55"/>
        <v>0</v>
      </c>
      <c r="O983" s="265">
        <f t="shared" si="56"/>
        <v>0</v>
      </c>
      <c r="P983" s="827">
        <f t="shared" si="57"/>
        <v>0</v>
      </c>
    </row>
    <row r="984" spans="1:16" ht="30" hidden="1" customHeight="1" outlineLevel="1">
      <c r="A984" s="118"/>
      <c r="B984" s="118"/>
      <c r="C984" s="828">
        <v>960</v>
      </c>
      <c r="D984" s="829"/>
      <c r="E984" s="830"/>
      <c r="F984" s="830"/>
      <c r="G984" s="854"/>
      <c r="H984" s="1049"/>
      <c r="I984" s="856"/>
      <c r="J984" s="857"/>
      <c r="K984" s="858"/>
      <c r="L984" s="472"/>
      <c r="M984" s="816">
        <f t="shared" si="54"/>
        <v>0</v>
      </c>
      <c r="N984" s="833">
        <f t="shared" si="55"/>
        <v>0</v>
      </c>
      <c r="O984" s="265">
        <f t="shared" si="56"/>
        <v>0</v>
      </c>
      <c r="P984" s="827">
        <f t="shared" si="57"/>
        <v>0</v>
      </c>
    </row>
    <row r="985" spans="1:16" ht="30" hidden="1" customHeight="1" outlineLevel="1">
      <c r="A985" s="118"/>
      <c r="B985" s="118"/>
      <c r="C985" s="828">
        <v>961</v>
      </c>
      <c r="D985" s="829"/>
      <c r="E985" s="830"/>
      <c r="F985" s="830"/>
      <c r="G985" s="854"/>
      <c r="H985" s="1049"/>
      <c r="I985" s="856"/>
      <c r="J985" s="857"/>
      <c r="K985" s="858"/>
      <c r="L985" s="472"/>
      <c r="M985" s="816">
        <f t="shared" si="54"/>
        <v>0</v>
      </c>
      <c r="N985" s="833">
        <f t="shared" si="55"/>
        <v>0</v>
      </c>
      <c r="O985" s="265">
        <f t="shared" si="56"/>
        <v>0</v>
      </c>
      <c r="P985" s="827">
        <f t="shared" si="57"/>
        <v>0</v>
      </c>
    </row>
    <row r="986" spans="1:16" ht="30" hidden="1" customHeight="1" outlineLevel="1">
      <c r="A986" s="118"/>
      <c r="B986" s="118"/>
      <c r="C986" s="828">
        <v>962</v>
      </c>
      <c r="D986" s="829"/>
      <c r="E986" s="830"/>
      <c r="F986" s="830"/>
      <c r="G986" s="854"/>
      <c r="H986" s="1049"/>
      <c r="I986" s="856"/>
      <c r="J986" s="857"/>
      <c r="K986" s="858"/>
      <c r="L986" s="472"/>
      <c r="M986" s="816">
        <f t="shared" si="54"/>
        <v>0</v>
      </c>
      <c r="N986" s="833">
        <f t="shared" si="55"/>
        <v>0</v>
      </c>
      <c r="O986" s="265">
        <f t="shared" si="56"/>
        <v>0</v>
      </c>
      <c r="P986" s="827">
        <f t="shared" si="57"/>
        <v>0</v>
      </c>
    </row>
    <row r="987" spans="1:16" ht="30" hidden="1" customHeight="1" outlineLevel="1">
      <c r="A987" s="118"/>
      <c r="B987" s="118"/>
      <c r="C987" s="828">
        <v>963</v>
      </c>
      <c r="D987" s="829"/>
      <c r="E987" s="830"/>
      <c r="F987" s="830"/>
      <c r="G987" s="854"/>
      <c r="H987" s="1049"/>
      <c r="I987" s="856"/>
      <c r="J987" s="857"/>
      <c r="K987" s="858"/>
      <c r="L987" s="472"/>
      <c r="M987" s="816">
        <f t="shared" si="54"/>
        <v>0</v>
      </c>
      <c r="N987" s="833">
        <f t="shared" si="55"/>
        <v>0</v>
      </c>
      <c r="O987" s="265">
        <f t="shared" si="56"/>
        <v>0</v>
      </c>
      <c r="P987" s="827">
        <f t="shared" si="57"/>
        <v>0</v>
      </c>
    </row>
    <row r="988" spans="1:16" ht="30" hidden="1" customHeight="1" outlineLevel="1">
      <c r="A988" s="118"/>
      <c r="B988" s="118"/>
      <c r="C988" s="828">
        <v>964</v>
      </c>
      <c r="D988" s="829"/>
      <c r="E988" s="830"/>
      <c r="F988" s="830"/>
      <c r="G988" s="854"/>
      <c r="H988" s="1049"/>
      <c r="I988" s="856"/>
      <c r="J988" s="857"/>
      <c r="K988" s="858"/>
      <c r="L988" s="472"/>
      <c r="M988" s="816">
        <f t="shared" si="54"/>
        <v>0</v>
      </c>
      <c r="N988" s="833">
        <f t="shared" si="55"/>
        <v>0</v>
      </c>
      <c r="O988" s="265">
        <f t="shared" si="56"/>
        <v>0</v>
      </c>
      <c r="P988" s="827">
        <f t="shared" si="57"/>
        <v>0</v>
      </c>
    </row>
    <row r="989" spans="1:16" ht="30" hidden="1" customHeight="1" outlineLevel="1">
      <c r="A989" s="118"/>
      <c r="B989" s="118"/>
      <c r="C989" s="828">
        <v>965</v>
      </c>
      <c r="D989" s="829"/>
      <c r="E989" s="830"/>
      <c r="F989" s="830"/>
      <c r="G989" s="854"/>
      <c r="H989" s="1049"/>
      <c r="I989" s="856"/>
      <c r="J989" s="857"/>
      <c r="K989" s="858"/>
      <c r="L989" s="472"/>
      <c r="M989" s="816">
        <f t="shared" si="54"/>
        <v>0</v>
      </c>
      <c r="N989" s="833">
        <f t="shared" si="55"/>
        <v>0</v>
      </c>
      <c r="O989" s="265">
        <f t="shared" si="56"/>
        <v>0</v>
      </c>
      <c r="P989" s="827">
        <f t="shared" si="57"/>
        <v>0</v>
      </c>
    </row>
    <row r="990" spans="1:16" ht="30" hidden="1" customHeight="1" outlineLevel="1">
      <c r="A990" s="118"/>
      <c r="B990" s="118"/>
      <c r="C990" s="828">
        <v>966</v>
      </c>
      <c r="D990" s="829"/>
      <c r="E990" s="830"/>
      <c r="F990" s="830"/>
      <c r="G990" s="854"/>
      <c r="H990" s="1049"/>
      <c r="I990" s="856"/>
      <c r="J990" s="857"/>
      <c r="K990" s="858"/>
      <c r="L990" s="472"/>
      <c r="M990" s="816">
        <f t="shared" si="54"/>
        <v>0</v>
      </c>
      <c r="N990" s="833">
        <f t="shared" si="55"/>
        <v>0</v>
      </c>
      <c r="O990" s="265">
        <f t="shared" si="56"/>
        <v>0</v>
      </c>
      <c r="P990" s="827">
        <f t="shared" si="57"/>
        <v>0</v>
      </c>
    </row>
    <row r="991" spans="1:16" ht="30" hidden="1" customHeight="1" outlineLevel="1">
      <c r="A991" s="118"/>
      <c r="B991" s="118"/>
      <c r="C991" s="828">
        <v>967</v>
      </c>
      <c r="D991" s="829"/>
      <c r="E991" s="830"/>
      <c r="F991" s="830"/>
      <c r="G991" s="854"/>
      <c r="H991" s="1049"/>
      <c r="I991" s="856"/>
      <c r="J991" s="857"/>
      <c r="K991" s="858"/>
      <c r="L991" s="472"/>
      <c r="M991" s="816">
        <f t="shared" si="54"/>
        <v>0</v>
      </c>
      <c r="N991" s="833">
        <f t="shared" si="55"/>
        <v>0</v>
      </c>
      <c r="O991" s="265">
        <f t="shared" si="56"/>
        <v>0</v>
      </c>
      <c r="P991" s="827">
        <f t="shared" si="57"/>
        <v>0</v>
      </c>
    </row>
    <row r="992" spans="1:16" ht="30" hidden="1" customHeight="1" outlineLevel="1">
      <c r="A992" s="118"/>
      <c r="B992" s="118"/>
      <c r="C992" s="828">
        <v>968</v>
      </c>
      <c r="D992" s="829"/>
      <c r="E992" s="830"/>
      <c r="F992" s="830"/>
      <c r="G992" s="854"/>
      <c r="H992" s="1049"/>
      <c r="I992" s="856"/>
      <c r="J992" s="857"/>
      <c r="K992" s="858"/>
      <c r="L992" s="472"/>
      <c r="M992" s="816">
        <f t="shared" si="54"/>
        <v>0</v>
      </c>
      <c r="N992" s="833">
        <f t="shared" si="55"/>
        <v>0</v>
      </c>
      <c r="O992" s="265">
        <f t="shared" si="56"/>
        <v>0</v>
      </c>
      <c r="P992" s="827">
        <f t="shared" si="57"/>
        <v>0</v>
      </c>
    </row>
    <row r="993" spans="1:16" ht="30" hidden="1" customHeight="1" outlineLevel="1">
      <c r="A993" s="118"/>
      <c r="B993" s="118"/>
      <c r="C993" s="828">
        <v>969</v>
      </c>
      <c r="D993" s="829"/>
      <c r="E993" s="830"/>
      <c r="F993" s="830"/>
      <c r="G993" s="854"/>
      <c r="H993" s="1049"/>
      <c r="I993" s="856"/>
      <c r="J993" s="857"/>
      <c r="K993" s="858"/>
      <c r="L993" s="472"/>
      <c r="M993" s="816">
        <f t="shared" si="54"/>
        <v>0</v>
      </c>
      <c r="N993" s="833">
        <f t="shared" si="55"/>
        <v>0</v>
      </c>
      <c r="O993" s="265">
        <f t="shared" si="56"/>
        <v>0</v>
      </c>
      <c r="P993" s="827">
        <f t="shared" si="57"/>
        <v>0</v>
      </c>
    </row>
    <row r="994" spans="1:16" ht="30" hidden="1" customHeight="1" outlineLevel="1">
      <c r="A994" s="118"/>
      <c r="B994" s="118"/>
      <c r="C994" s="828">
        <v>970</v>
      </c>
      <c r="D994" s="829"/>
      <c r="E994" s="830"/>
      <c r="F994" s="830"/>
      <c r="G994" s="854"/>
      <c r="H994" s="1049"/>
      <c r="I994" s="856"/>
      <c r="J994" s="857"/>
      <c r="K994" s="858"/>
      <c r="L994" s="472"/>
      <c r="M994" s="816">
        <f t="shared" si="54"/>
        <v>0</v>
      </c>
      <c r="N994" s="833">
        <f t="shared" si="55"/>
        <v>0</v>
      </c>
      <c r="O994" s="265">
        <f t="shared" si="56"/>
        <v>0</v>
      </c>
      <c r="P994" s="827">
        <f t="shared" si="57"/>
        <v>0</v>
      </c>
    </row>
    <row r="995" spans="1:16" ht="30" hidden="1" customHeight="1" outlineLevel="1">
      <c r="A995" s="118"/>
      <c r="B995" s="118"/>
      <c r="C995" s="828">
        <v>971</v>
      </c>
      <c r="D995" s="829"/>
      <c r="E995" s="830"/>
      <c r="F995" s="830"/>
      <c r="G995" s="854"/>
      <c r="H995" s="1049"/>
      <c r="I995" s="856"/>
      <c r="J995" s="857"/>
      <c r="K995" s="858"/>
      <c r="L995" s="472"/>
      <c r="M995" s="816">
        <f t="shared" si="54"/>
        <v>0</v>
      </c>
      <c r="N995" s="833">
        <f t="shared" si="55"/>
        <v>0</v>
      </c>
      <c r="O995" s="265">
        <f t="shared" si="56"/>
        <v>0</v>
      </c>
      <c r="P995" s="827">
        <f t="shared" si="57"/>
        <v>0</v>
      </c>
    </row>
    <row r="996" spans="1:16" ht="30" hidden="1" customHeight="1" outlineLevel="1">
      <c r="A996" s="118"/>
      <c r="B996" s="118"/>
      <c r="C996" s="828">
        <v>972</v>
      </c>
      <c r="D996" s="829"/>
      <c r="E996" s="830"/>
      <c r="F996" s="830"/>
      <c r="G996" s="854"/>
      <c r="H996" s="1049"/>
      <c r="I996" s="856"/>
      <c r="J996" s="857"/>
      <c r="K996" s="858"/>
      <c r="L996" s="472"/>
      <c r="M996" s="816">
        <f t="shared" si="54"/>
        <v>0</v>
      </c>
      <c r="N996" s="833">
        <f t="shared" si="55"/>
        <v>0</v>
      </c>
      <c r="O996" s="265">
        <f t="shared" si="56"/>
        <v>0</v>
      </c>
      <c r="P996" s="827">
        <f t="shared" si="57"/>
        <v>0</v>
      </c>
    </row>
    <row r="997" spans="1:16" ht="30" hidden="1" customHeight="1" outlineLevel="1">
      <c r="A997" s="118"/>
      <c r="B997" s="118"/>
      <c r="C997" s="828">
        <v>973</v>
      </c>
      <c r="D997" s="829"/>
      <c r="E997" s="830"/>
      <c r="F997" s="830"/>
      <c r="G997" s="854"/>
      <c r="H997" s="1049"/>
      <c r="I997" s="856"/>
      <c r="J997" s="857"/>
      <c r="K997" s="858"/>
      <c r="L997" s="472"/>
      <c r="M997" s="816">
        <f t="shared" si="54"/>
        <v>0</v>
      </c>
      <c r="N997" s="833">
        <f t="shared" si="55"/>
        <v>0</v>
      </c>
      <c r="O997" s="265">
        <f t="shared" si="56"/>
        <v>0</v>
      </c>
      <c r="P997" s="827">
        <f t="shared" si="57"/>
        <v>0</v>
      </c>
    </row>
    <row r="998" spans="1:16" ht="30" hidden="1" customHeight="1" outlineLevel="1">
      <c r="A998" s="118"/>
      <c r="B998" s="118"/>
      <c r="C998" s="828">
        <v>974</v>
      </c>
      <c r="D998" s="829"/>
      <c r="E998" s="830"/>
      <c r="F998" s="830"/>
      <c r="G998" s="854"/>
      <c r="H998" s="1049"/>
      <c r="I998" s="856"/>
      <c r="J998" s="857"/>
      <c r="K998" s="858"/>
      <c r="L998" s="472"/>
      <c r="M998" s="816">
        <f t="shared" si="54"/>
        <v>0</v>
      </c>
      <c r="N998" s="833">
        <f t="shared" si="55"/>
        <v>0</v>
      </c>
      <c r="O998" s="265">
        <f t="shared" si="56"/>
        <v>0</v>
      </c>
      <c r="P998" s="827">
        <f t="shared" si="57"/>
        <v>0</v>
      </c>
    </row>
    <row r="999" spans="1:16" ht="30" hidden="1" customHeight="1" outlineLevel="1">
      <c r="A999" s="118"/>
      <c r="B999" s="118"/>
      <c r="C999" s="828">
        <v>975</v>
      </c>
      <c r="D999" s="829"/>
      <c r="E999" s="830"/>
      <c r="F999" s="830"/>
      <c r="G999" s="854"/>
      <c r="H999" s="1049"/>
      <c r="I999" s="856"/>
      <c r="J999" s="857"/>
      <c r="K999" s="858"/>
      <c r="L999" s="472"/>
      <c r="M999" s="816">
        <f t="shared" si="54"/>
        <v>0</v>
      </c>
      <c r="N999" s="833">
        <f t="shared" si="55"/>
        <v>0</v>
      </c>
      <c r="O999" s="265">
        <f t="shared" si="56"/>
        <v>0</v>
      </c>
      <c r="P999" s="827">
        <f t="shared" si="57"/>
        <v>0</v>
      </c>
    </row>
    <row r="1000" spans="1:16" ht="30" hidden="1" customHeight="1" outlineLevel="1">
      <c r="A1000" s="118"/>
      <c r="B1000" s="118"/>
      <c r="C1000" s="828">
        <v>976</v>
      </c>
      <c r="D1000" s="829"/>
      <c r="E1000" s="830"/>
      <c r="F1000" s="830"/>
      <c r="G1000" s="854"/>
      <c r="H1000" s="1049"/>
      <c r="I1000" s="856"/>
      <c r="J1000" s="857"/>
      <c r="K1000" s="858"/>
      <c r="L1000" s="472"/>
      <c r="M1000" s="816">
        <f t="shared" si="54"/>
        <v>0</v>
      </c>
      <c r="N1000" s="833">
        <f t="shared" si="55"/>
        <v>0</v>
      </c>
      <c r="O1000" s="265">
        <f t="shared" si="56"/>
        <v>0</v>
      </c>
      <c r="P1000" s="827">
        <f t="shared" si="57"/>
        <v>0</v>
      </c>
    </row>
    <row r="1001" spans="1:16" ht="30" hidden="1" customHeight="1" outlineLevel="1">
      <c r="A1001" s="118"/>
      <c r="B1001" s="118"/>
      <c r="C1001" s="828">
        <v>977</v>
      </c>
      <c r="D1001" s="829"/>
      <c r="E1001" s="830"/>
      <c r="F1001" s="830"/>
      <c r="G1001" s="854"/>
      <c r="H1001" s="1049"/>
      <c r="I1001" s="856"/>
      <c r="J1001" s="857"/>
      <c r="K1001" s="858"/>
      <c r="L1001" s="472"/>
      <c r="M1001" s="816">
        <f t="shared" si="54"/>
        <v>0</v>
      </c>
      <c r="N1001" s="833">
        <f t="shared" si="55"/>
        <v>0</v>
      </c>
      <c r="O1001" s="265">
        <f t="shared" si="56"/>
        <v>0</v>
      </c>
      <c r="P1001" s="827">
        <f t="shared" si="57"/>
        <v>0</v>
      </c>
    </row>
    <row r="1002" spans="1:16" ht="30" hidden="1" customHeight="1" outlineLevel="1">
      <c r="A1002" s="118"/>
      <c r="B1002" s="118"/>
      <c r="C1002" s="828">
        <v>978</v>
      </c>
      <c r="D1002" s="829"/>
      <c r="E1002" s="830"/>
      <c r="F1002" s="830"/>
      <c r="G1002" s="854"/>
      <c r="H1002" s="1049"/>
      <c r="I1002" s="856"/>
      <c r="J1002" s="857"/>
      <c r="K1002" s="858"/>
      <c r="L1002" s="472"/>
      <c r="M1002" s="816">
        <f t="shared" si="54"/>
        <v>0</v>
      </c>
      <c r="N1002" s="833">
        <f t="shared" si="55"/>
        <v>0</v>
      </c>
      <c r="O1002" s="265">
        <f t="shared" si="56"/>
        <v>0</v>
      </c>
      <c r="P1002" s="827">
        <f t="shared" si="57"/>
        <v>0</v>
      </c>
    </row>
    <row r="1003" spans="1:16" ht="30" hidden="1" customHeight="1" outlineLevel="1">
      <c r="A1003" s="118"/>
      <c r="B1003" s="118"/>
      <c r="C1003" s="828">
        <v>979</v>
      </c>
      <c r="D1003" s="829"/>
      <c r="E1003" s="830"/>
      <c r="F1003" s="830"/>
      <c r="G1003" s="854"/>
      <c r="H1003" s="1049"/>
      <c r="I1003" s="856"/>
      <c r="J1003" s="857"/>
      <c r="K1003" s="858"/>
      <c r="L1003" s="472"/>
      <c r="M1003" s="816">
        <f t="shared" si="54"/>
        <v>0</v>
      </c>
      <c r="N1003" s="833">
        <f t="shared" si="55"/>
        <v>0</v>
      </c>
      <c r="O1003" s="265">
        <f t="shared" si="56"/>
        <v>0</v>
      </c>
      <c r="P1003" s="827">
        <f t="shared" si="57"/>
        <v>0</v>
      </c>
    </row>
    <row r="1004" spans="1:16" ht="30" hidden="1" customHeight="1" outlineLevel="1">
      <c r="A1004" s="118"/>
      <c r="B1004" s="118"/>
      <c r="C1004" s="828">
        <v>980</v>
      </c>
      <c r="D1004" s="829"/>
      <c r="E1004" s="830"/>
      <c r="F1004" s="830"/>
      <c r="G1004" s="854"/>
      <c r="H1004" s="1049"/>
      <c r="I1004" s="856"/>
      <c r="J1004" s="857"/>
      <c r="K1004" s="858"/>
      <c r="L1004" s="472"/>
      <c r="M1004" s="816">
        <f t="shared" si="54"/>
        <v>0</v>
      </c>
      <c r="N1004" s="833">
        <f t="shared" si="55"/>
        <v>0</v>
      </c>
      <c r="O1004" s="265">
        <f t="shared" si="56"/>
        <v>0</v>
      </c>
      <c r="P1004" s="827">
        <f t="shared" si="57"/>
        <v>0</v>
      </c>
    </row>
    <row r="1005" spans="1:16" ht="30" hidden="1" customHeight="1" outlineLevel="1">
      <c r="A1005" s="118"/>
      <c r="B1005" s="118"/>
      <c r="C1005" s="828">
        <v>981</v>
      </c>
      <c r="D1005" s="829"/>
      <c r="E1005" s="830"/>
      <c r="F1005" s="830"/>
      <c r="G1005" s="854"/>
      <c r="H1005" s="1049"/>
      <c r="I1005" s="856"/>
      <c r="J1005" s="857"/>
      <c r="K1005" s="858"/>
      <c r="L1005" s="472"/>
      <c r="M1005" s="816">
        <f t="shared" si="54"/>
        <v>0</v>
      </c>
      <c r="N1005" s="833">
        <f t="shared" si="55"/>
        <v>0</v>
      </c>
      <c r="O1005" s="265">
        <f t="shared" si="56"/>
        <v>0</v>
      </c>
      <c r="P1005" s="827">
        <f t="shared" si="57"/>
        <v>0</v>
      </c>
    </row>
    <row r="1006" spans="1:16" ht="30" hidden="1" customHeight="1" outlineLevel="1">
      <c r="A1006" s="118"/>
      <c r="B1006" s="118"/>
      <c r="C1006" s="828">
        <v>982</v>
      </c>
      <c r="D1006" s="829"/>
      <c r="E1006" s="830"/>
      <c r="F1006" s="830"/>
      <c r="G1006" s="854"/>
      <c r="H1006" s="1049"/>
      <c r="I1006" s="856"/>
      <c r="J1006" s="857"/>
      <c r="K1006" s="858"/>
      <c r="L1006" s="472"/>
      <c r="M1006" s="816">
        <f t="shared" ref="M1006:M1023" si="58">IF($H1006&gt;0,E1006,)</f>
        <v>0</v>
      </c>
      <c r="N1006" s="833">
        <f t="shared" ref="N1006:N1023" si="59">IF($H1006&gt;0,F1006,)</f>
        <v>0</v>
      </c>
      <c r="O1006" s="265">
        <f t="shared" ref="O1006:O1023" si="60">IF(H1006&gt;0,ROUND(G1006,),)</f>
        <v>0</v>
      </c>
      <c r="P1006" s="827">
        <f t="shared" ref="P1006:P1023" si="61">ROUND(O1006*H1006%,)</f>
        <v>0</v>
      </c>
    </row>
    <row r="1007" spans="1:16" ht="30" hidden="1" customHeight="1" outlineLevel="1">
      <c r="A1007" s="118"/>
      <c r="B1007" s="118"/>
      <c r="C1007" s="828">
        <v>983</v>
      </c>
      <c r="D1007" s="829"/>
      <c r="E1007" s="830"/>
      <c r="F1007" s="830"/>
      <c r="G1007" s="854"/>
      <c r="H1007" s="1049"/>
      <c r="I1007" s="856"/>
      <c r="J1007" s="857"/>
      <c r="K1007" s="858"/>
      <c r="L1007" s="472"/>
      <c r="M1007" s="816">
        <f t="shared" si="58"/>
        <v>0</v>
      </c>
      <c r="N1007" s="833">
        <f t="shared" si="59"/>
        <v>0</v>
      </c>
      <c r="O1007" s="265">
        <f t="shared" si="60"/>
        <v>0</v>
      </c>
      <c r="P1007" s="827">
        <f t="shared" si="61"/>
        <v>0</v>
      </c>
    </row>
    <row r="1008" spans="1:16" ht="30" hidden="1" customHeight="1" outlineLevel="1">
      <c r="A1008" s="118"/>
      <c r="B1008" s="118"/>
      <c r="C1008" s="828">
        <v>984</v>
      </c>
      <c r="D1008" s="829"/>
      <c r="E1008" s="830"/>
      <c r="F1008" s="830"/>
      <c r="G1008" s="854"/>
      <c r="H1008" s="1049"/>
      <c r="I1008" s="856"/>
      <c r="J1008" s="857"/>
      <c r="K1008" s="858"/>
      <c r="L1008" s="472"/>
      <c r="M1008" s="816">
        <f t="shared" si="58"/>
        <v>0</v>
      </c>
      <c r="N1008" s="833">
        <f t="shared" si="59"/>
        <v>0</v>
      </c>
      <c r="O1008" s="265">
        <f t="shared" si="60"/>
        <v>0</v>
      </c>
      <c r="P1008" s="827">
        <f t="shared" si="61"/>
        <v>0</v>
      </c>
    </row>
    <row r="1009" spans="1:16" ht="30" hidden="1" customHeight="1" outlineLevel="1">
      <c r="A1009" s="118"/>
      <c r="B1009" s="118"/>
      <c r="C1009" s="828">
        <v>985</v>
      </c>
      <c r="D1009" s="829"/>
      <c r="E1009" s="830"/>
      <c r="F1009" s="830"/>
      <c r="G1009" s="854"/>
      <c r="H1009" s="1049"/>
      <c r="I1009" s="856"/>
      <c r="J1009" s="857"/>
      <c r="K1009" s="858"/>
      <c r="L1009" s="472"/>
      <c r="M1009" s="816">
        <f t="shared" si="58"/>
        <v>0</v>
      </c>
      <c r="N1009" s="833">
        <f t="shared" si="59"/>
        <v>0</v>
      </c>
      <c r="O1009" s="265">
        <f t="shared" si="60"/>
        <v>0</v>
      </c>
      <c r="P1009" s="827">
        <f t="shared" si="61"/>
        <v>0</v>
      </c>
    </row>
    <row r="1010" spans="1:16" ht="30" hidden="1" customHeight="1" outlineLevel="1">
      <c r="A1010" s="118"/>
      <c r="B1010" s="118"/>
      <c r="C1010" s="828">
        <v>986</v>
      </c>
      <c r="D1010" s="829"/>
      <c r="E1010" s="830"/>
      <c r="F1010" s="830"/>
      <c r="G1010" s="854"/>
      <c r="H1010" s="1049"/>
      <c r="I1010" s="856"/>
      <c r="J1010" s="857"/>
      <c r="K1010" s="858"/>
      <c r="L1010" s="472"/>
      <c r="M1010" s="816">
        <f t="shared" si="58"/>
        <v>0</v>
      </c>
      <c r="N1010" s="833">
        <f t="shared" si="59"/>
        <v>0</v>
      </c>
      <c r="O1010" s="265">
        <f t="shared" si="60"/>
        <v>0</v>
      </c>
      <c r="P1010" s="827">
        <f t="shared" si="61"/>
        <v>0</v>
      </c>
    </row>
    <row r="1011" spans="1:16" ht="30" hidden="1" customHeight="1" outlineLevel="1">
      <c r="A1011" s="118"/>
      <c r="B1011" s="118"/>
      <c r="C1011" s="828">
        <v>987</v>
      </c>
      <c r="D1011" s="829"/>
      <c r="E1011" s="830"/>
      <c r="F1011" s="830"/>
      <c r="G1011" s="854"/>
      <c r="H1011" s="1049"/>
      <c r="I1011" s="856"/>
      <c r="J1011" s="857"/>
      <c r="K1011" s="858"/>
      <c r="L1011" s="472"/>
      <c r="M1011" s="816">
        <f t="shared" si="58"/>
        <v>0</v>
      </c>
      <c r="N1011" s="833">
        <f t="shared" si="59"/>
        <v>0</v>
      </c>
      <c r="O1011" s="265">
        <f t="shared" si="60"/>
        <v>0</v>
      </c>
      <c r="P1011" s="827">
        <f t="shared" si="61"/>
        <v>0</v>
      </c>
    </row>
    <row r="1012" spans="1:16" ht="30" hidden="1" customHeight="1" outlineLevel="1">
      <c r="A1012" s="118"/>
      <c r="B1012" s="118"/>
      <c r="C1012" s="828">
        <v>988</v>
      </c>
      <c r="D1012" s="829"/>
      <c r="E1012" s="830"/>
      <c r="F1012" s="830"/>
      <c r="G1012" s="854"/>
      <c r="H1012" s="1049"/>
      <c r="I1012" s="856"/>
      <c r="J1012" s="857"/>
      <c r="K1012" s="858"/>
      <c r="L1012" s="472"/>
      <c r="M1012" s="816">
        <f t="shared" si="58"/>
        <v>0</v>
      </c>
      <c r="N1012" s="833">
        <f t="shared" si="59"/>
        <v>0</v>
      </c>
      <c r="O1012" s="265">
        <f t="shared" si="60"/>
        <v>0</v>
      </c>
      <c r="P1012" s="827">
        <f t="shared" si="61"/>
        <v>0</v>
      </c>
    </row>
    <row r="1013" spans="1:16" ht="30" hidden="1" customHeight="1" outlineLevel="1">
      <c r="A1013" s="118"/>
      <c r="B1013" s="118"/>
      <c r="C1013" s="828">
        <v>989</v>
      </c>
      <c r="D1013" s="829"/>
      <c r="E1013" s="830"/>
      <c r="F1013" s="830"/>
      <c r="G1013" s="854"/>
      <c r="H1013" s="1049"/>
      <c r="I1013" s="856"/>
      <c r="J1013" s="857"/>
      <c r="K1013" s="858"/>
      <c r="L1013" s="472"/>
      <c r="M1013" s="816">
        <f t="shared" si="58"/>
        <v>0</v>
      </c>
      <c r="N1013" s="833">
        <f t="shared" si="59"/>
        <v>0</v>
      </c>
      <c r="O1013" s="265">
        <f t="shared" si="60"/>
        <v>0</v>
      </c>
      <c r="P1013" s="827">
        <f t="shared" si="61"/>
        <v>0</v>
      </c>
    </row>
    <row r="1014" spans="1:16" ht="30" hidden="1" customHeight="1" outlineLevel="1">
      <c r="A1014" s="118"/>
      <c r="B1014" s="118"/>
      <c r="C1014" s="828">
        <v>990</v>
      </c>
      <c r="D1014" s="829"/>
      <c r="E1014" s="830"/>
      <c r="F1014" s="830"/>
      <c r="G1014" s="854"/>
      <c r="H1014" s="1049"/>
      <c r="I1014" s="856"/>
      <c r="J1014" s="857"/>
      <c r="K1014" s="858"/>
      <c r="L1014" s="472"/>
      <c r="M1014" s="816">
        <f t="shared" si="58"/>
        <v>0</v>
      </c>
      <c r="N1014" s="833">
        <f t="shared" si="59"/>
        <v>0</v>
      </c>
      <c r="O1014" s="265">
        <f t="shared" si="60"/>
        <v>0</v>
      </c>
      <c r="P1014" s="827">
        <f t="shared" si="61"/>
        <v>0</v>
      </c>
    </row>
    <row r="1015" spans="1:16" ht="30" hidden="1" customHeight="1" outlineLevel="1">
      <c r="A1015" s="118"/>
      <c r="B1015" s="118"/>
      <c r="C1015" s="828">
        <v>991</v>
      </c>
      <c r="D1015" s="829"/>
      <c r="E1015" s="830"/>
      <c r="F1015" s="830"/>
      <c r="G1015" s="854"/>
      <c r="H1015" s="1049"/>
      <c r="I1015" s="856"/>
      <c r="J1015" s="857"/>
      <c r="K1015" s="858"/>
      <c r="L1015" s="472"/>
      <c r="M1015" s="816">
        <f t="shared" si="58"/>
        <v>0</v>
      </c>
      <c r="N1015" s="833">
        <f t="shared" si="59"/>
        <v>0</v>
      </c>
      <c r="O1015" s="265">
        <f t="shared" si="60"/>
        <v>0</v>
      </c>
      <c r="P1015" s="827">
        <f t="shared" si="61"/>
        <v>0</v>
      </c>
    </row>
    <row r="1016" spans="1:16" ht="30" hidden="1" customHeight="1" outlineLevel="1">
      <c r="A1016" s="118"/>
      <c r="B1016" s="118"/>
      <c r="C1016" s="828">
        <v>992</v>
      </c>
      <c r="D1016" s="829"/>
      <c r="E1016" s="830"/>
      <c r="F1016" s="830"/>
      <c r="G1016" s="854"/>
      <c r="H1016" s="1049"/>
      <c r="I1016" s="856"/>
      <c r="J1016" s="857"/>
      <c r="K1016" s="858"/>
      <c r="L1016" s="472"/>
      <c r="M1016" s="816">
        <f t="shared" si="58"/>
        <v>0</v>
      </c>
      <c r="N1016" s="833">
        <f t="shared" si="59"/>
        <v>0</v>
      </c>
      <c r="O1016" s="265">
        <f t="shared" si="60"/>
        <v>0</v>
      </c>
      <c r="P1016" s="827">
        <f t="shared" si="61"/>
        <v>0</v>
      </c>
    </row>
    <row r="1017" spans="1:16" ht="30" hidden="1" customHeight="1" outlineLevel="1">
      <c r="A1017" s="118"/>
      <c r="B1017" s="118"/>
      <c r="C1017" s="828">
        <v>993</v>
      </c>
      <c r="D1017" s="829"/>
      <c r="E1017" s="830"/>
      <c r="F1017" s="830"/>
      <c r="G1017" s="854"/>
      <c r="H1017" s="1049"/>
      <c r="I1017" s="856"/>
      <c r="J1017" s="857"/>
      <c r="K1017" s="858"/>
      <c r="L1017" s="472"/>
      <c r="M1017" s="816">
        <f t="shared" si="58"/>
        <v>0</v>
      </c>
      <c r="N1017" s="833">
        <f t="shared" si="59"/>
        <v>0</v>
      </c>
      <c r="O1017" s="265">
        <f t="shared" si="60"/>
        <v>0</v>
      </c>
      <c r="P1017" s="827">
        <f t="shared" si="61"/>
        <v>0</v>
      </c>
    </row>
    <row r="1018" spans="1:16" ht="30" hidden="1" customHeight="1" outlineLevel="1">
      <c r="A1018" s="118"/>
      <c r="B1018" s="118"/>
      <c r="C1018" s="828">
        <v>994</v>
      </c>
      <c r="D1018" s="829"/>
      <c r="E1018" s="830"/>
      <c r="F1018" s="830"/>
      <c r="G1018" s="854"/>
      <c r="H1018" s="1049"/>
      <c r="I1018" s="856"/>
      <c r="J1018" s="857"/>
      <c r="K1018" s="858"/>
      <c r="L1018" s="472"/>
      <c r="M1018" s="816">
        <f t="shared" si="58"/>
        <v>0</v>
      </c>
      <c r="N1018" s="833">
        <f t="shared" si="59"/>
        <v>0</v>
      </c>
      <c r="O1018" s="265">
        <f t="shared" si="60"/>
        <v>0</v>
      </c>
      <c r="P1018" s="827">
        <f t="shared" si="61"/>
        <v>0</v>
      </c>
    </row>
    <row r="1019" spans="1:16" ht="30" hidden="1" customHeight="1" outlineLevel="1">
      <c r="A1019" s="118"/>
      <c r="B1019" s="118"/>
      <c r="C1019" s="828">
        <v>995</v>
      </c>
      <c r="D1019" s="829"/>
      <c r="E1019" s="830"/>
      <c r="F1019" s="830"/>
      <c r="G1019" s="854"/>
      <c r="H1019" s="1049"/>
      <c r="I1019" s="856"/>
      <c r="J1019" s="857"/>
      <c r="K1019" s="858"/>
      <c r="L1019" s="472"/>
      <c r="M1019" s="816">
        <f t="shared" si="58"/>
        <v>0</v>
      </c>
      <c r="N1019" s="833">
        <f t="shared" si="59"/>
        <v>0</v>
      </c>
      <c r="O1019" s="265">
        <f t="shared" si="60"/>
        <v>0</v>
      </c>
      <c r="P1019" s="827">
        <f t="shared" si="61"/>
        <v>0</v>
      </c>
    </row>
    <row r="1020" spans="1:16" ht="30" hidden="1" customHeight="1" outlineLevel="1">
      <c r="A1020" s="118"/>
      <c r="B1020" s="118"/>
      <c r="C1020" s="828">
        <v>996</v>
      </c>
      <c r="D1020" s="829"/>
      <c r="E1020" s="830"/>
      <c r="F1020" s="830"/>
      <c r="G1020" s="854"/>
      <c r="H1020" s="1049"/>
      <c r="I1020" s="856"/>
      <c r="J1020" s="857"/>
      <c r="K1020" s="858"/>
      <c r="L1020" s="472"/>
      <c r="M1020" s="816">
        <f t="shared" si="58"/>
        <v>0</v>
      </c>
      <c r="N1020" s="833">
        <f t="shared" si="59"/>
        <v>0</v>
      </c>
      <c r="O1020" s="265">
        <f t="shared" si="60"/>
        <v>0</v>
      </c>
      <c r="P1020" s="827">
        <f t="shared" si="61"/>
        <v>0</v>
      </c>
    </row>
    <row r="1021" spans="1:16" ht="30" hidden="1" customHeight="1" outlineLevel="1">
      <c r="A1021" s="118"/>
      <c r="B1021" s="118"/>
      <c r="C1021" s="828">
        <v>997</v>
      </c>
      <c r="D1021" s="829"/>
      <c r="E1021" s="830"/>
      <c r="F1021" s="830"/>
      <c r="G1021" s="854"/>
      <c r="H1021" s="1049"/>
      <c r="I1021" s="856"/>
      <c r="J1021" s="857"/>
      <c r="K1021" s="858"/>
      <c r="L1021" s="472"/>
      <c r="M1021" s="816">
        <f t="shared" si="58"/>
        <v>0</v>
      </c>
      <c r="N1021" s="833">
        <f t="shared" si="59"/>
        <v>0</v>
      </c>
      <c r="O1021" s="265">
        <f t="shared" si="60"/>
        <v>0</v>
      </c>
      <c r="P1021" s="827">
        <f t="shared" si="61"/>
        <v>0</v>
      </c>
    </row>
    <row r="1022" spans="1:16" ht="30" hidden="1" customHeight="1" outlineLevel="1">
      <c r="A1022" s="118"/>
      <c r="B1022" s="118"/>
      <c r="C1022" s="828">
        <v>998</v>
      </c>
      <c r="D1022" s="829"/>
      <c r="E1022" s="830"/>
      <c r="F1022" s="830"/>
      <c r="G1022" s="854"/>
      <c r="H1022" s="1049"/>
      <c r="I1022" s="856"/>
      <c r="J1022" s="857"/>
      <c r="K1022" s="858"/>
      <c r="L1022" s="472"/>
      <c r="M1022" s="816">
        <f t="shared" si="58"/>
        <v>0</v>
      </c>
      <c r="N1022" s="833">
        <f t="shared" si="59"/>
        <v>0</v>
      </c>
      <c r="O1022" s="265">
        <f t="shared" si="60"/>
        <v>0</v>
      </c>
      <c r="P1022" s="827">
        <f t="shared" si="61"/>
        <v>0</v>
      </c>
    </row>
    <row r="1023" spans="1:16" ht="30" hidden="1" customHeight="1" outlineLevel="1">
      <c r="A1023" s="118"/>
      <c r="B1023" s="118"/>
      <c r="C1023" s="828">
        <v>999</v>
      </c>
      <c r="D1023" s="829"/>
      <c r="E1023" s="830"/>
      <c r="F1023" s="830"/>
      <c r="G1023" s="854"/>
      <c r="H1023" s="1049"/>
      <c r="I1023" s="856"/>
      <c r="J1023" s="857"/>
      <c r="K1023" s="858"/>
      <c r="L1023" s="472"/>
      <c r="M1023" s="816">
        <f t="shared" si="58"/>
        <v>0</v>
      </c>
      <c r="N1023" s="833">
        <f t="shared" si="59"/>
        <v>0</v>
      </c>
      <c r="O1023" s="265">
        <f t="shared" si="60"/>
        <v>0</v>
      </c>
      <c r="P1023" s="827">
        <f t="shared" si="61"/>
        <v>0</v>
      </c>
    </row>
    <row r="1024" spans="1:16" ht="30" hidden="1" customHeight="1" outlineLevel="1" thickBot="1">
      <c r="A1024" s="118"/>
      <c r="B1024" s="118"/>
      <c r="C1024" s="836">
        <v>1000</v>
      </c>
      <c r="D1024" s="837"/>
      <c r="E1024" s="838"/>
      <c r="F1024" s="838"/>
      <c r="G1024" s="859"/>
      <c r="H1024" s="1050"/>
      <c r="I1024" s="860"/>
      <c r="J1024" s="861"/>
      <c r="K1024" s="802"/>
      <c r="L1024" s="472"/>
      <c r="M1024" s="816">
        <f t="shared" si="4"/>
        <v>0</v>
      </c>
      <c r="N1024" s="833">
        <f t="shared" si="4"/>
        <v>0</v>
      </c>
      <c r="O1024" s="265">
        <f t="shared" si="1"/>
        <v>0</v>
      </c>
      <c r="P1024" s="827">
        <f t="shared" si="5"/>
        <v>0</v>
      </c>
    </row>
    <row r="1025" spans="1:17" ht="14.25" customHeight="1" thickTop="1">
      <c r="A1025" s="118"/>
      <c r="B1025" s="118"/>
      <c r="C1025" s="842" t="s">
        <v>643</v>
      </c>
      <c r="D1025" s="843"/>
      <c r="E1025" s="843"/>
      <c r="F1025" s="843"/>
      <c r="G1025" s="843"/>
      <c r="H1025" s="843"/>
      <c r="I1025" s="843"/>
      <c r="J1025" s="593"/>
      <c r="K1025" s="862"/>
      <c r="L1025" s="862"/>
      <c r="M1025" s="844"/>
      <c r="N1025" s="844"/>
      <c r="O1025" s="844"/>
      <c r="P1025" s="844"/>
    </row>
    <row r="1026" spans="1:17" ht="14.25" customHeight="1">
      <c r="B1026" s="30"/>
    </row>
    <row r="1027" spans="1:17" ht="14.25" customHeight="1">
      <c r="C1027" s="2"/>
      <c r="K1027" s="183"/>
      <c r="L1027" s="183"/>
    </row>
    <row r="1028" spans="1:17" ht="14.25" customHeight="1">
      <c r="C1028" s="2"/>
      <c r="K1028" s="183"/>
      <c r="L1028" s="183"/>
    </row>
    <row r="1029" spans="1:17" ht="14.25" customHeight="1">
      <c r="C1029" s="2"/>
      <c r="K1029" s="183"/>
      <c r="L1029" s="183"/>
    </row>
    <row r="1030" spans="1:17" ht="14.25" customHeight="1">
      <c r="C1030" s="2"/>
      <c r="K1030" s="183"/>
      <c r="L1030" s="183"/>
    </row>
    <row r="1031" spans="1:17" ht="14.25" customHeight="1">
      <c r="C1031" s="2"/>
      <c r="K1031" s="183"/>
      <c r="L1031" s="183"/>
    </row>
    <row r="1032" spans="1:17" ht="14.25" customHeight="1">
      <c r="C1032" s="2"/>
      <c r="K1032" s="183"/>
      <c r="L1032" s="183"/>
    </row>
    <row r="1033" spans="1:17" ht="14.25" customHeight="1">
      <c r="C1033" s="2"/>
      <c r="K1033" s="183"/>
      <c r="L1033" s="183"/>
      <c r="P1033" s="1085" t="s">
        <v>1382</v>
      </c>
    </row>
    <row r="1034" spans="1:17" ht="14.25" customHeight="1">
      <c r="C1034" s="106" t="s">
        <v>644</v>
      </c>
      <c r="K1034" s="183"/>
      <c r="L1034" s="183"/>
      <c r="M1034" s="44"/>
      <c r="N1034" s="44"/>
      <c r="O1034" s="44"/>
      <c r="P1034" s="1100">
        <v>3</v>
      </c>
    </row>
    <row r="1035" spans="1:17" ht="14.25" customHeight="1">
      <c r="B1035" s="30"/>
      <c r="C1035" s="644"/>
      <c r="D1035" s="607" t="s">
        <v>1427</v>
      </c>
      <c r="E1035" s="30"/>
      <c r="F1035" s="30"/>
      <c r="G1035" s="30"/>
      <c r="H1035" s="30"/>
      <c r="I1035" s="30"/>
      <c r="J1035" s="609"/>
      <c r="K1035" s="194"/>
      <c r="L1035" s="194"/>
      <c r="M1035" s="852"/>
      <c r="N1035" s="852"/>
      <c r="O1035" s="852"/>
      <c r="P1035" s="852"/>
      <c r="Q1035" s="30"/>
    </row>
    <row r="1036" spans="1:17" ht="18" customHeight="1" thickBot="1">
      <c r="B1036" s="30"/>
      <c r="C1036" s="847" t="s">
        <v>663</v>
      </c>
      <c r="D1036" s="607"/>
      <c r="E1036" s="30"/>
      <c r="F1036" s="30"/>
      <c r="G1036" s="30"/>
      <c r="H1036" s="30"/>
      <c r="I1036" s="30"/>
      <c r="J1036" s="609"/>
      <c r="K1036" s="194"/>
      <c r="L1036" s="194"/>
      <c r="M1036" s="1169" t="s">
        <v>626</v>
      </c>
      <c r="N1036" s="1169"/>
      <c r="O1036" s="1169"/>
      <c r="P1036" s="1169"/>
      <c r="Q1036" s="30"/>
    </row>
    <row r="1037" spans="1:17" ht="18" hidden="1" customHeight="1" thickBot="1">
      <c r="B1037" s="30"/>
      <c r="C1037" s="847"/>
      <c r="D1037" s="607"/>
      <c r="E1037" s="30"/>
      <c r="F1037" s="30"/>
      <c r="G1037" s="30"/>
      <c r="H1037" s="30"/>
      <c r="I1037" s="30"/>
      <c r="J1037" s="609"/>
      <c r="K1037" s="194"/>
      <c r="L1037" s="194"/>
      <c r="M1037" s="863"/>
      <c r="N1037" s="863"/>
      <c r="O1037" s="863"/>
      <c r="P1037" s="863"/>
      <c r="Q1037" s="30"/>
    </row>
    <row r="1038" spans="1:17" ht="21.75" customHeight="1">
      <c r="C1038" s="2146" t="s">
        <v>630</v>
      </c>
      <c r="D1038" s="1291" t="s">
        <v>647</v>
      </c>
      <c r="E1038" s="2045" t="s">
        <v>648</v>
      </c>
      <c r="F1038" s="2045" t="s">
        <v>664</v>
      </c>
      <c r="G1038" s="1905" t="s">
        <v>665</v>
      </c>
      <c r="H1038" s="1551" t="s">
        <v>1403</v>
      </c>
      <c r="I1038" s="2153"/>
      <c r="K1038" s="183"/>
      <c r="L1038" s="183"/>
      <c r="M1038" s="2154" t="s">
        <v>666</v>
      </c>
      <c r="N1038" s="2154" t="s">
        <v>667</v>
      </c>
      <c r="O1038" s="2156" t="s">
        <v>668</v>
      </c>
      <c r="P1038" s="2156" t="s">
        <v>669</v>
      </c>
    </row>
    <row r="1039" spans="1:17" ht="21.75" customHeight="1">
      <c r="C1039" s="2147"/>
      <c r="D1039" s="1276"/>
      <c r="E1039" s="2031"/>
      <c r="F1039" s="2031"/>
      <c r="G1039" s="1528"/>
      <c r="H1039" s="1552"/>
      <c r="I1039" s="2153"/>
      <c r="K1039" s="183"/>
      <c r="L1039" s="183"/>
      <c r="M1039" s="2155"/>
      <c r="N1039" s="2155"/>
      <c r="O1039" s="2150"/>
      <c r="P1039" s="2150"/>
    </row>
    <row r="1040" spans="1:17" ht="30" customHeight="1" thickBot="1">
      <c r="C1040" s="2148"/>
      <c r="D1040" s="1276"/>
      <c r="E1040" s="2151"/>
      <c r="F1040" s="1210"/>
      <c r="G1040" s="1253"/>
      <c r="H1040" s="2152"/>
      <c r="I1040" s="2153"/>
      <c r="L1040" s="183"/>
      <c r="M1040" s="817">
        <f>SUM(M1041:M1090)</f>
        <v>0</v>
      </c>
      <c r="N1040" s="817">
        <f>ROUNDDOWN(SUM(N1041:N1090),1)</f>
        <v>0</v>
      </c>
      <c r="O1040" s="819">
        <f>SUM(O1041:O1090)</f>
        <v>0</v>
      </c>
      <c r="P1040" s="819">
        <f>SUM(P1041:P1090)</f>
        <v>0</v>
      </c>
    </row>
    <row r="1041" spans="3:16" ht="30" customHeight="1" thickTop="1">
      <c r="C1041" s="864">
        <v>1</v>
      </c>
      <c r="D1041" s="821"/>
      <c r="E1041" s="822"/>
      <c r="F1041" s="822"/>
      <c r="G1041" s="669"/>
      <c r="H1041" s="1048"/>
      <c r="I1041" s="865"/>
      <c r="L1041" s="472"/>
      <c r="M1041" s="815">
        <f t="shared" ref="M1041:N1090" si="62">IF($H1041&gt;0,E1041,)</f>
        <v>0</v>
      </c>
      <c r="N1041" s="815">
        <f t="shared" si="62"/>
        <v>0</v>
      </c>
      <c r="O1041" s="827">
        <f>IF(H1041&gt;0,ROUND(G1041,),)</f>
        <v>0</v>
      </c>
      <c r="P1041" s="827">
        <f t="shared" ref="P1041:P1090" si="63">ROUND(O1041*H1041%,)</f>
        <v>0</v>
      </c>
    </row>
    <row r="1042" spans="3:16" ht="30" customHeight="1">
      <c r="C1042" s="828">
        <v>2</v>
      </c>
      <c r="D1042" s="829"/>
      <c r="E1042" s="830"/>
      <c r="F1042" s="830"/>
      <c r="G1042" s="854"/>
      <c r="H1042" s="1049"/>
      <c r="I1042" s="865"/>
      <c r="L1042" s="472"/>
      <c r="M1042" s="816">
        <f t="shared" si="62"/>
        <v>0</v>
      </c>
      <c r="N1042" s="833">
        <f t="shared" si="62"/>
        <v>0</v>
      </c>
      <c r="O1042" s="265">
        <f t="shared" ref="O1042:O1090" si="64">IF(H1042&gt;0,ROUND(G1042,),)</f>
        <v>0</v>
      </c>
      <c r="P1042" s="827">
        <f t="shared" si="63"/>
        <v>0</v>
      </c>
    </row>
    <row r="1043" spans="3:16" ht="30" customHeight="1" collapsed="1" thickBot="1">
      <c r="C1043" s="828">
        <v>3</v>
      </c>
      <c r="D1043" s="829"/>
      <c r="E1043" s="830"/>
      <c r="F1043" s="830"/>
      <c r="G1043" s="854"/>
      <c r="H1043" s="1049"/>
      <c r="I1043" s="865"/>
      <c r="L1043" s="472"/>
      <c r="M1043" s="816">
        <f t="shared" si="62"/>
        <v>0</v>
      </c>
      <c r="N1043" s="833">
        <f t="shared" si="62"/>
        <v>0</v>
      </c>
      <c r="O1043" s="265">
        <f t="shared" si="64"/>
        <v>0</v>
      </c>
      <c r="P1043" s="827">
        <f t="shared" si="63"/>
        <v>0</v>
      </c>
    </row>
    <row r="1044" spans="3:16" ht="30" hidden="1" customHeight="1" outlineLevel="1">
      <c r="C1044" s="828">
        <v>4</v>
      </c>
      <c r="D1044" s="829"/>
      <c r="E1044" s="830"/>
      <c r="F1044" s="830"/>
      <c r="G1044" s="854"/>
      <c r="H1044" s="1049"/>
      <c r="I1044" s="866"/>
      <c r="L1044" s="472"/>
      <c r="M1044" s="816">
        <f t="shared" si="62"/>
        <v>0</v>
      </c>
      <c r="N1044" s="833">
        <f t="shared" si="62"/>
        <v>0</v>
      </c>
      <c r="O1044" s="265">
        <f t="shared" si="64"/>
        <v>0</v>
      </c>
      <c r="P1044" s="827">
        <f t="shared" si="63"/>
        <v>0</v>
      </c>
    </row>
    <row r="1045" spans="3:16" ht="30" hidden="1" customHeight="1" outlineLevel="1">
      <c r="C1045" s="828">
        <v>5</v>
      </c>
      <c r="D1045" s="829"/>
      <c r="E1045" s="830"/>
      <c r="F1045" s="830"/>
      <c r="G1045" s="854"/>
      <c r="H1045" s="1049"/>
      <c r="I1045" s="866"/>
      <c r="L1045" s="472"/>
      <c r="M1045" s="816">
        <f t="shared" si="62"/>
        <v>0</v>
      </c>
      <c r="N1045" s="833">
        <f t="shared" si="62"/>
        <v>0</v>
      </c>
      <c r="O1045" s="265">
        <f t="shared" si="64"/>
        <v>0</v>
      </c>
      <c r="P1045" s="827">
        <f t="shared" si="63"/>
        <v>0</v>
      </c>
    </row>
    <row r="1046" spans="3:16" ht="30" hidden="1" customHeight="1" outlineLevel="1">
      <c r="C1046" s="828">
        <v>6</v>
      </c>
      <c r="D1046" s="829"/>
      <c r="E1046" s="830"/>
      <c r="F1046" s="830"/>
      <c r="G1046" s="854"/>
      <c r="H1046" s="1049"/>
      <c r="I1046" s="866"/>
      <c r="L1046" s="472"/>
      <c r="M1046" s="816">
        <f t="shared" si="62"/>
        <v>0</v>
      </c>
      <c r="N1046" s="833">
        <f t="shared" si="62"/>
        <v>0</v>
      </c>
      <c r="O1046" s="265">
        <f t="shared" si="64"/>
        <v>0</v>
      </c>
      <c r="P1046" s="827">
        <f t="shared" si="63"/>
        <v>0</v>
      </c>
    </row>
    <row r="1047" spans="3:16" ht="30" hidden="1" customHeight="1" outlineLevel="1">
      <c r="C1047" s="828">
        <v>7</v>
      </c>
      <c r="D1047" s="829"/>
      <c r="E1047" s="830"/>
      <c r="F1047" s="830"/>
      <c r="G1047" s="854"/>
      <c r="H1047" s="1049"/>
      <c r="I1047" s="866"/>
      <c r="L1047" s="472"/>
      <c r="M1047" s="816">
        <f t="shared" si="62"/>
        <v>0</v>
      </c>
      <c r="N1047" s="833">
        <f t="shared" si="62"/>
        <v>0</v>
      </c>
      <c r="O1047" s="265">
        <f t="shared" si="64"/>
        <v>0</v>
      </c>
      <c r="P1047" s="827">
        <f t="shared" si="63"/>
        <v>0</v>
      </c>
    </row>
    <row r="1048" spans="3:16" ht="30" hidden="1" customHeight="1" outlineLevel="1">
      <c r="C1048" s="828">
        <v>8</v>
      </c>
      <c r="D1048" s="829"/>
      <c r="E1048" s="830"/>
      <c r="F1048" s="830"/>
      <c r="G1048" s="854"/>
      <c r="H1048" s="1049"/>
      <c r="I1048" s="866"/>
      <c r="L1048" s="472"/>
      <c r="M1048" s="816">
        <f t="shared" si="62"/>
        <v>0</v>
      </c>
      <c r="N1048" s="833">
        <f t="shared" si="62"/>
        <v>0</v>
      </c>
      <c r="O1048" s="265">
        <f t="shared" si="64"/>
        <v>0</v>
      </c>
      <c r="P1048" s="827">
        <f t="shared" si="63"/>
        <v>0</v>
      </c>
    </row>
    <row r="1049" spans="3:16" ht="30" hidden="1" customHeight="1" outlineLevel="1">
      <c r="C1049" s="828">
        <v>9</v>
      </c>
      <c r="D1049" s="829"/>
      <c r="E1049" s="830"/>
      <c r="F1049" s="830"/>
      <c r="G1049" s="854"/>
      <c r="H1049" s="1049"/>
      <c r="I1049" s="866"/>
      <c r="L1049" s="472"/>
      <c r="M1049" s="816">
        <f t="shared" si="62"/>
        <v>0</v>
      </c>
      <c r="N1049" s="833">
        <f t="shared" si="62"/>
        <v>0</v>
      </c>
      <c r="O1049" s="265">
        <f t="shared" si="64"/>
        <v>0</v>
      </c>
      <c r="P1049" s="827">
        <f t="shared" si="63"/>
        <v>0</v>
      </c>
    </row>
    <row r="1050" spans="3:16" ht="30" hidden="1" customHeight="1" outlineLevel="1">
      <c r="C1050" s="828">
        <v>10</v>
      </c>
      <c r="D1050" s="829"/>
      <c r="E1050" s="830"/>
      <c r="F1050" s="830"/>
      <c r="G1050" s="854"/>
      <c r="H1050" s="1049"/>
      <c r="I1050" s="866"/>
      <c r="L1050" s="472"/>
      <c r="M1050" s="816">
        <f t="shared" si="62"/>
        <v>0</v>
      </c>
      <c r="N1050" s="833">
        <f t="shared" si="62"/>
        <v>0</v>
      </c>
      <c r="O1050" s="265">
        <f t="shared" si="64"/>
        <v>0</v>
      </c>
      <c r="P1050" s="827">
        <f t="shared" si="63"/>
        <v>0</v>
      </c>
    </row>
    <row r="1051" spans="3:16" ht="30" hidden="1" customHeight="1" outlineLevel="1">
      <c r="C1051" s="828">
        <v>11</v>
      </c>
      <c r="D1051" s="829"/>
      <c r="E1051" s="830"/>
      <c r="F1051" s="830"/>
      <c r="G1051" s="854"/>
      <c r="H1051" s="1049"/>
      <c r="I1051" s="866"/>
      <c r="L1051" s="472"/>
      <c r="M1051" s="816">
        <f t="shared" si="62"/>
        <v>0</v>
      </c>
      <c r="N1051" s="833">
        <f t="shared" si="62"/>
        <v>0</v>
      </c>
      <c r="O1051" s="265">
        <f t="shared" si="64"/>
        <v>0</v>
      </c>
      <c r="P1051" s="827">
        <f t="shared" si="63"/>
        <v>0</v>
      </c>
    </row>
    <row r="1052" spans="3:16" ht="30" hidden="1" customHeight="1" outlineLevel="1">
      <c r="C1052" s="828">
        <v>12</v>
      </c>
      <c r="D1052" s="829"/>
      <c r="E1052" s="830"/>
      <c r="F1052" s="830"/>
      <c r="G1052" s="854"/>
      <c r="H1052" s="1049"/>
      <c r="I1052" s="866"/>
      <c r="L1052" s="472"/>
      <c r="M1052" s="816">
        <f t="shared" si="62"/>
        <v>0</v>
      </c>
      <c r="N1052" s="833">
        <f t="shared" si="62"/>
        <v>0</v>
      </c>
      <c r="O1052" s="265">
        <f t="shared" si="64"/>
        <v>0</v>
      </c>
      <c r="P1052" s="827">
        <f t="shared" si="63"/>
        <v>0</v>
      </c>
    </row>
    <row r="1053" spans="3:16" ht="30" hidden="1" customHeight="1" outlineLevel="1">
      <c r="C1053" s="828">
        <v>13</v>
      </c>
      <c r="D1053" s="829"/>
      <c r="E1053" s="830"/>
      <c r="F1053" s="830"/>
      <c r="G1053" s="854"/>
      <c r="H1053" s="1049"/>
      <c r="I1053" s="866"/>
      <c r="L1053" s="472"/>
      <c r="M1053" s="816">
        <f t="shared" si="62"/>
        <v>0</v>
      </c>
      <c r="N1053" s="833">
        <f t="shared" si="62"/>
        <v>0</v>
      </c>
      <c r="O1053" s="265">
        <f t="shared" si="64"/>
        <v>0</v>
      </c>
      <c r="P1053" s="827">
        <f t="shared" si="63"/>
        <v>0</v>
      </c>
    </row>
    <row r="1054" spans="3:16" ht="30" hidden="1" customHeight="1" outlineLevel="1">
      <c r="C1054" s="828">
        <v>14</v>
      </c>
      <c r="D1054" s="829"/>
      <c r="E1054" s="830"/>
      <c r="F1054" s="830"/>
      <c r="G1054" s="854"/>
      <c r="H1054" s="1049"/>
      <c r="I1054" s="866"/>
      <c r="L1054" s="472"/>
      <c r="M1054" s="816">
        <f t="shared" si="62"/>
        <v>0</v>
      </c>
      <c r="N1054" s="833">
        <f t="shared" si="62"/>
        <v>0</v>
      </c>
      <c r="O1054" s="265">
        <f t="shared" si="64"/>
        <v>0</v>
      </c>
      <c r="P1054" s="827">
        <f t="shared" si="63"/>
        <v>0</v>
      </c>
    </row>
    <row r="1055" spans="3:16" ht="30" hidden="1" customHeight="1" outlineLevel="1">
      <c r="C1055" s="828">
        <v>15</v>
      </c>
      <c r="D1055" s="829"/>
      <c r="E1055" s="830"/>
      <c r="F1055" s="830"/>
      <c r="G1055" s="854"/>
      <c r="H1055" s="1049"/>
      <c r="I1055" s="866"/>
      <c r="L1055" s="472"/>
      <c r="M1055" s="816">
        <f t="shared" si="62"/>
        <v>0</v>
      </c>
      <c r="N1055" s="833">
        <f t="shared" si="62"/>
        <v>0</v>
      </c>
      <c r="O1055" s="265">
        <f t="shared" si="64"/>
        <v>0</v>
      </c>
      <c r="P1055" s="827">
        <f t="shared" si="63"/>
        <v>0</v>
      </c>
    </row>
    <row r="1056" spans="3:16" ht="30" hidden="1" customHeight="1" outlineLevel="1">
      <c r="C1056" s="828">
        <v>16</v>
      </c>
      <c r="D1056" s="829"/>
      <c r="E1056" s="830"/>
      <c r="F1056" s="830"/>
      <c r="G1056" s="854"/>
      <c r="H1056" s="1049"/>
      <c r="I1056" s="866"/>
      <c r="L1056" s="472"/>
      <c r="M1056" s="816">
        <f t="shared" si="62"/>
        <v>0</v>
      </c>
      <c r="N1056" s="833">
        <f t="shared" si="62"/>
        <v>0</v>
      </c>
      <c r="O1056" s="265">
        <f t="shared" si="64"/>
        <v>0</v>
      </c>
      <c r="P1056" s="827">
        <f t="shared" si="63"/>
        <v>0</v>
      </c>
    </row>
    <row r="1057" spans="3:16" ht="30" hidden="1" customHeight="1" outlineLevel="1">
      <c r="C1057" s="828">
        <v>17</v>
      </c>
      <c r="D1057" s="829"/>
      <c r="E1057" s="830"/>
      <c r="F1057" s="830"/>
      <c r="G1057" s="854"/>
      <c r="H1057" s="1049"/>
      <c r="I1057" s="866"/>
      <c r="L1057" s="472"/>
      <c r="M1057" s="816">
        <f t="shared" si="62"/>
        <v>0</v>
      </c>
      <c r="N1057" s="833">
        <f t="shared" si="62"/>
        <v>0</v>
      </c>
      <c r="O1057" s="265">
        <f t="shared" si="64"/>
        <v>0</v>
      </c>
      <c r="P1057" s="827">
        <f t="shared" si="63"/>
        <v>0</v>
      </c>
    </row>
    <row r="1058" spans="3:16" ht="30" hidden="1" customHeight="1" outlineLevel="1">
      <c r="C1058" s="828">
        <v>18</v>
      </c>
      <c r="D1058" s="829"/>
      <c r="E1058" s="830"/>
      <c r="F1058" s="830"/>
      <c r="G1058" s="854"/>
      <c r="H1058" s="1049"/>
      <c r="I1058" s="866"/>
      <c r="L1058" s="472"/>
      <c r="M1058" s="816">
        <f t="shared" si="62"/>
        <v>0</v>
      </c>
      <c r="N1058" s="833">
        <f t="shared" si="62"/>
        <v>0</v>
      </c>
      <c r="O1058" s="265">
        <f t="shared" si="64"/>
        <v>0</v>
      </c>
      <c r="P1058" s="827">
        <f t="shared" si="63"/>
        <v>0</v>
      </c>
    </row>
    <row r="1059" spans="3:16" ht="30" hidden="1" customHeight="1" outlineLevel="1">
      <c r="C1059" s="828">
        <v>19</v>
      </c>
      <c r="D1059" s="829"/>
      <c r="E1059" s="830"/>
      <c r="F1059" s="830"/>
      <c r="G1059" s="854"/>
      <c r="H1059" s="1049"/>
      <c r="I1059" s="866"/>
      <c r="L1059" s="472"/>
      <c r="M1059" s="816">
        <f t="shared" si="62"/>
        <v>0</v>
      </c>
      <c r="N1059" s="833">
        <f t="shared" si="62"/>
        <v>0</v>
      </c>
      <c r="O1059" s="265">
        <f t="shared" si="64"/>
        <v>0</v>
      </c>
      <c r="P1059" s="827">
        <f t="shared" si="63"/>
        <v>0</v>
      </c>
    </row>
    <row r="1060" spans="3:16" ht="30" hidden="1" customHeight="1" outlineLevel="1">
      <c r="C1060" s="828">
        <v>20</v>
      </c>
      <c r="D1060" s="829"/>
      <c r="E1060" s="830"/>
      <c r="F1060" s="830"/>
      <c r="G1060" s="854"/>
      <c r="H1060" s="1049"/>
      <c r="I1060" s="866"/>
      <c r="L1060" s="472"/>
      <c r="M1060" s="816">
        <f t="shared" si="62"/>
        <v>0</v>
      </c>
      <c r="N1060" s="833">
        <f t="shared" si="62"/>
        <v>0</v>
      </c>
      <c r="O1060" s="265">
        <f t="shared" si="64"/>
        <v>0</v>
      </c>
      <c r="P1060" s="827">
        <f t="shared" si="63"/>
        <v>0</v>
      </c>
    </row>
    <row r="1061" spans="3:16" ht="30" hidden="1" customHeight="1" outlineLevel="1">
      <c r="C1061" s="828">
        <v>21</v>
      </c>
      <c r="D1061" s="829"/>
      <c r="E1061" s="830"/>
      <c r="F1061" s="830"/>
      <c r="G1061" s="854"/>
      <c r="H1061" s="1049"/>
      <c r="I1061" s="866"/>
      <c r="L1061" s="472"/>
      <c r="M1061" s="816">
        <f t="shared" si="62"/>
        <v>0</v>
      </c>
      <c r="N1061" s="833">
        <f t="shared" si="62"/>
        <v>0</v>
      </c>
      <c r="O1061" s="265">
        <f t="shared" si="64"/>
        <v>0</v>
      </c>
      <c r="P1061" s="827">
        <f t="shared" si="63"/>
        <v>0</v>
      </c>
    </row>
    <row r="1062" spans="3:16" ht="30" hidden="1" customHeight="1" outlineLevel="1">
      <c r="C1062" s="828">
        <v>22</v>
      </c>
      <c r="D1062" s="829"/>
      <c r="E1062" s="830"/>
      <c r="F1062" s="830"/>
      <c r="G1062" s="854"/>
      <c r="H1062" s="1049"/>
      <c r="I1062" s="866"/>
      <c r="L1062" s="472"/>
      <c r="M1062" s="816">
        <f t="shared" si="62"/>
        <v>0</v>
      </c>
      <c r="N1062" s="833">
        <f t="shared" si="62"/>
        <v>0</v>
      </c>
      <c r="O1062" s="265">
        <f t="shared" si="64"/>
        <v>0</v>
      </c>
      <c r="P1062" s="827">
        <f t="shared" si="63"/>
        <v>0</v>
      </c>
    </row>
    <row r="1063" spans="3:16" ht="30" hidden="1" customHeight="1" outlineLevel="1">
      <c r="C1063" s="828">
        <v>23</v>
      </c>
      <c r="D1063" s="829"/>
      <c r="E1063" s="830"/>
      <c r="F1063" s="830"/>
      <c r="G1063" s="854"/>
      <c r="H1063" s="1049"/>
      <c r="I1063" s="866"/>
      <c r="L1063" s="472"/>
      <c r="M1063" s="816">
        <f t="shared" si="62"/>
        <v>0</v>
      </c>
      <c r="N1063" s="833">
        <f t="shared" si="62"/>
        <v>0</v>
      </c>
      <c r="O1063" s="265">
        <f t="shared" si="64"/>
        <v>0</v>
      </c>
      <c r="P1063" s="827">
        <f t="shared" si="63"/>
        <v>0</v>
      </c>
    </row>
    <row r="1064" spans="3:16" ht="30" hidden="1" customHeight="1" outlineLevel="1">
      <c r="C1064" s="828">
        <v>24</v>
      </c>
      <c r="D1064" s="829"/>
      <c r="E1064" s="830"/>
      <c r="F1064" s="830"/>
      <c r="G1064" s="854"/>
      <c r="H1064" s="1049"/>
      <c r="I1064" s="866"/>
      <c r="L1064" s="472"/>
      <c r="M1064" s="816">
        <f t="shared" si="62"/>
        <v>0</v>
      </c>
      <c r="N1064" s="833">
        <f t="shared" si="62"/>
        <v>0</v>
      </c>
      <c r="O1064" s="265">
        <f t="shared" si="64"/>
        <v>0</v>
      </c>
      <c r="P1064" s="827">
        <f t="shared" si="63"/>
        <v>0</v>
      </c>
    </row>
    <row r="1065" spans="3:16" ht="30" hidden="1" customHeight="1" outlineLevel="1">
      <c r="C1065" s="828">
        <v>25</v>
      </c>
      <c r="D1065" s="829"/>
      <c r="E1065" s="830"/>
      <c r="F1065" s="830"/>
      <c r="G1065" s="854"/>
      <c r="H1065" s="1049"/>
      <c r="I1065" s="866"/>
      <c r="L1065" s="472"/>
      <c r="M1065" s="816">
        <f t="shared" si="62"/>
        <v>0</v>
      </c>
      <c r="N1065" s="833">
        <f t="shared" si="62"/>
        <v>0</v>
      </c>
      <c r="O1065" s="265">
        <f t="shared" si="64"/>
        <v>0</v>
      </c>
      <c r="P1065" s="827">
        <f t="shared" si="63"/>
        <v>0</v>
      </c>
    </row>
    <row r="1066" spans="3:16" ht="30" hidden="1" customHeight="1" outlineLevel="1">
      <c r="C1066" s="828">
        <v>26</v>
      </c>
      <c r="D1066" s="829"/>
      <c r="E1066" s="830"/>
      <c r="F1066" s="830"/>
      <c r="G1066" s="854"/>
      <c r="H1066" s="1049"/>
      <c r="I1066" s="866"/>
      <c r="L1066" s="472"/>
      <c r="M1066" s="816">
        <f t="shared" si="62"/>
        <v>0</v>
      </c>
      <c r="N1066" s="833">
        <f t="shared" si="62"/>
        <v>0</v>
      </c>
      <c r="O1066" s="265">
        <f t="shared" si="64"/>
        <v>0</v>
      </c>
      <c r="P1066" s="827">
        <f t="shared" si="63"/>
        <v>0</v>
      </c>
    </row>
    <row r="1067" spans="3:16" ht="30" hidden="1" customHeight="1" outlineLevel="1">
      <c r="C1067" s="828">
        <v>27</v>
      </c>
      <c r="D1067" s="829"/>
      <c r="E1067" s="830"/>
      <c r="F1067" s="830"/>
      <c r="G1067" s="854"/>
      <c r="H1067" s="1049"/>
      <c r="I1067" s="866"/>
      <c r="L1067" s="472"/>
      <c r="M1067" s="816">
        <f t="shared" si="62"/>
        <v>0</v>
      </c>
      <c r="N1067" s="833">
        <f t="shared" si="62"/>
        <v>0</v>
      </c>
      <c r="O1067" s="265">
        <f t="shared" si="64"/>
        <v>0</v>
      </c>
      <c r="P1067" s="827">
        <f t="shared" si="63"/>
        <v>0</v>
      </c>
    </row>
    <row r="1068" spans="3:16" ht="30" hidden="1" customHeight="1" outlineLevel="1">
      <c r="C1068" s="828">
        <v>28</v>
      </c>
      <c r="D1068" s="829"/>
      <c r="E1068" s="830"/>
      <c r="F1068" s="830"/>
      <c r="G1068" s="854"/>
      <c r="H1068" s="1049"/>
      <c r="I1068" s="866"/>
      <c r="L1068" s="472"/>
      <c r="M1068" s="816">
        <f t="shared" si="62"/>
        <v>0</v>
      </c>
      <c r="N1068" s="833">
        <f t="shared" si="62"/>
        <v>0</v>
      </c>
      <c r="O1068" s="265">
        <f t="shared" si="64"/>
        <v>0</v>
      </c>
      <c r="P1068" s="827">
        <f t="shared" si="63"/>
        <v>0</v>
      </c>
    </row>
    <row r="1069" spans="3:16" ht="30" hidden="1" customHeight="1" outlineLevel="1">
      <c r="C1069" s="828">
        <v>29</v>
      </c>
      <c r="D1069" s="829"/>
      <c r="E1069" s="830"/>
      <c r="F1069" s="830"/>
      <c r="G1069" s="854"/>
      <c r="H1069" s="1049"/>
      <c r="I1069" s="866"/>
      <c r="L1069" s="472"/>
      <c r="M1069" s="816">
        <f t="shared" si="62"/>
        <v>0</v>
      </c>
      <c r="N1069" s="833">
        <f t="shared" si="62"/>
        <v>0</v>
      </c>
      <c r="O1069" s="265">
        <f t="shared" si="64"/>
        <v>0</v>
      </c>
      <c r="P1069" s="827">
        <f t="shared" si="63"/>
        <v>0</v>
      </c>
    </row>
    <row r="1070" spans="3:16" ht="30" hidden="1" customHeight="1" outlineLevel="1">
      <c r="C1070" s="828">
        <v>30</v>
      </c>
      <c r="D1070" s="829"/>
      <c r="E1070" s="830"/>
      <c r="F1070" s="830"/>
      <c r="G1070" s="854"/>
      <c r="H1070" s="1049"/>
      <c r="I1070" s="866"/>
      <c r="L1070" s="472"/>
      <c r="M1070" s="816">
        <f t="shared" si="62"/>
        <v>0</v>
      </c>
      <c r="N1070" s="833">
        <f t="shared" si="62"/>
        <v>0</v>
      </c>
      <c r="O1070" s="265">
        <f t="shared" si="64"/>
        <v>0</v>
      </c>
      <c r="P1070" s="827">
        <f t="shared" si="63"/>
        <v>0</v>
      </c>
    </row>
    <row r="1071" spans="3:16" ht="30" hidden="1" customHeight="1" outlineLevel="1">
      <c r="C1071" s="828">
        <v>31</v>
      </c>
      <c r="D1071" s="829"/>
      <c r="E1071" s="830"/>
      <c r="F1071" s="830"/>
      <c r="G1071" s="854"/>
      <c r="H1071" s="1049"/>
      <c r="I1071" s="866"/>
      <c r="L1071" s="472"/>
      <c r="M1071" s="816">
        <f t="shared" si="62"/>
        <v>0</v>
      </c>
      <c r="N1071" s="833">
        <f t="shared" si="62"/>
        <v>0</v>
      </c>
      <c r="O1071" s="265">
        <f t="shared" si="64"/>
        <v>0</v>
      </c>
      <c r="P1071" s="827">
        <f t="shared" si="63"/>
        <v>0</v>
      </c>
    </row>
    <row r="1072" spans="3:16" ht="30" hidden="1" customHeight="1" outlineLevel="1">
      <c r="C1072" s="828">
        <v>32</v>
      </c>
      <c r="D1072" s="829"/>
      <c r="E1072" s="830"/>
      <c r="F1072" s="830"/>
      <c r="G1072" s="854"/>
      <c r="H1072" s="1049"/>
      <c r="I1072" s="866"/>
      <c r="L1072" s="472"/>
      <c r="M1072" s="816">
        <f t="shared" si="62"/>
        <v>0</v>
      </c>
      <c r="N1072" s="833">
        <f t="shared" si="62"/>
        <v>0</v>
      </c>
      <c r="O1072" s="265">
        <f t="shared" si="64"/>
        <v>0</v>
      </c>
      <c r="P1072" s="827">
        <f t="shared" si="63"/>
        <v>0</v>
      </c>
    </row>
    <row r="1073" spans="3:16" ht="30" hidden="1" customHeight="1" outlineLevel="1">
      <c r="C1073" s="828">
        <v>33</v>
      </c>
      <c r="D1073" s="829"/>
      <c r="E1073" s="830"/>
      <c r="F1073" s="830"/>
      <c r="G1073" s="854"/>
      <c r="H1073" s="1049"/>
      <c r="I1073" s="866"/>
      <c r="L1073" s="472"/>
      <c r="M1073" s="816">
        <f t="shared" si="62"/>
        <v>0</v>
      </c>
      <c r="N1073" s="833">
        <f t="shared" si="62"/>
        <v>0</v>
      </c>
      <c r="O1073" s="265">
        <f t="shared" si="64"/>
        <v>0</v>
      </c>
      <c r="P1073" s="827">
        <f t="shared" si="63"/>
        <v>0</v>
      </c>
    </row>
    <row r="1074" spans="3:16" ht="30" hidden="1" customHeight="1" outlineLevel="1">
      <c r="C1074" s="828">
        <v>34</v>
      </c>
      <c r="D1074" s="829"/>
      <c r="E1074" s="830"/>
      <c r="F1074" s="830"/>
      <c r="G1074" s="854"/>
      <c r="H1074" s="1049"/>
      <c r="I1074" s="866"/>
      <c r="L1074" s="472"/>
      <c r="M1074" s="816">
        <f t="shared" si="62"/>
        <v>0</v>
      </c>
      <c r="N1074" s="833">
        <f t="shared" si="62"/>
        <v>0</v>
      </c>
      <c r="O1074" s="265">
        <f t="shared" si="64"/>
        <v>0</v>
      </c>
      <c r="P1074" s="827">
        <f t="shared" si="63"/>
        <v>0</v>
      </c>
    </row>
    <row r="1075" spans="3:16" ht="30" hidden="1" customHeight="1" outlineLevel="1">
      <c r="C1075" s="828">
        <v>35</v>
      </c>
      <c r="D1075" s="829"/>
      <c r="E1075" s="830"/>
      <c r="F1075" s="830"/>
      <c r="G1075" s="854"/>
      <c r="H1075" s="1049"/>
      <c r="I1075" s="866"/>
      <c r="L1075" s="472"/>
      <c r="M1075" s="816">
        <f t="shared" si="62"/>
        <v>0</v>
      </c>
      <c r="N1075" s="833">
        <f t="shared" si="62"/>
        <v>0</v>
      </c>
      <c r="O1075" s="265">
        <f t="shared" si="64"/>
        <v>0</v>
      </c>
      <c r="P1075" s="827">
        <f t="shared" si="63"/>
        <v>0</v>
      </c>
    </row>
    <row r="1076" spans="3:16" ht="30" hidden="1" customHeight="1" outlineLevel="1">
      <c r="C1076" s="828">
        <v>36</v>
      </c>
      <c r="D1076" s="829"/>
      <c r="E1076" s="830"/>
      <c r="F1076" s="830"/>
      <c r="G1076" s="854"/>
      <c r="H1076" s="1049"/>
      <c r="I1076" s="866"/>
      <c r="L1076" s="472"/>
      <c r="M1076" s="816">
        <f t="shared" si="62"/>
        <v>0</v>
      </c>
      <c r="N1076" s="833">
        <f t="shared" si="62"/>
        <v>0</v>
      </c>
      <c r="O1076" s="265">
        <f t="shared" si="64"/>
        <v>0</v>
      </c>
      <c r="P1076" s="827">
        <f t="shared" si="63"/>
        <v>0</v>
      </c>
    </row>
    <row r="1077" spans="3:16" ht="30" hidden="1" customHeight="1" outlineLevel="1">
      <c r="C1077" s="828">
        <v>37</v>
      </c>
      <c r="D1077" s="829"/>
      <c r="E1077" s="830"/>
      <c r="F1077" s="830"/>
      <c r="G1077" s="854"/>
      <c r="H1077" s="1049"/>
      <c r="I1077" s="866"/>
      <c r="L1077" s="472"/>
      <c r="M1077" s="816">
        <f t="shared" si="62"/>
        <v>0</v>
      </c>
      <c r="N1077" s="833">
        <f t="shared" si="62"/>
        <v>0</v>
      </c>
      <c r="O1077" s="265">
        <f t="shared" si="64"/>
        <v>0</v>
      </c>
      <c r="P1077" s="827">
        <f t="shared" si="63"/>
        <v>0</v>
      </c>
    </row>
    <row r="1078" spans="3:16" ht="30" hidden="1" customHeight="1" outlineLevel="1">
      <c r="C1078" s="828">
        <v>38</v>
      </c>
      <c r="D1078" s="829"/>
      <c r="E1078" s="830"/>
      <c r="F1078" s="830"/>
      <c r="G1078" s="854"/>
      <c r="H1078" s="1049"/>
      <c r="I1078" s="866"/>
      <c r="L1078" s="472"/>
      <c r="M1078" s="816">
        <f t="shared" si="62"/>
        <v>0</v>
      </c>
      <c r="N1078" s="833">
        <f t="shared" si="62"/>
        <v>0</v>
      </c>
      <c r="O1078" s="265">
        <f t="shared" si="64"/>
        <v>0</v>
      </c>
      <c r="P1078" s="827">
        <f t="shared" si="63"/>
        <v>0</v>
      </c>
    </row>
    <row r="1079" spans="3:16" ht="30" hidden="1" customHeight="1" outlineLevel="1">
      <c r="C1079" s="828">
        <v>39</v>
      </c>
      <c r="D1079" s="829"/>
      <c r="E1079" s="830"/>
      <c r="F1079" s="830"/>
      <c r="G1079" s="854"/>
      <c r="H1079" s="1049"/>
      <c r="I1079" s="866"/>
      <c r="L1079" s="472"/>
      <c r="M1079" s="816">
        <f t="shared" si="62"/>
        <v>0</v>
      </c>
      <c r="N1079" s="833">
        <f t="shared" si="62"/>
        <v>0</v>
      </c>
      <c r="O1079" s="265">
        <f t="shared" si="64"/>
        <v>0</v>
      </c>
      <c r="P1079" s="827">
        <f t="shared" si="63"/>
        <v>0</v>
      </c>
    </row>
    <row r="1080" spans="3:16" ht="30" hidden="1" customHeight="1" outlineLevel="1">
      <c r="C1080" s="828">
        <v>40</v>
      </c>
      <c r="D1080" s="829"/>
      <c r="E1080" s="830"/>
      <c r="F1080" s="830"/>
      <c r="G1080" s="854"/>
      <c r="H1080" s="1049"/>
      <c r="I1080" s="866"/>
      <c r="L1080" s="472"/>
      <c r="M1080" s="816">
        <f t="shared" si="62"/>
        <v>0</v>
      </c>
      <c r="N1080" s="833">
        <f t="shared" si="62"/>
        <v>0</v>
      </c>
      <c r="O1080" s="265">
        <f t="shared" si="64"/>
        <v>0</v>
      </c>
      <c r="P1080" s="827">
        <f t="shared" si="63"/>
        <v>0</v>
      </c>
    </row>
    <row r="1081" spans="3:16" ht="30" hidden="1" customHeight="1" outlineLevel="1">
      <c r="C1081" s="828">
        <v>41</v>
      </c>
      <c r="D1081" s="829"/>
      <c r="E1081" s="830"/>
      <c r="F1081" s="830"/>
      <c r="G1081" s="854"/>
      <c r="H1081" s="1049"/>
      <c r="I1081" s="866"/>
      <c r="L1081" s="472"/>
      <c r="M1081" s="816">
        <f t="shared" si="62"/>
        <v>0</v>
      </c>
      <c r="N1081" s="833">
        <f t="shared" si="62"/>
        <v>0</v>
      </c>
      <c r="O1081" s="265">
        <f t="shared" si="64"/>
        <v>0</v>
      </c>
      <c r="P1081" s="827">
        <f t="shared" si="63"/>
        <v>0</v>
      </c>
    </row>
    <row r="1082" spans="3:16" ht="30" hidden="1" customHeight="1" outlineLevel="1">
      <c r="C1082" s="828">
        <v>42</v>
      </c>
      <c r="D1082" s="829"/>
      <c r="E1082" s="830"/>
      <c r="F1082" s="830"/>
      <c r="G1082" s="854"/>
      <c r="H1082" s="1049"/>
      <c r="I1082" s="866"/>
      <c r="L1082" s="472"/>
      <c r="M1082" s="816">
        <f t="shared" si="62"/>
        <v>0</v>
      </c>
      <c r="N1082" s="833">
        <f t="shared" si="62"/>
        <v>0</v>
      </c>
      <c r="O1082" s="265">
        <f t="shared" si="64"/>
        <v>0</v>
      </c>
      <c r="P1082" s="827">
        <f t="shared" si="63"/>
        <v>0</v>
      </c>
    </row>
    <row r="1083" spans="3:16" ht="30" hidden="1" customHeight="1" outlineLevel="1">
      <c r="C1083" s="828">
        <v>43</v>
      </c>
      <c r="D1083" s="829"/>
      <c r="E1083" s="830"/>
      <c r="F1083" s="830"/>
      <c r="G1083" s="854"/>
      <c r="H1083" s="1049"/>
      <c r="I1083" s="866"/>
      <c r="L1083" s="472"/>
      <c r="M1083" s="816">
        <f t="shared" si="62"/>
        <v>0</v>
      </c>
      <c r="N1083" s="833">
        <f t="shared" si="62"/>
        <v>0</v>
      </c>
      <c r="O1083" s="265">
        <f t="shared" si="64"/>
        <v>0</v>
      </c>
      <c r="P1083" s="827">
        <f t="shared" si="63"/>
        <v>0</v>
      </c>
    </row>
    <row r="1084" spans="3:16" ht="30" hidden="1" customHeight="1" outlineLevel="1">
      <c r="C1084" s="828">
        <v>44</v>
      </c>
      <c r="D1084" s="829"/>
      <c r="E1084" s="830"/>
      <c r="F1084" s="830"/>
      <c r="G1084" s="854"/>
      <c r="H1084" s="1049"/>
      <c r="I1084" s="866"/>
      <c r="L1084" s="472"/>
      <c r="M1084" s="816">
        <f t="shared" si="62"/>
        <v>0</v>
      </c>
      <c r="N1084" s="833">
        <f t="shared" si="62"/>
        <v>0</v>
      </c>
      <c r="O1084" s="265">
        <f t="shared" si="64"/>
        <v>0</v>
      </c>
      <c r="P1084" s="827">
        <f t="shared" si="63"/>
        <v>0</v>
      </c>
    </row>
    <row r="1085" spans="3:16" ht="30" hidden="1" customHeight="1" outlineLevel="1">
      <c r="C1085" s="828">
        <v>45</v>
      </c>
      <c r="D1085" s="829"/>
      <c r="E1085" s="830"/>
      <c r="F1085" s="830"/>
      <c r="G1085" s="854"/>
      <c r="H1085" s="1049"/>
      <c r="I1085" s="866"/>
      <c r="L1085" s="472"/>
      <c r="M1085" s="816">
        <f t="shared" si="62"/>
        <v>0</v>
      </c>
      <c r="N1085" s="833">
        <f t="shared" si="62"/>
        <v>0</v>
      </c>
      <c r="O1085" s="265">
        <f t="shared" si="64"/>
        <v>0</v>
      </c>
      <c r="P1085" s="827">
        <f t="shared" si="63"/>
        <v>0</v>
      </c>
    </row>
    <row r="1086" spans="3:16" ht="30" hidden="1" customHeight="1" outlineLevel="1">
      <c r="C1086" s="828">
        <v>46</v>
      </c>
      <c r="D1086" s="829"/>
      <c r="E1086" s="830"/>
      <c r="F1086" s="830"/>
      <c r="G1086" s="854"/>
      <c r="H1086" s="1049"/>
      <c r="I1086" s="866"/>
      <c r="L1086" s="472"/>
      <c r="M1086" s="816">
        <f t="shared" si="62"/>
        <v>0</v>
      </c>
      <c r="N1086" s="833">
        <f t="shared" si="62"/>
        <v>0</v>
      </c>
      <c r="O1086" s="265">
        <f t="shared" si="64"/>
        <v>0</v>
      </c>
      <c r="P1086" s="827">
        <f t="shared" si="63"/>
        <v>0</v>
      </c>
    </row>
    <row r="1087" spans="3:16" ht="30" hidden="1" customHeight="1" outlineLevel="1">
      <c r="C1087" s="828">
        <v>47</v>
      </c>
      <c r="D1087" s="829"/>
      <c r="E1087" s="830"/>
      <c r="F1087" s="830"/>
      <c r="G1087" s="854"/>
      <c r="H1087" s="1049"/>
      <c r="I1087" s="866"/>
      <c r="L1087" s="472"/>
      <c r="M1087" s="816">
        <f t="shared" si="62"/>
        <v>0</v>
      </c>
      <c r="N1087" s="833">
        <f t="shared" si="62"/>
        <v>0</v>
      </c>
      <c r="O1087" s="265">
        <f t="shared" si="64"/>
        <v>0</v>
      </c>
      <c r="P1087" s="827">
        <f t="shared" si="63"/>
        <v>0</v>
      </c>
    </row>
    <row r="1088" spans="3:16" ht="30" hidden="1" customHeight="1" outlineLevel="1">
      <c r="C1088" s="828">
        <v>48</v>
      </c>
      <c r="D1088" s="829"/>
      <c r="E1088" s="830"/>
      <c r="F1088" s="830"/>
      <c r="G1088" s="854"/>
      <c r="H1088" s="1049"/>
      <c r="I1088" s="866"/>
      <c r="L1088" s="472"/>
      <c r="M1088" s="816">
        <f t="shared" si="62"/>
        <v>0</v>
      </c>
      <c r="N1088" s="833">
        <f t="shared" si="62"/>
        <v>0</v>
      </c>
      <c r="O1088" s="265">
        <f t="shared" si="64"/>
        <v>0</v>
      </c>
      <c r="P1088" s="827">
        <f t="shared" si="63"/>
        <v>0</v>
      </c>
    </row>
    <row r="1089" spans="2:16" ht="30" hidden="1" customHeight="1" outlineLevel="1">
      <c r="C1089" s="828">
        <v>49</v>
      </c>
      <c r="D1089" s="829"/>
      <c r="E1089" s="830"/>
      <c r="F1089" s="830"/>
      <c r="G1089" s="854"/>
      <c r="H1089" s="1049"/>
      <c r="I1089" s="866"/>
      <c r="L1089" s="472"/>
      <c r="M1089" s="816">
        <f t="shared" si="62"/>
        <v>0</v>
      </c>
      <c r="N1089" s="833">
        <f t="shared" si="62"/>
        <v>0</v>
      </c>
      <c r="O1089" s="265">
        <f t="shared" si="64"/>
        <v>0</v>
      </c>
      <c r="P1089" s="827">
        <f t="shared" si="63"/>
        <v>0</v>
      </c>
    </row>
    <row r="1090" spans="2:16" ht="30" hidden="1" customHeight="1" outlineLevel="1" thickBot="1">
      <c r="C1090" s="836">
        <v>50</v>
      </c>
      <c r="D1090" s="837"/>
      <c r="E1090" s="838"/>
      <c r="F1090" s="838"/>
      <c r="G1090" s="859"/>
      <c r="H1090" s="1051"/>
      <c r="I1090" s="866"/>
      <c r="L1090" s="472"/>
      <c r="M1090" s="816">
        <f t="shared" si="62"/>
        <v>0</v>
      </c>
      <c r="N1090" s="833">
        <f t="shared" si="62"/>
        <v>0</v>
      </c>
      <c r="O1090" s="265">
        <f t="shared" si="64"/>
        <v>0</v>
      </c>
      <c r="P1090" s="827">
        <f t="shared" si="63"/>
        <v>0</v>
      </c>
    </row>
    <row r="1091" spans="2:16" ht="14.25" customHeight="1" thickTop="1">
      <c r="B1091" s="844"/>
      <c r="C1091" s="391"/>
      <c r="D1091" s="392"/>
      <c r="E1091" s="392"/>
      <c r="F1091" s="392"/>
      <c r="G1091" s="392"/>
      <c r="H1091" s="392"/>
      <c r="J1091" s="593"/>
      <c r="K1091" s="183"/>
      <c r="L1091" s="183"/>
      <c r="M1091" s="844"/>
      <c r="N1091" s="844"/>
      <c r="O1091" s="844"/>
      <c r="P1091" s="844"/>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5"/>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57"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20487" r:id="rId5" name="btnKoushin2">
          <controlPr defaultSize="0" print="0" autoLine="0" r:id="rId6">
            <anchor moveWithCells="1">
              <from>
                <xdr:col>16</xdr:col>
                <xdr:colOff>104775</xdr:colOff>
                <xdr:row>1032</xdr:row>
                <xdr:rowOff>0</xdr:rowOff>
              </from>
              <to>
                <xdr:col>19</xdr:col>
                <xdr:colOff>371475</xdr:colOff>
                <xdr:row>1033</xdr:row>
                <xdr:rowOff>161925</xdr:rowOff>
              </to>
            </anchor>
          </controlPr>
        </control>
      </mc:Choice>
      <mc:Fallback>
        <control shapeId="20487" r:id="rId5" name="btnKoushin2"/>
      </mc:Fallback>
    </mc:AlternateContent>
    <mc:AlternateContent xmlns:mc="http://schemas.openxmlformats.org/markup-compatibility/2006">
      <mc:Choice Requires="x14">
        <control shapeId="20484" r:id="rId7" name="btnKoushin1">
          <controlPr defaultSize="0" print="0" autoLine="0" r:id="rId8">
            <anchor moveWithCells="1">
              <from>
                <xdr:col>16</xdr:col>
                <xdr:colOff>161925</xdr:colOff>
                <xdr:row>14</xdr:row>
                <xdr:rowOff>161925</xdr:rowOff>
              </from>
              <to>
                <xdr:col>19</xdr:col>
                <xdr:colOff>428625</xdr:colOff>
                <xdr:row>16</xdr:row>
                <xdr:rowOff>152400</xdr:rowOff>
              </to>
            </anchor>
          </controlPr>
        </control>
      </mc:Choice>
      <mc:Fallback>
        <control shapeId="20484"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dimension ref="A1:BG48"/>
  <sheetViews>
    <sheetView showGridLines="0" zoomScale="70" zoomScaleNormal="70" zoomScaleSheetLayoutView="70" workbookViewId="0">
      <selection activeCell="AB17" sqref="AB17"/>
    </sheetView>
  </sheetViews>
  <sheetFormatPr defaultColWidth="2.875" defaultRowHeight="14.25" customHeight="1" outlineLevelCol="1"/>
  <cols>
    <col min="1" max="1" width="0.875" style="2" customWidth="1"/>
    <col min="2" max="27" width="2.875" style="2" customWidth="1"/>
    <col min="28" max="28" width="14.125" style="2" customWidth="1"/>
    <col min="29" max="29" width="11.375" style="2" customWidth="1"/>
    <col min="30" max="30" width="14.125" style="2" customWidth="1"/>
    <col min="31" max="31" width="11.375" style="2" customWidth="1"/>
    <col min="32" max="32" width="14.125" style="2" customWidth="1"/>
    <col min="33" max="33" width="11.375" style="2" customWidth="1"/>
    <col min="34" max="34" width="14.125" style="2" customWidth="1"/>
    <col min="35" max="35" width="11.375" style="2" customWidth="1"/>
    <col min="36" max="36" width="14.125" style="2" customWidth="1"/>
    <col min="37" max="37" width="11.375" style="2" customWidth="1"/>
    <col min="38" max="38" width="1.625" style="2" customWidth="1"/>
    <col min="39" max="44" width="2.875" style="2" customWidth="1"/>
    <col min="45" max="45" width="0.875" style="2" customWidth="1"/>
    <col min="46" max="46" width="2.875" style="2"/>
    <col min="47" max="47" width="4.625" style="2" customWidth="1" outlineLevel="1"/>
    <col min="48" max="48" width="17.875" style="2" customWidth="1" outlineLevel="1"/>
    <col min="49" max="50" width="17.625" style="20" customWidth="1" outlineLevel="1"/>
    <col min="51" max="54" width="17.625" style="2" customWidth="1" outlineLevel="1"/>
    <col min="55" max="59" width="12.375" style="2" customWidth="1" outlineLevel="1"/>
    <col min="60" max="16384" width="2.875" style="2"/>
  </cols>
  <sheetData>
    <row r="1" spans="1:59" ht="14.25" customHeight="1">
      <c r="AU1" s="30" t="s">
        <v>622</v>
      </c>
    </row>
    <row r="2" spans="1:59" s="30" customFormat="1" ht="18" customHeight="1">
      <c r="A2" s="151" t="s">
        <v>670</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670</v>
      </c>
      <c r="AV2" s="2"/>
      <c r="AW2" s="20"/>
      <c r="AX2" s="20"/>
      <c r="AY2" s="2"/>
      <c r="AZ2" s="2"/>
      <c r="BA2" s="2"/>
      <c r="BB2" s="2"/>
      <c r="BC2" s="2"/>
      <c r="BD2" s="2"/>
      <c r="BE2" s="2"/>
      <c r="BF2" s="2"/>
      <c r="BG2" s="2"/>
    </row>
    <row r="3" spans="1:59" s="30" customFormat="1" ht="14.25" customHeight="1">
      <c r="A3" s="151"/>
      <c r="C3" s="58" t="s">
        <v>1428</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671</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672</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673</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1307</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674</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1" t="s">
        <v>675</v>
      </c>
      <c r="AV9" s="211"/>
      <c r="AW9" s="215"/>
      <c r="AX9" s="215"/>
      <c r="AY9" s="211"/>
      <c r="AZ9" s="211"/>
      <c r="BA9" s="2"/>
      <c r="BB9" s="39"/>
      <c r="BC9" s="39"/>
      <c r="BD9" s="39"/>
      <c r="BE9" s="39"/>
      <c r="BF9" s="39"/>
      <c r="BG9" s="2"/>
    </row>
    <row r="10" spans="1:59" s="51" customFormat="1" ht="14.25" customHeight="1" thickBot="1">
      <c r="C10" s="58" t="s">
        <v>526</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67"/>
      <c r="AM10" s="58"/>
      <c r="AN10" s="58"/>
      <c r="AO10" s="58"/>
      <c r="AP10" s="58"/>
      <c r="AQ10" s="58"/>
      <c r="AR10" s="867" t="s">
        <v>676</v>
      </c>
      <c r="AU10" s="2"/>
      <c r="AV10" s="2"/>
      <c r="AW10" s="2"/>
      <c r="AX10" s="2"/>
      <c r="AY10" s="2"/>
      <c r="AZ10" s="2"/>
      <c r="BA10" s="2"/>
      <c r="BB10" s="39"/>
      <c r="BC10" s="39"/>
      <c r="BD10" s="39"/>
      <c r="BE10" s="39"/>
      <c r="BF10" s="39"/>
      <c r="BG10" s="2"/>
    </row>
    <row r="11" spans="1:59" ht="14.1" customHeight="1">
      <c r="C11" s="792"/>
      <c r="D11" s="2210" t="s">
        <v>677</v>
      </c>
      <c r="E11" s="2210"/>
      <c r="F11" s="2210"/>
      <c r="G11" s="2210"/>
      <c r="H11" s="2210"/>
      <c r="I11" s="2210"/>
      <c r="J11" s="868"/>
      <c r="K11" s="171"/>
      <c r="L11" s="1291" t="s">
        <v>192</v>
      </c>
      <c r="M11" s="1291"/>
      <c r="N11" s="1291"/>
      <c r="O11" s="1291"/>
      <c r="P11" s="1291"/>
      <c r="Q11" s="1291"/>
      <c r="R11" s="1291"/>
      <c r="S11" s="1291"/>
      <c r="T11" s="1291"/>
      <c r="U11" s="1291"/>
      <c r="V11" s="1291"/>
      <c r="W11" s="1291"/>
      <c r="X11" s="1291"/>
      <c r="Y11" s="1291"/>
      <c r="Z11" s="1291"/>
      <c r="AA11" s="272"/>
      <c r="AB11" s="1291" t="s">
        <v>678</v>
      </c>
      <c r="AC11" s="1291"/>
      <c r="AD11" s="1291"/>
      <c r="AE11" s="1291"/>
      <c r="AF11" s="1291"/>
      <c r="AG11" s="1291"/>
      <c r="AH11" s="1291"/>
      <c r="AI11" s="1291"/>
      <c r="AJ11" s="2214" t="s">
        <v>679</v>
      </c>
      <c r="AK11" s="1291"/>
      <c r="AL11" s="792"/>
      <c r="AM11" s="2210" t="s">
        <v>677</v>
      </c>
      <c r="AN11" s="2210"/>
      <c r="AO11" s="2210"/>
      <c r="AP11" s="2210"/>
      <c r="AQ11" s="2210"/>
      <c r="AR11" s="2210"/>
      <c r="AS11" s="869"/>
      <c r="AW11" s="2"/>
      <c r="AX11" s="2"/>
      <c r="BB11" s="39"/>
      <c r="BC11" s="39"/>
      <c r="BD11" s="39"/>
      <c r="BE11" s="39"/>
      <c r="BF11" s="39"/>
    </row>
    <row r="12" spans="1:59" ht="14.1" customHeight="1">
      <c r="C12" s="870"/>
      <c r="D12" s="2211"/>
      <c r="E12" s="2211"/>
      <c r="F12" s="2211"/>
      <c r="G12" s="2211"/>
      <c r="H12" s="2211"/>
      <c r="I12" s="2211"/>
      <c r="J12" s="871"/>
      <c r="K12" s="145"/>
      <c r="L12" s="1276"/>
      <c r="M12" s="1276"/>
      <c r="N12" s="1276"/>
      <c r="O12" s="1276"/>
      <c r="P12" s="1276"/>
      <c r="Q12" s="1276"/>
      <c r="R12" s="1276"/>
      <c r="S12" s="1276"/>
      <c r="T12" s="1276"/>
      <c r="U12" s="1276"/>
      <c r="V12" s="1276"/>
      <c r="W12" s="1276"/>
      <c r="X12" s="1276"/>
      <c r="Y12" s="1276"/>
      <c r="Z12" s="1276"/>
      <c r="AA12" s="543"/>
      <c r="AB12" s="2213"/>
      <c r="AC12" s="2213"/>
      <c r="AD12" s="2213"/>
      <c r="AE12" s="2213"/>
      <c r="AF12" s="2213"/>
      <c r="AG12" s="2213"/>
      <c r="AH12" s="2213"/>
      <c r="AI12" s="2213"/>
      <c r="AJ12" s="2215"/>
      <c r="AK12" s="1276"/>
      <c r="AL12" s="870"/>
      <c r="AM12" s="2211"/>
      <c r="AN12" s="2211"/>
      <c r="AO12" s="2211"/>
      <c r="AP12" s="2211"/>
      <c r="AQ12" s="2211"/>
      <c r="AR12" s="2211"/>
      <c r="AS12" s="872"/>
      <c r="AW12" s="2"/>
      <c r="AX12" s="867" t="s">
        <v>676</v>
      </c>
      <c r="BB12" s="39"/>
      <c r="BC12" s="39"/>
      <c r="BD12" s="39"/>
      <c r="BE12" s="39"/>
      <c r="BG12" s="867"/>
    </row>
    <row r="13" spans="1:59" ht="14.1" customHeight="1">
      <c r="C13" s="870"/>
      <c r="D13" s="2211"/>
      <c r="E13" s="2211"/>
      <c r="F13" s="2211"/>
      <c r="G13" s="2211"/>
      <c r="H13" s="2211"/>
      <c r="I13" s="2211"/>
      <c r="J13" s="871"/>
      <c r="K13" s="145"/>
      <c r="L13" s="1276"/>
      <c r="M13" s="1276"/>
      <c r="N13" s="1276"/>
      <c r="O13" s="1276"/>
      <c r="P13" s="1276"/>
      <c r="Q13" s="1276"/>
      <c r="R13" s="1276"/>
      <c r="S13" s="1276"/>
      <c r="T13" s="1276"/>
      <c r="U13" s="1276"/>
      <c r="V13" s="1276"/>
      <c r="W13" s="1276"/>
      <c r="X13" s="1276"/>
      <c r="Y13" s="1276"/>
      <c r="Z13" s="1276"/>
      <c r="AA13" s="543"/>
      <c r="AB13" s="2216" t="s">
        <v>680</v>
      </c>
      <c r="AC13" s="2216"/>
      <c r="AD13" s="2217" t="s">
        <v>681</v>
      </c>
      <c r="AE13" s="2218"/>
      <c r="AF13" s="2217" t="s">
        <v>682</v>
      </c>
      <c r="AG13" s="2218"/>
      <c r="AH13" s="2217" t="s">
        <v>683</v>
      </c>
      <c r="AI13" s="2216"/>
      <c r="AJ13" s="2220" t="s">
        <v>684</v>
      </c>
      <c r="AK13" s="2216"/>
      <c r="AL13" s="870"/>
      <c r="AM13" s="2211"/>
      <c r="AN13" s="2211"/>
      <c r="AO13" s="2211"/>
      <c r="AP13" s="2211"/>
      <c r="AQ13" s="2211"/>
      <c r="AR13" s="2211"/>
      <c r="AS13" s="872"/>
      <c r="AU13" s="2199"/>
      <c r="AV13" s="2199"/>
      <c r="AW13" s="2200" t="s">
        <v>685</v>
      </c>
      <c r="AX13" s="2200" t="s">
        <v>686</v>
      </c>
      <c r="AZ13" s="2202"/>
      <c r="BA13" s="2202"/>
      <c r="BB13" s="2203"/>
      <c r="BC13" s="2203"/>
      <c r="BD13" s="2203"/>
      <c r="BE13" s="2203"/>
      <c r="BF13" s="2203"/>
      <c r="BG13" s="2209"/>
    </row>
    <row r="14" spans="1:59" ht="14.1" customHeight="1">
      <c r="C14" s="870"/>
      <c r="D14" s="2211"/>
      <c r="E14" s="2211"/>
      <c r="F14" s="2211"/>
      <c r="G14" s="2211"/>
      <c r="H14" s="2211"/>
      <c r="I14" s="2211"/>
      <c r="J14" s="871"/>
      <c r="K14" s="145"/>
      <c r="L14" s="1276"/>
      <c r="M14" s="1276"/>
      <c r="N14" s="1276"/>
      <c r="O14" s="1276"/>
      <c r="P14" s="1276"/>
      <c r="Q14" s="1276"/>
      <c r="R14" s="1276"/>
      <c r="S14" s="1276"/>
      <c r="T14" s="1276"/>
      <c r="U14" s="1276"/>
      <c r="V14" s="1276"/>
      <c r="W14" s="1276"/>
      <c r="X14" s="1276"/>
      <c r="Y14" s="1276"/>
      <c r="Z14" s="1276"/>
      <c r="AA14" s="543"/>
      <c r="AB14" s="1276"/>
      <c r="AC14" s="1276"/>
      <c r="AD14" s="1312"/>
      <c r="AE14" s="2219"/>
      <c r="AF14" s="1586"/>
      <c r="AG14" s="1293"/>
      <c r="AH14" s="1312"/>
      <c r="AI14" s="2213"/>
      <c r="AJ14" s="2221"/>
      <c r="AK14" s="2213"/>
      <c r="AL14" s="870"/>
      <c r="AM14" s="2211"/>
      <c r="AN14" s="2211"/>
      <c r="AO14" s="2211"/>
      <c r="AP14" s="2211"/>
      <c r="AQ14" s="2211"/>
      <c r="AR14" s="2211"/>
      <c r="AS14" s="872"/>
      <c r="AU14" s="2199"/>
      <c r="AV14" s="2199"/>
      <c r="AW14" s="2201"/>
      <c r="AX14" s="2201"/>
      <c r="AZ14" s="2202"/>
      <c r="BA14" s="2202"/>
      <c r="BB14" s="2203"/>
      <c r="BC14" s="2203"/>
      <c r="BD14" s="2203"/>
      <c r="BE14" s="2203"/>
      <c r="BF14" s="2203"/>
      <c r="BG14" s="2209"/>
    </row>
    <row r="15" spans="1:59" ht="18" customHeight="1">
      <c r="C15" s="870"/>
      <c r="D15" s="2211"/>
      <c r="E15" s="2211"/>
      <c r="F15" s="2211"/>
      <c r="G15" s="2211"/>
      <c r="H15" s="2211"/>
      <c r="I15" s="2211"/>
      <c r="J15" s="871"/>
      <c r="K15" s="145"/>
      <c r="L15" s="1276"/>
      <c r="M15" s="1276"/>
      <c r="N15" s="1276"/>
      <c r="O15" s="1276"/>
      <c r="P15" s="1276"/>
      <c r="Q15" s="1276"/>
      <c r="R15" s="1276"/>
      <c r="S15" s="1276"/>
      <c r="T15" s="1276"/>
      <c r="U15" s="1276"/>
      <c r="V15" s="1276"/>
      <c r="W15" s="1276"/>
      <c r="X15" s="1276"/>
      <c r="Y15" s="1276"/>
      <c r="Z15" s="1276"/>
      <c r="AA15" s="543"/>
      <c r="AB15" s="2226" t="s">
        <v>687</v>
      </c>
      <c r="AC15" s="2197" t="s">
        <v>1308</v>
      </c>
      <c r="AD15" s="2197" t="s">
        <v>687</v>
      </c>
      <c r="AE15" s="2197" t="s">
        <v>1308</v>
      </c>
      <c r="AF15" s="2197" t="s">
        <v>687</v>
      </c>
      <c r="AG15" s="2197" t="s">
        <v>1308</v>
      </c>
      <c r="AH15" s="2222" t="s">
        <v>687</v>
      </c>
      <c r="AI15" s="2197" t="s">
        <v>1308</v>
      </c>
      <c r="AJ15" s="2224" t="s">
        <v>687</v>
      </c>
      <c r="AK15" s="2197" t="s">
        <v>1308</v>
      </c>
      <c r="AL15" s="870"/>
      <c r="AM15" s="2211"/>
      <c r="AN15" s="2211"/>
      <c r="AO15" s="2211"/>
      <c r="AP15" s="2211"/>
      <c r="AQ15" s="2211"/>
      <c r="AR15" s="2211"/>
      <c r="AS15" s="872"/>
      <c r="AU15" s="2199"/>
      <c r="AV15" s="2199"/>
      <c r="AW15" s="2201"/>
      <c r="AX15" s="2201"/>
      <c r="AZ15" s="2202"/>
      <c r="BA15" s="2202"/>
      <c r="BB15" s="1555"/>
      <c r="BC15" s="1555"/>
      <c r="BD15" s="1555"/>
      <c r="BE15" s="1555"/>
      <c r="BF15" s="1555"/>
      <c r="BG15" s="2209"/>
    </row>
    <row r="16" spans="1:59" ht="18" customHeight="1" thickBot="1">
      <c r="C16" s="873"/>
      <c r="D16" s="2212"/>
      <c r="E16" s="2212"/>
      <c r="F16" s="2212"/>
      <c r="G16" s="2212"/>
      <c r="H16" s="2212"/>
      <c r="I16" s="2212"/>
      <c r="J16" s="874"/>
      <c r="K16" s="167"/>
      <c r="L16" s="1266"/>
      <c r="M16" s="1266"/>
      <c r="N16" s="1266"/>
      <c r="O16" s="1266"/>
      <c r="P16" s="1266"/>
      <c r="Q16" s="1266"/>
      <c r="R16" s="1266"/>
      <c r="S16" s="1266"/>
      <c r="T16" s="1266"/>
      <c r="U16" s="1266"/>
      <c r="V16" s="1266"/>
      <c r="W16" s="1266"/>
      <c r="X16" s="1266"/>
      <c r="Y16" s="1266"/>
      <c r="Z16" s="1266"/>
      <c r="AA16" s="800"/>
      <c r="AB16" s="2227"/>
      <c r="AC16" s="2198"/>
      <c r="AD16" s="2198"/>
      <c r="AE16" s="2198"/>
      <c r="AF16" s="2198"/>
      <c r="AG16" s="2198"/>
      <c r="AH16" s="2223"/>
      <c r="AI16" s="2198"/>
      <c r="AJ16" s="2225"/>
      <c r="AK16" s="2198"/>
      <c r="AL16" s="873"/>
      <c r="AM16" s="2212"/>
      <c r="AN16" s="2212"/>
      <c r="AO16" s="2212"/>
      <c r="AP16" s="2212"/>
      <c r="AQ16" s="2212"/>
      <c r="AR16" s="2212"/>
      <c r="AS16" s="875"/>
      <c r="AU16" s="2199"/>
      <c r="AV16" s="2199"/>
      <c r="AW16" s="2201"/>
      <c r="AX16" s="2201"/>
      <c r="AZ16" s="2202"/>
      <c r="BA16" s="2202"/>
      <c r="BB16" s="1555"/>
      <c r="BC16" s="1555"/>
      <c r="BD16" s="1555"/>
      <c r="BE16" s="1555"/>
      <c r="BF16" s="1555"/>
      <c r="BG16" s="2209"/>
    </row>
    <row r="17" spans="3:59" ht="33" customHeight="1" thickTop="1">
      <c r="C17" s="870"/>
      <c r="D17" s="1173" t="s">
        <v>688</v>
      </c>
      <c r="E17" s="1173"/>
      <c r="F17" s="1173"/>
      <c r="G17" s="1173"/>
      <c r="H17" s="1173"/>
      <c r="I17" s="1173"/>
      <c r="J17" s="871"/>
      <c r="K17" s="2205" t="s">
        <v>689</v>
      </c>
      <c r="L17" s="2205"/>
      <c r="M17" s="2205"/>
      <c r="N17" s="2205"/>
      <c r="O17" s="2205"/>
      <c r="P17" s="2205"/>
      <c r="Q17" s="2205"/>
      <c r="R17" s="2205"/>
      <c r="S17" s="2205"/>
      <c r="T17" s="2205"/>
      <c r="U17" s="2205"/>
      <c r="V17" s="2205"/>
      <c r="W17" s="2205"/>
      <c r="X17" s="2205"/>
      <c r="Y17" s="2205"/>
      <c r="Z17" s="2205"/>
      <c r="AA17" s="2206"/>
      <c r="AB17" s="1005"/>
      <c r="AC17" s="876"/>
      <c r="AD17" s="1009"/>
      <c r="AE17" s="876"/>
      <c r="AF17" s="1009"/>
      <c r="AG17" s="876"/>
      <c r="AH17" s="1009"/>
      <c r="AI17" s="877"/>
      <c r="AJ17" s="1014"/>
      <c r="AK17" s="878"/>
      <c r="AL17" s="879"/>
      <c r="AM17" s="1173" t="s">
        <v>688</v>
      </c>
      <c r="AN17" s="1173"/>
      <c r="AO17" s="1173"/>
      <c r="AP17" s="1173"/>
      <c r="AQ17" s="1173"/>
      <c r="AR17" s="1173"/>
      <c r="AS17" s="872"/>
      <c r="AU17" s="2207" t="s">
        <v>690</v>
      </c>
      <c r="AV17" s="880" t="s">
        <v>691</v>
      </c>
      <c r="AW17" s="1017">
        <f>ROUNDDOWN(SUM(AB17,AD17,AF17,AH17),1)</f>
        <v>0</v>
      </c>
      <c r="AX17" s="1017">
        <f>AJ17</f>
        <v>0</v>
      </c>
      <c r="AZ17" s="2204"/>
      <c r="BA17" s="214"/>
      <c r="BB17" s="881"/>
      <c r="BC17" s="881"/>
      <c r="BD17" s="881"/>
      <c r="BE17" s="881"/>
      <c r="BF17" s="881"/>
      <c r="BG17" s="881"/>
    </row>
    <row r="18" spans="3:59" ht="33" hidden="1" customHeight="1">
      <c r="C18" s="882"/>
      <c r="D18" s="1557" t="s">
        <v>692</v>
      </c>
      <c r="E18" s="1557"/>
      <c r="F18" s="1557"/>
      <c r="G18" s="1557"/>
      <c r="H18" s="1557"/>
      <c r="I18" s="1557"/>
      <c r="J18" s="883"/>
      <c r="K18" s="1263" t="s">
        <v>693</v>
      </c>
      <c r="L18" s="1263"/>
      <c r="M18" s="1263"/>
      <c r="N18" s="1263"/>
      <c r="O18" s="1263"/>
      <c r="P18" s="1263"/>
      <c r="Q18" s="1263"/>
      <c r="R18" s="1263"/>
      <c r="S18" s="1263"/>
      <c r="T18" s="1263"/>
      <c r="U18" s="1263"/>
      <c r="V18" s="1263"/>
      <c r="W18" s="1263"/>
      <c r="X18" s="1263"/>
      <c r="Y18" s="1263"/>
      <c r="Z18" s="1263"/>
      <c r="AA18" s="1264"/>
      <c r="AB18" s="1006"/>
      <c r="AC18" s="884"/>
      <c r="AD18" s="1010"/>
      <c r="AE18" s="884"/>
      <c r="AF18" s="1010"/>
      <c r="AG18" s="884"/>
      <c r="AH18" s="1010"/>
      <c r="AI18" s="885"/>
      <c r="AJ18" s="1015"/>
      <c r="AK18" s="886"/>
      <c r="AL18" s="887"/>
      <c r="AM18" s="1557" t="s">
        <v>692</v>
      </c>
      <c r="AN18" s="1557"/>
      <c r="AO18" s="1557"/>
      <c r="AP18" s="1557"/>
      <c r="AQ18" s="1557"/>
      <c r="AR18" s="1557"/>
      <c r="AS18" s="888"/>
      <c r="AU18" s="2207"/>
      <c r="AV18" s="880" t="s">
        <v>694</v>
      </c>
      <c r="AW18" s="1017">
        <f t="shared" ref="AW18:AW23" si="0">SUM(AB18,AD18,AF18,AH18)</f>
        <v>0</v>
      </c>
      <c r="AX18" s="1017">
        <f t="shared" ref="AX18:AX31" si="1">AJ18</f>
        <v>0</v>
      </c>
      <c r="AZ18" s="2204"/>
      <c r="BA18" s="214"/>
      <c r="BB18" s="881"/>
      <c r="BC18" s="881"/>
      <c r="BD18" s="881"/>
      <c r="BE18" s="881"/>
      <c r="BF18" s="881"/>
      <c r="BG18" s="881"/>
    </row>
    <row r="19" spans="3:59" ht="33" customHeight="1">
      <c r="C19" s="882"/>
      <c r="D19" s="1557" t="s">
        <v>695</v>
      </c>
      <c r="E19" s="1557"/>
      <c r="F19" s="1557"/>
      <c r="G19" s="1557"/>
      <c r="H19" s="1557"/>
      <c r="I19" s="1557"/>
      <c r="J19" s="883"/>
      <c r="K19" s="1263" t="s">
        <v>696</v>
      </c>
      <c r="L19" s="1263"/>
      <c r="M19" s="1263"/>
      <c r="N19" s="1263"/>
      <c r="O19" s="1263"/>
      <c r="P19" s="1263"/>
      <c r="Q19" s="1263"/>
      <c r="R19" s="1263"/>
      <c r="S19" s="1263"/>
      <c r="T19" s="1263"/>
      <c r="U19" s="1263"/>
      <c r="V19" s="1263"/>
      <c r="W19" s="1263"/>
      <c r="X19" s="1263"/>
      <c r="Y19" s="1263"/>
      <c r="Z19" s="1263"/>
      <c r="AA19" s="1264"/>
      <c r="AB19" s="1006"/>
      <c r="AC19" s="884"/>
      <c r="AD19" s="1010"/>
      <c r="AE19" s="884"/>
      <c r="AF19" s="1010"/>
      <c r="AG19" s="884"/>
      <c r="AH19" s="1010"/>
      <c r="AI19" s="885"/>
      <c r="AJ19" s="1015"/>
      <c r="AK19" s="886"/>
      <c r="AL19" s="887"/>
      <c r="AM19" s="1557" t="s">
        <v>695</v>
      </c>
      <c r="AN19" s="1557"/>
      <c r="AO19" s="1557"/>
      <c r="AP19" s="1557"/>
      <c r="AQ19" s="1557"/>
      <c r="AR19" s="1557"/>
      <c r="AS19" s="888"/>
      <c r="AU19" s="2207"/>
      <c r="AV19" s="880" t="s">
        <v>697</v>
      </c>
      <c r="AW19" s="1017">
        <f>ROUNDDOWN(SUM(AB19,AD19,AF19,AH19),1)</f>
        <v>0</v>
      </c>
      <c r="AX19" s="1017">
        <f t="shared" si="1"/>
        <v>0</v>
      </c>
      <c r="AZ19" s="2204"/>
      <c r="BA19" s="214"/>
      <c r="BB19" s="881"/>
      <c r="BC19" s="881"/>
      <c r="BD19" s="881"/>
      <c r="BE19" s="881"/>
      <c r="BF19" s="881"/>
      <c r="BG19" s="881"/>
    </row>
    <row r="20" spans="3:59" ht="33" customHeight="1">
      <c r="C20" s="882"/>
      <c r="D20" s="1557" t="s">
        <v>698</v>
      </c>
      <c r="E20" s="1557"/>
      <c r="F20" s="1557"/>
      <c r="G20" s="1557"/>
      <c r="H20" s="1557"/>
      <c r="I20" s="1557"/>
      <c r="J20" s="883"/>
      <c r="K20" s="1263" t="s">
        <v>699</v>
      </c>
      <c r="L20" s="1263"/>
      <c r="M20" s="1263"/>
      <c r="N20" s="1263"/>
      <c r="O20" s="1263"/>
      <c r="P20" s="1263"/>
      <c r="Q20" s="1263"/>
      <c r="R20" s="1263"/>
      <c r="S20" s="1263"/>
      <c r="T20" s="1263"/>
      <c r="U20" s="1263"/>
      <c r="V20" s="1263"/>
      <c r="W20" s="1263"/>
      <c r="X20" s="1263"/>
      <c r="Y20" s="1263"/>
      <c r="Z20" s="1263"/>
      <c r="AA20" s="1264"/>
      <c r="AB20" s="1006"/>
      <c r="AC20" s="884"/>
      <c r="AD20" s="1010"/>
      <c r="AE20" s="884"/>
      <c r="AF20" s="1010"/>
      <c r="AG20" s="884"/>
      <c r="AH20" s="1010"/>
      <c r="AI20" s="885"/>
      <c r="AJ20" s="1015"/>
      <c r="AK20" s="886"/>
      <c r="AL20" s="887"/>
      <c r="AM20" s="1557" t="s">
        <v>698</v>
      </c>
      <c r="AN20" s="1557"/>
      <c r="AO20" s="1557"/>
      <c r="AP20" s="1557"/>
      <c r="AQ20" s="1557"/>
      <c r="AR20" s="1557"/>
      <c r="AS20" s="888"/>
      <c r="AU20" s="2207"/>
      <c r="AV20" s="880" t="s">
        <v>700</v>
      </c>
      <c r="AW20" s="1017">
        <f>ROUNDDOWN(SUM(AB20,AD20,AF20,AH20),1)</f>
        <v>0</v>
      </c>
      <c r="AX20" s="1017">
        <f t="shared" si="1"/>
        <v>0</v>
      </c>
      <c r="AZ20" s="2204"/>
      <c r="BA20" s="214"/>
      <c r="BB20" s="881"/>
      <c r="BC20" s="881"/>
      <c r="BD20" s="881"/>
      <c r="BE20" s="881"/>
      <c r="BF20" s="881"/>
      <c r="BG20" s="881"/>
    </row>
    <row r="21" spans="3:59" ht="33" customHeight="1">
      <c r="C21" s="882"/>
      <c r="D21" s="1557" t="s">
        <v>701</v>
      </c>
      <c r="E21" s="1557"/>
      <c r="F21" s="1557"/>
      <c r="G21" s="1557"/>
      <c r="H21" s="1557"/>
      <c r="I21" s="1557"/>
      <c r="J21" s="883"/>
      <c r="K21" s="1263" t="s">
        <v>702</v>
      </c>
      <c r="L21" s="1263"/>
      <c r="M21" s="1263"/>
      <c r="N21" s="1263"/>
      <c r="O21" s="1263"/>
      <c r="P21" s="1263"/>
      <c r="Q21" s="1263"/>
      <c r="R21" s="1263"/>
      <c r="S21" s="1263"/>
      <c r="T21" s="1263"/>
      <c r="U21" s="1263"/>
      <c r="V21" s="1263"/>
      <c r="W21" s="1263"/>
      <c r="X21" s="1263"/>
      <c r="Y21" s="1263"/>
      <c r="Z21" s="1263"/>
      <c r="AA21" s="1264"/>
      <c r="AB21" s="1006"/>
      <c r="AC21" s="884"/>
      <c r="AD21" s="1010"/>
      <c r="AE21" s="884"/>
      <c r="AF21" s="1010"/>
      <c r="AG21" s="884"/>
      <c r="AH21" s="1010"/>
      <c r="AI21" s="885"/>
      <c r="AJ21" s="1015"/>
      <c r="AK21" s="886"/>
      <c r="AL21" s="887"/>
      <c r="AM21" s="1557" t="s">
        <v>703</v>
      </c>
      <c r="AN21" s="1557"/>
      <c r="AO21" s="1557"/>
      <c r="AP21" s="1557"/>
      <c r="AQ21" s="1557"/>
      <c r="AR21" s="1557"/>
      <c r="AS21" s="888"/>
      <c r="AU21" s="2207"/>
      <c r="AV21" s="880" t="s">
        <v>704</v>
      </c>
      <c r="AW21" s="1017">
        <f>ROUNDDOWN(SUM(AB21,AD21,AF21,AH21),1)</f>
        <v>0</v>
      </c>
      <c r="AX21" s="1017">
        <f t="shared" si="1"/>
        <v>0</v>
      </c>
      <c r="AZ21" s="2204"/>
      <c r="BA21" s="214"/>
      <c r="BB21" s="881"/>
      <c r="BC21" s="881"/>
      <c r="BD21" s="881"/>
      <c r="BE21" s="881"/>
      <c r="BF21" s="881"/>
      <c r="BG21" s="881"/>
    </row>
    <row r="22" spans="3:59" ht="33" hidden="1" customHeight="1">
      <c r="C22" s="882"/>
      <c r="D22" s="1557" t="s">
        <v>705</v>
      </c>
      <c r="E22" s="1557"/>
      <c r="F22" s="1557"/>
      <c r="G22" s="1557"/>
      <c r="H22" s="1557"/>
      <c r="I22" s="1557"/>
      <c r="J22" s="883"/>
      <c r="K22" s="1263" t="s">
        <v>706</v>
      </c>
      <c r="L22" s="1263"/>
      <c r="M22" s="1263"/>
      <c r="N22" s="1263"/>
      <c r="O22" s="1263"/>
      <c r="P22" s="1263"/>
      <c r="Q22" s="1263"/>
      <c r="R22" s="1263"/>
      <c r="S22" s="1263"/>
      <c r="T22" s="1263"/>
      <c r="U22" s="1263"/>
      <c r="V22" s="1263"/>
      <c r="W22" s="1263"/>
      <c r="X22" s="1263"/>
      <c r="Y22" s="1263"/>
      <c r="Z22" s="1263"/>
      <c r="AA22" s="1264"/>
      <c r="AB22" s="1006"/>
      <c r="AC22" s="884"/>
      <c r="AD22" s="1010"/>
      <c r="AE22" s="884"/>
      <c r="AF22" s="1010"/>
      <c r="AG22" s="884"/>
      <c r="AH22" s="1010"/>
      <c r="AI22" s="885"/>
      <c r="AJ22" s="1015"/>
      <c r="AK22" s="886"/>
      <c r="AL22" s="887"/>
      <c r="AM22" s="1557" t="s">
        <v>707</v>
      </c>
      <c r="AN22" s="1557"/>
      <c r="AO22" s="1557"/>
      <c r="AP22" s="1557"/>
      <c r="AQ22" s="1557"/>
      <c r="AR22" s="1557"/>
      <c r="AS22" s="888"/>
      <c r="AU22" s="2207"/>
      <c r="AV22" s="880" t="s">
        <v>708</v>
      </c>
      <c r="AW22" s="1017">
        <f t="shared" si="0"/>
        <v>0</v>
      </c>
      <c r="AX22" s="1017">
        <f t="shared" si="1"/>
        <v>0</v>
      </c>
      <c r="AZ22" s="2204"/>
      <c r="BA22" s="214"/>
      <c r="BB22" s="881"/>
      <c r="BC22" s="881"/>
      <c r="BD22" s="881"/>
      <c r="BE22" s="881"/>
      <c r="BF22" s="881"/>
      <c r="BG22" s="881"/>
    </row>
    <row r="23" spans="3:59" ht="33" hidden="1" customHeight="1">
      <c r="C23" s="882"/>
      <c r="D23" s="1557" t="s">
        <v>709</v>
      </c>
      <c r="E23" s="1557"/>
      <c r="F23" s="1557"/>
      <c r="G23" s="1557"/>
      <c r="H23" s="1557"/>
      <c r="I23" s="1557"/>
      <c r="J23" s="883"/>
      <c r="K23" s="1263" t="s">
        <v>710</v>
      </c>
      <c r="L23" s="1263"/>
      <c r="M23" s="1263"/>
      <c r="N23" s="1263"/>
      <c r="O23" s="1263"/>
      <c r="P23" s="1263"/>
      <c r="Q23" s="1263"/>
      <c r="R23" s="1263"/>
      <c r="S23" s="1263"/>
      <c r="T23" s="1263"/>
      <c r="U23" s="1263"/>
      <c r="V23" s="1263"/>
      <c r="W23" s="1263"/>
      <c r="X23" s="1263"/>
      <c r="Y23" s="1263"/>
      <c r="Z23" s="1263"/>
      <c r="AA23" s="1264"/>
      <c r="AB23" s="1006"/>
      <c r="AC23" s="884"/>
      <c r="AD23" s="1010"/>
      <c r="AE23" s="884"/>
      <c r="AF23" s="1010"/>
      <c r="AG23" s="884"/>
      <c r="AH23" s="1010"/>
      <c r="AI23" s="885"/>
      <c r="AJ23" s="1015"/>
      <c r="AK23" s="886"/>
      <c r="AL23" s="887"/>
      <c r="AM23" s="1557" t="s">
        <v>711</v>
      </c>
      <c r="AN23" s="1557"/>
      <c r="AO23" s="1557"/>
      <c r="AP23" s="1557"/>
      <c r="AQ23" s="1557"/>
      <c r="AR23" s="1557"/>
      <c r="AS23" s="888"/>
      <c r="AU23" s="2207"/>
      <c r="AV23" s="880" t="s">
        <v>709</v>
      </c>
      <c r="AW23" s="1017">
        <f t="shared" si="0"/>
        <v>0</v>
      </c>
      <c r="AX23" s="1017">
        <f t="shared" si="1"/>
        <v>0</v>
      </c>
      <c r="AZ23" s="889"/>
      <c r="BA23" s="214"/>
      <c r="BB23" s="881"/>
      <c r="BC23" s="881"/>
      <c r="BD23" s="881"/>
      <c r="BE23" s="881"/>
      <c r="BF23" s="881"/>
      <c r="BG23" s="881"/>
    </row>
    <row r="24" spans="3:59" ht="33" customHeight="1">
      <c r="C24" s="882"/>
      <c r="D24" s="1557" t="s">
        <v>712</v>
      </c>
      <c r="E24" s="1557"/>
      <c r="F24" s="1557"/>
      <c r="G24" s="1557"/>
      <c r="H24" s="1557"/>
      <c r="I24" s="1557"/>
      <c r="J24" s="883"/>
      <c r="K24" s="1263" t="s">
        <v>713</v>
      </c>
      <c r="L24" s="1263"/>
      <c r="M24" s="1263"/>
      <c r="N24" s="1263"/>
      <c r="O24" s="1263"/>
      <c r="P24" s="1263"/>
      <c r="Q24" s="1263"/>
      <c r="R24" s="1263"/>
      <c r="S24" s="1263"/>
      <c r="T24" s="1263"/>
      <c r="U24" s="1263"/>
      <c r="V24" s="1263"/>
      <c r="W24" s="1263"/>
      <c r="X24" s="1263"/>
      <c r="Y24" s="1263"/>
      <c r="Z24" s="1263"/>
      <c r="AA24" s="1264"/>
      <c r="AB24" s="1006"/>
      <c r="AC24" s="884"/>
      <c r="AD24" s="1010"/>
      <c r="AE24" s="884"/>
      <c r="AF24" s="1010"/>
      <c r="AG24" s="884"/>
      <c r="AH24" s="1010"/>
      <c r="AI24" s="885"/>
      <c r="AJ24" s="1015"/>
      <c r="AK24" s="886"/>
      <c r="AL24" s="887"/>
      <c r="AM24" s="1557" t="s">
        <v>712</v>
      </c>
      <c r="AN24" s="1557"/>
      <c r="AO24" s="1557"/>
      <c r="AP24" s="1557"/>
      <c r="AQ24" s="1557"/>
      <c r="AR24" s="1557"/>
      <c r="AS24" s="888"/>
      <c r="AU24" s="2207"/>
      <c r="AV24" s="880" t="s">
        <v>714</v>
      </c>
      <c r="AW24" s="1017">
        <f>ROUNDDOWN(SUM(AB24,AD24,AF24,AH24),1)</f>
        <v>0</v>
      </c>
      <c r="AX24" s="1017">
        <f t="shared" si="1"/>
        <v>0</v>
      </c>
    </row>
    <row r="25" spans="3:59" ht="33" customHeight="1">
      <c r="C25" s="882"/>
      <c r="D25" s="1557" t="s">
        <v>715</v>
      </c>
      <c r="E25" s="1557"/>
      <c r="F25" s="1557"/>
      <c r="G25" s="1557"/>
      <c r="H25" s="1557"/>
      <c r="I25" s="1557"/>
      <c r="J25" s="883"/>
      <c r="K25" s="1263" t="s">
        <v>716</v>
      </c>
      <c r="L25" s="1263"/>
      <c r="M25" s="1263"/>
      <c r="N25" s="1263"/>
      <c r="O25" s="1263"/>
      <c r="P25" s="1263"/>
      <c r="Q25" s="1263"/>
      <c r="R25" s="1263"/>
      <c r="S25" s="1263"/>
      <c r="T25" s="1263"/>
      <c r="U25" s="1263"/>
      <c r="V25" s="1263"/>
      <c r="W25" s="1263"/>
      <c r="X25" s="1263"/>
      <c r="Y25" s="1263"/>
      <c r="Z25" s="1263"/>
      <c r="AA25" s="1264"/>
      <c r="AB25" s="1006"/>
      <c r="AC25" s="884"/>
      <c r="AD25" s="1010"/>
      <c r="AE25" s="884"/>
      <c r="AF25" s="1010"/>
      <c r="AG25" s="884"/>
      <c r="AH25" s="1010"/>
      <c r="AI25" s="885"/>
      <c r="AJ25" s="1015"/>
      <c r="AK25" s="886"/>
      <c r="AL25" s="887"/>
      <c r="AM25" s="1557" t="s">
        <v>715</v>
      </c>
      <c r="AN25" s="1557"/>
      <c r="AO25" s="1557"/>
      <c r="AP25" s="1557"/>
      <c r="AQ25" s="1557"/>
      <c r="AR25" s="1557"/>
      <c r="AS25" s="888"/>
      <c r="AU25" s="2207"/>
      <c r="AV25" s="880" t="s">
        <v>717</v>
      </c>
      <c r="AW25" s="1017">
        <f>ROUNDDOWN(SUM(AB25,AD25,AF25,AH25),1)</f>
        <v>0</v>
      </c>
      <c r="AX25" s="1017">
        <f t="shared" si="1"/>
        <v>0</v>
      </c>
    </row>
    <row r="26" spans="3:59" ht="33" customHeight="1">
      <c r="C26" s="882"/>
      <c r="D26" s="1557" t="s">
        <v>718</v>
      </c>
      <c r="E26" s="1557"/>
      <c r="F26" s="1557"/>
      <c r="G26" s="1557"/>
      <c r="H26" s="1557"/>
      <c r="I26" s="1557"/>
      <c r="J26" s="883"/>
      <c r="K26" s="1263" t="s">
        <v>719</v>
      </c>
      <c r="L26" s="1263"/>
      <c r="M26" s="1263"/>
      <c r="N26" s="1263"/>
      <c r="O26" s="1263"/>
      <c r="P26" s="1263"/>
      <c r="Q26" s="1263"/>
      <c r="R26" s="1263"/>
      <c r="S26" s="1263"/>
      <c r="T26" s="1263"/>
      <c r="U26" s="1263"/>
      <c r="V26" s="1263"/>
      <c r="W26" s="1263"/>
      <c r="X26" s="1263"/>
      <c r="Y26" s="1263"/>
      <c r="Z26" s="1263"/>
      <c r="AA26" s="1264"/>
      <c r="AB26" s="1006"/>
      <c r="AC26" s="884"/>
      <c r="AD26" s="1010"/>
      <c r="AE26" s="884"/>
      <c r="AF26" s="1010"/>
      <c r="AG26" s="884"/>
      <c r="AH26" s="1010"/>
      <c r="AI26" s="885"/>
      <c r="AJ26" s="1015"/>
      <c r="AK26" s="886"/>
      <c r="AL26" s="887"/>
      <c r="AM26" s="1557" t="s">
        <v>718</v>
      </c>
      <c r="AN26" s="1557"/>
      <c r="AO26" s="1557"/>
      <c r="AP26" s="1557"/>
      <c r="AQ26" s="1557"/>
      <c r="AR26" s="1557"/>
      <c r="AS26" s="888"/>
      <c r="AU26" s="2207"/>
      <c r="AV26" s="880" t="s">
        <v>720</v>
      </c>
      <c r="AW26" s="1017">
        <f>ROUNDDOWN(SUM(AB26,AD26,AF26,AH26),1)</f>
        <v>0</v>
      </c>
      <c r="AX26" s="1017">
        <f t="shared" si="1"/>
        <v>0</v>
      </c>
    </row>
    <row r="27" spans="3:59" ht="33" customHeight="1">
      <c r="C27" s="882"/>
      <c r="D27" s="1557" t="s">
        <v>721</v>
      </c>
      <c r="E27" s="1557"/>
      <c r="F27" s="1557"/>
      <c r="G27" s="1557"/>
      <c r="H27" s="1557"/>
      <c r="I27" s="1557"/>
      <c r="J27" s="883"/>
      <c r="K27" s="1263" t="s">
        <v>722</v>
      </c>
      <c r="L27" s="1263"/>
      <c r="M27" s="1263"/>
      <c r="N27" s="1263"/>
      <c r="O27" s="1263"/>
      <c r="P27" s="1263"/>
      <c r="Q27" s="1263"/>
      <c r="R27" s="1263"/>
      <c r="S27" s="1263"/>
      <c r="T27" s="1263"/>
      <c r="U27" s="1263"/>
      <c r="V27" s="1263"/>
      <c r="W27" s="1263"/>
      <c r="X27" s="1263"/>
      <c r="Y27" s="1263"/>
      <c r="Z27" s="1263"/>
      <c r="AA27" s="1264"/>
      <c r="AB27" s="1006"/>
      <c r="AC27" s="884"/>
      <c r="AD27" s="1010"/>
      <c r="AE27" s="884"/>
      <c r="AF27" s="1010"/>
      <c r="AG27" s="884"/>
      <c r="AH27" s="1010"/>
      <c r="AI27" s="885"/>
      <c r="AJ27" s="1015"/>
      <c r="AK27" s="886"/>
      <c r="AL27" s="887"/>
      <c r="AM27" s="1557" t="s">
        <v>721</v>
      </c>
      <c r="AN27" s="1557"/>
      <c r="AO27" s="1557"/>
      <c r="AP27" s="1557"/>
      <c r="AQ27" s="1557"/>
      <c r="AR27" s="1557"/>
      <c r="AS27" s="888"/>
      <c r="AU27" s="2207"/>
      <c r="AV27" s="880" t="s">
        <v>723</v>
      </c>
      <c r="AW27" s="1017">
        <f>ROUNDDOWN(SUM(AB27,AD27,AF27,AH27),1)</f>
        <v>0</v>
      </c>
      <c r="AX27" s="1017">
        <f t="shared" si="1"/>
        <v>0</v>
      </c>
    </row>
    <row r="28" spans="3:59" ht="33" customHeight="1">
      <c r="C28" s="882"/>
      <c r="D28" s="1557" t="s">
        <v>724</v>
      </c>
      <c r="E28" s="1557"/>
      <c r="F28" s="1557"/>
      <c r="G28" s="1557"/>
      <c r="H28" s="1557"/>
      <c r="I28" s="1557"/>
      <c r="J28" s="883"/>
      <c r="K28" s="1263" t="s">
        <v>725</v>
      </c>
      <c r="L28" s="1263"/>
      <c r="M28" s="1263"/>
      <c r="N28" s="1263"/>
      <c r="O28" s="1263"/>
      <c r="P28" s="1263"/>
      <c r="Q28" s="1263"/>
      <c r="R28" s="1263"/>
      <c r="S28" s="1263"/>
      <c r="T28" s="1263"/>
      <c r="U28" s="1263"/>
      <c r="V28" s="1263"/>
      <c r="W28" s="1263"/>
      <c r="X28" s="1263"/>
      <c r="Y28" s="1263"/>
      <c r="Z28" s="1263"/>
      <c r="AA28" s="1264"/>
      <c r="AB28" s="1006"/>
      <c r="AC28" s="884"/>
      <c r="AD28" s="1010"/>
      <c r="AE28" s="884"/>
      <c r="AF28" s="1010"/>
      <c r="AG28" s="884"/>
      <c r="AH28" s="1010"/>
      <c r="AI28" s="885"/>
      <c r="AJ28" s="1015"/>
      <c r="AK28" s="886"/>
      <c r="AL28" s="887"/>
      <c r="AM28" s="1557" t="s">
        <v>724</v>
      </c>
      <c r="AN28" s="1557"/>
      <c r="AO28" s="1557"/>
      <c r="AP28" s="1557"/>
      <c r="AQ28" s="1557"/>
      <c r="AR28" s="1557"/>
      <c r="AS28" s="888"/>
      <c r="AU28" s="2207"/>
      <c r="AV28" s="880" t="s">
        <v>726</v>
      </c>
      <c r="AW28" s="1017">
        <f>ROUNDDOWN(SUM(AB28,AD28,AF28,AH28),1)</f>
        <v>0</v>
      </c>
      <c r="AX28" s="1017">
        <f t="shared" si="1"/>
        <v>0</v>
      </c>
    </row>
    <row r="29" spans="3:59" ht="33" hidden="1" customHeight="1">
      <c r="C29" s="882"/>
      <c r="D29" s="1557" t="s">
        <v>727</v>
      </c>
      <c r="E29" s="1557"/>
      <c r="F29" s="1557"/>
      <c r="G29" s="1557"/>
      <c r="H29" s="1557"/>
      <c r="I29" s="1557"/>
      <c r="J29" s="883"/>
      <c r="K29" s="1263" t="s">
        <v>727</v>
      </c>
      <c r="L29" s="1263"/>
      <c r="M29" s="1263"/>
      <c r="N29" s="1263"/>
      <c r="O29" s="1263"/>
      <c r="P29" s="1263"/>
      <c r="Q29" s="1263"/>
      <c r="R29" s="1263"/>
      <c r="S29" s="1263"/>
      <c r="T29" s="1263"/>
      <c r="U29" s="1263"/>
      <c r="V29" s="1263"/>
      <c r="W29" s="1263"/>
      <c r="X29" s="1263"/>
      <c r="Y29" s="1263"/>
      <c r="Z29" s="1263"/>
      <c r="AA29" s="1264"/>
      <c r="AB29" s="1006"/>
      <c r="AC29" s="884"/>
      <c r="AD29" s="1010"/>
      <c r="AE29" s="884"/>
      <c r="AF29" s="1010"/>
      <c r="AG29" s="884"/>
      <c r="AH29" s="1010"/>
      <c r="AI29" s="885"/>
      <c r="AJ29" s="1015"/>
      <c r="AK29" s="886"/>
      <c r="AL29" s="887"/>
      <c r="AM29" s="1557" t="s">
        <v>727</v>
      </c>
      <c r="AN29" s="1557"/>
      <c r="AO29" s="1557"/>
      <c r="AP29" s="1557"/>
      <c r="AQ29" s="1557"/>
      <c r="AR29" s="1557"/>
      <c r="AS29" s="888"/>
      <c r="AU29" s="2207"/>
      <c r="AV29" s="880" t="s">
        <v>728</v>
      </c>
      <c r="AW29" s="1017">
        <f>SUM(AB29,AD29,AF29,AH29)</f>
        <v>0</v>
      </c>
      <c r="AX29" s="1017">
        <f t="shared" si="1"/>
        <v>0</v>
      </c>
    </row>
    <row r="30" spans="3:59" ht="33" customHeight="1">
      <c r="C30" s="882"/>
      <c r="D30" s="1557" t="s">
        <v>729</v>
      </c>
      <c r="E30" s="1557"/>
      <c r="F30" s="1557"/>
      <c r="G30" s="1557"/>
      <c r="H30" s="1557"/>
      <c r="I30" s="1557"/>
      <c r="J30" s="883"/>
      <c r="K30" s="1263" t="s">
        <v>730</v>
      </c>
      <c r="L30" s="1263"/>
      <c r="M30" s="1263"/>
      <c r="N30" s="1263"/>
      <c r="O30" s="1263"/>
      <c r="P30" s="1263"/>
      <c r="Q30" s="1263"/>
      <c r="R30" s="1263"/>
      <c r="S30" s="1263"/>
      <c r="T30" s="1263"/>
      <c r="U30" s="1263"/>
      <c r="V30" s="1263"/>
      <c r="W30" s="1263"/>
      <c r="X30" s="1263"/>
      <c r="Y30" s="1263"/>
      <c r="Z30" s="1263"/>
      <c r="AA30" s="1264"/>
      <c r="AB30" s="1006"/>
      <c r="AC30" s="884"/>
      <c r="AD30" s="1010"/>
      <c r="AE30" s="884"/>
      <c r="AF30" s="1010"/>
      <c r="AG30" s="884"/>
      <c r="AH30" s="1010"/>
      <c r="AI30" s="885"/>
      <c r="AJ30" s="1015"/>
      <c r="AK30" s="886"/>
      <c r="AL30" s="887"/>
      <c r="AM30" s="1557" t="s">
        <v>731</v>
      </c>
      <c r="AN30" s="1557"/>
      <c r="AO30" s="1557"/>
      <c r="AP30" s="1557"/>
      <c r="AQ30" s="1557"/>
      <c r="AR30" s="1557"/>
      <c r="AS30" s="888"/>
      <c r="AU30" s="2207"/>
      <c r="AV30" s="880" t="s">
        <v>732</v>
      </c>
      <c r="AW30" s="1017">
        <f>ROUNDDOWN(SUM(AB30,AD30,AF30,AH30),1)</f>
        <v>0</v>
      </c>
      <c r="AX30" s="1017">
        <f t="shared" si="1"/>
        <v>0</v>
      </c>
    </row>
    <row r="31" spans="3:59" ht="33" customHeight="1" thickBot="1">
      <c r="C31" s="882"/>
      <c r="D31" s="1557" t="s">
        <v>733</v>
      </c>
      <c r="E31" s="1557"/>
      <c r="F31" s="1557"/>
      <c r="G31" s="1557"/>
      <c r="H31" s="1557"/>
      <c r="I31" s="1557"/>
      <c r="J31" s="883"/>
      <c r="K31" s="1263" t="s">
        <v>734</v>
      </c>
      <c r="L31" s="1263"/>
      <c r="M31" s="1263"/>
      <c r="N31" s="1263"/>
      <c r="O31" s="1263"/>
      <c r="P31" s="1263"/>
      <c r="Q31" s="1263"/>
      <c r="R31" s="1263"/>
      <c r="S31" s="1263"/>
      <c r="T31" s="1263"/>
      <c r="U31" s="1263"/>
      <c r="V31" s="1263"/>
      <c r="W31" s="1263"/>
      <c r="X31" s="1263"/>
      <c r="Y31" s="1263"/>
      <c r="Z31" s="1263"/>
      <c r="AA31" s="1264"/>
      <c r="AB31" s="1006"/>
      <c r="AC31" s="884"/>
      <c r="AD31" s="1010"/>
      <c r="AE31" s="884"/>
      <c r="AF31" s="1010"/>
      <c r="AG31" s="884"/>
      <c r="AH31" s="1010"/>
      <c r="AI31" s="885"/>
      <c r="AJ31" s="1016"/>
      <c r="AK31" s="890"/>
      <c r="AL31" s="887"/>
      <c r="AM31" s="1557" t="s">
        <v>733</v>
      </c>
      <c r="AN31" s="1557"/>
      <c r="AO31" s="1557"/>
      <c r="AP31" s="1557"/>
      <c r="AQ31" s="1557"/>
      <c r="AR31" s="1557"/>
      <c r="AS31" s="888"/>
      <c r="AU31" s="2207"/>
      <c r="AV31" s="880" t="s">
        <v>735</v>
      </c>
      <c r="AW31" s="1017">
        <f>ROUNDDOWN(SUM(AB31,AD31,AF31,AH31),1)</f>
        <v>0</v>
      </c>
      <c r="AX31" s="1017">
        <f t="shared" si="1"/>
        <v>0</v>
      </c>
    </row>
    <row r="32" spans="3:59" ht="33" customHeight="1" thickTop="1" thickBot="1">
      <c r="C32" s="891"/>
      <c r="D32" s="2194" t="s">
        <v>736</v>
      </c>
      <c r="E32" s="2194"/>
      <c r="F32" s="2194"/>
      <c r="G32" s="2194"/>
      <c r="H32" s="2194"/>
      <c r="I32" s="2194"/>
      <c r="J32" s="892"/>
      <c r="K32" s="2195" t="s">
        <v>737</v>
      </c>
      <c r="L32" s="2195"/>
      <c r="M32" s="2195"/>
      <c r="N32" s="2195"/>
      <c r="O32" s="2195"/>
      <c r="P32" s="2195"/>
      <c r="Q32" s="2195"/>
      <c r="R32" s="2195"/>
      <c r="S32" s="2195"/>
      <c r="T32" s="2195"/>
      <c r="U32" s="2195"/>
      <c r="V32" s="2195"/>
      <c r="W32" s="2195"/>
      <c r="X32" s="2195"/>
      <c r="Y32" s="2195"/>
      <c r="Z32" s="2195"/>
      <c r="AA32" s="2196"/>
      <c r="AB32" s="1007"/>
      <c r="AC32" s="893"/>
      <c r="AD32" s="1011"/>
      <c r="AE32" s="893"/>
      <c r="AF32" s="1011"/>
      <c r="AG32" s="893"/>
      <c r="AH32" s="1011"/>
      <c r="AI32" s="894"/>
      <c r="AJ32" s="895"/>
      <c r="AK32" s="896"/>
      <c r="AL32" s="891"/>
      <c r="AM32" s="2194" t="s">
        <v>736</v>
      </c>
      <c r="AN32" s="2194"/>
      <c r="AO32" s="2194"/>
      <c r="AP32" s="2194"/>
      <c r="AQ32" s="2194"/>
      <c r="AR32" s="2194"/>
      <c r="AS32" s="872"/>
      <c r="AU32" s="2208"/>
      <c r="AV32" s="880" t="s">
        <v>738</v>
      </c>
      <c r="AW32" s="1017">
        <f>ROUNDDOWN(SUM(AB32,AD32,AF32,AH32),1)</f>
        <v>0</v>
      </c>
      <c r="AX32" s="1018"/>
    </row>
    <row r="33" spans="1:58" s="177" customFormat="1" ht="30" customHeight="1" thickTop="1" thickBot="1">
      <c r="B33" s="2"/>
      <c r="C33" s="897"/>
      <c r="D33" s="2188" t="s">
        <v>739</v>
      </c>
      <c r="E33" s="2188"/>
      <c r="F33" s="2188"/>
      <c r="G33" s="2188"/>
      <c r="H33" s="2188"/>
      <c r="I33" s="2188"/>
      <c r="J33" s="898"/>
      <c r="K33" s="2189" t="s">
        <v>740</v>
      </c>
      <c r="L33" s="2189"/>
      <c r="M33" s="2189"/>
      <c r="N33" s="2189"/>
      <c r="O33" s="2189"/>
      <c r="P33" s="2189"/>
      <c r="Q33" s="2189"/>
      <c r="R33" s="2189"/>
      <c r="S33" s="2189"/>
      <c r="T33" s="2189"/>
      <c r="U33" s="2189"/>
      <c r="V33" s="2189"/>
      <c r="W33" s="2189"/>
      <c r="X33" s="2189"/>
      <c r="Y33" s="2189"/>
      <c r="Z33" s="2189"/>
      <c r="AA33" s="2190"/>
      <c r="AB33" s="1008"/>
      <c r="AC33" s="899"/>
      <c r="AD33" s="1012"/>
      <c r="AE33" s="899"/>
      <c r="AF33" s="1012"/>
      <c r="AG33" s="899"/>
      <c r="AH33" s="1012"/>
      <c r="AI33" s="900"/>
      <c r="AJ33" s="1013"/>
      <c r="AK33" s="901"/>
      <c r="AL33" s="902"/>
      <c r="AM33" s="2188" t="s">
        <v>739</v>
      </c>
      <c r="AN33" s="2188"/>
      <c r="AO33" s="2188"/>
      <c r="AP33" s="2188"/>
      <c r="AQ33" s="2188"/>
      <c r="AR33" s="2188"/>
      <c r="AS33" s="903"/>
      <c r="AU33" s="2191" t="s">
        <v>741</v>
      </c>
      <c r="AV33" s="2192"/>
      <c r="AW33" s="1017">
        <f>ROUNDDOWN(SUM(AB33,AD33,AF33,AH33),1)</f>
        <v>0</v>
      </c>
      <c r="AX33" s="1017">
        <f>AJ33</f>
        <v>0</v>
      </c>
      <c r="AY33" s="2"/>
      <c r="AZ33" s="39" t="s">
        <v>742</v>
      </c>
      <c r="BC33" s="2"/>
      <c r="BD33" s="2"/>
      <c r="BE33" s="2"/>
      <c r="BF33" s="2"/>
    </row>
    <row r="34" spans="1:58" s="177" customFormat="1" ht="30" customHeight="1" thickBot="1">
      <c r="B34" s="904"/>
      <c r="C34" s="904"/>
      <c r="D34" s="905"/>
      <c r="E34" s="905"/>
      <c r="F34" s="905"/>
      <c r="G34" s="905"/>
      <c r="H34" s="905"/>
      <c r="I34" s="905"/>
      <c r="J34" s="905"/>
      <c r="K34" s="905"/>
      <c r="L34" s="905"/>
      <c r="M34" s="905"/>
      <c r="N34" s="905"/>
      <c r="O34" s="905"/>
      <c r="P34" s="905"/>
      <c r="Q34" s="905"/>
      <c r="R34" s="905"/>
      <c r="S34" s="905"/>
      <c r="T34" s="905"/>
      <c r="U34" s="905"/>
      <c r="V34" s="905"/>
      <c r="W34" s="905"/>
      <c r="X34" s="905"/>
      <c r="Y34" s="905"/>
      <c r="Z34" s="905"/>
      <c r="AA34" s="905"/>
      <c r="AB34" s="905"/>
      <c r="AC34" s="905"/>
      <c r="AD34" s="905"/>
      <c r="AE34" s="905"/>
      <c r="AF34" s="905"/>
      <c r="AG34" s="905"/>
      <c r="AH34" s="905"/>
      <c r="AI34" s="905"/>
      <c r="AJ34" s="905"/>
      <c r="AK34" s="905"/>
      <c r="AL34" s="905"/>
      <c r="AM34" s="905"/>
      <c r="AN34" s="905"/>
      <c r="AO34" s="905"/>
      <c r="AP34" s="905"/>
      <c r="AQ34" s="905"/>
      <c r="AR34" s="905"/>
      <c r="AU34" s="2191" t="s">
        <v>743</v>
      </c>
      <c r="AV34" s="2192"/>
      <c r="AW34" s="1017">
        <f>SUBTOTAL(109,AW17:AW32)</f>
        <v>0</v>
      </c>
      <c r="AX34" s="1017">
        <f>SUBTOTAL(109,AX17:AX32)</f>
        <v>0</v>
      </c>
      <c r="AY34" s="2"/>
      <c r="AZ34" s="906" t="s">
        <v>744</v>
      </c>
      <c r="BC34" s="2"/>
      <c r="BD34" s="2"/>
      <c r="BE34" s="2"/>
      <c r="BF34" s="2"/>
    </row>
    <row r="35" spans="1:58" s="177" customFormat="1" ht="30" customHeight="1" thickTop="1" thickBot="1">
      <c r="AU35" s="2193" t="s">
        <v>745</v>
      </c>
      <c r="AV35" s="2191"/>
      <c r="AW35" s="1017">
        <f>SUM(AW33:AW34)</f>
        <v>0</v>
      </c>
      <c r="AX35" s="1017">
        <f>SUM(AX33:AX34)</f>
        <v>0</v>
      </c>
      <c r="AY35" s="2"/>
      <c r="AZ35" s="907"/>
      <c r="BC35" s="2"/>
      <c r="BD35" s="2"/>
      <c r="BE35" s="2"/>
      <c r="BF35" s="2"/>
    </row>
    <row r="36" spans="1:58" ht="14.25" customHeight="1" thickTop="1">
      <c r="A36" s="30"/>
      <c r="B36" s="106" t="s">
        <v>746</v>
      </c>
      <c r="C36" s="30"/>
      <c r="D36" s="30"/>
      <c r="F36" s="30"/>
      <c r="AB36" s="30"/>
      <c r="AC36" s="30"/>
      <c r="AD36" s="30"/>
      <c r="AE36" s="30"/>
      <c r="AF36" s="30"/>
      <c r="AG36" s="30"/>
      <c r="AH36" s="30"/>
      <c r="AI36" s="30"/>
      <c r="AJ36" s="30"/>
      <c r="AK36" s="30"/>
      <c r="AL36" s="30"/>
      <c r="AM36" s="30"/>
      <c r="AN36" s="30"/>
      <c r="AO36" s="30"/>
      <c r="AP36" s="30"/>
      <c r="AQ36" s="30"/>
      <c r="AR36" s="30"/>
      <c r="AS36" s="641"/>
      <c r="AT36" s="641"/>
      <c r="AX36" s="2"/>
      <c r="AY36" s="177"/>
      <c r="AZ36" s="177"/>
      <c r="BA36" s="177"/>
      <c r="BB36" s="177"/>
      <c r="BC36" s="177"/>
      <c r="BD36" s="177"/>
      <c r="BE36" s="177"/>
      <c r="BF36" s="177"/>
    </row>
    <row r="37" spans="1:58" ht="14.25" customHeight="1">
      <c r="B37" s="908"/>
      <c r="C37" s="51" t="s">
        <v>1429</v>
      </c>
      <c r="D37" s="30"/>
      <c r="F37" s="641"/>
      <c r="AB37" s="641"/>
      <c r="AC37" s="641"/>
      <c r="AD37" s="641"/>
      <c r="AE37" s="641"/>
      <c r="AF37" s="641"/>
      <c r="AG37" s="641"/>
      <c r="AH37" s="641"/>
      <c r="AI37" s="641"/>
      <c r="AJ37" s="641"/>
      <c r="AK37" s="641"/>
      <c r="AL37" s="641"/>
      <c r="AM37" s="641"/>
      <c r="AN37" s="641"/>
      <c r="AO37" s="641"/>
      <c r="AP37" s="641"/>
      <c r="AQ37" s="641"/>
      <c r="AR37" s="641"/>
      <c r="AS37" s="46"/>
      <c r="AT37" s="46"/>
      <c r="AX37" s="2"/>
      <c r="AY37" s="177"/>
      <c r="AZ37" s="177"/>
      <c r="BA37" s="177"/>
      <c r="BB37" s="177"/>
      <c r="BC37" s="177"/>
      <c r="BD37" s="177"/>
      <c r="BE37" s="177"/>
      <c r="BF37" s="177"/>
    </row>
    <row r="38" spans="1:58" ht="30" customHeight="1" thickBot="1">
      <c r="X38" s="909"/>
      <c r="AM38" s="46"/>
      <c r="AN38" s="46"/>
      <c r="AO38" s="46"/>
      <c r="AP38" s="46"/>
      <c r="AQ38" s="46"/>
      <c r="AR38" s="46"/>
      <c r="AU38" s="150" t="s">
        <v>747</v>
      </c>
      <c r="AX38" s="2"/>
      <c r="AY38" s="177"/>
      <c r="AZ38" s="177"/>
      <c r="BA38" s="177"/>
      <c r="BB38" s="177"/>
      <c r="BC38" s="177"/>
      <c r="BD38" s="177"/>
      <c r="BE38" s="177"/>
      <c r="BF38" s="177"/>
    </row>
    <row r="39" spans="1:58" ht="38.25" customHeight="1" thickBot="1">
      <c r="C39" s="2164" t="s">
        <v>55</v>
      </c>
      <c r="D39" s="2165"/>
      <c r="E39" s="2166"/>
      <c r="F39" s="1885" t="s">
        <v>748</v>
      </c>
      <c r="G39" s="2167"/>
      <c r="H39" s="2167"/>
      <c r="I39" s="2167"/>
      <c r="J39" s="2167"/>
      <c r="K39" s="2167"/>
      <c r="L39" s="2168"/>
      <c r="M39" s="1212" t="s">
        <v>1393</v>
      </c>
      <c r="N39" s="2167"/>
      <c r="O39" s="2167"/>
      <c r="P39" s="2169"/>
      <c r="AB39" s="910"/>
      <c r="AC39" s="911"/>
      <c r="AM39" s="213"/>
      <c r="AN39" s="213"/>
      <c r="AO39" s="213"/>
      <c r="AU39" s="2170"/>
      <c r="AV39" s="2170"/>
      <c r="AW39" s="2171" t="s">
        <v>749</v>
      </c>
      <c r="AX39" s="2172"/>
      <c r="AY39" s="2172"/>
      <c r="AZ39" s="2172"/>
      <c r="BA39" s="2173"/>
      <c r="BB39" s="2177" t="s">
        <v>750</v>
      </c>
    </row>
    <row r="40" spans="1:58" ht="30" customHeight="1" thickTop="1" thickBot="1">
      <c r="C40" s="2179" t="s">
        <v>684</v>
      </c>
      <c r="D40" s="1430"/>
      <c r="E40" s="2180"/>
      <c r="F40" s="2181"/>
      <c r="G40" s="2182"/>
      <c r="H40" s="2182"/>
      <c r="I40" s="2182"/>
      <c r="J40" s="2182"/>
      <c r="K40" s="2182"/>
      <c r="L40" s="2183"/>
      <c r="M40" s="2184"/>
      <c r="N40" s="2185"/>
      <c r="O40" s="2185"/>
      <c r="P40" s="2186"/>
      <c r="AB40" s="912"/>
      <c r="AC40" s="913"/>
      <c r="AN40" s="213"/>
      <c r="AO40" s="213"/>
      <c r="AU40" s="2170"/>
      <c r="AV40" s="2170"/>
      <c r="AW40" s="2174"/>
      <c r="AX40" s="2175"/>
      <c r="AY40" s="2175"/>
      <c r="AZ40" s="2175"/>
      <c r="BA40" s="2176"/>
      <c r="BB40" s="2178"/>
    </row>
    <row r="41" spans="1:58" ht="30" customHeight="1">
      <c r="AN41" s="622"/>
      <c r="AO41" s="622"/>
      <c r="AU41" s="2170"/>
      <c r="AV41" s="2170"/>
      <c r="AW41" s="1481" t="s">
        <v>751</v>
      </c>
      <c r="AX41" s="1481" t="s">
        <v>752</v>
      </c>
      <c r="AY41" s="1481" t="s">
        <v>753</v>
      </c>
      <c r="AZ41" s="1481" t="s">
        <v>754</v>
      </c>
      <c r="BA41" s="1481" t="s">
        <v>755</v>
      </c>
      <c r="BB41" s="2178"/>
    </row>
    <row r="42" spans="1:58" ht="30" customHeight="1">
      <c r="Y42" s="145"/>
      <c r="Z42" s="145"/>
      <c r="AA42" s="145"/>
      <c r="AC42" s="118"/>
      <c r="AD42" s="118"/>
      <c r="AE42" s="260"/>
      <c r="AF42" s="260"/>
      <c r="AG42" s="914"/>
      <c r="AH42" s="914"/>
      <c r="AI42" s="914"/>
      <c r="AJ42" s="118"/>
      <c r="AK42" s="118"/>
      <c r="AL42" s="118"/>
      <c r="AM42" s="915"/>
      <c r="AN42" s="915"/>
      <c r="AO42" s="622"/>
      <c r="AU42" s="2170"/>
      <c r="AV42" s="2170"/>
      <c r="AW42" s="2187"/>
      <c r="AX42" s="2187"/>
      <c r="AY42" s="2187"/>
      <c r="AZ42" s="2187"/>
      <c r="BA42" s="2187"/>
      <c r="BB42" s="2178"/>
    </row>
    <row r="43" spans="1:58" ht="30" customHeight="1">
      <c r="AU43" s="1541" t="s">
        <v>756</v>
      </c>
      <c r="AV43" s="916" t="s">
        <v>757</v>
      </c>
      <c r="AW43" s="816">
        <f>ROUNDDOWN(SUBTOTAL(109,AB17:AB32),1)</f>
        <v>0</v>
      </c>
      <c r="AX43" s="816">
        <f>ROUNDDOWN(SUBTOTAL(109,AD17:AD32),1)</f>
        <v>0</v>
      </c>
      <c r="AY43" s="816">
        <f>ROUNDDOWN(SUBTOTAL(109,AF17:AF32),1)</f>
        <v>0</v>
      </c>
      <c r="AZ43" s="816">
        <f>ROUNDDOWN(SUBTOTAL(109,AH17:AH32),1)</f>
        <v>0</v>
      </c>
      <c r="BA43" s="816">
        <f t="shared" ref="BA43:BA48" si="2">SUM(AW43:AZ43)</f>
        <v>0</v>
      </c>
      <c r="BB43" s="816">
        <f>AX34</f>
        <v>0</v>
      </c>
    </row>
    <row r="44" spans="1:58" ht="30" customHeight="1">
      <c r="AU44" s="1541"/>
      <c r="AV44" s="430" t="s">
        <v>758</v>
      </c>
      <c r="AW44" s="816">
        <f>ROUNDDOWN(SUM(AB33),1)</f>
        <v>0</v>
      </c>
      <c r="AX44" s="816">
        <f>ROUNDDOWN(SUM(AD33),1)</f>
        <v>0</v>
      </c>
      <c r="AY44" s="816">
        <f>ROUNDDOWN(SUM(AF33),1)</f>
        <v>0</v>
      </c>
      <c r="AZ44" s="816">
        <f>ROUNDDOWN(SUM(AH33),1)</f>
        <v>0</v>
      </c>
      <c r="BA44" s="816">
        <f>SUM(AW44:AZ44)</f>
        <v>0</v>
      </c>
      <c r="BB44" s="816">
        <f>AJ33</f>
        <v>0</v>
      </c>
    </row>
    <row r="45" spans="1:58" ht="30" customHeight="1">
      <c r="AU45" s="1541"/>
      <c r="AV45" s="430" t="s">
        <v>755</v>
      </c>
      <c r="AW45" s="816">
        <f>SUM(AW43:AW44)</f>
        <v>0</v>
      </c>
      <c r="AX45" s="816">
        <f>SUM(AX43:AX44)</f>
        <v>0</v>
      </c>
      <c r="AY45" s="816">
        <f>SUM(AY43:AY44)</f>
        <v>0</v>
      </c>
      <c r="AZ45" s="816">
        <f>SUM(AZ43:AZ44)</f>
        <v>0</v>
      </c>
      <c r="BA45" s="816">
        <f t="shared" si="2"/>
        <v>0</v>
      </c>
      <c r="BB45" s="816">
        <f>SUM(BB43:BB44)</f>
        <v>0</v>
      </c>
    </row>
    <row r="46" spans="1:58" ht="30" customHeight="1">
      <c r="AU46" s="1541" t="s">
        <v>759</v>
      </c>
      <c r="AV46" s="916" t="s">
        <v>757</v>
      </c>
      <c r="AW46" s="265">
        <f>ROUND(AW43*$AZ$35,)</f>
        <v>0</v>
      </c>
      <c r="AX46" s="265">
        <f>ROUND(AX43*$AZ$35*0.9,)</f>
        <v>0</v>
      </c>
      <c r="AY46" s="265">
        <f>ROUND(AY43*$AZ$35*0.8,)</f>
        <v>0</v>
      </c>
      <c r="AZ46" s="265">
        <f>ROUND(AZ43*$AZ$35*0.7,)</f>
        <v>0</v>
      </c>
      <c r="BA46" s="265">
        <f>ROUND(SUM(AW46:AZ46),0)</f>
        <v>0</v>
      </c>
      <c r="BB46" s="265" t="str">
        <f>IF($BB$45&gt;0,ROUND($F$40*$M$40%*BB43/$BB$45,),"")</f>
        <v/>
      </c>
    </row>
    <row r="47" spans="1:58" ht="30" customHeight="1">
      <c r="AU47" s="1541"/>
      <c r="AV47" s="430" t="s">
        <v>758</v>
      </c>
      <c r="AW47" s="265">
        <f>ROUND(AW44*$AZ$35,)</f>
        <v>0</v>
      </c>
      <c r="AX47" s="265">
        <f>ROUND(AX44*$AZ$35*0.9,)</f>
        <v>0</v>
      </c>
      <c r="AY47" s="265">
        <f>ROUND(AY44*$AZ$35*0.8,)</f>
        <v>0</v>
      </c>
      <c r="AZ47" s="265">
        <f>ROUND(AZ44*$AZ$35*0.7,)</f>
        <v>0</v>
      </c>
      <c r="BA47" s="265">
        <f>ROUND(SUM(AW47:AZ47),0)</f>
        <v>0</v>
      </c>
      <c r="BB47" s="265" t="str">
        <f>IF($BB$45&gt;0,ROUND($F$40*$M$40%*BB44/$BB$45,),"")</f>
        <v/>
      </c>
    </row>
    <row r="48" spans="1:58" ht="30" customHeight="1">
      <c r="AU48" s="1541"/>
      <c r="AV48" s="430" t="s">
        <v>755</v>
      </c>
      <c r="AW48" s="265">
        <f>ROUND(SUM(AW46:AW47),0)</f>
        <v>0</v>
      </c>
      <c r="AX48" s="265">
        <f>ROUND(SUM(AX46:AX47),0)</f>
        <v>0</v>
      </c>
      <c r="AY48" s="265">
        <f>ROUND(SUM(AY46:AY47),0)</f>
        <v>0</v>
      </c>
      <c r="AZ48" s="265">
        <f>ROUND(SUM(AZ46:AZ47),0)</f>
        <v>0</v>
      </c>
      <c r="BA48" s="265">
        <f t="shared" si="2"/>
        <v>0</v>
      </c>
      <c r="BB48" s="265">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F40:L40 AI17:AI33 AK17:AK31 AZ35 AC17:AC33 AE17:AE33 AG17:AG33 AK33" xr:uid="{00000000-0002-0000-1700-000000000000}">
      <formula1>0</formula1>
    </dataValidation>
    <dataValidation type="custom" allowBlank="1" showInputMessage="1" showErrorMessage="1" error="0.001~100の範囲で小数点第３位までの数値を入力してください。" sqref="M40:P40" xr:uid="{00000000-0002-0000-1700-000001000000}">
      <formula1>AND(AND(M40*1000=INT(M40*1000)),(M40&gt;0),(M40&lt;=100))</formula1>
    </dataValidation>
    <dataValidation type="custom" operator="greaterThan" allowBlank="1" showInputMessage="1" showErrorMessage="1" error="0より大きい小数点第１位までの数値を入力してください。" sqref="AB17:AB33 AD17:AD33 AF17:AF33 AJ17:AJ31 AH17:AH33 AJ33" xr:uid="{00000000-0002-0000-1700-000002000000}">
      <formula1>AND(AND(AB17*10=INT(AB17*10)),(AB17&gt;0))</formula1>
    </dataValidation>
  </dataValidations>
  <pageMargins left="0.59055118110236227" right="0.59055118110236227" top="0.59055118110236227" bottom="0.59055118110236227" header="0" footer="0.19685039370078741"/>
  <pageSetup paperSize="9" scale="51" fitToWidth="0" fitToHeight="0" orientation="landscape" cellComments="asDisplayed" r:id="rId1"/>
  <headerFooter alignWithMargins="0">
    <evenFooter>&amp;R&amp;G</evenFooter>
  </headerFooter>
  <colBreaks count="1" manualBreakCount="1">
    <brk id="45" max="1048575"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6" t="s">
        <v>376</v>
      </c>
    </row>
    <row r="3" spans="2:3" ht="18" customHeight="1">
      <c r="B3" s="2193" t="s">
        <v>760</v>
      </c>
      <c r="C3" s="2193"/>
    </row>
    <row r="4" spans="2:3" ht="18" customHeight="1" thickBot="1">
      <c r="B4" s="917" t="s">
        <v>761</v>
      </c>
      <c r="C4" s="917" t="s">
        <v>762</v>
      </c>
    </row>
    <row r="5" spans="2:3" ht="30.75" customHeight="1" thickTop="1">
      <c r="B5" s="918"/>
      <c r="C5" s="919"/>
    </row>
    <row r="6" spans="2:3" ht="30.75" customHeight="1">
      <c r="B6" s="920"/>
      <c r="C6" s="921"/>
    </row>
    <row r="7" spans="2:3" ht="30.75" customHeight="1">
      <c r="B7" s="920"/>
      <c r="C7" s="921"/>
    </row>
    <row r="8" spans="2:3" ht="30.75" customHeight="1">
      <c r="B8" s="920"/>
      <c r="C8" s="921"/>
    </row>
    <row r="9" spans="2:3" ht="30.75" customHeight="1">
      <c r="B9" s="920"/>
      <c r="C9" s="921"/>
    </row>
    <row r="10" spans="2:3" ht="30.75" customHeight="1">
      <c r="B10" s="920"/>
      <c r="C10" s="921"/>
    </row>
    <row r="11" spans="2:3" ht="30.75" customHeight="1">
      <c r="B11" s="920"/>
      <c r="C11" s="921"/>
    </row>
    <row r="12" spans="2:3" ht="30.75" customHeight="1">
      <c r="B12" s="920"/>
      <c r="C12" s="921"/>
    </row>
    <row r="13" spans="2:3" ht="30.75" customHeight="1">
      <c r="B13" s="920"/>
      <c r="C13" s="921"/>
    </row>
    <row r="14" spans="2:3" ht="30.75" customHeight="1" thickBot="1">
      <c r="B14" s="922"/>
      <c r="C14" s="923"/>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BY1" zoomScaleNormal="100" workbookViewId="0">
      <selection activeCell="CF7" sqref="CF7"/>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61" customWidth="1"/>
    <col min="20" max="20" width="30.625" style="961" customWidth="1"/>
    <col min="21" max="21" width="4.125" style="961" customWidth="1"/>
    <col min="22" max="22" width="30.625" style="961" customWidth="1"/>
    <col min="23" max="23" width="4.125" style="961" customWidth="1"/>
    <col min="24" max="24" width="30.625" style="961" customWidth="1"/>
    <col min="25" max="25" width="4.125" style="961" customWidth="1"/>
    <col min="26" max="26" width="30.625" style="961" customWidth="1"/>
    <col min="27" max="27" width="4.125" style="961" customWidth="1"/>
    <col min="28" max="28" width="30.625" style="961" customWidth="1"/>
    <col min="29" max="29" width="4.125" style="961" customWidth="1"/>
    <col min="30" max="30" width="30.625" style="961" customWidth="1"/>
    <col min="31" max="31" width="4.125" style="961" customWidth="1"/>
    <col min="32" max="32" width="30.625" style="961" customWidth="1"/>
    <col min="33" max="33" width="4.125" style="961" customWidth="1"/>
    <col min="34" max="34" width="30.625" style="961" customWidth="1"/>
    <col min="35" max="35" width="4.125" style="961" customWidth="1"/>
    <col min="36" max="36" width="30.625" style="961" customWidth="1"/>
    <col min="37" max="37" width="4.125" style="961" customWidth="1"/>
    <col min="38" max="38" width="30.625" style="961" customWidth="1"/>
    <col min="39" max="39" width="4.125" style="961" customWidth="1"/>
    <col min="40" max="40" width="30.625" style="961" customWidth="1"/>
    <col min="41" max="41" width="4.125" style="961" customWidth="1"/>
    <col min="42" max="42" width="30.625" style="961" customWidth="1"/>
    <col min="43" max="43" width="4.125" style="961" customWidth="1"/>
    <col min="44" max="44" width="4.375" style="961" customWidth="1"/>
    <col min="45" max="45" width="30.625" style="961" customWidth="1"/>
    <col min="46" max="46" width="4.125" style="961" customWidth="1"/>
    <col min="47" max="47" width="16.125" style="961" bestFit="1" customWidth="1"/>
    <col min="48" max="48" width="30.625" style="961" customWidth="1"/>
    <col min="49" max="49" width="4.125" style="961" customWidth="1"/>
    <col min="50" max="50" width="30.625" style="961" customWidth="1"/>
    <col min="51" max="51" width="4.125" style="961" customWidth="1"/>
    <col min="52" max="52" width="30.625" style="961" customWidth="1"/>
    <col min="53" max="53" width="4" style="968" customWidth="1"/>
    <col min="54" max="54" width="30.625" style="969" customWidth="1"/>
    <col min="55" max="55" width="4.125" style="961" customWidth="1"/>
    <col min="56" max="56" width="30.625" style="961" customWidth="1"/>
    <col min="57" max="57" width="4.125" style="961" customWidth="1"/>
    <col min="58" max="58" width="8.5" style="961" customWidth="1"/>
    <col min="59" max="59" width="30.625" style="961" customWidth="1"/>
    <col min="60" max="60" width="4.125" style="961" customWidth="1"/>
    <col min="61" max="61" width="30.625" style="961" customWidth="1"/>
    <col min="62" max="62" width="4.125" style="961" customWidth="1"/>
    <col min="63" max="63" width="30.625" style="961" customWidth="1"/>
    <col min="64" max="64" width="4.125" style="2" customWidth="1"/>
    <col min="65" max="65" width="30.625" style="961" customWidth="1"/>
    <col min="66" max="66" width="4.125" style="969" customWidth="1"/>
    <col min="67" max="67" width="30.625" style="969" customWidth="1"/>
    <col min="68" max="68" width="4.125" style="961" customWidth="1"/>
    <col min="69" max="69" width="30.625" style="969" customWidth="1"/>
    <col min="70" max="70" width="4.125" style="969" customWidth="1"/>
    <col min="71" max="71" width="30.625" style="969" customWidth="1"/>
    <col min="72" max="72" width="4.125" style="969" customWidth="1"/>
    <col min="73" max="73" width="30.625" style="969" customWidth="1"/>
    <col min="74" max="74" width="4.125" style="969" customWidth="1"/>
    <col min="75" max="75" width="30.625" style="969" customWidth="1"/>
    <col min="76" max="76" width="4.125" style="969" customWidth="1"/>
    <col min="77" max="77" width="30.625" style="969" customWidth="1"/>
    <col min="78" max="78" width="4.125" style="969" customWidth="1"/>
    <col min="79" max="79" width="30.625" style="969" customWidth="1"/>
    <col min="80" max="80" width="4.125" style="969" customWidth="1"/>
    <col min="81" max="81" width="30.625" style="969" customWidth="1"/>
    <col min="82" max="82" width="4.125" style="146" customWidth="1"/>
    <col min="83" max="83" width="27.125" style="1074" bestFit="1" customWidth="1"/>
    <col min="84" max="84" width="30.625" style="1074" customWidth="1"/>
    <col min="85" max="85" width="4.125" style="969" customWidth="1"/>
    <col min="86" max="86" width="30.625" style="961" customWidth="1"/>
    <col min="87" max="87" width="4.125" style="30" customWidth="1"/>
    <col min="88" max="88" width="30.625" style="961" customWidth="1"/>
    <col min="89" max="89" width="4" style="961" customWidth="1"/>
    <col min="90" max="90" width="30.625" style="969" customWidth="1"/>
    <col min="91" max="91" width="4.125" style="969" customWidth="1"/>
    <col min="92" max="92" width="30.625" style="961" customWidth="1"/>
    <col min="93" max="93" width="4.125" style="961" customWidth="1"/>
    <col min="94" max="94" width="30.625" style="961" customWidth="1"/>
    <col min="95" max="95" width="4" style="961" customWidth="1"/>
    <col min="96" max="96" width="30.625" style="961" customWidth="1"/>
    <col min="97" max="97" width="4" style="961"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61" bestFit="1" customWidth="1"/>
    <col min="107" max="107" width="6.375" style="961" bestFit="1" customWidth="1"/>
    <col min="108" max="108" width="9.375" style="961" bestFit="1" customWidth="1"/>
    <col min="109" max="109" width="9" style="961"/>
    <col min="110" max="110" width="16.375" style="1074" bestFit="1" customWidth="1"/>
    <col min="111" max="111" width="15" style="1074" customWidth="1"/>
    <col min="112" max="112" width="6.375" style="1074" bestFit="1" customWidth="1"/>
    <col min="113" max="113" width="9" style="1074"/>
    <col min="114" max="117" width="9" style="961"/>
    <col min="118" max="118" width="19.125" style="961" customWidth="1"/>
    <col min="119" max="16384" width="9" style="2"/>
  </cols>
  <sheetData>
    <row r="1" spans="1:118">
      <c r="A1" s="945" t="s">
        <v>763</v>
      </c>
      <c r="B1" s="945" t="s">
        <v>764</v>
      </c>
      <c r="C1" s="945"/>
      <c r="D1" s="945"/>
      <c r="F1" s="945" t="s">
        <v>764</v>
      </c>
      <c r="G1" s="945"/>
      <c r="H1" s="945" t="s">
        <v>764</v>
      </c>
      <c r="I1" s="945"/>
      <c r="J1" s="945" t="s">
        <v>764</v>
      </c>
      <c r="L1" s="945" t="s">
        <v>765</v>
      </c>
      <c r="M1" s="945"/>
      <c r="N1" s="945" t="s">
        <v>766</v>
      </c>
      <c r="O1" s="945"/>
      <c r="P1" s="945" t="s">
        <v>767</v>
      </c>
      <c r="R1" s="945" t="s">
        <v>768</v>
      </c>
      <c r="S1" s="945"/>
      <c r="T1" s="945" t="s">
        <v>768</v>
      </c>
      <c r="U1" s="945"/>
      <c r="V1" s="945" t="s">
        <v>769</v>
      </c>
      <c r="W1" s="945"/>
      <c r="X1" s="945" t="s">
        <v>768</v>
      </c>
      <c r="Y1" s="945"/>
      <c r="Z1" s="945" t="s">
        <v>768</v>
      </c>
      <c r="AA1" s="945"/>
      <c r="AB1" s="945" t="s">
        <v>768</v>
      </c>
      <c r="AC1" s="945"/>
      <c r="AD1" s="945" t="s">
        <v>768</v>
      </c>
      <c r="AE1" s="945"/>
      <c r="AF1" s="945" t="s">
        <v>768</v>
      </c>
      <c r="AG1" s="945"/>
      <c r="AH1" s="945" t="s">
        <v>768</v>
      </c>
      <c r="AI1" s="945"/>
      <c r="AJ1" s="945" t="s">
        <v>768</v>
      </c>
      <c r="AK1" s="945"/>
      <c r="AL1" s="945" t="s">
        <v>768</v>
      </c>
      <c r="AM1" s="945"/>
      <c r="AN1" s="945" t="s">
        <v>768</v>
      </c>
      <c r="AO1" s="945"/>
      <c r="AP1" s="945" t="s">
        <v>768</v>
      </c>
      <c r="AQ1" s="945"/>
      <c r="AR1" s="2248" t="s">
        <v>770</v>
      </c>
      <c r="AS1" s="2248"/>
      <c r="AT1" s="945"/>
      <c r="AU1" s="2248" t="s">
        <v>771</v>
      </c>
      <c r="AV1" s="2248"/>
      <c r="AW1" s="945"/>
      <c r="AX1" s="2248" t="s">
        <v>772</v>
      </c>
      <c r="AY1" s="2248"/>
      <c r="AZ1" s="2248" t="s">
        <v>773</v>
      </c>
      <c r="BA1" s="2248"/>
      <c r="BB1" s="946" t="s">
        <v>774</v>
      </c>
      <c r="BC1" s="945"/>
      <c r="BD1" s="945" t="s">
        <v>775</v>
      </c>
      <c r="BE1" s="945"/>
      <c r="BF1" s="2248" t="s">
        <v>776</v>
      </c>
      <c r="BG1" s="2248"/>
      <c r="BH1" s="945"/>
      <c r="BI1" s="945" t="s">
        <v>777</v>
      </c>
      <c r="BJ1" s="945"/>
      <c r="BK1" s="945" t="s">
        <v>778</v>
      </c>
      <c r="BM1" s="945" t="s">
        <v>779</v>
      </c>
      <c r="BN1" s="946"/>
      <c r="BO1" s="945" t="s">
        <v>779</v>
      </c>
      <c r="BP1" s="945"/>
      <c r="BQ1" s="945" t="s">
        <v>781</v>
      </c>
      <c r="BR1" s="946"/>
      <c r="BS1" s="945" t="s">
        <v>780</v>
      </c>
      <c r="BT1" s="946"/>
      <c r="BU1" s="945" t="s">
        <v>780</v>
      </c>
      <c r="BV1" s="946"/>
      <c r="BW1" s="945" t="s">
        <v>780</v>
      </c>
      <c r="BX1" s="946"/>
      <c r="BY1" s="945" t="s">
        <v>782</v>
      </c>
      <c r="BZ1" s="946"/>
      <c r="CA1" s="945" t="s">
        <v>783</v>
      </c>
      <c r="CB1" s="946"/>
      <c r="CC1" s="945" t="s">
        <v>779</v>
      </c>
      <c r="CD1" s="644"/>
      <c r="CE1" s="2247" t="s">
        <v>784</v>
      </c>
      <c r="CF1" s="2247"/>
      <c r="CG1" s="946"/>
      <c r="CH1" s="945" t="s">
        <v>779</v>
      </c>
      <c r="CI1" s="642"/>
      <c r="CJ1" s="945" t="s">
        <v>783</v>
      </c>
      <c r="CK1" s="945"/>
      <c r="CL1" s="946" t="s">
        <v>785</v>
      </c>
      <c r="CM1" s="946"/>
      <c r="CN1" s="945" t="s">
        <v>786</v>
      </c>
      <c r="CO1" s="945"/>
      <c r="CP1" s="945" t="s">
        <v>787</v>
      </c>
      <c r="CQ1" s="945"/>
      <c r="CR1" s="945" t="s">
        <v>788</v>
      </c>
      <c r="CS1" s="945"/>
      <c r="CT1" s="945" t="s">
        <v>789</v>
      </c>
      <c r="CU1" s="242"/>
      <c r="CV1" s="642" t="s">
        <v>790</v>
      </c>
      <c r="CW1" s="642"/>
      <c r="CX1" s="947"/>
      <c r="CY1" s="642"/>
      <c r="CZ1" s="242"/>
      <c r="DA1" s="642" t="s">
        <v>790</v>
      </c>
      <c r="DB1" s="242"/>
      <c r="DC1" s="242"/>
      <c r="DD1" s="242"/>
      <c r="DE1" s="945"/>
      <c r="DF1" s="642" t="s">
        <v>790</v>
      </c>
      <c r="DG1" s="1064"/>
      <c r="DH1" s="1064"/>
      <c r="DI1" s="1064"/>
      <c r="DJ1" s="945"/>
      <c r="DK1" s="945" t="s">
        <v>791</v>
      </c>
      <c r="DL1" s="945"/>
      <c r="DM1" s="945"/>
      <c r="DN1" s="945" t="s">
        <v>792</v>
      </c>
    </row>
    <row r="2" spans="1:118">
      <c r="A2" s="945" t="s">
        <v>793</v>
      </c>
      <c r="B2" s="945"/>
      <c r="C2" s="945"/>
      <c r="D2" s="945"/>
      <c r="F2" s="945"/>
      <c r="G2" s="945"/>
      <c r="H2" s="945"/>
      <c r="I2" s="945"/>
      <c r="J2" s="945"/>
      <c r="L2" s="945" t="s">
        <v>794</v>
      </c>
      <c r="M2" s="945"/>
      <c r="N2" s="945" t="s">
        <v>795</v>
      </c>
      <c r="O2" s="945"/>
      <c r="P2" s="945" t="s">
        <v>796</v>
      </c>
      <c r="R2" s="945" t="s">
        <v>797</v>
      </c>
      <c r="S2" s="945"/>
      <c r="T2" s="945" t="s">
        <v>797</v>
      </c>
      <c r="U2" s="945"/>
      <c r="V2" s="945" t="s">
        <v>797</v>
      </c>
      <c r="W2" s="945"/>
      <c r="X2" s="945" t="s">
        <v>797</v>
      </c>
      <c r="Y2" s="945"/>
      <c r="Z2" s="945" t="s">
        <v>797</v>
      </c>
      <c r="AA2" s="945"/>
      <c r="AB2" s="945" t="s">
        <v>797</v>
      </c>
      <c r="AC2" s="945"/>
      <c r="AD2" s="945" t="s">
        <v>797</v>
      </c>
      <c r="AE2" s="945"/>
      <c r="AF2" s="945" t="s">
        <v>797</v>
      </c>
      <c r="AG2" s="945"/>
      <c r="AH2" s="945" t="s">
        <v>797</v>
      </c>
      <c r="AI2" s="945"/>
      <c r="AJ2" s="945" t="s">
        <v>797</v>
      </c>
      <c r="AK2" s="945"/>
      <c r="AL2" s="945" t="s">
        <v>797</v>
      </c>
      <c r="AM2" s="945"/>
      <c r="AN2" s="945" t="s">
        <v>797</v>
      </c>
      <c r="AO2" s="945"/>
      <c r="AP2" s="945" t="s">
        <v>797</v>
      </c>
      <c r="AQ2" s="945"/>
      <c r="AR2" s="2248" t="s">
        <v>478</v>
      </c>
      <c r="AS2" s="2248"/>
      <c r="AT2" s="945"/>
      <c r="AU2" s="2248" t="s">
        <v>478</v>
      </c>
      <c r="AV2" s="2248"/>
      <c r="AW2" s="945"/>
      <c r="AX2" s="945" t="s">
        <v>478</v>
      </c>
      <c r="AY2" s="945"/>
      <c r="AZ2" s="945" t="s">
        <v>478</v>
      </c>
      <c r="BA2" s="948"/>
      <c r="BB2" s="946"/>
      <c r="BC2" s="945"/>
      <c r="BD2" s="945" t="s">
        <v>532</v>
      </c>
      <c r="BE2" s="945"/>
      <c r="BF2" s="2248" t="s">
        <v>532</v>
      </c>
      <c r="BG2" s="2248"/>
      <c r="BH2" s="945"/>
      <c r="BI2" s="945" t="s">
        <v>532</v>
      </c>
      <c r="BJ2" s="945"/>
      <c r="BK2" s="945" t="s">
        <v>532</v>
      </c>
      <c r="BM2" s="945" t="s">
        <v>555</v>
      </c>
      <c r="BN2" s="946"/>
      <c r="BO2" s="946" t="s">
        <v>555</v>
      </c>
      <c r="BP2" s="945"/>
      <c r="BQ2" s="946" t="s">
        <v>555</v>
      </c>
      <c r="BR2" s="946"/>
      <c r="BS2" s="946" t="s">
        <v>555</v>
      </c>
      <c r="BT2" s="946"/>
      <c r="BU2" s="946" t="s">
        <v>555</v>
      </c>
      <c r="BV2" s="946"/>
      <c r="BW2" s="946" t="s">
        <v>555</v>
      </c>
      <c r="BX2" s="946"/>
      <c r="BY2" s="946" t="s">
        <v>555</v>
      </c>
      <c r="BZ2" s="946"/>
      <c r="CA2" s="946" t="s">
        <v>555</v>
      </c>
      <c r="CB2" s="946"/>
      <c r="CC2" s="946" t="s">
        <v>555</v>
      </c>
      <c r="CD2" s="644"/>
      <c r="CE2" s="2247" t="s">
        <v>555</v>
      </c>
      <c r="CF2" s="2247"/>
      <c r="CG2" s="946"/>
      <c r="CH2" s="945" t="s">
        <v>555</v>
      </c>
      <c r="CI2" s="642"/>
      <c r="CJ2" s="945" t="s">
        <v>555</v>
      </c>
      <c r="CK2" s="945"/>
      <c r="CL2" s="946" t="s">
        <v>798</v>
      </c>
      <c r="CM2" s="946"/>
      <c r="CN2" s="945" t="s">
        <v>670</v>
      </c>
      <c r="CO2" s="945"/>
      <c r="CP2" s="945" t="s">
        <v>670</v>
      </c>
      <c r="CQ2" s="945"/>
      <c r="CR2" s="945" t="s">
        <v>799</v>
      </c>
      <c r="CS2" s="945"/>
      <c r="CT2" s="945" t="s">
        <v>799</v>
      </c>
      <c r="CU2" s="242"/>
      <c r="CV2" s="642" t="s">
        <v>530</v>
      </c>
      <c r="CW2" s="642"/>
      <c r="CX2" s="947"/>
      <c r="CY2" s="642"/>
      <c r="CZ2" s="242"/>
      <c r="DA2" s="642" t="s">
        <v>800</v>
      </c>
      <c r="DB2" s="242"/>
      <c r="DC2" s="242"/>
      <c r="DD2" s="242"/>
      <c r="DE2" s="945"/>
      <c r="DF2" s="642" t="s">
        <v>801</v>
      </c>
      <c r="DG2" s="1064"/>
      <c r="DH2" s="1064"/>
      <c r="DI2" s="1064"/>
      <c r="DJ2" s="945"/>
      <c r="DK2" s="945"/>
      <c r="DL2" s="945"/>
      <c r="DM2" s="945"/>
      <c r="DN2" s="945"/>
    </row>
    <row r="3" spans="1:118">
      <c r="A3" s="945"/>
      <c r="B3" s="945"/>
      <c r="C3" s="945"/>
      <c r="D3" s="945"/>
      <c r="F3" s="945"/>
      <c r="G3" s="945"/>
      <c r="H3" s="945"/>
      <c r="I3" s="945"/>
      <c r="J3" s="945"/>
      <c r="L3" s="945" t="s">
        <v>802</v>
      </c>
      <c r="M3" s="945"/>
      <c r="N3" s="945" t="s">
        <v>802</v>
      </c>
      <c r="O3" s="945"/>
      <c r="P3" s="945" t="s">
        <v>803</v>
      </c>
      <c r="R3" s="945" t="s">
        <v>804</v>
      </c>
      <c r="S3" s="945"/>
      <c r="T3" s="945" t="s">
        <v>805</v>
      </c>
      <c r="U3" s="945"/>
      <c r="V3" s="945" t="s">
        <v>806</v>
      </c>
      <c r="W3" s="945"/>
      <c r="X3" s="945" t="s">
        <v>806</v>
      </c>
      <c r="Y3" s="945"/>
      <c r="Z3" s="945" t="s">
        <v>806</v>
      </c>
      <c r="AA3" s="945"/>
      <c r="AB3" s="945" t="s">
        <v>806</v>
      </c>
      <c r="AC3" s="945"/>
      <c r="AD3" s="945" t="s">
        <v>806</v>
      </c>
      <c r="AE3" s="945"/>
      <c r="AF3" s="945" t="s">
        <v>806</v>
      </c>
      <c r="AG3" s="945"/>
      <c r="AH3" s="945" t="s">
        <v>806</v>
      </c>
      <c r="AI3" s="945"/>
      <c r="AJ3" s="945" t="s">
        <v>806</v>
      </c>
      <c r="AK3" s="945"/>
      <c r="AL3" s="945" t="s">
        <v>806</v>
      </c>
      <c r="AM3" s="945"/>
      <c r="AN3" s="945" t="s">
        <v>806</v>
      </c>
      <c r="AO3" s="945"/>
      <c r="AP3" s="945" t="s">
        <v>806</v>
      </c>
      <c r="AQ3" s="945"/>
      <c r="AR3" s="945"/>
      <c r="AS3" s="945"/>
      <c r="AT3" s="945"/>
      <c r="AU3" s="945"/>
      <c r="AV3" s="945"/>
      <c r="AW3" s="945"/>
      <c r="AX3" s="945"/>
      <c r="AY3" s="945"/>
      <c r="AZ3" s="945"/>
      <c r="BA3" s="948"/>
      <c r="BB3" s="946"/>
      <c r="BC3" s="945"/>
      <c r="BD3" s="945"/>
      <c r="BE3" s="945"/>
      <c r="BF3" s="945"/>
      <c r="BG3" s="945"/>
      <c r="BH3" s="945"/>
      <c r="BI3" s="945"/>
      <c r="BJ3" s="945"/>
      <c r="BK3" s="945"/>
      <c r="BM3" s="945"/>
      <c r="BN3" s="946"/>
      <c r="BO3" s="946"/>
      <c r="BP3" s="945"/>
      <c r="BQ3" s="946"/>
      <c r="BR3" s="946"/>
      <c r="BS3" s="946"/>
      <c r="BT3" s="946"/>
      <c r="BU3" s="946"/>
      <c r="BV3" s="946"/>
      <c r="BW3" s="946"/>
      <c r="BX3" s="946"/>
      <c r="BY3" s="946"/>
      <c r="BZ3" s="946"/>
      <c r="CA3" s="946"/>
      <c r="CB3" s="946"/>
      <c r="CC3" s="946"/>
      <c r="CD3" s="644"/>
      <c r="CE3" s="1064"/>
      <c r="CF3" s="1064"/>
      <c r="CG3" s="946"/>
      <c r="CH3" s="945"/>
      <c r="CI3" s="642"/>
      <c r="CJ3" s="945"/>
      <c r="CK3" s="945"/>
      <c r="CL3" s="946"/>
      <c r="CM3" s="946"/>
      <c r="CN3" s="945" t="s">
        <v>807</v>
      </c>
      <c r="CO3" s="945"/>
      <c r="CP3" s="945" t="s">
        <v>807</v>
      </c>
      <c r="CQ3" s="945"/>
      <c r="CR3" s="945" t="s">
        <v>808</v>
      </c>
      <c r="CS3" s="945"/>
      <c r="CT3" s="945" t="s">
        <v>809</v>
      </c>
      <c r="CU3" s="242"/>
      <c r="CV3" s="242"/>
      <c r="CW3" s="642"/>
      <c r="CX3" s="949"/>
      <c r="CY3" s="242"/>
      <c r="CZ3" s="242"/>
      <c r="DA3" s="242"/>
      <c r="DB3" s="242"/>
      <c r="DC3" s="242"/>
      <c r="DD3" s="242"/>
      <c r="DE3" s="945"/>
      <c r="DF3" s="1064"/>
      <c r="DG3" s="1064"/>
      <c r="DH3" s="1064"/>
      <c r="DI3" s="1064"/>
      <c r="DJ3" s="945"/>
      <c r="DK3" s="945"/>
      <c r="DL3" s="945"/>
      <c r="DM3" s="945"/>
      <c r="DN3" s="945"/>
    </row>
    <row r="4" spans="1:118" ht="27" customHeight="1">
      <c r="A4" s="950" t="s">
        <v>810</v>
      </c>
      <c r="B4" s="951" t="s">
        <v>10</v>
      </c>
      <c r="C4" s="952" t="s">
        <v>811</v>
      </c>
      <c r="D4" s="952" t="s">
        <v>812</v>
      </c>
      <c r="F4" s="951" t="s">
        <v>13</v>
      </c>
      <c r="G4" s="950"/>
      <c r="H4" s="951" t="s">
        <v>17</v>
      </c>
      <c r="I4" s="950"/>
      <c r="J4" s="951" t="s">
        <v>18</v>
      </c>
      <c r="L4" s="951" t="s">
        <v>813</v>
      </c>
      <c r="M4" s="950"/>
      <c r="N4" s="951" t="s">
        <v>814</v>
      </c>
      <c r="O4" s="950"/>
      <c r="P4" s="951" t="s">
        <v>815</v>
      </c>
      <c r="R4" s="951" t="s">
        <v>816</v>
      </c>
      <c r="S4" s="953"/>
      <c r="T4" s="951" t="s">
        <v>817</v>
      </c>
      <c r="U4" s="953"/>
      <c r="V4" s="951" t="s">
        <v>818</v>
      </c>
      <c r="W4" s="953"/>
      <c r="X4" s="951" t="s">
        <v>819</v>
      </c>
      <c r="Y4" s="953"/>
      <c r="Z4" s="951" t="s">
        <v>820</v>
      </c>
      <c r="AA4" s="953"/>
      <c r="AB4" s="951" t="s">
        <v>821</v>
      </c>
      <c r="AC4" s="953"/>
      <c r="AD4" s="951" t="s">
        <v>822</v>
      </c>
      <c r="AE4" s="953"/>
      <c r="AF4" s="951" t="s">
        <v>823</v>
      </c>
      <c r="AG4" s="953"/>
      <c r="AH4" s="951" t="s">
        <v>824</v>
      </c>
      <c r="AI4" s="953"/>
      <c r="AJ4" s="951" t="s">
        <v>825</v>
      </c>
      <c r="AK4" s="953"/>
      <c r="AL4" s="951" t="s">
        <v>826</v>
      </c>
      <c r="AM4" s="953"/>
      <c r="AN4" s="951" t="s">
        <v>827</v>
      </c>
      <c r="AO4" s="953"/>
      <c r="AP4" s="951" t="s">
        <v>828</v>
      </c>
      <c r="AQ4" s="953"/>
      <c r="AR4" s="2249" t="s">
        <v>829</v>
      </c>
      <c r="AS4" s="2249"/>
      <c r="AT4" s="953"/>
      <c r="AU4" s="2249" t="s">
        <v>1283</v>
      </c>
      <c r="AV4" s="2249"/>
      <c r="AW4" s="953"/>
      <c r="AX4" s="951" t="s">
        <v>830</v>
      </c>
      <c r="AY4" s="953"/>
      <c r="AZ4" s="951" t="s">
        <v>524</v>
      </c>
      <c r="BA4" s="954"/>
      <c r="BB4" s="955" t="s">
        <v>499</v>
      </c>
      <c r="BC4" s="953"/>
      <c r="BD4" s="951" t="s">
        <v>490</v>
      </c>
      <c r="BE4" s="45"/>
      <c r="BF4" s="2249" t="s">
        <v>831</v>
      </c>
      <c r="BG4" s="2249"/>
      <c r="BH4" s="953"/>
      <c r="BI4" s="951" t="s">
        <v>832</v>
      </c>
      <c r="BJ4" s="953"/>
      <c r="BK4" s="951" t="s">
        <v>524</v>
      </c>
      <c r="BM4" s="951" t="s">
        <v>833</v>
      </c>
      <c r="BN4" s="956"/>
      <c r="BO4" s="955" t="s">
        <v>834</v>
      </c>
      <c r="BP4" s="281"/>
      <c r="BQ4" s="955" t="s">
        <v>835</v>
      </c>
      <c r="BR4" s="281"/>
      <c r="BS4" s="955" t="s">
        <v>836</v>
      </c>
      <c r="BT4" s="281"/>
      <c r="BU4" s="955" t="s">
        <v>837</v>
      </c>
      <c r="BV4" s="281"/>
      <c r="BW4" s="955" t="s">
        <v>838</v>
      </c>
      <c r="BX4" s="281"/>
      <c r="BY4" s="955" t="s">
        <v>839</v>
      </c>
      <c r="BZ4" s="281"/>
      <c r="CA4" s="955" t="s">
        <v>840</v>
      </c>
      <c r="CB4" s="281"/>
      <c r="CC4" s="955" t="s">
        <v>841</v>
      </c>
      <c r="CD4" s="281"/>
      <c r="CE4" s="2250" t="s">
        <v>842</v>
      </c>
      <c r="CF4" s="2250"/>
      <c r="CG4" s="281"/>
      <c r="CH4" s="951" t="s">
        <v>832</v>
      </c>
      <c r="CI4" s="20"/>
      <c r="CJ4" s="951" t="s">
        <v>524</v>
      </c>
      <c r="CK4" s="953"/>
      <c r="CL4" s="955" t="s">
        <v>843</v>
      </c>
      <c r="CM4" s="956"/>
      <c r="CN4" s="951" t="s">
        <v>844</v>
      </c>
      <c r="CO4" s="953"/>
      <c r="CP4" s="951" t="s">
        <v>845</v>
      </c>
      <c r="CQ4" s="953"/>
      <c r="CR4" s="951" t="s">
        <v>846</v>
      </c>
      <c r="CS4" s="953"/>
      <c r="CT4" s="951" t="s">
        <v>847</v>
      </c>
      <c r="CU4" s="34"/>
      <c r="CV4" s="957"/>
      <c r="CW4" s="957"/>
      <c r="CX4" s="958" t="s">
        <v>168</v>
      </c>
      <c r="CY4" s="959" t="s">
        <v>790</v>
      </c>
      <c r="CZ4" s="34"/>
      <c r="DA4" s="2251"/>
      <c r="DB4" s="2251"/>
      <c r="DC4" s="959" t="s">
        <v>848</v>
      </c>
      <c r="DD4" s="959" t="s">
        <v>790</v>
      </c>
      <c r="DE4" s="953"/>
      <c r="DF4" s="2241"/>
      <c r="DG4" s="2241"/>
      <c r="DH4" s="959" t="s">
        <v>168</v>
      </c>
      <c r="DI4" s="959" t="s">
        <v>790</v>
      </c>
      <c r="DJ4" s="953"/>
      <c r="DK4" s="960" t="s">
        <v>849</v>
      </c>
      <c r="DL4" s="960" t="s">
        <v>850</v>
      </c>
      <c r="DM4" s="953"/>
      <c r="DN4" s="951" t="s">
        <v>851</v>
      </c>
    </row>
    <row r="5" spans="1:118" ht="27" customHeight="1">
      <c r="A5" s="961"/>
      <c r="B5" s="962" t="s">
        <v>852</v>
      </c>
      <c r="C5" s="963">
        <v>60</v>
      </c>
      <c r="D5" s="964" t="s">
        <v>853</v>
      </c>
      <c r="F5" s="965" t="s">
        <v>854</v>
      </c>
      <c r="G5" s="961"/>
      <c r="H5" s="965" t="s">
        <v>855</v>
      </c>
      <c r="I5" s="961"/>
      <c r="J5" s="965" t="s">
        <v>856</v>
      </c>
      <c r="L5" s="965" t="s">
        <v>857</v>
      </c>
      <c r="M5" s="961"/>
      <c r="N5" s="965" t="s">
        <v>858</v>
      </c>
      <c r="O5" s="961"/>
      <c r="P5" s="965" t="s">
        <v>858</v>
      </c>
      <c r="R5" s="965" t="s">
        <v>859</v>
      </c>
      <c r="T5" s="965" t="s">
        <v>860</v>
      </c>
      <c r="V5" s="965" t="s">
        <v>861</v>
      </c>
      <c r="X5" s="965" t="s">
        <v>862</v>
      </c>
      <c r="Z5" s="965" t="s">
        <v>863</v>
      </c>
      <c r="AB5" s="965" t="s">
        <v>864</v>
      </c>
      <c r="AD5" s="966" t="s">
        <v>865</v>
      </c>
      <c r="AF5" s="966" t="s">
        <v>866</v>
      </c>
      <c r="AH5" s="966" t="s">
        <v>867</v>
      </c>
      <c r="AJ5" s="966" t="s">
        <v>868</v>
      </c>
      <c r="AL5" s="967" t="s">
        <v>869</v>
      </c>
      <c r="AN5" s="966" t="s">
        <v>870</v>
      </c>
      <c r="AP5" s="966" t="s">
        <v>871</v>
      </c>
      <c r="AR5" s="2242" t="s">
        <v>872</v>
      </c>
      <c r="AS5" s="965" t="s">
        <v>873</v>
      </c>
      <c r="AU5" s="2231" t="s">
        <v>874</v>
      </c>
      <c r="AV5" s="965" t="s">
        <v>875</v>
      </c>
      <c r="AX5" s="925" t="s">
        <v>876</v>
      </c>
      <c r="AZ5" s="925" t="s">
        <v>877</v>
      </c>
      <c r="BB5" s="966" t="s">
        <v>878</v>
      </c>
      <c r="BD5" s="925" t="s">
        <v>879</v>
      </c>
      <c r="BF5" s="2243" t="s">
        <v>880</v>
      </c>
      <c r="BG5" s="924" t="s">
        <v>881</v>
      </c>
      <c r="BI5" s="925" t="s">
        <v>882</v>
      </c>
      <c r="BK5" s="925" t="s">
        <v>883</v>
      </c>
      <c r="BM5" s="925" t="s">
        <v>884</v>
      </c>
      <c r="BO5" s="970" t="s">
        <v>885</v>
      </c>
      <c r="BQ5" s="970" t="s">
        <v>885</v>
      </c>
      <c r="BS5" s="970" t="s">
        <v>885</v>
      </c>
      <c r="BU5" s="970" t="s">
        <v>885</v>
      </c>
      <c r="BW5" s="970" t="s">
        <v>885</v>
      </c>
      <c r="BY5" s="970" t="s">
        <v>885</v>
      </c>
      <c r="CA5" s="970" t="s">
        <v>885</v>
      </c>
      <c r="CC5" s="970" t="s">
        <v>885</v>
      </c>
      <c r="CE5" s="2236" t="s">
        <v>886</v>
      </c>
      <c r="CF5" s="1065" t="s">
        <v>887</v>
      </c>
      <c r="CH5" s="925" t="s">
        <v>882</v>
      </c>
      <c r="CJ5" s="925" t="s">
        <v>883</v>
      </c>
      <c r="CL5" s="970" t="s">
        <v>888</v>
      </c>
      <c r="CN5" s="925" t="s">
        <v>889</v>
      </c>
      <c r="CO5" s="929"/>
      <c r="CP5" s="925" t="s">
        <v>890</v>
      </c>
      <c r="CR5" s="925" t="s">
        <v>891</v>
      </c>
      <c r="CT5" s="925" t="s">
        <v>892</v>
      </c>
      <c r="CV5" s="971" t="s">
        <v>893</v>
      </c>
      <c r="CW5" s="942" t="s">
        <v>894</v>
      </c>
      <c r="CX5" s="814" t="str">
        <f>LEFT(CV5,3)&amp;MID(CW5,2,2)</f>
        <v>[011]</v>
      </c>
      <c r="CY5" s="944">
        <v>22</v>
      </c>
      <c r="DA5" s="2243" t="s">
        <v>895</v>
      </c>
      <c r="DB5" s="926" t="s">
        <v>881</v>
      </c>
      <c r="DC5" s="927" t="s">
        <v>896</v>
      </c>
      <c r="DD5" s="270">
        <v>4</v>
      </c>
      <c r="DF5" s="1075" t="s">
        <v>897</v>
      </c>
      <c r="DG5" s="1076" t="s">
        <v>898</v>
      </c>
      <c r="DH5" s="1077" t="str">
        <f t="shared" ref="DH5:DH52" si="0">LEFT(DF5,3)&amp;MID(DG5,2,2)</f>
        <v>[016]</v>
      </c>
      <c r="DI5" s="1077">
        <v>7</v>
      </c>
      <c r="DK5" s="972">
        <v>1</v>
      </c>
      <c r="DL5" s="972">
        <v>1</v>
      </c>
      <c r="DN5" s="972" t="s">
        <v>899</v>
      </c>
    </row>
    <row r="6" spans="1:118" ht="27" customHeight="1">
      <c r="A6" s="961"/>
      <c r="B6" s="974" t="s">
        <v>900</v>
      </c>
      <c r="C6" s="975">
        <v>45</v>
      </c>
      <c r="D6" s="976" t="s">
        <v>901</v>
      </c>
      <c r="F6" s="977" t="s">
        <v>14</v>
      </c>
      <c r="G6" s="961"/>
      <c r="H6" s="977" t="s">
        <v>902</v>
      </c>
      <c r="I6" s="961"/>
      <c r="J6" s="978" t="s">
        <v>903</v>
      </c>
      <c r="L6" s="977" t="s">
        <v>904</v>
      </c>
      <c r="M6" s="961"/>
      <c r="N6" s="977" t="s">
        <v>905</v>
      </c>
      <c r="O6" s="961"/>
      <c r="P6" s="977" t="s">
        <v>905</v>
      </c>
      <c r="R6" s="978" t="s">
        <v>906</v>
      </c>
      <c r="T6" s="978" t="s">
        <v>907</v>
      </c>
      <c r="V6" s="978" t="s">
        <v>908</v>
      </c>
      <c r="X6" s="978" t="s">
        <v>909</v>
      </c>
      <c r="Z6" s="978" t="s">
        <v>910</v>
      </c>
      <c r="AB6" s="978" t="s">
        <v>911</v>
      </c>
      <c r="AD6" s="979" t="s">
        <v>912</v>
      </c>
      <c r="AF6" s="979" t="s">
        <v>913</v>
      </c>
      <c r="AH6" s="979" t="s">
        <v>914</v>
      </c>
      <c r="AJ6" s="979" t="s">
        <v>915</v>
      </c>
      <c r="AL6" s="979" t="s">
        <v>916</v>
      </c>
      <c r="AN6" s="979" t="s">
        <v>917</v>
      </c>
      <c r="AP6" s="979" t="s">
        <v>918</v>
      </c>
      <c r="AR6" s="2242"/>
      <c r="AS6" s="978" t="s">
        <v>919</v>
      </c>
      <c r="AU6" s="2232"/>
      <c r="AV6" s="978" t="s">
        <v>920</v>
      </c>
      <c r="AX6" s="931" t="s">
        <v>921</v>
      </c>
      <c r="AZ6" s="929" t="s">
        <v>922</v>
      </c>
      <c r="BB6" s="980" t="s">
        <v>923</v>
      </c>
      <c r="BD6" s="931" t="s">
        <v>924</v>
      </c>
      <c r="BF6" s="1958"/>
      <c r="BG6" s="928" t="s">
        <v>925</v>
      </c>
      <c r="BI6" s="931" t="s">
        <v>921</v>
      </c>
      <c r="BK6" s="931" t="s">
        <v>926</v>
      </c>
      <c r="BM6" s="929" t="s">
        <v>927</v>
      </c>
      <c r="BO6" s="981" t="s">
        <v>928</v>
      </c>
      <c r="BQ6" s="981" t="s">
        <v>928</v>
      </c>
      <c r="BS6" s="981" t="s">
        <v>928</v>
      </c>
      <c r="BU6" s="981" t="s">
        <v>928</v>
      </c>
      <c r="BW6" s="981" t="s">
        <v>928</v>
      </c>
      <c r="BY6" s="981" t="s">
        <v>928</v>
      </c>
      <c r="CA6" s="981" t="s">
        <v>928</v>
      </c>
      <c r="CC6" s="981" t="s">
        <v>928</v>
      </c>
      <c r="CE6" s="2237"/>
      <c r="CF6" s="1066" t="s">
        <v>929</v>
      </c>
      <c r="CH6" s="931" t="s">
        <v>921</v>
      </c>
      <c r="CJ6" s="931" t="s">
        <v>926</v>
      </c>
      <c r="CL6" s="982" t="s">
        <v>930</v>
      </c>
      <c r="CN6" s="931" t="s">
        <v>931</v>
      </c>
      <c r="CO6" s="929"/>
      <c r="CP6" s="929" t="s">
        <v>932</v>
      </c>
      <c r="CR6" s="931" t="s">
        <v>933</v>
      </c>
      <c r="CT6" s="929" t="s">
        <v>934</v>
      </c>
      <c r="CV6" s="983" t="s">
        <v>893</v>
      </c>
      <c r="CW6" s="942" t="s">
        <v>935</v>
      </c>
      <c r="CX6" s="814" t="str">
        <f>LEFT(CV6,3)&amp;MID(CW6,2,2)</f>
        <v>[012]</v>
      </c>
      <c r="CY6" s="944">
        <v>22</v>
      </c>
      <c r="DA6" s="1958"/>
      <c r="DB6" s="926" t="s">
        <v>925</v>
      </c>
      <c r="DC6" s="927" t="s">
        <v>936</v>
      </c>
      <c r="DD6" s="270">
        <v>4</v>
      </c>
      <c r="DF6" s="1075" t="s">
        <v>937</v>
      </c>
      <c r="DG6" s="1076" t="s">
        <v>898</v>
      </c>
      <c r="DH6" s="1077" t="str">
        <f t="shared" si="0"/>
        <v>[026]</v>
      </c>
      <c r="DI6" s="1077">
        <v>7</v>
      </c>
      <c r="DK6" s="972">
        <v>2</v>
      </c>
      <c r="DL6" s="972">
        <v>0.5</v>
      </c>
    </row>
    <row r="7" spans="1:118" ht="27" customHeight="1">
      <c r="A7" s="961"/>
      <c r="B7" s="974" t="s">
        <v>938</v>
      </c>
      <c r="C7" s="975">
        <v>50</v>
      </c>
      <c r="D7" s="976" t="s">
        <v>939</v>
      </c>
      <c r="F7" s="961"/>
      <c r="G7" s="961"/>
      <c r="H7" s="961"/>
      <c r="I7" s="961"/>
      <c r="J7" s="978" t="s">
        <v>940</v>
      </c>
      <c r="R7" s="977" t="s">
        <v>941</v>
      </c>
      <c r="T7" s="978" t="s">
        <v>942</v>
      </c>
      <c r="V7" s="978" t="s">
        <v>1324</v>
      </c>
      <c r="X7" s="978" t="s">
        <v>943</v>
      </c>
      <c r="Z7" s="978" t="s">
        <v>944</v>
      </c>
      <c r="AB7" s="978" t="s">
        <v>945</v>
      </c>
      <c r="AD7" s="979" t="s">
        <v>946</v>
      </c>
      <c r="AF7" s="979" t="s">
        <v>947</v>
      </c>
      <c r="AH7" s="979" t="s">
        <v>948</v>
      </c>
      <c r="AJ7" s="979" t="s">
        <v>949</v>
      </c>
      <c r="AL7" s="984" t="s">
        <v>950</v>
      </c>
      <c r="AN7" s="979" t="s">
        <v>951</v>
      </c>
      <c r="AP7" s="979" t="s">
        <v>952</v>
      </c>
      <c r="AR7" s="2242"/>
      <c r="AS7" s="978" t="s">
        <v>953</v>
      </c>
      <c r="AU7" s="2232"/>
      <c r="AV7" s="978" t="s">
        <v>954</v>
      </c>
      <c r="AX7" s="146"/>
      <c r="AZ7" s="931" t="s">
        <v>955</v>
      </c>
      <c r="BB7" s="985"/>
      <c r="BF7" s="2244"/>
      <c r="BG7" s="930" t="s">
        <v>956</v>
      </c>
      <c r="BI7" s="146"/>
      <c r="BK7" s="146"/>
      <c r="BM7" s="929" t="s">
        <v>957</v>
      </c>
      <c r="BO7" s="981" t="s">
        <v>958</v>
      </c>
      <c r="BQ7" s="981" t="s">
        <v>958</v>
      </c>
      <c r="BS7" s="981" t="s">
        <v>958</v>
      </c>
      <c r="BU7" s="981" t="s">
        <v>958</v>
      </c>
      <c r="BW7" s="981" t="s">
        <v>958</v>
      </c>
      <c r="BY7" s="981" t="s">
        <v>958</v>
      </c>
      <c r="CA7" s="981" t="s">
        <v>958</v>
      </c>
      <c r="CC7" s="981" t="s">
        <v>958</v>
      </c>
      <c r="CE7" s="2237"/>
      <c r="CF7" s="1066" t="s">
        <v>1332</v>
      </c>
      <c r="CJ7" s="2"/>
      <c r="CL7" s="2"/>
      <c r="CN7" s="2"/>
      <c r="CO7" s="2"/>
      <c r="CP7" s="929" t="s">
        <v>959</v>
      </c>
      <c r="CT7" s="929" t="s">
        <v>960</v>
      </c>
      <c r="CV7" s="983" t="s">
        <v>893</v>
      </c>
      <c r="CW7" s="986" t="s">
        <v>961</v>
      </c>
      <c r="CX7" s="814" t="str">
        <f t="shared" ref="CX7:CX91" si="1">LEFT(CV7,3)&amp;MID(CW7,2,2)</f>
        <v>[013]</v>
      </c>
      <c r="CY7" s="944">
        <v>47</v>
      </c>
      <c r="DA7" s="2244"/>
      <c r="DB7" s="926" t="s">
        <v>956</v>
      </c>
      <c r="DC7" s="927" t="s">
        <v>962</v>
      </c>
      <c r="DD7" s="270">
        <v>5</v>
      </c>
      <c r="DF7" s="1075" t="s">
        <v>963</v>
      </c>
      <c r="DG7" s="1076" t="s">
        <v>898</v>
      </c>
      <c r="DH7" s="1077" t="str">
        <f t="shared" si="0"/>
        <v>[036]</v>
      </c>
      <c r="DI7" s="1077">
        <v>7</v>
      </c>
      <c r="DK7" s="972">
        <v>3</v>
      </c>
      <c r="DL7" s="972">
        <v>0.33400000000000002</v>
      </c>
    </row>
    <row r="8" spans="1:118" ht="27" customHeight="1">
      <c r="A8" s="961"/>
      <c r="B8" s="974" t="s">
        <v>964</v>
      </c>
      <c r="C8" s="975">
        <v>50</v>
      </c>
      <c r="D8" s="976" t="s">
        <v>965</v>
      </c>
      <c r="F8" s="961"/>
      <c r="G8" s="961"/>
      <c r="H8" s="961"/>
      <c r="I8" s="961"/>
      <c r="J8" s="977" t="s">
        <v>966</v>
      </c>
      <c r="T8" s="978" t="s">
        <v>967</v>
      </c>
      <c r="V8" s="978" t="s">
        <v>968</v>
      </c>
      <c r="X8" s="978" t="s">
        <v>969</v>
      </c>
      <c r="Z8" s="978" t="s">
        <v>970</v>
      </c>
      <c r="AB8" s="978" t="s">
        <v>971</v>
      </c>
      <c r="AD8" s="979" t="s">
        <v>972</v>
      </c>
      <c r="AF8" s="979" t="s">
        <v>973</v>
      </c>
      <c r="AH8" s="979" t="s">
        <v>974</v>
      </c>
      <c r="AJ8" s="979" t="s">
        <v>975</v>
      </c>
      <c r="AL8" s="984" t="s">
        <v>976</v>
      </c>
      <c r="AN8" s="979" t="s">
        <v>977</v>
      </c>
      <c r="AP8" s="979" t="s">
        <v>978</v>
      </c>
      <c r="AR8" s="2242"/>
      <c r="AS8" s="978" t="s">
        <v>979</v>
      </c>
      <c r="AU8" s="2232"/>
      <c r="AV8" s="978" t="s">
        <v>980</v>
      </c>
      <c r="AX8" s="146"/>
      <c r="AZ8" s="146"/>
      <c r="BC8" s="146"/>
      <c r="BD8" s="146"/>
      <c r="BF8" s="1958" t="s">
        <v>981</v>
      </c>
      <c r="BG8" s="928" t="s">
        <v>881</v>
      </c>
      <c r="BI8" s="146"/>
      <c r="BK8" s="146"/>
      <c r="BM8" s="929" t="s">
        <v>982</v>
      </c>
      <c r="BO8" s="981" t="s">
        <v>983</v>
      </c>
      <c r="BQ8" s="981" t="s">
        <v>983</v>
      </c>
      <c r="BS8" s="981" t="s">
        <v>983</v>
      </c>
      <c r="BU8" s="981" t="s">
        <v>983</v>
      </c>
      <c r="BW8" s="981" t="s">
        <v>983</v>
      </c>
      <c r="BY8" s="981" t="s">
        <v>983</v>
      </c>
      <c r="CA8" s="981" t="s">
        <v>983</v>
      </c>
      <c r="CC8" s="981" t="s">
        <v>983</v>
      </c>
      <c r="CE8" s="2237"/>
      <c r="CF8" s="1066" t="s">
        <v>1333</v>
      </c>
      <c r="CJ8" s="2"/>
      <c r="CL8" s="2"/>
      <c r="CN8" s="2"/>
      <c r="CO8" s="2"/>
      <c r="CP8" s="931" t="s">
        <v>986</v>
      </c>
      <c r="CT8" s="929" t="s">
        <v>987</v>
      </c>
      <c r="CV8" s="983" t="s">
        <v>893</v>
      </c>
      <c r="CW8" s="986" t="s">
        <v>980</v>
      </c>
      <c r="CX8" s="814" t="str">
        <f t="shared" si="1"/>
        <v>[014]</v>
      </c>
      <c r="CY8" s="927">
        <v>38</v>
      </c>
      <c r="DA8" s="1958" t="s">
        <v>981</v>
      </c>
      <c r="DB8" s="926" t="s">
        <v>881</v>
      </c>
      <c r="DC8" s="927" t="s">
        <v>988</v>
      </c>
      <c r="DD8" s="270">
        <v>4</v>
      </c>
      <c r="DF8" s="1078" t="s">
        <v>989</v>
      </c>
      <c r="DG8" s="1075" t="s">
        <v>990</v>
      </c>
      <c r="DH8" s="1077" t="str">
        <f t="shared" si="0"/>
        <v>[041]</v>
      </c>
      <c r="DI8" s="1077">
        <v>7</v>
      </c>
      <c r="DK8" s="972">
        <v>4</v>
      </c>
      <c r="DL8" s="972">
        <v>0.25</v>
      </c>
    </row>
    <row r="9" spans="1:118" ht="27" customHeight="1">
      <c r="A9" s="961"/>
      <c r="B9" s="974" t="s">
        <v>991</v>
      </c>
      <c r="C9" s="975">
        <v>60</v>
      </c>
      <c r="D9" s="976" t="s">
        <v>992</v>
      </c>
      <c r="T9" s="978" t="s">
        <v>993</v>
      </c>
      <c r="V9" s="978" t="s">
        <v>994</v>
      </c>
      <c r="X9" s="978" t="s">
        <v>995</v>
      </c>
      <c r="Z9" s="978" t="s">
        <v>996</v>
      </c>
      <c r="AB9" s="978" t="s">
        <v>997</v>
      </c>
      <c r="AD9" s="979" t="s">
        <v>998</v>
      </c>
      <c r="AF9" s="979" t="s">
        <v>999</v>
      </c>
      <c r="AH9" s="979" t="s">
        <v>1000</v>
      </c>
      <c r="AJ9" s="979" t="s">
        <v>1001</v>
      </c>
      <c r="AL9" s="979" t="s">
        <v>1002</v>
      </c>
      <c r="AN9" s="979" t="s">
        <v>1003</v>
      </c>
      <c r="AP9" s="979" t="s">
        <v>1004</v>
      </c>
      <c r="AR9" s="2242"/>
      <c r="AS9" s="978" t="s">
        <v>1005</v>
      </c>
      <c r="AU9" s="2232"/>
      <c r="AV9" s="932" t="s">
        <v>1030</v>
      </c>
      <c r="AX9" s="2"/>
      <c r="AZ9" s="146"/>
      <c r="BC9" s="2"/>
      <c r="BD9" s="2"/>
      <c r="BF9" s="1958"/>
      <c r="BG9" s="928" t="s">
        <v>1006</v>
      </c>
      <c r="BI9" s="146"/>
      <c r="BK9" s="146"/>
      <c r="BM9" s="929" t="s">
        <v>1007</v>
      </c>
      <c r="BO9" s="981" t="s">
        <v>1008</v>
      </c>
      <c r="BQ9" s="981" t="s">
        <v>1008</v>
      </c>
      <c r="BS9" s="981" t="s">
        <v>1008</v>
      </c>
      <c r="BU9" s="981" t="s">
        <v>1009</v>
      </c>
      <c r="BW9" s="981" t="s">
        <v>1008</v>
      </c>
      <c r="BY9" s="981" t="s">
        <v>1008</v>
      </c>
      <c r="CA9" s="981" t="s">
        <v>1008</v>
      </c>
      <c r="CC9" s="981" t="s">
        <v>1008</v>
      </c>
      <c r="CE9" s="2238"/>
      <c r="CF9" s="1067" t="s">
        <v>1334</v>
      </c>
      <c r="CL9" s="2"/>
      <c r="CN9" s="2"/>
      <c r="CO9" s="2"/>
      <c r="CP9" s="2"/>
      <c r="CT9" s="931" t="s">
        <v>1011</v>
      </c>
      <c r="CV9" s="983" t="s">
        <v>893</v>
      </c>
      <c r="CW9" s="942" t="s">
        <v>1012</v>
      </c>
      <c r="CX9" s="814" t="str">
        <f t="shared" si="1"/>
        <v>[015]</v>
      </c>
      <c r="CY9" s="927">
        <v>19</v>
      </c>
      <c r="DA9" s="1958"/>
      <c r="DB9" s="926" t="s">
        <v>1006</v>
      </c>
      <c r="DC9" s="927" t="s">
        <v>1013</v>
      </c>
      <c r="DD9" s="270">
        <v>6</v>
      </c>
      <c r="DF9" s="1079" t="s">
        <v>989</v>
      </c>
      <c r="DG9" s="1075" t="s">
        <v>1014</v>
      </c>
      <c r="DH9" s="1077" t="str">
        <f t="shared" si="0"/>
        <v>[042]</v>
      </c>
      <c r="DI9" s="1077">
        <v>7</v>
      </c>
      <c r="DK9" s="972">
        <v>5</v>
      </c>
      <c r="DL9" s="972">
        <v>0.2</v>
      </c>
    </row>
    <row r="10" spans="1:118" ht="27" customHeight="1">
      <c r="A10" s="961"/>
      <c r="B10" s="974" t="s">
        <v>1015</v>
      </c>
      <c r="C10" s="975">
        <v>60</v>
      </c>
      <c r="D10" s="976" t="s">
        <v>1016</v>
      </c>
      <c r="T10" s="932" t="s">
        <v>1017</v>
      </c>
      <c r="V10" s="932" t="s">
        <v>1018</v>
      </c>
      <c r="X10" s="932" t="s">
        <v>1019</v>
      </c>
      <c r="Z10" s="932" t="s">
        <v>1020</v>
      </c>
      <c r="AB10" s="932" t="s">
        <v>1021</v>
      </c>
      <c r="AD10" s="932" t="s">
        <v>1022</v>
      </c>
      <c r="AF10" s="932" t="s">
        <v>1023</v>
      </c>
      <c r="AH10" s="932" t="s">
        <v>1024</v>
      </c>
      <c r="AJ10" s="932" t="s">
        <v>1025</v>
      </c>
      <c r="AL10" s="979" t="s">
        <v>1026</v>
      </c>
      <c r="AN10" s="932" t="s">
        <v>1027</v>
      </c>
      <c r="AP10" s="933" t="s">
        <v>1028</v>
      </c>
      <c r="AQ10" s="146"/>
      <c r="AR10" s="2242"/>
      <c r="AS10" s="932" t="s">
        <v>1029</v>
      </c>
      <c r="AU10" s="2232"/>
      <c r="AV10" s="932" t="s">
        <v>1051</v>
      </c>
      <c r="AX10" s="146"/>
      <c r="AZ10" s="146"/>
      <c r="BC10" s="146"/>
      <c r="BD10" s="146"/>
      <c r="BF10" s="2244"/>
      <c r="BG10" s="930" t="s">
        <v>1031</v>
      </c>
      <c r="BI10" s="146"/>
      <c r="BK10" s="146"/>
      <c r="BM10" s="929" t="s">
        <v>1032</v>
      </c>
      <c r="BO10" s="981" t="s">
        <v>1033</v>
      </c>
      <c r="BQ10" s="981" t="s">
        <v>1033</v>
      </c>
      <c r="BS10" s="981" t="s">
        <v>1033</v>
      </c>
      <c r="BU10" s="981" t="s">
        <v>1033</v>
      </c>
      <c r="BW10" s="981" t="s">
        <v>1033</v>
      </c>
      <c r="BY10" s="981" t="s">
        <v>1033</v>
      </c>
      <c r="CA10" s="981" t="s">
        <v>1009</v>
      </c>
      <c r="CC10" s="981" t="s">
        <v>1034</v>
      </c>
      <c r="CE10" s="2236" t="s">
        <v>984</v>
      </c>
      <c r="CF10" s="1065" t="s">
        <v>985</v>
      </c>
      <c r="CV10" s="983" t="s">
        <v>893</v>
      </c>
      <c r="CW10" s="986" t="s">
        <v>1035</v>
      </c>
      <c r="CX10" s="814" t="str">
        <f t="shared" si="1"/>
        <v>[016]</v>
      </c>
      <c r="CY10" s="927">
        <v>20</v>
      </c>
      <c r="DA10" s="2244"/>
      <c r="DB10" s="926" t="s">
        <v>1031</v>
      </c>
      <c r="DC10" s="927" t="s">
        <v>1036</v>
      </c>
      <c r="DD10" s="270">
        <v>3</v>
      </c>
      <c r="DF10" s="1079" t="s">
        <v>989</v>
      </c>
      <c r="DG10" s="1075" t="s">
        <v>1342</v>
      </c>
      <c r="DH10" s="1077" t="str">
        <f t="shared" si="0"/>
        <v>[043]</v>
      </c>
      <c r="DI10" s="1077">
        <v>7</v>
      </c>
      <c r="DK10" s="972">
        <v>6</v>
      </c>
      <c r="DL10" s="972">
        <v>0.16700000000000001</v>
      </c>
    </row>
    <row r="11" spans="1:118" ht="27" customHeight="1">
      <c r="A11" s="961"/>
      <c r="B11" s="974" t="s">
        <v>11</v>
      </c>
      <c r="C11" s="975">
        <v>60</v>
      </c>
      <c r="D11" s="976" t="s">
        <v>1037</v>
      </c>
      <c r="T11" s="932" t="s">
        <v>1038</v>
      </c>
      <c r="V11" s="932" t="s">
        <v>1039</v>
      </c>
      <c r="X11" s="932" t="s">
        <v>1040</v>
      </c>
      <c r="Z11" s="932" t="s">
        <v>1041</v>
      </c>
      <c r="AB11" s="932" t="s">
        <v>1042</v>
      </c>
      <c r="AD11" s="932" t="s">
        <v>1043</v>
      </c>
      <c r="AF11" s="932" t="s">
        <v>1044</v>
      </c>
      <c r="AH11" s="932" t="s">
        <v>1045</v>
      </c>
      <c r="AJ11" s="932" t="s">
        <v>1046</v>
      </c>
      <c r="AL11" s="979" t="s">
        <v>1047</v>
      </c>
      <c r="AN11" s="932" t="s">
        <v>1048</v>
      </c>
      <c r="AP11" s="932" t="s">
        <v>1049</v>
      </c>
      <c r="AQ11" s="146"/>
      <c r="AR11" s="2242"/>
      <c r="AS11" s="932" t="s">
        <v>1050</v>
      </c>
      <c r="AU11" s="2232"/>
      <c r="AV11" s="978" t="s">
        <v>1284</v>
      </c>
      <c r="AX11" s="146"/>
      <c r="AZ11" s="146"/>
      <c r="BC11" s="146"/>
      <c r="BD11" s="146"/>
      <c r="BF11" s="146"/>
      <c r="BG11" s="146"/>
      <c r="BI11" s="146"/>
      <c r="BK11" s="146"/>
      <c r="BM11" s="929" t="s">
        <v>1052</v>
      </c>
      <c r="BO11" s="981" t="s">
        <v>1053</v>
      </c>
      <c r="BQ11" s="981" t="s">
        <v>1053</v>
      </c>
      <c r="BS11" s="981" t="s">
        <v>1053</v>
      </c>
      <c r="BU11" s="981" t="s">
        <v>1053</v>
      </c>
      <c r="BW11" s="981" t="s">
        <v>1053</v>
      </c>
      <c r="BY11" s="981" t="s">
        <v>1053</v>
      </c>
      <c r="CA11" s="981" t="s">
        <v>1033</v>
      </c>
      <c r="CC11" s="981" t="s">
        <v>1033</v>
      </c>
      <c r="CE11" s="2237"/>
      <c r="CF11" s="1066" t="s">
        <v>1010</v>
      </c>
      <c r="CV11" s="983" t="s">
        <v>1056</v>
      </c>
      <c r="CW11" s="986" t="s">
        <v>1057</v>
      </c>
      <c r="CX11" s="814" t="str">
        <f t="shared" si="1"/>
        <v>[018]</v>
      </c>
      <c r="CY11" s="927">
        <v>34</v>
      </c>
      <c r="DF11" s="1079" t="s">
        <v>989</v>
      </c>
      <c r="DG11" s="1075" t="s">
        <v>1343</v>
      </c>
      <c r="DH11" s="1077" t="str">
        <f t="shared" si="0"/>
        <v>[044]</v>
      </c>
      <c r="DI11" s="1077">
        <v>7</v>
      </c>
      <c r="DK11" s="972">
        <v>7</v>
      </c>
      <c r="DL11" s="972">
        <v>0.14299999999999999</v>
      </c>
    </row>
    <row r="12" spans="1:118" ht="27" customHeight="1">
      <c r="A12" s="961"/>
      <c r="B12" s="974" t="s">
        <v>1058</v>
      </c>
      <c r="C12" s="975">
        <v>60</v>
      </c>
      <c r="D12" s="976" t="s">
        <v>1059</v>
      </c>
      <c r="T12" s="932" t="s">
        <v>1060</v>
      </c>
      <c r="V12" s="932" t="s">
        <v>1061</v>
      </c>
      <c r="X12" s="932" t="s">
        <v>1062</v>
      </c>
      <c r="Z12" s="932" t="s">
        <v>1063</v>
      </c>
      <c r="AB12" s="932" t="s">
        <v>1064</v>
      </c>
      <c r="AD12" s="932" t="s">
        <v>1065</v>
      </c>
      <c r="AF12" s="932" t="s">
        <v>1066</v>
      </c>
      <c r="AH12" s="932" t="s">
        <v>1067</v>
      </c>
      <c r="AJ12" s="932" t="s">
        <v>1068</v>
      </c>
      <c r="AL12" s="979" t="s">
        <v>1069</v>
      </c>
      <c r="AN12" s="932" t="s">
        <v>1070</v>
      </c>
      <c r="AP12" s="932" t="s">
        <v>1071</v>
      </c>
      <c r="AQ12" s="146"/>
      <c r="AR12" s="2242"/>
      <c r="AS12" s="934" t="s">
        <v>1072</v>
      </c>
      <c r="AU12" s="2232"/>
      <c r="AV12" s="932" t="s">
        <v>1285</v>
      </c>
      <c r="AX12" s="146"/>
      <c r="AZ12" s="146"/>
      <c r="BC12" s="146"/>
      <c r="BD12" s="146"/>
      <c r="BF12" s="146"/>
      <c r="BG12" s="146"/>
      <c r="BI12" s="146"/>
      <c r="BK12" s="146"/>
      <c r="BM12" s="929" t="s">
        <v>1074</v>
      </c>
      <c r="BO12" s="981" t="s">
        <v>1075</v>
      </c>
      <c r="BQ12" s="981" t="s">
        <v>1075</v>
      </c>
      <c r="BS12" s="981" t="s">
        <v>1075</v>
      </c>
      <c r="BU12" s="981" t="s">
        <v>1075</v>
      </c>
      <c r="BW12" s="981" t="s">
        <v>1075</v>
      </c>
      <c r="BY12" s="981" t="s">
        <v>1075</v>
      </c>
      <c r="CA12" s="981" t="s">
        <v>1053</v>
      </c>
      <c r="CC12" s="981" t="s">
        <v>1053</v>
      </c>
      <c r="CE12" s="2237"/>
      <c r="CF12" s="1066" t="s">
        <v>1335</v>
      </c>
      <c r="CV12" s="983" t="s">
        <v>1056</v>
      </c>
      <c r="CW12" s="987" t="s">
        <v>1287</v>
      </c>
      <c r="CX12" s="988" t="str">
        <f t="shared" si="1"/>
        <v>[019]</v>
      </c>
      <c r="CY12" s="989">
        <v>19</v>
      </c>
      <c r="DF12" s="1080" t="s">
        <v>989</v>
      </c>
      <c r="DG12" s="1075" t="s">
        <v>1344</v>
      </c>
      <c r="DH12" s="1077" t="str">
        <f t="shared" si="0"/>
        <v>[045]</v>
      </c>
      <c r="DI12" s="1077">
        <v>7</v>
      </c>
      <c r="DK12" s="972">
        <v>8</v>
      </c>
      <c r="DL12" s="972">
        <v>0.125</v>
      </c>
    </row>
    <row r="13" spans="1:118" ht="27" customHeight="1">
      <c r="A13" s="961"/>
      <c r="B13" s="974" t="s">
        <v>1076</v>
      </c>
      <c r="C13" s="975">
        <v>100</v>
      </c>
      <c r="D13" s="976" t="s">
        <v>1077</v>
      </c>
      <c r="T13" s="932" t="s">
        <v>1078</v>
      </c>
      <c r="V13" s="932" t="s">
        <v>1079</v>
      </c>
      <c r="X13" s="932" t="s">
        <v>1080</v>
      </c>
      <c r="Z13" s="932" t="s">
        <v>1081</v>
      </c>
      <c r="AB13" s="932" t="s">
        <v>1082</v>
      </c>
      <c r="AD13" s="932" t="s">
        <v>1083</v>
      </c>
      <c r="AF13" s="932" t="s">
        <v>1084</v>
      </c>
      <c r="AH13" s="979" t="s">
        <v>1026</v>
      </c>
      <c r="AJ13" s="932" t="s">
        <v>1085</v>
      </c>
      <c r="AL13" s="979" t="s">
        <v>1086</v>
      </c>
      <c r="AN13" s="932" t="s">
        <v>1087</v>
      </c>
      <c r="AP13" s="932" t="s">
        <v>1088</v>
      </c>
      <c r="AQ13" s="146"/>
      <c r="AR13" s="2242" t="s">
        <v>1089</v>
      </c>
      <c r="AS13" s="935" t="s">
        <v>1090</v>
      </c>
      <c r="AU13" s="2233"/>
      <c r="AV13" s="934" t="s">
        <v>1286</v>
      </c>
      <c r="AX13" s="146"/>
      <c r="BF13" s="146"/>
      <c r="BG13" s="146"/>
      <c r="BI13" s="146"/>
      <c r="BK13" s="146"/>
      <c r="BM13" s="929" t="s">
        <v>1091</v>
      </c>
      <c r="BO13" s="981" t="s">
        <v>1092</v>
      </c>
      <c r="BQ13" s="981" t="s">
        <v>1092</v>
      </c>
      <c r="BS13" s="981" t="s">
        <v>1092</v>
      </c>
      <c r="BU13" s="981" t="s">
        <v>1093</v>
      </c>
      <c r="BW13" s="981" t="s">
        <v>1094</v>
      </c>
      <c r="BY13" s="981" t="s">
        <v>1092</v>
      </c>
      <c r="CA13" s="981" t="s">
        <v>1075</v>
      </c>
      <c r="CC13" s="981" t="s">
        <v>1075</v>
      </c>
      <c r="CE13" s="2238"/>
      <c r="CF13" s="1067" t="s">
        <v>1336</v>
      </c>
      <c r="CV13" s="983" t="s">
        <v>1056</v>
      </c>
      <c r="CW13" s="987" t="s">
        <v>1288</v>
      </c>
      <c r="CX13" s="988" t="str">
        <f>LEFT(CV13,3)&amp;MID(CW13,2,3)</f>
        <v>[0110]</v>
      </c>
      <c r="CY13" s="989">
        <v>27</v>
      </c>
      <c r="DF13" s="1075" t="s">
        <v>1345</v>
      </c>
      <c r="DG13" s="1076" t="s">
        <v>898</v>
      </c>
      <c r="DH13" s="1077" t="str">
        <f t="shared" si="0"/>
        <v>[086]</v>
      </c>
      <c r="DI13" s="1077">
        <v>7</v>
      </c>
      <c r="DK13" s="972">
        <v>9</v>
      </c>
      <c r="DL13" s="972">
        <v>0.112</v>
      </c>
    </row>
    <row r="14" spans="1:118" ht="27" customHeight="1">
      <c r="A14" s="961"/>
      <c r="B14" s="974" t="s">
        <v>1097</v>
      </c>
      <c r="C14" s="975">
        <v>100</v>
      </c>
      <c r="D14" s="976" t="s">
        <v>1098</v>
      </c>
      <c r="T14" s="932" t="s">
        <v>1099</v>
      </c>
      <c r="V14" s="932" t="s">
        <v>1100</v>
      </c>
      <c r="X14" s="932" t="s">
        <v>1101</v>
      </c>
      <c r="Z14" s="932" t="s">
        <v>1102</v>
      </c>
      <c r="AB14" s="932" t="s">
        <v>1103</v>
      </c>
      <c r="AD14" s="932" t="s">
        <v>1104</v>
      </c>
      <c r="AF14" s="932" t="s">
        <v>1105</v>
      </c>
      <c r="AH14" s="979" t="s">
        <v>1047</v>
      </c>
      <c r="AJ14" s="932" t="s">
        <v>1106</v>
      </c>
      <c r="AL14" s="980" t="s">
        <v>1107</v>
      </c>
      <c r="AN14" s="932" t="s">
        <v>1108</v>
      </c>
      <c r="AP14" s="933" t="s">
        <v>1109</v>
      </c>
      <c r="AQ14" s="146"/>
      <c r="AR14" s="2242"/>
      <c r="AS14" s="932" t="s">
        <v>1110</v>
      </c>
      <c r="AU14" s="2231" t="s">
        <v>1073</v>
      </c>
      <c r="AV14" s="965" t="s">
        <v>875</v>
      </c>
      <c r="AX14" s="146"/>
      <c r="BF14" s="146"/>
      <c r="BG14" s="146"/>
      <c r="BI14" s="146"/>
      <c r="BK14" s="146"/>
      <c r="BM14" s="929" t="s">
        <v>1111</v>
      </c>
      <c r="BO14" s="981" t="s">
        <v>1112</v>
      </c>
      <c r="BQ14" s="981" t="s">
        <v>1112</v>
      </c>
      <c r="BS14" s="981" t="s">
        <v>1112</v>
      </c>
      <c r="BU14" s="981" t="s">
        <v>1113</v>
      </c>
      <c r="BW14" s="981" t="s">
        <v>1113</v>
      </c>
      <c r="BY14" s="981" t="s">
        <v>1112</v>
      </c>
      <c r="CA14" s="981" t="s">
        <v>1114</v>
      </c>
      <c r="CC14" s="981" t="s">
        <v>1115</v>
      </c>
      <c r="CE14" s="2236" t="s">
        <v>1054</v>
      </c>
      <c r="CF14" s="1065" t="s">
        <v>1055</v>
      </c>
      <c r="CV14" s="990" t="s">
        <v>893</v>
      </c>
      <c r="CW14" s="987" t="s">
        <v>1289</v>
      </c>
      <c r="CX14" s="988" t="str">
        <f>LEFT(CV14,3)&amp;MID(CW14,2,3)</f>
        <v>[0111]</v>
      </c>
      <c r="CY14" s="989">
        <v>34</v>
      </c>
      <c r="DF14" s="1075" t="s">
        <v>1346</v>
      </c>
      <c r="DG14" s="1076" t="s">
        <v>898</v>
      </c>
      <c r="DH14" s="1077" t="str">
        <f t="shared" si="0"/>
        <v>[096]</v>
      </c>
      <c r="DI14" s="1077">
        <v>7</v>
      </c>
      <c r="DK14" s="972">
        <v>10</v>
      </c>
      <c r="DL14" s="972">
        <v>0.1</v>
      </c>
    </row>
    <row r="15" spans="1:118" ht="27" customHeight="1">
      <c r="A15" s="961"/>
      <c r="B15" s="974" t="s">
        <v>1118</v>
      </c>
      <c r="C15" s="975">
        <v>1000</v>
      </c>
      <c r="D15" s="976" t="s">
        <v>1119</v>
      </c>
      <c r="T15" s="932" t="s">
        <v>1120</v>
      </c>
      <c r="V15" s="932" t="s">
        <v>1121</v>
      </c>
      <c r="X15" s="932" t="s">
        <v>1122</v>
      </c>
      <c r="Z15" s="932" t="s">
        <v>1122</v>
      </c>
      <c r="AB15" s="932" t="s">
        <v>1122</v>
      </c>
      <c r="AD15" s="979" t="s">
        <v>1026</v>
      </c>
      <c r="AF15" s="979" t="s">
        <v>1026</v>
      </c>
      <c r="AH15" s="979" t="s">
        <v>1069</v>
      </c>
      <c r="AJ15" s="932" t="s">
        <v>1123</v>
      </c>
      <c r="AL15" s="2"/>
      <c r="AN15" s="932" t="s">
        <v>1124</v>
      </c>
      <c r="AP15" s="932" t="s">
        <v>1125</v>
      </c>
      <c r="AQ15" s="146"/>
      <c r="AR15" s="2242"/>
      <c r="AS15" s="932" t="s">
        <v>1126</v>
      </c>
      <c r="AU15" s="2232"/>
      <c r="AV15" s="978" t="s">
        <v>920</v>
      </c>
      <c r="AX15" s="146"/>
      <c r="BF15" s="146"/>
      <c r="BG15" s="146"/>
      <c r="BI15" s="146"/>
      <c r="BM15" s="929" t="s">
        <v>1127</v>
      </c>
      <c r="BO15" s="981" t="s">
        <v>1128</v>
      </c>
      <c r="BQ15" s="981" t="s">
        <v>1129</v>
      </c>
      <c r="BS15" s="981" t="s">
        <v>1130</v>
      </c>
      <c r="BU15" s="981" t="s">
        <v>1131</v>
      </c>
      <c r="BW15" s="981" t="s">
        <v>1131</v>
      </c>
      <c r="BY15" s="981" t="s">
        <v>1132</v>
      </c>
      <c r="CA15" s="981" t="s">
        <v>1113</v>
      </c>
      <c r="CC15" s="981" t="s">
        <v>1133</v>
      </c>
      <c r="CE15" s="2237"/>
      <c r="CF15" s="1066" t="s">
        <v>1338</v>
      </c>
      <c r="CV15" s="971" t="s">
        <v>919</v>
      </c>
      <c r="CW15" s="943" t="s">
        <v>894</v>
      </c>
      <c r="CX15" s="814" t="str">
        <f t="shared" si="1"/>
        <v>[021]</v>
      </c>
      <c r="CY15" s="944">
        <v>24</v>
      </c>
      <c r="DF15" s="1075" t="s">
        <v>1347</v>
      </c>
      <c r="DG15" s="1076" t="s">
        <v>898</v>
      </c>
      <c r="DH15" s="1077" t="str">
        <f t="shared" si="0"/>
        <v>[106]</v>
      </c>
      <c r="DI15" s="1077">
        <v>7</v>
      </c>
      <c r="DK15" s="972">
        <v>11</v>
      </c>
      <c r="DL15" s="972">
        <v>9.0999999999999998E-2</v>
      </c>
    </row>
    <row r="16" spans="1:118" ht="27" customHeight="1">
      <c r="A16" s="961"/>
      <c r="B16" s="991" t="s">
        <v>1138</v>
      </c>
      <c r="C16" s="992">
        <v>1000</v>
      </c>
      <c r="D16" s="993" t="s">
        <v>1139</v>
      </c>
      <c r="T16" s="932" t="s">
        <v>1140</v>
      </c>
      <c r="V16" s="932" t="s">
        <v>1141</v>
      </c>
      <c r="X16" s="932" t="s">
        <v>1142</v>
      </c>
      <c r="Z16" s="932" t="s">
        <v>1142</v>
      </c>
      <c r="AB16" s="932" t="s">
        <v>1142</v>
      </c>
      <c r="AD16" s="979" t="s">
        <v>1047</v>
      </c>
      <c r="AF16" s="979" t="s">
        <v>1047</v>
      </c>
      <c r="AH16" s="979" t="s">
        <v>1086</v>
      </c>
      <c r="AJ16" s="932" t="s">
        <v>1143</v>
      </c>
      <c r="AL16" s="2"/>
      <c r="AN16" s="932" t="s">
        <v>1144</v>
      </c>
      <c r="AP16" s="932" t="s">
        <v>1145</v>
      </c>
      <c r="AR16" s="2242"/>
      <c r="AS16" s="978" t="s">
        <v>1146</v>
      </c>
      <c r="AU16" s="2232"/>
      <c r="AV16" s="978" t="s">
        <v>954</v>
      </c>
      <c r="AX16" s="146"/>
      <c r="AZ16" s="146"/>
      <c r="BC16" s="146"/>
      <c r="BD16" s="146"/>
      <c r="BE16" s="146"/>
      <c r="BF16" s="146"/>
      <c r="BG16" s="146"/>
      <c r="BH16" s="146"/>
      <c r="BI16" s="146"/>
      <c r="BJ16" s="146"/>
      <c r="BK16" s="146"/>
      <c r="BM16" s="929" t="s">
        <v>1147</v>
      </c>
      <c r="BO16" s="981" t="s">
        <v>1148</v>
      </c>
      <c r="BQ16" s="981" t="s">
        <v>1128</v>
      </c>
      <c r="BS16" s="981" t="s">
        <v>1128</v>
      </c>
      <c r="BU16" s="981" t="s">
        <v>1149</v>
      </c>
      <c r="BW16" s="981" t="s">
        <v>1149</v>
      </c>
      <c r="BY16" s="981" t="s">
        <v>1128</v>
      </c>
      <c r="CA16" s="981" t="s">
        <v>1131</v>
      </c>
      <c r="CC16" s="981" t="s">
        <v>1113</v>
      </c>
      <c r="CE16" s="2238"/>
      <c r="CF16" s="1067" t="s">
        <v>1340</v>
      </c>
      <c r="CM16" s="146"/>
      <c r="CV16" s="983" t="s">
        <v>919</v>
      </c>
      <c r="CW16" s="943" t="s">
        <v>935</v>
      </c>
      <c r="CX16" s="814" t="str">
        <f t="shared" si="1"/>
        <v>[022]</v>
      </c>
      <c r="CY16" s="944">
        <v>24</v>
      </c>
      <c r="DF16" s="1075" t="s">
        <v>1117</v>
      </c>
      <c r="DG16" s="1076" t="s">
        <v>898</v>
      </c>
      <c r="DH16" s="1077" t="str">
        <f t="shared" si="0"/>
        <v>[126]</v>
      </c>
      <c r="DI16" s="1077">
        <v>7</v>
      </c>
      <c r="DK16" s="972">
        <v>12</v>
      </c>
      <c r="DL16" s="972">
        <v>8.4000000000000005E-2</v>
      </c>
    </row>
    <row r="17" spans="2:116" ht="27" customHeight="1">
      <c r="T17" s="932" t="s">
        <v>1152</v>
      </c>
      <c r="V17" s="932" t="s">
        <v>1153</v>
      </c>
      <c r="X17" s="932" t="s">
        <v>1154</v>
      </c>
      <c r="Z17" s="932" t="s">
        <v>1154</v>
      </c>
      <c r="AB17" s="932" t="s">
        <v>1154</v>
      </c>
      <c r="AD17" s="979" t="s">
        <v>1069</v>
      </c>
      <c r="AF17" s="979" t="s">
        <v>1069</v>
      </c>
      <c r="AH17" s="980" t="s">
        <v>1107</v>
      </c>
      <c r="AJ17" s="979" t="s">
        <v>1026</v>
      </c>
      <c r="AL17" s="2"/>
      <c r="AN17" s="979" t="s">
        <v>1026</v>
      </c>
      <c r="AP17" s="933" t="s">
        <v>1155</v>
      </c>
      <c r="AR17" s="2242"/>
      <c r="AS17" s="978" t="s">
        <v>1156</v>
      </c>
      <c r="AU17" s="2232"/>
      <c r="AV17" s="978" t="s">
        <v>980</v>
      </c>
      <c r="AZ17" s="146"/>
      <c r="BC17" s="146"/>
      <c r="BD17" s="146"/>
      <c r="BE17" s="146"/>
      <c r="BF17" s="146"/>
      <c r="BG17" s="146"/>
      <c r="BH17" s="146"/>
      <c r="BI17" s="146"/>
      <c r="BJ17" s="146"/>
      <c r="BK17" s="146"/>
      <c r="BM17" s="929" t="s">
        <v>1157</v>
      </c>
      <c r="BO17" s="981" t="s">
        <v>1331</v>
      </c>
      <c r="BQ17" s="981" t="s">
        <v>1148</v>
      </c>
      <c r="BS17" s="981" t="s">
        <v>1148</v>
      </c>
      <c r="BU17" s="982" t="s">
        <v>1158</v>
      </c>
      <c r="BW17" s="982" t="s">
        <v>1158</v>
      </c>
      <c r="BY17" s="981" t="s">
        <v>1148</v>
      </c>
      <c r="CA17" s="981" t="s">
        <v>1149</v>
      </c>
      <c r="CC17" s="981" t="s">
        <v>1131</v>
      </c>
      <c r="CE17" s="2236" t="s">
        <v>1095</v>
      </c>
      <c r="CF17" s="1066" t="s">
        <v>1096</v>
      </c>
      <c r="CM17" s="146"/>
      <c r="CV17" s="983" t="s">
        <v>919</v>
      </c>
      <c r="CW17" s="994" t="s">
        <v>961</v>
      </c>
      <c r="CX17" s="814" t="str">
        <f t="shared" si="1"/>
        <v>[023]</v>
      </c>
      <c r="CY17" s="944">
        <v>50</v>
      </c>
      <c r="DF17" s="1078" t="s">
        <v>1136</v>
      </c>
      <c r="DG17" s="1076" t="s">
        <v>1137</v>
      </c>
      <c r="DH17" s="1077" t="str">
        <f t="shared" si="0"/>
        <v>[131]</v>
      </c>
      <c r="DI17" s="1077">
        <v>7</v>
      </c>
      <c r="DK17" s="972">
        <v>13</v>
      </c>
      <c r="DL17" s="972">
        <v>7.6999999999999999E-2</v>
      </c>
    </row>
    <row r="18" spans="2:116" ht="27" customHeight="1">
      <c r="B18" s="961"/>
      <c r="C18" s="952" t="s">
        <v>10</v>
      </c>
      <c r="T18" s="932" t="s">
        <v>1160</v>
      </c>
      <c r="V18" s="932" t="s">
        <v>1161</v>
      </c>
      <c r="X18" s="932" t="s">
        <v>1162</v>
      </c>
      <c r="Z18" s="932" t="s">
        <v>1162</v>
      </c>
      <c r="AB18" s="932" t="s">
        <v>1162</v>
      </c>
      <c r="AD18" s="979" t="s">
        <v>1086</v>
      </c>
      <c r="AF18" s="979" t="s">
        <v>1086</v>
      </c>
      <c r="AH18" s="2"/>
      <c r="AJ18" s="979" t="s">
        <v>1047</v>
      </c>
      <c r="AL18" s="2"/>
      <c r="AN18" s="979" t="s">
        <v>1047</v>
      </c>
      <c r="AP18" s="979" t="s">
        <v>1026</v>
      </c>
      <c r="AR18" s="2242"/>
      <c r="AS18" s="978" t="s">
        <v>1163</v>
      </c>
      <c r="AU18" s="2232"/>
      <c r="AV18" s="932" t="s">
        <v>1030</v>
      </c>
      <c r="AZ18" s="146"/>
      <c r="BC18" s="146"/>
      <c r="BD18" s="146"/>
      <c r="BE18" s="146"/>
      <c r="BF18" s="146"/>
      <c r="BG18" s="146"/>
      <c r="BH18" s="146"/>
      <c r="BI18" s="146"/>
      <c r="BJ18" s="146"/>
      <c r="BK18" s="146"/>
      <c r="BM18" s="929" t="s">
        <v>1164</v>
      </c>
      <c r="BN18" s="146"/>
      <c r="BO18" s="981" t="s">
        <v>1113</v>
      </c>
      <c r="BQ18" s="981" t="s">
        <v>1113</v>
      </c>
      <c r="BS18" s="981" t="s">
        <v>1113</v>
      </c>
      <c r="BU18" s="2"/>
      <c r="BW18" s="2"/>
      <c r="BY18" s="981" t="s">
        <v>1113</v>
      </c>
      <c r="CA18" s="982" t="s">
        <v>1158</v>
      </c>
      <c r="CC18" s="981" t="s">
        <v>1149</v>
      </c>
      <c r="CE18" s="2238"/>
      <c r="CF18" s="1067" t="s">
        <v>1116</v>
      </c>
      <c r="CM18" s="146"/>
      <c r="CV18" s="983" t="s">
        <v>919</v>
      </c>
      <c r="CW18" s="994" t="s">
        <v>980</v>
      </c>
      <c r="CX18" s="814" t="str">
        <f t="shared" si="1"/>
        <v>[024]</v>
      </c>
      <c r="CY18" s="927">
        <v>41</v>
      </c>
      <c r="DF18" s="1079" t="s">
        <v>1136</v>
      </c>
      <c r="DG18" s="1076" t="s">
        <v>1151</v>
      </c>
      <c r="DH18" s="1077" t="str">
        <f t="shared" si="0"/>
        <v>[132]</v>
      </c>
      <c r="DI18" s="1077">
        <v>7</v>
      </c>
      <c r="DK18" s="972">
        <v>14</v>
      </c>
      <c r="DL18" s="972">
        <v>7.1999999999999995E-2</v>
      </c>
    </row>
    <row r="19" spans="2:116" ht="27" customHeight="1">
      <c r="B19" s="961"/>
      <c r="C19" s="995" t="str">
        <f>指標部入力!B17</f>
        <v>[81]小麦</v>
      </c>
      <c r="T19" s="932" t="s">
        <v>1166</v>
      </c>
      <c r="V19" s="932" t="s">
        <v>1167</v>
      </c>
      <c r="X19" s="934" t="s">
        <v>1168</v>
      </c>
      <c r="Z19" s="934" t="s">
        <v>1168</v>
      </c>
      <c r="AB19" s="934" t="s">
        <v>1168</v>
      </c>
      <c r="AD19" s="980" t="s">
        <v>1107</v>
      </c>
      <c r="AF19" s="980" t="s">
        <v>1107</v>
      </c>
      <c r="AH19" s="2"/>
      <c r="AJ19" s="979" t="s">
        <v>1069</v>
      </c>
      <c r="AL19" s="2"/>
      <c r="AN19" s="979" t="s">
        <v>1069</v>
      </c>
      <c r="AP19" s="979" t="s">
        <v>1047</v>
      </c>
      <c r="AR19" s="2242"/>
      <c r="AS19" s="978" t="s">
        <v>1169</v>
      </c>
      <c r="AU19" s="2232"/>
      <c r="AV19" s="932" t="s">
        <v>1051</v>
      </c>
      <c r="BF19" s="146"/>
      <c r="BG19" s="146"/>
      <c r="BH19" s="146"/>
      <c r="BI19" s="146"/>
      <c r="BJ19" s="146"/>
      <c r="BK19" s="146"/>
      <c r="BM19" s="929" t="s">
        <v>1171</v>
      </c>
      <c r="BN19" s="146"/>
      <c r="BO19" s="981" t="s">
        <v>1131</v>
      </c>
      <c r="BQ19" s="981" t="s">
        <v>1131</v>
      </c>
      <c r="BS19" s="981" t="s">
        <v>1131</v>
      </c>
      <c r="BU19" s="2"/>
      <c r="BW19" s="2"/>
      <c r="BY19" s="981" t="s">
        <v>1131</v>
      </c>
      <c r="CA19" s="2"/>
      <c r="CC19" s="982" t="s">
        <v>1158</v>
      </c>
      <c r="CE19" s="2236" t="s">
        <v>1134</v>
      </c>
      <c r="CF19" s="935" t="s">
        <v>1135</v>
      </c>
      <c r="CM19" s="146"/>
      <c r="CV19" s="983" t="s">
        <v>919</v>
      </c>
      <c r="CW19" s="943" t="s">
        <v>1012</v>
      </c>
      <c r="CX19" s="814" t="str">
        <f t="shared" si="1"/>
        <v>[025]</v>
      </c>
      <c r="CY19" s="927">
        <v>22</v>
      </c>
      <c r="DF19" s="1079" t="s">
        <v>1136</v>
      </c>
      <c r="DG19" s="1076" t="s">
        <v>1348</v>
      </c>
      <c r="DH19" s="1077" t="str">
        <f t="shared" si="0"/>
        <v>[133]</v>
      </c>
      <c r="DI19" s="1077">
        <v>7</v>
      </c>
      <c r="DK19" s="972">
        <v>15</v>
      </c>
      <c r="DL19" s="972">
        <v>6.7000000000000004E-2</v>
      </c>
    </row>
    <row r="20" spans="2:116" ht="27" customHeight="1" thickBot="1">
      <c r="B20" s="961"/>
      <c r="C20" s="961"/>
      <c r="T20" s="932" t="s">
        <v>1174</v>
      </c>
      <c r="V20" s="932" t="s">
        <v>1175</v>
      </c>
      <c r="X20" s="644"/>
      <c r="Z20" s="644"/>
      <c r="AB20" s="644"/>
      <c r="AD20" s="936"/>
      <c r="AF20" s="2"/>
      <c r="AG20" s="2"/>
      <c r="AH20" s="2"/>
      <c r="AI20" s="2"/>
      <c r="AJ20" s="979" t="s">
        <v>1086</v>
      </c>
      <c r="AK20" s="2"/>
      <c r="AL20" s="2"/>
      <c r="AM20" s="2"/>
      <c r="AN20" s="979" t="s">
        <v>1086</v>
      </c>
      <c r="AO20" s="2"/>
      <c r="AP20" s="979" t="s">
        <v>1069</v>
      </c>
      <c r="AR20" s="2242"/>
      <c r="AS20" s="977" t="s">
        <v>1176</v>
      </c>
      <c r="AU20" s="2232"/>
      <c r="AV20" s="978" t="s">
        <v>1284</v>
      </c>
      <c r="BF20" s="146"/>
      <c r="BG20" s="146"/>
      <c r="BH20" s="146"/>
      <c r="BI20" s="146"/>
      <c r="BJ20" s="146"/>
      <c r="BK20" s="146"/>
      <c r="BM20" s="929" t="s">
        <v>1177</v>
      </c>
      <c r="BN20" s="146"/>
      <c r="BO20" s="981" t="s">
        <v>1149</v>
      </c>
      <c r="BQ20" s="981" t="s">
        <v>1149</v>
      </c>
      <c r="BS20" s="981" t="s">
        <v>1149</v>
      </c>
      <c r="BU20" s="146"/>
      <c r="BW20" s="146"/>
      <c r="BY20" s="981" t="s">
        <v>1149</v>
      </c>
      <c r="CA20" s="2"/>
      <c r="CC20" s="2"/>
      <c r="CE20" s="2239"/>
      <c r="CF20" s="932" t="s">
        <v>1150</v>
      </c>
      <c r="CM20" s="146"/>
      <c r="CV20" s="983" t="s">
        <v>919</v>
      </c>
      <c r="CW20" s="994" t="s">
        <v>1035</v>
      </c>
      <c r="CX20" s="814" t="str">
        <f t="shared" si="1"/>
        <v>[026]</v>
      </c>
      <c r="CY20" s="927">
        <v>22</v>
      </c>
      <c r="DF20" s="1080" t="s">
        <v>1136</v>
      </c>
      <c r="DG20" s="1076" t="s">
        <v>1349</v>
      </c>
      <c r="DH20" s="1077" t="str">
        <f t="shared" si="0"/>
        <v>[134]</v>
      </c>
      <c r="DI20" s="1077">
        <v>7</v>
      </c>
      <c r="DK20" s="972">
        <v>16</v>
      </c>
      <c r="DL20" s="972">
        <v>6.3E-2</v>
      </c>
    </row>
    <row r="21" spans="2:116" ht="27" customHeight="1" thickBot="1">
      <c r="B21" s="996" t="s">
        <v>1178</v>
      </c>
      <c r="C21" s="997" t="str">
        <f>DGET(B4:D16,"名称",C18:C19)</f>
        <v>小麦</v>
      </c>
      <c r="T21" s="932" t="s">
        <v>1179</v>
      </c>
      <c r="V21" s="932" t="s">
        <v>1180</v>
      </c>
      <c r="X21" s="644"/>
      <c r="Z21" s="644"/>
      <c r="AB21" s="644"/>
      <c r="AD21" s="644"/>
      <c r="AF21" s="2"/>
      <c r="AG21" s="2"/>
      <c r="AH21" s="2"/>
      <c r="AI21" s="2"/>
      <c r="AJ21" s="980" t="s">
        <v>1107</v>
      </c>
      <c r="AK21" s="2"/>
      <c r="AL21" s="2"/>
      <c r="AM21" s="2"/>
      <c r="AN21" s="980" t="s">
        <v>1107</v>
      </c>
      <c r="AO21" s="2"/>
      <c r="AP21" s="979" t="s">
        <v>1086</v>
      </c>
      <c r="AU21" s="2232"/>
      <c r="AV21" s="932" t="s">
        <v>1285</v>
      </c>
      <c r="BM21" s="929" t="s">
        <v>1181</v>
      </c>
      <c r="BO21" s="982" t="s">
        <v>1158</v>
      </c>
      <c r="BQ21" s="982" t="s">
        <v>1158</v>
      </c>
      <c r="BS21" s="982" t="s">
        <v>1158</v>
      </c>
      <c r="BU21" s="146"/>
      <c r="BW21" s="146"/>
      <c r="BY21" s="982" t="s">
        <v>1158</v>
      </c>
      <c r="CA21" s="146"/>
      <c r="CC21" s="2"/>
      <c r="CE21" s="2239"/>
      <c r="CF21" s="1066" t="s">
        <v>1159</v>
      </c>
      <c r="CV21" s="983" t="s">
        <v>919</v>
      </c>
      <c r="CW21" s="986" t="s">
        <v>1057</v>
      </c>
      <c r="CX21" s="814" t="str">
        <f t="shared" si="1"/>
        <v>[028]</v>
      </c>
      <c r="CY21" s="927">
        <v>38</v>
      </c>
      <c r="DF21" s="1075" t="s">
        <v>1350</v>
      </c>
      <c r="DG21" s="1076" t="s">
        <v>898</v>
      </c>
      <c r="DH21" s="1077" t="str">
        <f t="shared" si="0"/>
        <v>[146]</v>
      </c>
      <c r="DI21" s="1077">
        <v>7</v>
      </c>
      <c r="DK21" s="972">
        <v>17</v>
      </c>
      <c r="DL21" s="972">
        <v>5.9000000000000004E-2</v>
      </c>
    </row>
    <row r="22" spans="2:116" ht="27" customHeight="1" thickBot="1">
      <c r="T22" s="932" t="s">
        <v>1183</v>
      </c>
      <c r="V22" s="932" t="s">
        <v>1184</v>
      </c>
      <c r="X22" s="644"/>
      <c r="Z22" s="644"/>
      <c r="AB22" s="644"/>
      <c r="AD22" s="644"/>
      <c r="AF22" s="2"/>
      <c r="AG22" s="2"/>
      <c r="AH22" s="2"/>
      <c r="AI22" s="2"/>
      <c r="AJ22" s="2"/>
      <c r="AK22" s="2"/>
      <c r="AL22" s="2"/>
      <c r="AM22" s="2"/>
      <c r="AN22" s="2"/>
      <c r="AO22" s="2"/>
      <c r="AP22" s="980" t="s">
        <v>1107</v>
      </c>
      <c r="AU22" s="2233"/>
      <c r="AV22" s="934" t="s">
        <v>1286</v>
      </c>
      <c r="BM22" s="931" t="s">
        <v>1185</v>
      </c>
      <c r="BO22" s="2"/>
      <c r="BQ22" s="2"/>
      <c r="BS22" s="2"/>
      <c r="BU22" s="146"/>
      <c r="BW22" s="146"/>
      <c r="BY22" s="2"/>
      <c r="CA22" s="146"/>
      <c r="CC22" s="146"/>
      <c r="CE22" s="2239"/>
      <c r="CF22" s="1066" t="s">
        <v>1165</v>
      </c>
      <c r="CV22" s="983" t="s">
        <v>919</v>
      </c>
      <c r="CW22" s="987" t="s">
        <v>1287</v>
      </c>
      <c r="CX22" s="988" t="str">
        <f t="shared" si="1"/>
        <v>[029]</v>
      </c>
      <c r="CY22" s="989">
        <v>22</v>
      </c>
      <c r="DF22" s="1075" t="s">
        <v>1173</v>
      </c>
      <c r="DG22" s="1076" t="s">
        <v>898</v>
      </c>
      <c r="DH22" s="1077" t="str">
        <f t="shared" si="0"/>
        <v>[156]</v>
      </c>
      <c r="DI22" s="1077">
        <v>7</v>
      </c>
      <c r="DK22" s="972">
        <v>18</v>
      </c>
      <c r="DL22" s="972">
        <v>5.6000000000000001E-2</v>
      </c>
    </row>
    <row r="23" spans="2:116" ht="27" customHeight="1" thickBot="1">
      <c r="B23" s="996" t="s">
        <v>1187</v>
      </c>
      <c r="C23" s="998">
        <f>DGET(リスト!B4:C16,"単位数量",リスト!C18:C19)</f>
        <v>60</v>
      </c>
      <c r="T23" s="932" t="s">
        <v>1188</v>
      </c>
      <c r="V23" s="932" t="s">
        <v>1189</v>
      </c>
      <c r="X23" s="644"/>
      <c r="Z23" s="644"/>
      <c r="AB23" s="644"/>
      <c r="AD23" s="644"/>
      <c r="AF23" s="2"/>
      <c r="AG23" s="2"/>
      <c r="AH23" s="2"/>
      <c r="AI23" s="2"/>
      <c r="AJ23" s="2"/>
      <c r="AK23" s="2"/>
      <c r="AL23" s="2"/>
      <c r="AM23" s="2"/>
      <c r="AN23" s="2"/>
      <c r="AO23" s="2"/>
      <c r="AP23" s="2"/>
      <c r="AU23" s="2231" t="s">
        <v>1170</v>
      </c>
      <c r="AV23" s="965" t="s">
        <v>875</v>
      </c>
      <c r="BM23" s="146"/>
      <c r="BO23" s="2"/>
      <c r="BQ23" s="2"/>
      <c r="BS23" s="2"/>
      <c r="BU23" s="146"/>
      <c r="BW23" s="146"/>
      <c r="BY23" s="2"/>
      <c r="CA23" s="146"/>
      <c r="CC23" s="146"/>
      <c r="CE23" s="2240"/>
      <c r="CF23" s="1067" t="s">
        <v>1172</v>
      </c>
      <c r="CV23" s="983" t="s">
        <v>919</v>
      </c>
      <c r="CW23" s="987" t="s">
        <v>1288</v>
      </c>
      <c r="CX23" s="988" t="str">
        <f>LEFT(CV23,3)&amp;MID(CW23,2,3)</f>
        <v>[0210]</v>
      </c>
      <c r="CY23" s="989">
        <v>30</v>
      </c>
      <c r="DF23" s="1075" t="s">
        <v>1351</v>
      </c>
      <c r="DG23" s="1076" t="s">
        <v>898</v>
      </c>
      <c r="DH23" s="1077" t="str">
        <f t="shared" si="0"/>
        <v>[166]</v>
      </c>
      <c r="DI23" s="1077">
        <v>7</v>
      </c>
      <c r="DK23" s="972">
        <v>19</v>
      </c>
      <c r="DL23" s="972">
        <v>5.2999999999999999E-2</v>
      </c>
    </row>
    <row r="24" spans="2:116" ht="27" customHeight="1">
      <c r="T24" s="932" t="s">
        <v>1192</v>
      </c>
      <c r="V24" s="932" t="s">
        <v>1193</v>
      </c>
      <c r="X24" s="644"/>
      <c r="Z24" s="644"/>
      <c r="AB24" s="644"/>
      <c r="AD24" s="644"/>
      <c r="AF24" s="2"/>
      <c r="AG24" s="2"/>
      <c r="AH24" s="2"/>
      <c r="AI24" s="2"/>
      <c r="AJ24" s="2"/>
      <c r="AK24" s="2"/>
      <c r="AL24" s="2"/>
      <c r="AM24" s="2"/>
      <c r="AN24" s="2"/>
      <c r="AO24" s="2"/>
      <c r="AP24" s="2"/>
      <c r="AU24" s="2232"/>
      <c r="AV24" s="978" t="s">
        <v>920</v>
      </c>
      <c r="BM24" s="146"/>
      <c r="BO24" s="146"/>
      <c r="BQ24" s="146"/>
      <c r="BS24" s="146"/>
      <c r="BU24" s="146"/>
      <c r="BW24" s="146"/>
      <c r="BY24" s="146"/>
      <c r="CA24" s="146"/>
      <c r="CC24" s="146"/>
      <c r="CE24" s="1068" t="s">
        <v>884</v>
      </c>
      <c r="CF24" s="1067" t="s">
        <v>898</v>
      </c>
      <c r="CV24" s="990" t="s">
        <v>919</v>
      </c>
      <c r="CW24" s="987" t="s">
        <v>1289</v>
      </c>
      <c r="CX24" s="988" t="str">
        <f>LEFT(CV24,3)&amp;MID(CW24,2,3)</f>
        <v>[0211]</v>
      </c>
      <c r="CY24" s="989">
        <v>38</v>
      </c>
      <c r="DF24" s="1075" t="s">
        <v>1182</v>
      </c>
      <c r="DG24" s="1076" t="s">
        <v>898</v>
      </c>
      <c r="DH24" s="1077" t="str">
        <f t="shared" si="0"/>
        <v>[176]</v>
      </c>
      <c r="DI24" s="1077">
        <v>7</v>
      </c>
      <c r="DK24" s="972">
        <v>20</v>
      </c>
      <c r="DL24" s="972">
        <v>0.05</v>
      </c>
    </row>
    <row r="25" spans="2:116" ht="27" customHeight="1">
      <c r="T25" s="978" t="s">
        <v>1197</v>
      </c>
      <c r="V25" s="978" t="s">
        <v>1198</v>
      </c>
      <c r="X25" s="945"/>
      <c r="Z25" s="945"/>
      <c r="AB25" s="945"/>
      <c r="AD25" s="945"/>
      <c r="AF25" s="2"/>
      <c r="AG25" s="2"/>
      <c r="AH25" s="2"/>
      <c r="AI25" s="2"/>
      <c r="AJ25" s="2"/>
      <c r="AK25" s="2"/>
      <c r="AL25" s="2"/>
      <c r="AM25" s="2"/>
      <c r="AN25" s="2"/>
      <c r="AO25" s="2"/>
      <c r="AP25" s="2"/>
      <c r="AU25" s="2232"/>
      <c r="AV25" s="978" t="s">
        <v>954</v>
      </c>
      <c r="BM25" s="146"/>
      <c r="BO25" s="146"/>
      <c r="BQ25" s="146"/>
      <c r="BS25" s="146"/>
      <c r="BU25" s="146"/>
      <c r="BW25" s="146"/>
      <c r="BY25" s="146"/>
      <c r="CA25" s="146"/>
      <c r="CC25" s="146"/>
      <c r="CE25" s="1069" t="s">
        <v>927</v>
      </c>
      <c r="CF25" s="1067" t="s">
        <v>898</v>
      </c>
      <c r="CV25" s="971" t="s">
        <v>953</v>
      </c>
      <c r="CW25" s="943" t="s">
        <v>894</v>
      </c>
      <c r="CX25" s="944" t="str">
        <f t="shared" si="1"/>
        <v>[031]</v>
      </c>
      <c r="CY25" s="944">
        <v>15</v>
      </c>
      <c r="DF25" s="1075" t="s">
        <v>1186</v>
      </c>
      <c r="DG25" s="1076" t="s">
        <v>898</v>
      </c>
      <c r="DH25" s="1077" t="str">
        <f t="shared" si="0"/>
        <v>[186]</v>
      </c>
      <c r="DI25" s="1077">
        <v>7</v>
      </c>
      <c r="DK25" s="972">
        <v>21</v>
      </c>
      <c r="DL25" s="972">
        <v>4.8000000000000001E-2</v>
      </c>
    </row>
    <row r="26" spans="2:116" ht="27" customHeight="1">
      <c r="T26" s="978" t="s">
        <v>1200</v>
      </c>
      <c r="V26" s="978" t="s">
        <v>1201</v>
      </c>
      <c r="X26" s="945"/>
      <c r="Z26" s="945"/>
      <c r="AB26" s="945"/>
      <c r="AD26" s="945"/>
      <c r="AF26" s="2"/>
      <c r="AG26" s="2"/>
      <c r="AH26" s="2"/>
      <c r="AI26" s="2"/>
      <c r="AJ26" s="2"/>
      <c r="AK26" s="2"/>
      <c r="AL26" s="2"/>
      <c r="AM26" s="2"/>
      <c r="AN26" s="2"/>
      <c r="AO26" s="2"/>
      <c r="AP26" s="2"/>
      <c r="AU26" s="2232"/>
      <c r="AV26" s="978" t="s">
        <v>980</v>
      </c>
      <c r="BA26" s="146"/>
      <c r="BM26" s="146"/>
      <c r="BO26" s="146"/>
      <c r="BP26" s="146"/>
      <c r="BQ26" s="146"/>
      <c r="BR26" s="146"/>
      <c r="BS26" s="146"/>
      <c r="BT26" s="146"/>
      <c r="BU26" s="146"/>
      <c r="BV26" s="146"/>
      <c r="BW26" s="146"/>
      <c r="BX26" s="146"/>
      <c r="BY26" s="146"/>
      <c r="BZ26" s="146"/>
      <c r="CA26" s="146"/>
      <c r="CB26" s="146"/>
      <c r="CC26" s="146"/>
      <c r="CE26" s="1069" t="s">
        <v>957</v>
      </c>
      <c r="CF26" s="1067" t="s">
        <v>898</v>
      </c>
      <c r="CG26" s="146"/>
      <c r="CH26" s="146"/>
      <c r="CJ26" s="146"/>
      <c r="CK26" s="146"/>
      <c r="CL26" s="146"/>
      <c r="CN26" s="146"/>
      <c r="CO26" s="146"/>
      <c r="CP26" s="146"/>
      <c r="CQ26" s="146"/>
      <c r="CR26" s="146"/>
      <c r="CS26" s="146"/>
      <c r="CV26" s="983" t="s">
        <v>953</v>
      </c>
      <c r="CW26" s="943" t="s">
        <v>935</v>
      </c>
      <c r="CX26" s="944" t="str">
        <f t="shared" si="1"/>
        <v>[032]</v>
      </c>
      <c r="CY26" s="944">
        <v>15</v>
      </c>
      <c r="DB26" s="146"/>
      <c r="DC26" s="146"/>
      <c r="DD26" s="146"/>
      <c r="DE26" s="146"/>
      <c r="DF26" s="1075" t="s">
        <v>1191</v>
      </c>
      <c r="DG26" s="1076" t="s">
        <v>898</v>
      </c>
      <c r="DH26" s="1077" t="str">
        <f t="shared" si="0"/>
        <v>[196]</v>
      </c>
      <c r="DI26" s="1077">
        <v>7</v>
      </c>
      <c r="DK26" s="972">
        <v>22</v>
      </c>
      <c r="DL26" s="972">
        <v>4.5999999999999999E-2</v>
      </c>
    </row>
    <row r="27" spans="2:116" ht="27" customHeight="1">
      <c r="T27" s="978" t="s">
        <v>1204</v>
      </c>
      <c r="V27" s="978" t="s">
        <v>1325</v>
      </c>
      <c r="X27" s="945"/>
      <c r="Z27" s="945"/>
      <c r="AB27" s="945"/>
      <c r="AD27" s="945"/>
      <c r="AF27" s="2"/>
      <c r="AG27" s="2"/>
      <c r="AH27" s="2"/>
      <c r="AI27" s="2"/>
      <c r="AJ27" s="2"/>
      <c r="AK27" s="2"/>
      <c r="AL27" s="2"/>
      <c r="AM27" s="2"/>
      <c r="AN27" s="2"/>
      <c r="AO27" s="2"/>
      <c r="AP27" s="2"/>
      <c r="AU27" s="2232"/>
      <c r="AV27" s="932" t="s">
        <v>1030</v>
      </c>
      <c r="BA27" s="146"/>
      <c r="BM27" s="146"/>
      <c r="BO27" s="146"/>
      <c r="BP27" s="146"/>
      <c r="BQ27" s="146"/>
      <c r="BR27" s="146"/>
      <c r="BS27" s="146"/>
      <c r="BT27" s="146"/>
      <c r="BU27" s="146"/>
      <c r="BV27" s="146"/>
      <c r="BW27" s="146"/>
      <c r="BX27" s="146"/>
      <c r="BY27" s="146"/>
      <c r="BZ27" s="146"/>
      <c r="CA27" s="146"/>
      <c r="CB27" s="146"/>
      <c r="CC27" s="146"/>
      <c r="CE27" s="1070" t="s">
        <v>1190</v>
      </c>
      <c r="CF27" s="1071" t="s">
        <v>898</v>
      </c>
      <c r="CG27" s="146"/>
      <c r="CH27" s="146"/>
      <c r="CJ27" s="146"/>
      <c r="CK27" s="146"/>
      <c r="CL27" s="146"/>
      <c r="CN27" s="146"/>
      <c r="CO27" s="146"/>
      <c r="CP27" s="146"/>
      <c r="CQ27" s="146"/>
      <c r="CR27" s="146"/>
      <c r="CS27" s="146"/>
      <c r="CV27" s="983" t="s">
        <v>953</v>
      </c>
      <c r="CW27" s="994" t="s">
        <v>961</v>
      </c>
      <c r="CX27" s="944" t="str">
        <f t="shared" si="1"/>
        <v>[033]</v>
      </c>
      <c r="CY27" s="944">
        <v>38</v>
      </c>
      <c r="DB27" s="146"/>
      <c r="DC27" s="146"/>
      <c r="DD27" s="146"/>
      <c r="DE27" s="146"/>
      <c r="DF27" s="1078" t="s">
        <v>1195</v>
      </c>
      <c r="DG27" s="1076" t="s">
        <v>1196</v>
      </c>
      <c r="DH27" s="1077" t="str">
        <f t="shared" si="0"/>
        <v>[201]</v>
      </c>
      <c r="DI27" s="1077">
        <v>7</v>
      </c>
      <c r="DK27" s="972">
        <v>23</v>
      </c>
      <c r="DL27" s="972">
        <v>4.3999999999999997E-2</v>
      </c>
    </row>
    <row r="28" spans="2:116" ht="27" customHeight="1">
      <c r="T28" s="978" t="s">
        <v>1205</v>
      </c>
      <c r="V28" s="978" t="s">
        <v>1326</v>
      </c>
      <c r="X28" s="945"/>
      <c r="Z28" s="945"/>
      <c r="AB28" s="945"/>
      <c r="AD28" s="945"/>
      <c r="AF28" s="2"/>
      <c r="AG28" s="2"/>
      <c r="AH28" s="2"/>
      <c r="AI28" s="2"/>
      <c r="AJ28" s="2"/>
      <c r="AK28" s="2"/>
      <c r="AL28" s="2"/>
      <c r="AM28" s="2"/>
      <c r="AN28" s="2"/>
      <c r="AO28" s="2"/>
      <c r="AP28" s="2"/>
      <c r="AU28" s="2232"/>
      <c r="AV28" s="932" t="s">
        <v>1051</v>
      </c>
      <c r="BA28" s="146"/>
      <c r="BM28" s="146"/>
      <c r="BO28" s="146"/>
      <c r="BP28" s="146"/>
      <c r="BQ28" s="146"/>
      <c r="BR28" s="146"/>
      <c r="BS28" s="146"/>
      <c r="BT28" s="146"/>
      <c r="BU28" s="146"/>
      <c r="BV28" s="146"/>
      <c r="BW28" s="146"/>
      <c r="BX28" s="146"/>
      <c r="BY28" s="146"/>
      <c r="BZ28" s="146"/>
      <c r="CA28" s="146"/>
      <c r="CB28" s="146"/>
      <c r="CC28" s="146"/>
      <c r="CE28" s="1070" t="s">
        <v>1194</v>
      </c>
      <c r="CF28" s="1071" t="s">
        <v>898</v>
      </c>
      <c r="CG28" s="146"/>
      <c r="CH28" s="146"/>
      <c r="CJ28" s="146"/>
      <c r="CK28" s="146"/>
      <c r="CL28" s="146"/>
      <c r="CN28" s="146"/>
      <c r="CO28" s="146"/>
      <c r="CP28" s="146"/>
      <c r="CQ28" s="146"/>
      <c r="CR28" s="146"/>
      <c r="CS28" s="146"/>
      <c r="CV28" s="983" t="s">
        <v>953</v>
      </c>
      <c r="CW28" s="994" t="s">
        <v>980</v>
      </c>
      <c r="CX28" s="944" t="str">
        <f t="shared" si="1"/>
        <v>[034]</v>
      </c>
      <c r="CY28" s="927">
        <v>34</v>
      </c>
      <c r="DB28" s="146"/>
      <c r="DC28" s="146"/>
      <c r="DD28" s="146"/>
      <c r="DE28" s="146"/>
      <c r="DF28" s="1079" t="s">
        <v>1195</v>
      </c>
      <c r="DG28" s="1076" t="s">
        <v>1337</v>
      </c>
      <c r="DH28" s="1077" t="str">
        <f t="shared" si="0"/>
        <v>[202]</v>
      </c>
      <c r="DI28" s="1077">
        <v>7</v>
      </c>
      <c r="DK28" s="972">
        <v>24</v>
      </c>
      <c r="DL28" s="972">
        <v>4.2000000000000003E-2</v>
      </c>
    </row>
    <row r="29" spans="2:116" ht="27" customHeight="1">
      <c r="T29" s="978" t="s">
        <v>1207</v>
      </c>
      <c r="V29" s="978" t="s">
        <v>1327</v>
      </c>
      <c r="X29" s="945"/>
      <c r="Z29" s="945"/>
      <c r="AB29" s="945"/>
      <c r="AD29" s="945"/>
      <c r="AF29" s="2"/>
      <c r="AG29" s="2"/>
      <c r="AH29" s="2"/>
      <c r="AI29" s="2"/>
      <c r="AJ29" s="2"/>
      <c r="AK29" s="2"/>
      <c r="AL29" s="2"/>
      <c r="AM29" s="2"/>
      <c r="AN29" s="2"/>
      <c r="AO29" s="2"/>
      <c r="AP29" s="2"/>
      <c r="AU29" s="2232"/>
      <c r="AV29" s="978" t="s">
        <v>1284</v>
      </c>
      <c r="BA29" s="146"/>
      <c r="BM29" s="146"/>
      <c r="BO29" s="146"/>
      <c r="BP29" s="146"/>
      <c r="BQ29" s="146"/>
      <c r="BR29" s="146"/>
      <c r="BS29" s="146"/>
      <c r="BT29" s="146"/>
      <c r="BU29" s="146"/>
      <c r="BV29" s="146"/>
      <c r="BW29" s="146"/>
      <c r="BX29" s="146"/>
      <c r="BY29" s="146"/>
      <c r="BZ29" s="146"/>
      <c r="CA29" s="146"/>
      <c r="CB29" s="146"/>
      <c r="CC29" s="146"/>
      <c r="CE29" s="1070" t="s">
        <v>1199</v>
      </c>
      <c r="CF29" s="1071" t="s">
        <v>898</v>
      </c>
      <c r="CG29" s="146"/>
      <c r="CH29" s="146"/>
      <c r="CJ29" s="146"/>
      <c r="CK29" s="146"/>
      <c r="CL29" s="146"/>
      <c r="CN29" s="146"/>
      <c r="CO29" s="146"/>
      <c r="CP29" s="146"/>
      <c r="CQ29" s="146"/>
      <c r="CR29" s="146"/>
      <c r="CS29" s="146"/>
      <c r="CV29" s="983" t="s">
        <v>953</v>
      </c>
      <c r="CW29" s="943" t="s">
        <v>1012</v>
      </c>
      <c r="CX29" s="944" t="str">
        <f t="shared" si="1"/>
        <v>[035]</v>
      </c>
      <c r="CY29" s="927">
        <v>17</v>
      </c>
      <c r="DB29" s="146"/>
      <c r="DC29" s="146"/>
      <c r="DD29" s="146"/>
      <c r="DE29" s="146"/>
      <c r="DF29" s="1080" t="s">
        <v>1195</v>
      </c>
      <c r="DG29" s="1076" t="s">
        <v>1339</v>
      </c>
      <c r="DH29" s="1077" t="str">
        <f t="shared" si="0"/>
        <v>[203]</v>
      </c>
      <c r="DI29" s="1077">
        <v>7</v>
      </c>
      <c r="DK29" s="972">
        <v>25</v>
      </c>
      <c r="DL29" s="972">
        <v>0.04</v>
      </c>
    </row>
    <row r="30" spans="2:116" ht="27" customHeight="1">
      <c r="T30" s="978" t="s">
        <v>1209</v>
      </c>
      <c r="V30" s="978" t="s">
        <v>1328</v>
      </c>
      <c r="X30" s="945"/>
      <c r="Z30" s="945"/>
      <c r="AB30" s="945"/>
      <c r="AD30" s="945"/>
      <c r="AF30" s="2"/>
      <c r="AG30" s="2"/>
      <c r="AH30" s="2"/>
      <c r="AI30" s="2"/>
      <c r="AJ30" s="2"/>
      <c r="AK30" s="2"/>
      <c r="AL30" s="2"/>
      <c r="AM30" s="2"/>
      <c r="AN30" s="2"/>
      <c r="AO30" s="2"/>
      <c r="AP30" s="2"/>
      <c r="AU30" s="2232"/>
      <c r="AV30" s="932" t="s">
        <v>1285</v>
      </c>
      <c r="BA30" s="146"/>
      <c r="BM30" s="146"/>
      <c r="BO30" s="146"/>
      <c r="BP30" s="146"/>
      <c r="BQ30" s="146"/>
      <c r="BR30" s="146"/>
      <c r="BS30" s="146"/>
      <c r="BT30" s="146"/>
      <c r="BU30" s="146"/>
      <c r="BV30" s="146"/>
      <c r="BW30" s="146"/>
      <c r="BX30" s="146"/>
      <c r="BY30" s="146"/>
      <c r="BZ30" s="146"/>
      <c r="CA30" s="146"/>
      <c r="CB30" s="146"/>
      <c r="CC30" s="146"/>
      <c r="CE30" s="1069" t="s">
        <v>1007</v>
      </c>
      <c r="CF30" s="1067" t="s">
        <v>898</v>
      </c>
      <c r="CG30" s="146"/>
      <c r="CH30" s="146"/>
      <c r="CJ30" s="146"/>
      <c r="CK30" s="146"/>
      <c r="CL30" s="146"/>
      <c r="CN30" s="146"/>
      <c r="CO30" s="146"/>
      <c r="CP30" s="146"/>
      <c r="CQ30" s="146"/>
      <c r="CR30" s="146"/>
      <c r="CS30" s="146"/>
      <c r="CV30" s="983" t="s">
        <v>953</v>
      </c>
      <c r="CW30" s="994" t="s">
        <v>1035</v>
      </c>
      <c r="CX30" s="944" t="str">
        <f t="shared" si="1"/>
        <v>[036]</v>
      </c>
      <c r="CY30" s="927">
        <v>14</v>
      </c>
      <c r="DB30" s="146"/>
      <c r="DC30" s="146"/>
      <c r="DD30" s="146"/>
      <c r="DE30" s="146"/>
      <c r="DF30" s="1075" t="s">
        <v>1203</v>
      </c>
      <c r="DG30" s="1076" t="s">
        <v>898</v>
      </c>
      <c r="DH30" s="1077" t="str">
        <f t="shared" si="0"/>
        <v>[216]</v>
      </c>
      <c r="DI30" s="1077">
        <v>7</v>
      </c>
      <c r="DK30" s="972">
        <v>26</v>
      </c>
      <c r="DL30" s="972">
        <v>3.9E-2</v>
      </c>
    </row>
    <row r="31" spans="2:116" ht="27" customHeight="1">
      <c r="T31" s="978" t="s">
        <v>1210</v>
      </c>
      <c r="V31" s="978" t="s">
        <v>1329</v>
      </c>
      <c r="X31" s="945"/>
      <c r="Z31" s="945"/>
      <c r="AB31" s="945"/>
      <c r="AD31" s="945"/>
      <c r="AF31" s="2"/>
      <c r="AG31" s="2"/>
      <c r="AH31" s="2"/>
      <c r="AI31" s="2"/>
      <c r="AJ31" s="2"/>
      <c r="AK31" s="2"/>
      <c r="AL31" s="2"/>
      <c r="AM31" s="2"/>
      <c r="AN31" s="2"/>
      <c r="AO31" s="2"/>
      <c r="AP31" s="2"/>
      <c r="AU31" s="2233"/>
      <c r="AV31" s="934" t="s">
        <v>1286</v>
      </c>
      <c r="BA31" s="146"/>
      <c r="BM31" s="146"/>
      <c r="BO31" s="146"/>
      <c r="BP31" s="146"/>
      <c r="BQ31" s="146"/>
      <c r="BR31" s="146"/>
      <c r="BS31" s="146"/>
      <c r="BT31" s="146"/>
      <c r="BU31" s="146"/>
      <c r="BV31" s="146"/>
      <c r="BW31" s="146"/>
      <c r="BX31" s="146"/>
      <c r="BY31" s="146"/>
      <c r="BZ31" s="146"/>
      <c r="CA31" s="146"/>
      <c r="CB31" s="146"/>
      <c r="CC31" s="146"/>
      <c r="CE31" s="1072" t="s">
        <v>1009</v>
      </c>
      <c r="CF31" s="1071" t="s">
        <v>898</v>
      </c>
      <c r="CG31" s="146"/>
      <c r="CH31" s="146"/>
      <c r="CJ31" s="146"/>
      <c r="CK31" s="146"/>
      <c r="CL31" s="146"/>
      <c r="CN31" s="146"/>
      <c r="CO31" s="146"/>
      <c r="CP31" s="146"/>
      <c r="CQ31" s="146"/>
      <c r="CR31" s="146"/>
      <c r="CS31" s="146"/>
      <c r="CV31" s="983" t="s">
        <v>953</v>
      </c>
      <c r="CW31" s="986" t="s">
        <v>1057</v>
      </c>
      <c r="CX31" s="814" t="str">
        <f t="shared" si="1"/>
        <v>[038]</v>
      </c>
      <c r="CY31" s="927">
        <v>31</v>
      </c>
      <c r="DB31" s="146"/>
      <c r="DC31" s="146"/>
      <c r="DD31" s="146"/>
      <c r="DE31" s="146"/>
      <c r="DF31" s="1075" t="s">
        <v>1352</v>
      </c>
      <c r="DG31" s="1076" t="s">
        <v>898</v>
      </c>
      <c r="DH31" s="1077" t="str">
        <f t="shared" si="0"/>
        <v>[226]</v>
      </c>
      <c r="DI31" s="1077">
        <v>7</v>
      </c>
      <c r="DK31" s="972">
        <v>27</v>
      </c>
      <c r="DL31" s="972">
        <v>3.7999999999999999E-2</v>
      </c>
    </row>
    <row r="32" spans="2:116" ht="27" customHeight="1">
      <c r="T32" s="978" t="s">
        <v>1211</v>
      </c>
      <c r="V32" s="978" t="s">
        <v>1330</v>
      </c>
      <c r="X32" s="945"/>
      <c r="Z32" s="945"/>
      <c r="AB32" s="945"/>
      <c r="AD32" s="945"/>
      <c r="AF32" s="2"/>
      <c r="AG32" s="2"/>
      <c r="AH32" s="2"/>
      <c r="AI32" s="2"/>
      <c r="AJ32" s="2"/>
      <c r="AK32" s="2"/>
      <c r="AL32" s="2"/>
      <c r="AM32" s="2"/>
      <c r="AN32" s="2"/>
      <c r="AO32" s="2"/>
      <c r="AP32" s="2"/>
      <c r="AU32" s="2231" t="s">
        <v>1202</v>
      </c>
      <c r="AV32" s="965" t="s">
        <v>875</v>
      </c>
      <c r="BA32" s="146"/>
      <c r="BM32" s="146"/>
      <c r="BO32" s="146"/>
      <c r="BP32" s="146"/>
      <c r="BQ32" s="146"/>
      <c r="BR32" s="146"/>
      <c r="BS32" s="146"/>
      <c r="BT32" s="146"/>
      <c r="BU32" s="146"/>
      <c r="BV32" s="146"/>
      <c r="BW32" s="146"/>
      <c r="BX32" s="146"/>
      <c r="BY32" s="146"/>
      <c r="BZ32" s="146"/>
      <c r="CA32" s="146"/>
      <c r="CB32" s="146"/>
      <c r="CC32" s="146"/>
      <c r="CE32" s="1069" t="s">
        <v>1052</v>
      </c>
      <c r="CF32" s="1067" t="s">
        <v>898</v>
      </c>
      <c r="CG32" s="146"/>
      <c r="CH32" s="146"/>
      <c r="CJ32" s="146"/>
      <c r="CK32" s="146"/>
      <c r="CL32" s="146"/>
      <c r="CN32" s="146"/>
      <c r="CO32" s="146"/>
      <c r="CP32" s="146"/>
      <c r="CQ32" s="146"/>
      <c r="CR32" s="146"/>
      <c r="CS32" s="146"/>
      <c r="CV32" s="983" t="s">
        <v>953</v>
      </c>
      <c r="CW32" s="987" t="s">
        <v>1287</v>
      </c>
      <c r="CX32" s="988" t="str">
        <f t="shared" si="1"/>
        <v>[039]</v>
      </c>
      <c r="CY32" s="989">
        <v>17</v>
      </c>
      <c r="DB32" s="146"/>
      <c r="DC32" s="146"/>
      <c r="DD32" s="146"/>
      <c r="DE32" s="146"/>
      <c r="DF32" s="1075" t="s">
        <v>1206</v>
      </c>
      <c r="DG32" s="1076" t="s">
        <v>898</v>
      </c>
      <c r="DH32" s="1077" t="str">
        <f t="shared" si="0"/>
        <v>[236]</v>
      </c>
      <c r="DI32" s="1077">
        <v>7</v>
      </c>
      <c r="DK32" s="972">
        <v>28</v>
      </c>
      <c r="DL32" s="972">
        <v>3.6000000000000004E-2</v>
      </c>
    </row>
    <row r="33" spans="20:116" ht="27" customHeight="1">
      <c r="T33" s="978" t="s">
        <v>1212</v>
      </c>
      <c r="V33" s="978" t="s">
        <v>1122</v>
      </c>
      <c r="X33" s="945"/>
      <c r="Z33" s="945"/>
      <c r="AB33" s="945"/>
      <c r="AD33" s="945"/>
      <c r="AF33" s="2"/>
      <c r="AG33" s="2"/>
      <c r="AH33" s="2"/>
      <c r="AI33" s="2"/>
      <c r="AJ33" s="2"/>
      <c r="AK33" s="2"/>
      <c r="AL33" s="2"/>
      <c r="AM33" s="2"/>
      <c r="AN33" s="2"/>
      <c r="AO33" s="2"/>
      <c r="AP33" s="2"/>
      <c r="AU33" s="2232"/>
      <c r="AV33" s="978" t="s">
        <v>920</v>
      </c>
      <c r="BA33" s="146"/>
      <c r="BM33" s="146"/>
      <c r="BO33" s="146"/>
      <c r="BP33" s="146"/>
      <c r="BQ33" s="146"/>
      <c r="BR33" s="146"/>
      <c r="BS33" s="146"/>
      <c r="BT33" s="146"/>
      <c r="BU33" s="146"/>
      <c r="BV33" s="146"/>
      <c r="BW33" s="146"/>
      <c r="BX33" s="146"/>
      <c r="BY33" s="146"/>
      <c r="BZ33" s="146"/>
      <c r="CA33" s="146"/>
      <c r="CB33" s="146"/>
      <c r="CC33" s="146"/>
      <c r="CE33" s="1070" t="s">
        <v>1208</v>
      </c>
      <c r="CF33" s="1071" t="s">
        <v>898</v>
      </c>
      <c r="CG33" s="146"/>
      <c r="CH33" s="146"/>
      <c r="CJ33" s="146"/>
      <c r="CK33" s="146"/>
      <c r="CL33" s="146"/>
      <c r="CN33" s="146"/>
      <c r="CO33" s="146"/>
      <c r="CP33" s="146"/>
      <c r="CQ33" s="146"/>
      <c r="CR33" s="146"/>
      <c r="CS33" s="146"/>
      <c r="CV33" s="983" t="s">
        <v>953</v>
      </c>
      <c r="CW33" s="987" t="s">
        <v>1288</v>
      </c>
      <c r="CX33" s="988" t="str">
        <f>LEFT(CV33,3)&amp;MID(CW33,2,3)</f>
        <v>[0310]</v>
      </c>
      <c r="CY33" s="989">
        <v>24</v>
      </c>
      <c r="DB33" s="146"/>
      <c r="DC33" s="146"/>
      <c r="DD33" s="146"/>
      <c r="DE33" s="146"/>
      <c r="DF33" s="1075" t="s">
        <v>1353</v>
      </c>
      <c r="DG33" s="1076" t="s">
        <v>898</v>
      </c>
      <c r="DH33" s="1077" t="str">
        <f t="shared" si="0"/>
        <v>[246]</v>
      </c>
      <c r="DI33" s="1077">
        <v>7</v>
      </c>
      <c r="DK33" s="972">
        <v>29</v>
      </c>
      <c r="DL33" s="972">
        <v>3.5000000000000003E-2</v>
      </c>
    </row>
    <row r="34" spans="20:116" ht="27" customHeight="1">
      <c r="T34" s="978" t="s">
        <v>1215</v>
      </c>
      <c r="V34" s="978" t="s">
        <v>1142</v>
      </c>
      <c r="X34" s="945"/>
      <c r="Z34" s="945"/>
      <c r="AB34" s="945"/>
      <c r="AD34" s="945"/>
      <c r="AF34" s="2"/>
      <c r="AG34" s="2"/>
      <c r="AH34" s="2"/>
      <c r="AI34" s="2"/>
      <c r="AJ34" s="2"/>
      <c r="AK34" s="2"/>
      <c r="AL34" s="2"/>
      <c r="AM34" s="2"/>
      <c r="AN34" s="2"/>
      <c r="AO34" s="2"/>
      <c r="AP34" s="2"/>
      <c r="AU34" s="2232"/>
      <c r="AV34" s="978" t="s">
        <v>954</v>
      </c>
      <c r="BA34" s="146"/>
      <c r="BM34" s="146"/>
      <c r="BO34" s="146"/>
      <c r="BP34" s="146"/>
      <c r="BQ34" s="146"/>
      <c r="BR34" s="146"/>
      <c r="BS34" s="146"/>
      <c r="BT34" s="146"/>
      <c r="BU34" s="146"/>
      <c r="BV34" s="146"/>
      <c r="BW34" s="146"/>
      <c r="BX34" s="146"/>
      <c r="BY34" s="146"/>
      <c r="BZ34" s="146"/>
      <c r="CA34" s="146"/>
      <c r="CB34" s="146"/>
      <c r="CC34" s="146"/>
      <c r="CE34" s="1069" t="s">
        <v>1074</v>
      </c>
      <c r="CF34" s="1067" t="s">
        <v>898</v>
      </c>
      <c r="CG34" s="146"/>
      <c r="CH34" s="146"/>
      <c r="CJ34" s="146"/>
      <c r="CK34" s="146"/>
      <c r="CL34" s="146"/>
      <c r="CN34" s="146"/>
      <c r="CO34" s="146"/>
      <c r="CP34" s="146"/>
      <c r="CQ34" s="146"/>
      <c r="CR34" s="146"/>
      <c r="CS34" s="146"/>
      <c r="CV34" s="990" t="s">
        <v>953</v>
      </c>
      <c r="CW34" s="987" t="s">
        <v>1289</v>
      </c>
      <c r="CX34" s="988" t="str">
        <f>LEFT(CV34,3)&amp;MID(CW34,2,3)</f>
        <v>[0311]</v>
      </c>
      <c r="CY34" s="989">
        <v>31</v>
      </c>
      <c r="DB34" s="146"/>
      <c r="DC34" s="146"/>
      <c r="DD34" s="146"/>
      <c r="DE34" s="146"/>
      <c r="DF34" s="937" t="s">
        <v>1354</v>
      </c>
      <c r="DG34" s="1076" t="s">
        <v>898</v>
      </c>
      <c r="DH34" s="1077" t="str">
        <f t="shared" si="0"/>
        <v>[256]</v>
      </c>
      <c r="DI34" s="1077">
        <v>7</v>
      </c>
      <c r="DK34" s="972">
        <v>30</v>
      </c>
      <c r="DL34" s="972">
        <v>3.4000000000000002E-2</v>
      </c>
    </row>
    <row r="35" spans="20:116" ht="27" customHeight="1">
      <c r="T35" s="978" t="s">
        <v>1217</v>
      </c>
      <c r="V35" s="978" t="s">
        <v>1154</v>
      </c>
      <c r="X35" s="945"/>
      <c r="Z35" s="945"/>
      <c r="AB35" s="945"/>
      <c r="AD35" s="945"/>
      <c r="AF35" s="2"/>
      <c r="AG35" s="2"/>
      <c r="AH35" s="2"/>
      <c r="AI35" s="2"/>
      <c r="AJ35" s="2"/>
      <c r="AK35" s="2"/>
      <c r="AL35" s="2"/>
      <c r="AM35" s="2"/>
      <c r="AN35" s="2"/>
      <c r="AO35" s="2"/>
      <c r="AP35" s="2"/>
      <c r="AU35" s="2232"/>
      <c r="AV35" s="978" t="s">
        <v>980</v>
      </c>
      <c r="BM35" s="146"/>
      <c r="BO35" s="146"/>
      <c r="BQ35" s="146"/>
      <c r="BS35" s="146"/>
      <c r="BU35" s="146"/>
      <c r="BW35" s="146"/>
      <c r="BY35" s="146"/>
      <c r="CA35" s="146"/>
      <c r="CC35" s="146"/>
      <c r="CE35" s="1069" t="s">
        <v>1091</v>
      </c>
      <c r="CF35" s="1067" t="s">
        <v>898</v>
      </c>
      <c r="CV35" s="971" t="s">
        <v>979</v>
      </c>
      <c r="CW35" s="943" t="s">
        <v>894</v>
      </c>
      <c r="CX35" s="944" t="str">
        <f t="shared" si="1"/>
        <v>[041]</v>
      </c>
      <c r="CY35" s="944">
        <v>15</v>
      </c>
      <c r="DF35" s="937" t="s">
        <v>1355</v>
      </c>
      <c r="DG35" s="1076" t="s">
        <v>898</v>
      </c>
      <c r="DH35" s="1077" t="str">
        <f t="shared" si="0"/>
        <v>[266]</v>
      </c>
      <c r="DI35" s="1077">
        <v>7</v>
      </c>
      <c r="DK35" s="972">
        <v>31</v>
      </c>
      <c r="DL35" s="972">
        <v>3.3000000000000002E-2</v>
      </c>
    </row>
    <row r="36" spans="20:116" ht="27" customHeight="1">
      <c r="T36" s="978" t="s">
        <v>1218</v>
      </c>
      <c r="V36" s="978" t="s">
        <v>1162</v>
      </c>
      <c r="X36" s="945"/>
      <c r="Z36" s="945"/>
      <c r="AB36" s="945"/>
      <c r="AD36" s="945"/>
      <c r="AF36" s="2"/>
      <c r="AG36" s="2"/>
      <c r="AH36" s="2"/>
      <c r="AI36" s="2"/>
      <c r="AJ36" s="2"/>
      <c r="AK36" s="2"/>
      <c r="AL36" s="2"/>
      <c r="AM36" s="2"/>
      <c r="AN36" s="2"/>
      <c r="AO36" s="2"/>
      <c r="AP36" s="2"/>
      <c r="AU36" s="2232"/>
      <c r="AV36" s="932" t="s">
        <v>1030</v>
      </c>
      <c r="BM36" s="146"/>
      <c r="BO36" s="146"/>
      <c r="BQ36" s="146"/>
      <c r="BS36" s="146"/>
      <c r="BU36" s="146"/>
      <c r="BW36" s="146"/>
      <c r="BY36" s="146"/>
      <c r="CA36" s="146"/>
      <c r="CC36" s="146"/>
      <c r="CE36" s="1069" t="s">
        <v>1111</v>
      </c>
      <c r="CF36" s="1067" t="s">
        <v>898</v>
      </c>
      <c r="CV36" s="983" t="s">
        <v>979</v>
      </c>
      <c r="CW36" s="943" t="s">
        <v>935</v>
      </c>
      <c r="CX36" s="944" t="str">
        <f t="shared" si="1"/>
        <v>[042]</v>
      </c>
      <c r="CY36" s="944">
        <v>15</v>
      </c>
      <c r="DF36" s="937" t="s">
        <v>1356</v>
      </c>
      <c r="DG36" s="1076" t="s">
        <v>898</v>
      </c>
      <c r="DH36" s="1077" t="str">
        <f t="shared" si="0"/>
        <v>[276]</v>
      </c>
      <c r="DI36" s="1077">
        <v>7</v>
      </c>
      <c r="DK36" s="972">
        <v>32</v>
      </c>
      <c r="DL36" s="972">
        <v>3.2000000000000001E-2</v>
      </c>
    </row>
    <row r="37" spans="20:116" ht="27" customHeight="1">
      <c r="T37" s="978" t="s">
        <v>1221</v>
      </c>
      <c r="V37" s="978" t="s">
        <v>1168</v>
      </c>
      <c r="X37" s="945"/>
      <c r="Z37" s="945"/>
      <c r="AB37" s="945"/>
      <c r="AD37" s="945"/>
      <c r="AF37" s="2"/>
      <c r="AG37" s="2"/>
      <c r="AH37" s="2"/>
      <c r="AI37" s="2"/>
      <c r="AJ37" s="2"/>
      <c r="AK37" s="2"/>
      <c r="AL37" s="2"/>
      <c r="AM37" s="2"/>
      <c r="AN37" s="2"/>
      <c r="AO37" s="2"/>
      <c r="AP37" s="2"/>
      <c r="AU37" s="2232"/>
      <c r="AV37" s="932" t="s">
        <v>1051</v>
      </c>
      <c r="BM37" s="146"/>
      <c r="BO37" s="146"/>
      <c r="BQ37" s="146"/>
      <c r="BS37" s="146"/>
      <c r="BY37" s="146"/>
      <c r="CA37" s="146"/>
      <c r="CC37" s="146"/>
      <c r="CE37" s="1069" t="s">
        <v>1147</v>
      </c>
      <c r="CF37" s="1067" t="s">
        <v>898</v>
      </c>
      <c r="CV37" s="983" t="s">
        <v>979</v>
      </c>
      <c r="CW37" s="994" t="s">
        <v>961</v>
      </c>
      <c r="CX37" s="944" t="str">
        <f t="shared" si="1"/>
        <v>[043]</v>
      </c>
      <c r="CY37" s="944">
        <v>38</v>
      </c>
      <c r="DF37" s="937" t="s">
        <v>1357</v>
      </c>
      <c r="DG37" s="1076" t="s">
        <v>898</v>
      </c>
      <c r="DH37" s="1077" t="str">
        <f t="shared" si="0"/>
        <v>[286]</v>
      </c>
      <c r="DI37" s="1077">
        <v>7</v>
      </c>
      <c r="DK37" s="972">
        <v>33</v>
      </c>
      <c r="DL37" s="972">
        <v>3.1E-2</v>
      </c>
    </row>
    <row r="38" spans="20:116" ht="27" customHeight="1">
      <c r="T38" s="978" t="s">
        <v>1223</v>
      </c>
      <c r="V38" s="978" t="s">
        <v>1250</v>
      </c>
      <c r="X38" s="945"/>
      <c r="Z38" s="945"/>
      <c r="AB38" s="945"/>
      <c r="AD38" s="945"/>
      <c r="AF38" s="2"/>
      <c r="AG38" s="2"/>
      <c r="AH38" s="2"/>
      <c r="AI38" s="2"/>
      <c r="AJ38" s="2"/>
      <c r="AK38" s="2"/>
      <c r="AL38" s="2"/>
      <c r="AM38" s="2"/>
      <c r="AN38" s="2"/>
      <c r="AO38" s="2"/>
      <c r="AP38" s="2"/>
      <c r="AU38" s="2232"/>
      <c r="AV38" s="978" t="s">
        <v>1284</v>
      </c>
      <c r="BM38" s="146"/>
      <c r="BO38" s="146"/>
      <c r="BQ38" s="146"/>
      <c r="BS38" s="146"/>
      <c r="BY38" s="146"/>
      <c r="CC38" s="146"/>
      <c r="CE38" s="1072" t="s">
        <v>1129</v>
      </c>
      <c r="CF38" s="1071" t="s">
        <v>898</v>
      </c>
      <c r="CV38" s="983" t="s">
        <v>979</v>
      </c>
      <c r="CW38" s="994" t="s">
        <v>980</v>
      </c>
      <c r="CX38" s="944" t="str">
        <f t="shared" si="1"/>
        <v>[044]</v>
      </c>
      <c r="CY38" s="927">
        <v>34</v>
      </c>
      <c r="DF38" s="937" t="s">
        <v>1216</v>
      </c>
      <c r="DG38" s="1076" t="s">
        <v>898</v>
      </c>
      <c r="DH38" s="1077" t="str">
        <f t="shared" si="0"/>
        <v>[296]</v>
      </c>
      <c r="DI38" s="1077">
        <v>7</v>
      </c>
      <c r="DK38" s="972">
        <v>34</v>
      </c>
      <c r="DL38" s="972">
        <v>3.0000000000000002E-2</v>
      </c>
    </row>
    <row r="39" spans="20:116" ht="27" customHeight="1">
      <c r="T39" s="978" t="s">
        <v>1224</v>
      </c>
      <c r="V39" s="978" t="s">
        <v>1251</v>
      </c>
      <c r="X39" s="945"/>
      <c r="Z39" s="945"/>
      <c r="AB39" s="945"/>
      <c r="AD39" s="945"/>
      <c r="AF39" s="2"/>
      <c r="AG39" s="2"/>
      <c r="AH39" s="2"/>
      <c r="AI39" s="2"/>
      <c r="AJ39" s="2"/>
      <c r="AK39" s="2"/>
      <c r="AL39" s="2"/>
      <c r="AM39" s="2"/>
      <c r="AN39" s="2"/>
      <c r="AO39" s="2"/>
      <c r="AP39" s="2"/>
      <c r="AU39" s="2232"/>
      <c r="AV39" s="932" t="s">
        <v>1285</v>
      </c>
      <c r="BM39" s="146"/>
      <c r="BO39" s="146"/>
      <c r="BQ39" s="146"/>
      <c r="BS39" s="146"/>
      <c r="BY39" s="146"/>
      <c r="CE39" s="1072" t="s">
        <v>1130</v>
      </c>
      <c r="CF39" s="1071" t="s">
        <v>898</v>
      </c>
      <c r="CV39" s="983" t="s">
        <v>979</v>
      </c>
      <c r="CW39" s="943" t="s">
        <v>1012</v>
      </c>
      <c r="CX39" s="944" t="str">
        <f t="shared" si="1"/>
        <v>[045]</v>
      </c>
      <c r="CY39" s="927">
        <v>17</v>
      </c>
      <c r="DF39" s="937" t="s">
        <v>1358</v>
      </c>
      <c r="DG39" s="1076" t="s">
        <v>898</v>
      </c>
      <c r="DH39" s="1077" t="str">
        <f t="shared" si="0"/>
        <v>[306]</v>
      </c>
      <c r="DI39" s="1077">
        <v>7</v>
      </c>
      <c r="DK39" s="972">
        <v>35</v>
      </c>
      <c r="DL39" s="972">
        <v>2.9000000000000001E-2</v>
      </c>
    </row>
    <row r="40" spans="20:116" ht="27" customHeight="1">
      <c r="T40" s="978" t="s">
        <v>1226</v>
      </c>
      <c r="V40" s="978" t="s">
        <v>1252</v>
      </c>
      <c r="X40" s="945"/>
      <c r="Z40" s="945"/>
      <c r="AB40" s="945"/>
      <c r="AD40" s="945"/>
      <c r="AF40" s="2"/>
      <c r="AG40" s="2"/>
      <c r="AH40" s="2"/>
      <c r="AI40" s="2"/>
      <c r="AJ40" s="2"/>
      <c r="AK40" s="2"/>
      <c r="AL40" s="2"/>
      <c r="AM40" s="2"/>
      <c r="AN40" s="2"/>
      <c r="AO40" s="2"/>
      <c r="AP40" s="2"/>
      <c r="AU40" s="2233"/>
      <c r="AV40" s="934" t="s">
        <v>1286</v>
      </c>
      <c r="BO40" s="146"/>
      <c r="BQ40" s="146"/>
      <c r="BS40" s="146"/>
      <c r="BU40" s="146"/>
      <c r="BW40" s="146"/>
      <c r="BY40" s="146"/>
      <c r="CE40" s="1072" t="s">
        <v>1093</v>
      </c>
      <c r="CF40" s="1071" t="s">
        <v>898</v>
      </c>
      <c r="CV40" s="983" t="s">
        <v>979</v>
      </c>
      <c r="CW40" s="994" t="s">
        <v>1035</v>
      </c>
      <c r="CX40" s="944" t="str">
        <f t="shared" si="1"/>
        <v>[046]</v>
      </c>
      <c r="CY40" s="927">
        <v>14</v>
      </c>
      <c r="DF40" s="938" t="s">
        <v>1219</v>
      </c>
      <c r="DG40" s="1081" t="s">
        <v>1220</v>
      </c>
      <c r="DH40" s="1077" t="str">
        <f t="shared" si="0"/>
        <v>[311]</v>
      </c>
      <c r="DI40" s="1077">
        <v>7</v>
      </c>
      <c r="DK40" s="972">
        <v>36</v>
      </c>
      <c r="DL40" s="972">
        <v>2.8000000000000001E-2</v>
      </c>
    </row>
    <row r="41" spans="20:116" ht="27" customHeight="1">
      <c r="T41" s="978" t="s">
        <v>1229</v>
      </c>
      <c r="V41" s="978" t="s">
        <v>1257</v>
      </c>
      <c r="X41" s="945"/>
      <c r="Z41" s="945"/>
      <c r="AB41" s="945"/>
      <c r="AD41" s="945"/>
      <c r="AF41" s="2"/>
      <c r="AG41" s="2"/>
      <c r="AH41" s="2"/>
      <c r="AI41" s="2"/>
      <c r="AJ41" s="2"/>
      <c r="AK41" s="2"/>
      <c r="AL41" s="2"/>
      <c r="AM41" s="2"/>
      <c r="AN41" s="2"/>
      <c r="AO41" s="2"/>
      <c r="AP41" s="2"/>
      <c r="AU41" s="2231" t="s">
        <v>1213</v>
      </c>
      <c r="AV41" s="965" t="s">
        <v>875</v>
      </c>
      <c r="BU41" s="146"/>
      <c r="BW41" s="146"/>
      <c r="CA41" s="146"/>
      <c r="CE41" s="1072" t="s">
        <v>1094</v>
      </c>
      <c r="CF41" s="1071" t="s">
        <v>898</v>
      </c>
      <c r="CV41" s="983" t="s">
        <v>979</v>
      </c>
      <c r="CW41" s="986" t="s">
        <v>1057</v>
      </c>
      <c r="CX41" s="814" t="str">
        <f t="shared" si="1"/>
        <v>[048]</v>
      </c>
      <c r="CY41" s="927">
        <v>31</v>
      </c>
      <c r="DF41" s="939" t="s">
        <v>1219</v>
      </c>
      <c r="DG41" s="1081" t="s">
        <v>1222</v>
      </c>
      <c r="DH41" s="1077" t="str">
        <f t="shared" si="0"/>
        <v>[312]</v>
      </c>
      <c r="DI41" s="1077">
        <v>7</v>
      </c>
      <c r="DK41" s="972">
        <v>37</v>
      </c>
      <c r="DL41" s="972">
        <v>2.8000000000000001E-2</v>
      </c>
    </row>
    <row r="42" spans="20:116" ht="27" customHeight="1">
      <c r="T42" s="978" t="s">
        <v>1231</v>
      </c>
      <c r="V42" s="977" t="s">
        <v>1260</v>
      </c>
      <c r="X42" s="945"/>
      <c r="Z42" s="945"/>
      <c r="AB42" s="945"/>
      <c r="AD42" s="945"/>
      <c r="AF42" s="2"/>
      <c r="AG42" s="2"/>
      <c r="AH42" s="2"/>
      <c r="AI42" s="2"/>
      <c r="AJ42" s="2"/>
      <c r="AK42" s="2"/>
      <c r="AL42" s="2"/>
      <c r="AM42" s="2"/>
      <c r="AN42" s="2"/>
      <c r="AO42" s="2"/>
      <c r="AP42" s="2"/>
      <c r="AU42" s="2232"/>
      <c r="AV42" s="978" t="s">
        <v>920</v>
      </c>
      <c r="BU42" s="146"/>
      <c r="BW42" s="146"/>
      <c r="CA42" s="146"/>
      <c r="CC42" s="146"/>
      <c r="CE42" s="1072" t="s">
        <v>1132</v>
      </c>
      <c r="CF42" s="1071" t="s">
        <v>898</v>
      </c>
      <c r="CV42" s="983" t="s">
        <v>979</v>
      </c>
      <c r="CW42" s="987" t="s">
        <v>1287</v>
      </c>
      <c r="CX42" s="988" t="str">
        <f t="shared" si="1"/>
        <v>[049]</v>
      </c>
      <c r="CY42" s="989">
        <v>17</v>
      </c>
      <c r="DF42" s="1082" t="s">
        <v>1219</v>
      </c>
      <c r="DG42" s="1081" t="s">
        <v>898</v>
      </c>
      <c r="DH42" s="1077" t="str">
        <f t="shared" si="0"/>
        <v>[316]</v>
      </c>
      <c r="DI42" s="1077">
        <v>7</v>
      </c>
      <c r="DK42" s="972">
        <v>38</v>
      </c>
      <c r="DL42" s="972">
        <v>2.7E-2</v>
      </c>
    </row>
    <row r="43" spans="20:116" ht="27" customHeight="1">
      <c r="T43" s="978" t="s">
        <v>1233</v>
      </c>
      <c r="V43" s="945"/>
      <c r="X43" s="945"/>
      <c r="Z43" s="945"/>
      <c r="AB43" s="945"/>
      <c r="AD43" s="945"/>
      <c r="AF43" s="2"/>
      <c r="AG43" s="2"/>
      <c r="AH43" s="2"/>
      <c r="AI43" s="2"/>
      <c r="AJ43" s="2"/>
      <c r="AK43" s="2"/>
      <c r="AL43" s="2"/>
      <c r="AM43" s="2"/>
      <c r="AN43" s="2"/>
      <c r="AO43" s="2"/>
      <c r="AP43" s="2"/>
      <c r="AU43" s="2232"/>
      <c r="AV43" s="978" t="s">
        <v>954</v>
      </c>
      <c r="BA43" s="146"/>
      <c r="BM43" s="146"/>
      <c r="BP43" s="146"/>
      <c r="BR43" s="146"/>
      <c r="BT43" s="146"/>
      <c r="BU43" s="146"/>
      <c r="BV43" s="146"/>
      <c r="BW43" s="146"/>
      <c r="BX43" s="146"/>
      <c r="BZ43" s="146"/>
      <c r="CA43" s="146"/>
      <c r="CB43" s="146"/>
      <c r="CC43" s="146"/>
      <c r="CE43" s="1072" t="s">
        <v>1114</v>
      </c>
      <c r="CF43" s="1071" t="s">
        <v>898</v>
      </c>
      <c r="CG43" s="146"/>
      <c r="CH43" s="146"/>
      <c r="CJ43" s="146"/>
      <c r="CK43" s="146"/>
      <c r="CL43" s="146"/>
      <c r="CN43" s="146"/>
      <c r="CO43" s="146"/>
      <c r="CP43" s="146"/>
      <c r="CQ43" s="146"/>
      <c r="CR43" s="146"/>
      <c r="CV43" s="983" t="s">
        <v>979</v>
      </c>
      <c r="CW43" s="987" t="s">
        <v>1288</v>
      </c>
      <c r="CX43" s="988" t="str">
        <f>LEFT(CV43,3)&amp;MID(CW43,2,3)</f>
        <v>[0410]</v>
      </c>
      <c r="CY43" s="989">
        <v>24</v>
      </c>
      <c r="DF43" s="937" t="s">
        <v>1225</v>
      </c>
      <c r="DG43" s="1076" t="s">
        <v>898</v>
      </c>
      <c r="DH43" s="1077" t="str">
        <f t="shared" si="0"/>
        <v>[326]</v>
      </c>
      <c r="DI43" s="1077">
        <v>7</v>
      </c>
      <c r="DK43" s="972">
        <v>39</v>
      </c>
      <c r="DL43" s="972">
        <v>2.6000000000000002E-2</v>
      </c>
    </row>
    <row r="44" spans="20:116" ht="27" customHeight="1">
      <c r="T44" s="978" t="s">
        <v>1237</v>
      </c>
      <c r="V44" s="945"/>
      <c r="X44" s="945"/>
      <c r="Z44" s="945"/>
      <c r="AB44" s="945"/>
      <c r="AD44" s="945"/>
      <c r="AF44" s="2"/>
      <c r="AG44" s="2"/>
      <c r="AH44" s="2"/>
      <c r="AI44" s="2"/>
      <c r="AJ44" s="2"/>
      <c r="AK44" s="2"/>
      <c r="AL44" s="2"/>
      <c r="AM44" s="2"/>
      <c r="AN44" s="2"/>
      <c r="AO44" s="2"/>
      <c r="AP44" s="2"/>
      <c r="AU44" s="2232"/>
      <c r="AV44" s="978" t="s">
        <v>980</v>
      </c>
      <c r="BA44" s="146"/>
      <c r="BM44" s="146"/>
      <c r="BO44" s="146"/>
      <c r="BP44" s="146"/>
      <c r="BQ44" s="146"/>
      <c r="BR44" s="146"/>
      <c r="BS44" s="146"/>
      <c r="BT44" s="146"/>
      <c r="BU44" s="146"/>
      <c r="BV44" s="146"/>
      <c r="BW44" s="146"/>
      <c r="BX44" s="146"/>
      <c r="BY44" s="146"/>
      <c r="BZ44" s="146"/>
      <c r="CA44" s="146"/>
      <c r="CB44" s="146"/>
      <c r="CC44" s="146"/>
      <c r="CE44" s="1072" t="s">
        <v>1115</v>
      </c>
      <c r="CF44" s="1071" t="s">
        <v>898</v>
      </c>
      <c r="CG44" s="146"/>
      <c r="CH44" s="146"/>
      <c r="CJ44" s="146"/>
      <c r="CK44" s="146"/>
      <c r="CL44" s="146"/>
      <c r="CN44" s="146"/>
      <c r="CO44" s="146"/>
      <c r="CP44" s="146"/>
      <c r="CQ44" s="146"/>
      <c r="CR44" s="146"/>
      <c r="CV44" s="990" t="s">
        <v>979</v>
      </c>
      <c r="CW44" s="987" t="s">
        <v>1289</v>
      </c>
      <c r="CX44" s="988" t="str">
        <f>LEFT(CV44,3)&amp;MID(CW44,2,3)</f>
        <v>[0411]</v>
      </c>
      <c r="CY44" s="989">
        <v>31</v>
      </c>
      <c r="DF44" s="937" t="s">
        <v>1359</v>
      </c>
      <c r="DG44" s="1076" t="s">
        <v>898</v>
      </c>
      <c r="DH44" s="1077" t="str">
        <f t="shared" si="0"/>
        <v>[336]</v>
      </c>
      <c r="DI44" s="1077">
        <v>7</v>
      </c>
      <c r="DK44" s="972">
        <v>40</v>
      </c>
      <c r="DL44" s="972">
        <v>2.5000000000000001E-2</v>
      </c>
    </row>
    <row r="45" spans="20:116" ht="27" customHeight="1">
      <c r="T45" s="978" t="s">
        <v>1239</v>
      </c>
      <c r="V45" s="945"/>
      <c r="X45" s="945"/>
      <c r="Z45" s="945"/>
      <c r="AB45" s="945"/>
      <c r="AD45" s="945"/>
      <c r="AF45" s="2"/>
      <c r="AG45" s="2"/>
      <c r="AH45" s="2"/>
      <c r="AI45" s="2"/>
      <c r="AJ45" s="2"/>
      <c r="AK45" s="2"/>
      <c r="AL45" s="2"/>
      <c r="AM45" s="2"/>
      <c r="AN45" s="2"/>
      <c r="AO45" s="2"/>
      <c r="AP45" s="2"/>
      <c r="AU45" s="2232"/>
      <c r="AV45" s="932" t="s">
        <v>1030</v>
      </c>
      <c r="BA45" s="146"/>
      <c r="BM45" s="146"/>
      <c r="BO45" s="146"/>
      <c r="BP45" s="146"/>
      <c r="BQ45" s="146"/>
      <c r="BR45" s="146"/>
      <c r="BS45" s="146"/>
      <c r="BT45" s="146"/>
      <c r="BU45" s="146"/>
      <c r="BV45" s="146"/>
      <c r="BW45" s="146"/>
      <c r="BX45" s="146"/>
      <c r="BY45" s="146"/>
      <c r="BZ45" s="146"/>
      <c r="CA45" s="146"/>
      <c r="CB45" s="146"/>
      <c r="CC45" s="146"/>
      <c r="CE45" s="1069" t="s">
        <v>1157</v>
      </c>
      <c r="CF45" s="1067" t="s">
        <v>898</v>
      </c>
      <c r="CG45" s="146"/>
      <c r="CH45" s="146"/>
      <c r="CJ45" s="146"/>
      <c r="CK45" s="146"/>
      <c r="CL45" s="146"/>
      <c r="CN45" s="146"/>
      <c r="CO45" s="146"/>
      <c r="CP45" s="146"/>
      <c r="CQ45" s="146"/>
      <c r="CR45" s="146"/>
      <c r="CV45" s="971" t="s">
        <v>1214</v>
      </c>
      <c r="CW45" s="943" t="s">
        <v>894</v>
      </c>
      <c r="CX45" s="944" t="str">
        <f t="shared" si="1"/>
        <v>[081]</v>
      </c>
      <c r="CY45" s="944">
        <v>17</v>
      </c>
      <c r="DF45" s="937" t="s">
        <v>1113</v>
      </c>
      <c r="DG45" s="1076" t="s">
        <v>898</v>
      </c>
      <c r="DH45" s="1077" t="str">
        <f t="shared" si="0"/>
        <v>[546]</v>
      </c>
      <c r="DI45" s="1077">
        <v>4</v>
      </c>
      <c r="DK45" s="972">
        <v>41</v>
      </c>
      <c r="DL45" s="972">
        <v>2.5000000000000001E-2</v>
      </c>
    </row>
    <row r="46" spans="20:116" ht="27" customHeight="1">
      <c r="T46" s="978" t="s">
        <v>1241</v>
      </c>
      <c r="V46" s="945"/>
      <c r="X46" s="945"/>
      <c r="Z46" s="945"/>
      <c r="AB46" s="945"/>
      <c r="AD46" s="945"/>
      <c r="AF46" s="2"/>
      <c r="AG46" s="2"/>
      <c r="AH46" s="2"/>
      <c r="AI46" s="2"/>
      <c r="AJ46" s="2"/>
      <c r="AK46" s="2"/>
      <c r="AL46" s="2"/>
      <c r="AM46" s="2"/>
      <c r="AN46" s="2"/>
      <c r="AO46" s="2"/>
      <c r="AP46" s="2"/>
      <c r="AU46" s="2232"/>
      <c r="AV46" s="932" t="s">
        <v>1051</v>
      </c>
      <c r="BA46" s="146"/>
      <c r="BM46" s="146"/>
      <c r="BO46" s="146"/>
      <c r="BP46" s="146"/>
      <c r="BQ46" s="146"/>
      <c r="BR46" s="146"/>
      <c r="BS46" s="146"/>
      <c r="BT46" s="146"/>
      <c r="BU46" s="146"/>
      <c r="BV46" s="146"/>
      <c r="BW46" s="146"/>
      <c r="BX46" s="146"/>
      <c r="BY46" s="146"/>
      <c r="BZ46" s="146"/>
      <c r="CA46" s="146"/>
      <c r="CB46" s="146"/>
      <c r="CC46" s="146"/>
      <c r="CE46" s="1072" t="s">
        <v>1133</v>
      </c>
      <c r="CF46" s="1071" t="s">
        <v>898</v>
      </c>
      <c r="CG46" s="146"/>
      <c r="CH46" s="146"/>
      <c r="CJ46" s="146"/>
      <c r="CK46" s="146"/>
      <c r="CL46" s="146"/>
      <c r="CN46" s="146"/>
      <c r="CO46" s="146"/>
      <c r="CP46" s="146"/>
      <c r="CQ46" s="146"/>
      <c r="CR46" s="146"/>
      <c r="CV46" s="983" t="s">
        <v>1214</v>
      </c>
      <c r="CW46" s="943" t="s">
        <v>935</v>
      </c>
      <c r="CX46" s="944" t="str">
        <f t="shared" si="1"/>
        <v>[082]</v>
      </c>
      <c r="CY46" s="944">
        <v>17</v>
      </c>
      <c r="DF46" s="1079" t="s">
        <v>1131</v>
      </c>
      <c r="DG46" s="1075" t="s">
        <v>1230</v>
      </c>
      <c r="DH46" s="1077" t="str">
        <f t="shared" si="0"/>
        <v>[561]</v>
      </c>
      <c r="DI46" s="1077">
        <v>3</v>
      </c>
      <c r="DK46" s="972">
        <v>42</v>
      </c>
      <c r="DL46" s="972">
        <v>2.4E-2</v>
      </c>
    </row>
    <row r="47" spans="20:116" ht="27" customHeight="1">
      <c r="T47" s="999" t="s">
        <v>1242</v>
      </c>
      <c r="V47" s="945"/>
      <c r="X47" s="1000"/>
      <c r="Z47" s="1000"/>
      <c r="AB47" s="1000"/>
      <c r="AD47" s="1000"/>
      <c r="AF47" s="2"/>
      <c r="AG47" s="2"/>
      <c r="AH47" s="2"/>
      <c r="AI47" s="2"/>
      <c r="AJ47" s="2"/>
      <c r="AK47" s="2"/>
      <c r="AL47" s="2"/>
      <c r="AM47" s="2"/>
      <c r="AN47" s="2"/>
      <c r="AO47" s="2"/>
      <c r="AP47" s="2"/>
      <c r="AU47" s="2232"/>
      <c r="AV47" s="978" t="s">
        <v>1284</v>
      </c>
      <c r="BA47" s="146"/>
      <c r="BM47" s="146"/>
      <c r="BO47" s="146"/>
      <c r="BP47" s="146"/>
      <c r="BQ47" s="146"/>
      <c r="BR47" s="146"/>
      <c r="BS47" s="146"/>
      <c r="BT47" s="146"/>
      <c r="BU47" s="146"/>
      <c r="BV47" s="146"/>
      <c r="BW47" s="146"/>
      <c r="BX47" s="146"/>
      <c r="BY47" s="146"/>
      <c r="BZ47" s="146"/>
      <c r="CA47" s="146"/>
      <c r="CB47" s="146"/>
      <c r="CC47" s="146"/>
      <c r="CE47" s="1073" t="s">
        <v>1234</v>
      </c>
      <c r="CF47" s="980" t="s">
        <v>898</v>
      </c>
      <c r="CG47" s="146"/>
      <c r="CH47" s="146"/>
      <c r="CJ47" s="146"/>
      <c r="CK47" s="146"/>
      <c r="CL47" s="146"/>
      <c r="CN47" s="146"/>
      <c r="CO47" s="146"/>
      <c r="CP47" s="146"/>
      <c r="CQ47" s="146"/>
      <c r="CR47" s="146"/>
      <c r="CV47" s="983" t="s">
        <v>1214</v>
      </c>
      <c r="CW47" s="994" t="s">
        <v>961</v>
      </c>
      <c r="CX47" s="944" t="str">
        <f t="shared" si="1"/>
        <v>[083]</v>
      </c>
      <c r="CY47" s="944">
        <v>38</v>
      </c>
      <c r="DF47" s="1079" t="s">
        <v>1131</v>
      </c>
      <c r="DG47" s="1075" t="s">
        <v>1232</v>
      </c>
      <c r="DH47" s="1077" t="str">
        <f t="shared" si="0"/>
        <v>[562]</v>
      </c>
      <c r="DI47" s="1077">
        <v>4</v>
      </c>
      <c r="DK47" s="972">
        <v>43</v>
      </c>
      <c r="DL47" s="972">
        <v>2.4E-2</v>
      </c>
    </row>
    <row r="48" spans="20:116" ht="27" customHeight="1">
      <c r="T48" s="978" t="s">
        <v>1244</v>
      </c>
      <c r="V48" s="945"/>
      <c r="X48" s="945"/>
      <c r="Z48" s="945"/>
      <c r="AB48" s="945"/>
      <c r="AD48" s="945"/>
      <c r="AF48" s="2"/>
      <c r="AG48" s="2"/>
      <c r="AH48" s="2"/>
      <c r="AI48" s="2"/>
      <c r="AJ48" s="2"/>
      <c r="AK48" s="2"/>
      <c r="AL48" s="2"/>
      <c r="AM48" s="2"/>
      <c r="AN48" s="2"/>
      <c r="AO48" s="2"/>
      <c r="AP48" s="2"/>
      <c r="AU48" s="2232"/>
      <c r="AV48" s="932" t="s">
        <v>1285</v>
      </c>
      <c r="BA48" s="146"/>
      <c r="BM48" s="146"/>
      <c r="BO48" s="146"/>
      <c r="BP48" s="146"/>
      <c r="BQ48" s="146"/>
      <c r="BR48" s="146"/>
      <c r="BS48" s="146"/>
      <c r="BT48" s="146"/>
      <c r="BU48" s="146"/>
      <c r="BV48" s="146"/>
      <c r="BW48" s="146"/>
      <c r="BX48" s="146"/>
      <c r="BY48" s="146"/>
      <c r="BZ48" s="146"/>
      <c r="CA48" s="146"/>
      <c r="CB48" s="146"/>
      <c r="CC48" s="146"/>
      <c r="CE48" s="1069" t="s">
        <v>1171</v>
      </c>
      <c r="CF48" s="1067" t="s">
        <v>898</v>
      </c>
      <c r="CG48" s="146"/>
      <c r="CH48" s="146"/>
      <c r="CJ48" s="146"/>
      <c r="CK48" s="146"/>
      <c r="CL48" s="146"/>
      <c r="CN48" s="146"/>
      <c r="CO48" s="146"/>
      <c r="CP48" s="146"/>
      <c r="CQ48" s="146"/>
      <c r="CR48" s="146"/>
      <c r="CV48" s="983" t="s">
        <v>1214</v>
      </c>
      <c r="CW48" s="994" t="s">
        <v>980</v>
      </c>
      <c r="CX48" s="944" t="str">
        <f t="shared" si="1"/>
        <v>[084]</v>
      </c>
      <c r="CY48" s="927">
        <v>34</v>
      </c>
      <c r="DF48" s="1079" t="s">
        <v>1131</v>
      </c>
      <c r="DG48" s="1075" t="s">
        <v>1236</v>
      </c>
      <c r="DH48" s="1077" t="str">
        <f t="shared" si="0"/>
        <v>[563]</v>
      </c>
      <c r="DI48" s="1077">
        <v>5</v>
      </c>
      <c r="DK48" s="972">
        <v>44</v>
      </c>
      <c r="DL48" s="972">
        <v>2.3E-2</v>
      </c>
    </row>
    <row r="49" spans="20:116" ht="27" customHeight="1">
      <c r="T49" s="978" t="s">
        <v>1246</v>
      </c>
      <c r="V49" s="945"/>
      <c r="X49" s="945"/>
      <c r="Z49" s="945"/>
      <c r="AB49" s="945"/>
      <c r="AD49" s="945"/>
      <c r="AF49" s="2"/>
      <c r="AG49" s="2"/>
      <c r="AH49" s="2"/>
      <c r="AI49" s="2"/>
      <c r="AJ49" s="2"/>
      <c r="AK49" s="2"/>
      <c r="AL49" s="2"/>
      <c r="AM49" s="2"/>
      <c r="AN49" s="2"/>
      <c r="AO49" s="2"/>
      <c r="AP49" s="2"/>
      <c r="AU49" s="2233"/>
      <c r="AV49" s="934" t="s">
        <v>1286</v>
      </c>
      <c r="BA49" s="146"/>
      <c r="BM49" s="146"/>
      <c r="BO49" s="146"/>
      <c r="BP49" s="146"/>
      <c r="BQ49" s="146"/>
      <c r="BR49" s="146"/>
      <c r="BS49" s="146"/>
      <c r="BT49" s="146"/>
      <c r="BU49" s="146"/>
      <c r="BV49" s="146"/>
      <c r="BW49" s="146"/>
      <c r="BX49" s="146"/>
      <c r="BY49" s="146"/>
      <c r="BZ49" s="146"/>
      <c r="CA49" s="146"/>
      <c r="CB49" s="146"/>
      <c r="CC49" s="146"/>
      <c r="CE49" s="1069" t="s">
        <v>1331</v>
      </c>
      <c r="CF49" s="1067" t="s">
        <v>1341</v>
      </c>
      <c r="CG49" s="146"/>
      <c r="CH49" s="146"/>
      <c r="CJ49" s="146"/>
      <c r="CK49" s="146"/>
      <c r="CL49" s="146"/>
      <c r="CN49" s="146"/>
      <c r="CO49" s="146"/>
      <c r="CP49" s="146"/>
      <c r="CQ49" s="146"/>
      <c r="CR49" s="146"/>
      <c r="CV49" s="983" t="s">
        <v>1214</v>
      </c>
      <c r="CW49" s="943" t="s">
        <v>1012</v>
      </c>
      <c r="CX49" s="944" t="str">
        <f t="shared" si="1"/>
        <v>[085]</v>
      </c>
      <c r="CY49" s="927">
        <v>19</v>
      </c>
      <c r="DF49" s="1079" t="s">
        <v>1131</v>
      </c>
      <c r="DG49" s="1075" t="s">
        <v>1238</v>
      </c>
      <c r="DH49" s="1077" t="str">
        <f t="shared" si="0"/>
        <v>[564]</v>
      </c>
      <c r="DI49" s="1077">
        <v>6</v>
      </c>
      <c r="DK49" s="972">
        <v>45</v>
      </c>
      <c r="DL49" s="972">
        <v>2.3E-2</v>
      </c>
    </row>
    <row r="50" spans="20:116" ht="27" customHeight="1">
      <c r="T50" s="978" t="s">
        <v>1026</v>
      </c>
      <c r="V50" s="945"/>
      <c r="X50" s="945"/>
      <c r="Z50" s="945"/>
      <c r="AB50" s="945"/>
      <c r="AD50" s="945"/>
      <c r="AF50" s="2"/>
      <c r="AG50" s="2"/>
      <c r="AH50" s="2"/>
      <c r="AI50" s="2"/>
      <c r="AJ50" s="2"/>
      <c r="AK50" s="2"/>
      <c r="AL50" s="2"/>
      <c r="AM50" s="2"/>
      <c r="AN50" s="2"/>
      <c r="AO50" s="2"/>
      <c r="AP50" s="2"/>
      <c r="AU50" s="2228" t="s">
        <v>1227</v>
      </c>
      <c r="AV50" s="965" t="s">
        <v>875</v>
      </c>
      <c r="BA50" s="146"/>
      <c r="BM50" s="146"/>
      <c r="BO50" s="146"/>
      <c r="BP50" s="146"/>
      <c r="BQ50" s="146"/>
      <c r="BR50" s="146"/>
      <c r="BS50" s="146"/>
      <c r="BT50" s="146"/>
      <c r="BU50" s="146"/>
      <c r="BV50" s="146"/>
      <c r="BW50" s="146"/>
      <c r="BX50" s="146"/>
      <c r="BY50" s="146"/>
      <c r="BZ50" s="146"/>
      <c r="CA50" s="146"/>
      <c r="CB50" s="146"/>
      <c r="CC50" s="146"/>
      <c r="CE50" s="1072" t="s">
        <v>1113</v>
      </c>
      <c r="CF50" s="1071" t="s">
        <v>898</v>
      </c>
      <c r="CG50" s="146"/>
      <c r="CH50" s="146"/>
      <c r="CJ50" s="146"/>
      <c r="CK50" s="146"/>
      <c r="CL50" s="146"/>
      <c r="CN50" s="146"/>
      <c r="CO50" s="146"/>
      <c r="CP50" s="146"/>
      <c r="CQ50" s="146"/>
      <c r="CR50" s="146"/>
      <c r="CV50" s="983" t="s">
        <v>1214</v>
      </c>
      <c r="CW50" s="994" t="s">
        <v>1035</v>
      </c>
      <c r="CX50" s="944" t="str">
        <f t="shared" si="1"/>
        <v>[086]</v>
      </c>
      <c r="CY50" s="927">
        <v>15</v>
      </c>
      <c r="DF50" s="1080" t="s">
        <v>1131</v>
      </c>
      <c r="DG50" s="1075" t="s">
        <v>1240</v>
      </c>
      <c r="DH50" s="1077" t="str">
        <f t="shared" si="0"/>
        <v>[565]</v>
      </c>
      <c r="DI50" s="1077">
        <v>7</v>
      </c>
      <c r="DK50" s="972">
        <v>46</v>
      </c>
      <c r="DL50" s="972">
        <v>2.2000000000000002E-2</v>
      </c>
    </row>
    <row r="51" spans="20:116" ht="27" customHeight="1">
      <c r="T51" s="978" t="s">
        <v>1047</v>
      </c>
      <c r="V51" s="945"/>
      <c r="X51" s="945"/>
      <c r="Z51" s="945"/>
      <c r="AB51" s="945"/>
      <c r="AD51" s="945"/>
      <c r="AF51" s="2"/>
      <c r="AG51" s="2"/>
      <c r="AH51" s="2"/>
      <c r="AI51" s="2"/>
      <c r="AJ51" s="2"/>
      <c r="AK51" s="2"/>
      <c r="AL51" s="2"/>
      <c r="AM51" s="2"/>
      <c r="AN51" s="2"/>
      <c r="AO51" s="2"/>
      <c r="AP51" s="2"/>
      <c r="AU51" s="2229"/>
      <c r="AV51" s="978" t="s">
        <v>920</v>
      </c>
      <c r="BA51" s="146"/>
      <c r="BM51" s="146"/>
      <c r="BO51" s="146"/>
      <c r="BP51" s="146"/>
      <c r="BQ51" s="146"/>
      <c r="BR51" s="146"/>
      <c r="BS51" s="146"/>
      <c r="BT51" s="146"/>
      <c r="BU51" s="146"/>
      <c r="BV51" s="146"/>
      <c r="BW51" s="146"/>
      <c r="BX51" s="146"/>
      <c r="BY51" s="146"/>
      <c r="BZ51" s="146"/>
      <c r="CA51" s="146"/>
      <c r="CB51" s="146"/>
      <c r="CC51" s="146"/>
      <c r="CE51" s="940" t="s">
        <v>1181</v>
      </c>
      <c r="CF51" s="1067" t="s">
        <v>898</v>
      </c>
      <c r="CG51" s="146"/>
      <c r="CH51" s="146"/>
      <c r="CJ51" s="146"/>
      <c r="CK51" s="146"/>
      <c r="CL51" s="146"/>
      <c r="CN51" s="146"/>
      <c r="CO51" s="146"/>
      <c r="CP51" s="146"/>
      <c r="CQ51" s="146"/>
      <c r="CR51" s="146"/>
      <c r="CV51" s="983" t="s">
        <v>1214</v>
      </c>
      <c r="CW51" s="986" t="s">
        <v>1057</v>
      </c>
      <c r="CX51" s="814" t="str">
        <f t="shared" si="1"/>
        <v>[088]</v>
      </c>
      <c r="CY51" s="927">
        <v>31</v>
      </c>
      <c r="DF51" s="1075" t="s">
        <v>1149</v>
      </c>
      <c r="DG51" s="1076" t="s">
        <v>898</v>
      </c>
      <c r="DH51" s="1077" t="str">
        <f t="shared" si="0"/>
        <v>[576]</v>
      </c>
      <c r="DI51" s="1077">
        <v>4</v>
      </c>
      <c r="DK51" s="972">
        <v>47</v>
      </c>
      <c r="DL51" s="972">
        <v>2.2000000000000002E-2</v>
      </c>
    </row>
    <row r="52" spans="20:116" ht="27" customHeight="1">
      <c r="T52" s="978" t="s">
        <v>1069</v>
      </c>
      <c r="V52" s="945"/>
      <c r="X52" s="945"/>
      <c r="Z52" s="945"/>
      <c r="AB52" s="945"/>
      <c r="AD52" s="945"/>
      <c r="AF52" s="2"/>
      <c r="AG52" s="2"/>
      <c r="AH52" s="2"/>
      <c r="AI52" s="2"/>
      <c r="AJ52" s="2"/>
      <c r="AK52" s="2"/>
      <c r="AL52" s="2"/>
      <c r="AM52" s="2"/>
      <c r="AN52" s="2"/>
      <c r="AO52" s="2"/>
      <c r="AP52" s="2"/>
      <c r="AU52" s="2229"/>
      <c r="AV52" s="978" t="s">
        <v>954</v>
      </c>
      <c r="BA52" s="146"/>
      <c r="BM52" s="146"/>
      <c r="BO52" s="146"/>
      <c r="BP52" s="146"/>
      <c r="BQ52" s="146"/>
      <c r="BR52" s="146"/>
      <c r="BS52" s="146"/>
      <c r="BT52" s="146"/>
      <c r="BU52" s="146"/>
      <c r="BV52" s="146"/>
      <c r="BW52" s="146"/>
      <c r="BX52" s="146"/>
      <c r="BY52" s="146"/>
      <c r="BZ52" s="146"/>
      <c r="CA52" s="146"/>
      <c r="CB52" s="146"/>
      <c r="CC52" s="146"/>
      <c r="CE52" s="940" t="s">
        <v>1185</v>
      </c>
      <c r="CF52" s="1067" t="s">
        <v>898</v>
      </c>
      <c r="CG52" s="146"/>
      <c r="CH52" s="146"/>
      <c r="CJ52" s="146"/>
      <c r="CK52" s="146"/>
      <c r="CL52" s="146"/>
      <c r="CN52" s="146"/>
      <c r="CO52" s="146"/>
      <c r="CP52" s="146"/>
      <c r="CQ52" s="146"/>
      <c r="CR52" s="146"/>
      <c r="CV52" s="983" t="s">
        <v>1214</v>
      </c>
      <c r="CW52" s="987" t="s">
        <v>1287</v>
      </c>
      <c r="CX52" s="988" t="str">
        <f t="shared" si="1"/>
        <v>[089]</v>
      </c>
      <c r="CY52" s="989">
        <v>19</v>
      </c>
      <c r="DF52" s="1075" t="s">
        <v>1158</v>
      </c>
      <c r="DG52" s="1076" t="s">
        <v>898</v>
      </c>
      <c r="DH52" s="1077" t="str">
        <f t="shared" si="0"/>
        <v>[586]</v>
      </c>
      <c r="DI52" s="1077">
        <v>5</v>
      </c>
      <c r="DK52" s="972">
        <v>48</v>
      </c>
      <c r="DL52" s="972">
        <v>2.1000000000000001E-2</v>
      </c>
    </row>
    <row r="53" spans="20:116" ht="27" customHeight="1">
      <c r="T53" s="978" t="s">
        <v>1086</v>
      </c>
      <c r="V53" s="945"/>
      <c r="X53" s="945"/>
      <c r="Z53" s="945"/>
      <c r="AB53" s="945"/>
      <c r="AD53" s="945"/>
      <c r="AF53" s="2"/>
      <c r="AG53" s="2"/>
      <c r="AH53" s="2"/>
      <c r="AI53" s="2"/>
      <c r="AJ53" s="2"/>
      <c r="AK53" s="2"/>
      <c r="AL53" s="2"/>
      <c r="AM53" s="2"/>
      <c r="AN53" s="2"/>
      <c r="AO53" s="2"/>
      <c r="AP53" s="2"/>
      <c r="AU53" s="2229"/>
      <c r="AV53" s="978" t="s">
        <v>980</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83" t="s">
        <v>1214</v>
      </c>
      <c r="CW53" s="987" t="s">
        <v>1288</v>
      </c>
      <c r="CX53" s="988" t="str">
        <f>LEFT(CV53,3)&amp;MID(CW53,2,3)</f>
        <v>[0810]</v>
      </c>
      <c r="CY53" s="989">
        <v>25</v>
      </c>
      <c r="DF53" s="2245" t="s">
        <v>1245</v>
      </c>
      <c r="DG53" s="2245"/>
      <c r="DH53" s="2245"/>
      <c r="DI53" s="2245"/>
      <c r="DK53" s="972">
        <v>49</v>
      </c>
      <c r="DL53" s="972">
        <v>2.1000000000000001E-2</v>
      </c>
    </row>
    <row r="54" spans="20:116" ht="27" customHeight="1">
      <c r="T54" s="978" t="s">
        <v>1107</v>
      </c>
      <c r="V54" s="945"/>
      <c r="X54" s="945"/>
      <c r="Z54" s="945"/>
      <c r="AB54" s="945"/>
      <c r="AD54" s="945"/>
      <c r="AF54" s="2"/>
      <c r="AG54" s="2"/>
      <c r="AH54" s="2"/>
      <c r="AI54" s="2"/>
      <c r="AJ54" s="2"/>
      <c r="AK54" s="2"/>
      <c r="AL54" s="2"/>
      <c r="AM54" s="2"/>
      <c r="AN54" s="2"/>
      <c r="AO54" s="2"/>
      <c r="AP54" s="2"/>
      <c r="AU54" s="2229"/>
      <c r="AV54" s="932" t="s">
        <v>1030</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83" t="s">
        <v>1214</v>
      </c>
      <c r="CW54" s="987" t="s">
        <v>1289</v>
      </c>
      <c r="CX54" s="988" t="str">
        <f>LEFT(CV54,3)&amp;MID(CW54,2,3)</f>
        <v>[0811]</v>
      </c>
      <c r="CY54" s="989">
        <v>31</v>
      </c>
      <c r="DF54" s="2246"/>
      <c r="DG54" s="2246"/>
      <c r="DH54" s="2246"/>
      <c r="DI54" s="2246"/>
      <c r="DK54" s="972">
        <v>50</v>
      </c>
      <c r="DL54" s="972">
        <v>0.02</v>
      </c>
    </row>
    <row r="55" spans="20:116" ht="27" customHeight="1">
      <c r="T55" s="978" t="s">
        <v>1250</v>
      </c>
      <c r="V55" s="945"/>
      <c r="X55" s="945"/>
      <c r="Z55" s="945"/>
      <c r="AB55" s="945"/>
      <c r="AD55" s="945"/>
      <c r="AF55" s="2"/>
      <c r="AG55" s="2"/>
      <c r="AH55" s="2"/>
      <c r="AI55" s="2"/>
      <c r="AJ55" s="2"/>
      <c r="AK55" s="2"/>
      <c r="AL55" s="2"/>
      <c r="AM55" s="2"/>
      <c r="AN55" s="2"/>
      <c r="AO55" s="2"/>
      <c r="AP55" s="2"/>
      <c r="AU55" s="2229"/>
      <c r="AV55" s="932" t="s">
        <v>1051</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71" t="s">
        <v>1228</v>
      </c>
      <c r="CW55" s="943" t="s">
        <v>894</v>
      </c>
      <c r="CX55" s="944" t="str">
        <f t="shared" si="1"/>
        <v>[111]</v>
      </c>
      <c r="CY55" s="944">
        <v>15</v>
      </c>
    </row>
    <row r="56" spans="20:116" ht="27" customHeight="1">
      <c r="T56" s="978" t="s">
        <v>1251</v>
      </c>
      <c r="V56" s="945"/>
      <c r="X56" s="945"/>
      <c r="Z56" s="945"/>
      <c r="AB56" s="945"/>
      <c r="AD56" s="945"/>
      <c r="AF56" s="2"/>
      <c r="AG56" s="2"/>
      <c r="AH56" s="2"/>
      <c r="AI56" s="2"/>
      <c r="AJ56" s="2"/>
      <c r="AK56" s="2"/>
      <c r="AL56" s="2"/>
      <c r="AM56" s="2"/>
      <c r="AN56" s="2"/>
      <c r="AO56" s="2"/>
      <c r="AP56" s="2"/>
      <c r="AU56" s="2229"/>
      <c r="AV56" s="978" t="s">
        <v>1284</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83" t="s">
        <v>1228</v>
      </c>
      <c r="CW56" s="943" t="s">
        <v>935</v>
      </c>
      <c r="CX56" s="944" t="str">
        <f t="shared" si="1"/>
        <v>[112]</v>
      </c>
      <c r="CY56" s="944">
        <v>15</v>
      </c>
    </row>
    <row r="57" spans="20:116" ht="27" customHeight="1">
      <c r="T57" s="978" t="s">
        <v>1252</v>
      </c>
      <c r="V57" s="945"/>
      <c r="X57" s="945"/>
      <c r="Z57" s="945"/>
      <c r="AB57" s="945"/>
      <c r="AD57" s="945"/>
      <c r="AF57" s="2"/>
      <c r="AG57" s="2"/>
      <c r="AH57" s="2"/>
      <c r="AI57" s="2"/>
      <c r="AJ57" s="2"/>
      <c r="AK57" s="2"/>
      <c r="AL57" s="2"/>
      <c r="AM57" s="2"/>
      <c r="AN57" s="2"/>
      <c r="AO57" s="2"/>
      <c r="AP57" s="2"/>
      <c r="AU57" s="2229"/>
      <c r="AV57" s="932" t="s">
        <v>1285</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83" t="s">
        <v>1228</v>
      </c>
      <c r="CW57" s="994" t="s">
        <v>961</v>
      </c>
      <c r="CX57" s="944" t="str">
        <f t="shared" si="1"/>
        <v>[113]</v>
      </c>
      <c r="CY57" s="944">
        <v>38</v>
      </c>
    </row>
    <row r="58" spans="20:116" ht="27" customHeight="1">
      <c r="T58" s="978" t="s">
        <v>1257</v>
      </c>
      <c r="V58" s="1000"/>
      <c r="X58" s="945"/>
      <c r="Z58" s="945"/>
      <c r="AB58" s="945"/>
      <c r="AD58" s="945"/>
      <c r="AF58" s="2"/>
      <c r="AG58" s="2"/>
      <c r="AH58" s="2"/>
      <c r="AI58" s="2"/>
      <c r="AJ58" s="2"/>
      <c r="AK58" s="2"/>
      <c r="AL58" s="2"/>
      <c r="AM58" s="2"/>
      <c r="AN58" s="2"/>
      <c r="AO58" s="2"/>
      <c r="AP58" s="2"/>
      <c r="AU58" s="2230"/>
      <c r="AV58" s="934" t="s">
        <v>1286</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83" t="s">
        <v>1228</v>
      </c>
      <c r="CW58" s="994" t="s">
        <v>1235</v>
      </c>
      <c r="CX58" s="944" t="str">
        <f t="shared" si="1"/>
        <v>[114]</v>
      </c>
      <c r="CY58" s="927">
        <v>34</v>
      </c>
    </row>
    <row r="59" spans="20:116" ht="27" customHeight="1">
      <c r="T59" s="977" t="s">
        <v>1260</v>
      </c>
      <c r="V59" s="945"/>
      <c r="X59" s="945"/>
      <c r="Z59" s="945"/>
      <c r="AB59" s="945"/>
      <c r="AD59" s="945"/>
      <c r="AF59" s="2"/>
      <c r="AG59" s="2"/>
      <c r="AH59" s="2"/>
      <c r="AI59" s="2"/>
      <c r="AJ59" s="2"/>
      <c r="AK59" s="2"/>
      <c r="AL59" s="2"/>
      <c r="AM59" s="2"/>
      <c r="AN59" s="2"/>
      <c r="AO59" s="2"/>
      <c r="AP59" s="2"/>
      <c r="AU59" s="2231" t="s">
        <v>1050</v>
      </c>
      <c r="AV59" s="965" t="s">
        <v>875</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83" t="s">
        <v>1228</v>
      </c>
      <c r="CW59" s="943" t="s">
        <v>1012</v>
      </c>
      <c r="CX59" s="944" t="str">
        <f t="shared" si="1"/>
        <v>[115]</v>
      </c>
      <c r="CY59" s="927">
        <v>17</v>
      </c>
    </row>
    <row r="60" spans="20:116" ht="27" customHeight="1">
      <c r="V60" s="945"/>
      <c r="AU60" s="2232"/>
      <c r="AV60" s="978" t="s">
        <v>920</v>
      </c>
      <c r="BO60" s="146"/>
      <c r="BQ60" s="146"/>
      <c r="BS60" s="146"/>
      <c r="BY60" s="146"/>
      <c r="CV60" s="983" t="s">
        <v>1228</v>
      </c>
      <c r="CW60" s="994" t="s">
        <v>1035</v>
      </c>
      <c r="CX60" s="944" t="str">
        <f t="shared" si="1"/>
        <v>[116]</v>
      </c>
      <c r="CY60" s="927">
        <v>14</v>
      </c>
    </row>
    <row r="61" spans="20:116" ht="27" customHeight="1">
      <c r="V61" s="945"/>
      <c r="AU61" s="2233"/>
      <c r="AV61" s="931" t="s">
        <v>1247</v>
      </c>
      <c r="CV61" s="983" t="s">
        <v>1228</v>
      </c>
      <c r="CW61" s="986" t="s">
        <v>1057</v>
      </c>
      <c r="CX61" s="814" t="str">
        <f t="shared" si="1"/>
        <v>[118]</v>
      </c>
      <c r="CY61" s="927">
        <v>31</v>
      </c>
    </row>
    <row r="62" spans="20:116" ht="27" customHeight="1">
      <c r="V62" s="945"/>
      <c r="AU62" s="2228" t="s">
        <v>1249</v>
      </c>
      <c r="AV62" s="965" t="s">
        <v>875</v>
      </c>
      <c r="CV62" s="983" t="s">
        <v>1228</v>
      </c>
      <c r="CW62" s="987" t="s">
        <v>1287</v>
      </c>
      <c r="CX62" s="988" t="str">
        <f t="shared" si="1"/>
        <v>[119]</v>
      </c>
      <c r="CY62" s="989">
        <v>17</v>
      </c>
    </row>
    <row r="63" spans="20:116" ht="27" customHeight="1">
      <c r="V63" s="945"/>
      <c r="AU63" s="2229"/>
      <c r="AV63" s="978" t="s">
        <v>920</v>
      </c>
      <c r="CE63" s="146"/>
      <c r="CF63" s="146"/>
      <c r="CV63" s="983" t="s">
        <v>1228</v>
      </c>
      <c r="CW63" s="987" t="s">
        <v>1288</v>
      </c>
      <c r="CX63" s="988" t="str">
        <f>LEFT(CV63,3)&amp;MID(CW63,2,3)</f>
        <v>[1110]</v>
      </c>
      <c r="CY63" s="989">
        <v>24</v>
      </c>
    </row>
    <row r="64" spans="20:116" ht="27" customHeight="1">
      <c r="V64" s="945"/>
      <c r="AU64" s="2229"/>
      <c r="AV64" s="978" t="s">
        <v>954</v>
      </c>
      <c r="CE64" s="146"/>
      <c r="CF64" s="146"/>
      <c r="CV64" s="983" t="s">
        <v>1228</v>
      </c>
      <c r="CW64" s="987" t="s">
        <v>1289</v>
      </c>
      <c r="CX64" s="988" t="str">
        <f>LEFT(CV64,3)&amp;MID(CW64,2,3)</f>
        <v>[1111]</v>
      </c>
      <c r="CY64" s="989">
        <v>31</v>
      </c>
    </row>
    <row r="65" spans="22:103" ht="27" customHeight="1">
      <c r="V65" s="945"/>
      <c r="AU65" s="2229"/>
      <c r="AV65" s="978" t="s">
        <v>980</v>
      </c>
      <c r="CE65" s="146"/>
      <c r="CF65" s="146"/>
      <c r="CV65" s="971" t="s">
        <v>1243</v>
      </c>
      <c r="CW65" s="943" t="s">
        <v>894</v>
      </c>
      <c r="CX65" s="944" t="str">
        <f t="shared" si="1"/>
        <v>[121]</v>
      </c>
      <c r="CY65" s="944">
        <v>5</v>
      </c>
    </row>
    <row r="66" spans="22:103" ht="27" customHeight="1">
      <c r="V66" s="945"/>
      <c r="AU66" s="2229"/>
      <c r="AV66" s="932" t="s">
        <v>1030</v>
      </c>
      <c r="CE66" s="146"/>
      <c r="CF66" s="146"/>
      <c r="CV66" s="983" t="s">
        <v>1243</v>
      </c>
      <c r="CW66" s="943" t="s">
        <v>935</v>
      </c>
      <c r="CX66" s="944" t="str">
        <f t="shared" si="1"/>
        <v>[122]</v>
      </c>
      <c r="CY66" s="944">
        <v>8</v>
      </c>
    </row>
    <row r="67" spans="22:103" ht="27" customHeight="1">
      <c r="V67" s="945"/>
      <c r="AU67" s="2229"/>
      <c r="AV67" s="932" t="s">
        <v>1051</v>
      </c>
      <c r="CE67" s="146"/>
      <c r="CF67" s="146"/>
      <c r="CV67" s="983" t="s">
        <v>1243</v>
      </c>
      <c r="CW67" s="943" t="s">
        <v>1248</v>
      </c>
      <c r="CX67" s="944" t="str">
        <f t="shared" si="1"/>
        <v>[127]</v>
      </c>
      <c r="CY67" s="927">
        <v>14</v>
      </c>
    </row>
    <row r="68" spans="22:103" ht="27" customHeight="1">
      <c r="V68" s="945"/>
      <c r="AU68" s="2229"/>
      <c r="AV68" s="978" t="s">
        <v>1284</v>
      </c>
      <c r="CE68" s="146"/>
      <c r="CF68" s="146"/>
      <c r="CV68" s="935" t="s">
        <v>1072</v>
      </c>
      <c r="CW68" s="943" t="s">
        <v>894</v>
      </c>
      <c r="CX68" s="927" t="str">
        <f t="shared" si="1"/>
        <v>[131]</v>
      </c>
      <c r="CY68" s="927">
        <v>24</v>
      </c>
    </row>
    <row r="69" spans="22:103" ht="27" customHeight="1">
      <c r="V69" s="945"/>
      <c r="AU69" s="2229"/>
      <c r="AV69" s="932" t="s">
        <v>1285</v>
      </c>
      <c r="CE69" s="146"/>
      <c r="CF69" s="146"/>
      <c r="CV69" s="932" t="s">
        <v>1072</v>
      </c>
      <c r="CW69" s="943" t="s">
        <v>935</v>
      </c>
      <c r="CX69" s="927" t="str">
        <f t="shared" si="1"/>
        <v>[132]</v>
      </c>
      <c r="CY69" s="927">
        <v>24</v>
      </c>
    </row>
    <row r="70" spans="22:103" ht="27" customHeight="1">
      <c r="V70" s="945"/>
      <c r="AU70" s="2230"/>
      <c r="AV70" s="934" t="s">
        <v>1286</v>
      </c>
      <c r="CE70" s="146"/>
      <c r="CF70" s="146"/>
      <c r="CV70" s="932" t="s">
        <v>1072</v>
      </c>
      <c r="CW70" s="994" t="s">
        <v>961</v>
      </c>
      <c r="CX70" s="927" t="str">
        <f t="shared" si="1"/>
        <v>[133]</v>
      </c>
      <c r="CY70" s="927">
        <v>50</v>
      </c>
    </row>
    <row r="71" spans="22:103" ht="27" customHeight="1">
      <c r="AU71" s="2231" t="s">
        <v>1253</v>
      </c>
      <c r="AV71" s="935" t="s">
        <v>1254</v>
      </c>
      <c r="CE71" s="146"/>
      <c r="CF71" s="146"/>
      <c r="CV71" s="932" t="s">
        <v>1072</v>
      </c>
      <c r="CW71" s="994" t="s">
        <v>980</v>
      </c>
      <c r="CX71" s="927" t="str">
        <f t="shared" si="1"/>
        <v>[134]</v>
      </c>
      <c r="CY71" s="927">
        <v>41</v>
      </c>
    </row>
    <row r="72" spans="22:103" ht="27" customHeight="1">
      <c r="AU72" s="2232"/>
      <c r="AV72" s="932" t="s">
        <v>1258</v>
      </c>
      <c r="CE72" s="146"/>
      <c r="CF72" s="146"/>
      <c r="CV72" s="932" t="s">
        <v>1072</v>
      </c>
      <c r="CW72" s="943" t="s">
        <v>1012</v>
      </c>
      <c r="CX72" s="927" t="str">
        <f t="shared" si="1"/>
        <v>[135]</v>
      </c>
      <c r="CY72" s="927">
        <v>22</v>
      </c>
    </row>
    <row r="73" spans="22:103" ht="27" customHeight="1">
      <c r="AU73" s="2233"/>
      <c r="AV73" s="977" t="s">
        <v>1261</v>
      </c>
      <c r="CE73" s="146"/>
      <c r="CF73" s="146"/>
      <c r="CV73" s="932" t="s">
        <v>1072</v>
      </c>
      <c r="CW73" s="994" t="s">
        <v>1035</v>
      </c>
      <c r="CX73" s="927" t="str">
        <f t="shared" si="1"/>
        <v>[136]</v>
      </c>
      <c r="CY73" s="927">
        <v>22</v>
      </c>
    </row>
    <row r="74" spans="22:103" ht="27" customHeight="1">
      <c r="AU74" s="2234" t="s">
        <v>1263</v>
      </c>
      <c r="AV74" s="935" t="s">
        <v>1264</v>
      </c>
      <c r="CE74" s="146"/>
      <c r="CF74" s="146"/>
      <c r="CV74" s="932" t="s">
        <v>1072</v>
      </c>
      <c r="CW74" s="986" t="s">
        <v>1057</v>
      </c>
      <c r="CX74" s="814" t="str">
        <f t="shared" si="1"/>
        <v>[138]</v>
      </c>
      <c r="CY74" s="927">
        <v>38</v>
      </c>
    </row>
    <row r="75" spans="22:103" ht="27" customHeight="1">
      <c r="AU75" s="2235"/>
      <c r="AV75" s="977" t="s">
        <v>1261</v>
      </c>
      <c r="CE75" s="146"/>
      <c r="CF75" s="146"/>
      <c r="CV75" s="932" t="s">
        <v>1072</v>
      </c>
      <c r="CW75" s="987" t="s">
        <v>1287</v>
      </c>
      <c r="CX75" s="927" t="str">
        <f t="shared" si="1"/>
        <v>[139]</v>
      </c>
      <c r="CY75" s="989">
        <v>22</v>
      </c>
    </row>
    <row r="76" spans="22:103" ht="27" customHeight="1">
      <c r="AU76" s="2228" t="s">
        <v>1126</v>
      </c>
      <c r="AV76" s="965" t="s">
        <v>1267</v>
      </c>
      <c r="CE76" s="146"/>
      <c r="CF76" s="146"/>
      <c r="CV76" s="932" t="s">
        <v>1072</v>
      </c>
      <c r="CW76" s="987" t="s">
        <v>1288</v>
      </c>
      <c r="CX76" s="988" t="str">
        <f>LEFT(CV76,3)&amp;MID(CW76,2,3)</f>
        <v>[1310]</v>
      </c>
      <c r="CY76" s="989">
        <v>30</v>
      </c>
    </row>
    <row r="77" spans="22:103" ht="27" customHeight="1">
      <c r="AU77" s="2229"/>
      <c r="AV77" s="978" t="s">
        <v>1270</v>
      </c>
      <c r="CE77" s="146"/>
      <c r="CF77" s="146"/>
      <c r="CV77" s="934" t="s">
        <v>1072</v>
      </c>
      <c r="CW77" s="987" t="s">
        <v>1289</v>
      </c>
      <c r="CX77" s="988" t="str">
        <f>LEFT(CV77,3)&amp;MID(CW77,2,3)</f>
        <v>[1311]</v>
      </c>
      <c r="CY77" s="989">
        <v>38</v>
      </c>
    </row>
    <row r="78" spans="22:103">
      <c r="AU78" s="2230"/>
      <c r="AV78" s="977" t="s">
        <v>1261</v>
      </c>
      <c r="CE78" s="146"/>
      <c r="CF78" s="146"/>
      <c r="CV78" s="932" t="s">
        <v>1255</v>
      </c>
      <c r="CW78" s="994" t="s">
        <v>1256</v>
      </c>
      <c r="CX78" s="927" t="str">
        <f t="shared" si="1"/>
        <v>[142]</v>
      </c>
      <c r="CY78" s="927">
        <v>14</v>
      </c>
    </row>
    <row r="79" spans="22:103">
      <c r="AU79" s="973" t="s">
        <v>1146</v>
      </c>
      <c r="AV79" s="1001" t="s">
        <v>1261</v>
      </c>
      <c r="CE79" s="146"/>
      <c r="CF79" s="146"/>
      <c r="CV79" s="932" t="s">
        <v>1255</v>
      </c>
      <c r="CW79" s="994" t="s">
        <v>1259</v>
      </c>
      <c r="CX79" s="927" t="str">
        <f t="shared" si="1"/>
        <v>[143]</v>
      </c>
      <c r="CY79" s="927">
        <v>5</v>
      </c>
    </row>
    <row r="80" spans="22:103">
      <c r="AU80" s="973" t="s">
        <v>1273</v>
      </c>
      <c r="AV80" s="1001" t="s">
        <v>1261</v>
      </c>
      <c r="CV80" s="932" t="s">
        <v>1255</v>
      </c>
      <c r="CW80" s="994" t="s">
        <v>1262</v>
      </c>
      <c r="CX80" s="927" t="str">
        <f t="shared" si="1"/>
        <v>[147]</v>
      </c>
      <c r="CY80" s="927">
        <v>30</v>
      </c>
    </row>
    <row r="81" spans="47:103" ht="22.5">
      <c r="AU81" s="2234" t="s">
        <v>1163</v>
      </c>
      <c r="AV81" s="935" t="s">
        <v>1264</v>
      </c>
      <c r="CV81" s="935" t="s">
        <v>1265</v>
      </c>
      <c r="CW81" s="994" t="s">
        <v>1266</v>
      </c>
      <c r="CX81" s="927" t="str">
        <f t="shared" si="1"/>
        <v>[151]</v>
      </c>
      <c r="CY81" s="927">
        <v>17</v>
      </c>
    </row>
    <row r="82" spans="47:103">
      <c r="AU82" s="2235"/>
      <c r="AV82" s="977" t="s">
        <v>1261</v>
      </c>
      <c r="CV82" s="934" t="s">
        <v>1265</v>
      </c>
      <c r="CW82" s="994" t="s">
        <v>1262</v>
      </c>
      <c r="CX82" s="927" t="str">
        <f t="shared" si="1"/>
        <v>[157]</v>
      </c>
      <c r="CY82" s="927">
        <v>30</v>
      </c>
    </row>
    <row r="83" spans="47:103">
      <c r="AU83" s="2234" t="s">
        <v>1169</v>
      </c>
      <c r="AV83" s="935" t="s">
        <v>1264</v>
      </c>
      <c r="CV83" s="932" t="s">
        <v>1268</v>
      </c>
      <c r="CW83" s="994" t="s">
        <v>1269</v>
      </c>
      <c r="CX83" s="927" t="str">
        <f t="shared" si="1"/>
        <v>[164]</v>
      </c>
      <c r="CY83" s="927">
        <v>10</v>
      </c>
    </row>
    <row r="84" spans="47:103">
      <c r="AU84" s="2235"/>
      <c r="AV84" s="977" t="s">
        <v>1261</v>
      </c>
      <c r="CV84" s="932" t="s">
        <v>1268</v>
      </c>
      <c r="CW84" s="994" t="s">
        <v>1271</v>
      </c>
      <c r="CX84" s="927" t="str">
        <f t="shared" si="1"/>
        <v>[166]</v>
      </c>
      <c r="CY84" s="927">
        <v>8</v>
      </c>
    </row>
    <row r="85" spans="47:103">
      <c r="AU85" s="1946" t="s">
        <v>1176</v>
      </c>
      <c r="AV85" s="935" t="s">
        <v>1264</v>
      </c>
      <c r="CV85" s="934" t="s">
        <v>1268</v>
      </c>
      <c r="CW85" s="994" t="s">
        <v>1262</v>
      </c>
      <c r="CX85" s="927" t="str">
        <f t="shared" si="1"/>
        <v>[167]</v>
      </c>
      <c r="CY85" s="927">
        <v>30</v>
      </c>
    </row>
    <row r="86" spans="47:103">
      <c r="AU86" s="1947"/>
      <c r="AV86" s="932" t="s">
        <v>1254</v>
      </c>
      <c r="CV86" s="941" t="s">
        <v>1272</v>
      </c>
      <c r="CW86" s="994" t="s">
        <v>1262</v>
      </c>
      <c r="CX86" s="927" t="str">
        <f t="shared" si="1"/>
        <v>[177]</v>
      </c>
      <c r="CY86" s="927">
        <v>8</v>
      </c>
    </row>
    <row r="87" spans="47:103">
      <c r="AU87" s="1947"/>
      <c r="AV87" s="932" t="s">
        <v>1258</v>
      </c>
      <c r="CV87" s="932" t="s">
        <v>1274</v>
      </c>
      <c r="CW87" s="994" t="s">
        <v>1262</v>
      </c>
      <c r="CX87" s="927" t="str">
        <f t="shared" si="1"/>
        <v>[187]</v>
      </c>
      <c r="CY87" s="927">
        <v>8</v>
      </c>
    </row>
    <row r="88" spans="47:103" ht="22.5">
      <c r="AU88" s="1947"/>
      <c r="AV88" s="978" t="s">
        <v>1267</v>
      </c>
      <c r="CV88" s="935" t="s">
        <v>1275</v>
      </c>
      <c r="CW88" s="994" t="s">
        <v>1266</v>
      </c>
      <c r="CX88" s="927" t="str">
        <f t="shared" si="1"/>
        <v>[191]</v>
      </c>
      <c r="CY88" s="927">
        <v>17</v>
      </c>
    </row>
    <row r="89" spans="47:103">
      <c r="AU89" s="1947"/>
      <c r="AV89" s="978" t="s">
        <v>1278</v>
      </c>
      <c r="CV89" s="932" t="s">
        <v>1275</v>
      </c>
      <c r="CW89" s="994" t="s">
        <v>1262</v>
      </c>
      <c r="CX89" s="927" t="str">
        <f t="shared" si="1"/>
        <v>[197]</v>
      </c>
      <c r="CY89" s="927">
        <v>30</v>
      </c>
    </row>
    <row r="90" spans="47:103" ht="22.5">
      <c r="AU90" s="1947"/>
      <c r="AV90" s="978" t="s">
        <v>1270</v>
      </c>
      <c r="CV90" s="935" t="s">
        <v>1276</v>
      </c>
      <c r="CW90" s="994" t="s">
        <v>1266</v>
      </c>
      <c r="CX90" s="927" t="str">
        <f t="shared" si="1"/>
        <v>[251]</v>
      </c>
      <c r="CY90" s="927">
        <v>17</v>
      </c>
    </row>
    <row r="91" spans="47:103">
      <c r="AU91" s="1948"/>
      <c r="AV91" s="977" t="s">
        <v>1261</v>
      </c>
      <c r="CV91" s="934" t="s">
        <v>1276</v>
      </c>
      <c r="CW91" s="994" t="s">
        <v>1262</v>
      </c>
      <c r="CX91" s="927" t="str">
        <f t="shared" si="1"/>
        <v>[257]</v>
      </c>
      <c r="CY91" s="927">
        <v>30</v>
      </c>
    </row>
    <row r="92" spans="47:103" ht="22.5">
      <c r="CV92" s="935" t="s">
        <v>1277</v>
      </c>
      <c r="CW92" s="994" t="s">
        <v>1266</v>
      </c>
      <c r="CX92" s="927" t="str">
        <f t="shared" ref="CX92:CX98" si="2">LEFT(CV92,3)&amp;MID(CW92,2,2)</f>
        <v>[311]</v>
      </c>
      <c r="CY92" s="927">
        <v>17</v>
      </c>
    </row>
    <row r="93" spans="47:103">
      <c r="CV93" s="932" t="s">
        <v>1277</v>
      </c>
      <c r="CW93" s="994" t="s">
        <v>1256</v>
      </c>
      <c r="CX93" s="927" t="str">
        <f t="shared" si="2"/>
        <v>[312]</v>
      </c>
      <c r="CY93" s="927">
        <v>14</v>
      </c>
    </row>
    <row r="94" spans="47:103">
      <c r="CV94" s="932" t="s">
        <v>1277</v>
      </c>
      <c r="CW94" s="994" t="s">
        <v>1259</v>
      </c>
      <c r="CX94" s="927" t="str">
        <f t="shared" si="2"/>
        <v>[313]</v>
      </c>
      <c r="CY94" s="927">
        <v>5</v>
      </c>
    </row>
    <row r="95" spans="47:103">
      <c r="CV95" s="932" t="s">
        <v>1277</v>
      </c>
      <c r="CW95" s="994" t="s">
        <v>1269</v>
      </c>
      <c r="CX95" s="927" t="str">
        <f t="shared" si="2"/>
        <v>[314]</v>
      </c>
      <c r="CY95" s="927">
        <v>10</v>
      </c>
    </row>
    <row r="96" spans="47:103">
      <c r="CV96" s="932" t="s">
        <v>1277</v>
      </c>
      <c r="CW96" s="994" t="s">
        <v>1279</v>
      </c>
      <c r="CX96" s="927" t="str">
        <f t="shared" si="2"/>
        <v>[315]</v>
      </c>
      <c r="CY96" s="927">
        <v>8</v>
      </c>
    </row>
    <row r="97" spans="100:103">
      <c r="CV97" s="932" t="s">
        <v>1277</v>
      </c>
      <c r="CW97" s="994" t="s">
        <v>1271</v>
      </c>
      <c r="CX97" s="927" t="str">
        <f t="shared" si="2"/>
        <v>[316]</v>
      </c>
      <c r="CY97" s="927">
        <v>8</v>
      </c>
    </row>
    <row r="98" spans="100:103">
      <c r="CV98" s="932" t="s">
        <v>1277</v>
      </c>
      <c r="CW98" s="994" t="s">
        <v>1262</v>
      </c>
      <c r="CX98" s="927" t="str">
        <f t="shared" si="2"/>
        <v>[317]</v>
      </c>
      <c r="CY98" s="927">
        <v>8</v>
      </c>
    </row>
    <row r="99" spans="100:103">
      <c r="CV99" s="1002" t="s">
        <v>1280</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7A44FAA-E29A-4473-AB24-95BFFB2F0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C44E843-5266-4024-913A-998F32C4EE61}">
  <ds:schemaRefs>
    <ds:schemaRef ds:uri="http://schemas.microsoft.com/sharepoint/v3/contenttype/forms"/>
  </ds:schemaRefs>
</ds:datastoreItem>
</file>

<file path=customXml/itemProps3.xml><?xml version="1.0" encoding="utf-8"?>
<ds:datastoreItem xmlns:ds="http://schemas.openxmlformats.org/officeDocument/2006/customXml" ds:itemID="{616B80D9-0058-476D-BC24-12FC9AC5C2C9}">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60</vt:i4>
      </vt:variant>
    </vt:vector>
  </HeadingPairs>
  <TitlesOfParts>
    <vt:vector size="86" baseType="lpstr">
      <vt:lpstr>指標部入力</vt:lpstr>
      <vt:lpstr>表紙_組織</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目次_組織_米以外!Print_Area</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2020-03-06T09:35:33Z</dcterms:created>
  <dcterms:modified xsi:type="dcterms:W3CDTF">2025-12-18T06:24:13Z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