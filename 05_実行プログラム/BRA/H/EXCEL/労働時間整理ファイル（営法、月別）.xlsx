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 defaultThemeVersion="124226"/>
  <xr:revisionPtr revIDLastSave="0" documentId="13_ncr:1_{3E44E612-83AD-49AB-ABB3-E24B9FD1B019}" xr6:coauthVersionLast="47" xr6:coauthVersionMax="47" xr10:uidLastSave="{00000000-0000-0000-0000-000000000000}"/>
  <bookViews>
    <workbookView xWindow="468" yWindow="600" windowWidth="15012" windowHeight="10488" xr2:uid="{00000000-000D-0000-FFFF-FFFF00000000}"/>
  </bookViews>
  <sheets>
    <sheet name="設定" sheetId="80" r:id="rId1"/>
    <sheet name="月別入力" sheetId="81" r:id="rId2"/>
    <sheet name="12_01_労働の概況" sheetId="79" r:id="rId3"/>
    <sheet name="12_02_労働の概況" sheetId="83" r:id="rId4"/>
    <sheet name="リスト " sheetId="82" state="hidden" r:id="rId5"/>
  </sheets>
  <externalReferences>
    <externalReference r:id="rId6"/>
  </externalReferences>
  <definedNames>
    <definedName name="_xlnm._FilterDatabase" localSheetId="1" hidden="1">月別入力!$B$5:$J$678</definedName>
    <definedName name="_xlnm._FilterDatabase" localSheetId="0" hidden="1">設定!$B$8:$N$108</definedName>
    <definedName name="_xlnm.Print_Area" localSheetId="2">'12_01_労働の概況'!$A$1:$AB$45</definedName>
    <definedName name="_xlnm.Print_Area" localSheetId="3">'12_02_労働の概況'!$A$1:$AR$52</definedName>
    <definedName name="_xlnm.Print_Area" localSheetId="1">月別入力!$B$1:$J$681</definedName>
    <definedName name="_xlnm.Print_Titles" localSheetId="1">月別入力!$1:$6</definedName>
    <definedName name="_xlnm.Print_Titles" localSheetId="0">設定!$1:$8</definedName>
    <definedName name="建築物コード" localSheetId="4">#REF!</definedName>
    <definedName name="建物コード" localSheetId="4">#REF!</definedName>
    <definedName name="構造コード" localSheetId="4">#REF!</definedName>
    <definedName name="構築物コード" localSheetId="4">#REF!</definedName>
    <definedName name="残存割合" localSheetId="4">#REF!</definedName>
    <definedName name="自動車コード" localSheetId="4">#REF!</definedName>
    <definedName name="償却率" localSheetId="4">[1]種類・構造・型式・牛馬コード!$AH$4:$AI$103</definedName>
    <definedName name="新古_修繕区分" localSheetId="4">#REF!</definedName>
    <definedName name="生産費" localSheetId="4">#REF!</definedName>
    <definedName name="生産費区分" localSheetId="4">#REF!</definedName>
    <definedName name="税制19年" localSheetId="4">#REF!</definedName>
    <definedName name="税制20年" localSheetId="4">#REF!</definedName>
    <definedName name="耐用年数" localSheetId="4">[1]種類・構造・型式・牛馬コード!$Y$1:$AF$322</definedName>
    <definedName name="調査始期" localSheetId="4">#REF!</definedName>
    <definedName name="調査年" localSheetId="4">'[1]表紙 (新)'!$G$66</definedName>
    <definedName name="農機具コード" localSheetId="4">#REF!</definedName>
  </definedNames>
  <calcPr calcId="181029"/>
</workbook>
</file>

<file path=xl/calcChain.xml><?xml version="1.0" encoding="utf-8"?>
<calcChain xmlns="http://schemas.openxmlformats.org/spreadsheetml/2006/main">
  <c r="U44" i="79" l="1"/>
  <c r="P44" i="79"/>
  <c r="K44" i="79"/>
  <c r="U43" i="79"/>
  <c r="P43" i="79"/>
  <c r="K43" i="79"/>
  <c r="U42" i="79"/>
  <c r="P42" i="79"/>
  <c r="K42" i="79"/>
  <c r="U41" i="79"/>
  <c r="P41" i="79"/>
  <c r="K41" i="79"/>
  <c r="U40" i="79"/>
  <c r="P40" i="79"/>
  <c r="K40" i="79"/>
  <c r="U39" i="79"/>
  <c r="P39" i="79"/>
  <c r="K39" i="79"/>
  <c r="U38" i="79"/>
  <c r="P38" i="79"/>
  <c r="K38" i="79"/>
  <c r="U37" i="79"/>
  <c r="P37" i="79"/>
  <c r="K37" i="79"/>
  <c r="U36" i="79"/>
  <c r="P36" i="79"/>
  <c r="K36" i="79"/>
  <c r="U35" i="79"/>
  <c r="P35" i="79"/>
  <c r="K35" i="79"/>
  <c r="U34" i="79"/>
  <c r="P34" i="79"/>
  <c r="K34" i="79"/>
  <c r="U33" i="79"/>
  <c r="P33" i="79"/>
  <c r="K33" i="79"/>
  <c r="U32" i="79"/>
  <c r="P32" i="79"/>
  <c r="K32" i="79"/>
  <c r="U31" i="79"/>
  <c r="P31" i="79"/>
  <c r="K31" i="79"/>
  <c r="I681" i="81" l="1"/>
  <c r="H681" i="81"/>
  <c r="G681" i="81"/>
  <c r="F681" i="81"/>
  <c r="I680" i="81"/>
  <c r="H680" i="81"/>
  <c r="G680" i="81"/>
  <c r="F680" i="81"/>
  <c r="I679" i="81"/>
  <c r="H679" i="81"/>
  <c r="G679" i="81"/>
  <c r="F679" i="81"/>
  <c r="I678" i="81"/>
  <c r="H678" i="81"/>
  <c r="G678" i="81"/>
  <c r="F678" i="81"/>
  <c r="I677" i="81"/>
  <c r="H677" i="81"/>
  <c r="G677" i="81"/>
  <c r="F677" i="81"/>
  <c r="I676" i="81"/>
  <c r="H676" i="81"/>
  <c r="G676" i="81"/>
  <c r="F676" i="81"/>
  <c r="I675" i="81"/>
  <c r="H675" i="81"/>
  <c r="G675" i="81"/>
  <c r="F675" i="81"/>
  <c r="I674" i="81"/>
  <c r="H674" i="81"/>
  <c r="G674" i="81"/>
  <c r="F674" i="81"/>
  <c r="I673" i="81"/>
  <c r="H673" i="81"/>
  <c r="G673" i="81"/>
  <c r="F673" i="81"/>
  <c r="I672" i="81"/>
  <c r="H672" i="81"/>
  <c r="G672" i="81"/>
  <c r="F672" i="81"/>
  <c r="I671" i="81"/>
  <c r="H671" i="81"/>
  <c r="G671" i="81"/>
  <c r="F671" i="81"/>
  <c r="I670" i="81"/>
  <c r="H670" i="81"/>
  <c r="G670" i="81"/>
  <c r="F670" i="81"/>
  <c r="I669" i="81"/>
  <c r="H669" i="81"/>
  <c r="G669" i="81"/>
  <c r="F669" i="81"/>
  <c r="I668" i="81"/>
  <c r="H668" i="81"/>
  <c r="G668" i="81"/>
  <c r="F668" i="81"/>
  <c r="I667" i="81"/>
  <c r="H667" i="81"/>
  <c r="G667" i="81"/>
  <c r="F667" i="81"/>
  <c r="I666" i="81"/>
  <c r="H666" i="81"/>
  <c r="G666" i="81"/>
  <c r="F666" i="81"/>
  <c r="I665" i="81"/>
  <c r="H665" i="81"/>
  <c r="G665" i="81"/>
  <c r="F665" i="81"/>
  <c r="I664" i="81"/>
  <c r="H664" i="81"/>
  <c r="G664" i="81"/>
  <c r="F664" i="81"/>
  <c r="I663" i="81"/>
  <c r="H663" i="81"/>
  <c r="G663" i="81"/>
  <c r="F663" i="81"/>
  <c r="I662" i="81"/>
  <c r="H662" i="81"/>
  <c r="G662" i="81"/>
  <c r="F662" i="81"/>
  <c r="I661" i="81"/>
  <c r="H661" i="81"/>
  <c r="G661" i="81"/>
  <c r="F661" i="81"/>
  <c r="I660" i="81"/>
  <c r="H660" i="81"/>
  <c r="G660" i="81"/>
  <c r="F660" i="81"/>
  <c r="I659" i="81"/>
  <c r="H659" i="81"/>
  <c r="G659" i="81"/>
  <c r="F659" i="81"/>
  <c r="I658" i="81"/>
  <c r="H658" i="81"/>
  <c r="G658" i="81"/>
  <c r="F658" i="81"/>
  <c r="I657" i="81"/>
  <c r="H657" i="81"/>
  <c r="G657" i="81"/>
  <c r="F657" i="81"/>
  <c r="I656" i="81"/>
  <c r="H656" i="81"/>
  <c r="G656" i="81"/>
  <c r="F656" i="81"/>
  <c r="I655" i="81"/>
  <c r="H655" i="81"/>
  <c r="G655" i="81"/>
  <c r="F655" i="81"/>
  <c r="I654" i="81"/>
  <c r="H654" i="81"/>
  <c r="G654" i="81"/>
  <c r="F654" i="81"/>
  <c r="I653" i="81"/>
  <c r="H653" i="81"/>
  <c r="G653" i="81"/>
  <c r="F653" i="81"/>
  <c r="I652" i="81"/>
  <c r="H652" i="81"/>
  <c r="G652" i="81"/>
  <c r="F652" i="81"/>
  <c r="I651" i="81"/>
  <c r="H651" i="81"/>
  <c r="G651" i="81"/>
  <c r="F651" i="81"/>
  <c r="I650" i="81"/>
  <c r="H650" i="81"/>
  <c r="G650" i="81"/>
  <c r="F650" i="81"/>
  <c r="I649" i="81"/>
  <c r="H649" i="81"/>
  <c r="G649" i="81"/>
  <c r="F649" i="81"/>
  <c r="I648" i="81"/>
  <c r="H648" i="81"/>
  <c r="G648" i="81"/>
  <c r="F648" i="81"/>
  <c r="I647" i="81"/>
  <c r="H647" i="81"/>
  <c r="G647" i="81"/>
  <c r="F647" i="81"/>
  <c r="I646" i="81"/>
  <c r="H646" i="81"/>
  <c r="G646" i="81"/>
  <c r="F646" i="81"/>
  <c r="I645" i="81"/>
  <c r="H645" i="81"/>
  <c r="G645" i="81"/>
  <c r="F645" i="81"/>
  <c r="I644" i="81"/>
  <c r="H644" i="81"/>
  <c r="G644" i="81"/>
  <c r="F644" i="81"/>
  <c r="I643" i="81"/>
  <c r="H643" i="81"/>
  <c r="G643" i="81"/>
  <c r="F643" i="81"/>
  <c r="I642" i="81"/>
  <c r="H642" i="81"/>
  <c r="G642" i="81"/>
  <c r="F642" i="81"/>
  <c r="I641" i="81"/>
  <c r="H641" i="81"/>
  <c r="G641" i="81"/>
  <c r="F641" i="81"/>
  <c r="I640" i="81"/>
  <c r="H640" i="81"/>
  <c r="G640" i="81"/>
  <c r="F640" i="81"/>
  <c r="I639" i="81"/>
  <c r="H639" i="81"/>
  <c r="G639" i="81"/>
  <c r="F639" i="81"/>
  <c r="I638" i="81"/>
  <c r="H638" i="81"/>
  <c r="G638" i="81"/>
  <c r="F638" i="81"/>
  <c r="I637" i="81"/>
  <c r="H637" i="81"/>
  <c r="G637" i="81"/>
  <c r="F637" i="81"/>
  <c r="I636" i="81"/>
  <c r="H636" i="81"/>
  <c r="G636" i="81"/>
  <c r="F636" i="81"/>
  <c r="I635" i="81"/>
  <c r="H635" i="81"/>
  <c r="G635" i="81"/>
  <c r="F635" i="81"/>
  <c r="I634" i="81"/>
  <c r="H634" i="81"/>
  <c r="G634" i="81"/>
  <c r="F634" i="81"/>
  <c r="I633" i="81"/>
  <c r="H633" i="81"/>
  <c r="G633" i="81"/>
  <c r="F633" i="81"/>
  <c r="I632" i="81"/>
  <c r="H632" i="81"/>
  <c r="G632" i="81"/>
  <c r="F632" i="81"/>
  <c r="I631" i="81"/>
  <c r="H631" i="81"/>
  <c r="G631" i="81"/>
  <c r="F631" i="81"/>
  <c r="I630" i="81"/>
  <c r="H630" i="81"/>
  <c r="G630" i="81"/>
  <c r="F630" i="81"/>
  <c r="I629" i="81"/>
  <c r="H629" i="81"/>
  <c r="G629" i="81"/>
  <c r="F629" i="81"/>
  <c r="I628" i="81"/>
  <c r="H628" i="81"/>
  <c r="G628" i="81"/>
  <c r="F628" i="81"/>
  <c r="I627" i="81"/>
  <c r="H627" i="81"/>
  <c r="G627" i="81"/>
  <c r="F627" i="81"/>
  <c r="I626" i="81"/>
  <c r="H626" i="81"/>
  <c r="G626" i="81"/>
  <c r="F626" i="81"/>
  <c r="I625" i="81"/>
  <c r="H625" i="81"/>
  <c r="G625" i="81"/>
  <c r="F625" i="81"/>
  <c r="I624" i="81"/>
  <c r="H624" i="81"/>
  <c r="G624" i="81"/>
  <c r="F624" i="81"/>
  <c r="I623" i="81"/>
  <c r="H623" i="81"/>
  <c r="G623" i="81"/>
  <c r="F623" i="81"/>
  <c r="I622" i="81"/>
  <c r="H622" i="81"/>
  <c r="G622" i="81"/>
  <c r="F622" i="81"/>
  <c r="I621" i="81"/>
  <c r="H621" i="81"/>
  <c r="G621" i="81"/>
  <c r="F621" i="81"/>
  <c r="I620" i="81"/>
  <c r="H620" i="81"/>
  <c r="G620" i="81"/>
  <c r="F620" i="81"/>
  <c r="I619" i="81"/>
  <c r="H619" i="81"/>
  <c r="G619" i="81"/>
  <c r="F619" i="81"/>
  <c r="I618" i="81"/>
  <c r="H618" i="81"/>
  <c r="G618" i="81"/>
  <c r="F618" i="81"/>
  <c r="I617" i="81"/>
  <c r="H617" i="81"/>
  <c r="G617" i="81"/>
  <c r="F617" i="81"/>
  <c r="I616" i="81"/>
  <c r="H616" i="81"/>
  <c r="G616" i="81"/>
  <c r="F616" i="81"/>
  <c r="I615" i="81"/>
  <c r="H615" i="81"/>
  <c r="G615" i="81"/>
  <c r="F615" i="81"/>
  <c r="I614" i="81"/>
  <c r="H614" i="81"/>
  <c r="G614" i="81"/>
  <c r="F614" i="81"/>
  <c r="I613" i="81"/>
  <c r="H613" i="81"/>
  <c r="G613" i="81"/>
  <c r="F613" i="81"/>
  <c r="I612" i="81"/>
  <c r="H612" i="81"/>
  <c r="G612" i="81"/>
  <c r="F612" i="81"/>
  <c r="I611" i="81"/>
  <c r="H611" i="81"/>
  <c r="G611" i="81"/>
  <c r="F611" i="81"/>
  <c r="I610" i="81"/>
  <c r="H610" i="81"/>
  <c r="G610" i="81"/>
  <c r="F610" i="81"/>
  <c r="I609" i="81"/>
  <c r="H609" i="81"/>
  <c r="G609" i="81"/>
  <c r="F609" i="81"/>
  <c r="I608" i="81"/>
  <c r="H608" i="81"/>
  <c r="G608" i="81"/>
  <c r="F608" i="81"/>
  <c r="I607" i="81"/>
  <c r="H607" i="81"/>
  <c r="G607" i="81"/>
  <c r="F607" i="81"/>
  <c r="I606" i="81"/>
  <c r="H606" i="81"/>
  <c r="G606" i="81"/>
  <c r="F606" i="81"/>
  <c r="I605" i="81"/>
  <c r="H605" i="81"/>
  <c r="G605" i="81"/>
  <c r="F605" i="81"/>
  <c r="I604" i="81"/>
  <c r="H604" i="81"/>
  <c r="G604" i="81"/>
  <c r="F604" i="81"/>
  <c r="I603" i="81"/>
  <c r="H603" i="81"/>
  <c r="G603" i="81"/>
  <c r="F603" i="81"/>
  <c r="I602" i="81"/>
  <c r="H602" i="81"/>
  <c r="G602" i="81"/>
  <c r="F602" i="81"/>
  <c r="I601" i="81"/>
  <c r="H601" i="81"/>
  <c r="G601" i="81"/>
  <c r="F601" i="81"/>
  <c r="I600" i="81"/>
  <c r="H600" i="81"/>
  <c r="G600" i="81"/>
  <c r="F600" i="81"/>
  <c r="I599" i="81"/>
  <c r="H599" i="81"/>
  <c r="G599" i="81"/>
  <c r="F599" i="81"/>
  <c r="I598" i="81"/>
  <c r="H598" i="81"/>
  <c r="G598" i="81"/>
  <c r="F598" i="81"/>
  <c r="I597" i="81"/>
  <c r="H597" i="81"/>
  <c r="G597" i="81"/>
  <c r="F597" i="81"/>
  <c r="I596" i="81"/>
  <c r="H596" i="81"/>
  <c r="G596" i="81"/>
  <c r="F596" i="81"/>
  <c r="I595" i="81"/>
  <c r="H595" i="81"/>
  <c r="G595" i="81"/>
  <c r="F595" i="81"/>
  <c r="I594" i="81"/>
  <c r="H594" i="81"/>
  <c r="G594" i="81"/>
  <c r="F594" i="81"/>
  <c r="I593" i="81"/>
  <c r="H593" i="81"/>
  <c r="G593" i="81"/>
  <c r="F593" i="81"/>
  <c r="I592" i="81"/>
  <c r="H592" i="81"/>
  <c r="G592" i="81"/>
  <c r="F592" i="81"/>
  <c r="I591" i="81"/>
  <c r="H591" i="81"/>
  <c r="G591" i="81"/>
  <c r="F591" i="81"/>
  <c r="I590" i="81"/>
  <c r="H590" i="81"/>
  <c r="G590" i="81"/>
  <c r="F590" i="81"/>
  <c r="I589" i="81"/>
  <c r="H589" i="81"/>
  <c r="G589" i="81"/>
  <c r="F589" i="81"/>
  <c r="I588" i="81"/>
  <c r="H588" i="81"/>
  <c r="G588" i="81"/>
  <c r="F588" i="81"/>
  <c r="I587" i="81"/>
  <c r="H587" i="81"/>
  <c r="G587" i="81"/>
  <c r="F587" i="81"/>
  <c r="I586" i="81"/>
  <c r="H586" i="81"/>
  <c r="G586" i="81"/>
  <c r="F586" i="81"/>
  <c r="I585" i="81"/>
  <c r="H585" i="81"/>
  <c r="G585" i="81"/>
  <c r="F585" i="81"/>
  <c r="I584" i="81"/>
  <c r="H584" i="81"/>
  <c r="G584" i="81"/>
  <c r="F584" i="81"/>
  <c r="I583" i="81"/>
  <c r="H583" i="81"/>
  <c r="G583" i="81"/>
  <c r="F583" i="81"/>
  <c r="I582" i="81"/>
  <c r="H582" i="81"/>
  <c r="G582" i="81"/>
  <c r="F582" i="81"/>
  <c r="I581" i="81"/>
  <c r="H581" i="81"/>
  <c r="G581" i="81"/>
  <c r="F581" i="81"/>
  <c r="I580" i="81"/>
  <c r="H580" i="81"/>
  <c r="G580" i="81"/>
  <c r="F580" i="81"/>
  <c r="I579" i="81"/>
  <c r="H579" i="81"/>
  <c r="G579" i="81"/>
  <c r="F579" i="81"/>
  <c r="I578" i="81"/>
  <c r="H578" i="81"/>
  <c r="G578" i="81"/>
  <c r="F578" i="81"/>
  <c r="I577" i="81"/>
  <c r="H577" i="81"/>
  <c r="G577" i="81"/>
  <c r="F577" i="81"/>
  <c r="I576" i="81"/>
  <c r="H576" i="81"/>
  <c r="G576" i="81"/>
  <c r="F576" i="81"/>
  <c r="I575" i="81"/>
  <c r="H575" i="81"/>
  <c r="G575" i="81"/>
  <c r="F575" i="81"/>
  <c r="I574" i="81"/>
  <c r="H574" i="81"/>
  <c r="G574" i="81"/>
  <c r="F574" i="81"/>
  <c r="I573" i="81"/>
  <c r="H573" i="81"/>
  <c r="G573" i="81"/>
  <c r="F573" i="81"/>
  <c r="I572" i="81"/>
  <c r="H572" i="81"/>
  <c r="G572" i="81"/>
  <c r="F572" i="81"/>
  <c r="I571" i="81"/>
  <c r="H571" i="81"/>
  <c r="G571" i="81"/>
  <c r="F571" i="81"/>
  <c r="I570" i="81"/>
  <c r="H570" i="81"/>
  <c r="G570" i="81"/>
  <c r="F570" i="81"/>
  <c r="I569" i="81"/>
  <c r="H569" i="81"/>
  <c r="G569" i="81"/>
  <c r="F569" i="81"/>
  <c r="I568" i="81"/>
  <c r="H568" i="81"/>
  <c r="G568" i="81"/>
  <c r="F568" i="81"/>
  <c r="I567" i="81"/>
  <c r="H567" i="81"/>
  <c r="G567" i="81"/>
  <c r="F567" i="81"/>
  <c r="I566" i="81"/>
  <c r="H566" i="81"/>
  <c r="G566" i="81"/>
  <c r="F566" i="81"/>
  <c r="I565" i="81"/>
  <c r="H565" i="81"/>
  <c r="G565" i="81"/>
  <c r="F565" i="81"/>
  <c r="I564" i="81"/>
  <c r="H564" i="81"/>
  <c r="G564" i="81"/>
  <c r="F564" i="81"/>
  <c r="I563" i="81"/>
  <c r="H563" i="81"/>
  <c r="G563" i="81"/>
  <c r="F563" i="81"/>
  <c r="I562" i="81"/>
  <c r="H562" i="81"/>
  <c r="G562" i="81"/>
  <c r="F562" i="81"/>
  <c r="I561" i="81"/>
  <c r="H561" i="81"/>
  <c r="G561" i="81"/>
  <c r="F561" i="81"/>
  <c r="I560" i="81"/>
  <c r="H560" i="81"/>
  <c r="G560" i="81"/>
  <c r="F560" i="81"/>
  <c r="I559" i="81"/>
  <c r="H559" i="81"/>
  <c r="G559" i="81"/>
  <c r="F559" i="81"/>
  <c r="I558" i="81"/>
  <c r="H558" i="81"/>
  <c r="G558" i="81"/>
  <c r="F558" i="81"/>
  <c r="I557" i="81"/>
  <c r="H557" i="81"/>
  <c r="G557" i="81"/>
  <c r="F557" i="81"/>
  <c r="I556" i="81"/>
  <c r="H556" i="81"/>
  <c r="G556" i="81"/>
  <c r="F556" i="81"/>
  <c r="I555" i="81"/>
  <c r="H555" i="81"/>
  <c r="G555" i="81"/>
  <c r="F555" i="81"/>
  <c r="I554" i="81"/>
  <c r="H554" i="81"/>
  <c r="G554" i="81"/>
  <c r="F554" i="81"/>
  <c r="I553" i="81"/>
  <c r="H553" i="81"/>
  <c r="G553" i="81"/>
  <c r="F553" i="81"/>
  <c r="I552" i="81"/>
  <c r="H552" i="81"/>
  <c r="G552" i="81"/>
  <c r="F552" i="81"/>
  <c r="I551" i="81"/>
  <c r="H551" i="81"/>
  <c r="G551" i="81"/>
  <c r="F551" i="81"/>
  <c r="I550" i="81"/>
  <c r="H550" i="81"/>
  <c r="G550" i="81"/>
  <c r="F550" i="81"/>
  <c r="I549" i="81"/>
  <c r="H549" i="81"/>
  <c r="G549" i="81"/>
  <c r="F549" i="81"/>
  <c r="I548" i="81"/>
  <c r="H548" i="81"/>
  <c r="G548" i="81"/>
  <c r="F548" i="81"/>
  <c r="I547" i="81"/>
  <c r="H547" i="81"/>
  <c r="G547" i="81"/>
  <c r="F547" i="81"/>
  <c r="I546" i="81"/>
  <c r="H546" i="81"/>
  <c r="G546" i="81"/>
  <c r="F546" i="81"/>
  <c r="I545" i="81"/>
  <c r="H545" i="81"/>
  <c r="G545" i="81"/>
  <c r="F545" i="81"/>
  <c r="I544" i="81"/>
  <c r="H544" i="81"/>
  <c r="G544" i="81"/>
  <c r="F544" i="81"/>
  <c r="I543" i="81"/>
  <c r="H543" i="81"/>
  <c r="G543" i="81"/>
  <c r="F543" i="81"/>
  <c r="I542" i="81"/>
  <c r="H542" i="81"/>
  <c r="G542" i="81"/>
  <c r="F542" i="81"/>
  <c r="I541" i="81"/>
  <c r="H541" i="81"/>
  <c r="G541" i="81"/>
  <c r="F541" i="81"/>
  <c r="I540" i="81"/>
  <c r="H540" i="81"/>
  <c r="G540" i="81"/>
  <c r="F540" i="81"/>
  <c r="I539" i="81"/>
  <c r="H539" i="81"/>
  <c r="G539" i="81"/>
  <c r="F539" i="81"/>
  <c r="I538" i="81"/>
  <c r="H538" i="81"/>
  <c r="G538" i="81"/>
  <c r="F538" i="81"/>
  <c r="I537" i="81"/>
  <c r="H537" i="81"/>
  <c r="G537" i="81"/>
  <c r="F537" i="81"/>
  <c r="I536" i="81"/>
  <c r="H536" i="81"/>
  <c r="G536" i="81"/>
  <c r="F536" i="81"/>
  <c r="I535" i="81"/>
  <c r="H535" i="81"/>
  <c r="G535" i="81"/>
  <c r="F535" i="81"/>
  <c r="I534" i="81"/>
  <c r="H534" i="81"/>
  <c r="G534" i="81"/>
  <c r="F534" i="81"/>
  <c r="I533" i="81"/>
  <c r="H533" i="81"/>
  <c r="G533" i="81"/>
  <c r="F533" i="81"/>
  <c r="I532" i="81"/>
  <c r="H532" i="81"/>
  <c r="G532" i="81"/>
  <c r="F532" i="81"/>
  <c r="I531" i="81"/>
  <c r="H531" i="81"/>
  <c r="G531" i="81"/>
  <c r="F531" i="81"/>
  <c r="I530" i="81"/>
  <c r="H530" i="81"/>
  <c r="G530" i="81"/>
  <c r="F530" i="81"/>
  <c r="I529" i="81"/>
  <c r="H529" i="81"/>
  <c r="G529" i="81"/>
  <c r="F529" i="81"/>
  <c r="I528" i="81"/>
  <c r="H528" i="81"/>
  <c r="G528" i="81"/>
  <c r="F528" i="81"/>
  <c r="I527" i="81"/>
  <c r="H527" i="81"/>
  <c r="G527" i="81"/>
  <c r="F527" i="81"/>
  <c r="I526" i="81"/>
  <c r="H526" i="81"/>
  <c r="G526" i="81"/>
  <c r="F526" i="81"/>
  <c r="I525" i="81"/>
  <c r="H525" i="81"/>
  <c r="G525" i="81"/>
  <c r="F525" i="81"/>
  <c r="I524" i="81"/>
  <c r="H524" i="81"/>
  <c r="G524" i="81"/>
  <c r="F524" i="81"/>
  <c r="I523" i="81"/>
  <c r="H523" i="81"/>
  <c r="G523" i="81"/>
  <c r="F523" i="81"/>
  <c r="I522" i="81"/>
  <c r="H522" i="81"/>
  <c r="G522" i="81"/>
  <c r="F522" i="81"/>
  <c r="I521" i="81"/>
  <c r="H521" i="81"/>
  <c r="G521" i="81"/>
  <c r="F521" i="81"/>
  <c r="I520" i="81"/>
  <c r="H520" i="81"/>
  <c r="G520" i="81"/>
  <c r="F520" i="81"/>
  <c r="I519" i="81"/>
  <c r="H519" i="81"/>
  <c r="G519" i="81"/>
  <c r="F519" i="81"/>
  <c r="I518" i="81"/>
  <c r="H518" i="81"/>
  <c r="G518" i="81"/>
  <c r="F518" i="81"/>
  <c r="I517" i="81"/>
  <c r="H517" i="81"/>
  <c r="G517" i="81"/>
  <c r="F517" i="81"/>
  <c r="I516" i="81"/>
  <c r="H516" i="81"/>
  <c r="G516" i="81"/>
  <c r="F516" i="81"/>
  <c r="I515" i="81"/>
  <c r="H515" i="81"/>
  <c r="G515" i="81"/>
  <c r="F515" i="81"/>
  <c r="I514" i="81"/>
  <c r="H514" i="81"/>
  <c r="G514" i="81"/>
  <c r="F514" i="81"/>
  <c r="I513" i="81"/>
  <c r="H513" i="81"/>
  <c r="G513" i="81"/>
  <c r="F513" i="81"/>
  <c r="I512" i="81"/>
  <c r="H512" i="81"/>
  <c r="G512" i="81"/>
  <c r="F512" i="81"/>
  <c r="I511" i="81"/>
  <c r="H511" i="81"/>
  <c r="G511" i="81"/>
  <c r="F511" i="81"/>
  <c r="I510" i="81"/>
  <c r="H510" i="81"/>
  <c r="G510" i="81"/>
  <c r="F510" i="81"/>
  <c r="I509" i="81"/>
  <c r="H509" i="81"/>
  <c r="G509" i="81"/>
  <c r="F509" i="81"/>
  <c r="I508" i="81"/>
  <c r="H508" i="81"/>
  <c r="G508" i="81"/>
  <c r="F508" i="81"/>
  <c r="I507" i="81"/>
  <c r="H507" i="81"/>
  <c r="G507" i="81"/>
  <c r="F507" i="81"/>
  <c r="I506" i="81"/>
  <c r="H506" i="81"/>
  <c r="G506" i="81"/>
  <c r="F506" i="81"/>
  <c r="I505" i="81"/>
  <c r="H505" i="81"/>
  <c r="G505" i="81"/>
  <c r="F505" i="81"/>
  <c r="I504" i="81"/>
  <c r="H504" i="81"/>
  <c r="G504" i="81"/>
  <c r="F504" i="81"/>
  <c r="I503" i="81"/>
  <c r="H503" i="81"/>
  <c r="G503" i="81"/>
  <c r="F503" i="81"/>
  <c r="I502" i="81"/>
  <c r="H502" i="81"/>
  <c r="G502" i="81"/>
  <c r="F502" i="81"/>
  <c r="I501" i="81"/>
  <c r="H501" i="81"/>
  <c r="G501" i="81"/>
  <c r="F501" i="81"/>
  <c r="I500" i="81"/>
  <c r="H500" i="81"/>
  <c r="G500" i="81"/>
  <c r="F500" i="81"/>
  <c r="I499" i="81"/>
  <c r="H499" i="81"/>
  <c r="G499" i="81"/>
  <c r="F499" i="81"/>
  <c r="I498" i="81"/>
  <c r="H498" i="81"/>
  <c r="G498" i="81"/>
  <c r="F498" i="81"/>
  <c r="I497" i="81"/>
  <c r="H497" i="81"/>
  <c r="G497" i="81"/>
  <c r="F497" i="81"/>
  <c r="I496" i="81"/>
  <c r="H496" i="81"/>
  <c r="G496" i="81"/>
  <c r="F496" i="81"/>
  <c r="I495" i="81"/>
  <c r="H495" i="81"/>
  <c r="G495" i="81"/>
  <c r="F495" i="81"/>
  <c r="I494" i="81"/>
  <c r="H494" i="81"/>
  <c r="G494" i="81"/>
  <c r="F494" i="81"/>
  <c r="I493" i="81"/>
  <c r="H493" i="81"/>
  <c r="G493" i="81"/>
  <c r="F493" i="81"/>
  <c r="I492" i="81"/>
  <c r="H492" i="81"/>
  <c r="G492" i="81"/>
  <c r="F492" i="81"/>
  <c r="I491" i="81"/>
  <c r="H491" i="81"/>
  <c r="G491" i="81"/>
  <c r="F491" i="81"/>
  <c r="I490" i="81"/>
  <c r="H490" i="81"/>
  <c r="G490" i="81"/>
  <c r="F490" i="81"/>
  <c r="I489" i="81"/>
  <c r="H489" i="81"/>
  <c r="G489" i="81"/>
  <c r="F489" i="81"/>
  <c r="I488" i="81"/>
  <c r="H488" i="81"/>
  <c r="G488" i="81"/>
  <c r="F488" i="81"/>
  <c r="I487" i="81"/>
  <c r="H487" i="81"/>
  <c r="G487" i="81"/>
  <c r="F487" i="81"/>
  <c r="I486" i="81"/>
  <c r="H486" i="81"/>
  <c r="G486" i="81"/>
  <c r="F486" i="81"/>
  <c r="I485" i="81"/>
  <c r="H485" i="81"/>
  <c r="G485" i="81"/>
  <c r="F485" i="81"/>
  <c r="I484" i="81"/>
  <c r="H484" i="81"/>
  <c r="G484" i="81"/>
  <c r="F484" i="81"/>
  <c r="I483" i="81"/>
  <c r="H483" i="81"/>
  <c r="G483" i="81"/>
  <c r="F483" i="81"/>
  <c r="I482" i="81"/>
  <c r="H482" i="81"/>
  <c r="G482" i="81"/>
  <c r="F482" i="81"/>
  <c r="I481" i="81"/>
  <c r="H481" i="81"/>
  <c r="G481" i="81"/>
  <c r="F481" i="81"/>
  <c r="I480" i="81"/>
  <c r="H480" i="81"/>
  <c r="G480" i="81"/>
  <c r="F480" i="81"/>
  <c r="I479" i="81"/>
  <c r="H479" i="81"/>
  <c r="G479" i="81"/>
  <c r="F479" i="81"/>
  <c r="I478" i="81"/>
  <c r="H478" i="81"/>
  <c r="G478" i="81"/>
  <c r="F478" i="81"/>
  <c r="I477" i="81"/>
  <c r="H477" i="81"/>
  <c r="G477" i="81"/>
  <c r="F477" i="81"/>
  <c r="I476" i="81"/>
  <c r="H476" i="81"/>
  <c r="G476" i="81"/>
  <c r="F476" i="81"/>
  <c r="I475" i="81"/>
  <c r="H475" i="81"/>
  <c r="G475" i="81"/>
  <c r="F475" i="81"/>
  <c r="I474" i="81"/>
  <c r="H474" i="81"/>
  <c r="G474" i="81"/>
  <c r="F474" i="81"/>
  <c r="I473" i="81"/>
  <c r="H473" i="81"/>
  <c r="G473" i="81"/>
  <c r="F473" i="81"/>
  <c r="I472" i="81"/>
  <c r="H472" i="81"/>
  <c r="G472" i="81"/>
  <c r="F472" i="81"/>
  <c r="I471" i="81"/>
  <c r="H471" i="81"/>
  <c r="G471" i="81"/>
  <c r="F471" i="81"/>
  <c r="I470" i="81"/>
  <c r="H470" i="81"/>
  <c r="G470" i="81"/>
  <c r="F470" i="81"/>
  <c r="I469" i="81"/>
  <c r="H469" i="81"/>
  <c r="G469" i="81"/>
  <c r="F469" i="81"/>
  <c r="I468" i="81"/>
  <c r="H468" i="81"/>
  <c r="G468" i="81"/>
  <c r="F468" i="81"/>
  <c r="I467" i="81"/>
  <c r="H467" i="81"/>
  <c r="G467" i="81"/>
  <c r="F467" i="81"/>
  <c r="I466" i="81"/>
  <c r="H466" i="81"/>
  <c r="G466" i="81"/>
  <c r="F466" i="81"/>
  <c r="I465" i="81"/>
  <c r="H465" i="81"/>
  <c r="G465" i="81"/>
  <c r="F465" i="81"/>
  <c r="I464" i="81"/>
  <c r="H464" i="81"/>
  <c r="G464" i="81"/>
  <c r="F464" i="81"/>
  <c r="I463" i="81"/>
  <c r="H463" i="81"/>
  <c r="G463" i="81"/>
  <c r="F463" i="81"/>
  <c r="I462" i="81"/>
  <c r="H462" i="81"/>
  <c r="G462" i="81"/>
  <c r="F462" i="81"/>
  <c r="I461" i="81"/>
  <c r="H461" i="81"/>
  <c r="G461" i="81"/>
  <c r="F461" i="81"/>
  <c r="I460" i="81"/>
  <c r="H460" i="81"/>
  <c r="G460" i="81"/>
  <c r="F460" i="81"/>
  <c r="I459" i="81"/>
  <c r="H459" i="81"/>
  <c r="G459" i="81"/>
  <c r="F459" i="81"/>
  <c r="I458" i="81"/>
  <c r="H458" i="81"/>
  <c r="G458" i="81"/>
  <c r="F458" i="81"/>
  <c r="I457" i="81"/>
  <c r="H457" i="81"/>
  <c r="G457" i="81"/>
  <c r="F457" i="81"/>
  <c r="I456" i="81"/>
  <c r="H456" i="81"/>
  <c r="G456" i="81"/>
  <c r="F456" i="81"/>
  <c r="I455" i="81"/>
  <c r="H455" i="81"/>
  <c r="G455" i="81"/>
  <c r="F455" i="81"/>
  <c r="I454" i="81"/>
  <c r="H454" i="81"/>
  <c r="G454" i="81"/>
  <c r="F454" i="81"/>
  <c r="I453" i="81"/>
  <c r="H453" i="81"/>
  <c r="G453" i="81"/>
  <c r="F453" i="81"/>
  <c r="I452" i="81"/>
  <c r="H452" i="81"/>
  <c r="G452" i="81"/>
  <c r="F452" i="81"/>
  <c r="I451" i="81"/>
  <c r="H451" i="81"/>
  <c r="G451" i="81"/>
  <c r="F451" i="81"/>
  <c r="I450" i="81"/>
  <c r="H450" i="81"/>
  <c r="G450" i="81"/>
  <c r="F450" i="81"/>
  <c r="I449" i="81"/>
  <c r="H449" i="81"/>
  <c r="G449" i="81"/>
  <c r="F449" i="81"/>
  <c r="I448" i="81"/>
  <c r="H448" i="81"/>
  <c r="G448" i="81"/>
  <c r="F448" i="81"/>
  <c r="I447" i="81"/>
  <c r="H447" i="81"/>
  <c r="G447" i="81"/>
  <c r="F447" i="81"/>
  <c r="I446" i="81"/>
  <c r="H446" i="81"/>
  <c r="G446" i="81"/>
  <c r="F446" i="81"/>
  <c r="I445" i="81"/>
  <c r="H445" i="81"/>
  <c r="G445" i="81"/>
  <c r="F445" i="81"/>
  <c r="I444" i="81"/>
  <c r="H444" i="81"/>
  <c r="G444" i="81"/>
  <c r="F444" i="81"/>
  <c r="I443" i="81"/>
  <c r="H443" i="81"/>
  <c r="G443" i="81"/>
  <c r="F443" i="81"/>
  <c r="I442" i="81"/>
  <c r="H442" i="81"/>
  <c r="G442" i="81"/>
  <c r="F442" i="81"/>
  <c r="I441" i="81"/>
  <c r="H441" i="81"/>
  <c r="G441" i="81"/>
  <c r="F441" i="81"/>
  <c r="I440" i="81"/>
  <c r="H440" i="81"/>
  <c r="G440" i="81"/>
  <c r="F440" i="81"/>
  <c r="I439" i="81"/>
  <c r="H439" i="81"/>
  <c r="G439" i="81"/>
  <c r="F439" i="81"/>
  <c r="I438" i="81"/>
  <c r="H438" i="81"/>
  <c r="G438" i="81"/>
  <c r="F438" i="81"/>
  <c r="I437" i="81"/>
  <c r="H437" i="81"/>
  <c r="G437" i="81"/>
  <c r="F437" i="81"/>
  <c r="I436" i="81"/>
  <c r="H436" i="81"/>
  <c r="G436" i="81"/>
  <c r="F436" i="81"/>
  <c r="I435" i="81"/>
  <c r="H435" i="81"/>
  <c r="G435" i="81"/>
  <c r="F435" i="81"/>
  <c r="I434" i="81"/>
  <c r="H434" i="81"/>
  <c r="G434" i="81"/>
  <c r="F434" i="81"/>
  <c r="I433" i="81"/>
  <c r="H433" i="81"/>
  <c r="G433" i="81"/>
  <c r="F433" i="81"/>
  <c r="I432" i="81"/>
  <c r="H432" i="81"/>
  <c r="G432" i="81"/>
  <c r="F432" i="81"/>
  <c r="I431" i="81"/>
  <c r="H431" i="81"/>
  <c r="G431" i="81"/>
  <c r="F431" i="81"/>
  <c r="I430" i="81"/>
  <c r="H430" i="81"/>
  <c r="G430" i="81"/>
  <c r="F430" i="81"/>
  <c r="I429" i="81"/>
  <c r="H429" i="81"/>
  <c r="G429" i="81"/>
  <c r="F429" i="81"/>
  <c r="I428" i="81"/>
  <c r="H428" i="81"/>
  <c r="G428" i="81"/>
  <c r="F428" i="81"/>
  <c r="I427" i="81"/>
  <c r="H427" i="81"/>
  <c r="G427" i="81"/>
  <c r="F427" i="81"/>
  <c r="I426" i="81"/>
  <c r="H426" i="81"/>
  <c r="G426" i="81"/>
  <c r="F426" i="81"/>
  <c r="I425" i="81"/>
  <c r="H425" i="81"/>
  <c r="G425" i="81"/>
  <c r="F425" i="81"/>
  <c r="I424" i="81"/>
  <c r="H424" i="81"/>
  <c r="G424" i="81"/>
  <c r="F424" i="81"/>
  <c r="I423" i="81"/>
  <c r="H423" i="81"/>
  <c r="G423" i="81"/>
  <c r="F423" i="81"/>
  <c r="I422" i="81"/>
  <c r="H422" i="81"/>
  <c r="G422" i="81"/>
  <c r="F422" i="81"/>
  <c r="I421" i="81"/>
  <c r="H421" i="81"/>
  <c r="G421" i="81"/>
  <c r="F421" i="81"/>
  <c r="I420" i="81"/>
  <c r="H420" i="81"/>
  <c r="G420" i="81"/>
  <c r="F420" i="81"/>
  <c r="I419" i="81"/>
  <c r="H419" i="81"/>
  <c r="G419" i="81"/>
  <c r="F419" i="81"/>
  <c r="I418" i="81"/>
  <c r="H418" i="81"/>
  <c r="G418" i="81"/>
  <c r="F418" i="81"/>
  <c r="I417" i="81"/>
  <c r="H417" i="81"/>
  <c r="G417" i="81"/>
  <c r="F417" i="81"/>
  <c r="I416" i="81"/>
  <c r="H416" i="81"/>
  <c r="G416" i="81"/>
  <c r="F416" i="81"/>
  <c r="I415" i="81"/>
  <c r="H415" i="81"/>
  <c r="G415" i="81"/>
  <c r="F415" i="81"/>
  <c r="I414" i="81"/>
  <c r="H414" i="81"/>
  <c r="G414" i="81"/>
  <c r="F414" i="81"/>
  <c r="I413" i="81"/>
  <c r="H413" i="81"/>
  <c r="G413" i="81"/>
  <c r="F413" i="81"/>
  <c r="I412" i="81"/>
  <c r="H412" i="81"/>
  <c r="G412" i="81"/>
  <c r="F412" i="81"/>
  <c r="I411" i="81"/>
  <c r="H411" i="81"/>
  <c r="G411" i="81"/>
  <c r="F411" i="81"/>
  <c r="I410" i="81"/>
  <c r="H410" i="81"/>
  <c r="G410" i="81"/>
  <c r="F410" i="81"/>
  <c r="I409" i="81"/>
  <c r="H409" i="81"/>
  <c r="G409" i="81"/>
  <c r="F409" i="81"/>
  <c r="I408" i="81"/>
  <c r="H408" i="81"/>
  <c r="G408" i="81"/>
  <c r="F408" i="81"/>
  <c r="I407" i="81"/>
  <c r="H407" i="81"/>
  <c r="G407" i="81"/>
  <c r="F407" i="81"/>
  <c r="I406" i="81"/>
  <c r="H406" i="81"/>
  <c r="G406" i="81"/>
  <c r="F406" i="81"/>
  <c r="I405" i="81"/>
  <c r="H405" i="81"/>
  <c r="G405" i="81"/>
  <c r="F405" i="81"/>
  <c r="I404" i="81"/>
  <c r="H404" i="81"/>
  <c r="G404" i="81"/>
  <c r="F404" i="81"/>
  <c r="I403" i="81"/>
  <c r="H403" i="81"/>
  <c r="G403" i="81"/>
  <c r="F403" i="81"/>
  <c r="I402" i="81"/>
  <c r="H402" i="81"/>
  <c r="G402" i="81"/>
  <c r="F402" i="81"/>
  <c r="I401" i="81"/>
  <c r="H401" i="81"/>
  <c r="G401" i="81"/>
  <c r="F401" i="81"/>
  <c r="I400" i="81"/>
  <c r="H400" i="81"/>
  <c r="G400" i="81"/>
  <c r="F400" i="81"/>
  <c r="I399" i="81"/>
  <c r="H399" i="81"/>
  <c r="G399" i="81"/>
  <c r="F399" i="81"/>
  <c r="I398" i="81"/>
  <c r="H398" i="81"/>
  <c r="G398" i="81"/>
  <c r="F398" i="81"/>
  <c r="I397" i="81"/>
  <c r="H397" i="81"/>
  <c r="G397" i="81"/>
  <c r="F397" i="81"/>
  <c r="I396" i="81"/>
  <c r="H396" i="81"/>
  <c r="G396" i="81"/>
  <c r="F396" i="81"/>
  <c r="I395" i="81"/>
  <c r="H395" i="81"/>
  <c r="G395" i="81"/>
  <c r="F395" i="81"/>
  <c r="I394" i="81"/>
  <c r="H394" i="81"/>
  <c r="G394" i="81"/>
  <c r="F394" i="81"/>
  <c r="I393" i="81"/>
  <c r="H393" i="81"/>
  <c r="G393" i="81"/>
  <c r="F393" i="81"/>
  <c r="I392" i="81"/>
  <c r="H392" i="81"/>
  <c r="G392" i="81"/>
  <c r="F392" i="81"/>
  <c r="I391" i="81"/>
  <c r="H391" i="81"/>
  <c r="G391" i="81"/>
  <c r="F391" i="81"/>
  <c r="I390" i="81"/>
  <c r="H390" i="81"/>
  <c r="G390" i="81"/>
  <c r="F390" i="81"/>
  <c r="I389" i="81"/>
  <c r="H389" i="81"/>
  <c r="G389" i="81"/>
  <c r="F389" i="81"/>
  <c r="I388" i="81"/>
  <c r="H388" i="81"/>
  <c r="G388" i="81"/>
  <c r="F388" i="81"/>
  <c r="I387" i="81"/>
  <c r="H387" i="81"/>
  <c r="G387" i="81"/>
  <c r="F387" i="81"/>
  <c r="I386" i="81"/>
  <c r="H386" i="81"/>
  <c r="G386" i="81"/>
  <c r="F386" i="81"/>
  <c r="I385" i="81"/>
  <c r="H385" i="81"/>
  <c r="G385" i="81"/>
  <c r="F385" i="81"/>
  <c r="I384" i="81"/>
  <c r="H384" i="81"/>
  <c r="G384" i="81"/>
  <c r="F384" i="81"/>
  <c r="I383" i="81"/>
  <c r="H383" i="81"/>
  <c r="G383" i="81"/>
  <c r="F383" i="81"/>
  <c r="I382" i="81"/>
  <c r="H382" i="81"/>
  <c r="G382" i="81"/>
  <c r="F382" i="81"/>
  <c r="I381" i="81"/>
  <c r="H381" i="81"/>
  <c r="G381" i="81"/>
  <c r="F381" i="81"/>
  <c r="I380" i="81"/>
  <c r="H380" i="81"/>
  <c r="G380" i="81"/>
  <c r="F380" i="81"/>
  <c r="I379" i="81"/>
  <c r="H379" i="81"/>
  <c r="G379" i="81"/>
  <c r="F379" i="81"/>
  <c r="I378" i="81"/>
  <c r="H378" i="81"/>
  <c r="G378" i="81"/>
  <c r="F378" i="81"/>
  <c r="I377" i="81"/>
  <c r="H377" i="81"/>
  <c r="G377" i="81"/>
  <c r="F377" i="81"/>
  <c r="I376" i="81"/>
  <c r="H376" i="81"/>
  <c r="G376" i="81"/>
  <c r="F376" i="81"/>
  <c r="I375" i="81"/>
  <c r="H375" i="81"/>
  <c r="G375" i="81"/>
  <c r="F375" i="81"/>
  <c r="I374" i="81"/>
  <c r="H374" i="81"/>
  <c r="G374" i="81"/>
  <c r="F374" i="81"/>
  <c r="I373" i="81"/>
  <c r="H373" i="81"/>
  <c r="G373" i="81"/>
  <c r="F373" i="81"/>
  <c r="I372" i="81"/>
  <c r="H372" i="81"/>
  <c r="G372" i="81"/>
  <c r="F372" i="81"/>
  <c r="I371" i="81"/>
  <c r="H371" i="81"/>
  <c r="G371" i="81"/>
  <c r="F371" i="81"/>
  <c r="I370" i="81"/>
  <c r="H370" i="81"/>
  <c r="G370" i="81"/>
  <c r="F370" i="81"/>
  <c r="I369" i="81"/>
  <c r="H369" i="81"/>
  <c r="G369" i="81"/>
  <c r="F369" i="81"/>
  <c r="I368" i="81"/>
  <c r="H368" i="81"/>
  <c r="G368" i="81"/>
  <c r="F368" i="81"/>
  <c r="I367" i="81"/>
  <c r="H367" i="81"/>
  <c r="G367" i="81"/>
  <c r="F367" i="81"/>
  <c r="I366" i="81"/>
  <c r="H366" i="81"/>
  <c r="G366" i="81"/>
  <c r="F366" i="81"/>
  <c r="I365" i="81"/>
  <c r="H365" i="81"/>
  <c r="G365" i="81"/>
  <c r="F365" i="81"/>
  <c r="I364" i="81"/>
  <c r="H364" i="81"/>
  <c r="G364" i="81"/>
  <c r="F364" i="81"/>
  <c r="I363" i="81"/>
  <c r="H363" i="81"/>
  <c r="G363" i="81"/>
  <c r="F363" i="81"/>
  <c r="I362" i="81"/>
  <c r="H362" i="81"/>
  <c r="G362" i="81"/>
  <c r="F362" i="81"/>
  <c r="I361" i="81"/>
  <c r="H361" i="81"/>
  <c r="G361" i="81"/>
  <c r="F361" i="81"/>
  <c r="I360" i="81"/>
  <c r="H360" i="81"/>
  <c r="G360" i="81"/>
  <c r="F360" i="81"/>
  <c r="I359" i="81"/>
  <c r="H359" i="81"/>
  <c r="G359" i="81"/>
  <c r="F359" i="81"/>
  <c r="I358" i="81"/>
  <c r="H358" i="81"/>
  <c r="G358" i="81"/>
  <c r="F358" i="81"/>
  <c r="I357" i="81"/>
  <c r="H357" i="81"/>
  <c r="G357" i="81"/>
  <c r="F357" i="81"/>
  <c r="I356" i="81"/>
  <c r="H356" i="81"/>
  <c r="G356" i="81"/>
  <c r="F356" i="81"/>
  <c r="I355" i="81"/>
  <c r="H355" i="81"/>
  <c r="G355" i="81"/>
  <c r="F355" i="81"/>
  <c r="I354" i="81"/>
  <c r="H354" i="81"/>
  <c r="G354" i="81"/>
  <c r="F354" i="81"/>
  <c r="I353" i="81"/>
  <c r="H353" i="81"/>
  <c r="G353" i="81"/>
  <c r="F353" i="81"/>
  <c r="I352" i="81"/>
  <c r="H352" i="81"/>
  <c r="G352" i="81"/>
  <c r="F352" i="81"/>
  <c r="I351" i="81"/>
  <c r="H351" i="81"/>
  <c r="G351" i="81"/>
  <c r="F351" i="81"/>
  <c r="I350" i="81"/>
  <c r="H350" i="81"/>
  <c r="G350" i="81"/>
  <c r="F350" i="81"/>
  <c r="I349" i="81"/>
  <c r="H349" i="81"/>
  <c r="G349" i="81"/>
  <c r="F349" i="81"/>
  <c r="I348" i="81"/>
  <c r="H348" i="81"/>
  <c r="G348" i="81"/>
  <c r="F348" i="81"/>
  <c r="I347" i="81"/>
  <c r="H347" i="81"/>
  <c r="G347" i="81"/>
  <c r="F347" i="81"/>
  <c r="I346" i="81"/>
  <c r="H346" i="81"/>
  <c r="G346" i="81"/>
  <c r="F346" i="81"/>
  <c r="I345" i="81"/>
  <c r="H345" i="81"/>
  <c r="G345" i="81"/>
  <c r="F345" i="81"/>
  <c r="I344" i="81"/>
  <c r="H344" i="81"/>
  <c r="G344" i="81"/>
  <c r="F344" i="81"/>
  <c r="I343" i="81"/>
  <c r="H343" i="81"/>
  <c r="G343" i="81"/>
  <c r="F343" i="81"/>
  <c r="I342" i="81"/>
  <c r="H342" i="81"/>
  <c r="G342" i="81"/>
  <c r="F342" i="81"/>
  <c r="I341" i="81"/>
  <c r="H341" i="81"/>
  <c r="G341" i="81"/>
  <c r="F341" i="81"/>
  <c r="I340" i="81"/>
  <c r="H340" i="81"/>
  <c r="G340" i="81"/>
  <c r="F340" i="81"/>
  <c r="I339" i="81"/>
  <c r="H339" i="81"/>
  <c r="G339" i="81"/>
  <c r="F339" i="81"/>
  <c r="I338" i="81"/>
  <c r="H338" i="81"/>
  <c r="G338" i="81"/>
  <c r="F338" i="81"/>
  <c r="I337" i="81"/>
  <c r="H337" i="81"/>
  <c r="G337" i="81"/>
  <c r="F337" i="81"/>
  <c r="I336" i="81"/>
  <c r="H336" i="81"/>
  <c r="G336" i="81"/>
  <c r="F336" i="81"/>
  <c r="I335" i="81"/>
  <c r="H335" i="81"/>
  <c r="G335" i="81"/>
  <c r="F335" i="81"/>
  <c r="I334" i="81"/>
  <c r="H334" i="81"/>
  <c r="G334" i="81"/>
  <c r="F334" i="81"/>
  <c r="I333" i="81"/>
  <c r="H333" i="81"/>
  <c r="G333" i="81"/>
  <c r="F333" i="81"/>
  <c r="I332" i="81"/>
  <c r="H332" i="81"/>
  <c r="G332" i="81"/>
  <c r="F332" i="81"/>
  <c r="I331" i="81"/>
  <c r="H331" i="81"/>
  <c r="G331" i="81"/>
  <c r="F331" i="81"/>
  <c r="I330" i="81"/>
  <c r="H330" i="81"/>
  <c r="G330" i="81"/>
  <c r="F330" i="81"/>
  <c r="I329" i="81"/>
  <c r="H329" i="81"/>
  <c r="G329" i="81"/>
  <c r="F329" i="81"/>
  <c r="I328" i="81"/>
  <c r="H328" i="81"/>
  <c r="G328" i="81"/>
  <c r="F328" i="81"/>
  <c r="I327" i="81"/>
  <c r="H327" i="81"/>
  <c r="G327" i="81"/>
  <c r="F327" i="81"/>
  <c r="I326" i="81"/>
  <c r="H326" i="81"/>
  <c r="G326" i="81"/>
  <c r="F326" i="81"/>
  <c r="I325" i="81"/>
  <c r="H325" i="81"/>
  <c r="G325" i="81"/>
  <c r="F325" i="81"/>
  <c r="I324" i="81"/>
  <c r="H324" i="81"/>
  <c r="G324" i="81"/>
  <c r="F324" i="81"/>
  <c r="I323" i="81"/>
  <c r="H323" i="81"/>
  <c r="G323" i="81"/>
  <c r="F323" i="81"/>
  <c r="I322" i="81"/>
  <c r="H322" i="81"/>
  <c r="G322" i="81"/>
  <c r="F322" i="81"/>
  <c r="I321" i="81"/>
  <c r="H321" i="81"/>
  <c r="G321" i="81"/>
  <c r="F321" i="81"/>
  <c r="I320" i="81"/>
  <c r="H320" i="81"/>
  <c r="G320" i="81"/>
  <c r="F320" i="81"/>
  <c r="I319" i="81"/>
  <c r="H319" i="81"/>
  <c r="G319" i="81"/>
  <c r="F319" i="81"/>
  <c r="I318" i="81"/>
  <c r="H318" i="81"/>
  <c r="G318" i="81"/>
  <c r="F318" i="81"/>
  <c r="I317" i="81"/>
  <c r="H317" i="81"/>
  <c r="G317" i="81"/>
  <c r="F317" i="81"/>
  <c r="I316" i="81"/>
  <c r="H316" i="81"/>
  <c r="G316" i="81"/>
  <c r="F316" i="81"/>
  <c r="I315" i="81"/>
  <c r="H315" i="81"/>
  <c r="G315" i="81"/>
  <c r="F315" i="81"/>
  <c r="I314" i="81"/>
  <c r="H314" i="81"/>
  <c r="G314" i="81"/>
  <c r="F314" i="81"/>
  <c r="I313" i="81"/>
  <c r="H313" i="81"/>
  <c r="G313" i="81"/>
  <c r="F313" i="81"/>
  <c r="I312" i="81"/>
  <c r="H312" i="81"/>
  <c r="G312" i="81"/>
  <c r="F312" i="81"/>
  <c r="I311" i="81"/>
  <c r="H311" i="81"/>
  <c r="G311" i="81"/>
  <c r="F311" i="81"/>
  <c r="I310" i="81"/>
  <c r="H310" i="81"/>
  <c r="G310" i="81"/>
  <c r="F310" i="81"/>
  <c r="I309" i="81"/>
  <c r="H309" i="81"/>
  <c r="G309" i="81"/>
  <c r="F309" i="81"/>
  <c r="I308" i="81"/>
  <c r="H308" i="81"/>
  <c r="G308" i="81"/>
  <c r="F308" i="81"/>
  <c r="I307" i="81"/>
  <c r="H307" i="81"/>
  <c r="G307" i="81"/>
  <c r="F307" i="81"/>
  <c r="I306" i="81"/>
  <c r="H306" i="81"/>
  <c r="G306" i="81"/>
  <c r="F306" i="81"/>
  <c r="I305" i="81"/>
  <c r="H305" i="81"/>
  <c r="G305" i="81"/>
  <c r="F305" i="81"/>
  <c r="I304" i="81"/>
  <c r="H304" i="81"/>
  <c r="G304" i="81"/>
  <c r="F304" i="81"/>
  <c r="I303" i="81"/>
  <c r="H303" i="81"/>
  <c r="G303" i="81"/>
  <c r="F303" i="81"/>
  <c r="I302" i="81"/>
  <c r="H302" i="81"/>
  <c r="G302" i="81"/>
  <c r="F302" i="81"/>
  <c r="I301" i="81"/>
  <c r="H301" i="81"/>
  <c r="G301" i="81"/>
  <c r="F301" i="81"/>
  <c r="I300" i="81"/>
  <c r="H300" i="81"/>
  <c r="G300" i="81"/>
  <c r="F300" i="81"/>
  <c r="I299" i="81"/>
  <c r="H299" i="81"/>
  <c r="G299" i="81"/>
  <c r="F299" i="81"/>
  <c r="I298" i="81"/>
  <c r="H298" i="81"/>
  <c r="G298" i="81"/>
  <c r="F298" i="81"/>
  <c r="I297" i="81"/>
  <c r="H297" i="81"/>
  <c r="G297" i="81"/>
  <c r="F297" i="81"/>
  <c r="I296" i="81"/>
  <c r="H296" i="81"/>
  <c r="G296" i="81"/>
  <c r="F296" i="81"/>
  <c r="I295" i="81"/>
  <c r="H295" i="81"/>
  <c r="G295" i="81"/>
  <c r="F295" i="81"/>
  <c r="I294" i="81"/>
  <c r="H294" i="81"/>
  <c r="G294" i="81"/>
  <c r="F294" i="81"/>
  <c r="I293" i="81"/>
  <c r="H293" i="81"/>
  <c r="G293" i="81"/>
  <c r="F293" i="81"/>
  <c r="I292" i="81"/>
  <c r="H292" i="81"/>
  <c r="G292" i="81"/>
  <c r="F292" i="81"/>
  <c r="I291" i="81"/>
  <c r="H291" i="81"/>
  <c r="G291" i="81"/>
  <c r="F291" i="81"/>
  <c r="I290" i="81"/>
  <c r="H290" i="81"/>
  <c r="G290" i="81"/>
  <c r="F290" i="81"/>
  <c r="I289" i="81"/>
  <c r="H289" i="81"/>
  <c r="G289" i="81"/>
  <c r="F289" i="81"/>
  <c r="I288" i="81"/>
  <c r="H288" i="81"/>
  <c r="G288" i="81"/>
  <c r="F288" i="81"/>
  <c r="I287" i="81"/>
  <c r="H287" i="81"/>
  <c r="G287" i="81"/>
  <c r="F287" i="81"/>
  <c r="I286" i="81"/>
  <c r="H286" i="81"/>
  <c r="G286" i="81"/>
  <c r="F286" i="81"/>
  <c r="I285" i="81"/>
  <c r="H285" i="81"/>
  <c r="G285" i="81"/>
  <c r="F285" i="81"/>
  <c r="I284" i="81"/>
  <c r="H284" i="81"/>
  <c r="G284" i="81"/>
  <c r="F284" i="81"/>
  <c r="I283" i="81"/>
  <c r="H283" i="81"/>
  <c r="G283" i="81"/>
  <c r="F283" i="81"/>
  <c r="I282" i="81"/>
  <c r="H282" i="81"/>
  <c r="G282" i="81"/>
  <c r="F282" i="81"/>
  <c r="I281" i="81"/>
  <c r="H281" i="81"/>
  <c r="G281" i="81"/>
  <c r="F281" i="81"/>
  <c r="I280" i="81"/>
  <c r="H280" i="81"/>
  <c r="G280" i="81"/>
  <c r="F280" i="81"/>
  <c r="I279" i="81"/>
  <c r="H279" i="81"/>
  <c r="G279" i="81"/>
  <c r="F279" i="81"/>
  <c r="I278" i="81"/>
  <c r="H278" i="81"/>
  <c r="G278" i="81"/>
  <c r="F278" i="81"/>
  <c r="I277" i="81"/>
  <c r="H277" i="81"/>
  <c r="G277" i="81"/>
  <c r="F277" i="81"/>
  <c r="I276" i="81"/>
  <c r="H276" i="81"/>
  <c r="G276" i="81"/>
  <c r="F276" i="81"/>
  <c r="I275" i="81"/>
  <c r="H275" i="81"/>
  <c r="G275" i="81"/>
  <c r="F275" i="81"/>
  <c r="I274" i="81"/>
  <c r="H274" i="81"/>
  <c r="G274" i="81"/>
  <c r="F274" i="81"/>
  <c r="I273" i="81"/>
  <c r="H273" i="81"/>
  <c r="G273" i="81"/>
  <c r="F273" i="81"/>
  <c r="I272" i="81"/>
  <c r="H272" i="81"/>
  <c r="G272" i="81"/>
  <c r="F272" i="81"/>
  <c r="I271" i="81"/>
  <c r="H271" i="81"/>
  <c r="G271" i="81"/>
  <c r="F271" i="81"/>
  <c r="I270" i="81"/>
  <c r="H270" i="81"/>
  <c r="G270" i="81"/>
  <c r="F270" i="81"/>
  <c r="I269" i="81"/>
  <c r="H269" i="81"/>
  <c r="G269" i="81"/>
  <c r="F269" i="81"/>
  <c r="I268" i="81"/>
  <c r="H268" i="81"/>
  <c r="G268" i="81"/>
  <c r="F268" i="81"/>
  <c r="I267" i="81"/>
  <c r="H267" i="81"/>
  <c r="G267" i="81"/>
  <c r="F267" i="81"/>
  <c r="I266" i="81"/>
  <c r="H266" i="81"/>
  <c r="G266" i="81"/>
  <c r="F266" i="81"/>
  <c r="I265" i="81"/>
  <c r="H265" i="81"/>
  <c r="G265" i="81"/>
  <c r="F265" i="81"/>
  <c r="I264" i="81"/>
  <c r="H264" i="81"/>
  <c r="G264" i="81"/>
  <c r="F264" i="81"/>
  <c r="I263" i="81"/>
  <c r="H263" i="81"/>
  <c r="G263" i="81"/>
  <c r="F263" i="81"/>
  <c r="I262" i="81"/>
  <c r="H262" i="81"/>
  <c r="G262" i="81"/>
  <c r="F262" i="81"/>
  <c r="I261" i="81"/>
  <c r="H261" i="81"/>
  <c r="G261" i="81"/>
  <c r="F261" i="81"/>
  <c r="I260" i="81"/>
  <c r="H260" i="81"/>
  <c r="G260" i="81"/>
  <c r="F260" i="81"/>
  <c r="I259" i="81"/>
  <c r="H259" i="81"/>
  <c r="G259" i="81"/>
  <c r="F259" i="81"/>
  <c r="I258" i="81"/>
  <c r="H258" i="81"/>
  <c r="G258" i="81"/>
  <c r="F258" i="81"/>
  <c r="I257" i="81"/>
  <c r="H257" i="81"/>
  <c r="G257" i="81"/>
  <c r="F257" i="81"/>
  <c r="I256" i="81"/>
  <c r="H256" i="81"/>
  <c r="G256" i="81"/>
  <c r="F256" i="81"/>
  <c r="I255" i="81"/>
  <c r="H255" i="81"/>
  <c r="G255" i="81"/>
  <c r="F255" i="81"/>
  <c r="I254" i="81"/>
  <c r="H254" i="81"/>
  <c r="G254" i="81"/>
  <c r="F254" i="81"/>
  <c r="I253" i="81"/>
  <c r="H253" i="81"/>
  <c r="G253" i="81"/>
  <c r="F253" i="81"/>
  <c r="I252" i="81"/>
  <c r="H252" i="81"/>
  <c r="G252" i="81"/>
  <c r="F252" i="81"/>
  <c r="I251" i="81"/>
  <c r="H251" i="81"/>
  <c r="G251" i="81"/>
  <c r="F251" i="81"/>
  <c r="I250" i="81"/>
  <c r="H250" i="81"/>
  <c r="G250" i="81"/>
  <c r="F250" i="81"/>
  <c r="I249" i="81"/>
  <c r="H249" i="81"/>
  <c r="G249" i="81"/>
  <c r="F249" i="81"/>
  <c r="I248" i="81"/>
  <c r="H248" i="81"/>
  <c r="G248" i="81"/>
  <c r="F248" i="81"/>
  <c r="I247" i="81"/>
  <c r="H247" i="81"/>
  <c r="G247" i="81"/>
  <c r="F247" i="81"/>
  <c r="I246" i="81"/>
  <c r="H246" i="81"/>
  <c r="G246" i="81"/>
  <c r="F246" i="81"/>
  <c r="I245" i="81"/>
  <c r="H245" i="81"/>
  <c r="G245" i="81"/>
  <c r="F245" i="81"/>
  <c r="I244" i="81"/>
  <c r="H244" i="81"/>
  <c r="G244" i="81"/>
  <c r="F244" i="81"/>
  <c r="I243" i="81"/>
  <c r="H243" i="81"/>
  <c r="G243" i="81"/>
  <c r="F243" i="81"/>
  <c r="I242" i="81"/>
  <c r="H242" i="81"/>
  <c r="G242" i="81"/>
  <c r="F242" i="81"/>
  <c r="I241" i="81"/>
  <c r="H241" i="81"/>
  <c r="G241" i="81"/>
  <c r="F241" i="81"/>
  <c r="I240" i="81"/>
  <c r="H240" i="81"/>
  <c r="G240" i="81"/>
  <c r="F240" i="81"/>
  <c r="I239" i="81"/>
  <c r="H239" i="81"/>
  <c r="G239" i="81"/>
  <c r="F239" i="81"/>
  <c r="I238" i="81"/>
  <c r="H238" i="81"/>
  <c r="G238" i="81"/>
  <c r="F238" i="81"/>
  <c r="I237" i="81"/>
  <c r="H237" i="81"/>
  <c r="G237" i="81"/>
  <c r="F237" i="81"/>
  <c r="I236" i="81"/>
  <c r="H236" i="81"/>
  <c r="G236" i="81"/>
  <c r="F236" i="81"/>
  <c r="I235" i="81"/>
  <c r="H235" i="81"/>
  <c r="G235" i="81"/>
  <c r="F235" i="81"/>
  <c r="I234" i="81"/>
  <c r="H234" i="81"/>
  <c r="G234" i="81"/>
  <c r="F234" i="81"/>
  <c r="I233" i="81"/>
  <c r="H233" i="81"/>
  <c r="G233" i="81"/>
  <c r="F233" i="81"/>
  <c r="I232" i="81"/>
  <c r="H232" i="81"/>
  <c r="G232" i="81"/>
  <c r="F232" i="81"/>
  <c r="I231" i="81"/>
  <c r="H231" i="81"/>
  <c r="G231" i="81"/>
  <c r="F231" i="81"/>
  <c r="I230" i="81"/>
  <c r="H230" i="81"/>
  <c r="G230" i="81"/>
  <c r="F230" i="81"/>
  <c r="I229" i="81"/>
  <c r="H229" i="81"/>
  <c r="G229" i="81"/>
  <c r="F229" i="81"/>
  <c r="I228" i="81"/>
  <c r="H228" i="81"/>
  <c r="G228" i="81"/>
  <c r="F228" i="81"/>
  <c r="I227" i="81"/>
  <c r="H227" i="81"/>
  <c r="G227" i="81"/>
  <c r="F227" i="81"/>
  <c r="I226" i="81"/>
  <c r="H226" i="81"/>
  <c r="G226" i="81"/>
  <c r="F226" i="81"/>
  <c r="I225" i="81"/>
  <c r="H225" i="81"/>
  <c r="G225" i="81"/>
  <c r="F225" i="81"/>
  <c r="I224" i="81"/>
  <c r="H224" i="81"/>
  <c r="G224" i="81"/>
  <c r="F224" i="81"/>
  <c r="I223" i="81"/>
  <c r="H223" i="81"/>
  <c r="G223" i="81"/>
  <c r="F223" i="81"/>
  <c r="I222" i="81"/>
  <c r="H222" i="81"/>
  <c r="G222" i="81"/>
  <c r="F222" i="81"/>
  <c r="I221" i="81"/>
  <c r="H221" i="81"/>
  <c r="G221" i="81"/>
  <c r="F221" i="81"/>
  <c r="I220" i="81"/>
  <c r="H220" i="81"/>
  <c r="G220" i="81"/>
  <c r="F220" i="81"/>
  <c r="I219" i="81"/>
  <c r="H219" i="81"/>
  <c r="G219" i="81"/>
  <c r="F219" i="81"/>
  <c r="I218" i="81"/>
  <c r="H218" i="81"/>
  <c r="G218" i="81"/>
  <c r="F218" i="81"/>
  <c r="I217" i="81"/>
  <c r="H217" i="81"/>
  <c r="G217" i="81"/>
  <c r="F217" i="81"/>
  <c r="I216" i="81"/>
  <c r="H216" i="81"/>
  <c r="G216" i="81"/>
  <c r="F216" i="81"/>
  <c r="I215" i="81"/>
  <c r="H215" i="81"/>
  <c r="G215" i="81"/>
  <c r="F215" i="81"/>
  <c r="I214" i="81"/>
  <c r="H214" i="81"/>
  <c r="G214" i="81"/>
  <c r="F214" i="81"/>
  <c r="I213" i="81"/>
  <c r="H213" i="81"/>
  <c r="G213" i="81"/>
  <c r="F213" i="81"/>
  <c r="I212" i="81"/>
  <c r="H212" i="81"/>
  <c r="G212" i="81"/>
  <c r="F212" i="81"/>
  <c r="I211" i="81"/>
  <c r="H211" i="81"/>
  <c r="G211" i="81"/>
  <c r="F211" i="81"/>
  <c r="I210" i="81"/>
  <c r="H210" i="81"/>
  <c r="G210" i="81"/>
  <c r="F210" i="81"/>
  <c r="I209" i="81"/>
  <c r="H209" i="81"/>
  <c r="G209" i="81"/>
  <c r="F209" i="81"/>
  <c r="I208" i="81"/>
  <c r="H208" i="81"/>
  <c r="G208" i="81"/>
  <c r="F208" i="81"/>
  <c r="I207" i="81"/>
  <c r="H207" i="81"/>
  <c r="G207" i="81"/>
  <c r="F207" i="81"/>
  <c r="I206" i="81"/>
  <c r="H206" i="81"/>
  <c r="G206" i="81"/>
  <c r="F206" i="81"/>
  <c r="I205" i="81"/>
  <c r="H205" i="81"/>
  <c r="G205" i="81"/>
  <c r="F205" i="81"/>
  <c r="I204" i="81"/>
  <c r="H204" i="81"/>
  <c r="G204" i="81"/>
  <c r="F204" i="81"/>
  <c r="I203" i="81"/>
  <c r="H203" i="81"/>
  <c r="G203" i="81"/>
  <c r="F203" i="81"/>
  <c r="I202" i="81"/>
  <c r="H202" i="81"/>
  <c r="G202" i="81"/>
  <c r="F202" i="81"/>
  <c r="I201" i="81"/>
  <c r="H201" i="81"/>
  <c r="G201" i="81"/>
  <c r="F201" i="81"/>
  <c r="I200" i="81"/>
  <c r="H200" i="81"/>
  <c r="G200" i="81"/>
  <c r="F200" i="81"/>
  <c r="I199" i="81"/>
  <c r="H199" i="81"/>
  <c r="G199" i="81"/>
  <c r="F199" i="81"/>
  <c r="I198" i="81"/>
  <c r="H198" i="81"/>
  <c r="G198" i="81"/>
  <c r="F198" i="81"/>
  <c r="I197" i="81"/>
  <c r="H197" i="81"/>
  <c r="G197" i="81"/>
  <c r="F197" i="81"/>
  <c r="I196" i="81"/>
  <c r="H196" i="81"/>
  <c r="G196" i="81"/>
  <c r="F196" i="81"/>
  <c r="I195" i="81"/>
  <c r="H195" i="81"/>
  <c r="G195" i="81"/>
  <c r="F195" i="81"/>
  <c r="I194" i="81"/>
  <c r="H194" i="81"/>
  <c r="G194" i="81"/>
  <c r="F194" i="81"/>
  <c r="I193" i="81"/>
  <c r="H193" i="81"/>
  <c r="G193" i="81"/>
  <c r="F193" i="81"/>
  <c r="I192" i="81"/>
  <c r="H192" i="81"/>
  <c r="G192" i="81"/>
  <c r="F192" i="81"/>
  <c r="I191" i="81"/>
  <c r="H191" i="81"/>
  <c r="G191" i="81"/>
  <c r="F191" i="81"/>
  <c r="I190" i="81"/>
  <c r="H190" i="81"/>
  <c r="G190" i="81"/>
  <c r="F190" i="81"/>
  <c r="I189" i="81"/>
  <c r="H189" i="81"/>
  <c r="G189" i="81"/>
  <c r="F189" i="81"/>
  <c r="I188" i="81"/>
  <c r="H188" i="81"/>
  <c r="G188" i="81"/>
  <c r="F188" i="81"/>
  <c r="I187" i="81"/>
  <c r="H187" i="81"/>
  <c r="G187" i="81"/>
  <c r="F187" i="81"/>
  <c r="I186" i="81"/>
  <c r="H186" i="81"/>
  <c r="G186" i="81"/>
  <c r="F186" i="81"/>
  <c r="I185" i="81"/>
  <c r="H185" i="81"/>
  <c r="G185" i="81"/>
  <c r="F185" i="81"/>
  <c r="I184" i="81"/>
  <c r="H184" i="81"/>
  <c r="G184" i="81"/>
  <c r="F184" i="81"/>
  <c r="I183" i="81"/>
  <c r="H183" i="81"/>
  <c r="G183" i="81"/>
  <c r="F183" i="81"/>
  <c r="I182" i="81"/>
  <c r="H182" i="81"/>
  <c r="G182" i="81"/>
  <c r="F182" i="81"/>
  <c r="I181" i="81"/>
  <c r="H181" i="81"/>
  <c r="G181" i="81"/>
  <c r="F181" i="81"/>
  <c r="I180" i="81"/>
  <c r="H180" i="81"/>
  <c r="G180" i="81"/>
  <c r="F180" i="81"/>
  <c r="I179" i="81"/>
  <c r="H179" i="81"/>
  <c r="G179" i="81"/>
  <c r="F179" i="81"/>
  <c r="I178" i="81"/>
  <c r="H178" i="81"/>
  <c r="G178" i="81"/>
  <c r="F178" i="81"/>
  <c r="I177" i="81"/>
  <c r="H177" i="81"/>
  <c r="G177" i="81"/>
  <c r="F177" i="81"/>
  <c r="I176" i="81"/>
  <c r="H176" i="81"/>
  <c r="G176" i="81"/>
  <c r="F176" i="81"/>
  <c r="I175" i="81"/>
  <c r="H175" i="81"/>
  <c r="G175" i="81"/>
  <c r="F175" i="81"/>
  <c r="I174" i="81"/>
  <c r="H174" i="81"/>
  <c r="G174" i="81"/>
  <c r="F174" i="81"/>
  <c r="I173" i="81"/>
  <c r="H173" i="81"/>
  <c r="G173" i="81"/>
  <c r="F173" i="81"/>
  <c r="I172" i="81"/>
  <c r="H172" i="81"/>
  <c r="G172" i="81"/>
  <c r="F172" i="81"/>
  <c r="I171" i="81"/>
  <c r="H171" i="81"/>
  <c r="G171" i="81"/>
  <c r="F171" i="81"/>
  <c r="I170" i="81"/>
  <c r="H170" i="81"/>
  <c r="G170" i="81"/>
  <c r="F170" i="81"/>
  <c r="I169" i="81"/>
  <c r="H169" i="81"/>
  <c r="G169" i="81"/>
  <c r="F169" i="81"/>
  <c r="I168" i="81"/>
  <c r="H168" i="81"/>
  <c r="G168" i="81"/>
  <c r="F168" i="81"/>
  <c r="I167" i="81"/>
  <c r="H167" i="81"/>
  <c r="G167" i="81"/>
  <c r="F167" i="81"/>
  <c r="I166" i="81"/>
  <c r="H166" i="81"/>
  <c r="G166" i="81"/>
  <c r="F166" i="81"/>
  <c r="I165" i="81"/>
  <c r="H165" i="81"/>
  <c r="G165" i="81"/>
  <c r="F165" i="81"/>
  <c r="I164" i="81"/>
  <c r="H164" i="81"/>
  <c r="G164" i="81"/>
  <c r="F164" i="81"/>
  <c r="I163" i="81"/>
  <c r="H163" i="81"/>
  <c r="G163" i="81"/>
  <c r="F163" i="81"/>
  <c r="I162" i="81"/>
  <c r="H162" i="81"/>
  <c r="G162" i="81"/>
  <c r="F162" i="81"/>
  <c r="I161" i="81"/>
  <c r="H161" i="81"/>
  <c r="G161" i="81"/>
  <c r="F161" i="81"/>
  <c r="I160" i="81"/>
  <c r="H160" i="81"/>
  <c r="G160" i="81"/>
  <c r="F160" i="81"/>
  <c r="I159" i="81"/>
  <c r="H159" i="81"/>
  <c r="G159" i="81"/>
  <c r="F159" i="81"/>
  <c r="I158" i="81"/>
  <c r="H158" i="81"/>
  <c r="G158" i="81"/>
  <c r="F158" i="81"/>
  <c r="I157" i="81"/>
  <c r="H157" i="81"/>
  <c r="G157" i="81"/>
  <c r="F157" i="81"/>
  <c r="I156" i="81"/>
  <c r="H156" i="81"/>
  <c r="G156" i="81"/>
  <c r="F156" i="81"/>
  <c r="I155" i="81"/>
  <c r="H155" i="81"/>
  <c r="G155" i="81"/>
  <c r="F155" i="81"/>
  <c r="I154" i="81"/>
  <c r="H154" i="81"/>
  <c r="G154" i="81"/>
  <c r="F154" i="81"/>
  <c r="I153" i="81"/>
  <c r="H153" i="81"/>
  <c r="G153" i="81"/>
  <c r="F153" i="81"/>
  <c r="I152" i="81"/>
  <c r="H152" i="81"/>
  <c r="G152" i="81"/>
  <c r="F152" i="81"/>
  <c r="I151" i="81"/>
  <c r="H151" i="81"/>
  <c r="G151" i="81"/>
  <c r="F151" i="81"/>
  <c r="I150" i="81"/>
  <c r="H150" i="81"/>
  <c r="G150" i="81"/>
  <c r="F150" i="81"/>
  <c r="I149" i="81"/>
  <c r="H149" i="81"/>
  <c r="G149" i="81"/>
  <c r="F149" i="81"/>
  <c r="I148" i="81"/>
  <c r="H148" i="81"/>
  <c r="G148" i="81"/>
  <c r="F148" i="81"/>
  <c r="I147" i="81"/>
  <c r="H147" i="81"/>
  <c r="G147" i="81"/>
  <c r="F147" i="81"/>
  <c r="I146" i="81"/>
  <c r="H146" i="81"/>
  <c r="G146" i="81"/>
  <c r="F146" i="81"/>
  <c r="I145" i="81"/>
  <c r="H145" i="81"/>
  <c r="G145" i="81"/>
  <c r="F145" i="81"/>
  <c r="I144" i="81"/>
  <c r="H144" i="81"/>
  <c r="G144" i="81"/>
  <c r="F144" i="81"/>
  <c r="I143" i="81"/>
  <c r="H143" i="81"/>
  <c r="G143" i="81"/>
  <c r="F143" i="81"/>
  <c r="I142" i="81"/>
  <c r="H142" i="81"/>
  <c r="G142" i="81"/>
  <c r="F142" i="81"/>
  <c r="I141" i="81"/>
  <c r="H141" i="81"/>
  <c r="G141" i="81"/>
  <c r="F141" i="81"/>
  <c r="I140" i="81"/>
  <c r="H140" i="81"/>
  <c r="G140" i="81"/>
  <c r="F140" i="81"/>
  <c r="I139" i="81"/>
  <c r="H139" i="81"/>
  <c r="G139" i="81"/>
  <c r="F139" i="81"/>
  <c r="I138" i="81"/>
  <c r="H138" i="81"/>
  <c r="G138" i="81"/>
  <c r="F138" i="81"/>
  <c r="I137" i="81"/>
  <c r="H137" i="81"/>
  <c r="G137" i="81"/>
  <c r="F137" i="81"/>
  <c r="I136" i="81"/>
  <c r="H136" i="81"/>
  <c r="G136" i="81"/>
  <c r="F136" i="81"/>
  <c r="I135" i="81"/>
  <c r="H135" i="81"/>
  <c r="G135" i="81"/>
  <c r="F135" i="81"/>
  <c r="I134" i="81"/>
  <c r="H134" i="81"/>
  <c r="G134" i="81"/>
  <c r="F134" i="81"/>
  <c r="I133" i="81"/>
  <c r="H133" i="81"/>
  <c r="G133" i="81"/>
  <c r="F133" i="81"/>
  <c r="I132" i="81"/>
  <c r="H132" i="81"/>
  <c r="G132" i="81"/>
  <c r="F132" i="81"/>
  <c r="I131" i="81"/>
  <c r="H131" i="81"/>
  <c r="G131" i="81"/>
  <c r="F131" i="81"/>
  <c r="I130" i="81"/>
  <c r="H130" i="81"/>
  <c r="G130" i="81"/>
  <c r="F130" i="81"/>
  <c r="I129" i="81"/>
  <c r="H129" i="81"/>
  <c r="G129" i="81"/>
  <c r="F129" i="81"/>
  <c r="I128" i="81"/>
  <c r="H128" i="81"/>
  <c r="G128" i="81"/>
  <c r="F128" i="81"/>
  <c r="I127" i="81"/>
  <c r="H127" i="81"/>
  <c r="G127" i="81"/>
  <c r="F127" i="81"/>
  <c r="I126" i="81"/>
  <c r="H126" i="81"/>
  <c r="G126" i="81"/>
  <c r="F126" i="81"/>
  <c r="I125" i="81"/>
  <c r="H125" i="81"/>
  <c r="G125" i="81"/>
  <c r="F125" i="81"/>
  <c r="I124" i="81"/>
  <c r="H124" i="81"/>
  <c r="G124" i="81"/>
  <c r="F124" i="81"/>
  <c r="I123" i="81"/>
  <c r="H123" i="81"/>
  <c r="G123" i="81"/>
  <c r="F123" i="81"/>
  <c r="I122" i="81"/>
  <c r="H122" i="81"/>
  <c r="G122" i="81"/>
  <c r="F122" i="81"/>
  <c r="I121" i="81"/>
  <c r="H121" i="81"/>
  <c r="G121" i="81"/>
  <c r="F121" i="81"/>
  <c r="I120" i="81"/>
  <c r="H120" i="81"/>
  <c r="G120" i="81"/>
  <c r="F120" i="81"/>
  <c r="I119" i="81"/>
  <c r="H119" i="81"/>
  <c r="G119" i="81"/>
  <c r="F119" i="81"/>
  <c r="I118" i="81"/>
  <c r="H118" i="81"/>
  <c r="G118" i="81"/>
  <c r="F118" i="81"/>
  <c r="I117" i="81"/>
  <c r="H117" i="81"/>
  <c r="G117" i="81"/>
  <c r="F117" i="81"/>
  <c r="I116" i="81"/>
  <c r="H116" i="81"/>
  <c r="G116" i="81"/>
  <c r="F116" i="81"/>
  <c r="I115" i="81"/>
  <c r="H115" i="81"/>
  <c r="G115" i="81"/>
  <c r="F115" i="81"/>
  <c r="I114" i="81"/>
  <c r="H114" i="81"/>
  <c r="G114" i="81"/>
  <c r="F114" i="81"/>
  <c r="I113" i="81"/>
  <c r="H113" i="81"/>
  <c r="G113" i="81"/>
  <c r="F113" i="81"/>
  <c r="I112" i="81"/>
  <c r="H112" i="81"/>
  <c r="G112" i="81"/>
  <c r="F112" i="81"/>
  <c r="I111" i="81"/>
  <c r="H111" i="81"/>
  <c r="G111" i="81"/>
  <c r="F111" i="81"/>
  <c r="I110" i="81"/>
  <c r="H110" i="81"/>
  <c r="G110" i="81"/>
  <c r="F110" i="81"/>
  <c r="I109" i="81"/>
  <c r="H109" i="81"/>
  <c r="G109" i="81"/>
  <c r="F109" i="81"/>
  <c r="I108" i="81"/>
  <c r="H108" i="81"/>
  <c r="G108" i="81"/>
  <c r="F108" i="81"/>
  <c r="I107" i="81"/>
  <c r="H107" i="81"/>
  <c r="G107" i="81"/>
  <c r="F107" i="81"/>
  <c r="I106" i="81"/>
  <c r="H106" i="81"/>
  <c r="G106" i="81"/>
  <c r="F106" i="81"/>
  <c r="I105" i="81"/>
  <c r="H105" i="81"/>
  <c r="G105" i="81"/>
  <c r="F105" i="81"/>
  <c r="I104" i="81"/>
  <c r="H104" i="81"/>
  <c r="G104" i="81"/>
  <c r="F104" i="81"/>
  <c r="I103" i="81"/>
  <c r="H103" i="81"/>
  <c r="G103" i="81"/>
  <c r="F103" i="81"/>
  <c r="I102" i="81"/>
  <c r="H102" i="81"/>
  <c r="G102" i="81"/>
  <c r="F102" i="81"/>
  <c r="I101" i="81"/>
  <c r="H101" i="81"/>
  <c r="G101" i="81"/>
  <c r="F101" i="81"/>
  <c r="I100" i="81"/>
  <c r="H100" i="81"/>
  <c r="G100" i="81"/>
  <c r="F100" i="81"/>
  <c r="I99" i="81"/>
  <c r="H99" i="81"/>
  <c r="G99" i="81"/>
  <c r="F99" i="81"/>
  <c r="I98" i="81"/>
  <c r="H98" i="81"/>
  <c r="G98" i="81"/>
  <c r="F98" i="81"/>
  <c r="I97" i="81"/>
  <c r="H97" i="81"/>
  <c r="G97" i="81"/>
  <c r="F97" i="81"/>
  <c r="I96" i="81"/>
  <c r="H96" i="81"/>
  <c r="G96" i="81"/>
  <c r="F96" i="81"/>
  <c r="I95" i="81"/>
  <c r="H95" i="81"/>
  <c r="G95" i="81"/>
  <c r="F95" i="81"/>
  <c r="I94" i="81"/>
  <c r="H94" i="81"/>
  <c r="G94" i="81"/>
  <c r="F94" i="81"/>
  <c r="I93" i="81"/>
  <c r="H93" i="81"/>
  <c r="G93" i="81"/>
  <c r="F93" i="81"/>
  <c r="I92" i="81"/>
  <c r="H92" i="81"/>
  <c r="G92" i="81"/>
  <c r="F92" i="81"/>
  <c r="I91" i="81"/>
  <c r="H91" i="81"/>
  <c r="G91" i="81"/>
  <c r="F91" i="81"/>
  <c r="I90" i="81"/>
  <c r="H90" i="81"/>
  <c r="G90" i="81"/>
  <c r="F90" i="81"/>
  <c r="I89" i="81"/>
  <c r="H89" i="81"/>
  <c r="G89" i="81"/>
  <c r="F89" i="81"/>
  <c r="I88" i="81"/>
  <c r="H88" i="81"/>
  <c r="G88" i="81"/>
  <c r="F88" i="81"/>
  <c r="I87" i="81"/>
  <c r="H87" i="81"/>
  <c r="G87" i="81"/>
  <c r="F87" i="81"/>
  <c r="I86" i="81"/>
  <c r="H86" i="81"/>
  <c r="G86" i="81"/>
  <c r="F86" i="81"/>
  <c r="I85" i="81"/>
  <c r="H85" i="81"/>
  <c r="G85" i="81"/>
  <c r="F85" i="81"/>
  <c r="I84" i="81"/>
  <c r="H84" i="81"/>
  <c r="G84" i="81"/>
  <c r="F84" i="81"/>
  <c r="I83" i="81"/>
  <c r="H83" i="81"/>
  <c r="G83" i="81"/>
  <c r="F83" i="81"/>
  <c r="I82" i="81"/>
  <c r="H82" i="81"/>
  <c r="G82" i="81"/>
  <c r="F82" i="81"/>
  <c r="I81" i="81"/>
  <c r="H81" i="81"/>
  <c r="G81" i="81"/>
  <c r="F81" i="81"/>
  <c r="I80" i="81"/>
  <c r="H80" i="81"/>
  <c r="G80" i="81"/>
  <c r="F80" i="81"/>
  <c r="I79" i="81"/>
  <c r="H79" i="81"/>
  <c r="G79" i="81"/>
  <c r="F79" i="81"/>
  <c r="I78" i="81"/>
  <c r="H78" i="81"/>
  <c r="G78" i="81"/>
  <c r="F78" i="81"/>
  <c r="I77" i="81"/>
  <c r="H77" i="81"/>
  <c r="G77" i="81"/>
  <c r="F77" i="81"/>
  <c r="I76" i="81"/>
  <c r="H76" i="81"/>
  <c r="G76" i="81"/>
  <c r="F76" i="81"/>
  <c r="I75" i="81"/>
  <c r="H75" i="81"/>
  <c r="G75" i="81"/>
  <c r="F75" i="81"/>
  <c r="I74" i="81"/>
  <c r="H74" i="81"/>
  <c r="G74" i="81"/>
  <c r="F74" i="81"/>
  <c r="I73" i="81"/>
  <c r="H73" i="81"/>
  <c r="G73" i="81"/>
  <c r="F73" i="81"/>
  <c r="I72" i="81"/>
  <c r="H72" i="81"/>
  <c r="G72" i="81"/>
  <c r="F72" i="81"/>
  <c r="I71" i="81"/>
  <c r="H71" i="81"/>
  <c r="G71" i="81"/>
  <c r="F71" i="81"/>
  <c r="I70" i="81"/>
  <c r="H70" i="81"/>
  <c r="G70" i="81"/>
  <c r="F70" i="81"/>
  <c r="I69" i="81"/>
  <c r="H69" i="81"/>
  <c r="G69" i="81"/>
  <c r="F69" i="81"/>
  <c r="I68" i="81"/>
  <c r="H68" i="81"/>
  <c r="G68" i="81"/>
  <c r="F68" i="81"/>
  <c r="I67" i="81"/>
  <c r="H67" i="81"/>
  <c r="G67" i="81"/>
  <c r="F67" i="81"/>
  <c r="I66" i="81"/>
  <c r="H66" i="81"/>
  <c r="G66" i="81"/>
  <c r="F66" i="81"/>
  <c r="I65" i="81"/>
  <c r="H65" i="81"/>
  <c r="G65" i="81"/>
  <c r="F65" i="81"/>
  <c r="I64" i="81"/>
  <c r="H64" i="81"/>
  <c r="G64" i="81"/>
  <c r="F64" i="81"/>
  <c r="I63" i="81"/>
  <c r="H63" i="81"/>
  <c r="G63" i="81"/>
  <c r="F63" i="81"/>
  <c r="I62" i="81"/>
  <c r="H62" i="81"/>
  <c r="G62" i="81"/>
  <c r="F62" i="81"/>
  <c r="I61" i="81"/>
  <c r="H61" i="81"/>
  <c r="G61" i="81"/>
  <c r="F61" i="81"/>
  <c r="I60" i="81"/>
  <c r="H60" i="81"/>
  <c r="G60" i="81"/>
  <c r="F60" i="81"/>
  <c r="I59" i="81"/>
  <c r="H59" i="81"/>
  <c r="G59" i="81"/>
  <c r="F59" i="81"/>
  <c r="I58" i="81"/>
  <c r="H58" i="81"/>
  <c r="G58" i="81"/>
  <c r="F58" i="81"/>
  <c r="I57" i="81"/>
  <c r="H57" i="81"/>
  <c r="G57" i="81"/>
  <c r="F57" i="81"/>
  <c r="I56" i="81"/>
  <c r="H56" i="81"/>
  <c r="G56" i="81"/>
  <c r="F56" i="81"/>
  <c r="I55" i="81"/>
  <c r="H55" i="81"/>
  <c r="G55" i="81"/>
  <c r="F55" i="81"/>
  <c r="I54" i="81"/>
  <c r="H54" i="81"/>
  <c r="G54" i="81"/>
  <c r="F54" i="81"/>
  <c r="I53" i="81"/>
  <c r="H53" i="81"/>
  <c r="G53" i="81"/>
  <c r="F53" i="81"/>
  <c r="I52" i="81"/>
  <c r="H52" i="81"/>
  <c r="G52" i="81"/>
  <c r="F52" i="81"/>
  <c r="I51" i="81"/>
  <c r="H51" i="81"/>
  <c r="G51" i="81"/>
  <c r="F51" i="81"/>
  <c r="I50" i="81"/>
  <c r="H50" i="81"/>
  <c r="G50" i="81"/>
  <c r="F50" i="81"/>
  <c r="I49" i="81"/>
  <c r="H49" i="81"/>
  <c r="G49" i="81"/>
  <c r="F49" i="81"/>
  <c r="I48" i="81"/>
  <c r="H48" i="81"/>
  <c r="G48" i="81"/>
  <c r="F48" i="81"/>
  <c r="I47" i="81"/>
  <c r="H47" i="81"/>
  <c r="G47" i="81"/>
  <c r="F47" i="81"/>
  <c r="I46" i="81"/>
  <c r="H46" i="81"/>
  <c r="G46" i="81"/>
  <c r="F46" i="81"/>
  <c r="I45" i="81"/>
  <c r="H45" i="81"/>
  <c r="G45" i="81"/>
  <c r="F45" i="81"/>
  <c r="I44" i="81"/>
  <c r="H44" i="81"/>
  <c r="G44" i="81"/>
  <c r="F44" i="81"/>
  <c r="I43" i="81"/>
  <c r="H43" i="81"/>
  <c r="G43" i="81"/>
  <c r="F43" i="81"/>
  <c r="I42" i="81"/>
  <c r="H42" i="81"/>
  <c r="G42" i="81"/>
  <c r="F42" i="81"/>
  <c r="I41" i="81"/>
  <c r="H41" i="81"/>
  <c r="G41" i="81"/>
  <c r="F41" i="81"/>
  <c r="I40" i="81"/>
  <c r="H40" i="81"/>
  <c r="G40" i="81"/>
  <c r="F40" i="81"/>
  <c r="I39" i="81"/>
  <c r="H39" i="81"/>
  <c r="G39" i="81"/>
  <c r="F39" i="81"/>
  <c r="I38" i="81"/>
  <c r="H38" i="81"/>
  <c r="G38" i="81"/>
  <c r="F38" i="81"/>
  <c r="I37" i="81"/>
  <c r="H37" i="81"/>
  <c r="G37" i="81"/>
  <c r="F37" i="81"/>
  <c r="I36" i="81"/>
  <c r="H36" i="81"/>
  <c r="G36" i="81"/>
  <c r="F36" i="81"/>
  <c r="I35" i="81"/>
  <c r="H35" i="81"/>
  <c r="G35" i="81"/>
  <c r="F35" i="81"/>
  <c r="I34" i="81"/>
  <c r="H34" i="81"/>
  <c r="G34" i="81"/>
  <c r="F34" i="81"/>
  <c r="I33" i="81"/>
  <c r="H33" i="81"/>
  <c r="G33" i="81"/>
  <c r="F33" i="81"/>
  <c r="I32" i="81"/>
  <c r="H32" i="81"/>
  <c r="G32" i="81"/>
  <c r="F32" i="81"/>
  <c r="I31" i="81"/>
  <c r="H31" i="81"/>
  <c r="G31" i="81"/>
  <c r="F31" i="81"/>
  <c r="I30" i="81"/>
  <c r="H30" i="81"/>
  <c r="G30" i="81"/>
  <c r="F30" i="81"/>
  <c r="I29" i="81"/>
  <c r="H29" i="81"/>
  <c r="G29" i="81"/>
  <c r="F29" i="81"/>
  <c r="I28" i="81"/>
  <c r="H28" i="81"/>
  <c r="G28" i="81"/>
  <c r="F28" i="81"/>
  <c r="I27" i="81"/>
  <c r="H27" i="81"/>
  <c r="G27" i="81"/>
  <c r="F27" i="81"/>
  <c r="I26" i="81"/>
  <c r="H26" i="81"/>
  <c r="G26" i="81"/>
  <c r="F26" i="81"/>
  <c r="I25" i="81"/>
  <c r="H25" i="81"/>
  <c r="G25" i="81"/>
  <c r="F25" i="81"/>
  <c r="I24" i="81"/>
  <c r="H24" i="81"/>
  <c r="G24" i="81"/>
  <c r="F24" i="81"/>
  <c r="I23" i="81"/>
  <c r="H23" i="81"/>
  <c r="G23" i="81"/>
  <c r="F23" i="81"/>
  <c r="I22" i="81"/>
  <c r="H22" i="81"/>
  <c r="G22" i="81"/>
  <c r="F22" i="81"/>
  <c r="I21" i="81"/>
  <c r="H21" i="81"/>
  <c r="G21" i="81"/>
  <c r="F21" i="81"/>
  <c r="I20" i="81"/>
  <c r="H20" i="81"/>
  <c r="G20" i="81"/>
  <c r="F20" i="81"/>
  <c r="I19" i="81"/>
  <c r="H19" i="81"/>
  <c r="G19" i="81"/>
  <c r="F19" i="81"/>
  <c r="I18" i="81"/>
  <c r="H18" i="81"/>
  <c r="G18" i="81"/>
  <c r="F18" i="81"/>
  <c r="I17" i="81"/>
  <c r="H17" i="81"/>
  <c r="G17" i="81"/>
  <c r="F17" i="81"/>
  <c r="I16" i="81"/>
  <c r="H16" i="81"/>
  <c r="G16" i="81"/>
  <c r="F16" i="81"/>
  <c r="I15" i="81"/>
  <c r="H15" i="81"/>
  <c r="G15" i="81"/>
  <c r="F15" i="81"/>
  <c r="I14" i="81"/>
  <c r="H14" i="81"/>
  <c r="G14" i="81"/>
  <c r="F14" i="81"/>
  <c r="I13" i="81"/>
  <c r="H13" i="81"/>
  <c r="G13" i="81"/>
  <c r="F13" i="81"/>
  <c r="I12" i="81"/>
  <c r="H12" i="81"/>
  <c r="G12" i="81"/>
  <c r="F12" i="81"/>
  <c r="I11" i="81"/>
  <c r="H11" i="81"/>
  <c r="G11" i="81"/>
  <c r="F11" i="81"/>
  <c r="I10" i="81"/>
  <c r="H10" i="81"/>
  <c r="G10" i="81"/>
  <c r="F10" i="81"/>
  <c r="I9" i="81"/>
  <c r="H9" i="81"/>
  <c r="G9" i="81"/>
  <c r="F9" i="81"/>
  <c r="I8" i="81"/>
  <c r="H8" i="81"/>
  <c r="G8" i="81"/>
  <c r="F8" i="81"/>
  <c r="I7" i="81"/>
  <c r="H7" i="81"/>
  <c r="G7" i="81"/>
  <c r="F7" i="81"/>
  <c r="J29" i="80"/>
  <c r="K29" i="80"/>
  <c r="L29" i="80"/>
  <c r="M29" i="80"/>
  <c r="N29" i="80"/>
  <c r="J30" i="80"/>
  <c r="K30" i="80"/>
  <c r="L30" i="80"/>
  <c r="M30" i="80"/>
  <c r="N30" i="80"/>
  <c r="J31" i="80"/>
  <c r="K31" i="80"/>
  <c r="L31" i="80"/>
  <c r="M31" i="80"/>
  <c r="N31" i="80"/>
  <c r="J32" i="80"/>
  <c r="K32" i="80"/>
  <c r="L32" i="80"/>
  <c r="M32" i="80"/>
  <c r="N32" i="80"/>
  <c r="J33" i="80"/>
  <c r="K33" i="80"/>
  <c r="L33" i="80"/>
  <c r="M33" i="80"/>
  <c r="N33" i="80"/>
  <c r="J34" i="80"/>
  <c r="K34" i="80"/>
  <c r="L34" i="80"/>
  <c r="M34" i="80"/>
  <c r="N34" i="80"/>
  <c r="J35" i="80"/>
  <c r="K35" i="80"/>
  <c r="L35" i="80"/>
  <c r="M35" i="80"/>
  <c r="N35" i="80"/>
  <c r="J36" i="80"/>
  <c r="K36" i="80"/>
  <c r="L36" i="80"/>
  <c r="M36" i="80"/>
  <c r="N36" i="80"/>
  <c r="J37" i="80"/>
  <c r="K37" i="80"/>
  <c r="L37" i="80"/>
  <c r="M37" i="80"/>
  <c r="N37" i="80"/>
  <c r="J38" i="80"/>
  <c r="K38" i="80"/>
  <c r="L38" i="80"/>
  <c r="M38" i="80"/>
  <c r="N38" i="80"/>
  <c r="J39" i="80"/>
  <c r="K39" i="80"/>
  <c r="L39" i="80"/>
  <c r="M39" i="80"/>
  <c r="N39" i="80"/>
  <c r="J40" i="80"/>
  <c r="K40" i="80"/>
  <c r="L40" i="80"/>
  <c r="M40" i="80"/>
  <c r="N40" i="80"/>
  <c r="J41" i="80"/>
  <c r="K41" i="80"/>
  <c r="L41" i="80"/>
  <c r="M41" i="80"/>
  <c r="N41" i="80"/>
  <c r="J42" i="80"/>
  <c r="K42" i="80"/>
  <c r="L42" i="80"/>
  <c r="M42" i="80"/>
  <c r="N42" i="80"/>
  <c r="J43" i="80"/>
  <c r="K43" i="80"/>
  <c r="L43" i="80"/>
  <c r="M43" i="80"/>
  <c r="N43" i="80"/>
  <c r="J44" i="80"/>
  <c r="K44" i="80"/>
  <c r="L44" i="80"/>
  <c r="M44" i="80"/>
  <c r="N44" i="80"/>
  <c r="J45" i="80"/>
  <c r="K45" i="80"/>
  <c r="L45" i="80"/>
  <c r="M45" i="80"/>
  <c r="N45" i="80"/>
  <c r="J46" i="80"/>
  <c r="K46" i="80"/>
  <c r="L46" i="80"/>
  <c r="M46" i="80"/>
  <c r="N46" i="80"/>
  <c r="J47" i="80"/>
  <c r="K47" i="80"/>
  <c r="L47" i="80"/>
  <c r="M47" i="80"/>
  <c r="N47" i="80"/>
  <c r="J48" i="80"/>
  <c r="K48" i="80"/>
  <c r="L48" i="80"/>
  <c r="M48" i="80"/>
  <c r="N48" i="80"/>
  <c r="J49" i="80"/>
  <c r="K49" i="80"/>
  <c r="L49" i="80"/>
  <c r="M49" i="80"/>
  <c r="N49" i="80"/>
  <c r="J50" i="80"/>
  <c r="K50" i="80"/>
  <c r="L50" i="80"/>
  <c r="M50" i="80"/>
  <c r="N50" i="80"/>
  <c r="J51" i="80"/>
  <c r="K51" i="80"/>
  <c r="L51" i="80"/>
  <c r="M51" i="80"/>
  <c r="N51" i="80"/>
  <c r="J52" i="80"/>
  <c r="K52" i="80"/>
  <c r="L52" i="80"/>
  <c r="M52" i="80"/>
  <c r="N52" i="80"/>
  <c r="J53" i="80"/>
  <c r="K53" i="80"/>
  <c r="L53" i="80"/>
  <c r="M53" i="80"/>
  <c r="N53" i="80"/>
  <c r="J54" i="80"/>
  <c r="K54" i="80"/>
  <c r="L54" i="80"/>
  <c r="M54" i="80"/>
  <c r="N54" i="80"/>
  <c r="J55" i="80"/>
  <c r="K55" i="80"/>
  <c r="L55" i="80"/>
  <c r="M55" i="80"/>
  <c r="N55" i="80"/>
  <c r="J56" i="80"/>
  <c r="K56" i="80"/>
  <c r="L56" i="80"/>
  <c r="M56" i="80"/>
  <c r="N56" i="80"/>
  <c r="J57" i="80"/>
  <c r="K57" i="80"/>
  <c r="L57" i="80"/>
  <c r="M57" i="80"/>
  <c r="N57" i="80"/>
  <c r="J58" i="80"/>
  <c r="K58" i="80"/>
  <c r="L58" i="80"/>
  <c r="M58" i="80"/>
  <c r="N58" i="80"/>
  <c r="J59" i="80"/>
  <c r="K59" i="80"/>
  <c r="L59" i="80"/>
  <c r="M59" i="80"/>
  <c r="N59" i="80"/>
  <c r="J60" i="80"/>
  <c r="K60" i="80"/>
  <c r="L60" i="80"/>
  <c r="M60" i="80"/>
  <c r="N60" i="80"/>
  <c r="J61" i="80"/>
  <c r="K61" i="80"/>
  <c r="L61" i="80"/>
  <c r="M61" i="80"/>
  <c r="N61" i="80"/>
  <c r="J62" i="80"/>
  <c r="K62" i="80"/>
  <c r="L62" i="80"/>
  <c r="M62" i="80"/>
  <c r="N62" i="80"/>
  <c r="J63" i="80"/>
  <c r="K63" i="80"/>
  <c r="L63" i="80"/>
  <c r="M63" i="80"/>
  <c r="N63" i="80"/>
  <c r="J64" i="80"/>
  <c r="K64" i="80"/>
  <c r="L64" i="80"/>
  <c r="M64" i="80"/>
  <c r="N64" i="80"/>
  <c r="J65" i="80"/>
  <c r="K65" i="80"/>
  <c r="L65" i="80"/>
  <c r="M65" i="80"/>
  <c r="N65" i="80"/>
  <c r="J66" i="80"/>
  <c r="K66" i="80"/>
  <c r="L66" i="80"/>
  <c r="M66" i="80"/>
  <c r="N66" i="80"/>
  <c r="J67" i="80"/>
  <c r="K67" i="80"/>
  <c r="L67" i="80"/>
  <c r="M67" i="80"/>
  <c r="N67" i="80"/>
  <c r="J68" i="80"/>
  <c r="K68" i="80"/>
  <c r="L68" i="80"/>
  <c r="M68" i="80"/>
  <c r="N68" i="80"/>
  <c r="J69" i="80"/>
  <c r="K69" i="80"/>
  <c r="L69" i="80"/>
  <c r="M69" i="80"/>
  <c r="N69" i="80"/>
  <c r="J70" i="80"/>
  <c r="K70" i="80"/>
  <c r="L70" i="80"/>
  <c r="M70" i="80"/>
  <c r="N70" i="80"/>
  <c r="J71" i="80"/>
  <c r="K71" i="80"/>
  <c r="L71" i="80"/>
  <c r="M71" i="80"/>
  <c r="N71" i="80"/>
  <c r="J72" i="80"/>
  <c r="K72" i="80"/>
  <c r="L72" i="80"/>
  <c r="M72" i="80"/>
  <c r="N72" i="80"/>
  <c r="J73" i="80"/>
  <c r="K73" i="80"/>
  <c r="L73" i="80"/>
  <c r="M73" i="80"/>
  <c r="N73" i="80"/>
  <c r="J74" i="80"/>
  <c r="K74" i="80"/>
  <c r="L74" i="80"/>
  <c r="M74" i="80"/>
  <c r="N74" i="80"/>
  <c r="J75" i="80"/>
  <c r="K75" i="80"/>
  <c r="L75" i="80"/>
  <c r="M75" i="80"/>
  <c r="N75" i="80"/>
  <c r="J76" i="80"/>
  <c r="K76" i="80"/>
  <c r="L76" i="80"/>
  <c r="M76" i="80"/>
  <c r="N76" i="80"/>
  <c r="J77" i="80"/>
  <c r="K77" i="80"/>
  <c r="L77" i="80"/>
  <c r="M77" i="80"/>
  <c r="N77" i="80"/>
  <c r="J78" i="80"/>
  <c r="K78" i="80"/>
  <c r="L78" i="80"/>
  <c r="M78" i="80"/>
  <c r="N78" i="80"/>
  <c r="J79" i="80"/>
  <c r="K79" i="80"/>
  <c r="L79" i="80"/>
  <c r="M79" i="80"/>
  <c r="N79" i="80"/>
  <c r="J80" i="80"/>
  <c r="K80" i="80"/>
  <c r="L80" i="80"/>
  <c r="M80" i="80"/>
  <c r="N80" i="80"/>
  <c r="J81" i="80"/>
  <c r="K81" i="80"/>
  <c r="L81" i="80"/>
  <c r="M81" i="80"/>
  <c r="N81" i="80"/>
  <c r="J82" i="80"/>
  <c r="K82" i="80"/>
  <c r="L82" i="80"/>
  <c r="M82" i="80"/>
  <c r="N82" i="80"/>
  <c r="J83" i="80"/>
  <c r="K83" i="80"/>
  <c r="L83" i="80"/>
  <c r="M83" i="80"/>
  <c r="N83" i="80"/>
  <c r="J84" i="80"/>
  <c r="K84" i="80"/>
  <c r="L84" i="80"/>
  <c r="M84" i="80"/>
  <c r="N84" i="80"/>
  <c r="J85" i="80"/>
  <c r="K85" i="80"/>
  <c r="L85" i="80"/>
  <c r="M85" i="80"/>
  <c r="N85" i="80"/>
  <c r="J86" i="80"/>
  <c r="K86" i="80"/>
  <c r="L86" i="80"/>
  <c r="M86" i="80"/>
  <c r="N86" i="80"/>
  <c r="J87" i="80"/>
  <c r="K87" i="80"/>
  <c r="L87" i="80"/>
  <c r="M87" i="80"/>
  <c r="N87" i="80"/>
  <c r="J88" i="80"/>
  <c r="K88" i="80"/>
  <c r="L88" i="80"/>
  <c r="M88" i="80"/>
  <c r="N88" i="80"/>
  <c r="J89" i="80"/>
  <c r="K89" i="80"/>
  <c r="L89" i="80"/>
  <c r="M89" i="80"/>
  <c r="N89" i="80"/>
  <c r="J90" i="80"/>
  <c r="K90" i="80"/>
  <c r="L90" i="80"/>
  <c r="M90" i="80"/>
  <c r="N90" i="80"/>
  <c r="J91" i="80"/>
  <c r="K91" i="80"/>
  <c r="L91" i="80"/>
  <c r="M91" i="80"/>
  <c r="N91" i="80"/>
  <c r="J92" i="80"/>
  <c r="K92" i="80"/>
  <c r="L92" i="80"/>
  <c r="M92" i="80"/>
  <c r="N92" i="80"/>
  <c r="J93" i="80"/>
  <c r="K93" i="80"/>
  <c r="L93" i="80"/>
  <c r="M93" i="80"/>
  <c r="N93" i="80"/>
  <c r="J94" i="80"/>
  <c r="K94" i="80"/>
  <c r="L94" i="80"/>
  <c r="M94" i="80"/>
  <c r="N94" i="80"/>
  <c r="J95" i="80"/>
  <c r="K95" i="80"/>
  <c r="L95" i="80"/>
  <c r="M95" i="80"/>
  <c r="N95" i="80"/>
  <c r="J96" i="80"/>
  <c r="K96" i="80"/>
  <c r="L96" i="80"/>
  <c r="M96" i="80"/>
  <c r="N96" i="80"/>
  <c r="J97" i="80"/>
  <c r="K97" i="80"/>
  <c r="L97" i="80"/>
  <c r="M97" i="80"/>
  <c r="N97" i="80"/>
  <c r="J98" i="80"/>
  <c r="K98" i="80"/>
  <c r="L98" i="80"/>
  <c r="M98" i="80"/>
  <c r="N98" i="80"/>
  <c r="J99" i="80"/>
  <c r="K99" i="80"/>
  <c r="L99" i="80"/>
  <c r="M99" i="80"/>
  <c r="N99" i="80"/>
  <c r="J100" i="80"/>
  <c r="K100" i="80"/>
  <c r="L100" i="80"/>
  <c r="M100" i="80"/>
  <c r="N100" i="80"/>
  <c r="J101" i="80"/>
  <c r="K101" i="80"/>
  <c r="L101" i="80"/>
  <c r="M101" i="80"/>
  <c r="N101" i="80"/>
  <c r="J102" i="80"/>
  <c r="K102" i="80"/>
  <c r="L102" i="80"/>
  <c r="M102" i="80"/>
  <c r="N102" i="80"/>
  <c r="J103" i="80"/>
  <c r="K103" i="80"/>
  <c r="L103" i="80"/>
  <c r="M103" i="80"/>
  <c r="N103" i="80"/>
  <c r="J104" i="80"/>
  <c r="K104" i="80"/>
  <c r="L104" i="80"/>
  <c r="M104" i="80"/>
  <c r="N104" i="80"/>
  <c r="J105" i="80"/>
  <c r="K105" i="80"/>
  <c r="L105" i="80"/>
  <c r="M105" i="80"/>
  <c r="N105" i="80"/>
  <c r="J106" i="80"/>
  <c r="K106" i="80"/>
  <c r="L106" i="80"/>
  <c r="M106" i="80"/>
  <c r="N106" i="80"/>
  <c r="J107" i="80"/>
  <c r="K107" i="80"/>
  <c r="L107" i="80"/>
  <c r="M107" i="80"/>
  <c r="N107" i="80"/>
  <c r="J108" i="80"/>
  <c r="K108" i="80"/>
  <c r="L108" i="80"/>
  <c r="M108" i="80"/>
  <c r="N108" i="80"/>
  <c r="J10" i="80"/>
  <c r="K10" i="80"/>
  <c r="L10" i="80"/>
  <c r="M10" i="80"/>
  <c r="N10" i="80"/>
  <c r="J11" i="80"/>
  <c r="K11" i="80"/>
  <c r="L11" i="80"/>
  <c r="M11" i="80"/>
  <c r="N11" i="80"/>
  <c r="J12" i="80"/>
  <c r="K12" i="80"/>
  <c r="L12" i="80"/>
  <c r="M12" i="80"/>
  <c r="N12" i="80"/>
  <c r="J13" i="80"/>
  <c r="K13" i="80"/>
  <c r="L13" i="80"/>
  <c r="M13" i="80"/>
  <c r="N13" i="80"/>
  <c r="J14" i="80"/>
  <c r="K14" i="80"/>
  <c r="L14" i="80"/>
  <c r="M14" i="80"/>
  <c r="N14" i="80"/>
  <c r="J15" i="80"/>
  <c r="K15" i="80"/>
  <c r="L15" i="80"/>
  <c r="M15" i="80"/>
  <c r="N15" i="80"/>
  <c r="J16" i="80"/>
  <c r="K16" i="80"/>
  <c r="L16" i="80"/>
  <c r="M16" i="80"/>
  <c r="N16" i="80"/>
  <c r="J17" i="80"/>
  <c r="K17" i="80"/>
  <c r="L17" i="80"/>
  <c r="M17" i="80"/>
  <c r="N17" i="80"/>
  <c r="J18" i="80"/>
  <c r="K18" i="80"/>
  <c r="L18" i="80"/>
  <c r="M18" i="80"/>
  <c r="N18" i="80"/>
  <c r="J19" i="80"/>
  <c r="K19" i="80"/>
  <c r="L19" i="80"/>
  <c r="M19" i="80"/>
  <c r="N19" i="80"/>
  <c r="J20" i="80"/>
  <c r="K20" i="80"/>
  <c r="L20" i="80"/>
  <c r="M20" i="80"/>
  <c r="N20" i="80"/>
  <c r="J21" i="80"/>
  <c r="K21" i="80"/>
  <c r="L21" i="80"/>
  <c r="M21" i="80"/>
  <c r="N21" i="80"/>
  <c r="J22" i="80"/>
  <c r="K22" i="80"/>
  <c r="L22" i="80"/>
  <c r="M22" i="80"/>
  <c r="N22" i="80"/>
  <c r="J23" i="80"/>
  <c r="K23" i="80"/>
  <c r="L23" i="80"/>
  <c r="M23" i="80"/>
  <c r="N23" i="80"/>
  <c r="J24" i="80"/>
  <c r="K24" i="80"/>
  <c r="L24" i="80"/>
  <c r="M24" i="80"/>
  <c r="N24" i="80"/>
  <c r="J25" i="80"/>
  <c r="K25" i="80"/>
  <c r="L25" i="80"/>
  <c r="M25" i="80"/>
  <c r="N25" i="80"/>
  <c r="J26" i="80"/>
  <c r="K26" i="80"/>
  <c r="L26" i="80"/>
  <c r="M26" i="80"/>
  <c r="N26" i="80"/>
  <c r="J27" i="80"/>
  <c r="K27" i="80"/>
  <c r="L27" i="80"/>
  <c r="M27" i="80"/>
  <c r="N27" i="80"/>
  <c r="J28" i="80"/>
  <c r="K28" i="80"/>
  <c r="L28" i="80"/>
  <c r="M28" i="80"/>
  <c r="N28" i="80"/>
  <c r="N9" i="80"/>
  <c r="M9" i="80"/>
  <c r="L9" i="80"/>
  <c r="K9" i="80"/>
  <c r="J9" i="80"/>
  <c r="I64" i="80" l="1"/>
  <c r="H64" i="80" s="1"/>
  <c r="I45" i="80"/>
  <c r="H45" i="80" s="1"/>
  <c r="I50" i="80"/>
  <c r="H50" i="80" s="1"/>
  <c r="I39" i="80"/>
  <c r="H39" i="80" s="1"/>
  <c r="I31" i="80"/>
  <c r="H31" i="80" s="1"/>
  <c r="I21" i="80"/>
  <c r="H21" i="80" s="1"/>
  <c r="I13" i="80"/>
  <c r="H13" i="80" s="1"/>
  <c r="I104" i="80"/>
  <c r="H104" i="80" s="1"/>
  <c r="I102" i="80"/>
  <c r="H102" i="80" s="1"/>
  <c r="I96" i="80"/>
  <c r="H96" i="80" s="1"/>
  <c r="I94" i="80"/>
  <c r="H94" i="80" s="1"/>
  <c r="I88" i="80"/>
  <c r="H88" i="80" s="1"/>
  <c r="I86" i="80"/>
  <c r="H86" i="80" s="1"/>
  <c r="I80" i="80"/>
  <c r="H80" i="80" s="1"/>
  <c r="I78" i="80"/>
  <c r="H78" i="80" s="1"/>
  <c r="I72" i="80"/>
  <c r="H72" i="80" s="1"/>
  <c r="I70" i="80"/>
  <c r="H70" i="80" s="1"/>
  <c r="I60" i="80"/>
  <c r="H60" i="80" s="1"/>
  <c r="I68" i="80"/>
  <c r="H68" i="80" s="1"/>
  <c r="I52" i="80"/>
  <c r="H52" i="80" s="1"/>
  <c r="I107" i="80"/>
  <c r="H107" i="80" s="1"/>
  <c r="I85" i="80"/>
  <c r="H85" i="80" s="1"/>
  <c r="I77" i="80"/>
  <c r="H77" i="80" s="1"/>
  <c r="I42" i="80"/>
  <c r="H42" i="80" s="1"/>
  <c r="I56" i="80"/>
  <c r="H56" i="80" s="1"/>
  <c r="I48" i="80"/>
  <c r="H48" i="80" s="1"/>
  <c r="I40" i="80"/>
  <c r="H40" i="80" s="1"/>
  <c r="I32" i="80"/>
  <c r="H32" i="80" s="1"/>
  <c r="I14" i="80"/>
  <c r="H14" i="80" s="1"/>
  <c r="I97" i="80"/>
  <c r="H97" i="80" s="1"/>
  <c r="I73" i="80"/>
  <c r="H73" i="80" s="1"/>
  <c r="I25" i="80"/>
  <c r="H25" i="80" s="1"/>
  <c r="I17" i="80"/>
  <c r="H17" i="80" s="1"/>
  <c r="I84" i="80"/>
  <c r="H84" i="80" s="1"/>
  <c r="I41" i="80"/>
  <c r="H41" i="80" s="1"/>
  <c r="I23" i="80"/>
  <c r="H23" i="80" s="1"/>
  <c r="I15" i="80"/>
  <c r="H15" i="80" s="1"/>
  <c r="I106" i="80"/>
  <c r="H106" i="80" s="1"/>
  <c r="I95" i="80"/>
  <c r="H95" i="80" s="1"/>
  <c r="I90" i="80"/>
  <c r="H90" i="80" s="1"/>
  <c r="I71" i="80"/>
  <c r="H71" i="80" s="1"/>
  <c r="I44" i="80"/>
  <c r="H44" i="80" s="1"/>
  <c r="I108" i="80"/>
  <c r="H108" i="80" s="1"/>
  <c r="I69" i="80"/>
  <c r="H69" i="80" s="1"/>
  <c r="I63" i="80"/>
  <c r="H63" i="80" s="1"/>
  <c r="I37" i="80"/>
  <c r="H37" i="80" s="1"/>
  <c r="I35" i="80"/>
  <c r="H35" i="80" s="1"/>
  <c r="I18" i="80"/>
  <c r="H18" i="80" s="1"/>
  <c r="I12" i="80"/>
  <c r="H12" i="80" s="1"/>
  <c r="I100" i="80"/>
  <c r="H100" i="80" s="1"/>
  <c r="I89" i="80"/>
  <c r="H89" i="80" s="1"/>
  <c r="I58" i="80"/>
  <c r="H58" i="80" s="1"/>
  <c r="I49" i="80"/>
  <c r="H49" i="80" s="1"/>
  <c r="I46" i="80"/>
  <c r="H46" i="80" s="1"/>
  <c r="I29" i="80"/>
  <c r="H29" i="80" s="1"/>
  <c r="I27" i="80"/>
  <c r="H27" i="80" s="1"/>
  <c r="I24" i="80"/>
  <c r="H24" i="80" s="1"/>
  <c r="I103" i="80"/>
  <c r="H103" i="80" s="1"/>
  <c r="I98" i="80"/>
  <c r="H98" i="80" s="1"/>
  <c r="I92" i="80"/>
  <c r="H92" i="80" s="1"/>
  <c r="I81" i="80"/>
  <c r="H81" i="80" s="1"/>
  <c r="I61" i="80"/>
  <c r="H61" i="80" s="1"/>
  <c r="I55" i="80"/>
  <c r="H55" i="80" s="1"/>
  <c r="I67" i="80"/>
  <c r="H67" i="80" s="1"/>
  <c r="I38" i="80"/>
  <c r="H38" i="80" s="1"/>
  <c r="I22" i="80"/>
  <c r="H22" i="80" s="1"/>
  <c r="I19" i="80"/>
  <c r="H19" i="80" s="1"/>
  <c r="I16" i="80"/>
  <c r="H16" i="80" s="1"/>
  <c r="I101" i="80"/>
  <c r="H101" i="80" s="1"/>
  <c r="I99" i="80"/>
  <c r="H99" i="80" s="1"/>
  <c r="I87" i="80"/>
  <c r="H87" i="80" s="1"/>
  <c r="I82" i="80"/>
  <c r="H82" i="80" s="1"/>
  <c r="I76" i="80"/>
  <c r="H76" i="80" s="1"/>
  <c r="I53" i="80"/>
  <c r="H53" i="80" s="1"/>
  <c r="I47" i="80"/>
  <c r="H47" i="80" s="1"/>
  <c r="I33" i="80"/>
  <c r="H33" i="80" s="1"/>
  <c r="I30" i="80"/>
  <c r="H30" i="80" s="1"/>
  <c r="I28" i="80"/>
  <c r="H28" i="80" s="1"/>
  <c r="I93" i="80"/>
  <c r="H93" i="80" s="1"/>
  <c r="I91" i="80"/>
  <c r="H91" i="80" s="1"/>
  <c r="I79" i="80"/>
  <c r="H79" i="80" s="1"/>
  <c r="I74" i="80"/>
  <c r="H74" i="80" s="1"/>
  <c r="I65" i="80"/>
  <c r="H65" i="80" s="1"/>
  <c r="I62" i="80"/>
  <c r="H62" i="80" s="1"/>
  <c r="I59" i="80"/>
  <c r="H59" i="80" s="1"/>
  <c r="I51" i="80"/>
  <c r="H51" i="80" s="1"/>
  <c r="I36" i="80"/>
  <c r="H36" i="80" s="1"/>
  <c r="I11" i="80"/>
  <c r="H11" i="80" s="1"/>
  <c r="I83" i="80"/>
  <c r="H83" i="80" s="1"/>
  <c r="I34" i="80"/>
  <c r="H34" i="80" s="1"/>
  <c r="I26" i="80"/>
  <c r="H26" i="80" s="1"/>
  <c r="I20" i="80"/>
  <c r="H20" i="80" s="1"/>
  <c r="I105" i="80"/>
  <c r="H105" i="80" s="1"/>
  <c r="I75" i="80"/>
  <c r="H75" i="80" s="1"/>
  <c r="I66" i="80"/>
  <c r="H66" i="80" s="1"/>
  <c r="I57" i="80"/>
  <c r="H57" i="80" s="1"/>
  <c r="I54" i="80"/>
  <c r="H54" i="80" s="1"/>
  <c r="I43" i="80"/>
  <c r="H43" i="80" s="1"/>
  <c r="I10" i="80"/>
  <c r="H10" i="80" s="1"/>
  <c r="I9" i="80"/>
  <c r="H9" i="80" s="1"/>
  <c r="U51" i="83" l="1"/>
  <c r="P51" i="83"/>
  <c r="K51" i="83"/>
  <c r="U50" i="83"/>
  <c r="P50" i="83"/>
  <c r="K50" i="83"/>
  <c r="U49" i="83"/>
  <c r="P49" i="83"/>
  <c r="K49" i="83"/>
  <c r="U48" i="83"/>
  <c r="P48" i="83"/>
  <c r="K48" i="83"/>
  <c r="U47" i="83"/>
  <c r="P47" i="83"/>
  <c r="K47" i="83"/>
  <c r="U46" i="83"/>
  <c r="P46" i="83"/>
  <c r="K46" i="83"/>
  <c r="U45" i="83"/>
  <c r="P45" i="83"/>
  <c r="K45" i="83"/>
  <c r="U44" i="83"/>
  <c r="P44" i="83"/>
  <c r="K44" i="83"/>
  <c r="U43" i="83"/>
  <c r="P43" i="83"/>
  <c r="K43" i="83"/>
  <c r="U42" i="83"/>
  <c r="P42" i="83"/>
  <c r="K42" i="83"/>
  <c r="U41" i="83"/>
  <c r="P41" i="83"/>
  <c r="K41" i="83"/>
  <c r="U40" i="83"/>
  <c r="P40" i="83"/>
  <c r="K40" i="83"/>
  <c r="U39" i="83"/>
  <c r="P39" i="83"/>
  <c r="K39" i="83"/>
  <c r="U38" i="83"/>
  <c r="P38" i="83"/>
  <c r="K38" i="83"/>
  <c r="AM32" i="83"/>
  <c r="AH32" i="83"/>
  <c r="AC32" i="83"/>
  <c r="X32" i="83"/>
  <c r="S32" i="83"/>
  <c r="N32" i="83"/>
  <c r="AM31" i="83"/>
  <c r="AH31" i="83"/>
  <c r="AC31" i="83"/>
  <c r="X31" i="83"/>
  <c r="S31" i="83"/>
  <c r="N31" i="83"/>
  <c r="AM30" i="83"/>
  <c r="AH30" i="83"/>
  <c r="AC30" i="83"/>
  <c r="X30" i="83"/>
  <c r="S30" i="83"/>
  <c r="N30" i="83"/>
  <c r="AM23" i="83"/>
  <c r="AH23" i="83"/>
  <c r="AC23" i="83"/>
  <c r="X23" i="83"/>
  <c r="S23" i="83"/>
  <c r="N23" i="83"/>
  <c r="AM22" i="83"/>
  <c r="AH22" i="83"/>
  <c r="AC22" i="83"/>
  <c r="X22" i="83"/>
  <c r="S22" i="83"/>
  <c r="N22" i="83"/>
  <c r="AM21" i="83"/>
  <c r="AH21" i="83"/>
  <c r="AC21" i="83"/>
  <c r="X21" i="83"/>
  <c r="S21" i="83"/>
  <c r="N21" i="83"/>
  <c r="AM20" i="83"/>
  <c r="AH20" i="83"/>
  <c r="AC20" i="83"/>
  <c r="X20" i="83"/>
  <c r="S20" i="83"/>
  <c r="N20" i="83"/>
  <c r="AM19" i="83"/>
  <c r="AH19" i="83"/>
  <c r="AC19" i="83"/>
  <c r="X19" i="83"/>
  <c r="S19" i="83"/>
  <c r="N19" i="83"/>
  <c r="AM18" i="83"/>
  <c r="AH18" i="83"/>
  <c r="AC18" i="83"/>
  <c r="X18" i="83"/>
  <c r="S18" i="83"/>
  <c r="N18" i="83"/>
  <c r="AM17" i="83"/>
  <c r="AH17" i="83"/>
  <c r="AC17" i="83"/>
  <c r="X17" i="83"/>
  <c r="S17" i="83"/>
  <c r="N17" i="83"/>
  <c r="AM16" i="83"/>
  <c r="AH16" i="83"/>
  <c r="AC16" i="83"/>
  <c r="X16" i="83"/>
  <c r="S16" i="83"/>
  <c r="N16" i="83"/>
  <c r="AM15" i="83"/>
  <c r="AH15" i="83"/>
  <c r="AC15" i="83"/>
  <c r="X15" i="83"/>
  <c r="S15" i="83"/>
  <c r="N15" i="83"/>
  <c r="AM14" i="83"/>
  <c r="AH14" i="83"/>
  <c r="AC14" i="83"/>
  <c r="X14" i="83"/>
  <c r="S14" i="83"/>
  <c r="N14" i="83"/>
  <c r="B38" i="80"/>
  <c r="B39" i="80"/>
  <c r="B40" i="80"/>
  <c r="B41" i="80"/>
  <c r="B42" i="80"/>
  <c r="B43" i="80"/>
  <c r="B44" i="80"/>
  <c r="B45" i="80"/>
  <c r="B46" i="80"/>
  <c r="B47" i="80"/>
  <c r="B48" i="80"/>
  <c r="B49" i="80"/>
  <c r="B50" i="80"/>
  <c r="B51" i="80"/>
  <c r="B52" i="80"/>
  <c r="B53" i="80"/>
  <c r="B54" i="80"/>
  <c r="B55" i="80"/>
  <c r="B56" i="80"/>
  <c r="B57" i="80"/>
  <c r="B58" i="80"/>
  <c r="B59" i="80"/>
  <c r="B60" i="80"/>
  <c r="B61" i="80"/>
  <c r="B62" i="80"/>
  <c r="B63" i="80"/>
  <c r="B64" i="80"/>
  <c r="B65" i="80"/>
  <c r="B66" i="80"/>
  <c r="B67" i="80"/>
  <c r="B68" i="80"/>
  <c r="B69" i="80"/>
  <c r="B70" i="80"/>
  <c r="B71" i="80"/>
  <c r="B72" i="80"/>
  <c r="B73" i="80"/>
  <c r="B74" i="80"/>
  <c r="B75" i="80"/>
  <c r="B76" i="80"/>
  <c r="B77" i="80"/>
  <c r="B78" i="80"/>
  <c r="B79" i="80"/>
  <c r="B80" i="80"/>
  <c r="B81" i="80"/>
  <c r="B82" i="80"/>
  <c r="B83" i="80"/>
  <c r="B84" i="80"/>
  <c r="B85" i="80"/>
  <c r="B86" i="80"/>
  <c r="B87" i="80"/>
  <c r="B88" i="80"/>
  <c r="B89" i="80"/>
  <c r="B90" i="80"/>
  <c r="B91" i="80"/>
  <c r="B92" i="80"/>
  <c r="B93" i="80"/>
  <c r="B94" i="80"/>
  <c r="B95" i="80"/>
  <c r="B96" i="80"/>
  <c r="B97" i="80"/>
  <c r="B98" i="80"/>
  <c r="B99" i="80"/>
  <c r="B100" i="80"/>
  <c r="B101" i="80"/>
  <c r="B102" i="80"/>
  <c r="B103" i="80"/>
  <c r="B104" i="80"/>
  <c r="B105" i="80"/>
  <c r="B106" i="80"/>
  <c r="B107" i="80"/>
  <c r="B108" i="80"/>
  <c r="P25" i="79" l="1"/>
  <c r="P26" i="79"/>
  <c r="V26" i="79"/>
  <c r="V25" i="79"/>
  <c r="B3" i="81" l="1"/>
  <c r="B37" i="80" l="1"/>
  <c r="B36" i="80"/>
  <c r="B35" i="80"/>
  <c r="B34" i="80"/>
  <c r="B33" i="80"/>
  <c r="B32" i="80"/>
  <c r="B31" i="80"/>
  <c r="B30" i="80"/>
  <c r="B29" i="80"/>
  <c r="B28" i="80"/>
  <c r="B27" i="80"/>
  <c r="B26" i="80"/>
  <c r="B25" i="80"/>
  <c r="B24" i="80"/>
  <c r="B23" i="80"/>
  <c r="B22" i="80"/>
  <c r="B21" i="80"/>
  <c r="B20" i="80"/>
  <c r="B19" i="80"/>
  <c r="B18" i="80"/>
  <c r="B17" i="80"/>
  <c r="B16" i="80"/>
  <c r="B15" i="80"/>
  <c r="B14" i="80"/>
  <c r="B13" i="80"/>
  <c r="B12" i="80"/>
  <c r="B11" i="80"/>
  <c r="B10" i="80"/>
  <c r="V18" i="79" l="1"/>
  <c r="V16" i="79"/>
  <c r="V14" i="79"/>
  <c r="V12" i="79"/>
  <c r="V10" i="79"/>
  <c r="P18" i="79"/>
  <c r="P16" i="79"/>
  <c r="P14" i="79"/>
  <c r="P12" i="79"/>
  <c r="P10" i="79"/>
  <c r="P19" i="79" l="1"/>
  <c r="V11" i="79"/>
  <c r="P11" i="79"/>
  <c r="V17" i="79"/>
  <c r="V13" i="79"/>
  <c r="P17" i="79"/>
  <c r="P13" i="79"/>
  <c r="V19" i="79"/>
  <c r="V15" i="79"/>
  <c r="P15" i="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9" authorId="0" shapeId="0" xr:uid="{2AF1CEF1-14BA-4613-8FF8-134A5E380B0F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sharedStrings.xml><?xml version="1.0" encoding="utf-8"?>
<sst xmlns="http://schemas.openxmlformats.org/spreadsheetml/2006/main" count="168" uniqueCount="91">
  <si>
    <t>時間</t>
    <rPh sb="0" eb="2">
      <t>ジカン</t>
    </rPh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</si>
  <si>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</si>
  <si>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</si>
  <si>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雇用形態</t>
    <rPh sb="0" eb="2">
      <t>コヨウ</t>
    </rPh>
    <rPh sb="2" eb="4">
      <t>ケイタイ</t>
    </rPh>
    <phoneticPr fontId="2"/>
  </si>
  <si>
    <t>総労働時間</t>
    <rPh sb="0" eb="1">
      <t>ソウ</t>
    </rPh>
    <rPh sb="1" eb="3">
      <t>ロウドウ</t>
    </rPh>
    <rPh sb="3" eb="5">
      <t>ジカン</t>
    </rPh>
    <phoneticPr fontId="2"/>
  </si>
  <si>
    <t>受託（農業）</t>
    <rPh sb="0" eb="2">
      <t>ジュタク</t>
    </rPh>
    <rPh sb="3" eb="5">
      <t>ノウギョウ</t>
    </rPh>
    <phoneticPr fontId="2"/>
  </si>
  <si>
    <t>その他事業</t>
    <rPh sb="2" eb="3">
      <t>タ</t>
    </rPh>
    <rPh sb="3" eb="5">
      <t>ジギョウ</t>
    </rPh>
    <phoneticPr fontId="2"/>
  </si>
  <si>
    <t>農業生産</t>
    <rPh sb="0" eb="2">
      <t>ノウギョウ</t>
    </rPh>
    <rPh sb="2" eb="4">
      <t>セイサン</t>
    </rPh>
    <phoneticPr fontId="2"/>
  </si>
  <si>
    <t>35～44</t>
  </si>
  <si>
    <t>45～49</t>
  </si>
  <si>
    <t>50～59</t>
  </si>
  <si>
    <t>60～64</t>
  </si>
  <si>
    <t>65～69</t>
  </si>
  <si>
    <t>月</t>
    <rPh sb="0" eb="1">
      <t>ツキ</t>
    </rPh>
    <phoneticPr fontId="5"/>
  </si>
  <si>
    <t>作業者</t>
    <rPh sb="0" eb="3">
      <t>サギョウシャ</t>
    </rPh>
    <phoneticPr fontId="5"/>
  </si>
  <si>
    <t>経営主・構成員</t>
    <rPh sb="0" eb="2">
      <t>ケイエイ</t>
    </rPh>
    <rPh sb="2" eb="3">
      <t>シュ</t>
    </rPh>
    <rPh sb="4" eb="7">
      <t>コウセイイン</t>
    </rPh>
    <phoneticPr fontId="2"/>
  </si>
  <si>
    <t>【12】労働の概要</t>
    <rPh sb="4" eb="6">
      <t>ロウドウ</t>
    </rPh>
    <rPh sb="7" eb="9">
      <t>ガイヨウ</t>
    </rPh>
    <phoneticPr fontId="5"/>
  </si>
  <si>
    <t>(１) 雇用形態別の事業従事者数</t>
    <rPh sb="4" eb="6">
      <t>コヨウ</t>
    </rPh>
    <rPh sb="6" eb="9">
      <t>ケイタイベツ</t>
    </rPh>
    <rPh sb="10" eb="12">
      <t>ジギョウ</t>
    </rPh>
    <rPh sb="12" eb="15">
      <t>ジュウジシャ</t>
    </rPh>
    <rPh sb="15" eb="16">
      <t>カズ</t>
    </rPh>
    <phoneticPr fontId="5"/>
  </si>
  <si>
    <t>区　　　分</t>
    <rPh sb="0" eb="1">
      <t>ク</t>
    </rPh>
    <rPh sb="4" eb="5">
      <t>ブン</t>
    </rPh>
    <phoneticPr fontId="5"/>
  </si>
  <si>
    <r>
      <t>男
（人</t>
    </r>
    <r>
      <rPr>
        <sz val="11"/>
        <color indexed="8"/>
        <rFont val="ＭＳ ゴシック"/>
        <family val="3"/>
        <charset val="128"/>
      </rPr>
      <t>）</t>
    </r>
    <rPh sb="0" eb="1">
      <t>オトコ</t>
    </rPh>
    <rPh sb="3" eb="4">
      <t>ニン</t>
    </rPh>
    <phoneticPr fontId="5"/>
  </si>
  <si>
    <r>
      <t>女
（人</t>
    </r>
    <r>
      <rPr>
        <sz val="11"/>
        <rFont val="ＭＳ ゴシック"/>
        <family val="3"/>
        <charset val="128"/>
      </rPr>
      <t>）</t>
    </r>
    <rPh sb="0" eb="1">
      <t>オンナ</t>
    </rPh>
    <rPh sb="3" eb="4">
      <t>ニン</t>
    </rPh>
    <phoneticPr fontId="5"/>
  </si>
  <si>
    <t>有給役員</t>
    <rPh sb="0" eb="2">
      <t>ユウキュウ</t>
    </rPh>
    <rPh sb="2" eb="4">
      <t>ヤクイン</t>
    </rPh>
    <phoneticPr fontId="5"/>
  </si>
  <si>
    <t>事業従事者</t>
    <rPh sb="0" eb="2">
      <t>ジギョウ</t>
    </rPh>
    <rPh sb="2" eb="4">
      <t>ジュウジ</t>
    </rPh>
    <rPh sb="4" eb="5">
      <t>シャ</t>
    </rPh>
    <phoneticPr fontId="5"/>
  </si>
  <si>
    <t>うち農業従事者</t>
    <phoneticPr fontId="5"/>
  </si>
  <si>
    <t>常用雇用者</t>
    <rPh sb="0" eb="2">
      <t>ジョウヨウ</t>
    </rPh>
    <rPh sb="2" eb="5">
      <t>コヨウシャ</t>
    </rPh>
    <phoneticPr fontId="5"/>
  </si>
  <si>
    <t>正社員・正職員</t>
    <rPh sb="0" eb="3">
      <t>セイシャイン</t>
    </rPh>
    <rPh sb="4" eb="7">
      <t>セイショクイン</t>
    </rPh>
    <phoneticPr fontId="5"/>
  </si>
  <si>
    <t>その他</t>
    <rPh sb="2" eb="3">
      <t>タ</t>
    </rPh>
    <phoneticPr fontId="5"/>
  </si>
  <si>
    <t>うち７か月以上</t>
    <rPh sb="4" eb="5">
      <t>ゲツ</t>
    </rPh>
    <rPh sb="5" eb="7">
      <t>イジョウ</t>
    </rPh>
    <phoneticPr fontId="5"/>
  </si>
  <si>
    <t>臨時雇用者</t>
    <rPh sb="0" eb="2">
      <t>リンジ</t>
    </rPh>
    <rPh sb="2" eb="5">
      <t>コヨウシャ</t>
    </rPh>
    <phoneticPr fontId="5"/>
  </si>
  <si>
    <t>うち農業従事者</t>
    <rPh sb="2" eb="4">
      <t>ノウギョウ</t>
    </rPh>
    <rPh sb="4" eb="7">
      <t>ジュウジシャ</t>
    </rPh>
    <phoneticPr fontId="5"/>
  </si>
  <si>
    <t>(２) 構成員数</t>
    <rPh sb="4" eb="7">
      <t>コウセイイン</t>
    </rPh>
    <rPh sb="7" eb="8">
      <t>スウ</t>
    </rPh>
    <phoneticPr fontId="5"/>
  </si>
  <si>
    <t>男
（人）</t>
    <rPh sb="0" eb="1">
      <t>オトコ</t>
    </rPh>
    <rPh sb="3" eb="4">
      <t>ニン</t>
    </rPh>
    <phoneticPr fontId="5"/>
  </si>
  <si>
    <t>女
（人）</t>
    <rPh sb="0" eb="1">
      <t>オンナ</t>
    </rPh>
    <rPh sb="3" eb="4">
      <t>ニン</t>
    </rPh>
    <phoneticPr fontId="5"/>
  </si>
  <si>
    <t>構成員</t>
    <rPh sb="0" eb="3">
      <t>コウセイイン</t>
    </rPh>
    <phoneticPr fontId="5"/>
  </si>
  <si>
    <t>(３) 農業従事者の年齢別日数別従事者数</t>
    <rPh sb="4" eb="6">
      <t>ノウギョウ</t>
    </rPh>
    <rPh sb="6" eb="9">
      <t>ジュウジシャ</t>
    </rPh>
    <rPh sb="10" eb="12">
      <t>ネンレイ</t>
    </rPh>
    <rPh sb="12" eb="13">
      <t>ベツ</t>
    </rPh>
    <rPh sb="13" eb="15">
      <t>ニッスウ</t>
    </rPh>
    <rPh sb="15" eb="16">
      <t>ベツ</t>
    </rPh>
    <rPh sb="16" eb="19">
      <t>ジュウジシャ</t>
    </rPh>
    <rPh sb="19" eb="20">
      <t>スウ</t>
    </rPh>
    <phoneticPr fontId="5"/>
  </si>
  <si>
    <t>区　　分</t>
    <rPh sb="0" eb="1">
      <t>ク</t>
    </rPh>
    <rPh sb="3" eb="4">
      <t>ブン</t>
    </rPh>
    <phoneticPr fontId="5"/>
  </si>
  <si>
    <t>農業に従事した日数別　（人）</t>
    <rPh sb="0" eb="2">
      <t>ノウギョウ</t>
    </rPh>
    <rPh sb="3" eb="5">
      <t>ジュウジ</t>
    </rPh>
    <rPh sb="7" eb="9">
      <t>ニッスウ</t>
    </rPh>
    <rPh sb="9" eb="10">
      <t>ベツ</t>
    </rPh>
    <rPh sb="12" eb="13">
      <t>ニン</t>
    </rPh>
    <phoneticPr fontId="5"/>
  </si>
  <si>
    <t>60日未満</t>
    <rPh sb="2" eb="3">
      <t>ニチ</t>
    </rPh>
    <rPh sb="3" eb="5">
      <t>ミマン</t>
    </rPh>
    <phoneticPr fontId="5"/>
  </si>
  <si>
    <t>60～150日</t>
    <rPh sb="6" eb="7">
      <t>ニチ</t>
    </rPh>
    <phoneticPr fontId="5"/>
  </si>
  <si>
    <t>150日以上</t>
    <rPh sb="3" eb="4">
      <t>ニチ</t>
    </rPh>
    <rPh sb="4" eb="6">
      <t>イジョウ</t>
    </rPh>
    <phoneticPr fontId="5"/>
  </si>
  <si>
    <t>男</t>
    <rPh sb="0" eb="1">
      <t>オトコ</t>
    </rPh>
    <phoneticPr fontId="5"/>
  </si>
  <si>
    <t>35歳未満</t>
    <rPh sb="2" eb="3">
      <t>サイ</t>
    </rPh>
    <rPh sb="3" eb="5">
      <t>ミマン</t>
    </rPh>
    <phoneticPr fontId="5"/>
  </si>
  <si>
    <t>35～44</t>
    <phoneticPr fontId="5"/>
  </si>
  <si>
    <t>45～49</t>
    <phoneticPr fontId="5"/>
  </si>
  <si>
    <t>50～59</t>
    <phoneticPr fontId="5"/>
  </si>
  <si>
    <t>60～64</t>
    <phoneticPr fontId="5"/>
  </si>
  <si>
    <t>65～69</t>
    <phoneticPr fontId="5"/>
  </si>
  <si>
    <t>70歳以上</t>
    <rPh sb="2" eb="3">
      <t>サイ</t>
    </rPh>
    <rPh sb="3" eb="5">
      <t>イジョウ</t>
    </rPh>
    <phoneticPr fontId="5"/>
  </si>
  <si>
    <t>女</t>
    <rPh sb="0" eb="1">
      <t>オンナ</t>
    </rPh>
    <phoneticPr fontId="5"/>
  </si>
  <si>
    <t>２　作業別・年齢別の労働時間</t>
    <rPh sb="2" eb="5">
      <t>サギョウベツ</t>
    </rPh>
    <rPh sb="6" eb="9">
      <t>ネンレイベツ</t>
    </rPh>
    <rPh sb="10" eb="12">
      <t>ロウドウ</t>
    </rPh>
    <rPh sb="12" eb="14">
      <t>ジカン</t>
    </rPh>
    <phoneticPr fontId="5"/>
  </si>
  <si>
    <t>(１) 雇用形態別の作業別労働時間</t>
    <rPh sb="4" eb="6">
      <t>コヨウ</t>
    </rPh>
    <rPh sb="6" eb="8">
      <t>ケイタイ</t>
    </rPh>
    <rPh sb="8" eb="9">
      <t>ベツ</t>
    </rPh>
    <rPh sb="10" eb="13">
      <t>サギョウベツ</t>
    </rPh>
    <rPh sb="13" eb="15">
      <t>ロウドウ</t>
    </rPh>
    <rPh sb="15" eb="17">
      <t>ジカン</t>
    </rPh>
    <phoneticPr fontId="5"/>
  </si>
  <si>
    <t>農　業</t>
    <rPh sb="0" eb="1">
      <t>ノウ</t>
    </rPh>
    <rPh sb="2" eb="3">
      <t>ギョウ</t>
    </rPh>
    <phoneticPr fontId="5"/>
  </si>
  <si>
    <t>農業生産
関連事業</t>
    <rPh sb="0" eb="2">
      <t>ノウギョウ</t>
    </rPh>
    <rPh sb="2" eb="4">
      <t>セイサン</t>
    </rPh>
    <rPh sb="5" eb="7">
      <t>カンレン</t>
    </rPh>
    <rPh sb="7" eb="9">
      <t>ジギョウ</t>
    </rPh>
    <phoneticPr fontId="5"/>
  </si>
  <si>
    <t>農畜産物
の生産</t>
    <rPh sb="0" eb="4">
      <t>ノウチクサンブツ</t>
    </rPh>
    <rPh sb="6" eb="8">
      <t>セイサン</t>
    </rPh>
    <phoneticPr fontId="5"/>
  </si>
  <si>
    <t>販売・一般管理</t>
    <rPh sb="0" eb="2">
      <t>ハンバイ</t>
    </rPh>
    <rPh sb="3" eb="5">
      <t>イッパン</t>
    </rPh>
    <rPh sb="5" eb="7">
      <t>カンリ</t>
    </rPh>
    <phoneticPr fontId="5"/>
  </si>
  <si>
    <t>受　託</t>
    <rPh sb="0" eb="1">
      <t>ウケ</t>
    </rPh>
    <rPh sb="2" eb="3">
      <t>コトヅケ</t>
    </rPh>
    <phoneticPr fontId="5"/>
  </si>
  <si>
    <t>有給
役員</t>
    <rPh sb="0" eb="2">
      <t>ユウキュウ</t>
    </rPh>
    <rPh sb="3" eb="5">
      <t>ヤクイン</t>
    </rPh>
    <phoneticPr fontId="5"/>
  </si>
  <si>
    <t>臨時
雇用者</t>
    <rPh sb="0" eb="2">
      <t>リンジ</t>
    </rPh>
    <rPh sb="3" eb="6">
      <t>コヨウシャ</t>
    </rPh>
    <phoneticPr fontId="5"/>
  </si>
  <si>
    <t>(２)経営主、構成員の作業別労働時間</t>
    <rPh sb="3" eb="5">
      <t>ケイエイ</t>
    </rPh>
    <rPh sb="5" eb="6">
      <t>ヌシ</t>
    </rPh>
    <rPh sb="7" eb="10">
      <t>コウセイイン</t>
    </rPh>
    <phoneticPr fontId="5"/>
  </si>
  <si>
    <t>経営主</t>
    <rPh sb="0" eb="2">
      <t>ケイエイ</t>
    </rPh>
    <rPh sb="2" eb="3">
      <t>ヌシ</t>
    </rPh>
    <phoneticPr fontId="5"/>
  </si>
  <si>
    <t>(３) 雇用形態別の年齢別農業労働時間</t>
    <rPh sb="4" eb="6">
      <t>コヨウ</t>
    </rPh>
    <rPh sb="6" eb="9">
      <t>ケイタイベツ</t>
    </rPh>
    <rPh sb="10" eb="13">
      <t>ネンレイベツ</t>
    </rPh>
    <rPh sb="13" eb="15">
      <t>ノウギョウ</t>
    </rPh>
    <rPh sb="15" eb="17">
      <t>ロウドウ</t>
    </rPh>
    <rPh sb="17" eb="19">
      <t>ジカン</t>
    </rPh>
    <phoneticPr fontId="5"/>
  </si>
  <si>
    <t>有給役員
（時間）</t>
    <rPh sb="0" eb="2">
      <t>ユウキュウ</t>
    </rPh>
    <rPh sb="2" eb="4">
      <t>ヤクイン</t>
    </rPh>
    <rPh sb="6" eb="8">
      <t>ジカン</t>
    </rPh>
    <phoneticPr fontId="5"/>
  </si>
  <si>
    <t>うち７カ月
以上雇用者</t>
    <rPh sb="4" eb="5">
      <t>ゲツ</t>
    </rPh>
    <rPh sb="6" eb="8">
      <t>イジョウ</t>
    </rPh>
    <rPh sb="8" eb="10">
      <t>コヨウ</t>
    </rPh>
    <rPh sb="10" eb="11">
      <t>モノ</t>
    </rPh>
    <phoneticPr fontId="5"/>
  </si>
  <si>
    <t>　１年間（決算期間）の事業従事者について、男女別に雇用形態別、構成員の別に実人数で記入してください。
　また、事業従事者のうち農業従業者について男女別・年齢別日数階層別に記入してください。</t>
    <rPh sb="2" eb="4">
      <t>ネンカン</t>
    </rPh>
    <rPh sb="5" eb="7">
      <t>ケッサン</t>
    </rPh>
    <rPh sb="7" eb="9">
      <t>キカン</t>
    </rPh>
    <rPh sb="31" eb="34">
      <t>コウセイイン</t>
    </rPh>
    <rPh sb="35" eb="36">
      <t>ベツ</t>
    </rPh>
    <rPh sb="37" eb="38">
      <t>ジツ</t>
    </rPh>
    <rPh sb="38" eb="40">
      <t>ニンズウ</t>
    </rPh>
    <rPh sb="55" eb="57">
      <t>ジギョウ</t>
    </rPh>
    <rPh sb="57" eb="60">
      <t>ジュウジシャ</t>
    </rPh>
    <rPh sb="63" eb="65">
      <t>ノウギョウ</t>
    </rPh>
    <rPh sb="65" eb="68">
      <t>ジュウギョウシャ</t>
    </rPh>
    <rPh sb="78" eb="79">
      <t>ベツ</t>
    </rPh>
    <rPh sb="79" eb="81">
      <t>ニッスウ</t>
    </rPh>
    <phoneticPr fontId="5"/>
  </si>
  <si>
    <t>労働時間計
（時間）</t>
    <rPh sb="0" eb="2">
      <t>ロウドウ</t>
    </rPh>
    <rPh sb="2" eb="4">
      <t>ジカン</t>
    </rPh>
    <rPh sb="4" eb="5">
      <t>ケイ</t>
    </rPh>
    <rPh sb="7" eb="9">
      <t>ジカン</t>
    </rPh>
    <phoneticPr fontId="5"/>
  </si>
  <si>
    <t>常用雇用者
（時間）</t>
    <rPh sb="0" eb="1">
      <t>ツネ</t>
    </rPh>
    <rPh sb="1" eb="2">
      <t>ヨウ</t>
    </rPh>
    <rPh sb="2" eb="3">
      <t>ヤトイ</t>
    </rPh>
    <rPh sb="3" eb="4">
      <t>ヨウ</t>
    </rPh>
    <rPh sb="4" eb="5">
      <t>シャ</t>
    </rPh>
    <rPh sb="7" eb="9">
      <t>ジカン</t>
    </rPh>
    <phoneticPr fontId="5"/>
  </si>
  <si>
    <t/>
  </si>
  <si>
    <t>農業</t>
    <rPh sb="0" eb="2">
      <t>ノウギョウ</t>
    </rPh>
    <phoneticPr fontId="2"/>
  </si>
  <si>
    <t>&lt;入力&gt;</t>
    <rPh sb="1" eb="3">
      <t>ニュウリョク</t>
    </rPh>
    <phoneticPr fontId="2"/>
  </si>
  <si>
    <t>&lt;選択&gt;</t>
    <rPh sb="1" eb="3">
      <t>センタク</t>
    </rPh>
    <phoneticPr fontId="2"/>
  </si>
  <si>
    <t>集計月</t>
    <rPh sb="0" eb="2">
      <t>シュウケイ</t>
    </rPh>
    <rPh sb="2" eb="3">
      <t>ツキ</t>
    </rPh>
    <phoneticPr fontId="2"/>
  </si>
  <si>
    <t>&lt;=12</t>
  </si>
  <si>
    <t>&lt;選択&gt;</t>
    <phoneticPr fontId="2"/>
  </si>
  <si>
    <t>農業生産関連事業</t>
    <rPh sb="0" eb="4">
      <t>ノウギョウセイサン</t>
    </rPh>
    <rPh sb="4" eb="6">
      <t>カンレン</t>
    </rPh>
    <rPh sb="6" eb="8">
      <t>ジギョウ</t>
    </rPh>
    <phoneticPr fontId="2"/>
  </si>
  <si>
    <t>作業</t>
    <rPh sb="0" eb="2">
      <t>サギョウ</t>
    </rPh>
    <phoneticPr fontId="25"/>
  </si>
  <si>
    <t>販売及び一般管理（農業）</t>
    <rPh sb="0" eb="2">
      <t>ハンバイ</t>
    </rPh>
    <rPh sb="2" eb="3">
      <t>オヨ</t>
    </rPh>
    <rPh sb="4" eb="6">
      <t>イッパン</t>
    </rPh>
    <rPh sb="6" eb="8">
      <t>カンリ</t>
    </rPh>
    <rPh sb="9" eb="11">
      <t>ノウギョウ</t>
    </rPh>
    <phoneticPr fontId="2"/>
  </si>
  <si>
    <t>　設定</t>
    <rPh sb="1" eb="3">
      <t>セッテイ</t>
    </rPh>
    <phoneticPr fontId="2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</si>
  <si>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rPh sb="4" eb="6">
      <t>ニュウリョク</t>
    </rPh>
    <phoneticPr fontId="5"/>
  </si>
  <si>
    <r>
      <t xml:space="preserve">→集計分類
</t>
    </r>
    <r>
      <rPr>
        <sz val="6"/>
        <rFont val="ＭＳ Ｐゴシック"/>
        <family val="3"/>
        <charset val="128"/>
        <scheme val="minor"/>
      </rPr>
      <t>&lt;選択&gt;</t>
    </r>
    <rPh sb="1" eb="3">
      <t>シュウケイ</t>
    </rPh>
    <rPh sb="3" eb="5">
      <t>ブンルイ</t>
    </rPh>
    <rPh sb="7" eb="9">
      <t>センタク</t>
    </rPh>
    <phoneticPr fontId="5"/>
  </si>
  <si>
    <r>
      <t xml:space="preserve">作業者名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rPh sb="3" eb="4">
      <t>メイ</t>
    </rPh>
    <rPh sb="6" eb="8">
      <t>センタク</t>
    </rPh>
    <phoneticPr fontId="5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</si>
  <si>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rPh sb="4" eb="6">
      <t>ジドウ</t>
    </rPh>
    <phoneticPr fontId="2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</si>
  <si>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rPh sb="4" eb="6">
      <t>ジドウ</t>
    </rPh>
    <phoneticPr fontId="2"/>
  </si>
  <si>
    <r>
      <t xml:space="preserve">経営主・構成員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ケイエイ</t>
    </rPh>
    <rPh sb="2" eb="3">
      <t>シュ</t>
    </rPh>
    <rPh sb="4" eb="7">
      <t>コウセイイン</t>
    </rPh>
    <rPh sb="9" eb="11">
      <t>ジドウ</t>
    </rPh>
    <phoneticPr fontId="2"/>
  </si>
  <si>
    <r>
      <t xml:space="preserve">雇用形態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2" eb="4">
      <t>ケイタイ</t>
    </rPh>
    <rPh sb="6" eb="8">
      <t>ジドウ</t>
    </rPh>
    <phoneticPr fontId="2"/>
  </si>
  <si>
    <r>
      <t xml:space="preserve">労働時間
</t>
    </r>
    <r>
      <rPr>
        <sz val="6"/>
        <rFont val="ＭＳ Ｐゴシック"/>
        <family val="3"/>
        <charset val="128"/>
        <scheme val="minor"/>
      </rPr>
      <t>&lt;入力&gt;</t>
    </r>
    <rPh sb="0" eb="2">
      <t>ロウドウ</t>
    </rPh>
    <rPh sb="2" eb="4">
      <t>ジカン</t>
    </rPh>
    <rPh sb="6" eb="8">
      <t>ニュウリョク</t>
    </rPh>
    <phoneticPr fontId="2"/>
  </si>
  <si>
    <r>
      <t>集計</t>
    </r>
    <r>
      <rPr>
        <sz val="6"/>
        <rFont val="ＭＳ Ｐゴシック"/>
        <family val="3"/>
        <charset val="128"/>
      </rPr>
      <t xml:space="preserve"> &lt;自動&gt;</t>
    </r>
    <rPh sb="0" eb="2">
      <t>シュウケイ</t>
    </rPh>
    <rPh sb="4" eb="6">
      <t>ジドウ</t>
    </rPh>
    <phoneticPr fontId="2"/>
  </si>
  <si>
    <t>１　事業従事者の数</t>
    <rPh sb="2" eb="4">
      <t>ジギョウ</t>
    </rPh>
    <rPh sb="4" eb="7">
      <t>ジュウジシャ</t>
    </rPh>
    <rPh sb="8" eb="9">
      <t>カズ</t>
    </rPh>
    <phoneticPr fontId="5"/>
  </si>
  <si>
    <t>営農類型別経営統計（法人経営体）　設定シート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ホウジン</t>
    </rPh>
    <rPh sb="12" eb="15">
      <t>ケイエイタイ</t>
    </rPh>
    <rPh sb="17" eb="19">
      <t>セッテイ</t>
    </rPh>
    <phoneticPr fontId="2"/>
  </si>
  <si>
    <t>営農類型別経営統計（法人経営体）　入力シート（月別）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ホウジン</t>
    </rPh>
    <rPh sb="12" eb="15">
      <t>ケイエイタイ</t>
    </rPh>
    <rPh sb="17" eb="19">
      <t>ニュウリョク</t>
    </rPh>
    <rPh sb="23" eb="24">
      <t>ツキ</t>
    </rPh>
    <rPh sb="24" eb="25">
      <t>ベツ</t>
    </rPh>
    <phoneticPr fontId="2"/>
  </si>
  <si>
    <r>
      <t>2020センサス番号</t>
    </r>
    <r>
      <rPr>
        <sz val="6"/>
        <rFont val="ＭＳ Ｐ明朝"/>
        <family val="1"/>
        <charset val="128"/>
      </rPr>
      <t>　&lt;入力&gt;</t>
    </r>
    <rPh sb="8" eb="10">
      <t>バンゴウ</t>
    </rPh>
    <rPh sb="12" eb="14">
      <t>ニュウリョク</t>
    </rPh>
    <phoneticPr fontId="5"/>
  </si>
  <si>
    <r>
      <t>2020センサス番号</t>
    </r>
    <r>
      <rPr>
        <sz val="6"/>
        <rFont val="ＭＳ Ｐ明朝"/>
        <family val="1"/>
        <charset val="128"/>
      </rPr>
      <t xml:space="preserve"> &lt;自動&gt;</t>
    </r>
    <rPh sb="8" eb="10">
      <t>バンゴウ</t>
    </rPh>
    <rPh sb="12" eb="14">
      <t>ジドウ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</si>
</sst>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000000"/>
  </numFmts>
  <fonts count="3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1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明朝"/>
      <family val="1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0"/>
      <name val="ＭＳ ゴシック"/>
      <family val="3"/>
      <charset val="128"/>
    </font>
    <font>
      <b/>
      <sz val="11"/>
      <color theme="0"/>
      <name val="ＭＳ 明朝"/>
      <family val="1"/>
      <charset val="128"/>
    </font>
    <font>
      <sz val="11"/>
      <color theme="0"/>
      <name val="ＭＳ 明朝"/>
      <family val="1"/>
      <charset val="128"/>
    </font>
    <font>
      <b/>
      <sz val="11"/>
      <color theme="0"/>
      <name val="ＭＳ ゴシック"/>
      <family val="3"/>
      <charset val="128"/>
    </font>
    <font>
      <sz val="11"/>
      <color theme="0"/>
      <name val="ＭＳ Ｐゴシック"/>
      <family val="2"/>
      <scheme val="minor"/>
    </font>
    <font>
      <b/>
      <sz val="14"/>
      <name val="ＭＳ ゴシック"/>
      <family val="3"/>
      <charset val="128"/>
    </font>
    <font>
      <sz val="12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8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rgb="FF00B050"/>
      </right>
      <top/>
      <bottom/>
      <diagonal/>
    </border>
    <border>
      <left style="double">
        <color rgb="FF00B050"/>
      </left>
      <right/>
      <top style="double">
        <color rgb="FF00B050"/>
      </top>
      <bottom style="thin">
        <color indexed="64"/>
      </bottom>
      <diagonal/>
    </border>
    <border>
      <left/>
      <right/>
      <top style="double">
        <color rgb="FF00B050"/>
      </top>
      <bottom style="thin">
        <color indexed="64"/>
      </bottom>
      <diagonal/>
    </border>
    <border>
      <left/>
      <right style="thin">
        <color indexed="64"/>
      </right>
      <top style="double">
        <color rgb="FF00B050"/>
      </top>
      <bottom style="thin">
        <color indexed="64"/>
      </bottom>
      <diagonal/>
    </border>
    <border>
      <left style="thin">
        <color indexed="64"/>
      </left>
      <right/>
      <top style="double">
        <color rgb="FF00B050"/>
      </top>
      <bottom style="thin">
        <color indexed="64"/>
      </bottom>
      <diagonal/>
    </border>
    <border>
      <left/>
      <right style="double">
        <color rgb="FF00B050"/>
      </right>
      <top style="double">
        <color rgb="FF00B05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rgb="FF00B050"/>
      </right>
      <top style="thin">
        <color indexed="64"/>
      </top>
      <bottom style="thin">
        <color indexed="64"/>
      </bottom>
      <diagonal/>
    </border>
    <border>
      <left style="double">
        <color rgb="FF00B05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rgb="FF00B050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B050"/>
      </right>
      <top style="double">
        <color indexed="64"/>
      </top>
      <bottom/>
      <diagonal/>
    </border>
    <border>
      <left style="double">
        <color rgb="FF00B05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double">
        <color rgb="FF00B050"/>
      </right>
      <top style="double">
        <color indexed="64"/>
      </top>
      <bottom style="thin">
        <color indexed="64"/>
      </bottom>
      <diagonal/>
    </border>
    <border>
      <left/>
      <right style="double">
        <color rgb="FF00B050"/>
      </right>
      <top style="thin">
        <color indexed="64"/>
      </top>
      <bottom style="medium">
        <color indexed="64"/>
      </bottom>
      <diagonal/>
    </border>
    <border>
      <left style="double">
        <color rgb="FF00B050"/>
      </left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 style="thin">
        <color auto="1"/>
      </right>
      <top style="thin">
        <color auto="1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  <border>
      <left/>
      <right style="double">
        <color rgb="FF00B050"/>
      </right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rgb="FF00B05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rgb="FF00B05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rgb="FF00B05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00B050"/>
      </bottom>
      <diagonal/>
    </border>
    <border>
      <left/>
      <right style="thin">
        <color indexed="64"/>
      </right>
      <top/>
      <bottom style="double">
        <color rgb="FF00B050"/>
      </bottom>
      <diagonal/>
    </border>
    <border>
      <left style="thin">
        <color indexed="64"/>
      </left>
      <right/>
      <top/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rgb="FF00B050"/>
      </right>
      <top style="thin">
        <color indexed="64"/>
      </top>
      <bottom style="double">
        <color indexed="64"/>
      </bottom>
      <diagonal/>
    </border>
    <border>
      <left style="double">
        <color rgb="FF00B050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333">
    <xf numFmtId="0" fontId="0" fillId="0" borderId="0" xfId="0"/>
    <xf numFmtId="0" fontId="3" fillId="0" borderId="0" xfId="2">
      <alignment vertical="center"/>
    </xf>
    <xf numFmtId="0" fontId="3" fillId="0" borderId="0" xfId="2" applyAlignment="1">
      <alignment horizontal="left" vertical="center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10" fillId="3" borderId="24" xfId="2" applyFont="1" applyFill="1" applyBorder="1" applyAlignment="1">
      <alignment horizontal="right" vertical="top"/>
    </xf>
    <xf numFmtId="0" fontId="6" fillId="3" borderId="44" xfId="2" applyFont="1" applyFill="1" applyBorder="1">
      <alignment vertical="center"/>
    </xf>
    <xf numFmtId="0" fontId="6" fillId="3" borderId="3" xfId="2" applyFont="1" applyFill="1" applyBorder="1">
      <alignment vertical="center"/>
    </xf>
    <xf numFmtId="0" fontId="6" fillId="3" borderId="36" xfId="2" applyFont="1" applyFill="1" applyBorder="1">
      <alignment vertical="center"/>
    </xf>
    <xf numFmtId="0" fontId="10" fillId="3" borderId="31" xfId="2" applyFont="1" applyFill="1" applyBorder="1" applyAlignment="1">
      <alignment horizontal="right" vertical="top"/>
    </xf>
    <xf numFmtId="0" fontId="10" fillId="3" borderId="25" xfId="2" applyFont="1" applyFill="1" applyBorder="1" applyAlignment="1">
      <alignment horizontal="right" vertical="top"/>
    </xf>
    <xf numFmtId="0" fontId="10" fillId="3" borderId="32" xfId="2" applyFont="1" applyFill="1" applyBorder="1" applyAlignment="1">
      <alignment horizontal="right" vertical="top"/>
    </xf>
    <xf numFmtId="0" fontId="6" fillId="3" borderId="6" xfId="2" applyFont="1" applyFill="1" applyBorder="1">
      <alignment vertical="center"/>
    </xf>
    <xf numFmtId="0" fontId="6" fillId="3" borderId="20" xfId="2" applyFont="1" applyFill="1" applyBorder="1">
      <alignment vertical="center"/>
    </xf>
    <xf numFmtId="0" fontId="6" fillId="3" borderId="1" xfId="2" applyFont="1" applyFill="1" applyBorder="1">
      <alignment vertical="center"/>
    </xf>
    <xf numFmtId="0" fontId="6" fillId="3" borderId="1" xfId="2" applyFont="1" applyFill="1" applyBorder="1" applyAlignment="1">
      <alignment vertical="center" shrinkToFit="1"/>
    </xf>
    <xf numFmtId="0" fontId="6" fillId="3" borderId="12" xfId="2" applyFont="1" applyFill="1" applyBorder="1">
      <alignment vertical="center"/>
    </xf>
    <xf numFmtId="0" fontId="6" fillId="3" borderId="38" xfId="2" applyFont="1" applyFill="1" applyBorder="1">
      <alignment vertical="center"/>
    </xf>
    <xf numFmtId="0" fontId="6" fillId="3" borderId="38" xfId="2" applyFont="1" applyFill="1" applyBorder="1" applyAlignment="1">
      <alignment vertical="center" shrinkToFit="1"/>
    </xf>
    <xf numFmtId="0" fontId="6" fillId="3" borderId="50" xfId="2" applyFont="1" applyFill="1" applyBorder="1">
      <alignment vertical="center"/>
    </xf>
    <xf numFmtId="0" fontId="8" fillId="0" borderId="0" xfId="2" applyFont="1" applyAlignment="1">
      <alignment horizontal="left" vertical="center"/>
    </xf>
    <xf numFmtId="0" fontId="6" fillId="3" borderId="46" xfId="2" applyFont="1" applyFill="1" applyBorder="1" applyAlignment="1">
      <alignment vertical="center" justifyLastLine="1"/>
    </xf>
    <xf numFmtId="0" fontId="6" fillId="3" borderId="47" xfId="2" applyFont="1" applyFill="1" applyBorder="1" applyAlignment="1">
      <alignment vertical="center" justifyLastLine="1"/>
    </xf>
    <xf numFmtId="0" fontId="6" fillId="3" borderId="14" xfId="2" applyFont="1" applyFill="1" applyBorder="1" applyAlignment="1">
      <alignment vertical="center" justifyLastLine="1"/>
    </xf>
    <xf numFmtId="0" fontId="6" fillId="3" borderId="15" xfId="2" applyFont="1" applyFill="1" applyBorder="1" applyAlignment="1">
      <alignment vertical="center" justifyLastLine="1"/>
    </xf>
    <xf numFmtId="0" fontId="6" fillId="3" borderId="13" xfId="2" applyFont="1" applyFill="1" applyBorder="1" applyAlignment="1">
      <alignment vertical="center" justifyLastLine="1"/>
    </xf>
    <xf numFmtId="0" fontId="6" fillId="3" borderId="13" xfId="2" quotePrefix="1" applyFont="1" applyFill="1" applyBorder="1" applyAlignment="1">
      <alignment vertical="center" justifyLastLine="1"/>
    </xf>
    <xf numFmtId="0" fontId="6" fillId="3" borderId="54" xfId="2" applyFont="1" applyFill="1" applyBorder="1" applyAlignment="1">
      <alignment vertical="center" justifyLastLine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42" xfId="0" applyFont="1" applyBorder="1" applyAlignment="1">
      <alignment horizontal="distributed" vertical="center"/>
    </xf>
    <xf numFmtId="0" fontId="11" fillId="0" borderId="11" xfId="0" applyFont="1" applyBorder="1" applyAlignment="1">
      <alignment horizontal="distributed" vertical="center"/>
    </xf>
    <xf numFmtId="0" fontId="11" fillId="0" borderId="10" xfId="0" applyFont="1" applyBorder="1" applyAlignment="1">
      <alignment horizontal="distributed" vertical="center"/>
    </xf>
    <xf numFmtId="0" fontId="11" fillId="0" borderId="42" xfId="0" applyFont="1" applyBorder="1" applyAlignment="1">
      <alignment horizontal="distributed" vertical="center"/>
    </xf>
    <xf numFmtId="0" fontId="11" fillId="0" borderId="54" xfId="0" applyFont="1" applyBorder="1" applyAlignment="1">
      <alignment horizontal="distributed" vertical="center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14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vertical="center"/>
    </xf>
    <xf numFmtId="0" fontId="11" fillId="0" borderId="38" xfId="0" applyFont="1" applyBorder="1" applyAlignment="1">
      <alignment horizontal="distributed" vertical="center"/>
    </xf>
    <xf numFmtId="0" fontId="19" fillId="0" borderId="0" xfId="0" applyFont="1" applyAlignment="1">
      <alignment horizontal="center" vertical="center" textRotation="255" wrapText="1"/>
    </xf>
    <xf numFmtId="0" fontId="20" fillId="0" borderId="0" xfId="0" applyFont="1" applyAlignment="1">
      <alignment horizontal="distributed" vertical="center"/>
    </xf>
    <xf numFmtId="0" fontId="21" fillId="0" borderId="0" xfId="0" applyFont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1" fillId="0" borderId="53" xfId="0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33" xfId="2" applyBorder="1">
      <alignment vertical="center"/>
    </xf>
    <xf numFmtId="0" fontId="6" fillId="6" borderId="31" xfId="2" applyFont="1" applyFill="1" applyBorder="1" applyAlignment="1">
      <alignment horizontal="distributed" vertical="center" indent="1"/>
    </xf>
    <xf numFmtId="0" fontId="6" fillId="6" borderId="24" xfId="2" applyFont="1" applyFill="1" applyBorder="1" applyAlignment="1">
      <alignment horizontal="center" vertical="center" justifyLastLine="1"/>
    </xf>
    <xf numFmtId="0" fontId="6" fillId="6" borderId="25" xfId="2" applyFont="1" applyFill="1" applyBorder="1" applyAlignment="1">
      <alignment horizontal="center" vertical="center" justifyLastLine="1"/>
    </xf>
    <xf numFmtId="0" fontId="6" fillId="6" borderId="32" xfId="2" applyFont="1" applyFill="1" applyBorder="1" applyAlignment="1">
      <alignment horizontal="center" vertical="center" justifyLastLine="1"/>
    </xf>
    <xf numFmtId="0" fontId="6" fillId="7" borderId="31" xfId="2" applyFont="1" applyFill="1" applyBorder="1" applyAlignment="1">
      <alignment horizontal="center" vertical="center" justifyLastLine="1"/>
    </xf>
    <xf numFmtId="0" fontId="6" fillId="7" borderId="28" xfId="2" applyFont="1" applyFill="1" applyBorder="1" applyAlignment="1">
      <alignment horizontal="center" vertical="center" justifyLastLine="1"/>
    </xf>
    <xf numFmtId="0" fontId="6" fillId="7" borderId="26" xfId="2" applyFont="1" applyFill="1" applyBorder="1" applyAlignment="1">
      <alignment horizontal="center" vertical="center" wrapText="1" justifyLastLine="1"/>
    </xf>
    <xf numFmtId="0" fontId="6" fillId="7" borderId="32" xfId="2" applyFont="1" applyFill="1" applyBorder="1" applyAlignment="1">
      <alignment horizontal="center" vertical="center" justifyLastLine="1"/>
    </xf>
    <xf numFmtId="0" fontId="6" fillId="7" borderId="54" xfId="2" applyFont="1" applyFill="1" applyBorder="1" applyAlignment="1">
      <alignment horizontal="center" vertical="center" justifyLastLine="1"/>
    </xf>
    <xf numFmtId="0" fontId="6" fillId="7" borderId="39" xfId="2" applyFont="1" applyFill="1" applyBorder="1" applyAlignment="1">
      <alignment horizontal="center" vertical="center" justifyLastLine="1"/>
    </xf>
    <xf numFmtId="0" fontId="6" fillId="7" borderId="17" xfId="2" applyFont="1" applyFill="1" applyBorder="1" applyAlignment="1">
      <alignment horizontal="center" vertical="center" wrapText="1" justifyLastLine="1"/>
    </xf>
    <xf numFmtId="0" fontId="6" fillId="7" borderId="52" xfId="2" applyFont="1" applyFill="1" applyBorder="1" applyAlignment="1">
      <alignment horizontal="center" vertical="center" wrapText="1" justifyLastLine="1"/>
    </xf>
    <xf numFmtId="0" fontId="6" fillId="7" borderId="50" xfId="2" applyFont="1" applyFill="1" applyBorder="1" applyAlignment="1">
      <alignment horizontal="center" vertical="center" wrapText="1" justifyLastLine="1"/>
    </xf>
    <xf numFmtId="0" fontId="6" fillId="6" borderId="45" xfId="2" applyFont="1" applyFill="1" applyBorder="1" applyAlignment="1">
      <alignment horizontal="distributed" vertical="center" indent="1"/>
    </xf>
    <xf numFmtId="0" fontId="6" fillId="7" borderId="49" xfId="2" applyFont="1" applyFill="1" applyBorder="1" applyAlignment="1">
      <alignment vertical="center" justifyLastLine="1"/>
    </xf>
    <xf numFmtId="0" fontId="6" fillId="7" borderId="49" xfId="2" quotePrefix="1" applyFont="1" applyFill="1" applyBorder="1" applyAlignment="1">
      <alignment vertical="center" justifyLastLine="1"/>
    </xf>
    <xf numFmtId="0" fontId="6" fillId="0" borderId="13" xfId="2" applyFont="1" applyBorder="1" applyAlignment="1">
      <alignment horizontal="distributed" vertical="center" shrinkToFit="1"/>
    </xf>
    <xf numFmtId="0" fontId="6" fillId="0" borderId="8" xfId="2" applyFont="1" applyBorder="1" applyAlignment="1">
      <alignment horizontal="center" vertical="center" shrinkToFit="1"/>
    </xf>
    <xf numFmtId="0" fontId="6" fillId="0" borderId="8" xfId="2" applyFont="1" applyBorder="1" applyAlignment="1">
      <alignment vertical="center" wrapText="1"/>
    </xf>
    <xf numFmtId="0" fontId="6" fillId="0" borderId="1" xfId="2" applyFont="1" applyBorder="1" applyAlignment="1">
      <alignment horizontal="center" vertical="center" shrinkToFit="1"/>
    </xf>
    <xf numFmtId="0" fontId="6" fillId="0" borderId="8" xfId="2" applyFont="1" applyBorder="1" applyAlignment="1">
      <alignment horizontal="center" vertical="center"/>
    </xf>
    <xf numFmtId="0" fontId="6" fillId="0" borderId="16" xfId="2" applyFont="1" applyBorder="1" applyAlignment="1">
      <alignment horizontal="distributed" vertical="center" shrinkToFit="1"/>
    </xf>
    <xf numFmtId="0" fontId="6" fillId="0" borderId="17" xfId="2" applyFont="1" applyBorder="1" applyAlignment="1">
      <alignment horizontal="center" vertical="center" shrinkToFit="1"/>
    </xf>
    <xf numFmtId="0" fontId="6" fillId="0" borderId="17" xfId="2" applyFont="1" applyBorder="1" applyAlignment="1">
      <alignment vertical="center" wrapText="1"/>
    </xf>
    <xf numFmtId="0" fontId="6" fillId="0" borderId="17" xfId="2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>
      <alignment vertical="center"/>
    </xf>
    <xf numFmtId="0" fontId="13" fillId="0" borderId="10" xfId="3" applyFont="1" applyBorder="1">
      <alignment vertical="center"/>
    </xf>
    <xf numFmtId="0" fontId="13" fillId="0" borderId="11" xfId="3" applyFont="1" applyBorder="1">
      <alignment vertical="center"/>
    </xf>
    <xf numFmtId="0" fontId="13" fillId="0" borderId="0" xfId="3" applyFont="1">
      <alignment vertical="center"/>
    </xf>
    <xf numFmtId="0" fontId="10" fillId="6" borderId="48" xfId="2" applyFont="1" applyFill="1" applyBorder="1" applyAlignment="1">
      <alignment horizontal="center" vertical="center" justifyLastLine="1"/>
    </xf>
    <xf numFmtId="0" fontId="10" fillId="6" borderId="54" xfId="2" applyFont="1" applyFill="1" applyBorder="1" applyAlignment="1">
      <alignment horizontal="center" vertical="center" justifyLastLine="1"/>
    </xf>
    <xf numFmtId="0" fontId="10" fillId="6" borderId="39" xfId="2" applyFont="1" applyFill="1" applyBorder="1" applyAlignment="1">
      <alignment horizontal="center" vertical="center" justifyLastLine="1"/>
    </xf>
    <xf numFmtId="0" fontId="10" fillId="6" borderId="52" xfId="2" applyFont="1" applyFill="1" applyBorder="1" applyAlignment="1">
      <alignment horizontal="center" vertical="center" justifyLastLine="1"/>
    </xf>
    <xf numFmtId="0" fontId="10" fillId="6" borderId="50" xfId="2" applyFont="1" applyFill="1" applyBorder="1" applyAlignment="1">
      <alignment horizontal="center" vertical="center" justifyLastLine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top" wrapText="1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31" fillId="0" borderId="0" xfId="0" applyFont="1"/>
    <xf numFmtId="0" fontId="29" fillId="0" borderId="0" xfId="0" applyFont="1" applyAlignment="1">
      <alignment vertical="top" wrapText="1"/>
    </xf>
    <xf numFmtId="0" fontId="6" fillId="3" borderId="15" xfId="2" applyFont="1" applyFill="1" applyBorder="1">
      <alignment vertical="center"/>
    </xf>
    <xf numFmtId="0" fontId="6" fillId="0" borderId="12" xfId="2" applyFont="1" applyBorder="1" applyAlignment="1">
      <alignment vertical="center" shrinkToFit="1"/>
    </xf>
    <xf numFmtId="0" fontId="6" fillId="0" borderId="18" xfId="2" applyFont="1" applyBorder="1" applyAlignment="1">
      <alignment vertical="center" shrinkToFit="1"/>
    </xf>
    <xf numFmtId="0" fontId="11" fillId="0" borderId="89" xfId="0" applyFont="1" applyBorder="1" applyAlignment="1">
      <alignment vertical="center"/>
    </xf>
    <xf numFmtId="0" fontId="8" fillId="0" borderId="0" xfId="2" applyFont="1" applyAlignment="1">
      <alignment horizontal="center" vertical="center"/>
    </xf>
    <xf numFmtId="0" fontId="6" fillId="6" borderId="27" xfId="0" applyFont="1" applyFill="1" applyBorder="1" applyAlignment="1">
      <alignment horizontal="center" vertical="center" shrinkToFit="1"/>
    </xf>
    <xf numFmtId="0" fontId="6" fillId="6" borderId="28" xfId="0" applyFont="1" applyFill="1" applyBorder="1" applyAlignment="1">
      <alignment horizontal="center" vertical="center" shrinkToFit="1"/>
    </xf>
    <xf numFmtId="0" fontId="6" fillId="6" borderId="35" xfId="0" applyFont="1" applyFill="1" applyBorder="1" applyAlignment="1">
      <alignment horizontal="center" vertical="center" shrinkToFit="1"/>
    </xf>
    <xf numFmtId="49" fontId="9" fillId="0" borderId="22" xfId="0" applyNumberFormat="1" applyFont="1" applyBorder="1" applyAlignment="1">
      <alignment horizontal="center" vertical="center"/>
    </xf>
    <xf numFmtId="49" fontId="9" fillId="0" borderId="51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3" fillId="3" borderId="29" xfId="2" applyFill="1" applyBorder="1" applyAlignment="1">
      <alignment horizontal="center" vertical="center"/>
    </xf>
    <xf numFmtId="0" fontId="3" fillId="3" borderId="99" xfId="2" applyFill="1" applyBorder="1" applyAlignment="1">
      <alignment horizontal="center" vertical="center"/>
    </xf>
    <xf numFmtId="0" fontId="3" fillId="3" borderId="30" xfId="2" applyFill="1" applyBorder="1" applyAlignment="1">
      <alignment horizontal="center" vertical="center"/>
    </xf>
    <xf numFmtId="0" fontId="3" fillId="0" borderId="29" xfId="2" applyBorder="1" applyAlignment="1">
      <alignment horizontal="center" vertical="center"/>
    </xf>
    <xf numFmtId="0" fontId="3" fillId="0" borderId="99" xfId="2" applyBorder="1" applyAlignment="1">
      <alignment horizontal="center" vertical="center"/>
    </xf>
    <xf numFmtId="0" fontId="3" fillId="0" borderId="30" xfId="2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3" fillId="0" borderId="32" xfId="2" applyFont="1" applyBorder="1" applyAlignment="1">
      <alignment horizontal="center" vertical="center" wrapText="1" justifyLastLine="1"/>
    </xf>
    <xf numFmtId="0" fontId="23" fillId="0" borderId="50" xfId="2" applyFont="1" applyBorder="1" applyAlignment="1">
      <alignment horizontal="center" vertical="center" justifyLastLine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23" fillId="0" borderId="31" xfId="2" applyFont="1" applyBorder="1" applyAlignment="1">
      <alignment horizontal="distributed" vertical="center" wrapText="1" justifyLastLine="1"/>
    </xf>
    <xf numFmtId="0" fontId="23" fillId="0" borderId="54" xfId="2" applyFont="1" applyBorder="1" applyAlignment="1">
      <alignment horizontal="distributed" vertical="center" justifyLastLine="1"/>
    </xf>
    <xf numFmtId="0" fontId="23" fillId="0" borderId="25" xfId="2" applyFont="1" applyBorder="1" applyAlignment="1">
      <alignment horizontal="center" vertical="center" wrapText="1" justifyLastLine="1"/>
    </xf>
    <xf numFmtId="0" fontId="23" fillId="0" borderId="52" xfId="2" applyFont="1" applyBorder="1" applyAlignment="1">
      <alignment horizontal="center" vertical="center" justifyLastLine="1"/>
    </xf>
    <xf numFmtId="0" fontId="23" fillId="0" borderId="26" xfId="2" applyFont="1" applyBorder="1" applyAlignment="1">
      <alignment horizontal="center" vertical="center" wrapText="1" justifyLastLine="1"/>
    </xf>
    <xf numFmtId="0" fontId="23" fillId="0" borderId="38" xfId="2" applyFont="1" applyBorder="1" applyAlignment="1">
      <alignment horizontal="center" vertical="center" justifyLastLine="1"/>
    </xf>
    <xf numFmtId="0" fontId="11" fillId="5" borderId="67" xfId="0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1" fillId="5" borderId="66" xfId="0" applyFont="1" applyFill="1" applyBorder="1" applyAlignment="1">
      <alignment horizontal="right" vertical="center"/>
    </xf>
    <xf numFmtId="0" fontId="11" fillId="5" borderId="82" xfId="0" applyFont="1" applyFill="1" applyBorder="1" applyAlignment="1">
      <alignment horizontal="right" vertical="center"/>
    </xf>
    <xf numFmtId="0" fontId="11" fillId="5" borderId="80" xfId="0" applyFont="1" applyFill="1" applyBorder="1" applyAlignment="1">
      <alignment horizontal="right" vertical="center"/>
    </xf>
    <xf numFmtId="0" fontId="11" fillId="5" borderId="83" xfId="0" applyFont="1" applyFill="1" applyBorder="1" applyAlignment="1">
      <alignment horizontal="right" vertical="center"/>
    </xf>
    <xf numFmtId="0" fontId="11" fillId="5" borderId="81" xfId="0" applyFont="1" applyFill="1" applyBorder="1" applyAlignment="1">
      <alignment horizontal="right" vertical="center"/>
    </xf>
    <xf numFmtId="0" fontId="11" fillId="5" borderId="79" xfId="0" applyFont="1" applyFill="1" applyBorder="1" applyAlignment="1">
      <alignment horizontal="right" vertical="center"/>
    </xf>
    <xf numFmtId="0" fontId="11" fillId="4" borderId="60" xfId="0" applyFont="1" applyFill="1" applyBorder="1" applyAlignment="1">
      <alignment horizontal="right" vertical="center"/>
    </xf>
    <xf numFmtId="0" fontId="11" fillId="4" borderId="61" xfId="0" applyFont="1" applyFill="1" applyBorder="1" applyAlignment="1">
      <alignment horizontal="right" vertical="center"/>
    </xf>
    <xf numFmtId="0" fontId="11" fillId="4" borderId="62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distributed" vertical="center"/>
    </xf>
    <xf numFmtId="0" fontId="13" fillId="0" borderId="3" xfId="0" applyFont="1" applyBorder="1" applyAlignment="1">
      <alignment horizontal="distributed" vertical="center"/>
    </xf>
    <xf numFmtId="0" fontId="13" fillId="0" borderId="66" xfId="0" applyFont="1" applyBorder="1" applyAlignment="1">
      <alignment horizontal="distributed" vertical="center"/>
    </xf>
    <xf numFmtId="0" fontId="11" fillId="0" borderId="56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textRotation="255" wrapText="1"/>
    </xf>
    <xf numFmtId="0" fontId="18" fillId="0" borderId="5" xfId="0" applyFont="1" applyBorder="1" applyAlignment="1">
      <alignment horizontal="center" vertical="center" textRotation="255" wrapText="1"/>
    </xf>
    <xf numFmtId="0" fontId="18" fillId="0" borderId="34" xfId="0" applyFont="1" applyBorder="1" applyAlignment="1">
      <alignment horizontal="center" vertical="center" textRotation="255" wrapText="1"/>
    </xf>
    <xf numFmtId="0" fontId="18" fillId="0" borderId="39" xfId="0" applyFont="1" applyBorder="1" applyAlignment="1">
      <alignment horizontal="center" vertical="center" textRotation="255" wrapText="1"/>
    </xf>
    <xf numFmtId="0" fontId="11" fillId="0" borderId="4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69" xfId="0" applyFont="1" applyBorder="1" applyAlignment="1">
      <alignment horizontal="distributed" vertical="center"/>
    </xf>
    <xf numFmtId="0" fontId="11" fillId="0" borderId="19" xfId="0" applyFont="1" applyBorder="1" applyAlignment="1">
      <alignment horizontal="distributed" vertical="center"/>
    </xf>
    <xf numFmtId="0" fontId="11" fillId="0" borderId="51" xfId="0" applyFont="1" applyBorder="1" applyAlignment="1">
      <alignment horizontal="distributed" vertical="center"/>
    </xf>
    <xf numFmtId="0" fontId="11" fillId="0" borderId="78" xfId="0" applyFont="1" applyBorder="1" applyAlignment="1">
      <alignment horizontal="distributed" vertical="center"/>
    </xf>
    <xf numFmtId="0" fontId="14" fillId="4" borderId="79" xfId="0" applyFont="1" applyFill="1" applyBorder="1" applyAlignment="1" applyProtection="1">
      <alignment horizontal="right" vertical="center"/>
      <protection locked="0"/>
    </xf>
    <xf numFmtId="0" fontId="14" fillId="4" borderId="80" xfId="0" applyFont="1" applyFill="1" applyBorder="1" applyAlignment="1" applyProtection="1">
      <alignment horizontal="right" vertical="center"/>
      <protection locked="0"/>
    </xf>
    <xf numFmtId="0" fontId="14" fillId="4" borderId="81" xfId="0" applyFont="1" applyFill="1" applyBorder="1" applyAlignment="1" applyProtection="1">
      <alignment horizontal="right" vertical="center"/>
      <protection locked="0"/>
    </xf>
    <xf numFmtId="0" fontId="14" fillId="4" borderId="82" xfId="0" applyFont="1" applyFill="1" applyBorder="1" applyAlignment="1" applyProtection="1">
      <alignment horizontal="right" vertical="center"/>
      <protection locked="0"/>
    </xf>
    <xf numFmtId="0" fontId="14" fillId="4" borderId="83" xfId="0" applyFont="1" applyFill="1" applyBorder="1" applyAlignment="1" applyProtection="1">
      <alignment horizontal="right" vertical="center"/>
      <protection locked="0"/>
    </xf>
    <xf numFmtId="0" fontId="11" fillId="4" borderId="82" xfId="0" applyFont="1" applyFill="1" applyBorder="1" applyAlignment="1">
      <alignment horizontal="right" vertical="center"/>
    </xf>
    <xf numFmtId="0" fontId="11" fillId="4" borderId="80" xfId="0" applyFont="1" applyFill="1" applyBorder="1" applyAlignment="1">
      <alignment horizontal="right" vertical="center"/>
    </xf>
    <xf numFmtId="0" fontId="11" fillId="4" borderId="83" xfId="0" applyFont="1" applyFill="1" applyBorder="1" applyAlignment="1">
      <alignment horizontal="right" vertical="center"/>
    </xf>
    <xf numFmtId="0" fontId="11" fillId="4" borderId="79" xfId="0" applyFont="1" applyFill="1" applyBorder="1" applyAlignment="1">
      <alignment horizontal="right" vertical="center"/>
    </xf>
    <xf numFmtId="0" fontId="11" fillId="4" borderId="81" xfId="0" applyFont="1" applyFill="1" applyBorder="1" applyAlignment="1">
      <alignment horizontal="right" vertical="center"/>
    </xf>
    <xf numFmtId="0" fontId="11" fillId="4" borderId="63" xfId="0" applyFont="1" applyFill="1" applyBorder="1" applyAlignment="1">
      <alignment horizontal="right" vertical="center"/>
    </xf>
    <xf numFmtId="0" fontId="11" fillId="4" borderId="64" xfId="0" applyFont="1" applyFill="1" applyBorder="1" applyAlignment="1">
      <alignment horizontal="right" vertical="center"/>
    </xf>
    <xf numFmtId="0" fontId="11" fillId="0" borderId="68" xfId="0" applyFont="1" applyBorder="1" applyAlignment="1">
      <alignment horizontal="distributed" vertical="center"/>
    </xf>
    <xf numFmtId="0" fontId="14" fillId="0" borderId="19" xfId="0" applyFont="1" applyBorder="1" applyAlignment="1" applyProtection="1">
      <alignment horizontal="distributed" vertical="center"/>
      <protection locked="0"/>
    </xf>
    <xf numFmtId="0" fontId="14" fillId="0" borderId="51" xfId="0" applyFont="1" applyBorder="1" applyAlignment="1" applyProtection="1">
      <alignment horizontal="distributed" vertical="center"/>
      <protection locked="0"/>
    </xf>
    <xf numFmtId="0" fontId="14" fillId="0" borderId="78" xfId="0" applyFont="1" applyBorder="1" applyAlignment="1" applyProtection="1">
      <alignment horizontal="distributed" vertical="center"/>
      <protection locked="0"/>
    </xf>
    <xf numFmtId="0" fontId="11" fillId="4" borderId="67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14" fillId="4" borderId="67" xfId="0" applyFont="1" applyFill="1" applyBorder="1" applyAlignment="1" applyProtection="1">
      <alignment horizontal="right" vertical="center"/>
      <protection locked="0"/>
    </xf>
    <xf numFmtId="0" fontId="14" fillId="4" borderId="3" xfId="0" applyFont="1" applyFill="1" applyBorder="1" applyAlignment="1" applyProtection="1">
      <alignment horizontal="right" vertical="center"/>
      <protection locked="0"/>
    </xf>
    <xf numFmtId="0" fontId="14" fillId="4" borderId="2" xfId="0" applyFont="1" applyFill="1" applyBorder="1" applyAlignment="1" applyProtection="1">
      <alignment horizontal="right" vertical="center"/>
      <protection locked="0"/>
    </xf>
    <xf numFmtId="0" fontId="13" fillId="0" borderId="55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1" fillId="0" borderId="70" xfId="0" applyFont="1" applyBorder="1" applyAlignment="1">
      <alignment horizontal="distributed" vertical="center"/>
    </xf>
    <xf numFmtId="0" fontId="11" fillId="0" borderId="71" xfId="0" applyFont="1" applyBorder="1" applyAlignment="1">
      <alignment horizontal="distributed" vertical="center"/>
    </xf>
    <xf numFmtId="0" fontId="11" fillId="0" borderId="72" xfId="0" applyFont="1" applyBorder="1" applyAlignment="1">
      <alignment horizontal="distributed" vertical="center"/>
    </xf>
    <xf numFmtId="0" fontId="15" fillId="0" borderId="40" xfId="0" applyFont="1" applyBorder="1" applyAlignment="1">
      <alignment horizontal="center" vertical="center" textRotation="255" wrapText="1"/>
    </xf>
    <xf numFmtId="0" fontId="15" fillId="0" borderId="43" xfId="0" applyFont="1" applyBorder="1" applyAlignment="1">
      <alignment horizontal="center" vertical="center" textRotation="255" wrapText="1"/>
    </xf>
    <xf numFmtId="0" fontId="15" fillId="0" borderId="65" xfId="0" applyFont="1" applyBorder="1" applyAlignment="1">
      <alignment horizontal="center" vertical="center" textRotation="255" wrapText="1"/>
    </xf>
    <xf numFmtId="0" fontId="15" fillId="0" borderId="7" xfId="0" applyFont="1" applyBorder="1" applyAlignment="1">
      <alignment horizontal="center" vertical="center" textRotation="255" wrapText="1"/>
    </xf>
    <xf numFmtId="0" fontId="11" fillId="4" borderId="94" xfId="0" applyFont="1" applyFill="1" applyBorder="1" applyAlignment="1">
      <alignment horizontal="right" vertical="center"/>
    </xf>
    <xf numFmtId="0" fontId="11" fillId="4" borderId="95" xfId="0" applyFont="1" applyFill="1" applyBorder="1" applyAlignment="1">
      <alignment horizontal="right" vertical="center"/>
    </xf>
    <xf numFmtId="0" fontId="11" fillId="4" borderId="96" xfId="0" applyFont="1" applyFill="1" applyBorder="1" applyAlignment="1">
      <alignment horizontal="right" vertical="center"/>
    </xf>
    <xf numFmtId="0" fontId="11" fillId="0" borderId="68" xfId="0" applyFont="1" applyBorder="1" applyAlignment="1">
      <alignment horizontal="center" vertical="center" textRotation="255"/>
    </xf>
    <xf numFmtId="0" fontId="11" fillId="0" borderId="5" xfId="0" applyFont="1" applyBorder="1" applyAlignment="1">
      <alignment horizontal="center" vertical="center" textRotation="255"/>
    </xf>
    <xf numFmtId="0" fontId="11" fillId="0" borderId="40" xfId="0" applyFont="1" applyBorder="1" applyAlignment="1">
      <alignment horizontal="center" vertical="center" textRotation="255"/>
    </xf>
    <xf numFmtId="0" fontId="11" fillId="0" borderId="43" xfId="0" applyFont="1" applyBorder="1" applyAlignment="1">
      <alignment horizontal="center" vertical="center" textRotation="255"/>
    </xf>
    <xf numFmtId="0" fontId="11" fillId="0" borderId="65" xfId="0" applyFont="1" applyBorder="1" applyAlignment="1">
      <alignment horizontal="center" vertical="center" textRotation="255"/>
    </xf>
    <xf numFmtId="0" fontId="11" fillId="0" borderId="7" xfId="0" applyFont="1" applyBorder="1" applyAlignment="1">
      <alignment horizontal="center" vertical="center" textRotation="255"/>
    </xf>
    <xf numFmtId="0" fontId="11" fillId="5" borderId="63" xfId="0" applyFont="1" applyFill="1" applyBorder="1" applyAlignment="1">
      <alignment horizontal="right" vertical="center"/>
    </xf>
    <xf numFmtId="0" fontId="11" fillId="5" borderId="61" xfId="0" applyFont="1" applyFill="1" applyBorder="1" applyAlignment="1">
      <alignment horizontal="right" vertical="center"/>
    </xf>
    <xf numFmtId="0" fontId="11" fillId="5" borderId="64" xfId="0" applyFont="1" applyFill="1" applyBorder="1" applyAlignment="1">
      <alignment horizontal="right" vertical="center"/>
    </xf>
    <xf numFmtId="0" fontId="11" fillId="5" borderId="62" xfId="0" applyFont="1" applyFill="1" applyBorder="1" applyAlignment="1">
      <alignment horizontal="right" vertical="center"/>
    </xf>
    <xf numFmtId="0" fontId="11" fillId="5" borderId="60" xfId="0" applyFont="1" applyFill="1" applyBorder="1" applyAlignment="1">
      <alignment horizontal="right" vertical="center"/>
    </xf>
    <xf numFmtId="0" fontId="14" fillId="4" borderId="1" xfId="0" applyFont="1" applyFill="1" applyBorder="1" applyAlignment="1" applyProtection="1">
      <alignment horizontal="right" vertical="center"/>
      <protection locked="0"/>
    </xf>
    <xf numFmtId="0" fontId="14" fillId="4" borderId="66" xfId="0" applyFont="1" applyFill="1" applyBorder="1" applyAlignment="1" applyProtection="1">
      <alignment horizontal="right" vertical="center"/>
      <protection locked="0"/>
    </xf>
    <xf numFmtId="0" fontId="11" fillId="4" borderId="1" xfId="0" applyFont="1" applyFill="1" applyBorder="1" applyAlignment="1">
      <alignment horizontal="right" vertical="center"/>
    </xf>
    <xf numFmtId="0" fontId="11" fillId="4" borderId="66" xfId="0" applyFont="1" applyFill="1" applyBorder="1" applyAlignment="1">
      <alignment horizontal="right" vertical="center"/>
    </xf>
    <xf numFmtId="0" fontId="14" fillId="4" borderId="67" xfId="0" applyFont="1" applyFill="1" applyBorder="1" applyAlignment="1">
      <alignment horizontal="right" vertical="center"/>
    </xf>
    <xf numFmtId="0" fontId="14" fillId="4" borderId="3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right" vertical="center"/>
    </xf>
    <xf numFmtId="0" fontId="11" fillId="4" borderId="76" xfId="0" applyFont="1" applyFill="1" applyBorder="1" applyAlignment="1">
      <alignment horizontal="right" vertical="center"/>
    </xf>
    <xf numFmtId="0" fontId="11" fillId="4" borderId="74" xfId="0" applyFont="1" applyFill="1" applyBorder="1" applyAlignment="1">
      <alignment horizontal="right" vertical="center"/>
    </xf>
    <xf numFmtId="0" fontId="11" fillId="4" borderId="77" xfId="0" applyFont="1" applyFill="1" applyBorder="1" applyAlignment="1">
      <alignment horizontal="right" vertical="center"/>
    </xf>
    <xf numFmtId="0" fontId="11" fillId="4" borderId="73" xfId="0" applyFont="1" applyFill="1" applyBorder="1" applyAlignment="1">
      <alignment horizontal="right" vertical="center"/>
    </xf>
    <xf numFmtId="0" fontId="11" fillId="4" borderId="75" xfId="0" applyFont="1" applyFill="1" applyBorder="1" applyAlignment="1">
      <alignment horizontal="right" vertical="center"/>
    </xf>
    <xf numFmtId="0" fontId="13" fillId="0" borderId="42" xfId="0" applyFont="1" applyBorder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3" fillId="0" borderId="59" xfId="0" applyFont="1" applyBorder="1" applyAlignment="1">
      <alignment horizontal="distributed" vertical="center"/>
    </xf>
    <xf numFmtId="0" fontId="11" fillId="4" borderId="97" xfId="0" applyFont="1" applyFill="1" applyBorder="1" applyAlignment="1">
      <alignment horizontal="right" vertical="center"/>
    </xf>
    <xf numFmtId="0" fontId="11" fillId="4" borderId="98" xfId="0" applyFont="1" applyFill="1" applyBorder="1" applyAlignment="1">
      <alignment horizontal="right" vertical="center"/>
    </xf>
    <xf numFmtId="0" fontId="13" fillId="0" borderId="4" xfId="0" applyFont="1" applyBorder="1" applyAlignment="1">
      <alignment horizontal="distributed" vertical="center"/>
    </xf>
    <xf numFmtId="0" fontId="13" fillId="0" borderId="41" xfId="0" applyFont="1" applyBorder="1" applyAlignment="1">
      <alignment horizontal="distributed" vertical="center"/>
    </xf>
    <xf numFmtId="0" fontId="13" fillId="0" borderId="69" xfId="0" applyFont="1" applyBorder="1" applyAlignment="1">
      <alignment horizontal="distributed" vertical="center"/>
    </xf>
    <xf numFmtId="0" fontId="14" fillId="4" borderId="60" xfId="0" applyFont="1" applyFill="1" applyBorder="1" applyAlignment="1">
      <alignment horizontal="right" vertical="center"/>
    </xf>
    <xf numFmtId="0" fontId="14" fillId="4" borderId="61" xfId="0" applyFont="1" applyFill="1" applyBorder="1" applyAlignment="1">
      <alignment horizontal="right" vertical="center"/>
    </xf>
    <xf numFmtId="0" fontId="14" fillId="4" borderId="62" xfId="0" applyFont="1" applyFill="1" applyBorder="1" applyAlignment="1">
      <alignment horizontal="right" vertical="center"/>
    </xf>
    <xf numFmtId="0" fontId="11" fillId="0" borderId="6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4" fillId="0" borderId="1" xfId="0" applyFont="1" applyBorder="1" applyAlignment="1" applyProtection="1">
      <alignment horizontal="distributed" vertical="center"/>
      <protection locked="0"/>
    </xf>
    <xf numFmtId="0" fontId="14" fillId="0" borderId="3" xfId="0" applyFont="1" applyBorder="1" applyAlignment="1" applyProtection="1">
      <alignment horizontal="distributed" vertical="center"/>
      <protection locked="0"/>
    </xf>
    <xf numFmtId="0" fontId="11" fillId="0" borderId="1" xfId="0" applyFont="1" applyBorder="1" applyAlignment="1">
      <alignment horizontal="distributed" vertical="center"/>
    </xf>
    <xf numFmtId="0" fontId="11" fillId="0" borderId="3" xfId="0" applyFont="1" applyBorder="1" applyAlignment="1">
      <alignment horizontal="distributed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3" fillId="4" borderId="94" xfId="0" applyFont="1" applyFill="1" applyBorder="1" applyAlignment="1">
      <alignment horizontal="right" vertical="center"/>
    </xf>
    <xf numFmtId="0" fontId="13" fillId="4" borderId="95" xfId="0" applyFont="1" applyFill="1" applyBorder="1" applyAlignment="1">
      <alignment horizontal="right" vertical="center"/>
    </xf>
    <xf numFmtId="0" fontId="13" fillId="4" borderId="98" xfId="0" applyFont="1" applyFill="1" applyBorder="1" applyAlignment="1">
      <alignment horizontal="right" vertical="center"/>
    </xf>
    <xf numFmtId="0" fontId="11" fillId="0" borderId="76" xfId="0" applyFont="1" applyBorder="1" applyAlignment="1">
      <alignment horizontal="distributed" vertical="center"/>
    </xf>
    <xf numFmtId="0" fontId="11" fillId="0" borderId="74" xfId="0" applyFont="1" applyBorder="1" applyAlignment="1">
      <alignment horizontal="distributed" vertical="center"/>
    </xf>
    <xf numFmtId="0" fontId="11" fillId="0" borderId="19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textRotation="255"/>
    </xf>
    <xf numFmtId="0" fontId="13" fillId="0" borderId="5" xfId="0" applyFont="1" applyBorder="1" applyAlignment="1">
      <alignment horizontal="center" vertical="center" textRotation="255"/>
    </xf>
    <xf numFmtId="0" fontId="13" fillId="0" borderId="40" xfId="0" applyFont="1" applyBorder="1" applyAlignment="1">
      <alignment horizontal="center" vertical="center" textRotation="255"/>
    </xf>
    <xf numFmtId="0" fontId="13" fillId="0" borderId="43" xfId="0" applyFont="1" applyBorder="1" applyAlignment="1">
      <alignment horizontal="center" vertical="center" textRotation="255"/>
    </xf>
    <xf numFmtId="0" fontId="13" fillId="0" borderId="65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1" fillId="0" borderId="88" xfId="0" applyFont="1" applyBorder="1" applyAlignment="1">
      <alignment horizontal="distributed" vertical="center" wrapText="1"/>
    </xf>
    <xf numFmtId="0" fontId="11" fillId="0" borderId="3" xfId="0" applyFont="1" applyBorder="1" applyAlignment="1">
      <alignment horizontal="distributed" vertical="center" wrapText="1"/>
    </xf>
    <xf numFmtId="0" fontId="11" fillId="0" borderId="66" xfId="0" applyFont="1" applyBorder="1" applyAlignment="1">
      <alignment horizontal="distributed" vertical="center" wrapText="1"/>
    </xf>
    <xf numFmtId="0" fontId="17" fillId="0" borderId="89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8" fillId="0" borderId="4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center" wrapText="1"/>
    </xf>
    <xf numFmtId="0" fontId="18" fillId="0" borderId="9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 wrapText="1"/>
    </xf>
    <xf numFmtId="0" fontId="13" fillId="0" borderId="9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distributed" vertical="center"/>
    </xf>
    <xf numFmtId="0" fontId="13" fillId="0" borderId="44" xfId="0" applyFont="1" applyBorder="1" applyAlignment="1">
      <alignment horizontal="distributed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6" xfId="3" xr:uid="{66F8B3CD-E35D-4CB9-911B-C8298BCBAC70}"/>
  </cellStyles>
  <dxfs count="0"/>
  <tableStyles count="0" defaultTableStyle="TableStyleMedium2" defaultPivotStyle="PivotStyleMedium9"/>
  <colors>
    <mruColors>
      <color rgb="FF000000"/>
      <color rgb="FF0000CC"/>
      <color rgb="FFFFCCCC"/>
      <color rgb="FFFFCC99"/>
      <color rgb="FFFFFF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&#24180;&#65297;&#26376;&#20307;&#31995;&#20197;&#38477;&#12398;&#35211;&#30452;&#12375;&#65288;&#23558;&#26469;&#26041;&#21521;&#65289;/&#26908;&#35342;&#29992;&#36039;&#26009;&#38306;&#20418;/&#29983;&#29987;&#36027;&#12503;&#12524;&#12503;&#12522;&#12531;&#12488;&#23550;&#24540;/02&#30044;&#29983;/20_&#29275;&#20083;&#29983;&#29987;&#36027;&#32113;&#35336;_&#38651;&#23376;&#35519;&#26619;&#31080;_&#3861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(新)"/>
      <sheetName val="説明 (新)"/>
      <sheetName val="調査事項・経営概要"/>
      <sheetName val="生産物_1~12月"/>
      <sheetName val="子牛等・購入飼料"/>
      <sheetName val="自給飼料"/>
      <sheetName val="資材（種付料～光熱動力）"/>
      <sheetName val="獣医師～その他資材"/>
      <sheetName val="税~その他"/>
      <sheetName val="建物"/>
      <sheetName val="自動車"/>
      <sheetName val="農機"/>
      <sheetName val="農具購入費"/>
      <sheetName val="牛・労働時間"/>
      <sheetName val="飼養状況_2-1"/>
      <sheetName val="飼養状況_2-2"/>
      <sheetName val="地代・搾乳牛負担割合・自給牧草"/>
      <sheetName val="リスト"/>
      <sheetName val="種類・構造・型式・牛馬コード"/>
    </sheetNames>
    <sheetDataSet>
      <sheetData sheetId="0"/>
      <sheetData sheetId="1"/>
      <sheetData sheetId="2"/>
      <sheetData sheetId="3"/>
      <sheetData sheetId="4"/>
      <sheetData sheetId="5">
        <row r="52">
          <cell r="BW52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E5" t="str">
            <v>[01]住　宅</v>
          </cell>
        </row>
      </sheetData>
      <sheetData sheetId="18">
        <row r="1">
          <cell r="Z1" t="str">
            <v>法定耐用年数</v>
          </cell>
        </row>
        <row r="3">
          <cell r="AA3" t="str">
            <v>建築物</v>
          </cell>
          <cell r="AC3" t="str">
            <v>構造</v>
          </cell>
          <cell r="AE3" t="str">
            <v>税制改正前</v>
          </cell>
          <cell r="AF3" t="str">
            <v>税制改正後</v>
          </cell>
        </row>
        <row r="4">
          <cell r="Y4" t="str">
            <v>0101</v>
          </cell>
          <cell r="Z4">
            <v>1</v>
          </cell>
          <cell r="AA4" t="str">
            <v>住宅</v>
          </cell>
          <cell r="AB4">
            <v>1</v>
          </cell>
          <cell r="AC4" t="str">
            <v>木造</v>
          </cell>
          <cell r="AD4" t="str">
            <v>住宅木造</v>
          </cell>
          <cell r="AE4">
            <v>22</v>
          </cell>
          <cell r="AF4">
            <v>22</v>
          </cell>
          <cell r="AH4">
            <v>1</v>
          </cell>
          <cell r="AI4">
            <v>1</v>
          </cell>
        </row>
        <row r="5">
          <cell r="Y5" t="str">
            <v>0102</v>
          </cell>
          <cell r="Z5">
            <v>1</v>
          </cell>
          <cell r="AA5" t="str">
            <v>住宅</v>
          </cell>
          <cell r="AB5">
            <v>2</v>
          </cell>
          <cell r="AC5" t="str">
            <v>合成樹脂造</v>
          </cell>
          <cell r="AD5" t="str">
            <v>住宅合成樹脂造</v>
          </cell>
          <cell r="AE5">
            <v>22</v>
          </cell>
          <cell r="AF5">
            <v>22</v>
          </cell>
          <cell r="AH5">
            <v>2</v>
          </cell>
          <cell r="AI5">
            <v>0.5</v>
          </cell>
        </row>
        <row r="6">
          <cell r="Y6" t="str">
            <v>0103</v>
          </cell>
          <cell r="Z6">
            <v>1</v>
          </cell>
          <cell r="AA6" t="str">
            <v>住宅</v>
          </cell>
          <cell r="AB6">
            <v>3</v>
          </cell>
          <cell r="AC6" t="str">
            <v>鉄筋コンクリート</v>
          </cell>
          <cell r="AD6" t="str">
            <v>住宅鉄筋コンクリート</v>
          </cell>
          <cell r="AE6">
            <v>47</v>
          </cell>
          <cell r="AF6">
            <v>47</v>
          </cell>
          <cell r="AH6">
            <v>3</v>
          </cell>
          <cell r="AI6">
            <v>0.33400000000000002</v>
          </cell>
        </row>
        <row r="7">
          <cell r="Y7" t="str">
            <v>0104</v>
          </cell>
          <cell r="Z7">
            <v>1</v>
          </cell>
          <cell r="AA7" t="str">
            <v>住宅</v>
          </cell>
          <cell r="AB7">
            <v>4</v>
          </cell>
          <cell r="AC7" t="str">
            <v>コンクリートブロック</v>
          </cell>
          <cell r="AD7" t="str">
            <v>住宅コンクリートブロック</v>
          </cell>
          <cell r="AE7">
            <v>38</v>
          </cell>
          <cell r="AF7">
            <v>38</v>
          </cell>
          <cell r="AH7">
            <v>4</v>
          </cell>
          <cell r="AI7">
            <v>0.25</v>
          </cell>
        </row>
        <row r="8">
          <cell r="Y8" t="str">
            <v>0105</v>
          </cell>
          <cell r="Z8">
            <v>1</v>
          </cell>
          <cell r="AA8" t="str">
            <v>住宅</v>
          </cell>
          <cell r="AB8">
            <v>5</v>
          </cell>
          <cell r="AC8" t="str">
            <v>鉄骨組３㎜以下</v>
          </cell>
          <cell r="AD8" t="str">
            <v>住宅鉄骨組３㎜以下</v>
          </cell>
          <cell r="AE8">
            <v>19</v>
          </cell>
          <cell r="AF8">
            <v>19</v>
          </cell>
          <cell r="AH8">
            <v>5</v>
          </cell>
          <cell r="AI8">
            <v>0.2</v>
          </cell>
        </row>
        <row r="9">
          <cell r="Y9" t="str">
            <v>0106</v>
          </cell>
          <cell r="Z9">
            <v>1</v>
          </cell>
          <cell r="AA9" t="str">
            <v>住宅</v>
          </cell>
          <cell r="AB9">
            <v>6</v>
          </cell>
          <cell r="AC9" t="str">
            <v>鉄骨組３～４㎜以下</v>
          </cell>
          <cell r="AD9" t="str">
            <v>住宅鉄骨組３～４㎜以下</v>
          </cell>
          <cell r="AE9">
            <v>27</v>
          </cell>
          <cell r="AF9">
            <v>27</v>
          </cell>
          <cell r="AH9">
            <v>6</v>
          </cell>
          <cell r="AI9">
            <v>0.16700000000000001</v>
          </cell>
        </row>
        <row r="10">
          <cell r="Y10" t="str">
            <v>0107</v>
          </cell>
          <cell r="Z10">
            <v>1</v>
          </cell>
          <cell r="AA10" t="str">
            <v>住宅</v>
          </cell>
          <cell r="AB10">
            <v>7</v>
          </cell>
          <cell r="AC10" t="str">
            <v>鉄骨組４㎜以上</v>
          </cell>
          <cell r="AD10" t="str">
            <v>住宅鉄骨組４㎜以上</v>
          </cell>
          <cell r="AE10">
            <v>34</v>
          </cell>
          <cell r="AF10">
            <v>34</v>
          </cell>
          <cell r="AH10">
            <v>7</v>
          </cell>
          <cell r="AI10">
            <v>0.14299999999999999</v>
          </cell>
        </row>
        <row r="11">
          <cell r="Y11" t="str">
            <v>0108</v>
          </cell>
          <cell r="Z11">
            <v>1</v>
          </cell>
          <cell r="AA11" t="str">
            <v>住宅</v>
          </cell>
          <cell r="AB11">
            <v>8</v>
          </cell>
          <cell r="AC11" t="str">
            <v>木造モルタル</v>
          </cell>
          <cell r="AD11" t="str">
            <v>住宅木造モルタル</v>
          </cell>
          <cell r="AE11">
            <v>20</v>
          </cell>
          <cell r="AF11">
            <v>20</v>
          </cell>
          <cell r="AH11">
            <v>8</v>
          </cell>
          <cell r="AI11">
            <v>0.125</v>
          </cell>
        </row>
        <row r="12">
          <cell r="Y12" t="str">
            <v>0177</v>
          </cell>
          <cell r="Z12">
            <v>1</v>
          </cell>
          <cell r="AA12" t="str">
            <v>住宅</v>
          </cell>
          <cell r="AB12">
            <v>77</v>
          </cell>
          <cell r="AC12" t="str">
            <v>少額資産</v>
          </cell>
          <cell r="AD12" t="str">
            <v>住宅少額資産</v>
          </cell>
          <cell r="AE12">
            <v>3</v>
          </cell>
          <cell r="AF12">
            <v>3</v>
          </cell>
          <cell r="AH12">
            <v>9</v>
          </cell>
          <cell r="AI12">
            <v>0.112</v>
          </cell>
        </row>
        <row r="13">
          <cell r="Y13" t="str">
            <v>0201</v>
          </cell>
          <cell r="Z13">
            <v>2</v>
          </cell>
          <cell r="AA13" t="str">
            <v>事務所</v>
          </cell>
          <cell r="AB13">
            <v>1</v>
          </cell>
          <cell r="AC13" t="str">
            <v>木造</v>
          </cell>
          <cell r="AD13" t="str">
            <v>事務所木造</v>
          </cell>
          <cell r="AE13">
            <v>24</v>
          </cell>
          <cell r="AF13">
            <v>24</v>
          </cell>
          <cell r="AH13">
            <v>10</v>
          </cell>
          <cell r="AI13">
            <v>0.1</v>
          </cell>
        </row>
        <row r="14">
          <cell r="Y14" t="str">
            <v>0202</v>
          </cell>
          <cell r="Z14">
            <v>2</v>
          </cell>
          <cell r="AA14" t="str">
            <v>事務所</v>
          </cell>
          <cell r="AB14">
            <v>2</v>
          </cell>
          <cell r="AC14" t="str">
            <v>合成樹脂造</v>
          </cell>
          <cell r="AD14" t="str">
            <v>事務所合成樹脂造</v>
          </cell>
          <cell r="AE14">
            <v>24</v>
          </cell>
          <cell r="AF14">
            <v>24</v>
          </cell>
          <cell r="AH14">
            <v>11</v>
          </cell>
          <cell r="AI14">
            <v>9.0999999999999998E-2</v>
          </cell>
        </row>
        <row r="15">
          <cell r="Y15" t="str">
            <v>0203</v>
          </cell>
          <cell r="Z15">
            <v>2</v>
          </cell>
          <cell r="AA15" t="str">
            <v>事務所</v>
          </cell>
          <cell r="AB15">
            <v>3</v>
          </cell>
          <cell r="AC15" t="str">
            <v>鉄筋コンクリート</v>
          </cell>
          <cell r="AD15" t="str">
            <v>事務所鉄筋コンクリート</v>
          </cell>
          <cell r="AE15">
            <v>50</v>
          </cell>
          <cell r="AF15">
            <v>50</v>
          </cell>
          <cell r="AH15">
            <v>12</v>
          </cell>
          <cell r="AI15">
            <v>8.4000000000000005E-2</v>
          </cell>
        </row>
        <row r="16">
          <cell r="Y16" t="str">
            <v>0204</v>
          </cell>
          <cell r="Z16">
            <v>2</v>
          </cell>
          <cell r="AA16" t="str">
            <v>事務所</v>
          </cell>
          <cell r="AB16">
            <v>4</v>
          </cell>
          <cell r="AC16" t="str">
            <v>コンクリートブロック</v>
          </cell>
          <cell r="AD16" t="str">
            <v>事務所コンクリートブロック</v>
          </cell>
          <cell r="AE16">
            <v>41</v>
          </cell>
          <cell r="AF16">
            <v>41</v>
          </cell>
          <cell r="AH16">
            <v>13</v>
          </cell>
          <cell r="AI16">
            <v>7.6999999999999999E-2</v>
          </cell>
        </row>
        <row r="17">
          <cell r="Y17" t="str">
            <v>0205</v>
          </cell>
          <cell r="Z17">
            <v>2</v>
          </cell>
          <cell r="AA17" t="str">
            <v>事務所</v>
          </cell>
          <cell r="AB17">
            <v>5</v>
          </cell>
          <cell r="AC17" t="str">
            <v>鉄骨組３㎜以下</v>
          </cell>
          <cell r="AD17" t="str">
            <v>事務所鉄骨組３㎜以下</v>
          </cell>
          <cell r="AE17">
            <v>22</v>
          </cell>
          <cell r="AF17">
            <v>22</v>
          </cell>
          <cell r="AH17">
            <v>14</v>
          </cell>
          <cell r="AI17">
            <v>7.1999999999999995E-2</v>
          </cell>
        </row>
        <row r="18">
          <cell r="Y18" t="str">
            <v>0206</v>
          </cell>
          <cell r="Z18">
            <v>2</v>
          </cell>
          <cell r="AA18" t="str">
            <v>事務所</v>
          </cell>
          <cell r="AB18">
            <v>6</v>
          </cell>
          <cell r="AC18" t="str">
            <v>鉄骨組３～４㎜以下</v>
          </cell>
          <cell r="AD18" t="str">
            <v>事務所鉄骨組３～４㎜以下</v>
          </cell>
          <cell r="AE18">
            <v>30</v>
          </cell>
          <cell r="AF18">
            <v>30</v>
          </cell>
          <cell r="AH18">
            <v>15</v>
          </cell>
          <cell r="AI18">
            <v>6.7000000000000004E-2</v>
          </cell>
        </row>
        <row r="19">
          <cell r="Y19" t="str">
            <v>0207</v>
          </cell>
          <cell r="Z19">
            <v>2</v>
          </cell>
          <cell r="AA19" t="str">
            <v>事務所</v>
          </cell>
          <cell r="AB19">
            <v>7</v>
          </cell>
          <cell r="AC19" t="str">
            <v>鉄骨組４㎜以上</v>
          </cell>
          <cell r="AD19" t="str">
            <v>事務所鉄骨組４㎜以上</v>
          </cell>
          <cell r="AE19">
            <v>38</v>
          </cell>
          <cell r="AF19">
            <v>38</v>
          </cell>
          <cell r="AH19">
            <v>16</v>
          </cell>
          <cell r="AI19">
            <v>6.3E-2</v>
          </cell>
        </row>
        <row r="20">
          <cell r="Y20" t="str">
            <v>0208</v>
          </cell>
          <cell r="Z20">
            <v>2</v>
          </cell>
          <cell r="AA20" t="str">
            <v>事務所</v>
          </cell>
          <cell r="AB20">
            <v>8</v>
          </cell>
          <cell r="AC20" t="str">
            <v>木造モルタル</v>
          </cell>
          <cell r="AD20" t="str">
            <v>事務所木造モルタル</v>
          </cell>
          <cell r="AE20">
            <v>22</v>
          </cell>
          <cell r="AF20">
            <v>22</v>
          </cell>
          <cell r="AH20">
            <v>17</v>
          </cell>
          <cell r="AI20">
            <v>5.8999999999999997E-2</v>
          </cell>
        </row>
        <row r="21">
          <cell r="Y21" t="str">
            <v>0277</v>
          </cell>
          <cell r="Z21">
            <v>2</v>
          </cell>
          <cell r="AA21" t="str">
            <v>事務所</v>
          </cell>
          <cell r="AB21">
            <v>77</v>
          </cell>
          <cell r="AC21" t="str">
            <v>少額資産</v>
          </cell>
          <cell r="AD21" t="str">
            <v>事務所少額資産</v>
          </cell>
          <cell r="AE21">
            <v>3</v>
          </cell>
          <cell r="AF21">
            <v>3</v>
          </cell>
          <cell r="AH21">
            <v>18</v>
          </cell>
          <cell r="AI21">
            <v>5.6000000000000001E-2</v>
          </cell>
        </row>
        <row r="22">
          <cell r="Y22" t="str">
            <v>0301</v>
          </cell>
          <cell r="Z22">
            <v>3</v>
          </cell>
          <cell r="AA22" t="str">
            <v>倉庫</v>
          </cell>
          <cell r="AB22">
            <v>1</v>
          </cell>
          <cell r="AC22" t="str">
            <v>木造</v>
          </cell>
          <cell r="AD22" t="str">
            <v>倉庫木造</v>
          </cell>
          <cell r="AE22">
            <v>15</v>
          </cell>
          <cell r="AF22">
            <v>15</v>
          </cell>
          <cell r="AH22">
            <v>19</v>
          </cell>
          <cell r="AI22">
            <v>5.2999999999999999E-2</v>
          </cell>
        </row>
        <row r="23">
          <cell r="Y23" t="str">
            <v>0302</v>
          </cell>
          <cell r="Z23">
            <v>3</v>
          </cell>
          <cell r="AA23" t="str">
            <v>倉庫</v>
          </cell>
          <cell r="AB23">
            <v>2</v>
          </cell>
          <cell r="AC23" t="str">
            <v>合成樹脂造</v>
          </cell>
          <cell r="AD23" t="str">
            <v>倉庫合成樹脂造</v>
          </cell>
          <cell r="AE23">
            <v>15</v>
          </cell>
          <cell r="AF23">
            <v>15</v>
          </cell>
          <cell r="AH23">
            <v>20</v>
          </cell>
          <cell r="AI23">
            <v>0.05</v>
          </cell>
        </row>
        <row r="24">
          <cell r="Y24" t="str">
            <v>0303</v>
          </cell>
          <cell r="Z24">
            <v>3</v>
          </cell>
          <cell r="AA24" t="str">
            <v>倉庫</v>
          </cell>
          <cell r="AB24">
            <v>3</v>
          </cell>
          <cell r="AC24" t="str">
            <v>鉄筋コンクリート</v>
          </cell>
          <cell r="AD24" t="str">
            <v>倉庫鉄筋コンクリート</v>
          </cell>
          <cell r="AE24">
            <v>38</v>
          </cell>
          <cell r="AF24">
            <v>38</v>
          </cell>
          <cell r="AH24">
            <v>21</v>
          </cell>
          <cell r="AI24">
            <v>4.8000000000000001E-2</v>
          </cell>
        </row>
        <row r="25">
          <cell r="Y25" t="str">
            <v>0304</v>
          </cell>
          <cell r="Z25">
            <v>3</v>
          </cell>
          <cell r="AA25" t="str">
            <v>倉庫</v>
          </cell>
          <cell r="AB25">
            <v>4</v>
          </cell>
          <cell r="AC25" t="str">
            <v>コンクリートブロック</v>
          </cell>
          <cell r="AD25" t="str">
            <v>倉庫コンクリートブロック</v>
          </cell>
          <cell r="AE25">
            <v>34</v>
          </cell>
          <cell r="AF25">
            <v>34</v>
          </cell>
          <cell r="AH25">
            <v>22</v>
          </cell>
          <cell r="AI25">
            <v>4.5999999999999999E-2</v>
          </cell>
        </row>
        <row r="26">
          <cell r="Y26" t="str">
            <v>0305</v>
          </cell>
          <cell r="Z26">
            <v>3</v>
          </cell>
          <cell r="AA26" t="str">
            <v>倉庫</v>
          </cell>
          <cell r="AB26">
            <v>5</v>
          </cell>
          <cell r="AC26" t="str">
            <v>鉄骨組３㎜以下</v>
          </cell>
          <cell r="AD26" t="str">
            <v>倉庫鉄骨組３㎜以下</v>
          </cell>
          <cell r="AE26">
            <v>17</v>
          </cell>
          <cell r="AF26">
            <v>17</v>
          </cell>
          <cell r="AH26">
            <v>23</v>
          </cell>
          <cell r="AI26">
            <v>4.3999999999999997E-2</v>
          </cell>
        </row>
        <row r="27">
          <cell r="Y27" t="str">
            <v>0306</v>
          </cell>
          <cell r="Z27">
            <v>3</v>
          </cell>
          <cell r="AA27" t="str">
            <v>倉庫</v>
          </cell>
          <cell r="AB27">
            <v>6</v>
          </cell>
          <cell r="AC27" t="str">
            <v>鉄骨組３～４㎜以下</v>
          </cell>
          <cell r="AD27" t="str">
            <v>倉庫鉄骨組３～４㎜以下</v>
          </cell>
          <cell r="AE27">
            <v>24</v>
          </cell>
          <cell r="AF27">
            <v>24</v>
          </cell>
          <cell r="AH27">
            <v>24</v>
          </cell>
          <cell r="AI27">
            <v>4.2000000000000003E-2</v>
          </cell>
        </row>
        <row r="28">
          <cell r="Y28" t="str">
            <v>0307</v>
          </cell>
          <cell r="Z28">
            <v>3</v>
          </cell>
          <cell r="AA28" t="str">
            <v>倉庫</v>
          </cell>
          <cell r="AB28">
            <v>7</v>
          </cell>
          <cell r="AC28" t="str">
            <v>鉄骨組４㎜以上</v>
          </cell>
          <cell r="AD28" t="str">
            <v>倉庫鉄骨組４㎜以上</v>
          </cell>
          <cell r="AE28">
            <v>31</v>
          </cell>
          <cell r="AF28">
            <v>31</v>
          </cell>
          <cell r="AH28">
            <v>25</v>
          </cell>
          <cell r="AI28">
            <v>0.04</v>
          </cell>
        </row>
        <row r="29">
          <cell r="Y29" t="str">
            <v>0308</v>
          </cell>
          <cell r="Z29">
            <v>3</v>
          </cell>
          <cell r="AA29" t="str">
            <v>倉庫</v>
          </cell>
          <cell r="AB29">
            <v>8</v>
          </cell>
          <cell r="AC29" t="str">
            <v>木造モルタル</v>
          </cell>
          <cell r="AD29" t="str">
            <v>倉庫木造モルタル</v>
          </cell>
          <cell r="AE29">
            <v>14</v>
          </cell>
          <cell r="AF29">
            <v>14</v>
          </cell>
          <cell r="AH29">
            <v>26</v>
          </cell>
          <cell r="AI29">
            <v>3.9E-2</v>
          </cell>
        </row>
        <row r="30">
          <cell r="Y30" t="str">
            <v>0377</v>
          </cell>
          <cell r="Z30">
            <v>3</v>
          </cell>
          <cell r="AA30" t="str">
            <v>倉庫</v>
          </cell>
          <cell r="AB30">
            <v>77</v>
          </cell>
          <cell r="AC30" t="str">
            <v>少額資産</v>
          </cell>
          <cell r="AD30" t="str">
            <v>倉庫少額資産</v>
          </cell>
          <cell r="AE30">
            <v>3</v>
          </cell>
          <cell r="AF30">
            <v>3</v>
          </cell>
          <cell r="AH30">
            <v>27</v>
          </cell>
          <cell r="AI30">
            <v>3.7999999999999999E-2</v>
          </cell>
        </row>
        <row r="31">
          <cell r="Y31" t="str">
            <v>0501</v>
          </cell>
          <cell r="Z31">
            <v>5</v>
          </cell>
          <cell r="AA31" t="str">
            <v>作業場</v>
          </cell>
          <cell r="AB31">
            <v>1</v>
          </cell>
          <cell r="AC31" t="str">
            <v>木造</v>
          </cell>
          <cell r="AD31" t="str">
            <v>作業場木造</v>
          </cell>
          <cell r="AE31">
            <v>15</v>
          </cell>
          <cell r="AF31">
            <v>15</v>
          </cell>
          <cell r="AH31">
            <v>28</v>
          </cell>
          <cell r="AI31">
            <v>3.5999999999999997E-2</v>
          </cell>
        </row>
        <row r="32">
          <cell r="Y32" t="str">
            <v>0502</v>
          </cell>
          <cell r="Z32">
            <v>5</v>
          </cell>
          <cell r="AA32" t="str">
            <v>作業場</v>
          </cell>
          <cell r="AB32">
            <v>2</v>
          </cell>
          <cell r="AC32" t="str">
            <v>合成樹脂造</v>
          </cell>
          <cell r="AD32" t="str">
            <v>作業場合成樹脂造</v>
          </cell>
          <cell r="AE32">
            <v>15</v>
          </cell>
          <cell r="AF32">
            <v>15</v>
          </cell>
          <cell r="AH32">
            <v>29</v>
          </cell>
          <cell r="AI32">
            <v>3.5000000000000003E-2</v>
          </cell>
        </row>
        <row r="33">
          <cell r="Y33" t="str">
            <v>0503</v>
          </cell>
          <cell r="Z33">
            <v>5</v>
          </cell>
          <cell r="AA33" t="str">
            <v>作業場</v>
          </cell>
          <cell r="AB33">
            <v>3</v>
          </cell>
          <cell r="AC33" t="str">
            <v>鉄筋コンクリート</v>
          </cell>
          <cell r="AD33" t="str">
            <v>作業場鉄筋コンクリート</v>
          </cell>
          <cell r="AE33">
            <v>38</v>
          </cell>
          <cell r="AF33">
            <v>38</v>
          </cell>
          <cell r="AH33">
            <v>30</v>
          </cell>
          <cell r="AI33">
            <v>3.4000000000000002E-2</v>
          </cell>
        </row>
        <row r="34">
          <cell r="Y34" t="str">
            <v>0504</v>
          </cell>
          <cell r="Z34">
            <v>5</v>
          </cell>
          <cell r="AA34" t="str">
            <v>作業場</v>
          </cell>
          <cell r="AB34">
            <v>4</v>
          </cell>
          <cell r="AC34" t="str">
            <v>コンクリートブロック</v>
          </cell>
          <cell r="AD34" t="str">
            <v>作業場コンクリートブロック</v>
          </cell>
          <cell r="AE34">
            <v>34</v>
          </cell>
          <cell r="AF34">
            <v>34</v>
          </cell>
          <cell r="AH34">
            <v>31</v>
          </cell>
          <cell r="AI34">
            <v>3.3000000000000002E-2</v>
          </cell>
        </row>
        <row r="35">
          <cell r="Y35" t="str">
            <v>0505</v>
          </cell>
          <cell r="Z35">
            <v>5</v>
          </cell>
          <cell r="AA35" t="str">
            <v>作業場</v>
          </cell>
          <cell r="AB35">
            <v>5</v>
          </cell>
          <cell r="AC35" t="str">
            <v>鉄骨組３㎜以下</v>
          </cell>
          <cell r="AD35" t="str">
            <v>作業場鉄骨組３㎜以下</v>
          </cell>
          <cell r="AE35">
            <v>17</v>
          </cell>
          <cell r="AF35">
            <v>17</v>
          </cell>
          <cell r="AH35">
            <v>32</v>
          </cell>
          <cell r="AI35">
            <v>3.2000000000000001E-2</v>
          </cell>
        </row>
        <row r="36">
          <cell r="Y36" t="str">
            <v>0506</v>
          </cell>
          <cell r="Z36">
            <v>5</v>
          </cell>
          <cell r="AA36" t="str">
            <v>作業場</v>
          </cell>
          <cell r="AB36">
            <v>6</v>
          </cell>
          <cell r="AC36" t="str">
            <v>鉄骨組３～４㎜以下</v>
          </cell>
          <cell r="AD36" t="str">
            <v>作業場鉄骨組３～４㎜以下</v>
          </cell>
          <cell r="AE36">
            <v>24</v>
          </cell>
          <cell r="AF36">
            <v>24</v>
          </cell>
          <cell r="AH36">
            <v>33</v>
          </cell>
          <cell r="AI36">
            <v>3.1E-2</v>
          </cell>
        </row>
        <row r="37">
          <cell r="Y37" t="str">
            <v>0507</v>
          </cell>
          <cell r="Z37">
            <v>5</v>
          </cell>
          <cell r="AA37" t="str">
            <v>作業場</v>
          </cell>
          <cell r="AB37">
            <v>7</v>
          </cell>
          <cell r="AC37" t="str">
            <v>鉄骨組４㎜以上</v>
          </cell>
          <cell r="AD37" t="str">
            <v>作業場鉄骨組４㎜以上</v>
          </cell>
          <cell r="AE37">
            <v>31</v>
          </cell>
          <cell r="AF37">
            <v>31</v>
          </cell>
          <cell r="AH37">
            <v>34</v>
          </cell>
          <cell r="AI37">
            <v>0.03</v>
          </cell>
        </row>
        <row r="38">
          <cell r="Y38" t="str">
            <v>0508</v>
          </cell>
          <cell r="Z38">
            <v>5</v>
          </cell>
          <cell r="AA38" t="str">
            <v>作業場</v>
          </cell>
          <cell r="AB38">
            <v>8</v>
          </cell>
          <cell r="AC38" t="str">
            <v>木造モルタル</v>
          </cell>
          <cell r="AD38" t="str">
            <v>作業場木造モルタル</v>
          </cell>
          <cell r="AE38">
            <v>14</v>
          </cell>
          <cell r="AF38">
            <v>14</v>
          </cell>
          <cell r="AH38">
            <v>35</v>
          </cell>
          <cell r="AI38">
            <v>2.9000000000000001E-2</v>
          </cell>
        </row>
        <row r="39">
          <cell r="Y39" t="str">
            <v>0577</v>
          </cell>
          <cell r="Z39">
            <v>5</v>
          </cell>
          <cell r="AA39" t="str">
            <v>作業場</v>
          </cell>
          <cell r="AB39">
            <v>77</v>
          </cell>
          <cell r="AC39" t="str">
            <v>少額資産</v>
          </cell>
          <cell r="AD39" t="str">
            <v>作業場少額資産</v>
          </cell>
          <cell r="AE39">
            <v>3</v>
          </cell>
          <cell r="AF39">
            <v>3</v>
          </cell>
          <cell r="AH39">
            <v>36</v>
          </cell>
          <cell r="AI39">
            <v>2.8000000000000001E-2</v>
          </cell>
        </row>
        <row r="40">
          <cell r="Y40" t="str">
            <v>1001</v>
          </cell>
          <cell r="Z40">
            <v>10</v>
          </cell>
          <cell r="AA40" t="str">
            <v>貯蔵庫</v>
          </cell>
          <cell r="AB40">
            <v>1</v>
          </cell>
          <cell r="AC40" t="str">
            <v>木造</v>
          </cell>
          <cell r="AD40" t="str">
            <v>貯蔵庫木造</v>
          </cell>
          <cell r="AE40">
            <v>15</v>
          </cell>
          <cell r="AF40">
            <v>15</v>
          </cell>
          <cell r="AH40">
            <v>37</v>
          </cell>
          <cell r="AI40">
            <v>2.8000000000000001E-2</v>
          </cell>
        </row>
        <row r="41">
          <cell r="Y41" t="str">
            <v>1002</v>
          </cell>
          <cell r="Z41">
            <v>10</v>
          </cell>
          <cell r="AA41" t="str">
            <v>貯蔵庫</v>
          </cell>
          <cell r="AB41">
            <v>2</v>
          </cell>
          <cell r="AC41" t="str">
            <v>合成樹脂造</v>
          </cell>
          <cell r="AD41" t="str">
            <v>貯蔵庫合成樹脂造</v>
          </cell>
          <cell r="AE41">
            <v>15</v>
          </cell>
          <cell r="AF41">
            <v>15</v>
          </cell>
          <cell r="AH41">
            <v>38</v>
          </cell>
          <cell r="AI41">
            <v>2.7E-2</v>
          </cell>
        </row>
        <row r="42">
          <cell r="Y42" t="str">
            <v>1003</v>
          </cell>
          <cell r="Z42">
            <v>10</v>
          </cell>
          <cell r="AA42" t="str">
            <v>貯蔵庫</v>
          </cell>
          <cell r="AB42">
            <v>3</v>
          </cell>
          <cell r="AC42" t="str">
            <v>鉄筋コンクリート</v>
          </cell>
          <cell r="AD42" t="str">
            <v>貯蔵庫鉄筋コンクリート</v>
          </cell>
          <cell r="AE42">
            <v>38</v>
          </cell>
          <cell r="AF42">
            <v>38</v>
          </cell>
          <cell r="AH42">
            <v>39</v>
          </cell>
          <cell r="AI42">
            <v>2.5999999999999999E-2</v>
          </cell>
        </row>
        <row r="43">
          <cell r="Y43" t="str">
            <v>1004</v>
          </cell>
          <cell r="Z43">
            <v>10</v>
          </cell>
          <cell r="AA43" t="str">
            <v>貯蔵庫</v>
          </cell>
          <cell r="AB43">
            <v>4</v>
          </cell>
          <cell r="AC43" t="str">
            <v>コンクリートブロック</v>
          </cell>
          <cell r="AD43" t="str">
            <v>貯蔵庫コンクリートブロック</v>
          </cell>
          <cell r="AE43">
            <v>34</v>
          </cell>
          <cell r="AF43">
            <v>34</v>
          </cell>
          <cell r="AH43">
            <v>40</v>
          </cell>
          <cell r="AI43">
            <v>2.5000000000000001E-2</v>
          </cell>
        </row>
        <row r="44">
          <cell r="Y44" t="str">
            <v>1005</v>
          </cell>
          <cell r="Z44">
            <v>10</v>
          </cell>
          <cell r="AA44" t="str">
            <v>貯蔵庫</v>
          </cell>
          <cell r="AB44">
            <v>5</v>
          </cell>
          <cell r="AC44" t="str">
            <v>鉄骨組３㎜以下</v>
          </cell>
          <cell r="AD44" t="str">
            <v>貯蔵庫鉄骨組３㎜以下</v>
          </cell>
          <cell r="AE44">
            <v>17</v>
          </cell>
          <cell r="AF44">
            <v>17</v>
          </cell>
          <cell r="AH44">
            <v>41</v>
          </cell>
          <cell r="AI44">
            <v>2.5000000000000001E-2</v>
          </cell>
        </row>
        <row r="45">
          <cell r="Y45" t="str">
            <v>1006</v>
          </cell>
          <cell r="Z45">
            <v>10</v>
          </cell>
          <cell r="AA45" t="str">
            <v>貯蔵庫</v>
          </cell>
          <cell r="AB45">
            <v>6</v>
          </cell>
          <cell r="AC45" t="str">
            <v>鉄骨組３～４㎜以下</v>
          </cell>
          <cell r="AD45" t="str">
            <v>貯蔵庫鉄骨組３～４㎜以下</v>
          </cell>
          <cell r="AE45">
            <v>24</v>
          </cell>
          <cell r="AF45">
            <v>24</v>
          </cell>
          <cell r="AH45">
            <v>42</v>
          </cell>
          <cell r="AI45">
            <v>2.4E-2</v>
          </cell>
        </row>
        <row r="46">
          <cell r="Y46" t="str">
            <v>1007</v>
          </cell>
          <cell r="Z46">
            <v>10</v>
          </cell>
          <cell r="AA46" t="str">
            <v>貯蔵庫</v>
          </cell>
          <cell r="AB46">
            <v>7</v>
          </cell>
          <cell r="AC46" t="str">
            <v>鉄骨組４㎜以上</v>
          </cell>
          <cell r="AD46" t="str">
            <v>貯蔵庫鉄骨組４㎜以上</v>
          </cell>
          <cell r="AE46">
            <v>31</v>
          </cell>
          <cell r="AF46">
            <v>31</v>
          </cell>
          <cell r="AH46">
            <v>43</v>
          </cell>
          <cell r="AI46">
            <v>2.4E-2</v>
          </cell>
        </row>
        <row r="47">
          <cell r="Y47" t="str">
            <v>1008</v>
          </cell>
          <cell r="Z47">
            <v>10</v>
          </cell>
          <cell r="AA47" t="str">
            <v>貯蔵庫</v>
          </cell>
          <cell r="AB47">
            <v>8</v>
          </cell>
          <cell r="AC47" t="str">
            <v>木造モルタル</v>
          </cell>
          <cell r="AD47" t="str">
            <v>貯蔵庫木造モルタル</v>
          </cell>
          <cell r="AE47">
            <v>14</v>
          </cell>
          <cell r="AF47">
            <v>14</v>
          </cell>
          <cell r="AH47">
            <v>44</v>
          </cell>
          <cell r="AI47">
            <v>2.3E-2</v>
          </cell>
        </row>
        <row r="48">
          <cell r="Y48" t="str">
            <v>1077</v>
          </cell>
          <cell r="Z48">
            <v>10</v>
          </cell>
          <cell r="AA48" t="str">
            <v>貯蔵庫</v>
          </cell>
          <cell r="AB48">
            <v>77</v>
          </cell>
          <cell r="AC48" t="str">
            <v>少額資産</v>
          </cell>
          <cell r="AD48" t="str">
            <v>貯蔵庫少額資産</v>
          </cell>
          <cell r="AE48">
            <v>3</v>
          </cell>
          <cell r="AF48">
            <v>3</v>
          </cell>
          <cell r="AH48">
            <v>45</v>
          </cell>
          <cell r="AI48">
            <v>2.3E-2</v>
          </cell>
        </row>
        <row r="49">
          <cell r="Y49" t="str">
            <v>1101</v>
          </cell>
          <cell r="Z49">
            <v>11</v>
          </cell>
          <cell r="AA49" t="str">
            <v>クーラー室</v>
          </cell>
          <cell r="AB49">
            <v>1</v>
          </cell>
          <cell r="AC49" t="str">
            <v>木造</v>
          </cell>
          <cell r="AD49" t="str">
            <v>クーラー室木造</v>
          </cell>
          <cell r="AE49">
            <v>15</v>
          </cell>
          <cell r="AF49">
            <v>15</v>
          </cell>
          <cell r="AH49">
            <v>46</v>
          </cell>
          <cell r="AI49">
            <v>2.1999999999999999E-2</v>
          </cell>
        </row>
        <row r="50">
          <cell r="Y50" t="str">
            <v>1102</v>
          </cell>
          <cell r="Z50">
            <v>11</v>
          </cell>
          <cell r="AA50" t="str">
            <v>クーラー室</v>
          </cell>
          <cell r="AB50">
            <v>2</v>
          </cell>
          <cell r="AC50" t="str">
            <v>合成樹脂造</v>
          </cell>
          <cell r="AD50" t="str">
            <v>クーラー室合成樹脂造</v>
          </cell>
          <cell r="AE50">
            <v>15</v>
          </cell>
          <cell r="AF50">
            <v>15</v>
          </cell>
          <cell r="AH50">
            <v>47</v>
          </cell>
          <cell r="AI50">
            <v>2.1999999999999999E-2</v>
          </cell>
        </row>
        <row r="51">
          <cell r="Y51" t="str">
            <v>1103</v>
          </cell>
          <cell r="Z51">
            <v>11</v>
          </cell>
          <cell r="AA51" t="str">
            <v>クーラー室</v>
          </cell>
          <cell r="AB51">
            <v>3</v>
          </cell>
          <cell r="AC51" t="str">
            <v>鉄筋コンクリート</v>
          </cell>
          <cell r="AD51" t="str">
            <v>クーラー室鉄筋コンクリート</v>
          </cell>
          <cell r="AE51">
            <v>38</v>
          </cell>
          <cell r="AF51">
            <v>38</v>
          </cell>
          <cell r="AH51">
            <v>48</v>
          </cell>
          <cell r="AI51">
            <v>2.1000000000000001E-2</v>
          </cell>
        </row>
        <row r="52">
          <cell r="Y52" t="str">
            <v>1104</v>
          </cell>
          <cell r="Z52">
            <v>11</v>
          </cell>
          <cell r="AA52" t="str">
            <v>クーラー室</v>
          </cell>
          <cell r="AB52">
            <v>4</v>
          </cell>
          <cell r="AC52" t="str">
            <v>コンクリートブロック</v>
          </cell>
          <cell r="AD52" t="str">
            <v>クーラー室コンクリートブロック</v>
          </cell>
          <cell r="AE52">
            <v>34</v>
          </cell>
          <cell r="AF52">
            <v>34</v>
          </cell>
          <cell r="AH52">
            <v>49</v>
          </cell>
          <cell r="AI52">
            <v>2.1000000000000001E-2</v>
          </cell>
        </row>
        <row r="53">
          <cell r="Y53" t="str">
            <v>1105</v>
          </cell>
          <cell r="Z53">
            <v>11</v>
          </cell>
          <cell r="AA53" t="str">
            <v>クーラー室</v>
          </cell>
          <cell r="AB53">
            <v>5</v>
          </cell>
          <cell r="AC53" t="str">
            <v>鉄骨組３㎜以下</v>
          </cell>
          <cell r="AD53" t="str">
            <v>クーラー室鉄骨組３㎜以下</v>
          </cell>
          <cell r="AE53">
            <v>17</v>
          </cell>
          <cell r="AF53">
            <v>17</v>
          </cell>
          <cell r="AH53">
            <v>50</v>
          </cell>
          <cell r="AI53">
            <v>0.02</v>
          </cell>
        </row>
        <row r="54">
          <cell r="Y54" t="str">
            <v>1106</v>
          </cell>
          <cell r="Z54">
            <v>11</v>
          </cell>
          <cell r="AA54" t="str">
            <v>クーラー室</v>
          </cell>
          <cell r="AB54">
            <v>6</v>
          </cell>
          <cell r="AC54" t="str">
            <v>鉄骨組３～４㎜以下</v>
          </cell>
          <cell r="AD54" t="str">
            <v>クーラー室鉄骨組３～４㎜以下</v>
          </cell>
          <cell r="AE54">
            <v>24</v>
          </cell>
          <cell r="AF54">
            <v>24</v>
          </cell>
          <cell r="AH54">
            <v>51</v>
          </cell>
          <cell r="AI54">
            <v>0.02</v>
          </cell>
        </row>
        <row r="55">
          <cell r="Y55" t="str">
            <v>1107</v>
          </cell>
          <cell r="Z55">
            <v>11</v>
          </cell>
          <cell r="AA55" t="str">
            <v>クーラー室</v>
          </cell>
          <cell r="AB55">
            <v>7</v>
          </cell>
          <cell r="AC55" t="str">
            <v>鉄骨組４㎜以上</v>
          </cell>
          <cell r="AD55" t="str">
            <v>クーラー室鉄骨組４㎜以上</v>
          </cell>
          <cell r="AE55">
            <v>31</v>
          </cell>
          <cell r="AF55">
            <v>31</v>
          </cell>
          <cell r="AH55">
            <v>52</v>
          </cell>
          <cell r="AI55">
            <v>0.02</v>
          </cell>
        </row>
        <row r="56">
          <cell r="Y56" t="str">
            <v>1108</v>
          </cell>
          <cell r="Z56">
            <v>11</v>
          </cell>
          <cell r="AA56" t="str">
            <v>クーラー室</v>
          </cell>
          <cell r="AB56">
            <v>8</v>
          </cell>
          <cell r="AC56" t="str">
            <v>木造モルタル</v>
          </cell>
          <cell r="AD56" t="str">
            <v>クーラー室木造モルタル</v>
          </cell>
          <cell r="AE56">
            <v>14</v>
          </cell>
          <cell r="AF56">
            <v>14</v>
          </cell>
          <cell r="AH56">
            <v>53</v>
          </cell>
          <cell r="AI56">
            <v>1.9E-2</v>
          </cell>
        </row>
        <row r="57">
          <cell r="Y57" t="str">
            <v>1177</v>
          </cell>
          <cell r="Z57">
            <v>11</v>
          </cell>
          <cell r="AA57" t="str">
            <v>クーラー室</v>
          </cell>
          <cell r="AB57">
            <v>77</v>
          </cell>
          <cell r="AC57" t="str">
            <v>少額資産</v>
          </cell>
          <cell r="AD57" t="str">
            <v>クーラー室少額資産</v>
          </cell>
          <cell r="AE57">
            <v>3</v>
          </cell>
          <cell r="AF57">
            <v>3</v>
          </cell>
          <cell r="AH57">
            <v>54</v>
          </cell>
          <cell r="AI57">
            <v>1.9E-2</v>
          </cell>
        </row>
        <row r="58">
          <cell r="Y58" t="str">
            <v>1301</v>
          </cell>
          <cell r="Z58">
            <v>13</v>
          </cell>
          <cell r="AA58" t="str">
            <v>車庫</v>
          </cell>
          <cell r="AB58">
            <v>1</v>
          </cell>
          <cell r="AC58" t="str">
            <v>木造</v>
          </cell>
          <cell r="AD58" t="str">
            <v>車庫木造</v>
          </cell>
          <cell r="AE58">
            <v>17</v>
          </cell>
          <cell r="AF58">
            <v>17</v>
          </cell>
          <cell r="AH58">
            <v>55</v>
          </cell>
          <cell r="AI58">
            <v>1.9E-2</v>
          </cell>
        </row>
        <row r="59">
          <cell r="Y59" t="str">
            <v>1302</v>
          </cell>
          <cell r="Z59">
            <v>13</v>
          </cell>
          <cell r="AA59" t="str">
            <v>車庫</v>
          </cell>
          <cell r="AB59">
            <v>2</v>
          </cell>
          <cell r="AC59" t="str">
            <v>合成樹脂造</v>
          </cell>
          <cell r="AD59" t="str">
            <v>車庫合成樹脂造</v>
          </cell>
          <cell r="AE59">
            <v>17</v>
          </cell>
          <cell r="AF59">
            <v>17</v>
          </cell>
          <cell r="AH59">
            <v>56</v>
          </cell>
          <cell r="AI59">
            <v>1.7999999999999999E-2</v>
          </cell>
        </row>
        <row r="60">
          <cell r="Y60" t="str">
            <v>1303</v>
          </cell>
          <cell r="Z60">
            <v>13</v>
          </cell>
          <cell r="AA60" t="str">
            <v>車庫</v>
          </cell>
          <cell r="AB60">
            <v>3</v>
          </cell>
          <cell r="AC60" t="str">
            <v>鉄筋コンクリート</v>
          </cell>
          <cell r="AD60" t="str">
            <v>車庫鉄筋コンクリート</v>
          </cell>
          <cell r="AE60">
            <v>38</v>
          </cell>
          <cell r="AF60">
            <v>38</v>
          </cell>
          <cell r="AH60">
            <v>57</v>
          </cell>
          <cell r="AI60">
            <v>1.7999999999999999E-2</v>
          </cell>
        </row>
        <row r="61">
          <cell r="Y61" t="str">
            <v>1304</v>
          </cell>
          <cell r="Z61">
            <v>13</v>
          </cell>
          <cell r="AA61" t="str">
            <v>車庫</v>
          </cell>
          <cell r="AB61">
            <v>4</v>
          </cell>
          <cell r="AC61" t="str">
            <v>コンクリートブロック</v>
          </cell>
          <cell r="AD61" t="str">
            <v>車庫コンクリートブロック</v>
          </cell>
          <cell r="AE61">
            <v>34</v>
          </cell>
          <cell r="AF61">
            <v>34</v>
          </cell>
          <cell r="AH61">
            <v>58</v>
          </cell>
          <cell r="AI61">
            <v>1.7999999999999999E-2</v>
          </cell>
        </row>
        <row r="62">
          <cell r="Y62" t="str">
            <v>1305</v>
          </cell>
          <cell r="Z62">
            <v>13</v>
          </cell>
          <cell r="AA62" t="str">
            <v>車庫</v>
          </cell>
          <cell r="AB62">
            <v>5</v>
          </cell>
          <cell r="AC62" t="str">
            <v>鉄骨組３㎜以下</v>
          </cell>
          <cell r="AD62" t="str">
            <v>車庫鉄骨組３㎜以下</v>
          </cell>
          <cell r="AE62">
            <v>19</v>
          </cell>
          <cell r="AF62">
            <v>19</v>
          </cell>
          <cell r="AH62">
            <v>59</v>
          </cell>
          <cell r="AI62">
            <v>1.7000000000000001E-2</v>
          </cell>
        </row>
        <row r="63">
          <cell r="Y63" t="str">
            <v>1306</v>
          </cell>
          <cell r="Z63">
            <v>13</v>
          </cell>
          <cell r="AA63" t="str">
            <v>車庫</v>
          </cell>
          <cell r="AB63">
            <v>6</v>
          </cell>
          <cell r="AC63" t="str">
            <v>鉄骨組３～４㎜以下</v>
          </cell>
          <cell r="AD63" t="str">
            <v>車庫鉄骨組３～４㎜以下</v>
          </cell>
          <cell r="AE63">
            <v>25</v>
          </cell>
          <cell r="AF63">
            <v>25</v>
          </cell>
          <cell r="AH63">
            <v>60</v>
          </cell>
          <cell r="AI63">
            <v>1.7000000000000001E-2</v>
          </cell>
        </row>
        <row r="64">
          <cell r="Y64" t="str">
            <v>1307</v>
          </cell>
          <cell r="Z64">
            <v>13</v>
          </cell>
          <cell r="AA64" t="str">
            <v>車庫</v>
          </cell>
          <cell r="AB64">
            <v>7</v>
          </cell>
          <cell r="AC64" t="str">
            <v>鉄骨組４㎜以上</v>
          </cell>
          <cell r="AD64" t="str">
            <v>車庫鉄骨組４㎜以上</v>
          </cell>
          <cell r="AE64">
            <v>31</v>
          </cell>
          <cell r="AF64">
            <v>31</v>
          </cell>
          <cell r="AH64">
            <v>61</v>
          </cell>
          <cell r="AI64">
            <v>1.7000000000000001E-2</v>
          </cell>
        </row>
        <row r="65">
          <cell r="Y65" t="str">
            <v>1308</v>
          </cell>
          <cell r="Z65">
            <v>13</v>
          </cell>
          <cell r="AA65" t="str">
            <v>車庫</v>
          </cell>
          <cell r="AB65">
            <v>8</v>
          </cell>
          <cell r="AC65" t="str">
            <v>木造モルタル</v>
          </cell>
          <cell r="AD65" t="str">
            <v>車庫木造モルタル</v>
          </cell>
          <cell r="AE65">
            <v>15</v>
          </cell>
          <cell r="AF65">
            <v>15</v>
          </cell>
          <cell r="AH65">
            <v>62</v>
          </cell>
          <cell r="AI65">
            <v>1.7000000000000001E-2</v>
          </cell>
        </row>
        <row r="66">
          <cell r="Y66" t="str">
            <v>1377</v>
          </cell>
          <cell r="Z66">
            <v>13</v>
          </cell>
          <cell r="AA66" t="str">
            <v>車庫</v>
          </cell>
          <cell r="AB66">
            <v>77</v>
          </cell>
          <cell r="AC66" t="str">
            <v>少額資産</v>
          </cell>
          <cell r="AD66" t="str">
            <v>車庫少額資産</v>
          </cell>
          <cell r="AE66">
            <v>3</v>
          </cell>
          <cell r="AF66">
            <v>3</v>
          </cell>
          <cell r="AH66">
            <v>63</v>
          </cell>
          <cell r="AI66">
            <v>1.6E-2</v>
          </cell>
        </row>
        <row r="67">
          <cell r="Y67" t="str">
            <v>1401</v>
          </cell>
          <cell r="Z67">
            <v>14</v>
          </cell>
          <cell r="AA67" t="str">
            <v>たい肥舎</v>
          </cell>
          <cell r="AB67">
            <v>1</v>
          </cell>
          <cell r="AC67" t="str">
            <v>木造</v>
          </cell>
          <cell r="AD67" t="str">
            <v>たい肥舎木造</v>
          </cell>
          <cell r="AE67">
            <v>17</v>
          </cell>
          <cell r="AF67">
            <v>17</v>
          </cell>
          <cell r="AH67">
            <v>64</v>
          </cell>
          <cell r="AI67">
            <v>1.6E-2</v>
          </cell>
        </row>
        <row r="68">
          <cell r="Y68" t="str">
            <v>1402</v>
          </cell>
          <cell r="Z68">
            <v>14</v>
          </cell>
          <cell r="AA68" t="str">
            <v>たい肥舎</v>
          </cell>
          <cell r="AB68">
            <v>2</v>
          </cell>
          <cell r="AC68" t="str">
            <v>合成樹脂造</v>
          </cell>
          <cell r="AD68" t="str">
            <v>たい肥舎合成樹脂造</v>
          </cell>
          <cell r="AE68">
            <v>17</v>
          </cell>
          <cell r="AF68">
            <v>17</v>
          </cell>
          <cell r="AH68">
            <v>65</v>
          </cell>
          <cell r="AI68">
            <v>1.6E-2</v>
          </cell>
        </row>
        <row r="69">
          <cell r="Y69" t="str">
            <v>1403</v>
          </cell>
          <cell r="Z69">
            <v>14</v>
          </cell>
          <cell r="AA69" t="str">
            <v>たい肥舎</v>
          </cell>
          <cell r="AB69">
            <v>3</v>
          </cell>
          <cell r="AC69" t="str">
            <v>鉄筋コンクリート</v>
          </cell>
          <cell r="AD69" t="str">
            <v>たい肥舎鉄筋コンクリート</v>
          </cell>
          <cell r="AE69">
            <v>38</v>
          </cell>
          <cell r="AF69">
            <v>38</v>
          </cell>
          <cell r="AH69">
            <v>66</v>
          </cell>
          <cell r="AI69">
            <v>1.6E-2</v>
          </cell>
        </row>
        <row r="70">
          <cell r="Y70" t="str">
            <v>1404</v>
          </cell>
          <cell r="Z70">
            <v>14</v>
          </cell>
          <cell r="AA70" t="str">
            <v>たい肥舎</v>
          </cell>
          <cell r="AB70">
            <v>4</v>
          </cell>
          <cell r="AC70" t="str">
            <v>コンクリートブロック</v>
          </cell>
          <cell r="AD70" t="str">
            <v>たい肥舎コンクリートブロック</v>
          </cell>
          <cell r="AE70">
            <v>34</v>
          </cell>
          <cell r="AF70">
            <v>34</v>
          </cell>
          <cell r="AH70">
            <v>67</v>
          </cell>
          <cell r="AI70">
            <v>1.4999999999999999E-2</v>
          </cell>
        </row>
        <row r="71">
          <cell r="Y71" t="str">
            <v>1405</v>
          </cell>
          <cell r="Z71">
            <v>14</v>
          </cell>
          <cell r="AA71" t="str">
            <v>たい肥舎</v>
          </cell>
          <cell r="AB71">
            <v>5</v>
          </cell>
          <cell r="AC71" t="str">
            <v>鉄骨組３㎜以下</v>
          </cell>
          <cell r="AD71" t="str">
            <v>たい肥舎鉄骨組３㎜以下</v>
          </cell>
          <cell r="AE71">
            <v>19</v>
          </cell>
          <cell r="AF71">
            <v>19</v>
          </cell>
          <cell r="AH71">
            <v>68</v>
          </cell>
          <cell r="AI71">
            <v>1.4999999999999999E-2</v>
          </cell>
        </row>
        <row r="72">
          <cell r="Y72" t="str">
            <v>1406</v>
          </cell>
          <cell r="Z72">
            <v>14</v>
          </cell>
          <cell r="AA72" t="str">
            <v>たい肥舎</v>
          </cell>
          <cell r="AB72">
            <v>6</v>
          </cell>
          <cell r="AC72" t="str">
            <v>鉄骨組３～４㎜以下</v>
          </cell>
          <cell r="AD72" t="str">
            <v>たい肥舎鉄骨組３～４㎜以下</v>
          </cell>
          <cell r="AE72">
            <v>25</v>
          </cell>
          <cell r="AF72">
            <v>25</v>
          </cell>
          <cell r="AH72">
            <v>69</v>
          </cell>
          <cell r="AI72">
            <v>1.4999999999999999E-2</v>
          </cell>
        </row>
        <row r="73">
          <cell r="Y73" t="str">
            <v>1407</v>
          </cell>
          <cell r="Z73">
            <v>14</v>
          </cell>
          <cell r="AA73" t="str">
            <v>たい肥舎</v>
          </cell>
          <cell r="AB73">
            <v>7</v>
          </cell>
          <cell r="AC73" t="str">
            <v>鉄骨組４㎜以上</v>
          </cell>
          <cell r="AD73" t="str">
            <v>たい肥舎鉄骨組４㎜以上</v>
          </cell>
          <cell r="AE73">
            <v>31</v>
          </cell>
          <cell r="AF73">
            <v>31</v>
          </cell>
          <cell r="AH73">
            <v>70</v>
          </cell>
          <cell r="AI73">
            <v>1.4999999999999999E-2</v>
          </cell>
        </row>
        <row r="74">
          <cell r="Y74" t="str">
            <v>1408</v>
          </cell>
          <cell r="Z74">
            <v>14</v>
          </cell>
          <cell r="AA74" t="str">
            <v>たい肥舎</v>
          </cell>
          <cell r="AB74">
            <v>8</v>
          </cell>
          <cell r="AC74" t="str">
            <v>木造モルタル</v>
          </cell>
          <cell r="AD74" t="str">
            <v>たい肥舎木造モルタル</v>
          </cell>
          <cell r="AE74">
            <v>15</v>
          </cell>
          <cell r="AF74">
            <v>15</v>
          </cell>
          <cell r="AH74">
            <v>71</v>
          </cell>
          <cell r="AI74">
            <v>1.4999999999999999E-2</v>
          </cell>
        </row>
        <row r="75">
          <cell r="Y75" t="str">
            <v>1477</v>
          </cell>
          <cell r="Z75">
            <v>14</v>
          </cell>
          <cell r="AA75" t="str">
            <v>たい肥舎</v>
          </cell>
          <cell r="AB75">
            <v>77</v>
          </cell>
          <cell r="AC75" t="str">
            <v>少額資産</v>
          </cell>
          <cell r="AD75" t="str">
            <v>たい肥舎少額資産</v>
          </cell>
          <cell r="AE75">
            <v>3</v>
          </cell>
          <cell r="AF75">
            <v>3</v>
          </cell>
          <cell r="AH75">
            <v>72</v>
          </cell>
          <cell r="AI75">
            <v>1.4E-2</v>
          </cell>
        </row>
        <row r="76">
          <cell r="Y76" t="str">
            <v>1601</v>
          </cell>
          <cell r="Z76">
            <v>16</v>
          </cell>
          <cell r="AA76" t="str">
            <v>ライスセンター</v>
          </cell>
          <cell r="AB76">
            <v>1</v>
          </cell>
          <cell r="AC76" t="str">
            <v>木造</v>
          </cell>
          <cell r="AD76" t="str">
            <v>ライスセンター木造</v>
          </cell>
          <cell r="AE76">
            <v>15</v>
          </cell>
          <cell r="AF76">
            <v>15</v>
          </cell>
          <cell r="AH76">
            <v>73</v>
          </cell>
          <cell r="AI76">
            <v>1.4E-2</v>
          </cell>
        </row>
        <row r="77">
          <cell r="Y77" t="str">
            <v>1602</v>
          </cell>
          <cell r="Z77">
            <v>16</v>
          </cell>
          <cell r="AA77" t="str">
            <v>ライスセンター</v>
          </cell>
          <cell r="AB77">
            <v>2</v>
          </cell>
          <cell r="AC77" t="str">
            <v>合成樹脂造</v>
          </cell>
          <cell r="AD77" t="str">
            <v>ライスセンター合成樹脂造</v>
          </cell>
          <cell r="AE77">
            <v>15</v>
          </cell>
          <cell r="AF77">
            <v>15</v>
          </cell>
          <cell r="AH77">
            <v>74</v>
          </cell>
          <cell r="AI77">
            <v>1.4E-2</v>
          </cell>
        </row>
        <row r="78">
          <cell r="Y78" t="str">
            <v>1603</v>
          </cell>
          <cell r="Z78">
            <v>16</v>
          </cell>
          <cell r="AA78" t="str">
            <v>ライスセンター</v>
          </cell>
          <cell r="AB78">
            <v>3</v>
          </cell>
          <cell r="AC78" t="str">
            <v>鉄筋コンクリート</v>
          </cell>
          <cell r="AD78" t="str">
            <v>ライスセンター鉄筋コンクリート</v>
          </cell>
          <cell r="AE78">
            <v>38</v>
          </cell>
          <cell r="AF78">
            <v>38</v>
          </cell>
          <cell r="AH78">
            <v>75</v>
          </cell>
          <cell r="AI78">
            <v>1.4E-2</v>
          </cell>
        </row>
        <row r="79">
          <cell r="Y79" t="str">
            <v>1604</v>
          </cell>
          <cell r="Z79">
            <v>16</v>
          </cell>
          <cell r="AA79" t="str">
            <v>ライスセンター</v>
          </cell>
          <cell r="AB79">
            <v>4</v>
          </cell>
          <cell r="AC79" t="str">
            <v>コンクリートブロック</v>
          </cell>
          <cell r="AD79" t="str">
            <v>ライスセンターコンクリートブロック</v>
          </cell>
          <cell r="AE79">
            <v>34</v>
          </cell>
          <cell r="AF79">
            <v>34</v>
          </cell>
          <cell r="AH79">
            <v>76</v>
          </cell>
          <cell r="AI79">
            <v>1.4E-2</v>
          </cell>
        </row>
        <row r="80">
          <cell r="Y80" t="str">
            <v>1605</v>
          </cell>
          <cell r="Z80">
            <v>16</v>
          </cell>
          <cell r="AA80" t="str">
            <v>ライスセンター</v>
          </cell>
          <cell r="AB80">
            <v>5</v>
          </cell>
          <cell r="AC80" t="str">
            <v>鉄骨組３㎜以下</v>
          </cell>
          <cell r="AD80" t="str">
            <v>ライスセンター鉄骨組３㎜以下</v>
          </cell>
          <cell r="AE80">
            <v>17</v>
          </cell>
          <cell r="AF80">
            <v>17</v>
          </cell>
          <cell r="AH80">
            <v>77</v>
          </cell>
          <cell r="AI80">
            <v>1.2999999999999999E-2</v>
          </cell>
        </row>
        <row r="81">
          <cell r="Y81" t="str">
            <v>1606</v>
          </cell>
          <cell r="Z81">
            <v>16</v>
          </cell>
          <cell r="AA81" t="str">
            <v>ライスセンター</v>
          </cell>
          <cell r="AB81">
            <v>6</v>
          </cell>
          <cell r="AC81" t="str">
            <v>鉄骨組３～４㎜以下</v>
          </cell>
          <cell r="AD81" t="str">
            <v>ライスセンター鉄骨組３～４㎜以下</v>
          </cell>
          <cell r="AE81">
            <v>24</v>
          </cell>
          <cell r="AF81">
            <v>24</v>
          </cell>
          <cell r="AH81">
            <v>78</v>
          </cell>
          <cell r="AI81">
            <v>1.2999999999999999E-2</v>
          </cell>
        </row>
        <row r="82">
          <cell r="Y82" t="str">
            <v>1607</v>
          </cell>
          <cell r="Z82">
            <v>16</v>
          </cell>
          <cell r="AA82" t="str">
            <v>ライスセンター</v>
          </cell>
          <cell r="AB82">
            <v>7</v>
          </cell>
          <cell r="AC82" t="str">
            <v>鉄骨組４㎜以上</v>
          </cell>
          <cell r="AD82" t="str">
            <v>ライスセンター鉄骨組４㎜以上</v>
          </cell>
          <cell r="AE82">
            <v>31</v>
          </cell>
          <cell r="AF82">
            <v>31</v>
          </cell>
          <cell r="AH82">
            <v>79</v>
          </cell>
          <cell r="AI82">
            <v>1.2999999999999999E-2</v>
          </cell>
        </row>
        <row r="83">
          <cell r="Y83" t="str">
            <v>1608</v>
          </cell>
          <cell r="Z83">
            <v>16</v>
          </cell>
          <cell r="AA83" t="str">
            <v>ライスセンター</v>
          </cell>
          <cell r="AB83">
            <v>8</v>
          </cell>
          <cell r="AC83" t="str">
            <v>木造モルタル</v>
          </cell>
          <cell r="AD83" t="str">
            <v>ライスセンター木造モルタル</v>
          </cell>
          <cell r="AE83">
            <v>14</v>
          </cell>
          <cell r="AF83">
            <v>14</v>
          </cell>
          <cell r="AH83">
            <v>80</v>
          </cell>
          <cell r="AI83">
            <v>1.2999999999999999E-2</v>
          </cell>
        </row>
        <row r="84">
          <cell r="Y84" t="str">
            <v>1677</v>
          </cell>
          <cell r="Z84">
            <v>16</v>
          </cell>
          <cell r="AA84" t="str">
            <v>ライスセンター</v>
          </cell>
          <cell r="AB84">
            <v>77</v>
          </cell>
          <cell r="AC84" t="str">
            <v>少額資産</v>
          </cell>
          <cell r="AD84" t="str">
            <v>ライスセンター少額資産</v>
          </cell>
          <cell r="AE84">
            <v>3</v>
          </cell>
          <cell r="AF84">
            <v>3</v>
          </cell>
          <cell r="AH84">
            <v>81</v>
          </cell>
          <cell r="AI84">
            <v>1.2999999999999999E-2</v>
          </cell>
        </row>
        <row r="85">
          <cell r="Y85" t="str">
            <v>1701</v>
          </cell>
          <cell r="Z85">
            <v>17</v>
          </cell>
          <cell r="AA85" t="str">
            <v>その他の本建築物</v>
          </cell>
          <cell r="AB85">
            <v>1</v>
          </cell>
          <cell r="AC85" t="str">
            <v>木造</v>
          </cell>
          <cell r="AD85" t="str">
            <v>その他の本建築物木造</v>
          </cell>
          <cell r="AE85">
            <v>15</v>
          </cell>
          <cell r="AF85">
            <v>15</v>
          </cell>
          <cell r="AH85">
            <v>82</v>
          </cell>
          <cell r="AI85">
            <v>1.2999999999999999E-2</v>
          </cell>
        </row>
        <row r="86">
          <cell r="Y86" t="str">
            <v>1702</v>
          </cell>
          <cell r="Z86">
            <v>17</v>
          </cell>
          <cell r="AA86" t="str">
            <v>その他の本建築物</v>
          </cell>
          <cell r="AB86">
            <v>2</v>
          </cell>
          <cell r="AC86" t="str">
            <v>合成樹脂造</v>
          </cell>
          <cell r="AD86" t="str">
            <v>その他の本建築物合成樹脂造</v>
          </cell>
          <cell r="AE86">
            <v>15</v>
          </cell>
          <cell r="AF86">
            <v>15</v>
          </cell>
          <cell r="AH86">
            <v>83</v>
          </cell>
          <cell r="AI86">
            <v>1.2999999999999999E-2</v>
          </cell>
        </row>
        <row r="87">
          <cell r="Y87" t="str">
            <v>1703</v>
          </cell>
          <cell r="Z87">
            <v>17</v>
          </cell>
          <cell r="AA87" t="str">
            <v>その他の本建築物</v>
          </cell>
          <cell r="AB87">
            <v>3</v>
          </cell>
          <cell r="AC87" t="str">
            <v>鉄筋コンクリート</v>
          </cell>
          <cell r="AD87" t="str">
            <v>その他の本建築物鉄筋コンクリート</v>
          </cell>
          <cell r="AE87">
            <v>38</v>
          </cell>
          <cell r="AF87">
            <v>38</v>
          </cell>
          <cell r="AH87">
            <v>84</v>
          </cell>
          <cell r="AI87">
            <v>1.2E-2</v>
          </cell>
        </row>
        <row r="88">
          <cell r="Y88" t="str">
            <v>1704</v>
          </cell>
          <cell r="Z88">
            <v>17</v>
          </cell>
          <cell r="AA88" t="str">
            <v>その他の本建築物</v>
          </cell>
          <cell r="AB88">
            <v>4</v>
          </cell>
          <cell r="AC88" t="str">
            <v>コンクリートブロック</v>
          </cell>
          <cell r="AD88" t="str">
            <v>その他の本建築物コンクリートブロック</v>
          </cell>
          <cell r="AE88">
            <v>34</v>
          </cell>
          <cell r="AF88">
            <v>34</v>
          </cell>
          <cell r="AH88">
            <v>85</v>
          </cell>
          <cell r="AI88">
            <v>1.2E-2</v>
          </cell>
        </row>
        <row r="89">
          <cell r="Y89" t="str">
            <v>1705</v>
          </cell>
          <cell r="Z89">
            <v>17</v>
          </cell>
          <cell r="AA89" t="str">
            <v>その他の本建築物</v>
          </cell>
          <cell r="AB89">
            <v>5</v>
          </cell>
          <cell r="AC89" t="str">
            <v>鉄骨組３㎜以下</v>
          </cell>
          <cell r="AD89" t="str">
            <v>その他の本建築物鉄骨組３㎜以下</v>
          </cell>
          <cell r="AE89">
            <v>17</v>
          </cell>
          <cell r="AF89">
            <v>17</v>
          </cell>
          <cell r="AH89">
            <v>86</v>
          </cell>
          <cell r="AI89">
            <v>1.2E-2</v>
          </cell>
        </row>
        <row r="90">
          <cell r="Y90" t="str">
            <v>1706</v>
          </cell>
          <cell r="Z90">
            <v>17</v>
          </cell>
          <cell r="AA90" t="str">
            <v>その他の本建築物</v>
          </cell>
          <cell r="AB90">
            <v>6</v>
          </cell>
          <cell r="AC90" t="str">
            <v>鉄骨組３～４㎜以下</v>
          </cell>
          <cell r="AD90" t="str">
            <v>その他の本建築物鉄骨組３～４㎜以下</v>
          </cell>
          <cell r="AE90">
            <v>24</v>
          </cell>
          <cell r="AF90">
            <v>24</v>
          </cell>
          <cell r="AH90">
            <v>87</v>
          </cell>
          <cell r="AI90">
            <v>1.2E-2</v>
          </cell>
        </row>
        <row r="91">
          <cell r="Y91" t="str">
            <v>1707</v>
          </cell>
          <cell r="Z91">
            <v>17</v>
          </cell>
          <cell r="AA91" t="str">
            <v>その他の本建築物</v>
          </cell>
          <cell r="AB91">
            <v>7</v>
          </cell>
          <cell r="AC91" t="str">
            <v>鉄骨組４㎜以上</v>
          </cell>
          <cell r="AD91" t="str">
            <v>その他の本建築物鉄骨組４㎜以上</v>
          </cell>
          <cell r="AE91">
            <v>31</v>
          </cell>
          <cell r="AF91">
            <v>31</v>
          </cell>
          <cell r="AH91">
            <v>88</v>
          </cell>
          <cell r="AI91">
            <v>1.2E-2</v>
          </cell>
        </row>
        <row r="92">
          <cell r="Y92" t="str">
            <v>1708</v>
          </cell>
          <cell r="Z92">
            <v>17</v>
          </cell>
          <cell r="AA92" t="str">
            <v>その他の本建築物</v>
          </cell>
          <cell r="AB92">
            <v>8</v>
          </cell>
          <cell r="AC92" t="str">
            <v>木造モルタル</v>
          </cell>
          <cell r="AD92" t="str">
            <v>その他の本建築物木造モルタル</v>
          </cell>
          <cell r="AE92">
            <v>14</v>
          </cell>
          <cell r="AF92">
            <v>14</v>
          </cell>
          <cell r="AH92">
            <v>89</v>
          </cell>
          <cell r="AI92">
            <v>1.2E-2</v>
          </cell>
        </row>
        <row r="93">
          <cell r="Y93" t="str">
            <v>1777</v>
          </cell>
          <cell r="Z93">
            <v>17</v>
          </cell>
          <cell r="AA93" t="str">
            <v>その他の本建築物</v>
          </cell>
          <cell r="AB93">
            <v>77</v>
          </cell>
          <cell r="AC93" t="str">
            <v>少額資産</v>
          </cell>
          <cell r="AD93" t="str">
            <v>その他の本建築物少額資産</v>
          </cell>
          <cell r="AE93">
            <v>3</v>
          </cell>
          <cell r="AF93">
            <v>3</v>
          </cell>
          <cell r="AH93">
            <v>90</v>
          </cell>
          <cell r="AI93">
            <v>1.2E-2</v>
          </cell>
        </row>
        <row r="94">
          <cell r="Y94" t="str">
            <v>2101</v>
          </cell>
          <cell r="Z94">
            <v>21</v>
          </cell>
          <cell r="AA94" t="str">
            <v>簡易建物</v>
          </cell>
          <cell r="AB94">
            <v>1</v>
          </cell>
          <cell r="AC94" t="str">
            <v>木造</v>
          </cell>
          <cell r="AD94" t="str">
            <v>簡易建物木造</v>
          </cell>
          <cell r="AE94">
            <v>10</v>
          </cell>
          <cell r="AF94">
            <v>10</v>
          </cell>
          <cell r="AH94">
            <v>91</v>
          </cell>
          <cell r="AI94">
            <v>1.0999999999999999E-2</v>
          </cell>
        </row>
        <row r="95">
          <cell r="Y95" t="str">
            <v>2102</v>
          </cell>
          <cell r="Z95">
            <v>21</v>
          </cell>
          <cell r="AA95" t="str">
            <v>簡易建物</v>
          </cell>
          <cell r="AB95">
            <v>2</v>
          </cell>
          <cell r="AC95" t="str">
            <v>合成樹脂造</v>
          </cell>
          <cell r="AD95" t="str">
            <v>簡易建物合成樹脂造</v>
          </cell>
          <cell r="AE95">
            <v>10</v>
          </cell>
          <cell r="AF95">
            <v>10</v>
          </cell>
          <cell r="AH95">
            <v>92</v>
          </cell>
          <cell r="AI95">
            <v>1.0999999999999999E-2</v>
          </cell>
        </row>
        <row r="96">
          <cell r="Y96" t="str">
            <v>2177</v>
          </cell>
          <cell r="Z96">
            <v>21</v>
          </cell>
          <cell r="AA96" t="str">
            <v>簡易建物</v>
          </cell>
          <cell r="AB96">
            <v>77</v>
          </cell>
          <cell r="AC96" t="str">
            <v>少額資産</v>
          </cell>
          <cell r="AD96" t="str">
            <v>簡易建物少額資産</v>
          </cell>
          <cell r="AE96">
            <v>3</v>
          </cell>
          <cell r="AF96">
            <v>3</v>
          </cell>
          <cell r="AH96">
            <v>93</v>
          </cell>
          <cell r="AI96">
            <v>1.0999999999999999E-2</v>
          </cell>
        </row>
        <row r="97">
          <cell r="Y97" t="str">
            <v>2201</v>
          </cell>
          <cell r="Z97">
            <v>22</v>
          </cell>
          <cell r="AA97" t="str">
            <v>温室(ｶﾞﾗｽ室)・育苗施設</v>
          </cell>
          <cell r="AB97">
            <v>1</v>
          </cell>
          <cell r="AC97" t="str">
            <v>木造</v>
          </cell>
          <cell r="AD97" t="str">
            <v>温室(ｶﾞﾗｽ室)・育苗施設木造</v>
          </cell>
          <cell r="AE97">
            <v>5</v>
          </cell>
          <cell r="AF97">
            <v>5</v>
          </cell>
          <cell r="AH97">
            <v>94</v>
          </cell>
          <cell r="AI97">
            <v>1.0999999999999999E-2</v>
          </cell>
        </row>
        <row r="98">
          <cell r="Y98" t="str">
            <v>2202</v>
          </cell>
          <cell r="Z98">
            <v>22</v>
          </cell>
          <cell r="AA98" t="str">
            <v>温室(ｶﾞﾗｽ室)・育苗施設</v>
          </cell>
          <cell r="AB98">
            <v>2</v>
          </cell>
          <cell r="AC98" t="str">
            <v>合成樹脂造</v>
          </cell>
          <cell r="AD98" t="str">
            <v>温室(ｶﾞﾗｽ室)・育苗施設合成樹脂造</v>
          </cell>
          <cell r="AE98">
            <v>8</v>
          </cell>
          <cell r="AF98">
            <v>8</v>
          </cell>
          <cell r="AH98">
            <v>95</v>
          </cell>
          <cell r="AI98">
            <v>1.0999999999999999E-2</v>
          </cell>
        </row>
        <row r="99">
          <cell r="Y99" t="str">
            <v>2209</v>
          </cell>
          <cell r="Z99">
            <v>22</v>
          </cell>
          <cell r="AA99" t="str">
            <v>温室(ｶﾞﾗｽ室)・育苗施設</v>
          </cell>
          <cell r="AB99">
            <v>9</v>
          </cell>
          <cell r="AC99" t="str">
            <v>金属</v>
          </cell>
          <cell r="AD99" t="str">
            <v>温室(ｶﾞﾗｽ室)・育苗施設金属</v>
          </cell>
          <cell r="AE99">
            <v>15</v>
          </cell>
          <cell r="AF99">
            <v>14</v>
          </cell>
          <cell r="AH99">
            <v>96</v>
          </cell>
          <cell r="AI99">
            <v>1.0999999999999999E-2</v>
          </cell>
        </row>
        <row r="100">
          <cell r="Y100" t="str">
            <v>2277</v>
          </cell>
          <cell r="Z100">
            <v>22</v>
          </cell>
          <cell r="AA100" t="str">
            <v>温室(ｶﾞﾗｽ室)・育苗施設</v>
          </cell>
          <cell r="AB100">
            <v>77</v>
          </cell>
          <cell r="AC100" t="str">
            <v>少額資産</v>
          </cell>
          <cell r="AD100" t="str">
            <v>温室(ｶﾞﾗｽ室)・育苗施設少額資産</v>
          </cell>
          <cell r="AE100">
            <v>3</v>
          </cell>
          <cell r="AF100">
            <v>3</v>
          </cell>
          <cell r="AH100">
            <v>97</v>
          </cell>
          <cell r="AI100">
            <v>1.0999999999999999E-2</v>
          </cell>
        </row>
        <row r="101">
          <cell r="Y101" t="str">
            <v>2401</v>
          </cell>
          <cell r="Z101">
            <v>24</v>
          </cell>
          <cell r="AA101" t="str">
            <v>ﾌﾟﾗｽﾁｯｸﾊｳｽ・育苗施設</v>
          </cell>
          <cell r="AB101">
            <v>1</v>
          </cell>
          <cell r="AC101" t="str">
            <v>木造</v>
          </cell>
          <cell r="AD101" t="str">
            <v>ﾌﾟﾗｽﾁｯｸﾊｳｽ・育苗施設木造</v>
          </cell>
          <cell r="AE101">
            <v>5</v>
          </cell>
          <cell r="AF101">
            <v>5</v>
          </cell>
          <cell r="AH101">
            <v>98</v>
          </cell>
          <cell r="AI101">
            <v>1.0999999999999999E-2</v>
          </cell>
        </row>
        <row r="102">
          <cell r="Y102" t="str">
            <v>2402</v>
          </cell>
          <cell r="Z102">
            <v>24</v>
          </cell>
          <cell r="AA102" t="str">
            <v>ﾌﾟﾗｽﾁｯｸﾊｳｽ・育苗施設</v>
          </cell>
          <cell r="AB102">
            <v>2</v>
          </cell>
          <cell r="AC102" t="str">
            <v>合成樹脂造</v>
          </cell>
          <cell r="AD102" t="str">
            <v>ﾌﾟﾗｽﾁｯｸﾊｳｽ・育苗施設合成樹脂造</v>
          </cell>
          <cell r="AE102">
            <v>8</v>
          </cell>
          <cell r="AF102">
            <v>8</v>
          </cell>
          <cell r="AH102">
            <v>99</v>
          </cell>
          <cell r="AI102">
            <v>1.0999999999999999E-2</v>
          </cell>
        </row>
        <row r="103">
          <cell r="Y103" t="str">
            <v>2409</v>
          </cell>
          <cell r="Z103">
            <v>24</v>
          </cell>
          <cell r="AA103" t="str">
            <v>ﾌﾟﾗｽﾁｯｸﾊｳｽ・育苗施設</v>
          </cell>
          <cell r="AB103">
            <v>9</v>
          </cell>
          <cell r="AC103" t="str">
            <v>金属</v>
          </cell>
          <cell r="AD103" t="str">
            <v>ﾌﾟﾗｽﾁｯｸﾊｳｽ・育苗施設金属</v>
          </cell>
          <cell r="AE103">
            <v>15</v>
          </cell>
          <cell r="AF103">
            <v>14</v>
          </cell>
          <cell r="AH103">
            <v>100</v>
          </cell>
          <cell r="AI103">
            <v>0.01</v>
          </cell>
        </row>
        <row r="104">
          <cell r="Y104" t="str">
            <v>2477</v>
          </cell>
          <cell r="Z104">
            <v>24</v>
          </cell>
          <cell r="AA104" t="str">
            <v>ﾌﾟﾗｽﾁｯｸﾊｳｽ・育苗施設</v>
          </cell>
          <cell r="AB104">
            <v>77</v>
          </cell>
          <cell r="AC104" t="str">
            <v>少額資産</v>
          </cell>
          <cell r="AD104" t="str">
            <v>ﾌﾟﾗｽﾁｯｸﾊｳｽ・育苗施設少額資産</v>
          </cell>
          <cell r="AE104">
            <v>3</v>
          </cell>
          <cell r="AF104">
            <v>3</v>
          </cell>
        </row>
        <row r="105">
          <cell r="Y105" t="str">
            <v>2601</v>
          </cell>
          <cell r="Z105">
            <v>26</v>
          </cell>
          <cell r="AA105" t="str">
            <v>その他の建築物</v>
          </cell>
          <cell r="AB105">
            <v>1</v>
          </cell>
          <cell r="AC105" t="str">
            <v>木造</v>
          </cell>
          <cell r="AD105" t="str">
            <v>その他の建築物木造</v>
          </cell>
          <cell r="AE105">
            <v>24</v>
          </cell>
          <cell r="AF105">
            <v>24</v>
          </cell>
        </row>
        <row r="106">
          <cell r="Y106" t="str">
            <v>2602</v>
          </cell>
          <cell r="Z106">
            <v>26</v>
          </cell>
          <cell r="AA106" t="str">
            <v>その他の建築物</v>
          </cell>
          <cell r="AB106">
            <v>2</v>
          </cell>
          <cell r="AC106" t="str">
            <v>合成樹脂造</v>
          </cell>
          <cell r="AD106" t="str">
            <v>その他の建築物合成樹脂造</v>
          </cell>
          <cell r="AE106">
            <v>24</v>
          </cell>
          <cell r="AF106">
            <v>24</v>
          </cell>
        </row>
        <row r="107">
          <cell r="Y107" t="str">
            <v>2603</v>
          </cell>
          <cell r="Z107">
            <v>26</v>
          </cell>
          <cell r="AA107" t="str">
            <v>その他の建築物</v>
          </cell>
          <cell r="AB107">
            <v>3</v>
          </cell>
          <cell r="AC107" t="str">
            <v>鉄筋コンクリート</v>
          </cell>
          <cell r="AD107" t="str">
            <v>その他の建築物鉄筋コンクリート</v>
          </cell>
          <cell r="AE107">
            <v>50</v>
          </cell>
          <cell r="AF107">
            <v>50</v>
          </cell>
        </row>
        <row r="108">
          <cell r="Y108" t="str">
            <v>2604</v>
          </cell>
          <cell r="Z108">
            <v>26</v>
          </cell>
          <cell r="AA108" t="str">
            <v>その他の建築物</v>
          </cell>
          <cell r="AB108">
            <v>4</v>
          </cell>
          <cell r="AC108" t="str">
            <v>コンクリートブロック</v>
          </cell>
          <cell r="AD108" t="str">
            <v>その他の建築物コンクリートブロック</v>
          </cell>
          <cell r="AE108">
            <v>41</v>
          </cell>
          <cell r="AF108">
            <v>41</v>
          </cell>
        </row>
        <row r="109">
          <cell r="Y109" t="str">
            <v>2605</v>
          </cell>
          <cell r="Z109">
            <v>26</v>
          </cell>
          <cell r="AA109" t="str">
            <v>その他の建築物</v>
          </cell>
          <cell r="AB109">
            <v>5</v>
          </cell>
          <cell r="AC109" t="str">
            <v>鉄骨組３㎜以下</v>
          </cell>
          <cell r="AD109" t="str">
            <v>その他の建築物鉄骨組３㎜以下</v>
          </cell>
          <cell r="AE109">
            <v>22</v>
          </cell>
          <cell r="AF109">
            <v>22</v>
          </cell>
        </row>
        <row r="110">
          <cell r="Y110" t="str">
            <v>2606</v>
          </cell>
          <cell r="Z110">
            <v>26</v>
          </cell>
          <cell r="AA110" t="str">
            <v>その他の建築物</v>
          </cell>
          <cell r="AB110">
            <v>6</v>
          </cell>
          <cell r="AC110" t="str">
            <v>鉄骨組３～４㎜以下</v>
          </cell>
          <cell r="AD110" t="str">
            <v>その他の建築物鉄骨組３～４㎜以下</v>
          </cell>
          <cell r="AE110">
            <v>30</v>
          </cell>
          <cell r="AF110">
            <v>30</v>
          </cell>
        </row>
        <row r="111">
          <cell r="Y111" t="str">
            <v>2607</v>
          </cell>
          <cell r="Z111">
            <v>26</v>
          </cell>
          <cell r="AA111" t="str">
            <v>その他の建築物</v>
          </cell>
          <cell r="AB111">
            <v>7</v>
          </cell>
          <cell r="AC111" t="str">
            <v>鉄骨組４㎜以上</v>
          </cell>
          <cell r="AD111" t="str">
            <v>その他の建築物鉄骨組４㎜以上</v>
          </cell>
          <cell r="AE111">
            <v>38</v>
          </cell>
          <cell r="AF111">
            <v>38</v>
          </cell>
        </row>
        <row r="112">
          <cell r="Y112" t="str">
            <v>2608</v>
          </cell>
          <cell r="Z112">
            <v>26</v>
          </cell>
          <cell r="AA112" t="str">
            <v>その他の建築物</v>
          </cell>
          <cell r="AB112">
            <v>8</v>
          </cell>
          <cell r="AC112" t="str">
            <v>木造モルタル</v>
          </cell>
          <cell r="AD112" t="str">
            <v>その他の建築物木造モルタル</v>
          </cell>
          <cell r="AE112">
            <v>22</v>
          </cell>
          <cell r="AF112">
            <v>22</v>
          </cell>
        </row>
        <row r="113">
          <cell r="Y113" t="str">
            <v>2677</v>
          </cell>
          <cell r="Z113">
            <v>26</v>
          </cell>
          <cell r="AA113" t="str">
            <v>その他の建築物</v>
          </cell>
          <cell r="AB113">
            <v>77</v>
          </cell>
          <cell r="AC113" t="str">
            <v>少額資産</v>
          </cell>
          <cell r="AD113" t="str">
            <v>その他の建築物少額資産</v>
          </cell>
          <cell r="AE113">
            <v>3</v>
          </cell>
          <cell r="AF113">
            <v>3</v>
          </cell>
        </row>
        <row r="114">
          <cell r="Y114" t="str">
            <v>2901</v>
          </cell>
          <cell r="Z114">
            <v>29</v>
          </cell>
          <cell r="AA114" t="str">
            <v>農外専用住宅</v>
          </cell>
          <cell r="AB114">
            <v>1</v>
          </cell>
          <cell r="AC114" t="str">
            <v>木造</v>
          </cell>
          <cell r="AD114" t="str">
            <v>農外専用住宅木造</v>
          </cell>
          <cell r="AE114">
            <v>22</v>
          </cell>
          <cell r="AF114">
            <v>22</v>
          </cell>
        </row>
        <row r="115">
          <cell r="Y115" t="str">
            <v>2902</v>
          </cell>
          <cell r="Z115">
            <v>29</v>
          </cell>
          <cell r="AA115" t="str">
            <v>農外専用住宅</v>
          </cell>
          <cell r="AB115">
            <v>2</v>
          </cell>
          <cell r="AC115" t="str">
            <v>合成樹脂造</v>
          </cell>
          <cell r="AD115" t="str">
            <v>農外専用住宅合成樹脂造</v>
          </cell>
          <cell r="AE115">
            <v>22</v>
          </cell>
          <cell r="AF115">
            <v>22</v>
          </cell>
        </row>
        <row r="116">
          <cell r="Y116" t="str">
            <v>2903</v>
          </cell>
          <cell r="Z116">
            <v>29</v>
          </cell>
          <cell r="AA116" t="str">
            <v>農外専用住宅</v>
          </cell>
          <cell r="AB116">
            <v>3</v>
          </cell>
          <cell r="AC116" t="str">
            <v>鉄筋コンクリート</v>
          </cell>
          <cell r="AD116" t="str">
            <v>農外専用住宅鉄筋コンクリート</v>
          </cell>
          <cell r="AE116">
            <v>47</v>
          </cell>
          <cell r="AF116">
            <v>47</v>
          </cell>
        </row>
        <row r="117">
          <cell r="Y117" t="str">
            <v>2904</v>
          </cell>
          <cell r="Z117">
            <v>29</v>
          </cell>
          <cell r="AA117" t="str">
            <v>農外専用住宅</v>
          </cell>
          <cell r="AB117">
            <v>4</v>
          </cell>
          <cell r="AC117" t="str">
            <v>コンクリートブロック</v>
          </cell>
          <cell r="AD117" t="str">
            <v>農外専用住宅コンクリートブロック</v>
          </cell>
          <cell r="AE117">
            <v>38</v>
          </cell>
          <cell r="AF117">
            <v>38</v>
          </cell>
        </row>
        <row r="118">
          <cell r="Y118" t="str">
            <v>2905</v>
          </cell>
          <cell r="Z118">
            <v>29</v>
          </cell>
          <cell r="AA118" t="str">
            <v>農外専用住宅</v>
          </cell>
          <cell r="AB118">
            <v>5</v>
          </cell>
          <cell r="AC118" t="str">
            <v>鉄骨組３㎜以下</v>
          </cell>
          <cell r="AD118" t="str">
            <v>農外専用住宅鉄骨組３㎜以下</v>
          </cell>
          <cell r="AE118">
            <v>19</v>
          </cell>
          <cell r="AF118">
            <v>19</v>
          </cell>
        </row>
        <row r="119">
          <cell r="Y119" t="str">
            <v>2906</v>
          </cell>
          <cell r="Z119">
            <v>29</v>
          </cell>
          <cell r="AA119" t="str">
            <v>農外専用住宅</v>
          </cell>
          <cell r="AB119">
            <v>6</v>
          </cell>
          <cell r="AC119" t="str">
            <v>鉄骨組３～４㎜以下</v>
          </cell>
          <cell r="AD119" t="str">
            <v>農外専用住宅鉄骨組３～４㎜以下</v>
          </cell>
          <cell r="AE119">
            <v>27</v>
          </cell>
          <cell r="AF119">
            <v>27</v>
          </cell>
        </row>
        <row r="120">
          <cell r="Y120" t="str">
            <v>2907</v>
          </cell>
          <cell r="Z120">
            <v>29</v>
          </cell>
          <cell r="AA120" t="str">
            <v>農外専用住宅</v>
          </cell>
          <cell r="AB120">
            <v>7</v>
          </cell>
          <cell r="AC120" t="str">
            <v>鉄骨組４㎜以上</v>
          </cell>
          <cell r="AD120" t="str">
            <v>農外専用住宅鉄骨組４㎜以上</v>
          </cell>
          <cell r="AE120">
            <v>34</v>
          </cell>
          <cell r="AF120">
            <v>34</v>
          </cell>
        </row>
        <row r="121">
          <cell r="Y121" t="str">
            <v>2908</v>
          </cell>
          <cell r="Z121">
            <v>29</v>
          </cell>
          <cell r="AA121" t="str">
            <v>農外専用住宅</v>
          </cell>
          <cell r="AB121">
            <v>8</v>
          </cell>
          <cell r="AC121" t="str">
            <v>木造モルタル</v>
          </cell>
          <cell r="AD121" t="str">
            <v>農外専用住宅木造モルタル</v>
          </cell>
          <cell r="AE121">
            <v>20</v>
          </cell>
          <cell r="AF121">
            <v>20</v>
          </cell>
        </row>
        <row r="122">
          <cell r="Y122" t="str">
            <v>2977</v>
          </cell>
          <cell r="Z122">
            <v>29</v>
          </cell>
          <cell r="AA122" t="str">
            <v>農外専用住宅</v>
          </cell>
          <cell r="AB122">
            <v>77</v>
          </cell>
          <cell r="AC122" t="str">
            <v>少額資産</v>
          </cell>
          <cell r="AD122" t="str">
            <v>農外専用住宅少額資産</v>
          </cell>
          <cell r="AE122">
            <v>3</v>
          </cell>
          <cell r="AF122">
            <v>3</v>
          </cell>
        </row>
        <row r="124">
          <cell r="AA124" t="str">
            <v>構築物</v>
          </cell>
          <cell r="AC124" t="str">
            <v>構造</v>
          </cell>
          <cell r="AE124" t="str">
            <v>税制改正前</v>
          </cell>
          <cell r="AF124" t="str">
            <v>税制改正後</v>
          </cell>
        </row>
        <row r="125">
          <cell r="Y125" t="str">
            <v>4105</v>
          </cell>
          <cell r="Z125">
            <v>41</v>
          </cell>
          <cell r="AA125" t="str">
            <v>稲架</v>
          </cell>
          <cell r="AB125">
            <v>5</v>
          </cell>
          <cell r="AC125" t="str">
            <v>金属</v>
          </cell>
          <cell r="AD125" t="str">
            <v>稲架金属</v>
          </cell>
          <cell r="AE125">
            <v>15</v>
          </cell>
          <cell r="AF125">
            <v>14</v>
          </cell>
        </row>
        <row r="126">
          <cell r="Y126" t="str">
            <v>4106</v>
          </cell>
          <cell r="Z126">
            <v>41</v>
          </cell>
          <cell r="AA126" t="str">
            <v>稲架</v>
          </cell>
          <cell r="AB126">
            <v>6</v>
          </cell>
          <cell r="AC126" t="str">
            <v>木造</v>
          </cell>
          <cell r="AD126" t="str">
            <v>稲架木造</v>
          </cell>
          <cell r="AE126">
            <v>5</v>
          </cell>
          <cell r="AF126">
            <v>5</v>
          </cell>
        </row>
        <row r="127">
          <cell r="Y127" t="str">
            <v>4177</v>
          </cell>
          <cell r="Z127">
            <v>41</v>
          </cell>
          <cell r="AA127" t="str">
            <v>稲架</v>
          </cell>
          <cell r="AB127">
            <v>77</v>
          </cell>
          <cell r="AC127" t="str">
            <v>少額資産</v>
          </cell>
          <cell r="AD127" t="str">
            <v>稲架少額資産</v>
          </cell>
          <cell r="AE127">
            <v>3</v>
          </cell>
          <cell r="AF127">
            <v>3</v>
          </cell>
        </row>
        <row r="128">
          <cell r="Y128" t="str">
            <v>4199</v>
          </cell>
          <cell r="Z128">
            <v>41</v>
          </cell>
          <cell r="AA128" t="str">
            <v>稲架</v>
          </cell>
          <cell r="AB128">
            <v>99</v>
          </cell>
          <cell r="AC128" t="str">
            <v>その他</v>
          </cell>
          <cell r="AD128" t="str">
            <v>稲架その他</v>
          </cell>
          <cell r="AE128">
            <v>30</v>
          </cell>
          <cell r="AF128">
            <v>30</v>
          </cell>
        </row>
        <row r="129">
          <cell r="Y129" t="str">
            <v>4201</v>
          </cell>
          <cell r="Z129">
            <v>42</v>
          </cell>
          <cell r="AA129" t="str">
            <v>けい畔</v>
          </cell>
          <cell r="AB129">
            <v>1</v>
          </cell>
          <cell r="AC129" t="str">
            <v>コンクリート</v>
          </cell>
          <cell r="AD129" t="str">
            <v>けい畔コンクリート</v>
          </cell>
          <cell r="AE129">
            <v>20</v>
          </cell>
          <cell r="AF129">
            <v>17</v>
          </cell>
        </row>
        <row r="130">
          <cell r="Y130" t="str">
            <v>4202</v>
          </cell>
          <cell r="Z130">
            <v>42</v>
          </cell>
          <cell r="AA130" t="str">
            <v>けい畔</v>
          </cell>
          <cell r="AB130">
            <v>2</v>
          </cell>
          <cell r="AC130" t="str">
            <v>れんが</v>
          </cell>
          <cell r="AD130" t="str">
            <v>けい畔れんが</v>
          </cell>
          <cell r="AE130">
            <v>20</v>
          </cell>
          <cell r="AF130">
            <v>17</v>
          </cell>
        </row>
        <row r="131">
          <cell r="Y131" t="str">
            <v>4203</v>
          </cell>
          <cell r="Z131">
            <v>42</v>
          </cell>
          <cell r="AA131" t="str">
            <v>けい畔</v>
          </cell>
          <cell r="AB131">
            <v>3</v>
          </cell>
          <cell r="AC131" t="str">
            <v>石</v>
          </cell>
          <cell r="AD131" t="str">
            <v>けい畔石</v>
          </cell>
          <cell r="AE131">
            <v>20</v>
          </cell>
          <cell r="AF131">
            <v>17</v>
          </cell>
        </row>
        <row r="132">
          <cell r="Y132" t="str">
            <v>4204</v>
          </cell>
          <cell r="Z132">
            <v>42</v>
          </cell>
          <cell r="AA132" t="str">
            <v>けい畔</v>
          </cell>
          <cell r="AB132">
            <v>4</v>
          </cell>
          <cell r="AC132" t="str">
            <v>ブロック</v>
          </cell>
          <cell r="AD132" t="str">
            <v>けい畔ブロック</v>
          </cell>
          <cell r="AE132">
            <v>20</v>
          </cell>
          <cell r="AF132">
            <v>17</v>
          </cell>
        </row>
        <row r="133">
          <cell r="Y133" t="str">
            <v>4277</v>
          </cell>
          <cell r="Z133">
            <v>42</v>
          </cell>
          <cell r="AA133" t="str">
            <v>けい畔</v>
          </cell>
          <cell r="AB133">
            <v>77</v>
          </cell>
          <cell r="AC133" t="str">
            <v>少額資産</v>
          </cell>
          <cell r="AD133" t="str">
            <v>けい畔少額資産</v>
          </cell>
          <cell r="AE133">
            <v>3</v>
          </cell>
          <cell r="AF133">
            <v>3</v>
          </cell>
        </row>
        <row r="134">
          <cell r="Y134" t="str">
            <v>4299</v>
          </cell>
          <cell r="Z134">
            <v>42</v>
          </cell>
          <cell r="AA134" t="str">
            <v>けい畔</v>
          </cell>
          <cell r="AB134">
            <v>99</v>
          </cell>
          <cell r="AC134" t="str">
            <v>その他</v>
          </cell>
          <cell r="AD134" t="str">
            <v>けい畔その他</v>
          </cell>
          <cell r="AE134">
            <v>30</v>
          </cell>
          <cell r="AF134">
            <v>30</v>
          </cell>
        </row>
        <row r="135">
          <cell r="Y135" t="str">
            <v>4307</v>
          </cell>
          <cell r="Z135">
            <v>43</v>
          </cell>
          <cell r="AA135" t="str">
            <v>暗きょ</v>
          </cell>
          <cell r="AB135">
            <v>7</v>
          </cell>
          <cell r="AC135" t="str">
            <v>土管</v>
          </cell>
          <cell r="AD135" t="str">
            <v>暗きょ土管</v>
          </cell>
          <cell r="AE135">
            <v>10</v>
          </cell>
          <cell r="AF135">
            <v>10</v>
          </cell>
        </row>
        <row r="136">
          <cell r="Y136" t="str">
            <v>4309</v>
          </cell>
          <cell r="Z136">
            <v>43</v>
          </cell>
          <cell r="AA136" t="str">
            <v>暗きょ</v>
          </cell>
          <cell r="AB136">
            <v>9</v>
          </cell>
          <cell r="AC136" t="str">
            <v>塩化ビニール</v>
          </cell>
          <cell r="AD136" t="str">
            <v>暗きょ塩化ビニール</v>
          </cell>
          <cell r="AE136">
            <v>8</v>
          </cell>
          <cell r="AF136">
            <v>8</v>
          </cell>
        </row>
        <row r="137">
          <cell r="Y137" t="str">
            <v>4377</v>
          </cell>
          <cell r="Z137">
            <v>43</v>
          </cell>
          <cell r="AA137" t="str">
            <v>暗きょ</v>
          </cell>
          <cell r="AB137">
            <v>77</v>
          </cell>
          <cell r="AC137" t="str">
            <v>少額資産</v>
          </cell>
          <cell r="AD137" t="str">
            <v>暗きょ少額資産</v>
          </cell>
          <cell r="AE137">
            <v>3</v>
          </cell>
          <cell r="AF137">
            <v>3</v>
          </cell>
        </row>
        <row r="138">
          <cell r="Y138" t="str">
            <v>4399</v>
          </cell>
          <cell r="Z138">
            <v>43</v>
          </cell>
          <cell r="AA138" t="str">
            <v>暗きょ</v>
          </cell>
          <cell r="AB138">
            <v>99</v>
          </cell>
          <cell r="AC138" t="str">
            <v>その他</v>
          </cell>
          <cell r="AD138" t="str">
            <v>暗きょその他</v>
          </cell>
          <cell r="AE138">
            <v>30</v>
          </cell>
          <cell r="AF138">
            <v>30</v>
          </cell>
        </row>
        <row r="139">
          <cell r="Y139" t="str">
            <v>4477</v>
          </cell>
          <cell r="Z139">
            <v>44</v>
          </cell>
          <cell r="AA139" t="str">
            <v>客土</v>
          </cell>
          <cell r="AB139">
            <v>77</v>
          </cell>
          <cell r="AC139" t="str">
            <v>少額資産</v>
          </cell>
          <cell r="AD139" t="str">
            <v>客土少額資産</v>
          </cell>
          <cell r="AE139">
            <v>3</v>
          </cell>
          <cell r="AF139">
            <v>3</v>
          </cell>
        </row>
        <row r="140">
          <cell r="Y140" t="str">
            <v>4488</v>
          </cell>
          <cell r="Z140">
            <v>44</v>
          </cell>
          <cell r="AA140" t="str">
            <v>客土</v>
          </cell>
          <cell r="AB140">
            <v>88</v>
          </cell>
          <cell r="AC140" t="str">
            <v>10万円未満</v>
          </cell>
          <cell r="AD140" t="str">
            <v>客土10万円未満</v>
          </cell>
          <cell r="AE140">
            <v>1</v>
          </cell>
          <cell r="AF140">
            <v>1</v>
          </cell>
        </row>
        <row r="141">
          <cell r="Y141" t="str">
            <v>4499</v>
          </cell>
          <cell r="Z141">
            <v>44</v>
          </cell>
          <cell r="AA141" t="str">
            <v>客土</v>
          </cell>
          <cell r="AB141">
            <v>99</v>
          </cell>
          <cell r="AC141" t="str">
            <v>その他</v>
          </cell>
          <cell r="AD141" t="str">
            <v>客土その他</v>
          </cell>
          <cell r="AE141">
            <v>8</v>
          </cell>
          <cell r="AF141">
            <v>8</v>
          </cell>
        </row>
        <row r="142">
          <cell r="Y142" t="str">
            <v>4577</v>
          </cell>
          <cell r="Z142">
            <v>45</v>
          </cell>
          <cell r="AA142" t="str">
            <v>作業道</v>
          </cell>
          <cell r="AB142">
            <v>77</v>
          </cell>
          <cell r="AC142" t="str">
            <v>少額資産</v>
          </cell>
          <cell r="AD142" t="str">
            <v>作業道少額資産</v>
          </cell>
          <cell r="AE142">
            <v>3</v>
          </cell>
          <cell r="AF142">
            <v>3</v>
          </cell>
        </row>
        <row r="143">
          <cell r="Y143" t="str">
            <v>4599</v>
          </cell>
          <cell r="Z143">
            <v>45</v>
          </cell>
          <cell r="AA143" t="str">
            <v>作業道</v>
          </cell>
          <cell r="AB143">
            <v>99</v>
          </cell>
          <cell r="AC143" t="str">
            <v>その他</v>
          </cell>
          <cell r="AD143" t="str">
            <v>作業道その他</v>
          </cell>
          <cell r="AE143">
            <v>8</v>
          </cell>
          <cell r="AF143">
            <v>8</v>
          </cell>
        </row>
        <row r="144">
          <cell r="Y144" t="str">
            <v>4601</v>
          </cell>
          <cell r="Z144">
            <v>46</v>
          </cell>
          <cell r="AA144" t="str">
            <v>ひ門</v>
          </cell>
          <cell r="AB144">
            <v>1</v>
          </cell>
          <cell r="AC144" t="str">
            <v>コンクリート</v>
          </cell>
          <cell r="AD144" t="str">
            <v>ひ門コンクリート</v>
          </cell>
          <cell r="AE144">
            <v>20</v>
          </cell>
          <cell r="AF144">
            <v>17</v>
          </cell>
        </row>
        <row r="145">
          <cell r="Y145" t="str">
            <v>4602</v>
          </cell>
          <cell r="Z145">
            <v>46</v>
          </cell>
          <cell r="AA145" t="str">
            <v>ひ門</v>
          </cell>
          <cell r="AB145">
            <v>2</v>
          </cell>
          <cell r="AC145" t="str">
            <v>れんが</v>
          </cell>
          <cell r="AD145" t="str">
            <v>ひ門れんが</v>
          </cell>
          <cell r="AE145">
            <v>20</v>
          </cell>
          <cell r="AF145">
            <v>17</v>
          </cell>
        </row>
        <row r="146">
          <cell r="Y146" t="str">
            <v>4603</v>
          </cell>
          <cell r="Z146">
            <v>46</v>
          </cell>
          <cell r="AA146" t="str">
            <v>ひ門</v>
          </cell>
          <cell r="AB146">
            <v>3</v>
          </cell>
          <cell r="AC146" t="str">
            <v>石</v>
          </cell>
          <cell r="AD146" t="str">
            <v>ひ門石</v>
          </cell>
          <cell r="AE146">
            <v>20</v>
          </cell>
          <cell r="AF146">
            <v>17</v>
          </cell>
        </row>
        <row r="147">
          <cell r="Y147" t="str">
            <v>4604</v>
          </cell>
          <cell r="Z147">
            <v>46</v>
          </cell>
          <cell r="AA147" t="str">
            <v>ひ門</v>
          </cell>
          <cell r="AB147">
            <v>4</v>
          </cell>
          <cell r="AC147" t="str">
            <v>ブロック</v>
          </cell>
          <cell r="AD147" t="str">
            <v>ひ門ブロック</v>
          </cell>
          <cell r="AE147">
            <v>20</v>
          </cell>
          <cell r="AF147">
            <v>17</v>
          </cell>
        </row>
        <row r="148">
          <cell r="Y148" t="str">
            <v>4677</v>
          </cell>
          <cell r="Z148">
            <v>46</v>
          </cell>
          <cell r="AA148" t="str">
            <v>ひ門</v>
          </cell>
          <cell r="AB148">
            <v>77</v>
          </cell>
          <cell r="AC148" t="str">
            <v>少額資産</v>
          </cell>
          <cell r="AD148" t="str">
            <v>ひ門少額資産</v>
          </cell>
          <cell r="AE148">
            <v>3</v>
          </cell>
          <cell r="AF148">
            <v>3</v>
          </cell>
        </row>
        <row r="149">
          <cell r="Y149" t="str">
            <v>4699</v>
          </cell>
          <cell r="Z149">
            <v>46</v>
          </cell>
          <cell r="AA149" t="str">
            <v>ひ門</v>
          </cell>
          <cell r="AB149">
            <v>99</v>
          </cell>
          <cell r="AC149" t="str">
            <v>その他</v>
          </cell>
          <cell r="AD149" t="str">
            <v>ひ門その他</v>
          </cell>
          <cell r="AE149">
            <v>30</v>
          </cell>
          <cell r="AF149">
            <v>30</v>
          </cell>
        </row>
        <row r="150">
          <cell r="Y150" t="str">
            <v>4701</v>
          </cell>
          <cell r="Z150">
            <v>47</v>
          </cell>
          <cell r="AA150" t="str">
            <v>用水路</v>
          </cell>
          <cell r="AB150">
            <v>1</v>
          </cell>
          <cell r="AC150" t="str">
            <v>コンクリート</v>
          </cell>
          <cell r="AD150" t="str">
            <v>用水路コンクリート</v>
          </cell>
          <cell r="AE150">
            <v>20</v>
          </cell>
          <cell r="AF150">
            <v>17</v>
          </cell>
        </row>
        <row r="151">
          <cell r="Y151" t="str">
            <v>4702</v>
          </cell>
          <cell r="Z151">
            <v>47</v>
          </cell>
          <cell r="AA151" t="str">
            <v>用水路</v>
          </cell>
          <cell r="AB151">
            <v>2</v>
          </cell>
          <cell r="AC151" t="str">
            <v>れんが</v>
          </cell>
          <cell r="AD151" t="str">
            <v>用水路れんが</v>
          </cell>
          <cell r="AE151">
            <v>20</v>
          </cell>
          <cell r="AF151">
            <v>17</v>
          </cell>
        </row>
        <row r="152">
          <cell r="Y152" t="str">
            <v>4703</v>
          </cell>
          <cell r="Z152">
            <v>47</v>
          </cell>
          <cell r="AA152" t="str">
            <v>用水路</v>
          </cell>
          <cell r="AB152">
            <v>3</v>
          </cell>
          <cell r="AC152" t="str">
            <v>石</v>
          </cell>
          <cell r="AD152" t="str">
            <v>用水路石</v>
          </cell>
          <cell r="AE152">
            <v>20</v>
          </cell>
          <cell r="AF152">
            <v>17</v>
          </cell>
        </row>
        <row r="153">
          <cell r="Y153" t="str">
            <v>4704</v>
          </cell>
          <cell r="Z153">
            <v>47</v>
          </cell>
          <cell r="AA153" t="str">
            <v>用水路</v>
          </cell>
          <cell r="AB153">
            <v>4</v>
          </cell>
          <cell r="AC153" t="str">
            <v>ブロック</v>
          </cell>
          <cell r="AD153" t="str">
            <v>用水路ブロック</v>
          </cell>
          <cell r="AE153">
            <v>20</v>
          </cell>
          <cell r="AF153">
            <v>17</v>
          </cell>
        </row>
        <row r="154">
          <cell r="Y154" t="str">
            <v>4777</v>
          </cell>
          <cell r="Z154">
            <v>47</v>
          </cell>
          <cell r="AA154" t="str">
            <v>用水路</v>
          </cell>
          <cell r="AB154">
            <v>77</v>
          </cell>
          <cell r="AC154" t="str">
            <v>少額資産</v>
          </cell>
          <cell r="AD154" t="str">
            <v>用水路少額資産</v>
          </cell>
          <cell r="AE154">
            <v>3</v>
          </cell>
          <cell r="AF154">
            <v>3</v>
          </cell>
        </row>
        <row r="155">
          <cell r="Y155" t="str">
            <v>4799</v>
          </cell>
          <cell r="Z155">
            <v>47</v>
          </cell>
          <cell r="AA155" t="str">
            <v>用水路</v>
          </cell>
          <cell r="AB155">
            <v>99</v>
          </cell>
          <cell r="AC155" t="str">
            <v>その他</v>
          </cell>
          <cell r="AD155" t="str">
            <v>用水路その他</v>
          </cell>
          <cell r="AE155">
            <v>30</v>
          </cell>
          <cell r="AF155">
            <v>30</v>
          </cell>
        </row>
        <row r="156">
          <cell r="Y156" t="str">
            <v>4801</v>
          </cell>
          <cell r="Z156">
            <v>48</v>
          </cell>
          <cell r="AA156" t="str">
            <v>配管</v>
          </cell>
          <cell r="AB156">
            <v>1</v>
          </cell>
          <cell r="AC156" t="str">
            <v>コンクリート</v>
          </cell>
          <cell r="AD156" t="str">
            <v>配管コンクリート</v>
          </cell>
          <cell r="AE156">
            <v>20</v>
          </cell>
          <cell r="AF156">
            <v>17</v>
          </cell>
        </row>
        <row r="157">
          <cell r="Y157" t="str">
            <v>4802</v>
          </cell>
          <cell r="Z157">
            <v>48</v>
          </cell>
          <cell r="AA157" t="str">
            <v>配管</v>
          </cell>
          <cell r="AB157">
            <v>2</v>
          </cell>
          <cell r="AC157" t="str">
            <v>れんが</v>
          </cell>
          <cell r="AD157" t="str">
            <v>配管れんが</v>
          </cell>
          <cell r="AE157">
            <v>20</v>
          </cell>
          <cell r="AF157">
            <v>17</v>
          </cell>
        </row>
        <row r="158">
          <cell r="Y158" t="str">
            <v>4803</v>
          </cell>
          <cell r="Z158">
            <v>48</v>
          </cell>
          <cell r="AA158" t="str">
            <v>配管</v>
          </cell>
          <cell r="AB158">
            <v>3</v>
          </cell>
          <cell r="AC158" t="str">
            <v>石</v>
          </cell>
          <cell r="AD158" t="str">
            <v>配管石</v>
          </cell>
          <cell r="AE158">
            <v>20</v>
          </cell>
          <cell r="AF158">
            <v>17</v>
          </cell>
        </row>
        <row r="159">
          <cell r="Y159" t="str">
            <v>4804</v>
          </cell>
          <cell r="Z159">
            <v>48</v>
          </cell>
          <cell r="AA159" t="str">
            <v>配管</v>
          </cell>
          <cell r="AB159">
            <v>4</v>
          </cell>
          <cell r="AC159" t="str">
            <v>ブロック</v>
          </cell>
          <cell r="AD159" t="str">
            <v>配管ブロック</v>
          </cell>
          <cell r="AE159">
            <v>20</v>
          </cell>
          <cell r="AF159">
            <v>17</v>
          </cell>
        </row>
        <row r="160">
          <cell r="Y160" t="str">
            <v>4805</v>
          </cell>
          <cell r="Z160">
            <v>48</v>
          </cell>
          <cell r="AA160" t="str">
            <v>配管</v>
          </cell>
          <cell r="AB160">
            <v>5</v>
          </cell>
          <cell r="AC160" t="str">
            <v>金属</v>
          </cell>
          <cell r="AD160" t="str">
            <v>配管金属</v>
          </cell>
          <cell r="AE160">
            <v>15</v>
          </cell>
          <cell r="AF160">
            <v>14</v>
          </cell>
        </row>
        <row r="161">
          <cell r="Y161" t="str">
            <v>4807</v>
          </cell>
          <cell r="Z161">
            <v>48</v>
          </cell>
          <cell r="AA161" t="str">
            <v>配管</v>
          </cell>
          <cell r="AB161">
            <v>7</v>
          </cell>
          <cell r="AC161" t="str">
            <v>土管</v>
          </cell>
          <cell r="AD161" t="str">
            <v>配管土管</v>
          </cell>
          <cell r="AE161">
            <v>10</v>
          </cell>
          <cell r="AF161">
            <v>10</v>
          </cell>
        </row>
        <row r="162">
          <cell r="Y162" t="str">
            <v>4809</v>
          </cell>
          <cell r="Z162">
            <v>48</v>
          </cell>
          <cell r="AA162" t="str">
            <v>配管</v>
          </cell>
          <cell r="AB162">
            <v>9</v>
          </cell>
          <cell r="AC162" t="str">
            <v>塩化ビニール</v>
          </cell>
          <cell r="AD162" t="str">
            <v>配管塩化ビニール</v>
          </cell>
          <cell r="AE162">
            <v>8</v>
          </cell>
          <cell r="AF162">
            <v>8</v>
          </cell>
        </row>
        <row r="163">
          <cell r="Y163" t="str">
            <v>4877</v>
          </cell>
          <cell r="Z163">
            <v>48</v>
          </cell>
          <cell r="AA163" t="str">
            <v>配管</v>
          </cell>
          <cell r="AB163">
            <v>77</v>
          </cell>
          <cell r="AC163" t="str">
            <v>少額資産</v>
          </cell>
          <cell r="AD163" t="str">
            <v>配管少額資産</v>
          </cell>
          <cell r="AE163">
            <v>3</v>
          </cell>
          <cell r="AF163">
            <v>3</v>
          </cell>
        </row>
        <row r="164">
          <cell r="Y164" t="str">
            <v>4899</v>
          </cell>
          <cell r="Z164">
            <v>48</v>
          </cell>
          <cell r="AA164" t="str">
            <v>配管</v>
          </cell>
          <cell r="AB164">
            <v>99</v>
          </cell>
          <cell r="AC164" t="str">
            <v>その他</v>
          </cell>
          <cell r="AD164" t="str">
            <v>配管その他</v>
          </cell>
          <cell r="AE164">
            <v>30</v>
          </cell>
          <cell r="AF164">
            <v>30</v>
          </cell>
        </row>
        <row r="165">
          <cell r="Y165" t="str">
            <v>4901</v>
          </cell>
          <cell r="Z165">
            <v>49</v>
          </cell>
          <cell r="AA165" t="str">
            <v>農用井戸</v>
          </cell>
          <cell r="AB165">
            <v>1</v>
          </cell>
          <cell r="AC165" t="str">
            <v>コンクリート</v>
          </cell>
          <cell r="AD165" t="str">
            <v>農用井戸コンクリート</v>
          </cell>
          <cell r="AE165">
            <v>20</v>
          </cell>
          <cell r="AF165">
            <v>17</v>
          </cell>
        </row>
        <row r="166">
          <cell r="Y166" t="str">
            <v>4902</v>
          </cell>
          <cell r="Z166">
            <v>49</v>
          </cell>
          <cell r="AA166" t="str">
            <v>農用井戸</v>
          </cell>
          <cell r="AB166">
            <v>2</v>
          </cell>
          <cell r="AC166" t="str">
            <v>れんが</v>
          </cell>
          <cell r="AD166" t="str">
            <v>農用井戸れんが</v>
          </cell>
          <cell r="AE166">
            <v>20</v>
          </cell>
          <cell r="AF166">
            <v>17</v>
          </cell>
        </row>
        <row r="167">
          <cell r="Y167" t="str">
            <v>4903</v>
          </cell>
          <cell r="Z167">
            <v>49</v>
          </cell>
          <cell r="AA167" t="str">
            <v>農用井戸</v>
          </cell>
          <cell r="AB167">
            <v>3</v>
          </cell>
          <cell r="AC167" t="str">
            <v>石</v>
          </cell>
          <cell r="AD167" t="str">
            <v>農用井戸石</v>
          </cell>
          <cell r="AE167">
            <v>20</v>
          </cell>
          <cell r="AF167">
            <v>17</v>
          </cell>
        </row>
        <row r="168">
          <cell r="Y168" t="str">
            <v>4904</v>
          </cell>
          <cell r="Z168">
            <v>49</v>
          </cell>
          <cell r="AA168" t="str">
            <v>農用井戸</v>
          </cell>
          <cell r="AB168">
            <v>4</v>
          </cell>
          <cell r="AC168" t="str">
            <v>ブロック</v>
          </cell>
          <cell r="AD168" t="str">
            <v>農用井戸ブロック</v>
          </cell>
          <cell r="AE168">
            <v>20</v>
          </cell>
          <cell r="AF168">
            <v>17</v>
          </cell>
        </row>
        <row r="169">
          <cell r="Y169" t="str">
            <v>4905</v>
          </cell>
          <cell r="Z169">
            <v>49</v>
          </cell>
          <cell r="AA169" t="str">
            <v>農用井戸</v>
          </cell>
          <cell r="AB169">
            <v>5</v>
          </cell>
          <cell r="AC169" t="str">
            <v>金属</v>
          </cell>
          <cell r="AD169" t="str">
            <v>農用井戸金属</v>
          </cell>
          <cell r="AE169">
            <v>15</v>
          </cell>
          <cell r="AF169">
            <v>14</v>
          </cell>
        </row>
        <row r="170">
          <cell r="Y170" t="str">
            <v>4907</v>
          </cell>
          <cell r="Z170">
            <v>49</v>
          </cell>
          <cell r="AA170" t="str">
            <v>農用井戸</v>
          </cell>
          <cell r="AB170">
            <v>7</v>
          </cell>
          <cell r="AC170" t="str">
            <v>土管</v>
          </cell>
          <cell r="AD170" t="str">
            <v>農用井戸土管</v>
          </cell>
          <cell r="AE170">
            <v>10</v>
          </cell>
          <cell r="AF170">
            <v>10</v>
          </cell>
        </row>
        <row r="171">
          <cell r="Y171" t="str">
            <v>4977</v>
          </cell>
          <cell r="Z171">
            <v>49</v>
          </cell>
          <cell r="AA171" t="str">
            <v>農用井戸</v>
          </cell>
          <cell r="AB171">
            <v>77</v>
          </cell>
          <cell r="AC171" t="str">
            <v>少額資産</v>
          </cell>
          <cell r="AD171" t="str">
            <v>農用井戸少額資産</v>
          </cell>
          <cell r="AE171">
            <v>3</v>
          </cell>
          <cell r="AF171">
            <v>3</v>
          </cell>
        </row>
        <row r="172">
          <cell r="Y172" t="str">
            <v>4999</v>
          </cell>
          <cell r="Z172">
            <v>49</v>
          </cell>
          <cell r="AA172" t="str">
            <v>農用井戸</v>
          </cell>
          <cell r="AB172">
            <v>99</v>
          </cell>
          <cell r="AC172" t="str">
            <v>その他</v>
          </cell>
          <cell r="AD172" t="str">
            <v>農用井戸その他</v>
          </cell>
          <cell r="AE172">
            <v>30</v>
          </cell>
          <cell r="AF172">
            <v>30</v>
          </cell>
        </row>
        <row r="173">
          <cell r="Y173" t="str">
            <v>5001</v>
          </cell>
          <cell r="Z173">
            <v>50</v>
          </cell>
          <cell r="AA173" t="str">
            <v>貯水槽</v>
          </cell>
          <cell r="AB173">
            <v>1</v>
          </cell>
          <cell r="AC173" t="str">
            <v>コンクリート</v>
          </cell>
          <cell r="AD173" t="str">
            <v>貯水槽コンクリート</v>
          </cell>
          <cell r="AE173">
            <v>20</v>
          </cell>
          <cell r="AF173">
            <v>17</v>
          </cell>
        </row>
        <row r="174">
          <cell r="Y174" t="str">
            <v>5002</v>
          </cell>
          <cell r="Z174">
            <v>50</v>
          </cell>
          <cell r="AA174" t="str">
            <v>貯水槽</v>
          </cell>
          <cell r="AB174">
            <v>2</v>
          </cell>
          <cell r="AC174" t="str">
            <v>れんが</v>
          </cell>
          <cell r="AD174" t="str">
            <v>貯水槽れんが</v>
          </cell>
          <cell r="AE174">
            <v>20</v>
          </cell>
          <cell r="AF174">
            <v>17</v>
          </cell>
        </row>
        <row r="175">
          <cell r="Y175" t="str">
            <v>5003</v>
          </cell>
          <cell r="Z175">
            <v>50</v>
          </cell>
          <cell r="AA175" t="str">
            <v>貯水槽</v>
          </cell>
          <cell r="AB175">
            <v>3</v>
          </cell>
          <cell r="AC175" t="str">
            <v>石</v>
          </cell>
          <cell r="AD175" t="str">
            <v>貯水槽石</v>
          </cell>
          <cell r="AE175">
            <v>20</v>
          </cell>
          <cell r="AF175">
            <v>17</v>
          </cell>
        </row>
        <row r="176">
          <cell r="Y176" t="str">
            <v>5004</v>
          </cell>
          <cell r="Z176">
            <v>50</v>
          </cell>
          <cell r="AA176" t="str">
            <v>貯水槽</v>
          </cell>
          <cell r="AB176">
            <v>4</v>
          </cell>
          <cell r="AC176" t="str">
            <v>ブロック</v>
          </cell>
          <cell r="AD176" t="str">
            <v>貯水槽ブロック</v>
          </cell>
          <cell r="AE176">
            <v>20</v>
          </cell>
          <cell r="AF176">
            <v>17</v>
          </cell>
        </row>
        <row r="177">
          <cell r="Y177" t="str">
            <v>5077</v>
          </cell>
          <cell r="Z177">
            <v>50</v>
          </cell>
          <cell r="AA177" t="str">
            <v>貯水槽</v>
          </cell>
          <cell r="AB177">
            <v>77</v>
          </cell>
          <cell r="AC177" t="str">
            <v>少額資産</v>
          </cell>
          <cell r="AD177" t="str">
            <v>貯水槽少額資産</v>
          </cell>
          <cell r="AE177">
            <v>3</v>
          </cell>
          <cell r="AF177">
            <v>3</v>
          </cell>
        </row>
        <row r="178">
          <cell r="Y178" t="str">
            <v>5099</v>
          </cell>
          <cell r="Z178">
            <v>50</v>
          </cell>
          <cell r="AA178" t="str">
            <v>貯水槽</v>
          </cell>
          <cell r="AB178">
            <v>99</v>
          </cell>
          <cell r="AC178" t="str">
            <v>その他</v>
          </cell>
          <cell r="AD178" t="str">
            <v>貯水槽その他</v>
          </cell>
          <cell r="AE178">
            <v>30</v>
          </cell>
          <cell r="AF178">
            <v>30</v>
          </cell>
        </row>
        <row r="179">
          <cell r="Y179" t="str">
            <v>5101</v>
          </cell>
          <cell r="Z179">
            <v>51</v>
          </cell>
          <cell r="AA179" t="str">
            <v>肥料だめ</v>
          </cell>
          <cell r="AB179">
            <v>1</v>
          </cell>
          <cell r="AC179" t="str">
            <v>コンクリート</v>
          </cell>
          <cell r="AD179" t="str">
            <v>肥料だめコンクリート</v>
          </cell>
          <cell r="AE179">
            <v>20</v>
          </cell>
          <cell r="AF179">
            <v>17</v>
          </cell>
        </row>
        <row r="180">
          <cell r="Y180" t="str">
            <v>5102</v>
          </cell>
          <cell r="Z180">
            <v>51</v>
          </cell>
          <cell r="AA180" t="str">
            <v>肥料だめ</v>
          </cell>
          <cell r="AB180">
            <v>2</v>
          </cell>
          <cell r="AC180" t="str">
            <v>れんが</v>
          </cell>
          <cell r="AD180" t="str">
            <v>肥料だめれんが</v>
          </cell>
          <cell r="AE180">
            <v>20</v>
          </cell>
          <cell r="AF180">
            <v>17</v>
          </cell>
        </row>
        <row r="181">
          <cell r="Y181" t="str">
            <v>5103</v>
          </cell>
          <cell r="Z181">
            <v>51</v>
          </cell>
          <cell r="AA181" t="str">
            <v>肥料だめ</v>
          </cell>
          <cell r="AB181">
            <v>3</v>
          </cell>
          <cell r="AC181" t="str">
            <v>石</v>
          </cell>
          <cell r="AD181" t="str">
            <v>肥料だめ石</v>
          </cell>
          <cell r="AE181">
            <v>20</v>
          </cell>
          <cell r="AF181">
            <v>17</v>
          </cell>
        </row>
        <row r="182">
          <cell r="Y182" t="str">
            <v>5104</v>
          </cell>
          <cell r="Z182">
            <v>51</v>
          </cell>
          <cell r="AA182" t="str">
            <v>肥料だめ</v>
          </cell>
          <cell r="AB182">
            <v>4</v>
          </cell>
          <cell r="AC182" t="str">
            <v>ブロック</v>
          </cell>
          <cell r="AD182" t="str">
            <v>肥料だめブロック</v>
          </cell>
          <cell r="AE182">
            <v>20</v>
          </cell>
          <cell r="AF182">
            <v>17</v>
          </cell>
        </row>
        <row r="183">
          <cell r="Y183" t="str">
            <v>5177</v>
          </cell>
          <cell r="Z183">
            <v>51</v>
          </cell>
          <cell r="AA183" t="str">
            <v>肥料だめ</v>
          </cell>
          <cell r="AB183">
            <v>77</v>
          </cell>
          <cell r="AC183" t="str">
            <v>少額資産</v>
          </cell>
          <cell r="AD183" t="str">
            <v>肥料だめ少額資産</v>
          </cell>
          <cell r="AE183">
            <v>3</v>
          </cell>
          <cell r="AF183">
            <v>3</v>
          </cell>
        </row>
        <row r="184">
          <cell r="Y184" t="str">
            <v>5199</v>
          </cell>
          <cell r="Z184">
            <v>51</v>
          </cell>
          <cell r="AA184" t="str">
            <v>肥料だめ</v>
          </cell>
          <cell r="AB184">
            <v>99</v>
          </cell>
          <cell r="AC184" t="str">
            <v>その他</v>
          </cell>
          <cell r="AD184" t="str">
            <v>肥料だめその他</v>
          </cell>
          <cell r="AE184">
            <v>30</v>
          </cell>
          <cell r="AF184">
            <v>30</v>
          </cell>
        </row>
        <row r="185">
          <cell r="Y185" t="str">
            <v>5301</v>
          </cell>
          <cell r="Z185">
            <v>53</v>
          </cell>
          <cell r="AA185" t="str">
            <v>薬剤用調合槽</v>
          </cell>
          <cell r="AB185">
            <v>1</v>
          </cell>
          <cell r="AC185" t="str">
            <v>コンクリート</v>
          </cell>
          <cell r="AD185" t="str">
            <v>薬剤用調合槽コンクリート</v>
          </cell>
          <cell r="AE185">
            <v>20</v>
          </cell>
          <cell r="AF185">
            <v>17</v>
          </cell>
        </row>
        <row r="186">
          <cell r="Y186" t="str">
            <v>5302</v>
          </cell>
          <cell r="Z186">
            <v>53</v>
          </cell>
          <cell r="AA186" t="str">
            <v>薬剤用調合槽</v>
          </cell>
          <cell r="AB186">
            <v>2</v>
          </cell>
          <cell r="AC186" t="str">
            <v>れんが</v>
          </cell>
          <cell r="AD186" t="str">
            <v>薬剤用調合槽れんが</v>
          </cell>
          <cell r="AE186">
            <v>20</v>
          </cell>
          <cell r="AF186">
            <v>17</v>
          </cell>
        </row>
        <row r="187">
          <cell r="Y187" t="str">
            <v>5303</v>
          </cell>
          <cell r="Z187">
            <v>53</v>
          </cell>
          <cell r="AA187" t="str">
            <v>薬剤用調合槽</v>
          </cell>
          <cell r="AB187">
            <v>3</v>
          </cell>
          <cell r="AC187" t="str">
            <v>石</v>
          </cell>
          <cell r="AD187" t="str">
            <v>薬剤用調合槽石</v>
          </cell>
          <cell r="AE187">
            <v>20</v>
          </cell>
          <cell r="AF187">
            <v>17</v>
          </cell>
        </row>
        <row r="188">
          <cell r="Y188" t="str">
            <v>5304</v>
          </cell>
          <cell r="Z188">
            <v>53</v>
          </cell>
          <cell r="AA188" t="str">
            <v>薬剤用調合槽</v>
          </cell>
          <cell r="AB188">
            <v>4</v>
          </cell>
          <cell r="AC188" t="str">
            <v>ブロック</v>
          </cell>
          <cell r="AD188" t="str">
            <v>薬剤用調合槽ブロック</v>
          </cell>
          <cell r="AE188">
            <v>20</v>
          </cell>
          <cell r="AF188">
            <v>17</v>
          </cell>
        </row>
        <row r="189">
          <cell r="Y189" t="str">
            <v>5377</v>
          </cell>
          <cell r="Z189">
            <v>53</v>
          </cell>
          <cell r="AA189" t="str">
            <v>薬剤用調合槽</v>
          </cell>
          <cell r="AB189">
            <v>77</v>
          </cell>
          <cell r="AC189" t="str">
            <v>少額資産</v>
          </cell>
          <cell r="AD189" t="str">
            <v>薬剤用調合槽少額資産</v>
          </cell>
          <cell r="AE189">
            <v>3</v>
          </cell>
          <cell r="AF189">
            <v>3</v>
          </cell>
        </row>
        <row r="190">
          <cell r="Y190" t="str">
            <v>5399</v>
          </cell>
          <cell r="Z190">
            <v>53</v>
          </cell>
          <cell r="AA190" t="str">
            <v>薬剤用調合槽</v>
          </cell>
          <cell r="AB190">
            <v>99</v>
          </cell>
          <cell r="AC190" t="str">
            <v>その他</v>
          </cell>
          <cell r="AD190" t="str">
            <v>薬剤用調合槽その他</v>
          </cell>
          <cell r="AE190">
            <v>30</v>
          </cell>
          <cell r="AF190">
            <v>30</v>
          </cell>
        </row>
        <row r="191">
          <cell r="Y191" t="str">
            <v>5501</v>
          </cell>
          <cell r="Z191">
            <v>55</v>
          </cell>
          <cell r="AA191" t="str">
            <v>斜降索道設備</v>
          </cell>
          <cell r="AB191">
            <v>1</v>
          </cell>
          <cell r="AC191" t="str">
            <v>コンクリート</v>
          </cell>
          <cell r="AD191" t="str">
            <v>斜降索道設備コンクリート</v>
          </cell>
          <cell r="AE191">
            <v>17</v>
          </cell>
          <cell r="AF191">
            <v>17</v>
          </cell>
        </row>
        <row r="192">
          <cell r="Y192" t="str">
            <v>5502</v>
          </cell>
          <cell r="Z192">
            <v>55</v>
          </cell>
          <cell r="AA192" t="str">
            <v>斜降索道設備</v>
          </cell>
          <cell r="AB192">
            <v>2</v>
          </cell>
          <cell r="AC192" t="str">
            <v>れんが</v>
          </cell>
          <cell r="AD192" t="str">
            <v>斜降索道設備れんが</v>
          </cell>
          <cell r="AE192">
            <v>17</v>
          </cell>
          <cell r="AF192">
            <v>17</v>
          </cell>
        </row>
        <row r="193">
          <cell r="Y193" t="str">
            <v>5503</v>
          </cell>
          <cell r="Z193">
            <v>55</v>
          </cell>
          <cell r="AA193" t="str">
            <v>斜降索道設備</v>
          </cell>
          <cell r="AB193">
            <v>3</v>
          </cell>
          <cell r="AC193" t="str">
            <v>石</v>
          </cell>
          <cell r="AD193" t="str">
            <v>斜降索道設備石</v>
          </cell>
          <cell r="AE193">
            <v>17</v>
          </cell>
          <cell r="AF193">
            <v>17</v>
          </cell>
        </row>
        <row r="194">
          <cell r="Y194" t="str">
            <v>5504</v>
          </cell>
          <cell r="Z194">
            <v>55</v>
          </cell>
          <cell r="AA194" t="str">
            <v>斜降索道設備</v>
          </cell>
          <cell r="AB194">
            <v>4</v>
          </cell>
          <cell r="AC194" t="str">
            <v>ブロック</v>
          </cell>
          <cell r="AD194" t="str">
            <v>斜降索道設備ブロック</v>
          </cell>
          <cell r="AE194">
            <v>17</v>
          </cell>
          <cell r="AF194">
            <v>17</v>
          </cell>
        </row>
        <row r="195">
          <cell r="Y195" t="str">
            <v>5505</v>
          </cell>
          <cell r="Z195">
            <v>55</v>
          </cell>
          <cell r="AA195" t="str">
            <v>斜降索道設備</v>
          </cell>
          <cell r="AB195">
            <v>5</v>
          </cell>
          <cell r="AC195" t="str">
            <v>金属</v>
          </cell>
          <cell r="AD195" t="str">
            <v>斜降索道設備金属</v>
          </cell>
          <cell r="AE195">
            <v>13</v>
          </cell>
          <cell r="AF195">
            <v>14</v>
          </cell>
        </row>
        <row r="196">
          <cell r="Y196" t="str">
            <v>5506</v>
          </cell>
          <cell r="Z196">
            <v>55</v>
          </cell>
          <cell r="AA196" t="str">
            <v>斜降索道設備</v>
          </cell>
          <cell r="AB196">
            <v>6</v>
          </cell>
          <cell r="AC196" t="str">
            <v>木造</v>
          </cell>
          <cell r="AD196" t="str">
            <v>斜降索道設備木造</v>
          </cell>
          <cell r="AE196">
            <v>5</v>
          </cell>
          <cell r="AF196">
            <v>5</v>
          </cell>
        </row>
        <row r="197">
          <cell r="Y197" t="str">
            <v>5577</v>
          </cell>
          <cell r="Z197">
            <v>55</v>
          </cell>
          <cell r="AA197" t="str">
            <v>斜降索道設備</v>
          </cell>
          <cell r="AB197">
            <v>77</v>
          </cell>
          <cell r="AC197" t="str">
            <v>少額資産</v>
          </cell>
          <cell r="AD197" t="str">
            <v>斜降索道設備少額資産</v>
          </cell>
          <cell r="AE197">
            <v>3</v>
          </cell>
          <cell r="AF197">
            <v>3</v>
          </cell>
        </row>
        <row r="198">
          <cell r="Y198" t="str">
            <v>5599</v>
          </cell>
          <cell r="Z198">
            <v>55</v>
          </cell>
          <cell r="AA198" t="str">
            <v>斜降索道設備</v>
          </cell>
          <cell r="AB198">
            <v>99</v>
          </cell>
          <cell r="AC198" t="str">
            <v>その他</v>
          </cell>
          <cell r="AD198" t="str">
            <v>斜降索道設備その他</v>
          </cell>
          <cell r="AE198">
            <v>30</v>
          </cell>
          <cell r="AF198">
            <v>30</v>
          </cell>
        </row>
        <row r="199">
          <cell r="Y199" t="str">
            <v>5605</v>
          </cell>
          <cell r="Z199">
            <v>56</v>
          </cell>
          <cell r="AA199" t="str">
            <v>モノレール</v>
          </cell>
          <cell r="AB199">
            <v>5</v>
          </cell>
          <cell r="AC199" t="str">
            <v>金属</v>
          </cell>
          <cell r="AD199" t="str">
            <v>モノレール金属</v>
          </cell>
          <cell r="AE199">
            <v>15</v>
          </cell>
          <cell r="AF199">
            <v>14</v>
          </cell>
        </row>
        <row r="200">
          <cell r="Y200" t="str">
            <v>5677</v>
          </cell>
          <cell r="Z200">
            <v>56</v>
          </cell>
          <cell r="AA200" t="str">
            <v>モノレール</v>
          </cell>
          <cell r="AB200">
            <v>77</v>
          </cell>
          <cell r="AC200" t="str">
            <v>少額資産</v>
          </cell>
          <cell r="AD200" t="str">
            <v>モノレール少額資産</v>
          </cell>
          <cell r="AE200">
            <v>3</v>
          </cell>
          <cell r="AF200">
            <v>3</v>
          </cell>
        </row>
        <row r="201">
          <cell r="Y201" t="str">
            <v>5699</v>
          </cell>
          <cell r="Z201">
            <v>56</v>
          </cell>
          <cell r="AA201" t="str">
            <v>モノレール</v>
          </cell>
          <cell r="AB201">
            <v>99</v>
          </cell>
          <cell r="AC201" t="str">
            <v>その他</v>
          </cell>
          <cell r="AD201" t="str">
            <v>モノレールその他</v>
          </cell>
          <cell r="AE201">
            <v>30</v>
          </cell>
          <cell r="AF201">
            <v>30</v>
          </cell>
        </row>
        <row r="202">
          <cell r="Y202" t="str">
            <v>5905</v>
          </cell>
          <cell r="Z202">
            <v>59</v>
          </cell>
          <cell r="AA202" t="str">
            <v>給水配管・パイプ</v>
          </cell>
          <cell r="AB202">
            <v>5</v>
          </cell>
          <cell r="AC202" t="str">
            <v>金属</v>
          </cell>
          <cell r="AD202" t="str">
            <v>給水配管・パイプ金属</v>
          </cell>
          <cell r="AE202">
            <v>15</v>
          </cell>
          <cell r="AF202">
            <v>14</v>
          </cell>
        </row>
        <row r="203">
          <cell r="Y203" t="str">
            <v>5909</v>
          </cell>
          <cell r="Z203">
            <v>59</v>
          </cell>
          <cell r="AA203" t="str">
            <v>給水配管・パイプ</v>
          </cell>
          <cell r="AB203">
            <v>9</v>
          </cell>
          <cell r="AC203" t="str">
            <v>塩化ビニール</v>
          </cell>
          <cell r="AD203" t="str">
            <v>給水配管・パイプ塩化ビニール</v>
          </cell>
          <cell r="AE203">
            <v>8</v>
          </cell>
          <cell r="AF203">
            <v>8</v>
          </cell>
        </row>
        <row r="204">
          <cell r="Y204" t="str">
            <v>5977</v>
          </cell>
          <cell r="Z204">
            <v>59</v>
          </cell>
          <cell r="AA204" t="str">
            <v>給水配管・パイプ</v>
          </cell>
          <cell r="AB204">
            <v>77</v>
          </cell>
          <cell r="AC204" t="str">
            <v>少額資産</v>
          </cell>
          <cell r="AD204" t="str">
            <v>給水配管・パイプ少額資産</v>
          </cell>
          <cell r="AE204">
            <v>3</v>
          </cell>
          <cell r="AF204">
            <v>3</v>
          </cell>
        </row>
        <row r="205">
          <cell r="Y205" t="str">
            <v>5999</v>
          </cell>
          <cell r="Z205">
            <v>59</v>
          </cell>
          <cell r="AA205" t="str">
            <v>給水配管・パイプ</v>
          </cell>
          <cell r="AB205">
            <v>99</v>
          </cell>
          <cell r="AC205" t="str">
            <v>その他</v>
          </cell>
          <cell r="AD205" t="str">
            <v>給水配管・パイプその他</v>
          </cell>
          <cell r="AE205">
            <v>30</v>
          </cell>
          <cell r="AF205">
            <v>30</v>
          </cell>
        </row>
        <row r="206">
          <cell r="Y206" t="str">
            <v>6201</v>
          </cell>
          <cell r="Z206">
            <v>62</v>
          </cell>
          <cell r="AA206" t="str">
            <v>たい肥盤</v>
          </cell>
          <cell r="AB206">
            <v>1</v>
          </cell>
          <cell r="AC206" t="str">
            <v>コンクリート</v>
          </cell>
          <cell r="AD206" t="str">
            <v>たい肥盤コンクリート</v>
          </cell>
          <cell r="AE206">
            <v>20</v>
          </cell>
          <cell r="AF206">
            <v>17</v>
          </cell>
        </row>
        <row r="207">
          <cell r="Y207" t="str">
            <v>6202</v>
          </cell>
          <cell r="Z207">
            <v>62</v>
          </cell>
          <cell r="AA207" t="str">
            <v>たい肥盤</v>
          </cell>
          <cell r="AB207">
            <v>2</v>
          </cell>
          <cell r="AC207" t="str">
            <v>れんが</v>
          </cell>
          <cell r="AD207" t="str">
            <v>たい肥盤れんが</v>
          </cell>
          <cell r="AE207">
            <v>20</v>
          </cell>
          <cell r="AF207">
            <v>17</v>
          </cell>
        </row>
        <row r="208">
          <cell r="Y208" t="str">
            <v>6203</v>
          </cell>
          <cell r="Z208">
            <v>62</v>
          </cell>
          <cell r="AA208" t="str">
            <v>たい肥盤</v>
          </cell>
          <cell r="AB208">
            <v>3</v>
          </cell>
          <cell r="AC208" t="str">
            <v>石</v>
          </cell>
          <cell r="AD208" t="str">
            <v>たい肥盤石</v>
          </cell>
          <cell r="AE208">
            <v>20</v>
          </cell>
          <cell r="AF208">
            <v>17</v>
          </cell>
        </row>
        <row r="209">
          <cell r="Y209" t="str">
            <v>6204</v>
          </cell>
          <cell r="Z209">
            <v>62</v>
          </cell>
          <cell r="AA209" t="str">
            <v>たい肥盤</v>
          </cell>
          <cell r="AB209">
            <v>4</v>
          </cell>
          <cell r="AC209" t="str">
            <v>ブロック</v>
          </cell>
          <cell r="AD209" t="str">
            <v>たい肥盤ブロック</v>
          </cell>
          <cell r="AE209">
            <v>20</v>
          </cell>
          <cell r="AF209">
            <v>17</v>
          </cell>
        </row>
        <row r="210">
          <cell r="Y210" t="str">
            <v>6277</v>
          </cell>
          <cell r="Z210">
            <v>62</v>
          </cell>
          <cell r="AA210" t="str">
            <v>たい肥盤</v>
          </cell>
          <cell r="AB210">
            <v>77</v>
          </cell>
          <cell r="AC210" t="str">
            <v>少額資産</v>
          </cell>
          <cell r="AD210" t="str">
            <v>たい肥盤少額資産</v>
          </cell>
          <cell r="AE210">
            <v>3</v>
          </cell>
          <cell r="AF210">
            <v>3</v>
          </cell>
        </row>
        <row r="211">
          <cell r="Y211" t="str">
            <v>6299</v>
          </cell>
          <cell r="Z211">
            <v>62</v>
          </cell>
          <cell r="AA211" t="str">
            <v>たい肥盤</v>
          </cell>
          <cell r="AB211">
            <v>99</v>
          </cell>
          <cell r="AC211" t="str">
            <v>その他</v>
          </cell>
          <cell r="AD211" t="str">
            <v>たい肥盤その他</v>
          </cell>
          <cell r="AE211">
            <v>30</v>
          </cell>
          <cell r="AF211">
            <v>30</v>
          </cell>
        </row>
        <row r="212">
          <cell r="Y212" t="str">
            <v>9901</v>
          </cell>
          <cell r="Z212">
            <v>99</v>
          </cell>
          <cell r="AA212" t="str">
            <v>その他の構築物</v>
          </cell>
          <cell r="AB212">
            <v>1</v>
          </cell>
          <cell r="AC212" t="str">
            <v>コンクリート</v>
          </cell>
          <cell r="AD212" t="str">
            <v>その他の構築物コンクリート</v>
          </cell>
          <cell r="AE212">
            <v>20</v>
          </cell>
          <cell r="AF212">
            <v>17</v>
          </cell>
        </row>
        <row r="213">
          <cell r="Y213" t="str">
            <v>9902</v>
          </cell>
          <cell r="Z213">
            <v>99</v>
          </cell>
          <cell r="AA213" t="str">
            <v>その他の構築物</v>
          </cell>
          <cell r="AB213">
            <v>2</v>
          </cell>
          <cell r="AC213" t="str">
            <v>れんが</v>
          </cell>
          <cell r="AD213" t="str">
            <v>その他の構築物れんが</v>
          </cell>
          <cell r="AE213">
            <v>20</v>
          </cell>
          <cell r="AF213">
            <v>17</v>
          </cell>
        </row>
        <row r="214">
          <cell r="Y214" t="str">
            <v>9903</v>
          </cell>
          <cell r="Z214">
            <v>99</v>
          </cell>
          <cell r="AA214" t="str">
            <v>その他の構築物</v>
          </cell>
          <cell r="AB214">
            <v>3</v>
          </cell>
          <cell r="AC214" t="str">
            <v>石</v>
          </cell>
          <cell r="AD214" t="str">
            <v>その他の構築物石</v>
          </cell>
          <cell r="AE214">
            <v>20</v>
          </cell>
          <cell r="AF214">
            <v>17</v>
          </cell>
        </row>
        <row r="215">
          <cell r="Y215" t="str">
            <v>9904</v>
          </cell>
          <cell r="Z215">
            <v>99</v>
          </cell>
          <cell r="AA215" t="str">
            <v>その他の構築物</v>
          </cell>
          <cell r="AB215">
            <v>4</v>
          </cell>
          <cell r="AC215" t="str">
            <v>ブロック</v>
          </cell>
          <cell r="AD215" t="str">
            <v>その他の構築物ブロック</v>
          </cell>
          <cell r="AE215">
            <v>20</v>
          </cell>
          <cell r="AF215">
            <v>17</v>
          </cell>
        </row>
        <row r="216">
          <cell r="Y216" t="str">
            <v>9905</v>
          </cell>
          <cell r="Z216">
            <v>99</v>
          </cell>
          <cell r="AA216" t="str">
            <v>その他の構築物</v>
          </cell>
          <cell r="AB216">
            <v>5</v>
          </cell>
          <cell r="AC216" t="str">
            <v>金属</v>
          </cell>
          <cell r="AD216" t="str">
            <v>その他の構築物金属</v>
          </cell>
          <cell r="AE216">
            <v>15</v>
          </cell>
          <cell r="AF216">
            <v>14</v>
          </cell>
        </row>
        <row r="217">
          <cell r="Y217" t="str">
            <v>9906</v>
          </cell>
          <cell r="Z217">
            <v>99</v>
          </cell>
          <cell r="AA217" t="str">
            <v>その他の構築物</v>
          </cell>
          <cell r="AB217">
            <v>6</v>
          </cell>
          <cell r="AC217" t="str">
            <v>木造</v>
          </cell>
          <cell r="AD217" t="str">
            <v>その他の構築物木造</v>
          </cell>
          <cell r="AE217">
            <v>5</v>
          </cell>
          <cell r="AF217">
            <v>5</v>
          </cell>
        </row>
        <row r="218">
          <cell r="Y218" t="str">
            <v>9907</v>
          </cell>
          <cell r="Z218">
            <v>99</v>
          </cell>
          <cell r="AA218" t="str">
            <v>その他の構築物</v>
          </cell>
          <cell r="AB218">
            <v>7</v>
          </cell>
          <cell r="AC218" t="str">
            <v>土管</v>
          </cell>
          <cell r="AD218" t="str">
            <v>その他の構築物土管</v>
          </cell>
          <cell r="AE218">
            <v>10</v>
          </cell>
          <cell r="AF218">
            <v>10</v>
          </cell>
        </row>
        <row r="219">
          <cell r="Y219" t="str">
            <v>9908</v>
          </cell>
          <cell r="Z219">
            <v>99</v>
          </cell>
          <cell r="AA219" t="str">
            <v>その他の構築物</v>
          </cell>
          <cell r="AB219">
            <v>8</v>
          </cell>
          <cell r="AC219" t="str">
            <v>合成樹脂</v>
          </cell>
          <cell r="AD219" t="str">
            <v>その他の構築物合成樹脂</v>
          </cell>
          <cell r="AE219">
            <v>8</v>
          </cell>
          <cell r="AF219">
            <v>8</v>
          </cell>
        </row>
        <row r="220">
          <cell r="Y220" t="str">
            <v>9909</v>
          </cell>
          <cell r="Z220">
            <v>99</v>
          </cell>
          <cell r="AA220" t="str">
            <v>その他の構築物</v>
          </cell>
          <cell r="AB220">
            <v>9</v>
          </cell>
          <cell r="AC220" t="str">
            <v>塩化ビニール</v>
          </cell>
          <cell r="AD220" t="str">
            <v>その他の構築物塩化ビニール</v>
          </cell>
          <cell r="AE220">
            <v>8</v>
          </cell>
          <cell r="AF220">
            <v>8</v>
          </cell>
        </row>
        <row r="221">
          <cell r="Y221" t="str">
            <v>9977</v>
          </cell>
          <cell r="Z221">
            <v>99</v>
          </cell>
          <cell r="AA221" t="str">
            <v>その他の構築物</v>
          </cell>
          <cell r="AB221">
            <v>77</v>
          </cell>
          <cell r="AC221" t="str">
            <v>少額資産</v>
          </cell>
          <cell r="AD221" t="str">
            <v>その他の構築物少額資産</v>
          </cell>
          <cell r="AE221">
            <v>3</v>
          </cell>
          <cell r="AF221">
            <v>3</v>
          </cell>
        </row>
        <row r="222">
          <cell r="Y222" t="str">
            <v>9999</v>
          </cell>
          <cell r="Z222">
            <v>99</v>
          </cell>
          <cell r="AA222" t="str">
            <v>その他の構築物</v>
          </cell>
          <cell r="AB222">
            <v>99</v>
          </cell>
          <cell r="AC222" t="str">
            <v>その他</v>
          </cell>
          <cell r="AD222" t="str">
            <v>その他の構築物その他</v>
          </cell>
          <cell r="AE222">
            <v>8</v>
          </cell>
          <cell r="AF222">
            <v>8</v>
          </cell>
        </row>
        <row r="224">
          <cell r="AA224" t="str">
            <v>農機具</v>
          </cell>
          <cell r="AC224" t="str">
            <v>型式</v>
          </cell>
          <cell r="AE224" t="str">
            <v>税制改正前</v>
          </cell>
          <cell r="AF224" t="str">
            <v>税制改正後</v>
          </cell>
        </row>
        <row r="225">
          <cell r="Y225" t="str">
            <v>00177</v>
          </cell>
          <cell r="Z225">
            <v>1</v>
          </cell>
          <cell r="AA225" t="str">
            <v>電動機</v>
          </cell>
          <cell r="AB225">
            <v>77</v>
          </cell>
          <cell r="AC225" t="str">
            <v>少額資産</v>
          </cell>
          <cell r="AD225" t="str">
            <v>電動機少額資産</v>
          </cell>
          <cell r="AE225">
            <v>3</v>
          </cell>
          <cell r="AF225">
            <v>3</v>
          </cell>
        </row>
        <row r="226">
          <cell r="Y226" t="str">
            <v>00199</v>
          </cell>
          <cell r="Z226">
            <v>1</v>
          </cell>
          <cell r="AA226" t="str">
            <v>電動機</v>
          </cell>
          <cell r="AB226">
            <v>99</v>
          </cell>
          <cell r="AC226" t="str">
            <v>その他</v>
          </cell>
          <cell r="AD226" t="str">
            <v>電動機その他</v>
          </cell>
          <cell r="AE226">
            <v>10</v>
          </cell>
          <cell r="AF226">
            <v>7</v>
          </cell>
        </row>
        <row r="227">
          <cell r="Y227" t="str">
            <v>00277</v>
          </cell>
          <cell r="Z227">
            <v>2</v>
          </cell>
          <cell r="AA227" t="str">
            <v>発動機・発電機</v>
          </cell>
          <cell r="AB227">
            <v>77</v>
          </cell>
          <cell r="AC227" t="str">
            <v>少額資産</v>
          </cell>
          <cell r="AD227" t="str">
            <v>発動機・発電機少額資産</v>
          </cell>
          <cell r="AE227">
            <v>3</v>
          </cell>
          <cell r="AF227">
            <v>3</v>
          </cell>
        </row>
        <row r="228">
          <cell r="Y228" t="str">
            <v>00299</v>
          </cell>
          <cell r="Z228">
            <v>2</v>
          </cell>
          <cell r="AA228" t="str">
            <v>発動機・発電機</v>
          </cell>
          <cell r="AB228">
            <v>99</v>
          </cell>
          <cell r="AC228" t="str">
            <v>その他</v>
          </cell>
          <cell r="AD228" t="str">
            <v>発動機・発電機その他</v>
          </cell>
          <cell r="AE228">
            <v>8</v>
          </cell>
          <cell r="AF228">
            <v>7</v>
          </cell>
        </row>
        <row r="229">
          <cell r="Y229" t="str">
            <v>00577</v>
          </cell>
          <cell r="Z229">
            <v>5</v>
          </cell>
          <cell r="AA229" t="str">
            <v>歩行用トラクター</v>
          </cell>
          <cell r="AB229">
            <v>77</v>
          </cell>
          <cell r="AC229" t="str">
            <v>少額資産</v>
          </cell>
          <cell r="AD229" t="str">
            <v>歩行用トラクター少額資産</v>
          </cell>
          <cell r="AE229">
            <v>3</v>
          </cell>
          <cell r="AF229">
            <v>3</v>
          </cell>
        </row>
        <row r="230">
          <cell r="Y230" t="str">
            <v>00599</v>
          </cell>
          <cell r="Z230">
            <v>5</v>
          </cell>
          <cell r="AA230" t="str">
            <v>歩行用トラクター</v>
          </cell>
          <cell r="AB230">
            <v>99</v>
          </cell>
          <cell r="AC230" t="str">
            <v>その他</v>
          </cell>
          <cell r="AD230" t="str">
            <v>歩行用トラクターその他</v>
          </cell>
          <cell r="AE230">
            <v>5</v>
          </cell>
          <cell r="AF230">
            <v>7</v>
          </cell>
        </row>
        <row r="231">
          <cell r="Y231" t="str">
            <v>00677</v>
          </cell>
          <cell r="Z231">
            <v>6</v>
          </cell>
          <cell r="AA231" t="str">
            <v>乗用トラクター</v>
          </cell>
          <cell r="AB231">
            <v>77</v>
          </cell>
          <cell r="AC231" t="str">
            <v>少額資産</v>
          </cell>
          <cell r="AD231" t="str">
            <v>乗用トラクター少額資産</v>
          </cell>
          <cell r="AE231">
            <v>3</v>
          </cell>
          <cell r="AF231">
            <v>3</v>
          </cell>
        </row>
        <row r="232">
          <cell r="Y232" t="str">
            <v>00699</v>
          </cell>
          <cell r="Z232">
            <v>6</v>
          </cell>
          <cell r="AA232" t="str">
            <v>乗用トラクター</v>
          </cell>
          <cell r="AB232">
            <v>99</v>
          </cell>
          <cell r="AC232" t="str">
            <v>その他</v>
          </cell>
          <cell r="AD232" t="str">
            <v>乗用トラクターその他</v>
          </cell>
          <cell r="AE232">
            <v>8</v>
          </cell>
          <cell r="AF232">
            <v>7</v>
          </cell>
        </row>
        <row r="233">
          <cell r="Y233" t="str">
            <v>00777</v>
          </cell>
          <cell r="Z233">
            <v>7</v>
          </cell>
          <cell r="AA233" t="str">
            <v>耕土改良・耕うん・砕土・整地用機具</v>
          </cell>
          <cell r="AB233">
            <v>77</v>
          </cell>
          <cell r="AC233" t="str">
            <v>少額資産</v>
          </cell>
          <cell r="AD233" t="str">
            <v>耕土改良・耕うん・砕土・整地用機具少額資産</v>
          </cell>
          <cell r="AE233">
            <v>3</v>
          </cell>
          <cell r="AF233">
            <v>3</v>
          </cell>
        </row>
        <row r="234">
          <cell r="Y234" t="str">
            <v>00799</v>
          </cell>
          <cell r="Z234">
            <v>7</v>
          </cell>
          <cell r="AA234" t="str">
            <v>耕土改良・耕うん・砕土・整地用機具</v>
          </cell>
          <cell r="AB234">
            <v>99</v>
          </cell>
          <cell r="AC234" t="str">
            <v>その他</v>
          </cell>
          <cell r="AD234" t="str">
            <v>耕土改良・耕うん・砕土・整地用機具その他</v>
          </cell>
          <cell r="AE234">
            <v>5</v>
          </cell>
          <cell r="AF234">
            <v>7</v>
          </cell>
        </row>
        <row r="235">
          <cell r="Y235" t="str">
            <v>01177</v>
          </cell>
          <cell r="Z235">
            <v>11</v>
          </cell>
          <cell r="AA235" t="str">
            <v>畝立・マルチ用機具</v>
          </cell>
          <cell r="AB235">
            <v>77</v>
          </cell>
          <cell r="AC235" t="str">
            <v>少額資産</v>
          </cell>
          <cell r="AD235" t="str">
            <v>畝立・マルチ用機具少額資産</v>
          </cell>
          <cell r="AE235">
            <v>3</v>
          </cell>
          <cell r="AF235">
            <v>3</v>
          </cell>
        </row>
        <row r="236">
          <cell r="Y236" t="str">
            <v>01199</v>
          </cell>
          <cell r="Z236">
            <v>11</v>
          </cell>
          <cell r="AA236" t="str">
            <v>畝立・マルチ用機具</v>
          </cell>
          <cell r="AB236">
            <v>99</v>
          </cell>
          <cell r="AC236" t="str">
            <v>その他</v>
          </cell>
          <cell r="AD236" t="str">
            <v>畝立・マルチ用機具その他</v>
          </cell>
          <cell r="AE236">
            <v>5</v>
          </cell>
          <cell r="AF236">
            <v>7</v>
          </cell>
        </row>
        <row r="237">
          <cell r="Y237" t="str">
            <v>01277</v>
          </cell>
          <cell r="Z237">
            <v>12</v>
          </cell>
          <cell r="AA237" t="str">
            <v>施肥・は種用機具</v>
          </cell>
          <cell r="AB237">
            <v>77</v>
          </cell>
          <cell r="AC237" t="str">
            <v>少額資産</v>
          </cell>
          <cell r="AD237" t="str">
            <v>施肥・は種用機具少額資産</v>
          </cell>
          <cell r="AE237">
            <v>3</v>
          </cell>
          <cell r="AF237">
            <v>3</v>
          </cell>
        </row>
        <row r="238">
          <cell r="Y238" t="str">
            <v>01299</v>
          </cell>
          <cell r="Z238">
            <v>12</v>
          </cell>
          <cell r="AA238" t="str">
            <v>施肥・は種用機具</v>
          </cell>
          <cell r="AB238">
            <v>99</v>
          </cell>
          <cell r="AC238" t="str">
            <v>その他</v>
          </cell>
          <cell r="AD238" t="str">
            <v>施肥・は種用機具その他</v>
          </cell>
          <cell r="AE238">
            <v>5</v>
          </cell>
          <cell r="AF238">
            <v>7</v>
          </cell>
        </row>
        <row r="239">
          <cell r="Y239" t="str">
            <v>01777</v>
          </cell>
          <cell r="Z239">
            <v>17</v>
          </cell>
          <cell r="AA239" t="str">
            <v>移植・育苗用機具</v>
          </cell>
          <cell r="AB239">
            <v>77</v>
          </cell>
          <cell r="AC239" t="str">
            <v>少額資産</v>
          </cell>
          <cell r="AD239" t="str">
            <v>移植・育苗用機具少額資産</v>
          </cell>
          <cell r="AE239">
            <v>3</v>
          </cell>
          <cell r="AF239">
            <v>3</v>
          </cell>
        </row>
        <row r="240">
          <cell r="Y240" t="str">
            <v>01799</v>
          </cell>
          <cell r="Z240">
            <v>17</v>
          </cell>
          <cell r="AA240" t="str">
            <v>移植・育苗用機具</v>
          </cell>
          <cell r="AB240">
            <v>99</v>
          </cell>
          <cell r="AC240" t="str">
            <v>その他</v>
          </cell>
          <cell r="AD240" t="str">
            <v>移植・育苗用機具その他</v>
          </cell>
          <cell r="AE240">
            <v>5</v>
          </cell>
          <cell r="AF240">
            <v>7</v>
          </cell>
        </row>
        <row r="241">
          <cell r="Y241" t="str">
            <v>02177</v>
          </cell>
          <cell r="Z241">
            <v>21</v>
          </cell>
          <cell r="AA241" t="str">
            <v>管理用機具</v>
          </cell>
          <cell r="AB241">
            <v>77</v>
          </cell>
          <cell r="AC241" t="str">
            <v>少額資産</v>
          </cell>
          <cell r="AD241" t="str">
            <v>管理用機具少額資産</v>
          </cell>
          <cell r="AE241">
            <v>3</v>
          </cell>
          <cell r="AF241">
            <v>3</v>
          </cell>
        </row>
        <row r="242">
          <cell r="Y242" t="str">
            <v>02199</v>
          </cell>
          <cell r="Z242">
            <v>21</v>
          </cell>
          <cell r="AA242" t="str">
            <v>管理用機具</v>
          </cell>
          <cell r="AB242">
            <v>99</v>
          </cell>
          <cell r="AC242" t="str">
            <v>その他</v>
          </cell>
          <cell r="AD242" t="str">
            <v>管理用機具その他</v>
          </cell>
          <cell r="AE242">
            <v>5</v>
          </cell>
          <cell r="AF242">
            <v>7</v>
          </cell>
        </row>
        <row r="243">
          <cell r="Y243" t="str">
            <v>02677</v>
          </cell>
          <cell r="Z243">
            <v>26</v>
          </cell>
          <cell r="AA243" t="str">
            <v>防除用機具</v>
          </cell>
          <cell r="AB243">
            <v>77</v>
          </cell>
          <cell r="AC243" t="str">
            <v>少額資産</v>
          </cell>
          <cell r="AD243" t="str">
            <v>防除用機具少額資産</v>
          </cell>
          <cell r="AE243">
            <v>3</v>
          </cell>
          <cell r="AF243">
            <v>3</v>
          </cell>
        </row>
        <row r="244">
          <cell r="Y244" t="str">
            <v>02699</v>
          </cell>
          <cell r="Z244">
            <v>26</v>
          </cell>
          <cell r="AA244" t="str">
            <v>防除用機具</v>
          </cell>
          <cell r="AB244">
            <v>99</v>
          </cell>
          <cell r="AC244" t="str">
            <v>その他</v>
          </cell>
          <cell r="AD244" t="str">
            <v>防除用機具その他</v>
          </cell>
          <cell r="AE244">
            <v>5</v>
          </cell>
          <cell r="AF244">
            <v>7</v>
          </cell>
        </row>
        <row r="245">
          <cell r="Y245" t="str">
            <v>03277</v>
          </cell>
          <cell r="Z245">
            <v>32</v>
          </cell>
          <cell r="AA245" t="str">
            <v>収穫・乾燥・調整用機具</v>
          </cell>
          <cell r="AB245">
            <v>77</v>
          </cell>
          <cell r="AC245" t="str">
            <v>少額資産</v>
          </cell>
          <cell r="AD245" t="str">
            <v>収穫・乾燥・調整用機具少額資産</v>
          </cell>
          <cell r="AE245">
            <v>3</v>
          </cell>
          <cell r="AF245">
            <v>3</v>
          </cell>
        </row>
        <row r="246">
          <cell r="Y246" t="str">
            <v>03299</v>
          </cell>
          <cell r="Z246">
            <v>32</v>
          </cell>
          <cell r="AA246" t="str">
            <v>収穫・乾燥・調整用機具</v>
          </cell>
          <cell r="AB246">
            <v>99</v>
          </cell>
          <cell r="AC246" t="str">
            <v>その他</v>
          </cell>
          <cell r="AD246" t="str">
            <v>収穫・乾燥・調整用機具その他</v>
          </cell>
          <cell r="AE246">
            <v>5</v>
          </cell>
          <cell r="AF246">
            <v>7</v>
          </cell>
        </row>
        <row r="247">
          <cell r="Y247" t="str">
            <v>03477</v>
          </cell>
          <cell r="Z247">
            <v>34</v>
          </cell>
          <cell r="AA247" t="str">
            <v>普通型コンバイン</v>
          </cell>
          <cell r="AB247">
            <v>77</v>
          </cell>
          <cell r="AC247" t="str">
            <v>少額資産</v>
          </cell>
          <cell r="AD247" t="str">
            <v>普通型コンバイン少額資産</v>
          </cell>
          <cell r="AE247">
            <v>3</v>
          </cell>
          <cell r="AF247">
            <v>3</v>
          </cell>
        </row>
        <row r="248">
          <cell r="Y248" t="str">
            <v>03499</v>
          </cell>
          <cell r="Z248">
            <v>34</v>
          </cell>
          <cell r="AA248" t="str">
            <v>普通型コンバイン</v>
          </cell>
          <cell r="AB248">
            <v>99</v>
          </cell>
          <cell r="AC248" t="str">
            <v>その他</v>
          </cell>
          <cell r="AD248" t="str">
            <v>普通型コンバインその他</v>
          </cell>
          <cell r="AE248">
            <v>8</v>
          </cell>
          <cell r="AF248">
            <v>7</v>
          </cell>
        </row>
        <row r="249">
          <cell r="Y249" t="str">
            <v>04277</v>
          </cell>
          <cell r="Z249">
            <v>42</v>
          </cell>
          <cell r="AA249" t="str">
            <v>自動脱穀機</v>
          </cell>
          <cell r="AB249">
            <v>77</v>
          </cell>
          <cell r="AC249" t="str">
            <v>少額資産</v>
          </cell>
          <cell r="AD249" t="str">
            <v>自動脱穀機少額資産</v>
          </cell>
          <cell r="AE249">
            <v>3</v>
          </cell>
          <cell r="AF249">
            <v>3</v>
          </cell>
        </row>
        <row r="250">
          <cell r="Y250" t="str">
            <v>04299</v>
          </cell>
          <cell r="Z250">
            <v>42</v>
          </cell>
          <cell r="AA250" t="str">
            <v>自動脱穀機</v>
          </cell>
          <cell r="AB250">
            <v>99</v>
          </cell>
          <cell r="AC250" t="str">
            <v>その他</v>
          </cell>
          <cell r="AD250" t="str">
            <v>自動脱穀機その他</v>
          </cell>
          <cell r="AE250">
            <v>8</v>
          </cell>
          <cell r="AF250">
            <v>7</v>
          </cell>
        </row>
        <row r="251">
          <cell r="Y251" t="str">
            <v>04477</v>
          </cell>
          <cell r="Z251">
            <v>44</v>
          </cell>
          <cell r="AA251" t="str">
            <v>選別機</v>
          </cell>
          <cell r="AB251">
            <v>77</v>
          </cell>
          <cell r="AC251" t="str">
            <v>少額資産</v>
          </cell>
          <cell r="AD251" t="str">
            <v>選別機少額資産</v>
          </cell>
          <cell r="AE251">
            <v>3</v>
          </cell>
          <cell r="AF251">
            <v>3</v>
          </cell>
        </row>
        <row r="252">
          <cell r="Y252" t="str">
            <v>04499</v>
          </cell>
          <cell r="Z252">
            <v>44</v>
          </cell>
          <cell r="AA252" t="str">
            <v>選別機</v>
          </cell>
          <cell r="AB252">
            <v>99</v>
          </cell>
          <cell r="AC252" t="str">
            <v>その他</v>
          </cell>
          <cell r="AD252" t="str">
            <v>選別機その他</v>
          </cell>
          <cell r="AE252">
            <v>8</v>
          </cell>
          <cell r="AF252">
            <v>7</v>
          </cell>
        </row>
        <row r="253">
          <cell r="Y253" t="str">
            <v>04577</v>
          </cell>
          <cell r="Z253">
            <v>45</v>
          </cell>
          <cell r="AA253" t="str">
            <v>皮剥機</v>
          </cell>
          <cell r="AB253">
            <v>77</v>
          </cell>
          <cell r="AC253" t="str">
            <v>少額資産</v>
          </cell>
          <cell r="AD253" t="str">
            <v>皮剥機少額資産</v>
          </cell>
          <cell r="AE253">
            <v>3</v>
          </cell>
          <cell r="AF253">
            <v>3</v>
          </cell>
        </row>
        <row r="254">
          <cell r="Y254" t="str">
            <v>04599</v>
          </cell>
          <cell r="Z254">
            <v>45</v>
          </cell>
          <cell r="AA254" t="str">
            <v>皮剥機</v>
          </cell>
          <cell r="AB254">
            <v>99</v>
          </cell>
          <cell r="AC254" t="str">
            <v>その他</v>
          </cell>
          <cell r="AD254" t="str">
            <v>皮剥機その他</v>
          </cell>
          <cell r="AE254">
            <v>8</v>
          </cell>
          <cell r="AF254">
            <v>7</v>
          </cell>
        </row>
        <row r="255">
          <cell r="Y255" t="str">
            <v>04877</v>
          </cell>
          <cell r="Z255">
            <v>48</v>
          </cell>
          <cell r="AA255" t="str">
            <v>乾燥機</v>
          </cell>
          <cell r="AB255">
            <v>77</v>
          </cell>
          <cell r="AC255" t="str">
            <v>少額資産</v>
          </cell>
          <cell r="AD255" t="str">
            <v>乾燥機少額資産</v>
          </cell>
          <cell r="AE255">
            <v>3</v>
          </cell>
          <cell r="AF255">
            <v>3</v>
          </cell>
        </row>
        <row r="256">
          <cell r="Y256" t="str">
            <v>04899</v>
          </cell>
          <cell r="Z256">
            <v>48</v>
          </cell>
          <cell r="AA256" t="str">
            <v>乾燥機</v>
          </cell>
          <cell r="AB256">
            <v>99</v>
          </cell>
          <cell r="AC256" t="str">
            <v>その他</v>
          </cell>
          <cell r="AD256" t="str">
            <v>乾燥機その他</v>
          </cell>
          <cell r="AE256">
            <v>8</v>
          </cell>
          <cell r="AF256">
            <v>7</v>
          </cell>
        </row>
        <row r="257">
          <cell r="Y257" t="str">
            <v>04977</v>
          </cell>
          <cell r="Z257">
            <v>49</v>
          </cell>
          <cell r="AA257" t="str">
            <v>もみすり機</v>
          </cell>
          <cell r="AB257">
            <v>77</v>
          </cell>
          <cell r="AC257" t="str">
            <v>少額資産</v>
          </cell>
          <cell r="AD257" t="str">
            <v>もみすり機少額資産</v>
          </cell>
          <cell r="AE257">
            <v>3</v>
          </cell>
          <cell r="AF257">
            <v>3</v>
          </cell>
        </row>
        <row r="258">
          <cell r="Y258" t="str">
            <v>04999</v>
          </cell>
          <cell r="Z258">
            <v>49</v>
          </cell>
          <cell r="AA258" t="str">
            <v>もみすり機</v>
          </cell>
          <cell r="AB258">
            <v>99</v>
          </cell>
          <cell r="AC258" t="str">
            <v>その他</v>
          </cell>
          <cell r="AD258" t="str">
            <v>もみすり機その他</v>
          </cell>
          <cell r="AE258">
            <v>8</v>
          </cell>
          <cell r="AF258">
            <v>7</v>
          </cell>
        </row>
        <row r="259">
          <cell r="Y259" t="str">
            <v>08177</v>
          </cell>
          <cell r="Z259">
            <v>81</v>
          </cell>
          <cell r="AA259" t="str">
            <v>運搬用機具</v>
          </cell>
          <cell r="AB259">
            <v>77</v>
          </cell>
          <cell r="AC259" t="str">
            <v>少額資産</v>
          </cell>
          <cell r="AD259" t="str">
            <v>運搬用機具少額資産</v>
          </cell>
          <cell r="AE259">
            <v>3</v>
          </cell>
          <cell r="AF259">
            <v>3</v>
          </cell>
        </row>
        <row r="260">
          <cell r="Y260" t="str">
            <v>08199</v>
          </cell>
          <cell r="Z260">
            <v>81</v>
          </cell>
          <cell r="AA260" t="str">
            <v>運搬用機具</v>
          </cell>
          <cell r="AB260">
            <v>99</v>
          </cell>
          <cell r="AC260" t="str">
            <v>その他</v>
          </cell>
          <cell r="AD260" t="str">
            <v>運搬用機具その他</v>
          </cell>
          <cell r="AE260">
            <v>4</v>
          </cell>
          <cell r="AF260">
            <v>4</v>
          </cell>
        </row>
        <row r="261">
          <cell r="Y261" t="str">
            <v>08477</v>
          </cell>
          <cell r="Z261">
            <v>84</v>
          </cell>
          <cell r="AA261" t="str">
            <v>冷蔵庫</v>
          </cell>
          <cell r="AB261">
            <v>77</v>
          </cell>
          <cell r="AC261" t="str">
            <v>少額資産</v>
          </cell>
          <cell r="AD261" t="str">
            <v>冷蔵庫少額資産</v>
          </cell>
          <cell r="AE261">
            <v>3</v>
          </cell>
          <cell r="AF261">
            <v>3</v>
          </cell>
        </row>
        <row r="262">
          <cell r="Y262" t="str">
            <v>08499</v>
          </cell>
          <cell r="Z262">
            <v>84</v>
          </cell>
          <cell r="AA262" t="str">
            <v>冷蔵庫</v>
          </cell>
          <cell r="AB262">
            <v>99</v>
          </cell>
          <cell r="AC262" t="str">
            <v>その他</v>
          </cell>
          <cell r="AD262" t="str">
            <v>冷蔵庫その他</v>
          </cell>
          <cell r="AE262">
            <v>6</v>
          </cell>
          <cell r="AF262">
            <v>6</v>
          </cell>
        </row>
        <row r="263">
          <cell r="Y263" t="str">
            <v>08577</v>
          </cell>
          <cell r="Z263">
            <v>85</v>
          </cell>
          <cell r="AA263" t="str">
            <v>暖房機</v>
          </cell>
          <cell r="AB263">
            <v>77</v>
          </cell>
          <cell r="AC263" t="str">
            <v>少額資産</v>
          </cell>
          <cell r="AD263" t="str">
            <v>暖房機少額資産</v>
          </cell>
          <cell r="AE263">
            <v>3</v>
          </cell>
          <cell r="AF263">
            <v>3</v>
          </cell>
        </row>
        <row r="264">
          <cell r="Y264" t="str">
            <v>08599</v>
          </cell>
          <cell r="Z264">
            <v>85</v>
          </cell>
          <cell r="AA264" t="str">
            <v>暖房機</v>
          </cell>
          <cell r="AB264">
            <v>99</v>
          </cell>
          <cell r="AC264" t="str">
            <v>その他</v>
          </cell>
          <cell r="AD264" t="str">
            <v>暖房機その他</v>
          </cell>
          <cell r="AE264">
            <v>5</v>
          </cell>
          <cell r="AF264">
            <v>7</v>
          </cell>
        </row>
        <row r="265">
          <cell r="Y265" t="str">
            <v>09901</v>
          </cell>
          <cell r="Z265">
            <v>99</v>
          </cell>
          <cell r="AA265" t="str">
            <v>その他の農機具</v>
          </cell>
          <cell r="AB265">
            <v>1</v>
          </cell>
          <cell r="AC265" t="str">
            <v>その他・耐用年数３年</v>
          </cell>
          <cell r="AD265" t="str">
            <v>その他の農機具その他・耐用年数３年</v>
          </cell>
          <cell r="AE265">
            <v>3</v>
          </cell>
          <cell r="AF265">
            <v>3</v>
          </cell>
        </row>
        <row r="266">
          <cell r="Y266" t="str">
            <v>09902</v>
          </cell>
          <cell r="Z266">
            <v>99</v>
          </cell>
          <cell r="AA266" t="str">
            <v>その他の農機具</v>
          </cell>
          <cell r="AB266">
            <v>2</v>
          </cell>
          <cell r="AC266" t="str">
            <v>その他・耐用年数４年</v>
          </cell>
          <cell r="AD266" t="str">
            <v>その他の農機具その他・耐用年数４年</v>
          </cell>
          <cell r="AE266">
            <v>4</v>
          </cell>
          <cell r="AF266">
            <v>4</v>
          </cell>
        </row>
        <row r="267">
          <cell r="Y267" t="str">
            <v>09903</v>
          </cell>
          <cell r="Z267">
            <v>99</v>
          </cell>
          <cell r="AA267" t="str">
            <v>その他の農機具</v>
          </cell>
          <cell r="AB267">
            <v>3</v>
          </cell>
          <cell r="AC267" t="str">
            <v>その他・耐用年数５年</v>
          </cell>
          <cell r="AD267" t="str">
            <v>その他の農機具その他・耐用年数５年</v>
          </cell>
          <cell r="AE267">
            <v>5</v>
          </cell>
          <cell r="AF267">
            <v>5</v>
          </cell>
        </row>
        <row r="268">
          <cell r="Y268" t="str">
            <v>09904</v>
          </cell>
          <cell r="Z268">
            <v>99</v>
          </cell>
          <cell r="AA268" t="str">
            <v>その他の農機具</v>
          </cell>
          <cell r="AB268">
            <v>4</v>
          </cell>
          <cell r="AC268" t="str">
            <v>その他・耐用年数６年</v>
          </cell>
          <cell r="AD268" t="str">
            <v>その他の農機具その他・耐用年数６年</v>
          </cell>
          <cell r="AE268">
            <v>6</v>
          </cell>
          <cell r="AF268">
            <v>6</v>
          </cell>
        </row>
        <row r="269">
          <cell r="Y269" t="str">
            <v>09905</v>
          </cell>
          <cell r="Z269">
            <v>99</v>
          </cell>
          <cell r="AA269" t="str">
            <v>その他の農機具</v>
          </cell>
          <cell r="AB269">
            <v>5</v>
          </cell>
          <cell r="AC269" t="str">
            <v>その他・耐用年数７年</v>
          </cell>
          <cell r="AD269" t="str">
            <v>その他の農機具その他・耐用年数７年</v>
          </cell>
          <cell r="AE269">
            <v>7</v>
          </cell>
          <cell r="AF269">
            <v>7</v>
          </cell>
        </row>
        <row r="270">
          <cell r="Y270" t="str">
            <v>09977</v>
          </cell>
          <cell r="Z270">
            <v>99</v>
          </cell>
          <cell r="AA270" t="str">
            <v>その他の農機具</v>
          </cell>
          <cell r="AB270">
            <v>77</v>
          </cell>
          <cell r="AC270" t="str">
            <v>少額資産</v>
          </cell>
          <cell r="AD270" t="str">
            <v>その他の農機具少額資産</v>
          </cell>
          <cell r="AE270">
            <v>3</v>
          </cell>
          <cell r="AF270">
            <v>3</v>
          </cell>
        </row>
        <row r="271">
          <cell r="Y271" t="str">
            <v>10177</v>
          </cell>
          <cell r="Z271">
            <v>101</v>
          </cell>
          <cell r="AA271" t="str">
            <v>パソコン(ｻｰﾊﾞｰ用除く)</v>
          </cell>
          <cell r="AB271">
            <v>77</v>
          </cell>
          <cell r="AC271" t="str">
            <v>少額資産</v>
          </cell>
          <cell r="AD271" t="str">
            <v>パソコン(ｻｰﾊﾞｰ用除く)少額資産</v>
          </cell>
          <cell r="AE271">
            <v>3</v>
          </cell>
          <cell r="AF271">
            <v>3</v>
          </cell>
        </row>
        <row r="272">
          <cell r="Y272" t="str">
            <v>10199</v>
          </cell>
          <cell r="Z272">
            <v>101</v>
          </cell>
          <cell r="AA272" t="str">
            <v>パソコン(ｻｰﾊﾞｰ用除く)</v>
          </cell>
          <cell r="AB272">
            <v>99</v>
          </cell>
          <cell r="AC272" t="str">
            <v>その他</v>
          </cell>
          <cell r="AD272" t="str">
            <v>パソコン(ｻｰﾊﾞｰ用除く)その他</v>
          </cell>
          <cell r="AE272">
            <v>4</v>
          </cell>
          <cell r="AF272">
            <v>4</v>
          </cell>
        </row>
        <row r="273">
          <cell r="Y273" t="str">
            <v>10377</v>
          </cell>
          <cell r="Z273">
            <v>103</v>
          </cell>
          <cell r="AA273" t="str">
            <v>ソフトウェア</v>
          </cell>
          <cell r="AB273">
            <v>77</v>
          </cell>
          <cell r="AC273" t="str">
            <v>少額資産</v>
          </cell>
          <cell r="AD273" t="str">
            <v>ソフトウェア少額資産</v>
          </cell>
          <cell r="AE273">
            <v>3</v>
          </cell>
          <cell r="AF273">
            <v>3</v>
          </cell>
        </row>
        <row r="274">
          <cell r="Y274" t="str">
            <v>10399</v>
          </cell>
          <cell r="Z274">
            <v>103</v>
          </cell>
          <cell r="AA274" t="str">
            <v>ソフトウェア</v>
          </cell>
          <cell r="AB274">
            <v>99</v>
          </cell>
          <cell r="AC274" t="str">
            <v>その他</v>
          </cell>
          <cell r="AD274" t="str">
            <v>ソフトウェアその他</v>
          </cell>
          <cell r="AE274">
            <v>3</v>
          </cell>
          <cell r="AF274">
            <v>3</v>
          </cell>
        </row>
        <row r="275">
          <cell r="Y275" t="str">
            <v>11001</v>
          </cell>
          <cell r="Z275">
            <v>110</v>
          </cell>
          <cell r="AA275" t="str">
            <v>企画管理機器</v>
          </cell>
          <cell r="AB275">
            <v>1</v>
          </cell>
          <cell r="AC275" t="str">
            <v>その他・耐用年数３年</v>
          </cell>
          <cell r="AD275" t="str">
            <v>企画管理機器その他・耐用年数３年</v>
          </cell>
          <cell r="AE275">
            <v>3</v>
          </cell>
          <cell r="AF275">
            <v>3</v>
          </cell>
        </row>
        <row r="276">
          <cell r="Y276" t="str">
            <v>11002</v>
          </cell>
          <cell r="Z276">
            <v>110</v>
          </cell>
          <cell r="AA276" t="str">
            <v>企画管理機器</v>
          </cell>
          <cell r="AB276">
            <v>2</v>
          </cell>
          <cell r="AC276" t="str">
            <v>その他・耐用年数４年</v>
          </cell>
          <cell r="AD276" t="str">
            <v>企画管理機器その他・耐用年数４年</v>
          </cell>
          <cell r="AE276">
            <v>4</v>
          </cell>
          <cell r="AF276">
            <v>4</v>
          </cell>
        </row>
        <row r="277">
          <cell r="Y277" t="str">
            <v>11003</v>
          </cell>
          <cell r="Z277">
            <v>110</v>
          </cell>
          <cell r="AA277" t="str">
            <v>企画管理機器</v>
          </cell>
          <cell r="AB277">
            <v>3</v>
          </cell>
          <cell r="AC277" t="str">
            <v>その他・耐用年数５年</v>
          </cell>
          <cell r="AD277" t="str">
            <v>企画管理機器その他・耐用年数５年</v>
          </cell>
          <cell r="AE277">
            <v>5</v>
          </cell>
          <cell r="AF277">
            <v>5</v>
          </cell>
        </row>
        <row r="278">
          <cell r="Y278" t="str">
            <v>11004</v>
          </cell>
          <cell r="Z278">
            <v>110</v>
          </cell>
          <cell r="AA278" t="str">
            <v>企画管理機器</v>
          </cell>
          <cell r="AB278">
            <v>4</v>
          </cell>
          <cell r="AC278" t="str">
            <v>その他・耐用年数６年</v>
          </cell>
          <cell r="AD278" t="str">
            <v>企画管理機器その他・耐用年数６年</v>
          </cell>
          <cell r="AE278">
            <v>6</v>
          </cell>
          <cell r="AF278">
            <v>6</v>
          </cell>
        </row>
        <row r="279">
          <cell r="Y279" t="str">
            <v>11005</v>
          </cell>
          <cell r="Z279">
            <v>110</v>
          </cell>
          <cell r="AA279" t="str">
            <v>企画管理機器</v>
          </cell>
          <cell r="AB279">
            <v>5</v>
          </cell>
          <cell r="AC279" t="str">
            <v>その他・耐用年数７年</v>
          </cell>
          <cell r="AD279" t="str">
            <v>企画管理機器その他・耐用年数７年</v>
          </cell>
          <cell r="AE279">
            <v>7</v>
          </cell>
          <cell r="AF279">
            <v>7</v>
          </cell>
        </row>
        <row r="280">
          <cell r="Y280" t="str">
            <v>11077</v>
          </cell>
          <cell r="Z280">
            <v>110</v>
          </cell>
          <cell r="AA280" t="str">
            <v>企画管理機器</v>
          </cell>
          <cell r="AB280">
            <v>77</v>
          </cell>
          <cell r="AC280" t="str">
            <v>少額資産</v>
          </cell>
          <cell r="AD280" t="str">
            <v>企画管理機器少額資産</v>
          </cell>
          <cell r="AE280">
            <v>3</v>
          </cell>
          <cell r="AF280">
            <v>3</v>
          </cell>
        </row>
        <row r="282">
          <cell r="AA282" t="str">
            <v>自動車</v>
          </cell>
          <cell r="AC282" t="str">
            <v>型式</v>
          </cell>
          <cell r="AE282" t="str">
            <v>税制改正前</v>
          </cell>
          <cell r="AF282" t="str">
            <v>税制改正後</v>
          </cell>
        </row>
        <row r="283">
          <cell r="Y283" t="str">
            <v>20177</v>
          </cell>
          <cell r="Z283">
            <v>201</v>
          </cell>
          <cell r="AA283" t="str">
            <v>自動二・三輪</v>
          </cell>
          <cell r="AB283">
            <v>77</v>
          </cell>
          <cell r="AC283" t="str">
            <v>少額資産</v>
          </cell>
          <cell r="AD283" t="str">
            <v>自動二・三輪少額資産</v>
          </cell>
          <cell r="AE283">
            <v>3</v>
          </cell>
          <cell r="AF283">
            <v>3</v>
          </cell>
        </row>
        <row r="284">
          <cell r="Y284" t="str">
            <v>20199</v>
          </cell>
          <cell r="Z284">
            <v>201</v>
          </cell>
          <cell r="AA284" t="str">
            <v>自動二・三輪</v>
          </cell>
          <cell r="AB284">
            <v>99</v>
          </cell>
          <cell r="AC284" t="str">
            <v>その他</v>
          </cell>
          <cell r="AD284" t="str">
            <v>自動二・三輪その他</v>
          </cell>
          <cell r="AE284">
            <v>3</v>
          </cell>
          <cell r="AF284">
            <v>3</v>
          </cell>
        </row>
        <row r="285">
          <cell r="Y285" t="str">
            <v>20277</v>
          </cell>
          <cell r="Z285">
            <v>202</v>
          </cell>
          <cell r="AA285" t="str">
            <v>軽自動車</v>
          </cell>
          <cell r="AB285">
            <v>77</v>
          </cell>
          <cell r="AC285" t="str">
            <v>少額資産</v>
          </cell>
          <cell r="AD285" t="str">
            <v>軽自動車少額資産</v>
          </cell>
          <cell r="AE285">
            <v>3</v>
          </cell>
          <cell r="AF285">
            <v>3</v>
          </cell>
        </row>
        <row r="286">
          <cell r="Y286" t="str">
            <v>20299</v>
          </cell>
          <cell r="Z286">
            <v>202</v>
          </cell>
          <cell r="AA286" t="str">
            <v>軽自動車</v>
          </cell>
          <cell r="AB286">
            <v>99</v>
          </cell>
          <cell r="AC286" t="str">
            <v>その他</v>
          </cell>
          <cell r="AD286" t="str">
            <v>軽自動車その他</v>
          </cell>
          <cell r="AE286">
            <v>4</v>
          </cell>
          <cell r="AF286">
            <v>4</v>
          </cell>
        </row>
        <row r="287">
          <cell r="Y287" t="str">
            <v>20377</v>
          </cell>
          <cell r="Z287">
            <v>203</v>
          </cell>
          <cell r="AA287" t="str">
            <v>貨物ダンプ</v>
          </cell>
          <cell r="AB287">
            <v>77</v>
          </cell>
          <cell r="AC287" t="str">
            <v>少額資産</v>
          </cell>
          <cell r="AD287" t="str">
            <v>貨物ダンプ少額資産</v>
          </cell>
          <cell r="AE287">
            <v>3</v>
          </cell>
          <cell r="AF287">
            <v>3</v>
          </cell>
        </row>
        <row r="288">
          <cell r="Y288" t="str">
            <v>20399</v>
          </cell>
          <cell r="Z288">
            <v>203</v>
          </cell>
          <cell r="AA288" t="str">
            <v>貨物ダンプ</v>
          </cell>
          <cell r="AB288">
            <v>99</v>
          </cell>
          <cell r="AC288" t="str">
            <v>その他</v>
          </cell>
          <cell r="AD288" t="str">
            <v>貨物ダンプその他</v>
          </cell>
          <cell r="AE288">
            <v>4</v>
          </cell>
          <cell r="AF288">
            <v>4</v>
          </cell>
        </row>
        <row r="289">
          <cell r="Y289" t="str">
            <v>20477</v>
          </cell>
          <cell r="Z289">
            <v>204</v>
          </cell>
          <cell r="AA289" t="str">
            <v>貨物自動車</v>
          </cell>
          <cell r="AB289">
            <v>77</v>
          </cell>
          <cell r="AC289" t="str">
            <v>少額資産</v>
          </cell>
          <cell r="AD289" t="str">
            <v>貨物自動車少額資産</v>
          </cell>
          <cell r="AE289">
            <v>3</v>
          </cell>
          <cell r="AF289">
            <v>3</v>
          </cell>
        </row>
        <row r="290">
          <cell r="Y290" t="str">
            <v>20499</v>
          </cell>
          <cell r="Z290">
            <v>204</v>
          </cell>
          <cell r="AA290" t="str">
            <v>貨物自動車</v>
          </cell>
          <cell r="AB290">
            <v>99</v>
          </cell>
          <cell r="AC290" t="str">
            <v>その他</v>
          </cell>
          <cell r="AD290" t="str">
            <v>貨物自動車その他</v>
          </cell>
          <cell r="AE290">
            <v>5</v>
          </cell>
          <cell r="AF290">
            <v>5</v>
          </cell>
        </row>
        <row r="291">
          <cell r="Y291" t="str">
            <v>20577</v>
          </cell>
          <cell r="Z291">
            <v>205</v>
          </cell>
          <cell r="AA291" t="str">
            <v>乗用車</v>
          </cell>
          <cell r="AB291">
            <v>77</v>
          </cell>
          <cell r="AC291" t="str">
            <v>少額資産</v>
          </cell>
          <cell r="AD291" t="str">
            <v>乗用車少額資産</v>
          </cell>
          <cell r="AE291">
            <v>3</v>
          </cell>
          <cell r="AF291">
            <v>3</v>
          </cell>
        </row>
        <row r="292">
          <cell r="Y292" t="str">
            <v>20599</v>
          </cell>
          <cell r="Z292">
            <v>205</v>
          </cell>
          <cell r="AA292" t="str">
            <v>乗用車</v>
          </cell>
          <cell r="AB292">
            <v>99</v>
          </cell>
          <cell r="AC292" t="str">
            <v>その他</v>
          </cell>
          <cell r="AD292" t="str">
            <v>乗用車その他</v>
          </cell>
          <cell r="AE292">
            <v>6</v>
          </cell>
          <cell r="AF292">
            <v>6</v>
          </cell>
        </row>
        <row r="294">
          <cell r="AA294" t="str">
            <v>牛</v>
          </cell>
          <cell r="AC294" t="str">
            <v>品種</v>
          </cell>
          <cell r="AD294" t="str">
            <v>性別</v>
          </cell>
          <cell r="AE294" t="str">
            <v>税制改正前</v>
          </cell>
          <cell r="AF294" t="str">
            <v>税制改正後</v>
          </cell>
        </row>
        <row r="295">
          <cell r="Y295" t="str">
            <v>020101</v>
          </cell>
          <cell r="Z295">
            <v>2</v>
          </cell>
          <cell r="AA295" t="str">
            <v>繁殖牛</v>
          </cell>
          <cell r="AB295">
            <v>1</v>
          </cell>
          <cell r="AC295" t="str">
            <v>ホルスタイン</v>
          </cell>
          <cell r="AD295">
            <v>1</v>
          </cell>
          <cell r="AE295">
            <v>4</v>
          </cell>
          <cell r="AF295">
            <v>4</v>
          </cell>
        </row>
        <row r="296">
          <cell r="Y296" t="str">
            <v>020201</v>
          </cell>
          <cell r="Z296">
            <v>2</v>
          </cell>
          <cell r="AA296" t="str">
            <v>繁殖牛</v>
          </cell>
          <cell r="AB296">
            <v>2</v>
          </cell>
          <cell r="AC296" t="str">
            <v>ジャージー</v>
          </cell>
          <cell r="AD296">
            <v>1</v>
          </cell>
          <cell r="AE296">
            <v>4</v>
          </cell>
          <cell r="AF296">
            <v>4</v>
          </cell>
        </row>
        <row r="297">
          <cell r="Y297" t="str">
            <v>020301</v>
          </cell>
          <cell r="Z297">
            <v>2</v>
          </cell>
          <cell r="AA297" t="str">
            <v>繁殖牛</v>
          </cell>
          <cell r="AB297">
            <v>3</v>
          </cell>
          <cell r="AC297" t="str">
            <v>その他乳用種</v>
          </cell>
          <cell r="AD297">
            <v>1</v>
          </cell>
          <cell r="AE297">
            <v>4</v>
          </cell>
          <cell r="AF297">
            <v>4</v>
          </cell>
        </row>
        <row r="298">
          <cell r="Y298" t="str">
            <v>020501</v>
          </cell>
          <cell r="Z298">
            <v>2</v>
          </cell>
          <cell r="AA298" t="str">
            <v>繁殖牛</v>
          </cell>
          <cell r="AB298">
            <v>5</v>
          </cell>
          <cell r="AC298" t="str">
            <v>黒毛和種</v>
          </cell>
          <cell r="AD298">
            <v>1</v>
          </cell>
          <cell r="AE298">
            <v>4</v>
          </cell>
          <cell r="AF298">
            <v>4</v>
          </cell>
        </row>
        <row r="299">
          <cell r="Y299" t="str">
            <v>020601</v>
          </cell>
          <cell r="Z299">
            <v>2</v>
          </cell>
          <cell r="AA299" t="str">
            <v>繁殖牛</v>
          </cell>
          <cell r="AB299">
            <v>6</v>
          </cell>
          <cell r="AC299" t="str">
            <v>褐毛和種</v>
          </cell>
          <cell r="AD299">
            <v>1</v>
          </cell>
          <cell r="AE299">
            <v>4</v>
          </cell>
          <cell r="AF299">
            <v>4</v>
          </cell>
        </row>
        <row r="300">
          <cell r="Y300" t="str">
            <v>020701</v>
          </cell>
          <cell r="Z300">
            <v>2</v>
          </cell>
          <cell r="AA300" t="str">
            <v>繁殖牛</v>
          </cell>
          <cell r="AB300">
            <v>7</v>
          </cell>
          <cell r="AC300" t="str">
            <v>日本短角種</v>
          </cell>
          <cell r="AD300">
            <v>1</v>
          </cell>
          <cell r="AE300">
            <v>4</v>
          </cell>
          <cell r="AF300">
            <v>4</v>
          </cell>
        </row>
        <row r="301">
          <cell r="Y301" t="str">
            <v>020801</v>
          </cell>
          <cell r="Z301">
            <v>2</v>
          </cell>
          <cell r="AA301" t="str">
            <v>繁殖牛</v>
          </cell>
          <cell r="AB301">
            <v>8</v>
          </cell>
          <cell r="AC301" t="str">
            <v>無角和種</v>
          </cell>
          <cell r="AD301">
            <v>1</v>
          </cell>
          <cell r="AE301">
            <v>4</v>
          </cell>
          <cell r="AF301">
            <v>4</v>
          </cell>
        </row>
        <row r="302">
          <cell r="Y302" t="str">
            <v>020901</v>
          </cell>
          <cell r="Z302">
            <v>2</v>
          </cell>
          <cell r="AA302" t="str">
            <v>繁殖牛</v>
          </cell>
          <cell r="AB302">
            <v>9</v>
          </cell>
          <cell r="AC302" t="str">
            <v>外国種①</v>
          </cell>
          <cell r="AD302">
            <v>1</v>
          </cell>
          <cell r="AE302">
            <v>4</v>
          </cell>
          <cell r="AF302">
            <v>4</v>
          </cell>
        </row>
        <row r="303">
          <cell r="Y303" t="str">
            <v>021001</v>
          </cell>
          <cell r="Z303">
            <v>2</v>
          </cell>
          <cell r="AA303" t="str">
            <v>繁殖牛</v>
          </cell>
          <cell r="AB303">
            <v>10</v>
          </cell>
          <cell r="AC303" t="str">
            <v>外国種②</v>
          </cell>
          <cell r="AD303">
            <v>1</v>
          </cell>
          <cell r="AE303">
            <v>4</v>
          </cell>
          <cell r="AF303">
            <v>4</v>
          </cell>
        </row>
        <row r="304">
          <cell r="Y304" t="str">
            <v>029901</v>
          </cell>
          <cell r="Z304">
            <v>2</v>
          </cell>
          <cell r="AA304" t="str">
            <v>繁殖牛</v>
          </cell>
          <cell r="AB304">
            <v>99</v>
          </cell>
          <cell r="AC304" t="str">
            <v>その他</v>
          </cell>
          <cell r="AD304">
            <v>1</v>
          </cell>
          <cell r="AE304">
            <v>6</v>
          </cell>
          <cell r="AF304">
            <v>6</v>
          </cell>
        </row>
        <row r="305">
          <cell r="Y305" t="str">
            <v>020102</v>
          </cell>
          <cell r="Z305">
            <v>2</v>
          </cell>
          <cell r="AA305" t="str">
            <v>繁殖牛</v>
          </cell>
          <cell r="AB305">
            <v>1</v>
          </cell>
          <cell r="AC305" t="str">
            <v>ホルスタイン</v>
          </cell>
          <cell r="AD305">
            <v>2</v>
          </cell>
          <cell r="AE305">
            <v>4</v>
          </cell>
          <cell r="AF305">
            <v>4</v>
          </cell>
        </row>
        <row r="306">
          <cell r="Y306" t="str">
            <v>020202</v>
          </cell>
          <cell r="Z306">
            <v>2</v>
          </cell>
          <cell r="AA306" t="str">
            <v>繁殖牛</v>
          </cell>
          <cell r="AB306">
            <v>2</v>
          </cell>
          <cell r="AC306" t="str">
            <v>ジャージー</v>
          </cell>
          <cell r="AD306">
            <v>2</v>
          </cell>
          <cell r="AE306">
            <v>4</v>
          </cell>
          <cell r="AF306">
            <v>4</v>
          </cell>
        </row>
        <row r="307">
          <cell r="Y307" t="str">
            <v>020302</v>
          </cell>
          <cell r="Z307">
            <v>2</v>
          </cell>
          <cell r="AA307" t="str">
            <v>繁殖牛</v>
          </cell>
          <cell r="AB307">
            <v>3</v>
          </cell>
          <cell r="AC307" t="str">
            <v>その他乳用種</v>
          </cell>
          <cell r="AD307">
            <v>2</v>
          </cell>
          <cell r="AE307">
            <v>4</v>
          </cell>
          <cell r="AF307">
            <v>4</v>
          </cell>
        </row>
        <row r="308">
          <cell r="Y308" t="str">
            <v>020502</v>
          </cell>
          <cell r="Z308">
            <v>2</v>
          </cell>
          <cell r="AA308" t="str">
            <v>繁殖牛</v>
          </cell>
          <cell r="AB308">
            <v>5</v>
          </cell>
          <cell r="AC308" t="str">
            <v>黒毛和種</v>
          </cell>
          <cell r="AD308">
            <v>2</v>
          </cell>
          <cell r="AE308">
            <v>5</v>
          </cell>
          <cell r="AF308">
            <v>6</v>
          </cell>
        </row>
        <row r="309">
          <cell r="Y309" t="str">
            <v>020602</v>
          </cell>
          <cell r="Z309">
            <v>2</v>
          </cell>
          <cell r="AA309" t="str">
            <v>繁殖牛</v>
          </cell>
          <cell r="AB309">
            <v>6</v>
          </cell>
          <cell r="AC309" t="str">
            <v>褐毛和種</v>
          </cell>
          <cell r="AD309">
            <v>2</v>
          </cell>
          <cell r="AE309">
            <v>5</v>
          </cell>
          <cell r="AF309">
            <v>6</v>
          </cell>
        </row>
        <row r="310">
          <cell r="Y310" t="str">
            <v>020702</v>
          </cell>
          <cell r="Z310">
            <v>2</v>
          </cell>
          <cell r="AA310" t="str">
            <v>繁殖牛</v>
          </cell>
          <cell r="AB310">
            <v>7</v>
          </cell>
          <cell r="AC310" t="str">
            <v>日本短角種</v>
          </cell>
          <cell r="AD310">
            <v>2</v>
          </cell>
          <cell r="AE310">
            <v>5</v>
          </cell>
          <cell r="AF310">
            <v>6</v>
          </cell>
        </row>
        <row r="311">
          <cell r="Y311" t="str">
            <v>020802</v>
          </cell>
          <cell r="Z311">
            <v>2</v>
          </cell>
          <cell r="AA311" t="str">
            <v>繁殖牛</v>
          </cell>
          <cell r="AB311">
            <v>8</v>
          </cell>
          <cell r="AC311" t="str">
            <v>無角和種</v>
          </cell>
          <cell r="AD311">
            <v>2</v>
          </cell>
          <cell r="AE311">
            <v>5</v>
          </cell>
          <cell r="AF311">
            <v>6</v>
          </cell>
        </row>
        <row r="312">
          <cell r="Y312" t="str">
            <v>020902</v>
          </cell>
          <cell r="Z312">
            <v>2</v>
          </cell>
          <cell r="AA312" t="str">
            <v>繁殖牛</v>
          </cell>
          <cell r="AB312">
            <v>9</v>
          </cell>
          <cell r="AC312" t="str">
            <v>外国種①</v>
          </cell>
          <cell r="AD312">
            <v>2</v>
          </cell>
          <cell r="AE312">
            <v>5</v>
          </cell>
          <cell r="AF312">
            <v>6</v>
          </cell>
        </row>
        <row r="313">
          <cell r="Y313" t="str">
            <v>021002</v>
          </cell>
          <cell r="Z313">
            <v>2</v>
          </cell>
          <cell r="AA313" t="str">
            <v>繁殖牛</v>
          </cell>
          <cell r="AB313">
            <v>10</v>
          </cell>
          <cell r="AC313" t="str">
            <v>外国種②</v>
          </cell>
          <cell r="AD313">
            <v>2</v>
          </cell>
          <cell r="AE313">
            <v>5</v>
          </cell>
          <cell r="AF313">
            <v>6</v>
          </cell>
        </row>
        <row r="314">
          <cell r="Y314" t="str">
            <v>029902</v>
          </cell>
          <cell r="Z314">
            <v>2</v>
          </cell>
          <cell r="AA314" t="str">
            <v>繁殖牛</v>
          </cell>
          <cell r="AB314">
            <v>99</v>
          </cell>
          <cell r="AC314" t="str">
            <v>その他</v>
          </cell>
          <cell r="AD314">
            <v>2</v>
          </cell>
          <cell r="AE314">
            <v>6</v>
          </cell>
          <cell r="AF314">
            <v>6</v>
          </cell>
        </row>
        <row r="316">
          <cell r="AA316" t="str">
            <v>馬</v>
          </cell>
          <cell r="AC316" t="str">
            <v>品種</v>
          </cell>
          <cell r="AD316" t="str">
            <v>性別</v>
          </cell>
          <cell r="AE316" t="str">
            <v>税制改正前</v>
          </cell>
          <cell r="AF316" t="str">
            <v>税制改正後</v>
          </cell>
        </row>
        <row r="317">
          <cell r="Y317" t="str">
            <v>030201</v>
          </cell>
          <cell r="Z317">
            <v>3</v>
          </cell>
          <cell r="AA317" t="str">
            <v>馬</v>
          </cell>
          <cell r="AB317">
            <v>2</v>
          </cell>
          <cell r="AC317" t="str">
            <v>繁殖用</v>
          </cell>
          <cell r="AD317">
            <v>1</v>
          </cell>
          <cell r="AE317">
            <v>6</v>
          </cell>
          <cell r="AF317">
            <v>6</v>
          </cell>
        </row>
        <row r="318">
          <cell r="Y318" t="str">
            <v>030301</v>
          </cell>
          <cell r="Z318">
            <v>3</v>
          </cell>
          <cell r="AA318" t="str">
            <v>馬</v>
          </cell>
          <cell r="AB318">
            <v>3</v>
          </cell>
          <cell r="AC318" t="str">
            <v>農業使役用</v>
          </cell>
          <cell r="AD318">
            <v>1</v>
          </cell>
          <cell r="AE318">
            <v>8</v>
          </cell>
          <cell r="AF318">
            <v>8</v>
          </cell>
        </row>
        <row r="319">
          <cell r="Y319" t="str">
            <v>030401</v>
          </cell>
          <cell r="Z319">
            <v>3</v>
          </cell>
          <cell r="AA319" t="str">
            <v>馬</v>
          </cell>
          <cell r="AB319">
            <v>4</v>
          </cell>
          <cell r="AC319" t="str">
            <v>小運搬使役用</v>
          </cell>
          <cell r="AD319">
            <v>1</v>
          </cell>
          <cell r="AE319">
            <v>6</v>
          </cell>
          <cell r="AF319">
            <v>6</v>
          </cell>
        </row>
        <row r="320">
          <cell r="Y320" t="str">
            <v>030202</v>
          </cell>
          <cell r="Z320">
            <v>3</v>
          </cell>
          <cell r="AA320" t="str">
            <v>馬</v>
          </cell>
          <cell r="AB320">
            <v>2</v>
          </cell>
          <cell r="AC320" t="str">
            <v>繁殖用</v>
          </cell>
          <cell r="AD320">
            <v>2</v>
          </cell>
          <cell r="AE320">
            <v>7</v>
          </cell>
          <cell r="AF320">
            <v>7</v>
          </cell>
        </row>
        <row r="321">
          <cell r="Y321" t="str">
            <v>030302</v>
          </cell>
          <cell r="Z321">
            <v>3</v>
          </cell>
          <cell r="AA321" t="str">
            <v>馬</v>
          </cell>
          <cell r="AB321">
            <v>3</v>
          </cell>
          <cell r="AC321" t="str">
            <v>農業使役用</v>
          </cell>
          <cell r="AD321">
            <v>2</v>
          </cell>
          <cell r="AE321">
            <v>8</v>
          </cell>
          <cell r="AF321">
            <v>8</v>
          </cell>
        </row>
        <row r="322">
          <cell r="Y322" t="str">
            <v>030402</v>
          </cell>
          <cell r="Z322">
            <v>3</v>
          </cell>
          <cell r="AA322" t="str">
            <v>馬</v>
          </cell>
          <cell r="AB322">
            <v>4</v>
          </cell>
          <cell r="AC322" t="str">
            <v>小運搬使役用</v>
          </cell>
          <cell r="AD322">
            <v>2</v>
          </cell>
          <cell r="AE322">
            <v>6</v>
          </cell>
          <cell r="AF32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A549-3498-4196-ABB1-F7D8C37CE984}">
  <dimension ref="B1:Y570"/>
  <sheetViews>
    <sheetView showGridLines="0" tabSelected="1" view="pageBreakPreview" zoomScaleNormal="100" zoomScaleSheetLayoutView="100" workbookViewId="0">
      <pane xSplit="1" ySplit="8" topLeftCell="B9" activePane="bottomRight" state="frozen"/>
      <selection activeCell="P11" sqref="P11:U11"/>
      <selection pane="topRight" activeCell="P11" sqref="P11:U11"/>
      <selection pane="bottomLeft" activeCell="P11" sqref="P11:U11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13" style="1" customWidth="1"/>
    <col min="4" max="14" width="9.77734375" style="1" customWidth="1"/>
    <col min="15" max="15" width="1.6640625" style="1" customWidth="1"/>
    <col min="16" max="22" width="9.77734375" style="1" customWidth="1"/>
    <col min="23" max="25" width="1.21875" style="1" customWidth="1"/>
    <col min="26" max="16384" width="1.21875" style="1"/>
  </cols>
  <sheetData>
    <row r="1" spans="2:25" ht="22.5" customHeight="1" thickBot="1" x14ac:dyDescent="0.25">
      <c r="C1" s="107" t="s">
        <v>87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2:25" ht="22.5" customHeight="1" x14ac:dyDescent="0.2">
      <c r="C2" s="108" t="s">
        <v>89</v>
      </c>
      <c r="D2" s="109"/>
      <c r="E2" s="110"/>
      <c r="F2" s="4"/>
      <c r="G2" s="4"/>
      <c r="H2" s="4"/>
      <c r="I2" s="4"/>
      <c r="J2" s="4"/>
      <c r="K2" s="4"/>
      <c r="L2" s="4"/>
      <c r="M2" s="4"/>
      <c r="N2" s="4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2:25" ht="22.5" customHeight="1" thickBot="1" x14ac:dyDescent="0.25">
      <c r="C3" s="111"/>
      <c r="D3" s="112"/>
      <c r="E3" s="113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2:25" ht="7.5" customHeight="1" thickBot="1" x14ac:dyDescent="0.25">
      <c r="F4" s="2"/>
    </row>
    <row r="5" spans="2:25" ht="15" customHeight="1" thickBot="1" x14ac:dyDescent="0.25">
      <c r="B5" s="57"/>
      <c r="C5" s="114" t="s">
        <v>76</v>
      </c>
      <c r="D5" s="115"/>
      <c r="E5" s="115"/>
      <c r="F5" s="115"/>
      <c r="G5" s="116"/>
      <c r="H5" s="117" t="s">
        <v>85</v>
      </c>
      <c r="I5" s="118"/>
      <c r="J5" s="118"/>
      <c r="K5" s="118"/>
      <c r="L5" s="118"/>
      <c r="M5" s="118"/>
      <c r="N5" s="119"/>
    </row>
    <row r="6" spans="2:25" s="3" customFormat="1" ht="30" customHeight="1" x14ac:dyDescent="0.2">
      <c r="B6" s="71" t="s">
        <v>70</v>
      </c>
      <c r="C6" s="58" t="s">
        <v>14</v>
      </c>
      <c r="D6" s="59" t="s">
        <v>1</v>
      </c>
      <c r="E6" s="60" t="s">
        <v>2</v>
      </c>
      <c r="F6" s="60" t="s">
        <v>3</v>
      </c>
      <c r="G6" s="61" t="s">
        <v>15</v>
      </c>
      <c r="H6" s="62"/>
      <c r="I6" s="63"/>
      <c r="J6" s="63"/>
      <c r="K6" s="63"/>
      <c r="L6" s="63"/>
      <c r="M6" s="64"/>
      <c r="N6" s="65"/>
    </row>
    <row r="7" spans="2:25" s="3" customFormat="1" ht="30" customHeight="1" thickBot="1" x14ac:dyDescent="0.25">
      <c r="B7" s="88" t="s">
        <v>72</v>
      </c>
      <c r="C7" s="89" t="s">
        <v>68</v>
      </c>
      <c r="D7" s="90" t="s">
        <v>69</v>
      </c>
      <c r="E7" s="91" t="s">
        <v>68</v>
      </c>
      <c r="F7" s="91" t="s">
        <v>69</v>
      </c>
      <c r="G7" s="92" t="s">
        <v>69</v>
      </c>
      <c r="H7" s="66" t="s">
        <v>4</v>
      </c>
      <c r="I7" s="67" t="s">
        <v>67</v>
      </c>
      <c r="J7" s="68" t="s">
        <v>7</v>
      </c>
      <c r="K7" s="68" t="s">
        <v>75</v>
      </c>
      <c r="L7" s="68" t="s">
        <v>5</v>
      </c>
      <c r="M7" s="69" t="s">
        <v>73</v>
      </c>
      <c r="N7" s="70" t="s">
        <v>6</v>
      </c>
    </row>
    <row r="8" spans="2:25" s="3" customFormat="1" ht="10.5" customHeight="1" x14ac:dyDescent="0.2">
      <c r="B8" s="21"/>
      <c r="C8" s="23"/>
      <c r="D8" s="5"/>
      <c r="E8" s="10"/>
      <c r="F8" s="10"/>
      <c r="G8" s="11"/>
      <c r="H8" s="9" t="s">
        <v>0</v>
      </c>
      <c r="I8" s="5"/>
      <c r="J8" s="10" t="s">
        <v>0</v>
      </c>
      <c r="K8" s="10" t="s">
        <v>0</v>
      </c>
      <c r="L8" s="10" t="s">
        <v>0</v>
      </c>
      <c r="M8" s="10" t="s">
        <v>0</v>
      </c>
      <c r="N8" s="11" t="s">
        <v>0</v>
      </c>
    </row>
    <row r="9" spans="2:25" s="3" customFormat="1" ht="15" customHeight="1" x14ac:dyDescent="0.2">
      <c r="B9" s="22" t="s">
        <v>71</v>
      </c>
      <c r="C9" s="24"/>
      <c r="D9" s="6"/>
      <c r="E9" s="12"/>
      <c r="F9" s="12"/>
      <c r="G9" s="13"/>
      <c r="H9" s="103">
        <f>SUM(I9,M9,N9)</f>
        <v>0</v>
      </c>
      <c r="I9" s="6">
        <f t="shared" ref="I9" si="0">SUM(J9:L9)</f>
        <v>0</v>
      </c>
      <c r="J9" s="12">
        <f>SUMIFS(月別入力!$J:$J,月別入力!$E:$E,設定!$C9,月別入力!$D:$D,設定!J$7,月別入力!$B:$B,設定!$B9)</f>
        <v>0</v>
      </c>
      <c r="K9" s="12">
        <f>SUMIFS(月別入力!$J:$J,月別入力!$E:$E,設定!$C9,月別入力!$D:$D,設定!K$7,月別入力!$B:$B,設定!$B9)</f>
        <v>0</v>
      </c>
      <c r="L9" s="12">
        <f>SUMIFS(月別入力!$J:$J,月別入力!$E:$E,設定!$C9,月別入力!$D:$D,設定!L$7,月別入力!$B:$B,設定!$B9)</f>
        <v>0</v>
      </c>
      <c r="M9" s="12">
        <f>SUMIFS(月別入力!$J:$J,月別入力!$E:$E,設定!$C9,月別入力!$D:$D,設定!M$7,月別入力!$B:$B,設定!$B9)</f>
        <v>0</v>
      </c>
      <c r="N9" s="13">
        <f>SUMIFS(月別入力!$J:$J,月別入力!$E:$E,設定!$C9,月別入力!$D:$D,設定!N$7,月別入力!$B:$B,設定!$B9)</f>
        <v>0</v>
      </c>
    </row>
    <row r="10" spans="2:25" s="3" customFormat="1" ht="15" customHeight="1" x14ac:dyDescent="0.2">
      <c r="B10" s="72" t="str">
        <f>B$9</f>
        <v>&lt;=12</v>
      </c>
      <c r="C10" s="25"/>
      <c r="D10" s="7"/>
      <c r="E10" s="14"/>
      <c r="F10" s="15"/>
      <c r="G10" s="16"/>
      <c r="H10" s="103">
        <f t="shared" ref="H10:H29" si="1">SUM(I10,M10,N10)</f>
        <v>0</v>
      </c>
      <c r="I10" s="6">
        <f t="shared" ref="I10:I29" si="2">SUM(J10:L10)</f>
        <v>0</v>
      </c>
      <c r="J10" s="12">
        <f>SUMIFS(月別入力!$J:$J,月別入力!$E:$E,設定!$C10,月別入力!$D:$D,設定!J$7,月別入力!$B:$B,設定!$B10)</f>
        <v>0</v>
      </c>
      <c r="K10" s="12">
        <f>SUMIFS(月別入力!$J:$J,月別入力!$E:$E,設定!$C10,月別入力!$D:$D,設定!K$7,月別入力!$B:$B,設定!$B10)</f>
        <v>0</v>
      </c>
      <c r="L10" s="12">
        <f>SUMIFS(月別入力!$J:$J,月別入力!$E:$E,設定!$C10,月別入力!$D:$D,設定!L$7,月別入力!$B:$B,設定!$B10)</f>
        <v>0</v>
      </c>
      <c r="M10" s="12">
        <f>SUMIFS(月別入力!$J:$J,月別入力!$E:$E,設定!$C10,月別入力!$D:$D,設定!M$7,月別入力!$B:$B,設定!$B10)</f>
        <v>0</v>
      </c>
      <c r="N10" s="13">
        <f>SUMIFS(月別入力!$J:$J,月別入力!$E:$E,設定!$C10,月別入力!$D:$D,設定!N$7,月別入力!$B:$B,設定!$B10)</f>
        <v>0</v>
      </c>
    </row>
    <row r="11" spans="2:25" s="3" customFormat="1" ht="15" customHeight="1" x14ac:dyDescent="0.2">
      <c r="B11" s="72" t="str">
        <f t="shared" ref="B11:B74" si="3">B$9</f>
        <v>&lt;=12</v>
      </c>
      <c r="C11" s="25"/>
      <c r="D11" s="7"/>
      <c r="E11" s="14"/>
      <c r="F11" s="15"/>
      <c r="G11" s="16"/>
      <c r="H11" s="103">
        <f t="shared" si="1"/>
        <v>0</v>
      </c>
      <c r="I11" s="6">
        <f t="shared" si="2"/>
        <v>0</v>
      </c>
      <c r="J11" s="12">
        <f>SUMIFS(月別入力!$J:$J,月別入力!$E:$E,設定!$C11,月別入力!$D:$D,設定!J$7,月別入力!$B:$B,設定!$B11)</f>
        <v>0</v>
      </c>
      <c r="K11" s="12">
        <f>SUMIFS(月別入力!$J:$J,月別入力!$E:$E,設定!$C11,月別入力!$D:$D,設定!K$7,月別入力!$B:$B,設定!$B11)</f>
        <v>0</v>
      </c>
      <c r="L11" s="12">
        <f>SUMIFS(月別入力!$J:$J,月別入力!$E:$E,設定!$C11,月別入力!$D:$D,設定!L$7,月別入力!$B:$B,設定!$B11)</f>
        <v>0</v>
      </c>
      <c r="M11" s="12">
        <f>SUMIFS(月別入力!$J:$J,月別入力!$E:$E,設定!$C11,月別入力!$D:$D,設定!M$7,月別入力!$B:$B,設定!$B11)</f>
        <v>0</v>
      </c>
      <c r="N11" s="13">
        <f>SUMIFS(月別入力!$J:$J,月別入力!$E:$E,設定!$C11,月別入力!$D:$D,設定!N$7,月別入力!$B:$B,設定!$B11)</f>
        <v>0</v>
      </c>
    </row>
    <row r="12" spans="2:25" s="3" customFormat="1" ht="15" customHeight="1" x14ac:dyDescent="0.2">
      <c r="B12" s="72" t="str">
        <f t="shared" si="3"/>
        <v>&lt;=12</v>
      </c>
      <c r="C12" s="25"/>
      <c r="D12" s="7"/>
      <c r="E12" s="14"/>
      <c r="F12" s="15"/>
      <c r="G12" s="16"/>
      <c r="H12" s="103">
        <f t="shared" si="1"/>
        <v>0</v>
      </c>
      <c r="I12" s="6">
        <f t="shared" si="2"/>
        <v>0</v>
      </c>
      <c r="J12" s="12">
        <f>SUMIFS(月別入力!$J:$J,月別入力!$E:$E,設定!$C12,月別入力!$D:$D,設定!J$7,月別入力!$B:$B,設定!$B12)</f>
        <v>0</v>
      </c>
      <c r="K12" s="12">
        <f>SUMIFS(月別入力!$J:$J,月別入力!$E:$E,設定!$C12,月別入力!$D:$D,設定!K$7,月別入力!$B:$B,設定!$B12)</f>
        <v>0</v>
      </c>
      <c r="L12" s="12">
        <f>SUMIFS(月別入力!$J:$J,月別入力!$E:$E,設定!$C12,月別入力!$D:$D,設定!L$7,月別入力!$B:$B,設定!$B12)</f>
        <v>0</v>
      </c>
      <c r="M12" s="12">
        <f>SUMIFS(月別入力!$J:$J,月別入力!$E:$E,設定!$C12,月別入力!$D:$D,設定!M$7,月別入力!$B:$B,設定!$B12)</f>
        <v>0</v>
      </c>
      <c r="N12" s="13">
        <f>SUMIFS(月別入力!$J:$J,月別入力!$E:$E,設定!$C12,月別入力!$D:$D,設定!N$7,月別入力!$B:$B,設定!$B12)</f>
        <v>0</v>
      </c>
    </row>
    <row r="13" spans="2:25" s="3" customFormat="1" ht="15" customHeight="1" x14ac:dyDescent="0.2">
      <c r="B13" s="72" t="str">
        <f t="shared" si="3"/>
        <v>&lt;=12</v>
      </c>
      <c r="C13" s="25"/>
      <c r="D13" s="7"/>
      <c r="E13" s="14"/>
      <c r="F13" s="15"/>
      <c r="G13" s="16"/>
      <c r="H13" s="103">
        <f t="shared" si="1"/>
        <v>0</v>
      </c>
      <c r="I13" s="6">
        <f t="shared" si="2"/>
        <v>0</v>
      </c>
      <c r="J13" s="12">
        <f>SUMIFS(月別入力!$J:$J,月別入力!$E:$E,設定!$C13,月別入力!$D:$D,設定!J$7,月別入力!$B:$B,設定!$B13)</f>
        <v>0</v>
      </c>
      <c r="K13" s="12">
        <f>SUMIFS(月別入力!$J:$J,月別入力!$E:$E,設定!$C13,月別入力!$D:$D,設定!K$7,月別入力!$B:$B,設定!$B13)</f>
        <v>0</v>
      </c>
      <c r="L13" s="12">
        <f>SUMIFS(月別入力!$J:$J,月別入力!$E:$E,設定!$C13,月別入力!$D:$D,設定!L$7,月別入力!$B:$B,設定!$B13)</f>
        <v>0</v>
      </c>
      <c r="M13" s="12">
        <f>SUMIFS(月別入力!$J:$J,月別入力!$E:$E,設定!$C13,月別入力!$D:$D,設定!M$7,月別入力!$B:$B,設定!$B13)</f>
        <v>0</v>
      </c>
      <c r="N13" s="13">
        <f>SUMIFS(月別入力!$J:$J,月別入力!$E:$E,設定!$C13,月別入力!$D:$D,設定!N$7,月別入力!$B:$B,設定!$B13)</f>
        <v>0</v>
      </c>
    </row>
    <row r="14" spans="2:25" s="3" customFormat="1" ht="15" customHeight="1" x14ac:dyDescent="0.2">
      <c r="B14" s="73" t="str">
        <f t="shared" si="3"/>
        <v>&lt;=12</v>
      </c>
      <c r="C14" s="26"/>
      <c r="D14" s="7"/>
      <c r="E14" s="14"/>
      <c r="F14" s="15"/>
      <c r="G14" s="16"/>
      <c r="H14" s="103">
        <f t="shared" si="1"/>
        <v>0</v>
      </c>
      <c r="I14" s="6">
        <f t="shared" si="2"/>
        <v>0</v>
      </c>
      <c r="J14" s="12">
        <f>SUMIFS(月別入力!$J:$J,月別入力!$E:$E,設定!$C14,月別入力!$D:$D,設定!J$7,月別入力!$B:$B,設定!$B14)</f>
        <v>0</v>
      </c>
      <c r="K14" s="12">
        <f>SUMIFS(月別入力!$J:$J,月別入力!$E:$E,設定!$C14,月別入力!$D:$D,設定!K$7,月別入力!$B:$B,設定!$B14)</f>
        <v>0</v>
      </c>
      <c r="L14" s="12">
        <f>SUMIFS(月別入力!$J:$J,月別入力!$E:$E,設定!$C14,月別入力!$D:$D,設定!L$7,月別入力!$B:$B,設定!$B14)</f>
        <v>0</v>
      </c>
      <c r="M14" s="12">
        <f>SUMIFS(月別入力!$J:$J,月別入力!$E:$E,設定!$C14,月別入力!$D:$D,設定!M$7,月別入力!$B:$B,設定!$B14)</f>
        <v>0</v>
      </c>
      <c r="N14" s="13">
        <f>SUMIFS(月別入力!$J:$J,月別入力!$E:$E,設定!$C14,月別入力!$D:$D,設定!N$7,月別入力!$B:$B,設定!$B14)</f>
        <v>0</v>
      </c>
    </row>
    <row r="15" spans="2:25" s="3" customFormat="1" ht="15" customHeight="1" x14ac:dyDescent="0.2">
      <c r="B15" s="73" t="str">
        <f t="shared" si="3"/>
        <v>&lt;=12</v>
      </c>
      <c r="C15" s="26"/>
      <c r="D15" s="7"/>
      <c r="E15" s="14"/>
      <c r="F15" s="15"/>
      <c r="G15" s="16"/>
      <c r="H15" s="103">
        <f t="shared" si="1"/>
        <v>0</v>
      </c>
      <c r="I15" s="6">
        <f t="shared" si="2"/>
        <v>0</v>
      </c>
      <c r="J15" s="12">
        <f>SUMIFS(月別入力!$J:$J,月別入力!$E:$E,設定!$C15,月別入力!$D:$D,設定!J$7,月別入力!$B:$B,設定!$B15)</f>
        <v>0</v>
      </c>
      <c r="K15" s="12">
        <f>SUMIFS(月別入力!$J:$J,月別入力!$E:$E,設定!$C15,月別入力!$D:$D,設定!K$7,月別入力!$B:$B,設定!$B15)</f>
        <v>0</v>
      </c>
      <c r="L15" s="12">
        <f>SUMIFS(月別入力!$J:$J,月別入力!$E:$E,設定!$C15,月別入力!$D:$D,設定!L$7,月別入力!$B:$B,設定!$B15)</f>
        <v>0</v>
      </c>
      <c r="M15" s="12">
        <f>SUMIFS(月別入力!$J:$J,月別入力!$E:$E,設定!$C15,月別入力!$D:$D,設定!M$7,月別入力!$B:$B,設定!$B15)</f>
        <v>0</v>
      </c>
      <c r="N15" s="13">
        <f>SUMIFS(月別入力!$J:$J,月別入力!$E:$E,設定!$C15,月別入力!$D:$D,設定!N$7,月別入力!$B:$B,設定!$B15)</f>
        <v>0</v>
      </c>
    </row>
    <row r="16" spans="2:25" s="3" customFormat="1" ht="15" customHeight="1" x14ac:dyDescent="0.2">
      <c r="B16" s="73" t="str">
        <f t="shared" si="3"/>
        <v>&lt;=12</v>
      </c>
      <c r="C16" s="26"/>
      <c r="D16" s="7"/>
      <c r="E16" s="14"/>
      <c r="F16" s="15"/>
      <c r="G16" s="16"/>
      <c r="H16" s="103">
        <f t="shared" si="1"/>
        <v>0</v>
      </c>
      <c r="I16" s="6">
        <f t="shared" si="2"/>
        <v>0</v>
      </c>
      <c r="J16" s="12">
        <f>SUMIFS(月別入力!$J:$J,月別入力!$E:$E,設定!$C16,月別入力!$D:$D,設定!J$7,月別入力!$B:$B,設定!$B16)</f>
        <v>0</v>
      </c>
      <c r="K16" s="12">
        <f>SUMIFS(月別入力!$J:$J,月別入力!$E:$E,設定!$C16,月別入力!$D:$D,設定!K$7,月別入力!$B:$B,設定!$B16)</f>
        <v>0</v>
      </c>
      <c r="L16" s="12">
        <f>SUMIFS(月別入力!$J:$J,月別入力!$E:$E,設定!$C16,月別入力!$D:$D,設定!L$7,月別入力!$B:$B,設定!$B16)</f>
        <v>0</v>
      </c>
      <c r="M16" s="12">
        <f>SUMIFS(月別入力!$J:$J,月別入力!$E:$E,設定!$C16,月別入力!$D:$D,設定!M$7,月別入力!$B:$B,設定!$B16)</f>
        <v>0</v>
      </c>
      <c r="N16" s="13">
        <f>SUMIFS(月別入力!$J:$J,月別入力!$E:$E,設定!$C16,月別入力!$D:$D,設定!N$7,月別入力!$B:$B,設定!$B16)</f>
        <v>0</v>
      </c>
    </row>
    <row r="17" spans="2:14" s="3" customFormat="1" ht="15" customHeight="1" x14ac:dyDescent="0.2">
      <c r="B17" s="73" t="str">
        <f t="shared" si="3"/>
        <v>&lt;=12</v>
      </c>
      <c r="C17" s="26"/>
      <c r="D17" s="7"/>
      <c r="E17" s="14"/>
      <c r="F17" s="15"/>
      <c r="G17" s="16"/>
      <c r="H17" s="103">
        <f t="shared" si="1"/>
        <v>0</v>
      </c>
      <c r="I17" s="6">
        <f t="shared" si="2"/>
        <v>0</v>
      </c>
      <c r="J17" s="12">
        <f>SUMIFS(月別入力!$J:$J,月別入力!$E:$E,設定!$C17,月別入力!$D:$D,設定!J$7,月別入力!$B:$B,設定!$B17)</f>
        <v>0</v>
      </c>
      <c r="K17" s="12">
        <f>SUMIFS(月別入力!$J:$J,月別入力!$E:$E,設定!$C17,月別入力!$D:$D,設定!K$7,月別入力!$B:$B,設定!$B17)</f>
        <v>0</v>
      </c>
      <c r="L17" s="12">
        <f>SUMIFS(月別入力!$J:$J,月別入力!$E:$E,設定!$C17,月別入力!$D:$D,設定!L$7,月別入力!$B:$B,設定!$B17)</f>
        <v>0</v>
      </c>
      <c r="M17" s="12">
        <f>SUMIFS(月別入力!$J:$J,月別入力!$E:$E,設定!$C17,月別入力!$D:$D,設定!M$7,月別入力!$B:$B,設定!$B17)</f>
        <v>0</v>
      </c>
      <c r="N17" s="13">
        <f>SUMIFS(月別入力!$J:$J,月別入力!$E:$E,設定!$C17,月別入力!$D:$D,設定!N$7,月別入力!$B:$B,設定!$B17)</f>
        <v>0</v>
      </c>
    </row>
    <row r="18" spans="2:14" s="3" customFormat="1" ht="15" customHeight="1" x14ac:dyDescent="0.2">
      <c r="B18" s="73" t="str">
        <f t="shared" si="3"/>
        <v>&lt;=12</v>
      </c>
      <c r="C18" s="26"/>
      <c r="D18" s="7"/>
      <c r="E18" s="14"/>
      <c r="F18" s="15"/>
      <c r="G18" s="16"/>
      <c r="H18" s="103">
        <f t="shared" si="1"/>
        <v>0</v>
      </c>
      <c r="I18" s="6">
        <f t="shared" si="2"/>
        <v>0</v>
      </c>
      <c r="J18" s="12">
        <f>SUMIFS(月別入力!$J:$J,月別入力!$E:$E,設定!$C18,月別入力!$D:$D,設定!J$7,月別入力!$B:$B,設定!$B18)</f>
        <v>0</v>
      </c>
      <c r="K18" s="12">
        <f>SUMIFS(月別入力!$J:$J,月別入力!$E:$E,設定!$C18,月別入力!$D:$D,設定!K$7,月別入力!$B:$B,設定!$B18)</f>
        <v>0</v>
      </c>
      <c r="L18" s="12">
        <f>SUMIFS(月別入力!$J:$J,月別入力!$E:$E,設定!$C18,月別入力!$D:$D,設定!L$7,月別入力!$B:$B,設定!$B18)</f>
        <v>0</v>
      </c>
      <c r="M18" s="12">
        <f>SUMIFS(月別入力!$J:$J,月別入力!$E:$E,設定!$C18,月別入力!$D:$D,設定!M$7,月別入力!$B:$B,設定!$B18)</f>
        <v>0</v>
      </c>
      <c r="N18" s="13">
        <f>SUMIFS(月別入力!$J:$J,月別入力!$E:$E,設定!$C18,月別入力!$D:$D,設定!N$7,月別入力!$B:$B,設定!$B18)</f>
        <v>0</v>
      </c>
    </row>
    <row r="19" spans="2:14" s="3" customFormat="1" ht="15" customHeight="1" x14ac:dyDescent="0.2">
      <c r="B19" s="73" t="str">
        <f t="shared" si="3"/>
        <v>&lt;=12</v>
      </c>
      <c r="C19" s="26"/>
      <c r="D19" s="7"/>
      <c r="E19" s="14"/>
      <c r="F19" s="15"/>
      <c r="G19" s="16"/>
      <c r="H19" s="103">
        <f t="shared" si="1"/>
        <v>0</v>
      </c>
      <c r="I19" s="6">
        <f t="shared" si="2"/>
        <v>0</v>
      </c>
      <c r="J19" s="12">
        <f>SUMIFS(月別入力!$J:$J,月別入力!$E:$E,設定!$C19,月別入力!$D:$D,設定!J$7,月別入力!$B:$B,設定!$B19)</f>
        <v>0</v>
      </c>
      <c r="K19" s="12">
        <f>SUMIFS(月別入力!$J:$J,月別入力!$E:$E,設定!$C19,月別入力!$D:$D,設定!K$7,月別入力!$B:$B,設定!$B19)</f>
        <v>0</v>
      </c>
      <c r="L19" s="12">
        <f>SUMIFS(月別入力!$J:$J,月別入力!$E:$E,設定!$C19,月別入力!$D:$D,設定!L$7,月別入力!$B:$B,設定!$B19)</f>
        <v>0</v>
      </c>
      <c r="M19" s="12">
        <f>SUMIFS(月別入力!$J:$J,月別入力!$E:$E,設定!$C19,月別入力!$D:$D,設定!M$7,月別入力!$B:$B,設定!$B19)</f>
        <v>0</v>
      </c>
      <c r="N19" s="13">
        <f>SUMIFS(月別入力!$J:$J,月別入力!$E:$E,設定!$C19,月別入力!$D:$D,設定!N$7,月別入力!$B:$B,設定!$B19)</f>
        <v>0</v>
      </c>
    </row>
    <row r="20" spans="2:14" s="3" customFormat="1" ht="15" customHeight="1" x14ac:dyDescent="0.2">
      <c r="B20" s="73" t="str">
        <f t="shared" si="3"/>
        <v>&lt;=12</v>
      </c>
      <c r="C20" s="26"/>
      <c r="D20" s="7"/>
      <c r="E20" s="14"/>
      <c r="F20" s="15"/>
      <c r="G20" s="16"/>
      <c r="H20" s="103">
        <f t="shared" si="1"/>
        <v>0</v>
      </c>
      <c r="I20" s="6">
        <f t="shared" si="2"/>
        <v>0</v>
      </c>
      <c r="J20" s="12">
        <f>SUMIFS(月別入力!$J:$J,月別入力!$E:$E,設定!$C20,月別入力!$D:$D,設定!J$7,月別入力!$B:$B,設定!$B20)</f>
        <v>0</v>
      </c>
      <c r="K20" s="12">
        <f>SUMIFS(月別入力!$J:$J,月別入力!$E:$E,設定!$C20,月別入力!$D:$D,設定!K$7,月別入力!$B:$B,設定!$B20)</f>
        <v>0</v>
      </c>
      <c r="L20" s="12">
        <f>SUMIFS(月別入力!$J:$J,月別入力!$E:$E,設定!$C20,月別入力!$D:$D,設定!L$7,月別入力!$B:$B,設定!$B20)</f>
        <v>0</v>
      </c>
      <c r="M20" s="12">
        <f>SUMIFS(月別入力!$J:$J,月別入力!$E:$E,設定!$C20,月別入力!$D:$D,設定!M$7,月別入力!$B:$B,設定!$B20)</f>
        <v>0</v>
      </c>
      <c r="N20" s="13">
        <f>SUMIFS(月別入力!$J:$J,月別入力!$E:$E,設定!$C20,月別入力!$D:$D,設定!N$7,月別入力!$B:$B,設定!$B20)</f>
        <v>0</v>
      </c>
    </row>
    <row r="21" spans="2:14" s="3" customFormat="1" ht="15" customHeight="1" x14ac:dyDescent="0.2">
      <c r="B21" s="73" t="str">
        <f t="shared" si="3"/>
        <v>&lt;=12</v>
      </c>
      <c r="C21" s="26"/>
      <c r="D21" s="7"/>
      <c r="E21" s="14"/>
      <c r="F21" s="15"/>
      <c r="G21" s="16"/>
      <c r="H21" s="103">
        <f t="shared" si="1"/>
        <v>0</v>
      </c>
      <c r="I21" s="6">
        <f t="shared" si="2"/>
        <v>0</v>
      </c>
      <c r="J21" s="12">
        <f>SUMIFS(月別入力!$J:$J,月別入力!$E:$E,設定!$C21,月別入力!$D:$D,設定!J$7,月別入力!$B:$B,設定!$B21)</f>
        <v>0</v>
      </c>
      <c r="K21" s="12">
        <f>SUMIFS(月別入力!$J:$J,月別入力!$E:$E,設定!$C21,月別入力!$D:$D,設定!K$7,月別入力!$B:$B,設定!$B21)</f>
        <v>0</v>
      </c>
      <c r="L21" s="12">
        <f>SUMIFS(月別入力!$J:$J,月別入力!$E:$E,設定!$C21,月別入力!$D:$D,設定!L$7,月別入力!$B:$B,設定!$B21)</f>
        <v>0</v>
      </c>
      <c r="M21" s="12">
        <f>SUMIFS(月別入力!$J:$J,月別入力!$E:$E,設定!$C21,月別入力!$D:$D,設定!M$7,月別入力!$B:$B,設定!$B21)</f>
        <v>0</v>
      </c>
      <c r="N21" s="13">
        <f>SUMIFS(月別入力!$J:$J,月別入力!$E:$E,設定!$C21,月別入力!$D:$D,設定!N$7,月別入力!$B:$B,設定!$B21)</f>
        <v>0</v>
      </c>
    </row>
    <row r="22" spans="2:14" s="3" customFormat="1" ht="15" customHeight="1" x14ac:dyDescent="0.2">
      <c r="B22" s="73" t="str">
        <f t="shared" si="3"/>
        <v>&lt;=12</v>
      </c>
      <c r="C22" s="26"/>
      <c r="D22" s="7"/>
      <c r="E22" s="14"/>
      <c r="F22" s="15"/>
      <c r="G22" s="16"/>
      <c r="H22" s="103">
        <f t="shared" si="1"/>
        <v>0</v>
      </c>
      <c r="I22" s="6">
        <f t="shared" si="2"/>
        <v>0</v>
      </c>
      <c r="J22" s="12">
        <f>SUMIFS(月別入力!$J:$J,月別入力!$E:$E,設定!$C22,月別入力!$D:$D,設定!J$7,月別入力!$B:$B,設定!$B22)</f>
        <v>0</v>
      </c>
      <c r="K22" s="12">
        <f>SUMIFS(月別入力!$J:$J,月別入力!$E:$E,設定!$C22,月別入力!$D:$D,設定!K$7,月別入力!$B:$B,設定!$B22)</f>
        <v>0</v>
      </c>
      <c r="L22" s="12">
        <f>SUMIFS(月別入力!$J:$J,月別入力!$E:$E,設定!$C22,月別入力!$D:$D,設定!L$7,月別入力!$B:$B,設定!$B22)</f>
        <v>0</v>
      </c>
      <c r="M22" s="12">
        <f>SUMIFS(月別入力!$J:$J,月別入力!$E:$E,設定!$C22,月別入力!$D:$D,設定!M$7,月別入力!$B:$B,設定!$B22)</f>
        <v>0</v>
      </c>
      <c r="N22" s="13">
        <f>SUMIFS(月別入力!$J:$J,月別入力!$E:$E,設定!$C22,月別入力!$D:$D,設定!N$7,月別入力!$B:$B,設定!$B22)</f>
        <v>0</v>
      </c>
    </row>
    <row r="23" spans="2:14" s="3" customFormat="1" ht="15" customHeight="1" x14ac:dyDescent="0.2">
      <c r="B23" s="73" t="str">
        <f t="shared" si="3"/>
        <v>&lt;=12</v>
      </c>
      <c r="C23" s="26"/>
      <c r="D23" s="7"/>
      <c r="E23" s="14"/>
      <c r="F23" s="15"/>
      <c r="G23" s="16"/>
      <c r="H23" s="103">
        <f t="shared" si="1"/>
        <v>0</v>
      </c>
      <c r="I23" s="6">
        <f t="shared" si="2"/>
        <v>0</v>
      </c>
      <c r="J23" s="12">
        <f>SUMIFS(月別入力!$J:$J,月別入力!$E:$E,設定!$C23,月別入力!$D:$D,設定!J$7,月別入力!$B:$B,設定!$B23)</f>
        <v>0</v>
      </c>
      <c r="K23" s="12">
        <f>SUMIFS(月別入力!$J:$J,月別入力!$E:$E,設定!$C23,月別入力!$D:$D,設定!K$7,月別入力!$B:$B,設定!$B23)</f>
        <v>0</v>
      </c>
      <c r="L23" s="12">
        <f>SUMIFS(月別入力!$J:$J,月別入力!$E:$E,設定!$C23,月別入力!$D:$D,設定!L$7,月別入力!$B:$B,設定!$B23)</f>
        <v>0</v>
      </c>
      <c r="M23" s="12">
        <f>SUMIFS(月別入力!$J:$J,月別入力!$E:$E,設定!$C23,月別入力!$D:$D,設定!M$7,月別入力!$B:$B,設定!$B23)</f>
        <v>0</v>
      </c>
      <c r="N23" s="13">
        <f>SUMIFS(月別入力!$J:$J,月別入力!$E:$E,設定!$C23,月別入力!$D:$D,設定!N$7,月別入力!$B:$B,設定!$B23)</f>
        <v>0</v>
      </c>
    </row>
    <row r="24" spans="2:14" s="3" customFormat="1" ht="15" customHeight="1" x14ac:dyDescent="0.2">
      <c r="B24" s="73" t="str">
        <f t="shared" si="3"/>
        <v>&lt;=12</v>
      </c>
      <c r="C24" s="26"/>
      <c r="D24" s="7"/>
      <c r="E24" s="14"/>
      <c r="F24" s="15"/>
      <c r="G24" s="16"/>
      <c r="H24" s="103">
        <f t="shared" si="1"/>
        <v>0</v>
      </c>
      <c r="I24" s="6">
        <f t="shared" si="2"/>
        <v>0</v>
      </c>
      <c r="J24" s="12">
        <f>SUMIFS(月別入力!$J:$J,月別入力!$E:$E,設定!$C24,月別入力!$D:$D,設定!J$7,月別入力!$B:$B,設定!$B24)</f>
        <v>0</v>
      </c>
      <c r="K24" s="12">
        <f>SUMIFS(月別入力!$J:$J,月別入力!$E:$E,設定!$C24,月別入力!$D:$D,設定!K$7,月別入力!$B:$B,設定!$B24)</f>
        <v>0</v>
      </c>
      <c r="L24" s="12">
        <f>SUMIFS(月別入力!$J:$J,月別入力!$E:$E,設定!$C24,月別入力!$D:$D,設定!L$7,月別入力!$B:$B,設定!$B24)</f>
        <v>0</v>
      </c>
      <c r="M24" s="12">
        <f>SUMIFS(月別入力!$J:$J,月別入力!$E:$E,設定!$C24,月別入力!$D:$D,設定!M$7,月別入力!$B:$B,設定!$B24)</f>
        <v>0</v>
      </c>
      <c r="N24" s="13">
        <f>SUMIFS(月別入力!$J:$J,月別入力!$E:$E,設定!$C24,月別入力!$D:$D,設定!N$7,月別入力!$B:$B,設定!$B24)</f>
        <v>0</v>
      </c>
    </row>
    <row r="25" spans="2:14" s="3" customFormat="1" ht="15" customHeight="1" x14ac:dyDescent="0.2">
      <c r="B25" s="73" t="str">
        <f t="shared" si="3"/>
        <v>&lt;=12</v>
      </c>
      <c r="C25" s="26"/>
      <c r="D25" s="7"/>
      <c r="E25" s="14"/>
      <c r="F25" s="15"/>
      <c r="G25" s="16"/>
      <c r="H25" s="103">
        <f t="shared" si="1"/>
        <v>0</v>
      </c>
      <c r="I25" s="6">
        <f t="shared" si="2"/>
        <v>0</v>
      </c>
      <c r="J25" s="12">
        <f>SUMIFS(月別入力!$J:$J,月別入力!$E:$E,設定!$C25,月別入力!$D:$D,設定!J$7,月別入力!$B:$B,設定!$B25)</f>
        <v>0</v>
      </c>
      <c r="K25" s="12">
        <f>SUMIFS(月別入力!$J:$J,月別入力!$E:$E,設定!$C25,月別入力!$D:$D,設定!K$7,月別入力!$B:$B,設定!$B25)</f>
        <v>0</v>
      </c>
      <c r="L25" s="12">
        <f>SUMIFS(月別入力!$J:$J,月別入力!$E:$E,設定!$C25,月別入力!$D:$D,設定!L$7,月別入力!$B:$B,設定!$B25)</f>
        <v>0</v>
      </c>
      <c r="M25" s="12">
        <f>SUMIFS(月別入力!$J:$J,月別入力!$E:$E,設定!$C25,月別入力!$D:$D,設定!M$7,月別入力!$B:$B,設定!$B25)</f>
        <v>0</v>
      </c>
      <c r="N25" s="13">
        <f>SUMIFS(月別入力!$J:$J,月別入力!$E:$E,設定!$C25,月別入力!$D:$D,設定!N$7,月別入力!$B:$B,設定!$B25)</f>
        <v>0</v>
      </c>
    </row>
    <row r="26" spans="2:14" s="3" customFormat="1" ht="15" customHeight="1" x14ac:dyDescent="0.2">
      <c r="B26" s="73" t="str">
        <f t="shared" si="3"/>
        <v>&lt;=12</v>
      </c>
      <c r="C26" s="26"/>
      <c r="D26" s="7"/>
      <c r="E26" s="14"/>
      <c r="F26" s="15"/>
      <c r="G26" s="16"/>
      <c r="H26" s="103">
        <f t="shared" si="1"/>
        <v>0</v>
      </c>
      <c r="I26" s="6">
        <f t="shared" si="2"/>
        <v>0</v>
      </c>
      <c r="J26" s="12">
        <f>SUMIFS(月別入力!$J:$J,月別入力!$E:$E,設定!$C26,月別入力!$D:$D,設定!J$7,月別入力!$B:$B,設定!$B26)</f>
        <v>0</v>
      </c>
      <c r="K26" s="12">
        <f>SUMIFS(月別入力!$J:$J,月別入力!$E:$E,設定!$C26,月別入力!$D:$D,設定!K$7,月別入力!$B:$B,設定!$B26)</f>
        <v>0</v>
      </c>
      <c r="L26" s="12">
        <f>SUMIFS(月別入力!$J:$J,月別入力!$E:$E,設定!$C26,月別入力!$D:$D,設定!L$7,月別入力!$B:$B,設定!$B26)</f>
        <v>0</v>
      </c>
      <c r="M26" s="12">
        <f>SUMIFS(月別入力!$J:$J,月別入力!$E:$E,設定!$C26,月別入力!$D:$D,設定!M$7,月別入力!$B:$B,設定!$B26)</f>
        <v>0</v>
      </c>
      <c r="N26" s="13">
        <f>SUMIFS(月別入力!$J:$J,月別入力!$E:$E,設定!$C26,月別入力!$D:$D,設定!N$7,月別入力!$B:$B,設定!$B26)</f>
        <v>0</v>
      </c>
    </row>
    <row r="27" spans="2:14" s="3" customFormat="1" ht="15" customHeight="1" x14ac:dyDescent="0.2">
      <c r="B27" s="73" t="str">
        <f t="shared" si="3"/>
        <v>&lt;=12</v>
      </c>
      <c r="C27" s="26"/>
      <c r="D27" s="7"/>
      <c r="E27" s="14"/>
      <c r="F27" s="15"/>
      <c r="G27" s="16"/>
      <c r="H27" s="103">
        <f t="shared" si="1"/>
        <v>0</v>
      </c>
      <c r="I27" s="6">
        <f t="shared" si="2"/>
        <v>0</v>
      </c>
      <c r="J27" s="12">
        <f>SUMIFS(月別入力!$J:$J,月別入力!$E:$E,設定!$C27,月別入力!$D:$D,設定!J$7,月別入力!$B:$B,設定!$B27)</f>
        <v>0</v>
      </c>
      <c r="K27" s="12">
        <f>SUMIFS(月別入力!$J:$J,月別入力!$E:$E,設定!$C27,月別入力!$D:$D,設定!K$7,月別入力!$B:$B,設定!$B27)</f>
        <v>0</v>
      </c>
      <c r="L27" s="12">
        <f>SUMIFS(月別入力!$J:$J,月別入力!$E:$E,設定!$C27,月別入力!$D:$D,設定!L$7,月別入力!$B:$B,設定!$B27)</f>
        <v>0</v>
      </c>
      <c r="M27" s="12">
        <f>SUMIFS(月別入力!$J:$J,月別入力!$E:$E,設定!$C27,月別入力!$D:$D,設定!M$7,月別入力!$B:$B,設定!$B27)</f>
        <v>0</v>
      </c>
      <c r="N27" s="13">
        <f>SUMIFS(月別入力!$J:$J,月別入力!$E:$E,設定!$C27,月別入力!$D:$D,設定!N$7,月別入力!$B:$B,設定!$B27)</f>
        <v>0</v>
      </c>
    </row>
    <row r="28" spans="2:14" s="3" customFormat="1" ht="15" customHeight="1" x14ac:dyDescent="0.2">
      <c r="B28" s="73" t="str">
        <f t="shared" si="3"/>
        <v>&lt;=12</v>
      </c>
      <c r="C28" s="26"/>
      <c r="D28" s="7"/>
      <c r="E28" s="14"/>
      <c r="F28" s="15"/>
      <c r="G28" s="16"/>
      <c r="H28" s="103">
        <f t="shared" si="1"/>
        <v>0</v>
      </c>
      <c r="I28" s="6">
        <f t="shared" si="2"/>
        <v>0</v>
      </c>
      <c r="J28" s="12">
        <f>SUMIFS(月別入力!$J:$J,月別入力!$E:$E,設定!$C28,月別入力!$D:$D,設定!J$7,月別入力!$B:$B,設定!$B28)</f>
        <v>0</v>
      </c>
      <c r="K28" s="12">
        <f>SUMIFS(月別入力!$J:$J,月別入力!$E:$E,設定!$C28,月別入力!$D:$D,設定!K$7,月別入力!$B:$B,設定!$B28)</f>
        <v>0</v>
      </c>
      <c r="L28" s="12">
        <f>SUMIFS(月別入力!$J:$J,月別入力!$E:$E,設定!$C28,月別入力!$D:$D,設定!L$7,月別入力!$B:$B,設定!$B28)</f>
        <v>0</v>
      </c>
      <c r="M28" s="12">
        <f>SUMIFS(月別入力!$J:$J,月別入力!$E:$E,設定!$C28,月別入力!$D:$D,設定!M$7,月別入力!$B:$B,設定!$B28)</f>
        <v>0</v>
      </c>
      <c r="N28" s="13">
        <f>SUMIFS(月別入力!$J:$J,月別入力!$E:$E,設定!$C28,月別入力!$D:$D,設定!N$7,月別入力!$B:$B,設定!$B28)</f>
        <v>0</v>
      </c>
    </row>
    <row r="29" spans="2:14" s="3" customFormat="1" ht="15" customHeight="1" x14ac:dyDescent="0.2">
      <c r="B29" s="73" t="str">
        <f t="shared" si="3"/>
        <v>&lt;=12</v>
      </c>
      <c r="C29" s="26"/>
      <c r="D29" s="7"/>
      <c r="E29" s="14"/>
      <c r="F29" s="15"/>
      <c r="G29" s="16"/>
      <c r="H29" s="103">
        <f t="shared" si="1"/>
        <v>0</v>
      </c>
      <c r="I29" s="6">
        <f t="shared" si="2"/>
        <v>0</v>
      </c>
      <c r="J29" s="12">
        <f>SUMIFS(月別入力!$J:$J,月別入力!$E:$E,設定!$C29,月別入力!$D:$D,設定!J$7,月別入力!$B:$B,設定!$B29)</f>
        <v>0</v>
      </c>
      <c r="K29" s="12">
        <f>SUMIFS(月別入力!$J:$J,月別入力!$E:$E,設定!$C29,月別入力!$D:$D,設定!K$7,月別入力!$B:$B,設定!$B29)</f>
        <v>0</v>
      </c>
      <c r="L29" s="12">
        <f>SUMIFS(月別入力!$J:$J,月別入力!$E:$E,設定!$C29,月別入力!$D:$D,設定!L$7,月別入力!$B:$B,設定!$B29)</f>
        <v>0</v>
      </c>
      <c r="M29" s="12">
        <f>SUMIFS(月別入力!$J:$J,月別入力!$E:$E,設定!$C29,月別入力!$D:$D,設定!M$7,月別入力!$B:$B,設定!$B29)</f>
        <v>0</v>
      </c>
      <c r="N29" s="13">
        <f>SUMIFS(月別入力!$J:$J,月別入力!$E:$E,設定!$C29,月別入力!$D:$D,設定!N$7,月別入力!$B:$B,設定!$B29)</f>
        <v>0</v>
      </c>
    </row>
    <row r="30" spans="2:14" s="3" customFormat="1" ht="15" customHeight="1" x14ac:dyDescent="0.2">
      <c r="B30" s="73" t="str">
        <f t="shared" si="3"/>
        <v>&lt;=12</v>
      </c>
      <c r="C30" s="26"/>
      <c r="D30" s="7"/>
      <c r="E30" s="14"/>
      <c r="F30" s="15"/>
      <c r="G30" s="16"/>
      <c r="H30" s="103">
        <f t="shared" ref="H30:H93" si="4">SUM(I30,M30,N30)</f>
        <v>0</v>
      </c>
      <c r="I30" s="6">
        <f t="shared" ref="I30:I93" si="5">SUM(J30:L30)</f>
        <v>0</v>
      </c>
      <c r="J30" s="12">
        <f>SUMIFS(月別入力!$J:$J,月別入力!$E:$E,設定!$C30,月別入力!$D:$D,設定!J$7,月別入力!$B:$B,設定!$B30)</f>
        <v>0</v>
      </c>
      <c r="K30" s="12">
        <f>SUMIFS(月別入力!$J:$J,月別入力!$E:$E,設定!$C30,月別入力!$D:$D,設定!K$7,月別入力!$B:$B,設定!$B30)</f>
        <v>0</v>
      </c>
      <c r="L30" s="12">
        <f>SUMIFS(月別入力!$J:$J,月別入力!$E:$E,設定!$C30,月別入力!$D:$D,設定!L$7,月別入力!$B:$B,設定!$B30)</f>
        <v>0</v>
      </c>
      <c r="M30" s="12">
        <f>SUMIFS(月別入力!$J:$J,月別入力!$E:$E,設定!$C30,月別入力!$D:$D,設定!M$7,月別入力!$B:$B,設定!$B30)</f>
        <v>0</v>
      </c>
      <c r="N30" s="13">
        <f>SUMIFS(月別入力!$J:$J,月別入力!$E:$E,設定!$C30,月別入力!$D:$D,設定!N$7,月別入力!$B:$B,設定!$B30)</f>
        <v>0</v>
      </c>
    </row>
    <row r="31" spans="2:14" s="3" customFormat="1" ht="15" customHeight="1" x14ac:dyDescent="0.2">
      <c r="B31" s="73" t="str">
        <f t="shared" si="3"/>
        <v>&lt;=12</v>
      </c>
      <c r="C31" s="26"/>
      <c r="D31" s="7"/>
      <c r="E31" s="14"/>
      <c r="F31" s="15"/>
      <c r="G31" s="16"/>
      <c r="H31" s="103">
        <f t="shared" si="4"/>
        <v>0</v>
      </c>
      <c r="I31" s="6">
        <f t="shared" si="5"/>
        <v>0</v>
      </c>
      <c r="J31" s="12">
        <f>SUMIFS(月別入力!$J:$J,月別入力!$E:$E,設定!$C31,月別入力!$D:$D,設定!J$7,月別入力!$B:$B,設定!$B31)</f>
        <v>0</v>
      </c>
      <c r="K31" s="12">
        <f>SUMIFS(月別入力!$J:$J,月別入力!$E:$E,設定!$C31,月別入力!$D:$D,設定!K$7,月別入力!$B:$B,設定!$B31)</f>
        <v>0</v>
      </c>
      <c r="L31" s="12">
        <f>SUMIFS(月別入力!$J:$J,月別入力!$E:$E,設定!$C31,月別入力!$D:$D,設定!L$7,月別入力!$B:$B,設定!$B31)</f>
        <v>0</v>
      </c>
      <c r="M31" s="12">
        <f>SUMIFS(月別入力!$J:$J,月別入力!$E:$E,設定!$C31,月別入力!$D:$D,設定!M$7,月別入力!$B:$B,設定!$B31)</f>
        <v>0</v>
      </c>
      <c r="N31" s="13">
        <f>SUMIFS(月別入力!$J:$J,月別入力!$E:$E,設定!$C31,月別入力!$D:$D,設定!N$7,月別入力!$B:$B,設定!$B31)</f>
        <v>0</v>
      </c>
    </row>
    <row r="32" spans="2:14" s="3" customFormat="1" ht="15" customHeight="1" x14ac:dyDescent="0.2">
      <c r="B32" s="73" t="str">
        <f t="shared" si="3"/>
        <v>&lt;=12</v>
      </c>
      <c r="C32" s="26"/>
      <c r="D32" s="7"/>
      <c r="E32" s="14"/>
      <c r="F32" s="15"/>
      <c r="G32" s="16"/>
      <c r="H32" s="103">
        <f t="shared" si="4"/>
        <v>0</v>
      </c>
      <c r="I32" s="6">
        <f t="shared" si="5"/>
        <v>0</v>
      </c>
      <c r="J32" s="12">
        <f>SUMIFS(月別入力!$J:$J,月別入力!$E:$E,設定!$C32,月別入力!$D:$D,設定!J$7,月別入力!$B:$B,設定!$B32)</f>
        <v>0</v>
      </c>
      <c r="K32" s="12">
        <f>SUMIFS(月別入力!$J:$J,月別入力!$E:$E,設定!$C32,月別入力!$D:$D,設定!K$7,月別入力!$B:$B,設定!$B32)</f>
        <v>0</v>
      </c>
      <c r="L32" s="12">
        <f>SUMIFS(月別入力!$J:$J,月別入力!$E:$E,設定!$C32,月別入力!$D:$D,設定!L$7,月別入力!$B:$B,設定!$B32)</f>
        <v>0</v>
      </c>
      <c r="M32" s="12">
        <f>SUMIFS(月別入力!$J:$J,月別入力!$E:$E,設定!$C32,月別入力!$D:$D,設定!M$7,月別入力!$B:$B,設定!$B32)</f>
        <v>0</v>
      </c>
      <c r="N32" s="13">
        <f>SUMIFS(月別入力!$J:$J,月別入力!$E:$E,設定!$C32,月別入力!$D:$D,設定!N$7,月別入力!$B:$B,設定!$B32)</f>
        <v>0</v>
      </c>
    </row>
    <row r="33" spans="2:14" s="3" customFormat="1" ht="15" customHeight="1" x14ac:dyDescent="0.2">
      <c r="B33" s="73" t="str">
        <f t="shared" si="3"/>
        <v>&lt;=12</v>
      </c>
      <c r="C33" s="26"/>
      <c r="D33" s="7"/>
      <c r="E33" s="14"/>
      <c r="F33" s="15"/>
      <c r="G33" s="16"/>
      <c r="H33" s="103">
        <f t="shared" si="4"/>
        <v>0</v>
      </c>
      <c r="I33" s="6">
        <f t="shared" si="5"/>
        <v>0</v>
      </c>
      <c r="J33" s="12">
        <f>SUMIFS(月別入力!$J:$J,月別入力!$E:$E,設定!$C33,月別入力!$D:$D,設定!J$7,月別入力!$B:$B,設定!$B33)</f>
        <v>0</v>
      </c>
      <c r="K33" s="12">
        <f>SUMIFS(月別入力!$J:$J,月別入力!$E:$E,設定!$C33,月別入力!$D:$D,設定!K$7,月別入力!$B:$B,設定!$B33)</f>
        <v>0</v>
      </c>
      <c r="L33" s="12">
        <f>SUMIFS(月別入力!$J:$J,月別入力!$E:$E,設定!$C33,月別入力!$D:$D,設定!L$7,月別入力!$B:$B,設定!$B33)</f>
        <v>0</v>
      </c>
      <c r="M33" s="12">
        <f>SUMIFS(月別入力!$J:$J,月別入力!$E:$E,設定!$C33,月別入力!$D:$D,設定!M$7,月別入力!$B:$B,設定!$B33)</f>
        <v>0</v>
      </c>
      <c r="N33" s="13">
        <f>SUMIFS(月別入力!$J:$J,月別入力!$E:$E,設定!$C33,月別入力!$D:$D,設定!N$7,月別入力!$B:$B,設定!$B33)</f>
        <v>0</v>
      </c>
    </row>
    <row r="34" spans="2:14" s="3" customFormat="1" ht="15" customHeight="1" x14ac:dyDescent="0.2">
      <c r="B34" s="73" t="str">
        <f t="shared" si="3"/>
        <v>&lt;=12</v>
      </c>
      <c r="C34" s="26"/>
      <c r="D34" s="7"/>
      <c r="E34" s="14"/>
      <c r="F34" s="15"/>
      <c r="G34" s="16"/>
      <c r="H34" s="103">
        <f t="shared" si="4"/>
        <v>0</v>
      </c>
      <c r="I34" s="6">
        <f t="shared" si="5"/>
        <v>0</v>
      </c>
      <c r="J34" s="12">
        <f>SUMIFS(月別入力!$J:$J,月別入力!$E:$E,設定!$C34,月別入力!$D:$D,設定!J$7,月別入力!$B:$B,設定!$B34)</f>
        <v>0</v>
      </c>
      <c r="K34" s="12">
        <f>SUMIFS(月別入力!$J:$J,月別入力!$E:$E,設定!$C34,月別入力!$D:$D,設定!K$7,月別入力!$B:$B,設定!$B34)</f>
        <v>0</v>
      </c>
      <c r="L34" s="12">
        <f>SUMIFS(月別入力!$J:$J,月別入力!$E:$E,設定!$C34,月別入力!$D:$D,設定!L$7,月別入力!$B:$B,設定!$B34)</f>
        <v>0</v>
      </c>
      <c r="M34" s="12">
        <f>SUMIFS(月別入力!$J:$J,月別入力!$E:$E,設定!$C34,月別入力!$D:$D,設定!M$7,月別入力!$B:$B,設定!$B34)</f>
        <v>0</v>
      </c>
      <c r="N34" s="13">
        <f>SUMIFS(月別入力!$J:$J,月別入力!$E:$E,設定!$C34,月別入力!$D:$D,設定!N$7,月別入力!$B:$B,設定!$B34)</f>
        <v>0</v>
      </c>
    </row>
    <row r="35" spans="2:14" s="3" customFormat="1" ht="15" customHeight="1" x14ac:dyDescent="0.2">
      <c r="B35" s="73" t="str">
        <f t="shared" si="3"/>
        <v>&lt;=12</v>
      </c>
      <c r="C35" s="26"/>
      <c r="D35" s="7"/>
      <c r="E35" s="14"/>
      <c r="F35" s="15"/>
      <c r="G35" s="16"/>
      <c r="H35" s="103">
        <f t="shared" si="4"/>
        <v>0</v>
      </c>
      <c r="I35" s="6">
        <f t="shared" si="5"/>
        <v>0</v>
      </c>
      <c r="J35" s="12">
        <f>SUMIFS(月別入力!$J:$J,月別入力!$E:$E,設定!$C35,月別入力!$D:$D,設定!J$7,月別入力!$B:$B,設定!$B35)</f>
        <v>0</v>
      </c>
      <c r="K35" s="12">
        <f>SUMIFS(月別入力!$J:$J,月別入力!$E:$E,設定!$C35,月別入力!$D:$D,設定!K$7,月別入力!$B:$B,設定!$B35)</f>
        <v>0</v>
      </c>
      <c r="L35" s="12">
        <f>SUMIFS(月別入力!$J:$J,月別入力!$E:$E,設定!$C35,月別入力!$D:$D,設定!L$7,月別入力!$B:$B,設定!$B35)</f>
        <v>0</v>
      </c>
      <c r="M35" s="12">
        <f>SUMIFS(月別入力!$J:$J,月別入力!$E:$E,設定!$C35,月別入力!$D:$D,設定!M$7,月別入力!$B:$B,設定!$B35)</f>
        <v>0</v>
      </c>
      <c r="N35" s="13">
        <f>SUMIFS(月別入力!$J:$J,月別入力!$E:$E,設定!$C35,月別入力!$D:$D,設定!N$7,月別入力!$B:$B,設定!$B35)</f>
        <v>0</v>
      </c>
    </row>
    <row r="36" spans="2:14" s="3" customFormat="1" ht="15" customHeight="1" x14ac:dyDescent="0.2">
      <c r="B36" s="73" t="str">
        <f t="shared" si="3"/>
        <v>&lt;=12</v>
      </c>
      <c r="C36" s="26"/>
      <c r="D36" s="7"/>
      <c r="E36" s="14"/>
      <c r="F36" s="15"/>
      <c r="G36" s="16"/>
      <c r="H36" s="103">
        <f t="shared" si="4"/>
        <v>0</v>
      </c>
      <c r="I36" s="6">
        <f t="shared" si="5"/>
        <v>0</v>
      </c>
      <c r="J36" s="12">
        <f>SUMIFS(月別入力!$J:$J,月別入力!$E:$E,設定!$C36,月別入力!$D:$D,設定!J$7,月別入力!$B:$B,設定!$B36)</f>
        <v>0</v>
      </c>
      <c r="K36" s="12">
        <f>SUMIFS(月別入力!$J:$J,月別入力!$E:$E,設定!$C36,月別入力!$D:$D,設定!K$7,月別入力!$B:$B,設定!$B36)</f>
        <v>0</v>
      </c>
      <c r="L36" s="12">
        <f>SUMIFS(月別入力!$J:$J,月別入力!$E:$E,設定!$C36,月別入力!$D:$D,設定!L$7,月別入力!$B:$B,設定!$B36)</f>
        <v>0</v>
      </c>
      <c r="M36" s="12">
        <f>SUMIFS(月別入力!$J:$J,月別入力!$E:$E,設定!$C36,月別入力!$D:$D,設定!M$7,月別入力!$B:$B,設定!$B36)</f>
        <v>0</v>
      </c>
      <c r="N36" s="13">
        <f>SUMIFS(月別入力!$J:$J,月別入力!$E:$E,設定!$C36,月別入力!$D:$D,設定!N$7,月別入力!$B:$B,設定!$B36)</f>
        <v>0</v>
      </c>
    </row>
    <row r="37" spans="2:14" s="3" customFormat="1" ht="15" customHeight="1" x14ac:dyDescent="0.2">
      <c r="B37" s="73" t="str">
        <f t="shared" si="3"/>
        <v>&lt;=12</v>
      </c>
      <c r="C37" s="26"/>
      <c r="D37" s="7"/>
      <c r="E37" s="14"/>
      <c r="F37" s="15"/>
      <c r="G37" s="16"/>
      <c r="H37" s="103">
        <f t="shared" si="4"/>
        <v>0</v>
      </c>
      <c r="I37" s="6">
        <f t="shared" si="5"/>
        <v>0</v>
      </c>
      <c r="J37" s="12">
        <f>SUMIFS(月別入力!$J:$J,月別入力!$E:$E,設定!$C37,月別入力!$D:$D,設定!J$7,月別入力!$B:$B,設定!$B37)</f>
        <v>0</v>
      </c>
      <c r="K37" s="12">
        <f>SUMIFS(月別入力!$J:$J,月別入力!$E:$E,設定!$C37,月別入力!$D:$D,設定!K$7,月別入力!$B:$B,設定!$B37)</f>
        <v>0</v>
      </c>
      <c r="L37" s="12">
        <f>SUMIFS(月別入力!$J:$J,月別入力!$E:$E,設定!$C37,月別入力!$D:$D,設定!L$7,月別入力!$B:$B,設定!$B37)</f>
        <v>0</v>
      </c>
      <c r="M37" s="12">
        <f>SUMIFS(月別入力!$J:$J,月別入力!$E:$E,設定!$C37,月別入力!$D:$D,設定!M$7,月別入力!$B:$B,設定!$B37)</f>
        <v>0</v>
      </c>
      <c r="N37" s="13">
        <f>SUMIFS(月別入力!$J:$J,月別入力!$E:$E,設定!$C37,月別入力!$D:$D,設定!N$7,月別入力!$B:$B,設定!$B37)</f>
        <v>0</v>
      </c>
    </row>
    <row r="38" spans="2:14" s="3" customFormat="1" ht="15" customHeight="1" x14ac:dyDescent="0.2">
      <c r="B38" s="73" t="str">
        <f t="shared" si="3"/>
        <v>&lt;=12</v>
      </c>
      <c r="C38" s="25"/>
      <c r="D38" s="7"/>
      <c r="E38" s="14"/>
      <c r="F38" s="15"/>
      <c r="G38" s="16"/>
      <c r="H38" s="103">
        <f t="shared" si="4"/>
        <v>0</v>
      </c>
      <c r="I38" s="6">
        <f t="shared" si="5"/>
        <v>0</v>
      </c>
      <c r="J38" s="12">
        <f>SUMIFS(月別入力!$J:$J,月別入力!$E:$E,設定!$C38,月別入力!$D:$D,設定!J$7,月別入力!$B:$B,設定!$B38)</f>
        <v>0</v>
      </c>
      <c r="K38" s="12">
        <f>SUMIFS(月別入力!$J:$J,月別入力!$E:$E,設定!$C38,月別入力!$D:$D,設定!K$7,月別入力!$B:$B,設定!$B38)</f>
        <v>0</v>
      </c>
      <c r="L38" s="12">
        <f>SUMIFS(月別入力!$J:$J,月別入力!$E:$E,設定!$C38,月別入力!$D:$D,設定!L$7,月別入力!$B:$B,設定!$B38)</f>
        <v>0</v>
      </c>
      <c r="M38" s="12">
        <f>SUMIFS(月別入力!$J:$J,月別入力!$E:$E,設定!$C38,月別入力!$D:$D,設定!M$7,月別入力!$B:$B,設定!$B38)</f>
        <v>0</v>
      </c>
      <c r="N38" s="13">
        <f>SUMIFS(月別入力!$J:$J,月別入力!$E:$E,設定!$C38,月別入力!$D:$D,設定!N$7,月別入力!$B:$B,設定!$B38)</f>
        <v>0</v>
      </c>
    </row>
    <row r="39" spans="2:14" s="3" customFormat="1" ht="15" customHeight="1" x14ac:dyDescent="0.2">
      <c r="B39" s="73" t="str">
        <f t="shared" si="3"/>
        <v>&lt;=12</v>
      </c>
      <c r="C39" s="25"/>
      <c r="D39" s="7"/>
      <c r="E39" s="14"/>
      <c r="F39" s="15"/>
      <c r="G39" s="16"/>
      <c r="H39" s="103">
        <f t="shared" si="4"/>
        <v>0</v>
      </c>
      <c r="I39" s="6">
        <f t="shared" si="5"/>
        <v>0</v>
      </c>
      <c r="J39" s="12">
        <f>SUMIFS(月別入力!$J:$J,月別入力!$E:$E,設定!$C39,月別入力!$D:$D,設定!J$7,月別入力!$B:$B,設定!$B39)</f>
        <v>0</v>
      </c>
      <c r="K39" s="12">
        <f>SUMIFS(月別入力!$J:$J,月別入力!$E:$E,設定!$C39,月別入力!$D:$D,設定!K$7,月別入力!$B:$B,設定!$B39)</f>
        <v>0</v>
      </c>
      <c r="L39" s="12">
        <f>SUMIFS(月別入力!$J:$J,月別入力!$E:$E,設定!$C39,月別入力!$D:$D,設定!L$7,月別入力!$B:$B,設定!$B39)</f>
        <v>0</v>
      </c>
      <c r="M39" s="12">
        <f>SUMIFS(月別入力!$J:$J,月別入力!$E:$E,設定!$C39,月別入力!$D:$D,設定!M$7,月別入力!$B:$B,設定!$B39)</f>
        <v>0</v>
      </c>
      <c r="N39" s="13">
        <f>SUMIFS(月別入力!$J:$J,月別入力!$E:$E,設定!$C39,月別入力!$D:$D,設定!N$7,月別入力!$B:$B,設定!$B39)</f>
        <v>0</v>
      </c>
    </row>
    <row r="40" spans="2:14" s="3" customFormat="1" ht="15" customHeight="1" x14ac:dyDescent="0.2">
      <c r="B40" s="73" t="str">
        <f t="shared" si="3"/>
        <v>&lt;=12</v>
      </c>
      <c r="C40" s="25"/>
      <c r="D40" s="7"/>
      <c r="E40" s="14"/>
      <c r="F40" s="15"/>
      <c r="G40" s="16"/>
      <c r="H40" s="103">
        <f t="shared" si="4"/>
        <v>0</v>
      </c>
      <c r="I40" s="6">
        <f t="shared" si="5"/>
        <v>0</v>
      </c>
      <c r="J40" s="12">
        <f>SUMIFS(月別入力!$J:$J,月別入力!$E:$E,設定!$C40,月別入力!$D:$D,設定!J$7,月別入力!$B:$B,設定!$B40)</f>
        <v>0</v>
      </c>
      <c r="K40" s="12">
        <f>SUMIFS(月別入力!$J:$J,月別入力!$E:$E,設定!$C40,月別入力!$D:$D,設定!K$7,月別入力!$B:$B,設定!$B40)</f>
        <v>0</v>
      </c>
      <c r="L40" s="12">
        <f>SUMIFS(月別入力!$J:$J,月別入力!$E:$E,設定!$C40,月別入力!$D:$D,設定!L$7,月別入力!$B:$B,設定!$B40)</f>
        <v>0</v>
      </c>
      <c r="M40" s="12">
        <f>SUMIFS(月別入力!$J:$J,月別入力!$E:$E,設定!$C40,月別入力!$D:$D,設定!M$7,月別入力!$B:$B,設定!$B40)</f>
        <v>0</v>
      </c>
      <c r="N40" s="13">
        <f>SUMIFS(月別入力!$J:$J,月別入力!$E:$E,設定!$C40,月別入力!$D:$D,設定!N$7,月別入力!$B:$B,設定!$B40)</f>
        <v>0</v>
      </c>
    </row>
    <row r="41" spans="2:14" s="3" customFormat="1" ht="15" customHeight="1" x14ac:dyDescent="0.2">
      <c r="B41" s="73" t="str">
        <f t="shared" si="3"/>
        <v>&lt;=12</v>
      </c>
      <c r="C41" s="25"/>
      <c r="D41" s="7"/>
      <c r="E41" s="14"/>
      <c r="F41" s="15"/>
      <c r="G41" s="16"/>
      <c r="H41" s="103">
        <f t="shared" si="4"/>
        <v>0</v>
      </c>
      <c r="I41" s="6">
        <f t="shared" si="5"/>
        <v>0</v>
      </c>
      <c r="J41" s="12">
        <f>SUMIFS(月別入力!$J:$J,月別入力!$E:$E,設定!$C41,月別入力!$D:$D,設定!J$7,月別入力!$B:$B,設定!$B41)</f>
        <v>0</v>
      </c>
      <c r="K41" s="12">
        <f>SUMIFS(月別入力!$J:$J,月別入力!$E:$E,設定!$C41,月別入力!$D:$D,設定!K$7,月別入力!$B:$B,設定!$B41)</f>
        <v>0</v>
      </c>
      <c r="L41" s="12">
        <f>SUMIFS(月別入力!$J:$J,月別入力!$E:$E,設定!$C41,月別入力!$D:$D,設定!L$7,月別入力!$B:$B,設定!$B41)</f>
        <v>0</v>
      </c>
      <c r="M41" s="12">
        <f>SUMIFS(月別入力!$J:$J,月別入力!$E:$E,設定!$C41,月別入力!$D:$D,設定!M$7,月別入力!$B:$B,設定!$B41)</f>
        <v>0</v>
      </c>
      <c r="N41" s="13">
        <f>SUMIFS(月別入力!$J:$J,月別入力!$E:$E,設定!$C41,月別入力!$D:$D,設定!N$7,月別入力!$B:$B,設定!$B41)</f>
        <v>0</v>
      </c>
    </row>
    <row r="42" spans="2:14" s="3" customFormat="1" ht="15" customHeight="1" x14ac:dyDescent="0.2">
      <c r="B42" s="73" t="str">
        <f t="shared" si="3"/>
        <v>&lt;=12</v>
      </c>
      <c r="C42" s="25"/>
      <c r="D42" s="7"/>
      <c r="E42" s="14"/>
      <c r="F42" s="15"/>
      <c r="G42" s="16"/>
      <c r="H42" s="103">
        <f t="shared" si="4"/>
        <v>0</v>
      </c>
      <c r="I42" s="6">
        <f t="shared" si="5"/>
        <v>0</v>
      </c>
      <c r="J42" s="12">
        <f>SUMIFS(月別入力!$J:$J,月別入力!$E:$E,設定!$C42,月別入力!$D:$D,設定!J$7,月別入力!$B:$B,設定!$B42)</f>
        <v>0</v>
      </c>
      <c r="K42" s="12">
        <f>SUMIFS(月別入力!$J:$J,月別入力!$E:$E,設定!$C42,月別入力!$D:$D,設定!K$7,月別入力!$B:$B,設定!$B42)</f>
        <v>0</v>
      </c>
      <c r="L42" s="12">
        <f>SUMIFS(月別入力!$J:$J,月別入力!$E:$E,設定!$C42,月別入力!$D:$D,設定!L$7,月別入力!$B:$B,設定!$B42)</f>
        <v>0</v>
      </c>
      <c r="M42" s="12">
        <f>SUMIFS(月別入力!$J:$J,月別入力!$E:$E,設定!$C42,月別入力!$D:$D,設定!M$7,月別入力!$B:$B,設定!$B42)</f>
        <v>0</v>
      </c>
      <c r="N42" s="13">
        <f>SUMIFS(月別入力!$J:$J,月別入力!$E:$E,設定!$C42,月別入力!$D:$D,設定!N$7,月別入力!$B:$B,設定!$B42)</f>
        <v>0</v>
      </c>
    </row>
    <row r="43" spans="2:14" s="3" customFormat="1" ht="15" customHeight="1" x14ac:dyDescent="0.2">
      <c r="B43" s="73" t="str">
        <f t="shared" si="3"/>
        <v>&lt;=12</v>
      </c>
      <c r="C43" s="25"/>
      <c r="D43" s="7"/>
      <c r="E43" s="14"/>
      <c r="F43" s="15"/>
      <c r="G43" s="16"/>
      <c r="H43" s="103">
        <f t="shared" si="4"/>
        <v>0</v>
      </c>
      <c r="I43" s="6">
        <f t="shared" si="5"/>
        <v>0</v>
      </c>
      <c r="J43" s="12">
        <f>SUMIFS(月別入力!$J:$J,月別入力!$E:$E,設定!$C43,月別入力!$D:$D,設定!J$7,月別入力!$B:$B,設定!$B43)</f>
        <v>0</v>
      </c>
      <c r="K43" s="12">
        <f>SUMIFS(月別入力!$J:$J,月別入力!$E:$E,設定!$C43,月別入力!$D:$D,設定!K$7,月別入力!$B:$B,設定!$B43)</f>
        <v>0</v>
      </c>
      <c r="L43" s="12">
        <f>SUMIFS(月別入力!$J:$J,月別入力!$E:$E,設定!$C43,月別入力!$D:$D,設定!L$7,月別入力!$B:$B,設定!$B43)</f>
        <v>0</v>
      </c>
      <c r="M43" s="12">
        <f>SUMIFS(月別入力!$J:$J,月別入力!$E:$E,設定!$C43,月別入力!$D:$D,設定!M$7,月別入力!$B:$B,設定!$B43)</f>
        <v>0</v>
      </c>
      <c r="N43" s="13">
        <f>SUMIFS(月別入力!$J:$J,月別入力!$E:$E,設定!$C43,月別入力!$D:$D,設定!N$7,月別入力!$B:$B,設定!$B43)</f>
        <v>0</v>
      </c>
    </row>
    <row r="44" spans="2:14" s="3" customFormat="1" ht="15" customHeight="1" x14ac:dyDescent="0.2">
      <c r="B44" s="73" t="str">
        <f t="shared" si="3"/>
        <v>&lt;=12</v>
      </c>
      <c r="C44" s="25"/>
      <c r="D44" s="7"/>
      <c r="E44" s="14"/>
      <c r="F44" s="15"/>
      <c r="G44" s="16"/>
      <c r="H44" s="103">
        <f t="shared" si="4"/>
        <v>0</v>
      </c>
      <c r="I44" s="6">
        <f t="shared" si="5"/>
        <v>0</v>
      </c>
      <c r="J44" s="12">
        <f>SUMIFS(月別入力!$J:$J,月別入力!$E:$E,設定!$C44,月別入力!$D:$D,設定!J$7,月別入力!$B:$B,設定!$B44)</f>
        <v>0</v>
      </c>
      <c r="K44" s="12">
        <f>SUMIFS(月別入力!$J:$J,月別入力!$E:$E,設定!$C44,月別入力!$D:$D,設定!K$7,月別入力!$B:$B,設定!$B44)</f>
        <v>0</v>
      </c>
      <c r="L44" s="12">
        <f>SUMIFS(月別入力!$J:$J,月別入力!$E:$E,設定!$C44,月別入力!$D:$D,設定!L$7,月別入力!$B:$B,設定!$B44)</f>
        <v>0</v>
      </c>
      <c r="M44" s="12">
        <f>SUMIFS(月別入力!$J:$J,月別入力!$E:$E,設定!$C44,月別入力!$D:$D,設定!M$7,月別入力!$B:$B,設定!$B44)</f>
        <v>0</v>
      </c>
      <c r="N44" s="13">
        <f>SUMIFS(月別入力!$J:$J,月別入力!$E:$E,設定!$C44,月別入力!$D:$D,設定!N$7,月別入力!$B:$B,設定!$B44)</f>
        <v>0</v>
      </c>
    </row>
    <row r="45" spans="2:14" s="3" customFormat="1" ht="15" customHeight="1" x14ac:dyDescent="0.2">
      <c r="B45" s="73" t="str">
        <f t="shared" si="3"/>
        <v>&lt;=12</v>
      </c>
      <c r="C45" s="25"/>
      <c r="D45" s="7"/>
      <c r="E45" s="14"/>
      <c r="F45" s="15"/>
      <c r="G45" s="16"/>
      <c r="H45" s="103">
        <f t="shared" si="4"/>
        <v>0</v>
      </c>
      <c r="I45" s="6">
        <f t="shared" si="5"/>
        <v>0</v>
      </c>
      <c r="J45" s="12">
        <f>SUMIFS(月別入力!$J:$J,月別入力!$E:$E,設定!$C45,月別入力!$D:$D,設定!J$7,月別入力!$B:$B,設定!$B45)</f>
        <v>0</v>
      </c>
      <c r="K45" s="12">
        <f>SUMIFS(月別入力!$J:$J,月別入力!$E:$E,設定!$C45,月別入力!$D:$D,設定!K$7,月別入力!$B:$B,設定!$B45)</f>
        <v>0</v>
      </c>
      <c r="L45" s="12">
        <f>SUMIFS(月別入力!$J:$J,月別入力!$E:$E,設定!$C45,月別入力!$D:$D,設定!L$7,月別入力!$B:$B,設定!$B45)</f>
        <v>0</v>
      </c>
      <c r="M45" s="12">
        <f>SUMIFS(月別入力!$J:$J,月別入力!$E:$E,設定!$C45,月別入力!$D:$D,設定!M$7,月別入力!$B:$B,設定!$B45)</f>
        <v>0</v>
      </c>
      <c r="N45" s="13">
        <f>SUMIFS(月別入力!$J:$J,月別入力!$E:$E,設定!$C45,月別入力!$D:$D,設定!N$7,月別入力!$B:$B,設定!$B45)</f>
        <v>0</v>
      </c>
    </row>
    <row r="46" spans="2:14" s="3" customFormat="1" ht="15" customHeight="1" x14ac:dyDescent="0.2">
      <c r="B46" s="73" t="str">
        <f t="shared" si="3"/>
        <v>&lt;=12</v>
      </c>
      <c r="C46" s="25"/>
      <c r="D46" s="7"/>
      <c r="E46" s="14"/>
      <c r="F46" s="15"/>
      <c r="G46" s="16"/>
      <c r="H46" s="103">
        <f t="shared" si="4"/>
        <v>0</v>
      </c>
      <c r="I46" s="6">
        <f t="shared" si="5"/>
        <v>0</v>
      </c>
      <c r="J46" s="12">
        <f>SUMIFS(月別入力!$J:$J,月別入力!$E:$E,設定!$C46,月別入力!$D:$D,設定!J$7,月別入力!$B:$B,設定!$B46)</f>
        <v>0</v>
      </c>
      <c r="K46" s="12">
        <f>SUMIFS(月別入力!$J:$J,月別入力!$E:$E,設定!$C46,月別入力!$D:$D,設定!K$7,月別入力!$B:$B,設定!$B46)</f>
        <v>0</v>
      </c>
      <c r="L46" s="12">
        <f>SUMIFS(月別入力!$J:$J,月別入力!$E:$E,設定!$C46,月別入力!$D:$D,設定!L$7,月別入力!$B:$B,設定!$B46)</f>
        <v>0</v>
      </c>
      <c r="M46" s="12">
        <f>SUMIFS(月別入力!$J:$J,月別入力!$E:$E,設定!$C46,月別入力!$D:$D,設定!M$7,月別入力!$B:$B,設定!$B46)</f>
        <v>0</v>
      </c>
      <c r="N46" s="13">
        <f>SUMIFS(月別入力!$J:$J,月別入力!$E:$E,設定!$C46,月別入力!$D:$D,設定!N$7,月別入力!$B:$B,設定!$B46)</f>
        <v>0</v>
      </c>
    </row>
    <row r="47" spans="2:14" s="3" customFormat="1" ht="15" customHeight="1" x14ac:dyDescent="0.2">
      <c r="B47" s="73" t="str">
        <f t="shared" si="3"/>
        <v>&lt;=12</v>
      </c>
      <c r="C47" s="25"/>
      <c r="D47" s="7"/>
      <c r="E47" s="14"/>
      <c r="F47" s="15"/>
      <c r="G47" s="16"/>
      <c r="H47" s="103">
        <f t="shared" si="4"/>
        <v>0</v>
      </c>
      <c r="I47" s="6">
        <f t="shared" si="5"/>
        <v>0</v>
      </c>
      <c r="J47" s="12">
        <f>SUMIFS(月別入力!$J:$J,月別入力!$E:$E,設定!$C47,月別入力!$D:$D,設定!J$7,月別入力!$B:$B,設定!$B47)</f>
        <v>0</v>
      </c>
      <c r="K47" s="12">
        <f>SUMIFS(月別入力!$J:$J,月別入力!$E:$E,設定!$C47,月別入力!$D:$D,設定!K$7,月別入力!$B:$B,設定!$B47)</f>
        <v>0</v>
      </c>
      <c r="L47" s="12">
        <f>SUMIFS(月別入力!$J:$J,月別入力!$E:$E,設定!$C47,月別入力!$D:$D,設定!L$7,月別入力!$B:$B,設定!$B47)</f>
        <v>0</v>
      </c>
      <c r="M47" s="12">
        <f>SUMIFS(月別入力!$J:$J,月別入力!$E:$E,設定!$C47,月別入力!$D:$D,設定!M$7,月別入力!$B:$B,設定!$B47)</f>
        <v>0</v>
      </c>
      <c r="N47" s="13">
        <f>SUMIFS(月別入力!$J:$J,月別入力!$E:$E,設定!$C47,月別入力!$D:$D,設定!N$7,月別入力!$B:$B,設定!$B47)</f>
        <v>0</v>
      </c>
    </row>
    <row r="48" spans="2:14" s="3" customFormat="1" ht="15" customHeight="1" x14ac:dyDescent="0.2">
      <c r="B48" s="73" t="str">
        <f t="shared" si="3"/>
        <v>&lt;=12</v>
      </c>
      <c r="C48" s="25"/>
      <c r="D48" s="7"/>
      <c r="E48" s="14"/>
      <c r="F48" s="15"/>
      <c r="G48" s="16"/>
      <c r="H48" s="103">
        <f t="shared" si="4"/>
        <v>0</v>
      </c>
      <c r="I48" s="6">
        <f t="shared" si="5"/>
        <v>0</v>
      </c>
      <c r="J48" s="12">
        <f>SUMIFS(月別入力!$J:$J,月別入力!$E:$E,設定!$C48,月別入力!$D:$D,設定!J$7,月別入力!$B:$B,設定!$B48)</f>
        <v>0</v>
      </c>
      <c r="K48" s="12">
        <f>SUMIFS(月別入力!$J:$J,月別入力!$E:$E,設定!$C48,月別入力!$D:$D,設定!K$7,月別入力!$B:$B,設定!$B48)</f>
        <v>0</v>
      </c>
      <c r="L48" s="12">
        <f>SUMIFS(月別入力!$J:$J,月別入力!$E:$E,設定!$C48,月別入力!$D:$D,設定!L$7,月別入力!$B:$B,設定!$B48)</f>
        <v>0</v>
      </c>
      <c r="M48" s="12">
        <f>SUMIFS(月別入力!$J:$J,月別入力!$E:$E,設定!$C48,月別入力!$D:$D,設定!M$7,月別入力!$B:$B,設定!$B48)</f>
        <v>0</v>
      </c>
      <c r="N48" s="13">
        <f>SUMIFS(月別入力!$J:$J,月別入力!$E:$E,設定!$C48,月別入力!$D:$D,設定!N$7,月別入力!$B:$B,設定!$B48)</f>
        <v>0</v>
      </c>
    </row>
    <row r="49" spans="2:14" s="3" customFormat="1" ht="15" customHeight="1" x14ac:dyDescent="0.2">
      <c r="B49" s="73" t="str">
        <f t="shared" si="3"/>
        <v>&lt;=12</v>
      </c>
      <c r="C49" s="25"/>
      <c r="D49" s="7"/>
      <c r="E49" s="14"/>
      <c r="F49" s="15"/>
      <c r="G49" s="16"/>
      <c r="H49" s="103">
        <f t="shared" si="4"/>
        <v>0</v>
      </c>
      <c r="I49" s="6">
        <f t="shared" si="5"/>
        <v>0</v>
      </c>
      <c r="J49" s="12">
        <f>SUMIFS(月別入力!$J:$J,月別入力!$E:$E,設定!$C49,月別入力!$D:$D,設定!J$7,月別入力!$B:$B,設定!$B49)</f>
        <v>0</v>
      </c>
      <c r="K49" s="12">
        <f>SUMIFS(月別入力!$J:$J,月別入力!$E:$E,設定!$C49,月別入力!$D:$D,設定!K$7,月別入力!$B:$B,設定!$B49)</f>
        <v>0</v>
      </c>
      <c r="L49" s="12">
        <f>SUMIFS(月別入力!$J:$J,月別入力!$E:$E,設定!$C49,月別入力!$D:$D,設定!L$7,月別入力!$B:$B,設定!$B49)</f>
        <v>0</v>
      </c>
      <c r="M49" s="12">
        <f>SUMIFS(月別入力!$J:$J,月別入力!$E:$E,設定!$C49,月別入力!$D:$D,設定!M$7,月別入力!$B:$B,設定!$B49)</f>
        <v>0</v>
      </c>
      <c r="N49" s="13">
        <f>SUMIFS(月別入力!$J:$J,月別入力!$E:$E,設定!$C49,月別入力!$D:$D,設定!N$7,月別入力!$B:$B,設定!$B49)</f>
        <v>0</v>
      </c>
    </row>
    <row r="50" spans="2:14" s="3" customFormat="1" ht="15" customHeight="1" x14ac:dyDescent="0.2">
      <c r="B50" s="73" t="str">
        <f t="shared" si="3"/>
        <v>&lt;=12</v>
      </c>
      <c r="C50" s="25"/>
      <c r="D50" s="7"/>
      <c r="E50" s="14"/>
      <c r="F50" s="15"/>
      <c r="G50" s="16"/>
      <c r="H50" s="103">
        <f t="shared" si="4"/>
        <v>0</v>
      </c>
      <c r="I50" s="6">
        <f t="shared" si="5"/>
        <v>0</v>
      </c>
      <c r="J50" s="12">
        <f>SUMIFS(月別入力!$J:$J,月別入力!$E:$E,設定!$C50,月別入力!$D:$D,設定!J$7,月別入力!$B:$B,設定!$B50)</f>
        <v>0</v>
      </c>
      <c r="K50" s="12">
        <f>SUMIFS(月別入力!$J:$J,月別入力!$E:$E,設定!$C50,月別入力!$D:$D,設定!K$7,月別入力!$B:$B,設定!$B50)</f>
        <v>0</v>
      </c>
      <c r="L50" s="12">
        <f>SUMIFS(月別入力!$J:$J,月別入力!$E:$E,設定!$C50,月別入力!$D:$D,設定!L$7,月別入力!$B:$B,設定!$B50)</f>
        <v>0</v>
      </c>
      <c r="M50" s="12">
        <f>SUMIFS(月別入力!$J:$J,月別入力!$E:$E,設定!$C50,月別入力!$D:$D,設定!M$7,月別入力!$B:$B,設定!$B50)</f>
        <v>0</v>
      </c>
      <c r="N50" s="13">
        <f>SUMIFS(月別入力!$J:$J,月別入力!$E:$E,設定!$C50,月別入力!$D:$D,設定!N$7,月別入力!$B:$B,設定!$B50)</f>
        <v>0</v>
      </c>
    </row>
    <row r="51" spans="2:14" s="3" customFormat="1" ht="15" customHeight="1" x14ac:dyDescent="0.2">
      <c r="B51" s="73" t="str">
        <f t="shared" si="3"/>
        <v>&lt;=12</v>
      </c>
      <c r="C51" s="25"/>
      <c r="D51" s="7"/>
      <c r="E51" s="14"/>
      <c r="F51" s="15"/>
      <c r="G51" s="16"/>
      <c r="H51" s="103">
        <f t="shared" si="4"/>
        <v>0</v>
      </c>
      <c r="I51" s="6">
        <f t="shared" si="5"/>
        <v>0</v>
      </c>
      <c r="J51" s="12">
        <f>SUMIFS(月別入力!$J:$J,月別入力!$E:$E,設定!$C51,月別入力!$D:$D,設定!J$7,月別入力!$B:$B,設定!$B51)</f>
        <v>0</v>
      </c>
      <c r="K51" s="12">
        <f>SUMIFS(月別入力!$J:$J,月別入力!$E:$E,設定!$C51,月別入力!$D:$D,設定!K$7,月別入力!$B:$B,設定!$B51)</f>
        <v>0</v>
      </c>
      <c r="L51" s="12">
        <f>SUMIFS(月別入力!$J:$J,月別入力!$E:$E,設定!$C51,月別入力!$D:$D,設定!L$7,月別入力!$B:$B,設定!$B51)</f>
        <v>0</v>
      </c>
      <c r="M51" s="12">
        <f>SUMIFS(月別入力!$J:$J,月別入力!$E:$E,設定!$C51,月別入力!$D:$D,設定!M$7,月別入力!$B:$B,設定!$B51)</f>
        <v>0</v>
      </c>
      <c r="N51" s="13">
        <f>SUMIFS(月別入力!$J:$J,月別入力!$E:$E,設定!$C51,月別入力!$D:$D,設定!N$7,月別入力!$B:$B,設定!$B51)</f>
        <v>0</v>
      </c>
    </row>
    <row r="52" spans="2:14" s="3" customFormat="1" ht="15" customHeight="1" x14ac:dyDescent="0.2">
      <c r="B52" s="73" t="str">
        <f t="shared" si="3"/>
        <v>&lt;=12</v>
      </c>
      <c r="C52" s="25"/>
      <c r="D52" s="7"/>
      <c r="E52" s="14"/>
      <c r="F52" s="15"/>
      <c r="G52" s="16"/>
      <c r="H52" s="103">
        <f t="shared" si="4"/>
        <v>0</v>
      </c>
      <c r="I52" s="6">
        <f t="shared" si="5"/>
        <v>0</v>
      </c>
      <c r="J52" s="12">
        <f>SUMIFS(月別入力!$J:$J,月別入力!$E:$E,設定!$C52,月別入力!$D:$D,設定!J$7,月別入力!$B:$B,設定!$B52)</f>
        <v>0</v>
      </c>
      <c r="K52" s="12">
        <f>SUMIFS(月別入力!$J:$J,月別入力!$E:$E,設定!$C52,月別入力!$D:$D,設定!K$7,月別入力!$B:$B,設定!$B52)</f>
        <v>0</v>
      </c>
      <c r="L52" s="12">
        <f>SUMIFS(月別入力!$J:$J,月別入力!$E:$E,設定!$C52,月別入力!$D:$D,設定!L$7,月別入力!$B:$B,設定!$B52)</f>
        <v>0</v>
      </c>
      <c r="M52" s="12">
        <f>SUMIFS(月別入力!$J:$J,月別入力!$E:$E,設定!$C52,月別入力!$D:$D,設定!M$7,月別入力!$B:$B,設定!$B52)</f>
        <v>0</v>
      </c>
      <c r="N52" s="13">
        <f>SUMIFS(月別入力!$J:$J,月別入力!$E:$E,設定!$C52,月別入力!$D:$D,設定!N$7,月別入力!$B:$B,設定!$B52)</f>
        <v>0</v>
      </c>
    </row>
    <row r="53" spans="2:14" s="3" customFormat="1" ht="15" customHeight="1" x14ac:dyDescent="0.2">
      <c r="B53" s="73" t="str">
        <f t="shared" si="3"/>
        <v>&lt;=12</v>
      </c>
      <c r="C53" s="25"/>
      <c r="D53" s="7"/>
      <c r="E53" s="14"/>
      <c r="F53" s="15"/>
      <c r="G53" s="16"/>
      <c r="H53" s="103">
        <f t="shared" si="4"/>
        <v>0</v>
      </c>
      <c r="I53" s="6">
        <f t="shared" si="5"/>
        <v>0</v>
      </c>
      <c r="J53" s="12">
        <f>SUMIFS(月別入力!$J:$J,月別入力!$E:$E,設定!$C53,月別入力!$D:$D,設定!J$7,月別入力!$B:$B,設定!$B53)</f>
        <v>0</v>
      </c>
      <c r="K53" s="12">
        <f>SUMIFS(月別入力!$J:$J,月別入力!$E:$E,設定!$C53,月別入力!$D:$D,設定!K$7,月別入力!$B:$B,設定!$B53)</f>
        <v>0</v>
      </c>
      <c r="L53" s="12">
        <f>SUMIFS(月別入力!$J:$J,月別入力!$E:$E,設定!$C53,月別入力!$D:$D,設定!L$7,月別入力!$B:$B,設定!$B53)</f>
        <v>0</v>
      </c>
      <c r="M53" s="12">
        <f>SUMIFS(月別入力!$J:$J,月別入力!$E:$E,設定!$C53,月別入力!$D:$D,設定!M$7,月別入力!$B:$B,設定!$B53)</f>
        <v>0</v>
      </c>
      <c r="N53" s="13">
        <f>SUMIFS(月別入力!$J:$J,月別入力!$E:$E,設定!$C53,月別入力!$D:$D,設定!N$7,月別入力!$B:$B,設定!$B53)</f>
        <v>0</v>
      </c>
    </row>
    <row r="54" spans="2:14" s="3" customFormat="1" ht="15" customHeight="1" x14ac:dyDescent="0.2">
      <c r="B54" s="73" t="str">
        <f t="shared" si="3"/>
        <v>&lt;=12</v>
      </c>
      <c r="C54" s="25"/>
      <c r="D54" s="7"/>
      <c r="E54" s="14"/>
      <c r="F54" s="15"/>
      <c r="G54" s="16"/>
      <c r="H54" s="103">
        <f t="shared" si="4"/>
        <v>0</v>
      </c>
      <c r="I54" s="6">
        <f t="shared" si="5"/>
        <v>0</v>
      </c>
      <c r="J54" s="12">
        <f>SUMIFS(月別入力!$J:$J,月別入力!$E:$E,設定!$C54,月別入力!$D:$D,設定!J$7,月別入力!$B:$B,設定!$B54)</f>
        <v>0</v>
      </c>
      <c r="K54" s="12">
        <f>SUMIFS(月別入力!$J:$J,月別入力!$E:$E,設定!$C54,月別入力!$D:$D,設定!K$7,月別入力!$B:$B,設定!$B54)</f>
        <v>0</v>
      </c>
      <c r="L54" s="12">
        <f>SUMIFS(月別入力!$J:$J,月別入力!$E:$E,設定!$C54,月別入力!$D:$D,設定!L$7,月別入力!$B:$B,設定!$B54)</f>
        <v>0</v>
      </c>
      <c r="M54" s="12">
        <f>SUMIFS(月別入力!$J:$J,月別入力!$E:$E,設定!$C54,月別入力!$D:$D,設定!M$7,月別入力!$B:$B,設定!$B54)</f>
        <v>0</v>
      </c>
      <c r="N54" s="13">
        <f>SUMIFS(月別入力!$J:$J,月別入力!$E:$E,設定!$C54,月別入力!$D:$D,設定!N$7,月別入力!$B:$B,設定!$B54)</f>
        <v>0</v>
      </c>
    </row>
    <row r="55" spans="2:14" s="3" customFormat="1" ht="15" customHeight="1" x14ac:dyDescent="0.2">
      <c r="B55" s="73" t="str">
        <f t="shared" si="3"/>
        <v>&lt;=12</v>
      </c>
      <c r="C55" s="25"/>
      <c r="D55" s="7"/>
      <c r="E55" s="14"/>
      <c r="F55" s="15"/>
      <c r="G55" s="16"/>
      <c r="H55" s="103">
        <f t="shared" si="4"/>
        <v>0</v>
      </c>
      <c r="I55" s="6">
        <f t="shared" si="5"/>
        <v>0</v>
      </c>
      <c r="J55" s="12">
        <f>SUMIFS(月別入力!$J:$J,月別入力!$E:$E,設定!$C55,月別入力!$D:$D,設定!J$7,月別入力!$B:$B,設定!$B55)</f>
        <v>0</v>
      </c>
      <c r="K55" s="12">
        <f>SUMIFS(月別入力!$J:$J,月別入力!$E:$E,設定!$C55,月別入力!$D:$D,設定!K$7,月別入力!$B:$B,設定!$B55)</f>
        <v>0</v>
      </c>
      <c r="L55" s="12">
        <f>SUMIFS(月別入力!$J:$J,月別入力!$E:$E,設定!$C55,月別入力!$D:$D,設定!L$7,月別入力!$B:$B,設定!$B55)</f>
        <v>0</v>
      </c>
      <c r="M55" s="12">
        <f>SUMIFS(月別入力!$J:$J,月別入力!$E:$E,設定!$C55,月別入力!$D:$D,設定!M$7,月別入力!$B:$B,設定!$B55)</f>
        <v>0</v>
      </c>
      <c r="N55" s="13">
        <f>SUMIFS(月別入力!$J:$J,月別入力!$E:$E,設定!$C55,月別入力!$D:$D,設定!N$7,月別入力!$B:$B,設定!$B55)</f>
        <v>0</v>
      </c>
    </row>
    <row r="56" spans="2:14" s="3" customFormat="1" ht="15" customHeight="1" x14ac:dyDescent="0.2">
      <c r="B56" s="73" t="str">
        <f t="shared" si="3"/>
        <v>&lt;=12</v>
      </c>
      <c r="C56" s="25"/>
      <c r="D56" s="7"/>
      <c r="E56" s="14"/>
      <c r="F56" s="15"/>
      <c r="G56" s="16"/>
      <c r="H56" s="103">
        <f t="shared" si="4"/>
        <v>0</v>
      </c>
      <c r="I56" s="6">
        <f t="shared" si="5"/>
        <v>0</v>
      </c>
      <c r="J56" s="12">
        <f>SUMIFS(月別入力!$J:$J,月別入力!$E:$E,設定!$C56,月別入力!$D:$D,設定!J$7,月別入力!$B:$B,設定!$B56)</f>
        <v>0</v>
      </c>
      <c r="K56" s="12">
        <f>SUMIFS(月別入力!$J:$J,月別入力!$E:$E,設定!$C56,月別入力!$D:$D,設定!K$7,月別入力!$B:$B,設定!$B56)</f>
        <v>0</v>
      </c>
      <c r="L56" s="12">
        <f>SUMIFS(月別入力!$J:$J,月別入力!$E:$E,設定!$C56,月別入力!$D:$D,設定!L$7,月別入力!$B:$B,設定!$B56)</f>
        <v>0</v>
      </c>
      <c r="M56" s="12">
        <f>SUMIFS(月別入力!$J:$J,月別入力!$E:$E,設定!$C56,月別入力!$D:$D,設定!M$7,月別入力!$B:$B,設定!$B56)</f>
        <v>0</v>
      </c>
      <c r="N56" s="13">
        <f>SUMIFS(月別入力!$J:$J,月別入力!$E:$E,設定!$C56,月別入力!$D:$D,設定!N$7,月別入力!$B:$B,設定!$B56)</f>
        <v>0</v>
      </c>
    </row>
    <row r="57" spans="2:14" s="3" customFormat="1" ht="15" customHeight="1" x14ac:dyDescent="0.2">
      <c r="B57" s="73" t="str">
        <f t="shared" si="3"/>
        <v>&lt;=12</v>
      </c>
      <c r="C57" s="25"/>
      <c r="D57" s="7"/>
      <c r="E57" s="14"/>
      <c r="F57" s="15"/>
      <c r="G57" s="16"/>
      <c r="H57" s="103">
        <f t="shared" si="4"/>
        <v>0</v>
      </c>
      <c r="I57" s="6">
        <f t="shared" si="5"/>
        <v>0</v>
      </c>
      <c r="J57" s="12">
        <f>SUMIFS(月別入力!$J:$J,月別入力!$E:$E,設定!$C57,月別入力!$D:$D,設定!J$7,月別入力!$B:$B,設定!$B57)</f>
        <v>0</v>
      </c>
      <c r="K57" s="12">
        <f>SUMIFS(月別入力!$J:$J,月別入力!$E:$E,設定!$C57,月別入力!$D:$D,設定!K$7,月別入力!$B:$B,設定!$B57)</f>
        <v>0</v>
      </c>
      <c r="L57" s="12">
        <f>SUMIFS(月別入力!$J:$J,月別入力!$E:$E,設定!$C57,月別入力!$D:$D,設定!L$7,月別入力!$B:$B,設定!$B57)</f>
        <v>0</v>
      </c>
      <c r="M57" s="12">
        <f>SUMIFS(月別入力!$J:$J,月別入力!$E:$E,設定!$C57,月別入力!$D:$D,設定!M$7,月別入力!$B:$B,設定!$B57)</f>
        <v>0</v>
      </c>
      <c r="N57" s="13">
        <f>SUMIFS(月別入力!$J:$J,月別入力!$E:$E,設定!$C57,月別入力!$D:$D,設定!N$7,月別入力!$B:$B,設定!$B57)</f>
        <v>0</v>
      </c>
    </row>
    <row r="58" spans="2:14" s="3" customFormat="1" ht="15" customHeight="1" x14ac:dyDescent="0.2">
      <c r="B58" s="73" t="str">
        <f t="shared" si="3"/>
        <v>&lt;=12</v>
      </c>
      <c r="C58" s="25"/>
      <c r="D58" s="7"/>
      <c r="E58" s="14"/>
      <c r="F58" s="15"/>
      <c r="G58" s="16"/>
      <c r="H58" s="103">
        <f t="shared" si="4"/>
        <v>0</v>
      </c>
      <c r="I58" s="6">
        <f t="shared" si="5"/>
        <v>0</v>
      </c>
      <c r="J58" s="12">
        <f>SUMIFS(月別入力!$J:$J,月別入力!$E:$E,設定!$C58,月別入力!$D:$D,設定!J$7,月別入力!$B:$B,設定!$B58)</f>
        <v>0</v>
      </c>
      <c r="K58" s="12">
        <f>SUMIFS(月別入力!$J:$J,月別入力!$E:$E,設定!$C58,月別入力!$D:$D,設定!K$7,月別入力!$B:$B,設定!$B58)</f>
        <v>0</v>
      </c>
      <c r="L58" s="12">
        <f>SUMIFS(月別入力!$J:$J,月別入力!$E:$E,設定!$C58,月別入力!$D:$D,設定!L$7,月別入力!$B:$B,設定!$B58)</f>
        <v>0</v>
      </c>
      <c r="M58" s="12">
        <f>SUMIFS(月別入力!$J:$J,月別入力!$E:$E,設定!$C58,月別入力!$D:$D,設定!M$7,月別入力!$B:$B,設定!$B58)</f>
        <v>0</v>
      </c>
      <c r="N58" s="13">
        <f>SUMIFS(月別入力!$J:$J,月別入力!$E:$E,設定!$C58,月別入力!$D:$D,設定!N$7,月別入力!$B:$B,設定!$B58)</f>
        <v>0</v>
      </c>
    </row>
    <row r="59" spans="2:14" s="3" customFormat="1" ht="15" customHeight="1" x14ac:dyDescent="0.2">
      <c r="B59" s="73" t="str">
        <f t="shared" si="3"/>
        <v>&lt;=12</v>
      </c>
      <c r="C59" s="25"/>
      <c r="D59" s="7"/>
      <c r="E59" s="14"/>
      <c r="F59" s="15"/>
      <c r="G59" s="16"/>
      <c r="H59" s="103">
        <f t="shared" si="4"/>
        <v>0</v>
      </c>
      <c r="I59" s="6">
        <f t="shared" si="5"/>
        <v>0</v>
      </c>
      <c r="J59" s="12">
        <f>SUMIFS(月別入力!$J:$J,月別入力!$E:$E,設定!$C59,月別入力!$D:$D,設定!J$7,月別入力!$B:$B,設定!$B59)</f>
        <v>0</v>
      </c>
      <c r="K59" s="12">
        <f>SUMIFS(月別入力!$J:$J,月別入力!$E:$E,設定!$C59,月別入力!$D:$D,設定!K$7,月別入力!$B:$B,設定!$B59)</f>
        <v>0</v>
      </c>
      <c r="L59" s="12">
        <f>SUMIFS(月別入力!$J:$J,月別入力!$E:$E,設定!$C59,月別入力!$D:$D,設定!L$7,月別入力!$B:$B,設定!$B59)</f>
        <v>0</v>
      </c>
      <c r="M59" s="12">
        <f>SUMIFS(月別入力!$J:$J,月別入力!$E:$E,設定!$C59,月別入力!$D:$D,設定!M$7,月別入力!$B:$B,設定!$B59)</f>
        <v>0</v>
      </c>
      <c r="N59" s="13">
        <f>SUMIFS(月別入力!$J:$J,月別入力!$E:$E,設定!$C59,月別入力!$D:$D,設定!N$7,月別入力!$B:$B,設定!$B59)</f>
        <v>0</v>
      </c>
    </row>
    <row r="60" spans="2:14" s="3" customFormat="1" ht="15" customHeight="1" x14ac:dyDescent="0.2">
      <c r="B60" s="73" t="str">
        <f t="shared" si="3"/>
        <v>&lt;=12</v>
      </c>
      <c r="C60" s="25"/>
      <c r="D60" s="7"/>
      <c r="E60" s="14"/>
      <c r="F60" s="15"/>
      <c r="G60" s="16"/>
      <c r="H60" s="103">
        <f t="shared" si="4"/>
        <v>0</v>
      </c>
      <c r="I60" s="6">
        <f t="shared" si="5"/>
        <v>0</v>
      </c>
      <c r="J60" s="12">
        <f>SUMIFS(月別入力!$J:$J,月別入力!$E:$E,設定!$C60,月別入力!$D:$D,設定!J$7,月別入力!$B:$B,設定!$B60)</f>
        <v>0</v>
      </c>
      <c r="K60" s="12">
        <f>SUMIFS(月別入力!$J:$J,月別入力!$E:$E,設定!$C60,月別入力!$D:$D,設定!K$7,月別入力!$B:$B,設定!$B60)</f>
        <v>0</v>
      </c>
      <c r="L60" s="12">
        <f>SUMIFS(月別入力!$J:$J,月別入力!$E:$E,設定!$C60,月別入力!$D:$D,設定!L$7,月別入力!$B:$B,設定!$B60)</f>
        <v>0</v>
      </c>
      <c r="M60" s="12">
        <f>SUMIFS(月別入力!$J:$J,月別入力!$E:$E,設定!$C60,月別入力!$D:$D,設定!M$7,月別入力!$B:$B,設定!$B60)</f>
        <v>0</v>
      </c>
      <c r="N60" s="13">
        <f>SUMIFS(月別入力!$J:$J,月別入力!$E:$E,設定!$C60,月別入力!$D:$D,設定!N$7,月別入力!$B:$B,設定!$B60)</f>
        <v>0</v>
      </c>
    </row>
    <row r="61" spans="2:14" s="3" customFormat="1" ht="15" customHeight="1" x14ac:dyDescent="0.2">
      <c r="B61" s="73" t="str">
        <f t="shared" si="3"/>
        <v>&lt;=12</v>
      </c>
      <c r="C61" s="25"/>
      <c r="D61" s="7"/>
      <c r="E61" s="14"/>
      <c r="F61" s="15"/>
      <c r="G61" s="16"/>
      <c r="H61" s="103">
        <f t="shared" si="4"/>
        <v>0</v>
      </c>
      <c r="I61" s="6">
        <f t="shared" si="5"/>
        <v>0</v>
      </c>
      <c r="J61" s="12">
        <f>SUMIFS(月別入力!$J:$J,月別入力!$E:$E,設定!$C61,月別入力!$D:$D,設定!J$7,月別入力!$B:$B,設定!$B61)</f>
        <v>0</v>
      </c>
      <c r="K61" s="12">
        <f>SUMIFS(月別入力!$J:$J,月別入力!$E:$E,設定!$C61,月別入力!$D:$D,設定!K$7,月別入力!$B:$B,設定!$B61)</f>
        <v>0</v>
      </c>
      <c r="L61" s="12">
        <f>SUMIFS(月別入力!$J:$J,月別入力!$E:$E,設定!$C61,月別入力!$D:$D,設定!L$7,月別入力!$B:$B,設定!$B61)</f>
        <v>0</v>
      </c>
      <c r="M61" s="12">
        <f>SUMIFS(月別入力!$J:$J,月別入力!$E:$E,設定!$C61,月別入力!$D:$D,設定!M$7,月別入力!$B:$B,設定!$B61)</f>
        <v>0</v>
      </c>
      <c r="N61" s="13">
        <f>SUMIFS(月別入力!$J:$J,月別入力!$E:$E,設定!$C61,月別入力!$D:$D,設定!N$7,月別入力!$B:$B,設定!$B61)</f>
        <v>0</v>
      </c>
    </row>
    <row r="62" spans="2:14" s="3" customFormat="1" ht="15" customHeight="1" x14ac:dyDescent="0.2">
      <c r="B62" s="73" t="str">
        <f t="shared" si="3"/>
        <v>&lt;=12</v>
      </c>
      <c r="C62" s="25"/>
      <c r="D62" s="7"/>
      <c r="E62" s="14"/>
      <c r="F62" s="15"/>
      <c r="G62" s="16"/>
      <c r="H62" s="103">
        <f t="shared" si="4"/>
        <v>0</v>
      </c>
      <c r="I62" s="6">
        <f t="shared" si="5"/>
        <v>0</v>
      </c>
      <c r="J62" s="12">
        <f>SUMIFS(月別入力!$J:$J,月別入力!$E:$E,設定!$C62,月別入力!$D:$D,設定!J$7,月別入力!$B:$B,設定!$B62)</f>
        <v>0</v>
      </c>
      <c r="K62" s="12">
        <f>SUMIFS(月別入力!$J:$J,月別入力!$E:$E,設定!$C62,月別入力!$D:$D,設定!K$7,月別入力!$B:$B,設定!$B62)</f>
        <v>0</v>
      </c>
      <c r="L62" s="12">
        <f>SUMIFS(月別入力!$J:$J,月別入力!$E:$E,設定!$C62,月別入力!$D:$D,設定!L$7,月別入力!$B:$B,設定!$B62)</f>
        <v>0</v>
      </c>
      <c r="M62" s="12">
        <f>SUMIFS(月別入力!$J:$J,月別入力!$E:$E,設定!$C62,月別入力!$D:$D,設定!M$7,月別入力!$B:$B,設定!$B62)</f>
        <v>0</v>
      </c>
      <c r="N62" s="13">
        <f>SUMIFS(月別入力!$J:$J,月別入力!$E:$E,設定!$C62,月別入力!$D:$D,設定!N$7,月別入力!$B:$B,設定!$B62)</f>
        <v>0</v>
      </c>
    </row>
    <row r="63" spans="2:14" s="3" customFormat="1" ht="15" customHeight="1" x14ac:dyDescent="0.2">
      <c r="B63" s="73" t="str">
        <f t="shared" si="3"/>
        <v>&lt;=12</v>
      </c>
      <c r="C63" s="25"/>
      <c r="D63" s="7"/>
      <c r="E63" s="14"/>
      <c r="F63" s="15"/>
      <c r="G63" s="16"/>
      <c r="H63" s="103">
        <f t="shared" si="4"/>
        <v>0</v>
      </c>
      <c r="I63" s="6">
        <f t="shared" si="5"/>
        <v>0</v>
      </c>
      <c r="J63" s="12">
        <f>SUMIFS(月別入力!$J:$J,月別入力!$E:$E,設定!$C63,月別入力!$D:$D,設定!J$7,月別入力!$B:$B,設定!$B63)</f>
        <v>0</v>
      </c>
      <c r="K63" s="12">
        <f>SUMIFS(月別入力!$J:$J,月別入力!$E:$E,設定!$C63,月別入力!$D:$D,設定!K$7,月別入力!$B:$B,設定!$B63)</f>
        <v>0</v>
      </c>
      <c r="L63" s="12">
        <f>SUMIFS(月別入力!$J:$J,月別入力!$E:$E,設定!$C63,月別入力!$D:$D,設定!L$7,月別入力!$B:$B,設定!$B63)</f>
        <v>0</v>
      </c>
      <c r="M63" s="12">
        <f>SUMIFS(月別入力!$J:$J,月別入力!$E:$E,設定!$C63,月別入力!$D:$D,設定!M$7,月別入力!$B:$B,設定!$B63)</f>
        <v>0</v>
      </c>
      <c r="N63" s="13">
        <f>SUMIFS(月別入力!$J:$J,月別入力!$E:$E,設定!$C63,月別入力!$D:$D,設定!N$7,月別入力!$B:$B,設定!$B63)</f>
        <v>0</v>
      </c>
    </row>
    <row r="64" spans="2:14" s="3" customFormat="1" ht="15" customHeight="1" x14ac:dyDescent="0.2">
      <c r="B64" s="73" t="str">
        <f t="shared" si="3"/>
        <v>&lt;=12</v>
      </c>
      <c r="C64" s="25"/>
      <c r="D64" s="7"/>
      <c r="E64" s="14"/>
      <c r="F64" s="15"/>
      <c r="G64" s="16"/>
      <c r="H64" s="103">
        <f t="shared" si="4"/>
        <v>0</v>
      </c>
      <c r="I64" s="6">
        <f t="shared" si="5"/>
        <v>0</v>
      </c>
      <c r="J64" s="12">
        <f>SUMIFS(月別入力!$J:$J,月別入力!$E:$E,設定!$C64,月別入力!$D:$D,設定!J$7,月別入力!$B:$B,設定!$B64)</f>
        <v>0</v>
      </c>
      <c r="K64" s="12">
        <f>SUMIFS(月別入力!$J:$J,月別入力!$E:$E,設定!$C64,月別入力!$D:$D,設定!K$7,月別入力!$B:$B,設定!$B64)</f>
        <v>0</v>
      </c>
      <c r="L64" s="12">
        <f>SUMIFS(月別入力!$J:$J,月別入力!$E:$E,設定!$C64,月別入力!$D:$D,設定!L$7,月別入力!$B:$B,設定!$B64)</f>
        <v>0</v>
      </c>
      <c r="M64" s="12">
        <f>SUMIFS(月別入力!$J:$J,月別入力!$E:$E,設定!$C64,月別入力!$D:$D,設定!M$7,月別入力!$B:$B,設定!$B64)</f>
        <v>0</v>
      </c>
      <c r="N64" s="13">
        <f>SUMIFS(月別入力!$J:$J,月別入力!$E:$E,設定!$C64,月別入力!$D:$D,設定!N$7,月別入力!$B:$B,設定!$B64)</f>
        <v>0</v>
      </c>
    </row>
    <row r="65" spans="2:14" s="3" customFormat="1" ht="15" customHeight="1" x14ac:dyDescent="0.2">
      <c r="B65" s="73" t="str">
        <f t="shared" si="3"/>
        <v>&lt;=12</v>
      </c>
      <c r="C65" s="25"/>
      <c r="D65" s="7"/>
      <c r="E65" s="14"/>
      <c r="F65" s="15"/>
      <c r="G65" s="16"/>
      <c r="H65" s="103">
        <f t="shared" si="4"/>
        <v>0</v>
      </c>
      <c r="I65" s="6">
        <f t="shared" si="5"/>
        <v>0</v>
      </c>
      <c r="J65" s="12">
        <f>SUMIFS(月別入力!$J:$J,月別入力!$E:$E,設定!$C65,月別入力!$D:$D,設定!J$7,月別入力!$B:$B,設定!$B65)</f>
        <v>0</v>
      </c>
      <c r="K65" s="12">
        <f>SUMIFS(月別入力!$J:$J,月別入力!$E:$E,設定!$C65,月別入力!$D:$D,設定!K$7,月別入力!$B:$B,設定!$B65)</f>
        <v>0</v>
      </c>
      <c r="L65" s="12">
        <f>SUMIFS(月別入力!$J:$J,月別入力!$E:$E,設定!$C65,月別入力!$D:$D,設定!L$7,月別入力!$B:$B,設定!$B65)</f>
        <v>0</v>
      </c>
      <c r="M65" s="12">
        <f>SUMIFS(月別入力!$J:$J,月別入力!$E:$E,設定!$C65,月別入力!$D:$D,設定!M$7,月別入力!$B:$B,設定!$B65)</f>
        <v>0</v>
      </c>
      <c r="N65" s="13">
        <f>SUMIFS(月別入力!$J:$J,月別入力!$E:$E,設定!$C65,月別入力!$D:$D,設定!N$7,月別入力!$B:$B,設定!$B65)</f>
        <v>0</v>
      </c>
    </row>
    <row r="66" spans="2:14" s="3" customFormat="1" ht="15" customHeight="1" x14ac:dyDescent="0.2">
      <c r="B66" s="73" t="str">
        <f t="shared" si="3"/>
        <v>&lt;=12</v>
      </c>
      <c r="C66" s="25"/>
      <c r="D66" s="7"/>
      <c r="E66" s="14"/>
      <c r="F66" s="15"/>
      <c r="G66" s="16"/>
      <c r="H66" s="103">
        <f t="shared" si="4"/>
        <v>0</v>
      </c>
      <c r="I66" s="6">
        <f t="shared" si="5"/>
        <v>0</v>
      </c>
      <c r="J66" s="12">
        <f>SUMIFS(月別入力!$J:$J,月別入力!$E:$E,設定!$C66,月別入力!$D:$D,設定!J$7,月別入力!$B:$B,設定!$B66)</f>
        <v>0</v>
      </c>
      <c r="K66" s="12">
        <f>SUMIFS(月別入力!$J:$J,月別入力!$E:$E,設定!$C66,月別入力!$D:$D,設定!K$7,月別入力!$B:$B,設定!$B66)</f>
        <v>0</v>
      </c>
      <c r="L66" s="12">
        <f>SUMIFS(月別入力!$J:$J,月別入力!$E:$E,設定!$C66,月別入力!$D:$D,設定!L$7,月別入力!$B:$B,設定!$B66)</f>
        <v>0</v>
      </c>
      <c r="M66" s="12">
        <f>SUMIFS(月別入力!$J:$J,月別入力!$E:$E,設定!$C66,月別入力!$D:$D,設定!M$7,月別入力!$B:$B,設定!$B66)</f>
        <v>0</v>
      </c>
      <c r="N66" s="13">
        <f>SUMIFS(月別入力!$J:$J,月別入力!$E:$E,設定!$C66,月別入力!$D:$D,設定!N$7,月別入力!$B:$B,設定!$B66)</f>
        <v>0</v>
      </c>
    </row>
    <row r="67" spans="2:14" s="3" customFormat="1" ht="15" customHeight="1" x14ac:dyDescent="0.2">
      <c r="B67" s="73" t="str">
        <f t="shared" si="3"/>
        <v>&lt;=12</v>
      </c>
      <c r="C67" s="25"/>
      <c r="D67" s="7"/>
      <c r="E67" s="14"/>
      <c r="F67" s="15"/>
      <c r="G67" s="16"/>
      <c r="H67" s="103">
        <f t="shared" si="4"/>
        <v>0</v>
      </c>
      <c r="I67" s="6">
        <f t="shared" si="5"/>
        <v>0</v>
      </c>
      <c r="J67" s="12">
        <f>SUMIFS(月別入力!$J:$J,月別入力!$E:$E,設定!$C67,月別入力!$D:$D,設定!J$7,月別入力!$B:$B,設定!$B67)</f>
        <v>0</v>
      </c>
      <c r="K67" s="12">
        <f>SUMIFS(月別入力!$J:$J,月別入力!$E:$E,設定!$C67,月別入力!$D:$D,設定!K$7,月別入力!$B:$B,設定!$B67)</f>
        <v>0</v>
      </c>
      <c r="L67" s="12">
        <f>SUMIFS(月別入力!$J:$J,月別入力!$E:$E,設定!$C67,月別入力!$D:$D,設定!L$7,月別入力!$B:$B,設定!$B67)</f>
        <v>0</v>
      </c>
      <c r="M67" s="12">
        <f>SUMIFS(月別入力!$J:$J,月別入力!$E:$E,設定!$C67,月別入力!$D:$D,設定!M$7,月別入力!$B:$B,設定!$B67)</f>
        <v>0</v>
      </c>
      <c r="N67" s="13">
        <f>SUMIFS(月別入力!$J:$J,月別入力!$E:$E,設定!$C67,月別入力!$D:$D,設定!N$7,月別入力!$B:$B,設定!$B67)</f>
        <v>0</v>
      </c>
    </row>
    <row r="68" spans="2:14" s="3" customFormat="1" ht="15" customHeight="1" x14ac:dyDescent="0.2">
      <c r="B68" s="73" t="str">
        <f t="shared" si="3"/>
        <v>&lt;=12</v>
      </c>
      <c r="C68" s="25"/>
      <c r="D68" s="7"/>
      <c r="E68" s="14"/>
      <c r="F68" s="15"/>
      <c r="G68" s="16"/>
      <c r="H68" s="103">
        <f t="shared" si="4"/>
        <v>0</v>
      </c>
      <c r="I68" s="6">
        <f t="shared" si="5"/>
        <v>0</v>
      </c>
      <c r="J68" s="12">
        <f>SUMIFS(月別入力!$J:$J,月別入力!$E:$E,設定!$C68,月別入力!$D:$D,設定!J$7,月別入力!$B:$B,設定!$B68)</f>
        <v>0</v>
      </c>
      <c r="K68" s="12">
        <f>SUMIFS(月別入力!$J:$J,月別入力!$E:$E,設定!$C68,月別入力!$D:$D,設定!K$7,月別入力!$B:$B,設定!$B68)</f>
        <v>0</v>
      </c>
      <c r="L68" s="12">
        <f>SUMIFS(月別入力!$J:$J,月別入力!$E:$E,設定!$C68,月別入力!$D:$D,設定!L$7,月別入力!$B:$B,設定!$B68)</f>
        <v>0</v>
      </c>
      <c r="M68" s="12">
        <f>SUMIFS(月別入力!$J:$J,月別入力!$E:$E,設定!$C68,月別入力!$D:$D,設定!M$7,月別入力!$B:$B,設定!$B68)</f>
        <v>0</v>
      </c>
      <c r="N68" s="13">
        <f>SUMIFS(月別入力!$J:$J,月別入力!$E:$E,設定!$C68,月別入力!$D:$D,設定!N$7,月別入力!$B:$B,設定!$B68)</f>
        <v>0</v>
      </c>
    </row>
    <row r="69" spans="2:14" s="3" customFormat="1" ht="15" customHeight="1" x14ac:dyDescent="0.2">
      <c r="B69" s="73" t="str">
        <f t="shared" si="3"/>
        <v>&lt;=12</v>
      </c>
      <c r="C69" s="25"/>
      <c r="D69" s="7"/>
      <c r="E69" s="14"/>
      <c r="F69" s="15"/>
      <c r="G69" s="16"/>
      <c r="H69" s="103">
        <f t="shared" si="4"/>
        <v>0</v>
      </c>
      <c r="I69" s="6">
        <f t="shared" si="5"/>
        <v>0</v>
      </c>
      <c r="J69" s="12">
        <f>SUMIFS(月別入力!$J:$J,月別入力!$E:$E,設定!$C69,月別入力!$D:$D,設定!J$7,月別入力!$B:$B,設定!$B69)</f>
        <v>0</v>
      </c>
      <c r="K69" s="12">
        <f>SUMIFS(月別入力!$J:$J,月別入力!$E:$E,設定!$C69,月別入力!$D:$D,設定!K$7,月別入力!$B:$B,設定!$B69)</f>
        <v>0</v>
      </c>
      <c r="L69" s="12">
        <f>SUMIFS(月別入力!$J:$J,月別入力!$E:$E,設定!$C69,月別入力!$D:$D,設定!L$7,月別入力!$B:$B,設定!$B69)</f>
        <v>0</v>
      </c>
      <c r="M69" s="12">
        <f>SUMIFS(月別入力!$J:$J,月別入力!$E:$E,設定!$C69,月別入力!$D:$D,設定!M$7,月別入力!$B:$B,設定!$B69)</f>
        <v>0</v>
      </c>
      <c r="N69" s="13">
        <f>SUMIFS(月別入力!$J:$J,月別入力!$E:$E,設定!$C69,月別入力!$D:$D,設定!N$7,月別入力!$B:$B,設定!$B69)</f>
        <v>0</v>
      </c>
    </row>
    <row r="70" spans="2:14" s="3" customFormat="1" ht="15" customHeight="1" x14ac:dyDescent="0.2">
      <c r="B70" s="73" t="str">
        <f t="shared" si="3"/>
        <v>&lt;=12</v>
      </c>
      <c r="C70" s="25"/>
      <c r="D70" s="7"/>
      <c r="E70" s="14"/>
      <c r="F70" s="15"/>
      <c r="G70" s="16"/>
      <c r="H70" s="103">
        <f t="shared" si="4"/>
        <v>0</v>
      </c>
      <c r="I70" s="6">
        <f t="shared" si="5"/>
        <v>0</v>
      </c>
      <c r="J70" s="12">
        <f>SUMIFS(月別入力!$J:$J,月別入力!$E:$E,設定!$C70,月別入力!$D:$D,設定!J$7,月別入力!$B:$B,設定!$B70)</f>
        <v>0</v>
      </c>
      <c r="K70" s="12">
        <f>SUMIFS(月別入力!$J:$J,月別入力!$E:$E,設定!$C70,月別入力!$D:$D,設定!K$7,月別入力!$B:$B,設定!$B70)</f>
        <v>0</v>
      </c>
      <c r="L70" s="12">
        <f>SUMIFS(月別入力!$J:$J,月別入力!$E:$E,設定!$C70,月別入力!$D:$D,設定!L$7,月別入力!$B:$B,設定!$B70)</f>
        <v>0</v>
      </c>
      <c r="M70" s="12">
        <f>SUMIFS(月別入力!$J:$J,月別入力!$E:$E,設定!$C70,月別入力!$D:$D,設定!M$7,月別入力!$B:$B,設定!$B70)</f>
        <v>0</v>
      </c>
      <c r="N70" s="13">
        <f>SUMIFS(月別入力!$J:$J,月別入力!$E:$E,設定!$C70,月別入力!$D:$D,設定!N$7,月別入力!$B:$B,設定!$B70)</f>
        <v>0</v>
      </c>
    </row>
    <row r="71" spans="2:14" s="3" customFormat="1" ht="15" customHeight="1" x14ac:dyDescent="0.2">
      <c r="B71" s="73" t="str">
        <f t="shared" si="3"/>
        <v>&lt;=12</v>
      </c>
      <c r="C71" s="25"/>
      <c r="D71" s="7"/>
      <c r="E71" s="14"/>
      <c r="F71" s="15"/>
      <c r="G71" s="16"/>
      <c r="H71" s="103">
        <f t="shared" si="4"/>
        <v>0</v>
      </c>
      <c r="I71" s="6">
        <f t="shared" si="5"/>
        <v>0</v>
      </c>
      <c r="J71" s="12">
        <f>SUMIFS(月別入力!$J:$J,月別入力!$E:$E,設定!$C71,月別入力!$D:$D,設定!J$7,月別入力!$B:$B,設定!$B71)</f>
        <v>0</v>
      </c>
      <c r="K71" s="12">
        <f>SUMIFS(月別入力!$J:$J,月別入力!$E:$E,設定!$C71,月別入力!$D:$D,設定!K$7,月別入力!$B:$B,設定!$B71)</f>
        <v>0</v>
      </c>
      <c r="L71" s="12">
        <f>SUMIFS(月別入力!$J:$J,月別入力!$E:$E,設定!$C71,月別入力!$D:$D,設定!L$7,月別入力!$B:$B,設定!$B71)</f>
        <v>0</v>
      </c>
      <c r="M71" s="12">
        <f>SUMIFS(月別入力!$J:$J,月別入力!$E:$E,設定!$C71,月別入力!$D:$D,設定!M$7,月別入力!$B:$B,設定!$B71)</f>
        <v>0</v>
      </c>
      <c r="N71" s="13">
        <f>SUMIFS(月別入力!$J:$J,月別入力!$E:$E,設定!$C71,月別入力!$D:$D,設定!N$7,月別入力!$B:$B,設定!$B71)</f>
        <v>0</v>
      </c>
    </row>
    <row r="72" spans="2:14" s="3" customFormat="1" ht="15" customHeight="1" x14ac:dyDescent="0.2">
      <c r="B72" s="73" t="str">
        <f t="shared" si="3"/>
        <v>&lt;=12</v>
      </c>
      <c r="C72" s="25"/>
      <c r="D72" s="7"/>
      <c r="E72" s="14"/>
      <c r="F72" s="15"/>
      <c r="G72" s="16"/>
      <c r="H72" s="103">
        <f t="shared" si="4"/>
        <v>0</v>
      </c>
      <c r="I72" s="6">
        <f t="shared" si="5"/>
        <v>0</v>
      </c>
      <c r="J72" s="12">
        <f>SUMIFS(月別入力!$J:$J,月別入力!$E:$E,設定!$C72,月別入力!$D:$D,設定!J$7,月別入力!$B:$B,設定!$B72)</f>
        <v>0</v>
      </c>
      <c r="K72" s="12">
        <f>SUMIFS(月別入力!$J:$J,月別入力!$E:$E,設定!$C72,月別入力!$D:$D,設定!K$7,月別入力!$B:$B,設定!$B72)</f>
        <v>0</v>
      </c>
      <c r="L72" s="12">
        <f>SUMIFS(月別入力!$J:$J,月別入力!$E:$E,設定!$C72,月別入力!$D:$D,設定!L$7,月別入力!$B:$B,設定!$B72)</f>
        <v>0</v>
      </c>
      <c r="M72" s="12">
        <f>SUMIFS(月別入力!$J:$J,月別入力!$E:$E,設定!$C72,月別入力!$D:$D,設定!M$7,月別入力!$B:$B,設定!$B72)</f>
        <v>0</v>
      </c>
      <c r="N72" s="13">
        <f>SUMIFS(月別入力!$J:$J,月別入力!$E:$E,設定!$C72,月別入力!$D:$D,設定!N$7,月別入力!$B:$B,設定!$B72)</f>
        <v>0</v>
      </c>
    </row>
    <row r="73" spans="2:14" s="3" customFormat="1" ht="15" customHeight="1" x14ac:dyDescent="0.2">
      <c r="B73" s="73" t="str">
        <f t="shared" si="3"/>
        <v>&lt;=12</v>
      </c>
      <c r="C73" s="25"/>
      <c r="D73" s="7"/>
      <c r="E73" s="14"/>
      <c r="F73" s="15"/>
      <c r="G73" s="16"/>
      <c r="H73" s="103">
        <f t="shared" si="4"/>
        <v>0</v>
      </c>
      <c r="I73" s="6">
        <f t="shared" si="5"/>
        <v>0</v>
      </c>
      <c r="J73" s="12">
        <f>SUMIFS(月別入力!$J:$J,月別入力!$E:$E,設定!$C73,月別入力!$D:$D,設定!J$7,月別入力!$B:$B,設定!$B73)</f>
        <v>0</v>
      </c>
      <c r="K73" s="12">
        <f>SUMIFS(月別入力!$J:$J,月別入力!$E:$E,設定!$C73,月別入力!$D:$D,設定!K$7,月別入力!$B:$B,設定!$B73)</f>
        <v>0</v>
      </c>
      <c r="L73" s="12">
        <f>SUMIFS(月別入力!$J:$J,月別入力!$E:$E,設定!$C73,月別入力!$D:$D,設定!L$7,月別入力!$B:$B,設定!$B73)</f>
        <v>0</v>
      </c>
      <c r="M73" s="12">
        <f>SUMIFS(月別入力!$J:$J,月別入力!$E:$E,設定!$C73,月別入力!$D:$D,設定!M$7,月別入力!$B:$B,設定!$B73)</f>
        <v>0</v>
      </c>
      <c r="N73" s="13">
        <f>SUMIFS(月別入力!$J:$J,月別入力!$E:$E,設定!$C73,月別入力!$D:$D,設定!N$7,月別入力!$B:$B,設定!$B73)</f>
        <v>0</v>
      </c>
    </row>
    <row r="74" spans="2:14" s="3" customFormat="1" ht="15" customHeight="1" x14ac:dyDescent="0.2">
      <c r="B74" s="73" t="str">
        <f t="shared" si="3"/>
        <v>&lt;=12</v>
      </c>
      <c r="C74" s="25"/>
      <c r="D74" s="7"/>
      <c r="E74" s="14"/>
      <c r="F74" s="15"/>
      <c r="G74" s="16"/>
      <c r="H74" s="103">
        <f t="shared" si="4"/>
        <v>0</v>
      </c>
      <c r="I74" s="6">
        <f t="shared" si="5"/>
        <v>0</v>
      </c>
      <c r="J74" s="12">
        <f>SUMIFS(月別入力!$J:$J,月別入力!$E:$E,設定!$C74,月別入力!$D:$D,設定!J$7,月別入力!$B:$B,設定!$B74)</f>
        <v>0</v>
      </c>
      <c r="K74" s="12">
        <f>SUMIFS(月別入力!$J:$J,月別入力!$E:$E,設定!$C74,月別入力!$D:$D,設定!K$7,月別入力!$B:$B,設定!$B74)</f>
        <v>0</v>
      </c>
      <c r="L74" s="12">
        <f>SUMIFS(月別入力!$J:$J,月別入力!$E:$E,設定!$C74,月別入力!$D:$D,設定!L$7,月別入力!$B:$B,設定!$B74)</f>
        <v>0</v>
      </c>
      <c r="M74" s="12">
        <f>SUMIFS(月別入力!$J:$J,月別入力!$E:$E,設定!$C74,月別入力!$D:$D,設定!M$7,月別入力!$B:$B,設定!$B74)</f>
        <v>0</v>
      </c>
      <c r="N74" s="13">
        <f>SUMIFS(月別入力!$J:$J,月別入力!$E:$E,設定!$C74,月別入力!$D:$D,設定!N$7,月別入力!$B:$B,設定!$B74)</f>
        <v>0</v>
      </c>
    </row>
    <row r="75" spans="2:14" s="3" customFormat="1" ht="15" customHeight="1" x14ac:dyDescent="0.2">
      <c r="B75" s="73" t="str">
        <f t="shared" ref="B75:B108" si="6">B$9</f>
        <v>&lt;=12</v>
      </c>
      <c r="C75" s="25"/>
      <c r="D75" s="7"/>
      <c r="E75" s="14"/>
      <c r="F75" s="15"/>
      <c r="G75" s="16"/>
      <c r="H75" s="103">
        <f t="shared" si="4"/>
        <v>0</v>
      </c>
      <c r="I75" s="6">
        <f t="shared" si="5"/>
        <v>0</v>
      </c>
      <c r="J75" s="12">
        <f>SUMIFS(月別入力!$J:$J,月別入力!$E:$E,設定!$C75,月別入力!$D:$D,設定!J$7,月別入力!$B:$B,設定!$B75)</f>
        <v>0</v>
      </c>
      <c r="K75" s="12">
        <f>SUMIFS(月別入力!$J:$J,月別入力!$E:$E,設定!$C75,月別入力!$D:$D,設定!K$7,月別入力!$B:$B,設定!$B75)</f>
        <v>0</v>
      </c>
      <c r="L75" s="12">
        <f>SUMIFS(月別入力!$J:$J,月別入力!$E:$E,設定!$C75,月別入力!$D:$D,設定!L$7,月別入力!$B:$B,設定!$B75)</f>
        <v>0</v>
      </c>
      <c r="M75" s="12">
        <f>SUMIFS(月別入力!$J:$J,月別入力!$E:$E,設定!$C75,月別入力!$D:$D,設定!M$7,月別入力!$B:$B,設定!$B75)</f>
        <v>0</v>
      </c>
      <c r="N75" s="13">
        <f>SUMIFS(月別入力!$J:$J,月別入力!$E:$E,設定!$C75,月別入力!$D:$D,設定!N$7,月別入力!$B:$B,設定!$B75)</f>
        <v>0</v>
      </c>
    </row>
    <row r="76" spans="2:14" s="3" customFormat="1" ht="15" customHeight="1" x14ac:dyDescent="0.2">
      <c r="B76" s="73" t="str">
        <f t="shared" si="6"/>
        <v>&lt;=12</v>
      </c>
      <c r="C76" s="25"/>
      <c r="D76" s="7"/>
      <c r="E76" s="14"/>
      <c r="F76" s="15"/>
      <c r="G76" s="16"/>
      <c r="H76" s="103">
        <f t="shared" si="4"/>
        <v>0</v>
      </c>
      <c r="I76" s="6">
        <f t="shared" si="5"/>
        <v>0</v>
      </c>
      <c r="J76" s="12">
        <f>SUMIFS(月別入力!$J:$J,月別入力!$E:$E,設定!$C76,月別入力!$D:$D,設定!J$7,月別入力!$B:$B,設定!$B76)</f>
        <v>0</v>
      </c>
      <c r="K76" s="12">
        <f>SUMIFS(月別入力!$J:$J,月別入力!$E:$E,設定!$C76,月別入力!$D:$D,設定!K$7,月別入力!$B:$B,設定!$B76)</f>
        <v>0</v>
      </c>
      <c r="L76" s="12">
        <f>SUMIFS(月別入力!$J:$J,月別入力!$E:$E,設定!$C76,月別入力!$D:$D,設定!L$7,月別入力!$B:$B,設定!$B76)</f>
        <v>0</v>
      </c>
      <c r="M76" s="12">
        <f>SUMIFS(月別入力!$J:$J,月別入力!$E:$E,設定!$C76,月別入力!$D:$D,設定!M$7,月別入力!$B:$B,設定!$B76)</f>
        <v>0</v>
      </c>
      <c r="N76" s="13">
        <f>SUMIFS(月別入力!$J:$J,月別入力!$E:$E,設定!$C76,月別入力!$D:$D,設定!N$7,月別入力!$B:$B,設定!$B76)</f>
        <v>0</v>
      </c>
    </row>
    <row r="77" spans="2:14" s="3" customFormat="1" ht="15" customHeight="1" x14ac:dyDescent="0.2">
      <c r="B77" s="73" t="str">
        <f t="shared" si="6"/>
        <v>&lt;=12</v>
      </c>
      <c r="C77" s="25"/>
      <c r="D77" s="7"/>
      <c r="E77" s="14"/>
      <c r="F77" s="15"/>
      <c r="G77" s="16"/>
      <c r="H77" s="103">
        <f t="shared" si="4"/>
        <v>0</v>
      </c>
      <c r="I77" s="6">
        <f t="shared" si="5"/>
        <v>0</v>
      </c>
      <c r="J77" s="12">
        <f>SUMIFS(月別入力!$J:$J,月別入力!$E:$E,設定!$C77,月別入力!$D:$D,設定!J$7,月別入力!$B:$B,設定!$B77)</f>
        <v>0</v>
      </c>
      <c r="K77" s="12">
        <f>SUMIFS(月別入力!$J:$J,月別入力!$E:$E,設定!$C77,月別入力!$D:$D,設定!K$7,月別入力!$B:$B,設定!$B77)</f>
        <v>0</v>
      </c>
      <c r="L77" s="12">
        <f>SUMIFS(月別入力!$J:$J,月別入力!$E:$E,設定!$C77,月別入力!$D:$D,設定!L$7,月別入力!$B:$B,設定!$B77)</f>
        <v>0</v>
      </c>
      <c r="M77" s="12">
        <f>SUMIFS(月別入力!$J:$J,月別入力!$E:$E,設定!$C77,月別入力!$D:$D,設定!M$7,月別入力!$B:$B,設定!$B77)</f>
        <v>0</v>
      </c>
      <c r="N77" s="13">
        <f>SUMIFS(月別入力!$J:$J,月別入力!$E:$E,設定!$C77,月別入力!$D:$D,設定!N$7,月別入力!$B:$B,設定!$B77)</f>
        <v>0</v>
      </c>
    </row>
    <row r="78" spans="2:14" s="3" customFormat="1" ht="15" customHeight="1" x14ac:dyDescent="0.2">
      <c r="B78" s="73" t="str">
        <f t="shared" si="6"/>
        <v>&lt;=12</v>
      </c>
      <c r="C78" s="25"/>
      <c r="D78" s="7"/>
      <c r="E78" s="14"/>
      <c r="F78" s="15"/>
      <c r="G78" s="16"/>
      <c r="H78" s="103">
        <f t="shared" si="4"/>
        <v>0</v>
      </c>
      <c r="I78" s="6">
        <f t="shared" si="5"/>
        <v>0</v>
      </c>
      <c r="J78" s="12">
        <f>SUMIFS(月別入力!$J:$J,月別入力!$E:$E,設定!$C78,月別入力!$D:$D,設定!J$7,月別入力!$B:$B,設定!$B78)</f>
        <v>0</v>
      </c>
      <c r="K78" s="12">
        <f>SUMIFS(月別入力!$J:$J,月別入力!$E:$E,設定!$C78,月別入力!$D:$D,設定!K$7,月別入力!$B:$B,設定!$B78)</f>
        <v>0</v>
      </c>
      <c r="L78" s="12">
        <f>SUMIFS(月別入力!$J:$J,月別入力!$E:$E,設定!$C78,月別入力!$D:$D,設定!L$7,月別入力!$B:$B,設定!$B78)</f>
        <v>0</v>
      </c>
      <c r="M78" s="12">
        <f>SUMIFS(月別入力!$J:$J,月別入力!$E:$E,設定!$C78,月別入力!$D:$D,設定!M$7,月別入力!$B:$B,設定!$B78)</f>
        <v>0</v>
      </c>
      <c r="N78" s="13">
        <f>SUMIFS(月別入力!$J:$J,月別入力!$E:$E,設定!$C78,月別入力!$D:$D,設定!N$7,月別入力!$B:$B,設定!$B78)</f>
        <v>0</v>
      </c>
    </row>
    <row r="79" spans="2:14" s="3" customFormat="1" ht="15" customHeight="1" x14ac:dyDescent="0.2">
      <c r="B79" s="73" t="str">
        <f t="shared" si="6"/>
        <v>&lt;=12</v>
      </c>
      <c r="C79" s="25"/>
      <c r="D79" s="7"/>
      <c r="E79" s="14"/>
      <c r="F79" s="15"/>
      <c r="G79" s="16"/>
      <c r="H79" s="103">
        <f t="shared" si="4"/>
        <v>0</v>
      </c>
      <c r="I79" s="6">
        <f t="shared" si="5"/>
        <v>0</v>
      </c>
      <c r="J79" s="12">
        <f>SUMIFS(月別入力!$J:$J,月別入力!$E:$E,設定!$C79,月別入力!$D:$D,設定!J$7,月別入力!$B:$B,設定!$B79)</f>
        <v>0</v>
      </c>
      <c r="K79" s="12">
        <f>SUMIFS(月別入力!$J:$J,月別入力!$E:$E,設定!$C79,月別入力!$D:$D,設定!K$7,月別入力!$B:$B,設定!$B79)</f>
        <v>0</v>
      </c>
      <c r="L79" s="12">
        <f>SUMIFS(月別入力!$J:$J,月別入力!$E:$E,設定!$C79,月別入力!$D:$D,設定!L$7,月別入力!$B:$B,設定!$B79)</f>
        <v>0</v>
      </c>
      <c r="M79" s="12">
        <f>SUMIFS(月別入力!$J:$J,月別入力!$E:$E,設定!$C79,月別入力!$D:$D,設定!M$7,月別入力!$B:$B,設定!$B79)</f>
        <v>0</v>
      </c>
      <c r="N79" s="13">
        <f>SUMIFS(月別入力!$J:$J,月別入力!$E:$E,設定!$C79,月別入力!$D:$D,設定!N$7,月別入力!$B:$B,設定!$B79)</f>
        <v>0</v>
      </c>
    </row>
    <row r="80" spans="2:14" s="3" customFormat="1" ht="15" customHeight="1" x14ac:dyDescent="0.2">
      <c r="B80" s="73" t="str">
        <f t="shared" si="6"/>
        <v>&lt;=12</v>
      </c>
      <c r="C80" s="25"/>
      <c r="D80" s="7"/>
      <c r="E80" s="14"/>
      <c r="F80" s="15"/>
      <c r="G80" s="16"/>
      <c r="H80" s="103">
        <f t="shared" si="4"/>
        <v>0</v>
      </c>
      <c r="I80" s="6">
        <f t="shared" si="5"/>
        <v>0</v>
      </c>
      <c r="J80" s="12">
        <f>SUMIFS(月別入力!$J:$J,月別入力!$E:$E,設定!$C80,月別入力!$D:$D,設定!J$7,月別入力!$B:$B,設定!$B80)</f>
        <v>0</v>
      </c>
      <c r="K80" s="12">
        <f>SUMIFS(月別入力!$J:$J,月別入力!$E:$E,設定!$C80,月別入力!$D:$D,設定!K$7,月別入力!$B:$B,設定!$B80)</f>
        <v>0</v>
      </c>
      <c r="L80" s="12">
        <f>SUMIFS(月別入力!$J:$J,月別入力!$E:$E,設定!$C80,月別入力!$D:$D,設定!L$7,月別入力!$B:$B,設定!$B80)</f>
        <v>0</v>
      </c>
      <c r="M80" s="12">
        <f>SUMIFS(月別入力!$J:$J,月別入力!$E:$E,設定!$C80,月別入力!$D:$D,設定!M$7,月別入力!$B:$B,設定!$B80)</f>
        <v>0</v>
      </c>
      <c r="N80" s="13">
        <f>SUMIFS(月別入力!$J:$J,月別入力!$E:$E,設定!$C80,月別入力!$D:$D,設定!N$7,月別入力!$B:$B,設定!$B80)</f>
        <v>0</v>
      </c>
    </row>
    <row r="81" spans="2:14" s="3" customFormat="1" ht="15" customHeight="1" x14ac:dyDescent="0.2">
      <c r="B81" s="73" t="str">
        <f t="shared" si="6"/>
        <v>&lt;=12</v>
      </c>
      <c r="C81" s="25"/>
      <c r="D81" s="7"/>
      <c r="E81" s="14"/>
      <c r="F81" s="15"/>
      <c r="G81" s="16"/>
      <c r="H81" s="103">
        <f t="shared" si="4"/>
        <v>0</v>
      </c>
      <c r="I81" s="6">
        <f t="shared" si="5"/>
        <v>0</v>
      </c>
      <c r="J81" s="12">
        <f>SUMIFS(月別入力!$J:$J,月別入力!$E:$E,設定!$C81,月別入力!$D:$D,設定!J$7,月別入力!$B:$B,設定!$B81)</f>
        <v>0</v>
      </c>
      <c r="K81" s="12">
        <f>SUMIFS(月別入力!$J:$J,月別入力!$E:$E,設定!$C81,月別入力!$D:$D,設定!K$7,月別入力!$B:$B,設定!$B81)</f>
        <v>0</v>
      </c>
      <c r="L81" s="12">
        <f>SUMIFS(月別入力!$J:$J,月別入力!$E:$E,設定!$C81,月別入力!$D:$D,設定!L$7,月別入力!$B:$B,設定!$B81)</f>
        <v>0</v>
      </c>
      <c r="M81" s="12">
        <f>SUMIFS(月別入力!$J:$J,月別入力!$E:$E,設定!$C81,月別入力!$D:$D,設定!M$7,月別入力!$B:$B,設定!$B81)</f>
        <v>0</v>
      </c>
      <c r="N81" s="13">
        <f>SUMIFS(月別入力!$J:$J,月別入力!$E:$E,設定!$C81,月別入力!$D:$D,設定!N$7,月別入力!$B:$B,設定!$B81)</f>
        <v>0</v>
      </c>
    </row>
    <row r="82" spans="2:14" s="3" customFormat="1" ht="15" customHeight="1" x14ac:dyDescent="0.2">
      <c r="B82" s="73" t="str">
        <f t="shared" si="6"/>
        <v>&lt;=12</v>
      </c>
      <c r="C82" s="25"/>
      <c r="D82" s="7"/>
      <c r="E82" s="14"/>
      <c r="F82" s="15"/>
      <c r="G82" s="16"/>
      <c r="H82" s="103">
        <f t="shared" si="4"/>
        <v>0</v>
      </c>
      <c r="I82" s="6">
        <f t="shared" si="5"/>
        <v>0</v>
      </c>
      <c r="J82" s="12">
        <f>SUMIFS(月別入力!$J:$J,月別入力!$E:$E,設定!$C82,月別入力!$D:$D,設定!J$7,月別入力!$B:$B,設定!$B82)</f>
        <v>0</v>
      </c>
      <c r="K82" s="12">
        <f>SUMIFS(月別入力!$J:$J,月別入力!$E:$E,設定!$C82,月別入力!$D:$D,設定!K$7,月別入力!$B:$B,設定!$B82)</f>
        <v>0</v>
      </c>
      <c r="L82" s="12">
        <f>SUMIFS(月別入力!$J:$J,月別入力!$E:$E,設定!$C82,月別入力!$D:$D,設定!L$7,月別入力!$B:$B,設定!$B82)</f>
        <v>0</v>
      </c>
      <c r="M82" s="12">
        <f>SUMIFS(月別入力!$J:$J,月別入力!$E:$E,設定!$C82,月別入力!$D:$D,設定!M$7,月別入力!$B:$B,設定!$B82)</f>
        <v>0</v>
      </c>
      <c r="N82" s="13">
        <f>SUMIFS(月別入力!$J:$J,月別入力!$E:$E,設定!$C82,月別入力!$D:$D,設定!N$7,月別入力!$B:$B,設定!$B82)</f>
        <v>0</v>
      </c>
    </row>
    <row r="83" spans="2:14" s="3" customFormat="1" ht="15" customHeight="1" x14ac:dyDescent="0.2">
      <c r="B83" s="73" t="str">
        <f t="shared" si="6"/>
        <v>&lt;=12</v>
      </c>
      <c r="C83" s="25"/>
      <c r="D83" s="7"/>
      <c r="E83" s="14"/>
      <c r="F83" s="15"/>
      <c r="G83" s="16"/>
      <c r="H83" s="103">
        <f t="shared" si="4"/>
        <v>0</v>
      </c>
      <c r="I83" s="6">
        <f t="shared" si="5"/>
        <v>0</v>
      </c>
      <c r="J83" s="12">
        <f>SUMIFS(月別入力!$J:$J,月別入力!$E:$E,設定!$C83,月別入力!$D:$D,設定!J$7,月別入力!$B:$B,設定!$B83)</f>
        <v>0</v>
      </c>
      <c r="K83" s="12">
        <f>SUMIFS(月別入力!$J:$J,月別入力!$E:$E,設定!$C83,月別入力!$D:$D,設定!K$7,月別入力!$B:$B,設定!$B83)</f>
        <v>0</v>
      </c>
      <c r="L83" s="12">
        <f>SUMIFS(月別入力!$J:$J,月別入力!$E:$E,設定!$C83,月別入力!$D:$D,設定!L$7,月別入力!$B:$B,設定!$B83)</f>
        <v>0</v>
      </c>
      <c r="M83" s="12">
        <f>SUMIFS(月別入力!$J:$J,月別入力!$E:$E,設定!$C83,月別入力!$D:$D,設定!M$7,月別入力!$B:$B,設定!$B83)</f>
        <v>0</v>
      </c>
      <c r="N83" s="13">
        <f>SUMIFS(月別入力!$J:$J,月別入力!$E:$E,設定!$C83,月別入力!$D:$D,設定!N$7,月別入力!$B:$B,設定!$B83)</f>
        <v>0</v>
      </c>
    </row>
    <row r="84" spans="2:14" s="3" customFormat="1" ht="15" customHeight="1" x14ac:dyDescent="0.2">
      <c r="B84" s="73" t="str">
        <f t="shared" si="6"/>
        <v>&lt;=12</v>
      </c>
      <c r="C84" s="25"/>
      <c r="D84" s="7"/>
      <c r="E84" s="14"/>
      <c r="F84" s="15"/>
      <c r="G84" s="16"/>
      <c r="H84" s="103">
        <f t="shared" si="4"/>
        <v>0</v>
      </c>
      <c r="I84" s="6">
        <f t="shared" si="5"/>
        <v>0</v>
      </c>
      <c r="J84" s="12">
        <f>SUMIFS(月別入力!$J:$J,月別入力!$E:$E,設定!$C84,月別入力!$D:$D,設定!J$7,月別入力!$B:$B,設定!$B84)</f>
        <v>0</v>
      </c>
      <c r="K84" s="12">
        <f>SUMIFS(月別入力!$J:$J,月別入力!$E:$E,設定!$C84,月別入力!$D:$D,設定!K$7,月別入力!$B:$B,設定!$B84)</f>
        <v>0</v>
      </c>
      <c r="L84" s="12">
        <f>SUMIFS(月別入力!$J:$J,月別入力!$E:$E,設定!$C84,月別入力!$D:$D,設定!L$7,月別入力!$B:$B,設定!$B84)</f>
        <v>0</v>
      </c>
      <c r="M84" s="12">
        <f>SUMIFS(月別入力!$J:$J,月別入力!$E:$E,設定!$C84,月別入力!$D:$D,設定!M$7,月別入力!$B:$B,設定!$B84)</f>
        <v>0</v>
      </c>
      <c r="N84" s="13">
        <f>SUMIFS(月別入力!$J:$J,月別入力!$E:$E,設定!$C84,月別入力!$D:$D,設定!N$7,月別入力!$B:$B,設定!$B84)</f>
        <v>0</v>
      </c>
    </row>
    <row r="85" spans="2:14" s="3" customFormat="1" ht="15" customHeight="1" x14ac:dyDescent="0.2">
      <c r="B85" s="73" t="str">
        <f t="shared" si="6"/>
        <v>&lt;=12</v>
      </c>
      <c r="C85" s="25"/>
      <c r="D85" s="7"/>
      <c r="E85" s="14"/>
      <c r="F85" s="15"/>
      <c r="G85" s="16"/>
      <c r="H85" s="103">
        <f t="shared" si="4"/>
        <v>0</v>
      </c>
      <c r="I85" s="6">
        <f t="shared" si="5"/>
        <v>0</v>
      </c>
      <c r="J85" s="12">
        <f>SUMIFS(月別入力!$J:$J,月別入力!$E:$E,設定!$C85,月別入力!$D:$D,設定!J$7,月別入力!$B:$B,設定!$B85)</f>
        <v>0</v>
      </c>
      <c r="K85" s="12">
        <f>SUMIFS(月別入力!$J:$J,月別入力!$E:$E,設定!$C85,月別入力!$D:$D,設定!K$7,月別入力!$B:$B,設定!$B85)</f>
        <v>0</v>
      </c>
      <c r="L85" s="12">
        <f>SUMIFS(月別入力!$J:$J,月別入力!$E:$E,設定!$C85,月別入力!$D:$D,設定!L$7,月別入力!$B:$B,設定!$B85)</f>
        <v>0</v>
      </c>
      <c r="M85" s="12">
        <f>SUMIFS(月別入力!$J:$J,月別入力!$E:$E,設定!$C85,月別入力!$D:$D,設定!M$7,月別入力!$B:$B,設定!$B85)</f>
        <v>0</v>
      </c>
      <c r="N85" s="13">
        <f>SUMIFS(月別入力!$J:$J,月別入力!$E:$E,設定!$C85,月別入力!$D:$D,設定!N$7,月別入力!$B:$B,設定!$B85)</f>
        <v>0</v>
      </c>
    </row>
    <row r="86" spans="2:14" s="3" customFormat="1" ht="15" customHeight="1" x14ac:dyDescent="0.2">
      <c r="B86" s="73" t="str">
        <f t="shared" si="6"/>
        <v>&lt;=12</v>
      </c>
      <c r="C86" s="25"/>
      <c r="D86" s="7"/>
      <c r="E86" s="14"/>
      <c r="F86" s="15"/>
      <c r="G86" s="16"/>
      <c r="H86" s="103">
        <f t="shared" si="4"/>
        <v>0</v>
      </c>
      <c r="I86" s="6">
        <f t="shared" si="5"/>
        <v>0</v>
      </c>
      <c r="J86" s="12">
        <f>SUMIFS(月別入力!$J:$J,月別入力!$E:$E,設定!$C86,月別入力!$D:$D,設定!J$7,月別入力!$B:$B,設定!$B86)</f>
        <v>0</v>
      </c>
      <c r="K86" s="12">
        <f>SUMIFS(月別入力!$J:$J,月別入力!$E:$E,設定!$C86,月別入力!$D:$D,設定!K$7,月別入力!$B:$B,設定!$B86)</f>
        <v>0</v>
      </c>
      <c r="L86" s="12">
        <f>SUMIFS(月別入力!$J:$J,月別入力!$E:$E,設定!$C86,月別入力!$D:$D,設定!L$7,月別入力!$B:$B,設定!$B86)</f>
        <v>0</v>
      </c>
      <c r="M86" s="12">
        <f>SUMIFS(月別入力!$J:$J,月別入力!$E:$E,設定!$C86,月別入力!$D:$D,設定!M$7,月別入力!$B:$B,設定!$B86)</f>
        <v>0</v>
      </c>
      <c r="N86" s="13">
        <f>SUMIFS(月別入力!$J:$J,月別入力!$E:$E,設定!$C86,月別入力!$D:$D,設定!N$7,月別入力!$B:$B,設定!$B86)</f>
        <v>0</v>
      </c>
    </row>
    <row r="87" spans="2:14" s="3" customFormat="1" ht="15" customHeight="1" x14ac:dyDescent="0.2">
      <c r="B87" s="73" t="str">
        <f t="shared" si="6"/>
        <v>&lt;=12</v>
      </c>
      <c r="C87" s="25"/>
      <c r="D87" s="7"/>
      <c r="E87" s="14"/>
      <c r="F87" s="15"/>
      <c r="G87" s="16"/>
      <c r="H87" s="103">
        <f t="shared" si="4"/>
        <v>0</v>
      </c>
      <c r="I87" s="6">
        <f t="shared" si="5"/>
        <v>0</v>
      </c>
      <c r="J87" s="12">
        <f>SUMIFS(月別入力!$J:$J,月別入力!$E:$E,設定!$C87,月別入力!$D:$D,設定!J$7,月別入力!$B:$B,設定!$B87)</f>
        <v>0</v>
      </c>
      <c r="K87" s="12">
        <f>SUMIFS(月別入力!$J:$J,月別入力!$E:$E,設定!$C87,月別入力!$D:$D,設定!K$7,月別入力!$B:$B,設定!$B87)</f>
        <v>0</v>
      </c>
      <c r="L87" s="12">
        <f>SUMIFS(月別入力!$J:$J,月別入力!$E:$E,設定!$C87,月別入力!$D:$D,設定!L$7,月別入力!$B:$B,設定!$B87)</f>
        <v>0</v>
      </c>
      <c r="M87" s="12">
        <f>SUMIFS(月別入力!$J:$J,月別入力!$E:$E,設定!$C87,月別入力!$D:$D,設定!M$7,月別入力!$B:$B,設定!$B87)</f>
        <v>0</v>
      </c>
      <c r="N87" s="13">
        <f>SUMIFS(月別入力!$J:$J,月別入力!$E:$E,設定!$C87,月別入力!$D:$D,設定!N$7,月別入力!$B:$B,設定!$B87)</f>
        <v>0</v>
      </c>
    </row>
    <row r="88" spans="2:14" s="3" customFormat="1" ht="15" customHeight="1" x14ac:dyDescent="0.2">
      <c r="B88" s="73" t="str">
        <f t="shared" si="6"/>
        <v>&lt;=12</v>
      </c>
      <c r="C88" s="25"/>
      <c r="D88" s="7"/>
      <c r="E88" s="14"/>
      <c r="F88" s="15"/>
      <c r="G88" s="16"/>
      <c r="H88" s="103">
        <f t="shared" si="4"/>
        <v>0</v>
      </c>
      <c r="I88" s="6">
        <f t="shared" si="5"/>
        <v>0</v>
      </c>
      <c r="J88" s="12">
        <f>SUMIFS(月別入力!$J:$J,月別入力!$E:$E,設定!$C88,月別入力!$D:$D,設定!J$7,月別入力!$B:$B,設定!$B88)</f>
        <v>0</v>
      </c>
      <c r="K88" s="12">
        <f>SUMIFS(月別入力!$J:$J,月別入力!$E:$E,設定!$C88,月別入力!$D:$D,設定!K$7,月別入力!$B:$B,設定!$B88)</f>
        <v>0</v>
      </c>
      <c r="L88" s="12">
        <f>SUMIFS(月別入力!$J:$J,月別入力!$E:$E,設定!$C88,月別入力!$D:$D,設定!L$7,月別入力!$B:$B,設定!$B88)</f>
        <v>0</v>
      </c>
      <c r="M88" s="12">
        <f>SUMIFS(月別入力!$J:$J,月別入力!$E:$E,設定!$C88,月別入力!$D:$D,設定!M$7,月別入力!$B:$B,設定!$B88)</f>
        <v>0</v>
      </c>
      <c r="N88" s="13">
        <f>SUMIFS(月別入力!$J:$J,月別入力!$E:$E,設定!$C88,月別入力!$D:$D,設定!N$7,月別入力!$B:$B,設定!$B88)</f>
        <v>0</v>
      </c>
    </row>
    <row r="89" spans="2:14" s="3" customFormat="1" ht="15" customHeight="1" x14ac:dyDescent="0.2">
      <c r="B89" s="73" t="str">
        <f t="shared" si="6"/>
        <v>&lt;=12</v>
      </c>
      <c r="C89" s="25"/>
      <c r="D89" s="7"/>
      <c r="E89" s="14"/>
      <c r="F89" s="15"/>
      <c r="G89" s="16"/>
      <c r="H89" s="103">
        <f t="shared" si="4"/>
        <v>0</v>
      </c>
      <c r="I89" s="6">
        <f t="shared" si="5"/>
        <v>0</v>
      </c>
      <c r="J89" s="12">
        <f>SUMIFS(月別入力!$J:$J,月別入力!$E:$E,設定!$C89,月別入力!$D:$D,設定!J$7,月別入力!$B:$B,設定!$B89)</f>
        <v>0</v>
      </c>
      <c r="K89" s="12">
        <f>SUMIFS(月別入力!$J:$J,月別入力!$E:$E,設定!$C89,月別入力!$D:$D,設定!K$7,月別入力!$B:$B,設定!$B89)</f>
        <v>0</v>
      </c>
      <c r="L89" s="12">
        <f>SUMIFS(月別入力!$J:$J,月別入力!$E:$E,設定!$C89,月別入力!$D:$D,設定!L$7,月別入力!$B:$B,設定!$B89)</f>
        <v>0</v>
      </c>
      <c r="M89" s="12">
        <f>SUMIFS(月別入力!$J:$J,月別入力!$E:$E,設定!$C89,月別入力!$D:$D,設定!M$7,月別入力!$B:$B,設定!$B89)</f>
        <v>0</v>
      </c>
      <c r="N89" s="13">
        <f>SUMIFS(月別入力!$J:$J,月別入力!$E:$E,設定!$C89,月別入力!$D:$D,設定!N$7,月別入力!$B:$B,設定!$B89)</f>
        <v>0</v>
      </c>
    </row>
    <row r="90" spans="2:14" s="3" customFormat="1" ht="15" customHeight="1" x14ac:dyDescent="0.2">
      <c r="B90" s="73" t="str">
        <f t="shared" si="6"/>
        <v>&lt;=12</v>
      </c>
      <c r="C90" s="25"/>
      <c r="D90" s="7"/>
      <c r="E90" s="14"/>
      <c r="F90" s="15"/>
      <c r="G90" s="16"/>
      <c r="H90" s="103">
        <f t="shared" si="4"/>
        <v>0</v>
      </c>
      <c r="I90" s="6">
        <f t="shared" si="5"/>
        <v>0</v>
      </c>
      <c r="J90" s="12">
        <f>SUMIFS(月別入力!$J:$J,月別入力!$E:$E,設定!$C90,月別入力!$D:$D,設定!J$7,月別入力!$B:$B,設定!$B90)</f>
        <v>0</v>
      </c>
      <c r="K90" s="12">
        <f>SUMIFS(月別入力!$J:$J,月別入力!$E:$E,設定!$C90,月別入力!$D:$D,設定!K$7,月別入力!$B:$B,設定!$B90)</f>
        <v>0</v>
      </c>
      <c r="L90" s="12">
        <f>SUMIFS(月別入力!$J:$J,月別入力!$E:$E,設定!$C90,月別入力!$D:$D,設定!L$7,月別入力!$B:$B,設定!$B90)</f>
        <v>0</v>
      </c>
      <c r="M90" s="12">
        <f>SUMIFS(月別入力!$J:$J,月別入力!$E:$E,設定!$C90,月別入力!$D:$D,設定!M$7,月別入力!$B:$B,設定!$B90)</f>
        <v>0</v>
      </c>
      <c r="N90" s="13">
        <f>SUMIFS(月別入力!$J:$J,月別入力!$E:$E,設定!$C90,月別入力!$D:$D,設定!N$7,月別入力!$B:$B,設定!$B90)</f>
        <v>0</v>
      </c>
    </row>
    <row r="91" spans="2:14" s="3" customFormat="1" ht="15" customHeight="1" x14ac:dyDescent="0.2">
      <c r="B91" s="73" t="str">
        <f t="shared" si="6"/>
        <v>&lt;=12</v>
      </c>
      <c r="C91" s="25"/>
      <c r="D91" s="7"/>
      <c r="E91" s="14"/>
      <c r="F91" s="15"/>
      <c r="G91" s="16"/>
      <c r="H91" s="103">
        <f t="shared" si="4"/>
        <v>0</v>
      </c>
      <c r="I91" s="6">
        <f t="shared" si="5"/>
        <v>0</v>
      </c>
      <c r="J91" s="12">
        <f>SUMIFS(月別入力!$J:$J,月別入力!$E:$E,設定!$C91,月別入力!$D:$D,設定!J$7,月別入力!$B:$B,設定!$B91)</f>
        <v>0</v>
      </c>
      <c r="K91" s="12">
        <f>SUMIFS(月別入力!$J:$J,月別入力!$E:$E,設定!$C91,月別入力!$D:$D,設定!K$7,月別入力!$B:$B,設定!$B91)</f>
        <v>0</v>
      </c>
      <c r="L91" s="12">
        <f>SUMIFS(月別入力!$J:$J,月別入力!$E:$E,設定!$C91,月別入力!$D:$D,設定!L$7,月別入力!$B:$B,設定!$B91)</f>
        <v>0</v>
      </c>
      <c r="M91" s="12">
        <f>SUMIFS(月別入力!$J:$J,月別入力!$E:$E,設定!$C91,月別入力!$D:$D,設定!M$7,月別入力!$B:$B,設定!$B91)</f>
        <v>0</v>
      </c>
      <c r="N91" s="13">
        <f>SUMIFS(月別入力!$J:$J,月別入力!$E:$E,設定!$C91,月別入力!$D:$D,設定!N$7,月別入力!$B:$B,設定!$B91)</f>
        <v>0</v>
      </c>
    </row>
    <row r="92" spans="2:14" s="3" customFormat="1" ht="15" customHeight="1" x14ac:dyDescent="0.2">
      <c r="B92" s="73" t="str">
        <f t="shared" si="6"/>
        <v>&lt;=12</v>
      </c>
      <c r="C92" s="25"/>
      <c r="D92" s="7"/>
      <c r="E92" s="14"/>
      <c r="F92" s="15"/>
      <c r="G92" s="16"/>
      <c r="H92" s="103">
        <f t="shared" si="4"/>
        <v>0</v>
      </c>
      <c r="I92" s="6">
        <f t="shared" si="5"/>
        <v>0</v>
      </c>
      <c r="J92" s="12">
        <f>SUMIFS(月別入力!$J:$J,月別入力!$E:$E,設定!$C92,月別入力!$D:$D,設定!J$7,月別入力!$B:$B,設定!$B92)</f>
        <v>0</v>
      </c>
      <c r="K92" s="12">
        <f>SUMIFS(月別入力!$J:$J,月別入力!$E:$E,設定!$C92,月別入力!$D:$D,設定!K$7,月別入力!$B:$B,設定!$B92)</f>
        <v>0</v>
      </c>
      <c r="L92" s="12">
        <f>SUMIFS(月別入力!$J:$J,月別入力!$E:$E,設定!$C92,月別入力!$D:$D,設定!L$7,月別入力!$B:$B,設定!$B92)</f>
        <v>0</v>
      </c>
      <c r="M92" s="12">
        <f>SUMIFS(月別入力!$J:$J,月別入力!$E:$E,設定!$C92,月別入力!$D:$D,設定!M$7,月別入力!$B:$B,設定!$B92)</f>
        <v>0</v>
      </c>
      <c r="N92" s="13">
        <f>SUMIFS(月別入力!$J:$J,月別入力!$E:$E,設定!$C92,月別入力!$D:$D,設定!N$7,月別入力!$B:$B,設定!$B92)</f>
        <v>0</v>
      </c>
    </row>
    <row r="93" spans="2:14" s="3" customFormat="1" ht="15" customHeight="1" x14ac:dyDescent="0.2">
      <c r="B93" s="73" t="str">
        <f t="shared" si="6"/>
        <v>&lt;=12</v>
      </c>
      <c r="C93" s="25"/>
      <c r="D93" s="7"/>
      <c r="E93" s="14"/>
      <c r="F93" s="15"/>
      <c r="G93" s="16"/>
      <c r="H93" s="103">
        <f t="shared" si="4"/>
        <v>0</v>
      </c>
      <c r="I93" s="6">
        <f t="shared" si="5"/>
        <v>0</v>
      </c>
      <c r="J93" s="12">
        <f>SUMIFS(月別入力!$J:$J,月別入力!$E:$E,設定!$C93,月別入力!$D:$D,設定!J$7,月別入力!$B:$B,設定!$B93)</f>
        <v>0</v>
      </c>
      <c r="K93" s="12">
        <f>SUMIFS(月別入力!$J:$J,月別入力!$E:$E,設定!$C93,月別入力!$D:$D,設定!K$7,月別入力!$B:$B,設定!$B93)</f>
        <v>0</v>
      </c>
      <c r="L93" s="12">
        <f>SUMIFS(月別入力!$J:$J,月別入力!$E:$E,設定!$C93,月別入力!$D:$D,設定!L$7,月別入力!$B:$B,設定!$B93)</f>
        <v>0</v>
      </c>
      <c r="M93" s="12">
        <f>SUMIFS(月別入力!$J:$J,月別入力!$E:$E,設定!$C93,月別入力!$D:$D,設定!M$7,月別入力!$B:$B,設定!$B93)</f>
        <v>0</v>
      </c>
      <c r="N93" s="13">
        <f>SUMIFS(月別入力!$J:$J,月別入力!$E:$E,設定!$C93,月別入力!$D:$D,設定!N$7,月別入力!$B:$B,設定!$B93)</f>
        <v>0</v>
      </c>
    </row>
    <row r="94" spans="2:14" s="3" customFormat="1" ht="15" customHeight="1" x14ac:dyDescent="0.2">
      <c r="B94" s="73" t="str">
        <f t="shared" si="6"/>
        <v>&lt;=12</v>
      </c>
      <c r="C94" s="25"/>
      <c r="D94" s="7"/>
      <c r="E94" s="14"/>
      <c r="F94" s="15"/>
      <c r="G94" s="16"/>
      <c r="H94" s="103">
        <f t="shared" ref="H94:H108" si="7">SUM(I94,M94,N94)</f>
        <v>0</v>
      </c>
      <c r="I94" s="6">
        <f t="shared" ref="I94:I108" si="8">SUM(J94:L94)</f>
        <v>0</v>
      </c>
      <c r="J94" s="12">
        <f>SUMIFS(月別入力!$J:$J,月別入力!$E:$E,設定!$C94,月別入力!$D:$D,設定!J$7,月別入力!$B:$B,設定!$B94)</f>
        <v>0</v>
      </c>
      <c r="K94" s="12">
        <f>SUMIFS(月別入力!$J:$J,月別入力!$E:$E,設定!$C94,月別入力!$D:$D,設定!K$7,月別入力!$B:$B,設定!$B94)</f>
        <v>0</v>
      </c>
      <c r="L94" s="12">
        <f>SUMIFS(月別入力!$J:$J,月別入力!$E:$E,設定!$C94,月別入力!$D:$D,設定!L$7,月別入力!$B:$B,設定!$B94)</f>
        <v>0</v>
      </c>
      <c r="M94" s="12">
        <f>SUMIFS(月別入力!$J:$J,月別入力!$E:$E,設定!$C94,月別入力!$D:$D,設定!M$7,月別入力!$B:$B,設定!$B94)</f>
        <v>0</v>
      </c>
      <c r="N94" s="13">
        <f>SUMIFS(月別入力!$J:$J,月別入力!$E:$E,設定!$C94,月別入力!$D:$D,設定!N$7,月別入力!$B:$B,設定!$B94)</f>
        <v>0</v>
      </c>
    </row>
    <row r="95" spans="2:14" s="3" customFormat="1" ht="15" customHeight="1" x14ac:dyDescent="0.2">
      <c r="B95" s="73" t="str">
        <f t="shared" si="6"/>
        <v>&lt;=12</v>
      </c>
      <c r="C95" s="25"/>
      <c r="D95" s="7"/>
      <c r="E95" s="14"/>
      <c r="F95" s="15"/>
      <c r="G95" s="16"/>
      <c r="H95" s="103">
        <f t="shared" si="7"/>
        <v>0</v>
      </c>
      <c r="I95" s="6">
        <f t="shared" si="8"/>
        <v>0</v>
      </c>
      <c r="J95" s="12">
        <f>SUMIFS(月別入力!$J:$J,月別入力!$E:$E,設定!$C95,月別入力!$D:$D,設定!J$7,月別入力!$B:$B,設定!$B95)</f>
        <v>0</v>
      </c>
      <c r="K95" s="12">
        <f>SUMIFS(月別入力!$J:$J,月別入力!$E:$E,設定!$C95,月別入力!$D:$D,設定!K$7,月別入力!$B:$B,設定!$B95)</f>
        <v>0</v>
      </c>
      <c r="L95" s="12">
        <f>SUMIFS(月別入力!$J:$J,月別入力!$E:$E,設定!$C95,月別入力!$D:$D,設定!L$7,月別入力!$B:$B,設定!$B95)</f>
        <v>0</v>
      </c>
      <c r="M95" s="12">
        <f>SUMIFS(月別入力!$J:$J,月別入力!$E:$E,設定!$C95,月別入力!$D:$D,設定!M$7,月別入力!$B:$B,設定!$B95)</f>
        <v>0</v>
      </c>
      <c r="N95" s="13">
        <f>SUMIFS(月別入力!$J:$J,月別入力!$E:$E,設定!$C95,月別入力!$D:$D,設定!N$7,月別入力!$B:$B,設定!$B95)</f>
        <v>0</v>
      </c>
    </row>
    <row r="96" spans="2:14" s="3" customFormat="1" ht="15" customHeight="1" x14ac:dyDescent="0.2">
      <c r="B96" s="73" t="str">
        <f t="shared" si="6"/>
        <v>&lt;=12</v>
      </c>
      <c r="C96" s="25"/>
      <c r="D96" s="7"/>
      <c r="E96" s="14"/>
      <c r="F96" s="15"/>
      <c r="G96" s="16"/>
      <c r="H96" s="103">
        <f t="shared" si="7"/>
        <v>0</v>
      </c>
      <c r="I96" s="6">
        <f t="shared" si="8"/>
        <v>0</v>
      </c>
      <c r="J96" s="12">
        <f>SUMIFS(月別入力!$J:$J,月別入力!$E:$E,設定!$C96,月別入力!$D:$D,設定!J$7,月別入力!$B:$B,設定!$B96)</f>
        <v>0</v>
      </c>
      <c r="K96" s="12">
        <f>SUMIFS(月別入力!$J:$J,月別入力!$E:$E,設定!$C96,月別入力!$D:$D,設定!K$7,月別入力!$B:$B,設定!$B96)</f>
        <v>0</v>
      </c>
      <c r="L96" s="12">
        <f>SUMIFS(月別入力!$J:$J,月別入力!$E:$E,設定!$C96,月別入力!$D:$D,設定!L$7,月別入力!$B:$B,設定!$B96)</f>
        <v>0</v>
      </c>
      <c r="M96" s="12">
        <f>SUMIFS(月別入力!$J:$J,月別入力!$E:$E,設定!$C96,月別入力!$D:$D,設定!M$7,月別入力!$B:$B,設定!$B96)</f>
        <v>0</v>
      </c>
      <c r="N96" s="13">
        <f>SUMIFS(月別入力!$J:$J,月別入力!$E:$E,設定!$C96,月別入力!$D:$D,設定!N$7,月別入力!$B:$B,設定!$B96)</f>
        <v>0</v>
      </c>
    </row>
    <row r="97" spans="2:14" s="3" customFormat="1" ht="15" customHeight="1" x14ac:dyDescent="0.2">
      <c r="B97" s="73" t="str">
        <f t="shared" si="6"/>
        <v>&lt;=12</v>
      </c>
      <c r="C97" s="25"/>
      <c r="D97" s="7"/>
      <c r="E97" s="14"/>
      <c r="F97" s="15"/>
      <c r="G97" s="16"/>
      <c r="H97" s="103">
        <f t="shared" si="7"/>
        <v>0</v>
      </c>
      <c r="I97" s="6">
        <f t="shared" si="8"/>
        <v>0</v>
      </c>
      <c r="J97" s="12">
        <f>SUMIFS(月別入力!$J:$J,月別入力!$E:$E,設定!$C97,月別入力!$D:$D,設定!J$7,月別入力!$B:$B,設定!$B97)</f>
        <v>0</v>
      </c>
      <c r="K97" s="12">
        <f>SUMIFS(月別入力!$J:$J,月別入力!$E:$E,設定!$C97,月別入力!$D:$D,設定!K$7,月別入力!$B:$B,設定!$B97)</f>
        <v>0</v>
      </c>
      <c r="L97" s="12">
        <f>SUMIFS(月別入力!$J:$J,月別入力!$E:$E,設定!$C97,月別入力!$D:$D,設定!L$7,月別入力!$B:$B,設定!$B97)</f>
        <v>0</v>
      </c>
      <c r="M97" s="12">
        <f>SUMIFS(月別入力!$J:$J,月別入力!$E:$E,設定!$C97,月別入力!$D:$D,設定!M$7,月別入力!$B:$B,設定!$B97)</f>
        <v>0</v>
      </c>
      <c r="N97" s="13">
        <f>SUMIFS(月別入力!$J:$J,月別入力!$E:$E,設定!$C97,月別入力!$D:$D,設定!N$7,月別入力!$B:$B,設定!$B97)</f>
        <v>0</v>
      </c>
    </row>
    <row r="98" spans="2:14" s="3" customFormat="1" ht="15" customHeight="1" x14ac:dyDescent="0.2">
      <c r="B98" s="73" t="str">
        <f t="shared" si="6"/>
        <v>&lt;=12</v>
      </c>
      <c r="C98" s="25"/>
      <c r="D98" s="7"/>
      <c r="E98" s="14"/>
      <c r="F98" s="15"/>
      <c r="G98" s="16"/>
      <c r="H98" s="103">
        <f t="shared" si="7"/>
        <v>0</v>
      </c>
      <c r="I98" s="6">
        <f t="shared" si="8"/>
        <v>0</v>
      </c>
      <c r="J98" s="12">
        <f>SUMIFS(月別入力!$J:$J,月別入力!$E:$E,設定!$C98,月別入力!$D:$D,設定!J$7,月別入力!$B:$B,設定!$B98)</f>
        <v>0</v>
      </c>
      <c r="K98" s="12">
        <f>SUMIFS(月別入力!$J:$J,月別入力!$E:$E,設定!$C98,月別入力!$D:$D,設定!K$7,月別入力!$B:$B,設定!$B98)</f>
        <v>0</v>
      </c>
      <c r="L98" s="12">
        <f>SUMIFS(月別入力!$J:$J,月別入力!$E:$E,設定!$C98,月別入力!$D:$D,設定!L$7,月別入力!$B:$B,設定!$B98)</f>
        <v>0</v>
      </c>
      <c r="M98" s="12">
        <f>SUMIFS(月別入力!$J:$J,月別入力!$E:$E,設定!$C98,月別入力!$D:$D,設定!M$7,月別入力!$B:$B,設定!$B98)</f>
        <v>0</v>
      </c>
      <c r="N98" s="13">
        <f>SUMIFS(月別入力!$J:$J,月別入力!$E:$E,設定!$C98,月別入力!$D:$D,設定!N$7,月別入力!$B:$B,設定!$B98)</f>
        <v>0</v>
      </c>
    </row>
    <row r="99" spans="2:14" s="3" customFormat="1" ht="15" customHeight="1" x14ac:dyDescent="0.2">
      <c r="B99" s="73" t="str">
        <f t="shared" si="6"/>
        <v>&lt;=12</v>
      </c>
      <c r="C99" s="25"/>
      <c r="D99" s="7"/>
      <c r="E99" s="14"/>
      <c r="F99" s="15"/>
      <c r="G99" s="16"/>
      <c r="H99" s="103">
        <f t="shared" si="7"/>
        <v>0</v>
      </c>
      <c r="I99" s="6">
        <f t="shared" si="8"/>
        <v>0</v>
      </c>
      <c r="J99" s="12">
        <f>SUMIFS(月別入力!$J:$J,月別入力!$E:$E,設定!$C99,月別入力!$D:$D,設定!J$7,月別入力!$B:$B,設定!$B99)</f>
        <v>0</v>
      </c>
      <c r="K99" s="12">
        <f>SUMIFS(月別入力!$J:$J,月別入力!$E:$E,設定!$C99,月別入力!$D:$D,設定!K$7,月別入力!$B:$B,設定!$B99)</f>
        <v>0</v>
      </c>
      <c r="L99" s="12">
        <f>SUMIFS(月別入力!$J:$J,月別入力!$E:$E,設定!$C99,月別入力!$D:$D,設定!L$7,月別入力!$B:$B,設定!$B99)</f>
        <v>0</v>
      </c>
      <c r="M99" s="12">
        <f>SUMIFS(月別入力!$J:$J,月別入力!$E:$E,設定!$C99,月別入力!$D:$D,設定!M$7,月別入力!$B:$B,設定!$B99)</f>
        <v>0</v>
      </c>
      <c r="N99" s="13">
        <f>SUMIFS(月別入力!$J:$J,月別入力!$E:$E,設定!$C99,月別入力!$D:$D,設定!N$7,月別入力!$B:$B,設定!$B99)</f>
        <v>0</v>
      </c>
    </row>
    <row r="100" spans="2:14" s="3" customFormat="1" ht="15" customHeight="1" x14ac:dyDescent="0.2">
      <c r="B100" s="73" t="str">
        <f t="shared" si="6"/>
        <v>&lt;=12</v>
      </c>
      <c r="C100" s="25"/>
      <c r="D100" s="7"/>
      <c r="E100" s="14"/>
      <c r="F100" s="15"/>
      <c r="G100" s="16"/>
      <c r="H100" s="103">
        <f t="shared" si="7"/>
        <v>0</v>
      </c>
      <c r="I100" s="6">
        <f t="shared" si="8"/>
        <v>0</v>
      </c>
      <c r="J100" s="12">
        <f>SUMIFS(月別入力!$J:$J,月別入力!$E:$E,設定!$C100,月別入力!$D:$D,設定!J$7,月別入力!$B:$B,設定!$B100)</f>
        <v>0</v>
      </c>
      <c r="K100" s="12">
        <f>SUMIFS(月別入力!$J:$J,月別入力!$E:$E,設定!$C100,月別入力!$D:$D,設定!K$7,月別入力!$B:$B,設定!$B100)</f>
        <v>0</v>
      </c>
      <c r="L100" s="12">
        <f>SUMIFS(月別入力!$J:$J,月別入力!$E:$E,設定!$C100,月別入力!$D:$D,設定!L$7,月別入力!$B:$B,設定!$B100)</f>
        <v>0</v>
      </c>
      <c r="M100" s="12">
        <f>SUMIFS(月別入力!$J:$J,月別入力!$E:$E,設定!$C100,月別入力!$D:$D,設定!M$7,月別入力!$B:$B,設定!$B100)</f>
        <v>0</v>
      </c>
      <c r="N100" s="13">
        <f>SUMIFS(月別入力!$J:$J,月別入力!$E:$E,設定!$C100,月別入力!$D:$D,設定!N$7,月別入力!$B:$B,設定!$B100)</f>
        <v>0</v>
      </c>
    </row>
    <row r="101" spans="2:14" s="3" customFormat="1" ht="15" customHeight="1" x14ac:dyDescent="0.2">
      <c r="B101" s="73" t="str">
        <f t="shared" si="6"/>
        <v>&lt;=12</v>
      </c>
      <c r="C101" s="25"/>
      <c r="D101" s="7"/>
      <c r="E101" s="14"/>
      <c r="F101" s="15"/>
      <c r="G101" s="16"/>
      <c r="H101" s="103">
        <f t="shared" si="7"/>
        <v>0</v>
      </c>
      <c r="I101" s="6">
        <f t="shared" si="8"/>
        <v>0</v>
      </c>
      <c r="J101" s="12">
        <f>SUMIFS(月別入力!$J:$J,月別入力!$E:$E,設定!$C101,月別入力!$D:$D,設定!J$7,月別入力!$B:$B,設定!$B101)</f>
        <v>0</v>
      </c>
      <c r="K101" s="12">
        <f>SUMIFS(月別入力!$J:$J,月別入力!$E:$E,設定!$C101,月別入力!$D:$D,設定!K$7,月別入力!$B:$B,設定!$B101)</f>
        <v>0</v>
      </c>
      <c r="L101" s="12">
        <f>SUMIFS(月別入力!$J:$J,月別入力!$E:$E,設定!$C101,月別入力!$D:$D,設定!L$7,月別入力!$B:$B,設定!$B101)</f>
        <v>0</v>
      </c>
      <c r="M101" s="12">
        <f>SUMIFS(月別入力!$J:$J,月別入力!$E:$E,設定!$C101,月別入力!$D:$D,設定!M$7,月別入力!$B:$B,設定!$B101)</f>
        <v>0</v>
      </c>
      <c r="N101" s="13">
        <f>SUMIFS(月別入力!$J:$J,月別入力!$E:$E,設定!$C101,月別入力!$D:$D,設定!N$7,月別入力!$B:$B,設定!$B101)</f>
        <v>0</v>
      </c>
    </row>
    <row r="102" spans="2:14" s="3" customFormat="1" ht="15" customHeight="1" x14ac:dyDescent="0.2">
      <c r="B102" s="73" t="str">
        <f t="shared" si="6"/>
        <v>&lt;=12</v>
      </c>
      <c r="C102" s="25"/>
      <c r="D102" s="7"/>
      <c r="E102" s="14"/>
      <c r="F102" s="15"/>
      <c r="G102" s="16"/>
      <c r="H102" s="103">
        <f t="shared" si="7"/>
        <v>0</v>
      </c>
      <c r="I102" s="6">
        <f t="shared" si="8"/>
        <v>0</v>
      </c>
      <c r="J102" s="12">
        <f>SUMIFS(月別入力!$J:$J,月別入力!$E:$E,設定!$C102,月別入力!$D:$D,設定!J$7,月別入力!$B:$B,設定!$B102)</f>
        <v>0</v>
      </c>
      <c r="K102" s="12">
        <f>SUMIFS(月別入力!$J:$J,月別入力!$E:$E,設定!$C102,月別入力!$D:$D,設定!K$7,月別入力!$B:$B,設定!$B102)</f>
        <v>0</v>
      </c>
      <c r="L102" s="12">
        <f>SUMIFS(月別入力!$J:$J,月別入力!$E:$E,設定!$C102,月別入力!$D:$D,設定!L$7,月別入力!$B:$B,設定!$B102)</f>
        <v>0</v>
      </c>
      <c r="M102" s="12">
        <f>SUMIFS(月別入力!$J:$J,月別入力!$E:$E,設定!$C102,月別入力!$D:$D,設定!M$7,月別入力!$B:$B,設定!$B102)</f>
        <v>0</v>
      </c>
      <c r="N102" s="13">
        <f>SUMIFS(月別入力!$J:$J,月別入力!$E:$E,設定!$C102,月別入力!$D:$D,設定!N$7,月別入力!$B:$B,設定!$B102)</f>
        <v>0</v>
      </c>
    </row>
    <row r="103" spans="2:14" s="3" customFormat="1" ht="15" customHeight="1" x14ac:dyDescent="0.2">
      <c r="B103" s="73" t="str">
        <f t="shared" si="6"/>
        <v>&lt;=12</v>
      </c>
      <c r="C103" s="25"/>
      <c r="D103" s="7"/>
      <c r="E103" s="14"/>
      <c r="F103" s="15"/>
      <c r="G103" s="16"/>
      <c r="H103" s="103">
        <f t="shared" si="7"/>
        <v>0</v>
      </c>
      <c r="I103" s="6">
        <f t="shared" si="8"/>
        <v>0</v>
      </c>
      <c r="J103" s="12">
        <f>SUMIFS(月別入力!$J:$J,月別入力!$E:$E,設定!$C103,月別入力!$D:$D,設定!J$7,月別入力!$B:$B,設定!$B103)</f>
        <v>0</v>
      </c>
      <c r="K103" s="12">
        <f>SUMIFS(月別入力!$J:$J,月別入力!$E:$E,設定!$C103,月別入力!$D:$D,設定!K$7,月別入力!$B:$B,設定!$B103)</f>
        <v>0</v>
      </c>
      <c r="L103" s="12">
        <f>SUMIFS(月別入力!$J:$J,月別入力!$E:$E,設定!$C103,月別入力!$D:$D,設定!L$7,月別入力!$B:$B,設定!$B103)</f>
        <v>0</v>
      </c>
      <c r="M103" s="12">
        <f>SUMIFS(月別入力!$J:$J,月別入力!$E:$E,設定!$C103,月別入力!$D:$D,設定!M$7,月別入力!$B:$B,設定!$B103)</f>
        <v>0</v>
      </c>
      <c r="N103" s="13">
        <f>SUMIFS(月別入力!$J:$J,月別入力!$E:$E,設定!$C103,月別入力!$D:$D,設定!N$7,月別入力!$B:$B,設定!$B103)</f>
        <v>0</v>
      </c>
    </row>
    <row r="104" spans="2:14" s="3" customFormat="1" ht="15" customHeight="1" x14ac:dyDescent="0.2">
      <c r="B104" s="73" t="str">
        <f t="shared" si="6"/>
        <v>&lt;=12</v>
      </c>
      <c r="C104" s="25"/>
      <c r="D104" s="7"/>
      <c r="E104" s="14"/>
      <c r="F104" s="15"/>
      <c r="G104" s="16"/>
      <c r="H104" s="103">
        <f t="shared" si="7"/>
        <v>0</v>
      </c>
      <c r="I104" s="6">
        <f t="shared" si="8"/>
        <v>0</v>
      </c>
      <c r="J104" s="12">
        <f>SUMIFS(月別入力!$J:$J,月別入力!$E:$E,設定!$C104,月別入力!$D:$D,設定!J$7,月別入力!$B:$B,設定!$B104)</f>
        <v>0</v>
      </c>
      <c r="K104" s="12">
        <f>SUMIFS(月別入力!$J:$J,月別入力!$E:$E,設定!$C104,月別入力!$D:$D,設定!K$7,月別入力!$B:$B,設定!$B104)</f>
        <v>0</v>
      </c>
      <c r="L104" s="12">
        <f>SUMIFS(月別入力!$J:$J,月別入力!$E:$E,設定!$C104,月別入力!$D:$D,設定!L$7,月別入力!$B:$B,設定!$B104)</f>
        <v>0</v>
      </c>
      <c r="M104" s="12">
        <f>SUMIFS(月別入力!$J:$J,月別入力!$E:$E,設定!$C104,月別入力!$D:$D,設定!M$7,月別入力!$B:$B,設定!$B104)</f>
        <v>0</v>
      </c>
      <c r="N104" s="13">
        <f>SUMIFS(月別入力!$J:$J,月別入力!$E:$E,設定!$C104,月別入力!$D:$D,設定!N$7,月別入力!$B:$B,設定!$B104)</f>
        <v>0</v>
      </c>
    </row>
    <row r="105" spans="2:14" s="3" customFormat="1" ht="15" customHeight="1" x14ac:dyDescent="0.2">
      <c r="B105" s="73" t="str">
        <f t="shared" si="6"/>
        <v>&lt;=12</v>
      </c>
      <c r="C105" s="25"/>
      <c r="D105" s="7" t="s">
        <v>66</v>
      </c>
      <c r="E105" s="14" t="s">
        <v>66</v>
      </c>
      <c r="F105" s="15" t="s">
        <v>66</v>
      </c>
      <c r="G105" s="16" t="s">
        <v>66</v>
      </c>
      <c r="H105" s="103">
        <f t="shared" si="7"/>
        <v>0</v>
      </c>
      <c r="I105" s="6">
        <f t="shared" si="8"/>
        <v>0</v>
      </c>
      <c r="J105" s="12">
        <f>SUMIFS(月別入力!$J:$J,月別入力!$E:$E,設定!$C105,月別入力!$D:$D,設定!J$7,月別入力!$B:$B,設定!$B105)</f>
        <v>0</v>
      </c>
      <c r="K105" s="12">
        <f>SUMIFS(月別入力!$J:$J,月別入力!$E:$E,設定!$C105,月別入力!$D:$D,設定!K$7,月別入力!$B:$B,設定!$B105)</f>
        <v>0</v>
      </c>
      <c r="L105" s="12">
        <f>SUMIFS(月別入力!$J:$J,月別入力!$E:$E,設定!$C105,月別入力!$D:$D,設定!L$7,月別入力!$B:$B,設定!$B105)</f>
        <v>0</v>
      </c>
      <c r="M105" s="12">
        <f>SUMIFS(月別入力!$J:$J,月別入力!$E:$E,設定!$C105,月別入力!$D:$D,設定!M$7,月別入力!$B:$B,設定!$B105)</f>
        <v>0</v>
      </c>
      <c r="N105" s="13">
        <f>SUMIFS(月別入力!$J:$J,月別入力!$E:$E,設定!$C105,月別入力!$D:$D,設定!N$7,月別入力!$B:$B,設定!$B105)</f>
        <v>0</v>
      </c>
    </row>
    <row r="106" spans="2:14" s="3" customFormat="1" ht="15" customHeight="1" x14ac:dyDescent="0.2">
      <c r="B106" s="73" t="str">
        <f t="shared" si="6"/>
        <v>&lt;=12</v>
      </c>
      <c r="C106" s="25"/>
      <c r="D106" s="7" t="s">
        <v>66</v>
      </c>
      <c r="E106" s="14" t="s">
        <v>66</v>
      </c>
      <c r="F106" s="15" t="s">
        <v>66</v>
      </c>
      <c r="G106" s="16" t="s">
        <v>66</v>
      </c>
      <c r="H106" s="103">
        <f t="shared" si="7"/>
        <v>0</v>
      </c>
      <c r="I106" s="6">
        <f t="shared" si="8"/>
        <v>0</v>
      </c>
      <c r="J106" s="12">
        <f>SUMIFS(月別入力!$J:$J,月別入力!$E:$E,設定!$C106,月別入力!$D:$D,設定!J$7,月別入力!$B:$B,設定!$B106)</f>
        <v>0</v>
      </c>
      <c r="K106" s="12">
        <f>SUMIFS(月別入力!$J:$J,月別入力!$E:$E,設定!$C106,月別入力!$D:$D,設定!K$7,月別入力!$B:$B,設定!$B106)</f>
        <v>0</v>
      </c>
      <c r="L106" s="12">
        <f>SUMIFS(月別入力!$J:$J,月別入力!$E:$E,設定!$C106,月別入力!$D:$D,設定!L$7,月別入力!$B:$B,設定!$B106)</f>
        <v>0</v>
      </c>
      <c r="M106" s="12">
        <f>SUMIFS(月別入力!$J:$J,月別入力!$E:$E,設定!$C106,月別入力!$D:$D,設定!M$7,月別入力!$B:$B,設定!$B106)</f>
        <v>0</v>
      </c>
      <c r="N106" s="13">
        <f>SUMIFS(月別入力!$J:$J,月別入力!$E:$E,設定!$C106,月別入力!$D:$D,設定!N$7,月別入力!$B:$B,設定!$B106)</f>
        <v>0</v>
      </c>
    </row>
    <row r="107" spans="2:14" s="3" customFormat="1" ht="15" customHeight="1" x14ac:dyDescent="0.2">
      <c r="B107" s="73" t="str">
        <f t="shared" si="6"/>
        <v>&lt;=12</v>
      </c>
      <c r="C107" s="25"/>
      <c r="D107" s="7" t="s">
        <v>66</v>
      </c>
      <c r="E107" s="14" t="s">
        <v>66</v>
      </c>
      <c r="F107" s="15" t="s">
        <v>66</v>
      </c>
      <c r="G107" s="16" t="s">
        <v>66</v>
      </c>
      <c r="H107" s="103">
        <f t="shared" si="7"/>
        <v>0</v>
      </c>
      <c r="I107" s="6">
        <f t="shared" si="8"/>
        <v>0</v>
      </c>
      <c r="J107" s="12">
        <f>SUMIFS(月別入力!$J:$J,月別入力!$E:$E,設定!$C107,月別入力!$D:$D,設定!J$7,月別入力!$B:$B,設定!$B107)</f>
        <v>0</v>
      </c>
      <c r="K107" s="12">
        <f>SUMIFS(月別入力!$J:$J,月別入力!$E:$E,設定!$C107,月別入力!$D:$D,設定!K$7,月別入力!$B:$B,設定!$B107)</f>
        <v>0</v>
      </c>
      <c r="L107" s="12">
        <f>SUMIFS(月別入力!$J:$J,月別入力!$E:$E,設定!$C107,月別入力!$D:$D,設定!L$7,月別入力!$B:$B,設定!$B107)</f>
        <v>0</v>
      </c>
      <c r="M107" s="12">
        <f>SUMIFS(月別入力!$J:$J,月別入力!$E:$E,設定!$C107,月別入力!$D:$D,設定!M$7,月別入力!$B:$B,設定!$B107)</f>
        <v>0</v>
      </c>
      <c r="N107" s="13">
        <f>SUMIFS(月別入力!$J:$J,月別入力!$E:$E,設定!$C107,月別入力!$D:$D,設定!N$7,月別入力!$B:$B,設定!$B107)</f>
        <v>0</v>
      </c>
    </row>
    <row r="108" spans="2:14" s="3" customFormat="1" ht="15" customHeight="1" thickBot="1" x14ac:dyDescent="0.25">
      <c r="B108" s="73" t="str">
        <f t="shared" si="6"/>
        <v>&lt;=12</v>
      </c>
      <c r="C108" s="27"/>
      <c r="D108" s="8" t="s">
        <v>66</v>
      </c>
      <c r="E108" s="17" t="s">
        <v>66</v>
      </c>
      <c r="F108" s="18" t="s">
        <v>66</v>
      </c>
      <c r="G108" s="19" t="s">
        <v>66</v>
      </c>
      <c r="H108" s="103">
        <f t="shared" si="7"/>
        <v>0</v>
      </c>
      <c r="I108" s="6">
        <f t="shared" si="8"/>
        <v>0</v>
      </c>
      <c r="J108" s="12">
        <f>SUMIFS(月別入力!$J:$J,月別入力!$E:$E,設定!$C108,月別入力!$D:$D,設定!J$7,月別入力!$B:$B,設定!$B108)</f>
        <v>0</v>
      </c>
      <c r="K108" s="12">
        <f>SUMIFS(月別入力!$J:$J,月別入力!$E:$E,設定!$C108,月別入力!$D:$D,設定!K$7,月別入力!$B:$B,設定!$B108)</f>
        <v>0</v>
      </c>
      <c r="L108" s="12">
        <f>SUMIFS(月別入力!$J:$J,月別入力!$E:$E,設定!$C108,月別入力!$D:$D,設定!L$7,月別入力!$B:$B,設定!$B108)</f>
        <v>0</v>
      </c>
      <c r="M108" s="12">
        <f>SUMIFS(月別入力!$J:$J,月別入力!$E:$E,設定!$C108,月別入力!$D:$D,設定!M$7,月別入力!$B:$B,設定!$B108)</f>
        <v>0</v>
      </c>
      <c r="N108" s="13">
        <f>SUMIFS(月別入力!$J:$J,月別入力!$E:$E,設定!$C108,月別入力!$D:$D,設定!N$7,月別入力!$B:$B,設定!$B108)</f>
        <v>0</v>
      </c>
    </row>
    <row r="109" spans="2:14" ht="15" customHeight="1" x14ac:dyDescent="0.2"/>
    <row r="110" spans="2:14" ht="22.5" customHeight="1" x14ac:dyDescent="0.2"/>
    <row r="111" spans="2:14" ht="22.5" customHeight="1" x14ac:dyDescent="0.2"/>
    <row r="112" spans="2:14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</sheetData>
  <autoFilter ref="B8:N108" xr:uid="{E8815ED3-98BE-4247-BD34-A163F6662E10}"/>
  <mergeCells count="5">
    <mergeCell ref="C1:N1"/>
    <mergeCell ref="C2:E2"/>
    <mergeCell ref="C3:E3"/>
    <mergeCell ref="C5:G5"/>
    <mergeCell ref="H5:N5"/>
  </mergeCells>
  <phoneticPr fontId="2"/>
  <dataValidations count="4">
    <dataValidation type="list" allowBlank="1" showInputMessage="1" showErrorMessage="1" sqref="B9" xr:uid="{905D599E-EA7C-48DB-AD49-37DCB3DAFCF1}">
      <formula1>"&lt;=12,1,2,3,4,5,6,7,8,9,10,11,12"</formula1>
    </dataValidation>
    <dataValidation type="list" allowBlank="1" showInputMessage="1" showErrorMessage="1" sqref="F9:F108" xr:uid="{31E826C6-FFF6-4D63-B478-137F0B969D4C}">
      <formula1>"有給役員,正社員７か月以上,正社員７か月未満,その他７か月以上,その他７か月未満,臨時雇用者"</formula1>
    </dataValidation>
    <dataValidation type="list" allowBlank="1" showInputMessage="1" showErrorMessage="1" sqref="G9:G108" xr:uid="{77FDD29B-2040-41A3-8D10-51DD06FE1227}">
      <formula1>"経営主,構成員,その他"</formula1>
    </dataValidation>
    <dataValidation type="list" allowBlank="1" showInputMessage="1" showErrorMessage="1" sqref="D9:D108" xr:uid="{105D0622-30DA-4679-803B-BB97F39773B6}">
      <formula1>"男,女"</formula1>
    </dataValidation>
  </dataValidations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8070-B29C-42F0-A30E-0FE9C3FD1D69}">
  <dimension ref="B1:J681"/>
  <sheetViews>
    <sheetView showGridLines="0" zoomScale="130" zoomScaleNormal="130" workbookViewId="0">
      <pane xSplit="9" ySplit="6" topLeftCell="J7" activePane="bottomRight" state="frozen"/>
      <selection pane="topRight"/>
      <selection pane="bottomLeft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4" width="24.77734375" style="1" customWidth="1"/>
    <col min="5" max="5" width="12.77734375" style="1" customWidth="1"/>
    <col min="6" max="7" width="6.77734375" style="1" customWidth="1"/>
    <col min="8" max="10" width="12.77734375" style="1" customWidth="1"/>
    <col min="11" max="11" width="0.88671875" style="1" customWidth="1"/>
    <col min="12" max="12" width="1.21875" style="1"/>
    <col min="13" max="13" width="3.44140625" style="1" bestFit="1" customWidth="1"/>
    <col min="14" max="16384" width="1.21875" style="1"/>
  </cols>
  <sheetData>
    <row r="1" spans="2:10" ht="24" customHeight="1" x14ac:dyDescent="0.2">
      <c r="B1" s="107" t="s">
        <v>88</v>
      </c>
      <c r="C1" s="107"/>
      <c r="D1" s="107"/>
      <c r="E1" s="107"/>
      <c r="F1" s="107"/>
      <c r="G1" s="107"/>
      <c r="H1" s="107"/>
      <c r="I1" s="107"/>
      <c r="J1" s="107"/>
    </row>
    <row r="2" spans="2:10" ht="15" customHeight="1" x14ac:dyDescent="0.2">
      <c r="B2" s="124" t="s">
        <v>90</v>
      </c>
      <c r="C2" s="125"/>
      <c r="D2" s="126"/>
      <c r="J2" s="4"/>
    </row>
    <row r="3" spans="2:10" ht="24" customHeight="1" x14ac:dyDescent="0.2">
      <c r="B3" s="127">
        <f>設定!C3</f>
        <v>0</v>
      </c>
      <c r="C3" s="128"/>
      <c r="D3" s="129"/>
    </row>
    <row r="4" spans="2:10" ht="7.5" customHeight="1" thickBot="1" x14ac:dyDescent="0.25"/>
    <row r="5" spans="2:10" s="3" customFormat="1" ht="15" customHeight="1" x14ac:dyDescent="0.2">
      <c r="B5" s="130" t="s">
        <v>13</v>
      </c>
      <c r="C5" s="132" t="s">
        <v>77</v>
      </c>
      <c r="D5" s="132" t="s">
        <v>78</v>
      </c>
      <c r="E5" s="134" t="s">
        <v>79</v>
      </c>
      <c r="F5" s="120" t="s">
        <v>80</v>
      </c>
      <c r="G5" s="120" t="s">
        <v>81</v>
      </c>
      <c r="H5" s="120" t="s">
        <v>83</v>
      </c>
      <c r="I5" s="120" t="s">
        <v>82</v>
      </c>
      <c r="J5" s="122" t="s">
        <v>84</v>
      </c>
    </row>
    <row r="6" spans="2:10" s="3" customFormat="1" ht="15" customHeight="1" thickBot="1" x14ac:dyDescent="0.25">
      <c r="B6" s="131"/>
      <c r="C6" s="133"/>
      <c r="D6" s="133"/>
      <c r="E6" s="135"/>
      <c r="F6" s="121"/>
      <c r="G6" s="121"/>
      <c r="H6" s="121"/>
      <c r="I6" s="121"/>
      <c r="J6" s="123"/>
    </row>
    <row r="7" spans="2:10" s="3" customFormat="1" ht="24" customHeight="1" x14ac:dyDescent="0.2">
      <c r="B7" s="74"/>
      <c r="C7" s="75"/>
      <c r="D7" s="76"/>
      <c r="E7" s="77"/>
      <c r="F7" s="78" t="str">
        <f>IFERROR(VLOOKUP($E7,設定!$C:$G,2,0),"")</f>
        <v/>
      </c>
      <c r="G7" s="78" t="str">
        <f>IFERROR(VLOOKUP($E7,設定!$C:$G,3,0),"")</f>
        <v/>
      </c>
      <c r="H7" s="78" t="str">
        <f>IFERROR(VLOOKUP($E7,設定!$C:$G,4,0),"")</f>
        <v/>
      </c>
      <c r="I7" s="78" t="str">
        <f>IFERROR(VLOOKUP($E7,設定!$C:$G,5,0),"")</f>
        <v/>
      </c>
      <c r="J7" s="104"/>
    </row>
    <row r="8" spans="2:10" s="3" customFormat="1" ht="24" customHeight="1" x14ac:dyDescent="0.2">
      <c r="B8" s="74"/>
      <c r="C8" s="75"/>
      <c r="D8" s="76"/>
      <c r="E8" s="77"/>
      <c r="F8" s="78" t="str">
        <f>IFERROR(VLOOKUP($E8,設定!$C:$G,2,0),"")</f>
        <v/>
      </c>
      <c r="G8" s="78" t="str">
        <f>IFERROR(VLOOKUP($E8,設定!$C:$G,3,0),"")</f>
        <v/>
      </c>
      <c r="H8" s="78" t="str">
        <f>IFERROR(VLOOKUP($E8,設定!$C:$G,4,0),"")</f>
        <v/>
      </c>
      <c r="I8" s="78" t="str">
        <f>IFERROR(VLOOKUP($E8,設定!$C:$G,5,0),"")</f>
        <v/>
      </c>
      <c r="J8" s="104"/>
    </row>
    <row r="9" spans="2:10" s="3" customFormat="1" ht="24" customHeight="1" x14ac:dyDescent="0.2">
      <c r="B9" s="74"/>
      <c r="C9" s="75"/>
      <c r="D9" s="76"/>
      <c r="E9" s="77"/>
      <c r="F9" s="78" t="str">
        <f>IFERROR(VLOOKUP($E9,設定!$C:$G,2,0),"")</f>
        <v/>
      </c>
      <c r="G9" s="78" t="str">
        <f>IFERROR(VLOOKUP($E9,設定!$C:$G,3,0),"")</f>
        <v/>
      </c>
      <c r="H9" s="78" t="str">
        <f>IFERROR(VLOOKUP($E9,設定!$C:$G,4,0),"")</f>
        <v/>
      </c>
      <c r="I9" s="78" t="str">
        <f>IFERROR(VLOOKUP($E9,設定!$C:$G,5,0),"")</f>
        <v/>
      </c>
      <c r="J9" s="104"/>
    </row>
    <row r="10" spans="2:10" s="3" customFormat="1" ht="24" customHeight="1" x14ac:dyDescent="0.2">
      <c r="B10" s="74"/>
      <c r="C10" s="75"/>
      <c r="D10" s="76"/>
      <c r="E10" s="77"/>
      <c r="F10" s="78" t="str">
        <f>IFERROR(VLOOKUP($E10,設定!$C:$G,2,0),"")</f>
        <v/>
      </c>
      <c r="G10" s="78" t="str">
        <f>IFERROR(VLOOKUP($E10,設定!$C:$G,3,0),"")</f>
        <v/>
      </c>
      <c r="H10" s="78" t="str">
        <f>IFERROR(VLOOKUP($E10,設定!$C:$G,4,0),"")</f>
        <v/>
      </c>
      <c r="I10" s="78" t="str">
        <f>IFERROR(VLOOKUP($E10,設定!$C:$G,5,0),"")</f>
        <v/>
      </c>
      <c r="J10" s="104"/>
    </row>
    <row r="11" spans="2:10" s="3" customFormat="1" ht="24" customHeight="1" x14ac:dyDescent="0.2">
      <c r="B11" s="74"/>
      <c r="C11" s="75"/>
      <c r="D11" s="76"/>
      <c r="E11" s="77"/>
      <c r="F11" s="78" t="str">
        <f>IFERROR(VLOOKUP($E11,設定!$C:$G,2,0),"")</f>
        <v/>
      </c>
      <c r="G11" s="78" t="str">
        <f>IFERROR(VLOOKUP($E11,設定!$C:$G,3,0),"")</f>
        <v/>
      </c>
      <c r="H11" s="78" t="str">
        <f>IFERROR(VLOOKUP($E11,設定!$C:$G,4,0),"")</f>
        <v/>
      </c>
      <c r="I11" s="78" t="str">
        <f>IFERROR(VLOOKUP($E11,設定!$C:$G,5,0),"")</f>
        <v/>
      </c>
      <c r="J11" s="104"/>
    </row>
    <row r="12" spans="2:10" s="3" customFormat="1" ht="24" customHeight="1" x14ac:dyDescent="0.2">
      <c r="B12" s="74"/>
      <c r="C12" s="75"/>
      <c r="D12" s="76"/>
      <c r="E12" s="77"/>
      <c r="F12" s="78" t="str">
        <f>IFERROR(VLOOKUP($E12,設定!$C:$G,2,0),"")</f>
        <v/>
      </c>
      <c r="G12" s="78" t="str">
        <f>IFERROR(VLOOKUP($E12,設定!$C:$G,3,0),"")</f>
        <v/>
      </c>
      <c r="H12" s="78" t="str">
        <f>IFERROR(VLOOKUP($E12,設定!$C:$G,4,0),"")</f>
        <v/>
      </c>
      <c r="I12" s="78" t="str">
        <f>IFERROR(VLOOKUP($E12,設定!$C:$G,5,0),"")</f>
        <v/>
      </c>
      <c r="J12" s="104"/>
    </row>
    <row r="13" spans="2:10" s="3" customFormat="1" ht="24" customHeight="1" x14ac:dyDescent="0.2">
      <c r="B13" s="74"/>
      <c r="C13" s="75"/>
      <c r="D13" s="76"/>
      <c r="E13" s="77"/>
      <c r="F13" s="78" t="str">
        <f>IFERROR(VLOOKUP($E13,設定!$C:$G,2,0),"")</f>
        <v/>
      </c>
      <c r="G13" s="78" t="str">
        <f>IFERROR(VLOOKUP($E13,設定!$C:$G,3,0),"")</f>
        <v/>
      </c>
      <c r="H13" s="78" t="str">
        <f>IFERROR(VLOOKUP($E13,設定!$C:$G,4,0),"")</f>
        <v/>
      </c>
      <c r="I13" s="78" t="str">
        <f>IFERROR(VLOOKUP($E13,設定!$C:$G,5,0),"")</f>
        <v/>
      </c>
      <c r="J13" s="104"/>
    </row>
    <row r="14" spans="2:10" s="3" customFormat="1" ht="24" customHeight="1" x14ac:dyDescent="0.2">
      <c r="B14" s="74"/>
      <c r="C14" s="75"/>
      <c r="D14" s="76"/>
      <c r="E14" s="77"/>
      <c r="F14" s="78" t="str">
        <f>IFERROR(VLOOKUP($E14,設定!$C:$G,2,0),"")</f>
        <v/>
      </c>
      <c r="G14" s="78" t="str">
        <f>IFERROR(VLOOKUP($E14,設定!$C:$G,3,0),"")</f>
        <v/>
      </c>
      <c r="H14" s="78" t="str">
        <f>IFERROR(VLOOKUP($E14,設定!$C:$G,4,0),"")</f>
        <v/>
      </c>
      <c r="I14" s="78" t="str">
        <f>IFERROR(VLOOKUP($E14,設定!$C:$G,5,0),"")</f>
        <v/>
      </c>
      <c r="J14" s="104"/>
    </row>
    <row r="15" spans="2:10" s="3" customFormat="1" ht="24" customHeight="1" x14ac:dyDescent="0.2">
      <c r="B15" s="74"/>
      <c r="C15" s="75"/>
      <c r="D15" s="76"/>
      <c r="E15" s="77"/>
      <c r="F15" s="78" t="str">
        <f>IFERROR(VLOOKUP($E15,設定!$C:$G,2,0),"")</f>
        <v/>
      </c>
      <c r="G15" s="78" t="str">
        <f>IFERROR(VLOOKUP($E15,設定!$C:$G,3,0),"")</f>
        <v/>
      </c>
      <c r="H15" s="78" t="str">
        <f>IFERROR(VLOOKUP($E15,設定!$C:$G,4,0),"")</f>
        <v/>
      </c>
      <c r="I15" s="78" t="str">
        <f>IFERROR(VLOOKUP($E15,設定!$C:$G,5,0),"")</f>
        <v/>
      </c>
      <c r="J15" s="104"/>
    </row>
    <row r="16" spans="2:10" s="3" customFormat="1" ht="24" customHeight="1" x14ac:dyDescent="0.2">
      <c r="B16" s="74"/>
      <c r="C16" s="75"/>
      <c r="D16" s="76"/>
      <c r="E16" s="77"/>
      <c r="F16" s="78" t="str">
        <f>IFERROR(VLOOKUP($E16,設定!$C:$G,2,0),"")</f>
        <v/>
      </c>
      <c r="G16" s="78" t="str">
        <f>IFERROR(VLOOKUP($E16,設定!$C:$G,3,0),"")</f>
        <v/>
      </c>
      <c r="H16" s="78" t="str">
        <f>IFERROR(VLOOKUP($E16,設定!$C:$G,4,0),"")</f>
        <v/>
      </c>
      <c r="I16" s="78" t="str">
        <f>IFERROR(VLOOKUP($E16,設定!$C:$G,5,0),"")</f>
        <v/>
      </c>
      <c r="J16" s="104"/>
    </row>
    <row r="17" spans="2:10" s="3" customFormat="1" ht="24" customHeight="1" x14ac:dyDescent="0.2">
      <c r="B17" s="74"/>
      <c r="C17" s="75"/>
      <c r="D17" s="76"/>
      <c r="E17" s="77"/>
      <c r="F17" s="78" t="str">
        <f>IFERROR(VLOOKUP($E17,設定!$C:$G,2,0),"")</f>
        <v/>
      </c>
      <c r="G17" s="78" t="str">
        <f>IFERROR(VLOOKUP($E17,設定!$C:$G,3,0),"")</f>
        <v/>
      </c>
      <c r="H17" s="78" t="str">
        <f>IFERROR(VLOOKUP($E17,設定!$C:$G,4,0),"")</f>
        <v/>
      </c>
      <c r="I17" s="78" t="str">
        <f>IFERROR(VLOOKUP($E17,設定!$C:$G,5,0),"")</f>
        <v/>
      </c>
      <c r="J17" s="104"/>
    </row>
    <row r="18" spans="2:10" s="3" customFormat="1" ht="24" customHeight="1" x14ac:dyDescent="0.2">
      <c r="B18" s="74"/>
      <c r="C18" s="75"/>
      <c r="D18" s="76"/>
      <c r="E18" s="77"/>
      <c r="F18" s="78" t="str">
        <f>IFERROR(VLOOKUP($E18,設定!$C:$G,2,0),"")</f>
        <v/>
      </c>
      <c r="G18" s="78" t="str">
        <f>IFERROR(VLOOKUP($E18,設定!$C:$G,3,0),"")</f>
        <v/>
      </c>
      <c r="H18" s="78" t="str">
        <f>IFERROR(VLOOKUP($E18,設定!$C:$G,4,0),"")</f>
        <v/>
      </c>
      <c r="I18" s="78" t="str">
        <f>IFERROR(VLOOKUP($E18,設定!$C:$G,5,0),"")</f>
        <v/>
      </c>
      <c r="J18" s="104"/>
    </row>
    <row r="19" spans="2:10" s="3" customFormat="1" ht="24" customHeight="1" x14ac:dyDescent="0.2">
      <c r="B19" s="74"/>
      <c r="C19" s="75"/>
      <c r="D19" s="76"/>
      <c r="E19" s="77"/>
      <c r="F19" s="78" t="str">
        <f>IFERROR(VLOOKUP($E19,設定!$C:$G,2,0),"")</f>
        <v/>
      </c>
      <c r="G19" s="78" t="str">
        <f>IFERROR(VLOOKUP($E19,設定!$C:$G,3,0),"")</f>
        <v/>
      </c>
      <c r="H19" s="78" t="str">
        <f>IFERROR(VLOOKUP($E19,設定!$C:$G,4,0),"")</f>
        <v/>
      </c>
      <c r="I19" s="78" t="str">
        <f>IFERROR(VLOOKUP($E19,設定!$C:$G,5,0),"")</f>
        <v/>
      </c>
      <c r="J19" s="104"/>
    </row>
    <row r="20" spans="2:10" s="3" customFormat="1" ht="24" customHeight="1" x14ac:dyDescent="0.2">
      <c r="B20" s="74"/>
      <c r="C20" s="75"/>
      <c r="D20" s="76"/>
      <c r="E20" s="77"/>
      <c r="F20" s="78" t="str">
        <f>IFERROR(VLOOKUP($E20,設定!$C:$G,2,0),"")</f>
        <v/>
      </c>
      <c r="G20" s="78" t="str">
        <f>IFERROR(VLOOKUP($E20,設定!$C:$G,3,0),"")</f>
        <v/>
      </c>
      <c r="H20" s="78" t="str">
        <f>IFERROR(VLOOKUP($E20,設定!$C:$G,4,0),"")</f>
        <v/>
      </c>
      <c r="I20" s="78" t="str">
        <f>IFERROR(VLOOKUP($E20,設定!$C:$G,5,0),"")</f>
        <v/>
      </c>
      <c r="J20" s="104"/>
    </row>
    <row r="21" spans="2:10" s="3" customFormat="1" ht="24" customHeight="1" x14ac:dyDescent="0.2">
      <c r="B21" s="74"/>
      <c r="C21" s="75"/>
      <c r="D21" s="76"/>
      <c r="E21" s="77"/>
      <c r="F21" s="78" t="str">
        <f>IFERROR(VLOOKUP($E21,設定!$C:$G,2,0),"")</f>
        <v/>
      </c>
      <c r="G21" s="78" t="str">
        <f>IFERROR(VLOOKUP($E21,設定!$C:$G,3,0),"")</f>
        <v/>
      </c>
      <c r="H21" s="78" t="str">
        <f>IFERROR(VLOOKUP($E21,設定!$C:$G,4,0),"")</f>
        <v/>
      </c>
      <c r="I21" s="78" t="str">
        <f>IFERROR(VLOOKUP($E21,設定!$C:$G,5,0),"")</f>
        <v/>
      </c>
      <c r="J21" s="104"/>
    </row>
    <row r="22" spans="2:10" s="3" customFormat="1" ht="24" customHeight="1" x14ac:dyDescent="0.2">
      <c r="B22" s="74"/>
      <c r="C22" s="75"/>
      <c r="D22" s="76"/>
      <c r="E22" s="77"/>
      <c r="F22" s="78" t="str">
        <f>IFERROR(VLOOKUP($E22,設定!$C:$G,2,0),"")</f>
        <v/>
      </c>
      <c r="G22" s="78" t="str">
        <f>IFERROR(VLOOKUP($E22,設定!$C:$G,3,0),"")</f>
        <v/>
      </c>
      <c r="H22" s="78" t="str">
        <f>IFERROR(VLOOKUP($E22,設定!$C:$G,4,0),"")</f>
        <v/>
      </c>
      <c r="I22" s="78" t="str">
        <f>IFERROR(VLOOKUP($E22,設定!$C:$G,5,0),"")</f>
        <v/>
      </c>
      <c r="J22" s="104"/>
    </row>
    <row r="23" spans="2:10" s="3" customFormat="1" ht="24" customHeight="1" x14ac:dyDescent="0.2">
      <c r="B23" s="74"/>
      <c r="C23" s="75"/>
      <c r="D23" s="76"/>
      <c r="E23" s="77"/>
      <c r="F23" s="78" t="str">
        <f>IFERROR(VLOOKUP($E23,設定!$C:$G,2,0),"")</f>
        <v/>
      </c>
      <c r="G23" s="78" t="str">
        <f>IFERROR(VLOOKUP($E23,設定!$C:$G,3,0),"")</f>
        <v/>
      </c>
      <c r="H23" s="78" t="str">
        <f>IFERROR(VLOOKUP($E23,設定!$C:$G,4,0),"")</f>
        <v/>
      </c>
      <c r="I23" s="78" t="str">
        <f>IFERROR(VLOOKUP($E23,設定!$C:$G,5,0),"")</f>
        <v/>
      </c>
      <c r="J23" s="104"/>
    </row>
    <row r="24" spans="2:10" s="3" customFormat="1" ht="24" customHeight="1" x14ac:dyDescent="0.2">
      <c r="B24" s="74"/>
      <c r="C24" s="75"/>
      <c r="D24" s="76"/>
      <c r="E24" s="77"/>
      <c r="F24" s="78" t="str">
        <f>IFERROR(VLOOKUP($E24,設定!$C:$G,2,0),"")</f>
        <v/>
      </c>
      <c r="G24" s="78" t="str">
        <f>IFERROR(VLOOKUP($E24,設定!$C:$G,3,0),"")</f>
        <v/>
      </c>
      <c r="H24" s="78" t="str">
        <f>IFERROR(VLOOKUP($E24,設定!$C:$G,4,0),"")</f>
        <v/>
      </c>
      <c r="I24" s="78" t="str">
        <f>IFERROR(VLOOKUP($E24,設定!$C:$G,5,0),"")</f>
        <v/>
      </c>
      <c r="J24" s="104"/>
    </row>
    <row r="25" spans="2:10" s="3" customFormat="1" ht="24" customHeight="1" x14ac:dyDescent="0.2">
      <c r="B25" s="74"/>
      <c r="C25" s="75"/>
      <c r="D25" s="76"/>
      <c r="E25" s="77"/>
      <c r="F25" s="78" t="str">
        <f>IFERROR(VLOOKUP($E25,設定!$C:$G,2,0),"")</f>
        <v/>
      </c>
      <c r="G25" s="78" t="str">
        <f>IFERROR(VLOOKUP($E25,設定!$C:$G,3,0),"")</f>
        <v/>
      </c>
      <c r="H25" s="78" t="str">
        <f>IFERROR(VLOOKUP($E25,設定!$C:$G,4,0),"")</f>
        <v/>
      </c>
      <c r="I25" s="78" t="str">
        <f>IFERROR(VLOOKUP($E25,設定!$C:$G,5,0),"")</f>
        <v/>
      </c>
      <c r="J25" s="104"/>
    </row>
    <row r="26" spans="2:10" s="3" customFormat="1" ht="24" customHeight="1" x14ac:dyDescent="0.2">
      <c r="B26" s="74"/>
      <c r="C26" s="75"/>
      <c r="D26" s="76"/>
      <c r="E26" s="77"/>
      <c r="F26" s="78" t="str">
        <f>IFERROR(VLOOKUP($E26,設定!$C:$G,2,0),"")</f>
        <v/>
      </c>
      <c r="G26" s="78" t="str">
        <f>IFERROR(VLOOKUP($E26,設定!$C:$G,3,0),"")</f>
        <v/>
      </c>
      <c r="H26" s="78" t="str">
        <f>IFERROR(VLOOKUP($E26,設定!$C:$G,4,0),"")</f>
        <v/>
      </c>
      <c r="I26" s="78" t="str">
        <f>IFERROR(VLOOKUP($E26,設定!$C:$G,5,0),"")</f>
        <v/>
      </c>
      <c r="J26" s="104"/>
    </row>
    <row r="27" spans="2:10" s="3" customFormat="1" ht="24" customHeight="1" x14ac:dyDescent="0.2">
      <c r="B27" s="74"/>
      <c r="C27" s="75"/>
      <c r="D27" s="76"/>
      <c r="E27" s="77"/>
      <c r="F27" s="78" t="str">
        <f>IFERROR(VLOOKUP($E27,設定!$C:$G,2,0),"")</f>
        <v/>
      </c>
      <c r="G27" s="78" t="str">
        <f>IFERROR(VLOOKUP($E27,設定!$C:$G,3,0),"")</f>
        <v/>
      </c>
      <c r="H27" s="78" t="str">
        <f>IFERROR(VLOOKUP($E27,設定!$C:$G,4,0),"")</f>
        <v/>
      </c>
      <c r="I27" s="78" t="str">
        <f>IFERROR(VLOOKUP($E27,設定!$C:$G,5,0),"")</f>
        <v/>
      </c>
      <c r="J27" s="104"/>
    </row>
    <row r="28" spans="2:10" s="3" customFormat="1" ht="24" customHeight="1" x14ac:dyDescent="0.2">
      <c r="B28" s="74"/>
      <c r="C28" s="75"/>
      <c r="D28" s="76"/>
      <c r="E28" s="77"/>
      <c r="F28" s="78" t="str">
        <f>IFERROR(VLOOKUP($E28,設定!$C:$G,2,0),"")</f>
        <v/>
      </c>
      <c r="G28" s="78" t="str">
        <f>IFERROR(VLOOKUP($E28,設定!$C:$G,3,0),"")</f>
        <v/>
      </c>
      <c r="H28" s="78" t="str">
        <f>IFERROR(VLOOKUP($E28,設定!$C:$G,4,0),"")</f>
        <v/>
      </c>
      <c r="I28" s="78" t="str">
        <f>IFERROR(VLOOKUP($E28,設定!$C:$G,5,0),"")</f>
        <v/>
      </c>
      <c r="J28" s="104"/>
    </row>
    <row r="29" spans="2:10" s="3" customFormat="1" ht="24" customHeight="1" x14ac:dyDescent="0.2">
      <c r="B29" s="74"/>
      <c r="C29" s="75"/>
      <c r="D29" s="76"/>
      <c r="E29" s="77"/>
      <c r="F29" s="78" t="str">
        <f>IFERROR(VLOOKUP($E29,設定!$C:$G,2,0),"")</f>
        <v/>
      </c>
      <c r="G29" s="78" t="str">
        <f>IFERROR(VLOOKUP($E29,設定!$C:$G,3,0),"")</f>
        <v/>
      </c>
      <c r="H29" s="78" t="str">
        <f>IFERROR(VLOOKUP($E29,設定!$C:$G,4,0),"")</f>
        <v/>
      </c>
      <c r="I29" s="78" t="str">
        <f>IFERROR(VLOOKUP($E29,設定!$C:$G,5,0),"")</f>
        <v/>
      </c>
      <c r="J29" s="104"/>
    </row>
    <row r="30" spans="2:10" s="3" customFormat="1" ht="24" customHeight="1" x14ac:dyDescent="0.2">
      <c r="B30" s="74"/>
      <c r="C30" s="75"/>
      <c r="D30" s="76"/>
      <c r="E30" s="77"/>
      <c r="F30" s="78" t="str">
        <f>IFERROR(VLOOKUP($E30,設定!$C:$G,2,0),"")</f>
        <v/>
      </c>
      <c r="G30" s="78" t="str">
        <f>IFERROR(VLOOKUP($E30,設定!$C:$G,3,0),"")</f>
        <v/>
      </c>
      <c r="H30" s="78" t="str">
        <f>IFERROR(VLOOKUP($E30,設定!$C:$G,4,0),"")</f>
        <v/>
      </c>
      <c r="I30" s="78" t="str">
        <f>IFERROR(VLOOKUP($E30,設定!$C:$G,5,0),"")</f>
        <v/>
      </c>
      <c r="J30" s="104"/>
    </row>
    <row r="31" spans="2:10" s="3" customFormat="1" ht="24" customHeight="1" x14ac:dyDescent="0.2">
      <c r="B31" s="74"/>
      <c r="C31" s="75"/>
      <c r="D31" s="76"/>
      <c r="E31" s="77"/>
      <c r="F31" s="78" t="str">
        <f>IFERROR(VLOOKUP($E31,設定!$C:$G,2,0),"")</f>
        <v/>
      </c>
      <c r="G31" s="78" t="str">
        <f>IFERROR(VLOOKUP($E31,設定!$C:$G,3,0),"")</f>
        <v/>
      </c>
      <c r="H31" s="78" t="str">
        <f>IFERROR(VLOOKUP($E31,設定!$C:$G,4,0),"")</f>
        <v/>
      </c>
      <c r="I31" s="78" t="str">
        <f>IFERROR(VLOOKUP($E31,設定!$C:$G,5,0),"")</f>
        <v/>
      </c>
      <c r="J31" s="104"/>
    </row>
    <row r="32" spans="2:10" s="3" customFormat="1" ht="24" customHeight="1" x14ac:dyDescent="0.2">
      <c r="B32" s="74"/>
      <c r="C32" s="75"/>
      <c r="D32" s="76"/>
      <c r="E32" s="77"/>
      <c r="F32" s="78" t="str">
        <f>IFERROR(VLOOKUP($E32,設定!$C:$G,2,0),"")</f>
        <v/>
      </c>
      <c r="G32" s="78" t="str">
        <f>IFERROR(VLOOKUP($E32,設定!$C:$G,3,0),"")</f>
        <v/>
      </c>
      <c r="H32" s="78" t="str">
        <f>IFERROR(VLOOKUP($E32,設定!$C:$G,4,0),"")</f>
        <v/>
      </c>
      <c r="I32" s="78" t="str">
        <f>IFERROR(VLOOKUP($E32,設定!$C:$G,5,0),"")</f>
        <v/>
      </c>
      <c r="J32" s="104"/>
    </row>
    <row r="33" spans="2:10" s="3" customFormat="1" ht="24" customHeight="1" x14ac:dyDescent="0.2">
      <c r="B33" s="74"/>
      <c r="C33" s="75"/>
      <c r="D33" s="76"/>
      <c r="E33" s="77"/>
      <c r="F33" s="78" t="str">
        <f>IFERROR(VLOOKUP($E33,設定!$C:$G,2,0),"")</f>
        <v/>
      </c>
      <c r="G33" s="78" t="str">
        <f>IFERROR(VLOOKUP($E33,設定!$C:$G,3,0),"")</f>
        <v/>
      </c>
      <c r="H33" s="78" t="str">
        <f>IFERROR(VLOOKUP($E33,設定!$C:$G,4,0),"")</f>
        <v/>
      </c>
      <c r="I33" s="78" t="str">
        <f>IFERROR(VLOOKUP($E33,設定!$C:$G,5,0),"")</f>
        <v/>
      </c>
      <c r="J33" s="104"/>
    </row>
    <row r="34" spans="2:10" s="3" customFormat="1" ht="24" customHeight="1" x14ac:dyDescent="0.2">
      <c r="B34" s="74"/>
      <c r="C34" s="75"/>
      <c r="D34" s="76"/>
      <c r="E34" s="77"/>
      <c r="F34" s="78" t="str">
        <f>IFERROR(VLOOKUP($E34,設定!$C:$G,2,0),"")</f>
        <v/>
      </c>
      <c r="G34" s="78" t="str">
        <f>IFERROR(VLOOKUP($E34,設定!$C:$G,3,0),"")</f>
        <v/>
      </c>
      <c r="H34" s="78" t="str">
        <f>IFERROR(VLOOKUP($E34,設定!$C:$G,4,0),"")</f>
        <v/>
      </c>
      <c r="I34" s="78" t="str">
        <f>IFERROR(VLOOKUP($E34,設定!$C:$G,5,0),"")</f>
        <v/>
      </c>
      <c r="J34" s="104"/>
    </row>
    <row r="35" spans="2:10" s="3" customFormat="1" ht="24" customHeight="1" x14ac:dyDescent="0.2">
      <c r="B35" s="74"/>
      <c r="C35" s="75"/>
      <c r="D35" s="76"/>
      <c r="E35" s="77"/>
      <c r="F35" s="78" t="str">
        <f>IFERROR(VLOOKUP($E35,設定!$C:$G,2,0),"")</f>
        <v/>
      </c>
      <c r="G35" s="78" t="str">
        <f>IFERROR(VLOOKUP($E35,設定!$C:$G,3,0),"")</f>
        <v/>
      </c>
      <c r="H35" s="78" t="str">
        <f>IFERROR(VLOOKUP($E35,設定!$C:$G,4,0),"")</f>
        <v/>
      </c>
      <c r="I35" s="78" t="str">
        <f>IFERROR(VLOOKUP($E35,設定!$C:$G,5,0),"")</f>
        <v/>
      </c>
      <c r="J35" s="104"/>
    </row>
    <row r="36" spans="2:10" s="3" customFormat="1" ht="24" customHeight="1" x14ac:dyDescent="0.2">
      <c r="B36" s="74"/>
      <c r="C36" s="75"/>
      <c r="D36" s="76"/>
      <c r="E36" s="77"/>
      <c r="F36" s="78" t="str">
        <f>IFERROR(VLOOKUP($E36,設定!$C:$G,2,0),"")</f>
        <v/>
      </c>
      <c r="G36" s="78" t="str">
        <f>IFERROR(VLOOKUP($E36,設定!$C:$G,3,0),"")</f>
        <v/>
      </c>
      <c r="H36" s="78" t="str">
        <f>IFERROR(VLOOKUP($E36,設定!$C:$G,4,0),"")</f>
        <v/>
      </c>
      <c r="I36" s="78" t="str">
        <f>IFERROR(VLOOKUP($E36,設定!$C:$G,5,0),"")</f>
        <v/>
      </c>
      <c r="J36" s="104"/>
    </row>
    <row r="37" spans="2:10" s="3" customFormat="1" ht="24" customHeight="1" x14ac:dyDescent="0.2">
      <c r="B37" s="74"/>
      <c r="C37" s="75"/>
      <c r="D37" s="76"/>
      <c r="E37" s="77"/>
      <c r="F37" s="78" t="str">
        <f>IFERROR(VLOOKUP($E37,設定!$C:$G,2,0),"")</f>
        <v/>
      </c>
      <c r="G37" s="78" t="str">
        <f>IFERROR(VLOOKUP($E37,設定!$C:$G,3,0),"")</f>
        <v/>
      </c>
      <c r="H37" s="78" t="str">
        <f>IFERROR(VLOOKUP($E37,設定!$C:$G,4,0),"")</f>
        <v/>
      </c>
      <c r="I37" s="78" t="str">
        <f>IFERROR(VLOOKUP($E37,設定!$C:$G,5,0),"")</f>
        <v/>
      </c>
      <c r="J37" s="104"/>
    </row>
    <row r="38" spans="2:10" s="3" customFormat="1" ht="24" customHeight="1" x14ac:dyDescent="0.2">
      <c r="B38" s="74"/>
      <c r="C38" s="75"/>
      <c r="D38" s="76"/>
      <c r="E38" s="77"/>
      <c r="F38" s="78" t="str">
        <f>IFERROR(VLOOKUP($E38,設定!$C:$G,2,0),"")</f>
        <v/>
      </c>
      <c r="G38" s="78" t="str">
        <f>IFERROR(VLOOKUP($E38,設定!$C:$G,3,0),"")</f>
        <v/>
      </c>
      <c r="H38" s="78" t="str">
        <f>IFERROR(VLOOKUP($E38,設定!$C:$G,4,0),"")</f>
        <v/>
      </c>
      <c r="I38" s="78" t="str">
        <f>IFERROR(VLOOKUP($E38,設定!$C:$G,5,0),"")</f>
        <v/>
      </c>
      <c r="J38" s="104"/>
    </row>
    <row r="39" spans="2:10" s="3" customFormat="1" ht="24" customHeight="1" x14ac:dyDescent="0.2">
      <c r="B39" s="74"/>
      <c r="C39" s="75"/>
      <c r="D39" s="76"/>
      <c r="E39" s="77"/>
      <c r="F39" s="78" t="str">
        <f>IFERROR(VLOOKUP($E39,設定!$C:$G,2,0),"")</f>
        <v/>
      </c>
      <c r="G39" s="78" t="str">
        <f>IFERROR(VLOOKUP($E39,設定!$C:$G,3,0),"")</f>
        <v/>
      </c>
      <c r="H39" s="78" t="str">
        <f>IFERROR(VLOOKUP($E39,設定!$C:$G,4,0),"")</f>
        <v/>
      </c>
      <c r="I39" s="78" t="str">
        <f>IFERROR(VLOOKUP($E39,設定!$C:$G,5,0),"")</f>
        <v/>
      </c>
      <c r="J39" s="104"/>
    </row>
    <row r="40" spans="2:10" s="3" customFormat="1" ht="24" customHeight="1" x14ac:dyDescent="0.2">
      <c r="B40" s="74"/>
      <c r="C40" s="75"/>
      <c r="D40" s="76"/>
      <c r="E40" s="77"/>
      <c r="F40" s="78" t="str">
        <f>IFERROR(VLOOKUP($E40,設定!$C:$G,2,0),"")</f>
        <v/>
      </c>
      <c r="G40" s="78" t="str">
        <f>IFERROR(VLOOKUP($E40,設定!$C:$G,3,0),"")</f>
        <v/>
      </c>
      <c r="H40" s="78" t="str">
        <f>IFERROR(VLOOKUP($E40,設定!$C:$G,4,0),"")</f>
        <v/>
      </c>
      <c r="I40" s="78" t="str">
        <f>IFERROR(VLOOKUP($E40,設定!$C:$G,5,0),"")</f>
        <v/>
      </c>
      <c r="J40" s="104"/>
    </row>
    <row r="41" spans="2:10" s="3" customFormat="1" ht="24" customHeight="1" x14ac:dyDescent="0.2">
      <c r="B41" s="74"/>
      <c r="C41" s="75"/>
      <c r="D41" s="76"/>
      <c r="E41" s="77"/>
      <c r="F41" s="78" t="str">
        <f>IFERROR(VLOOKUP($E41,設定!$C:$G,2,0),"")</f>
        <v/>
      </c>
      <c r="G41" s="78" t="str">
        <f>IFERROR(VLOOKUP($E41,設定!$C:$G,3,0),"")</f>
        <v/>
      </c>
      <c r="H41" s="78" t="str">
        <f>IFERROR(VLOOKUP($E41,設定!$C:$G,4,0),"")</f>
        <v/>
      </c>
      <c r="I41" s="78" t="str">
        <f>IFERROR(VLOOKUP($E41,設定!$C:$G,5,0),"")</f>
        <v/>
      </c>
      <c r="J41" s="104"/>
    </row>
    <row r="42" spans="2:10" s="3" customFormat="1" ht="24" customHeight="1" x14ac:dyDescent="0.2">
      <c r="B42" s="74"/>
      <c r="C42" s="75"/>
      <c r="D42" s="76"/>
      <c r="E42" s="77"/>
      <c r="F42" s="78" t="str">
        <f>IFERROR(VLOOKUP($E42,設定!$C:$G,2,0),"")</f>
        <v/>
      </c>
      <c r="G42" s="78" t="str">
        <f>IFERROR(VLOOKUP($E42,設定!$C:$G,3,0),"")</f>
        <v/>
      </c>
      <c r="H42" s="78" t="str">
        <f>IFERROR(VLOOKUP($E42,設定!$C:$G,4,0),"")</f>
        <v/>
      </c>
      <c r="I42" s="78" t="str">
        <f>IFERROR(VLOOKUP($E42,設定!$C:$G,5,0),"")</f>
        <v/>
      </c>
      <c r="J42" s="104"/>
    </row>
    <row r="43" spans="2:10" s="3" customFormat="1" ht="24" customHeight="1" x14ac:dyDescent="0.2">
      <c r="B43" s="74"/>
      <c r="C43" s="75"/>
      <c r="D43" s="76"/>
      <c r="E43" s="77"/>
      <c r="F43" s="78" t="str">
        <f>IFERROR(VLOOKUP($E43,設定!$C:$G,2,0),"")</f>
        <v/>
      </c>
      <c r="G43" s="78" t="str">
        <f>IFERROR(VLOOKUP($E43,設定!$C:$G,3,0),"")</f>
        <v/>
      </c>
      <c r="H43" s="78" t="str">
        <f>IFERROR(VLOOKUP($E43,設定!$C:$G,4,0),"")</f>
        <v/>
      </c>
      <c r="I43" s="78" t="str">
        <f>IFERROR(VLOOKUP($E43,設定!$C:$G,5,0),"")</f>
        <v/>
      </c>
      <c r="J43" s="104"/>
    </row>
    <row r="44" spans="2:10" s="3" customFormat="1" ht="24" customHeight="1" x14ac:dyDescent="0.2">
      <c r="B44" s="74"/>
      <c r="C44" s="75"/>
      <c r="D44" s="76"/>
      <c r="E44" s="77"/>
      <c r="F44" s="78" t="str">
        <f>IFERROR(VLOOKUP($E44,設定!$C:$G,2,0),"")</f>
        <v/>
      </c>
      <c r="G44" s="78" t="str">
        <f>IFERROR(VLOOKUP($E44,設定!$C:$G,3,0),"")</f>
        <v/>
      </c>
      <c r="H44" s="78" t="str">
        <f>IFERROR(VLOOKUP($E44,設定!$C:$G,4,0),"")</f>
        <v/>
      </c>
      <c r="I44" s="78" t="str">
        <f>IFERROR(VLOOKUP($E44,設定!$C:$G,5,0),"")</f>
        <v/>
      </c>
      <c r="J44" s="104"/>
    </row>
    <row r="45" spans="2:10" s="3" customFormat="1" ht="24" customHeight="1" x14ac:dyDescent="0.2">
      <c r="B45" s="74"/>
      <c r="C45" s="75"/>
      <c r="D45" s="76"/>
      <c r="E45" s="77"/>
      <c r="F45" s="78" t="str">
        <f>IFERROR(VLOOKUP($E45,設定!$C:$G,2,0),"")</f>
        <v/>
      </c>
      <c r="G45" s="78" t="str">
        <f>IFERROR(VLOOKUP($E45,設定!$C:$G,3,0),"")</f>
        <v/>
      </c>
      <c r="H45" s="78" t="str">
        <f>IFERROR(VLOOKUP($E45,設定!$C:$G,4,0),"")</f>
        <v/>
      </c>
      <c r="I45" s="78" t="str">
        <f>IFERROR(VLOOKUP($E45,設定!$C:$G,5,0),"")</f>
        <v/>
      </c>
      <c r="J45" s="104"/>
    </row>
    <row r="46" spans="2:10" s="3" customFormat="1" ht="24" customHeight="1" x14ac:dyDescent="0.2">
      <c r="B46" s="74"/>
      <c r="C46" s="75"/>
      <c r="D46" s="76"/>
      <c r="E46" s="77"/>
      <c r="F46" s="78" t="str">
        <f>IFERROR(VLOOKUP($E46,設定!$C:$G,2,0),"")</f>
        <v/>
      </c>
      <c r="G46" s="78" t="str">
        <f>IFERROR(VLOOKUP($E46,設定!$C:$G,3,0),"")</f>
        <v/>
      </c>
      <c r="H46" s="78" t="str">
        <f>IFERROR(VLOOKUP($E46,設定!$C:$G,4,0),"")</f>
        <v/>
      </c>
      <c r="I46" s="78" t="str">
        <f>IFERROR(VLOOKUP($E46,設定!$C:$G,5,0),"")</f>
        <v/>
      </c>
      <c r="J46" s="104"/>
    </row>
    <row r="47" spans="2:10" s="3" customFormat="1" ht="24" customHeight="1" x14ac:dyDescent="0.2">
      <c r="B47" s="74"/>
      <c r="C47" s="75"/>
      <c r="D47" s="76"/>
      <c r="E47" s="77"/>
      <c r="F47" s="78" t="str">
        <f>IFERROR(VLOOKUP($E47,設定!$C:$G,2,0),"")</f>
        <v/>
      </c>
      <c r="G47" s="78" t="str">
        <f>IFERROR(VLOOKUP($E47,設定!$C:$G,3,0),"")</f>
        <v/>
      </c>
      <c r="H47" s="78" t="str">
        <f>IFERROR(VLOOKUP($E47,設定!$C:$G,4,0),"")</f>
        <v/>
      </c>
      <c r="I47" s="78" t="str">
        <f>IFERROR(VLOOKUP($E47,設定!$C:$G,5,0),"")</f>
        <v/>
      </c>
      <c r="J47" s="104"/>
    </row>
    <row r="48" spans="2:10" s="3" customFormat="1" ht="24" customHeight="1" x14ac:dyDescent="0.2">
      <c r="B48" s="74"/>
      <c r="C48" s="75"/>
      <c r="D48" s="76"/>
      <c r="E48" s="77"/>
      <c r="F48" s="78" t="str">
        <f>IFERROR(VLOOKUP($E48,設定!$C:$G,2,0),"")</f>
        <v/>
      </c>
      <c r="G48" s="78" t="str">
        <f>IFERROR(VLOOKUP($E48,設定!$C:$G,3,0),"")</f>
        <v/>
      </c>
      <c r="H48" s="78" t="str">
        <f>IFERROR(VLOOKUP($E48,設定!$C:$G,4,0),"")</f>
        <v/>
      </c>
      <c r="I48" s="78" t="str">
        <f>IFERROR(VLOOKUP($E48,設定!$C:$G,5,0),"")</f>
        <v/>
      </c>
      <c r="J48" s="104"/>
    </row>
    <row r="49" spans="2:10" s="3" customFormat="1" ht="24" customHeight="1" x14ac:dyDescent="0.2">
      <c r="B49" s="74"/>
      <c r="C49" s="75"/>
      <c r="D49" s="76"/>
      <c r="E49" s="77"/>
      <c r="F49" s="78" t="str">
        <f>IFERROR(VLOOKUP($E49,設定!$C:$G,2,0),"")</f>
        <v/>
      </c>
      <c r="G49" s="78" t="str">
        <f>IFERROR(VLOOKUP($E49,設定!$C:$G,3,0),"")</f>
        <v/>
      </c>
      <c r="H49" s="78" t="str">
        <f>IFERROR(VLOOKUP($E49,設定!$C:$G,4,0),"")</f>
        <v/>
      </c>
      <c r="I49" s="78" t="str">
        <f>IFERROR(VLOOKUP($E49,設定!$C:$G,5,0),"")</f>
        <v/>
      </c>
      <c r="J49" s="104"/>
    </row>
    <row r="50" spans="2:10" s="3" customFormat="1" ht="24" customHeight="1" x14ac:dyDescent="0.2">
      <c r="B50" s="74"/>
      <c r="C50" s="75"/>
      <c r="D50" s="76"/>
      <c r="E50" s="77"/>
      <c r="F50" s="78" t="str">
        <f>IFERROR(VLOOKUP($E50,設定!$C:$G,2,0),"")</f>
        <v/>
      </c>
      <c r="G50" s="78" t="str">
        <f>IFERROR(VLOOKUP($E50,設定!$C:$G,3,0),"")</f>
        <v/>
      </c>
      <c r="H50" s="78" t="str">
        <f>IFERROR(VLOOKUP($E50,設定!$C:$G,4,0),"")</f>
        <v/>
      </c>
      <c r="I50" s="78" t="str">
        <f>IFERROR(VLOOKUP($E50,設定!$C:$G,5,0),"")</f>
        <v/>
      </c>
      <c r="J50" s="104"/>
    </row>
    <row r="51" spans="2:10" s="3" customFormat="1" ht="24" customHeight="1" x14ac:dyDescent="0.2">
      <c r="B51" s="74"/>
      <c r="C51" s="75"/>
      <c r="D51" s="76"/>
      <c r="E51" s="77"/>
      <c r="F51" s="78" t="str">
        <f>IFERROR(VLOOKUP($E51,設定!$C:$G,2,0),"")</f>
        <v/>
      </c>
      <c r="G51" s="78" t="str">
        <f>IFERROR(VLOOKUP($E51,設定!$C:$G,3,0),"")</f>
        <v/>
      </c>
      <c r="H51" s="78" t="str">
        <f>IFERROR(VLOOKUP($E51,設定!$C:$G,4,0),"")</f>
        <v/>
      </c>
      <c r="I51" s="78" t="str">
        <f>IFERROR(VLOOKUP($E51,設定!$C:$G,5,0),"")</f>
        <v/>
      </c>
      <c r="J51" s="104"/>
    </row>
    <row r="52" spans="2:10" s="3" customFormat="1" ht="24" customHeight="1" x14ac:dyDescent="0.2">
      <c r="B52" s="74"/>
      <c r="C52" s="75"/>
      <c r="D52" s="76"/>
      <c r="E52" s="77"/>
      <c r="F52" s="78" t="str">
        <f>IFERROR(VLOOKUP($E52,設定!$C:$G,2,0),"")</f>
        <v/>
      </c>
      <c r="G52" s="78" t="str">
        <f>IFERROR(VLOOKUP($E52,設定!$C:$G,3,0),"")</f>
        <v/>
      </c>
      <c r="H52" s="78" t="str">
        <f>IFERROR(VLOOKUP($E52,設定!$C:$G,4,0),"")</f>
        <v/>
      </c>
      <c r="I52" s="78" t="str">
        <f>IFERROR(VLOOKUP($E52,設定!$C:$G,5,0),"")</f>
        <v/>
      </c>
      <c r="J52" s="104"/>
    </row>
    <row r="53" spans="2:10" s="3" customFormat="1" ht="24" customHeight="1" x14ac:dyDescent="0.2">
      <c r="B53" s="74"/>
      <c r="C53" s="75"/>
      <c r="D53" s="76"/>
      <c r="E53" s="77"/>
      <c r="F53" s="78" t="str">
        <f>IFERROR(VLOOKUP($E53,設定!$C:$G,2,0),"")</f>
        <v/>
      </c>
      <c r="G53" s="78" t="str">
        <f>IFERROR(VLOOKUP($E53,設定!$C:$G,3,0),"")</f>
        <v/>
      </c>
      <c r="H53" s="78" t="str">
        <f>IFERROR(VLOOKUP($E53,設定!$C:$G,4,0),"")</f>
        <v/>
      </c>
      <c r="I53" s="78" t="str">
        <f>IFERROR(VLOOKUP($E53,設定!$C:$G,5,0),"")</f>
        <v/>
      </c>
      <c r="J53" s="104"/>
    </row>
    <row r="54" spans="2:10" s="3" customFormat="1" ht="24" customHeight="1" x14ac:dyDescent="0.2">
      <c r="B54" s="74"/>
      <c r="C54" s="75"/>
      <c r="D54" s="76"/>
      <c r="E54" s="77"/>
      <c r="F54" s="78" t="str">
        <f>IFERROR(VLOOKUP($E54,設定!$C:$G,2,0),"")</f>
        <v/>
      </c>
      <c r="G54" s="78" t="str">
        <f>IFERROR(VLOOKUP($E54,設定!$C:$G,3,0),"")</f>
        <v/>
      </c>
      <c r="H54" s="78" t="str">
        <f>IFERROR(VLOOKUP($E54,設定!$C:$G,4,0),"")</f>
        <v/>
      </c>
      <c r="I54" s="78" t="str">
        <f>IFERROR(VLOOKUP($E54,設定!$C:$G,5,0),"")</f>
        <v/>
      </c>
      <c r="J54" s="104"/>
    </row>
    <row r="55" spans="2:10" s="3" customFormat="1" ht="24" customHeight="1" x14ac:dyDescent="0.2">
      <c r="B55" s="74"/>
      <c r="C55" s="75"/>
      <c r="D55" s="76"/>
      <c r="E55" s="77"/>
      <c r="F55" s="78" t="str">
        <f>IFERROR(VLOOKUP($E55,設定!$C:$G,2,0),"")</f>
        <v/>
      </c>
      <c r="G55" s="78" t="str">
        <f>IFERROR(VLOOKUP($E55,設定!$C:$G,3,0),"")</f>
        <v/>
      </c>
      <c r="H55" s="78" t="str">
        <f>IFERROR(VLOOKUP($E55,設定!$C:$G,4,0),"")</f>
        <v/>
      </c>
      <c r="I55" s="78" t="str">
        <f>IFERROR(VLOOKUP($E55,設定!$C:$G,5,0),"")</f>
        <v/>
      </c>
      <c r="J55" s="104"/>
    </row>
    <row r="56" spans="2:10" s="3" customFormat="1" ht="24" customHeight="1" x14ac:dyDescent="0.2">
      <c r="B56" s="74"/>
      <c r="C56" s="75"/>
      <c r="D56" s="76"/>
      <c r="E56" s="77"/>
      <c r="F56" s="78" t="str">
        <f>IFERROR(VLOOKUP($E56,設定!$C:$G,2,0),"")</f>
        <v/>
      </c>
      <c r="G56" s="78" t="str">
        <f>IFERROR(VLOOKUP($E56,設定!$C:$G,3,0),"")</f>
        <v/>
      </c>
      <c r="H56" s="78" t="str">
        <f>IFERROR(VLOOKUP($E56,設定!$C:$G,4,0),"")</f>
        <v/>
      </c>
      <c r="I56" s="78" t="str">
        <f>IFERROR(VLOOKUP($E56,設定!$C:$G,5,0),"")</f>
        <v/>
      </c>
      <c r="J56" s="104"/>
    </row>
    <row r="57" spans="2:10" s="3" customFormat="1" ht="24" customHeight="1" x14ac:dyDescent="0.2">
      <c r="B57" s="74"/>
      <c r="C57" s="75"/>
      <c r="D57" s="76"/>
      <c r="E57" s="77"/>
      <c r="F57" s="78" t="str">
        <f>IFERROR(VLOOKUP($E57,設定!$C:$G,2,0),"")</f>
        <v/>
      </c>
      <c r="G57" s="78" t="str">
        <f>IFERROR(VLOOKUP($E57,設定!$C:$G,3,0),"")</f>
        <v/>
      </c>
      <c r="H57" s="78" t="str">
        <f>IFERROR(VLOOKUP($E57,設定!$C:$G,4,0),"")</f>
        <v/>
      </c>
      <c r="I57" s="78" t="str">
        <f>IFERROR(VLOOKUP($E57,設定!$C:$G,5,0),"")</f>
        <v/>
      </c>
      <c r="J57" s="104"/>
    </row>
    <row r="58" spans="2:10" s="3" customFormat="1" ht="24" customHeight="1" x14ac:dyDescent="0.2">
      <c r="B58" s="74"/>
      <c r="C58" s="75"/>
      <c r="D58" s="76"/>
      <c r="E58" s="77"/>
      <c r="F58" s="78" t="str">
        <f>IFERROR(VLOOKUP($E58,設定!$C:$G,2,0),"")</f>
        <v/>
      </c>
      <c r="G58" s="78" t="str">
        <f>IFERROR(VLOOKUP($E58,設定!$C:$G,3,0),"")</f>
        <v/>
      </c>
      <c r="H58" s="78" t="str">
        <f>IFERROR(VLOOKUP($E58,設定!$C:$G,4,0),"")</f>
        <v/>
      </c>
      <c r="I58" s="78" t="str">
        <f>IFERROR(VLOOKUP($E58,設定!$C:$G,5,0),"")</f>
        <v/>
      </c>
      <c r="J58" s="104"/>
    </row>
    <row r="59" spans="2:10" s="3" customFormat="1" ht="24" customHeight="1" x14ac:dyDescent="0.2">
      <c r="B59" s="74"/>
      <c r="C59" s="75"/>
      <c r="D59" s="76"/>
      <c r="E59" s="77"/>
      <c r="F59" s="78" t="str">
        <f>IFERROR(VLOOKUP($E59,設定!$C:$G,2,0),"")</f>
        <v/>
      </c>
      <c r="G59" s="78" t="str">
        <f>IFERROR(VLOOKUP($E59,設定!$C:$G,3,0),"")</f>
        <v/>
      </c>
      <c r="H59" s="78" t="str">
        <f>IFERROR(VLOOKUP($E59,設定!$C:$G,4,0),"")</f>
        <v/>
      </c>
      <c r="I59" s="78" t="str">
        <f>IFERROR(VLOOKUP($E59,設定!$C:$G,5,0),"")</f>
        <v/>
      </c>
      <c r="J59" s="104"/>
    </row>
    <row r="60" spans="2:10" s="3" customFormat="1" ht="24" customHeight="1" x14ac:dyDescent="0.2">
      <c r="B60" s="74"/>
      <c r="C60" s="75"/>
      <c r="D60" s="76"/>
      <c r="E60" s="77"/>
      <c r="F60" s="78" t="str">
        <f>IFERROR(VLOOKUP($E60,設定!$C:$G,2,0),"")</f>
        <v/>
      </c>
      <c r="G60" s="78" t="str">
        <f>IFERROR(VLOOKUP($E60,設定!$C:$G,3,0),"")</f>
        <v/>
      </c>
      <c r="H60" s="78" t="str">
        <f>IFERROR(VLOOKUP($E60,設定!$C:$G,4,0),"")</f>
        <v/>
      </c>
      <c r="I60" s="78" t="str">
        <f>IFERROR(VLOOKUP($E60,設定!$C:$G,5,0),"")</f>
        <v/>
      </c>
      <c r="J60" s="104"/>
    </row>
    <row r="61" spans="2:10" s="3" customFormat="1" ht="24" customHeight="1" x14ac:dyDescent="0.2">
      <c r="B61" s="74"/>
      <c r="C61" s="75"/>
      <c r="D61" s="76"/>
      <c r="E61" s="77"/>
      <c r="F61" s="78" t="str">
        <f>IFERROR(VLOOKUP($E61,設定!$C:$G,2,0),"")</f>
        <v/>
      </c>
      <c r="G61" s="78" t="str">
        <f>IFERROR(VLOOKUP($E61,設定!$C:$G,3,0),"")</f>
        <v/>
      </c>
      <c r="H61" s="78" t="str">
        <f>IFERROR(VLOOKUP($E61,設定!$C:$G,4,0),"")</f>
        <v/>
      </c>
      <c r="I61" s="78" t="str">
        <f>IFERROR(VLOOKUP($E61,設定!$C:$G,5,0),"")</f>
        <v/>
      </c>
      <c r="J61" s="104"/>
    </row>
    <row r="62" spans="2:10" s="3" customFormat="1" ht="24" customHeight="1" x14ac:dyDescent="0.2">
      <c r="B62" s="74"/>
      <c r="C62" s="75"/>
      <c r="D62" s="76"/>
      <c r="E62" s="77"/>
      <c r="F62" s="78" t="str">
        <f>IFERROR(VLOOKUP($E62,設定!$C:$G,2,0),"")</f>
        <v/>
      </c>
      <c r="G62" s="78" t="str">
        <f>IFERROR(VLOOKUP($E62,設定!$C:$G,3,0),"")</f>
        <v/>
      </c>
      <c r="H62" s="78" t="str">
        <f>IFERROR(VLOOKUP($E62,設定!$C:$G,4,0),"")</f>
        <v/>
      </c>
      <c r="I62" s="78" t="str">
        <f>IFERROR(VLOOKUP($E62,設定!$C:$G,5,0),"")</f>
        <v/>
      </c>
      <c r="J62" s="104"/>
    </row>
    <row r="63" spans="2:10" s="3" customFormat="1" ht="24" customHeight="1" x14ac:dyDescent="0.2">
      <c r="B63" s="74"/>
      <c r="C63" s="75"/>
      <c r="D63" s="76"/>
      <c r="E63" s="77"/>
      <c r="F63" s="78" t="str">
        <f>IFERROR(VLOOKUP($E63,設定!$C:$G,2,0),"")</f>
        <v/>
      </c>
      <c r="G63" s="78" t="str">
        <f>IFERROR(VLOOKUP($E63,設定!$C:$G,3,0),"")</f>
        <v/>
      </c>
      <c r="H63" s="78" t="str">
        <f>IFERROR(VLOOKUP($E63,設定!$C:$G,4,0),"")</f>
        <v/>
      </c>
      <c r="I63" s="78" t="str">
        <f>IFERROR(VLOOKUP($E63,設定!$C:$G,5,0),"")</f>
        <v/>
      </c>
      <c r="J63" s="104"/>
    </row>
    <row r="64" spans="2:10" s="3" customFormat="1" ht="24" customHeight="1" x14ac:dyDescent="0.2">
      <c r="B64" s="74"/>
      <c r="C64" s="75"/>
      <c r="D64" s="76"/>
      <c r="E64" s="77"/>
      <c r="F64" s="78" t="str">
        <f>IFERROR(VLOOKUP($E64,設定!$C:$G,2,0),"")</f>
        <v/>
      </c>
      <c r="G64" s="78" t="str">
        <f>IFERROR(VLOOKUP($E64,設定!$C:$G,3,0),"")</f>
        <v/>
      </c>
      <c r="H64" s="78" t="str">
        <f>IFERROR(VLOOKUP($E64,設定!$C:$G,4,0),"")</f>
        <v/>
      </c>
      <c r="I64" s="78" t="str">
        <f>IFERROR(VLOOKUP($E64,設定!$C:$G,5,0),"")</f>
        <v/>
      </c>
      <c r="J64" s="104"/>
    </row>
    <row r="65" spans="2:10" s="3" customFormat="1" ht="24" customHeight="1" x14ac:dyDescent="0.2">
      <c r="B65" s="74"/>
      <c r="C65" s="75"/>
      <c r="D65" s="76"/>
      <c r="E65" s="77"/>
      <c r="F65" s="78" t="str">
        <f>IFERROR(VLOOKUP($E65,設定!$C:$G,2,0),"")</f>
        <v/>
      </c>
      <c r="G65" s="78" t="str">
        <f>IFERROR(VLOOKUP($E65,設定!$C:$G,3,0),"")</f>
        <v/>
      </c>
      <c r="H65" s="78" t="str">
        <f>IFERROR(VLOOKUP($E65,設定!$C:$G,4,0),"")</f>
        <v/>
      </c>
      <c r="I65" s="78" t="str">
        <f>IFERROR(VLOOKUP($E65,設定!$C:$G,5,0),"")</f>
        <v/>
      </c>
      <c r="J65" s="104"/>
    </row>
    <row r="66" spans="2:10" s="3" customFormat="1" ht="24" customHeight="1" x14ac:dyDescent="0.2">
      <c r="B66" s="74"/>
      <c r="C66" s="75"/>
      <c r="D66" s="76"/>
      <c r="E66" s="77"/>
      <c r="F66" s="78" t="str">
        <f>IFERROR(VLOOKUP($E66,設定!$C:$G,2,0),"")</f>
        <v/>
      </c>
      <c r="G66" s="78" t="str">
        <f>IFERROR(VLOOKUP($E66,設定!$C:$G,3,0),"")</f>
        <v/>
      </c>
      <c r="H66" s="78" t="str">
        <f>IFERROR(VLOOKUP($E66,設定!$C:$G,4,0),"")</f>
        <v/>
      </c>
      <c r="I66" s="78" t="str">
        <f>IFERROR(VLOOKUP($E66,設定!$C:$G,5,0),"")</f>
        <v/>
      </c>
      <c r="J66" s="104"/>
    </row>
    <row r="67" spans="2:10" s="3" customFormat="1" ht="24" customHeight="1" x14ac:dyDescent="0.2">
      <c r="B67" s="74"/>
      <c r="C67" s="75"/>
      <c r="D67" s="76"/>
      <c r="E67" s="77"/>
      <c r="F67" s="78" t="str">
        <f>IFERROR(VLOOKUP($E67,設定!$C:$G,2,0),"")</f>
        <v/>
      </c>
      <c r="G67" s="78" t="str">
        <f>IFERROR(VLOOKUP($E67,設定!$C:$G,3,0),"")</f>
        <v/>
      </c>
      <c r="H67" s="78" t="str">
        <f>IFERROR(VLOOKUP($E67,設定!$C:$G,4,0),"")</f>
        <v/>
      </c>
      <c r="I67" s="78" t="str">
        <f>IFERROR(VLOOKUP($E67,設定!$C:$G,5,0),"")</f>
        <v/>
      </c>
      <c r="J67" s="104"/>
    </row>
    <row r="68" spans="2:10" s="3" customFormat="1" ht="24" customHeight="1" x14ac:dyDescent="0.2">
      <c r="B68" s="74"/>
      <c r="C68" s="75"/>
      <c r="D68" s="76"/>
      <c r="E68" s="77"/>
      <c r="F68" s="78" t="str">
        <f>IFERROR(VLOOKUP($E68,設定!$C:$G,2,0),"")</f>
        <v/>
      </c>
      <c r="G68" s="78" t="str">
        <f>IFERROR(VLOOKUP($E68,設定!$C:$G,3,0),"")</f>
        <v/>
      </c>
      <c r="H68" s="78" t="str">
        <f>IFERROR(VLOOKUP($E68,設定!$C:$G,4,0),"")</f>
        <v/>
      </c>
      <c r="I68" s="78" t="str">
        <f>IFERROR(VLOOKUP($E68,設定!$C:$G,5,0),"")</f>
        <v/>
      </c>
      <c r="J68" s="104"/>
    </row>
    <row r="69" spans="2:10" s="3" customFormat="1" ht="24" customHeight="1" x14ac:dyDescent="0.2">
      <c r="B69" s="74"/>
      <c r="C69" s="75"/>
      <c r="D69" s="76"/>
      <c r="E69" s="77"/>
      <c r="F69" s="78" t="str">
        <f>IFERROR(VLOOKUP($E69,設定!$C:$G,2,0),"")</f>
        <v/>
      </c>
      <c r="G69" s="78" t="str">
        <f>IFERROR(VLOOKUP($E69,設定!$C:$G,3,0),"")</f>
        <v/>
      </c>
      <c r="H69" s="78" t="str">
        <f>IFERROR(VLOOKUP($E69,設定!$C:$G,4,0),"")</f>
        <v/>
      </c>
      <c r="I69" s="78" t="str">
        <f>IFERROR(VLOOKUP($E69,設定!$C:$G,5,0),"")</f>
        <v/>
      </c>
      <c r="J69" s="104"/>
    </row>
    <row r="70" spans="2:10" s="3" customFormat="1" ht="24" customHeight="1" x14ac:dyDescent="0.2">
      <c r="B70" s="74"/>
      <c r="C70" s="75"/>
      <c r="D70" s="76"/>
      <c r="E70" s="77"/>
      <c r="F70" s="78" t="str">
        <f>IFERROR(VLOOKUP($E70,設定!$C:$G,2,0),"")</f>
        <v/>
      </c>
      <c r="G70" s="78" t="str">
        <f>IFERROR(VLOOKUP($E70,設定!$C:$G,3,0),"")</f>
        <v/>
      </c>
      <c r="H70" s="78" t="str">
        <f>IFERROR(VLOOKUP($E70,設定!$C:$G,4,0),"")</f>
        <v/>
      </c>
      <c r="I70" s="78" t="str">
        <f>IFERROR(VLOOKUP($E70,設定!$C:$G,5,0),"")</f>
        <v/>
      </c>
      <c r="J70" s="104"/>
    </row>
    <row r="71" spans="2:10" s="3" customFormat="1" ht="24" customHeight="1" x14ac:dyDescent="0.2">
      <c r="B71" s="74"/>
      <c r="C71" s="75"/>
      <c r="D71" s="76"/>
      <c r="E71" s="77"/>
      <c r="F71" s="78" t="str">
        <f>IFERROR(VLOOKUP($E71,設定!$C:$G,2,0),"")</f>
        <v/>
      </c>
      <c r="G71" s="78" t="str">
        <f>IFERROR(VLOOKUP($E71,設定!$C:$G,3,0),"")</f>
        <v/>
      </c>
      <c r="H71" s="78" t="str">
        <f>IFERROR(VLOOKUP($E71,設定!$C:$G,4,0),"")</f>
        <v/>
      </c>
      <c r="I71" s="78" t="str">
        <f>IFERROR(VLOOKUP($E71,設定!$C:$G,5,0),"")</f>
        <v/>
      </c>
      <c r="J71" s="104"/>
    </row>
    <row r="72" spans="2:10" s="3" customFormat="1" ht="24" customHeight="1" x14ac:dyDescent="0.2">
      <c r="B72" s="74"/>
      <c r="C72" s="75"/>
      <c r="D72" s="76"/>
      <c r="E72" s="77"/>
      <c r="F72" s="78" t="str">
        <f>IFERROR(VLOOKUP($E72,設定!$C:$G,2,0),"")</f>
        <v/>
      </c>
      <c r="G72" s="78" t="str">
        <f>IFERROR(VLOOKUP($E72,設定!$C:$G,3,0),"")</f>
        <v/>
      </c>
      <c r="H72" s="78" t="str">
        <f>IFERROR(VLOOKUP($E72,設定!$C:$G,4,0),"")</f>
        <v/>
      </c>
      <c r="I72" s="78" t="str">
        <f>IFERROR(VLOOKUP($E72,設定!$C:$G,5,0),"")</f>
        <v/>
      </c>
      <c r="J72" s="104"/>
    </row>
    <row r="73" spans="2:10" s="3" customFormat="1" ht="24" customHeight="1" x14ac:dyDescent="0.2">
      <c r="B73" s="74"/>
      <c r="C73" s="75"/>
      <c r="D73" s="76"/>
      <c r="E73" s="77"/>
      <c r="F73" s="78" t="str">
        <f>IFERROR(VLOOKUP($E73,設定!$C:$G,2,0),"")</f>
        <v/>
      </c>
      <c r="G73" s="78" t="str">
        <f>IFERROR(VLOOKUP($E73,設定!$C:$G,3,0),"")</f>
        <v/>
      </c>
      <c r="H73" s="78" t="str">
        <f>IFERROR(VLOOKUP($E73,設定!$C:$G,4,0),"")</f>
        <v/>
      </c>
      <c r="I73" s="78" t="str">
        <f>IFERROR(VLOOKUP($E73,設定!$C:$G,5,0),"")</f>
        <v/>
      </c>
      <c r="J73" s="104"/>
    </row>
    <row r="74" spans="2:10" s="3" customFormat="1" ht="24" customHeight="1" x14ac:dyDescent="0.2">
      <c r="B74" s="74"/>
      <c r="C74" s="75"/>
      <c r="D74" s="76"/>
      <c r="E74" s="77"/>
      <c r="F74" s="78" t="str">
        <f>IFERROR(VLOOKUP($E74,設定!$C:$G,2,0),"")</f>
        <v/>
      </c>
      <c r="G74" s="78" t="str">
        <f>IFERROR(VLOOKUP($E74,設定!$C:$G,3,0),"")</f>
        <v/>
      </c>
      <c r="H74" s="78" t="str">
        <f>IFERROR(VLOOKUP($E74,設定!$C:$G,4,0),"")</f>
        <v/>
      </c>
      <c r="I74" s="78" t="str">
        <f>IFERROR(VLOOKUP($E74,設定!$C:$G,5,0),"")</f>
        <v/>
      </c>
      <c r="J74" s="104"/>
    </row>
    <row r="75" spans="2:10" s="3" customFormat="1" ht="24" customHeight="1" x14ac:dyDescent="0.2">
      <c r="B75" s="74"/>
      <c r="C75" s="75"/>
      <c r="D75" s="76"/>
      <c r="E75" s="77"/>
      <c r="F75" s="78" t="str">
        <f>IFERROR(VLOOKUP($E75,設定!$C:$G,2,0),"")</f>
        <v/>
      </c>
      <c r="G75" s="78" t="str">
        <f>IFERROR(VLOOKUP($E75,設定!$C:$G,3,0),"")</f>
        <v/>
      </c>
      <c r="H75" s="78" t="str">
        <f>IFERROR(VLOOKUP($E75,設定!$C:$G,4,0),"")</f>
        <v/>
      </c>
      <c r="I75" s="78" t="str">
        <f>IFERROR(VLOOKUP($E75,設定!$C:$G,5,0),"")</f>
        <v/>
      </c>
      <c r="J75" s="104"/>
    </row>
    <row r="76" spans="2:10" s="3" customFormat="1" ht="24" customHeight="1" x14ac:dyDescent="0.2">
      <c r="B76" s="74"/>
      <c r="C76" s="75"/>
      <c r="D76" s="76"/>
      <c r="E76" s="77"/>
      <c r="F76" s="78" t="str">
        <f>IFERROR(VLOOKUP($E76,設定!$C:$G,2,0),"")</f>
        <v/>
      </c>
      <c r="G76" s="78" t="str">
        <f>IFERROR(VLOOKUP($E76,設定!$C:$G,3,0),"")</f>
        <v/>
      </c>
      <c r="H76" s="78" t="str">
        <f>IFERROR(VLOOKUP($E76,設定!$C:$G,4,0),"")</f>
        <v/>
      </c>
      <c r="I76" s="78" t="str">
        <f>IFERROR(VLOOKUP($E76,設定!$C:$G,5,0),"")</f>
        <v/>
      </c>
      <c r="J76" s="104"/>
    </row>
    <row r="77" spans="2:10" s="3" customFormat="1" ht="24" customHeight="1" x14ac:dyDescent="0.2">
      <c r="B77" s="74"/>
      <c r="C77" s="75"/>
      <c r="D77" s="76"/>
      <c r="E77" s="77"/>
      <c r="F77" s="78" t="str">
        <f>IFERROR(VLOOKUP($E77,設定!$C:$G,2,0),"")</f>
        <v/>
      </c>
      <c r="G77" s="78" t="str">
        <f>IFERROR(VLOOKUP($E77,設定!$C:$G,3,0),"")</f>
        <v/>
      </c>
      <c r="H77" s="78" t="str">
        <f>IFERROR(VLOOKUP($E77,設定!$C:$G,4,0),"")</f>
        <v/>
      </c>
      <c r="I77" s="78" t="str">
        <f>IFERROR(VLOOKUP($E77,設定!$C:$G,5,0),"")</f>
        <v/>
      </c>
      <c r="J77" s="104"/>
    </row>
    <row r="78" spans="2:10" s="3" customFormat="1" ht="24" customHeight="1" x14ac:dyDescent="0.2">
      <c r="B78" s="74"/>
      <c r="C78" s="75"/>
      <c r="D78" s="76"/>
      <c r="E78" s="77"/>
      <c r="F78" s="78" t="str">
        <f>IFERROR(VLOOKUP($E78,設定!$C:$G,2,0),"")</f>
        <v/>
      </c>
      <c r="G78" s="78" t="str">
        <f>IFERROR(VLOOKUP($E78,設定!$C:$G,3,0),"")</f>
        <v/>
      </c>
      <c r="H78" s="78" t="str">
        <f>IFERROR(VLOOKUP($E78,設定!$C:$G,4,0),"")</f>
        <v/>
      </c>
      <c r="I78" s="78" t="str">
        <f>IFERROR(VLOOKUP($E78,設定!$C:$G,5,0),"")</f>
        <v/>
      </c>
      <c r="J78" s="104"/>
    </row>
    <row r="79" spans="2:10" s="3" customFormat="1" ht="24" customHeight="1" x14ac:dyDescent="0.2">
      <c r="B79" s="74"/>
      <c r="C79" s="75"/>
      <c r="D79" s="76"/>
      <c r="E79" s="77"/>
      <c r="F79" s="78" t="str">
        <f>IFERROR(VLOOKUP($E79,設定!$C:$G,2,0),"")</f>
        <v/>
      </c>
      <c r="G79" s="78" t="str">
        <f>IFERROR(VLOOKUP($E79,設定!$C:$G,3,0),"")</f>
        <v/>
      </c>
      <c r="H79" s="78" t="str">
        <f>IFERROR(VLOOKUP($E79,設定!$C:$G,4,0),"")</f>
        <v/>
      </c>
      <c r="I79" s="78" t="str">
        <f>IFERROR(VLOOKUP($E79,設定!$C:$G,5,0),"")</f>
        <v/>
      </c>
      <c r="J79" s="104"/>
    </row>
    <row r="80" spans="2:10" s="3" customFormat="1" ht="24" customHeight="1" x14ac:dyDescent="0.2">
      <c r="B80" s="74"/>
      <c r="C80" s="75"/>
      <c r="D80" s="76"/>
      <c r="E80" s="77"/>
      <c r="F80" s="78" t="str">
        <f>IFERROR(VLOOKUP($E80,設定!$C:$G,2,0),"")</f>
        <v/>
      </c>
      <c r="G80" s="78" t="str">
        <f>IFERROR(VLOOKUP($E80,設定!$C:$G,3,0),"")</f>
        <v/>
      </c>
      <c r="H80" s="78" t="str">
        <f>IFERROR(VLOOKUP($E80,設定!$C:$G,4,0),"")</f>
        <v/>
      </c>
      <c r="I80" s="78" t="str">
        <f>IFERROR(VLOOKUP($E80,設定!$C:$G,5,0),"")</f>
        <v/>
      </c>
      <c r="J80" s="104"/>
    </row>
    <row r="81" spans="2:10" s="3" customFormat="1" ht="24" customHeight="1" x14ac:dyDescent="0.2">
      <c r="B81" s="74"/>
      <c r="C81" s="75"/>
      <c r="D81" s="76"/>
      <c r="E81" s="77"/>
      <c r="F81" s="78" t="str">
        <f>IFERROR(VLOOKUP($E81,設定!$C:$G,2,0),"")</f>
        <v/>
      </c>
      <c r="G81" s="78" t="str">
        <f>IFERROR(VLOOKUP($E81,設定!$C:$G,3,0),"")</f>
        <v/>
      </c>
      <c r="H81" s="78" t="str">
        <f>IFERROR(VLOOKUP($E81,設定!$C:$G,4,0),"")</f>
        <v/>
      </c>
      <c r="I81" s="78" t="str">
        <f>IFERROR(VLOOKUP($E81,設定!$C:$G,5,0),"")</f>
        <v/>
      </c>
      <c r="J81" s="104"/>
    </row>
    <row r="82" spans="2:10" s="3" customFormat="1" ht="24" customHeight="1" x14ac:dyDescent="0.2">
      <c r="B82" s="74"/>
      <c r="C82" s="75"/>
      <c r="D82" s="76"/>
      <c r="E82" s="77"/>
      <c r="F82" s="78" t="str">
        <f>IFERROR(VLOOKUP($E82,設定!$C:$G,2,0),"")</f>
        <v/>
      </c>
      <c r="G82" s="78" t="str">
        <f>IFERROR(VLOOKUP($E82,設定!$C:$G,3,0),"")</f>
        <v/>
      </c>
      <c r="H82" s="78" t="str">
        <f>IFERROR(VLOOKUP($E82,設定!$C:$G,4,0),"")</f>
        <v/>
      </c>
      <c r="I82" s="78" t="str">
        <f>IFERROR(VLOOKUP($E82,設定!$C:$G,5,0),"")</f>
        <v/>
      </c>
      <c r="J82" s="104"/>
    </row>
    <row r="83" spans="2:10" s="3" customFormat="1" ht="24" customHeight="1" x14ac:dyDescent="0.2">
      <c r="B83" s="74"/>
      <c r="C83" s="75"/>
      <c r="D83" s="76"/>
      <c r="E83" s="77"/>
      <c r="F83" s="78" t="str">
        <f>IFERROR(VLOOKUP($E83,設定!$C:$G,2,0),"")</f>
        <v/>
      </c>
      <c r="G83" s="78" t="str">
        <f>IFERROR(VLOOKUP($E83,設定!$C:$G,3,0),"")</f>
        <v/>
      </c>
      <c r="H83" s="78" t="str">
        <f>IFERROR(VLOOKUP($E83,設定!$C:$G,4,0),"")</f>
        <v/>
      </c>
      <c r="I83" s="78" t="str">
        <f>IFERROR(VLOOKUP($E83,設定!$C:$G,5,0),"")</f>
        <v/>
      </c>
      <c r="J83" s="104"/>
    </row>
    <row r="84" spans="2:10" s="3" customFormat="1" ht="24" customHeight="1" x14ac:dyDescent="0.2">
      <c r="B84" s="74"/>
      <c r="C84" s="75"/>
      <c r="D84" s="76"/>
      <c r="E84" s="77"/>
      <c r="F84" s="78" t="str">
        <f>IFERROR(VLOOKUP($E84,設定!$C:$G,2,0),"")</f>
        <v/>
      </c>
      <c r="G84" s="78" t="str">
        <f>IFERROR(VLOOKUP($E84,設定!$C:$G,3,0),"")</f>
        <v/>
      </c>
      <c r="H84" s="78" t="str">
        <f>IFERROR(VLOOKUP($E84,設定!$C:$G,4,0),"")</f>
        <v/>
      </c>
      <c r="I84" s="78" t="str">
        <f>IFERROR(VLOOKUP($E84,設定!$C:$G,5,0),"")</f>
        <v/>
      </c>
      <c r="J84" s="104"/>
    </row>
    <row r="85" spans="2:10" s="3" customFormat="1" ht="24" customHeight="1" x14ac:dyDescent="0.2">
      <c r="B85" s="74"/>
      <c r="C85" s="75"/>
      <c r="D85" s="76"/>
      <c r="E85" s="77"/>
      <c r="F85" s="78" t="str">
        <f>IFERROR(VLOOKUP($E85,設定!$C:$G,2,0),"")</f>
        <v/>
      </c>
      <c r="G85" s="78" t="str">
        <f>IFERROR(VLOOKUP($E85,設定!$C:$G,3,0),"")</f>
        <v/>
      </c>
      <c r="H85" s="78" t="str">
        <f>IFERROR(VLOOKUP($E85,設定!$C:$G,4,0),"")</f>
        <v/>
      </c>
      <c r="I85" s="78" t="str">
        <f>IFERROR(VLOOKUP($E85,設定!$C:$G,5,0),"")</f>
        <v/>
      </c>
      <c r="J85" s="104"/>
    </row>
    <row r="86" spans="2:10" s="3" customFormat="1" ht="24" customHeight="1" x14ac:dyDescent="0.2">
      <c r="B86" s="74"/>
      <c r="C86" s="75"/>
      <c r="D86" s="76"/>
      <c r="E86" s="77"/>
      <c r="F86" s="78" t="str">
        <f>IFERROR(VLOOKUP($E86,設定!$C:$G,2,0),"")</f>
        <v/>
      </c>
      <c r="G86" s="78" t="str">
        <f>IFERROR(VLOOKUP($E86,設定!$C:$G,3,0),"")</f>
        <v/>
      </c>
      <c r="H86" s="78" t="str">
        <f>IFERROR(VLOOKUP($E86,設定!$C:$G,4,0),"")</f>
        <v/>
      </c>
      <c r="I86" s="78" t="str">
        <f>IFERROR(VLOOKUP($E86,設定!$C:$G,5,0),"")</f>
        <v/>
      </c>
      <c r="J86" s="104"/>
    </row>
    <row r="87" spans="2:10" s="3" customFormat="1" ht="24" customHeight="1" x14ac:dyDescent="0.2">
      <c r="B87" s="74"/>
      <c r="C87" s="75"/>
      <c r="D87" s="76"/>
      <c r="E87" s="77"/>
      <c r="F87" s="78" t="str">
        <f>IFERROR(VLOOKUP($E87,設定!$C:$G,2,0),"")</f>
        <v/>
      </c>
      <c r="G87" s="78" t="str">
        <f>IFERROR(VLOOKUP($E87,設定!$C:$G,3,0),"")</f>
        <v/>
      </c>
      <c r="H87" s="78" t="str">
        <f>IFERROR(VLOOKUP($E87,設定!$C:$G,4,0),"")</f>
        <v/>
      </c>
      <c r="I87" s="78" t="str">
        <f>IFERROR(VLOOKUP($E87,設定!$C:$G,5,0),"")</f>
        <v/>
      </c>
      <c r="J87" s="104"/>
    </row>
    <row r="88" spans="2:10" s="3" customFormat="1" ht="24" customHeight="1" x14ac:dyDescent="0.2">
      <c r="B88" s="74"/>
      <c r="C88" s="75"/>
      <c r="D88" s="76"/>
      <c r="E88" s="77"/>
      <c r="F88" s="78" t="str">
        <f>IFERROR(VLOOKUP($E88,設定!$C:$G,2,0),"")</f>
        <v/>
      </c>
      <c r="G88" s="78" t="str">
        <f>IFERROR(VLOOKUP($E88,設定!$C:$G,3,0),"")</f>
        <v/>
      </c>
      <c r="H88" s="78" t="str">
        <f>IFERROR(VLOOKUP($E88,設定!$C:$G,4,0),"")</f>
        <v/>
      </c>
      <c r="I88" s="78" t="str">
        <f>IFERROR(VLOOKUP($E88,設定!$C:$G,5,0),"")</f>
        <v/>
      </c>
      <c r="J88" s="104"/>
    </row>
    <row r="89" spans="2:10" s="3" customFormat="1" ht="24" customHeight="1" x14ac:dyDescent="0.2">
      <c r="B89" s="74"/>
      <c r="C89" s="75"/>
      <c r="D89" s="76"/>
      <c r="E89" s="77"/>
      <c r="F89" s="78" t="str">
        <f>IFERROR(VLOOKUP($E89,設定!$C:$G,2,0),"")</f>
        <v/>
      </c>
      <c r="G89" s="78" t="str">
        <f>IFERROR(VLOOKUP($E89,設定!$C:$G,3,0),"")</f>
        <v/>
      </c>
      <c r="H89" s="78" t="str">
        <f>IFERROR(VLOOKUP($E89,設定!$C:$G,4,0),"")</f>
        <v/>
      </c>
      <c r="I89" s="78" t="str">
        <f>IFERROR(VLOOKUP($E89,設定!$C:$G,5,0),"")</f>
        <v/>
      </c>
      <c r="J89" s="104"/>
    </row>
    <row r="90" spans="2:10" s="3" customFormat="1" ht="24" customHeight="1" x14ac:dyDescent="0.2">
      <c r="B90" s="74"/>
      <c r="C90" s="75"/>
      <c r="D90" s="76"/>
      <c r="E90" s="77"/>
      <c r="F90" s="78" t="str">
        <f>IFERROR(VLOOKUP($E90,設定!$C:$G,2,0),"")</f>
        <v/>
      </c>
      <c r="G90" s="78" t="str">
        <f>IFERROR(VLOOKUP($E90,設定!$C:$G,3,0),"")</f>
        <v/>
      </c>
      <c r="H90" s="78" t="str">
        <f>IFERROR(VLOOKUP($E90,設定!$C:$G,4,0),"")</f>
        <v/>
      </c>
      <c r="I90" s="78" t="str">
        <f>IFERROR(VLOOKUP($E90,設定!$C:$G,5,0),"")</f>
        <v/>
      </c>
      <c r="J90" s="104"/>
    </row>
    <row r="91" spans="2:10" s="3" customFormat="1" ht="24" customHeight="1" x14ac:dyDescent="0.2">
      <c r="B91" s="74"/>
      <c r="C91" s="75"/>
      <c r="D91" s="76"/>
      <c r="E91" s="77"/>
      <c r="F91" s="78" t="str">
        <f>IFERROR(VLOOKUP($E91,設定!$C:$G,2,0),"")</f>
        <v/>
      </c>
      <c r="G91" s="78" t="str">
        <f>IFERROR(VLOOKUP($E91,設定!$C:$G,3,0),"")</f>
        <v/>
      </c>
      <c r="H91" s="78" t="str">
        <f>IFERROR(VLOOKUP($E91,設定!$C:$G,4,0),"")</f>
        <v/>
      </c>
      <c r="I91" s="78" t="str">
        <f>IFERROR(VLOOKUP($E91,設定!$C:$G,5,0),"")</f>
        <v/>
      </c>
      <c r="J91" s="104"/>
    </row>
    <row r="92" spans="2:10" s="3" customFormat="1" ht="24" customHeight="1" x14ac:dyDescent="0.2">
      <c r="B92" s="74"/>
      <c r="C92" s="75"/>
      <c r="D92" s="76"/>
      <c r="E92" s="77"/>
      <c r="F92" s="78" t="str">
        <f>IFERROR(VLOOKUP($E92,設定!$C:$G,2,0),"")</f>
        <v/>
      </c>
      <c r="G92" s="78" t="str">
        <f>IFERROR(VLOOKUP($E92,設定!$C:$G,3,0),"")</f>
        <v/>
      </c>
      <c r="H92" s="78" t="str">
        <f>IFERROR(VLOOKUP($E92,設定!$C:$G,4,0),"")</f>
        <v/>
      </c>
      <c r="I92" s="78" t="str">
        <f>IFERROR(VLOOKUP($E92,設定!$C:$G,5,0),"")</f>
        <v/>
      </c>
      <c r="J92" s="104"/>
    </row>
    <row r="93" spans="2:10" s="3" customFormat="1" ht="24" customHeight="1" x14ac:dyDescent="0.2">
      <c r="B93" s="74"/>
      <c r="C93" s="75"/>
      <c r="D93" s="76"/>
      <c r="E93" s="77"/>
      <c r="F93" s="78" t="str">
        <f>IFERROR(VLOOKUP($E93,設定!$C:$G,2,0),"")</f>
        <v/>
      </c>
      <c r="G93" s="78" t="str">
        <f>IFERROR(VLOOKUP($E93,設定!$C:$G,3,0),"")</f>
        <v/>
      </c>
      <c r="H93" s="78" t="str">
        <f>IFERROR(VLOOKUP($E93,設定!$C:$G,4,0),"")</f>
        <v/>
      </c>
      <c r="I93" s="78" t="str">
        <f>IFERROR(VLOOKUP($E93,設定!$C:$G,5,0),"")</f>
        <v/>
      </c>
      <c r="J93" s="104"/>
    </row>
    <row r="94" spans="2:10" s="3" customFormat="1" ht="24" customHeight="1" x14ac:dyDescent="0.2">
      <c r="B94" s="74"/>
      <c r="C94" s="75"/>
      <c r="D94" s="76"/>
      <c r="E94" s="77"/>
      <c r="F94" s="78" t="str">
        <f>IFERROR(VLOOKUP($E94,設定!$C:$G,2,0),"")</f>
        <v/>
      </c>
      <c r="G94" s="78" t="str">
        <f>IFERROR(VLOOKUP($E94,設定!$C:$G,3,0),"")</f>
        <v/>
      </c>
      <c r="H94" s="78" t="str">
        <f>IFERROR(VLOOKUP($E94,設定!$C:$G,4,0),"")</f>
        <v/>
      </c>
      <c r="I94" s="78" t="str">
        <f>IFERROR(VLOOKUP($E94,設定!$C:$G,5,0),"")</f>
        <v/>
      </c>
      <c r="J94" s="104"/>
    </row>
    <row r="95" spans="2:10" s="3" customFormat="1" ht="24" customHeight="1" x14ac:dyDescent="0.2">
      <c r="B95" s="74"/>
      <c r="C95" s="75"/>
      <c r="D95" s="76"/>
      <c r="E95" s="77"/>
      <c r="F95" s="78" t="str">
        <f>IFERROR(VLOOKUP($E95,設定!$C:$G,2,0),"")</f>
        <v/>
      </c>
      <c r="G95" s="78" t="str">
        <f>IFERROR(VLOOKUP($E95,設定!$C:$G,3,0),"")</f>
        <v/>
      </c>
      <c r="H95" s="78" t="str">
        <f>IFERROR(VLOOKUP($E95,設定!$C:$G,4,0),"")</f>
        <v/>
      </c>
      <c r="I95" s="78" t="str">
        <f>IFERROR(VLOOKUP($E95,設定!$C:$G,5,0),"")</f>
        <v/>
      </c>
      <c r="J95" s="104"/>
    </row>
    <row r="96" spans="2:10" s="3" customFormat="1" ht="24" customHeight="1" x14ac:dyDescent="0.2">
      <c r="B96" s="74"/>
      <c r="C96" s="75"/>
      <c r="D96" s="76"/>
      <c r="E96" s="77"/>
      <c r="F96" s="78" t="str">
        <f>IFERROR(VLOOKUP($E96,設定!$C:$G,2,0),"")</f>
        <v/>
      </c>
      <c r="G96" s="78" t="str">
        <f>IFERROR(VLOOKUP($E96,設定!$C:$G,3,0),"")</f>
        <v/>
      </c>
      <c r="H96" s="78" t="str">
        <f>IFERROR(VLOOKUP($E96,設定!$C:$G,4,0),"")</f>
        <v/>
      </c>
      <c r="I96" s="78" t="str">
        <f>IFERROR(VLOOKUP($E96,設定!$C:$G,5,0),"")</f>
        <v/>
      </c>
      <c r="J96" s="104"/>
    </row>
    <row r="97" spans="2:10" s="3" customFormat="1" ht="24" customHeight="1" x14ac:dyDescent="0.2">
      <c r="B97" s="74"/>
      <c r="C97" s="75"/>
      <c r="D97" s="76"/>
      <c r="E97" s="77"/>
      <c r="F97" s="78" t="str">
        <f>IFERROR(VLOOKUP($E97,設定!$C:$G,2,0),"")</f>
        <v/>
      </c>
      <c r="G97" s="78" t="str">
        <f>IFERROR(VLOOKUP($E97,設定!$C:$G,3,0),"")</f>
        <v/>
      </c>
      <c r="H97" s="78" t="str">
        <f>IFERROR(VLOOKUP($E97,設定!$C:$G,4,0),"")</f>
        <v/>
      </c>
      <c r="I97" s="78" t="str">
        <f>IFERROR(VLOOKUP($E97,設定!$C:$G,5,0),"")</f>
        <v/>
      </c>
      <c r="J97" s="104"/>
    </row>
    <row r="98" spans="2:10" s="3" customFormat="1" ht="24" customHeight="1" x14ac:dyDescent="0.2">
      <c r="B98" s="74"/>
      <c r="C98" s="75"/>
      <c r="D98" s="76"/>
      <c r="E98" s="77"/>
      <c r="F98" s="78" t="str">
        <f>IFERROR(VLOOKUP($E98,設定!$C:$G,2,0),"")</f>
        <v/>
      </c>
      <c r="G98" s="78" t="str">
        <f>IFERROR(VLOOKUP($E98,設定!$C:$G,3,0),"")</f>
        <v/>
      </c>
      <c r="H98" s="78" t="str">
        <f>IFERROR(VLOOKUP($E98,設定!$C:$G,4,0),"")</f>
        <v/>
      </c>
      <c r="I98" s="78" t="str">
        <f>IFERROR(VLOOKUP($E98,設定!$C:$G,5,0),"")</f>
        <v/>
      </c>
      <c r="J98" s="104"/>
    </row>
    <row r="99" spans="2:10" s="3" customFormat="1" ht="24" customHeight="1" x14ac:dyDescent="0.2">
      <c r="B99" s="74"/>
      <c r="C99" s="75"/>
      <c r="D99" s="76"/>
      <c r="E99" s="77"/>
      <c r="F99" s="78" t="str">
        <f>IFERROR(VLOOKUP($E99,設定!$C:$G,2,0),"")</f>
        <v/>
      </c>
      <c r="G99" s="78" t="str">
        <f>IFERROR(VLOOKUP($E99,設定!$C:$G,3,0),"")</f>
        <v/>
      </c>
      <c r="H99" s="78" t="str">
        <f>IFERROR(VLOOKUP($E99,設定!$C:$G,4,0),"")</f>
        <v/>
      </c>
      <c r="I99" s="78" t="str">
        <f>IFERROR(VLOOKUP($E99,設定!$C:$G,5,0),"")</f>
        <v/>
      </c>
      <c r="J99" s="104"/>
    </row>
    <row r="100" spans="2:10" s="3" customFormat="1" ht="24" customHeight="1" x14ac:dyDescent="0.2">
      <c r="B100" s="74"/>
      <c r="C100" s="75"/>
      <c r="D100" s="76"/>
      <c r="E100" s="77"/>
      <c r="F100" s="78" t="str">
        <f>IFERROR(VLOOKUP($E100,設定!$C:$G,2,0),"")</f>
        <v/>
      </c>
      <c r="G100" s="78" t="str">
        <f>IFERROR(VLOOKUP($E100,設定!$C:$G,3,0),"")</f>
        <v/>
      </c>
      <c r="H100" s="78" t="str">
        <f>IFERROR(VLOOKUP($E100,設定!$C:$G,4,0),"")</f>
        <v/>
      </c>
      <c r="I100" s="78" t="str">
        <f>IFERROR(VLOOKUP($E100,設定!$C:$G,5,0),"")</f>
        <v/>
      </c>
      <c r="J100" s="104"/>
    </row>
    <row r="101" spans="2:10" s="3" customFormat="1" ht="24" customHeight="1" x14ac:dyDescent="0.2">
      <c r="B101" s="74"/>
      <c r="C101" s="75"/>
      <c r="D101" s="76"/>
      <c r="E101" s="77"/>
      <c r="F101" s="78" t="str">
        <f>IFERROR(VLOOKUP($E101,設定!$C:$G,2,0),"")</f>
        <v/>
      </c>
      <c r="G101" s="78" t="str">
        <f>IFERROR(VLOOKUP($E101,設定!$C:$G,3,0),"")</f>
        <v/>
      </c>
      <c r="H101" s="78" t="str">
        <f>IFERROR(VLOOKUP($E101,設定!$C:$G,4,0),"")</f>
        <v/>
      </c>
      <c r="I101" s="78" t="str">
        <f>IFERROR(VLOOKUP($E101,設定!$C:$G,5,0),"")</f>
        <v/>
      </c>
      <c r="J101" s="104"/>
    </row>
    <row r="102" spans="2:10" s="3" customFormat="1" ht="24" customHeight="1" x14ac:dyDescent="0.2">
      <c r="B102" s="74"/>
      <c r="C102" s="75"/>
      <c r="D102" s="76"/>
      <c r="E102" s="77"/>
      <c r="F102" s="78" t="str">
        <f>IFERROR(VLOOKUP($E102,設定!$C:$G,2,0),"")</f>
        <v/>
      </c>
      <c r="G102" s="78" t="str">
        <f>IFERROR(VLOOKUP($E102,設定!$C:$G,3,0),"")</f>
        <v/>
      </c>
      <c r="H102" s="78" t="str">
        <f>IFERROR(VLOOKUP($E102,設定!$C:$G,4,0),"")</f>
        <v/>
      </c>
      <c r="I102" s="78" t="str">
        <f>IFERROR(VLOOKUP($E102,設定!$C:$G,5,0),"")</f>
        <v/>
      </c>
      <c r="J102" s="104"/>
    </row>
    <row r="103" spans="2:10" s="3" customFormat="1" ht="24" customHeight="1" x14ac:dyDescent="0.2">
      <c r="B103" s="74"/>
      <c r="C103" s="75"/>
      <c r="D103" s="76"/>
      <c r="E103" s="77"/>
      <c r="F103" s="78" t="str">
        <f>IFERROR(VLOOKUP($E103,設定!$C:$G,2,0),"")</f>
        <v/>
      </c>
      <c r="G103" s="78" t="str">
        <f>IFERROR(VLOOKUP($E103,設定!$C:$G,3,0),"")</f>
        <v/>
      </c>
      <c r="H103" s="78" t="str">
        <f>IFERROR(VLOOKUP($E103,設定!$C:$G,4,0),"")</f>
        <v/>
      </c>
      <c r="I103" s="78" t="str">
        <f>IFERROR(VLOOKUP($E103,設定!$C:$G,5,0),"")</f>
        <v/>
      </c>
      <c r="J103" s="104"/>
    </row>
    <row r="104" spans="2:10" s="3" customFormat="1" ht="24" customHeight="1" x14ac:dyDescent="0.2">
      <c r="B104" s="74"/>
      <c r="C104" s="75"/>
      <c r="D104" s="76"/>
      <c r="E104" s="77"/>
      <c r="F104" s="78" t="str">
        <f>IFERROR(VLOOKUP($E104,設定!$C:$G,2,0),"")</f>
        <v/>
      </c>
      <c r="G104" s="78" t="str">
        <f>IFERROR(VLOOKUP($E104,設定!$C:$G,3,0),"")</f>
        <v/>
      </c>
      <c r="H104" s="78" t="str">
        <f>IFERROR(VLOOKUP($E104,設定!$C:$G,4,0),"")</f>
        <v/>
      </c>
      <c r="I104" s="78" t="str">
        <f>IFERROR(VLOOKUP($E104,設定!$C:$G,5,0),"")</f>
        <v/>
      </c>
      <c r="J104" s="104"/>
    </row>
    <row r="105" spans="2:10" s="3" customFormat="1" ht="24" customHeight="1" x14ac:dyDescent="0.2">
      <c r="B105" s="74"/>
      <c r="C105" s="75"/>
      <c r="D105" s="76"/>
      <c r="E105" s="77"/>
      <c r="F105" s="78" t="str">
        <f>IFERROR(VLOOKUP($E105,設定!$C:$G,2,0),"")</f>
        <v/>
      </c>
      <c r="G105" s="78" t="str">
        <f>IFERROR(VLOOKUP($E105,設定!$C:$G,3,0),"")</f>
        <v/>
      </c>
      <c r="H105" s="78" t="str">
        <f>IFERROR(VLOOKUP($E105,設定!$C:$G,4,0),"")</f>
        <v/>
      </c>
      <c r="I105" s="78" t="str">
        <f>IFERROR(VLOOKUP($E105,設定!$C:$G,5,0),"")</f>
        <v/>
      </c>
      <c r="J105" s="104"/>
    </row>
    <row r="106" spans="2:10" s="3" customFormat="1" ht="24" customHeight="1" x14ac:dyDescent="0.2">
      <c r="B106" s="74"/>
      <c r="C106" s="75"/>
      <c r="D106" s="76"/>
      <c r="E106" s="77"/>
      <c r="F106" s="78" t="str">
        <f>IFERROR(VLOOKUP($E106,設定!$C:$G,2,0),"")</f>
        <v/>
      </c>
      <c r="G106" s="78" t="str">
        <f>IFERROR(VLOOKUP($E106,設定!$C:$G,3,0),"")</f>
        <v/>
      </c>
      <c r="H106" s="78" t="str">
        <f>IFERROR(VLOOKUP($E106,設定!$C:$G,4,0),"")</f>
        <v/>
      </c>
      <c r="I106" s="78" t="str">
        <f>IFERROR(VLOOKUP($E106,設定!$C:$G,5,0),"")</f>
        <v/>
      </c>
      <c r="J106" s="104"/>
    </row>
    <row r="107" spans="2:10" s="3" customFormat="1" ht="24" customHeight="1" x14ac:dyDescent="0.2">
      <c r="B107" s="74"/>
      <c r="C107" s="75"/>
      <c r="D107" s="76"/>
      <c r="E107" s="77"/>
      <c r="F107" s="78" t="str">
        <f>IFERROR(VLOOKUP($E107,設定!$C:$G,2,0),"")</f>
        <v/>
      </c>
      <c r="G107" s="78" t="str">
        <f>IFERROR(VLOOKUP($E107,設定!$C:$G,3,0),"")</f>
        <v/>
      </c>
      <c r="H107" s="78" t="str">
        <f>IFERROR(VLOOKUP($E107,設定!$C:$G,4,0),"")</f>
        <v/>
      </c>
      <c r="I107" s="78" t="str">
        <f>IFERROR(VLOOKUP($E107,設定!$C:$G,5,0),"")</f>
        <v/>
      </c>
      <c r="J107" s="104"/>
    </row>
    <row r="108" spans="2:10" s="3" customFormat="1" ht="24" customHeight="1" x14ac:dyDescent="0.2">
      <c r="B108" s="74"/>
      <c r="C108" s="75"/>
      <c r="D108" s="76"/>
      <c r="E108" s="77"/>
      <c r="F108" s="78" t="str">
        <f>IFERROR(VLOOKUP($E108,設定!$C:$G,2,0),"")</f>
        <v/>
      </c>
      <c r="G108" s="78" t="str">
        <f>IFERROR(VLOOKUP($E108,設定!$C:$G,3,0),"")</f>
        <v/>
      </c>
      <c r="H108" s="78" t="str">
        <f>IFERROR(VLOOKUP($E108,設定!$C:$G,4,0),"")</f>
        <v/>
      </c>
      <c r="I108" s="78" t="str">
        <f>IFERROR(VLOOKUP($E108,設定!$C:$G,5,0),"")</f>
        <v/>
      </c>
      <c r="J108" s="104"/>
    </row>
    <row r="109" spans="2:10" s="3" customFormat="1" ht="24" customHeight="1" x14ac:dyDescent="0.2">
      <c r="B109" s="74"/>
      <c r="C109" s="75"/>
      <c r="D109" s="76"/>
      <c r="E109" s="77"/>
      <c r="F109" s="78" t="str">
        <f>IFERROR(VLOOKUP($E109,設定!$C:$G,2,0),"")</f>
        <v/>
      </c>
      <c r="G109" s="78" t="str">
        <f>IFERROR(VLOOKUP($E109,設定!$C:$G,3,0),"")</f>
        <v/>
      </c>
      <c r="H109" s="78" t="str">
        <f>IFERROR(VLOOKUP($E109,設定!$C:$G,4,0),"")</f>
        <v/>
      </c>
      <c r="I109" s="78" t="str">
        <f>IFERROR(VLOOKUP($E109,設定!$C:$G,5,0),"")</f>
        <v/>
      </c>
      <c r="J109" s="104"/>
    </row>
    <row r="110" spans="2:10" s="3" customFormat="1" ht="24" customHeight="1" x14ac:dyDescent="0.2">
      <c r="B110" s="74"/>
      <c r="C110" s="75"/>
      <c r="D110" s="76"/>
      <c r="E110" s="77"/>
      <c r="F110" s="78" t="str">
        <f>IFERROR(VLOOKUP($E110,設定!$C:$G,2,0),"")</f>
        <v/>
      </c>
      <c r="G110" s="78" t="str">
        <f>IFERROR(VLOOKUP($E110,設定!$C:$G,3,0),"")</f>
        <v/>
      </c>
      <c r="H110" s="78" t="str">
        <f>IFERROR(VLOOKUP($E110,設定!$C:$G,4,0),"")</f>
        <v/>
      </c>
      <c r="I110" s="78" t="str">
        <f>IFERROR(VLOOKUP($E110,設定!$C:$G,5,0),"")</f>
        <v/>
      </c>
      <c r="J110" s="104"/>
    </row>
    <row r="111" spans="2:10" s="3" customFormat="1" ht="24" customHeight="1" x14ac:dyDescent="0.2">
      <c r="B111" s="74"/>
      <c r="C111" s="75"/>
      <c r="D111" s="76"/>
      <c r="E111" s="77"/>
      <c r="F111" s="78" t="str">
        <f>IFERROR(VLOOKUP($E111,設定!$C:$G,2,0),"")</f>
        <v/>
      </c>
      <c r="G111" s="78" t="str">
        <f>IFERROR(VLOOKUP($E111,設定!$C:$G,3,0),"")</f>
        <v/>
      </c>
      <c r="H111" s="78" t="str">
        <f>IFERROR(VLOOKUP($E111,設定!$C:$G,4,0),"")</f>
        <v/>
      </c>
      <c r="I111" s="78" t="str">
        <f>IFERROR(VLOOKUP($E111,設定!$C:$G,5,0),"")</f>
        <v/>
      </c>
      <c r="J111" s="104"/>
    </row>
    <row r="112" spans="2:10" s="3" customFormat="1" ht="24" customHeight="1" x14ac:dyDescent="0.2">
      <c r="B112" s="74"/>
      <c r="C112" s="75"/>
      <c r="D112" s="76"/>
      <c r="E112" s="77"/>
      <c r="F112" s="78" t="str">
        <f>IFERROR(VLOOKUP($E112,設定!$C:$G,2,0),"")</f>
        <v/>
      </c>
      <c r="G112" s="78" t="str">
        <f>IFERROR(VLOOKUP($E112,設定!$C:$G,3,0),"")</f>
        <v/>
      </c>
      <c r="H112" s="78" t="str">
        <f>IFERROR(VLOOKUP($E112,設定!$C:$G,4,0),"")</f>
        <v/>
      </c>
      <c r="I112" s="78" t="str">
        <f>IFERROR(VLOOKUP($E112,設定!$C:$G,5,0),"")</f>
        <v/>
      </c>
      <c r="J112" s="104"/>
    </row>
    <row r="113" spans="2:10" s="3" customFormat="1" ht="24" customHeight="1" x14ac:dyDescent="0.2">
      <c r="B113" s="74"/>
      <c r="C113" s="75"/>
      <c r="D113" s="76"/>
      <c r="E113" s="77"/>
      <c r="F113" s="78" t="str">
        <f>IFERROR(VLOOKUP($E113,設定!$C:$G,2,0),"")</f>
        <v/>
      </c>
      <c r="G113" s="78" t="str">
        <f>IFERROR(VLOOKUP($E113,設定!$C:$G,3,0),"")</f>
        <v/>
      </c>
      <c r="H113" s="78" t="str">
        <f>IFERROR(VLOOKUP($E113,設定!$C:$G,4,0),"")</f>
        <v/>
      </c>
      <c r="I113" s="78" t="str">
        <f>IFERROR(VLOOKUP($E113,設定!$C:$G,5,0),"")</f>
        <v/>
      </c>
      <c r="J113" s="104"/>
    </row>
    <row r="114" spans="2:10" s="3" customFormat="1" ht="24" customHeight="1" x14ac:dyDescent="0.2">
      <c r="B114" s="74"/>
      <c r="C114" s="75"/>
      <c r="D114" s="76"/>
      <c r="E114" s="77"/>
      <c r="F114" s="78" t="str">
        <f>IFERROR(VLOOKUP($E114,設定!$C:$G,2,0),"")</f>
        <v/>
      </c>
      <c r="G114" s="78" t="str">
        <f>IFERROR(VLOOKUP($E114,設定!$C:$G,3,0),"")</f>
        <v/>
      </c>
      <c r="H114" s="78" t="str">
        <f>IFERROR(VLOOKUP($E114,設定!$C:$G,4,0),"")</f>
        <v/>
      </c>
      <c r="I114" s="78" t="str">
        <f>IFERROR(VLOOKUP($E114,設定!$C:$G,5,0),"")</f>
        <v/>
      </c>
      <c r="J114" s="104"/>
    </row>
    <row r="115" spans="2:10" s="3" customFormat="1" ht="24" customHeight="1" x14ac:dyDescent="0.2">
      <c r="B115" s="74"/>
      <c r="C115" s="75"/>
      <c r="D115" s="76"/>
      <c r="E115" s="77"/>
      <c r="F115" s="78" t="str">
        <f>IFERROR(VLOOKUP($E115,設定!$C:$G,2,0),"")</f>
        <v/>
      </c>
      <c r="G115" s="78" t="str">
        <f>IFERROR(VLOOKUP($E115,設定!$C:$G,3,0),"")</f>
        <v/>
      </c>
      <c r="H115" s="78" t="str">
        <f>IFERROR(VLOOKUP($E115,設定!$C:$G,4,0),"")</f>
        <v/>
      </c>
      <c r="I115" s="78" t="str">
        <f>IFERROR(VLOOKUP($E115,設定!$C:$G,5,0),"")</f>
        <v/>
      </c>
      <c r="J115" s="104"/>
    </row>
    <row r="116" spans="2:10" s="3" customFormat="1" ht="24" customHeight="1" x14ac:dyDescent="0.2">
      <c r="B116" s="74"/>
      <c r="C116" s="75"/>
      <c r="D116" s="76"/>
      <c r="E116" s="77"/>
      <c r="F116" s="78" t="str">
        <f>IFERROR(VLOOKUP($E116,設定!$C:$G,2,0),"")</f>
        <v/>
      </c>
      <c r="G116" s="78" t="str">
        <f>IFERROR(VLOOKUP($E116,設定!$C:$G,3,0),"")</f>
        <v/>
      </c>
      <c r="H116" s="78" t="str">
        <f>IFERROR(VLOOKUP($E116,設定!$C:$G,4,0),"")</f>
        <v/>
      </c>
      <c r="I116" s="78" t="str">
        <f>IFERROR(VLOOKUP($E116,設定!$C:$G,5,0),"")</f>
        <v/>
      </c>
      <c r="J116" s="104"/>
    </row>
    <row r="117" spans="2:10" s="3" customFormat="1" ht="24" customHeight="1" x14ac:dyDescent="0.2">
      <c r="B117" s="74"/>
      <c r="C117" s="75"/>
      <c r="D117" s="76"/>
      <c r="E117" s="77"/>
      <c r="F117" s="78" t="str">
        <f>IFERROR(VLOOKUP($E117,設定!$C:$G,2,0),"")</f>
        <v/>
      </c>
      <c r="G117" s="78" t="str">
        <f>IFERROR(VLOOKUP($E117,設定!$C:$G,3,0),"")</f>
        <v/>
      </c>
      <c r="H117" s="78" t="str">
        <f>IFERROR(VLOOKUP($E117,設定!$C:$G,4,0),"")</f>
        <v/>
      </c>
      <c r="I117" s="78" t="str">
        <f>IFERROR(VLOOKUP($E117,設定!$C:$G,5,0),"")</f>
        <v/>
      </c>
      <c r="J117" s="104"/>
    </row>
    <row r="118" spans="2:10" s="3" customFormat="1" ht="24" customHeight="1" x14ac:dyDescent="0.2">
      <c r="B118" s="74"/>
      <c r="C118" s="75"/>
      <c r="D118" s="76"/>
      <c r="E118" s="77"/>
      <c r="F118" s="78" t="str">
        <f>IFERROR(VLOOKUP($E118,設定!$C:$G,2,0),"")</f>
        <v/>
      </c>
      <c r="G118" s="78" t="str">
        <f>IFERROR(VLOOKUP($E118,設定!$C:$G,3,0),"")</f>
        <v/>
      </c>
      <c r="H118" s="78" t="str">
        <f>IFERROR(VLOOKUP($E118,設定!$C:$G,4,0),"")</f>
        <v/>
      </c>
      <c r="I118" s="78" t="str">
        <f>IFERROR(VLOOKUP($E118,設定!$C:$G,5,0),"")</f>
        <v/>
      </c>
      <c r="J118" s="104"/>
    </row>
    <row r="119" spans="2:10" s="3" customFormat="1" ht="24" customHeight="1" x14ac:dyDescent="0.2">
      <c r="B119" s="74"/>
      <c r="C119" s="75"/>
      <c r="D119" s="76"/>
      <c r="E119" s="77"/>
      <c r="F119" s="78" t="str">
        <f>IFERROR(VLOOKUP($E119,設定!$C:$G,2,0),"")</f>
        <v/>
      </c>
      <c r="G119" s="78" t="str">
        <f>IFERROR(VLOOKUP($E119,設定!$C:$G,3,0),"")</f>
        <v/>
      </c>
      <c r="H119" s="78" t="str">
        <f>IFERROR(VLOOKUP($E119,設定!$C:$G,4,0),"")</f>
        <v/>
      </c>
      <c r="I119" s="78" t="str">
        <f>IFERROR(VLOOKUP($E119,設定!$C:$G,5,0),"")</f>
        <v/>
      </c>
      <c r="J119" s="104"/>
    </row>
    <row r="120" spans="2:10" s="3" customFormat="1" ht="24" customHeight="1" x14ac:dyDescent="0.2">
      <c r="B120" s="74"/>
      <c r="C120" s="75"/>
      <c r="D120" s="76"/>
      <c r="E120" s="77"/>
      <c r="F120" s="78" t="str">
        <f>IFERROR(VLOOKUP($E120,設定!$C:$G,2,0),"")</f>
        <v/>
      </c>
      <c r="G120" s="78" t="str">
        <f>IFERROR(VLOOKUP($E120,設定!$C:$G,3,0),"")</f>
        <v/>
      </c>
      <c r="H120" s="78" t="str">
        <f>IFERROR(VLOOKUP($E120,設定!$C:$G,4,0),"")</f>
        <v/>
      </c>
      <c r="I120" s="78" t="str">
        <f>IFERROR(VLOOKUP($E120,設定!$C:$G,5,0),"")</f>
        <v/>
      </c>
      <c r="J120" s="104"/>
    </row>
    <row r="121" spans="2:10" s="3" customFormat="1" ht="24" customHeight="1" x14ac:dyDescent="0.2">
      <c r="B121" s="74"/>
      <c r="C121" s="75"/>
      <c r="D121" s="76"/>
      <c r="E121" s="77"/>
      <c r="F121" s="78" t="str">
        <f>IFERROR(VLOOKUP($E121,設定!$C:$G,2,0),"")</f>
        <v/>
      </c>
      <c r="G121" s="78" t="str">
        <f>IFERROR(VLOOKUP($E121,設定!$C:$G,3,0),"")</f>
        <v/>
      </c>
      <c r="H121" s="78" t="str">
        <f>IFERROR(VLOOKUP($E121,設定!$C:$G,4,0),"")</f>
        <v/>
      </c>
      <c r="I121" s="78" t="str">
        <f>IFERROR(VLOOKUP($E121,設定!$C:$G,5,0),"")</f>
        <v/>
      </c>
      <c r="J121" s="104"/>
    </row>
    <row r="122" spans="2:10" s="3" customFormat="1" ht="24" customHeight="1" x14ac:dyDescent="0.2">
      <c r="B122" s="74"/>
      <c r="C122" s="75"/>
      <c r="D122" s="76"/>
      <c r="E122" s="77"/>
      <c r="F122" s="78" t="str">
        <f>IFERROR(VLOOKUP($E122,設定!$C:$G,2,0),"")</f>
        <v/>
      </c>
      <c r="G122" s="78" t="str">
        <f>IFERROR(VLOOKUP($E122,設定!$C:$G,3,0),"")</f>
        <v/>
      </c>
      <c r="H122" s="78" t="str">
        <f>IFERROR(VLOOKUP($E122,設定!$C:$G,4,0),"")</f>
        <v/>
      </c>
      <c r="I122" s="78" t="str">
        <f>IFERROR(VLOOKUP($E122,設定!$C:$G,5,0),"")</f>
        <v/>
      </c>
      <c r="J122" s="104"/>
    </row>
    <row r="123" spans="2:10" s="3" customFormat="1" ht="24" customHeight="1" x14ac:dyDescent="0.2">
      <c r="B123" s="74"/>
      <c r="C123" s="75"/>
      <c r="D123" s="76"/>
      <c r="E123" s="77"/>
      <c r="F123" s="78" t="str">
        <f>IFERROR(VLOOKUP($E123,設定!$C:$G,2,0),"")</f>
        <v/>
      </c>
      <c r="G123" s="78" t="str">
        <f>IFERROR(VLOOKUP($E123,設定!$C:$G,3,0),"")</f>
        <v/>
      </c>
      <c r="H123" s="78" t="str">
        <f>IFERROR(VLOOKUP($E123,設定!$C:$G,4,0),"")</f>
        <v/>
      </c>
      <c r="I123" s="78" t="str">
        <f>IFERROR(VLOOKUP($E123,設定!$C:$G,5,0),"")</f>
        <v/>
      </c>
      <c r="J123" s="104"/>
    </row>
    <row r="124" spans="2:10" s="3" customFormat="1" ht="24" customHeight="1" x14ac:dyDescent="0.2">
      <c r="B124" s="74"/>
      <c r="C124" s="75"/>
      <c r="D124" s="76"/>
      <c r="E124" s="77"/>
      <c r="F124" s="78" t="str">
        <f>IFERROR(VLOOKUP($E124,設定!$C:$G,2,0),"")</f>
        <v/>
      </c>
      <c r="G124" s="78" t="str">
        <f>IFERROR(VLOOKUP($E124,設定!$C:$G,3,0),"")</f>
        <v/>
      </c>
      <c r="H124" s="78" t="str">
        <f>IFERROR(VLOOKUP($E124,設定!$C:$G,4,0),"")</f>
        <v/>
      </c>
      <c r="I124" s="78" t="str">
        <f>IFERROR(VLOOKUP($E124,設定!$C:$G,5,0),"")</f>
        <v/>
      </c>
      <c r="J124" s="104"/>
    </row>
    <row r="125" spans="2:10" s="3" customFormat="1" ht="24" customHeight="1" x14ac:dyDescent="0.2">
      <c r="B125" s="74"/>
      <c r="C125" s="75"/>
      <c r="D125" s="76"/>
      <c r="E125" s="77"/>
      <c r="F125" s="78" t="str">
        <f>IFERROR(VLOOKUP($E125,設定!$C:$G,2,0),"")</f>
        <v/>
      </c>
      <c r="G125" s="78" t="str">
        <f>IFERROR(VLOOKUP($E125,設定!$C:$G,3,0),"")</f>
        <v/>
      </c>
      <c r="H125" s="78" t="str">
        <f>IFERROR(VLOOKUP($E125,設定!$C:$G,4,0),"")</f>
        <v/>
      </c>
      <c r="I125" s="78" t="str">
        <f>IFERROR(VLOOKUP($E125,設定!$C:$G,5,0),"")</f>
        <v/>
      </c>
      <c r="J125" s="104"/>
    </row>
    <row r="126" spans="2:10" s="3" customFormat="1" ht="24" customHeight="1" x14ac:dyDescent="0.2">
      <c r="B126" s="74"/>
      <c r="C126" s="75"/>
      <c r="D126" s="76"/>
      <c r="E126" s="77"/>
      <c r="F126" s="78" t="str">
        <f>IFERROR(VLOOKUP($E126,設定!$C:$G,2,0),"")</f>
        <v/>
      </c>
      <c r="G126" s="78" t="str">
        <f>IFERROR(VLOOKUP($E126,設定!$C:$G,3,0),"")</f>
        <v/>
      </c>
      <c r="H126" s="78" t="str">
        <f>IFERROR(VLOOKUP($E126,設定!$C:$G,4,0),"")</f>
        <v/>
      </c>
      <c r="I126" s="78" t="str">
        <f>IFERROR(VLOOKUP($E126,設定!$C:$G,5,0),"")</f>
        <v/>
      </c>
      <c r="J126" s="104"/>
    </row>
    <row r="127" spans="2:10" s="3" customFormat="1" ht="24" customHeight="1" x14ac:dyDescent="0.2">
      <c r="B127" s="74"/>
      <c r="C127" s="75"/>
      <c r="D127" s="76"/>
      <c r="E127" s="77"/>
      <c r="F127" s="78" t="str">
        <f>IFERROR(VLOOKUP($E127,設定!$C:$G,2,0),"")</f>
        <v/>
      </c>
      <c r="G127" s="78" t="str">
        <f>IFERROR(VLOOKUP($E127,設定!$C:$G,3,0),"")</f>
        <v/>
      </c>
      <c r="H127" s="78" t="str">
        <f>IFERROR(VLOOKUP($E127,設定!$C:$G,4,0),"")</f>
        <v/>
      </c>
      <c r="I127" s="78" t="str">
        <f>IFERROR(VLOOKUP($E127,設定!$C:$G,5,0),"")</f>
        <v/>
      </c>
      <c r="J127" s="104"/>
    </row>
    <row r="128" spans="2:10" s="3" customFormat="1" ht="24" customHeight="1" x14ac:dyDescent="0.2">
      <c r="B128" s="74"/>
      <c r="C128" s="75"/>
      <c r="D128" s="76"/>
      <c r="E128" s="77"/>
      <c r="F128" s="78" t="str">
        <f>IFERROR(VLOOKUP($E128,設定!$C:$G,2,0),"")</f>
        <v/>
      </c>
      <c r="G128" s="78" t="str">
        <f>IFERROR(VLOOKUP($E128,設定!$C:$G,3,0),"")</f>
        <v/>
      </c>
      <c r="H128" s="78" t="str">
        <f>IFERROR(VLOOKUP($E128,設定!$C:$G,4,0),"")</f>
        <v/>
      </c>
      <c r="I128" s="78" t="str">
        <f>IFERROR(VLOOKUP($E128,設定!$C:$G,5,0),"")</f>
        <v/>
      </c>
      <c r="J128" s="104"/>
    </row>
    <row r="129" spans="2:10" s="3" customFormat="1" ht="24" customHeight="1" x14ac:dyDescent="0.2">
      <c r="B129" s="74"/>
      <c r="C129" s="75"/>
      <c r="D129" s="76"/>
      <c r="E129" s="77"/>
      <c r="F129" s="78" t="str">
        <f>IFERROR(VLOOKUP($E129,設定!$C:$G,2,0),"")</f>
        <v/>
      </c>
      <c r="G129" s="78" t="str">
        <f>IFERROR(VLOOKUP($E129,設定!$C:$G,3,0),"")</f>
        <v/>
      </c>
      <c r="H129" s="78" t="str">
        <f>IFERROR(VLOOKUP($E129,設定!$C:$G,4,0),"")</f>
        <v/>
      </c>
      <c r="I129" s="78" t="str">
        <f>IFERROR(VLOOKUP($E129,設定!$C:$G,5,0),"")</f>
        <v/>
      </c>
      <c r="J129" s="104"/>
    </row>
    <row r="130" spans="2:10" s="3" customFormat="1" ht="24" customHeight="1" x14ac:dyDescent="0.2">
      <c r="B130" s="74"/>
      <c r="C130" s="75"/>
      <c r="D130" s="76"/>
      <c r="E130" s="77"/>
      <c r="F130" s="78" t="str">
        <f>IFERROR(VLOOKUP($E130,設定!$C:$G,2,0),"")</f>
        <v/>
      </c>
      <c r="G130" s="78" t="str">
        <f>IFERROR(VLOOKUP($E130,設定!$C:$G,3,0),"")</f>
        <v/>
      </c>
      <c r="H130" s="78" t="str">
        <f>IFERROR(VLOOKUP($E130,設定!$C:$G,4,0),"")</f>
        <v/>
      </c>
      <c r="I130" s="78" t="str">
        <f>IFERROR(VLOOKUP($E130,設定!$C:$G,5,0),"")</f>
        <v/>
      </c>
      <c r="J130" s="104"/>
    </row>
    <row r="131" spans="2:10" s="3" customFormat="1" ht="24" customHeight="1" x14ac:dyDescent="0.2">
      <c r="B131" s="74"/>
      <c r="C131" s="75"/>
      <c r="D131" s="76"/>
      <c r="E131" s="77"/>
      <c r="F131" s="78" t="str">
        <f>IFERROR(VLOOKUP($E131,設定!$C:$G,2,0),"")</f>
        <v/>
      </c>
      <c r="G131" s="78" t="str">
        <f>IFERROR(VLOOKUP($E131,設定!$C:$G,3,0),"")</f>
        <v/>
      </c>
      <c r="H131" s="78" t="str">
        <f>IFERROR(VLOOKUP($E131,設定!$C:$G,4,0),"")</f>
        <v/>
      </c>
      <c r="I131" s="78" t="str">
        <f>IFERROR(VLOOKUP($E131,設定!$C:$G,5,0),"")</f>
        <v/>
      </c>
      <c r="J131" s="104"/>
    </row>
    <row r="132" spans="2:10" s="3" customFormat="1" ht="24" customHeight="1" x14ac:dyDescent="0.2">
      <c r="B132" s="74"/>
      <c r="C132" s="75"/>
      <c r="D132" s="76"/>
      <c r="E132" s="77"/>
      <c r="F132" s="78" t="str">
        <f>IFERROR(VLOOKUP($E132,設定!$C:$G,2,0),"")</f>
        <v/>
      </c>
      <c r="G132" s="78" t="str">
        <f>IFERROR(VLOOKUP($E132,設定!$C:$G,3,0),"")</f>
        <v/>
      </c>
      <c r="H132" s="78" t="str">
        <f>IFERROR(VLOOKUP($E132,設定!$C:$G,4,0),"")</f>
        <v/>
      </c>
      <c r="I132" s="78" t="str">
        <f>IFERROR(VLOOKUP($E132,設定!$C:$G,5,0),"")</f>
        <v/>
      </c>
      <c r="J132" s="104"/>
    </row>
    <row r="133" spans="2:10" s="3" customFormat="1" ht="24" customHeight="1" x14ac:dyDescent="0.2">
      <c r="B133" s="74"/>
      <c r="C133" s="75"/>
      <c r="D133" s="76"/>
      <c r="E133" s="77"/>
      <c r="F133" s="78" t="str">
        <f>IFERROR(VLOOKUP($E133,設定!$C:$G,2,0),"")</f>
        <v/>
      </c>
      <c r="G133" s="78" t="str">
        <f>IFERROR(VLOOKUP($E133,設定!$C:$G,3,0),"")</f>
        <v/>
      </c>
      <c r="H133" s="78" t="str">
        <f>IFERROR(VLOOKUP($E133,設定!$C:$G,4,0),"")</f>
        <v/>
      </c>
      <c r="I133" s="78" t="str">
        <f>IFERROR(VLOOKUP($E133,設定!$C:$G,5,0),"")</f>
        <v/>
      </c>
      <c r="J133" s="104"/>
    </row>
    <row r="134" spans="2:10" s="3" customFormat="1" ht="24" customHeight="1" x14ac:dyDescent="0.2">
      <c r="B134" s="74"/>
      <c r="C134" s="75"/>
      <c r="D134" s="76"/>
      <c r="E134" s="77"/>
      <c r="F134" s="78" t="str">
        <f>IFERROR(VLOOKUP($E134,設定!$C:$G,2,0),"")</f>
        <v/>
      </c>
      <c r="G134" s="78" t="str">
        <f>IFERROR(VLOOKUP($E134,設定!$C:$G,3,0),"")</f>
        <v/>
      </c>
      <c r="H134" s="78" t="str">
        <f>IFERROR(VLOOKUP($E134,設定!$C:$G,4,0),"")</f>
        <v/>
      </c>
      <c r="I134" s="78" t="str">
        <f>IFERROR(VLOOKUP($E134,設定!$C:$G,5,0),"")</f>
        <v/>
      </c>
      <c r="J134" s="104"/>
    </row>
    <row r="135" spans="2:10" s="3" customFormat="1" ht="24" customHeight="1" x14ac:dyDescent="0.2">
      <c r="B135" s="74"/>
      <c r="C135" s="75"/>
      <c r="D135" s="76"/>
      <c r="E135" s="77"/>
      <c r="F135" s="78" t="str">
        <f>IFERROR(VLOOKUP($E135,設定!$C:$G,2,0),"")</f>
        <v/>
      </c>
      <c r="G135" s="78" t="str">
        <f>IFERROR(VLOOKUP($E135,設定!$C:$G,3,0),"")</f>
        <v/>
      </c>
      <c r="H135" s="78" t="str">
        <f>IFERROR(VLOOKUP($E135,設定!$C:$G,4,0),"")</f>
        <v/>
      </c>
      <c r="I135" s="78" t="str">
        <f>IFERROR(VLOOKUP($E135,設定!$C:$G,5,0),"")</f>
        <v/>
      </c>
      <c r="J135" s="104"/>
    </row>
    <row r="136" spans="2:10" s="3" customFormat="1" ht="24" customHeight="1" x14ac:dyDescent="0.2">
      <c r="B136" s="74"/>
      <c r="C136" s="75"/>
      <c r="D136" s="76"/>
      <c r="E136" s="77"/>
      <c r="F136" s="78" t="str">
        <f>IFERROR(VLOOKUP($E136,設定!$C:$G,2,0),"")</f>
        <v/>
      </c>
      <c r="G136" s="78" t="str">
        <f>IFERROR(VLOOKUP($E136,設定!$C:$G,3,0),"")</f>
        <v/>
      </c>
      <c r="H136" s="78" t="str">
        <f>IFERROR(VLOOKUP($E136,設定!$C:$G,4,0),"")</f>
        <v/>
      </c>
      <c r="I136" s="78" t="str">
        <f>IFERROR(VLOOKUP($E136,設定!$C:$G,5,0),"")</f>
        <v/>
      </c>
      <c r="J136" s="104"/>
    </row>
    <row r="137" spans="2:10" s="3" customFormat="1" ht="24" customHeight="1" x14ac:dyDescent="0.2">
      <c r="B137" s="74"/>
      <c r="C137" s="75"/>
      <c r="D137" s="76"/>
      <c r="E137" s="77"/>
      <c r="F137" s="78" t="str">
        <f>IFERROR(VLOOKUP($E137,設定!$C:$G,2,0),"")</f>
        <v/>
      </c>
      <c r="G137" s="78" t="str">
        <f>IFERROR(VLOOKUP($E137,設定!$C:$G,3,0),"")</f>
        <v/>
      </c>
      <c r="H137" s="78" t="str">
        <f>IFERROR(VLOOKUP($E137,設定!$C:$G,4,0),"")</f>
        <v/>
      </c>
      <c r="I137" s="78" t="str">
        <f>IFERROR(VLOOKUP($E137,設定!$C:$G,5,0),"")</f>
        <v/>
      </c>
      <c r="J137" s="104"/>
    </row>
    <row r="138" spans="2:10" s="3" customFormat="1" ht="24" customHeight="1" x14ac:dyDescent="0.2">
      <c r="B138" s="74"/>
      <c r="C138" s="75"/>
      <c r="D138" s="76"/>
      <c r="E138" s="77"/>
      <c r="F138" s="78" t="str">
        <f>IFERROR(VLOOKUP($E138,設定!$C:$G,2,0),"")</f>
        <v/>
      </c>
      <c r="G138" s="78" t="str">
        <f>IFERROR(VLOOKUP($E138,設定!$C:$G,3,0),"")</f>
        <v/>
      </c>
      <c r="H138" s="78" t="str">
        <f>IFERROR(VLOOKUP($E138,設定!$C:$G,4,0),"")</f>
        <v/>
      </c>
      <c r="I138" s="78" t="str">
        <f>IFERROR(VLOOKUP($E138,設定!$C:$G,5,0),"")</f>
        <v/>
      </c>
      <c r="J138" s="104"/>
    </row>
    <row r="139" spans="2:10" s="3" customFormat="1" ht="24" customHeight="1" x14ac:dyDescent="0.2">
      <c r="B139" s="74"/>
      <c r="C139" s="75"/>
      <c r="D139" s="76"/>
      <c r="E139" s="77"/>
      <c r="F139" s="78" t="str">
        <f>IFERROR(VLOOKUP($E139,設定!$C:$G,2,0),"")</f>
        <v/>
      </c>
      <c r="G139" s="78" t="str">
        <f>IFERROR(VLOOKUP($E139,設定!$C:$G,3,0),"")</f>
        <v/>
      </c>
      <c r="H139" s="78" t="str">
        <f>IFERROR(VLOOKUP($E139,設定!$C:$G,4,0),"")</f>
        <v/>
      </c>
      <c r="I139" s="78" t="str">
        <f>IFERROR(VLOOKUP($E139,設定!$C:$G,5,0),"")</f>
        <v/>
      </c>
      <c r="J139" s="104"/>
    </row>
    <row r="140" spans="2:10" s="3" customFormat="1" ht="24" customHeight="1" x14ac:dyDescent="0.2">
      <c r="B140" s="74"/>
      <c r="C140" s="75"/>
      <c r="D140" s="76"/>
      <c r="E140" s="77"/>
      <c r="F140" s="78" t="str">
        <f>IFERROR(VLOOKUP($E140,設定!$C:$G,2,0),"")</f>
        <v/>
      </c>
      <c r="G140" s="78" t="str">
        <f>IFERROR(VLOOKUP($E140,設定!$C:$G,3,0),"")</f>
        <v/>
      </c>
      <c r="H140" s="78" t="str">
        <f>IFERROR(VLOOKUP($E140,設定!$C:$G,4,0),"")</f>
        <v/>
      </c>
      <c r="I140" s="78" t="str">
        <f>IFERROR(VLOOKUP($E140,設定!$C:$G,5,0),"")</f>
        <v/>
      </c>
      <c r="J140" s="104"/>
    </row>
    <row r="141" spans="2:10" s="3" customFormat="1" ht="24" customHeight="1" x14ac:dyDescent="0.2">
      <c r="B141" s="74"/>
      <c r="C141" s="75"/>
      <c r="D141" s="76"/>
      <c r="E141" s="77"/>
      <c r="F141" s="78" t="str">
        <f>IFERROR(VLOOKUP($E141,設定!$C:$G,2,0),"")</f>
        <v/>
      </c>
      <c r="G141" s="78" t="str">
        <f>IFERROR(VLOOKUP($E141,設定!$C:$G,3,0),"")</f>
        <v/>
      </c>
      <c r="H141" s="78" t="str">
        <f>IFERROR(VLOOKUP($E141,設定!$C:$G,4,0),"")</f>
        <v/>
      </c>
      <c r="I141" s="78" t="str">
        <f>IFERROR(VLOOKUP($E141,設定!$C:$G,5,0),"")</f>
        <v/>
      </c>
      <c r="J141" s="104"/>
    </row>
    <row r="142" spans="2:10" s="3" customFormat="1" ht="24" customHeight="1" x14ac:dyDescent="0.2">
      <c r="B142" s="74"/>
      <c r="C142" s="75"/>
      <c r="D142" s="76"/>
      <c r="E142" s="77"/>
      <c r="F142" s="78" t="str">
        <f>IFERROR(VLOOKUP($E142,設定!$C:$G,2,0),"")</f>
        <v/>
      </c>
      <c r="G142" s="78" t="str">
        <f>IFERROR(VLOOKUP($E142,設定!$C:$G,3,0),"")</f>
        <v/>
      </c>
      <c r="H142" s="78" t="str">
        <f>IFERROR(VLOOKUP($E142,設定!$C:$G,4,0),"")</f>
        <v/>
      </c>
      <c r="I142" s="78" t="str">
        <f>IFERROR(VLOOKUP($E142,設定!$C:$G,5,0),"")</f>
        <v/>
      </c>
      <c r="J142" s="104"/>
    </row>
    <row r="143" spans="2:10" s="3" customFormat="1" ht="24" customHeight="1" x14ac:dyDescent="0.2">
      <c r="B143" s="74"/>
      <c r="C143" s="75"/>
      <c r="D143" s="76"/>
      <c r="E143" s="77"/>
      <c r="F143" s="78" t="str">
        <f>IFERROR(VLOOKUP($E143,設定!$C:$G,2,0),"")</f>
        <v/>
      </c>
      <c r="G143" s="78" t="str">
        <f>IFERROR(VLOOKUP($E143,設定!$C:$G,3,0),"")</f>
        <v/>
      </c>
      <c r="H143" s="78" t="str">
        <f>IFERROR(VLOOKUP($E143,設定!$C:$G,4,0),"")</f>
        <v/>
      </c>
      <c r="I143" s="78" t="str">
        <f>IFERROR(VLOOKUP($E143,設定!$C:$G,5,0),"")</f>
        <v/>
      </c>
      <c r="J143" s="104"/>
    </row>
    <row r="144" spans="2:10" s="3" customFormat="1" ht="24" customHeight="1" x14ac:dyDescent="0.2">
      <c r="B144" s="74"/>
      <c r="C144" s="75"/>
      <c r="D144" s="76"/>
      <c r="E144" s="77"/>
      <c r="F144" s="78" t="str">
        <f>IFERROR(VLOOKUP($E144,設定!$C:$G,2,0),"")</f>
        <v/>
      </c>
      <c r="G144" s="78" t="str">
        <f>IFERROR(VLOOKUP($E144,設定!$C:$G,3,0),"")</f>
        <v/>
      </c>
      <c r="H144" s="78" t="str">
        <f>IFERROR(VLOOKUP($E144,設定!$C:$G,4,0),"")</f>
        <v/>
      </c>
      <c r="I144" s="78" t="str">
        <f>IFERROR(VLOOKUP($E144,設定!$C:$G,5,0),"")</f>
        <v/>
      </c>
      <c r="J144" s="104"/>
    </row>
    <row r="145" spans="2:10" s="3" customFormat="1" ht="24" customHeight="1" x14ac:dyDescent="0.2">
      <c r="B145" s="74"/>
      <c r="C145" s="75"/>
      <c r="D145" s="76"/>
      <c r="E145" s="77"/>
      <c r="F145" s="78" t="str">
        <f>IFERROR(VLOOKUP($E145,設定!$C:$G,2,0),"")</f>
        <v/>
      </c>
      <c r="G145" s="78" t="str">
        <f>IFERROR(VLOOKUP($E145,設定!$C:$G,3,0),"")</f>
        <v/>
      </c>
      <c r="H145" s="78" t="str">
        <f>IFERROR(VLOOKUP($E145,設定!$C:$G,4,0),"")</f>
        <v/>
      </c>
      <c r="I145" s="78" t="str">
        <f>IFERROR(VLOOKUP($E145,設定!$C:$G,5,0),"")</f>
        <v/>
      </c>
      <c r="J145" s="104"/>
    </row>
    <row r="146" spans="2:10" s="3" customFormat="1" ht="24" customHeight="1" x14ac:dyDescent="0.2">
      <c r="B146" s="74"/>
      <c r="C146" s="75"/>
      <c r="D146" s="76"/>
      <c r="E146" s="77"/>
      <c r="F146" s="78" t="str">
        <f>IFERROR(VLOOKUP($E146,設定!$C:$G,2,0),"")</f>
        <v/>
      </c>
      <c r="G146" s="78" t="str">
        <f>IFERROR(VLOOKUP($E146,設定!$C:$G,3,0),"")</f>
        <v/>
      </c>
      <c r="H146" s="78" t="str">
        <f>IFERROR(VLOOKUP($E146,設定!$C:$G,4,0),"")</f>
        <v/>
      </c>
      <c r="I146" s="78" t="str">
        <f>IFERROR(VLOOKUP($E146,設定!$C:$G,5,0),"")</f>
        <v/>
      </c>
      <c r="J146" s="104"/>
    </row>
    <row r="147" spans="2:10" s="3" customFormat="1" ht="24" customHeight="1" x14ac:dyDescent="0.2">
      <c r="B147" s="74"/>
      <c r="C147" s="75"/>
      <c r="D147" s="76"/>
      <c r="E147" s="77"/>
      <c r="F147" s="78" t="str">
        <f>IFERROR(VLOOKUP($E147,設定!$C:$G,2,0),"")</f>
        <v/>
      </c>
      <c r="G147" s="78" t="str">
        <f>IFERROR(VLOOKUP($E147,設定!$C:$G,3,0),"")</f>
        <v/>
      </c>
      <c r="H147" s="78" t="str">
        <f>IFERROR(VLOOKUP($E147,設定!$C:$G,4,0),"")</f>
        <v/>
      </c>
      <c r="I147" s="78" t="str">
        <f>IFERROR(VLOOKUP($E147,設定!$C:$G,5,0),"")</f>
        <v/>
      </c>
      <c r="J147" s="104"/>
    </row>
    <row r="148" spans="2:10" s="3" customFormat="1" ht="24" customHeight="1" x14ac:dyDescent="0.2">
      <c r="B148" s="74"/>
      <c r="C148" s="75"/>
      <c r="D148" s="76"/>
      <c r="E148" s="77"/>
      <c r="F148" s="78" t="str">
        <f>IFERROR(VLOOKUP($E148,設定!$C:$G,2,0),"")</f>
        <v/>
      </c>
      <c r="G148" s="78" t="str">
        <f>IFERROR(VLOOKUP($E148,設定!$C:$G,3,0),"")</f>
        <v/>
      </c>
      <c r="H148" s="78" t="str">
        <f>IFERROR(VLOOKUP($E148,設定!$C:$G,4,0),"")</f>
        <v/>
      </c>
      <c r="I148" s="78" t="str">
        <f>IFERROR(VLOOKUP($E148,設定!$C:$G,5,0),"")</f>
        <v/>
      </c>
      <c r="J148" s="104"/>
    </row>
    <row r="149" spans="2:10" s="3" customFormat="1" ht="24" customHeight="1" x14ac:dyDescent="0.2">
      <c r="B149" s="74"/>
      <c r="C149" s="75"/>
      <c r="D149" s="76"/>
      <c r="E149" s="77"/>
      <c r="F149" s="78" t="str">
        <f>IFERROR(VLOOKUP($E149,設定!$C:$G,2,0),"")</f>
        <v/>
      </c>
      <c r="G149" s="78" t="str">
        <f>IFERROR(VLOOKUP($E149,設定!$C:$G,3,0),"")</f>
        <v/>
      </c>
      <c r="H149" s="78" t="str">
        <f>IFERROR(VLOOKUP($E149,設定!$C:$G,4,0),"")</f>
        <v/>
      </c>
      <c r="I149" s="78" t="str">
        <f>IFERROR(VLOOKUP($E149,設定!$C:$G,5,0),"")</f>
        <v/>
      </c>
      <c r="J149" s="104"/>
    </row>
    <row r="150" spans="2:10" s="3" customFormat="1" ht="24" customHeight="1" x14ac:dyDescent="0.2">
      <c r="B150" s="74"/>
      <c r="C150" s="75"/>
      <c r="D150" s="76"/>
      <c r="E150" s="77"/>
      <c r="F150" s="78" t="str">
        <f>IFERROR(VLOOKUP($E150,設定!$C:$G,2,0),"")</f>
        <v/>
      </c>
      <c r="G150" s="78" t="str">
        <f>IFERROR(VLOOKUP($E150,設定!$C:$G,3,0),"")</f>
        <v/>
      </c>
      <c r="H150" s="78" t="str">
        <f>IFERROR(VLOOKUP($E150,設定!$C:$G,4,0),"")</f>
        <v/>
      </c>
      <c r="I150" s="78" t="str">
        <f>IFERROR(VLOOKUP($E150,設定!$C:$G,5,0),"")</f>
        <v/>
      </c>
      <c r="J150" s="104"/>
    </row>
    <row r="151" spans="2:10" s="3" customFormat="1" ht="24" customHeight="1" x14ac:dyDescent="0.2">
      <c r="B151" s="74"/>
      <c r="C151" s="75"/>
      <c r="D151" s="76"/>
      <c r="E151" s="77"/>
      <c r="F151" s="78" t="str">
        <f>IFERROR(VLOOKUP($E151,設定!$C:$G,2,0),"")</f>
        <v/>
      </c>
      <c r="G151" s="78" t="str">
        <f>IFERROR(VLOOKUP($E151,設定!$C:$G,3,0),"")</f>
        <v/>
      </c>
      <c r="H151" s="78" t="str">
        <f>IFERROR(VLOOKUP($E151,設定!$C:$G,4,0),"")</f>
        <v/>
      </c>
      <c r="I151" s="78" t="str">
        <f>IFERROR(VLOOKUP($E151,設定!$C:$G,5,0),"")</f>
        <v/>
      </c>
      <c r="J151" s="104"/>
    </row>
    <row r="152" spans="2:10" s="3" customFormat="1" ht="24" customHeight="1" x14ac:dyDescent="0.2">
      <c r="B152" s="74"/>
      <c r="C152" s="75"/>
      <c r="D152" s="76"/>
      <c r="E152" s="77"/>
      <c r="F152" s="78" t="str">
        <f>IFERROR(VLOOKUP($E152,設定!$C:$G,2,0),"")</f>
        <v/>
      </c>
      <c r="G152" s="78" t="str">
        <f>IFERROR(VLOOKUP($E152,設定!$C:$G,3,0),"")</f>
        <v/>
      </c>
      <c r="H152" s="78" t="str">
        <f>IFERROR(VLOOKUP($E152,設定!$C:$G,4,0),"")</f>
        <v/>
      </c>
      <c r="I152" s="78" t="str">
        <f>IFERROR(VLOOKUP($E152,設定!$C:$G,5,0),"")</f>
        <v/>
      </c>
      <c r="J152" s="104"/>
    </row>
    <row r="153" spans="2:10" s="3" customFormat="1" ht="24" customHeight="1" x14ac:dyDescent="0.2">
      <c r="B153" s="74"/>
      <c r="C153" s="75"/>
      <c r="D153" s="76"/>
      <c r="E153" s="77"/>
      <c r="F153" s="78" t="str">
        <f>IFERROR(VLOOKUP($E153,設定!$C:$G,2,0),"")</f>
        <v/>
      </c>
      <c r="G153" s="78" t="str">
        <f>IFERROR(VLOOKUP($E153,設定!$C:$G,3,0),"")</f>
        <v/>
      </c>
      <c r="H153" s="78" t="str">
        <f>IFERROR(VLOOKUP($E153,設定!$C:$G,4,0),"")</f>
        <v/>
      </c>
      <c r="I153" s="78" t="str">
        <f>IFERROR(VLOOKUP($E153,設定!$C:$G,5,0),"")</f>
        <v/>
      </c>
      <c r="J153" s="104"/>
    </row>
    <row r="154" spans="2:10" s="3" customFormat="1" ht="24" customHeight="1" x14ac:dyDescent="0.2">
      <c r="B154" s="74"/>
      <c r="C154" s="75"/>
      <c r="D154" s="76"/>
      <c r="E154" s="77"/>
      <c r="F154" s="78" t="str">
        <f>IFERROR(VLOOKUP($E154,設定!$C:$G,2,0),"")</f>
        <v/>
      </c>
      <c r="G154" s="78" t="str">
        <f>IFERROR(VLOOKUP($E154,設定!$C:$G,3,0),"")</f>
        <v/>
      </c>
      <c r="H154" s="78" t="str">
        <f>IFERROR(VLOOKUP($E154,設定!$C:$G,4,0),"")</f>
        <v/>
      </c>
      <c r="I154" s="78" t="str">
        <f>IFERROR(VLOOKUP($E154,設定!$C:$G,5,0),"")</f>
        <v/>
      </c>
      <c r="J154" s="104"/>
    </row>
    <row r="155" spans="2:10" s="3" customFormat="1" ht="24" customHeight="1" x14ac:dyDescent="0.2">
      <c r="B155" s="74"/>
      <c r="C155" s="75"/>
      <c r="D155" s="76"/>
      <c r="E155" s="77"/>
      <c r="F155" s="78" t="str">
        <f>IFERROR(VLOOKUP($E155,設定!$C:$G,2,0),"")</f>
        <v/>
      </c>
      <c r="G155" s="78" t="str">
        <f>IFERROR(VLOOKUP($E155,設定!$C:$G,3,0),"")</f>
        <v/>
      </c>
      <c r="H155" s="78" t="str">
        <f>IFERROR(VLOOKUP($E155,設定!$C:$G,4,0),"")</f>
        <v/>
      </c>
      <c r="I155" s="78" t="str">
        <f>IFERROR(VLOOKUP($E155,設定!$C:$G,5,0),"")</f>
        <v/>
      </c>
      <c r="J155" s="104"/>
    </row>
    <row r="156" spans="2:10" s="3" customFormat="1" ht="24" customHeight="1" x14ac:dyDescent="0.2">
      <c r="B156" s="74"/>
      <c r="C156" s="75"/>
      <c r="D156" s="76"/>
      <c r="E156" s="77"/>
      <c r="F156" s="78" t="str">
        <f>IFERROR(VLOOKUP($E156,設定!$C:$G,2,0),"")</f>
        <v/>
      </c>
      <c r="G156" s="78" t="str">
        <f>IFERROR(VLOOKUP($E156,設定!$C:$G,3,0),"")</f>
        <v/>
      </c>
      <c r="H156" s="78" t="str">
        <f>IFERROR(VLOOKUP($E156,設定!$C:$G,4,0),"")</f>
        <v/>
      </c>
      <c r="I156" s="78" t="str">
        <f>IFERROR(VLOOKUP($E156,設定!$C:$G,5,0),"")</f>
        <v/>
      </c>
      <c r="J156" s="104"/>
    </row>
    <row r="157" spans="2:10" s="3" customFormat="1" ht="24" customHeight="1" x14ac:dyDescent="0.2">
      <c r="B157" s="74"/>
      <c r="C157" s="75"/>
      <c r="D157" s="76"/>
      <c r="E157" s="77"/>
      <c r="F157" s="78" t="str">
        <f>IFERROR(VLOOKUP($E157,設定!$C:$G,2,0),"")</f>
        <v/>
      </c>
      <c r="G157" s="78" t="str">
        <f>IFERROR(VLOOKUP($E157,設定!$C:$G,3,0),"")</f>
        <v/>
      </c>
      <c r="H157" s="78" t="str">
        <f>IFERROR(VLOOKUP($E157,設定!$C:$G,4,0),"")</f>
        <v/>
      </c>
      <c r="I157" s="78" t="str">
        <f>IFERROR(VLOOKUP($E157,設定!$C:$G,5,0),"")</f>
        <v/>
      </c>
      <c r="J157" s="104"/>
    </row>
    <row r="158" spans="2:10" s="3" customFormat="1" ht="24" customHeight="1" x14ac:dyDescent="0.2">
      <c r="B158" s="74"/>
      <c r="C158" s="75"/>
      <c r="D158" s="76"/>
      <c r="E158" s="77"/>
      <c r="F158" s="78" t="str">
        <f>IFERROR(VLOOKUP($E158,設定!$C:$G,2,0),"")</f>
        <v/>
      </c>
      <c r="G158" s="78" t="str">
        <f>IFERROR(VLOOKUP($E158,設定!$C:$G,3,0),"")</f>
        <v/>
      </c>
      <c r="H158" s="78" t="str">
        <f>IFERROR(VLOOKUP($E158,設定!$C:$G,4,0),"")</f>
        <v/>
      </c>
      <c r="I158" s="78" t="str">
        <f>IFERROR(VLOOKUP($E158,設定!$C:$G,5,0),"")</f>
        <v/>
      </c>
      <c r="J158" s="104"/>
    </row>
    <row r="159" spans="2:10" s="3" customFormat="1" ht="24" customHeight="1" x14ac:dyDescent="0.2">
      <c r="B159" s="74"/>
      <c r="C159" s="75"/>
      <c r="D159" s="76"/>
      <c r="E159" s="77"/>
      <c r="F159" s="78" t="str">
        <f>IFERROR(VLOOKUP($E159,設定!$C:$G,2,0),"")</f>
        <v/>
      </c>
      <c r="G159" s="78" t="str">
        <f>IFERROR(VLOOKUP($E159,設定!$C:$G,3,0),"")</f>
        <v/>
      </c>
      <c r="H159" s="78" t="str">
        <f>IFERROR(VLOOKUP($E159,設定!$C:$G,4,0),"")</f>
        <v/>
      </c>
      <c r="I159" s="78" t="str">
        <f>IFERROR(VLOOKUP($E159,設定!$C:$G,5,0),"")</f>
        <v/>
      </c>
      <c r="J159" s="104"/>
    </row>
    <row r="160" spans="2:10" s="3" customFormat="1" ht="24" customHeight="1" x14ac:dyDescent="0.2">
      <c r="B160" s="74"/>
      <c r="C160" s="75"/>
      <c r="D160" s="76"/>
      <c r="E160" s="77"/>
      <c r="F160" s="78" t="str">
        <f>IFERROR(VLOOKUP($E160,設定!$C:$G,2,0),"")</f>
        <v/>
      </c>
      <c r="G160" s="78" t="str">
        <f>IFERROR(VLOOKUP($E160,設定!$C:$G,3,0),"")</f>
        <v/>
      </c>
      <c r="H160" s="78" t="str">
        <f>IFERROR(VLOOKUP($E160,設定!$C:$G,4,0),"")</f>
        <v/>
      </c>
      <c r="I160" s="78" t="str">
        <f>IFERROR(VLOOKUP($E160,設定!$C:$G,5,0),"")</f>
        <v/>
      </c>
      <c r="J160" s="104"/>
    </row>
    <row r="161" spans="2:10" s="3" customFormat="1" ht="24" customHeight="1" x14ac:dyDescent="0.2">
      <c r="B161" s="74"/>
      <c r="C161" s="75"/>
      <c r="D161" s="76"/>
      <c r="E161" s="77"/>
      <c r="F161" s="78" t="str">
        <f>IFERROR(VLOOKUP($E161,設定!$C:$G,2,0),"")</f>
        <v/>
      </c>
      <c r="G161" s="78" t="str">
        <f>IFERROR(VLOOKUP($E161,設定!$C:$G,3,0),"")</f>
        <v/>
      </c>
      <c r="H161" s="78" t="str">
        <f>IFERROR(VLOOKUP($E161,設定!$C:$G,4,0),"")</f>
        <v/>
      </c>
      <c r="I161" s="78" t="str">
        <f>IFERROR(VLOOKUP($E161,設定!$C:$G,5,0),"")</f>
        <v/>
      </c>
      <c r="J161" s="104"/>
    </row>
    <row r="162" spans="2:10" s="3" customFormat="1" ht="24" customHeight="1" x14ac:dyDescent="0.2">
      <c r="B162" s="74"/>
      <c r="C162" s="75"/>
      <c r="D162" s="76"/>
      <c r="E162" s="77"/>
      <c r="F162" s="78" t="str">
        <f>IFERROR(VLOOKUP($E162,設定!$C:$G,2,0),"")</f>
        <v/>
      </c>
      <c r="G162" s="78" t="str">
        <f>IFERROR(VLOOKUP($E162,設定!$C:$G,3,0),"")</f>
        <v/>
      </c>
      <c r="H162" s="78" t="str">
        <f>IFERROR(VLOOKUP($E162,設定!$C:$G,4,0),"")</f>
        <v/>
      </c>
      <c r="I162" s="78" t="str">
        <f>IFERROR(VLOOKUP($E162,設定!$C:$G,5,0),"")</f>
        <v/>
      </c>
      <c r="J162" s="104"/>
    </row>
    <row r="163" spans="2:10" s="3" customFormat="1" ht="24" customHeight="1" x14ac:dyDescent="0.2">
      <c r="B163" s="74"/>
      <c r="C163" s="75"/>
      <c r="D163" s="76"/>
      <c r="E163" s="77"/>
      <c r="F163" s="78" t="str">
        <f>IFERROR(VLOOKUP($E163,設定!$C:$G,2,0),"")</f>
        <v/>
      </c>
      <c r="G163" s="78" t="str">
        <f>IFERROR(VLOOKUP($E163,設定!$C:$G,3,0),"")</f>
        <v/>
      </c>
      <c r="H163" s="78" t="str">
        <f>IFERROR(VLOOKUP($E163,設定!$C:$G,4,0),"")</f>
        <v/>
      </c>
      <c r="I163" s="78" t="str">
        <f>IFERROR(VLOOKUP($E163,設定!$C:$G,5,0),"")</f>
        <v/>
      </c>
      <c r="J163" s="104"/>
    </row>
    <row r="164" spans="2:10" s="3" customFormat="1" ht="24" customHeight="1" x14ac:dyDescent="0.2">
      <c r="B164" s="74"/>
      <c r="C164" s="75"/>
      <c r="D164" s="76"/>
      <c r="E164" s="77"/>
      <c r="F164" s="78" t="str">
        <f>IFERROR(VLOOKUP($E164,設定!$C:$G,2,0),"")</f>
        <v/>
      </c>
      <c r="G164" s="78" t="str">
        <f>IFERROR(VLOOKUP($E164,設定!$C:$G,3,0),"")</f>
        <v/>
      </c>
      <c r="H164" s="78" t="str">
        <f>IFERROR(VLOOKUP($E164,設定!$C:$G,4,0),"")</f>
        <v/>
      </c>
      <c r="I164" s="78" t="str">
        <f>IFERROR(VLOOKUP($E164,設定!$C:$G,5,0),"")</f>
        <v/>
      </c>
      <c r="J164" s="104"/>
    </row>
    <row r="165" spans="2:10" s="3" customFormat="1" ht="24" customHeight="1" x14ac:dyDescent="0.2">
      <c r="B165" s="74"/>
      <c r="C165" s="75"/>
      <c r="D165" s="76"/>
      <c r="E165" s="77"/>
      <c r="F165" s="78" t="str">
        <f>IFERROR(VLOOKUP($E165,設定!$C:$G,2,0),"")</f>
        <v/>
      </c>
      <c r="G165" s="78" t="str">
        <f>IFERROR(VLOOKUP($E165,設定!$C:$G,3,0),"")</f>
        <v/>
      </c>
      <c r="H165" s="78" t="str">
        <f>IFERROR(VLOOKUP($E165,設定!$C:$G,4,0),"")</f>
        <v/>
      </c>
      <c r="I165" s="78" t="str">
        <f>IFERROR(VLOOKUP($E165,設定!$C:$G,5,0),"")</f>
        <v/>
      </c>
      <c r="J165" s="104"/>
    </row>
    <row r="166" spans="2:10" s="3" customFormat="1" ht="24" customHeight="1" x14ac:dyDescent="0.2">
      <c r="B166" s="74"/>
      <c r="C166" s="75"/>
      <c r="D166" s="76"/>
      <c r="E166" s="77"/>
      <c r="F166" s="78" t="str">
        <f>IFERROR(VLOOKUP($E166,設定!$C:$G,2,0),"")</f>
        <v/>
      </c>
      <c r="G166" s="78" t="str">
        <f>IFERROR(VLOOKUP($E166,設定!$C:$G,3,0),"")</f>
        <v/>
      </c>
      <c r="H166" s="78" t="str">
        <f>IFERROR(VLOOKUP($E166,設定!$C:$G,4,0),"")</f>
        <v/>
      </c>
      <c r="I166" s="78" t="str">
        <f>IFERROR(VLOOKUP($E166,設定!$C:$G,5,0),"")</f>
        <v/>
      </c>
      <c r="J166" s="104"/>
    </row>
    <row r="167" spans="2:10" s="3" customFormat="1" ht="24" customHeight="1" x14ac:dyDescent="0.2">
      <c r="B167" s="74"/>
      <c r="C167" s="75"/>
      <c r="D167" s="76"/>
      <c r="E167" s="77"/>
      <c r="F167" s="78" t="str">
        <f>IFERROR(VLOOKUP($E167,設定!$C:$G,2,0),"")</f>
        <v/>
      </c>
      <c r="G167" s="78" t="str">
        <f>IFERROR(VLOOKUP($E167,設定!$C:$G,3,0),"")</f>
        <v/>
      </c>
      <c r="H167" s="78" t="str">
        <f>IFERROR(VLOOKUP($E167,設定!$C:$G,4,0),"")</f>
        <v/>
      </c>
      <c r="I167" s="78" t="str">
        <f>IFERROR(VLOOKUP($E167,設定!$C:$G,5,0),"")</f>
        <v/>
      </c>
      <c r="J167" s="104"/>
    </row>
    <row r="168" spans="2:10" s="3" customFormat="1" ht="24" customHeight="1" x14ac:dyDescent="0.2">
      <c r="B168" s="74"/>
      <c r="C168" s="75"/>
      <c r="D168" s="76"/>
      <c r="E168" s="77"/>
      <c r="F168" s="78" t="str">
        <f>IFERROR(VLOOKUP($E168,設定!$C:$G,2,0),"")</f>
        <v/>
      </c>
      <c r="G168" s="78" t="str">
        <f>IFERROR(VLOOKUP($E168,設定!$C:$G,3,0),"")</f>
        <v/>
      </c>
      <c r="H168" s="78" t="str">
        <f>IFERROR(VLOOKUP($E168,設定!$C:$G,4,0),"")</f>
        <v/>
      </c>
      <c r="I168" s="78" t="str">
        <f>IFERROR(VLOOKUP($E168,設定!$C:$G,5,0),"")</f>
        <v/>
      </c>
      <c r="J168" s="104"/>
    </row>
    <row r="169" spans="2:10" s="3" customFormat="1" ht="24" customHeight="1" x14ac:dyDescent="0.2">
      <c r="B169" s="74"/>
      <c r="C169" s="75"/>
      <c r="D169" s="76"/>
      <c r="E169" s="77"/>
      <c r="F169" s="78" t="str">
        <f>IFERROR(VLOOKUP($E169,設定!$C:$G,2,0),"")</f>
        <v/>
      </c>
      <c r="G169" s="78" t="str">
        <f>IFERROR(VLOOKUP($E169,設定!$C:$G,3,0),"")</f>
        <v/>
      </c>
      <c r="H169" s="78" t="str">
        <f>IFERROR(VLOOKUP($E169,設定!$C:$G,4,0),"")</f>
        <v/>
      </c>
      <c r="I169" s="78" t="str">
        <f>IFERROR(VLOOKUP($E169,設定!$C:$G,5,0),"")</f>
        <v/>
      </c>
      <c r="J169" s="104"/>
    </row>
    <row r="170" spans="2:10" s="3" customFormat="1" ht="24" customHeight="1" x14ac:dyDescent="0.2">
      <c r="B170" s="74"/>
      <c r="C170" s="75"/>
      <c r="D170" s="76"/>
      <c r="E170" s="77"/>
      <c r="F170" s="78" t="str">
        <f>IFERROR(VLOOKUP($E170,設定!$C:$G,2,0),"")</f>
        <v/>
      </c>
      <c r="G170" s="78" t="str">
        <f>IFERROR(VLOOKUP($E170,設定!$C:$G,3,0),"")</f>
        <v/>
      </c>
      <c r="H170" s="78" t="str">
        <f>IFERROR(VLOOKUP($E170,設定!$C:$G,4,0),"")</f>
        <v/>
      </c>
      <c r="I170" s="78" t="str">
        <f>IFERROR(VLOOKUP($E170,設定!$C:$G,5,0),"")</f>
        <v/>
      </c>
      <c r="J170" s="104"/>
    </row>
    <row r="171" spans="2:10" s="3" customFormat="1" ht="24" customHeight="1" x14ac:dyDescent="0.2">
      <c r="B171" s="74"/>
      <c r="C171" s="75"/>
      <c r="D171" s="76"/>
      <c r="E171" s="77"/>
      <c r="F171" s="78" t="str">
        <f>IFERROR(VLOOKUP($E171,設定!$C:$G,2,0),"")</f>
        <v/>
      </c>
      <c r="G171" s="78" t="str">
        <f>IFERROR(VLOOKUP($E171,設定!$C:$G,3,0),"")</f>
        <v/>
      </c>
      <c r="H171" s="78" t="str">
        <f>IFERROR(VLOOKUP($E171,設定!$C:$G,4,0),"")</f>
        <v/>
      </c>
      <c r="I171" s="78" t="str">
        <f>IFERROR(VLOOKUP($E171,設定!$C:$G,5,0),"")</f>
        <v/>
      </c>
      <c r="J171" s="104"/>
    </row>
    <row r="172" spans="2:10" s="3" customFormat="1" ht="24" customHeight="1" x14ac:dyDescent="0.2">
      <c r="B172" s="74"/>
      <c r="C172" s="75"/>
      <c r="D172" s="76"/>
      <c r="E172" s="77"/>
      <c r="F172" s="78" t="str">
        <f>IFERROR(VLOOKUP($E172,設定!$C:$G,2,0),"")</f>
        <v/>
      </c>
      <c r="G172" s="78" t="str">
        <f>IFERROR(VLOOKUP($E172,設定!$C:$G,3,0),"")</f>
        <v/>
      </c>
      <c r="H172" s="78" t="str">
        <f>IFERROR(VLOOKUP($E172,設定!$C:$G,4,0),"")</f>
        <v/>
      </c>
      <c r="I172" s="78" t="str">
        <f>IFERROR(VLOOKUP($E172,設定!$C:$G,5,0),"")</f>
        <v/>
      </c>
      <c r="J172" s="104"/>
    </row>
    <row r="173" spans="2:10" s="3" customFormat="1" ht="24" customHeight="1" x14ac:dyDescent="0.2">
      <c r="B173" s="74"/>
      <c r="C173" s="75"/>
      <c r="D173" s="76"/>
      <c r="E173" s="77"/>
      <c r="F173" s="78" t="str">
        <f>IFERROR(VLOOKUP($E173,設定!$C:$G,2,0),"")</f>
        <v/>
      </c>
      <c r="G173" s="78" t="str">
        <f>IFERROR(VLOOKUP($E173,設定!$C:$G,3,0),"")</f>
        <v/>
      </c>
      <c r="H173" s="78" t="str">
        <f>IFERROR(VLOOKUP($E173,設定!$C:$G,4,0),"")</f>
        <v/>
      </c>
      <c r="I173" s="78" t="str">
        <f>IFERROR(VLOOKUP($E173,設定!$C:$G,5,0),"")</f>
        <v/>
      </c>
      <c r="J173" s="104"/>
    </row>
    <row r="174" spans="2:10" s="3" customFormat="1" ht="24" customHeight="1" x14ac:dyDescent="0.2">
      <c r="B174" s="74"/>
      <c r="C174" s="75"/>
      <c r="D174" s="76"/>
      <c r="E174" s="77"/>
      <c r="F174" s="78" t="str">
        <f>IFERROR(VLOOKUP($E174,設定!$C:$G,2,0),"")</f>
        <v/>
      </c>
      <c r="G174" s="78" t="str">
        <f>IFERROR(VLOOKUP($E174,設定!$C:$G,3,0),"")</f>
        <v/>
      </c>
      <c r="H174" s="78" t="str">
        <f>IFERROR(VLOOKUP($E174,設定!$C:$G,4,0),"")</f>
        <v/>
      </c>
      <c r="I174" s="78" t="str">
        <f>IFERROR(VLOOKUP($E174,設定!$C:$G,5,0),"")</f>
        <v/>
      </c>
      <c r="J174" s="104"/>
    </row>
    <row r="175" spans="2:10" s="3" customFormat="1" ht="24" customHeight="1" x14ac:dyDescent="0.2">
      <c r="B175" s="74"/>
      <c r="C175" s="75"/>
      <c r="D175" s="76"/>
      <c r="E175" s="77"/>
      <c r="F175" s="78" t="str">
        <f>IFERROR(VLOOKUP($E175,設定!$C:$G,2,0),"")</f>
        <v/>
      </c>
      <c r="G175" s="78" t="str">
        <f>IFERROR(VLOOKUP($E175,設定!$C:$G,3,0),"")</f>
        <v/>
      </c>
      <c r="H175" s="78" t="str">
        <f>IFERROR(VLOOKUP($E175,設定!$C:$G,4,0),"")</f>
        <v/>
      </c>
      <c r="I175" s="78" t="str">
        <f>IFERROR(VLOOKUP($E175,設定!$C:$G,5,0),"")</f>
        <v/>
      </c>
      <c r="J175" s="104"/>
    </row>
    <row r="176" spans="2:10" s="3" customFormat="1" ht="24" customHeight="1" x14ac:dyDescent="0.2">
      <c r="B176" s="74"/>
      <c r="C176" s="75"/>
      <c r="D176" s="76"/>
      <c r="E176" s="77"/>
      <c r="F176" s="78" t="str">
        <f>IFERROR(VLOOKUP($E176,設定!$C:$G,2,0),"")</f>
        <v/>
      </c>
      <c r="G176" s="78" t="str">
        <f>IFERROR(VLOOKUP($E176,設定!$C:$G,3,0),"")</f>
        <v/>
      </c>
      <c r="H176" s="78" t="str">
        <f>IFERROR(VLOOKUP($E176,設定!$C:$G,4,0),"")</f>
        <v/>
      </c>
      <c r="I176" s="78" t="str">
        <f>IFERROR(VLOOKUP($E176,設定!$C:$G,5,0),"")</f>
        <v/>
      </c>
      <c r="J176" s="104"/>
    </row>
    <row r="177" spans="2:10" s="3" customFormat="1" ht="24" customHeight="1" x14ac:dyDescent="0.2">
      <c r="B177" s="74"/>
      <c r="C177" s="75"/>
      <c r="D177" s="76"/>
      <c r="E177" s="77"/>
      <c r="F177" s="78" t="str">
        <f>IFERROR(VLOOKUP($E177,設定!$C:$G,2,0),"")</f>
        <v/>
      </c>
      <c r="G177" s="78" t="str">
        <f>IFERROR(VLOOKUP($E177,設定!$C:$G,3,0),"")</f>
        <v/>
      </c>
      <c r="H177" s="78" t="str">
        <f>IFERROR(VLOOKUP($E177,設定!$C:$G,4,0),"")</f>
        <v/>
      </c>
      <c r="I177" s="78" t="str">
        <f>IFERROR(VLOOKUP($E177,設定!$C:$G,5,0),"")</f>
        <v/>
      </c>
      <c r="J177" s="104"/>
    </row>
    <row r="178" spans="2:10" s="3" customFormat="1" ht="24" customHeight="1" x14ac:dyDescent="0.2">
      <c r="B178" s="74"/>
      <c r="C178" s="75"/>
      <c r="D178" s="76"/>
      <c r="E178" s="77"/>
      <c r="F178" s="78" t="str">
        <f>IFERROR(VLOOKUP($E178,設定!$C:$G,2,0),"")</f>
        <v/>
      </c>
      <c r="G178" s="78" t="str">
        <f>IFERROR(VLOOKUP($E178,設定!$C:$G,3,0),"")</f>
        <v/>
      </c>
      <c r="H178" s="78" t="str">
        <f>IFERROR(VLOOKUP($E178,設定!$C:$G,4,0),"")</f>
        <v/>
      </c>
      <c r="I178" s="78" t="str">
        <f>IFERROR(VLOOKUP($E178,設定!$C:$G,5,0),"")</f>
        <v/>
      </c>
      <c r="J178" s="104"/>
    </row>
    <row r="179" spans="2:10" s="3" customFormat="1" ht="24" customHeight="1" x14ac:dyDescent="0.2">
      <c r="B179" s="74"/>
      <c r="C179" s="75"/>
      <c r="D179" s="76"/>
      <c r="E179" s="77"/>
      <c r="F179" s="78" t="str">
        <f>IFERROR(VLOOKUP($E179,設定!$C:$G,2,0),"")</f>
        <v/>
      </c>
      <c r="G179" s="78" t="str">
        <f>IFERROR(VLOOKUP($E179,設定!$C:$G,3,0),"")</f>
        <v/>
      </c>
      <c r="H179" s="78" t="str">
        <f>IFERROR(VLOOKUP($E179,設定!$C:$G,4,0),"")</f>
        <v/>
      </c>
      <c r="I179" s="78" t="str">
        <f>IFERROR(VLOOKUP($E179,設定!$C:$G,5,0),"")</f>
        <v/>
      </c>
      <c r="J179" s="104"/>
    </row>
    <row r="180" spans="2:10" s="3" customFormat="1" ht="24" customHeight="1" x14ac:dyDescent="0.2">
      <c r="B180" s="74"/>
      <c r="C180" s="75"/>
      <c r="D180" s="76"/>
      <c r="E180" s="77"/>
      <c r="F180" s="78" t="str">
        <f>IFERROR(VLOOKUP($E180,設定!$C:$G,2,0),"")</f>
        <v/>
      </c>
      <c r="G180" s="78" t="str">
        <f>IFERROR(VLOOKUP($E180,設定!$C:$G,3,0),"")</f>
        <v/>
      </c>
      <c r="H180" s="78" t="str">
        <f>IFERROR(VLOOKUP($E180,設定!$C:$G,4,0),"")</f>
        <v/>
      </c>
      <c r="I180" s="78" t="str">
        <f>IFERROR(VLOOKUP($E180,設定!$C:$G,5,0),"")</f>
        <v/>
      </c>
      <c r="J180" s="104"/>
    </row>
    <row r="181" spans="2:10" s="3" customFormat="1" ht="24" customHeight="1" x14ac:dyDescent="0.2">
      <c r="B181" s="74"/>
      <c r="C181" s="75"/>
      <c r="D181" s="76"/>
      <c r="E181" s="77"/>
      <c r="F181" s="78" t="str">
        <f>IFERROR(VLOOKUP($E181,設定!$C:$G,2,0),"")</f>
        <v/>
      </c>
      <c r="G181" s="78" t="str">
        <f>IFERROR(VLOOKUP($E181,設定!$C:$G,3,0),"")</f>
        <v/>
      </c>
      <c r="H181" s="78" t="str">
        <f>IFERROR(VLOOKUP($E181,設定!$C:$G,4,0),"")</f>
        <v/>
      </c>
      <c r="I181" s="78" t="str">
        <f>IFERROR(VLOOKUP($E181,設定!$C:$G,5,0),"")</f>
        <v/>
      </c>
      <c r="J181" s="104"/>
    </row>
    <row r="182" spans="2:10" s="3" customFormat="1" ht="24" customHeight="1" x14ac:dyDescent="0.2">
      <c r="B182" s="74"/>
      <c r="C182" s="75"/>
      <c r="D182" s="76"/>
      <c r="E182" s="77"/>
      <c r="F182" s="78" t="str">
        <f>IFERROR(VLOOKUP($E182,設定!$C:$G,2,0),"")</f>
        <v/>
      </c>
      <c r="G182" s="78" t="str">
        <f>IFERROR(VLOOKUP($E182,設定!$C:$G,3,0),"")</f>
        <v/>
      </c>
      <c r="H182" s="78" t="str">
        <f>IFERROR(VLOOKUP($E182,設定!$C:$G,4,0),"")</f>
        <v/>
      </c>
      <c r="I182" s="78" t="str">
        <f>IFERROR(VLOOKUP($E182,設定!$C:$G,5,0),"")</f>
        <v/>
      </c>
      <c r="J182" s="104"/>
    </row>
    <row r="183" spans="2:10" s="3" customFormat="1" ht="24" customHeight="1" x14ac:dyDescent="0.2">
      <c r="B183" s="74"/>
      <c r="C183" s="75"/>
      <c r="D183" s="76"/>
      <c r="E183" s="77"/>
      <c r="F183" s="78" t="str">
        <f>IFERROR(VLOOKUP($E183,設定!$C:$G,2,0),"")</f>
        <v/>
      </c>
      <c r="G183" s="78" t="str">
        <f>IFERROR(VLOOKUP($E183,設定!$C:$G,3,0),"")</f>
        <v/>
      </c>
      <c r="H183" s="78" t="str">
        <f>IFERROR(VLOOKUP($E183,設定!$C:$G,4,0),"")</f>
        <v/>
      </c>
      <c r="I183" s="78" t="str">
        <f>IFERROR(VLOOKUP($E183,設定!$C:$G,5,0),"")</f>
        <v/>
      </c>
      <c r="J183" s="104"/>
    </row>
    <row r="184" spans="2:10" s="3" customFormat="1" ht="24" customHeight="1" x14ac:dyDescent="0.2">
      <c r="B184" s="74"/>
      <c r="C184" s="75"/>
      <c r="D184" s="76"/>
      <c r="E184" s="77"/>
      <c r="F184" s="78" t="str">
        <f>IFERROR(VLOOKUP($E184,設定!$C:$G,2,0),"")</f>
        <v/>
      </c>
      <c r="G184" s="78" t="str">
        <f>IFERROR(VLOOKUP($E184,設定!$C:$G,3,0),"")</f>
        <v/>
      </c>
      <c r="H184" s="78" t="str">
        <f>IFERROR(VLOOKUP($E184,設定!$C:$G,4,0),"")</f>
        <v/>
      </c>
      <c r="I184" s="78" t="str">
        <f>IFERROR(VLOOKUP($E184,設定!$C:$G,5,0),"")</f>
        <v/>
      </c>
      <c r="J184" s="104"/>
    </row>
    <row r="185" spans="2:10" s="3" customFormat="1" ht="24" customHeight="1" x14ac:dyDescent="0.2">
      <c r="B185" s="74"/>
      <c r="C185" s="75"/>
      <c r="D185" s="76"/>
      <c r="E185" s="77"/>
      <c r="F185" s="78" t="str">
        <f>IFERROR(VLOOKUP($E185,設定!$C:$G,2,0),"")</f>
        <v/>
      </c>
      <c r="G185" s="78" t="str">
        <f>IFERROR(VLOOKUP($E185,設定!$C:$G,3,0),"")</f>
        <v/>
      </c>
      <c r="H185" s="78" t="str">
        <f>IFERROR(VLOOKUP($E185,設定!$C:$G,4,0),"")</f>
        <v/>
      </c>
      <c r="I185" s="78" t="str">
        <f>IFERROR(VLOOKUP($E185,設定!$C:$G,5,0),"")</f>
        <v/>
      </c>
      <c r="J185" s="104"/>
    </row>
    <row r="186" spans="2:10" s="3" customFormat="1" ht="24" customHeight="1" x14ac:dyDescent="0.2">
      <c r="B186" s="74"/>
      <c r="C186" s="75"/>
      <c r="D186" s="76"/>
      <c r="E186" s="77"/>
      <c r="F186" s="78" t="str">
        <f>IFERROR(VLOOKUP($E186,設定!$C:$G,2,0),"")</f>
        <v/>
      </c>
      <c r="G186" s="78" t="str">
        <f>IFERROR(VLOOKUP($E186,設定!$C:$G,3,0),"")</f>
        <v/>
      </c>
      <c r="H186" s="78" t="str">
        <f>IFERROR(VLOOKUP($E186,設定!$C:$G,4,0),"")</f>
        <v/>
      </c>
      <c r="I186" s="78" t="str">
        <f>IFERROR(VLOOKUP($E186,設定!$C:$G,5,0),"")</f>
        <v/>
      </c>
      <c r="J186" s="104"/>
    </row>
    <row r="187" spans="2:10" s="3" customFormat="1" ht="24" customHeight="1" x14ac:dyDescent="0.2">
      <c r="B187" s="74"/>
      <c r="C187" s="75"/>
      <c r="D187" s="76"/>
      <c r="E187" s="77"/>
      <c r="F187" s="78" t="str">
        <f>IFERROR(VLOOKUP($E187,設定!$C:$G,2,0),"")</f>
        <v/>
      </c>
      <c r="G187" s="78" t="str">
        <f>IFERROR(VLOOKUP($E187,設定!$C:$G,3,0),"")</f>
        <v/>
      </c>
      <c r="H187" s="78" t="str">
        <f>IFERROR(VLOOKUP($E187,設定!$C:$G,4,0),"")</f>
        <v/>
      </c>
      <c r="I187" s="78" t="str">
        <f>IFERROR(VLOOKUP($E187,設定!$C:$G,5,0),"")</f>
        <v/>
      </c>
      <c r="J187" s="104"/>
    </row>
    <row r="188" spans="2:10" s="3" customFormat="1" ht="24" customHeight="1" x14ac:dyDescent="0.2">
      <c r="B188" s="74"/>
      <c r="C188" s="75"/>
      <c r="D188" s="76"/>
      <c r="E188" s="77"/>
      <c r="F188" s="78" t="str">
        <f>IFERROR(VLOOKUP($E188,設定!$C:$G,2,0),"")</f>
        <v/>
      </c>
      <c r="G188" s="78" t="str">
        <f>IFERROR(VLOOKUP($E188,設定!$C:$G,3,0),"")</f>
        <v/>
      </c>
      <c r="H188" s="78" t="str">
        <f>IFERROR(VLOOKUP($E188,設定!$C:$G,4,0),"")</f>
        <v/>
      </c>
      <c r="I188" s="78" t="str">
        <f>IFERROR(VLOOKUP($E188,設定!$C:$G,5,0),"")</f>
        <v/>
      </c>
      <c r="J188" s="104"/>
    </row>
    <row r="189" spans="2:10" s="3" customFormat="1" ht="24" customHeight="1" x14ac:dyDescent="0.2">
      <c r="B189" s="74"/>
      <c r="C189" s="75"/>
      <c r="D189" s="76"/>
      <c r="E189" s="77"/>
      <c r="F189" s="78" t="str">
        <f>IFERROR(VLOOKUP($E189,設定!$C:$G,2,0),"")</f>
        <v/>
      </c>
      <c r="G189" s="78" t="str">
        <f>IFERROR(VLOOKUP($E189,設定!$C:$G,3,0),"")</f>
        <v/>
      </c>
      <c r="H189" s="78" t="str">
        <f>IFERROR(VLOOKUP($E189,設定!$C:$G,4,0),"")</f>
        <v/>
      </c>
      <c r="I189" s="78" t="str">
        <f>IFERROR(VLOOKUP($E189,設定!$C:$G,5,0),"")</f>
        <v/>
      </c>
      <c r="J189" s="104"/>
    </row>
    <row r="190" spans="2:10" s="3" customFormat="1" ht="24" customHeight="1" x14ac:dyDescent="0.2">
      <c r="B190" s="74"/>
      <c r="C190" s="75"/>
      <c r="D190" s="76"/>
      <c r="E190" s="77"/>
      <c r="F190" s="78" t="str">
        <f>IFERROR(VLOOKUP($E190,設定!$C:$G,2,0),"")</f>
        <v/>
      </c>
      <c r="G190" s="78" t="str">
        <f>IFERROR(VLOOKUP($E190,設定!$C:$G,3,0),"")</f>
        <v/>
      </c>
      <c r="H190" s="78" t="str">
        <f>IFERROR(VLOOKUP($E190,設定!$C:$G,4,0),"")</f>
        <v/>
      </c>
      <c r="I190" s="78" t="str">
        <f>IFERROR(VLOOKUP($E190,設定!$C:$G,5,0),"")</f>
        <v/>
      </c>
      <c r="J190" s="104"/>
    </row>
    <row r="191" spans="2:10" s="3" customFormat="1" ht="24" customHeight="1" x14ac:dyDescent="0.2">
      <c r="B191" s="74"/>
      <c r="C191" s="75"/>
      <c r="D191" s="76"/>
      <c r="E191" s="77"/>
      <c r="F191" s="78" t="str">
        <f>IFERROR(VLOOKUP($E191,設定!$C:$G,2,0),"")</f>
        <v/>
      </c>
      <c r="G191" s="78" t="str">
        <f>IFERROR(VLOOKUP($E191,設定!$C:$G,3,0),"")</f>
        <v/>
      </c>
      <c r="H191" s="78" t="str">
        <f>IFERROR(VLOOKUP($E191,設定!$C:$G,4,0),"")</f>
        <v/>
      </c>
      <c r="I191" s="78" t="str">
        <f>IFERROR(VLOOKUP($E191,設定!$C:$G,5,0),"")</f>
        <v/>
      </c>
      <c r="J191" s="104"/>
    </row>
    <row r="192" spans="2:10" s="3" customFormat="1" ht="24" customHeight="1" x14ac:dyDescent="0.2">
      <c r="B192" s="74"/>
      <c r="C192" s="75"/>
      <c r="D192" s="76"/>
      <c r="E192" s="77"/>
      <c r="F192" s="78" t="str">
        <f>IFERROR(VLOOKUP($E192,設定!$C:$G,2,0),"")</f>
        <v/>
      </c>
      <c r="G192" s="78" t="str">
        <f>IFERROR(VLOOKUP($E192,設定!$C:$G,3,0),"")</f>
        <v/>
      </c>
      <c r="H192" s="78" t="str">
        <f>IFERROR(VLOOKUP($E192,設定!$C:$G,4,0),"")</f>
        <v/>
      </c>
      <c r="I192" s="78" t="str">
        <f>IFERROR(VLOOKUP($E192,設定!$C:$G,5,0),"")</f>
        <v/>
      </c>
      <c r="J192" s="104"/>
    </row>
    <row r="193" spans="2:10" s="3" customFormat="1" ht="24" customHeight="1" x14ac:dyDescent="0.2">
      <c r="B193" s="74"/>
      <c r="C193" s="75"/>
      <c r="D193" s="76"/>
      <c r="E193" s="77"/>
      <c r="F193" s="78" t="str">
        <f>IFERROR(VLOOKUP($E193,設定!$C:$G,2,0),"")</f>
        <v/>
      </c>
      <c r="G193" s="78" t="str">
        <f>IFERROR(VLOOKUP($E193,設定!$C:$G,3,0),"")</f>
        <v/>
      </c>
      <c r="H193" s="78" t="str">
        <f>IFERROR(VLOOKUP($E193,設定!$C:$G,4,0),"")</f>
        <v/>
      </c>
      <c r="I193" s="78" t="str">
        <f>IFERROR(VLOOKUP($E193,設定!$C:$G,5,0),"")</f>
        <v/>
      </c>
      <c r="J193" s="104"/>
    </row>
    <row r="194" spans="2:10" s="3" customFormat="1" ht="24" customHeight="1" x14ac:dyDescent="0.2">
      <c r="B194" s="74"/>
      <c r="C194" s="75"/>
      <c r="D194" s="76"/>
      <c r="E194" s="77"/>
      <c r="F194" s="78" t="str">
        <f>IFERROR(VLOOKUP($E194,設定!$C:$G,2,0),"")</f>
        <v/>
      </c>
      <c r="G194" s="78" t="str">
        <f>IFERROR(VLOOKUP($E194,設定!$C:$G,3,0),"")</f>
        <v/>
      </c>
      <c r="H194" s="78" t="str">
        <f>IFERROR(VLOOKUP($E194,設定!$C:$G,4,0),"")</f>
        <v/>
      </c>
      <c r="I194" s="78" t="str">
        <f>IFERROR(VLOOKUP($E194,設定!$C:$G,5,0),"")</f>
        <v/>
      </c>
      <c r="J194" s="104"/>
    </row>
    <row r="195" spans="2:10" s="3" customFormat="1" ht="24" customHeight="1" x14ac:dyDescent="0.2">
      <c r="B195" s="74"/>
      <c r="C195" s="75"/>
      <c r="D195" s="76"/>
      <c r="E195" s="77"/>
      <c r="F195" s="78" t="str">
        <f>IFERROR(VLOOKUP($E195,設定!$C:$G,2,0),"")</f>
        <v/>
      </c>
      <c r="G195" s="78" t="str">
        <f>IFERROR(VLOOKUP($E195,設定!$C:$G,3,0),"")</f>
        <v/>
      </c>
      <c r="H195" s="78" t="str">
        <f>IFERROR(VLOOKUP($E195,設定!$C:$G,4,0),"")</f>
        <v/>
      </c>
      <c r="I195" s="78" t="str">
        <f>IFERROR(VLOOKUP($E195,設定!$C:$G,5,0),"")</f>
        <v/>
      </c>
      <c r="J195" s="104"/>
    </row>
    <row r="196" spans="2:10" s="3" customFormat="1" ht="24" customHeight="1" x14ac:dyDescent="0.2">
      <c r="B196" s="74"/>
      <c r="C196" s="75"/>
      <c r="D196" s="76"/>
      <c r="E196" s="77"/>
      <c r="F196" s="78" t="str">
        <f>IFERROR(VLOOKUP($E196,設定!$C:$G,2,0),"")</f>
        <v/>
      </c>
      <c r="G196" s="78" t="str">
        <f>IFERROR(VLOOKUP($E196,設定!$C:$G,3,0),"")</f>
        <v/>
      </c>
      <c r="H196" s="78" t="str">
        <f>IFERROR(VLOOKUP($E196,設定!$C:$G,4,0),"")</f>
        <v/>
      </c>
      <c r="I196" s="78" t="str">
        <f>IFERROR(VLOOKUP($E196,設定!$C:$G,5,0),"")</f>
        <v/>
      </c>
      <c r="J196" s="104"/>
    </row>
    <row r="197" spans="2:10" s="3" customFormat="1" ht="24" customHeight="1" x14ac:dyDescent="0.2">
      <c r="B197" s="74"/>
      <c r="C197" s="75"/>
      <c r="D197" s="76"/>
      <c r="E197" s="77"/>
      <c r="F197" s="78" t="str">
        <f>IFERROR(VLOOKUP($E197,設定!$C:$G,2,0),"")</f>
        <v/>
      </c>
      <c r="G197" s="78" t="str">
        <f>IFERROR(VLOOKUP($E197,設定!$C:$G,3,0),"")</f>
        <v/>
      </c>
      <c r="H197" s="78" t="str">
        <f>IFERROR(VLOOKUP($E197,設定!$C:$G,4,0),"")</f>
        <v/>
      </c>
      <c r="I197" s="78" t="str">
        <f>IFERROR(VLOOKUP($E197,設定!$C:$G,5,0),"")</f>
        <v/>
      </c>
      <c r="J197" s="104"/>
    </row>
    <row r="198" spans="2:10" s="3" customFormat="1" ht="24" customHeight="1" x14ac:dyDescent="0.2">
      <c r="B198" s="74"/>
      <c r="C198" s="75"/>
      <c r="D198" s="76"/>
      <c r="E198" s="77"/>
      <c r="F198" s="78" t="str">
        <f>IFERROR(VLOOKUP($E198,設定!$C:$G,2,0),"")</f>
        <v/>
      </c>
      <c r="G198" s="78" t="str">
        <f>IFERROR(VLOOKUP($E198,設定!$C:$G,3,0),"")</f>
        <v/>
      </c>
      <c r="H198" s="78" t="str">
        <f>IFERROR(VLOOKUP($E198,設定!$C:$G,4,0),"")</f>
        <v/>
      </c>
      <c r="I198" s="78" t="str">
        <f>IFERROR(VLOOKUP($E198,設定!$C:$G,5,0),"")</f>
        <v/>
      </c>
      <c r="J198" s="104"/>
    </row>
    <row r="199" spans="2:10" s="3" customFormat="1" ht="24" customHeight="1" x14ac:dyDescent="0.2">
      <c r="B199" s="74"/>
      <c r="C199" s="75"/>
      <c r="D199" s="76"/>
      <c r="E199" s="77"/>
      <c r="F199" s="78" t="str">
        <f>IFERROR(VLOOKUP($E199,設定!$C:$G,2,0),"")</f>
        <v/>
      </c>
      <c r="G199" s="78" t="str">
        <f>IFERROR(VLOOKUP($E199,設定!$C:$G,3,0),"")</f>
        <v/>
      </c>
      <c r="H199" s="78" t="str">
        <f>IFERROR(VLOOKUP($E199,設定!$C:$G,4,0),"")</f>
        <v/>
      </c>
      <c r="I199" s="78" t="str">
        <f>IFERROR(VLOOKUP($E199,設定!$C:$G,5,0),"")</f>
        <v/>
      </c>
      <c r="J199" s="104"/>
    </row>
    <row r="200" spans="2:10" s="3" customFormat="1" ht="24" customHeight="1" x14ac:dyDescent="0.2">
      <c r="B200" s="74"/>
      <c r="C200" s="75"/>
      <c r="D200" s="76"/>
      <c r="E200" s="77"/>
      <c r="F200" s="78" t="str">
        <f>IFERROR(VLOOKUP($E200,設定!$C:$G,2,0),"")</f>
        <v/>
      </c>
      <c r="G200" s="78" t="str">
        <f>IFERROR(VLOOKUP($E200,設定!$C:$G,3,0),"")</f>
        <v/>
      </c>
      <c r="H200" s="78" t="str">
        <f>IFERROR(VLOOKUP($E200,設定!$C:$G,4,0),"")</f>
        <v/>
      </c>
      <c r="I200" s="78" t="str">
        <f>IFERROR(VLOOKUP($E200,設定!$C:$G,5,0),"")</f>
        <v/>
      </c>
      <c r="J200" s="104"/>
    </row>
    <row r="201" spans="2:10" s="3" customFormat="1" ht="24" customHeight="1" x14ac:dyDescent="0.2">
      <c r="B201" s="74"/>
      <c r="C201" s="75"/>
      <c r="D201" s="76"/>
      <c r="E201" s="77"/>
      <c r="F201" s="78" t="str">
        <f>IFERROR(VLOOKUP($E201,設定!$C:$G,2,0),"")</f>
        <v/>
      </c>
      <c r="G201" s="78" t="str">
        <f>IFERROR(VLOOKUP($E201,設定!$C:$G,3,0),"")</f>
        <v/>
      </c>
      <c r="H201" s="78" t="str">
        <f>IFERROR(VLOOKUP($E201,設定!$C:$G,4,0),"")</f>
        <v/>
      </c>
      <c r="I201" s="78" t="str">
        <f>IFERROR(VLOOKUP($E201,設定!$C:$G,5,0),"")</f>
        <v/>
      </c>
      <c r="J201" s="104"/>
    </row>
    <row r="202" spans="2:10" s="3" customFormat="1" ht="24" customHeight="1" x14ac:dyDescent="0.2">
      <c r="B202" s="74"/>
      <c r="C202" s="75"/>
      <c r="D202" s="76"/>
      <c r="E202" s="77"/>
      <c r="F202" s="78" t="str">
        <f>IFERROR(VLOOKUP($E202,設定!$C:$G,2,0),"")</f>
        <v/>
      </c>
      <c r="G202" s="78" t="str">
        <f>IFERROR(VLOOKUP($E202,設定!$C:$G,3,0),"")</f>
        <v/>
      </c>
      <c r="H202" s="78" t="str">
        <f>IFERROR(VLOOKUP($E202,設定!$C:$G,4,0),"")</f>
        <v/>
      </c>
      <c r="I202" s="78" t="str">
        <f>IFERROR(VLOOKUP($E202,設定!$C:$G,5,0),"")</f>
        <v/>
      </c>
      <c r="J202" s="104"/>
    </row>
    <row r="203" spans="2:10" s="3" customFormat="1" ht="24" customHeight="1" x14ac:dyDescent="0.2">
      <c r="B203" s="74"/>
      <c r="C203" s="75"/>
      <c r="D203" s="76"/>
      <c r="E203" s="77"/>
      <c r="F203" s="78" t="str">
        <f>IFERROR(VLOOKUP($E203,設定!$C:$G,2,0),"")</f>
        <v/>
      </c>
      <c r="G203" s="78" t="str">
        <f>IFERROR(VLOOKUP($E203,設定!$C:$G,3,0),"")</f>
        <v/>
      </c>
      <c r="H203" s="78" t="str">
        <f>IFERROR(VLOOKUP($E203,設定!$C:$G,4,0),"")</f>
        <v/>
      </c>
      <c r="I203" s="78" t="str">
        <f>IFERROR(VLOOKUP($E203,設定!$C:$G,5,0),"")</f>
        <v/>
      </c>
      <c r="J203" s="104"/>
    </row>
    <row r="204" spans="2:10" s="3" customFormat="1" ht="24" customHeight="1" x14ac:dyDescent="0.2">
      <c r="B204" s="74"/>
      <c r="C204" s="75"/>
      <c r="D204" s="76"/>
      <c r="E204" s="77"/>
      <c r="F204" s="78" t="str">
        <f>IFERROR(VLOOKUP($E204,設定!$C:$G,2,0),"")</f>
        <v/>
      </c>
      <c r="G204" s="78" t="str">
        <f>IFERROR(VLOOKUP($E204,設定!$C:$G,3,0),"")</f>
        <v/>
      </c>
      <c r="H204" s="78" t="str">
        <f>IFERROR(VLOOKUP($E204,設定!$C:$G,4,0),"")</f>
        <v/>
      </c>
      <c r="I204" s="78" t="str">
        <f>IFERROR(VLOOKUP($E204,設定!$C:$G,5,0),"")</f>
        <v/>
      </c>
      <c r="J204" s="104"/>
    </row>
    <row r="205" spans="2:10" s="3" customFormat="1" ht="24" customHeight="1" x14ac:dyDescent="0.2">
      <c r="B205" s="74"/>
      <c r="C205" s="75"/>
      <c r="D205" s="76"/>
      <c r="E205" s="77"/>
      <c r="F205" s="78" t="str">
        <f>IFERROR(VLOOKUP($E205,設定!$C:$G,2,0),"")</f>
        <v/>
      </c>
      <c r="G205" s="78" t="str">
        <f>IFERROR(VLOOKUP($E205,設定!$C:$G,3,0),"")</f>
        <v/>
      </c>
      <c r="H205" s="78" t="str">
        <f>IFERROR(VLOOKUP($E205,設定!$C:$G,4,0),"")</f>
        <v/>
      </c>
      <c r="I205" s="78" t="str">
        <f>IFERROR(VLOOKUP($E205,設定!$C:$G,5,0),"")</f>
        <v/>
      </c>
      <c r="J205" s="104"/>
    </row>
    <row r="206" spans="2:10" s="3" customFormat="1" ht="24" customHeight="1" x14ac:dyDescent="0.2">
      <c r="B206" s="74"/>
      <c r="C206" s="75"/>
      <c r="D206" s="76"/>
      <c r="E206" s="77"/>
      <c r="F206" s="78" t="str">
        <f>IFERROR(VLOOKUP($E206,設定!$C:$G,2,0),"")</f>
        <v/>
      </c>
      <c r="G206" s="78" t="str">
        <f>IFERROR(VLOOKUP($E206,設定!$C:$G,3,0),"")</f>
        <v/>
      </c>
      <c r="H206" s="78" t="str">
        <f>IFERROR(VLOOKUP($E206,設定!$C:$G,4,0),"")</f>
        <v/>
      </c>
      <c r="I206" s="78" t="str">
        <f>IFERROR(VLOOKUP($E206,設定!$C:$G,5,0),"")</f>
        <v/>
      </c>
      <c r="J206" s="104"/>
    </row>
    <row r="207" spans="2:10" s="3" customFormat="1" ht="24" customHeight="1" x14ac:dyDescent="0.2">
      <c r="B207" s="74"/>
      <c r="C207" s="75"/>
      <c r="D207" s="76"/>
      <c r="E207" s="77"/>
      <c r="F207" s="78" t="str">
        <f>IFERROR(VLOOKUP($E207,設定!$C:$G,2,0),"")</f>
        <v/>
      </c>
      <c r="G207" s="78" t="str">
        <f>IFERROR(VLOOKUP($E207,設定!$C:$G,3,0),"")</f>
        <v/>
      </c>
      <c r="H207" s="78" t="str">
        <f>IFERROR(VLOOKUP($E207,設定!$C:$G,4,0),"")</f>
        <v/>
      </c>
      <c r="I207" s="78" t="str">
        <f>IFERROR(VLOOKUP($E207,設定!$C:$G,5,0),"")</f>
        <v/>
      </c>
      <c r="J207" s="104"/>
    </row>
    <row r="208" spans="2:10" s="3" customFormat="1" ht="24" customHeight="1" x14ac:dyDescent="0.2">
      <c r="B208" s="74"/>
      <c r="C208" s="75"/>
      <c r="D208" s="76"/>
      <c r="E208" s="77"/>
      <c r="F208" s="78" t="str">
        <f>IFERROR(VLOOKUP($E208,設定!$C:$G,2,0),"")</f>
        <v/>
      </c>
      <c r="G208" s="78" t="str">
        <f>IFERROR(VLOOKUP($E208,設定!$C:$G,3,0),"")</f>
        <v/>
      </c>
      <c r="H208" s="78" t="str">
        <f>IFERROR(VLOOKUP($E208,設定!$C:$G,4,0),"")</f>
        <v/>
      </c>
      <c r="I208" s="78" t="str">
        <f>IFERROR(VLOOKUP($E208,設定!$C:$G,5,0),"")</f>
        <v/>
      </c>
      <c r="J208" s="104"/>
    </row>
    <row r="209" spans="2:10" s="3" customFormat="1" ht="24" customHeight="1" x14ac:dyDescent="0.2">
      <c r="B209" s="74"/>
      <c r="C209" s="75"/>
      <c r="D209" s="76"/>
      <c r="E209" s="77"/>
      <c r="F209" s="78" t="str">
        <f>IFERROR(VLOOKUP($E209,設定!$C:$G,2,0),"")</f>
        <v/>
      </c>
      <c r="G209" s="78" t="str">
        <f>IFERROR(VLOOKUP($E209,設定!$C:$G,3,0),"")</f>
        <v/>
      </c>
      <c r="H209" s="78" t="str">
        <f>IFERROR(VLOOKUP($E209,設定!$C:$G,4,0),"")</f>
        <v/>
      </c>
      <c r="I209" s="78" t="str">
        <f>IFERROR(VLOOKUP($E209,設定!$C:$G,5,0),"")</f>
        <v/>
      </c>
      <c r="J209" s="104"/>
    </row>
    <row r="210" spans="2:10" s="3" customFormat="1" ht="24" customHeight="1" x14ac:dyDescent="0.2">
      <c r="B210" s="74"/>
      <c r="C210" s="75"/>
      <c r="D210" s="76"/>
      <c r="E210" s="77"/>
      <c r="F210" s="78" t="str">
        <f>IFERROR(VLOOKUP($E210,設定!$C:$G,2,0),"")</f>
        <v/>
      </c>
      <c r="G210" s="78" t="str">
        <f>IFERROR(VLOOKUP($E210,設定!$C:$G,3,0),"")</f>
        <v/>
      </c>
      <c r="H210" s="78" t="str">
        <f>IFERROR(VLOOKUP($E210,設定!$C:$G,4,0),"")</f>
        <v/>
      </c>
      <c r="I210" s="78" t="str">
        <f>IFERROR(VLOOKUP($E210,設定!$C:$G,5,0),"")</f>
        <v/>
      </c>
      <c r="J210" s="104"/>
    </row>
    <row r="211" spans="2:10" s="3" customFormat="1" ht="24" customHeight="1" x14ac:dyDescent="0.2">
      <c r="B211" s="74"/>
      <c r="C211" s="75"/>
      <c r="D211" s="76"/>
      <c r="E211" s="77"/>
      <c r="F211" s="78" t="str">
        <f>IFERROR(VLOOKUP($E211,設定!$C:$G,2,0),"")</f>
        <v/>
      </c>
      <c r="G211" s="78" t="str">
        <f>IFERROR(VLOOKUP($E211,設定!$C:$G,3,0),"")</f>
        <v/>
      </c>
      <c r="H211" s="78" t="str">
        <f>IFERROR(VLOOKUP($E211,設定!$C:$G,4,0),"")</f>
        <v/>
      </c>
      <c r="I211" s="78" t="str">
        <f>IFERROR(VLOOKUP($E211,設定!$C:$G,5,0),"")</f>
        <v/>
      </c>
      <c r="J211" s="104"/>
    </row>
    <row r="212" spans="2:10" s="3" customFormat="1" ht="24" customHeight="1" x14ac:dyDescent="0.2">
      <c r="B212" s="74"/>
      <c r="C212" s="75"/>
      <c r="D212" s="76"/>
      <c r="E212" s="77"/>
      <c r="F212" s="78" t="str">
        <f>IFERROR(VLOOKUP($E212,設定!$C:$G,2,0),"")</f>
        <v/>
      </c>
      <c r="G212" s="78" t="str">
        <f>IFERROR(VLOOKUP($E212,設定!$C:$G,3,0),"")</f>
        <v/>
      </c>
      <c r="H212" s="78" t="str">
        <f>IFERROR(VLOOKUP($E212,設定!$C:$G,4,0),"")</f>
        <v/>
      </c>
      <c r="I212" s="78" t="str">
        <f>IFERROR(VLOOKUP($E212,設定!$C:$G,5,0),"")</f>
        <v/>
      </c>
      <c r="J212" s="104"/>
    </row>
    <row r="213" spans="2:10" s="3" customFormat="1" ht="24" customHeight="1" x14ac:dyDescent="0.2">
      <c r="B213" s="74"/>
      <c r="C213" s="75"/>
      <c r="D213" s="76"/>
      <c r="E213" s="77"/>
      <c r="F213" s="78" t="str">
        <f>IFERROR(VLOOKUP($E213,設定!$C:$G,2,0),"")</f>
        <v/>
      </c>
      <c r="G213" s="78" t="str">
        <f>IFERROR(VLOOKUP($E213,設定!$C:$G,3,0),"")</f>
        <v/>
      </c>
      <c r="H213" s="78" t="str">
        <f>IFERROR(VLOOKUP($E213,設定!$C:$G,4,0),"")</f>
        <v/>
      </c>
      <c r="I213" s="78" t="str">
        <f>IFERROR(VLOOKUP($E213,設定!$C:$G,5,0),"")</f>
        <v/>
      </c>
      <c r="J213" s="104"/>
    </row>
    <row r="214" spans="2:10" s="3" customFormat="1" ht="24" customHeight="1" x14ac:dyDescent="0.2">
      <c r="B214" s="74"/>
      <c r="C214" s="75"/>
      <c r="D214" s="76"/>
      <c r="E214" s="77"/>
      <c r="F214" s="78" t="str">
        <f>IFERROR(VLOOKUP($E214,設定!$C:$G,2,0),"")</f>
        <v/>
      </c>
      <c r="G214" s="78" t="str">
        <f>IFERROR(VLOOKUP($E214,設定!$C:$G,3,0),"")</f>
        <v/>
      </c>
      <c r="H214" s="78" t="str">
        <f>IFERROR(VLOOKUP($E214,設定!$C:$G,4,0),"")</f>
        <v/>
      </c>
      <c r="I214" s="78" t="str">
        <f>IFERROR(VLOOKUP($E214,設定!$C:$G,5,0),"")</f>
        <v/>
      </c>
      <c r="J214" s="104"/>
    </row>
    <row r="215" spans="2:10" s="3" customFormat="1" ht="24" customHeight="1" x14ac:dyDescent="0.2">
      <c r="B215" s="74"/>
      <c r="C215" s="75"/>
      <c r="D215" s="76"/>
      <c r="E215" s="77"/>
      <c r="F215" s="78" t="str">
        <f>IFERROR(VLOOKUP($E215,設定!$C:$G,2,0),"")</f>
        <v/>
      </c>
      <c r="G215" s="78" t="str">
        <f>IFERROR(VLOOKUP($E215,設定!$C:$G,3,0),"")</f>
        <v/>
      </c>
      <c r="H215" s="78" t="str">
        <f>IFERROR(VLOOKUP($E215,設定!$C:$G,4,0),"")</f>
        <v/>
      </c>
      <c r="I215" s="78" t="str">
        <f>IFERROR(VLOOKUP($E215,設定!$C:$G,5,0),"")</f>
        <v/>
      </c>
      <c r="J215" s="104"/>
    </row>
    <row r="216" spans="2:10" s="3" customFormat="1" ht="24" customHeight="1" x14ac:dyDescent="0.2">
      <c r="B216" s="74"/>
      <c r="C216" s="75"/>
      <c r="D216" s="76"/>
      <c r="E216" s="77"/>
      <c r="F216" s="78" t="str">
        <f>IFERROR(VLOOKUP($E216,設定!$C:$G,2,0),"")</f>
        <v/>
      </c>
      <c r="G216" s="78" t="str">
        <f>IFERROR(VLOOKUP($E216,設定!$C:$G,3,0),"")</f>
        <v/>
      </c>
      <c r="H216" s="78" t="str">
        <f>IFERROR(VLOOKUP($E216,設定!$C:$G,4,0),"")</f>
        <v/>
      </c>
      <c r="I216" s="78" t="str">
        <f>IFERROR(VLOOKUP($E216,設定!$C:$G,5,0),"")</f>
        <v/>
      </c>
      <c r="J216" s="104"/>
    </row>
    <row r="217" spans="2:10" s="3" customFormat="1" ht="24" customHeight="1" x14ac:dyDescent="0.2">
      <c r="B217" s="74"/>
      <c r="C217" s="75"/>
      <c r="D217" s="76"/>
      <c r="E217" s="77"/>
      <c r="F217" s="78" t="str">
        <f>IFERROR(VLOOKUP($E217,設定!$C:$G,2,0),"")</f>
        <v/>
      </c>
      <c r="G217" s="78" t="str">
        <f>IFERROR(VLOOKUP($E217,設定!$C:$G,3,0),"")</f>
        <v/>
      </c>
      <c r="H217" s="78" t="str">
        <f>IFERROR(VLOOKUP($E217,設定!$C:$G,4,0),"")</f>
        <v/>
      </c>
      <c r="I217" s="78" t="str">
        <f>IFERROR(VLOOKUP($E217,設定!$C:$G,5,0),"")</f>
        <v/>
      </c>
      <c r="J217" s="104"/>
    </row>
    <row r="218" spans="2:10" s="3" customFormat="1" ht="24" customHeight="1" x14ac:dyDescent="0.2">
      <c r="B218" s="74"/>
      <c r="C218" s="75"/>
      <c r="D218" s="76"/>
      <c r="E218" s="77"/>
      <c r="F218" s="78" t="str">
        <f>IFERROR(VLOOKUP($E218,設定!$C:$G,2,0),"")</f>
        <v/>
      </c>
      <c r="G218" s="78" t="str">
        <f>IFERROR(VLOOKUP($E218,設定!$C:$G,3,0),"")</f>
        <v/>
      </c>
      <c r="H218" s="78" t="str">
        <f>IFERROR(VLOOKUP($E218,設定!$C:$G,4,0),"")</f>
        <v/>
      </c>
      <c r="I218" s="78" t="str">
        <f>IFERROR(VLOOKUP($E218,設定!$C:$G,5,0),"")</f>
        <v/>
      </c>
      <c r="J218" s="104"/>
    </row>
    <row r="219" spans="2:10" s="3" customFormat="1" ht="24" customHeight="1" x14ac:dyDescent="0.2">
      <c r="B219" s="74"/>
      <c r="C219" s="75"/>
      <c r="D219" s="76"/>
      <c r="E219" s="77"/>
      <c r="F219" s="78" t="str">
        <f>IFERROR(VLOOKUP($E219,設定!$C:$G,2,0),"")</f>
        <v/>
      </c>
      <c r="G219" s="78" t="str">
        <f>IFERROR(VLOOKUP($E219,設定!$C:$G,3,0),"")</f>
        <v/>
      </c>
      <c r="H219" s="78" t="str">
        <f>IFERROR(VLOOKUP($E219,設定!$C:$G,4,0),"")</f>
        <v/>
      </c>
      <c r="I219" s="78" t="str">
        <f>IFERROR(VLOOKUP($E219,設定!$C:$G,5,0),"")</f>
        <v/>
      </c>
      <c r="J219" s="104"/>
    </row>
    <row r="220" spans="2:10" s="3" customFormat="1" ht="24" customHeight="1" x14ac:dyDescent="0.2">
      <c r="B220" s="74"/>
      <c r="C220" s="75"/>
      <c r="D220" s="76"/>
      <c r="E220" s="77"/>
      <c r="F220" s="78" t="str">
        <f>IFERROR(VLOOKUP($E220,設定!$C:$G,2,0),"")</f>
        <v/>
      </c>
      <c r="G220" s="78" t="str">
        <f>IFERROR(VLOOKUP($E220,設定!$C:$G,3,0),"")</f>
        <v/>
      </c>
      <c r="H220" s="78" t="str">
        <f>IFERROR(VLOOKUP($E220,設定!$C:$G,4,0),"")</f>
        <v/>
      </c>
      <c r="I220" s="78" t="str">
        <f>IFERROR(VLOOKUP($E220,設定!$C:$G,5,0),"")</f>
        <v/>
      </c>
      <c r="J220" s="104"/>
    </row>
    <row r="221" spans="2:10" s="3" customFormat="1" ht="24" customHeight="1" x14ac:dyDescent="0.2">
      <c r="B221" s="74"/>
      <c r="C221" s="75"/>
      <c r="D221" s="76"/>
      <c r="E221" s="77"/>
      <c r="F221" s="78" t="str">
        <f>IFERROR(VLOOKUP($E221,設定!$C:$G,2,0),"")</f>
        <v/>
      </c>
      <c r="G221" s="78" t="str">
        <f>IFERROR(VLOOKUP($E221,設定!$C:$G,3,0),"")</f>
        <v/>
      </c>
      <c r="H221" s="78" t="str">
        <f>IFERROR(VLOOKUP($E221,設定!$C:$G,4,0),"")</f>
        <v/>
      </c>
      <c r="I221" s="78" t="str">
        <f>IFERROR(VLOOKUP($E221,設定!$C:$G,5,0),"")</f>
        <v/>
      </c>
      <c r="J221" s="104"/>
    </row>
    <row r="222" spans="2:10" s="3" customFormat="1" ht="24" customHeight="1" x14ac:dyDescent="0.2">
      <c r="B222" s="74"/>
      <c r="C222" s="75"/>
      <c r="D222" s="76"/>
      <c r="E222" s="77"/>
      <c r="F222" s="78" t="str">
        <f>IFERROR(VLOOKUP($E222,設定!$C:$G,2,0),"")</f>
        <v/>
      </c>
      <c r="G222" s="78" t="str">
        <f>IFERROR(VLOOKUP($E222,設定!$C:$G,3,0),"")</f>
        <v/>
      </c>
      <c r="H222" s="78" t="str">
        <f>IFERROR(VLOOKUP($E222,設定!$C:$G,4,0),"")</f>
        <v/>
      </c>
      <c r="I222" s="78" t="str">
        <f>IFERROR(VLOOKUP($E222,設定!$C:$G,5,0),"")</f>
        <v/>
      </c>
      <c r="J222" s="104"/>
    </row>
    <row r="223" spans="2:10" s="3" customFormat="1" ht="24" customHeight="1" x14ac:dyDescent="0.2">
      <c r="B223" s="74"/>
      <c r="C223" s="75"/>
      <c r="D223" s="76"/>
      <c r="E223" s="77"/>
      <c r="F223" s="78" t="str">
        <f>IFERROR(VLOOKUP($E223,設定!$C:$G,2,0),"")</f>
        <v/>
      </c>
      <c r="G223" s="78" t="str">
        <f>IFERROR(VLOOKUP($E223,設定!$C:$G,3,0),"")</f>
        <v/>
      </c>
      <c r="H223" s="78" t="str">
        <f>IFERROR(VLOOKUP($E223,設定!$C:$G,4,0),"")</f>
        <v/>
      </c>
      <c r="I223" s="78" t="str">
        <f>IFERROR(VLOOKUP($E223,設定!$C:$G,5,0),"")</f>
        <v/>
      </c>
      <c r="J223" s="104"/>
    </row>
    <row r="224" spans="2:10" s="3" customFormat="1" ht="24" customHeight="1" x14ac:dyDescent="0.2">
      <c r="B224" s="74"/>
      <c r="C224" s="75"/>
      <c r="D224" s="76"/>
      <c r="E224" s="77"/>
      <c r="F224" s="78" t="str">
        <f>IFERROR(VLOOKUP($E224,設定!$C:$G,2,0),"")</f>
        <v/>
      </c>
      <c r="G224" s="78" t="str">
        <f>IFERROR(VLOOKUP($E224,設定!$C:$G,3,0),"")</f>
        <v/>
      </c>
      <c r="H224" s="78" t="str">
        <f>IFERROR(VLOOKUP($E224,設定!$C:$G,4,0),"")</f>
        <v/>
      </c>
      <c r="I224" s="78" t="str">
        <f>IFERROR(VLOOKUP($E224,設定!$C:$G,5,0),"")</f>
        <v/>
      </c>
      <c r="J224" s="104"/>
    </row>
    <row r="225" spans="2:10" s="3" customFormat="1" ht="24" customHeight="1" x14ac:dyDescent="0.2">
      <c r="B225" s="74"/>
      <c r="C225" s="75"/>
      <c r="D225" s="76"/>
      <c r="E225" s="77"/>
      <c r="F225" s="78" t="str">
        <f>IFERROR(VLOOKUP($E225,設定!$C:$G,2,0),"")</f>
        <v/>
      </c>
      <c r="G225" s="78" t="str">
        <f>IFERROR(VLOOKUP($E225,設定!$C:$G,3,0),"")</f>
        <v/>
      </c>
      <c r="H225" s="78" t="str">
        <f>IFERROR(VLOOKUP($E225,設定!$C:$G,4,0),"")</f>
        <v/>
      </c>
      <c r="I225" s="78" t="str">
        <f>IFERROR(VLOOKUP($E225,設定!$C:$G,5,0),"")</f>
        <v/>
      </c>
      <c r="J225" s="104"/>
    </row>
    <row r="226" spans="2:10" s="3" customFormat="1" ht="24" customHeight="1" x14ac:dyDescent="0.2">
      <c r="B226" s="74"/>
      <c r="C226" s="75"/>
      <c r="D226" s="76"/>
      <c r="E226" s="77"/>
      <c r="F226" s="78" t="str">
        <f>IFERROR(VLOOKUP($E226,設定!$C:$G,2,0),"")</f>
        <v/>
      </c>
      <c r="G226" s="78" t="str">
        <f>IFERROR(VLOOKUP($E226,設定!$C:$G,3,0),"")</f>
        <v/>
      </c>
      <c r="H226" s="78" t="str">
        <f>IFERROR(VLOOKUP($E226,設定!$C:$G,4,0),"")</f>
        <v/>
      </c>
      <c r="I226" s="78" t="str">
        <f>IFERROR(VLOOKUP($E226,設定!$C:$G,5,0),"")</f>
        <v/>
      </c>
      <c r="J226" s="104"/>
    </row>
    <row r="227" spans="2:10" s="3" customFormat="1" ht="24" customHeight="1" x14ac:dyDescent="0.2">
      <c r="B227" s="74"/>
      <c r="C227" s="75"/>
      <c r="D227" s="76"/>
      <c r="E227" s="77"/>
      <c r="F227" s="78" t="str">
        <f>IFERROR(VLOOKUP($E227,設定!$C:$G,2,0),"")</f>
        <v/>
      </c>
      <c r="G227" s="78" t="str">
        <f>IFERROR(VLOOKUP($E227,設定!$C:$G,3,0),"")</f>
        <v/>
      </c>
      <c r="H227" s="78" t="str">
        <f>IFERROR(VLOOKUP($E227,設定!$C:$G,4,0),"")</f>
        <v/>
      </c>
      <c r="I227" s="78" t="str">
        <f>IFERROR(VLOOKUP($E227,設定!$C:$G,5,0),"")</f>
        <v/>
      </c>
      <c r="J227" s="104"/>
    </row>
    <row r="228" spans="2:10" s="3" customFormat="1" ht="24" customHeight="1" x14ac:dyDescent="0.2">
      <c r="B228" s="74"/>
      <c r="C228" s="75"/>
      <c r="D228" s="76"/>
      <c r="E228" s="77"/>
      <c r="F228" s="78" t="str">
        <f>IFERROR(VLOOKUP($E228,設定!$C:$G,2,0),"")</f>
        <v/>
      </c>
      <c r="G228" s="78" t="str">
        <f>IFERROR(VLOOKUP($E228,設定!$C:$G,3,0),"")</f>
        <v/>
      </c>
      <c r="H228" s="78" t="str">
        <f>IFERROR(VLOOKUP($E228,設定!$C:$G,4,0),"")</f>
        <v/>
      </c>
      <c r="I228" s="78" t="str">
        <f>IFERROR(VLOOKUP($E228,設定!$C:$G,5,0),"")</f>
        <v/>
      </c>
      <c r="J228" s="104"/>
    </row>
    <row r="229" spans="2:10" s="3" customFormat="1" ht="24" customHeight="1" x14ac:dyDescent="0.2">
      <c r="B229" s="74"/>
      <c r="C229" s="75"/>
      <c r="D229" s="76"/>
      <c r="E229" s="77"/>
      <c r="F229" s="78" t="str">
        <f>IFERROR(VLOOKUP($E229,設定!$C:$G,2,0),"")</f>
        <v/>
      </c>
      <c r="G229" s="78" t="str">
        <f>IFERROR(VLOOKUP($E229,設定!$C:$G,3,0),"")</f>
        <v/>
      </c>
      <c r="H229" s="78" t="str">
        <f>IFERROR(VLOOKUP($E229,設定!$C:$G,4,0),"")</f>
        <v/>
      </c>
      <c r="I229" s="78" t="str">
        <f>IFERROR(VLOOKUP($E229,設定!$C:$G,5,0),"")</f>
        <v/>
      </c>
      <c r="J229" s="104"/>
    </row>
    <row r="230" spans="2:10" s="3" customFormat="1" ht="24" customHeight="1" x14ac:dyDescent="0.2">
      <c r="B230" s="74"/>
      <c r="C230" s="75"/>
      <c r="D230" s="76"/>
      <c r="E230" s="77"/>
      <c r="F230" s="78" t="str">
        <f>IFERROR(VLOOKUP($E230,設定!$C:$G,2,0),"")</f>
        <v/>
      </c>
      <c r="G230" s="78" t="str">
        <f>IFERROR(VLOOKUP($E230,設定!$C:$G,3,0),"")</f>
        <v/>
      </c>
      <c r="H230" s="78" t="str">
        <f>IFERROR(VLOOKUP($E230,設定!$C:$G,4,0),"")</f>
        <v/>
      </c>
      <c r="I230" s="78" t="str">
        <f>IFERROR(VLOOKUP($E230,設定!$C:$G,5,0),"")</f>
        <v/>
      </c>
      <c r="J230" s="104"/>
    </row>
    <row r="231" spans="2:10" s="3" customFormat="1" ht="24" customHeight="1" x14ac:dyDescent="0.2">
      <c r="B231" s="74"/>
      <c r="C231" s="75"/>
      <c r="D231" s="76"/>
      <c r="E231" s="77"/>
      <c r="F231" s="78" t="str">
        <f>IFERROR(VLOOKUP($E231,設定!$C:$G,2,0),"")</f>
        <v/>
      </c>
      <c r="G231" s="78" t="str">
        <f>IFERROR(VLOOKUP($E231,設定!$C:$G,3,0),"")</f>
        <v/>
      </c>
      <c r="H231" s="78" t="str">
        <f>IFERROR(VLOOKUP($E231,設定!$C:$G,4,0),"")</f>
        <v/>
      </c>
      <c r="I231" s="78" t="str">
        <f>IFERROR(VLOOKUP($E231,設定!$C:$G,5,0),"")</f>
        <v/>
      </c>
      <c r="J231" s="104"/>
    </row>
    <row r="232" spans="2:10" s="3" customFormat="1" ht="24" customHeight="1" x14ac:dyDescent="0.2">
      <c r="B232" s="74"/>
      <c r="C232" s="75"/>
      <c r="D232" s="76"/>
      <c r="E232" s="77"/>
      <c r="F232" s="78" t="str">
        <f>IFERROR(VLOOKUP($E232,設定!$C:$G,2,0),"")</f>
        <v/>
      </c>
      <c r="G232" s="78" t="str">
        <f>IFERROR(VLOOKUP($E232,設定!$C:$G,3,0),"")</f>
        <v/>
      </c>
      <c r="H232" s="78" t="str">
        <f>IFERROR(VLOOKUP($E232,設定!$C:$G,4,0),"")</f>
        <v/>
      </c>
      <c r="I232" s="78" t="str">
        <f>IFERROR(VLOOKUP($E232,設定!$C:$G,5,0),"")</f>
        <v/>
      </c>
      <c r="J232" s="104"/>
    </row>
    <row r="233" spans="2:10" s="3" customFormat="1" ht="24" customHeight="1" x14ac:dyDescent="0.2">
      <c r="B233" s="74"/>
      <c r="C233" s="75"/>
      <c r="D233" s="76"/>
      <c r="E233" s="77"/>
      <c r="F233" s="78" t="str">
        <f>IFERROR(VLOOKUP($E233,設定!$C:$G,2,0),"")</f>
        <v/>
      </c>
      <c r="G233" s="78" t="str">
        <f>IFERROR(VLOOKUP($E233,設定!$C:$G,3,0),"")</f>
        <v/>
      </c>
      <c r="H233" s="78" t="str">
        <f>IFERROR(VLOOKUP($E233,設定!$C:$G,4,0),"")</f>
        <v/>
      </c>
      <c r="I233" s="78" t="str">
        <f>IFERROR(VLOOKUP($E233,設定!$C:$G,5,0),"")</f>
        <v/>
      </c>
      <c r="J233" s="104"/>
    </row>
    <row r="234" spans="2:10" s="3" customFormat="1" ht="24" customHeight="1" x14ac:dyDescent="0.2">
      <c r="B234" s="74"/>
      <c r="C234" s="75"/>
      <c r="D234" s="76"/>
      <c r="E234" s="77"/>
      <c r="F234" s="78" t="str">
        <f>IFERROR(VLOOKUP($E234,設定!$C:$G,2,0),"")</f>
        <v/>
      </c>
      <c r="G234" s="78" t="str">
        <f>IFERROR(VLOOKUP($E234,設定!$C:$G,3,0),"")</f>
        <v/>
      </c>
      <c r="H234" s="78" t="str">
        <f>IFERROR(VLOOKUP($E234,設定!$C:$G,4,0),"")</f>
        <v/>
      </c>
      <c r="I234" s="78" t="str">
        <f>IFERROR(VLOOKUP($E234,設定!$C:$G,5,0),"")</f>
        <v/>
      </c>
      <c r="J234" s="104"/>
    </row>
    <row r="235" spans="2:10" s="3" customFormat="1" ht="24" customHeight="1" x14ac:dyDescent="0.2">
      <c r="B235" s="74"/>
      <c r="C235" s="75"/>
      <c r="D235" s="76"/>
      <c r="E235" s="77"/>
      <c r="F235" s="78" t="str">
        <f>IFERROR(VLOOKUP($E235,設定!$C:$G,2,0),"")</f>
        <v/>
      </c>
      <c r="G235" s="78" t="str">
        <f>IFERROR(VLOOKUP($E235,設定!$C:$G,3,0),"")</f>
        <v/>
      </c>
      <c r="H235" s="78" t="str">
        <f>IFERROR(VLOOKUP($E235,設定!$C:$G,4,0),"")</f>
        <v/>
      </c>
      <c r="I235" s="78" t="str">
        <f>IFERROR(VLOOKUP($E235,設定!$C:$G,5,0),"")</f>
        <v/>
      </c>
      <c r="J235" s="104"/>
    </row>
    <row r="236" spans="2:10" s="3" customFormat="1" ht="24" customHeight="1" x14ac:dyDescent="0.2">
      <c r="B236" s="74"/>
      <c r="C236" s="75"/>
      <c r="D236" s="76"/>
      <c r="E236" s="77"/>
      <c r="F236" s="78" t="str">
        <f>IFERROR(VLOOKUP($E236,設定!$C:$G,2,0),"")</f>
        <v/>
      </c>
      <c r="G236" s="78" t="str">
        <f>IFERROR(VLOOKUP($E236,設定!$C:$G,3,0),"")</f>
        <v/>
      </c>
      <c r="H236" s="78" t="str">
        <f>IFERROR(VLOOKUP($E236,設定!$C:$G,4,0),"")</f>
        <v/>
      </c>
      <c r="I236" s="78" t="str">
        <f>IFERROR(VLOOKUP($E236,設定!$C:$G,5,0),"")</f>
        <v/>
      </c>
      <c r="J236" s="104"/>
    </row>
    <row r="237" spans="2:10" s="3" customFormat="1" ht="24" customHeight="1" x14ac:dyDescent="0.2">
      <c r="B237" s="74"/>
      <c r="C237" s="75"/>
      <c r="D237" s="76"/>
      <c r="E237" s="77"/>
      <c r="F237" s="78" t="str">
        <f>IFERROR(VLOOKUP($E237,設定!$C:$G,2,0),"")</f>
        <v/>
      </c>
      <c r="G237" s="78" t="str">
        <f>IFERROR(VLOOKUP($E237,設定!$C:$G,3,0),"")</f>
        <v/>
      </c>
      <c r="H237" s="78" t="str">
        <f>IFERROR(VLOOKUP($E237,設定!$C:$G,4,0),"")</f>
        <v/>
      </c>
      <c r="I237" s="78" t="str">
        <f>IFERROR(VLOOKUP($E237,設定!$C:$G,5,0),"")</f>
        <v/>
      </c>
      <c r="J237" s="104"/>
    </row>
    <row r="238" spans="2:10" s="3" customFormat="1" ht="24" customHeight="1" x14ac:dyDescent="0.2">
      <c r="B238" s="74"/>
      <c r="C238" s="75"/>
      <c r="D238" s="76"/>
      <c r="E238" s="77"/>
      <c r="F238" s="78" t="str">
        <f>IFERROR(VLOOKUP($E238,設定!$C:$G,2,0),"")</f>
        <v/>
      </c>
      <c r="G238" s="78" t="str">
        <f>IFERROR(VLOOKUP($E238,設定!$C:$G,3,0),"")</f>
        <v/>
      </c>
      <c r="H238" s="78" t="str">
        <f>IFERROR(VLOOKUP($E238,設定!$C:$G,4,0),"")</f>
        <v/>
      </c>
      <c r="I238" s="78" t="str">
        <f>IFERROR(VLOOKUP($E238,設定!$C:$G,5,0),"")</f>
        <v/>
      </c>
      <c r="J238" s="104"/>
    </row>
    <row r="239" spans="2:10" s="3" customFormat="1" ht="24" customHeight="1" x14ac:dyDescent="0.2">
      <c r="B239" s="74"/>
      <c r="C239" s="75"/>
      <c r="D239" s="76"/>
      <c r="E239" s="77"/>
      <c r="F239" s="78" t="str">
        <f>IFERROR(VLOOKUP($E239,設定!$C:$G,2,0),"")</f>
        <v/>
      </c>
      <c r="G239" s="78" t="str">
        <f>IFERROR(VLOOKUP($E239,設定!$C:$G,3,0),"")</f>
        <v/>
      </c>
      <c r="H239" s="78" t="str">
        <f>IFERROR(VLOOKUP($E239,設定!$C:$G,4,0),"")</f>
        <v/>
      </c>
      <c r="I239" s="78" t="str">
        <f>IFERROR(VLOOKUP($E239,設定!$C:$G,5,0),"")</f>
        <v/>
      </c>
      <c r="J239" s="104"/>
    </row>
    <row r="240" spans="2:10" s="3" customFormat="1" ht="24" customHeight="1" x14ac:dyDescent="0.2">
      <c r="B240" s="74"/>
      <c r="C240" s="75"/>
      <c r="D240" s="76"/>
      <c r="E240" s="77"/>
      <c r="F240" s="78" t="str">
        <f>IFERROR(VLOOKUP($E240,設定!$C:$G,2,0),"")</f>
        <v/>
      </c>
      <c r="G240" s="78" t="str">
        <f>IFERROR(VLOOKUP($E240,設定!$C:$G,3,0),"")</f>
        <v/>
      </c>
      <c r="H240" s="78" t="str">
        <f>IFERROR(VLOOKUP($E240,設定!$C:$G,4,0),"")</f>
        <v/>
      </c>
      <c r="I240" s="78" t="str">
        <f>IFERROR(VLOOKUP($E240,設定!$C:$G,5,0),"")</f>
        <v/>
      </c>
      <c r="J240" s="104"/>
    </row>
    <row r="241" spans="2:10" s="3" customFormat="1" ht="24" customHeight="1" x14ac:dyDescent="0.2">
      <c r="B241" s="74"/>
      <c r="C241" s="75"/>
      <c r="D241" s="76"/>
      <c r="E241" s="77"/>
      <c r="F241" s="78" t="str">
        <f>IFERROR(VLOOKUP($E241,設定!$C:$G,2,0),"")</f>
        <v/>
      </c>
      <c r="G241" s="78" t="str">
        <f>IFERROR(VLOOKUP($E241,設定!$C:$G,3,0),"")</f>
        <v/>
      </c>
      <c r="H241" s="78" t="str">
        <f>IFERROR(VLOOKUP($E241,設定!$C:$G,4,0),"")</f>
        <v/>
      </c>
      <c r="I241" s="78" t="str">
        <f>IFERROR(VLOOKUP($E241,設定!$C:$G,5,0),"")</f>
        <v/>
      </c>
      <c r="J241" s="104"/>
    </row>
    <row r="242" spans="2:10" s="3" customFormat="1" ht="24" customHeight="1" x14ac:dyDescent="0.2">
      <c r="B242" s="74"/>
      <c r="C242" s="75"/>
      <c r="D242" s="76"/>
      <c r="E242" s="77"/>
      <c r="F242" s="78" t="str">
        <f>IFERROR(VLOOKUP($E242,設定!$C:$G,2,0),"")</f>
        <v/>
      </c>
      <c r="G242" s="78" t="str">
        <f>IFERROR(VLOOKUP($E242,設定!$C:$G,3,0),"")</f>
        <v/>
      </c>
      <c r="H242" s="78" t="str">
        <f>IFERROR(VLOOKUP($E242,設定!$C:$G,4,0),"")</f>
        <v/>
      </c>
      <c r="I242" s="78" t="str">
        <f>IFERROR(VLOOKUP($E242,設定!$C:$G,5,0),"")</f>
        <v/>
      </c>
      <c r="J242" s="104"/>
    </row>
    <row r="243" spans="2:10" s="3" customFormat="1" ht="24" customHeight="1" x14ac:dyDescent="0.2">
      <c r="B243" s="74"/>
      <c r="C243" s="75"/>
      <c r="D243" s="76"/>
      <c r="E243" s="77"/>
      <c r="F243" s="78" t="str">
        <f>IFERROR(VLOOKUP($E243,設定!$C:$G,2,0),"")</f>
        <v/>
      </c>
      <c r="G243" s="78" t="str">
        <f>IFERROR(VLOOKUP($E243,設定!$C:$G,3,0),"")</f>
        <v/>
      </c>
      <c r="H243" s="78" t="str">
        <f>IFERROR(VLOOKUP($E243,設定!$C:$G,4,0),"")</f>
        <v/>
      </c>
      <c r="I243" s="78" t="str">
        <f>IFERROR(VLOOKUP($E243,設定!$C:$G,5,0),"")</f>
        <v/>
      </c>
      <c r="J243" s="104"/>
    </row>
    <row r="244" spans="2:10" s="3" customFormat="1" ht="24" customHeight="1" x14ac:dyDescent="0.2">
      <c r="B244" s="74"/>
      <c r="C244" s="75"/>
      <c r="D244" s="76"/>
      <c r="E244" s="77"/>
      <c r="F244" s="78" t="str">
        <f>IFERROR(VLOOKUP($E244,設定!$C:$G,2,0),"")</f>
        <v/>
      </c>
      <c r="G244" s="78" t="str">
        <f>IFERROR(VLOOKUP($E244,設定!$C:$G,3,0),"")</f>
        <v/>
      </c>
      <c r="H244" s="78" t="str">
        <f>IFERROR(VLOOKUP($E244,設定!$C:$G,4,0),"")</f>
        <v/>
      </c>
      <c r="I244" s="78" t="str">
        <f>IFERROR(VLOOKUP($E244,設定!$C:$G,5,0),"")</f>
        <v/>
      </c>
      <c r="J244" s="104"/>
    </row>
    <row r="245" spans="2:10" s="3" customFormat="1" ht="24" customHeight="1" x14ac:dyDescent="0.2">
      <c r="B245" s="74"/>
      <c r="C245" s="75"/>
      <c r="D245" s="76"/>
      <c r="E245" s="77"/>
      <c r="F245" s="78" t="str">
        <f>IFERROR(VLOOKUP($E245,設定!$C:$G,2,0),"")</f>
        <v/>
      </c>
      <c r="G245" s="78" t="str">
        <f>IFERROR(VLOOKUP($E245,設定!$C:$G,3,0),"")</f>
        <v/>
      </c>
      <c r="H245" s="78" t="str">
        <f>IFERROR(VLOOKUP($E245,設定!$C:$G,4,0),"")</f>
        <v/>
      </c>
      <c r="I245" s="78" t="str">
        <f>IFERROR(VLOOKUP($E245,設定!$C:$G,5,0),"")</f>
        <v/>
      </c>
      <c r="J245" s="104"/>
    </row>
    <row r="246" spans="2:10" s="3" customFormat="1" ht="24" customHeight="1" x14ac:dyDescent="0.2">
      <c r="B246" s="74"/>
      <c r="C246" s="75"/>
      <c r="D246" s="76"/>
      <c r="E246" s="77"/>
      <c r="F246" s="78" t="str">
        <f>IFERROR(VLOOKUP($E246,設定!$C:$G,2,0),"")</f>
        <v/>
      </c>
      <c r="G246" s="78" t="str">
        <f>IFERROR(VLOOKUP($E246,設定!$C:$G,3,0),"")</f>
        <v/>
      </c>
      <c r="H246" s="78" t="str">
        <f>IFERROR(VLOOKUP($E246,設定!$C:$G,4,0),"")</f>
        <v/>
      </c>
      <c r="I246" s="78" t="str">
        <f>IFERROR(VLOOKUP($E246,設定!$C:$G,5,0),"")</f>
        <v/>
      </c>
      <c r="J246" s="104"/>
    </row>
    <row r="247" spans="2:10" s="3" customFormat="1" ht="24" customHeight="1" x14ac:dyDescent="0.2">
      <c r="B247" s="74"/>
      <c r="C247" s="75"/>
      <c r="D247" s="76"/>
      <c r="E247" s="77"/>
      <c r="F247" s="78" t="str">
        <f>IFERROR(VLOOKUP($E247,設定!$C:$G,2,0),"")</f>
        <v/>
      </c>
      <c r="G247" s="78" t="str">
        <f>IFERROR(VLOOKUP($E247,設定!$C:$G,3,0),"")</f>
        <v/>
      </c>
      <c r="H247" s="78" t="str">
        <f>IFERROR(VLOOKUP($E247,設定!$C:$G,4,0),"")</f>
        <v/>
      </c>
      <c r="I247" s="78" t="str">
        <f>IFERROR(VLOOKUP($E247,設定!$C:$G,5,0),"")</f>
        <v/>
      </c>
      <c r="J247" s="104"/>
    </row>
    <row r="248" spans="2:10" s="3" customFormat="1" ht="24" customHeight="1" x14ac:dyDescent="0.2">
      <c r="B248" s="74"/>
      <c r="C248" s="75"/>
      <c r="D248" s="76"/>
      <c r="E248" s="77"/>
      <c r="F248" s="78" t="str">
        <f>IFERROR(VLOOKUP($E248,設定!$C:$G,2,0),"")</f>
        <v/>
      </c>
      <c r="G248" s="78" t="str">
        <f>IFERROR(VLOOKUP($E248,設定!$C:$G,3,0),"")</f>
        <v/>
      </c>
      <c r="H248" s="78" t="str">
        <f>IFERROR(VLOOKUP($E248,設定!$C:$G,4,0),"")</f>
        <v/>
      </c>
      <c r="I248" s="78" t="str">
        <f>IFERROR(VLOOKUP($E248,設定!$C:$G,5,0),"")</f>
        <v/>
      </c>
      <c r="J248" s="104"/>
    </row>
    <row r="249" spans="2:10" s="3" customFormat="1" ht="24" customHeight="1" x14ac:dyDescent="0.2">
      <c r="B249" s="74"/>
      <c r="C249" s="75"/>
      <c r="D249" s="76"/>
      <c r="E249" s="77"/>
      <c r="F249" s="78" t="str">
        <f>IFERROR(VLOOKUP($E249,設定!$C:$G,2,0),"")</f>
        <v/>
      </c>
      <c r="G249" s="78" t="str">
        <f>IFERROR(VLOOKUP($E249,設定!$C:$G,3,0),"")</f>
        <v/>
      </c>
      <c r="H249" s="78" t="str">
        <f>IFERROR(VLOOKUP($E249,設定!$C:$G,4,0),"")</f>
        <v/>
      </c>
      <c r="I249" s="78" t="str">
        <f>IFERROR(VLOOKUP($E249,設定!$C:$G,5,0),"")</f>
        <v/>
      </c>
      <c r="J249" s="104"/>
    </row>
    <row r="250" spans="2:10" s="3" customFormat="1" ht="24" customHeight="1" x14ac:dyDescent="0.2">
      <c r="B250" s="74"/>
      <c r="C250" s="75"/>
      <c r="D250" s="76"/>
      <c r="E250" s="77"/>
      <c r="F250" s="78" t="str">
        <f>IFERROR(VLOOKUP($E250,設定!$C:$G,2,0),"")</f>
        <v/>
      </c>
      <c r="G250" s="78" t="str">
        <f>IFERROR(VLOOKUP($E250,設定!$C:$G,3,0),"")</f>
        <v/>
      </c>
      <c r="H250" s="78" t="str">
        <f>IFERROR(VLOOKUP($E250,設定!$C:$G,4,0),"")</f>
        <v/>
      </c>
      <c r="I250" s="78" t="str">
        <f>IFERROR(VLOOKUP($E250,設定!$C:$G,5,0),"")</f>
        <v/>
      </c>
      <c r="J250" s="104"/>
    </row>
    <row r="251" spans="2:10" s="3" customFormat="1" ht="24" customHeight="1" x14ac:dyDescent="0.2">
      <c r="B251" s="74"/>
      <c r="C251" s="75"/>
      <c r="D251" s="76"/>
      <c r="E251" s="77"/>
      <c r="F251" s="78" t="str">
        <f>IFERROR(VLOOKUP($E251,設定!$C:$G,2,0),"")</f>
        <v/>
      </c>
      <c r="G251" s="78" t="str">
        <f>IFERROR(VLOOKUP($E251,設定!$C:$G,3,0),"")</f>
        <v/>
      </c>
      <c r="H251" s="78" t="str">
        <f>IFERROR(VLOOKUP($E251,設定!$C:$G,4,0),"")</f>
        <v/>
      </c>
      <c r="I251" s="78" t="str">
        <f>IFERROR(VLOOKUP($E251,設定!$C:$G,5,0),"")</f>
        <v/>
      </c>
      <c r="J251" s="104"/>
    </row>
    <row r="252" spans="2:10" s="3" customFormat="1" ht="24" customHeight="1" x14ac:dyDescent="0.2">
      <c r="B252" s="74"/>
      <c r="C252" s="75"/>
      <c r="D252" s="76"/>
      <c r="E252" s="77"/>
      <c r="F252" s="78" t="str">
        <f>IFERROR(VLOOKUP($E252,設定!$C:$G,2,0),"")</f>
        <v/>
      </c>
      <c r="G252" s="78" t="str">
        <f>IFERROR(VLOOKUP($E252,設定!$C:$G,3,0),"")</f>
        <v/>
      </c>
      <c r="H252" s="78" t="str">
        <f>IFERROR(VLOOKUP($E252,設定!$C:$G,4,0),"")</f>
        <v/>
      </c>
      <c r="I252" s="78" t="str">
        <f>IFERROR(VLOOKUP($E252,設定!$C:$G,5,0),"")</f>
        <v/>
      </c>
      <c r="J252" s="104"/>
    </row>
    <row r="253" spans="2:10" s="3" customFormat="1" ht="24" customHeight="1" x14ac:dyDescent="0.2">
      <c r="B253" s="74"/>
      <c r="C253" s="75"/>
      <c r="D253" s="76"/>
      <c r="E253" s="77"/>
      <c r="F253" s="78" t="str">
        <f>IFERROR(VLOOKUP($E253,設定!$C:$G,2,0),"")</f>
        <v/>
      </c>
      <c r="G253" s="78" t="str">
        <f>IFERROR(VLOOKUP($E253,設定!$C:$G,3,0),"")</f>
        <v/>
      </c>
      <c r="H253" s="78" t="str">
        <f>IFERROR(VLOOKUP($E253,設定!$C:$G,4,0),"")</f>
        <v/>
      </c>
      <c r="I253" s="78" t="str">
        <f>IFERROR(VLOOKUP($E253,設定!$C:$G,5,0),"")</f>
        <v/>
      </c>
      <c r="J253" s="104"/>
    </row>
    <row r="254" spans="2:10" s="3" customFormat="1" ht="24" customHeight="1" x14ac:dyDescent="0.2">
      <c r="B254" s="74"/>
      <c r="C254" s="75"/>
      <c r="D254" s="76"/>
      <c r="E254" s="77"/>
      <c r="F254" s="78" t="str">
        <f>IFERROR(VLOOKUP($E254,設定!$C:$G,2,0),"")</f>
        <v/>
      </c>
      <c r="G254" s="78" t="str">
        <f>IFERROR(VLOOKUP($E254,設定!$C:$G,3,0),"")</f>
        <v/>
      </c>
      <c r="H254" s="78" t="str">
        <f>IFERROR(VLOOKUP($E254,設定!$C:$G,4,0),"")</f>
        <v/>
      </c>
      <c r="I254" s="78" t="str">
        <f>IFERROR(VLOOKUP($E254,設定!$C:$G,5,0),"")</f>
        <v/>
      </c>
      <c r="J254" s="104"/>
    </row>
    <row r="255" spans="2:10" s="3" customFormat="1" ht="24" customHeight="1" x14ac:dyDescent="0.2">
      <c r="B255" s="74"/>
      <c r="C255" s="75"/>
      <c r="D255" s="76"/>
      <c r="E255" s="77"/>
      <c r="F255" s="78" t="str">
        <f>IFERROR(VLOOKUP($E255,設定!$C:$G,2,0),"")</f>
        <v/>
      </c>
      <c r="G255" s="78" t="str">
        <f>IFERROR(VLOOKUP($E255,設定!$C:$G,3,0),"")</f>
        <v/>
      </c>
      <c r="H255" s="78" t="str">
        <f>IFERROR(VLOOKUP($E255,設定!$C:$G,4,0),"")</f>
        <v/>
      </c>
      <c r="I255" s="78" t="str">
        <f>IFERROR(VLOOKUP($E255,設定!$C:$G,5,0),"")</f>
        <v/>
      </c>
      <c r="J255" s="104"/>
    </row>
    <row r="256" spans="2:10" s="3" customFormat="1" ht="24" customHeight="1" x14ac:dyDescent="0.2">
      <c r="B256" s="74"/>
      <c r="C256" s="75"/>
      <c r="D256" s="76"/>
      <c r="E256" s="77"/>
      <c r="F256" s="78" t="str">
        <f>IFERROR(VLOOKUP($E256,設定!$C:$G,2,0),"")</f>
        <v/>
      </c>
      <c r="G256" s="78" t="str">
        <f>IFERROR(VLOOKUP($E256,設定!$C:$G,3,0),"")</f>
        <v/>
      </c>
      <c r="H256" s="78" t="str">
        <f>IFERROR(VLOOKUP($E256,設定!$C:$G,4,0),"")</f>
        <v/>
      </c>
      <c r="I256" s="78" t="str">
        <f>IFERROR(VLOOKUP($E256,設定!$C:$G,5,0),"")</f>
        <v/>
      </c>
      <c r="J256" s="104"/>
    </row>
    <row r="257" spans="2:10" s="3" customFormat="1" ht="24" customHeight="1" x14ac:dyDescent="0.2">
      <c r="B257" s="74"/>
      <c r="C257" s="75"/>
      <c r="D257" s="76"/>
      <c r="E257" s="77"/>
      <c r="F257" s="78" t="str">
        <f>IFERROR(VLOOKUP($E257,設定!$C:$G,2,0),"")</f>
        <v/>
      </c>
      <c r="G257" s="78" t="str">
        <f>IFERROR(VLOOKUP($E257,設定!$C:$G,3,0),"")</f>
        <v/>
      </c>
      <c r="H257" s="78" t="str">
        <f>IFERROR(VLOOKUP($E257,設定!$C:$G,4,0),"")</f>
        <v/>
      </c>
      <c r="I257" s="78" t="str">
        <f>IFERROR(VLOOKUP($E257,設定!$C:$G,5,0),"")</f>
        <v/>
      </c>
      <c r="J257" s="104"/>
    </row>
    <row r="258" spans="2:10" s="3" customFormat="1" ht="24" customHeight="1" x14ac:dyDescent="0.2">
      <c r="B258" s="74"/>
      <c r="C258" s="75"/>
      <c r="D258" s="76"/>
      <c r="E258" s="77"/>
      <c r="F258" s="78" t="str">
        <f>IFERROR(VLOOKUP($E258,設定!$C:$G,2,0),"")</f>
        <v/>
      </c>
      <c r="G258" s="78" t="str">
        <f>IFERROR(VLOOKUP($E258,設定!$C:$G,3,0),"")</f>
        <v/>
      </c>
      <c r="H258" s="78" t="str">
        <f>IFERROR(VLOOKUP($E258,設定!$C:$G,4,0),"")</f>
        <v/>
      </c>
      <c r="I258" s="78" t="str">
        <f>IFERROR(VLOOKUP($E258,設定!$C:$G,5,0),"")</f>
        <v/>
      </c>
      <c r="J258" s="104"/>
    </row>
    <row r="259" spans="2:10" s="3" customFormat="1" ht="24" customHeight="1" x14ac:dyDescent="0.2">
      <c r="B259" s="74"/>
      <c r="C259" s="75"/>
      <c r="D259" s="76"/>
      <c r="E259" s="77"/>
      <c r="F259" s="78" t="str">
        <f>IFERROR(VLOOKUP($E259,設定!$C:$G,2,0),"")</f>
        <v/>
      </c>
      <c r="G259" s="78" t="str">
        <f>IFERROR(VLOOKUP($E259,設定!$C:$G,3,0),"")</f>
        <v/>
      </c>
      <c r="H259" s="78" t="str">
        <f>IFERROR(VLOOKUP($E259,設定!$C:$G,4,0),"")</f>
        <v/>
      </c>
      <c r="I259" s="78" t="str">
        <f>IFERROR(VLOOKUP($E259,設定!$C:$G,5,0),"")</f>
        <v/>
      </c>
      <c r="J259" s="104"/>
    </row>
    <row r="260" spans="2:10" s="3" customFormat="1" ht="24" customHeight="1" x14ac:dyDescent="0.2">
      <c r="B260" s="74"/>
      <c r="C260" s="75"/>
      <c r="D260" s="76"/>
      <c r="E260" s="77"/>
      <c r="F260" s="78" t="str">
        <f>IFERROR(VLOOKUP($E260,設定!$C:$G,2,0),"")</f>
        <v/>
      </c>
      <c r="G260" s="78" t="str">
        <f>IFERROR(VLOOKUP($E260,設定!$C:$G,3,0),"")</f>
        <v/>
      </c>
      <c r="H260" s="78" t="str">
        <f>IFERROR(VLOOKUP($E260,設定!$C:$G,4,0),"")</f>
        <v/>
      </c>
      <c r="I260" s="78" t="str">
        <f>IFERROR(VLOOKUP($E260,設定!$C:$G,5,0),"")</f>
        <v/>
      </c>
      <c r="J260" s="104"/>
    </row>
    <row r="261" spans="2:10" s="3" customFormat="1" ht="24" customHeight="1" x14ac:dyDescent="0.2">
      <c r="B261" s="74"/>
      <c r="C261" s="75"/>
      <c r="D261" s="76"/>
      <c r="E261" s="77"/>
      <c r="F261" s="78" t="str">
        <f>IFERROR(VLOOKUP($E261,設定!$C:$G,2,0),"")</f>
        <v/>
      </c>
      <c r="G261" s="78" t="str">
        <f>IFERROR(VLOOKUP($E261,設定!$C:$G,3,0),"")</f>
        <v/>
      </c>
      <c r="H261" s="78" t="str">
        <f>IFERROR(VLOOKUP($E261,設定!$C:$G,4,0),"")</f>
        <v/>
      </c>
      <c r="I261" s="78" t="str">
        <f>IFERROR(VLOOKUP($E261,設定!$C:$G,5,0),"")</f>
        <v/>
      </c>
      <c r="J261" s="104"/>
    </row>
    <row r="262" spans="2:10" s="3" customFormat="1" ht="24" customHeight="1" x14ac:dyDescent="0.2">
      <c r="B262" s="74"/>
      <c r="C262" s="75"/>
      <c r="D262" s="76"/>
      <c r="E262" s="77"/>
      <c r="F262" s="78" t="str">
        <f>IFERROR(VLOOKUP($E262,設定!$C:$G,2,0),"")</f>
        <v/>
      </c>
      <c r="G262" s="78" t="str">
        <f>IFERROR(VLOOKUP($E262,設定!$C:$G,3,0),"")</f>
        <v/>
      </c>
      <c r="H262" s="78" t="str">
        <f>IFERROR(VLOOKUP($E262,設定!$C:$G,4,0),"")</f>
        <v/>
      </c>
      <c r="I262" s="78" t="str">
        <f>IFERROR(VLOOKUP($E262,設定!$C:$G,5,0),"")</f>
        <v/>
      </c>
      <c r="J262" s="104"/>
    </row>
    <row r="263" spans="2:10" s="3" customFormat="1" ht="24" customHeight="1" x14ac:dyDescent="0.2">
      <c r="B263" s="74"/>
      <c r="C263" s="75"/>
      <c r="D263" s="76"/>
      <c r="E263" s="77"/>
      <c r="F263" s="78" t="str">
        <f>IFERROR(VLOOKUP($E263,設定!$C:$G,2,0),"")</f>
        <v/>
      </c>
      <c r="G263" s="78" t="str">
        <f>IFERROR(VLOOKUP($E263,設定!$C:$G,3,0),"")</f>
        <v/>
      </c>
      <c r="H263" s="78" t="str">
        <f>IFERROR(VLOOKUP($E263,設定!$C:$G,4,0),"")</f>
        <v/>
      </c>
      <c r="I263" s="78" t="str">
        <f>IFERROR(VLOOKUP($E263,設定!$C:$G,5,0),"")</f>
        <v/>
      </c>
      <c r="J263" s="104"/>
    </row>
    <row r="264" spans="2:10" s="3" customFormat="1" ht="24" customHeight="1" x14ac:dyDescent="0.2">
      <c r="B264" s="74"/>
      <c r="C264" s="75"/>
      <c r="D264" s="76"/>
      <c r="E264" s="77"/>
      <c r="F264" s="78" t="str">
        <f>IFERROR(VLOOKUP($E264,設定!$C:$G,2,0),"")</f>
        <v/>
      </c>
      <c r="G264" s="78" t="str">
        <f>IFERROR(VLOOKUP($E264,設定!$C:$G,3,0),"")</f>
        <v/>
      </c>
      <c r="H264" s="78" t="str">
        <f>IFERROR(VLOOKUP($E264,設定!$C:$G,4,0),"")</f>
        <v/>
      </c>
      <c r="I264" s="78" t="str">
        <f>IFERROR(VLOOKUP($E264,設定!$C:$G,5,0),"")</f>
        <v/>
      </c>
      <c r="J264" s="104"/>
    </row>
    <row r="265" spans="2:10" s="3" customFormat="1" ht="24" customHeight="1" x14ac:dyDescent="0.2">
      <c r="B265" s="74"/>
      <c r="C265" s="75"/>
      <c r="D265" s="76"/>
      <c r="E265" s="77"/>
      <c r="F265" s="78" t="str">
        <f>IFERROR(VLOOKUP($E265,設定!$C:$G,2,0),"")</f>
        <v/>
      </c>
      <c r="G265" s="78" t="str">
        <f>IFERROR(VLOOKUP($E265,設定!$C:$G,3,0),"")</f>
        <v/>
      </c>
      <c r="H265" s="78" t="str">
        <f>IFERROR(VLOOKUP($E265,設定!$C:$G,4,0),"")</f>
        <v/>
      </c>
      <c r="I265" s="78" t="str">
        <f>IFERROR(VLOOKUP($E265,設定!$C:$G,5,0),"")</f>
        <v/>
      </c>
      <c r="J265" s="104"/>
    </row>
    <row r="266" spans="2:10" s="3" customFormat="1" ht="24" customHeight="1" x14ac:dyDescent="0.2">
      <c r="B266" s="74"/>
      <c r="C266" s="75"/>
      <c r="D266" s="76"/>
      <c r="E266" s="77"/>
      <c r="F266" s="78" t="str">
        <f>IFERROR(VLOOKUP($E266,設定!$C:$G,2,0),"")</f>
        <v/>
      </c>
      <c r="G266" s="78" t="str">
        <f>IFERROR(VLOOKUP($E266,設定!$C:$G,3,0),"")</f>
        <v/>
      </c>
      <c r="H266" s="78" t="str">
        <f>IFERROR(VLOOKUP($E266,設定!$C:$G,4,0),"")</f>
        <v/>
      </c>
      <c r="I266" s="78" t="str">
        <f>IFERROR(VLOOKUP($E266,設定!$C:$G,5,0),"")</f>
        <v/>
      </c>
      <c r="J266" s="104"/>
    </row>
    <row r="267" spans="2:10" s="3" customFormat="1" ht="24" customHeight="1" x14ac:dyDescent="0.2">
      <c r="B267" s="74"/>
      <c r="C267" s="75"/>
      <c r="D267" s="76"/>
      <c r="E267" s="77"/>
      <c r="F267" s="78" t="str">
        <f>IFERROR(VLOOKUP($E267,設定!$C:$G,2,0),"")</f>
        <v/>
      </c>
      <c r="G267" s="78" t="str">
        <f>IFERROR(VLOOKUP($E267,設定!$C:$G,3,0),"")</f>
        <v/>
      </c>
      <c r="H267" s="78" t="str">
        <f>IFERROR(VLOOKUP($E267,設定!$C:$G,4,0),"")</f>
        <v/>
      </c>
      <c r="I267" s="78" t="str">
        <f>IFERROR(VLOOKUP($E267,設定!$C:$G,5,0),"")</f>
        <v/>
      </c>
      <c r="J267" s="104"/>
    </row>
    <row r="268" spans="2:10" s="3" customFormat="1" ht="24" customHeight="1" x14ac:dyDescent="0.2">
      <c r="B268" s="74"/>
      <c r="C268" s="75"/>
      <c r="D268" s="76"/>
      <c r="E268" s="77"/>
      <c r="F268" s="78" t="str">
        <f>IFERROR(VLOOKUP($E268,設定!$C:$G,2,0),"")</f>
        <v/>
      </c>
      <c r="G268" s="78" t="str">
        <f>IFERROR(VLOOKUP($E268,設定!$C:$G,3,0),"")</f>
        <v/>
      </c>
      <c r="H268" s="78" t="str">
        <f>IFERROR(VLOOKUP($E268,設定!$C:$G,4,0),"")</f>
        <v/>
      </c>
      <c r="I268" s="78" t="str">
        <f>IFERROR(VLOOKUP($E268,設定!$C:$G,5,0),"")</f>
        <v/>
      </c>
      <c r="J268" s="104"/>
    </row>
    <row r="269" spans="2:10" s="3" customFormat="1" ht="24" customHeight="1" x14ac:dyDescent="0.2">
      <c r="B269" s="74"/>
      <c r="C269" s="75"/>
      <c r="D269" s="76"/>
      <c r="E269" s="77"/>
      <c r="F269" s="78" t="str">
        <f>IFERROR(VLOOKUP($E269,設定!$C:$G,2,0),"")</f>
        <v/>
      </c>
      <c r="G269" s="78" t="str">
        <f>IFERROR(VLOOKUP($E269,設定!$C:$G,3,0),"")</f>
        <v/>
      </c>
      <c r="H269" s="78" t="str">
        <f>IFERROR(VLOOKUP($E269,設定!$C:$G,4,0),"")</f>
        <v/>
      </c>
      <c r="I269" s="78" t="str">
        <f>IFERROR(VLOOKUP($E269,設定!$C:$G,5,0),"")</f>
        <v/>
      </c>
      <c r="J269" s="104"/>
    </row>
    <row r="270" spans="2:10" s="3" customFormat="1" ht="24" customHeight="1" x14ac:dyDescent="0.2">
      <c r="B270" s="74"/>
      <c r="C270" s="75"/>
      <c r="D270" s="76"/>
      <c r="E270" s="77"/>
      <c r="F270" s="78" t="str">
        <f>IFERROR(VLOOKUP($E270,設定!$C:$G,2,0),"")</f>
        <v/>
      </c>
      <c r="G270" s="78" t="str">
        <f>IFERROR(VLOOKUP($E270,設定!$C:$G,3,0),"")</f>
        <v/>
      </c>
      <c r="H270" s="78" t="str">
        <f>IFERROR(VLOOKUP($E270,設定!$C:$G,4,0),"")</f>
        <v/>
      </c>
      <c r="I270" s="78" t="str">
        <f>IFERROR(VLOOKUP($E270,設定!$C:$G,5,0),"")</f>
        <v/>
      </c>
      <c r="J270" s="104"/>
    </row>
    <row r="271" spans="2:10" s="3" customFormat="1" ht="24" customHeight="1" x14ac:dyDescent="0.2">
      <c r="B271" s="74"/>
      <c r="C271" s="75"/>
      <c r="D271" s="76"/>
      <c r="E271" s="77"/>
      <c r="F271" s="78" t="str">
        <f>IFERROR(VLOOKUP($E271,設定!$C:$G,2,0),"")</f>
        <v/>
      </c>
      <c r="G271" s="78" t="str">
        <f>IFERROR(VLOOKUP($E271,設定!$C:$G,3,0),"")</f>
        <v/>
      </c>
      <c r="H271" s="78" t="str">
        <f>IFERROR(VLOOKUP($E271,設定!$C:$G,4,0),"")</f>
        <v/>
      </c>
      <c r="I271" s="78" t="str">
        <f>IFERROR(VLOOKUP($E271,設定!$C:$G,5,0),"")</f>
        <v/>
      </c>
      <c r="J271" s="104"/>
    </row>
    <row r="272" spans="2:10" s="3" customFormat="1" ht="24" customHeight="1" x14ac:dyDescent="0.2">
      <c r="B272" s="74"/>
      <c r="C272" s="75"/>
      <c r="D272" s="76"/>
      <c r="E272" s="77"/>
      <c r="F272" s="78" t="str">
        <f>IFERROR(VLOOKUP($E272,設定!$C:$G,2,0),"")</f>
        <v/>
      </c>
      <c r="G272" s="78" t="str">
        <f>IFERROR(VLOOKUP($E272,設定!$C:$G,3,0),"")</f>
        <v/>
      </c>
      <c r="H272" s="78" t="str">
        <f>IFERROR(VLOOKUP($E272,設定!$C:$G,4,0),"")</f>
        <v/>
      </c>
      <c r="I272" s="78" t="str">
        <f>IFERROR(VLOOKUP($E272,設定!$C:$G,5,0),"")</f>
        <v/>
      </c>
      <c r="J272" s="104"/>
    </row>
    <row r="273" spans="2:10" s="3" customFormat="1" ht="24" customHeight="1" x14ac:dyDescent="0.2">
      <c r="B273" s="74"/>
      <c r="C273" s="75"/>
      <c r="D273" s="76"/>
      <c r="E273" s="77"/>
      <c r="F273" s="78" t="str">
        <f>IFERROR(VLOOKUP($E273,設定!$C:$G,2,0),"")</f>
        <v/>
      </c>
      <c r="G273" s="78" t="str">
        <f>IFERROR(VLOOKUP($E273,設定!$C:$G,3,0),"")</f>
        <v/>
      </c>
      <c r="H273" s="78" t="str">
        <f>IFERROR(VLOOKUP($E273,設定!$C:$G,4,0),"")</f>
        <v/>
      </c>
      <c r="I273" s="78" t="str">
        <f>IFERROR(VLOOKUP($E273,設定!$C:$G,5,0),"")</f>
        <v/>
      </c>
      <c r="J273" s="104"/>
    </row>
    <row r="274" spans="2:10" s="3" customFormat="1" ht="24" customHeight="1" x14ac:dyDescent="0.2">
      <c r="B274" s="74"/>
      <c r="C274" s="75"/>
      <c r="D274" s="76"/>
      <c r="E274" s="77"/>
      <c r="F274" s="78" t="str">
        <f>IFERROR(VLOOKUP($E274,設定!$C:$G,2,0),"")</f>
        <v/>
      </c>
      <c r="G274" s="78" t="str">
        <f>IFERROR(VLOOKUP($E274,設定!$C:$G,3,0),"")</f>
        <v/>
      </c>
      <c r="H274" s="78" t="str">
        <f>IFERROR(VLOOKUP($E274,設定!$C:$G,4,0),"")</f>
        <v/>
      </c>
      <c r="I274" s="78" t="str">
        <f>IFERROR(VLOOKUP($E274,設定!$C:$G,5,0),"")</f>
        <v/>
      </c>
      <c r="J274" s="104"/>
    </row>
    <row r="275" spans="2:10" s="3" customFormat="1" ht="24" customHeight="1" x14ac:dyDescent="0.2">
      <c r="B275" s="74"/>
      <c r="C275" s="75"/>
      <c r="D275" s="76"/>
      <c r="E275" s="77"/>
      <c r="F275" s="78" t="str">
        <f>IFERROR(VLOOKUP($E275,設定!$C:$G,2,0),"")</f>
        <v/>
      </c>
      <c r="G275" s="78" t="str">
        <f>IFERROR(VLOOKUP($E275,設定!$C:$G,3,0),"")</f>
        <v/>
      </c>
      <c r="H275" s="78" t="str">
        <f>IFERROR(VLOOKUP($E275,設定!$C:$G,4,0),"")</f>
        <v/>
      </c>
      <c r="I275" s="78" t="str">
        <f>IFERROR(VLOOKUP($E275,設定!$C:$G,5,0),"")</f>
        <v/>
      </c>
      <c r="J275" s="104"/>
    </row>
    <row r="276" spans="2:10" s="3" customFormat="1" ht="24" customHeight="1" x14ac:dyDescent="0.2">
      <c r="B276" s="74"/>
      <c r="C276" s="75"/>
      <c r="D276" s="76"/>
      <c r="E276" s="77"/>
      <c r="F276" s="78" t="str">
        <f>IFERROR(VLOOKUP($E276,設定!$C:$G,2,0),"")</f>
        <v/>
      </c>
      <c r="G276" s="78" t="str">
        <f>IFERROR(VLOOKUP($E276,設定!$C:$G,3,0),"")</f>
        <v/>
      </c>
      <c r="H276" s="78" t="str">
        <f>IFERROR(VLOOKUP($E276,設定!$C:$G,4,0),"")</f>
        <v/>
      </c>
      <c r="I276" s="78" t="str">
        <f>IFERROR(VLOOKUP($E276,設定!$C:$G,5,0),"")</f>
        <v/>
      </c>
      <c r="J276" s="104"/>
    </row>
    <row r="277" spans="2:10" s="3" customFormat="1" ht="24" customHeight="1" x14ac:dyDescent="0.2">
      <c r="B277" s="74"/>
      <c r="C277" s="75"/>
      <c r="D277" s="76"/>
      <c r="E277" s="77"/>
      <c r="F277" s="78" t="str">
        <f>IFERROR(VLOOKUP($E277,設定!$C:$G,2,0),"")</f>
        <v/>
      </c>
      <c r="G277" s="78" t="str">
        <f>IFERROR(VLOOKUP($E277,設定!$C:$G,3,0),"")</f>
        <v/>
      </c>
      <c r="H277" s="78" t="str">
        <f>IFERROR(VLOOKUP($E277,設定!$C:$G,4,0),"")</f>
        <v/>
      </c>
      <c r="I277" s="78" t="str">
        <f>IFERROR(VLOOKUP($E277,設定!$C:$G,5,0),"")</f>
        <v/>
      </c>
      <c r="J277" s="104"/>
    </row>
    <row r="278" spans="2:10" s="3" customFormat="1" ht="24" customHeight="1" x14ac:dyDescent="0.2">
      <c r="B278" s="74"/>
      <c r="C278" s="75"/>
      <c r="D278" s="76"/>
      <c r="E278" s="77"/>
      <c r="F278" s="78" t="str">
        <f>IFERROR(VLOOKUP($E278,設定!$C:$G,2,0),"")</f>
        <v/>
      </c>
      <c r="G278" s="78" t="str">
        <f>IFERROR(VLOOKUP($E278,設定!$C:$G,3,0),"")</f>
        <v/>
      </c>
      <c r="H278" s="78" t="str">
        <f>IFERROR(VLOOKUP($E278,設定!$C:$G,4,0),"")</f>
        <v/>
      </c>
      <c r="I278" s="78" t="str">
        <f>IFERROR(VLOOKUP($E278,設定!$C:$G,5,0),"")</f>
        <v/>
      </c>
      <c r="J278" s="104"/>
    </row>
    <row r="279" spans="2:10" s="3" customFormat="1" ht="24" customHeight="1" x14ac:dyDescent="0.2">
      <c r="B279" s="74"/>
      <c r="C279" s="75"/>
      <c r="D279" s="76"/>
      <c r="E279" s="77"/>
      <c r="F279" s="78" t="str">
        <f>IFERROR(VLOOKUP($E279,設定!$C:$G,2,0),"")</f>
        <v/>
      </c>
      <c r="G279" s="78" t="str">
        <f>IFERROR(VLOOKUP($E279,設定!$C:$G,3,0),"")</f>
        <v/>
      </c>
      <c r="H279" s="78" t="str">
        <f>IFERROR(VLOOKUP($E279,設定!$C:$G,4,0),"")</f>
        <v/>
      </c>
      <c r="I279" s="78" t="str">
        <f>IFERROR(VLOOKUP($E279,設定!$C:$G,5,0),"")</f>
        <v/>
      </c>
      <c r="J279" s="104"/>
    </row>
    <row r="280" spans="2:10" s="3" customFormat="1" ht="24" customHeight="1" x14ac:dyDescent="0.2">
      <c r="B280" s="74"/>
      <c r="C280" s="75"/>
      <c r="D280" s="76"/>
      <c r="E280" s="77"/>
      <c r="F280" s="78" t="str">
        <f>IFERROR(VLOOKUP($E280,設定!$C:$G,2,0),"")</f>
        <v/>
      </c>
      <c r="G280" s="78" t="str">
        <f>IFERROR(VLOOKUP($E280,設定!$C:$G,3,0),"")</f>
        <v/>
      </c>
      <c r="H280" s="78" t="str">
        <f>IFERROR(VLOOKUP($E280,設定!$C:$G,4,0),"")</f>
        <v/>
      </c>
      <c r="I280" s="78" t="str">
        <f>IFERROR(VLOOKUP($E280,設定!$C:$G,5,0),"")</f>
        <v/>
      </c>
      <c r="J280" s="104"/>
    </row>
    <row r="281" spans="2:10" s="3" customFormat="1" ht="24" customHeight="1" x14ac:dyDescent="0.2">
      <c r="B281" s="74"/>
      <c r="C281" s="75"/>
      <c r="D281" s="76"/>
      <c r="E281" s="77"/>
      <c r="F281" s="78" t="str">
        <f>IFERROR(VLOOKUP($E281,設定!$C:$G,2,0),"")</f>
        <v/>
      </c>
      <c r="G281" s="78" t="str">
        <f>IFERROR(VLOOKUP($E281,設定!$C:$G,3,0),"")</f>
        <v/>
      </c>
      <c r="H281" s="78" t="str">
        <f>IFERROR(VLOOKUP($E281,設定!$C:$G,4,0),"")</f>
        <v/>
      </c>
      <c r="I281" s="78" t="str">
        <f>IFERROR(VLOOKUP($E281,設定!$C:$G,5,0),"")</f>
        <v/>
      </c>
      <c r="J281" s="104"/>
    </row>
    <row r="282" spans="2:10" s="3" customFormat="1" ht="24" customHeight="1" x14ac:dyDescent="0.2">
      <c r="B282" s="74"/>
      <c r="C282" s="75"/>
      <c r="D282" s="76"/>
      <c r="E282" s="77"/>
      <c r="F282" s="78" t="str">
        <f>IFERROR(VLOOKUP($E282,設定!$C:$G,2,0),"")</f>
        <v/>
      </c>
      <c r="G282" s="78" t="str">
        <f>IFERROR(VLOOKUP($E282,設定!$C:$G,3,0),"")</f>
        <v/>
      </c>
      <c r="H282" s="78" t="str">
        <f>IFERROR(VLOOKUP($E282,設定!$C:$G,4,0),"")</f>
        <v/>
      </c>
      <c r="I282" s="78" t="str">
        <f>IFERROR(VLOOKUP($E282,設定!$C:$G,5,0),"")</f>
        <v/>
      </c>
      <c r="J282" s="104"/>
    </row>
    <row r="283" spans="2:10" s="3" customFormat="1" ht="24" customHeight="1" x14ac:dyDescent="0.2">
      <c r="B283" s="74"/>
      <c r="C283" s="75"/>
      <c r="D283" s="76"/>
      <c r="E283" s="77"/>
      <c r="F283" s="78" t="str">
        <f>IFERROR(VLOOKUP($E283,設定!$C:$G,2,0),"")</f>
        <v/>
      </c>
      <c r="G283" s="78" t="str">
        <f>IFERROR(VLOOKUP($E283,設定!$C:$G,3,0),"")</f>
        <v/>
      </c>
      <c r="H283" s="78" t="str">
        <f>IFERROR(VLOOKUP($E283,設定!$C:$G,4,0),"")</f>
        <v/>
      </c>
      <c r="I283" s="78" t="str">
        <f>IFERROR(VLOOKUP($E283,設定!$C:$G,5,0),"")</f>
        <v/>
      </c>
      <c r="J283" s="104"/>
    </row>
    <row r="284" spans="2:10" s="3" customFormat="1" ht="24" customHeight="1" x14ac:dyDescent="0.2">
      <c r="B284" s="74"/>
      <c r="C284" s="75"/>
      <c r="D284" s="76"/>
      <c r="E284" s="77"/>
      <c r="F284" s="78" t="str">
        <f>IFERROR(VLOOKUP($E284,設定!$C:$G,2,0),"")</f>
        <v/>
      </c>
      <c r="G284" s="78" t="str">
        <f>IFERROR(VLOOKUP($E284,設定!$C:$G,3,0),"")</f>
        <v/>
      </c>
      <c r="H284" s="78" t="str">
        <f>IFERROR(VLOOKUP($E284,設定!$C:$G,4,0),"")</f>
        <v/>
      </c>
      <c r="I284" s="78" t="str">
        <f>IFERROR(VLOOKUP($E284,設定!$C:$G,5,0),"")</f>
        <v/>
      </c>
      <c r="J284" s="104"/>
    </row>
    <row r="285" spans="2:10" s="3" customFormat="1" ht="24" customHeight="1" x14ac:dyDescent="0.2">
      <c r="B285" s="74"/>
      <c r="C285" s="75"/>
      <c r="D285" s="76"/>
      <c r="E285" s="77"/>
      <c r="F285" s="78" t="str">
        <f>IFERROR(VLOOKUP($E285,設定!$C:$G,2,0),"")</f>
        <v/>
      </c>
      <c r="G285" s="78" t="str">
        <f>IFERROR(VLOOKUP($E285,設定!$C:$G,3,0),"")</f>
        <v/>
      </c>
      <c r="H285" s="78" t="str">
        <f>IFERROR(VLOOKUP($E285,設定!$C:$G,4,0),"")</f>
        <v/>
      </c>
      <c r="I285" s="78" t="str">
        <f>IFERROR(VLOOKUP($E285,設定!$C:$G,5,0),"")</f>
        <v/>
      </c>
      <c r="J285" s="104"/>
    </row>
    <row r="286" spans="2:10" s="3" customFormat="1" ht="24" customHeight="1" x14ac:dyDescent="0.2">
      <c r="B286" s="74"/>
      <c r="C286" s="75"/>
      <c r="D286" s="76"/>
      <c r="E286" s="77"/>
      <c r="F286" s="78" t="str">
        <f>IFERROR(VLOOKUP($E286,設定!$C:$G,2,0),"")</f>
        <v/>
      </c>
      <c r="G286" s="78" t="str">
        <f>IFERROR(VLOOKUP($E286,設定!$C:$G,3,0),"")</f>
        <v/>
      </c>
      <c r="H286" s="78" t="str">
        <f>IFERROR(VLOOKUP($E286,設定!$C:$G,4,0),"")</f>
        <v/>
      </c>
      <c r="I286" s="78" t="str">
        <f>IFERROR(VLOOKUP($E286,設定!$C:$G,5,0),"")</f>
        <v/>
      </c>
      <c r="J286" s="104"/>
    </row>
    <row r="287" spans="2:10" s="3" customFormat="1" ht="24" customHeight="1" x14ac:dyDescent="0.2">
      <c r="B287" s="74"/>
      <c r="C287" s="75"/>
      <c r="D287" s="76"/>
      <c r="E287" s="77"/>
      <c r="F287" s="78" t="str">
        <f>IFERROR(VLOOKUP($E287,設定!$C:$G,2,0),"")</f>
        <v/>
      </c>
      <c r="G287" s="78" t="str">
        <f>IFERROR(VLOOKUP($E287,設定!$C:$G,3,0),"")</f>
        <v/>
      </c>
      <c r="H287" s="78" t="str">
        <f>IFERROR(VLOOKUP($E287,設定!$C:$G,4,0),"")</f>
        <v/>
      </c>
      <c r="I287" s="78" t="str">
        <f>IFERROR(VLOOKUP($E287,設定!$C:$G,5,0),"")</f>
        <v/>
      </c>
      <c r="J287" s="104"/>
    </row>
    <row r="288" spans="2:10" s="3" customFormat="1" ht="24" customHeight="1" x14ac:dyDescent="0.2">
      <c r="B288" s="74"/>
      <c r="C288" s="75"/>
      <c r="D288" s="76"/>
      <c r="E288" s="77"/>
      <c r="F288" s="78" t="str">
        <f>IFERROR(VLOOKUP($E288,設定!$C:$G,2,0),"")</f>
        <v/>
      </c>
      <c r="G288" s="78" t="str">
        <f>IFERROR(VLOOKUP($E288,設定!$C:$G,3,0),"")</f>
        <v/>
      </c>
      <c r="H288" s="78" t="str">
        <f>IFERROR(VLOOKUP($E288,設定!$C:$G,4,0),"")</f>
        <v/>
      </c>
      <c r="I288" s="78" t="str">
        <f>IFERROR(VLOOKUP($E288,設定!$C:$G,5,0),"")</f>
        <v/>
      </c>
      <c r="J288" s="104"/>
    </row>
    <row r="289" spans="2:10" s="3" customFormat="1" ht="24" customHeight="1" x14ac:dyDescent="0.2">
      <c r="B289" s="74"/>
      <c r="C289" s="75"/>
      <c r="D289" s="76"/>
      <c r="E289" s="77"/>
      <c r="F289" s="78" t="str">
        <f>IFERROR(VLOOKUP($E289,設定!$C:$G,2,0),"")</f>
        <v/>
      </c>
      <c r="G289" s="78" t="str">
        <f>IFERROR(VLOOKUP($E289,設定!$C:$G,3,0),"")</f>
        <v/>
      </c>
      <c r="H289" s="78" t="str">
        <f>IFERROR(VLOOKUP($E289,設定!$C:$G,4,0),"")</f>
        <v/>
      </c>
      <c r="I289" s="78" t="str">
        <f>IFERROR(VLOOKUP($E289,設定!$C:$G,5,0),"")</f>
        <v/>
      </c>
      <c r="J289" s="104"/>
    </row>
    <row r="290" spans="2:10" s="3" customFormat="1" ht="24" customHeight="1" x14ac:dyDescent="0.2">
      <c r="B290" s="74"/>
      <c r="C290" s="75"/>
      <c r="D290" s="76"/>
      <c r="E290" s="77"/>
      <c r="F290" s="78" t="str">
        <f>IFERROR(VLOOKUP($E290,設定!$C:$G,2,0),"")</f>
        <v/>
      </c>
      <c r="G290" s="78" t="str">
        <f>IFERROR(VLOOKUP($E290,設定!$C:$G,3,0),"")</f>
        <v/>
      </c>
      <c r="H290" s="78" t="str">
        <f>IFERROR(VLOOKUP($E290,設定!$C:$G,4,0),"")</f>
        <v/>
      </c>
      <c r="I290" s="78" t="str">
        <f>IFERROR(VLOOKUP($E290,設定!$C:$G,5,0),"")</f>
        <v/>
      </c>
      <c r="J290" s="104"/>
    </row>
    <row r="291" spans="2:10" s="3" customFormat="1" ht="24" customHeight="1" x14ac:dyDescent="0.2">
      <c r="B291" s="74"/>
      <c r="C291" s="75"/>
      <c r="D291" s="76"/>
      <c r="E291" s="77"/>
      <c r="F291" s="78" t="str">
        <f>IFERROR(VLOOKUP($E291,設定!$C:$G,2,0),"")</f>
        <v/>
      </c>
      <c r="G291" s="78" t="str">
        <f>IFERROR(VLOOKUP($E291,設定!$C:$G,3,0),"")</f>
        <v/>
      </c>
      <c r="H291" s="78" t="str">
        <f>IFERROR(VLOOKUP($E291,設定!$C:$G,4,0),"")</f>
        <v/>
      </c>
      <c r="I291" s="78" t="str">
        <f>IFERROR(VLOOKUP($E291,設定!$C:$G,5,0),"")</f>
        <v/>
      </c>
      <c r="J291" s="104"/>
    </row>
    <row r="292" spans="2:10" s="3" customFormat="1" ht="24" customHeight="1" x14ac:dyDescent="0.2">
      <c r="B292" s="74"/>
      <c r="C292" s="75"/>
      <c r="D292" s="76"/>
      <c r="E292" s="77"/>
      <c r="F292" s="78" t="str">
        <f>IFERROR(VLOOKUP($E292,設定!$C:$G,2,0),"")</f>
        <v/>
      </c>
      <c r="G292" s="78" t="str">
        <f>IFERROR(VLOOKUP($E292,設定!$C:$G,3,0),"")</f>
        <v/>
      </c>
      <c r="H292" s="78" t="str">
        <f>IFERROR(VLOOKUP($E292,設定!$C:$G,4,0),"")</f>
        <v/>
      </c>
      <c r="I292" s="78" t="str">
        <f>IFERROR(VLOOKUP($E292,設定!$C:$G,5,0),"")</f>
        <v/>
      </c>
      <c r="J292" s="104"/>
    </row>
    <row r="293" spans="2:10" s="3" customFormat="1" ht="24" customHeight="1" x14ac:dyDescent="0.2">
      <c r="B293" s="74"/>
      <c r="C293" s="75"/>
      <c r="D293" s="76"/>
      <c r="E293" s="77"/>
      <c r="F293" s="78" t="str">
        <f>IFERROR(VLOOKUP($E293,設定!$C:$G,2,0),"")</f>
        <v/>
      </c>
      <c r="G293" s="78" t="str">
        <f>IFERROR(VLOOKUP($E293,設定!$C:$G,3,0),"")</f>
        <v/>
      </c>
      <c r="H293" s="78" t="str">
        <f>IFERROR(VLOOKUP($E293,設定!$C:$G,4,0),"")</f>
        <v/>
      </c>
      <c r="I293" s="78" t="str">
        <f>IFERROR(VLOOKUP($E293,設定!$C:$G,5,0),"")</f>
        <v/>
      </c>
      <c r="J293" s="104"/>
    </row>
    <row r="294" spans="2:10" s="3" customFormat="1" ht="24" customHeight="1" x14ac:dyDescent="0.2">
      <c r="B294" s="74"/>
      <c r="C294" s="75"/>
      <c r="D294" s="76"/>
      <c r="E294" s="77"/>
      <c r="F294" s="78" t="str">
        <f>IFERROR(VLOOKUP($E294,設定!$C:$G,2,0),"")</f>
        <v/>
      </c>
      <c r="G294" s="78" t="str">
        <f>IFERROR(VLOOKUP($E294,設定!$C:$G,3,0),"")</f>
        <v/>
      </c>
      <c r="H294" s="78" t="str">
        <f>IFERROR(VLOOKUP($E294,設定!$C:$G,4,0),"")</f>
        <v/>
      </c>
      <c r="I294" s="78" t="str">
        <f>IFERROR(VLOOKUP($E294,設定!$C:$G,5,0),"")</f>
        <v/>
      </c>
      <c r="J294" s="104"/>
    </row>
    <row r="295" spans="2:10" s="3" customFormat="1" ht="24" customHeight="1" x14ac:dyDescent="0.2">
      <c r="B295" s="74"/>
      <c r="C295" s="75"/>
      <c r="D295" s="76"/>
      <c r="E295" s="77"/>
      <c r="F295" s="78" t="str">
        <f>IFERROR(VLOOKUP($E295,設定!$C:$G,2,0),"")</f>
        <v/>
      </c>
      <c r="G295" s="78" t="str">
        <f>IFERROR(VLOOKUP($E295,設定!$C:$G,3,0),"")</f>
        <v/>
      </c>
      <c r="H295" s="78" t="str">
        <f>IFERROR(VLOOKUP($E295,設定!$C:$G,4,0),"")</f>
        <v/>
      </c>
      <c r="I295" s="78" t="str">
        <f>IFERROR(VLOOKUP($E295,設定!$C:$G,5,0),"")</f>
        <v/>
      </c>
      <c r="J295" s="104"/>
    </row>
    <row r="296" spans="2:10" s="3" customFormat="1" ht="24" customHeight="1" x14ac:dyDescent="0.2">
      <c r="B296" s="74"/>
      <c r="C296" s="75"/>
      <c r="D296" s="76"/>
      <c r="E296" s="77"/>
      <c r="F296" s="78" t="str">
        <f>IFERROR(VLOOKUP($E296,設定!$C:$G,2,0),"")</f>
        <v/>
      </c>
      <c r="G296" s="78" t="str">
        <f>IFERROR(VLOOKUP($E296,設定!$C:$G,3,0),"")</f>
        <v/>
      </c>
      <c r="H296" s="78" t="str">
        <f>IFERROR(VLOOKUP($E296,設定!$C:$G,4,0),"")</f>
        <v/>
      </c>
      <c r="I296" s="78" t="str">
        <f>IFERROR(VLOOKUP($E296,設定!$C:$G,5,0),"")</f>
        <v/>
      </c>
      <c r="J296" s="104"/>
    </row>
    <row r="297" spans="2:10" s="3" customFormat="1" ht="24" customHeight="1" x14ac:dyDescent="0.2">
      <c r="B297" s="74"/>
      <c r="C297" s="75"/>
      <c r="D297" s="76"/>
      <c r="E297" s="77"/>
      <c r="F297" s="78" t="str">
        <f>IFERROR(VLOOKUP($E297,設定!$C:$G,2,0),"")</f>
        <v/>
      </c>
      <c r="G297" s="78" t="str">
        <f>IFERROR(VLOOKUP($E297,設定!$C:$G,3,0),"")</f>
        <v/>
      </c>
      <c r="H297" s="78" t="str">
        <f>IFERROR(VLOOKUP($E297,設定!$C:$G,4,0),"")</f>
        <v/>
      </c>
      <c r="I297" s="78" t="str">
        <f>IFERROR(VLOOKUP($E297,設定!$C:$G,5,0),"")</f>
        <v/>
      </c>
      <c r="J297" s="104"/>
    </row>
    <row r="298" spans="2:10" s="3" customFormat="1" ht="24" customHeight="1" x14ac:dyDescent="0.2">
      <c r="B298" s="74"/>
      <c r="C298" s="75"/>
      <c r="D298" s="76"/>
      <c r="E298" s="77"/>
      <c r="F298" s="78" t="str">
        <f>IFERROR(VLOOKUP($E298,設定!$C:$G,2,0),"")</f>
        <v/>
      </c>
      <c r="G298" s="78" t="str">
        <f>IFERROR(VLOOKUP($E298,設定!$C:$G,3,0),"")</f>
        <v/>
      </c>
      <c r="H298" s="78" t="str">
        <f>IFERROR(VLOOKUP($E298,設定!$C:$G,4,0),"")</f>
        <v/>
      </c>
      <c r="I298" s="78" t="str">
        <f>IFERROR(VLOOKUP($E298,設定!$C:$G,5,0),"")</f>
        <v/>
      </c>
      <c r="J298" s="104"/>
    </row>
    <row r="299" spans="2:10" s="3" customFormat="1" ht="24" customHeight="1" x14ac:dyDescent="0.2">
      <c r="B299" s="74"/>
      <c r="C299" s="75"/>
      <c r="D299" s="76"/>
      <c r="E299" s="77"/>
      <c r="F299" s="78" t="str">
        <f>IFERROR(VLOOKUP($E299,設定!$C:$G,2,0),"")</f>
        <v/>
      </c>
      <c r="G299" s="78" t="str">
        <f>IFERROR(VLOOKUP($E299,設定!$C:$G,3,0),"")</f>
        <v/>
      </c>
      <c r="H299" s="78" t="str">
        <f>IFERROR(VLOOKUP($E299,設定!$C:$G,4,0),"")</f>
        <v/>
      </c>
      <c r="I299" s="78" t="str">
        <f>IFERROR(VLOOKUP($E299,設定!$C:$G,5,0),"")</f>
        <v/>
      </c>
      <c r="J299" s="104"/>
    </row>
    <row r="300" spans="2:10" s="3" customFormat="1" ht="24" customHeight="1" x14ac:dyDescent="0.2">
      <c r="B300" s="74"/>
      <c r="C300" s="75"/>
      <c r="D300" s="76"/>
      <c r="E300" s="77"/>
      <c r="F300" s="78" t="str">
        <f>IFERROR(VLOOKUP($E300,設定!$C:$G,2,0),"")</f>
        <v/>
      </c>
      <c r="G300" s="78" t="str">
        <f>IFERROR(VLOOKUP($E300,設定!$C:$G,3,0),"")</f>
        <v/>
      </c>
      <c r="H300" s="78" t="str">
        <f>IFERROR(VLOOKUP($E300,設定!$C:$G,4,0),"")</f>
        <v/>
      </c>
      <c r="I300" s="78" t="str">
        <f>IFERROR(VLOOKUP($E300,設定!$C:$G,5,0),"")</f>
        <v/>
      </c>
      <c r="J300" s="104"/>
    </row>
    <row r="301" spans="2:10" s="3" customFormat="1" ht="24" customHeight="1" x14ac:dyDescent="0.2">
      <c r="B301" s="74"/>
      <c r="C301" s="75"/>
      <c r="D301" s="76"/>
      <c r="E301" s="77"/>
      <c r="F301" s="78" t="str">
        <f>IFERROR(VLOOKUP($E301,設定!$C:$G,2,0),"")</f>
        <v/>
      </c>
      <c r="G301" s="78" t="str">
        <f>IFERROR(VLOOKUP($E301,設定!$C:$G,3,0),"")</f>
        <v/>
      </c>
      <c r="H301" s="78" t="str">
        <f>IFERROR(VLOOKUP($E301,設定!$C:$G,4,0),"")</f>
        <v/>
      </c>
      <c r="I301" s="78" t="str">
        <f>IFERROR(VLOOKUP($E301,設定!$C:$G,5,0),"")</f>
        <v/>
      </c>
      <c r="J301" s="104"/>
    </row>
    <row r="302" spans="2:10" s="3" customFormat="1" ht="24" customHeight="1" x14ac:dyDescent="0.2">
      <c r="B302" s="74"/>
      <c r="C302" s="75"/>
      <c r="D302" s="76"/>
      <c r="E302" s="77"/>
      <c r="F302" s="78" t="str">
        <f>IFERROR(VLOOKUP($E302,設定!$C:$G,2,0),"")</f>
        <v/>
      </c>
      <c r="G302" s="78" t="str">
        <f>IFERROR(VLOOKUP($E302,設定!$C:$G,3,0),"")</f>
        <v/>
      </c>
      <c r="H302" s="78" t="str">
        <f>IFERROR(VLOOKUP($E302,設定!$C:$G,4,0),"")</f>
        <v/>
      </c>
      <c r="I302" s="78" t="str">
        <f>IFERROR(VLOOKUP($E302,設定!$C:$G,5,0),"")</f>
        <v/>
      </c>
      <c r="J302" s="104"/>
    </row>
    <row r="303" spans="2:10" s="3" customFormat="1" ht="24" customHeight="1" x14ac:dyDescent="0.2">
      <c r="B303" s="74"/>
      <c r="C303" s="75"/>
      <c r="D303" s="76"/>
      <c r="E303" s="77"/>
      <c r="F303" s="78" t="str">
        <f>IFERROR(VLOOKUP($E303,設定!$C:$G,2,0),"")</f>
        <v/>
      </c>
      <c r="G303" s="78" t="str">
        <f>IFERROR(VLOOKUP($E303,設定!$C:$G,3,0),"")</f>
        <v/>
      </c>
      <c r="H303" s="78" t="str">
        <f>IFERROR(VLOOKUP($E303,設定!$C:$G,4,0),"")</f>
        <v/>
      </c>
      <c r="I303" s="78" t="str">
        <f>IFERROR(VLOOKUP($E303,設定!$C:$G,5,0),"")</f>
        <v/>
      </c>
      <c r="J303" s="104"/>
    </row>
    <row r="304" spans="2:10" s="3" customFormat="1" ht="24" customHeight="1" x14ac:dyDescent="0.2">
      <c r="B304" s="74"/>
      <c r="C304" s="75"/>
      <c r="D304" s="76"/>
      <c r="E304" s="77"/>
      <c r="F304" s="78" t="str">
        <f>IFERROR(VLOOKUP($E304,設定!$C:$G,2,0),"")</f>
        <v/>
      </c>
      <c r="G304" s="78" t="str">
        <f>IFERROR(VLOOKUP($E304,設定!$C:$G,3,0),"")</f>
        <v/>
      </c>
      <c r="H304" s="78" t="str">
        <f>IFERROR(VLOOKUP($E304,設定!$C:$G,4,0),"")</f>
        <v/>
      </c>
      <c r="I304" s="78" t="str">
        <f>IFERROR(VLOOKUP($E304,設定!$C:$G,5,0),"")</f>
        <v/>
      </c>
      <c r="J304" s="104"/>
    </row>
    <row r="305" spans="2:10" s="3" customFormat="1" ht="24" customHeight="1" x14ac:dyDescent="0.2">
      <c r="B305" s="74"/>
      <c r="C305" s="75"/>
      <c r="D305" s="76"/>
      <c r="E305" s="77"/>
      <c r="F305" s="78" t="str">
        <f>IFERROR(VLOOKUP($E305,設定!$C:$G,2,0),"")</f>
        <v/>
      </c>
      <c r="G305" s="78" t="str">
        <f>IFERROR(VLOOKUP($E305,設定!$C:$G,3,0),"")</f>
        <v/>
      </c>
      <c r="H305" s="78" t="str">
        <f>IFERROR(VLOOKUP($E305,設定!$C:$G,4,0),"")</f>
        <v/>
      </c>
      <c r="I305" s="78" t="str">
        <f>IFERROR(VLOOKUP($E305,設定!$C:$G,5,0),"")</f>
        <v/>
      </c>
      <c r="J305" s="104"/>
    </row>
    <row r="306" spans="2:10" s="3" customFormat="1" ht="24" customHeight="1" x14ac:dyDescent="0.2">
      <c r="B306" s="74"/>
      <c r="C306" s="75"/>
      <c r="D306" s="76"/>
      <c r="E306" s="77"/>
      <c r="F306" s="78" t="str">
        <f>IFERROR(VLOOKUP($E306,設定!$C:$G,2,0),"")</f>
        <v/>
      </c>
      <c r="G306" s="78" t="str">
        <f>IFERROR(VLOOKUP($E306,設定!$C:$G,3,0),"")</f>
        <v/>
      </c>
      <c r="H306" s="78" t="str">
        <f>IFERROR(VLOOKUP($E306,設定!$C:$G,4,0),"")</f>
        <v/>
      </c>
      <c r="I306" s="78" t="str">
        <f>IFERROR(VLOOKUP($E306,設定!$C:$G,5,0),"")</f>
        <v/>
      </c>
      <c r="J306" s="104"/>
    </row>
    <row r="307" spans="2:10" s="3" customFormat="1" ht="24" customHeight="1" x14ac:dyDescent="0.2">
      <c r="B307" s="74"/>
      <c r="C307" s="75"/>
      <c r="D307" s="76"/>
      <c r="E307" s="77"/>
      <c r="F307" s="78" t="str">
        <f>IFERROR(VLOOKUP($E307,設定!$C:$G,2,0),"")</f>
        <v/>
      </c>
      <c r="G307" s="78" t="str">
        <f>IFERROR(VLOOKUP($E307,設定!$C:$G,3,0),"")</f>
        <v/>
      </c>
      <c r="H307" s="78" t="str">
        <f>IFERROR(VLOOKUP($E307,設定!$C:$G,4,0),"")</f>
        <v/>
      </c>
      <c r="I307" s="78" t="str">
        <f>IFERROR(VLOOKUP($E307,設定!$C:$G,5,0),"")</f>
        <v/>
      </c>
      <c r="J307" s="104"/>
    </row>
    <row r="308" spans="2:10" s="3" customFormat="1" ht="24" customHeight="1" x14ac:dyDescent="0.2">
      <c r="B308" s="74"/>
      <c r="C308" s="75"/>
      <c r="D308" s="76"/>
      <c r="E308" s="77"/>
      <c r="F308" s="78" t="str">
        <f>IFERROR(VLOOKUP($E308,設定!$C:$G,2,0),"")</f>
        <v/>
      </c>
      <c r="G308" s="78" t="str">
        <f>IFERROR(VLOOKUP($E308,設定!$C:$G,3,0),"")</f>
        <v/>
      </c>
      <c r="H308" s="78" t="str">
        <f>IFERROR(VLOOKUP($E308,設定!$C:$G,4,0),"")</f>
        <v/>
      </c>
      <c r="I308" s="78" t="str">
        <f>IFERROR(VLOOKUP($E308,設定!$C:$G,5,0),"")</f>
        <v/>
      </c>
      <c r="J308" s="104"/>
    </row>
    <row r="309" spans="2:10" s="3" customFormat="1" ht="24" customHeight="1" x14ac:dyDescent="0.2">
      <c r="B309" s="74"/>
      <c r="C309" s="75"/>
      <c r="D309" s="76"/>
      <c r="E309" s="77"/>
      <c r="F309" s="78" t="str">
        <f>IFERROR(VLOOKUP($E309,設定!$C:$G,2,0),"")</f>
        <v/>
      </c>
      <c r="G309" s="78" t="str">
        <f>IFERROR(VLOOKUP($E309,設定!$C:$G,3,0),"")</f>
        <v/>
      </c>
      <c r="H309" s="78" t="str">
        <f>IFERROR(VLOOKUP($E309,設定!$C:$G,4,0),"")</f>
        <v/>
      </c>
      <c r="I309" s="78" t="str">
        <f>IFERROR(VLOOKUP($E309,設定!$C:$G,5,0),"")</f>
        <v/>
      </c>
      <c r="J309" s="104"/>
    </row>
    <row r="310" spans="2:10" s="3" customFormat="1" ht="24" customHeight="1" x14ac:dyDescent="0.2">
      <c r="B310" s="74"/>
      <c r="C310" s="75"/>
      <c r="D310" s="76"/>
      <c r="E310" s="77"/>
      <c r="F310" s="78" t="str">
        <f>IFERROR(VLOOKUP($E310,設定!$C:$G,2,0),"")</f>
        <v/>
      </c>
      <c r="G310" s="78" t="str">
        <f>IFERROR(VLOOKUP($E310,設定!$C:$G,3,0),"")</f>
        <v/>
      </c>
      <c r="H310" s="78" t="str">
        <f>IFERROR(VLOOKUP($E310,設定!$C:$G,4,0),"")</f>
        <v/>
      </c>
      <c r="I310" s="78" t="str">
        <f>IFERROR(VLOOKUP($E310,設定!$C:$G,5,0),"")</f>
        <v/>
      </c>
      <c r="J310" s="104"/>
    </row>
    <row r="311" spans="2:10" s="3" customFormat="1" ht="24" customHeight="1" x14ac:dyDescent="0.2">
      <c r="B311" s="74"/>
      <c r="C311" s="75"/>
      <c r="D311" s="76"/>
      <c r="E311" s="77"/>
      <c r="F311" s="78" t="str">
        <f>IFERROR(VLOOKUP($E311,設定!$C:$G,2,0),"")</f>
        <v/>
      </c>
      <c r="G311" s="78" t="str">
        <f>IFERROR(VLOOKUP($E311,設定!$C:$G,3,0),"")</f>
        <v/>
      </c>
      <c r="H311" s="78" t="str">
        <f>IFERROR(VLOOKUP($E311,設定!$C:$G,4,0),"")</f>
        <v/>
      </c>
      <c r="I311" s="78" t="str">
        <f>IFERROR(VLOOKUP($E311,設定!$C:$G,5,0),"")</f>
        <v/>
      </c>
      <c r="J311" s="104"/>
    </row>
    <row r="312" spans="2:10" s="3" customFormat="1" ht="24" customHeight="1" x14ac:dyDescent="0.2">
      <c r="B312" s="74"/>
      <c r="C312" s="75"/>
      <c r="D312" s="76"/>
      <c r="E312" s="77"/>
      <c r="F312" s="78" t="str">
        <f>IFERROR(VLOOKUP($E312,設定!$C:$G,2,0),"")</f>
        <v/>
      </c>
      <c r="G312" s="78" t="str">
        <f>IFERROR(VLOOKUP($E312,設定!$C:$G,3,0),"")</f>
        <v/>
      </c>
      <c r="H312" s="78" t="str">
        <f>IFERROR(VLOOKUP($E312,設定!$C:$G,4,0),"")</f>
        <v/>
      </c>
      <c r="I312" s="78" t="str">
        <f>IFERROR(VLOOKUP($E312,設定!$C:$G,5,0),"")</f>
        <v/>
      </c>
      <c r="J312" s="104"/>
    </row>
    <row r="313" spans="2:10" s="3" customFormat="1" ht="24" customHeight="1" x14ac:dyDescent="0.2">
      <c r="B313" s="74"/>
      <c r="C313" s="75"/>
      <c r="D313" s="76"/>
      <c r="E313" s="77"/>
      <c r="F313" s="78" t="str">
        <f>IFERROR(VLOOKUP($E313,設定!$C:$G,2,0),"")</f>
        <v/>
      </c>
      <c r="G313" s="78" t="str">
        <f>IFERROR(VLOOKUP($E313,設定!$C:$G,3,0),"")</f>
        <v/>
      </c>
      <c r="H313" s="78" t="str">
        <f>IFERROR(VLOOKUP($E313,設定!$C:$G,4,0),"")</f>
        <v/>
      </c>
      <c r="I313" s="78" t="str">
        <f>IFERROR(VLOOKUP($E313,設定!$C:$G,5,0),"")</f>
        <v/>
      </c>
      <c r="J313" s="104"/>
    </row>
    <row r="314" spans="2:10" s="3" customFormat="1" ht="24" customHeight="1" x14ac:dyDescent="0.2">
      <c r="B314" s="74"/>
      <c r="C314" s="75"/>
      <c r="D314" s="76"/>
      <c r="E314" s="77"/>
      <c r="F314" s="78" t="str">
        <f>IFERROR(VLOOKUP($E314,設定!$C:$G,2,0),"")</f>
        <v/>
      </c>
      <c r="G314" s="78" t="str">
        <f>IFERROR(VLOOKUP($E314,設定!$C:$G,3,0),"")</f>
        <v/>
      </c>
      <c r="H314" s="78" t="str">
        <f>IFERROR(VLOOKUP($E314,設定!$C:$G,4,0),"")</f>
        <v/>
      </c>
      <c r="I314" s="78" t="str">
        <f>IFERROR(VLOOKUP($E314,設定!$C:$G,5,0),"")</f>
        <v/>
      </c>
      <c r="J314" s="104"/>
    </row>
    <row r="315" spans="2:10" s="3" customFormat="1" ht="24" customHeight="1" x14ac:dyDescent="0.2">
      <c r="B315" s="74"/>
      <c r="C315" s="75"/>
      <c r="D315" s="76"/>
      <c r="E315" s="77"/>
      <c r="F315" s="78" t="str">
        <f>IFERROR(VLOOKUP($E315,設定!$C:$G,2,0),"")</f>
        <v/>
      </c>
      <c r="G315" s="78" t="str">
        <f>IFERROR(VLOOKUP($E315,設定!$C:$G,3,0),"")</f>
        <v/>
      </c>
      <c r="H315" s="78" t="str">
        <f>IFERROR(VLOOKUP($E315,設定!$C:$G,4,0),"")</f>
        <v/>
      </c>
      <c r="I315" s="78" t="str">
        <f>IFERROR(VLOOKUP($E315,設定!$C:$G,5,0),"")</f>
        <v/>
      </c>
      <c r="J315" s="104"/>
    </row>
    <row r="316" spans="2:10" s="3" customFormat="1" ht="24" customHeight="1" x14ac:dyDescent="0.2">
      <c r="B316" s="74"/>
      <c r="C316" s="75"/>
      <c r="D316" s="76"/>
      <c r="E316" s="77"/>
      <c r="F316" s="78" t="str">
        <f>IFERROR(VLOOKUP($E316,設定!$C:$G,2,0),"")</f>
        <v/>
      </c>
      <c r="G316" s="78" t="str">
        <f>IFERROR(VLOOKUP($E316,設定!$C:$G,3,0),"")</f>
        <v/>
      </c>
      <c r="H316" s="78" t="str">
        <f>IFERROR(VLOOKUP($E316,設定!$C:$G,4,0),"")</f>
        <v/>
      </c>
      <c r="I316" s="78" t="str">
        <f>IFERROR(VLOOKUP($E316,設定!$C:$G,5,0),"")</f>
        <v/>
      </c>
      <c r="J316" s="104"/>
    </row>
    <row r="317" spans="2:10" s="3" customFormat="1" ht="24" customHeight="1" x14ac:dyDescent="0.2">
      <c r="B317" s="74"/>
      <c r="C317" s="75"/>
      <c r="D317" s="76"/>
      <c r="E317" s="77"/>
      <c r="F317" s="78" t="str">
        <f>IFERROR(VLOOKUP($E317,設定!$C:$G,2,0),"")</f>
        <v/>
      </c>
      <c r="G317" s="78" t="str">
        <f>IFERROR(VLOOKUP($E317,設定!$C:$G,3,0),"")</f>
        <v/>
      </c>
      <c r="H317" s="78" t="str">
        <f>IFERROR(VLOOKUP($E317,設定!$C:$G,4,0),"")</f>
        <v/>
      </c>
      <c r="I317" s="78" t="str">
        <f>IFERROR(VLOOKUP($E317,設定!$C:$G,5,0),"")</f>
        <v/>
      </c>
      <c r="J317" s="104"/>
    </row>
    <row r="318" spans="2:10" s="3" customFormat="1" ht="24" customHeight="1" x14ac:dyDescent="0.2">
      <c r="B318" s="74"/>
      <c r="C318" s="75"/>
      <c r="D318" s="76"/>
      <c r="E318" s="77"/>
      <c r="F318" s="78" t="str">
        <f>IFERROR(VLOOKUP($E318,設定!$C:$G,2,0),"")</f>
        <v/>
      </c>
      <c r="G318" s="78" t="str">
        <f>IFERROR(VLOOKUP($E318,設定!$C:$G,3,0),"")</f>
        <v/>
      </c>
      <c r="H318" s="78" t="str">
        <f>IFERROR(VLOOKUP($E318,設定!$C:$G,4,0),"")</f>
        <v/>
      </c>
      <c r="I318" s="78" t="str">
        <f>IFERROR(VLOOKUP($E318,設定!$C:$G,5,0),"")</f>
        <v/>
      </c>
      <c r="J318" s="104"/>
    </row>
    <row r="319" spans="2:10" s="3" customFormat="1" ht="24" customHeight="1" x14ac:dyDescent="0.2">
      <c r="B319" s="74"/>
      <c r="C319" s="75"/>
      <c r="D319" s="76"/>
      <c r="E319" s="77"/>
      <c r="F319" s="78" t="str">
        <f>IFERROR(VLOOKUP($E319,設定!$C:$G,2,0),"")</f>
        <v/>
      </c>
      <c r="G319" s="78" t="str">
        <f>IFERROR(VLOOKUP($E319,設定!$C:$G,3,0),"")</f>
        <v/>
      </c>
      <c r="H319" s="78" t="str">
        <f>IFERROR(VLOOKUP($E319,設定!$C:$G,4,0),"")</f>
        <v/>
      </c>
      <c r="I319" s="78" t="str">
        <f>IFERROR(VLOOKUP($E319,設定!$C:$G,5,0),"")</f>
        <v/>
      </c>
      <c r="J319" s="104"/>
    </row>
    <row r="320" spans="2:10" s="3" customFormat="1" ht="24" customHeight="1" x14ac:dyDescent="0.2">
      <c r="B320" s="74"/>
      <c r="C320" s="75"/>
      <c r="D320" s="76"/>
      <c r="E320" s="77"/>
      <c r="F320" s="78" t="str">
        <f>IFERROR(VLOOKUP($E320,設定!$C:$G,2,0),"")</f>
        <v/>
      </c>
      <c r="G320" s="78" t="str">
        <f>IFERROR(VLOOKUP($E320,設定!$C:$G,3,0),"")</f>
        <v/>
      </c>
      <c r="H320" s="78" t="str">
        <f>IFERROR(VLOOKUP($E320,設定!$C:$G,4,0),"")</f>
        <v/>
      </c>
      <c r="I320" s="78" t="str">
        <f>IFERROR(VLOOKUP($E320,設定!$C:$G,5,0),"")</f>
        <v/>
      </c>
      <c r="J320" s="104"/>
    </row>
    <row r="321" spans="2:10" s="3" customFormat="1" ht="24" customHeight="1" x14ac:dyDescent="0.2">
      <c r="B321" s="74"/>
      <c r="C321" s="75"/>
      <c r="D321" s="76"/>
      <c r="E321" s="77"/>
      <c r="F321" s="78" t="str">
        <f>IFERROR(VLOOKUP($E321,設定!$C:$G,2,0),"")</f>
        <v/>
      </c>
      <c r="G321" s="78" t="str">
        <f>IFERROR(VLOOKUP($E321,設定!$C:$G,3,0),"")</f>
        <v/>
      </c>
      <c r="H321" s="78" t="str">
        <f>IFERROR(VLOOKUP($E321,設定!$C:$G,4,0),"")</f>
        <v/>
      </c>
      <c r="I321" s="78" t="str">
        <f>IFERROR(VLOOKUP($E321,設定!$C:$G,5,0),"")</f>
        <v/>
      </c>
      <c r="J321" s="104"/>
    </row>
    <row r="322" spans="2:10" s="3" customFormat="1" ht="24" customHeight="1" x14ac:dyDescent="0.2">
      <c r="B322" s="74"/>
      <c r="C322" s="75"/>
      <c r="D322" s="76"/>
      <c r="E322" s="77"/>
      <c r="F322" s="78" t="str">
        <f>IFERROR(VLOOKUP($E322,設定!$C:$G,2,0),"")</f>
        <v/>
      </c>
      <c r="G322" s="78" t="str">
        <f>IFERROR(VLOOKUP($E322,設定!$C:$G,3,0),"")</f>
        <v/>
      </c>
      <c r="H322" s="78" t="str">
        <f>IFERROR(VLOOKUP($E322,設定!$C:$G,4,0),"")</f>
        <v/>
      </c>
      <c r="I322" s="78" t="str">
        <f>IFERROR(VLOOKUP($E322,設定!$C:$G,5,0),"")</f>
        <v/>
      </c>
      <c r="J322" s="104"/>
    </row>
    <row r="323" spans="2:10" s="3" customFormat="1" ht="24" customHeight="1" x14ac:dyDescent="0.2">
      <c r="B323" s="74"/>
      <c r="C323" s="75"/>
      <c r="D323" s="76"/>
      <c r="E323" s="77"/>
      <c r="F323" s="78" t="str">
        <f>IFERROR(VLOOKUP($E323,設定!$C:$G,2,0),"")</f>
        <v/>
      </c>
      <c r="G323" s="78" t="str">
        <f>IFERROR(VLOOKUP($E323,設定!$C:$G,3,0),"")</f>
        <v/>
      </c>
      <c r="H323" s="78" t="str">
        <f>IFERROR(VLOOKUP($E323,設定!$C:$G,4,0),"")</f>
        <v/>
      </c>
      <c r="I323" s="78" t="str">
        <f>IFERROR(VLOOKUP($E323,設定!$C:$G,5,0),"")</f>
        <v/>
      </c>
      <c r="J323" s="104"/>
    </row>
    <row r="324" spans="2:10" s="3" customFormat="1" ht="24" customHeight="1" x14ac:dyDescent="0.2">
      <c r="B324" s="74"/>
      <c r="C324" s="75"/>
      <c r="D324" s="76"/>
      <c r="E324" s="77"/>
      <c r="F324" s="78" t="str">
        <f>IFERROR(VLOOKUP($E324,設定!$C:$G,2,0),"")</f>
        <v/>
      </c>
      <c r="G324" s="78" t="str">
        <f>IFERROR(VLOOKUP($E324,設定!$C:$G,3,0),"")</f>
        <v/>
      </c>
      <c r="H324" s="78" t="str">
        <f>IFERROR(VLOOKUP($E324,設定!$C:$G,4,0),"")</f>
        <v/>
      </c>
      <c r="I324" s="78" t="str">
        <f>IFERROR(VLOOKUP($E324,設定!$C:$G,5,0),"")</f>
        <v/>
      </c>
      <c r="J324" s="104"/>
    </row>
    <row r="325" spans="2:10" s="3" customFormat="1" ht="24" customHeight="1" x14ac:dyDescent="0.2">
      <c r="B325" s="74"/>
      <c r="C325" s="75"/>
      <c r="D325" s="76"/>
      <c r="E325" s="77"/>
      <c r="F325" s="78" t="str">
        <f>IFERROR(VLOOKUP($E325,設定!$C:$G,2,0),"")</f>
        <v/>
      </c>
      <c r="G325" s="78" t="str">
        <f>IFERROR(VLOOKUP($E325,設定!$C:$G,3,0),"")</f>
        <v/>
      </c>
      <c r="H325" s="78" t="str">
        <f>IFERROR(VLOOKUP($E325,設定!$C:$G,4,0),"")</f>
        <v/>
      </c>
      <c r="I325" s="78" t="str">
        <f>IFERROR(VLOOKUP($E325,設定!$C:$G,5,0),"")</f>
        <v/>
      </c>
      <c r="J325" s="104"/>
    </row>
    <row r="326" spans="2:10" s="3" customFormat="1" ht="24" customHeight="1" x14ac:dyDescent="0.2">
      <c r="B326" s="74"/>
      <c r="C326" s="75"/>
      <c r="D326" s="76"/>
      <c r="E326" s="77"/>
      <c r="F326" s="78" t="str">
        <f>IFERROR(VLOOKUP($E326,設定!$C:$G,2,0),"")</f>
        <v/>
      </c>
      <c r="G326" s="78" t="str">
        <f>IFERROR(VLOOKUP($E326,設定!$C:$G,3,0),"")</f>
        <v/>
      </c>
      <c r="H326" s="78" t="str">
        <f>IFERROR(VLOOKUP($E326,設定!$C:$G,4,0),"")</f>
        <v/>
      </c>
      <c r="I326" s="78" t="str">
        <f>IFERROR(VLOOKUP($E326,設定!$C:$G,5,0),"")</f>
        <v/>
      </c>
      <c r="J326" s="104"/>
    </row>
    <row r="327" spans="2:10" s="3" customFormat="1" ht="24" customHeight="1" x14ac:dyDescent="0.2">
      <c r="B327" s="74"/>
      <c r="C327" s="75"/>
      <c r="D327" s="76"/>
      <c r="E327" s="77"/>
      <c r="F327" s="78" t="str">
        <f>IFERROR(VLOOKUP($E327,設定!$C:$G,2,0),"")</f>
        <v/>
      </c>
      <c r="G327" s="78" t="str">
        <f>IFERROR(VLOOKUP($E327,設定!$C:$G,3,0),"")</f>
        <v/>
      </c>
      <c r="H327" s="78" t="str">
        <f>IFERROR(VLOOKUP($E327,設定!$C:$G,4,0),"")</f>
        <v/>
      </c>
      <c r="I327" s="78" t="str">
        <f>IFERROR(VLOOKUP($E327,設定!$C:$G,5,0),"")</f>
        <v/>
      </c>
      <c r="J327" s="104"/>
    </row>
    <row r="328" spans="2:10" s="3" customFormat="1" ht="24" customHeight="1" x14ac:dyDescent="0.2">
      <c r="B328" s="74"/>
      <c r="C328" s="75"/>
      <c r="D328" s="76"/>
      <c r="E328" s="77"/>
      <c r="F328" s="78" t="str">
        <f>IFERROR(VLOOKUP($E328,設定!$C:$G,2,0),"")</f>
        <v/>
      </c>
      <c r="G328" s="78" t="str">
        <f>IFERROR(VLOOKUP($E328,設定!$C:$G,3,0),"")</f>
        <v/>
      </c>
      <c r="H328" s="78" t="str">
        <f>IFERROR(VLOOKUP($E328,設定!$C:$G,4,0),"")</f>
        <v/>
      </c>
      <c r="I328" s="78" t="str">
        <f>IFERROR(VLOOKUP($E328,設定!$C:$G,5,0),"")</f>
        <v/>
      </c>
      <c r="J328" s="104"/>
    </row>
    <row r="329" spans="2:10" s="3" customFormat="1" ht="24" customHeight="1" x14ac:dyDescent="0.2">
      <c r="B329" s="74"/>
      <c r="C329" s="75"/>
      <c r="D329" s="76"/>
      <c r="E329" s="77"/>
      <c r="F329" s="78" t="str">
        <f>IFERROR(VLOOKUP($E329,設定!$C:$G,2,0),"")</f>
        <v/>
      </c>
      <c r="G329" s="78" t="str">
        <f>IFERROR(VLOOKUP($E329,設定!$C:$G,3,0),"")</f>
        <v/>
      </c>
      <c r="H329" s="78" t="str">
        <f>IFERROR(VLOOKUP($E329,設定!$C:$G,4,0),"")</f>
        <v/>
      </c>
      <c r="I329" s="78" t="str">
        <f>IFERROR(VLOOKUP($E329,設定!$C:$G,5,0),"")</f>
        <v/>
      </c>
      <c r="J329" s="104"/>
    </row>
    <row r="330" spans="2:10" s="3" customFormat="1" ht="24" customHeight="1" x14ac:dyDescent="0.2">
      <c r="B330" s="74"/>
      <c r="C330" s="75"/>
      <c r="D330" s="76"/>
      <c r="E330" s="77"/>
      <c r="F330" s="78" t="str">
        <f>IFERROR(VLOOKUP($E330,設定!$C:$G,2,0),"")</f>
        <v/>
      </c>
      <c r="G330" s="78" t="str">
        <f>IFERROR(VLOOKUP($E330,設定!$C:$G,3,0),"")</f>
        <v/>
      </c>
      <c r="H330" s="78" t="str">
        <f>IFERROR(VLOOKUP($E330,設定!$C:$G,4,0),"")</f>
        <v/>
      </c>
      <c r="I330" s="78" t="str">
        <f>IFERROR(VLOOKUP($E330,設定!$C:$G,5,0),"")</f>
        <v/>
      </c>
      <c r="J330" s="104"/>
    </row>
    <row r="331" spans="2:10" s="3" customFormat="1" ht="24" customHeight="1" x14ac:dyDescent="0.2">
      <c r="B331" s="74"/>
      <c r="C331" s="75"/>
      <c r="D331" s="76"/>
      <c r="E331" s="77"/>
      <c r="F331" s="78" t="str">
        <f>IFERROR(VLOOKUP($E331,設定!$C:$G,2,0),"")</f>
        <v/>
      </c>
      <c r="G331" s="78" t="str">
        <f>IFERROR(VLOOKUP($E331,設定!$C:$G,3,0),"")</f>
        <v/>
      </c>
      <c r="H331" s="78" t="str">
        <f>IFERROR(VLOOKUP($E331,設定!$C:$G,4,0),"")</f>
        <v/>
      </c>
      <c r="I331" s="78" t="str">
        <f>IFERROR(VLOOKUP($E331,設定!$C:$G,5,0),"")</f>
        <v/>
      </c>
      <c r="J331" s="104"/>
    </row>
    <row r="332" spans="2:10" s="3" customFormat="1" ht="24" customHeight="1" x14ac:dyDescent="0.2">
      <c r="B332" s="74"/>
      <c r="C332" s="75"/>
      <c r="D332" s="76"/>
      <c r="E332" s="77"/>
      <c r="F332" s="78" t="str">
        <f>IFERROR(VLOOKUP($E332,設定!$C:$G,2,0),"")</f>
        <v/>
      </c>
      <c r="G332" s="78" t="str">
        <f>IFERROR(VLOOKUP($E332,設定!$C:$G,3,0),"")</f>
        <v/>
      </c>
      <c r="H332" s="78" t="str">
        <f>IFERROR(VLOOKUP($E332,設定!$C:$G,4,0),"")</f>
        <v/>
      </c>
      <c r="I332" s="78" t="str">
        <f>IFERROR(VLOOKUP($E332,設定!$C:$G,5,0),"")</f>
        <v/>
      </c>
      <c r="J332" s="104"/>
    </row>
    <row r="333" spans="2:10" s="3" customFormat="1" ht="24" customHeight="1" x14ac:dyDescent="0.2">
      <c r="B333" s="74"/>
      <c r="C333" s="75"/>
      <c r="D333" s="76"/>
      <c r="E333" s="77"/>
      <c r="F333" s="78" t="str">
        <f>IFERROR(VLOOKUP($E333,設定!$C:$G,2,0),"")</f>
        <v/>
      </c>
      <c r="G333" s="78" t="str">
        <f>IFERROR(VLOOKUP($E333,設定!$C:$G,3,0),"")</f>
        <v/>
      </c>
      <c r="H333" s="78" t="str">
        <f>IFERROR(VLOOKUP($E333,設定!$C:$G,4,0),"")</f>
        <v/>
      </c>
      <c r="I333" s="78" t="str">
        <f>IFERROR(VLOOKUP($E333,設定!$C:$G,5,0),"")</f>
        <v/>
      </c>
      <c r="J333" s="104"/>
    </row>
    <row r="334" spans="2:10" s="3" customFormat="1" ht="24" customHeight="1" x14ac:dyDescent="0.2">
      <c r="B334" s="74"/>
      <c r="C334" s="75"/>
      <c r="D334" s="76"/>
      <c r="E334" s="77"/>
      <c r="F334" s="78" t="str">
        <f>IFERROR(VLOOKUP($E334,設定!$C:$G,2,0),"")</f>
        <v/>
      </c>
      <c r="G334" s="78" t="str">
        <f>IFERROR(VLOOKUP($E334,設定!$C:$G,3,0),"")</f>
        <v/>
      </c>
      <c r="H334" s="78" t="str">
        <f>IFERROR(VLOOKUP($E334,設定!$C:$G,4,0),"")</f>
        <v/>
      </c>
      <c r="I334" s="78" t="str">
        <f>IFERROR(VLOOKUP($E334,設定!$C:$G,5,0),"")</f>
        <v/>
      </c>
      <c r="J334" s="104"/>
    </row>
    <row r="335" spans="2:10" s="3" customFormat="1" ht="24" customHeight="1" x14ac:dyDescent="0.2">
      <c r="B335" s="74"/>
      <c r="C335" s="75"/>
      <c r="D335" s="76"/>
      <c r="E335" s="77"/>
      <c r="F335" s="78" t="str">
        <f>IFERROR(VLOOKUP($E335,設定!$C:$G,2,0),"")</f>
        <v/>
      </c>
      <c r="G335" s="78" t="str">
        <f>IFERROR(VLOOKUP($E335,設定!$C:$G,3,0),"")</f>
        <v/>
      </c>
      <c r="H335" s="78" t="str">
        <f>IFERROR(VLOOKUP($E335,設定!$C:$G,4,0),"")</f>
        <v/>
      </c>
      <c r="I335" s="78" t="str">
        <f>IFERROR(VLOOKUP($E335,設定!$C:$G,5,0),"")</f>
        <v/>
      </c>
      <c r="J335" s="104"/>
    </row>
    <row r="336" spans="2:10" s="3" customFormat="1" ht="24" customHeight="1" x14ac:dyDescent="0.2">
      <c r="B336" s="74"/>
      <c r="C336" s="75"/>
      <c r="D336" s="76"/>
      <c r="E336" s="77"/>
      <c r="F336" s="78" t="str">
        <f>IFERROR(VLOOKUP($E336,設定!$C:$G,2,0),"")</f>
        <v/>
      </c>
      <c r="G336" s="78" t="str">
        <f>IFERROR(VLOOKUP($E336,設定!$C:$G,3,0),"")</f>
        <v/>
      </c>
      <c r="H336" s="78" t="str">
        <f>IFERROR(VLOOKUP($E336,設定!$C:$G,4,0),"")</f>
        <v/>
      </c>
      <c r="I336" s="78" t="str">
        <f>IFERROR(VLOOKUP($E336,設定!$C:$G,5,0),"")</f>
        <v/>
      </c>
      <c r="J336" s="104"/>
    </row>
    <row r="337" spans="2:10" s="3" customFormat="1" ht="24" customHeight="1" x14ac:dyDescent="0.2">
      <c r="B337" s="74"/>
      <c r="C337" s="75"/>
      <c r="D337" s="76"/>
      <c r="E337" s="77"/>
      <c r="F337" s="78" t="str">
        <f>IFERROR(VLOOKUP($E337,設定!$C:$G,2,0),"")</f>
        <v/>
      </c>
      <c r="G337" s="78" t="str">
        <f>IFERROR(VLOOKUP($E337,設定!$C:$G,3,0),"")</f>
        <v/>
      </c>
      <c r="H337" s="78" t="str">
        <f>IFERROR(VLOOKUP($E337,設定!$C:$G,4,0),"")</f>
        <v/>
      </c>
      <c r="I337" s="78" t="str">
        <f>IFERROR(VLOOKUP($E337,設定!$C:$G,5,0),"")</f>
        <v/>
      </c>
      <c r="J337" s="104"/>
    </row>
    <row r="338" spans="2:10" s="3" customFormat="1" ht="24" customHeight="1" x14ac:dyDescent="0.2">
      <c r="B338" s="74"/>
      <c r="C338" s="75"/>
      <c r="D338" s="76"/>
      <c r="E338" s="77"/>
      <c r="F338" s="78" t="str">
        <f>IFERROR(VLOOKUP($E338,設定!$C:$G,2,0),"")</f>
        <v/>
      </c>
      <c r="G338" s="78" t="str">
        <f>IFERROR(VLOOKUP($E338,設定!$C:$G,3,0),"")</f>
        <v/>
      </c>
      <c r="H338" s="78" t="str">
        <f>IFERROR(VLOOKUP($E338,設定!$C:$G,4,0),"")</f>
        <v/>
      </c>
      <c r="I338" s="78" t="str">
        <f>IFERROR(VLOOKUP($E338,設定!$C:$G,5,0),"")</f>
        <v/>
      </c>
      <c r="J338" s="104"/>
    </row>
    <row r="339" spans="2:10" s="3" customFormat="1" ht="24" customHeight="1" x14ac:dyDescent="0.2">
      <c r="B339" s="74"/>
      <c r="C339" s="75"/>
      <c r="D339" s="76"/>
      <c r="E339" s="77"/>
      <c r="F339" s="78" t="str">
        <f>IFERROR(VLOOKUP($E339,設定!$C:$G,2,0),"")</f>
        <v/>
      </c>
      <c r="G339" s="78" t="str">
        <f>IFERROR(VLOOKUP($E339,設定!$C:$G,3,0),"")</f>
        <v/>
      </c>
      <c r="H339" s="78" t="str">
        <f>IFERROR(VLOOKUP($E339,設定!$C:$G,4,0),"")</f>
        <v/>
      </c>
      <c r="I339" s="78" t="str">
        <f>IFERROR(VLOOKUP($E339,設定!$C:$G,5,0),"")</f>
        <v/>
      </c>
      <c r="J339" s="104"/>
    </row>
    <row r="340" spans="2:10" s="3" customFormat="1" ht="24" customHeight="1" x14ac:dyDescent="0.2">
      <c r="B340" s="74"/>
      <c r="C340" s="75"/>
      <c r="D340" s="76"/>
      <c r="E340" s="77"/>
      <c r="F340" s="78" t="str">
        <f>IFERROR(VLOOKUP($E340,設定!$C:$G,2,0),"")</f>
        <v/>
      </c>
      <c r="G340" s="78" t="str">
        <f>IFERROR(VLOOKUP($E340,設定!$C:$G,3,0),"")</f>
        <v/>
      </c>
      <c r="H340" s="78" t="str">
        <f>IFERROR(VLOOKUP($E340,設定!$C:$G,4,0),"")</f>
        <v/>
      </c>
      <c r="I340" s="78" t="str">
        <f>IFERROR(VLOOKUP($E340,設定!$C:$G,5,0),"")</f>
        <v/>
      </c>
      <c r="J340" s="104"/>
    </row>
    <row r="341" spans="2:10" s="3" customFormat="1" ht="24" customHeight="1" x14ac:dyDescent="0.2">
      <c r="B341" s="74"/>
      <c r="C341" s="75"/>
      <c r="D341" s="76"/>
      <c r="E341" s="77"/>
      <c r="F341" s="78" t="str">
        <f>IFERROR(VLOOKUP($E341,設定!$C:$G,2,0),"")</f>
        <v/>
      </c>
      <c r="G341" s="78" t="str">
        <f>IFERROR(VLOOKUP($E341,設定!$C:$G,3,0),"")</f>
        <v/>
      </c>
      <c r="H341" s="78" t="str">
        <f>IFERROR(VLOOKUP($E341,設定!$C:$G,4,0),"")</f>
        <v/>
      </c>
      <c r="I341" s="78" t="str">
        <f>IFERROR(VLOOKUP($E341,設定!$C:$G,5,0),"")</f>
        <v/>
      </c>
      <c r="J341" s="104"/>
    </row>
    <row r="342" spans="2:10" s="3" customFormat="1" ht="24" customHeight="1" x14ac:dyDescent="0.2">
      <c r="B342" s="74"/>
      <c r="C342" s="75"/>
      <c r="D342" s="76"/>
      <c r="E342" s="77"/>
      <c r="F342" s="78" t="str">
        <f>IFERROR(VLOOKUP($E342,設定!$C:$G,2,0),"")</f>
        <v/>
      </c>
      <c r="G342" s="78" t="str">
        <f>IFERROR(VLOOKUP($E342,設定!$C:$G,3,0),"")</f>
        <v/>
      </c>
      <c r="H342" s="78" t="str">
        <f>IFERROR(VLOOKUP($E342,設定!$C:$G,4,0),"")</f>
        <v/>
      </c>
      <c r="I342" s="78" t="str">
        <f>IFERROR(VLOOKUP($E342,設定!$C:$G,5,0),"")</f>
        <v/>
      </c>
      <c r="J342" s="104"/>
    </row>
    <row r="343" spans="2:10" s="3" customFormat="1" ht="24" customHeight="1" x14ac:dyDescent="0.2">
      <c r="B343" s="74"/>
      <c r="C343" s="75"/>
      <c r="D343" s="76"/>
      <c r="E343" s="77"/>
      <c r="F343" s="78" t="str">
        <f>IFERROR(VLOOKUP($E343,設定!$C:$G,2,0),"")</f>
        <v/>
      </c>
      <c r="G343" s="78" t="str">
        <f>IFERROR(VLOOKUP($E343,設定!$C:$G,3,0),"")</f>
        <v/>
      </c>
      <c r="H343" s="78" t="str">
        <f>IFERROR(VLOOKUP($E343,設定!$C:$G,4,0),"")</f>
        <v/>
      </c>
      <c r="I343" s="78" t="str">
        <f>IFERROR(VLOOKUP($E343,設定!$C:$G,5,0),"")</f>
        <v/>
      </c>
      <c r="J343" s="104"/>
    </row>
    <row r="344" spans="2:10" s="3" customFormat="1" ht="24" customHeight="1" x14ac:dyDescent="0.2">
      <c r="B344" s="74"/>
      <c r="C344" s="75"/>
      <c r="D344" s="76"/>
      <c r="E344" s="77"/>
      <c r="F344" s="78" t="str">
        <f>IFERROR(VLOOKUP($E344,設定!$C:$G,2,0),"")</f>
        <v/>
      </c>
      <c r="G344" s="78" t="str">
        <f>IFERROR(VLOOKUP($E344,設定!$C:$G,3,0),"")</f>
        <v/>
      </c>
      <c r="H344" s="78" t="str">
        <f>IFERROR(VLOOKUP($E344,設定!$C:$G,4,0),"")</f>
        <v/>
      </c>
      <c r="I344" s="78" t="str">
        <f>IFERROR(VLOOKUP($E344,設定!$C:$G,5,0),"")</f>
        <v/>
      </c>
      <c r="J344" s="104"/>
    </row>
    <row r="345" spans="2:10" s="3" customFormat="1" ht="24" customHeight="1" x14ac:dyDescent="0.2">
      <c r="B345" s="74"/>
      <c r="C345" s="75"/>
      <c r="D345" s="76"/>
      <c r="E345" s="77"/>
      <c r="F345" s="78" t="str">
        <f>IFERROR(VLOOKUP($E345,設定!$C:$G,2,0),"")</f>
        <v/>
      </c>
      <c r="G345" s="78" t="str">
        <f>IFERROR(VLOOKUP($E345,設定!$C:$G,3,0),"")</f>
        <v/>
      </c>
      <c r="H345" s="78" t="str">
        <f>IFERROR(VLOOKUP($E345,設定!$C:$G,4,0),"")</f>
        <v/>
      </c>
      <c r="I345" s="78" t="str">
        <f>IFERROR(VLOOKUP($E345,設定!$C:$G,5,0),"")</f>
        <v/>
      </c>
      <c r="J345" s="104"/>
    </row>
    <row r="346" spans="2:10" s="3" customFormat="1" ht="24" customHeight="1" x14ac:dyDescent="0.2">
      <c r="B346" s="74"/>
      <c r="C346" s="75"/>
      <c r="D346" s="76"/>
      <c r="E346" s="77"/>
      <c r="F346" s="78" t="str">
        <f>IFERROR(VLOOKUP($E346,設定!$C:$G,2,0),"")</f>
        <v/>
      </c>
      <c r="G346" s="78" t="str">
        <f>IFERROR(VLOOKUP($E346,設定!$C:$G,3,0),"")</f>
        <v/>
      </c>
      <c r="H346" s="78" t="str">
        <f>IFERROR(VLOOKUP($E346,設定!$C:$G,4,0),"")</f>
        <v/>
      </c>
      <c r="I346" s="78" t="str">
        <f>IFERROR(VLOOKUP($E346,設定!$C:$G,5,0),"")</f>
        <v/>
      </c>
      <c r="J346" s="104"/>
    </row>
    <row r="347" spans="2:10" s="3" customFormat="1" ht="24" customHeight="1" x14ac:dyDescent="0.2">
      <c r="B347" s="74"/>
      <c r="C347" s="75"/>
      <c r="D347" s="76"/>
      <c r="E347" s="77"/>
      <c r="F347" s="78" t="str">
        <f>IFERROR(VLOOKUP($E347,設定!$C:$G,2,0),"")</f>
        <v/>
      </c>
      <c r="G347" s="78" t="str">
        <f>IFERROR(VLOOKUP($E347,設定!$C:$G,3,0),"")</f>
        <v/>
      </c>
      <c r="H347" s="78" t="str">
        <f>IFERROR(VLOOKUP($E347,設定!$C:$G,4,0),"")</f>
        <v/>
      </c>
      <c r="I347" s="78" t="str">
        <f>IFERROR(VLOOKUP($E347,設定!$C:$G,5,0),"")</f>
        <v/>
      </c>
      <c r="J347" s="104"/>
    </row>
    <row r="348" spans="2:10" s="3" customFormat="1" ht="24" customHeight="1" x14ac:dyDescent="0.2">
      <c r="B348" s="74"/>
      <c r="C348" s="75"/>
      <c r="D348" s="76"/>
      <c r="E348" s="77"/>
      <c r="F348" s="78" t="str">
        <f>IFERROR(VLOOKUP($E348,設定!$C:$G,2,0),"")</f>
        <v/>
      </c>
      <c r="G348" s="78" t="str">
        <f>IFERROR(VLOOKUP($E348,設定!$C:$G,3,0),"")</f>
        <v/>
      </c>
      <c r="H348" s="78" t="str">
        <f>IFERROR(VLOOKUP($E348,設定!$C:$G,4,0),"")</f>
        <v/>
      </c>
      <c r="I348" s="78" t="str">
        <f>IFERROR(VLOOKUP($E348,設定!$C:$G,5,0),"")</f>
        <v/>
      </c>
      <c r="J348" s="104"/>
    </row>
    <row r="349" spans="2:10" s="3" customFormat="1" ht="24" customHeight="1" x14ac:dyDescent="0.2">
      <c r="B349" s="74"/>
      <c r="C349" s="75"/>
      <c r="D349" s="76"/>
      <c r="E349" s="77"/>
      <c r="F349" s="78" t="str">
        <f>IFERROR(VLOOKUP($E349,設定!$C:$G,2,0),"")</f>
        <v/>
      </c>
      <c r="G349" s="78" t="str">
        <f>IFERROR(VLOOKUP($E349,設定!$C:$G,3,0),"")</f>
        <v/>
      </c>
      <c r="H349" s="78" t="str">
        <f>IFERROR(VLOOKUP($E349,設定!$C:$G,4,0),"")</f>
        <v/>
      </c>
      <c r="I349" s="78" t="str">
        <f>IFERROR(VLOOKUP($E349,設定!$C:$G,5,0),"")</f>
        <v/>
      </c>
      <c r="J349" s="104"/>
    </row>
    <row r="350" spans="2:10" s="3" customFormat="1" ht="24" customHeight="1" x14ac:dyDescent="0.2">
      <c r="B350" s="74"/>
      <c r="C350" s="75"/>
      <c r="D350" s="76"/>
      <c r="E350" s="77"/>
      <c r="F350" s="78" t="str">
        <f>IFERROR(VLOOKUP($E350,設定!$C:$G,2,0),"")</f>
        <v/>
      </c>
      <c r="G350" s="78" t="str">
        <f>IFERROR(VLOOKUP($E350,設定!$C:$G,3,0),"")</f>
        <v/>
      </c>
      <c r="H350" s="78" t="str">
        <f>IFERROR(VLOOKUP($E350,設定!$C:$G,4,0),"")</f>
        <v/>
      </c>
      <c r="I350" s="78" t="str">
        <f>IFERROR(VLOOKUP($E350,設定!$C:$G,5,0),"")</f>
        <v/>
      </c>
      <c r="J350" s="104"/>
    </row>
    <row r="351" spans="2:10" s="3" customFormat="1" ht="24" customHeight="1" x14ac:dyDescent="0.2">
      <c r="B351" s="74"/>
      <c r="C351" s="75"/>
      <c r="D351" s="76"/>
      <c r="E351" s="77"/>
      <c r="F351" s="78" t="str">
        <f>IFERROR(VLOOKUP($E351,設定!$C:$G,2,0),"")</f>
        <v/>
      </c>
      <c r="G351" s="78" t="str">
        <f>IFERROR(VLOOKUP($E351,設定!$C:$G,3,0),"")</f>
        <v/>
      </c>
      <c r="H351" s="78" t="str">
        <f>IFERROR(VLOOKUP($E351,設定!$C:$G,4,0),"")</f>
        <v/>
      </c>
      <c r="I351" s="78" t="str">
        <f>IFERROR(VLOOKUP($E351,設定!$C:$G,5,0),"")</f>
        <v/>
      </c>
      <c r="J351" s="104"/>
    </row>
    <row r="352" spans="2:10" s="3" customFormat="1" ht="24" customHeight="1" x14ac:dyDescent="0.2">
      <c r="B352" s="74"/>
      <c r="C352" s="75"/>
      <c r="D352" s="76"/>
      <c r="E352" s="77"/>
      <c r="F352" s="78" t="str">
        <f>IFERROR(VLOOKUP($E352,設定!$C:$G,2,0),"")</f>
        <v/>
      </c>
      <c r="G352" s="78" t="str">
        <f>IFERROR(VLOOKUP($E352,設定!$C:$G,3,0),"")</f>
        <v/>
      </c>
      <c r="H352" s="78" t="str">
        <f>IFERROR(VLOOKUP($E352,設定!$C:$G,4,0),"")</f>
        <v/>
      </c>
      <c r="I352" s="78" t="str">
        <f>IFERROR(VLOOKUP($E352,設定!$C:$G,5,0),"")</f>
        <v/>
      </c>
      <c r="J352" s="104"/>
    </row>
    <row r="353" spans="2:10" s="3" customFormat="1" ht="24" customHeight="1" x14ac:dyDescent="0.2">
      <c r="B353" s="74"/>
      <c r="C353" s="75"/>
      <c r="D353" s="76"/>
      <c r="E353" s="77"/>
      <c r="F353" s="78" t="str">
        <f>IFERROR(VLOOKUP($E353,設定!$C:$G,2,0),"")</f>
        <v/>
      </c>
      <c r="G353" s="78" t="str">
        <f>IFERROR(VLOOKUP($E353,設定!$C:$G,3,0),"")</f>
        <v/>
      </c>
      <c r="H353" s="78" t="str">
        <f>IFERROR(VLOOKUP($E353,設定!$C:$G,4,0),"")</f>
        <v/>
      </c>
      <c r="I353" s="78" t="str">
        <f>IFERROR(VLOOKUP($E353,設定!$C:$G,5,0),"")</f>
        <v/>
      </c>
      <c r="J353" s="104"/>
    </row>
    <row r="354" spans="2:10" s="3" customFormat="1" ht="24" customHeight="1" x14ac:dyDescent="0.2">
      <c r="B354" s="74"/>
      <c r="C354" s="75"/>
      <c r="D354" s="76"/>
      <c r="E354" s="77"/>
      <c r="F354" s="78" t="str">
        <f>IFERROR(VLOOKUP($E354,設定!$C:$G,2,0),"")</f>
        <v/>
      </c>
      <c r="G354" s="78" t="str">
        <f>IFERROR(VLOOKUP($E354,設定!$C:$G,3,0),"")</f>
        <v/>
      </c>
      <c r="H354" s="78" t="str">
        <f>IFERROR(VLOOKUP($E354,設定!$C:$G,4,0),"")</f>
        <v/>
      </c>
      <c r="I354" s="78" t="str">
        <f>IFERROR(VLOOKUP($E354,設定!$C:$G,5,0),"")</f>
        <v/>
      </c>
      <c r="J354" s="104"/>
    </row>
    <row r="355" spans="2:10" s="3" customFormat="1" ht="24" customHeight="1" x14ac:dyDescent="0.2">
      <c r="B355" s="74"/>
      <c r="C355" s="75"/>
      <c r="D355" s="76"/>
      <c r="E355" s="77"/>
      <c r="F355" s="78" t="str">
        <f>IFERROR(VLOOKUP($E355,設定!$C:$G,2,0),"")</f>
        <v/>
      </c>
      <c r="G355" s="78" t="str">
        <f>IFERROR(VLOOKUP($E355,設定!$C:$G,3,0),"")</f>
        <v/>
      </c>
      <c r="H355" s="78" t="str">
        <f>IFERROR(VLOOKUP($E355,設定!$C:$G,4,0),"")</f>
        <v/>
      </c>
      <c r="I355" s="78" t="str">
        <f>IFERROR(VLOOKUP($E355,設定!$C:$G,5,0),"")</f>
        <v/>
      </c>
      <c r="J355" s="104"/>
    </row>
    <row r="356" spans="2:10" s="3" customFormat="1" ht="24" customHeight="1" x14ac:dyDescent="0.2">
      <c r="B356" s="74"/>
      <c r="C356" s="75"/>
      <c r="D356" s="76"/>
      <c r="E356" s="77"/>
      <c r="F356" s="78" t="str">
        <f>IFERROR(VLOOKUP($E356,設定!$C:$G,2,0),"")</f>
        <v/>
      </c>
      <c r="G356" s="78" t="str">
        <f>IFERROR(VLOOKUP($E356,設定!$C:$G,3,0),"")</f>
        <v/>
      </c>
      <c r="H356" s="78" t="str">
        <f>IFERROR(VLOOKUP($E356,設定!$C:$G,4,0),"")</f>
        <v/>
      </c>
      <c r="I356" s="78" t="str">
        <f>IFERROR(VLOOKUP($E356,設定!$C:$G,5,0),"")</f>
        <v/>
      </c>
      <c r="J356" s="104"/>
    </row>
    <row r="357" spans="2:10" s="3" customFormat="1" ht="24" customHeight="1" x14ac:dyDescent="0.2">
      <c r="B357" s="74"/>
      <c r="C357" s="75"/>
      <c r="D357" s="76"/>
      <c r="E357" s="77"/>
      <c r="F357" s="78" t="str">
        <f>IFERROR(VLOOKUP($E357,設定!$C:$G,2,0),"")</f>
        <v/>
      </c>
      <c r="G357" s="78" t="str">
        <f>IFERROR(VLOOKUP($E357,設定!$C:$G,3,0),"")</f>
        <v/>
      </c>
      <c r="H357" s="78" t="str">
        <f>IFERROR(VLOOKUP($E357,設定!$C:$G,4,0),"")</f>
        <v/>
      </c>
      <c r="I357" s="78" t="str">
        <f>IFERROR(VLOOKUP($E357,設定!$C:$G,5,0),"")</f>
        <v/>
      </c>
      <c r="J357" s="104"/>
    </row>
    <row r="358" spans="2:10" s="3" customFormat="1" ht="24" customHeight="1" x14ac:dyDescent="0.2">
      <c r="B358" s="74"/>
      <c r="C358" s="75"/>
      <c r="D358" s="76"/>
      <c r="E358" s="77"/>
      <c r="F358" s="78" t="str">
        <f>IFERROR(VLOOKUP($E358,設定!$C:$G,2,0),"")</f>
        <v/>
      </c>
      <c r="G358" s="78" t="str">
        <f>IFERROR(VLOOKUP($E358,設定!$C:$G,3,0),"")</f>
        <v/>
      </c>
      <c r="H358" s="78" t="str">
        <f>IFERROR(VLOOKUP($E358,設定!$C:$G,4,0),"")</f>
        <v/>
      </c>
      <c r="I358" s="78" t="str">
        <f>IFERROR(VLOOKUP($E358,設定!$C:$G,5,0),"")</f>
        <v/>
      </c>
      <c r="J358" s="104"/>
    </row>
    <row r="359" spans="2:10" s="3" customFormat="1" ht="24" customHeight="1" x14ac:dyDescent="0.2">
      <c r="B359" s="74"/>
      <c r="C359" s="75"/>
      <c r="D359" s="76"/>
      <c r="E359" s="77"/>
      <c r="F359" s="78" t="str">
        <f>IFERROR(VLOOKUP($E359,設定!$C:$G,2,0),"")</f>
        <v/>
      </c>
      <c r="G359" s="78" t="str">
        <f>IFERROR(VLOOKUP($E359,設定!$C:$G,3,0),"")</f>
        <v/>
      </c>
      <c r="H359" s="78" t="str">
        <f>IFERROR(VLOOKUP($E359,設定!$C:$G,4,0),"")</f>
        <v/>
      </c>
      <c r="I359" s="78" t="str">
        <f>IFERROR(VLOOKUP($E359,設定!$C:$G,5,0),"")</f>
        <v/>
      </c>
      <c r="J359" s="104"/>
    </row>
    <row r="360" spans="2:10" s="3" customFormat="1" ht="24" customHeight="1" x14ac:dyDescent="0.2">
      <c r="B360" s="74"/>
      <c r="C360" s="75"/>
      <c r="D360" s="76"/>
      <c r="E360" s="77"/>
      <c r="F360" s="78" t="str">
        <f>IFERROR(VLOOKUP($E360,設定!$C:$G,2,0),"")</f>
        <v/>
      </c>
      <c r="G360" s="78" t="str">
        <f>IFERROR(VLOOKUP($E360,設定!$C:$G,3,0),"")</f>
        <v/>
      </c>
      <c r="H360" s="78" t="str">
        <f>IFERROR(VLOOKUP($E360,設定!$C:$G,4,0),"")</f>
        <v/>
      </c>
      <c r="I360" s="78" t="str">
        <f>IFERROR(VLOOKUP($E360,設定!$C:$G,5,0),"")</f>
        <v/>
      </c>
      <c r="J360" s="104"/>
    </row>
    <row r="361" spans="2:10" s="3" customFormat="1" ht="24" customHeight="1" x14ac:dyDescent="0.2">
      <c r="B361" s="74"/>
      <c r="C361" s="75"/>
      <c r="D361" s="76"/>
      <c r="E361" s="77"/>
      <c r="F361" s="78" t="str">
        <f>IFERROR(VLOOKUP($E361,設定!$C:$G,2,0),"")</f>
        <v/>
      </c>
      <c r="G361" s="78" t="str">
        <f>IFERROR(VLOOKUP($E361,設定!$C:$G,3,0),"")</f>
        <v/>
      </c>
      <c r="H361" s="78" t="str">
        <f>IFERROR(VLOOKUP($E361,設定!$C:$G,4,0),"")</f>
        <v/>
      </c>
      <c r="I361" s="78" t="str">
        <f>IFERROR(VLOOKUP($E361,設定!$C:$G,5,0),"")</f>
        <v/>
      </c>
      <c r="J361" s="104"/>
    </row>
    <row r="362" spans="2:10" s="3" customFormat="1" ht="24" customHeight="1" x14ac:dyDescent="0.2">
      <c r="B362" s="74"/>
      <c r="C362" s="75"/>
      <c r="D362" s="76"/>
      <c r="E362" s="77"/>
      <c r="F362" s="78" t="str">
        <f>IFERROR(VLOOKUP($E362,設定!$C:$G,2,0),"")</f>
        <v/>
      </c>
      <c r="G362" s="78" t="str">
        <f>IFERROR(VLOOKUP($E362,設定!$C:$G,3,0),"")</f>
        <v/>
      </c>
      <c r="H362" s="78" t="str">
        <f>IFERROR(VLOOKUP($E362,設定!$C:$G,4,0),"")</f>
        <v/>
      </c>
      <c r="I362" s="78" t="str">
        <f>IFERROR(VLOOKUP($E362,設定!$C:$G,5,0),"")</f>
        <v/>
      </c>
      <c r="J362" s="104"/>
    </row>
    <row r="363" spans="2:10" s="3" customFormat="1" ht="24" customHeight="1" x14ac:dyDescent="0.2">
      <c r="B363" s="74"/>
      <c r="C363" s="75"/>
      <c r="D363" s="76"/>
      <c r="E363" s="77"/>
      <c r="F363" s="78" t="str">
        <f>IFERROR(VLOOKUP($E363,設定!$C:$G,2,0),"")</f>
        <v/>
      </c>
      <c r="G363" s="78" t="str">
        <f>IFERROR(VLOOKUP($E363,設定!$C:$G,3,0),"")</f>
        <v/>
      </c>
      <c r="H363" s="78" t="str">
        <f>IFERROR(VLOOKUP($E363,設定!$C:$G,4,0),"")</f>
        <v/>
      </c>
      <c r="I363" s="78" t="str">
        <f>IFERROR(VLOOKUP($E363,設定!$C:$G,5,0),"")</f>
        <v/>
      </c>
      <c r="J363" s="104"/>
    </row>
    <row r="364" spans="2:10" s="3" customFormat="1" ht="24" customHeight="1" x14ac:dyDescent="0.2">
      <c r="B364" s="74"/>
      <c r="C364" s="75"/>
      <c r="D364" s="76"/>
      <c r="E364" s="77"/>
      <c r="F364" s="78" t="str">
        <f>IFERROR(VLOOKUP($E364,設定!$C:$G,2,0),"")</f>
        <v/>
      </c>
      <c r="G364" s="78" t="str">
        <f>IFERROR(VLOOKUP($E364,設定!$C:$G,3,0),"")</f>
        <v/>
      </c>
      <c r="H364" s="78" t="str">
        <f>IFERROR(VLOOKUP($E364,設定!$C:$G,4,0),"")</f>
        <v/>
      </c>
      <c r="I364" s="78" t="str">
        <f>IFERROR(VLOOKUP($E364,設定!$C:$G,5,0),"")</f>
        <v/>
      </c>
      <c r="J364" s="104"/>
    </row>
    <row r="365" spans="2:10" s="3" customFormat="1" ht="24" customHeight="1" x14ac:dyDescent="0.2">
      <c r="B365" s="74"/>
      <c r="C365" s="75"/>
      <c r="D365" s="76"/>
      <c r="E365" s="77"/>
      <c r="F365" s="78" t="str">
        <f>IFERROR(VLOOKUP($E365,設定!$C:$G,2,0),"")</f>
        <v/>
      </c>
      <c r="G365" s="78" t="str">
        <f>IFERROR(VLOOKUP($E365,設定!$C:$G,3,0),"")</f>
        <v/>
      </c>
      <c r="H365" s="78" t="str">
        <f>IFERROR(VLOOKUP($E365,設定!$C:$G,4,0),"")</f>
        <v/>
      </c>
      <c r="I365" s="78" t="str">
        <f>IFERROR(VLOOKUP($E365,設定!$C:$G,5,0),"")</f>
        <v/>
      </c>
      <c r="J365" s="104"/>
    </row>
    <row r="366" spans="2:10" s="3" customFormat="1" ht="24" customHeight="1" x14ac:dyDescent="0.2">
      <c r="B366" s="74"/>
      <c r="C366" s="75"/>
      <c r="D366" s="76"/>
      <c r="E366" s="77"/>
      <c r="F366" s="78" t="str">
        <f>IFERROR(VLOOKUP($E366,設定!$C:$G,2,0),"")</f>
        <v/>
      </c>
      <c r="G366" s="78" t="str">
        <f>IFERROR(VLOOKUP($E366,設定!$C:$G,3,0),"")</f>
        <v/>
      </c>
      <c r="H366" s="78" t="str">
        <f>IFERROR(VLOOKUP($E366,設定!$C:$G,4,0),"")</f>
        <v/>
      </c>
      <c r="I366" s="78" t="str">
        <f>IFERROR(VLOOKUP($E366,設定!$C:$G,5,0),"")</f>
        <v/>
      </c>
      <c r="J366" s="104"/>
    </row>
    <row r="367" spans="2:10" s="3" customFormat="1" ht="24" customHeight="1" x14ac:dyDescent="0.2">
      <c r="B367" s="74"/>
      <c r="C367" s="75"/>
      <c r="D367" s="76"/>
      <c r="E367" s="77"/>
      <c r="F367" s="78" t="str">
        <f>IFERROR(VLOOKUP($E367,設定!$C:$G,2,0),"")</f>
        <v/>
      </c>
      <c r="G367" s="78" t="str">
        <f>IFERROR(VLOOKUP($E367,設定!$C:$G,3,0),"")</f>
        <v/>
      </c>
      <c r="H367" s="78" t="str">
        <f>IFERROR(VLOOKUP($E367,設定!$C:$G,4,0),"")</f>
        <v/>
      </c>
      <c r="I367" s="78" t="str">
        <f>IFERROR(VLOOKUP($E367,設定!$C:$G,5,0),"")</f>
        <v/>
      </c>
      <c r="J367" s="104"/>
    </row>
    <row r="368" spans="2:10" s="3" customFormat="1" ht="24" customHeight="1" x14ac:dyDescent="0.2">
      <c r="B368" s="74"/>
      <c r="C368" s="75"/>
      <c r="D368" s="76"/>
      <c r="E368" s="77"/>
      <c r="F368" s="78" t="str">
        <f>IFERROR(VLOOKUP($E368,設定!$C:$G,2,0),"")</f>
        <v/>
      </c>
      <c r="G368" s="78" t="str">
        <f>IFERROR(VLOOKUP($E368,設定!$C:$G,3,0),"")</f>
        <v/>
      </c>
      <c r="H368" s="78" t="str">
        <f>IFERROR(VLOOKUP($E368,設定!$C:$G,4,0),"")</f>
        <v/>
      </c>
      <c r="I368" s="78" t="str">
        <f>IFERROR(VLOOKUP($E368,設定!$C:$G,5,0),"")</f>
        <v/>
      </c>
      <c r="J368" s="104"/>
    </row>
    <row r="369" spans="2:10" s="3" customFormat="1" ht="24" customHeight="1" x14ac:dyDescent="0.2">
      <c r="B369" s="74"/>
      <c r="C369" s="75"/>
      <c r="D369" s="76"/>
      <c r="E369" s="77"/>
      <c r="F369" s="78" t="str">
        <f>IFERROR(VLOOKUP($E369,設定!$C:$G,2,0),"")</f>
        <v/>
      </c>
      <c r="G369" s="78" t="str">
        <f>IFERROR(VLOOKUP($E369,設定!$C:$G,3,0),"")</f>
        <v/>
      </c>
      <c r="H369" s="78" t="str">
        <f>IFERROR(VLOOKUP($E369,設定!$C:$G,4,0),"")</f>
        <v/>
      </c>
      <c r="I369" s="78" t="str">
        <f>IFERROR(VLOOKUP($E369,設定!$C:$G,5,0),"")</f>
        <v/>
      </c>
      <c r="J369" s="104"/>
    </row>
    <row r="370" spans="2:10" s="3" customFormat="1" ht="24" customHeight="1" x14ac:dyDescent="0.2">
      <c r="B370" s="74"/>
      <c r="C370" s="75"/>
      <c r="D370" s="76"/>
      <c r="E370" s="77"/>
      <c r="F370" s="78" t="str">
        <f>IFERROR(VLOOKUP($E370,設定!$C:$G,2,0),"")</f>
        <v/>
      </c>
      <c r="G370" s="78" t="str">
        <f>IFERROR(VLOOKUP($E370,設定!$C:$G,3,0),"")</f>
        <v/>
      </c>
      <c r="H370" s="78" t="str">
        <f>IFERROR(VLOOKUP($E370,設定!$C:$G,4,0),"")</f>
        <v/>
      </c>
      <c r="I370" s="78" t="str">
        <f>IFERROR(VLOOKUP($E370,設定!$C:$G,5,0),"")</f>
        <v/>
      </c>
      <c r="J370" s="104"/>
    </row>
    <row r="371" spans="2:10" s="3" customFormat="1" ht="24" customHeight="1" x14ac:dyDescent="0.2">
      <c r="B371" s="74"/>
      <c r="C371" s="75"/>
      <c r="D371" s="76"/>
      <c r="E371" s="77"/>
      <c r="F371" s="78" t="str">
        <f>IFERROR(VLOOKUP($E371,設定!$C:$G,2,0),"")</f>
        <v/>
      </c>
      <c r="G371" s="78" t="str">
        <f>IFERROR(VLOOKUP($E371,設定!$C:$G,3,0),"")</f>
        <v/>
      </c>
      <c r="H371" s="78" t="str">
        <f>IFERROR(VLOOKUP($E371,設定!$C:$G,4,0),"")</f>
        <v/>
      </c>
      <c r="I371" s="78" t="str">
        <f>IFERROR(VLOOKUP($E371,設定!$C:$G,5,0),"")</f>
        <v/>
      </c>
      <c r="J371" s="104"/>
    </row>
    <row r="372" spans="2:10" s="3" customFormat="1" ht="24" customHeight="1" x14ac:dyDescent="0.2">
      <c r="B372" s="74"/>
      <c r="C372" s="75"/>
      <c r="D372" s="76"/>
      <c r="E372" s="77"/>
      <c r="F372" s="78" t="str">
        <f>IFERROR(VLOOKUP($E372,設定!$C:$G,2,0),"")</f>
        <v/>
      </c>
      <c r="G372" s="78" t="str">
        <f>IFERROR(VLOOKUP($E372,設定!$C:$G,3,0),"")</f>
        <v/>
      </c>
      <c r="H372" s="78" t="str">
        <f>IFERROR(VLOOKUP($E372,設定!$C:$G,4,0),"")</f>
        <v/>
      </c>
      <c r="I372" s="78" t="str">
        <f>IFERROR(VLOOKUP($E372,設定!$C:$G,5,0),"")</f>
        <v/>
      </c>
      <c r="J372" s="104"/>
    </row>
    <row r="373" spans="2:10" s="3" customFormat="1" ht="24" customHeight="1" x14ac:dyDescent="0.2">
      <c r="B373" s="74"/>
      <c r="C373" s="75"/>
      <c r="D373" s="76"/>
      <c r="E373" s="77"/>
      <c r="F373" s="78" t="str">
        <f>IFERROR(VLOOKUP($E373,設定!$C:$G,2,0),"")</f>
        <v/>
      </c>
      <c r="G373" s="78" t="str">
        <f>IFERROR(VLOOKUP($E373,設定!$C:$G,3,0),"")</f>
        <v/>
      </c>
      <c r="H373" s="78" t="str">
        <f>IFERROR(VLOOKUP($E373,設定!$C:$G,4,0),"")</f>
        <v/>
      </c>
      <c r="I373" s="78" t="str">
        <f>IFERROR(VLOOKUP($E373,設定!$C:$G,5,0),"")</f>
        <v/>
      </c>
      <c r="J373" s="104"/>
    </row>
    <row r="374" spans="2:10" s="3" customFormat="1" ht="24" customHeight="1" x14ac:dyDescent="0.2">
      <c r="B374" s="74"/>
      <c r="C374" s="75"/>
      <c r="D374" s="76"/>
      <c r="E374" s="77"/>
      <c r="F374" s="78" t="str">
        <f>IFERROR(VLOOKUP($E374,設定!$C:$G,2,0),"")</f>
        <v/>
      </c>
      <c r="G374" s="78" t="str">
        <f>IFERROR(VLOOKUP($E374,設定!$C:$G,3,0),"")</f>
        <v/>
      </c>
      <c r="H374" s="78" t="str">
        <f>IFERROR(VLOOKUP($E374,設定!$C:$G,4,0),"")</f>
        <v/>
      </c>
      <c r="I374" s="78" t="str">
        <f>IFERROR(VLOOKUP($E374,設定!$C:$G,5,0),"")</f>
        <v/>
      </c>
      <c r="J374" s="104"/>
    </row>
    <row r="375" spans="2:10" s="3" customFormat="1" ht="24" customHeight="1" x14ac:dyDescent="0.2">
      <c r="B375" s="74"/>
      <c r="C375" s="75"/>
      <c r="D375" s="76"/>
      <c r="E375" s="77"/>
      <c r="F375" s="78" t="str">
        <f>IFERROR(VLOOKUP($E375,設定!$C:$G,2,0),"")</f>
        <v/>
      </c>
      <c r="G375" s="78" t="str">
        <f>IFERROR(VLOOKUP($E375,設定!$C:$G,3,0),"")</f>
        <v/>
      </c>
      <c r="H375" s="78" t="str">
        <f>IFERROR(VLOOKUP($E375,設定!$C:$G,4,0),"")</f>
        <v/>
      </c>
      <c r="I375" s="78" t="str">
        <f>IFERROR(VLOOKUP($E375,設定!$C:$G,5,0),"")</f>
        <v/>
      </c>
      <c r="J375" s="104"/>
    </row>
    <row r="376" spans="2:10" s="3" customFormat="1" ht="24" customHeight="1" x14ac:dyDescent="0.2">
      <c r="B376" s="74"/>
      <c r="C376" s="75"/>
      <c r="D376" s="76"/>
      <c r="E376" s="77"/>
      <c r="F376" s="78" t="str">
        <f>IFERROR(VLOOKUP($E376,設定!$C:$G,2,0),"")</f>
        <v/>
      </c>
      <c r="G376" s="78" t="str">
        <f>IFERROR(VLOOKUP($E376,設定!$C:$G,3,0),"")</f>
        <v/>
      </c>
      <c r="H376" s="78" t="str">
        <f>IFERROR(VLOOKUP($E376,設定!$C:$G,4,0),"")</f>
        <v/>
      </c>
      <c r="I376" s="78" t="str">
        <f>IFERROR(VLOOKUP($E376,設定!$C:$G,5,0),"")</f>
        <v/>
      </c>
      <c r="J376" s="104"/>
    </row>
    <row r="377" spans="2:10" s="3" customFormat="1" ht="24" customHeight="1" x14ac:dyDescent="0.2">
      <c r="B377" s="74"/>
      <c r="C377" s="75"/>
      <c r="D377" s="76"/>
      <c r="E377" s="77"/>
      <c r="F377" s="78" t="str">
        <f>IFERROR(VLOOKUP($E377,設定!$C:$G,2,0),"")</f>
        <v/>
      </c>
      <c r="G377" s="78" t="str">
        <f>IFERROR(VLOOKUP($E377,設定!$C:$G,3,0),"")</f>
        <v/>
      </c>
      <c r="H377" s="78" t="str">
        <f>IFERROR(VLOOKUP($E377,設定!$C:$G,4,0),"")</f>
        <v/>
      </c>
      <c r="I377" s="78" t="str">
        <f>IFERROR(VLOOKUP($E377,設定!$C:$G,5,0),"")</f>
        <v/>
      </c>
      <c r="J377" s="104"/>
    </row>
    <row r="378" spans="2:10" s="3" customFormat="1" ht="24" customHeight="1" x14ac:dyDescent="0.2">
      <c r="B378" s="74"/>
      <c r="C378" s="75"/>
      <c r="D378" s="76"/>
      <c r="E378" s="77"/>
      <c r="F378" s="78" t="str">
        <f>IFERROR(VLOOKUP($E378,設定!$C:$G,2,0),"")</f>
        <v/>
      </c>
      <c r="G378" s="78" t="str">
        <f>IFERROR(VLOOKUP($E378,設定!$C:$G,3,0),"")</f>
        <v/>
      </c>
      <c r="H378" s="78" t="str">
        <f>IFERROR(VLOOKUP($E378,設定!$C:$G,4,0),"")</f>
        <v/>
      </c>
      <c r="I378" s="78" t="str">
        <f>IFERROR(VLOOKUP($E378,設定!$C:$G,5,0),"")</f>
        <v/>
      </c>
      <c r="J378" s="104"/>
    </row>
    <row r="379" spans="2:10" s="3" customFormat="1" ht="24" customHeight="1" x14ac:dyDescent="0.2">
      <c r="B379" s="74"/>
      <c r="C379" s="75"/>
      <c r="D379" s="76"/>
      <c r="E379" s="77"/>
      <c r="F379" s="78" t="str">
        <f>IFERROR(VLOOKUP($E379,設定!$C:$G,2,0),"")</f>
        <v/>
      </c>
      <c r="G379" s="78" t="str">
        <f>IFERROR(VLOOKUP($E379,設定!$C:$G,3,0),"")</f>
        <v/>
      </c>
      <c r="H379" s="78" t="str">
        <f>IFERROR(VLOOKUP($E379,設定!$C:$G,4,0),"")</f>
        <v/>
      </c>
      <c r="I379" s="78" t="str">
        <f>IFERROR(VLOOKUP($E379,設定!$C:$G,5,0),"")</f>
        <v/>
      </c>
      <c r="J379" s="104"/>
    </row>
    <row r="380" spans="2:10" s="3" customFormat="1" ht="24" customHeight="1" x14ac:dyDescent="0.2">
      <c r="B380" s="74"/>
      <c r="C380" s="75"/>
      <c r="D380" s="76"/>
      <c r="E380" s="77"/>
      <c r="F380" s="78" t="str">
        <f>IFERROR(VLOOKUP($E380,設定!$C:$G,2,0),"")</f>
        <v/>
      </c>
      <c r="G380" s="78" t="str">
        <f>IFERROR(VLOOKUP($E380,設定!$C:$G,3,0),"")</f>
        <v/>
      </c>
      <c r="H380" s="78" t="str">
        <f>IFERROR(VLOOKUP($E380,設定!$C:$G,4,0),"")</f>
        <v/>
      </c>
      <c r="I380" s="78" t="str">
        <f>IFERROR(VLOOKUP($E380,設定!$C:$G,5,0),"")</f>
        <v/>
      </c>
      <c r="J380" s="104"/>
    </row>
    <row r="381" spans="2:10" s="3" customFormat="1" ht="24" customHeight="1" x14ac:dyDescent="0.2">
      <c r="B381" s="74"/>
      <c r="C381" s="75"/>
      <c r="D381" s="76"/>
      <c r="E381" s="77"/>
      <c r="F381" s="78" t="str">
        <f>IFERROR(VLOOKUP($E381,設定!$C:$G,2,0),"")</f>
        <v/>
      </c>
      <c r="G381" s="78" t="str">
        <f>IFERROR(VLOOKUP($E381,設定!$C:$G,3,0),"")</f>
        <v/>
      </c>
      <c r="H381" s="78" t="str">
        <f>IFERROR(VLOOKUP($E381,設定!$C:$G,4,0),"")</f>
        <v/>
      </c>
      <c r="I381" s="78" t="str">
        <f>IFERROR(VLOOKUP($E381,設定!$C:$G,5,0),"")</f>
        <v/>
      </c>
      <c r="J381" s="104"/>
    </row>
    <row r="382" spans="2:10" s="3" customFormat="1" ht="24" customHeight="1" x14ac:dyDescent="0.2">
      <c r="B382" s="74"/>
      <c r="C382" s="75"/>
      <c r="D382" s="76"/>
      <c r="E382" s="77"/>
      <c r="F382" s="78" t="str">
        <f>IFERROR(VLOOKUP($E382,設定!$C:$G,2,0),"")</f>
        <v/>
      </c>
      <c r="G382" s="78" t="str">
        <f>IFERROR(VLOOKUP($E382,設定!$C:$G,3,0),"")</f>
        <v/>
      </c>
      <c r="H382" s="78" t="str">
        <f>IFERROR(VLOOKUP($E382,設定!$C:$G,4,0),"")</f>
        <v/>
      </c>
      <c r="I382" s="78" t="str">
        <f>IFERROR(VLOOKUP($E382,設定!$C:$G,5,0),"")</f>
        <v/>
      </c>
      <c r="J382" s="104"/>
    </row>
    <row r="383" spans="2:10" s="3" customFormat="1" ht="24" customHeight="1" x14ac:dyDescent="0.2">
      <c r="B383" s="74"/>
      <c r="C383" s="75"/>
      <c r="D383" s="76"/>
      <c r="E383" s="77"/>
      <c r="F383" s="78" t="str">
        <f>IFERROR(VLOOKUP($E383,設定!$C:$G,2,0),"")</f>
        <v/>
      </c>
      <c r="G383" s="78" t="str">
        <f>IFERROR(VLOOKUP($E383,設定!$C:$G,3,0),"")</f>
        <v/>
      </c>
      <c r="H383" s="78" t="str">
        <f>IFERROR(VLOOKUP($E383,設定!$C:$G,4,0),"")</f>
        <v/>
      </c>
      <c r="I383" s="78" t="str">
        <f>IFERROR(VLOOKUP($E383,設定!$C:$G,5,0),"")</f>
        <v/>
      </c>
      <c r="J383" s="104"/>
    </row>
    <row r="384" spans="2:10" s="3" customFormat="1" ht="24" customHeight="1" x14ac:dyDescent="0.2">
      <c r="B384" s="74"/>
      <c r="C384" s="75"/>
      <c r="D384" s="76"/>
      <c r="E384" s="77"/>
      <c r="F384" s="78" t="str">
        <f>IFERROR(VLOOKUP($E384,設定!$C:$G,2,0),"")</f>
        <v/>
      </c>
      <c r="G384" s="78" t="str">
        <f>IFERROR(VLOOKUP($E384,設定!$C:$G,3,0),"")</f>
        <v/>
      </c>
      <c r="H384" s="78" t="str">
        <f>IFERROR(VLOOKUP($E384,設定!$C:$G,4,0),"")</f>
        <v/>
      </c>
      <c r="I384" s="78" t="str">
        <f>IFERROR(VLOOKUP($E384,設定!$C:$G,5,0),"")</f>
        <v/>
      </c>
      <c r="J384" s="104"/>
    </row>
    <row r="385" spans="2:10" s="3" customFormat="1" ht="24" customHeight="1" x14ac:dyDescent="0.2">
      <c r="B385" s="74"/>
      <c r="C385" s="75"/>
      <c r="D385" s="76"/>
      <c r="E385" s="77"/>
      <c r="F385" s="78" t="str">
        <f>IFERROR(VLOOKUP($E385,設定!$C:$G,2,0),"")</f>
        <v/>
      </c>
      <c r="G385" s="78" t="str">
        <f>IFERROR(VLOOKUP($E385,設定!$C:$G,3,0),"")</f>
        <v/>
      </c>
      <c r="H385" s="78" t="str">
        <f>IFERROR(VLOOKUP($E385,設定!$C:$G,4,0),"")</f>
        <v/>
      </c>
      <c r="I385" s="78" t="str">
        <f>IFERROR(VLOOKUP($E385,設定!$C:$G,5,0),"")</f>
        <v/>
      </c>
      <c r="J385" s="104"/>
    </row>
    <row r="386" spans="2:10" s="3" customFormat="1" ht="24" customHeight="1" x14ac:dyDescent="0.2">
      <c r="B386" s="74"/>
      <c r="C386" s="75"/>
      <c r="D386" s="76"/>
      <c r="E386" s="77"/>
      <c r="F386" s="78" t="str">
        <f>IFERROR(VLOOKUP($E386,設定!$C:$G,2,0),"")</f>
        <v/>
      </c>
      <c r="G386" s="78" t="str">
        <f>IFERROR(VLOOKUP($E386,設定!$C:$G,3,0),"")</f>
        <v/>
      </c>
      <c r="H386" s="78" t="str">
        <f>IFERROR(VLOOKUP($E386,設定!$C:$G,4,0),"")</f>
        <v/>
      </c>
      <c r="I386" s="78" t="str">
        <f>IFERROR(VLOOKUP($E386,設定!$C:$G,5,0),"")</f>
        <v/>
      </c>
      <c r="J386" s="104"/>
    </row>
    <row r="387" spans="2:10" s="3" customFormat="1" ht="24" customHeight="1" x14ac:dyDescent="0.2">
      <c r="B387" s="74"/>
      <c r="C387" s="75"/>
      <c r="D387" s="76"/>
      <c r="E387" s="77"/>
      <c r="F387" s="78" t="str">
        <f>IFERROR(VLOOKUP($E387,設定!$C:$G,2,0),"")</f>
        <v/>
      </c>
      <c r="G387" s="78" t="str">
        <f>IFERROR(VLOOKUP($E387,設定!$C:$G,3,0),"")</f>
        <v/>
      </c>
      <c r="H387" s="78" t="str">
        <f>IFERROR(VLOOKUP($E387,設定!$C:$G,4,0),"")</f>
        <v/>
      </c>
      <c r="I387" s="78" t="str">
        <f>IFERROR(VLOOKUP($E387,設定!$C:$G,5,0),"")</f>
        <v/>
      </c>
      <c r="J387" s="104"/>
    </row>
    <row r="388" spans="2:10" s="3" customFormat="1" ht="24" customHeight="1" x14ac:dyDescent="0.2">
      <c r="B388" s="74"/>
      <c r="C388" s="75"/>
      <c r="D388" s="76"/>
      <c r="E388" s="77"/>
      <c r="F388" s="78" t="str">
        <f>IFERROR(VLOOKUP($E388,設定!$C:$G,2,0),"")</f>
        <v/>
      </c>
      <c r="G388" s="78" t="str">
        <f>IFERROR(VLOOKUP($E388,設定!$C:$G,3,0),"")</f>
        <v/>
      </c>
      <c r="H388" s="78" t="str">
        <f>IFERROR(VLOOKUP($E388,設定!$C:$G,4,0),"")</f>
        <v/>
      </c>
      <c r="I388" s="78" t="str">
        <f>IFERROR(VLOOKUP($E388,設定!$C:$G,5,0),"")</f>
        <v/>
      </c>
      <c r="J388" s="104"/>
    </row>
    <row r="389" spans="2:10" s="3" customFormat="1" ht="24" customHeight="1" x14ac:dyDescent="0.2">
      <c r="B389" s="74"/>
      <c r="C389" s="75"/>
      <c r="D389" s="76"/>
      <c r="E389" s="77"/>
      <c r="F389" s="78" t="str">
        <f>IFERROR(VLOOKUP($E389,設定!$C:$G,2,0),"")</f>
        <v/>
      </c>
      <c r="G389" s="78" t="str">
        <f>IFERROR(VLOOKUP($E389,設定!$C:$G,3,0),"")</f>
        <v/>
      </c>
      <c r="H389" s="78" t="str">
        <f>IFERROR(VLOOKUP($E389,設定!$C:$G,4,0),"")</f>
        <v/>
      </c>
      <c r="I389" s="78" t="str">
        <f>IFERROR(VLOOKUP($E389,設定!$C:$G,5,0),"")</f>
        <v/>
      </c>
      <c r="J389" s="104"/>
    </row>
    <row r="390" spans="2:10" s="3" customFormat="1" ht="24" customHeight="1" x14ac:dyDescent="0.2">
      <c r="B390" s="74"/>
      <c r="C390" s="75"/>
      <c r="D390" s="76"/>
      <c r="E390" s="77"/>
      <c r="F390" s="78" t="str">
        <f>IFERROR(VLOOKUP($E390,設定!$C:$G,2,0),"")</f>
        <v/>
      </c>
      <c r="G390" s="78" t="str">
        <f>IFERROR(VLOOKUP($E390,設定!$C:$G,3,0),"")</f>
        <v/>
      </c>
      <c r="H390" s="78" t="str">
        <f>IFERROR(VLOOKUP($E390,設定!$C:$G,4,0),"")</f>
        <v/>
      </c>
      <c r="I390" s="78" t="str">
        <f>IFERROR(VLOOKUP($E390,設定!$C:$G,5,0),"")</f>
        <v/>
      </c>
      <c r="J390" s="104"/>
    </row>
    <row r="391" spans="2:10" s="3" customFormat="1" ht="24" customHeight="1" x14ac:dyDescent="0.2">
      <c r="B391" s="74"/>
      <c r="C391" s="75"/>
      <c r="D391" s="76"/>
      <c r="E391" s="77"/>
      <c r="F391" s="78" t="str">
        <f>IFERROR(VLOOKUP($E391,設定!$C:$G,2,0),"")</f>
        <v/>
      </c>
      <c r="G391" s="78" t="str">
        <f>IFERROR(VLOOKUP($E391,設定!$C:$G,3,0),"")</f>
        <v/>
      </c>
      <c r="H391" s="78" t="str">
        <f>IFERROR(VLOOKUP($E391,設定!$C:$G,4,0),"")</f>
        <v/>
      </c>
      <c r="I391" s="78" t="str">
        <f>IFERROR(VLOOKUP($E391,設定!$C:$G,5,0),"")</f>
        <v/>
      </c>
      <c r="J391" s="104"/>
    </row>
    <row r="392" spans="2:10" s="3" customFormat="1" ht="24" customHeight="1" x14ac:dyDescent="0.2">
      <c r="B392" s="74"/>
      <c r="C392" s="75"/>
      <c r="D392" s="76"/>
      <c r="E392" s="77"/>
      <c r="F392" s="78" t="str">
        <f>IFERROR(VLOOKUP($E392,設定!$C:$G,2,0),"")</f>
        <v/>
      </c>
      <c r="G392" s="78" t="str">
        <f>IFERROR(VLOOKUP($E392,設定!$C:$G,3,0),"")</f>
        <v/>
      </c>
      <c r="H392" s="78" t="str">
        <f>IFERROR(VLOOKUP($E392,設定!$C:$G,4,0),"")</f>
        <v/>
      </c>
      <c r="I392" s="78" t="str">
        <f>IFERROR(VLOOKUP($E392,設定!$C:$G,5,0),"")</f>
        <v/>
      </c>
      <c r="J392" s="104"/>
    </row>
    <row r="393" spans="2:10" s="3" customFormat="1" ht="24" customHeight="1" x14ac:dyDescent="0.2">
      <c r="B393" s="74"/>
      <c r="C393" s="75"/>
      <c r="D393" s="76"/>
      <c r="E393" s="77"/>
      <c r="F393" s="78" t="str">
        <f>IFERROR(VLOOKUP($E393,設定!$C:$G,2,0),"")</f>
        <v/>
      </c>
      <c r="G393" s="78" t="str">
        <f>IFERROR(VLOOKUP($E393,設定!$C:$G,3,0),"")</f>
        <v/>
      </c>
      <c r="H393" s="78" t="str">
        <f>IFERROR(VLOOKUP($E393,設定!$C:$G,4,0),"")</f>
        <v/>
      </c>
      <c r="I393" s="78" t="str">
        <f>IFERROR(VLOOKUP($E393,設定!$C:$G,5,0),"")</f>
        <v/>
      </c>
      <c r="J393" s="104"/>
    </row>
    <row r="394" spans="2:10" s="3" customFormat="1" ht="24" customHeight="1" x14ac:dyDescent="0.2">
      <c r="B394" s="74"/>
      <c r="C394" s="75"/>
      <c r="D394" s="76"/>
      <c r="E394" s="77"/>
      <c r="F394" s="78" t="str">
        <f>IFERROR(VLOOKUP($E394,設定!$C:$G,2,0),"")</f>
        <v/>
      </c>
      <c r="G394" s="78" t="str">
        <f>IFERROR(VLOOKUP($E394,設定!$C:$G,3,0),"")</f>
        <v/>
      </c>
      <c r="H394" s="78" t="str">
        <f>IFERROR(VLOOKUP($E394,設定!$C:$G,4,0),"")</f>
        <v/>
      </c>
      <c r="I394" s="78" t="str">
        <f>IFERROR(VLOOKUP($E394,設定!$C:$G,5,0),"")</f>
        <v/>
      </c>
      <c r="J394" s="104"/>
    </row>
    <row r="395" spans="2:10" s="3" customFormat="1" ht="24" customHeight="1" x14ac:dyDescent="0.2">
      <c r="B395" s="74"/>
      <c r="C395" s="75"/>
      <c r="D395" s="76"/>
      <c r="E395" s="77"/>
      <c r="F395" s="78" t="str">
        <f>IFERROR(VLOOKUP($E395,設定!$C:$G,2,0),"")</f>
        <v/>
      </c>
      <c r="G395" s="78" t="str">
        <f>IFERROR(VLOOKUP($E395,設定!$C:$G,3,0),"")</f>
        <v/>
      </c>
      <c r="H395" s="78" t="str">
        <f>IFERROR(VLOOKUP($E395,設定!$C:$G,4,0),"")</f>
        <v/>
      </c>
      <c r="I395" s="78" t="str">
        <f>IFERROR(VLOOKUP($E395,設定!$C:$G,5,0),"")</f>
        <v/>
      </c>
      <c r="J395" s="104"/>
    </row>
    <row r="396" spans="2:10" s="3" customFormat="1" ht="24" customHeight="1" x14ac:dyDescent="0.2">
      <c r="B396" s="74"/>
      <c r="C396" s="75"/>
      <c r="D396" s="76"/>
      <c r="E396" s="77"/>
      <c r="F396" s="78" t="str">
        <f>IFERROR(VLOOKUP($E396,設定!$C:$G,2,0),"")</f>
        <v/>
      </c>
      <c r="G396" s="78" t="str">
        <f>IFERROR(VLOOKUP($E396,設定!$C:$G,3,0),"")</f>
        <v/>
      </c>
      <c r="H396" s="78" t="str">
        <f>IFERROR(VLOOKUP($E396,設定!$C:$G,4,0),"")</f>
        <v/>
      </c>
      <c r="I396" s="78" t="str">
        <f>IFERROR(VLOOKUP($E396,設定!$C:$G,5,0),"")</f>
        <v/>
      </c>
      <c r="J396" s="104"/>
    </row>
    <row r="397" spans="2:10" s="3" customFormat="1" ht="24" customHeight="1" x14ac:dyDescent="0.2">
      <c r="B397" s="74"/>
      <c r="C397" s="75"/>
      <c r="D397" s="76"/>
      <c r="E397" s="77"/>
      <c r="F397" s="78" t="str">
        <f>IFERROR(VLOOKUP($E397,設定!$C:$G,2,0),"")</f>
        <v/>
      </c>
      <c r="G397" s="78" t="str">
        <f>IFERROR(VLOOKUP($E397,設定!$C:$G,3,0),"")</f>
        <v/>
      </c>
      <c r="H397" s="78" t="str">
        <f>IFERROR(VLOOKUP($E397,設定!$C:$G,4,0),"")</f>
        <v/>
      </c>
      <c r="I397" s="78" t="str">
        <f>IFERROR(VLOOKUP($E397,設定!$C:$G,5,0),"")</f>
        <v/>
      </c>
      <c r="J397" s="104"/>
    </row>
    <row r="398" spans="2:10" s="3" customFormat="1" ht="24" customHeight="1" x14ac:dyDescent="0.2">
      <c r="B398" s="74"/>
      <c r="C398" s="75"/>
      <c r="D398" s="76"/>
      <c r="E398" s="77"/>
      <c r="F398" s="78" t="str">
        <f>IFERROR(VLOOKUP($E398,設定!$C:$G,2,0),"")</f>
        <v/>
      </c>
      <c r="G398" s="78" t="str">
        <f>IFERROR(VLOOKUP($E398,設定!$C:$G,3,0),"")</f>
        <v/>
      </c>
      <c r="H398" s="78" t="str">
        <f>IFERROR(VLOOKUP($E398,設定!$C:$G,4,0),"")</f>
        <v/>
      </c>
      <c r="I398" s="78" t="str">
        <f>IFERROR(VLOOKUP($E398,設定!$C:$G,5,0),"")</f>
        <v/>
      </c>
      <c r="J398" s="104"/>
    </row>
    <row r="399" spans="2:10" s="3" customFormat="1" ht="24" customHeight="1" x14ac:dyDescent="0.2">
      <c r="B399" s="74"/>
      <c r="C399" s="75"/>
      <c r="D399" s="76"/>
      <c r="E399" s="77"/>
      <c r="F399" s="78" t="str">
        <f>IFERROR(VLOOKUP($E399,設定!$C:$G,2,0),"")</f>
        <v/>
      </c>
      <c r="G399" s="78" t="str">
        <f>IFERROR(VLOOKUP($E399,設定!$C:$G,3,0),"")</f>
        <v/>
      </c>
      <c r="H399" s="78" t="str">
        <f>IFERROR(VLOOKUP($E399,設定!$C:$G,4,0),"")</f>
        <v/>
      </c>
      <c r="I399" s="78" t="str">
        <f>IFERROR(VLOOKUP($E399,設定!$C:$G,5,0),"")</f>
        <v/>
      </c>
      <c r="J399" s="104"/>
    </row>
    <row r="400" spans="2:10" s="3" customFormat="1" ht="24" customHeight="1" x14ac:dyDescent="0.2">
      <c r="B400" s="74"/>
      <c r="C400" s="75"/>
      <c r="D400" s="76"/>
      <c r="E400" s="77"/>
      <c r="F400" s="78" t="str">
        <f>IFERROR(VLOOKUP($E400,設定!$C:$G,2,0),"")</f>
        <v/>
      </c>
      <c r="G400" s="78" t="str">
        <f>IFERROR(VLOOKUP($E400,設定!$C:$G,3,0),"")</f>
        <v/>
      </c>
      <c r="H400" s="78" t="str">
        <f>IFERROR(VLOOKUP($E400,設定!$C:$G,4,0),"")</f>
        <v/>
      </c>
      <c r="I400" s="78" t="str">
        <f>IFERROR(VLOOKUP($E400,設定!$C:$G,5,0),"")</f>
        <v/>
      </c>
      <c r="J400" s="104"/>
    </row>
    <row r="401" spans="2:10" s="3" customFormat="1" ht="24" customHeight="1" x14ac:dyDescent="0.2">
      <c r="B401" s="74"/>
      <c r="C401" s="75"/>
      <c r="D401" s="76"/>
      <c r="E401" s="77"/>
      <c r="F401" s="78" t="str">
        <f>IFERROR(VLOOKUP($E401,設定!$C:$G,2,0),"")</f>
        <v/>
      </c>
      <c r="G401" s="78" t="str">
        <f>IFERROR(VLOOKUP($E401,設定!$C:$G,3,0),"")</f>
        <v/>
      </c>
      <c r="H401" s="78" t="str">
        <f>IFERROR(VLOOKUP($E401,設定!$C:$G,4,0),"")</f>
        <v/>
      </c>
      <c r="I401" s="78" t="str">
        <f>IFERROR(VLOOKUP($E401,設定!$C:$G,5,0),"")</f>
        <v/>
      </c>
      <c r="J401" s="104"/>
    </row>
    <row r="402" spans="2:10" s="3" customFormat="1" ht="24" customHeight="1" x14ac:dyDescent="0.2">
      <c r="B402" s="74"/>
      <c r="C402" s="75"/>
      <c r="D402" s="76"/>
      <c r="E402" s="77"/>
      <c r="F402" s="78" t="str">
        <f>IFERROR(VLOOKUP($E402,設定!$C:$G,2,0),"")</f>
        <v/>
      </c>
      <c r="G402" s="78" t="str">
        <f>IFERROR(VLOOKUP($E402,設定!$C:$G,3,0),"")</f>
        <v/>
      </c>
      <c r="H402" s="78" t="str">
        <f>IFERROR(VLOOKUP($E402,設定!$C:$G,4,0),"")</f>
        <v/>
      </c>
      <c r="I402" s="78" t="str">
        <f>IFERROR(VLOOKUP($E402,設定!$C:$G,5,0),"")</f>
        <v/>
      </c>
      <c r="J402" s="104"/>
    </row>
    <row r="403" spans="2:10" s="3" customFormat="1" ht="24" customHeight="1" x14ac:dyDescent="0.2">
      <c r="B403" s="74"/>
      <c r="C403" s="75"/>
      <c r="D403" s="76"/>
      <c r="E403" s="77"/>
      <c r="F403" s="78" t="str">
        <f>IFERROR(VLOOKUP($E403,設定!$C:$G,2,0),"")</f>
        <v/>
      </c>
      <c r="G403" s="78" t="str">
        <f>IFERROR(VLOOKUP($E403,設定!$C:$G,3,0),"")</f>
        <v/>
      </c>
      <c r="H403" s="78" t="str">
        <f>IFERROR(VLOOKUP($E403,設定!$C:$G,4,0),"")</f>
        <v/>
      </c>
      <c r="I403" s="78" t="str">
        <f>IFERROR(VLOOKUP($E403,設定!$C:$G,5,0),"")</f>
        <v/>
      </c>
      <c r="J403" s="104"/>
    </row>
    <row r="404" spans="2:10" s="3" customFormat="1" ht="24" customHeight="1" x14ac:dyDescent="0.2">
      <c r="B404" s="74"/>
      <c r="C404" s="75"/>
      <c r="D404" s="76"/>
      <c r="E404" s="77"/>
      <c r="F404" s="78" t="str">
        <f>IFERROR(VLOOKUP($E404,設定!$C:$G,2,0),"")</f>
        <v/>
      </c>
      <c r="G404" s="78" t="str">
        <f>IFERROR(VLOOKUP($E404,設定!$C:$G,3,0),"")</f>
        <v/>
      </c>
      <c r="H404" s="78" t="str">
        <f>IFERROR(VLOOKUP($E404,設定!$C:$G,4,0),"")</f>
        <v/>
      </c>
      <c r="I404" s="78" t="str">
        <f>IFERROR(VLOOKUP($E404,設定!$C:$G,5,0),"")</f>
        <v/>
      </c>
      <c r="J404" s="104"/>
    </row>
    <row r="405" spans="2:10" s="3" customFormat="1" ht="24" customHeight="1" x14ac:dyDescent="0.2">
      <c r="B405" s="74"/>
      <c r="C405" s="75"/>
      <c r="D405" s="76"/>
      <c r="E405" s="77"/>
      <c r="F405" s="78" t="str">
        <f>IFERROR(VLOOKUP($E405,設定!$C:$G,2,0),"")</f>
        <v/>
      </c>
      <c r="G405" s="78" t="str">
        <f>IFERROR(VLOOKUP($E405,設定!$C:$G,3,0),"")</f>
        <v/>
      </c>
      <c r="H405" s="78" t="str">
        <f>IFERROR(VLOOKUP($E405,設定!$C:$G,4,0),"")</f>
        <v/>
      </c>
      <c r="I405" s="78" t="str">
        <f>IFERROR(VLOOKUP($E405,設定!$C:$G,5,0),"")</f>
        <v/>
      </c>
      <c r="J405" s="104"/>
    </row>
    <row r="406" spans="2:10" s="3" customFormat="1" ht="24" customHeight="1" x14ac:dyDescent="0.2">
      <c r="B406" s="74"/>
      <c r="C406" s="75"/>
      <c r="D406" s="76"/>
      <c r="E406" s="77"/>
      <c r="F406" s="78" t="str">
        <f>IFERROR(VLOOKUP($E406,設定!$C:$G,2,0),"")</f>
        <v/>
      </c>
      <c r="G406" s="78" t="str">
        <f>IFERROR(VLOOKUP($E406,設定!$C:$G,3,0),"")</f>
        <v/>
      </c>
      <c r="H406" s="78" t="str">
        <f>IFERROR(VLOOKUP($E406,設定!$C:$G,4,0),"")</f>
        <v/>
      </c>
      <c r="I406" s="78" t="str">
        <f>IFERROR(VLOOKUP($E406,設定!$C:$G,5,0),"")</f>
        <v/>
      </c>
      <c r="J406" s="104"/>
    </row>
    <row r="407" spans="2:10" s="3" customFormat="1" ht="24" customHeight="1" x14ac:dyDescent="0.2">
      <c r="B407" s="74"/>
      <c r="C407" s="75"/>
      <c r="D407" s="76"/>
      <c r="E407" s="77"/>
      <c r="F407" s="78" t="str">
        <f>IFERROR(VLOOKUP($E407,設定!$C:$G,2,0),"")</f>
        <v/>
      </c>
      <c r="G407" s="78" t="str">
        <f>IFERROR(VLOOKUP($E407,設定!$C:$G,3,0),"")</f>
        <v/>
      </c>
      <c r="H407" s="78" t="str">
        <f>IFERROR(VLOOKUP($E407,設定!$C:$G,4,0),"")</f>
        <v/>
      </c>
      <c r="I407" s="78" t="str">
        <f>IFERROR(VLOOKUP($E407,設定!$C:$G,5,0),"")</f>
        <v/>
      </c>
      <c r="J407" s="104"/>
    </row>
    <row r="408" spans="2:10" s="3" customFormat="1" ht="24" customHeight="1" x14ac:dyDescent="0.2">
      <c r="B408" s="74"/>
      <c r="C408" s="75"/>
      <c r="D408" s="76"/>
      <c r="E408" s="77"/>
      <c r="F408" s="78" t="str">
        <f>IFERROR(VLOOKUP($E408,設定!$C:$G,2,0),"")</f>
        <v/>
      </c>
      <c r="G408" s="78" t="str">
        <f>IFERROR(VLOOKUP($E408,設定!$C:$G,3,0),"")</f>
        <v/>
      </c>
      <c r="H408" s="78" t="str">
        <f>IFERROR(VLOOKUP($E408,設定!$C:$G,4,0),"")</f>
        <v/>
      </c>
      <c r="I408" s="78" t="str">
        <f>IFERROR(VLOOKUP($E408,設定!$C:$G,5,0),"")</f>
        <v/>
      </c>
      <c r="J408" s="104"/>
    </row>
    <row r="409" spans="2:10" s="3" customFormat="1" ht="24" customHeight="1" x14ac:dyDescent="0.2">
      <c r="B409" s="74"/>
      <c r="C409" s="75"/>
      <c r="D409" s="76"/>
      <c r="E409" s="77"/>
      <c r="F409" s="78" t="str">
        <f>IFERROR(VLOOKUP($E409,設定!$C:$G,2,0),"")</f>
        <v/>
      </c>
      <c r="G409" s="78" t="str">
        <f>IFERROR(VLOOKUP($E409,設定!$C:$G,3,0),"")</f>
        <v/>
      </c>
      <c r="H409" s="78" t="str">
        <f>IFERROR(VLOOKUP($E409,設定!$C:$G,4,0),"")</f>
        <v/>
      </c>
      <c r="I409" s="78" t="str">
        <f>IFERROR(VLOOKUP($E409,設定!$C:$G,5,0),"")</f>
        <v/>
      </c>
      <c r="J409" s="104"/>
    </row>
    <row r="410" spans="2:10" s="3" customFormat="1" ht="24" customHeight="1" x14ac:dyDescent="0.2">
      <c r="B410" s="74"/>
      <c r="C410" s="75"/>
      <c r="D410" s="76"/>
      <c r="E410" s="77"/>
      <c r="F410" s="78" t="str">
        <f>IFERROR(VLOOKUP($E410,設定!$C:$G,2,0),"")</f>
        <v/>
      </c>
      <c r="G410" s="78" t="str">
        <f>IFERROR(VLOOKUP($E410,設定!$C:$G,3,0),"")</f>
        <v/>
      </c>
      <c r="H410" s="78" t="str">
        <f>IFERROR(VLOOKUP($E410,設定!$C:$G,4,0),"")</f>
        <v/>
      </c>
      <c r="I410" s="78" t="str">
        <f>IFERROR(VLOOKUP($E410,設定!$C:$G,5,0),"")</f>
        <v/>
      </c>
      <c r="J410" s="104"/>
    </row>
    <row r="411" spans="2:10" s="3" customFormat="1" ht="24" customHeight="1" x14ac:dyDescent="0.2">
      <c r="B411" s="74"/>
      <c r="C411" s="75"/>
      <c r="D411" s="76"/>
      <c r="E411" s="77"/>
      <c r="F411" s="78" t="str">
        <f>IFERROR(VLOOKUP($E411,設定!$C:$G,2,0),"")</f>
        <v/>
      </c>
      <c r="G411" s="78" t="str">
        <f>IFERROR(VLOOKUP($E411,設定!$C:$G,3,0),"")</f>
        <v/>
      </c>
      <c r="H411" s="78" t="str">
        <f>IFERROR(VLOOKUP($E411,設定!$C:$G,4,0),"")</f>
        <v/>
      </c>
      <c r="I411" s="78" t="str">
        <f>IFERROR(VLOOKUP($E411,設定!$C:$G,5,0),"")</f>
        <v/>
      </c>
      <c r="J411" s="104"/>
    </row>
    <row r="412" spans="2:10" s="3" customFormat="1" ht="24" customHeight="1" x14ac:dyDescent="0.2">
      <c r="B412" s="74"/>
      <c r="C412" s="75"/>
      <c r="D412" s="76"/>
      <c r="E412" s="77"/>
      <c r="F412" s="78" t="str">
        <f>IFERROR(VLOOKUP($E412,設定!$C:$G,2,0),"")</f>
        <v/>
      </c>
      <c r="G412" s="78" t="str">
        <f>IFERROR(VLOOKUP($E412,設定!$C:$G,3,0),"")</f>
        <v/>
      </c>
      <c r="H412" s="78" t="str">
        <f>IFERROR(VLOOKUP($E412,設定!$C:$G,4,0),"")</f>
        <v/>
      </c>
      <c r="I412" s="78" t="str">
        <f>IFERROR(VLOOKUP($E412,設定!$C:$G,5,0),"")</f>
        <v/>
      </c>
      <c r="J412" s="104"/>
    </row>
    <row r="413" spans="2:10" s="3" customFormat="1" ht="24" customHeight="1" x14ac:dyDescent="0.2">
      <c r="B413" s="74"/>
      <c r="C413" s="75"/>
      <c r="D413" s="76"/>
      <c r="E413" s="77"/>
      <c r="F413" s="78" t="str">
        <f>IFERROR(VLOOKUP($E413,設定!$C:$G,2,0),"")</f>
        <v/>
      </c>
      <c r="G413" s="78" t="str">
        <f>IFERROR(VLOOKUP($E413,設定!$C:$G,3,0),"")</f>
        <v/>
      </c>
      <c r="H413" s="78" t="str">
        <f>IFERROR(VLOOKUP($E413,設定!$C:$G,4,0),"")</f>
        <v/>
      </c>
      <c r="I413" s="78" t="str">
        <f>IFERROR(VLOOKUP($E413,設定!$C:$G,5,0),"")</f>
        <v/>
      </c>
      <c r="J413" s="104"/>
    </row>
    <row r="414" spans="2:10" s="3" customFormat="1" ht="24" customHeight="1" x14ac:dyDescent="0.2">
      <c r="B414" s="74"/>
      <c r="C414" s="75"/>
      <c r="D414" s="76"/>
      <c r="E414" s="77"/>
      <c r="F414" s="78" t="str">
        <f>IFERROR(VLOOKUP($E414,設定!$C:$G,2,0),"")</f>
        <v/>
      </c>
      <c r="G414" s="78" t="str">
        <f>IFERROR(VLOOKUP($E414,設定!$C:$G,3,0),"")</f>
        <v/>
      </c>
      <c r="H414" s="78" t="str">
        <f>IFERROR(VLOOKUP($E414,設定!$C:$G,4,0),"")</f>
        <v/>
      </c>
      <c r="I414" s="78" t="str">
        <f>IFERROR(VLOOKUP($E414,設定!$C:$G,5,0),"")</f>
        <v/>
      </c>
      <c r="J414" s="104"/>
    </row>
    <row r="415" spans="2:10" s="3" customFormat="1" ht="24" customHeight="1" x14ac:dyDescent="0.2">
      <c r="B415" s="74"/>
      <c r="C415" s="75"/>
      <c r="D415" s="76"/>
      <c r="E415" s="77"/>
      <c r="F415" s="78" t="str">
        <f>IFERROR(VLOOKUP($E415,設定!$C:$G,2,0),"")</f>
        <v/>
      </c>
      <c r="G415" s="78" t="str">
        <f>IFERROR(VLOOKUP($E415,設定!$C:$G,3,0),"")</f>
        <v/>
      </c>
      <c r="H415" s="78" t="str">
        <f>IFERROR(VLOOKUP($E415,設定!$C:$G,4,0),"")</f>
        <v/>
      </c>
      <c r="I415" s="78" t="str">
        <f>IFERROR(VLOOKUP($E415,設定!$C:$G,5,0),"")</f>
        <v/>
      </c>
      <c r="J415" s="104"/>
    </row>
    <row r="416" spans="2:10" s="3" customFormat="1" ht="24" customHeight="1" x14ac:dyDescent="0.2">
      <c r="B416" s="74"/>
      <c r="C416" s="75"/>
      <c r="D416" s="76"/>
      <c r="E416" s="77"/>
      <c r="F416" s="78" t="str">
        <f>IFERROR(VLOOKUP($E416,設定!$C:$G,2,0),"")</f>
        <v/>
      </c>
      <c r="G416" s="78" t="str">
        <f>IFERROR(VLOOKUP($E416,設定!$C:$G,3,0),"")</f>
        <v/>
      </c>
      <c r="H416" s="78" t="str">
        <f>IFERROR(VLOOKUP($E416,設定!$C:$G,4,0),"")</f>
        <v/>
      </c>
      <c r="I416" s="78" t="str">
        <f>IFERROR(VLOOKUP($E416,設定!$C:$G,5,0),"")</f>
        <v/>
      </c>
      <c r="J416" s="104"/>
    </row>
    <row r="417" spans="2:10" s="3" customFormat="1" ht="24" customHeight="1" x14ac:dyDescent="0.2">
      <c r="B417" s="74"/>
      <c r="C417" s="75"/>
      <c r="D417" s="76"/>
      <c r="E417" s="77"/>
      <c r="F417" s="78" t="str">
        <f>IFERROR(VLOOKUP($E417,設定!$C:$G,2,0),"")</f>
        <v/>
      </c>
      <c r="G417" s="78" t="str">
        <f>IFERROR(VLOOKUP($E417,設定!$C:$G,3,0),"")</f>
        <v/>
      </c>
      <c r="H417" s="78" t="str">
        <f>IFERROR(VLOOKUP($E417,設定!$C:$G,4,0),"")</f>
        <v/>
      </c>
      <c r="I417" s="78" t="str">
        <f>IFERROR(VLOOKUP($E417,設定!$C:$G,5,0),"")</f>
        <v/>
      </c>
      <c r="J417" s="104"/>
    </row>
    <row r="418" spans="2:10" s="3" customFormat="1" ht="24" customHeight="1" x14ac:dyDescent="0.2">
      <c r="B418" s="74"/>
      <c r="C418" s="75"/>
      <c r="D418" s="76"/>
      <c r="E418" s="77"/>
      <c r="F418" s="78" t="str">
        <f>IFERROR(VLOOKUP($E418,設定!$C:$G,2,0),"")</f>
        <v/>
      </c>
      <c r="G418" s="78" t="str">
        <f>IFERROR(VLOOKUP($E418,設定!$C:$G,3,0),"")</f>
        <v/>
      </c>
      <c r="H418" s="78" t="str">
        <f>IFERROR(VLOOKUP($E418,設定!$C:$G,4,0),"")</f>
        <v/>
      </c>
      <c r="I418" s="78" t="str">
        <f>IFERROR(VLOOKUP($E418,設定!$C:$G,5,0),"")</f>
        <v/>
      </c>
      <c r="J418" s="104"/>
    </row>
    <row r="419" spans="2:10" s="3" customFormat="1" ht="24" customHeight="1" x14ac:dyDescent="0.2">
      <c r="B419" s="74"/>
      <c r="C419" s="75"/>
      <c r="D419" s="76"/>
      <c r="E419" s="77"/>
      <c r="F419" s="78" t="str">
        <f>IFERROR(VLOOKUP($E419,設定!$C:$G,2,0),"")</f>
        <v/>
      </c>
      <c r="G419" s="78" t="str">
        <f>IFERROR(VLOOKUP($E419,設定!$C:$G,3,0),"")</f>
        <v/>
      </c>
      <c r="H419" s="78" t="str">
        <f>IFERROR(VLOOKUP($E419,設定!$C:$G,4,0),"")</f>
        <v/>
      </c>
      <c r="I419" s="78" t="str">
        <f>IFERROR(VLOOKUP($E419,設定!$C:$G,5,0),"")</f>
        <v/>
      </c>
      <c r="J419" s="104"/>
    </row>
    <row r="420" spans="2:10" s="3" customFormat="1" ht="24" customHeight="1" x14ac:dyDescent="0.2">
      <c r="B420" s="74"/>
      <c r="C420" s="75"/>
      <c r="D420" s="76"/>
      <c r="E420" s="77"/>
      <c r="F420" s="78" t="str">
        <f>IFERROR(VLOOKUP($E420,設定!$C:$G,2,0),"")</f>
        <v/>
      </c>
      <c r="G420" s="78" t="str">
        <f>IFERROR(VLOOKUP($E420,設定!$C:$G,3,0),"")</f>
        <v/>
      </c>
      <c r="H420" s="78" t="str">
        <f>IFERROR(VLOOKUP($E420,設定!$C:$G,4,0),"")</f>
        <v/>
      </c>
      <c r="I420" s="78" t="str">
        <f>IFERROR(VLOOKUP($E420,設定!$C:$G,5,0),"")</f>
        <v/>
      </c>
      <c r="J420" s="104"/>
    </row>
    <row r="421" spans="2:10" s="3" customFormat="1" ht="24" customHeight="1" x14ac:dyDescent="0.2">
      <c r="B421" s="74"/>
      <c r="C421" s="75"/>
      <c r="D421" s="76"/>
      <c r="E421" s="77"/>
      <c r="F421" s="78" t="str">
        <f>IFERROR(VLOOKUP($E421,設定!$C:$G,2,0),"")</f>
        <v/>
      </c>
      <c r="G421" s="78" t="str">
        <f>IFERROR(VLOOKUP($E421,設定!$C:$G,3,0),"")</f>
        <v/>
      </c>
      <c r="H421" s="78" t="str">
        <f>IFERROR(VLOOKUP($E421,設定!$C:$G,4,0),"")</f>
        <v/>
      </c>
      <c r="I421" s="78" t="str">
        <f>IFERROR(VLOOKUP($E421,設定!$C:$G,5,0),"")</f>
        <v/>
      </c>
      <c r="J421" s="104"/>
    </row>
    <row r="422" spans="2:10" s="3" customFormat="1" ht="24" customHeight="1" x14ac:dyDescent="0.2">
      <c r="B422" s="74"/>
      <c r="C422" s="75"/>
      <c r="D422" s="76"/>
      <c r="E422" s="77"/>
      <c r="F422" s="78" t="str">
        <f>IFERROR(VLOOKUP($E422,設定!$C:$G,2,0),"")</f>
        <v/>
      </c>
      <c r="G422" s="78" t="str">
        <f>IFERROR(VLOOKUP($E422,設定!$C:$G,3,0),"")</f>
        <v/>
      </c>
      <c r="H422" s="78" t="str">
        <f>IFERROR(VLOOKUP($E422,設定!$C:$G,4,0),"")</f>
        <v/>
      </c>
      <c r="I422" s="78" t="str">
        <f>IFERROR(VLOOKUP($E422,設定!$C:$G,5,0),"")</f>
        <v/>
      </c>
      <c r="J422" s="104"/>
    </row>
    <row r="423" spans="2:10" s="3" customFormat="1" ht="24" customHeight="1" x14ac:dyDescent="0.2">
      <c r="B423" s="74"/>
      <c r="C423" s="75"/>
      <c r="D423" s="76"/>
      <c r="E423" s="77"/>
      <c r="F423" s="78" t="str">
        <f>IFERROR(VLOOKUP($E423,設定!$C:$G,2,0),"")</f>
        <v/>
      </c>
      <c r="G423" s="78" t="str">
        <f>IFERROR(VLOOKUP($E423,設定!$C:$G,3,0),"")</f>
        <v/>
      </c>
      <c r="H423" s="78" t="str">
        <f>IFERROR(VLOOKUP($E423,設定!$C:$G,4,0),"")</f>
        <v/>
      </c>
      <c r="I423" s="78" t="str">
        <f>IFERROR(VLOOKUP($E423,設定!$C:$G,5,0),"")</f>
        <v/>
      </c>
      <c r="J423" s="104"/>
    </row>
    <row r="424" spans="2:10" s="3" customFormat="1" ht="24" customHeight="1" x14ac:dyDescent="0.2">
      <c r="B424" s="74"/>
      <c r="C424" s="75"/>
      <c r="D424" s="76"/>
      <c r="E424" s="77"/>
      <c r="F424" s="78" t="str">
        <f>IFERROR(VLOOKUP($E424,設定!$C:$G,2,0),"")</f>
        <v/>
      </c>
      <c r="G424" s="78" t="str">
        <f>IFERROR(VLOOKUP($E424,設定!$C:$G,3,0),"")</f>
        <v/>
      </c>
      <c r="H424" s="78" t="str">
        <f>IFERROR(VLOOKUP($E424,設定!$C:$G,4,0),"")</f>
        <v/>
      </c>
      <c r="I424" s="78" t="str">
        <f>IFERROR(VLOOKUP($E424,設定!$C:$G,5,0),"")</f>
        <v/>
      </c>
      <c r="J424" s="104"/>
    </row>
    <row r="425" spans="2:10" s="3" customFormat="1" ht="24" customHeight="1" x14ac:dyDescent="0.2">
      <c r="B425" s="74"/>
      <c r="C425" s="75"/>
      <c r="D425" s="76"/>
      <c r="E425" s="77"/>
      <c r="F425" s="78" t="str">
        <f>IFERROR(VLOOKUP($E425,設定!$C:$G,2,0),"")</f>
        <v/>
      </c>
      <c r="G425" s="78" t="str">
        <f>IFERROR(VLOOKUP($E425,設定!$C:$G,3,0),"")</f>
        <v/>
      </c>
      <c r="H425" s="78" t="str">
        <f>IFERROR(VLOOKUP($E425,設定!$C:$G,4,0),"")</f>
        <v/>
      </c>
      <c r="I425" s="78" t="str">
        <f>IFERROR(VLOOKUP($E425,設定!$C:$G,5,0),"")</f>
        <v/>
      </c>
      <c r="J425" s="104"/>
    </row>
    <row r="426" spans="2:10" s="3" customFormat="1" ht="24" customHeight="1" x14ac:dyDescent="0.2">
      <c r="B426" s="74"/>
      <c r="C426" s="75"/>
      <c r="D426" s="76"/>
      <c r="E426" s="77"/>
      <c r="F426" s="78" t="str">
        <f>IFERROR(VLOOKUP($E426,設定!$C:$G,2,0),"")</f>
        <v/>
      </c>
      <c r="G426" s="78" t="str">
        <f>IFERROR(VLOOKUP($E426,設定!$C:$G,3,0),"")</f>
        <v/>
      </c>
      <c r="H426" s="78" t="str">
        <f>IFERROR(VLOOKUP($E426,設定!$C:$G,4,0),"")</f>
        <v/>
      </c>
      <c r="I426" s="78" t="str">
        <f>IFERROR(VLOOKUP($E426,設定!$C:$G,5,0),"")</f>
        <v/>
      </c>
      <c r="J426" s="104"/>
    </row>
    <row r="427" spans="2:10" s="3" customFormat="1" ht="24" customHeight="1" x14ac:dyDescent="0.2">
      <c r="B427" s="74"/>
      <c r="C427" s="75"/>
      <c r="D427" s="76"/>
      <c r="E427" s="77"/>
      <c r="F427" s="78" t="str">
        <f>IFERROR(VLOOKUP($E427,設定!$C:$G,2,0),"")</f>
        <v/>
      </c>
      <c r="G427" s="78" t="str">
        <f>IFERROR(VLOOKUP($E427,設定!$C:$G,3,0),"")</f>
        <v/>
      </c>
      <c r="H427" s="78" t="str">
        <f>IFERROR(VLOOKUP($E427,設定!$C:$G,4,0),"")</f>
        <v/>
      </c>
      <c r="I427" s="78" t="str">
        <f>IFERROR(VLOOKUP($E427,設定!$C:$G,5,0),"")</f>
        <v/>
      </c>
      <c r="J427" s="104"/>
    </row>
    <row r="428" spans="2:10" s="3" customFormat="1" ht="24" customHeight="1" x14ac:dyDescent="0.2">
      <c r="B428" s="74"/>
      <c r="C428" s="75"/>
      <c r="D428" s="76"/>
      <c r="E428" s="77"/>
      <c r="F428" s="78" t="str">
        <f>IFERROR(VLOOKUP($E428,設定!$C:$G,2,0),"")</f>
        <v/>
      </c>
      <c r="G428" s="78" t="str">
        <f>IFERROR(VLOOKUP($E428,設定!$C:$G,3,0),"")</f>
        <v/>
      </c>
      <c r="H428" s="78" t="str">
        <f>IFERROR(VLOOKUP($E428,設定!$C:$G,4,0),"")</f>
        <v/>
      </c>
      <c r="I428" s="78" t="str">
        <f>IFERROR(VLOOKUP($E428,設定!$C:$G,5,0),"")</f>
        <v/>
      </c>
      <c r="J428" s="104"/>
    </row>
    <row r="429" spans="2:10" s="3" customFormat="1" ht="24" customHeight="1" x14ac:dyDescent="0.2">
      <c r="B429" s="74"/>
      <c r="C429" s="75"/>
      <c r="D429" s="76"/>
      <c r="E429" s="77"/>
      <c r="F429" s="78" t="str">
        <f>IFERROR(VLOOKUP($E429,設定!$C:$G,2,0),"")</f>
        <v/>
      </c>
      <c r="G429" s="78" t="str">
        <f>IFERROR(VLOOKUP($E429,設定!$C:$G,3,0),"")</f>
        <v/>
      </c>
      <c r="H429" s="78" t="str">
        <f>IFERROR(VLOOKUP($E429,設定!$C:$G,4,0),"")</f>
        <v/>
      </c>
      <c r="I429" s="78" t="str">
        <f>IFERROR(VLOOKUP($E429,設定!$C:$G,5,0),"")</f>
        <v/>
      </c>
      <c r="J429" s="104"/>
    </row>
    <row r="430" spans="2:10" s="3" customFormat="1" ht="24" customHeight="1" x14ac:dyDescent="0.2">
      <c r="B430" s="74"/>
      <c r="C430" s="75"/>
      <c r="D430" s="76"/>
      <c r="E430" s="77"/>
      <c r="F430" s="78" t="str">
        <f>IFERROR(VLOOKUP($E430,設定!$C:$G,2,0),"")</f>
        <v/>
      </c>
      <c r="G430" s="78" t="str">
        <f>IFERROR(VLOOKUP($E430,設定!$C:$G,3,0),"")</f>
        <v/>
      </c>
      <c r="H430" s="78" t="str">
        <f>IFERROR(VLOOKUP($E430,設定!$C:$G,4,0),"")</f>
        <v/>
      </c>
      <c r="I430" s="78" t="str">
        <f>IFERROR(VLOOKUP($E430,設定!$C:$G,5,0),"")</f>
        <v/>
      </c>
      <c r="J430" s="104"/>
    </row>
    <row r="431" spans="2:10" s="3" customFormat="1" ht="24" customHeight="1" x14ac:dyDescent="0.2">
      <c r="B431" s="74"/>
      <c r="C431" s="75"/>
      <c r="D431" s="76"/>
      <c r="E431" s="77"/>
      <c r="F431" s="78" t="str">
        <f>IFERROR(VLOOKUP($E431,設定!$C:$G,2,0),"")</f>
        <v/>
      </c>
      <c r="G431" s="78" t="str">
        <f>IFERROR(VLOOKUP($E431,設定!$C:$G,3,0),"")</f>
        <v/>
      </c>
      <c r="H431" s="78" t="str">
        <f>IFERROR(VLOOKUP($E431,設定!$C:$G,4,0),"")</f>
        <v/>
      </c>
      <c r="I431" s="78" t="str">
        <f>IFERROR(VLOOKUP($E431,設定!$C:$G,5,0),"")</f>
        <v/>
      </c>
      <c r="J431" s="104"/>
    </row>
    <row r="432" spans="2:10" s="3" customFormat="1" ht="24" customHeight="1" x14ac:dyDescent="0.2">
      <c r="B432" s="74"/>
      <c r="C432" s="75"/>
      <c r="D432" s="76"/>
      <c r="E432" s="77"/>
      <c r="F432" s="78" t="str">
        <f>IFERROR(VLOOKUP($E432,設定!$C:$G,2,0),"")</f>
        <v/>
      </c>
      <c r="G432" s="78" t="str">
        <f>IFERROR(VLOOKUP($E432,設定!$C:$G,3,0),"")</f>
        <v/>
      </c>
      <c r="H432" s="78" t="str">
        <f>IFERROR(VLOOKUP($E432,設定!$C:$G,4,0),"")</f>
        <v/>
      </c>
      <c r="I432" s="78" t="str">
        <f>IFERROR(VLOOKUP($E432,設定!$C:$G,5,0),"")</f>
        <v/>
      </c>
      <c r="J432" s="104"/>
    </row>
    <row r="433" spans="2:10" s="3" customFormat="1" ht="24" customHeight="1" x14ac:dyDescent="0.2">
      <c r="B433" s="74"/>
      <c r="C433" s="75"/>
      <c r="D433" s="76"/>
      <c r="E433" s="77"/>
      <c r="F433" s="78" t="str">
        <f>IFERROR(VLOOKUP($E433,設定!$C:$G,2,0),"")</f>
        <v/>
      </c>
      <c r="G433" s="78" t="str">
        <f>IFERROR(VLOOKUP($E433,設定!$C:$G,3,0),"")</f>
        <v/>
      </c>
      <c r="H433" s="78" t="str">
        <f>IFERROR(VLOOKUP($E433,設定!$C:$G,4,0),"")</f>
        <v/>
      </c>
      <c r="I433" s="78" t="str">
        <f>IFERROR(VLOOKUP($E433,設定!$C:$G,5,0),"")</f>
        <v/>
      </c>
      <c r="J433" s="104"/>
    </row>
    <row r="434" spans="2:10" s="3" customFormat="1" ht="24" customHeight="1" x14ac:dyDescent="0.2">
      <c r="B434" s="74"/>
      <c r="C434" s="75"/>
      <c r="D434" s="76"/>
      <c r="E434" s="77"/>
      <c r="F434" s="78" t="str">
        <f>IFERROR(VLOOKUP($E434,設定!$C:$G,2,0),"")</f>
        <v/>
      </c>
      <c r="G434" s="78" t="str">
        <f>IFERROR(VLOOKUP($E434,設定!$C:$G,3,0),"")</f>
        <v/>
      </c>
      <c r="H434" s="78" t="str">
        <f>IFERROR(VLOOKUP($E434,設定!$C:$G,4,0),"")</f>
        <v/>
      </c>
      <c r="I434" s="78" t="str">
        <f>IFERROR(VLOOKUP($E434,設定!$C:$G,5,0),"")</f>
        <v/>
      </c>
      <c r="J434" s="104"/>
    </row>
    <row r="435" spans="2:10" s="3" customFormat="1" ht="24" customHeight="1" x14ac:dyDescent="0.2">
      <c r="B435" s="74"/>
      <c r="C435" s="75"/>
      <c r="D435" s="76"/>
      <c r="E435" s="77"/>
      <c r="F435" s="78" t="str">
        <f>IFERROR(VLOOKUP($E435,設定!$C:$G,2,0),"")</f>
        <v/>
      </c>
      <c r="G435" s="78" t="str">
        <f>IFERROR(VLOOKUP($E435,設定!$C:$G,3,0),"")</f>
        <v/>
      </c>
      <c r="H435" s="78" t="str">
        <f>IFERROR(VLOOKUP($E435,設定!$C:$G,4,0),"")</f>
        <v/>
      </c>
      <c r="I435" s="78" t="str">
        <f>IFERROR(VLOOKUP($E435,設定!$C:$G,5,0),"")</f>
        <v/>
      </c>
      <c r="J435" s="104"/>
    </row>
    <row r="436" spans="2:10" s="3" customFormat="1" ht="24" customHeight="1" x14ac:dyDescent="0.2">
      <c r="B436" s="74"/>
      <c r="C436" s="75"/>
      <c r="D436" s="76"/>
      <c r="E436" s="77"/>
      <c r="F436" s="78" t="str">
        <f>IFERROR(VLOOKUP($E436,設定!$C:$G,2,0),"")</f>
        <v/>
      </c>
      <c r="G436" s="78" t="str">
        <f>IFERROR(VLOOKUP($E436,設定!$C:$G,3,0),"")</f>
        <v/>
      </c>
      <c r="H436" s="78" t="str">
        <f>IFERROR(VLOOKUP($E436,設定!$C:$G,4,0),"")</f>
        <v/>
      </c>
      <c r="I436" s="78" t="str">
        <f>IFERROR(VLOOKUP($E436,設定!$C:$G,5,0),"")</f>
        <v/>
      </c>
      <c r="J436" s="104"/>
    </row>
    <row r="437" spans="2:10" s="3" customFormat="1" ht="24" customHeight="1" x14ac:dyDescent="0.2">
      <c r="B437" s="74"/>
      <c r="C437" s="75"/>
      <c r="D437" s="76"/>
      <c r="E437" s="77"/>
      <c r="F437" s="78" t="str">
        <f>IFERROR(VLOOKUP($E437,設定!$C:$G,2,0),"")</f>
        <v/>
      </c>
      <c r="G437" s="78" t="str">
        <f>IFERROR(VLOOKUP($E437,設定!$C:$G,3,0),"")</f>
        <v/>
      </c>
      <c r="H437" s="78" t="str">
        <f>IFERROR(VLOOKUP($E437,設定!$C:$G,4,0),"")</f>
        <v/>
      </c>
      <c r="I437" s="78" t="str">
        <f>IFERROR(VLOOKUP($E437,設定!$C:$G,5,0),"")</f>
        <v/>
      </c>
      <c r="J437" s="104"/>
    </row>
    <row r="438" spans="2:10" s="3" customFormat="1" ht="24" customHeight="1" x14ac:dyDescent="0.2">
      <c r="B438" s="74"/>
      <c r="C438" s="75"/>
      <c r="D438" s="76"/>
      <c r="E438" s="77"/>
      <c r="F438" s="78" t="str">
        <f>IFERROR(VLOOKUP($E438,設定!$C:$G,2,0),"")</f>
        <v/>
      </c>
      <c r="G438" s="78" t="str">
        <f>IFERROR(VLOOKUP($E438,設定!$C:$G,3,0),"")</f>
        <v/>
      </c>
      <c r="H438" s="78" t="str">
        <f>IFERROR(VLOOKUP($E438,設定!$C:$G,4,0),"")</f>
        <v/>
      </c>
      <c r="I438" s="78" t="str">
        <f>IFERROR(VLOOKUP($E438,設定!$C:$G,5,0),"")</f>
        <v/>
      </c>
      <c r="J438" s="104"/>
    </row>
    <row r="439" spans="2:10" s="3" customFormat="1" ht="24" customHeight="1" x14ac:dyDescent="0.2">
      <c r="B439" s="74"/>
      <c r="C439" s="75"/>
      <c r="D439" s="76"/>
      <c r="E439" s="77"/>
      <c r="F439" s="78" t="str">
        <f>IFERROR(VLOOKUP($E439,設定!$C:$G,2,0),"")</f>
        <v/>
      </c>
      <c r="G439" s="78" t="str">
        <f>IFERROR(VLOOKUP($E439,設定!$C:$G,3,0),"")</f>
        <v/>
      </c>
      <c r="H439" s="78" t="str">
        <f>IFERROR(VLOOKUP($E439,設定!$C:$G,4,0),"")</f>
        <v/>
      </c>
      <c r="I439" s="78" t="str">
        <f>IFERROR(VLOOKUP($E439,設定!$C:$G,5,0),"")</f>
        <v/>
      </c>
      <c r="J439" s="104"/>
    </row>
    <row r="440" spans="2:10" s="3" customFormat="1" ht="24" customHeight="1" x14ac:dyDescent="0.2">
      <c r="B440" s="74"/>
      <c r="C440" s="75"/>
      <c r="D440" s="76"/>
      <c r="E440" s="77"/>
      <c r="F440" s="78" t="str">
        <f>IFERROR(VLOOKUP($E440,設定!$C:$G,2,0),"")</f>
        <v/>
      </c>
      <c r="G440" s="78" t="str">
        <f>IFERROR(VLOOKUP($E440,設定!$C:$G,3,0),"")</f>
        <v/>
      </c>
      <c r="H440" s="78" t="str">
        <f>IFERROR(VLOOKUP($E440,設定!$C:$G,4,0),"")</f>
        <v/>
      </c>
      <c r="I440" s="78" t="str">
        <f>IFERROR(VLOOKUP($E440,設定!$C:$G,5,0),"")</f>
        <v/>
      </c>
      <c r="J440" s="104"/>
    </row>
    <row r="441" spans="2:10" s="3" customFormat="1" ht="24" customHeight="1" x14ac:dyDescent="0.2">
      <c r="B441" s="74"/>
      <c r="C441" s="75"/>
      <c r="D441" s="76"/>
      <c r="E441" s="77"/>
      <c r="F441" s="78" t="str">
        <f>IFERROR(VLOOKUP($E441,設定!$C:$G,2,0),"")</f>
        <v/>
      </c>
      <c r="G441" s="78" t="str">
        <f>IFERROR(VLOOKUP($E441,設定!$C:$G,3,0),"")</f>
        <v/>
      </c>
      <c r="H441" s="78" t="str">
        <f>IFERROR(VLOOKUP($E441,設定!$C:$G,4,0),"")</f>
        <v/>
      </c>
      <c r="I441" s="78" t="str">
        <f>IFERROR(VLOOKUP($E441,設定!$C:$G,5,0),"")</f>
        <v/>
      </c>
      <c r="J441" s="104"/>
    </row>
    <row r="442" spans="2:10" s="3" customFormat="1" ht="24" customHeight="1" x14ac:dyDescent="0.2">
      <c r="B442" s="74"/>
      <c r="C442" s="75"/>
      <c r="D442" s="76"/>
      <c r="E442" s="77"/>
      <c r="F442" s="78" t="str">
        <f>IFERROR(VLOOKUP($E442,設定!$C:$G,2,0),"")</f>
        <v/>
      </c>
      <c r="G442" s="78" t="str">
        <f>IFERROR(VLOOKUP($E442,設定!$C:$G,3,0),"")</f>
        <v/>
      </c>
      <c r="H442" s="78" t="str">
        <f>IFERROR(VLOOKUP($E442,設定!$C:$G,4,0),"")</f>
        <v/>
      </c>
      <c r="I442" s="78" t="str">
        <f>IFERROR(VLOOKUP($E442,設定!$C:$G,5,0),"")</f>
        <v/>
      </c>
      <c r="J442" s="104"/>
    </row>
    <row r="443" spans="2:10" s="3" customFormat="1" ht="24" customHeight="1" x14ac:dyDescent="0.2">
      <c r="B443" s="74"/>
      <c r="C443" s="75"/>
      <c r="D443" s="76"/>
      <c r="E443" s="77"/>
      <c r="F443" s="78" t="str">
        <f>IFERROR(VLOOKUP($E443,設定!$C:$G,2,0),"")</f>
        <v/>
      </c>
      <c r="G443" s="78" t="str">
        <f>IFERROR(VLOOKUP($E443,設定!$C:$G,3,0),"")</f>
        <v/>
      </c>
      <c r="H443" s="78" t="str">
        <f>IFERROR(VLOOKUP($E443,設定!$C:$G,4,0),"")</f>
        <v/>
      </c>
      <c r="I443" s="78" t="str">
        <f>IFERROR(VLOOKUP($E443,設定!$C:$G,5,0),"")</f>
        <v/>
      </c>
      <c r="J443" s="104"/>
    </row>
    <row r="444" spans="2:10" s="3" customFormat="1" ht="24" customHeight="1" x14ac:dyDescent="0.2">
      <c r="B444" s="74"/>
      <c r="C444" s="75"/>
      <c r="D444" s="76"/>
      <c r="E444" s="77"/>
      <c r="F444" s="78" t="str">
        <f>IFERROR(VLOOKUP($E444,設定!$C:$G,2,0),"")</f>
        <v/>
      </c>
      <c r="G444" s="78" t="str">
        <f>IFERROR(VLOOKUP($E444,設定!$C:$G,3,0),"")</f>
        <v/>
      </c>
      <c r="H444" s="78" t="str">
        <f>IFERROR(VLOOKUP($E444,設定!$C:$G,4,0),"")</f>
        <v/>
      </c>
      <c r="I444" s="78" t="str">
        <f>IFERROR(VLOOKUP($E444,設定!$C:$G,5,0),"")</f>
        <v/>
      </c>
      <c r="J444" s="104"/>
    </row>
    <row r="445" spans="2:10" s="3" customFormat="1" ht="24" customHeight="1" x14ac:dyDescent="0.2">
      <c r="B445" s="74"/>
      <c r="C445" s="75"/>
      <c r="D445" s="76"/>
      <c r="E445" s="77"/>
      <c r="F445" s="78" t="str">
        <f>IFERROR(VLOOKUP($E445,設定!$C:$G,2,0),"")</f>
        <v/>
      </c>
      <c r="G445" s="78" t="str">
        <f>IFERROR(VLOOKUP($E445,設定!$C:$G,3,0),"")</f>
        <v/>
      </c>
      <c r="H445" s="78" t="str">
        <f>IFERROR(VLOOKUP($E445,設定!$C:$G,4,0),"")</f>
        <v/>
      </c>
      <c r="I445" s="78" t="str">
        <f>IFERROR(VLOOKUP($E445,設定!$C:$G,5,0),"")</f>
        <v/>
      </c>
      <c r="J445" s="104"/>
    </row>
    <row r="446" spans="2:10" s="3" customFormat="1" ht="24" customHeight="1" x14ac:dyDescent="0.2">
      <c r="B446" s="74"/>
      <c r="C446" s="75"/>
      <c r="D446" s="76"/>
      <c r="E446" s="77"/>
      <c r="F446" s="78" t="str">
        <f>IFERROR(VLOOKUP($E446,設定!$C:$G,2,0),"")</f>
        <v/>
      </c>
      <c r="G446" s="78" t="str">
        <f>IFERROR(VLOOKUP($E446,設定!$C:$G,3,0),"")</f>
        <v/>
      </c>
      <c r="H446" s="78" t="str">
        <f>IFERROR(VLOOKUP($E446,設定!$C:$G,4,0),"")</f>
        <v/>
      </c>
      <c r="I446" s="78" t="str">
        <f>IFERROR(VLOOKUP($E446,設定!$C:$G,5,0),"")</f>
        <v/>
      </c>
      <c r="J446" s="104"/>
    </row>
    <row r="447" spans="2:10" s="3" customFormat="1" ht="24" customHeight="1" x14ac:dyDescent="0.2">
      <c r="B447" s="74"/>
      <c r="C447" s="75"/>
      <c r="D447" s="76"/>
      <c r="E447" s="77"/>
      <c r="F447" s="78" t="str">
        <f>IFERROR(VLOOKUP($E447,設定!$C:$G,2,0),"")</f>
        <v/>
      </c>
      <c r="G447" s="78" t="str">
        <f>IFERROR(VLOOKUP($E447,設定!$C:$G,3,0),"")</f>
        <v/>
      </c>
      <c r="H447" s="78" t="str">
        <f>IFERROR(VLOOKUP($E447,設定!$C:$G,4,0),"")</f>
        <v/>
      </c>
      <c r="I447" s="78" t="str">
        <f>IFERROR(VLOOKUP($E447,設定!$C:$G,5,0),"")</f>
        <v/>
      </c>
      <c r="J447" s="104"/>
    </row>
    <row r="448" spans="2:10" s="3" customFormat="1" ht="24" customHeight="1" x14ac:dyDescent="0.2">
      <c r="B448" s="74"/>
      <c r="C448" s="75"/>
      <c r="D448" s="76"/>
      <c r="E448" s="77"/>
      <c r="F448" s="78" t="str">
        <f>IFERROR(VLOOKUP($E448,設定!$C:$G,2,0),"")</f>
        <v/>
      </c>
      <c r="G448" s="78" t="str">
        <f>IFERROR(VLOOKUP($E448,設定!$C:$G,3,0),"")</f>
        <v/>
      </c>
      <c r="H448" s="78" t="str">
        <f>IFERROR(VLOOKUP($E448,設定!$C:$G,4,0),"")</f>
        <v/>
      </c>
      <c r="I448" s="78" t="str">
        <f>IFERROR(VLOOKUP($E448,設定!$C:$G,5,0),"")</f>
        <v/>
      </c>
      <c r="J448" s="104"/>
    </row>
    <row r="449" spans="2:10" s="3" customFormat="1" ht="24" customHeight="1" x14ac:dyDescent="0.2">
      <c r="B449" s="74"/>
      <c r="C449" s="75"/>
      <c r="D449" s="76"/>
      <c r="E449" s="77"/>
      <c r="F449" s="78" t="str">
        <f>IFERROR(VLOOKUP($E449,設定!$C:$G,2,0),"")</f>
        <v/>
      </c>
      <c r="G449" s="78" t="str">
        <f>IFERROR(VLOOKUP($E449,設定!$C:$G,3,0),"")</f>
        <v/>
      </c>
      <c r="H449" s="78" t="str">
        <f>IFERROR(VLOOKUP($E449,設定!$C:$G,4,0),"")</f>
        <v/>
      </c>
      <c r="I449" s="78" t="str">
        <f>IFERROR(VLOOKUP($E449,設定!$C:$G,5,0),"")</f>
        <v/>
      </c>
      <c r="J449" s="104"/>
    </row>
    <row r="450" spans="2:10" s="3" customFormat="1" ht="24" customHeight="1" x14ac:dyDescent="0.2">
      <c r="B450" s="74"/>
      <c r="C450" s="75"/>
      <c r="D450" s="76"/>
      <c r="E450" s="77"/>
      <c r="F450" s="78" t="str">
        <f>IFERROR(VLOOKUP($E450,設定!$C:$G,2,0),"")</f>
        <v/>
      </c>
      <c r="G450" s="78" t="str">
        <f>IFERROR(VLOOKUP($E450,設定!$C:$G,3,0),"")</f>
        <v/>
      </c>
      <c r="H450" s="78" t="str">
        <f>IFERROR(VLOOKUP($E450,設定!$C:$G,4,0),"")</f>
        <v/>
      </c>
      <c r="I450" s="78" t="str">
        <f>IFERROR(VLOOKUP($E450,設定!$C:$G,5,0),"")</f>
        <v/>
      </c>
      <c r="J450" s="104"/>
    </row>
    <row r="451" spans="2:10" s="3" customFormat="1" ht="24" customHeight="1" x14ac:dyDescent="0.2">
      <c r="B451" s="74"/>
      <c r="C451" s="75"/>
      <c r="D451" s="76"/>
      <c r="E451" s="77"/>
      <c r="F451" s="78" t="str">
        <f>IFERROR(VLOOKUP($E451,設定!$C:$G,2,0),"")</f>
        <v/>
      </c>
      <c r="G451" s="78" t="str">
        <f>IFERROR(VLOOKUP($E451,設定!$C:$G,3,0),"")</f>
        <v/>
      </c>
      <c r="H451" s="78" t="str">
        <f>IFERROR(VLOOKUP($E451,設定!$C:$G,4,0),"")</f>
        <v/>
      </c>
      <c r="I451" s="78" t="str">
        <f>IFERROR(VLOOKUP($E451,設定!$C:$G,5,0),"")</f>
        <v/>
      </c>
      <c r="J451" s="104"/>
    </row>
    <row r="452" spans="2:10" s="3" customFormat="1" ht="24" customHeight="1" x14ac:dyDescent="0.2">
      <c r="B452" s="74"/>
      <c r="C452" s="75"/>
      <c r="D452" s="76"/>
      <c r="E452" s="77"/>
      <c r="F452" s="78" t="str">
        <f>IFERROR(VLOOKUP($E452,設定!$C:$G,2,0),"")</f>
        <v/>
      </c>
      <c r="G452" s="78" t="str">
        <f>IFERROR(VLOOKUP($E452,設定!$C:$G,3,0),"")</f>
        <v/>
      </c>
      <c r="H452" s="78" t="str">
        <f>IFERROR(VLOOKUP($E452,設定!$C:$G,4,0),"")</f>
        <v/>
      </c>
      <c r="I452" s="78" t="str">
        <f>IFERROR(VLOOKUP($E452,設定!$C:$G,5,0),"")</f>
        <v/>
      </c>
      <c r="J452" s="104"/>
    </row>
    <row r="453" spans="2:10" s="3" customFormat="1" ht="24" customHeight="1" x14ac:dyDescent="0.2">
      <c r="B453" s="74"/>
      <c r="C453" s="75"/>
      <c r="D453" s="76"/>
      <c r="E453" s="77"/>
      <c r="F453" s="78" t="str">
        <f>IFERROR(VLOOKUP($E453,設定!$C:$G,2,0),"")</f>
        <v/>
      </c>
      <c r="G453" s="78" t="str">
        <f>IFERROR(VLOOKUP($E453,設定!$C:$G,3,0),"")</f>
        <v/>
      </c>
      <c r="H453" s="78" t="str">
        <f>IFERROR(VLOOKUP($E453,設定!$C:$G,4,0),"")</f>
        <v/>
      </c>
      <c r="I453" s="78" t="str">
        <f>IFERROR(VLOOKUP($E453,設定!$C:$G,5,0),"")</f>
        <v/>
      </c>
      <c r="J453" s="104"/>
    </row>
    <row r="454" spans="2:10" s="3" customFormat="1" ht="24" customHeight="1" x14ac:dyDescent="0.2">
      <c r="B454" s="74"/>
      <c r="C454" s="75"/>
      <c r="D454" s="76"/>
      <c r="E454" s="77"/>
      <c r="F454" s="78" t="str">
        <f>IFERROR(VLOOKUP($E454,設定!$C:$G,2,0),"")</f>
        <v/>
      </c>
      <c r="G454" s="78" t="str">
        <f>IFERROR(VLOOKUP($E454,設定!$C:$G,3,0),"")</f>
        <v/>
      </c>
      <c r="H454" s="78" t="str">
        <f>IFERROR(VLOOKUP($E454,設定!$C:$G,4,0),"")</f>
        <v/>
      </c>
      <c r="I454" s="78" t="str">
        <f>IFERROR(VLOOKUP($E454,設定!$C:$G,5,0),"")</f>
        <v/>
      </c>
      <c r="J454" s="104"/>
    </row>
    <row r="455" spans="2:10" s="3" customFormat="1" ht="24" customHeight="1" x14ac:dyDescent="0.2">
      <c r="B455" s="74"/>
      <c r="C455" s="75"/>
      <c r="D455" s="76"/>
      <c r="E455" s="77"/>
      <c r="F455" s="78" t="str">
        <f>IFERROR(VLOOKUP($E455,設定!$C:$G,2,0),"")</f>
        <v/>
      </c>
      <c r="G455" s="78" t="str">
        <f>IFERROR(VLOOKUP($E455,設定!$C:$G,3,0),"")</f>
        <v/>
      </c>
      <c r="H455" s="78" t="str">
        <f>IFERROR(VLOOKUP($E455,設定!$C:$G,4,0),"")</f>
        <v/>
      </c>
      <c r="I455" s="78" t="str">
        <f>IFERROR(VLOOKUP($E455,設定!$C:$G,5,0),"")</f>
        <v/>
      </c>
      <c r="J455" s="104"/>
    </row>
    <row r="456" spans="2:10" s="3" customFormat="1" ht="24" customHeight="1" x14ac:dyDescent="0.2">
      <c r="B456" s="74"/>
      <c r="C456" s="75"/>
      <c r="D456" s="76"/>
      <c r="E456" s="77"/>
      <c r="F456" s="78" t="str">
        <f>IFERROR(VLOOKUP($E456,設定!$C:$G,2,0),"")</f>
        <v/>
      </c>
      <c r="G456" s="78" t="str">
        <f>IFERROR(VLOOKUP($E456,設定!$C:$G,3,0),"")</f>
        <v/>
      </c>
      <c r="H456" s="78" t="str">
        <f>IFERROR(VLOOKUP($E456,設定!$C:$G,4,0),"")</f>
        <v/>
      </c>
      <c r="I456" s="78" t="str">
        <f>IFERROR(VLOOKUP($E456,設定!$C:$G,5,0),"")</f>
        <v/>
      </c>
      <c r="J456" s="104"/>
    </row>
    <row r="457" spans="2:10" s="3" customFormat="1" ht="24" customHeight="1" x14ac:dyDescent="0.2">
      <c r="B457" s="74"/>
      <c r="C457" s="75"/>
      <c r="D457" s="76"/>
      <c r="E457" s="77"/>
      <c r="F457" s="78" t="str">
        <f>IFERROR(VLOOKUP($E457,設定!$C:$G,2,0),"")</f>
        <v/>
      </c>
      <c r="G457" s="78" t="str">
        <f>IFERROR(VLOOKUP($E457,設定!$C:$G,3,0),"")</f>
        <v/>
      </c>
      <c r="H457" s="78" t="str">
        <f>IFERROR(VLOOKUP($E457,設定!$C:$G,4,0),"")</f>
        <v/>
      </c>
      <c r="I457" s="78" t="str">
        <f>IFERROR(VLOOKUP($E457,設定!$C:$G,5,0),"")</f>
        <v/>
      </c>
      <c r="J457" s="104"/>
    </row>
    <row r="458" spans="2:10" s="3" customFormat="1" ht="24" customHeight="1" x14ac:dyDescent="0.2">
      <c r="B458" s="74"/>
      <c r="C458" s="75"/>
      <c r="D458" s="76"/>
      <c r="E458" s="77"/>
      <c r="F458" s="78" t="str">
        <f>IFERROR(VLOOKUP($E458,設定!$C:$G,2,0),"")</f>
        <v/>
      </c>
      <c r="G458" s="78" t="str">
        <f>IFERROR(VLOOKUP($E458,設定!$C:$G,3,0),"")</f>
        <v/>
      </c>
      <c r="H458" s="78" t="str">
        <f>IFERROR(VLOOKUP($E458,設定!$C:$G,4,0),"")</f>
        <v/>
      </c>
      <c r="I458" s="78" t="str">
        <f>IFERROR(VLOOKUP($E458,設定!$C:$G,5,0),"")</f>
        <v/>
      </c>
      <c r="J458" s="104"/>
    </row>
    <row r="459" spans="2:10" s="3" customFormat="1" ht="24" customHeight="1" x14ac:dyDescent="0.2">
      <c r="B459" s="74"/>
      <c r="C459" s="75"/>
      <c r="D459" s="76"/>
      <c r="E459" s="77"/>
      <c r="F459" s="78" t="str">
        <f>IFERROR(VLOOKUP($E459,設定!$C:$G,2,0),"")</f>
        <v/>
      </c>
      <c r="G459" s="78" t="str">
        <f>IFERROR(VLOOKUP($E459,設定!$C:$G,3,0),"")</f>
        <v/>
      </c>
      <c r="H459" s="78" t="str">
        <f>IFERROR(VLOOKUP($E459,設定!$C:$G,4,0),"")</f>
        <v/>
      </c>
      <c r="I459" s="78" t="str">
        <f>IFERROR(VLOOKUP($E459,設定!$C:$G,5,0),"")</f>
        <v/>
      </c>
      <c r="J459" s="104"/>
    </row>
    <row r="460" spans="2:10" s="3" customFormat="1" ht="24" customHeight="1" x14ac:dyDescent="0.2">
      <c r="B460" s="74"/>
      <c r="C460" s="75"/>
      <c r="D460" s="76"/>
      <c r="E460" s="77"/>
      <c r="F460" s="78" t="str">
        <f>IFERROR(VLOOKUP($E460,設定!$C:$G,2,0),"")</f>
        <v/>
      </c>
      <c r="G460" s="78" t="str">
        <f>IFERROR(VLOOKUP($E460,設定!$C:$G,3,0),"")</f>
        <v/>
      </c>
      <c r="H460" s="78" t="str">
        <f>IFERROR(VLOOKUP($E460,設定!$C:$G,4,0),"")</f>
        <v/>
      </c>
      <c r="I460" s="78" t="str">
        <f>IFERROR(VLOOKUP($E460,設定!$C:$G,5,0),"")</f>
        <v/>
      </c>
      <c r="J460" s="104"/>
    </row>
    <row r="461" spans="2:10" s="3" customFormat="1" ht="24" customHeight="1" x14ac:dyDescent="0.2">
      <c r="B461" s="74"/>
      <c r="C461" s="75"/>
      <c r="D461" s="76"/>
      <c r="E461" s="77"/>
      <c r="F461" s="78" t="str">
        <f>IFERROR(VLOOKUP($E461,設定!$C:$G,2,0),"")</f>
        <v/>
      </c>
      <c r="G461" s="78" t="str">
        <f>IFERROR(VLOOKUP($E461,設定!$C:$G,3,0),"")</f>
        <v/>
      </c>
      <c r="H461" s="78" t="str">
        <f>IFERROR(VLOOKUP($E461,設定!$C:$G,4,0),"")</f>
        <v/>
      </c>
      <c r="I461" s="78" t="str">
        <f>IFERROR(VLOOKUP($E461,設定!$C:$G,5,0),"")</f>
        <v/>
      </c>
      <c r="J461" s="104"/>
    </row>
    <row r="462" spans="2:10" s="3" customFormat="1" ht="24" customHeight="1" x14ac:dyDescent="0.2">
      <c r="B462" s="74"/>
      <c r="C462" s="75"/>
      <c r="D462" s="76"/>
      <c r="E462" s="77"/>
      <c r="F462" s="78" t="str">
        <f>IFERROR(VLOOKUP($E462,設定!$C:$G,2,0),"")</f>
        <v/>
      </c>
      <c r="G462" s="78" t="str">
        <f>IFERROR(VLOOKUP($E462,設定!$C:$G,3,0),"")</f>
        <v/>
      </c>
      <c r="H462" s="78" t="str">
        <f>IFERROR(VLOOKUP($E462,設定!$C:$G,4,0),"")</f>
        <v/>
      </c>
      <c r="I462" s="78" t="str">
        <f>IFERROR(VLOOKUP($E462,設定!$C:$G,5,0),"")</f>
        <v/>
      </c>
      <c r="J462" s="104"/>
    </row>
    <row r="463" spans="2:10" s="3" customFormat="1" ht="24" customHeight="1" x14ac:dyDescent="0.2">
      <c r="B463" s="74"/>
      <c r="C463" s="75"/>
      <c r="D463" s="76"/>
      <c r="E463" s="77"/>
      <c r="F463" s="78" t="str">
        <f>IFERROR(VLOOKUP($E463,設定!$C:$G,2,0),"")</f>
        <v/>
      </c>
      <c r="G463" s="78" t="str">
        <f>IFERROR(VLOOKUP($E463,設定!$C:$G,3,0),"")</f>
        <v/>
      </c>
      <c r="H463" s="78" t="str">
        <f>IFERROR(VLOOKUP($E463,設定!$C:$G,4,0),"")</f>
        <v/>
      </c>
      <c r="I463" s="78" t="str">
        <f>IFERROR(VLOOKUP($E463,設定!$C:$G,5,0),"")</f>
        <v/>
      </c>
      <c r="J463" s="104"/>
    </row>
    <row r="464" spans="2:10" s="3" customFormat="1" ht="24" customHeight="1" x14ac:dyDescent="0.2">
      <c r="B464" s="74"/>
      <c r="C464" s="75"/>
      <c r="D464" s="76"/>
      <c r="E464" s="77"/>
      <c r="F464" s="78" t="str">
        <f>IFERROR(VLOOKUP($E464,設定!$C:$G,2,0),"")</f>
        <v/>
      </c>
      <c r="G464" s="78" t="str">
        <f>IFERROR(VLOOKUP($E464,設定!$C:$G,3,0),"")</f>
        <v/>
      </c>
      <c r="H464" s="78" t="str">
        <f>IFERROR(VLOOKUP($E464,設定!$C:$G,4,0),"")</f>
        <v/>
      </c>
      <c r="I464" s="78" t="str">
        <f>IFERROR(VLOOKUP($E464,設定!$C:$G,5,0),"")</f>
        <v/>
      </c>
      <c r="J464" s="104"/>
    </row>
    <row r="465" spans="2:10" s="3" customFormat="1" ht="24" customHeight="1" x14ac:dyDescent="0.2">
      <c r="B465" s="74"/>
      <c r="C465" s="75"/>
      <c r="D465" s="76"/>
      <c r="E465" s="77"/>
      <c r="F465" s="78" t="str">
        <f>IFERROR(VLOOKUP($E465,設定!$C:$G,2,0),"")</f>
        <v/>
      </c>
      <c r="G465" s="78" t="str">
        <f>IFERROR(VLOOKUP($E465,設定!$C:$G,3,0),"")</f>
        <v/>
      </c>
      <c r="H465" s="78" t="str">
        <f>IFERROR(VLOOKUP($E465,設定!$C:$G,4,0),"")</f>
        <v/>
      </c>
      <c r="I465" s="78" t="str">
        <f>IFERROR(VLOOKUP($E465,設定!$C:$G,5,0),"")</f>
        <v/>
      </c>
      <c r="J465" s="104"/>
    </row>
    <row r="466" spans="2:10" s="3" customFormat="1" ht="24" customHeight="1" x14ac:dyDescent="0.2">
      <c r="B466" s="74"/>
      <c r="C466" s="75"/>
      <c r="D466" s="76"/>
      <c r="E466" s="77"/>
      <c r="F466" s="78" t="str">
        <f>IFERROR(VLOOKUP($E466,設定!$C:$G,2,0),"")</f>
        <v/>
      </c>
      <c r="G466" s="78" t="str">
        <f>IFERROR(VLOOKUP($E466,設定!$C:$G,3,0),"")</f>
        <v/>
      </c>
      <c r="H466" s="78" t="str">
        <f>IFERROR(VLOOKUP($E466,設定!$C:$G,4,0),"")</f>
        <v/>
      </c>
      <c r="I466" s="78" t="str">
        <f>IFERROR(VLOOKUP($E466,設定!$C:$G,5,0),"")</f>
        <v/>
      </c>
      <c r="J466" s="104"/>
    </row>
    <row r="467" spans="2:10" s="3" customFormat="1" ht="24" customHeight="1" x14ac:dyDescent="0.2">
      <c r="B467" s="74"/>
      <c r="C467" s="75"/>
      <c r="D467" s="76"/>
      <c r="E467" s="77"/>
      <c r="F467" s="78" t="str">
        <f>IFERROR(VLOOKUP($E467,設定!$C:$G,2,0),"")</f>
        <v/>
      </c>
      <c r="G467" s="78" t="str">
        <f>IFERROR(VLOOKUP($E467,設定!$C:$G,3,0),"")</f>
        <v/>
      </c>
      <c r="H467" s="78" t="str">
        <f>IFERROR(VLOOKUP($E467,設定!$C:$G,4,0),"")</f>
        <v/>
      </c>
      <c r="I467" s="78" t="str">
        <f>IFERROR(VLOOKUP($E467,設定!$C:$G,5,0),"")</f>
        <v/>
      </c>
      <c r="J467" s="104"/>
    </row>
    <row r="468" spans="2:10" s="3" customFormat="1" ht="24" customHeight="1" x14ac:dyDescent="0.2">
      <c r="B468" s="74"/>
      <c r="C468" s="75"/>
      <c r="D468" s="76"/>
      <c r="E468" s="77"/>
      <c r="F468" s="78" t="str">
        <f>IFERROR(VLOOKUP($E468,設定!$C:$G,2,0),"")</f>
        <v/>
      </c>
      <c r="G468" s="78" t="str">
        <f>IFERROR(VLOOKUP($E468,設定!$C:$G,3,0),"")</f>
        <v/>
      </c>
      <c r="H468" s="78" t="str">
        <f>IFERROR(VLOOKUP($E468,設定!$C:$G,4,0),"")</f>
        <v/>
      </c>
      <c r="I468" s="78" t="str">
        <f>IFERROR(VLOOKUP($E468,設定!$C:$G,5,0),"")</f>
        <v/>
      </c>
      <c r="J468" s="104"/>
    </row>
    <row r="469" spans="2:10" s="3" customFormat="1" ht="24" customHeight="1" x14ac:dyDescent="0.2">
      <c r="B469" s="74"/>
      <c r="C469" s="75"/>
      <c r="D469" s="76"/>
      <c r="E469" s="77"/>
      <c r="F469" s="78" t="str">
        <f>IFERROR(VLOOKUP($E469,設定!$C:$G,2,0),"")</f>
        <v/>
      </c>
      <c r="G469" s="78" t="str">
        <f>IFERROR(VLOOKUP($E469,設定!$C:$G,3,0),"")</f>
        <v/>
      </c>
      <c r="H469" s="78" t="str">
        <f>IFERROR(VLOOKUP($E469,設定!$C:$G,4,0),"")</f>
        <v/>
      </c>
      <c r="I469" s="78" t="str">
        <f>IFERROR(VLOOKUP($E469,設定!$C:$G,5,0),"")</f>
        <v/>
      </c>
      <c r="J469" s="104"/>
    </row>
    <row r="470" spans="2:10" s="3" customFormat="1" ht="24" customHeight="1" x14ac:dyDescent="0.2">
      <c r="B470" s="74"/>
      <c r="C470" s="75"/>
      <c r="D470" s="76"/>
      <c r="E470" s="77"/>
      <c r="F470" s="78" t="str">
        <f>IFERROR(VLOOKUP($E470,設定!$C:$G,2,0),"")</f>
        <v/>
      </c>
      <c r="G470" s="78" t="str">
        <f>IFERROR(VLOOKUP($E470,設定!$C:$G,3,0),"")</f>
        <v/>
      </c>
      <c r="H470" s="78" t="str">
        <f>IFERROR(VLOOKUP($E470,設定!$C:$G,4,0),"")</f>
        <v/>
      </c>
      <c r="I470" s="78" t="str">
        <f>IFERROR(VLOOKUP($E470,設定!$C:$G,5,0),"")</f>
        <v/>
      </c>
      <c r="J470" s="104"/>
    </row>
    <row r="471" spans="2:10" s="3" customFormat="1" ht="24" customHeight="1" x14ac:dyDescent="0.2">
      <c r="B471" s="74"/>
      <c r="C471" s="75"/>
      <c r="D471" s="76"/>
      <c r="E471" s="77"/>
      <c r="F471" s="78" t="str">
        <f>IFERROR(VLOOKUP($E471,設定!$C:$G,2,0),"")</f>
        <v/>
      </c>
      <c r="G471" s="78" t="str">
        <f>IFERROR(VLOOKUP($E471,設定!$C:$G,3,0),"")</f>
        <v/>
      </c>
      <c r="H471" s="78" t="str">
        <f>IFERROR(VLOOKUP($E471,設定!$C:$G,4,0),"")</f>
        <v/>
      </c>
      <c r="I471" s="78" t="str">
        <f>IFERROR(VLOOKUP($E471,設定!$C:$G,5,0),"")</f>
        <v/>
      </c>
      <c r="J471" s="104"/>
    </row>
    <row r="472" spans="2:10" s="3" customFormat="1" ht="24" customHeight="1" x14ac:dyDescent="0.2">
      <c r="B472" s="74"/>
      <c r="C472" s="75"/>
      <c r="D472" s="76"/>
      <c r="E472" s="77"/>
      <c r="F472" s="78" t="str">
        <f>IFERROR(VLOOKUP($E472,設定!$C:$G,2,0),"")</f>
        <v/>
      </c>
      <c r="G472" s="78" t="str">
        <f>IFERROR(VLOOKUP($E472,設定!$C:$G,3,0),"")</f>
        <v/>
      </c>
      <c r="H472" s="78" t="str">
        <f>IFERROR(VLOOKUP($E472,設定!$C:$G,4,0),"")</f>
        <v/>
      </c>
      <c r="I472" s="78" t="str">
        <f>IFERROR(VLOOKUP($E472,設定!$C:$G,5,0),"")</f>
        <v/>
      </c>
      <c r="J472" s="104"/>
    </row>
    <row r="473" spans="2:10" s="3" customFormat="1" ht="24" customHeight="1" x14ac:dyDescent="0.2">
      <c r="B473" s="74"/>
      <c r="C473" s="75"/>
      <c r="D473" s="76"/>
      <c r="E473" s="77"/>
      <c r="F473" s="78" t="str">
        <f>IFERROR(VLOOKUP($E473,設定!$C:$G,2,0),"")</f>
        <v/>
      </c>
      <c r="G473" s="78" t="str">
        <f>IFERROR(VLOOKUP($E473,設定!$C:$G,3,0),"")</f>
        <v/>
      </c>
      <c r="H473" s="78" t="str">
        <f>IFERROR(VLOOKUP($E473,設定!$C:$G,4,0),"")</f>
        <v/>
      </c>
      <c r="I473" s="78" t="str">
        <f>IFERROR(VLOOKUP($E473,設定!$C:$G,5,0),"")</f>
        <v/>
      </c>
      <c r="J473" s="104"/>
    </row>
    <row r="474" spans="2:10" s="3" customFormat="1" ht="24" customHeight="1" x14ac:dyDescent="0.2">
      <c r="B474" s="74"/>
      <c r="C474" s="75"/>
      <c r="D474" s="76"/>
      <c r="E474" s="77"/>
      <c r="F474" s="78" t="str">
        <f>IFERROR(VLOOKUP($E474,設定!$C:$G,2,0),"")</f>
        <v/>
      </c>
      <c r="G474" s="78" t="str">
        <f>IFERROR(VLOOKUP($E474,設定!$C:$G,3,0),"")</f>
        <v/>
      </c>
      <c r="H474" s="78" t="str">
        <f>IFERROR(VLOOKUP($E474,設定!$C:$G,4,0),"")</f>
        <v/>
      </c>
      <c r="I474" s="78" t="str">
        <f>IFERROR(VLOOKUP($E474,設定!$C:$G,5,0),"")</f>
        <v/>
      </c>
      <c r="J474" s="104"/>
    </row>
    <row r="475" spans="2:10" s="3" customFormat="1" ht="24" customHeight="1" x14ac:dyDescent="0.2">
      <c r="B475" s="74"/>
      <c r="C475" s="75"/>
      <c r="D475" s="76"/>
      <c r="E475" s="77"/>
      <c r="F475" s="78" t="str">
        <f>IFERROR(VLOOKUP($E475,設定!$C:$G,2,0),"")</f>
        <v/>
      </c>
      <c r="G475" s="78" t="str">
        <f>IFERROR(VLOOKUP($E475,設定!$C:$G,3,0),"")</f>
        <v/>
      </c>
      <c r="H475" s="78" t="str">
        <f>IFERROR(VLOOKUP($E475,設定!$C:$G,4,0),"")</f>
        <v/>
      </c>
      <c r="I475" s="78" t="str">
        <f>IFERROR(VLOOKUP($E475,設定!$C:$G,5,0),"")</f>
        <v/>
      </c>
      <c r="J475" s="104"/>
    </row>
    <row r="476" spans="2:10" s="3" customFormat="1" ht="24" customHeight="1" x14ac:dyDescent="0.2">
      <c r="B476" s="74"/>
      <c r="C476" s="75"/>
      <c r="D476" s="76"/>
      <c r="E476" s="77"/>
      <c r="F476" s="78" t="str">
        <f>IFERROR(VLOOKUP($E476,設定!$C:$G,2,0),"")</f>
        <v/>
      </c>
      <c r="G476" s="78" t="str">
        <f>IFERROR(VLOOKUP($E476,設定!$C:$G,3,0),"")</f>
        <v/>
      </c>
      <c r="H476" s="78" t="str">
        <f>IFERROR(VLOOKUP($E476,設定!$C:$G,4,0),"")</f>
        <v/>
      </c>
      <c r="I476" s="78" t="str">
        <f>IFERROR(VLOOKUP($E476,設定!$C:$G,5,0),"")</f>
        <v/>
      </c>
      <c r="J476" s="104"/>
    </row>
    <row r="477" spans="2:10" s="3" customFormat="1" ht="24" customHeight="1" x14ac:dyDescent="0.2">
      <c r="B477" s="74"/>
      <c r="C477" s="75"/>
      <c r="D477" s="76"/>
      <c r="E477" s="77"/>
      <c r="F477" s="78" t="str">
        <f>IFERROR(VLOOKUP($E477,設定!$C:$G,2,0),"")</f>
        <v/>
      </c>
      <c r="G477" s="78" t="str">
        <f>IFERROR(VLOOKUP($E477,設定!$C:$G,3,0),"")</f>
        <v/>
      </c>
      <c r="H477" s="78" t="str">
        <f>IFERROR(VLOOKUP($E477,設定!$C:$G,4,0),"")</f>
        <v/>
      </c>
      <c r="I477" s="78" t="str">
        <f>IFERROR(VLOOKUP($E477,設定!$C:$G,5,0),"")</f>
        <v/>
      </c>
      <c r="J477" s="104"/>
    </row>
    <row r="478" spans="2:10" s="3" customFormat="1" ht="24" customHeight="1" x14ac:dyDescent="0.2">
      <c r="B478" s="74"/>
      <c r="C478" s="75"/>
      <c r="D478" s="76"/>
      <c r="E478" s="77"/>
      <c r="F478" s="78" t="str">
        <f>IFERROR(VLOOKUP($E478,設定!$C:$G,2,0),"")</f>
        <v/>
      </c>
      <c r="G478" s="78" t="str">
        <f>IFERROR(VLOOKUP($E478,設定!$C:$G,3,0),"")</f>
        <v/>
      </c>
      <c r="H478" s="78" t="str">
        <f>IFERROR(VLOOKUP($E478,設定!$C:$G,4,0),"")</f>
        <v/>
      </c>
      <c r="I478" s="78" t="str">
        <f>IFERROR(VLOOKUP($E478,設定!$C:$G,5,0),"")</f>
        <v/>
      </c>
      <c r="J478" s="104"/>
    </row>
    <row r="479" spans="2:10" s="3" customFormat="1" ht="24" customHeight="1" x14ac:dyDescent="0.2">
      <c r="B479" s="74"/>
      <c r="C479" s="75"/>
      <c r="D479" s="76"/>
      <c r="E479" s="77"/>
      <c r="F479" s="78" t="str">
        <f>IFERROR(VLOOKUP($E479,設定!$C:$G,2,0),"")</f>
        <v/>
      </c>
      <c r="G479" s="78" t="str">
        <f>IFERROR(VLOOKUP($E479,設定!$C:$G,3,0),"")</f>
        <v/>
      </c>
      <c r="H479" s="78" t="str">
        <f>IFERROR(VLOOKUP($E479,設定!$C:$G,4,0),"")</f>
        <v/>
      </c>
      <c r="I479" s="78" t="str">
        <f>IFERROR(VLOOKUP($E479,設定!$C:$G,5,0),"")</f>
        <v/>
      </c>
      <c r="J479" s="104"/>
    </row>
    <row r="480" spans="2:10" s="3" customFormat="1" ht="24" customHeight="1" x14ac:dyDescent="0.2">
      <c r="B480" s="74"/>
      <c r="C480" s="75"/>
      <c r="D480" s="76"/>
      <c r="E480" s="77"/>
      <c r="F480" s="78" t="str">
        <f>IFERROR(VLOOKUP($E480,設定!$C:$G,2,0),"")</f>
        <v/>
      </c>
      <c r="G480" s="78" t="str">
        <f>IFERROR(VLOOKUP($E480,設定!$C:$G,3,0),"")</f>
        <v/>
      </c>
      <c r="H480" s="78" t="str">
        <f>IFERROR(VLOOKUP($E480,設定!$C:$G,4,0),"")</f>
        <v/>
      </c>
      <c r="I480" s="78" t="str">
        <f>IFERROR(VLOOKUP($E480,設定!$C:$G,5,0),"")</f>
        <v/>
      </c>
      <c r="J480" s="104"/>
    </row>
    <row r="481" spans="2:10" s="3" customFormat="1" ht="24" customHeight="1" x14ac:dyDescent="0.2">
      <c r="B481" s="74"/>
      <c r="C481" s="75"/>
      <c r="D481" s="76"/>
      <c r="E481" s="77"/>
      <c r="F481" s="78" t="str">
        <f>IFERROR(VLOOKUP($E481,設定!$C:$G,2,0),"")</f>
        <v/>
      </c>
      <c r="G481" s="78" t="str">
        <f>IFERROR(VLOOKUP($E481,設定!$C:$G,3,0),"")</f>
        <v/>
      </c>
      <c r="H481" s="78" t="str">
        <f>IFERROR(VLOOKUP($E481,設定!$C:$G,4,0),"")</f>
        <v/>
      </c>
      <c r="I481" s="78" t="str">
        <f>IFERROR(VLOOKUP($E481,設定!$C:$G,5,0),"")</f>
        <v/>
      </c>
      <c r="J481" s="104"/>
    </row>
    <row r="482" spans="2:10" s="3" customFormat="1" ht="24" customHeight="1" x14ac:dyDescent="0.2">
      <c r="B482" s="74"/>
      <c r="C482" s="75"/>
      <c r="D482" s="76"/>
      <c r="E482" s="77"/>
      <c r="F482" s="78" t="str">
        <f>IFERROR(VLOOKUP($E482,設定!$C:$G,2,0),"")</f>
        <v/>
      </c>
      <c r="G482" s="78" t="str">
        <f>IFERROR(VLOOKUP($E482,設定!$C:$G,3,0),"")</f>
        <v/>
      </c>
      <c r="H482" s="78" t="str">
        <f>IFERROR(VLOOKUP($E482,設定!$C:$G,4,0),"")</f>
        <v/>
      </c>
      <c r="I482" s="78" t="str">
        <f>IFERROR(VLOOKUP($E482,設定!$C:$G,5,0),"")</f>
        <v/>
      </c>
      <c r="J482" s="104"/>
    </row>
    <row r="483" spans="2:10" s="3" customFormat="1" ht="24" customHeight="1" x14ac:dyDescent="0.2">
      <c r="B483" s="74"/>
      <c r="C483" s="75"/>
      <c r="D483" s="76"/>
      <c r="E483" s="77"/>
      <c r="F483" s="78" t="str">
        <f>IFERROR(VLOOKUP($E483,設定!$C:$G,2,0),"")</f>
        <v/>
      </c>
      <c r="G483" s="78" t="str">
        <f>IFERROR(VLOOKUP($E483,設定!$C:$G,3,0),"")</f>
        <v/>
      </c>
      <c r="H483" s="78" t="str">
        <f>IFERROR(VLOOKUP($E483,設定!$C:$G,4,0),"")</f>
        <v/>
      </c>
      <c r="I483" s="78" t="str">
        <f>IFERROR(VLOOKUP($E483,設定!$C:$G,5,0),"")</f>
        <v/>
      </c>
      <c r="J483" s="104"/>
    </row>
    <row r="484" spans="2:10" s="3" customFormat="1" ht="24" customHeight="1" x14ac:dyDescent="0.2">
      <c r="B484" s="74"/>
      <c r="C484" s="75"/>
      <c r="D484" s="76"/>
      <c r="E484" s="77"/>
      <c r="F484" s="78" t="str">
        <f>IFERROR(VLOOKUP($E484,設定!$C:$G,2,0),"")</f>
        <v/>
      </c>
      <c r="G484" s="78" t="str">
        <f>IFERROR(VLOOKUP($E484,設定!$C:$G,3,0),"")</f>
        <v/>
      </c>
      <c r="H484" s="78" t="str">
        <f>IFERROR(VLOOKUP($E484,設定!$C:$G,4,0),"")</f>
        <v/>
      </c>
      <c r="I484" s="78" t="str">
        <f>IFERROR(VLOOKUP($E484,設定!$C:$G,5,0),"")</f>
        <v/>
      </c>
      <c r="J484" s="104"/>
    </row>
    <row r="485" spans="2:10" s="3" customFormat="1" ht="24" customHeight="1" x14ac:dyDescent="0.2">
      <c r="B485" s="74"/>
      <c r="C485" s="75"/>
      <c r="D485" s="76"/>
      <c r="E485" s="77"/>
      <c r="F485" s="78" t="str">
        <f>IFERROR(VLOOKUP($E485,設定!$C:$G,2,0),"")</f>
        <v/>
      </c>
      <c r="G485" s="78" t="str">
        <f>IFERROR(VLOOKUP($E485,設定!$C:$G,3,0),"")</f>
        <v/>
      </c>
      <c r="H485" s="78" t="str">
        <f>IFERROR(VLOOKUP($E485,設定!$C:$G,4,0),"")</f>
        <v/>
      </c>
      <c r="I485" s="78" t="str">
        <f>IFERROR(VLOOKUP($E485,設定!$C:$G,5,0),"")</f>
        <v/>
      </c>
      <c r="J485" s="104"/>
    </row>
    <row r="486" spans="2:10" s="3" customFormat="1" ht="24" customHeight="1" x14ac:dyDescent="0.2">
      <c r="B486" s="74"/>
      <c r="C486" s="75"/>
      <c r="D486" s="76"/>
      <c r="E486" s="77"/>
      <c r="F486" s="78" t="str">
        <f>IFERROR(VLOOKUP($E486,設定!$C:$G,2,0),"")</f>
        <v/>
      </c>
      <c r="G486" s="78" t="str">
        <f>IFERROR(VLOOKUP($E486,設定!$C:$G,3,0),"")</f>
        <v/>
      </c>
      <c r="H486" s="78" t="str">
        <f>IFERROR(VLOOKUP($E486,設定!$C:$G,4,0),"")</f>
        <v/>
      </c>
      <c r="I486" s="78" t="str">
        <f>IFERROR(VLOOKUP($E486,設定!$C:$G,5,0),"")</f>
        <v/>
      </c>
      <c r="J486" s="104"/>
    </row>
    <row r="487" spans="2:10" s="3" customFormat="1" ht="24" customHeight="1" x14ac:dyDescent="0.2">
      <c r="B487" s="74"/>
      <c r="C487" s="75"/>
      <c r="D487" s="76"/>
      <c r="E487" s="77"/>
      <c r="F487" s="78" t="str">
        <f>IFERROR(VLOOKUP($E487,設定!$C:$G,2,0),"")</f>
        <v/>
      </c>
      <c r="G487" s="78" t="str">
        <f>IFERROR(VLOOKUP($E487,設定!$C:$G,3,0),"")</f>
        <v/>
      </c>
      <c r="H487" s="78" t="str">
        <f>IFERROR(VLOOKUP($E487,設定!$C:$G,4,0),"")</f>
        <v/>
      </c>
      <c r="I487" s="78" t="str">
        <f>IFERROR(VLOOKUP($E487,設定!$C:$G,5,0),"")</f>
        <v/>
      </c>
      <c r="J487" s="104"/>
    </row>
    <row r="488" spans="2:10" s="3" customFormat="1" ht="24" customHeight="1" x14ac:dyDescent="0.2">
      <c r="B488" s="74"/>
      <c r="C488" s="75"/>
      <c r="D488" s="76"/>
      <c r="E488" s="77"/>
      <c r="F488" s="78" t="str">
        <f>IFERROR(VLOOKUP($E488,設定!$C:$G,2,0),"")</f>
        <v/>
      </c>
      <c r="G488" s="78" t="str">
        <f>IFERROR(VLOOKUP($E488,設定!$C:$G,3,0),"")</f>
        <v/>
      </c>
      <c r="H488" s="78" t="str">
        <f>IFERROR(VLOOKUP($E488,設定!$C:$G,4,0),"")</f>
        <v/>
      </c>
      <c r="I488" s="78" t="str">
        <f>IFERROR(VLOOKUP($E488,設定!$C:$G,5,0),"")</f>
        <v/>
      </c>
      <c r="J488" s="104"/>
    </row>
    <row r="489" spans="2:10" s="3" customFormat="1" ht="24" customHeight="1" x14ac:dyDescent="0.2">
      <c r="B489" s="74"/>
      <c r="C489" s="75"/>
      <c r="D489" s="76"/>
      <c r="E489" s="77"/>
      <c r="F489" s="78" t="str">
        <f>IFERROR(VLOOKUP($E489,設定!$C:$G,2,0),"")</f>
        <v/>
      </c>
      <c r="G489" s="78" t="str">
        <f>IFERROR(VLOOKUP($E489,設定!$C:$G,3,0),"")</f>
        <v/>
      </c>
      <c r="H489" s="78" t="str">
        <f>IFERROR(VLOOKUP($E489,設定!$C:$G,4,0),"")</f>
        <v/>
      </c>
      <c r="I489" s="78" t="str">
        <f>IFERROR(VLOOKUP($E489,設定!$C:$G,5,0),"")</f>
        <v/>
      </c>
      <c r="J489" s="104"/>
    </row>
    <row r="490" spans="2:10" s="3" customFormat="1" ht="24" customHeight="1" x14ac:dyDescent="0.2">
      <c r="B490" s="74"/>
      <c r="C490" s="75"/>
      <c r="D490" s="76"/>
      <c r="E490" s="77"/>
      <c r="F490" s="78" t="str">
        <f>IFERROR(VLOOKUP($E490,設定!$C:$G,2,0),"")</f>
        <v/>
      </c>
      <c r="G490" s="78" t="str">
        <f>IFERROR(VLOOKUP($E490,設定!$C:$G,3,0),"")</f>
        <v/>
      </c>
      <c r="H490" s="78" t="str">
        <f>IFERROR(VLOOKUP($E490,設定!$C:$G,4,0),"")</f>
        <v/>
      </c>
      <c r="I490" s="78" t="str">
        <f>IFERROR(VLOOKUP($E490,設定!$C:$G,5,0),"")</f>
        <v/>
      </c>
      <c r="J490" s="104"/>
    </row>
    <row r="491" spans="2:10" s="3" customFormat="1" ht="24" customHeight="1" x14ac:dyDescent="0.2">
      <c r="B491" s="74"/>
      <c r="C491" s="75"/>
      <c r="D491" s="76"/>
      <c r="E491" s="77"/>
      <c r="F491" s="78" t="str">
        <f>IFERROR(VLOOKUP($E491,設定!$C:$G,2,0),"")</f>
        <v/>
      </c>
      <c r="G491" s="78" t="str">
        <f>IFERROR(VLOOKUP($E491,設定!$C:$G,3,0),"")</f>
        <v/>
      </c>
      <c r="H491" s="78" t="str">
        <f>IFERROR(VLOOKUP($E491,設定!$C:$G,4,0),"")</f>
        <v/>
      </c>
      <c r="I491" s="78" t="str">
        <f>IFERROR(VLOOKUP($E491,設定!$C:$G,5,0),"")</f>
        <v/>
      </c>
      <c r="J491" s="104"/>
    </row>
    <row r="492" spans="2:10" s="3" customFormat="1" ht="24" customHeight="1" x14ac:dyDescent="0.2">
      <c r="B492" s="74"/>
      <c r="C492" s="75"/>
      <c r="D492" s="76"/>
      <c r="E492" s="77"/>
      <c r="F492" s="78" t="str">
        <f>IFERROR(VLOOKUP($E492,設定!$C:$G,2,0),"")</f>
        <v/>
      </c>
      <c r="G492" s="78" t="str">
        <f>IFERROR(VLOOKUP($E492,設定!$C:$G,3,0),"")</f>
        <v/>
      </c>
      <c r="H492" s="78" t="str">
        <f>IFERROR(VLOOKUP($E492,設定!$C:$G,4,0),"")</f>
        <v/>
      </c>
      <c r="I492" s="78" t="str">
        <f>IFERROR(VLOOKUP($E492,設定!$C:$G,5,0),"")</f>
        <v/>
      </c>
      <c r="J492" s="104"/>
    </row>
    <row r="493" spans="2:10" s="3" customFormat="1" ht="24" customHeight="1" x14ac:dyDescent="0.2">
      <c r="B493" s="74"/>
      <c r="C493" s="75"/>
      <c r="D493" s="76"/>
      <c r="E493" s="77"/>
      <c r="F493" s="78" t="str">
        <f>IFERROR(VLOOKUP($E493,設定!$C:$G,2,0),"")</f>
        <v/>
      </c>
      <c r="G493" s="78" t="str">
        <f>IFERROR(VLOOKUP($E493,設定!$C:$G,3,0),"")</f>
        <v/>
      </c>
      <c r="H493" s="78" t="str">
        <f>IFERROR(VLOOKUP($E493,設定!$C:$G,4,0),"")</f>
        <v/>
      </c>
      <c r="I493" s="78" t="str">
        <f>IFERROR(VLOOKUP($E493,設定!$C:$G,5,0),"")</f>
        <v/>
      </c>
      <c r="J493" s="104"/>
    </row>
    <row r="494" spans="2:10" s="3" customFormat="1" ht="24" customHeight="1" x14ac:dyDescent="0.2">
      <c r="B494" s="74"/>
      <c r="C494" s="75"/>
      <c r="D494" s="76"/>
      <c r="E494" s="77"/>
      <c r="F494" s="78" t="str">
        <f>IFERROR(VLOOKUP($E494,設定!$C:$G,2,0),"")</f>
        <v/>
      </c>
      <c r="G494" s="78" t="str">
        <f>IFERROR(VLOOKUP($E494,設定!$C:$G,3,0),"")</f>
        <v/>
      </c>
      <c r="H494" s="78" t="str">
        <f>IFERROR(VLOOKUP($E494,設定!$C:$G,4,0),"")</f>
        <v/>
      </c>
      <c r="I494" s="78" t="str">
        <f>IFERROR(VLOOKUP($E494,設定!$C:$G,5,0),"")</f>
        <v/>
      </c>
      <c r="J494" s="104"/>
    </row>
    <row r="495" spans="2:10" s="3" customFormat="1" ht="24" customHeight="1" x14ac:dyDescent="0.2">
      <c r="B495" s="74"/>
      <c r="C495" s="75"/>
      <c r="D495" s="76"/>
      <c r="E495" s="77"/>
      <c r="F495" s="78" t="str">
        <f>IFERROR(VLOOKUP($E495,設定!$C:$G,2,0),"")</f>
        <v/>
      </c>
      <c r="G495" s="78" t="str">
        <f>IFERROR(VLOOKUP($E495,設定!$C:$G,3,0),"")</f>
        <v/>
      </c>
      <c r="H495" s="78" t="str">
        <f>IFERROR(VLOOKUP($E495,設定!$C:$G,4,0),"")</f>
        <v/>
      </c>
      <c r="I495" s="78" t="str">
        <f>IFERROR(VLOOKUP($E495,設定!$C:$G,5,0),"")</f>
        <v/>
      </c>
      <c r="J495" s="104"/>
    </row>
    <row r="496" spans="2:10" s="3" customFormat="1" ht="24" customHeight="1" x14ac:dyDescent="0.2">
      <c r="B496" s="74"/>
      <c r="C496" s="75"/>
      <c r="D496" s="76"/>
      <c r="E496" s="77"/>
      <c r="F496" s="78" t="str">
        <f>IFERROR(VLOOKUP($E496,設定!$C:$G,2,0),"")</f>
        <v/>
      </c>
      <c r="G496" s="78" t="str">
        <f>IFERROR(VLOOKUP($E496,設定!$C:$G,3,0),"")</f>
        <v/>
      </c>
      <c r="H496" s="78" t="str">
        <f>IFERROR(VLOOKUP($E496,設定!$C:$G,4,0),"")</f>
        <v/>
      </c>
      <c r="I496" s="78" t="str">
        <f>IFERROR(VLOOKUP($E496,設定!$C:$G,5,0),"")</f>
        <v/>
      </c>
      <c r="J496" s="104"/>
    </row>
    <row r="497" spans="2:10" s="3" customFormat="1" ht="24" customHeight="1" x14ac:dyDescent="0.2">
      <c r="B497" s="74"/>
      <c r="C497" s="75"/>
      <c r="D497" s="76"/>
      <c r="E497" s="77"/>
      <c r="F497" s="78" t="str">
        <f>IFERROR(VLOOKUP($E497,設定!$C:$G,2,0),"")</f>
        <v/>
      </c>
      <c r="G497" s="78" t="str">
        <f>IFERROR(VLOOKUP($E497,設定!$C:$G,3,0),"")</f>
        <v/>
      </c>
      <c r="H497" s="78" t="str">
        <f>IFERROR(VLOOKUP($E497,設定!$C:$G,4,0),"")</f>
        <v/>
      </c>
      <c r="I497" s="78" t="str">
        <f>IFERROR(VLOOKUP($E497,設定!$C:$G,5,0),"")</f>
        <v/>
      </c>
      <c r="J497" s="104"/>
    </row>
    <row r="498" spans="2:10" s="3" customFormat="1" ht="24" customHeight="1" x14ac:dyDescent="0.2">
      <c r="B498" s="74"/>
      <c r="C498" s="75"/>
      <c r="D498" s="76"/>
      <c r="E498" s="77"/>
      <c r="F498" s="78" t="str">
        <f>IFERROR(VLOOKUP($E498,設定!$C:$G,2,0),"")</f>
        <v/>
      </c>
      <c r="G498" s="78" t="str">
        <f>IFERROR(VLOOKUP($E498,設定!$C:$G,3,0),"")</f>
        <v/>
      </c>
      <c r="H498" s="78" t="str">
        <f>IFERROR(VLOOKUP($E498,設定!$C:$G,4,0),"")</f>
        <v/>
      </c>
      <c r="I498" s="78" t="str">
        <f>IFERROR(VLOOKUP($E498,設定!$C:$G,5,0),"")</f>
        <v/>
      </c>
      <c r="J498" s="104"/>
    </row>
    <row r="499" spans="2:10" s="3" customFormat="1" ht="24" customHeight="1" x14ac:dyDescent="0.2">
      <c r="B499" s="74"/>
      <c r="C499" s="75"/>
      <c r="D499" s="76"/>
      <c r="E499" s="77"/>
      <c r="F499" s="78" t="str">
        <f>IFERROR(VLOOKUP($E499,設定!$C:$G,2,0),"")</f>
        <v/>
      </c>
      <c r="G499" s="78" t="str">
        <f>IFERROR(VLOOKUP($E499,設定!$C:$G,3,0),"")</f>
        <v/>
      </c>
      <c r="H499" s="78" t="str">
        <f>IFERROR(VLOOKUP($E499,設定!$C:$G,4,0),"")</f>
        <v/>
      </c>
      <c r="I499" s="78" t="str">
        <f>IFERROR(VLOOKUP($E499,設定!$C:$G,5,0),"")</f>
        <v/>
      </c>
      <c r="J499" s="104"/>
    </row>
    <row r="500" spans="2:10" s="3" customFormat="1" ht="24" customHeight="1" x14ac:dyDescent="0.2">
      <c r="B500" s="74"/>
      <c r="C500" s="75"/>
      <c r="D500" s="76"/>
      <c r="E500" s="77"/>
      <c r="F500" s="78" t="str">
        <f>IFERROR(VLOOKUP($E500,設定!$C:$G,2,0),"")</f>
        <v/>
      </c>
      <c r="G500" s="78" t="str">
        <f>IFERROR(VLOOKUP($E500,設定!$C:$G,3,0),"")</f>
        <v/>
      </c>
      <c r="H500" s="78" t="str">
        <f>IFERROR(VLOOKUP($E500,設定!$C:$G,4,0),"")</f>
        <v/>
      </c>
      <c r="I500" s="78" t="str">
        <f>IFERROR(VLOOKUP($E500,設定!$C:$G,5,0),"")</f>
        <v/>
      </c>
      <c r="J500" s="104"/>
    </row>
    <row r="501" spans="2:10" s="3" customFormat="1" ht="24" customHeight="1" x14ac:dyDescent="0.2">
      <c r="B501" s="74"/>
      <c r="C501" s="75"/>
      <c r="D501" s="76"/>
      <c r="E501" s="77"/>
      <c r="F501" s="78" t="str">
        <f>IFERROR(VLOOKUP($E501,設定!$C:$G,2,0),"")</f>
        <v/>
      </c>
      <c r="G501" s="78" t="str">
        <f>IFERROR(VLOOKUP($E501,設定!$C:$G,3,0),"")</f>
        <v/>
      </c>
      <c r="H501" s="78" t="str">
        <f>IFERROR(VLOOKUP($E501,設定!$C:$G,4,0),"")</f>
        <v/>
      </c>
      <c r="I501" s="78" t="str">
        <f>IFERROR(VLOOKUP($E501,設定!$C:$G,5,0),"")</f>
        <v/>
      </c>
      <c r="J501" s="104"/>
    </row>
    <row r="502" spans="2:10" s="3" customFormat="1" ht="24" customHeight="1" x14ac:dyDescent="0.2">
      <c r="B502" s="74"/>
      <c r="C502" s="75"/>
      <c r="D502" s="76"/>
      <c r="E502" s="77"/>
      <c r="F502" s="78" t="str">
        <f>IFERROR(VLOOKUP($E502,設定!$C:$G,2,0),"")</f>
        <v/>
      </c>
      <c r="G502" s="78" t="str">
        <f>IFERROR(VLOOKUP($E502,設定!$C:$G,3,0),"")</f>
        <v/>
      </c>
      <c r="H502" s="78" t="str">
        <f>IFERROR(VLOOKUP($E502,設定!$C:$G,4,0),"")</f>
        <v/>
      </c>
      <c r="I502" s="78" t="str">
        <f>IFERROR(VLOOKUP($E502,設定!$C:$G,5,0),"")</f>
        <v/>
      </c>
      <c r="J502" s="104"/>
    </row>
    <row r="503" spans="2:10" s="3" customFormat="1" ht="24" customHeight="1" x14ac:dyDescent="0.2">
      <c r="B503" s="74"/>
      <c r="C503" s="75"/>
      <c r="D503" s="76"/>
      <c r="E503" s="77"/>
      <c r="F503" s="78" t="str">
        <f>IFERROR(VLOOKUP($E503,設定!$C:$G,2,0),"")</f>
        <v/>
      </c>
      <c r="G503" s="78" t="str">
        <f>IFERROR(VLOOKUP($E503,設定!$C:$G,3,0),"")</f>
        <v/>
      </c>
      <c r="H503" s="78" t="str">
        <f>IFERROR(VLOOKUP($E503,設定!$C:$G,4,0),"")</f>
        <v/>
      </c>
      <c r="I503" s="78" t="str">
        <f>IFERROR(VLOOKUP($E503,設定!$C:$G,5,0),"")</f>
        <v/>
      </c>
      <c r="J503" s="104"/>
    </row>
    <row r="504" spans="2:10" s="3" customFormat="1" ht="24" customHeight="1" x14ac:dyDescent="0.2">
      <c r="B504" s="74"/>
      <c r="C504" s="75"/>
      <c r="D504" s="76"/>
      <c r="E504" s="77"/>
      <c r="F504" s="78" t="str">
        <f>IFERROR(VLOOKUP($E504,設定!$C:$G,2,0),"")</f>
        <v/>
      </c>
      <c r="G504" s="78" t="str">
        <f>IFERROR(VLOOKUP($E504,設定!$C:$G,3,0),"")</f>
        <v/>
      </c>
      <c r="H504" s="78" t="str">
        <f>IFERROR(VLOOKUP($E504,設定!$C:$G,4,0),"")</f>
        <v/>
      </c>
      <c r="I504" s="78" t="str">
        <f>IFERROR(VLOOKUP($E504,設定!$C:$G,5,0),"")</f>
        <v/>
      </c>
      <c r="J504" s="104"/>
    </row>
    <row r="505" spans="2:10" s="3" customFormat="1" ht="24" customHeight="1" x14ac:dyDescent="0.2">
      <c r="B505" s="74"/>
      <c r="C505" s="75"/>
      <c r="D505" s="76"/>
      <c r="E505" s="77"/>
      <c r="F505" s="78" t="str">
        <f>IFERROR(VLOOKUP($E505,設定!$C:$G,2,0),"")</f>
        <v/>
      </c>
      <c r="G505" s="78" t="str">
        <f>IFERROR(VLOOKUP($E505,設定!$C:$G,3,0),"")</f>
        <v/>
      </c>
      <c r="H505" s="78" t="str">
        <f>IFERROR(VLOOKUP($E505,設定!$C:$G,4,0),"")</f>
        <v/>
      </c>
      <c r="I505" s="78" t="str">
        <f>IFERROR(VLOOKUP($E505,設定!$C:$G,5,0),"")</f>
        <v/>
      </c>
      <c r="J505" s="104"/>
    </row>
    <row r="506" spans="2:10" s="3" customFormat="1" ht="24" customHeight="1" x14ac:dyDescent="0.2">
      <c r="B506" s="74"/>
      <c r="C506" s="75"/>
      <c r="D506" s="76"/>
      <c r="E506" s="77"/>
      <c r="F506" s="78" t="str">
        <f>IFERROR(VLOOKUP($E506,設定!$C:$G,2,0),"")</f>
        <v/>
      </c>
      <c r="G506" s="78" t="str">
        <f>IFERROR(VLOOKUP($E506,設定!$C:$G,3,0),"")</f>
        <v/>
      </c>
      <c r="H506" s="78" t="str">
        <f>IFERROR(VLOOKUP($E506,設定!$C:$G,4,0),"")</f>
        <v/>
      </c>
      <c r="I506" s="78" t="str">
        <f>IFERROR(VLOOKUP($E506,設定!$C:$G,5,0),"")</f>
        <v/>
      </c>
      <c r="J506" s="104"/>
    </row>
    <row r="507" spans="2:10" s="3" customFormat="1" ht="24" customHeight="1" x14ac:dyDescent="0.2">
      <c r="B507" s="74"/>
      <c r="C507" s="75"/>
      <c r="D507" s="76"/>
      <c r="E507" s="77"/>
      <c r="F507" s="78" t="str">
        <f>IFERROR(VLOOKUP($E507,設定!$C:$G,2,0),"")</f>
        <v/>
      </c>
      <c r="G507" s="78" t="str">
        <f>IFERROR(VLOOKUP($E507,設定!$C:$G,3,0),"")</f>
        <v/>
      </c>
      <c r="H507" s="78" t="str">
        <f>IFERROR(VLOOKUP($E507,設定!$C:$G,4,0),"")</f>
        <v/>
      </c>
      <c r="I507" s="78" t="str">
        <f>IFERROR(VLOOKUP($E507,設定!$C:$G,5,0),"")</f>
        <v/>
      </c>
      <c r="J507" s="104"/>
    </row>
    <row r="508" spans="2:10" s="3" customFormat="1" ht="24" customHeight="1" x14ac:dyDescent="0.2">
      <c r="B508" s="74"/>
      <c r="C508" s="75"/>
      <c r="D508" s="76"/>
      <c r="E508" s="77"/>
      <c r="F508" s="78" t="str">
        <f>IFERROR(VLOOKUP($E508,設定!$C:$G,2,0),"")</f>
        <v/>
      </c>
      <c r="G508" s="78" t="str">
        <f>IFERROR(VLOOKUP($E508,設定!$C:$G,3,0),"")</f>
        <v/>
      </c>
      <c r="H508" s="78" t="str">
        <f>IFERROR(VLOOKUP($E508,設定!$C:$G,4,0),"")</f>
        <v/>
      </c>
      <c r="I508" s="78" t="str">
        <f>IFERROR(VLOOKUP($E508,設定!$C:$G,5,0),"")</f>
        <v/>
      </c>
      <c r="J508" s="104"/>
    </row>
    <row r="509" spans="2:10" s="3" customFormat="1" ht="24" customHeight="1" x14ac:dyDescent="0.2">
      <c r="B509" s="74"/>
      <c r="C509" s="75"/>
      <c r="D509" s="76"/>
      <c r="E509" s="77"/>
      <c r="F509" s="78" t="str">
        <f>IFERROR(VLOOKUP($E509,設定!$C:$G,2,0),"")</f>
        <v/>
      </c>
      <c r="G509" s="78" t="str">
        <f>IFERROR(VLOOKUP($E509,設定!$C:$G,3,0),"")</f>
        <v/>
      </c>
      <c r="H509" s="78" t="str">
        <f>IFERROR(VLOOKUP($E509,設定!$C:$G,4,0),"")</f>
        <v/>
      </c>
      <c r="I509" s="78" t="str">
        <f>IFERROR(VLOOKUP($E509,設定!$C:$G,5,0),"")</f>
        <v/>
      </c>
      <c r="J509" s="104"/>
    </row>
    <row r="510" spans="2:10" s="3" customFormat="1" ht="24" customHeight="1" x14ac:dyDescent="0.2">
      <c r="B510" s="74"/>
      <c r="C510" s="75"/>
      <c r="D510" s="76"/>
      <c r="E510" s="77"/>
      <c r="F510" s="78" t="str">
        <f>IFERROR(VLOOKUP($E510,設定!$C:$G,2,0),"")</f>
        <v/>
      </c>
      <c r="G510" s="78" t="str">
        <f>IFERROR(VLOOKUP($E510,設定!$C:$G,3,0),"")</f>
        <v/>
      </c>
      <c r="H510" s="78" t="str">
        <f>IFERROR(VLOOKUP($E510,設定!$C:$G,4,0),"")</f>
        <v/>
      </c>
      <c r="I510" s="78" t="str">
        <f>IFERROR(VLOOKUP($E510,設定!$C:$G,5,0),"")</f>
        <v/>
      </c>
      <c r="J510" s="104"/>
    </row>
    <row r="511" spans="2:10" s="3" customFormat="1" ht="24" customHeight="1" x14ac:dyDescent="0.2">
      <c r="B511" s="74"/>
      <c r="C511" s="75"/>
      <c r="D511" s="76"/>
      <c r="E511" s="77"/>
      <c r="F511" s="78" t="str">
        <f>IFERROR(VLOOKUP($E511,設定!$C:$G,2,0),"")</f>
        <v/>
      </c>
      <c r="G511" s="78" t="str">
        <f>IFERROR(VLOOKUP($E511,設定!$C:$G,3,0),"")</f>
        <v/>
      </c>
      <c r="H511" s="78" t="str">
        <f>IFERROR(VLOOKUP($E511,設定!$C:$G,4,0),"")</f>
        <v/>
      </c>
      <c r="I511" s="78" t="str">
        <f>IFERROR(VLOOKUP($E511,設定!$C:$G,5,0),"")</f>
        <v/>
      </c>
      <c r="J511" s="104"/>
    </row>
    <row r="512" spans="2:10" s="3" customFormat="1" ht="24" customHeight="1" x14ac:dyDescent="0.2">
      <c r="B512" s="74"/>
      <c r="C512" s="75"/>
      <c r="D512" s="76"/>
      <c r="E512" s="77"/>
      <c r="F512" s="78" t="str">
        <f>IFERROR(VLOOKUP($E512,設定!$C:$G,2,0),"")</f>
        <v/>
      </c>
      <c r="G512" s="78" t="str">
        <f>IFERROR(VLOOKUP($E512,設定!$C:$G,3,0),"")</f>
        <v/>
      </c>
      <c r="H512" s="78" t="str">
        <f>IFERROR(VLOOKUP($E512,設定!$C:$G,4,0),"")</f>
        <v/>
      </c>
      <c r="I512" s="78" t="str">
        <f>IFERROR(VLOOKUP($E512,設定!$C:$G,5,0),"")</f>
        <v/>
      </c>
      <c r="J512" s="104"/>
    </row>
    <row r="513" spans="2:10" s="3" customFormat="1" ht="24" customHeight="1" x14ac:dyDescent="0.2">
      <c r="B513" s="74"/>
      <c r="C513" s="75"/>
      <c r="D513" s="76"/>
      <c r="E513" s="77"/>
      <c r="F513" s="78" t="str">
        <f>IFERROR(VLOOKUP($E513,設定!$C:$G,2,0),"")</f>
        <v/>
      </c>
      <c r="G513" s="78" t="str">
        <f>IFERROR(VLOOKUP($E513,設定!$C:$G,3,0),"")</f>
        <v/>
      </c>
      <c r="H513" s="78" t="str">
        <f>IFERROR(VLOOKUP($E513,設定!$C:$G,4,0),"")</f>
        <v/>
      </c>
      <c r="I513" s="78" t="str">
        <f>IFERROR(VLOOKUP($E513,設定!$C:$G,5,0),"")</f>
        <v/>
      </c>
      <c r="J513" s="104"/>
    </row>
    <row r="514" spans="2:10" s="3" customFormat="1" ht="24" customHeight="1" x14ac:dyDescent="0.2">
      <c r="B514" s="74"/>
      <c r="C514" s="75"/>
      <c r="D514" s="76"/>
      <c r="E514" s="77"/>
      <c r="F514" s="78" t="str">
        <f>IFERROR(VLOOKUP($E514,設定!$C:$G,2,0),"")</f>
        <v/>
      </c>
      <c r="G514" s="78" t="str">
        <f>IFERROR(VLOOKUP($E514,設定!$C:$G,3,0),"")</f>
        <v/>
      </c>
      <c r="H514" s="78" t="str">
        <f>IFERROR(VLOOKUP($E514,設定!$C:$G,4,0),"")</f>
        <v/>
      </c>
      <c r="I514" s="78" t="str">
        <f>IFERROR(VLOOKUP($E514,設定!$C:$G,5,0),"")</f>
        <v/>
      </c>
      <c r="J514" s="104"/>
    </row>
    <row r="515" spans="2:10" s="3" customFormat="1" ht="24" customHeight="1" x14ac:dyDescent="0.2">
      <c r="B515" s="74"/>
      <c r="C515" s="75"/>
      <c r="D515" s="76"/>
      <c r="E515" s="77"/>
      <c r="F515" s="78" t="str">
        <f>IFERROR(VLOOKUP($E515,設定!$C:$G,2,0),"")</f>
        <v/>
      </c>
      <c r="G515" s="78" t="str">
        <f>IFERROR(VLOOKUP($E515,設定!$C:$G,3,0),"")</f>
        <v/>
      </c>
      <c r="H515" s="78" t="str">
        <f>IFERROR(VLOOKUP($E515,設定!$C:$G,4,0),"")</f>
        <v/>
      </c>
      <c r="I515" s="78" t="str">
        <f>IFERROR(VLOOKUP($E515,設定!$C:$G,5,0),"")</f>
        <v/>
      </c>
      <c r="J515" s="104"/>
    </row>
    <row r="516" spans="2:10" s="3" customFormat="1" ht="24" customHeight="1" x14ac:dyDescent="0.2">
      <c r="B516" s="74"/>
      <c r="C516" s="75"/>
      <c r="D516" s="76"/>
      <c r="E516" s="77"/>
      <c r="F516" s="78" t="str">
        <f>IFERROR(VLOOKUP($E516,設定!$C:$G,2,0),"")</f>
        <v/>
      </c>
      <c r="G516" s="78" t="str">
        <f>IFERROR(VLOOKUP($E516,設定!$C:$G,3,0),"")</f>
        <v/>
      </c>
      <c r="H516" s="78" t="str">
        <f>IFERROR(VLOOKUP($E516,設定!$C:$G,4,0),"")</f>
        <v/>
      </c>
      <c r="I516" s="78" t="str">
        <f>IFERROR(VLOOKUP($E516,設定!$C:$G,5,0),"")</f>
        <v/>
      </c>
      <c r="J516" s="104"/>
    </row>
    <row r="517" spans="2:10" s="3" customFormat="1" ht="24" customHeight="1" x14ac:dyDescent="0.2">
      <c r="B517" s="74"/>
      <c r="C517" s="75"/>
      <c r="D517" s="76"/>
      <c r="E517" s="77"/>
      <c r="F517" s="78" t="str">
        <f>IFERROR(VLOOKUP($E517,設定!$C:$G,2,0),"")</f>
        <v/>
      </c>
      <c r="G517" s="78" t="str">
        <f>IFERROR(VLOOKUP($E517,設定!$C:$G,3,0),"")</f>
        <v/>
      </c>
      <c r="H517" s="78" t="str">
        <f>IFERROR(VLOOKUP($E517,設定!$C:$G,4,0),"")</f>
        <v/>
      </c>
      <c r="I517" s="78" t="str">
        <f>IFERROR(VLOOKUP($E517,設定!$C:$G,5,0),"")</f>
        <v/>
      </c>
      <c r="J517" s="104"/>
    </row>
    <row r="518" spans="2:10" s="3" customFormat="1" ht="24" customHeight="1" x14ac:dyDescent="0.2">
      <c r="B518" s="74"/>
      <c r="C518" s="75"/>
      <c r="D518" s="76"/>
      <c r="E518" s="77"/>
      <c r="F518" s="78" t="str">
        <f>IFERROR(VLOOKUP($E518,設定!$C:$G,2,0),"")</f>
        <v/>
      </c>
      <c r="G518" s="78" t="str">
        <f>IFERROR(VLOOKUP($E518,設定!$C:$G,3,0),"")</f>
        <v/>
      </c>
      <c r="H518" s="78" t="str">
        <f>IFERROR(VLOOKUP($E518,設定!$C:$G,4,0),"")</f>
        <v/>
      </c>
      <c r="I518" s="78" t="str">
        <f>IFERROR(VLOOKUP($E518,設定!$C:$G,5,0),"")</f>
        <v/>
      </c>
      <c r="J518" s="104"/>
    </row>
    <row r="519" spans="2:10" s="3" customFormat="1" ht="24" customHeight="1" x14ac:dyDescent="0.2">
      <c r="B519" s="74"/>
      <c r="C519" s="75"/>
      <c r="D519" s="76"/>
      <c r="E519" s="77"/>
      <c r="F519" s="78" t="str">
        <f>IFERROR(VLOOKUP($E519,設定!$C:$G,2,0),"")</f>
        <v/>
      </c>
      <c r="G519" s="78" t="str">
        <f>IFERROR(VLOOKUP($E519,設定!$C:$G,3,0),"")</f>
        <v/>
      </c>
      <c r="H519" s="78" t="str">
        <f>IFERROR(VLOOKUP($E519,設定!$C:$G,4,0),"")</f>
        <v/>
      </c>
      <c r="I519" s="78" t="str">
        <f>IFERROR(VLOOKUP($E519,設定!$C:$G,5,0),"")</f>
        <v/>
      </c>
      <c r="J519" s="104"/>
    </row>
    <row r="520" spans="2:10" s="3" customFormat="1" ht="24" customHeight="1" x14ac:dyDescent="0.2">
      <c r="B520" s="74"/>
      <c r="C520" s="75"/>
      <c r="D520" s="76"/>
      <c r="E520" s="77"/>
      <c r="F520" s="78" t="str">
        <f>IFERROR(VLOOKUP($E520,設定!$C:$G,2,0),"")</f>
        <v/>
      </c>
      <c r="G520" s="78" t="str">
        <f>IFERROR(VLOOKUP($E520,設定!$C:$G,3,0),"")</f>
        <v/>
      </c>
      <c r="H520" s="78" t="str">
        <f>IFERROR(VLOOKUP($E520,設定!$C:$G,4,0),"")</f>
        <v/>
      </c>
      <c r="I520" s="78" t="str">
        <f>IFERROR(VLOOKUP($E520,設定!$C:$G,5,0),"")</f>
        <v/>
      </c>
      <c r="J520" s="104"/>
    </row>
    <row r="521" spans="2:10" s="3" customFormat="1" ht="24" customHeight="1" x14ac:dyDescent="0.2">
      <c r="B521" s="74"/>
      <c r="C521" s="75"/>
      <c r="D521" s="76"/>
      <c r="E521" s="77"/>
      <c r="F521" s="78" t="str">
        <f>IFERROR(VLOOKUP($E521,設定!$C:$G,2,0),"")</f>
        <v/>
      </c>
      <c r="G521" s="78" t="str">
        <f>IFERROR(VLOOKUP($E521,設定!$C:$G,3,0),"")</f>
        <v/>
      </c>
      <c r="H521" s="78" t="str">
        <f>IFERROR(VLOOKUP($E521,設定!$C:$G,4,0),"")</f>
        <v/>
      </c>
      <c r="I521" s="78" t="str">
        <f>IFERROR(VLOOKUP($E521,設定!$C:$G,5,0),"")</f>
        <v/>
      </c>
      <c r="J521" s="104"/>
    </row>
    <row r="522" spans="2:10" s="3" customFormat="1" ht="24" customHeight="1" x14ac:dyDescent="0.2">
      <c r="B522" s="74"/>
      <c r="C522" s="75"/>
      <c r="D522" s="76"/>
      <c r="E522" s="77"/>
      <c r="F522" s="78" t="str">
        <f>IFERROR(VLOOKUP($E522,設定!$C:$G,2,0),"")</f>
        <v/>
      </c>
      <c r="G522" s="78" t="str">
        <f>IFERROR(VLOOKUP($E522,設定!$C:$G,3,0),"")</f>
        <v/>
      </c>
      <c r="H522" s="78" t="str">
        <f>IFERROR(VLOOKUP($E522,設定!$C:$G,4,0),"")</f>
        <v/>
      </c>
      <c r="I522" s="78" t="str">
        <f>IFERROR(VLOOKUP($E522,設定!$C:$G,5,0),"")</f>
        <v/>
      </c>
      <c r="J522" s="104"/>
    </row>
    <row r="523" spans="2:10" s="3" customFormat="1" ht="24" customHeight="1" x14ac:dyDescent="0.2">
      <c r="B523" s="74"/>
      <c r="C523" s="75"/>
      <c r="D523" s="76"/>
      <c r="E523" s="77"/>
      <c r="F523" s="78" t="str">
        <f>IFERROR(VLOOKUP($E523,設定!$C:$G,2,0),"")</f>
        <v/>
      </c>
      <c r="G523" s="78" t="str">
        <f>IFERROR(VLOOKUP($E523,設定!$C:$G,3,0),"")</f>
        <v/>
      </c>
      <c r="H523" s="78" t="str">
        <f>IFERROR(VLOOKUP($E523,設定!$C:$G,4,0),"")</f>
        <v/>
      </c>
      <c r="I523" s="78" t="str">
        <f>IFERROR(VLOOKUP($E523,設定!$C:$G,5,0),"")</f>
        <v/>
      </c>
      <c r="J523" s="104"/>
    </row>
    <row r="524" spans="2:10" s="3" customFormat="1" ht="24" customHeight="1" x14ac:dyDescent="0.2">
      <c r="B524" s="74"/>
      <c r="C524" s="75"/>
      <c r="D524" s="76"/>
      <c r="E524" s="77"/>
      <c r="F524" s="78" t="str">
        <f>IFERROR(VLOOKUP($E524,設定!$C:$G,2,0),"")</f>
        <v/>
      </c>
      <c r="G524" s="78" t="str">
        <f>IFERROR(VLOOKUP($E524,設定!$C:$G,3,0),"")</f>
        <v/>
      </c>
      <c r="H524" s="78" t="str">
        <f>IFERROR(VLOOKUP($E524,設定!$C:$G,4,0),"")</f>
        <v/>
      </c>
      <c r="I524" s="78" t="str">
        <f>IFERROR(VLOOKUP($E524,設定!$C:$G,5,0),"")</f>
        <v/>
      </c>
      <c r="J524" s="104"/>
    </row>
    <row r="525" spans="2:10" s="3" customFormat="1" ht="24" customHeight="1" x14ac:dyDescent="0.2">
      <c r="B525" s="74"/>
      <c r="C525" s="75"/>
      <c r="D525" s="76"/>
      <c r="E525" s="77"/>
      <c r="F525" s="78" t="str">
        <f>IFERROR(VLOOKUP($E525,設定!$C:$G,2,0),"")</f>
        <v/>
      </c>
      <c r="G525" s="78" t="str">
        <f>IFERROR(VLOOKUP($E525,設定!$C:$G,3,0),"")</f>
        <v/>
      </c>
      <c r="H525" s="78" t="str">
        <f>IFERROR(VLOOKUP($E525,設定!$C:$G,4,0),"")</f>
        <v/>
      </c>
      <c r="I525" s="78" t="str">
        <f>IFERROR(VLOOKUP($E525,設定!$C:$G,5,0),"")</f>
        <v/>
      </c>
      <c r="J525" s="104"/>
    </row>
    <row r="526" spans="2:10" s="3" customFormat="1" ht="24" customHeight="1" x14ac:dyDescent="0.2">
      <c r="B526" s="74"/>
      <c r="C526" s="75"/>
      <c r="D526" s="76"/>
      <c r="E526" s="77"/>
      <c r="F526" s="78" t="str">
        <f>IFERROR(VLOOKUP($E526,設定!$C:$G,2,0),"")</f>
        <v/>
      </c>
      <c r="G526" s="78" t="str">
        <f>IFERROR(VLOOKUP($E526,設定!$C:$G,3,0),"")</f>
        <v/>
      </c>
      <c r="H526" s="78" t="str">
        <f>IFERROR(VLOOKUP($E526,設定!$C:$G,4,0),"")</f>
        <v/>
      </c>
      <c r="I526" s="78" t="str">
        <f>IFERROR(VLOOKUP($E526,設定!$C:$G,5,0),"")</f>
        <v/>
      </c>
      <c r="J526" s="104"/>
    </row>
    <row r="527" spans="2:10" s="3" customFormat="1" ht="24" customHeight="1" x14ac:dyDescent="0.2">
      <c r="B527" s="74"/>
      <c r="C527" s="75"/>
      <c r="D527" s="76"/>
      <c r="E527" s="77"/>
      <c r="F527" s="78" t="str">
        <f>IFERROR(VLOOKUP($E527,設定!$C:$G,2,0),"")</f>
        <v/>
      </c>
      <c r="G527" s="78" t="str">
        <f>IFERROR(VLOOKUP($E527,設定!$C:$G,3,0),"")</f>
        <v/>
      </c>
      <c r="H527" s="78" t="str">
        <f>IFERROR(VLOOKUP($E527,設定!$C:$G,4,0),"")</f>
        <v/>
      </c>
      <c r="I527" s="78" t="str">
        <f>IFERROR(VLOOKUP($E527,設定!$C:$G,5,0),"")</f>
        <v/>
      </c>
      <c r="J527" s="104"/>
    </row>
    <row r="528" spans="2:10" s="3" customFormat="1" ht="24" customHeight="1" x14ac:dyDescent="0.2">
      <c r="B528" s="74"/>
      <c r="C528" s="75"/>
      <c r="D528" s="76"/>
      <c r="E528" s="77"/>
      <c r="F528" s="78" t="str">
        <f>IFERROR(VLOOKUP($E528,設定!$C:$G,2,0),"")</f>
        <v/>
      </c>
      <c r="G528" s="78" t="str">
        <f>IFERROR(VLOOKUP($E528,設定!$C:$G,3,0),"")</f>
        <v/>
      </c>
      <c r="H528" s="78" t="str">
        <f>IFERROR(VLOOKUP($E528,設定!$C:$G,4,0),"")</f>
        <v/>
      </c>
      <c r="I528" s="78" t="str">
        <f>IFERROR(VLOOKUP($E528,設定!$C:$G,5,0),"")</f>
        <v/>
      </c>
      <c r="J528" s="104"/>
    </row>
    <row r="529" spans="2:10" s="3" customFormat="1" ht="24" customHeight="1" x14ac:dyDescent="0.2">
      <c r="B529" s="74"/>
      <c r="C529" s="75"/>
      <c r="D529" s="76"/>
      <c r="E529" s="77"/>
      <c r="F529" s="78" t="str">
        <f>IFERROR(VLOOKUP($E529,設定!$C:$G,2,0),"")</f>
        <v/>
      </c>
      <c r="G529" s="78" t="str">
        <f>IFERROR(VLOOKUP($E529,設定!$C:$G,3,0),"")</f>
        <v/>
      </c>
      <c r="H529" s="78" t="str">
        <f>IFERROR(VLOOKUP($E529,設定!$C:$G,4,0),"")</f>
        <v/>
      </c>
      <c r="I529" s="78" t="str">
        <f>IFERROR(VLOOKUP($E529,設定!$C:$G,5,0),"")</f>
        <v/>
      </c>
      <c r="J529" s="104"/>
    </row>
    <row r="530" spans="2:10" s="3" customFormat="1" ht="24" customHeight="1" x14ac:dyDescent="0.2">
      <c r="B530" s="74"/>
      <c r="C530" s="75"/>
      <c r="D530" s="76"/>
      <c r="E530" s="77"/>
      <c r="F530" s="78" t="str">
        <f>IFERROR(VLOOKUP($E530,設定!$C:$G,2,0),"")</f>
        <v/>
      </c>
      <c r="G530" s="78" t="str">
        <f>IFERROR(VLOOKUP($E530,設定!$C:$G,3,0),"")</f>
        <v/>
      </c>
      <c r="H530" s="78" t="str">
        <f>IFERROR(VLOOKUP($E530,設定!$C:$G,4,0),"")</f>
        <v/>
      </c>
      <c r="I530" s="78" t="str">
        <f>IFERROR(VLOOKUP($E530,設定!$C:$G,5,0),"")</f>
        <v/>
      </c>
      <c r="J530" s="104"/>
    </row>
    <row r="531" spans="2:10" s="3" customFormat="1" ht="24" customHeight="1" x14ac:dyDescent="0.2">
      <c r="B531" s="74"/>
      <c r="C531" s="75"/>
      <c r="D531" s="76"/>
      <c r="E531" s="77"/>
      <c r="F531" s="78" t="str">
        <f>IFERROR(VLOOKUP($E531,設定!$C:$G,2,0),"")</f>
        <v/>
      </c>
      <c r="G531" s="78" t="str">
        <f>IFERROR(VLOOKUP($E531,設定!$C:$G,3,0),"")</f>
        <v/>
      </c>
      <c r="H531" s="78" t="str">
        <f>IFERROR(VLOOKUP($E531,設定!$C:$G,4,0),"")</f>
        <v/>
      </c>
      <c r="I531" s="78" t="str">
        <f>IFERROR(VLOOKUP($E531,設定!$C:$G,5,0),"")</f>
        <v/>
      </c>
      <c r="J531" s="104"/>
    </row>
    <row r="532" spans="2:10" s="3" customFormat="1" ht="24" customHeight="1" x14ac:dyDescent="0.2">
      <c r="B532" s="74"/>
      <c r="C532" s="75"/>
      <c r="D532" s="76"/>
      <c r="E532" s="77"/>
      <c r="F532" s="78" t="str">
        <f>IFERROR(VLOOKUP($E532,設定!$C:$G,2,0),"")</f>
        <v/>
      </c>
      <c r="G532" s="78" t="str">
        <f>IFERROR(VLOOKUP($E532,設定!$C:$G,3,0),"")</f>
        <v/>
      </c>
      <c r="H532" s="78" t="str">
        <f>IFERROR(VLOOKUP($E532,設定!$C:$G,4,0),"")</f>
        <v/>
      </c>
      <c r="I532" s="78" t="str">
        <f>IFERROR(VLOOKUP($E532,設定!$C:$G,5,0),"")</f>
        <v/>
      </c>
      <c r="J532" s="104"/>
    </row>
    <row r="533" spans="2:10" s="3" customFormat="1" ht="24" customHeight="1" x14ac:dyDescent="0.2">
      <c r="B533" s="74"/>
      <c r="C533" s="75"/>
      <c r="D533" s="76"/>
      <c r="E533" s="77"/>
      <c r="F533" s="78" t="str">
        <f>IFERROR(VLOOKUP($E533,設定!$C:$G,2,0),"")</f>
        <v/>
      </c>
      <c r="G533" s="78" t="str">
        <f>IFERROR(VLOOKUP($E533,設定!$C:$G,3,0),"")</f>
        <v/>
      </c>
      <c r="H533" s="78" t="str">
        <f>IFERROR(VLOOKUP($E533,設定!$C:$G,4,0),"")</f>
        <v/>
      </c>
      <c r="I533" s="78" t="str">
        <f>IFERROR(VLOOKUP($E533,設定!$C:$G,5,0),"")</f>
        <v/>
      </c>
      <c r="J533" s="104"/>
    </row>
    <row r="534" spans="2:10" s="3" customFormat="1" ht="24" customHeight="1" x14ac:dyDescent="0.2">
      <c r="B534" s="74"/>
      <c r="C534" s="75"/>
      <c r="D534" s="76"/>
      <c r="E534" s="77"/>
      <c r="F534" s="78" t="str">
        <f>IFERROR(VLOOKUP($E534,設定!$C:$G,2,0),"")</f>
        <v/>
      </c>
      <c r="G534" s="78" t="str">
        <f>IFERROR(VLOOKUP($E534,設定!$C:$G,3,0),"")</f>
        <v/>
      </c>
      <c r="H534" s="78" t="str">
        <f>IFERROR(VLOOKUP($E534,設定!$C:$G,4,0),"")</f>
        <v/>
      </c>
      <c r="I534" s="78" t="str">
        <f>IFERROR(VLOOKUP($E534,設定!$C:$G,5,0),"")</f>
        <v/>
      </c>
      <c r="J534" s="104"/>
    </row>
    <row r="535" spans="2:10" s="3" customFormat="1" ht="24" customHeight="1" x14ac:dyDescent="0.2">
      <c r="B535" s="74"/>
      <c r="C535" s="75"/>
      <c r="D535" s="76"/>
      <c r="E535" s="77"/>
      <c r="F535" s="78" t="str">
        <f>IFERROR(VLOOKUP($E535,設定!$C:$G,2,0),"")</f>
        <v/>
      </c>
      <c r="G535" s="78" t="str">
        <f>IFERROR(VLOOKUP($E535,設定!$C:$G,3,0),"")</f>
        <v/>
      </c>
      <c r="H535" s="78" t="str">
        <f>IFERROR(VLOOKUP($E535,設定!$C:$G,4,0),"")</f>
        <v/>
      </c>
      <c r="I535" s="78" t="str">
        <f>IFERROR(VLOOKUP($E535,設定!$C:$G,5,0),"")</f>
        <v/>
      </c>
      <c r="J535" s="104"/>
    </row>
    <row r="536" spans="2:10" s="3" customFormat="1" ht="24" customHeight="1" x14ac:dyDescent="0.2">
      <c r="B536" s="74"/>
      <c r="C536" s="75"/>
      <c r="D536" s="76"/>
      <c r="E536" s="77"/>
      <c r="F536" s="78" t="str">
        <f>IFERROR(VLOOKUP($E536,設定!$C:$G,2,0),"")</f>
        <v/>
      </c>
      <c r="G536" s="78" t="str">
        <f>IFERROR(VLOOKUP($E536,設定!$C:$G,3,0),"")</f>
        <v/>
      </c>
      <c r="H536" s="78" t="str">
        <f>IFERROR(VLOOKUP($E536,設定!$C:$G,4,0),"")</f>
        <v/>
      </c>
      <c r="I536" s="78" t="str">
        <f>IFERROR(VLOOKUP($E536,設定!$C:$G,5,0),"")</f>
        <v/>
      </c>
      <c r="J536" s="104"/>
    </row>
    <row r="537" spans="2:10" s="3" customFormat="1" ht="24" customHeight="1" x14ac:dyDescent="0.2">
      <c r="B537" s="74"/>
      <c r="C537" s="75"/>
      <c r="D537" s="76"/>
      <c r="E537" s="77"/>
      <c r="F537" s="78" t="str">
        <f>IFERROR(VLOOKUP($E537,設定!$C:$G,2,0),"")</f>
        <v/>
      </c>
      <c r="G537" s="78" t="str">
        <f>IFERROR(VLOOKUP($E537,設定!$C:$G,3,0),"")</f>
        <v/>
      </c>
      <c r="H537" s="78" t="str">
        <f>IFERROR(VLOOKUP($E537,設定!$C:$G,4,0),"")</f>
        <v/>
      </c>
      <c r="I537" s="78" t="str">
        <f>IFERROR(VLOOKUP($E537,設定!$C:$G,5,0),"")</f>
        <v/>
      </c>
      <c r="J537" s="104"/>
    </row>
    <row r="538" spans="2:10" s="3" customFormat="1" ht="24" customHeight="1" x14ac:dyDescent="0.2">
      <c r="B538" s="74"/>
      <c r="C538" s="75"/>
      <c r="D538" s="76"/>
      <c r="E538" s="77"/>
      <c r="F538" s="78" t="str">
        <f>IFERROR(VLOOKUP($E538,設定!$C:$G,2,0),"")</f>
        <v/>
      </c>
      <c r="G538" s="78" t="str">
        <f>IFERROR(VLOOKUP($E538,設定!$C:$G,3,0),"")</f>
        <v/>
      </c>
      <c r="H538" s="78" t="str">
        <f>IFERROR(VLOOKUP($E538,設定!$C:$G,4,0),"")</f>
        <v/>
      </c>
      <c r="I538" s="78" t="str">
        <f>IFERROR(VLOOKUP($E538,設定!$C:$G,5,0),"")</f>
        <v/>
      </c>
      <c r="J538" s="104"/>
    </row>
    <row r="539" spans="2:10" s="3" customFormat="1" ht="24" customHeight="1" x14ac:dyDescent="0.2">
      <c r="B539" s="74"/>
      <c r="C539" s="75"/>
      <c r="D539" s="76"/>
      <c r="E539" s="77"/>
      <c r="F539" s="78" t="str">
        <f>IFERROR(VLOOKUP($E539,設定!$C:$G,2,0),"")</f>
        <v/>
      </c>
      <c r="G539" s="78" t="str">
        <f>IFERROR(VLOOKUP($E539,設定!$C:$G,3,0),"")</f>
        <v/>
      </c>
      <c r="H539" s="78" t="str">
        <f>IFERROR(VLOOKUP($E539,設定!$C:$G,4,0),"")</f>
        <v/>
      </c>
      <c r="I539" s="78" t="str">
        <f>IFERROR(VLOOKUP($E539,設定!$C:$G,5,0),"")</f>
        <v/>
      </c>
      <c r="J539" s="104"/>
    </row>
    <row r="540" spans="2:10" s="3" customFormat="1" ht="24" customHeight="1" x14ac:dyDescent="0.2">
      <c r="B540" s="74"/>
      <c r="C540" s="75"/>
      <c r="D540" s="76"/>
      <c r="E540" s="77"/>
      <c r="F540" s="78" t="str">
        <f>IFERROR(VLOOKUP($E540,設定!$C:$G,2,0),"")</f>
        <v/>
      </c>
      <c r="G540" s="78" t="str">
        <f>IFERROR(VLOOKUP($E540,設定!$C:$G,3,0),"")</f>
        <v/>
      </c>
      <c r="H540" s="78" t="str">
        <f>IFERROR(VLOOKUP($E540,設定!$C:$G,4,0),"")</f>
        <v/>
      </c>
      <c r="I540" s="78" t="str">
        <f>IFERROR(VLOOKUP($E540,設定!$C:$G,5,0),"")</f>
        <v/>
      </c>
      <c r="J540" s="104"/>
    </row>
    <row r="541" spans="2:10" s="3" customFormat="1" ht="24" customHeight="1" x14ac:dyDescent="0.2">
      <c r="B541" s="74"/>
      <c r="C541" s="75"/>
      <c r="D541" s="76"/>
      <c r="E541" s="77"/>
      <c r="F541" s="78" t="str">
        <f>IFERROR(VLOOKUP($E541,設定!$C:$G,2,0),"")</f>
        <v/>
      </c>
      <c r="G541" s="78" t="str">
        <f>IFERROR(VLOOKUP($E541,設定!$C:$G,3,0),"")</f>
        <v/>
      </c>
      <c r="H541" s="78" t="str">
        <f>IFERROR(VLOOKUP($E541,設定!$C:$G,4,0),"")</f>
        <v/>
      </c>
      <c r="I541" s="78" t="str">
        <f>IFERROR(VLOOKUP($E541,設定!$C:$G,5,0),"")</f>
        <v/>
      </c>
      <c r="J541" s="104"/>
    </row>
    <row r="542" spans="2:10" s="3" customFormat="1" ht="24" customHeight="1" x14ac:dyDescent="0.2">
      <c r="B542" s="74"/>
      <c r="C542" s="75"/>
      <c r="D542" s="76"/>
      <c r="E542" s="77"/>
      <c r="F542" s="78" t="str">
        <f>IFERROR(VLOOKUP($E542,設定!$C:$G,2,0),"")</f>
        <v/>
      </c>
      <c r="G542" s="78" t="str">
        <f>IFERROR(VLOOKUP($E542,設定!$C:$G,3,0),"")</f>
        <v/>
      </c>
      <c r="H542" s="78" t="str">
        <f>IFERROR(VLOOKUP($E542,設定!$C:$G,4,0),"")</f>
        <v/>
      </c>
      <c r="I542" s="78" t="str">
        <f>IFERROR(VLOOKUP($E542,設定!$C:$G,5,0),"")</f>
        <v/>
      </c>
      <c r="J542" s="104"/>
    </row>
    <row r="543" spans="2:10" s="3" customFormat="1" ht="24" customHeight="1" x14ac:dyDescent="0.2">
      <c r="B543" s="74"/>
      <c r="C543" s="75"/>
      <c r="D543" s="76"/>
      <c r="E543" s="77"/>
      <c r="F543" s="78" t="str">
        <f>IFERROR(VLOOKUP($E543,設定!$C:$G,2,0),"")</f>
        <v/>
      </c>
      <c r="G543" s="78" t="str">
        <f>IFERROR(VLOOKUP($E543,設定!$C:$G,3,0),"")</f>
        <v/>
      </c>
      <c r="H543" s="78" t="str">
        <f>IFERROR(VLOOKUP($E543,設定!$C:$G,4,0),"")</f>
        <v/>
      </c>
      <c r="I543" s="78" t="str">
        <f>IFERROR(VLOOKUP($E543,設定!$C:$G,5,0),"")</f>
        <v/>
      </c>
      <c r="J543" s="104"/>
    </row>
    <row r="544" spans="2:10" s="3" customFormat="1" ht="24" customHeight="1" x14ac:dyDescent="0.2">
      <c r="B544" s="74"/>
      <c r="C544" s="75"/>
      <c r="D544" s="76"/>
      <c r="E544" s="77"/>
      <c r="F544" s="78" t="str">
        <f>IFERROR(VLOOKUP($E544,設定!$C:$G,2,0),"")</f>
        <v/>
      </c>
      <c r="G544" s="78" t="str">
        <f>IFERROR(VLOOKUP($E544,設定!$C:$G,3,0),"")</f>
        <v/>
      </c>
      <c r="H544" s="78" t="str">
        <f>IFERROR(VLOOKUP($E544,設定!$C:$G,4,0),"")</f>
        <v/>
      </c>
      <c r="I544" s="78" t="str">
        <f>IFERROR(VLOOKUP($E544,設定!$C:$G,5,0),"")</f>
        <v/>
      </c>
      <c r="J544" s="104"/>
    </row>
    <row r="545" spans="2:10" s="3" customFormat="1" ht="24" customHeight="1" x14ac:dyDescent="0.2">
      <c r="B545" s="74"/>
      <c r="C545" s="75"/>
      <c r="D545" s="76"/>
      <c r="E545" s="77"/>
      <c r="F545" s="78" t="str">
        <f>IFERROR(VLOOKUP($E545,設定!$C:$G,2,0),"")</f>
        <v/>
      </c>
      <c r="G545" s="78" t="str">
        <f>IFERROR(VLOOKUP($E545,設定!$C:$G,3,0),"")</f>
        <v/>
      </c>
      <c r="H545" s="78" t="str">
        <f>IFERROR(VLOOKUP($E545,設定!$C:$G,4,0),"")</f>
        <v/>
      </c>
      <c r="I545" s="78" t="str">
        <f>IFERROR(VLOOKUP($E545,設定!$C:$G,5,0),"")</f>
        <v/>
      </c>
      <c r="J545" s="104"/>
    </row>
    <row r="546" spans="2:10" s="3" customFormat="1" ht="24" customHeight="1" x14ac:dyDescent="0.2">
      <c r="B546" s="74"/>
      <c r="C546" s="75"/>
      <c r="D546" s="76"/>
      <c r="E546" s="77"/>
      <c r="F546" s="78" t="str">
        <f>IFERROR(VLOOKUP($E546,設定!$C:$G,2,0),"")</f>
        <v/>
      </c>
      <c r="G546" s="78" t="str">
        <f>IFERROR(VLOOKUP($E546,設定!$C:$G,3,0),"")</f>
        <v/>
      </c>
      <c r="H546" s="78" t="str">
        <f>IFERROR(VLOOKUP($E546,設定!$C:$G,4,0),"")</f>
        <v/>
      </c>
      <c r="I546" s="78" t="str">
        <f>IFERROR(VLOOKUP($E546,設定!$C:$G,5,0),"")</f>
        <v/>
      </c>
      <c r="J546" s="104"/>
    </row>
    <row r="547" spans="2:10" s="3" customFormat="1" ht="24" customHeight="1" x14ac:dyDescent="0.2">
      <c r="B547" s="74"/>
      <c r="C547" s="75"/>
      <c r="D547" s="76"/>
      <c r="E547" s="77"/>
      <c r="F547" s="78" t="str">
        <f>IFERROR(VLOOKUP($E547,設定!$C:$G,2,0),"")</f>
        <v/>
      </c>
      <c r="G547" s="78" t="str">
        <f>IFERROR(VLOOKUP($E547,設定!$C:$G,3,0),"")</f>
        <v/>
      </c>
      <c r="H547" s="78" t="str">
        <f>IFERROR(VLOOKUP($E547,設定!$C:$G,4,0),"")</f>
        <v/>
      </c>
      <c r="I547" s="78" t="str">
        <f>IFERROR(VLOOKUP($E547,設定!$C:$G,5,0),"")</f>
        <v/>
      </c>
      <c r="J547" s="104"/>
    </row>
    <row r="548" spans="2:10" s="3" customFormat="1" ht="24" customHeight="1" x14ac:dyDescent="0.2">
      <c r="B548" s="74"/>
      <c r="C548" s="75"/>
      <c r="D548" s="76"/>
      <c r="E548" s="77"/>
      <c r="F548" s="78" t="str">
        <f>IFERROR(VLOOKUP($E548,設定!$C:$G,2,0),"")</f>
        <v/>
      </c>
      <c r="G548" s="78" t="str">
        <f>IFERROR(VLOOKUP($E548,設定!$C:$G,3,0),"")</f>
        <v/>
      </c>
      <c r="H548" s="78" t="str">
        <f>IFERROR(VLOOKUP($E548,設定!$C:$G,4,0),"")</f>
        <v/>
      </c>
      <c r="I548" s="78" t="str">
        <f>IFERROR(VLOOKUP($E548,設定!$C:$G,5,0),"")</f>
        <v/>
      </c>
      <c r="J548" s="104"/>
    </row>
    <row r="549" spans="2:10" s="3" customFormat="1" ht="24" customHeight="1" x14ac:dyDescent="0.2">
      <c r="B549" s="74"/>
      <c r="C549" s="75"/>
      <c r="D549" s="76"/>
      <c r="E549" s="77"/>
      <c r="F549" s="78" t="str">
        <f>IFERROR(VLOOKUP($E549,設定!$C:$G,2,0),"")</f>
        <v/>
      </c>
      <c r="G549" s="78" t="str">
        <f>IFERROR(VLOOKUP($E549,設定!$C:$G,3,0),"")</f>
        <v/>
      </c>
      <c r="H549" s="78" t="str">
        <f>IFERROR(VLOOKUP($E549,設定!$C:$G,4,0),"")</f>
        <v/>
      </c>
      <c r="I549" s="78" t="str">
        <f>IFERROR(VLOOKUP($E549,設定!$C:$G,5,0),"")</f>
        <v/>
      </c>
      <c r="J549" s="104"/>
    </row>
    <row r="550" spans="2:10" s="3" customFormat="1" ht="24" customHeight="1" x14ac:dyDescent="0.2">
      <c r="B550" s="74"/>
      <c r="C550" s="75"/>
      <c r="D550" s="76"/>
      <c r="E550" s="77"/>
      <c r="F550" s="78" t="str">
        <f>IFERROR(VLOOKUP($E550,設定!$C:$G,2,0),"")</f>
        <v/>
      </c>
      <c r="G550" s="78" t="str">
        <f>IFERROR(VLOOKUP($E550,設定!$C:$G,3,0),"")</f>
        <v/>
      </c>
      <c r="H550" s="78" t="str">
        <f>IFERROR(VLOOKUP($E550,設定!$C:$G,4,0),"")</f>
        <v/>
      </c>
      <c r="I550" s="78" t="str">
        <f>IFERROR(VLOOKUP($E550,設定!$C:$G,5,0),"")</f>
        <v/>
      </c>
      <c r="J550" s="104"/>
    </row>
    <row r="551" spans="2:10" s="3" customFormat="1" ht="24" customHeight="1" x14ac:dyDescent="0.2">
      <c r="B551" s="74"/>
      <c r="C551" s="75"/>
      <c r="D551" s="76"/>
      <c r="E551" s="77"/>
      <c r="F551" s="78" t="str">
        <f>IFERROR(VLOOKUP($E551,設定!$C:$G,2,0),"")</f>
        <v/>
      </c>
      <c r="G551" s="78" t="str">
        <f>IFERROR(VLOOKUP($E551,設定!$C:$G,3,0),"")</f>
        <v/>
      </c>
      <c r="H551" s="78" t="str">
        <f>IFERROR(VLOOKUP($E551,設定!$C:$G,4,0),"")</f>
        <v/>
      </c>
      <c r="I551" s="78" t="str">
        <f>IFERROR(VLOOKUP($E551,設定!$C:$G,5,0),"")</f>
        <v/>
      </c>
      <c r="J551" s="104"/>
    </row>
    <row r="552" spans="2:10" s="3" customFormat="1" ht="24" customHeight="1" x14ac:dyDescent="0.2">
      <c r="B552" s="74"/>
      <c r="C552" s="75"/>
      <c r="D552" s="76"/>
      <c r="E552" s="77"/>
      <c r="F552" s="78" t="str">
        <f>IFERROR(VLOOKUP($E552,設定!$C:$G,2,0),"")</f>
        <v/>
      </c>
      <c r="G552" s="78" t="str">
        <f>IFERROR(VLOOKUP($E552,設定!$C:$G,3,0),"")</f>
        <v/>
      </c>
      <c r="H552" s="78" t="str">
        <f>IFERROR(VLOOKUP($E552,設定!$C:$G,4,0),"")</f>
        <v/>
      </c>
      <c r="I552" s="78" t="str">
        <f>IFERROR(VLOOKUP($E552,設定!$C:$G,5,0),"")</f>
        <v/>
      </c>
      <c r="J552" s="104"/>
    </row>
    <row r="553" spans="2:10" s="3" customFormat="1" ht="24" customHeight="1" x14ac:dyDescent="0.2">
      <c r="B553" s="74"/>
      <c r="C553" s="75"/>
      <c r="D553" s="76"/>
      <c r="E553" s="77"/>
      <c r="F553" s="78" t="str">
        <f>IFERROR(VLOOKUP($E553,設定!$C:$G,2,0),"")</f>
        <v/>
      </c>
      <c r="G553" s="78" t="str">
        <f>IFERROR(VLOOKUP($E553,設定!$C:$G,3,0),"")</f>
        <v/>
      </c>
      <c r="H553" s="78" t="str">
        <f>IFERROR(VLOOKUP($E553,設定!$C:$G,4,0),"")</f>
        <v/>
      </c>
      <c r="I553" s="78" t="str">
        <f>IFERROR(VLOOKUP($E553,設定!$C:$G,5,0),"")</f>
        <v/>
      </c>
      <c r="J553" s="104"/>
    </row>
    <row r="554" spans="2:10" s="3" customFormat="1" ht="24" customHeight="1" x14ac:dyDescent="0.2">
      <c r="B554" s="74"/>
      <c r="C554" s="75"/>
      <c r="D554" s="76"/>
      <c r="E554" s="77"/>
      <c r="F554" s="78" t="str">
        <f>IFERROR(VLOOKUP($E554,設定!$C:$G,2,0),"")</f>
        <v/>
      </c>
      <c r="G554" s="78" t="str">
        <f>IFERROR(VLOOKUP($E554,設定!$C:$G,3,0),"")</f>
        <v/>
      </c>
      <c r="H554" s="78" t="str">
        <f>IFERROR(VLOOKUP($E554,設定!$C:$G,4,0),"")</f>
        <v/>
      </c>
      <c r="I554" s="78" t="str">
        <f>IFERROR(VLOOKUP($E554,設定!$C:$G,5,0),"")</f>
        <v/>
      </c>
      <c r="J554" s="104"/>
    </row>
    <row r="555" spans="2:10" s="3" customFormat="1" ht="24" customHeight="1" x14ac:dyDescent="0.2">
      <c r="B555" s="74"/>
      <c r="C555" s="75"/>
      <c r="D555" s="76"/>
      <c r="E555" s="77"/>
      <c r="F555" s="78" t="str">
        <f>IFERROR(VLOOKUP($E555,設定!$C:$G,2,0),"")</f>
        <v/>
      </c>
      <c r="G555" s="78" t="str">
        <f>IFERROR(VLOOKUP($E555,設定!$C:$G,3,0),"")</f>
        <v/>
      </c>
      <c r="H555" s="78" t="str">
        <f>IFERROR(VLOOKUP($E555,設定!$C:$G,4,0),"")</f>
        <v/>
      </c>
      <c r="I555" s="78" t="str">
        <f>IFERROR(VLOOKUP($E555,設定!$C:$G,5,0),"")</f>
        <v/>
      </c>
      <c r="J555" s="104"/>
    </row>
    <row r="556" spans="2:10" s="3" customFormat="1" ht="24" customHeight="1" x14ac:dyDescent="0.2">
      <c r="B556" s="74"/>
      <c r="C556" s="75"/>
      <c r="D556" s="76"/>
      <c r="E556" s="77"/>
      <c r="F556" s="78" t="str">
        <f>IFERROR(VLOOKUP($E556,設定!$C:$G,2,0),"")</f>
        <v/>
      </c>
      <c r="G556" s="78" t="str">
        <f>IFERROR(VLOOKUP($E556,設定!$C:$G,3,0),"")</f>
        <v/>
      </c>
      <c r="H556" s="78" t="str">
        <f>IFERROR(VLOOKUP($E556,設定!$C:$G,4,0),"")</f>
        <v/>
      </c>
      <c r="I556" s="78" t="str">
        <f>IFERROR(VLOOKUP($E556,設定!$C:$G,5,0),"")</f>
        <v/>
      </c>
      <c r="J556" s="104"/>
    </row>
    <row r="557" spans="2:10" s="3" customFormat="1" ht="24" customHeight="1" x14ac:dyDescent="0.2">
      <c r="B557" s="74"/>
      <c r="C557" s="75"/>
      <c r="D557" s="76"/>
      <c r="E557" s="77"/>
      <c r="F557" s="78" t="str">
        <f>IFERROR(VLOOKUP($E557,設定!$C:$G,2,0),"")</f>
        <v/>
      </c>
      <c r="G557" s="78" t="str">
        <f>IFERROR(VLOOKUP($E557,設定!$C:$G,3,0),"")</f>
        <v/>
      </c>
      <c r="H557" s="78" t="str">
        <f>IFERROR(VLOOKUP($E557,設定!$C:$G,4,0),"")</f>
        <v/>
      </c>
      <c r="I557" s="78" t="str">
        <f>IFERROR(VLOOKUP($E557,設定!$C:$G,5,0),"")</f>
        <v/>
      </c>
      <c r="J557" s="104"/>
    </row>
    <row r="558" spans="2:10" s="3" customFormat="1" ht="24" customHeight="1" x14ac:dyDescent="0.2">
      <c r="B558" s="74"/>
      <c r="C558" s="75"/>
      <c r="D558" s="76"/>
      <c r="E558" s="77"/>
      <c r="F558" s="78" t="str">
        <f>IFERROR(VLOOKUP($E558,設定!$C:$G,2,0),"")</f>
        <v/>
      </c>
      <c r="G558" s="78" t="str">
        <f>IFERROR(VLOOKUP($E558,設定!$C:$G,3,0),"")</f>
        <v/>
      </c>
      <c r="H558" s="78" t="str">
        <f>IFERROR(VLOOKUP($E558,設定!$C:$G,4,0),"")</f>
        <v/>
      </c>
      <c r="I558" s="78" t="str">
        <f>IFERROR(VLOOKUP($E558,設定!$C:$G,5,0),"")</f>
        <v/>
      </c>
      <c r="J558" s="104"/>
    </row>
    <row r="559" spans="2:10" s="3" customFormat="1" ht="24" customHeight="1" x14ac:dyDescent="0.2">
      <c r="B559" s="74"/>
      <c r="C559" s="75"/>
      <c r="D559" s="76"/>
      <c r="E559" s="77"/>
      <c r="F559" s="78" t="str">
        <f>IFERROR(VLOOKUP($E559,設定!$C:$G,2,0),"")</f>
        <v/>
      </c>
      <c r="G559" s="78" t="str">
        <f>IFERROR(VLOOKUP($E559,設定!$C:$G,3,0),"")</f>
        <v/>
      </c>
      <c r="H559" s="78" t="str">
        <f>IFERROR(VLOOKUP($E559,設定!$C:$G,4,0),"")</f>
        <v/>
      </c>
      <c r="I559" s="78" t="str">
        <f>IFERROR(VLOOKUP($E559,設定!$C:$G,5,0),"")</f>
        <v/>
      </c>
      <c r="J559" s="104"/>
    </row>
    <row r="560" spans="2:10" s="3" customFormat="1" ht="24" customHeight="1" x14ac:dyDescent="0.2">
      <c r="B560" s="74"/>
      <c r="C560" s="75"/>
      <c r="D560" s="76"/>
      <c r="E560" s="77"/>
      <c r="F560" s="78" t="str">
        <f>IFERROR(VLOOKUP($E560,設定!$C:$G,2,0),"")</f>
        <v/>
      </c>
      <c r="G560" s="78" t="str">
        <f>IFERROR(VLOOKUP($E560,設定!$C:$G,3,0),"")</f>
        <v/>
      </c>
      <c r="H560" s="78" t="str">
        <f>IFERROR(VLOOKUP($E560,設定!$C:$G,4,0),"")</f>
        <v/>
      </c>
      <c r="I560" s="78" t="str">
        <f>IFERROR(VLOOKUP($E560,設定!$C:$G,5,0),"")</f>
        <v/>
      </c>
      <c r="J560" s="104"/>
    </row>
    <row r="561" spans="2:10" s="3" customFormat="1" ht="24" customHeight="1" x14ac:dyDescent="0.2">
      <c r="B561" s="74"/>
      <c r="C561" s="75"/>
      <c r="D561" s="76"/>
      <c r="E561" s="77"/>
      <c r="F561" s="78" t="str">
        <f>IFERROR(VLOOKUP($E561,設定!$C:$G,2,0),"")</f>
        <v/>
      </c>
      <c r="G561" s="78" t="str">
        <f>IFERROR(VLOOKUP($E561,設定!$C:$G,3,0),"")</f>
        <v/>
      </c>
      <c r="H561" s="78" t="str">
        <f>IFERROR(VLOOKUP($E561,設定!$C:$G,4,0),"")</f>
        <v/>
      </c>
      <c r="I561" s="78" t="str">
        <f>IFERROR(VLOOKUP($E561,設定!$C:$G,5,0),"")</f>
        <v/>
      </c>
      <c r="J561" s="104"/>
    </row>
    <row r="562" spans="2:10" s="3" customFormat="1" ht="24" customHeight="1" x14ac:dyDescent="0.2">
      <c r="B562" s="74"/>
      <c r="C562" s="75"/>
      <c r="D562" s="76"/>
      <c r="E562" s="77"/>
      <c r="F562" s="78" t="str">
        <f>IFERROR(VLOOKUP($E562,設定!$C:$G,2,0),"")</f>
        <v/>
      </c>
      <c r="G562" s="78" t="str">
        <f>IFERROR(VLOOKUP($E562,設定!$C:$G,3,0),"")</f>
        <v/>
      </c>
      <c r="H562" s="78" t="str">
        <f>IFERROR(VLOOKUP($E562,設定!$C:$G,4,0),"")</f>
        <v/>
      </c>
      <c r="I562" s="78" t="str">
        <f>IFERROR(VLOOKUP($E562,設定!$C:$G,5,0),"")</f>
        <v/>
      </c>
      <c r="J562" s="104"/>
    </row>
    <row r="563" spans="2:10" s="3" customFormat="1" ht="24" customHeight="1" x14ac:dyDescent="0.2">
      <c r="B563" s="74"/>
      <c r="C563" s="75"/>
      <c r="D563" s="76"/>
      <c r="E563" s="77"/>
      <c r="F563" s="78" t="str">
        <f>IFERROR(VLOOKUP($E563,設定!$C:$G,2,0),"")</f>
        <v/>
      </c>
      <c r="G563" s="78" t="str">
        <f>IFERROR(VLOOKUP($E563,設定!$C:$G,3,0),"")</f>
        <v/>
      </c>
      <c r="H563" s="78" t="str">
        <f>IFERROR(VLOOKUP($E563,設定!$C:$G,4,0),"")</f>
        <v/>
      </c>
      <c r="I563" s="78" t="str">
        <f>IFERROR(VLOOKUP($E563,設定!$C:$G,5,0),"")</f>
        <v/>
      </c>
      <c r="J563" s="104"/>
    </row>
    <row r="564" spans="2:10" s="3" customFormat="1" ht="24" customHeight="1" x14ac:dyDescent="0.2">
      <c r="B564" s="74"/>
      <c r="C564" s="75"/>
      <c r="D564" s="76"/>
      <c r="E564" s="77"/>
      <c r="F564" s="78" t="str">
        <f>IFERROR(VLOOKUP($E564,設定!$C:$G,2,0),"")</f>
        <v/>
      </c>
      <c r="G564" s="78" t="str">
        <f>IFERROR(VLOOKUP($E564,設定!$C:$G,3,0),"")</f>
        <v/>
      </c>
      <c r="H564" s="78" t="str">
        <f>IFERROR(VLOOKUP($E564,設定!$C:$G,4,0),"")</f>
        <v/>
      </c>
      <c r="I564" s="78" t="str">
        <f>IFERROR(VLOOKUP($E564,設定!$C:$G,5,0),"")</f>
        <v/>
      </c>
      <c r="J564" s="104"/>
    </row>
    <row r="565" spans="2:10" s="3" customFormat="1" ht="24" customHeight="1" x14ac:dyDescent="0.2">
      <c r="B565" s="74"/>
      <c r="C565" s="75"/>
      <c r="D565" s="76"/>
      <c r="E565" s="77"/>
      <c r="F565" s="78" t="str">
        <f>IFERROR(VLOOKUP($E565,設定!$C:$G,2,0),"")</f>
        <v/>
      </c>
      <c r="G565" s="78" t="str">
        <f>IFERROR(VLOOKUP($E565,設定!$C:$G,3,0),"")</f>
        <v/>
      </c>
      <c r="H565" s="78" t="str">
        <f>IFERROR(VLOOKUP($E565,設定!$C:$G,4,0),"")</f>
        <v/>
      </c>
      <c r="I565" s="78" t="str">
        <f>IFERROR(VLOOKUP($E565,設定!$C:$G,5,0),"")</f>
        <v/>
      </c>
      <c r="J565" s="104"/>
    </row>
    <row r="566" spans="2:10" s="3" customFormat="1" ht="24" customHeight="1" x14ac:dyDescent="0.2">
      <c r="B566" s="74"/>
      <c r="C566" s="75"/>
      <c r="D566" s="76"/>
      <c r="E566" s="77"/>
      <c r="F566" s="78" t="str">
        <f>IFERROR(VLOOKUP($E566,設定!$C:$G,2,0),"")</f>
        <v/>
      </c>
      <c r="G566" s="78" t="str">
        <f>IFERROR(VLOOKUP($E566,設定!$C:$G,3,0),"")</f>
        <v/>
      </c>
      <c r="H566" s="78" t="str">
        <f>IFERROR(VLOOKUP($E566,設定!$C:$G,4,0),"")</f>
        <v/>
      </c>
      <c r="I566" s="78" t="str">
        <f>IFERROR(VLOOKUP($E566,設定!$C:$G,5,0),"")</f>
        <v/>
      </c>
      <c r="J566" s="104"/>
    </row>
    <row r="567" spans="2:10" s="3" customFormat="1" ht="24" customHeight="1" x14ac:dyDescent="0.2">
      <c r="B567" s="74"/>
      <c r="C567" s="75"/>
      <c r="D567" s="76"/>
      <c r="E567" s="77"/>
      <c r="F567" s="78" t="str">
        <f>IFERROR(VLOOKUP($E567,設定!$C:$G,2,0),"")</f>
        <v/>
      </c>
      <c r="G567" s="78" t="str">
        <f>IFERROR(VLOOKUP($E567,設定!$C:$G,3,0),"")</f>
        <v/>
      </c>
      <c r="H567" s="78" t="str">
        <f>IFERROR(VLOOKUP($E567,設定!$C:$G,4,0),"")</f>
        <v/>
      </c>
      <c r="I567" s="78" t="str">
        <f>IFERROR(VLOOKUP($E567,設定!$C:$G,5,0),"")</f>
        <v/>
      </c>
      <c r="J567" s="104"/>
    </row>
    <row r="568" spans="2:10" s="3" customFormat="1" ht="24" customHeight="1" x14ac:dyDescent="0.2">
      <c r="B568" s="74"/>
      <c r="C568" s="75"/>
      <c r="D568" s="76"/>
      <c r="E568" s="77"/>
      <c r="F568" s="78" t="str">
        <f>IFERROR(VLOOKUP($E568,設定!$C:$G,2,0),"")</f>
        <v/>
      </c>
      <c r="G568" s="78" t="str">
        <f>IFERROR(VLOOKUP($E568,設定!$C:$G,3,0),"")</f>
        <v/>
      </c>
      <c r="H568" s="78" t="str">
        <f>IFERROR(VLOOKUP($E568,設定!$C:$G,4,0),"")</f>
        <v/>
      </c>
      <c r="I568" s="78" t="str">
        <f>IFERROR(VLOOKUP($E568,設定!$C:$G,5,0),"")</f>
        <v/>
      </c>
      <c r="J568" s="104"/>
    </row>
    <row r="569" spans="2:10" s="3" customFormat="1" ht="24" customHeight="1" x14ac:dyDescent="0.2">
      <c r="B569" s="74"/>
      <c r="C569" s="75"/>
      <c r="D569" s="76"/>
      <c r="E569" s="77"/>
      <c r="F569" s="78" t="str">
        <f>IFERROR(VLOOKUP($E569,設定!$C:$G,2,0),"")</f>
        <v/>
      </c>
      <c r="G569" s="78" t="str">
        <f>IFERROR(VLOOKUP($E569,設定!$C:$G,3,0),"")</f>
        <v/>
      </c>
      <c r="H569" s="78" t="str">
        <f>IFERROR(VLOOKUP($E569,設定!$C:$G,4,0),"")</f>
        <v/>
      </c>
      <c r="I569" s="78" t="str">
        <f>IFERROR(VLOOKUP($E569,設定!$C:$G,5,0),"")</f>
        <v/>
      </c>
      <c r="J569" s="104"/>
    </row>
    <row r="570" spans="2:10" s="3" customFormat="1" ht="24" customHeight="1" x14ac:dyDescent="0.2">
      <c r="B570" s="74"/>
      <c r="C570" s="75"/>
      <c r="D570" s="76"/>
      <c r="E570" s="77"/>
      <c r="F570" s="78" t="str">
        <f>IFERROR(VLOOKUP($E570,設定!$C:$G,2,0),"")</f>
        <v/>
      </c>
      <c r="G570" s="78" t="str">
        <f>IFERROR(VLOOKUP($E570,設定!$C:$G,3,0),"")</f>
        <v/>
      </c>
      <c r="H570" s="78" t="str">
        <f>IFERROR(VLOOKUP($E570,設定!$C:$G,4,0),"")</f>
        <v/>
      </c>
      <c r="I570" s="78" t="str">
        <f>IFERROR(VLOOKUP($E570,設定!$C:$G,5,0),"")</f>
        <v/>
      </c>
      <c r="J570" s="104"/>
    </row>
    <row r="571" spans="2:10" s="3" customFormat="1" ht="24" customHeight="1" x14ac:dyDescent="0.2">
      <c r="B571" s="74"/>
      <c r="C571" s="75"/>
      <c r="D571" s="76"/>
      <c r="E571" s="77"/>
      <c r="F571" s="78" t="str">
        <f>IFERROR(VLOOKUP($E571,設定!$C:$G,2,0),"")</f>
        <v/>
      </c>
      <c r="G571" s="78" t="str">
        <f>IFERROR(VLOOKUP($E571,設定!$C:$G,3,0),"")</f>
        <v/>
      </c>
      <c r="H571" s="78" t="str">
        <f>IFERROR(VLOOKUP($E571,設定!$C:$G,4,0),"")</f>
        <v/>
      </c>
      <c r="I571" s="78" t="str">
        <f>IFERROR(VLOOKUP($E571,設定!$C:$G,5,0),"")</f>
        <v/>
      </c>
      <c r="J571" s="104"/>
    </row>
    <row r="572" spans="2:10" s="3" customFormat="1" ht="24" customHeight="1" x14ac:dyDescent="0.2">
      <c r="B572" s="74"/>
      <c r="C572" s="75"/>
      <c r="D572" s="76"/>
      <c r="E572" s="77"/>
      <c r="F572" s="78" t="str">
        <f>IFERROR(VLOOKUP($E572,設定!$C:$G,2,0),"")</f>
        <v/>
      </c>
      <c r="G572" s="78" t="str">
        <f>IFERROR(VLOOKUP($E572,設定!$C:$G,3,0),"")</f>
        <v/>
      </c>
      <c r="H572" s="78" t="str">
        <f>IFERROR(VLOOKUP($E572,設定!$C:$G,4,0),"")</f>
        <v/>
      </c>
      <c r="I572" s="78" t="str">
        <f>IFERROR(VLOOKUP($E572,設定!$C:$G,5,0),"")</f>
        <v/>
      </c>
      <c r="J572" s="104"/>
    </row>
    <row r="573" spans="2:10" s="3" customFormat="1" ht="24" customHeight="1" x14ac:dyDescent="0.2">
      <c r="B573" s="74"/>
      <c r="C573" s="75"/>
      <c r="D573" s="76"/>
      <c r="E573" s="77"/>
      <c r="F573" s="78" t="str">
        <f>IFERROR(VLOOKUP($E573,設定!$C:$G,2,0),"")</f>
        <v/>
      </c>
      <c r="G573" s="78" t="str">
        <f>IFERROR(VLOOKUP($E573,設定!$C:$G,3,0),"")</f>
        <v/>
      </c>
      <c r="H573" s="78" t="str">
        <f>IFERROR(VLOOKUP($E573,設定!$C:$G,4,0),"")</f>
        <v/>
      </c>
      <c r="I573" s="78" t="str">
        <f>IFERROR(VLOOKUP($E573,設定!$C:$G,5,0),"")</f>
        <v/>
      </c>
      <c r="J573" s="104"/>
    </row>
    <row r="574" spans="2:10" s="3" customFormat="1" ht="24" customHeight="1" x14ac:dyDescent="0.2">
      <c r="B574" s="74"/>
      <c r="C574" s="75"/>
      <c r="D574" s="76"/>
      <c r="E574" s="77"/>
      <c r="F574" s="78" t="str">
        <f>IFERROR(VLOOKUP($E574,設定!$C:$G,2,0),"")</f>
        <v/>
      </c>
      <c r="G574" s="78" t="str">
        <f>IFERROR(VLOOKUP($E574,設定!$C:$G,3,0),"")</f>
        <v/>
      </c>
      <c r="H574" s="78" t="str">
        <f>IFERROR(VLOOKUP($E574,設定!$C:$G,4,0),"")</f>
        <v/>
      </c>
      <c r="I574" s="78" t="str">
        <f>IFERROR(VLOOKUP($E574,設定!$C:$G,5,0),"")</f>
        <v/>
      </c>
      <c r="J574" s="104"/>
    </row>
    <row r="575" spans="2:10" s="3" customFormat="1" ht="24" customHeight="1" x14ac:dyDescent="0.2">
      <c r="B575" s="74"/>
      <c r="C575" s="75"/>
      <c r="D575" s="76"/>
      <c r="E575" s="77"/>
      <c r="F575" s="78" t="str">
        <f>IFERROR(VLOOKUP($E575,設定!$C:$G,2,0),"")</f>
        <v/>
      </c>
      <c r="G575" s="78" t="str">
        <f>IFERROR(VLOOKUP($E575,設定!$C:$G,3,0),"")</f>
        <v/>
      </c>
      <c r="H575" s="78" t="str">
        <f>IFERROR(VLOOKUP($E575,設定!$C:$G,4,0),"")</f>
        <v/>
      </c>
      <c r="I575" s="78" t="str">
        <f>IFERROR(VLOOKUP($E575,設定!$C:$G,5,0),"")</f>
        <v/>
      </c>
      <c r="J575" s="104"/>
    </row>
    <row r="576" spans="2:10" s="3" customFormat="1" ht="24" customHeight="1" x14ac:dyDescent="0.2">
      <c r="B576" s="74"/>
      <c r="C576" s="75"/>
      <c r="D576" s="76"/>
      <c r="E576" s="77"/>
      <c r="F576" s="78" t="str">
        <f>IFERROR(VLOOKUP($E576,設定!$C:$G,2,0),"")</f>
        <v/>
      </c>
      <c r="G576" s="78" t="str">
        <f>IFERROR(VLOOKUP($E576,設定!$C:$G,3,0),"")</f>
        <v/>
      </c>
      <c r="H576" s="78" t="str">
        <f>IFERROR(VLOOKUP($E576,設定!$C:$G,4,0),"")</f>
        <v/>
      </c>
      <c r="I576" s="78" t="str">
        <f>IFERROR(VLOOKUP($E576,設定!$C:$G,5,0),"")</f>
        <v/>
      </c>
      <c r="J576" s="104"/>
    </row>
    <row r="577" spans="2:10" s="3" customFormat="1" ht="24" customHeight="1" x14ac:dyDescent="0.2">
      <c r="B577" s="74"/>
      <c r="C577" s="75"/>
      <c r="D577" s="76"/>
      <c r="E577" s="77"/>
      <c r="F577" s="78" t="str">
        <f>IFERROR(VLOOKUP($E577,設定!$C:$G,2,0),"")</f>
        <v/>
      </c>
      <c r="G577" s="78" t="str">
        <f>IFERROR(VLOOKUP($E577,設定!$C:$G,3,0),"")</f>
        <v/>
      </c>
      <c r="H577" s="78" t="str">
        <f>IFERROR(VLOOKUP($E577,設定!$C:$G,4,0),"")</f>
        <v/>
      </c>
      <c r="I577" s="78" t="str">
        <f>IFERROR(VLOOKUP($E577,設定!$C:$G,5,0),"")</f>
        <v/>
      </c>
      <c r="J577" s="104"/>
    </row>
    <row r="578" spans="2:10" s="3" customFormat="1" ht="24" customHeight="1" x14ac:dyDescent="0.2">
      <c r="B578" s="74"/>
      <c r="C578" s="75"/>
      <c r="D578" s="76"/>
      <c r="E578" s="77"/>
      <c r="F578" s="78" t="str">
        <f>IFERROR(VLOOKUP($E578,設定!$C:$G,2,0),"")</f>
        <v/>
      </c>
      <c r="G578" s="78" t="str">
        <f>IFERROR(VLOOKUP($E578,設定!$C:$G,3,0),"")</f>
        <v/>
      </c>
      <c r="H578" s="78" t="str">
        <f>IFERROR(VLOOKUP($E578,設定!$C:$G,4,0),"")</f>
        <v/>
      </c>
      <c r="I578" s="78" t="str">
        <f>IFERROR(VLOOKUP($E578,設定!$C:$G,5,0),"")</f>
        <v/>
      </c>
      <c r="J578" s="104"/>
    </row>
    <row r="579" spans="2:10" s="3" customFormat="1" ht="24" customHeight="1" x14ac:dyDescent="0.2">
      <c r="B579" s="74"/>
      <c r="C579" s="75"/>
      <c r="D579" s="76"/>
      <c r="E579" s="77"/>
      <c r="F579" s="78" t="str">
        <f>IFERROR(VLOOKUP($E579,設定!$C:$G,2,0),"")</f>
        <v/>
      </c>
      <c r="G579" s="78" t="str">
        <f>IFERROR(VLOOKUP($E579,設定!$C:$G,3,0),"")</f>
        <v/>
      </c>
      <c r="H579" s="78" t="str">
        <f>IFERROR(VLOOKUP($E579,設定!$C:$G,4,0),"")</f>
        <v/>
      </c>
      <c r="I579" s="78" t="str">
        <f>IFERROR(VLOOKUP($E579,設定!$C:$G,5,0),"")</f>
        <v/>
      </c>
      <c r="J579" s="104"/>
    </row>
    <row r="580" spans="2:10" s="3" customFormat="1" ht="24" customHeight="1" x14ac:dyDescent="0.2">
      <c r="B580" s="74"/>
      <c r="C580" s="75"/>
      <c r="D580" s="76"/>
      <c r="E580" s="77"/>
      <c r="F580" s="78" t="str">
        <f>IFERROR(VLOOKUP($E580,設定!$C:$G,2,0),"")</f>
        <v/>
      </c>
      <c r="G580" s="78" t="str">
        <f>IFERROR(VLOOKUP($E580,設定!$C:$G,3,0),"")</f>
        <v/>
      </c>
      <c r="H580" s="78" t="str">
        <f>IFERROR(VLOOKUP($E580,設定!$C:$G,4,0),"")</f>
        <v/>
      </c>
      <c r="I580" s="78" t="str">
        <f>IFERROR(VLOOKUP($E580,設定!$C:$G,5,0),"")</f>
        <v/>
      </c>
      <c r="J580" s="104"/>
    </row>
    <row r="581" spans="2:10" s="3" customFormat="1" ht="24" customHeight="1" x14ac:dyDescent="0.2">
      <c r="B581" s="74"/>
      <c r="C581" s="75"/>
      <c r="D581" s="76"/>
      <c r="E581" s="77"/>
      <c r="F581" s="78" t="str">
        <f>IFERROR(VLOOKUP($E581,設定!$C:$G,2,0),"")</f>
        <v/>
      </c>
      <c r="G581" s="78" t="str">
        <f>IFERROR(VLOOKUP($E581,設定!$C:$G,3,0),"")</f>
        <v/>
      </c>
      <c r="H581" s="78" t="str">
        <f>IFERROR(VLOOKUP($E581,設定!$C:$G,4,0),"")</f>
        <v/>
      </c>
      <c r="I581" s="78" t="str">
        <f>IFERROR(VLOOKUP($E581,設定!$C:$G,5,0),"")</f>
        <v/>
      </c>
      <c r="J581" s="104"/>
    </row>
    <row r="582" spans="2:10" s="3" customFormat="1" ht="24" customHeight="1" x14ac:dyDescent="0.2">
      <c r="B582" s="74"/>
      <c r="C582" s="75"/>
      <c r="D582" s="76"/>
      <c r="E582" s="77"/>
      <c r="F582" s="78" t="str">
        <f>IFERROR(VLOOKUP($E582,設定!$C:$G,2,0),"")</f>
        <v/>
      </c>
      <c r="G582" s="78" t="str">
        <f>IFERROR(VLOOKUP($E582,設定!$C:$G,3,0),"")</f>
        <v/>
      </c>
      <c r="H582" s="78" t="str">
        <f>IFERROR(VLOOKUP($E582,設定!$C:$G,4,0),"")</f>
        <v/>
      </c>
      <c r="I582" s="78" t="str">
        <f>IFERROR(VLOOKUP($E582,設定!$C:$G,5,0),"")</f>
        <v/>
      </c>
      <c r="J582" s="104"/>
    </row>
    <row r="583" spans="2:10" s="3" customFormat="1" ht="24" customHeight="1" x14ac:dyDescent="0.2">
      <c r="B583" s="74"/>
      <c r="C583" s="75"/>
      <c r="D583" s="76"/>
      <c r="E583" s="77"/>
      <c r="F583" s="78" t="str">
        <f>IFERROR(VLOOKUP($E583,設定!$C:$G,2,0),"")</f>
        <v/>
      </c>
      <c r="G583" s="78" t="str">
        <f>IFERROR(VLOOKUP($E583,設定!$C:$G,3,0),"")</f>
        <v/>
      </c>
      <c r="H583" s="78" t="str">
        <f>IFERROR(VLOOKUP($E583,設定!$C:$G,4,0),"")</f>
        <v/>
      </c>
      <c r="I583" s="78" t="str">
        <f>IFERROR(VLOOKUP($E583,設定!$C:$G,5,0),"")</f>
        <v/>
      </c>
      <c r="J583" s="104"/>
    </row>
    <row r="584" spans="2:10" s="3" customFormat="1" ht="24" customHeight="1" x14ac:dyDescent="0.2">
      <c r="B584" s="74"/>
      <c r="C584" s="75"/>
      <c r="D584" s="76"/>
      <c r="E584" s="77"/>
      <c r="F584" s="78" t="str">
        <f>IFERROR(VLOOKUP($E584,設定!$C:$G,2,0),"")</f>
        <v/>
      </c>
      <c r="G584" s="78" t="str">
        <f>IFERROR(VLOOKUP($E584,設定!$C:$G,3,0),"")</f>
        <v/>
      </c>
      <c r="H584" s="78" t="str">
        <f>IFERROR(VLOOKUP($E584,設定!$C:$G,4,0),"")</f>
        <v/>
      </c>
      <c r="I584" s="78" t="str">
        <f>IFERROR(VLOOKUP($E584,設定!$C:$G,5,0),"")</f>
        <v/>
      </c>
      <c r="J584" s="104"/>
    </row>
    <row r="585" spans="2:10" s="3" customFormat="1" ht="24" customHeight="1" x14ac:dyDescent="0.2">
      <c r="B585" s="74"/>
      <c r="C585" s="75"/>
      <c r="D585" s="76"/>
      <c r="E585" s="77"/>
      <c r="F585" s="78" t="str">
        <f>IFERROR(VLOOKUP($E585,設定!$C:$G,2,0),"")</f>
        <v/>
      </c>
      <c r="G585" s="78" t="str">
        <f>IFERROR(VLOOKUP($E585,設定!$C:$G,3,0),"")</f>
        <v/>
      </c>
      <c r="H585" s="78" t="str">
        <f>IFERROR(VLOOKUP($E585,設定!$C:$G,4,0),"")</f>
        <v/>
      </c>
      <c r="I585" s="78" t="str">
        <f>IFERROR(VLOOKUP($E585,設定!$C:$G,5,0),"")</f>
        <v/>
      </c>
      <c r="J585" s="104"/>
    </row>
    <row r="586" spans="2:10" s="3" customFormat="1" ht="24" customHeight="1" x14ac:dyDescent="0.2">
      <c r="B586" s="74"/>
      <c r="C586" s="75"/>
      <c r="D586" s="76"/>
      <c r="E586" s="77"/>
      <c r="F586" s="78" t="str">
        <f>IFERROR(VLOOKUP($E586,設定!$C:$G,2,0),"")</f>
        <v/>
      </c>
      <c r="G586" s="78" t="str">
        <f>IFERROR(VLOOKUP($E586,設定!$C:$G,3,0),"")</f>
        <v/>
      </c>
      <c r="H586" s="78" t="str">
        <f>IFERROR(VLOOKUP($E586,設定!$C:$G,4,0),"")</f>
        <v/>
      </c>
      <c r="I586" s="78" t="str">
        <f>IFERROR(VLOOKUP($E586,設定!$C:$G,5,0),"")</f>
        <v/>
      </c>
      <c r="J586" s="104"/>
    </row>
    <row r="587" spans="2:10" s="3" customFormat="1" ht="24" customHeight="1" x14ac:dyDescent="0.2">
      <c r="B587" s="74"/>
      <c r="C587" s="75"/>
      <c r="D587" s="76"/>
      <c r="E587" s="77"/>
      <c r="F587" s="78" t="str">
        <f>IFERROR(VLOOKUP($E587,設定!$C:$G,2,0),"")</f>
        <v/>
      </c>
      <c r="G587" s="78" t="str">
        <f>IFERROR(VLOOKUP($E587,設定!$C:$G,3,0),"")</f>
        <v/>
      </c>
      <c r="H587" s="78" t="str">
        <f>IFERROR(VLOOKUP($E587,設定!$C:$G,4,0),"")</f>
        <v/>
      </c>
      <c r="I587" s="78" t="str">
        <f>IFERROR(VLOOKUP($E587,設定!$C:$G,5,0),"")</f>
        <v/>
      </c>
      <c r="J587" s="104"/>
    </row>
    <row r="588" spans="2:10" s="3" customFormat="1" ht="24" customHeight="1" x14ac:dyDescent="0.2">
      <c r="B588" s="74"/>
      <c r="C588" s="75"/>
      <c r="D588" s="76"/>
      <c r="E588" s="77"/>
      <c r="F588" s="78" t="str">
        <f>IFERROR(VLOOKUP($E588,設定!$C:$G,2,0),"")</f>
        <v/>
      </c>
      <c r="G588" s="78" t="str">
        <f>IFERROR(VLOOKUP($E588,設定!$C:$G,3,0),"")</f>
        <v/>
      </c>
      <c r="H588" s="78" t="str">
        <f>IFERROR(VLOOKUP($E588,設定!$C:$G,4,0),"")</f>
        <v/>
      </c>
      <c r="I588" s="78" t="str">
        <f>IFERROR(VLOOKUP($E588,設定!$C:$G,5,0),"")</f>
        <v/>
      </c>
      <c r="J588" s="104"/>
    </row>
    <row r="589" spans="2:10" s="3" customFormat="1" ht="24" customHeight="1" x14ac:dyDescent="0.2">
      <c r="B589" s="74"/>
      <c r="C589" s="75"/>
      <c r="D589" s="76"/>
      <c r="E589" s="77"/>
      <c r="F589" s="78" t="str">
        <f>IFERROR(VLOOKUP($E589,設定!$C:$G,2,0),"")</f>
        <v/>
      </c>
      <c r="G589" s="78" t="str">
        <f>IFERROR(VLOOKUP($E589,設定!$C:$G,3,0),"")</f>
        <v/>
      </c>
      <c r="H589" s="78" t="str">
        <f>IFERROR(VLOOKUP($E589,設定!$C:$G,4,0),"")</f>
        <v/>
      </c>
      <c r="I589" s="78" t="str">
        <f>IFERROR(VLOOKUP($E589,設定!$C:$G,5,0),"")</f>
        <v/>
      </c>
      <c r="J589" s="104"/>
    </row>
    <row r="590" spans="2:10" s="3" customFormat="1" ht="24" customHeight="1" x14ac:dyDescent="0.2">
      <c r="B590" s="74"/>
      <c r="C590" s="75"/>
      <c r="D590" s="76"/>
      <c r="E590" s="77"/>
      <c r="F590" s="78" t="str">
        <f>IFERROR(VLOOKUP($E590,設定!$C:$G,2,0),"")</f>
        <v/>
      </c>
      <c r="G590" s="78" t="str">
        <f>IFERROR(VLOOKUP($E590,設定!$C:$G,3,0),"")</f>
        <v/>
      </c>
      <c r="H590" s="78" t="str">
        <f>IFERROR(VLOOKUP($E590,設定!$C:$G,4,0),"")</f>
        <v/>
      </c>
      <c r="I590" s="78" t="str">
        <f>IFERROR(VLOOKUP($E590,設定!$C:$G,5,0),"")</f>
        <v/>
      </c>
      <c r="J590" s="104"/>
    </row>
    <row r="591" spans="2:10" s="3" customFormat="1" ht="24" customHeight="1" x14ac:dyDescent="0.2">
      <c r="B591" s="74"/>
      <c r="C591" s="75"/>
      <c r="D591" s="76"/>
      <c r="E591" s="77"/>
      <c r="F591" s="78" t="str">
        <f>IFERROR(VLOOKUP($E591,設定!$C:$G,2,0),"")</f>
        <v/>
      </c>
      <c r="G591" s="78" t="str">
        <f>IFERROR(VLOOKUP($E591,設定!$C:$G,3,0),"")</f>
        <v/>
      </c>
      <c r="H591" s="78" t="str">
        <f>IFERROR(VLOOKUP($E591,設定!$C:$G,4,0),"")</f>
        <v/>
      </c>
      <c r="I591" s="78" t="str">
        <f>IFERROR(VLOOKUP($E591,設定!$C:$G,5,0),"")</f>
        <v/>
      </c>
      <c r="J591" s="104"/>
    </row>
    <row r="592" spans="2:10" s="3" customFormat="1" ht="24" customHeight="1" x14ac:dyDescent="0.2">
      <c r="B592" s="74"/>
      <c r="C592" s="75"/>
      <c r="D592" s="76"/>
      <c r="E592" s="77"/>
      <c r="F592" s="78" t="str">
        <f>IFERROR(VLOOKUP($E592,設定!$C:$G,2,0),"")</f>
        <v/>
      </c>
      <c r="G592" s="78" t="str">
        <f>IFERROR(VLOOKUP($E592,設定!$C:$G,3,0),"")</f>
        <v/>
      </c>
      <c r="H592" s="78" t="str">
        <f>IFERROR(VLOOKUP($E592,設定!$C:$G,4,0),"")</f>
        <v/>
      </c>
      <c r="I592" s="78" t="str">
        <f>IFERROR(VLOOKUP($E592,設定!$C:$G,5,0),"")</f>
        <v/>
      </c>
      <c r="J592" s="104"/>
    </row>
    <row r="593" spans="2:10" s="3" customFormat="1" ht="24" customHeight="1" x14ac:dyDescent="0.2">
      <c r="B593" s="74"/>
      <c r="C593" s="75"/>
      <c r="D593" s="76"/>
      <c r="E593" s="77"/>
      <c r="F593" s="78" t="str">
        <f>IFERROR(VLOOKUP($E593,設定!$C:$G,2,0),"")</f>
        <v/>
      </c>
      <c r="G593" s="78" t="str">
        <f>IFERROR(VLOOKUP($E593,設定!$C:$G,3,0),"")</f>
        <v/>
      </c>
      <c r="H593" s="78" t="str">
        <f>IFERROR(VLOOKUP($E593,設定!$C:$G,4,0),"")</f>
        <v/>
      </c>
      <c r="I593" s="78" t="str">
        <f>IFERROR(VLOOKUP($E593,設定!$C:$G,5,0),"")</f>
        <v/>
      </c>
      <c r="J593" s="104"/>
    </row>
    <row r="594" spans="2:10" s="3" customFormat="1" ht="24" customHeight="1" x14ac:dyDescent="0.2">
      <c r="B594" s="74"/>
      <c r="C594" s="75"/>
      <c r="D594" s="76"/>
      <c r="E594" s="77"/>
      <c r="F594" s="78" t="str">
        <f>IFERROR(VLOOKUP($E594,設定!$C:$G,2,0),"")</f>
        <v/>
      </c>
      <c r="G594" s="78" t="str">
        <f>IFERROR(VLOOKUP($E594,設定!$C:$G,3,0),"")</f>
        <v/>
      </c>
      <c r="H594" s="78" t="str">
        <f>IFERROR(VLOOKUP($E594,設定!$C:$G,4,0),"")</f>
        <v/>
      </c>
      <c r="I594" s="78" t="str">
        <f>IFERROR(VLOOKUP($E594,設定!$C:$G,5,0),"")</f>
        <v/>
      </c>
      <c r="J594" s="104"/>
    </row>
    <row r="595" spans="2:10" s="3" customFormat="1" ht="24" customHeight="1" x14ac:dyDescent="0.2">
      <c r="B595" s="74"/>
      <c r="C595" s="75"/>
      <c r="D595" s="76"/>
      <c r="E595" s="77"/>
      <c r="F595" s="78" t="str">
        <f>IFERROR(VLOOKUP($E595,設定!$C:$G,2,0),"")</f>
        <v/>
      </c>
      <c r="G595" s="78" t="str">
        <f>IFERROR(VLOOKUP($E595,設定!$C:$G,3,0),"")</f>
        <v/>
      </c>
      <c r="H595" s="78" t="str">
        <f>IFERROR(VLOOKUP($E595,設定!$C:$G,4,0),"")</f>
        <v/>
      </c>
      <c r="I595" s="78" t="str">
        <f>IFERROR(VLOOKUP($E595,設定!$C:$G,5,0),"")</f>
        <v/>
      </c>
      <c r="J595" s="104"/>
    </row>
    <row r="596" spans="2:10" s="3" customFormat="1" ht="24" customHeight="1" x14ac:dyDescent="0.2">
      <c r="B596" s="74"/>
      <c r="C596" s="75"/>
      <c r="D596" s="76"/>
      <c r="E596" s="77"/>
      <c r="F596" s="78" t="str">
        <f>IFERROR(VLOOKUP($E596,設定!$C:$G,2,0),"")</f>
        <v/>
      </c>
      <c r="G596" s="78" t="str">
        <f>IFERROR(VLOOKUP($E596,設定!$C:$G,3,0),"")</f>
        <v/>
      </c>
      <c r="H596" s="78" t="str">
        <f>IFERROR(VLOOKUP($E596,設定!$C:$G,4,0),"")</f>
        <v/>
      </c>
      <c r="I596" s="78" t="str">
        <f>IFERROR(VLOOKUP($E596,設定!$C:$G,5,0),"")</f>
        <v/>
      </c>
      <c r="J596" s="104"/>
    </row>
    <row r="597" spans="2:10" s="3" customFormat="1" ht="24" customHeight="1" x14ac:dyDescent="0.2">
      <c r="B597" s="74"/>
      <c r="C597" s="75"/>
      <c r="D597" s="76"/>
      <c r="E597" s="77"/>
      <c r="F597" s="78" t="str">
        <f>IFERROR(VLOOKUP($E597,設定!$C:$G,2,0),"")</f>
        <v/>
      </c>
      <c r="G597" s="78" t="str">
        <f>IFERROR(VLOOKUP($E597,設定!$C:$G,3,0),"")</f>
        <v/>
      </c>
      <c r="H597" s="78" t="str">
        <f>IFERROR(VLOOKUP($E597,設定!$C:$G,4,0),"")</f>
        <v/>
      </c>
      <c r="I597" s="78" t="str">
        <f>IFERROR(VLOOKUP($E597,設定!$C:$G,5,0),"")</f>
        <v/>
      </c>
      <c r="J597" s="104"/>
    </row>
    <row r="598" spans="2:10" s="3" customFormat="1" ht="24" customHeight="1" x14ac:dyDescent="0.2">
      <c r="B598" s="74"/>
      <c r="C598" s="75"/>
      <c r="D598" s="76"/>
      <c r="E598" s="77"/>
      <c r="F598" s="78" t="str">
        <f>IFERROR(VLOOKUP($E598,設定!$C:$G,2,0),"")</f>
        <v/>
      </c>
      <c r="G598" s="78" t="str">
        <f>IFERROR(VLOOKUP($E598,設定!$C:$G,3,0),"")</f>
        <v/>
      </c>
      <c r="H598" s="78" t="str">
        <f>IFERROR(VLOOKUP($E598,設定!$C:$G,4,0),"")</f>
        <v/>
      </c>
      <c r="I598" s="78" t="str">
        <f>IFERROR(VLOOKUP($E598,設定!$C:$G,5,0),"")</f>
        <v/>
      </c>
      <c r="J598" s="104"/>
    </row>
    <row r="599" spans="2:10" s="3" customFormat="1" ht="24" customHeight="1" x14ac:dyDescent="0.2">
      <c r="B599" s="74"/>
      <c r="C599" s="75"/>
      <c r="D599" s="76"/>
      <c r="E599" s="77"/>
      <c r="F599" s="78" t="str">
        <f>IFERROR(VLOOKUP($E599,設定!$C:$G,2,0),"")</f>
        <v/>
      </c>
      <c r="G599" s="78" t="str">
        <f>IFERROR(VLOOKUP($E599,設定!$C:$G,3,0),"")</f>
        <v/>
      </c>
      <c r="H599" s="78" t="str">
        <f>IFERROR(VLOOKUP($E599,設定!$C:$G,4,0),"")</f>
        <v/>
      </c>
      <c r="I599" s="78" t="str">
        <f>IFERROR(VLOOKUP($E599,設定!$C:$G,5,0),"")</f>
        <v/>
      </c>
      <c r="J599" s="104"/>
    </row>
    <row r="600" spans="2:10" s="3" customFormat="1" ht="24" customHeight="1" x14ac:dyDescent="0.2">
      <c r="B600" s="74"/>
      <c r="C600" s="75"/>
      <c r="D600" s="76"/>
      <c r="E600" s="77"/>
      <c r="F600" s="78" t="str">
        <f>IFERROR(VLOOKUP($E600,設定!$C:$G,2,0),"")</f>
        <v/>
      </c>
      <c r="G600" s="78" t="str">
        <f>IFERROR(VLOOKUP($E600,設定!$C:$G,3,0),"")</f>
        <v/>
      </c>
      <c r="H600" s="78" t="str">
        <f>IFERROR(VLOOKUP($E600,設定!$C:$G,4,0),"")</f>
        <v/>
      </c>
      <c r="I600" s="78" t="str">
        <f>IFERROR(VLOOKUP($E600,設定!$C:$G,5,0),"")</f>
        <v/>
      </c>
      <c r="J600" s="104"/>
    </row>
    <row r="601" spans="2:10" s="3" customFormat="1" ht="24" customHeight="1" x14ac:dyDescent="0.2">
      <c r="B601" s="74"/>
      <c r="C601" s="75"/>
      <c r="D601" s="76"/>
      <c r="E601" s="77"/>
      <c r="F601" s="78" t="str">
        <f>IFERROR(VLOOKUP($E601,設定!$C:$G,2,0),"")</f>
        <v/>
      </c>
      <c r="G601" s="78" t="str">
        <f>IFERROR(VLOOKUP($E601,設定!$C:$G,3,0),"")</f>
        <v/>
      </c>
      <c r="H601" s="78" t="str">
        <f>IFERROR(VLOOKUP($E601,設定!$C:$G,4,0),"")</f>
        <v/>
      </c>
      <c r="I601" s="78" t="str">
        <f>IFERROR(VLOOKUP($E601,設定!$C:$G,5,0),"")</f>
        <v/>
      </c>
      <c r="J601" s="104"/>
    </row>
    <row r="602" spans="2:10" s="3" customFormat="1" ht="24" customHeight="1" x14ac:dyDescent="0.2">
      <c r="B602" s="74"/>
      <c r="C602" s="75"/>
      <c r="D602" s="76"/>
      <c r="E602" s="77"/>
      <c r="F602" s="78" t="str">
        <f>IFERROR(VLOOKUP($E602,設定!$C:$G,2,0),"")</f>
        <v/>
      </c>
      <c r="G602" s="78" t="str">
        <f>IFERROR(VLOOKUP($E602,設定!$C:$G,3,0),"")</f>
        <v/>
      </c>
      <c r="H602" s="78" t="str">
        <f>IFERROR(VLOOKUP($E602,設定!$C:$G,4,0),"")</f>
        <v/>
      </c>
      <c r="I602" s="78" t="str">
        <f>IFERROR(VLOOKUP($E602,設定!$C:$G,5,0),"")</f>
        <v/>
      </c>
      <c r="J602" s="104"/>
    </row>
    <row r="603" spans="2:10" s="3" customFormat="1" ht="24" customHeight="1" x14ac:dyDescent="0.2">
      <c r="B603" s="74"/>
      <c r="C603" s="75"/>
      <c r="D603" s="76"/>
      <c r="E603" s="77"/>
      <c r="F603" s="78" t="str">
        <f>IFERROR(VLOOKUP($E603,設定!$C:$G,2,0),"")</f>
        <v/>
      </c>
      <c r="G603" s="78" t="str">
        <f>IFERROR(VLOOKUP($E603,設定!$C:$G,3,0),"")</f>
        <v/>
      </c>
      <c r="H603" s="78" t="str">
        <f>IFERROR(VLOOKUP($E603,設定!$C:$G,4,0),"")</f>
        <v/>
      </c>
      <c r="I603" s="78" t="str">
        <f>IFERROR(VLOOKUP($E603,設定!$C:$G,5,0),"")</f>
        <v/>
      </c>
      <c r="J603" s="104"/>
    </row>
    <row r="604" spans="2:10" s="3" customFormat="1" ht="24" customHeight="1" x14ac:dyDescent="0.2">
      <c r="B604" s="74"/>
      <c r="C604" s="75"/>
      <c r="D604" s="76"/>
      <c r="E604" s="77"/>
      <c r="F604" s="78" t="str">
        <f>IFERROR(VLOOKUP($E604,設定!$C:$G,2,0),"")</f>
        <v/>
      </c>
      <c r="G604" s="78" t="str">
        <f>IFERROR(VLOOKUP($E604,設定!$C:$G,3,0),"")</f>
        <v/>
      </c>
      <c r="H604" s="78" t="str">
        <f>IFERROR(VLOOKUP($E604,設定!$C:$G,4,0),"")</f>
        <v/>
      </c>
      <c r="I604" s="78" t="str">
        <f>IFERROR(VLOOKUP($E604,設定!$C:$G,5,0),"")</f>
        <v/>
      </c>
      <c r="J604" s="104"/>
    </row>
    <row r="605" spans="2:10" s="3" customFormat="1" ht="24" customHeight="1" x14ac:dyDescent="0.2">
      <c r="B605" s="74"/>
      <c r="C605" s="75"/>
      <c r="D605" s="76"/>
      <c r="E605" s="77"/>
      <c r="F605" s="78" t="str">
        <f>IFERROR(VLOOKUP($E605,設定!$C:$G,2,0),"")</f>
        <v/>
      </c>
      <c r="G605" s="78" t="str">
        <f>IFERROR(VLOOKUP($E605,設定!$C:$G,3,0),"")</f>
        <v/>
      </c>
      <c r="H605" s="78" t="str">
        <f>IFERROR(VLOOKUP($E605,設定!$C:$G,4,0),"")</f>
        <v/>
      </c>
      <c r="I605" s="78" t="str">
        <f>IFERROR(VLOOKUP($E605,設定!$C:$G,5,0),"")</f>
        <v/>
      </c>
      <c r="J605" s="104"/>
    </row>
    <row r="606" spans="2:10" s="3" customFormat="1" ht="24" customHeight="1" x14ac:dyDescent="0.2">
      <c r="B606" s="74"/>
      <c r="C606" s="75"/>
      <c r="D606" s="76"/>
      <c r="E606" s="77"/>
      <c r="F606" s="78" t="str">
        <f>IFERROR(VLOOKUP($E606,設定!$C:$G,2,0),"")</f>
        <v/>
      </c>
      <c r="G606" s="78" t="str">
        <f>IFERROR(VLOOKUP($E606,設定!$C:$G,3,0),"")</f>
        <v/>
      </c>
      <c r="H606" s="78" t="str">
        <f>IFERROR(VLOOKUP($E606,設定!$C:$G,4,0),"")</f>
        <v/>
      </c>
      <c r="I606" s="78" t="str">
        <f>IFERROR(VLOOKUP($E606,設定!$C:$G,5,0),"")</f>
        <v/>
      </c>
      <c r="J606" s="104"/>
    </row>
    <row r="607" spans="2:10" s="3" customFormat="1" ht="24" customHeight="1" x14ac:dyDescent="0.2">
      <c r="B607" s="74"/>
      <c r="C607" s="75"/>
      <c r="D607" s="76"/>
      <c r="E607" s="77"/>
      <c r="F607" s="78" t="str">
        <f>IFERROR(VLOOKUP($E607,設定!$C:$G,2,0),"")</f>
        <v/>
      </c>
      <c r="G607" s="78" t="str">
        <f>IFERROR(VLOOKUP($E607,設定!$C:$G,3,0),"")</f>
        <v/>
      </c>
      <c r="H607" s="78" t="str">
        <f>IFERROR(VLOOKUP($E607,設定!$C:$G,4,0),"")</f>
        <v/>
      </c>
      <c r="I607" s="78" t="str">
        <f>IFERROR(VLOOKUP($E607,設定!$C:$G,5,0),"")</f>
        <v/>
      </c>
      <c r="J607" s="104"/>
    </row>
    <row r="608" spans="2:10" s="3" customFormat="1" ht="24" customHeight="1" x14ac:dyDescent="0.2">
      <c r="B608" s="74"/>
      <c r="C608" s="75"/>
      <c r="D608" s="76"/>
      <c r="E608" s="77"/>
      <c r="F608" s="78" t="str">
        <f>IFERROR(VLOOKUP($E608,設定!$C:$G,2,0),"")</f>
        <v/>
      </c>
      <c r="G608" s="78" t="str">
        <f>IFERROR(VLOOKUP($E608,設定!$C:$G,3,0),"")</f>
        <v/>
      </c>
      <c r="H608" s="78" t="str">
        <f>IFERROR(VLOOKUP($E608,設定!$C:$G,4,0),"")</f>
        <v/>
      </c>
      <c r="I608" s="78" t="str">
        <f>IFERROR(VLOOKUP($E608,設定!$C:$G,5,0),"")</f>
        <v/>
      </c>
      <c r="J608" s="104"/>
    </row>
    <row r="609" spans="2:10" s="3" customFormat="1" ht="24" customHeight="1" x14ac:dyDescent="0.2">
      <c r="B609" s="74"/>
      <c r="C609" s="75"/>
      <c r="D609" s="76"/>
      <c r="E609" s="77"/>
      <c r="F609" s="78" t="str">
        <f>IFERROR(VLOOKUP($E609,設定!$C:$G,2,0),"")</f>
        <v/>
      </c>
      <c r="G609" s="78" t="str">
        <f>IFERROR(VLOOKUP($E609,設定!$C:$G,3,0),"")</f>
        <v/>
      </c>
      <c r="H609" s="78" t="str">
        <f>IFERROR(VLOOKUP($E609,設定!$C:$G,4,0),"")</f>
        <v/>
      </c>
      <c r="I609" s="78" t="str">
        <f>IFERROR(VLOOKUP($E609,設定!$C:$G,5,0),"")</f>
        <v/>
      </c>
      <c r="J609" s="104"/>
    </row>
    <row r="610" spans="2:10" s="3" customFormat="1" ht="24" customHeight="1" x14ac:dyDescent="0.2">
      <c r="B610" s="74"/>
      <c r="C610" s="75"/>
      <c r="D610" s="76"/>
      <c r="E610" s="77"/>
      <c r="F610" s="78" t="str">
        <f>IFERROR(VLOOKUP($E610,設定!$C:$G,2,0),"")</f>
        <v/>
      </c>
      <c r="G610" s="78" t="str">
        <f>IFERROR(VLOOKUP($E610,設定!$C:$G,3,0),"")</f>
        <v/>
      </c>
      <c r="H610" s="78" t="str">
        <f>IFERROR(VLOOKUP($E610,設定!$C:$G,4,0),"")</f>
        <v/>
      </c>
      <c r="I610" s="78" t="str">
        <f>IFERROR(VLOOKUP($E610,設定!$C:$G,5,0),"")</f>
        <v/>
      </c>
      <c r="J610" s="104"/>
    </row>
    <row r="611" spans="2:10" s="3" customFormat="1" ht="24" customHeight="1" x14ac:dyDescent="0.2">
      <c r="B611" s="74"/>
      <c r="C611" s="75"/>
      <c r="D611" s="76"/>
      <c r="E611" s="77"/>
      <c r="F611" s="78" t="str">
        <f>IFERROR(VLOOKUP($E611,設定!$C:$G,2,0),"")</f>
        <v/>
      </c>
      <c r="G611" s="78" t="str">
        <f>IFERROR(VLOOKUP($E611,設定!$C:$G,3,0),"")</f>
        <v/>
      </c>
      <c r="H611" s="78" t="str">
        <f>IFERROR(VLOOKUP($E611,設定!$C:$G,4,0),"")</f>
        <v/>
      </c>
      <c r="I611" s="78" t="str">
        <f>IFERROR(VLOOKUP($E611,設定!$C:$G,5,0),"")</f>
        <v/>
      </c>
      <c r="J611" s="104"/>
    </row>
    <row r="612" spans="2:10" s="3" customFormat="1" ht="24" customHeight="1" x14ac:dyDescent="0.2">
      <c r="B612" s="74"/>
      <c r="C612" s="75"/>
      <c r="D612" s="76"/>
      <c r="E612" s="77"/>
      <c r="F612" s="78" t="str">
        <f>IFERROR(VLOOKUP($E612,設定!$C:$G,2,0),"")</f>
        <v/>
      </c>
      <c r="G612" s="78" t="str">
        <f>IFERROR(VLOOKUP($E612,設定!$C:$G,3,0),"")</f>
        <v/>
      </c>
      <c r="H612" s="78" t="str">
        <f>IFERROR(VLOOKUP($E612,設定!$C:$G,4,0),"")</f>
        <v/>
      </c>
      <c r="I612" s="78" t="str">
        <f>IFERROR(VLOOKUP($E612,設定!$C:$G,5,0),"")</f>
        <v/>
      </c>
      <c r="J612" s="104"/>
    </row>
    <row r="613" spans="2:10" s="3" customFormat="1" ht="24" customHeight="1" x14ac:dyDescent="0.2">
      <c r="B613" s="74"/>
      <c r="C613" s="75"/>
      <c r="D613" s="76"/>
      <c r="E613" s="77"/>
      <c r="F613" s="78" t="str">
        <f>IFERROR(VLOOKUP($E613,設定!$C:$G,2,0),"")</f>
        <v/>
      </c>
      <c r="G613" s="78" t="str">
        <f>IFERROR(VLOOKUP($E613,設定!$C:$G,3,0),"")</f>
        <v/>
      </c>
      <c r="H613" s="78" t="str">
        <f>IFERROR(VLOOKUP($E613,設定!$C:$G,4,0),"")</f>
        <v/>
      </c>
      <c r="I613" s="78" t="str">
        <f>IFERROR(VLOOKUP($E613,設定!$C:$G,5,0),"")</f>
        <v/>
      </c>
      <c r="J613" s="104"/>
    </row>
    <row r="614" spans="2:10" s="3" customFormat="1" ht="24" customHeight="1" x14ac:dyDescent="0.2">
      <c r="B614" s="74"/>
      <c r="C614" s="75"/>
      <c r="D614" s="76"/>
      <c r="E614" s="77"/>
      <c r="F614" s="78" t="str">
        <f>IFERROR(VLOOKUP($E614,設定!$C:$G,2,0),"")</f>
        <v/>
      </c>
      <c r="G614" s="78" t="str">
        <f>IFERROR(VLOOKUP($E614,設定!$C:$G,3,0),"")</f>
        <v/>
      </c>
      <c r="H614" s="78" t="str">
        <f>IFERROR(VLOOKUP($E614,設定!$C:$G,4,0),"")</f>
        <v/>
      </c>
      <c r="I614" s="78" t="str">
        <f>IFERROR(VLOOKUP($E614,設定!$C:$G,5,0),"")</f>
        <v/>
      </c>
      <c r="J614" s="104"/>
    </row>
    <row r="615" spans="2:10" s="3" customFormat="1" ht="24" customHeight="1" x14ac:dyDescent="0.2">
      <c r="B615" s="74"/>
      <c r="C615" s="75"/>
      <c r="D615" s="76"/>
      <c r="E615" s="77"/>
      <c r="F615" s="78" t="str">
        <f>IFERROR(VLOOKUP($E615,設定!$C:$G,2,0),"")</f>
        <v/>
      </c>
      <c r="G615" s="78" t="str">
        <f>IFERROR(VLOOKUP($E615,設定!$C:$G,3,0),"")</f>
        <v/>
      </c>
      <c r="H615" s="78" t="str">
        <f>IFERROR(VLOOKUP($E615,設定!$C:$G,4,0),"")</f>
        <v/>
      </c>
      <c r="I615" s="78" t="str">
        <f>IFERROR(VLOOKUP($E615,設定!$C:$G,5,0),"")</f>
        <v/>
      </c>
      <c r="J615" s="104"/>
    </row>
    <row r="616" spans="2:10" s="3" customFormat="1" ht="24" customHeight="1" x14ac:dyDescent="0.2">
      <c r="B616" s="74"/>
      <c r="C616" s="75"/>
      <c r="D616" s="76"/>
      <c r="E616" s="77"/>
      <c r="F616" s="78" t="str">
        <f>IFERROR(VLOOKUP($E616,設定!$C:$G,2,0),"")</f>
        <v/>
      </c>
      <c r="G616" s="78" t="str">
        <f>IFERROR(VLOOKUP($E616,設定!$C:$G,3,0),"")</f>
        <v/>
      </c>
      <c r="H616" s="78" t="str">
        <f>IFERROR(VLOOKUP($E616,設定!$C:$G,4,0),"")</f>
        <v/>
      </c>
      <c r="I616" s="78" t="str">
        <f>IFERROR(VLOOKUP($E616,設定!$C:$G,5,0),"")</f>
        <v/>
      </c>
      <c r="J616" s="104"/>
    </row>
    <row r="617" spans="2:10" s="3" customFormat="1" ht="24" customHeight="1" x14ac:dyDescent="0.2">
      <c r="B617" s="74"/>
      <c r="C617" s="75"/>
      <c r="D617" s="76"/>
      <c r="E617" s="77"/>
      <c r="F617" s="78" t="str">
        <f>IFERROR(VLOOKUP($E617,設定!$C:$G,2,0),"")</f>
        <v/>
      </c>
      <c r="G617" s="78" t="str">
        <f>IFERROR(VLOOKUP($E617,設定!$C:$G,3,0),"")</f>
        <v/>
      </c>
      <c r="H617" s="78" t="str">
        <f>IFERROR(VLOOKUP($E617,設定!$C:$G,4,0),"")</f>
        <v/>
      </c>
      <c r="I617" s="78" t="str">
        <f>IFERROR(VLOOKUP($E617,設定!$C:$G,5,0),"")</f>
        <v/>
      </c>
      <c r="J617" s="104"/>
    </row>
    <row r="618" spans="2:10" s="3" customFormat="1" ht="24" customHeight="1" x14ac:dyDescent="0.2">
      <c r="B618" s="74"/>
      <c r="C618" s="75"/>
      <c r="D618" s="76"/>
      <c r="E618" s="77"/>
      <c r="F618" s="78" t="str">
        <f>IFERROR(VLOOKUP($E618,設定!$C:$G,2,0),"")</f>
        <v/>
      </c>
      <c r="G618" s="78" t="str">
        <f>IFERROR(VLOOKUP($E618,設定!$C:$G,3,0),"")</f>
        <v/>
      </c>
      <c r="H618" s="78" t="str">
        <f>IFERROR(VLOOKUP($E618,設定!$C:$G,4,0),"")</f>
        <v/>
      </c>
      <c r="I618" s="78" t="str">
        <f>IFERROR(VLOOKUP($E618,設定!$C:$G,5,0),"")</f>
        <v/>
      </c>
      <c r="J618" s="104"/>
    </row>
    <row r="619" spans="2:10" s="3" customFormat="1" ht="24" customHeight="1" x14ac:dyDescent="0.2">
      <c r="B619" s="74"/>
      <c r="C619" s="75"/>
      <c r="D619" s="76"/>
      <c r="E619" s="77"/>
      <c r="F619" s="78" t="str">
        <f>IFERROR(VLOOKUP($E619,設定!$C:$G,2,0),"")</f>
        <v/>
      </c>
      <c r="G619" s="78" t="str">
        <f>IFERROR(VLOOKUP($E619,設定!$C:$G,3,0),"")</f>
        <v/>
      </c>
      <c r="H619" s="78" t="str">
        <f>IFERROR(VLOOKUP($E619,設定!$C:$G,4,0),"")</f>
        <v/>
      </c>
      <c r="I619" s="78" t="str">
        <f>IFERROR(VLOOKUP($E619,設定!$C:$G,5,0),"")</f>
        <v/>
      </c>
      <c r="J619" s="104"/>
    </row>
    <row r="620" spans="2:10" s="3" customFormat="1" ht="24" customHeight="1" x14ac:dyDescent="0.2">
      <c r="B620" s="74"/>
      <c r="C620" s="75"/>
      <c r="D620" s="76"/>
      <c r="E620" s="77"/>
      <c r="F620" s="78" t="str">
        <f>IFERROR(VLOOKUP($E620,設定!$C:$G,2,0),"")</f>
        <v/>
      </c>
      <c r="G620" s="78" t="str">
        <f>IFERROR(VLOOKUP($E620,設定!$C:$G,3,0),"")</f>
        <v/>
      </c>
      <c r="H620" s="78" t="str">
        <f>IFERROR(VLOOKUP($E620,設定!$C:$G,4,0),"")</f>
        <v/>
      </c>
      <c r="I620" s="78" t="str">
        <f>IFERROR(VLOOKUP($E620,設定!$C:$G,5,0),"")</f>
        <v/>
      </c>
      <c r="J620" s="104"/>
    </row>
    <row r="621" spans="2:10" s="3" customFormat="1" ht="24" customHeight="1" x14ac:dyDescent="0.2">
      <c r="B621" s="74"/>
      <c r="C621" s="75"/>
      <c r="D621" s="76"/>
      <c r="E621" s="77"/>
      <c r="F621" s="78" t="str">
        <f>IFERROR(VLOOKUP($E621,設定!$C:$G,2,0),"")</f>
        <v/>
      </c>
      <c r="G621" s="78" t="str">
        <f>IFERROR(VLOOKUP($E621,設定!$C:$G,3,0),"")</f>
        <v/>
      </c>
      <c r="H621" s="78" t="str">
        <f>IFERROR(VLOOKUP($E621,設定!$C:$G,4,0),"")</f>
        <v/>
      </c>
      <c r="I621" s="78" t="str">
        <f>IFERROR(VLOOKUP($E621,設定!$C:$G,5,0),"")</f>
        <v/>
      </c>
      <c r="J621" s="104"/>
    </row>
    <row r="622" spans="2:10" s="3" customFormat="1" ht="24" customHeight="1" x14ac:dyDescent="0.2">
      <c r="B622" s="74"/>
      <c r="C622" s="75"/>
      <c r="D622" s="76"/>
      <c r="E622" s="77"/>
      <c r="F622" s="78" t="str">
        <f>IFERROR(VLOOKUP($E622,設定!$C:$G,2,0),"")</f>
        <v/>
      </c>
      <c r="G622" s="78" t="str">
        <f>IFERROR(VLOOKUP($E622,設定!$C:$G,3,0),"")</f>
        <v/>
      </c>
      <c r="H622" s="78" t="str">
        <f>IFERROR(VLOOKUP($E622,設定!$C:$G,4,0),"")</f>
        <v/>
      </c>
      <c r="I622" s="78" t="str">
        <f>IFERROR(VLOOKUP($E622,設定!$C:$G,5,0),"")</f>
        <v/>
      </c>
      <c r="J622" s="104"/>
    </row>
    <row r="623" spans="2:10" s="3" customFormat="1" ht="24" customHeight="1" x14ac:dyDescent="0.2">
      <c r="B623" s="74"/>
      <c r="C623" s="75"/>
      <c r="D623" s="76"/>
      <c r="E623" s="77"/>
      <c r="F623" s="78" t="str">
        <f>IFERROR(VLOOKUP($E623,設定!$C:$G,2,0),"")</f>
        <v/>
      </c>
      <c r="G623" s="78" t="str">
        <f>IFERROR(VLOOKUP($E623,設定!$C:$G,3,0),"")</f>
        <v/>
      </c>
      <c r="H623" s="78" t="str">
        <f>IFERROR(VLOOKUP($E623,設定!$C:$G,4,0),"")</f>
        <v/>
      </c>
      <c r="I623" s="78" t="str">
        <f>IFERROR(VLOOKUP($E623,設定!$C:$G,5,0),"")</f>
        <v/>
      </c>
      <c r="J623" s="104"/>
    </row>
    <row r="624" spans="2:10" s="3" customFormat="1" ht="24" customHeight="1" x14ac:dyDescent="0.2">
      <c r="B624" s="74"/>
      <c r="C624" s="75"/>
      <c r="D624" s="76"/>
      <c r="E624" s="77"/>
      <c r="F624" s="78" t="str">
        <f>IFERROR(VLOOKUP($E624,設定!$C:$G,2,0),"")</f>
        <v/>
      </c>
      <c r="G624" s="78" t="str">
        <f>IFERROR(VLOOKUP($E624,設定!$C:$G,3,0),"")</f>
        <v/>
      </c>
      <c r="H624" s="78" t="str">
        <f>IFERROR(VLOOKUP($E624,設定!$C:$G,4,0),"")</f>
        <v/>
      </c>
      <c r="I624" s="78" t="str">
        <f>IFERROR(VLOOKUP($E624,設定!$C:$G,5,0),"")</f>
        <v/>
      </c>
      <c r="J624" s="104"/>
    </row>
    <row r="625" spans="2:10" s="3" customFormat="1" ht="24" customHeight="1" x14ac:dyDescent="0.2">
      <c r="B625" s="74"/>
      <c r="C625" s="75"/>
      <c r="D625" s="76"/>
      <c r="E625" s="77"/>
      <c r="F625" s="78" t="str">
        <f>IFERROR(VLOOKUP($E625,設定!$C:$G,2,0),"")</f>
        <v/>
      </c>
      <c r="G625" s="78" t="str">
        <f>IFERROR(VLOOKUP($E625,設定!$C:$G,3,0),"")</f>
        <v/>
      </c>
      <c r="H625" s="78" t="str">
        <f>IFERROR(VLOOKUP($E625,設定!$C:$G,4,0),"")</f>
        <v/>
      </c>
      <c r="I625" s="78" t="str">
        <f>IFERROR(VLOOKUP($E625,設定!$C:$G,5,0),"")</f>
        <v/>
      </c>
      <c r="J625" s="104"/>
    </row>
    <row r="626" spans="2:10" s="3" customFormat="1" ht="24" customHeight="1" x14ac:dyDescent="0.2">
      <c r="B626" s="74"/>
      <c r="C626" s="75"/>
      <c r="D626" s="76"/>
      <c r="E626" s="77"/>
      <c r="F626" s="78" t="str">
        <f>IFERROR(VLOOKUP($E626,設定!$C:$G,2,0),"")</f>
        <v/>
      </c>
      <c r="G626" s="78" t="str">
        <f>IFERROR(VLOOKUP($E626,設定!$C:$G,3,0),"")</f>
        <v/>
      </c>
      <c r="H626" s="78" t="str">
        <f>IFERROR(VLOOKUP($E626,設定!$C:$G,4,0),"")</f>
        <v/>
      </c>
      <c r="I626" s="78" t="str">
        <f>IFERROR(VLOOKUP($E626,設定!$C:$G,5,0),"")</f>
        <v/>
      </c>
      <c r="J626" s="104"/>
    </row>
    <row r="627" spans="2:10" s="3" customFormat="1" ht="24" customHeight="1" x14ac:dyDescent="0.2">
      <c r="B627" s="74"/>
      <c r="C627" s="75"/>
      <c r="D627" s="76"/>
      <c r="E627" s="77"/>
      <c r="F627" s="78" t="str">
        <f>IFERROR(VLOOKUP($E627,設定!$C:$G,2,0),"")</f>
        <v/>
      </c>
      <c r="G627" s="78" t="str">
        <f>IFERROR(VLOOKUP($E627,設定!$C:$G,3,0),"")</f>
        <v/>
      </c>
      <c r="H627" s="78" t="str">
        <f>IFERROR(VLOOKUP($E627,設定!$C:$G,4,0),"")</f>
        <v/>
      </c>
      <c r="I627" s="78" t="str">
        <f>IFERROR(VLOOKUP($E627,設定!$C:$G,5,0),"")</f>
        <v/>
      </c>
      <c r="J627" s="104"/>
    </row>
    <row r="628" spans="2:10" s="3" customFormat="1" ht="24" customHeight="1" x14ac:dyDescent="0.2">
      <c r="B628" s="74"/>
      <c r="C628" s="75"/>
      <c r="D628" s="76"/>
      <c r="E628" s="77"/>
      <c r="F628" s="78" t="str">
        <f>IFERROR(VLOOKUP($E628,設定!$C:$G,2,0),"")</f>
        <v/>
      </c>
      <c r="G628" s="78" t="str">
        <f>IFERROR(VLOOKUP($E628,設定!$C:$G,3,0),"")</f>
        <v/>
      </c>
      <c r="H628" s="78" t="str">
        <f>IFERROR(VLOOKUP($E628,設定!$C:$G,4,0),"")</f>
        <v/>
      </c>
      <c r="I628" s="78" t="str">
        <f>IFERROR(VLOOKUP($E628,設定!$C:$G,5,0),"")</f>
        <v/>
      </c>
      <c r="J628" s="104"/>
    </row>
    <row r="629" spans="2:10" s="3" customFormat="1" ht="24" customHeight="1" x14ac:dyDescent="0.2">
      <c r="B629" s="74"/>
      <c r="C629" s="75"/>
      <c r="D629" s="76"/>
      <c r="E629" s="77"/>
      <c r="F629" s="78" t="str">
        <f>IFERROR(VLOOKUP($E629,設定!$C:$G,2,0),"")</f>
        <v/>
      </c>
      <c r="G629" s="78" t="str">
        <f>IFERROR(VLOOKUP($E629,設定!$C:$G,3,0),"")</f>
        <v/>
      </c>
      <c r="H629" s="78" t="str">
        <f>IFERROR(VLOOKUP($E629,設定!$C:$G,4,0),"")</f>
        <v/>
      </c>
      <c r="I629" s="78" t="str">
        <f>IFERROR(VLOOKUP($E629,設定!$C:$G,5,0),"")</f>
        <v/>
      </c>
      <c r="J629" s="104"/>
    </row>
    <row r="630" spans="2:10" s="3" customFormat="1" ht="24" customHeight="1" x14ac:dyDescent="0.2">
      <c r="B630" s="74"/>
      <c r="C630" s="75"/>
      <c r="D630" s="76"/>
      <c r="E630" s="77"/>
      <c r="F630" s="78" t="str">
        <f>IFERROR(VLOOKUP($E630,設定!$C:$G,2,0),"")</f>
        <v/>
      </c>
      <c r="G630" s="78" t="str">
        <f>IFERROR(VLOOKUP($E630,設定!$C:$G,3,0),"")</f>
        <v/>
      </c>
      <c r="H630" s="78" t="str">
        <f>IFERROR(VLOOKUP($E630,設定!$C:$G,4,0),"")</f>
        <v/>
      </c>
      <c r="I630" s="78" t="str">
        <f>IFERROR(VLOOKUP($E630,設定!$C:$G,5,0),"")</f>
        <v/>
      </c>
      <c r="J630" s="104"/>
    </row>
    <row r="631" spans="2:10" s="3" customFormat="1" ht="24" customHeight="1" x14ac:dyDescent="0.2">
      <c r="B631" s="74"/>
      <c r="C631" s="75"/>
      <c r="D631" s="76"/>
      <c r="E631" s="77"/>
      <c r="F631" s="78" t="str">
        <f>IFERROR(VLOOKUP($E631,設定!$C:$G,2,0),"")</f>
        <v/>
      </c>
      <c r="G631" s="78" t="str">
        <f>IFERROR(VLOOKUP($E631,設定!$C:$G,3,0),"")</f>
        <v/>
      </c>
      <c r="H631" s="78" t="str">
        <f>IFERROR(VLOOKUP($E631,設定!$C:$G,4,0),"")</f>
        <v/>
      </c>
      <c r="I631" s="78" t="str">
        <f>IFERROR(VLOOKUP($E631,設定!$C:$G,5,0),"")</f>
        <v/>
      </c>
      <c r="J631" s="104"/>
    </row>
    <row r="632" spans="2:10" s="3" customFormat="1" ht="24" customHeight="1" x14ac:dyDescent="0.2">
      <c r="B632" s="74"/>
      <c r="C632" s="75"/>
      <c r="D632" s="76"/>
      <c r="E632" s="77"/>
      <c r="F632" s="78" t="str">
        <f>IFERROR(VLOOKUP($E632,設定!$C:$G,2,0),"")</f>
        <v/>
      </c>
      <c r="G632" s="78" t="str">
        <f>IFERROR(VLOOKUP($E632,設定!$C:$G,3,0),"")</f>
        <v/>
      </c>
      <c r="H632" s="78" t="str">
        <f>IFERROR(VLOOKUP($E632,設定!$C:$G,4,0),"")</f>
        <v/>
      </c>
      <c r="I632" s="78" t="str">
        <f>IFERROR(VLOOKUP($E632,設定!$C:$G,5,0),"")</f>
        <v/>
      </c>
      <c r="J632" s="104"/>
    </row>
    <row r="633" spans="2:10" s="3" customFormat="1" ht="24" customHeight="1" x14ac:dyDescent="0.2">
      <c r="B633" s="74"/>
      <c r="C633" s="75"/>
      <c r="D633" s="76"/>
      <c r="E633" s="77"/>
      <c r="F633" s="78" t="str">
        <f>IFERROR(VLOOKUP($E633,設定!$C:$G,2,0),"")</f>
        <v/>
      </c>
      <c r="G633" s="78" t="str">
        <f>IFERROR(VLOOKUP($E633,設定!$C:$G,3,0),"")</f>
        <v/>
      </c>
      <c r="H633" s="78" t="str">
        <f>IFERROR(VLOOKUP($E633,設定!$C:$G,4,0),"")</f>
        <v/>
      </c>
      <c r="I633" s="78" t="str">
        <f>IFERROR(VLOOKUP($E633,設定!$C:$G,5,0),"")</f>
        <v/>
      </c>
      <c r="J633" s="104"/>
    </row>
    <row r="634" spans="2:10" s="3" customFormat="1" ht="24" customHeight="1" x14ac:dyDescent="0.2">
      <c r="B634" s="74"/>
      <c r="C634" s="75"/>
      <c r="D634" s="76"/>
      <c r="E634" s="77"/>
      <c r="F634" s="78" t="str">
        <f>IFERROR(VLOOKUP($E634,設定!$C:$G,2,0),"")</f>
        <v/>
      </c>
      <c r="G634" s="78" t="str">
        <f>IFERROR(VLOOKUP($E634,設定!$C:$G,3,0),"")</f>
        <v/>
      </c>
      <c r="H634" s="78" t="str">
        <f>IFERROR(VLOOKUP($E634,設定!$C:$G,4,0),"")</f>
        <v/>
      </c>
      <c r="I634" s="78" t="str">
        <f>IFERROR(VLOOKUP($E634,設定!$C:$G,5,0),"")</f>
        <v/>
      </c>
      <c r="J634" s="104"/>
    </row>
    <row r="635" spans="2:10" s="3" customFormat="1" ht="24" customHeight="1" x14ac:dyDescent="0.2">
      <c r="B635" s="74"/>
      <c r="C635" s="75"/>
      <c r="D635" s="76"/>
      <c r="E635" s="77"/>
      <c r="F635" s="78" t="str">
        <f>IFERROR(VLOOKUP($E635,設定!$C:$G,2,0),"")</f>
        <v/>
      </c>
      <c r="G635" s="78" t="str">
        <f>IFERROR(VLOOKUP($E635,設定!$C:$G,3,0),"")</f>
        <v/>
      </c>
      <c r="H635" s="78" t="str">
        <f>IFERROR(VLOOKUP($E635,設定!$C:$G,4,0),"")</f>
        <v/>
      </c>
      <c r="I635" s="78" t="str">
        <f>IFERROR(VLOOKUP($E635,設定!$C:$G,5,0),"")</f>
        <v/>
      </c>
      <c r="J635" s="104"/>
    </row>
    <row r="636" spans="2:10" s="3" customFormat="1" ht="24" customHeight="1" x14ac:dyDescent="0.2">
      <c r="B636" s="74"/>
      <c r="C636" s="75"/>
      <c r="D636" s="76"/>
      <c r="E636" s="77"/>
      <c r="F636" s="78" t="str">
        <f>IFERROR(VLOOKUP($E636,設定!$C:$G,2,0),"")</f>
        <v/>
      </c>
      <c r="G636" s="78" t="str">
        <f>IFERROR(VLOOKUP($E636,設定!$C:$G,3,0),"")</f>
        <v/>
      </c>
      <c r="H636" s="78" t="str">
        <f>IFERROR(VLOOKUP($E636,設定!$C:$G,4,0),"")</f>
        <v/>
      </c>
      <c r="I636" s="78" t="str">
        <f>IFERROR(VLOOKUP($E636,設定!$C:$G,5,0),"")</f>
        <v/>
      </c>
      <c r="J636" s="104"/>
    </row>
    <row r="637" spans="2:10" s="3" customFormat="1" ht="24" customHeight="1" x14ac:dyDescent="0.2">
      <c r="B637" s="74"/>
      <c r="C637" s="75"/>
      <c r="D637" s="76"/>
      <c r="E637" s="77"/>
      <c r="F637" s="78" t="str">
        <f>IFERROR(VLOOKUP($E637,設定!$C:$G,2,0),"")</f>
        <v/>
      </c>
      <c r="G637" s="78" t="str">
        <f>IFERROR(VLOOKUP($E637,設定!$C:$G,3,0),"")</f>
        <v/>
      </c>
      <c r="H637" s="78" t="str">
        <f>IFERROR(VLOOKUP($E637,設定!$C:$G,4,0),"")</f>
        <v/>
      </c>
      <c r="I637" s="78" t="str">
        <f>IFERROR(VLOOKUP($E637,設定!$C:$G,5,0),"")</f>
        <v/>
      </c>
      <c r="J637" s="104"/>
    </row>
    <row r="638" spans="2:10" s="3" customFormat="1" ht="24" customHeight="1" x14ac:dyDescent="0.2">
      <c r="B638" s="74"/>
      <c r="C638" s="75"/>
      <c r="D638" s="76"/>
      <c r="E638" s="77"/>
      <c r="F638" s="78" t="str">
        <f>IFERROR(VLOOKUP($E638,設定!$C:$G,2,0),"")</f>
        <v/>
      </c>
      <c r="G638" s="78" t="str">
        <f>IFERROR(VLOOKUP($E638,設定!$C:$G,3,0),"")</f>
        <v/>
      </c>
      <c r="H638" s="78" t="str">
        <f>IFERROR(VLOOKUP($E638,設定!$C:$G,4,0),"")</f>
        <v/>
      </c>
      <c r="I638" s="78" t="str">
        <f>IFERROR(VLOOKUP($E638,設定!$C:$G,5,0),"")</f>
        <v/>
      </c>
      <c r="J638" s="104"/>
    </row>
    <row r="639" spans="2:10" s="3" customFormat="1" ht="24" customHeight="1" x14ac:dyDescent="0.2">
      <c r="B639" s="74"/>
      <c r="C639" s="75"/>
      <c r="D639" s="76"/>
      <c r="E639" s="77"/>
      <c r="F639" s="78" t="str">
        <f>IFERROR(VLOOKUP($E639,設定!$C:$G,2,0),"")</f>
        <v/>
      </c>
      <c r="G639" s="78" t="str">
        <f>IFERROR(VLOOKUP($E639,設定!$C:$G,3,0),"")</f>
        <v/>
      </c>
      <c r="H639" s="78" t="str">
        <f>IFERROR(VLOOKUP($E639,設定!$C:$G,4,0),"")</f>
        <v/>
      </c>
      <c r="I639" s="78" t="str">
        <f>IFERROR(VLOOKUP($E639,設定!$C:$G,5,0),"")</f>
        <v/>
      </c>
      <c r="J639" s="104"/>
    </row>
    <row r="640" spans="2:10" s="3" customFormat="1" ht="24" customHeight="1" x14ac:dyDescent="0.2">
      <c r="B640" s="74"/>
      <c r="C640" s="75"/>
      <c r="D640" s="76"/>
      <c r="E640" s="77"/>
      <c r="F640" s="78" t="str">
        <f>IFERROR(VLOOKUP($E640,設定!$C:$G,2,0),"")</f>
        <v/>
      </c>
      <c r="G640" s="78" t="str">
        <f>IFERROR(VLOOKUP($E640,設定!$C:$G,3,0),"")</f>
        <v/>
      </c>
      <c r="H640" s="78" t="str">
        <f>IFERROR(VLOOKUP($E640,設定!$C:$G,4,0),"")</f>
        <v/>
      </c>
      <c r="I640" s="78" t="str">
        <f>IFERROR(VLOOKUP($E640,設定!$C:$G,5,0),"")</f>
        <v/>
      </c>
      <c r="J640" s="104"/>
    </row>
    <row r="641" spans="2:10" s="3" customFormat="1" ht="24" customHeight="1" x14ac:dyDescent="0.2">
      <c r="B641" s="74"/>
      <c r="C641" s="75"/>
      <c r="D641" s="76"/>
      <c r="E641" s="77"/>
      <c r="F641" s="78" t="str">
        <f>IFERROR(VLOOKUP($E641,設定!$C:$G,2,0),"")</f>
        <v/>
      </c>
      <c r="G641" s="78" t="str">
        <f>IFERROR(VLOOKUP($E641,設定!$C:$G,3,0),"")</f>
        <v/>
      </c>
      <c r="H641" s="78" t="str">
        <f>IFERROR(VLOOKUP($E641,設定!$C:$G,4,0),"")</f>
        <v/>
      </c>
      <c r="I641" s="78" t="str">
        <f>IFERROR(VLOOKUP($E641,設定!$C:$G,5,0),"")</f>
        <v/>
      </c>
      <c r="J641" s="104"/>
    </row>
    <row r="642" spans="2:10" s="3" customFormat="1" ht="24" customHeight="1" x14ac:dyDescent="0.2">
      <c r="B642" s="74"/>
      <c r="C642" s="75"/>
      <c r="D642" s="76"/>
      <c r="E642" s="77"/>
      <c r="F642" s="78" t="str">
        <f>IFERROR(VLOOKUP($E642,設定!$C:$G,2,0),"")</f>
        <v/>
      </c>
      <c r="G642" s="78" t="str">
        <f>IFERROR(VLOOKUP($E642,設定!$C:$G,3,0),"")</f>
        <v/>
      </c>
      <c r="H642" s="78" t="str">
        <f>IFERROR(VLOOKUP($E642,設定!$C:$G,4,0),"")</f>
        <v/>
      </c>
      <c r="I642" s="78" t="str">
        <f>IFERROR(VLOOKUP($E642,設定!$C:$G,5,0),"")</f>
        <v/>
      </c>
      <c r="J642" s="104"/>
    </row>
    <row r="643" spans="2:10" s="3" customFormat="1" ht="24" customHeight="1" x14ac:dyDescent="0.2">
      <c r="B643" s="74"/>
      <c r="C643" s="75"/>
      <c r="D643" s="76"/>
      <c r="E643" s="77"/>
      <c r="F643" s="78" t="str">
        <f>IFERROR(VLOOKUP($E643,設定!$C:$G,2,0),"")</f>
        <v/>
      </c>
      <c r="G643" s="78" t="str">
        <f>IFERROR(VLOOKUP($E643,設定!$C:$G,3,0),"")</f>
        <v/>
      </c>
      <c r="H643" s="78" t="str">
        <f>IFERROR(VLOOKUP($E643,設定!$C:$G,4,0),"")</f>
        <v/>
      </c>
      <c r="I643" s="78" t="str">
        <f>IFERROR(VLOOKUP($E643,設定!$C:$G,5,0),"")</f>
        <v/>
      </c>
      <c r="J643" s="104"/>
    </row>
    <row r="644" spans="2:10" s="3" customFormat="1" ht="24" customHeight="1" x14ac:dyDescent="0.2">
      <c r="B644" s="74"/>
      <c r="C644" s="75"/>
      <c r="D644" s="76"/>
      <c r="E644" s="77"/>
      <c r="F644" s="78" t="str">
        <f>IFERROR(VLOOKUP($E644,設定!$C:$G,2,0),"")</f>
        <v/>
      </c>
      <c r="G644" s="78" t="str">
        <f>IFERROR(VLOOKUP($E644,設定!$C:$G,3,0),"")</f>
        <v/>
      </c>
      <c r="H644" s="78" t="str">
        <f>IFERROR(VLOOKUP($E644,設定!$C:$G,4,0),"")</f>
        <v/>
      </c>
      <c r="I644" s="78" t="str">
        <f>IFERROR(VLOOKUP($E644,設定!$C:$G,5,0),"")</f>
        <v/>
      </c>
      <c r="J644" s="104"/>
    </row>
    <row r="645" spans="2:10" s="3" customFormat="1" ht="24" customHeight="1" x14ac:dyDescent="0.2">
      <c r="B645" s="74"/>
      <c r="C645" s="75"/>
      <c r="D645" s="76"/>
      <c r="E645" s="77"/>
      <c r="F645" s="78" t="str">
        <f>IFERROR(VLOOKUP($E645,設定!$C:$G,2,0),"")</f>
        <v/>
      </c>
      <c r="G645" s="78" t="str">
        <f>IFERROR(VLOOKUP($E645,設定!$C:$G,3,0),"")</f>
        <v/>
      </c>
      <c r="H645" s="78" t="str">
        <f>IFERROR(VLOOKUP($E645,設定!$C:$G,4,0),"")</f>
        <v/>
      </c>
      <c r="I645" s="78" t="str">
        <f>IFERROR(VLOOKUP($E645,設定!$C:$G,5,0),"")</f>
        <v/>
      </c>
      <c r="J645" s="104"/>
    </row>
    <row r="646" spans="2:10" s="3" customFormat="1" ht="24" customHeight="1" x14ac:dyDescent="0.2">
      <c r="B646" s="74"/>
      <c r="C646" s="75"/>
      <c r="D646" s="76"/>
      <c r="E646" s="77"/>
      <c r="F646" s="78" t="str">
        <f>IFERROR(VLOOKUP($E646,設定!$C:$G,2,0),"")</f>
        <v/>
      </c>
      <c r="G646" s="78" t="str">
        <f>IFERROR(VLOOKUP($E646,設定!$C:$G,3,0),"")</f>
        <v/>
      </c>
      <c r="H646" s="78" t="str">
        <f>IFERROR(VLOOKUP($E646,設定!$C:$G,4,0),"")</f>
        <v/>
      </c>
      <c r="I646" s="78" t="str">
        <f>IFERROR(VLOOKUP($E646,設定!$C:$G,5,0),"")</f>
        <v/>
      </c>
      <c r="J646" s="104"/>
    </row>
    <row r="647" spans="2:10" s="3" customFormat="1" ht="24" customHeight="1" x14ac:dyDescent="0.2">
      <c r="B647" s="74"/>
      <c r="C647" s="75"/>
      <c r="D647" s="76"/>
      <c r="E647" s="77"/>
      <c r="F647" s="78" t="str">
        <f>IFERROR(VLOOKUP($E647,設定!$C:$G,2,0),"")</f>
        <v/>
      </c>
      <c r="G647" s="78" t="str">
        <f>IFERROR(VLOOKUP($E647,設定!$C:$G,3,0),"")</f>
        <v/>
      </c>
      <c r="H647" s="78" t="str">
        <f>IFERROR(VLOOKUP($E647,設定!$C:$G,4,0),"")</f>
        <v/>
      </c>
      <c r="I647" s="78" t="str">
        <f>IFERROR(VLOOKUP($E647,設定!$C:$G,5,0),"")</f>
        <v/>
      </c>
      <c r="J647" s="104"/>
    </row>
    <row r="648" spans="2:10" s="3" customFormat="1" ht="24" customHeight="1" x14ac:dyDescent="0.2">
      <c r="B648" s="74"/>
      <c r="C648" s="75"/>
      <c r="D648" s="76"/>
      <c r="E648" s="77"/>
      <c r="F648" s="78" t="str">
        <f>IFERROR(VLOOKUP($E648,設定!$C:$G,2,0),"")</f>
        <v/>
      </c>
      <c r="G648" s="78" t="str">
        <f>IFERROR(VLOOKUP($E648,設定!$C:$G,3,0),"")</f>
        <v/>
      </c>
      <c r="H648" s="78" t="str">
        <f>IFERROR(VLOOKUP($E648,設定!$C:$G,4,0),"")</f>
        <v/>
      </c>
      <c r="I648" s="78" t="str">
        <f>IFERROR(VLOOKUP($E648,設定!$C:$G,5,0),"")</f>
        <v/>
      </c>
      <c r="J648" s="104"/>
    </row>
    <row r="649" spans="2:10" s="3" customFormat="1" ht="24" customHeight="1" x14ac:dyDescent="0.2">
      <c r="B649" s="74"/>
      <c r="C649" s="75"/>
      <c r="D649" s="76"/>
      <c r="E649" s="77"/>
      <c r="F649" s="78" t="str">
        <f>IFERROR(VLOOKUP($E649,設定!$C:$G,2,0),"")</f>
        <v/>
      </c>
      <c r="G649" s="78" t="str">
        <f>IFERROR(VLOOKUP($E649,設定!$C:$G,3,0),"")</f>
        <v/>
      </c>
      <c r="H649" s="78" t="str">
        <f>IFERROR(VLOOKUP($E649,設定!$C:$G,4,0),"")</f>
        <v/>
      </c>
      <c r="I649" s="78" t="str">
        <f>IFERROR(VLOOKUP($E649,設定!$C:$G,5,0),"")</f>
        <v/>
      </c>
      <c r="J649" s="104"/>
    </row>
    <row r="650" spans="2:10" s="3" customFormat="1" ht="24" customHeight="1" x14ac:dyDescent="0.2">
      <c r="B650" s="74"/>
      <c r="C650" s="75"/>
      <c r="D650" s="76"/>
      <c r="E650" s="77"/>
      <c r="F650" s="78" t="str">
        <f>IFERROR(VLOOKUP($E650,設定!$C:$G,2,0),"")</f>
        <v/>
      </c>
      <c r="G650" s="78" t="str">
        <f>IFERROR(VLOOKUP($E650,設定!$C:$G,3,0),"")</f>
        <v/>
      </c>
      <c r="H650" s="78" t="str">
        <f>IFERROR(VLOOKUP($E650,設定!$C:$G,4,0),"")</f>
        <v/>
      </c>
      <c r="I650" s="78" t="str">
        <f>IFERROR(VLOOKUP($E650,設定!$C:$G,5,0),"")</f>
        <v/>
      </c>
      <c r="J650" s="104"/>
    </row>
    <row r="651" spans="2:10" s="3" customFormat="1" ht="24" customHeight="1" x14ac:dyDescent="0.2">
      <c r="B651" s="74"/>
      <c r="C651" s="75"/>
      <c r="D651" s="76"/>
      <c r="E651" s="77"/>
      <c r="F651" s="78" t="str">
        <f>IFERROR(VLOOKUP($E651,設定!$C:$G,2,0),"")</f>
        <v/>
      </c>
      <c r="G651" s="78" t="str">
        <f>IFERROR(VLOOKUP($E651,設定!$C:$G,3,0),"")</f>
        <v/>
      </c>
      <c r="H651" s="78" t="str">
        <f>IFERROR(VLOOKUP($E651,設定!$C:$G,4,0),"")</f>
        <v/>
      </c>
      <c r="I651" s="78" t="str">
        <f>IFERROR(VLOOKUP($E651,設定!$C:$G,5,0),"")</f>
        <v/>
      </c>
      <c r="J651" s="104"/>
    </row>
    <row r="652" spans="2:10" s="3" customFormat="1" ht="24" customHeight="1" x14ac:dyDescent="0.2">
      <c r="B652" s="74"/>
      <c r="C652" s="75"/>
      <c r="D652" s="76"/>
      <c r="E652" s="77"/>
      <c r="F652" s="78" t="str">
        <f>IFERROR(VLOOKUP($E652,設定!$C:$G,2,0),"")</f>
        <v/>
      </c>
      <c r="G652" s="78" t="str">
        <f>IFERROR(VLOOKUP($E652,設定!$C:$G,3,0),"")</f>
        <v/>
      </c>
      <c r="H652" s="78" t="str">
        <f>IFERROR(VLOOKUP($E652,設定!$C:$G,4,0),"")</f>
        <v/>
      </c>
      <c r="I652" s="78" t="str">
        <f>IFERROR(VLOOKUP($E652,設定!$C:$G,5,0),"")</f>
        <v/>
      </c>
      <c r="J652" s="104"/>
    </row>
    <row r="653" spans="2:10" s="3" customFormat="1" ht="24" customHeight="1" x14ac:dyDescent="0.2">
      <c r="B653" s="74"/>
      <c r="C653" s="75"/>
      <c r="D653" s="76"/>
      <c r="E653" s="77"/>
      <c r="F653" s="78" t="str">
        <f>IFERROR(VLOOKUP($E653,設定!$C:$G,2,0),"")</f>
        <v/>
      </c>
      <c r="G653" s="78" t="str">
        <f>IFERROR(VLOOKUP($E653,設定!$C:$G,3,0),"")</f>
        <v/>
      </c>
      <c r="H653" s="78" t="str">
        <f>IFERROR(VLOOKUP($E653,設定!$C:$G,4,0),"")</f>
        <v/>
      </c>
      <c r="I653" s="78" t="str">
        <f>IFERROR(VLOOKUP($E653,設定!$C:$G,5,0),"")</f>
        <v/>
      </c>
      <c r="J653" s="104"/>
    </row>
    <row r="654" spans="2:10" s="3" customFormat="1" ht="24" customHeight="1" x14ac:dyDescent="0.2">
      <c r="B654" s="74"/>
      <c r="C654" s="75"/>
      <c r="D654" s="76"/>
      <c r="E654" s="77"/>
      <c r="F654" s="78" t="str">
        <f>IFERROR(VLOOKUP($E654,設定!$C:$G,2,0),"")</f>
        <v/>
      </c>
      <c r="G654" s="78" t="str">
        <f>IFERROR(VLOOKUP($E654,設定!$C:$G,3,0),"")</f>
        <v/>
      </c>
      <c r="H654" s="78" t="str">
        <f>IFERROR(VLOOKUP($E654,設定!$C:$G,4,0),"")</f>
        <v/>
      </c>
      <c r="I654" s="78" t="str">
        <f>IFERROR(VLOOKUP($E654,設定!$C:$G,5,0),"")</f>
        <v/>
      </c>
      <c r="J654" s="104"/>
    </row>
    <row r="655" spans="2:10" s="3" customFormat="1" ht="24" customHeight="1" x14ac:dyDescent="0.2">
      <c r="B655" s="74"/>
      <c r="C655" s="75"/>
      <c r="D655" s="76"/>
      <c r="E655" s="77"/>
      <c r="F655" s="78" t="str">
        <f>IFERROR(VLOOKUP($E655,設定!$C:$G,2,0),"")</f>
        <v/>
      </c>
      <c r="G655" s="78" t="str">
        <f>IFERROR(VLOOKUP($E655,設定!$C:$G,3,0),"")</f>
        <v/>
      </c>
      <c r="H655" s="78" t="str">
        <f>IFERROR(VLOOKUP($E655,設定!$C:$G,4,0),"")</f>
        <v/>
      </c>
      <c r="I655" s="78" t="str">
        <f>IFERROR(VLOOKUP($E655,設定!$C:$G,5,0),"")</f>
        <v/>
      </c>
      <c r="J655" s="104"/>
    </row>
    <row r="656" spans="2:10" s="3" customFormat="1" ht="24" customHeight="1" x14ac:dyDescent="0.2">
      <c r="B656" s="74"/>
      <c r="C656" s="75"/>
      <c r="D656" s="76"/>
      <c r="E656" s="77"/>
      <c r="F656" s="78" t="str">
        <f>IFERROR(VLOOKUP($E656,設定!$C:$G,2,0),"")</f>
        <v/>
      </c>
      <c r="G656" s="78" t="str">
        <f>IFERROR(VLOOKUP($E656,設定!$C:$G,3,0),"")</f>
        <v/>
      </c>
      <c r="H656" s="78" t="str">
        <f>IFERROR(VLOOKUP($E656,設定!$C:$G,4,0),"")</f>
        <v/>
      </c>
      <c r="I656" s="78" t="str">
        <f>IFERROR(VLOOKUP($E656,設定!$C:$G,5,0),"")</f>
        <v/>
      </c>
      <c r="J656" s="104"/>
    </row>
    <row r="657" spans="2:10" s="3" customFormat="1" ht="24" customHeight="1" x14ac:dyDescent="0.2">
      <c r="B657" s="74"/>
      <c r="C657" s="75"/>
      <c r="D657" s="76"/>
      <c r="E657" s="77"/>
      <c r="F657" s="78" t="str">
        <f>IFERROR(VLOOKUP($E657,設定!$C:$G,2,0),"")</f>
        <v/>
      </c>
      <c r="G657" s="78" t="str">
        <f>IFERROR(VLOOKUP($E657,設定!$C:$G,3,0),"")</f>
        <v/>
      </c>
      <c r="H657" s="78" t="str">
        <f>IFERROR(VLOOKUP($E657,設定!$C:$G,4,0),"")</f>
        <v/>
      </c>
      <c r="I657" s="78" t="str">
        <f>IFERROR(VLOOKUP($E657,設定!$C:$G,5,0),"")</f>
        <v/>
      </c>
      <c r="J657" s="104"/>
    </row>
    <row r="658" spans="2:10" s="3" customFormat="1" ht="24" customHeight="1" x14ac:dyDescent="0.2">
      <c r="B658" s="74"/>
      <c r="C658" s="75"/>
      <c r="D658" s="76"/>
      <c r="E658" s="77"/>
      <c r="F658" s="78" t="str">
        <f>IFERROR(VLOOKUP($E658,設定!$C:$G,2,0),"")</f>
        <v/>
      </c>
      <c r="G658" s="78" t="str">
        <f>IFERROR(VLOOKUP($E658,設定!$C:$G,3,0),"")</f>
        <v/>
      </c>
      <c r="H658" s="78" t="str">
        <f>IFERROR(VLOOKUP($E658,設定!$C:$G,4,0),"")</f>
        <v/>
      </c>
      <c r="I658" s="78" t="str">
        <f>IFERROR(VLOOKUP($E658,設定!$C:$G,5,0),"")</f>
        <v/>
      </c>
      <c r="J658" s="104"/>
    </row>
    <row r="659" spans="2:10" s="3" customFormat="1" ht="24" customHeight="1" x14ac:dyDescent="0.2">
      <c r="B659" s="74"/>
      <c r="C659" s="75"/>
      <c r="D659" s="76"/>
      <c r="E659" s="77"/>
      <c r="F659" s="78" t="str">
        <f>IFERROR(VLOOKUP($E659,設定!$C:$G,2,0),"")</f>
        <v/>
      </c>
      <c r="G659" s="78" t="str">
        <f>IFERROR(VLOOKUP($E659,設定!$C:$G,3,0),"")</f>
        <v/>
      </c>
      <c r="H659" s="78" t="str">
        <f>IFERROR(VLOOKUP($E659,設定!$C:$G,4,0),"")</f>
        <v/>
      </c>
      <c r="I659" s="78" t="str">
        <f>IFERROR(VLOOKUP($E659,設定!$C:$G,5,0),"")</f>
        <v/>
      </c>
      <c r="J659" s="104"/>
    </row>
    <row r="660" spans="2:10" s="3" customFormat="1" ht="24" customHeight="1" x14ac:dyDescent="0.2">
      <c r="B660" s="74"/>
      <c r="C660" s="75"/>
      <c r="D660" s="76"/>
      <c r="E660" s="77"/>
      <c r="F660" s="78" t="str">
        <f>IFERROR(VLOOKUP($E660,設定!$C:$G,2,0),"")</f>
        <v/>
      </c>
      <c r="G660" s="78" t="str">
        <f>IFERROR(VLOOKUP($E660,設定!$C:$G,3,0),"")</f>
        <v/>
      </c>
      <c r="H660" s="78" t="str">
        <f>IFERROR(VLOOKUP($E660,設定!$C:$G,4,0),"")</f>
        <v/>
      </c>
      <c r="I660" s="78" t="str">
        <f>IFERROR(VLOOKUP($E660,設定!$C:$G,5,0),"")</f>
        <v/>
      </c>
      <c r="J660" s="104"/>
    </row>
    <row r="661" spans="2:10" s="3" customFormat="1" ht="24" customHeight="1" x14ac:dyDescent="0.2">
      <c r="B661" s="74"/>
      <c r="C661" s="75"/>
      <c r="D661" s="76"/>
      <c r="E661" s="77"/>
      <c r="F661" s="78" t="str">
        <f>IFERROR(VLOOKUP($E661,設定!$C:$G,2,0),"")</f>
        <v/>
      </c>
      <c r="G661" s="78" t="str">
        <f>IFERROR(VLOOKUP($E661,設定!$C:$G,3,0),"")</f>
        <v/>
      </c>
      <c r="H661" s="78" t="str">
        <f>IFERROR(VLOOKUP($E661,設定!$C:$G,4,0),"")</f>
        <v/>
      </c>
      <c r="I661" s="78" t="str">
        <f>IFERROR(VLOOKUP($E661,設定!$C:$G,5,0),"")</f>
        <v/>
      </c>
      <c r="J661" s="104"/>
    </row>
    <row r="662" spans="2:10" s="3" customFormat="1" ht="24" customHeight="1" x14ac:dyDescent="0.2">
      <c r="B662" s="74"/>
      <c r="C662" s="75"/>
      <c r="D662" s="76"/>
      <c r="E662" s="77"/>
      <c r="F662" s="78" t="str">
        <f>IFERROR(VLOOKUP($E662,設定!$C:$G,2,0),"")</f>
        <v/>
      </c>
      <c r="G662" s="78" t="str">
        <f>IFERROR(VLOOKUP($E662,設定!$C:$G,3,0),"")</f>
        <v/>
      </c>
      <c r="H662" s="78" t="str">
        <f>IFERROR(VLOOKUP($E662,設定!$C:$G,4,0),"")</f>
        <v/>
      </c>
      <c r="I662" s="78" t="str">
        <f>IFERROR(VLOOKUP($E662,設定!$C:$G,5,0),"")</f>
        <v/>
      </c>
      <c r="J662" s="104"/>
    </row>
    <row r="663" spans="2:10" s="3" customFormat="1" ht="24" customHeight="1" x14ac:dyDescent="0.2">
      <c r="B663" s="74"/>
      <c r="C663" s="75"/>
      <c r="D663" s="76"/>
      <c r="E663" s="77"/>
      <c r="F663" s="78" t="str">
        <f>IFERROR(VLOOKUP($E663,設定!$C:$G,2,0),"")</f>
        <v/>
      </c>
      <c r="G663" s="78" t="str">
        <f>IFERROR(VLOOKUP($E663,設定!$C:$G,3,0),"")</f>
        <v/>
      </c>
      <c r="H663" s="78" t="str">
        <f>IFERROR(VLOOKUP($E663,設定!$C:$G,4,0),"")</f>
        <v/>
      </c>
      <c r="I663" s="78" t="str">
        <f>IFERROR(VLOOKUP($E663,設定!$C:$G,5,0),"")</f>
        <v/>
      </c>
      <c r="J663" s="104"/>
    </row>
    <row r="664" spans="2:10" s="3" customFormat="1" ht="24" customHeight="1" x14ac:dyDescent="0.2">
      <c r="B664" s="74"/>
      <c r="C664" s="75"/>
      <c r="D664" s="76"/>
      <c r="E664" s="77"/>
      <c r="F664" s="78" t="str">
        <f>IFERROR(VLOOKUP($E664,設定!$C:$G,2,0),"")</f>
        <v/>
      </c>
      <c r="G664" s="78" t="str">
        <f>IFERROR(VLOOKUP($E664,設定!$C:$G,3,0),"")</f>
        <v/>
      </c>
      <c r="H664" s="78" t="str">
        <f>IFERROR(VLOOKUP($E664,設定!$C:$G,4,0),"")</f>
        <v/>
      </c>
      <c r="I664" s="78" t="str">
        <f>IFERROR(VLOOKUP($E664,設定!$C:$G,5,0),"")</f>
        <v/>
      </c>
      <c r="J664" s="104"/>
    </row>
    <row r="665" spans="2:10" s="3" customFormat="1" ht="24" customHeight="1" x14ac:dyDescent="0.2">
      <c r="B665" s="74"/>
      <c r="C665" s="75"/>
      <c r="D665" s="76"/>
      <c r="E665" s="77"/>
      <c r="F665" s="78" t="str">
        <f>IFERROR(VLOOKUP($E665,設定!$C:$G,2,0),"")</f>
        <v/>
      </c>
      <c r="G665" s="78" t="str">
        <f>IFERROR(VLOOKUP($E665,設定!$C:$G,3,0),"")</f>
        <v/>
      </c>
      <c r="H665" s="78" t="str">
        <f>IFERROR(VLOOKUP($E665,設定!$C:$G,4,0),"")</f>
        <v/>
      </c>
      <c r="I665" s="78" t="str">
        <f>IFERROR(VLOOKUP($E665,設定!$C:$G,5,0),"")</f>
        <v/>
      </c>
      <c r="J665" s="104"/>
    </row>
    <row r="666" spans="2:10" s="3" customFormat="1" ht="24" customHeight="1" x14ac:dyDescent="0.2">
      <c r="B666" s="74"/>
      <c r="C666" s="75"/>
      <c r="D666" s="76"/>
      <c r="E666" s="77"/>
      <c r="F666" s="78" t="str">
        <f>IFERROR(VLOOKUP($E666,設定!$C:$G,2,0),"")</f>
        <v/>
      </c>
      <c r="G666" s="78" t="str">
        <f>IFERROR(VLOOKUP($E666,設定!$C:$G,3,0),"")</f>
        <v/>
      </c>
      <c r="H666" s="78" t="str">
        <f>IFERROR(VLOOKUP($E666,設定!$C:$G,4,0),"")</f>
        <v/>
      </c>
      <c r="I666" s="78" t="str">
        <f>IFERROR(VLOOKUP($E666,設定!$C:$G,5,0),"")</f>
        <v/>
      </c>
      <c r="J666" s="104"/>
    </row>
    <row r="667" spans="2:10" s="3" customFormat="1" ht="24" customHeight="1" x14ac:dyDescent="0.2">
      <c r="B667" s="74"/>
      <c r="C667" s="75"/>
      <c r="D667" s="76"/>
      <c r="E667" s="77"/>
      <c r="F667" s="78" t="str">
        <f>IFERROR(VLOOKUP($E667,設定!$C:$G,2,0),"")</f>
        <v/>
      </c>
      <c r="G667" s="78" t="str">
        <f>IFERROR(VLOOKUP($E667,設定!$C:$G,3,0),"")</f>
        <v/>
      </c>
      <c r="H667" s="78" t="str">
        <f>IFERROR(VLOOKUP($E667,設定!$C:$G,4,0),"")</f>
        <v/>
      </c>
      <c r="I667" s="78" t="str">
        <f>IFERROR(VLOOKUP($E667,設定!$C:$G,5,0),"")</f>
        <v/>
      </c>
      <c r="J667" s="104"/>
    </row>
    <row r="668" spans="2:10" s="3" customFormat="1" ht="24" customHeight="1" x14ac:dyDescent="0.2">
      <c r="B668" s="74"/>
      <c r="C668" s="75"/>
      <c r="D668" s="76"/>
      <c r="E668" s="77"/>
      <c r="F668" s="78" t="str">
        <f>IFERROR(VLOOKUP($E668,設定!$C:$G,2,0),"")</f>
        <v/>
      </c>
      <c r="G668" s="78" t="str">
        <f>IFERROR(VLOOKUP($E668,設定!$C:$G,3,0),"")</f>
        <v/>
      </c>
      <c r="H668" s="78" t="str">
        <f>IFERROR(VLOOKUP($E668,設定!$C:$G,4,0),"")</f>
        <v/>
      </c>
      <c r="I668" s="78" t="str">
        <f>IFERROR(VLOOKUP($E668,設定!$C:$G,5,0),"")</f>
        <v/>
      </c>
      <c r="J668" s="104"/>
    </row>
    <row r="669" spans="2:10" s="3" customFormat="1" ht="24" customHeight="1" x14ac:dyDescent="0.2">
      <c r="B669" s="74"/>
      <c r="C669" s="75"/>
      <c r="D669" s="76"/>
      <c r="E669" s="77"/>
      <c r="F669" s="78" t="str">
        <f>IFERROR(VLOOKUP($E669,設定!$C:$G,2,0),"")</f>
        <v/>
      </c>
      <c r="G669" s="78" t="str">
        <f>IFERROR(VLOOKUP($E669,設定!$C:$G,3,0),"")</f>
        <v/>
      </c>
      <c r="H669" s="78" t="str">
        <f>IFERROR(VLOOKUP($E669,設定!$C:$G,4,0),"")</f>
        <v/>
      </c>
      <c r="I669" s="78" t="str">
        <f>IFERROR(VLOOKUP($E669,設定!$C:$G,5,0),"")</f>
        <v/>
      </c>
      <c r="J669" s="104"/>
    </row>
    <row r="670" spans="2:10" s="3" customFormat="1" ht="24" customHeight="1" x14ac:dyDescent="0.2">
      <c r="B670" s="74"/>
      <c r="C670" s="75"/>
      <c r="D670" s="76"/>
      <c r="E670" s="77"/>
      <c r="F670" s="78" t="str">
        <f>IFERROR(VLOOKUP($E670,設定!$C:$G,2,0),"")</f>
        <v/>
      </c>
      <c r="G670" s="78" t="str">
        <f>IFERROR(VLOOKUP($E670,設定!$C:$G,3,0),"")</f>
        <v/>
      </c>
      <c r="H670" s="78" t="str">
        <f>IFERROR(VLOOKUP($E670,設定!$C:$G,4,0),"")</f>
        <v/>
      </c>
      <c r="I670" s="78" t="str">
        <f>IFERROR(VLOOKUP($E670,設定!$C:$G,5,0),"")</f>
        <v/>
      </c>
      <c r="J670" s="104"/>
    </row>
    <row r="671" spans="2:10" s="3" customFormat="1" ht="24" customHeight="1" x14ac:dyDescent="0.2">
      <c r="B671" s="74"/>
      <c r="C671" s="75"/>
      <c r="D671" s="76"/>
      <c r="E671" s="77"/>
      <c r="F671" s="78" t="str">
        <f>IFERROR(VLOOKUP($E671,設定!$C:$G,2,0),"")</f>
        <v/>
      </c>
      <c r="G671" s="78" t="str">
        <f>IFERROR(VLOOKUP($E671,設定!$C:$G,3,0),"")</f>
        <v/>
      </c>
      <c r="H671" s="78" t="str">
        <f>IFERROR(VLOOKUP($E671,設定!$C:$G,4,0),"")</f>
        <v/>
      </c>
      <c r="I671" s="78" t="str">
        <f>IFERROR(VLOOKUP($E671,設定!$C:$G,5,0),"")</f>
        <v/>
      </c>
      <c r="J671" s="104"/>
    </row>
    <row r="672" spans="2:10" s="3" customFormat="1" ht="24" customHeight="1" x14ac:dyDescent="0.2">
      <c r="B672" s="74"/>
      <c r="C672" s="75"/>
      <c r="D672" s="76"/>
      <c r="E672" s="77"/>
      <c r="F672" s="78" t="str">
        <f>IFERROR(VLOOKUP($E672,設定!$C:$G,2,0),"")</f>
        <v/>
      </c>
      <c r="G672" s="78" t="str">
        <f>IFERROR(VLOOKUP($E672,設定!$C:$G,3,0),"")</f>
        <v/>
      </c>
      <c r="H672" s="78" t="str">
        <f>IFERROR(VLOOKUP($E672,設定!$C:$G,4,0),"")</f>
        <v/>
      </c>
      <c r="I672" s="78" t="str">
        <f>IFERROR(VLOOKUP($E672,設定!$C:$G,5,0),"")</f>
        <v/>
      </c>
      <c r="J672" s="104"/>
    </row>
    <row r="673" spans="2:10" s="3" customFormat="1" ht="24" customHeight="1" x14ac:dyDescent="0.2">
      <c r="B673" s="74"/>
      <c r="C673" s="75"/>
      <c r="D673" s="76"/>
      <c r="E673" s="77"/>
      <c r="F673" s="78" t="str">
        <f>IFERROR(VLOOKUP($E673,設定!$C:$G,2,0),"")</f>
        <v/>
      </c>
      <c r="G673" s="78" t="str">
        <f>IFERROR(VLOOKUP($E673,設定!$C:$G,3,0),"")</f>
        <v/>
      </c>
      <c r="H673" s="78" t="str">
        <f>IFERROR(VLOOKUP($E673,設定!$C:$G,4,0),"")</f>
        <v/>
      </c>
      <c r="I673" s="78" t="str">
        <f>IFERROR(VLOOKUP($E673,設定!$C:$G,5,0),"")</f>
        <v/>
      </c>
      <c r="J673" s="104"/>
    </row>
    <row r="674" spans="2:10" s="3" customFormat="1" ht="24" customHeight="1" x14ac:dyDescent="0.2">
      <c r="B674" s="74"/>
      <c r="C674" s="75"/>
      <c r="D674" s="76"/>
      <c r="E674" s="77"/>
      <c r="F674" s="78" t="str">
        <f>IFERROR(VLOOKUP($E674,設定!$C:$G,2,0),"")</f>
        <v/>
      </c>
      <c r="G674" s="78" t="str">
        <f>IFERROR(VLOOKUP($E674,設定!$C:$G,3,0),"")</f>
        <v/>
      </c>
      <c r="H674" s="78" t="str">
        <f>IFERROR(VLOOKUP($E674,設定!$C:$G,4,0),"")</f>
        <v/>
      </c>
      <c r="I674" s="78" t="str">
        <f>IFERROR(VLOOKUP($E674,設定!$C:$G,5,0),"")</f>
        <v/>
      </c>
      <c r="J674" s="104"/>
    </row>
    <row r="675" spans="2:10" s="3" customFormat="1" ht="24" customHeight="1" x14ac:dyDescent="0.2">
      <c r="B675" s="74"/>
      <c r="C675" s="75"/>
      <c r="D675" s="76"/>
      <c r="E675" s="77"/>
      <c r="F675" s="78" t="str">
        <f>IFERROR(VLOOKUP($E675,設定!$C:$G,2,0),"")</f>
        <v/>
      </c>
      <c r="G675" s="78" t="str">
        <f>IFERROR(VLOOKUP($E675,設定!$C:$G,3,0),"")</f>
        <v/>
      </c>
      <c r="H675" s="78" t="str">
        <f>IFERROR(VLOOKUP($E675,設定!$C:$G,4,0),"")</f>
        <v/>
      </c>
      <c r="I675" s="78" t="str">
        <f>IFERROR(VLOOKUP($E675,設定!$C:$G,5,0),"")</f>
        <v/>
      </c>
      <c r="J675" s="104"/>
    </row>
    <row r="676" spans="2:10" s="3" customFormat="1" ht="24" customHeight="1" x14ac:dyDescent="0.2">
      <c r="B676" s="74"/>
      <c r="C676" s="75"/>
      <c r="D676" s="76"/>
      <c r="E676" s="77"/>
      <c r="F676" s="78" t="str">
        <f>IFERROR(VLOOKUP($E676,設定!$C:$G,2,0),"")</f>
        <v/>
      </c>
      <c r="G676" s="78" t="str">
        <f>IFERROR(VLOOKUP($E676,設定!$C:$G,3,0),"")</f>
        <v/>
      </c>
      <c r="H676" s="78" t="str">
        <f>IFERROR(VLOOKUP($E676,設定!$C:$G,4,0),"")</f>
        <v/>
      </c>
      <c r="I676" s="78" t="str">
        <f>IFERROR(VLOOKUP($E676,設定!$C:$G,5,0),"")</f>
        <v/>
      </c>
      <c r="J676" s="104"/>
    </row>
    <row r="677" spans="2:10" s="3" customFormat="1" ht="24" customHeight="1" x14ac:dyDescent="0.2">
      <c r="B677" s="74"/>
      <c r="C677" s="75"/>
      <c r="D677" s="76"/>
      <c r="E677" s="77"/>
      <c r="F677" s="78" t="str">
        <f>IFERROR(VLOOKUP($E677,設定!$C:$G,2,0),"")</f>
        <v/>
      </c>
      <c r="G677" s="78" t="str">
        <f>IFERROR(VLOOKUP($E677,設定!$C:$G,3,0),"")</f>
        <v/>
      </c>
      <c r="H677" s="78" t="str">
        <f>IFERROR(VLOOKUP($E677,設定!$C:$G,4,0),"")</f>
        <v/>
      </c>
      <c r="I677" s="78" t="str">
        <f>IFERROR(VLOOKUP($E677,設定!$C:$G,5,0),"")</f>
        <v/>
      </c>
      <c r="J677" s="104"/>
    </row>
    <row r="678" spans="2:10" s="3" customFormat="1" ht="24" customHeight="1" x14ac:dyDescent="0.2">
      <c r="B678" s="74"/>
      <c r="C678" s="75"/>
      <c r="D678" s="76"/>
      <c r="E678" s="77"/>
      <c r="F678" s="78" t="str">
        <f>IFERROR(VLOOKUP($E678,設定!$C:$G,2,0),"")</f>
        <v/>
      </c>
      <c r="G678" s="78" t="str">
        <f>IFERROR(VLOOKUP($E678,設定!$C:$G,3,0),"")</f>
        <v/>
      </c>
      <c r="H678" s="78" t="str">
        <f>IFERROR(VLOOKUP($E678,設定!$C:$G,4,0),"")</f>
        <v/>
      </c>
      <c r="I678" s="78" t="str">
        <f>IFERROR(VLOOKUP($E678,設定!$C:$G,5,0),"")</f>
        <v/>
      </c>
      <c r="J678" s="104"/>
    </row>
    <row r="679" spans="2:10" s="3" customFormat="1" ht="24" customHeight="1" x14ac:dyDescent="0.2">
      <c r="B679" s="74"/>
      <c r="C679" s="75"/>
      <c r="D679" s="76"/>
      <c r="E679" s="77"/>
      <c r="F679" s="78" t="str">
        <f>IFERROR(VLOOKUP($E679,設定!$C:$G,2,0),"")</f>
        <v/>
      </c>
      <c r="G679" s="78" t="str">
        <f>IFERROR(VLOOKUP($E679,設定!$C:$G,3,0),"")</f>
        <v/>
      </c>
      <c r="H679" s="78" t="str">
        <f>IFERROR(VLOOKUP($E679,設定!$C:$G,4,0),"")</f>
        <v/>
      </c>
      <c r="I679" s="78" t="str">
        <f>IFERROR(VLOOKUP($E679,設定!$C:$G,5,0),"")</f>
        <v/>
      </c>
      <c r="J679" s="104"/>
    </row>
    <row r="680" spans="2:10" s="3" customFormat="1" ht="24" customHeight="1" x14ac:dyDescent="0.2">
      <c r="B680" s="74"/>
      <c r="C680" s="75"/>
      <c r="D680" s="76"/>
      <c r="E680" s="77"/>
      <c r="F680" s="78" t="str">
        <f>IFERROR(VLOOKUP($E680,設定!$C:$G,2,0),"")</f>
        <v/>
      </c>
      <c r="G680" s="78" t="str">
        <f>IFERROR(VLOOKUP($E680,設定!$C:$G,3,0),"")</f>
        <v/>
      </c>
      <c r="H680" s="78" t="str">
        <f>IFERROR(VLOOKUP($E680,設定!$C:$G,4,0),"")</f>
        <v/>
      </c>
      <c r="I680" s="78" t="str">
        <f>IFERROR(VLOOKUP($E680,設定!$C:$G,5,0),"")</f>
        <v/>
      </c>
      <c r="J680" s="104"/>
    </row>
    <row r="681" spans="2:10" s="3" customFormat="1" ht="24" customHeight="1" thickBot="1" x14ac:dyDescent="0.25">
      <c r="B681" s="79"/>
      <c r="C681" s="80"/>
      <c r="D681" s="81"/>
      <c r="E681" s="80"/>
      <c r="F681" s="82" t="str">
        <f>IFERROR(VLOOKUP($E681,設定!$C:$G,2,0),"")</f>
        <v/>
      </c>
      <c r="G681" s="82" t="str">
        <f>IFERROR(VLOOKUP($E681,設定!$C:$G,3,0),"")</f>
        <v/>
      </c>
      <c r="H681" s="82" t="str">
        <f>IFERROR(VLOOKUP($E681,設定!$C:$G,4,0),"")</f>
        <v/>
      </c>
      <c r="I681" s="82" t="str">
        <f>IFERROR(VLOOKUP($E681,設定!$C:$G,5,0),"")</f>
        <v/>
      </c>
      <c r="J681" s="105"/>
    </row>
  </sheetData>
  <mergeCells count="12">
    <mergeCell ref="H5:H6"/>
    <mergeCell ref="J5:J6"/>
    <mergeCell ref="I5:I6"/>
    <mergeCell ref="B1:J1"/>
    <mergeCell ref="B2:D2"/>
    <mergeCell ref="B3:D3"/>
    <mergeCell ref="B5:B6"/>
    <mergeCell ref="C5:C6"/>
    <mergeCell ref="D5:D6"/>
    <mergeCell ref="E5:E6"/>
    <mergeCell ref="F5:F6"/>
    <mergeCell ref="G5:G6"/>
  </mergeCells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4D6FC-BFC1-439E-9B9E-D2CF3247D842}">
          <x14:formula1>
            <xm:f>'リスト '!$A$2:$A$6</xm:f>
          </x14:formula1>
          <xm:sqref>D7:D681</xm:sqref>
        </x14:dataValidation>
        <x14:dataValidation type="list" allowBlank="1" showInputMessage="1" showErrorMessage="1" xr:uid="{EA5B13BA-9703-4564-81C9-F29CABF16B7D}">
          <x14:formula1>
            <xm:f>設定!$C$9:$C$108</xm:f>
          </x14:formula1>
          <xm:sqref>E7:E681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8F8C-EC77-4663-A73F-429481F18996}">
  <dimension ref="A1:AR44"/>
  <sheetViews>
    <sheetView showGridLines="0" view="pageBreakPreview" zoomScale="130" zoomScaleNormal="100" zoomScaleSheetLayoutView="130" workbookViewId="0"/>
  </sheetViews>
  <sheetFormatPr defaultColWidth="2.21875" defaultRowHeight="13.2" x14ac:dyDescent="0.2"/>
  <cols>
    <col min="1" max="28" width="2.21875" style="28"/>
    <col min="29" max="44" width="2.21875" style="28" customWidth="1"/>
  </cols>
  <sheetData>
    <row r="1" spans="1:44" ht="16.2" customHeight="1" x14ac:dyDescent="0.2">
      <c r="A1" s="4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</row>
    <row r="2" spans="1:44" ht="16.2" x14ac:dyDescent="0.2">
      <c r="A2" s="98" t="s">
        <v>16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4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</row>
    <row r="3" spans="1:44" x14ac:dyDescent="0.2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</row>
    <row r="4" spans="1:44" ht="14.4" x14ac:dyDescent="0.2">
      <c r="A4" s="93"/>
      <c r="B4" s="100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</row>
    <row r="5" spans="1:44" ht="13.5" customHeight="1" x14ac:dyDescent="0.2">
      <c r="A5" s="93"/>
      <c r="B5" s="95"/>
      <c r="C5" s="102" t="s">
        <v>63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96"/>
    </row>
    <row r="6" spans="1:44" x14ac:dyDescent="0.2">
      <c r="A6" s="93"/>
      <c r="B6" s="95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96"/>
    </row>
    <row r="7" spans="1:44" ht="15" thickBot="1" x14ac:dyDescent="0.25">
      <c r="B7" s="30" t="s">
        <v>17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  <c r="Q7" s="32"/>
      <c r="R7" s="32"/>
      <c r="S7" s="32"/>
      <c r="AA7" s="33"/>
    </row>
    <row r="8" spans="1:44" ht="13.2" customHeight="1" x14ac:dyDescent="0.2">
      <c r="B8" s="192" t="s">
        <v>18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6" t="s">
        <v>19</v>
      </c>
      <c r="Q8" s="197"/>
      <c r="R8" s="197"/>
      <c r="S8" s="197"/>
      <c r="T8" s="197"/>
      <c r="U8" s="197"/>
      <c r="V8" s="152" t="s">
        <v>20</v>
      </c>
      <c r="W8" s="153"/>
      <c r="X8" s="153"/>
      <c r="Y8" s="153"/>
      <c r="Z8" s="153"/>
      <c r="AA8" s="154"/>
    </row>
    <row r="9" spans="1:44" ht="13.8" thickBot="1" x14ac:dyDescent="0.25">
      <c r="B9" s="194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8"/>
      <c r="Q9" s="198"/>
      <c r="R9" s="198"/>
      <c r="S9" s="198"/>
      <c r="T9" s="198"/>
      <c r="U9" s="198"/>
      <c r="V9" s="155"/>
      <c r="W9" s="155"/>
      <c r="X9" s="155"/>
      <c r="Y9" s="155"/>
      <c r="Z9" s="155"/>
      <c r="AA9" s="156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44" ht="13.95" customHeight="1" thickTop="1" x14ac:dyDescent="0.2">
      <c r="B10" s="202" t="s">
        <v>21</v>
      </c>
      <c r="C10" s="203"/>
      <c r="D10" s="232" t="s">
        <v>22</v>
      </c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4"/>
      <c r="P10" s="240">
        <f>COUNTIFS(設定!$F:$F,"有給役員",設定!$D:$D,"男")</f>
        <v>0</v>
      </c>
      <c r="Q10" s="241"/>
      <c r="R10" s="241"/>
      <c r="S10" s="241"/>
      <c r="T10" s="241"/>
      <c r="U10" s="242"/>
      <c r="V10" s="180">
        <f>COUNTIFS(設定!$F:$F,"有給役員",設定!$D:$D,"女")</f>
        <v>0</v>
      </c>
      <c r="W10" s="147"/>
      <c r="X10" s="147"/>
      <c r="Y10" s="147"/>
      <c r="Z10" s="147"/>
      <c r="AA10" s="181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44" ht="13.2" customHeight="1" x14ac:dyDescent="0.2">
      <c r="B11" s="204"/>
      <c r="C11" s="205"/>
      <c r="D11" s="34"/>
      <c r="E11" s="149" t="s">
        <v>23</v>
      </c>
      <c r="F11" s="150"/>
      <c r="G11" s="150"/>
      <c r="H11" s="150"/>
      <c r="I11" s="150"/>
      <c r="J11" s="150"/>
      <c r="K11" s="150"/>
      <c r="L11" s="150"/>
      <c r="M11" s="150"/>
      <c r="N11" s="150"/>
      <c r="O11" s="151"/>
      <c r="P11" s="224">
        <f>COUNTIFS(設定!$F:$F,"有給役員",設定!$I:$I,"&gt;1",設定!$D:$D,"男")</f>
        <v>0</v>
      </c>
      <c r="Q11" s="225"/>
      <c r="R11" s="225"/>
      <c r="S11" s="225"/>
      <c r="T11" s="225"/>
      <c r="U11" s="226"/>
      <c r="V11" s="222">
        <f>COUNTIFS(設定!$F:$F,"有給役員",設定!$I:$I,"&gt;1",設定!$D:$D,"女")</f>
        <v>0</v>
      </c>
      <c r="W11" s="187"/>
      <c r="X11" s="187"/>
      <c r="Y11" s="187"/>
      <c r="Z11" s="187"/>
      <c r="AA11" s="223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3.2" customHeight="1" x14ac:dyDescent="0.2">
      <c r="B12" s="209" t="s">
        <v>24</v>
      </c>
      <c r="C12" s="210"/>
      <c r="D12" s="164" t="s">
        <v>25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6"/>
      <c r="P12" s="224">
        <f>COUNTIFS(設定!$F:$F,"正社員７か月以上",設定!$D:$D,"男")+COUNTIFS(設定!$F:$F,"正社員７か月未満",設定!$D:$D,"男")</f>
        <v>0</v>
      </c>
      <c r="Q12" s="225"/>
      <c r="R12" s="225"/>
      <c r="S12" s="225"/>
      <c r="T12" s="225"/>
      <c r="U12" s="226"/>
      <c r="V12" s="222">
        <f>COUNTIFS(設定!$F:$F,"正社員７か月以上",設定!$D:$D,"女")+COUNTIFS(設定!$F:$F,"正社員７か月未満",設定!$D:$D,"女")</f>
        <v>0</v>
      </c>
      <c r="W12" s="187"/>
      <c r="X12" s="187"/>
      <c r="Y12" s="187"/>
      <c r="Z12" s="187"/>
      <c r="AA12" s="223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3.2" customHeight="1" x14ac:dyDescent="0.2">
      <c r="B13" s="211"/>
      <c r="C13" s="212"/>
      <c r="D13" s="35"/>
      <c r="E13" s="149" t="s">
        <v>23</v>
      </c>
      <c r="F13" s="150"/>
      <c r="G13" s="150"/>
      <c r="H13" s="150"/>
      <c r="I13" s="150"/>
      <c r="J13" s="150"/>
      <c r="K13" s="150"/>
      <c r="L13" s="150"/>
      <c r="M13" s="150"/>
      <c r="N13" s="150"/>
      <c r="O13" s="151"/>
      <c r="P13" s="224">
        <f>COUNTIFS(設定!$F:$F,"正社員７か月以上",設定!$I:$I,"&gt;1",設定!$D:$D,"男")+COUNTIFS(設定!$F:$F,"正社員７か月未満",設定!$I:$I,"&gt;1",設定!$D:$D,"男")</f>
        <v>0</v>
      </c>
      <c r="Q13" s="225"/>
      <c r="R13" s="225"/>
      <c r="S13" s="225"/>
      <c r="T13" s="225"/>
      <c r="U13" s="226"/>
      <c r="V13" s="222">
        <f>COUNTIFS(設定!$F:$F,"正社員７か月以上",設定!$I:$I,"&gt;1",設定!$D:$D,"女")+COUNTIFS(設定!$F:$F,"正社員７か月未満",設定!$I:$I,"&gt;1",設定!$D:$D,"女")</f>
        <v>0</v>
      </c>
      <c r="W13" s="187"/>
      <c r="X13" s="187"/>
      <c r="Y13" s="187"/>
      <c r="Z13" s="187"/>
      <c r="AA13" s="223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31"/>
      <c r="AQ13" s="31"/>
      <c r="AR13" s="31"/>
    </row>
    <row r="14" spans="1:44" ht="13.95" customHeight="1" x14ac:dyDescent="0.2">
      <c r="B14" s="211"/>
      <c r="C14" s="212"/>
      <c r="D14" s="164" t="s">
        <v>26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6"/>
      <c r="P14" s="224">
        <f>COUNTIFS(設定!$F:$F,"その他７か月以上",設定!$D:$D,"男")+COUNTIFS(設定!$F:$F,"その他７か月未満",設定!$D:$D,"男")</f>
        <v>0</v>
      </c>
      <c r="Q14" s="225"/>
      <c r="R14" s="225"/>
      <c r="S14" s="225"/>
      <c r="T14" s="225"/>
      <c r="U14" s="226"/>
      <c r="V14" s="222">
        <f>COUNTIFS(設定!$F:$F,"その他７か月以上",設定!$D:$D,"女")+COUNTIFS(設定!$F:$F,"その他７か月未満",設定!$D:$D,"女")</f>
        <v>0</v>
      </c>
      <c r="W14" s="187"/>
      <c r="X14" s="187"/>
      <c r="Y14" s="187"/>
      <c r="Z14" s="187"/>
      <c r="AA14" s="223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4" ht="13.95" customHeight="1" thickBot="1" x14ac:dyDescent="0.25">
      <c r="B15" s="211"/>
      <c r="C15" s="212"/>
      <c r="D15" s="36"/>
      <c r="E15" s="237" t="s">
        <v>23</v>
      </c>
      <c r="F15" s="238"/>
      <c r="G15" s="238"/>
      <c r="H15" s="238"/>
      <c r="I15" s="238"/>
      <c r="J15" s="238"/>
      <c r="K15" s="238"/>
      <c r="L15" s="238"/>
      <c r="M15" s="238"/>
      <c r="N15" s="238"/>
      <c r="O15" s="239"/>
      <c r="P15" s="235">
        <f>COUNTIFS(設定!$F:$F,"その他７か月以上",設定!$I:$I,"&gt;1",設定!$D:$D,"男")+COUNTIFS(設定!$F:$F,"その他７か月未満",設定!$I:$I,"&gt;1",設定!$D:$D,"男")</f>
        <v>0</v>
      </c>
      <c r="Q15" s="207"/>
      <c r="R15" s="207"/>
      <c r="S15" s="207"/>
      <c r="T15" s="207"/>
      <c r="U15" s="236"/>
      <c r="V15" s="206">
        <f>COUNTIFS(設定!$F:$F,"その他７か月以上",設定!$I:$I,"&gt;1",設定!$D:$D,"女")+COUNTIFS(設定!$F:$F,"その他７か月未満",設定!$I:$I,"&gt;1",設定!$D:$D,"女")</f>
        <v>0</v>
      </c>
      <c r="W15" s="207"/>
      <c r="X15" s="207"/>
      <c r="Y15" s="207"/>
      <c r="Z15" s="207"/>
      <c r="AA15" s="208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4" ht="13.95" customHeight="1" thickTop="1" x14ac:dyDescent="0.2">
      <c r="B16" s="211"/>
      <c r="C16" s="212"/>
      <c r="D16" s="199" t="s">
        <v>27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1"/>
      <c r="P16" s="230">
        <f>COUNTIFS(設定!$F:$F,"正社員７か月以上",設定!$D:$D,"男")+COUNTIFS(設定!$F:$F,"その他７か月以上",設定!$D:$D,"男")</f>
        <v>0</v>
      </c>
      <c r="Q16" s="228"/>
      <c r="R16" s="228"/>
      <c r="S16" s="228"/>
      <c r="T16" s="228"/>
      <c r="U16" s="231"/>
      <c r="V16" s="227">
        <f>COUNTIFS(設定!$F:$F,"正社員７か月以上",設定!$D:$D,"女")+COUNTIFS(設定!$F:$F,"その他７か月以上",設定!$D:$D,"女")</f>
        <v>0</v>
      </c>
      <c r="W16" s="228"/>
      <c r="X16" s="228"/>
      <c r="Y16" s="228"/>
      <c r="Z16" s="228"/>
      <c r="AA16" s="229"/>
      <c r="AB16" s="29"/>
      <c r="AC16" s="29"/>
      <c r="AD16" s="29"/>
      <c r="AE16" s="29"/>
      <c r="AF16" s="29"/>
      <c r="AG16" s="29"/>
      <c r="AH16" s="29"/>
      <c r="AI16" s="29"/>
    </row>
    <row r="17" spans="1:44" ht="13.2" customHeight="1" x14ac:dyDescent="0.2">
      <c r="B17" s="213"/>
      <c r="C17" s="214"/>
      <c r="D17" s="37"/>
      <c r="E17" s="149" t="s">
        <v>23</v>
      </c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86">
        <f>COUNTIFS(設定!$F:$F,"正社員７か月以上",設定!$I:$I,"&gt;1",設定!$D:$D,"男")+COUNTIFS(設定!$F:$F,"その他７か月以上",設定!$I:$I,"&gt;1",設定!$D:$D,"男")</f>
        <v>0</v>
      </c>
      <c r="Q17" s="187"/>
      <c r="R17" s="187"/>
      <c r="S17" s="187"/>
      <c r="T17" s="187"/>
      <c r="U17" s="188"/>
      <c r="V17" s="222">
        <f>COUNTIFS(設定!$F:$F,"正社員７か月以上",設定!$I:$I,"&gt;1",設定!$D:$D,"女")+COUNTIFS(設定!$F:$F,"その他７か月以上",設定!$I:$I,"&gt;1",設定!$D:$D,"女")</f>
        <v>0</v>
      </c>
      <c r="W17" s="187"/>
      <c r="X17" s="187"/>
      <c r="Y17" s="187"/>
      <c r="Z17" s="187"/>
      <c r="AA17" s="223"/>
      <c r="AB17" s="29"/>
      <c r="AC17" s="29"/>
      <c r="AD17" s="29"/>
      <c r="AE17" s="29"/>
      <c r="AF17" s="29"/>
    </row>
    <row r="18" spans="1:44" ht="13.2" customHeight="1" x14ac:dyDescent="0.2">
      <c r="B18" s="182" t="s">
        <v>28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6"/>
      <c r="P18" s="189">
        <f>COUNTIFS(設定!$F:$F,"臨時雇用者",設定!$D:$D,"男")</f>
        <v>0</v>
      </c>
      <c r="Q18" s="190"/>
      <c r="R18" s="190"/>
      <c r="S18" s="190"/>
      <c r="T18" s="190"/>
      <c r="U18" s="191"/>
      <c r="V18" s="220">
        <f>COUNTIFS(設定!$F:$F,"臨時雇用者",設定!$D:$D,"女")</f>
        <v>0</v>
      </c>
      <c r="W18" s="190"/>
      <c r="X18" s="190"/>
      <c r="Y18" s="190"/>
      <c r="Z18" s="190"/>
      <c r="AA18" s="221"/>
      <c r="AP18" s="29"/>
      <c r="AQ18" s="29"/>
      <c r="AR18" s="29"/>
    </row>
    <row r="19" spans="1:44" ht="13.95" customHeight="1" thickBot="1" x14ac:dyDescent="0.25">
      <c r="B19" s="38"/>
      <c r="C19" s="183" t="s">
        <v>29</v>
      </c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5"/>
      <c r="P19" s="170">
        <f>COUNTIFS(設定!$F:$F,"臨時雇用者",設定!$I:$I,"&gt;1",設定!$D:$D,"男")</f>
        <v>0</v>
      </c>
      <c r="Q19" s="171"/>
      <c r="R19" s="171"/>
      <c r="S19" s="171"/>
      <c r="T19" s="171"/>
      <c r="U19" s="172"/>
      <c r="V19" s="173">
        <f>COUNTIFS(設定!$F:$F,"臨時雇用者",設定!$I:$I,"&gt;1",設定!$D:$D,"女")</f>
        <v>0</v>
      </c>
      <c r="W19" s="171"/>
      <c r="X19" s="171"/>
      <c r="Y19" s="171"/>
      <c r="Z19" s="171"/>
      <c r="AA19" s="174"/>
      <c r="AP19" s="29"/>
      <c r="AQ19" s="29"/>
      <c r="AR19" s="29"/>
    </row>
    <row r="20" spans="1:44" x14ac:dyDescent="0.2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29"/>
      <c r="AP20" s="29"/>
      <c r="AQ20" s="29"/>
      <c r="AR20" s="29"/>
    </row>
    <row r="21" spans="1:44" x14ac:dyDescent="0.2"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AP21" s="29"/>
      <c r="AQ21" s="29"/>
      <c r="AR21" s="29"/>
    </row>
    <row r="22" spans="1:44" ht="15" thickBot="1" x14ac:dyDescent="0.25">
      <c r="B22" s="43" t="s">
        <v>30</v>
      </c>
      <c r="AA22" s="33"/>
    </row>
    <row r="23" spans="1:44" ht="13.2" customHeight="1" x14ac:dyDescent="0.2">
      <c r="B23" s="157" t="s">
        <v>18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2" t="s">
        <v>31</v>
      </c>
      <c r="Q23" s="153"/>
      <c r="R23" s="153"/>
      <c r="S23" s="153"/>
      <c r="T23" s="153"/>
      <c r="U23" s="153"/>
      <c r="V23" s="152" t="s">
        <v>32</v>
      </c>
      <c r="W23" s="153"/>
      <c r="X23" s="153"/>
      <c r="Y23" s="153"/>
      <c r="Z23" s="153"/>
      <c r="AA23" s="154"/>
    </row>
    <row r="24" spans="1:44" ht="13.8" thickBot="1" x14ac:dyDescent="0.25">
      <c r="B24" s="158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6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44" ht="13.95" customHeight="1" thickTop="1" x14ac:dyDescent="0.2">
      <c r="B25" s="160" t="s">
        <v>33</v>
      </c>
      <c r="C25" s="161"/>
      <c r="D25" s="164" t="s">
        <v>22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6"/>
      <c r="P25" s="146">
        <f>COUNTIFS(設定!$G:$G,"構成員",設定!$F:$F,"&lt;&gt;有給役員",設定!$D:$D,"男")</f>
        <v>0</v>
      </c>
      <c r="Q25" s="147"/>
      <c r="R25" s="147"/>
      <c r="S25" s="147"/>
      <c r="T25" s="147"/>
      <c r="U25" s="148"/>
      <c r="V25" s="180">
        <f>COUNTIFS(設定!$G:$G,"構成員",設定!$F:$F,"&lt;&gt;有給役員",設定!$D:$D,"女")</f>
        <v>0</v>
      </c>
      <c r="W25" s="147"/>
      <c r="X25" s="147"/>
      <c r="Y25" s="147"/>
      <c r="Z25" s="147"/>
      <c r="AA25" s="181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4" ht="13.95" customHeight="1" thickBot="1" x14ac:dyDescent="0.25">
      <c r="B26" s="162"/>
      <c r="C26" s="163"/>
      <c r="D26" s="44"/>
      <c r="E26" s="167" t="s">
        <v>23</v>
      </c>
      <c r="F26" s="168"/>
      <c r="G26" s="168"/>
      <c r="H26" s="168"/>
      <c r="I26" s="168"/>
      <c r="J26" s="168"/>
      <c r="K26" s="168"/>
      <c r="L26" s="168"/>
      <c r="M26" s="168"/>
      <c r="N26" s="168"/>
      <c r="O26" s="169"/>
      <c r="P26" s="178">
        <f>COUNTIFS(設定!$G:$G,"構成員",設定!$F:$F,"&lt;&gt;有給役員",設定!$I:$I,"&gt;1",設定!$D:$D,"男")</f>
        <v>0</v>
      </c>
      <c r="Q26" s="176"/>
      <c r="R26" s="176"/>
      <c r="S26" s="176"/>
      <c r="T26" s="176"/>
      <c r="U26" s="179"/>
      <c r="V26" s="175">
        <f>COUNTIFS(設定!$G:$G,"構成員",設定!$F:$F,"&lt;&gt;有給役員",設定!$I:$I,"&gt;1",設定!$D:$D,"女")</f>
        <v>0</v>
      </c>
      <c r="W26" s="176"/>
      <c r="X26" s="176"/>
      <c r="Y26" s="176"/>
      <c r="Z26" s="176"/>
      <c r="AA26" s="177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x14ac:dyDescent="0.2">
      <c r="B27" s="45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32"/>
      <c r="Q27" s="32"/>
      <c r="R27" s="32"/>
      <c r="S27" s="32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5" thickBot="1" x14ac:dyDescent="0.25">
      <c r="B28" s="43" t="s">
        <v>34</v>
      </c>
      <c r="E28" s="41"/>
      <c r="F28" s="41"/>
      <c r="G28" s="41"/>
      <c r="H28" s="41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AI28" s="33"/>
      <c r="AP28" s="29"/>
      <c r="AQ28" s="29"/>
      <c r="AR28" s="29"/>
    </row>
    <row r="29" spans="1:44" x14ac:dyDescent="0.2">
      <c r="B29" s="253" t="s">
        <v>35</v>
      </c>
      <c r="C29" s="254"/>
      <c r="D29" s="254"/>
      <c r="E29" s="254"/>
      <c r="F29" s="254"/>
      <c r="G29" s="254"/>
      <c r="H29" s="254"/>
      <c r="I29" s="254"/>
      <c r="J29" s="255"/>
      <c r="K29" s="259" t="s">
        <v>36</v>
      </c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1"/>
      <c r="AF29" s="29"/>
      <c r="AG29" s="29"/>
      <c r="AH29" s="56"/>
    </row>
    <row r="30" spans="1:44" ht="13.8" thickBot="1" x14ac:dyDescent="0.25">
      <c r="B30" s="256"/>
      <c r="C30" s="257"/>
      <c r="D30" s="257"/>
      <c r="E30" s="257"/>
      <c r="F30" s="257"/>
      <c r="G30" s="257"/>
      <c r="H30" s="257"/>
      <c r="I30" s="257"/>
      <c r="J30" s="258"/>
      <c r="K30" s="262" t="s">
        <v>37</v>
      </c>
      <c r="L30" s="263"/>
      <c r="M30" s="263"/>
      <c r="N30" s="263"/>
      <c r="O30" s="264"/>
      <c r="P30" s="265" t="s">
        <v>38</v>
      </c>
      <c r="Q30" s="266"/>
      <c r="R30" s="266"/>
      <c r="S30" s="266"/>
      <c r="T30" s="246"/>
      <c r="U30" s="267" t="s">
        <v>39</v>
      </c>
      <c r="V30" s="268"/>
      <c r="W30" s="268"/>
      <c r="X30" s="268"/>
      <c r="Y30" s="269"/>
      <c r="AF30" s="29"/>
      <c r="AG30" s="29"/>
      <c r="AH30" s="56"/>
    </row>
    <row r="31" spans="1:44" ht="13.95" customHeight="1" thickTop="1" x14ac:dyDescent="0.2">
      <c r="B31" s="243" t="s">
        <v>40</v>
      </c>
      <c r="C31" s="244"/>
      <c r="D31" s="149" t="s">
        <v>41</v>
      </c>
      <c r="E31" s="150"/>
      <c r="F31" s="150"/>
      <c r="G31" s="150"/>
      <c r="H31" s="150"/>
      <c r="I31" s="150"/>
      <c r="J31" s="150"/>
      <c r="K31" s="219">
        <f>COUNTIFS(設定!$F:$F,"&lt;&gt;臨時雇用者",設定!$D:$D,"男",設定!$E:$E,"&gt;=16",設定!$E:$E,"&lt;35",設定!$I:$I,"&gt;1",設定!$I:$I,"&lt;480")</f>
        <v>0</v>
      </c>
      <c r="L31" s="216"/>
      <c r="M31" s="216"/>
      <c r="N31" s="216"/>
      <c r="O31" s="218"/>
      <c r="P31" s="215">
        <f>COUNTIFS(設定!$F:$F,"&lt;&gt;臨時雇用者",設定!$D:$D,"男",設定!$E:$E,"&gt;=16",設定!$E:$E,"&lt;35",設定!$I:$I,"&gt;=480",設定!$I:$I,"&lt;1200")</f>
        <v>0</v>
      </c>
      <c r="Q31" s="216"/>
      <c r="R31" s="216"/>
      <c r="S31" s="216"/>
      <c r="T31" s="218"/>
      <c r="U31" s="215">
        <f>COUNTIFS(設定!$F:$F,"&lt;&gt;臨時雇用者",設定!$D:$D,"男",設定!$E:$E,"&gt;=16",設定!$E:$E,"&lt;35",設定!$I:$I,"&gt;=1200",設定!$I:$I,"&lt;999999")</f>
        <v>0</v>
      </c>
      <c r="V31" s="216"/>
      <c r="W31" s="216"/>
      <c r="X31" s="216"/>
      <c r="Y31" s="217"/>
      <c r="AF31" s="29"/>
      <c r="AG31" s="29"/>
      <c r="AH31" s="56"/>
    </row>
    <row r="32" spans="1:44" ht="13.95" customHeight="1" x14ac:dyDescent="0.2">
      <c r="A32" s="47"/>
      <c r="B32" s="245"/>
      <c r="C32" s="246"/>
      <c r="D32" s="249" t="s">
        <v>42</v>
      </c>
      <c r="E32" s="250"/>
      <c r="F32" s="250"/>
      <c r="G32" s="250"/>
      <c r="H32" s="250"/>
      <c r="I32" s="250"/>
      <c r="J32" s="250"/>
      <c r="K32" s="136">
        <f>COUNTIFS(設定!$F:$F,"&lt;&gt;臨時雇用者",設定!$D:$D,"男",設定!$E:$E,"&gt;=35",設定!$E:$E,"&lt;45",設定!$I:$I,"&gt;1",設定!$I:$I,"&lt;480")</f>
        <v>0</v>
      </c>
      <c r="L32" s="137"/>
      <c r="M32" s="137"/>
      <c r="N32" s="137"/>
      <c r="O32" s="138"/>
      <c r="P32" s="139">
        <f>COUNTIFS(設定!$F:$F,"&lt;&gt;臨時雇用者",設定!$D:$D,"男",設定!$E:$E,"&gt;=35",設定!$E:$E,"&lt;45",設定!$I:$I,"&gt;=480",設定!$I:$I,"&lt;1200")</f>
        <v>0</v>
      </c>
      <c r="Q32" s="137"/>
      <c r="R32" s="137"/>
      <c r="S32" s="137"/>
      <c r="T32" s="138"/>
      <c r="U32" s="139">
        <f>COUNTIFS(設定!$F:$F,"&lt;&gt;臨時雇用者",設定!$D:$D,"男",設定!$E:$E,"&gt;=35",設定!$E:$E,"&lt;45",設定!$I:$I,"&gt;=1200",設定!$I:$I,"&lt;999999")</f>
        <v>0</v>
      </c>
      <c r="V32" s="137"/>
      <c r="W32" s="137"/>
      <c r="X32" s="137"/>
      <c r="Y32" s="140"/>
      <c r="AH32" s="56"/>
    </row>
    <row r="33" spans="1:34" ht="13.95" customHeight="1" x14ac:dyDescent="0.2">
      <c r="A33" s="47"/>
      <c r="B33" s="245"/>
      <c r="C33" s="246"/>
      <c r="D33" s="251" t="s">
        <v>43</v>
      </c>
      <c r="E33" s="252"/>
      <c r="F33" s="252"/>
      <c r="G33" s="252"/>
      <c r="H33" s="252"/>
      <c r="I33" s="252"/>
      <c r="J33" s="252"/>
      <c r="K33" s="136">
        <f>COUNTIFS(設定!$F:$F,"&lt;&gt;臨時雇用者",設定!$D:$D,"男",設定!$E:$E,"&gt;=45",設定!$E:$E,"&lt;50",設定!$I:$I,"&gt;1",設定!$I:$I,"&lt;480")</f>
        <v>0</v>
      </c>
      <c r="L33" s="137"/>
      <c r="M33" s="137"/>
      <c r="N33" s="137"/>
      <c r="O33" s="138"/>
      <c r="P33" s="139">
        <f>COUNTIFS(設定!$F:$F,"&lt;&gt;臨時雇用者",設定!$D:$D,"男",設定!$E:$E,"&gt;=45",設定!$E:$E,"&lt;50",設定!$I:$I,"&gt;=480",設定!$I:$I,"&lt;1200")</f>
        <v>0</v>
      </c>
      <c r="Q33" s="137"/>
      <c r="R33" s="137"/>
      <c r="S33" s="137"/>
      <c r="T33" s="138"/>
      <c r="U33" s="139">
        <f>COUNTIFS(設定!$F:$F,"&lt;&gt;臨時雇用者",設定!$D:$D,"男",設定!$E:$E,"&gt;=45",設定!$E:$E,"&lt;50",設定!$I:$I,"&gt;=1200",設定!$I:$I,"&lt;999999")</f>
        <v>0</v>
      </c>
      <c r="V33" s="137"/>
      <c r="W33" s="137"/>
      <c r="X33" s="137"/>
      <c r="Y33" s="140"/>
      <c r="AH33" s="56"/>
    </row>
    <row r="34" spans="1:34" ht="15" customHeight="1" x14ac:dyDescent="0.2">
      <c r="A34" s="47"/>
      <c r="B34" s="245"/>
      <c r="C34" s="246"/>
      <c r="D34" s="249" t="s">
        <v>44</v>
      </c>
      <c r="E34" s="250"/>
      <c r="F34" s="250"/>
      <c r="G34" s="250"/>
      <c r="H34" s="250"/>
      <c r="I34" s="250"/>
      <c r="J34" s="250"/>
      <c r="K34" s="136">
        <f>COUNTIFS(設定!$F:$F,"&lt;&gt;臨時雇用者",設定!$D:$D,"男",設定!$E:$E,"&gt;=50",設定!$E:$E,"&lt;60",設定!$I:$I,"&gt;1",設定!$I:$I,"&lt;480")</f>
        <v>0</v>
      </c>
      <c r="L34" s="137"/>
      <c r="M34" s="137"/>
      <c r="N34" s="137"/>
      <c r="O34" s="138"/>
      <c r="P34" s="139">
        <f>COUNTIFS(設定!$F:$F,"&lt;&gt;臨時雇用者",設定!$D:$D,"男",設定!$E:$E,"&gt;=50",設定!$E:$E,"&lt;60",設定!$I:$I,"&gt;=480",設定!$I:$I,"&lt;1200")</f>
        <v>0</v>
      </c>
      <c r="Q34" s="137"/>
      <c r="R34" s="137"/>
      <c r="S34" s="137"/>
      <c r="T34" s="138"/>
      <c r="U34" s="139">
        <f>COUNTIFS(設定!$F:$F,"&lt;&gt;臨時雇用者",設定!$D:$D,"男",設定!$E:$E,"&gt;=50",設定!$E:$E,"&lt;60",設定!$I:$I,"&gt;=1200",設定!$I:$I,"&lt;999999")</f>
        <v>0</v>
      </c>
      <c r="V34" s="137"/>
      <c r="W34" s="137"/>
      <c r="X34" s="137"/>
      <c r="Y34" s="140"/>
      <c r="AF34" s="29"/>
      <c r="AG34" s="29"/>
      <c r="AH34" s="56"/>
    </row>
    <row r="35" spans="1:34" ht="13.2" customHeight="1" x14ac:dyDescent="0.2">
      <c r="B35" s="245"/>
      <c r="C35" s="246"/>
      <c r="D35" s="251" t="s">
        <v>45</v>
      </c>
      <c r="E35" s="252"/>
      <c r="F35" s="252"/>
      <c r="G35" s="252"/>
      <c r="H35" s="252"/>
      <c r="I35" s="252"/>
      <c r="J35" s="252"/>
      <c r="K35" s="136">
        <f>COUNTIFS(設定!$F:$F,"&lt;&gt;臨時雇用者",設定!$D:$D,"男",設定!$E:$E,"&gt;=60",設定!$E:$E,"&lt;65",設定!$I:$I,"&gt;1",設定!$I:$I,"&lt;480")</f>
        <v>0</v>
      </c>
      <c r="L35" s="137"/>
      <c r="M35" s="137"/>
      <c r="N35" s="137"/>
      <c r="O35" s="138"/>
      <c r="P35" s="139">
        <f>COUNTIFS(設定!$F:$F,"&lt;&gt;臨時雇用者",設定!$D:$D,"男",設定!$E:$E,"&gt;=60",設定!$E:$E,"&lt;65",設定!$I:$I,"&gt;=480",設定!$I:$I,"&lt;1200")</f>
        <v>0</v>
      </c>
      <c r="Q35" s="137"/>
      <c r="R35" s="137"/>
      <c r="S35" s="137"/>
      <c r="T35" s="138"/>
      <c r="U35" s="139">
        <f>COUNTIFS(設定!$F:$F,"&lt;&gt;臨時雇用者",設定!$D:$D,"男",設定!$E:$E,"&gt;=60",設定!$E:$E,"&lt;65",設定!$I:$I,"&gt;=1200",設定!$I:$I,"&lt;999999")</f>
        <v>0</v>
      </c>
      <c r="V35" s="137"/>
      <c r="W35" s="137"/>
      <c r="X35" s="137"/>
      <c r="Y35" s="140"/>
      <c r="AF35" s="29"/>
      <c r="AG35" s="29"/>
      <c r="AH35" s="56"/>
    </row>
    <row r="36" spans="1:34" ht="13.2" customHeight="1" x14ac:dyDescent="0.2">
      <c r="B36" s="245"/>
      <c r="C36" s="246"/>
      <c r="D36" s="251" t="s">
        <v>46</v>
      </c>
      <c r="E36" s="252"/>
      <c r="F36" s="252"/>
      <c r="G36" s="252"/>
      <c r="H36" s="252"/>
      <c r="I36" s="252"/>
      <c r="J36" s="252"/>
      <c r="K36" s="136">
        <f>COUNTIFS(設定!$F:$F,"&lt;&gt;臨時雇用者",設定!$D:$D,"男",設定!$E:$E,"&gt;=65",設定!$E:$E,"&lt;70",設定!$I:$I,"&gt;1",設定!$I:$I,"&lt;480")</f>
        <v>0</v>
      </c>
      <c r="L36" s="137"/>
      <c r="M36" s="137"/>
      <c r="N36" s="137"/>
      <c r="O36" s="138"/>
      <c r="P36" s="139">
        <f>COUNTIFS(設定!$F:$F,"&lt;&gt;臨時雇用者",設定!$D:$D,"男",設定!$E:$E,"&gt;=65",設定!$E:$E,"&lt;70",設定!$I:$I,"&gt;=480",設定!$I:$I,"&lt;1200")</f>
        <v>0</v>
      </c>
      <c r="Q36" s="137"/>
      <c r="R36" s="137"/>
      <c r="S36" s="137"/>
      <c r="T36" s="138"/>
      <c r="U36" s="139">
        <f>COUNTIFS(設定!$F:$F,"&lt;&gt;臨時雇用者",設定!$D:$D,"男",設定!$E:$E,"&gt;=65",設定!$E:$E,"&lt;70",設定!$I:$I,"&gt;=1200",設定!$I:$I,"&lt;999999")</f>
        <v>0</v>
      </c>
      <c r="V36" s="137"/>
      <c r="W36" s="137"/>
      <c r="X36" s="137"/>
      <c r="Y36" s="140"/>
    </row>
    <row r="37" spans="1:34" ht="13.95" customHeight="1" x14ac:dyDescent="0.2">
      <c r="B37" s="256"/>
      <c r="C37" s="258"/>
      <c r="D37" s="251" t="s">
        <v>47</v>
      </c>
      <c r="E37" s="252"/>
      <c r="F37" s="252"/>
      <c r="G37" s="252"/>
      <c r="H37" s="252"/>
      <c r="I37" s="252"/>
      <c r="J37" s="252"/>
      <c r="K37" s="136">
        <f>COUNTIFS(設定!$F:$F,"&lt;&gt;臨時雇用者",設定!$D:$D,"男",設定!$E:$E,"&gt;=70",設定!$E:$E,"&lt;999",設定!$I:$I,"&gt;1",設定!$I:$I,"&lt;480")</f>
        <v>0</v>
      </c>
      <c r="L37" s="137"/>
      <c r="M37" s="137"/>
      <c r="N37" s="137"/>
      <c r="O37" s="138"/>
      <c r="P37" s="139">
        <f>COUNTIFS(設定!$F:$F,"&lt;&gt;臨時雇用者",設定!$D:$D,"男",設定!$E:$E,"&gt;=70",設定!$E:$E,"&lt;999",設定!$I:$I,"&gt;=480",設定!$I:$I,"&lt;1200")</f>
        <v>0</v>
      </c>
      <c r="Q37" s="137"/>
      <c r="R37" s="137"/>
      <c r="S37" s="137"/>
      <c r="T37" s="138"/>
      <c r="U37" s="139">
        <f>COUNTIFS(設定!$F:$F,"&lt;&gt;臨時雇用者",設定!$D:$D,"男",設定!$E:$E,"&gt;=70",設定!$E:$E,"&lt;999",設定!$I:$I,"&gt;=1200",設定!$I:$I,"&lt;999999")</f>
        <v>0</v>
      </c>
      <c r="V37" s="137"/>
      <c r="W37" s="137"/>
      <c r="X37" s="137"/>
      <c r="Y37" s="140"/>
      <c r="AF37" s="31"/>
      <c r="AG37" s="31"/>
    </row>
    <row r="38" spans="1:34" ht="13.95" customHeight="1" x14ac:dyDescent="0.2">
      <c r="B38" s="243" t="s">
        <v>48</v>
      </c>
      <c r="C38" s="244"/>
      <c r="D38" s="149" t="s">
        <v>41</v>
      </c>
      <c r="E38" s="150"/>
      <c r="F38" s="150"/>
      <c r="G38" s="150"/>
      <c r="H38" s="150"/>
      <c r="I38" s="150"/>
      <c r="J38" s="150"/>
      <c r="K38" s="136">
        <f>COUNTIFS(設定!$F:$F,"&lt;&gt;臨時雇用者",設定!$D:$D,"女",設定!$E:$E,"&gt;=16",設定!$E:$E,"&lt;35",設定!$I:$I,"&gt;1",設定!$I:$I,"&lt;480")</f>
        <v>0</v>
      </c>
      <c r="L38" s="137"/>
      <c r="M38" s="137"/>
      <c r="N38" s="137"/>
      <c r="O38" s="138"/>
      <c r="P38" s="139">
        <f>COUNTIFS(設定!$F:$F,"&lt;&gt;臨時雇用者",設定!$D:$D,"女",設定!$E:$E,"&gt;=16",設定!$E:$E,"&lt;35",設定!$I:$I,"&gt;=480",設定!$I:$I,"&lt;1200")</f>
        <v>0</v>
      </c>
      <c r="Q38" s="137"/>
      <c r="R38" s="137"/>
      <c r="S38" s="137"/>
      <c r="T38" s="138"/>
      <c r="U38" s="139">
        <f>COUNTIFS(設定!$F:$F,"&lt;&gt;臨時雇用者",設定!$D:$D,"女",設定!$E:$E,"&gt;=16",設定!$E:$E,"&lt;35",設定!$I:$I,"&gt;=1200",設定!$I:$I,"&lt;999999")</f>
        <v>0</v>
      </c>
      <c r="V38" s="137"/>
      <c r="W38" s="137"/>
      <c r="X38" s="137"/>
      <c r="Y38" s="140"/>
    </row>
    <row r="39" spans="1:34" ht="13.2" customHeight="1" x14ac:dyDescent="0.2">
      <c r="B39" s="245"/>
      <c r="C39" s="246"/>
      <c r="D39" s="249" t="s">
        <v>8</v>
      </c>
      <c r="E39" s="250"/>
      <c r="F39" s="250"/>
      <c r="G39" s="250"/>
      <c r="H39" s="250"/>
      <c r="I39" s="250"/>
      <c r="J39" s="250"/>
      <c r="K39" s="136">
        <f>COUNTIFS(設定!$F:$F,"&lt;&gt;臨時雇用者",設定!$D:$D,"女",設定!$E:$E,"&gt;=35",設定!$E:$E,"&lt;45",設定!$I:$I,"&gt;1",設定!$I:$I,"&lt;480")</f>
        <v>0</v>
      </c>
      <c r="L39" s="137"/>
      <c r="M39" s="137"/>
      <c r="N39" s="137"/>
      <c r="O39" s="138"/>
      <c r="P39" s="139">
        <f>COUNTIFS(設定!$F:$F,"&lt;&gt;臨時雇用者",設定!$D:$D,"女",設定!$E:$E,"&gt;=35",設定!$E:$E,"&lt;45",設定!$I:$I,"&gt;=480",設定!$I:$I,"&lt;1200")</f>
        <v>0</v>
      </c>
      <c r="Q39" s="137"/>
      <c r="R39" s="137"/>
      <c r="S39" s="137"/>
      <c r="T39" s="138"/>
      <c r="U39" s="139">
        <f>COUNTIFS(設定!$F:$F,"&lt;&gt;臨時雇用者",設定!$D:$D,"女",設定!$E:$E,"&gt;=35",設定!$E:$E,"&lt;45",設定!$I:$I,"&gt;=1200",設定!$I:$I,"&lt;999999")</f>
        <v>0</v>
      </c>
      <c r="V39" s="137"/>
      <c r="W39" s="137"/>
      <c r="X39" s="137"/>
      <c r="Y39" s="140"/>
    </row>
    <row r="40" spans="1:34" ht="13.2" customHeight="1" x14ac:dyDescent="0.2">
      <c r="B40" s="245"/>
      <c r="C40" s="246"/>
      <c r="D40" s="251" t="s">
        <v>9</v>
      </c>
      <c r="E40" s="252"/>
      <c r="F40" s="252"/>
      <c r="G40" s="252"/>
      <c r="H40" s="252"/>
      <c r="I40" s="252"/>
      <c r="J40" s="252"/>
      <c r="K40" s="136">
        <f>COUNTIFS(設定!$F:$F,"&lt;&gt;臨時雇用者",設定!$D:$D,"女",設定!$E:$E,"&gt;=45",設定!$E:$E,"&lt;50",設定!$I:$I,"&gt;1",設定!$I:$I,"&lt;480")</f>
        <v>0</v>
      </c>
      <c r="L40" s="137"/>
      <c r="M40" s="137"/>
      <c r="N40" s="137"/>
      <c r="O40" s="138"/>
      <c r="P40" s="139">
        <f>COUNTIFS(設定!$F:$F,"&lt;&gt;臨時雇用者",設定!$D:$D,"女",設定!$E:$E,"&gt;=45",設定!$E:$E,"&lt;50",設定!$I:$I,"&gt;=480",設定!$I:$I,"&lt;1200")</f>
        <v>0</v>
      </c>
      <c r="Q40" s="137"/>
      <c r="R40" s="137"/>
      <c r="S40" s="137"/>
      <c r="T40" s="138"/>
      <c r="U40" s="139">
        <f>COUNTIFS(設定!$F:$F,"&lt;&gt;臨時雇用者",設定!$D:$D,"女",設定!$E:$E,"&gt;=45",設定!$E:$E,"&lt;50",設定!$I:$I,"&gt;=1200",設定!$I:$I,"&lt;999999")</f>
        <v>0</v>
      </c>
      <c r="V40" s="137"/>
      <c r="W40" s="137"/>
      <c r="X40" s="137"/>
      <c r="Y40" s="140"/>
    </row>
    <row r="41" spans="1:34" ht="13.2" customHeight="1" x14ac:dyDescent="0.2">
      <c r="B41" s="245"/>
      <c r="C41" s="246"/>
      <c r="D41" s="249" t="s">
        <v>10</v>
      </c>
      <c r="E41" s="250"/>
      <c r="F41" s="250"/>
      <c r="G41" s="250"/>
      <c r="H41" s="250"/>
      <c r="I41" s="250"/>
      <c r="J41" s="250"/>
      <c r="K41" s="136">
        <f>COUNTIFS(設定!$F:$F,"&lt;&gt;臨時雇用者",設定!$D:$D,"女",設定!$E:$E,"&gt;=50",設定!$E:$E,"&lt;60",設定!$I:$I,"&gt;1",設定!$I:$I,"&lt;480")</f>
        <v>0</v>
      </c>
      <c r="L41" s="137"/>
      <c r="M41" s="137"/>
      <c r="N41" s="137"/>
      <c r="O41" s="138"/>
      <c r="P41" s="139">
        <f>COUNTIFS(設定!$F:$F,"&lt;&gt;臨時雇用者",設定!$D:$D,"女",設定!$E:$E,"&gt;=50",設定!$E:$E,"&lt;60",設定!$I:$I,"&gt;=480",設定!$I:$I,"&lt;1200")</f>
        <v>0</v>
      </c>
      <c r="Q41" s="137"/>
      <c r="R41" s="137"/>
      <c r="S41" s="137"/>
      <c r="T41" s="138"/>
      <c r="U41" s="139">
        <f>COUNTIFS(設定!$F:$F,"&lt;&gt;臨時雇用者",設定!$D:$D,"女",設定!$E:$E,"&gt;=50",設定!$E:$E,"&lt;60",設定!$I:$I,"&gt;=1200",設定!$I:$I,"&lt;999999")</f>
        <v>0</v>
      </c>
      <c r="V41" s="137"/>
      <c r="W41" s="137"/>
      <c r="X41" s="137"/>
      <c r="Y41" s="140"/>
    </row>
    <row r="42" spans="1:34" ht="13.2" customHeight="1" x14ac:dyDescent="0.2">
      <c r="B42" s="245"/>
      <c r="C42" s="246"/>
      <c r="D42" s="251" t="s">
        <v>11</v>
      </c>
      <c r="E42" s="252"/>
      <c r="F42" s="252"/>
      <c r="G42" s="252"/>
      <c r="H42" s="252"/>
      <c r="I42" s="252"/>
      <c r="J42" s="252"/>
      <c r="K42" s="136">
        <f>COUNTIFS(設定!$F:$F,"&lt;&gt;臨時雇用者",設定!$D:$D,"女",設定!$E:$E,"&gt;=60",設定!$E:$E,"&lt;65",設定!$I:$I,"&gt;1",設定!$I:$I,"&lt;480")</f>
        <v>0</v>
      </c>
      <c r="L42" s="137"/>
      <c r="M42" s="137"/>
      <c r="N42" s="137"/>
      <c r="O42" s="138"/>
      <c r="P42" s="139">
        <f>COUNTIFS(設定!$F:$F,"&lt;&gt;臨時雇用者",設定!$D:$D,"女",設定!$E:$E,"&gt;=60",設定!$E:$E,"&lt;65",設定!$I:$I,"&gt;=480",設定!$I:$I,"&lt;1200")</f>
        <v>0</v>
      </c>
      <c r="Q42" s="137"/>
      <c r="R42" s="137"/>
      <c r="S42" s="137"/>
      <c r="T42" s="138"/>
      <c r="U42" s="139">
        <f>COUNTIFS(設定!$F:$F,"&lt;&gt;臨時雇用者",設定!$D:$D,"女",設定!$E:$E,"&gt;=60",設定!$E:$E,"&lt;65",設定!$I:$I,"&gt;=1200",設定!$I:$I,"&lt;999999")</f>
        <v>0</v>
      </c>
      <c r="V42" s="137"/>
      <c r="W42" s="137"/>
      <c r="X42" s="137"/>
      <c r="Y42" s="140"/>
    </row>
    <row r="43" spans="1:34" ht="13.2" customHeight="1" x14ac:dyDescent="0.2">
      <c r="B43" s="245"/>
      <c r="C43" s="246"/>
      <c r="D43" s="251" t="s">
        <v>12</v>
      </c>
      <c r="E43" s="252"/>
      <c r="F43" s="252"/>
      <c r="G43" s="252"/>
      <c r="H43" s="252"/>
      <c r="I43" s="252"/>
      <c r="J43" s="252"/>
      <c r="K43" s="136">
        <f>COUNTIFS(設定!$F:$F,"&lt;&gt;臨時雇用者",設定!$D:$D,"女",設定!$E:$E,"&gt;=65",設定!$E:$E,"&lt;70",設定!$I:$I,"&gt;1",設定!$I:$I,"&lt;480")</f>
        <v>0</v>
      </c>
      <c r="L43" s="137"/>
      <c r="M43" s="137"/>
      <c r="N43" s="137"/>
      <c r="O43" s="138"/>
      <c r="P43" s="139">
        <f>COUNTIFS(設定!$F:$F,"&lt;&gt;臨時雇用者",設定!$D:$D,"女",設定!$E:$E,"&gt;=65",設定!$E:$E,"&lt;70",設定!$I:$I,"&gt;=480",設定!$I:$I,"&lt;1200")</f>
        <v>0</v>
      </c>
      <c r="Q43" s="137"/>
      <c r="R43" s="137"/>
      <c r="S43" s="137"/>
      <c r="T43" s="138"/>
      <c r="U43" s="139">
        <f>COUNTIFS(設定!$F:$F,"&lt;&gt;臨時雇用者",設定!$D:$D,"女",設定!$E:$E,"&gt;=65",設定!$E:$E,"&lt;70",設定!$I:$I,"&gt;=1200",設定!$I:$I,"&lt;999999")</f>
        <v>0</v>
      </c>
      <c r="V43" s="137"/>
      <c r="W43" s="137"/>
      <c r="X43" s="137"/>
      <c r="Y43" s="140"/>
    </row>
    <row r="44" spans="1:34" ht="13.95" customHeight="1" thickBot="1" x14ac:dyDescent="0.25">
      <c r="B44" s="247"/>
      <c r="C44" s="248"/>
      <c r="D44" s="167" t="s">
        <v>47</v>
      </c>
      <c r="E44" s="168"/>
      <c r="F44" s="168"/>
      <c r="G44" s="168"/>
      <c r="H44" s="168"/>
      <c r="I44" s="168"/>
      <c r="J44" s="168"/>
      <c r="K44" s="145">
        <f>COUNTIFS(設定!$F:$F,"&lt;&gt;臨時雇用者",設定!$D:$D,"女",設定!$E:$E,"&gt;=70",設定!$E:$E,"&lt;999",設定!$I:$I,"&gt;1",設定!$I:$I,"&lt;480")</f>
        <v>0</v>
      </c>
      <c r="L44" s="142"/>
      <c r="M44" s="142"/>
      <c r="N44" s="142"/>
      <c r="O44" s="144"/>
      <c r="P44" s="141">
        <f>COUNTIFS(設定!$F:$F,"&lt;&gt;臨時雇用者",設定!$D:$D,"女",設定!$E:$E,"&gt;=70",設定!$E:$E,"&lt;999",設定!$I:$I,"&gt;=480",設定!$I:$I,"&lt;1200")</f>
        <v>0</v>
      </c>
      <c r="Q44" s="142"/>
      <c r="R44" s="142"/>
      <c r="S44" s="142"/>
      <c r="T44" s="144"/>
      <c r="U44" s="141">
        <f>COUNTIFS(設定!$F:$F,"&lt;&gt;臨時雇用者",設定!$D:$D,"女",設定!$E:$E,"&gt;=70",設定!$E:$E,"&lt;999",設定!$I:$I,"&gt;=1200",設定!$I:$I,"&lt;999999")</f>
        <v>0</v>
      </c>
      <c r="V44" s="142"/>
      <c r="W44" s="142"/>
      <c r="X44" s="142"/>
      <c r="Y44" s="143"/>
    </row>
  </sheetData>
  <mergeCells count="108">
    <mergeCell ref="B38:C44"/>
    <mergeCell ref="D38:J38"/>
    <mergeCell ref="D39:J39"/>
    <mergeCell ref="D40:J40"/>
    <mergeCell ref="D41:J41"/>
    <mergeCell ref="D42:J42"/>
    <mergeCell ref="D43:J43"/>
    <mergeCell ref="B29:J30"/>
    <mergeCell ref="K29:Y29"/>
    <mergeCell ref="K30:O30"/>
    <mergeCell ref="P30:T30"/>
    <mergeCell ref="U30:Y30"/>
    <mergeCell ref="B31:C37"/>
    <mergeCell ref="D31:J31"/>
    <mergeCell ref="D32:J32"/>
    <mergeCell ref="D33:J33"/>
    <mergeCell ref="D34:J34"/>
    <mergeCell ref="D44:J44"/>
    <mergeCell ref="D35:J35"/>
    <mergeCell ref="D36:J36"/>
    <mergeCell ref="D37:J37"/>
    <mergeCell ref="K35:O35"/>
    <mergeCell ref="P35:T35"/>
    <mergeCell ref="U35:Y35"/>
    <mergeCell ref="P14:U14"/>
    <mergeCell ref="V14:AA14"/>
    <mergeCell ref="V16:AA16"/>
    <mergeCell ref="P16:U16"/>
    <mergeCell ref="D10:O10"/>
    <mergeCell ref="E11:O11"/>
    <mergeCell ref="P15:U15"/>
    <mergeCell ref="D14:O14"/>
    <mergeCell ref="E15:O15"/>
    <mergeCell ref="V11:AA11"/>
    <mergeCell ref="V10:AA10"/>
    <mergeCell ref="P11:U11"/>
    <mergeCell ref="P10:U10"/>
    <mergeCell ref="P12:U12"/>
    <mergeCell ref="V12:AA12"/>
    <mergeCell ref="D12:O12"/>
    <mergeCell ref="E13:O13"/>
    <mergeCell ref="P13:U13"/>
    <mergeCell ref="V13:AA13"/>
    <mergeCell ref="B8:O9"/>
    <mergeCell ref="P8:U9"/>
    <mergeCell ref="V8:AA9"/>
    <mergeCell ref="D16:O16"/>
    <mergeCell ref="B10:C11"/>
    <mergeCell ref="V15:AA15"/>
    <mergeCell ref="B12:C17"/>
    <mergeCell ref="K36:O36"/>
    <mergeCell ref="P36:T36"/>
    <mergeCell ref="U36:Y36"/>
    <mergeCell ref="K33:O33"/>
    <mergeCell ref="P33:T33"/>
    <mergeCell ref="U33:Y33"/>
    <mergeCell ref="K34:O34"/>
    <mergeCell ref="P34:T34"/>
    <mergeCell ref="U34:Y34"/>
    <mergeCell ref="U32:Y32"/>
    <mergeCell ref="P32:T32"/>
    <mergeCell ref="K32:O32"/>
    <mergeCell ref="U31:Y31"/>
    <mergeCell ref="P31:T31"/>
    <mergeCell ref="K31:O31"/>
    <mergeCell ref="V18:AA18"/>
    <mergeCell ref="V17:AA17"/>
    <mergeCell ref="P25:U25"/>
    <mergeCell ref="E17:O17"/>
    <mergeCell ref="V23:AA24"/>
    <mergeCell ref="B23:O24"/>
    <mergeCell ref="B25:C26"/>
    <mergeCell ref="D25:O25"/>
    <mergeCell ref="E26:O26"/>
    <mergeCell ref="P19:U19"/>
    <mergeCell ref="V19:AA19"/>
    <mergeCell ref="V26:AA26"/>
    <mergeCell ref="P26:U26"/>
    <mergeCell ref="V25:AA25"/>
    <mergeCell ref="B18:O18"/>
    <mergeCell ref="C19:O19"/>
    <mergeCell ref="P17:U17"/>
    <mergeCell ref="P23:U24"/>
    <mergeCell ref="P18:U18"/>
    <mergeCell ref="K39:O39"/>
    <mergeCell ref="P39:T39"/>
    <mergeCell ref="U39:Y39"/>
    <mergeCell ref="K40:O40"/>
    <mergeCell ref="P40:T40"/>
    <mergeCell ref="U40:Y40"/>
    <mergeCell ref="K37:O37"/>
    <mergeCell ref="P37:T37"/>
    <mergeCell ref="U37:Y37"/>
    <mergeCell ref="K38:O38"/>
    <mergeCell ref="P38:T38"/>
    <mergeCell ref="U38:Y38"/>
    <mergeCell ref="K43:O43"/>
    <mergeCell ref="P43:T43"/>
    <mergeCell ref="U43:Y43"/>
    <mergeCell ref="U44:Y44"/>
    <mergeCell ref="P44:T44"/>
    <mergeCell ref="K44:O44"/>
    <mergeCell ref="K41:O41"/>
    <mergeCell ref="P41:T41"/>
    <mergeCell ref="U41:Y41"/>
    <mergeCell ref="K42:O42"/>
    <mergeCell ref="P42:T42"/>
    <mergeCell ref="U42:Y42"/>
  </mergeCells>
  <phoneticPr fontId="2"/>
  <pageMargins left="0.19685039370078741" right="0.19685039370078741" top="0.31496062992125984" bottom="0.19685039370078741" header="0" footer="0.27559055118110237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C63F-A1D3-41CF-8F69-CC7E6572835C}">
  <dimension ref="A1:AQ52"/>
  <sheetViews>
    <sheetView showGridLines="0" view="pageBreakPreview" zoomScaleNormal="100" zoomScaleSheetLayoutView="100" workbookViewId="0"/>
  </sheetViews>
  <sheetFormatPr defaultColWidth="2.21875" defaultRowHeight="13.2" x14ac:dyDescent="0.2"/>
  <cols>
    <col min="1" max="43" width="2.21875" style="28"/>
  </cols>
  <sheetData>
    <row r="1" spans="1:43" ht="16.2" customHeight="1" x14ac:dyDescent="0.2">
      <c r="A1" s="4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</row>
    <row r="2" spans="1:43" x14ac:dyDescent="0.2">
      <c r="A2" s="93"/>
      <c r="B2" s="93"/>
      <c r="C2" s="97"/>
      <c r="D2" s="97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4"/>
      <c r="AH2" s="93"/>
      <c r="AI2" s="93"/>
      <c r="AJ2" s="93"/>
      <c r="AK2" s="93"/>
      <c r="AL2" s="93"/>
      <c r="AM2" s="93"/>
      <c r="AN2" s="93"/>
      <c r="AO2" s="93"/>
      <c r="AP2" s="93"/>
      <c r="AQ2" s="93"/>
    </row>
    <row r="3" spans="1:43" x14ac:dyDescent="0.2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</row>
    <row r="4" spans="1:43" ht="14.4" x14ac:dyDescent="0.2">
      <c r="A4" s="99" t="s">
        <v>49</v>
      </c>
      <c r="B4" s="93"/>
      <c r="C4" s="93"/>
      <c r="D4" s="93"/>
      <c r="E4" s="93"/>
      <c r="F4" s="93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</row>
    <row r="5" spans="1:43" ht="13.5" customHeight="1" x14ac:dyDescent="0.2">
      <c r="A5" s="95"/>
      <c r="B5" s="102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</row>
    <row r="6" spans="1:43" x14ac:dyDescent="0.2">
      <c r="A6" s="95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</row>
    <row r="7" spans="1:43" x14ac:dyDescent="0.2">
      <c r="A7" s="95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</row>
    <row r="8" spans="1:43" ht="13.2" customHeight="1" x14ac:dyDescent="0.2">
      <c r="A8" s="95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</row>
    <row r="9" spans="1:43" ht="15" thickBot="1" x14ac:dyDescent="0.25">
      <c r="B9" s="30" t="s">
        <v>50</v>
      </c>
      <c r="AQ9" s="33"/>
    </row>
    <row r="10" spans="1:43" ht="13.95" customHeight="1" x14ac:dyDescent="0.2">
      <c r="B10" s="253" t="s">
        <v>18</v>
      </c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5"/>
      <c r="N10" s="280" t="s">
        <v>64</v>
      </c>
      <c r="O10" s="281"/>
      <c r="P10" s="281"/>
      <c r="Q10" s="281"/>
      <c r="R10" s="281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9"/>
    </row>
    <row r="11" spans="1:43" ht="13.2" customHeight="1" x14ac:dyDescent="0.2">
      <c r="B11" s="245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46"/>
      <c r="N11" s="282"/>
      <c r="O11" s="283"/>
      <c r="P11" s="283"/>
      <c r="Q11" s="283"/>
      <c r="R11" s="283"/>
      <c r="S11" s="279" t="s">
        <v>51</v>
      </c>
      <c r="T11" s="276"/>
      <c r="U11" s="276"/>
      <c r="V11" s="276"/>
      <c r="W11" s="276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1"/>
      <c r="AM11" s="270" t="s">
        <v>52</v>
      </c>
      <c r="AN11" s="271"/>
      <c r="AO11" s="271"/>
      <c r="AP11" s="271"/>
      <c r="AQ11" s="272"/>
    </row>
    <row r="12" spans="1:43" ht="13.2" customHeight="1" x14ac:dyDescent="0.2">
      <c r="B12" s="245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46"/>
      <c r="N12" s="282"/>
      <c r="O12" s="283"/>
      <c r="P12" s="283"/>
      <c r="Q12" s="283"/>
      <c r="R12" s="283"/>
      <c r="S12" s="265"/>
      <c r="T12" s="266"/>
      <c r="U12" s="266"/>
      <c r="V12" s="266"/>
      <c r="W12" s="266"/>
      <c r="X12" s="270" t="s">
        <v>53</v>
      </c>
      <c r="Y12" s="276"/>
      <c r="Z12" s="276"/>
      <c r="AA12" s="276"/>
      <c r="AB12" s="244"/>
      <c r="AC12" s="270" t="s">
        <v>54</v>
      </c>
      <c r="AD12" s="271"/>
      <c r="AE12" s="271"/>
      <c r="AF12" s="271"/>
      <c r="AG12" s="277"/>
      <c r="AH12" s="279" t="s">
        <v>55</v>
      </c>
      <c r="AI12" s="276"/>
      <c r="AJ12" s="276"/>
      <c r="AK12" s="276"/>
      <c r="AL12" s="244"/>
      <c r="AM12" s="273"/>
      <c r="AN12" s="274"/>
      <c r="AO12" s="274"/>
      <c r="AP12" s="274"/>
      <c r="AQ12" s="275"/>
    </row>
    <row r="13" spans="1:43" ht="13.2" customHeight="1" thickBot="1" x14ac:dyDescent="0.25">
      <c r="B13" s="25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8"/>
      <c r="N13" s="282"/>
      <c r="O13" s="283"/>
      <c r="P13" s="283"/>
      <c r="Q13" s="283"/>
      <c r="R13" s="283"/>
      <c r="S13" s="265"/>
      <c r="T13" s="266"/>
      <c r="U13" s="266"/>
      <c r="V13" s="266"/>
      <c r="W13" s="266"/>
      <c r="X13" s="265"/>
      <c r="Y13" s="266"/>
      <c r="Z13" s="266"/>
      <c r="AA13" s="266"/>
      <c r="AB13" s="246"/>
      <c r="AC13" s="273"/>
      <c r="AD13" s="274"/>
      <c r="AE13" s="274"/>
      <c r="AF13" s="274"/>
      <c r="AG13" s="278"/>
      <c r="AH13" s="265"/>
      <c r="AI13" s="266"/>
      <c r="AJ13" s="266"/>
      <c r="AK13" s="266"/>
      <c r="AL13" s="246"/>
      <c r="AM13" s="273"/>
      <c r="AN13" s="274"/>
      <c r="AO13" s="274"/>
      <c r="AP13" s="274"/>
      <c r="AQ13" s="275"/>
    </row>
    <row r="14" spans="1:43" ht="13.95" customHeight="1" thickTop="1" x14ac:dyDescent="0.2">
      <c r="B14" s="287" t="s">
        <v>56</v>
      </c>
      <c r="C14" s="288"/>
      <c r="D14" s="288"/>
      <c r="E14" s="289"/>
      <c r="F14" s="293" t="s">
        <v>40</v>
      </c>
      <c r="G14" s="257"/>
      <c r="H14" s="257"/>
      <c r="I14" s="257"/>
      <c r="J14" s="257"/>
      <c r="K14" s="257"/>
      <c r="L14" s="257"/>
      <c r="M14" s="294"/>
      <c r="N14" s="240">
        <f>SUMIFS(設定!H:H,設定!$F:$F,"有給役員",設定!$D:$D,"男")</f>
        <v>0</v>
      </c>
      <c r="O14" s="241"/>
      <c r="P14" s="241"/>
      <c r="Q14" s="241"/>
      <c r="R14" s="242"/>
      <c r="S14" s="180">
        <f>SUMIFS(設定!I:I,設定!$F:$F,"有給役員",設定!$D:$D,"男")</f>
        <v>0</v>
      </c>
      <c r="T14" s="147"/>
      <c r="U14" s="147"/>
      <c r="V14" s="147"/>
      <c r="W14" s="148"/>
      <c r="X14" s="180">
        <f>SUMIFS(設定!J:J,設定!$F:$F,"有給役員",設定!$D:$D,"男")</f>
        <v>0</v>
      </c>
      <c r="Y14" s="147"/>
      <c r="Z14" s="147"/>
      <c r="AA14" s="147"/>
      <c r="AB14" s="148"/>
      <c r="AC14" s="180">
        <f>SUMIFS(設定!K:K,設定!$F:$F,"有給役員",設定!$D:$D,"男")</f>
        <v>0</v>
      </c>
      <c r="AD14" s="147"/>
      <c r="AE14" s="147"/>
      <c r="AF14" s="147"/>
      <c r="AG14" s="148"/>
      <c r="AH14" s="180">
        <f>SUMIFS(設定!L:L,設定!$F:$F,"有給役員",設定!$D:$D,"男")</f>
        <v>0</v>
      </c>
      <c r="AI14" s="147"/>
      <c r="AJ14" s="147"/>
      <c r="AK14" s="147"/>
      <c r="AL14" s="148"/>
      <c r="AM14" s="180">
        <f>SUMIFS(設定!M:M,設定!$F:$F,"有給役員",設定!$D:$D,"男")</f>
        <v>0</v>
      </c>
      <c r="AN14" s="147"/>
      <c r="AO14" s="147"/>
      <c r="AP14" s="147"/>
      <c r="AQ14" s="181"/>
    </row>
    <row r="15" spans="1:43" ht="13.95" customHeight="1" x14ac:dyDescent="0.2">
      <c r="B15" s="290"/>
      <c r="C15" s="291"/>
      <c r="D15" s="291"/>
      <c r="E15" s="292"/>
      <c r="F15" s="284" t="s">
        <v>48</v>
      </c>
      <c r="G15" s="285"/>
      <c r="H15" s="285"/>
      <c r="I15" s="285"/>
      <c r="J15" s="285"/>
      <c r="K15" s="285"/>
      <c r="L15" s="285"/>
      <c r="M15" s="286"/>
      <c r="N15" s="186">
        <f>SUMIFS(設定!H:H,設定!$F:$F,"有給役員",設定!$D:$D,"女")</f>
        <v>0</v>
      </c>
      <c r="O15" s="187"/>
      <c r="P15" s="187"/>
      <c r="Q15" s="187"/>
      <c r="R15" s="188"/>
      <c r="S15" s="222">
        <f>SUMIFS(設定!I:I,設定!$F:$F,"有給役員",設定!$D:$D,"女")</f>
        <v>0</v>
      </c>
      <c r="T15" s="187"/>
      <c r="U15" s="187"/>
      <c r="V15" s="187"/>
      <c r="W15" s="188"/>
      <c r="X15" s="222">
        <f>SUMIFS(設定!J:J,設定!$F:$F,"有給役員",設定!$D:$D,"女")</f>
        <v>0</v>
      </c>
      <c r="Y15" s="187"/>
      <c r="Z15" s="187"/>
      <c r="AA15" s="187"/>
      <c r="AB15" s="188"/>
      <c r="AC15" s="222">
        <f>SUMIFS(設定!K:K,設定!$F:$F,"有給役員",設定!$D:$D,"女")</f>
        <v>0</v>
      </c>
      <c r="AD15" s="187"/>
      <c r="AE15" s="187"/>
      <c r="AF15" s="187"/>
      <c r="AG15" s="188"/>
      <c r="AH15" s="222">
        <f>SUMIFS(設定!L:L,設定!$F:$F,"有給役員",設定!$D:$D,"女")</f>
        <v>0</v>
      </c>
      <c r="AI15" s="187"/>
      <c r="AJ15" s="187"/>
      <c r="AK15" s="187"/>
      <c r="AL15" s="188"/>
      <c r="AM15" s="222">
        <f>SUMIFS(設定!M:M,設定!$F:$F,"有給役員",設定!$D:$D,"女")</f>
        <v>0</v>
      </c>
      <c r="AN15" s="187"/>
      <c r="AO15" s="187"/>
      <c r="AP15" s="187"/>
      <c r="AQ15" s="223"/>
    </row>
    <row r="16" spans="1:43" ht="13.95" customHeight="1" x14ac:dyDescent="0.2">
      <c r="B16" s="307" t="s">
        <v>24</v>
      </c>
      <c r="C16" s="308"/>
      <c r="D16" s="279" t="s">
        <v>40</v>
      </c>
      <c r="E16" s="244"/>
      <c r="F16" s="251" t="s">
        <v>25</v>
      </c>
      <c r="G16" s="252"/>
      <c r="H16" s="252"/>
      <c r="I16" s="252"/>
      <c r="J16" s="252"/>
      <c r="K16" s="252"/>
      <c r="L16" s="252"/>
      <c r="M16" s="252"/>
      <c r="N16" s="186">
        <f>SUMIFS(設定!H:H,設定!$F:$F,"正社員７か月以上",設定!$D:$D,"男")+SUMIFS(設定!H:H,設定!$F:$F,"正社員７か月未満",設定!$D:$D,"男")</f>
        <v>0</v>
      </c>
      <c r="O16" s="187"/>
      <c r="P16" s="187"/>
      <c r="Q16" s="187"/>
      <c r="R16" s="188"/>
      <c r="S16" s="222">
        <f>SUMIFS(設定!I:I,設定!$F:$F,"正社員７か月以上",設定!$D:$D,"男")+SUMIFS(設定!I:I,設定!$F:$F,"正社員７か月未満",設定!$D:$D,"男")</f>
        <v>0</v>
      </c>
      <c r="T16" s="187"/>
      <c r="U16" s="187"/>
      <c r="V16" s="187"/>
      <c r="W16" s="188"/>
      <c r="X16" s="222">
        <f>SUMIFS(設定!J:J,設定!$F:$F,"正社員７か月以上",設定!$D:$D,"男")+SUMIFS(設定!J:J,設定!$F:$F,"正社員７か月未満",設定!$D:$D,"男")</f>
        <v>0</v>
      </c>
      <c r="Y16" s="187"/>
      <c r="Z16" s="187"/>
      <c r="AA16" s="187"/>
      <c r="AB16" s="188"/>
      <c r="AC16" s="222">
        <f>SUMIFS(設定!K:K,設定!$F:$F,"正社員７か月以上",設定!$D:$D,"男")+SUMIFS(設定!K:K,設定!$F:$F,"正社員７か月未満",設定!$D:$D,"男")</f>
        <v>0</v>
      </c>
      <c r="AD16" s="187"/>
      <c r="AE16" s="187"/>
      <c r="AF16" s="187"/>
      <c r="AG16" s="188"/>
      <c r="AH16" s="222">
        <f>SUMIFS(設定!L:L,設定!$F:$F,"正社員７か月以上",設定!$D:$D,"男")+SUMIFS(設定!L:L,設定!$F:$F,"正社員７か月未満",設定!$D:$D,"男")</f>
        <v>0</v>
      </c>
      <c r="AI16" s="187"/>
      <c r="AJ16" s="187"/>
      <c r="AK16" s="187"/>
      <c r="AL16" s="188"/>
      <c r="AM16" s="222">
        <f>SUMIFS(設定!M:M,設定!$F:$F,"正社員７か月以上",設定!$D:$D,"男")+SUMIFS(設定!M:M,設定!$F:$F,"正社員７か月未満",設定!$D:$D,"男")</f>
        <v>0</v>
      </c>
      <c r="AN16" s="187"/>
      <c r="AO16" s="187"/>
      <c r="AP16" s="187"/>
      <c r="AQ16" s="223"/>
    </row>
    <row r="17" spans="1:43" ht="13.2" customHeight="1" thickBot="1" x14ac:dyDescent="0.25">
      <c r="B17" s="309"/>
      <c r="C17" s="310"/>
      <c r="D17" s="265"/>
      <c r="E17" s="246"/>
      <c r="F17" s="164" t="s">
        <v>26</v>
      </c>
      <c r="G17" s="165"/>
      <c r="H17" s="165"/>
      <c r="I17" s="165"/>
      <c r="J17" s="165"/>
      <c r="K17" s="165"/>
      <c r="L17" s="165"/>
      <c r="M17" s="165"/>
      <c r="N17" s="235">
        <f>SUMIFS(設定!H:H,設定!$F:$F,"その他７か月以上",設定!$D:$D,"男")+SUMIFS(設定!H:H,設定!$F:$F,"その他７か月未満",設定!$D:$D,"男")</f>
        <v>0</v>
      </c>
      <c r="O17" s="207"/>
      <c r="P17" s="207"/>
      <c r="Q17" s="207"/>
      <c r="R17" s="236"/>
      <c r="S17" s="295">
        <f>SUMIFS(設定!I:I,設定!$F:$F,"その他７か月以上",設定!$D:$D,"男")+SUMIFS(設定!I:I,設定!$F:$F,"その他７か月未満",設定!$D:$D,"男")</f>
        <v>0</v>
      </c>
      <c r="T17" s="296"/>
      <c r="U17" s="296"/>
      <c r="V17" s="296"/>
      <c r="W17" s="297"/>
      <c r="X17" s="295">
        <f>SUMIFS(設定!J:J,設定!$F:$F,"その他７か月以上",設定!$D:$D,"男")+SUMIFS(設定!J:J,設定!$F:$F,"その他７か月未満",設定!$D:$D,"男")</f>
        <v>0</v>
      </c>
      <c r="Y17" s="296"/>
      <c r="Z17" s="296"/>
      <c r="AA17" s="296"/>
      <c r="AB17" s="297"/>
      <c r="AC17" s="295">
        <f>SUMIFS(設定!K:K,設定!$F:$F,"その他７か月以上",設定!$D:$D,"男")+SUMIFS(設定!K:K,設定!$F:$F,"その他７か月未満",設定!$D:$D,"男")</f>
        <v>0</v>
      </c>
      <c r="AD17" s="296"/>
      <c r="AE17" s="296"/>
      <c r="AF17" s="296"/>
      <c r="AG17" s="297"/>
      <c r="AH17" s="295">
        <f>SUMIFS(設定!L:L,設定!$F:$F,"その他７か月以上",設定!$D:$D,"男")+SUMIFS(設定!L:L,設定!$F:$F,"その他７か月未満",設定!$D:$D,"男")</f>
        <v>0</v>
      </c>
      <c r="AI17" s="296"/>
      <c r="AJ17" s="296"/>
      <c r="AK17" s="296"/>
      <c r="AL17" s="297"/>
      <c r="AM17" s="206">
        <f>SUMIFS(設定!M:M,設定!$F:$F,"その他７か月以上",設定!$D:$D,"男")+SUMIFS(設定!M:M,設定!$F:$F,"その他７か月未満",設定!$D:$D,"男")</f>
        <v>0</v>
      </c>
      <c r="AN17" s="207"/>
      <c r="AO17" s="207"/>
      <c r="AP17" s="207"/>
      <c r="AQ17" s="208"/>
    </row>
    <row r="18" spans="1:43" ht="13.2" customHeight="1" thickTop="1" x14ac:dyDescent="0.2">
      <c r="B18" s="309"/>
      <c r="C18" s="310"/>
      <c r="D18" s="293"/>
      <c r="E18" s="258"/>
      <c r="F18" s="298" t="s">
        <v>27</v>
      </c>
      <c r="G18" s="299"/>
      <c r="H18" s="299"/>
      <c r="I18" s="299"/>
      <c r="J18" s="299"/>
      <c r="K18" s="299"/>
      <c r="L18" s="299"/>
      <c r="M18" s="299"/>
      <c r="N18" s="230">
        <f>SUMIFS(設定!H:H,設定!$F:$F,"正社員７か月以上",設定!$D:$D,"男")+SUMIFS(設定!H:H,設定!$F:$F,"その他７か月以上",設定!$D:$D,"男")</f>
        <v>0</v>
      </c>
      <c r="O18" s="228"/>
      <c r="P18" s="228"/>
      <c r="Q18" s="228"/>
      <c r="R18" s="231"/>
      <c r="S18" s="227">
        <f>SUMIFS(設定!I:I,設定!$F:$F,"正社員７か月以上",設定!$D:$D,"男")+SUMIFS(設定!I:I,設定!$F:$F,"その他７か月以上",設定!$D:$D,"男")</f>
        <v>0</v>
      </c>
      <c r="T18" s="228"/>
      <c r="U18" s="228"/>
      <c r="V18" s="228"/>
      <c r="W18" s="231"/>
      <c r="X18" s="227">
        <f>SUMIFS(設定!J:J,設定!$F:$F,"正社員７か月以上",設定!$D:$D,"男")+SUMIFS(設定!J:J,設定!$F:$F,"その他７か月以上",設定!$D:$D,"男")</f>
        <v>0</v>
      </c>
      <c r="Y18" s="228"/>
      <c r="Z18" s="228"/>
      <c r="AA18" s="228"/>
      <c r="AB18" s="231"/>
      <c r="AC18" s="227">
        <f>SUMIFS(設定!K:K,設定!$F:$F,"正社員７か月以上",設定!$D:$D,"男")+SUMIFS(設定!K:K,設定!$F:$F,"その他７か月以上",設定!$D:$D,"男")</f>
        <v>0</v>
      </c>
      <c r="AD18" s="228"/>
      <c r="AE18" s="228"/>
      <c r="AF18" s="228"/>
      <c r="AG18" s="231"/>
      <c r="AH18" s="227">
        <f>SUMIFS(設定!L:L,設定!$F:$F,"正社員７か月以上",設定!$D:$D,"男")+SUMIFS(設定!L:L,設定!$F:$F,"その他７か月以上",設定!$D:$D,"男")</f>
        <v>0</v>
      </c>
      <c r="AI18" s="228"/>
      <c r="AJ18" s="228"/>
      <c r="AK18" s="228"/>
      <c r="AL18" s="231"/>
      <c r="AM18" s="227">
        <f>SUMIFS(設定!M:M,設定!$F:$F,"正社員７か月以上",設定!$D:$D,"男")+SUMIFS(設定!M:M,設定!$F:$F,"その他７か月以上",設定!$D:$D,"男")</f>
        <v>0</v>
      </c>
      <c r="AN18" s="228"/>
      <c r="AO18" s="228"/>
      <c r="AP18" s="228"/>
      <c r="AQ18" s="229"/>
    </row>
    <row r="19" spans="1:43" ht="13.95" customHeight="1" x14ac:dyDescent="0.2">
      <c r="B19" s="309"/>
      <c r="C19" s="310"/>
      <c r="D19" s="279" t="s">
        <v>48</v>
      </c>
      <c r="E19" s="244"/>
      <c r="F19" s="251" t="s">
        <v>25</v>
      </c>
      <c r="G19" s="252"/>
      <c r="H19" s="252"/>
      <c r="I19" s="252"/>
      <c r="J19" s="252"/>
      <c r="K19" s="252"/>
      <c r="L19" s="252"/>
      <c r="M19" s="252"/>
      <c r="N19" s="186">
        <f>SUMIFS(設定!H:H,設定!$F:$F,"正社員７か月以上",設定!$D:$D,"女")+SUMIFS(設定!H:H,設定!$F:$F,"正社員７か月未満",設定!$D:$D,"女")</f>
        <v>0</v>
      </c>
      <c r="O19" s="187"/>
      <c r="P19" s="187"/>
      <c r="Q19" s="187"/>
      <c r="R19" s="188"/>
      <c r="S19" s="222">
        <f>SUMIFS(設定!I:I,設定!$F:$F,"正社員７か月以上",設定!$D:$D,"女")+SUMIFS(設定!I:I,設定!$F:$F,"正社員７か月未満",設定!$D:$D,"女")</f>
        <v>0</v>
      </c>
      <c r="T19" s="187"/>
      <c r="U19" s="187"/>
      <c r="V19" s="187"/>
      <c r="W19" s="188"/>
      <c r="X19" s="222">
        <f>SUMIFS(設定!J:J,設定!$F:$F,"正社員７か月以上",設定!$D:$D,"女")+SUMIFS(設定!J:J,設定!$F:$F,"正社員７か月未満",設定!$D:$D,"女")</f>
        <v>0</v>
      </c>
      <c r="Y19" s="187"/>
      <c r="Z19" s="187"/>
      <c r="AA19" s="187"/>
      <c r="AB19" s="188"/>
      <c r="AC19" s="222">
        <f>SUMIFS(設定!K:K,設定!$F:$F,"正社員７か月以上",設定!$D:$D,"女")+SUMIFS(設定!K:K,設定!$F:$F,"正社員７か月未満",設定!$D:$D,"女")</f>
        <v>0</v>
      </c>
      <c r="AD19" s="187"/>
      <c r="AE19" s="187"/>
      <c r="AF19" s="187"/>
      <c r="AG19" s="188"/>
      <c r="AH19" s="222">
        <f>SUMIFS(設定!L:L,設定!$F:$F,"正社員７か月以上",設定!$D:$D,"女")+SUMIFS(設定!L:L,設定!$F:$F,"正社員７か月未満",設定!$D:$D,"女")</f>
        <v>0</v>
      </c>
      <c r="AI19" s="187"/>
      <c r="AJ19" s="187"/>
      <c r="AK19" s="187"/>
      <c r="AL19" s="188"/>
      <c r="AM19" s="222">
        <f>SUMIFS(設定!M:M,設定!$F:$F,"正社員７か月以上",設定!$D:$D,"女")+SUMIFS(設定!M:M,設定!$F:$F,"正社員７か月未満",設定!$D:$D,"女")</f>
        <v>0</v>
      </c>
      <c r="AN19" s="187"/>
      <c r="AO19" s="187"/>
      <c r="AP19" s="187"/>
      <c r="AQ19" s="223"/>
    </row>
    <row r="20" spans="1:43" ht="13.8" thickBot="1" x14ac:dyDescent="0.25">
      <c r="A20" s="29"/>
      <c r="B20" s="309"/>
      <c r="C20" s="310"/>
      <c r="D20" s="265"/>
      <c r="E20" s="246"/>
      <c r="F20" s="164" t="s">
        <v>26</v>
      </c>
      <c r="G20" s="165"/>
      <c r="H20" s="165"/>
      <c r="I20" s="165"/>
      <c r="J20" s="165"/>
      <c r="K20" s="165"/>
      <c r="L20" s="165"/>
      <c r="M20" s="165"/>
      <c r="N20" s="235">
        <f>SUMIFS(設定!H:H,設定!$F:$F,"その他７か月以上",設定!$D:$D,"女")+SUMIFS(設定!H:H,設定!$F:$F,"その他７か月未満",設定!$D:$D,"女")</f>
        <v>0</v>
      </c>
      <c r="O20" s="207"/>
      <c r="P20" s="207"/>
      <c r="Q20" s="207"/>
      <c r="R20" s="236"/>
      <c r="S20" s="295">
        <f>SUMIFS(設定!I:I,設定!$F:$F,"その他７か月以上",設定!$D:$D,"女")+SUMIFS(設定!I:I,設定!$F:$F,"その他７か月未満",設定!$D:$D,"女")</f>
        <v>0</v>
      </c>
      <c r="T20" s="296"/>
      <c r="U20" s="296"/>
      <c r="V20" s="296"/>
      <c r="W20" s="297"/>
      <c r="X20" s="295">
        <f>SUMIFS(設定!J:J,設定!$F:$F,"その他７か月以上",設定!$D:$D,"女")+SUMIFS(設定!J:J,設定!$F:$F,"その他７か月未満",設定!$D:$D,"女")</f>
        <v>0</v>
      </c>
      <c r="Y20" s="296"/>
      <c r="Z20" s="296"/>
      <c r="AA20" s="296"/>
      <c r="AB20" s="297"/>
      <c r="AC20" s="295">
        <f>SUMIFS(設定!K:K,設定!$F:$F,"その他７か月以上",設定!$D:$D,"女")+SUMIFS(設定!K:K,設定!$F:$F,"その他７か月未満",設定!$D:$D,"女")</f>
        <v>0</v>
      </c>
      <c r="AD20" s="296"/>
      <c r="AE20" s="296"/>
      <c r="AF20" s="296"/>
      <c r="AG20" s="297"/>
      <c r="AH20" s="295">
        <f>SUMIFS(設定!L:L,設定!$F:$F,"その他７か月以上",設定!$D:$D,"女")+SUMIFS(設定!L:L,設定!$F:$F,"その他７か月未満",設定!$D:$D,"女")</f>
        <v>0</v>
      </c>
      <c r="AI20" s="296"/>
      <c r="AJ20" s="296"/>
      <c r="AK20" s="296"/>
      <c r="AL20" s="297"/>
      <c r="AM20" s="206">
        <f>SUMIFS(設定!M:M,設定!$F:$F,"その他７か月以上",設定!$D:$D,"女")+SUMIFS(設定!M:M,設定!$F:$F,"その他７か月未満",設定!$D:$D,"女")</f>
        <v>0</v>
      </c>
      <c r="AN20" s="207"/>
      <c r="AO20" s="207"/>
      <c r="AP20" s="207"/>
      <c r="AQ20" s="208"/>
    </row>
    <row r="21" spans="1:43" ht="13.8" thickTop="1" x14ac:dyDescent="0.2">
      <c r="A21" s="29"/>
      <c r="B21" s="311"/>
      <c r="C21" s="312"/>
      <c r="D21" s="265"/>
      <c r="E21" s="246"/>
      <c r="F21" s="298" t="s">
        <v>27</v>
      </c>
      <c r="G21" s="299"/>
      <c r="H21" s="299"/>
      <c r="I21" s="299"/>
      <c r="J21" s="299"/>
      <c r="K21" s="299"/>
      <c r="L21" s="299"/>
      <c r="M21" s="299"/>
      <c r="N21" s="230">
        <f>SUMIFS(設定!H:H,設定!$F:$F,"正社員７か月以上",設定!$D:$D,"女")+SUMIFS(設定!H:H,設定!$F:$F,"その他７か月以上",設定!$D:$D,"女")</f>
        <v>0</v>
      </c>
      <c r="O21" s="228"/>
      <c r="P21" s="228"/>
      <c r="Q21" s="228"/>
      <c r="R21" s="231"/>
      <c r="S21" s="227">
        <f>SUMIFS(設定!I:I,設定!$F:$F,"正社員７か月以上",設定!$D:$D,"女")+SUMIFS(設定!I:I,設定!$F:$F,"その他７か月以上",設定!$D:$D,"女")</f>
        <v>0</v>
      </c>
      <c r="T21" s="228"/>
      <c r="U21" s="228"/>
      <c r="V21" s="228"/>
      <c r="W21" s="231"/>
      <c r="X21" s="227">
        <f>SUMIFS(設定!J:J,設定!$F:$F,"正社員７か月以上",設定!$D:$D,"女")+SUMIFS(設定!J:J,設定!$F:$F,"その他７か月以上",設定!$D:$D,"女")</f>
        <v>0</v>
      </c>
      <c r="Y21" s="228"/>
      <c r="Z21" s="228"/>
      <c r="AA21" s="228"/>
      <c r="AB21" s="231"/>
      <c r="AC21" s="227">
        <f>SUMIFS(設定!K:K,設定!$F:$F,"正社員７か月以上",設定!$D:$D,"女")+SUMIFS(設定!K:K,設定!$F:$F,"その他７か月以上",設定!$D:$D,"女")</f>
        <v>0</v>
      </c>
      <c r="AD21" s="228"/>
      <c r="AE21" s="228"/>
      <c r="AF21" s="228"/>
      <c r="AG21" s="231"/>
      <c r="AH21" s="227">
        <f>SUMIFS(設定!L:L,設定!$F:$F,"正社員７か月以上",設定!$D:$D,"女")+SUMIFS(設定!L:L,設定!$F:$F,"その他７か月以上",設定!$D:$D,"女")</f>
        <v>0</v>
      </c>
      <c r="AI21" s="228"/>
      <c r="AJ21" s="228"/>
      <c r="AK21" s="228"/>
      <c r="AL21" s="231"/>
      <c r="AM21" s="227">
        <f>SUMIFS(設定!M:M,設定!$F:$F,"正社員７か月以上",設定!$D:$D,"女")+SUMIFS(設定!M:M,設定!$F:$F,"その他７か月以上",設定!$D:$D,"女")</f>
        <v>0</v>
      </c>
      <c r="AN21" s="228"/>
      <c r="AO21" s="228"/>
      <c r="AP21" s="228"/>
      <c r="AQ21" s="229"/>
    </row>
    <row r="22" spans="1:43" x14ac:dyDescent="0.2">
      <c r="A22" s="29"/>
      <c r="B22" s="303" t="s">
        <v>57</v>
      </c>
      <c r="C22" s="271"/>
      <c r="D22" s="271"/>
      <c r="E22" s="277"/>
      <c r="F22" s="284" t="s">
        <v>40</v>
      </c>
      <c r="G22" s="285"/>
      <c r="H22" s="285"/>
      <c r="I22" s="285"/>
      <c r="J22" s="285"/>
      <c r="K22" s="285"/>
      <c r="L22" s="285"/>
      <c r="M22" s="286"/>
      <c r="N22" s="186">
        <f>SUMIFS(設定!H:H,設定!$F:$F,"臨時雇用者",設定!$D:$D,"男")</f>
        <v>0</v>
      </c>
      <c r="O22" s="187"/>
      <c r="P22" s="187"/>
      <c r="Q22" s="187"/>
      <c r="R22" s="188"/>
      <c r="S22" s="222">
        <f>SUMIFS(設定!I:I,設定!$F:$F,"臨時雇用者",設定!$D:$D,"男")</f>
        <v>0</v>
      </c>
      <c r="T22" s="187"/>
      <c r="U22" s="187"/>
      <c r="V22" s="187"/>
      <c r="W22" s="188"/>
      <c r="X22" s="222">
        <f>SUMIFS(設定!J:J,設定!$F:$F,"臨時雇用者",設定!$D:$D,"男")</f>
        <v>0</v>
      </c>
      <c r="Y22" s="187"/>
      <c r="Z22" s="187"/>
      <c r="AA22" s="187"/>
      <c r="AB22" s="188"/>
      <c r="AC22" s="222">
        <f>SUMIFS(設定!K:K,設定!$F:$F,"臨時雇用者",設定!$D:$D,"男")</f>
        <v>0</v>
      </c>
      <c r="AD22" s="187"/>
      <c r="AE22" s="187"/>
      <c r="AF22" s="187"/>
      <c r="AG22" s="188"/>
      <c r="AH22" s="222">
        <f>SUMIFS(設定!L:L,設定!$F:$F,"臨時雇用者",設定!$D:$D,"男")</f>
        <v>0</v>
      </c>
      <c r="AI22" s="187"/>
      <c r="AJ22" s="187"/>
      <c r="AK22" s="187"/>
      <c r="AL22" s="188"/>
      <c r="AM22" s="222">
        <f>SUMIFS(設定!M:M,設定!$F:$F,"臨時雇用者",設定!$D:$D,"男")</f>
        <v>0</v>
      </c>
      <c r="AN22" s="187"/>
      <c r="AO22" s="187"/>
      <c r="AP22" s="187"/>
      <c r="AQ22" s="223"/>
    </row>
    <row r="23" spans="1:43" ht="13.2" customHeight="1" thickBot="1" x14ac:dyDescent="0.25">
      <c r="A23" s="29"/>
      <c r="B23" s="304"/>
      <c r="C23" s="305"/>
      <c r="D23" s="305"/>
      <c r="E23" s="306"/>
      <c r="F23" s="300" t="s">
        <v>48</v>
      </c>
      <c r="G23" s="301"/>
      <c r="H23" s="301"/>
      <c r="I23" s="301"/>
      <c r="J23" s="301"/>
      <c r="K23" s="301"/>
      <c r="L23" s="301"/>
      <c r="M23" s="302"/>
      <c r="N23" s="178">
        <f>SUMIFS(設定!H:H,設定!$F:$F,"臨時雇用者",設定!$D:$D,"女")</f>
        <v>0</v>
      </c>
      <c r="O23" s="176"/>
      <c r="P23" s="176"/>
      <c r="Q23" s="176"/>
      <c r="R23" s="179"/>
      <c r="S23" s="175">
        <f>SUMIFS(設定!I:I,設定!$F:$F,"臨時雇用者",設定!$D:$D,"女")</f>
        <v>0</v>
      </c>
      <c r="T23" s="176"/>
      <c r="U23" s="176"/>
      <c r="V23" s="176"/>
      <c r="W23" s="179"/>
      <c r="X23" s="175">
        <f>SUMIFS(設定!J:J,設定!$F:$F,"臨時雇用者",設定!$D:$D,"女")</f>
        <v>0</v>
      </c>
      <c r="Y23" s="176"/>
      <c r="Z23" s="176"/>
      <c r="AA23" s="176"/>
      <c r="AB23" s="179"/>
      <c r="AC23" s="175">
        <f>SUMIFS(設定!K:K,設定!$F:$F,"臨時雇用者",設定!$D:$D,"女")</f>
        <v>0</v>
      </c>
      <c r="AD23" s="176"/>
      <c r="AE23" s="176"/>
      <c r="AF23" s="176"/>
      <c r="AG23" s="179"/>
      <c r="AH23" s="175">
        <f>SUMIFS(設定!L:L,設定!$F:$F,"臨時雇用者",設定!$D:$D,"女")</f>
        <v>0</v>
      </c>
      <c r="AI23" s="176"/>
      <c r="AJ23" s="176"/>
      <c r="AK23" s="176"/>
      <c r="AL23" s="179"/>
      <c r="AM23" s="175">
        <f>SUMIFS(設定!M:M,設定!$F:$F,"臨時雇用者",設定!$D:$D,"女")</f>
        <v>0</v>
      </c>
      <c r="AN23" s="176"/>
      <c r="AO23" s="176"/>
      <c r="AP23" s="176"/>
      <c r="AQ23" s="177"/>
    </row>
    <row r="24" spans="1:43" x14ac:dyDescent="0.2">
      <c r="A24" s="29"/>
    </row>
    <row r="25" spans="1:43" ht="13.95" customHeight="1" thickBot="1" x14ac:dyDescent="0.25">
      <c r="B25" s="43" t="s">
        <v>58</v>
      </c>
      <c r="AQ25" s="33"/>
    </row>
    <row r="26" spans="1:43" ht="13.95" customHeight="1" x14ac:dyDescent="0.2">
      <c r="B26" s="253" t="s">
        <v>18</v>
      </c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5"/>
      <c r="N26" s="280" t="s">
        <v>64</v>
      </c>
      <c r="O26" s="281"/>
      <c r="P26" s="281"/>
      <c r="Q26" s="281"/>
      <c r="R26" s="281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</row>
    <row r="27" spans="1:43" x14ac:dyDescent="0.2">
      <c r="B27" s="245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46"/>
      <c r="N27" s="282"/>
      <c r="O27" s="283"/>
      <c r="P27" s="283"/>
      <c r="Q27" s="283"/>
      <c r="R27" s="283"/>
      <c r="S27" s="279" t="s">
        <v>51</v>
      </c>
      <c r="T27" s="276"/>
      <c r="U27" s="276"/>
      <c r="V27" s="276"/>
      <c r="W27" s="276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1"/>
      <c r="AM27" s="270" t="s">
        <v>52</v>
      </c>
      <c r="AN27" s="271"/>
      <c r="AO27" s="271"/>
      <c r="AP27" s="271"/>
      <c r="AQ27" s="272"/>
    </row>
    <row r="28" spans="1:43" x14ac:dyDescent="0.2">
      <c r="B28" s="245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46"/>
      <c r="N28" s="282"/>
      <c r="O28" s="283"/>
      <c r="P28" s="283"/>
      <c r="Q28" s="283"/>
      <c r="R28" s="283"/>
      <c r="S28" s="265"/>
      <c r="T28" s="266"/>
      <c r="U28" s="266"/>
      <c r="V28" s="266"/>
      <c r="W28" s="266"/>
      <c r="X28" s="270" t="s">
        <v>53</v>
      </c>
      <c r="Y28" s="276"/>
      <c r="Z28" s="276"/>
      <c r="AA28" s="276"/>
      <c r="AB28" s="244"/>
      <c r="AC28" s="270" t="s">
        <v>54</v>
      </c>
      <c r="AD28" s="271"/>
      <c r="AE28" s="271"/>
      <c r="AF28" s="271"/>
      <c r="AG28" s="277"/>
      <c r="AH28" s="279" t="s">
        <v>55</v>
      </c>
      <c r="AI28" s="276"/>
      <c r="AJ28" s="276"/>
      <c r="AK28" s="276"/>
      <c r="AL28" s="244"/>
      <c r="AM28" s="273"/>
      <c r="AN28" s="274"/>
      <c r="AO28" s="274"/>
      <c r="AP28" s="274"/>
      <c r="AQ28" s="275"/>
    </row>
    <row r="29" spans="1:43" ht="13.8" thickBot="1" x14ac:dyDescent="0.25">
      <c r="B29" s="256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8"/>
      <c r="N29" s="282"/>
      <c r="O29" s="283"/>
      <c r="P29" s="283"/>
      <c r="Q29" s="283"/>
      <c r="R29" s="283"/>
      <c r="S29" s="265"/>
      <c r="T29" s="266"/>
      <c r="U29" s="266"/>
      <c r="V29" s="266"/>
      <c r="W29" s="266"/>
      <c r="X29" s="265"/>
      <c r="Y29" s="266"/>
      <c r="Z29" s="266"/>
      <c r="AA29" s="266"/>
      <c r="AB29" s="246"/>
      <c r="AC29" s="273"/>
      <c r="AD29" s="274"/>
      <c r="AE29" s="274"/>
      <c r="AF29" s="274"/>
      <c r="AG29" s="278"/>
      <c r="AH29" s="265"/>
      <c r="AI29" s="266"/>
      <c r="AJ29" s="266"/>
      <c r="AK29" s="266"/>
      <c r="AL29" s="246"/>
      <c r="AM29" s="273"/>
      <c r="AN29" s="274"/>
      <c r="AO29" s="274"/>
      <c r="AP29" s="274"/>
      <c r="AQ29" s="275"/>
    </row>
    <row r="30" spans="1:43" ht="13.8" thickTop="1" x14ac:dyDescent="0.2">
      <c r="B30" s="313" t="s">
        <v>59</v>
      </c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5"/>
      <c r="N30" s="240">
        <f>SUMIFS(設定!H:H,設定!$G:$G,"経営主")</f>
        <v>0</v>
      </c>
      <c r="O30" s="241"/>
      <c r="P30" s="241"/>
      <c r="Q30" s="241"/>
      <c r="R30" s="242"/>
      <c r="S30" s="180">
        <f>SUMIFS(設定!I:I,設定!$G:$G,"経営主")</f>
        <v>0</v>
      </c>
      <c r="T30" s="147"/>
      <c r="U30" s="147"/>
      <c r="V30" s="147"/>
      <c r="W30" s="148"/>
      <c r="X30" s="180">
        <f>SUMIFS(設定!J:J,設定!$G:$G,"経営主")</f>
        <v>0</v>
      </c>
      <c r="Y30" s="147"/>
      <c r="Z30" s="147"/>
      <c r="AA30" s="147"/>
      <c r="AB30" s="148"/>
      <c r="AC30" s="180">
        <f>SUMIFS(設定!K:K,設定!$G:$G,"経営主")</f>
        <v>0</v>
      </c>
      <c r="AD30" s="147"/>
      <c r="AE30" s="147"/>
      <c r="AF30" s="147"/>
      <c r="AG30" s="148"/>
      <c r="AH30" s="180">
        <f>SUMIFS(設定!L:L,設定!$G:$G,"経営主")</f>
        <v>0</v>
      </c>
      <c r="AI30" s="147"/>
      <c r="AJ30" s="147"/>
      <c r="AK30" s="147"/>
      <c r="AL30" s="148"/>
      <c r="AM30" s="180">
        <f>SUMIFS(設定!M:M,設定!$G:$G,"経営主")</f>
        <v>0</v>
      </c>
      <c r="AN30" s="147"/>
      <c r="AO30" s="147"/>
      <c r="AP30" s="147"/>
      <c r="AQ30" s="181"/>
    </row>
    <row r="31" spans="1:43" ht="13.95" customHeight="1" x14ac:dyDescent="0.2">
      <c r="B31" s="303" t="s">
        <v>33</v>
      </c>
      <c r="C31" s="271"/>
      <c r="D31" s="271"/>
      <c r="E31" s="277"/>
      <c r="F31" s="284" t="s">
        <v>40</v>
      </c>
      <c r="G31" s="285"/>
      <c r="H31" s="285"/>
      <c r="I31" s="285"/>
      <c r="J31" s="285"/>
      <c r="K31" s="285"/>
      <c r="L31" s="285"/>
      <c r="M31" s="286"/>
      <c r="N31" s="186">
        <f>SUMIFS(設定!H:H,設定!$G:$G,"構成員",設定!$F:$F,"&lt;&gt;有給役員",設定!$D:$D,"男")</f>
        <v>0</v>
      </c>
      <c r="O31" s="187"/>
      <c r="P31" s="187"/>
      <c r="Q31" s="187"/>
      <c r="R31" s="188"/>
      <c r="S31" s="222">
        <f>SUMIFS(設定!I:I,設定!$G:$G,"構成員",設定!$F:$F,"&lt;&gt;有給役員",設定!$D:$D,"男")</f>
        <v>0</v>
      </c>
      <c r="T31" s="187"/>
      <c r="U31" s="187"/>
      <c r="V31" s="187"/>
      <c r="W31" s="188"/>
      <c r="X31" s="222">
        <f>SUMIFS(設定!J:J,設定!$G:$G,"構成員",設定!$F:$F,"&lt;&gt;有給役員",設定!$D:$D,"男")</f>
        <v>0</v>
      </c>
      <c r="Y31" s="187"/>
      <c r="Z31" s="187"/>
      <c r="AA31" s="187"/>
      <c r="AB31" s="188"/>
      <c r="AC31" s="222">
        <f>SUMIFS(設定!K:K,設定!$G:$G,"構成員",設定!$F:$F,"&lt;&gt;有給役員",設定!$D:$D,"男")</f>
        <v>0</v>
      </c>
      <c r="AD31" s="187"/>
      <c r="AE31" s="187"/>
      <c r="AF31" s="187"/>
      <c r="AG31" s="188"/>
      <c r="AH31" s="222">
        <f>SUMIFS(設定!L:L,設定!$G:$G,"構成員",設定!$F:$F,"&lt;&gt;有給役員",設定!$D:$D,"男")</f>
        <v>0</v>
      </c>
      <c r="AI31" s="187"/>
      <c r="AJ31" s="187"/>
      <c r="AK31" s="187"/>
      <c r="AL31" s="188"/>
      <c r="AM31" s="222">
        <f>SUMIFS(設定!M:M,設定!$G:$G,"構成員",設定!$F:$F,"&lt;&gt;有給役員",設定!$D:$D,"男")</f>
        <v>0</v>
      </c>
      <c r="AN31" s="187"/>
      <c r="AO31" s="187"/>
      <c r="AP31" s="187"/>
      <c r="AQ31" s="223"/>
    </row>
    <row r="32" spans="1:43" ht="13.95" customHeight="1" thickBot="1" x14ac:dyDescent="0.25">
      <c r="B32" s="304"/>
      <c r="C32" s="305"/>
      <c r="D32" s="305"/>
      <c r="E32" s="306"/>
      <c r="F32" s="300" t="s">
        <v>48</v>
      </c>
      <c r="G32" s="301"/>
      <c r="H32" s="301"/>
      <c r="I32" s="301"/>
      <c r="J32" s="301"/>
      <c r="K32" s="301"/>
      <c r="L32" s="301"/>
      <c r="M32" s="302"/>
      <c r="N32" s="178">
        <f>SUMIFS(設定!H:H,設定!$G:$G,"構成員",設定!$F:$F,"&lt;&gt;有給役員",設定!$D:$D,"女")</f>
        <v>0</v>
      </c>
      <c r="O32" s="176"/>
      <c r="P32" s="176"/>
      <c r="Q32" s="176"/>
      <c r="R32" s="179"/>
      <c r="S32" s="175">
        <f>SUMIFS(設定!I:I,設定!$G:$G,"構成員",設定!$F:$F,"&lt;&gt;有給役員",設定!$D:$D,"女")</f>
        <v>0</v>
      </c>
      <c r="T32" s="176"/>
      <c r="U32" s="176"/>
      <c r="V32" s="176"/>
      <c r="W32" s="179"/>
      <c r="X32" s="175">
        <f>SUMIFS(設定!J:J,設定!$G:$G,"構成員",設定!$F:$F,"&lt;&gt;有給役員",設定!$D:$D,"女")</f>
        <v>0</v>
      </c>
      <c r="Y32" s="176"/>
      <c r="Z32" s="176"/>
      <c r="AA32" s="176"/>
      <c r="AB32" s="179"/>
      <c r="AC32" s="175">
        <f>SUMIFS(設定!K:K,設定!$G:$G,"構成員",設定!$F:$F,"&lt;&gt;有給役員",設定!$D:$D,"女")</f>
        <v>0</v>
      </c>
      <c r="AD32" s="176"/>
      <c r="AE32" s="176"/>
      <c r="AF32" s="176"/>
      <c r="AG32" s="179"/>
      <c r="AH32" s="175">
        <f>SUMIFS(設定!L:L,設定!$G:$G,"構成員",設定!$F:$F,"&lt;&gt;有給役員",設定!$D:$D,"女")</f>
        <v>0</v>
      </c>
      <c r="AI32" s="176"/>
      <c r="AJ32" s="176"/>
      <c r="AK32" s="176"/>
      <c r="AL32" s="179"/>
      <c r="AM32" s="175">
        <f>SUMIFS(設定!M:M,設定!$G:$G,"構成員",設定!$F:$F,"&lt;&gt;有給役員",設定!$D:$D,"女")</f>
        <v>0</v>
      </c>
      <c r="AN32" s="176"/>
      <c r="AO32" s="176"/>
      <c r="AP32" s="176"/>
      <c r="AQ32" s="177"/>
    </row>
    <row r="33" spans="1:43" ht="13.95" customHeight="1" thickTop="1" x14ac:dyDescent="0.2">
      <c r="A33" s="29"/>
      <c r="B33" s="52"/>
      <c r="AD33" s="33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</row>
    <row r="34" spans="1:43" ht="15" customHeight="1" thickBot="1" x14ac:dyDescent="0.25">
      <c r="A34" s="29"/>
      <c r="B34" s="53" t="s">
        <v>60</v>
      </c>
      <c r="AD34" s="33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</row>
    <row r="35" spans="1:43" ht="13.2" customHeight="1" x14ac:dyDescent="0.2">
      <c r="B35" s="253" t="s">
        <v>18</v>
      </c>
      <c r="C35" s="254"/>
      <c r="D35" s="254"/>
      <c r="E35" s="254"/>
      <c r="F35" s="254"/>
      <c r="G35" s="254"/>
      <c r="H35" s="254"/>
      <c r="I35" s="254"/>
      <c r="J35" s="255"/>
      <c r="K35" s="324" t="s">
        <v>61</v>
      </c>
      <c r="L35" s="324"/>
      <c r="M35" s="324"/>
      <c r="N35" s="324"/>
      <c r="O35" s="325"/>
      <c r="P35" s="280" t="s">
        <v>65</v>
      </c>
      <c r="Q35" s="328"/>
      <c r="R35" s="328"/>
      <c r="S35" s="328"/>
      <c r="T35" s="328"/>
      <c r="U35" s="54"/>
      <c r="V35" s="54"/>
      <c r="W35" s="54"/>
      <c r="X35" s="54"/>
      <c r="Y35" s="55"/>
      <c r="AC35" s="56"/>
      <c r="AG35"/>
      <c r="AH35"/>
      <c r="AI35"/>
      <c r="AJ35"/>
      <c r="AK35"/>
      <c r="AL35"/>
      <c r="AM35"/>
      <c r="AN35"/>
      <c r="AO35"/>
      <c r="AP35"/>
      <c r="AQ35"/>
    </row>
    <row r="36" spans="1:43" ht="13.2" customHeight="1" x14ac:dyDescent="0.2">
      <c r="B36" s="245"/>
      <c r="C36" s="266"/>
      <c r="D36" s="266"/>
      <c r="E36" s="266"/>
      <c r="F36" s="266"/>
      <c r="G36" s="266"/>
      <c r="H36" s="266"/>
      <c r="I36" s="266"/>
      <c r="J36" s="246"/>
      <c r="K36" s="288"/>
      <c r="L36" s="288"/>
      <c r="M36" s="288"/>
      <c r="N36" s="288"/>
      <c r="O36" s="289"/>
      <c r="P36" s="329"/>
      <c r="Q36" s="330"/>
      <c r="R36" s="330"/>
      <c r="S36" s="330"/>
      <c r="T36" s="330"/>
      <c r="U36" s="318" t="s">
        <v>62</v>
      </c>
      <c r="V36" s="319"/>
      <c r="W36" s="319"/>
      <c r="X36" s="319"/>
      <c r="Y36" s="320"/>
      <c r="AC36" s="56"/>
      <c r="AG36"/>
      <c r="AH36"/>
      <c r="AI36"/>
      <c r="AJ36"/>
      <c r="AK36"/>
      <c r="AL36"/>
      <c r="AM36"/>
      <c r="AN36"/>
      <c r="AO36"/>
      <c r="AP36"/>
      <c r="AQ36"/>
    </row>
    <row r="37" spans="1:43" ht="13.95" customHeight="1" thickBot="1" x14ac:dyDescent="0.25">
      <c r="A37" s="29"/>
      <c r="B37" s="256"/>
      <c r="C37" s="257"/>
      <c r="D37" s="257"/>
      <c r="E37" s="257"/>
      <c r="F37" s="257"/>
      <c r="G37" s="257"/>
      <c r="H37" s="257"/>
      <c r="I37" s="257"/>
      <c r="J37" s="258"/>
      <c r="K37" s="326"/>
      <c r="L37" s="326"/>
      <c r="M37" s="326"/>
      <c r="N37" s="326"/>
      <c r="O37" s="327"/>
      <c r="P37" s="321"/>
      <c r="Q37" s="322"/>
      <c r="R37" s="322"/>
      <c r="S37" s="322"/>
      <c r="T37" s="322"/>
      <c r="U37" s="321"/>
      <c r="V37" s="322"/>
      <c r="W37" s="322"/>
      <c r="X37" s="322"/>
      <c r="Y37" s="323"/>
      <c r="AC37" s="56"/>
      <c r="AG37"/>
      <c r="AH37"/>
      <c r="AI37"/>
      <c r="AJ37"/>
      <c r="AK37"/>
      <c r="AL37"/>
      <c r="AM37"/>
      <c r="AN37"/>
      <c r="AO37"/>
      <c r="AP37"/>
      <c r="AQ37"/>
    </row>
    <row r="38" spans="1:43" ht="13.95" customHeight="1" thickTop="1" x14ac:dyDescent="0.2">
      <c r="A38" s="29"/>
      <c r="B38" s="245" t="s">
        <v>40</v>
      </c>
      <c r="C38" s="246"/>
      <c r="D38" s="331" t="s">
        <v>41</v>
      </c>
      <c r="E38" s="332"/>
      <c r="F38" s="332"/>
      <c r="G38" s="332"/>
      <c r="H38" s="332"/>
      <c r="I38" s="332"/>
      <c r="J38" s="332"/>
      <c r="K38" s="146">
        <f>SUMIFS(設定!$I:$I,設定!$D:$D,"男",設定!$E:$E,"&gt;=16",設定!$E:$E,"&lt;35",設定!$F:$F,"有給役員")</f>
        <v>0</v>
      </c>
      <c r="L38" s="147"/>
      <c r="M38" s="147"/>
      <c r="N38" s="147"/>
      <c r="O38" s="148"/>
      <c r="P38" s="180">
        <f>SUMIFS(設定!$I:$I,設定!$D:$D,"男",設定!$E:$E,"&gt;=16",設定!$E:$E,"&lt;35",設定!$F:$F,"正社員７か月以上")+SUMIFS(設定!$I:$I,設定!$D:$D,"男",設定!$E:$E,"&gt;=16",設定!$E:$E,"&lt;35",設定!$F:$F,"正社員７か月未満")+SUMIFS(設定!$I:$I,設定!$D:$D,"男",設定!$E:$E,"&gt;=16",設定!$E:$E,"&lt;35",設定!$F:$F,"その他７か月以上")+SUMIFS(設定!$I:$I,設定!$D:$D,"男",設定!$E:$E,"&gt;=16",設定!$E:$E,"&lt;35",設定!$F:$F,"その他７か月未満")</f>
        <v>0</v>
      </c>
      <c r="Q38" s="147"/>
      <c r="R38" s="147"/>
      <c r="S38" s="147"/>
      <c r="T38" s="148"/>
      <c r="U38" s="180">
        <f>SUMIFS(設定!$I:$I,設定!$D:$D,"男",設定!$E:$E,"&gt;=16",設定!$E:$E,"&lt;35",設定!$F:$F,"正社員７か月以上")+SUMIFS(設定!$I:$I,設定!$D:$D,"男",設定!$E:$E,"&gt;=16",設定!$E:$E,"&lt;35",設定!$F:$F,"その他７か月以上")</f>
        <v>0</v>
      </c>
      <c r="V38" s="147"/>
      <c r="W38" s="147"/>
      <c r="X38" s="147"/>
      <c r="Y38" s="181"/>
      <c r="AC38" s="56"/>
      <c r="AG38"/>
      <c r="AH38"/>
      <c r="AI38"/>
      <c r="AJ38"/>
      <c r="AK38"/>
      <c r="AL38"/>
      <c r="AM38"/>
      <c r="AN38"/>
      <c r="AO38"/>
      <c r="AP38"/>
      <c r="AQ38"/>
    </row>
    <row r="39" spans="1:43" ht="13.2" customHeight="1" x14ac:dyDescent="0.2">
      <c r="A39" s="31"/>
      <c r="B39" s="245"/>
      <c r="C39" s="246"/>
      <c r="D39" s="249" t="s">
        <v>42</v>
      </c>
      <c r="E39" s="250"/>
      <c r="F39" s="250"/>
      <c r="G39" s="250"/>
      <c r="H39" s="250"/>
      <c r="I39" s="250"/>
      <c r="J39" s="250"/>
      <c r="K39" s="186">
        <f>SUMIFS(設定!$I:$I,設定!$D:$D,"男",設定!$E:$E,"&gt;=35",設定!$E:$E,"&lt;45",設定!$F:$F,"有給役員")</f>
        <v>0</v>
      </c>
      <c r="L39" s="187"/>
      <c r="M39" s="187"/>
      <c r="N39" s="187"/>
      <c r="O39" s="188"/>
      <c r="P39" s="222">
        <f>SUMIFS(設定!$I:$I,設定!$D:$D,"男",設定!$E:$E,"&gt;=35",設定!$E:$E,"&lt;45",設定!$F:$F,"正社員７か月以上")+SUMIFS(設定!$I:$I,設定!$D:$D,"男",設定!$E:$E,"&gt;=35",設定!$E:$E,"&lt;45",設定!$F:$F,"正社員７か月未満")+SUMIFS(設定!$I:$I,設定!$D:$D,"男",設定!$E:$E,"&gt;=35",設定!$E:$E,"&lt;45",設定!$F:$F,"その他７か月以上")+SUMIFS(設定!$I:$I,設定!$D:$D,"男",設定!$E:$E,"&gt;=35",設定!$E:$E,"&lt;45",設定!$F:$F,"その他７か月未満")</f>
        <v>0</v>
      </c>
      <c r="Q39" s="187"/>
      <c r="R39" s="187"/>
      <c r="S39" s="187"/>
      <c r="T39" s="188"/>
      <c r="U39" s="222">
        <f>SUMIFS(設定!$I:$I,設定!$D:$D,"男",設定!$E:$E,"&gt;=35",設定!$E:$E,"&lt;45",設定!$F:$F,"正社員７か月以上")+SUMIFS(設定!$I:$I,設定!$D:$D,"男",設定!$E:$E,"&gt;=35",設定!$E:$E,"&lt;45",設定!$F:$F,"その他７か月以上")</f>
        <v>0</v>
      </c>
      <c r="V39" s="187"/>
      <c r="W39" s="187"/>
      <c r="X39" s="187"/>
      <c r="Y39" s="223"/>
      <c r="AG39"/>
      <c r="AH39"/>
      <c r="AI39"/>
      <c r="AJ39"/>
      <c r="AK39"/>
      <c r="AL39"/>
      <c r="AM39"/>
      <c r="AN39"/>
      <c r="AO39"/>
      <c r="AP39"/>
      <c r="AQ39"/>
    </row>
    <row r="40" spans="1:43" ht="13.2" customHeight="1" x14ac:dyDescent="0.2">
      <c r="A40" s="31"/>
      <c r="B40" s="245"/>
      <c r="C40" s="246"/>
      <c r="D40" s="251" t="s">
        <v>43</v>
      </c>
      <c r="E40" s="252"/>
      <c r="F40" s="252"/>
      <c r="G40" s="252"/>
      <c r="H40" s="252"/>
      <c r="I40" s="252"/>
      <c r="J40" s="252"/>
      <c r="K40" s="186">
        <f>SUMIFS(設定!$I:$I,設定!$D:$D,"男",設定!$E:$E,"&gt;=45",設定!$E:$E,"&lt;50",設定!$F:$F,"有給役員")</f>
        <v>0</v>
      </c>
      <c r="L40" s="187"/>
      <c r="M40" s="187"/>
      <c r="N40" s="187"/>
      <c r="O40" s="188"/>
      <c r="P40" s="222">
        <f>SUMIFS(設定!$I:$I,設定!$D:$D,"男",設定!$E:$E,"&gt;=45",設定!$E:$E,"&lt;50",設定!$F:$F,"正社員７か月以上")+SUMIFS(設定!$I:$I,設定!$D:$D,"男",設定!$E:$E,"&gt;=45",設定!$E:$E,"&lt;50",設定!$F:$F,"正社員７か月未満")+SUMIFS(設定!$I:$I,設定!$D:$D,"男",設定!$E:$E,"&gt;=45",設定!$E:$E,"&lt;50",設定!$F:$F,"その他７か月以上")+SUMIFS(設定!$I:$I,設定!$D:$D,"男",設定!$E:$E,"&gt;=45",設定!$E:$E,"&lt;50",設定!$F:$F,"その他７か月未満")</f>
        <v>0</v>
      </c>
      <c r="Q40" s="187"/>
      <c r="R40" s="187"/>
      <c r="S40" s="187"/>
      <c r="T40" s="188"/>
      <c r="U40" s="222">
        <f>SUMIFS(設定!$I:$I,設定!$D:$D,"男",設定!$E:$E,"&gt;=45",設定!$E:$E,"&lt;50",設定!$F:$F,"正社員７か月以上")+SUMIFS(設定!$I:$I,設定!$D:$D,"男",設定!$E:$E,"&gt;=45",設定!$E:$E,"&lt;50",設定!$F:$F,"その他７か月以上")</f>
        <v>0</v>
      </c>
      <c r="V40" s="187"/>
      <c r="W40" s="187"/>
      <c r="X40" s="187"/>
      <c r="Y40" s="223"/>
      <c r="AG40"/>
      <c r="AH40"/>
      <c r="AI40"/>
      <c r="AJ40"/>
      <c r="AK40"/>
      <c r="AL40"/>
      <c r="AM40"/>
      <c r="AN40"/>
      <c r="AO40"/>
      <c r="AP40"/>
      <c r="AQ40"/>
    </row>
    <row r="41" spans="1:43" ht="13.2" customHeight="1" x14ac:dyDescent="0.2">
      <c r="B41" s="245"/>
      <c r="C41" s="246"/>
      <c r="D41" s="249" t="s">
        <v>44</v>
      </c>
      <c r="E41" s="250"/>
      <c r="F41" s="250"/>
      <c r="G41" s="250"/>
      <c r="H41" s="250"/>
      <c r="I41" s="250"/>
      <c r="J41" s="250"/>
      <c r="K41" s="186">
        <f>SUMIFS(設定!$I:$I,設定!$D:$D,"男",設定!$E:$E,"&gt;=50",設定!$E:$E,"&lt;60",設定!$F:$F,"有給役員")</f>
        <v>0</v>
      </c>
      <c r="L41" s="187"/>
      <c r="M41" s="187"/>
      <c r="N41" s="187"/>
      <c r="O41" s="188"/>
      <c r="P41" s="222">
        <f>SUMIFS(設定!$I:$I,設定!$D:$D,"男",設定!$E:$E,"&gt;=50",設定!$E:$E,"&lt;60",設定!$F:$F,"正社員７か月以上")+SUMIFS(設定!$I:$I,設定!$D:$D,"男",設定!$E:$E,"&gt;=50",設定!$E:$E,"&lt;60",設定!$F:$F,"正社員７か月未満")+SUMIFS(設定!$I:$I,設定!$D:$D,"男",設定!$E:$E,"&gt;=50",設定!$E:$E,"&lt;60",設定!$F:$F,"その他７か月以上")+SUMIFS(設定!$I:$I,設定!$D:$D,"男",設定!$E:$E,"&gt;=50",設定!$E:$E,"&lt;60",設定!$F:$F,"その他７か月未満")</f>
        <v>0</v>
      </c>
      <c r="Q41" s="187"/>
      <c r="R41" s="187"/>
      <c r="S41" s="187"/>
      <c r="T41" s="188"/>
      <c r="U41" s="222">
        <f>SUMIFS(設定!$I:$I,設定!$D:$D,"男",設定!$E:$E,"&gt;=50",設定!$E:$E,"&lt;60",設定!$F:$F,"正社員７か月以上")+SUMIFS(設定!$I:$I,設定!$D:$D,"男",設定!$E:$E,"&gt;=50",設定!$E:$E,"&lt;60",設定!$F:$F,"その他７か月以上")</f>
        <v>0</v>
      </c>
      <c r="V41" s="187"/>
      <c r="W41" s="187"/>
      <c r="X41" s="187"/>
      <c r="Y41" s="223"/>
      <c r="AG41"/>
      <c r="AH41"/>
      <c r="AI41"/>
      <c r="AJ41"/>
      <c r="AK41"/>
      <c r="AL41"/>
      <c r="AM41"/>
      <c r="AN41"/>
      <c r="AO41"/>
      <c r="AP41"/>
      <c r="AQ41"/>
    </row>
    <row r="42" spans="1:43" ht="13.2" customHeight="1" x14ac:dyDescent="0.2">
      <c r="B42" s="245"/>
      <c r="C42" s="246"/>
      <c r="D42" s="251" t="s">
        <v>45</v>
      </c>
      <c r="E42" s="252"/>
      <c r="F42" s="252"/>
      <c r="G42" s="252"/>
      <c r="H42" s="252"/>
      <c r="I42" s="252"/>
      <c r="J42" s="252"/>
      <c r="K42" s="186">
        <f>SUMIFS(設定!$I:$I,設定!$D:$D,"男",設定!$E:$E,"&gt;=60",設定!$E:$E,"&lt;65",設定!$F:$F,"有給役員")</f>
        <v>0</v>
      </c>
      <c r="L42" s="187"/>
      <c r="M42" s="187"/>
      <c r="N42" s="187"/>
      <c r="O42" s="188"/>
      <c r="P42" s="222">
        <f>SUMIFS(設定!$I:$I,設定!$D:$D,"男",設定!$E:$E,"&gt;=60",設定!$E:$E,"&lt;65",設定!$F:$F,"正社員７か月以上")+SUMIFS(設定!$I:$I,設定!$D:$D,"男",設定!$E:$E,"&gt;=60",設定!$E:$E,"&lt;65",設定!$F:$F,"正社員７か月未満")+SUMIFS(設定!$I:$I,設定!$D:$D,"男",設定!$E:$E,"&gt;=60",設定!$E:$E,"&lt;65",設定!$F:$F,"その他７か月以上")+SUMIFS(設定!$I:$I,設定!$D:$D,"男",設定!$E:$E,"&gt;=60",設定!$E:$E,"&lt;65",設定!$F:$F,"その他７か月未満")</f>
        <v>0</v>
      </c>
      <c r="Q42" s="187"/>
      <c r="R42" s="187"/>
      <c r="S42" s="187"/>
      <c r="T42" s="188"/>
      <c r="U42" s="222">
        <f>SUMIFS(設定!$I:$I,設定!$D:$D,"男",設定!$E:$E,"&gt;=60",設定!$E:$E,"&lt;65",設定!$F:$F,"正社員７か月以上")+SUMIFS(設定!$I:$I,設定!$D:$D,"男",設定!$E:$E,"&gt;=60",設定!$E:$E,"&lt;65",設定!$F:$F,"その他７か月以上")</f>
        <v>0</v>
      </c>
      <c r="V42" s="187"/>
      <c r="W42" s="187"/>
      <c r="X42" s="187"/>
      <c r="Y42" s="223"/>
      <c r="AG42"/>
      <c r="AH42"/>
      <c r="AI42"/>
      <c r="AJ42"/>
      <c r="AK42"/>
      <c r="AL42"/>
      <c r="AM42"/>
      <c r="AN42"/>
      <c r="AO42"/>
      <c r="AP42"/>
      <c r="AQ42"/>
    </row>
    <row r="43" spans="1:43" ht="13.2" customHeight="1" x14ac:dyDescent="0.2">
      <c r="B43" s="245"/>
      <c r="C43" s="246"/>
      <c r="D43" s="251" t="s">
        <v>46</v>
      </c>
      <c r="E43" s="252"/>
      <c r="F43" s="252"/>
      <c r="G43" s="252"/>
      <c r="H43" s="252"/>
      <c r="I43" s="252"/>
      <c r="J43" s="252"/>
      <c r="K43" s="186">
        <f>SUMIFS(設定!$I:$I,設定!$D:$D,"男",設定!$E:$E,"&gt;=65",設定!$E:$E,"&lt;70",設定!$F:$F,"有給役員")</f>
        <v>0</v>
      </c>
      <c r="L43" s="187"/>
      <c r="M43" s="187"/>
      <c r="N43" s="187"/>
      <c r="O43" s="188"/>
      <c r="P43" s="222">
        <f>SUMIFS(設定!$I:$I,設定!$D:$D,"男",設定!$E:$E,"&gt;=65",設定!$E:$E,"&lt;70",設定!$F:$F,"正社員７か月以上")+SUMIFS(設定!$I:$I,設定!$D:$D,"男",設定!$E:$E,"&gt;=65",設定!$E:$E,"&lt;70",設定!$F:$F,"正社員７か月未満")+SUMIFS(設定!$I:$I,設定!$D:$D,"男",設定!$E:$E,"&gt;=65",設定!$E:$E,"&lt;70",設定!$F:$F,"その他７か月以上")+SUMIFS(設定!$I:$I,設定!$D:$D,"男",設定!$E:$E,"&gt;=65",設定!$E:$E,"&lt;70",設定!$F:$F,"その他７か月未満")</f>
        <v>0</v>
      </c>
      <c r="Q43" s="187"/>
      <c r="R43" s="187"/>
      <c r="S43" s="187"/>
      <c r="T43" s="188"/>
      <c r="U43" s="222">
        <f>SUMIFS(設定!$I:$I,設定!$D:$D,"男",設定!$E:$E,"&gt;=65",設定!$E:$E,"&lt;70",設定!$F:$F,"正社員７か月以上")+SUMIFS(設定!$I:$I,設定!$D:$D,"男",設定!$E:$E,"&gt;=65",設定!$E:$E,"&lt;70",設定!$F:$F,"その他７か月以上")</f>
        <v>0</v>
      </c>
      <c r="V43" s="187"/>
      <c r="W43" s="187"/>
      <c r="X43" s="187"/>
      <c r="Y43" s="223"/>
      <c r="AG43"/>
      <c r="AH43"/>
      <c r="AI43"/>
      <c r="AJ43"/>
      <c r="AK43"/>
      <c r="AL43"/>
      <c r="AM43"/>
      <c r="AN43"/>
      <c r="AO43"/>
      <c r="AP43"/>
      <c r="AQ43"/>
    </row>
    <row r="44" spans="1:43" ht="13.95" customHeight="1" x14ac:dyDescent="0.2">
      <c r="B44" s="256"/>
      <c r="C44" s="258"/>
      <c r="D44" s="251" t="s">
        <v>47</v>
      </c>
      <c r="E44" s="252"/>
      <c r="F44" s="252"/>
      <c r="G44" s="252"/>
      <c r="H44" s="252"/>
      <c r="I44" s="252"/>
      <c r="J44" s="252"/>
      <c r="K44" s="186">
        <f>SUMIFS(設定!$I:$I,設定!$D:$D,"男",設定!$E:$E,"&gt;=70",設定!$E:$E,"&lt;999",設定!$F:$F,"有給役員")</f>
        <v>0</v>
      </c>
      <c r="L44" s="187"/>
      <c r="M44" s="187"/>
      <c r="N44" s="187"/>
      <c r="O44" s="188"/>
      <c r="P44" s="222">
        <f>SUMIFS(設定!$I:$I,設定!$D:$D,"男",設定!$E:$E,"&gt;=70",設定!$E:$E,"&lt;999",設定!$F:$F,"正社員７か月以上")+SUMIFS(設定!$I:$I,設定!$D:$D,"男",設定!$E:$E,"&gt;=70",設定!$E:$E,"&lt;999",設定!$F:$F,"正社員７か月未満")+SUMIFS(設定!$I:$I,設定!$D:$D,"男",設定!$E:$E,"&gt;=70",設定!$E:$E,"&lt;999",設定!$F:$F,"その他７か月以上")+SUMIFS(設定!$I:$I,設定!$D:$D,"男",設定!$E:$E,"&gt;=70",設定!$E:$E,"&lt;999",設定!$F:$F,"その他７か月未満")</f>
        <v>0</v>
      </c>
      <c r="Q44" s="187"/>
      <c r="R44" s="187"/>
      <c r="S44" s="187"/>
      <c r="T44" s="188"/>
      <c r="U44" s="222">
        <f>SUMIFS(設定!$I:$I,設定!$D:$D,"男",設定!$E:$E,"&gt;=70",設定!$E:$E,"&lt;999",設定!$F:$F,"正社員７か月以上")+SUMIFS(設定!$I:$I,設定!$D:$D,"男",設定!$E:$E,"&gt;=70",設定!$E:$E,"&lt;999",設定!$F:$F,"その他７か月以上")</f>
        <v>0</v>
      </c>
      <c r="V44" s="187"/>
      <c r="W44" s="187"/>
      <c r="X44" s="187"/>
      <c r="Y44" s="223"/>
      <c r="AG44"/>
      <c r="AH44"/>
      <c r="AI44"/>
      <c r="AJ44"/>
      <c r="AK44"/>
      <c r="AL44"/>
      <c r="AM44"/>
      <c r="AN44"/>
      <c r="AO44"/>
      <c r="AP44"/>
      <c r="AQ44"/>
    </row>
    <row r="45" spans="1:43" x14ac:dyDescent="0.2">
      <c r="B45" s="243" t="s">
        <v>48</v>
      </c>
      <c r="C45" s="244"/>
      <c r="D45" s="149" t="s">
        <v>41</v>
      </c>
      <c r="E45" s="150"/>
      <c r="F45" s="150"/>
      <c r="G45" s="150"/>
      <c r="H45" s="150"/>
      <c r="I45" s="150"/>
      <c r="J45" s="150"/>
      <c r="K45" s="186">
        <f>SUMIFS(設定!$I:$I,設定!$D:$D,"女",設定!$E:$E,"&gt;=16",設定!$E:$E,"&lt;35",設定!$F:$F,"有給役員")</f>
        <v>0</v>
      </c>
      <c r="L45" s="187"/>
      <c r="M45" s="187"/>
      <c r="N45" s="187"/>
      <c r="O45" s="188"/>
      <c r="P45" s="222">
        <f>SUMIFS(設定!$I:$I,設定!$D:$D,"女",設定!$E:$E,"&gt;=16",設定!$E:$E,"&lt;35",設定!$F:$F,"正社員７か月以上")+SUMIFS(設定!$I:$I,設定!$D:$D,"女",設定!$E:$E,"&gt;=16",設定!$E:$E,"&lt;35",設定!$F:$F,"正社員７か月未満")+SUMIFS(設定!$I:$I,設定!$D:$D,"女",設定!$E:$E,"&gt;=16",設定!$E:$E,"&lt;35",設定!$F:$F,"その他７か月以上")+SUMIFS(設定!$I:$I,設定!$D:$D,"女",設定!$E:$E,"&gt;=16",設定!$E:$E,"&lt;35",設定!$F:$F,"その他７か月未満")</f>
        <v>0</v>
      </c>
      <c r="Q45" s="187"/>
      <c r="R45" s="187"/>
      <c r="S45" s="187"/>
      <c r="T45" s="188"/>
      <c r="U45" s="222">
        <f>SUMIFS(設定!$I:$I,設定!$D:$D,"女",設定!$E:$E,"&gt;=16",設定!$E:$E,"&lt;35",設定!$F:$F,"正社員７か月以上")+SUMIFS(設定!$I:$I,設定!$D:$D,"女",設定!$E:$E,"&gt;=16",設定!$E:$E,"&lt;35",設定!$F:$F,"その他７か月以上")</f>
        <v>0</v>
      </c>
      <c r="V45" s="187"/>
      <c r="W45" s="187"/>
      <c r="X45" s="187"/>
      <c r="Y45" s="223"/>
      <c r="AG45"/>
      <c r="AH45"/>
      <c r="AI45"/>
      <c r="AJ45"/>
      <c r="AK45"/>
      <c r="AL45"/>
      <c r="AM45"/>
      <c r="AN45"/>
      <c r="AO45"/>
      <c r="AP45"/>
      <c r="AQ45"/>
    </row>
    <row r="46" spans="1:43" x14ac:dyDescent="0.2">
      <c r="B46" s="245"/>
      <c r="C46" s="246"/>
      <c r="D46" s="249" t="s">
        <v>8</v>
      </c>
      <c r="E46" s="250"/>
      <c r="F46" s="250"/>
      <c r="G46" s="250"/>
      <c r="H46" s="250"/>
      <c r="I46" s="250"/>
      <c r="J46" s="250"/>
      <c r="K46" s="186">
        <f>SUMIFS(設定!$I:$I,設定!$D:$D,"女",設定!$E:$E,"&gt;=35",設定!$E:$E,"&lt;45",設定!$F:$F,"有給役員")</f>
        <v>0</v>
      </c>
      <c r="L46" s="187"/>
      <c r="M46" s="187"/>
      <c r="N46" s="187"/>
      <c r="O46" s="188"/>
      <c r="P46" s="222">
        <f>SUMIFS(設定!$I:$I,設定!$D:$D,"女",設定!$E:$E,"&gt;=35",設定!$E:$E,"&lt;45",設定!$F:$F,"正社員７か月以上")+SUMIFS(設定!$I:$I,設定!$D:$D,"女",設定!$E:$E,"&gt;=35",設定!$E:$E,"&lt;45",設定!$F:$F,"正社員７か月未満")+SUMIFS(設定!$I:$I,設定!$D:$D,"女",設定!$E:$E,"&gt;=35",設定!$E:$E,"&lt;45",設定!$F:$F,"その他７か月以上")+SUMIFS(設定!$I:$I,設定!$D:$D,"女",設定!$E:$E,"&gt;=35",設定!$E:$E,"&lt;45",設定!$F:$F,"その他７か月未満")</f>
        <v>0</v>
      </c>
      <c r="Q46" s="187"/>
      <c r="R46" s="187"/>
      <c r="S46" s="187"/>
      <c r="T46" s="188"/>
      <c r="U46" s="222">
        <f>SUMIFS(設定!$I:$I,設定!$D:$D,"女",設定!$E:$E,"&gt;=35",設定!$E:$E,"&lt;45",設定!$F:$F,"正社員７か月以上")+SUMIFS(設定!$I:$I,設定!$D:$D,"女",設定!$E:$E,"&gt;=35",設定!$E:$E,"&lt;45",設定!$F:$F,"その他７か月以上")</f>
        <v>0</v>
      </c>
      <c r="V46" s="187"/>
      <c r="W46" s="187"/>
      <c r="X46" s="187"/>
      <c r="Y46" s="223"/>
      <c r="AG46"/>
      <c r="AH46"/>
      <c r="AI46"/>
      <c r="AJ46"/>
      <c r="AK46"/>
      <c r="AL46"/>
      <c r="AM46"/>
      <c r="AN46"/>
      <c r="AO46"/>
      <c r="AP46"/>
      <c r="AQ46"/>
    </row>
    <row r="47" spans="1:43" x14ac:dyDescent="0.2">
      <c r="B47" s="245"/>
      <c r="C47" s="246"/>
      <c r="D47" s="251" t="s">
        <v>9</v>
      </c>
      <c r="E47" s="252"/>
      <c r="F47" s="252"/>
      <c r="G47" s="252"/>
      <c r="H47" s="252"/>
      <c r="I47" s="252"/>
      <c r="J47" s="252"/>
      <c r="K47" s="186">
        <f>SUMIFS(設定!$I:$I,設定!$D:$D,"女",設定!$E:$E,"&gt;=45",設定!$E:$E,"&lt;50",設定!$F:$F,"有給役員")</f>
        <v>0</v>
      </c>
      <c r="L47" s="187"/>
      <c r="M47" s="187"/>
      <c r="N47" s="187"/>
      <c r="O47" s="188"/>
      <c r="P47" s="222">
        <f>SUMIFS(設定!$I:$I,設定!$D:$D,"女",設定!$E:$E,"&gt;=45",設定!$E:$E,"&lt;50",設定!$F:$F,"正社員７か月以上")+SUMIFS(設定!$I:$I,設定!$D:$D,"女",設定!$E:$E,"&gt;=45",設定!$E:$E,"&lt;50",設定!$F:$F,"正社員７か月未満")+SUMIFS(設定!$I:$I,設定!$D:$D,"女",設定!$E:$E,"&gt;=45",設定!$E:$E,"&lt;50",設定!$F:$F,"その他７か月以上")+SUMIFS(設定!$I:$I,設定!$D:$D,"女",設定!$E:$E,"&gt;=45",設定!$E:$E,"&lt;50",設定!$F:$F,"その他７か月未満")</f>
        <v>0</v>
      </c>
      <c r="Q47" s="187"/>
      <c r="R47" s="187"/>
      <c r="S47" s="187"/>
      <c r="T47" s="188"/>
      <c r="U47" s="222">
        <f>SUMIFS(設定!$I:$I,設定!$D:$D,"女",設定!$E:$E,"&gt;=45",設定!$E:$E,"&lt;50",設定!$F:$F,"正社員７か月以上")+SUMIFS(設定!$I:$I,設定!$D:$D,"女",設定!$E:$E,"&gt;=45",設定!$E:$E,"&lt;50",設定!$F:$F,"その他７か月以上")</f>
        <v>0</v>
      </c>
      <c r="V47" s="187"/>
      <c r="W47" s="187"/>
      <c r="X47" s="187"/>
      <c r="Y47" s="223"/>
      <c r="AG47"/>
      <c r="AH47"/>
      <c r="AI47"/>
      <c r="AJ47"/>
      <c r="AK47"/>
      <c r="AL47"/>
      <c r="AM47"/>
      <c r="AN47"/>
      <c r="AO47"/>
      <c r="AP47"/>
      <c r="AQ47"/>
    </row>
    <row r="48" spans="1:43" x14ac:dyDescent="0.2">
      <c r="B48" s="245"/>
      <c r="C48" s="246"/>
      <c r="D48" s="249" t="s">
        <v>10</v>
      </c>
      <c r="E48" s="250"/>
      <c r="F48" s="250"/>
      <c r="G48" s="250"/>
      <c r="H48" s="250"/>
      <c r="I48" s="250"/>
      <c r="J48" s="250"/>
      <c r="K48" s="186">
        <f>SUMIFS(設定!$I:$I,設定!$D:$D,"女",設定!$E:$E,"&gt;=50",設定!$E:$E,"&lt;60",設定!$F:$F,"有給役員")</f>
        <v>0</v>
      </c>
      <c r="L48" s="187"/>
      <c r="M48" s="187"/>
      <c r="N48" s="187"/>
      <c r="O48" s="188"/>
      <c r="P48" s="222">
        <f>SUMIFS(設定!$I:$I,設定!$D:$D,"女",設定!$E:$E,"&gt;=50",設定!$E:$E,"&lt;60",設定!$F:$F,"正社員７か月以上")+SUMIFS(設定!$I:$I,設定!$D:$D,"女",設定!$E:$E,"&gt;=50",設定!$E:$E,"&lt;60",設定!$F:$F,"正社員７か月未満")+SUMIFS(設定!$I:$I,設定!$D:$D,"女",設定!$E:$E,"&gt;=50",設定!$E:$E,"&lt;60",設定!$F:$F,"その他７か月以上")+SUMIFS(設定!$I:$I,設定!$D:$D,"女",設定!$E:$E,"&gt;=50",設定!$E:$E,"&lt;60",設定!$F:$F,"その他７か月未満")</f>
        <v>0</v>
      </c>
      <c r="Q48" s="187"/>
      <c r="R48" s="187"/>
      <c r="S48" s="187"/>
      <c r="T48" s="188"/>
      <c r="U48" s="222">
        <f>SUMIFS(設定!$I:$I,設定!$D:$D,"女",設定!$E:$E,"&gt;=50",設定!$E:$E,"&lt;60",設定!$F:$F,"正社員７か月以上")+SUMIFS(設定!$I:$I,設定!$D:$D,"女",設定!$E:$E,"&gt;=50",設定!$E:$E,"&lt;60",設定!$F:$F,"その他７か月以上")</f>
        <v>0</v>
      </c>
      <c r="V48" s="187"/>
      <c r="W48" s="187"/>
      <c r="X48" s="187"/>
      <c r="Y48" s="223"/>
      <c r="AG48"/>
      <c r="AH48"/>
      <c r="AI48"/>
      <c r="AJ48"/>
      <c r="AK48"/>
      <c r="AL48"/>
      <c r="AM48"/>
      <c r="AN48"/>
      <c r="AO48"/>
      <c r="AP48"/>
      <c r="AQ48"/>
    </row>
    <row r="49" spans="2:43" x14ac:dyDescent="0.2">
      <c r="B49" s="245"/>
      <c r="C49" s="246"/>
      <c r="D49" s="251" t="s">
        <v>11</v>
      </c>
      <c r="E49" s="252"/>
      <c r="F49" s="252"/>
      <c r="G49" s="252"/>
      <c r="H49" s="252"/>
      <c r="I49" s="252"/>
      <c r="J49" s="252"/>
      <c r="K49" s="186">
        <f>SUMIFS(設定!$I:$I,設定!$D:$D,"女",設定!$E:$E,"&gt;=60",設定!$E:$E,"&lt;65",設定!$F:$F,"有給役員")</f>
        <v>0</v>
      </c>
      <c r="L49" s="187"/>
      <c r="M49" s="187"/>
      <c r="N49" s="187"/>
      <c r="O49" s="188"/>
      <c r="P49" s="222">
        <f>SUMIFS(設定!$I:$I,設定!$D:$D,"女",設定!$E:$E,"&gt;=60",設定!$E:$E,"&lt;65",設定!$F:$F,"正社員７か月以上")+SUMIFS(設定!$I:$I,設定!$D:$D,"女",設定!$E:$E,"&gt;=60",設定!$E:$E,"&lt;65",設定!$F:$F,"正社員７か月未満")+SUMIFS(設定!$I:$I,設定!$D:$D,"女",設定!$E:$E,"&gt;=60",設定!$E:$E,"&lt;65",設定!$F:$F,"その他７か月以上")+SUMIFS(設定!$I:$I,設定!$D:$D,"女",設定!$E:$E,"&gt;=60",設定!$E:$E,"&lt;65",設定!$F:$F,"その他７か月未満")</f>
        <v>0</v>
      </c>
      <c r="Q49" s="187"/>
      <c r="R49" s="187"/>
      <c r="S49" s="187"/>
      <c r="T49" s="188"/>
      <c r="U49" s="222">
        <f>SUMIFS(設定!$I:$I,設定!$D:$D,"女",設定!$E:$E,"&gt;=60",設定!$E:$E,"&lt;65",設定!$F:$F,"正社員７か月以上")+SUMIFS(設定!$I:$I,設定!$D:$D,"女",設定!$E:$E,"&gt;=60",設定!$E:$E,"&lt;65",設定!$F:$F,"その他７か月以上")</f>
        <v>0</v>
      </c>
      <c r="V49" s="187"/>
      <c r="W49" s="187"/>
      <c r="X49" s="187"/>
      <c r="Y49" s="223"/>
      <c r="AG49"/>
      <c r="AH49"/>
      <c r="AI49"/>
      <c r="AJ49"/>
      <c r="AK49"/>
      <c r="AL49"/>
      <c r="AM49"/>
      <c r="AN49"/>
      <c r="AO49"/>
      <c r="AP49"/>
      <c r="AQ49"/>
    </row>
    <row r="50" spans="2:43" x14ac:dyDescent="0.2">
      <c r="B50" s="245"/>
      <c r="C50" s="246"/>
      <c r="D50" s="251" t="s">
        <v>12</v>
      </c>
      <c r="E50" s="252"/>
      <c r="F50" s="252"/>
      <c r="G50" s="252"/>
      <c r="H50" s="252"/>
      <c r="I50" s="252"/>
      <c r="J50" s="252"/>
      <c r="K50" s="186">
        <f>SUMIFS(設定!$I:$I,設定!$D:$D,"女",設定!$E:$E,"&gt;=65",設定!$E:$E,"&lt;70",設定!$F:$F,"有給役員")</f>
        <v>0</v>
      </c>
      <c r="L50" s="187"/>
      <c r="M50" s="187"/>
      <c r="N50" s="187"/>
      <c r="O50" s="188"/>
      <c r="P50" s="222">
        <f>SUMIFS(設定!$I:$I,設定!$D:$D,"女",設定!$E:$E,"&gt;=65",設定!$E:$E,"&lt;70",設定!$F:$F,"正社員７か月以上")+SUMIFS(設定!$I:$I,設定!$D:$D,"女",設定!$E:$E,"&gt;=65",設定!$E:$E,"&lt;70",設定!$F:$F,"正社員７か月未満")+SUMIFS(設定!$I:$I,設定!$D:$D,"女",設定!$E:$E,"&gt;=65",設定!$E:$E,"&lt;70",設定!$F:$F,"その他７か月以上")+SUMIFS(設定!$I:$I,設定!$D:$D,"女",設定!$E:$E,"&gt;=65",設定!$E:$E,"&lt;70",設定!$F:$F,"その他７か月未満")</f>
        <v>0</v>
      </c>
      <c r="Q50" s="187"/>
      <c r="R50" s="187"/>
      <c r="S50" s="187"/>
      <c r="T50" s="188"/>
      <c r="U50" s="222">
        <f>SUMIFS(設定!$I:$I,設定!$D:$D,"女",設定!$E:$E,"&gt;=65",設定!$E:$E,"&lt;70",設定!$F:$F,"正社員７か月以上")+SUMIFS(設定!$I:$I,設定!$D:$D,"女",設定!$E:$E,"&gt;=65",設定!$E:$E,"&lt;70",設定!$F:$F,"その他７か月以上")</f>
        <v>0</v>
      </c>
      <c r="V50" s="187"/>
      <c r="W50" s="187"/>
      <c r="X50" s="187"/>
      <c r="Y50" s="223"/>
      <c r="AG50"/>
      <c r="AH50"/>
      <c r="AI50"/>
      <c r="AJ50"/>
      <c r="AK50"/>
      <c r="AL50"/>
      <c r="AM50"/>
      <c r="AN50"/>
      <c r="AO50"/>
      <c r="AP50"/>
      <c r="AQ50"/>
    </row>
    <row r="51" spans="2:43" ht="13.8" thickBot="1" x14ac:dyDescent="0.25">
      <c r="B51" s="247"/>
      <c r="C51" s="248"/>
      <c r="D51" s="167" t="s">
        <v>47</v>
      </c>
      <c r="E51" s="168"/>
      <c r="F51" s="168"/>
      <c r="G51" s="168"/>
      <c r="H51" s="168"/>
      <c r="I51" s="168"/>
      <c r="J51" s="168"/>
      <c r="K51" s="178">
        <f>SUMIFS(設定!$I:$I,設定!$D:$D,"女",設定!$E:$E,"&gt;=70",設定!$E:$E,"&lt;999",設定!$F:$F,"有給役員")</f>
        <v>0</v>
      </c>
      <c r="L51" s="176"/>
      <c r="M51" s="176"/>
      <c r="N51" s="176"/>
      <c r="O51" s="179"/>
      <c r="P51" s="175">
        <f>SUMIFS(設定!$I:$I,設定!$D:$D,"女",設定!$E:$E,"&gt;=70",設定!$E:$E,"&lt;999",設定!$F:$F,"正社員７か月以上")+SUMIFS(設定!$I:$I,設定!$D:$D,"女",設定!$E:$E,"&gt;=70",設定!$E:$E,"&lt;999",設定!$F:$F,"正社員７か月未満")+SUMIFS(設定!$I:$I,設定!$D:$D,"女",設定!$E:$E,"&gt;=70",設定!$E:$E,"&lt;999",設定!$F:$F,"その他７か月以上")+SUMIFS(設定!$I:$I,設定!$D:$D,"女",設定!$E:$E,"&gt;=70",設定!$E:$E,"&lt;999",設定!$F:$F,"その他７か月未満")</f>
        <v>0</v>
      </c>
      <c r="Q51" s="176"/>
      <c r="R51" s="176"/>
      <c r="S51" s="176"/>
      <c r="T51" s="179"/>
      <c r="U51" s="175">
        <f>SUMIFS(設定!$I:$I,設定!$D:$D,"女",設定!$E:$E,"&gt;=70",設定!$E:$E,"&lt;999",設定!$F:$F,"正社員７か月以上")+SUMIFS(設定!$I:$I,設定!$D:$D,"女",設定!$E:$E,"&gt;=70",設定!$E:$E,"&lt;999",設定!$F:$F,"その他７か月以上")</f>
        <v>0</v>
      </c>
      <c r="V51" s="176"/>
      <c r="W51" s="176"/>
      <c r="X51" s="176"/>
      <c r="Y51" s="177"/>
      <c r="AG51"/>
      <c r="AH51"/>
      <c r="AI51"/>
      <c r="AJ51"/>
      <c r="AK51"/>
      <c r="AL51"/>
      <c r="AM51"/>
      <c r="AN51"/>
      <c r="AO51"/>
      <c r="AP51"/>
      <c r="AQ51"/>
    </row>
    <row r="52" spans="2:43" ht="13.8" thickTop="1" x14ac:dyDescent="0.2">
      <c r="U52" s="106"/>
      <c r="V52" s="106"/>
      <c r="W52" s="106"/>
      <c r="X52" s="106"/>
      <c r="Y52" s="106"/>
    </row>
  </sheetData>
  <mergeCells count="174">
    <mergeCell ref="B45:C51"/>
    <mergeCell ref="D45:J45"/>
    <mergeCell ref="K45:O45"/>
    <mergeCell ref="P45:T45"/>
    <mergeCell ref="U45:Y45"/>
    <mergeCell ref="D50:J50"/>
    <mergeCell ref="K50:O50"/>
    <mergeCell ref="P50:T50"/>
    <mergeCell ref="U50:Y50"/>
    <mergeCell ref="D46:J46"/>
    <mergeCell ref="K46:O46"/>
    <mergeCell ref="P46:T46"/>
    <mergeCell ref="U46:Y46"/>
    <mergeCell ref="D51:J51"/>
    <mergeCell ref="K51:O51"/>
    <mergeCell ref="P51:T51"/>
    <mergeCell ref="U51:Y51"/>
    <mergeCell ref="U48:Y48"/>
    <mergeCell ref="P49:T49"/>
    <mergeCell ref="U49:Y49"/>
    <mergeCell ref="D49:J49"/>
    <mergeCell ref="K49:O49"/>
    <mergeCell ref="D47:J47"/>
    <mergeCell ref="K47:O47"/>
    <mergeCell ref="P47:T47"/>
    <mergeCell ref="U47:Y47"/>
    <mergeCell ref="D48:J48"/>
    <mergeCell ref="K48:O48"/>
    <mergeCell ref="P48:T48"/>
    <mergeCell ref="D38:J38"/>
    <mergeCell ref="K38:O38"/>
    <mergeCell ref="P38:T38"/>
    <mergeCell ref="U38:Y38"/>
    <mergeCell ref="K44:O44"/>
    <mergeCell ref="P42:T42"/>
    <mergeCell ref="U42:Y42"/>
    <mergeCell ref="D43:J43"/>
    <mergeCell ref="K43:O43"/>
    <mergeCell ref="P44:T44"/>
    <mergeCell ref="U44:Y44"/>
    <mergeCell ref="P43:T43"/>
    <mergeCell ref="U43:Y43"/>
    <mergeCell ref="U36:Y37"/>
    <mergeCell ref="B35:J37"/>
    <mergeCell ref="K35:O37"/>
    <mergeCell ref="P35:T37"/>
    <mergeCell ref="B38:C44"/>
    <mergeCell ref="D39:J39"/>
    <mergeCell ref="K39:O39"/>
    <mergeCell ref="P39:T39"/>
    <mergeCell ref="U39:Y39"/>
    <mergeCell ref="D42:J42"/>
    <mergeCell ref="K42:O42"/>
    <mergeCell ref="P40:T40"/>
    <mergeCell ref="U40:Y40"/>
    <mergeCell ref="D41:J41"/>
    <mergeCell ref="K41:O41"/>
    <mergeCell ref="D40:J40"/>
    <mergeCell ref="K40:O40"/>
    <mergeCell ref="P41:T41"/>
    <mergeCell ref="U41:Y41"/>
    <mergeCell ref="D44:J44"/>
    <mergeCell ref="AH32:AL32"/>
    <mergeCell ref="AM32:AQ32"/>
    <mergeCell ref="AF33:AQ34"/>
    <mergeCell ref="B31:E32"/>
    <mergeCell ref="AM31:AQ31"/>
    <mergeCell ref="F32:M32"/>
    <mergeCell ref="N32:R32"/>
    <mergeCell ref="S32:W32"/>
    <mergeCell ref="X32:AB32"/>
    <mergeCell ref="AC32:AG32"/>
    <mergeCell ref="F31:M31"/>
    <mergeCell ref="N31:R31"/>
    <mergeCell ref="S31:W31"/>
    <mergeCell ref="X31:AB31"/>
    <mergeCell ref="AC31:AG31"/>
    <mergeCell ref="AH31:AL31"/>
    <mergeCell ref="N30:R30"/>
    <mergeCell ref="S30:W30"/>
    <mergeCell ref="X30:AB30"/>
    <mergeCell ref="AC30:AG30"/>
    <mergeCell ref="AH30:AL30"/>
    <mergeCell ref="AM30:AQ30"/>
    <mergeCell ref="B30:M30"/>
    <mergeCell ref="B26:M29"/>
    <mergeCell ref="N26:R29"/>
    <mergeCell ref="S27:W29"/>
    <mergeCell ref="AM27:AQ29"/>
    <mergeCell ref="X28:AB29"/>
    <mergeCell ref="AC28:AG29"/>
    <mergeCell ref="AH28:AL29"/>
    <mergeCell ref="AC23:AG23"/>
    <mergeCell ref="AH23:AL23"/>
    <mergeCell ref="AM23:AQ23"/>
    <mergeCell ref="F23:M23"/>
    <mergeCell ref="N23:R23"/>
    <mergeCell ref="S23:W23"/>
    <mergeCell ref="AM21:AQ21"/>
    <mergeCell ref="B22:E23"/>
    <mergeCell ref="F22:M22"/>
    <mergeCell ref="N22:R22"/>
    <mergeCell ref="S22:W22"/>
    <mergeCell ref="X22:AB22"/>
    <mergeCell ref="AC22:AG22"/>
    <mergeCell ref="AH22:AL22"/>
    <mergeCell ref="AM22:AQ22"/>
    <mergeCell ref="X23:AB23"/>
    <mergeCell ref="F21:M21"/>
    <mergeCell ref="N21:R21"/>
    <mergeCell ref="S21:W21"/>
    <mergeCell ref="X21:AB21"/>
    <mergeCell ref="AC21:AG21"/>
    <mergeCell ref="AH21:AL21"/>
    <mergeCell ref="B16:C21"/>
    <mergeCell ref="D16:E18"/>
    <mergeCell ref="AM18:AQ18"/>
    <mergeCell ref="D19:E21"/>
    <mergeCell ref="F19:M19"/>
    <mergeCell ref="N19:R19"/>
    <mergeCell ref="S19:W19"/>
    <mergeCell ref="X19:AB19"/>
    <mergeCell ref="AC19:AG19"/>
    <mergeCell ref="AM17:AQ17"/>
    <mergeCell ref="F18:M18"/>
    <mergeCell ref="N18:R18"/>
    <mergeCell ref="S18:W18"/>
    <mergeCell ref="X18:AB18"/>
    <mergeCell ref="AC18:AG18"/>
    <mergeCell ref="AH18:AL18"/>
    <mergeCell ref="AH19:AL19"/>
    <mergeCell ref="AM19:AQ19"/>
    <mergeCell ref="F20:M20"/>
    <mergeCell ref="N20:R20"/>
    <mergeCell ref="S20:W20"/>
    <mergeCell ref="X20:AB20"/>
    <mergeCell ref="AC20:AG20"/>
    <mergeCell ref="AH20:AL20"/>
    <mergeCell ref="AM20:AQ20"/>
    <mergeCell ref="AM16:AQ16"/>
    <mergeCell ref="F17:M17"/>
    <mergeCell ref="N17:R17"/>
    <mergeCell ref="S17:W17"/>
    <mergeCell ref="X17:AB17"/>
    <mergeCell ref="AC17:AG17"/>
    <mergeCell ref="AH17:AL17"/>
    <mergeCell ref="F16:M16"/>
    <mergeCell ref="N16:R16"/>
    <mergeCell ref="S16:W16"/>
    <mergeCell ref="X16:AB16"/>
    <mergeCell ref="AC16:AG16"/>
    <mergeCell ref="AH16:AL16"/>
    <mergeCell ref="AM11:AQ13"/>
    <mergeCell ref="X12:AB13"/>
    <mergeCell ref="AC12:AG13"/>
    <mergeCell ref="AH12:AL13"/>
    <mergeCell ref="B10:M13"/>
    <mergeCell ref="N10:R13"/>
    <mergeCell ref="S11:W13"/>
    <mergeCell ref="S15:W15"/>
    <mergeCell ref="X15:AB15"/>
    <mergeCell ref="AC15:AG15"/>
    <mergeCell ref="AH15:AL15"/>
    <mergeCell ref="AM15:AQ15"/>
    <mergeCell ref="S14:W14"/>
    <mergeCell ref="X14:AB14"/>
    <mergeCell ref="AC14:AG14"/>
    <mergeCell ref="AH14:AL14"/>
    <mergeCell ref="AM14:AQ14"/>
    <mergeCell ref="F15:M15"/>
    <mergeCell ref="N15:R15"/>
    <mergeCell ref="B14:E15"/>
    <mergeCell ref="F14:M14"/>
    <mergeCell ref="N14:R14"/>
  </mergeCells>
  <phoneticPr fontId="2"/>
  <pageMargins left="0.19685039370078741" right="0.19685039370078741" top="0.31496062992125984" bottom="0.19685039370078741" header="0" footer="0.2755905511811023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DBB1-D785-4231-AA9F-8B2124A64D50}">
  <dimension ref="A1:A48"/>
  <sheetViews>
    <sheetView showGridLines="0" workbookViewId="0">
      <selection activeCell="F10" sqref="F10"/>
    </sheetView>
  </sheetViews>
  <sheetFormatPr defaultRowHeight="13.2" x14ac:dyDescent="0.2"/>
  <cols>
    <col min="1" max="1" width="30.6640625" style="87" customWidth="1"/>
  </cols>
  <sheetData>
    <row r="1" spans="1:1" x14ac:dyDescent="0.2">
      <c r="A1" s="83" t="s">
        <v>74</v>
      </c>
    </row>
    <row r="2" spans="1:1" x14ac:dyDescent="0.2">
      <c r="A2" s="84" t="s">
        <v>7</v>
      </c>
    </row>
    <row r="3" spans="1:1" x14ac:dyDescent="0.2">
      <c r="A3" s="85" t="s">
        <v>75</v>
      </c>
    </row>
    <row r="4" spans="1:1" x14ac:dyDescent="0.2">
      <c r="A4" s="85" t="s">
        <v>5</v>
      </c>
    </row>
    <row r="5" spans="1:1" x14ac:dyDescent="0.2">
      <c r="A5" s="85" t="s">
        <v>73</v>
      </c>
    </row>
    <row r="6" spans="1:1" x14ac:dyDescent="0.2">
      <c r="A6" s="86" t="s">
        <v>6</v>
      </c>
    </row>
    <row r="15" spans="1:1" x14ac:dyDescent="0.2">
      <c r="A15" s="28"/>
    </row>
    <row r="16" spans="1:1" x14ac:dyDescent="0.2">
      <c r="A16" s="28"/>
    </row>
    <row r="17" spans="1:1" x14ac:dyDescent="0.2">
      <c r="A17" s="28"/>
    </row>
    <row r="18" spans="1:1" x14ac:dyDescent="0.2">
      <c r="A18" s="28"/>
    </row>
    <row r="19" spans="1:1" x14ac:dyDescent="0.2">
      <c r="A19" s="28"/>
    </row>
    <row r="20" spans="1:1" x14ac:dyDescent="0.2">
      <c r="A20" s="28"/>
    </row>
    <row r="21" spans="1:1" x14ac:dyDescent="0.2">
      <c r="A21" s="28"/>
    </row>
    <row r="22" spans="1:1" x14ac:dyDescent="0.2">
      <c r="A22" s="28"/>
    </row>
    <row r="23" spans="1:1" x14ac:dyDescent="0.2">
      <c r="A23" s="28"/>
    </row>
    <row r="32" spans="1:1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</sheetData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設定</vt:lpstr>
      <vt:lpstr>月別入力</vt:lpstr>
      <vt:lpstr>12_01_労働の概況</vt:lpstr>
      <vt:lpstr>12_02_労働の概況</vt:lpstr>
      <vt:lpstr>リスト </vt:lpstr>
      <vt:lpstr>'12_01_労働の概況'!Print_Area</vt:lpstr>
      <vt:lpstr>'12_02_労働の概況'!Print_Area</vt:lpstr>
      <vt:lpstr>月別入力!Print_Area</vt:lpstr>
      <vt:lpstr>月別入力!Print_Titles</vt:lpstr>
      <vt:lpstr>設定!Print_Titles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2023-10-04T03:24:56Z</dcterms:modified>
</cp:coreProperties>
</file>