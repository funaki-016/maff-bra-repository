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13_ncr:1_{9F0B9B74-D3B0-4923-811C-E9D2F9EE4A5D}" xr6:coauthVersionLast="47" xr6:coauthVersionMax="47" xr10:uidLastSave="{00000000-0000-0000-0000-000000000000}"/>
  <bookViews>
    <workbookView xWindow="-120" yWindow="-120" windowWidth="25440" windowHeight="15390" xr2:uid="{8E809D66-6B01-4913-A411-914C3E7616B5}"/>
  </bookViews>
  <sheets>
    <sheet name="子牛" sheetId="1" r:id="rId1"/>
    <sheet name="リスト" sheetId="2" state="hidden" r:id="rId2"/>
  </sheets>
  <definedNames>
    <definedName name="_xlnm.Print_Area" localSheetId="0">子牛!$A$1:$S$48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1" l="1"/>
  <c r="M48" i="1" l="1"/>
  <c r="M47" i="1"/>
  <c r="M45" i="1"/>
  <c r="M44" i="1"/>
  <c r="M43" i="1"/>
  <c r="M42" i="1"/>
  <c r="M41" i="1"/>
  <c r="M39" i="1"/>
  <c r="M38" i="1"/>
  <c r="M37" i="1"/>
  <c r="M36" i="1"/>
  <c r="M35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L48" i="1"/>
  <c r="L47" i="1"/>
  <c r="L45" i="1"/>
  <c r="L44" i="1"/>
  <c r="L43" i="1"/>
  <c r="L42" i="1"/>
  <c r="L41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R2" i="1"/>
  <c r="B74" i="2"/>
  <c r="J4" i="1" l="1"/>
  <c r="H4" i="1"/>
</calcChain>
</file>

<file path=xl/sharedStrings.xml><?xml version="1.0" encoding="utf-8"?>
<sst xmlns="http://schemas.openxmlformats.org/spreadsheetml/2006/main" count="173" uniqueCount="136">
  <si>
    <t>生産費区分</t>
    <rPh sb="0" eb="3">
      <t>セイサンヒ</t>
    </rPh>
    <rPh sb="3" eb="5">
      <t>クブン</t>
    </rPh>
    <phoneticPr fontId="3"/>
  </si>
  <si>
    <t>地方農政局等</t>
    <rPh sb="0" eb="2">
      <t>チホウ</t>
    </rPh>
    <rPh sb="2" eb="5">
      <t>ノウセイキョク</t>
    </rPh>
    <rPh sb="5" eb="6">
      <t>トウ</t>
    </rPh>
    <phoneticPr fontId="3"/>
  </si>
  <si>
    <t>　</t>
    <phoneticPr fontId="3"/>
  </si>
  <si>
    <t>子牛</t>
    <rPh sb="0" eb="2">
      <t>コウシ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</si>
  <si>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</si>
  <si>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</si>
  <si>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</si>
  <si>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</si>
  <si>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</si>
  <si>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</si>
  <si>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</si>
  <si>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集計経営体数</t>
    <rPh sb="0" eb="2">
      <t>シュウケイ</t>
    </rPh>
    <rPh sb="2" eb="6">
      <t>ケイエイタイスウ</t>
    </rPh>
    <phoneticPr fontId="3"/>
  </si>
  <si>
    <t>経営体</t>
    <rPh sb="0" eb="3">
      <t>ケイエイタイ</t>
    </rPh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</si>
  <si>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</si>
  <si>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</si>
  <si>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種付料</t>
    <rPh sb="0" eb="2">
      <t>タネツ</t>
    </rPh>
    <rPh sb="2" eb="3">
      <t>リョウ</t>
    </rPh>
    <phoneticPr fontId="3"/>
  </si>
  <si>
    <t>〃</t>
  </si>
  <si>
    <t>飼料費</t>
    <rPh sb="0" eb="2">
      <t>シリョウ</t>
    </rPh>
    <rPh sb="2" eb="3">
      <t>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</si>
  <si>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</si>
  <si>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</si>
  <si>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2">
      <t>シキリョウ</t>
    </rPh>
    <rPh sb="2" eb="3">
      <t>ヒ</t>
    </rPh>
    <phoneticPr fontId="3"/>
  </si>
  <si>
    <t>光熱動力費</t>
    <rPh sb="0" eb="2">
      <t>コウネツ</t>
    </rPh>
    <rPh sb="2" eb="5">
      <t>ドウリョクヒ</t>
    </rPh>
    <phoneticPr fontId="3"/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</si>
  <si>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</si>
  <si>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</si>
  <si>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</si>
  <si>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</si>
  <si>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繁殖雌牛償却費</t>
    <rPh sb="0" eb="2">
      <t>ハンショク</t>
    </rPh>
    <rPh sb="3" eb="4">
      <t>ニュウギュウ</t>
    </rPh>
    <rPh sb="4" eb="7">
      <t>ショウキャクヒ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</si>
  <si>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</si>
  <si>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</si>
  <si>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</si>
  <si>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5">
      <t>カンリヒ</t>
    </rPh>
    <phoneticPr fontId="3"/>
  </si>
  <si>
    <t>労働費</t>
    <rPh sb="0" eb="3">
      <t>ロウドウヒ</t>
    </rPh>
    <phoneticPr fontId="3"/>
  </si>
  <si>
    <t>うち家族労働費</t>
    <rPh sb="2" eb="4">
      <t>カゾク</t>
    </rPh>
    <rPh sb="4" eb="7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</si>
  <si>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</si>
  <si>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</si>
  <si>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</si>
  <si>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シハライ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</si>
  <si>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</si>
  <si>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</si>
  <si>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</si>
  <si>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3">
      <t>ジサクチ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</si>
  <si>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</si>
  <si>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</si>
  <si>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</si>
  <si>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うち家族労働時間</t>
    <rPh sb="2" eb="4">
      <t>カゾク</t>
    </rPh>
    <rPh sb="4" eb="6">
      <t>ロウドウ</t>
    </rPh>
    <rPh sb="6" eb="8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</si>
  <si>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</si>
  <si>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</si>
  <si>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子牛　概要</t>
    <rPh sb="0" eb="2">
      <t>コウシ</t>
    </rPh>
    <rPh sb="3" eb="5">
      <t>ガイヨウ</t>
    </rPh>
    <phoneticPr fontId="3"/>
  </si>
  <si>
    <t>ほ育・育成期間</t>
    <rPh sb="1" eb="2">
      <t>イク</t>
    </rPh>
    <rPh sb="3" eb="5">
      <t>イクセイ</t>
    </rPh>
    <rPh sb="5" eb="7">
      <t>キカン</t>
    </rPh>
    <phoneticPr fontId="3"/>
  </si>
  <si>
    <t>月</t>
    <rPh sb="0" eb="1">
      <t>ツキ</t>
    </rPh>
    <phoneticPr fontId="3"/>
  </si>
  <si>
    <t>販売時生体重</t>
    <rPh sb="0" eb="2">
      <t>ハンバイ</t>
    </rPh>
    <rPh sb="2" eb="3">
      <t>ジ</t>
    </rPh>
    <rPh sb="3" eb="5">
      <t>セイタイ</t>
    </rPh>
    <rPh sb="5" eb="6">
      <t>ジュウ</t>
    </rPh>
    <phoneticPr fontId="3"/>
  </si>
  <si>
    <t>kg</t>
    <phoneticPr fontId="3"/>
  </si>
  <si>
    <t>販売価格</t>
    <rPh sb="0" eb="2">
      <t>ハンバイ</t>
    </rPh>
    <rPh sb="2" eb="4">
      <t>カカク</t>
    </rPh>
    <phoneticPr fontId="3"/>
  </si>
  <si>
    <t>（繁殖雌牛１頭当たり）</t>
    <rPh sb="1" eb="3">
      <t>ハンショク</t>
    </rPh>
    <rPh sb="4" eb="5">
      <t>ウシ</t>
    </rPh>
    <rPh sb="6" eb="7">
      <t>トウ</t>
    </rPh>
    <rPh sb="7" eb="8">
      <t>ア</t>
    </rPh>
    <phoneticPr fontId="3"/>
  </si>
  <si>
    <t>繁殖牛概要</t>
    <rPh sb="0" eb="2">
      <t>ハンショク</t>
    </rPh>
    <rPh sb="2" eb="3">
      <t>ギュウ</t>
    </rPh>
    <rPh sb="3" eb="5">
      <t>ガイヨウ</t>
    </rPh>
    <phoneticPr fontId="3"/>
  </si>
  <si>
    <t>月齢</t>
    <rPh sb="0" eb="2">
      <t>ゲツレイ</t>
    </rPh>
    <phoneticPr fontId="3"/>
  </si>
  <si>
    <t>評価額</t>
    <rPh sb="0" eb="3">
      <t>ヒョウカガク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</si>
  <si>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</si>
  <si>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</si>
  <si>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3"/>
  </si>
  <si>
    <t>（１経営体当たり）</t>
    <rPh sb="2" eb="5">
      <t>ケイエイタイ</t>
    </rPh>
    <rPh sb="5" eb="6">
      <t>ア</t>
    </rPh>
    <phoneticPr fontId="3"/>
  </si>
  <si>
    <t>飼養月平均繁殖雌牛頭数</t>
    <rPh sb="0" eb="2">
      <t>シヨウ</t>
    </rPh>
    <rPh sb="2" eb="3">
      <t>ツキ</t>
    </rPh>
    <rPh sb="3" eb="5">
      <t>ヘイキン</t>
    </rPh>
    <rPh sb="5" eb="7">
      <t>ハンショク</t>
    </rPh>
    <rPh sb="8" eb="9">
      <t>ウシ</t>
    </rPh>
    <rPh sb="9" eb="11">
      <t>トウスウ</t>
    </rPh>
    <phoneticPr fontId="3"/>
  </si>
  <si>
    <t>頭</t>
    <rPh sb="0" eb="1">
      <t>トウ</t>
    </rPh>
    <phoneticPr fontId="3"/>
  </si>
  <si>
    <t>子牛販売頭数</t>
    <rPh sb="0" eb="2">
      <t>コウシ</t>
    </rPh>
    <rPh sb="2" eb="4">
      <t>ハンバイ</t>
    </rPh>
    <rPh sb="4" eb="6">
      <t>トウスウ</t>
    </rPh>
    <phoneticPr fontId="3"/>
  </si>
  <si>
    <t>年　子牛生産費統計　集計結果検討表（報告用）</t>
    <rPh sb="2" eb="4">
      <t>コウシ</t>
    </rPh>
    <phoneticPr fontId="3"/>
  </si>
  <si>
    <t>都道府県等</t>
    <rPh sb="4" eb="5">
      <t>ナド</t>
    </rPh>
    <phoneticPr fontId="18"/>
  </si>
  <si>
    <t>コード</t>
    <phoneticPr fontId="19"/>
  </si>
  <si>
    <t>全国</t>
    <rPh sb="0" eb="2">
      <t>ゼンコク</t>
    </rPh>
    <phoneticPr fontId="19"/>
  </si>
  <si>
    <t>都府県平均</t>
    <rPh sb="0" eb="3">
      <t>トフケン</t>
    </rPh>
    <rPh sb="3" eb="5">
      <t>ヘイキン</t>
    </rPh>
    <phoneticPr fontId="19"/>
  </si>
  <si>
    <t>北海道</t>
    <rPh sb="0" eb="3">
      <t>ホッカイドウ</t>
    </rPh>
    <phoneticPr fontId="19"/>
  </si>
  <si>
    <t>東北</t>
    <rPh sb="0" eb="2">
      <t>トウホク</t>
    </rPh>
    <phoneticPr fontId="19"/>
  </si>
  <si>
    <t>北陸</t>
    <rPh sb="0" eb="2">
      <t>ホクリク</t>
    </rPh>
    <phoneticPr fontId="19"/>
  </si>
  <si>
    <t>関東・東山</t>
    <rPh sb="0" eb="2">
      <t>カントウ</t>
    </rPh>
    <rPh sb="3" eb="5">
      <t>ヒガシヤマ</t>
    </rPh>
    <phoneticPr fontId="19"/>
  </si>
  <si>
    <t>東海</t>
    <rPh sb="0" eb="2">
      <t>トウカイ</t>
    </rPh>
    <phoneticPr fontId="19"/>
  </si>
  <si>
    <t>近畿</t>
    <rPh sb="0" eb="2">
      <t>キンキ</t>
    </rPh>
    <phoneticPr fontId="19"/>
  </si>
  <si>
    <t>中国</t>
    <rPh sb="0" eb="2">
      <t>チュウゴク</t>
    </rPh>
    <phoneticPr fontId="19"/>
  </si>
  <si>
    <t>四国</t>
    <rPh sb="0" eb="2">
      <t>シコク</t>
    </rPh>
    <phoneticPr fontId="19"/>
  </si>
  <si>
    <t>九州</t>
    <rPh sb="0" eb="2">
      <t>キュウシュウ</t>
    </rPh>
    <phoneticPr fontId="19"/>
  </si>
  <si>
    <t>沖縄</t>
    <rPh sb="0" eb="2">
      <t>オキナワ</t>
    </rPh>
    <phoneticPr fontId="19"/>
  </si>
  <si>
    <t>北関東</t>
    <rPh sb="0" eb="1">
      <t>キタ</t>
    </rPh>
    <rPh sb="1" eb="3">
      <t>カントウ</t>
    </rPh>
    <phoneticPr fontId="19"/>
  </si>
  <si>
    <t>南関東</t>
    <rPh sb="0" eb="1">
      <t>ミナミ</t>
    </rPh>
    <rPh sb="1" eb="3">
      <t>カントウ</t>
    </rPh>
    <phoneticPr fontId="19"/>
  </si>
  <si>
    <t>東山</t>
    <rPh sb="0" eb="2">
      <t>ヒガシヤマ</t>
    </rPh>
    <phoneticPr fontId="19"/>
  </si>
  <si>
    <t>北東北</t>
    <rPh sb="0" eb="1">
      <t>キタ</t>
    </rPh>
    <rPh sb="1" eb="3">
      <t>トウホク</t>
    </rPh>
    <phoneticPr fontId="19"/>
  </si>
  <si>
    <t>南東北</t>
    <rPh sb="0" eb="1">
      <t>ミナミ</t>
    </rPh>
    <rPh sb="1" eb="3">
      <t>トウホク</t>
    </rPh>
    <phoneticPr fontId="19"/>
  </si>
  <si>
    <t>山陰</t>
    <rPh sb="0" eb="2">
      <t>サンイン</t>
    </rPh>
    <phoneticPr fontId="19"/>
  </si>
  <si>
    <t>山陽</t>
    <rPh sb="0" eb="2">
      <t>サンヨウ</t>
    </rPh>
    <phoneticPr fontId="19"/>
  </si>
  <si>
    <t>北九州</t>
    <rPh sb="0" eb="3">
      <t>キタキュウシュウ</t>
    </rPh>
    <phoneticPr fontId="19"/>
  </si>
  <si>
    <t>南九州</t>
    <rPh sb="0" eb="1">
      <t>ミナミ</t>
    </rPh>
    <rPh sb="1" eb="3">
      <t>キュウシュウ</t>
    </rPh>
    <phoneticPr fontId="19"/>
  </si>
  <si>
    <t>関東農政局</t>
    <rPh sb="0" eb="2">
      <t>カントウ</t>
    </rPh>
    <rPh sb="2" eb="5">
      <t>ノウセイキョク</t>
    </rPh>
    <phoneticPr fontId="19"/>
  </si>
  <si>
    <t>東海農政局</t>
    <rPh sb="0" eb="2">
      <t>トウカイ</t>
    </rPh>
    <rPh sb="2" eb="5">
      <t>ノウセイキョク</t>
    </rPh>
    <phoneticPr fontId="19"/>
  </si>
  <si>
    <t>中国四国局</t>
    <rPh sb="0" eb="2">
      <t>チュウゴク</t>
    </rPh>
    <rPh sb="2" eb="4">
      <t>シコク</t>
    </rPh>
    <rPh sb="4" eb="5">
      <t>キョク</t>
    </rPh>
    <phoneticPr fontId="19"/>
  </si>
  <si>
    <t>青森</t>
    <rPh sb="0" eb="2">
      <t>アオモリ</t>
    </rPh>
    <phoneticPr fontId="19"/>
  </si>
  <si>
    <t>岩手</t>
    <rPh sb="0" eb="2">
      <t>イワテ</t>
    </rPh>
    <phoneticPr fontId="19"/>
  </si>
  <si>
    <t>宮城</t>
    <rPh sb="0" eb="2">
      <t>ミヤギ</t>
    </rPh>
    <phoneticPr fontId="19"/>
  </si>
  <si>
    <t>秋田</t>
    <rPh sb="0" eb="2">
      <t>アキタ</t>
    </rPh>
    <phoneticPr fontId="19"/>
  </si>
  <si>
    <t>山形</t>
    <rPh sb="0" eb="2">
      <t>ヤマガタ</t>
    </rPh>
    <phoneticPr fontId="19"/>
  </si>
  <si>
    <t>福島</t>
    <rPh sb="0" eb="2">
      <t>フクシマ</t>
    </rPh>
    <phoneticPr fontId="19"/>
  </si>
  <si>
    <t>茨城</t>
    <rPh sb="0" eb="2">
      <t>イバラキ</t>
    </rPh>
    <phoneticPr fontId="19"/>
  </si>
  <si>
    <t>栃木</t>
    <rPh sb="0" eb="2">
      <t>トチギ</t>
    </rPh>
    <phoneticPr fontId="19"/>
  </si>
  <si>
    <t>群馬</t>
    <rPh sb="0" eb="2">
      <t>グンマ</t>
    </rPh>
    <phoneticPr fontId="19"/>
  </si>
  <si>
    <t>埼玉</t>
    <rPh sb="0" eb="2">
      <t>サイタマ</t>
    </rPh>
    <phoneticPr fontId="19"/>
  </si>
  <si>
    <t>千葉</t>
    <rPh sb="0" eb="2">
      <t>チバ</t>
    </rPh>
    <phoneticPr fontId="19"/>
  </si>
  <si>
    <t>東京</t>
    <rPh sb="0" eb="2">
      <t>トウキョウ</t>
    </rPh>
    <phoneticPr fontId="19"/>
  </si>
  <si>
    <t>神奈川</t>
    <rPh sb="0" eb="3">
      <t>カナガワ</t>
    </rPh>
    <phoneticPr fontId="19"/>
  </si>
  <si>
    <t>新潟</t>
    <rPh sb="0" eb="2">
      <t>ニイガタ</t>
    </rPh>
    <phoneticPr fontId="19"/>
  </si>
  <si>
    <t>富山</t>
    <rPh sb="0" eb="2">
      <t>トヤマ</t>
    </rPh>
    <phoneticPr fontId="19"/>
  </si>
  <si>
    <t>石川</t>
    <rPh sb="0" eb="2">
      <t>イシカワ</t>
    </rPh>
    <phoneticPr fontId="19"/>
  </si>
  <si>
    <t>福井</t>
    <rPh sb="0" eb="2">
      <t>フクイ</t>
    </rPh>
    <phoneticPr fontId="19"/>
  </si>
  <si>
    <t>山梨</t>
    <rPh sb="0" eb="2">
      <t>ヤマナシ</t>
    </rPh>
    <phoneticPr fontId="19"/>
  </si>
  <si>
    <t>長野</t>
    <rPh sb="0" eb="2">
      <t>ナガノ</t>
    </rPh>
    <phoneticPr fontId="19"/>
  </si>
  <si>
    <t>岐阜</t>
    <rPh sb="0" eb="2">
      <t>ギフ</t>
    </rPh>
    <phoneticPr fontId="19"/>
  </si>
  <si>
    <t>静岡</t>
    <rPh sb="0" eb="2">
      <t>シズオカ</t>
    </rPh>
    <phoneticPr fontId="19"/>
  </si>
  <si>
    <t>愛知</t>
    <rPh sb="0" eb="2">
      <t>アイチ</t>
    </rPh>
    <phoneticPr fontId="19"/>
  </si>
  <si>
    <t>三重</t>
    <rPh sb="0" eb="2">
      <t>ミエ</t>
    </rPh>
    <phoneticPr fontId="19"/>
  </si>
  <si>
    <t>滋賀</t>
    <rPh sb="0" eb="2">
      <t>シガ</t>
    </rPh>
    <phoneticPr fontId="19"/>
  </si>
  <si>
    <t>京都</t>
    <rPh sb="0" eb="2">
      <t>キョウト</t>
    </rPh>
    <phoneticPr fontId="19"/>
  </si>
  <si>
    <t>大阪</t>
    <rPh sb="0" eb="2">
      <t>オオサカ</t>
    </rPh>
    <phoneticPr fontId="19"/>
  </si>
  <si>
    <t>兵庫</t>
    <rPh sb="0" eb="2">
      <t>ヒョウゴ</t>
    </rPh>
    <phoneticPr fontId="19"/>
  </si>
  <si>
    <t>奈良</t>
    <rPh sb="0" eb="2">
      <t>ナラ</t>
    </rPh>
    <phoneticPr fontId="19"/>
  </si>
  <si>
    <t>和歌山</t>
    <rPh sb="0" eb="3">
      <t>ワカヤマ</t>
    </rPh>
    <phoneticPr fontId="19"/>
  </si>
  <si>
    <t>鳥取</t>
    <rPh sb="0" eb="2">
      <t>トットリ</t>
    </rPh>
    <phoneticPr fontId="19"/>
  </si>
  <si>
    <t>島根</t>
    <rPh sb="0" eb="2">
      <t>シマネ</t>
    </rPh>
    <phoneticPr fontId="19"/>
  </si>
  <si>
    <t>岡山</t>
    <rPh sb="0" eb="2">
      <t>オカヤマ</t>
    </rPh>
    <phoneticPr fontId="19"/>
  </si>
  <si>
    <t>広島</t>
    <rPh sb="0" eb="2">
      <t>ヒロシマ</t>
    </rPh>
    <phoneticPr fontId="19"/>
  </si>
  <si>
    <t>山口</t>
    <rPh sb="0" eb="2">
      <t>ヤマグチ</t>
    </rPh>
    <phoneticPr fontId="19"/>
  </si>
  <si>
    <t>徳島</t>
    <rPh sb="0" eb="2">
      <t>トクシマ</t>
    </rPh>
    <phoneticPr fontId="19"/>
  </si>
  <si>
    <t>香川</t>
    <rPh sb="0" eb="2">
      <t>カガワ</t>
    </rPh>
    <phoneticPr fontId="19"/>
  </si>
  <si>
    <t>愛媛</t>
    <rPh sb="0" eb="2">
      <t>エヒメ</t>
    </rPh>
    <phoneticPr fontId="19"/>
  </si>
  <si>
    <t>高知</t>
    <rPh sb="0" eb="2">
      <t>コウチ</t>
    </rPh>
    <phoneticPr fontId="19"/>
  </si>
  <si>
    <t>福岡</t>
    <rPh sb="0" eb="2">
      <t>フクオカ</t>
    </rPh>
    <phoneticPr fontId="19"/>
  </si>
  <si>
    <t>佐賀</t>
    <rPh sb="0" eb="2">
      <t>サガ</t>
    </rPh>
    <phoneticPr fontId="19"/>
  </si>
  <si>
    <t>長崎</t>
    <rPh sb="0" eb="2">
      <t>ナガサキ</t>
    </rPh>
    <phoneticPr fontId="19"/>
  </si>
  <si>
    <t>熊本</t>
    <rPh sb="0" eb="2">
      <t>クマモト</t>
    </rPh>
    <phoneticPr fontId="19"/>
  </si>
  <si>
    <t>大分</t>
    <rPh sb="0" eb="2">
      <t>オオイタ</t>
    </rPh>
    <phoneticPr fontId="19"/>
  </si>
  <si>
    <t>宮崎</t>
    <rPh sb="0" eb="2">
      <t>ミヤザキ</t>
    </rPh>
    <phoneticPr fontId="19"/>
  </si>
  <si>
    <t>鹿児島</t>
    <rPh sb="0" eb="3">
      <t>カゴシマ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</si>
</sst>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"/>
    <numFmt numFmtId="177" formatCode="###\ ###\ ##0"/>
    <numFmt numFmtId="178" formatCode="#0&quot;年&quot;"/>
    <numFmt numFmtId="179" formatCode="#,##0;\-#,##0;0"/>
    <numFmt numFmtId="180" formatCode="#,##0.0;\-#,##0.0;0.0"/>
  </numFmts>
  <fonts count="23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8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ゴシック"/>
      <family val="3"/>
      <charset val="128"/>
    </font>
    <font>
      <sz val="5"/>
      <name val="ＭＳ 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 style="hair">
        <color indexed="64"/>
      </diagonal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 diagonalDown="1">
      <left style="hair">
        <color indexed="64"/>
      </left>
      <right style="thin">
        <color indexed="64"/>
      </right>
      <top/>
      <bottom/>
      <diagonal style="hair">
        <color indexed="64"/>
      </diagonal>
    </border>
    <border>
      <left style="thin">
        <color indexed="64"/>
      </left>
      <right/>
      <top/>
      <bottom/>
      <diagonal/>
    </border>
    <border diagonalDown="1">
      <left style="hair">
        <color indexed="64"/>
      </left>
      <right style="thin">
        <color indexed="64"/>
      </right>
      <top/>
      <bottom style="double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 style="hair">
        <color indexed="64"/>
      </diagonal>
    </border>
  </borders>
  <cellStyleXfs count="7">
    <xf numFmtId="0" fontId="0" fillId="0" borderId="0"/>
    <xf numFmtId="0" fontId="1" fillId="0" borderId="0">
      <alignment vertical="center"/>
    </xf>
    <xf numFmtId="0" fontId="15" fillId="0" borderId="0"/>
    <xf numFmtId="0" fontId="17" fillId="0" borderId="0"/>
    <xf numFmtId="0" fontId="20" fillId="0" borderId="0"/>
    <xf numFmtId="0" fontId="15" fillId="0" borderId="0"/>
    <xf numFmtId="0" fontId="21" fillId="0" borderId="0"/>
  </cellStyleXfs>
  <cellXfs count="193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horizontal="left" vertical="center"/>
    </xf>
    <xf numFmtId="0" fontId="6" fillId="2" borderId="4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2" fillId="0" borderId="0" xfId="0" applyFont="1"/>
    <xf numFmtId="177" fontId="6" fillId="2" borderId="12" xfId="0" applyNumberFormat="1" applyFont="1" applyFill="1" applyBorder="1" applyAlignment="1">
      <alignment horizontal="center" vertical="center" shrinkToFit="1"/>
    </xf>
    <xf numFmtId="177" fontId="6" fillId="2" borderId="14" xfId="0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0" fillId="2" borderId="26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distributed" vertical="center" wrapText="1"/>
    </xf>
    <xf numFmtId="0" fontId="6" fillId="2" borderId="31" xfId="0" applyFont="1" applyFill="1" applyBorder="1" applyAlignment="1">
      <alignment wrapText="1"/>
    </xf>
    <xf numFmtId="0" fontId="6" fillId="0" borderId="33" xfId="0" applyFont="1" applyBorder="1" applyAlignment="1">
      <alignment vertical="center"/>
    </xf>
    <xf numFmtId="0" fontId="6" fillId="0" borderId="35" xfId="0" applyFont="1" applyBorder="1" applyAlignment="1">
      <alignment vertical="center" shrinkToFit="1"/>
    </xf>
    <xf numFmtId="0" fontId="9" fillId="2" borderId="31" xfId="0" applyFont="1" applyFill="1" applyBorder="1" applyAlignment="1">
      <alignment wrapText="1"/>
    </xf>
    <xf numFmtId="0" fontId="13" fillId="0" borderId="0" xfId="0" applyFont="1" applyAlignment="1">
      <alignment horizontal="center" wrapText="1"/>
    </xf>
    <xf numFmtId="0" fontId="9" fillId="2" borderId="37" xfId="0" applyFont="1" applyFill="1" applyBorder="1" applyAlignment="1">
      <alignment wrapText="1"/>
    </xf>
    <xf numFmtId="0" fontId="10" fillId="2" borderId="40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distributed"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distributed" vertical="distributed" textRotation="255"/>
    </xf>
    <xf numFmtId="0" fontId="10" fillId="2" borderId="26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distributed" vertical="distributed" textRotation="255"/>
    </xf>
    <xf numFmtId="0" fontId="10" fillId="2" borderId="55" xfId="0" applyFont="1" applyFill="1" applyBorder="1" applyAlignment="1">
      <alignment horizontal="center" vertical="center" wrapText="1"/>
    </xf>
    <xf numFmtId="0" fontId="10" fillId="2" borderId="7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2" borderId="75" xfId="0" applyFont="1" applyFill="1" applyBorder="1" applyAlignment="1">
      <alignment horizontal="distributed" wrapText="1"/>
    </xf>
    <xf numFmtId="0" fontId="10" fillId="2" borderId="76" xfId="0" applyFont="1" applyFill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8" fillId="3" borderId="0" xfId="3" applyFont="1" applyFill="1" applyAlignment="1">
      <alignment horizontal="center" vertical="center"/>
    </xf>
    <xf numFmtId="0" fontId="17" fillId="0" borderId="0" xfId="3"/>
    <xf numFmtId="0" fontId="8" fillId="0" borderId="0" xfId="4" applyFont="1"/>
    <xf numFmtId="0" fontId="8" fillId="3" borderId="0" xfId="4" applyFont="1" applyFill="1" applyAlignment="1">
      <alignment horizontal="center" vertical="center"/>
    </xf>
    <xf numFmtId="0" fontId="8" fillId="3" borderId="0" xfId="4" applyFont="1" applyFill="1"/>
    <xf numFmtId="176" fontId="22" fillId="0" borderId="95" xfId="6" applyNumberFormat="1" applyFont="1" applyBorder="1" applyAlignment="1">
      <alignment horizontal="center" vertical="center" shrinkToFit="1"/>
    </xf>
    <xf numFmtId="176" fontId="22" fillId="0" borderId="96" xfId="6" applyNumberFormat="1" applyFont="1" applyBorder="1" applyAlignment="1">
      <alignment horizontal="center" vertical="center" shrinkToFit="1"/>
    </xf>
    <xf numFmtId="0" fontId="9" fillId="0" borderId="97" xfId="5" applyFont="1" applyBorder="1" applyAlignment="1">
      <alignment horizontal="center" vertical="center" wrapText="1"/>
    </xf>
    <xf numFmtId="176" fontId="6" fillId="0" borderId="90" xfId="5" applyNumberFormat="1" applyFont="1" applyBorder="1" applyAlignment="1">
      <alignment horizontal="center" vertical="center" wrapText="1"/>
    </xf>
    <xf numFmtId="179" fontId="6" fillId="0" borderId="18" xfId="0" applyNumberFormat="1" applyFont="1" applyBorder="1" applyAlignment="1">
      <alignment horizontal="right" vertical="center" shrinkToFit="1"/>
    </xf>
    <xf numFmtId="179" fontId="6" fillId="0" borderId="98" xfId="0" applyNumberFormat="1" applyFont="1" applyBorder="1" applyAlignment="1">
      <alignment horizontal="right" vertical="center" shrinkToFit="1"/>
    </xf>
    <xf numFmtId="179" fontId="6" fillId="0" borderId="21" xfId="0" applyNumberFormat="1" applyFont="1" applyBorder="1" applyAlignment="1">
      <alignment horizontal="right" vertical="center" shrinkToFit="1"/>
    </xf>
    <xf numFmtId="179" fontId="6" fillId="0" borderId="22" xfId="0" applyNumberFormat="1" applyFont="1" applyBorder="1" applyAlignment="1">
      <alignment horizontal="right" vertical="center" shrinkToFit="1"/>
    </xf>
    <xf numFmtId="179" fontId="6" fillId="0" borderId="25" xfId="0" applyNumberFormat="1" applyFont="1" applyBorder="1" applyAlignment="1">
      <alignment horizontal="right" vertical="center" shrinkToFit="1"/>
    </xf>
    <xf numFmtId="179" fontId="6" fillId="0" borderId="28" xfId="0" applyNumberFormat="1" applyFont="1" applyBorder="1" applyAlignment="1">
      <alignment horizontal="right" vertical="center" shrinkToFit="1"/>
    </xf>
    <xf numFmtId="179" fontId="6" fillId="0" borderId="29" xfId="0" applyNumberFormat="1" applyFont="1" applyBorder="1" applyAlignment="1">
      <alignment horizontal="right" vertical="center" shrinkToFit="1"/>
    </xf>
    <xf numFmtId="179" fontId="6" fillId="0" borderId="41" xfId="0" applyNumberFormat="1" applyFont="1" applyBorder="1" applyAlignment="1">
      <alignment horizontal="right" vertical="center"/>
    </xf>
    <xf numFmtId="179" fontId="6" fillId="0" borderId="39" xfId="0" applyNumberFormat="1" applyFont="1" applyBorder="1" applyAlignment="1">
      <alignment horizontal="right" vertical="center" shrinkToFit="1"/>
    </xf>
    <xf numFmtId="179" fontId="6" fillId="0" borderId="42" xfId="0" applyNumberFormat="1" applyFont="1" applyBorder="1" applyAlignment="1">
      <alignment horizontal="right" vertical="center"/>
    </xf>
    <xf numFmtId="179" fontId="6" fillId="0" borderId="43" xfId="0" applyNumberFormat="1" applyFont="1" applyBorder="1" applyAlignment="1">
      <alignment horizontal="right" vertical="center" shrinkToFit="1"/>
    </xf>
    <xf numFmtId="179" fontId="6" fillId="0" borderId="44" xfId="0" applyNumberFormat="1" applyFont="1" applyBorder="1" applyAlignment="1">
      <alignment horizontal="right" vertical="center" shrinkToFit="1"/>
    </xf>
    <xf numFmtId="179" fontId="6" fillId="0" borderId="49" xfId="0" applyNumberFormat="1" applyFont="1" applyBorder="1" applyAlignment="1">
      <alignment horizontal="right" vertical="center"/>
    </xf>
    <xf numFmtId="179" fontId="6" fillId="0" borderId="51" xfId="0" applyNumberFormat="1" applyFont="1" applyBorder="1" applyAlignment="1">
      <alignment horizontal="right" vertical="center" shrinkToFit="1"/>
    </xf>
    <xf numFmtId="179" fontId="6" fillId="0" borderId="54" xfId="0" applyNumberFormat="1" applyFont="1" applyBorder="1" applyAlignment="1">
      <alignment horizontal="right" vertical="center" shrinkToFit="1"/>
    </xf>
    <xf numFmtId="179" fontId="6" fillId="0" borderId="56" xfId="0" applyNumberFormat="1" applyFont="1" applyBorder="1" applyAlignment="1">
      <alignment horizontal="right" vertical="center"/>
    </xf>
    <xf numFmtId="179" fontId="6" fillId="0" borderId="57" xfId="0" applyNumberFormat="1" applyFont="1" applyBorder="1" applyAlignment="1">
      <alignment horizontal="right" vertical="center" shrinkToFit="1"/>
    </xf>
    <xf numFmtId="179" fontId="6" fillId="0" borderId="65" xfId="0" applyNumberFormat="1" applyFont="1" applyBorder="1" applyAlignment="1">
      <alignment horizontal="right" vertical="center" shrinkToFit="1"/>
    </xf>
    <xf numFmtId="179" fontId="6" fillId="0" borderId="66" xfId="0" applyNumberFormat="1" applyFont="1" applyBorder="1" applyAlignment="1">
      <alignment horizontal="right" vertical="center"/>
    </xf>
    <xf numFmtId="179" fontId="6" fillId="0" borderId="67" xfId="0" applyNumberFormat="1" applyFont="1" applyBorder="1" applyAlignment="1">
      <alignment horizontal="right" vertical="center" shrinkToFit="1"/>
    </xf>
    <xf numFmtId="179" fontId="6" fillId="0" borderId="68" xfId="0" applyNumberFormat="1" applyFont="1" applyBorder="1" applyAlignment="1">
      <alignment horizontal="right" vertical="center" shrinkToFit="1"/>
    </xf>
    <xf numFmtId="179" fontId="6" fillId="0" borderId="70" xfId="0" applyNumberFormat="1" applyFont="1" applyBorder="1" applyAlignment="1">
      <alignment horizontal="center" vertical="center" shrinkToFit="1"/>
    </xf>
    <xf numFmtId="179" fontId="6" fillId="0" borderId="70" xfId="0" applyNumberFormat="1" applyFont="1" applyBorder="1" applyAlignment="1">
      <alignment horizontal="right" vertical="center"/>
    </xf>
    <xf numFmtId="179" fontId="6" fillId="0" borderId="71" xfId="0" applyNumberFormat="1" applyFont="1" applyBorder="1" applyAlignment="1">
      <alignment horizontal="right" vertical="center" shrinkToFit="1"/>
    </xf>
    <xf numFmtId="179" fontId="6" fillId="0" borderId="74" xfId="0" applyNumberFormat="1" applyFont="1" applyBorder="1" applyAlignment="1">
      <alignment horizontal="right" vertical="center"/>
    </xf>
    <xf numFmtId="179" fontId="6" fillId="0" borderId="0" xfId="0" applyNumberFormat="1" applyFont="1" applyAlignment="1">
      <alignment horizontal="right" vertical="center" shrinkToFit="1"/>
    </xf>
    <xf numFmtId="179" fontId="6" fillId="0" borderId="77" xfId="0" applyNumberFormat="1" applyFont="1" applyBorder="1" applyAlignment="1">
      <alignment horizontal="right" vertical="center"/>
    </xf>
    <xf numFmtId="179" fontId="6" fillId="0" borderId="78" xfId="0" applyNumberFormat="1" applyFont="1" applyBorder="1" applyAlignment="1">
      <alignment horizontal="right" vertical="center" shrinkToFit="1"/>
    </xf>
    <xf numFmtId="179" fontId="6" fillId="0" borderId="79" xfId="0" applyNumberFormat="1" applyFont="1" applyBorder="1" applyAlignment="1">
      <alignment horizontal="right" vertical="center"/>
    </xf>
    <xf numFmtId="179" fontId="6" fillId="0" borderId="84" xfId="0" applyNumberFormat="1" applyFont="1" applyBorder="1" applyAlignment="1">
      <alignment horizontal="right" vertical="center"/>
    </xf>
    <xf numFmtId="180" fontId="6" fillId="0" borderId="22" xfId="0" applyNumberFormat="1" applyFont="1" applyBorder="1" applyAlignment="1">
      <alignment horizontal="right" vertical="center" shrinkToFit="1"/>
    </xf>
    <xf numFmtId="180" fontId="6" fillId="0" borderId="29" xfId="0" applyNumberFormat="1" applyFont="1" applyBorder="1" applyAlignment="1">
      <alignment horizontal="right" vertical="center" shrinkToFit="1"/>
    </xf>
    <xf numFmtId="180" fontId="6" fillId="0" borderId="44" xfId="0" applyNumberFormat="1" applyFont="1" applyBorder="1" applyAlignment="1">
      <alignment horizontal="right" vertical="center" shrinkToFit="1"/>
    </xf>
    <xf numFmtId="180" fontId="6" fillId="0" borderId="51" xfId="0" applyNumberFormat="1" applyFont="1" applyBorder="1" applyAlignment="1">
      <alignment horizontal="right" vertical="center" shrinkToFit="1"/>
    </xf>
    <xf numFmtId="180" fontId="6" fillId="0" borderId="58" xfId="0" applyNumberFormat="1" applyFont="1" applyBorder="1" applyAlignment="1">
      <alignment horizontal="right" vertical="center" shrinkToFit="1"/>
    </xf>
    <xf numFmtId="180" fontId="6" fillId="0" borderId="68" xfId="0" applyNumberFormat="1" applyFont="1" applyBorder="1" applyAlignment="1">
      <alignment horizontal="right" vertical="center" shrinkToFit="1"/>
    </xf>
    <xf numFmtId="180" fontId="6" fillId="0" borderId="70" xfId="0" applyNumberFormat="1" applyFont="1" applyBorder="1" applyAlignment="1">
      <alignment horizontal="right" vertical="center" shrinkToFit="1"/>
    </xf>
    <xf numFmtId="180" fontId="6" fillId="0" borderId="86" xfId="0" applyNumberFormat="1" applyFont="1" applyBorder="1" applyAlignment="1">
      <alignment horizontal="right" vertical="center" shrinkToFit="1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8" fontId="6" fillId="2" borderId="88" xfId="5" applyNumberFormat="1" applyFont="1" applyFill="1" applyBorder="1" applyAlignment="1">
      <alignment horizontal="center" vertical="center" shrinkToFit="1"/>
    </xf>
    <xf numFmtId="178" fontId="6" fillId="2" borderId="89" xfId="5" applyNumberFormat="1" applyFont="1" applyFill="1" applyBorder="1" applyAlignment="1">
      <alignment horizontal="center" vertical="center" shrinkToFit="1"/>
    </xf>
    <xf numFmtId="178" fontId="6" fillId="2" borderId="5" xfId="5" applyNumberFormat="1" applyFont="1" applyFill="1" applyBorder="1" applyAlignment="1">
      <alignment horizontal="center" vertical="center" shrinkToFit="1"/>
    </xf>
    <xf numFmtId="178" fontId="6" fillId="2" borderId="13" xfId="5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7" xfId="0" applyFont="1" applyFill="1" applyBorder="1" applyAlignment="1">
      <alignment horizontal="distributed" wrapText="1"/>
    </xf>
    <xf numFmtId="0" fontId="9" fillId="2" borderId="18" xfId="0" applyFont="1" applyFill="1" applyBorder="1" applyAlignment="1">
      <alignment horizontal="distributed" wrapText="1"/>
    </xf>
    <xf numFmtId="0" fontId="9" fillId="2" borderId="18" xfId="0" applyFont="1" applyFill="1" applyBorder="1" applyAlignment="1">
      <alignment wrapText="1"/>
    </xf>
    <xf numFmtId="179" fontId="6" fillId="0" borderId="21" xfId="0" applyNumberFormat="1" applyFont="1" applyBorder="1" applyAlignment="1">
      <alignment horizontal="left" vertical="center" shrinkToFit="1"/>
    </xf>
    <xf numFmtId="179" fontId="6" fillId="0" borderId="18" xfId="0" applyNumberFormat="1" applyFont="1" applyBorder="1" applyAlignment="1">
      <alignment horizontal="left" vertical="center" shrinkToFit="1"/>
    </xf>
    <xf numFmtId="179" fontId="6" fillId="0" borderId="23" xfId="0" applyNumberFormat="1" applyFont="1" applyBorder="1" applyAlignment="1">
      <alignment horizontal="left" vertical="center" shrinkToFit="1"/>
    </xf>
    <xf numFmtId="0" fontId="6" fillId="2" borderId="24" xfId="0" applyFont="1" applyFill="1" applyBorder="1" applyAlignment="1">
      <alignment horizontal="distributed" vertical="center" wrapText="1"/>
    </xf>
    <xf numFmtId="0" fontId="9" fillId="2" borderId="25" xfId="0" applyFont="1" applyFill="1" applyBorder="1" applyAlignment="1">
      <alignment horizontal="distributed" vertical="center" wrapText="1"/>
    </xf>
    <xf numFmtId="0" fontId="9" fillId="2" borderId="25" xfId="0" applyFont="1" applyFill="1" applyBorder="1" applyAlignment="1">
      <alignment wrapText="1"/>
    </xf>
    <xf numFmtId="179" fontId="6" fillId="0" borderId="28" xfId="0" applyNumberFormat="1" applyFont="1" applyBorder="1" applyAlignment="1">
      <alignment horizontal="left" vertical="center" shrinkToFit="1"/>
    </xf>
    <xf numFmtId="179" fontId="6" fillId="0" borderId="25" xfId="0" applyNumberFormat="1" applyFont="1" applyBorder="1" applyAlignment="1">
      <alignment horizontal="left" vertical="center" shrinkToFit="1"/>
    </xf>
    <xf numFmtId="179" fontId="6" fillId="0" borderId="30" xfId="0" applyNumberFormat="1" applyFont="1" applyBorder="1" applyAlignment="1">
      <alignment horizontal="left" vertical="center" shrinkToFit="1"/>
    </xf>
    <xf numFmtId="0" fontId="9" fillId="2" borderId="18" xfId="0" applyFont="1" applyFill="1" applyBorder="1" applyAlignment="1">
      <alignment horizontal="distributed" vertical="center" wrapText="1"/>
    </xf>
    <xf numFmtId="0" fontId="9" fillId="2" borderId="32" xfId="0" applyFont="1" applyFill="1" applyBorder="1" applyAlignment="1">
      <alignment horizontal="distributed" vertical="center" wrapText="1"/>
    </xf>
    <xf numFmtId="0" fontId="6" fillId="0" borderId="34" xfId="0" applyFont="1" applyBorder="1" applyAlignment="1">
      <alignment horizontal="distributed" vertical="center"/>
    </xf>
    <xf numFmtId="0" fontId="6" fillId="0" borderId="18" xfId="0" applyFont="1" applyBorder="1" applyAlignment="1">
      <alignment horizontal="distributed" vertical="center"/>
    </xf>
    <xf numFmtId="0" fontId="6" fillId="0" borderId="34" xfId="0" applyFont="1" applyBorder="1" applyAlignment="1">
      <alignment horizontal="distributed" vertical="center" shrinkToFit="1"/>
    </xf>
    <xf numFmtId="0" fontId="6" fillId="0" borderId="18" xfId="0" applyFont="1" applyBorder="1" applyAlignment="1">
      <alignment horizontal="distributed" vertical="center" shrinkToFit="1"/>
    </xf>
    <xf numFmtId="0" fontId="6" fillId="0" borderId="36" xfId="0" applyFont="1" applyBorder="1" applyAlignment="1">
      <alignment horizontal="distributed" vertical="center" shrinkToFit="1"/>
    </xf>
    <xf numFmtId="0" fontId="9" fillId="2" borderId="34" xfId="0" applyFont="1" applyFill="1" applyBorder="1" applyAlignment="1">
      <alignment horizontal="distributed" vertical="center" wrapText="1"/>
    </xf>
    <xf numFmtId="0" fontId="9" fillId="2" borderId="36" xfId="0" applyFont="1" applyFill="1" applyBorder="1" applyAlignment="1">
      <alignment horizontal="distributed" vertical="center" wrapText="1"/>
    </xf>
    <xf numFmtId="0" fontId="6" fillId="2" borderId="38" xfId="0" applyFont="1" applyFill="1" applyBorder="1" applyAlignment="1">
      <alignment horizontal="distributed" vertical="center" wrapText="1"/>
    </xf>
    <xf numFmtId="0" fontId="9" fillId="2" borderId="39" xfId="0" applyFont="1" applyFill="1" applyBorder="1" applyAlignment="1">
      <alignment horizontal="distributed" wrapText="1"/>
    </xf>
    <xf numFmtId="0" fontId="9" fillId="2" borderId="39" xfId="0" applyFont="1" applyFill="1" applyBorder="1" applyAlignment="1">
      <alignment wrapText="1"/>
    </xf>
    <xf numFmtId="0" fontId="6" fillId="2" borderId="34" xfId="0" applyFont="1" applyFill="1" applyBorder="1" applyAlignment="1">
      <alignment horizontal="distributed" vertical="center"/>
    </xf>
    <xf numFmtId="0" fontId="6" fillId="2" borderId="18" xfId="0" applyFont="1" applyFill="1" applyBorder="1" applyAlignment="1">
      <alignment horizontal="distributed" vertical="center"/>
    </xf>
    <xf numFmtId="0" fontId="6" fillId="2" borderId="38" xfId="0" applyFont="1" applyFill="1" applyBorder="1" applyAlignment="1">
      <alignment horizontal="distributed" wrapText="1"/>
    </xf>
    <xf numFmtId="0" fontId="6" fillId="2" borderId="45" xfId="0" applyFont="1" applyFill="1" applyBorder="1" applyAlignment="1">
      <alignment horizontal="distributed" vertical="distributed" wrapText="1"/>
    </xf>
    <xf numFmtId="0" fontId="6" fillId="2" borderId="46" xfId="0" applyFont="1" applyFill="1" applyBorder="1" applyAlignment="1">
      <alignment horizontal="distributed" vertical="distributed" wrapText="1"/>
    </xf>
    <xf numFmtId="0" fontId="6" fillId="2" borderId="34" xfId="0" applyFont="1" applyFill="1" applyBorder="1" applyAlignment="1">
      <alignment horizontal="distributed"/>
    </xf>
    <xf numFmtId="0" fontId="6" fillId="2" borderId="18" xfId="0" applyFont="1" applyFill="1" applyBorder="1" applyAlignment="1">
      <alignment horizontal="distributed"/>
    </xf>
    <xf numFmtId="0" fontId="6" fillId="0" borderId="81" xfId="0" applyFont="1" applyBorder="1" applyAlignment="1">
      <alignment horizontal="distributed" vertical="center"/>
    </xf>
    <xf numFmtId="0" fontId="6" fillId="0" borderId="82" xfId="0" applyFont="1" applyBorder="1" applyAlignment="1">
      <alignment horizontal="distributed" vertical="center"/>
    </xf>
    <xf numFmtId="179" fontId="6" fillId="0" borderId="85" xfId="0" applyNumberFormat="1" applyFont="1" applyBorder="1" applyAlignment="1">
      <alignment horizontal="left" vertical="center" shrinkToFit="1"/>
    </xf>
    <xf numFmtId="179" fontId="6" fillId="0" borderId="82" xfId="0" applyNumberFormat="1" applyFont="1" applyBorder="1" applyAlignment="1">
      <alignment horizontal="left" vertical="center" shrinkToFit="1"/>
    </xf>
    <xf numFmtId="179" fontId="6" fillId="0" borderId="87" xfId="0" applyNumberFormat="1" applyFont="1" applyBorder="1" applyAlignment="1">
      <alignment horizontal="left" vertical="center" shrinkToFit="1"/>
    </xf>
    <xf numFmtId="0" fontId="6" fillId="2" borderId="73" xfId="0" applyFont="1" applyFill="1" applyBorder="1" applyAlignment="1">
      <alignment horizontal="distributed" wrapText="1"/>
    </xf>
    <xf numFmtId="0" fontId="6" fillId="2" borderId="48" xfId="0" applyFont="1" applyFill="1" applyBorder="1" applyAlignment="1">
      <alignment horizontal="distributed" wrapText="1"/>
    </xf>
    <xf numFmtId="0" fontId="6" fillId="2" borderId="39" xfId="0" applyFont="1" applyFill="1" applyBorder="1" applyAlignment="1">
      <alignment horizontal="distributed" wrapText="1"/>
    </xf>
    <xf numFmtId="0" fontId="9" fillId="2" borderId="64" xfId="0" applyFont="1" applyFill="1" applyBorder="1" applyAlignment="1">
      <alignment horizontal="distributed" vertical="center" wrapText="1"/>
    </xf>
    <xf numFmtId="0" fontId="9" fillId="2" borderId="65" xfId="0" applyFont="1" applyFill="1" applyBorder="1" applyAlignment="1">
      <alignment horizontal="distributed" vertical="center" wrapText="1"/>
    </xf>
    <xf numFmtId="0" fontId="6" fillId="0" borderId="17" xfId="0" applyFont="1" applyBorder="1" applyAlignment="1">
      <alignment horizontal="distributed" vertical="center"/>
    </xf>
    <xf numFmtId="0" fontId="6" fillId="2" borderId="69" xfId="0" applyFont="1" applyFill="1" applyBorder="1" applyAlignment="1">
      <alignment horizontal="distributed" vertical="center" wrapText="1"/>
    </xf>
    <xf numFmtId="0" fontId="6" fillId="2" borderId="70" xfId="0" applyFont="1" applyFill="1" applyBorder="1" applyAlignment="1">
      <alignment horizontal="distributed" vertical="center" wrapText="1"/>
    </xf>
    <xf numFmtId="0" fontId="6" fillId="0" borderId="38" xfId="0" applyFont="1" applyBorder="1" applyAlignment="1">
      <alignment horizontal="center" vertical="center" wrapText="1" shrinkToFit="1"/>
    </xf>
    <xf numFmtId="0" fontId="6" fillId="0" borderId="39" xfId="0" applyFont="1" applyBorder="1" applyAlignment="1">
      <alignment horizontal="center" vertical="center" wrapText="1" shrinkToFit="1"/>
    </xf>
    <xf numFmtId="0" fontId="6" fillId="0" borderId="52" xfId="0" applyFont="1" applyBorder="1" applyAlignment="1">
      <alignment horizontal="center" vertical="center" wrapText="1" shrinkToFit="1"/>
    </xf>
    <xf numFmtId="0" fontId="6" fillId="0" borderId="72" xfId="0" applyFont="1" applyBorder="1" applyAlignment="1">
      <alignment horizontal="center" vertical="center" wrapText="1" shrinkToFit="1"/>
    </xf>
    <xf numFmtId="0" fontId="6" fillId="0" borderId="53" xfId="0" applyFont="1" applyBorder="1" applyAlignment="1">
      <alignment horizontal="distributed" vertical="center"/>
    </xf>
    <xf numFmtId="0" fontId="6" fillId="0" borderId="54" xfId="0" applyFont="1" applyBorder="1" applyAlignment="1">
      <alignment horizontal="distributed" vertical="center"/>
    </xf>
    <xf numFmtId="0" fontId="6" fillId="0" borderId="91" xfId="5" applyFont="1" applyBorder="1" applyAlignment="1">
      <alignment horizontal="center" vertical="top" wrapText="1"/>
    </xf>
    <xf numFmtId="0" fontId="6" fillId="0" borderId="92" xfId="5" applyFont="1" applyBorder="1" applyAlignment="1">
      <alignment horizontal="center" vertical="top" wrapText="1"/>
    </xf>
    <xf numFmtId="0" fontId="6" fillId="0" borderId="93" xfId="5" applyFont="1" applyBorder="1" applyAlignment="1">
      <alignment horizontal="center" vertical="top" wrapText="1"/>
    </xf>
    <xf numFmtId="0" fontId="6" fillId="0" borderId="94" xfId="5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6" fillId="2" borderId="53" xfId="0" applyFont="1" applyFill="1" applyBorder="1" applyAlignment="1">
      <alignment horizontal="distributed" wrapText="1"/>
    </xf>
    <xf numFmtId="0" fontId="6" fillId="2" borderId="54" xfId="0" applyFont="1" applyFill="1" applyBorder="1" applyAlignment="1">
      <alignment horizontal="distributed" wrapText="1"/>
    </xf>
    <xf numFmtId="0" fontId="6" fillId="0" borderId="45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distributed" vertical="center"/>
    </xf>
    <xf numFmtId="0" fontId="6" fillId="0" borderId="48" xfId="0" applyFont="1" applyBorder="1" applyAlignment="1">
      <alignment horizontal="distributed" vertical="center"/>
    </xf>
    <xf numFmtId="0" fontId="6" fillId="0" borderId="64" xfId="0" applyFont="1" applyBorder="1" applyAlignment="1">
      <alignment horizontal="distributed" vertical="center"/>
    </xf>
    <xf numFmtId="0" fontId="6" fillId="0" borderId="65" xfId="0" applyFont="1" applyBorder="1" applyAlignment="1">
      <alignment horizontal="distributed" vertical="center"/>
    </xf>
    <xf numFmtId="180" fontId="6" fillId="0" borderId="27" xfId="0" applyNumberFormat="1" applyFont="1" applyBorder="1" applyAlignment="1">
      <alignment horizontal="right" vertical="center" shrinkToFit="1"/>
    </xf>
    <xf numFmtId="180" fontId="6" fillId="0" borderId="20" xfId="0" applyNumberFormat="1" applyFont="1" applyBorder="1" applyAlignment="1">
      <alignment horizontal="right" vertical="center" shrinkToFit="1"/>
    </xf>
    <xf numFmtId="39" fontId="6" fillId="0" borderId="48" xfId="0" applyNumberFormat="1" applyFont="1" applyBorder="1" applyAlignment="1">
      <alignment horizontal="right" vertical="center" shrinkToFit="1"/>
    </xf>
    <xf numFmtId="39" fontId="6" fillId="0" borderId="18" xfId="0" applyNumberFormat="1" applyFont="1" applyBorder="1" applyAlignment="1">
      <alignment horizontal="right" vertical="center" shrinkToFit="1"/>
    </xf>
    <xf numFmtId="39" fontId="6" fillId="0" borderId="54" xfId="0" applyNumberFormat="1" applyFont="1" applyBorder="1" applyAlignment="1">
      <alignment horizontal="right" vertical="center" shrinkToFit="1"/>
    </xf>
    <xf numFmtId="39" fontId="6" fillId="0" borderId="50" xfId="0" applyNumberFormat="1" applyFont="1" applyBorder="1" applyAlignment="1">
      <alignment horizontal="right" vertical="center" shrinkToFit="1"/>
    </xf>
    <xf numFmtId="39" fontId="6" fillId="0" borderId="21" xfId="0" applyNumberFormat="1" applyFont="1" applyBorder="1" applyAlignment="1">
      <alignment horizontal="right" vertical="center" shrinkToFit="1"/>
    </xf>
    <xf numFmtId="39" fontId="6" fillId="0" borderId="57" xfId="0" applyNumberFormat="1" applyFont="1" applyBorder="1" applyAlignment="1">
      <alignment horizontal="right" vertical="center" shrinkToFit="1"/>
    </xf>
    <xf numFmtId="39" fontId="6" fillId="0" borderId="51" xfId="0" applyNumberFormat="1" applyFont="1" applyBorder="1" applyAlignment="1">
      <alignment horizontal="right" vertical="center" shrinkToFit="1"/>
    </xf>
    <xf numFmtId="39" fontId="6" fillId="0" borderId="22" xfId="0" applyNumberFormat="1" applyFont="1" applyBorder="1" applyAlignment="1">
      <alignment horizontal="right" vertical="center" shrinkToFit="1"/>
    </xf>
    <xf numFmtId="39" fontId="6" fillId="0" borderId="58" xfId="0" applyNumberFormat="1" applyFont="1" applyBorder="1" applyAlignment="1">
      <alignment horizontal="right" vertical="center" shrinkToFit="1"/>
    </xf>
    <xf numFmtId="180" fontId="6" fillId="0" borderId="48" xfId="0" applyNumberFormat="1" applyFont="1" applyBorder="1" applyAlignment="1">
      <alignment horizontal="right" vertical="center" shrinkToFit="1"/>
    </xf>
    <xf numFmtId="180" fontId="6" fillId="0" borderId="18" xfId="0" applyNumberFormat="1" applyFont="1" applyBorder="1" applyAlignment="1">
      <alignment horizontal="right" vertical="center" shrinkToFit="1"/>
    </xf>
    <xf numFmtId="180" fontId="6" fillId="0" borderId="50" xfId="0" applyNumberFormat="1" applyFont="1" applyBorder="1" applyAlignment="1">
      <alignment horizontal="right" vertical="center" shrinkToFit="1"/>
    </xf>
    <xf numFmtId="180" fontId="6" fillId="0" borderId="21" xfId="0" applyNumberFormat="1" applyFont="1" applyBorder="1" applyAlignment="1">
      <alignment horizontal="right" vertical="center" shrinkToFit="1"/>
    </xf>
    <xf numFmtId="180" fontId="6" fillId="0" borderId="0" xfId="0" applyNumberFormat="1" applyFont="1" applyAlignment="1">
      <alignment horizontal="right" vertical="center" shrinkToFit="1"/>
    </xf>
    <xf numFmtId="180" fontId="6" fillId="0" borderId="82" xfId="0" applyNumberFormat="1" applyFont="1" applyBorder="1" applyAlignment="1">
      <alignment horizontal="right" vertical="center" shrinkToFit="1"/>
    </xf>
    <xf numFmtId="180" fontId="6" fillId="0" borderId="78" xfId="0" applyNumberFormat="1" applyFont="1" applyBorder="1" applyAlignment="1">
      <alignment horizontal="right" vertical="center" shrinkToFit="1"/>
    </xf>
    <xf numFmtId="180" fontId="6" fillId="0" borderId="85" xfId="0" applyNumberFormat="1" applyFont="1" applyBorder="1" applyAlignment="1">
      <alignment horizontal="right" vertical="center" shrinkToFit="1"/>
    </xf>
  </cellXfs>
  <cellStyles count="7">
    <cellStyle name="標準" xfId="0" builtinId="0"/>
    <cellStyle name="標準 2" xfId="2" xr:uid="{C2E376AD-FC5D-46D1-8D36-A91A2B373725}"/>
    <cellStyle name="標準 2 2" xfId="5" xr:uid="{6088A813-8738-4524-8B60-28C7FD6BCE5D}"/>
    <cellStyle name="標準 3" xfId="1" xr:uid="{8E17B482-7EE4-4728-85C9-3C3642827550}"/>
    <cellStyle name="標準 4" xfId="3" xr:uid="{306D96E1-3D61-40DB-BAB3-34BC48858E26}"/>
    <cellStyle name="標準 4 2" xfId="4" xr:uid="{7BA153B5-8D6D-440C-B916-D1A759DFD58D}"/>
    <cellStyle name="標準_BDA1S0T05201" xfId="6" xr:uid="{C919A91C-A53D-4B7E-9746-7FDB558F1DBD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66F5-A4CE-4886-8B83-7DD3C7CB6159}">
  <dimension ref="A1:V49"/>
  <sheetViews>
    <sheetView showGridLines="0" tabSelected="1" zoomScaleNormal="100" zoomScaleSheetLayoutView="100" workbookViewId="0">
      <selection sqref="A1:C1"/>
    </sheetView>
  </sheetViews>
  <sheetFormatPr defaultColWidth="9" defaultRowHeight="12"/>
  <cols>
    <col min="1" max="4" width="2.625" style="9" customWidth="1"/>
    <col min="5" max="5" width="2.625" style="40" customWidth="1"/>
    <col min="6" max="6" width="8.625" style="40" customWidth="1"/>
    <col min="7" max="7" width="3.625" style="40" customWidth="1"/>
    <col min="8" max="8" width="10.625" style="40" customWidth="1"/>
    <col min="9" max="9" width="6.625" style="40" customWidth="1"/>
    <col min="10" max="10" width="10.625" style="9" customWidth="1"/>
    <col min="11" max="11" width="6.625" style="9" customWidth="1"/>
    <col min="12" max="12" width="7.625" style="9" customWidth="1"/>
    <col min="13" max="13" width="8.625" style="9" customWidth="1"/>
    <col min="14" max="14" width="30.625" style="9" customWidth="1"/>
    <col min="15" max="15" width="2.75" style="9" customWidth="1"/>
    <col min="16" max="16" width="11.875" style="9" customWidth="1"/>
    <col min="17" max="17" width="2.875" style="9" customWidth="1"/>
    <col min="18" max="18" width="10.125" style="9" customWidth="1"/>
    <col min="19" max="19" width="9.625" style="9" customWidth="1"/>
    <col min="20" max="20" width="3.625" style="9" customWidth="1"/>
    <col min="21" max="21" width="14.125" style="9" customWidth="1"/>
    <col min="22" max="22" width="17.625" style="9" customWidth="1"/>
    <col min="23" max="23" width="2.75" style="9" customWidth="1"/>
    <col min="24" max="24" width="2.375" style="9" customWidth="1"/>
    <col min="25" max="25" width="9.625" style="9" customWidth="1"/>
    <col min="26" max="26" width="7.625" style="9" customWidth="1"/>
    <col min="27" max="16384" width="9" style="9"/>
  </cols>
  <sheetData>
    <row r="1" spans="1:22" s="5" customFormat="1" ht="12.95" customHeight="1">
      <c r="A1" s="161"/>
      <c r="B1" s="161"/>
      <c r="C1" s="161"/>
      <c r="D1" s="1" t="s">
        <v>64</v>
      </c>
      <c r="E1" s="3"/>
      <c r="F1" s="3"/>
      <c r="G1" s="41"/>
      <c r="H1" s="3"/>
      <c r="I1" s="3"/>
      <c r="J1" s="3"/>
      <c r="K1" s="2"/>
      <c r="L1" s="2"/>
      <c r="M1" s="2"/>
      <c r="N1" s="3"/>
      <c r="O1" s="157" t="s">
        <v>0</v>
      </c>
      <c r="P1" s="158"/>
      <c r="Q1" s="159" t="s">
        <v>1</v>
      </c>
      <c r="R1" s="160"/>
      <c r="S1"/>
      <c r="T1" s="4"/>
    </row>
    <row r="2" spans="1:22" s="5" customFormat="1" ht="12.95" customHeight="1" thickBot="1">
      <c r="A2" s="5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7">
        <v>91</v>
      </c>
      <c r="P2" s="50" t="s">
        <v>3</v>
      </c>
      <c r="Q2" s="48"/>
      <c r="R2" s="49" t="str">
        <f>IF(Q2&lt;&gt;"",DGET(リスト!A2:B71,"都道府県等",リスト!B73:B74),"")</f>
        <v/>
      </c>
      <c r="S2"/>
      <c r="T2" s="4"/>
    </row>
    <row r="3" spans="1:22" s="5" customFormat="1" ht="4.5" customHeight="1" thickBot="1">
      <c r="A3" s="6"/>
    </row>
    <row r="4" spans="1:22" ht="12.2" customHeight="1">
      <c r="A4" s="95" t="s">
        <v>4</v>
      </c>
      <c r="B4" s="96"/>
      <c r="C4" s="96"/>
      <c r="D4" s="96"/>
      <c r="E4" s="96"/>
      <c r="F4" s="96"/>
      <c r="G4" s="99" t="s">
        <v>5</v>
      </c>
      <c r="H4" s="101" t="str">
        <f>IF($A$1&lt;&gt;"",$A$1,"")</f>
        <v/>
      </c>
      <c r="I4" s="7" t="s">
        <v>6</v>
      </c>
      <c r="J4" s="103" t="str">
        <f>IF($A$1&lt;&gt;"",$A$1-1,"")</f>
        <v/>
      </c>
      <c r="K4" s="7" t="s">
        <v>6</v>
      </c>
      <c r="L4" s="8" t="s">
        <v>7</v>
      </c>
      <c r="M4" s="105" t="s">
        <v>8</v>
      </c>
      <c r="N4" s="89" t="s">
        <v>9</v>
      </c>
      <c r="O4" s="90"/>
      <c r="P4" s="90"/>
      <c r="Q4" s="90"/>
      <c r="R4" s="90"/>
      <c r="S4" s="91"/>
    </row>
    <row r="5" spans="1:22" ht="18" customHeight="1" thickBot="1">
      <c r="A5" s="97"/>
      <c r="B5" s="98"/>
      <c r="C5" s="98"/>
      <c r="D5" s="98"/>
      <c r="E5" s="98"/>
      <c r="F5" s="98"/>
      <c r="G5" s="100"/>
      <c r="H5" s="102"/>
      <c r="I5" s="10" t="s">
        <v>10</v>
      </c>
      <c r="J5" s="104"/>
      <c r="K5" s="10" t="s">
        <v>10</v>
      </c>
      <c r="L5" s="11" t="s">
        <v>10</v>
      </c>
      <c r="M5" s="106"/>
      <c r="N5" s="92"/>
      <c r="O5" s="93"/>
      <c r="P5" s="93"/>
      <c r="Q5" s="93"/>
      <c r="R5" s="93"/>
      <c r="S5" s="94"/>
      <c r="U5" s="12"/>
      <c r="V5" s="12"/>
    </row>
    <row r="6" spans="1:22" ht="12.2" customHeight="1">
      <c r="A6" s="107" t="s">
        <v>11</v>
      </c>
      <c r="B6" s="108"/>
      <c r="C6" s="108"/>
      <c r="D6" s="108"/>
      <c r="E6" s="108"/>
      <c r="F6" s="109"/>
      <c r="G6" s="13" t="s">
        <v>12</v>
      </c>
      <c r="H6" s="51"/>
      <c r="I6" s="52"/>
      <c r="J6" s="53"/>
      <c r="K6" s="52"/>
      <c r="L6" s="81" t="str">
        <f>IF(H6="-", "-", IF(J6="-", "-", IF(ABS(J6)=0, "-", ROUND(100*(H6-J6)/ABS(J6), 10))))</f>
        <v>-</v>
      </c>
      <c r="M6" s="54" t="str">
        <f>IF(H6-J6=0,"",H6-J6)</f>
        <v/>
      </c>
      <c r="N6" s="110"/>
      <c r="O6" s="111"/>
      <c r="P6" s="111"/>
      <c r="Q6" s="111"/>
      <c r="R6" s="111"/>
      <c r="S6" s="112"/>
      <c r="U6" s="14"/>
      <c r="V6" s="15"/>
    </row>
    <row r="7" spans="1:22" ht="12.2" customHeight="1">
      <c r="A7" s="113" t="s">
        <v>13</v>
      </c>
      <c r="B7" s="114"/>
      <c r="C7" s="114"/>
      <c r="D7" s="114"/>
      <c r="E7" s="114"/>
      <c r="F7" s="115"/>
      <c r="G7" s="16" t="s">
        <v>14</v>
      </c>
      <c r="H7" s="55"/>
      <c r="I7" s="174" t="str">
        <f>IFERROR(ROUND(H7/H$25*100,1)," ")</f>
        <v xml:space="preserve"> </v>
      </c>
      <c r="J7" s="56"/>
      <c r="K7" s="174" t="str">
        <f t="shared" ref="K7:K25" si="0">IFERROR(ROUND(J7/J$25*100,1)," ")</f>
        <v xml:space="preserve"> </v>
      </c>
      <c r="L7" s="82" t="str">
        <f t="shared" ref="L7:L39" si="1">IF(H7="-", "-", IF(J7="-", "-", IF(ABS(J7)=0, "-", ROUND(100*(H7-J7)/ABS(J7), 10))))</f>
        <v>-</v>
      </c>
      <c r="M7" s="57" t="str">
        <f t="shared" ref="M7:M39" si="2">IF(H7-J7=0,"",H7-J7)</f>
        <v/>
      </c>
      <c r="N7" s="116"/>
      <c r="O7" s="117"/>
      <c r="P7" s="117"/>
      <c r="Q7" s="117"/>
      <c r="R7" s="117"/>
      <c r="S7" s="118"/>
      <c r="U7" s="14"/>
      <c r="V7" s="15"/>
    </row>
    <row r="8" spans="1:22" ht="12.2" customHeight="1">
      <c r="A8" s="17"/>
      <c r="B8" s="119" t="s">
        <v>15</v>
      </c>
      <c r="C8" s="119"/>
      <c r="D8" s="119"/>
      <c r="E8" s="119"/>
      <c r="F8" s="109"/>
      <c r="G8" s="18" t="s">
        <v>16</v>
      </c>
      <c r="H8" s="51"/>
      <c r="I8" s="175" t="str">
        <f t="shared" ref="I8:I25" si="3">IFERROR(ROUND(H8/H$25*100,1)," ")</f>
        <v xml:space="preserve"> </v>
      </c>
      <c r="J8" s="53"/>
      <c r="K8" s="175" t="str">
        <f t="shared" si="0"/>
        <v xml:space="preserve"> </v>
      </c>
      <c r="L8" s="81" t="str">
        <f t="shared" si="1"/>
        <v>-</v>
      </c>
      <c r="M8" s="54" t="str">
        <f t="shared" si="2"/>
        <v/>
      </c>
      <c r="N8" s="110"/>
      <c r="O8" s="111"/>
      <c r="P8" s="111"/>
      <c r="Q8" s="111"/>
      <c r="R8" s="111"/>
      <c r="S8" s="112"/>
      <c r="U8" s="14"/>
      <c r="V8" s="15"/>
    </row>
    <row r="9" spans="1:22" ht="12.2" customHeight="1">
      <c r="A9" s="17"/>
      <c r="B9" s="120" t="s">
        <v>17</v>
      </c>
      <c r="C9" s="119"/>
      <c r="D9" s="119"/>
      <c r="E9" s="119"/>
      <c r="F9" s="119"/>
      <c r="G9" s="19" t="s">
        <v>16</v>
      </c>
      <c r="H9" s="51"/>
      <c r="I9" s="175" t="str">
        <f t="shared" si="3"/>
        <v xml:space="preserve"> </v>
      </c>
      <c r="J9" s="53"/>
      <c r="K9" s="175" t="str">
        <f t="shared" si="0"/>
        <v xml:space="preserve"> </v>
      </c>
      <c r="L9" s="81" t="str">
        <f t="shared" si="1"/>
        <v>-</v>
      </c>
      <c r="M9" s="54" t="str">
        <f t="shared" si="2"/>
        <v/>
      </c>
      <c r="N9" s="110"/>
      <c r="O9" s="111"/>
      <c r="P9" s="111"/>
      <c r="Q9" s="111"/>
      <c r="R9" s="111"/>
      <c r="S9" s="112"/>
      <c r="U9" s="14"/>
      <c r="V9" s="15"/>
    </row>
    <row r="10" spans="1:22" ht="12.2" customHeight="1">
      <c r="A10" s="20"/>
      <c r="B10" s="21"/>
      <c r="C10" s="121" t="s">
        <v>18</v>
      </c>
      <c r="D10" s="122"/>
      <c r="E10" s="122"/>
      <c r="F10" s="122"/>
      <c r="G10" s="18" t="s">
        <v>16</v>
      </c>
      <c r="H10" s="51"/>
      <c r="I10" s="175" t="str">
        <f t="shared" si="3"/>
        <v xml:space="preserve"> </v>
      </c>
      <c r="J10" s="53"/>
      <c r="K10" s="175" t="str">
        <f t="shared" si="0"/>
        <v xml:space="preserve"> </v>
      </c>
      <c r="L10" s="81" t="str">
        <f t="shared" si="1"/>
        <v>-</v>
      </c>
      <c r="M10" s="54" t="str">
        <f t="shared" si="2"/>
        <v/>
      </c>
      <c r="N10" s="110"/>
      <c r="O10" s="111"/>
      <c r="P10" s="111"/>
      <c r="Q10" s="111"/>
      <c r="R10" s="111"/>
      <c r="S10" s="112"/>
      <c r="U10" s="14"/>
      <c r="V10" s="15"/>
    </row>
    <row r="11" spans="1:22" ht="12.2" customHeight="1">
      <c r="A11" s="20"/>
      <c r="B11" s="22"/>
      <c r="C11" s="123" t="s">
        <v>19</v>
      </c>
      <c r="D11" s="124"/>
      <c r="E11" s="124"/>
      <c r="F11" s="125"/>
      <c r="G11" s="18" t="s">
        <v>16</v>
      </c>
      <c r="H11" s="51"/>
      <c r="I11" s="175" t="str">
        <f t="shared" si="3"/>
        <v xml:space="preserve"> </v>
      </c>
      <c r="J11" s="53"/>
      <c r="K11" s="175" t="str">
        <f t="shared" si="0"/>
        <v xml:space="preserve"> </v>
      </c>
      <c r="L11" s="81" t="str">
        <f t="shared" si="1"/>
        <v>-</v>
      </c>
      <c r="M11" s="54" t="str">
        <f t="shared" si="2"/>
        <v/>
      </c>
      <c r="N11" s="110"/>
      <c r="O11" s="111"/>
      <c r="P11" s="111"/>
      <c r="Q11" s="111"/>
      <c r="R11" s="111"/>
      <c r="S11" s="112"/>
      <c r="U11" s="14"/>
      <c r="V11" s="15"/>
    </row>
    <row r="12" spans="1:22" ht="12.2" customHeight="1">
      <c r="A12" s="17"/>
      <c r="B12" s="126" t="s">
        <v>20</v>
      </c>
      <c r="C12" s="119"/>
      <c r="D12" s="119"/>
      <c r="E12" s="119"/>
      <c r="F12" s="127"/>
      <c r="G12" s="18" t="s">
        <v>16</v>
      </c>
      <c r="H12" s="51"/>
      <c r="I12" s="175" t="str">
        <f t="shared" si="3"/>
        <v xml:space="preserve"> </v>
      </c>
      <c r="J12" s="53"/>
      <c r="K12" s="175" t="str">
        <f t="shared" si="0"/>
        <v xml:space="preserve"> </v>
      </c>
      <c r="L12" s="81" t="str">
        <f t="shared" si="1"/>
        <v>-</v>
      </c>
      <c r="M12" s="54" t="str">
        <f t="shared" si="2"/>
        <v/>
      </c>
      <c r="N12" s="110"/>
      <c r="O12" s="111"/>
      <c r="P12" s="111"/>
      <c r="Q12" s="111"/>
      <c r="R12" s="111"/>
      <c r="S12" s="112"/>
      <c r="U12" s="14"/>
      <c r="V12" s="15"/>
    </row>
    <row r="13" spans="1:22" ht="12.2" customHeight="1">
      <c r="A13" s="23"/>
      <c r="B13" s="119" t="s">
        <v>21</v>
      </c>
      <c r="C13" s="119"/>
      <c r="D13" s="119"/>
      <c r="E13" s="119"/>
      <c r="F13" s="109"/>
      <c r="G13" s="18" t="s">
        <v>16</v>
      </c>
      <c r="H13" s="51"/>
      <c r="I13" s="175" t="str">
        <f t="shared" si="3"/>
        <v xml:space="preserve"> </v>
      </c>
      <c r="J13" s="53"/>
      <c r="K13" s="175" t="str">
        <f t="shared" si="0"/>
        <v xml:space="preserve"> </v>
      </c>
      <c r="L13" s="81" t="str">
        <f t="shared" si="1"/>
        <v>-</v>
      </c>
      <c r="M13" s="54" t="str">
        <f t="shared" si="2"/>
        <v/>
      </c>
      <c r="N13" s="110"/>
      <c r="O13" s="111"/>
      <c r="P13" s="111"/>
      <c r="Q13" s="111"/>
      <c r="R13" s="111"/>
      <c r="S13" s="112"/>
      <c r="U13" s="14"/>
      <c r="V13" s="15"/>
    </row>
    <row r="14" spans="1:22" ht="12.2" customHeight="1">
      <c r="A14" s="23"/>
      <c r="B14" s="119" t="s">
        <v>22</v>
      </c>
      <c r="C14" s="119"/>
      <c r="D14" s="119"/>
      <c r="E14" s="108"/>
      <c r="F14" s="109"/>
      <c r="G14" s="18" t="s">
        <v>16</v>
      </c>
      <c r="H14" s="51"/>
      <c r="I14" s="175" t="str">
        <f t="shared" si="3"/>
        <v xml:space="preserve"> </v>
      </c>
      <c r="J14" s="53"/>
      <c r="K14" s="175" t="str">
        <f t="shared" si="0"/>
        <v xml:space="preserve"> </v>
      </c>
      <c r="L14" s="81" t="str">
        <f t="shared" si="1"/>
        <v>-</v>
      </c>
      <c r="M14" s="54" t="str">
        <f t="shared" si="2"/>
        <v/>
      </c>
      <c r="N14" s="110"/>
      <c r="O14" s="111"/>
      <c r="P14" s="111"/>
      <c r="Q14" s="111"/>
      <c r="R14" s="111"/>
      <c r="S14" s="112"/>
      <c r="U14" s="14"/>
      <c r="V14" s="15"/>
    </row>
    <row r="15" spans="1:22" ht="12.2" customHeight="1">
      <c r="A15" s="23"/>
      <c r="B15" s="119" t="s">
        <v>23</v>
      </c>
      <c r="C15" s="119"/>
      <c r="D15" s="119"/>
      <c r="E15" s="108"/>
      <c r="F15" s="109"/>
      <c r="G15" s="18" t="s">
        <v>16</v>
      </c>
      <c r="H15" s="51"/>
      <c r="I15" s="175" t="str">
        <f t="shared" si="3"/>
        <v xml:space="preserve"> </v>
      </c>
      <c r="J15" s="53"/>
      <c r="K15" s="175" t="str">
        <f t="shared" si="0"/>
        <v xml:space="preserve"> </v>
      </c>
      <c r="L15" s="81" t="str">
        <f t="shared" si="1"/>
        <v>-</v>
      </c>
      <c r="M15" s="54" t="str">
        <f t="shared" si="2"/>
        <v/>
      </c>
      <c r="N15" s="110"/>
      <c r="O15" s="111"/>
      <c r="P15" s="111"/>
      <c r="Q15" s="111"/>
      <c r="R15" s="111"/>
      <c r="S15" s="112"/>
      <c r="U15" s="14"/>
      <c r="V15" s="15"/>
    </row>
    <row r="16" spans="1:22" ht="12.2" customHeight="1">
      <c r="A16" s="23"/>
      <c r="B16" s="119" t="s">
        <v>24</v>
      </c>
      <c r="C16" s="119"/>
      <c r="D16" s="119"/>
      <c r="E16" s="119"/>
      <c r="F16" s="109"/>
      <c r="G16" s="18" t="s">
        <v>16</v>
      </c>
      <c r="H16" s="51"/>
      <c r="I16" s="175" t="str">
        <f t="shared" si="3"/>
        <v xml:space="preserve"> </v>
      </c>
      <c r="J16" s="53"/>
      <c r="K16" s="175" t="str">
        <f t="shared" si="0"/>
        <v xml:space="preserve"> </v>
      </c>
      <c r="L16" s="81" t="str">
        <f t="shared" si="1"/>
        <v>-</v>
      </c>
      <c r="M16" s="54" t="str">
        <f t="shared" si="2"/>
        <v/>
      </c>
      <c r="N16" s="110"/>
      <c r="O16" s="111"/>
      <c r="P16" s="111"/>
      <c r="Q16" s="111"/>
      <c r="R16" s="111"/>
      <c r="S16" s="112"/>
      <c r="U16" s="14"/>
      <c r="V16" s="15"/>
    </row>
    <row r="17" spans="1:22" ht="12.2" customHeight="1">
      <c r="A17" s="23"/>
      <c r="B17" s="119" t="s">
        <v>25</v>
      </c>
      <c r="C17" s="119"/>
      <c r="D17" s="119"/>
      <c r="E17" s="119"/>
      <c r="F17" s="109"/>
      <c r="G17" s="18" t="s">
        <v>16</v>
      </c>
      <c r="H17" s="51"/>
      <c r="I17" s="175" t="str">
        <f t="shared" si="3"/>
        <v xml:space="preserve"> </v>
      </c>
      <c r="J17" s="53"/>
      <c r="K17" s="175" t="str">
        <f t="shared" si="0"/>
        <v xml:space="preserve"> </v>
      </c>
      <c r="L17" s="81" t="str">
        <f t="shared" si="1"/>
        <v>-</v>
      </c>
      <c r="M17" s="54" t="str">
        <f t="shared" si="2"/>
        <v/>
      </c>
      <c r="N17" s="110"/>
      <c r="O17" s="111"/>
      <c r="P17" s="111"/>
      <c r="Q17" s="111"/>
      <c r="R17" s="111"/>
      <c r="S17" s="112"/>
      <c r="U17" s="14"/>
      <c r="V17" s="15"/>
    </row>
    <row r="18" spans="1:22" ht="12.2" customHeight="1">
      <c r="A18" s="23"/>
      <c r="B18" s="119" t="s">
        <v>26</v>
      </c>
      <c r="C18" s="119"/>
      <c r="D18" s="119"/>
      <c r="E18" s="119"/>
      <c r="F18" s="109"/>
      <c r="G18" s="18" t="s">
        <v>16</v>
      </c>
      <c r="H18" s="51"/>
      <c r="I18" s="175" t="str">
        <f t="shared" si="3"/>
        <v xml:space="preserve"> </v>
      </c>
      <c r="J18" s="53"/>
      <c r="K18" s="175" t="str">
        <f t="shared" si="0"/>
        <v xml:space="preserve"> </v>
      </c>
      <c r="L18" s="81" t="str">
        <f t="shared" si="1"/>
        <v>-</v>
      </c>
      <c r="M18" s="54" t="str">
        <f t="shared" si="2"/>
        <v/>
      </c>
      <c r="N18" s="110"/>
      <c r="O18" s="111"/>
      <c r="P18" s="111"/>
      <c r="Q18" s="111"/>
      <c r="R18" s="111"/>
      <c r="S18" s="112"/>
      <c r="U18" s="14"/>
      <c r="V18" s="24"/>
    </row>
    <row r="19" spans="1:22" ht="12.2" customHeight="1">
      <c r="A19" s="23"/>
      <c r="B19" s="119" t="s">
        <v>27</v>
      </c>
      <c r="C19" s="119"/>
      <c r="D19" s="119"/>
      <c r="E19" s="119"/>
      <c r="F19" s="109"/>
      <c r="G19" s="18" t="s">
        <v>16</v>
      </c>
      <c r="H19" s="51"/>
      <c r="I19" s="175" t="str">
        <f t="shared" si="3"/>
        <v xml:space="preserve"> </v>
      </c>
      <c r="J19" s="53"/>
      <c r="K19" s="175" t="str">
        <f t="shared" si="0"/>
        <v xml:space="preserve"> </v>
      </c>
      <c r="L19" s="81" t="str">
        <f t="shared" si="1"/>
        <v>-</v>
      </c>
      <c r="M19" s="54" t="str">
        <f t="shared" si="2"/>
        <v/>
      </c>
      <c r="N19" s="110"/>
      <c r="O19" s="111"/>
      <c r="P19" s="111"/>
      <c r="Q19" s="111"/>
      <c r="R19" s="111"/>
      <c r="S19" s="112"/>
      <c r="U19" s="14"/>
      <c r="V19" s="15"/>
    </row>
    <row r="20" spans="1:22" ht="12.2" customHeight="1">
      <c r="A20" s="23"/>
      <c r="B20" s="119" t="s">
        <v>28</v>
      </c>
      <c r="C20" s="119"/>
      <c r="D20" s="119"/>
      <c r="E20" s="119"/>
      <c r="F20" s="109"/>
      <c r="G20" s="18" t="s">
        <v>16</v>
      </c>
      <c r="H20" s="51"/>
      <c r="I20" s="175" t="str">
        <f t="shared" si="3"/>
        <v xml:space="preserve"> </v>
      </c>
      <c r="J20" s="53"/>
      <c r="K20" s="175" t="str">
        <f t="shared" si="0"/>
        <v xml:space="preserve"> </v>
      </c>
      <c r="L20" s="81" t="str">
        <f t="shared" si="1"/>
        <v>-</v>
      </c>
      <c r="M20" s="54" t="str">
        <f t="shared" si="2"/>
        <v/>
      </c>
      <c r="N20" s="110"/>
      <c r="O20" s="111"/>
      <c r="P20" s="111"/>
      <c r="Q20" s="111"/>
      <c r="R20" s="111"/>
      <c r="S20" s="112"/>
      <c r="U20" s="14"/>
      <c r="V20" s="15"/>
    </row>
    <row r="21" spans="1:22" ht="12.2" customHeight="1">
      <c r="A21" s="23"/>
      <c r="B21" s="119" t="s">
        <v>29</v>
      </c>
      <c r="C21" s="119"/>
      <c r="D21" s="119"/>
      <c r="E21" s="119"/>
      <c r="F21" s="109"/>
      <c r="G21" s="18" t="s">
        <v>16</v>
      </c>
      <c r="H21" s="51"/>
      <c r="I21" s="175" t="str">
        <f t="shared" si="3"/>
        <v xml:space="preserve"> </v>
      </c>
      <c r="J21" s="53"/>
      <c r="K21" s="175" t="str">
        <f t="shared" si="0"/>
        <v xml:space="preserve"> </v>
      </c>
      <c r="L21" s="81" t="str">
        <f t="shared" si="1"/>
        <v>-</v>
      </c>
      <c r="M21" s="54" t="str">
        <f t="shared" si="2"/>
        <v/>
      </c>
      <c r="N21" s="110"/>
      <c r="O21" s="111"/>
      <c r="P21" s="111"/>
      <c r="Q21" s="111"/>
      <c r="R21" s="111"/>
      <c r="S21" s="112"/>
      <c r="U21" s="14"/>
      <c r="V21" s="15"/>
    </row>
    <row r="22" spans="1:22" ht="12.2" customHeight="1">
      <c r="A22" s="25"/>
      <c r="B22" s="119" t="s">
        <v>30</v>
      </c>
      <c r="C22" s="119"/>
      <c r="D22" s="119"/>
      <c r="E22" s="119"/>
      <c r="F22" s="109"/>
      <c r="G22" s="18" t="s">
        <v>16</v>
      </c>
      <c r="H22" s="51"/>
      <c r="I22" s="175" t="str">
        <f t="shared" si="3"/>
        <v xml:space="preserve"> </v>
      </c>
      <c r="J22" s="53"/>
      <c r="K22" s="175" t="str">
        <f t="shared" si="0"/>
        <v xml:space="preserve"> </v>
      </c>
      <c r="L22" s="81" t="str">
        <f t="shared" si="1"/>
        <v>-</v>
      </c>
      <c r="M22" s="54" t="str">
        <f t="shared" si="2"/>
        <v/>
      </c>
      <c r="N22" s="110"/>
      <c r="O22" s="111"/>
      <c r="P22" s="111"/>
      <c r="Q22" s="111"/>
      <c r="R22" s="111"/>
      <c r="S22" s="112"/>
      <c r="U22" s="14"/>
      <c r="V22" s="15"/>
    </row>
    <row r="23" spans="1:22" ht="12.2" customHeight="1">
      <c r="A23" s="128" t="s">
        <v>31</v>
      </c>
      <c r="B23" s="129"/>
      <c r="C23" s="129"/>
      <c r="D23" s="129"/>
      <c r="E23" s="129"/>
      <c r="F23" s="130"/>
      <c r="G23" s="26" t="s">
        <v>16</v>
      </c>
      <c r="H23" s="51"/>
      <c r="I23" s="175" t="str">
        <f t="shared" si="3"/>
        <v xml:space="preserve"> </v>
      </c>
      <c r="J23" s="53"/>
      <c r="K23" s="175" t="str">
        <f t="shared" si="0"/>
        <v xml:space="preserve"> </v>
      </c>
      <c r="L23" s="81" t="str">
        <f t="shared" si="1"/>
        <v>-</v>
      </c>
      <c r="M23" s="54" t="str">
        <f t="shared" si="2"/>
        <v/>
      </c>
      <c r="N23" s="110"/>
      <c r="O23" s="111"/>
      <c r="P23" s="111"/>
      <c r="Q23" s="111"/>
      <c r="R23" s="111"/>
      <c r="S23" s="112"/>
      <c r="U23" s="14"/>
      <c r="V23" s="15"/>
    </row>
    <row r="24" spans="1:22" ht="12.2" customHeight="1">
      <c r="A24" s="27"/>
      <c r="B24" s="131" t="s">
        <v>32</v>
      </c>
      <c r="C24" s="132"/>
      <c r="D24" s="132"/>
      <c r="E24" s="132"/>
      <c r="F24" s="132"/>
      <c r="G24" s="28" t="s">
        <v>16</v>
      </c>
      <c r="H24" s="51"/>
      <c r="I24" s="175" t="str">
        <f t="shared" si="3"/>
        <v xml:space="preserve"> </v>
      </c>
      <c r="J24" s="53"/>
      <c r="K24" s="175" t="str">
        <f t="shared" si="0"/>
        <v xml:space="preserve"> </v>
      </c>
      <c r="L24" s="81" t="str">
        <f t="shared" si="1"/>
        <v>-</v>
      </c>
      <c r="M24" s="54" t="str">
        <f t="shared" si="2"/>
        <v/>
      </c>
      <c r="N24" s="110"/>
      <c r="O24" s="111"/>
      <c r="P24" s="111"/>
      <c r="Q24" s="111"/>
      <c r="R24" s="111"/>
      <c r="S24" s="112"/>
      <c r="U24" s="14"/>
      <c r="V24" s="15"/>
    </row>
    <row r="25" spans="1:22" ht="12.2" customHeight="1">
      <c r="A25" s="107" t="s">
        <v>33</v>
      </c>
      <c r="B25" s="108"/>
      <c r="C25" s="108"/>
      <c r="D25" s="108"/>
      <c r="E25" s="108"/>
      <c r="F25" s="109"/>
      <c r="G25" s="18" t="s">
        <v>16</v>
      </c>
      <c r="H25" s="51"/>
      <c r="I25" s="175" t="str">
        <f t="shared" si="3"/>
        <v xml:space="preserve"> </v>
      </c>
      <c r="J25" s="53"/>
      <c r="K25" s="175" t="str">
        <f t="shared" si="0"/>
        <v xml:space="preserve"> </v>
      </c>
      <c r="L25" s="81" t="str">
        <f t="shared" si="1"/>
        <v>-</v>
      </c>
      <c r="M25" s="54" t="str">
        <f t="shared" si="2"/>
        <v/>
      </c>
      <c r="N25" s="110"/>
      <c r="O25" s="111"/>
      <c r="P25" s="111"/>
      <c r="Q25" s="111"/>
      <c r="R25" s="111"/>
      <c r="S25" s="112"/>
      <c r="U25" s="14"/>
      <c r="V25" s="15"/>
    </row>
    <row r="26" spans="1:22" ht="12.2" customHeight="1">
      <c r="A26" s="107" t="s">
        <v>34</v>
      </c>
      <c r="B26" s="108"/>
      <c r="C26" s="108"/>
      <c r="D26" s="108"/>
      <c r="E26" s="108"/>
      <c r="F26" s="109"/>
      <c r="G26" s="18" t="s">
        <v>16</v>
      </c>
      <c r="H26" s="51"/>
      <c r="I26" s="58"/>
      <c r="J26" s="53"/>
      <c r="K26" s="58"/>
      <c r="L26" s="81" t="str">
        <f t="shared" si="1"/>
        <v>-</v>
      </c>
      <c r="M26" s="54" t="str">
        <f t="shared" si="2"/>
        <v/>
      </c>
      <c r="N26" s="110"/>
      <c r="O26" s="111"/>
      <c r="P26" s="111"/>
      <c r="Q26" s="111"/>
      <c r="R26" s="111"/>
      <c r="S26" s="112"/>
      <c r="U26" s="14"/>
      <c r="V26" s="15"/>
    </row>
    <row r="27" spans="1:22" ht="12.2" customHeight="1">
      <c r="A27" s="133" t="s">
        <v>35</v>
      </c>
      <c r="B27" s="108"/>
      <c r="C27" s="108"/>
      <c r="D27" s="108"/>
      <c r="E27" s="108"/>
      <c r="F27" s="109"/>
      <c r="G27" s="18" t="s">
        <v>16</v>
      </c>
      <c r="H27" s="51"/>
      <c r="I27" s="58"/>
      <c r="J27" s="53"/>
      <c r="K27" s="58"/>
      <c r="L27" s="81" t="str">
        <f t="shared" si="1"/>
        <v>-</v>
      </c>
      <c r="M27" s="54" t="str">
        <f t="shared" si="2"/>
        <v/>
      </c>
      <c r="N27" s="110"/>
      <c r="O27" s="111"/>
      <c r="P27" s="111"/>
      <c r="Q27" s="111"/>
      <c r="R27" s="111"/>
      <c r="S27" s="112"/>
      <c r="U27" s="14"/>
      <c r="V27" s="15"/>
    </row>
    <row r="28" spans="1:22" ht="12.2" customHeight="1">
      <c r="A28" s="107" t="s">
        <v>36</v>
      </c>
      <c r="B28" s="108"/>
      <c r="C28" s="108"/>
      <c r="D28" s="108"/>
      <c r="E28" s="108"/>
      <c r="F28" s="109"/>
      <c r="G28" s="18" t="s">
        <v>16</v>
      </c>
      <c r="H28" s="51"/>
      <c r="I28" s="58"/>
      <c r="J28" s="53"/>
      <c r="K28" s="58"/>
      <c r="L28" s="81" t="str">
        <f t="shared" si="1"/>
        <v>-</v>
      </c>
      <c r="M28" s="54" t="str">
        <f t="shared" si="2"/>
        <v/>
      </c>
      <c r="N28" s="110"/>
      <c r="O28" s="111"/>
      <c r="P28" s="111"/>
      <c r="Q28" s="111"/>
      <c r="R28" s="111"/>
      <c r="S28" s="112"/>
      <c r="U28" s="14"/>
      <c r="V28" s="15"/>
    </row>
    <row r="29" spans="1:22" ht="12.2" customHeight="1">
      <c r="A29" s="107" t="s">
        <v>37</v>
      </c>
      <c r="B29" s="108"/>
      <c r="C29" s="108"/>
      <c r="D29" s="108"/>
      <c r="E29" s="108"/>
      <c r="F29" s="109"/>
      <c r="G29" s="18" t="s">
        <v>16</v>
      </c>
      <c r="H29" s="51"/>
      <c r="I29" s="58"/>
      <c r="J29" s="53"/>
      <c r="K29" s="58"/>
      <c r="L29" s="81" t="str">
        <f t="shared" si="1"/>
        <v>-</v>
      </c>
      <c r="M29" s="54" t="str">
        <f t="shared" si="2"/>
        <v/>
      </c>
      <c r="N29" s="110"/>
      <c r="O29" s="111"/>
      <c r="P29" s="111"/>
      <c r="Q29" s="111"/>
      <c r="R29" s="111"/>
      <c r="S29" s="112"/>
      <c r="U29" s="14"/>
      <c r="V29" s="15"/>
    </row>
    <row r="30" spans="1:22" ht="12.2" customHeight="1">
      <c r="A30" s="133" t="s">
        <v>38</v>
      </c>
      <c r="B30" s="108"/>
      <c r="C30" s="108"/>
      <c r="D30" s="108"/>
      <c r="E30" s="108"/>
      <c r="F30" s="109"/>
      <c r="G30" s="18" t="s">
        <v>16</v>
      </c>
      <c r="H30" s="51"/>
      <c r="I30" s="58"/>
      <c r="J30" s="53"/>
      <c r="K30" s="58"/>
      <c r="L30" s="81" t="str">
        <f t="shared" si="1"/>
        <v>-</v>
      </c>
      <c r="M30" s="54" t="str">
        <f t="shared" si="2"/>
        <v/>
      </c>
      <c r="N30" s="110"/>
      <c r="O30" s="111"/>
      <c r="P30" s="111"/>
      <c r="Q30" s="111"/>
      <c r="R30" s="111"/>
      <c r="S30" s="112"/>
      <c r="U30" s="14"/>
      <c r="V30" s="15"/>
    </row>
    <row r="31" spans="1:22" ht="12.2" customHeight="1">
      <c r="A31" s="107" t="s">
        <v>39</v>
      </c>
      <c r="B31" s="108"/>
      <c r="C31" s="108"/>
      <c r="D31" s="108"/>
      <c r="E31" s="108"/>
      <c r="F31" s="109"/>
      <c r="G31" s="18" t="s">
        <v>16</v>
      </c>
      <c r="H31" s="51"/>
      <c r="I31" s="58"/>
      <c r="J31" s="53"/>
      <c r="K31" s="58"/>
      <c r="L31" s="81" t="str">
        <f t="shared" si="1"/>
        <v>-</v>
      </c>
      <c r="M31" s="54" t="str">
        <f t="shared" si="2"/>
        <v/>
      </c>
      <c r="N31" s="110"/>
      <c r="O31" s="111"/>
      <c r="P31" s="111"/>
      <c r="Q31" s="111"/>
      <c r="R31" s="111"/>
      <c r="S31" s="112"/>
      <c r="U31" s="14"/>
      <c r="V31" s="15"/>
    </row>
    <row r="32" spans="1:22" ht="12.2" customHeight="1">
      <c r="A32" s="107" t="s">
        <v>40</v>
      </c>
      <c r="B32" s="108"/>
      <c r="C32" s="108"/>
      <c r="D32" s="108"/>
      <c r="E32" s="108"/>
      <c r="F32" s="109"/>
      <c r="G32" s="18" t="s">
        <v>16</v>
      </c>
      <c r="H32" s="51"/>
      <c r="I32" s="58"/>
      <c r="J32" s="53"/>
      <c r="K32" s="58"/>
      <c r="L32" s="81" t="str">
        <f t="shared" si="1"/>
        <v>-</v>
      </c>
      <c r="M32" s="54" t="str">
        <f t="shared" si="2"/>
        <v/>
      </c>
      <c r="N32" s="110"/>
      <c r="O32" s="111"/>
      <c r="P32" s="111"/>
      <c r="Q32" s="111"/>
      <c r="R32" s="111"/>
      <c r="S32" s="112"/>
      <c r="U32" s="14"/>
      <c r="V32" s="15"/>
    </row>
    <row r="33" spans="1:22" ht="12.2" customHeight="1">
      <c r="A33" s="133" t="s">
        <v>41</v>
      </c>
      <c r="B33" s="108"/>
      <c r="C33" s="108"/>
      <c r="D33" s="108"/>
      <c r="E33" s="108"/>
      <c r="F33" s="109"/>
      <c r="G33" s="18" t="s">
        <v>16</v>
      </c>
      <c r="H33" s="59"/>
      <c r="I33" s="60"/>
      <c r="J33" s="61"/>
      <c r="K33" s="60"/>
      <c r="L33" s="83" t="str">
        <f t="shared" si="1"/>
        <v>-</v>
      </c>
      <c r="M33" s="62" t="str">
        <f t="shared" si="2"/>
        <v/>
      </c>
      <c r="N33" s="110"/>
      <c r="O33" s="111"/>
      <c r="P33" s="111"/>
      <c r="Q33" s="111"/>
      <c r="R33" s="111"/>
      <c r="S33" s="112"/>
      <c r="U33" s="14"/>
      <c r="V33" s="15"/>
    </row>
    <row r="34" spans="1:22" ht="12.2" customHeight="1">
      <c r="A34" s="134" t="s">
        <v>42</v>
      </c>
      <c r="B34" s="135"/>
      <c r="C34" s="135"/>
      <c r="D34" s="135"/>
      <c r="E34" s="135"/>
      <c r="F34" s="135"/>
      <c r="G34" s="29" t="s">
        <v>43</v>
      </c>
      <c r="H34" s="176"/>
      <c r="I34" s="63"/>
      <c r="J34" s="179"/>
      <c r="K34" s="63"/>
      <c r="L34" s="84" t="str">
        <f t="shared" si="1"/>
        <v>-</v>
      </c>
      <c r="M34" s="182" t="str">
        <f t="shared" si="2"/>
        <v/>
      </c>
      <c r="N34" s="110"/>
      <c r="O34" s="111"/>
      <c r="P34" s="111"/>
      <c r="Q34" s="111"/>
      <c r="R34" s="111"/>
      <c r="S34" s="112"/>
      <c r="U34" s="14"/>
      <c r="V34" s="24"/>
    </row>
    <row r="35" spans="1:22" ht="12.2" customHeight="1">
      <c r="A35" s="30"/>
      <c r="B35" s="136" t="s">
        <v>44</v>
      </c>
      <c r="C35" s="137"/>
      <c r="D35" s="137"/>
      <c r="E35" s="137"/>
      <c r="F35" s="137"/>
      <c r="G35" s="31" t="s">
        <v>45</v>
      </c>
      <c r="H35" s="177"/>
      <c r="I35" s="58"/>
      <c r="J35" s="180"/>
      <c r="K35" s="58"/>
      <c r="L35" s="81" t="str">
        <f t="shared" si="1"/>
        <v>-</v>
      </c>
      <c r="M35" s="183" t="str">
        <f t="shared" si="2"/>
        <v/>
      </c>
      <c r="N35" s="110"/>
      <c r="O35" s="111"/>
      <c r="P35" s="111"/>
      <c r="Q35" s="111"/>
      <c r="R35" s="111"/>
      <c r="S35" s="112"/>
      <c r="U35" s="14"/>
      <c r="V35" s="15"/>
    </row>
    <row r="36" spans="1:22" ht="12.2" customHeight="1">
      <c r="A36" s="32"/>
      <c r="B36" s="162" t="s">
        <v>46</v>
      </c>
      <c r="C36" s="163"/>
      <c r="D36" s="163"/>
      <c r="E36" s="163"/>
      <c r="F36" s="163"/>
      <c r="G36" s="33" t="s">
        <v>45</v>
      </c>
      <c r="H36" s="178"/>
      <c r="I36" s="66"/>
      <c r="J36" s="181"/>
      <c r="K36" s="66"/>
      <c r="L36" s="85" t="str">
        <f t="shared" si="1"/>
        <v>-</v>
      </c>
      <c r="M36" s="184" t="str">
        <f t="shared" si="2"/>
        <v/>
      </c>
      <c r="N36" s="110"/>
      <c r="O36" s="111"/>
      <c r="P36" s="111"/>
      <c r="Q36" s="111"/>
      <c r="R36" s="111"/>
      <c r="S36" s="112"/>
      <c r="U36" s="14"/>
      <c r="V36" s="15"/>
    </row>
    <row r="37" spans="1:22" ht="12.2" customHeight="1">
      <c r="A37" s="164" t="s">
        <v>47</v>
      </c>
      <c r="B37" s="165"/>
      <c r="C37" s="170" t="s">
        <v>48</v>
      </c>
      <c r="D37" s="171"/>
      <c r="E37" s="171"/>
      <c r="F37" s="171"/>
      <c r="G37" s="29" t="s">
        <v>49</v>
      </c>
      <c r="H37" s="185"/>
      <c r="I37" s="63"/>
      <c r="J37" s="187"/>
      <c r="K37" s="63"/>
      <c r="L37" s="84" t="str">
        <f t="shared" si="1"/>
        <v>-</v>
      </c>
      <c r="M37" s="84" t="str">
        <f t="shared" si="2"/>
        <v/>
      </c>
      <c r="N37" s="110"/>
      <c r="O37" s="111"/>
      <c r="P37" s="111"/>
      <c r="Q37" s="111"/>
      <c r="R37" s="111"/>
      <c r="S37" s="112"/>
      <c r="U37" s="14"/>
      <c r="V37" s="15"/>
    </row>
    <row r="38" spans="1:22" ht="12.2" customHeight="1">
      <c r="A38" s="166"/>
      <c r="B38" s="167"/>
      <c r="C38" s="121" t="s">
        <v>50</v>
      </c>
      <c r="D38" s="122"/>
      <c r="E38" s="122"/>
      <c r="F38" s="122"/>
      <c r="G38" s="18" t="s">
        <v>51</v>
      </c>
      <c r="H38" s="186"/>
      <c r="I38" s="58"/>
      <c r="J38" s="188"/>
      <c r="K38" s="58"/>
      <c r="L38" s="81" t="str">
        <f t="shared" si="1"/>
        <v>-</v>
      </c>
      <c r="M38" s="81" t="str">
        <f t="shared" si="2"/>
        <v/>
      </c>
      <c r="N38" s="110"/>
      <c r="O38" s="111"/>
      <c r="P38" s="111"/>
      <c r="Q38" s="111"/>
      <c r="R38" s="111"/>
      <c r="S38" s="112"/>
      <c r="U38" s="14"/>
      <c r="V38" s="15"/>
    </row>
    <row r="39" spans="1:22" ht="12.2" customHeight="1" thickBot="1">
      <c r="A39" s="168"/>
      <c r="B39" s="169"/>
      <c r="C39" s="172" t="s">
        <v>52</v>
      </c>
      <c r="D39" s="173"/>
      <c r="E39" s="173"/>
      <c r="F39" s="173"/>
      <c r="G39" s="26" t="s">
        <v>14</v>
      </c>
      <c r="H39" s="68"/>
      <c r="I39" s="69"/>
      <c r="J39" s="70"/>
      <c r="K39" s="69"/>
      <c r="L39" s="86" t="str">
        <f t="shared" si="1"/>
        <v>-</v>
      </c>
      <c r="M39" s="71" t="str">
        <f t="shared" si="2"/>
        <v/>
      </c>
      <c r="N39" s="110"/>
      <c r="O39" s="111"/>
      <c r="P39" s="111"/>
      <c r="Q39" s="111"/>
      <c r="R39" s="111"/>
      <c r="S39" s="112"/>
      <c r="U39" s="14"/>
      <c r="V39" s="15"/>
    </row>
    <row r="40" spans="1:22" ht="12.2" customHeight="1" thickTop="1">
      <c r="A40" s="149" t="s">
        <v>53</v>
      </c>
      <c r="B40" s="150"/>
      <c r="C40" s="150"/>
      <c r="D40" s="150"/>
      <c r="E40" s="150"/>
      <c r="F40" s="150"/>
      <c r="G40" s="34"/>
      <c r="H40" s="72"/>
      <c r="I40" s="73"/>
      <c r="J40" s="72"/>
      <c r="K40" s="73"/>
      <c r="L40" s="87"/>
      <c r="M40" s="74"/>
      <c r="N40" s="110"/>
      <c r="O40" s="111"/>
      <c r="P40" s="111"/>
      <c r="Q40" s="111"/>
      <c r="R40" s="111"/>
      <c r="S40" s="112"/>
      <c r="U40" s="14"/>
      <c r="V40" s="15"/>
    </row>
    <row r="41" spans="1:22" ht="12.2" customHeight="1">
      <c r="A41" s="151" t="s">
        <v>54</v>
      </c>
      <c r="B41" s="152"/>
      <c r="C41" s="152"/>
      <c r="D41" s="152"/>
      <c r="E41" s="121" t="s">
        <v>55</v>
      </c>
      <c r="F41" s="122"/>
      <c r="G41" s="18" t="s">
        <v>49</v>
      </c>
      <c r="H41" s="186"/>
      <c r="I41" s="58"/>
      <c r="J41" s="188"/>
      <c r="K41" s="58"/>
      <c r="L41" s="81" t="str">
        <f t="shared" ref="L41:L45" si="4">IF(H41="-", "-", IF(J41="-", "-", IF(ABS(J41)=0, "-", ROUND(100*(H41-J41)/ABS(J41), 10))))</f>
        <v>-</v>
      </c>
      <c r="M41" s="81" t="str">
        <f t="shared" ref="M41:M45" si="5">IF(H41-J41=0,"",H41-J41)</f>
        <v/>
      </c>
      <c r="N41" s="110"/>
      <c r="O41" s="111"/>
      <c r="P41" s="111"/>
      <c r="Q41" s="111"/>
      <c r="R41" s="111"/>
      <c r="S41" s="112"/>
      <c r="U41" s="14"/>
      <c r="V41" s="35"/>
    </row>
    <row r="42" spans="1:22" ht="12.2" customHeight="1">
      <c r="A42" s="153"/>
      <c r="B42" s="154"/>
      <c r="C42" s="154"/>
      <c r="D42" s="154"/>
      <c r="E42" s="155" t="s">
        <v>56</v>
      </c>
      <c r="F42" s="156"/>
      <c r="G42" s="33" t="s">
        <v>14</v>
      </c>
      <c r="H42" s="65"/>
      <c r="I42" s="66"/>
      <c r="J42" s="67"/>
      <c r="K42" s="60"/>
      <c r="L42" s="83" t="str">
        <f t="shared" si="4"/>
        <v>-</v>
      </c>
      <c r="M42" s="62" t="str">
        <f t="shared" si="5"/>
        <v/>
      </c>
      <c r="N42" s="110"/>
      <c r="O42" s="111"/>
      <c r="P42" s="111"/>
      <c r="Q42" s="111"/>
      <c r="R42" s="111"/>
      <c r="S42" s="112"/>
      <c r="U42" s="14"/>
      <c r="V42" s="24"/>
    </row>
    <row r="43" spans="1:22" ht="12.2" customHeight="1">
      <c r="A43" s="143" t="s">
        <v>57</v>
      </c>
      <c r="B43" s="144"/>
      <c r="C43" s="144"/>
      <c r="D43" s="144"/>
      <c r="E43" s="144"/>
      <c r="F43" s="144"/>
      <c r="G43" s="16" t="s">
        <v>16</v>
      </c>
      <c r="H43" s="55"/>
      <c r="I43" s="75"/>
      <c r="J43" s="56"/>
      <c r="K43" s="63"/>
      <c r="L43" s="84" t="str">
        <f t="shared" si="4"/>
        <v>-</v>
      </c>
      <c r="M43" s="64" t="str">
        <f t="shared" si="5"/>
        <v/>
      </c>
      <c r="N43" s="110"/>
      <c r="O43" s="111"/>
      <c r="P43" s="111"/>
      <c r="Q43" s="111"/>
      <c r="R43" s="111"/>
      <c r="S43" s="112"/>
      <c r="U43" s="14"/>
      <c r="V43" s="24"/>
    </row>
    <row r="44" spans="1:22" ht="12.2" customHeight="1">
      <c r="A44" s="133" t="s">
        <v>58</v>
      </c>
      <c r="B44" s="145"/>
      <c r="C44" s="145"/>
      <c r="D44" s="145"/>
      <c r="E44" s="145"/>
      <c r="F44" s="145"/>
      <c r="G44" s="18" t="s">
        <v>16</v>
      </c>
      <c r="H44" s="51"/>
      <c r="I44" s="58"/>
      <c r="J44" s="53"/>
      <c r="K44" s="58"/>
      <c r="L44" s="81" t="str">
        <f t="shared" si="4"/>
        <v>-</v>
      </c>
      <c r="M44" s="54" t="str">
        <f t="shared" si="5"/>
        <v/>
      </c>
      <c r="N44" s="110"/>
      <c r="O44" s="111"/>
      <c r="P44" s="111"/>
      <c r="Q44" s="111"/>
      <c r="R44" s="111"/>
      <c r="S44" s="112"/>
      <c r="U44" s="14"/>
      <c r="V44" s="15"/>
    </row>
    <row r="45" spans="1:22" ht="12.2" customHeight="1" thickBot="1">
      <c r="A45" s="36"/>
      <c r="B45" s="146" t="s">
        <v>59</v>
      </c>
      <c r="C45" s="147"/>
      <c r="D45" s="147"/>
      <c r="E45" s="147"/>
      <c r="F45" s="147"/>
      <c r="G45" s="37" t="s">
        <v>16</v>
      </c>
      <c r="H45" s="76"/>
      <c r="I45" s="77"/>
      <c r="J45" s="78"/>
      <c r="K45" s="79"/>
      <c r="L45" s="86" t="str">
        <f t="shared" si="4"/>
        <v>-</v>
      </c>
      <c r="M45" s="71" t="str">
        <f t="shared" si="5"/>
        <v/>
      </c>
      <c r="N45" s="110"/>
      <c r="O45" s="111"/>
      <c r="P45" s="111"/>
      <c r="Q45" s="111"/>
      <c r="R45" s="111"/>
      <c r="S45" s="112"/>
      <c r="U45" s="14"/>
      <c r="V45" s="15"/>
    </row>
    <row r="46" spans="1:22" ht="12.2" customHeight="1" thickTop="1">
      <c r="A46" s="149" t="s">
        <v>60</v>
      </c>
      <c r="B46" s="150"/>
      <c r="C46" s="150"/>
      <c r="D46" s="150"/>
      <c r="E46" s="150"/>
      <c r="F46" s="150"/>
      <c r="G46" s="34"/>
      <c r="H46" s="72"/>
      <c r="I46" s="73"/>
      <c r="J46" s="72"/>
      <c r="K46" s="73"/>
      <c r="L46" s="87"/>
      <c r="M46" s="74"/>
      <c r="N46" s="110"/>
      <c r="O46" s="111"/>
      <c r="P46" s="111"/>
      <c r="Q46" s="111"/>
      <c r="R46" s="111"/>
      <c r="S46" s="112"/>
      <c r="U46" s="14"/>
      <c r="V46" s="15"/>
    </row>
    <row r="47" spans="1:22" ht="12.2" customHeight="1">
      <c r="A47" s="148" t="s">
        <v>61</v>
      </c>
      <c r="B47" s="122"/>
      <c r="C47" s="122"/>
      <c r="D47" s="122"/>
      <c r="E47" s="122"/>
      <c r="F47" s="122"/>
      <c r="G47" s="38" t="s">
        <v>62</v>
      </c>
      <c r="H47" s="189"/>
      <c r="I47" s="77"/>
      <c r="J47" s="191"/>
      <c r="K47" s="77"/>
      <c r="L47" s="81" t="str">
        <f t="shared" ref="L47:L48" si="6">IF(H47="-", "-", IF(J47="-", "-", IF(ABS(J47)=0, "-", ROUND(100*(H47-J47)/ABS(J47), 10))))</f>
        <v>-</v>
      </c>
      <c r="M47" s="81" t="str">
        <f t="shared" ref="M47:M48" si="7">IF(H47-J47=0,"",H47-J47)</f>
        <v/>
      </c>
      <c r="N47" s="110"/>
      <c r="O47" s="111"/>
      <c r="P47" s="111"/>
      <c r="Q47" s="111"/>
      <c r="R47" s="111"/>
      <c r="S47" s="112"/>
      <c r="U47" s="14"/>
      <c r="V47" s="15"/>
    </row>
    <row r="48" spans="1:22" ht="12.2" customHeight="1" thickBot="1">
      <c r="A48" s="138" t="s">
        <v>63</v>
      </c>
      <c r="B48" s="139"/>
      <c r="C48" s="139"/>
      <c r="D48" s="139"/>
      <c r="E48" s="139"/>
      <c r="F48" s="139"/>
      <c r="G48" s="39" t="s">
        <v>16</v>
      </c>
      <c r="H48" s="190"/>
      <c r="I48" s="80"/>
      <c r="J48" s="192"/>
      <c r="K48" s="80"/>
      <c r="L48" s="88" t="str">
        <f t="shared" si="6"/>
        <v>-</v>
      </c>
      <c r="M48" s="88" t="str">
        <f t="shared" si="7"/>
        <v/>
      </c>
      <c r="N48" s="140"/>
      <c r="O48" s="141"/>
      <c r="P48" s="141"/>
      <c r="Q48" s="141"/>
      <c r="R48" s="141"/>
      <c r="S48" s="142"/>
      <c r="U48" s="14"/>
      <c r="V48" s="15"/>
    </row>
    <row r="49" spans="22:22">
      <c r="V49" s="35"/>
    </row>
  </sheetData>
  <mergeCells count="97">
    <mergeCell ref="O1:P1"/>
    <mergeCell ref="Q1:R1"/>
    <mergeCell ref="A1:C1"/>
    <mergeCell ref="A46:F46"/>
    <mergeCell ref="N46:S46"/>
    <mergeCell ref="B36:F36"/>
    <mergeCell ref="N36:S36"/>
    <mergeCell ref="A37:B39"/>
    <mergeCell ref="C37:F37"/>
    <mergeCell ref="N37:S37"/>
    <mergeCell ref="C38:F38"/>
    <mergeCell ref="N38:S38"/>
    <mergeCell ref="C39:F39"/>
    <mergeCell ref="N39:S39"/>
    <mergeCell ref="A33:F33"/>
    <mergeCell ref="N33:S33"/>
    <mergeCell ref="A40:F40"/>
    <mergeCell ref="N40:S40"/>
    <mergeCell ref="A41:D42"/>
    <mergeCell ref="E41:F41"/>
    <mergeCell ref="N41:S41"/>
    <mergeCell ref="E42:F42"/>
    <mergeCell ref="N42:S42"/>
    <mergeCell ref="A48:F48"/>
    <mergeCell ref="N48:S48"/>
    <mergeCell ref="A43:F43"/>
    <mergeCell ref="N43:S43"/>
    <mergeCell ref="A44:F44"/>
    <mergeCell ref="N44:S44"/>
    <mergeCell ref="B45:F45"/>
    <mergeCell ref="N45:S45"/>
    <mergeCell ref="A47:F47"/>
    <mergeCell ref="N47:S47"/>
    <mergeCell ref="A34:F34"/>
    <mergeCell ref="N34:S34"/>
    <mergeCell ref="B35:F35"/>
    <mergeCell ref="N35:S35"/>
    <mergeCell ref="A30:F30"/>
    <mergeCell ref="N30:S30"/>
    <mergeCell ref="A31:F31"/>
    <mergeCell ref="N31:S31"/>
    <mergeCell ref="A32:F32"/>
    <mergeCell ref="N32:S32"/>
    <mergeCell ref="A27:F27"/>
    <mergeCell ref="N27:S27"/>
    <mergeCell ref="A28:F28"/>
    <mergeCell ref="N28:S28"/>
    <mergeCell ref="A29:F29"/>
    <mergeCell ref="N29:S29"/>
    <mergeCell ref="B24:F24"/>
    <mergeCell ref="N24:S24"/>
    <mergeCell ref="A25:F25"/>
    <mergeCell ref="N25:S25"/>
    <mergeCell ref="A26:F26"/>
    <mergeCell ref="N26:S26"/>
    <mergeCell ref="B21:F21"/>
    <mergeCell ref="N21:S21"/>
    <mergeCell ref="B22:F22"/>
    <mergeCell ref="N22:S22"/>
    <mergeCell ref="A23:F23"/>
    <mergeCell ref="N23:S23"/>
    <mergeCell ref="B18:F18"/>
    <mergeCell ref="N18:S18"/>
    <mergeCell ref="B19:F19"/>
    <mergeCell ref="N19:S19"/>
    <mergeCell ref="B20:F20"/>
    <mergeCell ref="N20:S20"/>
    <mergeCell ref="B15:F15"/>
    <mergeCell ref="N15:S15"/>
    <mergeCell ref="B16:F16"/>
    <mergeCell ref="N16:S16"/>
    <mergeCell ref="B17:F17"/>
    <mergeCell ref="N17:S17"/>
    <mergeCell ref="B12:F12"/>
    <mergeCell ref="N12:S12"/>
    <mergeCell ref="B13:F13"/>
    <mergeCell ref="N13:S13"/>
    <mergeCell ref="B14:F14"/>
    <mergeCell ref="N14:S14"/>
    <mergeCell ref="B9:F9"/>
    <mergeCell ref="N9:S9"/>
    <mergeCell ref="C10:F10"/>
    <mergeCell ref="N10:S10"/>
    <mergeCell ref="C11:F11"/>
    <mergeCell ref="N11:S11"/>
    <mergeCell ref="A6:F6"/>
    <mergeCell ref="N6:S6"/>
    <mergeCell ref="A7:F7"/>
    <mergeCell ref="N7:S7"/>
    <mergeCell ref="B8:F8"/>
    <mergeCell ref="N8:S8"/>
    <mergeCell ref="N4:S5"/>
    <mergeCell ref="A4:F5"/>
    <mergeCell ref="G4:G5"/>
    <mergeCell ref="H4:H5"/>
    <mergeCell ref="J4:J5"/>
    <mergeCell ref="M4:M5"/>
  </mergeCells>
  <phoneticPr fontId="3"/>
  <printOptions horizontalCentered="1" verticalCentered="1"/>
  <pageMargins left="0.39370078740157483" right="0.39370078740157483" top="0.59055118110236227" bottom="0.39370078740157483" header="0.31496062992125984" footer="0.19685039370078741"/>
  <pageSetup paperSize="9" scale="94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FD4E-B83C-4B80-A2F9-773C42819564}">
  <dimension ref="A2:B74"/>
  <sheetViews>
    <sheetView workbookViewId="0"/>
  </sheetViews>
  <sheetFormatPr defaultColWidth="9" defaultRowHeight="13.5"/>
  <cols>
    <col min="1" max="1" width="16.875" style="44" bestFit="1" customWidth="1"/>
    <col min="2" max="2" width="9" style="44"/>
    <col min="3" max="16384" width="9" style="43"/>
  </cols>
  <sheetData>
    <row r="2" spans="1:2">
      <c r="A2" s="42" t="s">
        <v>65</v>
      </c>
      <c r="B2" s="42" t="s">
        <v>66</v>
      </c>
    </row>
    <row r="3" spans="1:2">
      <c r="A3" s="42" t="s">
        <v>67</v>
      </c>
      <c r="B3" s="42">
        <v>0</v>
      </c>
    </row>
    <row r="4" spans="1:2">
      <c r="A4" s="42" t="s">
        <v>68</v>
      </c>
      <c r="B4" s="42">
        <v>60</v>
      </c>
    </row>
    <row r="5" spans="1:2">
      <c r="A5" s="42" t="s">
        <v>69</v>
      </c>
      <c r="B5" s="42">
        <v>1</v>
      </c>
    </row>
    <row r="6" spans="1:2">
      <c r="A6" s="42" t="s">
        <v>70</v>
      </c>
      <c r="B6" s="42">
        <v>61</v>
      </c>
    </row>
    <row r="7" spans="1:2">
      <c r="A7" s="42" t="s">
        <v>71</v>
      </c>
      <c r="B7" s="42">
        <v>62</v>
      </c>
    </row>
    <row r="8" spans="1:2">
      <c r="A8" s="42" t="s">
        <v>72</v>
      </c>
      <c r="B8" s="42">
        <v>63</v>
      </c>
    </row>
    <row r="9" spans="1:2">
      <c r="A9" s="42" t="s">
        <v>73</v>
      </c>
      <c r="B9" s="42">
        <v>67</v>
      </c>
    </row>
    <row r="10" spans="1:2">
      <c r="A10" s="42" t="s">
        <v>74</v>
      </c>
      <c r="B10" s="42">
        <v>68</v>
      </c>
    </row>
    <row r="11" spans="1:2">
      <c r="A11" s="42" t="s">
        <v>75</v>
      </c>
      <c r="B11" s="42">
        <v>71</v>
      </c>
    </row>
    <row r="12" spans="1:2">
      <c r="A12" s="42" t="s">
        <v>76</v>
      </c>
      <c r="B12" s="42">
        <v>74</v>
      </c>
    </row>
    <row r="13" spans="1:2">
      <c r="A13" s="42" t="s">
        <v>77</v>
      </c>
      <c r="B13" s="42">
        <v>75</v>
      </c>
    </row>
    <row r="14" spans="1:2">
      <c r="A14" s="42" t="s">
        <v>78</v>
      </c>
      <c r="B14" s="42">
        <v>47</v>
      </c>
    </row>
    <row r="15" spans="1:2">
      <c r="A15" s="42" t="s">
        <v>79</v>
      </c>
      <c r="B15" s="42">
        <v>64</v>
      </c>
    </row>
    <row r="16" spans="1:2">
      <c r="A16" s="42" t="s">
        <v>80</v>
      </c>
      <c r="B16" s="42">
        <v>65</v>
      </c>
    </row>
    <row r="17" spans="1:2">
      <c r="A17" s="42" t="s">
        <v>81</v>
      </c>
      <c r="B17" s="42">
        <v>66</v>
      </c>
    </row>
    <row r="18" spans="1:2">
      <c r="A18" s="42" t="s">
        <v>82</v>
      </c>
      <c r="B18" s="42">
        <v>69</v>
      </c>
    </row>
    <row r="19" spans="1:2">
      <c r="A19" s="42" t="s">
        <v>83</v>
      </c>
      <c r="B19" s="42">
        <v>70</v>
      </c>
    </row>
    <row r="20" spans="1:2">
      <c r="A20" s="42" t="s">
        <v>84</v>
      </c>
      <c r="B20" s="42">
        <v>72</v>
      </c>
    </row>
    <row r="21" spans="1:2">
      <c r="A21" s="42" t="s">
        <v>85</v>
      </c>
      <c r="B21" s="42">
        <v>73</v>
      </c>
    </row>
    <row r="22" spans="1:2">
      <c r="A22" s="42" t="s">
        <v>86</v>
      </c>
      <c r="B22" s="42">
        <v>76</v>
      </c>
    </row>
    <row r="23" spans="1:2">
      <c r="A23" s="42" t="s">
        <v>87</v>
      </c>
      <c r="B23" s="42">
        <v>77</v>
      </c>
    </row>
    <row r="24" spans="1:2">
      <c r="A24" s="42" t="s">
        <v>88</v>
      </c>
      <c r="B24" s="42">
        <v>93</v>
      </c>
    </row>
    <row r="25" spans="1:2">
      <c r="A25" s="42" t="s">
        <v>89</v>
      </c>
      <c r="B25" s="42">
        <v>94</v>
      </c>
    </row>
    <row r="26" spans="1:2">
      <c r="A26" s="42" t="s">
        <v>90</v>
      </c>
      <c r="B26" s="42">
        <v>95</v>
      </c>
    </row>
    <row r="27" spans="1:2">
      <c r="A27" s="42" t="s">
        <v>91</v>
      </c>
      <c r="B27" s="42">
        <v>2</v>
      </c>
    </row>
    <row r="28" spans="1:2">
      <c r="A28" s="42" t="s">
        <v>92</v>
      </c>
      <c r="B28" s="42">
        <v>3</v>
      </c>
    </row>
    <row r="29" spans="1:2">
      <c r="A29" s="42" t="s">
        <v>93</v>
      </c>
      <c r="B29" s="42">
        <v>4</v>
      </c>
    </row>
    <row r="30" spans="1:2">
      <c r="A30" s="42" t="s">
        <v>94</v>
      </c>
      <c r="B30" s="42">
        <v>5</v>
      </c>
    </row>
    <row r="31" spans="1:2">
      <c r="A31" s="42" t="s">
        <v>95</v>
      </c>
      <c r="B31" s="42">
        <v>6</v>
      </c>
    </row>
    <row r="32" spans="1:2">
      <c r="A32" s="42" t="s">
        <v>96</v>
      </c>
      <c r="B32" s="42">
        <v>7</v>
      </c>
    </row>
    <row r="33" spans="1:2">
      <c r="A33" s="42" t="s">
        <v>97</v>
      </c>
      <c r="B33" s="42">
        <v>8</v>
      </c>
    </row>
    <row r="34" spans="1:2">
      <c r="A34" s="42" t="s">
        <v>98</v>
      </c>
      <c r="B34" s="42">
        <v>9</v>
      </c>
    </row>
    <row r="35" spans="1:2">
      <c r="A35" s="42" t="s">
        <v>99</v>
      </c>
      <c r="B35" s="42">
        <v>10</v>
      </c>
    </row>
    <row r="36" spans="1:2">
      <c r="A36" s="42" t="s">
        <v>100</v>
      </c>
      <c r="B36" s="42">
        <v>11</v>
      </c>
    </row>
    <row r="37" spans="1:2">
      <c r="A37" s="42" t="s">
        <v>101</v>
      </c>
      <c r="B37" s="42">
        <v>12</v>
      </c>
    </row>
    <row r="38" spans="1:2">
      <c r="A38" s="42" t="s">
        <v>102</v>
      </c>
      <c r="B38" s="42">
        <v>13</v>
      </c>
    </row>
    <row r="39" spans="1:2">
      <c r="A39" s="42" t="s">
        <v>103</v>
      </c>
      <c r="B39" s="42">
        <v>14</v>
      </c>
    </row>
    <row r="40" spans="1:2">
      <c r="A40" s="42" t="s">
        <v>104</v>
      </c>
      <c r="B40" s="42">
        <v>15</v>
      </c>
    </row>
    <row r="41" spans="1:2">
      <c r="A41" s="42" t="s">
        <v>105</v>
      </c>
      <c r="B41" s="42">
        <v>16</v>
      </c>
    </row>
    <row r="42" spans="1:2">
      <c r="A42" s="42" t="s">
        <v>106</v>
      </c>
      <c r="B42" s="42">
        <v>17</v>
      </c>
    </row>
    <row r="43" spans="1:2">
      <c r="A43" s="42" t="s">
        <v>107</v>
      </c>
      <c r="B43" s="42">
        <v>18</v>
      </c>
    </row>
    <row r="44" spans="1:2">
      <c r="A44" s="42" t="s">
        <v>108</v>
      </c>
      <c r="B44" s="42">
        <v>19</v>
      </c>
    </row>
    <row r="45" spans="1:2">
      <c r="A45" s="42" t="s">
        <v>109</v>
      </c>
      <c r="B45" s="42">
        <v>20</v>
      </c>
    </row>
    <row r="46" spans="1:2">
      <c r="A46" s="42" t="s">
        <v>110</v>
      </c>
      <c r="B46" s="42">
        <v>21</v>
      </c>
    </row>
    <row r="47" spans="1:2">
      <c r="A47" s="42" t="s">
        <v>111</v>
      </c>
      <c r="B47" s="42">
        <v>22</v>
      </c>
    </row>
    <row r="48" spans="1:2">
      <c r="A48" s="42" t="s">
        <v>112</v>
      </c>
      <c r="B48" s="42">
        <v>23</v>
      </c>
    </row>
    <row r="49" spans="1:2">
      <c r="A49" s="42" t="s">
        <v>113</v>
      </c>
      <c r="B49" s="42">
        <v>24</v>
      </c>
    </row>
    <row r="50" spans="1:2">
      <c r="A50" s="42" t="s">
        <v>114</v>
      </c>
      <c r="B50" s="42">
        <v>25</v>
      </c>
    </row>
    <row r="51" spans="1:2">
      <c r="A51" s="42" t="s">
        <v>115</v>
      </c>
      <c r="B51" s="42">
        <v>26</v>
      </c>
    </row>
    <row r="52" spans="1:2">
      <c r="A52" s="42" t="s">
        <v>116</v>
      </c>
      <c r="B52" s="42">
        <v>27</v>
      </c>
    </row>
    <row r="53" spans="1:2">
      <c r="A53" s="42" t="s">
        <v>117</v>
      </c>
      <c r="B53" s="42">
        <v>28</v>
      </c>
    </row>
    <row r="54" spans="1:2">
      <c r="A54" s="42" t="s">
        <v>118</v>
      </c>
      <c r="B54" s="42">
        <v>29</v>
      </c>
    </row>
    <row r="55" spans="1:2">
      <c r="A55" s="42" t="s">
        <v>119</v>
      </c>
      <c r="B55" s="42">
        <v>30</v>
      </c>
    </row>
    <row r="56" spans="1:2">
      <c r="A56" s="42" t="s">
        <v>120</v>
      </c>
      <c r="B56" s="42">
        <v>31</v>
      </c>
    </row>
    <row r="57" spans="1:2">
      <c r="A57" s="42" t="s">
        <v>121</v>
      </c>
      <c r="B57" s="42">
        <v>32</v>
      </c>
    </row>
    <row r="58" spans="1:2">
      <c r="A58" s="42" t="s">
        <v>122</v>
      </c>
      <c r="B58" s="42">
        <v>33</v>
      </c>
    </row>
    <row r="59" spans="1:2">
      <c r="A59" s="42" t="s">
        <v>123</v>
      </c>
      <c r="B59" s="42">
        <v>34</v>
      </c>
    </row>
    <row r="60" spans="1:2">
      <c r="A60" s="42" t="s">
        <v>124</v>
      </c>
      <c r="B60" s="42">
        <v>35</v>
      </c>
    </row>
    <row r="61" spans="1:2">
      <c r="A61" s="42" t="s">
        <v>125</v>
      </c>
      <c r="B61" s="42">
        <v>36</v>
      </c>
    </row>
    <row r="62" spans="1:2">
      <c r="A62" s="42" t="s">
        <v>126</v>
      </c>
      <c r="B62" s="42">
        <v>37</v>
      </c>
    </row>
    <row r="63" spans="1:2">
      <c r="A63" s="42" t="s">
        <v>127</v>
      </c>
      <c r="B63" s="42">
        <v>38</v>
      </c>
    </row>
    <row r="64" spans="1:2">
      <c r="A64" s="42" t="s">
        <v>128</v>
      </c>
      <c r="B64" s="42">
        <v>39</v>
      </c>
    </row>
    <row r="65" spans="1:2">
      <c r="A65" s="42" t="s">
        <v>129</v>
      </c>
      <c r="B65" s="42">
        <v>40</v>
      </c>
    </row>
    <row r="66" spans="1:2">
      <c r="A66" s="42" t="s">
        <v>130</v>
      </c>
      <c r="B66" s="42">
        <v>41</v>
      </c>
    </row>
    <row r="67" spans="1:2">
      <c r="A67" s="42" t="s">
        <v>131</v>
      </c>
      <c r="B67" s="42">
        <v>42</v>
      </c>
    </row>
    <row r="68" spans="1:2">
      <c r="A68" s="42" t="s">
        <v>132</v>
      </c>
      <c r="B68" s="42">
        <v>43</v>
      </c>
    </row>
    <row r="69" spans="1:2">
      <c r="A69" s="42" t="s">
        <v>133</v>
      </c>
      <c r="B69" s="42">
        <v>44</v>
      </c>
    </row>
    <row r="70" spans="1:2">
      <c r="A70" s="42" t="s">
        <v>134</v>
      </c>
      <c r="B70" s="42">
        <v>45</v>
      </c>
    </row>
    <row r="71" spans="1:2">
      <c r="A71" s="42" t="s">
        <v>135</v>
      </c>
      <c r="B71" s="42">
        <v>46</v>
      </c>
    </row>
    <row r="73" spans="1:2">
      <c r="B73" s="45" t="s">
        <v>66</v>
      </c>
    </row>
    <row r="74" spans="1:2">
      <c r="B74" s="46" t="str">
        <f>"="&amp;子牛!Q2</f>
        <v>=</v>
      </c>
    </row>
  </sheetData>
  <phoneticPr fontId="3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子牛</vt:lpstr>
      <vt:lpstr>リスト</vt:lpstr>
      <vt:lpstr>子牛!Print_Area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統計部</dc:creator>
  <cp:lastModifiedBy>　</cp:lastModifiedBy>
  <cp:lastPrinted>2022-10-25T11:35:55Z</cp:lastPrinted>
  <dcterms:created xsi:type="dcterms:W3CDTF">2021-11-08T03:57:51Z</dcterms:created>
  <dcterms:modified xsi:type="dcterms:W3CDTF">2023-03-17T02:06:55Z</dcterms:modified>
</cp:coreProperties>
</file>