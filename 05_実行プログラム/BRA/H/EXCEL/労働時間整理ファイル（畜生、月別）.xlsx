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filterPrivacy="1" defaultThemeVersion="124226"/>
  <xr:revisionPtr revIDLastSave="0" documentId="13_ncr:1_{B16A1F4A-CE6D-4895-A959-39A70A16E714}" xr6:coauthVersionLast="47" xr6:coauthVersionMax="47" xr10:uidLastSave="{00000000-0000-0000-0000-000000000000}"/>
  <bookViews>
    <workbookView xWindow="-120" yWindow="-120" windowWidth="29040" windowHeight="15840" tabRatio="845" xr2:uid="{00000000-000D-0000-FFFF-FFFF00000000}"/>
  </bookViews>
  <sheets>
    <sheet name="設定" sheetId="78" r:id="rId1"/>
    <sheet name="月別入力" sheetId="89" r:id="rId2"/>
    <sheet name="【12】労働時間（個別・牛乳）" sheetId="80" r:id="rId3"/>
    <sheet name="【12】労働時間（個別・牛乳以外）" sheetId="85" r:id="rId4"/>
    <sheet name="【12】労働時間（経営分析・牛乳）" sheetId="84" r:id="rId5"/>
    <sheet name="【12】労働時間（経営分析・牛乳以外）" sheetId="88" r:id="rId6"/>
    <sheet name="リスト " sheetId="79" state="hidden" r:id="rId7"/>
  </sheets>
  <definedNames>
    <definedName name="_xlnm._FilterDatabase" localSheetId="4" hidden="1">'【12】労働時間（経営分析・牛乳）'!#REF!</definedName>
    <definedName name="_xlnm._FilterDatabase" localSheetId="5" hidden="1">'【12】労働時間（経営分析・牛乳以外）'!#REF!</definedName>
    <definedName name="_xlnm._FilterDatabase" localSheetId="2" hidden="1">'【12】労働時間（個別・牛乳）'!$A$10:$B$71</definedName>
    <definedName name="_xlnm._FilterDatabase" localSheetId="3" hidden="1">'【12】労働時間（個別・牛乳以外）'!$A$10:$B$71</definedName>
    <definedName name="_xlnm._FilterDatabase" localSheetId="1" hidden="1">月別入力!$B$6:$I$537</definedName>
    <definedName name="_xlnm._FilterDatabase" localSheetId="0" hidden="1">設定!$B$8:$R$108</definedName>
    <definedName name="_xlnm.Print_Area" localSheetId="4">'【12】労働時間（経営分析・牛乳）'!$A$1:$AB$32</definedName>
    <definedName name="_xlnm.Print_Area" localSheetId="5">'【12】労働時間（経営分析・牛乳以外）'!$A$1:$AB$29</definedName>
    <definedName name="_xlnm.Print_Area" localSheetId="2">'【12】労働時間（個別・牛乳）'!$A$1:$AP$96</definedName>
    <definedName name="_xlnm.Print_Area" localSheetId="3">'【12】労働時間（個別・牛乳以外）'!$A$1:$BL$70</definedName>
    <definedName name="_xlnm.Print_Titles" localSheetId="1">月別入力!$1:$6</definedName>
    <definedName name="_xlnm.Print_Titles" localSheetId="0">設定!$1:$8</definedName>
    <definedName name="個別経営体">'リスト '!$D$2:$D$6</definedName>
    <definedName name="作業_Blank">'リスト '!$H$2</definedName>
    <definedName name="作業_牛乳">'リスト '!$F$2:$F$12</definedName>
    <definedName name="作業_牛乳以外">'リスト '!$G$2:$G$11</definedName>
    <definedName name="自給牧草給与割合">設定!#REF!</definedName>
    <definedName name="組織法人経営体">'リスト '!$E$2:$E$3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89" l="1"/>
  <c r="AA17" i="88" l="1"/>
  <c r="Z17" i="88"/>
  <c r="Y17" i="88"/>
  <c r="X17" i="88"/>
  <c r="AA16" i="88"/>
  <c r="Z16" i="88"/>
  <c r="Y16" i="88"/>
  <c r="X16" i="88"/>
  <c r="AA15" i="88"/>
  <c r="Z15" i="88"/>
  <c r="Y15" i="88"/>
  <c r="X15" i="88"/>
  <c r="AA14" i="88"/>
  <c r="Z14" i="88"/>
  <c r="Y14" i="88"/>
  <c r="X14" i="88"/>
  <c r="AA13" i="88"/>
  <c r="Z13" i="88"/>
  <c r="Y13" i="88"/>
  <c r="X13" i="88"/>
  <c r="AA12" i="88"/>
  <c r="Z12" i="88"/>
  <c r="Y12" i="88"/>
  <c r="X12" i="88"/>
  <c r="AA18" i="84"/>
  <c r="Z18" i="84"/>
  <c r="Y18" i="84"/>
  <c r="X18" i="84"/>
  <c r="AA17" i="84"/>
  <c r="Z17" i="84"/>
  <c r="Y17" i="84"/>
  <c r="X17" i="84"/>
  <c r="AA16" i="84"/>
  <c r="Z16" i="84"/>
  <c r="Y16" i="84"/>
  <c r="X16" i="84"/>
  <c r="AA15" i="84"/>
  <c r="Z15" i="84"/>
  <c r="Y15" i="84"/>
  <c r="X15" i="84"/>
  <c r="AA14" i="84"/>
  <c r="Z14" i="84"/>
  <c r="Y14" i="84"/>
  <c r="X14" i="84"/>
  <c r="AA13" i="84"/>
  <c r="Z13" i="84"/>
  <c r="Y13" i="84"/>
  <c r="X13" i="84"/>
  <c r="AA12" i="84"/>
  <c r="Z12" i="84"/>
  <c r="Y12" i="84"/>
  <c r="X12" i="84"/>
  <c r="C77" i="85" l="1"/>
  <c r="T77" i="85" s="1"/>
  <c r="U113" i="85"/>
  <c r="T113" i="85"/>
  <c r="U112" i="85"/>
  <c r="T112" i="85"/>
  <c r="S106" i="85"/>
  <c r="F106" i="85" s="1"/>
  <c r="E106" i="85"/>
  <c r="V106" i="85" s="1"/>
  <c r="D106" i="85"/>
  <c r="U106" i="85" s="1"/>
  <c r="C106" i="85"/>
  <c r="T106" i="85" s="1"/>
  <c r="S105" i="85"/>
  <c r="F105" i="85" s="1"/>
  <c r="E105" i="85"/>
  <c r="V105" i="85" s="1"/>
  <c r="D105" i="85"/>
  <c r="U105" i="85" s="1"/>
  <c r="C105" i="85"/>
  <c r="T105" i="85" s="1"/>
  <c r="S104" i="85"/>
  <c r="F104" i="85" s="1"/>
  <c r="E104" i="85"/>
  <c r="V104" i="85" s="1"/>
  <c r="D104" i="85"/>
  <c r="U104" i="85" s="1"/>
  <c r="C104" i="85"/>
  <c r="T104" i="85" s="1"/>
  <c r="S103" i="85"/>
  <c r="F103" i="85" s="1"/>
  <c r="E103" i="85"/>
  <c r="V103" i="85" s="1"/>
  <c r="D103" i="85"/>
  <c r="U103" i="85" s="1"/>
  <c r="C103" i="85"/>
  <c r="T103" i="85" s="1"/>
  <c r="S102" i="85"/>
  <c r="F102" i="85" s="1"/>
  <c r="E102" i="85"/>
  <c r="V102" i="85" s="1"/>
  <c r="D102" i="85"/>
  <c r="U102" i="85" s="1"/>
  <c r="C102" i="85"/>
  <c r="T102" i="85" s="1"/>
  <c r="S101" i="85"/>
  <c r="F101" i="85" s="1"/>
  <c r="E101" i="85"/>
  <c r="V101" i="85" s="1"/>
  <c r="D101" i="85"/>
  <c r="U101" i="85" s="1"/>
  <c r="C101" i="85"/>
  <c r="T101" i="85" s="1"/>
  <c r="S100" i="85"/>
  <c r="F100" i="85" s="1"/>
  <c r="E100" i="85"/>
  <c r="V100" i="85" s="1"/>
  <c r="D100" i="85"/>
  <c r="U100" i="85" s="1"/>
  <c r="C100" i="85"/>
  <c r="T100" i="85" s="1"/>
  <c r="S99" i="85"/>
  <c r="F99" i="85" s="1"/>
  <c r="E99" i="85"/>
  <c r="V99" i="85" s="1"/>
  <c r="D99" i="85"/>
  <c r="U99" i="85" s="1"/>
  <c r="C99" i="85"/>
  <c r="T99" i="85" s="1"/>
  <c r="S98" i="85"/>
  <c r="F98" i="85" s="1"/>
  <c r="E98" i="85"/>
  <c r="V98" i="85" s="1"/>
  <c r="D98" i="85"/>
  <c r="U98" i="85" s="1"/>
  <c r="C98" i="85"/>
  <c r="T98" i="85" s="1"/>
  <c r="S97" i="85"/>
  <c r="F97" i="85" s="1"/>
  <c r="E97" i="85"/>
  <c r="V97" i="85" s="1"/>
  <c r="D97" i="85"/>
  <c r="U97" i="85" s="1"/>
  <c r="C97" i="85"/>
  <c r="T97" i="85" s="1"/>
  <c r="S96" i="85"/>
  <c r="F96" i="85" s="1"/>
  <c r="E96" i="85"/>
  <c r="V96" i="85" s="1"/>
  <c r="D96" i="85"/>
  <c r="U96" i="85" s="1"/>
  <c r="C96" i="85"/>
  <c r="T96" i="85" s="1"/>
  <c r="S95" i="85"/>
  <c r="F95" i="85" s="1"/>
  <c r="E95" i="85"/>
  <c r="V95" i="85" s="1"/>
  <c r="D95" i="85"/>
  <c r="U95" i="85" s="1"/>
  <c r="C95" i="85"/>
  <c r="T95" i="85" s="1"/>
  <c r="S94" i="85"/>
  <c r="F94" i="85" s="1"/>
  <c r="E94" i="85"/>
  <c r="V94" i="85" s="1"/>
  <c r="D94" i="85"/>
  <c r="U94" i="85" s="1"/>
  <c r="C94" i="85"/>
  <c r="T94" i="85" s="1"/>
  <c r="S93" i="85"/>
  <c r="F93" i="85" s="1"/>
  <c r="E93" i="85"/>
  <c r="V93" i="85" s="1"/>
  <c r="D93" i="85"/>
  <c r="U93" i="85" s="1"/>
  <c r="C93" i="85"/>
  <c r="T93" i="85" s="1"/>
  <c r="S92" i="85"/>
  <c r="F92" i="85" s="1"/>
  <c r="E92" i="85"/>
  <c r="V92" i="85" s="1"/>
  <c r="D92" i="85"/>
  <c r="U92" i="85" s="1"/>
  <c r="C92" i="85"/>
  <c r="T92" i="85" s="1"/>
  <c r="S91" i="85"/>
  <c r="F91" i="85" s="1"/>
  <c r="E91" i="85"/>
  <c r="V91" i="85" s="1"/>
  <c r="D91" i="85"/>
  <c r="U91" i="85" s="1"/>
  <c r="C91" i="85"/>
  <c r="T91" i="85" s="1"/>
  <c r="S90" i="85"/>
  <c r="F90" i="85" s="1"/>
  <c r="E90" i="85"/>
  <c r="V90" i="85" s="1"/>
  <c r="D90" i="85"/>
  <c r="U90" i="85" s="1"/>
  <c r="C90" i="85"/>
  <c r="T90" i="85" s="1"/>
  <c r="S89" i="85"/>
  <c r="F89" i="85" s="1"/>
  <c r="E89" i="85"/>
  <c r="V89" i="85" s="1"/>
  <c r="D89" i="85"/>
  <c r="U89" i="85" s="1"/>
  <c r="C89" i="85"/>
  <c r="T89" i="85" s="1"/>
  <c r="S88" i="85"/>
  <c r="F88" i="85" s="1"/>
  <c r="E88" i="85"/>
  <c r="V88" i="85" s="1"/>
  <c r="D88" i="85"/>
  <c r="U88" i="85" s="1"/>
  <c r="C88" i="85"/>
  <c r="T88" i="85" s="1"/>
  <c r="S87" i="85"/>
  <c r="F87" i="85" s="1"/>
  <c r="E87" i="85"/>
  <c r="V87" i="85" s="1"/>
  <c r="D87" i="85"/>
  <c r="U87" i="85" s="1"/>
  <c r="C87" i="85"/>
  <c r="T87" i="85" s="1"/>
  <c r="S86" i="85"/>
  <c r="F86" i="85" s="1"/>
  <c r="E86" i="85"/>
  <c r="V86" i="85" s="1"/>
  <c r="D86" i="85"/>
  <c r="U86" i="85" s="1"/>
  <c r="C86" i="85"/>
  <c r="T86" i="85" s="1"/>
  <c r="S85" i="85"/>
  <c r="F85" i="85" s="1"/>
  <c r="E85" i="85"/>
  <c r="V85" i="85" s="1"/>
  <c r="D85" i="85"/>
  <c r="U85" i="85" s="1"/>
  <c r="C85" i="85"/>
  <c r="T85" i="85" s="1"/>
  <c r="S84" i="85"/>
  <c r="F84" i="85" s="1"/>
  <c r="E84" i="85"/>
  <c r="V84" i="85" s="1"/>
  <c r="D84" i="85"/>
  <c r="U84" i="85" s="1"/>
  <c r="C84" i="85"/>
  <c r="T84" i="85" s="1"/>
  <c r="S83" i="85"/>
  <c r="F83" i="85" s="1"/>
  <c r="E83" i="85"/>
  <c r="V83" i="85" s="1"/>
  <c r="D83" i="85"/>
  <c r="U83" i="85" s="1"/>
  <c r="C83" i="85"/>
  <c r="T83" i="85" s="1"/>
  <c r="S82" i="85"/>
  <c r="F82" i="85" s="1"/>
  <c r="E82" i="85"/>
  <c r="V82" i="85" s="1"/>
  <c r="D82" i="85"/>
  <c r="U82" i="85" s="1"/>
  <c r="C82" i="85"/>
  <c r="T82" i="85" s="1"/>
  <c r="S81" i="85"/>
  <c r="F81" i="85" s="1"/>
  <c r="E81" i="85"/>
  <c r="V81" i="85" s="1"/>
  <c r="D81" i="85"/>
  <c r="U81" i="85" s="1"/>
  <c r="C81" i="85"/>
  <c r="T81" i="85" s="1"/>
  <c r="S80" i="85"/>
  <c r="F80" i="85" s="1"/>
  <c r="E80" i="85"/>
  <c r="V80" i="85" s="1"/>
  <c r="D80" i="85"/>
  <c r="U80" i="85" s="1"/>
  <c r="C80" i="85"/>
  <c r="T80" i="85" s="1"/>
  <c r="S79" i="85"/>
  <c r="E79" i="85"/>
  <c r="V79" i="85" s="1"/>
  <c r="D79" i="85"/>
  <c r="U79" i="85" s="1"/>
  <c r="C79" i="85"/>
  <c r="T79" i="85" s="1"/>
  <c r="S78" i="85"/>
  <c r="E78" i="85"/>
  <c r="V78" i="85" s="1"/>
  <c r="D78" i="85"/>
  <c r="U78" i="85" s="1"/>
  <c r="C78" i="85"/>
  <c r="T78" i="85" s="1"/>
  <c r="S77" i="85"/>
  <c r="E77" i="85"/>
  <c r="V77" i="85" s="1"/>
  <c r="D77" i="85"/>
  <c r="U77" i="85" s="1"/>
  <c r="AI35" i="85" l="1"/>
  <c r="AG35" i="85" s="1"/>
  <c r="AZ35" i="85" s="1"/>
  <c r="AJ32" i="85"/>
  <c r="AH34" i="85"/>
  <c r="AF34" i="85" s="1"/>
  <c r="AY34" i="85" s="1"/>
  <c r="F77" i="85"/>
  <c r="AK32" i="85"/>
  <c r="AI33" i="85"/>
  <c r="AG33" i="85" s="1"/>
  <c r="AZ33" i="85" s="1"/>
  <c r="F78" i="85"/>
  <c r="AI34" i="85"/>
  <c r="AG34" i="85" s="1"/>
  <c r="AZ34" i="85" s="1"/>
  <c r="AS32" i="85"/>
  <c r="AR35" i="85"/>
  <c r="BE35" i="85" s="1"/>
  <c r="AR33" i="85"/>
  <c r="BE33" i="85" s="1"/>
  <c r="AS35" i="85"/>
  <c r="BF35" i="85" s="1"/>
  <c r="AI32" i="85"/>
  <c r="AS33" i="85"/>
  <c r="BF33" i="85" s="1"/>
  <c r="F79" i="85"/>
  <c r="AP32" i="85"/>
  <c r="AP31" i="85" s="1"/>
  <c r="AR34" i="85"/>
  <c r="BE34" i="85" s="1"/>
  <c r="AG41" i="85"/>
  <c r="AN31" i="85"/>
  <c r="AQ32" i="85"/>
  <c r="AQ31" i="85" s="1"/>
  <c r="AS34" i="85"/>
  <c r="BF34" i="85" s="1"/>
  <c r="AH35" i="85"/>
  <c r="AF35" i="85" s="1"/>
  <c r="AY35" i="85" s="1"/>
  <c r="AR32" i="85"/>
  <c r="AG32" i="85" l="1"/>
  <c r="AG31" i="85" s="1"/>
  <c r="BF32" i="85"/>
  <c r="BF31" i="85" s="1"/>
  <c r="BE32" i="85"/>
  <c r="BE31" i="85" s="1"/>
  <c r="AS31" i="85"/>
  <c r="AR31" i="85"/>
  <c r="AL31" i="85" s="1"/>
  <c r="AZ32" i="85" l="1"/>
  <c r="AZ31" i="85" s="1"/>
  <c r="U113" i="80" l="1"/>
  <c r="T113" i="80"/>
  <c r="U112" i="80"/>
  <c r="T112" i="80"/>
  <c r="S106" i="80"/>
  <c r="F106" i="80" s="1"/>
  <c r="E106" i="80"/>
  <c r="V106" i="80" s="1"/>
  <c r="D106" i="80"/>
  <c r="U106" i="80" s="1"/>
  <c r="C106" i="80"/>
  <c r="T106" i="80" s="1"/>
  <c r="S105" i="80"/>
  <c r="F105" i="80" s="1"/>
  <c r="E105" i="80"/>
  <c r="V105" i="80" s="1"/>
  <c r="D105" i="80"/>
  <c r="U105" i="80" s="1"/>
  <c r="C105" i="80"/>
  <c r="T105" i="80" s="1"/>
  <c r="S104" i="80"/>
  <c r="F104" i="80" s="1"/>
  <c r="E104" i="80"/>
  <c r="V104" i="80" s="1"/>
  <c r="D104" i="80"/>
  <c r="U104" i="80" s="1"/>
  <c r="C104" i="80"/>
  <c r="T104" i="80" s="1"/>
  <c r="S103" i="80"/>
  <c r="F103" i="80" s="1"/>
  <c r="E103" i="80"/>
  <c r="V103" i="80" s="1"/>
  <c r="D103" i="80"/>
  <c r="U103" i="80" s="1"/>
  <c r="C103" i="80"/>
  <c r="T103" i="80" s="1"/>
  <c r="S102" i="80"/>
  <c r="F102" i="80" s="1"/>
  <c r="E102" i="80"/>
  <c r="V102" i="80" s="1"/>
  <c r="D102" i="80"/>
  <c r="U102" i="80" s="1"/>
  <c r="C102" i="80"/>
  <c r="T102" i="80" s="1"/>
  <c r="S101" i="80"/>
  <c r="F101" i="80" s="1"/>
  <c r="E101" i="80"/>
  <c r="V101" i="80" s="1"/>
  <c r="D101" i="80"/>
  <c r="U101" i="80" s="1"/>
  <c r="C101" i="80"/>
  <c r="T101" i="80" s="1"/>
  <c r="S100" i="80"/>
  <c r="F100" i="80" s="1"/>
  <c r="E100" i="80"/>
  <c r="V100" i="80" s="1"/>
  <c r="D100" i="80"/>
  <c r="U100" i="80" s="1"/>
  <c r="C100" i="80"/>
  <c r="T100" i="80" s="1"/>
  <c r="S99" i="80"/>
  <c r="F99" i="80" s="1"/>
  <c r="E99" i="80"/>
  <c r="V99" i="80" s="1"/>
  <c r="D99" i="80"/>
  <c r="U99" i="80" s="1"/>
  <c r="C99" i="80"/>
  <c r="T99" i="80" s="1"/>
  <c r="S98" i="80"/>
  <c r="F98" i="80" s="1"/>
  <c r="E98" i="80"/>
  <c r="V98" i="80" s="1"/>
  <c r="D98" i="80"/>
  <c r="U98" i="80" s="1"/>
  <c r="C98" i="80"/>
  <c r="T98" i="80" s="1"/>
  <c r="S97" i="80"/>
  <c r="F97" i="80" s="1"/>
  <c r="E97" i="80"/>
  <c r="V97" i="80" s="1"/>
  <c r="D97" i="80"/>
  <c r="U97" i="80" s="1"/>
  <c r="C97" i="80"/>
  <c r="T97" i="80" s="1"/>
  <c r="S96" i="80"/>
  <c r="F96" i="80"/>
  <c r="E96" i="80"/>
  <c r="V96" i="80" s="1"/>
  <c r="D96" i="80"/>
  <c r="U96" i="80" s="1"/>
  <c r="C96" i="80"/>
  <c r="T96" i="80" s="1"/>
  <c r="S95" i="80"/>
  <c r="F95" i="80" s="1"/>
  <c r="E95" i="80"/>
  <c r="V95" i="80" s="1"/>
  <c r="D95" i="80"/>
  <c r="U95" i="80" s="1"/>
  <c r="C95" i="80"/>
  <c r="T95" i="80" s="1"/>
  <c r="V94" i="80"/>
  <c r="S94" i="80"/>
  <c r="F94" i="80" s="1"/>
  <c r="E94" i="80"/>
  <c r="D94" i="80"/>
  <c r="U94" i="80" s="1"/>
  <c r="C94" i="80"/>
  <c r="T94" i="80" s="1"/>
  <c r="S93" i="80"/>
  <c r="F93" i="80" s="1"/>
  <c r="E93" i="80"/>
  <c r="V93" i="80" s="1"/>
  <c r="D93" i="80"/>
  <c r="U93" i="80" s="1"/>
  <c r="C93" i="80"/>
  <c r="T93" i="80" s="1"/>
  <c r="S92" i="80"/>
  <c r="F92" i="80" s="1"/>
  <c r="E92" i="80"/>
  <c r="V92" i="80" s="1"/>
  <c r="D92" i="80"/>
  <c r="U92" i="80" s="1"/>
  <c r="C92" i="80"/>
  <c r="T92" i="80" s="1"/>
  <c r="S91" i="80"/>
  <c r="F91" i="80"/>
  <c r="E91" i="80"/>
  <c r="V91" i="80" s="1"/>
  <c r="D91" i="80"/>
  <c r="U91" i="80" s="1"/>
  <c r="C91" i="80"/>
  <c r="T91" i="80" s="1"/>
  <c r="S90" i="80"/>
  <c r="F90" i="80" s="1"/>
  <c r="E90" i="80"/>
  <c r="V90" i="80" s="1"/>
  <c r="D90" i="80"/>
  <c r="U90" i="80" s="1"/>
  <c r="C90" i="80"/>
  <c r="T90" i="80" s="1"/>
  <c r="S89" i="80"/>
  <c r="F89" i="80" s="1"/>
  <c r="E89" i="80"/>
  <c r="V89" i="80" s="1"/>
  <c r="D89" i="80"/>
  <c r="U89" i="80" s="1"/>
  <c r="C89" i="80"/>
  <c r="T89" i="80" s="1"/>
  <c r="S88" i="80"/>
  <c r="F88" i="80" s="1"/>
  <c r="E88" i="80"/>
  <c r="V88" i="80" s="1"/>
  <c r="D88" i="80"/>
  <c r="U88" i="80" s="1"/>
  <c r="C88" i="80"/>
  <c r="T88" i="80" s="1"/>
  <c r="S87" i="80"/>
  <c r="F87" i="80" s="1"/>
  <c r="E87" i="80"/>
  <c r="V87" i="80" s="1"/>
  <c r="D87" i="80"/>
  <c r="U87" i="80" s="1"/>
  <c r="C87" i="80"/>
  <c r="T87" i="80" s="1"/>
  <c r="S86" i="80"/>
  <c r="F86" i="80" s="1"/>
  <c r="E86" i="80"/>
  <c r="V86" i="80" s="1"/>
  <c r="D86" i="80"/>
  <c r="U86" i="80" s="1"/>
  <c r="C86" i="80"/>
  <c r="T86" i="80" s="1"/>
  <c r="S85" i="80"/>
  <c r="F85" i="80" s="1"/>
  <c r="E85" i="80"/>
  <c r="V85" i="80" s="1"/>
  <c r="D85" i="80"/>
  <c r="U85" i="80" s="1"/>
  <c r="C85" i="80"/>
  <c r="T85" i="80" s="1"/>
  <c r="S84" i="80"/>
  <c r="F84" i="80" s="1"/>
  <c r="E84" i="80"/>
  <c r="V84" i="80" s="1"/>
  <c r="D84" i="80"/>
  <c r="U84" i="80" s="1"/>
  <c r="C84" i="80"/>
  <c r="T84" i="80" s="1"/>
  <c r="S83" i="80"/>
  <c r="F83" i="80" s="1"/>
  <c r="E83" i="80"/>
  <c r="V83" i="80" s="1"/>
  <c r="D83" i="80"/>
  <c r="U83" i="80" s="1"/>
  <c r="C83" i="80"/>
  <c r="T83" i="80" s="1"/>
  <c r="S82" i="80"/>
  <c r="F82" i="80" s="1"/>
  <c r="E82" i="80"/>
  <c r="V82" i="80" s="1"/>
  <c r="D82" i="80"/>
  <c r="U82" i="80" s="1"/>
  <c r="C82" i="80"/>
  <c r="T82" i="80" s="1"/>
  <c r="S81" i="80"/>
  <c r="F81" i="80" s="1"/>
  <c r="E81" i="80"/>
  <c r="V81" i="80" s="1"/>
  <c r="D81" i="80"/>
  <c r="U81" i="80" s="1"/>
  <c r="C81" i="80"/>
  <c r="T81" i="80" s="1"/>
  <c r="S80" i="80"/>
  <c r="F80" i="80" s="1"/>
  <c r="E80" i="80"/>
  <c r="V80" i="80" s="1"/>
  <c r="D80" i="80"/>
  <c r="U80" i="80" s="1"/>
  <c r="C80" i="80"/>
  <c r="T80" i="80" s="1"/>
  <c r="S79" i="80"/>
  <c r="F79" i="80" s="1"/>
  <c r="E79" i="80"/>
  <c r="V79" i="80" s="1"/>
  <c r="D79" i="80"/>
  <c r="U79" i="80" s="1"/>
  <c r="C79" i="80"/>
  <c r="T79" i="80" s="1"/>
  <c r="S78" i="80"/>
  <c r="F78" i="80"/>
  <c r="E78" i="80"/>
  <c r="V78" i="80" s="1"/>
  <c r="D78" i="80"/>
  <c r="U78" i="80" s="1"/>
  <c r="C78" i="80"/>
  <c r="T78" i="80" s="1"/>
  <c r="S77" i="80"/>
  <c r="E77" i="80"/>
  <c r="V77" i="80" s="1"/>
  <c r="D77" i="80"/>
  <c r="U77" i="80" s="1"/>
  <c r="C77" i="80"/>
  <c r="T77" i="80" s="1"/>
  <c r="F77" i="80" l="1"/>
  <c r="AH49" i="80"/>
  <c r="AP47" i="80"/>
  <c r="AP46" i="80" s="1"/>
  <c r="AR47" i="80"/>
  <c r="AS47" i="80"/>
  <c r="AR50" i="80"/>
  <c r="AI48" i="80"/>
  <c r="AG48" i="80" s="1"/>
  <c r="AN46" i="80"/>
  <c r="AQ47" i="80"/>
  <c r="AK47" i="80"/>
  <c r="AS48" i="80"/>
  <c r="AR49" i="80"/>
  <c r="AR48" i="80"/>
  <c r="AJ47" i="80"/>
  <c r="AS50" i="80"/>
  <c r="AI50" i="80"/>
  <c r="AG50" i="80" s="1"/>
  <c r="AI47" i="80"/>
  <c r="AH50" i="80"/>
  <c r="AI49" i="80"/>
  <c r="AG49" i="80" s="1"/>
  <c r="AG47" i="80" l="1"/>
  <c r="AG61" i="80"/>
  <c r="AS55" i="80"/>
  <c r="BF55" i="80" s="1"/>
  <c r="AR55" i="80"/>
  <c r="AI55" i="80"/>
  <c r="AG55" i="80" s="1"/>
  <c r="AZ55" i="80" s="1"/>
  <c r="AH55" i="80"/>
  <c r="AF55" i="80" s="1"/>
  <c r="AS54" i="80"/>
  <c r="BF54" i="80" s="1"/>
  <c r="AR54" i="80"/>
  <c r="BE54" i="80" s="1"/>
  <c r="AI54" i="80"/>
  <c r="AG54" i="80" s="1"/>
  <c r="AZ54" i="80" s="1"/>
  <c r="AH54" i="80"/>
  <c r="AF54" i="80" s="1"/>
  <c r="AY54" i="80" s="1"/>
  <c r="AS53" i="80"/>
  <c r="BF53" i="80" s="1"/>
  <c r="AR53" i="80"/>
  <c r="BE53" i="80" s="1"/>
  <c r="AI53" i="80"/>
  <c r="AG53" i="80" s="1"/>
  <c r="AZ53" i="80" s="1"/>
  <c r="AS52" i="80"/>
  <c r="BF52" i="80" s="1"/>
  <c r="AR52" i="80"/>
  <c r="BE52" i="80" s="1"/>
  <c r="AI52" i="80"/>
  <c r="AG52" i="80" s="1"/>
  <c r="AN51" i="80"/>
  <c r="BE50" i="80"/>
  <c r="AZ50" i="80"/>
  <c r="AS49" i="80"/>
  <c r="BF49" i="80" s="1"/>
  <c r="BE49" i="80"/>
  <c r="AF49" i="80"/>
  <c r="AY49" i="80" s="1"/>
  <c r="BF48" i="80"/>
  <c r="AZ48" i="80"/>
  <c r="AQ46" i="80"/>
  <c r="AJ42" i="80"/>
  <c r="BD46" i="80"/>
  <c r="BC46" i="80"/>
  <c r="AI42" i="80" l="1"/>
  <c r="AY44" i="80"/>
  <c r="BE44" i="80"/>
  <c r="AH45" i="80"/>
  <c r="AS42" i="80"/>
  <c r="AR46" i="80"/>
  <c r="AL46" i="80" s="1"/>
  <c r="AZ47" i="80"/>
  <c r="BE47" i="80"/>
  <c r="BE42" i="80" s="1"/>
  <c r="AR44" i="80"/>
  <c r="AS45" i="80"/>
  <c r="BF43" i="80"/>
  <c r="AN41" i="80"/>
  <c r="AH44" i="80"/>
  <c r="AP42" i="80"/>
  <c r="AP41" i="80" s="1"/>
  <c r="AS43" i="80"/>
  <c r="AF50" i="80"/>
  <c r="AY50" i="80" s="1"/>
  <c r="AS46" i="80"/>
  <c r="AR42" i="80"/>
  <c r="BF50" i="80"/>
  <c r="BF45" i="80" s="1"/>
  <c r="AR51" i="80"/>
  <c r="AL51" i="80" s="1"/>
  <c r="AI43" i="80"/>
  <c r="AK42" i="80"/>
  <c r="AI45" i="80"/>
  <c r="BF51" i="80"/>
  <c r="BF44" i="80"/>
  <c r="AY55" i="80"/>
  <c r="AZ45" i="80"/>
  <c r="AZ49" i="80"/>
  <c r="AZ44" i="80" s="1"/>
  <c r="AG44" i="80"/>
  <c r="AG51" i="80"/>
  <c r="AZ52" i="80"/>
  <c r="AZ51" i="80" s="1"/>
  <c r="AZ43" i="80"/>
  <c r="AS44" i="80"/>
  <c r="AR45" i="80"/>
  <c r="AS51" i="80"/>
  <c r="AG43" i="80"/>
  <c r="AQ42" i="80"/>
  <c r="AQ41" i="80" s="1"/>
  <c r="AF44" i="80"/>
  <c r="BF47" i="80"/>
  <c r="AR43" i="80"/>
  <c r="AG45" i="80"/>
  <c r="BE48" i="80"/>
  <c r="BE43" i="80" s="1"/>
  <c r="BE55" i="80"/>
  <c r="BE45" i="80" s="1"/>
  <c r="AI44" i="80"/>
  <c r="AG42" i="80" l="1"/>
  <c r="AG41" i="80" s="1"/>
  <c r="AG46" i="80"/>
  <c r="AL41" i="80"/>
  <c r="AS41" i="80"/>
  <c r="AR41" i="80"/>
  <c r="AY45" i="80"/>
  <c r="AF45" i="80"/>
  <c r="BE46" i="80"/>
  <c r="BA46" i="80" s="1"/>
  <c r="BE51" i="80"/>
  <c r="BF46" i="80"/>
  <c r="BB46" i="80" s="1"/>
  <c r="BF42" i="80"/>
  <c r="AZ42" i="80"/>
  <c r="AZ41" i="80" s="1"/>
  <c r="AZ46" i="80"/>
  <c r="H537" i="89" l="1"/>
  <c r="G537" i="89"/>
  <c r="F537" i="89"/>
  <c r="H536" i="89"/>
  <c r="G536" i="89"/>
  <c r="F536" i="89"/>
  <c r="H535" i="89"/>
  <c r="G535" i="89"/>
  <c r="F535" i="89"/>
  <c r="H534" i="89"/>
  <c r="G534" i="89"/>
  <c r="F534" i="89"/>
  <c r="H533" i="89"/>
  <c r="G533" i="89"/>
  <c r="F533" i="89"/>
  <c r="H532" i="89"/>
  <c r="G532" i="89"/>
  <c r="F532" i="89"/>
  <c r="H531" i="89"/>
  <c r="G531" i="89"/>
  <c r="F531" i="89"/>
  <c r="H530" i="89"/>
  <c r="G530" i="89"/>
  <c r="F530" i="89"/>
  <c r="H529" i="89"/>
  <c r="G529" i="89"/>
  <c r="F529" i="89"/>
  <c r="H528" i="89"/>
  <c r="G528" i="89"/>
  <c r="F528" i="89"/>
  <c r="H527" i="89"/>
  <c r="G527" i="89"/>
  <c r="F527" i="89"/>
  <c r="H526" i="89"/>
  <c r="G526" i="89"/>
  <c r="F526" i="89"/>
  <c r="H525" i="89"/>
  <c r="G525" i="89"/>
  <c r="F525" i="89"/>
  <c r="H524" i="89"/>
  <c r="G524" i="89"/>
  <c r="F524" i="89"/>
  <c r="H523" i="89"/>
  <c r="G523" i="89"/>
  <c r="F523" i="89"/>
  <c r="H522" i="89"/>
  <c r="G522" i="89"/>
  <c r="F522" i="89"/>
  <c r="H521" i="89"/>
  <c r="G521" i="89"/>
  <c r="F521" i="89"/>
  <c r="H520" i="89"/>
  <c r="G520" i="89"/>
  <c r="F520" i="89"/>
  <c r="H519" i="89"/>
  <c r="G519" i="89"/>
  <c r="F519" i="89"/>
  <c r="H518" i="89"/>
  <c r="G518" i="89"/>
  <c r="F518" i="89"/>
  <c r="H517" i="89"/>
  <c r="G517" i="89"/>
  <c r="F517" i="89"/>
  <c r="H516" i="89"/>
  <c r="G516" i="89"/>
  <c r="F516" i="89"/>
  <c r="H515" i="89"/>
  <c r="G515" i="89"/>
  <c r="F515" i="89"/>
  <c r="H514" i="89"/>
  <c r="G514" i="89"/>
  <c r="F514" i="89"/>
  <c r="H513" i="89"/>
  <c r="G513" i="89"/>
  <c r="F513" i="89"/>
  <c r="H512" i="89"/>
  <c r="G512" i="89"/>
  <c r="F512" i="89"/>
  <c r="H511" i="89"/>
  <c r="G511" i="89"/>
  <c r="F511" i="89"/>
  <c r="H510" i="89"/>
  <c r="G510" i="89"/>
  <c r="F510" i="89"/>
  <c r="H509" i="89"/>
  <c r="G509" i="89"/>
  <c r="F509" i="89"/>
  <c r="H508" i="89"/>
  <c r="G508" i="89"/>
  <c r="F508" i="89"/>
  <c r="H507" i="89"/>
  <c r="G507" i="89"/>
  <c r="F507" i="89"/>
  <c r="H506" i="89"/>
  <c r="G506" i="89"/>
  <c r="F506" i="89"/>
  <c r="H505" i="89"/>
  <c r="G505" i="89"/>
  <c r="F505" i="89"/>
  <c r="H504" i="89"/>
  <c r="G504" i="89"/>
  <c r="F504" i="89"/>
  <c r="H503" i="89"/>
  <c r="G503" i="89"/>
  <c r="F503" i="89"/>
  <c r="H502" i="89"/>
  <c r="G502" i="89"/>
  <c r="F502" i="89"/>
  <c r="H501" i="89"/>
  <c r="G501" i="89"/>
  <c r="F501" i="89"/>
  <c r="H500" i="89"/>
  <c r="G500" i="89"/>
  <c r="F500" i="89"/>
  <c r="H499" i="89"/>
  <c r="G499" i="89"/>
  <c r="F499" i="89"/>
  <c r="H498" i="89"/>
  <c r="G498" i="89"/>
  <c r="F498" i="89"/>
  <c r="H497" i="89"/>
  <c r="G497" i="89"/>
  <c r="F497" i="89"/>
  <c r="H496" i="89"/>
  <c r="G496" i="89"/>
  <c r="F496" i="89"/>
  <c r="H495" i="89"/>
  <c r="G495" i="89"/>
  <c r="F495" i="89"/>
  <c r="H494" i="89"/>
  <c r="G494" i="89"/>
  <c r="F494" i="89"/>
  <c r="H493" i="89"/>
  <c r="G493" i="89"/>
  <c r="F493" i="89"/>
  <c r="H492" i="89"/>
  <c r="G492" i="89"/>
  <c r="F492" i="89"/>
  <c r="H491" i="89"/>
  <c r="G491" i="89"/>
  <c r="F491" i="89"/>
  <c r="H490" i="89"/>
  <c r="G490" i="89"/>
  <c r="F490" i="89"/>
  <c r="H489" i="89"/>
  <c r="G489" i="89"/>
  <c r="F489" i="89"/>
  <c r="H488" i="89"/>
  <c r="G488" i="89"/>
  <c r="F488" i="89"/>
  <c r="H487" i="89"/>
  <c r="G487" i="89"/>
  <c r="F487" i="89"/>
  <c r="H486" i="89"/>
  <c r="G486" i="89"/>
  <c r="F486" i="89"/>
  <c r="H485" i="89"/>
  <c r="G485" i="89"/>
  <c r="F485" i="89"/>
  <c r="H484" i="89"/>
  <c r="G484" i="89"/>
  <c r="F484" i="89"/>
  <c r="H483" i="89"/>
  <c r="G483" i="89"/>
  <c r="F483" i="89"/>
  <c r="H482" i="89"/>
  <c r="G482" i="89"/>
  <c r="F482" i="89"/>
  <c r="H481" i="89"/>
  <c r="G481" i="89"/>
  <c r="F481" i="89"/>
  <c r="H480" i="89"/>
  <c r="G480" i="89"/>
  <c r="F480" i="89"/>
  <c r="H479" i="89"/>
  <c r="G479" i="89"/>
  <c r="F479" i="89"/>
  <c r="H478" i="89"/>
  <c r="G478" i="89"/>
  <c r="F478" i="89"/>
  <c r="H477" i="89"/>
  <c r="G477" i="89"/>
  <c r="F477" i="89"/>
  <c r="H476" i="89"/>
  <c r="G476" i="89"/>
  <c r="F476" i="89"/>
  <c r="H475" i="89"/>
  <c r="G475" i="89"/>
  <c r="F475" i="89"/>
  <c r="H474" i="89"/>
  <c r="G474" i="89"/>
  <c r="F474" i="89"/>
  <c r="H473" i="89"/>
  <c r="G473" i="89"/>
  <c r="F473" i="89"/>
  <c r="H472" i="89"/>
  <c r="G472" i="89"/>
  <c r="F472" i="89"/>
  <c r="H471" i="89"/>
  <c r="G471" i="89"/>
  <c r="F471" i="89"/>
  <c r="H470" i="89"/>
  <c r="G470" i="89"/>
  <c r="F470" i="89"/>
  <c r="H469" i="89"/>
  <c r="G469" i="89"/>
  <c r="F469" i="89"/>
  <c r="H468" i="89"/>
  <c r="G468" i="89"/>
  <c r="F468" i="89"/>
  <c r="H467" i="89"/>
  <c r="G467" i="89"/>
  <c r="F467" i="89"/>
  <c r="H466" i="89"/>
  <c r="G466" i="89"/>
  <c r="F466" i="89"/>
  <c r="H465" i="89"/>
  <c r="G465" i="89"/>
  <c r="F465" i="89"/>
  <c r="H464" i="89"/>
  <c r="G464" i="89"/>
  <c r="F464" i="89"/>
  <c r="H463" i="89"/>
  <c r="G463" i="89"/>
  <c r="F463" i="89"/>
  <c r="H462" i="89"/>
  <c r="G462" i="89"/>
  <c r="F462" i="89"/>
  <c r="H461" i="89"/>
  <c r="G461" i="89"/>
  <c r="F461" i="89"/>
  <c r="H460" i="89"/>
  <c r="G460" i="89"/>
  <c r="F460" i="89"/>
  <c r="H459" i="89"/>
  <c r="G459" i="89"/>
  <c r="F459" i="89"/>
  <c r="H458" i="89"/>
  <c r="G458" i="89"/>
  <c r="F458" i="89"/>
  <c r="H457" i="89"/>
  <c r="G457" i="89"/>
  <c r="F457" i="89"/>
  <c r="H456" i="89"/>
  <c r="G456" i="89"/>
  <c r="F456" i="89"/>
  <c r="H455" i="89"/>
  <c r="G455" i="89"/>
  <c r="F455" i="89"/>
  <c r="H454" i="89"/>
  <c r="G454" i="89"/>
  <c r="F454" i="89"/>
  <c r="H453" i="89"/>
  <c r="G453" i="89"/>
  <c r="F453" i="89"/>
  <c r="H452" i="89"/>
  <c r="G452" i="89"/>
  <c r="F452" i="89"/>
  <c r="H451" i="89"/>
  <c r="G451" i="89"/>
  <c r="F451" i="89"/>
  <c r="H450" i="89"/>
  <c r="G450" i="89"/>
  <c r="F450" i="89"/>
  <c r="H449" i="89"/>
  <c r="G449" i="89"/>
  <c r="F449" i="89"/>
  <c r="H448" i="89"/>
  <c r="G448" i="89"/>
  <c r="F448" i="89"/>
  <c r="H447" i="89"/>
  <c r="G447" i="89"/>
  <c r="F447" i="89"/>
  <c r="H446" i="89"/>
  <c r="G446" i="89"/>
  <c r="F446" i="89"/>
  <c r="H445" i="89"/>
  <c r="G445" i="89"/>
  <c r="F445" i="89"/>
  <c r="H444" i="89"/>
  <c r="G444" i="89"/>
  <c r="F444" i="89"/>
  <c r="H443" i="89"/>
  <c r="G443" i="89"/>
  <c r="F443" i="89"/>
  <c r="H442" i="89"/>
  <c r="G442" i="89"/>
  <c r="F442" i="89"/>
  <c r="H441" i="89"/>
  <c r="G441" i="89"/>
  <c r="F441" i="89"/>
  <c r="H440" i="89"/>
  <c r="G440" i="89"/>
  <c r="F440" i="89"/>
  <c r="H439" i="89"/>
  <c r="G439" i="89"/>
  <c r="F439" i="89"/>
  <c r="H438" i="89"/>
  <c r="G438" i="89"/>
  <c r="F438" i="89"/>
  <c r="H437" i="89"/>
  <c r="G437" i="89"/>
  <c r="F437" i="89"/>
  <c r="H436" i="89"/>
  <c r="G436" i="89"/>
  <c r="F436" i="89"/>
  <c r="H435" i="89"/>
  <c r="G435" i="89"/>
  <c r="F435" i="89"/>
  <c r="H434" i="89"/>
  <c r="G434" i="89"/>
  <c r="F434" i="89"/>
  <c r="H433" i="89"/>
  <c r="G433" i="89"/>
  <c r="F433" i="89"/>
  <c r="H432" i="89"/>
  <c r="G432" i="89"/>
  <c r="F432" i="89"/>
  <c r="H431" i="89"/>
  <c r="G431" i="89"/>
  <c r="F431" i="89"/>
  <c r="H430" i="89"/>
  <c r="G430" i="89"/>
  <c r="F430" i="89"/>
  <c r="H429" i="89"/>
  <c r="G429" i="89"/>
  <c r="F429" i="89"/>
  <c r="H428" i="89"/>
  <c r="G428" i="89"/>
  <c r="F428" i="89"/>
  <c r="H427" i="89"/>
  <c r="G427" i="89"/>
  <c r="F427" i="89"/>
  <c r="H426" i="89"/>
  <c r="G426" i="89"/>
  <c r="F426" i="89"/>
  <c r="H425" i="89"/>
  <c r="G425" i="89"/>
  <c r="F425" i="89"/>
  <c r="H424" i="89"/>
  <c r="G424" i="89"/>
  <c r="F424" i="89"/>
  <c r="H423" i="89"/>
  <c r="G423" i="89"/>
  <c r="F423" i="89"/>
  <c r="H422" i="89"/>
  <c r="G422" i="89"/>
  <c r="F422" i="89"/>
  <c r="H421" i="89"/>
  <c r="G421" i="89"/>
  <c r="F421" i="89"/>
  <c r="H420" i="89"/>
  <c r="G420" i="89"/>
  <c r="F420" i="89"/>
  <c r="H419" i="89"/>
  <c r="G419" i="89"/>
  <c r="F419" i="89"/>
  <c r="H418" i="89"/>
  <c r="G418" i="89"/>
  <c r="F418" i="89"/>
  <c r="H417" i="89"/>
  <c r="G417" i="89"/>
  <c r="F417" i="89"/>
  <c r="H416" i="89"/>
  <c r="G416" i="89"/>
  <c r="F416" i="89"/>
  <c r="H415" i="89"/>
  <c r="G415" i="89"/>
  <c r="F415" i="89"/>
  <c r="H414" i="89"/>
  <c r="G414" i="89"/>
  <c r="F414" i="89"/>
  <c r="H413" i="89"/>
  <c r="G413" i="89"/>
  <c r="F413" i="89"/>
  <c r="H412" i="89"/>
  <c r="G412" i="89"/>
  <c r="F412" i="89"/>
  <c r="H411" i="89"/>
  <c r="G411" i="89"/>
  <c r="F411" i="89"/>
  <c r="H410" i="89"/>
  <c r="G410" i="89"/>
  <c r="F410" i="89"/>
  <c r="H409" i="89"/>
  <c r="G409" i="89"/>
  <c r="F409" i="89"/>
  <c r="H408" i="89"/>
  <c r="G408" i="89"/>
  <c r="F408" i="89"/>
  <c r="H407" i="89"/>
  <c r="G407" i="89"/>
  <c r="F407" i="89"/>
  <c r="H406" i="89"/>
  <c r="G406" i="89"/>
  <c r="F406" i="89"/>
  <c r="H405" i="89"/>
  <c r="G405" i="89"/>
  <c r="F405" i="89"/>
  <c r="H404" i="89"/>
  <c r="G404" i="89"/>
  <c r="F404" i="89"/>
  <c r="H403" i="89"/>
  <c r="G403" i="89"/>
  <c r="F403" i="89"/>
  <c r="H402" i="89"/>
  <c r="G402" i="89"/>
  <c r="F402" i="89"/>
  <c r="H401" i="89"/>
  <c r="G401" i="89"/>
  <c r="F401" i="89"/>
  <c r="H400" i="89"/>
  <c r="G400" i="89"/>
  <c r="F400" i="89"/>
  <c r="H399" i="89"/>
  <c r="G399" i="89"/>
  <c r="F399" i="89"/>
  <c r="H398" i="89"/>
  <c r="G398" i="89"/>
  <c r="F398" i="89"/>
  <c r="H397" i="89"/>
  <c r="G397" i="89"/>
  <c r="F397" i="89"/>
  <c r="H396" i="89"/>
  <c r="G396" i="89"/>
  <c r="F396" i="89"/>
  <c r="H395" i="89"/>
  <c r="G395" i="89"/>
  <c r="F395" i="89"/>
  <c r="H394" i="89"/>
  <c r="G394" i="89"/>
  <c r="F394" i="89"/>
  <c r="H393" i="89"/>
  <c r="G393" i="89"/>
  <c r="F393" i="89"/>
  <c r="H392" i="89"/>
  <c r="G392" i="89"/>
  <c r="F392" i="89"/>
  <c r="H391" i="89"/>
  <c r="G391" i="89"/>
  <c r="F391" i="89"/>
  <c r="H390" i="89"/>
  <c r="G390" i="89"/>
  <c r="F390" i="89"/>
  <c r="H389" i="89"/>
  <c r="G389" i="89"/>
  <c r="F389" i="89"/>
  <c r="H388" i="89"/>
  <c r="G388" i="89"/>
  <c r="F388" i="89"/>
  <c r="H387" i="89"/>
  <c r="G387" i="89"/>
  <c r="F387" i="89"/>
  <c r="H386" i="89"/>
  <c r="G386" i="89"/>
  <c r="F386" i="89"/>
  <c r="H385" i="89"/>
  <c r="G385" i="89"/>
  <c r="F385" i="89"/>
  <c r="H384" i="89"/>
  <c r="G384" i="89"/>
  <c r="F384" i="89"/>
  <c r="H383" i="89"/>
  <c r="G383" i="89"/>
  <c r="F383" i="89"/>
  <c r="H382" i="89"/>
  <c r="G382" i="89"/>
  <c r="F382" i="89"/>
  <c r="H381" i="89"/>
  <c r="G381" i="89"/>
  <c r="F381" i="89"/>
  <c r="H380" i="89"/>
  <c r="G380" i="89"/>
  <c r="F380" i="89"/>
  <c r="H379" i="89"/>
  <c r="G379" i="89"/>
  <c r="F379" i="89"/>
  <c r="H378" i="89"/>
  <c r="G378" i="89"/>
  <c r="F378" i="89"/>
  <c r="H377" i="89"/>
  <c r="G377" i="89"/>
  <c r="F377" i="89"/>
  <c r="H376" i="89"/>
  <c r="G376" i="89"/>
  <c r="F376" i="89"/>
  <c r="H375" i="89"/>
  <c r="G375" i="89"/>
  <c r="F375" i="89"/>
  <c r="H374" i="89"/>
  <c r="G374" i="89"/>
  <c r="F374" i="89"/>
  <c r="H373" i="89"/>
  <c r="G373" i="89"/>
  <c r="F373" i="89"/>
  <c r="H372" i="89"/>
  <c r="G372" i="89"/>
  <c r="F372" i="89"/>
  <c r="H371" i="89"/>
  <c r="G371" i="89"/>
  <c r="F371" i="89"/>
  <c r="H370" i="89"/>
  <c r="G370" i="89"/>
  <c r="F370" i="89"/>
  <c r="H369" i="89"/>
  <c r="G369" i="89"/>
  <c r="F369" i="89"/>
  <c r="H368" i="89"/>
  <c r="G368" i="89"/>
  <c r="F368" i="89"/>
  <c r="H367" i="89"/>
  <c r="G367" i="89"/>
  <c r="F367" i="89"/>
  <c r="H366" i="89"/>
  <c r="G366" i="89"/>
  <c r="F366" i="89"/>
  <c r="H365" i="89"/>
  <c r="G365" i="89"/>
  <c r="F365" i="89"/>
  <c r="H364" i="89"/>
  <c r="G364" i="89"/>
  <c r="F364" i="89"/>
  <c r="H363" i="89"/>
  <c r="G363" i="89"/>
  <c r="F363" i="89"/>
  <c r="H362" i="89"/>
  <c r="G362" i="89"/>
  <c r="F362" i="89"/>
  <c r="H361" i="89"/>
  <c r="G361" i="89"/>
  <c r="F361" i="89"/>
  <c r="H360" i="89"/>
  <c r="G360" i="89"/>
  <c r="F360" i="89"/>
  <c r="H359" i="89"/>
  <c r="G359" i="89"/>
  <c r="F359" i="89"/>
  <c r="H358" i="89"/>
  <c r="G358" i="89"/>
  <c r="F358" i="89"/>
  <c r="H357" i="89"/>
  <c r="G357" i="89"/>
  <c r="F357" i="89"/>
  <c r="H356" i="89"/>
  <c r="G356" i="89"/>
  <c r="F356" i="89"/>
  <c r="H355" i="89"/>
  <c r="G355" i="89"/>
  <c r="F355" i="89"/>
  <c r="H354" i="89"/>
  <c r="G354" i="89"/>
  <c r="F354" i="89"/>
  <c r="H353" i="89"/>
  <c r="G353" i="89"/>
  <c r="F353" i="89"/>
  <c r="H352" i="89"/>
  <c r="G352" i="89"/>
  <c r="F352" i="89"/>
  <c r="H351" i="89"/>
  <c r="G351" i="89"/>
  <c r="F351" i="89"/>
  <c r="H350" i="89"/>
  <c r="G350" i="89"/>
  <c r="F350" i="89"/>
  <c r="H349" i="89"/>
  <c r="G349" i="89"/>
  <c r="F349" i="89"/>
  <c r="H348" i="89"/>
  <c r="G348" i="89"/>
  <c r="F348" i="89"/>
  <c r="H347" i="89"/>
  <c r="G347" i="89"/>
  <c r="F347" i="89"/>
  <c r="H346" i="89"/>
  <c r="G346" i="89"/>
  <c r="F346" i="89"/>
  <c r="H345" i="89"/>
  <c r="G345" i="89"/>
  <c r="F345" i="89"/>
  <c r="H344" i="89"/>
  <c r="G344" i="89"/>
  <c r="F344" i="89"/>
  <c r="H343" i="89"/>
  <c r="G343" i="89"/>
  <c r="F343" i="89"/>
  <c r="H342" i="89"/>
  <c r="G342" i="89"/>
  <c r="F342" i="89"/>
  <c r="H341" i="89"/>
  <c r="G341" i="89"/>
  <c r="F341" i="89"/>
  <c r="H340" i="89"/>
  <c r="G340" i="89"/>
  <c r="F340" i="89"/>
  <c r="H339" i="89"/>
  <c r="G339" i="89"/>
  <c r="F339" i="89"/>
  <c r="H338" i="89"/>
  <c r="G338" i="89"/>
  <c r="F338" i="89"/>
  <c r="H337" i="89"/>
  <c r="G337" i="89"/>
  <c r="F337" i="89"/>
  <c r="H336" i="89"/>
  <c r="G336" i="89"/>
  <c r="F336" i="89"/>
  <c r="H335" i="89"/>
  <c r="G335" i="89"/>
  <c r="F335" i="89"/>
  <c r="H334" i="89"/>
  <c r="G334" i="89"/>
  <c r="F334" i="89"/>
  <c r="H333" i="89"/>
  <c r="G333" i="89"/>
  <c r="F333" i="89"/>
  <c r="H332" i="89"/>
  <c r="G332" i="89"/>
  <c r="F332" i="89"/>
  <c r="H331" i="89"/>
  <c r="G331" i="89"/>
  <c r="F331" i="89"/>
  <c r="H330" i="89"/>
  <c r="G330" i="89"/>
  <c r="F330" i="89"/>
  <c r="H329" i="89"/>
  <c r="G329" i="89"/>
  <c r="F329" i="89"/>
  <c r="H328" i="89"/>
  <c r="G328" i="89"/>
  <c r="F328" i="89"/>
  <c r="H327" i="89"/>
  <c r="G327" i="89"/>
  <c r="F327" i="89"/>
  <c r="H326" i="89"/>
  <c r="G326" i="89"/>
  <c r="F326" i="89"/>
  <c r="H325" i="89"/>
  <c r="G325" i="89"/>
  <c r="F325" i="89"/>
  <c r="H324" i="89"/>
  <c r="G324" i="89"/>
  <c r="F324" i="89"/>
  <c r="H323" i="89"/>
  <c r="G323" i="89"/>
  <c r="F323" i="89"/>
  <c r="H322" i="89"/>
  <c r="G322" i="89"/>
  <c r="F322" i="89"/>
  <c r="H321" i="89"/>
  <c r="G321" i="89"/>
  <c r="F321" i="89"/>
  <c r="H320" i="89"/>
  <c r="G320" i="89"/>
  <c r="F320" i="89"/>
  <c r="H319" i="89"/>
  <c r="G319" i="89"/>
  <c r="F319" i="89"/>
  <c r="H318" i="89"/>
  <c r="G318" i="89"/>
  <c r="F318" i="89"/>
  <c r="H317" i="89"/>
  <c r="G317" i="89"/>
  <c r="F317" i="89"/>
  <c r="H316" i="89"/>
  <c r="G316" i="89"/>
  <c r="F316" i="89"/>
  <c r="H315" i="89"/>
  <c r="G315" i="89"/>
  <c r="F315" i="89"/>
  <c r="H314" i="89"/>
  <c r="G314" i="89"/>
  <c r="F314" i="89"/>
  <c r="H313" i="89"/>
  <c r="G313" i="89"/>
  <c r="F313" i="89"/>
  <c r="H312" i="89"/>
  <c r="G312" i="89"/>
  <c r="F312" i="89"/>
  <c r="H311" i="89"/>
  <c r="G311" i="89"/>
  <c r="F311" i="89"/>
  <c r="H310" i="89"/>
  <c r="G310" i="89"/>
  <c r="F310" i="89"/>
  <c r="H309" i="89"/>
  <c r="G309" i="89"/>
  <c r="F309" i="89"/>
  <c r="H308" i="89"/>
  <c r="G308" i="89"/>
  <c r="F308" i="89"/>
  <c r="H307" i="89"/>
  <c r="G307" i="89"/>
  <c r="F307" i="89"/>
  <c r="H306" i="89"/>
  <c r="G306" i="89"/>
  <c r="F306" i="89"/>
  <c r="H305" i="89"/>
  <c r="G305" i="89"/>
  <c r="F305" i="89"/>
  <c r="H304" i="89"/>
  <c r="G304" i="89"/>
  <c r="F304" i="89"/>
  <c r="H303" i="89"/>
  <c r="G303" i="89"/>
  <c r="F303" i="89"/>
  <c r="H302" i="89"/>
  <c r="G302" i="89"/>
  <c r="F302" i="89"/>
  <c r="H301" i="89"/>
  <c r="G301" i="89"/>
  <c r="F301" i="89"/>
  <c r="H300" i="89"/>
  <c r="G300" i="89"/>
  <c r="F300" i="89"/>
  <c r="H299" i="89"/>
  <c r="G299" i="89"/>
  <c r="F299" i="89"/>
  <c r="H298" i="89"/>
  <c r="G298" i="89"/>
  <c r="F298" i="89"/>
  <c r="H297" i="89"/>
  <c r="G297" i="89"/>
  <c r="F297" i="89"/>
  <c r="H296" i="89"/>
  <c r="G296" i="89"/>
  <c r="F296" i="89"/>
  <c r="H295" i="89"/>
  <c r="G295" i="89"/>
  <c r="F295" i="89"/>
  <c r="H294" i="89"/>
  <c r="G294" i="89"/>
  <c r="F294" i="89"/>
  <c r="H293" i="89"/>
  <c r="G293" i="89"/>
  <c r="F293" i="89"/>
  <c r="H292" i="89"/>
  <c r="G292" i="89"/>
  <c r="F292" i="89"/>
  <c r="H291" i="89"/>
  <c r="G291" i="89"/>
  <c r="F291" i="89"/>
  <c r="H290" i="89"/>
  <c r="G290" i="89"/>
  <c r="F290" i="89"/>
  <c r="H289" i="89"/>
  <c r="G289" i="89"/>
  <c r="F289" i="89"/>
  <c r="H288" i="89"/>
  <c r="G288" i="89"/>
  <c r="F288" i="89"/>
  <c r="H287" i="89"/>
  <c r="G287" i="89"/>
  <c r="F287" i="89"/>
  <c r="H286" i="89"/>
  <c r="G286" i="89"/>
  <c r="F286" i="89"/>
  <c r="H285" i="89"/>
  <c r="G285" i="89"/>
  <c r="F285" i="89"/>
  <c r="H284" i="89"/>
  <c r="G284" i="89"/>
  <c r="F284" i="89"/>
  <c r="H283" i="89"/>
  <c r="G283" i="89"/>
  <c r="F283" i="89"/>
  <c r="H282" i="89"/>
  <c r="G282" i="89"/>
  <c r="F282" i="89"/>
  <c r="H281" i="89"/>
  <c r="G281" i="89"/>
  <c r="F281" i="89"/>
  <c r="H280" i="89"/>
  <c r="G280" i="89"/>
  <c r="F280" i="89"/>
  <c r="H279" i="89"/>
  <c r="G279" i="89"/>
  <c r="F279" i="89"/>
  <c r="H278" i="89"/>
  <c r="G278" i="89"/>
  <c r="F278" i="89"/>
  <c r="H277" i="89"/>
  <c r="G277" i="89"/>
  <c r="F277" i="89"/>
  <c r="H276" i="89"/>
  <c r="G276" i="89"/>
  <c r="F276" i="89"/>
  <c r="H275" i="89"/>
  <c r="G275" i="89"/>
  <c r="F275" i="89"/>
  <c r="H274" i="89"/>
  <c r="G274" i="89"/>
  <c r="F274" i="89"/>
  <c r="H273" i="89"/>
  <c r="G273" i="89"/>
  <c r="F273" i="89"/>
  <c r="H272" i="89"/>
  <c r="G272" i="89"/>
  <c r="F272" i="89"/>
  <c r="H271" i="89"/>
  <c r="G271" i="89"/>
  <c r="F271" i="89"/>
  <c r="H270" i="89"/>
  <c r="G270" i="89"/>
  <c r="F270" i="89"/>
  <c r="H269" i="89"/>
  <c r="G269" i="89"/>
  <c r="F269" i="89"/>
  <c r="H268" i="89"/>
  <c r="G268" i="89"/>
  <c r="F268" i="89"/>
  <c r="H267" i="89"/>
  <c r="G267" i="89"/>
  <c r="F267" i="89"/>
  <c r="H266" i="89"/>
  <c r="G266" i="89"/>
  <c r="F266" i="89"/>
  <c r="H265" i="89"/>
  <c r="G265" i="89"/>
  <c r="F265" i="89"/>
  <c r="H264" i="89"/>
  <c r="G264" i="89"/>
  <c r="F264" i="89"/>
  <c r="H263" i="89"/>
  <c r="G263" i="89"/>
  <c r="F263" i="89"/>
  <c r="H262" i="89"/>
  <c r="G262" i="89"/>
  <c r="F262" i="89"/>
  <c r="H261" i="89"/>
  <c r="G261" i="89"/>
  <c r="F261" i="89"/>
  <c r="H260" i="89"/>
  <c r="G260" i="89"/>
  <c r="F260" i="89"/>
  <c r="H259" i="89"/>
  <c r="G259" i="89"/>
  <c r="F259" i="89"/>
  <c r="H258" i="89"/>
  <c r="G258" i="89"/>
  <c r="F258" i="89"/>
  <c r="H257" i="89"/>
  <c r="G257" i="89"/>
  <c r="F257" i="89"/>
  <c r="H256" i="89"/>
  <c r="G256" i="89"/>
  <c r="F256" i="89"/>
  <c r="H255" i="89"/>
  <c r="G255" i="89"/>
  <c r="F255" i="89"/>
  <c r="H254" i="89"/>
  <c r="G254" i="89"/>
  <c r="F254" i="89"/>
  <c r="H253" i="89"/>
  <c r="G253" i="89"/>
  <c r="F253" i="89"/>
  <c r="H252" i="89"/>
  <c r="G252" i="89"/>
  <c r="F252" i="89"/>
  <c r="H251" i="89"/>
  <c r="G251" i="89"/>
  <c r="F251" i="89"/>
  <c r="H250" i="89"/>
  <c r="G250" i="89"/>
  <c r="F250" i="89"/>
  <c r="H249" i="89"/>
  <c r="G249" i="89"/>
  <c r="F249" i="89"/>
  <c r="H248" i="89"/>
  <c r="G248" i="89"/>
  <c r="F248" i="89"/>
  <c r="H247" i="89"/>
  <c r="G247" i="89"/>
  <c r="F247" i="89"/>
  <c r="H246" i="89"/>
  <c r="G246" i="89"/>
  <c r="F246" i="89"/>
  <c r="H245" i="89"/>
  <c r="G245" i="89"/>
  <c r="F245" i="89"/>
  <c r="H244" i="89"/>
  <c r="G244" i="89"/>
  <c r="F244" i="89"/>
  <c r="H243" i="89"/>
  <c r="G243" i="89"/>
  <c r="F243" i="89"/>
  <c r="H242" i="89"/>
  <c r="G242" i="89"/>
  <c r="F242" i="89"/>
  <c r="H241" i="89"/>
  <c r="G241" i="89"/>
  <c r="F241" i="89"/>
  <c r="H240" i="89"/>
  <c r="G240" i="89"/>
  <c r="F240" i="89"/>
  <c r="H239" i="89"/>
  <c r="G239" i="89"/>
  <c r="F239" i="89"/>
  <c r="H238" i="89"/>
  <c r="G238" i="89"/>
  <c r="F238" i="89"/>
  <c r="H237" i="89"/>
  <c r="G237" i="89"/>
  <c r="F237" i="89"/>
  <c r="H236" i="89"/>
  <c r="G236" i="89"/>
  <c r="F236" i="89"/>
  <c r="H235" i="89"/>
  <c r="G235" i="89"/>
  <c r="F235" i="89"/>
  <c r="H234" i="89"/>
  <c r="G234" i="89"/>
  <c r="F234" i="89"/>
  <c r="H233" i="89"/>
  <c r="G233" i="89"/>
  <c r="F233" i="89"/>
  <c r="H232" i="89"/>
  <c r="G232" i="89"/>
  <c r="F232" i="89"/>
  <c r="H231" i="89"/>
  <c r="G231" i="89"/>
  <c r="F231" i="89"/>
  <c r="H230" i="89"/>
  <c r="G230" i="89"/>
  <c r="F230" i="89"/>
  <c r="H229" i="89"/>
  <c r="G229" i="89"/>
  <c r="F229" i="89"/>
  <c r="H228" i="89"/>
  <c r="G228" i="89"/>
  <c r="F228" i="89"/>
  <c r="H227" i="89"/>
  <c r="G227" i="89"/>
  <c r="F227" i="89"/>
  <c r="H226" i="89"/>
  <c r="G226" i="89"/>
  <c r="F226" i="89"/>
  <c r="H225" i="89"/>
  <c r="G225" i="89"/>
  <c r="F225" i="89"/>
  <c r="H224" i="89"/>
  <c r="G224" i="89"/>
  <c r="F224" i="89"/>
  <c r="H223" i="89"/>
  <c r="G223" i="89"/>
  <c r="F223" i="89"/>
  <c r="H222" i="89"/>
  <c r="G222" i="89"/>
  <c r="F222" i="89"/>
  <c r="H221" i="89"/>
  <c r="G221" i="89"/>
  <c r="F221" i="89"/>
  <c r="H220" i="89"/>
  <c r="G220" i="89"/>
  <c r="F220" i="89"/>
  <c r="H219" i="89"/>
  <c r="G219" i="89"/>
  <c r="F219" i="89"/>
  <c r="H218" i="89"/>
  <c r="G218" i="89"/>
  <c r="F218" i="89"/>
  <c r="H217" i="89"/>
  <c r="G217" i="89"/>
  <c r="F217" i="89"/>
  <c r="H216" i="89"/>
  <c r="G216" i="89"/>
  <c r="F216" i="89"/>
  <c r="H215" i="89"/>
  <c r="G215" i="89"/>
  <c r="F215" i="89"/>
  <c r="H214" i="89"/>
  <c r="G214" i="89"/>
  <c r="F214" i="89"/>
  <c r="H213" i="89"/>
  <c r="G213" i="89"/>
  <c r="F213" i="89"/>
  <c r="H212" i="89"/>
  <c r="G212" i="89"/>
  <c r="F212" i="89"/>
  <c r="H211" i="89"/>
  <c r="G211" i="89"/>
  <c r="F211" i="89"/>
  <c r="H210" i="89"/>
  <c r="G210" i="89"/>
  <c r="F210" i="89"/>
  <c r="H209" i="89"/>
  <c r="G209" i="89"/>
  <c r="F209" i="89"/>
  <c r="H208" i="89"/>
  <c r="G208" i="89"/>
  <c r="F208" i="89"/>
  <c r="H207" i="89"/>
  <c r="G207" i="89"/>
  <c r="F207" i="89"/>
  <c r="H206" i="89"/>
  <c r="G206" i="89"/>
  <c r="F206" i="89"/>
  <c r="H205" i="89"/>
  <c r="G205" i="89"/>
  <c r="F205" i="89"/>
  <c r="H204" i="89"/>
  <c r="G204" i="89"/>
  <c r="F204" i="89"/>
  <c r="H203" i="89"/>
  <c r="G203" i="89"/>
  <c r="F203" i="89"/>
  <c r="H202" i="89"/>
  <c r="G202" i="89"/>
  <c r="F202" i="89"/>
  <c r="H201" i="89"/>
  <c r="G201" i="89"/>
  <c r="F201" i="89"/>
  <c r="H200" i="89"/>
  <c r="G200" i="89"/>
  <c r="F200" i="89"/>
  <c r="H199" i="89"/>
  <c r="G199" i="89"/>
  <c r="F199" i="89"/>
  <c r="H198" i="89"/>
  <c r="G198" i="89"/>
  <c r="F198" i="89"/>
  <c r="H197" i="89"/>
  <c r="G197" i="89"/>
  <c r="F197" i="89"/>
  <c r="H196" i="89"/>
  <c r="G196" i="89"/>
  <c r="F196" i="89"/>
  <c r="H195" i="89"/>
  <c r="G195" i="89"/>
  <c r="F195" i="89"/>
  <c r="H194" i="89"/>
  <c r="G194" i="89"/>
  <c r="F194" i="89"/>
  <c r="H193" i="89"/>
  <c r="G193" i="89"/>
  <c r="F193" i="89"/>
  <c r="H192" i="89"/>
  <c r="G192" i="89"/>
  <c r="F192" i="89"/>
  <c r="H191" i="89"/>
  <c r="G191" i="89"/>
  <c r="F191" i="89"/>
  <c r="H190" i="89"/>
  <c r="G190" i="89"/>
  <c r="F190" i="89"/>
  <c r="H189" i="89"/>
  <c r="G189" i="89"/>
  <c r="F189" i="89"/>
  <c r="H188" i="89"/>
  <c r="G188" i="89"/>
  <c r="F188" i="89"/>
  <c r="H187" i="89"/>
  <c r="G187" i="89"/>
  <c r="F187" i="89"/>
  <c r="H186" i="89"/>
  <c r="G186" i="89"/>
  <c r="F186" i="89"/>
  <c r="H185" i="89"/>
  <c r="G185" i="89"/>
  <c r="F185" i="89"/>
  <c r="H184" i="89"/>
  <c r="G184" i="89"/>
  <c r="F184" i="89"/>
  <c r="H183" i="89"/>
  <c r="G183" i="89"/>
  <c r="F183" i="89"/>
  <c r="H182" i="89"/>
  <c r="G182" i="89"/>
  <c r="F182" i="89"/>
  <c r="H181" i="89"/>
  <c r="G181" i="89"/>
  <c r="F181" i="89"/>
  <c r="H180" i="89"/>
  <c r="G180" i="89"/>
  <c r="F180" i="89"/>
  <c r="H179" i="89"/>
  <c r="G179" i="89"/>
  <c r="F179" i="89"/>
  <c r="H178" i="89"/>
  <c r="G178" i="89"/>
  <c r="F178" i="89"/>
  <c r="H177" i="89"/>
  <c r="G177" i="89"/>
  <c r="F177" i="89"/>
  <c r="H176" i="89"/>
  <c r="G176" i="89"/>
  <c r="F176" i="89"/>
  <c r="H175" i="89"/>
  <c r="G175" i="89"/>
  <c r="F175" i="89"/>
  <c r="H174" i="89"/>
  <c r="G174" i="89"/>
  <c r="F174" i="89"/>
  <c r="H173" i="89"/>
  <c r="G173" i="89"/>
  <c r="F173" i="89"/>
  <c r="H172" i="89"/>
  <c r="G172" i="89"/>
  <c r="F172" i="89"/>
  <c r="H171" i="89"/>
  <c r="G171" i="89"/>
  <c r="F171" i="89"/>
  <c r="H170" i="89"/>
  <c r="G170" i="89"/>
  <c r="F170" i="89"/>
  <c r="H169" i="89"/>
  <c r="G169" i="89"/>
  <c r="F169" i="89"/>
  <c r="H168" i="89"/>
  <c r="G168" i="89"/>
  <c r="F168" i="89"/>
  <c r="H167" i="89"/>
  <c r="G167" i="89"/>
  <c r="F167" i="89"/>
  <c r="H166" i="89"/>
  <c r="G166" i="89"/>
  <c r="F166" i="89"/>
  <c r="H165" i="89"/>
  <c r="G165" i="89"/>
  <c r="F165" i="89"/>
  <c r="H164" i="89"/>
  <c r="G164" i="89"/>
  <c r="F164" i="89"/>
  <c r="H163" i="89"/>
  <c r="G163" i="89"/>
  <c r="F163" i="89"/>
  <c r="H162" i="89"/>
  <c r="G162" i="89"/>
  <c r="F162" i="89"/>
  <c r="H161" i="89"/>
  <c r="G161" i="89"/>
  <c r="F161" i="89"/>
  <c r="H160" i="89"/>
  <c r="G160" i="89"/>
  <c r="F160" i="89"/>
  <c r="H159" i="89"/>
  <c r="G159" i="89"/>
  <c r="F159" i="89"/>
  <c r="H158" i="89"/>
  <c r="G158" i="89"/>
  <c r="F158" i="89"/>
  <c r="H157" i="89"/>
  <c r="G157" i="89"/>
  <c r="F157" i="89"/>
  <c r="H156" i="89"/>
  <c r="G156" i="89"/>
  <c r="F156" i="89"/>
  <c r="H155" i="89"/>
  <c r="G155" i="89"/>
  <c r="F155" i="89"/>
  <c r="H154" i="89"/>
  <c r="G154" i="89"/>
  <c r="F154" i="89"/>
  <c r="H153" i="89"/>
  <c r="G153" i="89"/>
  <c r="F153" i="89"/>
  <c r="H152" i="89"/>
  <c r="G152" i="89"/>
  <c r="F152" i="89"/>
  <c r="H151" i="89"/>
  <c r="G151" i="89"/>
  <c r="F151" i="89"/>
  <c r="H150" i="89"/>
  <c r="G150" i="89"/>
  <c r="F150" i="89"/>
  <c r="H149" i="89"/>
  <c r="G149" i="89"/>
  <c r="F149" i="89"/>
  <c r="H148" i="89"/>
  <c r="G148" i="89"/>
  <c r="F148" i="89"/>
  <c r="H147" i="89"/>
  <c r="G147" i="89"/>
  <c r="F147" i="89"/>
  <c r="H146" i="89"/>
  <c r="G146" i="89"/>
  <c r="F146" i="89"/>
  <c r="H145" i="89"/>
  <c r="G145" i="89"/>
  <c r="F145" i="89"/>
  <c r="H144" i="89"/>
  <c r="G144" i="89"/>
  <c r="F144" i="89"/>
  <c r="H143" i="89"/>
  <c r="G143" i="89"/>
  <c r="F143" i="89"/>
  <c r="H142" i="89"/>
  <c r="G142" i="89"/>
  <c r="F142" i="89"/>
  <c r="H141" i="89"/>
  <c r="G141" i="89"/>
  <c r="F141" i="89"/>
  <c r="H140" i="89"/>
  <c r="G140" i="89"/>
  <c r="F140" i="89"/>
  <c r="H139" i="89"/>
  <c r="G139" i="89"/>
  <c r="F139" i="89"/>
  <c r="H138" i="89"/>
  <c r="G138" i="89"/>
  <c r="F138" i="89"/>
  <c r="H137" i="89"/>
  <c r="G137" i="89"/>
  <c r="F137" i="89"/>
  <c r="H136" i="89"/>
  <c r="G136" i="89"/>
  <c r="F136" i="89"/>
  <c r="H135" i="89"/>
  <c r="G135" i="89"/>
  <c r="F135" i="89"/>
  <c r="H134" i="89"/>
  <c r="G134" i="89"/>
  <c r="F134" i="89"/>
  <c r="H133" i="89"/>
  <c r="G133" i="89"/>
  <c r="F133" i="89"/>
  <c r="H132" i="89"/>
  <c r="G132" i="89"/>
  <c r="F132" i="89"/>
  <c r="H131" i="89"/>
  <c r="G131" i="89"/>
  <c r="F131" i="89"/>
  <c r="H130" i="89"/>
  <c r="G130" i="89"/>
  <c r="F130" i="89"/>
  <c r="H129" i="89"/>
  <c r="G129" i="89"/>
  <c r="F129" i="89"/>
  <c r="H128" i="89"/>
  <c r="G128" i="89"/>
  <c r="F128" i="89"/>
  <c r="H127" i="89"/>
  <c r="G127" i="89"/>
  <c r="F127" i="89"/>
  <c r="H126" i="89"/>
  <c r="G126" i="89"/>
  <c r="F126" i="89"/>
  <c r="H125" i="89"/>
  <c r="G125" i="89"/>
  <c r="F125" i="89"/>
  <c r="H124" i="89"/>
  <c r="G124" i="89"/>
  <c r="F124" i="89"/>
  <c r="H123" i="89"/>
  <c r="G123" i="89"/>
  <c r="F123" i="89"/>
  <c r="H122" i="89"/>
  <c r="G122" i="89"/>
  <c r="F122" i="89"/>
  <c r="H121" i="89"/>
  <c r="G121" i="89"/>
  <c r="F121" i="89"/>
  <c r="H120" i="89"/>
  <c r="G120" i="89"/>
  <c r="F120" i="89"/>
  <c r="H119" i="89"/>
  <c r="G119" i="89"/>
  <c r="F119" i="89"/>
  <c r="H118" i="89"/>
  <c r="G118" i="89"/>
  <c r="F118" i="89"/>
  <c r="H117" i="89"/>
  <c r="G117" i="89"/>
  <c r="F117" i="89"/>
  <c r="H116" i="89"/>
  <c r="G116" i="89"/>
  <c r="F116" i="89"/>
  <c r="H115" i="89"/>
  <c r="G115" i="89"/>
  <c r="F115" i="89"/>
  <c r="H114" i="89"/>
  <c r="G114" i="89"/>
  <c r="F114" i="89"/>
  <c r="H113" i="89"/>
  <c r="G113" i="89"/>
  <c r="F113" i="89"/>
  <c r="H112" i="89"/>
  <c r="G112" i="89"/>
  <c r="F112" i="89"/>
  <c r="H111" i="89"/>
  <c r="G111" i="89"/>
  <c r="F111" i="89"/>
  <c r="H110" i="89"/>
  <c r="G110" i="89"/>
  <c r="F110" i="89"/>
  <c r="H109" i="89"/>
  <c r="G109" i="89"/>
  <c r="F109" i="89"/>
  <c r="H108" i="89"/>
  <c r="G108" i="89"/>
  <c r="F108" i="89"/>
  <c r="H107" i="89"/>
  <c r="G107" i="89"/>
  <c r="F107" i="89"/>
  <c r="H106" i="89"/>
  <c r="G106" i="89"/>
  <c r="F106" i="89"/>
  <c r="H105" i="89"/>
  <c r="G105" i="89"/>
  <c r="F105" i="89"/>
  <c r="H104" i="89"/>
  <c r="G104" i="89"/>
  <c r="F104" i="89"/>
  <c r="H103" i="89"/>
  <c r="G103" i="89"/>
  <c r="F103" i="89"/>
  <c r="H102" i="89"/>
  <c r="G102" i="89"/>
  <c r="F102" i="89"/>
  <c r="H101" i="89"/>
  <c r="G101" i="89"/>
  <c r="F101" i="89"/>
  <c r="H100" i="89"/>
  <c r="G100" i="89"/>
  <c r="F100" i="89"/>
  <c r="H99" i="89"/>
  <c r="G99" i="89"/>
  <c r="F99" i="89"/>
  <c r="H98" i="89"/>
  <c r="G98" i="89"/>
  <c r="F98" i="89"/>
  <c r="H97" i="89"/>
  <c r="G97" i="89"/>
  <c r="F97" i="89"/>
  <c r="H96" i="89"/>
  <c r="G96" i="89"/>
  <c r="F96" i="89"/>
  <c r="H95" i="89"/>
  <c r="G95" i="89"/>
  <c r="F95" i="89"/>
  <c r="H94" i="89"/>
  <c r="G94" i="89"/>
  <c r="F94" i="89"/>
  <c r="H93" i="89"/>
  <c r="G93" i="89"/>
  <c r="F93" i="89"/>
  <c r="H92" i="89"/>
  <c r="G92" i="89"/>
  <c r="F92" i="89"/>
  <c r="H91" i="89"/>
  <c r="G91" i="89"/>
  <c r="F91" i="89"/>
  <c r="H90" i="89"/>
  <c r="G90" i="89"/>
  <c r="F90" i="89"/>
  <c r="H89" i="89"/>
  <c r="G89" i="89"/>
  <c r="F89" i="89"/>
  <c r="H88" i="89"/>
  <c r="G88" i="89"/>
  <c r="F88" i="89"/>
  <c r="H87" i="89"/>
  <c r="G87" i="89"/>
  <c r="F87" i="89"/>
  <c r="H86" i="89"/>
  <c r="G86" i="89"/>
  <c r="F86" i="89"/>
  <c r="H85" i="89"/>
  <c r="G85" i="89"/>
  <c r="F85" i="89"/>
  <c r="H84" i="89"/>
  <c r="G84" i="89"/>
  <c r="F84" i="89"/>
  <c r="H83" i="89"/>
  <c r="G83" i="89"/>
  <c r="F83" i="89"/>
  <c r="H82" i="89"/>
  <c r="G82" i="89"/>
  <c r="F82" i="89"/>
  <c r="H81" i="89"/>
  <c r="G81" i="89"/>
  <c r="F81" i="89"/>
  <c r="H80" i="89"/>
  <c r="G80" i="89"/>
  <c r="F80" i="89"/>
  <c r="H79" i="89"/>
  <c r="G79" i="89"/>
  <c r="F79" i="89"/>
  <c r="H78" i="89"/>
  <c r="G78" i="89"/>
  <c r="F78" i="89"/>
  <c r="H77" i="89"/>
  <c r="G77" i="89"/>
  <c r="F77" i="89"/>
  <c r="H76" i="89"/>
  <c r="G76" i="89"/>
  <c r="F76" i="89"/>
  <c r="H75" i="89"/>
  <c r="G75" i="89"/>
  <c r="F75" i="89"/>
  <c r="H74" i="89"/>
  <c r="G74" i="89"/>
  <c r="F74" i="89"/>
  <c r="H73" i="89"/>
  <c r="G73" i="89"/>
  <c r="F73" i="89"/>
  <c r="H72" i="89"/>
  <c r="G72" i="89"/>
  <c r="F72" i="89"/>
  <c r="H71" i="89"/>
  <c r="G71" i="89"/>
  <c r="F71" i="89"/>
  <c r="H70" i="89"/>
  <c r="G70" i="89"/>
  <c r="F70" i="89"/>
  <c r="H69" i="89"/>
  <c r="G69" i="89"/>
  <c r="F69" i="89"/>
  <c r="H68" i="89"/>
  <c r="G68" i="89"/>
  <c r="F68" i="89"/>
  <c r="H67" i="89"/>
  <c r="G67" i="89"/>
  <c r="F67" i="89"/>
  <c r="H66" i="89"/>
  <c r="G66" i="89"/>
  <c r="F66" i="89"/>
  <c r="H65" i="89"/>
  <c r="G65" i="89"/>
  <c r="F65" i="89"/>
  <c r="H64" i="89"/>
  <c r="G64" i="89"/>
  <c r="F64" i="89"/>
  <c r="H63" i="89"/>
  <c r="G63" i="89"/>
  <c r="F63" i="89"/>
  <c r="H62" i="89"/>
  <c r="G62" i="89"/>
  <c r="F62" i="89"/>
  <c r="H61" i="89"/>
  <c r="G61" i="89"/>
  <c r="F61" i="89"/>
  <c r="H60" i="89"/>
  <c r="G60" i="89"/>
  <c r="F60" i="89"/>
  <c r="H59" i="89"/>
  <c r="G59" i="89"/>
  <c r="F59" i="89"/>
  <c r="H58" i="89"/>
  <c r="G58" i="89"/>
  <c r="F58" i="89"/>
  <c r="H57" i="89"/>
  <c r="G57" i="89"/>
  <c r="F57" i="89"/>
  <c r="H56" i="89"/>
  <c r="G56" i="89"/>
  <c r="F56" i="89"/>
  <c r="H55" i="89"/>
  <c r="G55" i="89"/>
  <c r="F55" i="89"/>
  <c r="H54" i="89"/>
  <c r="G54" i="89"/>
  <c r="F54" i="89"/>
  <c r="H53" i="89"/>
  <c r="G53" i="89"/>
  <c r="F53" i="89"/>
  <c r="H52" i="89"/>
  <c r="G52" i="89"/>
  <c r="F52" i="89"/>
  <c r="H51" i="89"/>
  <c r="G51" i="89"/>
  <c r="F51" i="89"/>
  <c r="H50" i="89"/>
  <c r="G50" i="89"/>
  <c r="F50" i="89"/>
  <c r="H49" i="89"/>
  <c r="G49" i="89"/>
  <c r="F49" i="89"/>
  <c r="H48" i="89"/>
  <c r="G48" i="89"/>
  <c r="F48" i="89"/>
  <c r="H47" i="89"/>
  <c r="G47" i="89"/>
  <c r="F47" i="89"/>
  <c r="H46" i="89"/>
  <c r="G46" i="89"/>
  <c r="F46" i="89"/>
  <c r="H45" i="89"/>
  <c r="G45" i="89"/>
  <c r="F45" i="89"/>
  <c r="H44" i="89"/>
  <c r="G44" i="89"/>
  <c r="F44" i="89"/>
  <c r="H43" i="89"/>
  <c r="G43" i="89"/>
  <c r="F43" i="89"/>
  <c r="H42" i="89"/>
  <c r="G42" i="89"/>
  <c r="F42" i="89"/>
  <c r="H41" i="89"/>
  <c r="G41" i="89"/>
  <c r="F41" i="89"/>
  <c r="H40" i="89"/>
  <c r="G40" i="89"/>
  <c r="F40" i="89"/>
  <c r="H39" i="89"/>
  <c r="G39" i="89"/>
  <c r="F39" i="89"/>
  <c r="H38" i="89"/>
  <c r="G38" i="89"/>
  <c r="F38" i="89"/>
  <c r="H37" i="89"/>
  <c r="G37" i="89"/>
  <c r="F37" i="89"/>
  <c r="H36" i="89"/>
  <c r="G36" i="89"/>
  <c r="F36" i="89"/>
  <c r="H35" i="89"/>
  <c r="G35" i="89"/>
  <c r="F35" i="89"/>
  <c r="H34" i="89"/>
  <c r="G34" i="89"/>
  <c r="F34" i="89"/>
  <c r="H33" i="89"/>
  <c r="G33" i="89"/>
  <c r="F33" i="89"/>
  <c r="H32" i="89"/>
  <c r="G32" i="89"/>
  <c r="F32" i="89"/>
  <c r="H31" i="89"/>
  <c r="G31" i="89"/>
  <c r="F31" i="89"/>
  <c r="H30" i="89"/>
  <c r="G30" i="89"/>
  <c r="F30" i="89"/>
  <c r="H29" i="89"/>
  <c r="G29" i="89"/>
  <c r="F29" i="89"/>
  <c r="H28" i="89"/>
  <c r="G28" i="89"/>
  <c r="F28" i="89"/>
  <c r="H27" i="89"/>
  <c r="G27" i="89"/>
  <c r="F27" i="89"/>
  <c r="H26" i="89"/>
  <c r="G26" i="89"/>
  <c r="F26" i="89"/>
  <c r="H25" i="89"/>
  <c r="G25" i="89"/>
  <c r="F25" i="89"/>
  <c r="H24" i="89"/>
  <c r="G24" i="89"/>
  <c r="F24" i="89"/>
  <c r="H23" i="89"/>
  <c r="G23" i="89"/>
  <c r="F23" i="89"/>
  <c r="H22" i="89"/>
  <c r="G22" i="89"/>
  <c r="F22" i="89"/>
  <c r="H21" i="89"/>
  <c r="G21" i="89"/>
  <c r="F21" i="89"/>
  <c r="H20" i="89"/>
  <c r="G20" i="89"/>
  <c r="F20" i="89"/>
  <c r="H19" i="89"/>
  <c r="G19" i="89"/>
  <c r="F19" i="89"/>
  <c r="H18" i="89"/>
  <c r="G18" i="89"/>
  <c r="F18" i="89"/>
  <c r="H17" i="89"/>
  <c r="G17" i="89"/>
  <c r="F17" i="89"/>
  <c r="H16" i="89"/>
  <c r="G16" i="89"/>
  <c r="F16" i="89"/>
  <c r="H15" i="89"/>
  <c r="G15" i="89"/>
  <c r="F15" i="89"/>
  <c r="H14" i="89"/>
  <c r="G14" i="89"/>
  <c r="F14" i="89"/>
  <c r="H13" i="89"/>
  <c r="G13" i="89"/>
  <c r="F13" i="89"/>
  <c r="H12" i="89"/>
  <c r="G12" i="89"/>
  <c r="F12" i="89"/>
  <c r="H11" i="89"/>
  <c r="G11" i="89"/>
  <c r="F11" i="89"/>
  <c r="H10" i="89"/>
  <c r="G10" i="89"/>
  <c r="F10" i="89"/>
  <c r="H9" i="89"/>
  <c r="G9" i="89"/>
  <c r="F9" i="89"/>
  <c r="H8" i="89"/>
  <c r="G8" i="89"/>
  <c r="F8" i="89"/>
  <c r="H7" i="89"/>
  <c r="G7" i="89"/>
  <c r="F7" i="89"/>
  <c r="R9" i="78" l="1"/>
  <c r="P9" i="78"/>
  <c r="Q9" i="78"/>
  <c r="I9" i="78"/>
  <c r="H9" i="78"/>
  <c r="O9" i="78"/>
  <c r="N9" i="78"/>
  <c r="M9" i="78"/>
  <c r="J1" i="79"/>
  <c r="I1" i="79"/>
  <c r="H77" i="80" l="1"/>
  <c r="H77" i="85"/>
  <c r="I77" i="85"/>
  <c r="I77" i="80"/>
  <c r="J77" i="80"/>
  <c r="J77" i="85"/>
  <c r="L77" i="85"/>
  <c r="L77" i="80"/>
  <c r="K77" i="85"/>
  <c r="K77" i="80"/>
  <c r="M77" i="80"/>
  <c r="Z77" i="80" s="1"/>
  <c r="AF61" i="80" s="1"/>
  <c r="M77" i="85"/>
  <c r="Z77" i="85" s="1"/>
  <c r="AF41" i="85" s="1"/>
  <c r="G11" i="80"/>
  <c r="H11" i="80"/>
  <c r="G5" i="79"/>
  <c r="F6" i="79"/>
  <c r="W77" i="85" l="1"/>
  <c r="Y77" i="80"/>
  <c r="AH53" i="80"/>
  <c r="AF53" i="80" s="1"/>
  <c r="AY53" i="80" s="1"/>
  <c r="AH52" i="80"/>
  <c r="AF52" i="80" s="1"/>
  <c r="AY52" i="80" s="1"/>
  <c r="W77" i="80"/>
  <c r="G12" i="80"/>
  <c r="Y77" i="85"/>
  <c r="AY51" i="80" l="1"/>
  <c r="AF51" i="80"/>
  <c r="B108" i="78"/>
  <c r="A108" i="78"/>
  <c r="B107" i="78"/>
  <c r="A107" i="78"/>
  <c r="B106" i="78"/>
  <c r="A106" i="78"/>
  <c r="B105" i="78"/>
  <c r="A105" i="78"/>
  <c r="B104" i="78"/>
  <c r="A104" i="78"/>
  <c r="B103" i="78"/>
  <c r="A103" i="78"/>
  <c r="B102" i="78"/>
  <c r="A102" i="78"/>
  <c r="B101" i="78"/>
  <c r="A101" i="78"/>
  <c r="B100" i="78"/>
  <c r="A100" i="78"/>
  <c r="B99" i="78"/>
  <c r="A99" i="78"/>
  <c r="B98" i="78"/>
  <c r="A98" i="78"/>
  <c r="B97" i="78"/>
  <c r="A97" i="78"/>
  <c r="B96" i="78"/>
  <c r="A96" i="78"/>
  <c r="B95" i="78"/>
  <c r="A95" i="78"/>
  <c r="B94" i="78"/>
  <c r="A94" i="78"/>
  <c r="B93" i="78"/>
  <c r="A93" i="78"/>
  <c r="B92" i="78"/>
  <c r="A92" i="78"/>
  <c r="B91" i="78"/>
  <c r="A91" i="78"/>
  <c r="B90" i="78"/>
  <c r="A90" i="78"/>
  <c r="B89" i="78"/>
  <c r="A89" i="78"/>
  <c r="B88" i="78"/>
  <c r="A88" i="78"/>
  <c r="B87" i="78"/>
  <c r="A87" i="78"/>
  <c r="B86" i="78"/>
  <c r="A86" i="78"/>
  <c r="B85" i="78"/>
  <c r="A85" i="78"/>
  <c r="B84" i="78"/>
  <c r="A84" i="78"/>
  <c r="B83" i="78"/>
  <c r="A83" i="78"/>
  <c r="B82" i="78"/>
  <c r="A82" i="78"/>
  <c r="B81" i="78"/>
  <c r="A81" i="78"/>
  <c r="B80" i="78"/>
  <c r="A80" i="78"/>
  <c r="B79" i="78"/>
  <c r="A79" i="78"/>
  <c r="B78" i="78"/>
  <c r="A78" i="78"/>
  <c r="B77" i="78"/>
  <c r="A77" i="78"/>
  <c r="B76" i="78"/>
  <c r="A76" i="78"/>
  <c r="B75" i="78"/>
  <c r="A75" i="78"/>
  <c r="B74" i="78"/>
  <c r="A74" i="78"/>
  <c r="B73" i="78"/>
  <c r="A73" i="78"/>
  <c r="B72" i="78"/>
  <c r="A72" i="78"/>
  <c r="B71" i="78"/>
  <c r="A71" i="78"/>
  <c r="B70" i="78"/>
  <c r="A70" i="78"/>
  <c r="B69" i="78"/>
  <c r="A69" i="78"/>
  <c r="B68" i="78"/>
  <c r="A68" i="78"/>
  <c r="B67" i="78"/>
  <c r="A67" i="78"/>
  <c r="B66" i="78"/>
  <c r="A66" i="78"/>
  <c r="B65" i="78"/>
  <c r="A65" i="78"/>
  <c r="B64" i="78"/>
  <c r="A64" i="78"/>
  <c r="B63" i="78"/>
  <c r="A63" i="78"/>
  <c r="B62" i="78"/>
  <c r="A62" i="78"/>
  <c r="B61" i="78"/>
  <c r="A61" i="78"/>
  <c r="B60" i="78"/>
  <c r="A60" i="78"/>
  <c r="B59" i="78"/>
  <c r="A59" i="78"/>
  <c r="B58" i="78"/>
  <c r="A58" i="78"/>
  <c r="B57" i="78"/>
  <c r="A57" i="78"/>
  <c r="B56" i="78"/>
  <c r="A56" i="78"/>
  <c r="B55" i="78"/>
  <c r="A55" i="78"/>
  <c r="B54" i="78"/>
  <c r="A54" i="78"/>
  <c r="B53" i="78"/>
  <c r="A53" i="78"/>
  <c r="B52" i="78"/>
  <c r="A52" i="78"/>
  <c r="B51" i="78"/>
  <c r="A51" i="78"/>
  <c r="B50" i="78"/>
  <c r="A50" i="78"/>
  <c r="B49" i="78"/>
  <c r="A49" i="78"/>
  <c r="B48" i="78"/>
  <c r="A48" i="78"/>
  <c r="B47" i="78"/>
  <c r="A47" i="78"/>
  <c r="B46" i="78"/>
  <c r="A46" i="78"/>
  <c r="B45" i="78"/>
  <c r="A45" i="78"/>
  <c r="B44" i="78"/>
  <c r="A44" i="78"/>
  <c r="B43" i="78"/>
  <c r="A43" i="78"/>
  <c r="B42" i="78"/>
  <c r="A42" i="78"/>
  <c r="B41" i="78"/>
  <c r="A41" i="78"/>
  <c r="B40" i="78"/>
  <c r="A40" i="78"/>
  <c r="B39" i="78"/>
  <c r="A39" i="78"/>
  <c r="B38" i="78"/>
  <c r="A38" i="78"/>
  <c r="A37" i="78"/>
  <c r="Q40" i="78" l="1"/>
  <c r="M40" i="78"/>
  <c r="I40" i="78"/>
  <c r="N40" i="78"/>
  <c r="H40" i="78"/>
  <c r="R40" i="78"/>
  <c r="P40" i="78"/>
  <c r="O40" i="78"/>
  <c r="O42" i="78"/>
  <c r="R42" i="78"/>
  <c r="M42" i="78"/>
  <c r="H42" i="78"/>
  <c r="Q42" i="78"/>
  <c r="I42" i="78"/>
  <c r="P42" i="78"/>
  <c r="N42" i="78"/>
  <c r="Q44" i="78"/>
  <c r="M44" i="78"/>
  <c r="I44" i="78"/>
  <c r="R44" i="78"/>
  <c r="P44" i="78"/>
  <c r="O44" i="78"/>
  <c r="N44" i="78"/>
  <c r="H44" i="78"/>
  <c r="O46" i="78"/>
  <c r="Q46" i="78"/>
  <c r="P46" i="78"/>
  <c r="N46" i="78"/>
  <c r="M46" i="78"/>
  <c r="I46" i="78"/>
  <c r="H46" i="78"/>
  <c r="R46" i="78"/>
  <c r="Q48" i="78"/>
  <c r="M48" i="78"/>
  <c r="I48" i="78"/>
  <c r="P48" i="78"/>
  <c r="O48" i="78"/>
  <c r="N48" i="78"/>
  <c r="H48" i="78"/>
  <c r="R48" i="78"/>
  <c r="O50" i="78"/>
  <c r="P50" i="78"/>
  <c r="N50" i="78"/>
  <c r="I50" i="78"/>
  <c r="M50" i="78"/>
  <c r="H50" i="78"/>
  <c r="R50" i="78"/>
  <c r="Q50" i="78"/>
  <c r="Q52" i="78"/>
  <c r="M52" i="78"/>
  <c r="I52" i="78"/>
  <c r="O52" i="78"/>
  <c r="N52" i="78"/>
  <c r="H52" i="78"/>
  <c r="P52" i="78"/>
  <c r="R52" i="78"/>
  <c r="O54" i="78"/>
  <c r="N54" i="78"/>
  <c r="I54" i="78"/>
  <c r="R54" i="78"/>
  <c r="M54" i="78"/>
  <c r="H54" i="78"/>
  <c r="Q54" i="78"/>
  <c r="P54" i="78"/>
  <c r="Q56" i="78"/>
  <c r="M56" i="78"/>
  <c r="I56" i="78"/>
  <c r="N56" i="78"/>
  <c r="H56" i="78"/>
  <c r="R56" i="78"/>
  <c r="P56" i="78"/>
  <c r="O56" i="78"/>
  <c r="O58" i="78"/>
  <c r="R58" i="78"/>
  <c r="M58" i="78"/>
  <c r="H58" i="78"/>
  <c r="Q58" i="78"/>
  <c r="I58" i="78"/>
  <c r="P58" i="78"/>
  <c r="N58" i="78"/>
  <c r="Q60" i="78"/>
  <c r="M60" i="78"/>
  <c r="I60" i="78"/>
  <c r="R60" i="78"/>
  <c r="P60" i="78"/>
  <c r="H60" i="78"/>
  <c r="O60" i="78"/>
  <c r="N60" i="78"/>
  <c r="O62" i="78"/>
  <c r="Q62" i="78"/>
  <c r="P62" i="78"/>
  <c r="I62" i="78"/>
  <c r="R62" i="78"/>
  <c r="H62" i="78"/>
  <c r="N62" i="78"/>
  <c r="M62" i="78"/>
  <c r="Q64" i="78"/>
  <c r="M64" i="78"/>
  <c r="I64" i="78"/>
  <c r="P64" i="78"/>
  <c r="O64" i="78"/>
  <c r="H64" i="78"/>
  <c r="R64" i="78"/>
  <c r="N64" i="78"/>
  <c r="O66" i="78"/>
  <c r="P66" i="78"/>
  <c r="N66" i="78"/>
  <c r="I66" i="78"/>
  <c r="R66" i="78"/>
  <c r="H66" i="78"/>
  <c r="Q66" i="78"/>
  <c r="M66" i="78"/>
  <c r="Q68" i="78"/>
  <c r="M68" i="78"/>
  <c r="I68" i="78"/>
  <c r="O68" i="78"/>
  <c r="N68" i="78"/>
  <c r="H68" i="78"/>
  <c r="R68" i="78"/>
  <c r="P68" i="78"/>
  <c r="O70" i="78"/>
  <c r="N70" i="78"/>
  <c r="I70" i="78"/>
  <c r="R70" i="78"/>
  <c r="M70" i="78"/>
  <c r="H70" i="78"/>
  <c r="Q70" i="78"/>
  <c r="P70" i="78"/>
  <c r="Q72" i="78"/>
  <c r="M72" i="78"/>
  <c r="I72" i="78"/>
  <c r="N72" i="78"/>
  <c r="H72" i="78"/>
  <c r="R72" i="78"/>
  <c r="P72" i="78"/>
  <c r="O72" i="78"/>
  <c r="O74" i="78"/>
  <c r="R74" i="78"/>
  <c r="M74" i="78"/>
  <c r="H74" i="78"/>
  <c r="Q74" i="78"/>
  <c r="P74" i="78"/>
  <c r="N74" i="78"/>
  <c r="I74" i="78"/>
  <c r="Q76" i="78"/>
  <c r="M76" i="78"/>
  <c r="I76" i="78"/>
  <c r="R76" i="78"/>
  <c r="P76" i="78"/>
  <c r="O76" i="78"/>
  <c r="N76" i="78"/>
  <c r="H76" i="78"/>
  <c r="P78" i="78"/>
  <c r="Q78" i="78"/>
  <c r="M78" i="78"/>
  <c r="R78" i="78"/>
  <c r="O78" i="78"/>
  <c r="N78" i="78"/>
  <c r="I78" i="78"/>
  <c r="H78" i="78"/>
  <c r="R80" i="78"/>
  <c r="N80" i="78"/>
  <c r="P80" i="78"/>
  <c r="Q80" i="78"/>
  <c r="I80" i="78"/>
  <c r="H80" i="78"/>
  <c r="M80" i="78"/>
  <c r="O80" i="78"/>
  <c r="P82" i="78"/>
  <c r="H82" i="78"/>
  <c r="O82" i="78"/>
  <c r="R82" i="78"/>
  <c r="Q82" i="78"/>
  <c r="I82" i="78"/>
  <c r="N82" i="78"/>
  <c r="M82" i="78"/>
  <c r="R84" i="78"/>
  <c r="N84" i="78"/>
  <c r="O84" i="78"/>
  <c r="I84" i="78"/>
  <c r="Q84" i="78"/>
  <c r="P84" i="78"/>
  <c r="H84" i="78"/>
  <c r="M84" i="78"/>
  <c r="P86" i="78"/>
  <c r="H86" i="78"/>
  <c r="N86" i="78"/>
  <c r="I86" i="78"/>
  <c r="Q86" i="78"/>
  <c r="O86" i="78"/>
  <c r="M86" i="78"/>
  <c r="R86" i="78"/>
  <c r="R88" i="78"/>
  <c r="N88" i="78"/>
  <c r="M88" i="78"/>
  <c r="H88" i="78"/>
  <c r="P88" i="78"/>
  <c r="I88" i="78"/>
  <c r="O88" i="78"/>
  <c r="Q88" i="78"/>
  <c r="P90" i="78"/>
  <c r="H90" i="78"/>
  <c r="R90" i="78"/>
  <c r="M90" i="78"/>
  <c r="O90" i="78"/>
  <c r="I90" i="78"/>
  <c r="N90" i="78"/>
  <c r="Q90" i="78"/>
  <c r="R92" i="78"/>
  <c r="N92" i="78"/>
  <c r="Q92" i="78"/>
  <c r="O92" i="78"/>
  <c r="H92" i="78"/>
  <c r="M92" i="78"/>
  <c r="P92" i="78"/>
  <c r="I92" i="78"/>
  <c r="P94" i="78"/>
  <c r="H94" i="78"/>
  <c r="Q94" i="78"/>
  <c r="N94" i="78"/>
  <c r="M94" i="78"/>
  <c r="I94" i="78"/>
  <c r="R94" i="78"/>
  <c r="O94" i="78"/>
  <c r="R96" i="78"/>
  <c r="N96" i="78"/>
  <c r="P96" i="78"/>
  <c r="M96" i="78"/>
  <c r="Q96" i="78"/>
  <c r="O96" i="78"/>
  <c r="I96" i="78"/>
  <c r="H96" i="78"/>
  <c r="P98" i="78"/>
  <c r="H98" i="78"/>
  <c r="O98" i="78"/>
  <c r="M98" i="78"/>
  <c r="R98" i="78"/>
  <c r="I98" i="78"/>
  <c r="Q98" i="78"/>
  <c r="N98" i="78"/>
  <c r="R100" i="78"/>
  <c r="N100" i="78"/>
  <c r="O100" i="78"/>
  <c r="I100" i="78"/>
  <c r="Q100" i="78"/>
  <c r="P100" i="78"/>
  <c r="M100" i="78"/>
  <c r="H100" i="78"/>
  <c r="P102" i="78"/>
  <c r="H102" i="78"/>
  <c r="N102" i="78"/>
  <c r="I102" i="78"/>
  <c r="R102" i="78"/>
  <c r="Q102" i="78"/>
  <c r="O102" i="78"/>
  <c r="M102" i="78"/>
  <c r="R104" i="78"/>
  <c r="N104" i="78"/>
  <c r="M104" i="78"/>
  <c r="H104" i="78"/>
  <c r="Q104" i="78"/>
  <c r="P104" i="78"/>
  <c r="I104" i="78"/>
  <c r="O104" i="78"/>
  <c r="P106" i="78"/>
  <c r="H106" i="78"/>
  <c r="R106" i="78"/>
  <c r="M106" i="78"/>
  <c r="Q106" i="78"/>
  <c r="O106" i="78"/>
  <c r="I106" i="78"/>
  <c r="N106" i="78"/>
  <c r="R108" i="78"/>
  <c r="N108" i="78"/>
  <c r="Q108" i="78"/>
  <c r="P108" i="78"/>
  <c r="I108" i="78"/>
  <c r="O108" i="78"/>
  <c r="H108" i="78"/>
  <c r="M108" i="78"/>
  <c r="Q38" i="78"/>
  <c r="M38" i="78"/>
  <c r="I38" i="78"/>
  <c r="P38" i="78"/>
  <c r="H38" i="78"/>
  <c r="N38" i="78"/>
  <c r="R38" i="78"/>
  <c r="O38" i="78"/>
  <c r="P39" i="78"/>
  <c r="N39" i="78"/>
  <c r="R39" i="78"/>
  <c r="M39" i="78"/>
  <c r="I39" i="78"/>
  <c r="Q39" i="78"/>
  <c r="H39" i="78"/>
  <c r="O39" i="78"/>
  <c r="R41" i="78"/>
  <c r="N41" i="78"/>
  <c r="M41" i="78"/>
  <c r="H41" i="78"/>
  <c r="Q41" i="78"/>
  <c r="I41" i="78"/>
  <c r="P41" i="78"/>
  <c r="O41" i="78"/>
  <c r="P43" i="78"/>
  <c r="H43" i="78"/>
  <c r="R43" i="78"/>
  <c r="M43" i="78"/>
  <c r="Q43" i="78"/>
  <c r="I43" i="78"/>
  <c r="O43" i="78"/>
  <c r="N43" i="78"/>
  <c r="R45" i="78"/>
  <c r="N45" i="78"/>
  <c r="Q45" i="78"/>
  <c r="P45" i="78"/>
  <c r="O45" i="78"/>
  <c r="M45" i="78"/>
  <c r="H45" i="78"/>
  <c r="I45" i="78"/>
  <c r="P47" i="78"/>
  <c r="H47" i="78"/>
  <c r="Q47" i="78"/>
  <c r="O47" i="78"/>
  <c r="N47" i="78"/>
  <c r="M47" i="78"/>
  <c r="I47" i="78"/>
  <c r="R47" i="78"/>
  <c r="R49" i="78"/>
  <c r="N49" i="78"/>
  <c r="P49" i="78"/>
  <c r="O49" i="78"/>
  <c r="I49" i="78"/>
  <c r="M49" i="78"/>
  <c r="Q49" i="78"/>
  <c r="H49" i="78"/>
  <c r="P51" i="78"/>
  <c r="H51" i="78"/>
  <c r="O51" i="78"/>
  <c r="N51" i="78"/>
  <c r="I51" i="78"/>
  <c r="M51" i="78"/>
  <c r="R51" i="78"/>
  <c r="Q51" i="78"/>
  <c r="R53" i="78"/>
  <c r="N53" i="78"/>
  <c r="O53" i="78"/>
  <c r="I53" i="78"/>
  <c r="M53" i="78"/>
  <c r="H53" i="78"/>
  <c r="Q53" i="78"/>
  <c r="P53" i="78"/>
  <c r="P55" i="78"/>
  <c r="H55" i="78"/>
  <c r="N55" i="78"/>
  <c r="I55" i="78"/>
  <c r="R55" i="78"/>
  <c r="M55" i="78"/>
  <c r="Q55" i="78"/>
  <c r="O55" i="78"/>
  <c r="R57" i="78"/>
  <c r="N57" i="78"/>
  <c r="M57" i="78"/>
  <c r="H57" i="78"/>
  <c r="Q57" i="78"/>
  <c r="I57" i="78"/>
  <c r="P57" i="78"/>
  <c r="O57" i="78"/>
  <c r="P59" i="78"/>
  <c r="H59" i="78"/>
  <c r="R59" i="78"/>
  <c r="M59" i="78"/>
  <c r="Q59" i="78"/>
  <c r="I59" i="78"/>
  <c r="O59" i="78"/>
  <c r="N59" i="78"/>
  <c r="R61" i="78"/>
  <c r="N61" i="78"/>
  <c r="Q61" i="78"/>
  <c r="P61" i="78"/>
  <c r="I61" i="78"/>
  <c r="H61" i="78"/>
  <c r="O61" i="78"/>
  <c r="M61" i="78"/>
  <c r="P63" i="78"/>
  <c r="H63" i="78"/>
  <c r="Q63" i="78"/>
  <c r="O63" i="78"/>
  <c r="I63" i="78"/>
  <c r="R63" i="78"/>
  <c r="N63" i="78"/>
  <c r="M63" i="78"/>
  <c r="R65" i="78"/>
  <c r="N65" i="78"/>
  <c r="P65" i="78"/>
  <c r="O65" i="78"/>
  <c r="I65" i="78"/>
  <c r="H65" i="78"/>
  <c r="Q65" i="78"/>
  <c r="M65" i="78"/>
  <c r="P67" i="78"/>
  <c r="H67" i="78"/>
  <c r="O67" i="78"/>
  <c r="N67" i="78"/>
  <c r="I67" i="78"/>
  <c r="R67" i="78"/>
  <c r="Q67" i="78"/>
  <c r="M67" i="78"/>
  <c r="R69" i="78"/>
  <c r="N69" i="78"/>
  <c r="O69" i="78"/>
  <c r="I69" i="78"/>
  <c r="M69" i="78"/>
  <c r="H69" i="78"/>
  <c r="Q69" i="78"/>
  <c r="P69" i="78"/>
  <c r="P71" i="78"/>
  <c r="H71" i="78"/>
  <c r="N71" i="78"/>
  <c r="I71" i="78"/>
  <c r="R71" i="78"/>
  <c r="M71" i="78"/>
  <c r="Q71" i="78"/>
  <c r="O71" i="78"/>
  <c r="R73" i="78"/>
  <c r="N73" i="78"/>
  <c r="M73" i="78"/>
  <c r="H73" i="78"/>
  <c r="Q73" i="78"/>
  <c r="P73" i="78"/>
  <c r="O73" i="78"/>
  <c r="I73" i="78"/>
  <c r="P75" i="78"/>
  <c r="H75" i="78"/>
  <c r="R75" i="78"/>
  <c r="M75" i="78"/>
  <c r="Q75" i="78"/>
  <c r="O75" i="78"/>
  <c r="N75" i="78"/>
  <c r="I75" i="78"/>
  <c r="R77" i="78"/>
  <c r="N77" i="78"/>
  <c r="Q77" i="78"/>
  <c r="P77" i="78"/>
  <c r="O77" i="78"/>
  <c r="M77" i="78"/>
  <c r="I77" i="78"/>
  <c r="H77" i="78"/>
  <c r="Q79" i="78"/>
  <c r="M79" i="78"/>
  <c r="I79" i="78"/>
  <c r="P79" i="78"/>
  <c r="O79" i="78"/>
  <c r="H79" i="78"/>
  <c r="N79" i="78"/>
  <c r="R79" i="78"/>
  <c r="O81" i="78"/>
  <c r="P81" i="78"/>
  <c r="N81" i="78"/>
  <c r="H81" i="78"/>
  <c r="M81" i="78"/>
  <c r="I81" i="78"/>
  <c r="R81" i="78"/>
  <c r="Q81" i="78"/>
  <c r="Q83" i="78"/>
  <c r="M83" i="78"/>
  <c r="I83" i="78"/>
  <c r="O83" i="78"/>
  <c r="N83" i="78"/>
  <c r="R83" i="78"/>
  <c r="P83" i="78"/>
  <c r="H83" i="78"/>
  <c r="O85" i="78"/>
  <c r="N85" i="78"/>
  <c r="I85" i="78"/>
  <c r="M85" i="78"/>
  <c r="R85" i="78"/>
  <c r="H85" i="78"/>
  <c r="P85" i="78"/>
  <c r="Q85" i="78"/>
  <c r="Q87" i="78"/>
  <c r="M87" i="78"/>
  <c r="I87" i="78"/>
  <c r="N87" i="78"/>
  <c r="H87" i="78"/>
  <c r="R87" i="78"/>
  <c r="P87" i="78"/>
  <c r="O87" i="78"/>
  <c r="O89" i="78"/>
  <c r="R89" i="78"/>
  <c r="M89" i="78"/>
  <c r="H89" i="78"/>
  <c r="Q89" i="78"/>
  <c r="I89" i="78"/>
  <c r="P89" i="78"/>
  <c r="N89" i="78"/>
  <c r="Q91" i="78"/>
  <c r="M91" i="78"/>
  <c r="I91" i="78"/>
  <c r="R91" i="78"/>
  <c r="P91" i="78"/>
  <c r="O91" i="78"/>
  <c r="N91" i="78"/>
  <c r="H91" i="78"/>
  <c r="O93" i="78"/>
  <c r="Q93" i="78"/>
  <c r="R93" i="78"/>
  <c r="P93" i="78"/>
  <c r="I93" i="78"/>
  <c r="H93" i="78"/>
  <c r="N93" i="78"/>
  <c r="M93" i="78"/>
  <c r="Q95" i="78"/>
  <c r="M95" i="78"/>
  <c r="I95" i="78"/>
  <c r="P95" i="78"/>
  <c r="R95" i="78"/>
  <c r="O95" i="78"/>
  <c r="H95" i="78"/>
  <c r="N95" i="78"/>
  <c r="O97" i="78"/>
  <c r="P97" i="78"/>
  <c r="Q97" i="78"/>
  <c r="I97" i="78"/>
  <c r="N97" i="78"/>
  <c r="H97" i="78"/>
  <c r="R97" i="78"/>
  <c r="M97" i="78"/>
  <c r="Q99" i="78"/>
  <c r="M99" i="78"/>
  <c r="I99" i="78"/>
  <c r="O99" i="78"/>
  <c r="P99" i="78"/>
  <c r="H99" i="78"/>
  <c r="N99" i="78"/>
  <c r="R99" i="78"/>
  <c r="O101" i="78"/>
  <c r="N101" i="78"/>
  <c r="I101" i="78"/>
  <c r="P101" i="78"/>
  <c r="H101" i="78"/>
  <c r="M101" i="78"/>
  <c r="R101" i="78"/>
  <c r="Q101" i="78"/>
  <c r="Q103" i="78"/>
  <c r="M103" i="78"/>
  <c r="I103" i="78"/>
  <c r="N103" i="78"/>
  <c r="H103" i="78"/>
  <c r="O103" i="78"/>
  <c r="R103" i="78"/>
  <c r="P103" i="78"/>
  <c r="O105" i="78"/>
  <c r="R105" i="78"/>
  <c r="M105" i="78"/>
  <c r="H105" i="78"/>
  <c r="N105" i="78"/>
  <c r="Q105" i="78"/>
  <c r="P105" i="78"/>
  <c r="I105" i="78"/>
  <c r="Q107" i="78"/>
  <c r="M107" i="78"/>
  <c r="I107" i="78"/>
  <c r="R107" i="78"/>
  <c r="N107" i="78"/>
  <c r="H107" i="78"/>
  <c r="P107" i="78"/>
  <c r="O107" i="78"/>
  <c r="L7" i="78"/>
  <c r="L106" i="78" s="1"/>
  <c r="A69" i="85"/>
  <c r="A67" i="85"/>
  <c r="D67" i="85" s="1"/>
  <c r="U67" i="85" s="1"/>
  <c r="A65" i="85"/>
  <c r="A63" i="85"/>
  <c r="D63" i="85" s="1"/>
  <c r="U63" i="85" s="1"/>
  <c r="A61" i="85"/>
  <c r="A59" i="85"/>
  <c r="D59" i="85" s="1"/>
  <c r="U59" i="85" s="1"/>
  <c r="A57" i="85"/>
  <c r="A55" i="85"/>
  <c r="E55" i="85" s="1"/>
  <c r="V55" i="85" s="1"/>
  <c r="C53" i="85"/>
  <c r="T53" i="85" s="1"/>
  <c r="A53" i="85"/>
  <c r="S53" i="85" s="1"/>
  <c r="F53" i="85" s="1"/>
  <c r="A51" i="85"/>
  <c r="S51" i="85" s="1"/>
  <c r="F51" i="85" s="1"/>
  <c r="A49" i="85"/>
  <c r="S49" i="85" s="1"/>
  <c r="F49" i="85" s="1"/>
  <c r="A47" i="85"/>
  <c r="S47" i="85" s="1"/>
  <c r="F47" i="85" s="1"/>
  <c r="S45" i="85"/>
  <c r="F45" i="85" s="1"/>
  <c r="C45" i="85"/>
  <c r="T45" i="85" s="1"/>
  <c r="A45" i="85"/>
  <c r="A43" i="85"/>
  <c r="S43" i="85" s="1"/>
  <c r="F43" i="85" s="1"/>
  <c r="A41" i="85"/>
  <c r="S41" i="85" s="1"/>
  <c r="F41" i="85" s="1"/>
  <c r="A39" i="85"/>
  <c r="C39" i="85" s="1"/>
  <c r="T39" i="85" s="1"/>
  <c r="A37" i="85"/>
  <c r="S37" i="85" s="1"/>
  <c r="F37" i="85" s="1"/>
  <c r="A35" i="85"/>
  <c r="S35" i="85" s="1"/>
  <c r="F35" i="85" s="1"/>
  <c r="A33" i="85"/>
  <c r="S33" i="85" s="1"/>
  <c r="F33" i="85" s="1"/>
  <c r="S31" i="85"/>
  <c r="F31" i="85" s="1"/>
  <c r="A31" i="85"/>
  <c r="C31" i="85" s="1"/>
  <c r="T31" i="85" s="1"/>
  <c r="S29" i="85"/>
  <c r="F29" i="85" s="1"/>
  <c r="C29" i="85"/>
  <c r="T29" i="85" s="1"/>
  <c r="A29" i="85"/>
  <c r="C27" i="85"/>
  <c r="T27" i="85" s="1"/>
  <c r="A27" i="85"/>
  <c r="S27" i="85" s="1"/>
  <c r="F27" i="85" s="1"/>
  <c r="S25" i="85"/>
  <c r="F25" i="85" s="1"/>
  <c r="A25" i="85"/>
  <c r="C25" i="85" s="1"/>
  <c r="T25" i="85" s="1"/>
  <c r="S23" i="85"/>
  <c r="F23" i="85" s="1"/>
  <c r="A23" i="85"/>
  <c r="C23" i="85" s="1"/>
  <c r="T23" i="85" s="1"/>
  <c r="A21" i="85"/>
  <c r="A19" i="85"/>
  <c r="S19" i="85" s="1"/>
  <c r="F19" i="85" s="1"/>
  <c r="A17" i="85"/>
  <c r="S17" i="85" s="1"/>
  <c r="F17" i="85" s="1"/>
  <c r="A15" i="85"/>
  <c r="S15" i="85" s="1"/>
  <c r="F15" i="85" s="1"/>
  <c r="A13" i="85"/>
  <c r="S13" i="85" s="1"/>
  <c r="F13" i="85" s="1"/>
  <c r="A11" i="85"/>
  <c r="S11" i="85" s="1"/>
  <c r="K7" i="78"/>
  <c r="J7" i="78"/>
  <c r="J94" i="78" s="1"/>
  <c r="A69" i="80"/>
  <c r="S69" i="80" s="1"/>
  <c r="F69" i="80" s="1"/>
  <c r="A67" i="80"/>
  <c r="S67" i="80" s="1"/>
  <c r="F67" i="80" s="1"/>
  <c r="A65" i="80"/>
  <c r="S65" i="80" s="1"/>
  <c r="F65" i="80" s="1"/>
  <c r="A63" i="80"/>
  <c r="S63" i="80" s="1"/>
  <c r="F63" i="80" s="1"/>
  <c r="A61" i="80"/>
  <c r="S61" i="80" s="1"/>
  <c r="F61" i="80" s="1"/>
  <c r="A59" i="80"/>
  <c r="D59" i="80" s="1"/>
  <c r="U59" i="80" s="1"/>
  <c r="A57" i="80"/>
  <c r="A55" i="80"/>
  <c r="A53" i="80"/>
  <c r="A51" i="80"/>
  <c r="D51" i="80" s="1"/>
  <c r="U51" i="80" s="1"/>
  <c r="A49" i="80"/>
  <c r="A47" i="80"/>
  <c r="A45" i="80"/>
  <c r="A43" i="80"/>
  <c r="D43" i="80" s="1"/>
  <c r="U43" i="80" s="1"/>
  <c r="A41" i="80"/>
  <c r="A39" i="80"/>
  <c r="A37" i="80"/>
  <c r="A35" i="80"/>
  <c r="S35" i="80" s="1"/>
  <c r="F35" i="80" s="1"/>
  <c r="A33" i="80"/>
  <c r="S33" i="80" s="1"/>
  <c r="F33" i="80" s="1"/>
  <c r="A31" i="80"/>
  <c r="S31" i="80" s="1"/>
  <c r="F31" i="80" s="1"/>
  <c r="A29" i="80"/>
  <c r="D29" i="80" s="1"/>
  <c r="U29" i="80" s="1"/>
  <c r="A27" i="80"/>
  <c r="A25" i="80"/>
  <c r="A23" i="80"/>
  <c r="S23" i="80" s="1"/>
  <c r="F23" i="80" s="1"/>
  <c r="A21" i="80"/>
  <c r="S21" i="80" s="1"/>
  <c r="F21" i="80" s="1"/>
  <c r="A19" i="80"/>
  <c r="S19" i="80" s="1"/>
  <c r="F19" i="80" s="1"/>
  <c r="A17" i="80"/>
  <c r="S17" i="80" s="1"/>
  <c r="F17" i="80" s="1"/>
  <c r="A15" i="80"/>
  <c r="S15" i="80" s="1"/>
  <c r="F15" i="80" s="1"/>
  <c r="A13" i="80"/>
  <c r="S13" i="80" s="1"/>
  <c r="F13" i="80" s="1"/>
  <c r="A11" i="80"/>
  <c r="H1" i="79"/>
  <c r="J85" i="78" l="1"/>
  <c r="J59" i="78"/>
  <c r="J105" i="78"/>
  <c r="J107" i="78"/>
  <c r="J101" i="78"/>
  <c r="J103" i="78"/>
  <c r="J106" i="80"/>
  <c r="J106" i="85"/>
  <c r="M106" i="85"/>
  <c r="M106" i="80"/>
  <c r="I106" i="80"/>
  <c r="I106" i="85"/>
  <c r="K106" i="80"/>
  <c r="K106" i="85"/>
  <c r="H106" i="80"/>
  <c r="H106" i="85"/>
  <c r="L106" i="80"/>
  <c r="L106" i="85"/>
  <c r="K9" i="78"/>
  <c r="M11" i="80" s="1"/>
  <c r="K42" i="78"/>
  <c r="K44" i="78"/>
  <c r="K48" i="78"/>
  <c r="K50" i="78"/>
  <c r="K58" i="78"/>
  <c r="K60" i="78"/>
  <c r="K64" i="78"/>
  <c r="K66" i="78"/>
  <c r="K74" i="78"/>
  <c r="K76" i="78"/>
  <c r="K78" i="78"/>
  <c r="K80" i="78"/>
  <c r="G80" i="78" s="1"/>
  <c r="K84" i="78"/>
  <c r="K82" i="78"/>
  <c r="K94" i="78"/>
  <c r="K100" i="78"/>
  <c r="K40" i="78"/>
  <c r="K46" i="78"/>
  <c r="K52" i="78"/>
  <c r="K54" i="78"/>
  <c r="K62" i="78"/>
  <c r="K70" i="78"/>
  <c r="K72" i="78"/>
  <c r="K86" i="78"/>
  <c r="K88" i="78"/>
  <c r="K98" i="78"/>
  <c r="K104" i="78"/>
  <c r="K39" i="78"/>
  <c r="K51" i="78"/>
  <c r="K57" i="78"/>
  <c r="K85" i="78"/>
  <c r="K93" i="78"/>
  <c r="K101" i="78"/>
  <c r="K56" i="78"/>
  <c r="K68" i="78"/>
  <c r="K90" i="78"/>
  <c r="G90" i="78" s="1"/>
  <c r="K92" i="78"/>
  <c r="K102" i="78"/>
  <c r="K43" i="78"/>
  <c r="K45" i="78"/>
  <c r="K49" i="78"/>
  <c r="K55" i="78"/>
  <c r="K61" i="78"/>
  <c r="K65" i="78"/>
  <c r="K69" i="78"/>
  <c r="K77" i="78"/>
  <c r="K81" i="78"/>
  <c r="L89" i="78"/>
  <c r="K89" i="78"/>
  <c r="L85" i="78"/>
  <c r="G85" i="78" s="1"/>
  <c r="L77" i="78"/>
  <c r="L71" i="78"/>
  <c r="L61" i="78"/>
  <c r="L55" i="78"/>
  <c r="K53" i="78"/>
  <c r="L45" i="78"/>
  <c r="J43" i="78"/>
  <c r="K106" i="78"/>
  <c r="J106" i="78"/>
  <c r="K75" i="78"/>
  <c r="K107" i="78"/>
  <c r="K105" i="78"/>
  <c r="K95" i="78"/>
  <c r="K71" i="78"/>
  <c r="K59" i="78"/>
  <c r="K103" i="78"/>
  <c r="J91" i="78"/>
  <c r="L79" i="78"/>
  <c r="L73" i="78"/>
  <c r="J73" i="78"/>
  <c r="L63" i="78"/>
  <c r="L57" i="78"/>
  <c r="J57" i="78"/>
  <c r="L53" i="78"/>
  <c r="L47" i="78"/>
  <c r="L41" i="78"/>
  <c r="J41" i="78"/>
  <c r="L38" i="78"/>
  <c r="J108" i="78"/>
  <c r="J100" i="78"/>
  <c r="L9" i="78"/>
  <c r="L46" i="78"/>
  <c r="L48" i="78"/>
  <c r="L54" i="78"/>
  <c r="L62" i="78"/>
  <c r="L68" i="78"/>
  <c r="L82" i="78"/>
  <c r="L84" i="78"/>
  <c r="L90" i="78"/>
  <c r="L42" i="78"/>
  <c r="G42" i="78" s="1"/>
  <c r="L52" i="78"/>
  <c r="L58" i="78"/>
  <c r="L64" i="78"/>
  <c r="L66" i="78"/>
  <c r="L74" i="78"/>
  <c r="L80" i="78"/>
  <c r="L88" i="78"/>
  <c r="L40" i="78"/>
  <c r="L44" i="78"/>
  <c r="L50" i="78"/>
  <c r="L56" i="78"/>
  <c r="L60" i="78"/>
  <c r="L70" i="78"/>
  <c r="L72" i="78"/>
  <c r="L76" i="78"/>
  <c r="L78" i="78"/>
  <c r="L86" i="78"/>
  <c r="L92" i="78"/>
  <c r="G92" i="78" s="1"/>
  <c r="L94" i="78"/>
  <c r="L96" i="78"/>
  <c r="L102" i="78"/>
  <c r="L104" i="78"/>
  <c r="L108" i="78"/>
  <c r="L39" i="78"/>
  <c r="L69" i="78"/>
  <c r="L81" i="78"/>
  <c r="L91" i="78"/>
  <c r="L95" i="78"/>
  <c r="L99" i="78"/>
  <c r="L101" i="78"/>
  <c r="L103" i="78"/>
  <c r="L100" i="78"/>
  <c r="L43" i="78"/>
  <c r="L49" i="78"/>
  <c r="L51" i="78"/>
  <c r="L59" i="78"/>
  <c r="L67" i="78"/>
  <c r="L75" i="78"/>
  <c r="L105" i="78"/>
  <c r="L93" i="78"/>
  <c r="K91" i="78"/>
  <c r="K83" i="78"/>
  <c r="L65" i="78"/>
  <c r="L98" i="78"/>
  <c r="K87" i="78"/>
  <c r="J9" i="78"/>
  <c r="J56" i="78"/>
  <c r="J74" i="78"/>
  <c r="G74" i="78" s="1"/>
  <c r="J76" i="78"/>
  <c r="J84" i="78"/>
  <c r="G84" i="78" s="1"/>
  <c r="J90" i="78"/>
  <c r="J92" i="78"/>
  <c r="J42" i="78"/>
  <c r="J54" i="78"/>
  <c r="J60" i="78"/>
  <c r="G60" i="78" s="1"/>
  <c r="J72" i="78"/>
  <c r="J102" i="78"/>
  <c r="J46" i="78"/>
  <c r="G46" i="78" s="1"/>
  <c r="J48" i="78"/>
  <c r="J50" i="78"/>
  <c r="J52" i="78"/>
  <c r="J58" i="78"/>
  <c r="J62" i="78"/>
  <c r="G62" i="78" s="1"/>
  <c r="J64" i="78"/>
  <c r="G64" i="78" s="1"/>
  <c r="J66" i="78"/>
  <c r="G66" i="78" s="1"/>
  <c r="J68" i="78"/>
  <c r="J80" i="78"/>
  <c r="J88" i="78"/>
  <c r="J96" i="78"/>
  <c r="J104" i="78"/>
  <c r="J39" i="78"/>
  <c r="J47" i="78"/>
  <c r="J51" i="78"/>
  <c r="G51" i="78" s="1"/>
  <c r="J63" i="78"/>
  <c r="J67" i="78"/>
  <c r="J71" i="78"/>
  <c r="J79" i="78"/>
  <c r="J81" i="78"/>
  <c r="J83" i="78"/>
  <c r="J87" i="78"/>
  <c r="J89" i="78"/>
  <c r="G89" i="78" s="1"/>
  <c r="J93" i="78"/>
  <c r="G93" i="78" s="1"/>
  <c r="J95" i="78"/>
  <c r="G95" i="78" s="1"/>
  <c r="J97" i="78"/>
  <c r="J99" i="78"/>
  <c r="J40" i="78"/>
  <c r="J44" i="78"/>
  <c r="J70" i="78"/>
  <c r="J78" i="78"/>
  <c r="J82" i="78"/>
  <c r="G82" i="78" s="1"/>
  <c r="J86" i="78"/>
  <c r="J98" i="78"/>
  <c r="G98" i="78" s="1"/>
  <c r="J38" i="78"/>
  <c r="J45" i="78"/>
  <c r="G45" i="78" s="1"/>
  <c r="J53" i="78"/>
  <c r="J61" i="78"/>
  <c r="J69" i="78"/>
  <c r="G69" i="78" s="1"/>
  <c r="J75" i="78"/>
  <c r="G75" i="78" s="1"/>
  <c r="J77" i="78"/>
  <c r="L107" i="78"/>
  <c r="G107" i="78" s="1"/>
  <c r="K99" i="78"/>
  <c r="L97" i="78"/>
  <c r="K97" i="78"/>
  <c r="L87" i="78"/>
  <c r="L83" i="78"/>
  <c r="K79" i="78"/>
  <c r="K73" i="78"/>
  <c r="G73" i="78" s="1"/>
  <c r="K67" i="78"/>
  <c r="J65" i="78"/>
  <c r="K63" i="78"/>
  <c r="J55" i="78"/>
  <c r="G55" i="78" s="1"/>
  <c r="J49" i="78"/>
  <c r="K47" i="78"/>
  <c r="K41" i="78"/>
  <c r="K38" i="78"/>
  <c r="M69" i="80" s="1"/>
  <c r="K108" i="78"/>
  <c r="G108" i="78" s="1"/>
  <c r="K96" i="78"/>
  <c r="G57" i="78"/>
  <c r="G94" i="78"/>
  <c r="G70" i="78"/>
  <c r="G101" i="78"/>
  <c r="G88" i="78"/>
  <c r="G72" i="78"/>
  <c r="Z106" i="85"/>
  <c r="Z106" i="80"/>
  <c r="C35" i="85"/>
  <c r="T35" i="85" s="1"/>
  <c r="C41" i="85"/>
  <c r="T41" i="85" s="1"/>
  <c r="C47" i="85"/>
  <c r="T47" i="85" s="1"/>
  <c r="F11" i="85"/>
  <c r="C37" i="85"/>
  <c r="T37" i="85" s="1"/>
  <c r="C43" i="85"/>
  <c r="T43" i="85" s="1"/>
  <c r="C51" i="85"/>
  <c r="T51" i="85" s="1"/>
  <c r="S39" i="85"/>
  <c r="F39" i="85" s="1"/>
  <c r="C33" i="85"/>
  <c r="T33" i="85" s="1"/>
  <c r="C49" i="85"/>
  <c r="T49" i="85" s="1"/>
  <c r="C55" i="85"/>
  <c r="T55" i="85" s="1"/>
  <c r="E23" i="85"/>
  <c r="V23" i="85" s="1"/>
  <c r="E25" i="85"/>
  <c r="V25" i="85" s="1"/>
  <c r="E27" i="85"/>
  <c r="V27" i="85" s="1"/>
  <c r="E29" i="85"/>
  <c r="V29" i="85" s="1"/>
  <c r="E31" i="85"/>
  <c r="V31" i="85" s="1"/>
  <c r="E33" i="85"/>
  <c r="V33" i="85" s="1"/>
  <c r="E35" i="85"/>
  <c r="V35" i="85" s="1"/>
  <c r="E37" i="85"/>
  <c r="V37" i="85" s="1"/>
  <c r="E39" i="85"/>
  <c r="V39" i="85" s="1"/>
  <c r="E41" i="85"/>
  <c r="V41" i="85" s="1"/>
  <c r="E43" i="85"/>
  <c r="V43" i="85" s="1"/>
  <c r="E45" i="85"/>
  <c r="V45" i="85" s="1"/>
  <c r="E47" i="85"/>
  <c r="V47" i="85" s="1"/>
  <c r="E49" i="85"/>
  <c r="V49" i="85" s="1"/>
  <c r="E51" i="85"/>
  <c r="V51" i="85" s="1"/>
  <c r="E53" i="85"/>
  <c r="V53" i="85" s="1"/>
  <c r="D11" i="85"/>
  <c r="U11" i="85" s="1"/>
  <c r="D13" i="85"/>
  <c r="U13" i="85" s="1"/>
  <c r="D19" i="85"/>
  <c r="U19" i="85" s="1"/>
  <c r="E21" i="85"/>
  <c r="V21" i="85" s="1"/>
  <c r="S57" i="85"/>
  <c r="F57" i="85" s="1"/>
  <c r="E57" i="85"/>
  <c r="V57" i="85" s="1"/>
  <c r="C57" i="85"/>
  <c r="T57" i="85" s="1"/>
  <c r="D57" i="85"/>
  <c r="U57" i="85" s="1"/>
  <c r="S61" i="85"/>
  <c r="F61" i="85" s="1"/>
  <c r="E61" i="85"/>
  <c r="V61" i="85" s="1"/>
  <c r="C61" i="85"/>
  <c r="T61" i="85" s="1"/>
  <c r="D61" i="85"/>
  <c r="U61" i="85" s="1"/>
  <c r="D15" i="85"/>
  <c r="U15" i="85" s="1"/>
  <c r="D17" i="85"/>
  <c r="U17" i="85" s="1"/>
  <c r="D21" i="85"/>
  <c r="U21" i="85" s="1"/>
  <c r="S65" i="85"/>
  <c r="F65" i="85" s="1"/>
  <c r="E65" i="85"/>
  <c r="V65" i="85" s="1"/>
  <c r="C65" i="85"/>
  <c r="T65" i="85" s="1"/>
  <c r="D65" i="85"/>
  <c r="U65" i="85" s="1"/>
  <c r="S69" i="85"/>
  <c r="F69" i="85" s="1"/>
  <c r="E69" i="85"/>
  <c r="V69" i="85" s="1"/>
  <c r="C69" i="85"/>
  <c r="T69" i="85" s="1"/>
  <c r="D69" i="85"/>
  <c r="U69" i="85" s="1"/>
  <c r="C11" i="85"/>
  <c r="T11" i="85" s="1"/>
  <c r="E11" i="85"/>
  <c r="V11" i="85" s="1"/>
  <c r="C13" i="85"/>
  <c r="T13" i="85" s="1"/>
  <c r="E13" i="85"/>
  <c r="V13" i="85" s="1"/>
  <c r="C15" i="85"/>
  <c r="T15" i="85" s="1"/>
  <c r="E15" i="85"/>
  <c r="V15" i="85" s="1"/>
  <c r="C17" i="85"/>
  <c r="T17" i="85" s="1"/>
  <c r="E17" i="85"/>
  <c r="V17" i="85" s="1"/>
  <c r="C19" i="85"/>
  <c r="T19" i="85" s="1"/>
  <c r="E19" i="85"/>
  <c r="V19" i="85" s="1"/>
  <c r="C21" i="85"/>
  <c r="T21" i="85" s="1"/>
  <c r="S21" i="85"/>
  <c r="F21" i="85" s="1"/>
  <c r="D23" i="85"/>
  <c r="U23" i="85" s="1"/>
  <c r="D25" i="85"/>
  <c r="U25" i="85" s="1"/>
  <c r="D27" i="85"/>
  <c r="U27" i="85" s="1"/>
  <c r="D29" i="85"/>
  <c r="U29" i="85" s="1"/>
  <c r="D31" i="85"/>
  <c r="U31" i="85" s="1"/>
  <c r="D33" i="85"/>
  <c r="U33" i="85" s="1"/>
  <c r="D35" i="85"/>
  <c r="U35" i="85" s="1"/>
  <c r="D37" i="85"/>
  <c r="U37" i="85" s="1"/>
  <c r="D39" i="85"/>
  <c r="U39" i="85" s="1"/>
  <c r="D41" i="85"/>
  <c r="U41" i="85" s="1"/>
  <c r="D43" i="85"/>
  <c r="U43" i="85" s="1"/>
  <c r="D45" i="85"/>
  <c r="U45" i="85" s="1"/>
  <c r="D47" i="85"/>
  <c r="U47" i="85" s="1"/>
  <c r="D49" i="85"/>
  <c r="U49" i="85" s="1"/>
  <c r="D51" i="85"/>
  <c r="U51" i="85" s="1"/>
  <c r="D53" i="85"/>
  <c r="U53" i="85" s="1"/>
  <c r="S55" i="85"/>
  <c r="F55" i="85" s="1"/>
  <c r="D55" i="85"/>
  <c r="U55" i="85" s="1"/>
  <c r="S59" i="85"/>
  <c r="F59" i="85" s="1"/>
  <c r="E59" i="85"/>
  <c r="V59" i="85" s="1"/>
  <c r="C59" i="85"/>
  <c r="T59" i="85" s="1"/>
  <c r="S63" i="85"/>
  <c r="F63" i="85" s="1"/>
  <c r="E63" i="85"/>
  <c r="V63" i="85" s="1"/>
  <c r="C63" i="85"/>
  <c r="T63" i="85" s="1"/>
  <c r="S67" i="85"/>
  <c r="F67" i="85" s="1"/>
  <c r="E67" i="85"/>
  <c r="V67" i="85" s="1"/>
  <c r="C67" i="85"/>
  <c r="T67" i="85" s="1"/>
  <c r="E13" i="80"/>
  <c r="V13" i="80" s="1"/>
  <c r="E17" i="80"/>
  <c r="V17" i="80" s="1"/>
  <c r="E21" i="80"/>
  <c r="V21" i="80" s="1"/>
  <c r="E37" i="80"/>
  <c r="V37" i="80" s="1"/>
  <c r="E39" i="80"/>
  <c r="V39" i="80" s="1"/>
  <c r="E41" i="80"/>
  <c r="V41" i="80" s="1"/>
  <c r="C17" i="80"/>
  <c r="T17" i="80" s="1"/>
  <c r="C21" i="80"/>
  <c r="T21" i="80" s="1"/>
  <c r="C37" i="80"/>
  <c r="T37" i="80" s="1"/>
  <c r="S37" i="80"/>
  <c r="F37" i="80" s="1"/>
  <c r="C39" i="80"/>
  <c r="T39" i="80" s="1"/>
  <c r="S39" i="80"/>
  <c r="F39" i="80" s="1"/>
  <c r="C41" i="80"/>
  <c r="T41" i="80" s="1"/>
  <c r="D47" i="80"/>
  <c r="U47" i="80" s="1"/>
  <c r="D55" i="80"/>
  <c r="U55" i="80" s="1"/>
  <c r="D69" i="80"/>
  <c r="U69" i="80" s="1"/>
  <c r="C69" i="80"/>
  <c r="T69" i="80" s="1"/>
  <c r="E69" i="80"/>
  <c r="V69" i="80" s="1"/>
  <c r="D61" i="80"/>
  <c r="U61" i="80" s="1"/>
  <c r="D63" i="80"/>
  <c r="U63" i="80" s="1"/>
  <c r="D65" i="80"/>
  <c r="U65" i="80" s="1"/>
  <c r="D67" i="80"/>
  <c r="U67" i="80" s="1"/>
  <c r="C61" i="80"/>
  <c r="T61" i="80" s="1"/>
  <c r="E61" i="80"/>
  <c r="V61" i="80" s="1"/>
  <c r="C63" i="80"/>
  <c r="T63" i="80" s="1"/>
  <c r="E63" i="80"/>
  <c r="V63" i="80" s="1"/>
  <c r="C65" i="80"/>
  <c r="T65" i="80" s="1"/>
  <c r="E65" i="80"/>
  <c r="V65" i="80" s="1"/>
  <c r="C67" i="80"/>
  <c r="T67" i="80" s="1"/>
  <c r="E67" i="80"/>
  <c r="V67" i="80" s="1"/>
  <c r="S45" i="80"/>
  <c r="F45" i="80" s="1"/>
  <c r="E45" i="80"/>
  <c r="V45" i="80" s="1"/>
  <c r="C45" i="80"/>
  <c r="T45" i="80" s="1"/>
  <c r="S49" i="80"/>
  <c r="F49" i="80" s="1"/>
  <c r="E49" i="80"/>
  <c r="V49" i="80" s="1"/>
  <c r="C49" i="80"/>
  <c r="T49" i="80" s="1"/>
  <c r="S53" i="80"/>
  <c r="F53" i="80" s="1"/>
  <c r="E53" i="80"/>
  <c r="V53" i="80" s="1"/>
  <c r="C53" i="80"/>
  <c r="T53" i="80" s="1"/>
  <c r="S57" i="80"/>
  <c r="F57" i="80" s="1"/>
  <c r="E57" i="80"/>
  <c r="V57" i="80" s="1"/>
  <c r="C57" i="80"/>
  <c r="T57" i="80" s="1"/>
  <c r="D37" i="80"/>
  <c r="U37" i="80" s="1"/>
  <c r="D39" i="80"/>
  <c r="U39" i="80" s="1"/>
  <c r="S41" i="80"/>
  <c r="F41" i="80" s="1"/>
  <c r="D41" i="80"/>
  <c r="U41" i="80" s="1"/>
  <c r="S43" i="80"/>
  <c r="F43" i="80" s="1"/>
  <c r="E43" i="80"/>
  <c r="V43" i="80" s="1"/>
  <c r="C43" i="80"/>
  <c r="T43" i="80" s="1"/>
  <c r="D45" i="80"/>
  <c r="U45" i="80" s="1"/>
  <c r="S47" i="80"/>
  <c r="F47" i="80" s="1"/>
  <c r="E47" i="80"/>
  <c r="V47" i="80" s="1"/>
  <c r="C47" i="80"/>
  <c r="T47" i="80" s="1"/>
  <c r="D49" i="80"/>
  <c r="U49" i="80" s="1"/>
  <c r="S51" i="80"/>
  <c r="F51" i="80" s="1"/>
  <c r="E51" i="80"/>
  <c r="V51" i="80" s="1"/>
  <c r="C51" i="80"/>
  <c r="T51" i="80" s="1"/>
  <c r="D53" i="80"/>
  <c r="U53" i="80" s="1"/>
  <c r="S55" i="80"/>
  <c r="F55" i="80" s="1"/>
  <c r="E55" i="80"/>
  <c r="V55" i="80" s="1"/>
  <c r="C55" i="80"/>
  <c r="T55" i="80" s="1"/>
  <c r="D57" i="80"/>
  <c r="U57" i="80" s="1"/>
  <c r="S59" i="80"/>
  <c r="F59" i="80" s="1"/>
  <c r="E59" i="80"/>
  <c r="V59" i="80" s="1"/>
  <c r="C59" i="80"/>
  <c r="T59" i="80" s="1"/>
  <c r="C15" i="80"/>
  <c r="T15" i="80" s="1"/>
  <c r="E15" i="80"/>
  <c r="V15" i="80" s="1"/>
  <c r="C19" i="80"/>
  <c r="T19" i="80" s="1"/>
  <c r="E19" i="80"/>
  <c r="V19" i="80" s="1"/>
  <c r="C23" i="80"/>
  <c r="T23" i="80" s="1"/>
  <c r="E23" i="80"/>
  <c r="V23" i="80" s="1"/>
  <c r="S11" i="80"/>
  <c r="D13" i="80"/>
  <c r="U13" i="80" s="1"/>
  <c r="D15" i="80"/>
  <c r="U15" i="80" s="1"/>
  <c r="D17" i="80"/>
  <c r="U17" i="80" s="1"/>
  <c r="D19" i="80"/>
  <c r="U19" i="80" s="1"/>
  <c r="D21" i="80"/>
  <c r="U21" i="80" s="1"/>
  <c r="D23" i="80"/>
  <c r="U23" i="80" s="1"/>
  <c r="D25" i="80"/>
  <c r="U25" i="80" s="1"/>
  <c r="S27" i="80"/>
  <c r="F27" i="80" s="1"/>
  <c r="E27" i="80"/>
  <c r="V27" i="80" s="1"/>
  <c r="C27" i="80"/>
  <c r="T27" i="80" s="1"/>
  <c r="S25" i="80"/>
  <c r="F25" i="80" s="1"/>
  <c r="E25" i="80"/>
  <c r="V25" i="80" s="1"/>
  <c r="C25" i="80"/>
  <c r="T25" i="80" s="1"/>
  <c r="D27" i="80"/>
  <c r="U27" i="80" s="1"/>
  <c r="S29" i="80"/>
  <c r="F29" i="80" s="1"/>
  <c r="E29" i="80"/>
  <c r="V29" i="80" s="1"/>
  <c r="C29" i="80"/>
  <c r="T29" i="80" s="1"/>
  <c r="D31" i="80"/>
  <c r="U31" i="80" s="1"/>
  <c r="D33" i="80"/>
  <c r="U33" i="80" s="1"/>
  <c r="D35" i="80"/>
  <c r="U35" i="80" s="1"/>
  <c r="C31" i="80"/>
  <c r="T31" i="80" s="1"/>
  <c r="E31" i="80"/>
  <c r="V31" i="80" s="1"/>
  <c r="C33" i="80"/>
  <c r="T33" i="80" s="1"/>
  <c r="E33" i="80"/>
  <c r="V33" i="80" s="1"/>
  <c r="C35" i="80"/>
  <c r="T35" i="80" s="1"/>
  <c r="E35" i="80"/>
  <c r="V35" i="80" s="1"/>
  <c r="C13" i="80"/>
  <c r="T13" i="80" s="1"/>
  <c r="E11" i="80"/>
  <c r="V11" i="80" s="1"/>
  <c r="C11" i="80"/>
  <c r="T11" i="80" s="1"/>
  <c r="D11" i="80"/>
  <c r="U11" i="80" s="1"/>
  <c r="G41" i="78" l="1"/>
  <c r="G79" i="78"/>
  <c r="G49" i="78"/>
  <c r="G78" i="78"/>
  <c r="G53" i="78"/>
  <c r="G39" i="78"/>
  <c r="G56" i="78"/>
  <c r="G40" i="78"/>
  <c r="G58" i="78"/>
  <c r="G54" i="78"/>
  <c r="G65" i="78"/>
  <c r="G81" i="78"/>
  <c r="G71" i="78"/>
  <c r="G50" i="78"/>
  <c r="G83" i="78"/>
  <c r="G76" i="78"/>
  <c r="G91" i="78"/>
  <c r="G106" i="78"/>
  <c r="G97" i="78"/>
  <c r="G86" i="78"/>
  <c r="G48" i="78"/>
  <c r="G38" i="78"/>
  <c r="G61" i="78"/>
  <c r="G103" i="78"/>
  <c r="G104" i="78"/>
  <c r="G52" i="78"/>
  <c r="G77" i="78"/>
  <c r="G47" i="78"/>
  <c r="G68" i="78"/>
  <c r="G77" i="80"/>
  <c r="X77" i="80" s="1"/>
  <c r="G77" i="85"/>
  <c r="G59" i="78"/>
  <c r="G100" i="78"/>
  <c r="G43" i="78"/>
  <c r="G99" i="78"/>
  <c r="G96" i="78"/>
  <c r="G102" i="78"/>
  <c r="G106" i="85"/>
  <c r="X106" i="85" s="1"/>
  <c r="G106" i="80"/>
  <c r="X106" i="80" s="1"/>
  <c r="G105" i="78"/>
  <c r="G67" i="78"/>
  <c r="G63" i="78"/>
  <c r="G44" i="78"/>
  <c r="G87" i="78"/>
  <c r="L11" i="85"/>
  <c r="G9" i="78"/>
  <c r="AI25" i="85"/>
  <c r="AG25" i="85" s="1"/>
  <c r="AZ20" i="85" s="1"/>
  <c r="AI18" i="85"/>
  <c r="AG18" i="85" s="1"/>
  <c r="AJ27" i="85"/>
  <c r="AK22" i="85"/>
  <c r="AI20" i="85"/>
  <c r="AG20" i="85" s="1"/>
  <c r="AR18" i="85"/>
  <c r="AS18" i="85"/>
  <c r="AR19" i="85"/>
  <c r="X77" i="85"/>
  <c r="W106" i="80"/>
  <c r="W106" i="85"/>
  <c r="Y106" i="80"/>
  <c r="Y106" i="85"/>
  <c r="AH30" i="85"/>
  <c r="AF30" i="85" s="1"/>
  <c r="AI23" i="85"/>
  <c r="AG23" i="85" s="1"/>
  <c r="AZ18" i="85" s="1"/>
  <c r="AQ17" i="85"/>
  <c r="AP22" i="85"/>
  <c r="AI17" i="85"/>
  <c r="AR17" i="85"/>
  <c r="AK17" i="85"/>
  <c r="AJ17" i="85"/>
  <c r="AS27" i="85"/>
  <c r="AI24" i="85"/>
  <c r="AG24" i="85" s="1"/>
  <c r="AZ19" i="85" s="1"/>
  <c r="AH19" i="85"/>
  <c r="AH24" i="85"/>
  <c r="AF24" i="85" s="1"/>
  <c r="AY19" i="85" s="1"/>
  <c r="AH20" i="85"/>
  <c r="AP17" i="85"/>
  <c r="AP16" i="85" s="1"/>
  <c r="AR27" i="85"/>
  <c r="AR22" i="85"/>
  <c r="AS22" i="85"/>
  <c r="AS30" i="85"/>
  <c r="AN26" i="85"/>
  <c r="AI19" i="85"/>
  <c r="AK27" i="85"/>
  <c r="AI30" i="85"/>
  <c r="AG30" i="85" s="1"/>
  <c r="AS19" i="85"/>
  <c r="AJ22" i="85"/>
  <c r="AS20" i="85"/>
  <c r="AR23" i="85"/>
  <c r="BE18" i="85" s="1"/>
  <c r="AS23" i="85"/>
  <c r="BF18" i="85" s="1"/>
  <c r="AI28" i="85"/>
  <c r="AG28" i="85" s="1"/>
  <c r="AH25" i="85"/>
  <c r="AF25" i="85" s="1"/>
  <c r="AY20" i="85" s="1"/>
  <c r="AN16" i="85"/>
  <c r="AQ22" i="85"/>
  <c r="AS28" i="85"/>
  <c r="AR30" i="85"/>
  <c r="AH29" i="85"/>
  <c r="AF29" i="85" s="1"/>
  <c r="AN21" i="85"/>
  <c r="AI22" i="85"/>
  <c r="AP27" i="85"/>
  <c r="AI27" i="85"/>
  <c r="AR24" i="85"/>
  <c r="AS17" i="85"/>
  <c r="AR28" i="85"/>
  <c r="AS29" i="85"/>
  <c r="AS25" i="85"/>
  <c r="BF20" i="85" s="1"/>
  <c r="AQ27" i="85"/>
  <c r="AQ26" i="85" s="1"/>
  <c r="AI29" i="85"/>
  <c r="AG29" i="85" s="1"/>
  <c r="AR25" i="85"/>
  <c r="BE20" i="85" s="1"/>
  <c r="AR20" i="85"/>
  <c r="AR29" i="85"/>
  <c r="AS24" i="85"/>
  <c r="BF19" i="85" s="1"/>
  <c r="F11" i="80"/>
  <c r="AS34" i="80"/>
  <c r="AS32" i="80"/>
  <c r="AI29" i="80"/>
  <c r="AG29" i="80" s="1"/>
  <c r="AZ29" i="80" s="1"/>
  <c r="AQ27" i="80"/>
  <c r="AS25" i="80"/>
  <c r="BF25" i="80" s="1"/>
  <c r="AS23" i="80"/>
  <c r="BF23" i="80" s="1"/>
  <c r="AK22" i="80"/>
  <c r="AI20" i="80"/>
  <c r="AI18" i="80"/>
  <c r="AI17" i="80"/>
  <c r="AQ22" i="80"/>
  <c r="AR34" i="80"/>
  <c r="AR32" i="80"/>
  <c r="AN31" i="80"/>
  <c r="AH29" i="80"/>
  <c r="AF29" i="80" s="1"/>
  <c r="AY29" i="80" s="1"/>
  <c r="AP27" i="80"/>
  <c r="AR25" i="80"/>
  <c r="BE25" i="80" s="1"/>
  <c r="AR23" i="80"/>
  <c r="BE23" i="80" s="1"/>
  <c r="AH20" i="80"/>
  <c r="AI24" i="80"/>
  <c r="AG24" i="80" s="1"/>
  <c r="AZ24" i="80" s="1"/>
  <c r="AI34" i="80"/>
  <c r="AG34" i="80" s="1"/>
  <c r="AQ32" i="80"/>
  <c r="AQ31" i="80" s="1"/>
  <c r="AS30" i="80"/>
  <c r="BF30" i="80" s="1"/>
  <c r="AS28" i="80"/>
  <c r="BF28" i="80" s="1"/>
  <c r="AK27" i="80"/>
  <c r="AI25" i="80"/>
  <c r="AG25" i="80" s="1"/>
  <c r="AZ25" i="80" s="1"/>
  <c r="AI23" i="80"/>
  <c r="AG23" i="80" s="1"/>
  <c r="AZ23" i="80" s="1"/>
  <c r="AI22" i="80"/>
  <c r="AS19" i="80"/>
  <c r="AS17" i="80"/>
  <c r="AK17" i="80"/>
  <c r="AH34" i="80"/>
  <c r="AF34" i="80" s="1"/>
  <c r="AP32" i="80"/>
  <c r="AP31" i="80" s="1"/>
  <c r="AR30" i="80"/>
  <c r="BE30" i="80" s="1"/>
  <c r="AR28" i="80"/>
  <c r="BE28" i="80" s="1"/>
  <c r="AH25" i="80"/>
  <c r="AF25" i="80" s="1"/>
  <c r="AY25" i="80" s="1"/>
  <c r="AR19" i="80"/>
  <c r="AR17" i="80"/>
  <c r="AN16" i="80"/>
  <c r="AI35" i="80"/>
  <c r="AG35" i="80" s="1"/>
  <c r="AI32" i="80"/>
  <c r="AS20" i="80"/>
  <c r="AS35" i="80"/>
  <c r="AS33" i="80"/>
  <c r="AK32" i="80"/>
  <c r="AI30" i="80"/>
  <c r="AG30" i="80" s="1"/>
  <c r="AZ30" i="80" s="1"/>
  <c r="AI28" i="80"/>
  <c r="AG28" i="80" s="1"/>
  <c r="AZ28" i="80" s="1"/>
  <c r="AI27" i="80"/>
  <c r="AS24" i="80"/>
  <c r="BF24" i="80" s="1"/>
  <c r="AS22" i="80"/>
  <c r="AI19" i="80"/>
  <c r="AQ17" i="80"/>
  <c r="AS27" i="80"/>
  <c r="AR35" i="80"/>
  <c r="AR33" i="80"/>
  <c r="AH30" i="80"/>
  <c r="AF30" i="80" s="1"/>
  <c r="AY30" i="80" s="1"/>
  <c r="AR24" i="80"/>
  <c r="BE24" i="80" s="1"/>
  <c r="AR22" i="80"/>
  <c r="AN21" i="80"/>
  <c r="AH19" i="80"/>
  <c r="AP17" i="80"/>
  <c r="AS29" i="80"/>
  <c r="BF29" i="80" s="1"/>
  <c r="AH35" i="80"/>
  <c r="AF35" i="80" s="1"/>
  <c r="AR29" i="80"/>
  <c r="BE29" i="80" s="1"/>
  <c r="AR27" i="80"/>
  <c r="AN26" i="80"/>
  <c r="AH24" i="80"/>
  <c r="AF24" i="80" s="1"/>
  <c r="AY24" i="80" s="1"/>
  <c r="AP22" i="80"/>
  <c r="AR20" i="80"/>
  <c r="AR18" i="80"/>
  <c r="AI33" i="80"/>
  <c r="AG33" i="80" s="1"/>
  <c r="AS18" i="80"/>
  <c r="AG13" i="85" l="1"/>
  <c r="AH48" i="80"/>
  <c r="AH43" i="80" s="1"/>
  <c r="AH47" i="80"/>
  <c r="AH33" i="85"/>
  <c r="AF33" i="85" s="1"/>
  <c r="AY33" i="85" s="1"/>
  <c r="AH32" i="85"/>
  <c r="AF32" i="85" s="1"/>
  <c r="AY32" i="85" s="1"/>
  <c r="AG22" i="85"/>
  <c r="AG21" i="85" s="1"/>
  <c r="AG27" i="85"/>
  <c r="AG26" i="85" s="1"/>
  <c r="AK12" i="85"/>
  <c r="AK37" i="85" s="1"/>
  <c r="AJ12" i="85"/>
  <c r="AJ37" i="85" s="1"/>
  <c r="AS21" i="85"/>
  <c r="AS14" i="85"/>
  <c r="BF14" i="85" s="1"/>
  <c r="BF39" i="85" s="1"/>
  <c r="AR26" i="85"/>
  <c r="AS12" i="85"/>
  <c r="AS37" i="85" s="1"/>
  <c r="AR21" i="85"/>
  <c r="BE19" i="85"/>
  <c r="AS26" i="85"/>
  <c r="BF17" i="85"/>
  <c r="BF16" i="85" s="1"/>
  <c r="AQ21" i="85"/>
  <c r="AI13" i="85"/>
  <c r="AI38" i="85" s="1"/>
  <c r="AP12" i="85"/>
  <c r="AP26" i="85"/>
  <c r="AN11" i="85"/>
  <c r="AI14" i="85"/>
  <c r="AI39" i="85" s="1"/>
  <c r="AG19" i="85"/>
  <c r="AG14" i="85" s="1"/>
  <c r="AR13" i="85"/>
  <c r="AR14" i="85"/>
  <c r="AR16" i="85"/>
  <c r="AL16" i="85" s="1"/>
  <c r="AR15" i="85"/>
  <c r="AQ16" i="85"/>
  <c r="AQ12" i="85"/>
  <c r="AH14" i="85"/>
  <c r="AH39" i="85" s="1"/>
  <c r="AF19" i="85"/>
  <c r="AF14" i="85" s="1"/>
  <c r="AS13" i="85"/>
  <c r="AF20" i="85"/>
  <c r="AF15" i="85" s="1"/>
  <c r="AH15" i="85"/>
  <c r="AH40" i="85" s="1"/>
  <c r="AR12" i="85"/>
  <c r="AR37" i="85" s="1"/>
  <c r="AI15" i="85"/>
  <c r="AI40" i="85" s="1"/>
  <c r="AP21" i="85"/>
  <c r="BE17" i="85"/>
  <c r="AS15" i="85"/>
  <c r="AS16" i="85"/>
  <c r="AG17" i="85"/>
  <c r="AI12" i="85"/>
  <c r="AI37" i="85" s="1"/>
  <c r="AG15" i="85"/>
  <c r="AG27" i="80"/>
  <c r="AZ27" i="80" s="1"/>
  <c r="AZ26" i="80" s="1"/>
  <c r="AG22" i="80"/>
  <c r="AG21" i="80" s="1"/>
  <c r="AR40" i="80"/>
  <c r="BE40" i="80" s="1"/>
  <c r="AR15" i="80"/>
  <c r="AP16" i="80"/>
  <c r="AP37" i="80"/>
  <c r="AP12" i="80"/>
  <c r="AG32" i="80"/>
  <c r="AG31" i="80" s="1"/>
  <c r="AS39" i="80"/>
  <c r="BF39" i="80" s="1"/>
  <c r="AS14" i="80"/>
  <c r="BE27" i="80"/>
  <c r="BE26" i="80" s="1"/>
  <c r="AP26" i="80"/>
  <c r="AG20" i="80"/>
  <c r="AI15" i="80"/>
  <c r="AI60" i="80" s="1"/>
  <c r="AR21" i="80"/>
  <c r="AS26" i="80"/>
  <c r="AR12" i="80"/>
  <c r="AR37" i="80"/>
  <c r="AR16" i="80"/>
  <c r="AR31" i="80"/>
  <c r="AL31" i="80" s="1"/>
  <c r="AN11" i="80"/>
  <c r="AN36" i="80"/>
  <c r="AQ16" i="80"/>
  <c r="AQ12" i="80"/>
  <c r="AQ37" i="80"/>
  <c r="AR14" i="80"/>
  <c r="AR39" i="80"/>
  <c r="BE39" i="80" s="1"/>
  <c r="AF20" i="80"/>
  <c r="AH15" i="80"/>
  <c r="AH60" i="80" s="1"/>
  <c r="AQ26" i="80"/>
  <c r="BF27" i="80"/>
  <c r="BF26" i="80" s="1"/>
  <c r="AS13" i="80"/>
  <c r="AS38" i="80"/>
  <c r="BF38" i="80" s="1"/>
  <c r="AF19" i="80"/>
  <c r="AH14" i="80"/>
  <c r="AH59" i="80" s="1"/>
  <c r="AR26" i="80"/>
  <c r="AR38" i="80"/>
  <c r="BE38" i="80" s="1"/>
  <c r="AR13" i="80"/>
  <c r="AG19" i="80"/>
  <c r="AI14" i="80"/>
  <c r="AI59" i="80" s="1"/>
  <c r="AK12" i="80"/>
  <c r="AK57" i="80" s="1"/>
  <c r="BF22" i="80"/>
  <c r="BF21" i="80" s="1"/>
  <c r="AQ21" i="80"/>
  <c r="AG17" i="80"/>
  <c r="AI12" i="80"/>
  <c r="AI57" i="80" s="1"/>
  <c r="AP21" i="80"/>
  <c r="BE22" i="80"/>
  <c r="BE21" i="80" s="1"/>
  <c r="AS21" i="80"/>
  <c r="AS40" i="80"/>
  <c r="BF40" i="80" s="1"/>
  <c r="AS15" i="80"/>
  <c r="AS37" i="80"/>
  <c r="AS12" i="80"/>
  <c r="AS16" i="80"/>
  <c r="AG18" i="80"/>
  <c r="AI13" i="80"/>
  <c r="AI58" i="80" s="1"/>
  <c r="AS31" i="80"/>
  <c r="B37" i="78"/>
  <c r="B36" i="78"/>
  <c r="B35" i="78"/>
  <c r="B34" i="78"/>
  <c r="B33" i="78"/>
  <c r="B32" i="78"/>
  <c r="B31" i="78"/>
  <c r="B30" i="78"/>
  <c r="B29" i="78"/>
  <c r="B28" i="78"/>
  <c r="B27" i="78"/>
  <c r="B26" i="78"/>
  <c r="B25" i="78"/>
  <c r="B24" i="78"/>
  <c r="B23" i="78"/>
  <c r="B22" i="78"/>
  <c r="B21" i="78"/>
  <c r="B20" i="78"/>
  <c r="B19" i="78"/>
  <c r="B18" i="78"/>
  <c r="B17" i="78"/>
  <c r="B16" i="78"/>
  <c r="B15" i="78"/>
  <c r="B14" i="78"/>
  <c r="B13" i="78"/>
  <c r="B12" i="78"/>
  <c r="B11" i="78"/>
  <c r="B10" i="78"/>
  <c r="R23" i="78" l="1"/>
  <c r="N23" i="78"/>
  <c r="J23" i="78"/>
  <c r="M23" i="78"/>
  <c r="H23" i="78"/>
  <c r="P23" i="78"/>
  <c r="O23" i="78"/>
  <c r="Q23" i="78"/>
  <c r="L23" i="78"/>
  <c r="K23" i="78"/>
  <c r="M39" i="80" s="1"/>
  <c r="I23" i="78"/>
  <c r="P10" i="78"/>
  <c r="R10" i="78"/>
  <c r="J10" i="78"/>
  <c r="H10" i="78"/>
  <c r="I10" i="78"/>
  <c r="Q10" i="78"/>
  <c r="N10" i="78"/>
  <c r="L10" i="78"/>
  <c r="O10" i="78"/>
  <c r="M10" i="78"/>
  <c r="K10" i="78"/>
  <c r="Q14" i="78"/>
  <c r="M14" i="78"/>
  <c r="I14" i="78"/>
  <c r="P14" i="78"/>
  <c r="K14" i="78"/>
  <c r="M21" i="80" s="1"/>
  <c r="N14" i="78"/>
  <c r="L14" i="78"/>
  <c r="O14" i="78"/>
  <c r="J14" i="78"/>
  <c r="H14" i="78"/>
  <c r="R14" i="78"/>
  <c r="Q18" i="78"/>
  <c r="M18" i="78"/>
  <c r="I18" i="78"/>
  <c r="O18" i="78"/>
  <c r="J18" i="78"/>
  <c r="R18" i="78"/>
  <c r="L18" i="78"/>
  <c r="K18" i="78"/>
  <c r="M29" i="80" s="1"/>
  <c r="N18" i="78"/>
  <c r="H18" i="78"/>
  <c r="P18" i="78"/>
  <c r="Q22" i="78"/>
  <c r="M22" i="78"/>
  <c r="I22" i="78"/>
  <c r="I37" i="85" s="1"/>
  <c r="N22" i="78"/>
  <c r="H22" i="78"/>
  <c r="P22" i="78"/>
  <c r="O22" i="78"/>
  <c r="R22" i="78"/>
  <c r="L22" i="78"/>
  <c r="K22" i="78"/>
  <c r="M37" i="80" s="1"/>
  <c r="J22" i="78"/>
  <c r="K37" i="85" s="1"/>
  <c r="Q26" i="78"/>
  <c r="M26" i="78"/>
  <c r="I26" i="78"/>
  <c r="I45" i="85" s="1"/>
  <c r="O26" i="78"/>
  <c r="J26" i="78"/>
  <c r="L26" i="78"/>
  <c r="H26" i="78"/>
  <c r="R26" i="78"/>
  <c r="K26" i="78"/>
  <c r="M45" i="80" s="1"/>
  <c r="P26" i="78"/>
  <c r="N26" i="78"/>
  <c r="Q30" i="78"/>
  <c r="M30" i="78"/>
  <c r="I30" i="78"/>
  <c r="N30" i="78"/>
  <c r="H30" i="78"/>
  <c r="G53" i="85" s="1"/>
  <c r="R30" i="78"/>
  <c r="L30" i="78"/>
  <c r="K30" i="78"/>
  <c r="M53" i="80" s="1"/>
  <c r="P30" i="78"/>
  <c r="J30" i="78"/>
  <c r="O30" i="78"/>
  <c r="Q34" i="78"/>
  <c r="M34" i="78"/>
  <c r="I34" i="78"/>
  <c r="J61" i="85" s="1"/>
  <c r="R34" i="78"/>
  <c r="L34" i="78"/>
  <c r="P34" i="78"/>
  <c r="K34" i="78"/>
  <c r="M61" i="80" s="1"/>
  <c r="J34" i="78"/>
  <c r="O34" i="78"/>
  <c r="H34" i="78"/>
  <c r="G61" i="85" s="1"/>
  <c r="N34" i="78"/>
  <c r="R15" i="78"/>
  <c r="N15" i="78"/>
  <c r="J15" i="78"/>
  <c r="P15" i="78"/>
  <c r="K15" i="78"/>
  <c r="M23" i="80" s="1"/>
  <c r="M15" i="78"/>
  <c r="L15" i="78"/>
  <c r="O15" i="78"/>
  <c r="I15" i="78"/>
  <c r="H15" i="78"/>
  <c r="H23" i="85" s="1"/>
  <c r="Q15" i="78"/>
  <c r="R35" i="78"/>
  <c r="N35" i="78"/>
  <c r="J35" i="78"/>
  <c r="Q35" i="78"/>
  <c r="L35" i="78"/>
  <c r="P35" i="78"/>
  <c r="K35" i="78"/>
  <c r="M63" i="80" s="1"/>
  <c r="I35" i="78"/>
  <c r="M35" i="78"/>
  <c r="H35" i="78"/>
  <c r="O35" i="78"/>
  <c r="R19" i="78"/>
  <c r="N19" i="78"/>
  <c r="J19" i="78"/>
  <c r="O19" i="78"/>
  <c r="I19" i="78"/>
  <c r="Q19" i="78"/>
  <c r="P19" i="78"/>
  <c r="M19" i="78"/>
  <c r="H19" i="78"/>
  <c r="G31" i="85" s="1"/>
  <c r="L19" i="78"/>
  <c r="K19" i="78"/>
  <c r="M31" i="80" s="1"/>
  <c r="R31" i="78"/>
  <c r="N31" i="78"/>
  <c r="J31" i="78"/>
  <c r="M31" i="78"/>
  <c r="H31" i="78"/>
  <c r="Q31" i="78"/>
  <c r="L31" i="78"/>
  <c r="K31" i="78"/>
  <c r="M55" i="80" s="1"/>
  <c r="O31" i="78"/>
  <c r="I31" i="78"/>
  <c r="P31" i="78"/>
  <c r="O12" i="78"/>
  <c r="K12" i="78"/>
  <c r="M17" i="80" s="1"/>
  <c r="Q12" i="78"/>
  <c r="L12" i="78"/>
  <c r="N12" i="78"/>
  <c r="M12" i="78"/>
  <c r="H12" i="78"/>
  <c r="P12" i="78"/>
  <c r="J12" i="78"/>
  <c r="I12" i="78"/>
  <c r="R12" i="78"/>
  <c r="O16" i="78"/>
  <c r="K16" i="78"/>
  <c r="M25" i="80" s="1"/>
  <c r="P16" i="78"/>
  <c r="J16" i="78"/>
  <c r="L16" i="78"/>
  <c r="N16" i="78"/>
  <c r="I16" i="78"/>
  <c r="R16" i="78"/>
  <c r="M16" i="78"/>
  <c r="H16" i="78"/>
  <c r="Q16" i="78"/>
  <c r="O20" i="78"/>
  <c r="K20" i="78"/>
  <c r="M33" i="80" s="1"/>
  <c r="N20" i="78"/>
  <c r="I20" i="78"/>
  <c r="Q20" i="78"/>
  <c r="P20" i="78"/>
  <c r="R20" i="78"/>
  <c r="M20" i="78"/>
  <c r="H20" i="78"/>
  <c r="L20" i="78"/>
  <c r="J20" i="78"/>
  <c r="O24" i="78"/>
  <c r="K24" i="78"/>
  <c r="M41" i="80" s="1"/>
  <c r="P24" i="78"/>
  <c r="M24" i="78"/>
  <c r="H24" i="78"/>
  <c r="G41" i="80" s="1"/>
  <c r="Q24" i="78"/>
  <c r="N24" i="78"/>
  <c r="R24" i="78"/>
  <c r="L24" i="78"/>
  <c r="J24" i="78"/>
  <c r="K41" i="85" s="1"/>
  <c r="I24" i="78"/>
  <c r="J41" i="85" s="1"/>
  <c r="O28" i="78"/>
  <c r="K28" i="78"/>
  <c r="M49" i="80" s="1"/>
  <c r="N28" i="78"/>
  <c r="I28" i="78"/>
  <c r="R28" i="78"/>
  <c r="M28" i="78"/>
  <c r="L28" i="78"/>
  <c r="Q28" i="78"/>
  <c r="P28" i="78"/>
  <c r="J28" i="78"/>
  <c r="L49" i="85" s="1"/>
  <c r="H28" i="78"/>
  <c r="O32" i="78"/>
  <c r="K32" i="78"/>
  <c r="M57" i="80" s="1"/>
  <c r="R32" i="78"/>
  <c r="M32" i="78"/>
  <c r="H32" i="78"/>
  <c r="G57" i="85" s="1"/>
  <c r="Q32" i="78"/>
  <c r="L32" i="78"/>
  <c r="J32" i="78"/>
  <c r="P32" i="78"/>
  <c r="I32" i="78"/>
  <c r="N32" i="78"/>
  <c r="O36" i="78"/>
  <c r="K36" i="78"/>
  <c r="M65" i="80" s="1"/>
  <c r="R36" i="78"/>
  <c r="N36" i="78"/>
  <c r="L36" i="78"/>
  <c r="Q36" i="78"/>
  <c r="J36" i="78"/>
  <c r="I36" i="78"/>
  <c r="P36" i="78"/>
  <c r="H36" i="78"/>
  <c r="G65" i="85" s="1"/>
  <c r="M36" i="78"/>
  <c r="R11" i="78"/>
  <c r="N11" i="78"/>
  <c r="J11" i="78"/>
  <c r="Q11" i="78"/>
  <c r="L11" i="78"/>
  <c r="K11" i="78"/>
  <c r="M15" i="80" s="1"/>
  <c r="O11" i="78"/>
  <c r="H11" i="78"/>
  <c r="P11" i="78"/>
  <c r="I11" i="78"/>
  <c r="M11" i="78"/>
  <c r="R27" i="78"/>
  <c r="N27" i="78"/>
  <c r="J27" i="78"/>
  <c r="L47" i="80" s="1"/>
  <c r="O27" i="78"/>
  <c r="I27" i="78"/>
  <c r="I47" i="85" s="1"/>
  <c r="P27" i="78"/>
  <c r="H27" i="78"/>
  <c r="L27" i="78"/>
  <c r="K27" i="78"/>
  <c r="M47" i="80" s="1"/>
  <c r="M27" i="78"/>
  <c r="Q27" i="78"/>
  <c r="P13" i="78"/>
  <c r="L13" i="78"/>
  <c r="H13" i="78"/>
  <c r="H19" i="85" s="1"/>
  <c r="Q13" i="78"/>
  <c r="K13" i="78"/>
  <c r="M19" i="80" s="1"/>
  <c r="N13" i="78"/>
  <c r="M13" i="78"/>
  <c r="O13" i="78"/>
  <c r="J13" i="78"/>
  <c r="I13" i="78"/>
  <c r="J19" i="85" s="1"/>
  <c r="R13" i="78"/>
  <c r="P17" i="78"/>
  <c r="L17" i="78"/>
  <c r="H17" i="78"/>
  <c r="O17" i="78"/>
  <c r="J17" i="78"/>
  <c r="K27" i="85" s="1"/>
  <c r="M17" i="78"/>
  <c r="K17" i="78"/>
  <c r="M27" i="80" s="1"/>
  <c r="N17" i="78"/>
  <c r="I17" i="78"/>
  <c r="R17" i="78"/>
  <c r="Q17" i="78"/>
  <c r="P21" i="78"/>
  <c r="L21" i="78"/>
  <c r="H21" i="78"/>
  <c r="H35" i="85" s="1"/>
  <c r="N21" i="78"/>
  <c r="I21" i="78"/>
  <c r="J35" i="85" s="1"/>
  <c r="Q21" i="78"/>
  <c r="O21" i="78"/>
  <c r="R21" i="78"/>
  <c r="M21" i="78"/>
  <c r="K21" i="78"/>
  <c r="M35" i="80" s="1"/>
  <c r="J21" i="78"/>
  <c r="K35" i="80" s="1"/>
  <c r="P25" i="78"/>
  <c r="L25" i="78"/>
  <c r="H25" i="78"/>
  <c r="O25" i="78"/>
  <c r="J25" i="78"/>
  <c r="Q25" i="78"/>
  <c r="I25" i="78"/>
  <c r="I43" i="85" s="1"/>
  <c r="R25" i="78"/>
  <c r="N25" i="78"/>
  <c r="M25" i="78"/>
  <c r="K25" i="78"/>
  <c r="M43" i="80" s="1"/>
  <c r="P29" i="78"/>
  <c r="L29" i="78"/>
  <c r="H29" i="78"/>
  <c r="N29" i="78"/>
  <c r="I29" i="78"/>
  <c r="R29" i="78"/>
  <c r="M29" i="78"/>
  <c r="K29" i="78"/>
  <c r="M51" i="80" s="1"/>
  <c r="O29" i="78"/>
  <c r="J29" i="78"/>
  <c r="Q29" i="78"/>
  <c r="P33" i="78"/>
  <c r="L33" i="78"/>
  <c r="H33" i="78"/>
  <c r="G59" i="85" s="1"/>
  <c r="R33" i="78"/>
  <c r="M33" i="78"/>
  <c r="Q33" i="78"/>
  <c r="K33" i="78"/>
  <c r="M59" i="80" s="1"/>
  <c r="J33" i="78"/>
  <c r="N33" i="78"/>
  <c r="I33" i="78"/>
  <c r="J59" i="85" s="1"/>
  <c r="O33" i="78"/>
  <c r="P37" i="78"/>
  <c r="L37" i="78"/>
  <c r="H37" i="78"/>
  <c r="O37" i="78"/>
  <c r="K37" i="78"/>
  <c r="M67" i="80" s="1"/>
  <c r="Q37" i="78"/>
  <c r="I37" i="78"/>
  <c r="I67" i="85" s="1"/>
  <c r="N37" i="78"/>
  <c r="M37" i="78"/>
  <c r="R37" i="78"/>
  <c r="J37" i="78"/>
  <c r="K67" i="85" s="1"/>
  <c r="AF48" i="80"/>
  <c r="AY48" i="80" s="1"/>
  <c r="AY31" i="85"/>
  <c r="AZ17" i="85"/>
  <c r="AZ16" i="85" s="1"/>
  <c r="AF31" i="85"/>
  <c r="AF47" i="80"/>
  <c r="AF46" i="80" s="1"/>
  <c r="AH42" i="80"/>
  <c r="AS39" i="85"/>
  <c r="BE16" i="85"/>
  <c r="AS11" i="85"/>
  <c r="AS36" i="85" s="1"/>
  <c r="AL21" i="85"/>
  <c r="AL26" i="85"/>
  <c r="AZ13" i="85"/>
  <c r="AZ38" i="85" s="1"/>
  <c r="AG38" i="85"/>
  <c r="AG12" i="85"/>
  <c r="AG16" i="85"/>
  <c r="BE15" i="85"/>
  <c r="BE40" i="85" s="1"/>
  <c r="AR40" i="85"/>
  <c r="AN36" i="85"/>
  <c r="AS38" i="85"/>
  <c r="BF13" i="85"/>
  <c r="BF38" i="85" s="1"/>
  <c r="AY14" i="85"/>
  <c r="AY39" i="85" s="1"/>
  <c r="AF39" i="85"/>
  <c r="BE12" i="85"/>
  <c r="AP11" i="85"/>
  <c r="AP36" i="85" s="1"/>
  <c r="AP37" i="85"/>
  <c r="AY15" i="85"/>
  <c r="AY40" i="85" s="1"/>
  <c r="AF40" i="85"/>
  <c r="BE13" i="85"/>
  <c r="BE38" i="85" s="1"/>
  <c r="AR38" i="85"/>
  <c r="BF15" i="85"/>
  <c r="BF40" i="85" s="1"/>
  <c r="AS40" i="85"/>
  <c r="AR11" i="85"/>
  <c r="AR36" i="85" s="1"/>
  <c r="AR39" i="85"/>
  <c r="BE14" i="85"/>
  <c r="BE39" i="85" s="1"/>
  <c r="AG39" i="85"/>
  <c r="AZ14" i="85"/>
  <c r="AZ39" i="85" s="1"/>
  <c r="AG40" i="85"/>
  <c r="AZ15" i="85"/>
  <c r="AZ40" i="85" s="1"/>
  <c r="BF12" i="85"/>
  <c r="AQ37" i="85"/>
  <c r="AQ11" i="85"/>
  <c r="AQ36" i="85" s="1"/>
  <c r="AG26" i="80"/>
  <c r="AL26" i="80"/>
  <c r="AL16" i="80"/>
  <c r="AL21" i="80"/>
  <c r="AZ22" i="80"/>
  <c r="AZ21" i="80" s="1"/>
  <c r="AS36" i="80"/>
  <c r="AS60" i="80"/>
  <c r="BF15" i="80"/>
  <c r="AF14" i="80"/>
  <c r="AF39" i="80"/>
  <c r="AY39" i="80" s="1"/>
  <c r="BE14" i="80"/>
  <c r="AR59" i="80"/>
  <c r="AG16" i="80"/>
  <c r="AG37" i="80"/>
  <c r="AG12" i="80"/>
  <c r="AQ36" i="80"/>
  <c r="BF37" i="80"/>
  <c r="BF36" i="80" s="1"/>
  <c r="BE12" i="80"/>
  <c r="AP11" i="80"/>
  <c r="AP56" i="80" s="1"/>
  <c r="AP57" i="80"/>
  <c r="BC51" i="80"/>
  <c r="BA51" i="80" s="1"/>
  <c r="BA41" i="80" s="1"/>
  <c r="BC11" i="80"/>
  <c r="AN56" i="80"/>
  <c r="AS11" i="80"/>
  <c r="AS56" i="80" s="1"/>
  <c r="AS57" i="80"/>
  <c r="AF15" i="80"/>
  <c r="AF40" i="80"/>
  <c r="AY40" i="80" s="1"/>
  <c r="BC21" i="80"/>
  <c r="BA21" i="80" s="1"/>
  <c r="BF14" i="80"/>
  <c r="AS59" i="80"/>
  <c r="BC26" i="80"/>
  <c r="BA26" i="80" s="1"/>
  <c r="BF13" i="80"/>
  <c r="AS58" i="80"/>
  <c r="BE37" i="80"/>
  <c r="BE36" i="80" s="1"/>
  <c r="AP36" i="80"/>
  <c r="BE13" i="80"/>
  <c r="AR58" i="80"/>
  <c r="AR36" i="80"/>
  <c r="AG40" i="80"/>
  <c r="AZ40" i="80" s="1"/>
  <c r="AG15" i="80"/>
  <c r="AG39" i="80"/>
  <c r="AZ39" i="80" s="1"/>
  <c r="AG14" i="80"/>
  <c r="AQ11" i="80"/>
  <c r="AQ56" i="80" s="1"/>
  <c r="BF12" i="80"/>
  <c r="AQ57" i="80"/>
  <c r="AG13" i="80"/>
  <c r="AG38" i="80"/>
  <c r="AZ38" i="80" s="1"/>
  <c r="BC36" i="80"/>
  <c r="AR11" i="80"/>
  <c r="AR56" i="80" s="1"/>
  <c r="AR57" i="80"/>
  <c r="BE15" i="80"/>
  <c r="AR60" i="80"/>
  <c r="L31" i="85"/>
  <c r="H17" i="85"/>
  <c r="N17" i="80"/>
  <c r="G51" i="85"/>
  <c r="N51" i="80"/>
  <c r="N67" i="80"/>
  <c r="H47" i="85"/>
  <c r="G33" i="85"/>
  <c r="K33" i="85"/>
  <c r="N33" i="80"/>
  <c r="J65" i="85"/>
  <c r="L65" i="85"/>
  <c r="H37" i="80"/>
  <c r="I53" i="85"/>
  <c r="K53" i="85"/>
  <c r="I23" i="85"/>
  <c r="H39" i="85"/>
  <c r="K39" i="85"/>
  <c r="G55" i="85"/>
  <c r="J55" i="85"/>
  <c r="K55" i="85"/>
  <c r="I25" i="85"/>
  <c r="H25" i="85"/>
  <c r="I57" i="85"/>
  <c r="N57" i="80"/>
  <c r="K57" i="85"/>
  <c r="I27" i="80"/>
  <c r="G27" i="80"/>
  <c r="L43" i="85"/>
  <c r="N59" i="80"/>
  <c r="K59" i="85"/>
  <c r="G63" i="85"/>
  <c r="I63" i="85"/>
  <c r="K63" i="85"/>
  <c r="H49" i="85"/>
  <c r="I49" i="85"/>
  <c r="G29" i="85"/>
  <c r="J29" i="85"/>
  <c r="K29" i="85"/>
  <c r="G45" i="85"/>
  <c r="L45" i="80"/>
  <c r="K61" i="85"/>
  <c r="N61" i="80"/>
  <c r="I17" i="85"/>
  <c r="J33" i="85"/>
  <c r="H27" i="85"/>
  <c r="I31" i="85"/>
  <c r="K35" i="85"/>
  <c r="J39" i="85"/>
  <c r="G43" i="85"/>
  <c r="N47" i="80"/>
  <c r="I51" i="85"/>
  <c r="K51" i="85"/>
  <c r="I69" i="85"/>
  <c r="J69" i="85"/>
  <c r="H69" i="85"/>
  <c r="G69" i="85"/>
  <c r="I33" i="85"/>
  <c r="J31" i="85"/>
  <c r="G27" i="85"/>
  <c r="K23" i="85"/>
  <c r="L23" i="85"/>
  <c r="K69" i="85"/>
  <c r="L69" i="85"/>
  <c r="K25" i="85"/>
  <c r="L25" i="85"/>
  <c r="J69" i="80"/>
  <c r="I69" i="80"/>
  <c r="I33" i="80"/>
  <c r="H69" i="80"/>
  <c r="G69" i="80"/>
  <c r="J31" i="80"/>
  <c r="N69" i="80"/>
  <c r="N37" i="80"/>
  <c r="N39" i="80"/>
  <c r="N31" i="80"/>
  <c r="N23" i="80"/>
  <c r="K23" i="80"/>
  <c r="L23" i="80"/>
  <c r="L69" i="80"/>
  <c r="K69" i="80"/>
  <c r="K33" i="80"/>
  <c r="L25" i="80"/>
  <c r="K25" i="80"/>
  <c r="J37" i="80" l="1"/>
  <c r="L37" i="85"/>
  <c r="L37" i="80"/>
  <c r="L27" i="80"/>
  <c r="G19" i="80"/>
  <c r="G19" i="85"/>
  <c r="G20" i="85" s="1"/>
  <c r="W19" i="85" s="1"/>
  <c r="N53" i="80"/>
  <c r="H19" i="80"/>
  <c r="N63" i="80"/>
  <c r="K47" i="85"/>
  <c r="K27" i="80"/>
  <c r="L27" i="85"/>
  <c r="K28" i="85" s="1"/>
  <c r="Y27" i="85" s="1"/>
  <c r="AF43" i="80"/>
  <c r="N35" i="80"/>
  <c r="N41" i="80"/>
  <c r="M42" i="80" s="1"/>
  <c r="H35" i="80"/>
  <c r="L35" i="85"/>
  <c r="J41" i="80"/>
  <c r="I41" i="85"/>
  <c r="G35" i="85"/>
  <c r="M105" i="85"/>
  <c r="M105" i="80"/>
  <c r="Z105" i="80" s="1"/>
  <c r="G101" i="80"/>
  <c r="X101" i="80" s="1"/>
  <c r="G101" i="85"/>
  <c r="M93" i="80"/>
  <c r="M93" i="85"/>
  <c r="H85" i="80"/>
  <c r="H85" i="85"/>
  <c r="K81" i="80"/>
  <c r="K81" i="85"/>
  <c r="J95" i="80"/>
  <c r="J95" i="85"/>
  <c r="J79" i="80"/>
  <c r="J79" i="85"/>
  <c r="G36" i="78"/>
  <c r="L96" i="80"/>
  <c r="L96" i="85"/>
  <c r="K92" i="85"/>
  <c r="K92" i="80"/>
  <c r="K88" i="80"/>
  <c r="K88" i="85"/>
  <c r="H84" i="80"/>
  <c r="H84" i="85"/>
  <c r="J84" i="80"/>
  <c r="J84" i="85"/>
  <c r="G80" i="85"/>
  <c r="X80" i="85" s="1"/>
  <c r="G80" i="80"/>
  <c r="X80" i="80" s="1"/>
  <c r="G99" i="85"/>
  <c r="G99" i="80"/>
  <c r="G87" i="80"/>
  <c r="G87" i="85"/>
  <c r="I87" i="80"/>
  <c r="I87" i="85"/>
  <c r="G103" i="80"/>
  <c r="X103" i="80" s="1"/>
  <c r="G103" i="85"/>
  <c r="X103" i="85" s="1"/>
  <c r="J83" i="85"/>
  <c r="J83" i="80"/>
  <c r="I102" i="80"/>
  <c r="I102" i="85"/>
  <c r="M98" i="80"/>
  <c r="M98" i="85"/>
  <c r="L94" i="80"/>
  <c r="L94" i="85"/>
  <c r="I90" i="85"/>
  <c r="I90" i="80"/>
  <c r="G86" i="80"/>
  <c r="G86" i="85"/>
  <c r="H82" i="80"/>
  <c r="H82" i="85"/>
  <c r="L91" i="80"/>
  <c r="L91" i="85"/>
  <c r="L105" i="80"/>
  <c r="L105" i="85"/>
  <c r="I101" i="80"/>
  <c r="I101" i="85"/>
  <c r="K101" i="80"/>
  <c r="K101" i="85"/>
  <c r="I97" i="80"/>
  <c r="I97" i="85"/>
  <c r="G89" i="80"/>
  <c r="G89" i="85"/>
  <c r="J81" i="80"/>
  <c r="J81" i="85"/>
  <c r="L95" i="85"/>
  <c r="L95" i="80"/>
  <c r="K104" i="80"/>
  <c r="K104" i="85"/>
  <c r="J104" i="80"/>
  <c r="J104" i="85"/>
  <c r="H100" i="85"/>
  <c r="H100" i="80"/>
  <c r="G96" i="85"/>
  <c r="X96" i="85" s="1"/>
  <c r="G96" i="80"/>
  <c r="L88" i="80"/>
  <c r="L88" i="85"/>
  <c r="M84" i="80"/>
  <c r="M84" i="85"/>
  <c r="M80" i="85"/>
  <c r="M80" i="80"/>
  <c r="L80" i="80"/>
  <c r="L80" i="85"/>
  <c r="L99" i="80"/>
  <c r="L99" i="85"/>
  <c r="M87" i="85"/>
  <c r="M87" i="80"/>
  <c r="L103" i="85"/>
  <c r="L103" i="80"/>
  <c r="G83" i="80"/>
  <c r="G83" i="85"/>
  <c r="H102" i="80"/>
  <c r="H102" i="85"/>
  <c r="M94" i="85"/>
  <c r="M94" i="80"/>
  <c r="M86" i="85"/>
  <c r="M86" i="80"/>
  <c r="L82" i="80"/>
  <c r="L82" i="85"/>
  <c r="J91" i="85"/>
  <c r="J91" i="80"/>
  <c r="L97" i="80"/>
  <c r="L97" i="85"/>
  <c r="L93" i="85"/>
  <c r="L93" i="80"/>
  <c r="H89" i="85"/>
  <c r="H89" i="80"/>
  <c r="K89" i="80"/>
  <c r="K89" i="85"/>
  <c r="J85" i="85"/>
  <c r="J85" i="80"/>
  <c r="H81" i="85"/>
  <c r="H81" i="80"/>
  <c r="H95" i="80"/>
  <c r="H95" i="85"/>
  <c r="I95" i="80"/>
  <c r="I95" i="85"/>
  <c r="G79" i="80"/>
  <c r="G79" i="85"/>
  <c r="I100" i="85"/>
  <c r="I100" i="80"/>
  <c r="M100" i="80"/>
  <c r="Z100" i="80" s="1"/>
  <c r="M100" i="85"/>
  <c r="H96" i="80"/>
  <c r="H96" i="85"/>
  <c r="G92" i="80"/>
  <c r="G92" i="85"/>
  <c r="J92" i="80"/>
  <c r="J92" i="85"/>
  <c r="H87" i="80"/>
  <c r="H87" i="85"/>
  <c r="J103" i="80"/>
  <c r="J103" i="85"/>
  <c r="H83" i="85"/>
  <c r="H83" i="80"/>
  <c r="J102" i="85"/>
  <c r="J102" i="80"/>
  <c r="L102" i="85"/>
  <c r="L102" i="80"/>
  <c r="I98" i="85"/>
  <c r="I98" i="80"/>
  <c r="H90" i="80"/>
  <c r="H90" i="85"/>
  <c r="J82" i="80"/>
  <c r="J82" i="85"/>
  <c r="X29" i="84"/>
  <c r="M13" i="80"/>
  <c r="K91" i="80"/>
  <c r="K91" i="85"/>
  <c r="G105" i="80"/>
  <c r="G105" i="85"/>
  <c r="J105" i="80"/>
  <c r="J105" i="85"/>
  <c r="G97" i="80"/>
  <c r="X97" i="80" s="1"/>
  <c r="G97" i="85"/>
  <c r="M89" i="80"/>
  <c r="M89" i="85"/>
  <c r="Z89" i="85" s="1"/>
  <c r="L85" i="85"/>
  <c r="L85" i="80"/>
  <c r="I81" i="80"/>
  <c r="I81" i="85"/>
  <c r="M95" i="85"/>
  <c r="Z95" i="85" s="1"/>
  <c r="M95" i="80"/>
  <c r="L79" i="85"/>
  <c r="L79" i="80"/>
  <c r="M96" i="85"/>
  <c r="M96" i="80"/>
  <c r="M92" i="80"/>
  <c r="M92" i="85"/>
  <c r="I88" i="80"/>
  <c r="I88" i="85"/>
  <c r="I84" i="85"/>
  <c r="I84" i="80"/>
  <c r="J80" i="80"/>
  <c r="J80" i="85"/>
  <c r="H99" i="85"/>
  <c r="H99" i="80"/>
  <c r="K87" i="80"/>
  <c r="K87" i="85"/>
  <c r="I103" i="80"/>
  <c r="I103" i="85"/>
  <c r="J98" i="80"/>
  <c r="J98" i="85"/>
  <c r="G94" i="80"/>
  <c r="G94" i="85"/>
  <c r="G90" i="80"/>
  <c r="X90" i="80" s="1"/>
  <c r="G90" i="85"/>
  <c r="L90" i="80"/>
  <c r="L90" i="85"/>
  <c r="J86" i="80"/>
  <c r="J86" i="85"/>
  <c r="G82" i="85"/>
  <c r="G82" i="80"/>
  <c r="H78" i="85"/>
  <c r="H78" i="80"/>
  <c r="M78" i="85"/>
  <c r="Z78" i="85" s="1"/>
  <c r="M78" i="80"/>
  <c r="Z78" i="80" s="1"/>
  <c r="L101" i="85"/>
  <c r="L101" i="80"/>
  <c r="J97" i="80"/>
  <c r="J97" i="85"/>
  <c r="K97" i="80"/>
  <c r="K97" i="85"/>
  <c r="J93" i="85"/>
  <c r="J93" i="80"/>
  <c r="J89" i="80"/>
  <c r="J89" i="85"/>
  <c r="M85" i="80"/>
  <c r="M85" i="85"/>
  <c r="G85" i="80"/>
  <c r="X85" i="80" s="1"/>
  <c r="G85" i="85"/>
  <c r="G95" i="80"/>
  <c r="X95" i="80" s="1"/>
  <c r="G95" i="85"/>
  <c r="X95" i="85" s="1"/>
  <c r="H79" i="80"/>
  <c r="H79" i="85"/>
  <c r="L104" i="85"/>
  <c r="L104" i="80"/>
  <c r="K100" i="85"/>
  <c r="K100" i="80"/>
  <c r="J100" i="85"/>
  <c r="J100" i="80"/>
  <c r="I92" i="85"/>
  <c r="I92" i="80"/>
  <c r="G88" i="85"/>
  <c r="G88" i="80"/>
  <c r="G84" i="80"/>
  <c r="X84" i="80" s="1"/>
  <c r="G84" i="85"/>
  <c r="K80" i="80"/>
  <c r="K80" i="85"/>
  <c r="K99" i="80"/>
  <c r="K99" i="85"/>
  <c r="L87" i="85"/>
  <c r="L87" i="80"/>
  <c r="H103" i="80"/>
  <c r="H103" i="85"/>
  <c r="M103" i="85"/>
  <c r="M103" i="80"/>
  <c r="Z103" i="80" s="1"/>
  <c r="K83" i="80"/>
  <c r="K83" i="85"/>
  <c r="H98" i="85"/>
  <c r="H98" i="80"/>
  <c r="M90" i="80"/>
  <c r="Z90" i="80" s="1"/>
  <c r="M90" i="85"/>
  <c r="K86" i="85"/>
  <c r="K86" i="80"/>
  <c r="I82" i="85"/>
  <c r="I82" i="80"/>
  <c r="J78" i="85"/>
  <c r="J78" i="80"/>
  <c r="K78" i="85"/>
  <c r="K78" i="80"/>
  <c r="H91" i="85"/>
  <c r="H91" i="80"/>
  <c r="H101" i="80"/>
  <c r="H101" i="85"/>
  <c r="L89" i="80"/>
  <c r="L89" i="85"/>
  <c r="K85" i="80"/>
  <c r="K85" i="85"/>
  <c r="L81" i="80"/>
  <c r="L81" i="85"/>
  <c r="I79" i="80"/>
  <c r="I79" i="85"/>
  <c r="G104" i="85"/>
  <c r="G104" i="80"/>
  <c r="I96" i="80"/>
  <c r="I96" i="85"/>
  <c r="L92" i="80"/>
  <c r="L92" i="85"/>
  <c r="J88" i="80"/>
  <c r="J88" i="85"/>
  <c r="I99" i="80"/>
  <c r="I99" i="85"/>
  <c r="L83" i="80"/>
  <c r="L83" i="85"/>
  <c r="K102" i="80"/>
  <c r="K102" i="85"/>
  <c r="K98" i="80"/>
  <c r="K98" i="85"/>
  <c r="L98" i="80"/>
  <c r="L98" i="85"/>
  <c r="J94" i="85"/>
  <c r="J94" i="80"/>
  <c r="J90" i="80"/>
  <c r="J90" i="85"/>
  <c r="H86" i="80"/>
  <c r="H86" i="85"/>
  <c r="G78" i="80"/>
  <c r="G78" i="85"/>
  <c r="H105" i="85"/>
  <c r="H105" i="80"/>
  <c r="K105" i="80"/>
  <c r="K105" i="85"/>
  <c r="M101" i="80"/>
  <c r="M101" i="85"/>
  <c r="H97" i="85"/>
  <c r="H97" i="80"/>
  <c r="H93" i="80"/>
  <c r="H93" i="85"/>
  <c r="G93" i="80"/>
  <c r="G93" i="85"/>
  <c r="X93" i="85" s="1"/>
  <c r="I85" i="80"/>
  <c r="I85" i="85"/>
  <c r="M81" i="80"/>
  <c r="Z81" i="80" s="1"/>
  <c r="M81" i="85"/>
  <c r="K95" i="85"/>
  <c r="K95" i="80"/>
  <c r="K79" i="80"/>
  <c r="K79" i="85"/>
  <c r="M79" i="85"/>
  <c r="M79" i="80"/>
  <c r="I104" i="80"/>
  <c r="I104" i="85"/>
  <c r="G100" i="80"/>
  <c r="X100" i="80" s="1"/>
  <c r="G100" i="85"/>
  <c r="X100" i="85" s="1"/>
  <c r="H88" i="80"/>
  <c r="H88" i="85"/>
  <c r="L84" i="80"/>
  <c r="L84" i="85"/>
  <c r="K84" i="85"/>
  <c r="K84" i="80"/>
  <c r="H80" i="80"/>
  <c r="H80" i="85"/>
  <c r="J99" i="85"/>
  <c r="J99" i="80"/>
  <c r="M99" i="80"/>
  <c r="M99" i="85"/>
  <c r="J87" i="80"/>
  <c r="J87" i="85"/>
  <c r="G15" i="78"/>
  <c r="I83" i="80"/>
  <c r="I83" i="85"/>
  <c r="G102" i="80"/>
  <c r="X102" i="80" s="1"/>
  <c r="G102" i="85"/>
  <c r="I94" i="80"/>
  <c r="I94" i="85"/>
  <c r="K90" i="80"/>
  <c r="K90" i="85"/>
  <c r="I86" i="80"/>
  <c r="I86" i="85"/>
  <c r="L86" i="80"/>
  <c r="L86" i="85"/>
  <c r="K82" i="80"/>
  <c r="K82" i="85"/>
  <c r="I78" i="80"/>
  <c r="I78" i="85"/>
  <c r="I91" i="80"/>
  <c r="I91" i="85"/>
  <c r="I105" i="80"/>
  <c r="I105" i="85"/>
  <c r="J101" i="85"/>
  <c r="J101" i="80"/>
  <c r="M97" i="85"/>
  <c r="M97" i="80"/>
  <c r="Z97" i="80" s="1"/>
  <c r="I93" i="80"/>
  <c r="I93" i="85"/>
  <c r="K93" i="85"/>
  <c r="K93" i="80"/>
  <c r="I89" i="80"/>
  <c r="I89" i="85"/>
  <c r="G81" i="80"/>
  <c r="G81" i="85"/>
  <c r="X81" i="85" s="1"/>
  <c r="H104" i="80"/>
  <c r="H104" i="85"/>
  <c r="M104" i="85"/>
  <c r="Z104" i="85" s="1"/>
  <c r="M104" i="80"/>
  <c r="L100" i="80"/>
  <c r="L100" i="85"/>
  <c r="K96" i="80"/>
  <c r="K96" i="85"/>
  <c r="J96" i="80"/>
  <c r="J96" i="85"/>
  <c r="H92" i="85"/>
  <c r="H92" i="80"/>
  <c r="M88" i="85"/>
  <c r="M88" i="80"/>
  <c r="I80" i="80"/>
  <c r="I80" i="85"/>
  <c r="K103" i="80"/>
  <c r="K103" i="85"/>
  <c r="M83" i="80"/>
  <c r="Z83" i="80" s="1"/>
  <c r="M83" i="85"/>
  <c r="M102" i="85"/>
  <c r="M102" i="80"/>
  <c r="Z102" i="80" s="1"/>
  <c r="G98" i="85"/>
  <c r="G98" i="80"/>
  <c r="X98" i="80" s="1"/>
  <c r="K94" i="85"/>
  <c r="K94" i="80"/>
  <c r="H94" i="80"/>
  <c r="H94" i="85"/>
  <c r="M82" i="80"/>
  <c r="M82" i="85"/>
  <c r="L78" i="85"/>
  <c r="L78" i="80"/>
  <c r="G91" i="85"/>
  <c r="X91" i="85" s="1"/>
  <c r="G91" i="80"/>
  <c r="M91" i="80"/>
  <c r="Z91" i="80" s="1"/>
  <c r="M91" i="85"/>
  <c r="G37" i="78"/>
  <c r="G21" i="78"/>
  <c r="G32" i="78"/>
  <c r="G14" i="78"/>
  <c r="X27" i="84"/>
  <c r="X25" i="88"/>
  <c r="G25" i="78"/>
  <c r="G27" i="78"/>
  <c r="G28" i="78"/>
  <c r="G20" i="78"/>
  <c r="G12" i="78"/>
  <c r="G19" i="78"/>
  <c r="G34" i="78"/>
  <c r="G30" i="78"/>
  <c r="G18" i="78"/>
  <c r="X30" i="84"/>
  <c r="X27" i="88"/>
  <c r="X26" i="84"/>
  <c r="G10" i="78"/>
  <c r="X24" i="88"/>
  <c r="G29" i="78"/>
  <c r="G13" i="78"/>
  <c r="G24" i="78"/>
  <c r="G31" i="78"/>
  <c r="G26" i="78"/>
  <c r="X26" i="88"/>
  <c r="X28" i="84"/>
  <c r="G33" i="78"/>
  <c r="G17" i="78"/>
  <c r="G11" i="78"/>
  <c r="G16" i="78"/>
  <c r="G35" i="78"/>
  <c r="G22" i="78"/>
  <c r="X31" i="84"/>
  <c r="X28" i="88"/>
  <c r="G23" i="78"/>
  <c r="AY47" i="80"/>
  <c r="AY42" i="80" s="1"/>
  <c r="AF42" i="80"/>
  <c r="AF41" i="80" s="1"/>
  <c r="L33" i="80"/>
  <c r="K34" i="80" s="1"/>
  <c r="Y33" i="80" s="1"/>
  <c r="M52" i="80"/>
  <c r="Z51" i="80" s="1"/>
  <c r="K37" i="80"/>
  <c r="K38" i="80" s="1"/>
  <c r="Y37" i="80" s="1"/>
  <c r="N29" i="80"/>
  <c r="L33" i="85"/>
  <c r="AL11" i="85"/>
  <c r="AL36" i="85" s="1"/>
  <c r="Z94" i="85"/>
  <c r="Z94" i="80"/>
  <c r="X79" i="85"/>
  <c r="X79" i="80"/>
  <c r="Z93" i="85"/>
  <c r="Z93" i="80"/>
  <c r="Z98" i="85"/>
  <c r="Z98" i="80"/>
  <c r="X88" i="85"/>
  <c r="X88" i="80"/>
  <c r="X97" i="85"/>
  <c r="Z80" i="85"/>
  <c r="Z80" i="80"/>
  <c r="X85" i="85"/>
  <c r="X92" i="85"/>
  <c r="X92" i="80"/>
  <c r="Z92" i="85"/>
  <c r="Z92" i="80"/>
  <c r="X91" i="80"/>
  <c r="Z88" i="85"/>
  <c r="Z88" i="80"/>
  <c r="X86" i="85"/>
  <c r="X86" i="80"/>
  <c r="Z82" i="85"/>
  <c r="Z82" i="80"/>
  <c r="X96" i="80"/>
  <c r="Z79" i="85"/>
  <c r="Z79" i="80"/>
  <c r="Z91" i="85"/>
  <c r="X90" i="85"/>
  <c r="Z97" i="85"/>
  <c r="Z86" i="85"/>
  <c r="Z86" i="80"/>
  <c r="X84" i="85"/>
  <c r="Z90" i="85"/>
  <c r="X102" i="85"/>
  <c r="Z96" i="85"/>
  <c r="Z96" i="80"/>
  <c r="X101" i="85"/>
  <c r="Z85" i="85"/>
  <c r="Z85" i="80"/>
  <c r="X83" i="85"/>
  <c r="X83" i="80"/>
  <c r="Z95" i="80"/>
  <c r="X89" i="85"/>
  <c r="X89" i="80"/>
  <c r="X87" i="85"/>
  <c r="X87" i="80"/>
  <c r="AY43" i="80"/>
  <c r="AY46" i="80"/>
  <c r="Z102" i="85"/>
  <c r="Z101" i="85"/>
  <c r="Z101" i="80"/>
  <c r="Z84" i="85"/>
  <c r="Z84" i="80"/>
  <c r="X99" i="85"/>
  <c r="X99" i="80"/>
  <c r="Y90" i="85"/>
  <c r="X104" i="85"/>
  <c r="X104" i="80"/>
  <c r="X105" i="85"/>
  <c r="X105" i="80"/>
  <c r="Z89" i="80"/>
  <c r="X94" i="85"/>
  <c r="X94" i="80"/>
  <c r="X78" i="85"/>
  <c r="X78" i="80"/>
  <c r="AO46" i="80" s="1"/>
  <c r="Z100" i="85"/>
  <c r="Z83" i="85"/>
  <c r="Z104" i="80"/>
  <c r="X81" i="80"/>
  <c r="Z87" i="85"/>
  <c r="Z87" i="80"/>
  <c r="X82" i="85"/>
  <c r="X82" i="80"/>
  <c r="Z103" i="85"/>
  <c r="X93" i="80"/>
  <c r="Z99" i="85"/>
  <c r="Z99" i="80"/>
  <c r="X98" i="85"/>
  <c r="Z105" i="85"/>
  <c r="Z81" i="85"/>
  <c r="W87" i="85"/>
  <c r="BF37" i="85"/>
  <c r="BF36" i="85" s="1"/>
  <c r="BF11" i="85"/>
  <c r="BC31" i="85"/>
  <c r="BA31" i="85" s="1"/>
  <c r="BC16" i="85"/>
  <c r="BA16" i="85" s="1"/>
  <c r="AZ12" i="85"/>
  <c r="AG37" i="85"/>
  <c r="AG36" i="85" s="1"/>
  <c r="AG11" i="85"/>
  <c r="BE37" i="85"/>
  <c r="BE36" i="85" s="1"/>
  <c r="BE11" i="85"/>
  <c r="BC11" i="85"/>
  <c r="I37" i="80"/>
  <c r="I38" i="80" s="1"/>
  <c r="X37" i="80" s="1"/>
  <c r="H31" i="85"/>
  <c r="G32" i="85" s="1"/>
  <c r="N25" i="80"/>
  <c r="M26" i="80" s="1"/>
  <c r="Z25" i="80" s="1"/>
  <c r="J37" i="85"/>
  <c r="I38" i="85" s="1"/>
  <c r="H31" i="80"/>
  <c r="K49" i="85"/>
  <c r="K50" i="85" s="1"/>
  <c r="H29" i="80"/>
  <c r="N27" i="80"/>
  <c r="M28" i="80" s="1"/>
  <c r="Z27" i="80" s="1"/>
  <c r="L55" i="85"/>
  <c r="K29" i="80"/>
  <c r="G25" i="85"/>
  <c r="G26" i="85" s="1"/>
  <c r="N49" i="80"/>
  <c r="M50" i="80" s="1"/>
  <c r="Z49" i="80" s="1"/>
  <c r="I29" i="85"/>
  <c r="I29" i="80"/>
  <c r="K31" i="80"/>
  <c r="I27" i="85"/>
  <c r="G41" i="85"/>
  <c r="H41" i="85"/>
  <c r="K31" i="85"/>
  <c r="K32" i="85" s="1"/>
  <c r="J27" i="85"/>
  <c r="L43" i="80"/>
  <c r="G25" i="80"/>
  <c r="I59" i="85"/>
  <c r="H25" i="80"/>
  <c r="G39" i="80"/>
  <c r="L29" i="85"/>
  <c r="K30" i="85" s="1"/>
  <c r="L29" i="80"/>
  <c r="AL11" i="80"/>
  <c r="AL56" i="80" s="1"/>
  <c r="G45" i="80"/>
  <c r="H29" i="85"/>
  <c r="G30" i="85" s="1"/>
  <c r="J49" i="85"/>
  <c r="I50" i="85" s="1"/>
  <c r="J29" i="80"/>
  <c r="J49" i="80"/>
  <c r="J55" i="80"/>
  <c r="H45" i="85"/>
  <c r="G46" i="85" s="1"/>
  <c r="AL36" i="80"/>
  <c r="AZ13" i="80"/>
  <c r="AG58" i="80"/>
  <c r="AZ37" i="80"/>
  <c r="AZ36" i="80" s="1"/>
  <c r="AG36" i="80"/>
  <c r="BF11" i="80"/>
  <c r="AF60" i="80"/>
  <c r="AY15" i="80"/>
  <c r="BE11" i="80"/>
  <c r="BA11" i="80" s="1"/>
  <c r="M34" i="80"/>
  <c r="Z33" i="80" s="1"/>
  <c r="AZ14" i="80"/>
  <c r="AG59" i="80"/>
  <c r="BA36" i="80"/>
  <c r="AF59" i="80"/>
  <c r="AY14" i="80"/>
  <c r="AG60" i="80"/>
  <c r="AZ15" i="80"/>
  <c r="AG11" i="80"/>
  <c r="AG57" i="80"/>
  <c r="AZ12" i="80"/>
  <c r="L41" i="80"/>
  <c r="G29" i="80"/>
  <c r="G23" i="85"/>
  <c r="L41" i="85"/>
  <c r="K42" i="85" s="1"/>
  <c r="G39" i="85"/>
  <c r="H23" i="80"/>
  <c r="G23" i="80"/>
  <c r="G33" i="80"/>
  <c r="H33" i="85"/>
  <c r="G34" i="85" s="1"/>
  <c r="H33" i="80"/>
  <c r="J25" i="80"/>
  <c r="J25" i="85"/>
  <c r="I26" i="85" s="1"/>
  <c r="I25" i="80"/>
  <c r="J63" i="85"/>
  <c r="I64" i="85" s="1"/>
  <c r="K39" i="80"/>
  <c r="J23" i="85"/>
  <c r="I24" i="85" s="1"/>
  <c r="K45" i="85"/>
  <c r="H37" i="85"/>
  <c r="N19" i="80"/>
  <c r="M20" i="80" s="1"/>
  <c r="L45" i="85"/>
  <c r="I23" i="80"/>
  <c r="G37" i="85"/>
  <c r="J23" i="80"/>
  <c r="J45" i="85"/>
  <c r="I46" i="85" s="1"/>
  <c r="K41" i="80"/>
  <c r="L49" i="80"/>
  <c r="G37" i="80"/>
  <c r="J33" i="80"/>
  <c r="I34" i="80" s="1"/>
  <c r="I41" i="80"/>
  <c r="M18" i="80"/>
  <c r="I17" i="80"/>
  <c r="L57" i="85"/>
  <c r="K58" i="85" s="1"/>
  <c r="H53" i="85"/>
  <c r="G54" i="85" s="1"/>
  <c r="N45" i="80"/>
  <c r="M46" i="80" s="1"/>
  <c r="G49" i="80"/>
  <c r="J45" i="80"/>
  <c r="G49" i="85"/>
  <c r="K45" i="80"/>
  <c r="H41" i="80"/>
  <c r="G42" i="80" s="1"/>
  <c r="I45" i="80"/>
  <c r="H57" i="85"/>
  <c r="G58" i="85" s="1"/>
  <c r="K53" i="80"/>
  <c r="G57" i="80"/>
  <c r="I53" i="80"/>
  <c r="L53" i="85"/>
  <c r="K54" i="85" s="1"/>
  <c r="J53" i="85"/>
  <c r="I54" i="85" s="1"/>
  <c r="K49" i="80"/>
  <c r="K57" i="80"/>
  <c r="H45" i="80"/>
  <c r="G53" i="80"/>
  <c r="I49" i="80"/>
  <c r="J57" i="85"/>
  <c r="I58" i="85" s="1"/>
  <c r="H61" i="85"/>
  <c r="G62" i="85" s="1"/>
  <c r="G65" i="80"/>
  <c r="K65" i="85"/>
  <c r="L53" i="80"/>
  <c r="L61" i="80"/>
  <c r="H49" i="80"/>
  <c r="H57" i="80"/>
  <c r="J53" i="80"/>
  <c r="J61" i="80"/>
  <c r="L61" i="85"/>
  <c r="K62" i="85" s="1"/>
  <c r="I61" i="85"/>
  <c r="H65" i="85"/>
  <c r="G66" i="85" s="1"/>
  <c r="L65" i="80"/>
  <c r="H61" i="80"/>
  <c r="J57" i="80"/>
  <c r="I65" i="80"/>
  <c r="I65" i="85"/>
  <c r="L57" i="80"/>
  <c r="K65" i="80"/>
  <c r="H53" i="80"/>
  <c r="G61" i="80"/>
  <c r="I57" i="80"/>
  <c r="J65" i="80"/>
  <c r="N65" i="80"/>
  <c r="M66" i="80" s="1"/>
  <c r="K61" i="80"/>
  <c r="H65" i="80"/>
  <c r="I61" i="80"/>
  <c r="G47" i="85"/>
  <c r="I39" i="80"/>
  <c r="L39" i="85"/>
  <c r="K40" i="85" s="1"/>
  <c r="I35" i="80"/>
  <c r="I43" i="80"/>
  <c r="H51" i="80"/>
  <c r="K43" i="85"/>
  <c r="I35" i="85"/>
  <c r="J43" i="85"/>
  <c r="I44" i="85" s="1"/>
  <c r="J51" i="85"/>
  <c r="I52" i="85" s="1"/>
  <c r="L31" i="80"/>
  <c r="L35" i="80"/>
  <c r="K36" i="80" s="1"/>
  <c r="K43" i="80"/>
  <c r="N55" i="80"/>
  <c r="M56" i="80" s="1"/>
  <c r="J27" i="80"/>
  <c r="I28" i="80" s="1"/>
  <c r="J35" i="80"/>
  <c r="J43" i="80"/>
  <c r="I51" i="80"/>
  <c r="H27" i="80"/>
  <c r="G28" i="80" s="1"/>
  <c r="H39" i="80"/>
  <c r="H47" i="80"/>
  <c r="G59" i="80"/>
  <c r="H51" i="85"/>
  <c r="G52" i="85" s="1"/>
  <c r="H55" i="85"/>
  <c r="G56" i="85" s="1"/>
  <c r="L55" i="80"/>
  <c r="L47" i="85"/>
  <c r="K48" i="85" s="1"/>
  <c r="I39" i="85"/>
  <c r="J47" i="85"/>
  <c r="I48" i="85" s="1"/>
  <c r="J59" i="80"/>
  <c r="J51" i="80"/>
  <c r="G47" i="80"/>
  <c r="G51" i="80"/>
  <c r="G55" i="80"/>
  <c r="H59" i="85"/>
  <c r="G60" i="85" s="1"/>
  <c r="I59" i="80"/>
  <c r="H55" i="80"/>
  <c r="H59" i="80"/>
  <c r="L39" i="80"/>
  <c r="L51" i="80"/>
  <c r="N43" i="80"/>
  <c r="M44" i="80" s="1"/>
  <c r="I31" i="80"/>
  <c r="J39" i="80"/>
  <c r="J47" i="80"/>
  <c r="G31" i="80"/>
  <c r="G35" i="80"/>
  <c r="G43" i="80"/>
  <c r="L51" i="85"/>
  <c r="K52" i="85" s="1"/>
  <c r="L59" i="85"/>
  <c r="K60" i="85" s="1"/>
  <c r="H43" i="85"/>
  <c r="G44" i="85" s="1"/>
  <c r="I55" i="85"/>
  <c r="K47" i="80"/>
  <c r="K51" i="80"/>
  <c r="K55" i="80"/>
  <c r="L59" i="80"/>
  <c r="I47" i="80"/>
  <c r="I55" i="80"/>
  <c r="H43" i="80"/>
  <c r="J63" i="80"/>
  <c r="K67" i="80"/>
  <c r="K59" i="80"/>
  <c r="K63" i="80"/>
  <c r="I63" i="80"/>
  <c r="L63" i="85"/>
  <c r="K64" i="85" s="1"/>
  <c r="L67" i="85"/>
  <c r="K68" i="85" s="1"/>
  <c r="H63" i="80"/>
  <c r="L63" i="80"/>
  <c r="L67" i="80"/>
  <c r="J67" i="80"/>
  <c r="J67" i="85"/>
  <c r="I68" i="85" s="1"/>
  <c r="J17" i="85"/>
  <c r="I18" i="85" s="1"/>
  <c r="H17" i="80"/>
  <c r="G17" i="85"/>
  <c r="J17" i="80"/>
  <c r="G17" i="80"/>
  <c r="I19" i="80"/>
  <c r="I19" i="85"/>
  <c r="J19" i="80"/>
  <c r="H67" i="80"/>
  <c r="G67" i="85"/>
  <c r="I67" i="80"/>
  <c r="G63" i="80"/>
  <c r="G67" i="80"/>
  <c r="H63" i="85"/>
  <c r="G64" i="85" s="1"/>
  <c r="H67" i="85"/>
  <c r="K26" i="85"/>
  <c r="Y25" i="85" s="1"/>
  <c r="K34" i="85"/>
  <c r="Y33" i="85" s="1"/>
  <c r="K38" i="85"/>
  <c r="Y37" i="85" s="1"/>
  <c r="G28" i="85"/>
  <c r="W27" i="85" s="1"/>
  <c r="G36" i="85"/>
  <c r="W35" i="85" s="1"/>
  <c r="G70" i="85"/>
  <c r="W69" i="85" s="1"/>
  <c r="K24" i="85"/>
  <c r="Y23" i="85" s="1"/>
  <c r="K36" i="85"/>
  <c r="Y35" i="85" s="1"/>
  <c r="I32" i="85"/>
  <c r="X31" i="85" s="1"/>
  <c r="I34" i="85"/>
  <c r="X33" i="85" s="1"/>
  <c r="I42" i="85"/>
  <c r="X41" i="85" s="1"/>
  <c r="I70" i="85"/>
  <c r="X69" i="85" s="1"/>
  <c r="I21" i="85"/>
  <c r="J21" i="85"/>
  <c r="H21" i="85"/>
  <c r="G21" i="85"/>
  <c r="K19" i="80"/>
  <c r="L19" i="85"/>
  <c r="K19" i="85"/>
  <c r="K70" i="85"/>
  <c r="Y69" i="85" s="1"/>
  <c r="L21" i="85"/>
  <c r="K21" i="85"/>
  <c r="L17" i="80"/>
  <c r="L17" i="85"/>
  <c r="K17" i="85"/>
  <c r="K17" i="80"/>
  <c r="L19" i="80"/>
  <c r="G20" i="80"/>
  <c r="W19" i="80" s="1"/>
  <c r="M24" i="80"/>
  <c r="Z23" i="80" s="1"/>
  <c r="M32" i="80"/>
  <c r="Z31" i="80" s="1"/>
  <c r="M36" i="80"/>
  <c r="Z35" i="80" s="1"/>
  <c r="M30" i="80"/>
  <c r="Z29" i="80" s="1"/>
  <c r="G70" i="80"/>
  <c r="W69" i="80" s="1"/>
  <c r="I70" i="80"/>
  <c r="X69" i="80" s="1"/>
  <c r="I21" i="80"/>
  <c r="J21" i="80"/>
  <c r="H21" i="80"/>
  <c r="G21" i="80"/>
  <c r="K26" i="80"/>
  <c r="Y25" i="80" s="1"/>
  <c r="K70" i="80"/>
  <c r="Y69" i="80" s="1"/>
  <c r="M40" i="80"/>
  <c r="Z39" i="80" s="1"/>
  <c r="M38" i="80"/>
  <c r="Z37" i="80" s="1"/>
  <c r="M70" i="80"/>
  <c r="Z69" i="80" s="1"/>
  <c r="N21" i="80"/>
  <c r="K21" i="80"/>
  <c r="L21" i="80"/>
  <c r="K24" i="80"/>
  <c r="Y23" i="80" s="1"/>
  <c r="K28" i="80"/>
  <c r="Y27" i="80" s="1"/>
  <c r="Y85" i="85" l="1"/>
  <c r="AY41" i="80"/>
  <c r="Y97" i="85"/>
  <c r="Y96" i="80"/>
  <c r="Y88" i="80"/>
  <c r="AM46" i="80"/>
  <c r="Y85" i="80"/>
  <c r="W96" i="85"/>
  <c r="Y101" i="85"/>
  <c r="Y102" i="85"/>
  <c r="Y103" i="85"/>
  <c r="Y79" i="80"/>
  <c r="Y101" i="80"/>
  <c r="Y102" i="80"/>
  <c r="W82" i="85"/>
  <c r="Y90" i="80"/>
  <c r="Y97" i="80"/>
  <c r="Y89" i="85"/>
  <c r="W87" i="80"/>
  <c r="Y91" i="85"/>
  <c r="Y78" i="80"/>
  <c r="AO51" i="80" s="1"/>
  <c r="AO41" i="80" s="1"/>
  <c r="Y86" i="80"/>
  <c r="Y95" i="85"/>
  <c r="Y79" i="85"/>
  <c r="Y95" i="80"/>
  <c r="Y91" i="80"/>
  <c r="W81" i="80"/>
  <c r="W95" i="85"/>
  <c r="W96" i="80"/>
  <c r="Y86" i="85"/>
  <c r="W97" i="85"/>
  <c r="W91" i="85"/>
  <c r="X37" i="85"/>
  <c r="W86" i="85"/>
  <c r="W85" i="80"/>
  <c r="Y104" i="80"/>
  <c r="W101" i="80"/>
  <c r="W105" i="80"/>
  <c r="W99" i="80"/>
  <c r="Y93" i="80"/>
  <c r="Y94" i="80"/>
  <c r="W88" i="85"/>
  <c r="G42" i="85"/>
  <c r="W41" i="85" s="1"/>
  <c r="W97" i="80"/>
  <c r="W91" i="80"/>
  <c r="Y80" i="85"/>
  <c r="W84" i="85"/>
  <c r="W92" i="80"/>
  <c r="Y83" i="85"/>
  <c r="Y100" i="85"/>
  <c r="BC36" i="85"/>
  <c r="W90" i="80"/>
  <c r="W93" i="80"/>
  <c r="W94" i="80"/>
  <c r="W105" i="85"/>
  <c r="W99" i="85"/>
  <c r="Y93" i="85"/>
  <c r="Y94" i="85"/>
  <c r="W104" i="80"/>
  <c r="W85" i="85"/>
  <c r="W89" i="85"/>
  <c r="Y104" i="85"/>
  <c r="Y84" i="80"/>
  <c r="W101" i="85"/>
  <c r="W89" i="80"/>
  <c r="W102" i="85"/>
  <c r="W90" i="85"/>
  <c r="W98" i="80"/>
  <c r="W93" i="85"/>
  <c r="W94" i="85"/>
  <c r="Y80" i="80"/>
  <c r="Y98" i="80"/>
  <c r="W84" i="80"/>
  <c r="W104" i="85"/>
  <c r="Y103" i="80"/>
  <c r="Y84" i="85"/>
  <c r="W95" i="80"/>
  <c r="W86" i="80"/>
  <c r="W79" i="80"/>
  <c r="W98" i="85"/>
  <c r="Y98" i="85"/>
  <c r="Y99" i="80"/>
  <c r="W79" i="85"/>
  <c r="Y87" i="80"/>
  <c r="W83" i="80"/>
  <c r="Y92" i="80"/>
  <c r="W103" i="80"/>
  <c r="Y99" i="85"/>
  <c r="Y88" i="85"/>
  <c r="Y82" i="80"/>
  <c r="G40" i="80"/>
  <c r="W39" i="80" s="1"/>
  <c r="Y89" i="80"/>
  <c r="W81" i="85"/>
  <c r="W92" i="85"/>
  <c r="Y87" i="85"/>
  <c r="W83" i="85"/>
  <c r="Y92" i="85"/>
  <c r="W103" i="85"/>
  <c r="Y78" i="85"/>
  <c r="AO31" i="85" s="1"/>
  <c r="W80" i="80"/>
  <c r="Y105" i="80"/>
  <c r="Y83" i="80"/>
  <c r="W78" i="80"/>
  <c r="Y81" i="80"/>
  <c r="Y82" i="85"/>
  <c r="Y53" i="85"/>
  <c r="W80" i="85"/>
  <c r="Y105" i="85"/>
  <c r="W100" i="80"/>
  <c r="W78" i="85"/>
  <c r="Y81" i="85"/>
  <c r="Y29" i="85"/>
  <c r="W31" i="85"/>
  <c r="W59" i="85"/>
  <c r="X67" i="85"/>
  <c r="W82" i="80"/>
  <c r="W88" i="80"/>
  <c r="Y96" i="85"/>
  <c r="W100" i="85"/>
  <c r="Y100" i="80"/>
  <c r="W102" i="80"/>
  <c r="K56" i="85"/>
  <c r="Y55" i="85" s="1"/>
  <c r="Y51" i="85"/>
  <c r="I36" i="85"/>
  <c r="X35" i="85" s="1"/>
  <c r="G48" i="85"/>
  <c r="W47" i="85" s="1"/>
  <c r="G40" i="85"/>
  <c r="W39" i="85" s="1"/>
  <c r="I60" i="85"/>
  <c r="X59" i="85" s="1"/>
  <c r="W29" i="85"/>
  <c r="Y61" i="85"/>
  <c r="X23" i="85"/>
  <c r="W51" i="85"/>
  <c r="W45" i="85"/>
  <c r="G50" i="85"/>
  <c r="W49" i="85" s="1"/>
  <c r="Y63" i="85"/>
  <c r="X43" i="85"/>
  <c r="I20" i="85"/>
  <c r="X19" i="85" s="1"/>
  <c r="K44" i="85"/>
  <c r="Y43" i="85" s="1"/>
  <c r="Y49" i="85"/>
  <c r="X45" i="85"/>
  <c r="W43" i="85"/>
  <c r="Y39" i="85"/>
  <c r="Y67" i="85"/>
  <c r="Y47" i="85"/>
  <c r="X53" i="85"/>
  <c r="I62" i="85"/>
  <c r="X61" i="85" s="1"/>
  <c r="G24" i="85"/>
  <c r="W23" i="85" s="1"/>
  <c r="I30" i="85"/>
  <c r="X29" i="85" s="1"/>
  <c r="X49" i="85"/>
  <c r="Y57" i="85"/>
  <c r="W65" i="85"/>
  <c r="X63" i="85"/>
  <c r="W33" i="85"/>
  <c r="I66" i="85"/>
  <c r="X65" i="85" s="1"/>
  <c r="K66" i="85"/>
  <c r="Y65" i="85" s="1"/>
  <c r="W57" i="85"/>
  <c r="BA11" i="85"/>
  <c r="BA36" i="85" s="1"/>
  <c r="X51" i="85"/>
  <c r="X47" i="85"/>
  <c r="X25" i="85"/>
  <c r="X17" i="85"/>
  <c r="I56" i="85"/>
  <c r="X55" i="85" s="1"/>
  <c r="I40" i="85"/>
  <c r="X39" i="85" s="1"/>
  <c r="Y31" i="85"/>
  <c r="W25" i="85"/>
  <c r="Y59" i="85"/>
  <c r="Y41" i="85"/>
  <c r="W63" i="85"/>
  <c r="G18" i="85"/>
  <c r="W17" i="85" s="1"/>
  <c r="W61" i="85"/>
  <c r="AZ11" i="85"/>
  <c r="AZ37" i="85"/>
  <c r="AZ36" i="85" s="1"/>
  <c r="W53" i="85"/>
  <c r="X57" i="85"/>
  <c r="W55" i="85"/>
  <c r="G30" i="80"/>
  <c r="W29" i="80" s="1"/>
  <c r="I30" i="80"/>
  <c r="X29" i="80" s="1"/>
  <c r="K30" i="80"/>
  <c r="Y29" i="80" s="1"/>
  <c r="K32" i="80"/>
  <c r="Y31" i="80" s="1"/>
  <c r="I28" i="85"/>
  <c r="X27" i="85" s="1"/>
  <c r="G24" i="80"/>
  <c r="W23" i="80" s="1"/>
  <c r="G26" i="80"/>
  <c r="W25" i="80" s="1"/>
  <c r="G38" i="85"/>
  <c r="W37" i="85" s="1"/>
  <c r="I24" i="80"/>
  <c r="X23" i="80" s="1"/>
  <c r="G46" i="80"/>
  <c r="W45" i="80" s="1"/>
  <c r="I26" i="80"/>
  <c r="X25" i="80" s="1"/>
  <c r="G34" i="80"/>
  <c r="W33" i="80" s="1"/>
  <c r="AZ11" i="80"/>
  <c r="K46" i="85"/>
  <c r="Y45" i="85" s="1"/>
  <c r="AG56" i="80"/>
  <c r="K40" i="80"/>
  <c r="Y39" i="80" s="1"/>
  <c r="X33" i="80"/>
  <c r="Z19" i="80"/>
  <c r="I60" i="80"/>
  <c r="X59" i="80" s="1"/>
  <c r="M58" i="80"/>
  <c r="Z57" i="80" s="1"/>
  <c r="G48" i="80"/>
  <c r="W47" i="80" s="1"/>
  <c r="M62" i="80"/>
  <c r="Z61" i="80" s="1"/>
  <c r="M54" i="80"/>
  <c r="Z53" i="80" s="1"/>
  <c r="I42" i="80"/>
  <c r="X41" i="80" s="1"/>
  <c r="X27" i="80"/>
  <c r="Z65" i="80"/>
  <c r="M68" i="80"/>
  <c r="Z67" i="80" s="1"/>
  <c r="Z55" i="80"/>
  <c r="I32" i="80"/>
  <c r="X31" i="80" s="1"/>
  <c r="G36" i="80"/>
  <c r="W35" i="80" s="1"/>
  <c r="G38" i="80"/>
  <c r="W37" i="80" s="1"/>
  <c r="G32" i="80"/>
  <c r="W31" i="80" s="1"/>
  <c r="M48" i="80"/>
  <c r="Z47" i="80" s="1"/>
  <c r="K48" i="80"/>
  <c r="Y47" i="80" s="1"/>
  <c r="K44" i="80"/>
  <c r="Y43" i="80" s="1"/>
  <c r="I46" i="80"/>
  <c r="X45" i="80" s="1"/>
  <c r="Z41" i="80"/>
  <c r="Z45" i="80"/>
  <c r="M64" i="80"/>
  <c r="Z63" i="80" s="1"/>
  <c r="K46" i="80"/>
  <c r="Y45" i="80" s="1"/>
  <c r="K42" i="80"/>
  <c r="Y41" i="80" s="1"/>
  <c r="Z43" i="80"/>
  <c r="I56" i="80"/>
  <c r="X55" i="80" s="1"/>
  <c r="M60" i="80"/>
  <c r="Z59" i="80" s="1"/>
  <c r="Y35" i="80"/>
  <c r="I50" i="80"/>
  <c r="X49" i="80" s="1"/>
  <c r="Z17" i="80"/>
  <c r="W41" i="80"/>
  <c r="W27" i="80"/>
  <c r="I48" i="80"/>
  <c r="X47" i="80" s="1"/>
  <c r="K52" i="80"/>
  <c r="Y51" i="80" s="1"/>
  <c r="K62" i="80"/>
  <c r="Y61" i="80" s="1"/>
  <c r="I18" i="80"/>
  <c r="X17" i="80" s="1"/>
  <c r="K50" i="80"/>
  <c r="Y49" i="80" s="1"/>
  <c r="I68" i="80"/>
  <c r="X67" i="80" s="1"/>
  <c r="G54" i="80"/>
  <c r="W53" i="80" s="1"/>
  <c r="G50" i="80"/>
  <c r="W49" i="80" s="1"/>
  <c r="I64" i="80"/>
  <c r="X63" i="80" s="1"/>
  <c r="K66" i="80"/>
  <c r="Y65" i="80" s="1"/>
  <c r="G58" i="80"/>
  <c r="W57" i="80" s="1"/>
  <c r="K54" i="80"/>
  <c r="Y53" i="80" s="1"/>
  <c r="I54" i="80"/>
  <c r="X53" i="80" s="1"/>
  <c r="G66" i="80"/>
  <c r="W65" i="80" s="1"/>
  <c r="K58" i="80"/>
  <c r="Y57" i="80" s="1"/>
  <c r="I62" i="80"/>
  <c r="X61" i="80" s="1"/>
  <c r="I66" i="80"/>
  <c r="X65" i="80" s="1"/>
  <c r="G62" i="80"/>
  <c r="W61" i="80" s="1"/>
  <c r="I58" i="80"/>
  <c r="X57" i="80" s="1"/>
  <c r="I40" i="80"/>
  <c r="X39" i="80" s="1"/>
  <c r="I44" i="80"/>
  <c r="X43" i="80" s="1"/>
  <c r="G52" i="80"/>
  <c r="W51" i="80" s="1"/>
  <c r="I36" i="80"/>
  <c r="X35" i="80" s="1"/>
  <c r="I52" i="80"/>
  <c r="X51" i="80" s="1"/>
  <c r="G60" i="80"/>
  <c r="W59" i="80" s="1"/>
  <c r="G18" i="80"/>
  <c r="W17" i="80" s="1"/>
  <c r="K56" i="80"/>
  <c r="Y55" i="80" s="1"/>
  <c r="G56" i="80"/>
  <c r="W55" i="80" s="1"/>
  <c r="K60" i="80"/>
  <c r="Y59" i="80" s="1"/>
  <c r="G44" i="80"/>
  <c r="W43" i="80" s="1"/>
  <c r="K68" i="80"/>
  <c r="Y67" i="80" s="1"/>
  <c r="G68" i="80"/>
  <c r="W67" i="80" s="1"/>
  <c r="K64" i="80"/>
  <c r="Y63" i="80" s="1"/>
  <c r="G64" i="80"/>
  <c r="W63" i="80" s="1"/>
  <c r="I20" i="80"/>
  <c r="X19" i="80" s="1"/>
  <c r="K20" i="80"/>
  <c r="Y19" i="80" s="1"/>
  <c r="G68" i="85"/>
  <c r="W67" i="85" s="1"/>
  <c r="K18" i="80"/>
  <c r="Y17" i="80" s="1"/>
  <c r="I22" i="85"/>
  <c r="X21" i="85" s="1"/>
  <c r="K22" i="85"/>
  <c r="Y21" i="85" s="1"/>
  <c r="G22" i="85"/>
  <c r="W21" i="85" s="1"/>
  <c r="K20" i="85"/>
  <c r="Y19" i="85" s="1"/>
  <c r="K18" i="85"/>
  <c r="Y17" i="85" s="1"/>
  <c r="G22" i="80"/>
  <c r="W21" i="80" s="1"/>
  <c r="I22" i="80"/>
  <c r="X21" i="80" s="1"/>
  <c r="K22" i="80"/>
  <c r="Y21" i="80" s="1"/>
  <c r="M22" i="80"/>
  <c r="Z21" i="80" s="1"/>
  <c r="AM51" i="80" l="1"/>
  <c r="AM41" i="80" s="1"/>
  <c r="AM31" i="85"/>
  <c r="J13" i="85"/>
  <c r="I13" i="85"/>
  <c r="I13" i="80"/>
  <c r="J13" i="80"/>
  <c r="N15" i="80" l="1"/>
  <c r="N11" i="80"/>
  <c r="I14" i="85"/>
  <c r="H13" i="85"/>
  <c r="G13" i="85"/>
  <c r="H11" i="85"/>
  <c r="G11" i="85"/>
  <c r="J11" i="80"/>
  <c r="J11" i="85"/>
  <c r="I11" i="85"/>
  <c r="H13" i="80"/>
  <c r="G13" i="80"/>
  <c r="I14" i="80"/>
  <c r="X13" i="80" s="1"/>
  <c r="AO21" i="80" s="1"/>
  <c r="N13" i="80"/>
  <c r="K13" i="80"/>
  <c r="K11" i="80"/>
  <c r="I11" i="80"/>
  <c r="X13" i="85" l="1"/>
  <c r="AO21" i="85" s="1"/>
  <c r="AM21" i="85" s="1"/>
  <c r="AM21" i="80"/>
  <c r="M16" i="80"/>
  <c r="Z15" i="80" s="1"/>
  <c r="J15" i="85"/>
  <c r="I15" i="80"/>
  <c r="I15" i="85"/>
  <c r="J15" i="80"/>
  <c r="I12" i="80"/>
  <c r="X11" i="80" s="1"/>
  <c r="AH23" i="80" s="1"/>
  <c r="AF23" i="80" s="1"/>
  <c r="AY23" i="80" s="1"/>
  <c r="I12" i="85"/>
  <c r="X11" i="85" s="1"/>
  <c r="H15" i="80"/>
  <c r="G15" i="80"/>
  <c r="G14" i="85"/>
  <c r="G12" i="85"/>
  <c r="W11" i="85" s="1"/>
  <c r="H15" i="85"/>
  <c r="G15" i="85"/>
  <c r="L15" i="85"/>
  <c r="K15" i="85"/>
  <c r="L11" i="80"/>
  <c r="K12" i="80" s="1"/>
  <c r="K11" i="85"/>
  <c r="L13" i="80"/>
  <c r="K14" i="80" s="1"/>
  <c r="K13" i="85"/>
  <c r="L13" i="85"/>
  <c r="L15" i="80"/>
  <c r="K15" i="80"/>
  <c r="M14" i="80"/>
  <c r="Z13" i="80" s="1"/>
  <c r="AO31" i="80" s="1"/>
  <c r="AM31" i="80" s="1"/>
  <c r="G14" i="80"/>
  <c r="W13" i="80" s="1"/>
  <c r="AO16" i="80" s="1"/>
  <c r="W13" i="85" l="1"/>
  <c r="AO16" i="85" s="1"/>
  <c r="AM16" i="85" s="1"/>
  <c r="AO36" i="80"/>
  <c r="AM16" i="80"/>
  <c r="AH18" i="85"/>
  <c r="AF18" i="85" s="1"/>
  <c r="AH17" i="85"/>
  <c r="AH23" i="85"/>
  <c r="AF23" i="85" s="1"/>
  <c r="AY18" i="85" s="1"/>
  <c r="AH22" i="85"/>
  <c r="AF22" i="85" s="1"/>
  <c r="AY17" i="85" s="1"/>
  <c r="W11" i="80"/>
  <c r="AH18" i="80" s="1"/>
  <c r="AF18" i="80" s="1"/>
  <c r="AH22" i="80"/>
  <c r="AJ22" i="80"/>
  <c r="AJ17" i="80"/>
  <c r="I16" i="85"/>
  <c r="X15" i="85" s="1"/>
  <c r="Y11" i="80"/>
  <c r="AH28" i="80" s="1"/>
  <c r="AF28" i="80" s="1"/>
  <c r="AY28" i="80" s="1"/>
  <c r="M12" i="80"/>
  <c r="Z11" i="80" s="1"/>
  <c r="AH33" i="80" s="1"/>
  <c r="AF33" i="80" s="1"/>
  <c r="Y13" i="80"/>
  <c r="AO26" i="80" s="1"/>
  <c r="AM26" i="80" s="1"/>
  <c r="I16" i="80"/>
  <c r="X15" i="80" s="1"/>
  <c r="G16" i="80"/>
  <c r="W15" i="80" s="1"/>
  <c r="G16" i="85"/>
  <c r="W15" i="85" s="1"/>
  <c r="K12" i="85"/>
  <c r="Y11" i="85" s="1"/>
  <c r="K14" i="85"/>
  <c r="K16" i="85"/>
  <c r="Y15" i="85" s="1"/>
  <c r="K16" i="80"/>
  <c r="Y15" i="80" s="1"/>
  <c r="Y13" i="85" l="1"/>
  <c r="AO26" i="85" s="1"/>
  <c r="AY16" i="85"/>
  <c r="AO11" i="80"/>
  <c r="BD36" i="80" s="1"/>
  <c r="BB36" i="80" s="1"/>
  <c r="AH17" i="80"/>
  <c r="AF17" i="80" s="1"/>
  <c r="AF16" i="80" s="1"/>
  <c r="AM11" i="80"/>
  <c r="AM56" i="80" s="1"/>
  <c r="AM36" i="80"/>
  <c r="AH28" i="85"/>
  <c r="AF28" i="85" s="1"/>
  <c r="AH27" i="85"/>
  <c r="AF27" i="85" s="1"/>
  <c r="AF21" i="85"/>
  <c r="AF17" i="85"/>
  <c r="AF16" i="85" s="1"/>
  <c r="AH13" i="80"/>
  <c r="AH58" i="80" s="1"/>
  <c r="AF38" i="80"/>
  <c r="AY38" i="80" s="1"/>
  <c r="AF13" i="80"/>
  <c r="AF22" i="80"/>
  <c r="AF21" i="80" s="1"/>
  <c r="AH27" i="80"/>
  <c r="AJ27" i="80"/>
  <c r="AH32" i="80"/>
  <c r="AJ32" i="80"/>
  <c r="AM26" i="85" l="1"/>
  <c r="AM11" i="85" s="1"/>
  <c r="AM36" i="85" s="1"/>
  <c r="AO11" i="85"/>
  <c r="AO36" i="85" s="1"/>
  <c r="BD16" i="85" s="1"/>
  <c r="BB16" i="85" s="1"/>
  <c r="BD26" i="80"/>
  <c r="BB26" i="80" s="1"/>
  <c r="BD11" i="80"/>
  <c r="BB11" i="80" s="1"/>
  <c r="AO56" i="80"/>
  <c r="BD51" i="80"/>
  <c r="BB51" i="80" s="1"/>
  <c r="BB41" i="80" s="1"/>
  <c r="BD21" i="80"/>
  <c r="BB21" i="80" s="1"/>
  <c r="AF26" i="85"/>
  <c r="AH13" i="85"/>
  <c r="AH38" i="85" s="1"/>
  <c r="AH12" i="85"/>
  <c r="AH37" i="85" s="1"/>
  <c r="AF12" i="85"/>
  <c r="AF13" i="85"/>
  <c r="AF38" i="85" s="1"/>
  <c r="AY22" i="80"/>
  <c r="AY21" i="80" s="1"/>
  <c r="AY13" i="80"/>
  <c r="AF58" i="80"/>
  <c r="AJ12" i="80"/>
  <c r="AJ57" i="80" s="1"/>
  <c r="AF27" i="80"/>
  <c r="AF26" i="80" s="1"/>
  <c r="AF32" i="80"/>
  <c r="AF31" i="80" s="1"/>
  <c r="AH12" i="80"/>
  <c r="AH57" i="80" s="1"/>
  <c r="BD31" i="85" l="1"/>
  <c r="BB31" i="85" s="1"/>
  <c r="BD11" i="85"/>
  <c r="BB11" i="85" s="1"/>
  <c r="AF37" i="85"/>
  <c r="AF36" i="85" s="1"/>
  <c r="AY12" i="85"/>
  <c r="AY37" i="85" s="1"/>
  <c r="AY13" i="85"/>
  <c r="AY38" i="85" s="1"/>
  <c r="AF11" i="85"/>
  <c r="AY27" i="80"/>
  <c r="AY26" i="80" s="1"/>
  <c r="AF12" i="80"/>
  <c r="AF37" i="80"/>
  <c r="BB36" i="85" l="1"/>
  <c r="BD36" i="85"/>
  <c r="AY36" i="85"/>
  <c r="AY11" i="85"/>
  <c r="AY37" i="80"/>
  <c r="AY36" i="80" s="1"/>
  <c r="AF36" i="80"/>
  <c r="AF57" i="80"/>
  <c r="AF56" i="80" s="1"/>
  <c r="AF11" i="80"/>
  <c r="AY12" i="80"/>
  <c r="AY11" i="8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9" authorId="0" shapeId="0" xr:uid="{BEABF8A7-2F67-445A-9334-FCBBD166CEAC}">
      <text>
        <r>
          <rPr>
            <sz val="9"/>
            <color indexed="81"/>
            <rFont val="ＭＳ 明朝"/>
            <family val="1"/>
            <charset val="128"/>
          </rPr>
          <t>「&lt;=12」は年計
「1」～「12」は各月の計</t>
        </r>
      </text>
    </comment>
  </commentList>
</comments>
</file>

<file path=xl/sharedStrings.xml><?xml version="1.0" encoding="utf-8"?>
<sst xmlns="http://schemas.openxmlformats.org/spreadsheetml/2006/main" count="623" uniqueCount="155">
  <si>
    <t>時間</t>
    <rPh sb="0" eb="2">
      <t>ジカン</t>
    </rPh>
    <phoneticPr fontId="2"/>
  </si>
  <si>
    <t>月</t>
    <rPh sb="0" eb="1">
      <t>ツキ</t>
    </rPh>
    <phoneticPr fontId="6"/>
  </si>
  <si>
    <t>性別</t>
    <rPh sb="0" eb="2">
      <t>セイベツ</t>
    </rPh>
    <phoneticPr fontId="2"/>
  </si>
  <si>
    <t>年齢</t>
    <rPh sb="0" eb="2">
      <t>ネンレイ</t>
    </rPh>
    <phoneticPr fontId="2"/>
  </si>
  <si>
    <t>雇用形態</t>
    <rPh sb="0" eb="2">
      <t>コヨウ</t>
    </rPh>
    <rPh sb="2" eb="4">
      <t>ケイタイ</t>
    </rPh>
    <phoneticPr fontId="2"/>
  </si>
  <si>
    <t>敷料搬入・きゅう肥搬出</t>
    <rPh sb="0" eb="2">
      <t>シキリョウ</t>
    </rPh>
    <rPh sb="2" eb="4">
      <t>ハンニュウ</t>
    </rPh>
    <rPh sb="8" eb="9">
      <t>ヒ</t>
    </rPh>
    <rPh sb="9" eb="11">
      <t>ハンシュツ</t>
    </rPh>
    <phoneticPr fontId="3"/>
  </si>
  <si>
    <t>氏　名</t>
    <rPh sb="0" eb="1">
      <t>シ</t>
    </rPh>
    <rPh sb="2" eb="3">
      <t>メイ</t>
    </rPh>
    <phoneticPr fontId="6"/>
  </si>
  <si>
    <t>性別</t>
    <rPh sb="0" eb="2">
      <t>セイベツ</t>
    </rPh>
    <phoneticPr fontId="6"/>
  </si>
  <si>
    <t>年齢</t>
    <rPh sb="0" eb="2">
      <t>ネンレイ</t>
    </rPh>
    <phoneticPr fontId="6"/>
  </si>
  <si>
    <t>家族
・
雇用</t>
    <rPh sb="0" eb="2">
      <t>カゾク</t>
    </rPh>
    <rPh sb="5" eb="7">
      <t>コヨウ</t>
    </rPh>
    <phoneticPr fontId="6"/>
  </si>
  <si>
    <t>飼料の調理・
給与・給水</t>
    <rPh sb="0" eb="2">
      <t>シリョウ</t>
    </rPh>
    <rPh sb="3" eb="5">
      <t>チョウリ</t>
    </rPh>
    <rPh sb="7" eb="9">
      <t>キュウヨ</t>
    </rPh>
    <rPh sb="10" eb="12">
      <t>キュウスイ</t>
    </rPh>
    <phoneticPr fontId="6"/>
  </si>
  <si>
    <t>敷料搬入・きゅう肥搬出</t>
    <rPh sb="0" eb="2">
      <t>シキリョウ</t>
    </rPh>
    <rPh sb="2" eb="4">
      <t>ハンニュウ</t>
    </rPh>
    <rPh sb="8" eb="9">
      <t>ヒ</t>
    </rPh>
    <rPh sb="9" eb="11">
      <t>ハンシュツ</t>
    </rPh>
    <phoneticPr fontId="6"/>
  </si>
  <si>
    <t>搾乳・牛乳
処理・運搬</t>
    <rPh sb="0" eb="2">
      <t>サクニュウ</t>
    </rPh>
    <rPh sb="3" eb="5">
      <t>ギュウニュウ</t>
    </rPh>
    <rPh sb="6" eb="8">
      <t>ショリ</t>
    </rPh>
    <rPh sb="9" eb="11">
      <t>ウンパン</t>
    </rPh>
    <phoneticPr fontId="6"/>
  </si>
  <si>
    <t>その他の
飼育作業</t>
    <rPh sb="2" eb="3">
      <t>タ</t>
    </rPh>
    <rPh sb="5" eb="7">
      <t>シイク</t>
    </rPh>
    <rPh sb="7" eb="9">
      <t>サギョウ</t>
    </rPh>
    <phoneticPr fontId="6"/>
  </si>
  <si>
    <t>65歳未満</t>
    <rPh sb="2" eb="3">
      <t>サイ</t>
    </rPh>
    <rPh sb="3" eb="5">
      <t>ミマン</t>
    </rPh>
    <phoneticPr fontId="6"/>
  </si>
  <si>
    <t>75歳以上</t>
    <rPh sb="2" eb="3">
      <t>サイ</t>
    </rPh>
    <rPh sb="3" eb="5">
      <t>イジョウ</t>
    </rPh>
    <phoneticPr fontId="6"/>
  </si>
  <si>
    <t>集計月</t>
    <rPh sb="0" eb="2">
      <t>シュウケイ</t>
    </rPh>
    <rPh sb="2" eb="3">
      <t>ツキ</t>
    </rPh>
    <phoneticPr fontId="2"/>
  </si>
  <si>
    <t>作業者</t>
    <rPh sb="0" eb="3">
      <t>サギョウシャ</t>
    </rPh>
    <phoneticPr fontId="6"/>
  </si>
  <si>
    <t>労働時間</t>
    <rPh sb="0" eb="2">
      <t>ロウドウ</t>
    </rPh>
    <rPh sb="2" eb="4">
      <t>ジカン</t>
    </rPh>
    <phoneticPr fontId="2"/>
  </si>
  <si>
    <t>定型</t>
    <rPh sb="0" eb="2">
      <t>テイケイ</t>
    </rPh>
    <phoneticPr fontId="2"/>
  </si>
  <si>
    <t>定型以外</t>
    <rPh sb="0" eb="2">
      <t>テイケイ</t>
    </rPh>
    <rPh sb="2" eb="4">
      <t>イガイ</t>
    </rPh>
    <phoneticPr fontId="2"/>
  </si>
  <si>
    <t>&lt;入力&gt;</t>
    <rPh sb="1" eb="3">
      <t>ニュウリョク</t>
    </rPh>
    <phoneticPr fontId="2"/>
  </si>
  <si>
    <t>&lt;選択&gt;</t>
    <rPh sb="1" eb="3">
      <t>センタク</t>
    </rPh>
    <phoneticPr fontId="2"/>
  </si>
  <si>
    <t>&lt;=12</t>
  </si>
  <si>
    <t/>
  </si>
  <si>
    <t>設定</t>
    <rPh sb="0" eb="2">
      <t>セッテイ</t>
    </rPh>
    <phoneticPr fontId="2"/>
  </si>
  <si>
    <r>
      <t xml:space="preserve">作業
</t>
    </r>
    <r>
      <rPr>
        <sz val="6"/>
        <rFont val="ＭＳ Ｐゴシック"/>
        <family val="3"/>
        <charset val="128"/>
        <scheme val="minor"/>
      </rPr>
      <t>&lt;入力&gt;</t>
    </r>
    <rPh sb="0" eb="2">
      <t>サギョウ</t>
    </rPh>
    <rPh sb="4" eb="6">
      <t>ニュウリョク</t>
    </rPh>
    <phoneticPr fontId="6"/>
  </si>
  <si>
    <r>
      <t xml:space="preserve">→集計分類
</t>
    </r>
    <r>
      <rPr>
        <sz val="6"/>
        <rFont val="ＭＳ Ｐゴシック"/>
        <family val="3"/>
        <charset val="128"/>
        <scheme val="minor"/>
      </rPr>
      <t>&lt;選択&gt;</t>
    </r>
    <rPh sb="1" eb="3">
      <t>シュウケイ</t>
    </rPh>
    <rPh sb="3" eb="5">
      <t>ブンルイ</t>
    </rPh>
    <rPh sb="7" eb="9">
      <t>センタク</t>
    </rPh>
    <phoneticPr fontId="6"/>
  </si>
  <si>
    <r>
      <t xml:space="preserve">性別
</t>
    </r>
    <r>
      <rPr>
        <sz val="6"/>
        <color theme="1"/>
        <rFont val="ＭＳ Ｐゴシック"/>
        <family val="3"/>
        <charset val="128"/>
        <scheme val="minor"/>
      </rPr>
      <t>&lt;自動&gt;</t>
    </r>
    <rPh sb="0" eb="2">
      <t>セイベツ</t>
    </rPh>
    <rPh sb="4" eb="6">
      <t>ジドウ</t>
    </rPh>
    <phoneticPr fontId="2"/>
  </si>
  <si>
    <r>
      <t xml:space="preserve">年齢
</t>
    </r>
    <r>
      <rPr>
        <sz val="6"/>
        <color theme="1"/>
        <rFont val="ＭＳ Ｐゴシック"/>
        <family val="3"/>
        <charset val="128"/>
        <scheme val="minor"/>
      </rPr>
      <t>&lt;自動&gt;</t>
    </r>
    <rPh sb="0" eb="2">
      <t>ネンレイ</t>
    </rPh>
    <rPh sb="4" eb="6">
      <t>ジドウ</t>
    </rPh>
    <phoneticPr fontId="2"/>
  </si>
  <si>
    <r>
      <t xml:space="preserve">集計 </t>
    </r>
    <r>
      <rPr>
        <sz val="6"/>
        <rFont val="ＭＳ Ｐゴシック"/>
        <family val="3"/>
        <charset val="128"/>
      </rPr>
      <t>&lt;自動&gt;</t>
    </r>
    <rPh sb="0" eb="2">
      <t>シュウケイ</t>
    </rPh>
    <rPh sb="4" eb="6">
      <t>ジドウ</t>
    </rPh>
    <phoneticPr fontId="2"/>
  </si>
  <si>
    <t>労働時間</t>
    <rPh sb="0" eb="2">
      <t>ロウドウ</t>
    </rPh>
    <rPh sb="2" eb="4">
      <t>ジカン</t>
    </rPh>
    <phoneticPr fontId="6"/>
  </si>
  <si>
    <t>1：家族
2：雇用
3：ゆい・手間替え受け
4：手伝い・共同作業受け
5：同居人</t>
    <rPh sb="2" eb="4">
      <t>カゾク</t>
    </rPh>
    <rPh sb="15" eb="17">
      <t>テマ</t>
    </rPh>
    <rPh sb="17" eb="18">
      <t>ガ</t>
    </rPh>
    <rPh sb="19" eb="20">
      <t>ウ</t>
    </rPh>
    <rPh sb="24" eb="26">
      <t>テツダ</t>
    </rPh>
    <rPh sb="28" eb="30">
      <t>キョウドウ</t>
    </rPh>
    <rPh sb="30" eb="32">
      <t>サギョウ</t>
    </rPh>
    <rPh sb="32" eb="33">
      <t>ウ</t>
    </rPh>
    <rPh sb="37" eb="40">
      <t>ドウキョニン</t>
    </rPh>
    <phoneticPr fontId="6"/>
  </si>
  <si>
    <t>自給飼料の生産</t>
    <rPh sb="0" eb="2">
      <t>ジキュウ</t>
    </rPh>
    <rPh sb="2" eb="4">
      <t>シリョウ</t>
    </rPh>
    <rPh sb="5" eb="7">
      <t>セイサン</t>
    </rPh>
    <phoneticPr fontId="27"/>
  </si>
  <si>
    <t>購入付帯労働時間</t>
    <rPh sb="0" eb="2">
      <t>コウニュウ</t>
    </rPh>
    <rPh sb="2" eb="4">
      <t>フタイ</t>
    </rPh>
    <rPh sb="4" eb="6">
      <t>ロウドウ</t>
    </rPh>
    <rPh sb="6" eb="8">
      <t>ジカン</t>
    </rPh>
    <phoneticPr fontId="27"/>
  </si>
  <si>
    <t>建物・農機具等の修繕</t>
    <rPh sb="0" eb="2">
      <t>タテモノ</t>
    </rPh>
    <rPh sb="3" eb="6">
      <t>ノウキグ</t>
    </rPh>
    <rPh sb="6" eb="7">
      <t>トウ</t>
    </rPh>
    <rPh sb="8" eb="10">
      <t>シュウゼン</t>
    </rPh>
    <phoneticPr fontId="27"/>
  </si>
  <si>
    <t>集会出席時間</t>
    <rPh sb="0" eb="2">
      <t>シュウカイ</t>
    </rPh>
    <rPh sb="2" eb="4">
      <t>シュッセキ</t>
    </rPh>
    <rPh sb="4" eb="6">
      <t>ジカン</t>
    </rPh>
    <phoneticPr fontId="27"/>
  </si>
  <si>
    <t>技術取得時間</t>
    <rPh sb="0" eb="2">
      <t>ギジュツ</t>
    </rPh>
    <rPh sb="2" eb="4">
      <t>シュトク</t>
    </rPh>
    <rPh sb="4" eb="6">
      <t>ジカン</t>
    </rPh>
    <phoneticPr fontId="27"/>
  </si>
  <si>
    <t>簿記記帳時間</t>
    <rPh sb="0" eb="2">
      <t>ボキ</t>
    </rPh>
    <rPh sb="2" eb="4">
      <t>キチョウ</t>
    </rPh>
    <rPh sb="4" eb="6">
      <t>ジカン</t>
    </rPh>
    <phoneticPr fontId="27"/>
  </si>
  <si>
    <t>経営管理労働時間</t>
    <rPh sb="0" eb="2">
      <t>ケイエイ</t>
    </rPh>
    <rPh sb="2" eb="4">
      <t>カンリ</t>
    </rPh>
    <rPh sb="4" eb="6">
      <t>ロウドウ</t>
    </rPh>
    <rPh sb="6" eb="8">
      <t>ジカン</t>
    </rPh>
    <phoneticPr fontId="27"/>
  </si>
  <si>
    <t>作　業　種　類</t>
    <rPh sb="0" eb="1">
      <t>サク</t>
    </rPh>
    <rPh sb="2" eb="3">
      <t>ギョウ</t>
    </rPh>
    <rPh sb="4" eb="5">
      <t>シュ</t>
    </rPh>
    <rPh sb="6" eb="7">
      <t>タグイ</t>
    </rPh>
    <phoneticPr fontId="6"/>
  </si>
  <si>
    <t>内　容　例　示</t>
    <rPh sb="0" eb="1">
      <t>ウチ</t>
    </rPh>
    <rPh sb="2" eb="3">
      <t>カタチ</t>
    </rPh>
    <rPh sb="4" eb="5">
      <t>レイ</t>
    </rPh>
    <rPh sb="6" eb="7">
      <t>シメス</t>
    </rPh>
    <phoneticPr fontId="6"/>
  </si>
  <si>
    <t>構成員の年齢別労働時間</t>
    <rPh sb="0" eb="3">
      <t>コウセイイン</t>
    </rPh>
    <rPh sb="4" eb="6">
      <t>ネンレイ</t>
    </rPh>
    <rPh sb="6" eb="7">
      <t>ベツ</t>
    </rPh>
    <rPh sb="7" eb="9">
      <t>ロウドウ</t>
    </rPh>
    <rPh sb="9" eb="11">
      <t>ジカン</t>
    </rPh>
    <phoneticPr fontId="6"/>
  </si>
  <si>
    <t>65～69歳</t>
    <rPh sb="5" eb="6">
      <t>サイ</t>
    </rPh>
    <phoneticPr fontId="6"/>
  </si>
  <si>
    <t>70～74歳</t>
    <rPh sb="5" eb="6">
      <t>サイ</t>
    </rPh>
    <phoneticPr fontId="6"/>
  </si>
  <si>
    <t>飼料の調理・給与・給水</t>
  </si>
  <si>
    <t>飼料材料の裁断・粉砕・挽割煮炊き、麦・豆類の水浸および芽出し、飼料の混配合などの調理・給与・給水</t>
    <rPh sb="0" eb="2">
      <t>シリョウ</t>
    </rPh>
    <rPh sb="2" eb="4">
      <t>ザイリョウ</t>
    </rPh>
    <rPh sb="5" eb="7">
      <t>サイダン</t>
    </rPh>
    <rPh sb="8" eb="10">
      <t>フンサイ</t>
    </rPh>
    <rPh sb="11" eb="12">
      <t>ヒ</t>
    </rPh>
    <rPh sb="12" eb="13">
      <t>ワ</t>
    </rPh>
    <rPh sb="13" eb="15">
      <t>ニタ</t>
    </rPh>
    <rPh sb="17" eb="18">
      <t>ムギ</t>
    </rPh>
    <rPh sb="19" eb="21">
      <t>マメルイ</t>
    </rPh>
    <rPh sb="22" eb="23">
      <t>ミズ</t>
    </rPh>
    <rPh sb="23" eb="24">
      <t>ヒタ</t>
    </rPh>
    <rPh sb="27" eb="28">
      <t>メ</t>
    </rPh>
    <rPh sb="28" eb="29">
      <t>ダ</t>
    </rPh>
    <rPh sb="31" eb="33">
      <t>シリョウ</t>
    </rPh>
    <rPh sb="34" eb="35">
      <t>コン</t>
    </rPh>
    <rPh sb="35" eb="37">
      <t>ハイゴウ</t>
    </rPh>
    <rPh sb="40" eb="42">
      <t>チョウリ</t>
    </rPh>
    <rPh sb="43" eb="45">
      <t>キュウヨ</t>
    </rPh>
    <rPh sb="46" eb="48">
      <t>キュウスイ</t>
    </rPh>
    <phoneticPr fontId="6"/>
  </si>
  <si>
    <t>敷料搬入・きゅう肥搬出</t>
    <phoneticPr fontId="6"/>
  </si>
  <si>
    <t>稲わら・敷草等敷料の畜舎への投入、ふんかき、きゅう肥（尿を含む。）の最寄り場所（たい肥舎等）までの運搬作業</t>
    <rPh sb="0" eb="1">
      <t>イナ</t>
    </rPh>
    <rPh sb="4" eb="5">
      <t>シキ</t>
    </rPh>
    <rPh sb="5" eb="6">
      <t>クサ</t>
    </rPh>
    <rPh sb="6" eb="7">
      <t>トウ</t>
    </rPh>
    <rPh sb="7" eb="9">
      <t>シキリョウ</t>
    </rPh>
    <rPh sb="10" eb="12">
      <t>チクシャ</t>
    </rPh>
    <rPh sb="14" eb="16">
      <t>トウニュウ</t>
    </rPh>
    <rPh sb="25" eb="26">
      <t>ヒ</t>
    </rPh>
    <rPh sb="27" eb="28">
      <t>ニョウ</t>
    </rPh>
    <rPh sb="29" eb="30">
      <t>フク</t>
    </rPh>
    <rPh sb="34" eb="36">
      <t>モヨ</t>
    </rPh>
    <rPh sb="37" eb="39">
      <t>バショ</t>
    </rPh>
    <rPh sb="42" eb="43">
      <t>ヒ</t>
    </rPh>
    <rPh sb="43" eb="44">
      <t>シャ</t>
    </rPh>
    <rPh sb="44" eb="45">
      <t>トウ</t>
    </rPh>
    <rPh sb="49" eb="51">
      <t>ウンパン</t>
    </rPh>
    <rPh sb="51" eb="53">
      <t>サギョウ</t>
    </rPh>
    <phoneticPr fontId="6"/>
  </si>
  <si>
    <t>搾乳・牛乳処理・運搬</t>
    <phoneticPr fontId="6"/>
  </si>
  <si>
    <t>乳房の清拭・搾乳準備・搾乳・搾乳後の濾過・冷却などの作業、搾乳関係器具の消毒・殺菌などの作業、販売のため最寄りの集乳所までの運搬作業</t>
    <rPh sb="0" eb="2">
      <t>チブサ</t>
    </rPh>
    <rPh sb="3" eb="5">
      <t>セイシキ</t>
    </rPh>
    <rPh sb="6" eb="8">
      <t>サクニュウ</t>
    </rPh>
    <rPh sb="8" eb="10">
      <t>ジュンビ</t>
    </rPh>
    <rPh sb="11" eb="13">
      <t>サクニュウ</t>
    </rPh>
    <rPh sb="14" eb="16">
      <t>サクニュウ</t>
    </rPh>
    <rPh sb="16" eb="17">
      <t>ゴ</t>
    </rPh>
    <rPh sb="18" eb="20">
      <t>ロカ</t>
    </rPh>
    <rPh sb="21" eb="23">
      <t>レイキャク</t>
    </rPh>
    <rPh sb="26" eb="28">
      <t>サギョウ</t>
    </rPh>
    <rPh sb="29" eb="31">
      <t>サクニュウ</t>
    </rPh>
    <rPh sb="31" eb="33">
      <t>カンケイ</t>
    </rPh>
    <rPh sb="33" eb="35">
      <t>キグ</t>
    </rPh>
    <rPh sb="36" eb="38">
      <t>ショウドク</t>
    </rPh>
    <rPh sb="39" eb="41">
      <t>サッキン</t>
    </rPh>
    <rPh sb="44" eb="46">
      <t>サギョウ</t>
    </rPh>
    <rPh sb="47" eb="49">
      <t>ハンバイ</t>
    </rPh>
    <rPh sb="52" eb="54">
      <t>モヨ</t>
    </rPh>
    <rPh sb="56" eb="57">
      <t>シュウ</t>
    </rPh>
    <rPh sb="57" eb="58">
      <t>ニュウ</t>
    </rPh>
    <rPh sb="58" eb="59">
      <t>ジョ</t>
    </rPh>
    <rPh sb="62" eb="64">
      <t>ウンパン</t>
    </rPh>
    <rPh sb="64" eb="66">
      <t>サギョウ</t>
    </rPh>
    <phoneticPr fontId="6"/>
  </si>
  <si>
    <t>その他の飼育作業</t>
    <phoneticPr fontId="6"/>
  </si>
  <si>
    <t>手入・運動・放牧作業、きゅう肥の処理（切り返し、加工）作業、衛生管理（殺虫剤の散布等）</t>
    <rPh sb="0" eb="2">
      <t>テイ</t>
    </rPh>
    <rPh sb="3" eb="5">
      <t>ウンドウ</t>
    </rPh>
    <rPh sb="6" eb="8">
      <t>ホウボク</t>
    </rPh>
    <rPh sb="8" eb="10">
      <t>サギョウ</t>
    </rPh>
    <rPh sb="14" eb="15">
      <t>ヒ</t>
    </rPh>
    <rPh sb="16" eb="18">
      <t>ショリ</t>
    </rPh>
    <rPh sb="19" eb="20">
      <t>キ</t>
    </rPh>
    <rPh sb="21" eb="22">
      <t>カエ</t>
    </rPh>
    <rPh sb="24" eb="26">
      <t>カコウ</t>
    </rPh>
    <rPh sb="27" eb="29">
      <t>サギョウ</t>
    </rPh>
    <rPh sb="30" eb="32">
      <t>エイセイ</t>
    </rPh>
    <rPh sb="32" eb="34">
      <t>カンリ</t>
    </rPh>
    <rPh sb="35" eb="37">
      <t>サッチュウ</t>
    </rPh>
    <rPh sb="37" eb="38">
      <t>ザイ</t>
    </rPh>
    <rPh sb="39" eb="41">
      <t>サンプ</t>
    </rPh>
    <rPh sb="41" eb="42">
      <t>トウ</t>
    </rPh>
    <phoneticPr fontId="6"/>
  </si>
  <si>
    <t>生産管理</t>
    <phoneticPr fontId="6"/>
  </si>
  <si>
    <t>集会出席、技術習得、簿記記帳（税務申告は含まない。）等</t>
    <rPh sb="0" eb="2">
      <t>シュウカイ</t>
    </rPh>
    <rPh sb="2" eb="4">
      <t>シュッセキ</t>
    </rPh>
    <rPh sb="5" eb="7">
      <t>ギジュツ</t>
    </rPh>
    <rPh sb="7" eb="9">
      <t>シュウトク</t>
    </rPh>
    <rPh sb="10" eb="12">
      <t>ボキ</t>
    </rPh>
    <rPh sb="12" eb="14">
      <t>キチョウ</t>
    </rPh>
    <rPh sb="15" eb="17">
      <t>ゼイム</t>
    </rPh>
    <rPh sb="17" eb="19">
      <t>シンコク</t>
    </rPh>
    <rPh sb="20" eb="21">
      <t>フク</t>
    </rPh>
    <rPh sb="26" eb="27">
      <t>トウ</t>
    </rPh>
    <phoneticPr fontId="6"/>
  </si>
  <si>
    <t>内給飼料（牧草等）の生産</t>
  </si>
  <si>
    <t>整地、耕起、施肥、種まき、肥培管理、収穫、乾燥、貯蔵等</t>
    <rPh sb="0" eb="2">
      <t>セイチ</t>
    </rPh>
    <rPh sb="3" eb="5">
      <t>コウキ</t>
    </rPh>
    <rPh sb="6" eb="8">
      <t>セヒ</t>
    </rPh>
    <rPh sb="9" eb="10">
      <t>タネ</t>
    </rPh>
    <rPh sb="13" eb="15">
      <t>ヒバイ</t>
    </rPh>
    <rPh sb="15" eb="17">
      <t>カンリ</t>
    </rPh>
    <rPh sb="18" eb="20">
      <t>シュウカク</t>
    </rPh>
    <rPh sb="21" eb="23">
      <t>カンソウ</t>
    </rPh>
    <rPh sb="24" eb="26">
      <t>チョゾウ</t>
    </rPh>
    <rPh sb="26" eb="27">
      <t>トウ</t>
    </rPh>
    <phoneticPr fontId="6"/>
  </si>
  <si>
    <t>上記以外の労働</t>
  </si>
  <si>
    <t>建物、自動車、農機具等の修繕や、購入資材の調達等</t>
    <rPh sb="0" eb="2">
      <t>タテモノ</t>
    </rPh>
    <rPh sb="3" eb="6">
      <t>ジドウシャ</t>
    </rPh>
    <rPh sb="7" eb="10">
      <t>ノウキグ</t>
    </rPh>
    <rPh sb="10" eb="11">
      <t>トウ</t>
    </rPh>
    <rPh sb="12" eb="14">
      <t>シュウゼン</t>
    </rPh>
    <rPh sb="16" eb="18">
      <t>コウニュウ</t>
    </rPh>
    <rPh sb="18" eb="20">
      <t>シザイ</t>
    </rPh>
    <rPh sb="21" eb="23">
      <t>チョウタツ</t>
    </rPh>
    <rPh sb="23" eb="24">
      <t>トウ</t>
    </rPh>
    <phoneticPr fontId="6"/>
  </si>
  <si>
    <t>飼料の調理・給与・給水</t>
    <phoneticPr fontId="6"/>
  </si>
  <si>
    <t>内給飼料（牧草等）の生産</t>
    <rPh sb="0" eb="1">
      <t>ナイ</t>
    </rPh>
    <rPh sb="1" eb="2">
      <t>キュウ</t>
    </rPh>
    <rPh sb="2" eb="4">
      <t>シリョウ</t>
    </rPh>
    <rPh sb="5" eb="7">
      <t>ボクソウ</t>
    </rPh>
    <rPh sb="7" eb="8">
      <t>トウ</t>
    </rPh>
    <rPh sb="10" eb="12">
      <t>セイサン</t>
    </rPh>
    <phoneticPr fontId="6"/>
  </si>
  <si>
    <t>上記以外の労働</t>
    <phoneticPr fontId="6"/>
  </si>
  <si>
    <t>&lt;選択&gt;</t>
  </si>
  <si>
    <t>経営種類</t>
    <rPh sb="0" eb="2">
      <t>ケイエイ</t>
    </rPh>
    <rPh sb="2" eb="4">
      <t>シュルイ</t>
    </rPh>
    <phoneticPr fontId="2"/>
  </si>
  <si>
    <t>生産費区分</t>
    <rPh sb="0" eb="3">
      <t>セイサンヒ</t>
    </rPh>
    <rPh sb="3" eb="5">
      <t>クブン</t>
    </rPh>
    <phoneticPr fontId="2"/>
  </si>
  <si>
    <t>個別経営体</t>
    <rPh sb="0" eb="2">
      <t>コベツ</t>
    </rPh>
    <rPh sb="2" eb="4">
      <t>ケイエイ</t>
    </rPh>
    <rPh sb="4" eb="5">
      <t>タイ</t>
    </rPh>
    <phoneticPr fontId="2"/>
  </si>
  <si>
    <t>組織法人経営体</t>
    <rPh sb="0" eb="2">
      <t>ソシキ</t>
    </rPh>
    <rPh sb="2" eb="4">
      <t>ホウジン</t>
    </rPh>
    <rPh sb="4" eb="6">
      <t>ケイエイ</t>
    </rPh>
    <phoneticPr fontId="2"/>
  </si>
  <si>
    <t>生産費区分</t>
    <rPh sb="0" eb="3">
      <t>セイサンヒ</t>
    </rPh>
    <rPh sb="3" eb="5">
      <t>クブン</t>
    </rPh>
    <phoneticPr fontId="37"/>
  </si>
  <si>
    <t>牛乳</t>
    <rPh sb="0" eb="2">
      <t>ギュウニュウ</t>
    </rPh>
    <phoneticPr fontId="2"/>
  </si>
  <si>
    <t>子牛</t>
    <rPh sb="0" eb="2">
      <t>コウシ</t>
    </rPh>
    <phoneticPr fontId="2"/>
  </si>
  <si>
    <t>乳用雄育成牛</t>
    <rPh sb="0" eb="2">
      <t>ニュウヨウ</t>
    </rPh>
    <rPh sb="2" eb="3">
      <t>オス</t>
    </rPh>
    <rPh sb="3" eb="5">
      <t>イクセイ</t>
    </rPh>
    <rPh sb="5" eb="6">
      <t>ウシ</t>
    </rPh>
    <phoneticPr fontId="2"/>
  </si>
  <si>
    <t>交雑種育成牛</t>
    <rPh sb="0" eb="3">
      <t>コウザツシュ</t>
    </rPh>
    <rPh sb="3" eb="5">
      <t>イクセイ</t>
    </rPh>
    <rPh sb="5" eb="6">
      <t>ウシ</t>
    </rPh>
    <phoneticPr fontId="2"/>
  </si>
  <si>
    <t>去勢若齢肥育牛</t>
    <rPh sb="0" eb="2">
      <t>キョセイ</t>
    </rPh>
    <rPh sb="2" eb="4">
      <t>ジャクレイ</t>
    </rPh>
    <rPh sb="4" eb="6">
      <t>ヒイク</t>
    </rPh>
    <rPh sb="6" eb="7">
      <t>ウシ</t>
    </rPh>
    <phoneticPr fontId="2"/>
  </si>
  <si>
    <t>乳用雄肥育牛</t>
    <rPh sb="0" eb="2">
      <t>ニュウヨウ</t>
    </rPh>
    <rPh sb="2" eb="3">
      <t>オス</t>
    </rPh>
    <rPh sb="3" eb="5">
      <t>ヒイク</t>
    </rPh>
    <rPh sb="5" eb="6">
      <t>ウシ</t>
    </rPh>
    <phoneticPr fontId="2"/>
  </si>
  <si>
    <t>交雑種肥育牛</t>
    <rPh sb="0" eb="3">
      <t>コウザツシュ</t>
    </rPh>
    <rPh sb="3" eb="5">
      <t>ヒイク</t>
    </rPh>
    <rPh sb="5" eb="6">
      <t>ウシ</t>
    </rPh>
    <phoneticPr fontId="2"/>
  </si>
  <si>
    <t>肥育豚</t>
    <rPh sb="0" eb="2">
      <t>ヒイク</t>
    </rPh>
    <rPh sb="2" eb="3">
      <t>ブタ</t>
    </rPh>
    <phoneticPr fontId="2"/>
  </si>
  <si>
    <t>性別</t>
    <rPh sb="0" eb="2">
      <t>セイベツ</t>
    </rPh>
    <phoneticPr fontId="37"/>
  </si>
  <si>
    <t>1：男</t>
    <rPh sb="2" eb="3">
      <t>オトコ</t>
    </rPh>
    <phoneticPr fontId="37"/>
  </si>
  <si>
    <t>2：女</t>
    <rPh sb="2" eb="3">
      <t>オンナ</t>
    </rPh>
    <phoneticPr fontId="37"/>
  </si>
  <si>
    <t>雇用形態（個別）</t>
    <rPh sb="0" eb="2">
      <t>コヨウ</t>
    </rPh>
    <rPh sb="2" eb="4">
      <t>ケイタイ</t>
    </rPh>
    <rPh sb="5" eb="7">
      <t>コベツ</t>
    </rPh>
    <phoneticPr fontId="2"/>
  </si>
  <si>
    <t>雇用形態（組織）</t>
    <rPh sb="0" eb="2">
      <t>コヨウ</t>
    </rPh>
    <rPh sb="2" eb="4">
      <t>ケイタイ</t>
    </rPh>
    <rPh sb="5" eb="7">
      <t>ソシキ</t>
    </rPh>
    <phoneticPr fontId="37"/>
  </si>
  <si>
    <t>1：家族</t>
  </si>
  <si>
    <t>2：雇用</t>
  </si>
  <si>
    <t>3：ゆい・手間替え受け</t>
  </si>
  <si>
    <t>4：手伝い・共同作業受け</t>
  </si>
  <si>
    <t>1：構成員</t>
    <rPh sb="2" eb="5">
      <t>コウセイイン</t>
    </rPh>
    <phoneticPr fontId="2"/>
  </si>
  <si>
    <t>作業_牛乳以外</t>
    <rPh sb="0" eb="2">
      <t>サギョウ</t>
    </rPh>
    <rPh sb="3" eb="5">
      <t>ギュウニュウ</t>
    </rPh>
    <rPh sb="5" eb="7">
      <t>イガイ</t>
    </rPh>
    <phoneticPr fontId="37"/>
  </si>
  <si>
    <t>購入付帯労働時間</t>
    <rPh sb="0" eb="2">
      <t>コウニュウ</t>
    </rPh>
    <rPh sb="2" eb="4">
      <t>フタイ</t>
    </rPh>
    <rPh sb="4" eb="6">
      <t>ロウドウ</t>
    </rPh>
    <rPh sb="6" eb="8">
      <t>ジカン</t>
    </rPh>
    <phoneticPr fontId="17"/>
  </si>
  <si>
    <t>建物・農機具等の修繕</t>
    <rPh sb="0" eb="2">
      <t>タテモノ</t>
    </rPh>
    <rPh sb="3" eb="6">
      <t>ノウキグ</t>
    </rPh>
    <rPh sb="6" eb="7">
      <t>トウ</t>
    </rPh>
    <rPh sb="8" eb="10">
      <t>シュウゼン</t>
    </rPh>
    <phoneticPr fontId="17"/>
  </si>
  <si>
    <t>集会出席時間</t>
    <rPh sb="0" eb="2">
      <t>シュウカイ</t>
    </rPh>
    <rPh sb="2" eb="4">
      <t>シュッセキ</t>
    </rPh>
    <rPh sb="4" eb="6">
      <t>ジカン</t>
    </rPh>
    <phoneticPr fontId="17"/>
  </si>
  <si>
    <t>技術習得時間</t>
    <rPh sb="0" eb="2">
      <t>ギジュツ</t>
    </rPh>
    <rPh sb="2" eb="4">
      <t>シュウトク</t>
    </rPh>
    <rPh sb="4" eb="6">
      <t>ジカン</t>
    </rPh>
    <phoneticPr fontId="17"/>
  </si>
  <si>
    <t>簿記記帳時間</t>
    <rPh sb="0" eb="2">
      <t>ボキ</t>
    </rPh>
    <rPh sb="2" eb="4">
      <t>キチョウ</t>
    </rPh>
    <rPh sb="4" eb="6">
      <t>ジカン</t>
    </rPh>
    <phoneticPr fontId="17"/>
  </si>
  <si>
    <t>経営管理労働時間</t>
    <rPh sb="0" eb="2">
      <t>ケイエイ</t>
    </rPh>
    <rPh sb="2" eb="4">
      <t>カンリ</t>
    </rPh>
    <rPh sb="4" eb="6">
      <t>ロウドウ</t>
    </rPh>
    <rPh sb="6" eb="8">
      <t>ジカン</t>
    </rPh>
    <phoneticPr fontId="17"/>
  </si>
  <si>
    <t>作業_牛乳</t>
    <rPh sb="0" eb="2">
      <t>サギョウ</t>
    </rPh>
    <rPh sb="3" eb="5">
      <t>ギュウニュウ</t>
    </rPh>
    <phoneticPr fontId="37"/>
  </si>
  <si>
    <t>飼料の調理・給与・給水</t>
    <rPh sb="0" eb="2">
      <t>シリョウ</t>
    </rPh>
    <rPh sb="3" eb="5">
      <t>チョウリ</t>
    </rPh>
    <rPh sb="6" eb="8">
      <t>キュウヨ</t>
    </rPh>
    <rPh sb="9" eb="11">
      <t>キュウスイ</t>
    </rPh>
    <phoneticPr fontId="3"/>
  </si>
  <si>
    <t>搾乳・牛乳処理・運搬</t>
    <rPh sb="0" eb="2">
      <t>サクニュウ</t>
    </rPh>
    <rPh sb="3" eb="5">
      <t>ギュウニュウ</t>
    </rPh>
    <rPh sb="5" eb="7">
      <t>ショリ</t>
    </rPh>
    <rPh sb="8" eb="10">
      <t>ウンパン</t>
    </rPh>
    <phoneticPr fontId="3"/>
  </si>
  <si>
    <t>その他の飼育作業</t>
    <rPh sb="2" eb="3">
      <t>タ</t>
    </rPh>
    <rPh sb="4" eb="6">
      <t>シイク</t>
    </rPh>
    <rPh sb="6" eb="8">
      <t>サギョウ</t>
    </rPh>
    <phoneticPr fontId="3"/>
  </si>
  <si>
    <r>
      <t xml:space="preserve">作業者
</t>
    </r>
    <r>
      <rPr>
        <sz val="6"/>
        <rFont val="ＭＳ Ｐゴシック"/>
        <family val="3"/>
        <charset val="128"/>
        <scheme val="minor"/>
      </rPr>
      <t>&lt;選択&gt;</t>
    </r>
    <rPh sb="0" eb="3">
      <t>サギョウシャ</t>
    </rPh>
    <rPh sb="5" eb="7">
      <t>センタク</t>
    </rPh>
    <phoneticPr fontId="6"/>
  </si>
  <si>
    <t>5：同居人</t>
    <phoneticPr fontId="2"/>
  </si>
  <si>
    <r>
      <t xml:space="preserve">雇用形態
</t>
    </r>
    <r>
      <rPr>
        <sz val="6"/>
        <color theme="1"/>
        <rFont val="ＭＳ Ｐゴシック"/>
        <family val="3"/>
        <charset val="128"/>
        <scheme val="minor"/>
      </rPr>
      <t>&lt;自動&gt;</t>
    </r>
    <rPh sb="0" eb="2">
      <t>コヨウ</t>
    </rPh>
    <rPh sb="2" eb="4">
      <t>ケイタイ</t>
    </rPh>
    <rPh sb="6" eb="8">
      <t>ジドウ</t>
    </rPh>
    <phoneticPr fontId="2"/>
  </si>
  <si>
    <r>
      <t xml:space="preserve">労働時間
</t>
    </r>
    <r>
      <rPr>
        <sz val="6"/>
        <rFont val="ＭＳ Ｐゴシック"/>
        <family val="3"/>
        <charset val="128"/>
        <scheme val="minor"/>
      </rPr>
      <t>&lt;入力&gt;</t>
    </r>
    <rPh sb="0" eb="4">
      <t>ロウドウジカン</t>
    </rPh>
    <rPh sb="6" eb="8">
      <t>ニュウリョク</t>
    </rPh>
    <phoneticPr fontId="2"/>
  </si>
  <si>
    <t>時間</t>
    <rPh sb="0" eb="2">
      <t>ジカン</t>
    </rPh>
    <phoneticPr fontId="2"/>
  </si>
  <si>
    <t>１　構成員</t>
    <rPh sb="2" eb="5">
      <t>コウセイイン</t>
    </rPh>
    <phoneticPr fontId="2"/>
  </si>
  <si>
    <t>２　雇用</t>
    <rPh sb="2" eb="4">
      <t>コヨウ</t>
    </rPh>
    <phoneticPr fontId="2"/>
  </si>
  <si>
    <t>畜産物生産費統計　設定シート</t>
    <rPh sb="0" eb="3">
      <t>チクサンブツ</t>
    </rPh>
    <rPh sb="3" eb="6">
      <t>セイサンヒ</t>
    </rPh>
    <rPh sb="6" eb="8">
      <t>トウケイ</t>
    </rPh>
    <rPh sb="9" eb="11">
      <t>セッテイ</t>
    </rPh>
    <phoneticPr fontId="2"/>
  </si>
  <si>
    <t>畜産物生産費統計　入力シート（月別）</t>
    <rPh sb="0" eb="3">
      <t>チクサンブツ</t>
    </rPh>
    <rPh sb="3" eb="6">
      <t>セイサンヒ</t>
    </rPh>
    <rPh sb="6" eb="8">
      <t>トウケイ</t>
    </rPh>
    <rPh sb="9" eb="11">
      <t>ニュウリョク</t>
    </rPh>
    <rPh sb="15" eb="16">
      <t>ツキ</t>
    </rPh>
    <rPh sb="16" eb="17">
      <t>ベツ</t>
    </rPh>
    <phoneticPr fontId="2"/>
  </si>
  <si>
    <t>畜産物生産費統計　調査票貼付シート</t>
    <rPh sb="9" eb="12">
      <t>チョウサヒョウ</t>
    </rPh>
    <rPh sb="12" eb="14">
      <t>ハリツケ</t>
    </rPh>
    <phoneticPr fontId="2"/>
  </si>
  <si>
    <t>労働時間</t>
    <rPh sb="0" eb="2">
      <t>ロウドウ</t>
    </rPh>
    <rPh sb="2" eb="4">
      <t>ジカン</t>
    </rPh>
    <phoneticPr fontId="2"/>
  </si>
  <si>
    <t>【12】作業別労働時間</t>
    <rPh sb="4" eb="7">
      <t>サギョウベツ</t>
    </rPh>
    <rPh sb="7" eb="9">
      <t>ロウドウ</t>
    </rPh>
    <rPh sb="9" eb="11">
      <t>ジカン</t>
    </rPh>
    <phoneticPr fontId="6"/>
  </si>
  <si>
    <t>1：男
2：女</t>
    <rPh sb="2" eb="3">
      <t>オトコ</t>
    </rPh>
    <phoneticPr fontId="6"/>
  </si>
  <si>
    <t>飼料の調理・給与・給水</t>
    <rPh sb="0" eb="2">
      <t>シリョウ</t>
    </rPh>
    <rPh sb="3" eb="5">
      <t>チョウリ</t>
    </rPh>
    <rPh sb="6" eb="8">
      <t>キュウヨ</t>
    </rPh>
    <rPh sb="9" eb="11">
      <t>キュウスイ</t>
    </rPh>
    <phoneticPr fontId="6"/>
  </si>
  <si>
    <t>搾乳・牛乳処理・運搬</t>
    <rPh sb="0" eb="2">
      <t>サクニュウ</t>
    </rPh>
    <rPh sb="3" eb="5">
      <t>ギュウニュウ</t>
    </rPh>
    <rPh sb="5" eb="7">
      <t>ショリ</t>
    </rPh>
    <rPh sb="8" eb="10">
      <t>ウンパン</t>
    </rPh>
    <phoneticPr fontId="6"/>
  </si>
  <si>
    <t>家族労働</t>
    <rPh sb="0" eb="2">
      <t>カゾク</t>
    </rPh>
    <rPh sb="2" eb="4">
      <t>ロウドウ</t>
    </rPh>
    <phoneticPr fontId="6"/>
  </si>
  <si>
    <t>雇用労働</t>
    <rPh sb="0" eb="2">
      <t>コヨウ</t>
    </rPh>
    <rPh sb="2" eb="4">
      <t>ロウドウ</t>
    </rPh>
    <phoneticPr fontId="6"/>
  </si>
  <si>
    <t>計</t>
    <rPh sb="0" eb="1">
      <t>ケイ</t>
    </rPh>
    <phoneticPr fontId="6"/>
  </si>
  <si>
    <t>家族</t>
    <rPh sb="0" eb="2">
      <t>カゾク</t>
    </rPh>
    <phoneticPr fontId="6"/>
  </si>
  <si>
    <t>ゆい・手間替え受け</t>
    <rPh sb="3" eb="5">
      <t>テマ</t>
    </rPh>
    <rPh sb="5" eb="6">
      <t>ガ</t>
    </rPh>
    <rPh sb="7" eb="8">
      <t>ウ</t>
    </rPh>
    <phoneticPr fontId="6"/>
  </si>
  <si>
    <t>雇用</t>
    <rPh sb="0" eb="2">
      <t>コヨウ</t>
    </rPh>
    <phoneticPr fontId="6"/>
  </si>
  <si>
    <t>手伝い・共同作業受け</t>
    <phoneticPr fontId="6"/>
  </si>
  <si>
    <t>同居人</t>
    <rPh sb="0" eb="3">
      <t>ドウキョニン</t>
    </rPh>
    <phoneticPr fontId="6"/>
  </si>
  <si>
    <t>手伝い・共同作業受け、同居人</t>
    <rPh sb="11" eb="14">
      <t>ドウキョニン</t>
    </rPh>
    <phoneticPr fontId="6"/>
  </si>
  <si>
    <t>男</t>
    <rPh sb="0" eb="1">
      <t>オトコ</t>
    </rPh>
    <phoneticPr fontId="6"/>
  </si>
  <si>
    <t>女</t>
    <rPh sb="0" eb="1">
      <t>オンナ</t>
    </rPh>
    <phoneticPr fontId="6"/>
  </si>
  <si>
    <t>直接労働時間</t>
    <rPh sb="0" eb="2">
      <t>チョクセツ</t>
    </rPh>
    <rPh sb="2" eb="4">
      <t>ロウドウ</t>
    </rPh>
    <rPh sb="4" eb="6">
      <t>ジカン</t>
    </rPh>
    <phoneticPr fontId="6"/>
  </si>
  <si>
    <t>直接労働費</t>
    <rPh sb="0" eb="2">
      <t>チョクセツ</t>
    </rPh>
    <rPh sb="2" eb="4">
      <t>ロウドウ</t>
    </rPh>
    <rPh sb="4" eb="5">
      <t>ヒ</t>
    </rPh>
    <phoneticPr fontId="6"/>
  </si>
  <si>
    <t>65～70</t>
    <phoneticPr fontId="6"/>
  </si>
  <si>
    <t>70～75</t>
    <phoneticPr fontId="6"/>
  </si>
  <si>
    <t>敷料搬入・
きゅう肥搬出</t>
    <rPh sb="0" eb="1">
      <t>シキ</t>
    </rPh>
    <rPh sb="1" eb="2">
      <t>リョウ</t>
    </rPh>
    <rPh sb="2" eb="4">
      <t>ハンニュウ</t>
    </rPh>
    <rPh sb="9" eb="10">
      <t>ヒ</t>
    </rPh>
    <rPh sb="10" eb="12">
      <t>ハンシュツ</t>
    </rPh>
    <phoneticPr fontId="6"/>
  </si>
  <si>
    <t>搾乳・牛乳処理・運搬以外</t>
    <rPh sb="0" eb="2">
      <t>サクニュウ</t>
    </rPh>
    <rPh sb="3" eb="5">
      <t>ギュウニュウ</t>
    </rPh>
    <rPh sb="5" eb="7">
      <t>ショリ</t>
    </rPh>
    <rPh sb="8" eb="10">
      <t>ウンパン</t>
    </rPh>
    <rPh sb="10" eb="12">
      <t>イガイ</t>
    </rPh>
    <phoneticPr fontId="6"/>
  </si>
  <si>
    <t>間接労働時間</t>
    <rPh sb="0" eb="2">
      <t>カンセツ</t>
    </rPh>
    <rPh sb="2" eb="4">
      <t>ロウドウ</t>
    </rPh>
    <rPh sb="4" eb="6">
      <t>ジカン</t>
    </rPh>
    <phoneticPr fontId="6"/>
  </si>
  <si>
    <t>間接労働費</t>
    <rPh sb="0" eb="2">
      <t>カンセツ</t>
    </rPh>
    <rPh sb="2" eb="4">
      <t>ロウドウ</t>
    </rPh>
    <rPh sb="4" eb="5">
      <t>ヒ</t>
    </rPh>
    <phoneticPr fontId="6"/>
  </si>
  <si>
    <t>自給牧草</t>
    <rPh sb="0" eb="2">
      <t>ジキュウ</t>
    </rPh>
    <rPh sb="2" eb="4">
      <t>ボクソウ</t>
    </rPh>
    <phoneticPr fontId="6"/>
  </si>
  <si>
    <t>自給牧草以外</t>
    <rPh sb="0" eb="2">
      <t>ジキュウ</t>
    </rPh>
    <rPh sb="2" eb="4">
      <t>ボクソウ</t>
    </rPh>
    <rPh sb="4" eb="6">
      <t>イガイ</t>
    </rPh>
    <phoneticPr fontId="6"/>
  </si>
  <si>
    <t>労働時間合計</t>
    <rPh sb="0" eb="2">
      <t>ロウドウ</t>
    </rPh>
    <rPh sb="2" eb="4">
      <t>ジカン</t>
    </rPh>
    <rPh sb="4" eb="6">
      <t>ゴウケイ</t>
    </rPh>
    <phoneticPr fontId="6"/>
  </si>
  <si>
    <t>経営管理労働時間</t>
    <rPh sb="0" eb="2">
      <t>ケイエイ</t>
    </rPh>
    <rPh sb="2" eb="4">
      <t>カンリ</t>
    </rPh>
    <rPh sb="4" eb="6">
      <t>ロウドウ</t>
    </rPh>
    <rPh sb="6" eb="8">
      <t>ジカン</t>
    </rPh>
    <phoneticPr fontId="6"/>
  </si>
  <si>
    <t>生産管理
労働時間</t>
    <rPh sb="0" eb="2">
      <t>セイサン</t>
    </rPh>
    <rPh sb="2" eb="4">
      <t>カンリ</t>
    </rPh>
    <rPh sb="5" eb="7">
      <t>ロウドウ</t>
    </rPh>
    <rPh sb="7" eb="9">
      <t>ジカン</t>
    </rPh>
    <phoneticPr fontId="6"/>
  </si>
  <si>
    <t>経営管理
労働時間</t>
    <rPh sb="0" eb="2">
      <t>ケイエイ</t>
    </rPh>
    <rPh sb="2" eb="4">
      <t>カンリ</t>
    </rPh>
    <rPh sb="5" eb="7">
      <t>ロウドウ</t>
    </rPh>
    <rPh sb="7" eb="9">
      <t>ジカン</t>
    </rPh>
    <phoneticPr fontId="6"/>
  </si>
  <si>
    <t>自給飼料の
生産</t>
    <rPh sb="0" eb="2">
      <t>ジキュウ</t>
    </rPh>
    <rPh sb="2" eb="4">
      <t>シリョウ</t>
    </rPh>
    <rPh sb="6" eb="8">
      <t>セイサン</t>
    </rPh>
    <phoneticPr fontId="6"/>
  </si>
  <si>
    <t>建物等の修繕
購入付帯労働</t>
    <rPh sb="0" eb="2">
      <t>タテモノ</t>
    </rPh>
    <rPh sb="2" eb="3">
      <t>トウ</t>
    </rPh>
    <rPh sb="4" eb="6">
      <t>シュウゼン</t>
    </rPh>
    <rPh sb="7" eb="9">
      <t>コウニュウ</t>
    </rPh>
    <rPh sb="9" eb="11">
      <t>フタイ</t>
    </rPh>
    <rPh sb="11" eb="13">
      <t>ロウドウ</t>
    </rPh>
    <phoneticPr fontId="6"/>
  </si>
  <si>
    <t>金額（円）</t>
    <rPh sb="0" eb="2">
      <t>キンガク</t>
    </rPh>
    <rPh sb="3" eb="4">
      <t>エン</t>
    </rPh>
    <phoneticPr fontId="6"/>
  </si>
  <si>
    <t>調査対象畜</t>
    <phoneticPr fontId="6"/>
  </si>
  <si>
    <t>自給牧草</t>
    <phoneticPr fontId="6"/>
  </si>
  <si>
    <t>　雇用者（ヘルパー、研修生等）に支払った賃金（現物支給も含む。）を男女別に入力してください。</t>
    <rPh sb="1" eb="4">
      <t>コヨウシャ</t>
    </rPh>
    <rPh sb="10" eb="13">
      <t>ケンシュウセイ</t>
    </rPh>
    <rPh sb="13" eb="14">
      <t>トウ</t>
    </rPh>
    <rPh sb="16" eb="18">
      <t>シハラ</t>
    </rPh>
    <rPh sb="20" eb="21">
      <t>チン</t>
    </rPh>
    <phoneticPr fontId="6"/>
  </si>
  <si>
    <t>区 分</t>
    <rPh sb="0" eb="1">
      <t>ク</t>
    </rPh>
    <rPh sb="2" eb="3">
      <t>ブン</t>
    </rPh>
    <phoneticPr fontId="6"/>
  </si>
  <si>
    <t>金　額（円）</t>
    <rPh sb="0" eb="1">
      <t>キン</t>
    </rPh>
    <rPh sb="2" eb="3">
      <t>ガク</t>
    </rPh>
    <rPh sb="4" eb="5">
      <t>エン</t>
    </rPh>
    <phoneticPr fontId="6"/>
  </si>
  <si>
    <t>負担割合（％）</t>
    <rPh sb="0" eb="2">
      <t>フタン</t>
    </rPh>
    <rPh sb="2" eb="4">
      <t>ワリアイ</t>
    </rPh>
    <phoneticPr fontId="6"/>
  </si>
  <si>
    <t>調査対象畜</t>
    <rPh sb="0" eb="2">
      <t>チョウサ</t>
    </rPh>
    <rPh sb="2" eb="4">
      <t>タイショウ</t>
    </rPh>
    <rPh sb="4" eb="5">
      <t>チク</t>
    </rPh>
    <phoneticPr fontId="6"/>
  </si>
  <si>
    <t>支払賃金</t>
    <phoneticPr fontId="6"/>
  </si>
  <si>
    <t>　２　酪農に関する１以外の作業</t>
    <rPh sb="3" eb="5">
      <t>ラクノウ</t>
    </rPh>
    <rPh sb="6" eb="7">
      <t>カン</t>
    </rPh>
    <rPh sb="10" eb="12">
      <t>イガイ</t>
    </rPh>
    <rPh sb="13" eb="15">
      <t>サギョウ</t>
    </rPh>
    <phoneticPr fontId="6"/>
  </si>
  <si>
    <t>労賃単価</t>
    <rPh sb="0" eb="2">
      <t>ロウチン</t>
    </rPh>
    <rPh sb="2" eb="4">
      <t>タンカ</t>
    </rPh>
    <phoneticPr fontId="6"/>
  </si>
  <si>
    <t>その他の飼育作業</t>
    <rPh sb="2" eb="3">
      <t>タ</t>
    </rPh>
    <rPh sb="4" eb="6">
      <t>シイク</t>
    </rPh>
    <rPh sb="6" eb="8">
      <t>サギョウ</t>
    </rPh>
    <phoneticPr fontId="6"/>
  </si>
  <si>
    <t>労働費</t>
    <rPh sb="0" eb="2">
      <t>ロウドウ</t>
    </rPh>
    <rPh sb="2" eb="3">
      <t>ヒ</t>
    </rPh>
    <phoneticPr fontId="6"/>
  </si>
  <si>
    <r>
      <t>2020センサス番号</t>
    </r>
    <r>
      <rPr>
        <sz val="6"/>
        <rFont val="ＭＳ Ｐ明朝"/>
        <family val="1"/>
        <charset val="128"/>
      </rPr>
      <t>&lt;入力&gt;</t>
    </r>
    <rPh sb="8" eb="10">
      <t>バンゴウ</t>
    </rPh>
    <rPh sb="11" eb="13">
      <t>ニュウリョク</t>
    </rPh>
    <phoneticPr fontId="6"/>
  </si>
  <si>
    <r>
      <t>2020センサス番号</t>
    </r>
    <r>
      <rPr>
        <sz val="6"/>
        <rFont val="ＭＳ Ｐ明朝"/>
        <family val="1"/>
        <charset val="128"/>
      </rPr>
      <t xml:space="preserve"> &lt;自動&gt;</t>
    </r>
    <rPh sb="8" eb="10">
      <t>バンゴウ</t>
    </rPh>
    <rPh sb="12" eb="14">
      <t>ジドウ</t>
    </rPh>
    <phoneticPr fontId="6"/>
  </si>
  <si>
    <t>　２　調査対象畜に関する１以外の作業</t>
    <rPh sb="3" eb="8">
      <t>チョウサタイショウチク</t>
    </rPh>
    <rPh sb="9" eb="10">
      <t>カン</t>
    </rPh>
    <rPh sb="13" eb="15">
      <t>イガイ</t>
    </rPh>
    <rPh sb="16" eb="18">
      <t>サギョウ</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</si>
</sst>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00000000000000"/>
    <numFmt numFmtId="177" formatCode="00"/>
    <numFmt numFmtId="178" formatCode="0.0"/>
    <numFmt numFmtId="179" formatCode="#,##0.0\ "/>
    <numFmt numFmtId="180" formatCode="#,##0;[Red]\-#,##0;"/>
    <numFmt numFmtId="181" formatCode="0;;"/>
    <numFmt numFmtId="182" formatCode="#,##0_);[Red]\(#,##0\)"/>
    <numFmt numFmtId="183" formatCode="#,##0_ "/>
    <numFmt numFmtId="184" formatCode="0.0_ "/>
    <numFmt numFmtId="185" formatCode="#,##0.0"/>
    <numFmt numFmtId="186" formatCode="#,##0.0;[Red]\-#,##0.0"/>
  </numFmts>
  <fonts count="48" x14ac:knownFonts="1">
    <font>
      <sz val="11"/>
      <color theme="1"/>
      <name val="ＭＳ Ｐゴシック"/>
      <family val="2"/>
      <scheme val="minor"/>
    </font>
    <font>
      <sz val="11"/>
      <color theme="1"/>
      <name val="ＭＳ Ｐゴシック"/>
      <family val="2"/>
      <charset val="128"/>
      <scheme val="minor"/>
    </font>
    <font>
      <sz val="6"/>
      <name val="ＭＳ Ｐゴシック"/>
      <family val="3"/>
      <charset val="128"/>
      <scheme val="minor"/>
    </font>
    <font>
      <sz val="24"/>
      <color theme="1"/>
      <name val="ＭＳ Ｐゴシック"/>
      <family val="3"/>
      <charset val="128"/>
      <scheme val="minor"/>
    </font>
    <font>
      <sz val="11"/>
      <name val="ＭＳ Ｐゴシック"/>
      <family val="3"/>
      <charset val="128"/>
    </font>
    <font>
      <sz val="11"/>
      <name val="ＭＳ 明朝"/>
      <family val="1"/>
      <charset val="128"/>
    </font>
    <font>
      <sz val="6"/>
      <name val="ＭＳ Ｐゴシック"/>
      <family val="3"/>
      <charset val="128"/>
    </font>
    <font>
      <sz val="9"/>
      <name val="ＭＳ Ｐ明朝"/>
      <family val="1"/>
      <charset val="128"/>
    </font>
    <font>
      <sz val="11"/>
      <name val="ＭＳ Ｐ明朝"/>
      <family val="1"/>
      <charset val="128"/>
    </font>
    <font>
      <b/>
      <sz val="14"/>
      <name val="ＭＳ Ｐゴシック"/>
      <family val="3"/>
      <charset val="128"/>
    </font>
    <font>
      <sz val="9"/>
      <name val="ＭＳ Ｐゴシック"/>
      <family val="3"/>
      <charset val="128"/>
      <scheme val="minor"/>
    </font>
    <font>
      <sz val="9"/>
      <color theme="1"/>
      <name val="ＭＳ Ｐゴシック"/>
      <family val="2"/>
      <scheme val="minor"/>
    </font>
    <font>
      <b/>
      <sz val="12"/>
      <name val="ＭＳ ゴシック"/>
      <family val="3"/>
      <charset val="128"/>
    </font>
    <font>
      <sz val="11"/>
      <color indexed="8"/>
      <name val="ＭＳ 明朝"/>
      <family val="1"/>
      <charset val="128"/>
    </font>
    <font>
      <b/>
      <sz val="12"/>
      <color indexed="8"/>
      <name val="ＭＳ ゴシック"/>
      <family val="3"/>
      <charset val="128"/>
    </font>
    <font>
      <sz val="11"/>
      <name val="ＭＳ ゴシック"/>
      <family val="3"/>
      <charset val="128"/>
    </font>
    <font>
      <sz val="9"/>
      <name val="ＭＳ ゴシック"/>
      <family val="3"/>
      <charset val="128"/>
    </font>
    <font>
      <sz val="6"/>
      <name val="ＭＳ ゴシック"/>
      <family val="3"/>
      <charset val="128"/>
    </font>
    <font>
      <sz val="12"/>
      <color indexed="8"/>
      <name val="ＭＳ ゴシック"/>
      <family val="3"/>
      <charset val="128"/>
    </font>
    <font>
      <sz val="12"/>
      <name val="ＭＳ ゴシック"/>
      <family val="3"/>
      <charset val="128"/>
    </font>
    <font>
      <sz val="12"/>
      <color indexed="8"/>
      <name val="ＭＳ 明朝"/>
      <family val="1"/>
      <charset val="128"/>
    </font>
    <font>
      <u/>
      <sz val="11"/>
      <name val="ＭＳ 明朝"/>
      <family val="1"/>
      <charset val="128"/>
    </font>
    <font>
      <sz val="10"/>
      <name val="ＭＳ ゴシック"/>
      <family val="3"/>
      <charset val="128"/>
    </font>
    <font>
      <sz val="16"/>
      <name val="ＭＳ ゴシック"/>
      <family val="3"/>
      <charset val="128"/>
    </font>
    <font>
      <sz val="11"/>
      <color theme="1"/>
      <name val="ＭＳ ゴシック"/>
      <family val="3"/>
      <charset val="128"/>
    </font>
    <font>
      <sz val="16"/>
      <color theme="1"/>
      <name val="ＭＳ ゴシック"/>
      <family val="3"/>
      <charset val="128"/>
    </font>
    <font>
      <b/>
      <sz val="11"/>
      <color indexed="8"/>
      <name val="ＭＳ 明朝"/>
      <family val="1"/>
      <charset val="128"/>
    </font>
    <font>
      <sz val="6"/>
      <name val="ＭＳ Ｐゴシック"/>
      <family val="2"/>
      <charset val="128"/>
      <scheme val="minor"/>
    </font>
    <font>
      <sz val="6"/>
      <name val="ＭＳ Ｐ明朝"/>
      <family val="1"/>
      <charset val="128"/>
    </font>
    <font>
      <sz val="9"/>
      <color indexed="81"/>
      <name val="ＭＳ 明朝"/>
      <family val="1"/>
      <charset val="128"/>
    </font>
    <font>
      <sz val="6"/>
      <color theme="1"/>
      <name val="ＭＳ Ｐゴシック"/>
      <family val="3"/>
      <charset val="128"/>
      <scheme val="minor"/>
    </font>
    <font>
      <sz val="11"/>
      <color theme="1"/>
      <name val="ＭＳ Ｐゴシック"/>
      <family val="3"/>
      <charset val="128"/>
      <scheme val="minor"/>
    </font>
    <font>
      <sz val="14"/>
      <name val="ＭＳ ゴシック"/>
      <family val="3"/>
      <charset val="128"/>
    </font>
    <font>
      <sz val="12"/>
      <color theme="1"/>
      <name val="ＭＳ ゴシック"/>
      <family val="3"/>
      <charset val="128"/>
    </font>
    <font>
      <sz val="10"/>
      <name val="ＭＳ 明朝"/>
      <family val="1"/>
      <charset val="128"/>
    </font>
    <font>
      <b/>
      <sz val="12"/>
      <color indexed="8"/>
      <name val="ＭＳ 明朝"/>
      <family val="1"/>
      <charset val="128"/>
    </font>
    <font>
      <sz val="9"/>
      <name val="ＭＳ 明朝"/>
      <family val="1"/>
      <charset val="128"/>
    </font>
    <font>
      <sz val="10"/>
      <color rgb="FF3F3F76"/>
      <name val="ＭＳ Ｐゴシック"/>
      <family val="2"/>
      <charset val="128"/>
    </font>
    <font>
      <sz val="9"/>
      <name val="ＭＳ Ｐゴシック"/>
      <family val="3"/>
      <charset val="128"/>
    </font>
    <font>
      <sz val="16"/>
      <color indexed="8"/>
      <name val="ＭＳ ゴシック"/>
      <family val="3"/>
      <charset val="128"/>
    </font>
    <font>
      <sz val="18"/>
      <color indexed="8"/>
      <name val="ＭＳ ゴシック"/>
      <family val="3"/>
      <charset val="128"/>
    </font>
    <font>
      <sz val="14"/>
      <name val="ＭＳ Ｐゴシック"/>
      <family val="3"/>
      <charset val="128"/>
    </font>
    <font>
      <sz val="18"/>
      <name val="ＭＳ ゴシック"/>
      <family val="3"/>
      <charset val="128"/>
    </font>
    <font>
      <sz val="14"/>
      <color indexed="8"/>
      <name val="ＭＳ ゴシック"/>
      <family val="3"/>
      <charset val="128"/>
    </font>
    <font>
      <b/>
      <sz val="16"/>
      <color indexed="8"/>
      <name val="ＭＳ ゴシック"/>
      <family val="3"/>
      <charset val="128"/>
    </font>
    <font>
      <sz val="8"/>
      <name val="ＭＳ ゴシック"/>
      <family val="3"/>
      <charset val="128"/>
    </font>
    <font>
      <sz val="12"/>
      <color rgb="FFFF0000"/>
      <name val="ＭＳ ゴシック"/>
      <family val="3"/>
      <charset val="128"/>
    </font>
    <font>
      <sz val="16"/>
      <name val="ＭＳ 明朝"/>
      <family val="1"/>
      <charset val="128"/>
    </font>
  </fonts>
  <fills count="1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rgb="FFFFFF99"/>
        <bgColor indexed="64"/>
      </patternFill>
    </fill>
    <fill>
      <patternFill patternType="solid">
        <fgColor rgb="FFCCFFCC"/>
        <bgColor indexed="64"/>
      </patternFill>
    </fill>
    <fill>
      <patternFill patternType="solid">
        <fgColor theme="5" tint="0.59999389629810485"/>
        <bgColor indexed="64"/>
      </patternFill>
    </fill>
    <fill>
      <patternFill patternType="solid">
        <fgColor rgb="FFFCD5B4"/>
        <bgColor indexed="64"/>
      </patternFill>
    </fill>
    <fill>
      <patternFill patternType="solid">
        <fgColor theme="9" tint="0.59999389629810485"/>
        <bgColor indexed="64"/>
      </patternFill>
    </fill>
    <fill>
      <patternFill patternType="solid">
        <fgColor rgb="FFFFCF80"/>
        <bgColor indexed="64"/>
      </patternFill>
    </fill>
  </fills>
  <borders count="17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top style="medium">
        <color auto="1"/>
      </top>
      <bottom/>
      <diagonal/>
    </border>
    <border>
      <left/>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indexed="64"/>
      </left>
      <right style="medium">
        <color indexed="64"/>
      </right>
      <top style="medium">
        <color indexed="64"/>
      </top>
      <bottom style="medium">
        <color indexed="64"/>
      </bottom>
      <diagonal/>
    </border>
    <border>
      <left/>
      <right style="medium">
        <color auto="1"/>
      </right>
      <top/>
      <bottom style="medium">
        <color auto="1"/>
      </bottom>
      <diagonal/>
    </border>
    <border>
      <left/>
      <right style="medium">
        <color auto="1"/>
      </right>
      <top style="medium">
        <color auto="1"/>
      </top>
      <bottom/>
      <diagonal/>
    </border>
    <border>
      <left/>
      <right/>
      <top/>
      <bottom style="medium">
        <color auto="1"/>
      </bottom>
      <diagonal/>
    </border>
    <border>
      <left style="thin">
        <color indexed="64"/>
      </left>
      <right/>
      <top/>
      <bottom style="medium">
        <color auto="1"/>
      </bottom>
      <diagonal/>
    </border>
    <border>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indexed="64"/>
      </right>
      <top/>
      <bottom style="medium">
        <color auto="1"/>
      </bottom>
      <diagonal/>
    </border>
    <border>
      <left style="medium">
        <color indexed="64"/>
      </left>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right/>
      <top/>
      <bottom style="thin">
        <color indexed="64"/>
      </bottom>
      <diagonal/>
    </border>
    <border>
      <left style="medium">
        <color indexed="64"/>
      </left>
      <right/>
      <top style="thin">
        <color indexed="64"/>
      </top>
      <bottom/>
      <diagonal/>
    </border>
    <border>
      <left/>
      <right/>
      <top style="thin">
        <color indexed="64"/>
      </top>
      <bottom/>
      <diagonal/>
    </border>
    <border>
      <left style="double">
        <color indexed="57"/>
      </left>
      <right/>
      <top/>
      <bottom/>
      <diagonal/>
    </border>
    <border>
      <left style="thin">
        <color indexed="64"/>
      </left>
      <right/>
      <top/>
      <bottom style="double">
        <color indexed="57"/>
      </bottom>
      <diagonal/>
    </border>
    <border>
      <left/>
      <right style="thin">
        <color indexed="64"/>
      </right>
      <top/>
      <bottom style="double">
        <color indexed="57"/>
      </bottom>
      <diagonal/>
    </border>
    <border>
      <left/>
      <right style="medium">
        <color indexed="64"/>
      </right>
      <top/>
      <bottom style="double">
        <color indexed="57"/>
      </bottom>
      <diagonal/>
    </border>
    <border>
      <left style="double">
        <color indexed="57"/>
      </left>
      <right/>
      <top style="double">
        <color indexed="57"/>
      </top>
      <bottom/>
      <diagonal/>
    </border>
    <border>
      <left style="thin">
        <color indexed="64"/>
      </left>
      <right/>
      <top style="double">
        <color indexed="57"/>
      </top>
      <bottom/>
      <diagonal/>
    </border>
    <border>
      <left style="double">
        <color indexed="57"/>
      </left>
      <right/>
      <top/>
      <bottom style="double">
        <color indexed="57"/>
      </bottom>
      <diagonal/>
    </border>
    <border>
      <left/>
      <right style="double">
        <color indexed="57"/>
      </right>
      <top style="thin">
        <color indexed="64"/>
      </top>
      <bottom/>
      <diagonal/>
    </border>
    <border>
      <left/>
      <right/>
      <top style="medium">
        <color indexed="64"/>
      </top>
      <bottom style="medium">
        <color indexed="64"/>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indexed="64"/>
      </left>
      <right style="medium">
        <color indexed="64"/>
      </right>
      <top style="thin">
        <color indexed="64"/>
      </top>
      <bottom/>
      <diagonal/>
    </border>
    <border>
      <left style="medium">
        <color auto="1"/>
      </left>
      <right style="medium">
        <color auto="1"/>
      </right>
      <top/>
      <bottom style="medium">
        <color auto="1"/>
      </bottom>
      <diagonal/>
    </border>
    <border>
      <left style="thin">
        <color indexed="64"/>
      </left>
      <right style="medium">
        <color auto="1"/>
      </right>
      <top/>
      <bottom style="medium">
        <color auto="1"/>
      </bottom>
      <diagonal/>
    </border>
    <border>
      <left style="thin">
        <color auto="1"/>
      </left>
      <right style="medium">
        <color indexed="64"/>
      </right>
      <top/>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thin">
        <color indexed="64"/>
      </left>
      <right style="thin">
        <color indexed="64"/>
      </right>
      <top/>
      <bottom/>
      <diagonal/>
    </border>
    <border>
      <left style="medium">
        <color indexed="64"/>
      </left>
      <right style="thin">
        <color indexed="64"/>
      </right>
      <top/>
      <bottom style="double">
        <color indexed="57"/>
      </bottom>
      <diagonal/>
    </border>
    <border>
      <left style="thin">
        <color indexed="64"/>
      </left>
      <right style="thin">
        <color indexed="64"/>
      </right>
      <top/>
      <bottom style="double">
        <color indexed="57"/>
      </bottom>
      <diagonal/>
    </border>
    <border>
      <left style="thin">
        <color auto="1"/>
      </left>
      <right style="thin">
        <color auto="1"/>
      </right>
      <top/>
      <bottom style="double">
        <color indexed="64"/>
      </bottom>
      <diagonal/>
    </border>
    <border>
      <left style="medium">
        <color auto="1"/>
      </left>
      <right style="double">
        <color indexed="57"/>
      </right>
      <top style="medium">
        <color auto="1"/>
      </top>
      <bottom/>
      <diagonal/>
    </border>
    <border>
      <left style="thin">
        <color auto="1"/>
      </left>
      <right/>
      <top style="double">
        <color indexed="57"/>
      </top>
      <bottom style="thin">
        <color auto="1"/>
      </bottom>
      <diagonal/>
    </border>
    <border>
      <left style="dotted">
        <color indexed="23"/>
      </left>
      <right/>
      <top style="double">
        <color indexed="57"/>
      </top>
      <bottom style="thin">
        <color indexed="64"/>
      </bottom>
      <diagonal/>
    </border>
    <border>
      <left style="dotted">
        <color indexed="23"/>
      </left>
      <right style="double">
        <color indexed="57"/>
      </right>
      <top style="double">
        <color indexed="57"/>
      </top>
      <bottom style="thin">
        <color indexed="64"/>
      </bottom>
      <diagonal/>
    </border>
    <border>
      <left style="double">
        <color indexed="64"/>
      </left>
      <right style="double">
        <color indexed="64"/>
      </right>
      <top style="double">
        <color indexed="64"/>
      </top>
      <bottom/>
      <diagonal/>
    </border>
    <border>
      <left style="medium">
        <color auto="1"/>
      </left>
      <right style="double">
        <color indexed="57"/>
      </right>
      <top/>
      <bottom style="thin">
        <color auto="1"/>
      </bottom>
      <diagonal/>
    </border>
    <border>
      <left style="double">
        <color indexed="64"/>
      </left>
      <right style="double">
        <color indexed="64"/>
      </right>
      <top/>
      <bottom/>
      <diagonal/>
    </border>
    <border>
      <left style="medium">
        <color indexed="64"/>
      </left>
      <right style="double">
        <color indexed="57"/>
      </right>
      <top style="thin">
        <color indexed="64"/>
      </top>
      <bottom/>
      <diagonal/>
    </border>
    <border>
      <left style="double">
        <color indexed="64"/>
      </left>
      <right style="double">
        <color indexed="64"/>
      </right>
      <top style="thin">
        <color auto="1"/>
      </top>
      <bottom/>
      <diagonal/>
    </border>
    <border>
      <left style="medium">
        <color auto="1"/>
      </left>
      <right style="double">
        <color indexed="57"/>
      </right>
      <top/>
      <bottom style="medium">
        <color indexed="64"/>
      </bottom>
      <diagonal/>
    </border>
    <border>
      <left style="double">
        <color indexed="64"/>
      </left>
      <right style="double">
        <color indexed="64"/>
      </right>
      <top/>
      <bottom style="double">
        <color indexed="64"/>
      </bottom>
      <diagonal/>
    </border>
    <border>
      <left style="double">
        <color indexed="57"/>
      </left>
      <right style="thin">
        <color auto="1"/>
      </right>
      <top style="double">
        <color indexed="57"/>
      </top>
      <bottom/>
      <diagonal/>
    </border>
    <border>
      <left style="thin">
        <color indexed="64"/>
      </left>
      <right style="double">
        <color indexed="57"/>
      </right>
      <top/>
      <bottom/>
      <diagonal/>
    </border>
    <border>
      <left style="medium">
        <color indexed="64"/>
      </left>
      <right style="double">
        <color indexed="57"/>
      </right>
      <top style="medium">
        <color indexed="64"/>
      </top>
      <bottom style="thin">
        <color indexed="64"/>
      </bottom>
      <diagonal/>
    </border>
    <border>
      <left style="double">
        <color indexed="57"/>
      </left>
      <right/>
      <top style="double">
        <color indexed="57"/>
      </top>
      <bottom style="thin">
        <color auto="1"/>
      </bottom>
      <diagonal/>
    </border>
    <border>
      <left style="thin">
        <color indexed="64"/>
      </left>
      <right style="double">
        <color indexed="57"/>
      </right>
      <top style="thin">
        <color indexed="64"/>
      </top>
      <bottom/>
      <diagonal/>
    </border>
    <border>
      <left style="medium">
        <color auto="1"/>
      </left>
      <right style="double">
        <color indexed="57"/>
      </right>
      <top style="thin">
        <color auto="1"/>
      </top>
      <bottom style="thin">
        <color auto="1"/>
      </bottom>
      <diagonal/>
    </border>
    <border>
      <left style="double">
        <color indexed="57"/>
      </left>
      <right/>
      <top style="thin">
        <color indexed="64"/>
      </top>
      <bottom style="thin">
        <color indexed="64"/>
      </bottom>
      <diagonal/>
    </border>
    <border>
      <left style="medium">
        <color auto="1"/>
      </left>
      <right style="double">
        <color indexed="57"/>
      </right>
      <top style="thin">
        <color auto="1"/>
      </top>
      <bottom style="medium">
        <color indexed="64"/>
      </bottom>
      <diagonal/>
    </border>
    <border>
      <left style="thin">
        <color indexed="64"/>
      </left>
      <right/>
      <top/>
      <bottom style="double">
        <color rgb="FF35A16B"/>
      </bottom>
      <diagonal/>
    </border>
    <border>
      <left/>
      <right style="double">
        <color rgb="FF35A16B"/>
      </right>
      <top style="medium">
        <color indexed="64"/>
      </top>
      <bottom/>
      <diagonal/>
    </border>
    <border>
      <left style="double">
        <color rgb="FF35A16B"/>
      </left>
      <right/>
      <top style="double">
        <color rgb="FF35A16B"/>
      </top>
      <bottom/>
      <diagonal/>
    </border>
    <border>
      <left style="thin">
        <color indexed="64"/>
      </left>
      <right/>
      <top style="double">
        <color rgb="FF35A16B"/>
      </top>
      <bottom/>
      <diagonal/>
    </border>
    <border>
      <left style="thin">
        <color indexed="64"/>
      </left>
      <right style="double">
        <color rgb="FF339966"/>
      </right>
      <top style="double">
        <color rgb="FF35A16B"/>
      </top>
      <bottom/>
      <diagonal/>
    </border>
    <border>
      <left/>
      <right style="double">
        <color rgb="FF35A16B"/>
      </right>
      <top style="thin">
        <color auto="1"/>
      </top>
      <bottom/>
      <diagonal/>
    </border>
    <border>
      <left style="double">
        <color rgb="FF35A16B"/>
      </left>
      <right/>
      <top style="thin">
        <color indexed="64"/>
      </top>
      <bottom/>
      <diagonal/>
    </border>
    <border>
      <left style="thin">
        <color indexed="64"/>
      </left>
      <right style="double">
        <color rgb="FF339966"/>
      </right>
      <top style="thin">
        <color indexed="64"/>
      </top>
      <bottom/>
      <diagonal/>
    </border>
    <border>
      <left style="medium">
        <color indexed="64"/>
      </left>
      <right/>
      <top style="thin">
        <color indexed="64"/>
      </top>
      <bottom style="thin">
        <color auto="1"/>
      </bottom>
      <diagonal/>
    </border>
    <border>
      <left/>
      <right style="double">
        <color rgb="FF35A16B"/>
      </right>
      <top style="thin">
        <color indexed="64"/>
      </top>
      <bottom style="thin">
        <color indexed="64"/>
      </bottom>
      <diagonal/>
    </border>
    <border>
      <left style="double">
        <color rgb="FF35A16B"/>
      </left>
      <right/>
      <top style="thin">
        <color auto="1"/>
      </top>
      <bottom style="thin">
        <color auto="1"/>
      </bottom>
      <diagonal/>
    </border>
    <border>
      <left style="thin">
        <color indexed="64"/>
      </left>
      <right style="double">
        <color rgb="FF339966"/>
      </right>
      <top style="thin">
        <color auto="1"/>
      </top>
      <bottom style="thin">
        <color auto="1"/>
      </bottom>
      <diagonal/>
    </border>
    <border>
      <left style="double">
        <color rgb="FF35A16B"/>
      </left>
      <right/>
      <top/>
      <bottom/>
      <diagonal/>
    </border>
    <border>
      <left style="thin">
        <color indexed="64"/>
      </left>
      <right style="double">
        <color rgb="FF339966"/>
      </right>
      <top/>
      <bottom/>
      <diagonal/>
    </border>
    <border>
      <left style="double">
        <color rgb="FF35A16B"/>
      </left>
      <right/>
      <top style="thin">
        <color indexed="64"/>
      </top>
      <bottom style="double">
        <color theme="1"/>
      </bottom>
      <diagonal/>
    </border>
    <border>
      <left style="thin">
        <color indexed="64"/>
      </left>
      <right/>
      <top style="thin">
        <color indexed="64"/>
      </top>
      <bottom style="double">
        <color theme="1"/>
      </bottom>
      <diagonal/>
    </border>
    <border>
      <left style="thin">
        <color indexed="64"/>
      </left>
      <right style="double">
        <color rgb="FF339966"/>
      </right>
      <top style="thin">
        <color indexed="64"/>
      </top>
      <bottom style="double">
        <color theme="1"/>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double">
        <color rgb="FF35A16B"/>
      </right>
      <top style="double">
        <color indexed="64"/>
      </top>
      <bottom style="medium">
        <color indexed="64"/>
      </bottom>
      <diagonal/>
    </border>
    <border>
      <left style="double">
        <color rgb="FF35A16B"/>
      </left>
      <right/>
      <top/>
      <bottom style="double">
        <color rgb="FF35A16B"/>
      </bottom>
      <diagonal/>
    </border>
    <border>
      <left style="thin">
        <color indexed="64"/>
      </left>
      <right style="double">
        <color rgb="FF339966"/>
      </right>
      <top/>
      <bottom style="double">
        <color rgb="FF35A16B"/>
      </bottom>
      <diagonal/>
    </border>
    <border>
      <left style="medium">
        <color indexed="64"/>
      </left>
      <right style="medium">
        <color indexed="64"/>
      </right>
      <top/>
      <bottom style="double">
        <color rgb="FF35A16B"/>
      </bottom>
      <diagonal/>
    </border>
    <border>
      <left style="double">
        <color rgb="FF35A16B"/>
      </left>
      <right style="double">
        <color rgb="FF35A16B"/>
      </right>
      <top style="double">
        <color rgb="FF35A16B"/>
      </top>
      <bottom/>
      <diagonal/>
    </border>
    <border>
      <left style="double">
        <color rgb="FF35A16B"/>
      </left>
      <right style="double">
        <color rgb="FF35A16B"/>
      </right>
      <top style="thin">
        <color auto="1"/>
      </top>
      <bottom style="thin">
        <color indexed="64"/>
      </bottom>
      <diagonal/>
    </border>
    <border>
      <left style="double">
        <color rgb="FF35A16B"/>
      </left>
      <right style="double">
        <color rgb="FF35A16B"/>
      </right>
      <top style="thin">
        <color indexed="64"/>
      </top>
      <bottom style="double">
        <color auto="1"/>
      </bottom>
      <diagonal/>
    </border>
    <border>
      <left style="double">
        <color rgb="FF35A16B"/>
      </left>
      <right style="double">
        <color rgb="FF35A16B"/>
      </right>
      <top/>
      <bottom style="double">
        <color rgb="FF35A16B"/>
      </bottom>
      <diagonal/>
    </border>
    <border>
      <left style="medium">
        <color auto="1"/>
      </left>
      <right style="medium">
        <color auto="1"/>
      </right>
      <top style="medium">
        <color auto="1"/>
      </top>
      <bottom style="thin">
        <color indexed="64"/>
      </bottom>
      <diagonal/>
    </border>
    <border>
      <left style="thin">
        <color indexed="64"/>
      </left>
      <right/>
      <top style="thin">
        <color indexed="64"/>
      </top>
      <bottom style="double">
        <color indexed="57"/>
      </bottom>
      <diagonal/>
    </border>
    <border>
      <left/>
      <right/>
      <top style="thin">
        <color indexed="64"/>
      </top>
      <bottom style="double">
        <color indexed="57"/>
      </bottom>
      <diagonal/>
    </border>
    <border>
      <left/>
      <right style="double">
        <color indexed="57"/>
      </right>
      <top style="thin">
        <color indexed="64"/>
      </top>
      <bottom style="double">
        <color indexed="57"/>
      </bottom>
      <diagonal/>
    </border>
    <border>
      <left style="double">
        <color indexed="64"/>
      </left>
      <right style="double">
        <color indexed="64"/>
      </right>
      <top style="thin">
        <color auto="1"/>
      </top>
      <bottom style="double">
        <color indexed="64"/>
      </bottom>
      <diagonal/>
    </border>
    <border>
      <left style="double">
        <color indexed="57"/>
      </left>
      <right/>
      <top style="thin">
        <color indexed="64"/>
      </top>
      <bottom style="double">
        <color indexed="57"/>
      </bottom>
      <diagonal/>
    </border>
    <border>
      <left style="thin">
        <color indexed="64"/>
      </left>
      <right style="double">
        <color indexed="57"/>
      </right>
      <top style="thin">
        <color indexed="64"/>
      </top>
      <bottom style="double">
        <color indexed="57"/>
      </bottom>
      <diagonal/>
    </border>
    <border>
      <left style="thin">
        <color auto="1"/>
      </left>
      <right style="medium">
        <color auto="1"/>
      </right>
      <top/>
      <bottom style="double">
        <color indexed="57"/>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indexed="64"/>
      </left>
      <right style="thin">
        <color indexed="64"/>
      </right>
      <top/>
      <bottom style="hair">
        <color indexed="64"/>
      </bottom>
      <diagonal/>
    </border>
    <border>
      <left style="thin">
        <color auto="1"/>
      </left>
      <right style="thin">
        <color auto="1"/>
      </right>
      <top style="thin">
        <color auto="1"/>
      </top>
      <bottom style="hair">
        <color auto="1"/>
      </bottom>
      <diagonal/>
    </border>
    <border>
      <left style="thin">
        <color auto="1"/>
      </left>
      <right/>
      <top style="hair">
        <color auto="1"/>
      </top>
      <bottom style="hair">
        <color auto="1"/>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diagonalDown="1">
      <left style="thin">
        <color indexed="64"/>
      </left>
      <right style="thin">
        <color indexed="64"/>
      </right>
      <top style="hair">
        <color indexed="64"/>
      </top>
      <bottom style="hair">
        <color indexed="64"/>
      </bottom>
      <diagonal style="hair">
        <color indexed="64"/>
      </diagonal>
    </border>
    <border>
      <left style="thin">
        <color auto="1"/>
      </left>
      <right/>
      <top style="hair">
        <color auto="1"/>
      </top>
      <bottom style="thin">
        <color auto="1"/>
      </bottom>
      <diagonal/>
    </border>
    <border>
      <left/>
      <right style="thin">
        <color indexed="64"/>
      </right>
      <top style="hair">
        <color indexed="64"/>
      </top>
      <bottom style="thin">
        <color indexed="64"/>
      </bottom>
      <diagonal/>
    </border>
    <border>
      <left style="thin">
        <color indexed="64"/>
      </left>
      <right style="thin">
        <color indexed="64"/>
      </right>
      <top style="hair">
        <color auto="1"/>
      </top>
      <bottom style="thin">
        <color auto="1"/>
      </bottom>
      <diagonal/>
    </border>
    <border diagonalDown="1">
      <left style="thin">
        <color indexed="64"/>
      </left>
      <right style="thin">
        <color indexed="64"/>
      </right>
      <top style="hair">
        <color indexed="64"/>
      </top>
      <bottom style="thin">
        <color auto="1"/>
      </bottom>
      <diagonal style="hair">
        <color indexed="64"/>
      </diagonal>
    </border>
    <border>
      <left/>
      <right style="medium">
        <color indexed="64"/>
      </right>
      <top style="thin">
        <color indexed="64"/>
      </top>
      <bottom/>
      <diagonal/>
    </border>
    <border>
      <left style="thin">
        <color indexed="64"/>
      </left>
      <right style="thin">
        <color indexed="64"/>
      </right>
      <top style="hair">
        <color auto="1"/>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thin">
        <color auto="1"/>
      </top>
      <bottom style="hair">
        <color auto="1"/>
      </bottom>
      <diagonal/>
    </border>
    <border>
      <left/>
      <right/>
      <top style="hair">
        <color auto="1"/>
      </top>
      <bottom style="hair">
        <color auto="1"/>
      </bottom>
      <diagonal/>
    </border>
    <border>
      <left style="thin">
        <color indexed="64"/>
      </left>
      <right/>
      <top style="hair">
        <color auto="1"/>
      </top>
      <bottom style="double">
        <color indexed="64"/>
      </bottom>
      <diagonal/>
    </border>
    <border>
      <left/>
      <right/>
      <top style="hair">
        <color auto="1"/>
      </top>
      <bottom style="double">
        <color indexed="64"/>
      </bottom>
      <diagonal/>
    </border>
    <border>
      <left/>
      <right style="thin">
        <color indexed="64"/>
      </right>
      <top style="hair">
        <color auto="1"/>
      </top>
      <bottom style="double">
        <color indexed="64"/>
      </bottom>
      <diagonal/>
    </border>
    <border>
      <left style="thin">
        <color indexed="64"/>
      </left>
      <right style="thin">
        <color indexed="64"/>
      </right>
      <top style="hair">
        <color auto="1"/>
      </top>
      <bottom style="double">
        <color indexed="64"/>
      </bottom>
      <diagonal/>
    </border>
    <border diagonalDown="1">
      <left style="thin">
        <color indexed="64"/>
      </left>
      <right style="thin">
        <color indexed="64"/>
      </right>
      <top style="hair">
        <color indexed="64"/>
      </top>
      <bottom style="double">
        <color indexed="64"/>
      </bottom>
      <diagonal style="hair">
        <color indexed="64"/>
      </diagonal>
    </border>
    <border>
      <left style="thin">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style="double">
        <color indexed="57"/>
      </bottom>
      <diagonal/>
    </border>
    <border>
      <left style="double">
        <color rgb="FF339966"/>
      </left>
      <right/>
      <top style="double">
        <color indexed="57"/>
      </top>
      <bottom/>
      <diagonal/>
    </border>
    <border>
      <left style="thin">
        <color auto="1"/>
      </left>
      <right style="double">
        <color indexed="57"/>
      </right>
      <top style="double">
        <color indexed="57"/>
      </top>
      <bottom style="thin">
        <color auto="1"/>
      </bottom>
      <diagonal/>
    </border>
    <border>
      <left style="double">
        <color rgb="FF339966"/>
      </left>
      <right/>
      <top style="thin">
        <color indexed="64"/>
      </top>
      <bottom style="double">
        <color indexed="57"/>
      </bottom>
      <diagonal/>
    </border>
    <border>
      <left style="double">
        <color indexed="64"/>
      </left>
      <right style="double">
        <color indexed="64"/>
      </right>
      <top style="double">
        <color indexed="64"/>
      </top>
      <bottom style="double">
        <color indexed="64"/>
      </bottom>
      <diagonal/>
    </border>
    <border>
      <left style="thick">
        <color indexed="64"/>
      </left>
      <right style="thick">
        <color indexed="64"/>
      </right>
      <top style="thick">
        <color indexed="64"/>
      </top>
      <bottom style="thick">
        <color indexed="64"/>
      </bottom>
      <diagonal/>
    </border>
    <border>
      <left/>
      <right/>
      <top/>
      <bottom style="thick">
        <color indexed="64"/>
      </bottom>
      <diagonal/>
    </border>
    <border>
      <left/>
      <right/>
      <top style="hair">
        <color indexed="64"/>
      </top>
      <bottom style="thin">
        <color indexed="64"/>
      </bottom>
      <diagonal/>
    </border>
    <border>
      <left style="thin">
        <color indexed="64"/>
      </left>
      <right style="double">
        <color indexed="57"/>
      </right>
      <top style="thin">
        <color indexed="64"/>
      </top>
      <bottom style="double">
        <color rgb="FF00B050"/>
      </bottom>
      <diagonal/>
    </border>
    <border>
      <left style="thin">
        <color indexed="64"/>
      </left>
      <right/>
      <top style="thin">
        <color indexed="64"/>
      </top>
      <bottom style="double">
        <color rgb="FF00B050"/>
      </bottom>
      <diagonal/>
    </border>
  </borders>
  <cellStyleXfs count="9">
    <xf numFmtId="0" fontId="0" fillId="0" borderId="0"/>
    <xf numFmtId="0" fontId="1" fillId="0" borderId="0">
      <alignment vertical="center"/>
    </xf>
    <xf numFmtId="0" fontId="4" fillId="0" borderId="0">
      <alignment vertical="center"/>
    </xf>
    <xf numFmtId="0" fontId="4" fillId="0" borderId="0"/>
    <xf numFmtId="0" fontId="5" fillId="0" borderId="0"/>
    <xf numFmtId="38" fontId="4" fillId="0" borderId="0" applyFont="0" applyFill="0" applyBorder="0" applyAlignment="0" applyProtection="0">
      <alignment vertical="center"/>
    </xf>
    <xf numFmtId="0" fontId="1" fillId="0" borderId="0">
      <alignment vertical="center"/>
    </xf>
    <xf numFmtId="0" fontId="31" fillId="0" borderId="0">
      <alignment vertical="center"/>
    </xf>
    <xf numFmtId="0" fontId="34" fillId="0" borderId="0">
      <alignment vertical="center"/>
    </xf>
  </cellStyleXfs>
  <cellXfs count="604">
    <xf numFmtId="0" fontId="0" fillId="0" borderId="0" xfId="0"/>
    <xf numFmtId="0" fontId="0" fillId="0" borderId="0" xfId="0" applyAlignment="1">
      <alignment vertical="center"/>
    </xf>
    <xf numFmtId="0" fontId="4" fillId="0" borderId="0" xfId="2">
      <alignment vertical="center"/>
    </xf>
    <xf numFmtId="0" fontId="4" fillId="0" borderId="0" xfId="2" applyAlignment="1">
      <alignment vertical="center"/>
    </xf>
    <xf numFmtId="0" fontId="4" fillId="0" borderId="0" xfId="2" applyAlignment="1">
      <alignment horizontal="left" vertical="center"/>
    </xf>
    <xf numFmtId="0" fontId="8" fillId="0" borderId="0" xfId="2" applyFont="1">
      <alignment vertical="center"/>
    </xf>
    <xf numFmtId="0" fontId="9" fillId="0" borderId="0" xfId="2" applyFont="1" applyAlignment="1">
      <alignment vertical="center"/>
    </xf>
    <xf numFmtId="0" fontId="7" fillId="0" borderId="1" xfId="2" applyFont="1" applyBorder="1" applyAlignment="1">
      <alignment horizontal="center" vertical="center" shrinkToFit="1"/>
    </xf>
    <xf numFmtId="0" fontId="7" fillId="0" borderId="19" xfId="2" applyFont="1" applyBorder="1" applyAlignment="1">
      <alignment horizontal="center" vertical="center" shrinkToFit="1"/>
    </xf>
    <xf numFmtId="0" fontId="7" fillId="0" borderId="13" xfId="2" applyFont="1" applyBorder="1" applyAlignment="1">
      <alignment horizontal="distributed" vertical="center" shrinkToFit="1"/>
    </xf>
    <xf numFmtId="0" fontId="7" fillId="0" borderId="16" xfId="2" applyFont="1" applyBorder="1" applyAlignment="1">
      <alignment horizontal="distributed" vertical="center" shrinkToFit="1"/>
    </xf>
    <xf numFmtId="0" fontId="7" fillId="0" borderId="8" xfId="2" applyFont="1" applyBorder="1" applyAlignment="1">
      <alignment horizontal="center" vertical="center"/>
    </xf>
    <xf numFmtId="0" fontId="7" fillId="0" borderId="17" xfId="2" applyFont="1" applyBorder="1" applyAlignment="1">
      <alignment horizontal="center" vertical="center"/>
    </xf>
    <xf numFmtId="0" fontId="4" fillId="0" borderId="0" xfId="3" applyFont="1" applyBorder="1" applyAlignment="1"/>
    <xf numFmtId="0" fontId="5" fillId="0" borderId="0" xfId="3" applyFont="1" applyBorder="1" applyAlignment="1"/>
    <xf numFmtId="0" fontId="5" fillId="0" borderId="0" xfId="3" applyFont="1" applyBorder="1" applyAlignment="1" applyProtection="1"/>
    <xf numFmtId="0" fontId="5" fillId="0" borderId="0" xfId="3" applyFont="1" applyFill="1" applyBorder="1" applyAlignment="1">
      <alignment vertical="center"/>
    </xf>
    <xf numFmtId="0" fontId="7" fillId="0" borderId="3" xfId="2" applyFont="1" applyBorder="1" applyAlignment="1">
      <alignment horizontal="center" vertical="center" shrinkToFit="1"/>
    </xf>
    <xf numFmtId="0" fontId="7" fillId="0" borderId="39" xfId="2" applyFont="1" applyBorder="1" applyAlignment="1">
      <alignment horizontal="center" vertical="center" shrinkToFit="1"/>
    </xf>
    <xf numFmtId="0" fontId="7" fillId="0" borderId="8" xfId="2" applyFont="1" applyBorder="1" applyAlignment="1">
      <alignment horizontal="center" vertical="center" shrinkToFit="1"/>
    </xf>
    <xf numFmtId="0" fontId="7" fillId="0" borderId="17" xfId="2" applyFont="1" applyBorder="1" applyAlignment="1">
      <alignment horizontal="center" vertical="center" shrinkToFit="1"/>
    </xf>
    <xf numFmtId="0" fontId="19" fillId="0" borderId="0" xfId="3" applyFont="1" applyBorder="1" applyAlignment="1"/>
    <xf numFmtId="0" fontId="5" fillId="0" borderId="0" xfId="3" applyFont="1" applyFill="1" applyBorder="1"/>
    <xf numFmtId="0" fontId="5" fillId="0" borderId="0" xfId="3" applyFont="1" applyFill="1" applyBorder="1" applyAlignment="1">
      <alignment horizontal="center" vertical="center"/>
    </xf>
    <xf numFmtId="0" fontId="5" fillId="0" borderId="0" xfId="3" applyFont="1" applyFill="1" applyBorder="1" applyAlignment="1" applyProtection="1"/>
    <xf numFmtId="0" fontId="19" fillId="0" borderId="0" xfId="3" applyFont="1" applyFill="1" applyBorder="1" applyAlignment="1" applyProtection="1"/>
    <xf numFmtId="0" fontId="20" fillId="0" borderId="0" xfId="3" applyFont="1" applyBorder="1" applyAlignment="1"/>
    <xf numFmtId="0" fontId="21" fillId="0" borderId="0" xfId="3" applyFont="1" applyFill="1" applyBorder="1" applyAlignment="1">
      <alignment vertical="center"/>
    </xf>
    <xf numFmtId="0" fontId="5" fillId="0" borderId="0" xfId="3" applyFont="1" applyFill="1" applyBorder="1" applyAlignment="1"/>
    <xf numFmtId="0" fontId="5" fillId="0" borderId="0" xfId="3" applyFont="1"/>
    <xf numFmtId="0" fontId="19" fillId="0" borderId="0" xfId="3" applyFont="1" applyBorder="1" applyAlignment="1" applyProtection="1"/>
    <xf numFmtId="0" fontId="26" fillId="0" borderId="0" xfId="3" applyFont="1" applyBorder="1" applyAlignment="1"/>
    <xf numFmtId="0" fontId="19" fillId="0" borderId="0" xfId="3" applyFont="1"/>
    <xf numFmtId="0" fontId="9" fillId="0" borderId="0" xfId="2" applyFont="1" applyAlignment="1">
      <alignment horizontal="left" vertical="center"/>
    </xf>
    <xf numFmtId="0" fontId="4" fillId="0" borderId="34" xfId="2" applyBorder="1">
      <alignment vertical="center"/>
    </xf>
    <xf numFmtId="0" fontId="7" fillId="7" borderId="60" xfId="2" applyFont="1" applyFill="1" applyBorder="1" applyAlignment="1">
      <alignment horizontal="distributed" vertical="center" indent="1"/>
    </xf>
    <xf numFmtId="0" fontId="7" fillId="7" borderId="32" xfId="2" applyFont="1" applyFill="1" applyBorder="1" applyAlignment="1">
      <alignment horizontal="distributed" vertical="center" indent="1"/>
    </xf>
    <xf numFmtId="0" fontId="7" fillId="7" borderId="25" xfId="2" applyFont="1" applyFill="1" applyBorder="1" applyAlignment="1">
      <alignment horizontal="center" vertical="center" justifyLastLine="1"/>
    </xf>
    <xf numFmtId="0" fontId="7" fillId="7" borderId="26" xfId="2" applyFont="1" applyFill="1" applyBorder="1" applyAlignment="1">
      <alignment horizontal="center" vertical="center" justifyLastLine="1"/>
    </xf>
    <xf numFmtId="0" fontId="7" fillId="4" borderId="32" xfId="2" applyFont="1" applyFill="1" applyBorder="1" applyAlignment="1">
      <alignment horizontal="center" vertical="center" justifyLastLine="1"/>
    </xf>
    <xf numFmtId="0" fontId="7" fillId="4" borderId="29" xfId="2" applyFont="1" applyFill="1" applyBorder="1" applyAlignment="1">
      <alignment horizontal="center" vertical="center" justifyLastLine="1"/>
    </xf>
    <xf numFmtId="0" fontId="7" fillId="4" borderId="36" xfId="2" applyFont="1" applyFill="1" applyBorder="1" applyAlignment="1">
      <alignment horizontal="center" vertical="center" justifyLastLine="1"/>
    </xf>
    <xf numFmtId="0" fontId="7" fillId="7" borderId="40" xfId="2" applyFont="1" applyFill="1" applyBorder="1" applyAlignment="1">
      <alignment horizontal="center" vertical="center" justifyLastLine="1"/>
    </xf>
    <xf numFmtId="0" fontId="7" fillId="7" borderId="47" xfId="2" applyFont="1" applyFill="1" applyBorder="1" applyAlignment="1">
      <alignment horizontal="center" vertical="center" justifyLastLine="1"/>
    </xf>
    <xf numFmtId="0" fontId="7" fillId="7" borderId="41" xfId="2" applyFont="1" applyFill="1" applyBorder="1" applyAlignment="1">
      <alignment horizontal="center" vertical="center" justifyLastLine="1"/>
    </xf>
    <xf numFmtId="0" fontId="7" fillId="4" borderId="40" xfId="2" applyFont="1" applyFill="1" applyBorder="1" applyAlignment="1">
      <alignment horizontal="center" vertical="center" justifyLastLine="1"/>
    </xf>
    <xf numFmtId="0" fontId="7" fillId="3" borderId="61" xfId="2" applyFont="1" applyFill="1" applyBorder="1" applyAlignment="1">
      <alignment vertical="center" justifyLastLine="1"/>
    </xf>
    <xf numFmtId="0" fontId="7" fillId="3" borderId="14" xfId="2" applyFont="1" applyFill="1" applyBorder="1" applyAlignment="1">
      <alignment vertical="center" justifyLastLine="1"/>
    </xf>
    <xf numFmtId="0" fontId="28" fillId="3" borderId="44" xfId="2" applyFont="1" applyFill="1" applyBorder="1" applyAlignment="1">
      <alignment horizontal="right" vertical="top"/>
    </xf>
    <xf numFmtId="0" fontId="28" fillId="3" borderId="10" xfId="2" applyFont="1" applyFill="1" applyBorder="1" applyAlignment="1">
      <alignment horizontal="right" vertical="top"/>
    </xf>
    <xf numFmtId="0" fontId="28" fillId="3" borderId="14" xfId="2" applyFont="1" applyFill="1" applyBorder="1" applyAlignment="1">
      <alignment horizontal="right" vertical="top"/>
    </xf>
    <xf numFmtId="0" fontId="28" fillId="3" borderId="65" xfId="2" applyFont="1" applyFill="1" applyBorder="1" applyAlignment="1">
      <alignment horizontal="right" vertical="top"/>
    </xf>
    <xf numFmtId="0" fontId="7" fillId="3" borderId="66" xfId="2" applyFont="1" applyFill="1" applyBorder="1" applyAlignment="1">
      <alignment vertical="center" justifyLastLine="1"/>
    </xf>
    <xf numFmtId="0" fontId="7" fillId="3" borderId="15" xfId="2" applyFont="1" applyFill="1" applyBorder="1" applyAlignment="1">
      <alignment vertical="center" justifyLastLine="1"/>
    </xf>
    <xf numFmtId="0" fontId="7" fillId="3" borderId="48" xfId="2" applyFont="1" applyFill="1" applyBorder="1" applyAlignment="1">
      <alignment vertical="center"/>
    </xf>
    <xf numFmtId="0" fontId="7" fillId="3" borderId="6" xfId="2" applyFont="1" applyFill="1" applyBorder="1" applyAlignment="1">
      <alignment vertical="center"/>
    </xf>
    <xf numFmtId="0" fontId="7" fillId="4" borderId="67" xfId="2" applyFont="1" applyFill="1" applyBorder="1" applyAlignment="1">
      <alignment vertical="center" justifyLastLine="1"/>
    </xf>
    <xf numFmtId="0" fontId="7" fillId="3" borderId="13" xfId="2" applyFont="1" applyFill="1" applyBorder="1" applyAlignment="1">
      <alignment vertical="center" justifyLastLine="1"/>
    </xf>
    <xf numFmtId="0" fontId="7" fillId="3" borderId="1" xfId="2" applyFont="1" applyFill="1" applyBorder="1" applyAlignment="1">
      <alignment vertical="center"/>
    </xf>
    <xf numFmtId="0" fontId="7" fillId="4" borderId="67" xfId="2" quotePrefix="1" applyFont="1" applyFill="1" applyBorder="1" applyAlignment="1">
      <alignment vertical="center" justifyLastLine="1"/>
    </xf>
    <xf numFmtId="0" fontId="7" fillId="3" borderId="13" xfId="2" quotePrefix="1" applyFont="1" applyFill="1" applyBorder="1" applyAlignment="1">
      <alignment vertical="center" justifyLastLine="1"/>
    </xf>
    <xf numFmtId="0" fontId="7" fillId="3" borderId="3" xfId="2" applyFont="1" applyFill="1" applyBorder="1" applyAlignment="1">
      <alignment vertical="center"/>
    </xf>
    <xf numFmtId="0" fontId="7" fillId="3" borderId="1" xfId="2" applyFont="1" applyFill="1" applyBorder="1" applyAlignment="1">
      <alignment vertical="center" shrinkToFit="1"/>
    </xf>
    <xf numFmtId="0" fontId="7" fillId="4" borderId="63" xfId="2" applyFont="1" applyFill="1" applyBorder="1" applyAlignment="1">
      <alignment vertical="center" justifyLastLine="1"/>
    </xf>
    <xf numFmtId="0" fontId="7" fillId="3" borderId="40" xfId="2" applyFont="1" applyFill="1" applyBorder="1" applyAlignment="1">
      <alignment vertical="center" justifyLastLine="1"/>
    </xf>
    <xf numFmtId="0" fontId="7" fillId="3" borderId="37" xfId="2" applyFont="1" applyFill="1" applyBorder="1" applyAlignment="1">
      <alignment vertical="center"/>
    </xf>
    <xf numFmtId="0" fontId="7" fillId="3" borderId="38" xfId="2" applyFont="1" applyFill="1" applyBorder="1" applyAlignment="1">
      <alignment vertical="center"/>
    </xf>
    <xf numFmtId="0" fontId="7" fillId="3" borderId="38" xfId="2" applyFont="1" applyFill="1" applyBorder="1" applyAlignment="1">
      <alignment vertical="center" shrinkToFit="1"/>
    </xf>
    <xf numFmtId="0" fontId="19" fillId="0" borderId="0" xfId="3" applyFont="1" applyFill="1" applyBorder="1" applyAlignment="1">
      <alignment vertical="center" shrinkToFit="1"/>
    </xf>
    <xf numFmtId="0" fontId="14" fillId="0" borderId="0" xfId="3" applyFont="1" applyBorder="1" applyAlignment="1"/>
    <xf numFmtId="0" fontId="19" fillId="0" borderId="0" xfId="7" applyFont="1" applyBorder="1">
      <alignment vertical="center"/>
    </xf>
    <xf numFmtId="0" fontId="18" fillId="0" borderId="0" xfId="3" applyFont="1" applyBorder="1" applyAlignment="1"/>
    <xf numFmtId="0" fontId="12" fillId="0" borderId="0" xfId="3" applyFont="1" applyBorder="1" applyAlignment="1">
      <alignment horizontal="right" vertical="center"/>
    </xf>
    <xf numFmtId="0" fontId="12" fillId="0" borderId="0" xfId="3" applyFont="1" applyBorder="1" applyAlignment="1"/>
    <xf numFmtId="0" fontId="4" fillId="0" borderId="0" xfId="3"/>
    <xf numFmtId="0" fontId="19" fillId="6" borderId="72" xfId="3" applyFont="1" applyFill="1" applyBorder="1" applyAlignment="1">
      <alignment vertical="center" wrapText="1"/>
    </xf>
    <xf numFmtId="0" fontId="33" fillId="5" borderId="55" xfId="3" applyFont="1" applyFill="1" applyBorder="1" applyAlignment="1">
      <alignment vertical="center"/>
    </xf>
    <xf numFmtId="0" fontId="25" fillId="5" borderId="56" xfId="3" applyFont="1" applyFill="1" applyBorder="1" applyAlignment="1">
      <alignment vertical="center"/>
    </xf>
    <xf numFmtId="0" fontId="24" fillId="5" borderId="56" xfId="3" applyFont="1" applyFill="1" applyBorder="1" applyAlignment="1">
      <alignment vertical="center" wrapText="1"/>
    </xf>
    <xf numFmtId="177" fontId="23" fillId="5" borderId="74" xfId="3" applyNumberFormat="1" applyFont="1" applyFill="1" applyBorder="1" applyAlignment="1"/>
    <xf numFmtId="177" fontId="23" fillId="5" borderId="75" xfId="3" applyNumberFormat="1" applyFont="1" applyFill="1" applyBorder="1" applyAlignment="1"/>
    <xf numFmtId="0" fontId="32" fillId="8" borderId="76" xfId="3" applyFont="1" applyFill="1" applyBorder="1" applyAlignment="1">
      <alignment vertical="center"/>
    </xf>
    <xf numFmtId="0" fontId="19" fillId="0" borderId="77" xfId="3" applyFont="1" applyFill="1" applyBorder="1" applyAlignment="1">
      <alignment vertical="center" wrapText="1"/>
    </xf>
    <xf numFmtId="0" fontId="33" fillId="0" borderId="51" xfId="3" applyFont="1" applyFill="1" applyBorder="1" applyAlignment="1">
      <alignment vertical="center"/>
    </xf>
    <xf numFmtId="0" fontId="25" fillId="0" borderId="43" xfId="3" applyFont="1" applyFill="1" applyBorder="1" applyAlignment="1">
      <alignment vertical="center"/>
    </xf>
    <xf numFmtId="0" fontId="24" fillId="0" borderId="43" xfId="3" applyFont="1" applyFill="1" applyBorder="1" applyAlignment="1">
      <alignment vertical="center" wrapText="1"/>
    </xf>
    <xf numFmtId="38" fontId="23" fillId="5" borderId="4" xfId="5" applyFont="1" applyFill="1" applyBorder="1" applyAlignment="1"/>
    <xf numFmtId="0" fontId="23" fillId="0" borderId="50" xfId="3" applyNumberFormat="1" applyFont="1" applyFill="1" applyBorder="1" applyAlignment="1"/>
    <xf numFmtId="0" fontId="23" fillId="0" borderId="58" xfId="3" applyNumberFormat="1" applyFont="1" applyFill="1" applyBorder="1" applyAlignment="1"/>
    <xf numFmtId="0" fontId="32" fillId="0" borderId="78" xfId="3" applyFont="1" applyFill="1" applyBorder="1" applyAlignment="1">
      <alignment vertical="center"/>
    </xf>
    <xf numFmtId="0" fontId="19" fillId="6" borderId="79" xfId="3" applyFont="1" applyFill="1" applyBorder="1" applyAlignment="1">
      <alignment vertical="center" wrapText="1"/>
    </xf>
    <xf numFmtId="0" fontId="32" fillId="8" borderId="80" xfId="3" applyFont="1" applyFill="1" applyBorder="1" applyAlignment="1">
      <alignment vertical="center"/>
    </xf>
    <xf numFmtId="0" fontId="19" fillId="0" borderId="81" xfId="3" applyFont="1" applyFill="1" applyBorder="1" applyAlignment="1">
      <alignment vertical="center" wrapText="1"/>
    </xf>
    <xf numFmtId="0" fontId="32" fillId="0" borderId="82" xfId="3" applyFont="1" applyFill="1" applyBorder="1" applyAlignment="1">
      <alignment vertical="center"/>
    </xf>
    <xf numFmtId="0" fontId="19" fillId="0" borderId="0" xfId="3" applyFont="1" applyFill="1" applyBorder="1" applyAlignment="1"/>
    <xf numFmtId="0" fontId="5" fillId="0" borderId="0" xfId="3" applyFont="1" applyFill="1"/>
    <xf numFmtId="0" fontId="25" fillId="0" borderId="0" xfId="3" applyFont="1" applyFill="1" applyBorder="1" applyAlignment="1">
      <alignment vertical="center"/>
    </xf>
    <xf numFmtId="0" fontId="23" fillId="0" borderId="0" xfId="3" applyNumberFormat="1" applyFont="1" applyFill="1" applyBorder="1" applyAlignment="1"/>
    <xf numFmtId="0" fontId="19" fillId="0" borderId="0" xfId="3" applyFont="1" applyFill="1" applyBorder="1" applyAlignment="1">
      <alignment vertical="center"/>
    </xf>
    <xf numFmtId="178" fontId="19" fillId="0" borderId="0" xfId="3" applyNumberFormat="1" applyFont="1" applyFill="1" applyBorder="1" applyAlignment="1">
      <alignment vertical="center"/>
    </xf>
    <xf numFmtId="0" fontId="5" fillId="0" borderId="0" xfId="3" applyFont="1" applyFill="1" applyBorder="1" applyAlignment="1">
      <alignment vertical="top"/>
    </xf>
    <xf numFmtId="0" fontId="19" fillId="6" borderId="85" xfId="3" applyFont="1" applyFill="1" applyBorder="1" applyAlignment="1">
      <alignment vertical="center" shrinkToFit="1"/>
    </xf>
    <xf numFmtId="0" fontId="24" fillId="5" borderId="86" xfId="3" applyFont="1" applyFill="1" applyBorder="1" applyAlignment="1">
      <alignment vertical="center"/>
    </xf>
    <xf numFmtId="0" fontId="23" fillId="5" borderId="73" xfId="3" applyFont="1" applyFill="1" applyBorder="1" applyAlignment="1">
      <alignment vertical="center"/>
    </xf>
    <xf numFmtId="0" fontId="24" fillId="5" borderId="73" xfId="3" applyFont="1" applyFill="1" applyBorder="1" applyAlignment="1">
      <alignment vertical="center" wrapText="1"/>
    </xf>
    <xf numFmtId="0" fontId="19" fillId="9" borderId="76" xfId="3" applyFont="1" applyFill="1" applyBorder="1" applyAlignment="1" applyProtection="1">
      <alignment vertical="center"/>
    </xf>
    <xf numFmtId="0" fontId="19" fillId="6" borderId="88" xfId="3" applyFont="1" applyFill="1" applyBorder="1" applyAlignment="1">
      <alignment vertical="center" shrinkToFit="1"/>
    </xf>
    <xf numFmtId="0" fontId="24" fillId="5" borderId="89" xfId="3" applyFont="1" applyFill="1" applyBorder="1" applyAlignment="1">
      <alignment vertical="center"/>
    </xf>
    <xf numFmtId="0" fontId="23" fillId="5" borderId="1" xfId="3" applyFont="1" applyFill="1" applyBorder="1" applyAlignment="1">
      <alignment vertical="center"/>
    </xf>
    <xf numFmtId="0" fontId="24" fillId="5" borderId="1" xfId="3" applyFont="1" applyFill="1" applyBorder="1" applyAlignment="1">
      <alignment vertical="center" wrapText="1"/>
    </xf>
    <xf numFmtId="0" fontId="19" fillId="9" borderId="80" xfId="3" applyFont="1" applyFill="1" applyBorder="1" applyAlignment="1" applyProtection="1">
      <alignment vertical="center"/>
    </xf>
    <xf numFmtId="0" fontId="19" fillId="6" borderId="90" xfId="3" applyFont="1" applyFill="1" applyBorder="1" applyAlignment="1">
      <alignment vertical="center" shrinkToFit="1"/>
    </xf>
    <xf numFmtId="0" fontId="14" fillId="0" borderId="0" xfId="3" applyFont="1" applyBorder="1" applyAlignment="1"/>
    <xf numFmtId="0" fontId="15" fillId="0" borderId="0" xfId="3" applyFont="1" applyFill="1" applyBorder="1" applyAlignment="1">
      <alignment horizontal="center" vertical="center" wrapText="1"/>
    </xf>
    <xf numFmtId="0" fontId="14" fillId="0" borderId="0" xfId="3" applyFont="1" applyFill="1" applyBorder="1" applyAlignment="1"/>
    <xf numFmtId="0" fontId="15" fillId="0" borderId="0" xfId="3" applyFont="1" applyFill="1" applyBorder="1" applyAlignment="1">
      <alignment vertical="center" wrapText="1"/>
    </xf>
    <xf numFmtId="0" fontId="15" fillId="0" borderId="42" xfId="3" applyFont="1" applyFill="1" applyBorder="1" applyAlignment="1">
      <alignment horizontal="distributed" vertical="center" wrapText="1"/>
    </xf>
    <xf numFmtId="177" fontId="17" fillId="0" borderId="0" xfId="3" applyNumberFormat="1" applyFont="1" applyFill="1" applyBorder="1" applyAlignment="1">
      <alignment vertical="center"/>
    </xf>
    <xf numFmtId="177" fontId="17" fillId="0" borderId="0" xfId="3" applyNumberFormat="1" applyFont="1" applyFill="1" applyBorder="1" applyAlignment="1">
      <alignment horizontal="right" vertical="top"/>
    </xf>
    <xf numFmtId="0" fontId="13" fillId="0" borderId="0" xfId="3" applyFont="1" applyFill="1" applyBorder="1" applyAlignment="1"/>
    <xf numFmtId="0" fontId="15" fillId="0" borderId="49" xfId="3" applyFont="1" applyFill="1" applyBorder="1" applyAlignment="1">
      <alignment horizontal="distributed" vertical="center"/>
    </xf>
    <xf numFmtId="1" fontId="15" fillId="0" borderId="0" xfId="3" applyNumberFormat="1" applyFont="1" applyFill="1" applyBorder="1" applyAlignment="1">
      <alignment vertical="center"/>
    </xf>
    <xf numFmtId="0" fontId="5" fillId="0" borderId="0" xfId="4" applyFont="1" applyFill="1" applyBorder="1" applyAlignment="1">
      <alignment vertical="center"/>
    </xf>
    <xf numFmtId="0" fontId="15" fillId="0" borderId="108" xfId="3" applyFont="1" applyFill="1" applyBorder="1" applyAlignment="1">
      <alignment horizontal="distributed" vertical="center"/>
    </xf>
    <xf numFmtId="0" fontId="15" fillId="0" borderId="0" xfId="3" applyFont="1" applyFill="1" applyBorder="1" applyAlignment="1">
      <alignment vertical="center"/>
    </xf>
    <xf numFmtId="177" fontId="17" fillId="0" borderId="103" xfId="3" applyNumberFormat="1" applyFont="1" applyFill="1" applyBorder="1" applyAlignment="1">
      <alignment vertical="top"/>
    </xf>
    <xf numFmtId="0" fontId="35" fillId="0" borderId="0" xfId="3" applyFont="1" applyFill="1" applyBorder="1" applyAlignment="1">
      <alignment horizontal="left" vertical="center" wrapText="1"/>
    </xf>
    <xf numFmtId="177" fontId="17" fillId="0" borderId="0" xfId="3" applyNumberFormat="1" applyFont="1" applyFill="1" applyBorder="1" applyAlignment="1">
      <alignment vertical="top"/>
    </xf>
    <xf numFmtId="0" fontId="16" fillId="0" borderId="0" xfId="3" applyFont="1" applyFill="1" applyBorder="1" applyAlignment="1">
      <alignment vertical="center" wrapText="1"/>
    </xf>
    <xf numFmtId="0" fontId="4" fillId="0" borderId="0" xfId="3" applyFont="1" applyFill="1" applyBorder="1" applyAlignment="1">
      <alignment horizontal="distributed" vertical="center" justifyLastLine="1"/>
    </xf>
    <xf numFmtId="0" fontId="17" fillId="0" borderId="0" xfId="3" applyFont="1" applyFill="1" applyBorder="1" applyAlignment="1">
      <alignment horizontal="right" vertical="top" wrapText="1"/>
    </xf>
    <xf numFmtId="0" fontId="15" fillId="0" borderId="0" xfId="3" applyFont="1" applyFill="1" applyBorder="1" applyAlignment="1" applyProtection="1">
      <alignment vertical="center" justifyLastLine="1"/>
    </xf>
    <xf numFmtId="0" fontId="28" fillId="7" borderId="63" xfId="2" applyFont="1" applyFill="1" applyBorder="1" applyAlignment="1">
      <alignment horizontal="center" vertical="center" justifyLastLine="1"/>
    </xf>
    <xf numFmtId="0" fontId="7" fillId="4" borderId="25" xfId="2" applyFont="1" applyFill="1" applyBorder="1" applyAlignment="1">
      <alignment horizontal="center" vertical="center" justifyLastLine="1"/>
    </xf>
    <xf numFmtId="0" fontId="7" fillId="4" borderId="17" xfId="2" applyFont="1" applyFill="1" applyBorder="1" applyAlignment="1">
      <alignment horizontal="center" vertical="center" wrapText="1" justifyLastLine="1"/>
    </xf>
    <xf numFmtId="0" fontId="7" fillId="4" borderId="18" xfId="2" applyFont="1" applyFill="1" applyBorder="1" applyAlignment="1">
      <alignment horizontal="center" vertical="center" wrapText="1" justifyLastLine="1"/>
    </xf>
    <xf numFmtId="0" fontId="38" fillId="7" borderId="118" xfId="2" applyFont="1" applyFill="1" applyBorder="1" applyAlignment="1">
      <alignment horizontal="center" vertical="center"/>
    </xf>
    <xf numFmtId="0" fontId="38" fillId="0" borderId="63" xfId="2" applyFont="1" applyBorder="1" applyAlignment="1">
      <alignment horizontal="center" vertical="center"/>
    </xf>
    <xf numFmtId="0" fontId="0" fillId="4" borderId="9" xfId="0" applyFill="1" applyBorder="1" applyAlignment="1">
      <alignment horizontal="center"/>
    </xf>
    <xf numFmtId="0" fontId="0" fillId="0" borderId="8" xfId="0" applyBorder="1"/>
    <xf numFmtId="0" fontId="0" fillId="4" borderId="8" xfId="0" applyFill="1" applyBorder="1" applyAlignment="1">
      <alignment horizontal="center"/>
    </xf>
    <xf numFmtId="180" fontId="23" fillId="5" borderId="73" xfId="5" applyNumberFormat="1" applyFont="1" applyFill="1" applyBorder="1" applyAlignment="1"/>
    <xf numFmtId="0" fontId="16" fillId="0" borderId="0" xfId="3" applyFont="1" applyBorder="1" applyAlignment="1">
      <alignment horizontal="left"/>
    </xf>
    <xf numFmtId="0" fontId="16" fillId="0" borderId="0" xfId="3" applyFont="1" applyFill="1" applyBorder="1" applyAlignment="1">
      <alignment horizontal="left" vertical="center"/>
    </xf>
    <xf numFmtId="0" fontId="16" fillId="0" borderId="0" xfId="3" applyFont="1" applyFill="1" applyBorder="1" applyAlignment="1">
      <alignment horizontal="left"/>
    </xf>
    <xf numFmtId="0" fontId="16" fillId="0" borderId="0" xfId="3" applyFont="1" applyBorder="1" applyAlignment="1" applyProtection="1">
      <alignment horizontal="left"/>
    </xf>
    <xf numFmtId="0" fontId="33" fillId="5" borderId="83" xfId="3" applyFont="1" applyFill="1" applyBorder="1" applyAlignment="1">
      <alignment vertical="center"/>
    </xf>
    <xf numFmtId="0" fontId="33" fillId="0" borderId="57" xfId="3" applyFont="1" applyFill="1" applyBorder="1" applyAlignment="1">
      <alignment vertical="center"/>
    </xf>
    <xf numFmtId="0" fontId="25" fillId="0" borderId="52" xfId="3" applyFont="1" applyFill="1" applyBorder="1" applyAlignment="1">
      <alignment vertical="center"/>
    </xf>
    <xf numFmtId="0" fontId="24" fillId="0" borderId="52" xfId="3" applyFont="1" applyFill="1" applyBorder="1" applyAlignment="1">
      <alignment vertical="center" wrapText="1"/>
    </xf>
    <xf numFmtId="38" fontId="23" fillId="5" borderId="119" xfId="5" applyFont="1" applyFill="1" applyBorder="1" applyAlignment="1"/>
    <xf numFmtId="0" fontId="23" fillId="0" borderId="120" xfId="3" applyNumberFormat="1" applyFont="1" applyFill="1" applyBorder="1" applyAlignment="1"/>
    <xf numFmtId="0" fontId="23" fillId="0" borderId="121" xfId="3" applyNumberFormat="1" applyFont="1" applyFill="1" applyBorder="1" applyAlignment="1"/>
    <xf numFmtId="0" fontId="4" fillId="0" borderId="0" xfId="3" applyFill="1" applyBorder="1"/>
    <xf numFmtId="0" fontId="18" fillId="0" borderId="0" xfId="3" applyFont="1" applyFill="1" applyBorder="1" applyAlignment="1">
      <alignment vertical="center"/>
    </xf>
    <xf numFmtId="0" fontId="18" fillId="0" borderId="0" xfId="3" applyFont="1" applyFill="1" applyBorder="1" applyAlignment="1"/>
    <xf numFmtId="179" fontId="19" fillId="0" borderId="0" xfId="3" applyNumberFormat="1" applyFont="1" applyFill="1" applyBorder="1" applyAlignment="1">
      <alignment vertical="center"/>
    </xf>
    <xf numFmtId="0" fontId="19" fillId="0" borderId="0" xfId="3" applyNumberFormat="1" applyFont="1" applyFill="1" applyBorder="1" applyAlignment="1">
      <alignment vertical="center"/>
    </xf>
    <xf numFmtId="178" fontId="19" fillId="0" borderId="0" xfId="3" applyNumberFormat="1" applyFont="1" applyFill="1" applyBorder="1" applyAlignment="1">
      <alignment horizontal="center" vertical="center"/>
    </xf>
    <xf numFmtId="179" fontId="4" fillId="0" borderId="0" xfId="3" applyNumberFormat="1" applyFill="1" applyBorder="1" applyAlignment="1">
      <alignment vertical="center"/>
    </xf>
    <xf numFmtId="0" fontId="4" fillId="0" borderId="0" xfId="3" applyFill="1" applyBorder="1" applyAlignment="1">
      <alignment vertical="center"/>
    </xf>
    <xf numFmtId="38" fontId="32" fillId="0" borderId="0" xfId="5" applyFont="1" applyFill="1" applyBorder="1" applyAlignment="1">
      <alignment vertical="center"/>
    </xf>
    <xf numFmtId="0" fontId="19" fillId="9" borderId="122" xfId="3" applyFont="1" applyFill="1" applyBorder="1" applyAlignment="1" applyProtection="1">
      <alignment vertical="center"/>
    </xf>
    <xf numFmtId="0" fontId="24" fillId="5" borderId="123" xfId="3" applyFont="1" applyFill="1" applyBorder="1" applyAlignment="1">
      <alignment vertical="center"/>
    </xf>
    <xf numFmtId="0" fontId="23" fillId="5" borderId="119" xfId="3" applyFont="1" applyFill="1" applyBorder="1" applyAlignment="1">
      <alignment vertical="center"/>
    </xf>
    <xf numFmtId="0" fontId="24" fillId="5" borderId="119" xfId="3" applyFont="1" applyFill="1" applyBorder="1" applyAlignment="1">
      <alignment vertical="center" wrapText="1"/>
    </xf>
    <xf numFmtId="177" fontId="23" fillId="0" borderId="0" xfId="3" applyNumberFormat="1" applyFont="1" applyFill="1" applyBorder="1" applyAlignment="1"/>
    <xf numFmtId="180" fontId="23" fillId="0" borderId="0" xfId="5" applyNumberFormat="1" applyFont="1" applyFill="1" applyBorder="1" applyAlignment="1"/>
    <xf numFmtId="38" fontId="23" fillId="0" borderId="0" xfId="5" applyFont="1" applyFill="1" applyBorder="1" applyAlignment="1"/>
    <xf numFmtId="0" fontId="14" fillId="0" borderId="0" xfId="3" applyFont="1" applyBorder="1" applyAlignment="1"/>
    <xf numFmtId="0" fontId="12" fillId="0" borderId="0" xfId="3" applyFont="1" applyFill="1" applyBorder="1" applyAlignment="1"/>
    <xf numFmtId="181" fontId="7" fillId="0" borderId="8" xfId="2" applyNumberFormat="1" applyFont="1" applyBorder="1" applyAlignment="1">
      <alignment horizontal="center" vertical="center"/>
    </xf>
    <xf numFmtId="181" fontId="7" fillId="0" borderId="17" xfId="2" applyNumberFormat="1" applyFont="1" applyBorder="1" applyAlignment="1">
      <alignment horizontal="center" vertical="center"/>
    </xf>
    <xf numFmtId="0" fontId="0" fillId="2" borderId="8" xfId="0" applyFill="1" applyBorder="1"/>
    <xf numFmtId="0" fontId="39" fillId="0" borderId="0" xfId="3" applyFont="1" applyBorder="1" applyAlignment="1"/>
    <xf numFmtId="0" fontId="40" fillId="0" borderId="0" xfId="3" applyFont="1" applyBorder="1" applyAlignment="1"/>
    <xf numFmtId="0" fontId="0" fillId="4" borderId="8" xfId="0" applyFill="1" applyBorder="1" applyAlignment="1">
      <alignment horizontal="left"/>
    </xf>
    <xf numFmtId="0" fontId="42" fillId="0" borderId="0" xfId="3" applyFont="1" applyBorder="1" applyAlignment="1"/>
    <xf numFmtId="0" fontId="43" fillId="0" borderId="0" xfId="3" applyFont="1" applyBorder="1" applyAlignment="1"/>
    <xf numFmtId="0" fontId="15" fillId="0" borderId="49" xfId="3" applyFont="1" applyFill="1" applyBorder="1" applyAlignment="1">
      <alignment horizontal="center" vertical="center" wrapText="1"/>
    </xf>
    <xf numFmtId="0" fontId="15" fillId="0" borderId="4" xfId="3" applyFont="1" applyFill="1" applyBorder="1" applyAlignment="1">
      <alignment horizontal="center" vertical="center" wrapText="1"/>
    </xf>
    <xf numFmtId="0" fontId="15" fillId="0" borderId="62" xfId="3" applyFont="1" applyFill="1" applyBorder="1" applyAlignment="1">
      <alignment horizontal="center" vertical="center" wrapText="1"/>
    </xf>
    <xf numFmtId="0" fontId="15" fillId="0" borderId="60" xfId="3" applyFont="1" applyFill="1" applyBorder="1" applyAlignment="1">
      <alignment horizontal="center" vertical="center" wrapText="1"/>
    </xf>
    <xf numFmtId="0" fontId="15" fillId="0" borderId="34" xfId="3" applyFont="1" applyFill="1" applyBorder="1" applyAlignment="1">
      <alignment horizontal="center" vertical="center" justifyLastLine="1"/>
    </xf>
    <xf numFmtId="0" fontId="44" fillId="0" borderId="0" xfId="0" applyFont="1"/>
    <xf numFmtId="0" fontId="15" fillId="0" borderId="0" xfId="0" applyFont="1" applyAlignment="1">
      <alignment vertical="center" wrapText="1" justifyLastLine="1"/>
    </xf>
    <xf numFmtId="0" fontId="15" fillId="0" borderId="0" xfId="0" applyFont="1" applyAlignment="1">
      <alignment horizontal="center" vertical="center" wrapText="1" justifyLastLine="1"/>
    </xf>
    <xf numFmtId="0" fontId="19" fillId="0" borderId="3" xfId="0" applyFont="1" applyBorder="1" applyAlignment="1">
      <alignment horizontal="center" vertical="center"/>
    </xf>
    <xf numFmtId="0" fontId="19" fillId="0" borderId="50" xfId="0" applyFont="1" applyBorder="1" applyAlignment="1">
      <alignment horizontal="center" vertical="center"/>
    </xf>
    <xf numFmtId="0" fontId="19" fillId="0" borderId="50" xfId="0" applyFont="1" applyBorder="1" applyAlignment="1">
      <alignment vertical="center"/>
    </xf>
    <xf numFmtId="0" fontId="19" fillId="0" borderId="5" xfId="0" applyFont="1" applyBorder="1" applyAlignment="1">
      <alignment vertical="center"/>
    </xf>
    <xf numFmtId="0" fontId="19" fillId="0" borderId="9" xfId="0" applyFont="1" applyBorder="1" applyAlignment="1">
      <alignment horizontal="center" vertical="center"/>
    </xf>
    <xf numFmtId="0" fontId="19" fillId="0" borderId="8" xfId="0" applyFont="1" applyBorder="1" applyAlignment="1">
      <alignment horizontal="center" vertical="center"/>
    </xf>
    <xf numFmtId="0" fontId="19" fillId="0" borderId="2" xfId="0" applyFont="1" applyBorder="1" applyAlignment="1">
      <alignment horizontal="center" vertical="center"/>
    </xf>
    <xf numFmtId="0" fontId="19" fillId="0" borderId="68" xfId="0" applyFont="1" applyBorder="1" applyAlignment="1">
      <alignment vertical="center" shrinkToFit="1"/>
    </xf>
    <xf numFmtId="0" fontId="32" fillId="0" borderId="68" xfId="0" applyFont="1" applyBorder="1" applyAlignment="1">
      <alignment horizontal="center" vertical="center"/>
    </xf>
    <xf numFmtId="0" fontId="32" fillId="0" borderId="68" xfId="0" applyFont="1" applyBorder="1" applyAlignment="1">
      <alignment vertical="center"/>
    </xf>
    <xf numFmtId="178" fontId="32" fillId="0" borderId="0" xfId="0" applyNumberFormat="1" applyFont="1" applyAlignment="1">
      <alignment vertical="center" shrinkToFit="1"/>
    </xf>
    <xf numFmtId="178" fontId="32" fillId="0" borderId="43" xfId="0" applyNumberFormat="1" applyFont="1" applyBorder="1" applyAlignment="1">
      <alignment vertical="center" shrinkToFit="1"/>
    </xf>
    <xf numFmtId="178" fontId="32" fillId="0" borderId="68" xfId="0" applyNumberFormat="1" applyFont="1" applyBorder="1" applyAlignment="1">
      <alignment vertical="center" shrinkToFit="1"/>
    </xf>
    <xf numFmtId="178" fontId="32" fillId="0" borderId="0" xfId="0" applyNumberFormat="1" applyFont="1" applyAlignment="1">
      <alignment vertical="center"/>
    </xf>
    <xf numFmtId="178" fontId="19" fillId="0" borderId="0" xfId="0" applyNumberFormat="1" applyFont="1" applyAlignment="1">
      <alignment vertical="center"/>
    </xf>
    <xf numFmtId="179" fontId="19" fillId="0" borderId="8" xfId="0" applyNumberFormat="1" applyFont="1" applyBorder="1" applyAlignment="1">
      <alignment vertical="center" shrinkToFit="1"/>
    </xf>
    <xf numFmtId="179" fontId="19" fillId="0" borderId="3" xfId="0" applyNumberFormat="1" applyFont="1" applyBorder="1" applyAlignment="1">
      <alignment vertical="center"/>
    </xf>
    <xf numFmtId="0" fontId="19" fillId="0" borderId="8" xfId="0" applyFont="1" applyBorder="1" applyAlignment="1">
      <alignment vertical="center" shrinkToFit="1"/>
    </xf>
    <xf numFmtId="0" fontId="19" fillId="0" borderId="34" xfId="0" applyFont="1" applyBorder="1" applyAlignment="1">
      <alignment vertical="center" shrinkToFit="1"/>
    </xf>
    <xf numFmtId="0" fontId="19" fillId="0" borderId="13" xfId="0" applyFont="1" applyBorder="1" applyAlignment="1">
      <alignment vertical="center" shrinkToFit="1"/>
    </xf>
    <xf numFmtId="178" fontId="32" fillId="0" borderId="6" xfId="0" applyNumberFormat="1" applyFont="1" applyBorder="1" applyAlignment="1">
      <alignment vertical="center" shrinkToFit="1"/>
    </xf>
    <xf numFmtId="178" fontId="32" fillId="0" borderId="11" xfId="0" applyNumberFormat="1" applyFont="1" applyBorder="1" applyAlignment="1">
      <alignment vertical="center" shrinkToFit="1"/>
    </xf>
    <xf numFmtId="0" fontId="19" fillId="0" borderId="68" xfId="0" applyFont="1" applyBorder="1" applyAlignment="1">
      <alignment vertical="center"/>
    </xf>
    <xf numFmtId="179" fontId="19" fillId="0" borderId="128" xfId="0" applyNumberFormat="1" applyFont="1" applyBorder="1" applyAlignment="1">
      <alignment vertical="center" shrinkToFit="1"/>
    </xf>
    <xf numFmtId="179" fontId="19" fillId="0" borderId="129" xfId="0" applyNumberFormat="1" applyFont="1" applyBorder="1" applyAlignment="1">
      <alignment vertical="center" shrinkToFit="1"/>
    </xf>
    <xf numFmtId="179" fontId="19" fillId="0" borderId="43" xfId="0" applyNumberFormat="1" applyFont="1" applyBorder="1" applyAlignment="1">
      <alignment vertical="center"/>
    </xf>
    <xf numFmtId="179" fontId="19" fillId="0" borderId="0" xfId="0" applyNumberFormat="1" applyFont="1" applyAlignment="1">
      <alignment vertical="center"/>
    </xf>
    <xf numFmtId="179" fontId="19" fillId="0" borderId="50" xfId="0" applyNumberFormat="1" applyFont="1" applyBorder="1" applyAlignment="1">
      <alignment vertical="center"/>
    </xf>
    <xf numFmtId="0" fontId="19" fillId="0" borderId="43" xfId="0" applyFont="1" applyBorder="1"/>
    <xf numFmtId="0" fontId="19" fillId="0" borderId="128" xfId="0" applyFont="1" applyBorder="1" applyAlignment="1">
      <alignment vertical="center" shrinkToFit="1"/>
    </xf>
    <xf numFmtId="0" fontId="19" fillId="0" borderId="0" xfId="0" applyFont="1" applyAlignment="1">
      <alignment vertical="center"/>
    </xf>
    <xf numFmtId="0" fontId="19" fillId="0" borderId="44" xfId="0" applyFont="1" applyBorder="1" applyAlignment="1">
      <alignment vertical="center"/>
    </xf>
    <xf numFmtId="0" fontId="19" fillId="0" borderId="9" xfId="0" applyFont="1" applyBorder="1" applyAlignment="1">
      <alignment vertical="center" shrinkToFit="1"/>
    </xf>
    <xf numFmtId="0" fontId="32" fillId="0" borderId="9" xfId="0" applyFont="1" applyBorder="1" applyAlignment="1">
      <alignment horizontal="center" vertical="center"/>
    </xf>
    <xf numFmtId="0" fontId="32" fillId="0" borderId="9" xfId="0" applyFont="1" applyBorder="1" applyAlignment="1">
      <alignment vertical="center"/>
    </xf>
    <xf numFmtId="179" fontId="19" fillId="0" borderId="132" xfId="0" applyNumberFormat="1" applyFont="1" applyBorder="1" applyAlignment="1">
      <alignment vertical="center" shrinkToFit="1"/>
    </xf>
    <xf numFmtId="179" fontId="19" fillId="0" borderId="133" xfId="0" applyNumberFormat="1" applyFont="1" applyBorder="1" applyAlignment="1">
      <alignment vertical="center"/>
    </xf>
    <xf numFmtId="0" fontId="19" fillId="0" borderId="132" xfId="0" applyFont="1" applyBorder="1" applyAlignment="1">
      <alignment vertical="center" shrinkToFit="1"/>
    </xf>
    <xf numFmtId="179" fontId="19" fillId="0" borderId="136" xfId="0" applyNumberFormat="1" applyFont="1" applyBorder="1" applyAlignment="1">
      <alignment vertical="center" shrinkToFit="1"/>
    </xf>
    <xf numFmtId="179" fontId="19" fillId="0" borderId="137" xfId="0" applyNumberFormat="1" applyFont="1" applyBorder="1" applyAlignment="1">
      <alignment vertical="center"/>
    </xf>
    <xf numFmtId="179" fontId="19" fillId="0" borderId="6" xfId="0" applyNumberFormat="1" applyFont="1" applyBorder="1" applyAlignment="1">
      <alignment vertical="center"/>
    </xf>
    <xf numFmtId="179" fontId="19" fillId="0" borderId="48" xfId="0" applyNumberFormat="1" applyFont="1" applyBorder="1" applyAlignment="1">
      <alignment vertical="center"/>
    </xf>
    <xf numFmtId="0" fontId="19" fillId="0" borderId="136" xfId="0" applyFont="1" applyBorder="1" applyAlignment="1">
      <alignment vertical="center" shrinkToFit="1"/>
    </xf>
    <xf numFmtId="0" fontId="19" fillId="0" borderId="6" xfId="0" applyFont="1" applyBorder="1" applyAlignment="1">
      <alignment vertical="center"/>
    </xf>
    <xf numFmtId="0" fontId="19" fillId="0" borderId="7" xfId="0" applyFont="1" applyBorder="1" applyAlignment="1">
      <alignment vertical="center"/>
    </xf>
    <xf numFmtId="0" fontId="19" fillId="0" borderId="48" xfId="0" applyFont="1" applyBorder="1" applyAlignment="1">
      <alignment vertical="center"/>
    </xf>
    <xf numFmtId="178" fontId="19" fillId="0" borderId="43" xfId="0" applyNumberFormat="1" applyFont="1" applyBorder="1" applyAlignment="1">
      <alignment vertical="center"/>
    </xf>
    <xf numFmtId="179" fontId="19" fillId="0" borderId="34" xfId="0" applyNumberFormat="1" applyFont="1" applyBorder="1" applyAlignment="1">
      <alignment vertical="center" shrinkToFit="1"/>
    </xf>
    <xf numFmtId="179" fontId="19" fillId="0" borderId="1" xfId="0" applyNumberFormat="1" applyFont="1" applyBorder="1" applyAlignment="1">
      <alignment vertical="center"/>
    </xf>
    <xf numFmtId="179" fontId="19" fillId="0" borderId="2" xfId="0" applyNumberFormat="1" applyFont="1" applyBorder="1" applyAlignment="1">
      <alignment vertical="center" shrinkToFit="1"/>
    </xf>
    <xf numFmtId="0" fontId="0" fillId="0" borderId="43" xfId="0" applyBorder="1"/>
    <xf numFmtId="0" fontId="19" fillId="0" borderId="0" xfId="0" applyFont="1"/>
    <xf numFmtId="0" fontId="19" fillId="0" borderId="44" xfId="0" applyFont="1" applyBorder="1"/>
    <xf numFmtId="178" fontId="19" fillId="0" borderId="129" xfId="0" applyNumberFormat="1" applyFont="1" applyBorder="1" applyAlignment="1">
      <alignment horizontal="center" vertical="center"/>
    </xf>
    <xf numFmtId="178" fontId="19" fillId="0" borderId="132" xfId="0" applyNumberFormat="1" applyFont="1" applyBorder="1" applyAlignment="1">
      <alignment horizontal="center" vertical="center"/>
    </xf>
    <xf numFmtId="178" fontId="19" fillId="0" borderId="68" xfId="0" applyNumberFormat="1" applyFont="1" applyBorder="1" applyAlignment="1">
      <alignment vertical="center"/>
    </xf>
    <xf numFmtId="178" fontId="19" fillId="0" borderId="6" xfId="0" applyNumberFormat="1" applyFont="1" applyBorder="1" applyAlignment="1">
      <alignment vertical="center"/>
    </xf>
    <xf numFmtId="178" fontId="19" fillId="0" borderId="136" xfId="0" applyNumberFormat="1" applyFont="1" applyBorder="1" applyAlignment="1">
      <alignment horizontal="center" vertical="center"/>
    </xf>
    <xf numFmtId="179" fontId="19" fillId="0" borderId="2" xfId="0" applyNumberFormat="1" applyFont="1" applyBorder="1" applyAlignment="1">
      <alignment vertical="center"/>
    </xf>
    <xf numFmtId="0" fontId="19" fillId="0" borderId="31" xfId="0" applyFont="1" applyBorder="1" applyAlignment="1">
      <alignment vertical="center" shrinkToFit="1"/>
    </xf>
    <xf numFmtId="0" fontId="19" fillId="0" borderId="2" xfId="0" applyFont="1" applyBorder="1" applyAlignment="1">
      <alignment vertical="center" shrinkToFit="1"/>
    </xf>
    <xf numFmtId="179" fontId="19" fillId="0" borderId="4" xfId="0" applyNumberFormat="1" applyFont="1" applyBorder="1" applyAlignment="1">
      <alignment vertical="center"/>
    </xf>
    <xf numFmtId="0" fontId="19" fillId="0" borderId="129" xfId="0" applyFont="1" applyBorder="1" applyAlignment="1">
      <alignment vertical="center" shrinkToFit="1"/>
    </xf>
    <xf numFmtId="0" fontId="19" fillId="0" borderId="11" xfId="0" applyFont="1" applyBorder="1" applyAlignment="1">
      <alignment vertical="center" shrinkToFit="1"/>
    </xf>
    <xf numFmtId="0" fontId="32" fillId="0" borderId="11" xfId="0" applyFont="1" applyBorder="1" applyAlignment="1">
      <alignment horizontal="center" vertical="center"/>
    </xf>
    <xf numFmtId="0" fontId="32" fillId="0" borderId="11" xfId="0" applyFont="1" applyBorder="1" applyAlignment="1">
      <alignment vertical="center"/>
    </xf>
    <xf numFmtId="179" fontId="19" fillId="0" borderId="132" xfId="0" applyNumberFormat="1" applyFont="1" applyBorder="1" applyAlignment="1">
      <alignment vertical="center"/>
    </xf>
    <xf numFmtId="0" fontId="19" fillId="0" borderId="132" xfId="0" applyFont="1" applyBorder="1" applyAlignment="1">
      <alignment vertical="center"/>
    </xf>
    <xf numFmtId="178" fontId="19" fillId="0" borderId="11" xfId="0" applyNumberFormat="1" applyFont="1" applyBorder="1" applyAlignment="1">
      <alignment vertical="center"/>
    </xf>
    <xf numFmtId="179" fontId="19" fillId="0" borderId="136" xfId="0" applyNumberFormat="1" applyFont="1" applyBorder="1" applyAlignment="1">
      <alignment vertical="center"/>
    </xf>
    <xf numFmtId="0" fontId="19" fillId="0" borderId="136" xfId="0" applyFont="1" applyBorder="1" applyAlignment="1">
      <alignment vertical="center"/>
    </xf>
    <xf numFmtId="179" fontId="19" fillId="0" borderId="34" xfId="0" applyNumberFormat="1" applyFont="1" applyBorder="1" applyAlignment="1">
      <alignment vertical="center"/>
    </xf>
    <xf numFmtId="179" fontId="19" fillId="0" borderId="8" xfId="0" applyNumberFormat="1" applyFont="1" applyBorder="1" applyAlignment="1">
      <alignment vertical="center"/>
    </xf>
    <xf numFmtId="178" fontId="19" fillId="0" borderId="4" xfId="0" applyNumberFormat="1" applyFont="1" applyBorder="1" applyAlignment="1">
      <alignment vertical="center"/>
    </xf>
    <xf numFmtId="178" fontId="19" fillId="0" borderId="5" xfId="0" applyNumberFormat="1" applyFont="1" applyBorder="1" applyAlignment="1">
      <alignment vertical="center"/>
    </xf>
    <xf numFmtId="179" fontId="19" fillId="0" borderId="129" xfId="0" applyNumberFormat="1" applyFont="1" applyBorder="1" applyAlignment="1">
      <alignment vertical="center"/>
    </xf>
    <xf numFmtId="178" fontId="19" fillId="0" borderId="44" xfId="0" applyNumberFormat="1" applyFont="1" applyBorder="1" applyAlignment="1">
      <alignment vertical="center"/>
    </xf>
    <xf numFmtId="0" fontId="19" fillId="0" borderId="43" xfId="0" applyFont="1" applyBorder="1" applyAlignment="1">
      <alignment vertical="center"/>
    </xf>
    <xf numFmtId="178" fontId="19" fillId="0" borderId="7" xfId="0" applyNumberFormat="1" applyFont="1" applyBorder="1" applyAlignment="1">
      <alignment vertical="center"/>
    </xf>
    <xf numFmtId="0" fontId="19" fillId="0" borderId="8" xfId="0" applyFont="1" applyBorder="1" applyAlignment="1">
      <alignment vertical="center"/>
    </xf>
    <xf numFmtId="0" fontId="19" fillId="0" borderId="2" xfId="0" applyFont="1" applyBorder="1" applyAlignment="1">
      <alignment vertical="center"/>
    </xf>
    <xf numFmtId="0" fontId="15" fillId="0" borderId="43" xfId="0" applyFont="1" applyBorder="1" applyAlignment="1">
      <alignment horizontal="center" vertical="center" wrapText="1" justifyLastLine="1"/>
    </xf>
    <xf numFmtId="179" fontId="19" fillId="0" borderId="5" xfId="0" applyNumberFormat="1" applyFont="1" applyBorder="1" applyAlignment="1">
      <alignment vertical="center"/>
    </xf>
    <xf numFmtId="0" fontId="19" fillId="0" borderId="128" xfId="0" applyFont="1" applyBorder="1" applyAlignment="1">
      <alignment vertical="center"/>
    </xf>
    <xf numFmtId="0" fontId="19" fillId="0" borderId="129" xfId="0" applyFont="1" applyBorder="1" applyAlignment="1">
      <alignment vertical="center"/>
    </xf>
    <xf numFmtId="179" fontId="19" fillId="0" borderId="44" xfId="0" applyNumberFormat="1" applyFont="1" applyBorder="1" applyAlignment="1">
      <alignment vertical="center"/>
    </xf>
    <xf numFmtId="178" fontId="19" fillId="0" borderId="139" xfId="0" applyNumberFormat="1" applyFont="1" applyBorder="1" applyAlignment="1">
      <alignment horizontal="center" vertical="center"/>
    </xf>
    <xf numFmtId="179" fontId="19" fillId="0" borderId="7" xfId="0" applyNumberFormat="1" applyFont="1" applyBorder="1" applyAlignment="1">
      <alignment vertical="center"/>
    </xf>
    <xf numFmtId="0" fontId="19" fillId="0" borderId="34" xfId="0" applyFont="1" applyBorder="1" applyAlignment="1">
      <alignment horizontal="right" vertical="center"/>
    </xf>
    <xf numFmtId="0" fontId="19" fillId="0" borderId="3" xfId="0" applyFont="1" applyBorder="1"/>
    <xf numFmtId="0" fontId="19" fillId="0" borderId="2" xfId="0" applyFont="1" applyBorder="1"/>
    <xf numFmtId="0" fontId="19" fillId="0" borderId="139" xfId="0" applyFont="1" applyBorder="1" applyAlignment="1">
      <alignment vertical="center"/>
    </xf>
    <xf numFmtId="38" fontId="19" fillId="0" borderId="8" xfId="0" applyNumberFormat="1" applyFont="1" applyBorder="1" applyAlignment="1">
      <alignment vertical="center"/>
    </xf>
    <xf numFmtId="38" fontId="19" fillId="0" borderId="2" xfId="0" applyNumberFormat="1" applyFont="1" applyBorder="1" applyAlignment="1">
      <alignment vertical="center"/>
    </xf>
    <xf numFmtId="178" fontId="19" fillId="0" borderId="126" xfId="0" applyNumberFormat="1" applyFont="1" applyBorder="1" applyAlignment="1">
      <alignment horizontal="center" vertical="center"/>
    </xf>
    <xf numFmtId="178" fontId="19" fillId="0" borderId="130" xfId="0" applyNumberFormat="1" applyFont="1" applyBorder="1" applyAlignment="1">
      <alignment horizontal="center" vertical="center"/>
    </xf>
    <xf numFmtId="178" fontId="19" fillId="0" borderId="134" xfId="0" applyNumberFormat="1" applyFont="1" applyBorder="1" applyAlignment="1">
      <alignment horizontal="center" vertical="center"/>
    </xf>
    <xf numFmtId="179" fontId="0" fillId="0" borderId="43" xfId="0" applyNumberFormat="1" applyBorder="1" applyAlignment="1">
      <alignment vertical="center"/>
    </xf>
    <xf numFmtId="179" fontId="0" fillId="0" borderId="44" xfId="0" applyNumberFormat="1" applyBorder="1" applyAlignment="1">
      <alignment vertical="center"/>
    </xf>
    <xf numFmtId="0" fontId="0" fillId="0" borderId="11" xfId="0" applyBorder="1"/>
    <xf numFmtId="179" fontId="19" fillId="0" borderId="143" xfId="0" applyNumberFormat="1" applyFont="1" applyBorder="1" applyAlignment="1">
      <alignment vertical="center"/>
    </xf>
    <xf numFmtId="179" fontId="19" fillId="0" borderId="144" xfId="0" applyNumberFormat="1" applyFont="1" applyBorder="1" applyAlignment="1">
      <alignment vertical="center"/>
    </xf>
    <xf numFmtId="179" fontId="19" fillId="0" borderId="145" xfId="0" applyNumberFormat="1" applyFont="1" applyBorder="1" applyAlignment="1">
      <alignment vertical="center"/>
    </xf>
    <xf numFmtId="179" fontId="19" fillId="0" borderId="146" xfId="0" applyNumberFormat="1" applyFont="1" applyBorder="1" applyAlignment="1">
      <alignment vertical="center"/>
    </xf>
    <xf numFmtId="179" fontId="19" fillId="0" borderId="147" xfId="0" applyNumberFormat="1" applyFont="1" applyBorder="1" applyAlignment="1">
      <alignment vertical="center"/>
    </xf>
    <xf numFmtId="179" fontId="19" fillId="0" borderId="127" xfId="0" applyNumberFormat="1" applyFont="1" applyBorder="1" applyAlignment="1">
      <alignment vertical="center"/>
    </xf>
    <xf numFmtId="179" fontId="19" fillId="0" borderId="131" xfId="0" applyNumberFormat="1" applyFont="1" applyBorder="1" applyAlignment="1">
      <alignment vertical="center"/>
    </xf>
    <xf numFmtId="178" fontId="19" fillId="0" borderId="71" xfId="0" applyNumberFormat="1" applyFont="1" applyBorder="1" applyAlignment="1">
      <alignment vertical="center"/>
    </xf>
    <xf numFmtId="179" fontId="19" fillId="0" borderId="139" xfId="0" applyNumberFormat="1" applyFont="1" applyBorder="1" applyAlignment="1">
      <alignment vertical="center"/>
    </xf>
    <xf numFmtId="179" fontId="19" fillId="0" borderId="152" xfId="0" applyNumberFormat="1" applyFont="1" applyBorder="1" applyAlignment="1">
      <alignment vertical="center"/>
    </xf>
    <xf numFmtId="179" fontId="19" fillId="0" borderId="153" xfId="0" applyNumberFormat="1" applyFont="1" applyBorder="1" applyAlignment="1">
      <alignment vertical="center"/>
    </xf>
    <xf numFmtId="179" fontId="19" fillId="0" borderId="154" xfId="0" applyNumberFormat="1" applyFont="1" applyBorder="1" applyAlignment="1">
      <alignment vertical="center"/>
    </xf>
    <xf numFmtId="179" fontId="19" fillId="0" borderId="155" xfId="0" applyNumberFormat="1" applyFont="1" applyBorder="1" applyAlignment="1">
      <alignment vertical="center"/>
    </xf>
    <xf numFmtId="179" fontId="19" fillId="0" borderId="156" xfId="0" applyNumberFormat="1" applyFont="1" applyBorder="1" applyAlignment="1">
      <alignment vertical="center"/>
    </xf>
    <xf numFmtId="179" fontId="19" fillId="0" borderId="30" xfId="0" applyNumberFormat="1" applyFont="1" applyBorder="1" applyAlignment="1">
      <alignment vertical="center"/>
    </xf>
    <xf numFmtId="179" fontId="19" fillId="0" borderId="141" xfId="0" applyNumberFormat="1" applyFont="1" applyBorder="1" applyAlignment="1">
      <alignment vertical="center"/>
    </xf>
    <xf numFmtId="179" fontId="0" fillId="0" borderId="0" xfId="0" applyNumberFormat="1" applyAlignment="1">
      <alignment vertical="center"/>
    </xf>
    <xf numFmtId="0" fontId="15" fillId="0" borderId="0" xfId="0" applyFont="1" applyAlignment="1">
      <alignment horizontal="center" vertical="center" wrapText="1" justifyLastLine="1"/>
    </xf>
    <xf numFmtId="0" fontId="19" fillId="0" borderId="5" xfId="0" applyFont="1" applyBorder="1" applyAlignment="1">
      <alignment horizontal="center" vertical="center"/>
    </xf>
    <xf numFmtId="0" fontId="19" fillId="0" borderId="50" xfId="0" applyFont="1" applyBorder="1" applyAlignment="1">
      <alignment horizontal="center" vertical="center"/>
    </xf>
    <xf numFmtId="0" fontId="19" fillId="0" borderId="3" xfId="0" applyFont="1" applyBorder="1" applyAlignment="1">
      <alignment horizontal="center" vertical="center"/>
    </xf>
    <xf numFmtId="0" fontId="19" fillId="0" borderId="0" xfId="0" applyFont="1" applyAlignment="1">
      <alignment horizontal="center" vertical="center"/>
    </xf>
    <xf numFmtId="0" fontId="19" fillId="0" borderId="4" xfId="0" applyFont="1" applyBorder="1" applyAlignment="1">
      <alignment vertical="center"/>
    </xf>
    <xf numFmtId="0" fontId="19" fillId="0" borderId="1" xfId="0" applyFont="1" applyBorder="1" applyAlignment="1">
      <alignment vertical="center"/>
    </xf>
    <xf numFmtId="0" fontId="19" fillId="0" borderId="162" xfId="0" applyFont="1" applyBorder="1" applyAlignment="1">
      <alignment vertical="center"/>
    </xf>
    <xf numFmtId="0" fontId="15" fillId="0" borderId="11" xfId="0" applyFont="1" applyBorder="1" applyAlignment="1">
      <alignment horizontal="center" vertical="center"/>
    </xf>
    <xf numFmtId="0" fontId="15" fillId="0" borderId="7" xfId="0" applyFont="1" applyBorder="1" applyAlignment="1">
      <alignment horizontal="center" vertical="center"/>
    </xf>
    <xf numFmtId="38" fontId="19" fillId="0" borderId="68" xfId="5" applyFont="1" applyFill="1" applyBorder="1" applyAlignment="1" applyProtection="1">
      <alignment vertical="center" shrinkToFit="1"/>
    </xf>
    <xf numFmtId="38" fontId="19" fillId="0" borderId="44" xfId="5" applyFont="1" applyFill="1" applyBorder="1" applyAlignment="1" applyProtection="1">
      <alignment vertical="center" shrinkToFit="1"/>
    </xf>
    <xf numFmtId="38" fontId="19" fillId="0" borderId="8" xfId="5" applyFont="1" applyFill="1" applyBorder="1" applyAlignment="1" applyProtection="1">
      <alignment vertical="center" shrinkToFit="1"/>
    </xf>
    <xf numFmtId="38" fontId="19" fillId="0" borderId="2" xfId="5" applyFont="1" applyFill="1" applyBorder="1" applyAlignment="1" applyProtection="1">
      <alignment vertical="center" shrinkToFit="1"/>
    </xf>
    <xf numFmtId="0" fontId="5" fillId="0" borderId="0" xfId="0" applyFont="1"/>
    <xf numFmtId="0" fontId="5" fillId="0" borderId="0" xfId="0" applyFont="1" applyAlignment="1">
      <alignment vertical="center"/>
    </xf>
    <xf numFmtId="0" fontId="5" fillId="0" borderId="0" xfId="0" quotePrefix="1" applyFont="1"/>
    <xf numFmtId="0" fontId="45" fillId="0" borderId="0" xfId="0" applyFont="1" applyAlignment="1">
      <alignment vertical="center" justifyLastLine="1"/>
    </xf>
    <xf numFmtId="0" fontId="15" fillId="0" borderId="119" xfId="0" applyFont="1" applyBorder="1" applyAlignment="1">
      <alignment horizontal="center" vertical="center" wrapText="1"/>
    </xf>
    <xf numFmtId="0" fontId="15" fillId="0" borderId="164" xfId="0" applyFont="1" applyBorder="1" applyAlignment="1">
      <alignment horizontal="center" vertical="center" wrapText="1"/>
    </xf>
    <xf numFmtId="0" fontId="45" fillId="0" borderId="0" xfId="0" applyFont="1" applyAlignment="1">
      <alignment vertical="center" wrapText="1"/>
    </xf>
    <xf numFmtId="0" fontId="15" fillId="0" borderId="85" xfId="0" applyFont="1" applyBorder="1" applyAlignment="1">
      <alignment horizontal="center" vertical="center" justifyLastLine="1"/>
    </xf>
    <xf numFmtId="38" fontId="23" fillId="5" borderId="55" xfId="5" applyFont="1" applyFill="1" applyBorder="1" applyAlignment="1" applyProtection="1">
      <alignment vertical="center" shrinkToFit="1"/>
      <protection locked="0"/>
    </xf>
    <xf numFmtId="0" fontId="23" fillId="5" borderId="165" xfId="0" applyFont="1" applyFill="1" applyBorder="1" applyAlignment="1" applyProtection="1">
      <alignment horizontal="center" vertical="center" justifyLastLine="1"/>
      <protection locked="0"/>
    </xf>
    <xf numFmtId="0" fontId="23" fillId="5" borderId="166" xfId="0" applyFont="1" applyFill="1" applyBorder="1" applyAlignment="1" applyProtection="1">
      <alignment horizontal="center" vertical="center" justifyLastLine="1"/>
      <protection locked="0"/>
    </xf>
    <xf numFmtId="0" fontId="46" fillId="0" borderId="0" xfId="7" applyFont="1" applyAlignment="1">
      <alignment horizontal="center" vertical="center" shrinkToFit="1"/>
    </xf>
    <xf numFmtId="0" fontId="15" fillId="0" borderId="81" xfId="0" applyFont="1" applyBorder="1" applyAlignment="1">
      <alignment horizontal="center" vertical="center" justifyLastLine="1"/>
    </xf>
    <xf numFmtId="38" fontId="23" fillId="5" borderId="123" xfId="5" applyFont="1" applyFill="1" applyBorder="1" applyAlignment="1" applyProtection="1">
      <alignment vertical="center" shrinkToFit="1"/>
      <protection locked="0"/>
    </xf>
    <xf numFmtId="0" fontId="23" fillId="5" borderId="167" xfId="0" applyFont="1" applyFill="1" applyBorder="1" applyAlignment="1" applyProtection="1">
      <alignment horizontal="center" vertical="center" justifyLastLine="1"/>
      <protection locked="0"/>
    </xf>
    <xf numFmtId="0" fontId="23" fillId="5" borderId="124" xfId="0" applyFont="1" applyFill="1" applyBorder="1" applyAlignment="1" applyProtection="1">
      <alignment horizontal="center" vertical="center" justifyLastLine="1"/>
      <protection locked="0"/>
    </xf>
    <xf numFmtId="0" fontId="15" fillId="0" borderId="8" xfId="0" applyFont="1" applyBorder="1" applyAlignment="1">
      <alignment horizontal="center" vertical="center" justifyLastLine="1"/>
    </xf>
    <xf numFmtId="0" fontId="15" fillId="0" borderId="6" xfId="0" applyFont="1" applyBorder="1" applyAlignment="1">
      <alignment horizontal="center" vertical="center" justifyLastLine="1"/>
    </xf>
    <xf numFmtId="0" fontId="47" fillId="0" borderId="0" xfId="0" applyFont="1" applyAlignment="1">
      <alignment vertical="center"/>
    </xf>
    <xf numFmtId="0" fontId="44" fillId="0" borderId="0" xfId="0" applyFont="1" applyAlignment="1">
      <alignment vertical="center"/>
    </xf>
    <xf numFmtId="0" fontId="12" fillId="0" borderId="0" xfId="0" applyFont="1" applyAlignment="1">
      <alignment horizontal="right" vertical="center"/>
    </xf>
    <xf numFmtId="38" fontId="32" fillId="10" borderId="168" xfId="5" applyFont="1" applyFill="1" applyBorder="1" applyAlignment="1" applyProtection="1">
      <alignment vertical="center"/>
      <protection locked="0"/>
    </xf>
    <xf numFmtId="178" fontId="32" fillId="0" borderId="43" xfId="0" applyNumberFormat="1" applyFont="1" applyBorder="1" applyAlignment="1">
      <alignment vertical="center"/>
    </xf>
    <xf numFmtId="178" fontId="32" fillId="0" borderId="68" xfId="0" applyNumberFormat="1" applyFont="1" applyBorder="1" applyAlignment="1">
      <alignment vertical="center"/>
    </xf>
    <xf numFmtId="182" fontId="19" fillId="0" borderId="169" xfId="0" applyNumberFormat="1" applyFont="1" applyBorder="1" applyAlignment="1">
      <alignment horizontal="right" vertical="center"/>
    </xf>
    <xf numFmtId="182" fontId="19" fillId="0" borderId="2" xfId="0" applyNumberFormat="1" applyFont="1" applyBorder="1" applyAlignment="1">
      <alignment horizontal="right" vertical="center"/>
    </xf>
    <xf numFmtId="182" fontId="19" fillId="0" borderId="8" xfId="0" applyNumberFormat="1" applyFont="1" applyBorder="1" applyAlignment="1">
      <alignment horizontal="right" vertical="center"/>
    </xf>
    <xf numFmtId="179" fontId="19" fillId="0" borderId="128" xfId="0" applyNumberFormat="1" applyFont="1" applyBorder="1" applyAlignment="1">
      <alignment vertical="center"/>
    </xf>
    <xf numFmtId="182" fontId="19" fillId="0" borderId="128" xfId="0" applyNumberFormat="1" applyFont="1" applyBorder="1" applyAlignment="1">
      <alignment horizontal="right" vertical="center"/>
    </xf>
    <xf numFmtId="182" fontId="19" fillId="0" borderId="0" xfId="0" applyNumberFormat="1" applyFont="1" applyAlignment="1">
      <alignment horizontal="right" vertical="center"/>
    </xf>
    <xf numFmtId="182" fontId="19" fillId="0" borderId="44" xfId="0" applyNumberFormat="1" applyFont="1" applyBorder="1" applyAlignment="1">
      <alignment horizontal="right" vertical="center"/>
    </xf>
    <xf numFmtId="178" fontId="32" fillId="0" borderId="50" xfId="0" applyNumberFormat="1" applyFont="1" applyBorder="1" applyAlignment="1">
      <alignment vertical="center"/>
    </xf>
    <xf numFmtId="178" fontId="32" fillId="0" borderId="4" xfId="0" applyNumberFormat="1" applyFont="1" applyBorder="1" applyAlignment="1">
      <alignment vertical="center"/>
    </xf>
    <xf numFmtId="178" fontId="32" fillId="0" borderId="9" xfId="0" applyNumberFormat="1" applyFont="1" applyBorder="1" applyAlignment="1">
      <alignment vertical="center"/>
    </xf>
    <xf numFmtId="182" fontId="19" fillId="0" borderId="132" xfId="0" applyNumberFormat="1" applyFont="1" applyBorder="1" applyAlignment="1">
      <alignment horizontal="right" vertical="center"/>
    </xf>
    <xf numFmtId="182" fontId="19" fillId="0" borderId="139" xfId="0" applyNumberFormat="1" applyFont="1" applyBorder="1" applyAlignment="1">
      <alignment horizontal="right" vertical="center"/>
    </xf>
    <xf numFmtId="182" fontId="19" fillId="0" borderId="48" xfId="0" applyNumberFormat="1" applyFont="1" applyBorder="1" applyAlignment="1">
      <alignment horizontal="right" vertical="center"/>
    </xf>
    <xf numFmtId="182" fontId="19" fillId="0" borderId="136" xfId="0" applyNumberFormat="1" applyFont="1" applyBorder="1" applyAlignment="1">
      <alignment horizontal="right" vertical="center"/>
    </xf>
    <xf numFmtId="179" fontId="19" fillId="0" borderId="169" xfId="0" applyNumberFormat="1" applyFont="1" applyBorder="1" applyAlignment="1">
      <alignment vertical="center"/>
    </xf>
    <xf numFmtId="182" fontId="19" fillId="0" borderId="50" xfId="0" applyNumberFormat="1" applyFont="1" applyBorder="1" applyAlignment="1">
      <alignment horizontal="right" vertical="center"/>
    </xf>
    <xf numFmtId="182" fontId="19" fillId="0" borderId="129" xfId="0" applyNumberFormat="1" applyFont="1" applyBorder="1" applyAlignment="1">
      <alignment horizontal="right" vertical="center"/>
    </xf>
    <xf numFmtId="182" fontId="19" fillId="0" borderId="7" xfId="0" applyNumberFormat="1" applyFont="1" applyBorder="1" applyAlignment="1">
      <alignment horizontal="right" vertical="center"/>
    </xf>
    <xf numFmtId="0" fontId="19" fillId="0" borderId="4" xfId="0" applyFont="1" applyBorder="1"/>
    <xf numFmtId="0" fontId="19" fillId="0" borderId="50" xfId="0" applyFont="1" applyBorder="1"/>
    <xf numFmtId="0" fontId="19" fillId="0" borderId="50" xfId="0" applyFont="1" applyBorder="1" applyAlignment="1">
      <alignment horizontal="right"/>
    </xf>
    <xf numFmtId="0" fontId="19" fillId="0" borderId="0" xfId="0" applyFont="1" applyAlignment="1">
      <alignment horizontal="right"/>
    </xf>
    <xf numFmtId="0" fontId="19" fillId="0" borderId="44" xfId="0" applyFont="1" applyBorder="1" applyAlignment="1">
      <alignment horizontal="right"/>
    </xf>
    <xf numFmtId="0" fontId="19" fillId="0" borderId="6" xfId="0" applyFont="1" applyBorder="1"/>
    <xf numFmtId="0" fontId="19" fillId="0" borderId="48" xfId="0" applyFont="1" applyBorder="1"/>
    <xf numFmtId="178" fontId="19" fillId="0" borderId="50" xfId="0" applyNumberFormat="1" applyFont="1" applyBorder="1" applyAlignment="1">
      <alignment vertical="center"/>
    </xf>
    <xf numFmtId="0" fontId="19" fillId="0" borderId="50" xfId="0" applyFont="1" applyBorder="1" applyAlignment="1">
      <alignment horizontal="right" vertical="center"/>
    </xf>
    <xf numFmtId="0" fontId="19" fillId="0" borderId="5" xfId="0" applyFont="1" applyBorder="1" applyAlignment="1">
      <alignment horizontal="right" vertical="center"/>
    </xf>
    <xf numFmtId="0" fontId="19" fillId="0" borderId="0" xfId="0" applyFont="1" applyAlignment="1">
      <alignment horizontal="right" vertical="center"/>
    </xf>
    <xf numFmtId="0" fontId="19" fillId="0" borderId="44" xfId="0" applyFont="1" applyBorder="1" applyAlignment="1">
      <alignment horizontal="right" vertical="center"/>
    </xf>
    <xf numFmtId="178" fontId="32" fillId="0" borderId="6" xfId="0" applyNumberFormat="1" applyFont="1" applyBorder="1" applyAlignment="1">
      <alignment vertical="center"/>
    </xf>
    <xf numFmtId="178" fontId="32" fillId="0" borderId="11" xfId="0" applyNumberFormat="1" applyFont="1" applyBorder="1" applyAlignment="1">
      <alignment vertical="center"/>
    </xf>
    <xf numFmtId="178" fontId="19" fillId="0" borderId="48" xfId="0" applyNumberFormat="1" applyFont="1" applyBorder="1" applyAlignment="1">
      <alignment vertical="center"/>
    </xf>
    <xf numFmtId="0" fontId="19" fillId="0" borderId="170" xfId="0" applyFont="1" applyBorder="1" applyAlignment="1">
      <alignment horizontal="right" vertical="center"/>
    </xf>
    <xf numFmtId="183" fontId="19" fillId="0" borderId="169" xfId="0" applyNumberFormat="1" applyFont="1" applyBorder="1" applyAlignment="1">
      <alignment horizontal="right" vertical="center"/>
    </xf>
    <xf numFmtId="183" fontId="19" fillId="0" borderId="1" xfId="0" applyNumberFormat="1" applyFont="1" applyBorder="1" applyAlignment="1">
      <alignment horizontal="right" vertical="center"/>
    </xf>
    <xf numFmtId="183" fontId="19" fillId="0" borderId="2" xfId="0" applyNumberFormat="1" applyFont="1" applyBorder="1" applyAlignment="1">
      <alignment horizontal="right" vertical="center"/>
    </xf>
    <xf numFmtId="183" fontId="19" fillId="0" borderId="8" xfId="0" applyNumberFormat="1" applyFont="1" applyBorder="1" applyAlignment="1">
      <alignment horizontal="right" vertical="center"/>
    </xf>
    <xf numFmtId="184" fontId="19" fillId="0" borderId="129" xfId="0" applyNumberFormat="1" applyFont="1" applyBorder="1" applyAlignment="1">
      <alignment vertical="center"/>
    </xf>
    <xf numFmtId="183" fontId="19" fillId="0" borderId="128" xfId="0" applyNumberFormat="1" applyFont="1" applyBorder="1" applyAlignment="1">
      <alignment horizontal="right" vertical="center"/>
    </xf>
    <xf numFmtId="183" fontId="19" fillId="0" borderId="0" xfId="0" applyNumberFormat="1" applyFont="1" applyAlignment="1">
      <alignment horizontal="right" vertical="center"/>
    </xf>
    <xf numFmtId="183" fontId="19" fillId="0" borderId="44" xfId="0" applyNumberFormat="1" applyFont="1" applyBorder="1" applyAlignment="1">
      <alignment horizontal="right" vertical="center"/>
    </xf>
    <xf numFmtId="183" fontId="19" fillId="0" borderId="132" xfId="0" applyNumberFormat="1" applyFont="1" applyBorder="1" applyAlignment="1">
      <alignment horizontal="right" vertical="center"/>
    </xf>
    <xf numFmtId="183" fontId="19" fillId="0" borderId="139" xfId="0" applyNumberFormat="1" applyFont="1" applyBorder="1" applyAlignment="1">
      <alignment horizontal="right" vertical="center"/>
    </xf>
    <xf numFmtId="183" fontId="19" fillId="0" borderId="48" xfId="0" applyNumberFormat="1" applyFont="1" applyBorder="1" applyAlignment="1">
      <alignment horizontal="right" vertical="center"/>
    </xf>
    <xf numFmtId="183" fontId="19" fillId="0" borderId="136" xfId="0" applyNumberFormat="1" applyFont="1" applyBorder="1" applyAlignment="1">
      <alignment horizontal="right" vertical="center"/>
    </xf>
    <xf numFmtId="183" fontId="19" fillId="0" borderId="9" xfId="0" applyNumberFormat="1" applyFont="1" applyBorder="1" applyAlignment="1">
      <alignment horizontal="right" vertical="center"/>
    </xf>
    <xf numFmtId="183" fontId="19" fillId="0" borderId="3" xfId="0" applyNumberFormat="1" applyFont="1" applyBorder="1" applyAlignment="1">
      <alignment horizontal="right" vertical="center"/>
    </xf>
    <xf numFmtId="183" fontId="19" fillId="0" borderId="7" xfId="0" applyNumberFormat="1" applyFont="1" applyBorder="1" applyAlignment="1">
      <alignment horizontal="right" vertical="center"/>
    </xf>
    <xf numFmtId="0" fontId="7" fillId="3" borderId="6" xfId="2" applyFont="1" applyFill="1" applyBorder="1">
      <alignment vertical="center"/>
    </xf>
    <xf numFmtId="0" fontId="7" fillId="3" borderId="1" xfId="2" applyFont="1" applyFill="1" applyBorder="1">
      <alignment vertical="center"/>
    </xf>
    <xf numFmtId="185" fontId="23" fillId="5" borderId="93" xfId="3" applyNumberFormat="1" applyFont="1" applyFill="1" applyBorder="1" applyAlignment="1">
      <alignment vertical="center"/>
    </xf>
    <xf numFmtId="185" fontId="23" fillId="5" borderId="94" xfId="3" applyNumberFormat="1" applyFont="1" applyFill="1" applyBorder="1" applyAlignment="1">
      <alignment vertical="center"/>
    </xf>
    <xf numFmtId="185" fontId="23" fillId="5" borderId="95" xfId="3" applyNumberFormat="1" applyFont="1" applyFill="1" applyBorder="1" applyAlignment="1">
      <alignment vertical="center" wrapText="1"/>
    </xf>
    <xf numFmtId="185" fontId="23" fillId="5" borderId="97" xfId="3" applyNumberFormat="1" applyFont="1" applyFill="1" applyBorder="1" applyAlignment="1">
      <alignment vertical="center"/>
    </xf>
    <xf numFmtId="185" fontId="23" fillId="5" borderId="4" xfId="3" applyNumberFormat="1" applyFont="1" applyFill="1" applyBorder="1" applyAlignment="1">
      <alignment vertical="center"/>
    </xf>
    <xf numFmtId="185" fontId="23" fillId="5" borderId="98" xfId="3" applyNumberFormat="1" applyFont="1" applyFill="1" applyBorder="1" applyAlignment="1">
      <alignment vertical="center"/>
    </xf>
    <xf numFmtId="185" fontId="23" fillId="5" borderId="101" xfId="3" applyNumberFormat="1" applyFont="1" applyFill="1" applyBorder="1" applyAlignment="1">
      <alignment vertical="center"/>
    </xf>
    <xf numFmtId="185" fontId="23" fillId="5" borderId="1" xfId="3" applyNumberFormat="1" applyFont="1" applyFill="1" applyBorder="1" applyAlignment="1">
      <alignment vertical="center"/>
    </xf>
    <xf numFmtId="185" fontId="23" fillId="5" borderId="102" xfId="3" applyNumberFormat="1" applyFont="1" applyFill="1" applyBorder="1" applyAlignment="1">
      <alignment vertical="center"/>
    </xf>
    <xf numFmtId="185" fontId="23" fillId="5" borderId="103" xfId="3" applyNumberFormat="1" applyFont="1" applyFill="1" applyBorder="1" applyAlignment="1">
      <alignment vertical="center"/>
    </xf>
    <xf numFmtId="185" fontId="23" fillId="5" borderId="43" xfId="3" applyNumberFormat="1" applyFont="1" applyFill="1" applyBorder="1" applyAlignment="1">
      <alignment vertical="center"/>
    </xf>
    <xf numFmtId="185" fontId="23" fillId="5" borderId="104" xfId="3" applyNumberFormat="1" applyFont="1" applyFill="1" applyBorder="1" applyAlignment="1">
      <alignment vertical="center"/>
    </xf>
    <xf numFmtId="185" fontId="23" fillId="5" borderId="105" xfId="3" applyNumberFormat="1" applyFont="1" applyFill="1" applyBorder="1" applyAlignment="1">
      <alignment vertical="center"/>
    </xf>
    <xf numFmtId="185" fontId="23" fillId="5" borderId="106" xfId="3" applyNumberFormat="1" applyFont="1" applyFill="1" applyBorder="1" applyAlignment="1">
      <alignment vertical="center"/>
    </xf>
    <xf numFmtId="185" fontId="23" fillId="5" borderId="107" xfId="3" applyNumberFormat="1" applyFont="1" applyFill="1" applyBorder="1" applyAlignment="1">
      <alignment vertical="center"/>
    </xf>
    <xf numFmtId="185" fontId="23" fillId="5" borderId="111" xfId="3" applyNumberFormat="1" applyFont="1" applyFill="1" applyBorder="1" applyAlignment="1">
      <alignment vertical="center"/>
    </xf>
    <xf numFmtId="185" fontId="23" fillId="5" borderId="91" xfId="3" applyNumberFormat="1" applyFont="1" applyFill="1" applyBorder="1" applyAlignment="1">
      <alignment vertical="center"/>
    </xf>
    <xf numFmtId="185" fontId="23" fillId="5" borderId="112" xfId="3" applyNumberFormat="1" applyFont="1" applyFill="1" applyBorder="1" applyAlignment="1">
      <alignment vertical="center"/>
    </xf>
    <xf numFmtId="185" fontId="23" fillId="5" borderId="114" xfId="3" applyNumberFormat="1" applyFont="1" applyFill="1" applyBorder="1" applyAlignment="1">
      <alignment vertical="center"/>
    </xf>
    <xf numFmtId="185" fontId="23" fillId="5" borderId="115" xfId="3" applyNumberFormat="1" applyFont="1" applyFill="1" applyBorder="1" applyAlignment="1">
      <alignment vertical="center"/>
    </xf>
    <xf numFmtId="185" fontId="23" fillId="5" borderId="116" xfId="3" applyNumberFormat="1" applyFont="1" applyFill="1" applyBorder="1" applyAlignment="1">
      <alignment vertical="center"/>
    </xf>
    <xf numFmtId="185" fontId="23" fillId="5" borderId="117" xfId="3" applyNumberFormat="1" applyFont="1" applyFill="1" applyBorder="1" applyAlignment="1">
      <alignment vertical="center"/>
    </xf>
    <xf numFmtId="0" fontId="7" fillId="0" borderId="12" xfId="2" applyNumberFormat="1" applyFont="1" applyBorder="1" applyAlignment="1">
      <alignment vertical="center" shrinkToFit="1"/>
    </xf>
    <xf numFmtId="0" fontId="7" fillId="0" borderId="18" xfId="2" applyNumberFormat="1" applyFont="1" applyBorder="1" applyAlignment="1">
      <alignment vertical="center" shrinkToFit="1"/>
    </xf>
    <xf numFmtId="0" fontId="7" fillId="3" borderId="15" xfId="2" applyNumberFormat="1" applyFont="1" applyFill="1" applyBorder="1">
      <alignment vertical="center"/>
    </xf>
    <xf numFmtId="0" fontId="7" fillId="3" borderId="6" xfId="2" applyNumberFormat="1" applyFont="1" applyFill="1" applyBorder="1" applyAlignment="1">
      <alignment vertical="center"/>
    </xf>
    <xf numFmtId="0" fontId="7" fillId="3" borderId="20" xfId="2" applyNumberFormat="1" applyFont="1" applyFill="1" applyBorder="1" applyAlignment="1">
      <alignment vertical="center"/>
    </xf>
    <xf numFmtId="0" fontId="7" fillId="3" borderId="13" xfId="2" applyNumberFormat="1" applyFont="1" applyFill="1" applyBorder="1">
      <alignment vertical="center"/>
    </xf>
    <xf numFmtId="0" fontId="7" fillId="3" borderId="1" xfId="2" applyNumberFormat="1" applyFont="1" applyFill="1" applyBorder="1" applyAlignment="1">
      <alignment vertical="center"/>
    </xf>
    <xf numFmtId="0" fontId="7" fillId="3" borderId="12" xfId="2" applyNumberFormat="1" applyFont="1" applyFill="1" applyBorder="1" applyAlignment="1">
      <alignment vertical="center"/>
    </xf>
    <xf numFmtId="0" fontId="7" fillId="3" borderId="40" xfId="2" applyNumberFormat="1" applyFont="1" applyFill="1" applyBorder="1">
      <alignment vertical="center"/>
    </xf>
    <xf numFmtId="0" fontId="7" fillId="3" borderId="38" xfId="2" applyNumberFormat="1" applyFont="1" applyFill="1" applyBorder="1" applyAlignment="1">
      <alignment vertical="center"/>
    </xf>
    <xf numFmtId="0" fontId="7" fillId="3" borderId="64" xfId="2" applyNumberFormat="1" applyFont="1" applyFill="1" applyBorder="1" applyAlignment="1">
      <alignment vertical="center"/>
    </xf>
    <xf numFmtId="186" fontId="23" fillId="5" borderId="43" xfId="5" applyNumberFormat="1" applyFont="1" applyFill="1" applyBorder="1" applyAlignment="1"/>
    <xf numFmtId="186" fontId="23" fillId="5" borderId="84" xfId="5" applyNumberFormat="1" applyFont="1" applyFill="1" applyBorder="1" applyAlignment="1"/>
    <xf numFmtId="186" fontId="23" fillId="5" borderId="4" xfId="5" applyNumberFormat="1" applyFont="1" applyFill="1" applyBorder="1" applyAlignment="1"/>
    <xf numFmtId="186" fontId="23" fillId="5" borderId="87" xfId="5" applyNumberFormat="1" applyFont="1" applyFill="1" applyBorder="1" applyAlignment="1"/>
    <xf numFmtId="186" fontId="23" fillId="5" borderId="173" xfId="5" applyNumberFormat="1" applyFont="1" applyFill="1" applyBorder="1" applyAlignment="1"/>
    <xf numFmtId="186" fontId="23" fillId="5" borderId="172" xfId="5" applyNumberFormat="1" applyFont="1" applyFill="1" applyBorder="1" applyAlignment="1"/>
    <xf numFmtId="185" fontId="19" fillId="0" borderId="161" xfId="0" applyNumberFormat="1" applyFont="1" applyBorder="1" applyAlignment="1">
      <alignment vertical="center" shrinkToFit="1"/>
    </xf>
    <xf numFmtId="185" fontId="19" fillId="0" borderId="8" xfId="0" applyNumberFormat="1" applyFont="1" applyBorder="1" applyAlignment="1">
      <alignment vertical="center" shrinkToFit="1"/>
    </xf>
    <xf numFmtId="185" fontId="19" fillId="0" borderId="161" xfId="0" applyNumberFormat="1" applyFont="1" applyBorder="1" applyAlignment="1">
      <alignment vertical="center"/>
    </xf>
    <xf numFmtId="185" fontId="19" fillId="0" borderId="8" xfId="0" applyNumberFormat="1" applyFont="1" applyBorder="1" applyAlignment="1">
      <alignment vertical="center"/>
    </xf>
    <xf numFmtId="0" fontId="32" fillId="0" borderId="0" xfId="2" applyFont="1" applyAlignment="1">
      <alignment horizontal="center" vertical="center"/>
    </xf>
    <xf numFmtId="0" fontId="4" fillId="3" borderId="30" xfId="2" applyFill="1" applyBorder="1" applyAlignment="1">
      <alignment horizontal="center" vertical="center"/>
    </xf>
    <xf numFmtId="0" fontId="4" fillId="3" borderId="59" xfId="2" applyFill="1" applyBorder="1" applyAlignment="1">
      <alignment horizontal="center" vertical="center"/>
    </xf>
    <xf numFmtId="0" fontId="4" fillId="0" borderId="30" xfId="2" applyBorder="1" applyAlignment="1">
      <alignment horizontal="center" vertical="center"/>
    </xf>
    <xf numFmtId="0" fontId="4" fillId="0" borderId="59" xfId="2" applyBorder="1" applyAlignment="1">
      <alignment horizontal="center" vertical="center"/>
    </xf>
    <xf numFmtId="0" fontId="4" fillId="0" borderId="31" xfId="2" applyBorder="1" applyAlignment="1">
      <alignment horizontal="center" vertical="center"/>
    </xf>
    <xf numFmtId="0" fontId="7" fillId="7" borderId="21" xfId="0" applyFont="1" applyFill="1" applyBorder="1" applyAlignment="1">
      <alignment horizontal="center" vertical="center" shrinkToFit="1"/>
    </xf>
    <xf numFmtId="0" fontId="7" fillId="7" borderId="22" xfId="0" applyFont="1" applyFill="1" applyBorder="1" applyAlignment="1">
      <alignment horizontal="center" vertical="center" shrinkToFit="1"/>
    </xf>
    <xf numFmtId="176" fontId="36" fillId="0" borderId="23" xfId="0" applyNumberFormat="1" applyFont="1" applyBorder="1" applyAlignment="1">
      <alignment horizontal="center" vertical="center"/>
    </xf>
    <xf numFmtId="176" fontId="36" fillId="0" borderId="24" xfId="0" applyNumberFormat="1" applyFont="1" applyBorder="1" applyAlignment="1">
      <alignment horizontal="center" vertical="center"/>
    </xf>
    <xf numFmtId="49" fontId="36" fillId="0" borderId="23" xfId="0" quotePrefix="1" applyNumberFormat="1" applyFont="1" applyBorder="1" applyAlignment="1">
      <alignment horizontal="center" vertical="center"/>
    </xf>
    <xf numFmtId="49" fontId="36" fillId="0" borderId="24" xfId="0" applyNumberFormat="1" applyFont="1" applyBorder="1" applyAlignment="1">
      <alignment horizontal="center" vertical="center"/>
    </xf>
    <xf numFmtId="0" fontId="10" fillId="7" borderId="33" xfId="2" applyFont="1" applyFill="1" applyBorder="1" applyAlignment="1">
      <alignment horizontal="center" vertical="center" wrapText="1" justifyLastLine="1"/>
    </xf>
    <xf numFmtId="0" fontId="10" fillId="7" borderId="64" xfId="2" applyFont="1" applyFill="1" applyBorder="1" applyAlignment="1">
      <alignment horizontal="center" vertical="center" justifyLastLine="1"/>
    </xf>
    <xf numFmtId="0" fontId="41" fillId="0" borderId="0" xfId="2" applyFont="1" applyAlignment="1">
      <alignment horizontal="center" vertical="center"/>
    </xf>
    <xf numFmtId="0" fontId="7" fillId="4" borderId="1" xfId="0" applyFont="1" applyFill="1" applyBorder="1" applyAlignment="1">
      <alignment horizontal="center" vertical="center" shrinkToFit="1"/>
    </xf>
    <xf numFmtId="0" fontId="7" fillId="4" borderId="3" xfId="0" applyFont="1" applyFill="1" applyBorder="1" applyAlignment="1">
      <alignment horizontal="center" vertical="center" shrinkToFit="1"/>
    </xf>
    <xf numFmtId="0" fontId="7" fillId="4" borderId="2" xfId="0" applyFont="1" applyFill="1" applyBorder="1" applyAlignment="1">
      <alignment horizontal="center" vertical="center" shrinkToFit="1"/>
    </xf>
    <xf numFmtId="176" fontId="5" fillId="0" borderId="1" xfId="0" applyNumberFormat="1" applyFont="1" applyBorder="1" applyAlignment="1">
      <alignment horizontal="center" vertical="center"/>
    </xf>
    <xf numFmtId="176" fontId="5" fillId="0" borderId="3" xfId="0" applyNumberFormat="1" applyFont="1" applyBorder="1" applyAlignment="1">
      <alignment horizontal="center" vertical="center"/>
    </xf>
    <xf numFmtId="176" fontId="5" fillId="0" borderId="2" xfId="0" applyNumberFormat="1" applyFont="1" applyBorder="1" applyAlignment="1">
      <alignment horizontal="center" vertical="center"/>
    </xf>
    <xf numFmtId="0" fontId="10" fillId="7" borderId="32" xfId="2" applyFont="1" applyFill="1" applyBorder="1" applyAlignment="1">
      <alignment horizontal="distributed" vertical="center" wrapText="1" justifyLastLine="1"/>
    </xf>
    <xf numFmtId="0" fontId="10" fillId="7" borderId="40" xfId="2" applyFont="1" applyFill="1" applyBorder="1" applyAlignment="1">
      <alignment horizontal="distributed" vertical="center" justifyLastLine="1"/>
    </xf>
    <xf numFmtId="0" fontId="10" fillId="7" borderId="26" xfId="2" applyFont="1" applyFill="1" applyBorder="1" applyAlignment="1">
      <alignment horizontal="center" vertical="center" wrapText="1" justifyLastLine="1"/>
    </xf>
    <xf numFmtId="0" fontId="10" fillId="7" borderId="41" xfId="2" applyFont="1" applyFill="1" applyBorder="1" applyAlignment="1">
      <alignment horizontal="center" vertical="center" justifyLastLine="1"/>
    </xf>
    <xf numFmtId="0" fontId="10" fillId="7" borderId="29" xfId="2" applyFont="1" applyFill="1" applyBorder="1" applyAlignment="1">
      <alignment horizontal="center" vertical="center" wrapText="1" justifyLastLine="1"/>
    </xf>
    <xf numFmtId="0" fontId="10" fillId="7" borderId="37" xfId="2" applyFont="1" applyFill="1" applyBorder="1" applyAlignment="1">
      <alignment horizontal="center" vertical="center" justifyLastLine="1"/>
    </xf>
    <xf numFmtId="0" fontId="10" fillId="7" borderId="27" xfId="2" applyFont="1" applyFill="1" applyBorder="1" applyAlignment="1">
      <alignment horizontal="center" vertical="center" wrapText="1" justifyLastLine="1"/>
    </xf>
    <xf numFmtId="0" fontId="10" fillId="7" borderId="38" xfId="2" applyFont="1" applyFill="1" applyBorder="1" applyAlignment="1">
      <alignment horizontal="center" vertical="center" justifyLastLine="1"/>
    </xf>
    <xf numFmtId="0" fontId="11" fillId="4" borderId="26" xfId="0" applyFont="1" applyFill="1" applyBorder="1" applyAlignment="1">
      <alignment horizontal="center" vertical="center" wrapText="1"/>
    </xf>
    <xf numFmtId="0" fontId="11" fillId="4" borderId="41" xfId="0" applyFont="1" applyFill="1" applyBorder="1" applyAlignment="1">
      <alignment horizontal="center" vertical="center"/>
    </xf>
    <xf numFmtId="178" fontId="19" fillId="0" borderId="144" xfId="0" applyNumberFormat="1" applyFont="1" applyBorder="1" applyAlignment="1">
      <alignment horizontal="center" vertical="center"/>
    </xf>
    <xf numFmtId="178" fontId="19" fillId="0" borderId="145" xfId="0" applyNumberFormat="1" applyFont="1" applyBorder="1" applyAlignment="1">
      <alignment horizontal="center" vertical="center"/>
    </xf>
    <xf numFmtId="178" fontId="19" fillId="0" borderId="157" xfId="0" applyNumberFormat="1" applyFont="1" applyBorder="1" applyAlignment="1">
      <alignment horizontal="center" vertical="center"/>
    </xf>
    <xf numFmtId="178" fontId="19" fillId="0" borderId="140" xfId="0" applyNumberFormat="1" applyFont="1" applyBorder="1" applyAlignment="1">
      <alignment horizontal="center" vertical="center"/>
    </xf>
    <xf numFmtId="178" fontId="19" fillId="0" borderId="141" xfId="0" applyNumberFormat="1" applyFont="1" applyBorder="1" applyAlignment="1">
      <alignment horizontal="center" vertical="center"/>
    </xf>
    <xf numFmtId="178" fontId="19" fillId="0" borderId="142" xfId="0" applyNumberFormat="1" applyFont="1" applyBorder="1" applyAlignment="1">
      <alignment horizontal="center" vertical="center"/>
    </xf>
    <xf numFmtId="178" fontId="19" fillId="0" borderId="126" xfId="0" applyNumberFormat="1" applyFont="1" applyBorder="1" applyAlignment="1">
      <alignment horizontal="center" vertical="center"/>
    </xf>
    <xf numFmtId="178" fontId="19" fillId="0" borderId="148" xfId="0" applyNumberFormat="1" applyFont="1" applyBorder="1" applyAlignment="1">
      <alignment horizontal="center" vertical="center"/>
    </xf>
    <xf numFmtId="178" fontId="19" fillId="0" borderId="130" xfId="0" applyNumberFormat="1" applyFont="1" applyBorder="1" applyAlignment="1">
      <alignment horizontal="center" vertical="center"/>
    </xf>
    <xf numFmtId="178" fontId="19" fillId="0" borderId="149" xfId="0" applyNumberFormat="1" applyFont="1" applyBorder="1" applyAlignment="1">
      <alignment horizontal="center" vertical="center"/>
    </xf>
    <xf numFmtId="178" fontId="19" fillId="0" borderId="150" xfId="0" applyNumberFormat="1" applyFont="1" applyBorder="1" applyAlignment="1">
      <alignment horizontal="center" vertical="center"/>
    </xf>
    <xf numFmtId="178" fontId="19" fillId="0" borderId="151" xfId="0" applyNumberFormat="1" applyFont="1" applyBorder="1" applyAlignment="1">
      <alignment horizontal="center" vertical="center"/>
    </xf>
    <xf numFmtId="178" fontId="19" fillId="0" borderId="134" xfId="0" applyNumberFormat="1" applyFont="1" applyBorder="1" applyAlignment="1">
      <alignment horizontal="center" vertical="center"/>
    </xf>
    <xf numFmtId="178" fontId="19" fillId="0" borderId="135" xfId="0" applyNumberFormat="1" applyFont="1" applyBorder="1" applyAlignment="1">
      <alignment horizontal="center" vertical="center"/>
    </xf>
    <xf numFmtId="178" fontId="19" fillId="0" borderId="4" xfId="0" applyNumberFormat="1" applyFont="1" applyBorder="1" applyAlignment="1">
      <alignment horizontal="center" vertical="center" wrapText="1"/>
    </xf>
    <xf numFmtId="178" fontId="19" fillId="0" borderId="138" xfId="0" applyNumberFormat="1" applyFont="1" applyBorder="1" applyAlignment="1">
      <alignment horizontal="center" vertical="center" wrapText="1"/>
    </xf>
    <xf numFmtId="178" fontId="19" fillId="0" borderId="50" xfId="0" applyNumberFormat="1" applyFont="1" applyBorder="1" applyAlignment="1">
      <alignment horizontal="center" vertical="center" wrapText="1"/>
    </xf>
    <xf numFmtId="178" fontId="19" fillId="0" borderId="4" xfId="0" applyNumberFormat="1" applyFont="1" applyBorder="1" applyAlignment="1">
      <alignment horizontal="center" vertical="center"/>
    </xf>
    <xf numFmtId="178" fontId="19" fillId="0" borderId="5" xfId="0" applyNumberFormat="1" applyFont="1" applyBorder="1" applyAlignment="1">
      <alignment horizontal="center" vertical="center"/>
    </xf>
    <xf numFmtId="178" fontId="19" fillId="0" borderId="127" xfId="0" applyNumberFormat="1" applyFont="1" applyBorder="1" applyAlignment="1">
      <alignment horizontal="center" vertical="center"/>
    </xf>
    <xf numFmtId="178" fontId="19" fillId="0" borderId="131" xfId="0" applyNumberFormat="1" applyFont="1" applyBorder="1" applyAlignment="1">
      <alignment horizontal="center" vertical="center"/>
    </xf>
    <xf numFmtId="178" fontId="19" fillId="0" borderId="5" xfId="0" applyNumberFormat="1" applyFont="1" applyBorder="1" applyAlignment="1">
      <alignment horizontal="center" vertical="center" wrapText="1"/>
    </xf>
    <xf numFmtId="178" fontId="19" fillId="0" borderId="50" xfId="0" applyNumberFormat="1" applyFont="1" applyBorder="1" applyAlignment="1">
      <alignment horizontal="center" vertical="center"/>
    </xf>
    <xf numFmtId="178" fontId="19" fillId="0" borderId="138" xfId="0" applyNumberFormat="1" applyFont="1" applyBorder="1" applyAlignment="1">
      <alignment horizontal="center" vertical="center"/>
    </xf>
    <xf numFmtId="178" fontId="19" fillId="0" borderId="43" xfId="0" applyNumberFormat="1" applyFont="1" applyBorder="1" applyAlignment="1">
      <alignment horizontal="center" vertical="center" wrapText="1"/>
    </xf>
    <xf numFmtId="178" fontId="19" fillId="0" borderId="45" xfId="0" applyNumberFormat="1" applyFont="1" applyBorder="1" applyAlignment="1">
      <alignment horizontal="center" vertical="center" wrapText="1"/>
    </xf>
    <xf numFmtId="0" fontId="15" fillId="0" borderId="4" xfId="0" applyFont="1" applyBorder="1" applyAlignment="1">
      <alignment horizontal="center" vertical="center" wrapText="1" justifyLastLine="1"/>
    </xf>
    <xf numFmtId="0" fontId="15" fillId="0" borderId="50" xfId="0" applyFont="1" applyBorder="1" applyAlignment="1">
      <alignment horizontal="center" vertical="center" wrapText="1" justifyLastLine="1"/>
    </xf>
    <xf numFmtId="0" fontId="15" fillId="0" borderId="5" xfId="0" applyFont="1" applyBorder="1" applyAlignment="1">
      <alignment horizontal="center" vertical="center" wrapText="1" justifyLastLine="1"/>
    </xf>
    <xf numFmtId="0" fontId="15" fillId="0" borderId="43" xfId="0" applyFont="1" applyBorder="1" applyAlignment="1">
      <alignment horizontal="center" vertical="center" wrapText="1" justifyLastLine="1"/>
    </xf>
    <xf numFmtId="0" fontId="15" fillId="0" borderId="0" xfId="0" applyFont="1" applyAlignment="1">
      <alignment horizontal="center" vertical="center" wrapText="1" justifyLastLine="1"/>
    </xf>
    <xf numFmtId="0" fontId="15" fillId="0" borderId="44" xfId="0" applyFont="1" applyBorder="1" applyAlignment="1">
      <alignment horizontal="center" vertical="center" wrapText="1" justifyLastLine="1"/>
    </xf>
    <xf numFmtId="0" fontId="15" fillId="0" borderId="6" xfId="0" applyFont="1" applyBorder="1" applyAlignment="1">
      <alignment horizontal="center" vertical="center" wrapText="1" justifyLastLine="1"/>
    </xf>
    <xf numFmtId="0" fontId="15" fillId="0" borderId="48" xfId="0" applyFont="1" applyBorder="1" applyAlignment="1">
      <alignment horizontal="center" vertical="center" wrapText="1" justifyLastLine="1"/>
    </xf>
    <xf numFmtId="0" fontId="15" fillId="0" borderId="7" xfId="0" applyFont="1" applyBorder="1" applyAlignment="1">
      <alignment horizontal="center" vertical="center" wrapText="1" justifyLastLine="1"/>
    </xf>
    <xf numFmtId="0" fontId="19" fillId="0" borderId="4" xfId="0" applyFont="1" applyBorder="1" applyAlignment="1">
      <alignment horizontal="center" vertical="center"/>
    </xf>
    <xf numFmtId="0" fontId="19" fillId="0" borderId="5" xfId="0" applyFont="1" applyBorder="1" applyAlignment="1">
      <alignment horizontal="center" vertical="center"/>
    </xf>
    <xf numFmtId="0" fontId="19" fillId="0" borderId="6" xfId="0" applyFont="1" applyBorder="1" applyAlignment="1">
      <alignment horizontal="center" vertical="center"/>
    </xf>
    <xf numFmtId="0" fontId="19" fillId="0" borderId="7" xfId="0" applyFont="1" applyBorder="1" applyAlignment="1">
      <alignment horizontal="center" vertical="center"/>
    </xf>
    <xf numFmtId="0" fontId="19" fillId="0" borderId="50" xfId="0" applyFont="1" applyBorder="1" applyAlignment="1">
      <alignment horizontal="center" vertical="center"/>
    </xf>
    <xf numFmtId="0" fontId="19" fillId="0" borderId="48" xfId="0" applyFont="1" applyBorder="1" applyAlignment="1">
      <alignment horizontal="center" vertical="center"/>
    </xf>
    <xf numFmtId="0" fontId="19" fillId="0" borderId="1" xfId="0" applyFont="1" applyBorder="1" applyAlignment="1">
      <alignment horizontal="center" vertical="center"/>
    </xf>
    <xf numFmtId="0" fontId="19" fillId="0" borderId="2" xfId="0" applyFont="1" applyBorder="1" applyAlignment="1">
      <alignment horizontal="center" vertical="center"/>
    </xf>
    <xf numFmtId="0" fontId="19" fillId="0" borderId="1" xfId="0" applyFont="1" applyBorder="1" applyAlignment="1">
      <alignment horizontal="center" vertical="center" wrapText="1"/>
    </xf>
    <xf numFmtId="0" fontId="19" fillId="0" borderId="3" xfId="0" applyFont="1" applyBorder="1" applyAlignment="1">
      <alignment horizontal="center" vertical="center"/>
    </xf>
    <xf numFmtId="0" fontId="22" fillId="0" borderId="1" xfId="0" applyFont="1" applyBorder="1" applyAlignment="1">
      <alignment horizontal="center" vertical="center" wrapText="1"/>
    </xf>
    <xf numFmtId="0" fontId="22" fillId="0" borderId="2" xfId="0" applyFont="1" applyBorder="1" applyAlignment="1">
      <alignment horizontal="center" vertical="center"/>
    </xf>
    <xf numFmtId="0" fontId="15" fillId="0" borderId="9" xfId="0" applyFont="1" applyBorder="1" applyAlignment="1">
      <alignment horizontal="center" vertical="center" wrapText="1" justifyLastLine="1"/>
    </xf>
    <xf numFmtId="0" fontId="15" fillId="0" borderId="68" xfId="0" applyFont="1" applyBorder="1" applyAlignment="1">
      <alignment horizontal="center" vertical="center" wrapText="1" justifyLastLine="1"/>
    </xf>
    <xf numFmtId="0" fontId="15" fillId="0" borderId="11" xfId="0" applyFont="1" applyBorder="1" applyAlignment="1">
      <alignment horizontal="center" vertical="center" wrapText="1" justifyLastLine="1"/>
    </xf>
    <xf numFmtId="0" fontId="15" fillId="0" borderId="28" xfId="3" applyFont="1" applyFill="1" applyBorder="1" applyAlignment="1">
      <alignment horizontal="center" vertical="center" justifyLastLine="1"/>
    </xf>
    <xf numFmtId="0" fontId="15" fillId="0" borderId="42" xfId="3" applyFont="1" applyFill="1" applyBorder="1" applyAlignment="1">
      <alignment horizontal="center" vertical="center" justifyLastLine="1"/>
    </xf>
    <xf numFmtId="0" fontId="15" fillId="0" borderId="46" xfId="3" applyFont="1" applyFill="1" applyBorder="1" applyAlignment="1">
      <alignment horizontal="center" vertical="center" justifyLastLine="1"/>
    </xf>
    <xf numFmtId="0" fontId="15" fillId="0" borderId="32" xfId="3" applyFont="1" applyFill="1" applyBorder="1" applyAlignment="1">
      <alignment horizontal="center" vertical="center" justifyLastLine="1"/>
    </xf>
    <xf numFmtId="0" fontId="15" fillId="0" borderId="14" xfId="3" applyFont="1" applyFill="1" applyBorder="1" applyAlignment="1">
      <alignment horizontal="center" vertical="center" justifyLastLine="1"/>
    </xf>
    <xf numFmtId="0" fontId="15" fillId="0" borderId="69" xfId="3" applyFont="1" applyFill="1" applyBorder="1" applyAlignment="1">
      <alignment horizontal="center" vertical="center" justifyLastLine="1"/>
    </xf>
    <xf numFmtId="0" fontId="15" fillId="0" borderId="26" xfId="3" applyFont="1" applyFill="1" applyBorder="1" applyAlignment="1">
      <alignment horizontal="center" vertical="center" justifyLastLine="1"/>
    </xf>
    <xf numFmtId="0" fontId="15" fillId="0" borderId="68" xfId="3" applyFont="1" applyFill="1" applyBorder="1" applyAlignment="1">
      <alignment horizontal="center" vertical="center" justifyLastLine="1"/>
    </xf>
    <xf numFmtId="0" fontId="15" fillId="0" borderId="70" xfId="3" applyFont="1" applyFill="1" applyBorder="1" applyAlignment="1">
      <alignment horizontal="center" vertical="center" justifyLastLine="1"/>
    </xf>
    <xf numFmtId="0" fontId="16" fillId="0" borderId="26" xfId="3" applyFont="1" applyFill="1" applyBorder="1" applyAlignment="1">
      <alignment horizontal="center" vertical="center" wrapText="1"/>
    </xf>
    <xf numFmtId="0" fontId="16" fillId="0" borderId="68" xfId="3" applyFont="1" applyFill="1" applyBorder="1" applyAlignment="1">
      <alignment horizontal="center" vertical="center" wrapText="1"/>
    </xf>
    <xf numFmtId="0" fontId="16" fillId="0" borderId="70" xfId="3" applyFont="1" applyFill="1" applyBorder="1" applyAlignment="1">
      <alignment horizontal="center" vertical="center" wrapText="1"/>
    </xf>
    <xf numFmtId="0" fontId="15" fillId="0" borderId="27" xfId="3" applyFont="1" applyFill="1" applyBorder="1" applyAlignment="1">
      <alignment horizontal="center" vertical="center" wrapText="1" justifyLastLine="1"/>
    </xf>
    <xf numFmtId="0" fontId="15" fillId="0" borderId="25" xfId="3" applyFont="1" applyFill="1" applyBorder="1" applyAlignment="1">
      <alignment horizontal="center" vertical="center" wrapText="1" justifyLastLine="1"/>
    </xf>
    <xf numFmtId="0" fontId="15" fillId="0" borderId="43" xfId="3" applyFont="1" applyFill="1" applyBorder="1" applyAlignment="1">
      <alignment horizontal="center" vertical="center" wrapText="1" justifyLastLine="1"/>
    </xf>
    <xf numFmtId="0" fontId="15" fillId="0" borderId="44" xfId="3" applyFont="1" applyFill="1" applyBorder="1" applyAlignment="1">
      <alignment horizontal="center" vertical="center" wrapText="1" justifyLastLine="1"/>
    </xf>
    <xf numFmtId="0" fontId="15" fillId="0" borderId="52" xfId="3" applyFont="1" applyFill="1" applyBorder="1" applyAlignment="1">
      <alignment horizontal="center" vertical="center" wrapText="1" justifyLastLine="1"/>
    </xf>
    <xf numFmtId="0" fontId="15" fillId="0" borderId="53" xfId="3" applyFont="1" applyFill="1" applyBorder="1" applyAlignment="1">
      <alignment horizontal="center" vertical="center" wrapText="1" justifyLastLine="1"/>
    </xf>
    <xf numFmtId="0" fontId="15" fillId="0" borderId="9" xfId="0" applyFont="1" applyBorder="1" applyAlignment="1">
      <alignment horizontal="center" vertical="center" justifyLastLine="1"/>
    </xf>
    <xf numFmtId="0" fontId="15" fillId="0" borderId="68" xfId="0" applyFont="1" applyBorder="1" applyAlignment="1">
      <alignment horizontal="center" vertical="center" justifyLastLine="1"/>
    </xf>
    <xf numFmtId="0" fontId="15" fillId="0" borderId="11" xfId="0" applyFont="1" applyBorder="1" applyAlignment="1">
      <alignment horizontal="center" vertical="center" justifyLastLine="1"/>
    </xf>
    <xf numFmtId="0" fontId="15" fillId="0" borderId="158" xfId="0" applyFont="1" applyBorder="1" applyAlignment="1">
      <alignment horizontal="center" vertical="center" justifyLastLine="1"/>
    </xf>
    <xf numFmtId="0" fontId="15" fillId="0" borderId="159" xfId="0" applyFont="1" applyBorder="1" applyAlignment="1">
      <alignment horizontal="center" vertical="center" justifyLastLine="1"/>
    </xf>
    <xf numFmtId="0" fontId="15" fillId="0" borderId="160" xfId="0" applyFont="1" applyBorder="1" applyAlignment="1">
      <alignment horizontal="center" vertical="center" justifyLastLine="1"/>
    </xf>
    <xf numFmtId="0" fontId="15" fillId="0" borderId="36" xfId="3" applyFont="1" applyFill="1" applyBorder="1" applyAlignment="1">
      <alignment horizontal="center" vertical="center" wrapText="1" justifyLastLine="1"/>
    </xf>
    <xf numFmtId="0" fontId="15" fillId="0" borderId="45" xfId="3" applyFont="1" applyFill="1" applyBorder="1" applyAlignment="1">
      <alignment horizontal="center" vertical="center" wrapText="1" justifyLastLine="1"/>
    </xf>
    <xf numFmtId="0" fontId="15" fillId="0" borderId="54" xfId="3" applyFont="1" applyFill="1" applyBorder="1" applyAlignment="1">
      <alignment horizontal="center" vertical="center" wrapText="1" justifyLastLine="1"/>
    </xf>
    <xf numFmtId="0" fontId="16" fillId="0" borderId="9" xfId="3" applyFont="1" applyFill="1" applyBorder="1" applyAlignment="1">
      <alignment horizontal="left" vertical="center" wrapText="1"/>
    </xf>
    <xf numFmtId="0" fontId="16" fillId="0" borderId="68" xfId="3" applyFont="1" applyFill="1" applyBorder="1" applyAlignment="1">
      <alignment horizontal="left" vertical="center" wrapText="1"/>
    </xf>
    <xf numFmtId="0" fontId="16" fillId="0" borderId="71" xfId="3" applyFont="1" applyFill="1" applyBorder="1" applyAlignment="1">
      <alignment horizontal="left" vertical="center" wrapText="1"/>
    </xf>
    <xf numFmtId="0" fontId="22" fillId="0" borderId="9" xfId="0" applyFont="1" applyBorder="1" applyAlignment="1">
      <alignment horizontal="center" vertical="center" wrapText="1" justifyLastLine="1"/>
    </xf>
    <xf numFmtId="0" fontId="22" fillId="0" borderId="68" xfId="0" applyFont="1" applyBorder="1" applyAlignment="1">
      <alignment horizontal="center" vertical="center" wrapText="1" justifyLastLine="1"/>
    </xf>
    <xf numFmtId="0" fontId="22" fillId="0" borderId="11" xfId="0" applyFont="1" applyBorder="1" applyAlignment="1">
      <alignment horizontal="center" vertical="center" wrapText="1" justifyLastLine="1"/>
    </xf>
    <xf numFmtId="0" fontId="15" fillId="0" borderId="8" xfId="0" applyFont="1" applyBorder="1" applyAlignment="1">
      <alignment horizontal="center" vertical="center" wrapText="1" justifyLastLine="1"/>
    </xf>
    <xf numFmtId="0" fontId="15" fillId="0" borderId="60" xfId="3" applyFont="1" applyFill="1" applyBorder="1" applyAlignment="1">
      <alignment horizontal="center" vertical="center" justifyLastLine="1"/>
    </xf>
    <xf numFmtId="0" fontId="15" fillId="0" borderId="63" xfId="3" applyFont="1" applyFill="1" applyBorder="1" applyAlignment="1">
      <alignment horizontal="center" vertical="center" justifyLastLine="1"/>
    </xf>
    <xf numFmtId="0" fontId="15" fillId="0" borderId="25" xfId="3" applyFont="1" applyFill="1" applyBorder="1" applyAlignment="1">
      <alignment horizontal="center" vertical="center" justifyLastLine="1"/>
    </xf>
    <xf numFmtId="0" fontId="15" fillId="0" borderId="44" xfId="3" applyFont="1" applyFill="1" applyBorder="1" applyAlignment="1">
      <alignment horizontal="center" vertical="center" justifyLastLine="1"/>
    </xf>
    <xf numFmtId="0" fontId="16" fillId="0" borderId="27" xfId="3" applyFont="1" applyFill="1" applyBorder="1" applyAlignment="1">
      <alignment horizontal="center" vertical="center" wrapText="1"/>
    </xf>
    <xf numFmtId="0" fontId="16" fillId="0" borderId="43" xfId="3" applyFont="1" applyFill="1" applyBorder="1" applyAlignment="1">
      <alignment horizontal="center" vertical="center" wrapText="1"/>
    </xf>
    <xf numFmtId="0" fontId="15" fillId="0" borderId="32" xfId="3" applyFont="1" applyFill="1" applyBorder="1" applyAlignment="1">
      <alignment horizontal="center" vertical="center" wrapText="1" justifyLastLine="1"/>
    </xf>
    <xf numFmtId="0" fontId="15" fillId="0" borderId="69" xfId="3" applyFont="1" applyFill="1" applyBorder="1" applyAlignment="1">
      <alignment horizontal="center" vertical="center" wrapText="1" justifyLastLine="1"/>
    </xf>
    <xf numFmtId="0" fontId="15" fillId="0" borderId="26" xfId="3" applyFont="1" applyFill="1" applyBorder="1" applyAlignment="1">
      <alignment horizontal="center" vertical="center" wrapText="1" justifyLastLine="1"/>
    </xf>
    <xf numFmtId="0" fontId="15" fillId="0" borderId="70" xfId="3" applyFont="1" applyFill="1" applyBorder="1" applyAlignment="1">
      <alignment horizontal="center" vertical="center" wrapText="1" justifyLastLine="1"/>
    </xf>
    <xf numFmtId="0" fontId="15" fillId="0" borderId="33" xfId="3" applyFont="1" applyFill="1" applyBorder="1" applyAlignment="1">
      <alignment horizontal="center" vertical="center" wrapText="1" justifyLastLine="1"/>
    </xf>
    <xf numFmtId="0" fontId="15" fillId="0" borderId="125" xfId="3" applyFont="1" applyFill="1" applyBorder="1" applyAlignment="1">
      <alignment horizontal="center" vertical="center" wrapText="1" justifyLastLine="1"/>
    </xf>
    <xf numFmtId="0" fontId="16" fillId="0" borderId="9" xfId="3" applyFont="1" applyFill="1" applyBorder="1" applyAlignment="1">
      <alignment vertical="center" wrapText="1"/>
    </xf>
    <xf numFmtId="0" fontId="16" fillId="0" borderId="68" xfId="3" applyFont="1" applyFill="1" applyBorder="1" applyAlignment="1">
      <alignment vertical="center" wrapText="1"/>
    </xf>
    <xf numFmtId="0" fontId="15" fillId="0" borderId="60" xfId="0" applyFont="1" applyBorder="1" applyAlignment="1">
      <alignment horizontal="center" vertical="center"/>
    </xf>
    <xf numFmtId="0" fontId="15" fillId="0" borderId="63" xfId="0" applyFont="1" applyBorder="1" applyAlignment="1">
      <alignment horizontal="center" vertical="center"/>
    </xf>
    <xf numFmtId="0" fontId="15" fillId="0" borderId="32" xfId="0" applyFont="1" applyBorder="1" applyAlignment="1">
      <alignment horizontal="center" vertical="center"/>
    </xf>
    <xf numFmtId="0" fontId="15" fillId="0" borderId="69" xfId="0" applyFont="1" applyBorder="1" applyAlignment="1">
      <alignment horizontal="center" vertical="center"/>
    </xf>
    <xf numFmtId="0" fontId="15" fillId="0" borderId="163" xfId="0" applyFont="1" applyBorder="1" applyAlignment="1">
      <alignment horizontal="center" vertical="center" justifyLastLine="1"/>
    </xf>
    <xf numFmtId="0" fontId="15" fillId="0" borderId="22" xfId="0" applyFont="1" applyBorder="1" applyAlignment="1">
      <alignment horizontal="center" vertical="center" justifyLastLine="1"/>
    </xf>
    <xf numFmtId="0" fontId="15" fillId="0" borderId="4" xfId="0" applyFont="1" applyBorder="1" applyAlignment="1">
      <alignment horizontal="center" vertical="center"/>
    </xf>
    <xf numFmtId="0" fontId="15" fillId="0" borderId="6" xfId="0" applyFont="1" applyBorder="1" applyAlignment="1">
      <alignment horizontal="center" vertical="center"/>
    </xf>
    <xf numFmtId="0" fontId="15" fillId="0" borderId="1" xfId="0" applyFont="1" applyBorder="1" applyAlignment="1">
      <alignment horizontal="center" vertical="center"/>
    </xf>
    <xf numFmtId="0" fontId="15" fillId="0" borderId="2" xfId="0" applyFont="1" applyBorder="1" applyAlignment="1">
      <alignment horizontal="center" vertical="center"/>
    </xf>
    <xf numFmtId="178" fontId="19" fillId="0" borderId="171" xfId="0" applyNumberFormat="1" applyFont="1" applyBorder="1" applyAlignment="1">
      <alignment horizontal="center" vertical="center"/>
    </xf>
    <xf numFmtId="178" fontId="19" fillId="0" borderId="0" xfId="0" applyNumberFormat="1" applyFont="1" applyAlignment="1">
      <alignment horizontal="center" vertical="center" wrapText="1"/>
    </xf>
    <xf numFmtId="0" fontId="15" fillId="0" borderId="0" xfId="3" applyFont="1" applyFill="1" applyBorder="1" applyAlignment="1">
      <alignment horizontal="center" vertical="center" wrapText="1" justifyLastLine="1"/>
    </xf>
    <xf numFmtId="0" fontId="15" fillId="0" borderId="60" xfId="3" applyFont="1" applyFill="1" applyBorder="1" applyAlignment="1">
      <alignment horizontal="center" vertical="center" wrapText="1"/>
    </xf>
    <xf numFmtId="0" fontId="15" fillId="0" borderId="113" xfId="3" applyFont="1" applyFill="1" applyBorder="1" applyAlignment="1">
      <alignment horizontal="center" vertical="center" wrapText="1"/>
    </xf>
    <xf numFmtId="0" fontId="34" fillId="0" borderId="49" xfId="3" applyFont="1" applyFill="1" applyBorder="1" applyAlignment="1">
      <alignment vertical="center"/>
    </xf>
    <xf numFmtId="0" fontId="34" fillId="0" borderId="50" xfId="3" applyFont="1" applyFill="1" applyBorder="1" applyAlignment="1">
      <alignment vertical="center"/>
    </xf>
    <xf numFmtId="0" fontId="34" fillId="0" borderId="96" xfId="3" applyFont="1" applyFill="1" applyBorder="1" applyAlignment="1">
      <alignment vertical="center"/>
    </xf>
    <xf numFmtId="0" fontId="34" fillId="0" borderId="108" xfId="3" applyFont="1" applyFill="1" applyBorder="1" applyAlignment="1">
      <alignment vertical="center" wrapText="1"/>
    </xf>
    <xf numFmtId="0" fontId="34" fillId="0" borderId="109" xfId="3" applyFont="1" applyFill="1" applyBorder="1" applyAlignment="1">
      <alignment vertical="center" wrapText="1"/>
    </xf>
    <xf numFmtId="0" fontId="34" fillId="0" borderId="110" xfId="3" applyFont="1" applyFill="1" applyBorder="1" applyAlignment="1">
      <alignment vertical="center" wrapText="1"/>
    </xf>
    <xf numFmtId="0" fontId="15" fillId="0" borderId="29" xfId="3" applyFont="1" applyFill="1" applyBorder="1" applyAlignment="1">
      <alignment horizontal="center" vertical="center" justifyLastLine="1"/>
    </xf>
    <xf numFmtId="0" fontId="15" fillId="0" borderId="36" xfId="3" applyFont="1" applyFill="1" applyBorder="1" applyAlignment="1">
      <alignment horizontal="center" vertical="center" justifyLastLine="1"/>
    </xf>
    <xf numFmtId="0" fontId="15" fillId="0" borderId="0" xfId="3" applyFont="1" applyFill="1" applyBorder="1" applyAlignment="1">
      <alignment horizontal="center" vertical="center" justifyLastLine="1"/>
    </xf>
    <xf numFmtId="0" fontId="15" fillId="0" borderId="45" xfId="3" applyFont="1" applyFill="1" applyBorder="1" applyAlignment="1">
      <alignment horizontal="center" vertical="center" justifyLastLine="1"/>
    </xf>
    <xf numFmtId="0" fontId="15" fillId="0" borderId="28" xfId="3" applyFont="1" applyFill="1" applyBorder="1" applyAlignment="1">
      <alignment horizontal="center" vertical="center" wrapText="1"/>
    </xf>
    <xf numFmtId="0" fontId="15" fillId="0" borderId="29" xfId="3" applyFont="1" applyFill="1" applyBorder="1" applyAlignment="1">
      <alignment horizontal="center" vertical="center" wrapText="1"/>
    </xf>
    <xf numFmtId="0" fontId="15" fillId="0" borderId="36" xfId="3" applyFont="1" applyFill="1" applyBorder="1" applyAlignment="1">
      <alignment horizontal="center" vertical="center" wrapText="1"/>
    </xf>
    <xf numFmtId="0" fontId="34" fillId="0" borderId="28" xfId="3" applyFont="1" applyFill="1" applyBorder="1" applyAlignment="1">
      <alignment vertical="center" wrapText="1" justifyLastLine="1"/>
    </xf>
    <xf numFmtId="0" fontId="34" fillId="0" borderId="29" xfId="3" applyFont="1" applyFill="1" applyBorder="1" applyAlignment="1">
      <alignment vertical="center" wrapText="1" justifyLastLine="1"/>
    </xf>
    <xf numFmtId="0" fontId="34" fillId="0" borderId="92" xfId="3" applyFont="1" applyFill="1" applyBorder="1" applyAlignment="1">
      <alignment vertical="center" wrapText="1" justifyLastLine="1"/>
    </xf>
    <xf numFmtId="0" fontId="34" fillId="0" borderId="49" xfId="3" applyFont="1" applyFill="1" applyBorder="1" applyAlignment="1">
      <alignment vertical="center" wrapText="1"/>
    </xf>
    <xf numFmtId="0" fontId="34" fillId="0" borderId="50" xfId="3" applyFont="1" applyFill="1" applyBorder="1" applyAlignment="1">
      <alignment vertical="center" wrapText="1"/>
    </xf>
    <xf numFmtId="0" fontId="34" fillId="0" borderId="96" xfId="3" applyFont="1" applyFill="1" applyBorder="1" applyAlignment="1">
      <alignment vertical="center" wrapText="1"/>
    </xf>
    <xf numFmtId="0" fontId="34" fillId="0" borderId="99" xfId="3" applyFont="1" applyFill="1" applyBorder="1" applyAlignment="1">
      <alignment vertical="center" wrapText="1"/>
    </xf>
    <xf numFmtId="0" fontId="34" fillId="0" borderId="3" xfId="3" applyFont="1" applyFill="1" applyBorder="1" applyAlignment="1">
      <alignment vertical="center" wrapText="1"/>
    </xf>
    <xf numFmtId="0" fontId="34" fillId="0" borderId="100" xfId="3" applyFont="1" applyFill="1" applyBorder="1" applyAlignment="1">
      <alignment vertical="center" wrapText="1"/>
    </xf>
    <xf numFmtId="0" fontId="15" fillId="0" borderId="37" xfId="3" applyFont="1" applyFill="1" applyBorder="1" applyAlignment="1">
      <alignment horizontal="center" vertical="center" justifyLastLine="1"/>
    </xf>
    <xf numFmtId="0" fontId="15" fillId="0" borderId="35" xfId="3" applyFont="1" applyFill="1" applyBorder="1" applyAlignment="1">
      <alignment horizontal="center" vertical="center" justifyLastLine="1"/>
    </xf>
  </cellXfs>
  <cellStyles count="9">
    <cellStyle name="桁区切り 2" xfId="5" xr:uid="{21DE6491-01DC-46B7-9888-4D73A7B8240B}"/>
    <cellStyle name="標準" xfId="0" builtinId="0"/>
    <cellStyle name="標準 2" xfId="1" xr:uid="{00000000-0005-0000-0000-000001000000}"/>
    <cellStyle name="標準 3" xfId="2" xr:uid="{00000000-0005-0000-0000-000002000000}"/>
    <cellStyle name="標準 3 2" xfId="7" xr:uid="{F8BD606E-0460-4B93-9D3E-71EB4F91B003}"/>
    <cellStyle name="標準 4" xfId="3" xr:uid="{261F789D-11DF-4E9C-B2B1-ADE466ED17FA}"/>
    <cellStyle name="標準 5" xfId="8" xr:uid="{EC892A98-7C2F-44E6-A58C-9E9E8CA36DA7}"/>
    <cellStyle name="標準 6" xfId="6" xr:uid="{14EC6D3C-6B08-45EE-9AC8-599984C2B0DF}"/>
    <cellStyle name="標準_BDA1S0T07201" xfId="4" xr:uid="{DF594B88-9901-4831-B1E1-EEB0D4AEEF16}"/>
  </cellStyles>
  <dxfs count="74">
    <dxf>
      <font>
        <color rgb="FFFF000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Medium9"/>
  <colors>
    <mruColors>
      <color rgb="FF339966"/>
      <color rgb="FF000000"/>
      <color rgb="FF0000CC"/>
      <color rgb="FFFFCCCC"/>
      <color rgb="FFFFCC99"/>
      <color rgb="FFFFFF99"/>
      <color rgb="FFFFFF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47625</xdr:colOff>
      <xdr:row>110</xdr:row>
      <xdr:rowOff>57150</xdr:rowOff>
    </xdr:from>
    <xdr:to>
      <xdr:col>6</xdr:col>
      <xdr:colOff>597150</xdr:colOff>
      <xdr:row>110</xdr:row>
      <xdr:rowOff>57150</xdr:rowOff>
    </xdr:to>
    <xdr:cxnSp macro="">
      <xdr:nvCxnSpPr>
        <xdr:cNvPr id="2" name="直線矢印コネクタ 1">
          <a:extLst>
            <a:ext uri="{FF2B5EF4-FFF2-40B4-BE49-F238E27FC236}">
              <a16:creationId xmlns:a16="http://schemas.microsoft.com/office/drawing/2014/main" id="{C93C848C-CEB6-474C-B659-2556B6D35940}"/>
            </a:ext>
          </a:extLst>
        </xdr:cNvPr>
        <xdr:cNvCxnSpPr/>
      </xdr:nvCxnSpPr>
      <xdr:spPr>
        <a:xfrm>
          <a:off x="5153025" y="15744825"/>
          <a:ext cx="549525" cy="0"/>
        </a:xfrm>
        <a:prstGeom prst="straightConnector1">
          <a:avLst/>
        </a:prstGeom>
        <a:ln w="28575">
          <a:solidFill>
            <a:srgbClr val="0041FF"/>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517524</xdr:colOff>
      <xdr:row>109</xdr:row>
      <xdr:rowOff>31750</xdr:rowOff>
    </xdr:from>
    <xdr:to>
      <xdr:col>11</xdr:col>
      <xdr:colOff>63500</xdr:colOff>
      <xdr:row>112</xdr:row>
      <xdr:rowOff>95250</xdr:rowOff>
    </xdr:to>
    <xdr:sp macro="" textlink="">
      <xdr:nvSpPr>
        <xdr:cNvPr id="3" name="角丸四角形 23">
          <a:extLst>
            <a:ext uri="{FF2B5EF4-FFF2-40B4-BE49-F238E27FC236}">
              <a16:creationId xmlns:a16="http://schemas.microsoft.com/office/drawing/2014/main" id="{8CD41EC8-2145-4EC1-9473-ECC1290262D1}"/>
            </a:ext>
          </a:extLst>
        </xdr:cNvPr>
        <xdr:cNvSpPr/>
      </xdr:nvSpPr>
      <xdr:spPr>
        <a:xfrm>
          <a:off x="5622924" y="15338425"/>
          <a:ext cx="3832226" cy="1206500"/>
        </a:xfrm>
        <a:prstGeom prst="roundRect">
          <a:avLst>
            <a:gd name="adj" fmla="val 6953"/>
          </a:avLst>
        </a:prstGeom>
        <a:ln w="12700">
          <a:solidFill>
            <a:srgbClr val="0041FF"/>
          </a:solidFill>
        </a:ln>
      </xdr:spPr>
      <xdr:style>
        <a:lnRef idx="2">
          <a:schemeClr val="accent6"/>
        </a:lnRef>
        <a:fillRef idx="1">
          <a:schemeClr val="lt1"/>
        </a:fillRef>
        <a:effectRef idx="0">
          <a:schemeClr val="accent6"/>
        </a:effectRef>
        <a:fontRef idx="minor">
          <a:schemeClr val="dk1"/>
        </a:fontRef>
      </xdr:style>
      <xdr:txBody>
        <a:bodyPr vertOverflow="clip" horzOverflow="clip" lIns="36000" tIns="0" rIns="36000" bIns="0" rtlCol="0" anchor="ctr" anchorCtr="1"/>
        <a:lstStyle/>
        <a:p>
          <a:pPr algn="l">
            <a:lnSpc>
              <a:spcPts val="1100"/>
            </a:lnSpc>
          </a:pPr>
          <a:r>
            <a:rPr kumimoji="1" lang="ja-JP" altLang="en-US" sz="900">
              <a:solidFill>
                <a:srgbClr val="0041FF"/>
              </a:solidFill>
              <a:latin typeface="ＭＳ ゴシック" panose="020B0609070205080204" pitchFamily="49" charset="-128"/>
              <a:ea typeface="ＭＳ ゴシック" panose="020B0609070205080204" pitchFamily="49" charset="-128"/>
            </a:rPr>
            <a:t>・「支払賃金」に調査対象畜の飼養のための支払い分のみを入力する場合には「調査対象畜」を「</a:t>
          </a:r>
          <a:r>
            <a:rPr kumimoji="1" lang="en-US" altLang="ja-JP" sz="900">
              <a:solidFill>
                <a:srgbClr val="0041FF"/>
              </a:solidFill>
              <a:latin typeface="ＭＳ ゴシック" panose="020B0609070205080204" pitchFamily="49" charset="-128"/>
              <a:ea typeface="ＭＳ ゴシック" panose="020B0609070205080204" pitchFamily="49" charset="-128"/>
            </a:rPr>
            <a:t>100</a:t>
          </a:r>
          <a:r>
            <a:rPr kumimoji="1" lang="ja-JP" altLang="en-US" sz="900">
              <a:solidFill>
                <a:srgbClr val="0041FF"/>
              </a:solidFill>
              <a:latin typeface="ＭＳ ゴシック" panose="020B0609070205080204" pitchFamily="49" charset="-128"/>
              <a:ea typeface="ＭＳ ゴシック" panose="020B0609070205080204" pitchFamily="49" charset="-128"/>
            </a:rPr>
            <a:t>」、自給牧草の生産のための支　払い分を入力する場合には、「自給牧草」を「</a:t>
          </a:r>
          <a:r>
            <a:rPr kumimoji="1" lang="en-US" altLang="ja-JP" sz="900">
              <a:solidFill>
                <a:srgbClr val="0041FF"/>
              </a:solidFill>
              <a:latin typeface="ＭＳ ゴシック" panose="020B0609070205080204" pitchFamily="49" charset="-128"/>
              <a:ea typeface="ＭＳ ゴシック" panose="020B0609070205080204" pitchFamily="49" charset="-128"/>
            </a:rPr>
            <a:t>100</a:t>
          </a:r>
          <a:r>
            <a:rPr kumimoji="1" lang="ja-JP" altLang="en-US" sz="900">
              <a:solidFill>
                <a:srgbClr val="0041FF"/>
              </a:solidFill>
              <a:latin typeface="ＭＳ ゴシック" panose="020B0609070205080204" pitchFamily="49" charset="-128"/>
              <a:ea typeface="ＭＳ ゴシック" panose="020B0609070205080204" pitchFamily="49" charset="-128"/>
            </a:rPr>
            <a:t>」としてください。</a:t>
          </a:r>
          <a:endParaRPr kumimoji="1" lang="en-US" altLang="ja-JP" sz="900">
            <a:solidFill>
              <a:srgbClr val="0041FF"/>
            </a:solidFill>
            <a:latin typeface="ＭＳ ゴシック" panose="020B0609070205080204" pitchFamily="49" charset="-128"/>
            <a:ea typeface="ＭＳ ゴシック" panose="020B0609070205080204" pitchFamily="49" charset="-128"/>
          </a:endParaRPr>
        </a:p>
        <a:p>
          <a:pPr algn="l">
            <a:lnSpc>
              <a:spcPts val="1100"/>
            </a:lnSpc>
          </a:pPr>
          <a:r>
            <a:rPr kumimoji="1" lang="ja-JP" altLang="en-US" sz="900">
              <a:solidFill>
                <a:srgbClr val="0041FF"/>
              </a:solidFill>
              <a:latin typeface="ＭＳ ゴシック" panose="020B0609070205080204" pitchFamily="49" charset="-128"/>
              <a:ea typeface="ＭＳ ゴシック" panose="020B0609070205080204" pitchFamily="49" charset="-128"/>
            </a:rPr>
            <a:t>・調査対象畜、自給牧草、その他の雇用者への支払い分をまとめて入力する場合には、それぞれの労働時間の割合を目安に調査対象畜又は自給牧草の負担割合を入力してください。</a:t>
          </a:r>
          <a:endParaRPr kumimoji="1" lang="en-US" altLang="ja-JP" sz="900">
            <a:solidFill>
              <a:srgbClr val="0041FF"/>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47625</xdr:colOff>
      <xdr:row>110</xdr:row>
      <xdr:rowOff>57150</xdr:rowOff>
    </xdr:from>
    <xdr:to>
      <xdr:col>6</xdr:col>
      <xdr:colOff>597150</xdr:colOff>
      <xdr:row>110</xdr:row>
      <xdr:rowOff>57150</xdr:rowOff>
    </xdr:to>
    <xdr:cxnSp macro="">
      <xdr:nvCxnSpPr>
        <xdr:cNvPr id="2" name="直線矢印コネクタ 1">
          <a:extLst>
            <a:ext uri="{FF2B5EF4-FFF2-40B4-BE49-F238E27FC236}">
              <a16:creationId xmlns:a16="http://schemas.microsoft.com/office/drawing/2014/main" id="{EBAA1A8F-890F-43DB-A6FD-B45A82D31C74}"/>
            </a:ext>
          </a:extLst>
        </xdr:cNvPr>
        <xdr:cNvCxnSpPr/>
      </xdr:nvCxnSpPr>
      <xdr:spPr>
        <a:xfrm>
          <a:off x="5153025" y="40005000"/>
          <a:ext cx="549525" cy="0"/>
        </a:xfrm>
        <a:prstGeom prst="straightConnector1">
          <a:avLst/>
        </a:prstGeom>
        <a:ln w="28575">
          <a:solidFill>
            <a:srgbClr val="0041FF"/>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517524</xdr:colOff>
      <xdr:row>109</xdr:row>
      <xdr:rowOff>31750</xdr:rowOff>
    </xdr:from>
    <xdr:to>
      <xdr:col>11</xdr:col>
      <xdr:colOff>63500</xdr:colOff>
      <xdr:row>112</xdr:row>
      <xdr:rowOff>95250</xdr:rowOff>
    </xdr:to>
    <xdr:sp macro="" textlink="">
      <xdr:nvSpPr>
        <xdr:cNvPr id="3" name="角丸四角形 23">
          <a:extLst>
            <a:ext uri="{FF2B5EF4-FFF2-40B4-BE49-F238E27FC236}">
              <a16:creationId xmlns:a16="http://schemas.microsoft.com/office/drawing/2014/main" id="{7274BB54-1BAB-42C2-9C95-AAA63F2832E0}"/>
            </a:ext>
          </a:extLst>
        </xdr:cNvPr>
        <xdr:cNvSpPr/>
      </xdr:nvSpPr>
      <xdr:spPr>
        <a:xfrm>
          <a:off x="5622924" y="39598600"/>
          <a:ext cx="3832226" cy="1206500"/>
        </a:xfrm>
        <a:prstGeom prst="roundRect">
          <a:avLst>
            <a:gd name="adj" fmla="val 6953"/>
          </a:avLst>
        </a:prstGeom>
        <a:ln w="12700">
          <a:solidFill>
            <a:srgbClr val="0041FF"/>
          </a:solidFill>
        </a:ln>
      </xdr:spPr>
      <xdr:style>
        <a:lnRef idx="2">
          <a:schemeClr val="accent6"/>
        </a:lnRef>
        <a:fillRef idx="1">
          <a:schemeClr val="lt1"/>
        </a:fillRef>
        <a:effectRef idx="0">
          <a:schemeClr val="accent6"/>
        </a:effectRef>
        <a:fontRef idx="minor">
          <a:schemeClr val="dk1"/>
        </a:fontRef>
      </xdr:style>
      <xdr:txBody>
        <a:bodyPr vertOverflow="clip" horzOverflow="clip" lIns="36000" tIns="0" rIns="36000" bIns="0" rtlCol="0" anchor="ctr" anchorCtr="1"/>
        <a:lstStyle/>
        <a:p>
          <a:pPr algn="l">
            <a:lnSpc>
              <a:spcPts val="1100"/>
            </a:lnSpc>
          </a:pPr>
          <a:r>
            <a:rPr kumimoji="1" lang="ja-JP" altLang="en-US" sz="900">
              <a:solidFill>
                <a:srgbClr val="0041FF"/>
              </a:solidFill>
              <a:latin typeface="ＭＳ ゴシック" panose="020B0609070205080204" pitchFamily="49" charset="-128"/>
              <a:ea typeface="ＭＳ ゴシック" panose="020B0609070205080204" pitchFamily="49" charset="-128"/>
            </a:rPr>
            <a:t>・「支払賃金」に調査対象畜の飼養のための支払い分のみを入力する場合には「調査対象畜」を「</a:t>
          </a:r>
          <a:r>
            <a:rPr kumimoji="1" lang="en-US" altLang="ja-JP" sz="900">
              <a:solidFill>
                <a:srgbClr val="0041FF"/>
              </a:solidFill>
              <a:latin typeface="ＭＳ ゴシック" panose="020B0609070205080204" pitchFamily="49" charset="-128"/>
              <a:ea typeface="ＭＳ ゴシック" panose="020B0609070205080204" pitchFamily="49" charset="-128"/>
            </a:rPr>
            <a:t>100</a:t>
          </a:r>
          <a:r>
            <a:rPr kumimoji="1" lang="ja-JP" altLang="en-US" sz="900">
              <a:solidFill>
                <a:srgbClr val="0041FF"/>
              </a:solidFill>
              <a:latin typeface="ＭＳ ゴシック" panose="020B0609070205080204" pitchFamily="49" charset="-128"/>
              <a:ea typeface="ＭＳ ゴシック" panose="020B0609070205080204" pitchFamily="49" charset="-128"/>
            </a:rPr>
            <a:t>」、自給牧草の生産のための支　払い分を入力する場合には、「自給牧草」を「</a:t>
          </a:r>
          <a:r>
            <a:rPr kumimoji="1" lang="en-US" altLang="ja-JP" sz="900">
              <a:solidFill>
                <a:srgbClr val="0041FF"/>
              </a:solidFill>
              <a:latin typeface="ＭＳ ゴシック" panose="020B0609070205080204" pitchFamily="49" charset="-128"/>
              <a:ea typeface="ＭＳ ゴシック" panose="020B0609070205080204" pitchFamily="49" charset="-128"/>
            </a:rPr>
            <a:t>100</a:t>
          </a:r>
          <a:r>
            <a:rPr kumimoji="1" lang="ja-JP" altLang="en-US" sz="900">
              <a:solidFill>
                <a:srgbClr val="0041FF"/>
              </a:solidFill>
              <a:latin typeface="ＭＳ ゴシック" panose="020B0609070205080204" pitchFamily="49" charset="-128"/>
              <a:ea typeface="ＭＳ ゴシック" panose="020B0609070205080204" pitchFamily="49" charset="-128"/>
            </a:rPr>
            <a:t>」としてください。</a:t>
          </a:r>
          <a:endParaRPr kumimoji="1" lang="en-US" altLang="ja-JP" sz="900">
            <a:solidFill>
              <a:srgbClr val="0041FF"/>
            </a:solidFill>
            <a:latin typeface="ＭＳ ゴシック" panose="020B0609070205080204" pitchFamily="49" charset="-128"/>
            <a:ea typeface="ＭＳ ゴシック" panose="020B0609070205080204" pitchFamily="49" charset="-128"/>
          </a:endParaRPr>
        </a:p>
        <a:p>
          <a:pPr algn="l">
            <a:lnSpc>
              <a:spcPts val="1100"/>
            </a:lnSpc>
          </a:pPr>
          <a:r>
            <a:rPr kumimoji="1" lang="ja-JP" altLang="en-US" sz="900">
              <a:solidFill>
                <a:srgbClr val="0041FF"/>
              </a:solidFill>
              <a:latin typeface="ＭＳ ゴシック" panose="020B0609070205080204" pitchFamily="49" charset="-128"/>
              <a:ea typeface="ＭＳ ゴシック" panose="020B0609070205080204" pitchFamily="49" charset="-128"/>
            </a:rPr>
            <a:t>・調査対象畜、自給牧草、その他の雇用者への支払い分をまとめて入力する場合には、それぞれの労働時間の割合を目安に調査対象畜又は自給牧草の負担割合を入力してください。</a:t>
          </a:r>
          <a:endParaRPr kumimoji="1" lang="en-US" altLang="ja-JP" sz="900">
            <a:solidFill>
              <a:srgbClr val="0041FF"/>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37E2A-1BCE-47DD-945A-2BFE5EC03EFE}">
  <dimension ref="A1:AC570"/>
  <sheetViews>
    <sheetView showGridLines="0" tabSelected="1" zoomScaleNormal="100" workbookViewId="0">
      <pane xSplit="1" ySplit="8" topLeftCell="B9" activePane="bottomRight" state="frozen"/>
      <selection activeCell="P11" sqref="P11:U11"/>
      <selection pane="topRight" activeCell="P11" sqref="P11:U11"/>
      <selection pane="bottomLeft" activeCell="P11" sqref="P11:U11"/>
      <selection pane="bottomRight" activeCell="B9" sqref="B9"/>
    </sheetView>
  </sheetViews>
  <sheetFormatPr defaultColWidth="1.25" defaultRowHeight="7.5" customHeight="1" x14ac:dyDescent="0.15"/>
  <cols>
    <col min="1" max="1" width="1" style="2" customWidth="1"/>
    <col min="2" max="2" width="4.75" style="2" customWidth="1"/>
    <col min="3" max="3" width="13" style="2" customWidth="1"/>
    <col min="4" max="5" width="7.75" style="2" customWidth="1"/>
    <col min="6" max="6" width="14.75" style="2" customWidth="1"/>
    <col min="7" max="18" width="9.75" style="2" customWidth="1"/>
    <col min="19" max="19" width="1.625" style="2" customWidth="1"/>
    <col min="20" max="26" width="9.75" style="2" customWidth="1"/>
    <col min="27" max="29" width="1.25" style="2" customWidth="1"/>
    <col min="30" max="16384" width="1.25" style="2"/>
  </cols>
  <sheetData>
    <row r="1" spans="2:29" ht="22.5" customHeight="1" thickBot="1" x14ac:dyDescent="0.2">
      <c r="C1" s="436" t="s">
        <v>104</v>
      </c>
      <c r="D1" s="436"/>
      <c r="E1" s="436"/>
      <c r="F1" s="436"/>
      <c r="G1" s="436"/>
      <c r="H1" s="436"/>
      <c r="I1" s="436"/>
      <c r="J1" s="436"/>
      <c r="K1" s="436"/>
      <c r="L1" s="436"/>
      <c r="M1" s="436"/>
      <c r="N1" s="436"/>
      <c r="O1" s="436"/>
      <c r="P1" s="436"/>
      <c r="Q1" s="436"/>
      <c r="R1" s="436"/>
      <c r="S1" s="33"/>
      <c r="T1" s="33"/>
      <c r="U1" s="33"/>
      <c r="V1" s="33"/>
      <c r="W1" s="33"/>
      <c r="X1" s="33"/>
      <c r="Y1" s="33"/>
      <c r="Z1" s="33"/>
      <c r="AA1" s="33"/>
      <c r="AB1" s="33"/>
      <c r="AC1" s="33"/>
    </row>
    <row r="2" spans="2:29" ht="22.5" customHeight="1" x14ac:dyDescent="0.15">
      <c r="B2" s="442" t="s">
        <v>152</v>
      </c>
      <c r="C2" s="443"/>
      <c r="D2" s="442" t="s">
        <v>63</v>
      </c>
      <c r="E2" s="443"/>
      <c r="F2" s="136" t="s">
        <v>64</v>
      </c>
      <c r="G2" s="6"/>
      <c r="H2" s="6"/>
      <c r="I2" s="6"/>
      <c r="J2" s="6"/>
      <c r="K2" s="6"/>
      <c r="L2" s="6"/>
      <c r="M2" s="6"/>
      <c r="N2" s="6"/>
      <c r="O2" s="6"/>
      <c r="P2" s="33"/>
      <c r="Q2" s="33"/>
      <c r="R2" s="33"/>
      <c r="S2" s="33"/>
      <c r="T2" s="33"/>
      <c r="U2" s="33"/>
      <c r="V2" s="33"/>
      <c r="W2" s="33"/>
      <c r="X2" s="33"/>
      <c r="Y2" s="33"/>
      <c r="Z2" s="33"/>
    </row>
    <row r="3" spans="2:29" ht="22.5" customHeight="1" thickBot="1" x14ac:dyDescent="0.2">
      <c r="B3" s="446"/>
      <c r="C3" s="447"/>
      <c r="D3" s="444"/>
      <c r="E3" s="445"/>
      <c r="F3" s="137"/>
      <c r="G3" s="33"/>
      <c r="H3" s="33"/>
      <c r="I3" s="33"/>
      <c r="J3" s="33"/>
      <c r="K3" s="33"/>
      <c r="L3" s="33"/>
      <c r="M3" s="33"/>
      <c r="N3" s="33"/>
      <c r="O3" s="33"/>
      <c r="P3" s="33"/>
      <c r="Q3" s="33"/>
      <c r="R3" s="33"/>
      <c r="S3" s="33"/>
      <c r="T3" s="33"/>
      <c r="U3" s="33"/>
      <c r="V3" s="33"/>
      <c r="W3" s="33"/>
      <c r="X3" s="33"/>
      <c r="Y3" s="33"/>
      <c r="Z3" s="33"/>
    </row>
    <row r="4" spans="2:29" ht="7.5" customHeight="1" thickBot="1" x14ac:dyDescent="0.2">
      <c r="D4" s="3"/>
      <c r="E4" s="3"/>
      <c r="F4" s="4"/>
    </row>
    <row r="5" spans="2:29" ht="15" customHeight="1" thickBot="1" x14ac:dyDescent="0.2">
      <c r="B5" s="34"/>
      <c r="C5" s="437" t="s">
        <v>25</v>
      </c>
      <c r="D5" s="438"/>
      <c r="E5" s="438"/>
      <c r="F5" s="438"/>
      <c r="G5" s="439" t="s">
        <v>30</v>
      </c>
      <c r="H5" s="440"/>
      <c r="I5" s="440"/>
      <c r="J5" s="440"/>
      <c r="K5" s="440"/>
      <c r="L5" s="440"/>
      <c r="M5" s="440"/>
      <c r="N5" s="440"/>
      <c r="O5" s="440"/>
      <c r="P5" s="440"/>
      <c r="Q5" s="440"/>
      <c r="R5" s="441"/>
    </row>
    <row r="6" spans="2:29" s="5" customFormat="1" ht="30" customHeight="1" x14ac:dyDescent="0.15">
      <c r="B6" s="35" t="s">
        <v>16</v>
      </c>
      <c r="C6" s="36" t="s">
        <v>17</v>
      </c>
      <c r="D6" s="37" t="s">
        <v>2</v>
      </c>
      <c r="E6" s="38" t="s">
        <v>3</v>
      </c>
      <c r="F6" s="38" t="s">
        <v>4</v>
      </c>
      <c r="G6" s="39" t="s">
        <v>18</v>
      </c>
      <c r="H6" s="40" t="s">
        <v>19</v>
      </c>
      <c r="I6" s="40"/>
      <c r="J6" s="40"/>
      <c r="K6" s="133"/>
      <c r="L6" s="40" t="s">
        <v>20</v>
      </c>
      <c r="M6" s="40"/>
      <c r="N6" s="40"/>
      <c r="O6" s="40"/>
      <c r="P6" s="40"/>
      <c r="Q6" s="40"/>
      <c r="R6" s="41"/>
    </row>
    <row r="7" spans="2:29" s="5" customFormat="1" ht="30" customHeight="1" thickBot="1" x14ac:dyDescent="0.2">
      <c r="B7" s="132" t="s">
        <v>62</v>
      </c>
      <c r="C7" s="42" t="s">
        <v>21</v>
      </c>
      <c r="D7" s="43" t="s">
        <v>22</v>
      </c>
      <c r="E7" s="44" t="s">
        <v>21</v>
      </c>
      <c r="F7" s="44" t="s">
        <v>22</v>
      </c>
      <c r="G7" s="45"/>
      <c r="H7" s="134" t="s">
        <v>94</v>
      </c>
      <c r="I7" s="134" t="s">
        <v>5</v>
      </c>
      <c r="J7" s="134" t="str">
        <f>IF($F$3="","",IF($F$3="牛乳","搾乳・牛乳処理・運搬","その他の飼育作業"))</f>
        <v/>
      </c>
      <c r="K7" s="134" t="str">
        <f>IF($F$3="","",IF($F$3="牛乳","その他の飼育作業",""))</f>
        <v/>
      </c>
      <c r="L7" s="134" t="str">
        <f>IF($D$3="組織法人経営体","内給飼料の生産","自給飼料の生産")</f>
        <v>自給飼料の生産</v>
      </c>
      <c r="M7" s="134" t="s">
        <v>87</v>
      </c>
      <c r="N7" s="134" t="s">
        <v>88</v>
      </c>
      <c r="O7" s="134" t="s">
        <v>89</v>
      </c>
      <c r="P7" s="134" t="s">
        <v>90</v>
      </c>
      <c r="Q7" s="134" t="s">
        <v>91</v>
      </c>
      <c r="R7" s="135" t="s">
        <v>92</v>
      </c>
    </row>
    <row r="8" spans="2:29" s="5" customFormat="1" ht="10.5" customHeight="1" x14ac:dyDescent="0.15">
      <c r="B8" s="46"/>
      <c r="C8" s="47"/>
      <c r="D8" s="48"/>
      <c r="E8" s="49"/>
      <c r="F8" s="49"/>
      <c r="G8" s="50" t="s">
        <v>0</v>
      </c>
      <c r="H8" s="49" t="s">
        <v>0</v>
      </c>
      <c r="I8" s="49" t="s">
        <v>0</v>
      </c>
      <c r="J8" s="49" t="s">
        <v>0</v>
      </c>
      <c r="K8" s="49" t="s">
        <v>0</v>
      </c>
      <c r="L8" s="49" t="s">
        <v>101</v>
      </c>
      <c r="M8" s="49" t="s">
        <v>0</v>
      </c>
      <c r="N8" s="49" t="s">
        <v>0</v>
      </c>
      <c r="O8" s="49" t="s">
        <v>0</v>
      </c>
      <c r="P8" s="49" t="s">
        <v>0</v>
      </c>
      <c r="Q8" s="49" t="s">
        <v>0</v>
      </c>
      <c r="R8" s="51" t="s">
        <v>0</v>
      </c>
    </row>
    <row r="9" spans="2:29" s="5" customFormat="1" ht="15" customHeight="1" x14ac:dyDescent="0.15">
      <c r="B9" s="52" t="s">
        <v>23</v>
      </c>
      <c r="C9" s="53"/>
      <c r="D9" s="54"/>
      <c r="E9" s="391"/>
      <c r="F9" s="55"/>
      <c r="G9" s="417">
        <f>SUM(H9:R9)</f>
        <v>0</v>
      </c>
      <c r="H9" s="418">
        <f>SUMIFS(月別入力!$I:$I,月別入力!$E:$E,$C9,月別入力!$B:$B,$B9,月別入力!$H:$H,$F9,月別入力!$D:$D,H$7)</f>
        <v>0</v>
      </c>
      <c r="I9" s="418">
        <f>SUMIFS(月別入力!$I:$I,月別入力!$E:$E,$C9,月別入力!$B:$B,$B9,月別入力!$H:$H,$F9,月別入力!$D:$D,I$7)</f>
        <v>0</v>
      </c>
      <c r="J9" s="418">
        <f>SUMIFS(月別入力!$I:$I,月別入力!$E:$E,$C9,月別入力!$B:$B,$B9,月別入力!$H:$H,$F9,月別入力!$D:$D,J$7)</f>
        <v>0</v>
      </c>
      <c r="K9" s="418">
        <f>SUMIFS(月別入力!$I:$I,月別入力!$E:$E,$C9,月別入力!$B:$B,$B9,月別入力!$H:$H,$F9,月別入力!$D:$D,K$7)</f>
        <v>0</v>
      </c>
      <c r="L9" s="418">
        <f>SUMIFS(月別入力!$I:$I,月別入力!$E:$E,$C9,月別入力!$B:$B,$B9,月別入力!$H:$H,$F9,月別入力!$D:$D,L$7)</f>
        <v>0</v>
      </c>
      <c r="M9" s="418">
        <f>SUMIFS(月別入力!$I:$I,月別入力!$E:$E,$C9,月別入力!$B:$B,$B9,月別入力!$H:$H,$F9,月別入力!$D:$D,M$7)</f>
        <v>0</v>
      </c>
      <c r="N9" s="418">
        <f>SUMIFS(月別入力!$I:$I,月別入力!$E:$E,$C9,月別入力!$B:$B,$B9,月別入力!$H:$H,$F9,月別入力!$D:$D,N$7)</f>
        <v>0</v>
      </c>
      <c r="O9" s="418">
        <f>SUMIFS(月別入力!$I:$I,月別入力!$E:$E,$C9,月別入力!$B:$B,$B9,月別入力!$H:$H,$F9,月別入力!$D:$D,O$7)</f>
        <v>0</v>
      </c>
      <c r="P9" s="418">
        <f>SUMIFS(月別入力!$I:$I,月別入力!$E:$E,$C9,月別入力!$B:$B,$B9,月別入力!$H:$H,$F9,月別入力!$D:$D,P$7)</f>
        <v>0</v>
      </c>
      <c r="Q9" s="418">
        <f>SUMIFS(月別入力!$I:$I,月別入力!$E:$E,$C9,月別入力!$B:$B,$B9,月別入力!$H:$H,$F9,月別入力!$D:$D,Q$7)</f>
        <v>0</v>
      </c>
      <c r="R9" s="419">
        <f>SUMIFS(月別入力!$I:$I,月別入力!$E:$E,$C9,月別入力!$B:$B,$B9,月別入力!$H:$H,$F9,月別入力!$D:$D,R$7)</f>
        <v>0</v>
      </c>
    </row>
    <row r="10" spans="2:29" s="5" customFormat="1" ht="15" customHeight="1" x14ac:dyDescent="0.15">
      <c r="B10" s="56" t="str">
        <f>B$9</f>
        <v>&lt;=12</v>
      </c>
      <c r="C10" s="57"/>
      <c r="D10" s="54"/>
      <c r="E10" s="392"/>
      <c r="F10" s="55"/>
      <c r="G10" s="420">
        <f t="shared" ref="G10:G73" si="0">SUM(H10:R10)</f>
        <v>0</v>
      </c>
      <c r="H10" s="421">
        <f>SUMIFS(月別入力!$I:$I,月別入力!$E:$E,$C10,月別入力!$B:$B,$B10,月別入力!$H:$H,$F10,月別入力!$D:$D,H$7)</f>
        <v>0</v>
      </c>
      <c r="I10" s="421">
        <f>SUMIFS(月別入力!$I:$I,月別入力!$E:$E,$C10,月別入力!$B:$B,$B10,月別入力!$H:$H,$F10,月別入力!$D:$D,I$7)</f>
        <v>0</v>
      </c>
      <c r="J10" s="421">
        <f>SUMIFS(月別入力!$I:$I,月別入力!$E:$E,$C10,月別入力!$B:$B,$B10,月別入力!$H:$H,$F10,月別入力!$D:$D,J$7)</f>
        <v>0</v>
      </c>
      <c r="K10" s="421">
        <f>SUMIFS(月別入力!$I:$I,月別入力!$E:$E,$C10,月別入力!$B:$B,$B10,月別入力!$H:$H,$F10,月別入力!$D:$D,K$7)</f>
        <v>0</v>
      </c>
      <c r="L10" s="421">
        <f>SUMIFS(月別入力!$I:$I,月別入力!$E:$E,$C10,月別入力!$B:$B,$B10,月別入力!$H:$H,$F10,月別入力!$D:$D,L$7)</f>
        <v>0</v>
      </c>
      <c r="M10" s="421">
        <f>SUMIFS(月別入力!$I:$I,月別入力!$E:$E,$C10,月別入力!$B:$B,$B10,月別入力!$H:$H,$F10,月別入力!$D:$D,M$7)</f>
        <v>0</v>
      </c>
      <c r="N10" s="421">
        <f>SUMIFS(月別入力!$I:$I,月別入力!$E:$E,$C10,月別入力!$B:$B,$B10,月別入力!$H:$H,$F10,月別入力!$D:$D,N$7)</f>
        <v>0</v>
      </c>
      <c r="O10" s="421">
        <f>SUMIFS(月別入力!$I:$I,月別入力!$E:$E,$C10,月別入力!$B:$B,$B10,月別入力!$H:$H,$F10,月別入力!$D:$D,O$7)</f>
        <v>0</v>
      </c>
      <c r="P10" s="421">
        <f>SUMIFS(月別入力!$I:$I,月別入力!$E:$E,$C10,月別入力!$B:$B,$B10,月別入力!$H:$H,$F10,月別入力!$D:$D,P$7)</f>
        <v>0</v>
      </c>
      <c r="Q10" s="421">
        <f>SUMIFS(月別入力!$I:$I,月別入力!$E:$E,$C10,月別入力!$B:$B,$B10,月別入力!$H:$H,$F10,月別入力!$D:$D,Q$7)</f>
        <v>0</v>
      </c>
      <c r="R10" s="422">
        <f>SUMIFS(月別入力!$I:$I,月別入力!$E:$E,$C10,月別入力!$B:$B,$B10,月別入力!$H:$H,$F10,月別入力!$D:$D,R$7)</f>
        <v>0</v>
      </c>
    </row>
    <row r="11" spans="2:29" s="5" customFormat="1" ht="15" customHeight="1" x14ac:dyDescent="0.15">
      <c r="B11" s="56" t="str">
        <f t="shared" ref="A11:B37" si="1">B$9</f>
        <v>&lt;=12</v>
      </c>
      <c r="C11" s="57"/>
      <c r="D11" s="54"/>
      <c r="E11" s="58"/>
      <c r="F11" s="55"/>
      <c r="G11" s="417">
        <f t="shared" si="0"/>
        <v>0</v>
      </c>
      <c r="H11" s="418">
        <f>SUMIFS(月別入力!$I:$I,月別入力!$E:$E,$C11,月別入力!$B:$B,$B11,月別入力!$H:$H,$F11,月別入力!$D:$D,H$7)</f>
        <v>0</v>
      </c>
      <c r="I11" s="418">
        <f>SUMIFS(月別入力!$I:$I,月別入力!$E:$E,$C11,月別入力!$B:$B,$B11,月別入力!$H:$H,$F11,月別入力!$D:$D,I$7)</f>
        <v>0</v>
      </c>
      <c r="J11" s="418">
        <f>SUMIFS(月別入力!$I:$I,月別入力!$E:$E,$C11,月別入力!$B:$B,$B11,月別入力!$H:$H,$F11,月別入力!$D:$D,J$7)</f>
        <v>0</v>
      </c>
      <c r="K11" s="418">
        <f>SUMIFS(月別入力!$I:$I,月別入力!$E:$E,$C11,月別入力!$B:$B,$B11,月別入力!$H:$H,$F11,月別入力!$D:$D,K$7)</f>
        <v>0</v>
      </c>
      <c r="L11" s="418">
        <f>SUMIFS(月別入力!$I:$I,月別入力!$E:$E,$C11,月別入力!$B:$B,$B11,月別入力!$H:$H,$F11,月別入力!$D:$D,L$7)</f>
        <v>0</v>
      </c>
      <c r="M11" s="418">
        <f>SUMIFS(月別入力!$I:$I,月別入力!$E:$E,$C11,月別入力!$B:$B,$B11,月別入力!$H:$H,$F11,月別入力!$D:$D,M$7)</f>
        <v>0</v>
      </c>
      <c r="N11" s="418">
        <f>SUMIFS(月別入力!$I:$I,月別入力!$E:$E,$C11,月別入力!$B:$B,$B11,月別入力!$H:$H,$F11,月別入力!$D:$D,N$7)</f>
        <v>0</v>
      </c>
      <c r="O11" s="418">
        <f>SUMIFS(月別入力!$I:$I,月別入力!$E:$E,$C11,月別入力!$B:$B,$B11,月別入力!$H:$H,$F11,月別入力!$D:$D,O$7)</f>
        <v>0</v>
      </c>
      <c r="P11" s="418">
        <f>SUMIFS(月別入力!$I:$I,月別入力!$E:$E,$C11,月別入力!$B:$B,$B11,月別入力!$H:$H,$F11,月別入力!$D:$D,P$7)</f>
        <v>0</v>
      </c>
      <c r="Q11" s="418">
        <f>SUMIFS(月別入力!$I:$I,月別入力!$E:$E,$C11,月別入力!$B:$B,$B11,月別入力!$H:$H,$F11,月別入力!$D:$D,Q$7)</f>
        <v>0</v>
      </c>
      <c r="R11" s="419">
        <f>SUMIFS(月別入力!$I:$I,月別入力!$E:$E,$C11,月別入力!$B:$B,$B11,月別入力!$H:$H,$F11,月別入力!$D:$D,R$7)</f>
        <v>0</v>
      </c>
    </row>
    <row r="12" spans="2:29" s="5" customFormat="1" ht="15" customHeight="1" x14ac:dyDescent="0.15">
      <c r="B12" s="56" t="str">
        <f t="shared" si="1"/>
        <v>&lt;=12</v>
      </c>
      <c r="C12" s="57"/>
      <c r="D12" s="54"/>
      <c r="E12" s="58"/>
      <c r="F12" s="55"/>
      <c r="G12" s="417">
        <f t="shared" si="0"/>
        <v>0</v>
      </c>
      <c r="H12" s="418">
        <f>SUMIFS(月別入力!$I:$I,月別入力!$E:$E,$C12,月別入力!$B:$B,$B12,月別入力!$H:$H,$F12,月別入力!$D:$D,H$7)</f>
        <v>0</v>
      </c>
      <c r="I12" s="418">
        <f>SUMIFS(月別入力!$I:$I,月別入力!$E:$E,$C12,月別入力!$B:$B,$B12,月別入力!$H:$H,$F12,月別入力!$D:$D,I$7)</f>
        <v>0</v>
      </c>
      <c r="J12" s="418">
        <f>SUMIFS(月別入力!$I:$I,月別入力!$E:$E,$C12,月別入力!$B:$B,$B12,月別入力!$H:$H,$F12,月別入力!$D:$D,J$7)</f>
        <v>0</v>
      </c>
      <c r="K12" s="418">
        <f>SUMIFS(月別入力!$I:$I,月別入力!$E:$E,$C12,月別入力!$B:$B,$B12,月別入力!$H:$H,$F12,月別入力!$D:$D,K$7)</f>
        <v>0</v>
      </c>
      <c r="L12" s="418">
        <f>SUMIFS(月別入力!$I:$I,月別入力!$E:$E,$C12,月別入力!$B:$B,$B12,月別入力!$H:$H,$F12,月別入力!$D:$D,L$7)</f>
        <v>0</v>
      </c>
      <c r="M12" s="418">
        <f>SUMIFS(月別入力!$I:$I,月別入力!$E:$E,$C12,月別入力!$B:$B,$B12,月別入力!$H:$H,$F12,月別入力!$D:$D,M$7)</f>
        <v>0</v>
      </c>
      <c r="N12" s="418">
        <f>SUMIFS(月別入力!$I:$I,月別入力!$E:$E,$C12,月別入力!$B:$B,$B12,月別入力!$H:$H,$F12,月別入力!$D:$D,N$7)</f>
        <v>0</v>
      </c>
      <c r="O12" s="418">
        <f>SUMIFS(月別入力!$I:$I,月別入力!$E:$E,$C12,月別入力!$B:$B,$B12,月別入力!$H:$H,$F12,月別入力!$D:$D,O$7)</f>
        <v>0</v>
      </c>
      <c r="P12" s="418">
        <f>SUMIFS(月別入力!$I:$I,月別入力!$E:$E,$C12,月別入力!$B:$B,$B12,月別入力!$H:$H,$F12,月別入力!$D:$D,P$7)</f>
        <v>0</v>
      </c>
      <c r="Q12" s="418">
        <f>SUMIFS(月別入力!$I:$I,月別入力!$E:$E,$C12,月別入力!$B:$B,$B12,月別入力!$H:$H,$F12,月別入力!$D:$D,Q$7)</f>
        <v>0</v>
      </c>
      <c r="R12" s="419">
        <f>SUMIFS(月別入力!$I:$I,月別入力!$E:$E,$C12,月別入力!$B:$B,$B12,月別入力!$H:$H,$F12,月別入力!$D:$D,R$7)</f>
        <v>0</v>
      </c>
    </row>
    <row r="13" spans="2:29" s="5" customFormat="1" ht="15" customHeight="1" x14ac:dyDescent="0.15">
      <c r="B13" s="56" t="str">
        <f t="shared" si="1"/>
        <v>&lt;=12</v>
      </c>
      <c r="C13" s="57"/>
      <c r="D13" s="54"/>
      <c r="E13" s="58"/>
      <c r="F13" s="55"/>
      <c r="G13" s="417">
        <f t="shared" si="0"/>
        <v>0</v>
      </c>
      <c r="H13" s="418">
        <f>SUMIFS(月別入力!$I:$I,月別入力!$E:$E,$C13,月別入力!$B:$B,$B13,月別入力!$H:$H,$F13,月別入力!$D:$D,H$7)</f>
        <v>0</v>
      </c>
      <c r="I13" s="418">
        <f>SUMIFS(月別入力!$I:$I,月別入力!$E:$E,$C13,月別入力!$B:$B,$B13,月別入力!$H:$H,$F13,月別入力!$D:$D,I$7)</f>
        <v>0</v>
      </c>
      <c r="J13" s="418">
        <f>SUMIFS(月別入力!$I:$I,月別入力!$E:$E,$C13,月別入力!$B:$B,$B13,月別入力!$H:$H,$F13,月別入力!$D:$D,J$7)</f>
        <v>0</v>
      </c>
      <c r="K13" s="418">
        <f>SUMIFS(月別入力!$I:$I,月別入力!$E:$E,$C13,月別入力!$B:$B,$B13,月別入力!$H:$H,$F13,月別入力!$D:$D,K$7)</f>
        <v>0</v>
      </c>
      <c r="L13" s="418">
        <f>SUMIFS(月別入力!$I:$I,月別入力!$E:$E,$C13,月別入力!$B:$B,$B13,月別入力!$H:$H,$F13,月別入力!$D:$D,L$7)</f>
        <v>0</v>
      </c>
      <c r="M13" s="418">
        <f>SUMIFS(月別入力!$I:$I,月別入力!$E:$E,$C13,月別入力!$B:$B,$B13,月別入力!$H:$H,$F13,月別入力!$D:$D,M$7)</f>
        <v>0</v>
      </c>
      <c r="N13" s="418">
        <f>SUMIFS(月別入力!$I:$I,月別入力!$E:$E,$C13,月別入力!$B:$B,$B13,月別入力!$H:$H,$F13,月別入力!$D:$D,N$7)</f>
        <v>0</v>
      </c>
      <c r="O13" s="418">
        <f>SUMIFS(月別入力!$I:$I,月別入力!$E:$E,$C13,月別入力!$B:$B,$B13,月別入力!$H:$H,$F13,月別入力!$D:$D,O$7)</f>
        <v>0</v>
      </c>
      <c r="P13" s="418">
        <f>SUMIFS(月別入力!$I:$I,月別入力!$E:$E,$C13,月別入力!$B:$B,$B13,月別入力!$H:$H,$F13,月別入力!$D:$D,P$7)</f>
        <v>0</v>
      </c>
      <c r="Q13" s="418">
        <f>SUMIFS(月別入力!$I:$I,月別入力!$E:$E,$C13,月別入力!$B:$B,$B13,月別入力!$H:$H,$F13,月別入力!$D:$D,Q$7)</f>
        <v>0</v>
      </c>
      <c r="R13" s="419">
        <f>SUMIFS(月別入力!$I:$I,月別入力!$E:$E,$C13,月別入力!$B:$B,$B13,月別入力!$H:$H,$F13,月別入力!$D:$D,R$7)</f>
        <v>0</v>
      </c>
    </row>
    <row r="14" spans="2:29" s="5" customFormat="1" ht="15" customHeight="1" x14ac:dyDescent="0.15">
      <c r="B14" s="59" t="str">
        <f t="shared" si="1"/>
        <v>&lt;=12</v>
      </c>
      <c r="C14" s="60"/>
      <c r="D14" s="61"/>
      <c r="E14" s="58"/>
      <c r="F14" s="55"/>
      <c r="G14" s="417">
        <f t="shared" si="0"/>
        <v>0</v>
      </c>
      <c r="H14" s="418">
        <f>SUMIFS(月別入力!$I:$I,月別入力!$E:$E,$C14,月別入力!$B:$B,$B14,月別入力!$H:$H,$F14,月別入力!$D:$D,H$7)</f>
        <v>0</v>
      </c>
      <c r="I14" s="418">
        <f>SUMIFS(月別入力!$I:$I,月別入力!$E:$E,$C14,月別入力!$B:$B,$B14,月別入力!$H:$H,$F14,月別入力!$D:$D,I$7)</f>
        <v>0</v>
      </c>
      <c r="J14" s="418">
        <f>SUMIFS(月別入力!$I:$I,月別入力!$E:$E,$C14,月別入力!$B:$B,$B14,月別入力!$H:$H,$F14,月別入力!$D:$D,J$7)</f>
        <v>0</v>
      </c>
      <c r="K14" s="418">
        <f>SUMIFS(月別入力!$I:$I,月別入力!$E:$E,$C14,月別入力!$B:$B,$B14,月別入力!$H:$H,$F14,月別入力!$D:$D,K$7)</f>
        <v>0</v>
      </c>
      <c r="L14" s="418">
        <f>SUMIFS(月別入力!$I:$I,月別入力!$E:$E,$C14,月別入力!$B:$B,$B14,月別入力!$H:$H,$F14,月別入力!$D:$D,L$7)</f>
        <v>0</v>
      </c>
      <c r="M14" s="418">
        <f>SUMIFS(月別入力!$I:$I,月別入力!$E:$E,$C14,月別入力!$B:$B,$B14,月別入力!$H:$H,$F14,月別入力!$D:$D,M$7)</f>
        <v>0</v>
      </c>
      <c r="N14" s="418">
        <f>SUMIFS(月別入力!$I:$I,月別入力!$E:$E,$C14,月別入力!$B:$B,$B14,月別入力!$H:$H,$F14,月別入力!$D:$D,N$7)</f>
        <v>0</v>
      </c>
      <c r="O14" s="418">
        <f>SUMIFS(月別入力!$I:$I,月別入力!$E:$E,$C14,月別入力!$B:$B,$B14,月別入力!$H:$H,$F14,月別入力!$D:$D,O$7)</f>
        <v>0</v>
      </c>
      <c r="P14" s="418">
        <f>SUMIFS(月別入力!$I:$I,月別入力!$E:$E,$C14,月別入力!$B:$B,$B14,月別入力!$H:$H,$F14,月別入力!$D:$D,P$7)</f>
        <v>0</v>
      </c>
      <c r="Q14" s="418">
        <f>SUMIFS(月別入力!$I:$I,月別入力!$E:$E,$C14,月別入力!$B:$B,$B14,月別入力!$H:$H,$F14,月別入力!$D:$D,Q$7)</f>
        <v>0</v>
      </c>
      <c r="R14" s="419">
        <f>SUMIFS(月別入力!$I:$I,月別入力!$E:$E,$C14,月別入力!$B:$B,$B14,月別入力!$H:$H,$F14,月別入力!$D:$D,R$7)</f>
        <v>0</v>
      </c>
    </row>
    <row r="15" spans="2:29" s="5" customFormat="1" ht="15" customHeight="1" x14ac:dyDescent="0.15">
      <c r="B15" s="59" t="str">
        <f t="shared" si="1"/>
        <v>&lt;=12</v>
      </c>
      <c r="C15" s="60"/>
      <c r="D15" s="61"/>
      <c r="E15" s="58"/>
      <c r="F15" s="62"/>
      <c r="G15" s="417">
        <f t="shared" si="0"/>
        <v>0</v>
      </c>
      <c r="H15" s="418">
        <f>SUMIFS(月別入力!$I:$I,月別入力!$E:$E,$C15,月別入力!$B:$B,$B15,月別入力!$H:$H,$F15,月別入力!$D:$D,H$7)</f>
        <v>0</v>
      </c>
      <c r="I15" s="418">
        <f>SUMIFS(月別入力!$I:$I,月別入力!$E:$E,$C15,月別入力!$B:$B,$B15,月別入力!$H:$H,$F15,月別入力!$D:$D,I$7)</f>
        <v>0</v>
      </c>
      <c r="J15" s="418">
        <f>SUMIFS(月別入力!$I:$I,月別入力!$E:$E,$C15,月別入力!$B:$B,$B15,月別入力!$H:$H,$F15,月別入力!$D:$D,J$7)</f>
        <v>0</v>
      </c>
      <c r="K15" s="418">
        <f>SUMIFS(月別入力!$I:$I,月別入力!$E:$E,$C15,月別入力!$B:$B,$B15,月別入力!$H:$H,$F15,月別入力!$D:$D,K$7)</f>
        <v>0</v>
      </c>
      <c r="L15" s="418">
        <f>SUMIFS(月別入力!$I:$I,月別入力!$E:$E,$C15,月別入力!$B:$B,$B15,月別入力!$H:$H,$F15,月別入力!$D:$D,L$7)</f>
        <v>0</v>
      </c>
      <c r="M15" s="418">
        <f>SUMIFS(月別入力!$I:$I,月別入力!$E:$E,$C15,月別入力!$B:$B,$B15,月別入力!$H:$H,$F15,月別入力!$D:$D,M$7)</f>
        <v>0</v>
      </c>
      <c r="N15" s="418">
        <f>SUMIFS(月別入力!$I:$I,月別入力!$E:$E,$C15,月別入力!$B:$B,$B15,月別入力!$H:$H,$F15,月別入力!$D:$D,N$7)</f>
        <v>0</v>
      </c>
      <c r="O15" s="418">
        <f>SUMIFS(月別入力!$I:$I,月別入力!$E:$E,$C15,月別入力!$B:$B,$B15,月別入力!$H:$H,$F15,月別入力!$D:$D,O$7)</f>
        <v>0</v>
      </c>
      <c r="P15" s="418">
        <f>SUMIFS(月別入力!$I:$I,月別入力!$E:$E,$C15,月別入力!$B:$B,$B15,月別入力!$H:$H,$F15,月別入力!$D:$D,P$7)</f>
        <v>0</v>
      </c>
      <c r="Q15" s="418">
        <f>SUMIFS(月別入力!$I:$I,月別入力!$E:$E,$C15,月別入力!$B:$B,$B15,月別入力!$H:$H,$F15,月別入力!$D:$D,Q$7)</f>
        <v>0</v>
      </c>
      <c r="R15" s="419">
        <f>SUMIFS(月別入力!$I:$I,月別入力!$E:$E,$C15,月別入力!$B:$B,$B15,月別入力!$H:$H,$F15,月別入力!$D:$D,R$7)</f>
        <v>0</v>
      </c>
    </row>
    <row r="16" spans="2:29" s="5" customFormat="1" ht="15" customHeight="1" x14ac:dyDescent="0.15">
      <c r="B16" s="59" t="str">
        <f t="shared" si="1"/>
        <v>&lt;=12</v>
      </c>
      <c r="C16" s="60"/>
      <c r="D16" s="61"/>
      <c r="E16" s="58"/>
      <c r="F16" s="62"/>
      <c r="G16" s="417">
        <f t="shared" si="0"/>
        <v>0</v>
      </c>
      <c r="H16" s="418">
        <f>SUMIFS(月別入力!$I:$I,月別入力!$E:$E,$C16,月別入力!$B:$B,$B16,月別入力!$H:$H,$F16,月別入力!$D:$D,H$7)</f>
        <v>0</v>
      </c>
      <c r="I16" s="418">
        <f>SUMIFS(月別入力!$I:$I,月別入力!$E:$E,$C16,月別入力!$B:$B,$B16,月別入力!$H:$H,$F16,月別入力!$D:$D,I$7)</f>
        <v>0</v>
      </c>
      <c r="J16" s="418">
        <f>SUMIFS(月別入力!$I:$I,月別入力!$E:$E,$C16,月別入力!$B:$B,$B16,月別入力!$H:$H,$F16,月別入力!$D:$D,J$7)</f>
        <v>0</v>
      </c>
      <c r="K16" s="418">
        <f>SUMIFS(月別入力!$I:$I,月別入力!$E:$E,$C16,月別入力!$B:$B,$B16,月別入力!$H:$H,$F16,月別入力!$D:$D,K$7)</f>
        <v>0</v>
      </c>
      <c r="L16" s="418">
        <f>SUMIFS(月別入力!$I:$I,月別入力!$E:$E,$C16,月別入力!$B:$B,$B16,月別入力!$H:$H,$F16,月別入力!$D:$D,L$7)</f>
        <v>0</v>
      </c>
      <c r="M16" s="418">
        <f>SUMIFS(月別入力!$I:$I,月別入力!$E:$E,$C16,月別入力!$B:$B,$B16,月別入力!$H:$H,$F16,月別入力!$D:$D,M$7)</f>
        <v>0</v>
      </c>
      <c r="N16" s="418">
        <f>SUMIFS(月別入力!$I:$I,月別入力!$E:$E,$C16,月別入力!$B:$B,$B16,月別入力!$H:$H,$F16,月別入力!$D:$D,N$7)</f>
        <v>0</v>
      </c>
      <c r="O16" s="418">
        <f>SUMIFS(月別入力!$I:$I,月別入力!$E:$E,$C16,月別入力!$B:$B,$B16,月別入力!$H:$H,$F16,月別入力!$D:$D,O$7)</f>
        <v>0</v>
      </c>
      <c r="P16" s="418">
        <f>SUMIFS(月別入力!$I:$I,月別入力!$E:$E,$C16,月別入力!$B:$B,$B16,月別入力!$H:$H,$F16,月別入力!$D:$D,P$7)</f>
        <v>0</v>
      </c>
      <c r="Q16" s="418">
        <f>SUMIFS(月別入力!$I:$I,月別入力!$E:$E,$C16,月別入力!$B:$B,$B16,月別入力!$H:$H,$F16,月別入力!$D:$D,Q$7)</f>
        <v>0</v>
      </c>
      <c r="R16" s="419">
        <f>SUMIFS(月別入力!$I:$I,月別入力!$E:$E,$C16,月別入力!$B:$B,$B16,月別入力!$H:$H,$F16,月別入力!$D:$D,R$7)</f>
        <v>0</v>
      </c>
    </row>
    <row r="17" spans="2:18" s="5" customFormat="1" ht="15" customHeight="1" x14ac:dyDescent="0.15">
      <c r="B17" s="59" t="str">
        <f t="shared" si="1"/>
        <v>&lt;=12</v>
      </c>
      <c r="C17" s="60"/>
      <c r="D17" s="61"/>
      <c r="E17" s="58"/>
      <c r="F17" s="62"/>
      <c r="G17" s="417">
        <f t="shared" si="0"/>
        <v>0</v>
      </c>
      <c r="H17" s="418">
        <f>SUMIFS(月別入力!$I:$I,月別入力!$E:$E,$C17,月別入力!$B:$B,$B17,月別入力!$H:$H,$F17,月別入力!$D:$D,H$7)</f>
        <v>0</v>
      </c>
      <c r="I17" s="418">
        <f>SUMIFS(月別入力!$I:$I,月別入力!$E:$E,$C17,月別入力!$B:$B,$B17,月別入力!$H:$H,$F17,月別入力!$D:$D,I$7)</f>
        <v>0</v>
      </c>
      <c r="J17" s="418">
        <f>SUMIFS(月別入力!$I:$I,月別入力!$E:$E,$C17,月別入力!$B:$B,$B17,月別入力!$H:$H,$F17,月別入力!$D:$D,J$7)</f>
        <v>0</v>
      </c>
      <c r="K17" s="418">
        <f>SUMIFS(月別入力!$I:$I,月別入力!$E:$E,$C17,月別入力!$B:$B,$B17,月別入力!$H:$H,$F17,月別入力!$D:$D,K$7)</f>
        <v>0</v>
      </c>
      <c r="L17" s="418">
        <f>SUMIFS(月別入力!$I:$I,月別入力!$E:$E,$C17,月別入力!$B:$B,$B17,月別入力!$H:$H,$F17,月別入力!$D:$D,L$7)</f>
        <v>0</v>
      </c>
      <c r="M17" s="418">
        <f>SUMIFS(月別入力!$I:$I,月別入力!$E:$E,$C17,月別入力!$B:$B,$B17,月別入力!$H:$H,$F17,月別入力!$D:$D,M$7)</f>
        <v>0</v>
      </c>
      <c r="N17" s="418">
        <f>SUMIFS(月別入力!$I:$I,月別入力!$E:$E,$C17,月別入力!$B:$B,$B17,月別入力!$H:$H,$F17,月別入力!$D:$D,N$7)</f>
        <v>0</v>
      </c>
      <c r="O17" s="418">
        <f>SUMIFS(月別入力!$I:$I,月別入力!$E:$E,$C17,月別入力!$B:$B,$B17,月別入力!$H:$H,$F17,月別入力!$D:$D,O$7)</f>
        <v>0</v>
      </c>
      <c r="P17" s="418">
        <f>SUMIFS(月別入力!$I:$I,月別入力!$E:$E,$C17,月別入力!$B:$B,$B17,月別入力!$H:$H,$F17,月別入力!$D:$D,P$7)</f>
        <v>0</v>
      </c>
      <c r="Q17" s="418">
        <f>SUMIFS(月別入力!$I:$I,月別入力!$E:$E,$C17,月別入力!$B:$B,$B17,月別入力!$H:$H,$F17,月別入力!$D:$D,Q$7)</f>
        <v>0</v>
      </c>
      <c r="R17" s="419">
        <f>SUMIFS(月別入力!$I:$I,月別入力!$E:$E,$C17,月別入力!$B:$B,$B17,月別入力!$H:$H,$F17,月別入力!$D:$D,R$7)</f>
        <v>0</v>
      </c>
    </row>
    <row r="18" spans="2:18" s="5" customFormat="1" ht="15" customHeight="1" x14ac:dyDescent="0.15">
      <c r="B18" s="59" t="str">
        <f t="shared" si="1"/>
        <v>&lt;=12</v>
      </c>
      <c r="C18" s="60"/>
      <c r="D18" s="61"/>
      <c r="E18" s="58"/>
      <c r="F18" s="62"/>
      <c r="G18" s="417">
        <f t="shared" si="0"/>
        <v>0</v>
      </c>
      <c r="H18" s="418">
        <f>SUMIFS(月別入力!$I:$I,月別入力!$E:$E,$C18,月別入力!$B:$B,$B18,月別入力!$H:$H,$F18,月別入力!$D:$D,H$7)</f>
        <v>0</v>
      </c>
      <c r="I18" s="418">
        <f>SUMIFS(月別入力!$I:$I,月別入力!$E:$E,$C18,月別入力!$B:$B,$B18,月別入力!$H:$H,$F18,月別入力!$D:$D,I$7)</f>
        <v>0</v>
      </c>
      <c r="J18" s="418">
        <f>SUMIFS(月別入力!$I:$I,月別入力!$E:$E,$C18,月別入力!$B:$B,$B18,月別入力!$H:$H,$F18,月別入力!$D:$D,J$7)</f>
        <v>0</v>
      </c>
      <c r="K18" s="418">
        <f>SUMIFS(月別入力!$I:$I,月別入力!$E:$E,$C18,月別入力!$B:$B,$B18,月別入力!$H:$H,$F18,月別入力!$D:$D,K$7)</f>
        <v>0</v>
      </c>
      <c r="L18" s="418">
        <f>SUMIFS(月別入力!$I:$I,月別入力!$E:$E,$C18,月別入力!$B:$B,$B18,月別入力!$H:$H,$F18,月別入力!$D:$D,L$7)</f>
        <v>0</v>
      </c>
      <c r="M18" s="418">
        <f>SUMIFS(月別入力!$I:$I,月別入力!$E:$E,$C18,月別入力!$B:$B,$B18,月別入力!$H:$H,$F18,月別入力!$D:$D,M$7)</f>
        <v>0</v>
      </c>
      <c r="N18" s="418">
        <f>SUMIFS(月別入力!$I:$I,月別入力!$E:$E,$C18,月別入力!$B:$B,$B18,月別入力!$H:$H,$F18,月別入力!$D:$D,N$7)</f>
        <v>0</v>
      </c>
      <c r="O18" s="418">
        <f>SUMIFS(月別入力!$I:$I,月別入力!$E:$E,$C18,月別入力!$B:$B,$B18,月別入力!$H:$H,$F18,月別入力!$D:$D,O$7)</f>
        <v>0</v>
      </c>
      <c r="P18" s="418">
        <f>SUMIFS(月別入力!$I:$I,月別入力!$E:$E,$C18,月別入力!$B:$B,$B18,月別入力!$H:$H,$F18,月別入力!$D:$D,P$7)</f>
        <v>0</v>
      </c>
      <c r="Q18" s="418">
        <f>SUMIFS(月別入力!$I:$I,月別入力!$E:$E,$C18,月別入力!$B:$B,$B18,月別入力!$H:$H,$F18,月別入力!$D:$D,Q$7)</f>
        <v>0</v>
      </c>
      <c r="R18" s="419">
        <f>SUMIFS(月別入力!$I:$I,月別入力!$E:$E,$C18,月別入力!$B:$B,$B18,月別入力!$H:$H,$F18,月別入力!$D:$D,R$7)</f>
        <v>0</v>
      </c>
    </row>
    <row r="19" spans="2:18" s="5" customFormat="1" ht="15" customHeight="1" x14ac:dyDescent="0.15">
      <c r="B19" s="59" t="str">
        <f t="shared" si="1"/>
        <v>&lt;=12</v>
      </c>
      <c r="C19" s="60"/>
      <c r="D19" s="61"/>
      <c r="E19" s="58"/>
      <c r="F19" s="62"/>
      <c r="G19" s="417">
        <f t="shared" si="0"/>
        <v>0</v>
      </c>
      <c r="H19" s="418">
        <f>SUMIFS(月別入力!$I:$I,月別入力!$E:$E,$C19,月別入力!$B:$B,$B19,月別入力!$H:$H,$F19,月別入力!$D:$D,H$7)</f>
        <v>0</v>
      </c>
      <c r="I19" s="418">
        <f>SUMIFS(月別入力!$I:$I,月別入力!$E:$E,$C19,月別入力!$B:$B,$B19,月別入力!$H:$H,$F19,月別入力!$D:$D,I$7)</f>
        <v>0</v>
      </c>
      <c r="J19" s="418">
        <f>SUMIFS(月別入力!$I:$I,月別入力!$E:$E,$C19,月別入力!$B:$B,$B19,月別入力!$H:$H,$F19,月別入力!$D:$D,J$7)</f>
        <v>0</v>
      </c>
      <c r="K19" s="418">
        <f>SUMIFS(月別入力!$I:$I,月別入力!$E:$E,$C19,月別入力!$B:$B,$B19,月別入力!$H:$H,$F19,月別入力!$D:$D,K$7)</f>
        <v>0</v>
      </c>
      <c r="L19" s="418">
        <f>SUMIFS(月別入力!$I:$I,月別入力!$E:$E,$C19,月別入力!$B:$B,$B19,月別入力!$H:$H,$F19,月別入力!$D:$D,L$7)</f>
        <v>0</v>
      </c>
      <c r="M19" s="418">
        <f>SUMIFS(月別入力!$I:$I,月別入力!$E:$E,$C19,月別入力!$B:$B,$B19,月別入力!$H:$H,$F19,月別入力!$D:$D,M$7)</f>
        <v>0</v>
      </c>
      <c r="N19" s="418">
        <f>SUMIFS(月別入力!$I:$I,月別入力!$E:$E,$C19,月別入力!$B:$B,$B19,月別入力!$H:$H,$F19,月別入力!$D:$D,N$7)</f>
        <v>0</v>
      </c>
      <c r="O19" s="418">
        <f>SUMIFS(月別入力!$I:$I,月別入力!$E:$E,$C19,月別入力!$B:$B,$B19,月別入力!$H:$H,$F19,月別入力!$D:$D,O$7)</f>
        <v>0</v>
      </c>
      <c r="P19" s="418">
        <f>SUMIFS(月別入力!$I:$I,月別入力!$E:$E,$C19,月別入力!$B:$B,$B19,月別入力!$H:$H,$F19,月別入力!$D:$D,P$7)</f>
        <v>0</v>
      </c>
      <c r="Q19" s="418">
        <f>SUMIFS(月別入力!$I:$I,月別入力!$E:$E,$C19,月別入力!$B:$B,$B19,月別入力!$H:$H,$F19,月別入力!$D:$D,Q$7)</f>
        <v>0</v>
      </c>
      <c r="R19" s="419">
        <f>SUMIFS(月別入力!$I:$I,月別入力!$E:$E,$C19,月別入力!$B:$B,$B19,月別入力!$H:$H,$F19,月別入力!$D:$D,R$7)</f>
        <v>0</v>
      </c>
    </row>
    <row r="20" spans="2:18" s="5" customFormat="1" ht="15" customHeight="1" x14ac:dyDescent="0.15">
      <c r="B20" s="59" t="str">
        <f t="shared" si="1"/>
        <v>&lt;=12</v>
      </c>
      <c r="C20" s="60"/>
      <c r="D20" s="61"/>
      <c r="E20" s="58"/>
      <c r="F20" s="62"/>
      <c r="G20" s="417">
        <f t="shared" si="0"/>
        <v>0</v>
      </c>
      <c r="H20" s="418">
        <f>SUMIFS(月別入力!$I:$I,月別入力!$E:$E,$C20,月別入力!$B:$B,$B20,月別入力!$H:$H,$F20,月別入力!$D:$D,H$7)</f>
        <v>0</v>
      </c>
      <c r="I20" s="418">
        <f>SUMIFS(月別入力!$I:$I,月別入力!$E:$E,$C20,月別入力!$B:$B,$B20,月別入力!$H:$H,$F20,月別入力!$D:$D,I$7)</f>
        <v>0</v>
      </c>
      <c r="J20" s="418">
        <f>SUMIFS(月別入力!$I:$I,月別入力!$E:$E,$C20,月別入力!$B:$B,$B20,月別入力!$H:$H,$F20,月別入力!$D:$D,J$7)</f>
        <v>0</v>
      </c>
      <c r="K20" s="418">
        <f>SUMIFS(月別入力!$I:$I,月別入力!$E:$E,$C20,月別入力!$B:$B,$B20,月別入力!$H:$H,$F20,月別入力!$D:$D,K$7)</f>
        <v>0</v>
      </c>
      <c r="L20" s="418">
        <f>SUMIFS(月別入力!$I:$I,月別入力!$E:$E,$C20,月別入力!$B:$B,$B20,月別入力!$H:$H,$F20,月別入力!$D:$D,L$7)</f>
        <v>0</v>
      </c>
      <c r="M20" s="418">
        <f>SUMIFS(月別入力!$I:$I,月別入力!$E:$E,$C20,月別入力!$B:$B,$B20,月別入力!$H:$H,$F20,月別入力!$D:$D,M$7)</f>
        <v>0</v>
      </c>
      <c r="N20" s="418">
        <f>SUMIFS(月別入力!$I:$I,月別入力!$E:$E,$C20,月別入力!$B:$B,$B20,月別入力!$H:$H,$F20,月別入力!$D:$D,N$7)</f>
        <v>0</v>
      </c>
      <c r="O20" s="418">
        <f>SUMIFS(月別入力!$I:$I,月別入力!$E:$E,$C20,月別入力!$B:$B,$B20,月別入力!$H:$H,$F20,月別入力!$D:$D,O$7)</f>
        <v>0</v>
      </c>
      <c r="P20" s="418">
        <f>SUMIFS(月別入力!$I:$I,月別入力!$E:$E,$C20,月別入力!$B:$B,$B20,月別入力!$H:$H,$F20,月別入力!$D:$D,P$7)</f>
        <v>0</v>
      </c>
      <c r="Q20" s="418">
        <f>SUMIFS(月別入力!$I:$I,月別入力!$E:$E,$C20,月別入力!$B:$B,$B20,月別入力!$H:$H,$F20,月別入力!$D:$D,Q$7)</f>
        <v>0</v>
      </c>
      <c r="R20" s="419">
        <f>SUMIFS(月別入力!$I:$I,月別入力!$E:$E,$C20,月別入力!$B:$B,$B20,月別入力!$H:$H,$F20,月別入力!$D:$D,R$7)</f>
        <v>0</v>
      </c>
    </row>
    <row r="21" spans="2:18" s="5" customFormat="1" ht="15" customHeight="1" x14ac:dyDescent="0.15">
      <c r="B21" s="59" t="str">
        <f t="shared" si="1"/>
        <v>&lt;=12</v>
      </c>
      <c r="C21" s="60"/>
      <c r="D21" s="61"/>
      <c r="E21" s="58"/>
      <c r="F21" s="62"/>
      <c r="G21" s="417">
        <f t="shared" si="0"/>
        <v>0</v>
      </c>
      <c r="H21" s="418">
        <f>SUMIFS(月別入力!$I:$I,月別入力!$E:$E,$C21,月別入力!$B:$B,$B21,月別入力!$H:$H,$F21,月別入力!$D:$D,H$7)</f>
        <v>0</v>
      </c>
      <c r="I21" s="418">
        <f>SUMIFS(月別入力!$I:$I,月別入力!$E:$E,$C21,月別入力!$B:$B,$B21,月別入力!$H:$H,$F21,月別入力!$D:$D,I$7)</f>
        <v>0</v>
      </c>
      <c r="J21" s="418">
        <f>SUMIFS(月別入力!$I:$I,月別入力!$E:$E,$C21,月別入力!$B:$B,$B21,月別入力!$H:$H,$F21,月別入力!$D:$D,J$7)</f>
        <v>0</v>
      </c>
      <c r="K21" s="418">
        <f>SUMIFS(月別入力!$I:$I,月別入力!$E:$E,$C21,月別入力!$B:$B,$B21,月別入力!$H:$H,$F21,月別入力!$D:$D,K$7)</f>
        <v>0</v>
      </c>
      <c r="L21" s="418">
        <f>SUMIFS(月別入力!$I:$I,月別入力!$E:$E,$C21,月別入力!$B:$B,$B21,月別入力!$H:$H,$F21,月別入力!$D:$D,L$7)</f>
        <v>0</v>
      </c>
      <c r="M21" s="418">
        <f>SUMIFS(月別入力!$I:$I,月別入力!$E:$E,$C21,月別入力!$B:$B,$B21,月別入力!$H:$H,$F21,月別入力!$D:$D,M$7)</f>
        <v>0</v>
      </c>
      <c r="N21" s="418">
        <f>SUMIFS(月別入力!$I:$I,月別入力!$E:$E,$C21,月別入力!$B:$B,$B21,月別入力!$H:$H,$F21,月別入力!$D:$D,N$7)</f>
        <v>0</v>
      </c>
      <c r="O21" s="418">
        <f>SUMIFS(月別入力!$I:$I,月別入力!$E:$E,$C21,月別入力!$B:$B,$B21,月別入力!$H:$H,$F21,月別入力!$D:$D,O$7)</f>
        <v>0</v>
      </c>
      <c r="P21" s="418">
        <f>SUMIFS(月別入力!$I:$I,月別入力!$E:$E,$C21,月別入力!$B:$B,$B21,月別入力!$H:$H,$F21,月別入力!$D:$D,P$7)</f>
        <v>0</v>
      </c>
      <c r="Q21" s="418">
        <f>SUMIFS(月別入力!$I:$I,月別入力!$E:$E,$C21,月別入力!$B:$B,$B21,月別入力!$H:$H,$F21,月別入力!$D:$D,Q$7)</f>
        <v>0</v>
      </c>
      <c r="R21" s="419">
        <f>SUMIFS(月別入力!$I:$I,月別入力!$E:$E,$C21,月別入力!$B:$B,$B21,月別入力!$H:$H,$F21,月別入力!$D:$D,R$7)</f>
        <v>0</v>
      </c>
    </row>
    <row r="22" spans="2:18" s="5" customFormat="1" ht="15" customHeight="1" x14ac:dyDescent="0.15">
      <c r="B22" s="59" t="str">
        <f t="shared" si="1"/>
        <v>&lt;=12</v>
      </c>
      <c r="C22" s="60"/>
      <c r="D22" s="61"/>
      <c r="E22" s="58"/>
      <c r="F22" s="62"/>
      <c r="G22" s="417">
        <f t="shared" si="0"/>
        <v>0</v>
      </c>
      <c r="H22" s="418">
        <f>SUMIFS(月別入力!$I:$I,月別入力!$E:$E,$C22,月別入力!$B:$B,$B22,月別入力!$H:$H,$F22,月別入力!$D:$D,H$7)</f>
        <v>0</v>
      </c>
      <c r="I22" s="418">
        <f>SUMIFS(月別入力!$I:$I,月別入力!$E:$E,$C22,月別入力!$B:$B,$B22,月別入力!$H:$H,$F22,月別入力!$D:$D,I$7)</f>
        <v>0</v>
      </c>
      <c r="J22" s="418">
        <f>SUMIFS(月別入力!$I:$I,月別入力!$E:$E,$C22,月別入力!$B:$B,$B22,月別入力!$H:$H,$F22,月別入力!$D:$D,J$7)</f>
        <v>0</v>
      </c>
      <c r="K22" s="418">
        <f>SUMIFS(月別入力!$I:$I,月別入力!$E:$E,$C22,月別入力!$B:$B,$B22,月別入力!$H:$H,$F22,月別入力!$D:$D,K$7)</f>
        <v>0</v>
      </c>
      <c r="L22" s="418">
        <f>SUMIFS(月別入力!$I:$I,月別入力!$E:$E,$C22,月別入力!$B:$B,$B22,月別入力!$H:$H,$F22,月別入力!$D:$D,L$7)</f>
        <v>0</v>
      </c>
      <c r="M22" s="418">
        <f>SUMIFS(月別入力!$I:$I,月別入力!$E:$E,$C22,月別入力!$B:$B,$B22,月別入力!$H:$H,$F22,月別入力!$D:$D,M$7)</f>
        <v>0</v>
      </c>
      <c r="N22" s="418">
        <f>SUMIFS(月別入力!$I:$I,月別入力!$E:$E,$C22,月別入力!$B:$B,$B22,月別入力!$H:$H,$F22,月別入力!$D:$D,N$7)</f>
        <v>0</v>
      </c>
      <c r="O22" s="418">
        <f>SUMIFS(月別入力!$I:$I,月別入力!$E:$E,$C22,月別入力!$B:$B,$B22,月別入力!$H:$H,$F22,月別入力!$D:$D,O$7)</f>
        <v>0</v>
      </c>
      <c r="P22" s="418">
        <f>SUMIFS(月別入力!$I:$I,月別入力!$E:$E,$C22,月別入力!$B:$B,$B22,月別入力!$H:$H,$F22,月別入力!$D:$D,P$7)</f>
        <v>0</v>
      </c>
      <c r="Q22" s="418">
        <f>SUMIFS(月別入力!$I:$I,月別入力!$E:$E,$C22,月別入力!$B:$B,$B22,月別入力!$H:$H,$F22,月別入力!$D:$D,Q$7)</f>
        <v>0</v>
      </c>
      <c r="R22" s="419">
        <f>SUMIFS(月別入力!$I:$I,月別入力!$E:$E,$C22,月別入力!$B:$B,$B22,月別入力!$H:$H,$F22,月別入力!$D:$D,R$7)</f>
        <v>0</v>
      </c>
    </row>
    <row r="23" spans="2:18" s="5" customFormat="1" ht="15" customHeight="1" x14ac:dyDescent="0.15">
      <c r="B23" s="59" t="str">
        <f t="shared" si="1"/>
        <v>&lt;=12</v>
      </c>
      <c r="C23" s="60"/>
      <c r="D23" s="61"/>
      <c r="E23" s="58"/>
      <c r="F23" s="62"/>
      <c r="G23" s="417">
        <f t="shared" si="0"/>
        <v>0</v>
      </c>
      <c r="H23" s="418">
        <f>SUMIFS(月別入力!$I:$I,月別入力!$E:$E,$C23,月別入力!$B:$B,$B23,月別入力!$H:$H,$F23,月別入力!$D:$D,H$7)</f>
        <v>0</v>
      </c>
      <c r="I23" s="418">
        <f>SUMIFS(月別入力!$I:$I,月別入力!$E:$E,$C23,月別入力!$B:$B,$B23,月別入力!$H:$H,$F23,月別入力!$D:$D,I$7)</f>
        <v>0</v>
      </c>
      <c r="J23" s="418">
        <f>SUMIFS(月別入力!$I:$I,月別入力!$E:$E,$C23,月別入力!$B:$B,$B23,月別入力!$H:$H,$F23,月別入力!$D:$D,J$7)</f>
        <v>0</v>
      </c>
      <c r="K23" s="418">
        <f>SUMIFS(月別入力!$I:$I,月別入力!$E:$E,$C23,月別入力!$B:$B,$B23,月別入力!$H:$H,$F23,月別入力!$D:$D,K$7)</f>
        <v>0</v>
      </c>
      <c r="L23" s="418">
        <f>SUMIFS(月別入力!$I:$I,月別入力!$E:$E,$C23,月別入力!$B:$B,$B23,月別入力!$H:$H,$F23,月別入力!$D:$D,L$7)</f>
        <v>0</v>
      </c>
      <c r="M23" s="418">
        <f>SUMIFS(月別入力!$I:$I,月別入力!$E:$E,$C23,月別入力!$B:$B,$B23,月別入力!$H:$H,$F23,月別入力!$D:$D,M$7)</f>
        <v>0</v>
      </c>
      <c r="N23" s="418">
        <f>SUMIFS(月別入力!$I:$I,月別入力!$E:$E,$C23,月別入力!$B:$B,$B23,月別入力!$H:$H,$F23,月別入力!$D:$D,N$7)</f>
        <v>0</v>
      </c>
      <c r="O23" s="418">
        <f>SUMIFS(月別入力!$I:$I,月別入力!$E:$E,$C23,月別入力!$B:$B,$B23,月別入力!$H:$H,$F23,月別入力!$D:$D,O$7)</f>
        <v>0</v>
      </c>
      <c r="P23" s="418">
        <f>SUMIFS(月別入力!$I:$I,月別入力!$E:$E,$C23,月別入力!$B:$B,$B23,月別入力!$H:$H,$F23,月別入力!$D:$D,P$7)</f>
        <v>0</v>
      </c>
      <c r="Q23" s="418">
        <f>SUMIFS(月別入力!$I:$I,月別入力!$E:$E,$C23,月別入力!$B:$B,$B23,月別入力!$H:$H,$F23,月別入力!$D:$D,Q$7)</f>
        <v>0</v>
      </c>
      <c r="R23" s="419">
        <f>SUMIFS(月別入力!$I:$I,月別入力!$E:$E,$C23,月別入力!$B:$B,$B23,月別入力!$H:$H,$F23,月別入力!$D:$D,R$7)</f>
        <v>0</v>
      </c>
    </row>
    <row r="24" spans="2:18" s="5" customFormat="1" ht="15" customHeight="1" x14ac:dyDescent="0.15">
      <c r="B24" s="59" t="str">
        <f t="shared" si="1"/>
        <v>&lt;=12</v>
      </c>
      <c r="C24" s="60"/>
      <c r="D24" s="61"/>
      <c r="E24" s="58"/>
      <c r="F24" s="62"/>
      <c r="G24" s="417">
        <f t="shared" si="0"/>
        <v>0</v>
      </c>
      <c r="H24" s="418">
        <f>SUMIFS(月別入力!$I:$I,月別入力!$E:$E,$C24,月別入力!$B:$B,$B24,月別入力!$H:$H,$F24,月別入力!$D:$D,H$7)</f>
        <v>0</v>
      </c>
      <c r="I24" s="418">
        <f>SUMIFS(月別入力!$I:$I,月別入力!$E:$E,$C24,月別入力!$B:$B,$B24,月別入力!$H:$H,$F24,月別入力!$D:$D,I$7)</f>
        <v>0</v>
      </c>
      <c r="J24" s="418">
        <f>SUMIFS(月別入力!$I:$I,月別入力!$E:$E,$C24,月別入力!$B:$B,$B24,月別入力!$H:$H,$F24,月別入力!$D:$D,J$7)</f>
        <v>0</v>
      </c>
      <c r="K24" s="418">
        <f>SUMIFS(月別入力!$I:$I,月別入力!$E:$E,$C24,月別入力!$B:$B,$B24,月別入力!$H:$H,$F24,月別入力!$D:$D,K$7)</f>
        <v>0</v>
      </c>
      <c r="L24" s="418">
        <f>SUMIFS(月別入力!$I:$I,月別入力!$E:$E,$C24,月別入力!$B:$B,$B24,月別入力!$H:$H,$F24,月別入力!$D:$D,L$7)</f>
        <v>0</v>
      </c>
      <c r="M24" s="418">
        <f>SUMIFS(月別入力!$I:$I,月別入力!$E:$E,$C24,月別入力!$B:$B,$B24,月別入力!$H:$H,$F24,月別入力!$D:$D,M$7)</f>
        <v>0</v>
      </c>
      <c r="N24" s="418">
        <f>SUMIFS(月別入力!$I:$I,月別入力!$E:$E,$C24,月別入力!$B:$B,$B24,月別入力!$H:$H,$F24,月別入力!$D:$D,N$7)</f>
        <v>0</v>
      </c>
      <c r="O24" s="418">
        <f>SUMIFS(月別入力!$I:$I,月別入力!$E:$E,$C24,月別入力!$B:$B,$B24,月別入力!$H:$H,$F24,月別入力!$D:$D,O$7)</f>
        <v>0</v>
      </c>
      <c r="P24" s="418">
        <f>SUMIFS(月別入力!$I:$I,月別入力!$E:$E,$C24,月別入力!$B:$B,$B24,月別入力!$H:$H,$F24,月別入力!$D:$D,P$7)</f>
        <v>0</v>
      </c>
      <c r="Q24" s="418">
        <f>SUMIFS(月別入力!$I:$I,月別入力!$E:$E,$C24,月別入力!$B:$B,$B24,月別入力!$H:$H,$F24,月別入力!$D:$D,Q$7)</f>
        <v>0</v>
      </c>
      <c r="R24" s="419">
        <f>SUMIFS(月別入力!$I:$I,月別入力!$E:$E,$C24,月別入力!$B:$B,$B24,月別入力!$H:$H,$F24,月別入力!$D:$D,R$7)</f>
        <v>0</v>
      </c>
    </row>
    <row r="25" spans="2:18" s="5" customFormat="1" ht="15" customHeight="1" x14ac:dyDescent="0.15">
      <c r="B25" s="59" t="str">
        <f t="shared" si="1"/>
        <v>&lt;=12</v>
      </c>
      <c r="C25" s="60"/>
      <c r="D25" s="61"/>
      <c r="E25" s="58"/>
      <c r="F25" s="62"/>
      <c r="G25" s="417">
        <f t="shared" si="0"/>
        <v>0</v>
      </c>
      <c r="H25" s="418">
        <f>SUMIFS(月別入力!$I:$I,月別入力!$E:$E,$C25,月別入力!$B:$B,$B25,月別入力!$H:$H,$F25,月別入力!$D:$D,H$7)</f>
        <v>0</v>
      </c>
      <c r="I25" s="418">
        <f>SUMIFS(月別入力!$I:$I,月別入力!$E:$E,$C25,月別入力!$B:$B,$B25,月別入力!$H:$H,$F25,月別入力!$D:$D,I$7)</f>
        <v>0</v>
      </c>
      <c r="J25" s="418">
        <f>SUMIFS(月別入力!$I:$I,月別入力!$E:$E,$C25,月別入力!$B:$B,$B25,月別入力!$H:$H,$F25,月別入力!$D:$D,J$7)</f>
        <v>0</v>
      </c>
      <c r="K25" s="418">
        <f>SUMIFS(月別入力!$I:$I,月別入力!$E:$E,$C25,月別入力!$B:$B,$B25,月別入力!$H:$H,$F25,月別入力!$D:$D,K$7)</f>
        <v>0</v>
      </c>
      <c r="L25" s="418">
        <f>SUMIFS(月別入力!$I:$I,月別入力!$E:$E,$C25,月別入力!$B:$B,$B25,月別入力!$H:$H,$F25,月別入力!$D:$D,L$7)</f>
        <v>0</v>
      </c>
      <c r="M25" s="418">
        <f>SUMIFS(月別入力!$I:$I,月別入力!$E:$E,$C25,月別入力!$B:$B,$B25,月別入力!$H:$H,$F25,月別入力!$D:$D,M$7)</f>
        <v>0</v>
      </c>
      <c r="N25" s="418">
        <f>SUMIFS(月別入力!$I:$I,月別入力!$E:$E,$C25,月別入力!$B:$B,$B25,月別入力!$H:$H,$F25,月別入力!$D:$D,N$7)</f>
        <v>0</v>
      </c>
      <c r="O25" s="418">
        <f>SUMIFS(月別入力!$I:$I,月別入力!$E:$E,$C25,月別入力!$B:$B,$B25,月別入力!$H:$H,$F25,月別入力!$D:$D,O$7)</f>
        <v>0</v>
      </c>
      <c r="P25" s="418">
        <f>SUMIFS(月別入力!$I:$I,月別入力!$E:$E,$C25,月別入力!$B:$B,$B25,月別入力!$H:$H,$F25,月別入力!$D:$D,P$7)</f>
        <v>0</v>
      </c>
      <c r="Q25" s="418">
        <f>SUMIFS(月別入力!$I:$I,月別入力!$E:$E,$C25,月別入力!$B:$B,$B25,月別入力!$H:$H,$F25,月別入力!$D:$D,Q$7)</f>
        <v>0</v>
      </c>
      <c r="R25" s="419">
        <f>SUMIFS(月別入力!$I:$I,月別入力!$E:$E,$C25,月別入力!$B:$B,$B25,月別入力!$H:$H,$F25,月別入力!$D:$D,R$7)</f>
        <v>0</v>
      </c>
    </row>
    <row r="26" spans="2:18" s="5" customFormat="1" ht="15" customHeight="1" x14ac:dyDescent="0.15">
      <c r="B26" s="59" t="str">
        <f t="shared" si="1"/>
        <v>&lt;=12</v>
      </c>
      <c r="C26" s="60"/>
      <c r="D26" s="61"/>
      <c r="E26" s="58"/>
      <c r="F26" s="62"/>
      <c r="G26" s="417">
        <f t="shared" si="0"/>
        <v>0</v>
      </c>
      <c r="H26" s="418">
        <f>SUMIFS(月別入力!$I:$I,月別入力!$E:$E,$C26,月別入力!$B:$B,$B26,月別入力!$H:$H,$F26,月別入力!$D:$D,H$7)</f>
        <v>0</v>
      </c>
      <c r="I26" s="418">
        <f>SUMIFS(月別入力!$I:$I,月別入力!$E:$E,$C26,月別入力!$B:$B,$B26,月別入力!$H:$H,$F26,月別入力!$D:$D,I$7)</f>
        <v>0</v>
      </c>
      <c r="J26" s="418">
        <f>SUMIFS(月別入力!$I:$I,月別入力!$E:$E,$C26,月別入力!$B:$B,$B26,月別入力!$H:$H,$F26,月別入力!$D:$D,J$7)</f>
        <v>0</v>
      </c>
      <c r="K26" s="418">
        <f>SUMIFS(月別入力!$I:$I,月別入力!$E:$E,$C26,月別入力!$B:$B,$B26,月別入力!$H:$H,$F26,月別入力!$D:$D,K$7)</f>
        <v>0</v>
      </c>
      <c r="L26" s="418">
        <f>SUMIFS(月別入力!$I:$I,月別入力!$E:$E,$C26,月別入力!$B:$B,$B26,月別入力!$H:$H,$F26,月別入力!$D:$D,L$7)</f>
        <v>0</v>
      </c>
      <c r="M26" s="418">
        <f>SUMIFS(月別入力!$I:$I,月別入力!$E:$E,$C26,月別入力!$B:$B,$B26,月別入力!$H:$H,$F26,月別入力!$D:$D,M$7)</f>
        <v>0</v>
      </c>
      <c r="N26" s="418">
        <f>SUMIFS(月別入力!$I:$I,月別入力!$E:$E,$C26,月別入力!$B:$B,$B26,月別入力!$H:$H,$F26,月別入力!$D:$D,N$7)</f>
        <v>0</v>
      </c>
      <c r="O26" s="418">
        <f>SUMIFS(月別入力!$I:$I,月別入力!$E:$E,$C26,月別入力!$B:$B,$B26,月別入力!$H:$H,$F26,月別入力!$D:$D,O$7)</f>
        <v>0</v>
      </c>
      <c r="P26" s="418">
        <f>SUMIFS(月別入力!$I:$I,月別入力!$E:$E,$C26,月別入力!$B:$B,$B26,月別入力!$H:$H,$F26,月別入力!$D:$D,P$7)</f>
        <v>0</v>
      </c>
      <c r="Q26" s="418">
        <f>SUMIFS(月別入力!$I:$I,月別入力!$E:$E,$C26,月別入力!$B:$B,$B26,月別入力!$H:$H,$F26,月別入力!$D:$D,Q$7)</f>
        <v>0</v>
      </c>
      <c r="R26" s="419">
        <f>SUMIFS(月別入力!$I:$I,月別入力!$E:$E,$C26,月別入力!$B:$B,$B26,月別入力!$H:$H,$F26,月別入力!$D:$D,R$7)</f>
        <v>0</v>
      </c>
    </row>
    <row r="27" spans="2:18" s="5" customFormat="1" ht="15" customHeight="1" x14ac:dyDescent="0.15">
      <c r="B27" s="59" t="str">
        <f t="shared" si="1"/>
        <v>&lt;=12</v>
      </c>
      <c r="C27" s="60"/>
      <c r="D27" s="61"/>
      <c r="E27" s="58"/>
      <c r="F27" s="62"/>
      <c r="G27" s="417">
        <f t="shared" si="0"/>
        <v>0</v>
      </c>
      <c r="H27" s="418">
        <f>SUMIFS(月別入力!$I:$I,月別入力!$E:$E,$C27,月別入力!$B:$B,$B27,月別入力!$H:$H,$F27,月別入力!$D:$D,H$7)</f>
        <v>0</v>
      </c>
      <c r="I27" s="418">
        <f>SUMIFS(月別入力!$I:$I,月別入力!$E:$E,$C27,月別入力!$B:$B,$B27,月別入力!$H:$H,$F27,月別入力!$D:$D,I$7)</f>
        <v>0</v>
      </c>
      <c r="J27" s="418">
        <f>SUMIFS(月別入力!$I:$I,月別入力!$E:$E,$C27,月別入力!$B:$B,$B27,月別入力!$H:$H,$F27,月別入力!$D:$D,J$7)</f>
        <v>0</v>
      </c>
      <c r="K27" s="418">
        <f>SUMIFS(月別入力!$I:$I,月別入力!$E:$E,$C27,月別入力!$B:$B,$B27,月別入力!$H:$H,$F27,月別入力!$D:$D,K$7)</f>
        <v>0</v>
      </c>
      <c r="L27" s="418">
        <f>SUMIFS(月別入力!$I:$I,月別入力!$E:$E,$C27,月別入力!$B:$B,$B27,月別入力!$H:$H,$F27,月別入力!$D:$D,L$7)</f>
        <v>0</v>
      </c>
      <c r="M27" s="418">
        <f>SUMIFS(月別入力!$I:$I,月別入力!$E:$E,$C27,月別入力!$B:$B,$B27,月別入力!$H:$H,$F27,月別入力!$D:$D,M$7)</f>
        <v>0</v>
      </c>
      <c r="N27" s="418">
        <f>SUMIFS(月別入力!$I:$I,月別入力!$E:$E,$C27,月別入力!$B:$B,$B27,月別入力!$H:$H,$F27,月別入力!$D:$D,N$7)</f>
        <v>0</v>
      </c>
      <c r="O27" s="418">
        <f>SUMIFS(月別入力!$I:$I,月別入力!$E:$E,$C27,月別入力!$B:$B,$B27,月別入力!$H:$H,$F27,月別入力!$D:$D,O$7)</f>
        <v>0</v>
      </c>
      <c r="P27" s="418">
        <f>SUMIFS(月別入力!$I:$I,月別入力!$E:$E,$C27,月別入力!$B:$B,$B27,月別入力!$H:$H,$F27,月別入力!$D:$D,P$7)</f>
        <v>0</v>
      </c>
      <c r="Q27" s="418">
        <f>SUMIFS(月別入力!$I:$I,月別入力!$E:$E,$C27,月別入力!$B:$B,$B27,月別入力!$H:$H,$F27,月別入力!$D:$D,Q$7)</f>
        <v>0</v>
      </c>
      <c r="R27" s="419">
        <f>SUMIFS(月別入力!$I:$I,月別入力!$E:$E,$C27,月別入力!$B:$B,$B27,月別入力!$H:$H,$F27,月別入力!$D:$D,R$7)</f>
        <v>0</v>
      </c>
    </row>
    <row r="28" spans="2:18" s="5" customFormat="1" ht="15" customHeight="1" x14ac:dyDescent="0.15">
      <c r="B28" s="59" t="str">
        <f t="shared" si="1"/>
        <v>&lt;=12</v>
      </c>
      <c r="C28" s="60"/>
      <c r="D28" s="61"/>
      <c r="E28" s="58"/>
      <c r="F28" s="62"/>
      <c r="G28" s="417">
        <f t="shared" si="0"/>
        <v>0</v>
      </c>
      <c r="H28" s="418">
        <f>SUMIFS(月別入力!$I:$I,月別入力!$E:$E,$C28,月別入力!$B:$B,$B28,月別入力!$H:$H,$F28,月別入力!$D:$D,H$7)</f>
        <v>0</v>
      </c>
      <c r="I28" s="418">
        <f>SUMIFS(月別入力!$I:$I,月別入力!$E:$E,$C28,月別入力!$B:$B,$B28,月別入力!$H:$H,$F28,月別入力!$D:$D,I$7)</f>
        <v>0</v>
      </c>
      <c r="J28" s="418">
        <f>SUMIFS(月別入力!$I:$I,月別入力!$E:$E,$C28,月別入力!$B:$B,$B28,月別入力!$H:$H,$F28,月別入力!$D:$D,J$7)</f>
        <v>0</v>
      </c>
      <c r="K28" s="418">
        <f>SUMIFS(月別入力!$I:$I,月別入力!$E:$E,$C28,月別入力!$B:$B,$B28,月別入力!$H:$H,$F28,月別入力!$D:$D,K$7)</f>
        <v>0</v>
      </c>
      <c r="L28" s="418">
        <f>SUMIFS(月別入力!$I:$I,月別入力!$E:$E,$C28,月別入力!$B:$B,$B28,月別入力!$H:$H,$F28,月別入力!$D:$D,L$7)</f>
        <v>0</v>
      </c>
      <c r="M28" s="418">
        <f>SUMIFS(月別入力!$I:$I,月別入力!$E:$E,$C28,月別入力!$B:$B,$B28,月別入力!$H:$H,$F28,月別入力!$D:$D,M$7)</f>
        <v>0</v>
      </c>
      <c r="N28" s="418">
        <f>SUMIFS(月別入力!$I:$I,月別入力!$E:$E,$C28,月別入力!$B:$B,$B28,月別入力!$H:$H,$F28,月別入力!$D:$D,N$7)</f>
        <v>0</v>
      </c>
      <c r="O28" s="418">
        <f>SUMIFS(月別入力!$I:$I,月別入力!$E:$E,$C28,月別入力!$B:$B,$B28,月別入力!$H:$H,$F28,月別入力!$D:$D,O$7)</f>
        <v>0</v>
      </c>
      <c r="P28" s="418">
        <f>SUMIFS(月別入力!$I:$I,月別入力!$E:$E,$C28,月別入力!$B:$B,$B28,月別入力!$H:$H,$F28,月別入力!$D:$D,P$7)</f>
        <v>0</v>
      </c>
      <c r="Q28" s="418">
        <f>SUMIFS(月別入力!$I:$I,月別入力!$E:$E,$C28,月別入力!$B:$B,$B28,月別入力!$H:$H,$F28,月別入力!$D:$D,Q$7)</f>
        <v>0</v>
      </c>
      <c r="R28" s="419">
        <f>SUMIFS(月別入力!$I:$I,月別入力!$E:$E,$C28,月別入力!$B:$B,$B28,月別入力!$H:$H,$F28,月別入力!$D:$D,R$7)</f>
        <v>0</v>
      </c>
    </row>
    <row r="29" spans="2:18" s="5" customFormat="1" ht="15" customHeight="1" x14ac:dyDescent="0.15">
      <c r="B29" s="59" t="str">
        <f t="shared" si="1"/>
        <v>&lt;=12</v>
      </c>
      <c r="C29" s="60"/>
      <c r="D29" s="61"/>
      <c r="E29" s="58"/>
      <c r="F29" s="62"/>
      <c r="G29" s="417">
        <f t="shared" si="0"/>
        <v>0</v>
      </c>
      <c r="H29" s="418">
        <f>SUMIFS(月別入力!$I:$I,月別入力!$E:$E,$C29,月別入力!$B:$B,$B29,月別入力!$H:$H,$F29,月別入力!$D:$D,H$7)</f>
        <v>0</v>
      </c>
      <c r="I29" s="418">
        <f>SUMIFS(月別入力!$I:$I,月別入力!$E:$E,$C29,月別入力!$B:$B,$B29,月別入力!$H:$H,$F29,月別入力!$D:$D,I$7)</f>
        <v>0</v>
      </c>
      <c r="J29" s="418">
        <f>SUMIFS(月別入力!$I:$I,月別入力!$E:$E,$C29,月別入力!$B:$B,$B29,月別入力!$H:$H,$F29,月別入力!$D:$D,J$7)</f>
        <v>0</v>
      </c>
      <c r="K29" s="418">
        <f>SUMIFS(月別入力!$I:$I,月別入力!$E:$E,$C29,月別入力!$B:$B,$B29,月別入力!$H:$H,$F29,月別入力!$D:$D,K$7)</f>
        <v>0</v>
      </c>
      <c r="L29" s="418">
        <f>SUMIFS(月別入力!$I:$I,月別入力!$E:$E,$C29,月別入力!$B:$B,$B29,月別入力!$H:$H,$F29,月別入力!$D:$D,L$7)</f>
        <v>0</v>
      </c>
      <c r="M29" s="418">
        <f>SUMIFS(月別入力!$I:$I,月別入力!$E:$E,$C29,月別入力!$B:$B,$B29,月別入力!$H:$H,$F29,月別入力!$D:$D,M$7)</f>
        <v>0</v>
      </c>
      <c r="N29" s="418">
        <f>SUMIFS(月別入力!$I:$I,月別入力!$E:$E,$C29,月別入力!$B:$B,$B29,月別入力!$H:$H,$F29,月別入力!$D:$D,N$7)</f>
        <v>0</v>
      </c>
      <c r="O29" s="418">
        <f>SUMIFS(月別入力!$I:$I,月別入力!$E:$E,$C29,月別入力!$B:$B,$B29,月別入力!$H:$H,$F29,月別入力!$D:$D,O$7)</f>
        <v>0</v>
      </c>
      <c r="P29" s="418">
        <f>SUMIFS(月別入力!$I:$I,月別入力!$E:$E,$C29,月別入力!$B:$B,$B29,月別入力!$H:$H,$F29,月別入力!$D:$D,P$7)</f>
        <v>0</v>
      </c>
      <c r="Q29" s="418">
        <f>SUMIFS(月別入力!$I:$I,月別入力!$E:$E,$C29,月別入力!$B:$B,$B29,月別入力!$H:$H,$F29,月別入力!$D:$D,Q$7)</f>
        <v>0</v>
      </c>
      <c r="R29" s="419">
        <f>SUMIFS(月別入力!$I:$I,月別入力!$E:$E,$C29,月別入力!$B:$B,$B29,月別入力!$H:$H,$F29,月別入力!$D:$D,R$7)</f>
        <v>0</v>
      </c>
    </row>
    <row r="30" spans="2:18" s="5" customFormat="1" ht="15" customHeight="1" x14ac:dyDescent="0.15">
      <c r="B30" s="59" t="str">
        <f t="shared" si="1"/>
        <v>&lt;=12</v>
      </c>
      <c r="C30" s="60"/>
      <c r="D30" s="61"/>
      <c r="E30" s="58"/>
      <c r="F30" s="62"/>
      <c r="G30" s="417">
        <f t="shared" si="0"/>
        <v>0</v>
      </c>
      <c r="H30" s="418">
        <f>SUMIFS(月別入力!$I:$I,月別入力!$E:$E,$C30,月別入力!$B:$B,$B30,月別入力!$H:$H,$F30,月別入力!$D:$D,H$7)</f>
        <v>0</v>
      </c>
      <c r="I30" s="418">
        <f>SUMIFS(月別入力!$I:$I,月別入力!$E:$E,$C30,月別入力!$B:$B,$B30,月別入力!$H:$H,$F30,月別入力!$D:$D,I$7)</f>
        <v>0</v>
      </c>
      <c r="J30" s="418">
        <f>SUMIFS(月別入力!$I:$I,月別入力!$E:$E,$C30,月別入力!$B:$B,$B30,月別入力!$H:$H,$F30,月別入力!$D:$D,J$7)</f>
        <v>0</v>
      </c>
      <c r="K30" s="418">
        <f>SUMIFS(月別入力!$I:$I,月別入力!$E:$E,$C30,月別入力!$B:$B,$B30,月別入力!$H:$H,$F30,月別入力!$D:$D,K$7)</f>
        <v>0</v>
      </c>
      <c r="L30" s="418">
        <f>SUMIFS(月別入力!$I:$I,月別入力!$E:$E,$C30,月別入力!$B:$B,$B30,月別入力!$H:$H,$F30,月別入力!$D:$D,L$7)</f>
        <v>0</v>
      </c>
      <c r="M30" s="418">
        <f>SUMIFS(月別入力!$I:$I,月別入力!$E:$E,$C30,月別入力!$B:$B,$B30,月別入力!$H:$H,$F30,月別入力!$D:$D,M$7)</f>
        <v>0</v>
      </c>
      <c r="N30" s="418">
        <f>SUMIFS(月別入力!$I:$I,月別入力!$E:$E,$C30,月別入力!$B:$B,$B30,月別入力!$H:$H,$F30,月別入力!$D:$D,N$7)</f>
        <v>0</v>
      </c>
      <c r="O30" s="418">
        <f>SUMIFS(月別入力!$I:$I,月別入力!$E:$E,$C30,月別入力!$B:$B,$B30,月別入力!$H:$H,$F30,月別入力!$D:$D,O$7)</f>
        <v>0</v>
      </c>
      <c r="P30" s="418">
        <f>SUMIFS(月別入力!$I:$I,月別入力!$E:$E,$C30,月別入力!$B:$B,$B30,月別入力!$H:$H,$F30,月別入力!$D:$D,P$7)</f>
        <v>0</v>
      </c>
      <c r="Q30" s="418">
        <f>SUMIFS(月別入力!$I:$I,月別入力!$E:$E,$C30,月別入力!$B:$B,$B30,月別入力!$H:$H,$F30,月別入力!$D:$D,Q$7)</f>
        <v>0</v>
      </c>
      <c r="R30" s="419">
        <f>SUMIFS(月別入力!$I:$I,月別入力!$E:$E,$C30,月別入力!$B:$B,$B30,月別入力!$H:$H,$F30,月別入力!$D:$D,R$7)</f>
        <v>0</v>
      </c>
    </row>
    <row r="31" spans="2:18" s="5" customFormat="1" ht="15" customHeight="1" x14ac:dyDescent="0.15">
      <c r="B31" s="59" t="str">
        <f t="shared" si="1"/>
        <v>&lt;=12</v>
      </c>
      <c r="C31" s="60"/>
      <c r="D31" s="61"/>
      <c r="E31" s="58"/>
      <c r="F31" s="62"/>
      <c r="G31" s="417">
        <f t="shared" si="0"/>
        <v>0</v>
      </c>
      <c r="H31" s="418">
        <f>SUMIFS(月別入力!$I:$I,月別入力!$E:$E,$C31,月別入力!$B:$B,$B31,月別入力!$H:$H,$F31,月別入力!$D:$D,H$7)</f>
        <v>0</v>
      </c>
      <c r="I31" s="418">
        <f>SUMIFS(月別入力!$I:$I,月別入力!$E:$E,$C31,月別入力!$B:$B,$B31,月別入力!$H:$H,$F31,月別入力!$D:$D,I$7)</f>
        <v>0</v>
      </c>
      <c r="J31" s="418">
        <f>SUMIFS(月別入力!$I:$I,月別入力!$E:$E,$C31,月別入力!$B:$B,$B31,月別入力!$H:$H,$F31,月別入力!$D:$D,J$7)</f>
        <v>0</v>
      </c>
      <c r="K31" s="418">
        <f>SUMIFS(月別入力!$I:$I,月別入力!$E:$E,$C31,月別入力!$B:$B,$B31,月別入力!$H:$H,$F31,月別入力!$D:$D,K$7)</f>
        <v>0</v>
      </c>
      <c r="L31" s="418">
        <f>SUMIFS(月別入力!$I:$I,月別入力!$E:$E,$C31,月別入力!$B:$B,$B31,月別入力!$H:$H,$F31,月別入力!$D:$D,L$7)</f>
        <v>0</v>
      </c>
      <c r="M31" s="418">
        <f>SUMIFS(月別入力!$I:$I,月別入力!$E:$E,$C31,月別入力!$B:$B,$B31,月別入力!$H:$H,$F31,月別入力!$D:$D,M$7)</f>
        <v>0</v>
      </c>
      <c r="N31" s="418">
        <f>SUMIFS(月別入力!$I:$I,月別入力!$E:$E,$C31,月別入力!$B:$B,$B31,月別入力!$H:$H,$F31,月別入力!$D:$D,N$7)</f>
        <v>0</v>
      </c>
      <c r="O31" s="418">
        <f>SUMIFS(月別入力!$I:$I,月別入力!$E:$E,$C31,月別入力!$B:$B,$B31,月別入力!$H:$H,$F31,月別入力!$D:$D,O$7)</f>
        <v>0</v>
      </c>
      <c r="P31" s="418">
        <f>SUMIFS(月別入力!$I:$I,月別入力!$E:$E,$C31,月別入力!$B:$B,$B31,月別入力!$H:$H,$F31,月別入力!$D:$D,P$7)</f>
        <v>0</v>
      </c>
      <c r="Q31" s="418">
        <f>SUMIFS(月別入力!$I:$I,月別入力!$E:$E,$C31,月別入力!$B:$B,$B31,月別入力!$H:$H,$F31,月別入力!$D:$D,Q$7)</f>
        <v>0</v>
      </c>
      <c r="R31" s="419">
        <f>SUMIFS(月別入力!$I:$I,月別入力!$E:$E,$C31,月別入力!$B:$B,$B31,月別入力!$H:$H,$F31,月別入力!$D:$D,R$7)</f>
        <v>0</v>
      </c>
    </row>
    <row r="32" spans="2:18" s="5" customFormat="1" ht="15" customHeight="1" x14ac:dyDescent="0.15">
      <c r="B32" s="59" t="str">
        <f t="shared" si="1"/>
        <v>&lt;=12</v>
      </c>
      <c r="C32" s="60"/>
      <c r="D32" s="61"/>
      <c r="E32" s="58"/>
      <c r="F32" s="62"/>
      <c r="G32" s="417">
        <f t="shared" si="0"/>
        <v>0</v>
      </c>
      <c r="H32" s="418">
        <f>SUMIFS(月別入力!$I:$I,月別入力!$E:$E,$C32,月別入力!$B:$B,$B32,月別入力!$H:$H,$F32,月別入力!$D:$D,H$7)</f>
        <v>0</v>
      </c>
      <c r="I32" s="418">
        <f>SUMIFS(月別入力!$I:$I,月別入力!$E:$E,$C32,月別入力!$B:$B,$B32,月別入力!$H:$H,$F32,月別入力!$D:$D,I$7)</f>
        <v>0</v>
      </c>
      <c r="J32" s="418">
        <f>SUMIFS(月別入力!$I:$I,月別入力!$E:$E,$C32,月別入力!$B:$B,$B32,月別入力!$H:$H,$F32,月別入力!$D:$D,J$7)</f>
        <v>0</v>
      </c>
      <c r="K32" s="418">
        <f>SUMIFS(月別入力!$I:$I,月別入力!$E:$E,$C32,月別入力!$B:$B,$B32,月別入力!$H:$H,$F32,月別入力!$D:$D,K$7)</f>
        <v>0</v>
      </c>
      <c r="L32" s="418">
        <f>SUMIFS(月別入力!$I:$I,月別入力!$E:$E,$C32,月別入力!$B:$B,$B32,月別入力!$H:$H,$F32,月別入力!$D:$D,L$7)</f>
        <v>0</v>
      </c>
      <c r="M32" s="418">
        <f>SUMIFS(月別入力!$I:$I,月別入力!$E:$E,$C32,月別入力!$B:$B,$B32,月別入力!$H:$H,$F32,月別入力!$D:$D,M$7)</f>
        <v>0</v>
      </c>
      <c r="N32" s="418">
        <f>SUMIFS(月別入力!$I:$I,月別入力!$E:$E,$C32,月別入力!$B:$B,$B32,月別入力!$H:$H,$F32,月別入力!$D:$D,N$7)</f>
        <v>0</v>
      </c>
      <c r="O32" s="418">
        <f>SUMIFS(月別入力!$I:$I,月別入力!$E:$E,$C32,月別入力!$B:$B,$B32,月別入力!$H:$H,$F32,月別入力!$D:$D,O$7)</f>
        <v>0</v>
      </c>
      <c r="P32" s="418">
        <f>SUMIFS(月別入力!$I:$I,月別入力!$E:$E,$C32,月別入力!$B:$B,$B32,月別入力!$H:$H,$F32,月別入力!$D:$D,P$7)</f>
        <v>0</v>
      </c>
      <c r="Q32" s="418">
        <f>SUMIFS(月別入力!$I:$I,月別入力!$E:$E,$C32,月別入力!$B:$B,$B32,月別入力!$H:$H,$F32,月別入力!$D:$D,Q$7)</f>
        <v>0</v>
      </c>
      <c r="R32" s="419">
        <f>SUMIFS(月別入力!$I:$I,月別入力!$E:$E,$C32,月別入力!$B:$B,$B32,月別入力!$H:$H,$F32,月別入力!$D:$D,R$7)</f>
        <v>0</v>
      </c>
    </row>
    <row r="33" spans="1:18" s="5" customFormat="1" ht="15" customHeight="1" x14ac:dyDescent="0.15">
      <c r="B33" s="59" t="str">
        <f t="shared" si="1"/>
        <v>&lt;=12</v>
      </c>
      <c r="C33" s="60"/>
      <c r="D33" s="61"/>
      <c r="E33" s="58"/>
      <c r="F33" s="62"/>
      <c r="G33" s="417">
        <f t="shared" si="0"/>
        <v>0</v>
      </c>
      <c r="H33" s="418">
        <f>SUMIFS(月別入力!$I:$I,月別入力!$E:$E,$C33,月別入力!$B:$B,$B33,月別入力!$H:$H,$F33,月別入力!$D:$D,H$7)</f>
        <v>0</v>
      </c>
      <c r="I33" s="418">
        <f>SUMIFS(月別入力!$I:$I,月別入力!$E:$E,$C33,月別入力!$B:$B,$B33,月別入力!$H:$H,$F33,月別入力!$D:$D,I$7)</f>
        <v>0</v>
      </c>
      <c r="J33" s="418">
        <f>SUMIFS(月別入力!$I:$I,月別入力!$E:$E,$C33,月別入力!$B:$B,$B33,月別入力!$H:$H,$F33,月別入力!$D:$D,J$7)</f>
        <v>0</v>
      </c>
      <c r="K33" s="418">
        <f>SUMIFS(月別入力!$I:$I,月別入力!$E:$E,$C33,月別入力!$B:$B,$B33,月別入力!$H:$H,$F33,月別入力!$D:$D,K$7)</f>
        <v>0</v>
      </c>
      <c r="L33" s="418">
        <f>SUMIFS(月別入力!$I:$I,月別入力!$E:$E,$C33,月別入力!$B:$B,$B33,月別入力!$H:$H,$F33,月別入力!$D:$D,L$7)</f>
        <v>0</v>
      </c>
      <c r="M33" s="418">
        <f>SUMIFS(月別入力!$I:$I,月別入力!$E:$E,$C33,月別入力!$B:$B,$B33,月別入力!$H:$H,$F33,月別入力!$D:$D,M$7)</f>
        <v>0</v>
      </c>
      <c r="N33" s="418">
        <f>SUMIFS(月別入力!$I:$I,月別入力!$E:$E,$C33,月別入力!$B:$B,$B33,月別入力!$H:$H,$F33,月別入力!$D:$D,N$7)</f>
        <v>0</v>
      </c>
      <c r="O33" s="418">
        <f>SUMIFS(月別入力!$I:$I,月別入力!$E:$E,$C33,月別入力!$B:$B,$B33,月別入力!$H:$H,$F33,月別入力!$D:$D,O$7)</f>
        <v>0</v>
      </c>
      <c r="P33" s="418">
        <f>SUMIFS(月別入力!$I:$I,月別入力!$E:$E,$C33,月別入力!$B:$B,$B33,月別入力!$H:$H,$F33,月別入力!$D:$D,P$7)</f>
        <v>0</v>
      </c>
      <c r="Q33" s="418">
        <f>SUMIFS(月別入力!$I:$I,月別入力!$E:$E,$C33,月別入力!$B:$B,$B33,月別入力!$H:$H,$F33,月別入力!$D:$D,Q$7)</f>
        <v>0</v>
      </c>
      <c r="R33" s="419">
        <f>SUMIFS(月別入力!$I:$I,月別入力!$E:$E,$C33,月別入力!$B:$B,$B33,月別入力!$H:$H,$F33,月別入力!$D:$D,R$7)</f>
        <v>0</v>
      </c>
    </row>
    <row r="34" spans="1:18" s="5" customFormat="1" ht="15" customHeight="1" x14ac:dyDescent="0.15">
      <c r="B34" s="59" t="str">
        <f t="shared" si="1"/>
        <v>&lt;=12</v>
      </c>
      <c r="C34" s="60"/>
      <c r="D34" s="61"/>
      <c r="E34" s="58"/>
      <c r="F34" s="62"/>
      <c r="G34" s="417">
        <f t="shared" si="0"/>
        <v>0</v>
      </c>
      <c r="H34" s="418">
        <f>SUMIFS(月別入力!$I:$I,月別入力!$E:$E,$C34,月別入力!$B:$B,$B34,月別入力!$H:$H,$F34,月別入力!$D:$D,H$7)</f>
        <v>0</v>
      </c>
      <c r="I34" s="418">
        <f>SUMIFS(月別入力!$I:$I,月別入力!$E:$E,$C34,月別入力!$B:$B,$B34,月別入力!$H:$H,$F34,月別入力!$D:$D,I$7)</f>
        <v>0</v>
      </c>
      <c r="J34" s="418">
        <f>SUMIFS(月別入力!$I:$I,月別入力!$E:$E,$C34,月別入力!$B:$B,$B34,月別入力!$H:$H,$F34,月別入力!$D:$D,J$7)</f>
        <v>0</v>
      </c>
      <c r="K34" s="418">
        <f>SUMIFS(月別入力!$I:$I,月別入力!$E:$E,$C34,月別入力!$B:$B,$B34,月別入力!$H:$H,$F34,月別入力!$D:$D,K$7)</f>
        <v>0</v>
      </c>
      <c r="L34" s="418">
        <f>SUMIFS(月別入力!$I:$I,月別入力!$E:$E,$C34,月別入力!$B:$B,$B34,月別入力!$H:$H,$F34,月別入力!$D:$D,L$7)</f>
        <v>0</v>
      </c>
      <c r="M34" s="418">
        <f>SUMIFS(月別入力!$I:$I,月別入力!$E:$E,$C34,月別入力!$B:$B,$B34,月別入力!$H:$H,$F34,月別入力!$D:$D,M$7)</f>
        <v>0</v>
      </c>
      <c r="N34" s="418">
        <f>SUMIFS(月別入力!$I:$I,月別入力!$E:$E,$C34,月別入力!$B:$B,$B34,月別入力!$H:$H,$F34,月別入力!$D:$D,N$7)</f>
        <v>0</v>
      </c>
      <c r="O34" s="418">
        <f>SUMIFS(月別入力!$I:$I,月別入力!$E:$E,$C34,月別入力!$B:$B,$B34,月別入力!$H:$H,$F34,月別入力!$D:$D,O$7)</f>
        <v>0</v>
      </c>
      <c r="P34" s="418">
        <f>SUMIFS(月別入力!$I:$I,月別入力!$E:$E,$C34,月別入力!$B:$B,$B34,月別入力!$H:$H,$F34,月別入力!$D:$D,P$7)</f>
        <v>0</v>
      </c>
      <c r="Q34" s="418">
        <f>SUMIFS(月別入力!$I:$I,月別入力!$E:$E,$C34,月別入力!$B:$B,$B34,月別入力!$H:$H,$F34,月別入力!$D:$D,Q$7)</f>
        <v>0</v>
      </c>
      <c r="R34" s="419">
        <f>SUMIFS(月別入力!$I:$I,月別入力!$E:$E,$C34,月別入力!$B:$B,$B34,月別入力!$H:$H,$F34,月別入力!$D:$D,R$7)</f>
        <v>0</v>
      </c>
    </row>
    <row r="35" spans="1:18" s="5" customFormat="1" ht="15" customHeight="1" x14ac:dyDescent="0.15">
      <c r="B35" s="59" t="str">
        <f t="shared" si="1"/>
        <v>&lt;=12</v>
      </c>
      <c r="C35" s="60"/>
      <c r="D35" s="61"/>
      <c r="E35" s="58"/>
      <c r="F35" s="62"/>
      <c r="G35" s="417">
        <f t="shared" si="0"/>
        <v>0</v>
      </c>
      <c r="H35" s="418">
        <f>SUMIFS(月別入力!$I:$I,月別入力!$E:$E,$C35,月別入力!$B:$B,$B35,月別入力!$H:$H,$F35,月別入力!$D:$D,H$7)</f>
        <v>0</v>
      </c>
      <c r="I35" s="418">
        <f>SUMIFS(月別入力!$I:$I,月別入力!$E:$E,$C35,月別入力!$B:$B,$B35,月別入力!$H:$H,$F35,月別入力!$D:$D,I$7)</f>
        <v>0</v>
      </c>
      <c r="J35" s="418">
        <f>SUMIFS(月別入力!$I:$I,月別入力!$E:$E,$C35,月別入力!$B:$B,$B35,月別入力!$H:$H,$F35,月別入力!$D:$D,J$7)</f>
        <v>0</v>
      </c>
      <c r="K35" s="418">
        <f>SUMIFS(月別入力!$I:$I,月別入力!$E:$E,$C35,月別入力!$B:$B,$B35,月別入力!$H:$H,$F35,月別入力!$D:$D,K$7)</f>
        <v>0</v>
      </c>
      <c r="L35" s="418">
        <f>SUMIFS(月別入力!$I:$I,月別入力!$E:$E,$C35,月別入力!$B:$B,$B35,月別入力!$H:$H,$F35,月別入力!$D:$D,L$7)</f>
        <v>0</v>
      </c>
      <c r="M35" s="418">
        <f>SUMIFS(月別入力!$I:$I,月別入力!$E:$E,$C35,月別入力!$B:$B,$B35,月別入力!$H:$H,$F35,月別入力!$D:$D,M$7)</f>
        <v>0</v>
      </c>
      <c r="N35" s="418">
        <f>SUMIFS(月別入力!$I:$I,月別入力!$E:$E,$C35,月別入力!$B:$B,$B35,月別入力!$H:$H,$F35,月別入力!$D:$D,N$7)</f>
        <v>0</v>
      </c>
      <c r="O35" s="418">
        <f>SUMIFS(月別入力!$I:$I,月別入力!$E:$E,$C35,月別入力!$B:$B,$B35,月別入力!$H:$H,$F35,月別入力!$D:$D,O$7)</f>
        <v>0</v>
      </c>
      <c r="P35" s="418">
        <f>SUMIFS(月別入力!$I:$I,月別入力!$E:$E,$C35,月別入力!$B:$B,$B35,月別入力!$H:$H,$F35,月別入力!$D:$D,P$7)</f>
        <v>0</v>
      </c>
      <c r="Q35" s="418">
        <f>SUMIFS(月別入力!$I:$I,月別入力!$E:$E,$C35,月別入力!$B:$B,$B35,月別入力!$H:$H,$F35,月別入力!$D:$D,Q$7)</f>
        <v>0</v>
      </c>
      <c r="R35" s="419">
        <f>SUMIFS(月別入力!$I:$I,月別入力!$E:$E,$C35,月別入力!$B:$B,$B35,月別入力!$H:$H,$F35,月別入力!$D:$D,R$7)</f>
        <v>0</v>
      </c>
    </row>
    <row r="36" spans="1:18" s="5" customFormat="1" ht="15" customHeight="1" x14ac:dyDescent="0.15">
      <c r="B36" s="59" t="str">
        <f t="shared" si="1"/>
        <v>&lt;=12</v>
      </c>
      <c r="C36" s="60"/>
      <c r="D36" s="61"/>
      <c r="E36" s="58"/>
      <c r="F36" s="62"/>
      <c r="G36" s="417">
        <f t="shared" si="0"/>
        <v>0</v>
      </c>
      <c r="H36" s="418">
        <f>SUMIFS(月別入力!$I:$I,月別入力!$E:$E,$C36,月別入力!$B:$B,$B36,月別入力!$H:$H,$F36,月別入力!$D:$D,H$7)</f>
        <v>0</v>
      </c>
      <c r="I36" s="418">
        <f>SUMIFS(月別入力!$I:$I,月別入力!$E:$E,$C36,月別入力!$B:$B,$B36,月別入力!$H:$H,$F36,月別入力!$D:$D,I$7)</f>
        <v>0</v>
      </c>
      <c r="J36" s="418">
        <f>SUMIFS(月別入力!$I:$I,月別入力!$E:$E,$C36,月別入力!$B:$B,$B36,月別入力!$H:$H,$F36,月別入力!$D:$D,J$7)</f>
        <v>0</v>
      </c>
      <c r="K36" s="418">
        <f>SUMIFS(月別入力!$I:$I,月別入力!$E:$E,$C36,月別入力!$B:$B,$B36,月別入力!$H:$H,$F36,月別入力!$D:$D,K$7)</f>
        <v>0</v>
      </c>
      <c r="L36" s="418">
        <f>SUMIFS(月別入力!$I:$I,月別入力!$E:$E,$C36,月別入力!$B:$B,$B36,月別入力!$H:$H,$F36,月別入力!$D:$D,L$7)</f>
        <v>0</v>
      </c>
      <c r="M36" s="418">
        <f>SUMIFS(月別入力!$I:$I,月別入力!$E:$E,$C36,月別入力!$B:$B,$B36,月別入力!$H:$H,$F36,月別入力!$D:$D,M$7)</f>
        <v>0</v>
      </c>
      <c r="N36" s="418">
        <f>SUMIFS(月別入力!$I:$I,月別入力!$E:$E,$C36,月別入力!$B:$B,$B36,月別入力!$H:$H,$F36,月別入力!$D:$D,N$7)</f>
        <v>0</v>
      </c>
      <c r="O36" s="418">
        <f>SUMIFS(月別入力!$I:$I,月別入力!$E:$E,$C36,月別入力!$B:$B,$B36,月別入力!$H:$H,$F36,月別入力!$D:$D,O$7)</f>
        <v>0</v>
      </c>
      <c r="P36" s="418">
        <f>SUMIFS(月別入力!$I:$I,月別入力!$E:$E,$C36,月別入力!$B:$B,$B36,月別入力!$H:$H,$F36,月別入力!$D:$D,P$7)</f>
        <v>0</v>
      </c>
      <c r="Q36" s="418">
        <f>SUMIFS(月別入力!$I:$I,月別入力!$E:$E,$C36,月別入力!$B:$B,$B36,月別入力!$H:$H,$F36,月別入力!$D:$D,Q$7)</f>
        <v>0</v>
      </c>
      <c r="R36" s="419">
        <f>SUMIFS(月別入力!$I:$I,月別入力!$E:$E,$C36,月別入力!$B:$B,$B36,月別入力!$H:$H,$F36,月別入力!$D:$D,R$7)</f>
        <v>0</v>
      </c>
    </row>
    <row r="37" spans="1:18" s="5" customFormat="1" ht="15" customHeight="1" x14ac:dyDescent="0.15">
      <c r="A37" s="5">
        <f t="shared" si="1"/>
        <v>0</v>
      </c>
      <c r="B37" s="59" t="str">
        <f t="shared" si="1"/>
        <v>&lt;=12</v>
      </c>
      <c r="C37" s="60"/>
      <c r="D37" s="61"/>
      <c r="E37" s="58"/>
      <c r="F37" s="62"/>
      <c r="G37" s="417">
        <f t="shared" si="0"/>
        <v>0</v>
      </c>
      <c r="H37" s="418">
        <f>SUMIFS(月別入力!$I:$I,月別入力!$E:$E,$C37,月別入力!$B:$B,$B37,月別入力!$H:$H,$F37,月別入力!$D:$D,H$7)</f>
        <v>0</v>
      </c>
      <c r="I37" s="418">
        <f>SUMIFS(月別入力!$I:$I,月別入力!$E:$E,$C37,月別入力!$B:$B,$B37,月別入力!$H:$H,$F37,月別入力!$D:$D,I$7)</f>
        <v>0</v>
      </c>
      <c r="J37" s="418">
        <f>SUMIFS(月別入力!$I:$I,月別入力!$E:$E,$C37,月別入力!$B:$B,$B37,月別入力!$H:$H,$F37,月別入力!$D:$D,J$7)</f>
        <v>0</v>
      </c>
      <c r="K37" s="418">
        <f>SUMIFS(月別入力!$I:$I,月別入力!$E:$E,$C37,月別入力!$B:$B,$B37,月別入力!$H:$H,$F37,月別入力!$D:$D,K$7)</f>
        <v>0</v>
      </c>
      <c r="L37" s="418">
        <f>SUMIFS(月別入力!$I:$I,月別入力!$E:$E,$C37,月別入力!$B:$B,$B37,月別入力!$H:$H,$F37,月別入力!$D:$D,L$7)</f>
        <v>0</v>
      </c>
      <c r="M37" s="418">
        <f>SUMIFS(月別入力!$I:$I,月別入力!$E:$E,$C37,月別入力!$B:$B,$B37,月別入力!$H:$H,$F37,月別入力!$D:$D,M$7)</f>
        <v>0</v>
      </c>
      <c r="N37" s="418">
        <f>SUMIFS(月別入力!$I:$I,月別入力!$E:$E,$C37,月別入力!$B:$B,$B37,月別入力!$H:$H,$F37,月別入力!$D:$D,N$7)</f>
        <v>0</v>
      </c>
      <c r="O37" s="418">
        <f>SUMIFS(月別入力!$I:$I,月別入力!$E:$E,$C37,月別入力!$B:$B,$B37,月別入力!$H:$H,$F37,月別入力!$D:$D,O$7)</f>
        <v>0</v>
      </c>
      <c r="P37" s="418">
        <f>SUMIFS(月別入力!$I:$I,月別入力!$E:$E,$C37,月別入力!$B:$B,$B37,月別入力!$H:$H,$F37,月別入力!$D:$D,P$7)</f>
        <v>0</v>
      </c>
      <c r="Q37" s="418">
        <f>SUMIFS(月別入力!$I:$I,月別入力!$E:$E,$C37,月別入力!$B:$B,$B37,月別入力!$H:$H,$F37,月別入力!$D:$D,Q$7)</f>
        <v>0</v>
      </c>
      <c r="R37" s="419">
        <f>SUMIFS(月別入力!$I:$I,月別入力!$E:$E,$C37,月別入力!$B:$B,$B37,月別入力!$H:$H,$F37,月別入力!$D:$D,R$7)</f>
        <v>0</v>
      </c>
    </row>
    <row r="38" spans="1:18" s="5" customFormat="1" ht="15" customHeight="1" x14ac:dyDescent="0.15">
      <c r="A38" s="5">
        <f t="shared" ref="A38:B101" si="2">A$9</f>
        <v>0</v>
      </c>
      <c r="B38" s="56" t="str">
        <f t="shared" si="2"/>
        <v>&lt;=12</v>
      </c>
      <c r="C38" s="57"/>
      <c r="D38" s="61"/>
      <c r="E38" s="58"/>
      <c r="F38" s="62"/>
      <c r="G38" s="417">
        <f t="shared" si="0"/>
        <v>0</v>
      </c>
      <c r="H38" s="418">
        <f>SUMIFS(月別入力!$I:$I,月別入力!$E:$E,$C38,月別入力!$B:$B,$B38,月別入力!$H:$H,$F38,月別入力!$D:$D,H$7)</f>
        <v>0</v>
      </c>
      <c r="I38" s="418">
        <f>SUMIFS(月別入力!$I:$I,月別入力!$E:$E,$C38,月別入力!$B:$B,$B38,月別入力!$H:$H,$F38,月別入力!$D:$D,I$7)</f>
        <v>0</v>
      </c>
      <c r="J38" s="418">
        <f>SUMIFS(月別入力!$I:$I,月別入力!$E:$E,$C38,月別入力!$B:$B,$B38,月別入力!$H:$H,$F38,月別入力!$D:$D,J$7)</f>
        <v>0</v>
      </c>
      <c r="K38" s="418">
        <f>SUMIFS(月別入力!$I:$I,月別入力!$E:$E,$C38,月別入力!$B:$B,$B38,月別入力!$H:$H,$F38,月別入力!$D:$D,K$7)</f>
        <v>0</v>
      </c>
      <c r="L38" s="418">
        <f>SUMIFS(月別入力!$I:$I,月別入力!$E:$E,$C38,月別入力!$B:$B,$B38,月別入力!$H:$H,$F38,月別入力!$D:$D,L$7)</f>
        <v>0</v>
      </c>
      <c r="M38" s="418">
        <f>SUMIFS(月別入力!$I:$I,月別入力!$E:$E,$C38,月別入力!$B:$B,$B38,月別入力!$H:$H,$F38,月別入力!$D:$D,M$7)</f>
        <v>0</v>
      </c>
      <c r="N38" s="418">
        <f>SUMIFS(月別入力!$I:$I,月別入力!$E:$E,$C38,月別入力!$B:$B,$B38,月別入力!$H:$H,$F38,月別入力!$D:$D,N$7)</f>
        <v>0</v>
      </c>
      <c r="O38" s="418">
        <f>SUMIFS(月別入力!$I:$I,月別入力!$E:$E,$C38,月別入力!$B:$B,$B38,月別入力!$H:$H,$F38,月別入力!$D:$D,O$7)</f>
        <v>0</v>
      </c>
      <c r="P38" s="418">
        <f>SUMIFS(月別入力!$I:$I,月別入力!$E:$E,$C38,月別入力!$B:$B,$B38,月別入力!$H:$H,$F38,月別入力!$D:$D,P$7)</f>
        <v>0</v>
      </c>
      <c r="Q38" s="418">
        <f>SUMIFS(月別入力!$I:$I,月別入力!$E:$E,$C38,月別入力!$B:$B,$B38,月別入力!$H:$H,$F38,月別入力!$D:$D,Q$7)</f>
        <v>0</v>
      </c>
      <c r="R38" s="419">
        <f>SUMIFS(月別入力!$I:$I,月別入力!$E:$E,$C38,月別入力!$B:$B,$B38,月別入力!$H:$H,$F38,月別入力!$D:$D,R$7)</f>
        <v>0</v>
      </c>
    </row>
    <row r="39" spans="1:18" s="5" customFormat="1" ht="15" customHeight="1" x14ac:dyDescent="0.15">
      <c r="A39" s="5">
        <f t="shared" si="2"/>
        <v>0</v>
      </c>
      <c r="B39" s="56" t="str">
        <f t="shared" si="2"/>
        <v>&lt;=12</v>
      </c>
      <c r="C39" s="57"/>
      <c r="D39" s="61"/>
      <c r="E39" s="58"/>
      <c r="F39" s="62"/>
      <c r="G39" s="417">
        <f t="shared" si="0"/>
        <v>0</v>
      </c>
      <c r="H39" s="418">
        <f>SUMIFS(月別入力!$I:$I,月別入力!$E:$E,$C39,月別入力!$B:$B,$B39,月別入力!$H:$H,$F39,月別入力!$D:$D,H$7)</f>
        <v>0</v>
      </c>
      <c r="I39" s="418">
        <f>SUMIFS(月別入力!$I:$I,月別入力!$E:$E,$C39,月別入力!$B:$B,$B39,月別入力!$H:$H,$F39,月別入力!$D:$D,I$7)</f>
        <v>0</v>
      </c>
      <c r="J39" s="418">
        <f>SUMIFS(月別入力!$I:$I,月別入力!$E:$E,$C39,月別入力!$B:$B,$B39,月別入力!$H:$H,$F39,月別入力!$D:$D,J$7)</f>
        <v>0</v>
      </c>
      <c r="K39" s="418">
        <f>SUMIFS(月別入力!$I:$I,月別入力!$E:$E,$C39,月別入力!$B:$B,$B39,月別入力!$H:$H,$F39,月別入力!$D:$D,K$7)</f>
        <v>0</v>
      </c>
      <c r="L39" s="418">
        <f>SUMIFS(月別入力!$I:$I,月別入力!$E:$E,$C39,月別入力!$B:$B,$B39,月別入力!$H:$H,$F39,月別入力!$D:$D,L$7)</f>
        <v>0</v>
      </c>
      <c r="M39" s="418">
        <f>SUMIFS(月別入力!$I:$I,月別入力!$E:$E,$C39,月別入力!$B:$B,$B39,月別入力!$H:$H,$F39,月別入力!$D:$D,M$7)</f>
        <v>0</v>
      </c>
      <c r="N39" s="418">
        <f>SUMIFS(月別入力!$I:$I,月別入力!$E:$E,$C39,月別入力!$B:$B,$B39,月別入力!$H:$H,$F39,月別入力!$D:$D,N$7)</f>
        <v>0</v>
      </c>
      <c r="O39" s="418">
        <f>SUMIFS(月別入力!$I:$I,月別入力!$E:$E,$C39,月別入力!$B:$B,$B39,月別入力!$H:$H,$F39,月別入力!$D:$D,O$7)</f>
        <v>0</v>
      </c>
      <c r="P39" s="418">
        <f>SUMIFS(月別入力!$I:$I,月別入力!$E:$E,$C39,月別入力!$B:$B,$B39,月別入力!$H:$H,$F39,月別入力!$D:$D,P$7)</f>
        <v>0</v>
      </c>
      <c r="Q39" s="418">
        <f>SUMIFS(月別入力!$I:$I,月別入力!$E:$E,$C39,月別入力!$B:$B,$B39,月別入力!$H:$H,$F39,月別入力!$D:$D,Q$7)</f>
        <v>0</v>
      </c>
      <c r="R39" s="419">
        <f>SUMIFS(月別入力!$I:$I,月別入力!$E:$E,$C39,月別入力!$B:$B,$B39,月別入力!$H:$H,$F39,月別入力!$D:$D,R$7)</f>
        <v>0</v>
      </c>
    </row>
    <row r="40" spans="1:18" s="5" customFormat="1" ht="15" customHeight="1" x14ac:dyDescent="0.15">
      <c r="A40" s="5">
        <f t="shared" si="2"/>
        <v>0</v>
      </c>
      <c r="B40" s="56" t="str">
        <f t="shared" si="2"/>
        <v>&lt;=12</v>
      </c>
      <c r="C40" s="57"/>
      <c r="D40" s="61"/>
      <c r="E40" s="58"/>
      <c r="F40" s="62"/>
      <c r="G40" s="417">
        <f t="shared" si="0"/>
        <v>0</v>
      </c>
      <c r="H40" s="418">
        <f>SUMIFS(月別入力!$I:$I,月別入力!$E:$E,$C40,月別入力!$B:$B,$B40,月別入力!$H:$H,$F40,月別入力!$D:$D,H$7)</f>
        <v>0</v>
      </c>
      <c r="I40" s="418">
        <f>SUMIFS(月別入力!$I:$I,月別入力!$E:$E,$C40,月別入力!$B:$B,$B40,月別入力!$H:$H,$F40,月別入力!$D:$D,I$7)</f>
        <v>0</v>
      </c>
      <c r="J40" s="418">
        <f>SUMIFS(月別入力!$I:$I,月別入力!$E:$E,$C40,月別入力!$B:$B,$B40,月別入力!$H:$H,$F40,月別入力!$D:$D,J$7)</f>
        <v>0</v>
      </c>
      <c r="K40" s="418">
        <f>SUMIFS(月別入力!$I:$I,月別入力!$E:$E,$C40,月別入力!$B:$B,$B40,月別入力!$H:$H,$F40,月別入力!$D:$D,K$7)</f>
        <v>0</v>
      </c>
      <c r="L40" s="418">
        <f>SUMIFS(月別入力!$I:$I,月別入力!$E:$E,$C40,月別入力!$B:$B,$B40,月別入力!$H:$H,$F40,月別入力!$D:$D,L$7)</f>
        <v>0</v>
      </c>
      <c r="M40" s="418">
        <f>SUMIFS(月別入力!$I:$I,月別入力!$E:$E,$C40,月別入力!$B:$B,$B40,月別入力!$H:$H,$F40,月別入力!$D:$D,M$7)</f>
        <v>0</v>
      </c>
      <c r="N40" s="418">
        <f>SUMIFS(月別入力!$I:$I,月別入力!$E:$E,$C40,月別入力!$B:$B,$B40,月別入力!$H:$H,$F40,月別入力!$D:$D,N$7)</f>
        <v>0</v>
      </c>
      <c r="O40" s="418">
        <f>SUMIFS(月別入力!$I:$I,月別入力!$E:$E,$C40,月別入力!$B:$B,$B40,月別入力!$H:$H,$F40,月別入力!$D:$D,O$7)</f>
        <v>0</v>
      </c>
      <c r="P40" s="418">
        <f>SUMIFS(月別入力!$I:$I,月別入力!$E:$E,$C40,月別入力!$B:$B,$B40,月別入力!$H:$H,$F40,月別入力!$D:$D,P$7)</f>
        <v>0</v>
      </c>
      <c r="Q40" s="418">
        <f>SUMIFS(月別入力!$I:$I,月別入力!$E:$E,$C40,月別入力!$B:$B,$B40,月別入力!$H:$H,$F40,月別入力!$D:$D,Q$7)</f>
        <v>0</v>
      </c>
      <c r="R40" s="419">
        <f>SUMIFS(月別入力!$I:$I,月別入力!$E:$E,$C40,月別入力!$B:$B,$B40,月別入力!$H:$H,$F40,月別入力!$D:$D,R$7)</f>
        <v>0</v>
      </c>
    </row>
    <row r="41" spans="1:18" s="5" customFormat="1" ht="15" customHeight="1" x14ac:dyDescent="0.15">
      <c r="A41" s="5">
        <f t="shared" si="2"/>
        <v>0</v>
      </c>
      <c r="B41" s="56" t="str">
        <f t="shared" si="2"/>
        <v>&lt;=12</v>
      </c>
      <c r="C41" s="57"/>
      <c r="D41" s="61"/>
      <c r="E41" s="58"/>
      <c r="F41" s="62"/>
      <c r="G41" s="417">
        <f t="shared" si="0"/>
        <v>0</v>
      </c>
      <c r="H41" s="418">
        <f>SUMIFS(月別入力!$I:$I,月別入力!$E:$E,$C41,月別入力!$B:$B,$B41,月別入力!$H:$H,$F41,月別入力!$D:$D,H$7)</f>
        <v>0</v>
      </c>
      <c r="I41" s="418">
        <f>SUMIFS(月別入力!$I:$I,月別入力!$E:$E,$C41,月別入力!$B:$B,$B41,月別入力!$H:$H,$F41,月別入力!$D:$D,I$7)</f>
        <v>0</v>
      </c>
      <c r="J41" s="418">
        <f>SUMIFS(月別入力!$I:$I,月別入力!$E:$E,$C41,月別入力!$B:$B,$B41,月別入力!$H:$H,$F41,月別入力!$D:$D,J$7)</f>
        <v>0</v>
      </c>
      <c r="K41" s="418">
        <f>SUMIFS(月別入力!$I:$I,月別入力!$E:$E,$C41,月別入力!$B:$B,$B41,月別入力!$H:$H,$F41,月別入力!$D:$D,K$7)</f>
        <v>0</v>
      </c>
      <c r="L41" s="418">
        <f>SUMIFS(月別入力!$I:$I,月別入力!$E:$E,$C41,月別入力!$B:$B,$B41,月別入力!$H:$H,$F41,月別入力!$D:$D,L$7)</f>
        <v>0</v>
      </c>
      <c r="M41" s="418">
        <f>SUMIFS(月別入力!$I:$I,月別入力!$E:$E,$C41,月別入力!$B:$B,$B41,月別入力!$H:$H,$F41,月別入力!$D:$D,M$7)</f>
        <v>0</v>
      </c>
      <c r="N41" s="418">
        <f>SUMIFS(月別入力!$I:$I,月別入力!$E:$E,$C41,月別入力!$B:$B,$B41,月別入力!$H:$H,$F41,月別入力!$D:$D,N$7)</f>
        <v>0</v>
      </c>
      <c r="O41" s="418">
        <f>SUMIFS(月別入力!$I:$I,月別入力!$E:$E,$C41,月別入力!$B:$B,$B41,月別入力!$H:$H,$F41,月別入力!$D:$D,O$7)</f>
        <v>0</v>
      </c>
      <c r="P41" s="418">
        <f>SUMIFS(月別入力!$I:$I,月別入力!$E:$E,$C41,月別入力!$B:$B,$B41,月別入力!$H:$H,$F41,月別入力!$D:$D,P$7)</f>
        <v>0</v>
      </c>
      <c r="Q41" s="418">
        <f>SUMIFS(月別入力!$I:$I,月別入力!$E:$E,$C41,月別入力!$B:$B,$B41,月別入力!$H:$H,$F41,月別入力!$D:$D,Q$7)</f>
        <v>0</v>
      </c>
      <c r="R41" s="419">
        <f>SUMIFS(月別入力!$I:$I,月別入力!$E:$E,$C41,月別入力!$B:$B,$B41,月別入力!$H:$H,$F41,月別入力!$D:$D,R$7)</f>
        <v>0</v>
      </c>
    </row>
    <row r="42" spans="1:18" s="5" customFormat="1" ht="15" customHeight="1" x14ac:dyDescent="0.15">
      <c r="A42" s="5">
        <f t="shared" si="2"/>
        <v>0</v>
      </c>
      <c r="B42" s="56" t="str">
        <f t="shared" si="2"/>
        <v>&lt;=12</v>
      </c>
      <c r="C42" s="57"/>
      <c r="D42" s="61"/>
      <c r="E42" s="58"/>
      <c r="F42" s="62"/>
      <c r="G42" s="417">
        <f t="shared" si="0"/>
        <v>0</v>
      </c>
      <c r="H42" s="418">
        <f>SUMIFS(月別入力!$I:$I,月別入力!$E:$E,$C42,月別入力!$B:$B,$B42,月別入力!$H:$H,$F42,月別入力!$D:$D,H$7)</f>
        <v>0</v>
      </c>
      <c r="I42" s="418">
        <f>SUMIFS(月別入力!$I:$I,月別入力!$E:$E,$C42,月別入力!$B:$B,$B42,月別入力!$H:$H,$F42,月別入力!$D:$D,I$7)</f>
        <v>0</v>
      </c>
      <c r="J42" s="418">
        <f>SUMIFS(月別入力!$I:$I,月別入力!$E:$E,$C42,月別入力!$B:$B,$B42,月別入力!$H:$H,$F42,月別入力!$D:$D,J$7)</f>
        <v>0</v>
      </c>
      <c r="K42" s="418">
        <f>SUMIFS(月別入力!$I:$I,月別入力!$E:$E,$C42,月別入力!$B:$B,$B42,月別入力!$H:$H,$F42,月別入力!$D:$D,K$7)</f>
        <v>0</v>
      </c>
      <c r="L42" s="418">
        <f>SUMIFS(月別入力!$I:$I,月別入力!$E:$E,$C42,月別入力!$B:$B,$B42,月別入力!$H:$H,$F42,月別入力!$D:$D,L$7)</f>
        <v>0</v>
      </c>
      <c r="M42" s="418">
        <f>SUMIFS(月別入力!$I:$I,月別入力!$E:$E,$C42,月別入力!$B:$B,$B42,月別入力!$H:$H,$F42,月別入力!$D:$D,M$7)</f>
        <v>0</v>
      </c>
      <c r="N42" s="418">
        <f>SUMIFS(月別入力!$I:$I,月別入力!$E:$E,$C42,月別入力!$B:$B,$B42,月別入力!$H:$H,$F42,月別入力!$D:$D,N$7)</f>
        <v>0</v>
      </c>
      <c r="O42" s="418">
        <f>SUMIFS(月別入力!$I:$I,月別入力!$E:$E,$C42,月別入力!$B:$B,$B42,月別入力!$H:$H,$F42,月別入力!$D:$D,O$7)</f>
        <v>0</v>
      </c>
      <c r="P42" s="418">
        <f>SUMIFS(月別入力!$I:$I,月別入力!$E:$E,$C42,月別入力!$B:$B,$B42,月別入力!$H:$H,$F42,月別入力!$D:$D,P$7)</f>
        <v>0</v>
      </c>
      <c r="Q42" s="418">
        <f>SUMIFS(月別入力!$I:$I,月別入力!$E:$E,$C42,月別入力!$B:$B,$B42,月別入力!$H:$H,$F42,月別入力!$D:$D,Q$7)</f>
        <v>0</v>
      </c>
      <c r="R42" s="419">
        <f>SUMIFS(月別入力!$I:$I,月別入力!$E:$E,$C42,月別入力!$B:$B,$B42,月別入力!$H:$H,$F42,月別入力!$D:$D,R$7)</f>
        <v>0</v>
      </c>
    </row>
    <row r="43" spans="1:18" s="5" customFormat="1" ht="15" customHeight="1" x14ac:dyDescent="0.15">
      <c r="A43" s="5">
        <f t="shared" si="2"/>
        <v>0</v>
      </c>
      <c r="B43" s="56" t="str">
        <f t="shared" si="2"/>
        <v>&lt;=12</v>
      </c>
      <c r="C43" s="57"/>
      <c r="D43" s="61"/>
      <c r="E43" s="58"/>
      <c r="F43" s="62"/>
      <c r="G43" s="417">
        <f t="shared" si="0"/>
        <v>0</v>
      </c>
      <c r="H43" s="418">
        <f>SUMIFS(月別入力!$I:$I,月別入力!$E:$E,$C43,月別入力!$B:$B,$B43,月別入力!$H:$H,$F43,月別入力!$D:$D,H$7)</f>
        <v>0</v>
      </c>
      <c r="I43" s="418">
        <f>SUMIFS(月別入力!$I:$I,月別入力!$E:$E,$C43,月別入力!$B:$B,$B43,月別入力!$H:$H,$F43,月別入力!$D:$D,I$7)</f>
        <v>0</v>
      </c>
      <c r="J43" s="418">
        <f>SUMIFS(月別入力!$I:$I,月別入力!$E:$E,$C43,月別入力!$B:$B,$B43,月別入力!$H:$H,$F43,月別入力!$D:$D,J$7)</f>
        <v>0</v>
      </c>
      <c r="K43" s="418">
        <f>SUMIFS(月別入力!$I:$I,月別入力!$E:$E,$C43,月別入力!$B:$B,$B43,月別入力!$H:$H,$F43,月別入力!$D:$D,K$7)</f>
        <v>0</v>
      </c>
      <c r="L43" s="418">
        <f>SUMIFS(月別入力!$I:$I,月別入力!$E:$E,$C43,月別入力!$B:$B,$B43,月別入力!$H:$H,$F43,月別入力!$D:$D,L$7)</f>
        <v>0</v>
      </c>
      <c r="M43" s="418">
        <f>SUMIFS(月別入力!$I:$I,月別入力!$E:$E,$C43,月別入力!$B:$B,$B43,月別入力!$H:$H,$F43,月別入力!$D:$D,M$7)</f>
        <v>0</v>
      </c>
      <c r="N43" s="418">
        <f>SUMIFS(月別入力!$I:$I,月別入力!$E:$E,$C43,月別入力!$B:$B,$B43,月別入力!$H:$H,$F43,月別入力!$D:$D,N$7)</f>
        <v>0</v>
      </c>
      <c r="O43" s="418">
        <f>SUMIFS(月別入力!$I:$I,月別入力!$E:$E,$C43,月別入力!$B:$B,$B43,月別入力!$H:$H,$F43,月別入力!$D:$D,O$7)</f>
        <v>0</v>
      </c>
      <c r="P43" s="418">
        <f>SUMIFS(月別入力!$I:$I,月別入力!$E:$E,$C43,月別入力!$B:$B,$B43,月別入力!$H:$H,$F43,月別入力!$D:$D,P$7)</f>
        <v>0</v>
      </c>
      <c r="Q43" s="418">
        <f>SUMIFS(月別入力!$I:$I,月別入力!$E:$E,$C43,月別入力!$B:$B,$B43,月別入力!$H:$H,$F43,月別入力!$D:$D,Q$7)</f>
        <v>0</v>
      </c>
      <c r="R43" s="419">
        <f>SUMIFS(月別入力!$I:$I,月別入力!$E:$E,$C43,月別入力!$B:$B,$B43,月別入力!$H:$H,$F43,月別入力!$D:$D,R$7)</f>
        <v>0</v>
      </c>
    </row>
    <row r="44" spans="1:18" s="5" customFormat="1" ht="15" customHeight="1" x14ac:dyDescent="0.15">
      <c r="A44" s="5">
        <f t="shared" si="2"/>
        <v>0</v>
      </c>
      <c r="B44" s="56" t="str">
        <f t="shared" si="2"/>
        <v>&lt;=12</v>
      </c>
      <c r="C44" s="57"/>
      <c r="D44" s="61"/>
      <c r="E44" s="58"/>
      <c r="F44" s="62"/>
      <c r="G44" s="417">
        <f t="shared" si="0"/>
        <v>0</v>
      </c>
      <c r="H44" s="418">
        <f>SUMIFS(月別入力!$I:$I,月別入力!$E:$E,$C44,月別入力!$B:$B,$B44,月別入力!$H:$H,$F44,月別入力!$D:$D,H$7)</f>
        <v>0</v>
      </c>
      <c r="I44" s="418">
        <f>SUMIFS(月別入力!$I:$I,月別入力!$E:$E,$C44,月別入力!$B:$B,$B44,月別入力!$H:$H,$F44,月別入力!$D:$D,I$7)</f>
        <v>0</v>
      </c>
      <c r="J44" s="418">
        <f>SUMIFS(月別入力!$I:$I,月別入力!$E:$E,$C44,月別入力!$B:$B,$B44,月別入力!$H:$H,$F44,月別入力!$D:$D,J$7)</f>
        <v>0</v>
      </c>
      <c r="K44" s="418">
        <f>SUMIFS(月別入力!$I:$I,月別入力!$E:$E,$C44,月別入力!$B:$B,$B44,月別入力!$H:$H,$F44,月別入力!$D:$D,K$7)</f>
        <v>0</v>
      </c>
      <c r="L44" s="418">
        <f>SUMIFS(月別入力!$I:$I,月別入力!$E:$E,$C44,月別入力!$B:$B,$B44,月別入力!$H:$H,$F44,月別入力!$D:$D,L$7)</f>
        <v>0</v>
      </c>
      <c r="M44" s="418">
        <f>SUMIFS(月別入力!$I:$I,月別入力!$E:$E,$C44,月別入力!$B:$B,$B44,月別入力!$H:$H,$F44,月別入力!$D:$D,M$7)</f>
        <v>0</v>
      </c>
      <c r="N44" s="418">
        <f>SUMIFS(月別入力!$I:$I,月別入力!$E:$E,$C44,月別入力!$B:$B,$B44,月別入力!$H:$H,$F44,月別入力!$D:$D,N$7)</f>
        <v>0</v>
      </c>
      <c r="O44" s="418">
        <f>SUMIFS(月別入力!$I:$I,月別入力!$E:$E,$C44,月別入力!$B:$B,$B44,月別入力!$H:$H,$F44,月別入力!$D:$D,O$7)</f>
        <v>0</v>
      </c>
      <c r="P44" s="418">
        <f>SUMIFS(月別入力!$I:$I,月別入力!$E:$E,$C44,月別入力!$B:$B,$B44,月別入力!$H:$H,$F44,月別入力!$D:$D,P$7)</f>
        <v>0</v>
      </c>
      <c r="Q44" s="418">
        <f>SUMIFS(月別入力!$I:$I,月別入力!$E:$E,$C44,月別入力!$B:$B,$B44,月別入力!$H:$H,$F44,月別入力!$D:$D,Q$7)</f>
        <v>0</v>
      </c>
      <c r="R44" s="419">
        <f>SUMIFS(月別入力!$I:$I,月別入力!$E:$E,$C44,月別入力!$B:$B,$B44,月別入力!$H:$H,$F44,月別入力!$D:$D,R$7)</f>
        <v>0</v>
      </c>
    </row>
    <row r="45" spans="1:18" s="5" customFormat="1" ht="15" customHeight="1" x14ac:dyDescent="0.15">
      <c r="A45" s="5">
        <f t="shared" si="2"/>
        <v>0</v>
      </c>
      <c r="B45" s="56" t="str">
        <f t="shared" si="2"/>
        <v>&lt;=12</v>
      </c>
      <c r="C45" s="57"/>
      <c r="D45" s="61"/>
      <c r="E45" s="58"/>
      <c r="F45" s="62"/>
      <c r="G45" s="417">
        <f t="shared" si="0"/>
        <v>0</v>
      </c>
      <c r="H45" s="418">
        <f>SUMIFS(月別入力!$I:$I,月別入力!$E:$E,$C45,月別入力!$B:$B,$B45,月別入力!$H:$H,$F45,月別入力!$D:$D,H$7)</f>
        <v>0</v>
      </c>
      <c r="I45" s="418">
        <f>SUMIFS(月別入力!$I:$I,月別入力!$E:$E,$C45,月別入力!$B:$B,$B45,月別入力!$H:$H,$F45,月別入力!$D:$D,I$7)</f>
        <v>0</v>
      </c>
      <c r="J45" s="418">
        <f>SUMIFS(月別入力!$I:$I,月別入力!$E:$E,$C45,月別入力!$B:$B,$B45,月別入力!$H:$H,$F45,月別入力!$D:$D,J$7)</f>
        <v>0</v>
      </c>
      <c r="K45" s="418">
        <f>SUMIFS(月別入力!$I:$I,月別入力!$E:$E,$C45,月別入力!$B:$B,$B45,月別入力!$H:$H,$F45,月別入力!$D:$D,K$7)</f>
        <v>0</v>
      </c>
      <c r="L45" s="418">
        <f>SUMIFS(月別入力!$I:$I,月別入力!$E:$E,$C45,月別入力!$B:$B,$B45,月別入力!$H:$H,$F45,月別入力!$D:$D,L$7)</f>
        <v>0</v>
      </c>
      <c r="M45" s="418">
        <f>SUMIFS(月別入力!$I:$I,月別入力!$E:$E,$C45,月別入力!$B:$B,$B45,月別入力!$H:$H,$F45,月別入力!$D:$D,M$7)</f>
        <v>0</v>
      </c>
      <c r="N45" s="418">
        <f>SUMIFS(月別入力!$I:$I,月別入力!$E:$E,$C45,月別入力!$B:$B,$B45,月別入力!$H:$H,$F45,月別入力!$D:$D,N$7)</f>
        <v>0</v>
      </c>
      <c r="O45" s="418">
        <f>SUMIFS(月別入力!$I:$I,月別入力!$E:$E,$C45,月別入力!$B:$B,$B45,月別入力!$H:$H,$F45,月別入力!$D:$D,O$7)</f>
        <v>0</v>
      </c>
      <c r="P45" s="418">
        <f>SUMIFS(月別入力!$I:$I,月別入力!$E:$E,$C45,月別入力!$B:$B,$B45,月別入力!$H:$H,$F45,月別入力!$D:$D,P$7)</f>
        <v>0</v>
      </c>
      <c r="Q45" s="418">
        <f>SUMIFS(月別入力!$I:$I,月別入力!$E:$E,$C45,月別入力!$B:$B,$B45,月別入力!$H:$H,$F45,月別入力!$D:$D,Q$7)</f>
        <v>0</v>
      </c>
      <c r="R45" s="419">
        <f>SUMIFS(月別入力!$I:$I,月別入力!$E:$E,$C45,月別入力!$B:$B,$B45,月別入力!$H:$H,$F45,月別入力!$D:$D,R$7)</f>
        <v>0</v>
      </c>
    </row>
    <row r="46" spans="1:18" s="5" customFormat="1" ht="15" customHeight="1" x14ac:dyDescent="0.15">
      <c r="A46" s="5">
        <f t="shared" si="2"/>
        <v>0</v>
      </c>
      <c r="B46" s="56" t="str">
        <f t="shared" si="2"/>
        <v>&lt;=12</v>
      </c>
      <c r="C46" s="57"/>
      <c r="D46" s="61"/>
      <c r="E46" s="58"/>
      <c r="F46" s="62"/>
      <c r="G46" s="417">
        <f t="shared" si="0"/>
        <v>0</v>
      </c>
      <c r="H46" s="418">
        <f>SUMIFS(月別入力!$I:$I,月別入力!$E:$E,$C46,月別入力!$B:$B,$B46,月別入力!$H:$H,$F46,月別入力!$D:$D,H$7)</f>
        <v>0</v>
      </c>
      <c r="I46" s="418">
        <f>SUMIFS(月別入力!$I:$I,月別入力!$E:$E,$C46,月別入力!$B:$B,$B46,月別入力!$H:$H,$F46,月別入力!$D:$D,I$7)</f>
        <v>0</v>
      </c>
      <c r="J46" s="418">
        <f>SUMIFS(月別入力!$I:$I,月別入力!$E:$E,$C46,月別入力!$B:$B,$B46,月別入力!$H:$H,$F46,月別入力!$D:$D,J$7)</f>
        <v>0</v>
      </c>
      <c r="K46" s="418">
        <f>SUMIFS(月別入力!$I:$I,月別入力!$E:$E,$C46,月別入力!$B:$B,$B46,月別入力!$H:$H,$F46,月別入力!$D:$D,K$7)</f>
        <v>0</v>
      </c>
      <c r="L46" s="418">
        <f>SUMIFS(月別入力!$I:$I,月別入力!$E:$E,$C46,月別入力!$B:$B,$B46,月別入力!$H:$H,$F46,月別入力!$D:$D,L$7)</f>
        <v>0</v>
      </c>
      <c r="M46" s="418">
        <f>SUMIFS(月別入力!$I:$I,月別入力!$E:$E,$C46,月別入力!$B:$B,$B46,月別入力!$H:$H,$F46,月別入力!$D:$D,M$7)</f>
        <v>0</v>
      </c>
      <c r="N46" s="418">
        <f>SUMIFS(月別入力!$I:$I,月別入力!$E:$E,$C46,月別入力!$B:$B,$B46,月別入力!$H:$H,$F46,月別入力!$D:$D,N$7)</f>
        <v>0</v>
      </c>
      <c r="O46" s="418">
        <f>SUMIFS(月別入力!$I:$I,月別入力!$E:$E,$C46,月別入力!$B:$B,$B46,月別入力!$H:$H,$F46,月別入力!$D:$D,O$7)</f>
        <v>0</v>
      </c>
      <c r="P46" s="418">
        <f>SUMIFS(月別入力!$I:$I,月別入力!$E:$E,$C46,月別入力!$B:$B,$B46,月別入力!$H:$H,$F46,月別入力!$D:$D,P$7)</f>
        <v>0</v>
      </c>
      <c r="Q46" s="418">
        <f>SUMIFS(月別入力!$I:$I,月別入力!$E:$E,$C46,月別入力!$B:$B,$B46,月別入力!$H:$H,$F46,月別入力!$D:$D,Q$7)</f>
        <v>0</v>
      </c>
      <c r="R46" s="419">
        <f>SUMIFS(月別入力!$I:$I,月別入力!$E:$E,$C46,月別入力!$B:$B,$B46,月別入力!$H:$H,$F46,月別入力!$D:$D,R$7)</f>
        <v>0</v>
      </c>
    </row>
    <row r="47" spans="1:18" s="5" customFormat="1" ht="15" customHeight="1" x14ac:dyDescent="0.15">
      <c r="A47" s="5">
        <f t="shared" si="2"/>
        <v>0</v>
      </c>
      <c r="B47" s="56" t="str">
        <f t="shared" si="2"/>
        <v>&lt;=12</v>
      </c>
      <c r="C47" s="57"/>
      <c r="D47" s="61"/>
      <c r="E47" s="58"/>
      <c r="F47" s="62"/>
      <c r="G47" s="417">
        <f t="shared" si="0"/>
        <v>0</v>
      </c>
      <c r="H47" s="418">
        <f>SUMIFS(月別入力!$I:$I,月別入力!$E:$E,$C47,月別入力!$B:$B,$B47,月別入力!$H:$H,$F47,月別入力!$D:$D,H$7)</f>
        <v>0</v>
      </c>
      <c r="I47" s="418">
        <f>SUMIFS(月別入力!$I:$I,月別入力!$E:$E,$C47,月別入力!$B:$B,$B47,月別入力!$H:$H,$F47,月別入力!$D:$D,I$7)</f>
        <v>0</v>
      </c>
      <c r="J47" s="418">
        <f>SUMIFS(月別入力!$I:$I,月別入力!$E:$E,$C47,月別入力!$B:$B,$B47,月別入力!$H:$H,$F47,月別入力!$D:$D,J$7)</f>
        <v>0</v>
      </c>
      <c r="K47" s="418">
        <f>SUMIFS(月別入力!$I:$I,月別入力!$E:$E,$C47,月別入力!$B:$B,$B47,月別入力!$H:$H,$F47,月別入力!$D:$D,K$7)</f>
        <v>0</v>
      </c>
      <c r="L47" s="418">
        <f>SUMIFS(月別入力!$I:$I,月別入力!$E:$E,$C47,月別入力!$B:$B,$B47,月別入力!$H:$H,$F47,月別入力!$D:$D,L$7)</f>
        <v>0</v>
      </c>
      <c r="M47" s="418">
        <f>SUMIFS(月別入力!$I:$I,月別入力!$E:$E,$C47,月別入力!$B:$B,$B47,月別入力!$H:$H,$F47,月別入力!$D:$D,M$7)</f>
        <v>0</v>
      </c>
      <c r="N47" s="418">
        <f>SUMIFS(月別入力!$I:$I,月別入力!$E:$E,$C47,月別入力!$B:$B,$B47,月別入力!$H:$H,$F47,月別入力!$D:$D,N$7)</f>
        <v>0</v>
      </c>
      <c r="O47" s="418">
        <f>SUMIFS(月別入力!$I:$I,月別入力!$E:$E,$C47,月別入力!$B:$B,$B47,月別入力!$H:$H,$F47,月別入力!$D:$D,O$7)</f>
        <v>0</v>
      </c>
      <c r="P47" s="418">
        <f>SUMIFS(月別入力!$I:$I,月別入力!$E:$E,$C47,月別入力!$B:$B,$B47,月別入力!$H:$H,$F47,月別入力!$D:$D,P$7)</f>
        <v>0</v>
      </c>
      <c r="Q47" s="418">
        <f>SUMIFS(月別入力!$I:$I,月別入力!$E:$E,$C47,月別入力!$B:$B,$B47,月別入力!$H:$H,$F47,月別入力!$D:$D,Q$7)</f>
        <v>0</v>
      </c>
      <c r="R47" s="419">
        <f>SUMIFS(月別入力!$I:$I,月別入力!$E:$E,$C47,月別入力!$B:$B,$B47,月別入力!$H:$H,$F47,月別入力!$D:$D,R$7)</f>
        <v>0</v>
      </c>
    </row>
    <row r="48" spans="1:18" s="5" customFormat="1" ht="15" customHeight="1" x14ac:dyDescent="0.15">
      <c r="A48" s="5">
        <f t="shared" si="2"/>
        <v>0</v>
      </c>
      <c r="B48" s="56" t="str">
        <f t="shared" si="2"/>
        <v>&lt;=12</v>
      </c>
      <c r="C48" s="57"/>
      <c r="D48" s="61"/>
      <c r="E48" s="58"/>
      <c r="F48" s="62"/>
      <c r="G48" s="417">
        <f t="shared" si="0"/>
        <v>0</v>
      </c>
      <c r="H48" s="418">
        <f>SUMIFS(月別入力!$I:$I,月別入力!$E:$E,$C48,月別入力!$B:$B,$B48,月別入力!$H:$H,$F48,月別入力!$D:$D,H$7)</f>
        <v>0</v>
      </c>
      <c r="I48" s="418">
        <f>SUMIFS(月別入力!$I:$I,月別入力!$E:$E,$C48,月別入力!$B:$B,$B48,月別入力!$H:$H,$F48,月別入力!$D:$D,I$7)</f>
        <v>0</v>
      </c>
      <c r="J48" s="418">
        <f>SUMIFS(月別入力!$I:$I,月別入力!$E:$E,$C48,月別入力!$B:$B,$B48,月別入力!$H:$H,$F48,月別入力!$D:$D,J$7)</f>
        <v>0</v>
      </c>
      <c r="K48" s="418">
        <f>SUMIFS(月別入力!$I:$I,月別入力!$E:$E,$C48,月別入力!$B:$B,$B48,月別入力!$H:$H,$F48,月別入力!$D:$D,K$7)</f>
        <v>0</v>
      </c>
      <c r="L48" s="418">
        <f>SUMIFS(月別入力!$I:$I,月別入力!$E:$E,$C48,月別入力!$B:$B,$B48,月別入力!$H:$H,$F48,月別入力!$D:$D,L$7)</f>
        <v>0</v>
      </c>
      <c r="M48" s="418">
        <f>SUMIFS(月別入力!$I:$I,月別入力!$E:$E,$C48,月別入力!$B:$B,$B48,月別入力!$H:$H,$F48,月別入力!$D:$D,M$7)</f>
        <v>0</v>
      </c>
      <c r="N48" s="418">
        <f>SUMIFS(月別入力!$I:$I,月別入力!$E:$E,$C48,月別入力!$B:$B,$B48,月別入力!$H:$H,$F48,月別入力!$D:$D,N$7)</f>
        <v>0</v>
      </c>
      <c r="O48" s="418">
        <f>SUMIFS(月別入力!$I:$I,月別入力!$E:$E,$C48,月別入力!$B:$B,$B48,月別入力!$H:$H,$F48,月別入力!$D:$D,O$7)</f>
        <v>0</v>
      </c>
      <c r="P48" s="418">
        <f>SUMIFS(月別入力!$I:$I,月別入力!$E:$E,$C48,月別入力!$B:$B,$B48,月別入力!$H:$H,$F48,月別入力!$D:$D,P$7)</f>
        <v>0</v>
      </c>
      <c r="Q48" s="418">
        <f>SUMIFS(月別入力!$I:$I,月別入力!$E:$E,$C48,月別入力!$B:$B,$B48,月別入力!$H:$H,$F48,月別入力!$D:$D,Q$7)</f>
        <v>0</v>
      </c>
      <c r="R48" s="419">
        <f>SUMIFS(月別入力!$I:$I,月別入力!$E:$E,$C48,月別入力!$B:$B,$B48,月別入力!$H:$H,$F48,月別入力!$D:$D,R$7)</f>
        <v>0</v>
      </c>
    </row>
    <row r="49" spans="1:18" s="5" customFormat="1" ht="15" customHeight="1" x14ac:dyDescent="0.15">
      <c r="A49" s="5">
        <f t="shared" si="2"/>
        <v>0</v>
      </c>
      <c r="B49" s="56" t="str">
        <f t="shared" si="2"/>
        <v>&lt;=12</v>
      </c>
      <c r="C49" s="57"/>
      <c r="D49" s="61"/>
      <c r="E49" s="58"/>
      <c r="F49" s="62"/>
      <c r="G49" s="417">
        <f t="shared" si="0"/>
        <v>0</v>
      </c>
      <c r="H49" s="418">
        <f>SUMIFS(月別入力!$I:$I,月別入力!$E:$E,$C49,月別入力!$B:$B,$B49,月別入力!$H:$H,$F49,月別入力!$D:$D,H$7)</f>
        <v>0</v>
      </c>
      <c r="I49" s="418">
        <f>SUMIFS(月別入力!$I:$I,月別入力!$E:$E,$C49,月別入力!$B:$B,$B49,月別入力!$H:$H,$F49,月別入力!$D:$D,I$7)</f>
        <v>0</v>
      </c>
      <c r="J49" s="418">
        <f>SUMIFS(月別入力!$I:$I,月別入力!$E:$E,$C49,月別入力!$B:$B,$B49,月別入力!$H:$H,$F49,月別入力!$D:$D,J$7)</f>
        <v>0</v>
      </c>
      <c r="K49" s="418">
        <f>SUMIFS(月別入力!$I:$I,月別入力!$E:$E,$C49,月別入力!$B:$B,$B49,月別入力!$H:$H,$F49,月別入力!$D:$D,K$7)</f>
        <v>0</v>
      </c>
      <c r="L49" s="418">
        <f>SUMIFS(月別入力!$I:$I,月別入力!$E:$E,$C49,月別入力!$B:$B,$B49,月別入力!$H:$H,$F49,月別入力!$D:$D,L$7)</f>
        <v>0</v>
      </c>
      <c r="M49" s="418">
        <f>SUMIFS(月別入力!$I:$I,月別入力!$E:$E,$C49,月別入力!$B:$B,$B49,月別入力!$H:$H,$F49,月別入力!$D:$D,M$7)</f>
        <v>0</v>
      </c>
      <c r="N49" s="418">
        <f>SUMIFS(月別入力!$I:$I,月別入力!$E:$E,$C49,月別入力!$B:$B,$B49,月別入力!$H:$H,$F49,月別入力!$D:$D,N$7)</f>
        <v>0</v>
      </c>
      <c r="O49" s="418">
        <f>SUMIFS(月別入力!$I:$I,月別入力!$E:$E,$C49,月別入力!$B:$B,$B49,月別入力!$H:$H,$F49,月別入力!$D:$D,O$7)</f>
        <v>0</v>
      </c>
      <c r="P49" s="418">
        <f>SUMIFS(月別入力!$I:$I,月別入力!$E:$E,$C49,月別入力!$B:$B,$B49,月別入力!$H:$H,$F49,月別入力!$D:$D,P$7)</f>
        <v>0</v>
      </c>
      <c r="Q49" s="418">
        <f>SUMIFS(月別入力!$I:$I,月別入力!$E:$E,$C49,月別入力!$B:$B,$B49,月別入力!$H:$H,$F49,月別入力!$D:$D,Q$7)</f>
        <v>0</v>
      </c>
      <c r="R49" s="419">
        <f>SUMIFS(月別入力!$I:$I,月別入力!$E:$E,$C49,月別入力!$B:$B,$B49,月別入力!$H:$H,$F49,月別入力!$D:$D,R$7)</f>
        <v>0</v>
      </c>
    </row>
    <row r="50" spans="1:18" s="5" customFormat="1" ht="15" customHeight="1" x14ac:dyDescent="0.15">
      <c r="A50" s="5">
        <f t="shared" si="2"/>
        <v>0</v>
      </c>
      <c r="B50" s="56" t="str">
        <f t="shared" si="2"/>
        <v>&lt;=12</v>
      </c>
      <c r="C50" s="57"/>
      <c r="D50" s="61"/>
      <c r="E50" s="58"/>
      <c r="F50" s="62"/>
      <c r="G50" s="417">
        <f t="shared" si="0"/>
        <v>0</v>
      </c>
      <c r="H50" s="418">
        <f>SUMIFS(月別入力!$I:$I,月別入力!$E:$E,$C50,月別入力!$B:$B,$B50,月別入力!$H:$H,$F50,月別入力!$D:$D,H$7)</f>
        <v>0</v>
      </c>
      <c r="I50" s="418">
        <f>SUMIFS(月別入力!$I:$I,月別入力!$E:$E,$C50,月別入力!$B:$B,$B50,月別入力!$H:$H,$F50,月別入力!$D:$D,I$7)</f>
        <v>0</v>
      </c>
      <c r="J50" s="418">
        <f>SUMIFS(月別入力!$I:$I,月別入力!$E:$E,$C50,月別入力!$B:$B,$B50,月別入力!$H:$H,$F50,月別入力!$D:$D,J$7)</f>
        <v>0</v>
      </c>
      <c r="K50" s="418">
        <f>SUMIFS(月別入力!$I:$I,月別入力!$E:$E,$C50,月別入力!$B:$B,$B50,月別入力!$H:$H,$F50,月別入力!$D:$D,K$7)</f>
        <v>0</v>
      </c>
      <c r="L50" s="418">
        <f>SUMIFS(月別入力!$I:$I,月別入力!$E:$E,$C50,月別入力!$B:$B,$B50,月別入力!$H:$H,$F50,月別入力!$D:$D,L$7)</f>
        <v>0</v>
      </c>
      <c r="M50" s="418">
        <f>SUMIFS(月別入力!$I:$I,月別入力!$E:$E,$C50,月別入力!$B:$B,$B50,月別入力!$H:$H,$F50,月別入力!$D:$D,M$7)</f>
        <v>0</v>
      </c>
      <c r="N50" s="418">
        <f>SUMIFS(月別入力!$I:$I,月別入力!$E:$E,$C50,月別入力!$B:$B,$B50,月別入力!$H:$H,$F50,月別入力!$D:$D,N$7)</f>
        <v>0</v>
      </c>
      <c r="O50" s="418">
        <f>SUMIFS(月別入力!$I:$I,月別入力!$E:$E,$C50,月別入力!$B:$B,$B50,月別入力!$H:$H,$F50,月別入力!$D:$D,O$7)</f>
        <v>0</v>
      </c>
      <c r="P50" s="418">
        <f>SUMIFS(月別入力!$I:$I,月別入力!$E:$E,$C50,月別入力!$B:$B,$B50,月別入力!$H:$H,$F50,月別入力!$D:$D,P$7)</f>
        <v>0</v>
      </c>
      <c r="Q50" s="418">
        <f>SUMIFS(月別入力!$I:$I,月別入力!$E:$E,$C50,月別入力!$B:$B,$B50,月別入力!$H:$H,$F50,月別入力!$D:$D,Q$7)</f>
        <v>0</v>
      </c>
      <c r="R50" s="419">
        <f>SUMIFS(月別入力!$I:$I,月別入力!$E:$E,$C50,月別入力!$B:$B,$B50,月別入力!$H:$H,$F50,月別入力!$D:$D,R$7)</f>
        <v>0</v>
      </c>
    </row>
    <row r="51" spans="1:18" s="5" customFormat="1" ht="15" customHeight="1" x14ac:dyDescent="0.15">
      <c r="A51" s="5">
        <f t="shared" si="2"/>
        <v>0</v>
      </c>
      <c r="B51" s="56" t="str">
        <f t="shared" si="2"/>
        <v>&lt;=12</v>
      </c>
      <c r="C51" s="57"/>
      <c r="D51" s="61"/>
      <c r="E51" s="58"/>
      <c r="F51" s="62"/>
      <c r="G51" s="417">
        <f t="shared" si="0"/>
        <v>0</v>
      </c>
      <c r="H51" s="418">
        <f>SUMIFS(月別入力!$I:$I,月別入力!$E:$E,$C51,月別入力!$B:$B,$B51,月別入力!$H:$H,$F51,月別入力!$D:$D,H$7)</f>
        <v>0</v>
      </c>
      <c r="I51" s="418">
        <f>SUMIFS(月別入力!$I:$I,月別入力!$E:$E,$C51,月別入力!$B:$B,$B51,月別入力!$H:$H,$F51,月別入力!$D:$D,I$7)</f>
        <v>0</v>
      </c>
      <c r="J51" s="418">
        <f>SUMIFS(月別入力!$I:$I,月別入力!$E:$E,$C51,月別入力!$B:$B,$B51,月別入力!$H:$H,$F51,月別入力!$D:$D,J$7)</f>
        <v>0</v>
      </c>
      <c r="K51" s="418">
        <f>SUMIFS(月別入力!$I:$I,月別入力!$E:$E,$C51,月別入力!$B:$B,$B51,月別入力!$H:$H,$F51,月別入力!$D:$D,K$7)</f>
        <v>0</v>
      </c>
      <c r="L51" s="418">
        <f>SUMIFS(月別入力!$I:$I,月別入力!$E:$E,$C51,月別入力!$B:$B,$B51,月別入力!$H:$H,$F51,月別入力!$D:$D,L$7)</f>
        <v>0</v>
      </c>
      <c r="M51" s="418">
        <f>SUMIFS(月別入力!$I:$I,月別入力!$E:$E,$C51,月別入力!$B:$B,$B51,月別入力!$H:$H,$F51,月別入力!$D:$D,M$7)</f>
        <v>0</v>
      </c>
      <c r="N51" s="418">
        <f>SUMIFS(月別入力!$I:$I,月別入力!$E:$E,$C51,月別入力!$B:$B,$B51,月別入力!$H:$H,$F51,月別入力!$D:$D,N$7)</f>
        <v>0</v>
      </c>
      <c r="O51" s="418">
        <f>SUMIFS(月別入力!$I:$I,月別入力!$E:$E,$C51,月別入力!$B:$B,$B51,月別入力!$H:$H,$F51,月別入力!$D:$D,O$7)</f>
        <v>0</v>
      </c>
      <c r="P51" s="418">
        <f>SUMIFS(月別入力!$I:$I,月別入力!$E:$E,$C51,月別入力!$B:$B,$B51,月別入力!$H:$H,$F51,月別入力!$D:$D,P$7)</f>
        <v>0</v>
      </c>
      <c r="Q51" s="418">
        <f>SUMIFS(月別入力!$I:$I,月別入力!$E:$E,$C51,月別入力!$B:$B,$B51,月別入力!$H:$H,$F51,月別入力!$D:$D,Q$7)</f>
        <v>0</v>
      </c>
      <c r="R51" s="419">
        <f>SUMIFS(月別入力!$I:$I,月別入力!$E:$E,$C51,月別入力!$B:$B,$B51,月別入力!$H:$H,$F51,月別入力!$D:$D,R$7)</f>
        <v>0</v>
      </c>
    </row>
    <row r="52" spans="1:18" s="5" customFormat="1" ht="15" customHeight="1" x14ac:dyDescent="0.15">
      <c r="A52" s="5">
        <f t="shared" si="2"/>
        <v>0</v>
      </c>
      <c r="B52" s="56" t="str">
        <f t="shared" si="2"/>
        <v>&lt;=12</v>
      </c>
      <c r="C52" s="57"/>
      <c r="D52" s="61"/>
      <c r="E52" s="58"/>
      <c r="F52" s="62"/>
      <c r="G52" s="417">
        <f t="shared" si="0"/>
        <v>0</v>
      </c>
      <c r="H52" s="418">
        <f>SUMIFS(月別入力!$I:$I,月別入力!$E:$E,$C52,月別入力!$B:$B,$B52,月別入力!$H:$H,$F52,月別入力!$D:$D,H$7)</f>
        <v>0</v>
      </c>
      <c r="I52" s="418">
        <f>SUMIFS(月別入力!$I:$I,月別入力!$E:$E,$C52,月別入力!$B:$B,$B52,月別入力!$H:$H,$F52,月別入力!$D:$D,I$7)</f>
        <v>0</v>
      </c>
      <c r="J52" s="418">
        <f>SUMIFS(月別入力!$I:$I,月別入力!$E:$E,$C52,月別入力!$B:$B,$B52,月別入力!$H:$H,$F52,月別入力!$D:$D,J$7)</f>
        <v>0</v>
      </c>
      <c r="K52" s="418">
        <f>SUMIFS(月別入力!$I:$I,月別入力!$E:$E,$C52,月別入力!$B:$B,$B52,月別入力!$H:$H,$F52,月別入力!$D:$D,K$7)</f>
        <v>0</v>
      </c>
      <c r="L52" s="418">
        <f>SUMIFS(月別入力!$I:$I,月別入力!$E:$E,$C52,月別入力!$B:$B,$B52,月別入力!$H:$H,$F52,月別入力!$D:$D,L$7)</f>
        <v>0</v>
      </c>
      <c r="M52" s="418">
        <f>SUMIFS(月別入力!$I:$I,月別入力!$E:$E,$C52,月別入力!$B:$B,$B52,月別入力!$H:$H,$F52,月別入力!$D:$D,M$7)</f>
        <v>0</v>
      </c>
      <c r="N52" s="418">
        <f>SUMIFS(月別入力!$I:$I,月別入力!$E:$E,$C52,月別入力!$B:$B,$B52,月別入力!$H:$H,$F52,月別入力!$D:$D,N$7)</f>
        <v>0</v>
      </c>
      <c r="O52" s="418">
        <f>SUMIFS(月別入力!$I:$I,月別入力!$E:$E,$C52,月別入力!$B:$B,$B52,月別入力!$H:$H,$F52,月別入力!$D:$D,O$7)</f>
        <v>0</v>
      </c>
      <c r="P52" s="418">
        <f>SUMIFS(月別入力!$I:$I,月別入力!$E:$E,$C52,月別入力!$B:$B,$B52,月別入力!$H:$H,$F52,月別入力!$D:$D,P$7)</f>
        <v>0</v>
      </c>
      <c r="Q52" s="418">
        <f>SUMIFS(月別入力!$I:$I,月別入力!$E:$E,$C52,月別入力!$B:$B,$B52,月別入力!$H:$H,$F52,月別入力!$D:$D,Q$7)</f>
        <v>0</v>
      </c>
      <c r="R52" s="419">
        <f>SUMIFS(月別入力!$I:$I,月別入力!$E:$E,$C52,月別入力!$B:$B,$B52,月別入力!$H:$H,$F52,月別入力!$D:$D,R$7)</f>
        <v>0</v>
      </c>
    </row>
    <row r="53" spans="1:18" s="5" customFormat="1" ht="15" customHeight="1" x14ac:dyDescent="0.15">
      <c r="A53" s="5">
        <f t="shared" si="2"/>
        <v>0</v>
      </c>
      <c r="B53" s="56" t="str">
        <f t="shared" si="2"/>
        <v>&lt;=12</v>
      </c>
      <c r="C53" s="57"/>
      <c r="D53" s="61"/>
      <c r="E53" s="58"/>
      <c r="F53" s="62"/>
      <c r="G53" s="417">
        <f t="shared" si="0"/>
        <v>0</v>
      </c>
      <c r="H53" s="418">
        <f>SUMIFS(月別入力!$I:$I,月別入力!$E:$E,$C53,月別入力!$B:$B,$B53,月別入力!$H:$H,$F53,月別入力!$D:$D,H$7)</f>
        <v>0</v>
      </c>
      <c r="I53" s="418">
        <f>SUMIFS(月別入力!$I:$I,月別入力!$E:$E,$C53,月別入力!$B:$B,$B53,月別入力!$H:$H,$F53,月別入力!$D:$D,I$7)</f>
        <v>0</v>
      </c>
      <c r="J53" s="418">
        <f>SUMIFS(月別入力!$I:$I,月別入力!$E:$E,$C53,月別入力!$B:$B,$B53,月別入力!$H:$H,$F53,月別入力!$D:$D,J$7)</f>
        <v>0</v>
      </c>
      <c r="K53" s="418">
        <f>SUMIFS(月別入力!$I:$I,月別入力!$E:$E,$C53,月別入力!$B:$B,$B53,月別入力!$H:$H,$F53,月別入力!$D:$D,K$7)</f>
        <v>0</v>
      </c>
      <c r="L53" s="418">
        <f>SUMIFS(月別入力!$I:$I,月別入力!$E:$E,$C53,月別入力!$B:$B,$B53,月別入力!$H:$H,$F53,月別入力!$D:$D,L$7)</f>
        <v>0</v>
      </c>
      <c r="M53" s="418">
        <f>SUMIFS(月別入力!$I:$I,月別入力!$E:$E,$C53,月別入力!$B:$B,$B53,月別入力!$H:$H,$F53,月別入力!$D:$D,M$7)</f>
        <v>0</v>
      </c>
      <c r="N53" s="418">
        <f>SUMIFS(月別入力!$I:$I,月別入力!$E:$E,$C53,月別入力!$B:$B,$B53,月別入力!$H:$H,$F53,月別入力!$D:$D,N$7)</f>
        <v>0</v>
      </c>
      <c r="O53" s="418">
        <f>SUMIFS(月別入力!$I:$I,月別入力!$E:$E,$C53,月別入力!$B:$B,$B53,月別入力!$H:$H,$F53,月別入力!$D:$D,O$7)</f>
        <v>0</v>
      </c>
      <c r="P53" s="418">
        <f>SUMIFS(月別入力!$I:$I,月別入力!$E:$E,$C53,月別入力!$B:$B,$B53,月別入力!$H:$H,$F53,月別入力!$D:$D,P$7)</f>
        <v>0</v>
      </c>
      <c r="Q53" s="418">
        <f>SUMIFS(月別入力!$I:$I,月別入力!$E:$E,$C53,月別入力!$B:$B,$B53,月別入力!$H:$H,$F53,月別入力!$D:$D,Q$7)</f>
        <v>0</v>
      </c>
      <c r="R53" s="419">
        <f>SUMIFS(月別入力!$I:$I,月別入力!$E:$E,$C53,月別入力!$B:$B,$B53,月別入力!$H:$H,$F53,月別入力!$D:$D,R$7)</f>
        <v>0</v>
      </c>
    </row>
    <row r="54" spans="1:18" s="5" customFormat="1" ht="15" customHeight="1" x14ac:dyDescent="0.15">
      <c r="A54" s="5">
        <f t="shared" si="2"/>
        <v>0</v>
      </c>
      <c r="B54" s="56" t="str">
        <f t="shared" si="2"/>
        <v>&lt;=12</v>
      </c>
      <c r="C54" s="57"/>
      <c r="D54" s="61"/>
      <c r="E54" s="58"/>
      <c r="F54" s="62"/>
      <c r="G54" s="417">
        <f t="shared" si="0"/>
        <v>0</v>
      </c>
      <c r="H54" s="418">
        <f>SUMIFS(月別入力!$I:$I,月別入力!$E:$E,$C54,月別入力!$B:$B,$B54,月別入力!$H:$H,$F54,月別入力!$D:$D,H$7)</f>
        <v>0</v>
      </c>
      <c r="I54" s="418">
        <f>SUMIFS(月別入力!$I:$I,月別入力!$E:$E,$C54,月別入力!$B:$B,$B54,月別入力!$H:$H,$F54,月別入力!$D:$D,I$7)</f>
        <v>0</v>
      </c>
      <c r="J54" s="418">
        <f>SUMIFS(月別入力!$I:$I,月別入力!$E:$E,$C54,月別入力!$B:$B,$B54,月別入力!$H:$H,$F54,月別入力!$D:$D,J$7)</f>
        <v>0</v>
      </c>
      <c r="K54" s="418">
        <f>SUMIFS(月別入力!$I:$I,月別入力!$E:$E,$C54,月別入力!$B:$B,$B54,月別入力!$H:$H,$F54,月別入力!$D:$D,K$7)</f>
        <v>0</v>
      </c>
      <c r="L54" s="418">
        <f>SUMIFS(月別入力!$I:$I,月別入力!$E:$E,$C54,月別入力!$B:$B,$B54,月別入力!$H:$H,$F54,月別入力!$D:$D,L$7)</f>
        <v>0</v>
      </c>
      <c r="M54" s="418">
        <f>SUMIFS(月別入力!$I:$I,月別入力!$E:$E,$C54,月別入力!$B:$B,$B54,月別入力!$H:$H,$F54,月別入力!$D:$D,M$7)</f>
        <v>0</v>
      </c>
      <c r="N54" s="418">
        <f>SUMIFS(月別入力!$I:$I,月別入力!$E:$E,$C54,月別入力!$B:$B,$B54,月別入力!$H:$H,$F54,月別入力!$D:$D,N$7)</f>
        <v>0</v>
      </c>
      <c r="O54" s="418">
        <f>SUMIFS(月別入力!$I:$I,月別入力!$E:$E,$C54,月別入力!$B:$B,$B54,月別入力!$H:$H,$F54,月別入力!$D:$D,O$7)</f>
        <v>0</v>
      </c>
      <c r="P54" s="418">
        <f>SUMIFS(月別入力!$I:$I,月別入力!$E:$E,$C54,月別入力!$B:$B,$B54,月別入力!$H:$H,$F54,月別入力!$D:$D,P$7)</f>
        <v>0</v>
      </c>
      <c r="Q54" s="418">
        <f>SUMIFS(月別入力!$I:$I,月別入力!$E:$E,$C54,月別入力!$B:$B,$B54,月別入力!$H:$H,$F54,月別入力!$D:$D,Q$7)</f>
        <v>0</v>
      </c>
      <c r="R54" s="419">
        <f>SUMIFS(月別入力!$I:$I,月別入力!$E:$E,$C54,月別入力!$B:$B,$B54,月別入力!$H:$H,$F54,月別入力!$D:$D,R$7)</f>
        <v>0</v>
      </c>
    </row>
    <row r="55" spans="1:18" s="5" customFormat="1" ht="15" customHeight="1" x14ac:dyDescent="0.15">
      <c r="A55" s="5">
        <f t="shared" si="2"/>
        <v>0</v>
      </c>
      <c r="B55" s="56" t="str">
        <f t="shared" si="2"/>
        <v>&lt;=12</v>
      </c>
      <c r="C55" s="57"/>
      <c r="D55" s="61"/>
      <c r="E55" s="58"/>
      <c r="F55" s="62"/>
      <c r="G55" s="417">
        <f t="shared" si="0"/>
        <v>0</v>
      </c>
      <c r="H55" s="418">
        <f>SUMIFS(月別入力!$I:$I,月別入力!$E:$E,$C55,月別入力!$B:$B,$B55,月別入力!$H:$H,$F55,月別入力!$D:$D,H$7)</f>
        <v>0</v>
      </c>
      <c r="I55" s="418">
        <f>SUMIFS(月別入力!$I:$I,月別入力!$E:$E,$C55,月別入力!$B:$B,$B55,月別入力!$H:$H,$F55,月別入力!$D:$D,I$7)</f>
        <v>0</v>
      </c>
      <c r="J55" s="418">
        <f>SUMIFS(月別入力!$I:$I,月別入力!$E:$E,$C55,月別入力!$B:$B,$B55,月別入力!$H:$H,$F55,月別入力!$D:$D,J$7)</f>
        <v>0</v>
      </c>
      <c r="K55" s="418">
        <f>SUMIFS(月別入力!$I:$I,月別入力!$E:$E,$C55,月別入力!$B:$B,$B55,月別入力!$H:$H,$F55,月別入力!$D:$D,K$7)</f>
        <v>0</v>
      </c>
      <c r="L55" s="418">
        <f>SUMIFS(月別入力!$I:$I,月別入力!$E:$E,$C55,月別入力!$B:$B,$B55,月別入力!$H:$H,$F55,月別入力!$D:$D,L$7)</f>
        <v>0</v>
      </c>
      <c r="M55" s="418">
        <f>SUMIFS(月別入力!$I:$I,月別入力!$E:$E,$C55,月別入力!$B:$B,$B55,月別入力!$H:$H,$F55,月別入力!$D:$D,M$7)</f>
        <v>0</v>
      </c>
      <c r="N55" s="418">
        <f>SUMIFS(月別入力!$I:$I,月別入力!$E:$E,$C55,月別入力!$B:$B,$B55,月別入力!$H:$H,$F55,月別入力!$D:$D,N$7)</f>
        <v>0</v>
      </c>
      <c r="O55" s="418">
        <f>SUMIFS(月別入力!$I:$I,月別入力!$E:$E,$C55,月別入力!$B:$B,$B55,月別入力!$H:$H,$F55,月別入力!$D:$D,O$7)</f>
        <v>0</v>
      </c>
      <c r="P55" s="418">
        <f>SUMIFS(月別入力!$I:$I,月別入力!$E:$E,$C55,月別入力!$B:$B,$B55,月別入力!$H:$H,$F55,月別入力!$D:$D,P$7)</f>
        <v>0</v>
      </c>
      <c r="Q55" s="418">
        <f>SUMIFS(月別入力!$I:$I,月別入力!$E:$E,$C55,月別入力!$B:$B,$B55,月別入力!$H:$H,$F55,月別入力!$D:$D,Q$7)</f>
        <v>0</v>
      </c>
      <c r="R55" s="419">
        <f>SUMIFS(月別入力!$I:$I,月別入力!$E:$E,$C55,月別入力!$B:$B,$B55,月別入力!$H:$H,$F55,月別入力!$D:$D,R$7)</f>
        <v>0</v>
      </c>
    </row>
    <row r="56" spans="1:18" s="5" customFormat="1" ht="15" customHeight="1" x14ac:dyDescent="0.15">
      <c r="A56" s="5">
        <f t="shared" si="2"/>
        <v>0</v>
      </c>
      <c r="B56" s="56" t="str">
        <f t="shared" si="2"/>
        <v>&lt;=12</v>
      </c>
      <c r="C56" s="57"/>
      <c r="D56" s="61"/>
      <c r="E56" s="58"/>
      <c r="F56" s="62"/>
      <c r="G56" s="417">
        <f t="shared" si="0"/>
        <v>0</v>
      </c>
      <c r="H56" s="418">
        <f>SUMIFS(月別入力!$I:$I,月別入力!$E:$E,$C56,月別入力!$B:$B,$B56,月別入力!$H:$H,$F56,月別入力!$D:$D,H$7)</f>
        <v>0</v>
      </c>
      <c r="I56" s="418">
        <f>SUMIFS(月別入力!$I:$I,月別入力!$E:$E,$C56,月別入力!$B:$B,$B56,月別入力!$H:$H,$F56,月別入力!$D:$D,I$7)</f>
        <v>0</v>
      </c>
      <c r="J56" s="418">
        <f>SUMIFS(月別入力!$I:$I,月別入力!$E:$E,$C56,月別入力!$B:$B,$B56,月別入力!$H:$H,$F56,月別入力!$D:$D,J$7)</f>
        <v>0</v>
      </c>
      <c r="K56" s="418">
        <f>SUMIFS(月別入力!$I:$I,月別入力!$E:$E,$C56,月別入力!$B:$B,$B56,月別入力!$H:$H,$F56,月別入力!$D:$D,K$7)</f>
        <v>0</v>
      </c>
      <c r="L56" s="418">
        <f>SUMIFS(月別入力!$I:$I,月別入力!$E:$E,$C56,月別入力!$B:$B,$B56,月別入力!$H:$H,$F56,月別入力!$D:$D,L$7)</f>
        <v>0</v>
      </c>
      <c r="M56" s="418">
        <f>SUMIFS(月別入力!$I:$I,月別入力!$E:$E,$C56,月別入力!$B:$B,$B56,月別入力!$H:$H,$F56,月別入力!$D:$D,M$7)</f>
        <v>0</v>
      </c>
      <c r="N56" s="418">
        <f>SUMIFS(月別入力!$I:$I,月別入力!$E:$E,$C56,月別入力!$B:$B,$B56,月別入力!$H:$H,$F56,月別入力!$D:$D,N$7)</f>
        <v>0</v>
      </c>
      <c r="O56" s="418">
        <f>SUMIFS(月別入力!$I:$I,月別入力!$E:$E,$C56,月別入力!$B:$B,$B56,月別入力!$H:$H,$F56,月別入力!$D:$D,O$7)</f>
        <v>0</v>
      </c>
      <c r="P56" s="418">
        <f>SUMIFS(月別入力!$I:$I,月別入力!$E:$E,$C56,月別入力!$B:$B,$B56,月別入力!$H:$H,$F56,月別入力!$D:$D,P$7)</f>
        <v>0</v>
      </c>
      <c r="Q56" s="418">
        <f>SUMIFS(月別入力!$I:$I,月別入力!$E:$E,$C56,月別入力!$B:$B,$B56,月別入力!$H:$H,$F56,月別入力!$D:$D,Q$7)</f>
        <v>0</v>
      </c>
      <c r="R56" s="419">
        <f>SUMIFS(月別入力!$I:$I,月別入力!$E:$E,$C56,月別入力!$B:$B,$B56,月別入力!$H:$H,$F56,月別入力!$D:$D,R$7)</f>
        <v>0</v>
      </c>
    </row>
    <row r="57" spans="1:18" s="5" customFormat="1" ht="15" customHeight="1" x14ac:dyDescent="0.15">
      <c r="A57" s="5">
        <f t="shared" si="2"/>
        <v>0</v>
      </c>
      <c r="B57" s="56" t="str">
        <f t="shared" si="2"/>
        <v>&lt;=12</v>
      </c>
      <c r="C57" s="57"/>
      <c r="D57" s="61"/>
      <c r="E57" s="58"/>
      <c r="F57" s="62"/>
      <c r="G57" s="417">
        <f t="shared" si="0"/>
        <v>0</v>
      </c>
      <c r="H57" s="418">
        <f>SUMIFS(月別入力!$I:$I,月別入力!$E:$E,$C57,月別入力!$B:$B,$B57,月別入力!$H:$H,$F57,月別入力!$D:$D,H$7)</f>
        <v>0</v>
      </c>
      <c r="I57" s="418">
        <f>SUMIFS(月別入力!$I:$I,月別入力!$E:$E,$C57,月別入力!$B:$B,$B57,月別入力!$H:$H,$F57,月別入力!$D:$D,I$7)</f>
        <v>0</v>
      </c>
      <c r="J57" s="418">
        <f>SUMIFS(月別入力!$I:$I,月別入力!$E:$E,$C57,月別入力!$B:$B,$B57,月別入力!$H:$H,$F57,月別入力!$D:$D,J$7)</f>
        <v>0</v>
      </c>
      <c r="K57" s="418">
        <f>SUMIFS(月別入力!$I:$I,月別入力!$E:$E,$C57,月別入力!$B:$B,$B57,月別入力!$H:$H,$F57,月別入力!$D:$D,K$7)</f>
        <v>0</v>
      </c>
      <c r="L57" s="418">
        <f>SUMIFS(月別入力!$I:$I,月別入力!$E:$E,$C57,月別入力!$B:$B,$B57,月別入力!$H:$H,$F57,月別入力!$D:$D,L$7)</f>
        <v>0</v>
      </c>
      <c r="M57" s="418">
        <f>SUMIFS(月別入力!$I:$I,月別入力!$E:$E,$C57,月別入力!$B:$B,$B57,月別入力!$H:$H,$F57,月別入力!$D:$D,M$7)</f>
        <v>0</v>
      </c>
      <c r="N57" s="418">
        <f>SUMIFS(月別入力!$I:$I,月別入力!$E:$E,$C57,月別入力!$B:$B,$B57,月別入力!$H:$H,$F57,月別入力!$D:$D,N$7)</f>
        <v>0</v>
      </c>
      <c r="O57" s="418">
        <f>SUMIFS(月別入力!$I:$I,月別入力!$E:$E,$C57,月別入力!$B:$B,$B57,月別入力!$H:$H,$F57,月別入力!$D:$D,O$7)</f>
        <v>0</v>
      </c>
      <c r="P57" s="418">
        <f>SUMIFS(月別入力!$I:$I,月別入力!$E:$E,$C57,月別入力!$B:$B,$B57,月別入力!$H:$H,$F57,月別入力!$D:$D,P$7)</f>
        <v>0</v>
      </c>
      <c r="Q57" s="418">
        <f>SUMIFS(月別入力!$I:$I,月別入力!$E:$E,$C57,月別入力!$B:$B,$B57,月別入力!$H:$H,$F57,月別入力!$D:$D,Q$7)</f>
        <v>0</v>
      </c>
      <c r="R57" s="419">
        <f>SUMIFS(月別入力!$I:$I,月別入力!$E:$E,$C57,月別入力!$B:$B,$B57,月別入力!$H:$H,$F57,月別入力!$D:$D,R$7)</f>
        <v>0</v>
      </c>
    </row>
    <row r="58" spans="1:18" s="5" customFormat="1" ht="15" customHeight="1" x14ac:dyDescent="0.15">
      <c r="A58" s="5">
        <f t="shared" si="2"/>
        <v>0</v>
      </c>
      <c r="B58" s="56" t="str">
        <f t="shared" si="2"/>
        <v>&lt;=12</v>
      </c>
      <c r="C58" s="57"/>
      <c r="D58" s="61"/>
      <c r="E58" s="58"/>
      <c r="F58" s="62"/>
      <c r="G58" s="417">
        <f t="shared" si="0"/>
        <v>0</v>
      </c>
      <c r="H58" s="418">
        <f>SUMIFS(月別入力!$I:$I,月別入力!$E:$E,$C58,月別入力!$B:$B,$B58,月別入力!$H:$H,$F58,月別入力!$D:$D,H$7)</f>
        <v>0</v>
      </c>
      <c r="I58" s="418">
        <f>SUMIFS(月別入力!$I:$I,月別入力!$E:$E,$C58,月別入力!$B:$B,$B58,月別入力!$H:$H,$F58,月別入力!$D:$D,I$7)</f>
        <v>0</v>
      </c>
      <c r="J58" s="418">
        <f>SUMIFS(月別入力!$I:$I,月別入力!$E:$E,$C58,月別入力!$B:$B,$B58,月別入力!$H:$H,$F58,月別入力!$D:$D,J$7)</f>
        <v>0</v>
      </c>
      <c r="K58" s="418">
        <f>SUMIFS(月別入力!$I:$I,月別入力!$E:$E,$C58,月別入力!$B:$B,$B58,月別入力!$H:$H,$F58,月別入力!$D:$D,K$7)</f>
        <v>0</v>
      </c>
      <c r="L58" s="418">
        <f>SUMIFS(月別入力!$I:$I,月別入力!$E:$E,$C58,月別入力!$B:$B,$B58,月別入力!$H:$H,$F58,月別入力!$D:$D,L$7)</f>
        <v>0</v>
      </c>
      <c r="M58" s="418">
        <f>SUMIFS(月別入力!$I:$I,月別入力!$E:$E,$C58,月別入力!$B:$B,$B58,月別入力!$H:$H,$F58,月別入力!$D:$D,M$7)</f>
        <v>0</v>
      </c>
      <c r="N58" s="418">
        <f>SUMIFS(月別入力!$I:$I,月別入力!$E:$E,$C58,月別入力!$B:$B,$B58,月別入力!$H:$H,$F58,月別入力!$D:$D,N$7)</f>
        <v>0</v>
      </c>
      <c r="O58" s="418">
        <f>SUMIFS(月別入力!$I:$I,月別入力!$E:$E,$C58,月別入力!$B:$B,$B58,月別入力!$H:$H,$F58,月別入力!$D:$D,O$7)</f>
        <v>0</v>
      </c>
      <c r="P58" s="418">
        <f>SUMIFS(月別入力!$I:$I,月別入力!$E:$E,$C58,月別入力!$B:$B,$B58,月別入力!$H:$H,$F58,月別入力!$D:$D,P$7)</f>
        <v>0</v>
      </c>
      <c r="Q58" s="418">
        <f>SUMIFS(月別入力!$I:$I,月別入力!$E:$E,$C58,月別入力!$B:$B,$B58,月別入力!$H:$H,$F58,月別入力!$D:$D,Q$7)</f>
        <v>0</v>
      </c>
      <c r="R58" s="419">
        <f>SUMIFS(月別入力!$I:$I,月別入力!$E:$E,$C58,月別入力!$B:$B,$B58,月別入力!$H:$H,$F58,月別入力!$D:$D,R$7)</f>
        <v>0</v>
      </c>
    </row>
    <row r="59" spans="1:18" s="5" customFormat="1" ht="15" customHeight="1" x14ac:dyDescent="0.15">
      <c r="A59" s="5">
        <f t="shared" si="2"/>
        <v>0</v>
      </c>
      <c r="B59" s="56" t="str">
        <f t="shared" si="2"/>
        <v>&lt;=12</v>
      </c>
      <c r="C59" s="57"/>
      <c r="D59" s="61"/>
      <c r="E59" s="58"/>
      <c r="F59" s="62"/>
      <c r="G59" s="417">
        <f t="shared" si="0"/>
        <v>0</v>
      </c>
      <c r="H59" s="418">
        <f>SUMIFS(月別入力!$I:$I,月別入力!$E:$E,$C59,月別入力!$B:$B,$B59,月別入力!$H:$H,$F59,月別入力!$D:$D,H$7)</f>
        <v>0</v>
      </c>
      <c r="I59" s="418">
        <f>SUMIFS(月別入力!$I:$I,月別入力!$E:$E,$C59,月別入力!$B:$B,$B59,月別入力!$H:$H,$F59,月別入力!$D:$D,I$7)</f>
        <v>0</v>
      </c>
      <c r="J59" s="418">
        <f>SUMIFS(月別入力!$I:$I,月別入力!$E:$E,$C59,月別入力!$B:$B,$B59,月別入力!$H:$H,$F59,月別入力!$D:$D,J$7)</f>
        <v>0</v>
      </c>
      <c r="K59" s="418">
        <f>SUMIFS(月別入力!$I:$I,月別入力!$E:$E,$C59,月別入力!$B:$B,$B59,月別入力!$H:$H,$F59,月別入力!$D:$D,K$7)</f>
        <v>0</v>
      </c>
      <c r="L59" s="418">
        <f>SUMIFS(月別入力!$I:$I,月別入力!$E:$E,$C59,月別入力!$B:$B,$B59,月別入力!$H:$H,$F59,月別入力!$D:$D,L$7)</f>
        <v>0</v>
      </c>
      <c r="M59" s="418">
        <f>SUMIFS(月別入力!$I:$I,月別入力!$E:$E,$C59,月別入力!$B:$B,$B59,月別入力!$H:$H,$F59,月別入力!$D:$D,M$7)</f>
        <v>0</v>
      </c>
      <c r="N59" s="418">
        <f>SUMIFS(月別入力!$I:$I,月別入力!$E:$E,$C59,月別入力!$B:$B,$B59,月別入力!$H:$H,$F59,月別入力!$D:$D,N$7)</f>
        <v>0</v>
      </c>
      <c r="O59" s="418">
        <f>SUMIFS(月別入力!$I:$I,月別入力!$E:$E,$C59,月別入力!$B:$B,$B59,月別入力!$H:$H,$F59,月別入力!$D:$D,O$7)</f>
        <v>0</v>
      </c>
      <c r="P59" s="418">
        <f>SUMIFS(月別入力!$I:$I,月別入力!$E:$E,$C59,月別入力!$B:$B,$B59,月別入力!$H:$H,$F59,月別入力!$D:$D,P$7)</f>
        <v>0</v>
      </c>
      <c r="Q59" s="418">
        <f>SUMIFS(月別入力!$I:$I,月別入力!$E:$E,$C59,月別入力!$B:$B,$B59,月別入力!$H:$H,$F59,月別入力!$D:$D,Q$7)</f>
        <v>0</v>
      </c>
      <c r="R59" s="419">
        <f>SUMIFS(月別入力!$I:$I,月別入力!$E:$E,$C59,月別入力!$B:$B,$B59,月別入力!$H:$H,$F59,月別入力!$D:$D,R$7)</f>
        <v>0</v>
      </c>
    </row>
    <row r="60" spans="1:18" s="5" customFormat="1" ht="15" customHeight="1" x14ac:dyDescent="0.15">
      <c r="A60" s="5">
        <f t="shared" si="2"/>
        <v>0</v>
      </c>
      <c r="B60" s="56" t="str">
        <f t="shared" si="2"/>
        <v>&lt;=12</v>
      </c>
      <c r="C60" s="57"/>
      <c r="D60" s="61"/>
      <c r="E60" s="58"/>
      <c r="F60" s="62"/>
      <c r="G60" s="417">
        <f t="shared" si="0"/>
        <v>0</v>
      </c>
      <c r="H60" s="418">
        <f>SUMIFS(月別入力!$I:$I,月別入力!$E:$E,$C60,月別入力!$B:$B,$B60,月別入力!$H:$H,$F60,月別入力!$D:$D,H$7)</f>
        <v>0</v>
      </c>
      <c r="I60" s="418">
        <f>SUMIFS(月別入力!$I:$I,月別入力!$E:$E,$C60,月別入力!$B:$B,$B60,月別入力!$H:$H,$F60,月別入力!$D:$D,I$7)</f>
        <v>0</v>
      </c>
      <c r="J60" s="418">
        <f>SUMIFS(月別入力!$I:$I,月別入力!$E:$E,$C60,月別入力!$B:$B,$B60,月別入力!$H:$H,$F60,月別入力!$D:$D,J$7)</f>
        <v>0</v>
      </c>
      <c r="K60" s="418">
        <f>SUMIFS(月別入力!$I:$I,月別入力!$E:$E,$C60,月別入力!$B:$B,$B60,月別入力!$H:$H,$F60,月別入力!$D:$D,K$7)</f>
        <v>0</v>
      </c>
      <c r="L60" s="418">
        <f>SUMIFS(月別入力!$I:$I,月別入力!$E:$E,$C60,月別入力!$B:$B,$B60,月別入力!$H:$H,$F60,月別入力!$D:$D,L$7)</f>
        <v>0</v>
      </c>
      <c r="M60" s="418">
        <f>SUMIFS(月別入力!$I:$I,月別入力!$E:$E,$C60,月別入力!$B:$B,$B60,月別入力!$H:$H,$F60,月別入力!$D:$D,M$7)</f>
        <v>0</v>
      </c>
      <c r="N60" s="418">
        <f>SUMIFS(月別入力!$I:$I,月別入力!$E:$E,$C60,月別入力!$B:$B,$B60,月別入力!$H:$H,$F60,月別入力!$D:$D,N$7)</f>
        <v>0</v>
      </c>
      <c r="O60" s="418">
        <f>SUMIFS(月別入力!$I:$I,月別入力!$E:$E,$C60,月別入力!$B:$B,$B60,月別入力!$H:$H,$F60,月別入力!$D:$D,O$7)</f>
        <v>0</v>
      </c>
      <c r="P60" s="418">
        <f>SUMIFS(月別入力!$I:$I,月別入力!$E:$E,$C60,月別入力!$B:$B,$B60,月別入力!$H:$H,$F60,月別入力!$D:$D,P$7)</f>
        <v>0</v>
      </c>
      <c r="Q60" s="418">
        <f>SUMIFS(月別入力!$I:$I,月別入力!$E:$E,$C60,月別入力!$B:$B,$B60,月別入力!$H:$H,$F60,月別入力!$D:$D,Q$7)</f>
        <v>0</v>
      </c>
      <c r="R60" s="419">
        <f>SUMIFS(月別入力!$I:$I,月別入力!$E:$E,$C60,月別入力!$B:$B,$B60,月別入力!$H:$H,$F60,月別入力!$D:$D,R$7)</f>
        <v>0</v>
      </c>
    </row>
    <row r="61" spans="1:18" s="5" customFormat="1" ht="15" customHeight="1" x14ac:dyDescent="0.15">
      <c r="A61" s="5">
        <f t="shared" si="2"/>
        <v>0</v>
      </c>
      <c r="B61" s="56" t="str">
        <f t="shared" si="2"/>
        <v>&lt;=12</v>
      </c>
      <c r="C61" s="57"/>
      <c r="D61" s="61"/>
      <c r="E61" s="58"/>
      <c r="F61" s="62"/>
      <c r="G61" s="417">
        <f t="shared" si="0"/>
        <v>0</v>
      </c>
      <c r="H61" s="418">
        <f>SUMIFS(月別入力!$I:$I,月別入力!$E:$E,$C61,月別入力!$B:$B,$B61,月別入力!$H:$H,$F61,月別入力!$D:$D,H$7)</f>
        <v>0</v>
      </c>
      <c r="I61" s="418">
        <f>SUMIFS(月別入力!$I:$I,月別入力!$E:$E,$C61,月別入力!$B:$B,$B61,月別入力!$H:$H,$F61,月別入力!$D:$D,I$7)</f>
        <v>0</v>
      </c>
      <c r="J61" s="418">
        <f>SUMIFS(月別入力!$I:$I,月別入力!$E:$E,$C61,月別入力!$B:$B,$B61,月別入力!$H:$H,$F61,月別入力!$D:$D,J$7)</f>
        <v>0</v>
      </c>
      <c r="K61" s="418">
        <f>SUMIFS(月別入力!$I:$I,月別入力!$E:$E,$C61,月別入力!$B:$B,$B61,月別入力!$H:$H,$F61,月別入力!$D:$D,K$7)</f>
        <v>0</v>
      </c>
      <c r="L61" s="418">
        <f>SUMIFS(月別入力!$I:$I,月別入力!$E:$E,$C61,月別入力!$B:$B,$B61,月別入力!$H:$H,$F61,月別入力!$D:$D,L$7)</f>
        <v>0</v>
      </c>
      <c r="M61" s="418">
        <f>SUMIFS(月別入力!$I:$I,月別入力!$E:$E,$C61,月別入力!$B:$B,$B61,月別入力!$H:$H,$F61,月別入力!$D:$D,M$7)</f>
        <v>0</v>
      </c>
      <c r="N61" s="418">
        <f>SUMIFS(月別入力!$I:$I,月別入力!$E:$E,$C61,月別入力!$B:$B,$B61,月別入力!$H:$H,$F61,月別入力!$D:$D,N$7)</f>
        <v>0</v>
      </c>
      <c r="O61" s="418">
        <f>SUMIFS(月別入力!$I:$I,月別入力!$E:$E,$C61,月別入力!$B:$B,$B61,月別入力!$H:$H,$F61,月別入力!$D:$D,O$7)</f>
        <v>0</v>
      </c>
      <c r="P61" s="418">
        <f>SUMIFS(月別入力!$I:$I,月別入力!$E:$E,$C61,月別入力!$B:$B,$B61,月別入力!$H:$H,$F61,月別入力!$D:$D,P$7)</f>
        <v>0</v>
      </c>
      <c r="Q61" s="418">
        <f>SUMIFS(月別入力!$I:$I,月別入力!$E:$E,$C61,月別入力!$B:$B,$B61,月別入力!$H:$H,$F61,月別入力!$D:$D,Q$7)</f>
        <v>0</v>
      </c>
      <c r="R61" s="419">
        <f>SUMIFS(月別入力!$I:$I,月別入力!$E:$E,$C61,月別入力!$B:$B,$B61,月別入力!$H:$H,$F61,月別入力!$D:$D,R$7)</f>
        <v>0</v>
      </c>
    </row>
    <row r="62" spans="1:18" s="5" customFormat="1" ht="15" customHeight="1" x14ac:dyDescent="0.15">
      <c r="A62" s="5">
        <f t="shared" si="2"/>
        <v>0</v>
      </c>
      <c r="B62" s="56" t="str">
        <f t="shared" si="2"/>
        <v>&lt;=12</v>
      </c>
      <c r="C62" s="57"/>
      <c r="D62" s="61" t="s">
        <v>24</v>
      </c>
      <c r="E62" s="58" t="s">
        <v>24</v>
      </c>
      <c r="F62" s="62" t="s">
        <v>24</v>
      </c>
      <c r="G62" s="417">
        <f t="shared" si="0"/>
        <v>0</v>
      </c>
      <c r="H62" s="418">
        <f>SUMIFS(月別入力!$I:$I,月別入力!$E:$E,$C62,月別入力!$B:$B,$B62,月別入力!$H:$H,$F62,月別入力!$D:$D,H$7)</f>
        <v>0</v>
      </c>
      <c r="I62" s="418">
        <f>SUMIFS(月別入力!$I:$I,月別入力!$E:$E,$C62,月別入力!$B:$B,$B62,月別入力!$H:$H,$F62,月別入力!$D:$D,I$7)</f>
        <v>0</v>
      </c>
      <c r="J62" s="418">
        <f>SUMIFS(月別入力!$I:$I,月別入力!$E:$E,$C62,月別入力!$B:$B,$B62,月別入力!$H:$H,$F62,月別入力!$D:$D,J$7)</f>
        <v>0</v>
      </c>
      <c r="K62" s="418">
        <f>SUMIFS(月別入力!$I:$I,月別入力!$E:$E,$C62,月別入力!$B:$B,$B62,月別入力!$H:$H,$F62,月別入力!$D:$D,K$7)</f>
        <v>0</v>
      </c>
      <c r="L62" s="418">
        <f>SUMIFS(月別入力!$I:$I,月別入力!$E:$E,$C62,月別入力!$B:$B,$B62,月別入力!$H:$H,$F62,月別入力!$D:$D,L$7)</f>
        <v>0</v>
      </c>
      <c r="M62" s="418">
        <f>SUMIFS(月別入力!$I:$I,月別入力!$E:$E,$C62,月別入力!$B:$B,$B62,月別入力!$H:$H,$F62,月別入力!$D:$D,M$7)</f>
        <v>0</v>
      </c>
      <c r="N62" s="418">
        <f>SUMIFS(月別入力!$I:$I,月別入力!$E:$E,$C62,月別入力!$B:$B,$B62,月別入力!$H:$H,$F62,月別入力!$D:$D,N$7)</f>
        <v>0</v>
      </c>
      <c r="O62" s="418">
        <f>SUMIFS(月別入力!$I:$I,月別入力!$E:$E,$C62,月別入力!$B:$B,$B62,月別入力!$H:$H,$F62,月別入力!$D:$D,O$7)</f>
        <v>0</v>
      </c>
      <c r="P62" s="418">
        <f>SUMIFS(月別入力!$I:$I,月別入力!$E:$E,$C62,月別入力!$B:$B,$B62,月別入力!$H:$H,$F62,月別入力!$D:$D,P$7)</f>
        <v>0</v>
      </c>
      <c r="Q62" s="418">
        <f>SUMIFS(月別入力!$I:$I,月別入力!$E:$E,$C62,月別入力!$B:$B,$B62,月別入力!$H:$H,$F62,月別入力!$D:$D,Q$7)</f>
        <v>0</v>
      </c>
      <c r="R62" s="419">
        <f>SUMIFS(月別入力!$I:$I,月別入力!$E:$E,$C62,月別入力!$B:$B,$B62,月別入力!$H:$H,$F62,月別入力!$D:$D,R$7)</f>
        <v>0</v>
      </c>
    </row>
    <row r="63" spans="1:18" s="5" customFormat="1" ht="15" customHeight="1" x14ac:dyDescent="0.15">
      <c r="A63" s="5">
        <f t="shared" si="2"/>
        <v>0</v>
      </c>
      <c r="B63" s="56" t="str">
        <f t="shared" si="2"/>
        <v>&lt;=12</v>
      </c>
      <c r="C63" s="57"/>
      <c r="D63" s="61" t="s">
        <v>24</v>
      </c>
      <c r="E63" s="58" t="s">
        <v>24</v>
      </c>
      <c r="F63" s="62" t="s">
        <v>24</v>
      </c>
      <c r="G63" s="417">
        <f t="shared" si="0"/>
        <v>0</v>
      </c>
      <c r="H63" s="418">
        <f>SUMIFS(月別入力!$I:$I,月別入力!$E:$E,$C63,月別入力!$B:$B,$B63,月別入力!$H:$H,$F63,月別入力!$D:$D,H$7)</f>
        <v>0</v>
      </c>
      <c r="I63" s="418">
        <f>SUMIFS(月別入力!$I:$I,月別入力!$E:$E,$C63,月別入力!$B:$B,$B63,月別入力!$H:$H,$F63,月別入力!$D:$D,I$7)</f>
        <v>0</v>
      </c>
      <c r="J63" s="418">
        <f>SUMIFS(月別入力!$I:$I,月別入力!$E:$E,$C63,月別入力!$B:$B,$B63,月別入力!$H:$H,$F63,月別入力!$D:$D,J$7)</f>
        <v>0</v>
      </c>
      <c r="K63" s="418">
        <f>SUMIFS(月別入力!$I:$I,月別入力!$E:$E,$C63,月別入力!$B:$B,$B63,月別入力!$H:$H,$F63,月別入力!$D:$D,K$7)</f>
        <v>0</v>
      </c>
      <c r="L63" s="418">
        <f>SUMIFS(月別入力!$I:$I,月別入力!$E:$E,$C63,月別入力!$B:$B,$B63,月別入力!$H:$H,$F63,月別入力!$D:$D,L$7)</f>
        <v>0</v>
      </c>
      <c r="M63" s="418">
        <f>SUMIFS(月別入力!$I:$I,月別入力!$E:$E,$C63,月別入力!$B:$B,$B63,月別入力!$H:$H,$F63,月別入力!$D:$D,M$7)</f>
        <v>0</v>
      </c>
      <c r="N63" s="418">
        <f>SUMIFS(月別入力!$I:$I,月別入力!$E:$E,$C63,月別入力!$B:$B,$B63,月別入力!$H:$H,$F63,月別入力!$D:$D,N$7)</f>
        <v>0</v>
      </c>
      <c r="O63" s="418">
        <f>SUMIFS(月別入力!$I:$I,月別入力!$E:$E,$C63,月別入力!$B:$B,$B63,月別入力!$H:$H,$F63,月別入力!$D:$D,O$7)</f>
        <v>0</v>
      </c>
      <c r="P63" s="418">
        <f>SUMIFS(月別入力!$I:$I,月別入力!$E:$E,$C63,月別入力!$B:$B,$B63,月別入力!$H:$H,$F63,月別入力!$D:$D,P$7)</f>
        <v>0</v>
      </c>
      <c r="Q63" s="418">
        <f>SUMIFS(月別入力!$I:$I,月別入力!$E:$E,$C63,月別入力!$B:$B,$B63,月別入力!$H:$H,$F63,月別入力!$D:$D,Q$7)</f>
        <v>0</v>
      </c>
      <c r="R63" s="419">
        <f>SUMIFS(月別入力!$I:$I,月別入力!$E:$E,$C63,月別入力!$B:$B,$B63,月別入力!$H:$H,$F63,月別入力!$D:$D,R$7)</f>
        <v>0</v>
      </c>
    </row>
    <row r="64" spans="1:18" s="5" customFormat="1" ht="15" customHeight="1" x14ac:dyDescent="0.15">
      <c r="A64" s="5">
        <f t="shared" si="2"/>
        <v>0</v>
      </c>
      <c r="B64" s="56" t="str">
        <f t="shared" si="2"/>
        <v>&lt;=12</v>
      </c>
      <c r="C64" s="57"/>
      <c r="D64" s="61" t="s">
        <v>24</v>
      </c>
      <c r="E64" s="58" t="s">
        <v>24</v>
      </c>
      <c r="F64" s="62" t="s">
        <v>24</v>
      </c>
      <c r="G64" s="417">
        <f t="shared" si="0"/>
        <v>0</v>
      </c>
      <c r="H64" s="418">
        <f>SUMIFS(月別入力!$I:$I,月別入力!$E:$E,$C64,月別入力!$B:$B,$B64,月別入力!$H:$H,$F64,月別入力!$D:$D,H$7)</f>
        <v>0</v>
      </c>
      <c r="I64" s="418">
        <f>SUMIFS(月別入力!$I:$I,月別入力!$E:$E,$C64,月別入力!$B:$B,$B64,月別入力!$H:$H,$F64,月別入力!$D:$D,I$7)</f>
        <v>0</v>
      </c>
      <c r="J64" s="418">
        <f>SUMIFS(月別入力!$I:$I,月別入力!$E:$E,$C64,月別入力!$B:$B,$B64,月別入力!$H:$H,$F64,月別入力!$D:$D,J$7)</f>
        <v>0</v>
      </c>
      <c r="K64" s="418">
        <f>SUMIFS(月別入力!$I:$I,月別入力!$E:$E,$C64,月別入力!$B:$B,$B64,月別入力!$H:$H,$F64,月別入力!$D:$D,K$7)</f>
        <v>0</v>
      </c>
      <c r="L64" s="418">
        <f>SUMIFS(月別入力!$I:$I,月別入力!$E:$E,$C64,月別入力!$B:$B,$B64,月別入力!$H:$H,$F64,月別入力!$D:$D,L$7)</f>
        <v>0</v>
      </c>
      <c r="M64" s="418">
        <f>SUMIFS(月別入力!$I:$I,月別入力!$E:$E,$C64,月別入力!$B:$B,$B64,月別入力!$H:$H,$F64,月別入力!$D:$D,M$7)</f>
        <v>0</v>
      </c>
      <c r="N64" s="418">
        <f>SUMIFS(月別入力!$I:$I,月別入力!$E:$E,$C64,月別入力!$B:$B,$B64,月別入力!$H:$H,$F64,月別入力!$D:$D,N$7)</f>
        <v>0</v>
      </c>
      <c r="O64" s="418">
        <f>SUMIFS(月別入力!$I:$I,月別入力!$E:$E,$C64,月別入力!$B:$B,$B64,月別入力!$H:$H,$F64,月別入力!$D:$D,O$7)</f>
        <v>0</v>
      </c>
      <c r="P64" s="418">
        <f>SUMIFS(月別入力!$I:$I,月別入力!$E:$E,$C64,月別入力!$B:$B,$B64,月別入力!$H:$H,$F64,月別入力!$D:$D,P$7)</f>
        <v>0</v>
      </c>
      <c r="Q64" s="418">
        <f>SUMIFS(月別入力!$I:$I,月別入力!$E:$E,$C64,月別入力!$B:$B,$B64,月別入力!$H:$H,$F64,月別入力!$D:$D,Q$7)</f>
        <v>0</v>
      </c>
      <c r="R64" s="419">
        <f>SUMIFS(月別入力!$I:$I,月別入力!$E:$E,$C64,月別入力!$B:$B,$B64,月別入力!$H:$H,$F64,月別入力!$D:$D,R$7)</f>
        <v>0</v>
      </c>
    </row>
    <row r="65" spans="1:18" s="5" customFormat="1" ht="15" customHeight="1" x14ac:dyDescent="0.15">
      <c r="A65" s="5">
        <f t="shared" si="2"/>
        <v>0</v>
      </c>
      <c r="B65" s="56" t="str">
        <f t="shared" si="2"/>
        <v>&lt;=12</v>
      </c>
      <c r="C65" s="57"/>
      <c r="D65" s="61" t="s">
        <v>24</v>
      </c>
      <c r="E65" s="58" t="s">
        <v>24</v>
      </c>
      <c r="F65" s="62" t="s">
        <v>24</v>
      </c>
      <c r="G65" s="417">
        <f t="shared" si="0"/>
        <v>0</v>
      </c>
      <c r="H65" s="418">
        <f>SUMIFS(月別入力!$I:$I,月別入力!$E:$E,$C65,月別入力!$B:$B,$B65,月別入力!$H:$H,$F65,月別入力!$D:$D,H$7)</f>
        <v>0</v>
      </c>
      <c r="I65" s="418">
        <f>SUMIFS(月別入力!$I:$I,月別入力!$E:$E,$C65,月別入力!$B:$B,$B65,月別入力!$H:$H,$F65,月別入力!$D:$D,I$7)</f>
        <v>0</v>
      </c>
      <c r="J65" s="418">
        <f>SUMIFS(月別入力!$I:$I,月別入力!$E:$E,$C65,月別入力!$B:$B,$B65,月別入力!$H:$H,$F65,月別入力!$D:$D,J$7)</f>
        <v>0</v>
      </c>
      <c r="K65" s="418">
        <f>SUMIFS(月別入力!$I:$I,月別入力!$E:$E,$C65,月別入力!$B:$B,$B65,月別入力!$H:$H,$F65,月別入力!$D:$D,K$7)</f>
        <v>0</v>
      </c>
      <c r="L65" s="418">
        <f>SUMIFS(月別入力!$I:$I,月別入力!$E:$E,$C65,月別入力!$B:$B,$B65,月別入力!$H:$H,$F65,月別入力!$D:$D,L$7)</f>
        <v>0</v>
      </c>
      <c r="M65" s="418">
        <f>SUMIFS(月別入力!$I:$I,月別入力!$E:$E,$C65,月別入力!$B:$B,$B65,月別入力!$H:$H,$F65,月別入力!$D:$D,M$7)</f>
        <v>0</v>
      </c>
      <c r="N65" s="418">
        <f>SUMIFS(月別入力!$I:$I,月別入力!$E:$E,$C65,月別入力!$B:$B,$B65,月別入力!$H:$H,$F65,月別入力!$D:$D,N$7)</f>
        <v>0</v>
      </c>
      <c r="O65" s="418">
        <f>SUMIFS(月別入力!$I:$I,月別入力!$E:$E,$C65,月別入力!$B:$B,$B65,月別入力!$H:$H,$F65,月別入力!$D:$D,O$7)</f>
        <v>0</v>
      </c>
      <c r="P65" s="418">
        <f>SUMIFS(月別入力!$I:$I,月別入力!$E:$E,$C65,月別入力!$B:$B,$B65,月別入力!$H:$H,$F65,月別入力!$D:$D,P$7)</f>
        <v>0</v>
      </c>
      <c r="Q65" s="418">
        <f>SUMIFS(月別入力!$I:$I,月別入力!$E:$E,$C65,月別入力!$B:$B,$B65,月別入力!$H:$H,$F65,月別入力!$D:$D,Q$7)</f>
        <v>0</v>
      </c>
      <c r="R65" s="419">
        <f>SUMIFS(月別入力!$I:$I,月別入力!$E:$E,$C65,月別入力!$B:$B,$B65,月別入力!$H:$H,$F65,月別入力!$D:$D,R$7)</f>
        <v>0</v>
      </c>
    </row>
    <row r="66" spans="1:18" s="5" customFormat="1" ht="15" customHeight="1" x14ac:dyDescent="0.15">
      <c r="A66" s="5">
        <f t="shared" si="2"/>
        <v>0</v>
      </c>
      <c r="B66" s="56" t="str">
        <f t="shared" si="2"/>
        <v>&lt;=12</v>
      </c>
      <c r="C66" s="57"/>
      <c r="D66" s="61" t="s">
        <v>24</v>
      </c>
      <c r="E66" s="58" t="s">
        <v>24</v>
      </c>
      <c r="F66" s="62" t="s">
        <v>24</v>
      </c>
      <c r="G66" s="417">
        <f t="shared" si="0"/>
        <v>0</v>
      </c>
      <c r="H66" s="418">
        <f>SUMIFS(月別入力!$I:$I,月別入力!$E:$E,$C66,月別入力!$B:$B,$B66,月別入力!$H:$H,$F66,月別入力!$D:$D,H$7)</f>
        <v>0</v>
      </c>
      <c r="I66" s="418">
        <f>SUMIFS(月別入力!$I:$I,月別入力!$E:$E,$C66,月別入力!$B:$B,$B66,月別入力!$H:$H,$F66,月別入力!$D:$D,I$7)</f>
        <v>0</v>
      </c>
      <c r="J66" s="418">
        <f>SUMIFS(月別入力!$I:$I,月別入力!$E:$E,$C66,月別入力!$B:$B,$B66,月別入力!$H:$H,$F66,月別入力!$D:$D,J$7)</f>
        <v>0</v>
      </c>
      <c r="K66" s="418">
        <f>SUMIFS(月別入力!$I:$I,月別入力!$E:$E,$C66,月別入力!$B:$B,$B66,月別入力!$H:$H,$F66,月別入力!$D:$D,K$7)</f>
        <v>0</v>
      </c>
      <c r="L66" s="418">
        <f>SUMIFS(月別入力!$I:$I,月別入力!$E:$E,$C66,月別入力!$B:$B,$B66,月別入力!$H:$H,$F66,月別入力!$D:$D,L$7)</f>
        <v>0</v>
      </c>
      <c r="M66" s="418">
        <f>SUMIFS(月別入力!$I:$I,月別入力!$E:$E,$C66,月別入力!$B:$B,$B66,月別入力!$H:$H,$F66,月別入力!$D:$D,M$7)</f>
        <v>0</v>
      </c>
      <c r="N66" s="418">
        <f>SUMIFS(月別入力!$I:$I,月別入力!$E:$E,$C66,月別入力!$B:$B,$B66,月別入力!$H:$H,$F66,月別入力!$D:$D,N$7)</f>
        <v>0</v>
      </c>
      <c r="O66" s="418">
        <f>SUMIFS(月別入力!$I:$I,月別入力!$E:$E,$C66,月別入力!$B:$B,$B66,月別入力!$H:$H,$F66,月別入力!$D:$D,O$7)</f>
        <v>0</v>
      </c>
      <c r="P66" s="418">
        <f>SUMIFS(月別入力!$I:$I,月別入力!$E:$E,$C66,月別入力!$B:$B,$B66,月別入力!$H:$H,$F66,月別入力!$D:$D,P$7)</f>
        <v>0</v>
      </c>
      <c r="Q66" s="418">
        <f>SUMIFS(月別入力!$I:$I,月別入力!$E:$E,$C66,月別入力!$B:$B,$B66,月別入力!$H:$H,$F66,月別入力!$D:$D,Q$7)</f>
        <v>0</v>
      </c>
      <c r="R66" s="419">
        <f>SUMIFS(月別入力!$I:$I,月別入力!$E:$E,$C66,月別入力!$B:$B,$B66,月別入力!$H:$H,$F66,月別入力!$D:$D,R$7)</f>
        <v>0</v>
      </c>
    </row>
    <row r="67" spans="1:18" s="5" customFormat="1" ht="15" customHeight="1" x14ac:dyDescent="0.15">
      <c r="A67" s="5">
        <f t="shared" si="2"/>
        <v>0</v>
      </c>
      <c r="B67" s="56" t="str">
        <f t="shared" si="2"/>
        <v>&lt;=12</v>
      </c>
      <c r="C67" s="57"/>
      <c r="D67" s="61" t="s">
        <v>24</v>
      </c>
      <c r="E67" s="58" t="s">
        <v>24</v>
      </c>
      <c r="F67" s="62" t="s">
        <v>24</v>
      </c>
      <c r="G67" s="417">
        <f t="shared" si="0"/>
        <v>0</v>
      </c>
      <c r="H67" s="418">
        <f>SUMIFS(月別入力!$I:$I,月別入力!$E:$E,$C67,月別入力!$B:$B,$B67,月別入力!$H:$H,$F67,月別入力!$D:$D,H$7)</f>
        <v>0</v>
      </c>
      <c r="I67" s="418">
        <f>SUMIFS(月別入力!$I:$I,月別入力!$E:$E,$C67,月別入力!$B:$B,$B67,月別入力!$H:$H,$F67,月別入力!$D:$D,I$7)</f>
        <v>0</v>
      </c>
      <c r="J67" s="418">
        <f>SUMIFS(月別入力!$I:$I,月別入力!$E:$E,$C67,月別入力!$B:$B,$B67,月別入力!$H:$H,$F67,月別入力!$D:$D,J$7)</f>
        <v>0</v>
      </c>
      <c r="K67" s="418">
        <f>SUMIFS(月別入力!$I:$I,月別入力!$E:$E,$C67,月別入力!$B:$B,$B67,月別入力!$H:$H,$F67,月別入力!$D:$D,K$7)</f>
        <v>0</v>
      </c>
      <c r="L67" s="418">
        <f>SUMIFS(月別入力!$I:$I,月別入力!$E:$E,$C67,月別入力!$B:$B,$B67,月別入力!$H:$H,$F67,月別入力!$D:$D,L$7)</f>
        <v>0</v>
      </c>
      <c r="M67" s="418">
        <f>SUMIFS(月別入力!$I:$I,月別入力!$E:$E,$C67,月別入力!$B:$B,$B67,月別入力!$H:$H,$F67,月別入力!$D:$D,M$7)</f>
        <v>0</v>
      </c>
      <c r="N67" s="418">
        <f>SUMIFS(月別入力!$I:$I,月別入力!$E:$E,$C67,月別入力!$B:$B,$B67,月別入力!$H:$H,$F67,月別入力!$D:$D,N$7)</f>
        <v>0</v>
      </c>
      <c r="O67" s="418">
        <f>SUMIFS(月別入力!$I:$I,月別入力!$E:$E,$C67,月別入力!$B:$B,$B67,月別入力!$H:$H,$F67,月別入力!$D:$D,O$7)</f>
        <v>0</v>
      </c>
      <c r="P67" s="418">
        <f>SUMIFS(月別入力!$I:$I,月別入力!$E:$E,$C67,月別入力!$B:$B,$B67,月別入力!$H:$H,$F67,月別入力!$D:$D,P$7)</f>
        <v>0</v>
      </c>
      <c r="Q67" s="418">
        <f>SUMIFS(月別入力!$I:$I,月別入力!$E:$E,$C67,月別入力!$B:$B,$B67,月別入力!$H:$H,$F67,月別入力!$D:$D,Q$7)</f>
        <v>0</v>
      </c>
      <c r="R67" s="419">
        <f>SUMIFS(月別入力!$I:$I,月別入力!$E:$E,$C67,月別入力!$B:$B,$B67,月別入力!$H:$H,$F67,月別入力!$D:$D,R$7)</f>
        <v>0</v>
      </c>
    </row>
    <row r="68" spans="1:18" s="5" customFormat="1" ht="15" customHeight="1" x14ac:dyDescent="0.15">
      <c r="A68" s="5">
        <f t="shared" si="2"/>
        <v>0</v>
      </c>
      <c r="B68" s="56" t="str">
        <f t="shared" si="2"/>
        <v>&lt;=12</v>
      </c>
      <c r="C68" s="57"/>
      <c r="D68" s="61" t="s">
        <v>24</v>
      </c>
      <c r="E68" s="58" t="s">
        <v>24</v>
      </c>
      <c r="F68" s="62" t="s">
        <v>24</v>
      </c>
      <c r="G68" s="417">
        <f t="shared" si="0"/>
        <v>0</v>
      </c>
      <c r="H68" s="418">
        <f>SUMIFS(月別入力!$I:$I,月別入力!$E:$E,$C68,月別入力!$B:$B,$B68,月別入力!$H:$H,$F68,月別入力!$D:$D,H$7)</f>
        <v>0</v>
      </c>
      <c r="I68" s="418">
        <f>SUMIFS(月別入力!$I:$I,月別入力!$E:$E,$C68,月別入力!$B:$B,$B68,月別入力!$H:$H,$F68,月別入力!$D:$D,I$7)</f>
        <v>0</v>
      </c>
      <c r="J68" s="418">
        <f>SUMIFS(月別入力!$I:$I,月別入力!$E:$E,$C68,月別入力!$B:$B,$B68,月別入力!$H:$H,$F68,月別入力!$D:$D,J$7)</f>
        <v>0</v>
      </c>
      <c r="K68" s="418">
        <f>SUMIFS(月別入力!$I:$I,月別入力!$E:$E,$C68,月別入力!$B:$B,$B68,月別入力!$H:$H,$F68,月別入力!$D:$D,K$7)</f>
        <v>0</v>
      </c>
      <c r="L68" s="418">
        <f>SUMIFS(月別入力!$I:$I,月別入力!$E:$E,$C68,月別入力!$B:$B,$B68,月別入力!$H:$H,$F68,月別入力!$D:$D,L$7)</f>
        <v>0</v>
      </c>
      <c r="M68" s="418">
        <f>SUMIFS(月別入力!$I:$I,月別入力!$E:$E,$C68,月別入力!$B:$B,$B68,月別入力!$H:$H,$F68,月別入力!$D:$D,M$7)</f>
        <v>0</v>
      </c>
      <c r="N68" s="418">
        <f>SUMIFS(月別入力!$I:$I,月別入力!$E:$E,$C68,月別入力!$B:$B,$B68,月別入力!$H:$H,$F68,月別入力!$D:$D,N$7)</f>
        <v>0</v>
      </c>
      <c r="O68" s="418">
        <f>SUMIFS(月別入力!$I:$I,月別入力!$E:$E,$C68,月別入力!$B:$B,$B68,月別入力!$H:$H,$F68,月別入力!$D:$D,O$7)</f>
        <v>0</v>
      </c>
      <c r="P68" s="418">
        <f>SUMIFS(月別入力!$I:$I,月別入力!$E:$E,$C68,月別入力!$B:$B,$B68,月別入力!$H:$H,$F68,月別入力!$D:$D,P$7)</f>
        <v>0</v>
      </c>
      <c r="Q68" s="418">
        <f>SUMIFS(月別入力!$I:$I,月別入力!$E:$E,$C68,月別入力!$B:$B,$B68,月別入力!$H:$H,$F68,月別入力!$D:$D,Q$7)</f>
        <v>0</v>
      </c>
      <c r="R68" s="419">
        <f>SUMIFS(月別入力!$I:$I,月別入力!$E:$E,$C68,月別入力!$B:$B,$B68,月別入力!$H:$H,$F68,月別入力!$D:$D,R$7)</f>
        <v>0</v>
      </c>
    </row>
    <row r="69" spans="1:18" s="5" customFormat="1" ht="15" customHeight="1" x14ac:dyDescent="0.15">
      <c r="A69" s="5">
        <f t="shared" si="2"/>
        <v>0</v>
      </c>
      <c r="B69" s="56" t="str">
        <f t="shared" si="2"/>
        <v>&lt;=12</v>
      </c>
      <c r="C69" s="57"/>
      <c r="D69" s="61" t="s">
        <v>24</v>
      </c>
      <c r="E69" s="58" t="s">
        <v>24</v>
      </c>
      <c r="F69" s="62" t="s">
        <v>24</v>
      </c>
      <c r="G69" s="417">
        <f t="shared" si="0"/>
        <v>0</v>
      </c>
      <c r="H69" s="418">
        <f>SUMIFS(月別入力!$I:$I,月別入力!$E:$E,$C69,月別入力!$B:$B,$B69,月別入力!$H:$H,$F69,月別入力!$D:$D,H$7)</f>
        <v>0</v>
      </c>
      <c r="I69" s="418">
        <f>SUMIFS(月別入力!$I:$I,月別入力!$E:$E,$C69,月別入力!$B:$B,$B69,月別入力!$H:$H,$F69,月別入力!$D:$D,I$7)</f>
        <v>0</v>
      </c>
      <c r="J69" s="418">
        <f>SUMIFS(月別入力!$I:$I,月別入力!$E:$E,$C69,月別入力!$B:$B,$B69,月別入力!$H:$H,$F69,月別入力!$D:$D,J$7)</f>
        <v>0</v>
      </c>
      <c r="K69" s="418">
        <f>SUMIFS(月別入力!$I:$I,月別入力!$E:$E,$C69,月別入力!$B:$B,$B69,月別入力!$H:$H,$F69,月別入力!$D:$D,K$7)</f>
        <v>0</v>
      </c>
      <c r="L69" s="418">
        <f>SUMIFS(月別入力!$I:$I,月別入力!$E:$E,$C69,月別入力!$B:$B,$B69,月別入力!$H:$H,$F69,月別入力!$D:$D,L$7)</f>
        <v>0</v>
      </c>
      <c r="M69" s="418">
        <f>SUMIFS(月別入力!$I:$I,月別入力!$E:$E,$C69,月別入力!$B:$B,$B69,月別入力!$H:$H,$F69,月別入力!$D:$D,M$7)</f>
        <v>0</v>
      </c>
      <c r="N69" s="418">
        <f>SUMIFS(月別入力!$I:$I,月別入力!$E:$E,$C69,月別入力!$B:$B,$B69,月別入力!$H:$H,$F69,月別入力!$D:$D,N$7)</f>
        <v>0</v>
      </c>
      <c r="O69" s="418">
        <f>SUMIFS(月別入力!$I:$I,月別入力!$E:$E,$C69,月別入力!$B:$B,$B69,月別入力!$H:$H,$F69,月別入力!$D:$D,O$7)</f>
        <v>0</v>
      </c>
      <c r="P69" s="418">
        <f>SUMIFS(月別入力!$I:$I,月別入力!$E:$E,$C69,月別入力!$B:$B,$B69,月別入力!$H:$H,$F69,月別入力!$D:$D,P$7)</f>
        <v>0</v>
      </c>
      <c r="Q69" s="418">
        <f>SUMIFS(月別入力!$I:$I,月別入力!$E:$E,$C69,月別入力!$B:$B,$B69,月別入力!$H:$H,$F69,月別入力!$D:$D,Q$7)</f>
        <v>0</v>
      </c>
      <c r="R69" s="419">
        <f>SUMIFS(月別入力!$I:$I,月別入力!$E:$E,$C69,月別入力!$B:$B,$B69,月別入力!$H:$H,$F69,月別入力!$D:$D,R$7)</f>
        <v>0</v>
      </c>
    </row>
    <row r="70" spans="1:18" s="5" customFormat="1" ht="15" customHeight="1" x14ac:dyDescent="0.15">
      <c r="A70" s="5">
        <f t="shared" si="2"/>
        <v>0</v>
      </c>
      <c r="B70" s="56" t="str">
        <f t="shared" si="2"/>
        <v>&lt;=12</v>
      </c>
      <c r="C70" s="57"/>
      <c r="D70" s="61" t="s">
        <v>24</v>
      </c>
      <c r="E70" s="58" t="s">
        <v>24</v>
      </c>
      <c r="F70" s="62" t="s">
        <v>24</v>
      </c>
      <c r="G70" s="417">
        <f t="shared" si="0"/>
        <v>0</v>
      </c>
      <c r="H70" s="418">
        <f>SUMIFS(月別入力!$I:$I,月別入力!$E:$E,$C70,月別入力!$B:$B,$B70,月別入力!$H:$H,$F70,月別入力!$D:$D,H$7)</f>
        <v>0</v>
      </c>
      <c r="I70" s="418">
        <f>SUMIFS(月別入力!$I:$I,月別入力!$E:$E,$C70,月別入力!$B:$B,$B70,月別入力!$H:$H,$F70,月別入力!$D:$D,I$7)</f>
        <v>0</v>
      </c>
      <c r="J70" s="418">
        <f>SUMIFS(月別入力!$I:$I,月別入力!$E:$E,$C70,月別入力!$B:$B,$B70,月別入力!$H:$H,$F70,月別入力!$D:$D,J$7)</f>
        <v>0</v>
      </c>
      <c r="K70" s="418">
        <f>SUMIFS(月別入力!$I:$I,月別入力!$E:$E,$C70,月別入力!$B:$B,$B70,月別入力!$H:$H,$F70,月別入力!$D:$D,K$7)</f>
        <v>0</v>
      </c>
      <c r="L70" s="418">
        <f>SUMIFS(月別入力!$I:$I,月別入力!$E:$E,$C70,月別入力!$B:$B,$B70,月別入力!$H:$H,$F70,月別入力!$D:$D,L$7)</f>
        <v>0</v>
      </c>
      <c r="M70" s="418">
        <f>SUMIFS(月別入力!$I:$I,月別入力!$E:$E,$C70,月別入力!$B:$B,$B70,月別入力!$H:$H,$F70,月別入力!$D:$D,M$7)</f>
        <v>0</v>
      </c>
      <c r="N70" s="418">
        <f>SUMIFS(月別入力!$I:$I,月別入力!$E:$E,$C70,月別入力!$B:$B,$B70,月別入力!$H:$H,$F70,月別入力!$D:$D,N$7)</f>
        <v>0</v>
      </c>
      <c r="O70" s="418">
        <f>SUMIFS(月別入力!$I:$I,月別入力!$E:$E,$C70,月別入力!$B:$B,$B70,月別入力!$H:$H,$F70,月別入力!$D:$D,O$7)</f>
        <v>0</v>
      </c>
      <c r="P70" s="418">
        <f>SUMIFS(月別入力!$I:$I,月別入力!$E:$E,$C70,月別入力!$B:$B,$B70,月別入力!$H:$H,$F70,月別入力!$D:$D,P$7)</f>
        <v>0</v>
      </c>
      <c r="Q70" s="418">
        <f>SUMIFS(月別入力!$I:$I,月別入力!$E:$E,$C70,月別入力!$B:$B,$B70,月別入力!$H:$H,$F70,月別入力!$D:$D,Q$7)</f>
        <v>0</v>
      </c>
      <c r="R70" s="419">
        <f>SUMIFS(月別入力!$I:$I,月別入力!$E:$E,$C70,月別入力!$B:$B,$B70,月別入力!$H:$H,$F70,月別入力!$D:$D,R$7)</f>
        <v>0</v>
      </c>
    </row>
    <row r="71" spans="1:18" s="5" customFormat="1" ht="15" customHeight="1" x14ac:dyDescent="0.15">
      <c r="A71" s="5">
        <f t="shared" si="2"/>
        <v>0</v>
      </c>
      <c r="B71" s="56" t="str">
        <f t="shared" si="2"/>
        <v>&lt;=12</v>
      </c>
      <c r="C71" s="57"/>
      <c r="D71" s="61" t="s">
        <v>24</v>
      </c>
      <c r="E71" s="58" t="s">
        <v>24</v>
      </c>
      <c r="F71" s="62" t="s">
        <v>24</v>
      </c>
      <c r="G71" s="417">
        <f t="shared" si="0"/>
        <v>0</v>
      </c>
      <c r="H71" s="418">
        <f>SUMIFS(月別入力!$I:$I,月別入力!$E:$E,$C71,月別入力!$B:$B,$B71,月別入力!$H:$H,$F71,月別入力!$D:$D,H$7)</f>
        <v>0</v>
      </c>
      <c r="I71" s="418">
        <f>SUMIFS(月別入力!$I:$I,月別入力!$E:$E,$C71,月別入力!$B:$B,$B71,月別入力!$H:$H,$F71,月別入力!$D:$D,I$7)</f>
        <v>0</v>
      </c>
      <c r="J71" s="418">
        <f>SUMIFS(月別入力!$I:$I,月別入力!$E:$E,$C71,月別入力!$B:$B,$B71,月別入力!$H:$H,$F71,月別入力!$D:$D,J$7)</f>
        <v>0</v>
      </c>
      <c r="K71" s="418">
        <f>SUMIFS(月別入力!$I:$I,月別入力!$E:$E,$C71,月別入力!$B:$B,$B71,月別入力!$H:$H,$F71,月別入力!$D:$D,K$7)</f>
        <v>0</v>
      </c>
      <c r="L71" s="418">
        <f>SUMIFS(月別入力!$I:$I,月別入力!$E:$E,$C71,月別入力!$B:$B,$B71,月別入力!$H:$H,$F71,月別入力!$D:$D,L$7)</f>
        <v>0</v>
      </c>
      <c r="M71" s="418">
        <f>SUMIFS(月別入力!$I:$I,月別入力!$E:$E,$C71,月別入力!$B:$B,$B71,月別入力!$H:$H,$F71,月別入力!$D:$D,M$7)</f>
        <v>0</v>
      </c>
      <c r="N71" s="418">
        <f>SUMIFS(月別入力!$I:$I,月別入力!$E:$E,$C71,月別入力!$B:$B,$B71,月別入力!$H:$H,$F71,月別入力!$D:$D,N$7)</f>
        <v>0</v>
      </c>
      <c r="O71" s="418">
        <f>SUMIFS(月別入力!$I:$I,月別入力!$E:$E,$C71,月別入力!$B:$B,$B71,月別入力!$H:$H,$F71,月別入力!$D:$D,O$7)</f>
        <v>0</v>
      </c>
      <c r="P71" s="418">
        <f>SUMIFS(月別入力!$I:$I,月別入力!$E:$E,$C71,月別入力!$B:$B,$B71,月別入力!$H:$H,$F71,月別入力!$D:$D,P$7)</f>
        <v>0</v>
      </c>
      <c r="Q71" s="418">
        <f>SUMIFS(月別入力!$I:$I,月別入力!$E:$E,$C71,月別入力!$B:$B,$B71,月別入力!$H:$H,$F71,月別入力!$D:$D,Q$7)</f>
        <v>0</v>
      </c>
      <c r="R71" s="419">
        <f>SUMIFS(月別入力!$I:$I,月別入力!$E:$E,$C71,月別入力!$B:$B,$B71,月別入力!$H:$H,$F71,月別入力!$D:$D,R$7)</f>
        <v>0</v>
      </c>
    </row>
    <row r="72" spans="1:18" s="5" customFormat="1" ht="15" customHeight="1" x14ac:dyDescent="0.15">
      <c r="A72" s="5">
        <f t="shared" si="2"/>
        <v>0</v>
      </c>
      <c r="B72" s="56" t="str">
        <f t="shared" si="2"/>
        <v>&lt;=12</v>
      </c>
      <c r="C72" s="57"/>
      <c r="D72" s="61" t="s">
        <v>24</v>
      </c>
      <c r="E72" s="58" t="s">
        <v>24</v>
      </c>
      <c r="F72" s="62" t="s">
        <v>24</v>
      </c>
      <c r="G72" s="417">
        <f t="shared" si="0"/>
        <v>0</v>
      </c>
      <c r="H72" s="418">
        <f>SUMIFS(月別入力!$I:$I,月別入力!$E:$E,$C72,月別入力!$B:$B,$B72,月別入力!$H:$H,$F72,月別入力!$D:$D,H$7)</f>
        <v>0</v>
      </c>
      <c r="I72" s="418">
        <f>SUMIFS(月別入力!$I:$I,月別入力!$E:$E,$C72,月別入力!$B:$B,$B72,月別入力!$H:$H,$F72,月別入力!$D:$D,I$7)</f>
        <v>0</v>
      </c>
      <c r="J72" s="418">
        <f>SUMIFS(月別入力!$I:$I,月別入力!$E:$E,$C72,月別入力!$B:$B,$B72,月別入力!$H:$H,$F72,月別入力!$D:$D,J$7)</f>
        <v>0</v>
      </c>
      <c r="K72" s="418">
        <f>SUMIFS(月別入力!$I:$I,月別入力!$E:$E,$C72,月別入力!$B:$B,$B72,月別入力!$H:$H,$F72,月別入力!$D:$D,K$7)</f>
        <v>0</v>
      </c>
      <c r="L72" s="418">
        <f>SUMIFS(月別入力!$I:$I,月別入力!$E:$E,$C72,月別入力!$B:$B,$B72,月別入力!$H:$H,$F72,月別入力!$D:$D,L$7)</f>
        <v>0</v>
      </c>
      <c r="M72" s="418">
        <f>SUMIFS(月別入力!$I:$I,月別入力!$E:$E,$C72,月別入力!$B:$B,$B72,月別入力!$H:$H,$F72,月別入力!$D:$D,M$7)</f>
        <v>0</v>
      </c>
      <c r="N72" s="418">
        <f>SUMIFS(月別入力!$I:$I,月別入力!$E:$E,$C72,月別入力!$B:$B,$B72,月別入力!$H:$H,$F72,月別入力!$D:$D,N$7)</f>
        <v>0</v>
      </c>
      <c r="O72" s="418">
        <f>SUMIFS(月別入力!$I:$I,月別入力!$E:$E,$C72,月別入力!$B:$B,$B72,月別入力!$H:$H,$F72,月別入力!$D:$D,O$7)</f>
        <v>0</v>
      </c>
      <c r="P72" s="418">
        <f>SUMIFS(月別入力!$I:$I,月別入力!$E:$E,$C72,月別入力!$B:$B,$B72,月別入力!$H:$H,$F72,月別入力!$D:$D,P$7)</f>
        <v>0</v>
      </c>
      <c r="Q72" s="418">
        <f>SUMIFS(月別入力!$I:$I,月別入力!$E:$E,$C72,月別入力!$B:$B,$B72,月別入力!$H:$H,$F72,月別入力!$D:$D,Q$7)</f>
        <v>0</v>
      </c>
      <c r="R72" s="419">
        <f>SUMIFS(月別入力!$I:$I,月別入力!$E:$E,$C72,月別入力!$B:$B,$B72,月別入力!$H:$H,$F72,月別入力!$D:$D,R$7)</f>
        <v>0</v>
      </c>
    </row>
    <row r="73" spans="1:18" s="5" customFormat="1" ht="15" customHeight="1" x14ac:dyDescent="0.15">
      <c r="A73" s="5">
        <f t="shared" si="2"/>
        <v>0</v>
      </c>
      <c r="B73" s="56" t="str">
        <f t="shared" si="2"/>
        <v>&lt;=12</v>
      </c>
      <c r="C73" s="57"/>
      <c r="D73" s="61" t="s">
        <v>24</v>
      </c>
      <c r="E73" s="58" t="s">
        <v>24</v>
      </c>
      <c r="F73" s="62" t="s">
        <v>24</v>
      </c>
      <c r="G73" s="417">
        <f t="shared" si="0"/>
        <v>0</v>
      </c>
      <c r="H73" s="418">
        <f>SUMIFS(月別入力!$I:$I,月別入力!$E:$E,$C73,月別入力!$B:$B,$B73,月別入力!$H:$H,$F73,月別入力!$D:$D,H$7)</f>
        <v>0</v>
      </c>
      <c r="I73" s="418">
        <f>SUMIFS(月別入力!$I:$I,月別入力!$E:$E,$C73,月別入力!$B:$B,$B73,月別入力!$H:$H,$F73,月別入力!$D:$D,I$7)</f>
        <v>0</v>
      </c>
      <c r="J73" s="418">
        <f>SUMIFS(月別入力!$I:$I,月別入力!$E:$E,$C73,月別入力!$B:$B,$B73,月別入力!$H:$H,$F73,月別入力!$D:$D,J$7)</f>
        <v>0</v>
      </c>
      <c r="K73" s="418">
        <f>SUMIFS(月別入力!$I:$I,月別入力!$E:$E,$C73,月別入力!$B:$B,$B73,月別入力!$H:$H,$F73,月別入力!$D:$D,K$7)</f>
        <v>0</v>
      </c>
      <c r="L73" s="418">
        <f>SUMIFS(月別入力!$I:$I,月別入力!$E:$E,$C73,月別入力!$B:$B,$B73,月別入力!$H:$H,$F73,月別入力!$D:$D,L$7)</f>
        <v>0</v>
      </c>
      <c r="M73" s="418">
        <f>SUMIFS(月別入力!$I:$I,月別入力!$E:$E,$C73,月別入力!$B:$B,$B73,月別入力!$H:$H,$F73,月別入力!$D:$D,M$7)</f>
        <v>0</v>
      </c>
      <c r="N73" s="418">
        <f>SUMIFS(月別入力!$I:$I,月別入力!$E:$E,$C73,月別入力!$B:$B,$B73,月別入力!$H:$H,$F73,月別入力!$D:$D,N$7)</f>
        <v>0</v>
      </c>
      <c r="O73" s="418">
        <f>SUMIFS(月別入力!$I:$I,月別入力!$E:$E,$C73,月別入力!$B:$B,$B73,月別入力!$H:$H,$F73,月別入力!$D:$D,O$7)</f>
        <v>0</v>
      </c>
      <c r="P73" s="418">
        <f>SUMIFS(月別入力!$I:$I,月別入力!$E:$E,$C73,月別入力!$B:$B,$B73,月別入力!$H:$H,$F73,月別入力!$D:$D,P$7)</f>
        <v>0</v>
      </c>
      <c r="Q73" s="418">
        <f>SUMIFS(月別入力!$I:$I,月別入力!$E:$E,$C73,月別入力!$B:$B,$B73,月別入力!$H:$H,$F73,月別入力!$D:$D,Q$7)</f>
        <v>0</v>
      </c>
      <c r="R73" s="419">
        <f>SUMIFS(月別入力!$I:$I,月別入力!$E:$E,$C73,月別入力!$B:$B,$B73,月別入力!$H:$H,$F73,月別入力!$D:$D,R$7)</f>
        <v>0</v>
      </c>
    </row>
    <row r="74" spans="1:18" s="5" customFormat="1" ht="15" customHeight="1" x14ac:dyDescent="0.15">
      <c r="A74" s="5">
        <f t="shared" si="2"/>
        <v>0</v>
      </c>
      <c r="B74" s="56" t="str">
        <f t="shared" si="2"/>
        <v>&lt;=12</v>
      </c>
      <c r="C74" s="57"/>
      <c r="D74" s="61" t="s">
        <v>24</v>
      </c>
      <c r="E74" s="58" t="s">
        <v>24</v>
      </c>
      <c r="F74" s="62" t="s">
        <v>24</v>
      </c>
      <c r="G74" s="417">
        <f t="shared" ref="G74:G108" si="3">SUM(H74:R74)</f>
        <v>0</v>
      </c>
      <c r="H74" s="418">
        <f>SUMIFS(月別入力!$I:$I,月別入力!$E:$E,$C74,月別入力!$B:$B,$B74,月別入力!$H:$H,$F74,月別入力!$D:$D,H$7)</f>
        <v>0</v>
      </c>
      <c r="I74" s="418">
        <f>SUMIFS(月別入力!$I:$I,月別入力!$E:$E,$C74,月別入力!$B:$B,$B74,月別入力!$H:$H,$F74,月別入力!$D:$D,I$7)</f>
        <v>0</v>
      </c>
      <c r="J74" s="418">
        <f>SUMIFS(月別入力!$I:$I,月別入力!$E:$E,$C74,月別入力!$B:$B,$B74,月別入力!$H:$H,$F74,月別入力!$D:$D,J$7)</f>
        <v>0</v>
      </c>
      <c r="K74" s="418">
        <f>SUMIFS(月別入力!$I:$I,月別入力!$E:$E,$C74,月別入力!$B:$B,$B74,月別入力!$H:$H,$F74,月別入力!$D:$D,K$7)</f>
        <v>0</v>
      </c>
      <c r="L74" s="418">
        <f>SUMIFS(月別入力!$I:$I,月別入力!$E:$E,$C74,月別入力!$B:$B,$B74,月別入力!$H:$H,$F74,月別入力!$D:$D,L$7)</f>
        <v>0</v>
      </c>
      <c r="M74" s="418">
        <f>SUMIFS(月別入力!$I:$I,月別入力!$E:$E,$C74,月別入力!$B:$B,$B74,月別入力!$H:$H,$F74,月別入力!$D:$D,M$7)</f>
        <v>0</v>
      </c>
      <c r="N74" s="418">
        <f>SUMIFS(月別入力!$I:$I,月別入力!$E:$E,$C74,月別入力!$B:$B,$B74,月別入力!$H:$H,$F74,月別入力!$D:$D,N$7)</f>
        <v>0</v>
      </c>
      <c r="O74" s="418">
        <f>SUMIFS(月別入力!$I:$I,月別入力!$E:$E,$C74,月別入力!$B:$B,$B74,月別入力!$H:$H,$F74,月別入力!$D:$D,O$7)</f>
        <v>0</v>
      </c>
      <c r="P74" s="418">
        <f>SUMIFS(月別入力!$I:$I,月別入力!$E:$E,$C74,月別入力!$B:$B,$B74,月別入力!$H:$H,$F74,月別入力!$D:$D,P$7)</f>
        <v>0</v>
      </c>
      <c r="Q74" s="418">
        <f>SUMIFS(月別入力!$I:$I,月別入力!$E:$E,$C74,月別入力!$B:$B,$B74,月別入力!$H:$H,$F74,月別入力!$D:$D,Q$7)</f>
        <v>0</v>
      </c>
      <c r="R74" s="419">
        <f>SUMIFS(月別入力!$I:$I,月別入力!$E:$E,$C74,月別入力!$B:$B,$B74,月別入力!$H:$H,$F74,月別入力!$D:$D,R$7)</f>
        <v>0</v>
      </c>
    </row>
    <row r="75" spans="1:18" s="5" customFormat="1" ht="15" customHeight="1" x14ac:dyDescent="0.15">
      <c r="A75" s="5">
        <f t="shared" si="2"/>
        <v>0</v>
      </c>
      <c r="B75" s="56" t="str">
        <f t="shared" si="2"/>
        <v>&lt;=12</v>
      </c>
      <c r="C75" s="57"/>
      <c r="D75" s="61" t="s">
        <v>24</v>
      </c>
      <c r="E75" s="58" t="s">
        <v>24</v>
      </c>
      <c r="F75" s="62" t="s">
        <v>24</v>
      </c>
      <c r="G75" s="417">
        <f t="shared" si="3"/>
        <v>0</v>
      </c>
      <c r="H75" s="418">
        <f>SUMIFS(月別入力!$I:$I,月別入力!$E:$E,$C75,月別入力!$B:$B,$B75,月別入力!$H:$H,$F75,月別入力!$D:$D,H$7)</f>
        <v>0</v>
      </c>
      <c r="I75" s="418">
        <f>SUMIFS(月別入力!$I:$I,月別入力!$E:$E,$C75,月別入力!$B:$B,$B75,月別入力!$H:$H,$F75,月別入力!$D:$D,I$7)</f>
        <v>0</v>
      </c>
      <c r="J75" s="418">
        <f>SUMIFS(月別入力!$I:$I,月別入力!$E:$E,$C75,月別入力!$B:$B,$B75,月別入力!$H:$H,$F75,月別入力!$D:$D,J$7)</f>
        <v>0</v>
      </c>
      <c r="K75" s="418">
        <f>SUMIFS(月別入力!$I:$I,月別入力!$E:$E,$C75,月別入力!$B:$B,$B75,月別入力!$H:$H,$F75,月別入力!$D:$D,K$7)</f>
        <v>0</v>
      </c>
      <c r="L75" s="418">
        <f>SUMIFS(月別入力!$I:$I,月別入力!$E:$E,$C75,月別入力!$B:$B,$B75,月別入力!$H:$H,$F75,月別入力!$D:$D,L$7)</f>
        <v>0</v>
      </c>
      <c r="M75" s="418">
        <f>SUMIFS(月別入力!$I:$I,月別入力!$E:$E,$C75,月別入力!$B:$B,$B75,月別入力!$H:$H,$F75,月別入力!$D:$D,M$7)</f>
        <v>0</v>
      </c>
      <c r="N75" s="418">
        <f>SUMIFS(月別入力!$I:$I,月別入力!$E:$E,$C75,月別入力!$B:$B,$B75,月別入力!$H:$H,$F75,月別入力!$D:$D,N$7)</f>
        <v>0</v>
      </c>
      <c r="O75" s="418">
        <f>SUMIFS(月別入力!$I:$I,月別入力!$E:$E,$C75,月別入力!$B:$B,$B75,月別入力!$H:$H,$F75,月別入力!$D:$D,O$7)</f>
        <v>0</v>
      </c>
      <c r="P75" s="418">
        <f>SUMIFS(月別入力!$I:$I,月別入力!$E:$E,$C75,月別入力!$B:$B,$B75,月別入力!$H:$H,$F75,月別入力!$D:$D,P$7)</f>
        <v>0</v>
      </c>
      <c r="Q75" s="418">
        <f>SUMIFS(月別入力!$I:$I,月別入力!$E:$E,$C75,月別入力!$B:$B,$B75,月別入力!$H:$H,$F75,月別入力!$D:$D,Q$7)</f>
        <v>0</v>
      </c>
      <c r="R75" s="419">
        <f>SUMIFS(月別入力!$I:$I,月別入力!$E:$E,$C75,月別入力!$B:$B,$B75,月別入力!$H:$H,$F75,月別入力!$D:$D,R$7)</f>
        <v>0</v>
      </c>
    </row>
    <row r="76" spans="1:18" s="5" customFormat="1" ht="15" customHeight="1" x14ac:dyDescent="0.15">
      <c r="A76" s="5">
        <f t="shared" si="2"/>
        <v>0</v>
      </c>
      <c r="B76" s="56" t="str">
        <f t="shared" si="2"/>
        <v>&lt;=12</v>
      </c>
      <c r="C76" s="57"/>
      <c r="D76" s="61" t="s">
        <v>24</v>
      </c>
      <c r="E76" s="58" t="s">
        <v>24</v>
      </c>
      <c r="F76" s="62" t="s">
        <v>24</v>
      </c>
      <c r="G76" s="417">
        <f t="shared" si="3"/>
        <v>0</v>
      </c>
      <c r="H76" s="418">
        <f>SUMIFS(月別入力!$I:$I,月別入力!$E:$E,$C76,月別入力!$B:$B,$B76,月別入力!$H:$H,$F76,月別入力!$D:$D,H$7)</f>
        <v>0</v>
      </c>
      <c r="I76" s="418">
        <f>SUMIFS(月別入力!$I:$I,月別入力!$E:$E,$C76,月別入力!$B:$B,$B76,月別入力!$H:$H,$F76,月別入力!$D:$D,I$7)</f>
        <v>0</v>
      </c>
      <c r="J76" s="418">
        <f>SUMIFS(月別入力!$I:$I,月別入力!$E:$E,$C76,月別入力!$B:$B,$B76,月別入力!$H:$H,$F76,月別入力!$D:$D,J$7)</f>
        <v>0</v>
      </c>
      <c r="K76" s="418">
        <f>SUMIFS(月別入力!$I:$I,月別入力!$E:$E,$C76,月別入力!$B:$B,$B76,月別入力!$H:$H,$F76,月別入力!$D:$D,K$7)</f>
        <v>0</v>
      </c>
      <c r="L76" s="418">
        <f>SUMIFS(月別入力!$I:$I,月別入力!$E:$E,$C76,月別入力!$B:$B,$B76,月別入力!$H:$H,$F76,月別入力!$D:$D,L$7)</f>
        <v>0</v>
      </c>
      <c r="M76" s="418">
        <f>SUMIFS(月別入力!$I:$I,月別入力!$E:$E,$C76,月別入力!$B:$B,$B76,月別入力!$H:$H,$F76,月別入力!$D:$D,M$7)</f>
        <v>0</v>
      </c>
      <c r="N76" s="418">
        <f>SUMIFS(月別入力!$I:$I,月別入力!$E:$E,$C76,月別入力!$B:$B,$B76,月別入力!$H:$H,$F76,月別入力!$D:$D,N$7)</f>
        <v>0</v>
      </c>
      <c r="O76" s="418">
        <f>SUMIFS(月別入力!$I:$I,月別入力!$E:$E,$C76,月別入力!$B:$B,$B76,月別入力!$H:$H,$F76,月別入力!$D:$D,O$7)</f>
        <v>0</v>
      </c>
      <c r="P76" s="418">
        <f>SUMIFS(月別入力!$I:$I,月別入力!$E:$E,$C76,月別入力!$B:$B,$B76,月別入力!$H:$H,$F76,月別入力!$D:$D,P$7)</f>
        <v>0</v>
      </c>
      <c r="Q76" s="418">
        <f>SUMIFS(月別入力!$I:$I,月別入力!$E:$E,$C76,月別入力!$B:$B,$B76,月別入力!$H:$H,$F76,月別入力!$D:$D,Q$7)</f>
        <v>0</v>
      </c>
      <c r="R76" s="419">
        <f>SUMIFS(月別入力!$I:$I,月別入力!$E:$E,$C76,月別入力!$B:$B,$B76,月別入力!$H:$H,$F76,月別入力!$D:$D,R$7)</f>
        <v>0</v>
      </c>
    </row>
    <row r="77" spans="1:18" s="5" customFormat="1" ht="15" customHeight="1" x14ac:dyDescent="0.15">
      <c r="A77" s="5">
        <f t="shared" si="2"/>
        <v>0</v>
      </c>
      <c r="B77" s="56" t="str">
        <f t="shared" si="2"/>
        <v>&lt;=12</v>
      </c>
      <c r="C77" s="57"/>
      <c r="D77" s="61" t="s">
        <v>24</v>
      </c>
      <c r="E77" s="58" t="s">
        <v>24</v>
      </c>
      <c r="F77" s="62" t="s">
        <v>24</v>
      </c>
      <c r="G77" s="417">
        <f t="shared" si="3"/>
        <v>0</v>
      </c>
      <c r="H77" s="418">
        <f>SUMIFS(月別入力!$I:$I,月別入力!$E:$E,$C77,月別入力!$B:$B,$B77,月別入力!$H:$H,$F77,月別入力!$D:$D,H$7)</f>
        <v>0</v>
      </c>
      <c r="I77" s="418">
        <f>SUMIFS(月別入力!$I:$I,月別入力!$E:$E,$C77,月別入力!$B:$B,$B77,月別入力!$H:$H,$F77,月別入力!$D:$D,I$7)</f>
        <v>0</v>
      </c>
      <c r="J77" s="418">
        <f>SUMIFS(月別入力!$I:$I,月別入力!$E:$E,$C77,月別入力!$B:$B,$B77,月別入力!$H:$H,$F77,月別入力!$D:$D,J$7)</f>
        <v>0</v>
      </c>
      <c r="K77" s="418">
        <f>SUMIFS(月別入力!$I:$I,月別入力!$E:$E,$C77,月別入力!$B:$B,$B77,月別入力!$H:$H,$F77,月別入力!$D:$D,K$7)</f>
        <v>0</v>
      </c>
      <c r="L77" s="418">
        <f>SUMIFS(月別入力!$I:$I,月別入力!$E:$E,$C77,月別入力!$B:$B,$B77,月別入力!$H:$H,$F77,月別入力!$D:$D,L$7)</f>
        <v>0</v>
      </c>
      <c r="M77" s="418">
        <f>SUMIFS(月別入力!$I:$I,月別入力!$E:$E,$C77,月別入力!$B:$B,$B77,月別入力!$H:$H,$F77,月別入力!$D:$D,M$7)</f>
        <v>0</v>
      </c>
      <c r="N77" s="418">
        <f>SUMIFS(月別入力!$I:$I,月別入力!$E:$E,$C77,月別入力!$B:$B,$B77,月別入力!$H:$H,$F77,月別入力!$D:$D,N$7)</f>
        <v>0</v>
      </c>
      <c r="O77" s="418">
        <f>SUMIFS(月別入力!$I:$I,月別入力!$E:$E,$C77,月別入力!$B:$B,$B77,月別入力!$H:$H,$F77,月別入力!$D:$D,O$7)</f>
        <v>0</v>
      </c>
      <c r="P77" s="418">
        <f>SUMIFS(月別入力!$I:$I,月別入力!$E:$E,$C77,月別入力!$B:$B,$B77,月別入力!$H:$H,$F77,月別入力!$D:$D,P$7)</f>
        <v>0</v>
      </c>
      <c r="Q77" s="418">
        <f>SUMIFS(月別入力!$I:$I,月別入力!$E:$E,$C77,月別入力!$B:$B,$B77,月別入力!$H:$H,$F77,月別入力!$D:$D,Q$7)</f>
        <v>0</v>
      </c>
      <c r="R77" s="419">
        <f>SUMIFS(月別入力!$I:$I,月別入力!$E:$E,$C77,月別入力!$B:$B,$B77,月別入力!$H:$H,$F77,月別入力!$D:$D,R$7)</f>
        <v>0</v>
      </c>
    </row>
    <row r="78" spans="1:18" s="5" customFormat="1" ht="15" customHeight="1" x14ac:dyDescent="0.15">
      <c r="A78" s="5">
        <f t="shared" si="2"/>
        <v>0</v>
      </c>
      <c r="B78" s="56" t="str">
        <f t="shared" si="2"/>
        <v>&lt;=12</v>
      </c>
      <c r="C78" s="57"/>
      <c r="D78" s="61" t="s">
        <v>24</v>
      </c>
      <c r="E78" s="58" t="s">
        <v>24</v>
      </c>
      <c r="F78" s="62" t="s">
        <v>24</v>
      </c>
      <c r="G78" s="417">
        <f t="shared" si="3"/>
        <v>0</v>
      </c>
      <c r="H78" s="418">
        <f>SUMIFS(月別入力!$I:$I,月別入力!$E:$E,$C78,月別入力!$B:$B,$B78,月別入力!$H:$H,$F78,月別入力!$D:$D,H$7)</f>
        <v>0</v>
      </c>
      <c r="I78" s="418">
        <f>SUMIFS(月別入力!$I:$I,月別入力!$E:$E,$C78,月別入力!$B:$B,$B78,月別入力!$H:$H,$F78,月別入力!$D:$D,I$7)</f>
        <v>0</v>
      </c>
      <c r="J78" s="418">
        <f>SUMIFS(月別入力!$I:$I,月別入力!$E:$E,$C78,月別入力!$B:$B,$B78,月別入力!$H:$H,$F78,月別入力!$D:$D,J$7)</f>
        <v>0</v>
      </c>
      <c r="K78" s="418">
        <f>SUMIFS(月別入力!$I:$I,月別入力!$E:$E,$C78,月別入力!$B:$B,$B78,月別入力!$H:$H,$F78,月別入力!$D:$D,K$7)</f>
        <v>0</v>
      </c>
      <c r="L78" s="418">
        <f>SUMIFS(月別入力!$I:$I,月別入力!$E:$E,$C78,月別入力!$B:$B,$B78,月別入力!$H:$H,$F78,月別入力!$D:$D,L$7)</f>
        <v>0</v>
      </c>
      <c r="M78" s="418">
        <f>SUMIFS(月別入力!$I:$I,月別入力!$E:$E,$C78,月別入力!$B:$B,$B78,月別入力!$H:$H,$F78,月別入力!$D:$D,M$7)</f>
        <v>0</v>
      </c>
      <c r="N78" s="418">
        <f>SUMIFS(月別入力!$I:$I,月別入力!$E:$E,$C78,月別入力!$B:$B,$B78,月別入力!$H:$H,$F78,月別入力!$D:$D,N$7)</f>
        <v>0</v>
      </c>
      <c r="O78" s="418">
        <f>SUMIFS(月別入力!$I:$I,月別入力!$E:$E,$C78,月別入力!$B:$B,$B78,月別入力!$H:$H,$F78,月別入力!$D:$D,O$7)</f>
        <v>0</v>
      </c>
      <c r="P78" s="418">
        <f>SUMIFS(月別入力!$I:$I,月別入力!$E:$E,$C78,月別入力!$B:$B,$B78,月別入力!$H:$H,$F78,月別入力!$D:$D,P$7)</f>
        <v>0</v>
      </c>
      <c r="Q78" s="418">
        <f>SUMIFS(月別入力!$I:$I,月別入力!$E:$E,$C78,月別入力!$B:$B,$B78,月別入力!$H:$H,$F78,月別入力!$D:$D,Q$7)</f>
        <v>0</v>
      </c>
      <c r="R78" s="419">
        <f>SUMIFS(月別入力!$I:$I,月別入力!$E:$E,$C78,月別入力!$B:$B,$B78,月別入力!$H:$H,$F78,月別入力!$D:$D,R$7)</f>
        <v>0</v>
      </c>
    </row>
    <row r="79" spans="1:18" s="5" customFormat="1" ht="15" customHeight="1" x14ac:dyDescent="0.15">
      <c r="A79" s="5">
        <f t="shared" si="2"/>
        <v>0</v>
      </c>
      <c r="B79" s="56" t="str">
        <f t="shared" si="2"/>
        <v>&lt;=12</v>
      </c>
      <c r="C79" s="57"/>
      <c r="D79" s="61" t="s">
        <v>24</v>
      </c>
      <c r="E79" s="58" t="s">
        <v>24</v>
      </c>
      <c r="F79" s="62" t="s">
        <v>24</v>
      </c>
      <c r="G79" s="417">
        <f t="shared" si="3"/>
        <v>0</v>
      </c>
      <c r="H79" s="418">
        <f>SUMIFS(月別入力!$I:$I,月別入力!$E:$E,$C79,月別入力!$B:$B,$B79,月別入力!$H:$H,$F79,月別入力!$D:$D,H$7)</f>
        <v>0</v>
      </c>
      <c r="I79" s="418">
        <f>SUMIFS(月別入力!$I:$I,月別入力!$E:$E,$C79,月別入力!$B:$B,$B79,月別入力!$H:$H,$F79,月別入力!$D:$D,I$7)</f>
        <v>0</v>
      </c>
      <c r="J79" s="418">
        <f>SUMIFS(月別入力!$I:$I,月別入力!$E:$E,$C79,月別入力!$B:$B,$B79,月別入力!$H:$H,$F79,月別入力!$D:$D,J$7)</f>
        <v>0</v>
      </c>
      <c r="K79" s="418">
        <f>SUMIFS(月別入力!$I:$I,月別入力!$E:$E,$C79,月別入力!$B:$B,$B79,月別入力!$H:$H,$F79,月別入力!$D:$D,K$7)</f>
        <v>0</v>
      </c>
      <c r="L79" s="418">
        <f>SUMIFS(月別入力!$I:$I,月別入力!$E:$E,$C79,月別入力!$B:$B,$B79,月別入力!$H:$H,$F79,月別入力!$D:$D,L$7)</f>
        <v>0</v>
      </c>
      <c r="M79" s="418">
        <f>SUMIFS(月別入力!$I:$I,月別入力!$E:$E,$C79,月別入力!$B:$B,$B79,月別入力!$H:$H,$F79,月別入力!$D:$D,M$7)</f>
        <v>0</v>
      </c>
      <c r="N79" s="418">
        <f>SUMIFS(月別入力!$I:$I,月別入力!$E:$E,$C79,月別入力!$B:$B,$B79,月別入力!$H:$H,$F79,月別入力!$D:$D,N$7)</f>
        <v>0</v>
      </c>
      <c r="O79" s="418">
        <f>SUMIFS(月別入力!$I:$I,月別入力!$E:$E,$C79,月別入力!$B:$B,$B79,月別入力!$H:$H,$F79,月別入力!$D:$D,O$7)</f>
        <v>0</v>
      </c>
      <c r="P79" s="418">
        <f>SUMIFS(月別入力!$I:$I,月別入力!$E:$E,$C79,月別入力!$B:$B,$B79,月別入力!$H:$H,$F79,月別入力!$D:$D,P$7)</f>
        <v>0</v>
      </c>
      <c r="Q79" s="418">
        <f>SUMIFS(月別入力!$I:$I,月別入力!$E:$E,$C79,月別入力!$B:$B,$B79,月別入力!$H:$H,$F79,月別入力!$D:$D,Q$7)</f>
        <v>0</v>
      </c>
      <c r="R79" s="419">
        <f>SUMIFS(月別入力!$I:$I,月別入力!$E:$E,$C79,月別入力!$B:$B,$B79,月別入力!$H:$H,$F79,月別入力!$D:$D,R$7)</f>
        <v>0</v>
      </c>
    </row>
    <row r="80" spans="1:18" s="5" customFormat="1" ht="15" customHeight="1" x14ac:dyDescent="0.15">
      <c r="A80" s="5">
        <f t="shared" si="2"/>
        <v>0</v>
      </c>
      <c r="B80" s="56" t="str">
        <f t="shared" si="2"/>
        <v>&lt;=12</v>
      </c>
      <c r="C80" s="57"/>
      <c r="D80" s="61" t="s">
        <v>24</v>
      </c>
      <c r="E80" s="58" t="s">
        <v>24</v>
      </c>
      <c r="F80" s="62" t="s">
        <v>24</v>
      </c>
      <c r="G80" s="417">
        <f t="shared" si="3"/>
        <v>0</v>
      </c>
      <c r="H80" s="418">
        <f>SUMIFS(月別入力!$I:$I,月別入力!$E:$E,$C80,月別入力!$B:$B,$B80,月別入力!$H:$H,$F80,月別入力!$D:$D,H$7)</f>
        <v>0</v>
      </c>
      <c r="I80" s="418">
        <f>SUMIFS(月別入力!$I:$I,月別入力!$E:$E,$C80,月別入力!$B:$B,$B80,月別入力!$H:$H,$F80,月別入力!$D:$D,I$7)</f>
        <v>0</v>
      </c>
      <c r="J80" s="418">
        <f>SUMIFS(月別入力!$I:$I,月別入力!$E:$E,$C80,月別入力!$B:$B,$B80,月別入力!$H:$H,$F80,月別入力!$D:$D,J$7)</f>
        <v>0</v>
      </c>
      <c r="K80" s="418">
        <f>SUMIFS(月別入力!$I:$I,月別入力!$E:$E,$C80,月別入力!$B:$B,$B80,月別入力!$H:$H,$F80,月別入力!$D:$D,K$7)</f>
        <v>0</v>
      </c>
      <c r="L80" s="418">
        <f>SUMIFS(月別入力!$I:$I,月別入力!$E:$E,$C80,月別入力!$B:$B,$B80,月別入力!$H:$H,$F80,月別入力!$D:$D,L$7)</f>
        <v>0</v>
      </c>
      <c r="M80" s="418">
        <f>SUMIFS(月別入力!$I:$I,月別入力!$E:$E,$C80,月別入力!$B:$B,$B80,月別入力!$H:$H,$F80,月別入力!$D:$D,M$7)</f>
        <v>0</v>
      </c>
      <c r="N80" s="418">
        <f>SUMIFS(月別入力!$I:$I,月別入力!$E:$E,$C80,月別入力!$B:$B,$B80,月別入力!$H:$H,$F80,月別入力!$D:$D,N$7)</f>
        <v>0</v>
      </c>
      <c r="O80" s="418">
        <f>SUMIFS(月別入力!$I:$I,月別入力!$E:$E,$C80,月別入力!$B:$B,$B80,月別入力!$H:$H,$F80,月別入力!$D:$D,O$7)</f>
        <v>0</v>
      </c>
      <c r="P80" s="418">
        <f>SUMIFS(月別入力!$I:$I,月別入力!$E:$E,$C80,月別入力!$B:$B,$B80,月別入力!$H:$H,$F80,月別入力!$D:$D,P$7)</f>
        <v>0</v>
      </c>
      <c r="Q80" s="418">
        <f>SUMIFS(月別入力!$I:$I,月別入力!$E:$E,$C80,月別入力!$B:$B,$B80,月別入力!$H:$H,$F80,月別入力!$D:$D,Q$7)</f>
        <v>0</v>
      </c>
      <c r="R80" s="419">
        <f>SUMIFS(月別入力!$I:$I,月別入力!$E:$E,$C80,月別入力!$B:$B,$B80,月別入力!$H:$H,$F80,月別入力!$D:$D,R$7)</f>
        <v>0</v>
      </c>
    </row>
    <row r="81" spans="1:18" s="5" customFormat="1" ht="15" customHeight="1" x14ac:dyDescent="0.15">
      <c r="A81" s="5">
        <f t="shared" si="2"/>
        <v>0</v>
      </c>
      <c r="B81" s="56" t="str">
        <f t="shared" si="2"/>
        <v>&lt;=12</v>
      </c>
      <c r="C81" s="57"/>
      <c r="D81" s="61" t="s">
        <v>24</v>
      </c>
      <c r="E81" s="58" t="s">
        <v>24</v>
      </c>
      <c r="F81" s="62" t="s">
        <v>24</v>
      </c>
      <c r="G81" s="417">
        <f t="shared" si="3"/>
        <v>0</v>
      </c>
      <c r="H81" s="418">
        <f>SUMIFS(月別入力!$I:$I,月別入力!$E:$E,$C81,月別入力!$B:$B,$B81,月別入力!$H:$H,$F81,月別入力!$D:$D,H$7)</f>
        <v>0</v>
      </c>
      <c r="I81" s="418">
        <f>SUMIFS(月別入力!$I:$I,月別入力!$E:$E,$C81,月別入力!$B:$B,$B81,月別入力!$H:$H,$F81,月別入力!$D:$D,I$7)</f>
        <v>0</v>
      </c>
      <c r="J81" s="418">
        <f>SUMIFS(月別入力!$I:$I,月別入力!$E:$E,$C81,月別入力!$B:$B,$B81,月別入力!$H:$H,$F81,月別入力!$D:$D,J$7)</f>
        <v>0</v>
      </c>
      <c r="K81" s="418">
        <f>SUMIFS(月別入力!$I:$I,月別入力!$E:$E,$C81,月別入力!$B:$B,$B81,月別入力!$H:$H,$F81,月別入力!$D:$D,K$7)</f>
        <v>0</v>
      </c>
      <c r="L81" s="418">
        <f>SUMIFS(月別入力!$I:$I,月別入力!$E:$E,$C81,月別入力!$B:$B,$B81,月別入力!$H:$H,$F81,月別入力!$D:$D,L$7)</f>
        <v>0</v>
      </c>
      <c r="M81" s="418">
        <f>SUMIFS(月別入力!$I:$I,月別入力!$E:$E,$C81,月別入力!$B:$B,$B81,月別入力!$H:$H,$F81,月別入力!$D:$D,M$7)</f>
        <v>0</v>
      </c>
      <c r="N81" s="418">
        <f>SUMIFS(月別入力!$I:$I,月別入力!$E:$E,$C81,月別入力!$B:$B,$B81,月別入力!$H:$H,$F81,月別入力!$D:$D,N$7)</f>
        <v>0</v>
      </c>
      <c r="O81" s="418">
        <f>SUMIFS(月別入力!$I:$I,月別入力!$E:$E,$C81,月別入力!$B:$B,$B81,月別入力!$H:$H,$F81,月別入力!$D:$D,O$7)</f>
        <v>0</v>
      </c>
      <c r="P81" s="418">
        <f>SUMIFS(月別入力!$I:$I,月別入力!$E:$E,$C81,月別入力!$B:$B,$B81,月別入力!$H:$H,$F81,月別入力!$D:$D,P$7)</f>
        <v>0</v>
      </c>
      <c r="Q81" s="418">
        <f>SUMIFS(月別入力!$I:$I,月別入力!$E:$E,$C81,月別入力!$B:$B,$B81,月別入力!$H:$H,$F81,月別入力!$D:$D,Q$7)</f>
        <v>0</v>
      </c>
      <c r="R81" s="419">
        <f>SUMIFS(月別入力!$I:$I,月別入力!$E:$E,$C81,月別入力!$B:$B,$B81,月別入力!$H:$H,$F81,月別入力!$D:$D,R$7)</f>
        <v>0</v>
      </c>
    </row>
    <row r="82" spans="1:18" s="5" customFormat="1" ht="15" customHeight="1" x14ac:dyDescent="0.15">
      <c r="A82" s="5">
        <f t="shared" si="2"/>
        <v>0</v>
      </c>
      <c r="B82" s="56" t="str">
        <f t="shared" si="2"/>
        <v>&lt;=12</v>
      </c>
      <c r="C82" s="57"/>
      <c r="D82" s="61" t="s">
        <v>24</v>
      </c>
      <c r="E82" s="58" t="s">
        <v>24</v>
      </c>
      <c r="F82" s="62" t="s">
        <v>24</v>
      </c>
      <c r="G82" s="417">
        <f t="shared" si="3"/>
        <v>0</v>
      </c>
      <c r="H82" s="418">
        <f>SUMIFS(月別入力!$I:$I,月別入力!$E:$E,$C82,月別入力!$B:$B,$B82,月別入力!$H:$H,$F82,月別入力!$D:$D,H$7)</f>
        <v>0</v>
      </c>
      <c r="I82" s="418">
        <f>SUMIFS(月別入力!$I:$I,月別入力!$E:$E,$C82,月別入力!$B:$B,$B82,月別入力!$H:$H,$F82,月別入力!$D:$D,I$7)</f>
        <v>0</v>
      </c>
      <c r="J82" s="418">
        <f>SUMIFS(月別入力!$I:$I,月別入力!$E:$E,$C82,月別入力!$B:$B,$B82,月別入力!$H:$H,$F82,月別入力!$D:$D,J$7)</f>
        <v>0</v>
      </c>
      <c r="K82" s="418">
        <f>SUMIFS(月別入力!$I:$I,月別入力!$E:$E,$C82,月別入力!$B:$B,$B82,月別入力!$H:$H,$F82,月別入力!$D:$D,K$7)</f>
        <v>0</v>
      </c>
      <c r="L82" s="418">
        <f>SUMIFS(月別入力!$I:$I,月別入力!$E:$E,$C82,月別入力!$B:$B,$B82,月別入力!$H:$H,$F82,月別入力!$D:$D,L$7)</f>
        <v>0</v>
      </c>
      <c r="M82" s="418">
        <f>SUMIFS(月別入力!$I:$I,月別入力!$E:$E,$C82,月別入力!$B:$B,$B82,月別入力!$H:$H,$F82,月別入力!$D:$D,M$7)</f>
        <v>0</v>
      </c>
      <c r="N82" s="418">
        <f>SUMIFS(月別入力!$I:$I,月別入力!$E:$E,$C82,月別入力!$B:$B,$B82,月別入力!$H:$H,$F82,月別入力!$D:$D,N$7)</f>
        <v>0</v>
      </c>
      <c r="O82" s="418">
        <f>SUMIFS(月別入力!$I:$I,月別入力!$E:$E,$C82,月別入力!$B:$B,$B82,月別入力!$H:$H,$F82,月別入力!$D:$D,O$7)</f>
        <v>0</v>
      </c>
      <c r="P82" s="418">
        <f>SUMIFS(月別入力!$I:$I,月別入力!$E:$E,$C82,月別入力!$B:$B,$B82,月別入力!$H:$H,$F82,月別入力!$D:$D,P$7)</f>
        <v>0</v>
      </c>
      <c r="Q82" s="418">
        <f>SUMIFS(月別入力!$I:$I,月別入力!$E:$E,$C82,月別入力!$B:$B,$B82,月別入力!$H:$H,$F82,月別入力!$D:$D,Q$7)</f>
        <v>0</v>
      </c>
      <c r="R82" s="419">
        <f>SUMIFS(月別入力!$I:$I,月別入力!$E:$E,$C82,月別入力!$B:$B,$B82,月別入力!$H:$H,$F82,月別入力!$D:$D,R$7)</f>
        <v>0</v>
      </c>
    </row>
    <row r="83" spans="1:18" s="5" customFormat="1" ht="15" customHeight="1" x14ac:dyDescent="0.15">
      <c r="A83" s="5">
        <f t="shared" si="2"/>
        <v>0</v>
      </c>
      <c r="B83" s="56" t="str">
        <f t="shared" si="2"/>
        <v>&lt;=12</v>
      </c>
      <c r="C83" s="57"/>
      <c r="D83" s="61" t="s">
        <v>24</v>
      </c>
      <c r="E83" s="58" t="s">
        <v>24</v>
      </c>
      <c r="F83" s="62" t="s">
        <v>24</v>
      </c>
      <c r="G83" s="417">
        <f t="shared" si="3"/>
        <v>0</v>
      </c>
      <c r="H83" s="418">
        <f>SUMIFS(月別入力!$I:$I,月別入力!$E:$E,$C83,月別入力!$B:$B,$B83,月別入力!$H:$H,$F83,月別入力!$D:$D,H$7)</f>
        <v>0</v>
      </c>
      <c r="I83" s="418">
        <f>SUMIFS(月別入力!$I:$I,月別入力!$E:$E,$C83,月別入力!$B:$B,$B83,月別入力!$H:$H,$F83,月別入力!$D:$D,I$7)</f>
        <v>0</v>
      </c>
      <c r="J83" s="418">
        <f>SUMIFS(月別入力!$I:$I,月別入力!$E:$E,$C83,月別入力!$B:$B,$B83,月別入力!$H:$H,$F83,月別入力!$D:$D,J$7)</f>
        <v>0</v>
      </c>
      <c r="K83" s="418">
        <f>SUMIFS(月別入力!$I:$I,月別入力!$E:$E,$C83,月別入力!$B:$B,$B83,月別入力!$H:$H,$F83,月別入力!$D:$D,K$7)</f>
        <v>0</v>
      </c>
      <c r="L83" s="418">
        <f>SUMIFS(月別入力!$I:$I,月別入力!$E:$E,$C83,月別入力!$B:$B,$B83,月別入力!$H:$H,$F83,月別入力!$D:$D,L$7)</f>
        <v>0</v>
      </c>
      <c r="M83" s="418">
        <f>SUMIFS(月別入力!$I:$I,月別入力!$E:$E,$C83,月別入力!$B:$B,$B83,月別入力!$H:$H,$F83,月別入力!$D:$D,M$7)</f>
        <v>0</v>
      </c>
      <c r="N83" s="418">
        <f>SUMIFS(月別入力!$I:$I,月別入力!$E:$E,$C83,月別入力!$B:$B,$B83,月別入力!$H:$H,$F83,月別入力!$D:$D,N$7)</f>
        <v>0</v>
      </c>
      <c r="O83" s="418">
        <f>SUMIFS(月別入力!$I:$I,月別入力!$E:$E,$C83,月別入力!$B:$B,$B83,月別入力!$H:$H,$F83,月別入力!$D:$D,O$7)</f>
        <v>0</v>
      </c>
      <c r="P83" s="418">
        <f>SUMIFS(月別入力!$I:$I,月別入力!$E:$E,$C83,月別入力!$B:$B,$B83,月別入力!$H:$H,$F83,月別入力!$D:$D,P$7)</f>
        <v>0</v>
      </c>
      <c r="Q83" s="418">
        <f>SUMIFS(月別入力!$I:$I,月別入力!$E:$E,$C83,月別入力!$B:$B,$B83,月別入力!$H:$H,$F83,月別入力!$D:$D,Q$7)</f>
        <v>0</v>
      </c>
      <c r="R83" s="419">
        <f>SUMIFS(月別入力!$I:$I,月別入力!$E:$E,$C83,月別入力!$B:$B,$B83,月別入力!$H:$H,$F83,月別入力!$D:$D,R$7)</f>
        <v>0</v>
      </c>
    </row>
    <row r="84" spans="1:18" s="5" customFormat="1" ht="15" customHeight="1" x14ac:dyDescent="0.15">
      <c r="A84" s="5">
        <f t="shared" si="2"/>
        <v>0</v>
      </c>
      <c r="B84" s="56" t="str">
        <f t="shared" si="2"/>
        <v>&lt;=12</v>
      </c>
      <c r="C84" s="57"/>
      <c r="D84" s="61" t="s">
        <v>24</v>
      </c>
      <c r="E84" s="58" t="s">
        <v>24</v>
      </c>
      <c r="F84" s="62" t="s">
        <v>24</v>
      </c>
      <c r="G84" s="417">
        <f t="shared" si="3"/>
        <v>0</v>
      </c>
      <c r="H84" s="418">
        <f>SUMIFS(月別入力!$I:$I,月別入力!$E:$E,$C84,月別入力!$B:$B,$B84,月別入力!$H:$H,$F84,月別入力!$D:$D,H$7)</f>
        <v>0</v>
      </c>
      <c r="I84" s="418">
        <f>SUMIFS(月別入力!$I:$I,月別入力!$E:$E,$C84,月別入力!$B:$B,$B84,月別入力!$H:$H,$F84,月別入力!$D:$D,I$7)</f>
        <v>0</v>
      </c>
      <c r="J84" s="418">
        <f>SUMIFS(月別入力!$I:$I,月別入力!$E:$E,$C84,月別入力!$B:$B,$B84,月別入力!$H:$H,$F84,月別入力!$D:$D,J$7)</f>
        <v>0</v>
      </c>
      <c r="K84" s="418">
        <f>SUMIFS(月別入力!$I:$I,月別入力!$E:$E,$C84,月別入力!$B:$B,$B84,月別入力!$H:$H,$F84,月別入力!$D:$D,K$7)</f>
        <v>0</v>
      </c>
      <c r="L84" s="418">
        <f>SUMIFS(月別入力!$I:$I,月別入力!$E:$E,$C84,月別入力!$B:$B,$B84,月別入力!$H:$H,$F84,月別入力!$D:$D,L$7)</f>
        <v>0</v>
      </c>
      <c r="M84" s="418">
        <f>SUMIFS(月別入力!$I:$I,月別入力!$E:$E,$C84,月別入力!$B:$B,$B84,月別入力!$H:$H,$F84,月別入力!$D:$D,M$7)</f>
        <v>0</v>
      </c>
      <c r="N84" s="418">
        <f>SUMIFS(月別入力!$I:$I,月別入力!$E:$E,$C84,月別入力!$B:$B,$B84,月別入力!$H:$H,$F84,月別入力!$D:$D,N$7)</f>
        <v>0</v>
      </c>
      <c r="O84" s="418">
        <f>SUMIFS(月別入力!$I:$I,月別入力!$E:$E,$C84,月別入力!$B:$B,$B84,月別入力!$H:$H,$F84,月別入力!$D:$D,O$7)</f>
        <v>0</v>
      </c>
      <c r="P84" s="418">
        <f>SUMIFS(月別入力!$I:$I,月別入力!$E:$E,$C84,月別入力!$B:$B,$B84,月別入力!$H:$H,$F84,月別入力!$D:$D,P$7)</f>
        <v>0</v>
      </c>
      <c r="Q84" s="418">
        <f>SUMIFS(月別入力!$I:$I,月別入力!$E:$E,$C84,月別入力!$B:$B,$B84,月別入力!$H:$H,$F84,月別入力!$D:$D,Q$7)</f>
        <v>0</v>
      </c>
      <c r="R84" s="419">
        <f>SUMIFS(月別入力!$I:$I,月別入力!$E:$E,$C84,月別入力!$B:$B,$B84,月別入力!$H:$H,$F84,月別入力!$D:$D,R$7)</f>
        <v>0</v>
      </c>
    </row>
    <row r="85" spans="1:18" s="5" customFormat="1" ht="15" customHeight="1" x14ac:dyDescent="0.15">
      <c r="A85" s="5">
        <f t="shared" si="2"/>
        <v>0</v>
      </c>
      <c r="B85" s="56" t="str">
        <f t="shared" si="2"/>
        <v>&lt;=12</v>
      </c>
      <c r="C85" s="57"/>
      <c r="D85" s="61" t="s">
        <v>24</v>
      </c>
      <c r="E85" s="58" t="s">
        <v>24</v>
      </c>
      <c r="F85" s="62" t="s">
        <v>24</v>
      </c>
      <c r="G85" s="417">
        <f t="shared" si="3"/>
        <v>0</v>
      </c>
      <c r="H85" s="418">
        <f>SUMIFS(月別入力!$I:$I,月別入力!$E:$E,$C85,月別入力!$B:$B,$B85,月別入力!$H:$H,$F85,月別入力!$D:$D,H$7)</f>
        <v>0</v>
      </c>
      <c r="I85" s="418">
        <f>SUMIFS(月別入力!$I:$I,月別入力!$E:$E,$C85,月別入力!$B:$B,$B85,月別入力!$H:$H,$F85,月別入力!$D:$D,I$7)</f>
        <v>0</v>
      </c>
      <c r="J85" s="418">
        <f>SUMIFS(月別入力!$I:$I,月別入力!$E:$E,$C85,月別入力!$B:$B,$B85,月別入力!$H:$H,$F85,月別入力!$D:$D,J$7)</f>
        <v>0</v>
      </c>
      <c r="K85" s="418">
        <f>SUMIFS(月別入力!$I:$I,月別入力!$E:$E,$C85,月別入力!$B:$B,$B85,月別入力!$H:$H,$F85,月別入力!$D:$D,K$7)</f>
        <v>0</v>
      </c>
      <c r="L85" s="418">
        <f>SUMIFS(月別入力!$I:$I,月別入力!$E:$E,$C85,月別入力!$B:$B,$B85,月別入力!$H:$H,$F85,月別入力!$D:$D,L$7)</f>
        <v>0</v>
      </c>
      <c r="M85" s="418">
        <f>SUMIFS(月別入力!$I:$I,月別入力!$E:$E,$C85,月別入力!$B:$B,$B85,月別入力!$H:$H,$F85,月別入力!$D:$D,M$7)</f>
        <v>0</v>
      </c>
      <c r="N85" s="418">
        <f>SUMIFS(月別入力!$I:$I,月別入力!$E:$E,$C85,月別入力!$B:$B,$B85,月別入力!$H:$H,$F85,月別入力!$D:$D,N$7)</f>
        <v>0</v>
      </c>
      <c r="O85" s="418">
        <f>SUMIFS(月別入力!$I:$I,月別入力!$E:$E,$C85,月別入力!$B:$B,$B85,月別入力!$H:$H,$F85,月別入力!$D:$D,O$7)</f>
        <v>0</v>
      </c>
      <c r="P85" s="418">
        <f>SUMIFS(月別入力!$I:$I,月別入力!$E:$E,$C85,月別入力!$B:$B,$B85,月別入力!$H:$H,$F85,月別入力!$D:$D,P$7)</f>
        <v>0</v>
      </c>
      <c r="Q85" s="418">
        <f>SUMIFS(月別入力!$I:$I,月別入力!$E:$E,$C85,月別入力!$B:$B,$B85,月別入力!$H:$H,$F85,月別入力!$D:$D,Q$7)</f>
        <v>0</v>
      </c>
      <c r="R85" s="419">
        <f>SUMIFS(月別入力!$I:$I,月別入力!$E:$E,$C85,月別入力!$B:$B,$B85,月別入力!$H:$H,$F85,月別入力!$D:$D,R$7)</f>
        <v>0</v>
      </c>
    </row>
    <row r="86" spans="1:18" s="5" customFormat="1" ht="15" customHeight="1" x14ac:dyDescent="0.15">
      <c r="A86" s="5">
        <f t="shared" si="2"/>
        <v>0</v>
      </c>
      <c r="B86" s="56" t="str">
        <f t="shared" si="2"/>
        <v>&lt;=12</v>
      </c>
      <c r="C86" s="57"/>
      <c r="D86" s="61" t="s">
        <v>24</v>
      </c>
      <c r="E86" s="58" t="s">
        <v>24</v>
      </c>
      <c r="F86" s="62" t="s">
        <v>24</v>
      </c>
      <c r="G86" s="417">
        <f t="shared" si="3"/>
        <v>0</v>
      </c>
      <c r="H86" s="418">
        <f>SUMIFS(月別入力!$I:$I,月別入力!$E:$E,$C86,月別入力!$B:$B,$B86,月別入力!$H:$H,$F86,月別入力!$D:$D,H$7)</f>
        <v>0</v>
      </c>
      <c r="I86" s="418">
        <f>SUMIFS(月別入力!$I:$I,月別入力!$E:$E,$C86,月別入力!$B:$B,$B86,月別入力!$H:$H,$F86,月別入力!$D:$D,I$7)</f>
        <v>0</v>
      </c>
      <c r="J86" s="418">
        <f>SUMIFS(月別入力!$I:$I,月別入力!$E:$E,$C86,月別入力!$B:$B,$B86,月別入力!$H:$H,$F86,月別入力!$D:$D,J$7)</f>
        <v>0</v>
      </c>
      <c r="K86" s="418">
        <f>SUMIFS(月別入力!$I:$I,月別入力!$E:$E,$C86,月別入力!$B:$B,$B86,月別入力!$H:$H,$F86,月別入力!$D:$D,K$7)</f>
        <v>0</v>
      </c>
      <c r="L86" s="418">
        <f>SUMIFS(月別入力!$I:$I,月別入力!$E:$E,$C86,月別入力!$B:$B,$B86,月別入力!$H:$H,$F86,月別入力!$D:$D,L$7)</f>
        <v>0</v>
      </c>
      <c r="M86" s="418">
        <f>SUMIFS(月別入力!$I:$I,月別入力!$E:$E,$C86,月別入力!$B:$B,$B86,月別入力!$H:$H,$F86,月別入力!$D:$D,M$7)</f>
        <v>0</v>
      </c>
      <c r="N86" s="418">
        <f>SUMIFS(月別入力!$I:$I,月別入力!$E:$E,$C86,月別入力!$B:$B,$B86,月別入力!$H:$H,$F86,月別入力!$D:$D,N$7)</f>
        <v>0</v>
      </c>
      <c r="O86" s="418">
        <f>SUMIFS(月別入力!$I:$I,月別入力!$E:$E,$C86,月別入力!$B:$B,$B86,月別入力!$H:$H,$F86,月別入力!$D:$D,O$7)</f>
        <v>0</v>
      </c>
      <c r="P86" s="418">
        <f>SUMIFS(月別入力!$I:$I,月別入力!$E:$E,$C86,月別入力!$B:$B,$B86,月別入力!$H:$H,$F86,月別入力!$D:$D,P$7)</f>
        <v>0</v>
      </c>
      <c r="Q86" s="418">
        <f>SUMIFS(月別入力!$I:$I,月別入力!$E:$E,$C86,月別入力!$B:$B,$B86,月別入力!$H:$H,$F86,月別入力!$D:$D,Q$7)</f>
        <v>0</v>
      </c>
      <c r="R86" s="419">
        <f>SUMIFS(月別入力!$I:$I,月別入力!$E:$E,$C86,月別入力!$B:$B,$B86,月別入力!$H:$H,$F86,月別入力!$D:$D,R$7)</f>
        <v>0</v>
      </c>
    </row>
    <row r="87" spans="1:18" s="5" customFormat="1" ht="15" customHeight="1" x14ac:dyDescent="0.15">
      <c r="A87" s="5">
        <f t="shared" si="2"/>
        <v>0</v>
      </c>
      <c r="B87" s="56" t="str">
        <f t="shared" si="2"/>
        <v>&lt;=12</v>
      </c>
      <c r="C87" s="57"/>
      <c r="D87" s="61" t="s">
        <v>24</v>
      </c>
      <c r="E87" s="58" t="s">
        <v>24</v>
      </c>
      <c r="F87" s="62" t="s">
        <v>24</v>
      </c>
      <c r="G87" s="417">
        <f t="shared" si="3"/>
        <v>0</v>
      </c>
      <c r="H87" s="418">
        <f>SUMIFS(月別入力!$I:$I,月別入力!$E:$E,$C87,月別入力!$B:$B,$B87,月別入力!$H:$H,$F87,月別入力!$D:$D,H$7)</f>
        <v>0</v>
      </c>
      <c r="I87" s="418">
        <f>SUMIFS(月別入力!$I:$I,月別入力!$E:$E,$C87,月別入力!$B:$B,$B87,月別入力!$H:$H,$F87,月別入力!$D:$D,I$7)</f>
        <v>0</v>
      </c>
      <c r="J87" s="418">
        <f>SUMIFS(月別入力!$I:$I,月別入力!$E:$E,$C87,月別入力!$B:$B,$B87,月別入力!$H:$H,$F87,月別入力!$D:$D,J$7)</f>
        <v>0</v>
      </c>
      <c r="K87" s="418">
        <f>SUMIFS(月別入力!$I:$I,月別入力!$E:$E,$C87,月別入力!$B:$B,$B87,月別入力!$H:$H,$F87,月別入力!$D:$D,K$7)</f>
        <v>0</v>
      </c>
      <c r="L87" s="418">
        <f>SUMIFS(月別入力!$I:$I,月別入力!$E:$E,$C87,月別入力!$B:$B,$B87,月別入力!$H:$H,$F87,月別入力!$D:$D,L$7)</f>
        <v>0</v>
      </c>
      <c r="M87" s="418">
        <f>SUMIFS(月別入力!$I:$I,月別入力!$E:$E,$C87,月別入力!$B:$B,$B87,月別入力!$H:$H,$F87,月別入力!$D:$D,M$7)</f>
        <v>0</v>
      </c>
      <c r="N87" s="418">
        <f>SUMIFS(月別入力!$I:$I,月別入力!$E:$E,$C87,月別入力!$B:$B,$B87,月別入力!$H:$H,$F87,月別入力!$D:$D,N$7)</f>
        <v>0</v>
      </c>
      <c r="O87" s="418">
        <f>SUMIFS(月別入力!$I:$I,月別入力!$E:$E,$C87,月別入力!$B:$B,$B87,月別入力!$H:$H,$F87,月別入力!$D:$D,O$7)</f>
        <v>0</v>
      </c>
      <c r="P87" s="418">
        <f>SUMIFS(月別入力!$I:$I,月別入力!$E:$E,$C87,月別入力!$B:$B,$B87,月別入力!$H:$H,$F87,月別入力!$D:$D,P$7)</f>
        <v>0</v>
      </c>
      <c r="Q87" s="418">
        <f>SUMIFS(月別入力!$I:$I,月別入力!$E:$E,$C87,月別入力!$B:$B,$B87,月別入力!$H:$H,$F87,月別入力!$D:$D,Q$7)</f>
        <v>0</v>
      </c>
      <c r="R87" s="419">
        <f>SUMIFS(月別入力!$I:$I,月別入力!$E:$E,$C87,月別入力!$B:$B,$B87,月別入力!$H:$H,$F87,月別入力!$D:$D,R$7)</f>
        <v>0</v>
      </c>
    </row>
    <row r="88" spans="1:18" s="5" customFormat="1" ht="15" customHeight="1" x14ac:dyDescent="0.15">
      <c r="A88" s="5">
        <f t="shared" si="2"/>
        <v>0</v>
      </c>
      <c r="B88" s="56" t="str">
        <f t="shared" si="2"/>
        <v>&lt;=12</v>
      </c>
      <c r="C88" s="57"/>
      <c r="D88" s="61" t="s">
        <v>24</v>
      </c>
      <c r="E88" s="58" t="s">
        <v>24</v>
      </c>
      <c r="F88" s="62" t="s">
        <v>24</v>
      </c>
      <c r="G88" s="417">
        <f t="shared" si="3"/>
        <v>0</v>
      </c>
      <c r="H88" s="418">
        <f>SUMIFS(月別入力!$I:$I,月別入力!$E:$E,$C88,月別入力!$B:$B,$B88,月別入力!$H:$H,$F88,月別入力!$D:$D,H$7)</f>
        <v>0</v>
      </c>
      <c r="I88" s="418">
        <f>SUMIFS(月別入力!$I:$I,月別入力!$E:$E,$C88,月別入力!$B:$B,$B88,月別入力!$H:$H,$F88,月別入力!$D:$D,I$7)</f>
        <v>0</v>
      </c>
      <c r="J88" s="418">
        <f>SUMIFS(月別入力!$I:$I,月別入力!$E:$E,$C88,月別入力!$B:$B,$B88,月別入力!$H:$H,$F88,月別入力!$D:$D,J$7)</f>
        <v>0</v>
      </c>
      <c r="K88" s="418">
        <f>SUMIFS(月別入力!$I:$I,月別入力!$E:$E,$C88,月別入力!$B:$B,$B88,月別入力!$H:$H,$F88,月別入力!$D:$D,K$7)</f>
        <v>0</v>
      </c>
      <c r="L88" s="418">
        <f>SUMIFS(月別入力!$I:$I,月別入力!$E:$E,$C88,月別入力!$B:$B,$B88,月別入力!$H:$H,$F88,月別入力!$D:$D,L$7)</f>
        <v>0</v>
      </c>
      <c r="M88" s="418">
        <f>SUMIFS(月別入力!$I:$I,月別入力!$E:$E,$C88,月別入力!$B:$B,$B88,月別入力!$H:$H,$F88,月別入力!$D:$D,M$7)</f>
        <v>0</v>
      </c>
      <c r="N88" s="418">
        <f>SUMIFS(月別入力!$I:$I,月別入力!$E:$E,$C88,月別入力!$B:$B,$B88,月別入力!$H:$H,$F88,月別入力!$D:$D,N$7)</f>
        <v>0</v>
      </c>
      <c r="O88" s="418">
        <f>SUMIFS(月別入力!$I:$I,月別入力!$E:$E,$C88,月別入力!$B:$B,$B88,月別入力!$H:$H,$F88,月別入力!$D:$D,O$7)</f>
        <v>0</v>
      </c>
      <c r="P88" s="418">
        <f>SUMIFS(月別入力!$I:$I,月別入力!$E:$E,$C88,月別入力!$B:$B,$B88,月別入力!$H:$H,$F88,月別入力!$D:$D,P$7)</f>
        <v>0</v>
      </c>
      <c r="Q88" s="418">
        <f>SUMIFS(月別入力!$I:$I,月別入力!$E:$E,$C88,月別入力!$B:$B,$B88,月別入力!$H:$H,$F88,月別入力!$D:$D,Q$7)</f>
        <v>0</v>
      </c>
      <c r="R88" s="419">
        <f>SUMIFS(月別入力!$I:$I,月別入力!$E:$E,$C88,月別入力!$B:$B,$B88,月別入力!$H:$H,$F88,月別入力!$D:$D,R$7)</f>
        <v>0</v>
      </c>
    </row>
    <row r="89" spans="1:18" s="5" customFormat="1" ht="15" customHeight="1" x14ac:dyDescent="0.15">
      <c r="A89" s="5">
        <f t="shared" si="2"/>
        <v>0</v>
      </c>
      <c r="B89" s="56" t="str">
        <f t="shared" si="2"/>
        <v>&lt;=12</v>
      </c>
      <c r="C89" s="57"/>
      <c r="D89" s="61" t="s">
        <v>24</v>
      </c>
      <c r="E89" s="58" t="s">
        <v>24</v>
      </c>
      <c r="F89" s="62" t="s">
        <v>24</v>
      </c>
      <c r="G89" s="417">
        <f t="shared" si="3"/>
        <v>0</v>
      </c>
      <c r="H89" s="418">
        <f>SUMIFS(月別入力!$I:$I,月別入力!$E:$E,$C89,月別入力!$B:$B,$B89,月別入力!$H:$H,$F89,月別入力!$D:$D,H$7)</f>
        <v>0</v>
      </c>
      <c r="I89" s="418">
        <f>SUMIFS(月別入力!$I:$I,月別入力!$E:$E,$C89,月別入力!$B:$B,$B89,月別入力!$H:$H,$F89,月別入力!$D:$D,I$7)</f>
        <v>0</v>
      </c>
      <c r="J89" s="418">
        <f>SUMIFS(月別入力!$I:$I,月別入力!$E:$E,$C89,月別入力!$B:$B,$B89,月別入力!$H:$H,$F89,月別入力!$D:$D,J$7)</f>
        <v>0</v>
      </c>
      <c r="K89" s="418">
        <f>SUMIFS(月別入力!$I:$I,月別入力!$E:$E,$C89,月別入力!$B:$B,$B89,月別入力!$H:$H,$F89,月別入力!$D:$D,K$7)</f>
        <v>0</v>
      </c>
      <c r="L89" s="418">
        <f>SUMIFS(月別入力!$I:$I,月別入力!$E:$E,$C89,月別入力!$B:$B,$B89,月別入力!$H:$H,$F89,月別入力!$D:$D,L$7)</f>
        <v>0</v>
      </c>
      <c r="M89" s="418">
        <f>SUMIFS(月別入力!$I:$I,月別入力!$E:$E,$C89,月別入力!$B:$B,$B89,月別入力!$H:$H,$F89,月別入力!$D:$D,M$7)</f>
        <v>0</v>
      </c>
      <c r="N89" s="418">
        <f>SUMIFS(月別入力!$I:$I,月別入力!$E:$E,$C89,月別入力!$B:$B,$B89,月別入力!$H:$H,$F89,月別入力!$D:$D,N$7)</f>
        <v>0</v>
      </c>
      <c r="O89" s="418">
        <f>SUMIFS(月別入力!$I:$I,月別入力!$E:$E,$C89,月別入力!$B:$B,$B89,月別入力!$H:$H,$F89,月別入力!$D:$D,O$7)</f>
        <v>0</v>
      </c>
      <c r="P89" s="418">
        <f>SUMIFS(月別入力!$I:$I,月別入力!$E:$E,$C89,月別入力!$B:$B,$B89,月別入力!$H:$H,$F89,月別入力!$D:$D,P$7)</f>
        <v>0</v>
      </c>
      <c r="Q89" s="418">
        <f>SUMIFS(月別入力!$I:$I,月別入力!$E:$E,$C89,月別入力!$B:$B,$B89,月別入力!$H:$H,$F89,月別入力!$D:$D,Q$7)</f>
        <v>0</v>
      </c>
      <c r="R89" s="419">
        <f>SUMIFS(月別入力!$I:$I,月別入力!$E:$E,$C89,月別入力!$B:$B,$B89,月別入力!$H:$H,$F89,月別入力!$D:$D,R$7)</f>
        <v>0</v>
      </c>
    </row>
    <row r="90" spans="1:18" s="5" customFormat="1" ht="15" customHeight="1" x14ac:dyDescent="0.15">
      <c r="A90" s="5">
        <f t="shared" si="2"/>
        <v>0</v>
      </c>
      <c r="B90" s="56" t="str">
        <f t="shared" si="2"/>
        <v>&lt;=12</v>
      </c>
      <c r="C90" s="57"/>
      <c r="D90" s="61" t="s">
        <v>24</v>
      </c>
      <c r="E90" s="58" t="s">
        <v>24</v>
      </c>
      <c r="F90" s="62" t="s">
        <v>24</v>
      </c>
      <c r="G90" s="417">
        <f t="shared" si="3"/>
        <v>0</v>
      </c>
      <c r="H90" s="418">
        <f>SUMIFS(月別入力!$I:$I,月別入力!$E:$E,$C90,月別入力!$B:$B,$B90,月別入力!$H:$H,$F90,月別入力!$D:$D,H$7)</f>
        <v>0</v>
      </c>
      <c r="I90" s="418">
        <f>SUMIFS(月別入力!$I:$I,月別入力!$E:$E,$C90,月別入力!$B:$B,$B90,月別入力!$H:$H,$F90,月別入力!$D:$D,I$7)</f>
        <v>0</v>
      </c>
      <c r="J90" s="418">
        <f>SUMIFS(月別入力!$I:$I,月別入力!$E:$E,$C90,月別入力!$B:$B,$B90,月別入力!$H:$H,$F90,月別入力!$D:$D,J$7)</f>
        <v>0</v>
      </c>
      <c r="K90" s="418">
        <f>SUMIFS(月別入力!$I:$I,月別入力!$E:$E,$C90,月別入力!$B:$B,$B90,月別入力!$H:$H,$F90,月別入力!$D:$D,K$7)</f>
        <v>0</v>
      </c>
      <c r="L90" s="418">
        <f>SUMIFS(月別入力!$I:$I,月別入力!$E:$E,$C90,月別入力!$B:$B,$B90,月別入力!$H:$H,$F90,月別入力!$D:$D,L$7)</f>
        <v>0</v>
      </c>
      <c r="M90" s="418">
        <f>SUMIFS(月別入力!$I:$I,月別入力!$E:$E,$C90,月別入力!$B:$B,$B90,月別入力!$H:$H,$F90,月別入力!$D:$D,M$7)</f>
        <v>0</v>
      </c>
      <c r="N90" s="418">
        <f>SUMIFS(月別入力!$I:$I,月別入力!$E:$E,$C90,月別入力!$B:$B,$B90,月別入力!$H:$H,$F90,月別入力!$D:$D,N$7)</f>
        <v>0</v>
      </c>
      <c r="O90" s="418">
        <f>SUMIFS(月別入力!$I:$I,月別入力!$E:$E,$C90,月別入力!$B:$B,$B90,月別入力!$H:$H,$F90,月別入力!$D:$D,O$7)</f>
        <v>0</v>
      </c>
      <c r="P90" s="418">
        <f>SUMIFS(月別入力!$I:$I,月別入力!$E:$E,$C90,月別入力!$B:$B,$B90,月別入力!$H:$H,$F90,月別入力!$D:$D,P$7)</f>
        <v>0</v>
      </c>
      <c r="Q90" s="418">
        <f>SUMIFS(月別入力!$I:$I,月別入力!$E:$E,$C90,月別入力!$B:$B,$B90,月別入力!$H:$H,$F90,月別入力!$D:$D,Q$7)</f>
        <v>0</v>
      </c>
      <c r="R90" s="419">
        <f>SUMIFS(月別入力!$I:$I,月別入力!$E:$E,$C90,月別入力!$B:$B,$B90,月別入力!$H:$H,$F90,月別入力!$D:$D,R$7)</f>
        <v>0</v>
      </c>
    </row>
    <row r="91" spans="1:18" s="5" customFormat="1" ht="15" customHeight="1" x14ac:dyDescent="0.15">
      <c r="A91" s="5">
        <f t="shared" si="2"/>
        <v>0</v>
      </c>
      <c r="B91" s="56" t="str">
        <f t="shared" si="2"/>
        <v>&lt;=12</v>
      </c>
      <c r="C91" s="57"/>
      <c r="D91" s="61" t="s">
        <v>24</v>
      </c>
      <c r="E91" s="58" t="s">
        <v>24</v>
      </c>
      <c r="F91" s="62" t="s">
        <v>24</v>
      </c>
      <c r="G91" s="417">
        <f t="shared" si="3"/>
        <v>0</v>
      </c>
      <c r="H91" s="418">
        <f>SUMIFS(月別入力!$I:$I,月別入力!$E:$E,$C91,月別入力!$B:$B,$B91,月別入力!$H:$H,$F91,月別入力!$D:$D,H$7)</f>
        <v>0</v>
      </c>
      <c r="I91" s="418">
        <f>SUMIFS(月別入力!$I:$I,月別入力!$E:$E,$C91,月別入力!$B:$B,$B91,月別入力!$H:$H,$F91,月別入力!$D:$D,I$7)</f>
        <v>0</v>
      </c>
      <c r="J91" s="418">
        <f>SUMIFS(月別入力!$I:$I,月別入力!$E:$E,$C91,月別入力!$B:$B,$B91,月別入力!$H:$H,$F91,月別入力!$D:$D,J$7)</f>
        <v>0</v>
      </c>
      <c r="K91" s="418">
        <f>SUMIFS(月別入力!$I:$I,月別入力!$E:$E,$C91,月別入力!$B:$B,$B91,月別入力!$H:$H,$F91,月別入力!$D:$D,K$7)</f>
        <v>0</v>
      </c>
      <c r="L91" s="418">
        <f>SUMIFS(月別入力!$I:$I,月別入力!$E:$E,$C91,月別入力!$B:$B,$B91,月別入力!$H:$H,$F91,月別入力!$D:$D,L$7)</f>
        <v>0</v>
      </c>
      <c r="M91" s="418">
        <f>SUMIFS(月別入力!$I:$I,月別入力!$E:$E,$C91,月別入力!$B:$B,$B91,月別入力!$H:$H,$F91,月別入力!$D:$D,M$7)</f>
        <v>0</v>
      </c>
      <c r="N91" s="418">
        <f>SUMIFS(月別入力!$I:$I,月別入力!$E:$E,$C91,月別入力!$B:$B,$B91,月別入力!$H:$H,$F91,月別入力!$D:$D,N$7)</f>
        <v>0</v>
      </c>
      <c r="O91" s="418">
        <f>SUMIFS(月別入力!$I:$I,月別入力!$E:$E,$C91,月別入力!$B:$B,$B91,月別入力!$H:$H,$F91,月別入力!$D:$D,O$7)</f>
        <v>0</v>
      </c>
      <c r="P91" s="418">
        <f>SUMIFS(月別入力!$I:$I,月別入力!$E:$E,$C91,月別入力!$B:$B,$B91,月別入力!$H:$H,$F91,月別入力!$D:$D,P$7)</f>
        <v>0</v>
      </c>
      <c r="Q91" s="418">
        <f>SUMIFS(月別入力!$I:$I,月別入力!$E:$E,$C91,月別入力!$B:$B,$B91,月別入力!$H:$H,$F91,月別入力!$D:$D,Q$7)</f>
        <v>0</v>
      </c>
      <c r="R91" s="419">
        <f>SUMIFS(月別入力!$I:$I,月別入力!$E:$E,$C91,月別入力!$B:$B,$B91,月別入力!$H:$H,$F91,月別入力!$D:$D,R$7)</f>
        <v>0</v>
      </c>
    </row>
    <row r="92" spans="1:18" s="5" customFormat="1" ht="15" customHeight="1" x14ac:dyDescent="0.15">
      <c r="A92" s="5">
        <f t="shared" si="2"/>
        <v>0</v>
      </c>
      <c r="B92" s="56" t="str">
        <f t="shared" si="2"/>
        <v>&lt;=12</v>
      </c>
      <c r="C92" s="57"/>
      <c r="D92" s="61" t="s">
        <v>24</v>
      </c>
      <c r="E92" s="58" t="s">
        <v>24</v>
      </c>
      <c r="F92" s="62" t="s">
        <v>24</v>
      </c>
      <c r="G92" s="417">
        <f t="shared" si="3"/>
        <v>0</v>
      </c>
      <c r="H92" s="418">
        <f>SUMIFS(月別入力!$I:$I,月別入力!$E:$E,$C92,月別入力!$B:$B,$B92,月別入力!$H:$H,$F92,月別入力!$D:$D,H$7)</f>
        <v>0</v>
      </c>
      <c r="I92" s="418">
        <f>SUMIFS(月別入力!$I:$I,月別入力!$E:$E,$C92,月別入力!$B:$B,$B92,月別入力!$H:$H,$F92,月別入力!$D:$D,I$7)</f>
        <v>0</v>
      </c>
      <c r="J92" s="418">
        <f>SUMIFS(月別入力!$I:$I,月別入力!$E:$E,$C92,月別入力!$B:$B,$B92,月別入力!$H:$H,$F92,月別入力!$D:$D,J$7)</f>
        <v>0</v>
      </c>
      <c r="K92" s="418">
        <f>SUMIFS(月別入力!$I:$I,月別入力!$E:$E,$C92,月別入力!$B:$B,$B92,月別入力!$H:$H,$F92,月別入力!$D:$D,K$7)</f>
        <v>0</v>
      </c>
      <c r="L92" s="418">
        <f>SUMIFS(月別入力!$I:$I,月別入力!$E:$E,$C92,月別入力!$B:$B,$B92,月別入力!$H:$H,$F92,月別入力!$D:$D,L$7)</f>
        <v>0</v>
      </c>
      <c r="M92" s="418">
        <f>SUMIFS(月別入力!$I:$I,月別入力!$E:$E,$C92,月別入力!$B:$B,$B92,月別入力!$H:$H,$F92,月別入力!$D:$D,M$7)</f>
        <v>0</v>
      </c>
      <c r="N92" s="418">
        <f>SUMIFS(月別入力!$I:$I,月別入力!$E:$E,$C92,月別入力!$B:$B,$B92,月別入力!$H:$H,$F92,月別入力!$D:$D,N$7)</f>
        <v>0</v>
      </c>
      <c r="O92" s="418">
        <f>SUMIFS(月別入力!$I:$I,月別入力!$E:$E,$C92,月別入力!$B:$B,$B92,月別入力!$H:$H,$F92,月別入力!$D:$D,O$7)</f>
        <v>0</v>
      </c>
      <c r="P92" s="418">
        <f>SUMIFS(月別入力!$I:$I,月別入力!$E:$E,$C92,月別入力!$B:$B,$B92,月別入力!$H:$H,$F92,月別入力!$D:$D,P$7)</f>
        <v>0</v>
      </c>
      <c r="Q92" s="418">
        <f>SUMIFS(月別入力!$I:$I,月別入力!$E:$E,$C92,月別入力!$B:$B,$B92,月別入力!$H:$H,$F92,月別入力!$D:$D,Q$7)</f>
        <v>0</v>
      </c>
      <c r="R92" s="419">
        <f>SUMIFS(月別入力!$I:$I,月別入力!$E:$E,$C92,月別入力!$B:$B,$B92,月別入力!$H:$H,$F92,月別入力!$D:$D,R$7)</f>
        <v>0</v>
      </c>
    </row>
    <row r="93" spans="1:18" s="5" customFormat="1" ht="15" customHeight="1" x14ac:dyDescent="0.15">
      <c r="A93" s="5">
        <f t="shared" si="2"/>
        <v>0</v>
      </c>
      <c r="B93" s="56" t="str">
        <f t="shared" si="2"/>
        <v>&lt;=12</v>
      </c>
      <c r="C93" s="57"/>
      <c r="D93" s="61" t="s">
        <v>24</v>
      </c>
      <c r="E93" s="58" t="s">
        <v>24</v>
      </c>
      <c r="F93" s="62" t="s">
        <v>24</v>
      </c>
      <c r="G93" s="417">
        <f t="shared" si="3"/>
        <v>0</v>
      </c>
      <c r="H93" s="418">
        <f>SUMIFS(月別入力!$I:$I,月別入力!$E:$E,$C93,月別入力!$B:$B,$B93,月別入力!$H:$H,$F93,月別入力!$D:$D,H$7)</f>
        <v>0</v>
      </c>
      <c r="I93" s="418">
        <f>SUMIFS(月別入力!$I:$I,月別入力!$E:$E,$C93,月別入力!$B:$B,$B93,月別入力!$H:$H,$F93,月別入力!$D:$D,I$7)</f>
        <v>0</v>
      </c>
      <c r="J93" s="418">
        <f>SUMIFS(月別入力!$I:$I,月別入力!$E:$E,$C93,月別入力!$B:$B,$B93,月別入力!$H:$H,$F93,月別入力!$D:$D,J$7)</f>
        <v>0</v>
      </c>
      <c r="K93" s="418">
        <f>SUMIFS(月別入力!$I:$I,月別入力!$E:$E,$C93,月別入力!$B:$B,$B93,月別入力!$H:$H,$F93,月別入力!$D:$D,K$7)</f>
        <v>0</v>
      </c>
      <c r="L93" s="418">
        <f>SUMIFS(月別入力!$I:$I,月別入力!$E:$E,$C93,月別入力!$B:$B,$B93,月別入力!$H:$H,$F93,月別入力!$D:$D,L$7)</f>
        <v>0</v>
      </c>
      <c r="M93" s="418">
        <f>SUMIFS(月別入力!$I:$I,月別入力!$E:$E,$C93,月別入力!$B:$B,$B93,月別入力!$H:$H,$F93,月別入力!$D:$D,M$7)</f>
        <v>0</v>
      </c>
      <c r="N93" s="418">
        <f>SUMIFS(月別入力!$I:$I,月別入力!$E:$E,$C93,月別入力!$B:$B,$B93,月別入力!$H:$H,$F93,月別入力!$D:$D,N$7)</f>
        <v>0</v>
      </c>
      <c r="O93" s="418">
        <f>SUMIFS(月別入力!$I:$I,月別入力!$E:$E,$C93,月別入力!$B:$B,$B93,月別入力!$H:$H,$F93,月別入力!$D:$D,O$7)</f>
        <v>0</v>
      </c>
      <c r="P93" s="418">
        <f>SUMIFS(月別入力!$I:$I,月別入力!$E:$E,$C93,月別入力!$B:$B,$B93,月別入力!$H:$H,$F93,月別入力!$D:$D,P$7)</f>
        <v>0</v>
      </c>
      <c r="Q93" s="418">
        <f>SUMIFS(月別入力!$I:$I,月別入力!$E:$E,$C93,月別入力!$B:$B,$B93,月別入力!$H:$H,$F93,月別入力!$D:$D,Q$7)</f>
        <v>0</v>
      </c>
      <c r="R93" s="419">
        <f>SUMIFS(月別入力!$I:$I,月別入力!$E:$E,$C93,月別入力!$B:$B,$B93,月別入力!$H:$H,$F93,月別入力!$D:$D,R$7)</f>
        <v>0</v>
      </c>
    </row>
    <row r="94" spans="1:18" s="5" customFormat="1" ht="15" customHeight="1" x14ac:dyDescent="0.15">
      <c r="A94" s="5">
        <f t="shared" si="2"/>
        <v>0</v>
      </c>
      <c r="B94" s="56" t="str">
        <f t="shared" si="2"/>
        <v>&lt;=12</v>
      </c>
      <c r="C94" s="57"/>
      <c r="D94" s="61" t="s">
        <v>24</v>
      </c>
      <c r="E94" s="58" t="s">
        <v>24</v>
      </c>
      <c r="F94" s="62" t="s">
        <v>24</v>
      </c>
      <c r="G94" s="417">
        <f t="shared" si="3"/>
        <v>0</v>
      </c>
      <c r="H94" s="418">
        <f>SUMIFS(月別入力!$I:$I,月別入力!$E:$E,$C94,月別入力!$B:$B,$B94,月別入力!$H:$H,$F94,月別入力!$D:$D,H$7)</f>
        <v>0</v>
      </c>
      <c r="I94" s="418">
        <f>SUMIFS(月別入力!$I:$I,月別入力!$E:$E,$C94,月別入力!$B:$B,$B94,月別入力!$H:$H,$F94,月別入力!$D:$D,I$7)</f>
        <v>0</v>
      </c>
      <c r="J94" s="418">
        <f>SUMIFS(月別入力!$I:$I,月別入力!$E:$E,$C94,月別入力!$B:$B,$B94,月別入力!$H:$H,$F94,月別入力!$D:$D,J$7)</f>
        <v>0</v>
      </c>
      <c r="K94" s="418">
        <f>SUMIFS(月別入力!$I:$I,月別入力!$E:$E,$C94,月別入力!$B:$B,$B94,月別入力!$H:$H,$F94,月別入力!$D:$D,K$7)</f>
        <v>0</v>
      </c>
      <c r="L94" s="418">
        <f>SUMIFS(月別入力!$I:$I,月別入力!$E:$E,$C94,月別入力!$B:$B,$B94,月別入力!$H:$H,$F94,月別入力!$D:$D,L$7)</f>
        <v>0</v>
      </c>
      <c r="M94" s="418">
        <f>SUMIFS(月別入力!$I:$I,月別入力!$E:$E,$C94,月別入力!$B:$B,$B94,月別入力!$H:$H,$F94,月別入力!$D:$D,M$7)</f>
        <v>0</v>
      </c>
      <c r="N94" s="418">
        <f>SUMIFS(月別入力!$I:$I,月別入力!$E:$E,$C94,月別入力!$B:$B,$B94,月別入力!$H:$H,$F94,月別入力!$D:$D,N$7)</f>
        <v>0</v>
      </c>
      <c r="O94" s="418">
        <f>SUMIFS(月別入力!$I:$I,月別入力!$E:$E,$C94,月別入力!$B:$B,$B94,月別入力!$H:$H,$F94,月別入力!$D:$D,O$7)</f>
        <v>0</v>
      </c>
      <c r="P94" s="418">
        <f>SUMIFS(月別入力!$I:$I,月別入力!$E:$E,$C94,月別入力!$B:$B,$B94,月別入力!$H:$H,$F94,月別入力!$D:$D,P$7)</f>
        <v>0</v>
      </c>
      <c r="Q94" s="418">
        <f>SUMIFS(月別入力!$I:$I,月別入力!$E:$E,$C94,月別入力!$B:$B,$B94,月別入力!$H:$H,$F94,月別入力!$D:$D,Q$7)</f>
        <v>0</v>
      </c>
      <c r="R94" s="419">
        <f>SUMIFS(月別入力!$I:$I,月別入力!$E:$E,$C94,月別入力!$B:$B,$B94,月別入力!$H:$H,$F94,月別入力!$D:$D,R$7)</f>
        <v>0</v>
      </c>
    </row>
    <row r="95" spans="1:18" s="5" customFormat="1" ht="15" customHeight="1" x14ac:dyDescent="0.15">
      <c r="A95" s="5">
        <f t="shared" si="2"/>
        <v>0</v>
      </c>
      <c r="B95" s="56" t="str">
        <f t="shared" si="2"/>
        <v>&lt;=12</v>
      </c>
      <c r="C95" s="57"/>
      <c r="D95" s="61" t="s">
        <v>24</v>
      </c>
      <c r="E95" s="58" t="s">
        <v>24</v>
      </c>
      <c r="F95" s="62" t="s">
        <v>24</v>
      </c>
      <c r="G95" s="417">
        <f t="shared" si="3"/>
        <v>0</v>
      </c>
      <c r="H95" s="418">
        <f>SUMIFS(月別入力!$I:$I,月別入力!$E:$E,$C95,月別入力!$B:$B,$B95,月別入力!$H:$H,$F95,月別入力!$D:$D,H$7)</f>
        <v>0</v>
      </c>
      <c r="I95" s="418">
        <f>SUMIFS(月別入力!$I:$I,月別入力!$E:$E,$C95,月別入力!$B:$B,$B95,月別入力!$H:$H,$F95,月別入力!$D:$D,I$7)</f>
        <v>0</v>
      </c>
      <c r="J95" s="418">
        <f>SUMIFS(月別入力!$I:$I,月別入力!$E:$E,$C95,月別入力!$B:$B,$B95,月別入力!$H:$H,$F95,月別入力!$D:$D,J$7)</f>
        <v>0</v>
      </c>
      <c r="K95" s="418">
        <f>SUMIFS(月別入力!$I:$I,月別入力!$E:$E,$C95,月別入力!$B:$B,$B95,月別入力!$H:$H,$F95,月別入力!$D:$D,K$7)</f>
        <v>0</v>
      </c>
      <c r="L95" s="418">
        <f>SUMIFS(月別入力!$I:$I,月別入力!$E:$E,$C95,月別入力!$B:$B,$B95,月別入力!$H:$H,$F95,月別入力!$D:$D,L$7)</f>
        <v>0</v>
      </c>
      <c r="M95" s="418">
        <f>SUMIFS(月別入力!$I:$I,月別入力!$E:$E,$C95,月別入力!$B:$B,$B95,月別入力!$H:$H,$F95,月別入力!$D:$D,M$7)</f>
        <v>0</v>
      </c>
      <c r="N95" s="418">
        <f>SUMIFS(月別入力!$I:$I,月別入力!$E:$E,$C95,月別入力!$B:$B,$B95,月別入力!$H:$H,$F95,月別入力!$D:$D,N$7)</f>
        <v>0</v>
      </c>
      <c r="O95" s="418">
        <f>SUMIFS(月別入力!$I:$I,月別入力!$E:$E,$C95,月別入力!$B:$B,$B95,月別入力!$H:$H,$F95,月別入力!$D:$D,O$7)</f>
        <v>0</v>
      </c>
      <c r="P95" s="418">
        <f>SUMIFS(月別入力!$I:$I,月別入力!$E:$E,$C95,月別入力!$B:$B,$B95,月別入力!$H:$H,$F95,月別入力!$D:$D,P$7)</f>
        <v>0</v>
      </c>
      <c r="Q95" s="418">
        <f>SUMIFS(月別入力!$I:$I,月別入力!$E:$E,$C95,月別入力!$B:$B,$B95,月別入力!$H:$H,$F95,月別入力!$D:$D,Q$7)</f>
        <v>0</v>
      </c>
      <c r="R95" s="419">
        <f>SUMIFS(月別入力!$I:$I,月別入力!$E:$E,$C95,月別入力!$B:$B,$B95,月別入力!$H:$H,$F95,月別入力!$D:$D,R$7)</f>
        <v>0</v>
      </c>
    </row>
    <row r="96" spans="1:18" s="5" customFormat="1" ht="15" customHeight="1" x14ac:dyDescent="0.15">
      <c r="A96" s="5">
        <f t="shared" si="2"/>
        <v>0</v>
      </c>
      <c r="B96" s="56" t="str">
        <f t="shared" si="2"/>
        <v>&lt;=12</v>
      </c>
      <c r="C96" s="57"/>
      <c r="D96" s="61" t="s">
        <v>24</v>
      </c>
      <c r="E96" s="58" t="s">
        <v>24</v>
      </c>
      <c r="F96" s="62" t="s">
        <v>24</v>
      </c>
      <c r="G96" s="417">
        <f t="shared" si="3"/>
        <v>0</v>
      </c>
      <c r="H96" s="418">
        <f>SUMIFS(月別入力!$I:$I,月別入力!$E:$E,$C96,月別入力!$B:$B,$B96,月別入力!$H:$H,$F96,月別入力!$D:$D,H$7)</f>
        <v>0</v>
      </c>
      <c r="I96" s="418">
        <f>SUMIFS(月別入力!$I:$I,月別入力!$E:$E,$C96,月別入力!$B:$B,$B96,月別入力!$H:$H,$F96,月別入力!$D:$D,I$7)</f>
        <v>0</v>
      </c>
      <c r="J96" s="418">
        <f>SUMIFS(月別入力!$I:$I,月別入力!$E:$E,$C96,月別入力!$B:$B,$B96,月別入力!$H:$H,$F96,月別入力!$D:$D,J$7)</f>
        <v>0</v>
      </c>
      <c r="K96" s="418">
        <f>SUMIFS(月別入力!$I:$I,月別入力!$E:$E,$C96,月別入力!$B:$B,$B96,月別入力!$H:$H,$F96,月別入力!$D:$D,K$7)</f>
        <v>0</v>
      </c>
      <c r="L96" s="418">
        <f>SUMIFS(月別入力!$I:$I,月別入力!$E:$E,$C96,月別入力!$B:$B,$B96,月別入力!$H:$H,$F96,月別入力!$D:$D,L$7)</f>
        <v>0</v>
      </c>
      <c r="M96" s="418">
        <f>SUMIFS(月別入力!$I:$I,月別入力!$E:$E,$C96,月別入力!$B:$B,$B96,月別入力!$H:$H,$F96,月別入力!$D:$D,M$7)</f>
        <v>0</v>
      </c>
      <c r="N96" s="418">
        <f>SUMIFS(月別入力!$I:$I,月別入力!$E:$E,$C96,月別入力!$B:$B,$B96,月別入力!$H:$H,$F96,月別入力!$D:$D,N$7)</f>
        <v>0</v>
      </c>
      <c r="O96" s="418">
        <f>SUMIFS(月別入力!$I:$I,月別入力!$E:$E,$C96,月別入力!$B:$B,$B96,月別入力!$H:$H,$F96,月別入力!$D:$D,O$7)</f>
        <v>0</v>
      </c>
      <c r="P96" s="418">
        <f>SUMIFS(月別入力!$I:$I,月別入力!$E:$E,$C96,月別入力!$B:$B,$B96,月別入力!$H:$H,$F96,月別入力!$D:$D,P$7)</f>
        <v>0</v>
      </c>
      <c r="Q96" s="418">
        <f>SUMIFS(月別入力!$I:$I,月別入力!$E:$E,$C96,月別入力!$B:$B,$B96,月別入力!$H:$H,$F96,月別入力!$D:$D,Q$7)</f>
        <v>0</v>
      </c>
      <c r="R96" s="419">
        <f>SUMIFS(月別入力!$I:$I,月別入力!$E:$E,$C96,月別入力!$B:$B,$B96,月別入力!$H:$H,$F96,月別入力!$D:$D,R$7)</f>
        <v>0</v>
      </c>
    </row>
    <row r="97" spans="1:18" s="5" customFormat="1" ht="15" customHeight="1" x14ac:dyDescent="0.15">
      <c r="A97" s="5">
        <f t="shared" si="2"/>
        <v>0</v>
      </c>
      <c r="B97" s="56" t="str">
        <f t="shared" si="2"/>
        <v>&lt;=12</v>
      </c>
      <c r="C97" s="57"/>
      <c r="D97" s="61" t="s">
        <v>24</v>
      </c>
      <c r="E97" s="58" t="s">
        <v>24</v>
      </c>
      <c r="F97" s="62" t="s">
        <v>24</v>
      </c>
      <c r="G97" s="417">
        <f t="shared" si="3"/>
        <v>0</v>
      </c>
      <c r="H97" s="418">
        <f>SUMIFS(月別入力!$I:$I,月別入力!$E:$E,$C97,月別入力!$B:$B,$B97,月別入力!$H:$H,$F97,月別入力!$D:$D,H$7)</f>
        <v>0</v>
      </c>
      <c r="I97" s="418">
        <f>SUMIFS(月別入力!$I:$I,月別入力!$E:$E,$C97,月別入力!$B:$B,$B97,月別入力!$H:$H,$F97,月別入力!$D:$D,I$7)</f>
        <v>0</v>
      </c>
      <c r="J97" s="418">
        <f>SUMIFS(月別入力!$I:$I,月別入力!$E:$E,$C97,月別入力!$B:$B,$B97,月別入力!$H:$H,$F97,月別入力!$D:$D,J$7)</f>
        <v>0</v>
      </c>
      <c r="K97" s="418">
        <f>SUMIFS(月別入力!$I:$I,月別入力!$E:$E,$C97,月別入力!$B:$B,$B97,月別入力!$H:$H,$F97,月別入力!$D:$D,K$7)</f>
        <v>0</v>
      </c>
      <c r="L97" s="418">
        <f>SUMIFS(月別入力!$I:$I,月別入力!$E:$E,$C97,月別入力!$B:$B,$B97,月別入力!$H:$H,$F97,月別入力!$D:$D,L$7)</f>
        <v>0</v>
      </c>
      <c r="M97" s="418">
        <f>SUMIFS(月別入力!$I:$I,月別入力!$E:$E,$C97,月別入力!$B:$B,$B97,月別入力!$H:$H,$F97,月別入力!$D:$D,M$7)</f>
        <v>0</v>
      </c>
      <c r="N97" s="418">
        <f>SUMIFS(月別入力!$I:$I,月別入力!$E:$E,$C97,月別入力!$B:$B,$B97,月別入力!$H:$H,$F97,月別入力!$D:$D,N$7)</f>
        <v>0</v>
      </c>
      <c r="O97" s="418">
        <f>SUMIFS(月別入力!$I:$I,月別入力!$E:$E,$C97,月別入力!$B:$B,$B97,月別入力!$H:$H,$F97,月別入力!$D:$D,O$7)</f>
        <v>0</v>
      </c>
      <c r="P97" s="418">
        <f>SUMIFS(月別入力!$I:$I,月別入力!$E:$E,$C97,月別入力!$B:$B,$B97,月別入力!$H:$H,$F97,月別入力!$D:$D,P$7)</f>
        <v>0</v>
      </c>
      <c r="Q97" s="418">
        <f>SUMIFS(月別入力!$I:$I,月別入力!$E:$E,$C97,月別入力!$B:$B,$B97,月別入力!$H:$H,$F97,月別入力!$D:$D,Q$7)</f>
        <v>0</v>
      </c>
      <c r="R97" s="419">
        <f>SUMIFS(月別入力!$I:$I,月別入力!$E:$E,$C97,月別入力!$B:$B,$B97,月別入力!$H:$H,$F97,月別入力!$D:$D,R$7)</f>
        <v>0</v>
      </c>
    </row>
    <row r="98" spans="1:18" s="5" customFormat="1" ht="15" customHeight="1" x14ac:dyDescent="0.15">
      <c r="A98" s="5">
        <f t="shared" si="2"/>
        <v>0</v>
      </c>
      <c r="B98" s="56" t="str">
        <f t="shared" si="2"/>
        <v>&lt;=12</v>
      </c>
      <c r="C98" s="57"/>
      <c r="D98" s="61" t="s">
        <v>24</v>
      </c>
      <c r="E98" s="58" t="s">
        <v>24</v>
      </c>
      <c r="F98" s="62" t="s">
        <v>24</v>
      </c>
      <c r="G98" s="417">
        <f t="shared" si="3"/>
        <v>0</v>
      </c>
      <c r="H98" s="418">
        <f>SUMIFS(月別入力!$I:$I,月別入力!$E:$E,$C98,月別入力!$B:$B,$B98,月別入力!$H:$H,$F98,月別入力!$D:$D,H$7)</f>
        <v>0</v>
      </c>
      <c r="I98" s="418">
        <f>SUMIFS(月別入力!$I:$I,月別入力!$E:$E,$C98,月別入力!$B:$B,$B98,月別入力!$H:$H,$F98,月別入力!$D:$D,I$7)</f>
        <v>0</v>
      </c>
      <c r="J98" s="418">
        <f>SUMIFS(月別入力!$I:$I,月別入力!$E:$E,$C98,月別入力!$B:$B,$B98,月別入力!$H:$H,$F98,月別入力!$D:$D,J$7)</f>
        <v>0</v>
      </c>
      <c r="K98" s="418">
        <f>SUMIFS(月別入力!$I:$I,月別入力!$E:$E,$C98,月別入力!$B:$B,$B98,月別入力!$H:$H,$F98,月別入力!$D:$D,K$7)</f>
        <v>0</v>
      </c>
      <c r="L98" s="418">
        <f>SUMIFS(月別入力!$I:$I,月別入力!$E:$E,$C98,月別入力!$B:$B,$B98,月別入力!$H:$H,$F98,月別入力!$D:$D,L$7)</f>
        <v>0</v>
      </c>
      <c r="M98" s="418">
        <f>SUMIFS(月別入力!$I:$I,月別入力!$E:$E,$C98,月別入力!$B:$B,$B98,月別入力!$H:$H,$F98,月別入力!$D:$D,M$7)</f>
        <v>0</v>
      </c>
      <c r="N98" s="418">
        <f>SUMIFS(月別入力!$I:$I,月別入力!$E:$E,$C98,月別入力!$B:$B,$B98,月別入力!$H:$H,$F98,月別入力!$D:$D,N$7)</f>
        <v>0</v>
      </c>
      <c r="O98" s="418">
        <f>SUMIFS(月別入力!$I:$I,月別入力!$E:$E,$C98,月別入力!$B:$B,$B98,月別入力!$H:$H,$F98,月別入力!$D:$D,O$7)</f>
        <v>0</v>
      </c>
      <c r="P98" s="418">
        <f>SUMIFS(月別入力!$I:$I,月別入力!$E:$E,$C98,月別入力!$B:$B,$B98,月別入力!$H:$H,$F98,月別入力!$D:$D,P$7)</f>
        <v>0</v>
      </c>
      <c r="Q98" s="418">
        <f>SUMIFS(月別入力!$I:$I,月別入力!$E:$E,$C98,月別入力!$B:$B,$B98,月別入力!$H:$H,$F98,月別入力!$D:$D,Q$7)</f>
        <v>0</v>
      </c>
      <c r="R98" s="419">
        <f>SUMIFS(月別入力!$I:$I,月別入力!$E:$E,$C98,月別入力!$B:$B,$B98,月別入力!$H:$H,$F98,月別入力!$D:$D,R$7)</f>
        <v>0</v>
      </c>
    </row>
    <row r="99" spans="1:18" s="5" customFormat="1" ht="15" customHeight="1" x14ac:dyDescent="0.15">
      <c r="A99" s="5">
        <f t="shared" si="2"/>
        <v>0</v>
      </c>
      <c r="B99" s="56" t="str">
        <f t="shared" si="2"/>
        <v>&lt;=12</v>
      </c>
      <c r="C99" s="57"/>
      <c r="D99" s="61" t="s">
        <v>24</v>
      </c>
      <c r="E99" s="58" t="s">
        <v>24</v>
      </c>
      <c r="F99" s="62" t="s">
        <v>24</v>
      </c>
      <c r="G99" s="417">
        <f t="shared" si="3"/>
        <v>0</v>
      </c>
      <c r="H99" s="418">
        <f>SUMIFS(月別入力!$I:$I,月別入力!$E:$E,$C99,月別入力!$B:$B,$B99,月別入力!$H:$H,$F99,月別入力!$D:$D,H$7)</f>
        <v>0</v>
      </c>
      <c r="I99" s="418">
        <f>SUMIFS(月別入力!$I:$I,月別入力!$E:$E,$C99,月別入力!$B:$B,$B99,月別入力!$H:$H,$F99,月別入力!$D:$D,I$7)</f>
        <v>0</v>
      </c>
      <c r="J99" s="418">
        <f>SUMIFS(月別入力!$I:$I,月別入力!$E:$E,$C99,月別入力!$B:$B,$B99,月別入力!$H:$H,$F99,月別入力!$D:$D,J$7)</f>
        <v>0</v>
      </c>
      <c r="K99" s="418">
        <f>SUMIFS(月別入力!$I:$I,月別入力!$E:$E,$C99,月別入力!$B:$B,$B99,月別入力!$H:$H,$F99,月別入力!$D:$D,K$7)</f>
        <v>0</v>
      </c>
      <c r="L99" s="418">
        <f>SUMIFS(月別入力!$I:$I,月別入力!$E:$E,$C99,月別入力!$B:$B,$B99,月別入力!$H:$H,$F99,月別入力!$D:$D,L$7)</f>
        <v>0</v>
      </c>
      <c r="M99" s="418">
        <f>SUMIFS(月別入力!$I:$I,月別入力!$E:$E,$C99,月別入力!$B:$B,$B99,月別入力!$H:$H,$F99,月別入力!$D:$D,M$7)</f>
        <v>0</v>
      </c>
      <c r="N99" s="418">
        <f>SUMIFS(月別入力!$I:$I,月別入力!$E:$E,$C99,月別入力!$B:$B,$B99,月別入力!$H:$H,$F99,月別入力!$D:$D,N$7)</f>
        <v>0</v>
      </c>
      <c r="O99" s="418">
        <f>SUMIFS(月別入力!$I:$I,月別入力!$E:$E,$C99,月別入力!$B:$B,$B99,月別入力!$H:$H,$F99,月別入力!$D:$D,O$7)</f>
        <v>0</v>
      </c>
      <c r="P99" s="418">
        <f>SUMIFS(月別入力!$I:$I,月別入力!$E:$E,$C99,月別入力!$B:$B,$B99,月別入力!$H:$H,$F99,月別入力!$D:$D,P$7)</f>
        <v>0</v>
      </c>
      <c r="Q99" s="418">
        <f>SUMIFS(月別入力!$I:$I,月別入力!$E:$E,$C99,月別入力!$B:$B,$B99,月別入力!$H:$H,$F99,月別入力!$D:$D,Q$7)</f>
        <v>0</v>
      </c>
      <c r="R99" s="419">
        <f>SUMIFS(月別入力!$I:$I,月別入力!$E:$E,$C99,月別入力!$B:$B,$B99,月別入力!$H:$H,$F99,月別入力!$D:$D,R$7)</f>
        <v>0</v>
      </c>
    </row>
    <row r="100" spans="1:18" s="5" customFormat="1" ht="15" customHeight="1" x14ac:dyDescent="0.15">
      <c r="A100" s="5">
        <f t="shared" si="2"/>
        <v>0</v>
      </c>
      <c r="B100" s="56" t="str">
        <f t="shared" si="2"/>
        <v>&lt;=12</v>
      </c>
      <c r="C100" s="57"/>
      <c r="D100" s="61" t="s">
        <v>24</v>
      </c>
      <c r="E100" s="58" t="s">
        <v>24</v>
      </c>
      <c r="F100" s="62" t="s">
        <v>24</v>
      </c>
      <c r="G100" s="417">
        <f t="shared" si="3"/>
        <v>0</v>
      </c>
      <c r="H100" s="418">
        <f>SUMIFS(月別入力!$I:$I,月別入力!$E:$E,$C100,月別入力!$B:$B,$B100,月別入力!$H:$H,$F100,月別入力!$D:$D,H$7)</f>
        <v>0</v>
      </c>
      <c r="I100" s="418">
        <f>SUMIFS(月別入力!$I:$I,月別入力!$E:$E,$C100,月別入力!$B:$B,$B100,月別入力!$H:$H,$F100,月別入力!$D:$D,I$7)</f>
        <v>0</v>
      </c>
      <c r="J100" s="418">
        <f>SUMIFS(月別入力!$I:$I,月別入力!$E:$E,$C100,月別入力!$B:$B,$B100,月別入力!$H:$H,$F100,月別入力!$D:$D,J$7)</f>
        <v>0</v>
      </c>
      <c r="K100" s="418">
        <f>SUMIFS(月別入力!$I:$I,月別入力!$E:$E,$C100,月別入力!$B:$B,$B100,月別入力!$H:$H,$F100,月別入力!$D:$D,K$7)</f>
        <v>0</v>
      </c>
      <c r="L100" s="418">
        <f>SUMIFS(月別入力!$I:$I,月別入力!$E:$E,$C100,月別入力!$B:$B,$B100,月別入力!$H:$H,$F100,月別入力!$D:$D,L$7)</f>
        <v>0</v>
      </c>
      <c r="M100" s="418">
        <f>SUMIFS(月別入力!$I:$I,月別入力!$E:$E,$C100,月別入力!$B:$B,$B100,月別入力!$H:$H,$F100,月別入力!$D:$D,M$7)</f>
        <v>0</v>
      </c>
      <c r="N100" s="418">
        <f>SUMIFS(月別入力!$I:$I,月別入力!$E:$E,$C100,月別入力!$B:$B,$B100,月別入力!$H:$H,$F100,月別入力!$D:$D,N$7)</f>
        <v>0</v>
      </c>
      <c r="O100" s="418">
        <f>SUMIFS(月別入力!$I:$I,月別入力!$E:$E,$C100,月別入力!$B:$B,$B100,月別入力!$H:$H,$F100,月別入力!$D:$D,O$7)</f>
        <v>0</v>
      </c>
      <c r="P100" s="418">
        <f>SUMIFS(月別入力!$I:$I,月別入力!$E:$E,$C100,月別入力!$B:$B,$B100,月別入力!$H:$H,$F100,月別入力!$D:$D,P$7)</f>
        <v>0</v>
      </c>
      <c r="Q100" s="418">
        <f>SUMIFS(月別入力!$I:$I,月別入力!$E:$E,$C100,月別入力!$B:$B,$B100,月別入力!$H:$H,$F100,月別入力!$D:$D,Q$7)</f>
        <v>0</v>
      </c>
      <c r="R100" s="419">
        <f>SUMIFS(月別入力!$I:$I,月別入力!$E:$E,$C100,月別入力!$B:$B,$B100,月別入力!$H:$H,$F100,月別入力!$D:$D,R$7)</f>
        <v>0</v>
      </c>
    </row>
    <row r="101" spans="1:18" s="5" customFormat="1" ht="15" customHeight="1" x14ac:dyDescent="0.15">
      <c r="A101" s="5">
        <f t="shared" si="2"/>
        <v>0</v>
      </c>
      <c r="B101" s="56" t="str">
        <f t="shared" si="2"/>
        <v>&lt;=12</v>
      </c>
      <c r="C101" s="57"/>
      <c r="D101" s="61" t="s">
        <v>24</v>
      </c>
      <c r="E101" s="58" t="s">
        <v>24</v>
      </c>
      <c r="F101" s="62" t="s">
        <v>24</v>
      </c>
      <c r="G101" s="417">
        <f t="shared" si="3"/>
        <v>0</v>
      </c>
      <c r="H101" s="418">
        <f>SUMIFS(月別入力!$I:$I,月別入力!$E:$E,$C101,月別入力!$B:$B,$B101,月別入力!$H:$H,$F101,月別入力!$D:$D,H$7)</f>
        <v>0</v>
      </c>
      <c r="I101" s="418">
        <f>SUMIFS(月別入力!$I:$I,月別入力!$E:$E,$C101,月別入力!$B:$B,$B101,月別入力!$H:$H,$F101,月別入力!$D:$D,I$7)</f>
        <v>0</v>
      </c>
      <c r="J101" s="418">
        <f>SUMIFS(月別入力!$I:$I,月別入力!$E:$E,$C101,月別入力!$B:$B,$B101,月別入力!$H:$H,$F101,月別入力!$D:$D,J$7)</f>
        <v>0</v>
      </c>
      <c r="K101" s="418">
        <f>SUMIFS(月別入力!$I:$I,月別入力!$E:$E,$C101,月別入力!$B:$B,$B101,月別入力!$H:$H,$F101,月別入力!$D:$D,K$7)</f>
        <v>0</v>
      </c>
      <c r="L101" s="418">
        <f>SUMIFS(月別入力!$I:$I,月別入力!$E:$E,$C101,月別入力!$B:$B,$B101,月別入力!$H:$H,$F101,月別入力!$D:$D,L$7)</f>
        <v>0</v>
      </c>
      <c r="M101" s="418">
        <f>SUMIFS(月別入力!$I:$I,月別入力!$E:$E,$C101,月別入力!$B:$B,$B101,月別入力!$H:$H,$F101,月別入力!$D:$D,M$7)</f>
        <v>0</v>
      </c>
      <c r="N101" s="418">
        <f>SUMIFS(月別入力!$I:$I,月別入力!$E:$E,$C101,月別入力!$B:$B,$B101,月別入力!$H:$H,$F101,月別入力!$D:$D,N$7)</f>
        <v>0</v>
      </c>
      <c r="O101" s="418">
        <f>SUMIFS(月別入力!$I:$I,月別入力!$E:$E,$C101,月別入力!$B:$B,$B101,月別入力!$H:$H,$F101,月別入力!$D:$D,O$7)</f>
        <v>0</v>
      </c>
      <c r="P101" s="418">
        <f>SUMIFS(月別入力!$I:$I,月別入力!$E:$E,$C101,月別入力!$B:$B,$B101,月別入力!$H:$H,$F101,月別入力!$D:$D,P$7)</f>
        <v>0</v>
      </c>
      <c r="Q101" s="418">
        <f>SUMIFS(月別入力!$I:$I,月別入力!$E:$E,$C101,月別入力!$B:$B,$B101,月別入力!$H:$H,$F101,月別入力!$D:$D,Q$7)</f>
        <v>0</v>
      </c>
      <c r="R101" s="419">
        <f>SUMIFS(月別入力!$I:$I,月別入力!$E:$E,$C101,月別入力!$B:$B,$B101,月別入力!$H:$H,$F101,月別入力!$D:$D,R$7)</f>
        <v>0</v>
      </c>
    </row>
    <row r="102" spans="1:18" s="5" customFormat="1" ht="15" customHeight="1" x14ac:dyDescent="0.15">
      <c r="A102" s="5">
        <f t="shared" ref="A102:B108" si="4">A$9</f>
        <v>0</v>
      </c>
      <c r="B102" s="56" t="str">
        <f t="shared" si="4"/>
        <v>&lt;=12</v>
      </c>
      <c r="C102" s="57"/>
      <c r="D102" s="61" t="s">
        <v>24</v>
      </c>
      <c r="E102" s="58" t="s">
        <v>24</v>
      </c>
      <c r="F102" s="62" t="s">
        <v>24</v>
      </c>
      <c r="G102" s="417">
        <f t="shared" si="3"/>
        <v>0</v>
      </c>
      <c r="H102" s="418">
        <f>SUMIFS(月別入力!$I:$I,月別入力!$E:$E,$C102,月別入力!$B:$B,$B102,月別入力!$H:$H,$F102,月別入力!$D:$D,H$7)</f>
        <v>0</v>
      </c>
      <c r="I102" s="418">
        <f>SUMIFS(月別入力!$I:$I,月別入力!$E:$E,$C102,月別入力!$B:$B,$B102,月別入力!$H:$H,$F102,月別入力!$D:$D,I$7)</f>
        <v>0</v>
      </c>
      <c r="J102" s="418">
        <f>SUMIFS(月別入力!$I:$I,月別入力!$E:$E,$C102,月別入力!$B:$B,$B102,月別入力!$H:$H,$F102,月別入力!$D:$D,J$7)</f>
        <v>0</v>
      </c>
      <c r="K102" s="418">
        <f>SUMIFS(月別入力!$I:$I,月別入力!$E:$E,$C102,月別入力!$B:$B,$B102,月別入力!$H:$H,$F102,月別入力!$D:$D,K$7)</f>
        <v>0</v>
      </c>
      <c r="L102" s="418">
        <f>SUMIFS(月別入力!$I:$I,月別入力!$E:$E,$C102,月別入力!$B:$B,$B102,月別入力!$H:$H,$F102,月別入力!$D:$D,L$7)</f>
        <v>0</v>
      </c>
      <c r="M102" s="418">
        <f>SUMIFS(月別入力!$I:$I,月別入力!$E:$E,$C102,月別入力!$B:$B,$B102,月別入力!$H:$H,$F102,月別入力!$D:$D,M$7)</f>
        <v>0</v>
      </c>
      <c r="N102" s="418">
        <f>SUMIFS(月別入力!$I:$I,月別入力!$E:$E,$C102,月別入力!$B:$B,$B102,月別入力!$H:$H,$F102,月別入力!$D:$D,N$7)</f>
        <v>0</v>
      </c>
      <c r="O102" s="418">
        <f>SUMIFS(月別入力!$I:$I,月別入力!$E:$E,$C102,月別入力!$B:$B,$B102,月別入力!$H:$H,$F102,月別入力!$D:$D,O$7)</f>
        <v>0</v>
      </c>
      <c r="P102" s="418">
        <f>SUMIFS(月別入力!$I:$I,月別入力!$E:$E,$C102,月別入力!$B:$B,$B102,月別入力!$H:$H,$F102,月別入力!$D:$D,P$7)</f>
        <v>0</v>
      </c>
      <c r="Q102" s="418">
        <f>SUMIFS(月別入力!$I:$I,月別入力!$E:$E,$C102,月別入力!$B:$B,$B102,月別入力!$H:$H,$F102,月別入力!$D:$D,Q$7)</f>
        <v>0</v>
      </c>
      <c r="R102" s="419">
        <f>SUMIFS(月別入力!$I:$I,月別入力!$E:$E,$C102,月別入力!$B:$B,$B102,月別入力!$H:$H,$F102,月別入力!$D:$D,R$7)</f>
        <v>0</v>
      </c>
    </row>
    <row r="103" spans="1:18" s="5" customFormat="1" ht="15" customHeight="1" x14ac:dyDescent="0.15">
      <c r="A103" s="5">
        <f t="shared" si="4"/>
        <v>0</v>
      </c>
      <c r="B103" s="56" t="str">
        <f t="shared" si="4"/>
        <v>&lt;=12</v>
      </c>
      <c r="C103" s="57"/>
      <c r="D103" s="61" t="s">
        <v>24</v>
      </c>
      <c r="E103" s="58" t="s">
        <v>24</v>
      </c>
      <c r="F103" s="62" t="s">
        <v>24</v>
      </c>
      <c r="G103" s="417">
        <f t="shared" si="3"/>
        <v>0</v>
      </c>
      <c r="H103" s="418">
        <f>SUMIFS(月別入力!$I:$I,月別入力!$E:$E,$C103,月別入力!$B:$B,$B103,月別入力!$H:$H,$F103,月別入力!$D:$D,H$7)</f>
        <v>0</v>
      </c>
      <c r="I103" s="418">
        <f>SUMIFS(月別入力!$I:$I,月別入力!$E:$E,$C103,月別入力!$B:$B,$B103,月別入力!$H:$H,$F103,月別入力!$D:$D,I$7)</f>
        <v>0</v>
      </c>
      <c r="J103" s="418">
        <f>SUMIFS(月別入力!$I:$I,月別入力!$E:$E,$C103,月別入力!$B:$B,$B103,月別入力!$H:$H,$F103,月別入力!$D:$D,J$7)</f>
        <v>0</v>
      </c>
      <c r="K103" s="418">
        <f>SUMIFS(月別入力!$I:$I,月別入力!$E:$E,$C103,月別入力!$B:$B,$B103,月別入力!$H:$H,$F103,月別入力!$D:$D,K$7)</f>
        <v>0</v>
      </c>
      <c r="L103" s="418">
        <f>SUMIFS(月別入力!$I:$I,月別入力!$E:$E,$C103,月別入力!$B:$B,$B103,月別入力!$H:$H,$F103,月別入力!$D:$D,L$7)</f>
        <v>0</v>
      </c>
      <c r="M103" s="418">
        <f>SUMIFS(月別入力!$I:$I,月別入力!$E:$E,$C103,月別入力!$B:$B,$B103,月別入力!$H:$H,$F103,月別入力!$D:$D,M$7)</f>
        <v>0</v>
      </c>
      <c r="N103" s="418">
        <f>SUMIFS(月別入力!$I:$I,月別入力!$E:$E,$C103,月別入力!$B:$B,$B103,月別入力!$H:$H,$F103,月別入力!$D:$D,N$7)</f>
        <v>0</v>
      </c>
      <c r="O103" s="418">
        <f>SUMIFS(月別入力!$I:$I,月別入力!$E:$E,$C103,月別入力!$B:$B,$B103,月別入力!$H:$H,$F103,月別入力!$D:$D,O$7)</f>
        <v>0</v>
      </c>
      <c r="P103" s="418">
        <f>SUMIFS(月別入力!$I:$I,月別入力!$E:$E,$C103,月別入力!$B:$B,$B103,月別入力!$H:$H,$F103,月別入力!$D:$D,P$7)</f>
        <v>0</v>
      </c>
      <c r="Q103" s="418">
        <f>SUMIFS(月別入力!$I:$I,月別入力!$E:$E,$C103,月別入力!$B:$B,$B103,月別入力!$H:$H,$F103,月別入力!$D:$D,Q$7)</f>
        <v>0</v>
      </c>
      <c r="R103" s="419">
        <f>SUMIFS(月別入力!$I:$I,月別入力!$E:$E,$C103,月別入力!$B:$B,$B103,月別入力!$H:$H,$F103,月別入力!$D:$D,R$7)</f>
        <v>0</v>
      </c>
    </row>
    <row r="104" spans="1:18" s="5" customFormat="1" ht="15" customHeight="1" x14ac:dyDescent="0.15">
      <c r="A104" s="5">
        <f t="shared" si="4"/>
        <v>0</v>
      </c>
      <c r="B104" s="56" t="str">
        <f t="shared" si="4"/>
        <v>&lt;=12</v>
      </c>
      <c r="C104" s="57"/>
      <c r="D104" s="61" t="s">
        <v>24</v>
      </c>
      <c r="E104" s="58" t="s">
        <v>24</v>
      </c>
      <c r="F104" s="62" t="s">
        <v>24</v>
      </c>
      <c r="G104" s="417">
        <f t="shared" si="3"/>
        <v>0</v>
      </c>
      <c r="H104" s="418">
        <f>SUMIFS(月別入力!$I:$I,月別入力!$E:$E,$C104,月別入力!$B:$B,$B104,月別入力!$H:$H,$F104,月別入力!$D:$D,H$7)</f>
        <v>0</v>
      </c>
      <c r="I104" s="418">
        <f>SUMIFS(月別入力!$I:$I,月別入力!$E:$E,$C104,月別入力!$B:$B,$B104,月別入力!$H:$H,$F104,月別入力!$D:$D,I$7)</f>
        <v>0</v>
      </c>
      <c r="J104" s="418">
        <f>SUMIFS(月別入力!$I:$I,月別入力!$E:$E,$C104,月別入力!$B:$B,$B104,月別入力!$H:$H,$F104,月別入力!$D:$D,J$7)</f>
        <v>0</v>
      </c>
      <c r="K104" s="418">
        <f>SUMIFS(月別入力!$I:$I,月別入力!$E:$E,$C104,月別入力!$B:$B,$B104,月別入力!$H:$H,$F104,月別入力!$D:$D,K$7)</f>
        <v>0</v>
      </c>
      <c r="L104" s="418">
        <f>SUMIFS(月別入力!$I:$I,月別入力!$E:$E,$C104,月別入力!$B:$B,$B104,月別入力!$H:$H,$F104,月別入力!$D:$D,L$7)</f>
        <v>0</v>
      </c>
      <c r="M104" s="418">
        <f>SUMIFS(月別入力!$I:$I,月別入力!$E:$E,$C104,月別入力!$B:$B,$B104,月別入力!$H:$H,$F104,月別入力!$D:$D,M$7)</f>
        <v>0</v>
      </c>
      <c r="N104" s="418">
        <f>SUMIFS(月別入力!$I:$I,月別入力!$E:$E,$C104,月別入力!$B:$B,$B104,月別入力!$H:$H,$F104,月別入力!$D:$D,N$7)</f>
        <v>0</v>
      </c>
      <c r="O104" s="418">
        <f>SUMIFS(月別入力!$I:$I,月別入力!$E:$E,$C104,月別入力!$B:$B,$B104,月別入力!$H:$H,$F104,月別入力!$D:$D,O$7)</f>
        <v>0</v>
      </c>
      <c r="P104" s="418">
        <f>SUMIFS(月別入力!$I:$I,月別入力!$E:$E,$C104,月別入力!$B:$B,$B104,月別入力!$H:$H,$F104,月別入力!$D:$D,P$7)</f>
        <v>0</v>
      </c>
      <c r="Q104" s="418">
        <f>SUMIFS(月別入力!$I:$I,月別入力!$E:$E,$C104,月別入力!$B:$B,$B104,月別入力!$H:$H,$F104,月別入力!$D:$D,Q$7)</f>
        <v>0</v>
      </c>
      <c r="R104" s="419">
        <f>SUMIFS(月別入力!$I:$I,月別入力!$E:$E,$C104,月別入力!$B:$B,$B104,月別入力!$H:$H,$F104,月別入力!$D:$D,R$7)</f>
        <v>0</v>
      </c>
    </row>
    <row r="105" spans="1:18" s="5" customFormat="1" ht="15" customHeight="1" x14ac:dyDescent="0.15">
      <c r="A105" s="5">
        <f t="shared" si="4"/>
        <v>0</v>
      </c>
      <c r="B105" s="56" t="str">
        <f t="shared" si="4"/>
        <v>&lt;=12</v>
      </c>
      <c r="C105" s="57"/>
      <c r="D105" s="61" t="s">
        <v>24</v>
      </c>
      <c r="E105" s="58" t="s">
        <v>24</v>
      </c>
      <c r="F105" s="62" t="s">
        <v>24</v>
      </c>
      <c r="G105" s="417">
        <f t="shared" si="3"/>
        <v>0</v>
      </c>
      <c r="H105" s="418">
        <f>SUMIFS(月別入力!$I:$I,月別入力!$E:$E,$C105,月別入力!$B:$B,$B105,月別入力!$H:$H,$F105,月別入力!$D:$D,H$7)</f>
        <v>0</v>
      </c>
      <c r="I105" s="418">
        <f>SUMIFS(月別入力!$I:$I,月別入力!$E:$E,$C105,月別入力!$B:$B,$B105,月別入力!$H:$H,$F105,月別入力!$D:$D,I$7)</f>
        <v>0</v>
      </c>
      <c r="J105" s="418">
        <f>SUMIFS(月別入力!$I:$I,月別入力!$E:$E,$C105,月別入力!$B:$B,$B105,月別入力!$H:$H,$F105,月別入力!$D:$D,J$7)</f>
        <v>0</v>
      </c>
      <c r="K105" s="418">
        <f>SUMIFS(月別入力!$I:$I,月別入力!$E:$E,$C105,月別入力!$B:$B,$B105,月別入力!$H:$H,$F105,月別入力!$D:$D,K$7)</f>
        <v>0</v>
      </c>
      <c r="L105" s="418">
        <f>SUMIFS(月別入力!$I:$I,月別入力!$E:$E,$C105,月別入力!$B:$B,$B105,月別入力!$H:$H,$F105,月別入力!$D:$D,L$7)</f>
        <v>0</v>
      </c>
      <c r="M105" s="418">
        <f>SUMIFS(月別入力!$I:$I,月別入力!$E:$E,$C105,月別入力!$B:$B,$B105,月別入力!$H:$H,$F105,月別入力!$D:$D,M$7)</f>
        <v>0</v>
      </c>
      <c r="N105" s="418">
        <f>SUMIFS(月別入力!$I:$I,月別入力!$E:$E,$C105,月別入力!$B:$B,$B105,月別入力!$H:$H,$F105,月別入力!$D:$D,N$7)</f>
        <v>0</v>
      </c>
      <c r="O105" s="418">
        <f>SUMIFS(月別入力!$I:$I,月別入力!$E:$E,$C105,月別入力!$B:$B,$B105,月別入力!$H:$H,$F105,月別入力!$D:$D,O$7)</f>
        <v>0</v>
      </c>
      <c r="P105" s="418">
        <f>SUMIFS(月別入力!$I:$I,月別入力!$E:$E,$C105,月別入力!$B:$B,$B105,月別入力!$H:$H,$F105,月別入力!$D:$D,P$7)</f>
        <v>0</v>
      </c>
      <c r="Q105" s="418">
        <f>SUMIFS(月別入力!$I:$I,月別入力!$E:$E,$C105,月別入力!$B:$B,$B105,月別入力!$H:$H,$F105,月別入力!$D:$D,Q$7)</f>
        <v>0</v>
      </c>
      <c r="R105" s="419">
        <f>SUMIFS(月別入力!$I:$I,月別入力!$E:$E,$C105,月別入力!$B:$B,$B105,月別入力!$H:$H,$F105,月別入力!$D:$D,R$7)</f>
        <v>0</v>
      </c>
    </row>
    <row r="106" spans="1:18" s="5" customFormat="1" ht="15" customHeight="1" x14ac:dyDescent="0.15">
      <c r="A106" s="5">
        <f t="shared" si="4"/>
        <v>0</v>
      </c>
      <c r="B106" s="56" t="str">
        <f t="shared" si="4"/>
        <v>&lt;=12</v>
      </c>
      <c r="C106" s="57"/>
      <c r="D106" s="61" t="s">
        <v>24</v>
      </c>
      <c r="E106" s="58" t="s">
        <v>24</v>
      </c>
      <c r="F106" s="62" t="s">
        <v>24</v>
      </c>
      <c r="G106" s="417">
        <f t="shared" si="3"/>
        <v>0</v>
      </c>
      <c r="H106" s="418">
        <f>SUMIFS(月別入力!$I:$I,月別入力!$E:$E,$C106,月別入力!$B:$B,$B106,月別入力!$H:$H,$F106,月別入力!$D:$D,H$7)</f>
        <v>0</v>
      </c>
      <c r="I106" s="418">
        <f>SUMIFS(月別入力!$I:$I,月別入力!$E:$E,$C106,月別入力!$B:$B,$B106,月別入力!$H:$H,$F106,月別入力!$D:$D,I$7)</f>
        <v>0</v>
      </c>
      <c r="J106" s="418">
        <f>SUMIFS(月別入力!$I:$I,月別入力!$E:$E,$C106,月別入力!$B:$B,$B106,月別入力!$H:$H,$F106,月別入力!$D:$D,J$7)</f>
        <v>0</v>
      </c>
      <c r="K106" s="418">
        <f>SUMIFS(月別入力!$I:$I,月別入力!$E:$E,$C106,月別入力!$B:$B,$B106,月別入力!$H:$H,$F106,月別入力!$D:$D,K$7)</f>
        <v>0</v>
      </c>
      <c r="L106" s="418">
        <f>SUMIFS(月別入力!$I:$I,月別入力!$E:$E,$C106,月別入力!$B:$B,$B106,月別入力!$H:$H,$F106,月別入力!$D:$D,L$7)</f>
        <v>0</v>
      </c>
      <c r="M106" s="418">
        <f>SUMIFS(月別入力!$I:$I,月別入力!$E:$E,$C106,月別入力!$B:$B,$B106,月別入力!$H:$H,$F106,月別入力!$D:$D,M$7)</f>
        <v>0</v>
      </c>
      <c r="N106" s="418">
        <f>SUMIFS(月別入力!$I:$I,月別入力!$E:$E,$C106,月別入力!$B:$B,$B106,月別入力!$H:$H,$F106,月別入力!$D:$D,N$7)</f>
        <v>0</v>
      </c>
      <c r="O106" s="418">
        <f>SUMIFS(月別入力!$I:$I,月別入力!$E:$E,$C106,月別入力!$B:$B,$B106,月別入力!$H:$H,$F106,月別入力!$D:$D,O$7)</f>
        <v>0</v>
      </c>
      <c r="P106" s="418">
        <f>SUMIFS(月別入力!$I:$I,月別入力!$E:$E,$C106,月別入力!$B:$B,$B106,月別入力!$H:$H,$F106,月別入力!$D:$D,P$7)</f>
        <v>0</v>
      </c>
      <c r="Q106" s="418">
        <f>SUMIFS(月別入力!$I:$I,月別入力!$E:$E,$C106,月別入力!$B:$B,$B106,月別入力!$H:$H,$F106,月別入力!$D:$D,Q$7)</f>
        <v>0</v>
      </c>
      <c r="R106" s="419">
        <f>SUMIFS(月別入力!$I:$I,月別入力!$E:$E,$C106,月別入力!$B:$B,$B106,月別入力!$H:$H,$F106,月別入力!$D:$D,R$7)</f>
        <v>0</v>
      </c>
    </row>
    <row r="107" spans="1:18" s="5" customFormat="1" ht="15" customHeight="1" x14ac:dyDescent="0.15">
      <c r="A107" s="5">
        <f t="shared" si="4"/>
        <v>0</v>
      </c>
      <c r="B107" s="56" t="str">
        <f t="shared" si="4"/>
        <v>&lt;=12</v>
      </c>
      <c r="C107" s="57"/>
      <c r="D107" s="61" t="s">
        <v>24</v>
      </c>
      <c r="E107" s="58" t="s">
        <v>24</v>
      </c>
      <c r="F107" s="62" t="s">
        <v>24</v>
      </c>
      <c r="G107" s="417">
        <f t="shared" si="3"/>
        <v>0</v>
      </c>
      <c r="H107" s="418">
        <f>SUMIFS(月別入力!$I:$I,月別入力!$E:$E,$C107,月別入力!$B:$B,$B107,月別入力!$H:$H,$F107,月別入力!$D:$D,H$7)</f>
        <v>0</v>
      </c>
      <c r="I107" s="418">
        <f>SUMIFS(月別入力!$I:$I,月別入力!$E:$E,$C107,月別入力!$B:$B,$B107,月別入力!$H:$H,$F107,月別入力!$D:$D,I$7)</f>
        <v>0</v>
      </c>
      <c r="J107" s="418">
        <f>SUMIFS(月別入力!$I:$I,月別入力!$E:$E,$C107,月別入力!$B:$B,$B107,月別入力!$H:$H,$F107,月別入力!$D:$D,J$7)</f>
        <v>0</v>
      </c>
      <c r="K107" s="418">
        <f>SUMIFS(月別入力!$I:$I,月別入力!$E:$E,$C107,月別入力!$B:$B,$B107,月別入力!$H:$H,$F107,月別入力!$D:$D,K$7)</f>
        <v>0</v>
      </c>
      <c r="L107" s="418">
        <f>SUMIFS(月別入力!$I:$I,月別入力!$E:$E,$C107,月別入力!$B:$B,$B107,月別入力!$H:$H,$F107,月別入力!$D:$D,L$7)</f>
        <v>0</v>
      </c>
      <c r="M107" s="418">
        <f>SUMIFS(月別入力!$I:$I,月別入力!$E:$E,$C107,月別入力!$B:$B,$B107,月別入力!$H:$H,$F107,月別入力!$D:$D,M$7)</f>
        <v>0</v>
      </c>
      <c r="N107" s="418">
        <f>SUMIFS(月別入力!$I:$I,月別入力!$E:$E,$C107,月別入力!$B:$B,$B107,月別入力!$H:$H,$F107,月別入力!$D:$D,N$7)</f>
        <v>0</v>
      </c>
      <c r="O107" s="418">
        <f>SUMIFS(月別入力!$I:$I,月別入力!$E:$E,$C107,月別入力!$B:$B,$B107,月別入力!$H:$H,$F107,月別入力!$D:$D,O$7)</f>
        <v>0</v>
      </c>
      <c r="P107" s="418">
        <f>SUMIFS(月別入力!$I:$I,月別入力!$E:$E,$C107,月別入力!$B:$B,$B107,月別入力!$H:$H,$F107,月別入力!$D:$D,P$7)</f>
        <v>0</v>
      </c>
      <c r="Q107" s="418">
        <f>SUMIFS(月別入力!$I:$I,月別入力!$E:$E,$C107,月別入力!$B:$B,$B107,月別入力!$H:$H,$F107,月別入力!$D:$D,Q$7)</f>
        <v>0</v>
      </c>
      <c r="R107" s="419">
        <f>SUMIFS(月別入力!$I:$I,月別入力!$E:$E,$C107,月別入力!$B:$B,$B107,月別入力!$H:$H,$F107,月別入力!$D:$D,R$7)</f>
        <v>0</v>
      </c>
    </row>
    <row r="108" spans="1:18" s="5" customFormat="1" ht="15" customHeight="1" thickBot="1" x14ac:dyDescent="0.2">
      <c r="A108" s="5">
        <f t="shared" si="4"/>
        <v>0</v>
      </c>
      <c r="B108" s="63" t="str">
        <f t="shared" si="4"/>
        <v>&lt;=12</v>
      </c>
      <c r="C108" s="64"/>
      <c r="D108" s="65" t="s">
        <v>24</v>
      </c>
      <c r="E108" s="66" t="s">
        <v>24</v>
      </c>
      <c r="F108" s="67" t="s">
        <v>24</v>
      </c>
      <c r="G108" s="423">
        <f t="shared" si="3"/>
        <v>0</v>
      </c>
      <c r="H108" s="424">
        <f>SUMIFS(月別入力!$I:$I,月別入力!$E:$E,$C108,月別入力!$B:$B,$B108,月別入力!$H:$H,$F108,月別入力!$D:$D,H$7)</f>
        <v>0</v>
      </c>
      <c r="I108" s="424">
        <f>SUMIFS(月別入力!$I:$I,月別入力!$E:$E,$C108,月別入力!$B:$B,$B108,月別入力!$H:$H,$F108,月別入力!$D:$D,I$7)</f>
        <v>0</v>
      </c>
      <c r="J108" s="424">
        <f>SUMIFS(月別入力!$I:$I,月別入力!$E:$E,$C108,月別入力!$B:$B,$B108,月別入力!$H:$H,$F108,月別入力!$D:$D,J$7)</f>
        <v>0</v>
      </c>
      <c r="K108" s="424">
        <f>SUMIFS(月別入力!$I:$I,月別入力!$E:$E,$C108,月別入力!$B:$B,$B108,月別入力!$H:$H,$F108,月別入力!$D:$D,K$7)</f>
        <v>0</v>
      </c>
      <c r="L108" s="424">
        <f>SUMIFS(月別入力!$I:$I,月別入力!$E:$E,$C108,月別入力!$B:$B,$B108,月別入力!$H:$H,$F108,月別入力!$D:$D,L$7)</f>
        <v>0</v>
      </c>
      <c r="M108" s="424">
        <f>SUMIFS(月別入力!$I:$I,月別入力!$E:$E,$C108,月別入力!$B:$B,$B108,月別入力!$H:$H,$F108,月別入力!$D:$D,M$7)</f>
        <v>0</v>
      </c>
      <c r="N108" s="424">
        <f>SUMIFS(月別入力!$I:$I,月別入力!$E:$E,$C108,月別入力!$B:$B,$B108,月別入力!$H:$H,$F108,月別入力!$D:$D,N$7)</f>
        <v>0</v>
      </c>
      <c r="O108" s="424">
        <f>SUMIFS(月別入力!$I:$I,月別入力!$E:$E,$C108,月別入力!$B:$B,$B108,月別入力!$H:$H,$F108,月別入力!$D:$D,O$7)</f>
        <v>0</v>
      </c>
      <c r="P108" s="424">
        <f>SUMIFS(月別入力!$I:$I,月別入力!$E:$E,$C108,月別入力!$B:$B,$B108,月別入力!$H:$H,$F108,月別入力!$D:$D,P$7)</f>
        <v>0</v>
      </c>
      <c r="Q108" s="424">
        <f>SUMIFS(月別入力!$I:$I,月別入力!$E:$E,$C108,月別入力!$B:$B,$B108,月別入力!$H:$H,$F108,月別入力!$D:$D,Q$7)</f>
        <v>0</v>
      </c>
      <c r="R108" s="425">
        <f>SUMIFS(月別入力!$I:$I,月別入力!$E:$E,$C108,月別入力!$B:$B,$B108,月別入力!$H:$H,$F108,月別入力!$D:$D,R$7)</f>
        <v>0</v>
      </c>
    </row>
    <row r="109" spans="1:18" ht="15" customHeight="1" x14ac:dyDescent="0.15"/>
    <row r="110" spans="1:18" ht="22.5" customHeight="1" x14ac:dyDescent="0.15"/>
    <row r="111" spans="1:18" ht="22.5" customHeight="1" x14ac:dyDescent="0.15"/>
    <row r="112" spans="1:18" ht="22.5" customHeight="1" x14ac:dyDescent="0.15"/>
    <row r="113" ht="22.5" customHeight="1" x14ac:dyDescent="0.15"/>
    <row r="114" ht="22.5" customHeight="1" x14ac:dyDescent="0.15"/>
    <row r="115" ht="22.5" customHeight="1" x14ac:dyDescent="0.15"/>
    <row r="116" ht="22.5" customHeight="1" x14ac:dyDescent="0.15"/>
    <row r="117" ht="22.5" customHeight="1" x14ac:dyDescent="0.15"/>
    <row r="118" ht="22.5" customHeight="1" x14ac:dyDescent="0.15"/>
    <row r="119" ht="22.5" customHeight="1" x14ac:dyDescent="0.15"/>
    <row r="120" ht="22.5" customHeight="1" x14ac:dyDescent="0.15"/>
    <row r="121" ht="22.5" customHeight="1" x14ac:dyDescent="0.15"/>
    <row r="122" ht="22.5" customHeight="1" x14ac:dyDescent="0.15"/>
    <row r="123" ht="22.5" customHeight="1" x14ac:dyDescent="0.15"/>
    <row r="124" ht="22.5" customHeight="1" x14ac:dyDescent="0.15"/>
    <row r="125" ht="22.5" customHeight="1" x14ac:dyDescent="0.15"/>
    <row r="126" ht="22.5" customHeight="1" x14ac:dyDescent="0.15"/>
    <row r="127" ht="22.5" customHeight="1" x14ac:dyDescent="0.15"/>
    <row r="128" ht="22.5" customHeight="1" x14ac:dyDescent="0.15"/>
    <row r="129" ht="22.5" customHeight="1" x14ac:dyDescent="0.15"/>
    <row r="130" ht="22.5" customHeight="1" x14ac:dyDescent="0.15"/>
    <row r="131" ht="22.5" customHeight="1" x14ac:dyDescent="0.15"/>
    <row r="132" ht="22.5" customHeight="1" x14ac:dyDescent="0.15"/>
    <row r="133" ht="22.5" customHeight="1" x14ac:dyDescent="0.15"/>
    <row r="134" ht="22.5" customHeight="1" x14ac:dyDescent="0.15"/>
    <row r="135" ht="22.5" customHeight="1" x14ac:dyDescent="0.15"/>
    <row r="136" ht="22.5" customHeight="1" x14ac:dyDescent="0.15"/>
    <row r="137" ht="22.5" customHeight="1" x14ac:dyDescent="0.15"/>
    <row r="138" ht="22.5" customHeight="1" x14ac:dyDescent="0.15"/>
    <row r="139" ht="22.5" customHeight="1" x14ac:dyDescent="0.15"/>
    <row r="140" ht="22.5" customHeight="1" x14ac:dyDescent="0.15"/>
    <row r="141" ht="22.5" customHeight="1" x14ac:dyDescent="0.15"/>
    <row r="142" ht="22.5" customHeight="1" x14ac:dyDescent="0.15"/>
    <row r="143" ht="22.5" customHeight="1" x14ac:dyDescent="0.15"/>
    <row r="144" ht="22.5" customHeight="1" x14ac:dyDescent="0.15"/>
    <row r="145" ht="22.5" customHeight="1" x14ac:dyDescent="0.15"/>
    <row r="146" ht="22.5" customHeight="1" x14ac:dyDescent="0.15"/>
    <row r="147" ht="22.5" customHeight="1" x14ac:dyDescent="0.15"/>
    <row r="148" ht="22.5" customHeight="1" x14ac:dyDescent="0.15"/>
    <row r="149" ht="22.5" customHeight="1" x14ac:dyDescent="0.15"/>
    <row r="150" ht="22.5" customHeight="1" x14ac:dyDescent="0.15"/>
    <row r="151" ht="22.5" customHeight="1" x14ac:dyDescent="0.15"/>
    <row r="152" ht="22.5" customHeight="1" x14ac:dyDescent="0.15"/>
    <row r="153" ht="22.5" customHeight="1" x14ac:dyDescent="0.15"/>
    <row r="154" ht="22.5" customHeight="1" x14ac:dyDescent="0.15"/>
    <row r="155" ht="22.5" customHeight="1" x14ac:dyDescent="0.15"/>
    <row r="156" ht="22.5" customHeight="1" x14ac:dyDescent="0.15"/>
    <row r="157" ht="22.5" customHeight="1" x14ac:dyDescent="0.15"/>
    <row r="158" ht="22.5" customHeight="1" x14ac:dyDescent="0.15"/>
    <row r="159" ht="22.5" customHeight="1" x14ac:dyDescent="0.15"/>
    <row r="160" ht="22.5" customHeight="1" x14ac:dyDescent="0.15"/>
    <row r="161" ht="22.5" customHeight="1" x14ac:dyDescent="0.15"/>
    <row r="162" ht="22.5" customHeight="1" x14ac:dyDescent="0.15"/>
    <row r="163" ht="22.5" customHeight="1" x14ac:dyDescent="0.15"/>
    <row r="164" ht="22.5" customHeight="1" x14ac:dyDescent="0.15"/>
    <row r="165" ht="22.5" customHeight="1" x14ac:dyDescent="0.15"/>
    <row r="166" ht="22.5" customHeight="1" x14ac:dyDescent="0.15"/>
    <row r="167" ht="22.5" customHeight="1" x14ac:dyDescent="0.15"/>
    <row r="168" ht="22.5" customHeight="1" x14ac:dyDescent="0.15"/>
    <row r="169" ht="22.5" customHeight="1" x14ac:dyDescent="0.15"/>
    <row r="170" ht="22.5" customHeight="1" x14ac:dyDescent="0.15"/>
    <row r="171" ht="22.5" customHeight="1" x14ac:dyDescent="0.15"/>
    <row r="172" ht="22.5" customHeight="1" x14ac:dyDescent="0.15"/>
    <row r="173" ht="22.5" customHeight="1" x14ac:dyDescent="0.15"/>
    <row r="174" ht="22.5" customHeight="1" x14ac:dyDescent="0.15"/>
    <row r="175" ht="22.5" customHeight="1" x14ac:dyDescent="0.15"/>
    <row r="176" ht="22.5" customHeight="1" x14ac:dyDescent="0.15"/>
    <row r="177" ht="22.5" customHeight="1" x14ac:dyDescent="0.15"/>
    <row r="178" ht="22.5" customHeight="1" x14ac:dyDescent="0.15"/>
    <row r="179" ht="22.5" customHeight="1" x14ac:dyDescent="0.15"/>
    <row r="180" ht="22.5" customHeight="1" x14ac:dyDescent="0.15"/>
    <row r="181" ht="22.5" customHeight="1" x14ac:dyDescent="0.15"/>
    <row r="182" ht="22.5" customHeight="1" x14ac:dyDescent="0.15"/>
    <row r="183" ht="22.5" customHeight="1" x14ac:dyDescent="0.15"/>
    <row r="184" ht="22.5" customHeight="1" x14ac:dyDescent="0.15"/>
    <row r="185" ht="22.5" customHeight="1" x14ac:dyDescent="0.15"/>
    <row r="186" ht="22.5" customHeight="1" x14ac:dyDescent="0.15"/>
    <row r="187" ht="22.5" customHeight="1" x14ac:dyDescent="0.15"/>
    <row r="188" ht="22.5" customHeight="1" x14ac:dyDescent="0.15"/>
    <row r="189" ht="22.5" customHeight="1" x14ac:dyDescent="0.15"/>
    <row r="190" ht="22.5" customHeight="1" x14ac:dyDescent="0.15"/>
    <row r="191" ht="22.5" customHeight="1" x14ac:dyDescent="0.15"/>
    <row r="192" ht="22.5" customHeight="1" x14ac:dyDescent="0.15"/>
    <row r="193" ht="22.5" customHeight="1" x14ac:dyDescent="0.15"/>
    <row r="194" ht="22.5" customHeight="1" x14ac:dyDescent="0.15"/>
    <row r="195" ht="22.5" customHeight="1" x14ac:dyDescent="0.15"/>
    <row r="196" ht="22.5" customHeight="1" x14ac:dyDescent="0.15"/>
    <row r="197" ht="22.5" customHeight="1" x14ac:dyDescent="0.15"/>
    <row r="198" ht="22.5" customHeight="1" x14ac:dyDescent="0.15"/>
    <row r="199" ht="22.5" customHeight="1" x14ac:dyDescent="0.15"/>
    <row r="200" ht="22.5" customHeight="1" x14ac:dyDescent="0.15"/>
    <row r="201" ht="22.5" customHeight="1" x14ac:dyDescent="0.15"/>
    <row r="202" ht="22.5" customHeight="1" x14ac:dyDescent="0.15"/>
    <row r="203" ht="22.5" customHeight="1" x14ac:dyDescent="0.15"/>
    <row r="204" ht="22.5" customHeight="1" x14ac:dyDescent="0.15"/>
    <row r="205" ht="22.5" customHeight="1" x14ac:dyDescent="0.15"/>
    <row r="206" ht="22.5" customHeight="1" x14ac:dyDescent="0.15"/>
    <row r="207" ht="22.5" customHeight="1" x14ac:dyDescent="0.15"/>
    <row r="208" ht="22.5" customHeight="1" x14ac:dyDescent="0.15"/>
    <row r="209" ht="22.5" customHeight="1" x14ac:dyDescent="0.15"/>
    <row r="210" ht="22.5" customHeight="1" x14ac:dyDescent="0.15"/>
    <row r="211" ht="22.5" customHeight="1" x14ac:dyDescent="0.15"/>
    <row r="212" ht="22.5" customHeight="1" x14ac:dyDescent="0.15"/>
    <row r="213" ht="22.5" customHeight="1" x14ac:dyDescent="0.15"/>
    <row r="214" ht="22.5" customHeight="1" x14ac:dyDescent="0.15"/>
    <row r="215" ht="22.5" customHeight="1" x14ac:dyDescent="0.15"/>
    <row r="216" ht="22.5" customHeight="1" x14ac:dyDescent="0.15"/>
    <row r="217" ht="22.5" customHeight="1" x14ac:dyDescent="0.15"/>
    <row r="218" ht="22.5" customHeight="1" x14ac:dyDescent="0.15"/>
    <row r="219" ht="22.5" customHeight="1" x14ac:dyDescent="0.15"/>
    <row r="220" ht="22.5" customHeight="1" x14ac:dyDescent="0.15"/>
    <row r="221" ht="22.5" customHeight="1" x14ac:dyDescent="0.15"/>
    <row r="222" ht="22.5" customHeight="1" x14ac:dyDescent="0.15"/>
    <row r="223" ht="22.5" customHeight="1" x14ac:dyDescent="0.15"/>
    <row r="224" ht="22.5" customHeight="1" x14ac:dyDescent="0.15"/>
    <row r="225" ht="22.5" customHeight="1" x14ac:dyDescent="0.15"/>
    <row r="226" ht="22.5" customHeight="1" x14ac:dyDescent="0.15"/>
    <row r="227" ht="22.5" customHeight="1" x14ac:dyDescent="0.15"/>
    <row r="228" ht="22.5" customHeight="1" x14ac:dyDescent="0.15"/>
    <row r="229" ht="22.5" customHeight="1" x14ac:dyDescent="0.15"/>
    <row r="230" ht="22.5" customHeight="1" x14ac:dyDescent="0.15"/>
    <row r="231" ht="22.5" customHeight="1" x14ac:dyDescent="0.15"/>
    <row r="232" ht="22.5" customHeight="1" x14ac:dyDescent="0.15"/>
    <row r="233" ht="22.5" customHeight="1" x14ac:dyDescent="0.15"/>
    <row r="234" ht="22.5" customHeight="1" x14ac:dyDescent="0.15"/>
    <row r="235" ht="22.5" customHeight="1" x14ac:dyDescent="0.15"/>
    <row r="236" ht="22.5" customHeight="1" x14ac:dyDescent="0.15"/>
    <row r="237" ht="22.5" customHeight="1" x14ac:dyDescent="0.15"/>
    <row r="238" ht="22.5" customHeight="1" x14ac:dyDescent="0.15"/>
    <row r="239" ht="22.5" customHeight="1" x14ac:dyDescent="0.15"/>
    <row r="240" ht="22.5" customHeight="1" x14ac:dyDescent="0.15"/>
    <row r="241" ht="22.5" customHeight="1" x14ac:dyDescent="0.15"/>
    <row r="242" ht="22.5" customHeight="1" x14ac:dyDescent="0.15"/>
    <row r="243" ht="22.5" customHeight="1" x14ac:dyDescent="0.15"/>
    <row r="244" ht="22.5" customHeight="1" x14ac:dyDescent="0.15"/>
    <row r="245" ht="22.5" customHeight="1" x14ac:dyDescent="0.15"/>
    <row r="246" ht="22.5" customHeight="1" x14ac:dyDescent="0.15"/>
    <row r="247" ht="22.5" customHeight="1" x14ac:dyDescent="0.15"/>
    <row r="248" ht="22.5" customHeight="1" x14ac:dyDescent="0.15"/>
    <row r="249" ht="22.5" customHeight="1" x14ac:dyDescent="0.15"/>
    <row r="250" ht="22.5" customHeight="1" x14ac:dyDescent="0.15"/>
    <row r="251" ht="22.5" customHeight="1" x14ac:dyDescent="0.15"/>
    <row r="252" ht="22.5" customHeight="1" x14ac:dyDescent="0.15"/>
    <row r="253" ht="22.5" customHeight="1" x14ac:dyDescent="0.15"/>
    <row r="254" ht="22.5" customHeight="1" x14ac:dyDescent="0.15"/>
    <row r="255" ht="22.5" customHeight="1" x14ac:dyDescent="0.15"/>
    <row r="256" ht="22.5" customHeight="1" x14ac:dyDescent="0.15"/>
    <row r="257" ht="22.5" customHeight="1" x14ac:dyDescent="0.15"/>
    <row r="258" ht="22.5" customHeight="1" x14ac:dyDescent="0.15"/>
    <row r="259" ht="22.5" customHeight="1" x14ac:dyDescent="0.15"/>
    <row r="260" ht="22.5" customHeight="1" x14ac:dyDescent="0.15"/>
    <row r="261" ht="22.5" customHeight="1" x14ac:dyDescent="0.15"/>
    <row r="262" ht="22.5" customHeight="1" x14ac:dyDescent="0.15"/>
    <row r="263" ht="22.5" customHeight="1" x14ac:dyDescent="0.15"/>
    <row r="264" ht="22.5" customHeight="1" x14ac:dyDescent="0.15"/>
    <row r="265" ht="22.5" customHeight="1" x14ac:dyDescent="0.15"/>
    <row r="266" ht="22.5" customHeight="1" x14ac:dyDescent="0.15"/>
    <row r="267" ht="22.5" customHeight="1" x14ac:dyDescent="0.15"/>
    <row r="268" ht="22.5" customHeight="1" x14ac:dyDescent="0.15"/>
    <row r="269" ht="22.5" customHeight="1" x14ac:dyDescent="0.15"/>
    <row r="270" ht="22.5" customHeight="1" x14ac:dyDescent="0.15"/>
    <row r="271" ht="22.5" customHeight="1" x14ac:dyDescent="0.15"/>
    <row r="272" ht="22.5" customHeight="1" x14ac:dyDescent="0.15"/>
    <row r="273" ht="22.5" customHeight="1" x14ac:dyDescent="0.15"/>
    <row r="274" ht="22.5" customHeight="1" x14ac:dyDescent="0.15"/>
    <row r="275" ht="22.5" customHeight="1" x14ac:dyDescent="0.15"/>
    <row r="276" ht="22.5" customHeight="1" x14ac:dyDescent="0.15"/>
    <row r="277" ht="22.5" customHeight="1" x14ac:dyDescent="0.15"/>
    <row r="278" ht="22.5" customHeight="1" x14ac:dyDescent="0.15"/>
    <row r="279" ht="22.5" customHeight="1" x14ac:dyDescent="0.15"/>
    <row r="280" ht="22.5" customHeight="1" x14ac:dyDescent="0.15"/>
    <row r="281" ht="22.5" customHeight="1" x14ac:dyDescent="0.15"/>
    <row r="282" ht="22.5" customHeight="1" x14ac:dyDescent="0.15"/>
    <row r="283" ht="22.5" customHeight="1" x14ac:dyDescent="0.15"/>
    <row r="284" ht="22.5" customHeight="1" x14ac:dyDescent="0.15"/>
    <row r="285" ht="22.5" customHeight="1" x14ac:dyDescent="0.15"/>
    <row r="286" ht="22.5" customHeight="1" x14ac:dyDescent="0.15"/>
    <row r="287" ht="22.5" customHeight="1" x14ac:dyDescent="0.15"/>
    <row r="288" ht="22.5" customHeight="1" x14ac:dyDescent="0.15"/>
    <row r="289" ht="22.5" customHeight="1" x14ac:dyDescent="0.15"/>
    <row r="290" ht="22.5" customHeight="1" x14ac:dyDescent="0.15"/>
    <row r="291" ht="22.5" customHeight="1" x14ac:dyDescent="0.15"/>
    <row r="292" ht="22.5" customHeight="1" x14ac:dyDescent="0.15"/>
    <row r="293" ht="22.5" customHeight="1" x14ac:dyDescent="0.15"/>
    <row r="294" ht="22.5" customHeight="1" x14ac:dyDescent="0.15"/>
    <row r="295" ht="22.5" customHeight="1" x14ac:dyDescent="0.15"/>
    <row r="296" ht="22.5" customHeight="1" x14ac:dyDescent="0.15"/>
    <row r="297" ht="22.5" customHeight="1" x14ac:dyDescent="0.15"/>
    <row r="298" ht="22.5" customHeight="1" x14ac:dyDescent="0.15"/>
    <row r="299" ht="22.5" customHeight="1" x14ac:dyDescent="0.15"/>
    <row r="300" ht="22.5" customHeight="1" x14ac:dyDescent="0.15"/>
    <row r="301" ht="22.5" customHeight="1" x14ac:dyDescent="0.15"/>
    <row r="302" ht="22.5" customHeight="1" x14ac:dyDescent="0.15"/>
    <row r="303" ht="22.5" customHeight="1" x14ac:dyDescent="0.15"/>
    <row r="304" ht="22.5" customHeight="1" x14ac:dyDescent="0.15"/>
    <row r="305" ht="22.5" customHeight="1" x14ac:dyDescent="0.15"/>
    <row r="306" ht="22.5" customHeight="1" x14ac:dyDescent="0.15"/>
    <row r="307" ht="22.5" customHeight="1" x14ac:dyDescent="0.15"/>
    <row r="308" ht="22.5" customHeight="1" x14ac:dyDescent="0.15"/>
    <row r="309" ht="22.5" customHeight="1" x14ac:dyDescent="0.15"/>
    <row r="310" ht="22.5" customHeight="1" x14ac:dyDescent="0.15"/>
    <row r="311" ht="22.5" customHeight="1" x14ac:dyDescent="0.15"/>
    <row r="312" ht="22.5" customHeight="1" x14ac:dyDescent="0.15"/>
    <row r="313" ht="22.5" customHeight="1" x14ac:dyDescent="0.15"/>
    <row r="314" ht="22.5" customHeight="1" x14ac:dyDescent="0.15"/>
    <row r="315" ht="22.5" customHeight="1" x14ac:dyDescent="0.15"/>
    <row r="316" ht="22.5" customHeight="1" x14ac:dyDescent="0.15"/>
    <row r="317" ht="22.5" customHeight="1" x14ac:dyDescent="0.15"/>
    <row r="318" ht="22.5" customHeight="1" x14ac:dyDescent="0.15"/>
    <row r="319" ht="22.5" customHeight="1" x14ac:dyDescent="0.15"/>
    <row r="320" ht="22.5" customHeight="1" x14ac:dyDescent="0.15"/>
    <row r="321" ht="22.5" customHeight="1" x14ac:dyDescent="0.15"/>
    <row r="322" ht="22.5" customHeight="1" x14ac:dyDescent="0.15"/>
    <row r="323" ht="22.5" customHeight="1" x14ac:dyDescent="0.15"/>
    <row r="324" ht="22.5" customHeight="1" x14ac:dyDescent="0.15"/>
    <row r="325" ht="22.5" customHeight="1" x14ac:dyDescent="0.15"/>
    <row r="326" ht="22.5" customHeight="1" x14ac:dyDescent="0.15"/>
    <row r="327" ht="22.5" customHeight="1" x14ac:dyDescent="0.15"/>
    <row r="328" ht="22.5" customHeight="1" x14ac:dyDescent="0.15"/>
    <row r="329" ht="22.5" customHeight="1" x14ac:dyDescent="0.15"/>
    <row r="330" ht="22.5" customHeight="1" x14ac:dyDescent="0.15"/>
    <row r="331" ht="22.5" customHeight="1" x14ac:dyDescent="0.15"/>
    <row r="332" ht="22.5" customHeight="1" x14ac:dyDescent="0.15"/>
    <row r="333" ht="22.5" customHeight="1" x14ac:dyDescent="0.15"/>
    <row r="334" ht="22.5" customHeight="1" x14ac:dyDescent="0.15"/>
    <row r="335" ht="22.5" customHeight="1" x14ac:dyDescent="0.15"/>
    <row r="336" ht="22.5" customHeight="1" x14ac:dyDescent="0.15"/>
    <row r="337" ht="22.5" customHeight="1" x14ac:dyDescent="0.15"/>
    <row r="338" ht="22.5" customHeight="1" x14ac:dyDescent="0.15"/>
    <row r="339" ht="22.5" customHeight="1" x14ac:dyDescent="0.15"/>
    <row r="340" ht="22.5" customHeight="1" x14ac:dyDescent="0.15"/>
    <row r="341" ht="22.5" customHeight="1" x14ac:dyDescent="0.15"/>
    <row r="342" ht="22.5" customHeight="1" x14ac:dyDescent="0.15"/>
    <row r="343" ht="22.5" customHeight="1" x14ac:dyDescent="0.15"/>
    <row r="344" ht="22.5" customHeight="1" x14ac:dyDescent="0.15"/>
    <row r="345" ht="22.5" customHeight="1" x14ac:dyDescent="0.15"/>
    <row r="346" ht="22.5" customHeight="1" x14ac:dyDescent="0.15"/>
    <row r="347" ht="22.5" customHeight="1" x14ac:dyDescent="0.15"/>
    <row r="348" ht="22.5" customHeight="1" x14ac:dyDescent="0.15"/>
    <row r="349" ht="22.5" customHeight="1" x14ac:dyDescent="0.15"/>
    <row r="350" ht="22.5" customHeight="1" x14ac:dyDescent="0.15"/>
    <row r="351" ht="22.5" customHeight="1" x14ac:dyDescent="0.15"/>
    <row r="352" ht="22.5" customHeight="1" x14ac:dyDescent="0.15"/>
    <row r="353" ht="22.5" customHeight="1" x14ac:dyDescent="0.15"/>
    <row r="354" ht="22.5" customHeight="1" x14ac:dyDescent="0.15"/>
    <row r="355" ht="22.5" customHeight="1" x14ac:dyDescent="0.15"/>
    <row r="356" ht="22.5" customHeight="1" x14ac:dyDescent="0.15"/>
    <row r="357" ht="22.5" customHeight="1" x14ac:dyDescent="0.15"/>
    <row r="358" ht="22.5" customHeight="1" x14ac:dyDescent="0.15"/>
    <row r="359" ht="22.5" customHeight="1" x14ac:dyDescent="0.15"/>
    <row r="360" ht="22.5" customHeight="1" x14ac:dyDescent="0.15"/>
    <row r="361" ht="22.5" customHeight="1" x14ac:dyDescent="0.15"/>
    <row r="362" ht="22.5" customHeight="1" x14ac:dyDescent="0.15"/>
    <row r="363" ht="22.5" customHeight="1" x14ac:dyDescent="0.15"/>
    <row r="364" ht="22.5" customHeight="1" x14ac:dyDescent="0.15"/>
    <row r="365" ht="22.5" customHeight="1" x14ac:dyDescent="0.15"/>
    <row r="366" ht="22.5" customHeight="1" x14ac:dyDescent="0.15"/>
    <row r="367" ht="22.5" customHeight="1" x14ac:dyDescent="0.15"/>
    <row r="368" ht="22.5" customHeight="1" x14ac:dyDescent="0.15"/>
    <row r="369" ht="22.5" customHeight="1" x14ac:dyDescent="0.15"/>
    <row r="370" ht="22.5" customHeight="1" x14ac:dyDescent="0.15"/>
    <row r="371" ht="22.5" customHeight="1" x14ac:dyDescent="0.15"/>
    <row r="372" ht="22.5" customHeight="1" x14ac:dyDescent="0.15"/>
    <row r="373" ht="22.5" customHeight="1" x14ac:dyDescent="0.15"/>
    <row r="374" ht="22.5" customHeight="1" x14ac:dyDescent="0.15"/>
    <row r="375" ht="22.5" customHeight="1" x14ac:dyDescent="0.15"/>
    <row r="376" ht="22.5" customHeight="1" x14ac:dyDescent="0.15"/>
    <row r="377" ht="22.5" customHeight="1" x14ac:dyDescent="0.15"/>
    <row r="378" ht="22.5" customHeight="1" x14ac:dyDescent="0.15"/>
    <row r="379" ht="22.5" customHeight="1" x14ac:dyDescent="0.15"/>
    <row r="380" ht="22.5" customHeight="1" x14ac:dyDescent="0.15"/>
    <row r="381" ht="22.5" customHeight="1" x14ac:dyDescent="0.15"/>
    <row r="382" ht="22.5" customHeight="1" x14ac:dyDescent="0.15"/>
    <row r="383" ht="22.5" customHeight="1" x14ac:dyDescent="0.15"/>
    <row r="384" ht="22.5" customHeight="1" x14ac:dyDescent="0.15"/>
    <row r="385" ht="22.5" customHeight="1" x14ac:dyDescent="0.15"/>
    <row r="386" ht="22.5" customHeight="1" x14ac:dyDescent="0.15"/>
    <row r="387" ht="22.5" customHeight="1" x14ac:dyDescent="0.15"/>
    <row r="388" ht="22.5" customHeight="1" x14ac:dyDescent="0.15"/>
    <row r="389" ht="22.5" customHeight="1" x14ac:dyDescent="0.15"/>
    <row r="390" ht="22.5" customHeight="1" x14ac:dyDescent="0.15"/>
    <row r="391" ht="22.5" customHeight="1" x14ac:dyDescent="0.15"/>
    <row r="392" ht="22.5" customHeight="1" x14ac:dyDescent="0.15"/>
    <row r="393" ht="22.5" customHeight="1" x14ac:dyDescent="0.15"/>
    <row r="394" ht="22.5" customHeight="1" x14ac:dyDescent="0.15"/>
    <row r="395" ht="22.5" customHeight="1" x14ac:dyDescent="0.15"/>
    <row r="396" ht="22.5" customHeight="1" x14ac:dyDescent="0.15"/>
    <row r="397" ht="22.5" customHeight="1" x14ac:dyDescent="0.15"/>
    <row r="398" ht="22.5" customHeight="1" x14ac:dyDescent="0.15"/>
    <row r="399" ht="22.5" customHeight="1" x14ac:dyDescent="0.15"/>
    <row r="400" ht="22.5" customHeight="1" x14ac:dyDescent="0.15"/>
    <row r="401" ht="22.5" customHeight="1" x14ac:dyDescent="0.15"/>
    <row r="402" ht="22.5" customHeight="1" x14ac:dyDescent="0.15"/>
    <row r="403" ht="22.5" customHeight="1" x14ac:dyDescent="0.15"/>
    <row r="404" ht="22.5" customHeight="1" x14ac:dyDescent="0.15"/>
    <row r="405" ht="22.5" customHeight="1" x14ac:dyDescent="0.15"/>
    <row r="406" ht="22.5" customHeight="1" x14ac:dyDescent="0.15"/>
    <row r="407" ht="22.5" customHeight="1" x14ac:dyDescent="0.15"/>
    <row r="408" ht="22.5" customHeight="1" x14ac:dyDescent="0.15"/>
    <row r="409" ht="22.5" customHeight="1" x14ac:dyDescent="0.15"/>
    <row r="410" ht="22.5" customHeight="1" x14ac:dyDescent="0.15"/>
    <row r="411" ht="22.5" customHeight="1" x14ac:dyDescent="0.15"/>
    <row r="412" ht="22.5" customHeight="1" x14ac:dyDescent="0.15"/>
    <row r="413" ht="22.5" customHeight="1" x14ac:dyDescent="0.15"/>
    <row r="414" ht="22.5" customHeight="1" x14ac:dyDescent="0.15"/>
    <row r="415" ht="22.5" customHeight="1" x14ac:dyDescent="0.15"/>
    <row r="416" ht="22.5" customHeight="1" x14ac:dyDescent="0.15"/>
    <row r="417" ht="22.5" customHeight="1" x14ac:dyDescent="0.15"/>
    <row r="418" ht="22.5" customHeight="1" x14ac:dyDescent="0.15"/>
    <row r="419" ht="22.5" customHeight="1" x14ac:dyDescent="0.15"/>
    <row r="420" ht="22.5" customHeight="1" x14ac:dyDescent="0.15"/>
    <row r="421" ht="22.5" customHeight="1" x14ac:dyDescent="0.15"/>
    <row r="422" ht="22.5" customHeight="1" x14ac:dyDescent="0.15"/>
    <row r="423" ht="22.5" customHeight="1" x14ac:dyDescent="0.15"/>
    <row r="424" ht="22.5" customHeight="1" x14ac:dyDescent="0.15"/>
    <row r="425" ht="22.5" customHeight="1" x14ac:dyDescent="0.15"/>
    <row r="426" ht="22.5" customHeight="1" x14ac:dyDescent="0.15"/>
    <row r="427" ht="22.5" customHeight="1" x14ac:dyDescent="0.15"/>
    <row r="428" ht="22.5" customHeight="1" x14ac:dyDescent="0.15"/>
    <row r="429" ht="22.5" customHeight="1" x14ac:dyDescent="0.15"/>
    <row r="430" ht="22.5" customHeight="1" x14ac:dyDescent="0.15"/>
    <row r="431" ht="22.5" customHeight="1" x14ac:dyDescent="0.15"/>
    <row r="432" ht="22.5" customHeight="1" x14ac:dyDescent="0.15"/>
    <row r="433" ht="22.5" customHeight="1" x14ac:dyDescent="0.15"/>
    <row r="434" ht="22.5" customHeight="1" x14ac:dyDescent="0.15"/>
    <row r="435" ht="22.5" customHeight="1" x14ac:dyDescent="0.15"/>
    <row r="436" ht="22.5" customHeight="1" x14ac:dyDescent="0.15"/>
    <row r="437" ht="22.5" customHeight="1" x14ac:dyDescent="0.15"/>
    <row r="438" ht="22.5" customHeight="1" x14ac:dyDescent="0.15"/>
    <row r="439" ht="22.5" customHeight="1" x14ac:dyDescent="0.15"/>
    <row r="440" ht="22.5" customHeight="1" x14ac:dyDescent="0.15"/>
    <row r="441" ht="22.5" customHeight="1" x14ac:dyDescent="0.15"/>
    <row r="442" ht="22.5" customHeight="1" x14ac:dyDescent="0.15"/>
    <row r="443" ht="22.5" customHeight="1" x14ac:dyDescent="0.15"/>
    <row r="444" ht="22.5" customHeight="1" x14ac:dyDescent="0.15"/>
    <row r="445" ht="22.5" customHeight="1" x14ac:dyDescent="0.15"/>
    <row r="446" ht="22.5" customHeight="1" x14ac:dyDescent="0.15"/>
    <row r="447" ht="22.5" customHeight="1" x14ac:dyDescent="0.15"/>
    <row r="448" ht="22.5" customHeight="1" x14ac:dyDescent="0.15"/>
    <row r="449" ht="22.5" customHeight="1" x14ac:dyDescent="0.15"/>
    <row r="450" ht="22.5" customHeight="1" x14ac:dyDescent="0.15"/>
    <row r="451" ht="22.5" customHeight="1" x14ac:dyDescent="0.15"/>
    <row r="452" ht="22.5" customHeight="1" x14ac:dyDescent="0.15"/>
    <row r="453" ht="22.5" customHeight="1" x14ac:dyDescent="0.15"/>
    <row r="454" ht="22.5" customHeight="1" x14ac:dyDescent="0.15"/>
    <row r="455" ht="22.5" customHeight="1" x14ac:dyDescent="0.15"/>
    <row r="456" ht="22.5" customHeight="1" x14ac:dyDescent="0.15"/>
    <row r="457" ht="22.5" customHeight="1" x14ac:dyDescent="0.15"/>
    <row r="458" ht="22.5" customHeight="1" x14ac:dyDescent="0.15"/>
    <row r="459" ht="22.5" customHeight="1" x14ac:dyDescent="0.15"/>
    <row r="460" ht="22.5" customHeight="1" x14ac:dyDescent="0.15"/>
    <row r="461" ht="22.5" customHeight="1" x14ac:dyDescent="0.15"/>
    <row r="462" ht="22.5" customHeight="1" x14ac:dyDescent="0.15"/>
    <row r="463" ht="22.5" customHeight="1" x14ac:dyDescent="0.15"/>
    <row r="464" ht="22.5" customHeight="1" x14ac:dyDescent="0.15"/>
    <row r="465" ht="22.5" customHeight="1" x14ac:dyDescent="0.15"/>
    <row r="466" ht="22.5" customHeight="1" x14ac:dyDescent="0.15"/>
    <row r="467" ht="22.5" customHeight="1" x14ac:dyDescent="0.15"/>
    <row r="468" ht="22.5" customHeight="1" x14ac:dyDescent="0.15"/>
    <row r="469" ht="22.5" customHeight="1" x14ac:dyDescent="0.15"/>
    <row r="470" ht="22.5" customHeight="1" x14ac:dyDescent="0.15"/>
    <row r="471" ht="22.5" customHeight="1" x14ac:dyDescent="0.15"/>
    <row r="472" ht="22.5" customHeight="1" x14ac:dyDescent="0.15"/>
    <row r="473" ht="22.5" customHeight="1" x14ac:dyDescent="0.15"/>
    <row r="474" ht="22.5" customHeight="1" x14ac:dyDescent="0.15"/>
    <row r="475" ht="22.5" customHeight="1" x14ac:dyDescent="0.15"/>
    <row r="476" ht="22.5" customHeight="1" x14ac:dyDescent="0.15"/>
    <row r="477" ht="22.5" customHeight="1" x14ac:dyDescent="0.15"/>
    <row r="478" ht="22.5" customHeight="1" x14ac:dyDescent="0.15"/>
    <row r="479" ht="22.5" customHeight="1" x14ac:dyDescent="0.15"/>
    <row r="480" ht="22.5" customHeight="1" x14ac:dyDescent="0.15"/>
    <row r="481" ht="22.5" customHeight="1" x14ac:dyDescent="0.15"/>
    <row r="482" ht="22.5" customHeight="1" x14ac:dyDescent="0.15"/>
    <row r="483" ht="22.5" customHeight="1" x14ac:dyDescent="0.15"/>
    <row r="484" ht="22.5" customHeight="1" x14ac:dyDescent="0.15"/>
    <row r="485" ht="22.5" customHeight="1" x14ac:dyDescent="0.15"/>
    <row r="486" ht="22.5" customHeight="1" x14ac:dyDescent="0.15"/>
    <row r="487" ht="22.5" customHeight="1" x14ac:dyDescent="0.15"/>
    <row r="488" ht="22.5" customHeight="1" x14ac:dyDescent="0.15"/>
    <row r="489" ht="22.5" customHeight="1" x14ac:dyDescent="0.15"/>
    <row r="490" ht="22.5" customHeight="1" x14ac:dyDescent="0.15"/>
    <row r="491" ht="22.5" customHeight="1" x14ac:dyDescent="0.15"/>
    <row r="492" ht="22.5" customHeight="1" x14ac:dyDescent="0.15"/>
    <row r="493" ht="22.5" customHeight="1" x14ac:dyDescent="0.15"/>
    <row r="494" ht="22.5" customHeight="1" x14ac:dyDescent="0.15"/>
    <row r="495" ht="22.5" customHeight="1" x14ac:dyDescent="0.15"/>
    <row r="496" ht="22.5" customHeight="1" x14ac:dyDescent="0.15"/>
    <row r="497" ht="22.5" customHeight="1" x14ac:dyDescent="0.15"/>
    <row r="498" ht="22.5" customHeight="1" x14ac:dyDescent="0.15"/>
    <row r="499" ht="22.5" customHeight="1" x14ac:dyDescent="0.15"/>
    <row r="500" ht="22.5" customHeight="1" x14ac:dyDescent="0.15"/>
    <row r="501" ht="22.5" customHeight="1" x14ac:dyDescent="0.15"/>
    <row r="502" ht="22.5" customHeight="1" x14ac:dyDescent="0.15"/>
    <row r="503" ht="22.5" customHeight="1" x14ac:dyDescent="0.15"/>
    <row r="504" ht="22.5" customHeight="1" x14ac:dyDescent="0.15"/>
    <row r="505" ht="22.5" customHeight="1" x14ac:dyDescent="0.15"/>
    <row r="506" ht="22.5" customHeight="1" x14ac:dyDescent="0.15"/>
    <row r="507" ht="22.5" customHeight="1" x14ac:dyDescent="0.15"/>
    <row r="508" ht="22.5" customHeight="1" x14ac:dyDescent="0.15"/>
    <row r="509" ht="22.5" customHeight="1" x14ac:dyDescent="0.15"/>
    <row r="510" ht="22.5" customHeight="1" x14ac:dyDescent="0.15"/>
    <row r="511" ht="22.5" customHeight="1" x14ac:dyDescent="0.15"/>
    <row r="512" ht="22.5" customHeight="1" x14ac:dyDescent="0.15"/>
    <row r="513" ht="22.5" customHeight="1" x14ac:dyDescent="0.15"/>
    <row r="514" ht="22.5" customHeight="1" x14ac:dyDescent="0.15"/>
    <row r="515" ht="22.5" customHeight="1" x14ac:dyDescent="0.15"/>
    <row r="516" ht="22.5" customHeight="1" x14ac:dyDescent="0.15"/>
    <row r="517" ht="22.5" customHeight="1" x14ac:dyDescent="0.15"/>
    <row r="518" ht="22.5" customHeight="1" x14ac:dyDescent="0.15"/>
    <row r="519" ht="22.5" customHeight="1" x14ac:dyDescent="0.15"/>
    <row r="520" ht="22.5" customHeight="1" x14ac:dyDescent="0.15"/>
    <row r="521" ht="22.5" customHeight="1" x14ac:dyDescent="0.15"/>
    <row r="522" ht="22.5" customHeight="1" x14ac:dyDescent="0.15"/>
    <row r="523" ht="22.5" customHeight="1" x14ac:dyDescent="0.15"/>
    <row r="524" ht="22.5" customHeight="1" x14ac:dyDescent="0.15"/>
    <row r="525" ht="22.5" customHeight="1" x14ac:dyDescent="0.15"/>
    <row r="526" ht="22.5" customHeight="1" x14ac:dyDescent="0.15"/>
    <row r="527" ht="22.5" customHeight="1" x14ac:dyDescent="0.15"/>
    <row r="528" ht="22.5" customHeight="1" x14ac:dyDescent="0.15"/>
    <row r="529" ht="22.5" customHeight="1" x14ac:dyDescent="0.15"/>
    <row r="530" ht="22.5" customHeight="1" x14ac:dyDescent="0.15"/>
    <row r="531" ht="22.5" customHeight="1" x14ac:dyDescent="0.15"/>
    <row r="532" ht="22.5" customHeight="1" x14ac:dyDescent="0.15"/>
    <row r="533" ht="22.5" customHeight="1" x14ac:dyDescent="0.15"/>
    <row r="534" ht="22.5" customHeight="1" x14ac:dyDescent="0.15"/>
    <row r="535" ht="22.5" customHeight="1" x14ac:dyDescent="0.15"/>
    <row r="536" ht="22.5" customHeight="1" x14ac:dyDescent="0.15"/>
    <row r="537" ht="22.5" customHeight="1" x14ac:dyDescent="0.15"/>
    <row r="538" ht="22.5" customHeight="1" x14ac:dyDescent="0.15"/>
    <row r="539" ht="22.5" customHeight="1" x14ac:dyDescent="0.15"/>
    <row r="540" ht="22.5" customHeight="1" x14ac:dyDescent="0.15"/>
    <row r="541" ht="22.5" customHeight="1" x14ac:dyDescent="0.15"/>
    <row r="542" ht="22.5" customHeight="1" x14ac:dyDescent="0.15"/>
    <row r="543" ht="22.5" customHeight="1" x14ac:dyDescent="0.15"/>
    <row r="544" ht="22.5" customHeight="1" x14ac:dyDescent="0.15"/>
    <row r="545" ht="22.5" customHeight="1" x14ac:dyDescent="0.15"/>
    <row r="546" ht="22.5" customHeight="1" x14ac:dyDescent="0.15"/>
    <row r="547" ht="22.5" customHeight="1" x14ac:dyDescent="0.15"/>
    <row r="548" ht="22.5" customHeight="1" x14ac:dyDescent="0.15"/>
    <row r="549" ht="22.5" customHeight="1" x14ac:dyDescent="0.15"/>
    <row r="550" ht="22.5" customHeight="1" x14ac:dyDescent="0.15"/>
    <row r="551" ht="22.5" customHeight="1" x14ac:dyDescent="0.15"/>
    <row r="552" ht="22.5" customHeight="1" x14ac:dyDescent="0.15"/>
    <row r="553" ht="22.5" customHeight="1" x14ac:dyDescent="0.15"/>
    <row r="554" ht="22.5" customHeight="1" x14ac:dyDescent="0.15"/>
    <row r="555" ht="22.5" customHeight="1" x14ac:dyDescent="0.15"/>
    <row r="556" ht="22.5" customHeight="1" x14ac:dyDescent="0.15"/>
    <row r="557" ht="22.5" customHeight="1" x14ac:dyDescent="0.15"/>
    <row r="558" ht="22.5" customHeight="1" x14ac:dyDescent="0.15"/>
    <row r="559" ht="22.5" customHeight="1" x14ac:dyDescent="0.15"/>
    <row r="560" ht="22.5" customHeight="1" x14ac:dyDescent="0.15"/>
    <row r="561" ht="22.5" customHeight="1" x14ac:dyDescent="0.15"/>
    <row r="562" ht="22.5" customHeight="1" x14ac:dyDescent="0.15"/>
    <row r="563" ht="22.5" customHeight="1" x14ac:dyDescent="0.15"/>
    <row r="564" ht="22.5" customHeight="1" x14ac:dyDescent="0.15"/>
    <row r="565" ht="22.5" customHeight="1" x14ac:dyDescent="0.15"/>
    <row r="566" ht="22.5" customHeight="1" x14ac:dyDescent="0.15"/>
    <row r="567" ht="22.5" customHeight="1" x14ac:dyDescent="0.15"/>
    <row r="568" ht="22.5" customHeight="1" x14ac:dyDescent="0.15"/>
    <row r="569" ht="22.5" customHeight="1" x14ac:dyDescent="0.15"/>
    <row r="570" ht="22.5" customHeight="1" x14ac:dyDescent="0.15"/>
  </sheetData>
  <autoFilter ref="B8:R108" xr:uid="{E8815ED3-98BE-4247-BD34-A163F6662E10}"/>
  <mergeCells count="7">
    <mergeCell ref="C1:R1"/>
    <mergeCell ref="C5:F5"/>
    <mergeCell ref="G5:R5"/>
    <mergeCell ref="D2:E2"/>
    <mergeCell ref="D3:E3"/>
    <mergeCell ref="B2:C2"/>
    <mergeCell ref="B3:C3"/>
  </mergeCells>
  <phoneticPr fontId="2"/>
  <conditionalFormatting sqref="Y9:Y17 Y108">
    <cfRule type="expression" dxfId="73" priority="1">
      <formula>#REF!&lt;&gt;Y30</formula>
    </cfRule>
  </conditionalFormatting>
  <conditionalFormatting sqref="Y18:Y107">
    <cfRule type="expression" dxfId="72" priority="2">
      <formula>#REF!&lt;&gt;Y108</formula>
    </cfRule>
  </conditionalFormatting>
  <dataValidations count="2">
    <dataValidation type="list" allowBlank="1" showInputMessage="1" showErrorMessage="1" sqref="B9" xr:uid="{EF318C2F-40F4-4870-8622-EC162C2566EF}">
      <formula1>"&lt;=12,1,2,3,4,5,6,7,8,9,10,11,12"</formula1>
    </dataValidation>
    <dataValidation type="list" allowBlank="1" showInputMessage="1" showErrorMessage="1" sqref="F9:F108" xr:uid="{C120A488-C407-4B34-8482-9D20EE8062A1}">
      <formula1>INDIRECT($D$3)</formula1>
    </dataValidation>
  </dataValidations>
  <pageMargins left="0.19685039370078741" right="0.19685039370078741" top="0.31496062992125984" bottom="0.19685039370078741" header="0" footer="0.27559055118110237"/>
  <pageSetup paperSize="9" orientation="landscape" r:id="rId1"/>
  <headerFooter alignWithMargins="0"/>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E06C15E9-75CE-4766-BB45-2686C31FB723}">
          <x14:formula1>
            <xm:f>'リスト '!$C$2:$C$3</xm:f>
          </x14:formula1>
          <xm:sqref>D9:D108</xm:sqref>
        </x14:dataValidation>
        <x14:dataValidation type="list" allowBlank="1" showInputMessage="1" showErrorMessage="1" xr:uid="{DE9536B1-D831-4701-9441-FE4CA64392AE}">
          <x14:formula1>
            <xm:f>'リスト '!$A$2:$A$3</xm:f>
          </x14:formula1>
          <xm:sqref>D3:E3</xm:sqref>
        </x14:dataValidation>
        <x14:dataValidation type="list" allowBlank="1" showInputMessage="1" showErrorMessage="1" xr:uid="{C3D87043-E94B-4DE7-836C-5A4F2A05A1C7}">
          <x14:formula1>
            <xm:f>'リスト '!$B$2:$B$9</xm:f>
          </x14:formula1>
          <xm:sqref>F3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7F1BA-F7F9-4171-A20E-5A0B55CED745}">
  <sheetPr>
    <pageSetUpPr fitToPage="1"/>
  </sheetPr>
  <dimension ref="B1:I537"/>
  <sheetViews>
    <sheetView showGridLines="0" zoomScaleNormal="100" workbookViewId="0">
      <pane ySplit="6" topLeftCell="A7" activePane="bottomLeft" state="frozen"/>
      <selection pane="bottomLeft" activeCell="A7" sqref="A7"/>
    </sheetView>
  </sheetViews>
  <sheetFormatPr defaultColWidth="1.25" defaultRowHeight="7.5" customHeight="1" x14ac:dyDescent="0.15"/>
  <cols>
    <col min="1" max="1" width="1" style="2" customWidth="1"/>
    <col min="2" max="2" width="3.75" style="2" customWidth="1"/>
    <col min="3" max="4" width="24.75" style="2" customWidth="1"/>
    <col min="5" max="5" width="12.75" style="2" customWidth="1"/>
    <col min="6" max="7" width="6.75" style="3" customWidth="1"/>
    <col min="8" max="8" width="12.75" style="3" customWidth="1"/>
    <col min="9" max="9" width="12.75" style="2" customWidth="1"/>
    <col min="10" max="10" width="0.875" style="2" customWidth="1"/>
    <col min="11" max="11" width="1.25" style="2"/>
    <col min="12" max="12" width="3.5" style="2" bestFit="1" customWidth="1"/>
    <col min="13" max="16384" width="1.25" style="2"/>
  </cols>
  <sheetData>
    <row r="1" spans="2:9" ht="24" customHeight="1" x14ac:dyDescent="0.15">
      <c r="B1" s="450" t="s">
        <v>105</v>
      </c>
      <c r="C1" s="450"/>
      <c r="D1" s="450"/>
      <c r="E1" s="450"/>
      <c r="F1" s="450"/>
      <c r="G1" s="450"/>
      <c r="H1" s="450"/>
      <c r="I1" s="450"/>
    </row>
    <row r="2" spans="2:9" ht="15" customHeight="1" x14ac:dyDescent="0.15">
      <c r="B2" s="451" t="s">
        <v>153</v>
      </c>
      <c r="C2" s="452"/>
      <c r="D2" s="453"/>
      <c r="I2" s="6"/>
    </row>
    <row r="3" spans="2:9" ht="24" customHeight="1" x14ac:dyDescent="0.15">
      <c r="B3" s="454">
        <f>設定!$B$3</f>
        <v>0</v>
      </c>
      <c r="C3" s="455"/>
      <c r="D3" s="456"/>
    </row>
    <row r="4" spans="2:9" ht="7.5" customHeight="1" thickBot="1" x14ac:dyDescent="0.2">
      <c r="E4" s="3"/>
    </row>
    <row r="5" spans="2:9" s="5" customFormat="1" ht="15" customHeight="1" x14ac:dyDescent="0.15">
      <c r="B5" s="457" t="s">
        <v>1</v>
      </c>
      <c r="C5" s="459" t="s">
        <v>26</v>
      </c>
      <c r="D5" s="461" t="s">
        <v>27</v>
      </c>
      <c r="E5" s="463" t="s">
        <v>97</v>
      </c>
      <c r="F5" s="465" t="s">
        <v>28</v>
      </c>
      <c r="G5" s="465" t="s">
        <v>29</v>
      </c>
      <c r="H5" s="465" t="s">
        <v>99</v>
      </c>
      <c r="I5" s="448" t="s">
        <v>100</v>
      </c>
    </row>
    <row r="6" spans="2:9" s="5" customFormat="1" ht="15" customHeight="1" thickBot="1" x14ac:dyDescent="0.2">
      <c r="B6" s="458"/>
      <c r="C6" s="460"/>
      <c r="D6" s="462"/>
      <c r="E6" s="464"/>
      <c r="F6" s="466"/>
      <c r="G6" s="466"/>
      <c r="H6" s="466"/>
      <c r="I6" s="449"/>
    </row>
    <row r="7" spans="2:9" s="5" customFormat="1" ht="24" customHeight="1" x14ac:dyDescent="0.15">
      <c r="B7" s="9"/>
      <c r="C7" s="19"/>
      <c r="D7" s="17"/>
      <c r="E7" s="7"/>
      <c r="F7" s="11" t="str">
        <f>IFERROR(VLOOKUP($E7,設定!$C:$F,2,0),"")</f>
        <v/>
      </c>
      <c r="G7" s="171" t="str">
        <f>IFERROR(VLOOKUP($E7,設定!$C:$F,3,0),"")</f>
        <v/>
      </c>
      <c r="H7" s="19" t="str">
        <f>IFERROR(VLOOKUP($E7,設定!$C:$F,4,0),"")</f>
        <v/>
      </c>
      <c r="I7" s="415"/>
    </row>
    <row r="8" spans="2:9" s="5" customFormat="1" ht="24" customHeight="1" x14ac:dyDescent="0.15">
      <c r="B8" s="9"/>
      <c r="C8" s="19"/>
      <c r="D8" s="17"/>
      <c r="E8" s="7"/>
      <c r="F8" s="11" t="str">
        <f>IFERROR(VLOOKUP($E8,設定!$C:$F,2,0),"")</f>
        <v/>
      </c>
      <c r="G8" s="171" t="str">
        <f>IFERROR(VLOOKUP($E8,設定!$C:$F,3,0),"")</f>
        <v/>
      </c>
      <c r="H8" s="19" t="str">
        <f>IFERROR(VLOOKUP($E8,設定!$C:$F,4,0),"")</f>
        <v/>
      </c>
      <c r="I8" s="415"/>
    </row>
    <row r="9" spans="2:9" s="5" customFormat="1" ht="24" customHeight="1" x14ac:dyDescent="0.15">
      <c r="B9" s="9"/>
      <c r="C9" s="19"/>
      <c r="D9" s="17"/>
      <c r="E9" s="7"/>
      <c r="F9" s="11" t="str">
        <f>IFERROR(VLOOKUP($E9,設定!$C:$F,2,0),"")</f>
        <v/>
      </c>
      <c r="G9" s="171" t="str">
        <f>IFERROR(VLOOKUP($E9,設定!$C:$F,3,0),"")</f>
        <v/>
      </c>
      <c r="H9" s="19" t="str">
        <f>IFERROR(VLOOKUP($E9,設定!$C:$F,4,0),"")</f>
        <v/>
      </c>
      <c r="I9" s="415"/>
    </row>
    <row r="10" spans="2:9" s="5" customFormat="1" ht="24" customHeight="1" x14ac:dyDescent="0.15">
      <c r="B10" s="9"/>
      <c r="C10" s="19"/>
      <c r="D10" s="17"/>
      <c r="E10" s="7"/>
      <c r="F10" s="11" t="str">
        <f>IFERROR(VLOOKUP($E10,設定!$C:$F,2,0),"")</f>
        <v/>
      </c>
      <c r="G10" s="171" t="str">
        <f>IFERROR(VLOOKUP($E10,設定!$C:$F,3,0),"")</f>
        <v/>
      </c>
      <c r="H10" s="19" t="str">
        <f>IFERROR(VLOOKUP($E10,設定!$C:$F,4,0),"")</f>
        <v/>
      </c>
      <c r="I10" s="415"/>
    </row>
    <row r="11" spans="2:9" s="5" customFormat="1" ht="24" customHeight="1" x14ac:dyDescent="0.15">
      <c r="B11" s="9"/>
      <c r="C11" s="19"/>
      <c r="D11" s="17"/>
      <c r="E11" s="7"/>
      <c r="F11" s="11" t="str">
        <f>IFERROR(VLOOKUP($E11,設定!$C:$F,2,0),"")</f>
        <v/>
      </c>
      <c r="G11" s="171" t="str">
        <f>IFERROR(VLOOKUP($E11,設定!$C:$F,3,0),"")</f>
        <v/>
      </c>
      <c r="H11" s="19" t="str">
        <f>IFERROR(VLOOKUP($E11,設定!$C:$F,4,0),"")</f>
        <v/>
      </c>
      <c r="I11" s="415"/>
    </row>
    <row r="12" spans="2:9" s="5" customFormat="1" ht="24" customHeight="1" x14ac:dyDescent="0.15">
      <c r="B12" s="9"/>
      <c r="C12" s="19"/>
      <c r="D12" s="17"/>
      <c r="E12" s="7"/>
      <c r="F12" s="11" t="str">
        <f>IFERROR(VLOOKUP($E12,設定!$C:$F,2,0),"")</f>
        <v/>
      </c>
      <c r="G12" s="171" t="str">
        <f>IFERROR(VLOOKUP($E12,設定!$C:$F,3,0),"")</f>
        <v/>
      </c>
      <c r="H12" s="19" t="str">
        <f>IFERROR(VLOOKUP($E12,設定!$C:$F,4,0),"")</f>
        <v/>
      </c>
      <c r="I12" s="415"/>
    </row>
    <row r="13" spans="2:9" s="5" customFormat="1" ht="24" customHeight="1" x14ac:dyDescent="0.15">
      <c r="B13" s="9"/>
      <c r="C13" s="19"/>
      <c r="D13" s="17"/>
      <c r="E13" s="7"/>
      <c r="F13" s="11" t="str">
        <f>IFERROR(VLOOKUP($E13,設定!$C:$F,2,0),"")</f>
        <v/>
      </c>
      <c r="G13" s="171" t="str">
        <f>IFERROR(VLOOKUP($E13,設定!$C:$F,3,0),"")</f>
        <v/>
      </c>
      <c r="H13" s="19" t="str">
        <f>IFERROR(VLOOKUP($E13,設定!$C:$F,4,0),"")</f>
        <v/>
      </c>
      <c r="I13" s="415"/>
    </row>
    <row r="14" spans="2:9" s="5" customFormat="1" ht="24" customHeight="1" x14ac:dyDescent="0.15">
      <c r="B14" s="9"/>
      <c r="C14" s="19"/>
      <c r="D14" s="17"/>
      <c r="E14" s="7"/>
      <c r="F14" s="11" t="str">
        <f>IFERROR(VLOOKUP($E14,設定!$C:$F,2,0),"")</f>
        <v/>
      </c>
      <c r="G14" s="171" t="str">
        <f>IFERROR(VLOOKUP($E14,設定!$C:$F,3,0),"")</f>
        <v/>
      </c>
      <c r="H14" s="19" t="str">
        <f>IFERROR(VLOOKUP($E14,設定!$C:$F,4,0),"")</f>
        <v/>
      </c>
      <c r="I14" s="415"/>
    </row>
    <row r="15" spans="2:9" s="5" customFormat="1" ht="24" customHeight="1" x14ac:dyDescent="0.15">
      <c r="B15" s="9"/>
      <c r="C15" s="19"/>
      <c r="D15" s="17"/>
      <c r="E15" s="7"/>
      <c r="F15" s="11" t="str">
        <f>IFERROR(VLOOKUP($E15,設定!$C:$F,2,0),"")</f>
        <v/>
      </c>
      <c r="G15" s="171" t="str">
        <f>IFERROR(VLOOKUP($E15,設定!$C:$F,3,0),"")</f>
        <v/>
      </c>
      <c r="H15" s="19" t="str">
        <f>IFERROR(VLOOKUP($E15,設定!$C:$F,4,0),"")</f>
        <v/>
      </c>
      <c r="I15" s="415"/>
    </row>
    <row r="16" spans="2:9" s="5" customFormat="1" ht="24" customHeight="1" x14ac:dyDescent="0.15">
      <c r="B16" s="9"/>
      <c r="C16" s="19"/>
      <c r="D16" s="17"/>
      <c r="E16" s="7"/>
      <c r="F16" s="11" t="str">
        <f>IFERROR(VLOOKUP($E16,設定!$C:$F,2,0),"")</f>
        <v/>
      </c>
      <c r="G16" s="171" t="str">
        <f>IFERROR(VLOOKUP($E16,設定!$C:$F,3,0),"")</f>
        <v/>
      </c>
      <c r="H16" s="19" t="str">
        <f>IFERROR(VLOOKUP($E16,設定!$C:$F,4,0),"")</f>
        <v/>
      </c>
      <c r="I16" s="415"/>
    </row>
    <row r="17" spans="2:9" s="5" customFormat="1" ht="24" customHeight="1" x14ac:dyDescent="0.15">
      <c r="B17" s="9"/>
      <c r="C17" s="19"/>
      <c r="D17" s="17"/>
      <c r="E17" s="7"/>
      <c r="F17" s="11" t="str">
        <f>IFERROR(VLOOKUP($E17,設定!$C:$F,2,0),"")</f>
        <v/>
      </c>
      <c r="G17" s="171" t="str">
        <f>IFERROR(VLOOKUP($E17,設定!$C:$F,3,0),"")</f>
        <v/>
      </c>
      <c r="H17" s="19" t="str">
        <f>IFERROR(VLOOKUP($E17,設定!$C:$F,4,0),"")</f>
        <v/>
      </c>
      <c r="I17" s="415"/>
    </row>
    <row r="18" spans="2:9" s="5" customFormat="1" ht="24" customHeight="1" x14ac:dyDescent="0.15">
      <c r="B18" s="9"/>
      <c r="C18" s="19"/>
      <c r="D18" s="17"/>
      <c r="E18" s="7"/>
      <c r="F18" s="11" t="str">
        <f>IFERROR(VLOOKUP($E18,設定!$C:$F,2,0),"")</f>
        <v/>
      </c>
      <c r="G18" s="171" t="str">
        <f>IFERROR(VLOOKUP($E18,設定!$C:$F,3,0),"")</f>
        <v/>
      </c>
      <c r="H18" s="19" t="str">
        <f>IFERROR(VLOOKUP($E18,設定!$C:$F,4,0),"")</f>
        <v/>
      </c>
      <c r="I18" s="415"/>
    </row>
    <row r="19" spans="2:9" s="5" customFormat="1" ht="24" customHeight="1" x14ac:dyDescent="0.15">
      <c r="B19" s="9"/>
      <c r="C19" s="19"/>
      <c r="D19" s="17"/>
      <c r="E19" s="7"/>
      <c r="F19" s="11" t="str">
        <f>IFERROR(VLOOKUP($E19,設定!$C:$F,2,0),"")</f>
        <v/>
      </c>
      <c r="G19" s="171" t="str">
        <f>IFERROR(VLOOKUP($E19,設定!$C:$F,3,0),"")</f>
        <v/>
      </c>
      <c r="H19" s="19" t="str">
        <f>IFERROR(VLOOKUP($E19,設定!$C:$F,4,0),"")</f>
        <v/>
      </c>
      <c r="I19" s="415"/>
    </row>
    <row r="20" spans="2:9" s="5" customFormat="1" ht="24" customHeight="1" x14ac:dyDescent="0.15">
      <c r="B20" s="9"/>
      <c r="C20" s="19"/>
      <c r="D20" s="17"/>
      <c r="E20" s="7"/>
      <c r="F20" s="11" t="str">
        <f>IFERROR(VLOOKUP($E20,設定!$C:$F,2,0),"")</f>
        <v/>
      </c>
      <c r="G20" s="171" t="str">
        <f>IFERROR(VLOOKUP($E20,設定!$C:$F,3,0),"")</f>
        <v/>
      </c>
      <c r="H20" s="19" t="str">
        <f>IFERROR(VLOOKUP($E20,設定!$C:$F,4,0),"")</f>
        <v/>
      </c>
      <c r="I20" s="415"/>
    </row>
    <row r="21" spans="2:9" s="5" customFormat="1" ht="24" customHeight="1" x14ac:dyDescent="0.15">
      <c r="B21" s="9"/>
      <c r="C21" s="19"/>
      <c r="D21" s="17"/>
      <c r="E21" s="7"/>
      <c r="F21" s="11" t="str">
        <f>IFERROR(VLOOKUP($E21,設定!$C:$F,2,0),"")</f>
        <v/>
      </c>
      <c r="G21" s="171" t="str">
        <f>IFERROR(VLOOKUP($E21,設定!$C:$F,3,0),"")</f>
        <v/>
      </c>
      <c r="H21" s="19" t="str">
        <f>IFERROR(VLOOKUP($E21,設定!$C:$F,4,0),"")</f>
        <v/>
      </c>
      <c r="I21" s="415"/>
    </row>
    <row r="22" spans="2:9" s="5" customFormat="1" ht="24" customHeight="1" x14ac:dyDescent="0.15">
      <c r="B22" s="9"/>
      <c r="C22" s="19"/>
      <c r="D22" s="17"/>
      <c r="E22" s="7"/>
      <c r="F22" s="11" t="str">
        <f>IFERROR(VLOOKUP($E22,設定!$C:$F,2,0),"")</f>
        <v/>
      </c>
      <c r="G22" s="171" t="str">
        <f>IFERROR(VLOOKUP($E22,設定!$C:$F,3,0),"")</f>
        <v/>
      </c>
      <c r="H22" s="19" t="str">
        <f>IFERROR(VLOOKUP($E22,設定!$C:$F,4,0),"")</f>
        <v/>
      </c>
      <c r="I22" s="415"/>
    </row>
    <row r="23" spans="2:9" s="5" customFormat="1" ht="24" customHeight="1" x14ac:dyDescent="0.15">
      <c r="B23" s="9"/>
      <c r="C23" s="19"/>
      <c r="D23" s="17"/>
      <c r="E23" s="7"/>
      <c r="F23" s="11" t="str">
        <f>IFERROR(VLOOKUP($E23,設定!$C:$F,2,0),"")</f>
        <v/>
      </c>
      <c r="G23" s="171" t="str">
        <f>IFERROR(VLOOKUP($E23,設定!$C:$F,3,0),"")</f>
        <v/>
      </c>
      <c r="H23" s="19" t="str">
        <f>IFERROR(VLOOKUP($E23,設定!$C:$F,4,0),"")</f>
        <v/>
      </c>
      <c r="I23" s="415"/>
    </row>
    <row r="24" spans="2:9" s="5" customFormat="1" ht="24" customHeight="1" x14ac:dyDescent="0.15">
      <c r="B24" s="9"/>
      <c r="C24" s="19"/>
      <c r="D24" s="17"/>
      <c r="E24" s="7"/>
      <c r="F24" s="11" t="str">
        <f>IFERROR(VLOOKUP($E24,設定!$C:$F,2,0),"")</f>
        <v/>
      </c>
      <c r="G24" s="171" t="str">
        <f>IFERROR(VLOOKUP($E24,設定!$C:$F,3,0),"")</f>
        <v/>
      </c>
      <c r="H24" s="19" t="str">
        <f>IFERROR(VLOOKUP($E24,設定!$C:$F,4,0),"")</f>
        <v/>
      </c>
      <c r="I24" s="415"/>
    </row>
    <row r="25" spans="2:9" s="5" customFormat="1" ht="24" customHeight="1" x14ac:dyDescent="0.15">
      <c r="B25" s="9"/>
      <c r="C25" s="19"/>
      <c r="D25" s="17"/>
      <c r="E25" s="7"/>
      <c r="F25" s="11" t="str">
        <f>IFERROR(VLOOKUP($E25,設定!$C:$F,2,0),"")</f>
        <v/>
      </c>
      <c r="G25" s="171" t="str">
        <f>IFERROR(VLOOKUP($E25,設定!$C:$F,3,0),"")</f>
        <v/>
      </c>
      <c r="H25" s="19" t="str">
        <f>IFERROR(VLOOKUP($E25,設定!$C:$F,4,0),"")</f>
        <v/>
      </c>
      <c r="I25" s="415"/>
    </row>
    <row r="26" spans="2:9" s="5" customFormat="1" ht="24" customHeight="1" x14ac:dyDescent="0.15">
      <c r="B26" s="9"/>
      <c r="C26" s="19"/>
      <c r="D26" s="17"/>
      <c r="E26" s="7"/>
      <c r="F26" s="11" t="str">
        <f>IFERROR(VLOOKUP($E26,設定!$C:$F,2,0),"")</f>
        <v/>
      </c>
      <c r="G26" s="171" t="str">
        <f>IFERROR(VLOOKUP($E26,設定!$C:$F,3,0),"")</f>
        <v/>
      </c>
      <c r="H26" s="19" t="str">
        <f>IFERROR(VLOOKUP($E26,設定!$C:$F,4,0),"")</f>
        <v/>
      </c>
      <c r="I26" s="415"/>
    </row>
    <row r="27" spans="2:9" s="5" customFormat="1" ht="24" customHeight="1" x14ac:dyDescent="0.15">
      <c r="B27" s="9"/>
      <c r="C27" s="19"/>
      <c r="D27" s="17"/>
      <c r="E27" s="7"/>
      <c r="F27" s="11" t="str">
        <f>IFERROR(VLOOKUP($E27,設定!$C:$F,2,0),"")</f>
        <v/>
      </c>
      <c r="G27" s="171" t="str">
        <f>IFERROR(VLOOKUP($E27,設定!$C:$F,3,0),"")</f>
        <v/>
      </c>
      <c r="H27" s="19" t="str">
        <f>IFERROR(VLOOKUP($E27,設定!$C:$F,4,0),"")</f>
        <v/>
      </c>
      <c r="I27" s="415"/>
    </row>
    <row r="28" spans="2:9" s="5" customFormat="1" ht="24" customHeight="1" x14ac:dyDescent="0.15">
      <c r="B28" s="9"/>
      <c r="C28" s="19"/>
      <c r="D28" s="17"/>
      <c r="E28" s="7"/>
      <c r="F28" s="11" t="str">
        <f>IFERROR(VLOOKUP($E28,設定!$C:$F,2,0),"")</f>
        <v/>
      </c>
      <c r="G28" s="171" t="str">
        <f>IFERROR(VLOOKUP($E28,設定!$C:$F,3,0),"")</f>
        <v/>
      </c>
      <c r="H28" s="19" t="str">
        <f>IFERROR(VLOOKUP($E28,設定!$C:$F,4,0),"")</f>
        <v/>
      </c>
      <c r="I28" s="415"/>
    </row>
    <row r="29" spans="2:9" s="5" customFormat="1" ht="24" customHeight="1" x14ac:dyDescent="0.15">
      <c r="B29" s="9"/>
      <c r="C29" s="19"/>
      <c r="D29" s="17"/>
      <c r="E29" s="7"/>
      <c r="F29" s="11" t="str">
        <f>IFERROR(VLOOKUP($E29,設定!$C:$F,2,0),"")</f>
        <v/>
      </c>
      <c r="G29" s="171" t="str">
        <f>IFERROR(VLOOKUP($E29,設定!$C:$F,3,0),"")</f>
        <v/>
      </c>
      <c r="H29" s="19" t="str">
        <f>IFERROR(VLOOKUP($E29,設定!$C:$F,4,0),"")</f>
        <v/>
      </c>
      <c r="I29" s="415"/>
    </row>
    <row r="30" spans="2:9" s="5" customFormat="1" ht="24" customHeight="1" x14ac:dyDescent="0.15">
      <c r="B30" s="9"/>
      <c r="C30" s="19"/>
      <c r="D30" s="17"/>
      <c r="E30" s="7"/>
      <c r="F30" s="11" t="str">
        <f>IFERROR(VLOOKUP($E30,設定!$C:$F,2,0),"")</f>
        <v/>
      </c>
      <c r="G30" s="171" t="str">
        <f>IFERROR(VLOOKUP($E30,設定!$C:$F,3,0),"")</f>
        <v/>
      </c>
      <c r="H30" s="19" t="str">
        <f>IFERROR(VLOOKUP($E30,設定!$C:$F,4,0),"")</f>
        <v/>
      </c>
      <c r="I30" s="415"/>
    </row>
    <row r="31" spans="2:9" s="5" customFormat="1" ht="24" customHeight="1" x14ac:dyDescent="0.15">
      <c r="B31" s="9"/>
      <c r="C31" s="19"/>
      <c r="D31" s="17"/>
      <c r="E31" s="7"/>
      <c r="F31" s="11" t="str">
        <f>IFERROR(VLOOKUP($E31,設定!$C:$F,2,0),"")</f>
        <v/>
      </c>
      <c r="G31" s="171" t="str">
        <f>IFERROR(VLOOKUP($E31,設定!$C:$F,3,0),"")</f>
        <v/>
      </c>
      <c r="H31" s="19" t="str">
        <f>IFERROR(VLOOKUP($E31,設定!$C:$F,4,0),"")</f>
        <v/>
      </c>
      <c r="I31" s="415"/>
    </row>
    <row r="32" spans="2:9" s="5" customFormat="1" ht="24" customHeight="1" x14ac:dyDescent="0.15">
      <c r="B32" s="9"/>
      <c r="C32" s="19"/>
      <c r="D32" s="17"/>
      <c r="E32" s="7"/>
      <c r="F32" s="11" t="str">
        <f>IFERROR(VLOOKUP($E32,設定!$C:$F,2,0),"")</f>
        <v/>
      </c>
      <c r="G32" s="171" t="str">
        <f>IFERROR(VLOOKUP($E32,設定!$C:$F,3,0),"")</f>
        <v/>
      </c>
      <c r="H32" s="19" t="str">
        <f>IFERROR(VLOOKUP($E32,設定!$C:$F,4,0),"")</f>
        <v/>
      </c>
      <c r="I32" s="415"/>
    </row>
    <row r="33" spans="2:9" s="5" customFormat="1" ht="24" customHeight="1" x14ac:dyDescent="0.15">
      <c r="B33" s="9"/>
      <c r="C33" s="19"/>
      <c r="D33" s="17"/>
      <c r="E33" s="7"/>
      <c r="F33" s="11" t="str">
        <f>IFERROR(VLOOKUP($E33,設定!$C:$F,2,0),"")</f>
        <v/>
      </c>
      <c r="G33" s="171" t="str">
        <f>IFERROR(VLOOKUP($E33,設定!$C:$F,3,0),"")</f>
        <v/>
      </c>
      <c r="H33" s="19" t="str">
        <f>IFERROR(VLOOKUP($E33,設定!$C:$F,4,0),"")</f>
        <v/>
      </c>
      <c r="I33" s="415"/>
    </row>
    <row r="34" spans="2:9" s="5" customFormat="1" ht="24" customHeight="1" x14ac:dyDescent="0.15">
      <c r="B34" s="9"/>
      <c r="C34" s="19"/>
      <c r="D34" s="17"/>
      <c r="E34" s="7"/>
      <c r="F34" s="11" t="str">
        <f>IFERROR(VLOOKUP($E34,設定!$C:$F,2,0),"")</f>
        <v/>
      </c>
      <c r="G34" s="171" t="str">
        <f>IFERROR(VLOOKUP($E34,設定!$C:$F,3,0),"")</f>
        <v/>
      </c>
      <c r="H34" s="19" t="str">
        <f>IFERROR(VLOOKUP($E34,設定!$C:$F,4,0),"")</f>
        <v/>
      </c>
      <c r="I34" s="415"/>
    </row>
    <row r="35" spans="2:9" s="5" customFormat="1" ht="24" customHeight="1" x14ac:dyDescent="0.15">
      <c r="B35" s="9"/>
      <c r="C35" s="19"/>
      <c r="D35" s="17"/>
      <c r="E35" s="7"/>
      <c r="F35" s="11" t="str">
        <f>IFERROR(VLOOKUP($E35,設定!$C:$F,2,0),"")</f>
        <v/>
      </c>
      <c r="G35" s="171" t="str">
        <f>IFERROR(VLOOKUP($E35,設定!$C:$F,3,0),"")</f>
        <v/>
      </c>
      <c r="H35" s="19" t="str">
        <f>IFERROR(VLOOKUP($E35,設定!$C:$F,4,0),"")</f>
        <v/>
      </c>
      <c r="I35" s="415"/>
    </row>
    <row r="36" spans="2:9" s="5" customFormat="1" ht="24" customHeight="1" x14ac:dyDescent="0.15">
      <c r="B36" s="9"/>
      <c r="C36" s="19"/>
      <c r="D36" s="17"/>
      <c r="E36" s="7"/>
      <c r="F36" s="11" t="str">
        <f>IFERROR(VLOOKUP($E36,設定!$C:$F,2,0),"")</f>
        <v/>
      </c>
      <c r="G36" s="171" t="str">
        <f>IFERROR(VLOOKUP($E36,設定!$C:$F,3,0),"")</f>
        <v/>
      </c>
      <c r="H36" s="19" t="str">
        <f>IFERROR(VLOOKUP($E36,設定!$C:$F,4,0),"")</f>
        <v/>
      </c>
      <c r="I36" s="415"/>
    </row>
    <row r="37" spans="2:9" s="5" customFormat="1" ht="24" customHeight="1" x14ac:dyDescent="0.15">
      <c r="B37" s="9"/>
      <c r="C37" s="19"/>
      <c r="D37" s="17"/>
      <c r="E37" s="7"/>
      <c r="F37" s="11" t="str">
        <f>IFERROR(VLOOKUP($E37,設定!$C:$F,2,0),"")</f>
        <v/>
      </c>
      <c r="G37" s="171" t="str">
        <f>IFERROR(VLOOKUP($E37,設定!$C:$F,3,0),"")</f>
        <v/>
      </c>
      <c r="H37" s="19" t="str">
        <f>IFERROR(VLOOKUP($E37,設定!$C:$F,4,0),"")</f>
        <v/>
      </c>
      <c r="I37" s="415"/>
    </row>
    <row r="38" spans="2:9" s="5" customFormat="1" ht="24" customHeight="1" x14ac:dyDescent="0.15">
      <c r="B38" s="9"/>
      <c r="C38" s="19"/>
      <c r="D38" s="17"/>
      <c r="E38" s="7"/>
      <c r="F38" s="11" t="str">
        <f>IFERROR(VLOOKUP($E38,設定!$C:$F,2,0),"")</f>
        <v/>
      </c>
      <c r="G38" s="171" t="str">
        <f>IFERROR(VLOOKUP($E38,設定!$C:$F,3,0),"")</f>
        <v/>
      </c>
      <c r="H38" s="19" t="str">
        <f>IFERROR(VLOOKUP($E38,設定!$C:$F,4,0),"")</f>
        <v/>
      </c>
      <c r="I38" s="415"/>
    </row>
    <row r="39" spans="2:9" s="5" customFormat="1" ht="24" customHeight="1" x14ac:dyDescent="0.15">
      <c r="B39" s="9"/>
      <c r="C39" s="19"/>
      <c r="D39" s="17"/>
      <c r="E39" s="7"/>
      <c r="F39" s="11" t="str">
        <f>IFERROR(VLOOKUP($E39,設定!$C:$F,2,0),"")</f>
        <v/>
      </c>
      <c r="G39" s="171" t="str">
        <f>IFERROR(VLOOKUP($E39,設定!$C:$F,3,0),"")</f>
        <v/>
      </c>
      <c r="H39" s="19" t="str">
        <f>IFERROR(VLOOKUP($E39,設定!$C:$F,4,0),"")</f>
        <v/>
      </c>
      <c r="I39" s="415"/>
    </row>
    <row r="40" spans="2:9" s="5" customFormat="1" ht="24" customHeight="1" x14ac:dyDescent="0.15">
      <c r="B40" s="9"/>
      <c r="C40" s="19"/>
      <c r="D40" s="17"/>
      <c r="E40" s="7"/>
      <c r="F40" s="11" t="str">
        <f>IFERROR(VLOOKUP($E40,設定!$C:$F,2,0),"")</f>
        <v/>
      </c>
      <c r="G40" s="171" t="str">
        <f>IFERROR(VLOOKUP($E40,設定!$C:$F,3,0),"")</f>
        <v/>
      </c>
      <c r="H40" s="19" t="str">
        <f>IFERROR(VLOOKUP($E40,設定!$C:$F,4,0),"")</f>
        <v/>
      </c>
      <c r="I40" s="415"/>
    </row>
    <row r="41" spans="2:9" s="5" customFormat="1" ht="24" customHeight="1" x14ac:dyDescent="0.15">
      <c r="B41" s="9"/>
      <c r="C41" s="19"/>
      <c r="D41" s="17"/>
      <c r="E41" s="7"/>
      <c r="F41" s="11" t="str">
        <f>IFERROR(VLOOKUP($E41,設定!$C:$F,2,0),"")</f>
        <v/>
      </c>
      <c r="G41" s="171" t="str">
        <f>IFERROR(VLOOKUP($E41,設定!$C:$F,3,0),"")</f>
        <v/>
      </c>
      <c r="H41" s="19" t="str">
        <f>IFERROR(VLOOKUP($E41,設定!$C:$F,4,0),"")</f>
        <v/>
      </c>
      <c r="I41" s="415"/>
    </row>
    <row r="42" spans="2:9" s="5" customFormat="1" ht="24" customHeight="1" x14ac:dyDescent="0.15">
      <c r="B42" s="9"/>
      <c r="C42" s="19"/>
      <c r="D42" s="17"/>
      <c r="E42" s="7"/>
      <c r="F42" s="11" t="str">
        <f>IFERROR(VLOOKUP($E42,設定!$C:$F,2,0),"")</f>
        <v/>
      </c>
      <c r="G42" s="171" t="str">
        <f>IFERROR(VLOOKUP($E42,設定!$C:$F,3,0),"")</f>
        <v/>
      </c>
      <c r="H42" s="19" t="str">
        <f>IFERROR(VLOOKUP($E42,設定!$C:$F,4,0),"")</f>
        <v/>
      </c>
      <c r="I42" s="415"/>
    </row>
    <row r="43" spans="2:9" s="5" customFormat="1" ht="24" customHeight="1" x14ac:dyDescent="0.15">
      <c r="B43" s="9"/>
      <c r="C43" s="19"/>
      <c r="D43" s="17"/>
      <c r="E43" s="7"/>
      <c r="F43" s="11" t="str">
        <f>IFERROR(VLOOKUP($E43,設定!$C:$F,2,0),"")</f>
        <v/>
      </c>
      <c r="G43" s="171" t="str">
        <f>IFERROR(VLOOKUP($E43,設定!$C:$F,3,0),"")</f>
        <v/>
      </c>
      <c r="H43" s="19" t="str">
        <f>IFERROR(VLOOKUP($E43,設定!$C:$F,4,0),"")</f>
        <v/>
      </c>
      <c r="I43" s="415"/>
    </row>
    <row r="44" spans="2:9" s="5" customFormat="1" ht="24" customHeight="1" x14ac:dyDescent="0.15">
      <c r="B44" s="9"/>
      <c r="C44" s="19"/>
      <c r="D44" s="17"/>
      <c r="E44" s="7"/>
      <c r="F44" s="11" t="str">
        <f>IFERROR(VLOOKUP($E44,設定!$C:$F,2,0),"")</f>
        <v/>
      </c>
      <c r="G44" s="171" t="str">
        <f>IFERROR(VLOOKUP($E44,設定!$C:$F,3,0),"")</f>
        <v/>
      </c>
      <c r="H44" s="19" t="str">
        <f>IFERROR(VLOOKUP($E44,設定!$C:$F,4,0),"")</f>
        <v/>
      </c>
      <c r="I44" s="415"/>
    </row>
    <row r="45" spans="2:9" s="5" customFormat="1" ht="24" customHeight="1" x14ac:dyDescent="0.15">
      <c r="B45" s="9"/>
      <c r="C45" s="19"/>
      <c r="D45" s="17"/>
      <c r="E45" s="7"/>
      <c r="F45" s="11" t="str">
        <f>IFERROR(VLOOKUP($E45,設定!$C:$F,2,0),"")</f>
        <v/>
      </c>
      <c r="G45" s="171" t="str">
        <f>IFERROR(VLOOKUP($E45,設定!$C:$F,3,0),"")</f>
        <v/>
      </c>
      <c r="H45" s="19" t="str">
        <f>IFERROR(VLOOKUP($E45,設定!$C:$F,4,0),"")</f>
        <v/>
      </c>
      <c r="I45" s="415"/>
    </row>
    <row r="46" spans="2:9" s="5" customFormat="1" ht="24" customHeight="1" x14ac:dyDescent="0.15">
      <c r="B46" s="9"/>
      <c r="C46" s="19"/>
      <c r="D46" s="17"/>
      <c r="E46" s="7"/>
      <c r="F46" s="11" t="str">
        <f>IFERROR(VLOOKUP($E46,設定!$C:$F,2,0),"")</f>
        <v/>
      </c>
      <c r="G46" s="171" t="str">
        <f>IFERROR(VLOOKUP($E46,設定!$C:$F,3,0),"")</f>
        <v/>
      </c>
      <c r="H46" s="19" t="str">
        <f>IFERROR(VLOOKUP($E46,設定!$C:$F,4,0),"")</f>
        <v/>
      </c>
      <c r="I46" s="415"/>
    </row>
    <row r="47" spans="2:9" s="5" customFormat="1" ht="24" customHeight="1" x14ac:dyDescent="0.15">
      <c r="B47" s="9"/>
      <c r="C47" s="19"/>
      <c r="D47" s="17"/>
      <c r="E47" s="7"/>
      <c r="F47" s="11" t="str">
        <f>IFERROR(VLOOKUP($E47,設定!$C:$F,2,0),"")</f>
        <v/>
      </c>
      <c r="G47" s="171" t="str">
        <f>IFERROR(VLOOKUP($E47,設定!$C:$F,3,0),"")</f>
        <v/>
      </c>
      <c r="H47" s="19" t="str">
        <f>IFERROR(VLOOKUP($E47,設定!$C:$F,4,0),"")</f>
        <v/>
      </c>
      <c r="I47" s="415"/>
    </row>
    <row r="48" spans="2:9" s="5" customFormat="1" ht="24" customHeight="1" x14ac:dyDescent="0.15">
      <c r="B48" s="9"/>
      <c r="C48" s="19"/>
      <c r="D48" s="17"/>
      <c r="E48" s="7"/>
      <c r="F48" s="11" t="str">
        <f>IFERROR(VLOOKUP($E48,設定!$C:$F,2,0),"")</f>
        <v/>
      </c>
      <c r="G48" s="171" t="str">
        <f>IFERROR(VLOOKUP($E48,設定!$C:$F,3,0),"")</f>
        <v/>
      </c>
      <c r="H48" s="19" t="str">
        <f>IFERROR(VLOOKUP($E48,設定!$C:$F,4,0),"")</f>
        <v/>
      </c>
      <c r="I48" s="415"/>
    </row>
    <row r="49" spans="2:9" s="5" customFormat="1" ht="24" customHeight="1" x14ac:dyDescent="0.15">
      <c r="B49" s="9"/>
      <c r="C49" s="19"/>
      <c r="D49" s="17"/>
      <c r="E49" s="7"/>
      <c r="F49" s="11" t="str">
        <f>IFERROR(VLOOKUP($E49,設定!$C:$F,2,0),"")</f>
        <v/>
      </c>
      <c r="G49" s="171" t="str">
        <f>IFERROR(VLOOKUP($E49,設定!$C:$F,3,0),"")</f>
        <v/>
      </c>
      <c r="H49" s="19" t="str">
        <f>IFERROR(VLOOKUP($E49,設定!$C:$F,4,0),"")</f>
        <v/>
      </c>
      <c r="I49" s="415"/>
    </row>
    <row r="50" spans="2:9" s="5" customFormat="1" ht="24" customHeight="1" x14ac:dyDescent="0.15">
      <c r="B50" s="9"/>
      <c r="C50" s="19"/>
      <c r="D50" s="17"/>
      <c r="E50" s="7"/>
      <c r="F50" s="11" t="str">
        <f>IFERROR(VLOOKUP($E50,設定!$C:$F,2,0),"")</f>
        <v/>
      </c>
      <c r="G50" s="171" t="str">
        <f>IFERROR(VLOOKUP($E50,設定!$C:$F,3,0),"")</f>
        <v/>
      </c>
      <c r="H50" s="19" t="str">
        <f>IFERROR(VLOOKUP($E50,設定!$C:$F,4,0),"")</f>
        <v/>
      </c>
      <c r="I50" s="415"/>
    </row>
    <row r="51" spans="2:9" s="5" customFormat="1" ht="24" customHeight="1" x14ac:dyDescent="0.15">
      <c r="B51" s="9"/>
      <c r="C51" s="19"/>
      <c r="D51" s="17"/>
      <c r="E51" s="7"/>
      <c r="F51" s="11" t="str">
        <f>IFERROR(VLOOKUP($E51,設定!$C:$F,2,0),"")</f>
        <v/>
      </c>
      <c r="G51" s="171" t="str">
        <f>IFERROR(VLOOKUP($E51,設定!$C:$F,3,0),"")</f>
        <v/>
      </c>
      <c r="H51" s="19" t="str">
        <f>IFERROR(VLOOKUP($E51,設定!$C:$F,4,0),"")</f>
        <v/>
      </c>
      <c r="I51" s="415"/>
    </row>
    <row r="52" spans="2:9" s="5" customFormat="1" ht="24" customHeight="1" x14ac:dyDescent="0.15">
      <c r="B52" s="9"/>
      <c r="C52" s="19"/>
      <c r="D52" s="17"/>
      <c r="E52" s="7"/>
      <c r="F52" s="11" t="str">
        <f>IFERROR(VLOOKUP($E52,設定!$C:$F,2,0),"")</f>
        <v/>
      </c>
      <c r="G52" s="171" t="str">
        <f>IFERROR(VLOOKUP($E52,設定!$C:$F,3,0),"")</f>
        <v/>
      </c>
      <c r="H52" s="19" t="str">
        <f>IFERROR(VLOOKUP($E52,設定!$C:$F,4,0),"")</f>
        <v/>
      </c>
      <c r="I52" s="415"/>
    </row>
    <row r="53" spans="2:9" s="5" customFormat="1" ht="24" customHeight="1" x14ac:dyDescent="0.15">
      <c r="B53" s="9"/>
      <c r="C53" s="19"/>
      <c r="D53" s="17"/>
      <c r="E53" s="7"/>
      <c r="F53" s="11" t="str">
        <f>IFERROR(VLOOKUP($E53,設定!$C:$F,2,0),"")</f>
        <v/>
      </c>
      <c r="G53" s="171" t="str">
        <f>IFERROR(VLOOKUP($E53,設定!$C:$F,3,0),"")</f>
        <v/>
      </c>
      <c r="H53" s="19" t="str">
        <f>IFERROR(VLOOKUP($E53,設定!$C:$F,4,0),"")</f>
        <v/>
      </c>
      <c r="I53" s="415"/>
    </row>
    <row r="54" spans="2:9" s="5" customFormat="1" ht="24" customHeight="1" x14ac:dyDescent="0.15">
      <c r="B54" s="9"/>
      <c r="C54" s="19"/>
      <c r="D54" s="17"/>
      <c r="E54" s="7"/>
      <c r="F54" s="11" t="str">
        <f>IFERROR(VLOOKUP($E54,設定!$C:$F,2,0),"")</f>
        <v/>
      </c>
      <c r="G54" s="171" t="str">
        <f>IFERROR(VLOOKUP($E54,設定!$C:$F,3,0),"")</f>
        <v/>
      </c>
      <c r="H54" s="19" t="str">
        <f>IFERROR(VLOOKUP($E54,設定!$C:$F,4,0),"")</f>
        <v/>
      </c>
      <c r="I54" s="415"/>
    </row>
    <row r="55" spans="2:9" s="5" customFormat="1" ht="24" customHeight="1" x14ac:dyDescent="0.15">
      <c r="B55" s="9"/>
      <c r="C55" s="19"/>
      <c r="D55" s="17"/>
      <c r="E55" s="7"/>
      <c r="F55" s="11" t="str">
        <f>IFERROR(VLOOKUP($E55,設定!$C:$F,2,0),"")</f>
        <v/>
      </c>
      <c r="G55" s="171" t="str">
        <f>IFERROR(VLOOKUP($E55,設定!$C:$F,3,0),"")</f>
        <v/>
      </c>
      <c r="H55" s="19" t="str">
        <f>IFERROR(VLOOKUP($E55,設定!$C:$F,4,0),"")</f>
        <v/>
      </c>
      <c r="I55" s="415"/>
    </row>
    <row r="56" spans="2:9" s="5" customFormat="1" ht="24" customHeight="1" x14ac:dyDescent="0.15">
      <c r="B56" s="9"/>
      <c r="C56" s="19"/>
      <c r="D56" s="17"/>
      <c r="E56" s="7"/>
      <c r="F56" s="11" t="str">
        <f>IFERROR(VLOOKUP($E56,設定!$C:$F,2,0),"")</f>
        <v/>
      </c>
      <c r="G56" s="171" t="str">
        <f>IFERROR(VLOOKUP($E56,設定!$C:$F,3,0),"")</f>
        <v/>
      </c>
      <c r="H56" s="19" t="str">
        <f>IFERROR(VLOOKUP($E56,設定!$C:$F,4,0),"")</f>
        <v/>
      </c>
      <c r="I56" s="415"/>
    </row>
    <row r="57" spans="2:9" s="5" customFormat="1" ht="24" customHeight="1" x14ac:dyDescent="0.15">
      <c r="B57" s="9"/>
      <c r="C57" s="19"/>
      <c r="D57" s="17"/>
      <c r="E57" s="7"/>
      <c r="F57" s="11" t="str">
        <f>IFERROR(VLOOKUP($E57,設定!$C:$F,2,0),"")</f>
        <v/>
      </c>
      <c r="G57" s="171" t="str">
        <f>IFERROR(VLOOKUP($E57,設定!$C:$F,3,0),"")</f>
        <v/>
      </c>
      <c r="H57" s="19" t="str">
        <f>IFERROR(VLOOKUP($E57,設定!$C:$F,4,0),"")</f>
        <v/>
      </c>
      <c r="I57" s="415"/>
    </row>
    <row r="58" spans="2:9" s="5" customFormat="1" ht="24" customHeight="1" x14ac:dyDescent="0.15">
      <c r="B58" s="9"/>
      <c r="C58" s="19"/>
      <c r="D58" s="17"/>
      <c r="E58" s="7"/>
      <c r="F58" s="11" t="str">
        <f>IFERROR(VLOOKUP($E58,設定!$C:$F,2,0),"")</f>
        <v/>
      </c>
      <c r="G58" s="171" t="str">
        <f>IFERROR(VLOOKUP($E58,設定!$C:$F,3,0),"")</f>
        <v/>
      </c>
      <c r="H58" s="19" t="str">
        <f>IFERROR(VLOOKUP($E58,設定!$C:$F,4,0),"")</f>
        <v/>
      </c>
      <c r="I58" s="415"/>
    </row>
    <row r="59" spans="2:9" s="5" customFormat="1" ht="24" customHeight="1" x14ac:dyDescent="0.15">
      <c r="B59" s="9"/>
      <c r="C59" s="19"/>
      <c r="D59" s="17"/>
      <c r="E59" s="7"/>
      <c r="F59" s="11" t="str">
        <f>IFERROR(VLOOKUP($E59,設定!$C:$F,2,0),"")</f>
        <v/>
      </c>
      <c r="G59" s="171" t="str">
        <f>IFERROR(VLOOKUP($E59,設定!$C:$F,3,0),"")</f>
        <v/>
      </c>
      <c r="H59" s="19" t="str">
        <f>IFERROR(VLOOKUP($E59,設定!$C:$F,4,0),"")</f>
        <v/>
      </c>
      <c r="I59" s="415"/>
    </row>
    <row r="60" spans="2:9" s="5" customFormat="1" ht="24" customHeight="1" x14ac:dyDescent="0.15">
      <c r="B60" s="9"/>
      <c r="C60" s="19"/>
      <c r="D60" s="17"/>
      <c r="E60" s="7"/>
      <c r="F60" s="11" t="str">
        <f>IFERROR(VLOOKUP($E60,設定!$C:$F,2,0),"")</f>
        <v/>
      </c>
      <c r="G60" s="171" t="str">
        <f>IFERROR(VLOOKUP($E60,設定!$C:$F,3,0),"")</f>
        <v/>
      </c>
      <c r="H60" s="19" t="str">
        <f>IFERROR(VLOOKUP($E60,設定!$C:$F,4,0),"")</f>
        <v/>
      </c>
      <c r="I60" s="415"/>
    </row>
    <row r="61" spans="2:9" s="5" customFormat="1" ht="24" customHeight="1" x14ac:dyDescent="0.15">
      <c r="B61" s="9"/>
      <c r="C61" s="19"/>
      <c r="D61" s="17"/>
      <c r="E61" s="7"/>
      <c r="F61" s="11" t="str">
        <f>IFERROR(VLOOKUP($E61,設定!$C:$F,2,0),"")</f>
        <v/>
      </c>
      <c r="G61" s="171" t="str">
        <f>IFERROR(VLOOKUP($E61,設定!$C:$F,3,0),"")</f>
        <v/>
      </c>
      <c r="H61" s="19" t="str">
        <f>IFERROR(VLOOKUP($E61,設定!$C:$F,4,0),"")</f>
        <v/>
      </c>
      <c r="I61" s="415"/>
    </row>
    <row r="62" spans="2:9" s="5" customFormat="1" ht="24" customHeight="1" x14ac:dyDescent="0.15">
      <c r="B62" s="9"/>
      <c r="C62" s="19"/>
      <c r="D62" s="17"/>
      <c r="E62" s="7"/>
      <c r="F62" s="11" t="str">
        <f>IFERROR(VLOOKUP($E62,設定!$C:$F,2,0),"")</f>
        <v/>
      </c>
      <c r="G62" s="171" t="str">
        <f>IFERROR(VLOOKUP($E62,設定!$C:$F,3,0),"")</f>
        <v/>
      </c>
      <c r="H62" s="19" t="str">
        <f>IFERROR(VLOOKUP($E62,設定!$C:$F,4,0),"")</f>
        <v/>
      </c>
      <c r="I62" s="415"/>
    </row>
    <row r="63" spans="2:9" s="5" customFormat="1" ht="24" customHeight="1" x14ac:dyDescent="0.15">
      <c r="B63" s="9"/>
      <c r="C63" s="19"/>
      <c r="D63" s="17"/>
      <c r="E63" s="7"/>
      <c r="F63" s="11" t="str">
        <f>IFERROR(VLOOKUP($E63,設定!$C:$F,2,0),"")</f>
        <v/>
      </c>
      <c r="G63" s="171" t="str">
        <f>IFERROR(VLOOKUP($E63,設定!$C:$F,3,0),"")</f>
        <v/>
      </c>
      <c r="H63" s="19" t="str">
        <f>IFERROR(VLOOKUP($E63,設定!$C:$F,4,0),"")</f>
        <v/>
      </c>
      <c r="I63" s="415"/>
    </row>
    <row r="64" spans="2:9" s="5" customFormat="1" ht="24" customHeight="1" x14ac:dyDescent="0.15">
      <c r="B64" s="9"/>
      <c r="C64" s="19"/>
      <c r="D64" s="17"/>
      <c r="E64" s="7"/>
      <c r="F64" s="11" t="str">
        <f>IFERROR(VLOOKUP($E64,設定!$C:$F,2,0),"")</f>
        <v/>
      </c>
      <c r="G64" s="171" t="str">
        <f>IFERROR(VLOOKUP($E64,設定!$C:$F,3,0),"")</f>
        <v/>
      </c>
      <c r="H64" s="19" t="str">
        <f>IFERROR(VLOOKUP($E64,設定!$C:$F,4,0),"")</f>
        <v/>
      </c>
      <c r="I64" s="415"/>
    </row>
    <row r="65" spans="2:9" s="5" customFormat="1" ht="24" customHeight="1" x14ac:dyDescent="0.15">
      <c r="B65" s="9"/>
      <c r="C65" s="19"/>
      <c r="D65" s="17"/>
      <c r="E65" s="7"/>
      <c r="F65" s="11" t="str">
        <f>IFERROR(VLOOKUP($E65,設定!$C:$F,2,0),"")</f>
        <v/>
      </c>
      <c r="G65" s="171" t="str">
        <f>IFERROR(VLOOKUP($E65,設定!$C:$F,3,0),"")</f>
        <v/>
      </c>
      <c r="H65" s="19" t="str">
        <f>IFERROR(VLOOKUP($E65,設定!$C:$F,4,0),"")</f>
        <v/>
      </c>
      <c r="I65" s="415"/>
    </row>
    <row r="66" spans="2:9" s="5" customFormat="1" ht="24" customHeight="1" x14ac:dyDescent="0.15">
      <c r="B66" s="9"/>
      <c r="C66" s="19"/>
      <c r="D66" s="17"/>
      <c r="E66" s="7"/>
      <c r="F66" s="11" t="str">
        <f>IFERROR(VLOOKUP($E66,設定!$C:$F,2,0),"")</f>
        <v/>
      </c>
      <c r="G66" s="171" t="str">
        <f>IFERROR(VLOOKUP($E66,設定!$C:$F,3,0),"")</f>
        <v/>
      </c>
      <c r="H66" s="19" t="str">
        <f>IFERROR(VLOOKUP($E66,設定!$C:$F,4,0),"")</f>
        <v/>
      </c>
      <c r="I66" s="415"/>
    </row>
    <row r="67" spans="2:9" s="5" customFormat="1" ht="24" customHeight="1" x14ac:dyDescent="0.15">
      <c r="B67" s="9"/>
      <c r="C67" s="19"/>
      <c r="D67" s="17"/>
      <c r="E67" s="7"/>
      <c r="F67" s="11" t="str">
        <f>IFERROR(VLOOKUP($E67,設定!$C:$F,2,0),"")</f>
        <v/>
      </c>
      <c r="G67" s="171" t="str">
        <f>IFERROR(VLOOKUP($E67,設定!$C:$F,3,0),"")</f>
        <v/>
      </c>
      <c r="H67" s="19" t="str">
        <f>IFERROR(VLOOKUP($E67,設定!$C:$F,4,0),"")</f>
        <v/>
      </c>
      <c r="I67" s="415"/>
    </row>
    <row r="68" spans="2:9" s="5" customFormat="1" ht="24" customHeight="1" x14ac:dyDescent="0.15">
      <c r="B68" s="9"/>
      <c r="C68" s="19"/>
      <c r="D68" s="17"/>
      <c r="E68" s="7"/>
      <c r="F68" s="11" t="str">
        <f>IFERROR(VLOOKUP($E68,設定!$C:$F,2,0),"")</f>
        <v/>
      </c>
      <c r="G68" s="171" t="str">
        <f>IFERROR(VLOOKUP($E68,設定!$C:$F,3,0),"")</f>
        <v/>
      </c>
      <c r="H68" s="19" t="str">
        <f>IFERROR(VLOOKUP($E68,設定!$C:$F,4,0),"")</f>
        <v/>
      </c>
      <c r="I68" s="415"/>
    </row>
    <row r="69" spans="2:9" s="5" customFormat="1" ht="24" customHeight="1" x14ac:dyDescent="0.15">
      <c r="B69" s="9"/>
      <c r="C69" s="19"/>
      <c r="D69" s="17"/>
      <c r="E69" s="7"/>
      <c r="F69" s="11" t="str">
        <f>IFERROR(VLOOKUP($E69,設定!$C:$F,2,0),"")</f>
        <v/>
      </c>
      <c r="G69" s="171" t="str">
        <f>IFERROR(VLOOKUP($E69,設定!$C:$F,3,0),"")</f>
        <v/>
      </c>
      <c r="H69" s="19" t="str">
        <f>IFERROR(VLOOKUP($E69,設定!$C:$F,4,0),"")</f>
        <v/>
      </c>
      <c r="I69" s="415"/>
    </row>
    <row r="70" spans="2:9" s="5" customFormat="1" ht="24" customHeight="1" x14ac:dyDescent="0.15">
      <c r="B70" s="9"/>
      <c r="C70" s="19"/>
      <c r="D70" s="17"/>
      <c r="E70" s="7"/>
      <c r="F70" s="11" t="str">
        <f>IFERROR(VLOOKUP($E70,設定!$C:$F,2,0),"")</f>
        <v/>
      </c>
      <c r="G70" s="171" t="str">
        <f>IFERROR(VLOOKUP($E70,設定!$C:$F,3,0),"")</f>
        <v/>
      </c>
      <c r="H70" s="19" t="str">
        <f>IFERROR(VLOOKUP($E70,設定!$C:$F,4,0),"")</f>
        <v/>
      </c>
      <c r="I70" s="415"/>
    </row>
    <row r="71" spans="2:9" s="5" customFormat="1" ht="24" customHeight="1" x14ac:dyDescent="0.15">
      <c r="B71" s="9"/>
      <c r="C71" s="19"/>
      <c r="D71" s="17"/>
      <c r="E71" s="7"/>
      <c r="F71" s="11" t="str">
        <f>IFERROR(VLOOKUP($E71,設定!$C:$F,2,0),"")</f>
        <v/>
      </c>
      <c r="G71" s="171" t="str">
        <f>IFERROR(VLOOKUP($E71,設定!$C:$F,3,0),"")</f>
        <v/>
      </c>
      <c r="H71" s="19" t="str">
        <f>IFERROR(VLOOKUP($E71,設定!$C:$F,4,0),"")</f>
        <v/>
      </c>
      <c r="I71" s="415"/>
    </row>
    <row r="72" spans="2:9" s="5" customFormat="1" ht="24" customHeight="1" x14ac:dyDescent="0.15">
      <c r="B72" s="9"/>
      <c r="C72" s="19"/>
      <c r="D72" s="17"/>
      <c r="E72" s="7"/>
      <c r="F72" s="11" t="str">
        <f>IFERROR(VLOOKUP($E72,設定!$C:$F,2,0),"")</f>
        <v/>
      </c>
      <c r="G72" s="171" t="str">
        <f>IFERROR(VLOOKUP($E72,設定!$C:$F,3,0),"")</f>
        <v/>
      </c>
      <c r="H72" s="19" t="str">
        <f>IFERROR(VLOOKUP($E72,設定!$C:$F,4,0),"")</f>
        <v/>
      </c>
      <c r="I72" s="415"/>
    </row>
    <row r="73" spans="2:9" s="5" customFormat="1" ht="24" customHeight="1" x14ac:dyDescent="0.15">
      <c r="B73" s="9"/>
      <c r="C73" s="19"/>
      <c r="D73" s="17"/>
      <c r="E73" s="7"/>
      <c r="F73" s="11" t="str">
        <f>IFERROR(VLOOKUP($E73,設定!$C:$F,2,0),"")</f>
        <v/>
      </c>
      <c r="G73" s="171" t="str">
        <f>IFERROR(VLOOKUP($E73,設定!$C:$F,3,0),"")</f>
        <v/>
      </c>
      <c r="H73" s="19" t="str">
        <f>IFERROR(VLOOKUP($E73,設定!$C:$F,4,0),"")</f>
        <v/>
      </c>
      <c r="I73" s="415"/>
    </row>
    <row r="74" spans="2:9" s="5" customFormat="1" ht="24" customHeight="1" x14ac:dyDescent="0.15">
      <c r="B74" s="9"/>
      <c r="C74" s="19"/>
      <c r="D74" s="17"/>
      <c r="E74" s="7"/>
      <c r="F74" s="11" t="str">
        <f>IFERROR(VLOOKUP($E74,設定!$C:$F,2,0),"")</f>
        <v/>
      </c>
      <c r="G74" s="171" t="str">
        <f>IFERROR(VLOOKUP($E74,設定!$C:$F,3,0),"")</f>
        <v/>
      </c>
      <c r="H74" s="19" t="str">
        <f>IFERROR(VLOOKUP($E74,設定!$C:$F,4,0),"")</f>
        <v/>
      </c>
      <c r="I74" s="415"/>
    </row>
    <row r="75" spans="2:9" s="5" customFormat="1" ht="24" customHeight="1" x14ac:dyDescent="0.15">
      <c r="B75" s="9"/>
      <c r="C75" s="19"/>
      <c r="D75" s="17"/>
      <c r="E75" s="7"/>
      <c r="F75" s="11" t="str">
        <f>IFERROR(VLOOKUP($E75,設定!$C:$F,2,0),"")</f>
        <v/>
      </c>
      <c r="G75" s="171" t="str">
        <f>IFERROR(VLOOKUP($E75,設定!$C:$F,3,0),"")</f>
        <v/>
      </c>
      <c r="H75" s="19" t="str">
        <f>IFERROR(VLOOKUP($E75,設定!$C:$F,4,0),"")</f>
        <v/>
      </c>
      <c r="I75" s="415"/>
    </row>
    <row r="76" spans="2:9" s="5" customFormat="1" ht="24" customHeight="1" x14ac:dyDescent="0.15">
      <c r="B76" s="9"/>
      <c r="C76" s="19"/>
      <c r="D76" s="17"/>
      <c r="E76" s="7"/>
      <c r="F76" s="11" t="str">
        <f>IFERROR(VLOOKUP($E76,設定!$C:$F,2,0),"")</f>
        <v/>
      </c>
      <c r="G76" s="171" t="str">
        <f>IFERROR(VLOOKUP($E76,設定!$C:$F,3,0),"")</f>
        <v/>
      </c>
      <c r="H76" s="19" t="str">
        <f>IFERROR(VLOOKUP($E76,設定!$C:$F,4,0),"")</f>
        <v/>
      </c>
      <c r="I76" s="415"/>
    </row>
    <row r="77" spans="2:9" s="5" customFormat="1" ht="24" customHeight="1" x14ac:dyDescent="0.15">
      <c r="B77" s="9"/>
      <c r="C77" s="19"/>
      <c r="D77" s="17"/>
      <c r="E77" s="7"/>
      <c r="F77" s="11" t="str">
        <f>IFERROR(VLOOKUP($E77,設定!$C:$F,2,0),"")</f>
        <v/>
      </c>
      <c r="G77" s="171" t="str">
        <f>IFERROR(VLOOKUP($E77,設定!$C:$F,3,0),"")</f>
        <v/>
      </c>
      <c r="H77" s="19" t="str">
        <f>IFERROR(VLOOKUP($E77,設定!$C:$F,4,0),"")</f>
        <v/>
      </c>
      <c r="I77" s="415"/>
    </row>
    <row r="78" spans="2:9" s="5" customFormat="1" ht="24" customHeight="1" x14ac:dyDescent="0.15">
      <c r="B78" s="9"/>
      <c r="C78" s="19"/>
      <c r="D78" s="17"/>
      <c r="E78" s="7"/>
      <c r="F78" s="11" t="str">
        <f>IFERROR(VLOOKUP($E78,設定!$C:$F,2,0),"")</f>
        <v/>
      </c>
      <c r="G78" s="171" t="str">
        <f>IFERROR(VLOOKUP($E78,設定!$C:$F,3,0),"")</f>
        <v/>
      </c>
      <c r="H78" s="19" t="str">
        <f>IFERROR(VLOOKUP($E78,設定!$C:$F,4,0),"")</f>
        <v/>
      </c>
      <c r="I78" s="415"/>
    </row>
    <row r="79" spans="2:9" s="5" customFormat="1" ht="24" customHeight="1" x14ac:dyDescent="0.15">
      <c r="B79" s="9"/>
      <c r="C79" s="19"/>
      <c r="D79" s="17"/>
      <c r="E79" s="7"/>
      <c r="F79" s="11" t="str">
        <f>IFERROR(VLOOKUP($E79,設定!$C:$F,2,0),"")</f>
        <v/>
      </c>
      <c r="G79" s="171" t="str">
        <f>IFERROR(VLOOKUP($E79,設定!$C:$F,3,0),"")</f>
        <v/>
      </c>
      <c r="H79" s="19" t="str">
        <f>IFERROR(VLOOKUP($E79,設定!$C:$F,4,0),"")</f>
        <v/>
      </c>
      <c r="I79" s="415"/>
    </row>
    <row r="80" spans="2:9" s="5" customFormat="1" ht="24" customHeight="1" x14ac:dyDescent="0.15">
      <c r="B80" s="9"/>
      <c r="C80" s="19"/>
      <c r="D80" s="17"/>
      <c r="E80" s="7"/>
      <c r="F80" s="11" t="str">
        <f>IFERROR(VLOOKUP($E80,設定!$C:$F,2,0),"")</f>
        <v/>
      </c>
      <c r="G80" s="171" t="str">
        <f>IFERROR(VLOOKUP($E80,設定!$C:$F,3,0),"")</f>
        <v/>
      </c>
      <c r="H80" s="19" t="str">
        <f>IFERROR(VLOOKUP($E80,設定!$C:$F,4,0),"")</f>
        <v/>
      </c>
      <c r="I80" s="415"/>
    </row>
    <row r="81" spans="2:9" s="5" customFormat="1" ht="24" customHeight="1" x14ac:dyDescent="0.15">
      <c r="B81" s="9"/>
      <c r="C81" s="19"/>
      <c r="D81" s="17"/>
      <c r="E81" s="7"/>
      <c r="F81" s="11" t="str">
        <f>IFERROR(VLOOKUP($E81,設定!$C:$F,2,0),"")</f>
        <v/>
      </c>
      <c r="G81" s="171" t="str">
        <f>IFERROR(VLOOKUP($E81,設定!$C:$F,3,0),"")</f>
        <v/>
      </c>
      <c r="H81" s="19" t="str">
        <f>IFERROR(VLOOKUP($E81,設定!$C:$F,4,0),"")</f>
        <v/>
      </c>
      <c r="I81" s="415"/>
    </row>
    <row r="82" spans="2:9" s="5" customFormat="1" ht="24" customHeight="1" x14ac:dyDescent="0.15">
      <c r="B82" s="9"/>
      <c r="C82" s="19"/>
      <c r="D82" s="17"/>
      <c r="E82" s="7"/>
      <c r="F82" s="11" t="str">
        <f>IFERROR(VLOOKUP($E82,設定!$C:$F,2,0),"")</f>
        <v/>
      </c>
      <c r="G82" s="171" t="str">
        <f>IFERROR(VLOOKUP($E82,設定!$C:$F,3,0),"")</f>
        <v/>
      </c>
      <c r="H82" s="19" t="str">
        <f>IFERROR(VLOOKUP($E82,設定!$C:$F,4,0),"")</f>
        <v/>
      </c>
      <c r="I82" s="415"/>
    </row>
    <row r="83" spans="2:9" s="5" customFormat="1" ht="24" customHeight="1" x14ac:dyDescent="0.15">
      <c r="B83" s="9"/>
      <c r="C83" s="19"/>
      <c r="D83" s="17"/>
      <c r="E83" s="7"/>
      <c r="F83" s="11" t="str">
        <f>IFERROR(VLOOKUP($E83,設定!$C:$F,2,0),"")</f>
        <v/>
      </c>
      <c r="G83" s="171" t="str">
        <f>IFERROR(VLOOKUP($E83,設定!$C:$F,3,0),"")</f>
        <v/>
      </c>
      <c r="H83" s="19" t="str">
        <f>IFERROR(VLOOKUP($E83,設定!$C:$F,4,0),"")</f>
        <v/>
      </c>
      <c r="I83" s="415"/>
    </row>
    <row r="84" spans="2:9" s="5" customFormat="1" ht="24" customHeight="1" x14ac:dyDescent="0.15">
      <c r="B84" s="9"/>
      <c r="C84" s="19"/>
      <c r="D84" s="17"/>
      <c r="E84" s="7"/>
      <c r="F84" s="11" t="str">
        <f>IFERROR(VLOOKUP($E84,設定!$C:$F,2,0),"")</f>
        <v/>
      </c>
      <c r="G84" s="171" t="str">
        <f>IFERROR(VLOOKUP($E84,設定!$C:$F,3,0),"")</f>
        <v/>
      </c>
      <c r="H84" s="19" t="str">
        <f>IFERROR(VLOOKUP($E84,設定!$C:$F,4,0),"")</f>
        <v/>
      </c>
      <c r="I84" s="415"/>
    </row>
    <row r="85" spans="2:9" s="5" customFormat="1" ht="24" customHeight="1" x14ac:dyDescent="0.15">
      <c r="B85" s="9"/>
      <c r="C85" s="19"/>
      <c r="D85" s="17"/>
      <c r="E85" s="7"/>
      <c r="F85" s="11" t="str">
        <f>IFERROR(VLOOKUP($E85,設定!$C:$F,2,0),"")</f>
        <v/>
      </c>
      <c r="G85" s="171" t="str">
        <f>IFERROR(VLOOKUP($E85,設定!$C:$F,3,0),"")</f>
        <v/>
      </c>
      <c r="H85" s="19" t="str">
        <f>IFERROR(VLOOKUP($E85,設定!$C:$F,4,0),"")</f>
        <v/>
      </c>
      <c r="I85" s="415"/>
    </row>
    <row r="86" spans="2:9" s="5" customFormat="1" ht="24" customHeight="1" x14ac:dyDescent="0.15">
      <c r="B86" s="9"/>
      <c r="C86" s="19"/>
      <c r="D86" s="17"/>
      <c r="E86" s="7"/>
      <c r="F86" s="11" t="str">
        <f>IFERROR(VLOOKUP($E86,設定!$C:$F,2,0),"")</f>
        <v/>
      </c>
      <c r="G86" s="171" t="str">
        <f>IFERROR(VLOOKUP($E86,設定!$C:$F,3,0),"")</f>
        <v/>
      </c>
      <c r="H86" s="19" t="str">
        <f>IFERROR(VLOOKUP($E86,設定!$C:$F,4,0),"")</f>
        <v/>
      </c>
      <c r="I86" s="415"/>
    </row>
    <row r="87" spans="2:9" s="5" customFormat="1" ht="24" customHeight="1" x14ac:dyDescent="0.15">
      <c r="B87" s="9"/>
      <c r="C87" s="19"/>
      <c r="D87" s="17"/>
      <c r="E87" s="7"/>
      <c r="F87" s="11" t="str">
        <f>IFERROR(VLOOKUP($E87,設定!$C:$F,2,0),"")</f>
        <v/>
      </c>
      <c r="G87" s="171" t="str">
        <f>IFERROR(VLOOKUP($E87,設定!$C:$F,3,0),"")</f>
        <v/>
      </c>
      <c r="H87" s="19" t="str">
        <f>IFERROR(VLOOKUP($E87,設定!$C:$F,4,0),"")</f>
        <v/>
      </c>
      <c r="I87" s="415"/>
    </row>
    <row r="88" spans="2:9" s="5" customFormat="1" ht="24" customHeight="1" x14ac:dyDescent="0.15">
      <c r="B88" s="9"/>
      <c r="C88" s="19"/>
      <c r="D88" s="17"/>
      <c r="E88" s="7"/>
      <c r="F88" s="11" t="str">
        <f>IFERROR(VLOOKUP($E88,設定!$C:$F,2,0),"")</f>
        <v/>
      </c>
      <c r="G88" s="171" t="str">
        <f>IFERROR(VLOOKUP($E88,設定!$C:$F,3,0),"")</f>
        <v/>
      </c>
      <c r="H88" s="19" t="str">
        <f>IFERROR(VLOOKUP($E88,設定!$C:$F,4,0),"")</f>
        <v/>
      </c>
      <c r="I88" s="415"/>
    </row>
    <row r="89" spans="2:9" s="5" customFormat="1" ht="24" customHeight="1" x14ac:dyDescent="0.15">
      <c r="B89" s="9"/>
      <c r="C89" s="19"/>
      <c r="D89" s="17"/>
      <c r="E89" s="7"/>
      <c r="F89" s="11" t="str">
        <f>IFERROR(VLOOKUP($E89,設定!$C:$F,2,0),"")</f>
        <v/>
      </c>
      <c r="G89" s="171" t="str">
        <f>IFERROR(VLOOKUP($E89,設定!$C:$F,3,0),"")</f>
        <v/>
      </c>
      <c r="H89" s="19" t="str">
        <f>IFERROR(VLOOKUP($E89,設定!$C:$F,4,0),"")</f>
        <v/>
      </c>
      <c r="I89" s="415"/>
    </row>
    <row r="90" spans="2:9" s="5" customFormat="1" ht="24" customHeight="1" x14ac:dyDescent="0.15">
      <c r="B90" s="9"/>
      <c r="C90" s="19"/>
      <c r="D90" s="17"/>
      <c r="E90" s="7"/>
      <c r="F90" s="11" t="str">
        <f>IFERROR(VLOOKUP($E90,設定!$C:$F,2,0),"")</f>
        <v/>
      </c>
      <c r="G90" s="171" t="str">
        <f>IFERROR(VLOOKUP($E90,設定!$C:$F,3,0),"")</f>
        <v/>
      </c>
      <c r="H90" s="19" t="str">
        <f>IFERROR(VLOOKUP($E90,設定!$C:$F,4,0),"")</f>
        <v/>
      </c>
      <c r="I90" s="415"/>
    </row>
    <row r="91" spans="2:9" s="5" customFormat="1" ht="24" customHeight="1" x14ac:dyDescent="0.15">
      <c r="B91" s="9"/>
      <c r="C91" s="19"/>
      <c r="D91" s="17"/>
      <c r="E91" s="7"/>
      <c r="F91" s="11" t="str">
        <f>IFERROR(VLOOKUP($E91,設定!$C:$F,2,0),"")</f>
        <v/>
      </c>
      <c r="G91" s="171" t="str">
        <f>IFERROR(VLOOKUP($E91,設定!$C:$F,3,0),"")</f>
        <v/>
      </c>
      <c r="H91" s="19" t="str">
        <f>IFERROR(VLOOKUP($E91,設定!$C:$F,4,0),"")</f>
        <v/>
      </c>
      <c r="I91" s="415"/>
    </row>
    <row r="92" spans="2:9" s="5" customFormat="1" ht="24" customHeight="1" x14ac:dyDescent="0.15">
      <c r="B92" s="9"/>
      <c r="C92" s="19"/>
      <c r="D92" s="17"/>
      <c r="E92" s="7"/>
      <c r="F92" s="11" t="str">
        <f>IFERROR(VLOOKUP($E92,設定!$C:$F,2,0),"")</f>
        <v/>
      </c>
      <c r="G92" s="171" t="str">
        <f>IFERROR(VLOOKUP($E92,設定!$C:$F,3,0),"")</f>
        <v/>
      </c>
      <c r="H92" s="19" t="str">
        <f>IFERROR(VLOOKUP($E92,設定!$C:$F,4,0),"")</f>
        <v/>
      </c>
      <c r="I92" s="415"/>
    </row>
    <row r="93" spans="2:9" s="5" customFormat="1" ht="24" customHeight="1" x14ac:dyDescent="0.15">
      <c r="B93" s="9"/>
      <c r="C93" s="19"/>
      <c r="D93" s="17"/>
      <c r="E93" s="7"/>
      <c r="F93" s="11" t="str">
        <f>IFERROR(VLOOKUP($E93,設定!$C:$F,2,0),"")</f>
        <v/>
      </c>
      <c r="G93" s="171" t="str">
        <f>IFERROR(VLOOKUP($E93,設定!$C:$F,3,0),"")</f>
        <v/>
      </c>
      <c r="H93" s="19" t="str">
        <f>IFERROR(VLOOKUP($E93,設定!$C:$F,4,0),"")</f>
        <v/>
      </c>
      <c r="I93" s="415"/>
    </row>
    <row r="94" spans="2:9" s="5" customFormat="1" ht="24" customHeight="1" x14ac:dyDescent="0.15">
      <c r="B94" s="9"/>
      <c r="C94" s="19"/>
      <c r="D94" s="17"/>
      <c r="E94" s="7"/>
      <c r="F94" s="11" t="str">
        <f>IFERROR(VLOOKUP($E94,設定!$C:$F,2,0),"")</f>
        <v/>
      </c>
      <c r="G94" s="171" t="str">
        <f>IFERROR(VLOOKUP($E94,設定!$C:$F,3,0),"")</f>
        <v/>
      </c>
      <c r="H94" s="19" t="str">
        <f>IFERROR(VLOOKUP($E94,設定!$C:$F,4,0),"")</f>
        <v/>
      </c>
      <c r="I94" s="415"/>
    </row>
    <row r="95" spans="2:9" s="5" customFormat="1" ht="24" customHeight="1" x14ac:dyDescent="0.15">
      <c r="B95" s="9"/>
      <c r="C95" s="19"/>
      <c r="D95" s="17"/>
      <c r="E95" s="7"/>
      <c r="F95" s="11" t="str">
        <f>IFERROR(VLOOKUP($E95,設定!$C:$F,2,0),"")</f>
        <v/>
      </c>
      <c r="G95" s="171" t="str">
        <f>IFERROR(VLOOKUP($E95,設定!$C:$F,3,0),"")</f>
        <v/>
      </c>
      <c r="H95" s="19" t="str">
        <f>IFERROR(VLOOKUP($E95,設定!$C:$F,4,0),"")</f>
        <v/>
      </c>
      <c r="I95" s="415"/>
    </row>
    <row r="96" spans="2:9" s="5" customFormat="1" ht="24" customHeight="1" x14ac:dyDescent="0.15">
      <c r="B96" s="9"/>
      <c r="C96" s="19"/>
      <c r="D96" s="17"/>
      <c r="E96" s="7"/>
      <c r="F96" s="11" t="str">
        <f>IFERROR(VLOOKUP($E96,設定!$C:$F,2,0),"")</f>
        <v/>
      </c>
      <c r="G96" s="171" t="str">
        <f>IFERROR(VLOOKUP($E96,設定!$C:$F,3,0),"")</f>
        <v/>
      </c>
      <c r="H96" s="19" t="str">
        <f>IFERROR(VLOOKUP($E96,設定!$C:$F,4,0),"")</f>
        <v/>
      </c>
      <c r="I96" s="415"/>
    </row>
    <row r="97" spans="2:9" s="5" customFormat="1" ht="24" customHeight="1" x14ac:dyDescent="0.15">
      <c r="B97" s="9"/>
      <c r="C97" s="19"/>
      <c r="D97" s="17"/>
      <c r="E97" s="7"/>
      <c r="F97" s="11" t="str">
        <f>IFERROR(VLOOKUP($E97,設定!$C:$F,2,0),"")</f>
        <v/>
      </c>
      <c r="G97" s="171" t="str">
        <f>IFERROR(VLOOKUP($E97,設定!$C:$F,3,0),"")</f>
        <v/>
      </c>
      <c r="H97" s="19" t="str">
        <f>IFERROR(VLOOKUP($E97,設定!$C:$F,4,0),"")</f>
        <v/>
      </c>
      <c r="I97" s="415"/>
    </row>
    <row r="98" spans="2:9" s="5" customFormat="1" ht="24" customHeight="1" x14ac:dyDescent="0.15">
      <c r="B98" s="9"/>
      <c r="C98" s="19"/>
      <c r="D98" s="17"/>
      <c r="E98" s="7"/>
      <c r="F98" s="11" t="str">
        <f>IFERROR(VLOOKUP($E98,設定!$C:$F,2,0),"")</f>
        <v/>
      </c>
      <c r="G98" s="171" t="str">
        <f>IFERROR(VLOOKUP($E98,設定!$C:$F,3,0),"")</f>
        <v/>
      </c>
      <c r="H98" s="19" t="str">
        <f>IFERROR(VLOOKUP($E98,設定!$C:$F,4,0),"")</f>
        <v/>
      </c>
      <c r="I98" s="415"/>
    </row>
    <row r="99" spans="2:9" s="5" customFormat="1" ht="24" customHeight="1" x14ac:dyDescent="0.15">
      <c r="B99" s="9"/>
      <c r="C99" s="19"/>
      <c r="D99" s="17"/>
      <c r="E99" s="7"/>
      <c r="F99" s="11" t="str">
        <f>IFERROR(VLOOKUP($E99,設定!$C:$F,2,0),"")</f>
        <v/>
      </c>
      <c r="G99" s="171" t="str">
        <f>IFERROR(VLOOKUP($E99,設定!$C:$F,3,0),"")</f>
        <v/>
      </c>
      <c r="H99" s="19" t="str">
        <f>IFERROR(VLOOKUP($E99,設定!$C:$F,4,0),"")</f>
        <v/>
      </c>
      <c r="I99" s="415"/>
    </row>
    <row r="100" spans="2:9" s="5" customFormat="1" ht="24" customHeight="1" x14ac:dyDescent="0.15">
      <c r="B100" s="9"/>
      <c r="C100" s="19"/>
      <c r="D100" s="17"/>
      <c r="E100" s="7"/>
      <c r="F100" s="11" t="str">
        <f>IFERROR(VLOOKUP($E100,設定!$C:$F,2,0),"")</f>
        <v/>
      </c>
      <c r="G100" s="171" t="str">
        <f>IFERROR(VLOOKUP($E100,設定!$C:$F,3,0),"")</f>
        <v/>
      </c>
      <c r="H100" s="19" t="str">
        <f>IFERROR(VLOOKUP($E100,設定!$C:$F,4,0),"")</f>
        <v/>
      </c>
      <c r="I100" s="415"/>
    </row>
    <row r="101" spans="2:9" s="5" customFormat="1" ht="24" customHeight="1" x14ac:dyDescent="0.15">
      <c r="B101" s="9"/>
      <c r="C101" s="19"/>
      <c r="D101" s="17"/>
      <c r="E101" s="7"/>
      <c r="F101" s="11" t="str">
        <f>IFERROR(VLOOKUP($E101,設定!$C:$F,2,0),"")</f>
        <v/>
      </c>
      <c r="G101" s="171" t="str">
        <f>IFERROR(VLOOKUP($E101,設定!$C:$F,3,0),"")</f>
        <v/>
      </c>
      <c r="H101" s="19" t="str">
        <f>IFERROR(VLOOKUP($E101,設定!$C:$F,4,0),"")</f>
        <v/>
      </c>
      <c r="I101" s="415"/>
    </row>
    <row r="102" spans="2:9" s="5" customFormat="1" ht="24" customHeight="1" x14ac:dyDescent="0.15">
      <c r="B102" s="9"/>
      <c r="C102" s="19"/>
      <c r="D102" s="17"/>
      <c r="E102" s="7"/>
      <c r="F102" s="11" t="str">
        <f>IFERROR(VLOOKUP($E102,設定!$C:$F,2,0),"")</f>
        <v/>
      </c>
      <c r="G102" s="171" t="str">
        <f>IFERROR(VLOOKUP($E102,設定!$C:$F,3,0),"")</f>
        <v/>
      </c>
      <c r="H102" s="19" t="str">
        <f>IFERROR(VLOOKUP($E102,設定!$C:$F,4,0),"")</f>
        <v/>
      </c>
      <c r="I102" s="415"/>
    </row>
    <row r="103" spans="2:9" s="5" customFormat="1" ht="24" customHeight="1" x14ac:dyDescent="0.15">
      <c r="B103" s="9"/>
      <c r="C103" s="19"/>
      <c r="D103" s="17"/>
      <c r="E103" s="7"/>
      <c r="F103" s="11" t="str">
        <f>IFERROR(VLOOKUP($E103,設定!$C:$F,2,0),"")</f>
        <v/>
      </c>
      <c r="G103" s="171" t="str">
        <f>IFERROR(VLOOKUP($E103,設定!$C:$F,3,0),"")</f>
        <v/>
      </c>
      <c r="H103" s="19" t="str">
        <f>IFERROR(VLOOKUP($E103,設定!$C:$F,4,0),"")</f>
        <v/>
      </c>
      <c r="I103" s="415"/>
    </row>
    <row r="104" spans="2:9" s="5" customFormat="1" ht="24" customHeight="1" x14ac:dyDescent="0.15">
      <c r="B104" s="9"/>
      <c r="C104" s="19"/>
      <c r="D104" s="17"/>
      <c r="E104" s="7"/>
      <c r="F104" s="11" t="str">
        <f>IFERROR(VLOOKUP($E104,設定!$C:$F,2,0),"")</f>
        <v/>
      </c>
      <c r="G104" s="171" t="str">
        <f>IFERROR(VLOOKUP($E104,設定!$C:$F,3,0),"")</f>
        <v/>
      </c>
      <c r="H104" s="19" t="str">
        <f>IFERROR(VLOOKUP($E104,設定!$C:$F,4,0),"")</f>
        <v/>
      </c>
      <c r="I104" s="415"/>
    </row>
    <row r="105" spans="2:9" s="5" customFormat="1" ht="24" customHeight="1" x14ac:dyDescent="0.15">
      <c r="B105" s="9"/>
      <c r="C105" s="19"/>
      <c r="D105" s="17"/>
      <c r="E105" s="7"/>
      <c r="F105" s="11" t="str">
        <f>IFERROR(VLOOKUP($E105,設定!$C:$F,2,0),"")</f>
        <v/>
      </c>
      <c r="G105" s="171" t="str">
        <f>IFERROR(VLOOKUP($E105,設定!$C:$F,3,0),"")</f>
        <v/>
      </c>
      <c r="H105" s="19" t="str">
        <f>IFERROR(VLOOKUP($E105,設定!$C:$F,4,0),"")</f>
        <v/>
      </c>
      <c r="I105" s="415"/>
    </row>
    <row r="106" spans="2:9" s="5" customFormat="1" ht="24" customHeight="1" x14ac:dyDescent="0.15">
      <c r="B106" s="9"/>
      <c r="C106" s="19"/>
      <c r="D106" s="17"/>
      <c r="E106" s="7"/>
      <c r="F106" s="11" t="str">
        <f>IFERROR(VLOOKUP($E106,設定!$C:$F,2,0),"")</f>
        <v/>
      </c>
      <c r="G106" s="171" t="str">
        <f>IFERROR(VLOOKUP($E106,設定!$C:$F,3,0),"")</f>
        <v/>
      </c>
      <c r="H106" s="19" t="str">
        <f>IFERROR(VLOOKUP($E106,設定!$C:$F,4,0),"")</f>
        <v/>
      </c>
      <c r="I106" s="415"/>
    </row>
    <row r="107" spans="2:9" s="5" customFormat="1" ht="24" customHeight="1" x14ac:dyDescent="0.15">
      <c r="B107" s="9"/>
      <c r="C107" s="19"/>
      <c r="D107" s="17"/>
      <c r="E107" s="7"/>
      <c r="F107" s="11" t="str">
        <f>IFERROR(VLOOKUP($E107,設定!$C:$F,2,0),"")</f>
        <v/>
      </c>
      <c r="G107" s="171" t="str">
        <f>IFERROR(VLOOKUP($E107,設定!$C:$F,3,0),"")</f>
        <v/>
      </c>
      <c r="H107" s="19" t="str">
        <f>IFERROR(VLOOKUP($E107,設定!$C:$F,4,0),"")</f>
        <v/>
      </c>
      <c r="I107" s="415"/>
    </row>
    <row r="108" spans="2:9" s="5" customFormat="1" ht="24" customHeight="1" x14ac:dyDescent="0.15">
      <c r="B108" s="9"/>
      <c r="C108" s="19"/>
      <c r="D108" s="17"/>
      <c r="E108" s="7"/>
      <c r="F108" s="11" t="str">
        <f>IFERROR(VLOOKUP($E108,設定!$C:$F,2,0),"")</f>
        <v/>
      </c>
      <c r="G108" s="171" t="str">
        <f>IFERROR(VLOOKUP($E108,設定!$C:$F,3,0),"")</f>
        <v/>
      </c>
      <c r="H108" s="19" t="str">
        <f>IFERROR(VLOOKUP($E108,設定!$C:$F,4,0),"")</f>
        <v/>
      </c>
      <c r="I108" s="415"/>
    </row>
    <row r="109" spans="2:9" s="5" customFormat="1" ht="24" customHeight="1" x14ac:dyDescent="0.15">
      <c r="B109" s="9"/>
      <c r="C109" s="19"/>
      <c r="D109" s="17"/>
      <c r="E109" s="7"/>
      <c r="F109" s="11" t="str">
        <f>IFERROR(VLOOKUP($E109,設定!$C:$F,2,0),"")</f>
        <v/>
      </c>
      <c r="G109" s="171" t="str">
        <f>IFERROR(VLOOKUP($E109,設定!$C:$F,3,0),"")</f>
        <v/>
      </c>
      <c r="H109" s="19" t="str">
        <f>IFERROR(VLOOKUP($E109,設定!$C:$F,4,0),"")</f>
        <v/>
      </c>
      <c r="I109" s="415"/>
    </row>
    <row r="110" spans="2:9" s="5" customFormat="1" ht="24" customHeight="1" x14ac:dyDescent="0.15">
      <c r="B110" s="9"/>
      <c r="C110" s="19"/>
      <c r="D110" s="17"/>
      <c r="E110" s="7"/>
      <c r="F110" s="11" t="str">
        <f>IFERROR(VLOOKUP($E110,設定!$C:$F,2,0),"")</f>
        <v/>
      </c>
      <c r="G110" s="171" t="str">
        <f>IFERROR(VLOOKUP($E110,設定!$C:$F,3,0),"")</f>
        <v/>
      </c>
      <c r="H110" s="19" t="str">
        <f>IFERROR(VLOOKUP($E110,設定!$C:$F,4,0),"")</f>
        <v/>
      </c>
      <c r="I110" s="415"/>
    </row>
    <row r="111" spans="2:9" s="5" customFormat="1" ht="24" customHeight="1" x14ac:dyDescent="0.15">
      <c r="B111" s="9"/>
      <c r="C111" s="19"/>
      <c r="D111" s="17"/>
      <c r="E111" s="7"/>
      <c r="F111" s="11" t="str">
        <f>IFERROR(VLOOKUP($E111,設定!$C:$F,2,0),"")</f>
        <v/>
      </c>
      <c r="G111" s="171" t="str">
        <f>IFERROR(VLOOKUP($E111,設定!$C:$F,3,0),"")</f>
        <v/>
      </c>
      <c r="H111" s="19" t="str">
        <f>IFERROR(VLOOKUP($E111,設定!$C:$F,4,0),"")</f>
        <v/>
      </c>
      <c r="I111" s="415"/>
    </row>
    <row r="112" spans="2:9" s="5" customFormat="1" ht="24" customHeight="1" x14ac:dyDescent="0.15">
      <c r="B112" s="9"/>
      <c r="C112" s="19"/>
      <c r="D112" s="17"/>
      <c r="E112" s="7"/>
      <c r="F112" s="11" t="str">
        <f>IFERROR(VLOOKUP($E112,設定!$C:$F,2,0),"")</f>
        <v/>
      </c>
      <c r="G112" s="171" t="str">
        <f>IFERROR(VLOOKUP($E112,設定!$C:$F,3,0),"")</f>
        <v/>
      </c>
      <c r="H112" s="19" t="str">
        <f>IFERROR(VLOOKUP($E112,設定!$C:$F,4,0),"")</f>
        <v/>
      </c>
      <c r="I112" s="415"/>
    </row>
    <row r="113" spans="2:9" s="5" customFormat="1" ht="24" customHeight="1" x14ac:dyDescent="0.15">
      <c r="B113" s="9"/>
      <c r="C113" s="19"/>
      <c r="D113" s="17"/>
      <c r="E113" s="7"/>
      <c r="F113" s="11" t="str">
        <f>IFERROR(VLOOKUP($E113,設定!$C:$F,2,0),"")</f>
        <v/>
      </c>
      <c r="G113" s="171" t="str">
        <f>IFERROR(VLOOKUP($E113,設定!$C:$F,3,0),"")</f>
        <v/>
      </c>
      <c r="H113" s="19" t="str">
        <f>IFERROR(VLOOKUP($E113,設定!$C:$F,4,0),"")</f>
        <v/>
      </c>
      <c r="I113" s="415"/>
    </row>
    <row r="114" spans="2:9" s="5" customFormat="1" ht="24" customHeight="1" x14ac:dyDescent="0.15">
      <c r="B114" s="9"/>
      <c r="C114" s="19"/>
      <c r="D114" s="17"/>
      <c r="E114" s="7"/>
      <c r="F114" s="11" t="str">
        <f>IFERROR(VLOOKUP($E114,設定!$C:$F,2,0),"")</f>
        <v/>
      </c>
      <c r="G114" s="171" t="str">
        <f>IFERROR(VLOOKUP($E114,設定!$C:$F,3,0),"")</f>
        <v/>
      </c>
      <c r="H114" s="19" t="str">
        <f>IFERROR(VLOOKUP($E114,設定!$C:$F,4,0),"")</f>
        <v/>
      </c>
      <c r="I114" s="415"/>
    </row>
    <row r="115" spans="2:9" s="5" customFormat="1" ht="24" customHeight="1" x14ac:dyDescent="0.15">
      <c r="B115" s="9"/>
      <c r="C115" s="19"/>
      <c r="D115" s="17"/>
      <c r="E115" s="7"/>
      <c r="F115" s="11" t="str">
        <f>IFERROR(VLOOKUP($E115,設定!$C:$F,2,0),"")</f>
        <v/>
      </c>
      <c r="G115" s="171" t="str">
        <f>IFERROR(VLOOKUP($E115,設定!$C:$F,3,0),"")</f>
        <v/>
      </c>
      <c r="H115" s="19" t="str">
        <f>IFERROR(VLOOKUP($E115,設定!$C:$F,4,0),"")</f>
        <v/>
      </c>
      <c r="I115" s="415"/>
    </row>
    <row r="116" spans="2:9" s="5" customFormat="1" ht="24" customHeight="1" x14ac:dyDescent="0.15">
      <c r="B116" s="9"/>
      <c r="C116" s="19"/>
      <c r="D116" s="17"/>
      <c r="E116" s="7"/>
      <c r="F116" s="11" t="str">
        <f>IFERROR(VLOOKUP($E116,設定!$C:$F,2,0),"")</f>
        <v/>
      </c>
      <c r="G116" s="171" t="str">
        <f>IFERROR(VLOOKUP($E116,設定!$C:$F,3,0),"")</f>
        <v/>
      </c>
      <c r="H116" s="19" t="str">
        <f>IFERROR(VLOOKUP($E116,設定!$C:$F,4,0),"")</f>
        <v/>
      </c>
      <c r="I116" s="415"/>
    </row>
    <row r="117" spans="2:9" s="5" customFormat="1" ht="24" customHeight="1" x14ac:dyDescent="0.15">
      <c r="B117" s="9"/>
      <c r="C117" s="19"/>
      <c r="D117" s="17"/>
      <c r="E117" s="7"/>
      <c r="F117" s="11" t="str">
        <f>IFERROR(VLOOKUP($E117,設定!$C:$F,2,0),"")</f>
        <v/>
      </c>
      <c r="G117" s="171" t="str">
        <f>IFERROR(VLOOKUP($E117,設定!$C:$F,3,0),"")</f>
        <v/>
      </c>
      <c r="H117" s="19" t="str">
        <f>IFERROR(VLOOKUP($E117,設定!$C:$F,4,0),"")</f>
        <v/>
      </c>
      <c r="I117" s="415"/>
    </row>
    <row r="118" spans="2:9" s="5" customFormat="1" ht="24" customHeight="1" x14ac:dyDescent="0.15">
      <c r="B118" s="9"/>
      <c r="C118" s="19"/>
      <c r="D118" s="17"/>
      <c r="E118" s="7"/>
      <c r="F118" s="11" t="str">
        <f>IFERROR(VLOOKUP($E118,設定!$C:$F,2,0),"")</f>
        <v/>
      </c>
      <c r="G118" s="171" t="str">
        <f>IFERROR(VLOOKUP($E118,設定!$C:$F,3,0),"")</f>
        <v/>
      </c>
      <c r="H118" s="19" t="str">
        <f>IFERROR(VLOOKUP($E118,設定!$C:$F,4,0),"")</f>
        <v/>
      </c>
      <c r="I118" s="415"/>
    </row>
    <row r="119" spans="2:9" s="5" customFormat="1" ht="24" customHeight="1" x14ac:dyDescent="0.15">
      <c r="B119" s="9"/>
      <c r="C119" s="19"/>
      <c r="D119" s="17"/>
      <c r="E119" s="7"/>
      <c r="F119" s="11" t="str">
        <f>IFERROR(VLOOKUP($E119,設定!$C:$F,2,0),"")</f>
        <v/>
      </c>
      <c r="G119" s="171" t="str">
        <f>IFERROR(VLOOKUP($E119,設定!$C:$F,3,0),"")</f>
        <v/>
      </c>
      <c r="H119" s="19" t="str">
        <f>IFERROR(VLOOKUP($E119,設定!$C:$F,4,0),"")</f>
        <v/>
      </c>
      <c r="I119" s="415"/>
    </row>
    <row r="120" spans="2:9" s="5" customFormat="1" ht="24" customHeight="1" x14ac:dyDescent="0.15">
      <c r="B120" s="9"/>
      <c r="C120" s="19"/>
      <c r="D120" s="17"/>
      <c r="E120" s="7"/>
      <c r="F120" s="11" t="str">
        <f>IFERROR(VLOOKUP($E120,設定!$C:$F,2,0),"")</f>
        <v/>
      </c>
      <c r="G120" s="171" t="str">
        <f>IFERROR(VLOOKUP($E120,設定!$C:$F,3,0),"")</f>
        <v/>
      </c>
      <c r="H120" s="19" t="str">
        <f>IFERROR(VLOOKUP($E120,設定!$C:$F,4,0),"")</f>
        <v/>
      </c>
      <c r="I120" s="415"/>
    </row>
    <row r="121" spans="2:9" s="5" customFormat="1" ht="24" customHeight="1" x14ac:dyDescent="0.15">
      <c r="B121" s="9"/>
      <c r="C121" s="19"/>
      <c r="D121" s="17"/>
      <c r="E121" s="7"/>
      <c r="F121" s="11" t="str">
        <f>IFERROR(VLOOKUP($E121,設定!$C:$F,2,0),"")</f>
        <v/>
      </c>
      <c r="G121" s="171" t="str">
        <f>IFERROR(VLOOKUP($E121,設定!$C:$F,3,0),"")</f>
        <v/>
      </c>
      <c r="H121" s="19" t="str">
        <f>IFERROR(VLOOKUP($E121,設定!$C:$F,4,0),"")</f>
        <v/>
      </c>
      <c r="I121" s="415"/>
    </row>
    <row r="122" spans="2:9" s="5" customFormat="1" ht="24" customHeight="1" x14ac:dyDescent="0.15">
      <c r="B122" s="9"/>
      <c r="C122" s="19"/>
      <c r="D122" s="17"/>
      <c r="E122" s="7"/>
      <c r="F122" s="11" t="str">
        <f>IFERROR(VLOOKUP($E122,設定!$C:$F,2,0),"")</f>
        <v/>
      </c>
      <c r="G122" s="171" t="str">
        <f>IFERROR(VLOOKUP($E122,設定!$C:$F,3,0),"")</f>
        <v/>
      </c>
      <c r="H122" s="19" t="str">
        <f>IFERROR(VLOOKUP($E122,設定!$C:$F,4,0),"")</f>
        <v/>
      </c>
      <c r="I122" s="415"/>
    </row>
    <row r="123" spans="2:9" s="5" customFormat="1" ht="24" customHeight="1" x14ac:dyDescent="0.15">
      <c r="B123" s="9"/>
      <c r="C123" s="19"/>
      <c r="D123" s="17"/>
      <c r="E123" s="7"/>
      <c r="F123" s="11" t="str">
        <f>IFERROR(VLOOKUP($E123,設定!$C:$F,2,0),"")</f>
        <v/>
      </c>
      <c r="G123" s="171" t="str">
        <f>IFERROR(VLOOKUP($E123,設定!$C:$F,3,0),"")</f>
        <v/>
      </c>
      <c r="H123" s="19" t="str">
        <f>IFERROR(VLOOKUP($E123,設定!$C:$F,4,0),"")</f>
        <v/>
      </c>
      <c r="I123" s="415"/>
    </row>
    <row r="124" spans="2:9" s="5" customFormat="1" ht="24" customHeight="1" x14ac:dyDescent="0.15">
      <c r="B124" s="9"/>
      <c r="C124" s="19"/>
      <c r="D124" s="17"/>
      <c r="E124" s="7"/>
      <c r="F124" s="11" t="str">
        <f>IFERROR(VLOOKUP($E124,設定!$C:$F,2,0),"")</f>
        <v/>
      </c>
      <c r="G124" s="171" t="str">
        <f>IFERROR(VLOOKUP($E124,設定!$C:$F,3,0),"")</f>
        <v/>
      </c>
      <c r="H124" s="19" t="str">
        <f>IFERROR(VLOOKUP($E124,設定!$C:$F,4,0),"")</f>
        <v/>
      </c>
      <c r="I124" s="415"/>
    </row>
    <row r="125" spans="2:9" s="5" customFormat="1" ht="24" customHeight="1" x14ac:dyDescent="0.15">
      <c r="B125" s="9"/>
      <c r="C125" s="19"/>
      <c r="D125" s="17"/>
      <c r="E125" s="7"/>
      <c r="F125" s="11" t="str">
        <f>IFERROR(VLOOKUP($E125,設定!$C:$F,2,0),"")</f>
        <v/>
      </c>
      <c r="G125" s="171" t="str">
        <f>IFERROR(VLOOKUP($E125,設定!$C:$F,3,0),"")</f>
        <v/>
      </c>
      <c r="H125" s="19" t="str">
        <f>IFERROR(VLOOKUP($E125,設定!$C:$F,4,0),"")</f>
        <v/>
      </c>
      <c r="I125" s="415"/>
    </row>
    <row r="126" spans="2:9" s="5" customFormat="1" ht="24" customHeight="1" x14ac:dyDescent="0.15">
      <c r="B126" s="9"/>
      <c r="C126" s="19"/>
      <c r="D126" s="17"/>
      <c r="E126" s="7"/>
      <c r="F126" s="11" t="str">
        <f>IFERROR(VLOOKUP($E126,設定!$C:$F,2,0),"")</f>
        <v/>
      </c>
      <c r="G126" s="171" t="str">
        <f>IFERROR(VLOOKUP($E126,設定!$C:$F,3,0),"")</f>
        <v/>
      </c>
      <c r="H126" s="19" t="str">
        <f>IFERROR(VLOOKUP($E126,設定!$C:$F,4,0),"")</f>
        <v/>
      </c>
      <c r="I126" s="415"/>
    </row>
    <row r="127" spans="2:9" s="5" customFormat="1" ht="24" customHeight="1" x14ac:dyDescent="0.15">
      <c r="B127" s="9"/>
      <c r="C127" s="19"/>
      <c r="D127" s="17"/>
      <c r="E127" s="7"/>
      <c r="F127" s="11" t="str">
        <f>IFERROR(VLOOKUP($E127,設定!$C:$F,2,0),"")</f>
        <v/>
      </c>
      <c r="G127" s="171" t="str">
        <f>IFERROR(VLOOKUP($E127,設定!$C:$F,3,0),"")</f>
        <v/>
      </c>
      <c r="H127" s="19" t="str">
        <f>IFERROR(VLOOKUP($E127,設定!$C:$F,4,0),"")</f>
        <v/>
      </c>
      <c r="I127" s="415"/>
    </row>
    <row r="128" spans="2:9" s="5" customFormat="1" ht="24" customHeight="1" x14ac:dyDescent="0.15">
      <c r="B128" s="9"/>
      <c r="C128" s="19"/>
      <c r="D128" s="17"/>
      <c r="E128" s="7"/>
      <c r="F128" s="11" t="str">
        <f>IFERROR(VLOOKUP($E128,設定!$C:$F,2,0),"")</f>
        <v/>
      </c>
      <c r="G128" s="171" t="str">
        <f>IFERROR(VLOOKUP($E128,設定!$C:$F,3,0),"")</f>
        <v/>
      </c>
      <c r="H128" s="19" t="str">
        <f>IFERROR(VLOOKUP($E128,設定!$C:$F,4,0),"")</f>
        <v/>
      </c>
      <c r="I128" s="415"/>
    </row>
    <row r="129" spans="2:9" s="5" customFormat="1" ht="24" customHeight="1" x14ac:dyDescent="0.15">
      <c r="B129" s="9"/>
      <c r="C129" s="19"/>
      <c r="D129" s="17"/>
      <c r="E129" s="7"/>
      <c r="F129" s="11" t="str">
        <f>IFERROR(VLOOKUP($E129,設定!$C:$F,2,0),"")</f>
        <v/>
      </c>
      <c r="G129" s="171" t="str">
        <f>IFERROR(VLOOKUP($E129,設定!$C:$F,3,0),"")</f>
        <v/>
      </c>
      <c r="H129" s="19" t="str">
        <f>IFERROR(VLOOKUP($E129,設定!$C:$F,4,0),"")</f>
        <v/>
      </c>
      <c r="I129" s="415"/>
    </row>
    <row r="130" spans="2:9" s="5" customFormat="1" ht="24" customHeight="1" x14ac:dyDescent="0.15">
      <c r="B130" s="9"/>
      <c r="C130" s="19"/>
      <c r="D130" s="17"/>
      <c r="E130" s="7"/>
      <c r="F130" s="11" t="str">
        <f>IFERROR(VLOOKUP($E130,設定!$C:$F,2,0),"")</f>
        <v/>
      </c>
      <c r="G130" s="171" t="str">
        <f>IFERROR(VLOOKUP($E130,設定!$C:$F,3,0),"")</f>
        <v/>
      </c>
      <c r="H130" s="19" t="str">
        <f>IFERROR(VLOOKUP($E130,設定!$C:$F,4,0),"")</f>
        <v/>
      </c>
      <c r="I130" s="415"/>
    </row>
    <row r="131" spans="2:9" s="5" customFormat="1" ht="24" customHeight="1" x14ac:dyDescent="0.15">
      <c r="B131" s="9"/>
      <c r="C131" s="19"/>
      <c r="D131" s="17"/>
      <c r="E131" s="7"/>
      <c r="F131" s="11" t="str">
        <f>IFERROR(VLOOKUP($E131,設定!$C:$F,2,0),"")</f>
        <v/>
      </c>
      <c r="G131" s="171" t="str">
        <f>IFERROR(VLOOKUP($E131,設定!$C:$F,3,0),"")</f>
        <v/>
      </c>
      <c r="H131" s="19" t="str">
        <f>IFERROR(VLOOKUP($E131,設定!$C:$F,4,0),"")</f>
        <v/>
      </c>
      <c r="I131" s="415"/>
    </row>
    <row r="132" spans="2:9" s="5" customFormat="1" ht="24" customHeight="1" x14ac:dyDescent="0.15">
      <c r="B132" s="9"/>
      <c r="C132" s="19"/>
      <c r="D132" s="17"/>
      <c r="E132" s="7"/>
      <c r="F132" s="11" t="str">
        <f>IFERROR(VLOOKUP($E132,設定!$C:$F,2,0),"")</f>
        <v/>
      </c>
      <c r="G132" s="171" t="str">
        <f>IFERROR(VLOOKUP($E132,設定!$C:$F,3,0),"")</f>
        <v/>
      </c>
      <c r="H132" s="19" t="str">
        <f>IFERROR(VLOOKUP($E132,設定!$C:$F,4,0),"")</f>
        <v/>
      </c>
      <c r="I132" s="415"/>
    </row>
    <row r="133" spans="2:9" s="5" customFormat="1" ht="24" customHeight="1" x14ac:dyDescent="0.15">
      <c r="B133" s="9"/>
      <c r="C133" s="19"/>
      <c r="D133" s="17"/>
      <c r="E133" s="7"/>
      <c r="F133" s="11" t="str">
        <f>IFERROR(VLOOKUP($E133,設定!$C:$F,2,0),"")</f>
        <v/>
      </c>
      <c r="G133" s="171" t="str">
        <f>IFERROR(VLOOKUP($E133,設定!$C:$F,3,0),"")</f>
        <v/>
      </c>
      <c r="H133" s="19" t="str">
        <f>IFERROR(VLOOKUP($E133,設定!$C:$F,4,0),"")</f>
        <v/>
      </c>
      <c r="I133" s="415"/>
    </row>
    <row r="134" spans="2:9" s="5" customFormat="1" ht="24" customHeight="1" x14ac:dyDescent="0.15">
      <c r="B134" s="9"/>
      <c r="C134" s="19"/>
      <c r="D134" s="17"/>
      <c r="E134" s="7"/>
      <c r="F134" s="11" t="str">
        <f>IFERROR(VLOOKUP($E134,設定!$C:$F,2,0),"")</f>
        <v/>
      </c>
      <c r="G134" s="171" t="str">
        <f>IFERROR(VLOOKUP($E134,設定!$C:$F,3,0),"")</f>
        <v/>
      </c>
      <c r="H134" s="19" t="str">
        <f>IFERROR(VLOOKUP($E134,設定!$C:$F,4,0),"")</f>
        <v/>
      </c>
      <c r="I134" s="415"/>
    </row>
    <row r="135" spans="2:9" s="5" customFormat="1" ht="24" customHeight="1" x14ac:dyDescent="0.15">
      <c r="B135" s="9"/>
      <c r="C135" s="19"/>
      <c r="D135" s="17"/>
      <c r="E135" s="7"/>
      <c r="F135" s="11" t="str">
        <f>IFERROR(VLOOKUP($E135,設定!$C:$F,2,0),"")</f>
        <v/>
      </c>
      <c r="G135" s="171" t="str">
        <f>IFERROR(VLOOKUP($E135,設定!$C:$F,3,0),"")</f>
        <v/>
      </c>
      <c r="H135" s="19" t="str">
        <f>IFERROR(VLOOKUP($E135,設定!$C:$F,4,0),"")</f>
        <v/>
      </c>
      <c r="I135" s="415"/>
    </row>
    <row r="136" spans="2:9" s="5" customFormat="1" ht="24" customHeight="1" x14ac:dyDescent="0.15">
      <c r="B136" s="9"/>
      <c r="C136" s="19"/>
      <c r="D136" s="17"/>
      <c r="E136" s="7"/>
      <c r="F136" s="11" t="str">
        <f>IFERROR(VLOOKUP($E136,設定!$C:$F,2,0),"")</f>
        <v/>
      </c>
      <c r="G136" s="171" t="str">
        <f>IFERROR(VLOOKUP($E136,設定!$C:$F,3,0),"")</f>
        <v/>
      </c>
      <c r="H136" s="19" t="str">
        <f>IFERROR(VLOOKUP($E136,設定!$C:$F,4,0),"")</f>
        <v/>
      </c>
      <c r="I136" s="415"/>
    </row>
    <row r="137" spans="2:9" s="5" customFormat="1" ht="24" customHeight="1" x14ac:dyDescent="0.15">
      <c r="B137" s="9"/>
      <c r="C137" s="19"/>
      <c r="D137" s="17"/>
      <c r="E137" s="7"/>
      <c r="F137" s="11" t="str">
        <f>IFERROR(VLOOKUP($E137,設定!$C:$F,2,0),"")</f>
        <v/>
      </c>
      <c r="G137" s="171" t="str">
        <f>IFERROR(VLOOKUP($E137,設定!$C:$F,3,0),"")</f>
        <v/>
      </c>
      <c r="H137" s="19" t="str">
        <f>IFERROR(VLOOKUP($E137,設定!$C:$F,4,0),"")</f>
        <v/>
      </c>
      <c r="I137" s="415"/>
    </row>
    <row r="138" spans="2:9" s="5" customFormat="1" ht="24" customHeight="1" x14ac:dyDescent="0.15">
      <c r="B138" s="9"/>
      <c r="C138" s="19"/>
      <c r="D138" s="17"/>
      <c r="E138" s="7"/>
      <c r="F138" s="11" t="str">
        <f>IFERROR(VLOOKUP($E138,設定!$C:$F,2,0),"")</f>
        <v/>
      </c>
      <c r="G138" s="171" t="str">
        <f>IFERROR(VLOOKUP($E138,設定!$C:$F,3,0),"")</f>
        <v/>
      </c>
      <c r="H138" s="19" t="str">
        <f>IFERROR(VLOOKUP($E138,設定!$C:$F,4,0),"")</f>
        <v/>
      </c>
      <c r="I138" s="415"/>
    </row>
    <row r="139" spans="2:9" s="5" customFormat="1" ht="24" customHeight="1" x14ac:dyDescent="0.15">
      <c r="B139" s="9"/>
      <c r="C139" s="19"/>
      <c r="D139" s="17"/>
      <c r="E139" s="7"/>
      <c r="F139" s="11" t="str">
        <f>IFERROR(VLOOKUP($E139,設定!$C:$F,2,0),"")</f>
        <v/>
      </c>
      <c r="G139" s="171" t="str">
        <f>IFERROR(VLOOKUP($E139,設定!$C:$F,3,0),"")</f>
        <v/>
      </c>
      <c r="H139" s="19" t="str">
        <f>IFERROR(VLOOKUP($E139,設定!$C:$F,4,0),"")</f>
        <v/>
      </c>
      <c r="I139" s="415"/>
    </row>
    <row r="140" spans="2:9" s="5" customFormat="1" ht="24" customHeight="1" x14ac:dyDescent="0.15">
      <c r="B140" s="9"/>
      <c r="C140" s="19"/>
      <c r="D140" s="17"/>
      <c r="E140" s="7"/>
      <c r="F140" s="11" t="str">
        <f>IFERROR(VLOOKUP($E140,設定!$C:$F,2,0),"")</f>
        <v/>
      </c>
      <c r="G140" s="171" t="str">
        <f>IFERROR(VLOOKUP($E140,設定!$C:$F,3,0),"")</f>
        <v/>
      </c>
      <c r="H140" s="19" t="str">
        <f>IFERROR(VLOOKUP($E140,設定!$C:$F,4,0),"")</f>
        <v/>
      </c>
      <c r="I140" s="415"/>
    </row>
    <row r="141" spans="2:9" s="5" customFormat="1" ht="24" customHeight="1" x14ac:dyDescent="0.15">
      <c r="B141" s="9"/>
      <c r="C141" s="19"/>
      <c r="D141" s="17"/>
      <c r="E141" s="7"/>
      <c r="F141" s="11" t="str">
        <f>IFERROR(VLOOKUP($E141,設定!$C:$F,2,0),"")</f>
        <v/>
      </c>
      <c r="G141" s="171" t="str">
        <f>IFERROR(VLOOKUP($E141,設定!$C:$F,3,0),"")</f>
        <v/>
      </c>
      <c r="H141" s="19" t="str">
        <f>IFERROR(VLOOKUP($E141,設定!$C:$F,4,0),"")</f>
        <v/>
      </c>
      <c r="I141" s="415"/>
    </row>
    <row r="142" spans="2:9" s="5" customFormat="1" ht="24" customHeight="1" x14ac:dyDescent="0.15">
      <c r="B142" s="9"/>
      <c r="C142" s="19"/>
      <c r="D142" s="17"/>
      <c r="E142" s="7"/>
      <c r="F142" s="11" t="str">
        <f>IFERROR(VLOOKUP($E142,設定!$C:$F,2,0),"")</f>
        <v/>
      </c>
      <c r="G142" s="171" t="str">
        <f>IFERROR(VLOOKUP($E142,設定!$C:$F,3,0),"")</f>
        <v/>
      </c>
      <c r="H142" s="19" t="str">
        <f>IFERROR(VLOOKUP($E142,設定!$C:$F,4,0),"")</f>
        <v/>
      </c>
      <c r="I142" s="415"/>
    </row>
    <row r="143" spans="2:9" s="5" customFormat="1" ht="24" customHeight="1" x14ac:dyDescent="0.15">
      <c r="B143" s="9"/>
      <c r="C143" s="19"/>
      <c r="D143" s="17"/>
      <c r="E143" s="7"/>
      <c r="F143" s="11" t="str">
        <f>IFERROR(VLOOKUP($E143,設定!$C:$F,2,0),"")</f>
        <v/>
      </c>
      <c r="G143" s="171" t="str">
        <f>IFERROR(VLOOKUP($E143,設定!$C:$F,3,0),"")</f>
        <v/>
      </c>
      <c r="H143" s="19" t="str">
        <f>IFERROR(VLOOKUP($E143,設定!$C:$F,4,0),"")</f>
        <v/>
      </c>
      <c r="I143" s="415"/>
    </row>
    <row r="144" spans="2:9" s="5" customFormat="1" ht="24" customHeight="1" x14ac:dyDescent="0.15">
      <c r="B144" s="9"/>
      <c r="C144" s="19"/>
      <c r="D144" s="17"/>
      <c r="E144" s="7"/>
      <c r="F144" s="11" t="str">
        <f>IFERROR(VLOOKUP($E144,設定!$C:$F,2,0),"")</f>
        <v/>
      </c>
      <c r="G144" s="171" t="str">
        <f>IFERROR(VLOOKUP($E144,設定!$C:$F,3,0),"")</f>
        <v/>
      </c>
      <c r="H144" s="19" t="str">
        <f>IFERROR(VLOOKUP($E144,設定!$C:$F,4,0),"")</f>
        <v/>
      </c>
      <c r="I144" s="415"/>
    </row>
    <row r="145" spans="2:9" s="5" customFormat="1" ht="24" customHeight="1" x14ac:dyDescent="0.15">
      <c r="B145" s="9"/>
      <c r="C145" s="19"/>
      <c r="D145" s="17"/>
      <c r="E145" s="7"/>
      <c r="F145" s="11" t="str">
        <f>IFERROR(VLOOKUP($E145,設定!$C:$F,2,0),"")</f>
        <v/>
      </c>
      <c r="G145" s="171" t="str">
        <f>IFERROR(VLOOKUP($E145,設定!$C:$F,3,0),"")</f>
        <v/>
      </c>
      <c r="H145" s="19" t="str">
        <f>IFERROR(VLOOKUP($E145,設定!$C:$F,4,0),"")</f>
        <v/>
      </c>
      <c r="I145" s="415"/>
    </row>
    <row r="146" spans="2:9" s="5" customFormat="1" ht="24" customHeight="1" x14ac:dyDescent="0.15">
      <c r="B146" s="9"/>
      <c r="C146" s="19"/>
      <c r="D146" s="17"/>
      <c r="E146" s="7"/>
      <c r="F146" s="11" t="str">
        <f>IFERROR(VLOOKUP($E146,設定!$C:$F,2,0),"")</f>
        <v/>
      </c>
      <c r="G146" s="171" t="str">
        <f>IFERROR(VLOOKUP($E146,設定!$C:$F,3,0),"")</f>
        <v/>
      </c>
      <c r="H146" s="19" t="str">
        <f>IFERROR(VLOOKUP($E146,設定!$C:$F,4,0),"")</f>
        <v/>
      </c>
      <c r="I146" s="415"/>
    </row>
    <row r="147" spans="2:9" s="5" customFormat="1" ht="24" customHeight="1" x14ac:dyDescent="0.15">
      <c r="B147" s="9"/>
      <c r="C147" s="19"/>
      <c r="D147" s="17"/>
      <c r="E147" s="7"/>
      <c r="F147" s="11" t="str">
        <f>IFERROR(VLOOKUP($E147,設定!$C:$F,2,0),"")</f>
        <v/>
      </c>
      <c r="G147" s="171" t="str">
        <f>IFERROR(VLOOKUP($E147,設定!$C:$F,3,0),"")</f>
        <v/>
      </c>
      <c r="H147" s="19" t="str">
        <f>IFERROR(VLOOKUP($E147,設定!$C:$F,4,0),"")</f>
        <v/>
      </c>
      <c r="I147" s="415"/>
    </row>
    <row r="148" spans="2:9" s="5" customFormat="1" ht="24" customHeight="1" x14ac:dyDescent="0.15">
      <c r="B148" s="9"/>
      <c r="C148" s="19"/>
      <c r="D148" s="17"/>
      <c r="E148" s="7"/>
      <c r="F148" s="11" t="str">
        <f>IFERROR(VLOOKUP($E148,設定!$C:$F,2,0),"")</f>
        <v/>
      </c>
      <c r="G148" s="171" t="str">
        <f>IFERROR(VLOOKUP($E148,設定!$C:$F,3,0),"")</f>
        <v/>
      </c>
      <c r="H148" s="19" t="str">
        <f>IFERROR(VLOOKUP($E148,設定!$C:$F,4,0),"")</f>
        <v/>
      </c>
      <c r="I148" s="415"/>
    </row>
    <row r="149" spans="2:9" s="5" customFormat="1" ht="24" customHeight="1" x14ac:dyDescent="0.15">
      <c r="B149" s="9"/>
      <c r="C149" s="19"/>
      <c r="D149" s="17"/>
      <c r="E149" s="7"/>
      <c r="F149" s="11" t="str">
        <f>IFERROR(VLOOKUP($E149,設定!$C:$F,2,0),"")</f>
        <v/>
      </c>
      <c r="G149" s="171" t="str">
        <f>IFERROR(VLOOKUP($E149,設定!$C:$F,3,0),"")</f>
        <v/>
      </c>
      <c r="H149" s="19" t="str">
        <f>IFERROR(VLOOKUP($E149,設定!$C:$F,4,0),"")</f>
        <v/>
      </c>
      <c r="I149" s="415"/>
    </row>
    <row r="150" spans="2:9" s="5" customFormat="1" ht="24" customHeight="1" x14ac:dyDescent="0.15">
      <c r="B150" s="9"/>
      <c r="C150" s="19"/>
      <c r="D150" s="17"/>
      <c r="E150" s="7"/>
      <c r="F150" s="11" t="str">
        <f>IFERROR(VLOOKUP($E150,設定!$C:$F,2,0),"")</f>
        <v/>
      </c>
      <c r="G150" s="171" t="str">
        <f>IFERROR(VLOOKUP($E150,設定!$C:$F,3,0),"")</f>
        <v/>
      </c>
      <c r="H150" s="19" t="str">
        <f>IFERROR(VLOOKUP($E150,設定!$C:$F,4,0),"")</f>
        <v/>
      </c>
      <c r="I150" s="415"/>
    </row>
    <row r="151" spans="2:9" s="5" customFormat="1" ht="24" customHeight="1" x14ac:dyDescent="0.15">
      <c r="B151" s="9"/>
      <c r="C151" s="19"/>
      <c r="D151" s="17"/>
      <c r="E151" s="7"/>
      <c r="F151" s="11" t="str">
        <f>IFERROR(VLOOKUP($E151,設定!$C:$F,2,0),"")</f>
        <v/>
      </c>
      <c r="G151" s="171" t="str">
        <f>IFERROR(VLOOKUP($E151,設定!$C:$F,3,0),"")</f>
        <v/>
      </c>
      <c r="H151" s="19" t="str">
        <f>IFERROR(VLOOKUP($E151,設定!$C:$F,4,0),"")</f>
        <v/>
      </c>
      <c r="I151" s="415"/>
    </row>
    <row r="152" spans="2:9" s="5" customFormat="1" ht="24" customHeight="1" x14ac:dyDescent="0.15">
      <c r="B152" s="9"/>
      <c r="C152" s="19"/>
      <c r="D152" s="17"/>
      <c r="E152" s="7"/>
      <c r="F152" s="11" t="str">
        <f>IFERROR(VLOOKUP($E152,設定!$C:$F,2,0),"")</f>
        <v/>
      </c>
      <c r="G152" s="171" t="str">
        <f>IFERROR(VLOOKUP($E152,設定!$C:$F,3,0),"")</f>
        <v/>
      </c>
      <c r="H152" s="19" t="str">
        <f>IFERROR(VLOOKUP($E152,設定!$C:$F,4,0),"")</f>
        <v/>
      </c>
      <c r="I152" s="415"/>
    </row>
    <row r="153" spans="2:9" s="5" customFormat="1" ht="24" customHeight="1" x14ac:dyDescent="0.15">
      <c r="B153" s="9"/>
      <c r="C153" s="19"/>
      <c r="D153" s="17"/>
      <c r="E153" s="7"/>
      <c r="F153" s="11" t="str">
        <f>IFERROR(VLOOKUP($E153,設定!$C:$F,2,0),"")</f>
        <v/>
      </c>
      <c r="G153" s="171" t="str">
        <f>IFERROR(VLOOKUP($E153,設定!$C:$F,3,0),"")</f>
        <v/>
      </c>
      <c r="H153" s="19" t="str">
        <f>IFERROR(VLOOKUP($E153,設定!$C:$F,4,0),"")</f>
        <v/>
      </c>
      <c r="I153" s="415"/>
    </row>
    <row r="154" spans="2:9" s="5" customFormat="1" ht="24" customHeight="1" x14ac:dyDescent="0.15">
      <c r="B154" s="9"/>
      <c r="C154" s="19"/>
      <c r="D154" s="17"/>
      <c r="E154" s="7"/>
      <c r="F154" s="11" t="str">
        <f>IFERROR(VLOOKUP($E154,設定!$C:$F,2,0),"")</f>
        <v/>
      </c>
      <c r="G154" s="171" t="str">
        <f>IFERROR(VLOOKUP($E154,設定!$C:$F,3,0),"")</f>
        <v/>
      </c>
      <c r="H154" s="19" t="str">
        <f>IFERROR(VLOOKUP($E154,設定!$C:$F,4,0),"")</f>
        <v/>
      </c>
      <c r="I154" s="415"/>
    </row>
    <row r="155" spans="2:9" s="5" customFormat="1" ht="24" customHeight="1" x14ac:dyDescent="0.15">
      <c r="B155" s="9"/>
      <c r="C155" s="19"/>
      <c r="D155" s="17"/>
      <c r="E155" s="7"/>
      <c r="F155" s="11" t="str">
        <f>IFERROR(VLOOKUP($E155,設定!$C:$F,2,0),"")</f>
        <v/>
      </c>
      <c r="G155" s="171" t="str">
        <f>IFERROR(VLOOKUP($E155,設定!$C:$F,3,0),"")</f>
        <v/>
      </c>
      <c r="H155" s="19" t="str">
        <f>IFERROR(VLOOKUP($E155,設定!$C:$F,4,0),"")</f>
        <v/>
      </c>
      <c r="I155" s="415"/>
    </row>
    <row r="156" spans="2:9" s="5" customFormat="1" ht="24" customHeight="1" x14ac:dyDescent="0.15">
      <c r="B156" s="9"/>
      <c r="C156" s="19"/>
      <c r="D156" s="17"/>
      <c r="E156" s="7"/>
      <c r="F156" s="11" t="str">
        <f>IFERROR(VLOOKUP($E156,設定!$C:$F,2,0),"")</f>
        <v/>
      </c>
      <c r="G156" s="171" t="str">
        <f>IFERROR(VLOOKUP($E156,設定!$C:$F,3,0),"")</f>
        <v/>
      </c>
      <c r="H156" s="19" t="str">
        <f>IFERROR(VLOOKUP($E156,設定!$C:$F,4,0),"")</f>
        <v/>
      </c>
      <c r="I156" s="415"/>
    </row>
    <row r="157" spans="2:9" s="5" customFormat="1" ht="24" customHeight="1" x14ac:dyDescent="0.15">
      <c r="B157" s="9"/>
      <c r="C157" s="19"/>
      <c r="D157" s="17"/>
      <c r="E157" s="7"/>
      <c r="F157" s="11" t="str">
        <f>IFERROR(VLOOKUP($E157,設定!$C:$F,2,0),"")</f>
        <v/>
      </c>
      <c r="G157" s="171" t="str">
        <f>IFERROR(VLOOKUP($E157,設定!$C:$F,3,0),"")</f>
        <v/>
      </c>
      <c r="H157" s="19" t="str">
        <f>IFERROR(VLOOKUP($E157,設定!$C:$F,4,0),"")</f>
        <v/>
      </c>
      <c r="I157" s="415"/>
    </row>
    <row r="158" spans="2:9" s="5" customFormat="1" ht="24" customHeight="1" x14ac:dyDescent="0.15">
      <c r="B158" s="9"/>
      <c r="C158" s="19"/>
      <c r="D158" s="17"/>
      <c r="E158" s="7"/>
      <c r="F158" s="11" t="str">
        <f>IFERROR(VLOOKUP($E158,設定!$C:$F,2,0),"")</f>
        <v/>
      </c>
      <c r="G158" s="171" t="str">
        <f>IFERROR(VLOOKUP($E158,設定!$C:$F,3,0),"")</f>
        <v/>
      </c>
      <c r="H158" s="19" t="str">
        <f>IFERROR(VLOOKUP($E158,設定!$C:$F,4,0),"")</f>
        <v/>
      </c>
      <c r="I158" s="415"/>
    </row>
    <row r="159" spans="2:9" s="5" customFormat="1" ht="24" customHeight="1" x14ac:dyDescent="0.15">
      <c r="B159" s="9"/>
      <c r="C159" s="19"/>
      <c r="D159" s="17"/>
      <c r="E159" s="7"/>
      <c r="F159" s="11" t="str">
        <f>IFERROR(VLOOKUP($E159,設定!$C:$F,2,0),"")</f>
        <v/>
      </c>
      <c r="G159" s="171" t="str">
        <f>IFERROR(VLOOKUP($E159,設定!$C:$F,3,0),"")</f>
        <v/>
      </c>
      <c r="H159" s="19" t="str">
        <f>IFERROR(VLOOKUP($E159,設定!$C:$F,4,0),"")</f>
        <v/>
      </c>
      <c r="I159" s="415"/>
    </row>
    <row r="160" spans="2:9" s="5" customFormat="1" ht="24" customHeight="1" x14ac:dyDescent="0.15">
      <c r="B160" s="9"/>
      <c r="C160" s="19"/>
      <c r="D160" s="17"/>
      <c r="E160" s="7"/>
      <c r="F160" s="11" t="str">
        <f>IFERROR(VLOOKUP($E160,設定!$C:$F,2,0),"")</f>
        <v/>
      </c>
      <c r="G160" s="171" t="str">
        <f>IFERROR(VLOOKUP($E160,設定!$C:$F,3,0),"")</f>
        <v/>
      </c>
      <c r="H160" s="19" t="str">
        <f>IFERROR(VLOOKUP($E160,設定!$C:$F,4,0),"")</f>
        <v/>
      </c>
      <c r="I160" s="415"/>
    </row>
    <row r="161" spans="2:9" s="5" customFormat="1" ht="24" customHeight="1" x14ac:dyDescent="0.15">
      <c r="B161" s="9"/>
      <c r="C161" s="19"/>
      <c r="D161" s="17"/>
      <c r="E161" s="7"/>
      <c r="F161" s="11" t="str">
        <f>IFERROR(VLOOKUP($E161,設定!$C:$F,2,0),"")</f>
        <v/>
      </c>
      <c r="G161" s="171" t="str">
        <f>IFERROR(VLOOKUP($E161,設定!$C:$F,3,0),"")</f>
        <v/>
      </c>
      <c r="H161" s="19" t="str">
        <f>IFERROR(VLOOKUP($E161,設定!$C:$F,4,0),"")</f>
        <v/>
      </c>
      <c r="I161" s="415"/>
    </row>
    <row r="162" spans="2:9" s="5" customFormat="1" ht="24" customHeight="1" x14ac:dyDescent="0.15">
      <c r="B162" s="9"/>
      <c r="C162" s="19"/>
      <c r="D162" s="17"/>
      <c r="E162" s="7"/>
      <c r="F162" s="11" t="str">
        <f>IFERROR(VLOOKUP($E162,設定!$C:$F,2,0),"")</f>
        <v/>
      </c>
      <c r="G162" s="171" t="str">
        <f>IFERROR(VLOOKUP($E162,設定!$C:$F,3,0),"")</f>
        <v/>
      </c>
      <c r="H162" s="19" t="str">
        <f>IFERROR(VLOOKUP($E162,設定!$C:$F,4,0),"")</f>
        <v/>
      </c>
      <c r="I162" s="415"/>
    </row>
    <row r="163" spans="2:9" s="5" customFormat="1" ht="24" customHeight="1" x14ac:dyDescent="0.15">
      <c r="B163" s="9"/>
      <c r="C163" s="19"/>
      <c r="D163" s="17"/>
      <c r="E163" s="7"/>
      <c r="F163" s="11" t="str">
        <f>IFERROR(VLOOKUP($E163,設定!$C:$F,2,0),"")</f>
        <v/>
      </c>
      <c r="G163" s="171" t="str">
        <f>IFERROR(VLOOKUP($E163,設定!$C:$F,3,0),"")</f>
        <v/>
      </c>
      <c r="H163" s="19" t="str">
        <f>IFERROR(VLOOKUP($E163,設定!$C:$F,4,0),"")</f>
        <v/>
      </c>
      <c r="I163" s="415"/>
    </row>
    <row r="164" spans="2:9" s="5" customFormat="1" ht="24" customHeight="1" x14ac:dyDescent="0.15">
      <c r="B164" s="9"/>
      <c r="C164" s="19"/>
      <c r="D164" s="17"/>
      <c r="E164" s="7"/>
      <c r="F164" s="11" t="str">
        <f>IFERROR(VLOOKUP($E164,設定!$C:$F,2,0),"")</f>
        <v/>
      </c>
      <c r="G164" s="171" t="str">
        <f>IFERROR(VLOOKUP($E164,設定!$C:$F,3,0),"")</f>
        <v/>
      </c>
      <c r="H164" s="19" t="str">
        <f>IFERROR(VLOOKUP($E164,設定!$C:$F,4,0),"")</f>
        <v/>
      </c>
      <c r="I164" s="415"/>
    </row>
    <row r="165" spans="2:9" s="5" customFormat="1" ht="24" customHeight="1" x14ac:dyDescent="0.15">
      <c r="B165" s="9"/>
      <c r="C165" s="19"/>
      <c r="D165" s="17"/>
      <c r="E165" s="7"/>
      <c r="F165" s="11" t="str">
        <f>IFERROR(VLOOKUP($E165,設定!$C:$F,2,0),"")</f>
        <v/>
      </c>
      <c r="G165" s="171" t="str">
        <f>IFERROR(VLOOKUP($E165,設定!$C:$F,3,0),"")</f>
        <v/>
      </c>
      <c r="H165" s="19" t="str">
        <f>IFERROR(VLOOKUP($E165,設定!$C:$F,4,0),"")</f>
        <v/>
      </c>
      <c r="I165" s="415"/>
    </row>
    <row r="166" spans="2:9" s="5" customFormat="1" ht="24" customHeight="1" x14ac:dyDescent="0.15">
      <c r="B166" s="9"/>
      <c r="C166" s="19"/>
      <c r="D166" s="17"/>
      <c r="E166" s="7"/>
      <c r="F166" s="11" t="str">
        <f>IFERROR(VLOOKUP($E166,設定!$C:$F,2,0),"")</f>
        <v/>
      </c>
      <c r="G166" s="171" t="str">
        <f>IFERROR(VLOOKUP($E166,設定!$C:$F,3,0),"")</f>
        <v/>
      </c>
      <c r="H166" s="19" t="str">
        <f>IFERROR(VLOOKUP($E166,設定!$C:$F,4,0),"")</f>
        <v/>
      </c>
      <c r="I166" s="415"/>
    </row>
    <row r="167" spans="2:9" s="5" customFormat="1" ht="24" customHeight="1" x14ac:dyDescent="0.15">
      <c r="B167" s="9"/>
      <c r="C167" s="19"/>
      <c r="D167" s="17"/>
      <c r="E167" s="7"/>
      <c r="F167" s="11" t="str">
        <f>IFERROR(VLOOKUP($E167,設定!$C:$F,2,0),"")</f>
        <v/>
      </c>
      <c r="G167" s="171" t="str">
        <f>IFERROR(VLOOKUP($E167,設定!$C:$F,3,0),"")</f>
        <v/>
      </c>
      <c r="H167" s="19" t="str">
        <f>IFERROR(VLOOKUP($E167,設定!$C:$F,4,0),"")</f>
        <v/>
      </c>
      <c r="I167" s="415"/>
    </row>
    <row r="168" spans="2:9" s="5" customFormat="1" ht="24" customHeight="1" x14ac:dyDescent="0.15">
      <c r="B168" s="9"/>
      <c r="C168" s="19"/>
      <c r="D168" s="17"/>
      <c r="E168" s="7"/>
      <c r="F168" s="11" t="str">
        <f>IFERROR(VLOOKUP($E168,設定!$C:$F,2,0),"")</f>
        <v/>
      </c>
      <c r="G168" s="171" t="str">
        <f>IFERROR(VLOOKUP($E168,設定!$C:$F,3,0),"")</f>
        <v/>
      </c>
      <c r="H168" s="19" t="str">
        <f>IFERROR(VLOOKUP($E168,設定!$C:$F,4,0),"")</f>
        <v/>
      </c>
      <c r="I168" s="415"/>
    </row>
    <row r="169" spans="2:9" s="5" customFormat="1" ht="24" customHeight="1" x14ac:dyDescent="0.15">
      <c r="B169" s="9"/>
      <c r="C169" s="19"/>
      <c r="D169" s="17"/>
      <c r="E169" s="7"/>
      <c r="F169" s="11" t="str">
        <f>IFERROR(VLOOKUP($E169,設定!$C:$F,2,0),"")</f>
        <v/>
      </c>
      <c r="G169" s="171" t="str">
        <f>IFERROR(VLOOKUP($E169,設定!$C:$F,3,0),"")</f>
        <v/>
      </c>
      <c r="H169" s="19" t="str">
        <f>IFERROR(VLOOKUP($E169,設定!$C:$F,4,0),"")</f>
        <v/>
      </c>
      <c r="I169" s="415"/>
    </row>
    <row r="170" spans="2:9" s="5" customFormat="1" ht="24" customHeight="1" x14ac:dyDescent="0.15">
      <c r="B170" s="9"/>
      <c r="C170" s="19"/>
      <c r="D170" s="17"/>
      <c r="E170" s="7"/>
      <c r="F170" s="11" t="str">
        <f>IFERROR(VLOOKUP($E170,設定!$C:$F,2,0),"")</f>
        <v/>
      </c>
      <c r="G170" s="171" t="str">
        <f>IFERROR(VLOOKUP($E170,設定!$C:$F,3,0),"")</f>
        <v/>
      </c>
      <c r="H170" s="19" t="str">
        <f>IFERROR(VLOOKUP($E170,設定!$C:$F,4,0),"")</f>
        <v/>
      </c>
      <c r="I170" s="415"/>
    </row>
    <row r="171" spans="2:9" s="5" customFormat="1" ht="24" customHeight="1" x14ac:dyDescent="0.15">
      <c r="B171" s="9"/>
      <c r="C171" s="19"/>
      <c r="D171" s="17"/>
      <c r="E171" s="7"/>
      <c r="F171" s="11" t="str">
        <f>IFERROR(VLOOKUP($E171,設定!$C:$F,2,0),"")</f>
        <v/>
      </c>
      <c r="G171" s="171" t="str">
        <f>IFERROR(VLOOKUP($E171,設定!$C:$F,3,0),"")</f>
        <v/>
      </c>
      <c r="H171" s="19" t="str">
        <f>IFERROR(VLOOKUP($E171,設定!$C:$F,4,0),"")</f>
        <v/>
      </c>
      <c r="I171" s="415"/>
    </row>
    <row r="172" spans="2:9" s="5" customFormat="1" ht="24" customHeight="1" x14ac:dyDescent="0.15">
      <c r="B172" s="9"/>
      <c r="C172" s="19"/>
      <c r="D172" s="17"/>
      <c r="E172" s="7"/>
      <c r="F172" s="11" t="str">
        <f>IFERROR(VLOOKUP($E172,設定!$C:$F,2,0),"")</f>
        <v/>
      </c>
      <c r="G172" s="171" t="str">
        <f>IFERROR(VLOOKUP($E172,設定!$C:$F,3,0),"")</f>
        <v/>
      </c>
      <c r="H172" s="19" t="str">
        <f>IFERROR(VLOOKUP($E172,設定!$C:$F,4,0),"")</f>
        <v/>
      </c>
      <c r="I172" s="415"/>
    </row>
    <row r="173" spans="2:9" s="5" customFormat="1" ht="24" customHeight="1" x14ac:dyDescent="0.15">
      <c r="B173" s="9"/>
      <c r="C173" s="19"/>
      <c r="D173" s="17"/>
      <c r="E173" s="7"/>
      <c r="F173" s="11" t="str">
        <f>IFERROR(VLOOKUP($E173,設定!$C:$F,2,0),"")</f>
        <v/>
      </c>
      <c r="G173" s="171" t="str">
        <f>IFERROR(VLOOKUP($E173,設定!$C:$F,3,0),"")</f>
        <v/>
      </c>
      <c r="H173" s="19" t="str">
        <f>IFERROR(VLOOKUP($E173,設定!$C:$F,4,0),"")</f>
        <v/>
      </c>
      <c r="I173" s="415"/>
    </row>
    <row r="174" spans="2:9" s="5" customFormat="1" ht="24" customHeight="1" x14ac:dyDescent="0.15">
      <c r="B174" s="9"/>
      <c r="C174" s="19"/>
      <c r="D174" s="17"/>
      <c r="E174" s="7"/>
      <c r="F174" s="11" t="str">
        <f>IFERROR(VLOOKUP($E174,設定!$C:$F,2,0),"")</f>
        <v/>
      </c>
      <c r="G174" s="171" t="str">
        <f>IFERROR(VLOOKUP($E174,設定!$C:$F,3,0),"")</f>
        <v/>
      </c>
      <c r="H174" s="19" t="str">
        <f>IFERROR(VLOOKUP($E174,設定!$C:$F,4,0),"")</f>
        <v/>
      </c>
      <c r="I174" s="415"/>
    </row>
    <row r="175" spans="2:9" s="5" customFormat="1" ht="24" customHeight="1" x14ac:dyDescent="0.15">
      <c r="B175" s="9"/>
      <c r="C175" s="19"/>
      <c r="D175" s="17"/>
      <c r="E175" s="7"/>
      <c r="F175" s="11" t="str">
        <f>IFERROR(VLOOKUP($E175,設定!$C:$F,2,0),"")</f>
        <v/>
      </c>
      <c r="G175" s="171" t="str">
        <f>IFERROR(VLOOKUP($E175,設定!$C:$F,3,0),"")</f>
        <v/>
      </c>
      <c r="H175" s="19" t="str">
        <f>IFERROR(VLOOKUP($E175,設定!$C:$F,4,0),"")</f>
        <v/>
      </c>
      <c r="I175" s="415"/>
    </row>
    <row r="176" spans="2:9" s="5" customFormat="1" ht="24" customHeight="1" x14ac:dyDescent="0.15">
      <c r="B176" s="9"/>
      <c r="C176" s="19"/>
      <c r="D176" s="17"/>
      <c r="E176" s="7"/>
      <c r="F176" s="11" t="str">
        <f>IFERROR(VLOOKUP($E176,設定!$C:$F,2,0),"")</f>
        <v/>
      </c>
      <c r="G176" s="171" t="str">
        <f>IFERROR(VLOOKUP($E176,設定!$C:$F,3,0),"")</f>
        <v/>
      </c>
      <c r="H176" s="19" t="str">
        <f>IFERROR(VLOOKUP($E176,設定!$C:$F,4,0),"")</f>
        <v/>
      </c>
      <c r="I176" s="415"/>
    </row>
    <row r="177" spans="2:9" s="5" customFormat="1" ht="24" customHeight="1" x14ac:dyDescent="0.15">
      <c r="B177" s="9"/>
      <c r="C177" s="19"/>
      <c r="D177" s="17"/>
      <c r="E177" s="7"/>
      <c r="F177" s="11" t="str">
        <f>IFERROR(VLOOKUP($E177,設定!$C:$F,2,0),"")</f>
        <v/>
      </c>
      <c r="G177" s="171" t="str">
        <f>IFERROR(VLOOKUP($E177,設定!$C:$F,3,0),"")</f>
        <v/>
      </c>
      <c r="H177" s="19" t="str">
        <f>IFERROR(VLOOKUP($E177,設定!$C:$F,4,0),"")</f>
        <v/>
      </c>
      <c r="I177" s="415"/>
    </row>
    <row r="178" spans="2:9" s="5" customFormat="1" ht="24" customHeight="1" x14ac:dyDescent="0.15">
      <c r="B178" s="9"/>
      <c r="C178" s="19"/>
      <c r="D178" s="17"/>
      <c r="E178" s="7"/>
      <c r="F178" s="11" t="str">
        <f>IFERROR(VLOOKUP($E178,設定!$C:$F,2,0),"")</f>
        <v/>
      </c>
      <c r="G178" s="171" t="str">
        <f>IFERROR(VLOOKUP($E178,設定!$C:$F,3,0),"")</f>
        <v/>
      </c>
      <c r="H178" s="19" t="str">
        <f>IFERROR(VLOOKUP($E178,設定!$C:$F,4,0),"")</f>
        <v/>
      </c>
      <c r="I178" s="415"/>
    </row>
    <row r="179" spans="2:9" s="5" customFormat="1" ht="24" customHeight="1" x14ac:dyDescent="0.15">
      <c r="B179" s="9"/>
      <c r="C179" s="19"/>
      <c r="D179" s="17"/>
      <c r="E179" s="7"/>
      <c r="F179" s="11" t="str">
        <f>IFERROR(VLOOKUP($E179,設定!$C:$F,2,0),"")</f>
        <v/>
      </c>
      <c r="G179" s="171" t="str">
        <f>IFERROR(VLOOKUP($E179,設定!$C:$F,3,0),"")</f>
        <v/>
      </c>
      <c r="H179" s="19" t="str">
        <f>IFERROR(VLOOKUP($E179,設定!$C:$F,4,0),"")</f>
        <v/>
      </c>
      <c r="I179" s="415"/>
    </row>
    <row r="180" spans="2:9" s="5" customFormat="1" ht="24" customHeight="1" x14ac:dyDescent="0.15">
      <c r="B180" s="9"/>
      <c r="C180" s="19"/>
      <c r="D180" s="17"/>
      <c r="E180" s="7"/>
      <c r="F180" s="11" t="str">
        <f>IFERROR(VLOOKUP($E180,設定!$C:$F,2,0),"")</f>
        <v/>
      </c>
      <c r="G180" s="171" t="str">
        <f>IFERROR(VLOOKUP($E180,設定!$C:$F,3,0),"")</f>
        <v/>
      </c>
      <c r="H180" s="19" t="str">
        <f>IFERROR(VLOOKUP($E180,設定!$C:$F,4,0),"")</f>
        <v/>
      </c>
      <c r="I180" s="415"/>
    </row>
    <row r="181" spans="2:9" s="5" customFormat="1" ht="24" customHeight="1" x14ac:dyDescent="0.15">
      <c r="B181" s="9"/>
      <c r="C181" s="19"/>
      <c r="D181" s="17"/>
      <c r="E181" s="7"/>
      <c r="F181" s="11" t="str">
        <f>IFERROR(VLOOKUP($E181,設定!$C:$F,2,0),"")</f>
        <v/>
      </c>
      <c r="G181" s="171" t="str">
        <f>IFERROR(VLOOKUP($E181,設定!$C:$F,3,0),"")</f>
        <v/>
      </c>
      <c r="H181" s="19" t="str">
        <f>IFERROR(VLOOKUP($E181,設定!$C:$F,4,0),"")</f>
        <v/>
      </c>
      <c r="I181" s="415"/>
    </row>
    <row r="182" spans="2:9" s="5" customFormat="1" ht="24" customHeight="1" x14ac:dyDescent="0.15">
      <c r="B182" s="9"/>
      <c r="C182" s="19"/>
      <c r="D182" s="17"/>
      <c r="E182" s="7"/>
      <c r="F182" s="11" t="str">
        <f>IFERROR(VLOOKUP($E182,設定!$C:$F,2,0),"")</f>
        <v/>
      </c>
      <c r="G182" s="171" t="str">
        <f>IFERROR(VLOOKUP($E182,設定!$C:$F,3,0),"")</f>
        <v/>
      </c>
      <c r="H182" s="19" t="str">
        <f>IFERROR(VLOOKUP($E182,設定!$C:$F,4,0),"")</f>
        <v/>
      </c>
      <c r="I182" s="415"/>
    </row>
    <row r="183" spans="2:9" s="5" customFormat="1" ht="24" customHeight="1" x14ac:dyDescent="0.15">
      <c r="B183" s="9"/>
      <c r="C183" s="19"/>
      <c r="D183" s="17"/>
      <c r="E183" s="7"/>
      <c r="F183" s="11" t="str">
        <f>IFERROR(VLOOKUP($E183,設定!$C:$F,2,0),"")</f>
        <v/>
      </c>
      <c r="G183" s="171" t="str">
        <f>IFERROR(VLOOKUP($E183,設定!$C:$F,3,0),"")</f>
        <v/>
      </c>
      <c r="H183" s="19" t="str">
        <f>IFERROR(VLOOKUP($E183,設定!$C:$F,4,0),"")</f>
        <v/>
      </c>
      <c r="I183" s="415"/>
    </row>
    <row r="184" spans="2:9" s="5" customFormat="1" ht="24" customHeight="1" x14ac:dyDescent="0.15">
      <c r="B184" s="9"/>
      <c r="C184" s="19"/>
      <c r="D184" s="17"/>
      <c r="E184" s="7"/>
      <c r="F184" s="11" t="str">
        <f>IFERROR(VLOOKUP($E184,設定!$C:$F,2,0),"")</f>
        <v/>
      </c>
      <c r="G184" s="171" t="str">
        <f>IFERROR(VLOOKUP($E184,設定!$C:$F,3,0),"")</f>
        <v/>
      </c>
      <c r="H184" s="19" t="str">
        <f>IFERROR(VLOOKUP($E184,設定!$C:$F,4,0),"")</f>
        <v/>
      </c>
      <c r="I184" s="415"/>
    </row>
    <row r="185" spans="2:9" s="5" customFormat="1" ht="24" customHeight="1" x14ac:dyDescent="0.15">
      <c r="B185" s="9"/>
      <c r="C185" s="19"/>
      <c r="D185" s="17"/>
      <c r="E185" s="7"/>
      <c r="F185" s="11" t="str">
        <f>IFERROR(VLOOKUP($E185,設定!$C:$F,2,0),"")</f>
        <v/>
      </c>
      <c r="G185" s="171" t="str">
        <f>IFERROR(VLOOKUP($E185,設定!$C:$F,3,0),"")</f>
        <v/>
      </c>
      <c r="H185" s="19" t="str">
        <f>IFERROR(VLOOKUP($E185,設定!$C:$F,4,0),"")</f>
        <v/>
      </c>
      <c r="I185" s="415"/>
    </row>
    <row r="186" spans="2:9" s="5" customFormat="1" ht="24" customHeight="1" x14ac:dyDescent="0.15">
      <c r="B186" s="9"/>
      <c r="C186" s="19"/>
      <c r="D186" s="17"/>
      <c r="E186" s="7"/>
      <c r="F186" s="11" t="str">
        <f>IFERROR(VLOOKUP($E186,設定!$C:$F,2,0),"")</f>
        <v/>
      </c>
      <c r="G186" s="171" t="str">
        <f>IFERROR(VLOOKUP($E186,設定!$C:$F,3,0),"")</f>
        <v/>
      </c>
      <c r="H186" s="19" t="str">
        <f>IFERROR(VLOOKUP($E186,設定!$C:$F,4,0),"")</f>
        <v/>
      </c>
      <c r="I186" s="415"/>
    </row>
    <row r="187" spans="2:9" s="5" customFormat="1" ht="24" customHeight="1" x14ac:dyDescent="0.15">
      <c r="B187" s="9"/>
      <c r="C187" s="19"/>
      <c r="D187" s="17"/>
      <c r="E187" s="7"/>
      <c r="F187" s="11" t="str">
        <f>IFERROR(VLOOKUP($E187,設定!$C:$F,2,0),"")</f>
        <v/>
      </c>
      <c r="G187" s="171" t="str">
        <f>IFERROR(VLOOKUP($E187,設定!$C:$F,3,0),"")</f>
        <v/>
      </c>
      <c r="H187" s="19" t="str">
        <f>IFERROR(VLOOKUP($E187,設定!$C:$F,4,0),"")</f>
        <v/>
      </c>
      <c r="I187" s="415"/>
    </row>
    <row r="188" spans="2:9" s="5" customFormat="1" ht="24" customHeight="1" x14ac:dyDescent="0.15">
      <c r="B188" s="9"/>
      <c r="C188" s="19"/>
      <c r="D188" s="17"/>
      <c r="E188" s="7"/>
      <c r="F188" s="11" t="str">
        <f>IFERROR(VLOOKUP($E188,設定!$C:$F,2,0),"")</f>
        <v/>
      </c>
      <c r="G188" s="171" t="str">
        <f>IFERROR(VLOOKUP($E188,設定!$C:$F,3,0),"")</f>
        <v/>
      </c>
      <c r="H188" s="19" t="str">
        <f>IFERROR(VLOOKUP($E188,設定!$C:$F,4,0),"")</f>
        <v/>
      </c>
      <c r="I188" s="415"/>
    </row>
    <row r="189" spans="2:9" s="5" customFormat="1" ht="24" customHeight="1" x14ac:dyDescent="0.15">
      <c r="B189" s="9"/>
      <c r="C189" s="19"/>
      <c r="D189" s="17"/>
      <c r="E189" s="7"/>
      <c r="F189" s="11" t="str">
        <f>IFERROR(VLOOKUP($E189,設定!$C:$F,2,0),"")</f>
        <v/>
      </c>
      <c r="G189" s="171" t="str">
        <f>IFERROR(VLOOKUP($E189,設定!$C:$F,3,0),"")</f>
        <v/>
      </c>
      <c r="H189" s="19" t="str">
        <f>IFERROR(VLOOKUP($E189,設定!$C:$F,4,0),"")</f>
        <v/>
      </c>
      <c r="I189" s="415"/>
    </row>
    <row r="190" spans="2:9" s="5" customFormat="1" ht="24" customHeight="1" x14ac:dyDescent="0.15">
      <c r="B190" s="9"/>
      <c r="C190" s="19"/>
      <c r="D190" s="17"/>
      <c r="E190" s="7"/>
      <c r="F190" s="11" t="str">
        <f>IFERROR(VLOOKUP($E190,設定!$C:$F,2,0),"")</f>
        <v/>
      </c>
      <c r="G190" s="171" t="str">
        <f>IFERROR(VLOOKUP($E190,設定!$C:$F,3,0),"")</f>
        <v/>
      </c>
      <c r="H190" s="19" t="str">
        <f>IFERROR(VLOOKUP($E190,設定!$C:$F,4,0),"")</f>
        <v/>
      </c>
      <c r="I190" s="415"/>
    </row>
    <row r="191" spans="2:9" s="5" customFormat="1" ht="24" customHeight="1" x14ac:dyDescent="0.15">
      <c r="B191" s="9"/>
      <c r="C191" s="19"/>
      <c r="D191" s="17"/>
      <c r="E191" s="7"/>
      <c r="F191" s="11" t="str">
        <f>IFERROR(VLOOKUP($E191,設定!$C:$F,2,0),"")</f>
        <v/>
      </c>
      <c r="G191" s="171" t="str">
        <f>IFERROR(VLOOKUP($E191,設定!$C:$F,3,0),"")</f>
        <v/>
      </c>
      <c r="H191" s="19" t="str">
        <f>IFERROR(VLOOKUP($E191,設定!$C:$F,4,0),"")</f>
        <v/>
      </c>
      <c r="I191" s="415"/>
    </row>
    <row r="192" spans="2:9" s="5" customFormat="1" ht="24" customHeight="1" x14ac:dyDescent="0.15">
      <c r="B192" s="9"/>
      <c r="C192" s="19"/>
      <c r="D192" s="17"/>
      <c r="E192" s="7"/>
      <c r="F192" s="11" t="str">
        <f>IFERROR(VLOOKUP($E192,設定!$C:$F,2,0),"")</f>
        <v/>
      </c>
      <c r="G192" s="171" t="str">
        <f>IFERROR(VLOOKUP($E192,設定!$C:$F,3,0),"")</f>
        <v/>
      </c>
      <c r="H192" s="19" t="str">
        <f>IFERROR(VLOOKUP($E192,設定!$C:$F,4,0),"")</f>
        <v/>
      </c>
      <c r="I192" s="415"/>
    </row>
    <row r="193" spans="2:9" s="5" customFormat="1" ht="24" customHeight="1" x14ac:dyDescent="0.15">
      <c r="B193" s="9"/>
      <c r="C193" s="19"/>
      <c r="D193" s="17"/>
      <c r="E193" s="7"/>
      <c r="F193" s="11" t="str">
        <f>IFERROR(VLOOKUP($E193,設定!$C:$F,2,0),"")</f>
        <v/>
      </c>
      <c r="G193" s="171" t="str">
        <f>IFERROR(VLOOKUP($E193,設定!$C:$F,3,0),"")</f>
        <v/>
      </c>
      <c r="H193" s="19" t="str">
        <f>IFERROR(VLOOKUP($E193,設定!$C:$F,4,0),"")</f>
        <v/>
      </c>
      <c r="I193" s="415"/>
    </row>
    <row r="194" spans="2:9" s="5" customFormat="1" ht="24" customHeight="1" x14ac:dyDescent="0.15">
      <c r="B194" s="9"/>
      <c r="C194" s="19"/>
      <c r="D194" s="17"/>
      <c r="E194" s="7"/>
      <c r="F194" s="11" t="str">
        <f>IFERROR(VLOOKUP($E194,設定!$C:$F,2,0),"")</f>
        <v/>
      </c>
      <c r="G194" s="171" t="str">
        <f>IFERROR(VLOOKUP($E194,設定!$C:$F,3,0),"")</f>
        <v/>
      </c>
      <c r="H194" s="19" t="str">
        <f>IFERROR(VLOOKUP($E194,設定!$C:$F,4,0),"")</f>
        <v/>
      </c>
      <c r="I194" s="415"/>
    </row>
    <row r="195" spans="2:9" s="5" customFormat="1" ht="24" customHeight="1" x14ac:dyDescent="0.15">
      <c r="B195" s="9"/>
      <c r="C195" s="19"/>
      <c r="D195" s="17"/>
      <c r="E195" s="7"/>
      <c r="F195" s="11" t="str">
        <f>IFERROR(VLOOKUP($E195,設定!$C:$F,2,0),"")</f>
        <v/>
      </c>
      <c r="G195" s="171" t="str">
        <f>IFERROR(VLOOKUP($E195,設定!$C:$F,3,0),"")</f>
        <v/>
      </c>
      <c r="H195" s="19" t="str">
        <f>IFERROR(VLOOKUP($E195,設定!$C:$F,4,0),"")</f>
        <v/>
      </c>
      <c r="I195" s="415"/>
    </row>
    <row r="196" spans="2:9" s="5" customFormat="1" ht="24" customHeight="1" x14ac:dyDescent="0.15">
      <c r="B196" s="9"/>
      <c r="C196" s="19"/>
      <c r="D196" s="17"/>
      <c r="E196" s="7"/>
      <c r="F196" s="11" t="str">
        <f>IFERROR(VLOOKUP($E196,設定!$C:$F,2,0),"")</f>
        <v/>
      </c>
      <c r="G196" s="171" t="str">
        <f>IFERROR(VLOOKUP($E196,設定!$C:$F,3,0),"")</f>
        <v/>
      </c>
      <c r="H196" s="19" t="str">
        <f>IFERROR(VLOOKUP($E196,設定!$C:$F,4,0),"")</f>
        <v/>
      </c>
      <c r="I196" s="415"/>
    </row>
    <row r="197" spans="2:9" s="5" customFormat="1" ht="24" customHeight="1" x14ac:dyDescent="0.15">
      <c r="B197" s="9"/>
      <c r="C197" s="19"/>
      <c r="D197" s="17"/>
      <c r="E197" s="7"/>
      <c r="F197" s="11" t="str">
        <f>IFERROR(VLOOKUP($E197,設定!$C:$F,2,0),"")</f>
        <v/>
      </c>
      <c r="G197" s="171" t="str">
        <f>IFERROR(VLOOKUP($E197,設定!$C:$F,3,0),"")</f>
        <v/>
      </c>
      <c r="H197" s="19" t="str">
        <f>IFERROR(VLOOKUP($E197,設定!$C:$F,4,0),"")</f>
        <v/>
      </c>
      <c r="I197" s="415"/>
    </row>
    <row r="198" spans="2:9" s="5" customFormat="1" ht="24" customHeight="1" x14ac:dyDescent="0.15">
      <c r="B198" s="9"/>
      <c r="C198" s="19"/>
      <c r="D198" s="17"/>
      <c r="E198" s="7"/>
      <c r="F198" s="11" t="str">
        <f>IFERROR(VLOOKUP($E198,設定!$C:$F,2,0),"")</f>
        <v/>
      </c>
      <c r="G198" s="171" t="str">
        <f>IFERROR(VLOOKUP($E198,設定!$C:$F,3,0),"")</f>
        <v/>
      </c>
      <c r="H198" s="19" t="str">
        <f>IFERROR(VLOOKUP($E198,設定!$C:$F,4,0),"")</f>
        <v/>
      </c>
      <c r="I198" s="415"/>
    </row>
    <row r="199" spans="2:9" s="5" customFormat="1" ht="24" customHeight="1" x14ac:dyDescent="0.15">
      <c r="B199" s="9"/>
      <c r="C199" s="19"/>
      <c r="D199" s="17"/>
      <c r="E199" s="7"/>
      <c r="F199" s="11" t="str">
        <f>IFERROR(VLOOKUP($E199,設定!$C:$F,2,0),"")</f>
        <v/>
      </c>
      <c r="G199" s="171" t="str">
        <f>IFERROR(VLOOKUP($E199,設定!$C:$F,3,0),"")</f>
        <v/>
      </c>
      <c r="H199" s="19" t="str">
        <f>IFERROR(VLOOKUP($E199,設定!$C:$F,4,0),"")</f>
        <v/>
      </c>
      <c r="I199" s="415"/>
    </row>
    <row r="200" spans="2:9" s="5" customFormat="1" ht="24" customHeight="1" x14ac:dyDescent="0.15">
      <c r="B200" s="9"/>
      <c r="C200" s="19"/>
      <c r="D200" s="17"/>
      <c r="E200" s="7"/>
      <c r="F200" s="11" t="str">
        <f>IFERROR(VLOOKUP($E200,設定!$C:$F,2,0),"")</f>
        <v/>
      </c>
      <c r="G200" s="171" t="str">
        <f>IFERROR(VLOOKUP($E200,設定!$C:$F,3,0),"")</f>
        <v/>
      </c>
      <c r="H200" s="19" t="str">
        <f>IFERROR(VLOOKUP($E200,設定!$C:$F,4,0),"")</f>
        <v/>
      </c>
      <c r="I200" s="415"/>
    </row>
    <row r="201" spans="2:9" s="5" customFormat="1" ht="24" customHeight="1" x14ac:dyDescent="0.15">
      <c r="B201" s="9"/>
      <c r="C201" s="19"/>
      <c r="D201" s="17"/>
      <c r="E201" s="7"/>
      <c r="F201" s="11" t="str">
        <f>IFERROR(VLOOKUP($E201,設定!$C:$F,2,0),"")</f>
        <v/>
      </c>
      <c r="G201" s="171" t="str">
        <f>IFERROR(VLOOKUP($E201,設定!$C:$F,3,0),"")</f>
        <v/>
      </c>
      <c r="H201" s="19" t="str">
        <f>IFERROR(VLOOKUP($E201,設定!$C:$F,4,0),"")</f>
        <v/>
      </c>
      <c r="I201" s="415"/>
    </row>
    <row r="202" spans="2:9" s="5" customFormat="1" ht="24" customHeight="1" x14ac:dyDescent="0.15">
      <c r="B202" s="9"/>
      <c r="C202" s="19"/>
      <c r="D202" s="17"/>
      <c r="E202" s="7"/>
      <c r="F202" s="11" t="str">
        <f>IFERROR(VLOOKUP($E202,設定!$C:$F,2,0),"")</f>
        <v/>
      </c>
      <c r="G202" s="171" t="str">
        <f>IFERROR(VLOOKUP($E202,設定!$C:$F,3,0),"")</f>
        <v/>
      </c>
      <c r="H202" s="19" t="str">
        <f>IFERROR(VLOOKUP($E202,設定!$C:$F,4,0),"")</f>
        <v/>
      </c>
      <c r="I202" s="415"/>
    </row>
    <row r="203" spans="2:9" s="5" customFormat="1" ht="24" customHeight="1" x14ac:dyDescent="0.15">
      <c r="B203" s="9"/>
      <c r="C203" s="19"/>
      <c r="D203" s="17"/>
      <c r="E203" s="7"/>
      <c r="F203" s="11" t="str">
        <f>IFERROR(VLOOKUP($E203,設定!$C:$F,2,0),"")</f>
        <v/>
      </c>
      <c r="G203" s="171" t="str">
        <f>IFERROR(VLOOKUP($E203,設定!$C:$F,3,0),"")</f>
        <v/>
      </c>
      <c r="H203" s="19" t="str">
        <f>IFERROR(VLOOKUP($E203,設定!$C:$F,4,0),"")</f>
        <v/>
      </c>
      <c r="I203" s="415"/>
    </row>
    <row r="204" spans="2:9" s="5" customFormat="1" ht="24" customHeight="1" x14ac:dyDescent="0.15">
      <c r="B204" s="9"/>
      <c r="C204" s="19"/>
      <c r="D204" s="17"/>
      <c r="E204" s="7"/>
      <c r="F204" s="11" t="str">
        <f>IFERROR(VLOOKUP($E204,設定!$C:$F,2,0),"")</f>
        <v/>
      </c>
      <c r="G204" s="171" t="str">
        <f>IFERROR(VLOOKUP($E204,設定!$C:$F,3,0),"")</f>
        <v/>
      </c>
      <c r="H204" s="19" t="str">
        <f>IFERROR(VLOOKUP($E204,設定!$C:$F,4,0),"")</f>
        <v/>
      </c>
      <c r="I204" s="415"/>
    </row>
    <row r="205" spans="2:9" s="5" customFormat="1" ht="24" customHeight="1" x14ac:dyDescent="0.15">
      <c r="B205" s="9"/>
      <c r="C205" s="19"/>
      <c r="D205" s="17"/>
      <c r="E205" s="7"/>
      <c r="F205" s="11" t="str">
        <f>IFERROR(VLOOKUP($E205,設定!$C:$F,2,0),"")</f>
        <v/>
      </c>
      <c r="G205" s="171" t="str">
        <f>IFERROR(VLOOKUP($E205,設定!$C:$F,3,0),"")</f>
        <v/>
      </c>
      <c r="H205" s="19" t="str">
        <f>IFERROR(VLOOKUP($E205,設定!$C:$F,4,0),"")</f>
        <v/>
      </c>
      <c r="I205" s="415"/>
    </row>
    <row r="206" spans="2:9" s="5" customFormat="1" ht="24" customHeight="1" x14ac:dyDescent="0.15">
      <c r="B206" s="9"/>
      <c r="C206" s="19"/>
      <c r="D206" s="17"/>
      <c r="E206" s="7"/>
      <c r="F206" s="11" t="str">
        <f>IFERROR(VLOOKUP($E206,設定!$C:$F,2,0),"")</f>
        <v/>
      </c>
      <c r="G206" s="171" t="str">
        <f>IFERROR(VLOOKUP($E206,設定!$C:$F,3,0),"")</f>
        <v/>
      </c>
      <c r="H206" s="19" t="str">
        <f>IFERROR(VLOOKUP($E206,設定!$C:$F,4,0),"")</f>
        <v/>
      </c>
      <c r="I206" s="415"/>
    </row>
    <row r="207" spans="2:9" s="5" customFormat="1" ht="24" customHeight="1" x14ac:dyDescent="0.15">
      <c r="B207" s="9"/>
      <c r="C207" s="19"/>
      <c r="D207" s="17"/>
      <c r="E207" s="7"/>
      <c r="F207" s="11" t="str">
        <f>IFERROR(VLOOKUP($E207,設定!$C:$F,2,0),"")</f>
        <v/>
      </c>
      <c r="G207" s="171" t="str">
        <f>IFERROR(VLOOKUP($E207,設定!$C:$F,3,0),"")</f>
        <v/>
      </c>
      <c r="H207" s="19" t="str">
        <f>IFERROR(VLOOKUP($E207,設定!$C:$F,4,0),"")</f>
        <v/>
      </c>
      <c r="I207" s="415"/>
    </row>
    <row r="208" spans="2:9" s="5" customFormat="1" ht="24" customHeight="1" x14ac:dyDescent="0.15">
      <c r="B208" s="9"/>
      <c r="C208" s="19"/>
      <c r="D208" s="17"/>
      <c r="E208" s="7"/>
      <c r="F208" s="11" t="str">
        <f>IFERROR(VLOOKUP($E208,設定!$C:$F,2,0),"")</f>
        <v/>
      </c>
      <c r="G208" s="171" t="str">
        <f>IFERROR(VLOOKUP($E208,設定!$C:$F,3,0),"")</f>
        <v/>
      </c>
      <c r="H208" s="19" t="str">
        <f>IFERROR(VLOOKUP($E208,設定!$C:$F,4,0),"")</f>
        <v/>
      </c>
      <c r="I208" s="415"/>
    </row>
    <row r="209" spans="2:9" s="5" customFormat="1" ht="24" customHeight="1" x14ac:dyDescent="0.15">
      <c r="B209" s="9"/>
      <c r="C209" s="19"/>
      <c r="D209" s="17"/>
      <c r="E209" s="7"/>
      <c r="F209" s="11" t="str">
        <f>IFERROR(VLOOKUP($E209,設定!$C:$F,2,0),"")</f>
        <v/>
      </c>
      <c r="G209" s="171" t="str">
        <f>IFERROR(VLOOKUP($E209,設定!$C:$F,3,0),"")</f>
        <v/>
      </c>
      <c r="H209" s="19" t="str">
        <f>IFERROR(VLOOKUP($E209,設定!$C:$F,4,0),"")</f>
        <v/>
      </c>
      <c r="I209" s="415"/>
    </row>
    <row r="210" spans="2:9" s="5" customFormat="1" ht="24" customHeight="1" x14ac:dyDescent="0.15">
      <c r="B210" s="9"/>
      <c r="C210" s="19"/>
      <c r="D210" s="17"/>
      <c r="E210" s="7"/>
      <c r="F210" s="11" t="str">
        <f>IFERROR(VLOOKUP($E210,設定!$C:$F,2,0),"")</f>
        <v/>
      </c>
      <c r="G210" s="171" t="str">
        <f>IFERROR(VLOOKUP($E210,設定!$C:$F,3,0),"")</f>
        <v/>
      </c>
      <c r="H210" s="19" t="str">
        <f>IFERROR(VLOOKUP($E210,設定!$C:$F,4,0),"")</f>
        <v/>
      </c>
      <c r="I210" s="415"/>
    </row>
    <row r="211" spans="2:9" s="5" customFormat="1" ht="24" customHeight="1" x14ac:dyDescent="0.15">
      <c r="B211" s="9"/>
      <c r="C211" s="19"/>
      <c r="D211" s="17"/>
      <c r="E211" s="7"/>
      <c r="F211" s="11" t="str">
        <f>IFERROR(VLOOKUP($E211,設定!$C:$F,2,0),"")</f>
        <v/>
      </c>
      <c r="G211" s="171" t="str">
        <f>IFERROR(VLOOKUP($E211,設定!$C:$F,3,0),"")</f>
        <v/>
      </c>
      <c r="H211" s="19" t="str">
        <f>IFERROR(VLOOKUP($E211,設定!$C:$F,4,0),"")</f>
        <v/>
      </c>
      <c r="I211" s="415"/>
    </row>
    <row r="212" spans="2:9" s="5" customFormat="1" ht="24" customHeight="1" x14ac:dyDescent="0.15">
      <c r="B212" s="9"/>
      <c r="C212" s="19"/>
      <c r="D212" s="17"/>
      <c r="E212" s="7"/>
      <c r="F212" s="11" t="str">
        <f>IFERROR(VLOOKUP($E212,設定!$C:$F,2,0),"")</f>
        <v/>
      </c>
      <c r="G212" s="171" t="str">
        <f>IFERROR(VLOOKUP($E212,設定!$C:$F,3,0),"")</f>
        <v/>
      </c>
      <c r="H212" s="19" t="str">
        <f>IFERROR(VLOOKUP($E212,設定!$C:$F,4,0),"")</f>
        <v/>
      </c>
      <c r="I212" s="415"/>
    </row>
    <row r="213" spans="2:9" s="5" customFormat="1" ht="24" customHeight="1" x14ac:dyDescent="0.15">
      <c r="B213" s="9"/>
      <c r="C213" s="19"/>
      <c r="D213" s="17"/>
      <c r="E213" s="7"/>
      <c r="F213" s="11" t="str">
        <f>IFERROR(VLOOKUP($E213,設定!$C:$F,2,0),"")</f>
        <v/>
      </c>
      <c r="G213" s="171" t="str">
        <f>IFERROR(VLOOKUP($E213,設定!$C:$F,3,0),"")</f>
        <v/>
      </c>
      <c r="H213" s="19" t="str">
        <f>IFERROR(VLOOKUP($E213,設定!$C:$F,4,0),"")</f>
        <v/>
      </c>
      <c r="I213" s="415"/>
    </row>
    <row r="214" spans="2:9" s="5" customFormat="1" ht="24" customHeight="1" x14ac:dyDescent="0.15">
      <c r="B214" s="9"/>
      <c r="C214" s="19"/>
      <c r="D214" s="17"/>
      <c r="E214" s="7"/>
      <c r="F214" s="11" t="str">
        <f>IFERROR(VLOOKUP($E214,設定!$C:$F,2,0),"")</f>
        <v/>
      </c>
      <c r="G214" s="171" t="str">
        <f>IFERROR(VLOOKUP($E214,設定!$C:$F,3,0),"")</f>
        <v/>
      </c>
      <c r="H214" s="19" t="str">
        <f>IFERROR(VLOOKUP($E214,設定!$C:$F,4,0),"")</f>
        <v/>
      </c>
      <c r="I214" s="415"/>
    </row>
    <row r="215" spans="2:9" s="5" customFormat="1" ht="24" customHeight="1" x14ac:dyDescent="0.15">
      <c r="B215" s="9"/>
      <c r="C215" s="19"/>
      <c r="D215" s="17"/>
      <c r="E215" s="7"/>
      <c r="F215" s="11" t="str">
        <f>IFERROR(VLOOKUP($E215,設定!$C:$F,2,0),"")</f>
        <v/>
      </c>
      <c r="G215" s="171" t="str">
        <f>IFERROR(VLOOKUP($E215,設定!$C:$F,3,0),"")</f>
        <v/>
      </c>
      <c r="H215" s="19" t="str">
        <f>IFERROR(VLOOKUP($E215,設定!$C:$F,4,0),"")</f>
        <v/>
      </c>
      <c r="I215" s="415"/>
    </row>
    <row r="216" spans="2:9" s="5" customFormat="1" ht="24" customHeight="1" x14ac:dyDescent="0.15">
      <c r="B216" s="9"/>
      <c r="C216" s="19"/>
      <c r="D216" s="17"/>
      <c r="E216" s="7"/>
      <c r="F216" s="11" t="str">
        <f>IFERROR(VLOOKUP($E216,設定!$C:$F,2,0),"")</f>
        <v/>
      </c>
      <c r="G216" s="171" t="str">
        <f>IFERROR(VLOOKUP($E216,設定!$C:$F,3,0),"")</f>
        <v/>
      </c>
      <c r="H216" s="19" t="str">
        <f>IFERROR(VLOOKUP($E216,設定!$C:$F,4,0),"")</f>
        <v/>
      </c>
      <c r="I216" s="415"/>
    </row>
    <row r="217" spans="2:9" s="5" customFormat="1" ht="24" customHeight="1" x14ac:dyDescent="0.15">
      <c r="B217" s="9"/>
      <c r="C217" s="19"/>
      <c r="D217" s="17"/>
      <c r="E217" s="7"/>
      <c r="F217" s="11" t="str">
        <f>IFERROR(VLOOKUP($E217,設定!$C:$F,2,0),"")</f>
        <v/>
      </c>
      <c r="G217" s="171" t="str">
        <f>IFERROR(VLOOKUP($E217,設定!$C:$F,3,0),"")</f>
        <v/>
      </c>
      <c r="H217" s="19" t="str">
        <f>IFERROR(VLOOKUP($E217,設定!$C:$F,4,0),"")</f>
        <v/>
      </c>
      <c r="I217" s="415"/>
    </row>
    <row r="218" spans="2:9" s="5" customFormat="1" ht="24" customHeight="1" x14ac:dyDescent="0.15">
      <c r="B218" s="9"/>
      <c r="C218" s="19"/>
      <c r="D218" s="17"/>
      <c r="E218" s="7"/>
      <c r="F218" s="11" t="str">
        <f>IFERROR(VLOOKUP($E218,設定!$C:$F,2,0),"")</f>
        <v/>
      </c>
      <c r="G218" s="171" t="str">
        <f>IFERROR(VLOOKUP($E218,設定!$C:$F,3,0),"")</f>
        <v/>
      </c>
      <c r="H218" s="19" t="str">
        <f>IFERROR(VLOOKUP($E218,設定!$C:$F,4,0),"")</f>
        <v/>
      </c>
      <c r="I218" s="415"/>
    </row>
    <row r="219" spans="2:9" s="5" customFormat="1" ht="24" customHeight="1" x14ac:dyDescent="0.15">
      <c r="B219" s="9"/>
      <c r="C219" s="19"/>
      <c r="D219" s="17"/>
      <c r="E219" s="7"/>
      <c r="F219" s="11" t="str">
        <f>IFERROR(VLOOKUP($E219,設定!$C:$F,2,0),"")</f>
        <v/>
      </c>
      <c r="G219" s="171" t="str">
        <f>IFERROR(VLOOKUP($E219,設定!$C:$F,3,0),"")</f>
        <v/>
      </c>
      <c r="H219" s="19" t="str">
        <f>IFERROR(VLOOKUP($E219,設定!$C:$F,4,0),"")</f>
        <v/>
      </c>
      <c r="I219" s="415"/>
    </row>
    <row r="220" spans="2:9" s="5" customFormat="1" ht="24" customHeight="1" x14ac:dyDescent="0.15">
      <c r="B220" s="9"/>
      <c r="C220" s="19"/>
      <c r="D220" s="17"/>
      <c r="E220" s="7"/>
      <c r="F220" s="11" t="str">
        <f>IFERROR(VLOOKUP($E220,設定!$C:$F,2,0),"")</f>
        <v/>
      </c>
      <c r="G220" s="171" t="str">
        <f>IFERROR(VLOOKUP($E220,設定!$C:$F,3,0),"")</f>
        <v/>
      </c>
      <c r="H220" s="19" t="str">
        <f>IFERROR(VLOOKUP($E220,設定!$C:$F,4,0),"")</f>
        <v/>
      </c>
      <c r="I220" s="415"/>
    </row>
    <row r="221" spans="2:9" s="5" customFormat="1" ht="24" customHeight="1" x14ac:dyDescent="0.15">
      <c r="B221" s="9"/>
      <c r="C221" s="19"/>
      <c r="D221" s="17"/>
      <c r="E221" s="7"/>
      <c r="F221" s="11" t="str">
        <f>IFERROR(VLOOKUP($E221,設定!$C:$F,2,0),"")</f>
        <v/>
      </c>
      <c r="G221" s="171" t="str">
        <f>IFERROR(VLOOKUP($E221,設定!$C:$F,3,0),"")</f>
        <v/>
      </c>
      <c r="H221" s="19" t="str">
        <f>IFERROR(VLOOKUP($E221,設定!$C:$F,4,0),"")</f>
        <v/>
      </c>
      <c r="I221" s="415"/>
    </row>
    <row r="222" spans="2:9" s="5" customFormat="1" ht="24" customHeight="1" x14ac:dyDescent="0.15">
      <c r="B222" s="9"/>
      <c r="C222" s="19"/>
      <c r="D222" s="17"/>
      <c r="E222" s="7"/>
      <c r="F222" s="11" t="str">
        <f>IFERROR(VLOOKUP($E222,設定!$C:$F,2,0),"")</f>
        <v/>
      </c>
      <c r="G222" s="171" t="str">
        <f>IFERROR(VLOOKUP($E222,設定!$C:$F,3,0),"")</f>
        <v/>
      </c>
      <c r="H222" s="19" t="str">
        <f>IFERROR(VLOOKUP($E222,設定!$C:$F,4,0),"")</f>
        <v/>
      </c>
      <c r="I222" s="415"/>
    </row>
    <row r="223" spans="2:9" s="5" customFormat="1" ht="24" customHeight="1" x14ac:dyDescent="0.15">
      <c r="B223" s="9"/>
      <c r="C223" s="19"/>
      <c r="D223" s="17"/>
      <c r="E223" s="7"/>
      <c r="F223" s="11" t="str">
        <f>IFERROR(VLOOKUP($E223,設定!$C:$F,2,0),"")</f>
        <v/>
      </c>
      <c r="G223" s="171" t="str">
        <f>IFERROR(VLOOKUP($E223,設定!$C:$F,3,0),"")</f>
        <v/>
      </c>
      <c r="H223" s="19" t="str">
        <f>IFERROR(VLOOKUP($E223,設定!$C:$F,4,0),"")</f>
        <v/>
      </c>
      <c r="I223" s="415"/>
    </row>
    <row r="224" spans="2:9" s="5" customFormat="1" ht="24" customHeight="1" x14ac:dyDescent="0.15">
      <c r="B224" s="9"/>
      <c r="C224" s="19"/>
      <c r="D224" s="17"/>
      <c r="E224" s="7"/>
      <c r="F224" s="11" t="str">
        <f>IFERROR(VLOOKUP($E224,設定!$C:$F,2,0),"")</f>
        <v/>
      </c>
      <c r="G224" s="171" t="str">
        <f>IFERROR(VLOOKUP($E224,設定!$C:$F,3,0),"")</f>
        <v/>
      </c>
      <c r="H224" s="19" t="str">
        <f>IFERROR(VLOOKUP($E224,設定!$C:$F,4,0),"")</f>
        <v/>
      </c>
      <c r="I224" s="415"/>
    </row>
    <row r="225" spans="2:9" s="5" customFormat="1" ht="24" customHeight="1" x14ac:dyDescent="0.15">
      <c r="B225" s="9"/>
      <c r="C225" s="19"/>
      <c r="D225" s="17"/>
      <c r="E225" s="7"/>
      <c r="F225" s="11" t="str">
        <f>IFERROR(VLOOKUP($E225,設定!$C:$F,2,0),"")</f>
        <v/>
      </c>
      <c r="G225" s="171" t="str">
        <f>IFERROR(VLOOKUP($E225,設定!$C:$F,3,0),"")</f>
        <v/>
      </c>
      <c r="H225" s="19" t="str">
        <f>IFERROR(VLOOKUP($E225,設定!$C:$F,4,0),"")</f>
        <v/>
      </c>
      <c r="I225" s="415"/>
    </row>
    <row r="226" spans="2:9" s="5" customFormat="1" ht="24" customHeight="1" x14ac:dyDescent="0.15">
      <c r="B226" s="9"/>
      <c r="C226" s="19"/>
      <c r="D226" s="17"/>
      <c r="E226" s="7"/>
      <c r="F226" s="11" t="str">
        <f>IFERROR(VLOOKUP($E226,設定!$C:$F,2,0),"")</f>
        <v/>
      </c>
      <c r="G226" s="171" t="str">
        <f>IFERROR(VLOOKUP($E226,設定!$C:$F,3,0),"")</f>
        <v/>
      </c>
      <c r="H226" s="19" t="str">
        <f>IFERROR(VLOOKUP($E226,設定!$C:$F,4,0),"")</f>
        <v/>
      </c>
      <c r="I226" s="415"/>
    </row>
    <row r="227" spans="2:9" s="5" customFormat="1" ht="24" customHeight="1" x14ac:dyDescent="0.15">
      <c r="B227" s="9"/>
      <c r="C227" s="19"/>
      <c r="D227" s="17"/>
      <c r="E227" s="7"/>
      <c r="F227" s="11" t="str">
        <f>IFERROR(VLOOKUP($E227,設定!$C:$F,2,0),"")</f>
        <v/>
      </c>
      <c r="G227" s="171" t="str">
        <f>IFERROR(VLOOKUP($E227,設定!$C:$F,3,0),"")</f>
        <v/>
      </c>
      <c r="H227" s="19" t="str">
        <f>IFERROR(VLOOKUP($E227,設定!$C:$F,4,0),"")</f>
        <v/>
      </c>
      <c r="I227" s="415"/>
    </row>
    <row r="228" spans="2:9" s="5" customFormat="1" ht="24" customHeight="1" x14ac:dyDescent="0.15">
      <c r="B228" s="9"/>
      <c r="C228" s="19"/>
      <c r="D228" s="17"/>
      <c r="E228" s="7"/>
      <c r="F228" s="11" t="str">
        <f>IFERROR(VLOOKUP($E228,設定!$C:$F,2,0),"")</f>
        <v/>
      </c>
      <c r="G228" s="171" t="str">
        <f>IFERROR(VLOOKUP($E228,設定!$C:$F,3,0),"")</f>
        <v/>
      </c>
      <c r="H228" s="19" t="str">
        <f>IFERROR(VLOOKUP($E228,設定!$C:$F,4,0),"")</f>
        <v/>
      </c>
      <c r="I228" s="415"/>
    </row>
    <row r="229" spans="2:9" s="5" customFormat="1" ht="24" customHeight="1" x14ac:dyDescent="0.15">
      <c r="B229" s="9"/>
      <c r="C229" s="19"/>
      <c r="D229" s="17"/>
      <c r="E229" s="7"/>
      <c r="F229" s="11" t="str">
        <f>IFERROR(VLOOKUP($E229,設定!$C:$F,2,0),"")</f>
        <v/>
      </c>
      <c r="G229" s="171" t="str">
        <f>IFERROR(VLOOKUP($E229,設定!$C:$F,3,0),"")</f>
        <v/>
      </c>
      <c r="H229" s="19" t="str">
        <f>IFERROR(VLOOKUP($E229,設定!$C:$F,4,0),"")</f>
        <v/>
      </c>
      <c r="I229" s="415"/>
    </row>
    <row r="230" spans="2:9" s="5" customFormat="1" ht="24" customHeight="1" x14ac:dyDescent="0.15">
      <c r="B230" s="9"/>
      <c r="C230" s="19"/>
      <c r="D230" s="17"/>
      <c r="E230" s="7"/>
      <c r="F230" s="11" t="str">
        <f>IFERROR(VLOOKUP($E230,設定!$C:$F,2,0),"")</f>
        <v/>
      </c>
      <c r="G230" s="171" t="str">
        <f>IFERROR(VLOOKUP($E230,設定!$C:$F,3,0),"")</f>
        <v/>
      </c>
      <c r="H230" s="19" t="str">
        <f>IFERROR(VLOOKUP($E230,設定!$C:$F,4,0),"")</f>
        <v/>
      </c>
      <c r="I230" s="415"/>
    </row>
    <row r="231" spans="2:9" s="5" customFormat="1" ht="24" customHeight="1" x14ac:dyDescent="0.15">
      <c r="B231" s="9"/>
      <c r="C231" s="19"/>
      <c r="D231" s="17"/>
      <c r="E231" s="7"/>
      <c r="F231" s="11" t="str">
        <f>IFERROR(VLOOKUP($E231,設定!$C:$F,2,0),"")</f>
        <v/>
      </c>
      <c r="G231" s="171" t="str">
        <f>IFERROR(VLOOKUP($E231,設定!$C:$F,3,0),"")</f>
        <v/>
      </c>
      <c r="H231" s="19" t="str">
        <f>IFERROR(VLOOKUP($E231,設定!$C:$F,4,0),"")</f>
        <v/>
      </c>
      <c r="I231" s="415"/>
    </row>
    <row r="232" spans="2:9" s="5" customFormat="1" ht="24" customHeight="1" x14ac:dyDescent="0.15">
      <c r="B232" s="9"/>
      <c r="C232" s="19"/>
      <c r="D232" s="17"/>
      <c r="E232" s="7"/>
      <c r="F232" s="11" t="str">
        <f>IFERROR(VLOOKUP($E232,設定!$C:$F,2,0),"")</f>
        <v/>
      </c>
      <c r="G232" s="171" t="str">
        <f>IFERROR(VLOOKUP($E232,設定!$C:$F,3,0),"")</f>
        <v/>
      </c>
      <c r="H232" s="19" t="str">
        <f>IFERROR(VLOOKUP($E232,設定!$C:$F,4,0),"")</f>
        <v/>
      </c>
      <c r="I232" s="415"/>
    </row>
    <row r="233" spans="2:9" s="5" customFormat="1" ht="24" customHeight="1" x14ac:dyDescent="0.15">
      <c r="B233" s="9"/>
      <c r="C233" s="19"/>
      <c r="D233" s="17"/>
      <c r="E233" s="7"/>
      <c r="F233" s="11" t="str">
        <f>IFERROR(VLOOKUP($E233,設定!$C:$F,2,0),"")</f>
        <v/>
      </c>
      <c r="G233" s="171" t="str">
        <f>IFERROR(VLOOKUP($E233,設定!$C:$F,3,0),"")</f>
        <v/>
      </c>
      <c r="H233" s="19" t="str">
        <f>IFERROR(VLOOKUP($E233,設定!$C:$F,4,0),"")</f>
        <v/>
      </c>
      <c r="I233" s="415"/>
    </row>
    <row r="234" spans="2:9" s="5" customFormat="1" ht="24" customHeight="1" x14ac:dyDescent="0.15">
      <c r="B234" s="9"/>
      <c r="C234" s="19"/>
      <c r="D234" s="17"/>
      <c r="E234" s="7"/>
      <c r="F234" s="11" t="str">
        <f>IFERROR(VLOOKUP($E234,設定!$C:$F,2,0),"")</f>
        <v/>
      </c>
      <c r="G234" s="171" t="str">
        <f>IFERROR(VLOOKUP($E234,設定!$C:$F,3,0),"")</f>
        <v/>
      </c>
      <c r="H234" s="19" t="str">
        <f>IFERROR(VLOOKUP($E234,設定!$C:$F,4,0),"")</f>
        <v/>
      </c>
      <c r="I234" s="415"/>
    </row>
    <row r="235" spans="2:9" s="5" customFormat="1" ht="24" customHeight="1" x14ac:dyDescent="0.15">
      <c r="B235" s="9"/>
      <c r="C235" s="19"/>
      <c r="D235" s="17"/>
      <c r="E235" s="7"/>
      <c r="F235" s="11" t="str">
        <f>IFERROR(VLOOKUP($E235,設定!$C:$F,2,0),"")</f>
        <v/>
      </c>
      <c r="G235" s="171" t="str">
        <f>IFERROR(VLOOKUP($E235,設定!$C:$F,3,0),"")</f>
        <v/>
      </c>
      <c r="H235" s="19" t="str">
        <f>IFERROR(VLOOKUP($E235,設定!$C:$F,4,0),"")</f>
        <v/>
      </c>
      <c r="I235" s="415"/>
    </row>
    <row r="236" spans="2:9" s="5" customFormat="1" ht="24" customHeight="1" x14ac:dyDescent="0.15">
      <c r="B236" s="9"/>
      <c r="C236" s="19"/>
      <c r="D236" s="17"/>
      <c r="E236" s="7"/>
      <c r="F236" s="11" t="str">
        <f>IFERROR(VLOOKUP($E236,設定!$C:$F,2,0),"")</f>
        <v/>
      </c>
      <c r="G236" s="171" t="str">
        <f>IFERROR(VLOOKUP($E236,設定!$C:$F,3,0),"")</f>
        <v/>
      </c>
      <c r="H236" s="19" t="str">
        <f>IFERROR(VLOOKUP($E236,設定!$C:$F,4,0),"")</f>
        <v/>
      </c>
      <c r="I236" s="415"/>
    </row>
    <row r="237" spans="2:9" s="5" customFormat="1" ht="24" customHeight="1" x14ac:dyDescent="0.15">
      <c r="B237" s="9"/>
      <c r="C237" s="19"/>
      <c r="D237" s="17"/>
      <c r="E237" s="7"/>
      <c r="F237" s="11" t="str">
        <f>IFERROR(VLOOKUP($E237,設定!$C:$F,2,0),"")</f>
        <v/>
      </c>
      <c r="G237" s="171" t="str">
        <f>IFERROR(VLOOKUP($E237,設定!$C:$F,3,0),"")</f>
        <v/>
      </c>
      <c r="H237" s="19" t="str">
        <f>IFERROR(VLOOKUP($E237,設定!$C:$F,4,0),"")</f>
        <v/>
      </c>
      <c r="I237" s="415"/>
    </row>
    <row r="238" spans="2:9" s="5" customFormat="1" ht="24" customHeight="1" x14ac:dyDescent="0.15">
      <c r="B238" s="9"/>
      <c r="C238" s="19"/>
      <c r="D238" s="17"/>
      <c r="E238" s="7"/>
      <c r="F238" s="11" t="str">
        <f>IFERROR(VLOOKUP($E238,設定!$C:$F,2,0),"")</f>
        <v/>
      </c>
      <c r="G238" s="171" t="str">
        <f>IFERROR(VLOOKUP($E238,設定!$C:$F,3,0),"")</f>
        <v/>
      </c>
      <c r="H238" s="19" t="str">
        <f>IFERROR(VLOOKUP($E238,設定!$C:$F,4,0),"")</f>
        <v/>
      </c>
      <c r="I238" s="415"/>
    </row>
    <row r="239" spans="2:9" s="5" customFormat="1" ht="24" customHeight="1" x14ac:dyDescent="0.15">
      <c r="B239" s="9"/>
      <c r="C239" s="19"/>
      <c r="D239" s="17"/>
      <c r="E239" s="7"/>
      <c r="F239" s="11" t="str">
        <f>IFERROR(VLOOKUP($E239,設定!$C:$F,2,0),"")</f>
        <v/>
      </c>
      <c r="G239" s="171" t="str">
        <f>IFERROR(VLOOKUP($E239,設定!$C:$F,3,0),"")</f>
        <v/>
      </c>
      <c r="H239" s="19" t="str">
        <f>IFERROR(VLOOKUP($E239,設定!$C:$F,4,0),"")</f>
        <v/>
      </c>
      <c r="I239" s="415"/>
    </row>
    <row r="240" spans="2:9" s="5" customFormat="1" ht="24" customHeight="1" x14ac:dyDescent="0.15">
      <c r="B240" s="9"/>
      <c r="C240" s="19"/>
      <c r="D240" s="17"/>
      <c r="E240" s="7"/>
      <c r="F240" s="11" t="str">
        <f>IFERROR(VLOOKUP($E240,設定!$C:$F,2,0),"")</f>
        <v/>
      </c>
      <c r="G240" s="171" t="str">
        <f>IFERROR(VLOOKUP($E240,設定!$C:$F,3,0),"")</f>
        <v/>
      </c>
      <c r="H240" s="19" t="str">
        <f>IFERROR(VLOOKUP($E240,設定!$C:$F,4,0),"")</f>
        <v/>
      </c>
      <c r="I240" s="415"/>
    </row>
    <row r="241" spans="2:9" s="5" customFormat="1" ht="24" customHeight="1" x14ac:dyDescent="0.15">
      <c r="B241" s="9"/>
      <c r="C241" s="19"/>
      <c r="D241" s="17"/>
      <c r="E241" s="7"/>
      <c r="F241" s="11" t="str">
        <f>IFERROR(VLOOKUP($E241,設定!$C:$F,2,0),"")</f>
        <v/>
      </c>
      <c r="G241" s="171" t="str">
        <f>IFERROR(VLOOKUP($E241,設定!$C:$F,3,0),"")</f>
        <v/>
      </c>
      <c r="H241" s="19" t="str">
        <f>IFERROR(VLOOKUP($E241,設定!$C:$F,4,0),"")</f>
        <v/>
      </c>
      <c r="I241" s="415"/>
    </row>
    <row r="242" spans="2:9" s="5" customFormat="1" ht="24" customHeight="1" x14ac:dyDescent="0.15">
      <c r="B242" s="9"/>
      <c r="C242" s="19"/>
      <c r="D242" s="17"/>
      <c r="E242" s="7"/>
      <c r="F242" s="11" t="str">
        <f>IFERROR(VLOOKUP($E242,設定!$C:$F,2,0),"")</f>
        <v/>
      </c>
      <c r="G242" s="171" t="str">
        <f>IFERROR(VLOOKUP($E242,設定!$C:$F,3,0),"")</f>
        <v/>
      </c>
      <c r="H242" s="19" t="str">
        <f>IFERROR(VLOOKUP($E242,設定!$C:$F,4,0),"")</f>
        <v/>
      </c>
      <c r="I242" s="415"/>
    </row>
    <row r="243" spans="2:9" s="5" customFormat="1" ht="24" customHeight="1" x14ac:dyDescent="0.15">
      <c r="B243" s="9"/>
      <c r="C243" s="19"/>
      <c r="D243" s="17"/>
      <c r="E243" s="7"/>
      <c r="F243" s="11" t="str">
        <f>IFERROR(VLOOKUP($E243,設定!$C:$F,2,0),"")</f>
        <v/>
      </c>
      <c r="G243" s="171" t="str">
        <f>IFERROR(VLOOKUP($E243,設定!$C:$F,3,0),"")</f>
        <v/>
      </c>
      <c r="H243" s="19" t="str">
        <f>IFERROR(VLOOKUP($E243,設定!$C:$F,4,0),"")</f>
        <v/>
      </c>
      <c r="I243" s="415"/>
    </row>
    <row r="244" spans="2:9" s="5" customFormat="1" ht="24" customHeight="1" x14ac:dyDescent="0.15">
      <c r="B244" s="9"/>
      <c r="C244" s="19"/>
      <c r="D244" s="17"/>
      <c r="E244" s="7"/>
      <c r="F244" s="11" t="str">
        <f>IFERROR(VLOOKUP($E244,設定!$C:$F,2,0),"")</f>
        <v/>
      </c>
      <c r="G244" s="171" t="str">
        <f>IFERROR(VLOOKUP($E244,設定!$C:$F,3,0),"")</f>
        <v/>
      </c>
      <c r="H244" s="19" t="str">
        <f>IFERROR(VLOOKUP($E244,設定!$C:$F,4,0),"")</f>
        <v/>
      </c>
      <c r="I244" s="415"/>
    </row>
    <row r="245" spans="2:9" s="5" customFormat="1" ht="24" customHeight="1" x14ac:dyDescent="0.15">
      <c r="B245" s="9"/>
      <c r="C245" s="19"/>
      <c r="D245" s="17"/>
      <c r="E245" s="7"/>
      <c r="F245" s="11" t="str">
        <f>IFERROR(VLOOKUP($E245,設定!$C:$F,2,0),"")</f>
        <v/>
      </c>
      <c r="G245" s="171" t="str">
        <f>IFERROR(VLOOKUP($E245,設定!$C:$F,3,0),"")</f>
        <v/>
      </c>
      <c r="H245" s="19" t="str">
        <f>IFERROR(VLOOKUP($E245,設定!$C:$F,4,0),"")</f>
        <v/>
      </c>
      <c r="I245" s="415"/>
    </row>
    <row r="246" spans="2:9" s="5" customFormat="1" ht="24" customHeight="1" x14ac:dyDescent="0.15">
      <c r="B246" s="9"/>
      <c r="C246" s="19"/>
      <c r="D246" s="17"/>
      <c r="E246" s="7"/>
      <c r="F246" s="11" t="str">
        <f>IFERROR(VLOOKUP($E246,設定!$C:$F,2,0),"")</f>
        <v/>
      </c>
      <c r="G246" s="171" t="str">
        <f>IFERROR(VLOOKUP($E246,設定!$C:$F,3,0),"")</f>
        <v/>
      </c>
      <c r="H246" s="19" t="str">
        <f>IFERROR(VLOOKUP($E246,設定!$C:$F,4,0),"")</f>
        <v/>
      </c>
      <c r="I246" s="415"/>
    </row>
    <row r="247" spans="2:9" s="5" customFormat="1" ht="24" customHeight="1" x14ac:dyDescent="0.15">
      <c r="B247" s="9"/>
      <c r="C247" s="19"/>
      <c r="D247" s="17"/>
      <c r="E247" s="7"/>
      <c r="F247" s="11" t="str">
        <f>IFERROR(VLOOKUP($E247,設定!$C:$F,2,0),"")</f>
        <v/>
      </c>
      <c r="G247" s="171" t="str">
        <f>IFERROR(VLOOKUP($E247,設定!$C:$F,3,0),"")</f>
        <v/>
      </c>
      <c r="H247" s="19" t="str">
        <f>IFERROR(VLOOKUP($E247,設定!$C:$F,4,0),"")</f>
        <v/>
      </c>
      <c r="I247" s="415"/>
    </row>
    <row r="248" spans="2:9" s="5" customFormat="1" ht="24" customHeight="1" x14ac:dyDescent="0.15">
      <c r="B248" s="9"/>
      <c r="C248" s="19"/>
      <c r="D248" s="17"/>
      <c r="E248" s="7"/>
      <c r="F248" s="11" t="str">
        <f>IFERROR(VLOOKUP($E248,設定!$C:$F,2,0),"")</f>
        <v/>
      </c>
      <c r="G248" s="171" t="str">
        <f>IFERROR(VLOOKUP($E248,設定!$C:$F,3,0),"")</f>
        <v/>
      </c>
      <c r="H248" s="19" t="str">
        <f>IFERROR(VLOOKUP($E248,設定!$C:$F,4,0),"")</f>
        <v/>
      </c>
      <c r="I248" s="415"/>
    </row>
    <row r="249" spans="2:9" s="5" customFormat="1" ht="24" customHeight="1" x14ac:dyDescent="0.15">
      <c r="B249" s="9"/>
      <c r="C249" s="19"/>
      <c r="D249" s="17"/>
      <c r="E249" s="7"/>
      <c r="F249" s="11" t="str">
        <f>IFERROR(VLOOKUP($E249,設定!$C:$F,2,0),"")</f>
        <v/>
      </c>
      <c r="G249" s="171" t="str">
        <f>IFERROR(VLOOKUP($E249,設定!$C:$F,3,0),"")</f>
        <v/>
      </c>
      <c r="H249" s="19" t="str">
        <f>IFERROR(VLOOKUP($E249,設定!$C:$F,4,0),"")</f>
        <v/>
      </c>
      <c r="I249" s="415"/>
    </row>
    <row r="250" spans="2:9" s="5" customFormat="1" ht="24" customHeight="1" x14ac:dyDescent="0.15">
      <c r="B250" s="9"/>
      <c r="C250" s="19"/>
      <c r="D250" s="17"/>
      <c r="E250" s="7"/>
      <c r="F250" s="11" t="str">
        <f>IFERROR(VLOOKUP($E250,設定!$C:$F,2,0),"")</f>
        <v/>
      </c>
      <c r="G250" s="171" t="str">
        <f>IFERROR(VLOOKUP($E250,設定!$C:$F,3,0),"")</f>
        <v/>
      </c>
      <c r="H250" s="19" t="str">
        <f>IFERROR(VLOOKUP($E250,設定!$C:$F,4,0),"")</f>
        <v/>
      </c>
      <c r="I250" s="415"/>
    </row>
    <row r="251" spans="2:9" s="5" customFormat="1" ht="24" customHeight="1" x14ac:dyDescent="0.15">
      <c r="B251" s="9"/>
      <c r="C251" s="19"/>
      <c r="D251" s="17"/>
      <c r="E251" s="7"/>
      <c r="F251" s="11" t="str">
        <f>IFERROR(VLOOKUP($E251,設定!$C:$F,2,0),"")</f>
        <v/>
      </c>
      <c r="G251" s="171" t="str">
        <f>IFERROR(VLOOKUP($E251,設定!$C:$F,3,0),"")</f>
        <v/>
      </c>
      <c r="H251" s="19" t="str">
        <f>IFERROR(VLOOKUP($E251,設定!$C:$F,4,0),"")</f>
        <v/>
      </c>
      <c r="I251" s="415"/>
    </row>
    <row r="252" spans="2:9" s="5" customFormat="1" ht="24" customHeight="1" x14ac:dyDescent="0.15">
      <c r="B252" s="9"/>
      <c r="C252" s="19"/>
      <c r="D252" s="17"/>
      <c r="E252" s="7"/>
      <c r="F252" s="11" t="str">
        <f>IFERROR(VLOOKUP($E252,設定!$C:$F,2,0),"")</f>
        <v/>
      </c>
      <c r="G252" s="171" t="str">
        <f>IFERROR(VLOOKUP($E252,設定!$C:$F,3,0),"")</f>
        <v/>
      </c>
      <c r="H252" s="19" t="str">
        <f>IFERROR(VLOOKUP($E252,設定!$C:$F,4,0),"")</f>
        <v/>
      </c>
      <c r="I252" s="415"/>
    </row>
    <row r="253" spans="2:9" s="5" customFormat="1" ht="24" customHeight="1" x14ac:dyDescent="0.15">
      <c r="B253" s="9"/>
      <c r="C253" s="19"/>
      <c r="D253" s="17"/>
      <c r="E253" s="7"/>
      <c r="F253" s="11" t="str">
        <f>IFERROR(VLOOKUP($E253,設定!$C:$F,2,0),"")</f>
        <v/>
      </c>
      <c r="G253" s="171" t="str">
        <f>IFERROR(VLOOKUP($E253,設定!$C:$F,3,0),"")</f>
        <v/>
      </c>
      <c r="H253" s="19" t="str">
        <f>IFERROR(VLOOKUP($E253,設定!$C:$F,4,0),"")</f>
        <v/>
      </c>
      <c r="I253" s="415"/>
    </row>
    <row r="254" spans="2:9" s="5" customFormat="1" ht="24" customHeight="1" x14ac:dyDescent="0.15">
      <c r="B254" s="9"/>
      <c r="C254" s="19"/>
      <c r="D254" s="17"/>
      <c r="E254" s="7"/>
      <c r="F254" s="11" t="str">
        <f>IFERROR(VLOOKUP($E254,設定!$C:$F,2,0),"")</f>
        <v/>
      </c>
      <c r="G254" s="171" t="str">
        <f>IFERROR(VLOOKUP($E254,設定!$C:$F,3,0),"")</f>
        <v/>
      </c>
      <c r="H254" s="19" t="str">
        <f>IFERROR(VLOOKUP($E254,設定!$C:$F,4,0),"")</f>
        <v/>
      </c>
      <c r="I254" s="415"/>
    </row>
    <row r="255" spans="2:9" s="5" customFormat="1" ht="24" customHeight="1" x14ac:dyDescent="0.15">
      <c r="B255" s="9"/>
      <c r="C255" s="19"/>
      <c r="D255" s="17"/>
      <c r="E255" s="7"/>
      <c r="F255" s="11" t="str">
        <f>IFERROR(VLOOKUP($E255,設定!$C:$F,2,0),"")</f>
        <v/>
      </c>
      <c r="G255" s="171" t="str">
        <f>IFERROR(VLOOKUP($E255,設定!$C:$F,3,0),"")</f>
        <v/>
      </c>
      <c r="H255" s="19" t="str">
        <f>IFERROR(VLOOKUP($E255,設定!$C:$F,4,0),"")</f>
        <v/>
      </c>
      <c r="I255" s="415"/>
    </row>
    <row r="256" spans="2:9" s="5" customFormat="1" ht="24" customHeight="1" x14ac:dyDescent="0.15">
      <c r="B256" s="9"/>
      <c r="C256" s="19"/>
      <c r="D256" s="17"/>
      <c r="E256" s="7"/>
      <c r="F256" s="11" t="str">
        <f>IFERROR(VLOOKUP($E256,設定!$C:$F,2,0),"")</f>
        <v/>
      </c>
      <c r="G256" s="171" t="str">
        <f>IFERROR(VLOOKUP($E256,設定!$C:$F,3,0),"")</f>
        <v/>
      </c>
      <c r="H256" s="19" t="str">
        <f>IFERROR(VLOOKUP($E256,設定!$C:$F,4,0),"")</f>
        <v/>
      </c>
      <c r="I256" s="415"/>
    </row>
    <row r="257" spans="2:9" s="5" customFormat="1" ht="24" customHeight="1" x14ac:dyDescent="0.15">
      <c r="B257" s="9"/>
      <c r="C257" s="19"/>
      <c r="D257" s="17"/>
      <c r="E257" s="7"/>
      <c r="F257" s="11" t="str">
        <f>IFERROR(VLOOKUP($E257,設定!$C:$F,2,0),"")</f>
        <v/>
      </c>
      <c r="G257" s="171" t="str">
        <f>IFERROR(VLOOKUP($E257,設定!$C:$F,3,0),"")</f>
        <v/>
      </c>
      <c r="H257" s="19" t="str">
        <f>IFERROR(VLOOKUP($E257,設定!$C:$F,4,0),"")</f>
        <v/>
      </c>
      <c r="I257" s="415"/>
    </row>
    <row r="258" spans="2:9" s="5" customFormat="1" ht="24" customHeight="1" x14ac:dyDescent="0.15">
      <c r="B258" s="9"/>
      <c r="C258" s="19"/>
      <c r="D258" s="17"/>
      <c r="E258" s="7"/>
      <c r="F258" s="11" t="str">
        <f>IFERROR(VLOOKUP($E258,設定!$C:$F,2,0),"")</f>
        <v/>
      </c>
      <c r="G258" s="171" t="str">
        <f>IFERROR(VLOOKUP($E258,設定!$C:$F,3,0),"")</f>
        <v/>
      </c>
      <c r="H258" s="19" t="str">
        <f>IFERROR(VLOOKUP($E258,設定!$C:$F,4,0),"")</f>
        <v/>
      </c>
      <c r="I258" s="415"/>
    </row>
    <row r="259" spans="2:9" s="5" customFormat="1" ht="24" customHeight="1" x14ac:dyDescent="0.15">
      <c r="B259" s="9"/>
      <c r="C259" s="19"/>
      <c r="D259" s="17"/>
      <c r="E259" s="7"/>
      <c r="F259" s="11" t="str">
        <f>IFERROR(VLOOKUP($E259,設定!$C:$F,2,0),"")</f>
        <v/>
      </c>
      <c r="G259" s="171" t="str">
        <f>IFERROR(VLOOKUP($E259,設定!$C:$F,3,0),"")</f>
        <v/>
      </c>
      <c r="H259" s="19" t="str">
        <f>IFERROR(VLOOKUP($E259,設定!$C:$F,4,0),"")</f>
        <v/>
      </c>
      <c r="I259" s="415"/>
    </row>
    <row r="260" spans="2:9" s="5" customFormat="1" ht="24" customHeight="1" x14ac:dyDescent="0.15">
      <c r="B260" s="9"/>
      <c r="C260" s="19"/>
      <c r="D260" s="17"/>
      <c r="E260" s="7"/>
      <c r="F260" s="11" t="str">
        <f>IFERROR(VLOOKUP($E260,設定!$C:$F,2,0),"")</f>
        <v/>
      </c>
      <c r="G260" s="171" t="str">
        <f>IFERROR(VLOOKUP($E260,設定!$C:$F,3,0),"")</f>
        <v/>
      </c>
      <c r="H260" s="19" t="str">
        <f>IFERROR(VLOOKUP($E260,設定!$C:$F,4,0),"")</f>
        <v/>
      </c>
      <c r="I260" s="415"/>
    </row>
    <row r="261" spans="2:9" s="5" customFormat="1" ht="24" customHeight="1" x14ac:dyDescent="0.15">
      <c r="B261" s="9"/>
      <c r="C261" s="19"/>
      <c r="D261" s="17"/>
      <c r="E261" s="7"/>
      <c r="F261" s="11" t="str">
        <f>IFERROR(VLOOKUP($E261,設定!$C:$F,2,0),"")</f>
        <v/>
      </c>
      <c r="G261" s="171" t="str">
        <f>IFERROR(VLOOKUP($E261,設定!$C:$F,3,0),"")</f>
        <v/>
      </c>
      <c r="H261" s="19" t="str">
        <f>IFERROR(VLOOKUP($E261,設定!$C:$F,4,0),"")</f>
        <v/>
      </c>
      <c r="I261" s="415"/>
    </row>
    <row r="262" spans="2:9" s="5" customFormat="1" ht="24" customHeight="1" x14ac:dyDescent="0.15">
      <c r="B262" s="9"/>
      <c r="C262" s="19"/>
      <c r="D262" s="17"/>
      <c r="E262" s="7"/>
      <c r="F262" s="11" t="str">
        <f>IFERROR(VLOOKUP($E262,設定!$C:$F,2,0),"")</f>
        <v/>
      </c>
      <c r="G262" s="171" t="str">
        <f>IFERROR(VLOOKUP($E262,設定!$C:$F,3,0),"")</f>
        <v/>
      </c>
      <c r="H262" s="19" t="str">
        <f>IFERROR(VLOOKUP($E262,設定!$C:$F,4,0),"")</f>
        <v/>
      </c>
      <c r="I262" s="415"/>
    </row>
    <row r="263" spans="2:9" s="5" customFormat="1" ht="24" customHeight="1" x14ac:dyDescent="0.15">
      <c r="B263" s="9"/>
      <c r="C263" s="19"/>
      <c r="D263" s="17"/>
      <c r="E263" s="7"/>
      <c r="F263" s="11" t="str">
        <f>IFERROR(VLOOKUP($E263,設定!$C:$F,2,0),"")</f>
        <v/>
      </c>
      <c r="G263" s="171" t="str">
        <f>IFERROR(VLOOKUP($E263,設定!$C:$F,3,0),"")</f>
        <v/>
      </c>
      <c r="H263" s="19" t="str">
        <f>IFERROR(VLOOKUP($E263,設定!$C:$F,4,0),"")</f>
        <v/>
      </c>
      <c r="I263" s="415"/>
    </row>
    <row r="264" spans="2:9" s="5" customFormat="1" ht="24" customHeight="1" x14ac:dyDescent="0.15">
      <c r="B264" s="9"/>
      <c r="C264" s="19"/>
      <c r="D264" s="17"/>
      <c r="E264" s="7"/>
      <c r="F264" s="11" t="str">
        <f>IFERROR(VLOOKUP($E264,設定!$C:$F,2,0),"")</f>
        <v/>
      </c>
      <c r="G264" s="171" t="str">
        <f>IFERROR(VLOOKUP($E264,設定!$C:$F,3,0),"")</f>
        <v/>
      </c>
      <c r="H264" s="19" t="str">
        <f>IFERROR(VLOOKUP($E264,設定!$C:$F,4,0),"")</f>
        <v/>
      </c>
      <c r="I264" s="415"/>
    </row>
    <row r="265" spans="2:9" s="5" customFormat="1" ht="24" customHeight="1" x14ac:dyDescent="0.15">
      <c r="B265" s="9"/>
      <c r="C265" s="19"/>
      <c r="D265" s="17"/>
      <c r="E265" s="7"/>
      <c r="F265" s="11" t="str">
        <f>IFERROR(VLOOKUP($E265,設定!$C:$F,2,0),"")</f>
        <v/>
      </c>
      <c r="G265" s="171" t="str">
        <f>IFERROR(VLOOKUP($E265,設定!$C:$F,3,0),"")</f>
        <v/>
      </c>
      <c r="H265" s="19" t="str">
        <f>IFERROR(VLOOKUP($E265,設定!$C:$F,4,0),"")</f>
        <v/>
      </c>
      <c r="I265" s="415"/>
    </row>
    <row r="266" spans="2:9" s="5" customFormat="1" ht="24" customHeight="1" x14ac:dyDescent="0.15">
      <c r="B266" s="9"/>
      <c r="C266" s="19"/>
      <c r="D266" s="17"/>
      <c r="E266" s="7"/>
      <c r="F266" s="11" t="str">
        <f>IFERROR(VLOOKUP($E266,設定!$C:$F,2,0),"")</f>
        <v/>
      </c>
      <c r="G266" s="171" t="str">
        <f>IFERROR(VLOOKUP($E266,設定!$C:$F,3,0),"")</f>
        <v/>
      </c>
      <c r="H266" s="19" t="str">
        <f>IFERROR(VLOOKUP($E266,設定!$C:$F,4,0),"")</f>
        <v/>
      </c>
      <c r="I266" s="415"/>
    </row>
    <row r="267" spans="2:9" s="5" customFormat="1" ht="24" customHeight="1" x14ac:dyDescent="0.15">
      <c r="B267" s="9"/>
      <c r="C267" s="19"/>
      <c r="D267" s="17"/>
      <c r="E267" s="7"/>
      <c r="F267" s="11" t="str">
        <f>IFERROR(VLOOKUP($E267,設定!$C:$F,2,0),"")</f>
        <v/>
      </c>
      <c r="G267" s="171" t="str">
        <f>IFERROR(VLOOKUP($E267,設定!$C:$F,3,0),"")</f>
        <v/>
      </c>
      <c r="H267" s="19" t="str">
        <f>IFERROR(VLOOKUP($E267,設定!$C:$F,4,0),"")</f>
        <v/>
      </c>
      <c r="I267" s="415"/>
    </row>
    <row r="268" spans="2:9" s="5" customFormat="1" ht="24" customHeight="1" x14ac:dyDescent="0.15">
      <c r="B268" s="9"/>
      <c r="C268" s="19"/>
      <c r="D268" s="17"/>
      <c r="E268" s="7"/>
      <c r="F268" s="11" t="str">
        <f>IFERROR(VLOOKUP($E268,設定!$C:$F,2,0),"")</f>
        <v/>
      </c>
      <c r="G268" s="171" t="str">
        <f>IFERROR(VLOOKUP($E268,設定!$C:$F,3,0),"")</f>
        <v/>
      </c>
      <c r="H268" s="19" t="str">
        <f>IFERROR(VLOOKUP($E268,設定!$C:$F,4,0),"")</f>
        <v/>
      </c>
      <c r="I268" s="415"/>
    </row>
    <row r="269" spans="2:9" s="5" customFormat="1" ht="24" customHeight="1" x14ac:dyDescent="0.15">
      <c r="B269" s="9"/>
      <c r="C269" s="19"/>
      <c r="D269" s="17"/>
      <c r="E269" s="7"/>
      <c r="F269" s="11" t="str">
        <f>IFERROR(VLOOKUP($E269,設定!$C:$F,2,0),"")</f>
        <v/>
      </c>
      <c r="G269" s="171" t="str">
        <f>IFERROR(VLOOKUP($E269,設定!$C:$F,3,0),"")</f>
        <v/>
      </c>
      <c r="H269" s="19" t="str">
        <f>IFERROR(VLOOKUP($E269,設定!$C:$F,4,0),"")</f>
        <v/>
      </c>
      <c r="I269" s="415"/>
    </row>
    <row r="270" spans="2:9" s="5" customFormat="1" ht="24" customHeight="1" x14ac:dyDescent="0.15">
      <c r="B270" s="9"/>
      <c r="C270" s="19"/>
      <c r="D270" s="17"/>
      <c r="E270" s="7"/>
      <c r="F270" s="11" t="str">
        <f>IFERROR(VLOOKUP($E270,設定!$C:$F,2,0),"")</f>
        <v/>
      </c>
      <c r="G270" s="171" t="str">
        <f>IFERROR(VLOOKUP($E270,設定!$C:$F,3,0),"")</f>
        <v/>
      </c>
      <c r="H270" s="19" t="str">
        <f>IFERROR(VLOOKUP($E270,設定!$C:$F,4,0),"")</f>
        <v/>
      </c>
      <c r="I270" s="415"/>
    </row>
    <row r="271" spans="2:9" s="5" customFormat="1" ht="24" customHeight="1" x14ac:dyDescent="0.15">
      <c r="B271" s="9"/>
      <c r="C271" s="19"/>
      <c r="D271" s="17"/>
      <c r="E271" s="7"/>
      <c r="F271" s="11" t="str">
        <f>IFERROR(VLOOKUP($E271,設定!$C:$F,2,0),"")</f>
        <v/>
      </c>
      <c r="G271" s="171" t="str">
        <f>IFERROR(VLOOKUP($E271,設定!$C:$F,3,0),"")</f>
        <v/>
      </c>
      <c r="H271" s="19" t="str">
        <f>IFERROR(VLOOKUP($E271,設定!$C:$F,4,0),"")</f>
        <v/>
      </c>
      <c r="I271" s="415"/>
    </row>
    <row r="272" spans="2:9" s="5" customFormat="1" ht="24" customHeight="1" x14ac:dyDescent="0.15">
      <c r="B272" s="9"/>
      <c r="C272" s="19"/>
      <c r="D272" s="17"/>
      <c r="E272" s="7"/>
      <c r="F272" s="11" t="str">
        <f>IFERROR(VLOOKUP($E272,設定!$C:$F,2,0),"")</f>
        <v/>
      </c>
      <c r="G272" s="171" t="str">
        <f>IFERROR(VLOOKUP($E272,設定!$C:$F,3,0),"")</f>
        <v/>
      </c>
      <c r="H272" s="19" t="str">
        <f>IFERROR(VLOOKUP($E272,設定!$C:$F,4,0),"")</f>
        <v/>
      </c>
      <c r="I272" s="415"/>
    </row>
    <row r="273" spans="2:9" s="5" customFormat="1" ht="24" customHeight="1" x14ac:dyDescent="0.15">
      <c r="B273" s="9"/>
      <c r="C273" s="19"/>
      <c r="D273" s="17"/>
      <c r="E273" s="7"/>
      <c r="F273" s="11" t="str">
        <f>IFERROR(VLOOKUP($E273,設定!$C:$F,2,0),"")</f>
        <v/>
      </c>
      <c r="G273" s="171" t="str">
        <f>IFERROR(VLOOKUP($E273,設定!$C:$F,3,0),"")</f>
        <v/>
      </c>
      <c r="H273" s="19" t="str">
        <f>IFERROR(VLOOKUP($E273,設定!$C:$F,4,0),"")</f>
        <v/>
      </c>
      <c r="I273" s="415"/>
    </row>
    <row r="274" spans="2:9" s="5" customFormat="1" ht="24" customHeight="1" x14ac:dyDescent="0.15">
      <c r="B274" s="9"/>
      <c r="C274" s="19"/>
      <c r="D274" s="17"/>
      <c r="E274" s="7"/>
      <c r="F274" s="11" t="str">
        <f>IFERROR(VLOOKUP($E274,設定!$C:$F,2,0),"")</f>
        <v/>
      </c>
      <c r="G274" s="171" t="str">
        <f>IFERROR(VLOOKUP($E274,設定!$C:$F,3,0),"")</f>
        <v/>
      </c>
      <c r="H274" s="19" t="str">
        <f>IFERROR(VLOOKUP($E274,設定!$C:$F,4,0),"")</f>
        <v/>
      </c>
      <c r="I274" s="415"/>
    </row>
    <row r="275" spans="2:9" s="5" customFormat="1" ht="24" customHeight="1" x14ac:dyDescent="0.15">
      <c r="B275" s="9"/>
      <c r="C275" s="19"/>
      <c r="D275" s="17"/>
      <c r="E275" s="7"/>
      <c r="F275" s="11" t="str">
        <f>IFERROR(VLOOKUP($E275,設定!$C:$F,2,0),"")</f>
        <v/>
      </c>
      <c r="G275" s="171" t="str">
        <f>IFERROR(VLOOKUP($E275,設定!$C:$F,3,0),"")</f>
        <v/>
      </c>
      <c r="H275" s="19" t="str">
        <f>IFERROR(VLOOKUP($E275,設定!$C:$F,4,0),"")</f>
        <v/>
      </c>
      <c r="I275" s="415"/>
    </row>
    <row r="276" spans="2:9" s="5" customFormat="1" ht="24" customHeight="1" x14ac:dyDescent="0.15">
      <c r="B276" s="9"/>
      <c r="C276" s="19"/>
      <c r="D276" s="17"/>
      <c r="E276" s="7"/>
      <c r="F276" s="11" t="str">
        <f>IFERROR(VLOOKUP($E276,設定!$C:$F,2,0),"")</f>
        <v/>
      </c>
      <c r="G276" s="171" t="str">
        <f>IFERROR(VLOOKUP($E276,設定!$C:$F,3,0),"")</f>
        <v/>
      </c>
      <c r="H276" s="19" t="str">
        <f>IFERROR(VLOOKUP($E276,設定!$C:$F,4,0),"")</f>
        <v/>
      </c>
      <c r="I276" s="415"/>
    </row>
    <row r="277" spans="2:9" s="5" customFormat="1" ht="24" customHeight="1" x14ac:dyDescent="0.15">
      <c r="B277" s="9"/>
      <c r="C277" s="19"/>
      <c r="D277" s="17"/>
      <c r="E277" s="7"/>
      <c r="F277" s="11" t="str">
        <f>IFERROR(VLOOKUP($E277,設定!$C:$F,2,0),"")</f>
        <v/>
      </c>
      <c r="G277" s="171" t="str">
        <f>IFERROR(VLOOKUP($E277,設定!$C:$F,3,0),"")</f>
        <v/>
      </c>
      <c r="H277" s="19" t="str">
        <f>IFERROR(VLOOKUP($E277,設定!$C:$F,4,0),"")</f>
        <v/>
      </c>
      <c r="I277" s="415"/>
    </row>
    <row r="278" spans="2:9" s="5" customFormat="1" ht="24" customHeight="1" x14ac:dyDescent="0.15">
      <c r="B278" s="9"/>
      <c r="C278" s="19"/>
      <c r="D278" s="17"/>
      <c r="E278" s="7"/>
      <c r="F278" s="11" t="str">
        <f>IFERROR(VLOOKUP($E278,設定!$C:$F,2,0),"")</f>
        <v/>
      </c>
      <c r="G278" s="171" t="str">
        <f>IFERROR(VLOOKUP($E278,設定!$C:$F,3,0),"")</f>
        <v/>
      </c>
      <c r="H278" s="19" t="str">
        <f>IFERROR(VLOOKUP($E278,設定!$C:$F,4,0),"")</f>
        <v/>
      </c>
      <c r="I278" s="415"/>
    </row>
    <row r="279" spans="2:9" s="5" customFormat="1" ht="24" customHeight="1" x14ac:dyDescent="0.15">
      <c r="B279" s="9"/>
      <c r="C279" s="19"/>
      <c r="D279" s="17"/>
      <c r="E279" s="7"/>
      <c r="F279" s="11" t="str">
        <f>IFERROR(VLOOKUP($E279,設定!$C:$F,2,0),"")</f>
        <v/>
      </c>
      <c r="G279" s="171" t="str">
        <f>IFERROR(VLOOKUP($E279,設定!$C:$F,3,0),"")</f>
        <v/>
      </c>
      <c r="H279" s="19" t="str">
        <f>IFERROR(VLOOKUP($E279,設定!$C:$F,4,0),"")</f>
        <v/>
      </c>
      <c r="I279" s="415"/>
    </row>
    <row r="280" spans="2:9" s="5" customFormat="1" ht="24" customHeight="1" x14ac:dyDescent="0.15">
      <c r="B280" s="9"/>
      <c r="C280" s="19"/>
      <c r="D280" s="17"/>
      <c r="E280" s="7"/>
      <c r="F280" s="11" t="str">
        <f>IFERROR(VLOOKUP($E280,設定!$C:$F,2,0),"")</f>
        <v/>
      </c>
      <c r="G280" s="171" t="str">
        <f>IFERROR(VLOOKUP($E280,設定!$C:$F,3,0),"")</f>
        <v/>
      </c>
      <c r="H280" s="19" t="str">
        <f>IFERROR(VLOOKUP($E280,設定!$C:$F,4,0),"")</f>
        <v/>
      </c>
      <c r="I280" s="415"/>
    </row>
    <row r="281" spans="2:9" s="5" customFormat="1" ht="24" customHeight="1" x14ac:dyDescent="0.15">
      <c r="B281" s="9"/>
      <c r="C281" s="19"/>
      <c r="D281" s="17"/>
      <c r="E281" s="7"/>
      <c r="F281" s="11" t="str">
        <f>IFERROR(VLOOKUP($E281,設定!$C:$F,2,0),"")</f>
        <v/>
      </c>
      <c r="G281" s="171" t="str">
        <f>IFERROR(VLOOKUP($E281,設定!$C:$F,3,0),"")</f>
        <v/>
      </c>
      <c r="H281" s="19" t="str">
        <f>IFERROR(VLOOKUP($E281,設定!$C:$F,4,0),"")</f>
        <v/>
      </c>
      <c r="I281" s="415"/>
    </row>
    <row r="282" spans="2:9" s="5" customFormat="1" ht="24" customHeight="1" x14ac:dyDescent="0.15">
      <c r="B282" s="9"/>
      <c r="C282" s="19"/>
      <c r="D282" s="17"/>
      <c r="E282" s="7"/>
      <c r="F282" s="11" t="str">
        <f>IFERROR(VLOOKUP($E282,設定!$C:$F,2,0),"")</f>
        <v/>
      </c>
      <c r="G282" s="171" t="str">
        <f>IFERROR(VLOOKUP($E282,設定!$C:$F,3,0),"")</f>
        <v/>
      </c>
      <c r="H282" s="19" t="str">
        <f>IFERROR(VLOOKUP($E282,設定!$C:$F,4,0),"")</f>
        <v/>
      </c>
      <c r="I282" s="415"/>
    </row>
    <row r="283" spans="2:9" s="5" customFormat="1" ht="24" customHeight="1" x14ac:dyDescent="0.15">
      <c r="B283" s="9"/>
      <c r="C283" s="19"/>
      <c r="D283" s="17"/>
      <c r="E283" s="7"/>
      <c r="F283" s="11" t="str">
        <f>IFERROR(VLOOKUP($E283,設定!$C:$F,2,0),"")</f>
        <v/>
      </c>
      <c r="G283" s="171" t="str">
        <f>IFERROR(VLOOKUP($E283,設定!$C:$F,3,0),"")</f>
        <v/>
      </c>
      <c r="H283" s="19" t="str">
        <f>IFERROR(VLOOKUP($E283,設定!$C:$F,4,0),"")</f>
        <v/>
      </c>
      <c r="I283" s="415"/>
    </row>
    <row r="284" spans="2:9" s="5" customFormat="1" ht="24" customHeight="1" x14ac:dyDescent="0.15">
      <c r="B284" s="9"/>
      <c r="C284" s="19"/>
      <c r="D284" s="17"/>
      <c r="E284" s="7"/>
      <c r="F284" s="11" t="str">
        <f>IFERROR(VLOOKUP($E284,設定!$C:$F,2,0),"")</f>
        <v/>
      </c>
      <c r="G284" s="171" t="str">
        <f>IFERROR(VLOOKUP($E284,設定!$C:$F,3,0),"")</f>
        <v/>
      </c>
      <c r="H284" s="19" t="str">
        <f>IFERROR(VLOOKUP($E284,設定!$C:$F,4,0),"")</f>
        <v/>
      </c>
      <c r="I284" s="415"/>
    </row>
    <row r="285" spans="2:9" s="5" customFormat="1" ht="24" customHeight="1" x14ac:dyDescent="0.15">
      <c r="B285" s="9"/>
      <c r="C285" s="19"/>
      <c r="D285" s="17"/>
      <c r="E285" s="7"/>
      <c r="F285" s="11" t="str">
        <f>IFERROR(VLOOKUP($E285,設定!$C:$F,2,0),"")</f>
        <v/>
      </c>
      <c r="G285" s="171" t="str">
        <f>IFERROR(VLOOKUP($E285,設定!$C:$F,3,0),"")</f>
        <v/>
      </c>
      <c r="H285" s="19" t="str">
        <f>IFERROR(VLOOKUP($E285,設定!$C:$F,4,0),"")</f>
        <v/>
      </c>
      <c r="I285" s="415"/>
    </row>
    <row r="286" spans="2:9" s="5" customFormat="1" ht="24" customHeight="1" x14ac:dyDescent="0.15">
      <c r="B286" s="9"/>
      <c r="C286" s="19"/>
      <c r="D286" s="17"/>
      <c r="E286" s="7"/>
      <c r="F286" s="11" t="str">
        <f>IFERROR(VLOOKUP($E286,設定!$C:$F,2,0),"")</f>
        <v/>
      </c>
      <c r="G286" s="171" t="str">
        <f>IFERROR(VLOOKUP($E286,設定!$C:$F,3,0),"")</f>
        <v/>
      </c>
      <c r="H286" s="19" t="str">
        <f>IFERROR(VLOOKUP($E286,設定!$C:$F,4,0),"")</f>
        <v/>
      </c>
      <c r="I286" s="415"/>
    </row>
    <row r="287" spans="2:9" s="5" customFormat="1" ht="24" customHeight="1" x14ac:dyDescent="0.15">
      <c r="B287" s="9"/>
      <c r="C287" s="19"/>
      <c r="D287" s="17"/>
      <c r="E287" s="7"/>
      <c r="F287" s="11" t="str">
        <f>IFERROR(VLOOKUP($E287,設定!$C:$F,2,0),"")</f>
        <v/>
      </c>
      <c r="G287" s="171" t="str">
        <f>IFERROR(VLOOKUP($E287,設定!$C:$F,3,0),"")</f>
        <v/>
      </c>
      <c r="H287" s="19" t="str">
        <f>IFERROR(VLOOKUP($E287,設定!$C:$F,4,0),"")</f>
        <v/>
      </c>
      <c r="I287" s="415"/>
    </row>
    <row r="288" spans="2:9" s="5" customFormat="1" ht="24" customHeight="1" x14ac:dyDescent="0.15">
      <c r="B288" s="9"/>
      <c r="C288" s="19"/>
      <c r="D288" s="17"/>
      <c r="E288" s="7"/>
      <c r="F288" s="11" t="str">
        <f>IFERROR(VLOOKUP($E288,設定!$C:$F,2,0),"")</f>
        <v/>
      </c>
      <c r="G288" s="171" t="str">
        <f>IFERROR(VLOOKUP($E288,設定!$C:$F,3,0),"")</f>
        <v/>
      </c>
      <c r="H288" s="19" t="str">
        <f>IFERROR(VLOOKUP($E288,設定!$C:$F,4,0),"")</f>
        <v/>
      </c>
      <c r="I288" s="415"/>
    </row>
    <row r="289" spans="2:9" s="5" customFormat="1" ht="24" customHeight="1" x14ac:dyDescent="0.15">
      <c r="B289" s="9"/>
      <c r="C289" s="19"/>
      <c r="D289" s="17"/>
      <c r="E289" s="7"/>
      <c r="F289" s="11" t="str">
        <f>IFERROR(VLOOKUP($E289,設定!$C:$F,2,0),"")</f>
        <v/>
      </c>
      <c r="G289" s="171" t="str">
        <f>IFERROR(VLOOKUP($E289,設定!$C:$F,3,0),"")</f>
        <v/>
      </c>
      <c r="H289" s="19" t="str">
        <f>IFERROR(VLOOKUP($E289,設定!$C:$F,4,0),"")</f>
        <v/>
      </c>
      <c r="I289" s="415"/>
    </row>
    <row r="290" spans="2:9" s="5" customFormat="1" ht="24" customHeight="1" x14ac:dyDescent="0.15">
      <c r="B290" s="9"/>
      <c r="C290" s="19"/>
      <c r="D290" s="17"/>
      <c r="E290" s="7"/>
      <c r="F290" s="11" t="str">
        <f>IFERROR(VLOOKUP($E290,設定!$C:$F,2,0),"")</f>
        <v/>
      </c>
      <c r="G290" s="171" t="str">
        <f>IFERROR(VLOOKUP($E290,設定!$C:$F,3,0),"")</f>
        <v/>
      </c>
      <c r="H290" s="19" t="str">
        <f>IFERROR(VLOOKUP($E290,設定!$C:$F,4,0),"")</f>
        <v/>
      </c>
      <c r="I290" s="415"/>
    </row>
    <row r="291" spans="2:9" s="5" customFormat="1" ht="24" customHeight="1" x14ac:dyDescent="0.15">
      <c r="B291" s="9"/>
      <c r="C291" s="19"/>
      <c r="D291" s="17"/>
      <c r="E291" s="7"/>
      <c r="F291" s="11" t="str">
        <f>IFERROR(VLOOKUP($E291,設定!$C:$F,2,0),"")</f>
        <v/>
      </c>
      <c r="G291" s="171" t="str">
        <f>IFERROR(VLOOKUP($E291,設定!$C:$F,3,0),"")</f>
        <v/>
      </c>
      <c r="H291" s="19" t="str">
        <f>IFERROR(VLOOKUP($E291,設定!$C:$F,4,0),"")</f>
        <v/>
      </c>
      <c r="I291" s="415"/>
    </row>
    <row r="292" spans="2:9" s="5" customFormat="1" ht="24" customHeight="1" x14ac:dyDescent="0.15">
      <c r="B292" s="9"/>
      <c r="C292" s="19"/>
      <c r="D292" s="17"/>
      <c r="E292" s="7"/>
      <c r="F292" s="11" t="str">
        <f>IFERROR(VLOOKUP($E292,設定!$C:$F,2,0),"")</f>
        <v/>
      </c>
      <c r="G292" s="171" t="str">
        <f>IFERROR(VLOOKUP($E292,設定!$C:$F,3,0),"")</f>
        <v/>
      </c>
      <c r="H292" s="19" t="str">
        <f>IFERROR(VLOOKUP($E292,設定!$C:$F,4,0),"")</f>
        <v/>
      </c>
      <c r="I292" s="415"/>
    </row>
    <row r="293" spans="2:9" s="5" customFormat="1" ht="24" customHeight="1" x14ac:dyDescent="0.15">
      <c r="B293" s="9"/>
      <c r="C293" s="19"/>
      <c r="D293" s="17"/>
      <c r="E293" s="7"/>
      <c r="F293" s="11" t="str">
        <f>IFERROR(VLOOKUP($E293,設定!$C:$F,2,0),"")</f>
        <v/>
      </c>
      <c r="G293" s="171" t="str">
        <f>IFERROR(VLOOKUP($E293,設定!$C:$F,3,0),"")</f>
        <v/>
      </c>
      <c r="H293" s="19" t="str">
        <f>IFERROR(VLOOKUP($E293,設定!$C:$F,4,0),"")</f>
        <v/>
      </c>
      <c r="I293" s="415"/>
    </row>
    <row r="294" spans="2:9" s="5" customFormat="1" ht="24" customHeight="1" x14ac:dyDescent="0.15">
      <c r="B294" s="9"/>
      <c r="C294" s="19"/>
      <c r="D294" s="17"/>
      <c r="E294" s="7"/>
      <c r="F294" s="11" t="str">
        <f>IFERROR(VLOOKUP($E294,設定!$C:$F,2,0),"")</f>
        <v/>
      </c>
      <c r="G294" s="171" t="str">
        <f>IFERROR(VLOOKUP($E294,設定!$C:$F,3,0),"")</f>
        <v/>
      </c>
      <c r="H294" s="19" t="str">
        <f>IFERROR(VLOOKUP($E294,設定!$C:$F,4,0),"")</f>
        <v/>
      </c>
      <c r="I294" s="415"/>
    </row>
    <row r="295" spans="2:9" s="5" customFormat="1" ht="24" customHeight="1" x14ac:dyDescent="0.15">
      <c r="B295" s="9"/>
      <c r="C295" s="19"/>
      <c r="D295" s="17"/>
      <c r="E295" s="7"/>
      <c r="F295" s="11" t="str">
        <f>IFERROR(VLOOKUP($E295,設定!$C:$F,2,0),"")</f>
        <v/>
      </c>
      <c r="G295" s="171" t="str">
        <f>IFERROR(VLOOKUP($E295,設定!$C:$F,3,0),"")</f>
        <v/>
      </c>
      <c r="H295" s="19" t="str">
        <f>IFERROR(VLOOKUP($E295,設定!$C:$F,4,0),"")</f>
        <v/>
      </c>
      <c r="I295" s="415"/>
    </row>
    <row r="296" spans="2:9" s="5" customFormat="1" ht="24" customHeight="1" x14ac:dyDescent="0.15">
      <c r="B296" s="9"/>
      <c r="C296" s="19"/>
      <c r="D296" s="17"/>
      <c r="E296" s="7"/>
      <c r="F296" s="11" t="str">
        <f>IFERROR(VLOOKUP($E296,設定!$C:$F,2,0),"")</f>
        <v/>
      </c>
      <c r="G296" s="171" t="str">
        <f>IFERROR(VLOOKUP($E296,設定!$C:$F,3,0),"")</f>
        <v/>
      </c>
      <c r="H296" s="19" t="str">
        <f>IFERROR(VLOOKUP($E296,設定!$C:$F,4,0),"")</f>
        <v/>
      </c>
      <c r="I296" s="415"/>
    </row>
    <row r="297" spans="2:9" s="5" customFormat="1" ht="24" customHeight="1" x14ac:dyDescent="0.15">
      <c r="B297" s="9"/>
      <c r="C297" s="19"/>
      <c r="D297" s="17"/>
      <c r="E297" s="7"/>
      <c r="F297" s="11" t="str">
        <f>IFERROR(VLOOKUP($E297,設定!$C:$F,2,0),"")</f>
        <v/>
      </c>
      <c r="G297" s="171" t="str">
        <f>IFERROR(VLOOKUP($E297,設定!$C:$F,3,0),"")</f>
        <v/>
      </c>
      <c r="H297" s="19" t="str">
        <f>IFERROR(VLOOKUP($E297,設定!$C:$F,4,0),"")</f>
        <v/>
      </c>
      <c r="I297" s="415"/>
    </row>
    <row r="298" spans="2:9" s="5" customFormat="1" ht="24" customHeight="1" x14ac:dyDescent="0.15">
      <c r="B298" s="9"/>
      <c r="C298" s="19"/>
      <c r="D298" s="17"/>
      <c r="E298" s="7"/>
      <c r="F298" s="11" t="str">
        <f>IFERROR(VLOOKUP($E298,設定!$C:$F,2,0),"")</f>
        <v/>
      </c>
      <c r="G298" s="171" t="str">
        <f>IFERROR(VLOOKUP($E298,設定!$C:$F,3,0),"")</f>
        <v/>
      </c>
      <c r="H298" s="19" t="str">
        <f>IFERROR(VLOOKUP($E298,設定!$C:$F,4,0),"")</f>
        <v/>
      </c>
      <c r="I298" s="415"/>
    </row>
    <row r="299" spans="2:9" s="5" customFormat="1" ht="24" customHeight="1" x14ac:dyDescent="0.15">
      <c r="B299" s="9"/>
      <c r="C299" s="19"/>
      <c r="D299" s="17"/>
      <c r="E299" s="7"/>
      <c r="F299" s="11" t="str">
        <f>IFERROR(VLOOKUP($E299,設定!$C:$F,2,0),"")</f>
        <v/>
      </c>
      <c r="G299" s="171" t="str">
        <f>IFERROR(VLOOKUP($E299,設定!$C:$F,3,0),"")</f>
        <v/>
      </c>
      <c r="H299" s="19" t="str">
        <f>IFERROR(VLOOKUP($E299,設定!$C:$F,4,0),"")</f>
        <v/>
      </c>
      <c r="I299" s="415"/>
    </row>
    <row r="300" spans="2:9" s="5" customFormat="1" ht="24" customHeight="1" x14ac:dyDescent="0.15">
      <c r="B300" s="9"/>
      <c r="C300" s="19"/>
      <c r="D300" s="17"/>
      <c r="E300" s="7"/>
      <c r="F300" s="11" t="str">
        <f>IFERROR(VLOOKUP($E300,設定!$C:$F,2,0),"")</f>
        <v/>
      </c>
      <c r="G300" s="171" t="str">
        <f>IFERROR(VLOOKUP($E300,設定!$C:$F,3,0),"")</f>
        <v/>
      </c>
      <c r="H300" s="19" t="str">
        <f>IFERROR(VLOOKUP($E300,設定!$C:$F,4,0),"")</f>
        <v/>
      </c>
      <c r="I300" s="415"/>
    </row>
    <row r="301" spans="2:9" s="5" customFormat="1" ht="24" customHeight="1" x14ac:dyDescent="0.15">
      <c r="B301" s="9"/>
      <c r="C301" s="19"/>
      <c r="D301" s="17"/>
      <c r="E301" s="7"/>
      <c r="F301" s="11" t="str">
        <f>IFERROR(VLOOKUP($E301,設定!$C:$F,2,0),"")</f>
        <v/>
      </c>
      <c r="G301" s="171" t="str">
        <f>IFERROR(VLOOKUP($E301,設定!$C:$F,3,0),"")</f>
        <v/>
      </c>
      <c r="H301" s="19" t="str">
        <f>IFERROR(VLOOKUP($E301,設定!$C:$F,4,0),"")</f>
        <v/>
      </c>
      <c r="I301" s="415"/>
    </row>
    <row r="302" spans="2:9" s="5" customFormat="1" ht="24" customHeight="1" x14ac:dyDescent="0.15">
      <c r="B302" s="9"/>
      <c r="C302" s="19"/>
      <c r="D302" s="17"/>
      <c r="E302" s="7"/>
      <c r="F302" s="11" t="str">
        <f>IFERROR(VLOOKUP($E302,設定!$C:$F,2,0),"")</f>
        <v/>
      </c>
      <c r="G302" s="171" t="str">
        <f>IFERROR(VLOOKUP($E302,設定!$C:$F,3,0),"")</f>
        <v/>
      </c>
      <c r="H302" s="19" t="str">
        <f>IFERROR(VLOOKUP($E302,設定!$C:$F,4,0),"")</f>
        <v/>
      </c>
      <c r="I302" s="415"/>
    </row>
    <row r="303" spans="2:9" s="5" customFormat="1" ht="24" customHeight="1" x14ac:dyDescent="0.15">
      <c r="B303" s="9"/>
      <c r="C303" s="19"/>
      <c r="D303" s="17"/>
      <c r="E303" s="7"/>
      <c r="F303" s="11" t="str">
        <f>IFERROR(VLOOKUP($E303,設定!$C:$F,2,0),"")</f>
        <v/>
      </c>
      <c r="G303" s="171" t="str">
        <f>IFERROR(VLOOKUP($E303,設定!$C:$F,3,0),"")</f>
        <v/>
      </c>
      <c r="H303" s="19" t="str">
        <f>IFERROR(VLOOKUP($E303,設定!$C:$F,4,0),"")</f>
        <v/>
      </c>
      <c r="I303" s="415"/>
    </row>
    <row r="304" spans="2:9" s="5" customFormat="1" ht="24" customHeight="1" x14ac:dyDescent="0.15">
      <c r="B304" s="9"/>
      <c r="C304" s="19"/>
      <c r="D304" s="17"/>
      <c r="E304" s="7"/>
      <c r="F304" s="11" t="str">
        <f>IFERROR(VLOOKUP($E304,設定!$C:$F,2,0),"")</f>
        <v/>
      </c>
      <c r="G304" s="171" t="str">
        <f>IFERROR(VLOOKUP($E304,設定!$C:$F,3,0),"")</f>
        <v/>
      </c>
      <c r="H304" s="19" t="str">
        <f>IFERROR(VLOOKUP($E304,設定!$C:$F,4,0),"")</f>
        <v/>
      </c>
      <c r="I304" s="415"/>
    </row>
    <row r="305" spans="2:9" s="5" customFormat="1" ht="24" customHeight="1" x14ac:dyDescent="0.15">
      <c r="B305" s="9"/>
      <c r="C305" s="19"/>
      <c r="D305" s="17"/>
      <c r="E305" s="7"/>
      <c r="F305" s="11" t="str">
        <f>IFERROR(VLOOKUP($E305,設定!$C:$F,2,0),"")</f>
        <v/>
      </c>
      <c r="G305" s="171" t="str">
        <f>IFERROR(VLOOKUP($E305,設定!$C:$F,3,0),"")</f>
        <v/>
      </c>
      <c r="H305" s="19" t="str">
        <f>IFERROR(VLOOKUP($E305,設定!$C:$F,4,0),"")</f>
        <v/>
      </c>
      <c r="I305" s="415"/>
    </row>
    <row r="306" spans="2:9" s="5" customFormat="1" ht="24" customHeight="1" x14ac:dyDescent="0.15">
      <c r="B306" s="9"/>
      <c r="C306" s="19"/>
      <c r="D306" s="17"/>
      <c r="E306" s="7"/>
      <c r="F306" s="11" t="str">
        <f>IFERROR(VLOOKUP($E306,設定!$C:$F,2,0),"")</f>
        <v/>
      </c>
      <c r="G306" s="171" t="str">
        <f>IFERROR(VLOOKUP($E306,設定!$C:$F,3,0),"")</f>
        <v/>
      </c>
      <c r="H306" s="19" t="str">
        <f>IFERROR(VLOOKUP($E306,設定!$C:$F,4,0),"")</f>
        <v/>
      </c>
      <c r="I306" s="415"/>
    </row>
    <row r="307" spans="2:9" s="5" customFormat="1" ht="24" customHeight="1" x14ac:dyDescent="0.15">
      <c r="B307" s="9"/>
      <c r="C307" s="19"/>
      <c r="D307" s="17"/>
      <c r="E307" s="7"/>
      <c r="F307" s="11" t="str">
        <f>IFERROR(VLOOKUP($E307,設定!$C:$F,2,0),"")</f>
        <v/>
      </c>
      <c r="G307" s="171" t="str">
        <f>IFERROR(VLOOKUP($E307,設定!$C:$F,3,0),"")</f>
        <v/>
      </c>
      <c r="H307" s="19" t="str">
        <f>IFERROR(VLOOKUP($E307,設定!$C:$F,4,0),"")</f>
        <v/>
      </c>
      <c r="I307" s="415"/>
    </row>
    <row r="308" spans="2:9" s="5" customFormat="1" ht="24" customHeight="1" x14ac:dyDescent="0.15">
      <c r="B308" s="9"/>
      <c r="C308" s="19"/>
      <c r="D308" s="17"/>
      <c r="E308" s="7"/>
      <c r="F308" s="11" t="str">
        <f>IFERROR(VLOOKUP($E308,設定!$C:$F,2,0),"")</f>
        <v/>
      </c>
      <c r="G308" s="171" t="str">
        <f>IFERROR(VLOOKUP($E308,設定!$C:$F,3,0),"")</f>
        <v/>
      </c>
      <c r="H308" s="19" t="str">
        <f>IFERROR(VLOOKUP($E308,設定!$C:$F,4,0),"")</f>
        <v/>
      </c>
      <c r="I308" s="415"/>
    </row>
    <row r="309" spans="2:9" s="5" customFormat="1" ht="24" customHeight="1" x14ac:dyDescent="0.15">
      <c r="B309" s="9"/>
      <c r="C309" s="19"/>
      <c r="D309" s="17"/>
      <c r="E309" s="7"/>
      <c r="F309" s="11" t="str">
        <f>IFERROR(VLOOKUP($E309,設定!$C:$F,2,0),"")</f>
        <v/>
      </c>
      <c r="G309" s="171" t="str">
        <f>IFERROR(VLOOKUP($E309,設定!$C:$F,3,0),"")</f>
        <v/>
      </c>
      <c r="H309" s="19" t="str">
        <f>IFERROR(VLOOKUP($E309,設定!$C:$F,4,0),"")</f>
        <v/>
      </c>
      <c r="I309" s="415"/>
    </row>
    <row r="310" spans="2:9" s="5" customFormat="1" ht="24" customHeight="1" x14ac:dyDescent="0.15">
      <c r="B310" s="9"/>
      <c r="C310" s="19"/>
      <c r="D310" s="17"/>
      <c r="E310" s="7"/>
      <c r="F310" s="11" t="str">
        <f>IFERROR(VLOOKUP($E310,設定!$C:$F,2,0),"")</f>
        <v/>
      </c>
      <c r="G310" s="171" t="str">
        <f>IFERROR(VLOOKUP($E310,設定!$C:$F,3,0),"")</f>
        <v/>
      </c>
      <c r="H310" s="19" t="str">
        <f>IFERROR(VLOOKUP($E310,設定!$C:$F,4,0),"")</f>
        <v/>
      </c>
      <c r="I310" s="415"/>
    </row>
    <row r="311" spans="2:9" s="5" customFormat="1" ht="24" customHeight="1" x14ac:dyDescent="0.15">
      <c r="B311" s="9"/>
      <c r="C311" s="19"/>
      <c r="D311" s="17"/>
      <c r="E311" s="7"/>
      <c r="F311" s="11" t="str">
        <f>IFERROR(VLOOKUP($E311,設定!$C:$F,2,0),"")</f>
        <v/>
      </c>
      <c r="G311" s="171" t="str">
        <f>IFERROR(VLOOKUP($E311,設定!$C:$F,3,0),"")</f>
        <v/>
      </c>
      <c r="H311" s="19" t="str">
        <f>IFERROR(VLOOKUP($E311,設定!$C:$F,4,0),"")</f>
        <v/>
      </c>
      <c r="I311" s="415"/>
    </row>
    <row r="312" spans="2:9" s="5" customFormat="1" ht="24" customHeight="1" x14ac:dyDescent="0.15">
      <c r="B312" s="9"/>
      <c r="C312" s="19"/>
      <c r="D312" s="17"/>
      <c r="E312" s="7"/>
      <c r="F312" s="11" t="str">
        <f>IFERROR(VLOOKUP($E312,設定!$C:$F,2,0),"")</f>
        <v/>
      </c>
      <c r="G312" s="171" t="str">
        <f>IFERROR(VLOOKUP($E312,設定!$C:$F,3,0),"")</f>
        <v/>
      </c>
      <c r="H312" s="19" t="str">
        <f>IFERROR(VLOOKUP($E312,設定!$C:$F,4,0),"")</f>
        <v/>
      </c>
      <c r="I312" s="415"/>
    </row>
    <row r="313" spans="2:9" s="5" customFormat="1" ht="24" customHeight="1" x14ac:dyDescent="0.15">
      <c r="B313" s="9"/>
      <c r="C313" s="19"/>
      <c r="D313" s="17"/>
      <c r="E313" s="7"/>
      <c r="F313" s="11" t="str">
        <f>IFERROR(VLOOKUP($E313,設定!$C:$F,2,0),"")</f>
        <v/>
      </c>
      <c r="G313" s="171" t="str">
        <f>IFERROR(VLOOKUP($E313,設定!$C:$F,3,0),"")</f>
        <v/>
      </c>
      <c r="H313" s="19" t="str">
        <f>IFERROR(VLOOKUP($E313,設定!$C:$F,4,0),"")</f>
        <v/>
      </c>
      <c r="I313" s="415"/>
    </row>
    <row r="314" spans="2:9" s="5" customFormat="1" ht="24" customHeight="1" x14ac:dyDescent="0.15">
      <c r="B314" s="9"/>
      <c r="C314" s="19"/>
      <c r="D314" s="17"/>
      <c r="E314" s="7"/>
      <c r="F314" s="11" t="str">
        <f>IFERROR(VLOOKUP($E314,設定!$C:$F,2,0),"")</f>
        <v/>
      </c>
      <c r="G314" s="171" t="str">
        <f>IFERROR(VLOOKUP($E314,設定!$C:$F,3,0),"")</f>
        <v/>
      </c>
      <c r="H314" s="19" t="str">
        <f>IFERROR(VLOOKUP($E314,設定!$C:$F,4,0),"")</f>
        <v/>
      </c>
      <c r="I314" s="415"/>
    </row>
    <row r="315" spans="2:9" s="5" customFormat="1" ht="24" customHeight="1" x14ac:dyDescent="0.15">
      <c r="B315" s="9"/>
      <c r="C315" s="19"/>
      <c r="D315" s="17"/>
      <c r="E315" s="7"/>
      <c r="F315" s="11" t="str">
        <f>IFERROR(VLOOKUP($E315,設定!$C:$F,2,0),"")</f>
        <v/>
      </c>
      <c r="G315" s="171" t="str">
        <f>IFERROR(VLOOKUP($E315,設定!$C:$F,3,0),"")</f>
        <v/>
      </c>
      <c r="H315" s="19" t="str">
        <f>IFERROR(VLOOKUP($E315,設定!$C:$F,4,0),"")</f>
        <v/>
      </c>
      <c r="I315" s="415"/>
    </row>
    <row r="316" spans="2:9" s="5" customFormat="1" ht="24" customHeight="1" x14ac:dyDescent="0.15">
      <c r="B316" s="9"/>
      <c r="C316" s="19"/>
      <c r="D316" s="17"/>
      <c r="E316" s="7"/>
      <c r="F316" s="11" t="str">
        <f>IFERROR(VLOOKUP($E316,設定!$C:$F,2,0),"")</f>
        <v/>
      </c>
      <c r="G316" s="171" t="str">
        <f>IFERROR(VLOOKUP($E316,設定!$C:$F,3,0),"")</f>
        <v/>
      </c>
      <c r="H316" s="19" t="str">
        <f>IFERROR(VLOOKUP($E316,設定!$C:$F,4,0),"")</f>
        <v/>
      </c>
      <c r="I316" s="415"/>
    </row>
    <row r="317" spans="2:9" s="5" customFormat="1" ht="24" customHeight="1" x14ac:dyDescent="0.15">
      <c r="B317" s="9"/>
      <c r="C317" s="19"/>
      <c r="D317" s="17"/>
      <c r="E317" s="7"/>
      <c r="F317" s="11" t="str">
        <f>IFERROR(VLOOKUP($E317,設定!$C:$F,2,0),"")</f>
        <v/>
      </c>
      <c r="G317" s="171" t="str">
        <f>IFERROR(VLOOKUP($E317,設定!$C:$F,3,0),"")</f>
        <v/>
      </c>
      <c r="H317" s="19" t="str">
        <f>IFERROR(VLOOKUP($E317,設定!$C:$F,4,0),"")</f>
        <v/>
      </c>
      <c r="I317" s="415"/>
    </row>
    <row r="318" spans="2:9" s="5" customFormat="1" ht="24" customHeight="1" x14ac:dyDescent="0.15">
      <c r="B318" s="9"/>
      <c r="C318" s="19"/>
      <c r="D318" s="17"/>
      <c r="E318" s="7"/>
      <c r="F318" s="11" t="str">
        <f>IFERROR(VLOOKUP($E318,設定!$C:$F,2,0),"")</f>
        <v/>
      </c>
      <c r="G318" s="171" t="str">
        <f>IFERROR(VLOOKUP($E318,設定!$C:$F,3,0),"")</f>
        <v/>
      </c>
      <c r="H318" s="19" t="str">
        <f>IFERROR(VLOOKUP($E318,設定!$C:$F,4,0),"")</f>
        <v/>
      </c>
      <c r="I318" s="415"/>
    </row>
    <row r="319" spans="2:9" s="5" customFormat="1" ht="24" customHeight="1" x14ac:dyDescent="0.15">
      <c r="B319" s="9"/>
      <c r="C319" s="19"/>
      <c r="D319" s="17"/>
      <c r="E319" s="7"/>
      <c r="F319" s="11" t="str">
        <f>IFERROR(VLOOKUP($E319,設定!$C:$F,2,0),"")</f>
        <v/>
      </c>
      <c r="G319" s="171" t="str">
        <f>IFERROR(VLOOKUP($E319,設定!$C:$F,3,0),"")</f>
        <v/>
      </c>
      <c r="H319" s="19" t="str">
        <f>IFERROR(VLOOKUP($E319,設定!$C:$F,4,0),"")</f>
        <v/>
      </c>
      <c r="I319" s="415"/>
    </row>
    <row r="320" spans="2:9" s="5" customFormat="1" ht="24" customHeight="1" x14ac:dyDescent="0.15">
      <c r="B320" s="9"/>
      <c r="C320" s="19"/>
      <c r="D320" s="17"/>
      <c r="E320" s="7"/>
      <c r="F320" s="11" t="str">
        <f>IFERROR(VLOOKUP($E320,設定!$C:$F,2,0),"")</f>
        <v/>
      </c>
      <c r="G320" s="171" t="str">
        <f>IFERROR(VLOOKUP($E320,設定!$C:$F,3,0),"")</f>
        <v/>
      </c>
      <c r="H320" s="19" t="str">
        <f>IFERROR(VLOOKUP($E320,設定!$C:$F,4,0),"")</f>
        <v/>
      </c>
      <c r="I320" s="415"/>
    </row>
    <row r="321" spans="2:9" s="5" customFormat="1" ht="24" customHeight="1" x14ac:dyDescent="0.15">
      <c r="B321" s="9"/>
      <c r="C321" s="19"/>
      <c r="D321" s="17"/>
      <c r="E321" s="7"/>
      <c r="F321" s="11" t="str">
        <f>IFERROR(VLOOKUP($E321,設定!$C:$F,2,0),"")</f>
        <v/>
      </c>
      <c r="G321" s="171" t="str">
        <f>IFERROR(VLOOKUP($E321,設定!$C:$F,3,0),"")</f>
        <v/>
      </c>
      <c r="H321" s="19" t="str">
        <f>IFERROR(VLOOKUP($E321,設定!$C:$F,4,0),"")</f>
        <v/>
      </c>
      <c r="I321" s="415"/>
    </row>
    <row r="322" spans="2:9" s="5" customFormat="1" ht="24" customHeight="1" x14ac:dyDescent="0.15">
      <c r="B322" s="9"/>
      <c r="C322" s="19"/>
      <c r="D322" s="17"/>
      <c r="E322" s="7"/>
      <c r="F322" s="11" t="str">
        <f>IFERROR(VLOOKUP($E322,設定!$C:$F,2,0),"")</f>
        <v/>
      </c>
      <c r="G322" s="171" t="str">
        <f>IFERROR(VLOOKUP($E322,設定!$C:$F,3,0),"")</f>
        <v/>
      </c>
      <c r="H322" s="19" t="str">
        <f>IFERROR(VLOOKUP($E322,設定!$C:$F,4,0),"")</f>
        <v/>
      </c>
      <c r="I322" s="415"/>
    </row>
    <row r="323" spans="2:9" s="5" customFormat="1" ht="24" customHeight="1" x14ac:dyDescent="0.15">
      <c r="B323" s="9"/>
      <c r="C323" s="19"/>
      <c r="D323" s="17"/>
      <c r="E323" s="7"/>
      <c r="F323" s="11" t="str">
        <f>IFERROR(VLOOKUP($E323,設定!$C:$F,2,0),"")</f>
        <v/>
      </c>
      <c r="G323" s="171" t="str">
        <f>IFERROR(VLOOKUP($E323,設定!$C:$F,3,0),"")</f>
        <v/>
      </c>
      <c r="H323" s="19" t="str">
        <f>IFERROR(VLOOKUP($E323,設定!$C:$F,4,0),"")</f>
        <v/>
      </c>
      <c r="I323" s="415"/>
    </row>
    <row r="324" spans="2:9" s="5" customFormat="1" ht="24" customHeight="1" x14ac:dyDescent="0.15">
      <c r="B324" s="9"/>
      <c r="C324" s="19"/>
      <c r="D324" s="17"/>
      <c r="E324" s="7"/>
      <c r="F324" s="11" t="str">
        <f>IFERROR(VLOOKUP($E324,設定!$C:$F,2,0),"")</f>
        <v/>
      </c>
      <c r="G324" s="171" t="str">
        <f>IFERROR(VLOOKUP($E324,設定!$C:$F,3,0),"")</f>
        <v/>
      </c>
      <c r="H324" s="19" t="str">
        <f>IFERROR(VLOOKUP($E324,設定!$C:$F,4,0),"")</f>
        <v/>
      </c>
      <c r="I324" s="415"/>
    </row>
    <row r="325" spans="2:9" s="5" customFormat="1" ht="24" customHeight="1" x14ac:dyDescent="0.15">
      <c r="B325" s="9"/>
      <c r="C325" s="19"/>
      <c r="D325" s="17"/>
      <c r="E325" s="7"/>
      <c r="F325" s="11" t="str">
        <f>IFERROR(VLOOKUP($E325,設定!$C:$F,2,0),"")</f>
        <v/>
      </c>
      <c r="G325" s="171" t="str">
        <f>IFERROR(VLOOKUP($E325,設定!$C:$F,3,0),"")</f>
        <v/>
      </c>
      <c r="H325" s="19" t="str">
        <f>IFERROR(VLOOKUP($E325,設定!$C:$F,4,0),"")</f>
        <v/>
      </c>
      <c r="I325" s="415"/>
    </row>
    <row r="326" spans="2:9" s="5" customFormat="1" ht="24" customHeight="1" x14ac:dyDescent="0.15">
      <c r="B326" s="9"/>
      <c r="C326" s="19"/>
      <c r="D326" s="17"/>
      <c r="E326" s="7"/>
      <c r="F326" s="11" t="str">
        <f>IFERROR(VLOOKUP($E326,設定!$C:$F,2,0),"")</f>
        <v/>
      </c>
      <c r="G326" s="171" t="str">
        <f>IFERROR(VLOOKUP($E326,設定!$C:$F,3,0),"")</f>
        <v/>
      </c>
      <c r="H326" s="19" t="str">
        <f>IFERROR(VLOOKUP($E326,設定!$C:$F,4,0),"")</f>
        <v/>
      </c>
      <c r="I326" s="415"/>
    </row>
    <row r="327" spans="2:9" s="5" customFormat="1" ht="24" customHeight="1" x14ac:dyDescent="0.15">
      <c r="B327" s="9"/>
      <c r="C327" s="19"/>
      <c r="D327" s="17"/>
      <c r="E327" s="7"/>
      <c r="F327" s="11" t="str">
        <f>IFERROR(VLOOKUP($E327,設定!$C:$F,2,0),"")</f>
        <v/>
      </c>
      <c r="G327" s="171" t="str">
        <f>IFERROR(VLOOKUP($E327,設定!$C:$F,3,0),"")</f>
        <v/>
      </c>
      <c r="H327" s="19" t="str">
        <f>IFERROR(VLOOKUP($E327,設定!$C:$F,4,0),"")</f>
        <v/>
      </c>
      <c r="I327" s="415"/>
    </row>
    <row r="328" spans="2:9" s="5" customFormat="1" ht="24" customHeight="1" x14ac:dyDescent="0.15">
      <c r="B328" s="9"/>
      <c r="C328" s="19"/>
      <c r="D328" s="17"/>
      <c r="E328" s="7"/>
      <c r="F328" s="11" t="str">
        <f>IFERROR(VLOOKUP($E328,設定!$C:$F,2,0),"")</f>
        <v/>
      </c>
      <c r="G328" s="171" t="str">
        <f>IFERROR(VLOOKUP($E328,設定!$C:$F,3,0),"")</f>
        <v/>
      </c>
      <c r="H328" s="19" t="str">
        <f>IFERROR(VLOOKUP($E328,設定!$C:$F,4,0),"")</f>
        <v/>
      </c>
      <c r="I328" s="415"/>
    </row>
    <row r="329" spans="2:9" s="5" customFormat="1" ht="24" customHeight="1" x14ac:dyDescent="0.15">
      <c r="B329" s="9"/>
      <c r="C329" s="19"/>
      <c r="D329" s="17"/>
      <c r="E329" s="7"/>
      <c r="F329" s="11" t="str">
        <f>IFERROR(VLOOKUP($E329,設定!$C:$F,2,0),"")</f>
        <v/>
      </c>
      <c r="G329" s="171" t="str">
        <f>IFERROR(VLOOKUP($E329,設定!$C:$F,3,0),"")</f>
        <v/>
      </c>
      <c r="H329" s="19" t="str">
        <f>IFERROR(VLOOKUP($E329,設定!$C:$F,4,0),"")</f>
        <v/>
      </c>
      <c r="I329" s="415"/>
    </row>
    <row r="330" spans="2:9" s="5" customFormat="1" ht="24" customHeight="1" x14ac:dyDescent="0.15">
      <c r="B330" s="9"/>
      <c r="C330" s="19"/>
      <c r="D330" s="17"/>
      <c r="E330" s="7"/>
      <c r="F330" s="11" t="str">
        <f>IFERROR(VLOOKUP($E330,設定!$C:$F,2,0),"")</f>
        <v/>
      </c>
      <c r="G330" s="171" t="str">
        <f>IFERROR(VLOOKUP($E330,設定!$C:$F,3,0),"")</f>
        <v/>
      </c>
      <c r="H330" s="19" t="str">
        <f>IFERROR(VLOOKUP($E330,設定!$C:$F,4,0),"")</f>
        <v/>
      </c>
      <c r="I330" s="415"/>
    </row>
    <row r="331" spans="2:9" s="5" customFormat="1" ht="24" customHeight="1" x14ac:dyDescent="0.15">
      <c r="B331" s="9"/>
      <c r="C331" s="19"/>
      <c r="D331" s="17"/>
      <c r="E331" s="7"/>
      <c r="F331" s="11" t="str">
        <f>IFERROR(VLOOKUP($E331,設定!$C:$F,2,0),"")</f>
        <v/>
      </c>
      <c r="G331" s="171" t="str">
        <f>IFERROR(VLOOKUP($E331,設定!$C:$F,3,0),"")</f>
        <v/>
      </c>
      <c r="H331" s="19" t="str">
        <f>IFERROR(VLOOKUP($E331,設定!$C:$F,4,0),"")</f>
        <v/>
      </c>
      <c r="I331" s="415"/>
    </row>
    <row r="332" spans="2:9" s="5" customFormat="1" ht="24" customHeight="1" x14ac:dyDescent="0.15">
      <c r="B332" s="9"/>
      <c r="C332" s="19"/>
      <c r="D332" s="17"/>
      <c r="E332" s="7"/>
      <c r="F332" s="11" t="str">
        <f>IFERROR(VLOOKUP($E332,設定!$C:$F,2,0),"")</f>
        <v/>
      </c>
      <c r="G332" s="171" t="str">
        <f>IFERROR(VLOOKUP($E332,設定!$C:$F,3,0),"")</f>
        <v/>
      </c>
      <c r="H332" s="19" t="str">
        <f>IFERROR(VLOOKUP($E332,設定!$C:$F,4,0),"")</f>
        <v/>
      </c>
      <c r="I332" s="415"/>
    </row>
    <row r="333" spans="2:9" s="5" customFormat="1" ht="24" customHeight="1" x14ac:dyDescent="0.15">
      <c r="B333" s="9"/>
      <c r="C333" s="19"/>
      <c r="D333" s="17"/>
      <c r="E333" s="7"/>
      <c r="F333" s="11" t="str">
        <f>IFERROR(VLOOKUP($E333,設定!$C:$F,2,0),"")</f>
        <v/>
      </c>
      <c r="G333" s="171" t="str">
        <f>IFERROR(VLOOKUP($E333,設定!$C:$F,3,0),"")</f>
        <v/>
      </c>
      <c r="H333" s="19" t="str">
        <f>IFERROR(VLOOKUP($E333,設定!$C:$F,4,0),"")</f>
        <v/>
      </c>
      <c r="I333" s="415"/>
    </row>
    <row r="334" spans="2:9" s="5" customFormat="1" ht="24" customHeight="1" x14ac:dyDescent="0.15">
      <c r="B334" s="9"/>
      <c r="C334" s="19"/>
      <c r="D334" s="17"/>
      <c r="E334" s="7"/>
      <c r="F334" s="11" t="str">
        <f>IFERROR(VLOOKUP($E334,設定!$C:$F,2,0),"")</f>
        <v/>
      </c>
      <c r="G334" s="171" t="str">
        <f>IFERROR(VLOOKUP($E334,設定!$C:$F,3,0),"")</f>
        <v/>
      </c>
      <c r="H334" s="19" t="str">
        <f>IFERROR(VLOOKUP($E334,設定!$C:$F,4,0),"")</f>
        <v/>
      </c>
      <c r="I334" s="415"/>
    </row>
    <row r="335" spans="2:9" s="5" customFormat="1" ht="24" customHeight="1" x14ac:dyDescent="0.15">
      <c r="B335" s="9"/>
      <c r="C335" s="19"/>
      <c r="D335" s="17"/>
      <c r="E335" s="7"/>
      <c r="F335" s="11" t="str">
        <f>IFERROR(VLOOKUP($E335,設定!$C:$F,2,0),"")</f>
        <v/>
      </c>
      <c r="G335" s="171" t="str">
        <f>IFERROR(VLOOKUP($E335,設定!$C:$F,3,0),"")</f>
        <v/>
      </c>
      <c r="H335" s="19" t="str">
        <f>IFERROR(VLOOKUP($E335,設定!$C:$F,4,0),"")</f>
        <v/>
      </c>
      <c r="I335" s="415"/>
    </row>
    <row r="336" spans="2:9" s="5" customFormat="1" ht="24" customHeight="1" x14ac:dyDescent="0.15">
      <c r="B336" s="9"/>
      <c r="C336" s="19"/>
      <c r="D336" s="17"/>
      <c r="E336" s="7"/>
      <c r="F336" s="11" t="str">
        <f>IFERROR(VLOOKUP($E336,設定!$C:$F,2,0),"")</f>
        <v/>
      </c>
      <c r="G336" s="171" t="str">
        <f>IFERROR(VLOOKUP($E336,設定!$C:$F,3,0),"")</f>
        <v/>
      </c>
      <c r="H336" s="19" t="str">
        <f>IFERROR(VLOOKUP($E336,設定!$C:$F,4,0),"")</f>
        <v/>
      </c>
      <c r="I336" s="415"/>
    </row>
    <row r="337" spans="2:9" s="5" customFormat="1" ht="24" customHeight="1" x14ac:dyDescent="0.15">
      <c r="B337" s="9"/>
      <c r="C337" s="19"/>
      <c r="D337" s="17"/>
      <c r="E337" s="7"/>
      <c r="F337" s="11" t="str">
        <f>IFERROR(VLOOKUP($E337,設定!$C:$F,2,0),"")</f>
        <v/>
      </c>
      <c r="G337" s="171" t="str">
        <f>IFERROR(VLOOKUP($E337,設定!$C:$F,3,0),"")</f>
        <v/>
      </c>
      <c r="H337" s="19" t="str">
        <f>IFERROR(VLOOKUP($E337,設定!$C:$F,4,0),"")</f>
        <v/>
      </c>
      <c r="I337" s="415"/>
    </row>
    <row r="338" spans="2:9" s="5" customFormat="1" ht="24" customHeight="1" x14ac:dyDescent="0.15">
      <c r="B338" s="9"/>
      <c r="C338" s="19"/>
      <c r="D338" s="17"/>
      <c r="E338" s="7"/>
      <c r="F338" s="11" t="str">
        <f>IFERROR(VLOOKUP($E338,設定!$C:$F,2,0),"")</f>
        <v/>
      </c>
      <c r="G338" s="171" t="str">
        <f>IFERROR(VLOOKUP($E338,設定!$C:$F,3,0),"")</f>
        <v/>
      </c>
      <c r="H338" s="19" t="str">
        <f>IFERROR(VLOOKUP($E338,設定!$C:$F,4,0),"")</f>
        <v/>
      </c>
      <c r="I338" s="415"/>
    </row>
    <row r="339" spans="2:9" s="5" customFormat="1" ht="24" customHeight="1" x14ac:dyDescent="0.15">
      <c r="B339" s="9"/>
      <c r="C339" s="19"/>
      <c r="D339" s="17"/>
      <c r="E339" s="7"/>
      <c r="F339" s="11" t="str">
        <f>IFERROR(VLOOKUP($E339,設定!$C:$F,2,0),"")</f>
        <v/>
      </c>
      <c r="G339" s="171" t="str">
        <f>IFERROR(VLOOKUP($E339,設定!$C:$F,3,0),"")</f>
        <v/>
      </c>
      <c r="H339" s="19" t="str">
        <f>IFERROR(VLOOKUP($E339,設定!$C:$F,4,0),"")</f>
        <v/>
      </c>
      <c r="I339" s="415"/>
    </row>
    <row r="340" spans="2:9" s="5" customFormat="1" ht="24" customHeight="1" x14ac:dyDescent="0.15">
      <c r="B340" s="9"/>
      <c r="C340" s="19"/>
      <c r="D340" s="17"/>
      <c r="E340" s="7"/>
      <c r="F340" s="11" t="str">
        <f>IFERROR(VLOOKUP($E340,設定!$C:$F,2,0),"")</f>
        <v/>
      </c>
      <c r="G340" s="171" t="str">
        <f>IFERROR(VLOOKUP($E340,設定!$C:$F,3,0),"")</f>
        <v/>
      </c>
      <c r="H340" s="19" t="str">
        <f>IFERROR(VLOOKUP($E340,設定!$C:$F,4,0),"")</f>
        <v/>
      </c>
      <c r="I340" s="415"/>
    </row>
    <row r="341" spans="2:9" s="5" customFormat="1" ht="24" customHeight="1" x14ac:dyDescent="0.15">
      <c r="B341" s="9"/>
      <c r="C341" s="19"/>
      <c r="D341" s="17"/>
      <c r="E341" s="7"/>
      <c r="F341" s="11" t="str">
        <f>IFERROR(VLOOKUP($E341,設定!$C:$F,2,0),"")</f>
        <v/>
      </c>
      <c r="G341" s="171" t="str">
        <f>IFERROR(VLOOKUP($E341,設定!$C:$F,3,0),"")</f>
        <v/>
      </c>
      <c r="H341" s="19" t="str">
        <f>IFERROR(VLOOKUP($E341,設定!$C:$F,4,0),"")</f>
        <v/>
      </c>
      <c r="I341" s="415"/>
    </row>
    <row r="342" spans="2:9" s="5" customFormat="1" ht="24" customHeight="1" x14ac:dyDescent="0.15">
      <c r="B342" s="9"/>
      <c r="C342" s="19"/>
      <c r="D342" s="17"/>
      <c r="E342" s="7"/>
      <c r="F342" s="11" t="str">
        <f>IFERROR(VLOOKUP($E342,設定!$C:$F,2,0),"")</f>
        <v/>
      </c>
      <c r="G342" s="171" t="str">
        <f>IFERROR(VLOOKUP($E342,設定!$C:$F,3,0),"")</f>
        <v/>
      </c>
      <c r="H342" s="19" t="str">
        <f>IFERROR(VLOOKUP($E342,設定!$C:$F,4,0),"")</f>
        <v/>
      </c>
      <c r="I342" s="415"/>
    </row>
    <row r="343" spans="2:9" s="5" customFormat="1" ht="24" customHeight="1" x14ac:dyDescent="0.15">
      <c r="B343" s="9"/>
      <c r="C343" s="19"/>
      <c r="D343" s="17"/>
      <c r="E343" s="7"/>
      <c r="F343" s="11" t="str">
        <f>IFERROR(VLOOKUP($E343,設定!$C:$F,2,0),"")</f>
        <v/>
      </c>
      <c r="G343" s="171" t="str">
        <f>IFERROR(VLOOKUP($E343,設定!$C:$F,3,0),"")</f>
        <v/>
      </c>
      <c r="H343" s="19" t="str">
        <f>IFERROR(VLOOKUP($E343,設定!$C:$F,4,0),"")</f>
        <v/>
      </c>
      <c r="I343" s="415"/>
    </row>
    <row r="344" spans="2:9" s="5" customFormat="1" ht="24" customHeight="1" x14ac:dyDescent="0.15">
      <c r="B344" s="9"/>
      <c r="C344" s="19"/>
      <c r="D344" s="17"/>
      <c r="E344" s="7"/>
      <c r="F344" s="11" t="str">
        <f>IFERROR(VLOOKUP($E344,設定!$C:$F,2,0),"")</f>
        <v/>
      </c>
      <c r="G344" s="171" t="str">
        <f>IFERROR(VLOOKUP($E344,設定!$C:$F,3,0),"")</f>
        <v/>
      </c>
      <c r="H344" s="19" t="str">
        <f>IFERROR(VLOOKUP($E344,設定!$C:$F,4,0),"")</f>
        <v/>
      </c>
      <c r="I344" s="415"/>
    </row>
    <row r="345" spans="2:9" s="5" customFormat="1" ht="24" customHeight="1" x14ac:dyDescent="0.15">
      <c r="B345" s="9"/>
      <c r="C345" s="19"/>
      <c r="D345" s="17"/>
      <c r="E345" s="7"/>
      <c r="F345" s="11" t="str">
        <f>IFERROR(VLOOKUP($E345,設定!$C:$F,2,0),"")</f>
        <v/>
      </c>
      <c r="G345" s="171" t="str">
        <f>IFERROR(VLOOKUP($E345,設定!$C:$F,3,0),"")</f>
        <v/>
      </c>
      <c r="H345" s="19" t="str">
        <f>IFERROR(VLOOKUP($E345,設定!$C:$F,4,0),"")</f>
        <v/>
      </c>
      <c r="I345" s="415"/>
    </row>
    <row r="346" spans="2:9" s="5" customFormat="1" ht="24" customHeight="1" x14ac:dyDescent="0.15">
      <c r="B346" s="9"/>
      <c r="C346" s="19"/>
      <c r="D346" s="17"/>
      <c r="E346" s="7"/>
      <c r="F346" s="11" t="str">
        <f>IFERROR(VLOOKUP($E346,設定!$C:$F,2,0),"")</f>
        <v/>
      </c>
      <c r="G346" s="171" t="str">
        <f>IFERROR(VLOOKUP($E346,設定!$C:$F,3,0),"")</f>
        <v/>
      </c>
      <c r="H346" s="19" t="str">
        <f>IFERROR(VLOOKUP($E346,設定!$C:$F,4,0),"")</f>
        <v/>
      </c>
      <c r="I346" s="415"/>
    </row>
    <row r="347" spans="2:9" s="5" customFormat="1" ht="24" customHeight="1" x14ac:dyDescent="0.15">
      <c r="B347" s="9"/>
      <c r="C347" s="19"/>
      <c r="D347" s="17"/>
      <c r="E347" s="7"/>
      <c r="F347" s="11" t="str">
        <f>IFERROR(VLOOKUP($E347,設定!$C:$F,2,0),"")</f>
        <v/>
      </c>
      <c r="G347" s="171" t="str">
        <f>IFERROR(VLOOKUP($E347,設定!$C:$F,3,0),"")</f>
        <v/>
      </c>
      <c r="H347" s="19" t="str">
        <f>IFERROR(VLOOKUP($E347,設定!$C:$F,4,0),"")</f>
        <v/>
      </c>
      <c r="I347" s="415"/>
    </row>
    <row r="348" spans="2:9" s="5" customFormat="1" ht="24" customHeight="1" x14ac:dyDescent="0.15">
      <c r="B348" s="9"/>
      <c r="C348" s="19"/>
      <c r="D348" s="17"/>
      <c r="E348" s="7"/>
      <c r="F348" s="11" t="str">
        <f>IFERROR(VLOOKUP($E348,設定!$C:$F,2,0),"")</f>
        <v/>
      </c>
      <c r="G348" s="171" t="str">
        <f>IFERROR(VLOOKUP($E348,設定!$C:$F,3,0),"")</f>
        <v/>
      </c>
      <c r="H348" s="19" t="str">
        <f>IFERROR(VLOOKUP($E348,設定!$C:$F,4,0),"")</f>
        <v/>
      </c>
      <c r="I348" s="415"/>
    </row>
    <row r="349" spans="2:9" s="5" customFormat="1" ht="24" customHeight="1" x14ac:dyDescent="0.15">
      <c r="B349" s="9"/>
      <c r="C349" s="19"/>
      <c r="D349" s="17"/>
      <c r="E349" s="7"/>
      <c r="F349" s="11" t="str">
        <f>IFERROR(VLOOKUP($E349,設定!$C:$F,2,0),"")</f>
        <v/>
      </c>
      <c r="G349" s="171" t="str">
        <f>IFERROR(VLOOKUP($E349,設定!$C:$F,3,0),"")</f>
        <v/>
      </c>
      <c r="H349" s="19" t="str">
        <f>IFERROR(VLOOKUP($E349,設定!$C:$F,4,0),"")</f>
        <v/>
      </c>
      <c r="I349" s="415"/>
    </row>
    <row r="350" spans="2:9" s="5" customFormat="1" ht="24" customHeight="1" x14ac:dyDescent="0.15">
      <c r="B350" s="9"/>
      <c r="C350" s="19"/>
      <c r="D350" s="17"/>
      <c r="E350" s="7"/>
      <c r="F350" s="11" t="str">
        <f>IFERROR(VLOOKUP($E350,設定!$C:$F,2,0),"")</f>
        <v/>
      </c>
      <c r="G350" s="171" t="str">
        <f>IFERROR(VLOOKUP($E350,設定!$C:$F,3,0),"")</f>
        <v/>
      </c>
      <c r="H350" s="19" t="str">
        <f>IFERROR(VLOOKUP($E350,設定!$C:$F,4,0),"")</f>
        <v/>
      </c>
      <c r="I350" s="415"/>
    </row>
    <row r="351" spans="2:9" s="5" customFormat="1" ht="24" customHeight="1" x14ac:dyDescent="0.15">
      <c r="B351" s="9"/>
      <c r="C351" s="19"/>
      <c r="D351" s="17"/>
      <c r="E351" s="7"/>
      <c r="F351" s="11" t="str">
        <f>IFERROR(VLOOKUP($E351,設定!$C:$F,2,0),"")</f>
        <v/>
      </c>
      <c r="G351" s="171" t="str">
        <f>IFERROR(VLOOKUP($E351,設定!$C:$F,3,0),"")</f>
        <v/>
      </c>
      <c r="H351" s="19" t="str">
        <f>IFERROR(VLOOKUP($E351,設定!$C:$F,4,0),"")</f>
        <v/>
      </c>
      <c r="I351" s="415"/>
    </row>
    <row r="352" spans="2:9" s="5" customFormat="1" ht="24" customHeight="1" x14ac:dyDescent="0.15">
      <c r="B352" s="9"/>
      <c r="C352" s="19"/>
      <c r="D352" s="17"/>
      <c r="E352" s="7"/>
      <c r="F352" s="11" t="str">
        <f>IFERROR(VLOOKUP($E352,設定!$C:$F,2,0),"")</f>
        <v/>
      </c>
      <c r="G352" s="171" t="str">
        <f>IFERROR(VLOOKUP($E352,設定!$C:$F,3,0),"")</f>
        <v/>
      </c>
      <c r="H352" s="19" t="str">
        <f>IFERROR(VLOOKUP($E352,設定!$C:$F,4,0),"")</f>
        <v/>
      </c>
      <c r="I352" s="415"/>
    </row>
    <row r="353" spans="2:9" s="5" customFormat="1" ht="24" customHeight="1" x14ac:dyDescent="0.15">
      <c r="B353" s="9"/>
      <c r="C353" s="19"/>
      <c r="D353" s="17"/>
      <c r="E353" s="7"/>
      <c r="F353" s="11" t="str">
        <f>IFERROR(VLOOKUP($E353,設定!$C:$F,2,0),"")</f>
        <v/>
      </c>
      <c r="G353" s="171" t="str">
        <f>IFERROR(VLOOKUP($E353,設定!$C:$F,3,0),"")</f>
        <v/>
      </c>
      <c r="H353" s="19" t="str">
        <f>IFERROR(VLOOKUP($E353,設定!$C:$F,4,0),"")</f>
        <v/>
      </c>
      <c r="I353" s="415"/>
    </row>
    <row r="354" spans="2:9" s="5" customFormat="1" ht="24" customHeight="1" x14ac:dyDescent="0.15">
      <c r="B354" s="9"/>
      <c r="C354" s="19"/>
      <c r="D354" s="17"/>
      <c r="E354" s="7"/>
      <c r="F354" s="11" t="str">
        <f>IFERROR(VLOOKUP($E354,設定!$C:$F,2,0),"")</f>
        <v/>
      </c>
      <c r="G354" s="171" t="str">
        <f>IFERROR(VLOOKUP($E354,設定!$C:$F,3,0),"")</f>
        <v/>
      </c>
      <c r="H354" s="19" t="str">
        <f>IFERROR(VLOOKUP($E354,設定!$C:$F,4,0),"")</f>
        <v/>
      </c>
      <c r="I354" s="415"/>
    </row>
    <row r="355" spans="2:9" s="5" customFormat="1" ht="24" customHeight="1" x14ac:dyDescent="0.15">
      <c r="B355" s="9"/>
      <c r="C355" s="19"/>
      <c r="D355" s="17"/>
      <c r="E355" s="7"/>
      <c r="F355" s="11" t="str">
        <f>IFERROR(VLOOKUP($E355,設定!$C:$F,2,0),"")</f>
        <v/>
      </c>
      <c r="G355" s="171" t="str">
        <f>IFERROR(VLOOKUP($E355,設定!$C:$F,3,0),"")</f>
        <v/>
      </c>
      <c r="H355" s="19" t="str">
        <f>IFERROR(VLOOKUP($E355,設定!$C:$F,4,0),"")</f>
        <v/>
      </c>
      <c r="I355" s="415"/>
    </row>
    <row r="356" spans="2:9" s="5" customFormat="1" ht="24" customHeight="1" x14ac:dyDescent="0.15">
      <c r="B356" s="9"/>
      <c r="C356" s="19"/>
      <c r="D356" s="17"/>
      <c r="E356" s="7"/>
      <c r="F356" s="11" t="str">
        <f>IFERROR(VLOOKUP($E356,設定!$C:$F,2,0),"")</f>
        <v/>
      </c>
      <c r="G356" s="171" t="str">
        <f>IFERROR(VLOOKUP($E356,設定!$C:$F,3,0),"")</f>
        <v/>
      </c>
      <c r="H356" s="19" t="str">
        <f>IFERROR(VLOOKUP($E356,設定!$C:$F,4,0),"")</f>
        <v/>
      </c>
      <c r="I356" s="415"/>
    </row>
    <row r="357" spans="2:9" s="5" customFormat="1" ht="24" customHeight="1" x14ac:dyDescent="0.15">
      <c r="B357" s="9"/>
      <c r="C357" s="19"/>
      <c r="D357" s="17"/>
      <c r="E357" s="7"/>
      <c r="F357" s="11" t="str">
        <f>IFERROR(VLOOKUP($E357,設定!$C:$F,2,0),"")</f>
        <v/>
      </c>
      <c r="G357" s="171" t="str">
        <f>IFERROR(VLOOKUP($E357,設定!$C:$F,3,0),"")</f>
        <v/>
      </c>
      <c r="H357" s="19" t="str">
        <f>IFERROR(VLOOKUP($E357,設定!$C:$F,4,0),"")</f>
        <v/>
      </c>
      <c r="I357" s="415"/>
    </row>
    <row r="358" spans="2:9" s="5" customFormat="1" ht="24" customHeight="1" x14ac:dyDescent="0.15">
      <c r="B358" s="9"/>
      <c r="C358" s="19"/>
      <c r="D358" s="17"/>
      <c r="E358" s="7"/>
      <c r="F358" s="11" t="str">
        <f>IFERROR(VLOOKUP($E358,設定!$C:$F,2,0),"")</f>
        <v/>
      </c>
      <c r="G358" s="171" t="str">
        <f>IFERROR(VLOOKUP($E358,設定!$C:$F,3,0),"")</f>
        <v/>
      </c>
      <c r="H358" s="19" t="str">
        <f>IFERROR(VLOOKUP($E358,設定!$C:$F,4,0),"")</f>
        <v/>
      </c>
      <c r="I358" s="415"/>
    </row>
    <row r="359" spans="2:9" s="5" customFormat="1" ht="24" customHeight="1" x14ac:dyDescent="0.15">
      <c r="B359" s="9"/>
      <c r="C359" s="19"/>
      <c r="D359" s="17"/>
      <c r="E359" s="7"/>
      <c r="F359" s="11" t="str">
        <f>IFERROR(VLOOKUP($E359,設定!$C:$F,2,0),"")</f>
        <v/>
      </c>
      <c r="G359" s="171" t="str">
        <f>IFERROR(VLOOKUP($E359,設定!$C:$F,3,0),"")</f>
        <v/>
      </c>
      <c r="H359" s="19" t="str">
        <f>IFERROR(VLOOKUP($E359,設定!$C:$F,4,0),"")</f>
        <v/>
      </c>
      <c r="I359" s="415"/>
    </row>
    <row r="360" spans="2:9" s="5" customFormat="1" ht="24" customHeight="1" x14ac:dyDescent="0.15">
      <c r="B360" s="9"/>
      <c r="C360" s="19"/>
      <c r="D360" s="17"/>
      <c r="E360" s="7"/>
      <c r="F360" s="11" t="str">
        <f>IFERROR(VLOOKUP($E360,設定!$C:$F,2,0),"")</f>
        <v/>
      </c>
      <c r="G360" s="171" t="str">
        <f>IFERROR(VLOOKUP($E360,設定!$C:$F,3,0),"")</f>
        <v/>
      </c>
      <c r="H360" s="19" t="str">
        <f>IFERROR(VLOOKUP($E360,設定!$C:$F,4,0),"")</f>
        <v/>
      </c>
      <c r="I360" s="415"/>
    </row>
    <row r="361" spans="2:9" s="5" customFormat="1" ht="24" customHeight="1" x14ac:dyDescent="0.15">
      <c r="B361" s="9"/>
      <c r="C361" s="19"/>
      <c r="D361" s="17"/>
      <c r="E361" s="7"/>
      <c r="F361" s="11" t="str">
        <f>IFERROR(VLOOKUP($E361,設定!$C:$F,2,0),"")</f>
        <v/>
      </c>
      <c r="G361" s="171" t="str">
        <f>IFERROR(VLOOKUP($E361,設定!$C:$F,3,0),"")</f>
        <v/>
      </c>
      <c r="H361" s="19" t="str">
        <f>IFERROR(VLOOKUP($E361,設定!$C:$F,4,0),"")</f>
        <v/>
      </c>
      <c r="I361" s="415"/>
    </row>
    <row r="362" spans="2:9" s="5" customFormat="1" ht="24" customHeight="1" x14ac:dyDescent="0.15">
      <c r="B362" s="9"/>
      <c r="C362" s="19"/>
      <c r="D362" s="17"/>
      <c r="E362" s="7"/>
      <c r="F362" s="11" t="str">
        <f>IFERROR(VLOOKUP($E362,設定!$C:$F,2,0),"")</f>
        <v/>
      </c>
      <c r="G362" s="171" t="str">
        <f>IFERROR(VLOOKUP($E362,設定!$C:$F,3,0),"")</f>
        <v/>
      </c>
      <c r="H362" s="19" t="str">
        <f>IFERROR(VLOOKUP($E362,設定!$C:$F,4,0),"")</f>
        <v/>
      </c>
      <c r="I362" s="415"/>
    </row>
    <row r="363" spans="2:9" s="5" customFormat="1" ht="24" customHeight="1" x14ac:dyDescent="0.15">
      <c r="B363" s="9"/>
      <c r="C363" s="19"/>
      <c r="D363" s="17"/>
      <c r="E363" s="7"/>
      <c r="F363" s="11" t="str">
        <f>IFERROR(VLOOKUP($E363,設定!$C:$F,2,0),"")</f>
        <v/>
      </c>
      <c r="G363" s="171" t="str">
        <f>IFERROR(VLOOKUP($E363,設定!$C:$F,3,0),"")</f>
        <v/>
      </c>
      <c r="H363" s="19" t="str">
        <f>IFERROR(VLOOKUP($E363,設定!$C:$F,4,0),"")</f>
        <v/>
      </c>
      <c r="I363" s="415"/>
    </row>
    <row r="364" spans="2:9" s="5" customFormat="1" ht="24" customHeight="1" x14ac:dyDescent="0.15">
      <c r="B364" s="9"/>
      <c r="C364" s="19"/>
      <c r="D364" s="17"/>
      <c r="E364" s="7"/>
      <c r="F364" s="11" t="str">
        <f>IFERROR(VLOOKUP($E364,設定!$C:$F,2,0),"")</f>
        <v/>
      </c>
      <c r="G364" s="171" t="str">
        <f>IFERROR(VLOOKUP($E364,設定!$C:$F,3,0),"")</f>
        <v/>
      </c>
      <c r="H364" s="19" t="str">
        <f>IFERROR(VLOOKUP($E364,設定!$C:$F,4,0),"")</f>
        <v/>
      </c>
      <c r="I364" s="415"/>
    </row>
    <row r="365" spans="2:9" s="5" customFormat="1" ht="24" customHeight="1" x14ac:dyDescent="0.15">
      <c r="B365" s="9"/>
      <c r="C365" s="19"/>
      <c r="D365" s="17"/>
      <c r="E365" s="7"/>
      <c r="F365" s="11" t="str">
        <f>IFERROR(VLOOKUP($E365,設定!$C:$F,2,0),"")</f>
        <v/>
      </c>
      <c r="G365" s="171" t="str">
        <f>IFERROR(VLOOKUP($E365,設定!$C:$F,3,0),"")</f>
        <v/>
      </c>
      <c r="H365" s="19" t="str">
        <f>IFERROR(VLOOKUP($E365,設定!$C:$F,4,0),"")</f>
        <v/>
      </c>
      <c r="I365" s="415"/>
    </row>
    <row r="366" spans="2:9" s="5" customFormat="1" ht="24" customHeight="1" x14ac:dyDescent="0.15">
      <c r="B366" s="9"/>
      <c r="C366" s="19"/>
      <c r="D366" s="17"/>
      <c r="E366" s="7"/>
      <c r="F366" s="11" t="str">
        <f>IFERROR(VLOOKUP($E366,設定!$C:$F,2,0),"")</f>
        <v/>
      </c>
      <c r="G366" s="171" t="str">
        <f>IFERROR(VLOOKUP($E366,設定!$C:$F,3,0),"")</f>
        <v/>
      </c>
      <c r="H366" s="19" t="str">
        <f>IFERROR(VLOOKUP($E366,設定!$C:$F,4,0),"")</f>
        <v/>
      </c>
      <c r="I366" s="415"/>
    </row>
    <row r="367" spans="2:9" s="5" customFormat="1" ht="24" customHeight="1" x14ac:dyDescent="0.15">
      <c r="B367" s="9"/>
      <c r="C367" s="19"/>
      <c r="D367" s="17"/>
      <c r="E367" s="7"/>
      <c r="F367" s="11" t="str">
        <f>IFERROR(VLOOKUP($E367,設定!$C:$F,2,0),"")</f>
        <v/>
      </c>
      <c r="G367" s="171" t="str">
        <f>IFERROR(VLOOKUP($E367,設定!$C:$F,3,0),"")</f>
        <v/>
      </c>
      <c r="H367" s="19" t="str">
        <f>IFERROR(VLOOKUP($E367,設定!$C:$F,4,0),"")</f>
        <v/>
      </c>
      <c r="I367" s="415"/>
    </row>
    <row r="368" spans="2:9" s="5" customFormat="1" ht="24" customHeight="1" x14ac:dyDescent="0.15">
      <c r="B368" s="9"/>
      <c r="C368" s="19"/>
      <c r="D368" s="17"/>
      <c r="E368" s="7"/>
      <c r="F368" s="11" t="str">
        <f>IFERROR(VLOOKUP($E368,設定!$C:$F,2,0),"")</f>
        <v/>
      </c>
      <c r="G368" s="171" t="str">
        <f>IFERROR(VLOOKUP($E368,設定!$C:$F,3,0),"")</f>
        <v/>
      </c>
      <c r="H368" s="19" t="str">
        <f>IFERROR(VLOOKUP($E368,設定!$C:$F,4,0),"")</f>
        <v/>
      </c>
      <c r="I368" s="415"/>
    </row>
    <row r="369" spans="2:9" s="5" customFormat="1" ht="24" customHeight="1" x14ac:dyDescent="0.15">
      <c r="B369" s="9"/>
      <c r="C369" s="19"/>
      <c r="D369" s="17"/>
      <c r="E369" s="7"/>
      <c r="F369" s="11" t="str">
        <f>IFERROR(VLOOKUP($E369,設定!$C:$F,2,0),"")</f>
        <v/>
      </c>
      <c r="G369" s="171" t="str">
        <f>IFERROR(VLOOKUP($E369,設定!$C:$F,3,0),"")</f>
        <v/>
      </c>
      <c r="H369" s="19" t="str">
        <f>IFERROR(VLOOKUP($E369,設定!$C:$F,4,0),"")</f>
        <v/>
      </c>
      <c r="I369" s="415"/>
    </row>
    <row r="370" spans="2:9" s="5" customFormat="1" ht="24" customHeight="1" x14ac:dyDescent="0.15">
      <c r="B370" s="9"/>
      <c r="C370" s="19"/>
      <c r="D370" s="17"/>
      <c r="E370" s="7"/>
      <c r="F370" s="11" t="str">
        <f>IFERROR(VLOOKUP($E370,設定!$C:$F,2,0),"")</f>
        <v/>
      </c>
      <c r="G370" s="171" t="str">
        <f>IFERROR(VLOOKUP($E370,設定!$C:$F,3,0),"")</f>
        <v/>
      </c>
      <c r="H370" s="19" t="str">
        <f>IFERROR(VLOOKUP($E370,設定!$C:$F,4,0),"")</f>
        <v/>
      </c>
      <c r="I370" s="415"/>
    </row>
    <row r="371" spans="2:9" s="5" customFormat="1" ht="24" customHeight="1" x14ac:dyDescent="0.15">
      <c r="B371" s="9"/>
      <c r="C371" s="19"/>
      <c r="D371" s="17"/>
      <c r="E371" s="7"/>
      <c r="F371" s="11" t="str">
        <f>IFERROR(VLOOKUP($E371,設定!$C:$F,2,0),"")</f>
        <v/>
      </c>
      <c r="G371" s="171" t="str">
        <f>IFERROR(VLOOKUP($E371,設定!$C:$F,3,0),"")</f>
        <v/>
      </c>
      <c r="H371" s="19" t="str">
        <f>IFERROR(VLOOKUP($E371,設定!$C:$F,4,0),"")</f>
        <v/>
      </c>
      <c r="I371" s="415"/>
    </row>
    <row r="372" spans="2:9" s="5" customFormat="1" ht="24" customHeight="1" x14ac:dyDescent="0.15">
      <c r="B372" s="9"/>
      <c r="C372" s="19"/>
      <c r="D372" s="17"/>
      <c r="E372" s="7"/>
      <c r="F372" s="11" t="str">
        <f>IFERROR(VLOOKUP($E372,設定!$C:$F,2,0),"")</f>
        <v/>
      </c>
      <c r="G372" s="171" t="str">
        <f>IFERROR(VLOOKUP($E372,設定!$C:$F,3,0),"")</f>
        <v/>
      </c>
      <c r="H372" s="19" t="str">
        <f>IFERROR(VLOOKUP($E372,設定!$C:$F,4,0),"")</f>
        <v/>
      </c>
      <c r="I372" s="415"/>
    </row>
    <row r="373" spans="2:9" s="5" customFormat="1" ht="24" customHeight="1" x14ac:dyDescent="0.15">
      <c r="B373" s="9"/>
      <c r="C373" s="19"/>
      <c r="D373" s="17"/>
      <c r="E373" s="7"/>
      <c r="F373" s="11" t="str">
        <f>IFERROR(VLOOKUP($E373,設定!$C:$F,2,0),"")</f>
        <v/>
      </c>
      <c r="G373" s="171" t="str">
        <f>IFERROR(VLOOKUP($E373,設定!$C:$F,3,0),"")</f>
        <v/>
      </c>
      <c r="H373" s="19" t="str">
        <f>IFERROR(VLOOKUP($E373,設定!$C:$F,4,0),"")</f>
        <v/>
      </c>
      <c r="I373" s="415"/>
    </row>
    <row r="374" spans="2:9" s="5" customFormat="1" ht="24" customHeight="1" x14ac:dyDescent="0.15">
      <c r="B374" s="9"/>
      <c r="C374" s="19"/>
      <c r="D374" s="17"/>
      <c r="E374" s="7"/>
      <c r="F374" s="11" t="str">
        <f>IFERROR(VLOOKUP($E374,設定!$C:$F,2,0),"")</f>
        <v/>
      </c>
      <c r="G374" s="171" t="str">
        <f>IFERROR(VLOOKUP($E374,設定!$C:$F,3,0),"")</f>
        <v/>
      </c>
      <c r="H374" s="19" t="str">
        <f>IFERROR(VLOOKUP($E374,設定!$C:$F,4,0),"")</f>
        <v/>
      </c>
      <c r="I374" s="415"/>
    </row>
    <row r="375" spans="2:9" s="5" customFormat="1" ht="24" customHeight="1" x14ac:dyDescent="0.15">
      <c r="B375" s="9"/>
      <c r="C375" s="19"/>
      <c r="D375" s="17"/>
      <c r="E375" s="7"/>
      <c r="F375" s="11" t="str">
        <f>IFERROR(VLOOKUP($E375,設定!$C:$F,2,0),"")</f>
        <v/>
      </c>
      <c r="G375" s="171" t="str">
        <f>IFERROR(VLOOKUP($E375,設定!$C:$F,3,0),"")</f>
        <v/>
      </c>
      <c r="H375" s="19" t="str">
        <f>IFERROR(VLOOKUP($E375,設定!$C:$F,4,0),"")</f>
        <v/>
      </c>
      <c r="I375" s="415"/>
    </row>
    <row r="376" spans="2:9" s="5" customFormat="1" ht="24" customHeight="1" x14ac:dyDescent="0.15">
      <c r="B376" s="9"/>
      <c r="C376" s="19"/>
      <c r="D376" s="17"/>
      <c r="E376" s="7"/>
      <c r="F376" s="11" t="str">
        <f>IFERROR(VLOOKUP($E376,設定!$C:$F,2,0),"")</f>
        <v/>
      </c>
      <c r="G376" s="171" t="str">
        <f>IFERROR(VLOOKUP($E376,設定!$C:$F,3,0),"")</f>
        <v/>
      </c>
      <c r="H376" s="19" t="str">
        <f>IFERROR(VLOOKUP($E376,設定!$C:$F,4,0),"")</f>
        <v/>
      </c>
      <c r="I376" s="415"/>
    </row>
    <row r="377" spans="2:9" s="5" customFormat="1" ht="24" customHeight="1" x14ac:dyDescent="0.15">
      <c r="B377" s="9"/>
      <c r="C377" s="19"/>
      <c r="D377" s="17"/>
      <c r="E377" s="7"/>
      <c r="F377" s="11" t="str">
        <f>IFERROR(VLOOKUP($E377,設定!$C:$F,2,0),"")</f>
        <v/>
      </c>
      <c r="G377" s="171" t="str">
        <f>IFERROR(VLOOKUP($E377,設定!$C:$F,3,0),"")</f>
        <v/>
      </c>
      <c r="H377" s="19" t="str">
        <f>IFERROR(VLOOKUP($E377,設定!$C:$F,4,0),"")</f>
        <v/>
      </c>
      <c r="I377" s="415"/>
    </row>
    <row r="378" spans="2:9" s="5" customFormat="1" ht="24" customHeight="1" x14ac:dyDescent="0.15">
      <c r="B378" s="9"/>
      <c r="C378" s="19"/>
      <c r="D378" s="17"/>
      <c r="E378" s="7"/>
      <c r="F378" s="11" t="str">
        <f>IFERROR(VLOOKUP($E378,設定!$C:$F,2,0),"")</f>
        <v/>
      </c>
      <c r="G378" s="171" t="str">
        <f>IFERROR(VLOOKUP($E378,設定!$C:$F,3,0),"")</f>
        <v/>
      </c>
      <c r="H378" s="19" t="str">
        <f>IFERROR(VLOOKUP($E378,設定!$C:$F,4,0),"")</f>
        <v/>
      </c>
      <c r="I378" s="415"/>
    </row>
    <row r="379" spans="2:9" s="5" customFormat="1" ht="24" customHeight="1" x14ac:dyDescent="0.15">
      <c r="B379" s="9"/>
      <c r="C379" s="19"/>
      <c r="D379" s="17"/>
      <c r="E379" s="7"/>
      <c r="F379" s="11" t="str">
        <f>IFERROR(VLOOKUP($E379,設定!$C:$F,2,0),"")</f>
        <v/>
      </c>
      <c r="G379" s="171" t="str">
        <f>IFERROR(VLOOKUP($E379,設定!$C:$F,3,0),"")</f>
        <v/>
      </c>
      <c r="H379" s="19" t="str">
        <f>IFERROR(VLOOKUP($E379,設定!$C:$F,4,0),"")</f>
        <v/>
      </c>
      <c r="I379" s="415"/>
    </row>
    <row r="380" spans="2:9" s="5" customFormat="1" ht="24" customHeight="1" x14ac:dyDescent="0.15">
      <c r="B380" s="9"/>
      <c r="C380" s="19"/>
      <c r="D380" s="17"/>
      <c r="E380" s="7"/>
      <c r="F380" s="11" t="str">
        <f>IFERROR(VLOOKUP($E380,設定!$C:$F,2,0),"")</f>
        <v/>
      </c>
      <c r="G380" s="171" t="str">
        <f>IFERROR(VLOOKUP($E380,設定!$C:$F,3,0),"")</f>
        <v/>
      </c>
      <c r="H380" s="19" t="str">
        <f>IFERROR(VLOOKUP($E380,設定!$C:$F,4,0),"")</f>
        <v/>
      </c>
      <c r="I380" s="415"/>
    </row>
    <row r="381" spans="2:9" s="5" customFormat="1" ht="24" customHeight="1" x14ac:dyDescent="0.15">
      <c r="B381" s="9"/>
      <c r="C381" s="19"/>
      <c r="D381" s="17"/>
      <c r="E381" s="7"/>
      <c r="F381" s="11" t="str">
        <f>IFERROR(VLOOKUP($E381,設定!$C:$F,2,0),"")</f>
        <v/>
      </c>
      <c r="G381" s="171" t="str">
        <f>IFERROR(VLOOKUP($E381,設定!$C:$F,3,0),"")</f>
        <v/>
      </c>
      <c r="H381" s="19" t="str">
        <f>IFERROR(VLOOKUP($E381,設定!$C:$F,4,0),"")</f>
        <v/>
      </c>
      <c r="I381" s="415"/>
    </row>
    <row r="382" spans="2:9" s="5" customFormat="1" ht="24" customHeight="1" x14ac:dyDescent="0.15">
      <c r="B382" s="9"/>
      <c r="C382" s="19"/>
      <c r="D382" s="17"/>
      <c r="E382" s="7"/>
      <c r="F382" s="11" t="str">
        <f>IFERROR(VLOOKUP($E382,設定!$C:$F,2,0),"")</f>
        <v/>
      </c>
      <c r="G382" s="171" t="str">
        <f>IFERROR(VLOOKUP($E382,設定!$C:$F,3,0),"")</f>
        <v/>
      </c>
      <c r="H382" s="19" t="str">
        <f>IFERROR(VLOOKUP($E382,設定!$C:$F,4,0),"")</f>
        <v/>
      </c>
      <c r="I382" s="415"/>
    </row>
    <row r="383" spans="2:9" s="5" customFormat="1" ht="24" customHeight="1" x14ac:dyDescent="0.15">
      <c r="B383" s="9"/>
      <c r="C383" s="19"/>
      <c r="D383" s="17"/>
      <c r="E383" s="7"/>
      <c r="F383" s="11" t="str">
        <f>IFERROR(VLOOKUP($E383,設定!$C:$F,2,0),"")</f>
        <v/>
      </c>
      <c r="G383" s="171" t="str">
        <f>IFERROR(VLOOKUP($E383,設定!$C:$F,3,0),"")</f>
        <v/>
      </c>
      <c r="H383" s="19" t="str">
        <f>IFERROR(VLOOKUP($E383,設定!$C:$F,4,0),"")</f>
        <v/>
      </c>
      <c r="I383" s="415"/>
    </row>
    <row r="384" spans="2:9" s="5" customFormat="1" ht="24" customHeight="1" x14ac:dyDescent="0.15">
      <c r="B384" s="9"/>
      <c r="C384" s="19"/>
      <c r="D384" s="17"/>
      <c r="E384" s="7"/>
      <c r="F384" s="11" t="str">
        <f>IFERROR(VLOOKUP($E384,設定!$C:$F,2,0),"")</f>
        <v/>
      </c>
      <c r="G384" s="171" t="str">
        <f>IFERROR(VLOOKUP($E384,設定!$C:$F,3,0),"")</f>
        <v/>
      </c>
      <c r="H384" s="19" t="str">
        <f>IFERROR(VLOOKUP($E384,設定!$C:$F,4,0),"")</f>
        <v/>
      </c>
      <c r="I384" s="415"/>
    </row>
    <row r="385" spans="2:9" s="5" customFormat="1" ht="24" customHeight="1" x14ac:dyDescent="0.15">
      <c r="B385" s="9"/>
      <c r="C385" s="19"/>
      <c r="D385" s="17"/>
      <c r="E385" s="7"/>
      <c r="F385" s="11" t="str">
        <f>IFERROR(VLOOKUP($E385,設定!$C:$F,2,0),"")</f>
        <v/>
      </c>
      <c r="G385" s="171" t="str">
        <f>IFERROR(VLOOKUP($E385,設定!$C:$F,3,0),"")</f>
        <v/>
      </c>
      <c r="H385" s="19" t="str">
        <f>IFERROR(VLOOKUP($E385,設定!$C:$F,4,0),"")</f>
        <v/>
      </c>
      <c r="I385" s="415"/>
    </row>
    <row r="386" spans="2:9" s="5" customFormat="1" ht="24" customHeight="1" x14ac:dyDescent="0.15">
      <c r="B386" s="9"/>
      <c r="C386" s="19"/>
      <c r="D386" s="17"/>
      <c r="E386" s="7"/>
      <c r="F386" s="11" t="str">
        <f>IFERROR(VLOOKUP($E386,設定!$C:$F,2,0),"")</f>
        <v/>
      </c>
      <c r="G386" s="171" t="str">
        <f>IFERROR(VLOOKUP($E386,設定!$C:$F,3,0),"")</f>
        <v/>
      </c>
      <c r="H386" s="19" t="str">
        <f>IFERROR(VLOOKUP($E386,設定!$C:$F,4,0),"")</f>
        <v/>
      </c>
      <c r="I386" s="415"/>
    </row>
    <row r="387" spans="2:9" s="5" customFormat="1" ht="24" customHeight="1" x14ac:dyDescent="0.15">
      <c r="B387" s="9"/>
      <c r="C387" s="19"/>
      <c r="D387" s="17"/>
      <c r="E387" s="7"/>
      <c r="F387" s="11" t="str">
        <f>IFERROR(VLOOKUP($E387,設定!$C:$F,2,0),"")</f>
        <v/>
      </c>
      <c r="G387" s="171" t="str">
        <f>IFERROR(VLOOKUP($E387,設定!$C:$F,3,0),"")</f>
        <v/>
      </c>
      <c r="H387" s="19" t="str">
        <f>IFERROR(VLOOKUP($E387,設定!$C:$F,4,0),"")</f>
        <v/>
      </c>
      <c r="I387" s="415"/>
    </row>
    <row r="388" spans="2:9" s="5" customFormat="1" ht="24" customHeight="1" x14ac:dyDescent="0.15">
      <c r="B388" s="9"/>
      <c r="C388" s="19"/>
      <c r="D388" s="17"/>
      <c r="E388" s="7"/>
      <c r="F388" s="11" t="str">
        <f>IFERROR(VLOOKUP($E388,設定!$C:$F,2,0),"")</f>
        <v/>
      </c>
      <c r="G388" s="171" t="str">
        <f>IFERROR(VLOOKUP($E388,設定!$C:$F,3,0),"")</f>
        <v/>
      </c>
      <c r="H388" s="19" t="str">
        <f>IFERROR(VLOOKUP($E388,設定!$C:$F,4,0),"")</f>
        <v/>
      </c>
      <c r="I388" s="415"/>
    </row>
    <row r="389" spans="2:9" s="5" customFormat="1" ht="24" customHeight="1" x14ac:dyDescent="0.15">
      <c r="B389" s="9"/>
      <c r="C389" s="19"/>
      <c r="D389" s="17"/>
      <c r="E389" s="7"/>
      <c r="F389" s="11" t="str">
        <f>IFERROR(VLOOKUP($E389,設定!$C:$F,2,0),"")</f>
        <v/>
      </c>
      <c r="G389" s="171" t="str">
        <f>IFERROR(VLOOKUP($E389,設定!$C:$F,3,0),"")</f>
        <v/>
      </c>
      <c r="H389" s="19" t="str">
        <f>IFERROR(VLOOKUP($E389,設定!$C:$F,4,0),"")</f>
        <v/>
      </c>
      <c r="I389" s="415"/>
    </row>
    <row r="390" spans="2:9" s="5" customFormat="1" ht="24" customHeight="1" x14ac:dyDescent="0.15">
      <c r="B390" s="9"/>
      <c r="C390" s="19"/>
      <c r="D390" s="17"/>
      <c r="E390" s="7"/>
      <c r="F390" s="11" t="str">
        <f>IFERROR(VLOOKUP($E390,設定!$C:$F,2,0),"")</f>
        <v/>
      </c>
      <c r="G390" s="171" t="str">
        <f>IFERROR(VLOOKUP($E390,設定!$C:$F,3,0),"")</f>
        <v/>
      </c>
      <c r="H390" s="19" t="str">
        <f>IFERROR(VLOOKUP($E390,設定!$C:$F,4,0),"")</f>
        <v/>
      </c>
      <c r="I390" s="415"/>
    </row>
    <row r="391" spans="2:9" s="5" customFormat="1" ht="24" customHeight="1" x14ac:dyDescent="0.15">
      <c r="B391" s="9"/>
      <c r="C391" s="19"/>
      <c r="D391" s="17"/>
      <c r="E391" s="7"/>
      <c r="F391" s="11" t="str">
        <f>IFERROR(VLOOKUP($E391,設定!$C:$F,2,0),"")</f>
        <v/>
      </c>
      <c r="G391" s="171" t="str">
        <f>IFERROR(VLOOKUP($E391,設定!$C:$F,3,0),"")</f>
        <v/>
      </c>
      <c r="H391" s="19" t="str">
        <f>IFERROR(VLOOKUP($E391,設定!$C:$F,4,0),"")</f>
        <v/>
      </c>
      <c r="I391" s="415"/>
    </row>
    <row r="392" spans="2:9" s="5" customFormat="1" ht="24" customHeight="1" x14ac:dyDescent="0.15">
      <c r="B392" s="9"/>
      <c r="C392" s="19"/>
      <c r="D392" s="17"/>
      <c r="E392" s="7"/>
      <c r="F392" s="11" t="str">
        <f>IFERROR(VLOOKUP($E392,設定!$C:$F,2,0),"")</f>
        <v/>
      </c>
      <c r="G392" s="171" t="str">
        <f>IFERROR(VLOOKUP($E392,設定!$C:$F,3,0),"")</f>
        <v/>
      </c>
      <c r="H392" s="19" t="str">
        <f>IFERROR(VLOOKUP($E392,設定!$C:$F,4,0),"")</f>
        <v/>
      </c>
      <c r="I392" s="415"/>
    </row>
    <row r="393" spans="2:9" s="5" customFormat="1" ht="24" customHeight="1" x14ac:dyDescent="0.15">
      <c r="B393" s="9"/>
      <c r="C393" s="19"/>
      <c r="D393" s="17"/>
      <c r="E393" s="7"/>
      <c r="F393" s="11" t="str">
        <f>IFERROR(VLOOKUP($E393,設定!$C:$F,2,0),"")</f>
        <v/>
      </c>
      <c r="G393" s="171" t="str">
        <f>IFERROR(VLOOKUP($E393,設定!$C:$F,3,0),"")</f>
        <v/>
      </c>
      <c r="H393" s="19" t="str">
        <f>IFERROR(VLOOKUP($E393,設定!$C:$F,4,0),"")</f>
        <v/>
      </c>
      <c r="I393" s="415"/>
    </row>
    <row r="394" spans="2:9" s="5" customFormat="1" ht="24" customHeight="1" x14ac:dyDescent="0.15">
      <c r="B394" s="9"/>
      <c r="C394" s="19"/>
      <c r="D394" s="17"/>
      <c r="E394" s="7"/>
      <c r="F394" s="11" t="str">
        <f>IFERROR(VLOOKUP($E394,設定!$C:$F,2,0),"")</f>
        <v/>
      </c>
      <c r="G394" s="171" t="str">
        <f>IFERROR(VLOOKUP($E394,設定!$C:$F,3,0),"")</f>
        <v/>
      </c>
      <c r="H394" s="19" t="str">
        <f>IFERROR(VLOOKUP($E394,設定!$C:$F,4,0),"")</f>
        <v/>
      </c>
      <c r="I394" s="415"/>
    </row>
    <row r="395" spans="2:9" s="5" customFormat="1" ht="24" customHeight="1" x14ac:dyDescent="0.15">
      <c r="B395" s="9"/>
      <c r="C395" s="19"/>
      <c r="D395" s="17"/>
      <c r="E395" s="7"/>
      <c r="F395" s="11" t="str">
        <f>IFERROR(VLOOKUP($E395,設定!$C:$F,2,0),"")</f>
        <v/>
      </c>
      <c r="G395" s="171" t="str">
        <f>IFERROR(VLOOKUP($E395,設定!$C:$F,3,0),"")</f>
        <v/>
      </c>
      <c r="H395" s="19" t="str">
        <f>IFERROR(VLOOKUP($E395,設定!$C:$F,4,0),"")</f>
        <v/>
      </c>
      <c r="I395" s="415"/>
    </row>
    <row r="396" spans="2:9" s="5" customFormat="1" ht="24" customHeight="1" x14ac:dyDescent="0.15">
      <c r="B396" s="9"/>
      <c r="C396" s="19"/>
      <c r="D396" s="17"/>
      <c r="E396" s="7"/>
      <c r="F396" s="11" t="str">
        <f>IFERROR(VLOOKUP($E396,設定!$C:$F,2,0),"")</f>
        <v/>
      </c>
      <c r="G396" s="171" t="str">
        <f>IFERROR(VLOOKUP($E396,設定!$C:$F,3,0),"")</f>
        <v/>
      </c>
      <c r="H396" s="19" t="str">
        <f>IFERROR(VLOOKUP($E396,設定!$C:$F,4,0),"")</f>
        <v/>
      </c>
      <c r="I396" s="415"/>
    </row>
    <row r="397" spans="2:9" s="5" customFormat="1" ht="24" customHeight="1" x14ac:dyDescent="0.15">
      <c r="B397" s="9"/>
      <c r="C397" s="19"/>
      <c r="D397" s="17"/>
      <c r="E397" s="7"/>
      <c r="F397" s="11" t="str">
        <f>IFERROR(VLOOKUP($E397,設定!$C:$F,2,0),"")</f>
        <v/>
      </c>
      <c r="G397" s="171" t="str">
        <f>IFERROR(VLOOKUP($E397,設定!$C:$F,3,0),"")</f>
        <v/>
      </c>
      <c r="H397" s="19" t="str">
        <f>IFERROR(VLOOKUP($E397,設定!$C:$F,4,0),"")</f>
        <v/>
      </c>
      <c r="I397" s="415"/>
    </row>
    <row r="398" spans="2:9" s="5" customFormat="1" ht="24" customHeight="1" x14ac:dyDescent="0.15">
      <c r="B398" s="9"/>
      <c r="C398" s="19"/>
      <c r="D398" s="17"/>
      <c r="E398" s="7"/>
      <c r="F398" s="11" t="str">
        <f>IFERROR(VLOOKUP($E398,設定!$C:$F,2,0),"")</f>
        <v/>
      </c>
      <c r="G398" s="171" t="str">
        <f>IFERROR(VLOOKUP($E398,設定!$C:$F,3,0),"")</f>
        <v/>
      </c>
      <c r="H398" s="19" t="str">
        <f>IFERROR(VLOOKUP($E398,設定!$C:$F,4,0),"")</f>
        <v/>
      </c>
      <c r="I398" s="415"/>
    </row>
    <row r="399" spans="2:9" s="5" customFormat="1" ht="24" customHeight="1" x14ac:dyDescent="0.15">
      <c r="B399" s="9"/>
      <c r="C399" s="19"/>
      <c r="D399" s="17"/>
      <c r="E399" s="7"/>
      <c r="F399" s="11" t="str">
        <f>IFERROR(VLOOKUP($E399,設定!$C:$F,2,0),"")</f>
        <v/>
      </c>
      <c r="G399" s="171" t="str">
        <f>IFERROR(VLOOKUP($E399,設定!$C:$F,3,0),"")</f>
        <v/>
      </c>
      <c r="H399" s="19" t="str">
        <f>IFERROR(VLOOKUP($E399,設定!$C:$F,4,0),"")</f>
        <v/>
      </c>
      <c r="I399" s="415"/>
    </row>
    <row r="400" spans="2:9" s="5" customFormat="1" ht="24" customHeight="1" x14ac:dyDescent="0.15">
      <c r="B400" s="9"/>
      <c r="C400" s="19"/>
      <c r="D400" s="17"/>
      <c r="E400" s="7"/>
      <c r="F400" s="11" t="str">
        <f>IFERROR(VLOOKUP($E400,設定!$C:$F,2,0),"")</f>
        <v/>
      </c>
      <c r="G400" s="171" t="str">
        <f>IFERROR(VLOOKUP($E400,設定!$C:$F,3,0),"")</f>
        <v/>
      </c>
      <c r="H400" s="19" t="str">
        <f>IFERROR(VLOOKUP($E400,設定!$C:$F,4,0),"")</f>
        <v/>
      </c>
      <c r="I400" s="415"/>
    </row>
    <row r="401" spans="2:9" s="5" customFormat="1" ht="24" customHeight="1" x14ac:dyDescent="0.15">
      <c r="B401" s="9"/>
      <c r="C401" s="19"/>
      <c r="D401" s="17"/>
      <c r="E401" s="7"/>
      <c r="F401" s="11" t="str">
        <f>IFERROR(VLOOKUP($E401,設定!$C:$F,2,0),"")</f>
        <v/>
      </c>
      <c r="G401" s="171" t="str">
        <f>IFERROR(VLOOKUP($E401,設定!$C:$F,3,0),"")</f>
        <v/>
      </c>
      <c r="H401" s="19" t="str">
        <f>IFERROR(VLOOKUP($E401,設定!$C:$F,4,0),"")</f>
        <v/>
      </c>
      <c r="I401" s="415"/>
    </row>
    <row r="402" spans="2:9" s="5" customFormat="1" ht="24" customHeight="1" x14ac:dyDescent="0.15">
      <c r="B402" s="9"/>
      <c r="C402" s="19"/>
      <c r="D402" s="17"/>
      <c r="E402" s="7"/>
      <c r="F402" s="11" t="str">
        <f>IFERROR(VLOOKUP($E402,設定!$C:$F,2,0),"")</f>
        <v/>
      </c>
      <c r="G402" s="171" t="str">
        <f>IFERROR(VLOOKUP($E402,設定!$C:$F,3,0),"")</f>
        <v/>
      </c>
      <c r="H402" s="19" t="str">
        <f>IFERROR(VLOOKUP($E402,設定!$C:$F,4,0),"")</f>
        <v/>
      </c>
      <c r="I402" s="415"/>
    </row>
    <row r="403" spans="2:9" s="5" customFormat="1" ht="24" customHeight="1" x14ac:dyDescent="0.15">
      <c r="B403" s="9"/>
      <c r="C403" s="19"/>
      <c r="D403" s="17"/>
      <c r="E403" s="7"/>
      <c r="F403" s="11" t="str">
        <f>IFERROR(VLOOKUP($E403,設定!$C:$F,2,0),"")</f>
        <v/>
      </c>
      <c r="G403" s="171" t="str">
        <f>IFERROR(VLOOKUP($E403,設定!$C:$F,3,0),"")</f>
        <v/>
      </c>
      <c r="H403" s="19" t="str">
        <f>IFERROR(VLOOKUP($E403,設定!$C:$F,4,0),"")</f>
        <v/>
      </c>
      <c r="I403" s="415"/>
    </row>
    <row r="404" spans="2:9" s="5" customFormat="1" ht="24" customHeight="1" x14ac:dyDescent="0.15">
      <c r="B404" s="9"/>
      <c r="C404" s="19"/>
      <c r="D404" s="17"/>
      <c r="E404" s="7"/>
      <c r="F404" s="11" t="str">
        <f>IFERROR(VLOOKUP($E404,設定!$C:$F,2,0),"")</f>
        <v/>
      </c>
      <c r="G404" s="171" t="str">
        <f>IFERROR(VLOOKUP($E404,設定!$C:$F,3,0),"")</f>
        <v/>
      </c>
      <c r="H404" s="19" t="str">
        <f>IFERROR(VLOOKUP($E404,設定!$C:$F,4,0),"")</f>
        <v/>
      </c>
      <c r="I404" s="415"/>
    </row>
    <row r="405" spans="2:9" s="5" customFormat="1" ht="24" customHeight="1" x14ac:dyDescent="0.15">
      <c r="B405" s="9"/>
      <c r="C405" s="19"/>
      <c r="D405" s="17"/>
      <c r="E405" s="7"/>
      <c r="F405" s="11" t="str">
        <f>IFERROR(VLOOKUP($E405,設定!$C:$F,2,0),"")</f>
        <v/>
      </c>
      <c r="G405" s="171" t="str">
        <f>IFERROR(VLOOKUP($E405,設定!$C:$F,3,0),"")</f>
        <v/>
      </c>
      <c r="H405" s="19" t="str">
        <f>IFERROR(VLOOKUP($E405,設定!$C:$F,4,0),"")</f>
        <v/>
      </c>
      <c r="I405" s="415"/>
    </row>
    <row r="406" spans="2:9" s="5" customFormat="1" ht="24" customHeight="1" x14ac:dyDescent="0.15">
      <c r="B406" s="9"/>
      <c r="C406" s="19"/>
      <c r="D406" s="17"/>
      <c r="E406" s="7"/>
      <c r="F406" s="11" t="str">
        <f>IFERROR(VLOOKUP($E406,設定!$C:$F,2,0),"")</f>
        <v/>
      </c>
      <c r="G406" s="171" t="str">
        <f>IFERROR(VLOOKUP($E406,設定!$C:$F,3,0),"")</f>
        <v/>
      </c>
      <c r="H406" s="19" t="str">
        <f>IFERROR(VLOOKUP($E406,設定!$C:$F,4,0),"")</f>
        <v/>
      </c>
      <c r="I406" s="415"/>
    </row>
    <row r="407" spans="2:9" s="5" customFormat="1" ht="24" customHeight="1" x14ac:dyDescent="0.15">
      <c r="B407" s="9"/>
      <c r="C407" s="19"/>
      <c r="D407" s="17"/>
      <c r="E407" s="7"/>
      <c r="F407" s="11" t="str">
        <f>IFERROR(VLOOKUP($E407,設定!$C:$F,2,0),"")</f>
        <v/>
      </c>
      <c r="G407" s="171" t="str">
        <f>IFERROR(VLOOKUP($E407,設定!$C:$F,3,0),"")</f>
        <v/>
      </c>
      <c r="H407" s="19" t="str">
        <f>IFERROR(VLOOKUP($E407,設定!$C:$F,4,0),"")</f>
        <v/>
      </c>
      <c r="I407" s="415"/>
    </row>
    <row r="408" spans="2:9" s="5" customFormat="1" ht="24" customHeight="1" x14ac:dyDescent="0.15">
      <c r="B408" s="9"/>
      <c r="C408" s="19"/>
      <c r="D408" s="17"/>
      <c r="E408" s="7"/>
      <c r="F408" s="11" t="str">
        <f>IFERROR(VLOOKUP($E408,設定!$C:$F,2,0),"")</f>
        <v/>
      </c>
      <c r="G408" s="171" t="str">
        <f>IFERROR(VLOOKUP($E408,設定!$C:$F,3,0),"")</f>
        <v/>
      </c>
      <c r="H408" s="19" t="str">
        <f>IFERROR(VLOOKUP($E408,設定!$C:$F,4,0),"")</f>
        <v/>
      </c>
      <c r="I408" s="415"/>
    </row>
    <row r="409" spans="2:9" s="5" customFormat="1" ht="24" customHeight="1" x14ac:dyDescent="0.15">
      <c r="B409" s="9"/>
      <c r="C409" s="19"/>
      <c r="D409" s="17"/>
      <c r="E409" s="7"/>
      <c r="F409" s="11" t="str">
        <f>IFERROR(VLOOKUP($E409,設定!$C:$F,2,0),"")</f>
        <v/>
      </c>
      <c r="G409" s="171" t="str">
        <f>IFERROR(VLOOKUP($E409,設定!$C:$F,3,0),"")</f>
        <v/>
      </c>
      <c r="H409" s="19" t="str">
        <f>IFERROR(VLOOKUP($E409,設定!$C:$F,4,0),"")</f>
        <v/>
      </c>
      <c r="I409" s="415"/>
    </row>
    <row r="410" spans="2:9" s="5" customFormat="1" ht="24" customHeight="1" x14ac:dyDescent="0.15">
      <c r="B410" s="9"/>
      <c r="C410" s="19"/>
      <c r="D410" s="17"/>
      <c r="E410" s="7"/>
      <c r="F410" s="11" t="str">
        <f>IFERROR(VLOOKUP($E410,設定!$C:$F,2,0),"")</f>
        <v/>
      </c>
      <c r="G410" s="171" t="str">
        <f>IFERROR(VLOOKUP($E410,設定!$C:$F,3,0),"")</f>
        <v/>
      </c>
      <c r="H410" s="19" t="str">
        <f>IFERROR(VLOOKUP($E410,設定!$C:$F,4,0),"")</f>
        <v/>
      </c>
      <c r="I410" s="415"/>
    </row>
    <row r="411" spans="2:9" s="5" customFormat="1" ht="24" customHeight="1" x14ac:dyDescent="0.15">
      <c r="B411" s="9"/>
      <c r="C411" s="19"/>
      <c r="D411" s="17"/>
      <c r="E411" s="7"/>
      <c r="F411" s="11" t="str">
        <f>IFERROR(VLOOKUP($E411,設定!$C:$F,2,0),"")</f>
        <v/>
      </c>
      <c r="G411" s="171" t="str">
        <f>IFERROR(VLOOKUP($E411,設定!$C:$F,3,0),"")</f>
        <v/>
      </c>
      <c r="H411" s="19" t="str">
        <f>IFERROR(VLOOKUP($E411,設定!$C:$F,4,0),"")</f>
        <v/>
      </c>
      <c r="I411" s="415"/>
    </row>
    <row r="412" spans="2:9" s="5" customFormat="1" ht="24" customHeight="1" x14ac:dyDescent="0.15">
      <c r="B412" s="9"/>
      <c r="C412" s="19"/>
      <c r="D412" s="17"/>
      <c r="E412" s="7"/>
      <c r="F412" s="11" t="str">
        <f>IFERROR(VLOOKUP($E412,設定!$C:$F,2,0),"")</f>
        <v/>
      </c>
      <c r="G412" s="171" t="str">
        <f>IFERROR(VLOOKUP($E412,設定!$C:$F,3,0),"")</f>
        <v/>
      </c>
      <c r="H412" s="19" t="str">
        <f>IFERROR(VLOOKUP($E412,設定!$C:$F,4,0),"")</f>
        <v/>
      </c>
      <c r="I412" s="415"/>
    </row>
    <row r="413" spans="2:9" s="5" customFormat="1" ht="24" customHeight="1" x14ac:dyDescent="0.15">
      <c r="B413" s="9"/>
      <c r="C413" s="19"/>
      <c r="D413" s="17"/>
      <c r="E413" s="7"/>
      <c r="F413" s="11" t="str">
        <f>IFERROR(VLOOKUP($E413,設定!$C:$F,2,0),"")</f>
        <v/>
      </c>
      <c r="G413" s="171" t="str">
        <f>IFERROR(VLOOKUP($E413,設定!$C:$F,3,0),"")</f>
        <v/>
      </c>
      <c r="H413" s="19" t="str">
        <f>IFERROR(VLOOKUP($E413,設定!$C:$F,4,0),"")</f>
        <v/>
      </c>
      <c r="I413" s="415"/>
    </row>
    <row r="414" spans="2:9" s="5" customFormat="1" ht="24" customHeight="1" x14ac:dyDescent="0.15">
      <c r="B414" s="9"/>
      <c r="C414" s="19"/>
      <c r="D414" s="17"/>
      <c r="E414" s="7"/>
      <c r="F414" s="11" t="str">
        <f>IFERROR(VLOOKUP($E414,設定!$C:$F,2,0),"")</f>
        <v/>
      </c>
      <c r="G414" s="171" t="str">
        <f>IFERROR(VLOOKUP($E414,設定!$C:$F,3,0),"")</f>
        <v/>
      </c>
      <c r="H414" s="19" t="str">
        <f>IFERROR(VLOOKUP($E414,設定!$C:$F,4,0),"")</f>
        <v/>
      </c>
      <c r="I414" s="415"/>
    </row>
    <row r="415" spans="2:9" s="5" customFormat="1" ht="24" customHeight="1" x14ac:dyDescent="0.15">
      <c r="B415" s="9"/>
      <c r="C415" s="19"/>
      <c r="D415" s="17"/>
      <c r="E415" s="7"/>
      <c r="F415" s="11" t="str">
        <f>IFERROR(VLOOKUP($E415,設定!$C:$F,2,0),"")</f>
        <v/>
      </c>
      <c r="G415" s="171" t="str">
        <f>IFERROR(VLOOKUP($E415,設定!$C:$F,3,0),"")</f>
        <v/>
      </c>
      <c r="H415" s="19" t="str">
        <f>IFERROR(VLOOKUP($E415,設定!$C:$F,4,0),"")</f>
        <v/>
      </c>
      <c r="I415" s="415"/>
    </row>
    <row r="416" spans="2:9" s="5" customFormat="1" ht="24" customHeight="1" x14ac:dyDescent="0.15">
      <c r="B416" s="9"/>
      <c r="C416" s="19"/>
      <c r="D416" s="17"/>
      <c r="E416" s="7"/>
      <c r="F416" s="11" t="str">
        <f>IFERROR(VLOOKUP($E416,設定!$C:$F,2,0),"")</f>
        <v/>
      </c>
      <c r="G416" s="171" t="str">
        <f>IFERROR(VLOOKUP($E416,設定!$C:$F,3,0),"")</f>
        <v/>
      </c>
      <c r="H416" s="19" t="str">
        <f>IFERROR(VLOOKUP($E416,設定!$C:$F,4,0),"")</f>
        <v/>
      </c>
      <c r="I416" s="415"/>
    </row>
    <row r="417" spans="2:9" s="5" customFormat="1" ht="24" customHeight="1" x14ac:dyDescent="0.15">
      <c r="B417" s="9"/>
      <c r="C417" s="19"/>
      <c r="D417" s="17"/>
      <c r="E417" s="7"/>
      <c r="F417" s="11" t="str">
        <f>IFERROR(VLOOKUP($E417,設定!$C:$F,2,0),"")</f>
        <v/>
      </c>
      <c r="G417" s="171" t="str">
        <f>IFERROR(VLOOKUP($E417,設定!$C:$F,3,0),"")</f>
        <v/>
      </c>
      <c r="H417" s="19" t="str">
        <f>IFERROR(VLOOKUP($E417,設定!$C:$F,4,0),"")</f>
        <v/>
      </c>
      <c r="I417" s="415"/>
    </row>
    <row r="418" spans="2:9" s="5" customFormat="1" ht="24" customHeight="1" x14ac:dyDescent="0.15">
      <c r="B418" s="9"/>
      <c r="C418" s="19"/>
      <c r="D418" s="17"/>
      <c r="E418" s="7"/>
      <c r="F418" s="11" t="str">
        <f>IFERROR(VLOOKUP($E418,設定!$C:$F,2,0),"")</f>
        <v/>
      </c>
      <c r="G418" s="171" t="str">
        <f>IFERROR(VLOOKUP($E418,設定!$C:$F,3,0),"")</f>
        <v/>
      </c>
      <c r="H418" s="19" t="str">
        <f>IFERROR(VLOOKUP($E418,設定!$C:$F,4,0),"")</f>
        <v/>
      </c>
      <c r="I418" s="415"/>
    </row>
    <row r="419" spans="2:9" s="5" customFormat="1" ht="24" customHeight="1" x14ac:dyDescent="0.15">
      <c r="B419" s="9"/>
      <c r="C419" s="19"/>
      <c r="D419" s="17"/>
      <c r="E419" s="7"/>
      <c r="F419" s="11" t="str">
        <f>IFERROR(VLOOKUP($E419,設定!$C:$F,2,0),"")</f>
        <v/>
      </c>
      <c r="G419" s="171" t="str">
        <f>IFERROR(VLOOKUP($E419,設定!$C:$F,3,0),"")</f>
        <v/>
      </c>
      <c r="H419" s="19" t="str">
        <f>IFERROR(VLOOKUP($E419,設定!$C:$F,4,0),"")</f>
        <v/>
      </c>
      <c r="I419" s="415"/>
    </row>
    <row r="420" spans="2:9" s="5" customFormat="1" ht="24" customHeight="1" x14ac:dyDescent="0.15">
      <c r="B420" s="9"/>
      <c r="C420" s="19"/>
      <c r="D420" s="17"/>
      <c r="E420" s="7"/>
      <c r="F420" s="11" t="str">
        <f>IFERROR(VLOOKUP($E420,設定!$C:$F,2,0),"")</f>
        <v/>
      </c>
      <c r="G420" s="171" t="str">
        <f>IFERROR(VLOOKUP($E420,設定!$C:$F,3,0),"")</f>
        <v/>
      </c>
      <c r="H420" s="19" t="str">
        <f>IFERROR(VLOOKUP($E420,設定!$C:$F,4,0),"")</f>
        <v/>
      </c>
      <c r="I420" s="415"/>
    </row>
    <row r="421" spans="2:9" s="5" customFormat="1" ht="24" customHeight="1" x14ac:dyDescent="0.15">
      <c r="B421" s="9"/>
      <c r="C421" s="19"/>
      <c r="D421" s="17"/>
      <c r="E421" s="7"/>
      <c r="F421" s="11" t="str">
        <f>IFERROR(VLOOKUP($E421,設定!$C:$F,2,0),"")</f>
        <v/>
      </c>
      <c r="G421" s="171" t="str">
        <f>IFERROR(VLOOKUP($E421,設定!$C:$F,3,0),"")</f>
        <v/>
      </c>
      <c r="H421" s="19" t="str">
        <f>IFERROR(VLOOKUP($E421,設定!$C:$F,4,0),"")</f>
        <v/>
      </c>
      <c r="I421" s="415"/>
    </row>
    <row r="422" spans="2:9" s="5" customFormat="1" ht="24" customHeight="1" x14ac:dyDescent="0.15">
      <c r="B422" s="9"/>
      <c r="C422" s="19"/>
      <c r="D422" s="17"/>
      <c r="E422" s="7"/>
      <c r="F422" s="11" t="str">
        <f>IFERROR(VLOOKUP($E422,設定!$C:$F,2,0),"")</f>
        <v/>
      </c>
      <c r="G422" s="171" t="str">
        <f>IFERROR(VLOOKUP($E422,設定!$C:$F,3,0),"")</f>
        <v/>
      </c>
      <c r="H422" s="19" t="str">
        <f>IFERROR(VLOOKUP($E422,設定!$C:$F,4,0),"")</f>
        <v/>
      </c>
      <c r="I422" s="415"/>
    </row>
    <row r="423" spans="2:9" s="5" customFormat="1" ht="24" customHeight="1" x14ac:dyDescent="0.15">
      <c r="B423" s="9"/>
      <c r="C423" s="19"/>
      <c r="D423" s="17"/>
      <c r="E423" s="7"/>
      <c r="F423" s="11" t="str">
        <f>IFERROR(VLOOKUP($E423,設定!$C:$F,2,0),"")</f>
        <v/>
      </c>
      <c r="G423" s="171" t="str">
        <f>IFERROR(VLOOKUP($E423,設定!$C:$F,3,0),"")</f>
        <v/>
      </c>
      <c r="H423" s="19" t="str">
        <f>IFERROR(VLOOKUP($E423,設定!$C:$F,4,0),"")</f>
        <v/>
      </c>
      <c r="I423" s="415"/>
    </row>
    <row r="424" spans="2:9" s="5" customFormat="1" ht="24" customHeight="1" x14ac:dyDescent="0.15">
      <c r="B424" s="9"/>
      <c r="C424" s="19"/>
      <c r="D424" s="17"/>
      <c r="E424" s="7"/>
      <c r="F424" s="11" t="str">
        <f>IFERROR(VLOOKUP($E424,設定!$C:$F,2,0),"")</f>
        <v/>
      </c>
      <c r="G424" s="171" t="str">
        <f>IFERROR(VLOOKUP($E424,設定!$C:$F,3,0),"")</f>
        <v/>
      </c>
      <c r="H424" s="19" t="str">
        <f>IFERROR(VLOOKUP($E424,設定!$C:$F,4,0),"")</f>
        <v/>
      </c>
      <c r="I424" s="415"/>
    </row>
    <row r="425" spans="2:9" s="5" customFormat="1" ht="24" customHeight="1" x14ac:dyDescent="0.15">
      <c r="B425" s="9"/>
      <c r="C425" s="19"/>
      <c r="D425" s="17"/>
      <c r="E425" s="7"/>
      <c r="F425" s="11" t="str">
        <f>IFERROR(VLOOKUP($E425,設定!$C:$F,2,0),"")</f>
        <v/>
      </c>
      <c r="G425" s="171" t="str">
        <f>IFERROR(VLOOKUP($E425,設定!$C:$F,3,0),"")</f>
        <v/>
      </c>
      <c r="H425" s="19" t="str">
        <f>IFERROR(VLOOKUP($E425,設定!$C:$F,4,0),"")</f>
        <v/>
      </c>
      <c r="I425" s="415"/>
    </row>
    <row r="426" spans="2:9" s="5" customFormat="1" ht="24" customHeight="1" x14ac:dyDescent="0.15">
      <c r="B426" s="9"/>
      <c r="C426" s="19"/>
      <c r="D426" s="17"/>
      <c r="E426" s="7"/>
      <c r="F426" s="11" t="str">
        <f>IFERROR(VLOOKUP($E426,設定!$C:$F,2,0),"")</f>
        <v/>
      </c>
      <c r="G426" s="171" t="str">
        <f>IFERROR(VLOOKUP($E426,設定!$C:$F,3,0),"")</f>
        <v/>
      </c>
      <c r="H426" s="19" t="str">
        <f>IFERROR(VLOOKUP($E426,設定!$C:$F,4,0),"")</f>
        <v/>
      </c>
      <c r="I426" s="415"/>
    </row>
    <row r="427" spans="2:9" s="5" customFormat="1" ht="24" customHeight="1" x14ac:dyDescent="0.15">
      <c r="B427" s="9"/>
      <c r="C427" s="19"/>
      <c r="D427" s="17"/>
      <c r="E427" s="7"/>
      <c r="F427" s="11" t="str">
        <f>IFERROR(VLOOKUP($E427,設定!$C:$F,2,0),"")</f>
        <v/>
      </c>
      <c r="G427" s="171" t="str">
        <f>IFERROR(VLOOKUP($E427,設定!$C:$F,3,0),"")</f>
        <v/>
      </c>
      <c r="H427" s="19" t="str">
        <f>IFERROR(VLOOKUP($E427,設定!$C:$F,4,0),"")</f>
        <v/>
      </c>
      <c r="I427" s="415"/>
    </row>
    <row r="428" spans="2:9" s="5" customFormat="1" ht="24" customHeight="1" x14ac:dyDescent="0.15">
      <c r="B428" s="9"/>
      <c r="C428" s="19"/>
      <c r="D428" s="17"/>
      <c r="E428" s="7"/>
      <c r="F428" s="11" t="str">
        <f>IFERROR(VLOOKUP($E428,設定!$C:$F,2,0),"")</f>
        <v/>
      </c>
      <c r="G428" s="171" t="str">
        <f>IFERROR(VLOOKUP($E428,設定!$C:$F,3,0),"")</f>
        <v/>
      </c>
      <c r="H428" s="19" t="str">
        <f>IFERROR(VLOOKUP($E428,設定!$C:$F,4,0),"")</f>
        <v/>
      </c>
      <c r="I428" s="415"/>
    </row>
    <row r="429" spans="2:9" s="5" customFormat="1" ht="24" customHeight="1" x14ac:dyDescent="0.15">
      <c r="B429" s="9"/>
      <c r="C429" s="19"/>
      <c r="D429" s="17"/>
      <c r="E429" s="7"/>
      <c r="F429" s="11" t="str">
        <f>IFERROR(VLOOKUP($E429,設定!$C:$F,2,0),"")</f>
        <v/>
      </c>
      <c r="G429" s="171" t="str">
        <f>IFERROR(VLOOKUP($E429,設定!$C:$F,3,0),"")</f>
        <v/>
      </c>
      <c r="H429" s="19" t="str">
        <f>IFERROR(VLOOKUP($E429,設定!$C:$F,4,0),"")</f>
        <v/>
      </c>
      <c r="I429" s="415"/>
    </row>
    <row r="430" spans="2:9" s="5" customFormat="1" ht="24" customHeight="1" x14ac:dyDescent="0.15">
      <c r="B430" s="9"/>
      <c r="C430" s="19"/>
      <c r="D430" s="17"/>
      <c r="E430" s="7"/>
      <c r="F430" s="11" t="str">
        <f>IFERROR(VLOOKUP($E430,設定!$C:$F,2,0),"")</f>
        <v/>
      </c>
      <c r="G430" s="171" t="str">
        <f>IFERROR(VLOOKUP($E430,設定!$C:$F,3,0),"")</f>
        <v/>
      </c>
      <c r="H430" s="19" t="str">
        <f>IFERROR(VLOOKUP($E430,設定!$C:$F,4,0),"")</f>
        <v/>
      </c>
      <c r="I430" s="415"/>
    </row>
    <row r="431" spans="2:9" s="5" customFormat="1" ht="24" customHeight="1" x14ac:dyDescent="0.15">
      <c r="B431" s="9"/>
      <c r="C431" s="19"/>
      <c r="D431" s="17"/>
      <c r="E431" s="7"/>
      <c r="F431" s="11" t="str">
        <f>IFERROR(VLOOKUP($E431,設定!$C:$F,2,0),"")</f>
        <v/>
      </c>
      <c r="G431" s="171" t="str">
        <f>IFERROR(VLOOKUP($E431,設定!$C:$F,3,0),"")</f>
        <v/>
      </c>
      <c r="H431" s="19" t="str">
        <f>IFERROR(VLOOKUP($E431,設定!$C:$F,4,0),"")</f>
        <v/>
      </c>
      <c r="I431" s="415"/>
    </row>
    <row r="432" spans="2:9" s="5" customFormat="1" ht="24" customHeight="1" x14ac:dyDescent="0.15">
      <c r="B432" s="9"/>
      <c r="C432" s="19"/>
      <c r="D432" s="17"/>
      <c r="E432" s="7"/>
      <c r="F432" s="11" t="str">
        <f>IFERROR(VLOOKUP($E432,設定!$C:$F,2,0),"")</f>
        <v/>
      </c>
      <c r="G432" s="171" t="str">
        <f>IFERROR(VLOOKUP($E432,設定!$C:$F,3,0),"")</f>
        <v/>
      </c>
      <c r="H432" s="19" t="str">
        <f>IFERROR(VLOOKUP($E432,設定!$C:$F,4,0),"")</f>
        <v/>
      </c>
      <c r="I432" s="415"/>
    </row>
    <row r="433" spans="2:9" s="5" customFormat="1" ht="24" customHeight="1" x14ac:dyDescent="0.15">
      <c r="B433" s="9"/>
      <c r="C433" s="19"/>
      <c r="D433" s="17"/>
      <c r="E433" s="7"/>
      <c r="F433" s="11" t="str">
        <f>IFERROR(VLOOKUP($E433,設定!$C:$F,2,0),"")</f>
        <v/>
      </c>
      <c r="G433" s="171" t="str">
        <f>IFERROR(VLOOKUP($E433,設定!$C:$F,3,0),"")</f>
        <v/>
      </c>
      <c r="H433" s="19" t="str">
        <f>IFERROR(VLOOKUP($E433,設定!$C:$F,4,0),"")</f>
        <v/>
      </c>
      <c r="I433" s="415"/>
    </row>
    <row r="434" spans="2:9" s="5" customFormat="1" ht="24" customHeight="1" x14ac:dyDescent="0.15">
      <c r="B434" s="9"/>
      <c r="C434" s="19"/>
      <c r="D434" s="17"/>
      <c r="E434" s="7"/>
      <c r="F434" s="11" t="str">
        <f>IFERROR(VLOOKUP($E434,設定!$C:$F,2,0),"")</f>
        <v/>
      </c>
      <c r="G434" s="171" t="str">
        <f>IFERROR(VLOOKUP($E434,設定!$C:$F,3,0),"")</f>
        <v/>
      </c>
      <c r="H434" s="19" t="str">
        <f>IFERROR(VLOOKUP($E434,設定!$C:$F,4,0),"")</f>
        <v/>
      </c>
      <c r="I434" s="415"/>
    </row>
    <row r="435" spans="2:9" s="5" customFormat="1" ht="24" customHeight="1" x14ac:dyDescent="0.15">
      <c r="B435" s="9"/>
      <c r="C435" s="19"/>
      <c r="D435" s="17"/>
      <c r="E435" s="7"/>
      <c r="F435" s="11" t="str">
        <f>IFERROR(VLOOKUP($E435,設定!$C:$F,2,0),"")</f>
        <v/>
      </c>
      <c r="G435" s="171" t="str">
        <f>IFERROR(VLOOKUP($E435,設定!$C:$F,3,0),"")</f>
        <v/>
      </c>
      <c r="H435" s="19" t="str">
        <f>IFERROR(VLOOKUP($E435,設定!$C:$F,4,0),"")</f>
        <v/>
      </c>
      <c r="I435" s="415"/>
    </row>
    <row r="436" spans="2:9" s="5" customFormat="1" ht="24" customHeight="1" x14ac:dyDescent="0.15">
      <c r="B436" s="9"/>
      <c r="C436" s="19"/>
      <c r="D436" s="17"/>
      <c r="E436" s="7"/>
      <c r="F436" s="11" t="str">
        <f>IFERROR(VLOOKUP($E436,設定!$C:$F,2,0),"")</f>
        <v/>
      </c>
      <c r="G436" s="171" t="str">
        <f>IFERROR(VLOOKUP($E436,設定!$C:$F,3,0),"")</f>
        <v/>
      </c>
      <c r="H436" s="19" t="str">
        <f>IFERROR(VLOOKUP($E436,設定!$C:$F,4,0),"")</f>
        <v/>
      </c>
      <c r="I436" s="415"/>
    </row>
    <row r="437" spans="2:9" s="5" customFormat="1" ht="24" customHeight="1" x14ac:dyDescent="0.15">
      <c r="B437" s="9"/>
      <c r="C437" s="19"/>
      <c r="D437" s="17"/>
      <c r="E437" s="7"/>
      <c r="F437" s="11" t="str">
        <f>IFERROR(VLOOKUP($E437,設定!$C:$F,2,0),"")</f>
        <v/>
      </c>
      <c r="G437" s="171" t="str">
        <f>IFERROR(VLOOKUP($E437,設定!$C:$F,3,0),"")</f>
        <v/>
      </c>
      <c r="H437" s="19" t="str">
        <f>IFERROR(VLOOKUP($E437,設定!$C:$F,4,0),"")</f>
        <v/>
      </c>
      <c r="I437" s="415"/>
    </row>
    <row r="438" spans="2:9" s="5" customFormat="1" ht="24" customHeight="1" x14ac:dyDescent="0.15">
      <c r="B438" s="9"/>
      <c r="C438" s="19"/>
      <c r="D438" s="17"/>
      <c r="E438" s="7"/>
      <c r="F438" s="11" t="str">
        <f>IFERROR(VLOOKUP($E438,設定!$C:$F,2,0),"")</f>
        <v/>
      </c>
      <c r="G438" s="171" t="str">
        <f>IFERROR(VLOOKUP($E438,設定!$C:$F,3,0),"")</f>
        <v/>
      </c>
      <c r="H438" s="19" t="str">
        <f>IFERROR(VLOOKUP($E438,設定!$C:$F,4,0),"")</f>
        <v/>
      </c>
      <c r="I438" s="415"/>
    </row>
    <row r="439" spans="2:9" s="5" customFormat="1" ht="24" customHeight="1" x14ac:dyDescent="0.15">
      <c r="B439" s="9"/>
      <c r="C439" s="19"/>
      <c r="D439" s="17"/>
      <c r="E439" s="7"/>
      <c r="F439" s="11" t="str">
        <f>IFERROR(VLOOKUP($E439,設定!$C:$F,2,0),"")</f>
        <v/>
      </c>
      <c r="G439" s="171" t="str">
        <f>IFERROR(VLOOKUP($E439,設定!$C:$F,3,0),"")</f>
        <v/>
      </c>
      <c r="H439" s="19" t="str">
        <f>IFERROR(VLOOKUP($E439,設定!$C:$F,4,0),"")</f>
        <v/>
      </c>
      <c r="I439" s="415"/>
    </row>
    <row r="440" spans="2:9" s="5" customFormat="1" ht="24" customHeight="1" x14ac:dyDescent="0.15">
      <c r="B440" s="9"/>
      <c r="C440" s="19"/>
      <c r="D440" s="17"/>
      <c r="E440" s="7"/>
      <c r="F440" s="11" t="str">
        <f>IFERROR(VLOOKUP($E440,設定!$C:$F,2,0),"")</f>
        <v/>
      </c>
      <c r="G440" s="171" t="str">
        <f>IFERROR(VLOOKUP($E440,設定!$C:$F,3,0),"")</f>
        <v/>
      </c>
      <c r="H440" s="19" t="str">
        <f>IFERROR(VLOOKUP($E440,設定!$C:$F,4,0),"")</f>
        <v/>
      </c>
      <c r="I440" s="415"/>
    </row>
    <row r="441" spans="2:9" s="5" customFormat="1" ht="24" customHeight="1" x14ac:dyDescent="0.15">
      <c r="B441" s="9"/>
      <c r="C441" s="19"/>
      <c r="D441" s="17"/>
      <c r="E441" s="7"/>
      <c r="F441" s="11" t="str">
        <f>IFERROR(VLOOKUP($E441,設定!$C:$F,2,0),"")</f>
        <v/>
      </c>
      <c r="G441" s="171" t="str">
        <f>IFERROR(VLOOKUP($E441,設定!$C:$F,3,0),"")</f>
        <v/>
      </c>
      <c r="H441" s="19" t="str">
        <f>IFERROR(VLOOKUP($E441,設定!$C:$F,4,0),"")</f>
        <v/>
      </c>
      <c r="I441" s="415"/>
    </row>
    <row r="442" spans="2:9" s="5" customFormat="1" ht="24" customHeight="1" x14ac:dyDescent="0.15">
      <c r="B442" s="9"/>
      <c r="C442" s="19"/>
      <c r="D442" s="17"/>
      <c r="E442" s="7"/>
      <c r="F442" s="11" t="str">
        <f>IFERROR(VLOOKUP($E442,設定!$C:$F,2,0),"")</f>
        <v/>
      </c>
      <c r="G442" s="171" t="str">
        <f>IFERROR(VLOOKUP($E442,設定!$C:$F,3,0),"")</f>
        <v/>
      </c>
      <c r="H442" s="19" t="str">
        <f>IFERROR(VLOOKUP($E442,設定!$C:$F,4,0),"")</f>
        <v/>
      </c>
      <c r="I442" s="415"/>
    </row>
    <row r="443" spans="2:9" s="5" customFormat="1" ht="24" customHeight="1" x14ac:dyDescent="0.15">
      <c r="B443" s="9"/>
      <c r="C443" s="19"/>
      <c r="D443" s="17"/>
      <c r="E443" s="7"/>
      <c r="F443" s="11" t="str">
        <f>IFERROR(VLOOKUP($E443,設定!$C:$F,2,0),"")</f>
        <v/>
      </c>
      <c r="G443" s="171" t="str">
        <f>IFERROR(VLOOKUP($E443,設定!$C:$F,3,0),"")</f>
        <v/>
      </c>
      <c r="H443" s="19" t="str">
        <f>IFERROR(VLOOKUP($E443,設定!$C:$F,4,0),"")</f>
        <v/>
      </c>
      <c r="I443" s="415"/>
    </row>
    <row r="444" spans="2:9" s="5" customFormat="1" ht="24" customHeight="1" x14ac:dyDescent="0.15">
      <c r="B444" s="9"/>
      <c r="C444" s="19"/>
      <c r="D444" s="17"/>
      <c r="E444" s="7"/>
      <c r="F444" s="11" t="str">
        <f>IFERROR(VLOOKUP($E444,設定!$C:$F,2,0),"")</f>
        <v/>
      </c>
      <c r="G444" s="171" t="str">
        <f>IFERROR(VLOOKUP($E444,設定!$C:$F,3,0),"")</f>
        <v/>
      </c>
      <c r="H444" s="19" t="str">
        <f>IFERROR(VLOOKUP($E444,設定!$C:$F,4,0),"")</f>
        <v/>
      </c>
      <c r="I444" s="415"/>
    </row>
    <row r="445" spans="2:9" s="5" customFormat="1" ht="24" customHeight="1" x14ac:dyDescent="0.15">
      <c r="B445" s="9"/>
      <c r="C445" s="19"/>
      <c r="D445" s="17"/>
      <c r="E445" s="7"/>
      <c r="F445" s="11" t="str">
        <f>IFERROR(VLOOKUP($E445,設定!$C:$F,2,0),"")</f>
        <v/>
      </c>
      <c r="G445" s="171" t="str">
        <f>IFERROR(VLOOKUP($E445,設定!$C:$F,3,0),"")</f>
        <v/>
      </c>
      <c r="H445" s="19" t="str">
        <f>IFERROR(VLOOKUP($E445,設定!$C:$F,4,0),"")</f>
        <v/>
      </c>
      <c r="I445" s="415"/>
    </row>
    <row r="446" spans="2:9" s="5" customFormat="1" ht="24" customHeight="1" x14ac:dyDescent="0.15">
      <c r="B446" s="9"/>
      <c r="C446" s="19"/>
      <c r="D446" s="17"/>
      <c r="E446" s="7"/>
      <c r="F446" s="11" t="str">
        <f>IFERROR(VLOOKUP($E446,設定!$C:$F,2,0),"")</f>
        <v/>
      </c>
      <c r="G446" s="171" t="str">
        <f>IFERROR(VLOOKUP($E446,設定!$C:$F,3,0),"")</f>
        <v/>
      </c>
      <c r="H446" s="19" t="str">
        <f>IFERROR(VLOOKUP($E446,設定!$C:$F,4,0),"")</f>
        <v/>
      </c>
      <c r="I446" s="415"/>
    </row>
    <row r="447" spans="2:9" s="5" customFormat="1" ht="24" customHeight="1" x14ac:dyDescent="0.15">
      <c r="B447" s="9"/>
      <c r="C447" s="19"/>
      <c r="D447" s="17"/>
      <c r="E447" s="7"/>
      <c r="F447" s="11" t="str">
        <f>IFERROR(VLOOKUP($E447,設定!$C:$F,2,0),"")</f>
        <v/>
      </c>
      <c r="G447" s="171" t="str">
        <f>IFERROR(VLOOKUP($E447,設定!$C:$F,3,0),"")</f>
        <v/>
      </c>
      <c r="H447" s="19" t="str">
        <f>IFERROR(VLOOKUP($E447,設定!$C:$F,4,0),"")</f>
        <v/>
      </c>
      <c r="I447" s="415"/>
    </row>
    <row r="448" spans="2:9" s="5" customFormat="1" ht="24" customHeight="1" x14ac:dyDescent="0.15">
      <c r="B448" s="9"/>
      <c r="C448" s="19"/>
      <c r="D448" s="17"/>
      <c r="E448" s="7"/>
      <c r="F448" s="11" t="str">
        <f>IFERROR(VLOOKUP($E448,設定!$C:$F,2,0),"")</f>
        <v/>
      </c>
      <c r="G448" s="171" t="str">
        <f>IFERROR(VLOOKUP($E448,設定!$C:$F,3,0),"")</f>
        <v/>
      </c>
      <c r="H448" s="19" t="str">
        <f>IFERROR(VLOOKUP($E448,設定!$C:$F,4,0),"")</f>
        <v/>
      </c>
      <c r="I448" s="415"/>
    </row>
    <row r="449" spans="2:9" s="5" customFormat="1" ht="24" customHeight="1" x14ac:dyDescent="0.15">
      <c r="B449" s="9"/>
      <c r="C449" s="19"/>
      <c r="D449" s="17"/>
      <c r="E449" s="7"/>
      <c r="F449" s="11" t="str">
        <f>IFERROR(VLOOKUP($E449,設定!$C:$F,2,0),"")</f>
        <v/>
      </c>
      <c r="G449" s="171" t="str">
        <f>IFERROR(VLOOKUP($E449,設定!$C:$F,3,0),"")</f>
        <v/>
      </c>
      <c r="H449" s="19" t="str">
        <f>IFERROR(VLOOKUP($E449,設定!$C:$F,4,0),"")</f>
        <v/>
      </c>
      <c r="I449" s="415"/>
    </row>
    <row r="450" spans="2:9" s="5" customFormat="1" ht="24" customHeight="1" x14ac:dyDescent="0.15">
      <c r="B450" s="9"/>
      <c r="C450" s="19"/>
      <c r="D450" s="17"/>
      <c r="E450" s="7"/>
      <c r="F450" s="11" t="str">
        <f>IFERROR(VLOOKUP($E450,設定!$C:$F,2,0),"")</f>
        <v/>
      </c>
      <c r="G450" s="171" t="str">
        <f>IFERROR(VLOOKUP($E450,設定!$C:$F,3,0),"")</f>
        <v/>
      </c>
      <c r="H450" s="19" t="str">
        <f>IFERROR(VLOOKUP($E450,設定!$C:$F,4,0),"")</f>
        <v/>
      </c>
      <c r="I450" s="415"/>
    </row>
    <row r="451" spans="2:9" s="5" customFormat="1" ht="24" customHeight="1" x14ac:dyDescent="0.15">
      <c r="B451" s="9"/>
      <c r="C451" s="19"/>
      <c r="D451" s="17"/>
      <c r="E451" s="7"/>
      <c r="F451" s="11" t="str">
        <f>IFERROR(VLOOKUP($E451,設定!$C:$F,2,0),"")</f>
        <v/>
      </c>
      <c r="G451" s="171" t="str">
        <f>IFERROR(VLOOKUP($E451,設定!$C:$F,3,0),"")</f>
        <v/>
      </c>
      <c r="H451" s="19" t="str">
        <f>IFERROR(VLOOKUP($E451,設定!$C:$F,4,0),"")</f>
        <v/>
      </c>
      <c r="I451" s="415"/>
    </row>
    <row r="452" spans="2:9" s="5" customFormat="1" ht="24" customHeight="1" x14ac:dyDescent="0.15">
      <c r="B452" s="9"/>
      <c r="C452" s="19"/>
      <c r="D452" s="17"/>
      <c r="E452" s="7"/>
      <c r="F452" s="11" t="str">
        <f>IFERROR(VLOOKUP($E452,設定!$C:$F,2,0),"")</f>
        <v/>
      </c>
      <c r="G452" s="171" t="str">
        <f>IFERROR(VLOOKUP($E452,設定!$C:$F,3,0),"")</f>
        <v/>
      </c>
      <c r="H452" s="19" t="str">
        <f>IFERROR(VLOOKUP($E452,設定!$C:$F,4,0),"")</f>
        <v/>
      </c>
      <c r="I452" s="415"/>
    </row>
    <row r="453" spans="2:9" s="5" customFormat="1" ht="24" customHeight="1" x14ac:dyDescent="0.15">
      <c r="B453" s="9"/>
      <c r="C453" s="19"/>
      <c r="D453" s="17"/>
      <c r="E453" s="7"/>
      <c r="F453" s="11" t="str">
        <f>IFERROR(VLOOKUP($E453,設定!$C:$F,2,0),"")</f>
        <v/>
      </c>
      <c r="G453" s="171" t="str">
        <f>IFERROR(VLOOKUP($E453,設定!$C:$F,3,0),"")</f>
        <v/>
      </c>
      <c r="H453" s="19" t="str">
        <f>IFERROR(VLOOKUP($E453,設定!$C:$F,4,0),"")</f>
        <v/>
      </c>
      <c r="I453" s="415"/>
    </row>
    <row r="454" spans="2:9" s="5" customFormat="1" ht="24" customHeight="1" x14ac:dyDescent="0.15">
      <c r="B454" s="9"/>
      <c r="C454" s="19"/>
      <c r="D454" s="17"/>
      <c r="E454" s="7"/>
      <c r="F454" s="11" t="str">
        <f>IFERROR(VLOOKUP($E454,設定!$C:$F,2,0),"")</f>
        <v/>
      </c>
      <c r="G454" s="171" t="str">
        <f>IFERROR(VLOOKUP($E454,設定!$C:$F,3,0),"")</f>
        <v/>
      </c>
      <c r="H454" s="19" t="str">
        <f>IFERROR(VLOOKUP($E454,設定!$C:$F,4,0),"")</f>
        <v/>
      </c>
      <c r="I454" s="415"/>
    </row>
    <row r="455" spans="2:9" s="5" customFormat="1" ht="24" customHeight="1" x14ac:dyDescent="0.15">
      <c r="B455" s="9"/>
      <c r="C455" s="19"/>
      <c r="D455" s="17"/>
      <c r="E455" s="7"/>
      <c r="F455" s="11" t="str">
        <f>IFERROR(VLOOKUP($E455,設定!$C:$F,2,0),"")</f>
        <v/>
      </c>
      <c r="G455" s="171" t="str">
        <f>IFERROR(VLOOKUP($E455,設定!$C:$F,3,0),"")</f>
        <v/>
      </c>
      <c r="H455" s="19" t="str">
        <f>IFERROR(VLOOKUP($E455,設定!$C:$F,4,0),"")</f>
        <v/>
      </c>
      <c r="I455" s="415"/>
    </row>
    <row r="456" spans="2:9" s="5" customFormat="1" ht="24" customHeight="1" x14ac:dyDescent="0.15">
      <c r="B456" s="9"/>
      <c r="C456" s="19"/>
      <c r="D456" s="17"/>
      <c r="E456" s="7"/>
      <c r="F456" s="11" t="str">
        <f>IFERROR(VLOOKUP($E456,設定!$C:$F,2,0),"")</f>
        <v/>
      </c>
      <c r="G456" s="171" t="str">
        <f>IFERROR(VLOOKUP($E456,設定!$C:$F,3,0),"")</f>
        <v/>
      </c>
      <c r="H456" s="19" t="str">
        <f>IFERROR(VLOOKUP($E456,設定!$C:$F,4,0),"")</f>
        <v/>
      </c>
      <c r="I456" s="415"/>
    </row>
    <row r="457" spans="2:9" s="5" customFormat="1" ht="24" customHeight="1" x14ac:dyDescent="0.15">
      <c r="B457" s="9"/>
      <c r="C457" s="19"/>
      <c r="D457" s="17"/>
      <c r="E457" s="7"/>
      <c r="F457" s="11" t="str">
        <f>IFERROR(VLOOKUP($E457,設定!$C:$F,2,0),"")</f>
        <v/>
      </c>
      <c r="G457" s="171" t="str">
        <f>IFERROR(VLOOKUP($E457,設定!$C:$F,3,0),"")</f>
        <v/>
      </c>
      <c r="H457" s="19" t="str">
        <f>IFERROR(VLOOKUP($E457,設定!$C:$F,4,0),"")</f>
        <v/>
      </c>
      <c r="I457" s="415"/>
    </row>
    <row r="458" spans="2:9" s="5" customFormat="1" ht="24" customHeight="1" x14ac:dyDescent="0.15">
      <c r="B458" s="9"/>
      <c r="C458" s="19"/>
      <c r="D458" s="17"/>
      <c r="E458" s="7"/>
      <c r="F458" s="11" t="str">
        <f>IFERROR(VLOOKUP($E458,設定!$C:$F,2,0),"")</f>
        <v/>
      </c>
      <c r="G458" s="171" t="str">
        <f>IFERROR(VLOOKUP($E458,設定!$C:$F,3,0),"")</f>
        <v/>
      </c>
      <c r="H458" s="19" t="str">
        <f>IFERROR(VLOOKUP($E458,設定!$C:$F,4,0),"")</f>
        <v/>
      </c>
      <c r="I458" s="415"/>
    </row>
    <row r="459" spans="2:9" s="5" customFormat="1" ht="24" customHeight="1" x14ac:dyDescent="0.15">
      <c r="B459" s="9"/>
      <c r="C459" s="19"/>
      <c r="D459" s="17"/>
      <c r="E459" s="7"/>
      <c r="F459" s="11" t="str">
        <f>IFERROR(VLOOKUP($E459,設定!$C:$F,2,0),"")</f>
        <v/>
      </c>
      <c r="G459" s="171" t="str">
        <f>IFERROR(VLOOKUP($E459,設定!$C:$F,3,0),"")</f>
        <v/>
      </c>
      <c r="H459" s="19" t="str">
        <f>IFERROR(VLOOKUP($E459,設定!$C:$F,4,0),"")</f>
        <v/>
      </c>
      <c r="I459" s="415"/>
    </row>
    <row r="460" spans="2:9" s="5" customFormat="1" ht="24" customHeight="1" x14ac:dyDescent="0.15">
      <c r="B460" s="9"/>
      <c r="C460" s="19"/>
      <c r="D460" s="17"/>
      <c r="E460" s="7"/>
      <c r="F460" s="11" t="str">
        <f>IFERROR(VLOOKUP($E460,設定!$C:$F,2,0),"")</f>
        <v/>
      </c>
      <c r="G460" s="171" t="str">
        <f>IFERROR(VLOOKUP($E460,設定!$C:$F,3,0),"")</f>
        <v/>
      </c>
      <c r="H460" s="19" t="str">
        <f>IFERROR(VLOOKUP($E460,設定!$C:$F,4,0),"")</f>
        <v/>
      </c>
      <c r="I460" s="415"/>
    </row>
    <row r="461" spans="2:9" s="5" customFormat="1" ht="24" customHeight="1" x14ac:dyDescent="0.15">
      <c r="B461" s="9"/>
      <c r="C461" s="19"/>
      <c r="D461" s="17"/>
      <c r="E461" s="7"/>
      <c r="F461" s="11" t="str">
        <f>IFERROR(VLOOKUP($E461,設定!$C:$F,2,0),"")</f>
        <v/>
      </c>
      <c r="G461" s="171" t="str">
        <f>IFERROR(VLOOKUP($E461,設定!$C:$F,3,0),"")</f>
        <v/>
      </c>
      <c r="H461" s="19" t="str">
        <f>IFERROR(VLOOKUP($E461,設定!$C:$F,4,0),"")</f>
        <v/>
      </c>
      <c r="I461" s="415"/>
    </row>
    <row r="462" spans="2:9" s="5" customFormat="1" ht="24" customHeight="1" x14ac:dyDescent="0.15">
      <c r="B462" s="9"/>
      <c r="C462" s="19"/>
      <c r="D462" s="17"/>
      <c r="E462" s="7"/>
      <c r="F462" s="11" t="str">
        <f>IFERROR(VLOOKUP($E462,設定!$C:$F,2,0),"")</f>
        <v/>
      </c>
      <c r="G462" s="171" t="str">
        <f>IFERROR(VLOOKUP($E462,設定!$C:$F,3,0),"")</f>
        <v/>
      </c>
      <c r="H462" s="19" t="str">
        <f>IFERROR(VLOOKUP($E462,設定!$C:$F,4,0),"")</f>
        <v/>
      </c>
      <c r="I462" s="415"/>
    </row>
    <row r="463" spans="2:9" s="5" customFormat="1" ht="24" customHeight="1" x14ac:dyDescent="0.15">
      <c r="B463" s="9"/>
      <c r="C463" s="19"/>
      <c r="D463" s="17"/>
      <c r="E463" s="7"/>
      <c r="F463" s="11" t="str">
        <f>IFERROR(VLOOKUP($E463,設定!$C:$F,2,0),"")</f>
        <v/>
      </c>
      <c r="G463" s="171" t="str">
        <f>IFERROR(VLOOKUP($E463,設定!$C:$F,3,0),"")</f>
        <v/>
      </c>
      <c r="H463" s="19" t="str">
        <f>IFERROR(VLOOKUP($E463,設定!$C:$F,4,0),"")</f>
        <v/>
      </c>
      <c r="I463" s="415"/>
    </row>
    <row r="464" spans="2:9" s="5" customFormat="1" ht="24" customHeight="1" x14ac:dyDescent="0.15">
      <c r="B464" s="9"/>
      <c r="C464" s="19"/>
      <c r="D464" s="17"/>
      <c r="E464" s="7"/>
      <c r="F464" s="11" t="str">
        <f>IFERROR(VLOOKUP($E464,設定!$C:$F,2,0),"")</f>
        <v/>
      </c>
      <c r="G464" s="171" t="str">
        <f>IFERROR(VLOOKUP($E464,設定!$C:$F,3,0),"")</f>
        <v/>
      </c>
      <c r="H464" s="19" t="str">
        <f>IFERROR(VLOOKUP($E464,設定!$C:$F,4,0),"")</f>
        <v/>
      </c>
      <c r="I464" s="415"/>
    </row>
    <row r="465" spans="2:9" s="5" customFormat="1" ht="24" customHeight="1" x14ac:dyDescent="0.15">
      <c r="B465" s="9"/>
      <c r="C465" s="19"/>
      <c r="D465" s="17"/>
      <c r="E465" s="7"/>
      <c r="F465" s="11" t="str">
        <f>IFERROR(VLOOKUP($E465,設定!$C:$F,2,0),"")</f>
        <v/>
      </c>
      <c r="G465" s="171" t="str">
        <f>IFERROR(VLOOKUP($E465,設定!$C:$F,3,0),"")</f>
        <v/>
      </c>
      <c r="H465" s="19" t="str">
        <f>IFERROR(VLOOKUP($E465,設定!$C:$F,4,0),"")</f>
        <v/>
      </c>
      <c r="I465" s="415"/>
    </row>
    <row r="466" spans="2:9" s="5" customFormat="1" ht="24" customHeight="1" x14ac:dyDescent="0.15">
      <c r="B466" s="9"/>
      <c r="C466" s="19"/>
      <c r="D466" s="17"/>
      <c r="E466" s="7"/>
      <c r="F466" s="11" t="str">
        <f>IFERROR(VLOOKUP($E466,設定!$C:$F,2,0),"")</f>
        <v/>
      </c>
      <c r="G466" s="171" t="str">
        <f>IFERROR(VLOOKUP($E466,設定!$C:$F,3,0),"")</f>
        <v/>
      </c>
      <c r="H466" s="19" t="str">
        <f>IFERROR(VLOOKUP($E466,設定!$C:$F,4,0),"")</f>
        <v/>
      </c>
      <c r="I466" s="415"/>
    </row>
    <row r="467" spans="2:9" s="5" customFormat="1" ht="24" customHeight="1" x14ac:dyDescent="0.15">
      <c r="B467" s="9"/>
      <c r="C467" s="19"/>
      <c r="D467" s="17"/>
      <c r="E467" s="7"/>
      <c r="F467" s="11" t="str">
        <f>IFERROR(VLOOKUP($E467,設定!$C:$F,2,0),"")</f>
        <v/>
      </c>
      <c r="G467" s="171" t="str">
        <f>IFERROR(VLOOKUP($E467,設定!$C:$F,3,0),"")</f>
        <v/>
      </c>
      <c r="H467" s="19" t="str">
        <f>IFERROR(VLOOKUP($E467,設定!$C:$F,4,0),"")</f>
        <v/>
      </c>
      <c r="I467" s="415"/>
    </row>
    <row r="468" spans="2:9" s="5" customFormat="1" ht="24" customHeight="1" x14ac:dyDescent="0.15">
      <c r="B468" s="9"/>
      <c r="C468" s="19"/>
      <c r="D468" s="17"/>
      <c r="E468" s="7"/>
      <c r="F468" s="11" t="str">
        <f>IFERROR(VLOOKUP($E468,設定!$C:$F,2,0),"")</f>
        <v/>
      </c>
      <c r="G468" s="171" t="str">
        <f>IFERROR(VLOOKUP($E468,設定!$C:$F,3,0),"")</f>
        <v/>
      </c>
      <c r="H468" s="19" t="str">
        <f>IFERROR(VLOOKUP($E468,設定!$C:$F,4,0),"")</f>
        <v/>
      </c>
      <c r="I468" s="415"/>
    </row>
    <row r="469" spans="2:9" s="5" customFormat="1" ht="24" customHeight="1" x14ac:dyDescent="0.15">
      <c r="B469" s="9"/>
      <c r="C469" s="19"/>
      <c r="D469" s="17"/>
      <c r="E469" s="7"/>
      <c r="F469" s="11" t="str">
        <f>IFERROR(VLOOKUP($E469,設定!$C:$F,2,0),"")</f>
        <v/>
      </c>
      <c r="G469" s="171" t="str">
        <f>IFERROR(VLOOKUP($E469,設定!$C:$F,3,0),"")</f>
        <v/>
      </c>
      <c r="H469" s="19" t="str">
        <f>IFERROR(VLOOKUP($E469,設定!$C:$F,4,0),"")</f>
        <v/>
      </c>
      <c r="I469" s="415"/>
    </row>
    <row r="470" spans="2:9" s="5" customFormat="1" ht="24" customHeight="1" x14ac:dyDescent="0.15">
      <c r="B470" s="9"/>
      <c r="C470" s="19"/>
      <c r="D470" s="17"/>
      <c r="E470" s="7"/>
      <c r="F470" s="11" t="str">
        <f>IFERROR(VLOOKUP($E470,設定!$C:$F,2,0),"")</f>
        <v/>
      </c>
      <c r="G470" s="171" t="str">
        <f>IFERROR(VLOOKUP($E470,設定!$C:$F,3,0),"")</f>
        <v/>
      </c>
      <c r="H470" s="19" t="str">
        <f>IFERROR(VLOOKUP($E470,設定!$C:$F,4,0),"")</f>
        <v/>
      </c>
      <c r="I470" s="415"/>
    </row>
    <row r="471" spans="2:9" s="5" customFormat="1" ht="24" customHeight="1" x14ac:dyDescent="0.15">
      <c r="B471" s="9"/>
      <c r="C471" s="19"/>
      <c r="D471" s="17"/>
      <c r="E471" s="7"/>
      <c r="F471" s="11" t="str">
        <f>IFERROR(VLOOKUP($E471,設定!$C:$F,2,0),"")</f>
        <v/>
      </c>
      <c r="G471" s="171" t="str">
        <f>IFERROR(VLOOKUP($E471,設定!$C:$F,3,0),"")</f>
        <v/>
      </c>
      <c r="H471" s="19" t="str">
        <f>IFERROR(VLOOKUP($E471,設定!$C:$F,4,0),"")</f>
        <v/>
      </c>
      <c r="I471" s="415"/>
    </row>
    <row r="472" spans="2:9" s="5" customFormat="1" ht="24" customHeight="1" x14ac:dyDescent="0.15">
      <c r="B472" s="9"/>
      <c r="C472" s="19"/>
      <c r="D472" s="17"/>
      <c r="E472" s="7"/>
      <c r="F472" s="11" t="str">
        <f>IFERROR(VLOOKUP($E472,設定!$C:$F,2,0),"")</f>
        <v/>
      </c>
      <c r="G472" s="171" t="str">
        <f>IFERROR(VLOOKUP($E472,設定!$C:$F,3,0),"")</f>
        <v/>
      </c>
      <c r="H472" s="19" t="str">
        <f>IFERROR(VLOOKUP($E472,設定!$C:$F,4,0),"")</f>
        <v/>
      </c>
      <c r="I472" s="415"/>
    </row>
    <row r="473" spans="2:9" s="5" customFormat="1" ht="24" customHeight="1" x14ac:dyDescent="0.15">
      <c r="B473" s="9"/>
      <c r="C473" s="19"/>
      <c r="D473" s="17"/>
      <c r="E473" s="7"/>
      <c r="F473" s="11" t="str">
        <f>IFERROR(VLOOKUP($E473,設定!$C:$F,2,0),"")</f>
        <v/>
      </c>
      <c r="G473" s="171" t="str">
        <f>IFERROR(VLOOKUP($E473,設定!$C:$F,3,0),"")</f>
        <v/>
      </c>
      <c r="H473" s="19" t="str">
        <f>IFERROR(VLOOKUP($E473,設定!$C:$F,4,0),"")</f>
        <v/>
      </c>
      <c r="I473" s="415"/>
    </row>
    <row r="474" spans="2:9" s="5" customFormat="1" ht="24" customHeight="1" x14ac:dyDescent="0.15">
      <c r="B474" s="9"/>
      <c r="C474" s="19"/>
      <c r="D474" s="17"/>
      <c r="E474" s="7"/>
      <c r="F474" s="11" t="str">
        <f>IFERROR(VLOOKUP($E474,設定!$C:$F,2,0),"")</f>
        <v/>
      </c>
      <c r="G474" s="171" t="str">
        <f>IFERROR(VLOOKUP($E474,設定!$C:$F,3,0),"")</f>
        <v/>
      </c>
      <c r="H474" s="19" t="str">
        <f>IFERROR(VLOOKUP($E474,設定!$C:$F,4,0),"")</f>
        <v/>
      </c>
      <c r="I474" s="415"/>
    </row>
    <row r="475" spans="2:9" s="5" customFormat="1" ht="24" customHeight="1" x14ac:dyDescent="0.15">
      <c r="B475" s="9"/>
      <c r="C475" s="19"/>
      <c r="D475" s="17"/>
      <c r="E475" s="7"/>
      <c r="F475" s="11" t="str">
        <f>IFERROR(VLOOKUP($E475,設定!$C:$F,2,0),"")</f>
        <v/>
      </c>
      <c r="G475" s="171" t="str">
        <f>IFERROR(VLOOKUP($E475,設定!$C:$F,3,0),"")</f>
        <v/>
      </c>
      <c r="H475" s="19" t="str">
        <f>IFERROR(VLOOKUP($E475,設定!$C:$F,4,0),"")</f>
        <v/>
      </c>
      <c r="I475" s="415"/>
    </row>
    <row r="476" spans="2:9" s="5" customFormat="1" ht="24" customHeight="1" x14ac:dyDescent="0.15">
      <c r="B476" s="9"/>
      <c r="C476" s="19"/>
      <c r="D476" s="17"/>
      <c r="E476" s="7"/>
      <c r="F476" s="11" t="str">
        <f>IFERROR(VLOOKUP($E476,設定!$C:$F,2,0),"")</f>
        <v/>
      </c>
      <c r="G476" s="171" t="str">
        <f>IFERROR(VLOOKUP($E476,設定!$C:$F,3,0),"")</f>
        <v/>
      </c>
      <c r="H476" s="19" t="str">
        <f>IFERROR(VLOOKUP($E476,設定!$C:$F,4,0),"")</f>
        <v/>
      </c>
      <c r="I476" s="415"/>
    </row>
    <row r="477" spans="2:9" s="5" customFormat="1" ht="24" customHeight="1" x14ac:dyDescent="0.15">
      <c r="B477" s="9"/>
      <c r="C477" s="19"/>
      <c r="D477" s="17"/>
      <c r="E477" s="7"/>
      <c r="F477" s="11" t="str">
        <f>IFERROR(VLOOKUP($E477,設定!$C:$F,2,0),"")</f>
        <v/>
      </c>
      <c r="G477" s="171" t="str">
        <f>IFERROR(VLOOKUP($E477,設定!$C:$F,3,0),"")</f>
        <v/>
      </c>
      <c r="H477" s="19" t="str">
        <f>IFERROR(VLOOKUP($E477,設定!$C:$F,4,0),"")</f>
        <v/>
      </c>
      <c r="I477" s="415"/>
    </row>
    <row r="478" spans="2:9" s="5" customFormat="1" ht="24" customHeight="1" x14ac:dyDescent="0.15">
      <c r="B478" s="9"/>
      <c r="C478" s="19"/>
      <c r="D478" s="17"/>
      <c r="E478" s="7"/>
      <c r="F478" s="11" t="str">
        <f>IFERROR(VLOOKUP($E478,設定!$C:$F,2,0),"")</f>
        <v/>
      </c>
      <c r="G478" s="171" t="str">
        <f>IFERROR(VLOOKUP($E478,設定!$C:$F,3,0),"")</f>
        <v/>
      </c>
      <c r="H478" s="19" t="str">
        <f>IFERROR(VLOOKUP($E478,設定!$C:$F,4,0),"")</f>
        <v/>
      </c>
      <c r="I478" s="415"/>
    </row>
    <row r="479" spans="2:9" s="5" customFormat="1" ht="24" customHeight="1" x14ac:dyDescent="0.15">
      <c r="B479" s="9"/>
      <c r="C479" s="19"/>
      <c r="D479" s="17"/>
      <c r="E479" s="7"/>
      <c r="F479" s="11" t="str">
        <f>IFERROR(VLOOKUP($E479,設定!$C:$F,2,0),"")</f>
        <v/>
      </c>
      <c r="G479" s="171" t="str">
        <f>IFERROR(VLOOKUP($E479,設定!$C:$F,3,0),"")</f>
        <v/>
      </c>
      <c r="H479" s="19" t="str">
        <f>IFERROR(VLOOKUP($E479,設定!$C:$F,4,0),"")</f>
        <v/>
      </c>
      <c r="I479" s="415"/>
    </row>
    <row r="480" spans="2:9" s="5" customFormat="1" ht="24" customHeight="1" x14ac:dyDescent="0.15">
      <c r="B480" s="9"/>
      <c r="C480" s="19"/>
      <c r="D480" s="17"/>
      <c r="E480" s="7"/>
      <c r="F480" s="11" t="str">
        <f>IFERROR(VLOOKUP($E480,設定!$C:$F,2,0),"")</f>
        <v/>
      </c>
      <c r="G480" s="171" t="str">
        <f>IFERROR(VLOOKUP($E480,設定!$C:$F,3,0),"")</f>
        <v/>
      </c>
      <c r="H480" s="19" t="str">
        <f>IFERROR(VLOOKUP($E480,設定!$C:$F,4,0),"")</f>
        <v/>
      </c>
      <c r="I480" s="415"/>
    </row>
    <row r="481" spans="2:9" s="5" customFormat="1" ht="24" customHeight="1" x14ac:dyDescent="0.15">
      <c r="B481" s="9"/>
      <c r="C481" s="19"/>
      <c r="D481" s="17"/>
      <c r="E481" s="7"/>
      <c r="F481" s="11" t="str">
        <f>IFERROR(VLOOKUP($E481,設定!$C:$F,2,0),"")</f>
        <v/>
      </c>
      <c r="G481" s="171" t="str">
        <f>IFERROR(VLOOKUP($E481,設定!$C:$F,3,0),"")</f>
        <v/>
      </c>
      <c r="H481" s="19" t="str">
        <f>IFERROR(VLOOKUP($E481,設定!$C:$F,4,0),"")</f>
        <v/>
      </c>
      <c r="I481" s="415"/>
    </row>
    <row r="482" spans="2:9" s="5" customFormat="1" ht="24" customHeight="1" x14ac:dyDescent="0.15">
      <c r="B482" s="9"/>
      <c r="C482" s="19"/>
      <c r="D482" s="17"/>
      <c r="E482" s="7"/>
      <c r="F482" s="11" t="str">
        <f>IFERROR(VLOOKUP($E482,設定!$C:$F,2,0),"")</f>
        <v/>
      </c>
      <c r="G482" s="171" t="str">
        <f>IFERROR(VLOOKUP($E482,設定!$C:$F,3,0),"")</f>
        <v/>
      </c>
      <c r="H482" s="19" t="str">
        <f>IFERROR(VLOOKUP($E482,設定!$C:$F,4,0),"")</f>
        <v/>
      </c>
      <c r="I482" s="415"/>
    </row>
    <row r="483" spans="2:9" s="5" customFormat="1" ht="24" customHeight="1" x14ac:dyDescent="0.15">
      <c r="B483" s="9"/>
      <c r="C483" s="19"/>
      <c r="D483" s="17"/>
      <c r="E483" s="7"/>
      <c r="F483" s="11" t="str">
        <f>IFERROR(VLOOKUP($E483,設定!$C:$F,2,0),"")</f>
        <v/>
      </c>
      <c r="G483" s="171" t="str">
        <f>IFERROR(VLOOKUP($E483,設定!$C:$F,3,0),"")</f>
        <v/>
      </c>
      <c r="H483" s="19" t="str">
        <f>IFERROR(VLOOKUP($E483,設定!$C:$F,4,0),"")</f>
        <v/>
      </c>
      <c r="I483" s="415"/>
    </row>
    <row r="484" spans="2:9" s="5" customFormat="1" ht="24" customHeight="1" x14ac:dyDescent="0.15">
      <c r="B484" s="9"/>
      <c r="C484" s="19"/>
      <c r="D484" s="17"/>
      <c r="E484" s="7"/>
      <c r="F484" s="11" t="str">
        <f>IFERROR(VLOOKUP($E484,設定!$C:$F,2,0),"")</f>
        <v/>
      </c>
      <c r="G484" s="171" t="str">
        <f>IFERROR(VLOOKUP($E484,設定!$C:$F,3,0),"")</f>
        <v/>
      </c>
      <c r="H484" s="19" t="str">
        <f>IFERROR(VLOOKUP($E484,設定!$C:$F,4,0),"")</f>
        <v/>
      </c>
      <c r="I484" s="415"/>
    </row>
    <row r="485" spans="2:9" s="5" customFormat="1" ht="24" customHeight="1" x14ac:dyDescent="0.15">
      <c r="B485" s="9"/>
      <c r="C485" s="19"/>
      <c r="D485" s="17"/>
      <c r="E485" s="7"/>
      <c r="F485" s="11" t="str">
        <f>IFERROR(VLOOKUP($E485,設定!$C:$F,2,0),"")</f>
        <v/>
      </c>
      <c r="G485" s="171" t="str">
        <f>IFERROR(VLOOKUP($E485,設定!$C:$F,3,0),"")</f>
        <v/>
      </c>
      <c r="H485" s="19" t="str">
        <f>IFERROR(VLOOKUP($E485,設定!$C:$F,4,0),"")</f>
        <v/>
      </c>
      <c r="I485" s="415"/>
    </row>
    <row r="486" spans="2:9" s="5" customFormat="1" ht="24" customHeight="1" x14ac:dyDescent="0.15">
      <c r="B486" s="9"/>
      <c r="C486" s="19"/>
      <c r="D486" s="17"/>
      <c r="E486" s="7"/>
      <c r="F486" s="11" t="str">
        <f>IFERROR(VLOOKUP($E486,設定!$C:$F,2,0),"")</f>
        <v/>
      </c>
      <c r="G486" s="171" t="str">
        <f>IFERROR(VLOOKUP($E486,設定!$C:$F,3,0),"")</f>
        <v/>
      </c>
      <c r="H486" s="19" t="str">
        <f>IFERROR(VLOOKUP($E486,設定!$C:$F,4,0),"")</f>
        <v/>
      </c>
      <c r="I486" s="415"/>
    </row>
    <row r="487" spans="2:9" s="5" customFormat="1" ht="24" customHeight="1" x14ac:dyDescent="0.15">
      <c r="B487" s="9"/>
      <c r="C487" s="19"/>
      <c r="D487" s="17"/>
      <c r="E487" s="7"/>
      <c r="F487" s="11" t="str">
        <f>IFERROR(VLOOKUP($E487,設定!$C:$F,2,0),"")</f>
        <v/>
      </c>
      <c r="G487" s="171" t="str">
        <f>IFERROR(VLOOKUP($E487,設定!$C:$F,3,0),"")</f>
        <v/>
      </c>
      <c r="H487" s="19" t="str">
        <f>IFERROR(VLOOKUP($E487,設定!$C:$F,4,0),"")</f>
        <v/>
      </c>
      <c r="I487" s="415"/>
    </row>
    <row r="488" spans="2:9" s="5" customFormat="1" ht="24" customHeight="1" x14ac:dyDescent="0.15">
      <c r="B488" s="9"/>
      <c r="C488" s="19"/>
      <c r="D488" s="17"/>
      <c r="E488" s="7"/>
      <c r="F488" s="11" t="str">
        <f>IFERROR(VLOOKUP($E488,設定!$C:$F,2,0),"")</f>
        <v/>
      </c>
      <c r="G488" s="171" t="str">
        <f>IFERROR(VLOOKUP($E488,設定!$C:$F,3,0),"")</f>
        <v/>
      </c>
      <c r="H488" s="19" t="str">
        <f>IFERROR(VLOOKUP($E488,設定!$C:$F,4,0),"")</f>
        <v/>
      </c>
      <c r="I488" s="415"/>
    </row>
    <row r="489" spans="2:9" s="5" customFormat="1" ht="24" customHeight="1" x14ac:dyDescent="0.15">
      <c r="B489" s="9"/>
      <c r="C489" s="19"/>
      <c r="D489" s="17"/>
      <c r="E489" s="7"/>
      <c r="F489" s="11" t="str">
        <f>IFERROR(VLOOKUP($E489,設定!$C:$F,2,0),"")</f>
        <v/>
      </c>
      <c r="G489" s="171" t="str">
        <f>IFERROR(VLOOKUP($E489,設定!$C:$F,3,0),"")</f>
        <v/>
      </c>
      <c r="H489" s="19" t="str">
        <f>IFERROR(VLOOKUP($E489,設定!$C:$F,4,0),"")</f>
        <v/>
      </c>
      <c r="I489" s="415"/>
    </row>
    <row r="490" spans="2:9" s="5" customFormat="1" ht="24" customHeight="1" x14ac:dyDescent="0.15">
      <c r="B490" s="9"/>
      <c r="C490" s="19"/>
      <c r="D490" s="17"/>
      <c r="E490" s="7"/>
      <c r="F490" s="11" t="str">
        <f>IFERROR(VLOOKUP($E490,設定!$C:$F,2,0),"")</f>
        <v/>
      </c>
      <c r="G490" s="171" t="str">
        <f>IFERROR(VLOOKUP($E490,設定!$C:$F,3,0),"")</f>
        <v/>
      </c>
      <c r="H490" s="19" t="str">
        <f>IFERROR(VLOOKUP($E490,設定!$C:$F,4,0),"")</f>
        <v/>
      </c>
      <c r="I490" s="415"/>
    </row>
    <row r="491" spans="2:9" s="5" customFormat="1" ht="24" customHeight="1" x14ac:dyDescent="0.15">
      <c r="B491" s="9"/>
      <c r="C491" s="19"/>
      <c r="D491" s="17"/>
      <c r="E491" s="7"/>
      <c r="F491" s="11" t="str">
        <f>IFERROR(VLOOKUP($E491,設定!$C:$F,2,0),"")</f>
        <v/>
      </c>
      <c r="G491" s="171" t="str">
        <f>IFERROR(VLOOKUP($E491,設定!$C:$F,3,0),"")</f>
        <v/>
      </c>
      <c r="H491" s="19" t="str">
        <f>IFERROR(VLOOKUP($E491,設定!$C:$F,4,0),"")</f>
        <v/>
      </c>
      <c r="I491" s="415"/>
    </row>
    <row r="492" spans="2:9" s="5" customFormat="1" ht="24" customHeight="1" x14ac:dyDescent="0.15">
      <c r="B492" s="9"/>
      <c r="C492" s="19"/>
      <c r="D492" s="17"/>
      <c r="E492" s="7"/>
      <c r="F492" s="11" t="str">
        <f>IFERROR(VLOOKUP($E492,設定!$C:$F,2,0),"")</f>
        <v/>
      </c>
      <c r="G492" s="171" t="str">
        <f>IFERROR(VLOOKUP($E492,設定!$C:$F,3,0),"")</f>
        <v/>
      </c>
      <c r="H492" s="19" t="str">
        <f>IFERROR(VLOOKUP($E492,設定!$C:$F,4,0),"")</f>
        <v/>
      </c>
      <c r="I492" s="415"/>
    </row>
    <row r="493" spans="2:9" s="5" customFormat="1" ht="24" customHeight="1" x14ac:dyDescent="0.15">
      <c r="B493" s="9"/>
      <c r="C493" s="19"/>
      <c r="D493" s="17"/>
      <c r="E493" s="7"/>
      <c r="F493" s="11" t="str">
        <f>IFERROR(VLOOKUP($E493,設定!$C:$F,2,0),"")</f>
        <v/>
      </c>
      <c r="G493" s="171" t="str">
        <f>IFERROR(VLOOKUP($E493,設定!$C:$F,3,0),"")</f>
        <v/>
      </c>
      <c r="H493" s="19" t="str">
        <f>IFERROR(VLOOKUP($E493,設定!$C:$F,4,0),"")</f>
        <v/>
      </c>
      <c r="I493" s="415"/>
    </row>
    <row r="494" spans="2:9" s="5" customFormat="1" ht="24" customHeight="1" x14ac:dyDescent="0.15">
      <c r="B494" s="9"/>
      <c r="C494" s="19"/>
      <c r="D494" s="17"/>
      <c r="E494" s="7"/>
      <c r="F494" s="11" t="str">
        <f>IFERROR(VLOOKUP($E494,設定!$C:$F,2,0),"")</f>
        <v/>
      </c>
      <c r="G494" s="171" t="str">
        <f>IFERROR(VLOOKUP($E494,設定!$C:$F,3,0),"")</f>
        <v/>
      </c>
      <c r="H494" s="19" t="str">
        <f>IFERROR(VLOOKUP($E494,設定!$C:$F,4,0),"")</f>
        <v/>
      </c>
      <c r="I494" s="415"/>
    </row>
    <row r="495" spans="2:9" s="5" customFormat="1" ht="24" customHeight="1" x14ac:dyDescent="0.15">
      <c r="B495" s="9"/>
      <c r="C495" s="19"/>
      <c r="D495" s="17"/>
      <c r="E495" s="7"/>
      <c r="F495" s="11" t="str">
        <f>IFERROR(VLOOKUP($E495,設定!$C:$F,2,0),"")</f>
        <v/>
      </c>
      <c r="G495" s="171" t="str">
        <f>IFERROR(VLOOKUP($E495,設定!$C:$F,3,0),"")</f>
        <v/>
      </c>
      <c r="H495" s="19" t="str">
        <f>IFERROR(VLOOKUP($E495,設定!$C:$F,4,0),"")</f>
        <v/>
      </c>
      <c r="I495" s="415"/>
    </row>
    <row r="496" spans="2:9" s="5" customFormat="1" ht="24" customHeight="1" x14ac:dyDescent="0.15">
      <c r="B496" s="9"/>
      <c r="C496" s="19"/>
      <c r="D496" s="17"/>
      <c r="E496" s="7"/>
      <c r="F496" s="11" t="str">
        <f>IFERROR(VLOOKUP($E496,設定!$C:$F,2,0),"")</f>
        <v/>
      </c>
      <c r="G496" s="171" t="str">
        <f>IFERROR(VLOOKUP($E496,設定!$C:$F,3,0),"")</f>
        <v/>
      </c>
      <c r="H496" s="19" t="str">
        <f>IFERROR(VLOOKUP($E496,設定!$C:$F,4,0),"")</f>
        <v/>
      </c>
      <c r="I496" s="415"/>
    </row>
    <row r="497" spans="2:9" s="5" customFormat="1" ht="24" customHeight="1" x14ac:dyDescent="0.15">
      <c r="B497" s="9"/>
      <c r="C497" s="19"/>
      <c r="D497" s="17"/>
      <c r="E497" s="7"/>
      <c r="F497" s="11" t="str">
        <f>IFERROR(VLOOKUP($E497,設定!$C:$F,2,0),"")</f>
        <v/>
      </c>
      <c r="G497" s="171" t="str">
        <f>IFERROR(VLOOKUP($E497,設定!$C:$F,3,0),"")</f>
        <v/>
      </c>
      <c r="H497" s="19" t="str">
        <f>IFERROR(VLOOKUP($E497,設定!$C:$F,4,0),"")</f>
        <v/>
      </c>
      <c r="I497" s="415"/>
    </row>
    <row r="498" spans="2:9" s="5" customFormat="1" ht="24" customHeight="1" x14ac:dyDescent="0.15">
      <c r="B498" s="9"/>
      <c r="C498" s="19"/>
      <c r="D498" s="17"/>
      <c r="E498" s="7"/>
      <c r="F498" s="11" t="str">
        <f>IFERROR(VLOOKUP($E498,設定!$C:$F,2,0),"")</f>
        <v/>
      </c>
      <c r="G498" s="171" t="str">
        <f>IFERROR(VLOOKUP($E498,設定!$C:$F,3,0),"")</f>
        <v/>
      </c>
      <c r="H498" s="19" t="str">
        <f>IFERROR(VLOOKUP($E498,設定!$C:$F,4,0),"")</f>
        <v/>
      </c>
      <c r="I498" s="415"/>
    </row>
    <row r="499" spans="2:9" s="5" customFormat="1" ht="24" customHeight="1" x14ac:dyDescent="0.15">
      <c r="B499" s="9"/>
      <c r="C499" s="19"/>
      <c r="D499" s="17"/>
      <c r="E499" s="7"/>
      <c r="F499" s="11" t="str">
        <f>IFERROR(VLOOKUP($E499,設定!$C:$F,2,0),"")</f>
        <v/>
      </c>
      <c r="G499" s="171" t="str">
        <f>IFERROR(VLOOKUP($E499,設定!$C:$F,3,0),"")</f>
        <v/>
      </c>
      <c r="H499" s="19" t="str">
        <f>IFERROR(VLOOKUP($E499,設定!$C:$F,4,0),"")</f>
        <v/>
      </c>
      <c r="I499" s="415"/>
    </row>
    <row r="500" spans="2:9" s="5" customFormat="1" ht="24" customHeight="1" x14ac:dyDescent="0.15">
      <c r="B500" s="9"/>
      <c r="C500" s="19"/>
      <c r="D500" s="17"/>
      <c r="E500" s="7"/>
      <c r="F500" s="11" t="str">
        <f>IFERROR(VLOOKUP($E500,設定!$C:$F,2,0),"")</f>
        <v/>
      </c>
      <c r="G500" s="171" t="str">
        <f>IFERROR(VLOOKUP($E500,設定!$C:$F,3,0),"")</f>
        <v/>
      </c>
      <c r="H500" s="19" t="str">
        <f>IFERROR(VLOOKUP($E500,設定!$C:$F,4,0),"")</f>
        <v/>
      </c>
      <c r="I500" s="415"/>
    </row>
    <row r="501" spans="2:9" s="5" customFormat="1" ht="24" customHeight="1" x14ac:dyDescent="0.15">
      <c r="B501" s="9"/>
      <c r="C501" s="19"/>
      <c r="D501" s="17"/>
      <c r="E501" s="7"/>
      <c r="F501" s="11" t="str">
        <f>IFERROR(VLOOKUP($E501,設定!$C:$F,2,0),"")</f>
        <v/>
      </c>
      <c r="G501" s="171" t="str">
        <f>IFERROR(VLOOKUP($E501,設定!$C:$F,3,0),"")</f>
        <v/>
      </c>
      <c r="H501" s="19" t="str">
        <f>IFERROR(VLOOKUP($E501,設定!$C:$F,4,0),"")</f>
        <v/>
      </c>
      <c r="I501" s="415"/>
    </row>
    <row r="502" spans="2:9" s="5" customFormat="1" ht="24" customHeight="1" x14ac:dyDescent="0.15">
      <c r="B502" s="9"/>
      <c r="C502" s="19"/>
      <c r="D502" s="17"/>
      <c r="E502" s="7"/>
      <c r="F502" s="11" t="str">
        <f>IFERROR(VLOOKUP($E502,設定!$C:$F,2,0),"")</f>
        <v/>
      </c>
      <c r="G502" s="171" t="str">
        <f>IFERROR(VLOOKUP($E502,設定!$C:$F,3,0),"")</f>
        <v/>
      </c>
      <c r="H502" s="19" t="str">
        <f>IFERROR(VLOOKUP($E502,設定!$C:$F,4,0),"")</f>
        <v/>
      </c>
      <c r="I502" s="415"/>
    </row>
    <row r="503" spans="2:9" s="5" customFormat="1" ht="24" customHeight="1" x14ac:dyDescent="0.15">
      <c r="B503" s="9"/>
      <c r="C503" s="19"/>
      <c r="D503" s="17"/>
      <c r="E503" s="7"/>
      <c r="F503" s="11" t="str">
        <f>IFERROR(VLOOKUP($E503,設定!$C:$F,2,0),"")</f>
        <v/>
      </c>
      <c r="G503" s="171" t="str">
        <f>IFERROR(VLOOKUP($E503,設定!$C:$F,3,0),"")</f>
        <v/>
      </c>
      <c r="H503" s="19" t="str">
        <f>IFERROR(VLOOKUP($E503,設定!$C:$F,4,0),"")</f>
        <v/>
      </c>
      <c r="I503" s="415"/>
    </row>
    <row r="504" spans="2:9" s="5" customFormat="1" ht="24" customHeight="1" x14ac:dyDescent="0.15">
      <c r="B504" s="9"/>
      <c r="C504" s="19"/>
      <c r="D504" s="17"/>
      <c r="E504" s="7"/>
      <c r="F504" s="11" t="str">
        <f>IFERROR(VLOOKUP($E504,設定!$C:$F,2,0),"")</f>
        <v/>
      </c>
      <c r="G504" s="171" t="str">
        <f>IFERROR(VLOOKUP($E504,設定!$C:$F,3,0),"")</f>
        <v/>
      </c>
      <c r="H504" s="19" t="str">
        <f>IFERROR(VLOOKUP($E504,設定!$C:$F,4,0),"")</f>
        <v/>
      </c>
      <c r="I504" s="415"/>
    </row>
    <row r="505" spans="2:9" s="5" customFormat="1" ht="24" customHeight="1" x14ac:dyDescent="0.15">
      <c r="B505" s="9"/>
      <c r="C505" s="19"/>
      <c r="D505" s="17"/>
      <c r="E505" s="7"/>
      <c r="F505" s="11" t="str">
        <f>IFERROR(VLOOKUP($E505,設定!$C:$F,2,0),"")</f>
        <v/>
      </c>
      <c r="G505" s="171" t="str">
        <f>IFERROR(VLOOKUP($E505,設定!$C:$F,3,0),"")</f>
        <v/>
      </c>
      <c r="H505" s="19" t="str">
        <f>IFERROR(VLOOKUP($E505,設定!$C:$F,4,0),"")</f>
        <v/>
      </c>
      <c r="I505" s="415"/>
    </row>
    <row r="506" spans="2:9" s="5" customFormat="1" ht="24" customHeight="1" x14ac:dyDescent="0.15">
      <c r="B506" s="9"/>
      <c r="C506" s="19"/>
      <c r="D506" s="17"/>
      <c r="E506" s="7"/>
      <c r="F506" s="11" t="str">
        <f>IFERROR(VLOOKUP($E506,設定!$C:$F,2,0),"")</f>
        <v/>
      </c>
      <c r="G506" s="171" t="str">
        <f>IFERROR(VLOOKUP($E506,設定!$C:$F,3,0),"")</f>
        <v/>
      </c>
      <c r="H506" s="19" t="str">
        <f>IFERROR(VLOOKUP($E506,設定!$C:$F,4,0),"")</f>
        <v/>
      </c>
      <c r="I506" s="415"/>
    </row>
    <row r="507" spans="2:9" s="5" customFormat="1" ht="24" customHeight="1" x14ac:dyDescent="0.15">
      <c r="B507" s="9"/>
      <c r="C507" s="19"/>
      <c r="D507" s="17"/>
      <c r="E507" s="7"/>
      <c r="F507" s="11" t="str">
        <f>IFERROR(VLOOKUP($E507,設定!$C:$F,2,0),"")</f>
        <v/>
      </c>
      <c r="G507" s="171" t="str">
        <f>IFERROR(VLOOKUP($E507,設定!$C:$F,3,0),"")</f>
        <v/>
      </c>
      <c r="H507" s="19" t="str">
        <f>IFERROR(VLOOKUP($E507,設定!$C:$F,4,0),"")</f>
        <v/>
      </c>
      <c r="I507" s="415"/>
    </row>
    <row r="508" spans="2:9" s="5" customFormat="1" ht="24" customHeight="1" x14ac:dyDescent="0.15">
      <c r="B508" s="9"/>
      <c r="C508" s="19"/>
      <c r="D508" s="17"/>
      <c r="E508" s="7"/>
      <c r="F508" s="11" t="str">
        <f>IFERROR(VLOOKUP($E508,設定!$C:$F,2,0),"")</f>
        <v/>
      </c>
      <c r="G508" s="171" t="str">
        <f>IFERROR(VLOOKUP($E508,設定!$C:$F,3,0),"")</f>
        <v/>
      </c>
      <c r="H508" s="19" t="str">
        <f>IFERROR(VLOOKUP($E508,設定!$C:$F,4,0),"")</f>
        <v/>
      </c>
      <c r="I508" s="415"/>
    </row>
    <row r="509" spans="2:9" s="5" customFormat="1" ht="24" customHeight="1" x14ac:dyDescent="0.15">
      <c r="B509" s="9"/>
      <c r="C509" s="19"/>
      <c r="D509" s="17"/>
      <c r="E509" s="7"/>
      <c r="F509" s="11" t="str">
        <f>IFERROR(VLOOKUP($E509,設定!$C:$F,2,0),"")</f>
        <v/>
      </c>
      <c r="G509" s="171" t="str">
        <f>IFERROR(VLOOKUP($E509,設定!$C:$F,3,0),"")</f>
        <v/>
      </c>
      <c r="H509" s="19" t="str">
        <f>IFERROR(VLOOKUP($E509,設定!$C:$F,4,0),"")</f>
        <v/>
      </c>
      <c r="I509" s="415"/>
    </row>
    <row r="510" spans="2:9" s="5" customFormat="1" ht="24" customHeight="1" x14ac:dyDescent="0.15">
      <c r="B510" s="9"/>
      <c r="C510" s="19"/>
      <c r="D510" s="17"/>
      <c r="E510" s="7"/>
      <c r="F510" s="11" t="str">
        <f>IFERROR(VLOOKUP($E510,設定!$C:$F,2,0),"")</f>
        <v/>
      </c>
      <c r="G510" s="171" t="str">
        <f>IFERROR(VLOOKUP($E510,設定!$C:$F,3,0),"")</f>
        <v/>
      </c>
      <c r="H510" s="19" t="str">
        <f>IFERROR(VLOOKUP($E510,設定!$C:$F,4,0),"")</f>
        <v/>
      </c>
      <c r="I510" s="415"/>
    </row>
    <row r="511" spans="2:9" s="5" customFormat="1" ht="24" customHeight="1" x14ac:dyDescent="0.15">
      <c r="B511" s="9"/>
      <c r="C511" s="19"/>
      <c r="D511" s="17"/>
      <c r="E511" s="7"/>
      <c r="F511" s="11" t="str">
        <f>IFERROR(VLOOKUP($E511,設定!$C:$F,2,0),"")</f>
        <v/>
      </c>
      <c r="G511" s="171" t="str">
        <f>IFERROR(VLOOKUP($E511,設定!$C:$F,3,0),"")</f>
        <v/>
      </c>
      <c r="H511" s="19" t="str">
        <f>IFERROR(VLOOKUP($E511,設定!$C:$F,4,0),"")</f>
        <v/>
      </c>
      <c r="I511" s="415"/>
    </row>
    <row r="512" spans="2:9" s="5" customFormat="1" ht="24" customHeight="1" x14ac:dyDescent="0.15">
      <c r="B512" s="9"/>
      <c r="C512" s="19"/>
      <c r="D512" s="17"/>
      <c r="E512" s="7"/>
      <c r="F512" s="11" t="str">
        <f>IFERROR(VLOOKUP($E512,設定!$C:$F,2,0),"")</f>
        <v/>
      </c>
      <c r="G512" s="171" t="str">
        <f>IFERROR(VLOOKUP($E512,設定!$C:$F,3,0),"")</f>
        <v/>
      </c>
      <c r="H512" s="19" t="str">
        <f>IFERROR(VLOOKUP($E512,設定!$C:$F,4,0),"")</f>
        <v/>
      </c>
      <c r="I512" s="415"/>
    </row>
    <row r="513" spans="2:9" s="5" customFormat="1" ht="24" customHeight="1" x14ac:dyDescent="0.15">
      <c r="B513" s="9"/>
      <c r="C513" s="19"/>
      <c r="D513" s="17"/>
      <c r="E513" s="7"/>
      <c r="F513" s="11" t="str">
        <f>IFERROR(VLOOKUP($E513,設定!$C:$F,2,0),"")</f>
        <v/>
      </c>
      <c r="G513" s="171" t="str">
        <f>IFERROR(VLOOKUP($E513,設定!$C:$F,3,0),"")</f>
        <v/>
      </c>
      <c r="H513" s="19" t="str">
        <f>IFERROR(VLOOKUP($E513,設定!$C:$F,4,0),"")</f>
        <v/>
      </c>
      <c r="I513" s="415"/>
    </row>
    <row r="514" spans="2:9" s="5" customFormat="1" ht="24" customHeight="1" x14ac:dyDescent="0.15">
      <c r="B514" s="9"/>
      <c r="C514" s="19"/>
      <c r="D514" s="17"/>
      <c r="E514" s="7"/>
      <c r="F514" s="11" t="str">
        <f>IFERROR(VLOOKUP($E514,設定!$C:$F,2,0),"")</f>
        <v/>
      </c>
      <c r="G514" s="171" t="str">
        <f>IFERROR(VLOOKUP($E514,設定!$C:$F,3,0),"")</f>
        <v/>
      </c>
      <c r="H514" s="19" t="str">
        <f>IFERROR(VLOOKUP($E514,設定!$C:$F,4,0),"")</f>
        <v/>
      </c>
      <c r="I514" s="415"/>
    </row>
    <row r="515" spans="2:9" s="5" customFormat="1" ht="24" customHeight="1" x14ac:dyDescent="0.15">
      <c r="B515" s="9"/>
      <c r="C515" s="19"/>
      <c r="D515" s="17"/>
      <c r="E515" s="7"/>
      <c r="F515" s="11" t="str">
        <f>IFERROR(VLOOKUP($E515,設定!$C:$F,2,0),"")</f>
        <v/>
      </c>
      <c r="G515" s="171" t="str">
        <f>IFERROR(VLOOKUP($E515,設定!$C:$F,3,0),"")</f>
        <v/>
      </c>
      <c r="H515" s="19" t="str">
        <f>IFERROR(VLOOKUP($E515,設定!$C:$F,4,0),"")</f>
        <v/>
      </c>
      <c r="I515" s="415"/>
    </row>
    <row r="516" spans="2:9" s="5" customFormat="1" ht="24" customHeight="1" x14ac:dyDescent="0.15">
      <c r="B516" s="9"/>
      <c r="C516" s="19"/>
      <c r="D516" s="17"/>
      <c r="E516" s="7"/>
      <c r="F516" s="11" t="str">
        <f>IFERROR(VLOOKUP($E516,設定!$C:$F,2,0),"")</f>
        <v/>
      </c>
      <c r="G516" s="171" t="str">
        <f>IFERROR(VLOOKUP($E516,設定!$C:$F,3,0),"")</f>
        <v/>
      </c>
      <c r="H516" s="19" t="str">
        <f>IFERROR(VLOOKUP($E516,設定!$C:$F,4,0),"")</f>
        <v/>
      </c>
      <c r="I516" s="415"/>
    </row>
    <row r="517" spans="2:9" s="5" customFormat="1" ht="24" customHeight="1" x14ac:dyDescent="0.15">
      <c r="B517" s="9"/>
      <c r="C517" s="19"/>
      <c r="D517" s="17"/>
      <c r="E517" s="7"/>
      <c r="F517" s="11" t="str">
        <f>IFERROR(VLOOKUP($E517,設定!$C:$F,2,0),"")</f>
        <v/>
      </c>
      <c r="G517" s="171" t="str">
        <f>IFERROR(VLOOKUP($E517,設定!$C:$F,3,0),"")</f>
        <v/>
      </c>
      <c r="H517" s="19" t="str">
        <f>IFERROR(VLOOKUP($E517,設定!$C:$F,4,0),"")</f>
        <v/>
      </c>
      <c r="I517" s="415"/>
    </row>
    <row r="518" spans="2:9" s="5" customFormat="1" ht="24" customHeight="1" x14ac:dyDescent="0.15">
      <c r="B518" s="9"/>
      <c r="C518" s="19"/>
      <c r="D518" s="17"/>
      <c r="E518" s="7"/>
      <c r="F518" s="11" t="str">
        <f>IFERROR(VLOOKUP($E518,設定!$C:$F,2,0),"")</f>
        <v/>
      </c>
      <c r="G518" s="171" t="str">
        <f>IFERROR(VLOOKUP($E518,設定!$C:$F,3,0),"")</f>
        <v/>
      </c>
      <c r="H518" s="19" t="str">
        <f>IFERROR(VLOOKUP($E518,設定!$C:$F,4,0),"")</f>
        <v/>
      </c>
      <c r="I518" s="415"/>
    </row>
    <row r="519" spans="2:9" s="5" customFormat="1" ht="24" customHeight="1" x14ac:dyDescent="0.15">
      <c r="B519" s="9"/>
      <c r="C519" s="19"/>
      <c r="D519" s="17"/>
      <c r="E519" s="7"/>
      <c r="F519" s="11" t="str">
        <f>IFERROR(VLOOKUP($E519,設定!$C:$F,2,0),"")</f>
        <v/>
      </c>
      <c r="G519" s="171" t="str">
        <f>IFERROR(VLOOKUP($E519,設定!$C:$F,3,0),"")</f>
        <v/>
      </c>
      <c r="H519" s="19" t="str">
        <f>IFERROR(VLOOKUP($E519,設定!$C:$F,4,0),"")</f>
        <v/>
      </c>
      <c r="I519" s="415"/>
    </row>
    <row r="520" spans="2:9" s="5" customFormat="1" ht="24" customHeight="1" x14ac:dyDescent="0.15">
      <c r="B520" s="9"/>
      <c r="C520" s="19"/>
      <c r="D520" s="17"/>
      <c r="E520" s="7"/>
      <c r="F520" s="11" t="str">
        <f>IFERROR(VLOOKUP($E520,設定!$C:$F,2,0),"")</f>
        <v/>
      </c>
      <c r="G520" s="171" t="str">
        <f>IFERROR(VLOOKUP($E520,設定!$C:$F,3,0),"")</f>
        <v/>
      </c>
      <c r="H520" s="19" t="str">
        <f>IFERROR(VLOOKUP($E520,設定!$C:$F,4,0),"")</f>
        <v/>
      </c>
      <c r="I520" s="415"/>
    </row>
    <row r="521" spans="2:9" s="5" customFormat="1" ht="24" customHeight="1" x14ac:dyDescent="0.15">
      <c r="B521" s="9"/>
      <c r="C521" s="19"/>
      <c r="D521" s="17"/>
      <c r="E521" s="7"/>
      <c r="F521" s="11" t="str">
        <f>IFERROR(VLOOKUP($E521,設定!$C:$F,2,0),"")</f>
        <v/>
      </c>
      <c r="G521" s="171" t="str">
        <f>IFERROR(VLOOKUP($E521,設定!$C:$F,3,0),"")</f>
        <v/>
      </c>
      <c r="H521" s="19" t="str">
        <f>IFERROR(VLOOKUP($E521,設定!$C:$F,4,0),"")</f>
        <v/>
      </c>
      <c r="I521" s="415"/>
    </row>
    <row r="522" spans="2:9" s="5" customFormat="1" ht="24" customHeight="1" x14ac:dyDescent="0.15">
      <c r="B522" s="9"/>
      <c r="C522" s="19"/>
      <c r="D522" s="17"/>
      <c r="E522" s="7"/>
      <c r="F522" s="11" t="str">
        <f>IFERROR(VLOOKUP($E522,設定!$C:$F,2,0),"")</f>
        <v/>
      </c>
      <c r="G522" s="171" t="str">
        <f>IFERROR(VLOOKUP($E522,設定!$C:$F,3,0),"")</f>
        <v/>
      </c>
      <c r="H522" s="19" t="str">
        <f>IFERROR(VLOOKUP($E522,設定!$C:$F,4,0),"")</f>
        <v/>
      </c>
      <c r="I522" s="415"/>
    </row>
    <row r="523" spans="2:9" s="5" customFormat="1" ht="24" customHeight="1" x14ac:dyDescent="0.15">
      <c r="B523" s="9"/>
      <c r="C523" s="19"/>
      <c r="D523" s="17"/>
      <c r="E523" s="7"/>
      <c r="F523" s="11" t="str">
        <f>IFERROR(VLOOKUP($E523,設定!$C:$F,2,0),"")</f>
        <v/>
      </c>
      <c r="G523" s="171" t="str">
        <f>IFERROR(VLOOKUP($E523,設定!$C:$F,3,0),"")</f>
        <v/>
      </c>
      <c r="H523" s="19" t="str">
        <f>IFERROR(VLOOKUP($E523,設定!$C:$F,4,0),"")</f>
        <v/>
      </c>
      <c r="I523" s="415"/>
    </row>
    <row r="524" spans="2:9" s="5" customFormat="1" ht="24" customHeight="1" x14ac:dyDescent="0.15">
      <c r="B524" s="9"/>
      <c r="C524" s="19"/>
      <c r="D524" s="17"/>
      <c r="E524" s="7"/>
      <c r="F524" s="11" t="str">
        <f>IFERROR(VLOOKUP($E524,設定!$C:$F,2,0),"")</f>
        <v/>
      </c>
      <c r="G524" s="171" t="str">
        <f>IFERROR(VLOOKUP($E524,設定!$C:$F,3,0),"")</f>
        <v/>
      </c>
      <c r="H524" s="19" t="str">
        <f>IFERROR(VLOOKUP($E524,設定!$C:$F,4,0),"")</f>
        <v/>
      </c>
      <c r="I524" s="415"/>
    </row>
    <row r="525" spans="2:9" s="5" customFormat="1" ht="24" customHeight="1" x14ac:dyDescent="0.15">
      <c r="B525" s="9"/>
      <c r="C525" s="19"/>
      <c r="D525" s="17"/>
      <c r="E525" s="7"/>
      <c r="F525" s="11" t="str">
        <f>IFERROR(VLOOKUP($E525,設定!$C:$F,2,0),"")</f>
        <v/>
      </c>
      <c r="G525" s="171" t="str">
        <f>IFERROR(VLOOKUP($E525,設定!$C:$F,3,0),"")</f>
        <v/>
      </c>
      <c r="H525" s="19" t="str">
        <f>IFERROR(VLOOKUP($E525,設定!$C:$F,4,0),"")</f>
        <v/>
      </c>
      <c r="I525" s="415"/>
    </row>
    <row r="526" spans="2:9" s="5" customFormat="1" ht="24" customHeight="1" x14ac:dyDescent="0.15">
      <c r="B526" s="9"/>
      <c r="C526" s="19"/>
      <c r="D526" s="17"/>
      <c r="E526" s="7"/>
      <c r="F526" s="11" t="str">
        <f>IFERROR(VLOOKUP($E526,設定!$C:$F,2,0),"")</f>
        <v/>
      </c>
      <c r="G526" s="171" t="str">
        <f>IFERROR(VLOOKUP($E526,設定!$C:$F,3,0),"")</f>
        <v/>
      </c>
      <c r="H526" s="19" t="str">
        <f>IFERROR(VLOOKUP($E526,設定!$C:$F,4,0),"")</f>
        <v/>
      </c>
      <c r="I526" s="415"/>
    </row>
    <row r="527" spans="2:9" s="5" customFormat="1" ht="24" customHeight="1" x14ac:dyDescent="0.15">
      <c r="B527" s="9"/>
      <c r="C527" s="19"/>
      <c r="D527" s="17"/>
      <c r="E527" s="7"/>
      <c r="F527" s="11" t="str">
        <f>IFERROR(VLOOKUP($E527,設定!$C:$F,2,0),"")</f>
        <v/>
      </c>
      <c r="G527" s="171" t="str">
        <f>IFERROR(VLOOKUP($E527,設定!$C:$F,3,0),"")</f>
        <v/>
      </c>
      <c r="H527" s="19" t="str">
        <f>IFERROR(VLOOKUP($E527,設定!$C:$F,4,0),"")</f>
        <v/>
      </c>
      <c r="I527" s="415"/>
    </row>
    <row r="528" spans="2:9" s="5" customFormat="1" ht="24" customHeight="1" x14ac:dyDescent="0.15">
      <c r="B528" s="9"/>
      <c r="C528" s="19"/>
      <c r="D528" s="17"/>
      <c r="E528" s="7"/>
      <c r="F528" s="11" t="str">
        <f>IFERROR(VLOOKUP($E528,設定!$C:$F,2,0),"")</f>
        <v/>
      </c>
      <c r="G528" s="171" t="str">
        <f>IFERROR(VLOOKUP($E528,設定!$C:$F,3,0),"")</f>
        <v/>
      </c>
      <c r="H528" s="19" t="str">
        <f>IFERROR(VLOOKUP($E528,設定!$C:$F,4,0),"")</f>
        <v/>
      </c>
      <c r="I528" s="415"/>
    </row>
    <row r="529" spans="2:9" s="5" customFormat="1" ht="24" customHeight="1" x14ac:dyDescent="0.15">
      <c r="B529" s="9"/>
      <c r="C529" s="19"/>
      <c r="D529" s="17"/>
      <c r="E529" s="7"/>
      <c r="F529" s="11" t="str">
        <f>IFERROR(VLOOKUP($E529,設定!$C:$F,2,0),"")</f>
        <v/>
      </c>
      <c r="G529" s="171" t="str">
        <f>IFERROR(VLOOKUP($E529,設定!$C:$F,3,0),"")</f>
        <v/>
      </c>
      <c r="H529" s="19" t="str">
        <f>IFERROR(VLOOKUP($E529,設定!$C:$F,4,0),"")</f>
        <v/>
      </c>
      <c r="I529" s="415"/>
    </row>
    <row r="530" spans="2:9" s="5" customFormat="1" ht="24" customHeight="1" x14ac:dyDescent="0.15">
      <c r="B530" s="9"/>
      <c r="C530" s="19"/>
      <c r="D530" s="17"/>
      <c r="E530" s="7"/>
      <c r="F530" s="11" t="str">
        <f>IFERROR(VLOOKUP($E530,設定!$C:$F,2,0),"")</f>
        <v/>
      </c>
      <c r="G530" s="171" t="str">
        <f>IFERROR(VLOOKUP($E530,設定!$C:$F,3,0),"")</f>
        <v/>
      </c>
      <c r="H530" s="19" t="str">
        <f>IFERROR(VLOOKUP($E530,設定!$C:$F,4,0),"")</f>
        <v/>
      </c>
      <c r="I530" s="415"/>
    </row>
    <row r="531" spans="2:9" s="5" customFormat="1" ht="24" customHeight="1" x14ac:dyDescent="0.15">
      <c r="B531" s="9"/>
      <c r="C531" s="19"/>
      <c r="D531" s="17"/>
      <c r="E531" s="7"/>
      <c r="F531" s="11" t="str">
        <f>IFERROR(VLOOKUP($E531,設定!$C:$F,2,0),"")</f>
        <v/>
      </c>
      <c r="G531" s="171" t="str">
        <f>IFERROR(VLOOKUP($E531,設定!$C:$F,3,0),"")</f>
        <v/>
      </c>
      <c r="H531" s="19" t="str">
        <f>IFERROR(VLOOKUP($E531,設定!$C:$F,4,0),"")</f>
        <v/>
      </c>
      <c r="I531" s="415"/>
    </row>
    <row r="532" spans="2:9" s="5" customFormat="1" ht="24" customHeight="1" x14ac:dyDescent="0.15">
      <c r="B532" s="9"/>
      <c r="C532" s="19"/>
      <c r="D532" s="17"/>
      <c r="E532" s="7"/>
      <c r="F532" s="11" t="str">
        <f>IFERROR(VLOOKUP($E532,設定!$C:$F,2,0),"")</f>
        <v/>
      </c>
      <c r="G532" s="171" t="str">
        <f>IFERROR(VLOOKUP($E532,設定!$C:$F,3,0),"")</f>
        <v/>
      </c>
      <c r="H532" s="19" t="str">
        <f>IFERROR(VLOOKUP($E532,設定!$C:$F,4,0),"")</f>
        <v/>
      </c>
      <c r="I532" s="415"/>
    </row>
    <row r="533" spans="2:9" s="5" customFormat="1" ht="24" customHeight="1" x14ac:dyDescent="0.15">
      <c r="B533" s="9"/>
      <c r="C533" s="19"/>
      <c r="D533" s="17"/>
      <c r="E533" s="7"/>
      <c r="F533" s="11" t="str">
        <f>IFERROR(VLOOKUP($E533,設定!$C:$F,2,0),"")</f>
        <v/>
      </c>
      <c r="G533" s="171" t="str">
        <f>IFERROR(VLOOKUP($E533,設定!$C:$F,3,0),"")</f>
        <v/>
      </c>
      <c r="H533" s="19" t="str">
        <f>IFERROR(VLOOKUP($E533,設定!$C:$F,4,0),"")</f>
        <v/>
      </c>
      <c r="I533" s="415"/>
    </row>
    <row r="534" spans="2:9" s="5" customFormat="1" ht="24" customHeight="1" x14ac:dyDescent="0.15">
      <c r="B534" s="9"/>
      <c r="C534" s="19"/>
      <c r="D534" s="17"/>
      <c r="E534" s="7"/>
      <c r="F534" s="11" t="str">
        <f>IFERROR(VLOOKUP($E534,設定!$C:$F,2,0),"")</f>
        <v/>
      </c>
      <c r="G534" s="171" t="str">
        <f>IFERROR(VLOOKUP($E534,設定!$C:$F,3,0),"")</f>
        <v/>
      </c>
      <c r="H534" s="19" t="str">
        <f>IFERROR(VLOOKUP($E534,設定!$C:$F,4,0),"")</f>
        <v/>
      </c>
      <c r="I534" s="415"/>
    </row>
    <row r="535" spans="2:9" s="5" customFormat="1" ht="24" customHeight="1" x14ac:dyDescent="0.15">
      <c r="B535" s="9"/>
      <c r="C535" s="19"/>
      <c r="D535" s="17"/>
      <c r="E535" s="7"/>
      <c r="F535" s="11" t="str">
        <f>IFERROR(VLOOKUP($E535,設定!$C:$F,2,0),"")</f>
        <v/>
      </c>
      <c r="G535" s="171" t="str">
        <f>IFERROR(VLOOKUP($E535,設定!$C:$F,3,0),"")</f>
        <v/>
      </c>
      <c r="H535" s="19" t="str">
        <f>IFERROR(VLOOKUP($E535,設定!$C:$F,4,0),"")</f>
        <v/>
      </c>
      <c r="I535" s="415"/>
    </row>
    <row r="536" spans="2:9" s="5" customFormat="1" ht="24" customHeight="1" x14ac:dyDescent="0.15">
      <c r="B536" s="9"/>
      <c r="C536" s="19"/>
      <c r="D536" s="17"/>
      <c r="E536" s="7"/>
      <c r="F536" s="11" t="str">
        <f>IFERROR(VLOOKUP($E536,設定!$C:$F,2,0),"")</f>
        <v/>
      </c>
      <c r="G536" s="171" t="str">
        <f>IFERROR(VLOOKUP($E536,設定!$C:$F,3,0),"")</f>
        <v/>
      </c>
      <c r="H536" s="19" t="str">
        <f>IFERROR(VLOOKUP($E536,設定!$C:$F,4,0),"")</f>
        <v/>
      </c>
      <c r="I536" s="415"/>
    </row>
    <row r="537" spans="2:9" s="5" customFormat="1" ht="24" customHeight="1" thickBot="1" x14ac:dyDescent="0.2">
      <c r="B537" s="10"/>
      <c r="C537" s="20"/>
      <c r="D537" s="18"/>
      <c r="E537" s="8"/>
      <c r="F537" s="12" t="str">
        <f>IFERROR(VLOOKUP($E537,設定!$C:$F,2,0),"")</f>
        <v/>
      </c>
      <c r="G537" s="172" t="str">
        <f>IFERROR(VLOOKUP($E537,設定!$C:$F,3,0),"")</f>
        <v/>
      </c>
      <c r="H537" s="20" t="str">
        <f>IFERROR(VLOOKUP($E537,設定!$C:$F,4,0),"")</f>
        <v/>
      </c>
      <c r="I537" s="416"/>
    </row>
  </sheetData>
  <autoFilter ref="B6:I537" xr:uid="{264688F1-9E17-428D-BEF9-C73223718E79}"/>
  <mergeCells count="11">
    <mergeCell ref="I5:I6"/>
    <mergeCell ref="B1:I1"/>
    <mergeCell ref="B2:D2"/>
    <mergeCell ref="B3:D3"/>
    <mergeCell ref="B5:B6"/>
    <mergeCell ref="C5:C6"/>
    <mergeCell ref="D5:D6"/>
    <mergeCell ref="E5:E6"/>
    <mergeCell ref="F5:F6"/>
    <mergeCell ref="G5:G6"/>
    <mergeCell ref="H5:H6"/>
  </mergeCells>
  <phoneticPr fontId="2"/>
  <printOptions horizontalCentered="1"/>
  <pageMargins left="0.59055118110236227" right="0.59055118110236227" top="0.59055118110236227" bottom="0.59055118110236227" header="0" footer="0.27559055118110237"/>
  <pageSetup paperSize="9" fitToHeight="0" orientation="landscape"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showErrorMessage="1" xr:uid="{737D1FE9-FE3D-4642-8A22-E5EE891CA1A9}">
          <x14:formula1>
            <xm:f>設定!$C$9:$C$108</xm:f>
          </x14:formula1>
          <xm:sqref>E7:E537</xm:sqref>
        </x14:dataValidation>
        <x14:dataValidation type="list" allowBlank="1" showInputMessage="1" showErrorMessage="1" xr:uid="{926C4EEF-2AA4-4BD5-A7F1-C586C1A2D1F1}">
          <x14:formula1>
            <xm:f>INDIRECT('リスト '!$H$1)</xm:f>
          </x14:formula1>
          <xm:sqref>D7:D537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CD7F4-9819-4B3E-AB21-3256122C9F74}">
  <sheetPr transitionEvaluation="1">
    <pageSetUpPr autoPageBreaks="0" fitToPage="1"/>
  </sheetPr>
  <dimension ref="A1:BF113"/>
  <sheetViews>
    <sheetView showGridLines="0" zoomScale="70" zoomScaleNormal="70" zoomScaleSheetLayoutView="70" workbookViewId="0"/>
  </sheetViews>
  <sheetFormatPr defaultColWidth="2.75" defaultRowHeight="14.25" customHeight="1" x14ac:dyDescent="0.15"/>
  <cols>
    <col min="1" max="1" width="3.5" style="142" customWidth="1"/>
    <col min="2" max="2" width="2.75" style="32" customWidth="1"/>
    <col min="3" max="3" width="19.25" style="32" customWidth="1"/>
    <col min="4" max="4" width="19" style="32" customWidth="1"/>
    <col min="5" max="13" width="11.25" style="32" customWidth="1"/>
    <col min="14" max="14" width="11.25" style="30" customWidth="1"/>
    <col min="15" max="15" width="2.75" style="30"/>
    <col min="16" max="17" width="2.75" style="30" customWidth="1"/>
    <col min="18" max="18" width="1.375" style="30" customWidth="1"/>
    <col min="19" max="19" width="17.625" style="21" customWidth="1"/>
    <col min="20" max="26" width="13.625" style="94" customWidth="1"/>
    <col min="27" max="28" width="2.75" style="94" customWidth="1"/>
    <col min="29" max="30" width="2.75" style="98" customWidth="1"/>
    <col min="31" max="45" width="13.625" style="98" customWidth="1"/>
    <col min="46" max="49" width="2.75" style="94" customWidth="1"/>
    <col min="50" max="54" width="13.625" style="94" customWidth="1"/>
    <col min="55" max="58" width="13.625" style="98" customWidth="1"/>
    <col min="59" max="16384" width="2.75" style="21"/>
  </cols>
  <sheetData>
    <row r="1" spans="1:58" ht="18" customHeight="1" x14ac:dyDescent="0.2">
      <c r="C1" s="178"/>
      <c r="D1" s="69"/>
      <c r="E1" s="69"/>
      <c r="F1" s="69"/>
      <c r="G1" s="69"/>
      <c r="H1" s="69"/>
      <c r="I1" s="69"/>
      <c r="J1" s="69"/>
      <c r="K1" s="69"/>
      <c r="L1" s="69"/>
      <c r="M1" s="69"/>
      <c r="N1" s="69"/>
      <c r="O1" s="69"/>
      <c r="P1" s="14"/>
      <c r="Q1" s="14"/>
      <c r="R1" s="70"/>
    </row>
    <row r="2" spans="1:58" ht="30" customHeight="1" x14ac:dyDescent="0.2">
      <c r="B2" s="184" t="s">
        <v>108</v>
      </c>
      <c r="C2" s="175"/>
      <c r="D2" s="69"/>
      <c r="E2" s="69"/>
      <c r="F2" s="69"/>
      <c r="G2" s="69"/>
      <c r="H2" s="69"/>
      <c r="I2" s="69"/>
      <c r="J2" s="69"/>
      <c r="K2" s="69"/>
      <c r="L2" s="69"/>
      <c r="M2" s="69"/>
      <c r="N2" s="69"/>
      <c r="O2" s="69"/>
      <c r="P2" s="14"/>
      <c r="Q2" s="14"/>
      <c r="S2" s="71"/>
    </row>
    <row r="3" spans="1:58" ht="12.75" customHeight="1" thickBot="1" x14ac:dyDescent="0.2">
      <c r="B3" s="69"/>
      <c r="C3" s="69"/>
      <c r="D3" s="69"/>
      <c r="E3" s="69"/>
      <c r="F3" s="69"/>
      <c r="G3" s="69"/>
      <c r="H3" s="22"/>
      <c r="I3" s="22"/>
      <c r="J3" s="16"/>
      <c r="K3" s="22"/>
      <c r="L3" s="23"/>
      <c r="M3" s="16"/>
      <c r="N3" s="24"/>
      <c r="O3" s="25"/>
      <c r="P3" s="14"/>
      <c r="Q3" s="14"/>
      <c r="AC3" s="154"/>
      <c r="AV3" s="155"/>
    </row>
    <row r="4" spans="1:58" ht="25.15" customHeight="1" thickTop="1" thickBot="1" x14ac:dyDescent="0.25">
      <c r="B4" s="69"/>
      <c r="C4" s="174"/>
      <c r="D4" s="69"/>
      <c r="E4" s="69"/>
      <c r="F4" s="69"/>
      <c r="G4" s="69"/>
      <c r="H4" s="22"/>
      <c r="I4" s="22"/>
      <c r="J4" s="16"/>
      <c r="K4" s="22"/>
      <c r="L4" s="23"/>
      <c r="M4" s="16"/>
      <c r="N4" s="24"/>
      <c r="O4" s="25"/>
      <c r="P4" s="14"/>
      <c r="Q4" s="14"/>
      <c r="R4" s="25"/>
      <c r="S4" s="338" t="s">
        <v>149</v>
      </c>
      <c r="T4" s="339"/>
      <c r="AC4" s="154"/>
      <c r="AV4" s="155"/>
    </row>
    <row r="5" spans="1:58" ht="25.15" hidden="1" customHeight="1" thickTop="1" x14ac:dyDescent="0.2">
      <c r="B5" s="26"/>
      <c r="C5" s="174"/>
      <c r="D5" s="16"/>
      <c r="E5" s="16"/>
      <c r="F5" s="16"/>
      <c r="G5" s="22"/>
      <c r="H5" s="22"/>
      <c r="I5" s="22"/>
      <c r="J5" s="16"/>
      <c r="K5" s="22"/>
      <c r="L5" s="23"/>
      <c r="M5" s="16"/>
      <c r="N5" s="24"/>
      <c r="O5" s="25"/>
      <c r="P5" s="14"/>
      <c r="Q5" s="14"/>
      <c r="R5" s="25"/>
    </row>
    <row r="6" spans="1:58" hidden="1" x14ac:dyDescent="0.15">
      <c r="B6" s="26"/>
      <c r="C6" s="27"/>
      <c r="D6" s="16"/>
      <c r="E6" s="16"/>
      <c r="F6" s="16"/>
      <c r="G6" s="22"/>
      <c r="H6" s="22"/>
      <c r="I6" s="22"/>
      <c r="J6" s="16"/>
      <c r="K6" s="22"/>
      <c r="L6" s="23"/>
      <c r="M6" s="16"/>
      <c r="N6" s="24"/>
      <c r="O6" s="25"/>
      <c r="P6" s="14"/>
      <c r="Q6" s="14"/>
      <c r="R6" s="25"/>
      <c r="S6" s="73"/>
    </row>
    <row r="7" spans="1:58" ht="15.75" thickTop="1" thickBot="1" x14ac:dyDescent="0.2">
      <c r="B7" s="29"/>
      <c r="C7" s="29"/>
      <c r="D7" s="29"/>
      <c r="E7" s="29"/>
      <c r="F7" s="29"/>
      <c r="G7" s="29"/>
      <c r="H7" s="29"/>
      <c r="I7" s="29"/>
      <c r="J7" s="29"/>
      <c r="K7" s="29"/>
      <c r="L7" s="29"/>
      <c r="M7" s="29"/>
      <c r="N7" s="15"/>
      <c r="P7" s="14"/>
      <c r="Q7" s="14"/>
      <c r="AT7" s="153"/>
      <c r="AU7" s="153"/>
    </row>
    <row r="8" spans="1:58" ht="23.25" customHeight="1" x14ac:dyDescent="0.15">
      <c r="B8" s="29"/>
      <c r="C8" s="517" t="s">
        <v>6</v>
      </c>
      <c r="D8" s="520" t="s">
        <v>7</v>
      </c>
      <c r="E8" s="523" t="s">
        <v>8</v>
      </c>
      <c r="F8" s="526" t="s">
        <v>9</v>
      </c>
      <c r="G8" s="529" t="s">
        <v>10</v>
      </c>
      <c r="H8" s="530"/>
      <c r="I8" s="529" t="s">
        <v>11</v>
      </c>
      <c r="J8" s="530"/>
      <c r="K8" s="529" t="s">
        <v>12</v>
      </c>
      <c r="L8" s="530"/>
      <c r="M8" s="529" t="s">
        <v>13</v>
      </c>
      <c r="N8" s="541"/>
      <c r="P8" s="14"/>
      <c r="Q8" s="14"/>
      <c r="S8" s="544" t="s">
        <v>32</v>
      </c>
      <c r="T8" s="535" t="s">
        <v>6</v>
      </c>
      <c r="U8" s="547" t="s">
        <v>109</v>
      </c>
      <c r="V8" s="535" t="s">
        <v>8</v>
      </c>
      <c r="W8" s="495" t="s">
        <v>110</v>
      </c>
      <c r="X8" s="514" t="s">
        <v>11</v>
      </c>
      <c r="Y8" s="514" t="s">
        <v>111</v>
      </c>
      <c r="Z8" s="514" t="s">
        <v>13</v>
      </c>
      <c r="AA8" s="185"/>
      <c r="AB8" s="186"/>
      <c r="AC8" s="493"/>
      <c r="AD8" s="494"/>
      <c r="AE8" s="495"/>
      <c r="AF8" s="508" t="s">
        <v>112</v>
      </c>
      <c r="AG8" s="511"/>
      <c r="AH8" s="511"/>
      <c r="AI8" s="511"/>
      <c r="AJ8" s="511"/>
      <c r="AK8" s="509"/>
      <c r="AL8" s="508" t="s">
        <v>113</v>
      </c>
      <c r="AM8" s="511"/>
      <c r="AN8" s="511"/>
      <c r="AO8" s="511"/>
      <c r="AP8" s="511"/>
      <c r="AQ8" s="511"/>
      <c r="AR8" s="511"/>
      <c r="AS8" s="509"/>
      <c r="AT8"/>
      <c r="AU8"/>
      <c r="AV8" s="493"/>
      <c r="AW8" s="494"/>
      <c r="AX8" s="495"/>
      <c r="AY8" s="502" t="s">
        <v>112</v>
      </c>
      <c r="AZ8" s="503"/>
      <c r="BA8" s="506" t="s">
        <v>113</v>
      </c>
      <c r="BB8" s="506"/>
      <c r="BC8" s="189"/>
      <c r="BD8" s="189"/>
      <c r="BE8" s="189"/>
      <c r="BF8" s="190"/>
    </row>
    <row r="9" spans="1:58" ht="23.25" customHeight="1" x14ac:dyDescent="0.15">
      <c r="B9" s="29"/>
      <c r="C9" s="518"/>
      <c r="D9" s="521"/>
      <c r="E9" s="524"/>
      <c r="F9" s="527"/>
      <c r="G9" s="531"/>
      <c r="H9" s="532"/>
      <c r="I9" s="531"/>
      <c r="J9" s="532"/>
      <c r="K9" s="531"/>
      <c r="L9" s="532"/>
      <c r="M9" s="531"/>
      <c r="N9" s="542"/>
      <c r="P9" s="14"/>
      <c r="Q9" s="14"/>
      <c r="S9" s="545"/>
      <c r="T9" s="536"/>
      <c r="U9" s="548"/>
      <c r="V9" s="536"/>
      <c r="W9" s="498"/>
      <c r="X9" s="515"/>
      <c r="Y9" s="515"/>
      <c r="Z9" s="515"/>
      <c r="AA9" s="185"/>
      <c r="AB9" s="186"/>
      <c r="AC9" s="496"/>
      <c r="AD9" s="497"/>
      <c r="AE9" s="498"/>
      <c r="AF9" s="508" t="s">
        <v>114</v>
      </c>
      <c r="AG9" s="509"/>
      <c r="AH9" s="508" t="s">
        <v>115</v>
      </c>
      <c r="AI9" s="509"/>
      <c r="AJ9" s="508" t="s">
        <v>116</v>
      </c>
      <c r="AK9" s="509"/>
      <c r="AL9" s="508" t="s">
        <v>114</v>
      </c>
      <c r="AM9" s="509"/>
      <c r="AN9" s="508" t="s">
        <v>117</v>
      </c>
      <c r="AO9" s="509"/>
      <c r="AP9" s="510" t="s">
        <v>118</v>
      </c>
      <c r="AQ9" s="509"/>
      <c r="AR9" s="510" t="s">
        <v>119</v>
      </c>
      <c r="AS9" s="509"/>
      <c r="AT9"/>
      <c r="AU9"/>
      <c r="AV9" s="496"/>
      <c r="AW9" s="497"/>
      <c r="AX9" s="498"/>
      <c r="AY9" s="504"/>
      <c r="AZ9" s="505"/>
      <c r="BA9" s="507"/>
      <c r="BB9" s="507"/>
      <c r="BC9" s="508" t="s">
        <v>117</v>
      </c>
      <c r="BD9" s="509"/>
      <c r="BE9" s="512" t="s">
        <v>120</v>
      </c>
      <c r="BF9" s="513"/>
    </row>
    <row r="10" spans="1:58" ht="23.25" customHeight="1" thickBot="1" x14ac:dyDescent="0.2">
      <c r="B10" s="29"/>
      <c r="C10" s="519"/>
      <c r="D10" s="522"/>
      <c r="E10" s="525"/>
      <c r="F10" s="528"/>
      <c r="G10" s="533"/>
      <c r="H10" s="534"/>
      <c r="I10" s="533"/>
      <c r="J10" s="534"/>
      <c r="K10" s="533"/>
      <c r="L10" s="534"/>
      <c r="M10" s="533"/>
      <c r="N10" s="543"/>
      <c r="P10" s="14"/>
      <c r="Q10" s="14"/>
      <c r="S10" s="546"/>
      <c r="T10" s="537"/>
      <c r="U10" s="549"/>
      <c r="V10" s="537"/>
      <c r="W10" s="501"/>
      <c r="X10" s="516"/>
      <c r="Y10" s="516"/>
      <c r="Z10" s="516"/>
      <c r="AA10" s="185"/>
      <c r="AB10" s="186"/>
      <c r="AC10" s="499"/>
      <c r="AD10" s="500"/>
      <c r="AE10" s="501"/>
      <c r="AF10" s="191" t="s">
        <v>121</v>
      </c>
      <c r="AG10" s="191" t="s">
        <v>122</v>
      </c>
      <c r="AH10" s="191" t="s">
        <v>121</v>
      </c>
      <c r="AI10" s="191" t="s">
        <v>122</v>
      </c>
      <c r="AJ10" s="191" t="s">
        <v>121</v>
      </c>
      <c r="AK10" s="191" t="s">
        <v>122</v>
      </c>
      <c r="AL10" s="192" t="s">
        <v>121</v>
      </c>
      <c r="AM10" s="192" t="s">
        <v>122</v>
      </c>
      <c r="AN10" s="192" t="s">
        <v>121</v>
      </c>
      <c r="AO10" s="192" t="s">
        <v>122</v>
      </c>
      <c r="AP10" s="192" t="s">
        <v>121</v>
      </c>
      <c r="AQ10" s="192" t="s">
        <v>122</v>
      </c>
      <c r="AR10" s="192" t="s">
        <v>121</v>
      </c>
      <c r="AS10" s="192" t="s">
        <v>122</v>
      </c>
      <c r="AT10"/>
      <c r="AU10"/>
      <c r="AV10" s="499"/>
      <c r="AW10" s="500"/>
      <c r="AX10" s="501"/>
      <c r="AY10" s="191" t="s">
        <v>121</v>
      </c>
      <c r="AZ10" s="192" t="s">
        <v>122</v>
      </c>
      <c r="BA10" s="193" t="s">
        <v>121</v>
      </c>
      <c r="BB10" s="192" t="s">
        <v>122</v>
      </c>
      <c r="BC10" s="192" t="s">
        <v>121</v>
      </c>
      <c r="BD10" s="192" t="s">
        <v>122</v>
      </c>
      <c r="BE10" s="192" t="s">
        <v>121</v>
      </c>
      <c r="BF10" s="192" t="s">
        <v>122</v>
      </c>
    </row>
    <row r="11" spans="1:58" ht="29.25" customHeight="1" thickTop="1" thickBot="1" x14ac:dyDescent="0.25">
      <c r="A11" s="143">
        <f>ROUND((ROW()-10)/2,0)</f>
        <v>1</v>
      </c>
      <c r="B11" s="21"/>
      <c r="C11" s="75" t="str">
        <f>IF(INDEX(設定!$C$9:$C$108,$A11,1)="","",INDEX(設定!$C$9:$C$108,$A11,1))</f>
        <v/>
      </c>
      <c r="D11" s="76" t="str">
        <f>IF(INDEX(設定!$D$9:$D$108,$A11,1)="","",INDEX(設定!$D$9:$D$108,$A11,1))</f>
        <v/>
      </c>
      <c r="E11" s="77" t="str">
        <f>IF(INDEX(設定!$E$9:$E$108,$A11,1)="","",INDEX(設定!$E$9:$E$108,$A11,1))</f>
        <v/>
      </c>
      <c r="F11" s="78" t="str">
        <f>IF(S11="","",IF(S11=1,"1：家族",IF(AND(S11&gt;=2,S11&lt;=5),"2：雇用","")))</f>
        <v/>
      </c>
      <c r="G11" s="141">
        <f>INT(INDEX(設定!$H$9:H$108,$A11,1))</f>
        <v>0</v>
      </c>
      <c r="H11" s="79" t="str">
        <f>IF(INDEX(設定!$H$9:$H$108,$A11,1)=0,"",ROUND(MOD(INDEX(設定!$H$9:$H$108,$A11,1),1)*60,0))</f>
        <v/>
      </c>
      <c r="I11" s="141">
        <f>INT(INDEX(設定!$I$9:$I$108,$A11,1))</f>
        <v>0</v>
      </c>
      <c r="J11" s="79" t="str">
        <f>IF(INDEX(設定!$I$9:$I$108,$A11,1)=0,"",ROUND(MOD(INDEX(設定!$I$9:$I$108,$A11,1),1)*60,0))</f>
        <v/>
      </c>
      <c r="K11" s="141">
        <f>INT(INDEX(設定!$J$9:$J$108,$A11,1))</f>
        <v>0</v>
      </c>
      <c r="L11" s="79" t="str">
        <f>IF(INDEX(設定!$J$9:$J$108,$A11,1)=0,"",ROUND(MOD(INDEX(設定!$J$9:$J$108,$A11,1),1)*60,0))</f>
        <v/>
      </c>
      <c r="M11" s="141">
        <f>INT(INDEX(設定!$K$9:$K$108,$A11,1))</f>
        <v>0</v>
      </c>
      <c r="N11" s="80" t="str">
        <f>IF(INDEX(設定!$K$9:$K$108,$A11,1)=0,"",ROUND(MOD(INDEX(設定!$K$9:$K$108,$A11,1),1)*60,0))</f>
        <v/>
      </c>
      <c r="P11" s="14"/>
      <c r="Q11" s="14"/>
      <c r="S11" s="81" t="str">
        <f>IF(INDEX(設定!$F$9:$F$108,$A11,1)="","",VALUE(LEFT(INDEX(設定!$F$9:$F$108,$A11,1),1)))</f>
        <v/>
      </c>
      <c r="T11" s="194" t="str">
        <f>IF(C11="","",C11)</f>
        <v/>
      </c>
      <c r="U11" s="195" t="str">
        <f>IF(D11="","",IF(D11="1：男",1,IF(D11="2：女",2)))</f>
        <v/>
      </c>
      <c r="V11" s="196" t="str">
        <f>IF(E11="","",E11)</f>
        <v/>
      </c>
      <c r="W11" s="197" t="str">
        <f>IF(AND(G11="",H11="",G12=""),"",ROUND(SUM(G11,H11/60)*G12,1))</f>
        <v/>
      </c>
      <c r="X11" s="198" t="str">
        <f>IF(AND(I11="",J11="",I12=""),"",ROUND(SUM(I11,J11/60)*I12,1))</f>
        <v/>
      </c>
      <c r="Y11" s="198" t="str">
        <f>IF(AND(K11="",L11="",K12=""),"",ROUND(SUM(K11,L11/60)*K12,1))</f>
        <v/>
      </c>
      <c r="Z11" s="199" t="str">
        <f>IF(AND(M11="",N11="",M12=""),"",ROUND(SUM(M11,N11/60)*M12,1))</f>
        <v/>
      </c>
      <c r="AA11" s="200"/>
      <c r="AB11" s="201"/>
      <c r="AC11" s="484" t="s">
        <v>123</v>
      </c>
      <c r="AD11" s="489"/>
      <c r="AE11" s="489"/>
      <c r="AF11" s="202">
        <f>SUM(AF12:AF15)</f>
        <v>0</v>
      </c>
      <c r="AG11" s="202">
        <f>SUM(AG12:AG15)</f>
        <v>0</v>
      </c>
      <c r="AH11" s="203"/>
      <c r="AI11" s="203"/>
      <c r="AJ11" s="203"/>
      <c r="AK11" s="203"/>
      <c r="AL11" s="202">
        <f>AL16+AL21+AL26+AL31</f>
        <v>0</v>
      </c>
      <c r="AM11" s="202">
        <f>AM16+AM21+AM26+AM31</f>
        <v>0</v>
      </c>
      <c r="AN11" s="202">
        <f>AN16+AN21+AN26+AN31</f>
        <v>0</v>
      </c>
      <c r="AO11" s="202">
        <f>AO16+AO21+AO26+AO31</f>
        <v>0</v>
      </c>
      <c r="AP11" s="202">
        <f>AP12</f>
        <v>0</v>
      </c>
      <c r="AQ11" s="202">
        <f>AQ12</f>
        <v>0</v>
      </c>
      <c r="AR11" s="202">
        <f>SUM(AR12:AR15)</f>
        <v>0</v>
      </c>
      <c r="AS11" s="202">
        <f>SUM(AS12:AS15)</f>
        <v>0</v>
      </c>
      <c r="AT11"/>
      <c r="AU11"/>
      <c r="AV11" s="484" t="s">
        <v>124</v>
      </c>
      <c r="AW11" s="489"/>
      <c r="AX11" s="489"/>
      <c r="AY11" s="204">
        <f>SUM(AY12:AY15)</f>
        <v>0</v>
      </c>
      <c r="AZ11" s="204">
        <f>SUM(AZ12:AZ15)</f>
        <v>0</v>
      </c>
      <c r="BA11" s="205">
        <f>ROUND(BC11+BE11,0)</f>
        <v>0</v>
      </c>
      <c r="BB11" s="205">
        <f>ROUND(BD11+BF11,0)</f>
        <v>0</v>
      </c>
      <c r="BC11" s="206">
        <f>IFERROR($T$112*AN11/($AN$11+$AN$51),0)</f>
        <v>0</v>
      </c>
      <c r="BD11" s="204">
        <f>IFERROR($T$113*AO11/($AO$11+$AO$51),0)</f>
        <v>0</v>
      </c>
      <c r="BE11" s="204">
        <f>SUM(BE12:BE15)</f>
        <v>0</v>
      </c>
      <c r="BF11" s="204">
        <f>SUM(BF12:BF15)</f>
        <v>0</v>
      </c>
    </row>
    <row r="12" spans="1:58" ht="29.25" customHeight="1" thickBot="1" x14ac:dyDescent="0.25">
      <c r="A12" s="143"/>
      <c r="B12" s="21"/>
      <c r="C12" s="82"/>
      <c r="D12" s="83"/>
      <c r="E12" s="84"/>
      <c r="F12" s="85"/>
      <c r="G12" s="86" t="str">
        <f>IF(SUM(G11:H11)&gt;0,1,"")</f>
        <v/>
      </c>
      <c r="H12" s="87"/>
      <c r="I12" s="86" t="str">
        <f>IF(SUM(I11:J11)&gt;0,1,"")</f>
        <v/>
      </c>
      <c r="J12" s="87"/>
      <c r="K12" s="86" t="str">
        <f>IF(SUM(K11:L11)&gt;0,1,"")</f>
        <v/>
      </c>
      <c r="L12" s="87"/>
      <c r="M12" s="86" t="str">
        <f>IF(SUM(M11:N11)&gt;0,1,"")</f>
        <v/>
      </c>
      <c r="N12" s="88"/>
      <c r="P12" s="14"/>
      <c r="Q12" s="14"/>
      <c r="S12" s="89"/>
      <c r="T12" s="194"/>
      <c r="U12" s="195"/>
      <c r="V12" s="196"/>
      <c r="W12" s="207"/>
      <c r="X12" s="207"/>
      <c r="Y12" s="207"/>
      <c r="Z12" s="208"/>
      <c r="AA12" s="200"/>
      <c r="AB12" s="201"/>
      <c r="AC12" s="209"/>
      <c r="AD12" s="473" t="s">
        <v>14</v>
      </c>
      <c r="AE12" s="486"/>
      <c r="AF12" s="210">
        <f>AF17+AF22+AF27+AF32</f>
        <v>0</v>
      </c>
      <c r="AG12" s="210">
        <f t="shared" ref="AG12:AK12" si="0">AG17+AG22+AG27+AG32</f>
        <v>0</v>
      </c>
      <c r="AH12" s="211">
        <f>AH17+AH22+AH27+AH32</f>
        <v>0</v>
      </c>
      <c r="AI12" s="211">
        <f t="shared" si="0"/>
        <v>0</v>
      </c>
      <c r="AJ12" s="211">
        <f t="shared" si="0"/>
        <v>0</v>
      </c>
      <c r="AK12" s="211">
        <f t="shared" si="0"/>
        <v>0</v>
      </c>
      <c r="AL12" s="212"/>
      <c r="AM12" s="213"/>
      <c r="AN12" s="214"/>
      <c r="AO12" s="214"/>
      <c r="AP12" s="211">
        <f t="shared" ref="AP12:AS15" si="1">AP17+AP22+AP27+AP32</f>
        <v>0</v>
      </c>
      <c r="AQ12" s="211">
        <f t="shared" si="1"/>
        <v>0</v>
      </c>
      <c r="AR12" s="211">
        <f t="shared" si="1"/>
        <v>0</v>
      </c>
      <c r="AS12" s="211">
        <f t="shared" si="1"/>
        <v>0</v>
      </c>
      <c r="AT12"/>
      <c r="AU12"/>
      <c r="AV12" s="215"/>
      <c r="AW12" s="473" t="s">
        <v>14</v>
      </c>
      <c r="AX12" s="486"/>
      <c r="AY12" s="216">
        <f>AF12*$T$4</f>
        <v>0</v>
      </c>
      <c r="AZ12" s="216">
        <f>AG12*$T$4</f>
        <v>0</v>
      </c>
      <c r="BA12" s="217"/>
      <c r="BB12" s="218"/>
      <c r="BC12" s="217"/>
      <c r="BD12" s="217"/>
      <c r="BE12" s="216">
        <f>(AP12+AR12)*$T$4</f>
        <v>0</v>
      </c>
      <c r="BF12" s="216">
        <f>(AQ12+AS12)*$T$4</f>
        <v>0</v>
      </c>
    </row>
    <row r="13" spans="1:58" ht="29.25" customHeight="1" thickTop="1" x14ac:dyDescent="0.2">
      <c r="A13" s="143">
        <f>ROUND((ROW()-10)/2,0)</f>
        <v>2</v>
      </c>
      <c r="B13" s="21"/>
      <c r="C13" s="90" t="str">
        <f>IF(INDEX(設定!$C$9:$C$108,$A13,1)="","",INDEX(設定!$C$9:$C$108,$A13,1))</f>
        <v/>
      </c>
      <c r="D13" s="76" t="str">
        <f>IF(INDEX(設定!$D$9:$D$108,$A13,1)="","",INDEX(設定!$D$9:$D$108,$A13,1))</f>
        <v/>
      </c>
      <c r="E13" s="77" t="str">
        <f>IF(INDEX(設定!$E$9:$E$108,$A13,1)="","",INDEX(設定!$E$9:$E$108,$A13,1))</f>
        <v/>
      </c>
      <c r="F13" s="78" t="str">
        <f>IF(S13="","",IF(S13=1,"1：家族",IF(AND(S13&gt;=2,S13&lt;=5),"2：雇用","")))</f>
        <v/>
      </c>
      <c r="G13" s="141">
        <f>INT(INDEX(設定!$H$9:H$108,$A13,1))</f>
        <v>0</v>
      </c>
      <c r="H13" s="79" t="str">
        <f>IF(INDEX(設定!$H$9:$H$108,$A13,1)=0,"",ROUND(MOD(INDEX(設定!$H$9:$H$108,$A13,1),1)*60,0))</f>
        <v/>
      </c>
      <c r="I13" s="141">
        <f>INT(INDEX(設定!$I$9:$I$108,$A13,1))</f>
        <v>0</v>
      </c>
      <c r="J13" s="79" t="str">
        <f>IF(INDEX(設定!$I$9:$I$108,$A13,1)=0,"",ROUND(MOD(INDEX(設定!$I$9:$I$108,$A13,1),1)*60,0))</f>
        <v/>
      </c>
      <c r="K13" s="141">
        <f>INT(INDEX(設定!$J$9:$J$108,$A13,1))</f>
        <v>0</v>
      </c>
      <c r="L13" s="79" t="str">
        <f>IF(INDEX(設定!$J$9:$J$108,$A13,1)=0,"",ROUND(MOD(INDEX(設定!$J$9:$J$108,$A13,1),1)*60,0))</f>
        <v/>
      </c>
      <c r="M13" s="141">
        <f>INT(INDEX(設定!$K$9:$K$108,$A13,1))</f>
        <v>0</v>
      </c>
      <c r="N13" s="80" t="str">
        <f>IF(INDEX(設定!$K$9:$K$108,$A13,1)=0,"",ROUND(MOD(INDEX(設定!$K$9:$K$108,$A13,1),1)*60,0))</f>
        <v/>
      </c>
      <c r="P13" s="14"/>
      <c r="Q13" s="14"/>
      <c r="S13" s="91" t="str">
        <f>IF(INDEX(設定!$F$9:$F$108,$A13,1)="","",VALUE(LEFT(INDEX(設定!$F$9:$F$108,$A13,1),1)))</f>
        <v/>
      </c>
      <c r="T13" s="219" t="str">
        <f>IF(C13="","",C13)</f>
        <v/>
      </c>
      <c r="U13" s="220" t="str">
        <f>IF(D13="","",IF(D13="1：男",1,IF(D13="2：女",2)))</f>
        <v/>
      </c>
      <c r="V13" s="221" t="str">
        <f>IF(E13="","",E13)</f>
        <v/>
      </c>
      <c r="W13" s="197" t="str">
        <f t="shared" ref="W13" si="2">IF(AND(G13="",H13="",G14=""),"",ROUND(SUM(G13,H13/60)*G14,1))</f>
        <v/>
      </c>
      <c r="X13" s="198" t="str">
        <f t="shared" ref="X13" si="3">IF(AND(I13="",J13="",I14=""),"",ROUND(SUM(I13,J13/60)*I14,1))</f>
        <v/>
      </c>
      <c r="Y13" s="198" t="str">
        <f t="shared" ref="Y13" si="4">IF(AND(K13="",L13="",K14=""),"",ROUND(SUM(K13,L13/60)*K14,1))</f>
        <v/>
      </c>
      <c r="Z13" s="199" t="str">
        <f t="shared" ref="Z13" si="5">IF(AND(M13="",N13="",M14=""),"",ROUND(SUM(M13,N13/60)*M14,1))</f>
        <v/>
      </c>
      <c r="AA13" s="200"/>
      <c r="AB13" s="201"/>
      <c r="AC13" s="209"/>
      <c r="AD13" s="475" t="s">
        <v>125</v>
      </c>
      <c r="AE13" s="487"/>
      <c r="AF13" s="222">
        <f t="shared" ref="AF13:AI15" si="6">AF18+AF23+AF28+AF33</f>
        <v>0</v>
      </c>
      <c r="AG13" s="222">
        <f t="shared" si="6"/>
        <v>0</v>
      </c>
      <c r="AH13" s="222">
        <f t="shared" si="6"/>
        <v>0</v>
      </c>
      <c r="AI13" s="222">
        <f t="shared" si="6"/>
        <v>0</v>
      </c>
      <c r="AJ13" s="223"/>
      <c r="AK13" s="223"/>
      <c r="AL13" s="212"/>
      <c r="AM13" s="213"/>
      <c r="AN13" s="213"/>
      <c r="AO13" s="213"/>
      <c r="AP13" s="223"/>
      <c r="AQ13" s="223"/>
      <c r="AR13" s="222">
        <f t="shared" si="1"/>
        <v>0</v>
      </c>
      <c r="AS13" s="222">
        <f t="shared" si="1"/>
        <v>0</v>
      </c>
      <c r="AT13"/>
      <c r="AU13"/>
      <c r="AV13" s="215"/>
      <c r="AW13" s="475" t="s">
        <v>125</v>
      </c>
      <c r="AX13" s="487"/>
      <c r="AY13" s="224">
        <f>AF13*$T$4*0.9</f>
        <v>0</v>
      </c>
      <c r="AZ13" s="224">
        <f>AG13*$T$4*0.9</f>
        <v>0</v>
      </c>
      <c r="BA13" s="217"/>
      <c r="BB13" s="218"/>
      <c r="BC13" s="217"/>
      <c r="BD13" s="217"/>
      <c r="BE13" s="224">
        <f>(AR13)*$T$4*0.9</f>
        <v>0</v>
      </c>
      <c r="BF13" s="224">
        <f>(AS13)*$T$4*0.9</f>
        <v>0</v>
      </c>
    </row>
    <row r="14" spans="1:58" ht="29.25" customHeight="1" thickBot="1" x14ac:dyDescent="0.25">
      <c r="A14" s="143"/>
      <c r="B14" s="21"/>
      <c r="C14" s="82"/>
      <c r="D14" s="83"/>
      <c r="E14" s="84"/>
      <c r="F14" s="85"/>
      <c r="G14" s="86" t="str">
        <f>IF(SUM(G13:H13)&gt;0,1,"")</f>
        <v/>
      </c>
      <c r="H14" s="87"/>
      <c r="I14" s="86" t="str">
        <f>IF(SUM(I13:J13)&gt;0,1,"")</f>
        <v/>
      </c>
      <c r="J14" s="87"/>
      <c r="K14" s="86" t="str">
        <f>IF(SUM(K13:L13)&gt;0,1,"")</f>
        <v/>
      </c>
      <c r="L14" s="87"/>
      <c r="M14" s="86" t="str">
        <f>IF(SUM(M13:N13)&gt;0,1,"")</f>
        <v/>
      </c>
      <c r="N14" s="88"/>
      <c r="P14" s="14"/>
      <c r="Q14" s="14"/>
      <c r="S14" s="89"/>
      <c r="T14" s="194"/>
      <c r="U14" s="195"/>
      <c r="V14" s="196"/>
      <c r="W14" s="207"/>
      <c r="X14" s="207"/>
      <c r="Y14" s="207"/>
      <c r="Z14" s="208"/>
      <c r="AA14" s="200"/>
      <c r="AB14" s="201"/>
      <c r="AC14" s="209"/>
      <c r="AD14" s="475" t="s">
        <v>126</v>
      </c>
      <c r="AE14" s="487"/>
      <c r="AF14" s="222">
        <f t="shared" si="6"/>
        <v>0</v>
      </c>
      <c r="AG14" s="222">
        <f t="shared" si="6"/>
        <v>0</v>
      </c>
      <c r="AH14" s="222">
        <f t="shared" si="6"/>
        <v>0</v>
      </c>
      <c r="AI14" s="222">
        <f t="shared" si="6"/>
        <v>0</v>
      </c>
      <c r="AJ14" s="223"/>
      <c r="AK14" s="223"/>
      <c r="AL14" s="212"/>
      <c r="AM14" s="213"/>
      <c r="AN14" s="213"/>
      <c r="AO14" s="213"/>
      <c r="AP14" s="223"/>
      <c r="AQ14" s="223"/>
      <c r="AR14" s="222">
        <f t="shared" si="1"/>
        <v>0</v>
      </c>
      <c r="AS14" s="222">
        <f t="shared" si="1"/>
        <v>0</v>
      </c>
      <c r="AT14"/>
      <c r="AU14"/>
      <c r="AV14" s="215"/>
      <c r="AW14" s="475" t="s">
        <v>126</v>
      </c>
      <c r="AX14" s="487"/>
      <c r="AY14" s="224">
        <f>AF14*$T$4*0.8</f>
        <v>0</v>
      </c>
      <c r="AZ14" s="224">
        <f>AG14*$T$4*0.8</f>
        <v>0</v>
      </c>
      <c r="BA14" s="217"/>
      <c r="BB14" s="218"/>
      <c r="BC14" s="217"/>
      <c r="BD14" s="217"/>
      <c r="BE14" s="224">
        <f>(AR14)*$T$4*0.8</f>
        <v>0</v>
      </c>
      <c r="BF14" s="224">
        <f>(AS14)*$T$4*0.8</f>
        <v>0</v>
      </c>
    </row>
    <row r="15" spans="1:58" ht="29.25" customHeight="1" thickTop="1" thickBot="1" x14ac:dyDescent="0.25">
      <c r="A15" s="143">
        <f>ROUND((ROW()-10)/2,0)</f>
        <v>3</v>
      </c>
      <c r="B15" s="21"/>
      <c r="C15" s="90" t="str">
        <f>IF(INDEX(設定!$C$9:$C$108,$A15,1)="","",INDEX(設定!$C$9:$C$108,$A15,1))</f>
        <v/>
      </c>
      <c r="D15" s="76" t="str">
        <f>IF(INDEX(設定!$D$9:$D$108,$A15,1)="","",INDEX(設定!$D$9:$D$108,$A15,1))</f>
        <v/>
      </c>
      <c r="E15" s="77" t="str">
        <f>IF(INDEX(設定!$E$9:$E$108,$A15,1)="","",INDEX(設定!$E$9:$E$108,$A15,1))</f>
        <v/>
      </c>
      <c r="F15" s="78" t="str">
        <f>IF(S15="","",IF(S15=1,"1：家族",IF(AND(S15&gt;=2,S15&lt;=5),"2：雇用","")))</f>
        <v/>
      </c>
      <c r="G15" s="141">
        <f>INT(INDEX(設定!$H$9:H$108,$A15,1))</f>
        <v>0</v>
      </c>
      <c r="H15" s="79" t="str">
        <f>IF(INDEX(設定!$H$9:$H$108,$A15,1)=0,"",ROUND(MOD(INDEX(設定!$H$9:$H$108,$A15,1),1)*60,0))</f>
        <v/>
      </c>
      <c r="I15" s="141">
        <f>INT(INDEX(設定!$I$9:$I$108,$A15,1))</f>
        <v>0</v>
      </c>
      <c r="J15" s="79" t="str">
        <f>IF(INDEX(設定!$I$9:$I$108,$A15,1)=0,"",ROUND(MOD(INDEX(設定!$I$9:$I$108,$A15,1),1)*60,0))</f>
        <v/>
      </c>
      <c r="K15" s="141">
        <f>INT(INDEX(設定!$J$9:$J$108,$A15,1))</f>
        <v>0</v>
      </c>
      <c r="L15" s="79" t="str">
        <f>IF(INDEX(設定!$J$9:$J$108,$A15,1)=0,"",ROUND(MOD(INDEX(設定!$J$9:$J$108,$A15,1),1)*60,0))</f>
        <v/>
      </c>
      <c r="M15" s="141">
        <f>INT(INDEX(設定!$K$9:$K$108,$A15,1))</f>
        <v>0</v>
      </c>
      <c r="N15" s="80" t="str">
        <f>IF(INDEX(設定!$K$9:$K$108,$A15,1)=0,"",ROUND(MOD(INDEX(設定!$K$9:$K$108,$A15,1),1)*60,0))</f>
        <v/>
      </c>
      <c r="P15" s="14"/>
      <c r="Q15" s="14"/>
      <c r="S15" s="91" t="str">
        <f>IF(INDEX(設定!$F$9:$F$108,$A15,1)="","",VALUE(LEFT(INDEX(設定!$F$9:$F$108,$A15,1),1)))</f>
        <v/>
      </c>
      <c r="T15" s="219" t="str">
        <f>IF(C15="","",C15)</f>
        <v/>
      </c>
      <c r="U15" s="220" t="str">
        <f>IF(D15="","",IF(D15="1：男",1,IF(D15="2：女",2)))</f>
        <v/>
      </c>
      <c r="V15" s="221" t="str">
        <f>IF(E15="","",E15)</f>
        <v/>
      </c>
      <c r="W15" s="197" t="str">
        <f t="shared" ref="W15" si="7">IF(AND(G15="",H15="",G16=""),"",ROUND(SUM(G15,H15/60)*G16,1))</f>
        <v/>
      </c>
      <c r="X15" s="198" t="str">
        <f t="shared" ref="X15" si="8">IF(AND(I15="",J15="",I16=""),"",ROUND(SUM(I15,J15/60)*I16,1))</f>
        <v/>
      </c>
      <c r="Y15" s="198" t="str">
        <f t="shared" ref="Y15" si="9">IF(AND(K15="",L15="",K16=""),"",ROUND(SUM(K15,L15/60)*K16,1))</f>
        <v/>
      </c>
      <c r="Z15" s="199" t="str">
        <f t="shared" ref="Z15" si="10">IF(AND(M15="",N15="",M16=""),"",ROUND(SUM(M15,N15/60)*M16,1))</f>
        <v/>
      </c>
      <c r="AA15" s="200"/>
      <c r="AB15" s="201"/>
      <c r="AC15" s="209"/>
      <c r="AD15" s="479" t="s">
        <v>15</v>
      </c>
      <c r="AE15" s="480"/>
      <c r="AF15" s="225">
        <f t="shared" si="6"/>
        <v>0</v>
      </c>
      <c r="AG15" s="225">
        <f t="shared" si="6"/>
        <v>0</v>
      </c>
      <c r="AH15" s="225">
        <f t="shared" si="6"/>
        <v>0</v>
      </c>
      <c r="AI15" s="225">
        <f t="shared" si="6"/>
        <v>0</v>
      </c>
      <c r="AJ15" s="226"/>
      <c r="AK15" s="226"/>
      <c r="AL15" s="227"/>
      <c r="AM15" s="228"/>
      <c r="AN15" s="228"/>
      <c r="AO15" s="228"/>
      <c r="AP15" s="226"/>
      <c r="AQ15" s="226"/>
      <c r="AR15" s="225">
        <f t="shared" si="1"/>
        <v>0</v>
      </c>
      <c r="AS15" s="225">
        <f t="shared" si="1"/>
        <v>0</v>
      </c>
      <c r="AT15"/>
      <c r="AU15"/>
      <c r="AV15" s="215"/>
      <c r="AW15" s="479" t="s">
        <v>15</v>
      </c>
      <c r="AX15" s="480"/>
      <c r="AY15" s="229">
        <f>AF15*$T$4*0.7</f>
        <v>0</v>
      </c>
      <c r="AZ15" s="229">
        <f>AG15*$T$4*0.7</f>
        <v>0</v>
      </c>
      <c r="BA15" s="230"/>
      <c r="BB15" s="231"/>
      <c r="BC15" s="232"/>
      <c r="BD15" s="232"/>
      <c r="BE15" s="229">
        <f>(AR15)*$T$4*0.7</f>
        <v>0</v>
      </c>
      <c r="BF15" s="229">
        <f>(AS15)*$T$4*0.7</f>
        <v>0</v>
      </c>
    </row>
    <row r="16" spans="1:58" s="30" customFormat="1" ht="29.25" customHeight="1" thickBot="1" x14ac:dyDescent="0.25">
      <c r="A16" s="142"/>
      <c r="B16" s="29"/>
      <c r="C16" s="82"/>
      <c r="D16" s="83"/>
      <c r="E16" s="84"/>
      <c r="F16" s="85"/>
      <c r="G16" s="86" t="str">
        <f>IF(SUM(G15:H15)&gt;0,1,"")</f>
        <v/>
      </c>
      <c r="H16" s="87"/>
      <c r="I16" s="86" t="str">
        <f>IF(SUM(I15:J15)&gt;0,1,"")</f>
        <v/>
      </c>
      <c r="J16" s="87"/>
      <c r="K16" s="86" t="str">
        <f>IF(SUM(K15:L15)&gt;0,1,"")</f>
        <v/>
      </c>
      <c r="L16" s="87"/>
      <c r="M16" s="86" t="str">
        <f>IF(SUM(M15:N15)&gt;0,1,"")</f>
        <v/>
      </c>
      <c r="N16" s="88"/>
      <c r="P16" s="14"/>
      <c r="Q16" s="14"/>
      <c r="S16" s="89"/>
      <c r="T16" s="194"/>
      <c r="U16" s="195"/>
      <c r="V16" s="196"/>
      <c r="W16" s="207"/>
      <c r="X16" s="207"/>
      <c r="Y16" s="207"/>
      <c r="Z16" s="208"/>
      <c r="AA16" s="200"/>
      <c r="AB16" s="201"/>
      <c r="AC16" s="233"/>
      <c r="AD16" s="491" t="s">
        <v>10</v>
      </c>
      <c r="AE16" s="492"/>
      <c r="AF16" s="234">
        <f>SUM(AF17:AF20)</f>
        <v>0</v>
      </c>
      <c r="AG16" s="234">
        <f>SUM(AG17:AG20)</f>
        <v>0</v>
      </c>
      <c r="AH16" s="235"/>
      <c r="AI16" s="203"/>
      <c r="AJ16" s="203"/>
      <c r="AK16" s="203"/>
      <c r="AL16" s="234">
        <f>AN16+AP16+AR16</f>
        <v>0</v>
      </c>
      <c r="AM16" s="234">
        <f>AO16+AQ16+AS16</f>
        <v>0</v>
      </c>
      <c r="AN16" s="236">
        <f>SUMIFS($W$11:$W$70,$S$11:$S$70,2,$U$11:$U$70,1)</f>
        <v>0</v>
      </c>
      <c r="AO16" s="202">
        <f>SUMIFS($W$11:$W$70,$S$11:$S$70,2,$U$11:$U$70,2)</f>
        <v>0</v>
      </c>
      <c r="AP16" s="202">
        <f>AP17</f>
        <v>0</v>
      </c>
      <c r="AQ16" s="202">
        <f>AQ17</f>
        <v>0</v>
      </c>
      <c r="AR16" s="202">
        <f>SUM(AR17:AR20)</f>
        <v>0</v>
      </c>
      <c r="AS16" s="202">
        <f>SUM(AS17:AS20)</f>
        <v>0</v>
      </c>
      <c r="AT16"/>
      <c r="AU16"/>
      <c r="AV16" s="237"/>
      <c r="AW16" s="215"/>
      <c r="AX16" s="238"/>
      <c r="AY16" s="238"/>
      <c r="AZ16" s="238"/>
      <c r="BA16" s="238"/>
      <c r="BB16" s="238"/>
      <c r="BC16" s="238"/>
      <c r="BD16" s="238"/>
      <c r="BE16" s="238"/>
      <c r="BF16" s="239"/>
    </row>
    <row r="17" spans="1:58" s="30" customFormat="1" ht="29.25" customHeight="1" thickTop="1" x14ac:dyDescent="0.2">
      <c r="A17" s="142">
        <f>ROUND((ROW()-10)/2,0)</f>
        <v>4</v>
      </c>
      <c r="B17" s="29"/>
      <c r="C17" s="90" t="str">
        <f>IF(INDEX(設定!$C$9:$C$108,$A17,1)="","",INDEX(設定!$C$9:$C$108,$A17,1))</f>
        <v/>
      </c>
      <c r="D17" s="76" t="str">
        <f>IF(INDEX(設定!$D$9:$D$108,$A17,1)="","",INDEX(設定!$D$9:$D$108,$A17,1))</f>
        <v/>
      </c>
      <c r="E17" s="77" t="str">
        <f>IF(INDEX(設定!$E$9:$E$108,$A17,1)="","",INDEX(設定!$E$9:$E$108,$A17,1))</f>
        <v/>
      </c>
      <c r="F17" s="78" t="str">
        <f>IF(S17="","",IF(S17=1,"1：家族",IF(AND(S17&gt;=2,S17&lt;=5),"2：雇用","")))</f>
        <v/>
      </c>
      <c r="G17" s="141">
        <f>INT(INDEX(設定!$H$9:H$108,$A17,1))</f>
        <v>0</v>
      </c>
      <c r="H17" s="79" t="str">
        <f>IF(INDEX(設定!$H$9:$H$108,$A17,1)=0,"",ROUND(MOD(INDEX(設定!$H$9:$H$108,$A17,1),1)*60,0))</f>
        <v/>
      </c>
      <c r="I17" s="141">
        <f>INT(INDEX(設定!$I$9:$I$108,$A17,1))</f>
        <v>0</v>
      </c>
      <c r="J17" s="79" t="str">
        <f>IF(INDEX(設定!$I$9:$I$108,$A17,1)=0,"",ROUND(MOD(INDEX(設定!$I$9:$I$108,$A17,1),1)*60,0))</f>
        <v/>
      </c>
      <c r="K17" s="141">
        <f>INT(INDEX(設定!$J$9:$J$108,$A17,1))</f>
        <v>0</v>
      </c>
      <c r="L17" s="79" t="str">
        <f>IF(INDEX(設定!$J$9:$J$108,$A17,1)=0,"",ROUND(MOD(INDEX(設定!$J$9:$J$108,$A17,1),1)*60,0))</f>
        <v/>
      </c>
      <c r="M17" s="141">
        <f>INT(INDEX(設定!$K$9:$K$108,$A17,1))</f>
        <v>0</v>
      </c>
      <c r="N17" s="80" t="str">
        <f>IF(INDEX(設定!$K$9:$K$108,$A17,1)=0,"",ROUND(MOD(INDEX(設定!$K$9:$K$108,$A17,1),1)*60,0))</f>
        <v/>
      </c>
      <c r="P17" s="14"/>
      <c r="Q17" s="14"/>
      <c r="S17" s="91" t="str">
        <f>IF(INDEX(設定!$F$9:$F$108,$A17,1)="","",VALUE(LEFT(INDEX(設定!$F$9:$F$108,$A17,1),1)))</f>
        <v/>
      </c>
      <c r="T17" s="219" t="str">
        <f>IF(C17="","",C17)</f>
        <v/>
      </c>
      <c r="U17" s="220" t="str">
        <f>IF(D17="","",IF(D17="1：男",1,IF(D17="2：女",2)))</f>
        <v/>
      </c>
      <c r="V17" s="221" t="str">
        <f>IF(E17="","",E17)</f>
        <v/>
      </c>
      <c r="W17" s="197" t="str">
        <f t="shared" ref="W17" si="11">IF(AND(G17="",H17="",G18=""),"",ROUND(SUM(G17,H17/60)*G18,1))</f>
        <v/>
      </c>
      <c r="X17" s="198" t="str">
        <f t="shared" ref="X17" si="12">IF(AND(I17="",J17="",I18=""),"",ROUND(SUM(I17,J17/60)*I18,1))</f>
        <v/>
      </c>
      <c r="Y17" s="198" t="str">
        <f t="shared" ref="Y17" si="13">IF(AND(K17="",L17="",K18=""),"",ROUND(SUM(K17,L17/60)*K18,1))</f>
        <v/>
      </c>
      <c r="Z17" s="199" t="str">
        <f t="shared" ref="Z17" si="14">IF(AND(M17="",N17="",M18=""),"",ROUND(SUM(M17,N17/60)*M18,1))</f>
        <v/>
      </c>
      <c r="AA17" s="200"/>
      <c r="AB17" s="201"/>
      <c r="AC17" s="233"/>
      <c r="AD17" s="233"/>
      <c r="AE17" s="240" t="s">
        <v>14</v>
      </c>
      <c r="AF17" s="211">
        <f>AH17+AJ17</f>
        <v>0</v>
      </c>
      <c r="AG17" s="211">
        <f>AI17+AK17</f>
        <v>0</v>
      </c>
      <c r="AH17" s="211">
        <f>SUMIFS($W$11:$W$70,$S$11:$S$70,1,$U$11:$U$70,1,$V$11:$V$70,"&lt;65")</f>
        <v>0</v>
      </c>
      <c r="AI17" s="211">
        <f>SUMIFS($W$11:$W$70,$S$11:$S$70,1,$U$11:$U$70,2,$V$11:$V$70,"&lt;65")</f>
        <v>0</v>
      </c>
      <c r="AJ17" s="211">
        <f>SUMIFS($W$11:$W$70,$S$11:$S$70,3,$U$11:$U$70,1)</f>
        <v>0</v>
      </c>
      <c r="AK17" s="211">
        <f>SUMIFS($W$11:$W$70,$S$11:$S$70,3,$U$11:$U$70,2)</f>
        <v>0</v>
      </c>
      <c r="AL17" s="212"/>
      <c r="AM17" s="213"/>
      <c r="AN17" s="214"/>
      <c r="AO17" s="214"/>
      <c r="AP17" s="211">
        <f>SUMIFS($W$11:$W$70,$S$11:$S$70,4,$U$11:$U$70,1)</f>
        <v>0</v>
      </c>
      <c r="AQ17" s="211">
        <f>SUMIFS($W$11:$W$70,$S$11:$S$70,4,$U$11:$U$70,2)</f>
        <v>0</v>
      </c>
      <c r="AR17" s="211">
        <f>SUMIFS($W$11:$W$70,$S$11:$S$70,5,$U$11:$U$70,1,$V$11:$V$70,"&lt;65")</f>
        <v>0</v>
      </c>
      <c r="AS17" s="211">
        <f>SUMIFS($W$11:$W$70,$S$11:$S$70,5,$U$11:$U$70,2,$V$11:$V$70,"&lt;65")</f>
        <v>0</v>
      </c>
      <c r="AT17"/>
      <c r="AU17"/>
      <c r="AV17" s="237"/>
      <c r="AW17" s="215"/>
      <c r="AX17" s="238"/>
      <c r="AY17" s="238"/>
      <c r="AZ17" s="238"/>
      <c r="BA17" s="238"/>
      <c r="BB17" s="238"/>
      <c r="BC17" s="238"/>
      <c r="BD17" s="238"/>
      <c r="BE17" s="238"/>
      <c r="BF17" s="239"/>
    </row>
    <row r="18" spans="1:58" s="30" customFormat="1" ht="29.25" customHeight="1" thickBot="1" x14ac:dyDescent="0.25">
      <c r="A18" s="142"/>
      <c r="B18" s="29"/>
      <c r="C18" s="82"/>
      <c r="D18" s="83"/>
      <c r="E18" s="84"/>
      <c r="F18" s="85"/>
      <c r="G18" s="86" t="str">
        <f>IF(SUM(G17:H17)&gt;0,1,"")</f>
        <v/>
      </c>
      <c r="H18" s="87"/>
      <c r="I18" s="86" t="str">
        <f>IF(SUM(I17:J17)&gt;0,1,"")</f>
        <v/>
      </c>
      <c r="J18" s="87"/>
      <c r="K18" s="86" t="str">
        <f>IF(SUM(K17:L17)&gt;0,1,"")</f>
        <v/>
      </c>
      <c r="L18" s="87"/>
      <c r="M18" s="86" t="str">
        <f>IF(SUM(M17:N17)&gt;0,1,"")</f>
        <v/>
      </c>
      <c r="N18" s="88"/>
      <c r="P18" s="14"/>
      <c r="Q18" s="14"/>
      <c r="S18" s="89"/>
      <c r="T18" s="194"/>
      <c r="U18" s="195"/>
      <c r="V18" s="196"/>
      <c r="W18" s="207"/>
      <c r="X18" s="207"/>
      <c r="Y18" s="207"/>
      <c r="Z18" s="208"/>
      <c r="AA18" s="200"/>
      <c r="AB18" s="201"/>
      <c r="AC18" s="233"/>
      <c r="AD18" s="233"/>
      <c r="AE18" s="241" t="s">
        <v>125</v>
      </c>
      <c r="AF18" s="222">
        <f>AH18+AJ18</f>
        <v>0</v>
      </c>
      <c r="AG18" s="222">
        <f>AI18+AK18</f>
        <v>0</v>
      </c>
      <c r="AH18" s="222">
        <f>SUMIFS($W$11:$W$70,$S$11:$S$70,1,$U$11:$U$70,1,$V$11:$V$70,"&gt;=65",$V$11:$V$70,"&lt;70")</f>
        <v>0</v>
      </c>
      <c r="AI18" s="222">
        <f>SUMIFS($W$11:$W$70,$S$11:$S$70,1,$U$11:$U$70,2,$V$11:$V$70,"&gt;=65",$V$11:$V$70,"&lt;70")</f>
        <v>0</v>
      </c>
      <c r="AJ18" s="223"/>
      <c r="AK18" s="223"/>
      <c r="AL18" s="212"/>
      <c r="AM18" s="213"/>
      <c r="AN18" s="213"/>
      <c r="AO18" s="213"/>
      <c r="AP18" s="223"/>
      <c r="AQ18" s="223"/>
      <c r="AR18" s="222">
        <f>SUMIFS($W$11:$W$70,$S$11:$S$70,5,$U$11:$U$70,1,$V$11:$V$70,"&gt;=65",$V$11:$V$70,"&lt;70")</f>
        <v>0</v>
      </c>
      <c r="AS18" s="222">
        <f>SUMIFS($W$11:$W$70,$S$11:$S$70,5,$U$11:$U$70,2,$V$11:$V$70,"&gt;=65",$V$11:$V$70,"&lt;70")</f>
        <v>0</v>
      </c>
      <c r="AT18"/>
      <c r="AU18"/>
      <c r="AV18" s="237"/>
      <c r="AW18" s="215"/>
      <c r="AX18" s="238"/>
      <c r="AY18" s="238"/>
      <c r="AZ18" s="238"/>
      <c r="BA18" s="238"/>
      <c r="BB18" s="238"/>
      <c r="BC18" s="238"/>
      <c r="BD18" s="238"/>
      <c r="BE18" s="238"/>
      <c r="BF18" s="239"/>
    </row>
    <row r="19" spans="1:58" s="30" customFormat="1" ht="29.25" customHeight="1" thickTop="1" x14ac:dyDescent="0.2">
      <c r="A19" s="142">
        <f>ROUND((ROW()-10)/2,0)</f>
        <v>5</v>
      </c>
      <c r="B19" s="29"/>
      <c r="C19" s="90" t="str">
        <f>IF(INDEX(設定!$C$9:$C$108,$A19,1)="","",INDEX(設定!$C$9:$C$108,$A19,1))</f>
        <v/>
      </c>
      <c r="D19" s="76" t="str">
        <f>IF(INDEX(設定!$D$9:$D$108,$A19,1)="","",INDEX(設定!$D$9:$D$108,$A19,1))</f>
        <v/>
      </c>
      <c r="E19" s="77" t="str">
        <f>IF(INDEX(設定!$E$9:$E$108,$A19,1)="","",INDEX(設定!$E$9:$E$108,$A19,1))</f>
        <v/>
      </c>
      <c r="F19" s="78" t="str">
        <f>IF(S19="","",IF(S19=1,"1：家族",IF(AND(S19&gt;=2,S19&lt;=5),"2：雇用","")))</f>
        <v/>
      </c>
      <c r="G19" s="141">
        <f>INT(INDEX(設定!$H$9:H$108,$A19,1))</f>
        <v>0</v>
      </c>
      <c r="H19" s="79" t="str">
        <f>IF(INDEX(設定!$H$9:$H$108,$A19,1)=0,"",ROUND(MOD(INDEX(設定!$H$9:$H$108,$A19,1),1)*60,0))</f>
        <v/>
      </c>
      <c r="I19" s="141">
        <f>INT(INDEX(設定!$I$9:$I$108,$A19,1))</f>
        <v>0</v>
      </c>
      <c r="J19" s="79" t="str">
        <f>IF(INDEX(設定!$I$9:$I$108,$A19,1)=0,"",ROUND(MOD(INDEX(設定!$I$9:$I$108,$A19,1),1)*60,0))</f>
        <v/>
      </c>
      <c r="K19" s="141">
        <f>INT(INDEX(設定!$J$9:$J$108,$A19,1))</f>
        <v>0</v>
      </c>
      <c r="L19" s="79" t="str">
        <f>IF(INDEX(設定!$J$9:$J$108,$A19,1)=0,"",ROUND(MOD(INDEX(設定!$J$9:$J$108,$A19,1),1)*60,0))</f>
        <v/>
      </c>
      <c r="M19" s="141">
        <f>INT(INDEX(設定!$K$9:$K$108,$A19,1))</f>
        <v>0</v>
      </c>
      <c r="N19" s="80" t="str">
        <f>IF(INDEX(設定!$K$9:$K$108,$A19,1)=0,"",ROUND(MOD(INDEX(設定!$K$9:$K$108,$A19,1),1)*60,0))</f>
        <v/>
      </c>
      <c r="P19" s="14"/>
      <c r="Q19" s="14"/>
      <c r="S19" s="91" t="str">
        <f>IF(INDEX(設定!$F$9:$F$108,$A19,1)="","",VALUE(LEFT(INDEX(設定!$F$9:$F$108,$A19,1),1)))</f>
        <v/>
      </c>
      <c r="T19" s="219" t="str">
        <f>IF(C19="","",C19)</f>
        <v/>
      </c>
      <c r="U19" s="220" t="str">
        <f>IF(D19="","",IF(D19="1：男",1,IF(D19="2：女",2)))</f>
        <v/>
      </c>
      <c r="V19" s="221" t="str">
        <f>IF(E19="","",E19)</f>
        <v/>
      </c>
      <c r="W19" s="197" t="str">
        <f t="shared" ref="W19" si="15">IF(AND(G19="",H19="",G20=""),"",ROUND(SUM(G19,H19/60)*G20,1))</f>
        <v/>
      </c>
      <c r="X19" s="198" t="str">
        <f t="shared" ref="X19" si="16">IF(AND(I19="",J19="",I20=""),"",ROUND(SUM(I19,J19/60)*I20,1))</f>
        <v/>
      </c>
      <c r="Y19" s="198" t="str">
        <f t="shared" ref="Y19" si="17">IF(AND(K19="",L19="",K20=""),"",ROUND(SUM(K19,L19/60)*K20,1))</f>
        <v/>
      </c>
      <c r="Z19" s="199" t="str">
        <f t="shared" ref="Z19" si="18">IF(AND(M19="",N19="",M20=""),"",ROUND(SUM(M19,N19/60)*M20,1))</f>
        <v/>
      </c>
      <c r="AA19" s="200"/>
      <c r="AB19" s="201"/>
      <c r="AC19" s="242"/>
      <c r="AD19" s="233"/>
      <c r="AE19" s="241" t="s">
        <v>126</v>
      </c>
      <c r="AF19" s="222">
        <f t="shared" ref="AF19:AG20" si="19">AH19+AJ19</f>
        <v>0</v>
      </c>
      <c r="AG19" s="222">
        <f t="shared" si="19"/>
        <v>0</v>
      </c>
      <c r="AH19" s="222">
        <f>SUMIFS($W$11:$W$70,$S$11:$S$70,1,$U$11:$U$70,1,$V$11:$V$70,"&gt;=70",$V$11:$V$70,"&lt;75")</f>
        <v>0</v>
      </c>
      <c r="AI19" s="222">
        <f>SUMIFS($W$11:$W$70,$S$11:$S$70,1,$U$11:$U$70,2,$V$11:$V$70,"&gt;=70",$V$11:$V$70,"&lt;75")</f>
        <v>0</v>
      </c>
      <c r="AJ19" s="223"/>
      <c r="AK19" s="223"/>
      <c r="AL19" s="212"/>
      <c r="AM19" s="213"/>
      <c r="AN19" s="213"/>
      <c r="AO19" s="213"/>
      <c r="AP19" s="223"/>
      <c r="AQ19" s="223"/>
      <c r="AR19" s="222">
        <f>SUMIFS($W$11:$W$70,$S$11:$S$70,5,$U$11:$U$70,1,$V$11:$V$70,"&gt;=70",$V$11:$V$70,"&lt;75")</f>
        <v>0</v>
      </c>
      <c r="AS19" s="222">
        <f>SUMIFS($W$11:$W$70,$S$11:$S$70,5,$U$11:$U$70,2,$V$11:$V$70,"&gt;=70",$V$11:$V$70,"&lt;75")</f>
        <v>0</v>
      </c>
      <c r="AT19"/>
      <c r="AU19"/>
      <c r="AV19" s="237"/>
      <c r="AW19" s="215"/>
      <c r="AX19" s="238"/>
      <c r="AY19" s="238"/>
      <c r="AZ19" s="238"/>
      <c r="BA19" s="238"/>
      <c r="BB19" s="238"/>
      <c r="BC19" s="238"/>
      <c r="BD19" s="238"/>
      <c r="BE19" s="238"/>
      <c r="BF19" s="239"/>
    </row>
    <row r="20" spans="1:58" s="30" customFormat="1" ht="29.25" customHeight="1" thickBot="1" x14ac:dyDescent="0.25">
      <c r="A20" s="142"/>
      <c r="B20" s="29"/>
      <c r="C20" s="82"/>
      <c r="D20" s="83"/>
      <c r="E20" s="84"/>
      <c r="F20" s="85"/>
      <c r="G20" s="86" t="str">
        <f>IF(SUM(G19:H19)&gt;0,1,"")</f>
        <v/>
      </c>
      <c r="H20" s="87"/>
      <c r="I20" s="86" t="str">
        <f>IF(SUM(I19:J19)&gt;0,1,"")</f>
        <v/>
      </c>
      <c r="J20" s="87"/>
      <c r="K20" s="86" t="str">
        <f>IF(SUM(K19:L19)&gt;0,1,"")</f>
        <v/>
      </c>
      <c r="L20" s="87"/>
      <c r="M20" s="86" t="str">
        <f>IF(SUM(M19:N19)&gt;0,1,"")</f>
        <v/>
      </c>
      <c r="N20" s="88"/>
      <c r="P20" s="14"/>
      <c r="Q20" s="14"/>
      <c r="S20" s="89"/>
      <c r="T20" s="194"/>
      <c r="U20" s="195"/>
      <c r="V20" s="196"/>
      <c r="W20" s="207"/>
      <c r="X20" s="207"/>
      <c r="Y20" s="207"/>
      <c r="Z20" s="208"/>
      <c r="AA20" s="200"/>
      <c r="AB20" s="201"/>
      <c r="AC20" s="242"/>
      <c r="AD20" s="243"/>
      <c r="AE20" s="244" t="s">
        <v>15</v>
      </c>
      <c r="AF20" s="225">
        <f t="shared" si="19"/>
        <v>0</v>
      </c>
      <c r="AG20" s="225">
        <f t="shared" si="19"/>
        <v>0</v>
      </c>
      <c r="AH20" s="225">
        <f>SUMIFS($W$11:$W$70,$S$11:$S$70,1,$U$11:$U$70,1,$V$11:$V$70,"&gt;=75")</f>
        <v>0</v>
      </c>
      <c r="AI20" s="225">
        <f>SUMIFS($W$11:$W$70,$S$11:$S$70,1,$U$11:$U$70,2,$V$11:$V$70,"&gt;=75")</f>
        <v>0</v>
      </c>
      <c r="AJ20" s="226"/>
      <c r="AK20" s="226"/>
      <c r="AL20" s="227"/>
      <c r="AM20" s="228"/>
      <c r="AN20" s="228"/>
      <c r="AO20" s="228"/>
      <c r="AP20" s="226"/>
      <c r="AQ20" s="226"/>
      <c r="AR20" s="225">
        <f>SUMIFS($W$11:$W$70,$S$11:$S$70,5,$U$11:$U$70,1,$V$11:$V$70,"&gt;=75")</f>
        <v>0</v>
      </c>
      <c r="AS20" s="225">
        <f>SUMIFS($W$11:$W$70,$S$11:$S$70,5,$U$11:$U$70,2,$V$11:$V$70,"&gt;=75")</f>
        <v>0</v>
      </c>
      <c r="AT20"/>
      <c r="AU20"/>
      <c r="AV20" s="237"/>
      <c r="AW20" s="215"/>
      <c r="AX20" s="238"/>
      <c r="AY20" s="238"/>
      <c r="AZ20" s="238"/>
      <c r="BA20" s="238"/>
      <c r="BB20" s="238"/>
      <c r="BC20" s="238"/>
      <c r="BD20" s="238"/>
      <c r="BE20" s="238"/>
      <c r="BF20" s="239"/>
    </row>
    <row r="21" spans="1:58" s="30" customFormat="1" ht="29.25" customHeight="1" thickTop="1" thickBot="1" x14ac:dyDescent="0.25">
      <c r="A21" s="142">
        <f>ROUND((ROW()-10)/2,0)</f>
        <v>6</v>
      </c>
      <c r="B21" s="29"/>
      <c r="C21" s="90" t="str">
        <f>IF(INDEX(設定!$C$9:$C$108,$A21,1)="","",INDEX(設定!$C$9:$C$108,$A21,1))</f>
        <v/>
      </c>
      <c r="D21" s="76" t="str">
        <f>IF(INDEX(設定!$D$9:$D$108,$A21,1)="","",INDEX(設定!$D$9:$D$108,$A21,1))</f>
        <v/>
      </c>
      <c r="E21" s="77" t="str">
        <f>IF(INDEX(設定!$E$9:$E$108,$A21,1)="","",INDEX(設定!$E$9:$E$108,$A21,1))</f>
        <v/>
      </c>
      <c r="F21" s="78" t="str">
        <f>IF(S21="","",IF(S21=1,"1：家族",IF(AND(S21&gt;=2,S21&lt;=5),"2：雇用","")))</f>
        <v/>
      </c>
      <c r="G21" s="141">
        <f>INT(INDEX(設定!$H$9:H$108,$A21,1))</f>
        <v>0</v>
      </c>
      <c r="H21" s="79" t="str">
        <f>IF(INDEX(設定!$H$9:$H$108,$A21,1)=0,"",ROUND(MOD(INDEX(設定!$H$9:$H$108,$A21,1),1)*60,0))</f>
        <v/>
      </c>
      <c r="I21" s="141">
        <f>INT(INDEX(設定!$I$9:$I$108,$A21,1))</f>
        <v>0</v>
      </c>
      <c r="J21" s="79" t="str">
        <f>IF(INDEX(設定!$I$9:$I$108,$A21,1)=0,"",ROUND(MOD(INDEX(設定!$I$9:$I$108,$A21,1),1)*60,0))</f>
        <v/>
      </c>
      <c r="K21" s="141">
        <f>INT(INDEX(設定!$J$9:$J$108,$A21,1))</f>
        <v>0</v>
      </c>
      <c r="L21" s="79" t="str">
        <f>IF(INDEX(設定!$J$9:$J$108,$A21,1)=0,"",ROUND(MOD(INDEX(設定!$J$9:$J$108,$A21,1),1)*60,0))</f>
        <v/>
      </c>
      <c r="M21" s="141">
        <f>INT(INDEX(設定!$K$9:$K$108,$A21,1))</f>
        <v>0</v>
      </c>
      <c r="N21" s="80" t="str">
        <f>IF(INDEX(設定!$K$9:$K$108,$A21,1)=0,"",ROUND(MOD(INDEX(設定!$K$9:$K$108,$A21,1),1)*60,0))</f>
        <v/>
      </c>
      <c r="P21" s="14"/>
      <c r="Q21" s="14"/>
      <c r="S21" s="91" t="str">
        <f>IF(INDEX(設定!$F$9:$F$108,$A21,1)="","",VALUE(LEFT(INDEX(設定!$F$9:$F$108,$A21,1),1)))</f>
        <v/>
      </c>
      <c r="T21" s="219" t="str">
        <f>IF(C21="","",C21)</f>
        <v/>
      </c>
      <c r="U21" s="220" t="str">
        <f>IF(D21="","",IF(D21="1：男",1,IF(D21="2：女",2)))</f>
        <v/>
      </c>
      <c r="V21" s="221" t="str">
        <f>IF(E21="","",E21)</f>
        <v/>
      </c>
      <c r="W21" s="197" t="str">
        <f t="shared" ref="W21" si="20">IF(AND(G21="",H21="",G22=""),"",ROUND(SUM(G21,H21/60)*G22,1))</f>
        <v/>
      </c>
      <c r="X21" s="198" t="str">
        <f t="shared" ref="X21" si="21">IF(AND(I21="",J21="",I22=""),"",ROUND(SUM(I21,J21/60)*I22,1))</f>
        <v/>
      </c>
      <c r="Y21" s="198" t="str">
        <f t="shared" ref="Y21" si="22">IF(AND(K21="",L21="",K22=""),"",ROUND(SUM(K21,L21/60)*K22,1))</f>
        <v/>
      </c>
      <c r="Z21" s="199" t="str">
        <f t="shared" ref="Z21" si="23">IF(AND(M21="",N21="",M22=""),"",ROUND(SUM(M21,N21/60)*M22,1))</f>
        <v/>
      </c>
      <c r="AA21" s="200"/>
      <c r="AB21" s="201"/>
      <c r="AC21" s="242"/>
      <c r="AD21" s="481" t="s">
        <v>127</v>
      </c>
      <c r="AE21" s="482"/>
      <c r="AF21" s="234">
        <f>SUM(AF22:AF25)</f>
        <v>0</v>
      </c>
      <c r="AG21" s="234">
        <f>SUM(AG22:AG25)</f>
        <v>0</v>
      </c>
      <c r="AH21" s="235"/>
      <c r="AI21" s="203"/>
      <c r="AJ21" s="203"/>
      <c r="AK21" s="245"/>
      <c r="AL21" s="234">
        <f>AN21+AP21+AR21</f>
        <v>0</v>
      </c>
      <c r="AM21" s="234">
        <f>AO21+AQ21+AS21</f>
        <v>0</v>
      </c>
      <c r="AN21" s="236">
        <f>SUMIFS($X$11:$X$70,$S$11:$S$70,2,$U$11:$U$70,1)</f>
        <v>0</v>
      </c>
      <c r="AO21" s="202">
        <f>SUMIFS($X$11:$X$70,$S$11:$S$70,2,$U$11:$U$70,2)</f>
        <v>0</v>
      </c>
      <c r="AP21" s="202">
        <f>AP22</f>
        <v>0</v>
      </c>
      <c r="AQ21" s="202">
        <f>AQ22</f>
        <v>0</v>
      </c>
      <c r="AR21" s="202">
        <f>SUM(AR22:AR25)</f>
        <v>0</v>
      </c>
      <c r="AS21" s="202">
        <f>SUM(AS22:AS25)</f>
        <v>0</v>
      </c>
      <c r="AT21"/>
      <c r="AU21"/>
      <c r="AV21" s="215"/>
      <c r="AW21" s="481" t="s">
        <v>127</v>
      </c>
      <c r="AX21" s="483"/>
      <c r="AY21" s="205">
        <f>SUM(AY22:AY25)</f>
        <v>0</v>
      </c>
      <c r="AZ21" s="205">
        <f>SUM(AZ22:AZ25)</f>
        <v>0</v>
      </c>
      <c r="BA21" s="246">
        <f>ROUND(BC21+BE21,0)</f>
        <v>0</v>
      </c>
      <c r="BB21" s="246">
        <f>ROUND(BD21+BF21,0)</f>
        <v>0</v>
      </c>
      <c r="BC21" s="247">
        <f>IFERROR($T$112*AN21/($AN$11+$AN$51),0)</f>
        <v>0</v>
      </c>
      <c r="BD21" s="247">
        <f>IFERROR($T$113*AO21/($AO$11+$AO$51),0)</f>
        <v>0</v>
      </c>
      <c r="BE21" s="204">
        <f>SUM(BE22:BE25)</f>
        <v>0</v>
      </c>
      <c r="BF21" s="204">
        <f>SUM(BF22:BF25)</f>
        <v>0</v>
      </c>
    </row>
    <row r="22" spans="1:58" s="30" customFormat="1" ht="29.25" customHeight="1" thickBot="1" x14ac:dyDescent="0.25">
      <c r="A22" s="142"/>
      <c r="B22" s="29"/>
      <c r="C22" s="82"/>
      <c r="D22" s="83"/>
      <c r="E22" s="84"/>
      <c r="F22" s="85"/>
      <c r="G22" s="86" t="str">
        <f>IF(SUM(G21:H21)&gt;0,1,"")</f>
        <v/>
      </c>
      <c r="H22" s="87"/>
      <c r="I22" s="86" t="str">
        <f>IF(SUM(I21:J21)&gt;0,1,"")</f>
        <v/>
      </c>
      <c r="J22" s="87"/>
      <c r="K22" s="86" t="str">
        <f>IF(SUM(K21:L21)&gt;0,1,"")</f>
        <v/>
      </c>
      <c r="L22" s="87"/>
      <c r="M22" s="86" t="str">
        <f>IF(SUM(M21:N21)&gt;0,1,"")</f>
        <v/>
      </c>
      <c r="N22" s="88"/>
      <c r="P22" s="14"/>
      <c r="Q22" s="14"/>
      <c r="S22" s="89"/>
      <c r="T22" s="194"/>
      <c r="U22" s="195"/>
      <c r="V22" s="196"/>
      <c r="W22" s="207"/>
      <c r="X22" s="207"/>
      <c r="Y22" s="207"/>
      <c r="Z22" s="208"/>
      <c r="AA22" s="200"/>
      <c r="AB22" s="201"/>
      <c r="AC22" s="242"/>
      <c r="AD22" s="233"/>
      <c r="AE22" s="240" t="s">
        <v>14</v>
      </c>
      <c r="AF22" s="211">
        <f>AH22+AJ22</f>
        <v>0</v>
      </c>
      <c r="AG22" s="211">
        <f>AI22+AK22</f>
        <v>0</v>
      </c>
      <c r="AH22" s="211">
        <f>SUMIFS($X$11:$X$70,$S$11:$S$70,1,$U$11:$U$70,1,$V$11:$V$70,"&lt;65")</f>
        <v>0</v>
      </c>
      <c r="AI22" s="211">
        <f>SUMIFS($X$11:$X$70,$S$11:$S$70,1,$U$11:$U$70,2,$V$11:$V$70,"&lt;65")</f>
        <v>0</v>
      </c>
      <c r="AJ22" s="211">
        <f>SUMIFS($X$11:$X$70,$S$11:$S$70,3,$U$11:$U$70,1)</f>
        <v>0</v>
      </c>
      <c r="AK22" s="211">
        <f>SUMIFS($X$11:$X$70,$S$11:$S$70,3,$U$11:$U$70,2)</f>
        <v>0</v>
      </c>
      <c r="AL22" s="248"/>
      <c r="AM22" s="214"/>
      <c r="AN22" s="214"/>
      <c r="AO22" s="214"/>
      <c r="AP22" s="211">
        <f>SUMIFS($X$11:$X$70,$S$11:$S$70,4,$U$11:$U$70,1)</f>
        <v>0</v>
      </c>
      <c r="AQ22" s="211">
        <f>SUMIFS($X$11:$X$70,$S$11:$S$70,4,$U$11:$U$70,2)</f>
        <v>0</v>
      </c>
      <c r="AR22" s="211">
        <f>SUMIFS($X$11:$X$70,$S$11:$S$70,5,$U$11:$U$70,1,$V$11:$V$70,"&lt;65")</f>
        <v>0</v>
      </c>
      <c r="AS22" s="211">
        <f>SUMIFS($X$11:$X$70,$S$11:$S$70,5,$U$11:$U$70,2,$V$11:$V$70,"&lt;65")</f>
        <v>0</v>
      </c>
      <c r="AT22"/>
      <c r="AU22"/>
      <c r="AV22" s="215"/>
      <c r="AW22" s="233"/>
      <c r="AX22" s="240" t="s">
        <v>14</v>
      </c>
      <c r="AY22" s="216">
        <f>ROUND(AF22*$T$4,0)</f>
        <v>0</v>
      </c>
      <c r="AZ22" s="216">
        <f>ROUND(AG22*$T$4,0)</f>
        <v>0</v>
      </c>
      <c r="BA22" s="217"/>
      <c r="BB22" s="218"/>
      <c r="BC22" s="189"/>
      <c r="BD22" s="189"/>
      <c r="BE22" s="249">
        <f>(AP22+AR22)*$T$4</f>
        <v>0</v>
      </c>
      <c r="BF22" s="249">
        <f>(AQ22+AS22)*$T$4</f>
        <v>0</v>
      </c>
    </row>
    <row r="23" spans="1:58" s="30" customFormat="1" ht="29.25" customHeight="1" thickTop="1" x14ac:dyDescent="0.2">
      <c r="A23" s="142">
        <f>ROUND((ROW()-10)/2,0)</f>
        <v>7</v>
      </c>
      <c r="B23" s="29"/>
      <c r="C23" s="90" t="str">
        <f>IF(INDEX(設定!$C$9:$C$108,$A23,1)="","",INDEX(設定!$C$9:$C$108,$A23,1))</f>
        <v/>
      </c>
      <c r="D23" s="76" t="str">
        <f>IF(INDEX(設定!$D$9:$D$108,$A23,1)="","",INDEX(設定!$D$9:$D$108,$A23,1))</f>
        <v/>
      </c>
      <c r="E23" s="77" t="str">
        <f>IF(INDEX(設定!$E$9:$E$108,$A23,1)="","",INDEX(設定!$E$9:$E$108,$A23,1))</f>
        <v/>
      </c>
      <c r="F23" s="78" t="str">
        <f>IF(S23="","",IF(S23=1,"1：家族",IF(AND(S23&gt;=2,S23&lt;=5),"2：雇用","")))</f>
        <v/>
      </c>
      <c r="G23" s="141">
        <f>INT(INDEX(設定!$H$9:H$108,$A23,1))</f>
        <v>0</v>
      </c>
      <c r="H23" s="79" t="str">
        <f>IF(INDEX(設定!$H$9:$H$108,$A23,1)=0,"",ROUND(MOD(INDEX(設定!$H$9:$H$108,$A23,1),1)*60,0))</f>
        <v/>
      </c>
      <c r="I23" s="141">
        <f>INT(INDEX(設定!$I$9:$I$108,$A23,1))</f>
        <v>0</v>
      </c>
      <c r="J23" s="79" t="str">
        <f>IF(INDEX(設定!$I$9:$I$108,$A23,1)=0,"",ROUND(MOD(INDEX(設定!$I$9:$I$108,$A23,1),1)*60,0))</f>
        <v/>
      </c>
      <c r="K23" s="141">
        <f>INT(INDEX(設定!$J$9:$J$108,$A23,1))</f>
        <v>0</v>
      </c>
      <c r="L23" s="79" t="str">
        <f>IF(INDEX(設定!$J$9:$J$108,$A23,1)=0,"",ROUND(MOD(INDEX(設定!$J$9:$J$108,$A23,1),1)*60,0))</f>
        <v/>
      </c>
      <c r="M23" s="141">
        <f>INT(INDEX(設定!$K$9:$K$108,$A23,1))</f>
        <v>0</v>
      </c>
      <c r="N23" s="80" t="str">
        <f>IF(INDEX(設定!$K$9:$K$108,$A23,1)=0,"",ROUND(MOD(INDEX(設定!$K$9:$K$108,$A23,1),1)*60,0))</f>
        <v/>
      </c>
      <c r="P23" s="14"/>
      <c r="Q23" s="14"/>
      <c r="S23" s="91" t="str">
        <f>IF(INDEX(設定!$F$9:$F$108,$A23,1)="","",VALUE(LEFT(INDEX(設定!$F$9:$F$108,$A23,1),1)))</f>
        <v/>
      </c>
      <c r="T23" s="219" t="str">
        <f>IF(C23="","",C23)</f>
        <v/>
      </c>
      <c r="U23" s="220" t="str">
        <f>IF(D23="","",IF(D23="1：男",1,IF(D23="2：女",2)))</f>
        <v/>
      </c>
      <c r="V23" s="221" t="str">
        <f>IF(E23="","",E23)</f>
        <v/>
      </c>
      <c r="W23" s="197" t="str">
        <f t="shared" ref="W23" si="24">IF(AND(G23="",H23="",G24=""),"",ROUND(SUM(G23,H23/60)*G24,1))</f>
        <v/>
      </c>
      <c r="X23" s="198" t="str">
        <f t="shared" ref="X23" si="25">IF(AND(I23="",J23="",I24=""),"",ROUND(SUM(I23,J23/60)*I24,1))</f>
        <v/>
      </c>
      <c r="Y23" s="198" t="str">
        <f t="shared" ref="Y23" si="26">IF(AND(K23="",L23="",K24=""),"",ROUND(SUM(K23,L23/60)*K24,1))</f>
        <v/>
      </c>
      <c r="Z23" s="199" t="str">
        <f t="shared" ref="Z23" si="27">IF(AND(M23="",N23="",M24=""),"",ROUND(SUM(M23,N23/60)*M24,1))</f>
        <v/>
      </c>
      <c r="AA23" s="200"/>
      <c r="AB23" s="201"/>
      <c r="AC23" s="242"/>
      <c r="AD23" s="233"/>
      <c r="AE23" s="241" t="s">
        <v>125</v>
      </c>
      <c r="AF23" s="222">
        <f>AH23+AJ23</f>
        <v>0</v>
      </c>
      <c r="AG23" s="222">
        <f>AI23+AK23</f>
        <v>0</v>
      </c>
      <c r="AH23" s="222">
        <f>SUMIFS($X$11:$X$70,$S$11:$S$70,1,$U$11:$U$70,1,$V$11:$V$70,"&gt;=65",$V$11:$V$70,"&lt;70")</f>
        <v>0</v>
      </c>
      <c r="AI23" s="222">
        <f>SUMIFS($X$11:$X$70,$S$11:$S$70,1,$U$11:$U$70,2,$V$11:$V$70,"&gt;=65",$V$11:$V$70,"&lt;70")</f>
        <v>0</v>
      </c>
      <c r="AJ23" s="223"/>
      <c r="AK23" s="223"/>
      <c r="AL23" s="212"/>
      <c r="AM23" s="213"/>
      <c r="AN23" s="213"/>
      <c r="AO23" s="213"/>
      <c r="AP23" s="223"/>
      <c r="AQ23" s="223"/>
      <c r="AR23" s="222">
        <f>SUMIFS($X$11:$X$70,$S$11:$S$70,5,$U$11:$U$70,1,$V$11:$V$70,"&gt;=65",$V$11:$V$70,"&lt;70")</f>
        <v>0</v>
      </c>
      <c r="AS23" s="222">
        <f>SUMIFS($X$11:$X$70,$S$11:$S$70,5,$U$11:$U$70,2,$V$11:$V$70,"&gt;=65",$V$11:$V$70,"&lt;70")</f>
        <v>0</v>
      </c>
      <c r="AT23"/>
      <c r="AU23"/>
      <c r="AV23" s="215"/>
      <c r="AW23" s="233"/>
      <c r="AX23" s="241" t="s">
        <v>125</v>
      </c>
      <c r="AY23" s="224">
        <f>ROUND(AF23*$T$4*0.9,0)</f>
        <v>0</v>
      </c>
      <c r="AZ23" s="224">
        <f>ROUND(AG23*$T$4*0.9,0)</f>
        <v>0</v>
      </c>
      <c r="BA23" s="217"/>
      <c r="BB23" s="218"/>
      <c r="BC23" s="217"/>
      <c r="BD23" s="217"/>
      <c r="BE23" s="224">
        <f>(AR23)*$T$4*0.9</f>
        <v>0</v>
      </c>
      <c r="BF23" s="224">
        <f>(AS23)*$T$4*0.9</f>
        <v>0</v>
      </c>
    </row>
    <row r="24" spans="1:58" s="30" customFormat="1" ht="29.25" customHeight="1" thickBot="1" x14ac:dyDescent="0.25">
      <c r="A24" s="142"/>
      <c r="B24" s="29"/>
      <c r="C24" s="82"/>
      <c r="D24" s="83"/>
      <c r="E24" s="84"/>
      <c r="F24" s="85"/>
      <c r="G24" s="86" t="str">
        <f>IF(SUM(G23:H23)&gt;0,1,"")</f>
        <v/>
      </c>
      <c r="H24" s="87"/>
      <c r="I24" s="86" t="str">
        <f>IF(SUM(I23:J23)&gt;0,1,"")</f>
        <v/>
      </c>
      <c r="J24" s="87"/>
      <c r="K24" s="86" t="str">
        <f>IF(SUM(K23:L23)&gt;0,1,"")</f>
        <v/>
      </c>
      <c r="L24" s="87"/>
      <c r="M24" s="86" t="str">
        <f>IF(SUM(M23:N23)&gt;0,1,"")</f>
        <v/>
      </c>
      <c r="N24" s="88"/>
      <c r="P24" s="14"/>
      <c r="Q24" s="14"/>
      <c r="S24" s="89"/>
      <c r="T24" s="194"/>
      <c r="U24" s="195"/>
      <c r="V24" s="196"/>
      <c r="W24" s="207"/>
      <c r="X24" s="207"/>
      <c r="Y24" s="207"/>
      <c r="Z24" s="208"/>
      <c r="AA24" s="200"/>
      <c r="AB24" s="201"/>
      <c r="AC24" s="242"/>
      <c r="AD24" s="233"/>
      <c r="AE24" s="241" t="s">
        <v>126</v>
      </c>
      <c r="AF24" s="222">
        <f t="shared" ref="AF24:AG25" si="28">AH24+AJ24</f>
        <v>0</v>
      </c>
      <c r="AG24" s="222">
        <f t="shared" si="28"/>
        <v>0</v>
      </c>
      <c r="AH24" s="222">
        <f>SUMIFS($X$11:$X$70,$S$11:$S$70,1,$U$11:$U$70,1,$V$11:$V$70,"&gt;=70",$V$11:$V$70,"&lt;75")</f>
        <v>0</v>
      </c>
      <c r="AI24" s="222">
        <f>SUMIFS($X$11:$X$70,$S$11:$S$70,1,$U$11:$U$70,2,$V$11:$V$70,"&gt;=70",$V$11:$V$70,"&lt;75")</f>
        <v>0</v>
      </c>
      <c r="AJ24" s="223"/>
      <c r="AK24" s="223"/>
      <c r="AL24" s="212"/>
      <c r="AM24" s="213"/>
      <c r="AN24" s="213"/>
      <c r="AO24" s="213"/>
      <c r="AP24" s="223"/>
      <c r="AQ24" s="223"/>
      <c r="AR24" s="222">
        <f>SUMIFS($X$11:$X$70,$S$11:$S$70,5,$U$11:$U$70,1,$V$11:$V$70,"&gt;=70",$V$11:$V$70,"&lt;75")</f>
        <v>0</v>
      </c>
      <c r="AS24" s="222">
        <f>SUMIFS($X$11:$X$70,$S$11:$S$70,5,$U$11:$U$70,2,$V$11:$V$70,"&gt;=70",$V$11:$V$70,"&lt;75")</f>
        <v>0</v>
      </c>
      <c r="AT24"/>
      <c r="AU24"/>
      <c r="AV24" s="215"/>
      <c r="AW24" s="233"/>
      <c r="AX24" s="241" t="s">
        <v>126</v>
      </c>
      <c r="AY24" s="224">
        <f>ROUND(AF24*$T$4*0.8,0)</f>
        <v>0</v>
      </c>
      <c r="AZ24" s="224">
        <f>ROUND(AG24*$T$4*0.8,0)</f>
        <v>0</v>
      </c>
      <c r="BA24" s="217"/>
      <c r="BB24" s="218"/>
      <c r="BC24" s="217"/>
      <c r="BD24" s="217"/>
      <c r="BE24" s="224">
        <f>(AR24)*$T$4*0.8</f>
        <v>0</v>
      </c>
      <c r="BF24" s="224">
        <f>(AS24)*$T$4*0.8</f>
        <v>0</v>
      </c>
    </row>
    <row r="25" spans="1:58" s="30" customFormat="1" ht="29.25" customHeight="1" thickTop="1" thickBot="1" x14ac:dyDescent="0.25">
      <c r="A25" s="143">
        <f>ROUND((ROW()-10)/2,0)</f>
        <v>8</v>
      </c>
      <c r="B25" s="21"/>
      <c r="C25" s="90" t="str">
        <f>IF(INDEX(設定!$C$9:$C$108,$A25,1)="","",INDEX(設定!$C$9:$C$108,$A25,1))</f>
        <v/>
      </c>
      <c r="D25" s="76" t="str">
        <f>IF(INDEX(設定!$D$9:$D$108,$A25,1)="","",INDEX(設定!$D$9:$D$108,$A25,1))</f>
        <v/>
      </c>
      <c r="E25" s="77" t="str">
        <f>IF(INDEX(設定!$E$9:$E$108,$A25,1)="","",INDEX(設定!$E$9:$E$108,$A25,1))</f>
        <v/>
      </c>
      <c r="F25" s="78" t="str">
        <f>IF(S25="","",IF(S25=1,"1：家族",IF(AND(S25&gt;=2,S25&lt;=5),"2：雇用","")))</f>
        <v/>
      </c>
      <c r="G25" s="141">
        <f>INT(INDEX(設定!$H$9:H$108,$A25,1))</f>
        <v>0</v>
      </c>
      <c r="H25" s="79" t="str">
        <f>IF(INDEX(設定!$H$9:$H$108,$A25,1)=0,"",ROUND(MOD(INDEX(設定!$H$9:$H$108,$A25,1),1)*60,0))</f>
        <v/>
      </c>
      <c r="I25" s="141">
        <f>INT(INDEX(設定!$I$9:$I$108,$A25,1))</f>
        <v>0</v>
      </c>
      <c r="J25" s="79" t="str">
        <f>IF(INDEX(設定!$I$9:$I$108,$A25,1)=0,"",ROUND(MOD(INDEX(設定!$I$9:$I$108,$A25,1),1)*60,0))</f>
        <v/>
      </c>
      <c r="K25" s="141">
        <f>INT(INDEX(設定!$J$9:$J$108,$A25,1))</f>
        <v>0</v>
      </c>
      <c r="L25" s="79" t="str">
        <f>IF(INDEX(設定!$J$9:$J$108,$A25,1)=0,"",ROUND(MOD(INDEX(設定!$J$9:$J$108,$A25,1),1)*60,0))</f>
        <v/>
      </c>
      <c r="M25" s="141">
        <f>INT(INDEX(設定!$K$9:$K$108,$A25,1))</f>
        <v>0</v>
      </c>
      <c r="N25" s="80" t="str">
        <f>IF(INDEX(設定!$K$9:$K$108,$A25,1)=0,"",ROUND(MOD(INDEX(設定!$K$9:$K$108,$A25,1),1)*60,0))</f>
        <v/>
      </c>
      <c r="P25" s="14"/>
      <c r="Q25" s="14"/>
      <c r="S25" s="91" t="str">
        <f>IF(INDEX(設定!$F$9:$F$108,$A25,1)="","",VALUE(LEFT(INDEX(設定!$F$9:$F$108,$A25,1),1)))</f>
        <v/>
      </c>
      <c r="T25" s="219" t="str">
        <f>IF(C25="","",C25)</f>
        <v/>
      </c>
      <c r="U25" s="220" t="str">
        <f>IF(D25="","",IF(D25="1：男",1,IF(D25="2：女",2)))</f>
        <v/>
      </c>
      <c r="V25" s="221" t="str">
        <f>IF(E25="","",E25)</f>
        <v/>
      </c>
      <c r="W25" s="197" t="str">
        <f t="shared" ref="W25" si="29">IF(AND(G25="",H25="",G26=""),"",ROUND(SUM(G25,H25/60)*G26,1))</f>
        <v/>
      </c>
      <c r="X25" s="198" t="str">
        <f t="shared" ref="X25" si="30">IF(AND(I25="",J25="",I26=""),"",ROUND(SUM(I25,J25/60)*I26,1))</f>
        <v/>
      </c>
      <c r="Y25" s="198" t="str">
        <f t="shared" ref="Y25" si="31">IF(AND(K25="",L25="",K26=""),"",ROUND(SUM(K25,L25/60)*K26,1))</f>
        <v/>
      </c>
      <c r="Z25" s="199" t="str">
        <f t="shared" ref="Z25" si="32">IF(AND(M25="",N25="",M26=""),"",ROUND(SUM(M25,N25/60)*M26,1))</f>
        <v/>
      </c>
      <c r="AA25" s="200"/>
      <c r="AB25" s="201"/>
      <c r="AC25" s="233"/>
      <c r="AD25" s="243"/>
      <c r="AE25" s="244" t="s">
        <v>15</v>
      </c>
      <c r="AF25" s="225">
        <f t="shared" si="28"/>
        <v>0</v>
      </c>
      <c r="AG25" s="225">
        <f t="shared" si="28"/>
        <v>0</v>
      </c>
      <c r="AH25" s="225">
        <f>SUMIFS($X$11:$X$70,$S$11:$S$70,1,$U$11:$U$70,1,$V$11:$V$70,"&gt;=75")</f>
        <v>0</v>
      </c>
      <c r="AI25" s="225">
        <f>SUMIFS($X$11:$X$70,$S$11:$S$70,1,$U$11:$U$70,2,$V$11:$V$70,"&gt;=75")</f>
        <v>0</v>
      </c>
      <c r="AJ25" s="226"/>
      <c r="AK25" s="226"/>
      <c r="AL25" s="227"/>
      <c r="AM25" s="228"/>
      <c r="AN25" s="228"/>
      <c r="AO25" s="228"/>
      <c r="AP25" s="226"/>
      <c r="AQ25" s="226"/>
      <c r="AR25" s="225">
        <f>SUMIFS($X$11:$X$70,$S$11:$S$70,5,$U$11:$U$70,1,$V$11:$V$70,"&gt;=75")</f>
        <v>0</v>
      </c>
      <c r="AS25" s="225">
        <f>SUMIFS($X$11:$X$70,$S$11:$S$70,5,$U$11:$U$70,2,$V$11:$V$70,"&gt;=75")</f>
        <v>0</v>
      </c>
      <c r="AT25"/>
      <c r="AU25"/>
      <c r="AV25" s="215"/>
      <c r="AW25" s="243"/>
      <c r="AX25" s="244" t="s">
        <v>15</v>
      </c>
      <c r="AY25" s="229">
        <f>ROUND(AF25*$T$4*0.7,0)</f>
        <v>0</v>
      </c>
      <c r="AZ25" s="229">
        <f>ROUND(AG25*$T$4*0.7,0)</f>
        <v>0</v>
      </c>
      <c r="BA25" s="232"/>
      <c r="BB25" s="231"/>
      <c r="BC25" s="232"/>
      <c r="BD25" s="232"/>
      <c r="BE25" s="229">
        <f>(AR25)*$T$4*0.7</f>
        <v>0</v>
      </c>
      <c r="BF25" s="229">
        <f>(AS25)*$T$4*0.7</f>
        <v>0</v>
      </c>
    </row>
    <row r="26" spans="1:58" s="30" customFormat="1" ht="29.25" customHeight="1" thickBot="1" x14ac:dyDescent="0.25">
      <c r="A26" s="143"/>
      <c r="B26" s="21"/>
      <c r="C26" s="82"/>
      <c r="D26" s="83"/>
      <c r="E26" s="84"/>
      <c r="F26" s="85"/>
      <c r="G26" s="86" t="str">
        <f>IF(SUM(G25:H25)&gt;0,1,"")</f>
        <v/>
      </c>
      <c r="H26" s="87"/>
      <c r="I26" s="86" t="str">
        <f>IF(SUM(I25:J25)&gt;0,1,"")</f>
        <v/>
      </c>
      <c r="J26" s="87"/>
      <c r="K26" s="86" t="str">
        <f>IF(SUM(K25:L25)&gt;0,1,"")</f>
        <v/>
      </c>
      <c r="L26" s="87"/>
      <c r="M26" s="86" t="str">
        <f>IF(SUM(M25:N25)&gt;0,1,"")</f>
        <v/>
      </c>
      <c r="N26" s="88"/>
      <c r="P26" s="14"/>
      <c r="Q26" s="14"/>
      <c r="S26" s="89"/>
      <c r="T26" s="194"/>
      <c r="U26" s="195"/>
      <c r="V26" s="196"/>
      <c r="W26" s="207"/>
      <c r="X26" s="207"/>
      <c r="Y26" s="207"/>
      <c r="Z26" s="208"/>
      <c r="AA26" s="200"/>
      <c r="AB26" s="201"/>
      <c r="AC26" s="233"/>
      <c r="AD26" s="481" t="s">
        <v>111</v>
      </c>
      <c r="AE26" s="482"/>
      <c r="AF26" s="234">
        <f t="shared" ref="AF26:AG26" si="33">SUM(AF27:AF30)</f>
        <v>0</v>
      </c>
      <c r="AG26" s="234">
        <f t="shared" si="33"/>
        <v>0</v>
      </c>
      <c r="AH26" s="235"/>
      <c r="AI26" s="203"/>
      <c r="AJ26" s="203"/>
      <c r="AK26" s="245"/>
      <c r="AL26" s="234">
        <f>AN26+AP26+AR26</f>
        <v>0</v>
      </c>
      <c r="AM26" s="234">
        <f>AO26+AQ26+AS26</f>
        <v>0</v>
      </c>
      <c r="AN26" s="236">
        <f>SUMIFS($Y$11:$Y$70,$S$11:$S$70,2,$U$11:$U$70,1)</f>
        <v>0</v>
      </c>
      <c r="AO26" s="202">
        <f>SUMIFS($Y$11:$Y$70,$S$11:$S$70,2,$U$11:$U$70,2)</f>
        <v>0</v>
      </c>
      <c r="AP26" s="202">
        <f>AP27</f>
        <v>0</v>
      </c>
      <c r="AQ26" s="202">
        <f>AQ27</f>
        <v>0</v>
      </c>
      <c r="AR26" s="202">
        <f>SUM(AR27:AR30)</f>
        <v>0</v>
      </c>
      <c r="AS26" s="202">
        <f>SUM(AS27:AS30)</f>
        <v>0</v>
      </c>
      <c r="AT26"/>
      <c r="AU26"/>
      <c r="AV26" s="237"/>
      <c r="AW26" s="481" t="s">
        <v>111</v>
      </c>
      <c r="AX26" s="483"/>
      <c r="AY26" s="204">
        <f>SUM(AY27:AY30)</f>
        <v>0</v>
      </c>
      <c r="AZ26" s="204">
        <f>SUM(AZ27:AZ30)</f>
        <v>0</v>
      </c>
      <c r="BA26" s="204">
        <f>ROUND(BC26+BE26,0)</f>
        <v>0</v>
      </c>
      <c r="BB26" s="204">
        <f>ROUND(BD26+BF26,0)</f>
        <v>0</v>
      </c>
      <c r="BC26" s="247">
        <f>IFERROR($T$112*AN26/($AN$11+$AN$51),0)</f>
        <v>0</v>
      </c>
      <c r="BD26" s="247">
        <f>IFERROR($T$113*AO26/($AO$11+$AO$51),0)</f>
        <v>0</v>
      </c>
      <c r="BE26" s="204">
        <f>SUM(BE27:BE30)</f>
        <v>0</v>
      </c>
      <c r="BF26" s="204">
        <f>SUM(BF27:BF30)</f>
        <v>0</v>
      </c>
    </row>
    <row r="27" spans="1:58" s="30" customFormat="1" ht="29.25" customHeight="1" thickTop="1" x14ac:dyDescent="0.2">
      <c r="A27" s="143">
        <f>ROUND((ROW()-10)/2,0)</f>
        <v>9</v>
      </c>
      <c r="B27" s="21"/>
      <c r="C27" s="90" t="str">
        <f>IF(INDEX(設定!$C$9:$C$108,$A27,1)="","",INDEX(設定!$C$9:$C$108,$A27,1))</f>
        <v/>
      </c>
      <c r="D27" s="76" t="str">
        <f>IF(INDEX(設定!$D$9:$D$108,$A27,1)="","",INDEX(設定!$D$9:$D$108,$A27,1))</f>
        <v/>
      </c>
      <c r="E27" s="77" t="str">
        <f>IF(INDEX(設定!$E$9:$E$108,$A27,1)="","",INDEX(設定!$E$9:$E$108,$A27,1))</f>
        <v/>
      </c>
      <c r="F27" s="78" t="str">
        <f>IF(S27="","",IF(S27=1,"1：家族",IF(AND(S27&gt;=2,S27&lt;=5),"2：雇用","")))</f>
        <v/>
      </c>
      <c r="G27" s="141">
        <f>INT(INDEX(設定!$H$9:H$108,$A27,1))</f>
        <v>0</v>
      </c>
      <c r="H27" s="79" t="str">
        <f>IF(INDEX(設定!$H$9:$H$108,$A27,1)=0,"",ROUND(MOD(INDEX(設定!$H$9:$H$108,$A27,1),1)*60,0))</f>
        <v/>
      </c>
      <c r="I27" s="141">
        <f>INT(INDEX(設定!$I$9:$I$108,$A27,1))</f>
        <v>0</v>
      </c>
      <c r="J27" s="79" t="str">
        <f>IF(INDEX(設定!$I$9:$I$108,$A27,1)=0,"",ROUND(MOD(INDEX(設定!$I$9:$I$108,$A27,1),1)*60,0))</f>
        <v/>
      </c>
      <c r="K27" s="141">
        <f>INT(INDEX(設定!$J$9:$J$108,$A27,1))</f>
        <v>0</v>
      </c>
      <c r="L27" s="79" t="str">
        <f>IF(INDEX(設定!$J$9:$J$108,$A27,1)=0,"",ROUND(MOD(INDEX(設定!$J$9:$J$108,$A27,1),1)*60,0))</f>
        <v/>
      </c>
      <c r="M27" s="141">
        <f>INT(INDEX(設定!$K$9:$K$108,$A27,1))</f>
        <v>0</v>
      </c>
      <c r="N27" s="80" t="str">
        <f>IF(INDEX(設定!$K$9:$K$108,$A27,1)=0,"",ROUND(MOD(INDEX(設定!$K$9:$K$108,$A27,1),1)*60,0))</f>
        <v/>
      </c>
      <c r="P27" s="14"/>
      <c r="Q27" s="14"/>
      <c r="S27" s="91" t="str">
        <f>IF(INDEX(設定!$F$9:$F$108,$A27,1)="","",VALUE(LEFT(INDEX(設定!$F$9:$F$108,$A27,1),1)))</f>
        <v/>
      </c>
      <c r="T27" s="219" t="str">
        <f>IF(C27="","",C27)</f>
        <v/>
      </c>
      <c r="U27" s="220" t="str">
        <f>IF(D27="","",IF(D27="1：男",1,IF(D27="2：女",2)))</f>
        <v/>
      </c>
      <c r="V27" s="221" t="str">
        <f>IF(E27="","",E27)</f>
        <v/>
      </c>
      <c r="W27" s="197" t="str">
        <f t="shared" ref="W27" si="34">IF(AND(G27="",H27="",G28=""),"",ROUND(SUM(G27,H27/60)*G28,1))</f>
        <v/>
      </c>
      <c r="X27" s="198" t="str">
        <f t="shared" ref="X27" si="35">IF(AND(I27="",J27="",I28=""),"",ROUND(SUM(I27,J27/60)*I28,1))</f>
        <v/>
      </c>
      <c r="Y27" s="198" t="str">
        <f t="shared" ref="Y27" si="36">IF(AND(K27="",L27="",K28=""),"",ROUND(SUM(K27,L27/60)*K28,1))</f>
        <v/>
      </c>
      <c r="Z27" s="199" t="str">
        <f t="shared" ref="Z27" si="37">IF(AND(M27="",N27="",M28=""),"",ROUND(SUM(M27,N27/60)*M28,1))</f>
        <v/>
      </c>
      <c r="AA27" s="200"/>
      <c r="AB27" s="201"/>
      <c r="AC27" s="233"/>
      <c r="AD27" s="233"/>
      <c r="AE27" s="240" t="s">
        <v>14</v>
      </c>
      <c r="AF27" s="211">
        <f>AH27+AJ27</f>
        <v>0</v>
      </c>
      <c r="AG27" s="211">
        <f>AI27+AK27</f>
        <v>0</v>
      </c>
      <c r="AH27" s="211">
        <f>SUMIFS($Y$11:$Y$70,$S$11:$S$70,1,$U$11:$U$70,1,$V$11:$V$70,"&lt;65")</f>
        <v>0</v>
      </c>
      <c r="AI27" s="211">
        <f>SUMIFS($Y$11:$Y$70,$S$11:$S$70,1,$U$11:$U$70,2,$V$11:$V$70,"&lt;65")</f>
        <v>0</v>
      </c>
      <c r="AJ27" s="211">
        <f>SUMIFS($Y$11:$Y$70,$S$11:$S$70,3,$U$11:$U$70,1)</f>
        <v>0</v>
      </c>
      <c r="AK27" s="211">
        <f>SUMIFS($Y$11:$Y$70,$S$11:$S$70,3,$U$11:$U$70,2)</f>
        <v>0</v>
      </c>
      <c r="AL27" s="248"/>
      <c r="AM27" s="214"/>
      <c r="AN27" s="214"/>
      <c r="AO27" s="214"/>
      <c r="AP27" s="211">
        <f>SUMIFS($Y$11:$Y$70,$S$11:$S$70,4,$U$11:$U$70,1)</f>
        <v>0</v>
      </c>
      <c r="AQ27" s="211">
        <f>SUMIFS($Y$11:$Y$70,$S$11:$S$70,4,$U$11:$U$70,2)</f>
        <v>0</v>
      </c>
      <c r="AR27" s="211">
        <f>SUMIFS($Y$11:$Y$70,$S$11:$S$70,5,$U$11:$U$70,1,$V$11:$V$70,"&lt;65")</f>
        <v>0</v>
      </c>
      <c r="AS27" s="211">
        <f>SUMIFS($Y$11:$Y$70,$S$11:$S$70,5,$U$11:$U$70,2,$V$11:$V$70,"&lt;65")</f>
        <v>0</v>
      </c>
      <c r="AT27"/>
      <c r="AU27"/>
      <c r="AV27" s="237"/>
      <c r="AW27" s="233"/>
      <c r="AX27" s="240" t="s">
        <v>14</v>
      </c>
      <c r="AY27" s="216">
        <f>ROUND(AF27*$T$4,0)</f>
        <v>0</v>
      </c>
      <c r="AZ27" s="216">
        <f>ROUND(AG27*$T$4,0)</f>
        <v>0</v>
      </c>
      <c r="BA27" s="217"/>
      <c r="BB27" s="218"/>
      <c r="BC27" s="189"/>
      <c r="BD27" s="189"/>
      <c r="BE27" s="249">
        <f>(AP27+AR27)*$T$4</f>
        <v>0</v>
      </c>
      <c r="BF27" s="249">
        <f>(AQ27+AS27)*$T$4</f>
        <v>0</v>
      </c>
    </row>
    <row r="28" spans="1:58" s="30" customFormat="1" ht="29.25" customHeight="1" thickBot="1" x14ac:dyDescent="0.25">
      <c r="A28" s="142"/>
      <c r="B28" s="29"/>
      <c r="C28" s="82"/>
      <c r="D28" s="83"/>
      <c r="E28" s="84"/>
      <c r="F28" s="85"/>
      <c r="G28" s="86" t="str">
        <f>IF(SUM(G27:H27)&gt;0,1,"")</f>
        <v/>
      </c>
      <c r="H28" s="87"/>
      <c r="I28" s="86" t="str">
        <f>IF(SUM(I27:J27)&gt;0,1,"")</f>
        <v/>
      </c>
      <c r="J28" s="87"/>
      <c r="K28" s="86" t="str">
        <f>IF(SUM(K27:L27)&gt;0,1,"")</f>
        <v/>
      </c>
      <c r="L28" s="87"/>
      <c r="M28" s="86" t="str">
        <f>IF(SUM(M27:N27)&gt;0,1,"")</f>
        <v/>
      </c>
      <c r="N28" s="88"/>
      <c r="P28" s="14"/>
      <c r="Q28" s="14"/>
      <c r="S28" s="89"/>
      <c r="T28" s="250"/>
      <c r="U28" s="251"/>
      <c r="V28" s="252"/>
      <c r="W28" s="207"/>
      <c r="X28" s="207"/>
      <c r="Y28" s="207"/>
      <c r="Z28" s="208"/>
      <c r="AA28" s="200"/>
      <c r="AB28" s="201"/>
      <c r="AC28" s="233"/>
      <c r="AD28" s="233"/>
      <c r="AE28" s="241" t="s">
        <v>125</v>
      </c>
      <c r="AF28" s="222">
        <f>AH28+AJ28</f>
        <v>0</v>
      </c>
      <c r="AG28" s="222">
        <f>AI28+AK28</f>
        <v>0</v>
      </c>
      <c r="AH28" s="222">
        <f>SUMIFS($Y$11:$Y$70,$S$11:$S$70,1,$U$11:$U$70,1,$V$11:$V$70,"&gt;=65",$V$11:$V$70,"&lt;70")</f>
        <v>0</v>
      </c>
      <c r="AI28" s="222">
        <f>SUMIFS($Y$11:$Y$70,$S$11:$S$70,1,$U$11:$U$70,2,$V$11:$V$70,"&gt;=65",$V$11:$V$70,"&lt;70")</f>
        <v>0</v>
      </c>
      <c r="AJ28" s="223"/>
      <c r="AK28" s="223"/>
      <c r="AL28" s="212"/>
      <c r="AM28" s="213"/>
      <c r="AN28" s="213"/>
      <c r="AO28" s="213"/>
      <c r="AP28" s="223"/>
      <c r="AQ28" s="223"/>
      <c r="AR28" s="222">
        <f>SUMIFS($Y$11:$Y$70,$S$11:$S$70,5,$U$11:$U$70,1,$V$11:$V$70,"&gt;=65",$V$11:$V$70,"&lt;70")</f>
        <v>0</v>
      </c>
      <c r="AS28" s="222">
        <f>SUMIFS($Y$11:$Y$70,$S$11:$S$70,5,$U$11:$U$70,2,$V$11:$V$70,"&gt;=65",$V$11:$V$70,"&lt;70")</f>
        <v>0</v>
      </c>
      <c r="AT28"/>
      <c r="AU28"/>
      <c r="AV28" s="237"/>
      <c r="AW28" s="233"/>
      <c r="AX28" s="241" t="s">
        <v>125</v>
      </c>
      <c r="AY28" s="224">
        <f>ROUND(AF28*$T$4*0.9,0)</f>
        <v>0</v>
      </c>
      <c r="AZ28" s="224">
        <f>ROUND(AG28*$T$4*0.9,0)</f>
        <v>0</v>
      </c>
      <c r="BA28" s="217"/>
      <c r="BB28" s="218"/>
      <c r="BC28" s="217"/>
      <c r="BD28" s="217"/>
      <c r="BE28" s="224">
        <f>(AR28)*$T$4*0.9</f>
        <v>0</v>
      </c>
      <c r="BF28" s="224">
        <f>(AS28)*$T$4*0.9</f>
        <v>0</v>
      </c>
    </row>
    <row r="29" spans="1:58" ht="29.25" customHeight="1" thickTop="1" x14ac:dyDescent="0.2">
      <c r="A29" s="142">
        <f>ROUND((ROW()-10)/2,0)</f>
        <v>10</v>
      </c>
      <c r="B29" s="29"/>
      <c r="C29" s="90" t="str">
        <f>IF(INDEX(設定!$C$9:$C$108,$A29,1)="","",INDEX(設定!$C$9:$C$108,$A29,1))</f>
        <v/>
      </c>
      <c r="D29" s="76" t="str">
        <f>IF(INDEX(設定!$D$9:$D$108,$A29,1)="","",INDEX(設定!$D$9:$D$108,$A29,1))</f>
        <v/>
      </c>
      <c r="E29" s="77" t="str">
        <f>IF(INDEX(設定!$E$9:$E$108,$A29,1)="","",INDEX(設定!$E$9:$E$108,$A29,1))</f>
        <v/>
      </c>
      <c r="F29" s="78" t="str">
        <f>IF(S29="","",IF(S29=1,"1：家族",IF(AND(S29&gt;=2,S29&lt;=5),"2：雇用","")))</f>
        <v/>
      </c>
      <c r="G29" s="141">
        <f>INT(INDEX(設定!$H$9:H$108,$A29,1))</f>
        <v>0</v>
      </c>
      <c r="H29" s="79" t="str">
        <f>IF(INDEX(設定!$H$9:$H$108,$A29,1)=0,"",ROUND(MOD(INDEX(設定!$H$9:$H$108,$A29,1),1)*60,0))</f>
        <v/>
      </c>
      <c r="I29" s="141">
        <f>INT(INDEX(設定!$I$9:$I$108,$A29,1))</f>
        <v>0</v>
      </c>
      <c r="J29" s="79" t="str">
        <f>IF(INDEX(設定!$I$9:$I$108,$A29,1)=0,"",ROUND(MOD(INDEX(設定!$I$9:$I$108,$A29,1),1)*60,0))</f>
        <v/>
      </c>
      <c r="K29" s="141">
        <f>INT(INDEX(設定!$J$9:$J$108,$A29,1))</f>
        <v>0</v>
      </c>
      <c r="L29" s="79" t="str">
        <f>IF(INDEX(設定!$J$9:$J$108,$A29,1)=0,"",ROUND(MOD(INDEX(設定!$J$9:$J$108,$A29,1),1)*60,0))</f>
        <v/>
      </c>
      <c r="M29" s="141">
        <f>INT(INDEX(設定!$K$9:$K$108,$A29,1))</f>
        <v>0</v>
      </c>
      <c r="N29" s="80" t="str">
        <f>IF(INDEX(設定!$K$9:$K$108,$A29,1)=0,"",ROUND(MOD(INDEX(設定!$K$9:$K$108,$A29,1),1)*60,0))</f>
        <v/>
      </c>
      <c r="P29" s="14"/>
      <c r="Q29" s="14"/>
      <c r="S29" s="91" t="str">
        <f>IF(INDEX(設定!$F$9:$F$108,$A29,1)="","",VALUE(LEFT(INDEX(設定!$F$9:$F$108,$A29,1),1)))</f>
        <v/>
      </c>
      <c r="T29" s="219" t="str">
        <f>IF(C29="","",C29)</f>
        <v/>
      </c>
      <c r="U29" s="220" t="str">
        <f>IF(D29="","",IF(D29="1：男",1,IF(D29="2：女",2)))</f>
        <v/>
      </c>
      <c r="V29" s="221" t="str">
        <f>IF(E29="","",E29)</f>
        <v/>
      </c>
      <c r="W29" s="197" t="str">
        <f t="shared" ref="W29" si="38">IF(AND(G29="",H29="",G30=""),"",ROUND(SUM(G29,H29/60)*G30,1))</f>
        <v/>
      </c>
      <c r="X29" s="198" t="str">
        <f t="shared" ref="X29" si="39">IF(AND(I29="",J29="",I30=""),"",ROUND(SUM(I29,J29/60)*I30,1))</f>
        <v/>
      </c>
      <c r="Y29" s="198" t="str">
        <f t="shared" ref="Y29" si="40">IF(AND(K29="",L29="",K30=""),"",ROUND(SUM(K29,L29/60)*K30,1))</f>
        <v/>
      </c>
      <c r="Z29" s="199" t="str">
        <f t="shared" ref="Z29" si="41">IF(AND(M29="",N29="",M30=""),"",ROUND(SUM(M29,N29/60)*M30,1))</f>
        <v/>
      </c>
      <c r="AA29" s="200"/>
      <c r="AB29" s="201"/>
      <c r="AC29" s="233"/>
      <c r="AD29" s="233"/>
      <c r="AE29" s="241" t="s">
        <v>126</v>
      </c>
      <c r="AF29" s="253">
        <f t="shared" ref="AF29:AG30" si="42">AH29+AJ29</f>
        <v>0</v>
      </c>
      <c r="AG29" s="253">
        <f t="shared" si="42"/>
        <v>0</v>
      </c>
      <c r="AH29" s="253">
        <f>SUMIFS($Y$11:$Y$70,$S$11:$S$70,1,$U$11:$U$70,1,$V$11:$V$70,"&gt;=70",$V$11:$V$70,"&lt;75")</f>
        <v>0</v>
      </c>
      <c r="AI29" s="253">
        <f>SUMIFS($Y$11:$Y$70,$S$11:$S$70,1,$U$11:$U$70,2,$V$11:$V$70,"&gt;=70",$V$11:$V$70,"&lt;75")</f>
        <v>0</v>
      </c>
      <c r="AJ29" s="223"/>
      <c r="AK29" s="223"/>
      <c r="AL29" s="212"/>
      <c r="AM29" s="213"/>
      <c r="AN29" s="213"/>
      <c r="AO29" s="213"/>
      <c r="AP29" s="223"/>
      <c r="AQ29" s="223"/>
      <c r="AR29" s="253">
        <f>SUMIFS($Y$11:$Y$70,$S$11:$S$70,5,$U$11:$U$70,1,$V$11:$V$70,"&gt;=70",$V$11:$V$70,"&lt;75")</f>
        <v>0</v>
      </c>
      <c r="AS29" s="253">
        <f>SUMIFS($Y$11:$Y$70,$S$11:$S$70,5,$U$11:$U$70,2,$V$11:$V$70,"&gt;=70",$V$11:$V$70,"&lt;75")</f>
        <v>0</v>
      </c>
      <c r="AT29"/>
      <c r="AU29"/>
      <c r="AV29" s="237"/>
      <c r="AW29" s="233"/>
      <c r="AX29" s="241" t="s">
        <v>126</v>
      </c>
      <c r="AY29" s="254">
        <f>ROUND(AF29*$T$4*0.8,0)</f>
        <v>0</v>
      </c>
      <c r="AZ29" s="254">
        <f>ROUND(AG29*$T$4*0.8,0)</f>
        <v>0</v>
      </c>
      <c r="BA29" s="217"/>
      <c r="BB29" s="218"/>
      <c r="BC29" s="217"/>
      <c r="BD29" s="217"/>
      <c r="BE29" s="254">
        <f>(AR29)*$T$4*0.8</f>
        <v>0</v>
      </c>
      <c r="BF29" s="254">
        <f>(AS29)*$T$4*0.8</f>
        <v>0</v>
      </c>
    </row>
    <row r="30" spans="1:58" ht="29.25" customHeight="1" thickBot="1" x14ac:dyDescent="0.25">
      <c r="B30" s="29"/>
      <c r="C30" s="82"/>
      <c r="D30" s="83"/>
      <c r="E30" s="84"/>
      <c r="F30" s="85"/>
      <c r="G30" s="86" t="str">
        <f>IF(SUM(G29:H29)&gt;0,1,"")</f>
        <v/>
      </c>
      <c r="H30" s="87"/>
      <c r="I30" s="86" t="str">
        <f>IF(SUM(I29:J29)&gt;0,1,"")</f>
        <v/>
      </c>
      <c r="J30" s="87"/>
      <c r="K30" s="86" t="str">
        <f>IF(SUM(K29:L29)&gt;0,1,"")</f>
        <v/>
      </c>
      <c r="L30" s="87"/>
      <c r="M30" s="86" t="str">
        <f>IF(SUM(M29:N29)&gt;0,1,"")</f>
        <v/>
      </c>
      <c r="N30" s="88"/>
      <c r="P30" s="14"/>
      <c r="Q30" s="14"/>
      <c r="S30" s="89"/>
      <c r="T30" s="194"/>
      <c r="U30" s="195"/>
      <c r="V30" s="196"/>
      <c r="W30" s="207"/>
      <c r="X30" s="207"/>
      <c r="Y30" s="207"/>
      <c r="Z30" s="208"/>
      <c r="AA30" s="200"/>
      <c r="AB30" s="238"/>
      <c r="AC30" s="233"/>
      <c r="AD30" s="255"/>
      <c r="AE30" s="244" t="s">
        <v>15</v>
      </c>
      <c r="AF30" s="256">
        <f t="shared" si="42"/>
        <v>0</v>
      </c>
      <c r="AG30" s="256">
        <f t="shared" si="42"/>
        <v>0</v>
      </c>
      <c r="AH30" s="256">
        <f>SUMIFS($Y$11:$Y$70,$S$11:$S$70,1,$U$11:$U$70,1,$V$11:$V$70,"&gt;=75")</f>
        <v>0</v>
      </c>
      <c r="AI30" s="256">
        <f>SUMIFS($Y$11:$Y$70,$S$11:$S$70,1,$U$11:$U$70,2,$V$11:$V$70,"&gt;=75")</f>
        <v>0</v>
      </c>
      <c r="AJ30" s="226"/>
      <c r="AK30" s="226"/>
      <c r="AL30" s="227"/>
      <c r="AM30" s="228"/>
      <c r="AN30" s="228"/>
      <c r="AO30" s="228"/>
      <c r="AP30" s="226"/>
      <c r="AQ30" s="226"/>
      <c r="AR30" s="256">
        <f>SUMIFS($Y$11:$Y$70,$S$11:$S$70,5,$U$11:$U$70,1,$V$11:$V$70,"&gt;=75")</f>
        <v>0</v>
      </c>
      <c r="AS30" s="256">
        <f>SUMIFS($Y$11:$Y$70,$S$11:$S$70,5,$U$11:$U$70,2,$V$11:$V$70,"&gt;=75")</f>
        <v>0</v>
      </c>
      <c r="AT30"/>
      <c r="AU30"/>
      <c r="AV30" s="237"/>
      <c r="AW30" s="243"/>
      <c r="AX30" s="244" t="s">
        <v>15</v>
      </c>
      <c r="AY30" s="257">
        <f>ROUND(AF30*$T$4*0.7,0)</f>
        <v>0</v>
      </c>
      <c r="AZ30" s="257">
        <f>ROUND(AG30*$T$4*0.7,0)</f>
        <v>0</v>
      </c>
      <c r="BA30" s="232"/>
      <c r="BB30" s="231"/>
      <c r="BC30" s="232"/>
      <c r="BD30" s="232"/>
      <c r="BE30" s="257">
        <f>(AR30)*$T$4*0.7</f>
        <v>0</v>
      </c>
      <c r="BF30" s="257">
        <f>(AS30)*$T$4*0.7</f>
        <v>0</v>
      </c>
    </row>
    <row r="31" spans="1:58" ht="29.25" customHeight="1" thickTop="1" thickBot="1" x14ac:dyDescent="0.25">
      <c r="A31" s="142">
        <f>ROUND((ROW()-10)/2,0)</f>
        <v>11</v>
      </c>
      <c r="B31" s="29"/>
      <c r="C31" s="90" t="str">
        <f>IF(INDEX(設定!$C$9:$C$108,$A31,1)="","",INDEX(設定!$C$9:$C$108,$A31,1))</f>
        <v/>
      </c>
      <c r="D31" s="76" t="str">
        <f>IF(INDEX(設定!$D$9:$D$108,$A31,1)="","",INDEX(設定!$D$9:$D$108,$A31,1))</f>
        <v/>
      </c>
      <c r="E31" s="77" t="str">
        <f>IF(INDEX(設定!$E$9:$E$108,$A31,1)="","",INDEX(設定!$E$9:$E$108,$A31,1))</f>
        <v/>
      </c>
      <c r="F31" s="78" t="str">
        <f>IF(S31="","",IF(S31=1,"1：家族",IF(AND(S31&gt;=2,S31&lt;=5),"2：雇用","")))</f>
        <v/>
      </c>
      <c r="G31" s="141">
        <f>INT(INDEX(設定!$H$9:H$108,$A31,1))</f>
        <v>0</v>
      </c>
      <c r="H31" s="79" t="str">
        <f>IF(INDEX(設定!$H$9:$H$108,$A31,1)=0,"",ROUND(MOD(INDEX(設定!$H$9:$H$108,$A31,1),1)*60,0))</f>
        <v/>
      </c>
      <c r="I31" s="141">
        <f>INT(INDEX(設定!$I$9:$I$108,$A31,1))</f>
        <v>0</v>
      </c>
      <c r="J31" s="79" t="str">
        <f>IF(INDEX(設定!$I$9:$I$108,$A31,1)=0,"",ROUND(MOD(INDEX(設定!$I$9:$I$108,$A31,1),1)*60,0))</f>
        <v/>
      </c>
      <c r="K31" s="141">
        <f>INT(INDEX(設定!$J$9:$J$108,$A31,1))</f>
        <v>0</v>
      </c>
      <c r="L31" s="79" t="str">
        <f>IF(INDEX(設定!$J$9:$J$108,$A31,1)=0,"",ROUND(MOD(INDEX(設定!$J$9:$J$108,$A31,1),1)*60,0))</f>
        <v/>
      </c>
      <c r="M31" s="141">
        <f>INT(INDEX(設定!$K$9:$K$108,$A31,1))</f>
        <v>0</v>
      </c>
      <c r="N31" s="80" t="str">
        <f>IF(INDEX(設定!$K$9:$K$108,$A31,1)=0,"",ROUND(MOD(INDEX(設定!$K$9:$K$108,$A31,1),1)*60,0))</f>
        <v/>
      </c>
      <c r="P31" s="14"/>
      <c r="Q31" s="14"/>
      <c r="S31" s="91" t="str">
        <f>IF(INDEX(設定!$F$9:$F$108,$A31,1)="","",VALUE(LEFT(INDEX(設定!$F$9:$F$108,$A31,1),1)))</f>
        <v/>
      </c>
      <c r="T31" s="219" t="str">
        <f>IF(C31="","",C31)</f>
        <v/>
      </c>
      <c r="U31" s="220" t="str">
        <f>IF(D31="","",IF(D31="1：男",1,IF(D31="2：女",2)))</f>
        <v/>
      </c>
      <c r="V31" s="221" t="str">
        <f>IF(E31="","",E31)</f>
        <v/>
      </c>
      <c r="W31" s="197" t="str">
        <f t="shared" ref="W31" si="43">IF(AND(G31="",H31="",G32=""),"",ROUND(SUM(G31,H31/60)*G32,1))</f>
        <v/>
      </c>
      <c r="X31" s="198" t="str">
        <f t="shared" ref="X31" si="44">IF(AND(I31="",J31="",I32=""),"",ROUND(SUM(I31,J31/60)*I32,1))</f>
        <v/>
      </c>
      <c r="Y31" s="198" t="str">
        <f t="shared" ref="Y31" si="45">IF(AND(K31="",L31="",K32=""),"",ROUND(SUM(K31,L31/60)*K32,1))</f>
        <v/>
      </c>
      <c r="Z31" s="199" t="str">
        <f t="shared" ref="Z31" si="46">IF(AND(M31="",N31="",M32=""),"",ROUND(SUM(M31,N31/60)*M32,1))</f>
        <v/>
      </c>
      <c r="AA31" s="200"/>
      <c r="AB31" s="238"/>
      <c r="AC31" s="233"/>
      <c r="AD31" s="481" t="s">
        <v>13</v>
      </c>
      <c r="AE31" s="482"/>
      <c r="AF31" s="258">
        <f t="shared" ref="AF31:AG31" si="47">SUM(AF32:AF35)</f>
        <v>0</v>
      </c>
      <c r="AG31" s="258">
        <f t="shared" si="47"/>
        <v>0</v>
      </c>
      <c r="AH31" s="235"/>
      <c r="AI31" s="203"/>
      <c r="AJ31" s="203"/>
      <c r="AK31" s="245"/>
      <c r="AL31" s="258">
        <f>AN31+AP31+AR31</f>
        <v>0</v>
      </c>
      <c r="AM31" s="258">
        <f>AO31+AQ31+AS31</f>
        <v>0</v>
      </c>
      <c r="AN31" s="245">
        <f>SUMIFS($Z$11:$Z$70,$S$11:$S$70,2,$U$11:$U$70,1)</f>
        <v>0</v>
      </c>
      <c r="AO31" s="245">
        <f>SUMIFS($Z$11:$Z$70,$S$11:$S$70,2,$U$11:$U$70,2)</f>
        <v>0</v>
      </c>
      <c r="AP31" s="259">
        <f>AP32</f>
        <v>0</v>
      </c>
      <c r="AQ31" s="259">
        <f>AQ32</f>
        <v>0</v>
      </c>
      <c r="AR31" s="259">
        <f>SUM(AR32:AR35)</f>
        <v>0</v>
      </c>
      <c r="AS31" s="259">
        <f>SUM(AS32:AS35)</f>
        <v>0</v>
      </c>
      <c r="AT31"/>
      <c r="AU31"/>
      <c r="AV31" s="237"/>
      <c r="AW31" s="260"/>
      <c r="AX31" s="261"/>
      <c r="AY31" s="189"/>
      <c r="AZ31" s="190"/>
      <c r="BA31" s="189"/>
      <c r="BB31" s="189"/>
      <c r="BC31" s="189"/>
      <c r="BD31" s="189"/>
      <c r="BE31" s="189"/>
      <c r="BF31" s="190"/>
    </row>
    <row r="32" spans="1:58" ht="29.25" customHeight="1" thickBot="1" x14ac:dyDescent="0.25">
      <c r="B32" s="29"/>
      <c r="C32" s="82"/>
      <c r="D32" s="83"/>
      <c r="E32" s="84"/>
      <c r="F32" s="85"/>
      <c r="G32" s="86" t="str">
        <f>IF(SUM(G31:H31)&gt;0,1,"")</f>
        <v/>
      </c>
      <c r="H32" s="87"/>
      <c r="I32" s="86" t="str">
        <f>IF(SUM(I31:J31)&gt;0,1,"")</f>
        <v/>
      </c>
      <c r="J32" s="87"/>
      <c r="K32" s="86" t="str">
        <f>IF(SUM(K31:L31)&gt;0,1,"")</f>
        <v/>
      </c>
      <c r="L32" s="87"/>
      <c r="M32" s="86" t="str">
        <f>IF(SUM(M31:N31)&gt;0,1,"")</f>
        <v/>
      </c>
      <c r="N32" s="88"/>
      <c r="P32" s="14"/>
      <c r="Q32" s="14"/>
      <c r="S32" s="89"/>
      <c r="T32" s="194"/>
      <c r="U32" s="195"/>
      <c r="V32" s="196"/>
      <c r="W32" s="207"/>
      <c r="X32" s="207"/>
      <c r="Y32" s="207"/>
      <c r="Z32" s="208"/>
      <c r="AA32" s="200"/>
      <c r="AB32" s="238"/>
      <c r="AC32" s="233"/>
      <c r="AD32" s="233"/>
      <c r="AE32" s="240" t="s">
        <v>14</v>
      </c>
      <c r="AF32" s="262">
        <f>AH32+AJ32</f>
        <v>0</v>
      </c>
      <c r="AG32" s="262">
        <f>AI32+AK32</f>
        <v>0</v>
      </c>
      <c r="AH32" s="262">
        <f>SUMIFS($Z$11:$Z$70,$S$11:$S$70,1,$U$11:$U$70,1,$V$11:$V$70,"&lt;65")+SUMIFS($W$77:$W$106,$S$77:$S$106,1,$U$77:$U$106,1,$V$77:$V$106,"&lt;65")</f>
        <v>0</v>
      </c>
      <c r="AI32" s="262">
        <f>SUMIFS($Z$11:$Z$70,$S$11:$S$70,1,$U$11:$U$70,2,$V$11:$V$70,"&lt;65")+SUMIFS($W$77:$W$106,$S$77:$S$106,1,$U$77:$U$106,2,$V$77:$V$106,"&lt;65")</f>
        <v>0</v>
      </c>
      <c r="AJ32" s="262">
        <f>SUMIFS($Z$11:$Z$70,$S$11:$S$70,3,$U$11:$U$70,1)
+SUMIFS($Y$77:$Y$106,$S$77:$S$106,3,$U$77:$U$106,1)</f>
        <v>0</v>
      </c>
      <c r="AK32" s="262">
        <f>SUMIFS($Z$11:$Z$70,$S$11:$S$70,3,$U$11:$U$70,2)
+SUMIFS($Y$77:$Y$106,$S$77:$S$106,3,$U$77:$U$106,2)</f>
        <v>0</v>
      </c>
      <c r="AL32" s="248"/>
      <c r="AM32" s="214"/>
      <c r="AN32" s="214"/>
      <c r="AO32" s="214"/>
      <c r="AP32" s="262">
        <f>SUMIFS($Z$11:$Z$70,$S$11:$S$70,4,$U$11:$U$70,1)
+SUMIFS($Y$77:$Y$106,$S$77:$S$106,4,$U$77:$U$106,1)</f>
        <v>0</v>
      </c>
      <c r="AQ32" s="262">
        <f>SUMIFS($Z$11:$Z$70,$S$11:$S$70,4,$U$11:$U$70,2)
+SUMIFS($Y$77:$Y$106,$S$77:$S$106,4,$U$77:$U$106,2)</f>
        <v>0</v>
      </c>
      <c r="AR32" s="262">
        <f>SUMIFS($Z$11:$Z$70,$S$11:$S$70,5,$U$11:$U$70,1,$V$11:$V$70,"&lt;65")</f>
        <v>0</v>
      </c>
      <c r="AS32" s="262">
        <f>SUMIFS($Z$11:$Z$70,$S$11:$S$70,5,$U$11:$U$70,2,$V$11:$V$70,"&lt;65")</f>
        <v>0</v>
      </c>
      <c r="AT32"/>
      <c r="AU32"/>
      <c r="AV32" s="237"/>
      <c r="AW32" s="233"/>
      <c r="AX32" s="263"/>
      <c r="AY32" s="217"/>
      <c r="AZ32" s="218"/>
      <c r="BA32" s="217"/>
      <c r="BB32" s="217"/>
      <c r="BC32" s="217"/>
      <c r="BD32" s="217"/>
      <c r="BE32" s="217"/>
      <c r="BF32" s="218"/>
    </row>
    <row r="33" spans="1:58" ht="29.25" customHeight="1" thickTop="1" x14ac:dyDescent="0.2">
      <c r="A33" s="142">
        <f>ROUND((ROW()-10)/2,0)</f>
        <v>12</v>
      </c>
      <c r="B33" s="29"/>
      <c r="C33" s="90" t="str">
        <f>IF(INDEX(設定!$C$9:$C$108,$A33,1)="","",INDEX(設定!$C$9:$C$108,$A33,1))</f>
        <v/>
      </c>
      <c r="D33" s="76" t="str">
        <f>IF(INDEX(設定!$D$9:$D$108,$A33,1)="","",INDEX(設定!$D$9:$D$108,$A33,1))</f>
        <v/>
      </c>
      <c r="E33" s="77" t="str">
        <f>IF(INDEX(設定!$E$9:$E$108,$A33,1)="","",INDEX(設定!$E$9:$E$108,$A33,1))</f>
        <v/>
      </c>
      <c r="F33" s="78" t="str">
        <f>IF(S33="","",IF(S33=1,"1：家族",IF(AND(S33&gt;=2,S33&lt;=5),"2：雇用","")))</f>
        <v/>
      </c>
      <c r="G33" s="141">
        <f>INT(INDEX(設定!$H$9:H$108,$A33,1))</f>
        <v>0</v>
      </c>
      <c r="H33" s="79" t="str">
        <f>IF(INDEX(設定!$H$9:$H$108,$A33,1)=0,"",ROUND(MOD(INDEX(設定!$H$9:$H$108,$A33,1),1)*60,0))</f>
        <v/>
      </c>
      <c r="I33" s="141">
        <f>INT(INDEX(設定!$I$9:$I$108,$A33,1))</f>
        <v>0</v>
      </c>
      <c r="J33" s="79" t="str">
        <f>IF(INDEX(設定!$I$9:$I$108,$A33,1)=0,"",ROUND(MOD(INDEX(設定!$I$9:$I$108,$A33,1),1)*60,0))</f>
        <v/>
      </c>
      <c r="K33" s="141">
        <f>INT(INDEX(設定!$J$9:$J$108,$A33,1))</f>
        <v>0</v>
      </c>
      <c r="L33" s="79" t="str">
        <f>IF(INDEX(設定!$J$9:$J$108,$A33,1)=0,"",ROUND(MOD(INDEX(設定!$J$9:$J$108,$A33,1),1)*60,0))</f>
        <v/>
      </c>
      <c r="M33" s="141">
        <f>INT(INDEX(設定!$K$9:$K$108,$A33,1))</f>
        <v>0</v>
      </c>
      <c r="N33" s="80" t="str">
        <f>IF(INDEX(設定!$K$9:$K$108,$A33,1)=0,"",ROUND(MOD(INDEX(設定!$K$9:$K$108,$A33,1),1)*60,0))</f>
        <v/>
      </c>
      <c r="P33" s="14"/>
      <c r="Q33" s="14"/>
      <c r="S33" s="91" t="str">
        <f>IF(INDEX(設定!$F$9:$F$108,$A33,1)="","",VALUE(LEFT(INDEX(設定!$F$9:$F$108,$A33,1),1)))</f>
        <v/>
      </c>
      <c r="T33" s="219" t="str">
        <f>IF(C33="","",C33)</f>
        <v/>
      </c>
      <c r="U33" s="220" t="str">
        <f>IF(D33="","",IF(D33="1：男",1,IF(D33="2：女",2)))</f>
        <v/>
      </c>
      <c r="V33" s="221" t="str">
        <f>IF(E33="","",E33)</f>
        <v/>
      </c>
      <c r="W33" s="197" t="str">
        <f t="shared" ref="W33" si="48">IF(AND(G33="",H33="",G34=""),"",ROUND(SUM(G33,H33/60)*G34,1))</f>
        <v/>
      </c>
      <c r="X33" s="198" t="str">
        <f t="shared" ref="X33" si="49">IF(AND(I33="",J33="",I34=""),"",ROUND(SUM(I33,J33/60)*I34,1))</f>
        <v/>
      </c>
      <c r="Y33" s="198" t="str">
        <f t="shared" ref="Y33" si="50">IF(AND(K33="",L33="",K34=""),"",ROUND(SUM(K33,L33/60)*K34,1))</f>
        <v/>
      </c>
      <c r="Z33" s="199" t="str">
        <f t="shared" ref="Z33" si="51">IF(AND(M33="",N33="",M34=""),"",ROUND(SUM(M33,N33/60)*M34,1))</f>
        <v/>
      </c>
      <c r="AA33" s="200"/>
      <c r="AB33" s="186"/>
      <c r="AC33" s="233"/>
      <c r="AD33" s="233"/>
      <c r="AE33" s="241" t="s">
        <v>125</v>
      </c>
      <c r="AF33" s="253">
        <f>AH33+AJ33</f>
        <v>0</v>
      </c>
      <c r="AG33" s="253">
        <f>AI33+AK33</f>
        <v>0</v>
      </c>
      <c r="AH33" s="253">
        <f>SUMIFS($Z$11:$Z$70,$S$11:$S$70,1,$U$11:$U$70,1,$V$11:$V$70,"&gt;=65",$V$11:$V$70,"&lt;70")+SUMIFS($W$77:$W$106,$S$77:$S$106,1,$U$77:$U$106,1,$V$77:$V$106,"&gt;=65",$V$77:$V$106,"&lt;70")</f>
        <v>0</v>
      </c>
      <c r="AI33" s="253">
        <f>SUMIFS($Z$11:$Z$70,$S$11:$S$70,1,$U$11:$U$70,2,$V$11:$V$70,"&gt;=65",$V$11:$V$70,"&lt;70")+SUMIFS($W$77:$W$106,$S$77:$S$106,1,$U$77:$U$106,2,$V$77:$V$106,"&gt;=65",$V$77:$V$106,"&lt;70")</f>
        <v>0</v>
      </c>
      <c r="AJ33" s="223"/>
      <c r="AK33" s="223"/>
      <c r="AL33" s="212"/>
      <c r="AM33" s="213"/>
      <c r="AN33" s="213"/>
      <c r="AO33" s="213"/>
      <c r="AP33" s="223"/>
      <c r="AQ33" s="223"/>
      <c r="AR33" s="253">
        <f>SUMIFS($Z$11:$Z$70,$S$11:$S$70,5,$U$11:$U$70,1,$V$11:$V$70,"&gt;=65",$V$11:$V$70,"&lt;70")</f>
        <v>0</v>
      </c>
      <c r="AS33" s="253">
        <f>SUMIFS($Z$11:$Z$70,$S$11:$S$70,5,$U$11:$U$70,2,$V$11:$V$70,"&gt;=65",$V$11:$V$70,"&lt;70")</f>
        <v>0</v>
      </c>
      <c r="AT33" s="238"/>
      <c r="AU33" s="238"/>
      <c r="AV33" s="237"/>
      <c r="AW33" s="233"/>
      <c r="AX33" s="263"/>
      <c r="AY33" s="217"/>
      <c r="AZ33" s="218"/>
      <c r="BA33" s="217"/>
      <c r="BB33" s="217"/>
      <c r="BC33" s="217"/>
      <c r="BD33" s="217"/>
      <c r="BE33" s="217"/>
      <c r="BF33" s="218"/>
    </row>
    <row r="34" spans="1:58" s="30" customFormat="1" ht="29.25" customHeight="1" thickBot="1" x14ac:dyDescent="0.25">
      <c r="A34" s="142"/>
      <c r="B34" s="29"/>
      <c r="C34" s="82"/>
      <c r="D34" s="83"/>
      <c r="E34" s="84"/>
      <c r="F34" s="85"/>
      <c r="G34" s="86" t="str">
        <f>IF(SUM(G33:H33)&gt;0,1,"")</f>
        <v/>
      </c>
      <c r="H34" s="87"/>
      <c r="I34" s="86" t="str">
        <f>IF(SUM(I33:J33)&gt;0,1,"")</f>
        <v/>
      </c>
      <c r="J34" s="87"/>
      <c r="K34" s="86" t="str">
        <f>IF(SUM(K33:L33)&gt;0,1,"")</f>
        <v/>
      </c>
      <c r="L34" s="87"/>
      <c r="M34" s="86" t="str">
        <f>IF(SUM(M33:N33)&gt;0,1,"")</f>
        <v/>
      </c>
      <c r="N34" s="88"/>
      <c r="P34" s="14"/>
      <c r="Q34" s="14"/>
      <c r="S34" s="89"/>
      <c r="T34" s="194"/>
      <c r="U34" s="195"/>
      <c r="V34" s="196"/>
      <c r="W34" s="207"/>
      <c r="X34" s="207"/>
      <c r="Y34" s="207"/>
      <c r="Z34" s="208"/>
      <c r="AA34" s="200"/>
      <c r="AB34" s="186"/>
      <c r="AC34" s="264"/>
      <c r="AD34" s="233"/>
      <c r="AE34" s="241" t="s">
        <v>126</v>
      </c>
      <c r="AF34" s="253">
        <f t="shared" ref="AF34:AG35" si="52">AH34+AJ34</f>
        <v>0</v>
      </c>
      <c r="AG34" s="253">
        <f t="shared" si="52"/>
        <v>0</v>
      </c>
      <c r="AH34" s="253">
        <f>SUMIFS($Z$11:$Z$70,$S$11:$S$70,1,$U$11:$U$70,1,$V$11:$V$70,"&gt;=70",$V$11:$V$70,"&lt;75")+SUMIFS($W$77:$W$106,$S$77:$S$106,1,$U$77:$U$106,1,$V$77:$V$106,"&gt;=70",$V$77:$V$106,"&lt;75")</f>
        <v>0</v>
      </c>
      <c r="AI34" s="253">
        <f>SUMIFS($Z$11:$Z$70,$S$11:$S$70,1,$U$11:$U$70,2,$V$11:$V$70,"&gt;=70",$V$11:$V$70,"&lt;75")+SUMIFS($W$77:$W$106,$S$77:$S$106,1,$U$77:$U$106,2,$V$77:$V$106,"&gt;=70",$V$77:$V$106,"&lt;75")</f>
        <v>0</v>
      </c>
      <c r="AJ34" s="223"/>
      <c r="AK34" s="223"/>
      <c r="AL34" s="212"/>
      <c r="AM34" s="213"/>
      <c r="AN34" s="213"/>
      <c r="AO34" s="213"/>
      <c r="AP34" s="223"/>
      <c r="AQ34" s="223"/>
      <c r="AR34" s="253">
        <f>SUMIFS($Z$11:$Z$70,$S$11:$S$70,5,$U$11:$U$70,1,$V$11:$V$70,"&gt;=70",$V$11:$V$70,"&lt;75")</f>
        <v>0</v>
      </c>
      <c r="AS34" s="253">
        <f>SUMIFS($Z$11:$Z$70,$S$11:$S$70,5,$U$11:$U$70,2,$V$11:$V$70,"&gt;=70",$V$11:$V$70,"&lt;75")</f>
        <v>0</v>
      </c>
      <c r="AT34" s="238"/>
      <c r="AU34" s="238"/>
      <c r="AV34" s="237"/>
      <c r="AW34" s="233"/>
      <c r="AX34" s="263"/>
      <c r="AY34" s="217"/>
      <c r="AZ34" s="218"/>
      <c r="BA34" s="217"/>
      <c r="BB34" s="217"/>
      <c r="BC34" s="217"/>
      <c r="BD34" s="217"/>
      <c r="BE34" s="217"/>
      <c r="BF34" s="218"/>
    </row>
    <row r="35" spans="1:58" s="30" customFormat="1" ht="29.25" customHeight="1" thickTop="1" x14ac:dyDescent="0.2">
      <c r="A35" s="142">
        <f>ROUND((ROW()-10)/2,0)</f>
        <v>13</v>
      </c>
      <c r="B35" s="29"/>
      <c r="C35" s="90" t="str">
        <f>IF(INDEX(設定!$C$9:$C$108,$A35,1)="","",INDEX(設定!$C$9:$C$108,$A35,1))</f>
        <v/>
      </c>
      <c r="D35" s="76" t="str">
        <f>IF(INDEX(設定!$D$9:$D$108,$A35,1)="","",INDEX(設定!$D$9:$D$108,$A35,1))</f>
        <v/>
      </c>
      <c r="E35" s="77" t="str">
        <f>IF(INDEX(設定!$E$9:$E$108,$A35,1)="","",INDEX(設定!$E$9:$E$108,$A35,1))</f>
        <v/>
      </c>
      <c r="F35" s="78" t="str">
        <f>IF(S35="","",IF(S35=1,"1：家族",IF(AND(S35&gt;=2,S35&lt;=5),"2：雇用","")))</f>
        <v/>
      </c>
      <c r="G35" s="141">
        <f>INT(INDEX(設定!$H$9:H$108,$A35,1))</f>
        <v>0</v>
      </c>
      <c r="H35" s="79" t="str">
        <f>IF(INDEX(設定!$H$9:$H$108,$A35,1)=0,"",ROUND(MOD(INDEX(設定!$H$9:$H$108,$A35,1),1)*60,0))</f>
        <v/>
      </c>
      <c r="I35" s="141">
        <f>INT(INDEX(設定!$I$9:$I$108,$A35,1))</f>
        <v>0</v>
      </c>
      <c r="J35" s="79" t="str">
        <f>IF(INDEX(設定!$I$9:$I$108,$A35,1)=0,"",ROUND(MOD(INDEX(設定!$I$9:$I$108,$A35,1),1)*60,0))</f>
        <v/>
      </c>
      <c r="K35" s="141">
        <f>INT(INDEX(設定!$J$9:$J$108,$A35,1))</f>
        <v>0</v>
      </c>
      <c r="L35" s="79" t="str">
        <f>IF(INDEX(設定!$J$9:$J$108,$A35,1)=0,"",ROUND(MOD(INDEX(設定!$J$9:$J$108,$A35,1),1)*60,0))</f>
        <v/>
      </c>
      <c r="M35" s="141">
        <f>INT(INDEX(設定!$K$9:$K$108,$A35,1))</f>
        <v>0</v>
      </c>
      <c r="N35" s="80" t="str">
        <f>IF(INDEX(設定!$K$9:$K$108,$A35,1)=0,"",ROUND(MOD(INDEX(設定!$K$9:$K$108,$A35,1),1)*60,0))</f>
        <v/>
      </c>
      <c r="P35" s="14"/>
      <c r="Q35" s="14"/>
      <c r="S35" s="91" t="str">
        <f>IF(INDEX(設定!$F$9:$F$108,$A35,1)="","",VALUE(LEFT(INDEX(設定!$F$9:$F$108,$A35,1),1)))</f>
        <v/>
      </c>
      <c r="T35" s="219" t="str">
        <f>IF(C35="","",C35)</f>
        <v/>
      </c>
      <c r="U35" s="220" t="str">
        <f>IF(D35="","",IF(D35="1：男",1,IF(D35="2：女",2)))</f>
        <v/>
      </c>
      <c r="V35" s="221" t="str">
        <f>IF(E35="","",E35)</f>
        <v/>
      </c>
      <c r="W35" s="197" t="str">
        <f t="shared" ref="W35" si="53">IF(AND(G35="",H35="",G36=""),"",ROUND(SUM(G35,H35/60)*G36,1))</f>
        <v/>
      </c>
      <c r="X35" s="198" t="str">
        <f t="shared" ref="X35" si="54">IF(AND(I35="",J35="",I36=""),"",ROUND(SUM(I35,J35/60)*I36,1))</f>
        <v/>
      </c>
      <c r="Y35" s="198" t="str">
        <f t="shared" ref="Y35" si="55">IF(AND(K35="",L35="",K36=""),"",ROUND(SUM(K35,L35/60)*K36,1))</f>
        <v/>
      </c>
      <c r="Z35" s="199" t="str">
        <f t="shared" ref="Z35" si="56">IF(AND(M35="",N35="",M36=""),"",ROUND(SUM(M35,N35/60)*M36,1))</f>
        <v/>
      </c>
      <c r="AA35" s="200"/>
      <c r="AB35" s="201"/>
      <c r="AC35" s="264"/>
      <c r="AD35" s="243"/>
      <c r="AE35" s="244" t="s">
        <v>15</v>
      </c>
      <c r="AF35" s="256">
        <f t="shared" si="52"/>
        <v>0</v>
      </c>
      <c r="AG35" s="256">
        <f t="shared" si="52"/>
        <v>0</v>
      </c>
      <c r="AH35" s="256">
        <f>SUMIFS($Z$11:$Z$70,$S$11:$S$70,1,$U$11:$U$70,1,$V$11:$V$70,"&gt;=75")+SUMIFS($W$77:$W$106,$S$77:$S$106,1,$U$77:$U$106,1,$V$77:$V$106,"&gt;=75")</f>
        <v>0</v>
      </c>
      <c r="AI35" s="256">
        <f>SUMIFS($Z$11:$Z$70,$S$11:$S$70,1,$U$11:$U$70,2,$V$11:$V$70,"&gt;=75")+SUMIFS($W$77:$W$106,$S$77:$S$106,1,$U$77:$U$106,2,$V$77:$V$106,"&gt;=75")</f>
        <v>0</v>
      </c>
      <c r="AJ35" s="226"/>
      <c r="AK35" s="226"/>
      <c r="AL35" s="212"/>
      <c r="AM35" s="213"/>
      <c r="AN35" s="228"/>
      <c r="AO35" s="228"/>
      <c r="AP35" s="226"/>
      <c r="AQ35" s="226"/>
      <c r="AR35" s="256">
        <f>SUMIFS($Z$11:$Z$70,$S$11:$S$70,5,$U$11:$U$70,1,$V$11:$V$70,"&gt;=75")</f>
        <v>0</v>
      </c>
      <c r="AS35" s="256">
        <f>SUMIFS($Z$11:$Z$70,$S$11:$S$70,5,$U$11:$U$70,2,$V$11:$V$70,"&gt;=75")</f>
        <v>0</v>
      </c>
      <c r="AT35" s="238"/>
      <c r="AU35" s="238"/>
      <c r="AV35" s="237"/>
      <c r="AW35" s="243"/>
      <c r="AX35" s="265"/>
      <c r="AY35" s="217"/>
      <c r="AZ35" s="218"/>
      <c r="BA35" s="217"/>
      <c r="BB35" s="217"/>
      <c r="BC35" s="217"/>
      <c r="BD35" s="217"/>
      <c r="BE35" s="217"/>
      <c r="BF35" s="218"/>
    </row>
    <row r="36" spans="1:58" s="30" customFormat="1" ht="29.25" customHeight="1" thickBot="1" x14ac:dyDescent="0.25">
      <c r="A36" s="142"/>
      <c r="B36" s="29"/>
      <c r="C36" s="82"/>
      <c r="D36" s="83"/>
      <c r="E36" s="84"/>
      <c r="F36" s="85"/>
      <c r="G36" s="86" t="str">
        <f>IF(SUM(G35:H35)&gt;0,1,"")</f>
        <v/>
      </c>
      <c r="H36" s="87"/>
      <c r="I36" s="86" t="str">
        <f>IF(SUM(I35:J35)&gt;0,1,"")</f>
        <v/>
      </c>
      <c r="J36" s="87"/>
      <c r="K36" s="86" t="str">
        <f>IF(SUM(K35:L35)&gt;0,1,"")</f>
        <v/>
      </c>
      <c r="L36" s="87"/>
      <c r="M36" s="86" t="str">
        <f>IF(SUM(M35:N35)&gt;0,1,"")</f>
        <v/>
      </c>
      <c r="N36" s="88"/>
      <c r="P36" s="14"/>
      <c r="Q36" s="14"/>
      <c r="S36" s="89"/>
      <c r="T36" s="194"/>
      <c r="U36" s="195"/>
      <c r="V36" s="196"/>
      <c r="W36" s="207"/>
      <c r="X36" s="207"/>
      <c r="Y36" s="207"/>
      <c r="Z36" s="208"/>
      <c r="AA36" s="200"/>
      <c r="AB36" s="201"/>
      <c r="AC36" s="264"/>
      <c r="AD36" s="481" t="s">
        <v>128</v>
      </c>
      <c r="AE36" s="488"/>
      <c r="AF36" s="259">
        <f t="shared" ref="AF36:AG36" si="57">SUM(AF37:AF40)</f>
        <v>0</v>
      </c>
      <c r="AG36" s="259">
        <f t="shared" si="57"/>
        <v>0</v>
      </c>
      <c r="AH36" s="203"/>
      <c r="AI36" s="203"/>
      <c r="AJ36" s="203"/>
      <c r="AK36" s="203"/>
      <c r="AL36" s="259">
        <f>AN36+AP36+AR36</f>
        <v>0</v>
      </c>
      <c r="AM36" s="259">
        <f>AO36+AQ36+AS36</f>
        <v>0</v>
      </c>
      <c r="AN36" s="245">
        <f>AN16+AN21+AN31</f>
        <v>0</v>
      </c>
      <c r="AO36" s="245">
        <f>AO16+AO21+AO31</f>
        <v>0</v>
      </c>
      <c r="AP36" s="259">
        <f>AP37</f>
        <v>0</v>
      </c>
      <c r="AQ36" s="259">
        <f>AQ37</f>
        <v>0</v>
      </c>
      <c r="AR36" s="259">
        <f>SUM(AR37:AR40)</f>
        <v>0</v>
      </c>
      <c r="AS36" s="259">
        <f>SUM(AS37:AS40)</f>
        <v>0</v>
      </c>
      <c r="AT36" s="238"/>
      <c r="AU36" s="238"/>
      <c r="AV36" s="237"/>
      <c r="AW36" s="481" t="s">
        <v>128</v>
      </c>
      <c r="AX36" s="483"/>
      <c r="AY36" s="266">
        <f>SUM(AY37:AY40)</f>
        <v>0</v>
      </c>
      <c r="AZ36" s="266">
        <f>SUM(AZ37:AZ40)</f>
        <v>0</v>
      </c>
      <c r="BA36" s="266">
        <f>ROUND(BC36+BE36,0)</f>
        <v>0</v>
      </c>
      <c r="BB36" s="266">
        <f>ROUND(BD36+BF36,0)</f>
        <v>0</v>
      </c>
      <c r="BC36" s="267">
        <f>IFERROR($T$112*AN36/($AN$11+$AN$51),0)</f>
        <v>0</v>
      </c>
      <c r="BD36" s="267">
        <f>IFERROR($T$113*AO36/($AO$11+$AO$51),0)</f>
        <v>0</v>
      </c>
      <c r="BE36" s="266">
        <f>SUM(BE37:BE40)</f>
        <v>0</v>
      </c>
      <c r="BF36" s="266">
        <f>SUM(BF37:BF40)</f>
        <v>0</v>
      </c>
    </row>
    <row r="37" spans="1:58" s="30" customFormat="1" ht="29.25" customHeight="1" thickTop="1" x14ac:dyDescent="0.2">
      <c r="A37" s="143">
        <f>ROUND((ROW()-10)/2,0)</f>
        <v>14</v>
      </c>
      <c r="B37" s="21"/>
      <c r="C37" s="90" t="str">
        <f>IF(INDEX(設定!$C$9:$C$108,$A37,1)="","",INDEX(設定!$C$9:$C$108,$A37,1))</f>
        <v/>
      </c>
      <c r="D37" s="76" t="str">
        <f>IF(INDEX(設定!$D$9:$D$108,$A37,1)="","",INDEX(設定!$D$9:$D$108,$A37,1))</f>
        <v/>
      </c>
      <c r="E37" s="77" t="str">
        <f>IF(INDEX(設定!$E$9:$E$108,$A37,1)="","",INDEX(設定!$E$9:$E$108,$A37,1))</f>
        <v/>
      </c>
      <c r="F37" s="78" t="str">
        <f>IF(S37="","",IF(S37=1,"1：家族",IF(AND(S37&gt;=2,S37&lt;=5),"2：雇用","")))</f>
        <v/>
      </c>
      <c r="G37" s="141">
        <f>INT(INDEX(設定!$H$9:H$108,$A37,1))</f>
        <v>0</v>
      </c>
      <c r="H37" s="79" t="str">
        <f>IF(INDEX(設定!$H$9:$H$108,$A37,1)=0,"",ROUND(MOD(INDEX(設定!$H$9:$H$108,$A37,1),1)*60,0))</f>
        <v/>
      </c>
      <c r="I37" s="141">
        <f>INT(INDEX(設定!$I$9:$I$108,$A37,1))</f>
        <v>0</v>
      </c>
      <c r="J37" s="79" t="str">
        <f>IF(INDEX(設定!$I$9:$I$108,$A37,1)=0,"",ROUND(MOD(INDEX(設定!$I$9:$I$108,$A37,1),1)*60,0))</f>
        <v/>
      </c>
      <c r="K37" s="141">
        <f>INT(INDEX(設定!$J$9:$J$108,$A37,1))</f>
        <v>0</v>
      </c>
      <c r="L37" s="79" t="str">
        <f>IF(INDEX(設定!$J$9:$J$108,$A37,1)=0,"",ROUND(MOD(INDEX(設定!$J$9:$J$108,$A37,1),1)*60,0))</f>
        <v/>
      </c>
      <c r="M37" s="141">
        <f>INT(INDEX(設定!$K$9:$K$108,$A37,1))</f>
        <v>0</v>
      </c>
      <c r="N37" s="80" t="str">
        <f>IF(INDEX(設定!$K$9:$K$108,$A37,1)=0,"",ROUND(MOD(INDEX(設定!$K$9:$K$108,$A37,1),1)*60,0))</f>
        <v/>
      </c>
      <c r="P37" s="14"/>
      <c r="Q37" s="14"/>
      <c r="S37" s="91" t="str">
        <f>IF(INDEX(設定!$F$9:$F$108,$A37,1)="","",VALUE(LEFT(INDEX(設定!$F$9:$F$108,$A37,1),1)))</f>
        <v/>
      </c>
      <c r="T37" s="219" t="str">
        <f>IF(C37="","",C37)</f>
        <v/>
      </c>
      <c r="U37" s="220" t="str">
        <f>IF(D37="","",IF(D37="1：男",1,IF(D37="2：女",2)))</f>
        <v/>
      </c>
      <c r="V37" s="221" t="str">
        <f>IF(E37="","",E37)</f>
        <v/>
      </c>
      <c r="W37" s="197" t="str">
        <f t="shared" ref="W37" si="58">IF(AND(G37="",H37="",G38=""),"",ROUND(SUM(G37,H37/60)*G38,1))</f>
        <v/>
      </c>
      <c r="X37" s="198" t="str">
        <f t="shared" ref="X37" si="59">IF(AND(I37="",J37="",I38=""),"",ROUND(SUM(I37,J37/60)*I38,1))</f>
        <v/>
      </c>
      <c r="Y37" s="198" t="str">
        <f t="shared" ref="Y37" si="60">IF(AND(K37="",L37="",K38=""),"",ROUND(SUM(K37,L37/60)*K38,1))</f>
        <v/>
      </c>
      <c r="Z37" s="199" t="str">
        <f t="shared" ref="Z37" si="61">IF(AND(M37="",N37="",M38=""),"",ROUND(SUM(M37,N37/60)*M38,1))</f>
        <v/>
      </c>
      <c r="AA37" s="200"/>
      <c r="AB37" s="201"/>
      <c r="AC37" s="268"/>
      <c r="AD37" s="233"/>
      <c r="AE37" s="240" t="s">
        <v>14</v>
      </c>
      <c r="AF37" s="262">
        <f>AF17+AF22+AF32</f>
        <v>0</v>
      </c>
      <c r="AG37" s="262">
        <f t="shared" ref="AG37:AG40" si="62">AG17+AG22+AG32</f>
        <v>0</v>
      </c>
      <c r="AH37" s="248"/>
      <c r="AI37" s="214"/>
      <c r="AJ37" s="214"/>
      <c r="AK37" s="269"/>
      <c r="AL37" s="212"/>
      <c r="AM37" s="213"/>
      <c r="AN37" s="214"/>
      <c r="AO37" s="214"/>
      <c r="AP37" s="262">
        <f>AP17+AP22+AP32</f>
        <v>0</v>
      </c>
      <c r="AQ37" s="262">
        <f>AQ17+AQ22+AQ32</f>
        <v>0</v>
      </c>
      <c r="AR37" s="262">
        <f>AR17+AR22+AR32</f>
        <v>0</v>
      </c>
      <c r="AS37" s="262">
        <f>AS17+AS22+AS32</f>
        <v>0</v>
      </c>
      <c r="AT37" s="238"/>
      <c r="AU37" s="238"/>
      <c r="AV37" s="237"/>
      <c r="AW37" s="233"/>
      <c r="AX37" s="240" t="s">
        <v>14</v>
      </c>
      <c r="AY37" s="270">
        <f>ROUND(AF37*$T$4,0)</f>
        <v>0</v>
      </c>
      <c r="AZ37" s="270">
        <f>ROUND(AG37*$T$4,0)</f>
        <v>0</v>
      </c>
      <c r="BA37" s="217"/>
      <c r="BB37" s="218"/>
      <c r="BC37" s="189"/>
      <c r="BD37" s="189"/>
      <c r="BE37" s="271">
        <f>(AP37+AR37)*$T$4</f>
        <v>0</v>
      </c>
      <c r="BF37" s="271">
        <f>(AQ37+AS37)*$T$4</f>
        <v>0</v>
      </c>
    </row>
    <row r="38" spans="1:58" s="30" customFormat="1" ht="29.25" customHeight="1" thickBot="1" x14ac:dyDescent="0.25">
      <c r="A38" s="143"/>
      <c r="B38" s="21"/>
      <c r="C38" s="82"/>
      <c r="D38" s="83"/>
      <c r="E38" s="84"/>
      <c r="F38" s="85"/>
      <c r="G38" s="86" t="str">
        <f>IF(SUM(G37:H37)&gt;0,1,"")</f>
        <v/>
      </c>
      <c r="H38" s="87"/>
      <c r="I38" s="86" t="str">
        <f>IF(SUM(I37:J37)&gt;0,1,"")</f>
        <v/>
      </c>
      <c r="J38" s="87"/>
      <c r="K38" s="86" t="str">
        <f>IF(SUM(K37:L37)&gt;0,1,"")</f>
        <v/>
      </c>
      <c r="L38" s="87"/>
      <c r="M38" s="86" t="str">
        <f>IF(SUM(M37:N37)&gt;0,1,"")</f>
        <v/>
      </c>
      <c r="N38" s="88"/>
      <c r="P38" s="14"/>
      <c r="Q38" s="14"/>
      <c r="S38" s="89"/>
      <c r="T38" s="194"/>
      <c r="U38" s="195"/>
      <c r="V38" s="196"/>
      <c r="W38" s="207"/>
      <c r="X38" s="207"/>
      <c r="Y38" s="207"/>
      <c r="Z38" s="208"/>
      <c r="AA38" s="200"/>
      <c r="AB38" s="201"/>
      <c r="AC38" s="268"/>
      <c r="AD38" s="233"/>
      <c r="AE38" s="241" t="s">
        <v>125</v>
      </c>
      <c r="AF38" s="253">
        <f t="shared" ref="AF38:AF40" si="63">AF18+AF23+AF33</f>
        <v>0</v>
      </c>
      <c r="AG38" s="253">
        <f t="shared" si="62"/>
        <v>0</v>
      </c>
      <c r="AH38" s="212"/>
      <c r="AI38" s="213"/>
      <c r="AJ38" s="213"/>
      <c r="AK38" s="272"/>
      <c r="AL38" s="212"/>
      <c r="AM38" s="213"/>
      <c r="AN38" s="213"/>
      <c r="AO38" s="213"/>
      <c r="AP38" s="223"/>
      <c r="AQ38" s="223"/>
      <c r="AR38" s="253">
        <f t="shared" ref="AR38:AS40" si="64">AR18+AR23+AR33</f>
        <v>0</v>
      </c>
      <c r="AS38" s="253">
        <f t="shared" si="64"/>
        <v>0</v>
      </c>
      <c r="AT38" s="238"/>
      <c r="AU38" s="238"/>
      <c r="AV38" s="237"/>
      <c r="AW38" s="233"/>
      <c r="AX38" s="241" t="s">
        <v>125</v>
      </c>
      <c r="AY38" s="254">
        <f>ROUND(AF38*$T$4*0.9,0)</f>
        <v>0</v>
      </c>
      <c r="AZ38" s="254">
        <f>ROUND(AG38*$T$4*0.9,0)</f>
        <v>0</v>
      </c>
      <c r="BA38" s="217"/>
      <c r="BB38" s="218"/>
      <c r="BC38" s="217"/>
      <c r="BD38" s="217"/>
      <c r="BE38" s="254">
        <f>(AR38)*$T$4*0.9</f>
        <v>0</v>
      </c>
      <c r="BF38" s="254">
        <f>(AS38)*$T$4*0.9</f>
        <v>0</v>
      </c>
    </row>
    <row r="39" spans="1:58" s="30" customFormat="1" ht="29.25" customHeight="1" thickTop="1" x14ac:dyDescent="0.2">
      <c r="A39" s="143">
        <f>ROUND((ROW()-10)/2,0)</f>
        <v>15</v>
      </c>
      <c r="B39" s="21"/>
      <c r="C39" s="90" t="str">
        <f>IF(INDEX(設定!$C$9:$C$108,$A39,1)="","",INDEX(設定!$C$9:$C$108,$A39,1))</f>
        <v/>
      </c>
      <c r="D39" s="76" t="str">
        <f>IF(INDEX(設定!$D$9:$D$108,$A39,1)="","",INDEX(設定!$D$9:$D$108,$A39,1))</f>
        <v/>
      </c>
      <c r="E39" s="77" t="str">
        <f>IF(INDEX(設定!$E$9:$E$108,$A39,1)="","",INDEX(設定!$E$9:$E$108,$A39,1))</f>
        <v/>
      </c>
      <c r="F39" s="78" t="str">
        <f>IF(S39="","",IF(S39=1,"1：家族",IF(AND(S39&gt;=2,S39&lt;=5),"2：雇用","")))</f>
        <v/>
      </c>
      <c r="G39" s="141">
        <f>INT(INDEX(設定!$H$9:H$108,$A39,1))</f>
        <v>0</v>
      </c>
      <c r="H39" s="79" t="str">
        <f>IF(INDEX(設定!$H$9:$H$108,$A39,1)=0,"",ROUND(MOD(INDEX(設定!$H$9:$H$108,$A39,1),1)*60,0))</f>
        <v/>
      </c>
      <c r="I39" s="141">
        <f>INT(INDEX(設定!$I$9:$I$108,$A39,1))</f>
        <v>0</v>
      </c>
      <c r="J39" s="79" t="str">
        <f>IF(INDEX(設定!$I$9:$I$108,$A39,1)=0,"",ROUND(MOD(INDEX(設定!$I$9:$I$108,$A39,1),1)*60,0))</f>
        <v/>
      </c>
      <c r="K39" s="141">
        <f>INT(INDEX(設定!$J$9:$J$108,$A39,1))</f>
        <v>0</v>
      </c>
      <c r="L39" s="79" t="str">
        <f>IF(INDEX(設定!$J$9:$J$108,$A39,1)=0,"",ROUND(MOD(INDEX(設定!$J$9:$J$108,$A39,1),1)*60,0))</f>
        <v/>
      </c>
      <c r="M39" s="141">
        <f>INT(INDEX(設定!$K$9:$K$108,$A39,1))</f>
        <v>0</v>
      </c>
      <c r="N39" s="80" t="str">
        <f>IF(INDEX(設定!$K$9:$K$108,$A39,1)=0,"",ROUND(MOD(INDEX(設定!$K$9:$K$108,$A39,1),1)*60,0))</f>
        <v/>
      </c>
      <c r="P39" s="14"/>
      <c r="Q39" s="14"/>
      <c r="S39" s="91" t="str">
        <f>IF(INDEX(設定!$F$9:$F$108,$A39,1)="","",VALUE(LEFT(INDEX(設定!$F$9:$F$108,$A39,1),1)))</f>
        <v/>
      </c>
      <c r="T39" s="219" t="str">
        <f>IF(C39="","",C39)</f>
        <v/>
      </c>
      <c r="U39" s="220" t="str">
        <f>IF(D39="","",IF(D39="1：男",1,IF(D39="2：女",2)))</f>
        <v/>
      </c>
      <c r="V39" s="221" t="str">
        <f>IF(E39="","",E39)</f>
        <v/>
      </c>
      <c r="W39" s="197" t="str">
        <f t="shared" ref="W39" si="65">IF(AND(G39="",H39="",G40=""),"",ROUND(SUM(G39,H39/60)*G40,1))</f>
        <v/>
      </c>
      <c r="X39" s="198" t="str">
        <f t="shared" ref="X39" si="66">IF(AND(I39="",J39="",I40=""),"",ROUND(SUM(I39,J39/60)*I40,1))</f>
        <v/>
      </c>
      <c r="Y39" s="198" t="str">
        <f t="shared" ref="Y39" si="67">IF(AND(K39="",L39="",K40=""),"",ROUND(SUM(K39,L39/60)*K40,1))</f>
        <v/>
      </c>
      <c r="Z39" s="199" t="str">
        <f t="shared" ref="Z39" si="68">IF(AND(M39="",N39="",M40=""),"",ROUND(SUM(M39,N39/60)*M40,1))</f>
        <v/>
      </c>
      <c r="AA39" s="200"/>
      <c r="AB39" s="201"/>
      <c r="AC39" s="242"/>
      <c r="AD39" s="233"/>
      <c r="AE39" s="241" t="s">
        <v>126</v>
      </c>
      <c r="AF39" s="253">
        <f t="shared" si="63"/>
        <v>0</v>
      </c>
      <c r="AG39" s="253">
        <f t="shared" si="62"/>
        <v>0</v>
      </c>
      <c r="AH39" s="212"/>
      <c r="AI39" s="213"/>
      <c r="AJ39" s="213"/>
      <c r="AK39" s="272"/>
      <c r="AL39" s="212"/>
      <c r="AM39" s="213"/>
      <c r="AN39" s="213"/>
      <c r="AO39" s="213"/>
      <c r="AP39" s="223"/>
      <c r="AQ39" s="223"/>
      <c r="AR39" s="253">
        <f t="shared" si="64"/>
        <v>0</v>
      </c>
      <c r="AS39" s="253">
        <f t="shared" si="64"/>
        <v>0</v>
      </c>
      <c r="AT39" s="238"/>
      <c r="AU39" s="238"/>
      <c r="AV39" s="237"/>
      <c r="AW39" s="233"/>
      <c r="AX39" s="241" t="s">
        <v>126</v>
      </c>
      <c r="AY39" s="254">
        <f>ROUND(AF39*$T$4*0.8,0)</f>
        <v>0</v>
      </c>
      <c r="AZ39" s="254">
        <f>ROUND(AG39*$T$4*0.8,0)</f>
        <v>0</v>
      </c>
      <c r="BA39" s="217"/>
      <c r="BB39" s="218"/>
      <c r="BC39" s="217"/>
      <c r="BD39" s="217"/>
      <c r="BE39" s="254">
        <f>(AR39)*$T$4*0.8</f>
        <v>0</v>
      </c>
      <c r="BF39" s="254">
        <f>(AS39)*$T$4*0.8</f>
        <v>0</v>
      </c>
    </row>
    <row r="40" spans="1:58" s="30" customFormat="1" ht="29.25" customHeight="1" thickBot="1" x14ac:dyDescent="0.25">
      <c r="A40" s="142"/>
      <c r="B40" s="29"/>
      <c r="C40" s="82"/>
      <c r="D40" s="83"/>
      <c r="E40" s="84"/>
      <c r="F40" s="85"/>
      <c r="G40" s="86" t="str">
        <f>IF(SUM(G39:H39)&gt;0,1,"")</f>
        <v/>
      </c>
      <c r="H40" s="87"/>
      <c r="I40" s="86" t="str">
        <f>IF(SUM(I39:J39)&gt;0,1,"")</f>
        <v/>
      </c>
      <c r="J40" s="87"/>
      <c r="K40" s="86" t="str">
        <f>IF(SUM(K39:L39)&gt;0,1,"")</f>
        <v/>
      </c>
      <c r="L40" s="87"/>
      <c r="M40" s="86" t="str">
        <f>IF(SUM(M39:N39)&gt;0,1,"")</f>
        <v/>
      </c>
      <c r="N40" s="88"/>
      <c r="P40" s="14"/>
      <c r="Q40" s="14"/>
      <c r="S40" s="89"/>
      <c r="T40" s="194"/>
      <c r="U40" s="195"/>
      <c r="V40" s="196"/>
      <c r="W40" s="207"/>
      <c r="X40" s="207"/>
      <c r="Y40" s="207"/>
      <c r="Z40" s="208"/>
      <c r="AA40" s="200"/>
      <c r="AB40" s="201"/>
      <c r="AC40" s="242"/>
      <c r="AD40" s="233"/>
      <c r="AE40" s="273" t="s">
        <v>15</v>
      </c>
      <c r="AF40" s="256">
        <f t="shared" si="63"/>
        <v>0</v>
      </c>
      <c r="AG40" s="256">
        <f t="shared" si="62"/>
        <v>0</v>
      </c>
      <c r="AH40" s="227"/>
      <c r="AI40" s="228"/>
      <c r="AJ40" s="228"/>
      <c r="AK40" s="274"/>
      <c r="AL40" s="212"/>
      <c r="AM40" s="213"/>
      <c r="AN40" s="228"/>
      <c r="AO40" s="228"/>
      <c r="AP40" s="226"/>
      <c r="AQ40" s="226"/>
      <c r="AR40" s="256">
        <f t="shared" si="64"/>
        <v>0</v>
      </c>
      <c r="AS40" s="256">
        <f t="shared" si="64"/>
        <v>0</v>
      </c>
      <c r="AT40" s="238"/>
      <c r="AU40" s="238"/>
      <c r="AV40" s="237"/>
      <c r="AW40" s="243"/>
      <c r="AX40" s="244" t="s">
        <v>15</v>
      </c>
      <c r="AY40" s="257">
        <f>ROUND(AF40*$T$4*0.7,0)</f>
        <v>0</v>
      </c>
      <c r="AZ40" s="257">
        <f>ROUND(AG40*$T$4*0.7,0)</f>
        <v>0</v>
      </c>
      <c r="BA40" s="217"/>
      <c r="BB40" s="218"/>
      <c r="BC40" s="217"/>
      <c r="BD40" s="217"/>
      <c r="BE40" s="257">
        <f>(AR40)*$T$4*0.7</f>
        <v>0</v>
      </c>
      <c r="BF40" s="257">
        <f>(AS40)*$T$4*0.7</f>
        <v>0</v>
      </c>
    </row>
    <row r="41" spans="1:58" s="30" customFormat="1" ht="29.25" customHeight="1" thickTop="1" thickBot="1" x14ac:dyDescent="0.25">
      <c r="A41" s="142">
        <f>ROUND((ROW()-10)/2,0)</f>
        <v>16</v>
      </c>
      <c r="B41" s="29"/>
      <c r="C41" s="90" t="str">
        <f>IF(INDEX(設定!$C$9:$C$108,$A41,1)="","",INDEX(設定!$C$9:$C$108,$A41,1))</f>
        <v/>
      </c>
      <c r="D41" s="76" t="str">
        <f>IF(INDEX(設定!$D$9:$D$108,$A41,1)="","",INDEX(設定!$D$9:$D$108,$A41,1))</f>
        <v/>
      </c>
      <c r="E41" s="77" t="str">
        <f>IF(INDEX(設定!$E$9:$E$108,$A41,1)="","",INDEX(設定!$E$9:$E$108,$A41,1))</f>
        <v/>
      </c>
      <c r="F41" s="78" t="str">
        <f>IF(S41="","",IF(S41=1,"1：家族",IF(AND(S41&gt;=2,S41&lt;=5),"2：雇用","")))</f>
        <v/>
      </c>
      <c r="G41" s="141">
        <f>INT(INDEX(設定!$H$9:H$108,$A41,1))</f>
        <v>0</v>
      </c>
      <c r="H41" s="79" t="str">
        <f>IF(INDEX(設定!$H$9:$H$108,$A41,1)=0,"",ROUND(MOD(INDEX(設定!$H$9:$H$108,$A41,1),1)*60,0))</f>
        <v/>
      </c>
      <c r="I41" s="141">
        <f>INT(INDEX(設定!$I$9:$I$108,$A41,1))</f>
        <v>0</v>
      </c>
      <c r="J41" s="79" t="str">
        <f>IF(INDEX(設定!$I$9:$I$108,$A41,1)=0,"",ROUND(MOD(INDEX(設定!$I$9:$I$108,$A41,1),1)*60,0))</f>
        <v/>
      </c>
      <c r="K41" s="141">
        <f>INT(INDEX(設定!$J$9:$J$108,$A41,1))</f>
        <v>0</v>
      </c>
      <c r="L41" s="79" t="str">
        <f>IF(INDEX(設定!$J$9:$J$108,$A41,1)=0,"",ROUND(MOD(INDEX(設定!$J$9:$J$108,$A41,1),1)*60,0))</f>
        <v/>
      </c>
      <c r="M41" s="141">
        <f>INT(INDEX(設定!$K$9:$K$108,$A41,1))</f>
        <v>0</v>
      </c>
      <c r="N41" s="80" t="str">
        <f>IF(INDEX(設定!$K$9:$K$108,$A41,1)=0,"",ROUND(MOD(INDEX(設定!$K$9:$K$108,$A41,1),1)*60,0))</f>
        <v/>
      </c>
      <c r="P41" s="14"/>
      <c r="Q41" s="14"/>
      <c r="S41" s="91" t="str">
        <f>IF(INDEX(設定!$F$9:$F$108,$A41,1)="","",VALUE(LEFT(INDEX(設定!$F$9:$F$108,$A41,1),1)))</f>
        <v/>
      </c>
      <c r="T41" s="219" t="str">
        <f>IF(C41="","",C41)</f>
        <v/>
      </c>
      <c r="U41" s="220" t="str">
        <f>IF(D41="","",IF(D41="1：男",1,IF(D41="2：女",2)))</f>
        <v/>
      </c>
      <c r="V41" s="221" t="str">
        <f>IF(E41="","",E41)</f>
        <v/>
      </c>
      <c r="W41" s="197" t="str">
        <f t="shared" ref="W41" si="69">IF(AND(G41="",H41="",G42=""),"",ROUND(SUM(G41,H41/60)*G42,1))</f>
        <v/>
      </c>
      <c r="X41" s="198" t="str">
        <f t="shared" ref="X41" si="70">IF(AND(I41="",J41="",I42=""),"",ROUND(SUM(I41,J41/60)*I42,1))</f>
        <v/>
      </c>
      <c r="Y41" s="198" t="str">
        <f t="shared" ref="Y41" si="71">IF(AND(K41="",L41="",K42=""),"",ROUND(SUM(K41,L41/60)*K42,1))</f>
        <v/>
      </c>
      <c r="Z41" s="199" t="str">
        <f t="shared" ref="Z41" si="72">IF(AND(M41="",N41="",M42=""),"",ROUND(SUM(M41,N41/60)*M42,1))</f>
        <v/>
      </c>
      <c r="AA41" s="200"/>
      <c r="AB41" s="201"/>
      <c r="AC41" s="484" t="s">
        <v>129</v>
      </c>
      <c r="AD41" s="489"/>
      <c r="AE41" s="490"/>
      <c r="AF41" s="258" t="e">
        <f>SUM(AF42:AF45)</f>
        <v>#REF!</v>
      </c>
      <c r="AG41" s="258" t="e">
        <f t="shared" ref="AG41" si="73">SUM(AG42:AG45)</f>
        <v>#REF!</v>
      </c>
      <c r="AH41" s="235"/>
      <c r="AI41" s="203"/>
      <c r="AJ41" s="203"/>
      <c r="AK41" s="203"/>
      <c r="AL41" s="258" t="e">
        <f>AL46+AL51</f>
        <v>#REF!</v>
      </c>
      <c r="AM41" s="258" t="e">
        <f>AM46+AM51</f>
        <v>#REF!</v>
      </c>
      <c r="AN41" s="262" t="e">
        <f>AN46+AN51</f>
        <v>#REF!</v>
      </c>
      <c r="AO41" s="262" t="e">
        <f>AO46+AO51</f>
        <v>#REF!</v>
      </c>
      <c r="AP41" s="259" t="e">
        <f>AP42</f>
        <v>#REF!</v>
      </c>
      <c r="AQ41" s="259" t="e">
        <f>AQ42</f>
        <v>#REF!</v>
      </c>
      <c r="AR41" s="259" t="e">
        <f>SUM(AR42:AR45)</f>
        <v>#REF!</v>
      </c>
      <c r="AS41" s="259" t="e">
        <f>SUM(AS42:AS45)</f>
        <v>#REF!</v>
      </c>
      <c r="AT41" s="238"/>
      <c r="AU41" s="238"/>
      <c r="AV41" s="484" t="s">
        <v>130</v>
      </c>
      <c r="AW41" s="489"/>
      <c r="AX41" s="485"/>
      <c r="AY41" s="275" t="e">
        <f>SUM(AY42:AY45)</f>
        <v>#REF!</v>
      </c>
      <c r="AZ41" s="275" t="e">
        <f t="shared" ref="AZ41" si="74">SUM(AZ42:AZ45)</f>
        <v>#REF!</v>
      </c>
      <c r="BA41" s="275" t="e">
        <f>ROUND(SUM(BA46,BA51),0)</f>
        <v>#REF!</v>
      </c>
      <c r="BB41" s="275" t="e">
        <f>ROUND(SUM(BB46,BB51),0)</f>
        <v>#REF!</v>
      </c>
      <c r="BC41" s="276"/>
      <c r="BD41" s="276"/>
      <c r="BE41" s="276"/>
      <c r="BF41" s="277"/>
    </row>
    <row r="42" spans="1:58" s="30" customFormat="1" ht="29.25" customHeight="1" thickBot="1" x14ac:dyDescent="0.25">
      <c r="A42" s="142"/>
      <c r="B42" s="29"/>
      <c r="C42" s="82"/>
      <c r="D42" s="83"/>
      <c r="E42" s="84"/>
      <c r="F42" s="85"/>
      <c r="G42" s="86" t="str">
        <f>IF(SUM(G41:H41)&gt;0,1,"")</f>
        <v/>
      </c>
      <c r="H42" s="87"/>
      <c r="I42" s="86" t="str">
        <f>IF(SUM(I41:J41)&gt;0,1,"")</f>
        <v/>
      </c>
      <c r="J42" s="87"/>
      <c r="K42" s="86" t="str">
        <f>IF(SUM(K41:L41)&gt;0,1,"")</f>
        <v/>
      </c>
      <c r="L42" s="87"/>
      <c r="M42" s="86" t="str">
        <f>IF(SUM(M41:N41)&gt;0,1,"")</f>
        <v/>
      </c>
      <c r="N42" s="88"/>
      <c r="P42" s="14"/>
      <c r="Q42" s="14"/>
      <c r="S42" s="89"/>
      <c r="T42" s="194"/>
      <c r="U42" s="195"/>
      <c r="V42" s="196"/>
      <c r="W42" s="207"/>
      <c r="X42" s="207"/>
      <c r="Y42" s="207"/>
      <c r="Z42" s="208"/>
      <c r="AA42" s="200"/>
      <c r="AB42" s="201"/>
      <c r="AC42" s="209"/>
      <c r="AD42" s="473" t="s">
        <v>14</v>
      </c>
      <c r="AE42" s="486"/>
      <c r="AF42" s="262" t="e">
        <f>AF47+AF52</f>
        <v>#REF!</v>
      </c>
      <c r="AG42" s="262" t="e">
        <f t="shared" ref="AG42:AK42" si="75">AG47+AG52</f>
        <v>#REF!</v>
      </c>
      <c r="AH42" s="262" t="e">
        <f t="shared" si="75"/>
        <v>#REF!</v>
      </c>
      <c r="AI42" s="262" t="e">
        <f t="shared" si="75"/>
        <v>#REF!</v>
      </c>
      <c r="AJ42" s="262" t="e">
        <f t="shared" si="75"/>
        <v>#REF!</v>
      </c>
      <c r="AK42" s="262" t="e">
        <f t="shared" si="75"/>
        <v>#REF!</v>
      </c>
      <c r="AL42" s="212"/>
      <c r="AM42" s="213"/>
      <c r="AN42" s="214"/>
      <c r="AO42" s="214"/>
      <c r="AP42" s="262" t="e">
        <f>AP47+AP52</f>
        <v>#REF!</v>
      </c>
      <c r="AQ42" s="262" t="e">
        <f>AQ47+AQ52</f>
        <v>#REF!</v>
      </c>
      <c r="AR42" s="262" t="e">
        <f>AR47+AR52</f>
        <v>#REF!</v>
      </c>
      <c r="AS42" s="262" t="e">
        <f>AS47+AS52</f>
        <v>#REF!</v>
      </c>
      <c r="AT42" s="238"/>
      <c r="AU42" s="238"/>
      <c r="AV42" s="215"/>
      <c r="AW42" s="473" t="s">
        <v>14</v>
      </c>
      <c r="AX42" s="486"/>
      <c r="AY42" s="270" t="e">
        <f>AY47+AY52</f>
        <v>#REF!</v>
      </c>
      <c r="AZ42" s="270" t="e">
        <f t="shared" ref="AZ42:AZ45" si="76">AZ47+AZ52</f>
        <v>#REF!</v>
      </c>
      <c r="BA42" s="217"/>
      <c r="BB42" s="218"/>
      <c r="BC42" s="217"/>
      <c r="BD42" s="217"/>
      <c r="BE42" s="270" t="e">
        <f t="shared" ref="BE42:BF45" si="77">BE47+BE52</f>
        <v>#REF!</v>
      </c>
      <c r="BF42" s="270" t="e">
        <f t="shared" si="77"/>
        <v>#REF!</v>
      </c>
    </row>
    <row r="43" spans="1:58" s="30" customFormat="1" ht="29.25" customHeight="1" thickTop="1" x14ac:dyDescent="0.2">
      <c r="A43" s="142">
        <f>ROUND((ROW()-10)/2,0)</f>
        <v>17</v>
      </c>
      <c r="B43" s="29"/>
      <c r="C43" s="90" t="str">
        <f>IF(INDEX(設定!$C$9:$C$108,$A43,1)="","",INDEX(設定!$C$9:$C$108,$A43,1))</f>
        <v/>
      </c>
      <c r="D43" s="76" t="str">
        <f>IF(INDEX(設定!$D$9:$D$108,$A43,1)="","",INDEX(設定!$D$9:$D$108,$A43,1))</f>
        <v/>
      </c>
      <c r="E43" s="77" t="str">
        <f>IF(INDEX(設定!$E$9:$E$108,$A43,1)="","",INDEX(設定!$E$9:$E$108,$A43,1))</f>
        <v/>
      </c>
      <c r="F43" s="78" t="str">
        <f>IF(S43="","",IF(S43=1,"1：家族",IF(AND(S43&gt;=2,S43&lt;=5),"2：雇用","")))</f>
        <v/>
      </c>
      <c r="G43" s="141">
        <f>INT(INDEX(設定!$H$9:H$108,$A43,1))</f>
        <v>0</v>
      </c>
      <c r="H43" s="79" t="str">
        <f>IF(INDEX(設定!$H$9:$H$108,$A43,1)=0,"",ROUND(MOD(INDEX(設定!$H$9:$H$108,$A43,1),1)*60,0))</f>
        <v/>
      </c>
      <c r="I43" s="141">
        <f>INT(INDEX(設定!$I$9:$I$108,$A43,1))</f>
        <v>0</v>
      </c>
      <c r="J43" s="79" t="str">
        <f>IF(INDEX(設定!$I$9:$I$108,$A43,1)=0,"",ROUND(MOD(INDEX(設定!$I$9:$I$108,$A43,1),1)*60,0))</f>
        <v/>
      </c>
      <c r="K43" s="141">
        <f>INT(INDEX(設定!$J$9:$J$108,$A43,1))</f>
        <v>0</v>
      </c>
      <c r="L43" s="79" t="str">
        <f>IF(INDEX(設定!$J$9:$J$108,$A43,1)=0,"",ROUND(MOD(INDEX(設定!$J$9:$J$108,$A43,1),1)*60,0))</f>
        <v/>
      </c>
      <c r="M43" s="141">
        <f>INT(INDEX(設定!$K$9:$K$108,$A43,1))</f>
        <v>0</v>
      </c>
      <c r="N43" s="80" t="str">
        <f>IF(INDEX(設定!$K$9:$K$108,$A43,1)=0,"",ROUND(MOD(INDEX(設定!$K$9:$K$108,$A43,1),1)*60,0))</f>
        <v/>
      </c>
      <c r="P43" s="14"/>
      <c r="Q43" s="14"/>
      <c r="S43" s="91" t="str">
        <f>IF(INDEX(設定!$F$9:$F$108,$A43,1)="","",VALUE(LEFT(INDEX(設定!$F$9:$F$108,$A43,1),1)))</f>
        <v/>
      </c>
      <c r="T43" s="219" t="str">
        <f>IF(C43="","",C43)</f>
        <v/>
      </c>
      <c r="U43" s="220" t="str">
        <f>IF(D43="","",IF(D43="1：男",1,IF(D43="2：女",2)))</f>
        <v/>
      </c>
      <c r="V43" s="221" t="str">
        <f>IF(E43="","",E43)</f>
        <v/>
      </c>
      <c r="W43" s="197" t="str">
        <f t="shared" ref="W43" si="78">IF(AND(G43="",H43="",G44=""),"",ROUND(SUM(G43,H43/60)*G44,1))</f>
        <v/>
      </c>
      <c r="X43" s="198" t="str">
        <f t="shared" ref="X43" si="79">IF(AND(I43="",J43="",I44=""),"",ROUND(SUM(I43,J43/60)*I44,1))</f>
        <v/>
      </c>
      <c r="Y43" s="198" t="str">
        <f t="shared" ref="Y43" si="80">IF(AND(K43="",L43="",K44=""),"",ROUND(SUM(K43,L43/60)*K44,1))</f>
        <v/>
      </c>
      <c r="Z43" s="199" t="str">
        <f t="shared" ref="Z43" si="81">IF(AND(M43="",N43="",M44=""),"",ROUND(SUM(M43,N43/60)*M44,1))</f>
        <v/>
      </c>
      <c r="AA43" s="200"/>
      <c r="AB43" s="238"/>
      <c r="AC43" s="209"/>
      <c r="AD43" s="475" t="s">
        <v>125</v>
      </c>
      <c r="AE43" s="487"/>
      <c r="AF43" s="253" t="e">
        <f>AF48+AF53</f>
        <v>#REF!</v>
      </c>
      <c r="AG43" s="253" t="e">
        <f t="shared" ref="AF43:AI45" si="82">AG48+AG53</f>
        <v>#REF!</v>
      </c>
      <c r="AH43" s="253" t="e">
        <f t="shared" si="82"/>
        <v>#REF!</v>
      </c>
      <c r="AI43" s="253" t="e">
        <f t="shared" si="82"/>
        <v>#REF!</v>
      </c>
      <c r="AJ43" s="223"/>
      <c r="AK43" s="223"/>
      <c r="AL43" s="212"/>
      <c r="AM43" s="213"/>
      <c r="AN43" s="213"/>
      <c r="AO43" s="213"/>
      <c r="AP43" s="223"/>
      <c r="AQ43" s="223"/>
      <c r="AR43" s="253" t="e">
        <f t="shared" ref="AR43:AS45" si="83">AR48+AR53</f>
        <v>#REF!</v>
      </c>
      <c r="AS43" s="253" t="e">
        <f t="shared" si="83"/>
        <v>#REF!</v>
      </c>
      <c r="AT43" s="238"/>
      <c r="AU43" s="238"/>
      <c r="AV43" s="215"/>
      <c r="AW43" s="475" t="s">
        <v>125</v>
      </c>
      <c r="AX43" s="487"/>
      <c r="AY43" s="254" t="e">
        <f t="shared" ref="AY43:AY45" si="84">AY48+AY53</f>
        <v>#REF!</v>
      </c>
      <c r="AZ43" s="254" t="e">
        <f t="shared" si="76"/>
        <v>#REF!</v>
      </c>
      <c r="BA43" s="217"/>
      <c r="BB43" s="218"/>
      <c r="BC43" s="217"/>
      <c r="BD43" s="217"/>
      <c r="BE43" s="254" t="e">
        <f t="shared" si="77"/>
        <v>#REF!</v>
      </c>
      <c r="BF43" s="254" t="e">
        <f t="shared" si="77"/>
        <v>#REF!</v>
      </c>
    </row>
    <row r="44" spans="1:58" s="30" customFormat="1" ht="29.25" customHeight="1" thickBot="1" x14ac:dyDescent="0.25">
      <c r="A44" s="142"/>
      <c r="B44" s="29"/>
      <c r="C44" s="82"/>
      <c r="D44" s="83"/>
      <c r="E44" s="84"/>
      <c r="F44" s="85"/>
      <c r="G44" s="86" t="str">
        <f>IF(SUM(G43:H43)&gt;0,1,"")</f>
        <v/>
      </c>
      <c r="H44" s="87"/>
      <c r="I44" s="86" t="str">
        <f>IF(SUM(I43:J43)&gt;0,1,"")</f>
        <v/>
      </c>
      <c r="J44" s="87"/>
      <c r="K44" s="86" t="str">
        <f>IF(SUM(K43:L43)&gt;0,1,"")</f>
        <v/>
      </c>
      <c r="L44" s="87"/>
      <c r="M44" s="86" t="str">
        <f>IF(SUM(M43:N43)&gt;0,1,"")</f>
        <v/>
      </c>
      <c r="N44" s="88"/>
      <c r="P44" s="14"/>
      <c r="Q44" s="14"/>
      <c r="S44" s="89"/>
      <c r="T44" s="194"/>
      <c r="U44" s="195"/>
      <c r="V44" s="196"/>
      <c r="W44" s="207"/>
      <c r="X44" s="207"/>
      <c r="Y44" s="207"/>
      <c r="Z44" s="208"/>
      <c r="AA44" s="200"/>
      <c r="AB44" s="238"/>
      <c r="AC44" s="209"/>
      <c r="AD44" s="475" t="s">
        <v>126</v>
      </c>
      <c r="AE44" s="487"/>
      <c r="AF44" s="253" t="e">
        <f t="shared" si="82"/>
        <v>#REF!</v>
      </c>
      <c r="AG44" s="253" t="e">
        <f t="shared" si="82"/>
        <v>#REF!</v>
      </c>
      <c r="AH44" s="253" t="e">
        <f t="shared" si="82"/>
        <v>#REF!</v>
      </c>
      <c r="AI44" s="253" t="e">
        <f t="shared" si="82"/>
        <v>#REF!</v>
      </c>
      <c r="AJ44" s="223"/>
      <c r="AK44" s="223"/>
      <c r="AL44" s="212"/>
      <c r="AM44" s="213"/>
      <c r="AN44" s="213"/>
      <c r="AO44" s="213"/>
      <c r="AP44" s="223"/>
      <c r="AQ44" s="223"/>
      <c r="AR44" s="253" t="e">
        <f t="shared" si="83"/>
        <v>#REF!</v>
      </c>
      <c r="AS44" s="253">
        <f t="shared" si="83"/>
        <v>0</v>
      </c>
      <c r="AT44" s="238"/>
      <c r="AU44" s="238"/>
      <c r="AV44" s="215"/>
      <c r="AW44" s="475" t="s">
        <v>126</v>
      </c>
      <c r="AX44" s="487"/>
      <c r="AY44" s="254" t="e">
        <f t="shared" si="84"/>
        <v>#REF!</v>
      </c>
      <c r="AZ44" s="254" t="e">
        <f t="shared" si="76"/>
        <v>#REF!</v>
      </c>
      <c r="BA44" s="217"/>
      <c r="BB44" s="218"/>
      <c r="BC44" s="217"/>
      <c r="BD44" s="217"/>
      <c r="BE44" s="254" t="e">
        <f t="shared" si="77"/>
        <v>#REF!</v>
      </c>
      <c r="BF44" s="254">
        <f t="shared" si="77"/>
        <v>0</v>
      </c>
    </row>
    <row r="45" spans="1:58" s="30" customFormat="1" ht="29.25" customHeight="1" thickTop="1" thickBot="1" x14ac:dyDescent="0.25">
      <c r="A45" s="142">
        <f>ROUND((ROW()-10)/2,0)</f>
        <v>18</v>
      </c>
      <c r="B45" s="29"/>
      <c r="C45" s="90" t="str">
        <f>IF(INDEX(設定!$C$9:$C$108,$A45,1)="","",INDEX(設定!$C$9:$C$108,$A45,1))</f>
        <v/>
      </c>
      <c r="D45" s="76" t="str">
        <f>IF(INDEX(設定!$D$9:$D$108,$A45,1)="","",INDEX(設定!$D$9:$D$108,$A45,1))</f>
        <v/>
      </c>
      <c r="E45" s="77" t="str">
        <f>IF(INDEX(設定!$E$9:$E$108,$A45,1)="","",INDEX(設定!$E$9:$E$108,$A45,1))</f>
        <v/>
      </c>
      <c r="F45" s="78" t="str">
        <f>IF(S45="","",IF(S45=1,"1：家族",IF(AND(S45&gt;=2,S45&lt;=5),"2：雇用","")))</f>
        <v/>
      </c>
      <c r="G45" s="141">
        <f>INT(INDEX(設定!$H$9:H$108,$A45,1))</f>
        <v>0</v>
      </c>
      <c r="H45" s="79" t="str">
        <f>IF(INDEX(設定!$H$9:$H$108,$A45,1)=0,"",ROUND(MOD(INDEX(設定!$H$9:$H$108,$A45,1),1)*60,0))</f>
        <v/>
      </c>
      <c r="I45" s="141">
        <f>INT(INDEX(設定!$I$9:$I$108,$A45,1))</f>
        <v>0</v>
      </c>
      <c r="J45" s="79" t="str">
        <f>IF(INDEX(設定!$I$9:$I$108,$A45,1)=0,"",ROUND(MOD(INDEX(設定!$I$9:$I$108,$A45,1),1)*60,0))</f>
        <v/>
      </c>
      <c r="K45" s="141">
        <f>INT(INDEX(設定!$J$9:$J$108,$A45,1))</f>
        <v>0</v>
      </c>
      <c r="L45" s="79" t="str">
        <f>IF(INDEX(設定!$J$9:$J$108,$A45,1)=0,"",ROUND(MOD(INDEX(設定!$J$9:$J$108,$A45,1),1)*60,0))</f>
        <v/>
      </c>
      <c r="M45" s="141">
        <f>INT(INDEX(設定!$K$9:$K$108,$A45,1))</f>
        <v>0</v>
      </c>
      <c r="N45" s="80" t="str">
        <f>IF(INDEX(設定!$K$9:$K$108,$A45,1)=0,"",ROUND(MOD(INDEX(設定!$K$9:$K$108,$A45,1),1)*60,0))</f>
        <v/>
      </c>
      <c r="P45" s="14"/>
      <c r="Q45" s="14"/>
      <c r="S45" s="91" t="str">
        <f>IF(INDEX(設定!$F$9:$F$108,$A45,1)="","",VALUE(LEFT(INDEX(設定!$F$9:$F$108,$A45,1),1)))</f>
        <v/>
      </c>
      <c r="T45" s="219" t="str">
        <f>IF(C45="","",C45)</f>
        <v/>
      </c>
      <c r="U45" s="220" t="str">
        <f>IF(D45="","",IF(D45="1：男",1,IF(D45="2：女",2)))</f>
        <v/>
      </c>
      <c r="V45" s="221" t="str">
        <f>IF(E45="","",E45)</f>
        <v/>
      </c>
      <c r="W45" s="197" t="str">
        <f t="shared" ref="W45" si="85">IF(AND(G45="",H45="",G46=""),"",ROUND(SUM(G45,H45/60)*G46,1))</f>
        <v/>
      </c>
      <c r="X45" s="198" t="str">
        <f t="shared" ref="X45" si="86">IF(AND(I45="",J45="",I46=""),"",ROUND(SUM(I45,J45/60)*I46,1))</f>
        <v/>
      </c>
      <c r="Y45" s="198" t="str">
        <f t="shared" ref="Y45" si="87">IF(AND(K45="",L45="",K46=""),"",ROUND(SUM(K45,L45/60)*K46,1))</f>
        <v/>
      </c>
      <c r="Z45" s="199" t="str">
        <f t="shared" ref="Z45" si="88">IF(AND(M45="",N45="",M46=""),"",ROUND(SUM(M45,N45/60)*M46,1))</f>
        <v/>
      </c>
      <c r="AA45" s="200"/>
      <c r="AB45" s="238"/>
      <c r="AC45" s="209"/>
      <c r="AD45" s="479" t="s">
        <v>15</v>
      </c>
      <c r="AE45" s="480"/>
      <c r="AF45" s="256" t="e">
        <f t="shared" si="82"/>
        <v>#REF!</v>
      </c>
      <c r="AG45" s="256" t="e">
        <f t="shared" si="82"/>
        <v>#REF!</v>
      </c>
      <c r="AH45" s="256" t="e">
        <f t="shared" si="82"/>
        <v>#REF!</v>
      </c>
      <c r="AI45" s="256" t="e">
        <f t="shared" si="82"/>
        <v>#REF!</v>
      </c>
      <c r="AJ45" s="226"/>
      <c r="AK45" s="226"/>
      <c r="AL45" s="227"/>
      <c r="AM45" s="228"/>
      <c r="AN45" s="228"/>
      <c r="AO45" s="228"/>
      <c r="AP45" s="226"/>
      <c r="AQ45" s="226"/>
      <c r="AR45" s="256" t="e">
        <f t="shared" si="83"/>
        <v>#REF!</v>
      </c>
      <c r="AS45" s="256" t="e">
        <f t="shared" si="83"/>
        <v>#REF!</v>
      </c>
      <c r="AT45" s="238"/>
      <c r="AU45" s="238"/>
      <c r="AV45" s="215"/>
      <c r="AW45" s="479" t="s">
        <v>15</v>
      </c>
      <c r="AX45" s="480"/>
      <c r="AY45" s="278" t="e">
        <f t="shared" si="84"/>
        <v>#REF!</v>
      </c>
      <c r="AZ45" s="278" t="e">
        <f t="shared" si="76"/>
        <v>#REF!</v>
      </c>
      <c r="BA45" s="217"/>
      <c r="BB45" s="218"/>
      <c r="BC45" s="232"/>
      <c r="BD45" s="232"/>
      <c r="BE45" s="257" t="e">
        <f t="shared" si="77"/>
        <v>#REF!</v>
      </c>
      <c r="BF45" s="257" t="e">
        <f t="shared" si="77"/>
        <v>#REF!</v>
      </c>
    </row>
    <row r="46" spans="1:58" s="30" customFormat="1" ht="28.9" customHeight="1" thickBot="1" x14ac:dyDescent="0.25">
      <c r="A46" s="142"/>
      <c r="B46" s="29"/>
      <c r="C46" s="82"/>
      <c r="D46" s="83"/>
      <c r="E46" s="84"/>
      <c r="F46" s="85"/>
      <c r="G46" s="86" t="str">
        <f>IF(SUM(G45:H45)&gt;0,1,"")</f>
        <v/>
      </c>
      <c r="H46" s="87"/>
      <c r="I46" s="86" t="str">
        <f>IF(SUM(I45:J45)&gt;0,1,"")</f>
        <v/>
      </c>
      <c r="J46" s="87"/>
      <c r="K46" s="86" t="str">
        <f>IF(SUM(K45:L45)&gt;0,1,"")</f>
        <v/>
      </c>
      <c r="L46" s="87"/>
      <c r="M46" s="86" t="str">
        <f>IF(SUM(M45:N45)&gt;0,1,"")</f>
        <v/>
      </c>
      <c r="N46" s="88"/>
      <c r="P46" s="14"/>
      <c r="Q46" s="14"/>
      <c r="S46" s="89"/>
      <c r="T46" s="194"/>
      <c r="U46" s="195"/>
      <c r="V46" s="196"/>
      <c r="W46" s="207"/>
      <c r="X46" s="207"/>
      <c r="Y46" s="207"/>
      <c r="Z46" s="208"/>
      <c r="AA46" s="200"/>
      <c r="AB46" s="238"/>
      <c r="AC46" s="242"/>
      <c r="AD46" s="481" t="s">
        <v>131</v>
      </c>
      <c r="AE46" s="482"/>
      <c r="AF46" s="258" t="e">
        <f t="shared" ref="AF46:AG46" si="89">SUM(AF47:AF50)</f>
        <v>#REF!</v>
      </c>
      <c r="AG46" s="258" t="e">
        <f t="shared" si="89"/>
        <v>#REF!</v>
      </c>
      <c r="AH46" s="235"/>
      <c r="AI46" s="203"/>
      <c r="AJ46" s="203"/>
      <c r="AK46" s="245"/>
      <c r="AL46" s="258" t="e">
        <f>AN46+AP46+AR46</f>
        <v>#REF!</v>
      </c>
      <c r="AM46" s="258" t="e">
        <f>AO46+AQ46+AS46</f>
        <v>#REF!</v>
      </c>
      <c r="AN46" s="259" t="e">
        <f>SUMIFS($X$77:$X$106,$S$77:$S$106,2,$U$77:$U$106,1)*自給牧草給与割合/100</f>
        <v>#REF!</v>
      </c>
      <c r="AO46" s="259" t="e">
        <f>SUMIFS($X$77:$X$106,$S$77:$S$106,2,$U$77:$U$106,2)*自給牧草給与割合/100</f>
        <v>#REF!</v>
      </c>
      <c r="AP46" s="259" t="e">
        <f>AP47</f>
        <v>#REF!</v>
      </c>
      <c r="AQ46" s="259" t="e">
        <f>AQ47</f>
        <v>#REF!</v>
      </c>
      <c r="AR46" s="259" t="e">
        <f>SUM(AR47:AR50)</f>
        <v>#REF!</v>
      </c>
      <c r="AS46" s="259" t="e">
        <f>SUM(AS47:AS50)</f>
        <v>#REF!</v>
      </c>
      <c r="AT46" s="238"/>
      <c r="AU46" s="238"/>
      <c r="AV46" s="237"/>
      <c r="AW46" s="481" t="s">
        <v>131</v>
      </c>
      <c r="AX46" s="483"/>
      <c r="AY46" s="266" t="e">
        <f>SUM(AY47:AY50)</f>
        <v>#REF!</v>
      </c>
      <c r="AZ46" s="266" t="e">
        <f>SUM(AZ47:AZ50)</f>
        <v>#REF!</v>
      </c>
      <c r="BA46" s="279" t="e">
        <f>ROUND(BC46+BE46,0)</f>
        <v>#REF!</v>
      </c>
      <c r="BB46" s="279" t="e">
        <f>ROUND(BD46+BF46,0)</f>
        <v>#REF!</v>
      </c>
      <c r="BC46" s="280">
        <f>IF(U112="",0,U112)</f>
        <v>0</v>
      </c>
      <c r="BD46" s="279">
        <f>IF(U113="",0,U113)</f>
        <v>0</v>
      </c>
      <c r="BE46" s="266" t="e">
        <f>SUM(BE47:BE50)</f>
        <v>#REF!</v>
      </c>
      <c r="BF46" s="266" t="e">
        <f>SUM(BF47:BF50)</f>
        <v>#REF!</v>
      </c>
    </row>
    <row r="47" spans="1:58" ht="29.25" customHeight="1" thickTop="1" x14ac:dyDescent="0.2">
      <c r="A47" s="142">
        <f>ROUND((ROW()-10)/2,0)</f>
        <v>19</v>
      </c>
      <c r="B47" s="29"/>
      <c r="C47" s="90" t="str">
        <f>IF(INDEX(設定!$C$9:$C$108,$A47,1)="","",INDEX(設定!$C$9:$C$108,$A47,1))</f>
        <v/>
      </c>
      <c r="D47" s="76" t="str">
        <f>IF(INDEX(設定!$D$9:$D$108,$A47,1)="","",INDEX(設定!$D$9:$D$108,$A47,1))</f>
        <v/>
      </c>
      <c r="E47" s="77" t="str">
        <f>IF(INDEX(設定!$E$9:$E$108,$A47,1)="","",INDEX(設定!$E$9:$E$108,$A47,1))</f>
        <v/>
      </c>
      <c r="F47" s="78" t="str">
        <f>IF(S47="","",IF(S47=1,"1：家族",IF(AND(S47&gt;=2,S47&lt;=5),"2：雇用","")))</f>
        <v/>
      </c>
      <c r="G47" s="141">
        <f>INT(INDEX(設定!$H$9:H$108,$A47,1))</f>
        <v>0</v>
      </c>
      <c r="H47" s="79" t="str">
        <f>IF(INDEX(設定!$H$9:$H$108,$A47,1)=0,"",ROUND(MOD(INDEX(設定!$H$9:$H$108,$A47,1),1)*60,0))</f>
        <v/>
      </c>
      <c r="I47" s="141">
        <f>INT(INDEX(設定!$I$9:$I$108,$A47,1))</f>
        <v>0</v>
      </c>
      <c r="J47" s="79" t="str">
        <f>IF(INDEX(設定!$I$9:$I$108,$A47,1)=0,"",ROUND(MOD(INDEX(設定!$I$9:$I$108,$A47,1),1)*60,0))</f>
        <v/>
      </c>
      <c r="K47" s="141">
        <f>INT(INDEX(設定!$J$9:$J$108,$A47,1))</f>
        <v>0</v>
      </c>
      <c r="L47" s="79" t="str">
        <f>IF(INDEX(設定!$J$9:$J$108,$A47,1)=0,"",ROUND(MOD(INDEX(設定!$J$9:$J$108,$A47,1),1)*60,0))</f>
        <v/>
      </c>
      <c r="M47" s="141">
        <f>INT(INDEX(設定!$K$9:$K$108,$A47,1))</f>
        <v>0</v>
      </c>
      <c r="N47" s="80" t="str">
        <f>IF(INDEX(設定!$K$9:$K$108,$A47,1)=0,"",ROUND(MOD(INDEX(設定!$K$9:$K$108,$A47,1),1)*60,0))</f>
        <v/>
      </c>
      <c r="P47" s="14"/>
      <c r="Q47" s="14"/>
      <c r="S47" s="91" t="str">
        <f>IF(INDEX(設定!$F$9:$F$108,$A47,1)="","",VALUE(LEFT(INDEX(設定!$F$9:$F$108,$A47,1),1)))</f>
        <v/>
      </c>
      <c r="T47" s="219" t="str">
        <f>IF(C47="","",C47)</f>
        <v/>
      </c>
      <c r="U47" s="220" t="str">
        <f>IF(D47="","",IF(D47="1：男",1,IF(D47="2：女",2)))</f>
        <v/>
      </c>
      <c r="V47" s="221" t="str">
        <f>IF(E47="","",E47)</f>
        <v/>
      </c>
      <c r="W47" s="197" t="str">
        <f t="shared" ref="W47" si="90">IF(AND(G47="",H47="",G48=""),"",ROUND(SUM(G47,H47/60)*G48,1))</f>
        <v/>
      </c>
      <c r="X47" s="198" t="str">
        <f t="shared" ref="X47" si="91">IF(AND(I47="",J47="",I48=""),"",ROUND(SUM(I47,J47/60)*I48,1))</f>
        <v/>
      </c>
      <c r="Y47" s="198" t="str">
        <f t="shared" ref="Y47" si="92">IF(AND(K47="",L47="",K48=""),"",ROUND(SUM(K47,L47/60)*K48,1))</f>
        <v/>
      </c>
      <c r="Z47" s="199" t="str">
        <f t="shared" ref="Z47" si="93">IF(AND(M47="",N47="",M48=""),"",ROUND(SUM(M47,N47/60)*M48,1))</f>
        <v/>
      </c>
      <c r="AA47" s="200"/>
      <c r="AB47" s="238"/>
      <c r="AC47" s="242"/>
      <c r="AD47" s="233"/>
      <c r="AE47" s="240" t="s">
        <v>14</v>
      </c>
      <c r="AF47" s="262" t="e">
        <f>AH47+AJ47</f>
        <v>#REF!</v>
      </c>
      <c r="AG47" s="262" t="e">
        <f>AI47+AK47</f>
        <v>#REF!</v>
      </c>
      <c r="AH47" s="262" t="e">
        <f>SUMIFS($X$77:$X$106,$S$77:$S$106,1,$U$77:$U$106,1,$V$77:$V$106,"&lt;65")*自給牧草給与割合/100</f>
        <v>#REF!</v>
      </c>
      <c r="AI47" s="262" t="e">
        <f>SUMIFS($X$77:$X$106,$S$77:$S$106,1,$U$77:$U$106,2,$V$77:$V$106,"&lt;65")*自給牧草給与割合/100</f>
        <v>#REF!</v>
      </c>
      <c r="AJ47" s="262" t="e">
        <f>SUMIFS($X$77:$X$106,$S$77:$S$106,3,$U$77:$U$106,1)*自給牧草給与割合/100</f>
        <v>#REF!</v>
      </c>
      <c r="AK47" s="262" t="e">
        <f>SUMIFS($X$77:$X$106,$S$77:$S$106,3,$U$77:$U$106,2)*自給牧草給与割合/100</f>
        <v>#REF!</v>
      </c>
      <c r="AL47" s="248"/>
      <c r="AM47" s="214"/>
      <c r="AN47" s="214"/>
      <c r="AO47" s="214"/>
      <c r="AP47" s="262" t="e">
        <f>SUMIFS($X$77:$X$106,$S$77:$S$106,4,$U$77:$U$106,1)*自給牧草給与割合/100</f>
        <v>#REF!</v>
      </c>
      <c r="AQ47" s="262" t="e">
        <f>SUMIFS($X$77:$X$106,$S$77:$S$106,4,$U$77:$U$106,2)*自給牧草給与割合/100</f>
        <v>#REF!</v>
      </c>
      <c r="AR47" s="262" t="e">
        <f>SUMIFS($X$77:$X$106,$S$77:$S$106,5,$U$77:$U$106,1,$V$77:$V$106,"&lt;65")*自給牧草給与割合/100</f>
        <v>#REF!</v>
      </c>
      <c r="AS47" s="262" t="e">
        <f>SUMIFS($X$77:$X$106,$S$77:$S$106,5,$U$77:$U$106,2,$V$77:$V$106,"&lt;65")*自給牧草給与割合/100</f>
        <v>#REF!</v>
      </c>
      <c r="AT47" s="238"/>
      <c r="AU47" s="238"/>
      <c r="AV47" s="237"/>
      <c r="AW47" s="233"/>
      <c r="AX47" s="281" t="s">
        <v>14</v>
      </c>
      <c r="AY47" s="270" t="e">
        <f>ROUND(AF47*$T$4,0)</f>
        <v>#REF!</v>
      </c>
      <c r="AZ47" s="270" t="e">
        <f>ROUND(AG47*$T$4,0)</f>
        <v>#REF!</v>
      </c>
      <c r="BA47" s="217"/>
      <c r="BB47" s="218"/>
      <c r="BC47" s="189"/>
      <c r="BD47" s="189"/>
      <c r="BE47" s="271" t="e">
        <f>(AP47+AR47)*$T$4</f>
        <v>#REF!</v>
      </c>
      <c r="BF47" s="271" t="e">
        <f>(AQ47+AS47)*$T$4</f>
        <v>#REF!</v>
      </c>
    </row>
    <row r="48" spans="1:58" ht="29.25" customHeight="1" thickBot="1" x14ac:dyDescent="0.25">
      <c r="B48" s="29"/>
      <c r="C48" s="82"/>
      <c r="D48" s="83"/>
      <c r="E48" s="84"/>
      <c r="F48" s="85"/>
      <c r="G48" s="86" t="str">
        <f>IF(SUM(G47:H47)&gt;0,1,"")</f>
        <v/>
      </c>
      <c r="H48" s="87"/>
      <c r="I48" s="86" t="str">
        <f>IF(SUM(I47:J47)&gt;0,1,"")</f>
        <v/>
      </c>
      <c r="J48" s="87"/>
      <c r="K48" s="86" t="str">
        <f>IF(SUM(K47:L47)&gt;0,1,"")</f>
        <v/>
      </c>
      <c r="L48" s="87"/>
      <c r="M48" s="86" t="str">
        <f>IF(SUM(M47:N47)&gt;0,1,"")</f>
        <v/>
      </c>
      <c r="N48" s="88"/>
      <c r="P48" s="14"/>
      <c r="Q48" s="14"/>
      <c r="S48" s="89"/>
      <c r="T48" s="194"/>
      <c r="U48" s="195"/>
      <c r="V48" s="196"/>
      <c r="W48" s="207"/>
      <c r="X48" s="207"/>
      <c r="Y48" s="207"/>
      <c r="Z48" s="208"/>
      <c r="AA48" s="200"/>
      <c r="AB48" s="238"/>
      <c r="AC48" s="242"/>
      <c r="AD48" s="233"/>
      <c r="AE48" s="241" t="s">
        <v>125</v>
      </c>
      <c r="AF48" s="253" t="e">
        <f>AH48+AJ48</f>
        <v>#REF!</v>
      </c>
      <c r="AG48" s="253" t="e">
        <f>AI48+AK48</f>
        <v>#REF!</v>
      </c>
      <c r="AH48" s="253" t="e">
        <f>SUMIFS($X$77:$X$106,$S$77:$S$106,1,$U$77:$U$106,1,$V$77:$V$106,"&gt;=65",$V$77:$V$106,"&lt;70")*自給牧草給与割合/100</f>
        <v>#REF!</v>
      </c>
      <c r="AI48" s="253" t="e">
        <f>SUMIFS($X$77:$X$106,$S$77:$S$106,1,$U$77:$U$106,2,$V$77:$V$106,"&gt;=65",$V$77:$V$106,"&lt;70")*自給牧草給与割合/100</f>
        <v>#REF!</v>
      </c>
      <c r="AJ48" s="223"/>
      <c r="AK48" s="223"/>
      <c r="AL48" s="212"/>
      <c r="AM48" s="213"/>
      <c r="AN48" s="213"/>
      <c r="AO48" s="213"/>
      <c r="AP48" s="223"/>
      <c r="AQ48" s="223"/>
      <c r="AR48" s="253" t="e">
        <f>SUMIFS($X$77:$X$106,$S$77:$S$106,5,$U$77:$U$106,1,$V$77:$V$106,"&gt;=65",$V$77:$V$106,"&lt;70")*自給牧草給与割合/100</f>
        <v>#REF!</v>
      </c>
      <c r="AS48" s="253" t="e">
        <f>SUMIFS($X$77:$X$106,$S$77:$S$106,5,$U$77:$U$106,2,$V$77:$V$106,"&gt;=65",$V$77:$V$106,"&lt;70")*自給牧草給与割合/100</f>
        <v>#REF!</v>
      </c>
      <c r="AT48" s="238"/>
      <c r="AU48" s="238"/>
      <c r="AV48" s="237"/>
      <c r="AW48" s="233"/>
      <c r="AX48" s="282" t="s">
        <v>125</v>
      </c>
      <c r="AY48" s="254" t="e">
        <f>ROUND(AF48*$T$4*0.9,0)</f>
        <v>#REF!</v>
      </c>
      <c r="AZ48" s="254" t="e">
        <f>ROUND(AG48*$T$4*0.9,0)</f>
        <v>#REF!</v>
      </c>
      <c r="BA48" s="217"/>
      <c r="BB48" s="218"/>
      <c r="BC48" s="217"/>
      <c r="BD48" s="217"/>
      <c r="BE48" s="254" t="e">
        <f>(AR48)*$T$4*0.9</f>
        <v>#REF!</v>
      </c>
      <c r="BF48" s="254" t="e">
        <f>(AS48)*$T$4*0.9</f>
        <v>#REF!</v>
      </c>
    </row>
    <row r="49" spans="1:58" ht="29.25" customHeight="1" thickTop="1" x14ac:dyDescent="0.2">
      <c r="A49" s="143">
        <f>ROUND((ROW()-10)/2,0)</f>
        <v>20</v>
      </c>
      <c r="B49" s="21"/>
      <c r="C49" s="90" t="str">
        <f>IF(INDEX(設定!$C$9:$C$108,$A49,1)="","",INDEX(設定!$C$9:$C$108,$A49,1))</f>
        <v/>
      </c>
      <c r="D49" s="76" t="str">
        <f>IF(INDEX(設定!$D$9:$D$108,$A49,1)="","",INDEX(設定!$D$9:$D$108,$A49,1))</f>
        <v/>
      </c>
      <c r="E49" s="77" t="str">
        <f>IF(INDEX(設定!$E$9:$E$108,$A49,1)="","",INDEX(設定!$E$9:$E$108,$A49,1))</f>
        <v/>
      </c>
      <c r="F49" s="78" t="str">
        <f>IF(S49="","",IF(S49=1,"1：家族",IF(AND(S49&gt;=2,S49&lt;=5),"2：雇用","")))</f>
        <v/>
      </c>
      <c r="G49" s="141">
        <f>INT(INDEX(設定!$H$9:H$108,$A49,1))</f>
        <v>0</v>
      </c>
      <c r="H49" s="79" t="str">
        <f>IF(INDEX(設定!$H$9:$H$108,$A49,1)=0,"",ROUND(MOD(INDEX(設定!$H$9:$H$108,$A49,1),1)*60,0))</f>
        <v/>
      </c>
      <c r="I49" s="141">
        <f>INT(INDEX(設定!$I$9:$I$108,$A49,1))</f>
        <v>0</v>
      </c>
      <c r="J49" s="79" t="str">
        <f>IF(INDEX(設定!$I$9:$I$108,$A49,1)=0,"",ROUND(MOD(INDEX(設定!$I$9:$I$108,$A49,1),1)*60,0))</f>
        <v/>
      </c>
      <c r="K49" s="141">
        <f>INT(INDEX(設定!$J$9:$J$108,$A49,1))</f>
        <v>0</v>
      </c>
      <c r="L49" s="79" t="str">
        <f>IF(INDEX(設定!$J$9:$J$108,$A49,1)=0,"",ROUND(MOD(INDEX(設定!$J$9:$J$108,$A49,1),1)*60,0))</f>
        <v/>
      </c>
      <c r="M49" s="141">
        <f>INT(INDEX(設定!$K$9:$K$108,$A49,1))</f>
        <v>0</v>
      </c>
      <c r="N49" s="80" t="str">
        <f>IF(INDEX(設定!$K$9:$K$108,$A49,1)=0,"",ROUND(MOD(INDEX(設定!$K$9:$K$108,$A49,1),1)*60,0))</f>
        <v/>
      </c>
      <c r="P49" s="14"/>
      <c r="Q49" s="14"/>
      <c r="S49" s="91" t="str">
        <f>IF(INDEX(設定!$F$9:$F$108,$A49,1)="","",VALUE(LEFT(INDEX(設定!$F$9:$F$108,$A49,1),1)))</f>
        <v/>
      </c>
      <c r="T49" s="219" t="str">
        <f>IF(C49="","",C49)</f>
        <v/>
      </c>
      <c r="U49" s="220" t="str">
        <f>IF(D49="","",IF(D49="1：男",1,IF(D49="2：女",2)))</f>
        <v/>
      </c>
      <c r="V49" s="221" t="str">
        <f>IF(E49="","",E49)</f>
        <v/>
      </c>
      <c r="W49" s="197" t="str">
        <f t="shared" ref="W49" si="94">IF(AND(G49="",H49="",G50=""),"",ROUND(SUM(G49,H49/60)*G50,1))</f>
        <v/>
      </c>
      <c r="X49" s="198" t="str">
        <f t="shared" ref="X49" si="95">IF(AND(I49="",J49="",I50=""),"",ROUND(SUM(I49,J49/60)*I50,1))</f>
        <v/>
      </c>
      <c r="Y49" s="198" t="str">
        <f t="shared" ref="Y49" si="96">IF(AND(K49="",L49="",K50=""),"",ROUND(SUM(K49,L49/60)*K50,1))</f>
        <v/>
      </c>
      <c r="Z49" s="199" t="str">
        <f t="shared" ref="Z49" si="97">IF(AND(M49="",N49="",M50=""),"",ROUND(SUM(M49,N49/60)*M50,1))</f>
        <v/>
      </c>
      <c r="AA49" s="200"/>
      <c r="AB49" s="238"/>
      <c r="AC49" s="242"/>
      <c r="AD49" s="233"/>
      <c r="AE49" s="241" t="s">
        <v>126</v>
      </c>
      <c r="AF49" s="253" t="e">
        <f t="shared" ref="AF49:AF50" si="98">AH49+AJ49</f>
        <v>#REF!</v>
      </c>
      <c r="AG49" s="253" t="e">
        <f>AI49+AK49</f>
        <v>#REF!</v>
      </c>
      <c r="AH49" s="253" t="e">
        <f>SUMIFS($X$77:$X$106,$S$77:$S$106,1,$U$77:$U$106,1,$V$77:$V$106,"&gt;=70",$V$77:$V$106,"&lt;75")*自給牧草給与割合/100</f>
        <v>#REF!</v>
      </c>
      <c r="AI49" s="253" t="e">
        <f>SUMIFS($X$77:$X$106,$S$77:$S$106,1,$U$77:$U$106,2,$V$77:$V$106,"&gt;=70",$V$77:$V$106,"&lt;75")*自給牧草給与割合/100</f>
        <v>#REF!</v>
      </c>
      <c r="AJ49" s="223"/>
      <c r="AK49" s="223"/>
      <c r="AL49" s="212"/>
      <c r="AM49" s="213"/>
      <c r="AN49" s="213"/>
      <c r="AO49" s="213"/>
      <c r="AP49" s="223"/>
      <c r="AQ49" s="223"/>
      <c r="AR49" s="253" t="e">
        <f>SUMIFS($X$77:$X$106,$S$77:$S$106,5,$U$77:$U$106,1,$V$77:$V$106,"&gt;=70",$V$77:$V$106,"&lt;75")*自給牧草給与割合/100</f>
        <v>#REF!</v>
      </c>
      <c r="AS49" s="253">
        <f>SUMIFS($X$77:$X$106,$S$77:$S$106,5,$U$77:$U$106,2,$V$77:$V$106,"&gt;=70",$V$77:$V$106,"&lt;75")</f>
        <v>0</v>
      </c>
      <c r="AT49" s="238"/>
      <c r="AU49" s="238"/>
      <c r="AV49" s="237"/>
      <c r="AW49" s="233"/>
      <c r="AX49" s="282" t="s">
        <v>126</v>
      </c>
      <c r="AY49" s="254" t="e">
        <f>ROUND(AF49*$T$4*0.8,0)</f>
        <v>#REF!</v>
      </c>
      <c r="AZ49" s="254" t="e">
        <f>ROUND(AG49*$T$4*0.8,0)</f>
        <v>#REF!</v>
      </c>
      <c r="BA49" s="217"/>
      <c r="BB49" s="218"/>
      <c r="BC49" s="217"/>
      <c r="BD49" s="217"/>
      <c r="BE49" s="254" t="e">
        <f>(AR49)*$T$4*0.8</f>
        <v>#REF!</v>
      </c>
      <c r="BF49" s="254">
        <f>(AS49)*$T$4*0.8</f>
        <v>0</v>
      </c>
    </row>
    <row r="50" spans="1:58" s="30" customFormat="1" ht="29.25" customHeight="1" thickBot="1" x14ac:dyDescent="0.25">
      <c r="A50" s="143"/>
      <c r="B50" s="21"/>
      <c r="C50" s="82"/>
      <c r="D50" s="83"/>
      <c r="E50" s="84"/>
      <c r="F50" s="85"/>
      <c r="G50" s="86" t="str">
        <f>IF(SUM(G49:H49)&gt;0,1,"")</f>
        <v/>
      </c>
      <c r="H50" s="87"/>
      <c r="I50" s="86" t="str">
        <f>IF(SUM(I49:J49)&gt;0,1,"")</f>
        <v/>
      </c>
      <c r="J50" s="87"/>
      <c r="K50" s="86" t="str">
        <f>IF(SUM(K49:L49)&gt;0,1,"")</f>
        <v/>
      </c>
      <c r="L50" s="87"/>
      <c r="M50" s="86" t="str">
        <f>IF(SUM(M49:N49)&gt;0,1,"")</f>
        <v/>
      </c>
      <c r="N50" s="88"/>
      <c r="P50" s="14"/>
      <c r="Q50" s="14"/>
      <c r="S50" s="89"/>
      <c r="T50" s="194"/>
      <c r="U50" s="195"/>
      <c r="V50" s="196"/>
      <c r="W50" s="207"/>
      <c r="X50" s="207"/>
      <c r="Y50" s="207"/>
      <c r="Z50" s="208"/>
      <c r="AA50" s="200"/>
      <c r="AB50" s="238"/>
      <c r="AC50" s="242"/>
      <c r="AD50" s="243"/>
      <c r="AE50" s="244" t="s">
        <v>15</v>
      </c>
      <c r="AF50" s="256" t="e">
        <f t="shared" si="98"/>
        <v>#REF!</v>
      </c>
      <c r="AG50" s="256" t="e">
        <f>AI50+AK50</f>
        <v>#REF!</v>
      </c>
      <c r="AH50" s="256" t="e">
        <f>SUMIFS($X$77:$X$106,$S$77:$S$106,1,$U$77:$U$106,1,$V$77:$V$106,"&gt;=75")*自給牧草給与割合/100</f>
        <v>#REF!</v>
      </c>
      <c r="AI50" s="256" t="e">
        <f>SUMIFS($X$77:$X$106,$S$77:$S$106,1,$U$77:$U$106,2,$V$77:$V$106,"&gt;=75")*自給牧草給与割合/100</f>
        <v>#REF!</v>
      </c>
      <c r="AJ50" s="226"/>
      <c r="AK50" s="226"/>
      <c r="AL50" s="212"/>
      <c r="AM50" s="213"/>
      <c r="AN50" s="213"/>
      <c r="AO50" s="213"/>
      <c r="AP50" s="226"/>
      <c r="AQ50" s="226"/>
      <c r="AR50" s="253" t="e">
        <f>SUMIFS($X$77:$X$106,$S$77:$S$106,5,$U$77:$U$106,1,$V$77:$V$106,"&gt;=75")*自給牧草給与割合/100</f>
        <v>#REF!</v>
      </c>
      <c r="AS50" s="253" t="e">
        <f>SUMIFS($X$77:$X$106,$S$77:$S$106,5,$U$77:$U$106,2,$V$77:$V$106,"&gt;=75")*自給牧草給与割合/100</f>
        <v>#REF!</v>
      </c>
      <c r="AT50" s="238"/>
      <c r="AU50" s="238"/>
      <c r="AV50" s="237"/>
      <c r="AW50" s="243"/>
      <c r="AX50" s="283" t="s">
        <v>15</v>
      </c>
      <c r="AY50" s="278" t="e">
        <f>ROUND(AF50*$T$4*0.7,0)</f>
        <v>#REF!</v>
      </c>
      <c r="AZ50" s="278" t="e">
        <f>ROUND(AG50*$T$4*0.7,0)</f>
        <v>#REF!</v>
      </c>
      <c r="BA50" s="217"/>
      <c r="BB50" s="218"/>
      <c r="BC50" s="232"/>
      <c r="BD50" s="232"/>
      <c r="BE50" s="257" t="e">
        <f>(AR50)*$T$4*0.7</f>
        <v>#REF!</v>
      </c>
      <c r="BF50" s="257" t="e">
        <f>(AS50)*$T$4*0.7</f>
        <v>#REF!</v>
      </c>
    </row>
    <row r="51" spans="1:58" s="30" customFormat="1" ht="29.25" customHeight="1" thickTop="1" x14ac:dyDescent="0.2">
      <c r="A51" s="143">
        <f>ROUND((ROW()-10)/2,0)</f>
        <v>21</v>
      </c>
      <c r="B51" s="21"/>
      <c r="C51" s="90" t="str">
        <f>IF(INDEX(設定!$C$9:$C$108,$A51,1)="","",INDEX(設定!$C$9:$C$108,$A51,1))</f>
        <v/>
      </c>
      <c r="D51" s="76" t="str">
        <f>IF(INDEX(設定!$D$9:$D$108,$A51,1)="","",INDEX(設定!$D$9:$D$108,$A51,1))</f>
        <v/>
      </c>
      <c r="E51" s="77" t="str">
        <f>IF(INDEX(設定!$E$9:$E$108,$A51,1)="","",INDEX(設定!$E$9:$E$108,$A51,1))</f>
        <v/>
      </c>
      <c r="F51" s="78" t="str">
        <f>IF(S51="","",IF(S51=1,"1：家族",IF(AND(S51&gt;=2,S51&lt;=5),"2：雇用","")))</f>
        <v/>
      </c>
      <c r="G51" s="141">
        <f>INT(INDEX(設定!$H$9:H$108,$A51,1))</f>
        <v>0</v>
      </c>
      <c r="H51" s="79" t="str">
        <f>IF(INDEX(設定!$H$9:$H$108,$A51,1)=0,"",ROUND(MOD(INDEX(設定!$H$9:$H$108,$A51,1),1)*60,0))</f>
        <v/>
      </c>
      <c r="I51" s="141">
        <f>INT(INDEX(設定!$I$9:$I$108,$A51,1))</f>
        <v>0</v>
      </c>
      <c r="J51" s="79" t="str">
        <f>IF(INDEX(設定!$I$9:$I$108,$A51,1)=0,"",ROUND(MOD(INDEX(設定!$I$9:$I$108,$A51,1),1)*60,0))</f>
        <v/>
      </c>
      <c r="K51" s="141">
        <f>INT(INDEX(設定!$J$9:$J$108,$A51,1))</f>
        <v>0</v>
      </c>
      <c r="L51" s="79" t="str">
        <f>IF(INDEX(設定!$J$9:$J$108,$A51,1)=0,"",ROUND(MOD(INDEX(設定!$J$9:$J$108,$A51,1),1)*60,0))</f>
        <v/>
      </c>
      <c r="M51" s="141">
        <f>INT(INDEX(設定!$K$9:$K$108,$A51,1))</f>
        <v>0</v>
      </c>
      <c r="N51" s="80" t="str">
        <f>IF(INDEX(設定!$K$9:$K$108,$A51,1)=0,"",ROUND(MOD(INDEX(設定!$K$9:$K$108,$A51,1),1)*60,0))</f>
        <v/>
      </c>
      <c r="P51" s="14"/>
      <c r="Q51" s="14"/>
      <c r="S51" s="91" t="str">
        <f>IF(INDEX(設定!$F$9:$F$108,$A51,1)="","",VALUE(LEFT(INDEX(設定!$F$9:$F$108,$A51,1),1)))</f>
        <v/>
      </c>
      <c r="T51" s="219" t="str">
        <f>IF(C51="","",C51)</f>
        <v/>
      </c>
      <c r="U51" s="220" t="str">
        <f>IF(D51="","",IF(D51="1：男",1,IF(D51="2：女",2)))</f>
        <v/>
      </c>
      <c r="V51" s="221" t="str">
        <f>IF(E51="","",E51)</f>
        <v/>
      </c>
      <c r="W51" s="197" t="str">
        <f t="shared" ref="W51" si="99">IF(AND(G51="",H51="",G52=""),"",ROUND(SUM(G51,H51/60)*G52,1))</f>
        <v/>
      </c>
      <c r="X51" s="198" t="str">
        <f t="shared" ref="X51" si="100">IF(AND(I51="",J51="",I52=""),"",ROUND(SUM(I51,J51/60)*I52,1))</f>
        <v/>
      </c>
      <c r="Y51" s="198" t="str">
        <f t="shared" ref="Y51" si="101">IF(AND(K51="",L51="",K52=""),"",ROUND(SUM(K51,L51/60)*K52,1))</f>
        <v/>
      </c>
      <c r="Z51" s="199" t="str">
        <f t="shared" ref="Z51" si="102">IF(AND(M51="",N51="",M52=""),"",ROUND(SUM(M51,N51/60)*M52,1))</f>
        <v/>
      </c>
      <c r="AA51" s="200"/>
      <c r="AB51" s="238"/>
      <c r="AC51" s="233"/>
      <c r="AD51" s="484" t="s">
        <v>132</v>
      </c>
      <c r="AE51" s="485"/>
      <c r="AF51" s="259">
        <f t="shared" ref="AF51:AG51" si="103">SUM(AF52:AF55)</f>
        <v>0</v>
      </c>
      <c r="AG51" s="259">
        <f t="shared" si="103"/>
        <v>0</v>
      </c>
      <c r="AH51" s="235"/>
      <c r="AI51" s="203"/>
      <c r="AJ51" s="214"/>
      <c r="AK51" s="214"/>
      <c r="AL51" s="259">
        <f>AN51+AP51+AR51</f>
        <v>0</v>
      </c>
      <c r="AM51" s="259">
        <f>AO51+AQ51+AS51</f>
        <v>0</v>
      </c>
      <c r="AN51" s="245">
        <f>SUMIFS($Y$77:$Y$106,$S$77:$S$106,2,$U$77:$U$106,1)</f>
        <v>0</v>
      </c>
      <c r="AO51" s="259">
        <f>SUMIFS($Y$77:$Y$106,$S$77:$S$106,2,$U$77:$U$106,2)</f>
        <v>0</v>
      </c>
      <c r="AP51"/>
      <c r="AQ51"/>
      <c r="AR51" s="259">
        <f>SUM(AR52:AR55)</f>
        <v>0</v>
      </c>
      <c r="AS51" s="259">
        <f>SUM(AS52:AS55)</f>
        <v>0</v>
      </c>
      <c r="AT51" s="238"/>
      <c r="AU51" s="238"/>
      <c r="AV51" s="237"/>
      <c r="AW51" s="481" t="s">
        <v>132</v>
      </c>
      <c r="AX51" s="483"/>
      <c r="AY51" s="266">
        <f>SUM(AY52:AY55)</f>
        <v>0</v>
      </c>
      <c r="AZ51" s="266">
        <f>SUM(AZ52:AZ55)</f>
        <v>0</v>
      </c>
      <c r="BA51" s="266">
        <f>ROUND(BC51+BE51,0)</f>
        <v>0</v>
      </c>
      <c r="BB51" s="266">
        <f>ROUND(BD51+BF51,0)</f>
        <v>0</v>
      </c>
      <c r="BC51" s="267">
        <f>IFERROR($T$112*AN51/($AN$11+$AN$51),0)</f>
        <v>0</v>
      </c>
      <c r="BD51" s="267">
        <f>IFERROR($T$113*AO51/($AO$11+$AO$51),0)</f>
        <v>0</v>
      </c>
      <c r="BE51" s="266">
        <f>SUM(BE52:BE55)</f>
        <v>0</v>
      </c>
      <c r="BF51" s="266">
        <f>SUM(BF52:BF55)</f>
        <v>0</v>
      </c>
    </row>
    <row r="52" spans="1:58" s="30" customFormat="1" ht="29.25" customHeight="1" thickBot="1" x14ac:dyDescent="0.25">
      <c r="A52" s="142"/>
      <c r="B52" s="29"/>
      <c r="C52" s="82"/>
      <c r="D52" s="83"/>
      <c r="E52" s="84"/>
      <c r="F52" s="85"/>
      <c r="G52" s="86" t="str">
        <f>IF(SUM(G51:H51)&gt;0,1,"")</f>
        <v/>
      </c>
      <c r="H52" s="87"/>
      <c r="I52" s="86" t="str">
        <f>IF(SUM(I51:J51)&gt;0,1,"")</f>
        <v/>
      </c>
      <c r="J52" s="87"/>
      <c r="K52" s="86" t="str">
        <f>IF(SUM(K51:L51)&gt;0,1,"")</f>
        <v/>
      </c>
      <c r="L52" s="87"/>
      <c r="M52" s="86" t="str">
        <f>IF(SUM(M51:N51)&gt;0,1,"")</f>
        <v/>
      </c>
      <c r="N52" s="88"/>
      <c r="P52" s="14"/>
      <c r="Q52" s="14"/>
      <c r="S52" s="89"/>
      <c r="T52" s="194"/>
      <c r="U52" s="195"/>
      <c r="V52" s="196"/>
      <c r="W52" s="207"/>
      <c r="X52" s="207"/>
      <c r="Y52" s="207"/>
      <c r="Z52" s="208"/>
      <c r="AA52" s="200"/>
      <c r="AB52" s="238"/>
      <c r="AC52" s="233"/>
      <c r="AD52" s="233"/>
      <c r="AE52" s="240" t="s">
        <v>14</v>
      </c>
      <c r="AF52" s="262">
        <f>AH52+AJ52</f>
        <v>0</v>
      </c>
      <c r="AG52" s="262">
        <f>AI52+AK52</f>
        <v>0</v>
      </c>
      <c r="AH52" s="262">
        <f>SUMIFS($Y$77:$Y$106,$S$77:$S$106,1,$U$77:$U$106,1,$V$77:$V$106,"&lt;65")</f>
        <v>0</v>
      </c>
      <c r="AI52" s="262">
        <f>SUMIFS($Y$77:$Y$106,$S$77:$S$106,1,$U$77:$U$106,2,$V$77:$V$106,"&lt;65")</f>
        <v>0</v>
      </c>
      <c r="AJ52" s="213"/>
      <c r="AK52" s="272"/>
      <c r="AL52" s="212"/>
      <c r="AM52" s="213"/>
      <c r="AN52" s="213"/>
      <c r="AO52" s="213"/>
      <c r="AP52"/>
      <c r="AQ52"/>
      <c r="AR52" s="262">
        <f>SUMIFS($Y$77:$Y$106,$S$77:$S$106,5,$U$77:$U$106,1,$V$77:$V$106,"&lt;65")</f>
        <v>0</v>
      </c>
      <c r="AS52" s="262">
        <f>SUMIFS($Y$77:$Y$106,$S$77:$S$106,5,$U$77:$U$106,2,$V$77:$V$106,"&lt;65")</f>
        <v>0</v>
      </c>
      <c r="AT52" s="238"/>
      <c r="AU52" s="238"/>
      <c r="AV52" s="237"/>
      <c r="AW52" s="233"/>
      <c r="AX52" s="281" t="s">
        <v>14</v>
      </c>
      <c r="AY52" s="270">
        <f>ROUND(AF52*$T$4,0)</f>
        <v>0</v>
      </c>
      <c r="AZ52" s="270">
        <f>ROUND(AG52*$T$4,0)</f>
        <v>0</v>
      </c>
      <c r="BA52" s="217"/>
      <c r="BB52" s="218"/>
      <c r="BC52" s="189"/>
      <c r="BD52" s="189"/>
      <c r="BE52" s="271">
        <f>(AR52)*$T$4</f>
        <v>0</v>
      </c>
      <c r="BF52" s="271">
        <f>(AS52)*$T$4</f>
        <v>0</v>
      </c>
    </row>
    <row r="53" spans="1:58" s="30" customFormat="1" ht="29.25" customHeight="1" thickTop="1" x14ac:dyDescent="0.2">
      <c r="A53" s="142">
        <f>ROUND((ROW()-10)/2,0)</f>
        <v>22</v>
      </c>
      <c r="B53" s="29"/>
      <c r="C53" s="90" t="str">
        <f>IF(INDEX(設定!$C$9:$C$108,$A53,1)="","",INDEX(設定!$C$9:$C$108,$A53,1))</f>
        <v/>
      </c>
      <c r="D53" s="76" t="str">
        <f>IF(INDEX(設定!$D$9:$D$108,$A53,1)="","",INDEX(設定!$D$9:$D$108,$A53,1))</f>
        <v/>
      </c>
      <c r="E53" s="77" t="str">
        <f>IF(INDEX(設定!$E$9:$E$108,$A53,1)="","",INDEX(設定!$E$9:$E$108,$A53,1))</f>
        <v/>
      </c>
      <c r="F53" s="78" t="str">
        <f>IF(S53="","",IF(S53=1,"1：家族",IF(AND(S53&gt;=2,S53&lt;=5),"2：雇用","")))</f>
        <v/>
      </c>
      <c r="G53" s="141">
        <f>INT(INDEX(設定!$H$9:H$108,$A53,1))</f>
        <v>0</v>
      </c>
      <c r="H53" s="79" t="str">
        <f>IF(INDEX(設定!$H$9:$H$108,$A53,1)=0,"",ROUND(MOD(INDEX(設定!$H$9:$H$108,$A53,1),1)*60,0))</f>
        <v/>
      </c>
      <c r="I53" s="141">
        <f>INT(INDEX(設定!$I$9:$I$108,$A53,1))</f>
        <v>0</v>
      </c>
      <c r="J53" s="79" t="str">
        <f>IF(INDEX(設定!$I$9:$I$108,$A53,1)=0,"",ROUND(MOD(INDEX(設定!$I$9:$I$108,$A53,1),1)*60,0))</f>
        <v/>
      </c>
      <c r="K53" s="141">
        <f>INT(INDEX(設定!$J$9:$J$108,$A53,1))</f>
        <v>0</v>
      </c>
      <c r="L53" s="79" t="str">
        <f>IF(INDEX(設定!$J$9:$J$108,$A53,1)=0,"",ROUND(MOD(INDEX(設定!$J$9:$J$108,$A53,1),1)*60,0))</f>
        <v/>
      </c>
      <c r="M53" s="141">
        <f>INT(INDEX(設定!$K$9:$K$108,$A53,1))</f>
        <v>0</v>
      </c>
      <c r="N53" s="80" t="str">
        <f>IF(INDEX(設定!$K$9:$K$108,$A53,1)=0,"",ROUND(MOD(INDEX(設定!$K$9:$K$108,$A53,1),1)*60,0))</f>
        <v/>
      </c>
      <c r="P53" s="14"/>
      <c r="Q53" s="14"/>
      <c r="S53" s="91" t="str">
        <f>IF(INDEX(設定!$F$9:$F$108,$A53,1)="","",VALUE(LEFT(INDEX(設定!$F$9:$F$108,$A53,1),1)))</f>
        <v/>
      </c>
      <c r="T53" s="219" t="str">
        <f>IF(C53="","",C53)</f>
        <v/>
      </c>
      <c r="U53" s="220" t="str">
        <f>IF(D53="","",IF(D53="1：男",1,IF(D53="2：女",2)))</f>
        <v/>
      </c>
      <c r="V53" s="221" t="str">
        <f>IF(E53="","",E53)</f>
        <v/>
      </c>
      <c r="W53" s="197" t="str">
        <f t="shared" ref="W53" si="104">IF(AND(G53="",H53="",G54=""),"",ROUND(SUM(G53,H53/60)*G54,1))</f>
        <v/>
      </c>
      <c r="X53" s="198" t="str">
        <f t="shared" ref="X53" si="105">IF(AND(I53="",J53="",I54=""),"",ROUND(SUM(I53,J53/60)*I54,1))</f>
        <v/>
      </c>
      <c r="Y53" s="198" t="str">
        <f t="shared" ref="Y53" si="106">IF(AND(K53="",L53="",K54=""),"",ROUND(SUM(K53,L53/60)*K54,1))</f>
        <v/>
      </c>
      <c r="Z53" s="199" t="str">
        <f t="shared" ref="Z53" si="107">IF(AND(M53="",N53="",M54=""),"",ROUND(SUM(M53,N53/60)*M54,1))</f>
        <v/>
      </c>
      <c r="AA53" s="200"/>
      <c r="AB53" s="238"/>
      <c r="AC53" s="233"/>
      <c r="AD53" s="233"/>
      <c r="AE53" s="241" t="s">
        <v>125</v>
      </c>
      <c r="AF53" s="253">
        <f>AH53+AJ53</f>
        <v>0</v>
      </c>
      <c r="AG53" s="253">
        <f>AI53+AK53</f>
        <v>0</v>
      </c>
      <c r="AH53" s="253">
        <f>SUMIFS($Y$77:$Y$106,$S$77:$S$106,1,$U$77:$U$106,1,$V$77:$V$106,"&gt;=65",$V$77:$V$106,"&lt;70")</f>
        <v>0</v>
      </c>
      <c r="AI53" s="253">
        <f>SUMIFS($Y$77:$Y$106,$S$77:$S$106,1,$U$77:$U$106,2,$V$77:$V$106,"&gt;=65",$V$77:$V$106,"&lt;70")</f>
        <v>0</v>
      </c>
      <c r="AJ53" s="284"/>
      <c r="AK53" s="285"/>
      <c r="AL53" s="212"/>
      <c r="AM53" s="213"/>
      <c r="AN53" s="213"/>
      <c r="AO53" s="213"/>
      <c r="AP53"/>
      <c r="AQ53"/>
      <c r="AR53" s="253">
        <f>SUMIFS($Y$77:$Y$106,$S$77:$S$106,5,$U$77:$U$106,1,$V$77:$V$106,"&gt;=65",$V$77:$V$106,"&lt;70")</f>
        <v>0</v>
      </c>
      <c r="AS53" s="253">
        <f>SUMIFS($Y$77:$Y$106,$S$77:$S$106,5,$U$77:$U$106,2,$V$77:$V$106,"&gt;=65",$V$77:$V$106,"&lt;70")</f>
        <v>0</v>
      </c>
      <c r="AT53" s="238"/>
      <c r="AU53" s="238"/>
      <c r="AV53" s="237"/>
      <c r="AW53" s="233"/>
      <c r="AX53" s="282" t="s">
        <v>125</v>
      </c>
      <c r="AY53" s="254">
        <f>ROUND(AF53*$T$4*0.9,0)</f>
        <v>0</v>
      </c>
      <c r="AZ53" s="254">
        <f>ROUND(AG53*$T$4*0.9,0)</f>
        <v>0</v>
      </c>
      <c r="BA53" s="217"/>
      <c r="BB53" s="218"/>
      <c r="BC53" s="217"/>
      <c r="BD53" s="217"/>
      <c r="BE53" s="254">
        <f>(AR53)*$T$4*0.9</f>
        <v>0</v>
      </c>
      <c r="BF53" s="254">
        <f>(AS53)*$T$4*0.9</f>
        <v>0</v>
      </c>
    </row>
    <row r="54" spans="1:58" s="30" customFormat="1" ht="29.25" customHeight="1" thickBot="1" x14ac:dyDescent="0.25">
      <c r="A54" s="142"/>
      <c r="B54" s="29"/>
      <c r="C54" s="82"/>
      <c r="D54" s="83"/>
      <c r="E54" s="84"/>
      <c r="F54" s="85"/>
      <c r="G54" s="86" t="str">
        <f>IF(SUM(G53:H53)&gt;0,1,"")</f>
        <v/>
      </c>
      <c r="H54" s="87"/>
      <c r="I54" s="86" t="str">
        <f>IF(SUM(I53:J53)&gt;0,1,"")</f>
        <v/>
      </c>
      <c r="J54" s="87"/>
      <c r="K54" s="86" t="str">
        <f>IF(SUM(K53:L53)&gt;0,1,"")</f>
        <v/>
      </c>
      <c r="L54" s="87"/>
      <c r="M54" s="86" t="str">
        <f>IF(SUM(M53:N53)&gt;0,1,"")</f>
        <v/>
      </c>
      <c r="N54" s="88"/>
      <c r="P54" s="14"/>
      <c r="Q54" s="14"/>
      <c r="S54" s="89"/>
      <c r="T54" s="194"/>
      <c r="U54" s="195"/>
      <c r="V54" s="196"/>
      <c r="W54" s="207"/>
      <c r="X54" s="207"/>
      <c r="Y54" s="207"/>
      <c r="Z54" s="208"/>
      <c r="AA54" s="200"/>
      <c r="AB54" s="238"/>
      <c r="AC54" s="233"/>
      <c r="AD54" s="233"/>
      <c r="AE54" s="241" t="s">
        <v>126</v>
      </c>
      <c r="AF54" s="253">
        <f t="shared" ref="AF54:AG55" si="108">AH54+AJ54</f>
        <v>0</v>
      </c>
      <c r="AG54" s="253">
        <f t="shared" si="108"/>
        <v>0</v>
      </c>
      <c r="AH54" s="253">
        <f>SUMIFS($Y$77:$Y$106,$S$77:$S$106,1,$U$77:$U$106,1,$V$77:$V$106,"&gt;=70",$V$77:$V$106,"&lt;75")</f>
        <v>0</v>
      </c>
      <c r="AI54" s="253">
        <f>SUMIFS($Y$77:$Y$106,$S$77:$S$106,1,$U$77:$U$106,2,$V$77:$V$106,"&gt;=70",$V$77:$V$106,"&lt;75")</f>
        <v>0</v>
      </c>
      <c r="AJ54" s="284"/>
      <c r="AK54" s="285"/>
      <c r="AL54" s="212"/>
      <c r="AM54" s="213"/>
      <c r="AN54" s="213"/>
      <c r="AO54" s="213"/>
      <c r="AP54"/>
      <c r="AQ54"/>
      <c r="AR54" s="253">
        <f>SUMIFS($Y$77:$Y$106,$S$77:$S$106,5,$U$77:$U$106,1,$V$77:$V$106,"&gt;=70",$V$77:$V$106,"&lt;75")</f>
        <v>0</v>
      </c>
      <c r="AS54" s="253">
        <f>SUMIFS($Y$77:$Y$106,$S$77:$S$106,5,$U$77:$U$106,2,$V$77:$V$106,"&gt;=70",$V$77:$V$106,"&lt;75")</f>
        <v>0</v>
      </c>
      <c r="AT54" s="238"/>
      <c r="AU54" s="238"/>
      <c r="AV54" s="237"/>
      <c r="AW54" s="233"/>
      <c r="AX54" s="282" t="s">
        <v>126</v>
      </c>
      <c r="AY54" s="254">
        <f>ROUND(AF54*$T$4*0.8,0)</f>
        <v>0</v>
      </c>
      <c r="AZ54" s="254">
        <f>ROUND(AG54*$T$4*0.8,0)</f>
        <v>0</v>
      </c>
      <c r="BA54" s="217"/>
      <c r="BB54" s="218"/>
      <c r="BC54" s="217"/>
      <c r="BD54" s="217"/>
      <c r="BE54" s="254">
        <f>(AR54)*$T$4*0.8</f>
        <v>0</v>
      </c>
      <c r="BF54" s="254">
        <f>(AS54)*$T$4*0.8</f>
        <v>0</v>
      </c>
    </row>
    <row r="55" spans="1:58" s="30" customFormat="1" ht="29.25" customHeight="1" thickTop="1" thickBot="1" x14ac:dyDescent="0.25">
      <c r="A55" s="142">
        <f>ROUND((ROW()-10)/2,0)</f>
        <v>23</v>
      </c>
      <c r="B55" s="29"/>
      <c r="C55" s="90" t="str">
        <f>IF(INDEX(設定!$C$9:$C$108,$A55,1)="","",INDEX(設定!$C$9:$C$108,$A55,1))</f>
        <v/>
      </c>
      <c r="D55" s="76" t="str">
        <f>IF(INDEX(設定!$D$9:$D$108,$A55,1)="","",INDEX(設定!$D$9:$D$108,$A55,1))</f>
        <v/>
      </c>
      <c r="E55" s="77" t="str">
        <f>IF(INDEX(設定!$E$9:$E$108,$A55,1)="","",INDEX(設定!$E$9:$E$108,$A55,1))</f>
        <v/>
      </c>
      <c r="F55" s="78" t="str">
        <f>IF(S55="","",IF(S55=1,"1：家族",IF(AND(S55&gt;=2,S55&lt;=5),"2：雇用","")))</f>
        <v/>
      </c>
      <c r="G55" s="141">
        <f>INT(INDEX(設定!$H$9:H$108,$A55,1))</f>
        <v>0</v>
      </c>
      <c r="H55" s="79" t="str">
        <f>IF(INDEX(設定!$H$9:$H$108,$A55,1)=0,"",ROUND(MOD(INDEX(設定!$H$9:$H$108,$A55,1),1)*60,0))</f>
        <v/>
      </c>
      <c r="I55" s="141">
        <f>INT(INDEX(設定!$I$9:$I$108,$A55,1))</f>
        <v>0</v>
      </c>
      <c r="J55" s="79" t="str">
        <f>IF(INDEX(設定!$I$9:$I$108,$A55,1)=0,"",ROUND(MOD(INDEX(設定!$I$9:$I$108,$A55,1),1)*60,0))</f>
        <v/>
      </c>
      <c r="K55" s="141">
        <f>INT(INDEX(設定!$J$9:$J$108,$A55,1))</f>
        <v>0</v>
      </c>
      <c r="L55" s="79" t="str">
        <f>IF(INDEX(設定!$J$9:$J$108,$A55,1)=0,"",ROUND(MOD(INDEX(設定!$J$9:$J$108,$A55,1),1)*60,0))</f>
        <v/>
      </c>
      <c r="M55" s="141">
        <f>INT(INDEX(設定!$K$9:$K$108,$A55,1))</f>
        <v>0</v>
      </c>
      <c r="N55" s="80" t="str">
        <f>IF(INDEX(設定!$K$9:$K$108,$A55,1)=0,"",ROUND(MOD(INDEX(設定!$K$9:$K$108,$A55,1),1)*60,0))</f>
        <v/>
      </c>
      <c r="P55" s="14"/>
      <c r="Q55" s="14"/>
      <c r="S55" s="91" t="str">
        <f>IF(INDEX(設定!$F$9:$F$108,$A55,1)="","",VALUE(LEFT(INDEX(設定!$F$9:$F$108,$A55,1),1)))</f>
        <v/>
      </c>
      <c r="T55" s="219" t="str">
        <f>IF(C55="","",C55)</f>
        <v/>
      </c>
      <c r="U55" s="220" t="str">
        <f>IF(D55="","",IF(D55="1：男",1,IF(D55="2：女",2)))</f>
        <v/>
      </c>
      <c r="V55" s="221" t="str">
        <f>IF(E55="","",E55)</f>
        <v/>
      </c>
      <c r="W55" s="197" t="str">
        <f t="shared" ref="W55" si="109">IF(AND(G55="",H55="",G56=""),"",ROUND(SUM(G55,H55/60)*G56,1))</f>
        <v/>
      </c>
      <c r="X55" s="198" t="str">
        <f t="shared" ref="X55" si="110">IF(AND(I55="",J55="",I56=""),"",ROUND(SUM(I55,J55/60)*I56,1))</f>
        <v/>
      </c>
      <c r="Y55" s="198" t="str">
        <f t="shared" ref="Y55" si="111">IF(AND(K55="",L55="",K56=""),"",ROUND(SUM(K55,L55/60)*K56,1))</f>
        <v/>
      </c>
      <c r="Z55" s="199" t="str">
        <f t="shared" ref="Z55" si="112">IF(AND(M55="",N55="",M56=""),"",ROUND(SUM(M55,N55/60)*M56,1))</f>
        <v/>
      </c>
      <c r="AA55" s="200"/>
      <c r="AB55"/>
      <c r="AC55" s="233"/>
      <c r="AD55" s="233"/>
      <c r="AE55" s="273" t="s">
        <v>15</v>
      </c>
      <c r="AF55" s="256">
        <f t="shared" si="108"/>
        <v>0</v>
      </c>
      <c r="AG55" s="256">
        <f t="shared" si="108"/>
        <v>0</v>
      </c>
      <c r="AH55" s="256">
        <f>SUMIFS($Y$77:$Y$106,$S$77:$S$106,1,$U$77:$U$106,1,$V$77:$V$106,"&gt;=75")</f>
        <v>0</v>
      </c>
      <c r="AI55" s="256">
        <f>SUMIFS($Y$77:$Y$106,$S$77:$S$106,1,$U$77:$U$106,2,$V$77:$V$106,"&gt;=75")</f>
        <v>0</v>
      </c>
      <c r="AJ55" s="284"/>
      <c r="AK55" s="285"/>
      <c r="AL55" s="212"/>
      <c r="AM55" s="213"/>
      <c r="AN55" s="213"/>
      <c r="AO55" s="213"/>
      <c r="AP55"/>
      <c r="AQ55"/>
      <c r="AR55" s="253">
        <f>SUMIFS($Y$77:$Y$106,$S$77:$S$106,5,$U$77:$U$106,1,$V$77:$V$106,"&gt;=75")</f>
        <v>0</v>
      </c>
      <c r="AS55" s="253">
        <f>SUMIFS($Y$77:$Y$106,$S$77:$S$106,5,$U$77:$U$106,2,$V$77:$V$106,"&gt;=75")</f>
        <v>0</v>
      </c>
      <c r="AT55" s="238"/>
      <c r="AU55" s="238"/>
      <c r="AV55" s="286"/>
      <c r="AW55" s="243"/>
      <c r="AX55" s="283" t="s">
        <v>15</v>
      </c>
      <c r="AY55" s="257">
        <f>ROUND(AF55*$T$4*0.7,0)</f>
        <v>0</v>
      </c>
      <c r="AZ55" s="257">
        <f>ROUND(AG55*$T$4*0.7,0)</f>
        <v>0</v>
      </c>
      <c r="BA55" s="232"/>
      <c r="BB55" s="231"/>
      <c r="BC55" s="232"/>
      <c r="BD55" s="232"/>
      <c r="BE55" s="257">
        <f>(AR55)*$T$4*0.7</f>
        <v>0</v>
      </c>
      <c r="BF55" s="257">
        <f>(AS55)*$T$4*0.7</f>
        <v>0</v>
      </c>
    </row>
    <row r="56" spans="1:58" s="30" customFormat="1" ht="29.25" customHeight="1" thickTop="1" thickBot="1" x14ac:dyDescent="0.25">
      <c r="A56" s="142"/>
      <c r="B56" s="29"/>
      <c r="C56" s="82"/>
      <c r="D56" s="83"/>
      <c r="E56" s="84"/>
      <c r="F56" s="85"/>
      <c r="G56" s="86" t="str">
        <f>IF(SUM(G55:H55)&gt;0,1,"")</f>
        <v/>
      </c>
      <c r="H56" s="87"/>
      <c r="I56" s="86" t="str">
        <f>IF(SUM(I55:J55)&gt;0,1,"")</f>
        <v/>
      </c>
      <c r="J56" s="87"/>
      <c r="K56" s="86" t="str">
        <f>IF(SUM(K55:L55)&gt;0,1,"")</f>
        <v/>
      </c>
      <c r="L56" s="87"/>
      <c r="M56" s="86" t="str">
        <f>IF(SUM(M55:N55)&gt;0,1,"")</f>
        <v/>
      </c>
      <c r="N56" s="88"/>
      <c r="P56" s="14"/>
      <c r="Q56" s="14"/>
      <c r="S56" s="89"/>
      <c r="T56" s="194"/>
      <c r="U56" s="195"/>
      <c r="V56" s="196"/>
      <c r="W56" s="207"/>
      <c r="X56" s="207"/>
      <c r="Y56" s="207"/>
      <c r="Z56" s="208"/>
      <c r="AA56" s="200"/>
      <c r="AB56" s="238"/>
      <c r="AC56" s="470" t="s">
        <v>133</v>
      </c>
      <c r="AD56" s="471"/>
      <c r="AE56" s="472"/>
      <c r="AF56" s="287" t="e">
        <f>SUM(AF57:AF60)</f>
        <v>#REF!</v>
      </c>
      <c r="AG56" s="287" t="e">
        <f>SUM(AG57:AG60)</f>
        <v>#REF!</v>
      </c>
      <c r="AH56" s="288"/>
      <c r="AI56" s="289"/>
      <c r="AJ56" s="289"/>
      <c r="AK56" s="290"/>
      <c r="AL56" s="291" t="e">
        <f t="shared" ref="AL56:AS56" si="113">AL11+AL41</f>
        <v>#REF!</v>
      </c>
      <c r="AM56" s="291" t="e">
        <f t="shared" si="113"/>
        <v>#REF!</v>
      </c>
      <c r="AN56" s="291" t="e">
        <f t="shared" si="113"/>
        <v>#REF!</v>
      </c>
      <c r="AO56" s="291" t="e">
        <f t="shared" si="113"/>
        <v>#REF!</v>
      </c>
      <c r="AP56" s="291" t="e">
        <f t="shared" si="113"/>
        <v>#REF!</v>
      </c>
      <c r="AQ56" s="291" t="e">
        <f t="shared" si="113"/>
        <v>#REF!</v>
      </c>
      <c r="AR56" s="291" t="e">
        <f t="shared" si="113"/>
        <v>#REF!</v>
      </c>
      <c r="AS56" s="291" t="e">
        <f t="shared" si="113"/>
        <v>#REF!</v>
      </c>
      <c r="AT56" s="238"/>
      <c r="AU56" s="238"/>
      <c r="AV56"/>
      <c r="AW56"/>
      <c r="AX56"/>
      <c r="AY56"/>
      <c r="AZ56"/>
      <c r="BA56"/>
      <c r="BB56"/>
      <c r="BC56" s="217"/>
      <c r="BD56" s="217"/>
      <c r="BE56" s="217"/>
      <c r="BF56" s="217"/>
    </row>
    <row r="57" spans="1:58" s="30" customFormat="1" ht="29.25" customHeight="1" thickTop="1" x14ac:dyDescent="0.2">
      <c r="A57" s="142">
        <f>ROUND((ROW()-10)/2,0)</f>
        <v>24</v>
      </c>
      <c r="B57" s="29"/>
      <c r="C57" s="90" t="str">
        <f>IF(INDEX(設定!$C$9:$C$108,$A57,1)="","",INDEX(設定!$C$9:$C$108,$A57,1))</f>
        <v/>
      </c>
      <c r="D57" s="76" t="str">
        <f>IF(INDEX(設定!$D$9:$D$108,$A57,1)="","",INDEX(設定!$D$9:$D$108,$A57,1))</f>
        <v/>
      </c>
      <c r="E57" s="77" t="str">
        <f>IF(INDEX(設定!$E$9:$E$108,$A57,1)="","",INDEX(設定!$E$9:$E$108,$A57,1))</f>
        <v/>
      </c>
      <c r="F57" s="78" t="str">
        <f>IF(S57="","",IF(S57=1,"1：家族",IF(AND(S57&gt;=2,S57&lt;=5),"2：雇用","")))</f>
        <v/>
      </c>
      <c r="G57" s="141">
        <f>INT(INDEX(設定!$H$9:H$108,$A57,1))</f>
        <v>0</v>
      </c>
      <c r="H57" s="79" t="str">
        <f>IF(INDEX(設定!$H$9:$H$108,$A57,1)=0,"",ROUND(MOD(INDEX(設定!$H$9:$H$108,$A57,1),1)*60,0))</f>
        <v/>
      </c>
      <c r="I57" s="141">
        <f>INT(INDEX(設定!$I$9:$I$108,$A57,1))</f>
        <v>0</v>
      </c>
      <c r="J57" s="79" t="str">
        <f>IF(INDEX(設定!$I$9:$I$108,$A57,1)=0,"",ROUND(MOD(INDEX(設定!$I$9:$I$108,$A57,1),1)*60,0))</f>
        <v/>
      </c>
      <c r="K57" s="141">
        <f>INT(INDEX(設定!$J$9:$J$108,$A57,1))</f>
        <v>0</v>
      </c>
      <c r="L57" s="79" t="str">
        <f>IF(INDEX(設定!$J$9:$J$108,$A57,1)=0,"",ROUND(MOD(INDEX(設定!$J$9:$J$108,$A57,1),1)*60,0))</f>
        <v/>
      </c>
      <c r="M57" s="141">
        <f>INT(INDEX(設定!$K$9:$K$108,$A57,1))</f>
        <v>0</v>
      </c>
      <c r="N57" s="80" t="str">
        <f>IF(INDEX(設定!$K$9:$K$108,$A57,1)=0,"",ROUND(MOD(INDEX(設定!$K$9:$K$108,$A57,1),1)*60,0))</f>
        <v/>
      </c>
      <c r="P57" s="14"/>
      <c r="Q57" s="14"/>
      <c r="S57" s="91" t="str">
        <f>IF(INDEX(設定!$F$9:$F$108,$A57,1)="","",VALUE(LEFT(INDEX(設定!$F$9:$F$108,$A57,1),1)))</f>
        <v/>
      </c>
      <c r="T57" s="219" t="str">
        <f>IF(C57="","",C57)</f>
        <v/>
      </c>
      <c r="U57" s="220" t="str">
        <f>IF(D57="","",IF(D57="1：男",1,IF(D57="2：女",2)))</f>
        <v/>
      </c>
      <c r="V57" s="221" t="str">
        <f>IF(E57="","",E57)</f>
        <v/>
      </c>
      <c r="W57" s="197" t="str">
        <f t="shared" ref="W57" si="114">IF(AND(G57="",H57="",G58=""),"",ROUND(SUM(G57,H57/60)*G58,1))</f>
        <v/>
      </c>
      <c r="X57" s="198" t="str">
        <f t="shared" ref="X57" si="115">IF(AND(I57="",J57="",I58=""),"",ROUND(SUM(I57,J57/60)*I58,1))</f>
        <v/>
      </c>
      <c r="Y57" s="198" t="str">
        <f t="shared" ref="Y57" si="116">IF(AND(K57="",L57="",K58=""),"",ROUND(SUM(K57,L57/60)*K58,1))</f>
        <v/>
      </c>
      <c r="Z57" s="199" t="str">
        <f t="shared" ref="Z57" si="117">IF(AND(M57="",N57="",M58=""),"",ROUND(SUM(M57,N57/60)*M58,1))</f>
        <v/>
      </c>
      <c r="AA57" s="200"/>
      <c r="AB57" s="238"/>
      <c r="AC57" s="233"/>
      <c r="AD57" s="473" t="s">
        <v>14</v>
      </c>
      <c r="AE57" s="474"/>
      <c r="AF57" s="262" t="e">
        <f>AF12+AF42</f>
        <v>#REF!</v>
      </c>
      <c r="AG57" s="262" t="e">
        <f t="shared" ref="AG57:AK60" si="118">AG12+AG42</f>
        <v>#REF!</v>
      </c>
      <c r="AH57" s="292" t="e">
        <f t="shared" si="118"/>
        <v>#REF!</v>
      </c>
      <c r="AI57" s="262" t="e">
        <f t="shared" si="118"/>
        <v>#REF!</v>
      </c>
      <c r="AJ57" s="262" t="e">
        <f t="shared" si="118"/>
        <v>#REF!</v>
      </c>
      <c r="AK57" s="262" t="e">
        <f t="shared" si="118"/>
        <v>#REF!</v>
      </c>
      <c r="AL57" s="248"/>
      <c r="AM57" s="214"/>
      <c r="AN57" s="214"/>
      <c r="AO57" s="214"/>
      <c r="AP57" s="262" t="e">
        <f>AP12+AP42</f>
        <v>#REF!</v>
      </c>
      <c r="AQ57" s="262" t="e">
        <f>AQ12+AQ42</f>
        <v>#REF!</v>
      </c>
      <c r="AR57" s="262" t="e">
        <f>AR12+AR42</f>
        <v>#REF!</v>
      </c>
      <c r="AS57" s="262" t="e">
        <f>AS12+AS42</f>
        <v>#REF!</v>
      </c>
      <c r="AT57" s="238"/>
      <c r="AU57" s="238"/>
      <c r="AV57"/>
      <c r="AW57"/>
      <c r="AX57"/>
      <c r="AY57"/>
      <c r="AZ57"/>
      <c r="BA57"/>
      <c r="BB57"/>
      <c r="BC57" s="217"/>
      <c r="BD57" s="217"/>
      <c r="BE57" s="217"/>
      <c r="BF57" s="217"/>
    </row>
    <row r="58" spans="1:58" s="30" customFormat="1" ht="29.25" customHeight="1" thickBot="1" x14ac:dyDescent="0.25">
      <c r="A58" s="142"/>
      <c r="B58" s="29"/>
      <c r="C58" s="82"/>
      <c r="D58" s="83"/>
      <c r="E58" s="84"/>
      <c r="F58" s="85"/>
      <c r="G58" s="86" t="str">
        <f>IF(SUM(G57:H57)&gt;0,1,"")</f>
        <v/>
      </c>
      <c r="H58" s="87"/>
      <c r="I58" s="86" t="str">
        <f>IF(SUM(I57:J57)&gt;0,1,"")</f>
        <v/>
      </c>
      <c r="J58" s="87"/>
      <c r="K58" s="86" t="str">
        <f>IF(SUM(K57:L57)&gt;0,1,"")</f>
        <v/>
      </c>
      <c r="L58" s="87"/>
      <c r="M58" s="86" t="str">
        <f>IF(SUM(M57:N57)&gt;0,1,"")</f>
        <v/>
      </c>
      <c r="N58" s="88"/>
      <c r="P58" s="14"/>
      <c r="Q58" s="14"/>
      <c r="S58" s="89"/>
      <c r="T58" s="194"/>
      <c r="U58" s="195"/>
      <c r="V58" s="196"/>
      <c r="W58" s="207"/>
      <c r="X58" s="207"/>
      <c r="Y58" s="207"/>
      <c r="Z58" s="208"/>
      <c r="AA58" s="200"/>
      <c r="AB58" s="238"/>
      <c r="AC58" s="233"/>
      <c r="AD58" s="475" t="s">
        <v>125</v>
      </c>
      <c r="AE58" s="476"/>
      <c r="AF58" s="253" t="e">
        <f t="shared" ref="AF58:AF60" si="119">AF13+AF43</f>
        <v>#REF!</v>
      </c>
      <c r="AG58" s="253" t="e">
        <f t="shared" si="118"/>
        <v>#REF!</v>
      </c>
      <c r="AH58" s="293" t="e">
        <f t="shared" si="118"/>
        <v>#REF!</v>
      </c>
      <c r="AI58" s="253" t="e">
        <f t="shared" si="118"/>
        <v>#REF!</v>
      </c>
      <c r="AJ58" s="223"/>
      <c r="AK58" s="223"/>
      <c r="AL58" s="212"/>
      <c r="AM58" s="213"/>
      <c r="AN58" s="213"/>
      <c r="AO58" s="213"/>
      <c r="AP58" s="223"/>
      <c r="AQ58" s="223"/>
      <c r="AR58" s="253" t="e">
        <f t="shared" ref="AR58:AS60" si="120">AR13+AR43</f>
        <v>#REF!</v>
      </c>
      <c r="AS58" s="253" t="e">
        <f t="shared" si="120"/>
        <v>#REF!</v>
      </c>
      <c r="AT58" s="238"/>
      <c r="AU58" s="238"/>
      <c r="AV58" s="238"/>
      <c r="AW58" s="238"/>
      <c r="AX58" s="238"/>
      <c r="AY58" s="238"/>
      <c r="AZ58" s="238"/>
      <c r="BA58" s="238"/>
      <c r="BB58" s="238"/>
      <c r="BC58" s="217"/>
      <c r="BD58" s="217"/>
      <c r="BE58" s="217"/>
      <c r="BF58" s="217"/>
    </row>
    <row r="59" spans="1:58" s="30" customFormat="1" ht="29.25" customHeight="1" thickTop="1" x14ac:dyDescent="0.2">
      <c r="A59" s="142">
        <f>ROUND((ROW()-10)/2,0)</f>
        <v>25</v>
      </c>
      <c r="B59" s="29"/>
      <c r="C59" s="90" t="str">
        <f>IF(INDEX(設定!$C$9:$C$108,$A59,1)="","",INDEX(設定!$C$9:$C$108,$A59,1))</f>
        <v/>
      </c>
      <c r="D59" s="76" t="str">
        <f>IF(INDEX(設定!$D$9:$D$108,$A59,1)="","",INDEX(設定!$D$9:$D$108,$A59,1))</f>
        <v/>
      </c>
      <c r="E59" s="77" t="str">
        <f>IF(INDEX(設定!$E$9:$E$108,$A59,1)="","",INDEX(設定!$E$9:$E$108,$A59,1))</f>
        <v/>
      </c>
      <c r="F59" s="78" t="str">
        <f>IF(S59="","",IF(S59=1,"1：家族",IF(AND(S59&gt;=2,S59&lt;=5),"2：雇用","")))</f>
        <v/>
      </c>
      <c r="G59" s="141">
        <f>INT(INDEX(設定!$H$9:H$108,$A59,1))</f>
        <v>0</v>
      </c>
      <c r="H59" s="79" t="str">
        <f>IF(INDEX(設定!$H$9:$H$108,$A59,1)=0,"",ROUND(MOD(INDEX(設定!$H$9:$H$108,$A59,1),1)*60,0))</f>
        <v/>
      </c>
      <c r="I59" s="141">
        <f>INT(INDEX(設定!$I$9:$I$108,$A59,1))</f>
        <v>0</v>
      </c>
      <c r="J59" s="79" t="str">
        <f>IF(INDEX(設定!$I$9:$I$108,$A59,1)=0,"",ROUND(MOD(INDEX(設定!$I$9:$I$108,$A59,1),1)*60,0))</f>
        <v/>
      </c>
      <c r="K59" s="141">
        <f>INT(INDEX(設定!$J$9:$J$108,$A59,1))</f>
        <v>0</v>
      </c>
      <c r="L59" s="79" t="str">
        <f>IF(INDEX(設定!$J$9:$J$108,$A59,1)=0,"",ROUND(MOD(INDEX(設定!$J$9:$J$108,$A59,1),1)*60,0))</f>
        <v/>
      </c>
      <c r="M59" s="141">
        <f>INT(INDEX(設定!$K$9:$K$108,$A59,1))</f>
        <v>0</v>
      </c>
      <c r="N59" s="80" t="str">
        <f>IF(INDEX(設定!$K$9:$K$108,$A59,1)=0,"",ROUND(MOD(INDEX(設定!$K$9:$K$108,$A59,1),1)*60,0))</f>
        <v/>
      </c>
      <c r="P59" s="14"/>
      <c r="Q59" s="14"/>
      <c r="S59" s="91" t="str">
        <f>IF(INDEX(設定!$F$9:$F$108,$A59,1)="","",VALUE(LEFT(INDEX(設定!$F$9:$F$108,$A59,1),1)))</f>
        <v/>
      </c>
      <c r="T59" s="219" t="str">
        <f>IF(C59="","",C59)</f>
        <v/>
      </c>
      <c r="U59" s="220" t="str">
        <f>IF(D59="","",IF(D59="1：男",1,IF(D59="2：女",2)))</f>
        <v/>
      </c>
      <c r="V59" s="221" t="str">
        <f>IF(E59="","",E59)</f>
        <v/>
      </c>
      <c r="W59" s="197" t="str">
        <f t="shared" ref="W59" si="121">IF(AND(G59="",H59="",G60=""),"",ROUND(SUM(G59,H59/60)*G60,1))</f>
        <v/>
      </c>
      <c r="X59" s="198" t="str">
        <f t="shared" ref="X59" si="122">IF(AND(I59="",J59="",I60=""),"",ROUND(SUM(I59,J59/60)*I60,1))</f>
        <v/>
      </c>
      <c r="Y59" s="198" t="str">
        <f t="shared" ref="Y59" si="123">IF(AND(K59="",L59="",K60=""),"",ROUND(SUM(K59,L59/60)*K60,1))</f>
        <v/>
      </c>
      <c r="Z59" s="199" t="str">
        <f t="shared" ref="Z59" si="124">IF(AND(M59="",N59="",M60=""),"",ROUND(SUM(M59,N59/60)*M60,1))</f>
        <v/>
      </c>
      <c r="AA59" s="200"/>
      <c r="AB59" s="238"/>
      <c r="AC59" s="233"/>
      <c r="AD59" s="475" t="s">
        <v>126</v>
      </c>
      <c r="AE59" s="476"/>
      <c r="AF59" s="253" t="e">
        <f t="shared" si="119"/>
        <v>#REF!</v>
      </c>
      <c r="AG59" s="253" t="e">
        <f t="shared" si="118"/>
        <v>#REF!</v>
      </c>
      <c r="AH59" s="293" t="e">
        <f t="shared" si="118"/>
        <v>#REF!</v>
      </c>
      <c r="AI59" s="253" t="e">
        <f t="shared" si="118"/>
        <v>#REF!</v>
      </c>
      <c r="AJ59" s="223"/>
      <c r="AK59" s="223"/>
      <c r="AL59" s="212"/>
      <c r="AM59" s="213"/>
      <c r="AN59" s="213"/>
      <c r="AO59" s="213"/>
      <c r="AP59" s="223"/>
      <c r="AQ59" s="223"/>
      <c r="AR59" s="253" t="e">
        <f t="shared" si="120"/>
        <v>#REF!</v>
      </c>
      <c r="AS59" s="253">
        <f t="shared" si="120"/>
        <v>0</v>
      </c>
      <c r="AT59" s="238"/>
      <c r="AU59" s="238"/>
      <c r="AV59" s="238"/>
      <c r="AW59" s="238"/>
      <c r="AX59" s="238"/>
      <c r="AY59" s="238"/>
      <c r="AZ59" s="238"/>
      <c r="BA59" s="238"/>
      <c r="BB59" s="238"/>
      <c r="BC59" s="217"/>
      <c r="BD59" s="217"/>
      <c r="BE59" s="217"/>
      <c r="BF59" s="217"/>
    </row>
    <row r="60" spans="1:58" s="30" customFormat="1" ht="29.25" customHeight="1" thickBot="1" x14ac:dyDescent="0.25">
      <c r="A60" s="142"/>
      <c r="B60" s="29"/>
      <c r="C60" s="82"/>
      <c r="D60" s="83"/>
      <c r="E60" s="84"/>
      <c r="F60" s="85"/>
      <c r="G60" s="86" t="str">
        <f>IF(SUM(G59:H59)&gt;0,1,"")</f>
        <v/>
      </c>
      <c r="H60" s="87"/>
      <c r="I60" s="86" t="str">
        <f>IF(SUM(I59:J59)&gt;0,1,"")</f>
        <v/>
      </c>
      <c r="J60" s="87"/>
      <c r="K60" s="86" t="str">
        <f>IF(SUM(K59:L59)&gt;0,1,"")</f>
        <v/>
      </c>
      <c r="L60" s="87"/>
      <c r="M60" s="86" t="str">
        <f>IF(SUM(M59:N59)&gt;0,1,"")</f>
        <v/>
      </c>
      <c r="N60" s="88"/>
      <c r="P60" s="14"/>
      <c r="Q60" s="14"/>
      <c r="S60" s="89"/>
      <c r="T60" s="194"/>
      <c r="U60" s="195"/>
      <c r="V60" s="196"/>
      <c r="W60" s="207"/>
      <c r="X60" s="207"/>
      <c r="Y60" s="207"/>
      <c r="Z60" s="208"/>
      <c r="AA60" s="200"/>
      <c r="AB60" s="238"/>
      <c r="AC60" s="294"/>
      <c r="AD60" s="477" t="s">
        <v>15</v>
      </c>
      <c r="AE60" s="478"/>
      <c r="AF60" s="295" t="e">
        <f t="shared" si="119"/>
        <v>#REF!</v>
      </c>
      <c r="AG60" s="295" t="e">
        <f t="shared" si="118"/>
        <v>#REF!</v>
      </c>
      <c r="AH60" s="296" t="e">
        <f t="shared" si="118"/>
        <v>#REF!</v>
      </c>
      <c r="AI60" s="297" t="e">
        <f t="shared" si="118"/>
        <v>#REF!</v>
      </c>
      <c r="AJ60" s="298"/>
      <c r="AK60" s="298"/>
      <c r="AL60" s="299"/>
      <c r="AM60" s="300"/>
      <c r="AN60" s="300"/>
      <c r="AO60" s="300"/>
      <c r="AP60" s="298"/>
      <c r="AQ60" s="298"/>
      <c r="AR60" s="297" t="e">
        <f t="shared" si="120"/>
        <v>#REF!</v>
      </c>
      <c r="AS60" s="297" t="e">
        <f t="shared" si="120"/>
        <v>#REF!</v>
      </c>
      <c r="AT60" s="238"/>
      <c r="AU60" s="238"/>
      <c r="AV60"/>
      <c r="AW60"/>
      <c r="AX60"/>
      <c r="AY60"/>
      <c r="AZ60"/>
      <c r="BA60"/>
      <c r="BB60"/>
      <c r="BC60" s="217"/>
      <c r="BD60" s="217"/>
      <c r="BE60" s="217"/>
      <c r="BF60" s="217"/>
    </row>
    <row r="61" spans="1:58" s="30" customFormat="1" ht="29.25" customHeight="1" thickTop="1" thickBot="1" x14ac:dyDescent="0.25">
      <c r="A61" s="142">
        <f>ROUND((ROW()-10)/2,0)</f>
        <v>26</v>
      </c>
      <c r="B61" s="29"/>
      <c r="C61" s="90" t="str">
        <f>IF(INDEX(設定!$C$9:$C$108,$A61,1)="","",INDEX(設定!$C$9:$C$108,$A61,1))</f>
        <v/>
      </c>
      <c r="D61" s="76" t="str">
        <f>IF(INDEX(設定!$D$9:$D$108,$A61,1)="","",INDEX(設定!$D$9:$D$108,$A61,1))</f>
        <v/>
      </c>
      <c r="E61" s="77" t="str">
        <f>IF(INDEX(設定!$E$9:$E$108,$A61,1)="","",INDEX(設定!$E$9:$E$108,$A61,1))</f>
        <v/>
      </c>
      <c r="F61" s="78" t="str">
        <f>IF(S61="","",IF(S61=1,"1：家族",IF(AND(S61&gt;=2,S61&lt;=5),"2：雇用","")))</f>
        <v/>
      </c>
      <c r="G61" s="141">
        <f>INT(INDEX(設定!$H$9:H$108,$A61,1))</f>
        <v>0</v>
      </c>
      <c r="H61" s="79" t="str">
        <f>IF(INDEX(設定!$H$9:$H$108,$A61,1)=0,"",ROUND(MOD(INDEX(設定!$H$9:$H$108,$A61,1),1)*60,0))</f>
        <v/>
      </c>
      <c r="I61" s="141">
        <f>INT(INDEX(設定!$I$9:$I$108,$A61,1))</f>
        <v>0</v>
      </c>
      <c r="J61" s="79" t="str">
        <f>IF(INDEX(設定!$I$9:$I$108,$A61,1)=0,"",ROUND(MOD(INDEX(設定!$I$9:$I$108,$A61,1),1)*60,0))</f>
        <v/>
      </c>
      <c r="K61" s="141">
        <f>INT(INDEX(設定!$J$9:$J$108,$A61,1))</f>
        <v>0</v>
      </c>
      <c r="L61" s="79" t="str">
        <f>IF(INDEX(設定!$J$9:$J$108,$A61,1)=0,"",ROUND(MOD(INDEX(設定!$J$9:$J$108,$A61,1),1)*60,0))</f>
        <v/>
      </c>
      <c r="M61" s="141">
        <f>INT(INDEX(設定!$K$9:$K$108,$A61,1))</f>
        <v>0</v>
      </c>
      <c r="N61" s="80" t="str">
        <f>IF(INDEX(設定!$K$9:$K$108,$A61,1)=0,"",ROUND(MOD(INDEX(設定!$K$9:$K$108,$A61,1),1)*60,0))</f>
        <v/>
      </c>
      <c r="P61" s="14"/>
      <c r="Q61" s="14"/>
      <c r="S61" s="91" t="str">
        <f>IF(INDEX(設定!$F$9:$F$108,$A61,1)="","",VALUE(LEFT(INDEX(設定!$F$9:$F$108,$A61,1),1)))</f>
        <v/>
      </c>
      <c r="T61" s="219" t="str">
        <f>IF(C61="","",C61)</f>
        <v/>
      </c>
      <c r="U61" s="220" t="str">
        <f>IF(D61="","",IF(D61="1：男",1,IF(D61="2：女",2)))</f>
        <v/>
      </c>
      <c r="V61" s="221" t="str">
        <f>IF(E61="","",E61)</f>
        <v/>
      </c>
      <c r="W61" s="197" t="str">
        <f t="shared" ref="W61" si="125">IF(AND(G61="",H61="",G62=""),"",ROUND(SUM(G61,H61/60)*G62,1))</f>
        <v/>
      </c>
      <c r="X61" s="198" t="str">
        <f t="shared" ref="X61" si="126">IF(AND(I61="",J61="",I62=""),"",ROUND(SUM(I61,J61/60)*I62,1))</f>
        <v/>
      </c>
      <c r="Y61" s="198" t="str">
        <f t="shared" ref="Y61" si="127">IF(AND(K61="",L61="",K62=""),"",ROUND(SUM(K61,L61/60)*K62,1))</f>
        <v/>
      </c>
      <c r="Z61" s="199" t="str">
        <f t="shared" ref="Z61" si="128">IF(AND(M61="",N61="",M62=""),"",ROUND(SUM(M61,N61/60)*M62,1))</f>
        <v/>
      </c>
      <c r="AA61" s="200"/>
      <c r="AB61" s="238"/>
      <c r="AC61" s="467" t="s">
        <v>134</v>
      </c>
      <c r="AD61" s="468"/>
      <c r="AE61" s="469"/>
      <c r="AF61" s="301">
        <f>SUMIFS($Z$77:$Z$106,$S$77:$S$106,1,$U$77:$U$106,1)</f>
        <v>0</v>
      </c>
      <c r="AG61" s="258">
        <f>SUMIFS($Z$77:$Z$106,$S$77:$S$106,1,$U$77:$U$106,2)</f>
        <v>0</v>
      </c>
      <c r="AH61" s="302"/>
      <c r="AI61" s="302"/>
      <c r="AJ61" s="302"/>
      <c r="AK61" s="302"/>
      <c r="AL61" s="303"/>
      <c r="AM61" s="303"/>
      <c r="AN61" s="303"/>
      <c r="AO61" s="303"/>
      <c r="AP61" s="303"/>
      <c r="AQ61" s="303"/>
      <c r="AR61" s="303"/>
      <c r="AS61" s="303"/>
      <c r="AT61" s="238"/>
      <c r="AU61" s="238"/>
      <c r="AV61"/>
      <c r="AW61"/>
      <c r="AX61"/>
      <c r="AY61"/>
      <c r="AZ61"/>
      <c r="BA61"/>
      <c r="BB61"/>
      <c r="BC61" s="217"/>
      <c r="BD61" s="217"/>
      <c r="BE61" s="217"/>
      <c r="BF61" s="217"/>
    </row>
    <row r="62" spans="1:58" s="30" customFormat="1" ht="29.25" customHeight="1" thickBot="1" x14ac:dyDescent="0.25">
      <c r="A62" s="142"/>
      <c r="B62" s="29"/>
      <c r="C62" s="82"/>
      <c r="D62" s="83"/>
      <c r="E62" s="84"/>
      <c r="F62" s="85"/>
      <c r="G62" s="86" t="str">
        <f>IF(SUM(G61:H61)&gt;0,1,"")</f>
        <v/>
      </c>
      <c r="H62" s="87"/>
      <c r="I62" s="86" t="str">
        <f>IF(SUM(I61:J61)&gt;0,1,"")</f>
        <v/>
      </c>
      <c r="J62" s="87"/>
      <c r="K62" s="86" t="str">
        <f>IF(SUM(K61:L61)&gt;0,1,"")</f>
        <v/>
      </c>
      <c r="L62" s="87"/>
      <c r="M62" s="86" t="str">
        <f>IF(SUM(M61:N61)&gt;0,1,"")</f>
        <v/>
      </c>
      <c r="N62" s="88"/>
      <c r="P62" s="14"/>
      <c r="Q62" s="14"/>
      <c r="S62" s="89"/>
      <c r="T62" s="194"/>
      <c r="U62" s="195"/>
      <c r="V62" s="196"/>
      <c r="W62" s="207"/>
      <c r="X62" s="207"/>
      <c r="Y62" s="207"/>
      <c r="Z62" s="208"/>
      <c r="AA62" s="200"/>
      <c r="AB62" s="238"/>
      <c r="AC62" s="217"/>
      <c r="AD62" s="217"/>
      <c r="AE62" s="217"/>
      <c r="AF62" s="217"/>
      <c r="AG62" s="217"/>
      <c r="AH62" s="217"/>
      <c r="AI62" s="217"/>
      <c r="AJ62" s="217"/>
      <c r="AK62" s="217"/>
      <c r="AL62" s="217"/>
      <c r="AM62" s="217"/>
      <c r="AN62" s="217"/>
      <c r="AO62" s="217"/>
      <c r="AP62" s="217"/>
      <c r="AQ62" s="217"/>
      <c r="AR62" s="217"/>
      <c r="AS62" s="217"/>
      <c r="AT62" s="238"/>
      <c r="AU62" s="238"/>
      <c r="AV62" s="238"/>
      <c r="AW62" s="238"/>
      <c r="AX62" s="238"/>
      <c r="AY62" s="238"/>
      <c r="AZ62" s="238"/>
      <c r="BA62" s="238"/>
      <c r="BB62" s="238"/>
      <c r="BC62" s="217"/>
      <c r="BD62" s="217"/>
      <c r="BE62" s="217"/>
      <c r="BF62" s="217"/>
    </row>
    <row r="63" spans="1:58" ht="29.25" customHeight="1" thickTop="1" x14ac:dyDescent="0.2">
      <c r="A63" s="142">
        <f>ROUND((ROW()-10)/2,0)</f>
        <v>27</v>
      </c>
      <c r="B63" s="29"/>
      <c r="C63" s="90" t="str">
        <f>IF(INDEX(設定!$C$9:$C$108,$A63,1)="","",INDEX(設定!$C$9:$C$108,$A63,1))</f>
        <v/>
      </c>
      <c r="D63" s="76" t="str">
        <f>IF(INDEX(設定!$D$9:$D$108,$A63,1)="","",INDEX(設定!$D$9:$D$108,$A63,1))</f>
        <v/>
      </c>
      <c r="E63" s="77" t="str">
        <f>IF(INDEX(設定!$E$9:$E$108,$A63,1)="","",INDEX(設定!$E$9:$E$108,$A63,1))</f>
        <v/>
      </c>
      <c r="F63" s="78" t="str">
        <f>IF(S63="","",IF(S63=1,"1：家族",IF(AND(S63&gt;=2,S63&lt;=5),"2：雇用","")))</f>
        <v/>
      </c>
      <c r="G63" s="141">
        <f>INT(INDEX(設定!$H$9:H$108,$A63,1))</f>
        <v>0</v>
      </c>
      <c r="H63" s="79" t="str">
        <f>IF(INDEX(設定!$H$9:$H$108,$A63,1)=0,"",ROUND(MOD(INDEX(設定!$H$9:$H$108,$A63,1),1)*60,0))</f>
        <v/>
      </c>
      <c r="I63" s="141">
        <f>INT(INDEX(設定!$I$9:$I$108,$A63,1))</f>
        <v>0</v>
      </c>
      <c r="J63" s="79" t="str">
        <f>IF(INDEX(設定!$I$9:$I$108,$A63,1)=0,"",ROUND(MOD(INDEX(設定!$I$9:$I$108,$A63,1),1)*60,0))</f>
        <v/>
      </c>
      <c r="K63" s="141">
        <f>INT(INDEX(設定!$J$9:$J$108,$A63,1))</f>
        <v>0</v>
      </c>
      <c r="L63" s="79" t="str">
        <f>IF(INDEX(設定!$J$9:$J$108,$A63,1)=0,"",ROUND(MOD(INDEX(設定!$J$9:$J$108,$A63,1),1)*60,0))</f>
        <v/>
      </c>
      <c r="M63" s="141">
        <f>INT(INDEX(設定!$K$9:$K$108,$A63,1))</f>
        <v>0</v>
      </c>
      <c r="N63" s="80" t="str">
        <f>IF(INDEX(設定!$K$9:$K$108,$A63,1)=0,"",ROUND(MOD(INDEX(設定!$K$9:$K$108,$A63,1),1)*60,0))</f>
        <v/>
      </c>
      <c r="P63" s="14"/>
      <c r="Q63" s="14"/>
      <c r="S63" s="91" t="str">
        <f>IF(INDEX(設定!$F$9:$F$108,$A63,1)="","",VALUE(LEFT(INDEX(設定!$F$9:$F$108,$A63,1),1)))</f>
        <v/>
      </c>
      <c r="T63" s="219" t="str">
        <f>IF(C63="","",C63)</f>
        <v/>
      </c>
      <c r="U63" s="220" t="str">
        <f>IF(D63="","",IF(D63="1：男",1,IF(D63="2：女",2)))</f>
        <v/>
      </c>
      <c r="V63" s="221" t="str">
        <f>IF(E63="","",E63)</f>
        <v/>
      </c>
      <c r="W63" s="197" t="str">
        <f t="shared" ref="W63" si="129">IF(AND(G63="",H63="",G64=""),"",ROUND(SUM(G63,H63/60)*G64,1))</f>
        <v/>
      </c>
      <c r="X63" s="198" t="str">
        <f t="shared" ref="X63" si="130">IF(AND(I63="",J63="",I64=""),"",ROUND(SUM(I63,J63/60)*I64,1))</f>
        <v/>
      </c>
      <c r="Y63" s="198" t="str">
        <f t="shared" ref="Y63" si="131">IF(AND(K63="",L63="",K64=""),"",ROUND(SUM(K63,L63/60)*K64,1))</f>
        <v/>
      </c>
      <c r="Z63" s="199" t="str">
        <f t="shared" ref="Z63" si="132">IF(AND(M63="",N63="",M64=""),"",ROUND(SUM(M63,N63/60)*M64,1))</f>
        <v/>
      </c>
      <c r="AA63" s="200"/>
      <c r="AB63" s="238"/>
      <c r="AC63" s="217"/>
      <c r="AD63" s="217"/>
      <c r="AE63" s="217"/>
      <c r="AF63" s="217"/>
      <c r="AG63" s="217"/>
      <c r="AH63" s="217"/>
      <c r="AI63" s="217"/>
      <c r="AJ63" s="217"/>
      <c r="AK63" s="217"/>
      <c r="AL63" s="217"/>
      <c r="AM63" s="217"/>
      <c r="AN63" s="217"/>
      <c r="AO63" s="217"/>
      <c r="AP63" s="217"/>
      <c r="AQ63" s="217"/>
      <c r="AR63" s="217"/>
      <c r="AS63" s="217"/>
      <c r="AT63" s="238"/>
      <c r="AU63" s="238"/>
      <c r="AV63" s="238"/>
      <c r="AW63" s="238"/>
      <c r="AX63" s="238"/>
      <c r="AY63" s="238"/>
      <c r="AZ63" s="238"/>
      <c r="BA63" s="238"/>
      <c r="BB63" s="238"/>
      <c r="BC63" s="217"/>
      <c r="BD63" s="217"/>
      <c r="BE63" s="217"/>
      <c r="BF63" s="217"/>
    </row>
    <row r="64" spans="1:58" ht="29.25" customHeight="1" thickBot="1" x14ac:dyDescent="0.25">
      <c r="B64" s="29"/>
      <c r="C64" s="82"/>
      <c r="D64" s="83"/>
      <c r="E64" s="84"/>
      <c r="F64" s="85"/>
      <c r="G64" s="86" t="str">
        <f>IF(SUM(G63:H63)&gt;0,1,"")</f>
        <v/>
      </c>
      <c r="H64" s="87"/>
      <c r="I64" s="86" t="str">
        <f>IF(SUM(I63:J63)&gt;0,1,"")</f>
        <v/>
      </c>
      <c r="J64" s="87"/>
      <c r="K64" s="86" t="str">
        <f>IF(SUM(K63:L63)&gt;0,1,"")</f>
        <v/>
      </c>
      <c r="L64" s="87"/>
      <c r="M64" s="86" t="str">
        <f>IF(SUM(M63:N63)&gt;0,1,"")</f>
        <v/>
      </c>
      <c r="N64" s="88"/>
      <c r="P64" s="14"/>
      <c r="Q64" s="14"/>
      <c r="S64" s="89"/>
      <c r="T64" s="194"/>
      <c r="U64" s="195"/>
      <c r="V64" s="196"/>
      <c r="W64" s="207"/>
      <c r="X64" s="207"/>
      <c r="Y64" s="207"/>
      <c r="Z64" s="208"/>
      <c r="AA64" s="200"/>
      <c r="AB64" s="238"/>
      <c r="AC64" s="217"/>
      <c r="AD64" s="217"/>
      <c r="AE64" s="217"/>
      <c r="AF64" s="217"/>
      <c r="AG64" s="217"/>
      <c r="AH64" s="217"/>
      <c r="AI64" s="217"/>
      <c r="AJ64" s="217"/>
      <c r="AK64" s="217"/>
      <c r="AL64" s="217"/>
      <c r="AM64" s="217"/>
      <c r="AN64" s="217"/>
      <c r="AO64" s="217"/>
      <c r="AP64" s="217"/>
      <c r="AQ64" s="217"/>
      <c r="AR64" s="217"/>
      <c r="AS64" s="217"/>
      <c r="AT64" s="238"/>
      <c r="AU64" s="238"/>
      <c r="AV64" s="238"/>
      <c r="AW64" s="238"/>
      <c r="AX64" s="238"/>
      <c r="AY64" s="238"/>
      <c r="AZ64" s="238"/>
      <c r="BA64" s="238"/>
      <c r="BB64" s="238"/>
      <c r="BC64" s="217"/>
      <c r="BD64" s="217"/>
      <c r="BE64" s="217"/>
      <c r="BF64" s="217"/>
    </row>
    <row r="65" spans="1:58" ht="29.25" customHeight="1" thickTop="1" x14ac:dyDescent="0.2">
      <c r="A65" s="142">
        <f>ROUND((ROW()-10)/2,0)</f>
        <v>28</v>
      </c>
      <c r="B65" s="29"/>
      <c r="C65" s="90" t="str">
        <f>IF(INDEX(設定!$C$9:$C$108,$A65,1)="","",INDEX(設定!$C$9:$C$108,$A65,1))</f>
        <v/>
      </c>
      <c r="D65" s="76" t="str">
        <f>IF(INDEX(設定!$D$9:$D$108,$A65,1)="","",INDEX(設定!$D$9:$D$108,$A65,1))</f>
        <v/>
      </c>
      <c r="E65" s="77" t="str">
        <f>IF(INDEX(設定!$E$9:$E$108,$A65,1)="","",INDEX(設定!$E$9:$E$108,$A65,1))</f>
        <v/>
      </c>
      <c r="F65" s="78" t="str">
        <f>IF(S65="","",IF(S65=1,"1：家族",IF(AND(S65&gt;=2,S65&lt;=5),"2：雇用","")))</f>
        <v/>
      </c>
      <c r="G65" s="141">
        <f>INT(INDEX(設定!$H$9:H$108,$A65,1))</f>
        <v>0</v>
      </c>
      <c r="H65" s="79" t="str">
        <f>IF(INDEX(設定!$H$9:$H$108,$A65,1)=0,"",ROUND(MOD(INDEX(設定!$H$9:$H$108,$A65,1),1)*60,0))</f>
        <v/>
      </c>
      <c r="I65" s="141">
        <f>INT(INDEX(設定!$I$9:$I$108,$A65,1))</f>
        <v>0</v>
      </c>
      <c r="J65" s="79" t="str">
        <f>IF(INDEX(設定!$I$9:$I$108,$A65,1)=0,"",ROUND(MOD(INDEX(設定!$I$9:$I$108,$A65,1),1)*60,0))</f>
        <v/>
      </c>
      <c r="K65" s="141">
        <f>INT(INDEX(設定!$J$9:$J$108,$A65,1))</f>
        <v>0</v>
      </c>
      <c r="L65" s="79" t="str">
        <f>IF(INDEX(設定!$J$9:$J$108,$A65,1)=0,"",ROUND(MOD(INDEX(設定!$J$9:$J$108,$A65,1),1)*60,0))</f>
        <v/>
      </c>
      <c r="M65" s="141">
        <f>INT(INDEX(設定!$K$9:$K$108,$A65,1))</f>
        <v>0</v>
      </c>
      <c r="N65" s="80" t="str">
        <f>IF(INDEX(設定!$K$9:$K$108,$A65,1)=0,"",ROUND(MOD(INDEX(設定!$K$9:$K$108,$A65,1),1)*60,0))</f>
        <v/>
      </c>
      <c r="P65" s="14"/>
      <c r="Q65" s="14"/>
      <c r="S65" s="91" t="str">
        <f>IF(INDEX(設定!$F$9:$F$108,$A65,1)="","",VALUE(LEFT(INDEX(設定!$F$9:$F$108,$A65,1),1)))</f>
        <v/>
      </c>
      <c r="T65" s="219" t="str">
        <f>IF(C65="","",C65)</f>
        <v/>
      </c>
      <c r="U65" s="220" t="str">
        <f>IF(D65="","",IF(D65="1：男",1,IF(D65="2：女",2)))</f>
        <v/>
      </c>
      <c r="V65" s="221" t="str">
        <f>IF(E65="","",E65)</f>
        <v/>
      </c>
      <c r="W65" s="197" t="str">
        <f t="shared" ref="W65" si="133">IF(AND(G65="",H65="",G66=""),"",ROUND(SUM(G65,H65/60)*G66,1))</f>
        <v/>
      </c>
      <c r="X65" s="198" t="str">
        <f t="shared" ref="X65" si="134">IF(AND(I65="",J65="",I66=""),"",ROUND(SUM(I65,J65/60)*I66,1))</f>
        <v/>
      </c>
      <c r="Y65" s="198" t="str">
        <f t="shared" ref="Y65" si="135">IF(AND(K65="",L65="",K66=""),"",ROUND(SUM(K65,L65/60)*K66,1))</f>
        <v/>
      </c>
      <c r="Z65" s="199" t="str">
        <f t="shared" ref="Z65" si="136">IF(AND(M65="",N65="",M66=""),"",ROUND(SUM(M65,N65/60)*M66,1))</f>
        <v/>
      </c>
      <c r="AA65" s="200"/>
      <c r="AB65" s="238"/>
      <c r="AC65" s="217"/>
      <c r="AD65" s="217"/>
      <c r="AE65" s="217"/>
      <c r="AF65" s="217"/>
      <c r="AG65" s="217"/>
      <c r="AH65" s="217"/>
      <c r="AI65" s="217"/>
      <c r="AJ65" s="217"/>
      <c r="AK65" s="217"/>
      <c r="AL65" s="217"/>
      <c r="AM65" s="217"/>
      <c r="AN65" s="217"/>
      <c r="AO65" s="217"/>
      <c r="AP65" s="217"/>
      <c r="AQ65" s="217"/>
      <c r="AR65" s="217"/>
      <c r="AS65" s="217"/>
      <c r="AT65" s="238"/>
      <c r="AU65" s="238"/>
      <c r="AV65" s="238"/>
      <c r="AW65" s="238"/>
      <c r="AX65" s="238"/>
      <c r="AY65" s="238"/>
      <c r="AZ65" s="238"/>
      <c r="BA65" s="238"/>
      <c r="BB65" s="238"/>
      <c r="BC65" s="217"/>
      <c r="BD65" s="217"/>
      <c r="BE65" s="217"/>
      <c r="BF65" s="217"/>
    </row>
    <row r="66" spans="1:58" ht="29.25" customHeight="1" thickBot="1" x14ac:dyDescent="0.25">
      <c r="B66" s="29"/>
      <c r="C66" s="82"/>
      <c r="D66" s="83"/>
      <c r="E66" s="84"/>
      <c r="F66" s="85"/>
      <c r="G66" s="86" t="str">
        <f>IF(SUM(G65:H65)&gt;0,1,"")</f>
        <v/>
      </c>
      <c r="H66" s="87"/>
      <c r="I66" s="86" t="str">
        <f>IF(SUM(I65:J65)&gt;0,1,"")</f>
        <v/>
      </c>
      <c r="J66" s="87"/>
      <c r="K66" s="86" t="str">
        <f>IF(SUM(K65:L65)&gt;0,1,"")</f>
        <v/>
      </c>
      <c r="L66" s="87"/>
      <c r="M66" s="86" t="str">
        <f>IF(SUM(M65:N65)&gt;0,1,"")</f>
        <v/>
      </c>
      <c r="N66" s="88"/>
      <c r="P66" s="14"/>
      <c r="Q66" s="14"/>
      <c r="S66" s="89"/>
      <c r="T66" s="194"/>
      <c r="U66" s="195"/>
      <c r="V66" s="196"/>
      <c r="W66" s="207"/>
      <c r="X66" s="207"/>
      <c r="Y66" s="207"/>
      <c r="Z66" s="208"/>
      <c r="AA66" s="200"/>
      <c r="AB66" s="238"/>
      <c r="AC66" s="217"/>
      <c r="AD66" s="217"/>
      <c r="AE66" s="217"/>
      <c r="AF66" s="217"/>
      <c r="AG66" s="217"/>
      <c r="AH66" s="217"/>
      <c r="AI66" s="217"/>
      <c r="AJ66" s="217"/>
      <c r="AK66" s="217"/>
      <c r="AL66" s="217"/>
      <c r="AM66" s="217"/>
      <c r="AN66" s="217"/>
      <c r="AO66" s="217"/>
      <c r="AP66" s="217"/>
      <c r="AQ66" s="217"/>
      <c r="AR66" s="217"/>
      <c r="AS66" s="217"/>
      <c r="AT66" s="238"/>
      <c r="AU66" s="238"/>
      <c r="AV66" s="238"/>
      <c r="AW66" s="238"/>
      <c r="AX66" s="238"/>
      <c r="AY66" s="238"/>
      <c r="AZ66" s="238"/>
      <c r="BA66" s="238"/>
      <c r="BB66" s="238"/>
      <c r="BC66" s="1"/>
      <c r="BD66" s="1"/>
      <c r="BE66" s="1"/>
      <c r="BF66" s="1"/>
    </row>
    <row r="67" spans="1:58" ht="29.25" customHeight="1" thickTop="1" x14ac:dyDescent="0.2">
      <c r="A67" s="142">
        <f>ROUND((ROW()-10)/2,0)</f>
        <v>29</v>
      </c>
      <c r="B67" s="29"/>
      <c r="C67" s="90" t="str">
        <f>IF(INDEX(設定!$C$9:$C$108,$A67,1)="","",INDEX(設定!$C$9:$C$108,$A67,1))</f>
        <v/>
      </c>
      <c r="D67" s="76" t="str">
        <f>IF(INDEX(設定!$D$9:$D$108,$A67,1)="","",INDEX(設定!$D$9:$D$108,$A67,1))</f>
        <v/>
      </c>
      <c r="E67" s="77" t="str">
        <f>IF(INDEX(設定!$E$9:$E$108,$A67,1)="","",INDEX(設定!$E$9:$E$108,$A67,1))</f>
        <v/>
      </c>
      <c r="F67" s="78" t="str">
        <f>IF(S67="","",IF(S67=1,"1：家族",IF(AND(S67&gt;=2,S67&lt;=5),"2：雇用","")))</f>
        <v/>
      </c>
      <c r="G67" s="141">
        <f>INT(INDEX(設定!$H$9:H$108,$A67,1))</f>
        <v>0</v>
      </c>
      <c r="H67" s="79" t="str">
        <f>IF(INDEX(設定!$H$9:$H$108,$A67,1)=0,"",ROUND(MOD(INDEX(設定!$H$9:$H$108,$A67,1),1)*60,0))</f>
        <v/>
      </c>
      <c r="I67" s="141">
        <f>INT(INDEX(設定!$I$9:$I$108,$A67,1))</f>
        <v>0</v>
      </c>
      <c r="J67" s="79" t="str">
        <f>IF(INDEX(設定!$I$9:$I$108,$A67,1)=0,"",ROUND(MOD(INDEX(設定!$I$9:$I$108,$A67,1),1)*60,0))</f>
        <v/>
      </c>
      <c r="K67" s="141">
        <f>INT(INDEX(設定!$J$9:$J$108,$A67,1))</f>
        <v>0</v>
      </c>
      <c r="L67" s="79" t="str">
        <f>IF(INDEX(設定!$J$9:$J$108,$A67,1)=0,"",ROUND(MOD(INDEX(設定!$J$9:$J$108,$A67,1),1)*60,0))</f>
        <v/>
      </c>
      <c r="M67" s="141">
        <f>INT(INDEX(設定!$K$9:$K$108,$A67,1))</f>
        <v>0</v>
      </c>
      <c r="N67" s="80" t="str">
        <f>IF(INDEX(設定!$K$9:$K$108,$A67,1)=0,"",ROUND(MOD(INDEX(設定!$K$9:$K$108,$A67,1),1)*60,0))</f>
        <v/>
      </c>
      <c r="P67" s="14"/>
      <c r="Q67" s="14"/>
      <c r="S67" s="91" t="str">
        <f>IF(INDEX(設定!$F$9:$F$108,$A67,1)="","",VALUE(LEFT(INDEX(設定!$F$9:$F$108,$A67,1),1)))</f>
        <v/>
      </c>
      <c r="T67" s="219" t="str">
        <f>IF(C67="","",C67)</f>
        <v/>
      </c>
      <c r="U67" s="220" t="str">
        <f>IF(D67="","",IF(D67="1：男",1,IF(D67="2：女",2)))</f>
        <v/>
      </c>
      <c r="V67" s="221" t="str">
        <f>IF(E67="","",E67)</f>
        <v/>
      </c>
      <c r="W67" s="197" t="str">
        <f t="shared" ref="W67" si="137">IF(AND(G67="",H67="",G68=""),"",ROUND(SUM(G67,H67/60)*G68,1))</f>
        <v/>
      </c>
      <c r="X67" s="198" t="str">
        <f t="shared" ref="X67" si="138">IF(AND(I67="",J67="",I68=""),"",ROUND(SUM(I67,J67/60)*I68,1))</f>
        <v/>
      </c>
      <c r="Y67" s="198" t="str">
        <f t="shared" ref="Y67" si="139">IF(AND(K67="",L67="",K68=""),"",ROUND(SUM(K67,L67/60)*K68,1))</f>
        <v/>
      </c>
      <c r="Z67" s="199" t="str">
        <f t="shared" ref="Z67" si="140">IF(AND(M67="",N67="",M68=""),"",ROUND(SUM(M67,N67/60)*M68,1))</f>
        <v/>
      </c>
      <c r="AA67" s="200"/>
      <c r="AB67" s="238"/>
      <c r="AC67" s="217"/>
      <c r="AD67" s="217"/>
      <c r="AE67" s="217"/>
      <c r="AF67" s="217"/>
      <c r="AG67" s="217"/>
      <c r="AH67" s="217"/>
      <c r="AI67" s="217"/>
      <c r="AJ67" s="217"/>
      <c r="AK67" s="217"/>
      <c r="AL67" s="217"/>
      <c r="AM67" s="217"/>
      <c r="AN67" s="217"/>
      <c r="AO67" s="217"/>
      <c r="AP67" s="217"/>
      <c r="AQ67" s="217"/>
      <c r="AR67" s="217"/>
      <c r="AS67" s="217"/>
      <c r="AT67" s="238"/>
      <c r="AU67" s="238"/>
      <c r="AV67" s="238"/>
      <c r="AW67" s="238"/>
      <c r="AX67" s="238"/>
      <c r="AY67" s="238"/>
      <c r="AZ67" s="238"/>
      <c r="BA67" s="238"/>
      <c r="BB67" s="238"/>
      <c r="BC67" s="217"/>
      <c r="BD67" s="217"/>
      <c r="BE67" s="217"/>
      <c r="BF67" s="217"/>
    </row>
    <row r="68" spans="1:58" ht="29.25" customHeight="1" thickBot="1" x14ac:dyDescent="0.25">
      <c r="B68" s="29"/>
      <c r="C68" s="82"/>
      <c r="D68" s="83"/>
      <c r="E68" s="84"/>
      <c r="F68" s="85"/>
      <c r="G68" s="86" t="str">
        <f>IF(SUM(G67:H67)&gt;0,1,"")</f>
        <v/>
      </c>
      <c r="H68" s="87"/>
      <c r="I68" s="86" t="str">
        <f>IF(SUM(I67:J67)&gt;0,1,"")</f>
        <v/>
      </c>
      <c r="J68" s="87"/>
      <c r="K68" s="86" t="str">
        <f>IF(SUM(K67:L67)&gt;0,1,"")</f>
        <v/>
      </c>
      <c r="L68" s="87"/>
      <c r="M68" s="86" t="str">
        <f>IF(SUM(M67:N67)&gt;0,1,"")</f>
        <v/>
      </c>
      <c r="N68" s="88"/>
      <c r="P68" s="14"/>
      <c r="Q68" s="14"/>
      <c r="S68" s="89"/>
      <c r="T68" s="194"/>
      <c r="U68" s="195"/>
      <c r="V68" s="196"/>
      <c r="W68" s="207"/>
      <c r="X68" s="207"/>
      <c r="Y68" s="207"/>
      <c r="Z68" s="208"/>
      <c r="AA68" s="200"/>
      <c r="AB68" s="238"/>
      <c r="AC68" s="217"/>
      <c r="AD68" s="217"/>
      <c r="AE68" s="217"/>
      <c r="AF68" s="217"/>
      <c r="AG68" s="217"/>
      <c r="AH68" s="217"/>
      <c r="AI68" s="217"/>
      <c r="AJ68" s="217"/>
      <c r="AK68" s="217"/>
      <c r="AL68" s="217"/>
      <c r="AM68" s="217"/>
      <c r="AN68" s="217"/>
      <c r="AO68" s="217"/>
      <c r="AP68" s="217"/>
      <c r="AQ68" s="217"/>
      <c r="AR68" s="217"/>
      <c r="AS68" s="217"/>
      <c r="AT68" s="238"/>
      <c r="AU68" s="238"/>
      <c r="AV68" s="238"/>
      <c r="AW68" s="238"/>
      <c r="AX68" s="238"/>
      <c r="AY68" s="238"/>
      <c r="AZ68" s="238"/>
      <c r="BA68" s="238"/>
      <c r="BB68" s="238"/>
      <c r="BC68" s="217"/>
      <c r="BD68" s="217"/>
      <c r="BE68" s="217"/>
      <c r="BF68" s="217"/>
    </row>
    <row r="69" spans="1:58" ht="29.25" customHeight="1" thickTop="1" x14ac:dyDescent="0.2">
      <c r="A69" s="142">
        <f>ROUND((ROW()-10)/2,0)</f>
        <v>30</v>
      </c>
      <c r="B69" s="29"/>
      <c r="C69" s="90" t="str">
        <f>IF(INDEX(設定!$C$9:$C$108,$A69,1)="","",INDEX(設定!$C$9:$C$108,$A69,1))</f>
        <v/>
      </c>
      <c r="D69" s="146" t="str">
        <f>IF(INDEX(設定!$D$9:$D$108,$A69,1)="","",INDEX(設定!$D$9:$D$108,$A69,1))</f>
        <v/>
      </c>
      <c r="E69" s="77" t="str">
        <f>IF(INDEX(設定!$E$9:$E$108,$A69,1)="","",INDEX(設定!$E$9:$E$108,$A69,1))</f>
        <v/>
      </c>
      <c r="F69" s="78" t="str">
        <f>IF(S69="","",IF(S69=1,"1：家族",IF(AND(S69&gt;=2,S69&lt;=5),"2：雇用","")))</f>
        <v/>
      </c>
      <c r="G69" s="141">
        <f>INT(INDEX(設定!$H$9:H$108,$A69,1))</f>
        <v>0</v>
      </c>
      <c r="H69" s="79" t="str">
        <f>IF(INDEX(設定!$H$9:$H$108,$A69,1)=0,"",ROUND(MOD(INDEX(設定!$H$9:$H$108,$A69,1),1)*60,0))</f>
        <v/>
      </c>
      <c r="I69" s="141">
        <f>INT(INDEX(設定!$I$9:$I$108,$A69,1))</f>
        <v>0</v>
      </c>
      <c r="J69" s="79" t="str">
        <f>IF(INDEX(設定!$I$9:$I$108,$A69,1)=0,"",ROUND(MOD(INDEX(設定!$I$9:$I$108,$A69,1),1)*60,0))</f>
        <v/>
      </c>
      <c r="K69" s="141">
        <f>INT(INDEX(設定!$J$9:$J$108,$A69,1))</f>
        <v>0</v>
      </c>
      <c r="L69" s="79" t="str">
        <f>IF(INDEX(設定!$J$9:$J$108,$A69,1)=0,"",ROUND(MOD(INDEX(設定!$J$9:$J$108,$A69,1),1)*60,0))</f>
        <v/>
      </c>
      <c r="M69" s="141">
        <f>INT(INDEX(設定!$K$9:$K$108,$A69,1))</f>
        <v>0</v>
      </c>
      <c r="N69" s="80" t="str">
        <f>IF(INDEX(設定!$K$9:$K$108,$A69,1)=0,"",ROUND(MOD(INDEX(設定!$K$9:$K$108,$A69,1),1)*60,0))</f>
        <v/>
      </c>
      <c r="P69" s="14"/>
      <c r="Q69" s="14"/>
      <c r="S69" s="91" t="str">
        <f>IF(INDEX(設定!$F$9:$F$108,$A69,1)="","",VALUE(LEFT(INDEX(設定!$F$9:$F$108,$A69,1),1)))</f>
        <v/>
      </c>
      <c r="T69" s="219" t="str">
        <f>IF(C69="","",C69)</f>
        <v/>
      </c>
      <c r="U69" s="220" t="str">
        <f>IF(D69="","",IF(D69="1：男",1,IF(D69="2：女",2)))</f>
        <v/>
      </c>
      <c r="V69" s="221" t="str">
        <f>IF(E69="","",E69)</f>
        <v/>
      </c>
      <c r="W69" s="197" t="str">
        <f t="shared" ref="W69" si="141">IF(AND(G69="",H69="",G70=""),"",ROUND(SUM(G69,H69/60)*G70,1))</f>
        <v/>
      </c>
      <c r="X69" s="198" t="str">
        <f t="shared" ref="X69" si="142">IF(AND(I69="",J69="",I70=""),"",ROUND(SUM(I69,J69/60)*I70,1))</f>
        <v/>
      </c>
      <c r="Y69" s="198" t="str">
        <f t="shared" ref="Y69" si="143">IF(AND(K69="",L69="",K70=""),"",ROUND(SUM(K69,L69/60)*K70,1))</f>
        <v/>
      </c>
      <c r="Z69" s="199" t="str">
        <f t="shared" ref="Z69" si="144">IF(AND(M69="",N69="",M70=""),"",ROUND(SUM(M69,N69/60)*M70,1))</f>
        <v/>
      </c>
      <c r="AA69" s="200"/>
      <c r="AB69" s="238"/>
      <c r="AC69" s="217"/>
      <c r="AD69" s="217"/>
      <c r="AE69" s="217"/>
      <c r="AF69" s="217"/>
      <c r="AG69" s="217"/>
      <c r="AH69" s="217"/>
      <c r="AI69" s="217"/>
      <c r="AJ69" s="217"/>
      <c r="AK69" s="217"/>
      <c r="AL69" s="217"/>
      <c r="AM69" s="217"/>
      <c r="AN69" s="217"/>
      <c r="AO69" s="217"/>
      <c r="AP69" s="217"/>
      <c r="AQ69" s="217"/>
      <c r="AR69" s="217"/>
      <c r="AS69" s="217"/>
      <c r="AT69" s="238"/>
      <c r="AU69" s="238"/>
      <c r="AV69" s="238"/>
      <c r="AW69" s="238"/>
      <c r="AX69" s="238"/>
      <c r="AY69" s="238"/>
      <c r="AZ69" s="238"/>
      <c r="BA69" s="238"/>
      <c r="BB69" s="238"/>
      <c r="BC69" s="217"/>
      <c r="BD69" s="217"/>
      <c r="BE69" s="217"/>
      <c r="BF69" s="217"/>
    </row>
    <row r="70" spans="1:58" s="30" customFormat="1" ht="29.25" customHeight="1" thickBot="1" x14ac:dyDescent="0.25">
      <c r="A70" s="142"/>
      <c r="B70" s="29"/>
      <c r="C70" s="92"/>
      <c r="D70" s="147"/>
      <c r="E70" s="148"/>
      <c r="F70" s="149"/>
      <c r="G70" s="150" t="str">
        <f>IF(SUM(G69:H69)&gt;0,1,"")</f>
        <v/>
      </c>
      <c r="H70" s="151"/>
      <c r="I70" s="150" t="str">
        <f>IF(SUM(I69:J69)&gt;0,1,"")</f>
        <v/>
      </c>
      <c r="J70" s="151"/>
      <c r="K70" s="150" t="str">
        <f>IF(SUM(K69:L69)&gt;0,1,"")</f>
        <v/>
      </c>
      <c r="L70" s="151"/>
      <c r="M70" s="150" t="str">
        <f>IF(SUM(M69:N69)&gt;0,1,"")</f>
        <v/>
      </c>
      <c r="N70" s="152"/>
      <c r="P70" s="14"/>
      <c r="Q70" s="14"/>
      <c r="S70" s="93"/>
      <c r="T70" s="250"/>
      <c r="U70" s="251"/>
      <c r="V70" s="252"/>
      <c r="W70" s="207"/>
      <c r="X70" s="207"/>
      <c r="Y70" s="207"/>
      <c r="Z70" s="208"/>
      <c r="AA70" s="200"/>
      <c r="AB70" s="238"/>
      <c r="AC70" s="217"/>
      <c r="AD70" s="217"/>
      <c r="AE70" s="217"/>
      <c r="AF70" s="217"/>
      <c r="AG70" s="217"/>
      <c r="AH70" s="217"/>
      <c r="AI70" s="217"/>
      <c r="AJ70" s="217"/>
      <c r="AK70" s="217"/>
      <c r="AL70" s="217"/>
      <c r="AM70" s="217"/>
      <c r="AN70" s="217"/>
      <c r="AO70" s="217"/>
      <c r="AP70" s="217"/>
      <c r="AQ70" s="217"/>
      <c r="AR70" s="217"/>
      <c r="AS70" s="217"/>
      <c r="AT70" s="238"/>
      <c r="AU70" s="238"/>
      <c r="AV70" s="238"/>
      <c r="AW70" s="238"/>
      <c r="AX70" s="238"/>
      <c r="AY70" s="238"/>
      <c r="AZ70" s="238"/>
      <c r="BA70" s="238"/>
      <c r="BB70" s="238"/>
      <c r="BC70" s="217"/>
      <c r="BD70" s="217"/>
      <c r="BE70" s="217"/>
      <c r="BF70" s="217"/>
    </row>
    <row r="71" spans="1:58" s="25" customFormat="1" ht="27" customHeight="1" x14ac:dyDescent="0.2">
      <c r="A71" s="144"/>
      <c r="B71" s="95"/>
      <c r="C71" s="74"/>
      <c r="D71" s="74"/>
      <c r="E71" s="96"/>
      <c r="F71" s="74"/>
      <c r="G71" s="97"/>
      <c r="H71" s="97"/>
      <c r="I71" s="97"/>
      <c r="J71" s="97"/>
      <c r="K71" s="97"/>
      <c r="L71" s="97"/>
      <c r="M71" s="97"/>
      <c r="N71" s="97"/>
      <c r="P71" s="14"/>
      <c r="Q71" s="14"/>
      <c r="S71" s="98"/>
      <c r="T71" s="68"/>
      <c r="U71" s="98"/>
      <c r="V71" s="98"/>
      <c r="W71" s="99"/>
      <c r="X71" s="99"/>
      <c r="Y71" s="99"/>
      <c r="Z71" s="99"/>
      <c r="AA71" s="99"/>
      <c r="AB71" s="99"/>
      <c r="AC71" s="99"/>
      <c r="AD71" s="99"/>
      <c r="AE71" s="158"/>
      <c r="AF71" s="156"/>
      <c r="AG71" s="156"/>
      <c r="AH71" s="156"/>
      <c r="AI71" s="156"/>
      <c r="AJ71" s="156"/>
      <c r="AK71" s="156"/>
      <c r="AL71" s="156"/>
      <c r="AM71" s="156"/>
      <c r="AN71" s="156"/>
      <c r="AO71" s="156"/>
      <c r="AP71" s="156"/>
      <c r="AQ71" s="156"/>
      <c r="AR71" s="156"/>
      <c r="AS71" s="156"/>
      <c r="AT71" s="153"/>
      <c r="AU71" s="153"/>
      <c r="AV71" s="153"/>
      <c r="AW71" s="99"/>
      <c r="AX71" s="158"/>
      <c r="AY71" s="157"/>
      <c r="AZ71" s="157"/>
      <c r="BA71" s="157"/>
      <c r="BB71" s="157"/>
      <c r="BC71" s="157"/>
      <c r="BD71" s="157"/>
      <c r="BE71" s="157"/>
      <c r="BF71" s="157"/>
    </row>
    <row r="72" spans="1:58" ht="27" customHeight="1" x14ac:dyDescent="0.15">
      <c r="B72" s="337" t="s">
        <v>148</v>
      </c>
      <c r="C72" s="336"/>
      <c r="P72" s="14"/>
      <c r="Q72" s="14"/>
      <c r="AC72" s="99"/>
      <c r="AD72" s="99"/>
      <c r="AE72" s="158"/>
      <c r="AF72" s="156"/>
      <c r="AG72" s="156"/>
      <c r="AH72" s="156"/>
      <c r="AI72" s="156"/>
      <c r="AJ72" s="159"/>
      <c r="AK72" s="159"/>
      <c r="AL72" s="156"/>
      <c r="AM72" s="156"/>
      <c r="AN72" s="156"/>
      <c r="AO72" s="156"/>
      <c r="AP72" s="153"/>
      <c r="AQ72" s="153"/>
      <c r="AR72" s="156"/>
      <c r="AS72" s="156"/>
      <c r="AV72" s="153"/>
      <c r="AW72" s="99"/>
      <c r="AX72" s="158"/>
      <c r="AY72" s="157"/>
      <c r="AZ72" s="157"/>
      <c r="BA72" s="157"/>
      <c r="BB72" s="157"/>
      <c r="BC72" s="157"/>
      <c r="BD72" s="157"/>
      <c r="BE72" s="157"/>
      <c r="BF72" s="157"/>
    </row>
    <row r="73" spans="1:58" ht="27" customHeight="1" x14ac:dyDescent="0.15"/>
    <row r="74" spans="1:58" ht="27" customHeight="1" thickBot="1" x14ac:dyDescent="0.2">
      <c r="A74" s="145"/>
      <c r="B74" s="16"/>
      <c r="C74" s="100"/>
      <c r="D74" s="15"/>
      <c r="E74" s="15"/>
      <c r="F74" s="15"/>
      <c r="G74" s="15"/>
      <c r="H74" s="15"/>
      <c r="I74" s="15"/>
      <c r="J74" s="15"/>
      <c r="K74" s="15"/>
      <c r="L74" s="15"/>
      <c r="M74" s="15"/>
      <c r="N74" s="15"/>
      <c r="P74" s="14"/>
      <c r="Q74" s="14"/>
      <c r="S74" s="563" t="s">
        <v>32</v>
      </c>
      <c r="T74" s="535" t="s">
        <v>6</v>
      </c>
      <c r="U74" s="514" t="s">
        <v>109</v>
      </c>
      <c r="V74" s="538" t="s">
        <v>8</v>
      </c>
      <c r="W74" s="495" t="s">
        <v>135</v>
      </c>
      <c r="X74" s="550" t="s">
        <v>129</v>
      </c>
      <c r="Y74" s="550"/>
      <c r="Z74" s="514" t="s">
        <v>136</v>
      </c>
    </row>
    <row r="75" spans="1:58" ht="27" customHeight="1" x14ac:dyDescent="0.15">
      <c r="A75" s="145"/>
      <c r="B75" s="29"/>
      <c r="C75" s="551" t="s">
        <v>6</v>
      </c>
      <c r="D75" s="553" t="s">
        <v>7</v>
      </c>
      <c r="E75" s="523" t="s">
        <v>8</v>
      </c>
      <c r="F75" s="555" t="s">
        <v>9</v>
      </c>
      <c r="G75" s="557" t="s">
        <v>33</v>
      </c>
      <c r="H75" s="559" t="s">
        <v>34</v>
      </c>
      <c r="I75" s="559" t="s">
        <v>35</v>
      </c>
      <c r="J75" s="559" t="s">
        <v>36</v>
      </c>
      <c r="K75" s="559" t="s">
        <v>37</v>
      </c>
      <c r="L75" s="559" t="s">
        <v>38</v>
      </c>
      <c r="M75" s="561" t="s">
        <v>39</v>
      </c>
      <c r="N75" s="74"/>
      <c r="P75" s="14"/>
      <c r="Q75" s="14"/>
      <c r="S75" s="564"/>
      <c r="T75" s="536"/>
      <c r="U75" s="515"/>
      <c r="V75" s="539"/>
      <c r="W75" s="498"/>
      <c r="X75" s="514" t="s">
        <v>137</v>
      </c>
      <c r="Y75" s="547" t="s">
        <v>138</v>
      </c>
      <c r="Z75" s="515"/>
    </row>
    <row r="76" spans="1:58" ht="27" customHeight="1" thickBot="1" x14ac:dyDescent="0.2">
      <c r="A76" s="145"/>
      <c r="B76" s="29"/>
      <c r="C76" s="552"/>
      <c r="D76" s="554"/>
      <c r="E76" s="524"/>
      <c r="F76" s="556"/>
      <c r="G76" s="558"/>
      <c r="H76" s="560"/>
      <c r="I76" s="560"/>
      <c r="J76" s="560"/>
      <c r="K76" s="560"/>
      <c r="L76" s="560"/>
      <c r="M76" s="562"/>
      <c r="N76" s="74"/>
      <c r="P76" s="14"/>
      <c r="Q76" s="14"/>
      <c r="S76" s="564"/>
      <c r="T76" s="537"/>
      <c r="U76" s="516"/>
      <c r="V76" s="540"/>
      <c r="W76" s="501"/>
      <c r="X76" s="516"/>
      <c r="Y76" s="549"/>
      <c r="Z76" s="516"/>
      <c r="BC76" s="160"/>
      <c r="BD76" s="160"/>
      <c r="BE76" s="160"/>
      <c r="BF76" s="160"/>
    </row>
    <row r="77" spans="1:58" ht="30" customHeight="1" thickTop="1" x14ac:dyDescent="0.2">
      <c r="A77" s="145">
        <v>1</v>
      </c>
      <c r="B77" s="29"/>
      <c r="C77" s="101" t="str">
        <f>IF(INDEX(設定!$C$9:$C$108,$A77,1)="","",INDEX(設定!$C$9:$C$108,$A77,1))</f>
        <v/>
      </c>
      <c r="D77" s="102" t="str">
        <f>IF(INDEX(設定!$D$9:$D$108,$A77,1)="","",INDEX(設定!$D$9:$D$108,$A77,1))</f>
        <v/>
      </c>
      <c r="E77" s="103" t="str">
        <f>IF(INDEX(設定!$E$9:$E$108,$A77,1)="","",INDEX(設定!$E$9:$E$108,$A77,1))</f>
        <v/>
      </c>
      <c r="F77" s="104" t="str">
        <f>IF(S77="","",IF(S77=1,"1：家族",IF(AND(S77&gt;=2,S77&lt;=5),"2：雇用","")))</f>
        <v/>
      </c>
      <c r="G77" s="426" t="str">
        <f>IF(INDEX(設定!L$9:L$108,$A77,1)=0,"",ROUND(INDEX(設定!L$9:L$108,$A77,1),1))</f>
        <v/>
      </c>
      <c r="H77" s="426" t="str">
        <f>IF(INDEX(設定!M$9:M$108,$A77,1)=0,"",ROUND(INDEX(設定!M$9:M$108,$A77,1),1))</f>
        <v/>
      </c>
      <c r="I77" s="426" t="str">
        <f>IF(INDEX(設定!N$9:N$108,$A77,1)=0,"",ROUND(INDEX(設定!N$9:N$108,$A77,1),1))</f>
        <v/>
      </c>
      <c r="J77" s="426" t="str">
        <f>IF(INDEX(設定!O$9:O$108,$A77,1)=0,"",ROUND(INDEX(設定!O$9:O$108,$A77,1),1))</f>
        <v/>
      </c>
      <c r="K77" s="426" t="str">
        <f>IF(INDEX(設定!P$9:P$108,$A77,1)=0,"",ROUND(INDEX(設定!P$9:P$108,$A77,1),1))</f>
        <v/>
      </c>
      <c r="L77" s="426" t="str">
        <f>IF(INDEX(設定!Q$9:Q$108,$A77,1)=0,"",ROUND(INDEX(設定!Q$9:Q$108,$A77,1),1))</f>
        <v/>
      </c>
      <c r="M77" s="427" t="str">
        <f>IF(INDEX(設定!R$9:R$108,$A77,1)=0,"",ROUND(INDEX(設定!R$9:R$108,$A77,1),1))</f>
        <v/>
      </c>
      <c r="N77" s="74"/>
      <c r="P77" s="14"/>
      <c r="Q77" s="14"/>
      <c r="S77" s="105" t="str">
        <f>IF(INDEX(設定!$F$9:$F$108,$A77,1)="","",VALUE(LEFT(INDEX(設定!$F$9:$F$108,$A77,1),1)))</f>
        <v/>
      </c>
      <c r="T77" s="194" t="str">
        <f>IF(C77="","",C77)</f>
        <v/>
      </c>
      <c r="U77" s="308" t="str">
        <f>IF(D77="","",IF(D77="1：男",1,IF(D77="2：女",2)))</f>
        <v/>
      </c>
      <c r="V77" s="264" t="str">
        <f>IF(E77="","",E77)</f>
        <v/>
      </c>
      <c r="W77" s="432">
        <f>SUM(J77:L77)</f>
        <v>0</v>
      </c>
      <c r="X77" s="433" t="str">
        <f>G77</f>
        <v/>
      </c>
      <c r="Y77" s="433">
        <f>SUM(H77:I77)</f>
        <v>0</v>
      </c>
      <c r="Z77" s="433" t="str">
        <f>M77</f>
        <v/>
      </c>
    </row>
    <row r="78" spans="1:58" ht="30" customHeight="1" x14ac:dyDescent="0.2">
      <c r="A78" s="145">
        <v>2</v>
      </c>
      <c r="B78" s="29"/>
      <c r="C78" s="106" t="str">
        <f>IF(INDEX(設定!$C$9:$C$108,$A78,1)="","",INDEX(設定!$C$9:$C$108,$A78,1))</f>
        <v/>
      </c>
      <c r="D78" s="107" t="str">
        <f>IF(INDEX(設定!$D$9:$D$108,$A78,1)="","",INDEX(設定!$D$9:$D$108,$A78,1))</f>
        <v/>
      </c>
      <c r="E78" s="108" t="str">
        <f>IF(INDEX(設定!$E$9:$E$108,$A78,1)="","",INDEX(設定!$E$9:$E$108,$A78,1))</f>
        <v/>
      </c>
      <c r="F78" s="109" t="str">
        <f>IF(S78="","",IF(S78=1,"1：家族",IF(AND(S78&gt;=2,S78&lt;=5),"2：雇用","")))</f>
        <v/>
      </c>
      <c r="G78" s="428" t="str">
        <f>IF(INDEX(設定!L$9:L$108,$A78,1)=0,"",ROUND(INDEX(設定!L$9:L$108,$A78,1),1))</f>
        <v/>
      </c>
      <c r="H78" s="428" t="str">
        <f>IF(INDEX(設定!M$9:M$108,$A78,1)=0,"",ROUND(INDEX(設定!M$9:M$108,$A78,1),1))</f>
        <v/>
      </c>
      <c r="I78" s="428" t="str">
        <f>IF(INDEX(設定!N$9:N$108,$A78,1)=0,"",ROUND(INDEX(設定!N$9:N$108,$A78,1),1))</f>
        <v/>
      </c>
      <c r="J78" s="428" t="str">
        <f>IF(INDEX(設定!O$9:O$108,$A78,1)=0,"",ROUND(INDEX(設定!O$9:O$108,$A78,1),1))</f>
        <v/>
      </c>
      <c r="K78" s="428" t="str">
        <f>IF(INDEX(設定!P$9:P$108,$A78,1)=0,"",ROUND(INDEX(設定!P$9:P$108,$A78,1),1))</f>
        <v/>
      </c>
      <c r="L78" s="428" t="str">
        <f>IF(INDEX(設定!Q$9:Q$108,$A78,1)=0,"",ROUND(INDEX(設定!Q$9:Q$108,$A78,1),1))</f>
        <v/>
      </c>
      <c r="M78" s="429" t="str">
        <f>IF(INDEX(設定!R$9:R$108,$A78,1)=0,"",ROUND(INDEX(設定!R$9:R$108,$A78,1),1))</f>
        <v/>
      </c>
      <c r="N78" s="74"/>
      <c r="P78" s="14"/>
      <c r="Q78" s="14"/>
      <c r="S78" s="110" t="str">
        <f>IF(INDEX(設定!$F$9:$F$108,$A78,1)="","",VALUE(LEFT(INDEX(設定!$F$9:$F$108,$A78,1),1)))</f>
        <v/>
      </c>
      <c r="T78" s="219" t="str">
        <f>IF(C78="","",C78)</f>
        <v/>
      </c>
      <c r="U78" s="188" t="str">
        <f>IF(D78="","",IF(D78="1：男",1,IF(D78="2：女",2)))</f>
        <v/>
      </c>
      <c r="V78" s="309" t="str">
        <f>IF(E78="","",E78)</f>
        <v/>
      </c>
      <c r="W78" s="432">
        <f t="shared" ref="W78:W106" si="145">SUM(J78:L78)</f>
        <v>0</v>
      </c>
      <c r="X78" s="433" t="str">
        <f t="shared" ref="X78:X106" si="146">G78</f>
        <v/>
      </c>
      <c r="Y78" s="433">
        <f t="shared" ref="Y78:Y106" si="147">SUM(H78:I78)</f>
        <v>0</v>
      </c>
      <c r="Z78" s="433" t="str">
        <f t="shared" ref="Z78:Z106" si="148">M78</f>
        <v/>
      </c>
    </row>
    <row r="79" spans="1:58" ht="30" customHeight="1" x14ac:dyDescent="0.2">
      <c r="A79" s="145">
        <v>3</v>
      </c>
      <c r="B79" s="29"/>
      <c r="C79" s="106" t="str">
        <f>IF(INDEX(設定!$C$9:$C$108,$A79,1)="","",INDEX(設定!$C$9:$C$108,$A79,1))</f>
        <v/>
      </c>
      <c r="D79" s="107" t="str">
        <f>IF(INDEX(設定!$D$9:$D$108,$A79,1)="","",INDEX(設定!$D$9:$D$108,$A79,1))</f>
        <v/>
      </c>
      <c r="E79" s="108" t="str">
        <f>IF(INDEX(設定!$E$9:$E$108,$A79,1)="","",INDEX(設定!$E$9:$E$108,$A79,1))</f>
        <v/>
      </c>
      <c r="F79" s="109" t="str">
        <f t="shared" ref="F79:F106" si="149">IF(S79="","",IF(S79=1,"1：家族",IF(AND(S79&gt;=2,S79&lt;=5),"2：雇用","")))</f>
        <v/>
      </c>
      <c r="G79" s="428" t="str">
        <f>IF(INDEX(設定!L$9:L$108,$A79,1)=0,"",ROUND(INDEX(設定!L$9:L$108,$A79,1),1))</f>
        <v/>
      </c>
      <c r="H79" s="428" t="str">
        <f>IF(INDEX(設定!M$9:M$108,$A79,1)=0,"",ROUND(INDEX(設定!M$9:M$108,$A79,1),1))</f>
        <v/>
      </c>
      <c r="I79" s="428" t="str">
        <f>IF(INDEX(設定!N$9:N$108,$A79,1)=0,"",ROUND(INDEX(設定!N$9:N$108,$A79,1),1))</f>
        <v/>
      </c>
      <c r="J79" s="428" t="str">
        <f>IF(INDEX(設定!O$9:O$108,$A79,1)=0,"",ROUND(INDEX(設定!O$9:O$108,$A79,1),1))</f>
        <v/>
      </c>
      <c r="K79" s="428" t="str">
        <f>IF(INDEX(設定!P$9:P$108,$A79,1)=0,"",ROUND(INDEX(設定!P$9:P$108,$A79,1),1))</f>
        <v/>
      </c>
      <c r="L79" s="428" t="str">
        <f>IF(INDEX(設定!Q$9:Q$108,$A79,1)=0,"",ROUND(INDEX(設定!Q$9:Q$108,$A79,1),1))</f>
        <v/>
      </c>
      <c r="M79" s="429" t="str">
        <f>IF(INDEX(設定!R$9:R$108,$A79,1)=0,"",ROUND(INDEX(設定!R$9:R$108,$A79,1),1))</f>
        <v/>
      </c>
      <c r="N79" s="74"/>
      <c r="P79" s="14"/>
      <c r="Q79" s="14"/>
      <c r="S79" s="110" t="str">
        <f>IF(INDEX(設定!$F$9:$F$108,$A79,1)="","",VALUE(LEFT(INDEX(設定!$F$9:$F$108,$A79,1),1)))</f>
        <v/>
      </c>
      <c r="T79" s="219" t="str">
        <f>IF(C79="","",C79)</f>
        <v/>
      </c>
      <c r="U79" s="188" t="str">
        <f>IF(D79="","",IF(D79="1：男",1,IF(D79="2：女",2)))</f>
        <v/>
      </c>
      <c r="V79" s="309" t="str">
        <f>IF(E79="","",E79)</f>
        <v/>
      </c>
      <c r="W79" s="432">
        <f t="shared" si="145"/>
        <v>0</v>
      </c>
      <c r="X79" s="433" t="str">
        <f t="shared" si="146"/>
        <v/>
      </c>
      <c r="Y79" s="433">
        <f t="shared" si="147"/>
        <v>0</v>
      </c>
      <c r="Z79" s="433" t="str">
        <f t="shared" si="148"/>
        <v/>
      </c>
    </row>
    <row r="80" spans="1:58" ht="30" customHeight="1" x14ac:dyDescent="0.2">
      <c r="A80" s="145">
        <v>4</v>
      </c>
      <c r="B80" s="29"/>
      <c r="C80" s="106" t="str">
        <f>IF(INDEX(設定!$C$9:$C$108,$A80,1)="","",INDEX(設定!$C$9:$C$108,$A80,1))</f>
        <v/>
      </c>
      <c r="D80" s="107" t="str">
        <f>IF(INDEX(設定!$D$9:$D$108,$A80,1)="","",INDEX(設定!$D$9:$D$108,$A80,1))</f>
        <v/>
      </c>
      <c r="E80" s="108" t="str">
        <f>IF(INDEX(設定!$E$9:$E$108,$A80,1)="","",INDEX(設定!$E$9:$E$108,$A80,1))</f>
        <v/>
      </c>
      <c r="F80" s="109" t="str">
        <f t="shared" si="149"/>
        <v/>
      </c>
      <c r="G80" s="428" t="str">
        <f>IF(INDEX(設定!L$9:L$108,$A80,1)=0,"",ROUND(INDEX(設定!L$9:L$108,$A80,1),1))</f>
        <v/>
      </c>
      <c r="H80" s="428" t="str">
        <f>IF(INDEX(設定!M$9:M$108,$A80,1)=0,"",ROUND(INDEX(設定!M$9:M$108,$A80,1),1))</f>
        <v/>
      </c>
      <c r="I80" s="428" t="str">
        <f>IF(INDEX(設定!N$9:N$108,$A80,1)=0,"",ROUND(INDEX(設定!N$9:N$108,$A80,1),1))</f>
        <v/>
      </c>
      <c r="J80" s="428" t="str">
        <f>IF(INDEX(設定!O$9:O$108,$A80,1)=0,"",ROUND(INDEX(設定!O$9:O$108,$A80,1),1))</f>
        <v/>
      </c>
      <c r="K80" s="428" t="str">
        <f>IF(INDEX(設定!P$9:P$108,$A80,1)=0,"",ROUND(INDEX(設定!P$9:P$108,$A80,1),1))</f>
        <v/>
      </c>
      <c r="L80" s="428" t="str">
        <f>IF(INDEX(設定!Q$9:Q$108,$A80,1)=0,"",ROUND(INDEX(設定!Q$9:Q$108,$A80,1),1))</f>
        <v/>
      </c>
      <c r="M80" s="429" t="str">
        <f>IF(INDEX(設定!R$9:R$108,$A80,1)=0,"",ROUND(INDEX(設定!R$9:R$108,$A80,1),1))</f>
        <v/>
      </c>
      <c r="N80" s="74"/>
      <c r="P80" s="14"/>
      <c r="Q80" s="14"/>
      <c r="S80" s="110" t="str">
        <f>IF(INDEX(設定!$F$9:$F$108,$A80,1)="","",VALUE(LEFT(INDEX(設定!$F$9:$F$108,$A80,1),1)))</f>
        <v/>
      </c>
      <c r="T80" s="219" t="str">
        <f t="shared" ref="T80:T83" si="150">IF(C80="","",C80)</f>
        <v/>
      </c>
      <c r="U80" s="188" t="str">
        <f t="shared" ref="U80:U83" si="151">IF(D80="","",IF(D80="1：男",1,IF(D80="2：女",2)))</f>
        <v/>
      </c>
      <c r="V80" s="309" t="str">
        <f t="shared" ref="V80:V83" si="152">IF(E80="","",E80)</f>
        <v/>
      </c>
      <c r="W80" s="432">
        <f t="shared" si="145"/>
        <v>0</v>
      </c>
      <c r="X80" s="433" t="str">
        <f t="shared" si="146"/>
        <v/>
      </c>
      <c r="Y80" s="433">
        <f t="shared" si="147"/>
        <v>0</v>
      </c>
      <c r="Z80" s="433" t="str">
        <f t="shared" si="148"/>
        <v/>
      </c>
    </row>
    <row r="81" spans="1:26" ht="30" customHeight="1" x14ac:dyDescent="0.2">
      <c r="A81" s="145">
        <v>5</v>
      </c>
      <c r="B81" s="29"/>
      <c r="C81" s="106" t="str">
        <f>IF(INDEX(設定!$C$9:$C$108,$A81,1)="","",INDEX(設定!$C$9:$C$108,$A81,1))</f>
        <v/>
      </c>
      <c r="D81" s="107" t="str">
        <f>IF(INDEX(設定!$D$9:$D$108,$A81,1)="","",INDEX(設定!$D$9:$D$108,$A81,1))</f>
        <v/>
      </c>
      <c r="E81" s="108" t="str">
        <f>IF(INDEX(設定!$E$9:$E$108,$A81,1)="","",INDEX(設定!$E$9:$E$108,$A81,1))</f>
        <v/>
      </c>
      <c r="F81" s="109" t="str">
        <f t="shared" si="149"/>
        <v/>
      </c>
      <c r="G81" s="428" t="str">
        <f>IF(INDEX(設定!L$9:L$108,$A81,1)=0,"",ROUND(INDEX(設定!L$9:L$108,$A81,1),1))</f>
        <v/>
      </c>
      <c r="H81" s="428" t="str">
        <f>IF(INDEX(設定!M$9:M$108,$A81,1)=0,"",ROUND(INDEX(設定!M$9:M$108,$A81,1),1))</f>
        <v/>
      </c>
      <c r="I81" s="428" t="str">
        <f>IF(INDEX(設定!N$9:N$108,$A81,1)=0,"",ROUND(INDEX(設定!N$9:N$108,$A81,1),1))</f>
        <v/>
      </c>
      <c r="J81" s="428" t="str">
        <f>IF(INDEX(設定!O$9:O$108,$A81,1)=0,"",ROUND(INDEX(設定!O$9:O$108,$A81,1),1))</f>
        <v/>
      </c>
      <c r="K81" s="428" t="str">
        <f>IF(INDEX(設定!P$9:P$108,$A81,1)=0,"",ROUND(INDEX(設定!P$9:P$108,$A81,1),1))</f>
        <v/>
      </c>
      <c r="L81" s="428" t="str">
        <f>IF(INDEX(設定!Q$9:Q$108,$A81,1)=0,"",ROUND(INDEX(設定!Q$9:Q$108,$A81,1),1))</f>
        <v/>
      </c>
      <c r="M81" s="429" t="str">
        <f>IF(INDEX(設定!R$9:R$108,$A81,1)=0,"",ROUND(INDEX(設定!R$9:R$108,$A81,1),1))</f>
        <v/>
      </c>
      <c r="N81" s="74"/>
      <c r="P81" s="14"/>
      <c r="Q81" s="14"/>
      <c r="S81" s="110" t="str">
        <f>IF(INDEX(設定!$F$9:$F$108,$A81,1)="","",VALUE(LEFT(INDEX(設定!$F$9:$F$108,$A81,1),1)))</f>
        <v/>
      </c>
      <c r="T81" s="219" t="str">
        <f t="shared" si="150"/>
        <v/>
      </c>
      <c r="U81" s="188" t="str">
        <f t="shared" si="151"/>
        <v/>
      </c>
      <c r="V81" s="309" t="str">
        <f t="shared" si="152"/>
        <v/>
      </c>
      <c r="W81" s="432">
        <f t="shared" si="145"/>
        <v>0</v>
      </c>
      <c r="X81" s="433" t="str">
        <f t="shared" si="146"/>
        <v/>
      </c>
      <c r="Y81" s="433">
        <f t="shared" si="147"/>
        <v>0</v>
      </c>
      <c r="Z81" s="433" t="str">
        <f t="shared" si="148"/>
        <v/>
      </c>
    </row>
    <row r="82" spans="1:26" ht="30" customHeight="1" x14ac:dyDescent="0.2">
      <c r="A82" s="145">
        <v>6</v>
      </c>
      <c r="B82" s="29"/>
      <c r="C82" s="106" t="str">
        <f>IF(INDEX(設定!$C$9:$C$108,$A82,1)="","",INDEX(設定!$C$9:$C$108,$A82,1))</f>
        <v/>
      </c>
      <c r="D82" s="107" t="str">
        <f>IF(INDEX(設定!$D$9:$D$108,$A82,1)="","",INDEX(設定!$D$9:$D$108,$A82,1))</f>
        <v/>
      </c>
      <c r="E82" s="108" t="str">
        <f>IF(INDEX(設定!$E$9:$E$108,$A82,1)="","",INDEX(設定!$E$9:$E$108,$A82,1))</f>
        <v/>
      </c>
      <c r="F82" s="109" t="str">
        <f t="shared" si="149"/>
        <v/>
      </c>
      <c r="G82" s="428" t="str">
        <f>IF(INDEX(設定!L$9:L$108,$A82,1)=0,"",ROUND(INDEX(設定!L$9:L$108,$A82,1),1))</f>
        <v/>
      </c>
      <c r="H82" s="428" t="str">
        <f>IF(INDEX(設定!M$9:M$108,$A82,1)=0,"",ROUND(INDEX(設定!M$9:M$108,$A82,1),1))</f>
        <v/>
      </c>
      <c r="I82" s="428" t="str">
        <f>IF(INDEX(設定!N$9:N$108,$A82,1)=0,"",ROUND(INDEX(設定!N$9:N$108,$A82,1),1))</f>
        <v/>
      </c>
      <c r="J82" s="428" t="str">
        <f>IF(INDEX(設定!O$9:O$108,$A82,1)=0,"",ROUND(INDEX(設定!O$9:O$108,$A82,1),1))</f>
        <v/>
      </c>
      <c r="K82" s="428" t="str">
        <f>IF(INDEX(設定!P$9:P$108,$A82,1)=0,"",ROUND(INDEX(設定!P$9:P$108,$A82,1),1))</f>
        <v/>
      </c>
      <c r="L82" s="428" t="str">
        <f>IF(INDEX(設定!Q$9:Q$108,$A82,1)=0,"",ROUND(INDEX(設定!Q$9:Q$108,$A82,1),1))</f>
        <v/>
      </c>
      <c r="M82" s="429" t="str">
        <f>IF(INDEX(設定!R$9:R$108,$A82,1)=0,"",ROUND(INDEX(設定!R$9:R$108,$A82,1),1))</f>
        <v/>
      </c>
      <c r="N82" s="74"/>
      <c r="P82" s="14"/>
      <c r="Q82" s="14"/>
      <c r="S82" s="110" t="str">
        <f>IF(INDEX(設定!$F$9:$F$108,$A82,1)="","",VALUE(LEFT(INDEX(設定!$F$9:$F$108,$A82,1),1)))</f>
        <v/>
      </c>
      <c r="T82" s="219" t="str">
        <f t="shared" si="150"/>
        <v/>
      </c>
      <c r="U82" s="188" t="str">
        <f t="shared" si="151"/>
        <v/>
      </c>
      <c r="V82" s="309" t="str">
        <f t="shared" si="152"/>
        <v/>
      </c>
      <c r="W82" s="432">
        <f t="shared" si="145"/>
        <v>0</v>
      </c>
      <c r="X82" s="433" t="str">
        <f t="shared" si="146"/>
        <v/>
      </c>
      <c r="Y82" s="433">
        <f t="shared" si="147"/>
        <v>0</v>
      </c>
      <c r="Z82" s="433" t="str">
        <f t="shared" si="148"/>
        <v/>
      </c>
    </row>
    <row r="83" spans="1:26" ht="30" customHeight="1" x14ac:dyDescent="0.2">
      <c r="A83" s="145">
        <v>7</v>
      </c>
      <c r="B83" s="29"/>
      <c r="C83" s="106" t="str">
        <f>IF(INDEX(設定!$C$9:$C$108,$A83,1)="","",INDEX(設定!$C$9:$C$108,$A83,1))</f>
        <v/>
      </c>
      <c r="D83" s="107" t="str">
        <f>IF(INDEX(設定!$D$9:$D$108,$A83,1)="","",INDEX(設定!$D$9:$D$108,$A83,1))</f>
        <v/>
      </c>
      <c r="E83" s="108" t="str">
        <f>IF(INDEX(設定!$E$9:$E$108,$A83,1)="","",INDEX(設定!$E$9:$E$108,$A83,1))</f>
        <v/>
      </c>
      <c r="F83" s="109" t="str">
        <f t="shared" si="149"/>
        <v/>
      </c>
      <c r="G83" s="428" t="str">
        <f>IF(INDEX(設定!L$9:L$108,$A83,1)=0,"",ROUND(INDEX(設定!L$9:L$108,$A83,1),1))</f>
        <v/>
      </c>
      <c r="H83" s="428" t="str">
        <f>IF(INDEX(設定!M$9:M$108,$A83,1)=0,"",ROUND(INDEX(設定!M$9:M$108,$A83,1),1))</f>
        <v/>
      </c>
      <c r="I83" s="428" t="str">
        <f>IF(INDEX(設定!N$9:N$108,$A83,1)=0,"",ROUND(INDEX(設定!N$9:N$108,$A83,1),1))</f>
        <v/>
      </c>
      <c r="J83" s="428" t="str">
        <f>IF(INDEX(設定!O$9:O$108,$A83,1)=0,"",ROUND(INDEX(設定!O$9:O$108,$A83,1),1))</f>
        <v/>
      </c>
      <c r="K83" s="428" t="str">
        <f>IF(INDEX(設定!P$9:P$108,$A83,1)=0,"",ROUND(INDEX(設定!P$9:P$108,$A83,1),1))</f>
        <v/>
      </c>
      <c r="L83" s="428" t="str">
        <f>IF(INDEX(設定!Q$9:Q$108,$A83,1)=0,"",ROUND(INDEX(設定!Q$9:Q$108,$A83,1),1))</f>
        <v/>
      </c>
      <c r="M83" s="429" t="str">
        <f>IF(INDEX(設定!R$9:R$108,$A83,1)=0,"",ROUND(INDEX(設定!R$9:R$108,$A83,1),1))</f>
        <v/>
      </c>
      <c r="N83" s="74"/>
      <c r="P83" s="14"/>
      <c r="Q83" s="14"/>
      <c r="S83" s="110" t="str">
        <f>IF(INDEX(設定!$F$9:$F$108,$A83,1)="","",VALUE(LEFT(INDEX(設定!$F$9:$F$108,$A83,1),1)))</f>
        <v/>
      </c>
      <c r="T83" s="219" t="str">
        <f t="shared" si="150"/>
        <v/>
      </c>
      <c r="U83" s="188" t="str">
        <f t="shared" si="151"/>
        <v/>
      </c>
      <c r="V83" s="309" t="str">
        <f t="shared" si="152"/>
        <v/>
      </c>
      <c r="W83" s="432">
        <f t="shared" si="145"/>
        <v>0</v>
      </c>
      <c r="X83" s="433" t="str">
        <f t="shared" si="146"/>
        <v/>
      </c>
      <c r="Y83" s="433">
        <f t="shared" si="147"/>
        <v>0</v>
      </c>
      <c r="Z83" s="433" t="str">
        <f t="shared" si="148"/>
        <v/>
      </c>
    </row>
    <row r="84" spans="1:26" ht="30" customHeight="1" x14ac:dyDescent="0.2">
      <c r="A84" s="145">
        <v>8</v>
      </c>
      <c r="B84" s="29"/>
      <c r="C84" s="106" t="str">
        <f>IF(INDEX(設定!$C$9:$C$108,$A84,1)="","",INDEX(設定!$C$9:$C$108,$A84,1))</f>
        <v/>
      </c>
      <c r="D84" s="107" t="str">
        <f>IF(INDEX(設定!$D$9:$D$108,$A84,1)="","",INDEX(設定!$D$9:$D$108,$A84,1))</f>
        <v/>
      </c>
      <c r="E84" s="108" t="str">
        <f>IF(INDEX(設定!$E$9:$E$108,$A84,1)="","",INDEX(設定!$E$9:$E$108,$A84,1))</f>
        <v/>
      </c>
      <c r="F84" s="109" t="str">
        <f t="shared" si="149"/>
        <v/>
      </c>
      <c r="G84" s="428" t="str">
        <f>IF(INDEX(設定!L$9:L$108,$A84,1)=0,"",ROUND(INDEX(設定!L$9:L$108,$A84,1),1))</f>
        <v/>
      </c>
      <c r="H84" s="428" t="str">
        <f>IF(INDEX(設定!M$9:M$108,$A84,1)=0,"",ROUND(INDEX(設定!M$9:M$108,$A84,1),1))</f>
        <v/>
      </c>
      <c r="I84" s="428" t="str">
        <f>IF(INDEX(設定!N$9:N$108,$A84,1)=0,"",ROUND(INDEX(設定!N$9:N$108,$A84,1),1))</f>
        <v/>
      </c>
      <c r="J84" s="428" t="str">
        <f>IF(INDEX(設定!O$9:O$108,$A84,1)=0,"",ROUND(INDEX(設定!O$9:O$108,$A84,1),1))</f>
        <v/>
      </c>
      <c r="K84" s="428" t="str">
        <f>IF(INDEX(設定!P$9:P$108,$A84,1)=0,"",ROUND(INDEX(設定!P$9:P$108,$A84,1),1))</f>
        <v/>
      </c>
      <c r="L84" s="428" t="str">
        <f>IF(INDEX(設定!Q$9:Q$108,$A84,1)=0,"",ROUND(INDEX(設定!Q$9:Q$108,$A84,1),1))</f>
        <v/>
      </c>
      <c r="M84" s="429" t="str">
        <f>IF(INDEX(設定!R$9:R$108,$A84,1)=0,"",ROUND(INDEX(設定!R$9:R$108,$A84,1),1))</f>
        <v/>
      </c>
      <c r="N84" s="74"/>
      <c r="P84" s="14"/>
      <c r="Q84" s="14"/>
      <c r="S84" s="110" t="str">
        <f>IF(INDEX(設定!$F$9:$F$108,$A84,1)="","",VALUE(LEFT(INDEX(設定!$F$9:$F$108,$A84,1),1)))</f>
        <v/>
      </c>
      <c r="T84" s="204" t="str">
        <f>IF(C84="","",C84)</f>
        <v/>
      </c>
      <c r="U84" s="187" t="str">
        <f>IF(D84="","",IF(D84="1：男",1,IF(D84="2：女",2)))</f>
        <v/>
      </c>
      <c r="V84" s="310" t="str">
        <f>IF(E84="","",E84)</f>
        <v/>
      </c>
      <c r="W84" s="432">
        <f t="shared" si="145"/>
        <v>0</v>
      </c>
      <c r="X84" s="433" t="str">
        <f t="shared" si="146"/>
        <v/>
      </c>
      <c r="Y84" s="433">
        <f t="shared" si="147"/>
        <v>0</v>
      </c>
      <c r="Z84" s="433" t="str">
        <f t="shared" si="148"/>
        <v/>
      </c>
    </row>
    <row r="85" spans="1:26" ht="30" customHeight="1" x14ac:dyDescent="0.2">
      <c r="A85" s="145">
        <v>9</v>
      </c>
      <c r="B85" s="29"/>
      <c r="C85" s="106" t="str">
        <f>IF(INDEX(設定!$C$9:$C$108,$A85,1)="","",INDEX(設定!$C$9:$C$108,$A85,1))</f>
        <v/>
      </c>
      <c r="D85" s="107" t="str">
        <f>IF(INDEX(設定!$D$9:$D$108,$A85,1)="","",INDEX(設定!$D$9:$D$108,$A85,1))</f>
        <v/>
      </c>
      <c r="E85" s="108" t="str">
        <f>IF(INDEX(設定!$E$9:$E$108,$A85,1)="","",INDEX(設定!$E$9:$E$108,$A85,1))</f>
        <v/>
      </c>
      <c r="F85" s="109" t="str">
        <f t="shared" si="149"/>
        <v/>
      </c>
      <c r="G85" s="428" t="str">
        <f>IF(INDEX(設定!L$9:L$108,$A85,1)=0,"",ROUND(INDEX(設定!L$9:L$108,$A85,1),1))</f>
        <v/>
      </c>
      <c r="H85" s="428" t="str">
        <f>IF(INDEX(設定!M$9:M$108,$A85,1)=0,"",ROUND(INDEX(設定!M$9:M$108,$A85,1),1))</f>
        <v/>
      </c>
      <c r="I85" s="428" t="str">
        <f>IF(INDEX(設定!N$9:N$108,$A85,1)=0,"",ROUND(INDEX(設定!N$9:N$108,$A85,1),1))</f>
        <v/>
      </c>
      <c r="J85" s="428" t="str">
        <f>IF(INDEX(設定!O$9:O$108,$A85,1)=0,"",ROUND(INDEX(設定!O$9:O$108,$A85,1),1))</f>
        <v/>
      </c>
      <c r="K85" s="428" t="str">
        <f>IF(INDEX(設定!P$9:P$108,$A85,1)=0,"",ROUND(INDEX(設定!P$9:P$108,$A85,1),1))</f>
        <v/>
      </c>
      <c r="L85" s="428" t="str">
        <f>IF(INDEX(設定!Q$9:Q$108,$A85,1)=0,"",ROUND(INDEX(設定!Q$9:Q$108,$A85,1),1))</f>
        <v/>
      </c>
      <c r="M85" s="429" t="str">
        <f>IF(INDEX(設定!R$9:R$108,$A85,1)=0,"",ROUND(INDEX(設定!R$9:R$108,$A85,1),1))</f>
        <v/>
      </c>
      <c r="N85" s="74"/>
      <c r="P85" s="14"/>
      <c r="Q85" s="14"/>
      <c r="S85" s="110" t="str">
        <f>IF(INDEX(設定!$F$9:$F$108,$A85,1)="","",VALUE(LEFT(INDEX(設定!$F$9:$F$108,$A85,1),1)))</f>
        <v/>
      </c>
      <c r="T85" s="219" t="str">
        <f>IF(C85="","",C85)</f>
        <v/>
      </c>
      <c r="U85" s="188" t="str">
        <f>IF(D85="","",IF(D85="1：男",1,IF(D85="2：女",2)))</f>
        <v/>
      </c>
      <c r="V85" s="309" t="str">
        <f>IF(E85="","",E85)</f>
        <v/>
      </c>
      <c r="W85" s="434">
        <f t="shared" si="145"/>
        <v>0</v>
      </c>
      <c r="X85" s="435" t="str">
        <f t="shared" si="146"/>
        <v/>
      </c>
      <c r="Y85" s="435">
        <f t="shared" si="147"/>
        <v>0</v>
      </c>
      <c r="Z85" s="435" t="str">
        <f t="shared" si="148"/>
        <v/>
      </c>
    </row>
    <row r="86" spans="1:26" ht="30" customHeight="1" x14ac:dyDescent="0.2">
      <c r="A86" s="145">
        <v>10</v>
      </c>
      <c r="B86" s="29"/>
      <c r="C86" s="106" t="str">
        <f>IF(INDEX(設定!$C$9:$C$108,$A86,1)="","",INDEX(設定!$C$9:$C$108,$A86,1))</f>
        <v/>
      </c>
      <c r="D86" s="107" t="str">
        <f>IF(INDEX(設定!$D$9:$D$108,$A86,1)="","",INDEX(設定!$D$9:$D$108,$A86,1))</f>
        <v/>
      </c>
      <c r="E86" s="108" t="str">
        <f>IF(INDEX(設定!$E$9:$E$108,$A86,1)="","",INDEX(設定!$E$9:$E$108,$A86,1))</f>
        <v/>
      </c>
      <c r="F86" s="109" t="str">
        <f t="shared" si="149"/>
        <v/>
      </c>
      <c r="G86" s="428" t="str">
        <f>IF(INDEX(設定!L$9:L$108,$A86,1)=0,"",ROUND(INDEX(設定!L$9:L$108,$A86,1),1))</f>
        <v/>
      </c>
      <c r="H86" s="428" t="str">
        <f>IF(INDEX(設定!M$9:M$108,$A86,1)=0,"",ROUND(INDEX(設定!M$9:M$108,$A86,1),1))</f>
        <v/>
      </c>
      <c r="I86" s="428" t="str">
        <f>IF(INDEX(設定!N$9:N$108,$A86,1)=0,"",ROUND(INDEX(設定!N$9:N$108,$A86,1),1))</f>
        <v/>
      </c>
      <c r="J86" s="428" t="str">
        <f>IF(INDEX(設定!O$9:O$108,$A86,1)=0,"",ROUND(INDEX(設定!O$9:O$108,$A86,1),1))</f>
        <v/>
      </c>
      <c r="K86" s="428" t="str">
        <f>IF(INDEX(設定!P$9:P$108,$A86,1)=0,"",ROUND(INDEX(設定!P$9:P$108,$A86,1),1))</f>
        <v/>
      </c>
      <c r="L86" s="428" t="str">
        <f>IF(INDEX(設定!Q$9:Q$108,$A86,1)=0,"",ROUND(INDEX(設定!Q$9:Q$108,$A86,1),1))</f>
        <v/>
      </c>
      <c r="M86" s="429" t="str">
        <f>IF(INDEX(設定!R$9:R$108,$A86,1)=0,"",ROUND(INDEX(設定!R$9:R$108,$A86,1),1))</f>
        <v/>
      </c>
      <c r="N86" s="74"/>
      <c r="P86" s="14"/>
      <c r="Q86" s="14"/>
      <c r="S86" s="110" t="str">
        <f>IF(INDEX(設定!$F$9:$F$108,$A86,1)="","",VALUE(LEFT(INDEX(設定!$F$9:$F$108,$A86,1),1)))</f>
        <v/>
      </c>
      <c r="T86" s="219" t="str">
        <f t="shared" ref="T86:T89" si="153">IF(C86="","",C86)</f>
        <v/>
      </c>
      <c r="U86" s="188" t="str">
        <f t="shared" ref="U86:U89" si="154">IF(D86="","",IF(D86="1：男",1,IF(D86="2：女",2)))</f>
        <v/>
      </c>
      <c r="V86" s="309" t="str">
        <f t="shared" ref="V86:V89" si="155">IF(E86="","",E86)</f>
        <v/>
      </c>
      <c r="W86" s="434">
        <f t="shared" si="145"/>
        <v>0</v>
      </c>
      <c r="X86" s="435" t="str">
        <f t="shared" si="146"/>
        <v/>
      </c>
      <c r="Y86" s="435">
        <f t="shared" si="147"/>
        <v>0</v>
      </c>
      <c r="Z86" s="435" t="str">
        <f t="shared" si="148"/>
        <v/>
      </c>
    </row>
    <row r="87" spans="1:26" ht="30" customHeight="1" x14ac:dyDescent="0.2">
      <c r="A87" s="145">
        <v>11</v>
      </c>
      <c r="B87" s="29"/>
      <c r="C87" s="106" t="str">
        <f>IF(INDEX(設定!$C$9:$C$108,$A87,1)="","",INDEX(設定!$C$9:$C$108,$A87,1))</f>
        <v/>
      </c>
      <c r="D87" s="107" t="str">
        <f>IF(INDEX(設定!$D$9:$D$108,$A87,1)="","",INDEX(設定!$D$9:$D$108,$A87,1))</f>
        <v/>
      </c>
      <c r="E87" s="108" t="str">
        <f>IF(INDEX(設定!$E$9:$E$108,$A87,1)="","",INDEX(設定!$E$9:$E$108,$A87,1))</f>
        <v/>
      </c>
      <c r="F87" s="109" t="str">
        <f t="shared" si="149"/>
        <v/>
      </c>
      <c r="G87" s="428" t="str">
        <f>IF(INDEX(設定!L$9:L$108,$A87,1)=0,"",ROUND(INDEX(設定!L$9:L$108,$A87,1),1))</f>
        <v/>
      </c>
      <c r="H87" s="428" t="str">
        <f>IF(INDEX(設定!M$9:M$108,$A87,1)=0,"",ROUND(INDEX(設定!M$9:M$108,$A87,1),1))</f>
        <v/>
      </c>
      <c r="I87" s="428" t="str">
        <f>IF(INDEX(設定!N$9:N$108,$A87,1)=0,"",ROUND(INDEX(設定!N$9:N$108,$A87,1),1))</f>
        <v/>
      </c>
      <c r="J87" s="428" t="str">
        <f>IF(INDEX(設定!O$9:O$108,$A87,1)=0,"",ROUND(INDEX(設定!O$9:O$108,$A87,1),1))</f>
        <v/>
      </c>
      <c r="K87" s="428" t="str">
        <f>IF(INDEX(設定!P$9:P$108,$A87,1)=0,"",ROUND(INDEX(設定!P$9:P$108,$A87,1),1))</f>
        <v/>
      </c>
      <c r="L87" s="428" t="str">
        <f>IF(INDEX(設定!Q$9:Q$108,$A87,1)=0,"",ROUND(INDEX(設定!Q$9:Q$108,$A87,1),1))</f>
        <v/>
      </c>
      <c r="M87" s="429" t="str">
        <f>IF(INDEX(設定!R$9:R$108,$A87,1)=0,"",ROUND(INDEX(設定!R$9:R$108,$A87,1),1))</f>
        <v/>
      </c>
      <c r="N87" s="74"/>
      <c r="P87" s="14"/>
      <c r="Q87" s="14"/>
      <c r="S87" s="110" t="str">
        <f>IF(INDEX(設定!$F$9:$F$108,$A87,1)="","",VALUE(LEFT(INDEX(設定!$F$9:$F$108,$A87,1),1)))</f>
        <v/>
      </c>
      <c r="T87" s="219" t="str">
        <f t="shared" si="153"/>
        <v/>
      </c>
      <c r="U87" s="188" t="str">
        <f t="shared" si="154"/>
        <v/>
      </c>
      <c r="V87" s="309" t="str">
        <f t="shared" si="155"/>
        <v/>
      </c>
      <c r="W87" s="434">
        <f t="shared" si="145"/>
        <v>0</v>
      </c>
      <c r="X87" s="435" t="str">
        <f t="shared" si="146"/>
        <v/>
      </c>
      <c r="Y87" s="435">
        <f t="shared" si="147"/>
        <v>0</v>
      </c>
      <c r="Z87" s="435" t="str">
        <f t="shared" si="148"/>
        <v/>
      </c>
    </row>
    <row r="88" spans="1:26" ht="30" customHeight="1" x14ac:dyDescent="0.2">
      <c r="A88" s="145">
        <v>12</v>
      </c>
      <c r="B88" s="29"/>
      <c r="C88" s="106" t="str">
        <f>IF(INDEX(設定!$C$9:$C$108,$A88,1)="","",INDEX(設定!$C$9:$C$108,$A88,1))</f>
        <v/>
      </c>
      <c r="D88" s="107" t="str">
        <f>IF(INDEX(設定!$D$9:$D$108,$A88,1)="","",INDEX(設定!$D$9:$D$108,$A88,1))</f>
        <v/>
      </c>
      <c r="E88" s="108" t="str">
        <f>IF(INDEX(設定!$E$9:$E$108,$A88,1)="","",INDEX(設定!$E$9:$E$108,$A88,1))</f>
        <v/>
      </c>
      <c r="F88" s="109" t="str">
        <f t="shared" si="149"/>
        <v/>
      </c>
      <c r="G88" s="428" t="str">
        <f>IF(INDEX(設定!L$9:L$108,$A88,1)=0,"",ROUND(INDEX(設定!L$9:L$108,$A88,1),1))</f>
        <v/>
      </c>
      <c r="H88" s="428" t="str">
        <f>IF(INDEX(設定!M$9:M$108,$A88,1)=0,"",ROUND(INDEX(設定!M$9:M$108,$A88,1),1))</f>
        <v/>
      </c>
      <c r="I88" s="428" t="str">
        <f>IF(INDEX(設定!N$9:N$108,$A88,1)=0,"",ROUND(INDEX(設定!N$9:N$108,$A88,1),1))</f>
        <v/>
      </c>
      <c r="J88" s="428" t="str">
        <f>IF(INDEX(設定!O$9:O$108,$A88,1)=0,"",ROUND(INDEX(設定!O$9:O$108,$A88,1),1))</f>
        <v/>
      </c>
      <c r="K88" s="428" t="str">
        <f>IF(INDEX(設定!P$9:P$108,$A88,1)=0,"",ROUND(INDEX(設定!P$9:P$108,$A88,1),1))</f>
        <v/>
      </c>
      <c r="L88" s="428" t="str">
        <f>IF(INDEX(設定!Q$9:Q$108,$A88,1)=0,"",ROUND(INDEX(設定!Q$9:Q$108,$A88,1),1))</f>
        <v/>
      </c>
      <c r="M88" s="429" t="str">
        <f>IF(INDEX(設定!R$9:R$108,$A88,1)=0,"",ROUND(INDEX(設定!R$9:R$108,$A88,1),1))</f>
        <v/>
      </c>
      <c r="N88" s="74"/>
      <c r="P88" s="14"/>
      <c r="Q88" s="14"/>
      <c r="S88" s="110" t="str">
        <f>IF(INDEX(設定!$F$9:$F$108,$A88,1)="","",VALUE(LEFT(INDEX(設定!$F$9:$F$108,$A88,1),1)))</f>
        <v/>
      </c>
      <c r="T88" s="219" t="str">
        <f t="shared" si="153"/>
        <v/>
      </c>
      <c r="U88" s="188" t="str">
        <f t="shared" si="154"/>
        <v/>
      </c>
      <c r="V88" s="309" t="str">
        <f t="shared" si="155"/>
        <v/>
      </c>
      <c r="W88" s="434">
        <f t="shared" si="145"/>
        <v>0</v>
      </c>
      <c r="X88" s="435" t="str">
        <f t="shared" si="146"/>
        <v/>
      </c>
      <c r="Y88" s="435">
        <f t="shared" si="147"/>
        <v>0</v>
      </c>
      <c r="Z88" s="435" t="str">
        <f t="shared" si="148"/>
        <v/>
      </c>
    </row>
    <row r="89" spans="1:26" ht="30" customHeight="1" x14ac:dyDescent="0.2">
      <c r="A89" s="145">
        <v>13</v>
      </c>
      <c r="B89" s="29"/>
      <c r="C89" s="106" t="str">
        <f>IF(INDEX(設定!$C$9:$C$108,$A89,1)="","",INDEX(設定!$C$9:$C$108,$A89,1))</f>
        <v/>
      </c>
      <c r="D89" s="107" t="str">
        <f>IF(INDEX(設定!$D$9:$D$108,$A89,1)="","",INDEX(設定!$D$9:$D$108,$A89,1))</f>
        <v/>
      </c>
      <c r="E89" s="108" t="str">
        <f>IF(INDEX(設定!$E$9:$E$108,$A89,1)="","",INDEX(設定!$E$9:$E$108,$A89,1))</f>
        <v/>
      </c>
      <c r="F89" s="109" t="str">
        <f t="shared" si="149"/>
        <v/>
      </c>
      <c r="G89" s="428" t="str">
        <f>IF(INDEX(設定!L$9:L$108,$A89,1)=0,"",ROUND(INDEX(設定!L$9:L$108,$A89,1),1))</f>
        <v/>
      </c>
      <c r="H89" s="428" t="str">
        <f>IF(INDEX(設定!M$9:M$108,$A89,1)=0,"",ROUND(INDEX(設定!M$9:M$108,$A89,1),1))</f>
        <v/>
      </c>
      <c r="I89" s="428" t="str">
        <f>IF(INDEX(設定!N$9:N$108,$A89,1)=0,"",ROUND(INDEX(設定!N$9:N$108,$A89,1),1))</f>
        <v/>
      </c>
      <c r="J89" s="428" t="str">
        <f>IF(INDEX(設定!O$9:O$108,$A89,1)=0,"",ROUND(INDEX(設定!O$9:O$108,$A89,1),1))</f>
        <v/>
      </c>
      <c r="K89" s="428" t="str">
        <f>IF(INDEX(設定!P$9:P$108,$A89,1)=0,"",ROUND(INDEX(設定!P$9:P$108,$A89,1),1))</f>
        <v/>
      </c>
      <c r="L89" s="428" t="str">
        <f>IF(INDEX(設定!Q$9:Q$108,$A89,1)=0,"",ROUND(INDEX(設定!Q$9:Q$108,$A89,1),1))</f>
        <v/>
      </c>
      <c r="M89" s="429" t="str">
        <f>IF(INDEX(設定!R$9:R$108,$A89,1)=0,"",ROUND(INDEX(設定!R$9:R$108,$A89,1),1))</f>
        <v/>
      </c>
      <c r="N89" s="74"/>
      <c r="P89" s="14"/>
      <c r="Q89" s="14"/>
      <c r="S89" s="110" t="str">
        <f>IF(INDEX(設定!$F$9:$F$108,$A89,1)="","",VALUE(LEFT(INDEX(設定!$F$9:$F$108,$A89,1),1)))</f>
        <v/>
      </c>
      <c r="T89" s="219" t="str">
        <f t="shared" si="153"/>
        <v/>
      </c>
      <c r="U89" s="188" t="str">
        <f t="shared" si="154"/>
        <v/>
      </c>
      <c r="V89" s="309" t="str">
        <f t="shared" si="155"/>
        <v/>
      </c>
      <c r="W89" s="434">
        <f t="shared" si="145"/>
        <v>0</v>
      </c>
      <c r="X89" s="435" t="str">
        <f t="shared" si="146"/>
        <v/>
      </c>
      <c r="Y89" s="435">
        <f t="shared" si="147"/>
        <v>0</v>
      </c>
      <c r="Z89" s="435" t="str">
        <f t="shared" si="148"/>
        <v/>
      </c>
    </row>
    <row r="90" spans="1:26" ht="30" customHeight="1" x14ac:dyDescent="0.2">
      <c r="A90" s="145">
        <v>14</v>
      </c>
      <c r="B90" s="29"/>
      <c r="C90" s="106" t="str">
        <f>IF(INDEX(設定!$C$9:$C$108,$A90,1)="","",INDEX(設定!$C$9:$C$108,$A90,1))</f>
        <v/>
      </c>
      <c r="D90" s="107" t="str">
        <f>IF(INDEX(設定!$D$9:$D$108,$A90,1)="","",INDEX(設定!$D$9:$D$108,$A90,1))</f>
        <v/>
      </c>
      <c r="E90" s="108" t="str">
        <f>IF(INDEX(設定!$E$9:$E$108,$A90,1)="","",INDEX(設定!$E$9:$E$108,$A90,1))</f>
        <v/>
      </c>
      <c r="F90" s="109" t="str">
        <f t="shared" si="149"/>
        <v/>
      </c>
      <c r="G90" s="428" t="str">
        <f>IF(INDEX(設定!L$9:L$108,$A90,1)=0,"",ROUND(INDEX(設定!L$9:L$108,$A90,1),1))</f>
        <v/>
      </c>
      <c r="H90" s="428" t="str">
        <f>IF(INDEX(設定!M$9:M$108,$A90,1)=0,"",ROUND(INDEX(設定!M$9:M$108,$A90,1),1))</f>
        <v/>
      </c>
      <c r="I90" s="428" t="str">
        <f>IF(INDEX(設定!N$9:N$108,$A90,1)=0,"",ROUND(INDEX(設定!N$9:N$108,$A90,1),1))</f>
        <v/>
      </c>
      <c r="J90" s="428" t="str">
        <f>IF(INDEX(設定!O$9:O$108,$A90,1)=0,"",ROUND(INDEX(設定!O$9:O$108,$A90,1),1))</f>
        <v/>
      </c>
      <c r="K90" s="428" t="str">
        <f>IF(INDEX(設定!P$9:P$108,$A90,1)=0,"",ROUND(INDEX(設定!P$9:P$108,$A90,1),1))</f>
        <v/>
      </c>
      <c r="L90" s="428" t="str">
        <f>IF(INDEX(設定!Q$9:Q$108,$A90,1)=0,"",ROUND(INDEX(設定!Q$9:Q$108,$A90,1),1))</f>
        <v/>
      </c>
      <c r="M90" s="429" t="str">
        <f>IF(INDEX(設定!R$9:R$108,$A90,1)=0,"",ROUND(INDEX(設定!R$9:R$108,$A90,1),1))</f>
        <v/>
      </c>
      <c r="N90" s="74"/>
      <c r="P90" s="14"/>
      <c r="Q90" s="14"/>
      <c r="S90" s="110" t="str">
        <f>IF(INDEX(設定!$F$9:$F$108,$A90,1)="","",VALUE(LEFT(INDEX(設定!$F$9:$F$108,$A90,1),1)))</f>
        <v/>
      </c>
      <c r="T90" s="219" t="str">
        <f>IF(C90="","",C90)</f>
        <v/>
      </c>
      <c r="U90" s="188" t="str">
        <f>IF(D90="","",IF(D90="1：男",1,IF(D90="2：女",2)))</f>
        <v/>
      </c>
      <c r="V90" s="309" t="str">
        <f>IF(E90="","",E90)</f>
        <v/>
      </c>
      <c r="W90" s="434">
        <f t="shared" si="145"/>
        <v>0</v>
      </c>
      <c r="X90" s="435" t="str">
        <f t="shared" si="146"/>
        <v/>
      </c>
      <c r="Y90" s="435">
        <f t="shared" si="147"/>
        <v>0</v>
      </c>
      <c r="Z90" s="435" t="str">
        <f t="shared" si="148"/>
        <v/>
      </c>
    </row>
    <row r="91" spans="1:26" ht="30" customHeight="1" x14ac:dyDescent="0.2">
      <c r="A91" s="145">
        <v>15</v>
      </c>
      <c r="B91" s="29"/>
      <c r="C91" s="106" t="str">
        <f>IF(INDEX(設定!$C$9:$C$108,$A91,1)="","",INDEX(設定!$C$9:$C$108,$A91,1))</f>
        <v/>
      </c>
      <c r="D91" s="107" t="str">
        <f>IF(INDEX(設定!$D$9:$D$108,$A91,1)="","",INDEX(設定!$D$9:$D$108,$A91,1))</f>
        <v/>
      </c>
      <c r="E91" s="108" t="str">
        <f>IF(INDEX(設定!$E$9:$E$108,$A91,1)="","",INDEX(設定!$E$9:$E$108,$A91,1))</f>
        <v/>
      </c>
      <c r="F91" s="109" t="str">
        <f t="shared" si="149"/>
        <v/>
      </c>
      <c r="G91" s="428" t="str">
        <f>IF(INDEX(設定!L$9:L$108,$A91,1)=0,"",ROUND(INDEX(設定!L$9:L$108,$A91,1),1))</f>
        <v/>
      </c>
      <c r="H91" s="428" t="str">
        <f>IF(INDEX(設定!M$9:M$108,$A91,1)=0,"",ROUND(INDEX(設定!M$9:M$108,$A91,1),1))</f>
        <v/>
      </c>
      <c r="I91" s="428" t="str">
        <f>IF(INDEX(設定!N$9:N$108,$A91,1)=0,"",ROUND(INDEX(設定!N$9:N$108,$A91,1),1))</f>
        <v/>
      </c>
      <c r="J91" s="428" t="str">
        <f>IF(INDEX(設定!O$9:O$108,$A91,1)=0,"",ROUND(INDEX(設定!O$9:O$108,$A91,1),1))</f>
        <v/>
      </c>
      <c r="K91" s="428" t="str">
        <f>IF(INDEX(設定!P$9:P$108,$A91,1)=0,"",ROUND(INDEX(設定!P$9:P$108,$A91,1),1))</f>
        <v/>
      </c>
      <c r="L91" s="428" t="str">
        <f>IF(INDEX(設定!Q$9:Q$108,$A91,1)=0,"",ROUND(INDEX(設定!Q$9:Q$108,$A91,1),1))</f>
        <v/>
      </c>
      <c r="M91" s="429" t="str">
        <f>IF(INDEX(設定!R$9:R$108,$A91,1)=0,"",ROUND(INDEX(設定!R$9:R$108,$A91,1),1))</f>
        <v/>
      </c>
      <c r="N91" s="74"/>
      <c r="P91" s="14"/>
      <c r="Q91" s="14"/>
      <c r="S91" s="110" t="str">
        <f>IF(INDEX(設定!$F$9:$F$108,$A91,1)="","",VALUE(LEFT(INDEX(設定!$F$9:$F$108,$A91,1),1)))</f>
        <v/>
      </c>
      <c r="T91" s="219" t="str">
        <f>IF(C91="","",C91)</f>
        <v/>
      </c>
      <c r="U91" s="188" t="str">
        <f>IF(D91="","",IF(D91="1：男",1,IF(D91="2：女",2)))</f>
        <v/>
      </c>
      <c r="V91" s="309" t="str">
        <f>IF(E91="","",E91)</f>
        <v/>
      </c>
      <c r="W91" s="434">
        <f t="shared" si="145"/>
        <v>0</v>
      </c>
      <c r="X91" s="435" t="str">
        <f t="shared" si="146"/>
        <v/>
      </c>
      <c r="Y91" s="435">
        <f t="shared" si="147"/>
        <v>0</v>
      </c>
      <c r="Z91" s="435" t="str">
        <f t="shared" si="148"/>
        <v/>
      </c>
    </row>
    <row r="92" spans="1:26" ht="30" customHeight="1" x14ac:dyDescent="0.2">
      <c r="A92" s="145">
        <v>16</v>
      </c>
      <c r="B92" s="29"/>
      <c r="C92" s="106" t="str">
        <f>IF(INDEX(設定!$C$9:$C$108,$A92,1)="","",INDEX(設定!$C$9:$C$108,$A92,1))</f>
        <v/>
      </c>
      <c r="D92" s="107" t="str">
        <f>IF(INDEX(設定!$D$9:$D$108,$A92,1)="","",INDEX(設定!$D$9:$D$108,$A92,1))</f>
        <v/>
      </c>
      <c r="E92" s="108" t="str">
        <f>IF(INDEX(設定!$E$9:$E$108,$A92,1)="","",INDEX(設定!$E$9:$E$108,$A92,1))</f>
        <v/>
      </c>
      <c r="F92" s="109" t="str">
        <f t="shared" si="149"/>
        <v/>
      </c>
      <c r="G92" s="428" t="str">
        <f>IF(INDEX(設定!L$9:L$108,$A92,1)=0,"",ROUND(INDEX(設定!L$9:L$108,$A92,1),1))</f>
        <v/>
      </c>
      <c r="H92" s="428" t="str">
        <f>IF(INDEX(設定!M$9:M$108,$A92,1)=0,"",ROUND(INDEX(設定!M$9:M$108,$A92,1),1))</f>
        <v/>
      </c>
      <c r="I92" s="428" t="str">
        <f>IF(INDEX(設定!N$9:N$108,$A92,1)=0,"",ROUND(INDEX(設定!N$9:N$108,$A92,1),1))</f>
        <v/>
      </c>
      <c r="J92" s="428" t="str">
        <f>IF(INDEX(設定!O$9:O$108,$A92,1)=0,"",ROUND(INDEX(設定!O$9:O$108,$A92,1),1))</f>
        <v/>
      </c>
      <c r="K92" s="428" t="str">
        <f>IF(INDEX(設定!P$9:P$108,$A92,1)=0,"",ROUND(INDEX(設定!P$9:P$108,$A92,1),1))</f>
        <v/>
      </c>
      <c r="L92" s="428" t="str">
        <f>IF(INDEX(設定!Q$9:Q$108,$A92,1)=0,"",ROUND(INDEX(設定!Q$9:Q$108,$A92,1),1))</f>
        <v/>
      </c>
      <c r="M92" s="429" t="str">
        <f>IF(INDEX(設定!R$9:R$108,$A92,1)=0,"",ROUND(INDEX(設定!R$9:R$108,$A92,1),1))</f>
        <v/>
      </c>
      <c r="N92" s="74"/>
      <c r="P92" s="14"/>
      <c r="Q92" s="14"/>
      <c r="S92" s="110" t="str">
        <f>IF(INDEX(設定!$F$9:$F$108,$A92,1)="","",VALUE(LEFT(INDEX(設定!$F$9:$F$108,$A92,1),1)))</f>
        <v/>
      </c>
      <c r="T92" s="219" t="str">
        <f t="shared" ref="T92:T95" si="156">IF(C92="","",C92)</f>
        <v/>
      </c>
      <c r="U92" s="188" t="str">
        <f t="shared" ref="U92:U95" si="157">IF(D92="","",IF(D92="1：男",1,IF(D92="2：女",2)))</f>
        <v/>
      </c>
      <c r="V92" s="309" t="str">
        <f t="shared" ref="V92:V95" si="158">IF(E92="","",E92)</f>
        <v/>
      </c>
      <c r="W92" s="434">
        <f t="shared" si="145"/>
        <v>0</v>
      </c>
      <c r="X92" s="435" t="str">
        <f t="shared" si="146"/>
        <v/>
      </c>
      <c r="Y92" s="435">
        <f t="shared" si="147"/>
        <v>0</v>
      </c>
      <c r="Z92" s="435" t="str">
        <f t="shared" si="148"/>
        <v/>
      </c>
    </row>
    <row r="93" spans="1:26" ht="30" customHeight="1" x14ac:dyDescent="0.2">
      <c r="A93" s="145">
        <v>17</v>
      </c>
      <c r="B93" s="29"/>
      <c r="C93" s="106" t="str">
        <f>IF(INDEX(設定!$C$9:$C$108,$A93,1)="","",INDEX(設定!$C$9:$C$108,$A93,1))</f>
        <v/>
      </c>
      <c r="D93" s="107" t="str">
        <f>IF(INDEX(設定!$D$9:$D$108,$A93,1)="","",INDEX(設定!$D$9:$D$108,$A93,1))</f>
        <v/>
      </c>
      <c r="E93" s="108" t="str">
        <f>IF(INDEX(設定!$E$9:$E$108,$A93,1)="","",INDEX(設定!$E$9:$E$108,$A93,1))</f>
        <v/>
      </c>
      <c r="F93" s="109" t="str">
        <f t="shared" si="149"/>
        <v/>
      </c>
      <c r="G93" s="428" t="str">
        <f>IF(INDEX(設定!L$9:L$108,$A93,1)=0,"",ROUND(INDEX(設定!L$9:L$108,$A93,1),1))</f>
        <v/>
      </c>
      <c r="H93" s="428" t="str">
        <f>IF(INDEX(設定!M$9:M$108,$A93,1)=0,"",ROUND(INDEX(設定!M$9:M$108,$A93,1),1))</f>
        <v/>
      </c>
      <c r="I93" s="428" t="str">
        <f>IF(INDEX(設定!N$9:N$108,$A93,1)=0,"",ROUND(INDEX(設定!N$9:N$108,$A93,1),1))</f>
        <v/>
      </c>
      <c r="J93" s="428" t="str">
        <f>IF(INDEX(設定!O$9:O$108,$A93,1)=0,"",ROUND(INDEX(設定!O$9:O$108,$A93,1),1))</f>
        <v/>
      </c>
      <c r="K93" s="428" t="str">
        <f>IF(INDEX(設定!P$9:P$108,$A93,1)=0,"",ROUND(INDEX(設定!P$9:P$108,$A93,1),1))</f>
        <v/>
      </c>
      <c r="L93" s="428" t="str">
        <f>IF(INDEX(設定!Q$9:Q$108,$A93,1)=0,"",ROUND(INDEX(設定!Q$9:Q$108,$A93,1),1))</f>
        <v/>
      </c>
      <c r="M93" s="429" t="str">
        <f>IF(INDEX(設定!R$9:R$108,$A93,1)=0,"",ROUND(INDEX(設定!R$9:R$108,$A93,1),1))</f>
        <v/>
      </c>
      <c r="N93" s="74"/>
      <c r="P93" s="14"/>
      <c r="Q93" s="14"/>
      <c r="S93" s="110" t="str">
        <f>IF(INDEX(設定!$F$9:$F$108,$A93,1)="","",VALUE(LEFT(INDEX(設定!$F$9:$F$108,$A93,1),1)))</f>
        <v/>
      </c>
      <c r="T93" s="219" t="str">
        <f t="shared" si="156"/>
        <v/>
      </c>
      <c r="U93" s="188" t="str">
        <f t="shared" si="157"/>
        <v/>
      </c>
      <c r="V93" s="309" t="str">
        <f t="shared" si="158"/>
        <v/>
      </c>
      <c r="W93" s="434">
        <f t="shared" si="145"/>
        <v>0</v>
      </c>
      <c r="X93" s="435" t="str">
        <f t="shared" si="146"/>
        <v/>
      </c>
      <c r="Y93" s="435">
        <f t="shared" si="147"/>
        <v>0</v>
      </c>
      <c r="Z93" s="435" t="str">
        <f t="shared" si="148"/>
        <v/>
      </c>
    </row>
    <row r="94" spans="1:26" ht="30" customHeight="1" x14ac:dyDescent="0.2">
      <c r="A94" s="145">
        <v>18</v>
      </c>
      <c r="B94" s="29"/>
      <c r="C94" s="106" t="str">
        <f>IF(INDEX(設定!$C$9:$C$108,$A94,1)="","",INDEX(設定!$C$9:$C$108,$A94,1))</f>
        <v/>
      </c>
      <c r="D94" s="107" t="str">
        <f>IF(INDEX(設定!$D$9:$D$108,$A94,1)="","",INDEX(設定!$D$9:$D$108,$A94,1))</f>
        <v/>
      </c>
      <c r="E94" s="108" t="str">
        <f>IF(INDEX(設定!$E$9:$E$108,$A94,1)="","",INDEX(設定!$E$9:$E$108,$A94,1))</f>
        <v/>
      </c>
      <c r="F94" s="109" t="str">
        <f t="shared" si="149"/>
        <v/>
      </c>
      <c r="G94" s="428" t="str">
        <f>IF(INDEX(設定!L$9:L$108,$A94,1)=0,"",ROUND(INDEX(設定!L$9:L$108,$A94,1),1))</f>
        <v/>
      </c>
      <c r="H94" s="428" t="str">
        <f>IF(INDEX(設定!M$9:M$108,$A94,1)=0,"",ROUND(INDEX(設定!M$9:M$108,$A94,1),1))</f>
        <v/>
      </c>
      <c r="I94" s="428" t="str">
        <f>IF(INDEX(設定!N$9:N$108,$A94,1)=0,"",ROUND(INDEX(設定!N$9:N$108,$A94,1),1))</f>
        <v/>
      </c>
      <c r="J94" s="428" t="str">
        <f>IF(INDEX(設定!O$9:O$108,$A94,1)=0,"",ROUND(INDEX(設定!O$9:O$108,$A94,1),1))</f>
        <v/>
      </c>
      <c r="K94" s="428" t="str">
        <f>IF(INDEX(設定!P$9:P$108,$A94,1)=0,"",ROUND(INDEX(設定!P$9:P$108,$A94,1),1))</f>
        <v/>
      </c>
      <c r="L94" s="428" t="str">
        <f>IF(INDEX(設定!Q$9:Q$108,$A94,1)=0,"",ROUND(INDEX(設定!Q$9:Q$108,$A94,1),1))</f>
        <v/>
      </c>
      <c r="M94" s="429" t="str">
        <f>IF(INDEX(設定!R$9:R$108,$A94,1)=0,"",ROUND(INDEX(設定!R$9:R$108,$A94,1),1))</f>
        <v/>
      </c>
      <c r="N94" s="74"/>
      <c r="P94" s="14"/>
      <c r="Q94" s="14"/>
      <c r="S94" s="110" t="str">
        <f>IF(INDEX(設定!$F$9:$F$108,$A94,1)="","",VALUE(LEFT(INDEX(設定!$F$9:$F$108,$A94,1),1)))</f>
        <v/>
      </c>
      <c r="T94" s="219" t="str">
        <f t="shared" si="156"/>
        <v/>
      </c>
      <c r="U94" s="188" t="str">
        <f t="shared" si="157"/>
        <v/>
      </c>
      <c r="V94" s="309" t="str">
        <f t="shared" si="158"/>
        <v/>
      </c>
      <c r="W94" s="434">
        <f t="shared" si="145"/>
        <v>0</v>
      </c>
      <c r="X94" s="435" t="str">
        <f t="shared" si="146"/>
        <v/>
      </c>
      <c r="Y94" s="435">
        <f t="shared" si="147"/>
        <v>0</v>
      </c>
      <c r="Z94" s="435" t="str">
        <f t="shared" si="148"/>
        <v/>
      </c>
    </row>
    <row r="95" spans="1:26" ht="30" customHeight="1" x14ac:dyDescent="0.2">
      <c r="A95" s="145">
        <v>19</v>
      </c>
      <c r="B95" s="29"/>
      <c r="C95" s="106" t="str">
        <f>IF(INDEX(設定!$C$9:$C$108,$A95,1)="","",INDEX(設定!$C$9:$C$108,$A95,1))</f>
        <v/>
      </c>
      <c r="D95" s="107" t="str">
        <f>IF(INDEX(設定!$D$9:$D$108,$A95,1)="","",INDEX(設定!$D$9:$D$108,$A95,1))</f>
        <v/>
      </c>
      <c r="E95" s="108" t="str">
        <f>IF(INDEX(設定!$E$9:$E$108,$A95,1)="","",INDEX(設定!$E$9:$E$108,$A95,1))</f>
        <v/>
      </c>
      <c r="F95" s="109" t="str">
        <f t="shared" si="149"/>
        <v/>
      </c>
      <c r="G95" s="428" t="str">
        <f>IF(INDEX(設定!L$9:L$108,$A95,1)=0,"",ROUND(INDEX(設定!L$9:L$108,$A95,1),1))</f>
        <v/>
      </c>
      <c r="H95" s="428" t="str">
        <f>IF(INDEX(設定!M$9:M$108,$A95,1)=0,"",ROUND(INDEX(設定!M$9:M$108,$A95,1),1))</f>
        <v/>
      </c>
      <c r="I95" s="428" t="str">
        <f>IF(INDEX(設定!N$9:N$108,$A95,1)=0,"",ROUND(INDEX(設定!N$9:N$108,$A95,1),1))</f>
        <v/>
      </c>
      <c r="J95" s="428" t="str">
        <f>IF(INDEX(設定!O$9:O$108,$A95,1)=0,"",ROUND(INDEX(設定!O$9:O$108,$A95,1),1))</f>
        <v/>
      </c>
      <c r="K95" s="428" t="str">
        <f>IF(INDEX(設定!P$9:P$108,$A95,1)=0,"",ROUND(INDEX(設定!P$9:P$108,$A95,1),1))</f>
        <v/>
      </c>
      <c r="L95" s="428" t="str">
        <f>IF(INDEX(設定!Q$9:Q$108,$A95,1)=0,"",ROUND(INDEX(設定!Q$9:Q$108,$A95,1),1))</f>
        <v/>
      </c>
      <c r="M95" s="429" t="str">
        <f>IF(INDEX(設定!R$9:R$108,$A95,1)=0,"",ROUND(INDEX(設定!R$9:R$108,$A95,1),1))</f>
        <v/>
      </c>
      <c r="N95" s="74"/>
      <c r="P95" s="14"/>
      <c r="Q95" s="14"/>
      <c r="S95" s="110" t="str">
        <f>IF(INDEX(設定!$F$9:$F$108,$A95,1)="","",VALUE(LEFT(INDEX(設定!$F$9:$F$108,$A95,1),1)))</f>
        <v/>
      </c>
      <c r="T95" s="219" t="str">
        <f t="shared" si="156"/>
        <v/>
      </c>
      <c r="U95" s="188" t="str">
        <f t="shared" si="157"/>
        <v/>
      </c>
      <c r="V95" s="309" t="str">
        <f t="shared" si="158"/>
        <v/>
      </c>
      <c r="W95" s="434">
        <f t="shared" si="145"/>
        <v>0</v>
      </c>
      <c r="X95" s="435" t="str">
        <f t="shared" si="146"/>
        <v/>
      </c>
      <c r="Y95" s="435">
        <f t="shared" si="147"/>
        <v>0</v>
      </c>
      <c r="Z95" s="435" t="str">
        <f t="shared" si="148"/>
        <v/>
      </c>
    </row>
    <row r="96" spans="1:26" ht="30" customHeight="1" x14ac:dyDescent="0.2">
      <c r="A96" s="145">
        <v>20</v>
      </c>
      <c r="B96" s="29"/>
      <c r="C96" s="106" t="str">
        <f>IF(INDEX(設定!$C$9:$C$108,$A96,1)="","",INDEX(設定!$C$9:$C$108,$A96,1))</f>
        <v/>
      </c>
      <c r="D96" s="107" t="str">
        <f>IF(INDEX(設定!$D$9:$D$108,$A96,1)="","",INDEX(設定!$D$9:$D$108,$A96,1))</f>
        <v/>
      </c>
      <c r="E96" s="108" t="str">
        <f>IF(INDEX(設定!$E$9:$E$108,$A96,1)="","",INDEX(設定!$E$9:$E$108,$A96,1))</f>
        <v/>
      </c>
      <c r="F96" s="109" t="str">
        <f t="shared" si="149"/>
        <v/>
      </c>
      <c r="G96" s="428" t="str">
        <f>IF(INDEX(設定!L$9:L$108,$A96,1)=0,"",ROUND(INDEX(設定!L$9:L$108,$A96,1),1))</f>
        <v/>
      </c>
      <c r="H96" s="428" t="str">
        <f>IF(INDEX(設定!M$9:M$108,$A96,1)=0,"",ROUND(INDEX(設定!M$9:M$108,$A96,1),1))</f>
        <v/>
      </c>
      <c r="I96" s="428" t="str">
        <f>IF(INDEX(設定!N$9:N$108,$A96,1)=0,"",ROUND(INDEX(設定!N$9:N$108,$A96,1),1))</f>
        <v/>
      </c>
      <c r="J96" s="428" t="str">
        <f>IF(INDEX(設定!O$9:O$108,$A96,1)=0,"",ROUND(INDEX(設定!O$9:O$108,$A96,1),1))</f>
        <v/>
      </c>
      <c r="K96" s="428" t="str">
        <f>IF(INDEX(設定!P$9:P$108,$A96,1)=0,"",ROUND(INDEX(設定!P$9:P$108,$A96,1),1))</f>
        <v/>
      </c>
      <c r="L96" s="428" t="str">
        <f>IF(INDEX(設定!Q$9:Q$108,$A96,1)=0,"",ROUND(INDEX(設定!Q$9:Q$108,$A96,1),1))</f>
        <v/>
      </c>
      <c r="M96" s="429" t="str">
        <f>IF(INDEX(設定!R$9:R$108,$A96,1)=0,"",ROUND(INDEX(設定!R$9:R$108,$A96,1),1))</f>
        <v/>
      </c>
      <c r="N96" s="74"/>
      <c r="P96" s="14"/>
      <c r="Q96" s="14"/>
      <c r="S96" s="110" t="str">
        <f>IF(INDEX(設定!$F$9:$F$108,$A96,1)="","",VALUE(LEFT(INDEX(設定!$F$9:$F$108,$A96,1),1)))</f>
        <v/>
      </c>
      <c r="T96" s="219" t="str">
        <f>IF(C96="","",C96)</f>
        <v/>
      </c>
      <c r="U96" s="188" t="str">
        <f>IF(D96="","",IF(D96="1：男",1,IF(D96="2：女",2)))</f>
        <v/>
      </c>
      <c r="V96" s="309" t="str">
        <f>IF(E96="","",E96)</f>
        <v/>
      </c>
      <c r="W96" s="434">
        <f t="shared" si="145"/>
        <v>0</v>
      </c>
      <c r="X96" s="435" t="str">
        <f t="shared" si="146"/>
        <v/>
      </c>
      <c r="Y96" s="435">
        <f t="shared" si="147"/>
        <v>0</v>
      </c>
      <c r="Z96" s="435" t="str">
        <f t="shared" si="148"/>
        <v/>
      </c>
    </row>
    <row r="97" spans="1:26" ht="30" customHeight="1" x14ac:dyDescent="0.2">
      <c r="A97" s="145">
        <v>21</v>
      </c>
      <c r="B97" s="29"/>
      <c r="C97" s="106" t="str">
        <f>IF(INDEX(設定!$C$9:$C$108,$A97,1)="","",INDEX(設定!$C$9:$C$108,$A97,1))</f>
        <v/>
      </c>
      <c r="D97" s="107" t="str">
        <f>IF(INDEX(設定!$D$9:$D$108,$A97,1)="","",INDEX(設定!$D$9:$D$108,$A97,1))</f>
        <v/>
      </c>
      <c r="E97" s="108" t="str">
        <f>IF(INDEX(設定!$E$9:$E$108,$A97,1)="","",INDEX(設定!$E$9:$E$108,$A97,1))</f>
        <v/>
      </c>
      <c r="F97" s="109" t="str">
        <f t="shared" si="149"/>
        <v/>
      </c>
      <c r="G97" s="428" t="str">
        <f>IF(INDEX(設定!L$9:L$108,$A97,1)=0,"",ROUND(INDEX(設定!L$9:L$108,$A97,1),1))</f>
        <v/>
      </c>
      <c r="H97" s="428" t="str">
        <f>IF(INDEX(設定!M$9:M$108,$A97,1)=0,"",ROUND(INDEX(設定!M$9:M$108,$A97,1),1))</f>
        <v/>
      </c>
      <c r="I97" s="428" t="str">
        <f>IF(INDEX(設定!N$9:N$108,$A97,1)=0,"",ROUND(INDEX(設定!N$9:N$108,$A97,1),1))</f>
        <v/>
      </c>
      <c r="J97" s="428" t="str">
        <f>IF(INDEX(設定!O$9:O$108,$A97,1)=0,"",ROUND(INDEX(設定!O$9:O$108,$A97,1),1))</f>
        <v/>
      </c>
      <c r="K97" s="428" t="str">
        <f>IF(INDEX(設定!P$9:P$108,$A97,1)=0,"",ROUND(INDEX(設定!P$9:P$108,$A97,1),1))</f>
        <v/>
      </c>
      <c r="L97" s="428" t="str">
        <f>IF(INDEX(設定!Q$9:Q$108,$A97,1)=0,"",ROUND(INDEX(設定!Q$9:Q$108,$A97,1),1))</f>
        <v/>
      </c>
      <c r="M97" s="429" t="str">
        <f>IF(INDEX(設定!R$9:R$108,$A97,1)=0,"",ROUND(INDEX(設定!R$9:R$108,$A97,1),1))</f>
        <v/>
      </c>
      <c r="N97" s="74"/>
      <c r="P97" s="14"/>
      <c r="Q97" s="14"/>
      <c r="S97" s="110" t="str">
        <f>IF(INDEX(設定!$F$9:$F$108,$A97,1)="","",VALUE(LEFT(INDEX(設定!$F$9:$F$108,$A97,1),1)))</f>
        <v/>
      </c>
      <c r="T97" s="219" t="str">
        <f>IF(C97="","",C97)</f>
        <v/>
      </c>
      <c r="U97" s="188" t="str">
        <f>IF(D97="","",IF(D97="1：男",1,IF(D97="2：女",2)))</f>
        <v/>
      </c>
      <c r="V97" s="309" t="str">
        <f>IF(E97="","",E97)</f>
        <v/>
      </c>
      <c r="W97" s="434">
        <f t="shared" si="145"/>
        <v>0</v>
      </c>
      <c r="X97" s="435" t="str">
        <f t="shared" si="146"/>
        <v/>
      </c>
      <c r="Y97" s="435">
        <f t="shared" si="147"/>
        <v>0</v>
      </c>
      <c r="Z97" s="435" t="str">
        <f t="shared" si="148"/>
        <v/>
      </c>
    </row>
    <row r="98" spans="1:26" ht="30" customHeight="1" x14ac:dyDescent="0.2">
      <c r="A98" s="145">
        <v>22</v>
      </c>
      <c r="B98" s="29"/>
      <c r="C98" s="106" t="str">
        <f>IF(INDEX(設定!$C$9:$C$108,$A98,1)="","",INDEX(設定!$C$9:$C$108,$A98,1))</f>
        <v/>
      </c>
      <c r="D98" s="107" t="str">
        <f>IF(INDEX(設定!$D$9:$D$108,$A98,1)="","",INDEX(設定!$D$9:$D$108,$A98,1))</f>
        <v/>
      </c>
      <c r="E98" s="108" t="str">
        <f>IF(INDEX(設定!$E$9:$E$108,$A98,1)="","",INDEX(設定!$E$9:$E$108,$A98,1))</f>
        <v/>
      </c>
      <c r="F98" s="109" t="str">
        <f t="shared" si="149"/>
        <v/>
      </c>
      <c r="G98" s="428" t="str">
        <f>IF(INDEX(設定!L$9:L$108,$A98,1)=0,"",ROUND(INDEX(設定!L$9:L$108,$A98,1),1))</f>
        <v/>
      </c>
      <c r="H98" s="428" t="str">
        <f>IF(INDEX(設定!M$9:M$108,$A98,1)=0,"",ROUND(INDEX(設定!M$9:M$108,$A98,1),1))</f>
        <v/>
      </c>
      <c r="I98" s="428" t="str">
        <f>IF(INDEX(設定!N$9:N$108,$A98,1)=0,"",ROUND(INDEX(設定!N$9:N$108,$A98,1),1))</f>
        <v/>
      </c>
      <c r="J98" s="428" t="str">
        <f>IF(INDEX(設定!O$9:O$108,$A98,1)=0,"",ROUND(INDEX(設定!O$9:O$108,$A98,1),1))</f>
        <v/>
      </c>
      <c r="K98" s="428" t="str">
        <f>IF(INDEX(設定!P$9:P$108,$A98,1)=0,"",ROUND(INDEX(設定!P$9:P$108,$A98,1),1))</f>
        <v/>
      </c>
      <c r="L98" s="428" t="str">
        <f>IF(INDEX(設定!Q$9:Q$108,$A98,1)=0,"",ROUND(INDEX(設定!Q$9:Q$108,$A98,1),1))</f>
        <v/>
      </c>
      <c r="M98" s="429" t="str">
        <f>IF(INDEX(設定!R$9:R$108,$A98,1)=0,"",ROUND(INDEX(設定!R$9:R$108,$A98,1),1))</f>
        <v/>
      </c>
      <c r="N98" s="74"/>
      <c r="P98" s="14"/>
      <c r="Q98" s="14"/>
      <c r="S98" s="110" t="str">
        <f>IF(INDEX(設定!$F$9:$F$108,$A98,1)="","",VALUE(LEFT(INDEX(設定!$F$9:$F$108,$A98,1),1)))</f>
        <v/>
      </c>
      <c r="T98" s="219" t="str">
        <f t="shared" ref="T98:T99" si="159">IF(C98="","",C98)</f>
        <v/>
      </c>
      <c r="U98" s="188" t="str">
        <f t="shared" ref="U98:U99" si="160">IF(D98="","",IF(D98="1：男",1,IF(D98="2：女",2)))</f>
        <v/>
      </c>
      <c r="V98" s="309" t="str">
        <f t="shared" ref="V98:V99" si="161">IF(E98="","",E98)</f>
        <v/>
      </c>
      <c r="W98" s="434">
        <f t="shared" si="145"/>
        <v>0</v>
      </c>
      <c r="X98" s="435" t="str">
        <f t="shared" si="146"/>
        <v/>
      </c>
      <c r="Y98" s="435">
        <f t="shared" si="147"/>
        <v>0</v>
      </c>
      <c r="Z98" s="435" t="str">
        <f t="shared" si="148"/>
        <v/>
      </c>
    </row>
    <row r="99" spans="1:26" ht="30" customHeight="1" x14ac:dyDescent="0.2">
      <c r="A99" s="145">
        <v>23</v>
      </c>
      <c r="B99" s="29"/>
      <c r="C99" s="106" t="str">
        <f>IF(INDEX(設定!$C$9:$C$108,$A99,1)="","",INDEX(設定!$C$9:$C$108,$A99,1))</f>
        <v/>
      </c>
      <c r="D99" s="107" t="str">
        <f>IF(INDEX(設定!$D$9:$D$108,$A99,1)="","",INDEX(設定!$D$9:$D$108,$A99,1))</f>
        <v/>
      </c>
      <c r="E99" s="108" t="str">
        <f>IF(INDEX(設定!$E$9:$E$108,$A99,1)="","",INDEX(設定!$E$9:$E$108,$A99,1))</f>
        <v/>
      </c>
      <c r="F99" s="109" t="str">
        <f t="shared" si="149"/>
        <v/>
      </c>
      <c r="G99" s="428" t="str">
        <f>IF(INDEX(設定!L$9:L$108,$A99,1)=0,"",ROUND(INDEX(設定!L$9:L$108,$A99,1),1))</f>
        <v/>
      </c>
      <c r="H99" s="428" t="str">
        <f>IF(INDEX(設定!M$9:M$108,$A99,1)=0,"",ROUND(INDEX(設定!M$9:M$108,$A99,1),1))</f>
        <v/>
      </c>
      <c r="I99" s="428" t="str">
        <f>IF(INDEX(設定!N$9:N$108,$A99,1)=0,"",ROUND(INDEX(設定!N$9:N$108,$A99,1),1))</f>
        <v/>
      </c>
      <c r="J99" s="428" t="str">
        <f>IF(INDEX(設定!O$9:O$108,$A99,1)=0,"",ROUND(INDEX(設定!O$9:O$108,$A99,1),1))</f>
        <v/>
      </c>
      <c r="K99" s="428" t="str">
        <f>IF(INDEX(設定!P$9:P$108,$A99,1)=0,"",ROUND(INDEX(設定!P$9:P$108,$A99,1),1))</f>
        <v/>
      </c>
      <c r="L99" s="428" t="str">
        <f>IF(INDEX(設定!Q$9:Q$108,$A99,1)=0,"",ROUND(INDEX(設定!Q$9:Q$108,$A99,1),1))</f>
        <v/>
      </c>
      <c r="M99" s="429" t="str">
        <f>IF(INDEX(設定!R$9:R$108,$A99,1)=0,"",ROUND(INDEX(設定!R$9:R$108,$A99,1),1))</f>
        <v/>
      </c>
      <c r="N99" s="74"/>
      <c r="P99" s="14"/>
      <c r="Q99" s="14"/>
      <c r="S99" s="110" t="str">
        <f>IF(INDEX(設定!$F$9:$F$108,$A99,1)="","",VALUE(LEFT(INDEX(設定!$F$9:$F$108,$A99,1),1)))</f>
        <v/>
      </c>
      <c r="T99" s="219" t="str">
        <f t="shared" si="159"/>
        <v/>
      </c>
      <c r="U99" s="188" t="str">
        <f t="shared" si="160"/>
        <v/>
      </c>
      <c r="V99" s="309" t="str">
        <f t="shared" si="161"/>
        <v/>
      </c>
      <c r="W99" s="434">
        <f t="shared" si="145"/>
        <v>0</v>
      </c>
      <c r="X99" s="435" t="str">
        <f t="shared" si="146"/>
        <v/>
      </c>
      <c r="Y99" s="435">
        <f t="shared" si="147"/>
        <v>0</v>
      </c>
      <c r="Z99" s="435" t="str">
        <f t="shared" si="148"/>
        <v/>
      </c>
    </row>
    <row r="100" spans="1:26" ht="30" customHeight="1" x14ac:dyDescent="0.2">
      <c r="A100" s="145">
        <v>24</v>
      </c>
      <c r="B100" s="29"/>
      <c r="C100" s="106" t="str">
        <f>IF(INDEX(設定!$C$9:$C$108,$A100,1)="","",INDEX(設定!$C$9:$C$108,$A100,1))</f>
        <v/>
      </c>
      <c r="D100" s="107" t="str">
        <f>IF(INDEX(設定!$D$9:$D$108,$A100,1)="","",INDEX(設定!$D$9:$D$108,$A100,1))</f>
        <v/>
      </c>
      <c r="E100" s="108" t="str">
        <f>IF(INDEX(設定!$E$9:$E$108,$A100,1)="","",INDEX(設定!$E$9:$E$108,$A100,1))</f>
        <v/>
      </c>
      <c r="F100" s="109" t="str">
        <f t="shared" si="149"/>
        <v/>
      </c>
      <c r="G100" s="428" t="str">
        <f>IF(INDEX(設定!L$9:L$108,$A100,1)=0,"",ROUND(INDEX(設定!L$9:L$108,$A100,1),1))</f>
        <v/>
      </c>
      <c r="H100" s="428" t="str">
        <f>IF(INDEX(設定!M$9:M$108,$A100,1)=0,"",ROUND(INDEX(設定!M$9:M$108,$A100,1),1))</f>
        <v/>
      </c>
      <c r="I100" s="428" t="str">
        <f>IF(INDEX(設定!N$9:N$108,$A100,1)=0,"",ROUND(INDEX(設定!N$9:N$108,$A100,1),1))</f>
        <v/>
      </c>
      <c r="J100" s="428" t="str">
        <f>IF(INDEX(設定!O$9:O$108,$A100,1)=0,"",ROUND(INDEX(設定!O$9:O$108,$A100,1),1))</f>
        <v/>
      </c>
      <c r="K100" s="428" t="str">
        <f>IF(INDEX(設定!P$9:P$108,$A100,1)=0,"",ROUND(INDEX(設定!P$9:P$108,$A100,1),1))</f>
        <v/>
      </c>
      <c r="L100" s="428" t="str">
        <f>IF(INDEX(設定!Q$9:Q$108,$A100,1)=0,"",ROUND(INDEX(設定!Q$9:Q$108,$A100,1),1))</f>
        <v/>
      </c>
      <c r="M100" s="429" t="str">
        <f>IF(INDEX(設定!R$9:R$108,$A100,1)=0,"",ROUND(INDEX(設定!R$9:R$108,$A100,1),1))</f>
        <v/>
      </c>
      <c r="N100" s="74"/>
      <c r="P100" s="14"/>
      <c r="Q100" s="14"/>
      <c r="S100" s="110" t="str">
        <f>IF(INDEX(設定!$F$9:$F$108,$A100,1)="","",VALUE(LEFT(INDEX(設定!$F$9:$F$108,$A100,1),1)))</f>
        <v/>
      </c>
      <c r="T100" s="219" t="str">
        <f>IF(C100="","",C100)</f>
        <v/>
      </c>
      <c r="U100" s="188" t="str">
        <f>IF(D100="","",IF(D100="1：男",1,IF(D100="2：女",2)))</f>
        <v/>
      </c>
      <c r="V100" s="309" t="str">
        <f>IF(E100="","",E100)</f>
        <v/>
      </c>
      <c r="W100" s="434">
        <f t="shared" si="145"/>
        <v>0</v>
      </c>
      <c r="X100" s="435" t="str">
        <f t="shared" si="146"/>
        <v/>
      </c>
      <c r="Y100" s="435">
        <f t="shared" si="147"/>
        <v>0</v>
      </c>
      <c r="Z100" s="435" t="str">
        <f t="shared" si="148"/>
        <v/>
      </c>
    </row>
    <row r="101" spans="1:26" ht="30" customHeight="1" x14ac:dyDescent="0.2">
      <c r="A101" s="145">
        <v>25</v>
      </c>
      <c r="B101" s="29"/>
      <c r="C101" s="106" t="str">
        <f>IF(INDEX(設定!$C$9:$C$108,$A101,1)="","",INDEX(設定!$C$9:$C$108,$A101,1))</f>
        <v/>
      </c>
      <c r="D101" s="107" t="str">
        <f>IF(INDEX(設定!$D$9:$D$108,$A101,1)="","",INDEX(設定!$D$9:$D$108,$A101,1))</f>
        <v/>
      </c>
      <c r="E101" s="108" t="str">
        <f>IF(INDEX(設定!$E$9:$E$108,$A101,1)="","",INDEX(設定!$E$9:$E$108,$A101,1))</f>
        <v/>
      </c>
      <c r="F101" s="109" t="str">
        <f t="shared" si="149"/>
        <v/>
      </c>
      <c r="G101" s="428" t="str">
        <f>IF(INDEX(設定!L$9:L$108,$A101,1)=0,"",ROUND(INDEX(設定!L$9:L$108,$A101,1),1))</f>
        <v/>
      </c>
      <c r="H101" s="428" t="str">
        <f>IF(INDEX(設定!M$9:M$108,$A101,1)=0,"",ROUND(INDEX(設定!M$9:M$108,$A101,1),1))</f>
        <v/>
      </c>
      <c r="I101" s="428" t="str">
        <f>IF(INDEX(設定!N$9:N$108,$A101,1)=0,"",ROUND(INDEX(設定!N$9:N$108,$A101,1),1))</f>
        <v/>
      </c>
      <c r="J101" s="428" t="str">
        <f>IF(INDEX(設定!O$9:O$108,$A101,1)=0,"",ROUND(INDEX(設定!O$9:O$108,$A101,1),1))</f>
        <v/>
      </c>
      <c r="K101" s="428" t="str">
        <f>IF(INDEX(設定!P$9:P$108,$A101,1)=0,"",ROUND(INDEX(設定!P$9:P$108,$A101,1),1))</f>
        <v/>
      </c>
      <c r="L101" s="428" t="str">
        <f>IF(INDEX(設定!Q$9:Q$108,$A101,1)=0,"",ROUND(INDEX(設定!Q$9:Q$108,$A101,1),1))</f>
        <v/>
      </c>
      <c r="M101" s="429" t="str">
        <f>IF(INDEX(設定!R$9:R$108,$A101,1)=0,"",ROUND(INDEX(設定!R$9:R$108,$A101,1),1))</f>
        <v/>
      </c>
      <c r="N101" s="74"/>
      <c r="P101" s="14"/>
      <c r="Q101" s="14"/>
      <c r="S101" s="110" t="str">
        <f>IF(INDEX(設定!$F$9:$F$108,$A101,1)="","",VALUE(LEFT(INDEX(設定!$F$9:$F$108,$A101,1),1)))</f>
        <v/>
      </c>
      <c r="T101" s="219" t="str">
        <f>IF(C101="","",C101)</f>
        <v/>
      </c>
      <c r="U101" s="188" t="str">
        <f>IF(D101="","",IF(D101="1：男",1,IF(D101="2：女",2)))</f>
        <v/>
      </c>
      <c r="V101" s="309" t="str">
        <f>IF(E101="","",E101)</f>
        <v/>
      </c>
      <c r="W101" s="434">
        <f t="shared" si="145"/>
        <v>0</v>
      </c>
      <c r="X101" s="435" t="str">
        <f t="shared" si="146"/>
        <v/>
      </c>
      <c r="Y101" s="435">
        <f t="shared" si="147"/>
        <v>0</v>
      </c>
      <c r="Z101" s="435" t="str">
        <f t="shared" si="148"/>
        <v/>
      </c>
    </row>
    <row r="102" spans="1:26" ht="30" customHeight="1" x14ac:dyDescent="0.2">
      <c r="A102" s="145">
        <v>26</v>
      </c>
      <c r="B102" s="29"/>
      <c r="C102" s="106" t="str">
        <f>IF(INDEX(設定!$C$9:$C$108,$A102,1)="","",INDEX(設定!$C$9:$C$108,$A102,1))</f>
        <v/>
      </c>
      <c r="D102" s="107" t="str">
        <f>IF(INDEX(設定!$D$9:$D$108,$A102,1)="","",INDEX(設定!$D$9:$D$108,$A102,1))</f>
        <v/>
      </c>
      <c r="E102" s="108" t="str">
        <f>IF(INDEX(設定!$E$9:$E$108,$A102,1)="","",INDEX(設定!$E$9:$E$108,$A102,1))</f>
        <v/>
      </c>
      <c r="F102" s="109" t="str">
        <f t="shared" si="149"/>
        <v/>
      </c>
      <c r="G102" s="428" t="str">
        <f>IF(INDEX(設定!L$9:L$108,$A102,1)=0,"",ROUND(INDEX(設定!L$9:L$108,$A102,1),1))</f>
        <v/>
      </c>
      <c r="H102" s="428" t="str">
        <f>IF(INDEX(設定!M$9:M$108,$A102,1)=0,"",ROUND(INDEX(設定!M$9:M$108,$A102,1),1))</f>
        <v/>
      </c>
      <c r="I102" s="428" t="str">
        <f>IF(INDEX(設定!N$9:N$108,$A102,1)=0,"",ROUND(INDEX(設定!N$9:N$108,$A102,1),1))</f>
        <v/>
      </c>
      <c r="J102" s="428" t="str">
        <f>IF(INDEX(設定!O$9:O$108,$A102,1)=0,"",ROUND(INDEX(設定!O$9:O$108,$A102,1),1))</f>
        <v/>
      </c>
      <c r="K102" s="428" t="str">
        <f>IF(INDEX(設定!P$9:P$108,$A102,1)=0,"",ROUND(INDEX(設定!P$9:P$108,$A102,1),1))</f>
        <v/>
      </c>
      <c r="L102" s="428" t="str">
        <f>IF(INDEX(設定!Q$9:Q$108,$A102,1)=0,"",ROUND(INDEX(設定!Q$9:Q$108,$A102,1),1))</f>
        <v/>
      </c>
      <c r="M102" s="429" t="str">
        <f>IF(INDEX(設定!R$9:R$108,$A102,1)=0,"",ROUND(INDEX(設定!R$9:R$108,$A102,1),1))</f>
        <v/>
      </c>
      <c r="N102" s="74"/>
      <c r="P102" s="14"/>
      <c r="Q102" s="14"/>
      <c r="S102" s="110" t="str">
        <f>IF(INDEX(設定!$F$9:$F$108,$A102,1)="","",VALUE(LEFT(INDEX(設定!$F$9:$F$108,$A102,1),1)))</f>
        <v/>
      </c>
      <c r="T102" s="219" t="str">
        <f t="shared" ref="T102:T106" si="162">IF(C102="","",C102)</f>
        <v/>
      </c>
      <c r="U102" s="188" t="str">
        <f t="shared" ref="U102:U106" si="163">IF(D102="","",IF(D102="1：男",1,IF(D102="2：女",2)))</f>
        <v/>
      </c>
      <c r="V102" s="309" t="str">
        <f t="shared" ref="V102:V106" si="164">IF(E102="","",E102)</f>
        <v/>
      </c>
      <c r="W102" s="434">
        <f t="shared" si="145"/>
        <v>0</v>
      </c>
      <c r="X102" s="435" t="str">
        <f t="shared" si="146"/>
        <v/>
      </c>
      <c r="Y102" s="435">
        <f t="shared" si="147"/>
        <v>0</v>
      </c>
      <c r="Z102" s="435" t="str">
        <f t="shared" si="148"/>
        <v/>
      </c>
    </row>
    <row r="103" spans="1:26" ht="30" customHeight="1" x14ac:dyDescent="0.2">
      <c r="A103" s="145">
        <v>27</v>
      </c>
      <c r="B103" s="29"/>
      <c r="C103" s="106" t="str">
        <f>IF(INDEX(設定!$C$9:$C$108,$A103,1)="","",INDEX(設定!$C$9:$C$108,$A103,1))</f>
        <v/>
      </c>
      <c r="D103" s="107" t="str">
        <f>IF(INDEX(設定!$D$9:$D$108,$A103,1)="","",INDEX(設定!$D$9:$D$108,$A103,1))</f>
        <v/>
      </c>
      <c r="E103" s="108" t="str">
        <f>IF(INDEX(設定!$E$9:$E$108,$A103,1)="","",INDEX(設定!$E$9:$E$108,$A103,1))</f>
        <v/>
      </c>
      <c r="F103" s="109" t="str">
        <f t="shared" si="149"/>
        <v/>
      </c>
      <c r="G103" s="428" t="str">
        <f>IF(INDEX(設定!L$9:L$108,$A103,1)=0,"",ROUND(INDEX(設定!L$9:L$108,$A103,1),1))</f>
        <v/>
      </c>
      <c r="H103" s="428" t="str">
        <f>IF(INDEX(設定!M$9:M$108,$A103,1)=0,"",ROUND(INDEX(設定!M$9:M$108,$A103,1),1))</f>
        <v/>
      </c>
      <c r="I103" s="428" t="str">
        <f>IF(INDEX(設定!N$9:N$108,$A103,1)=0,"",ROUND(INDEX(設定!N$9:N$108,$A103,1),1))</f>
        <v/>
      </c>
      <c r="J103" s="428" t="str">
        <f>IF(INDEX(設定!O$9:O$108,$A103,1)=0,"",ROUND(INDEX(設定!O$9:O$108,$A103,1),1))</f>
        <v/>
      </c>
      <c r="K103" s="428" t="str">
        <f>IF(INDEX(設定!P$9:P$108,$A103,1)=0,"",ROUND(INDEX(設定!P$9:P$108,$A103,1),1))</f>
        <v/>
      </c>
      <c r="L103" s="428" t="str">
        <f>IF(INDEX(設定!Q$9:Q$108,$A103,1)=0,"",ROUND(INDEX(設定!Q$9:Q$108,$A103,1),1))</f>
        <v/>
      </c>
      <c r="M103" s="429" t="str">
        <f>IF(INDEX(設定!R$9:R$108,$A103,1)=0,"",ROUND(INDEX(設定!R$9:R$108,$A103,1),1))</f>
        <v/>
      </c>
      <c r="N103" s="74"/>
      <c r="P103" s="14"/>
      <c r="Q103" s="14"/>
      <c r="S103" s="110" t="str">
        <f>IF(INDEX(設定!$F$9:$F$108,$A103,1)="","",VALUE(LEFT(INDEX(設定!$F$9:$F$108,$A103,1),1)))</f>
        <v/>
      </c>
      <c r="T103" s="219" t="str">
        <f t="shared" si="162"/>
        <v/>
      </c>
      <c r="U103" s="188" t="str">
        <f t="shared" si="163"/>
        <v/>
      </c>
      <c r="V103" s="309" t="str">
        <f t="shared" si="164"/>
        <v/>
      </c>
      <c r="W103" s="434">
        <f t="shared" si="145"/>
        <v>0</v>
      </c>
      <c r="X103" s="435" t="str">
        <f t="shared" si="146"/>
        <v/>
      </c>
      <c r="Y103" s="435">
        <f t="shared" si="147"/>
        <v>0</v>
      </c>
      <c r="Z103" s="435" t="str">
        <f t="shared" si="148"/>
        <v/>
      </c>
    </row>
    <row r="104" spans="1:26" ht="30" customHeight="1" x14ac:dyDescent="0.2">
      <c r="A104" s="145">
        <v>28</v>
      </c>
      <c r="B104" s="29"/>
      <c r="C104" s="106" t="str">
        <f>IF(INDEX(設定!$C$9:$C$108,$A104,1)="","",INDEX(設定!$C$9:$C$108,$A104,1))</f>
        <v/>
      </c>
      <c r="D104" s="107" t="str">
        <f>IF(INDEX(設定!$D$9:$D$108,$A104,1)="","",INDEX(設定!$D$9:$D$108,$A104,1))</f>
        <v/>
      </c>
      <c r="E104" s="108" t="str">
        <f>IF(INDEX(設定!$E$9:$E$108,$A104,1)="","",INDEX(設定!$E$9:$E$108,$A104,1))</f>
        <v/>
      </c>
      <c r="F104" s="109" t="str">
        <f t="shared" si="149"/>
        <v/>
      </c>
      <c r="G104" s="428" t="str">
        <f>IF(INDEX(設定!L$9:L$108,$A104,1)=0,"",ROUND(INDEX(設定!L$9:L$108,$A104,1),1))</f>
        <v/>
      </c>
      <c r="H104" s="428" t="str">
        <f>IF(INDEX(設定!M$9:M$108,$A104,1)=0,"",ROUND(INDEX(設定!M$9:M$108,$A104,1),1))</f>
        <v/>
      </c>
      <c r="I104" s="428" t="str">
        <f>IF(INDEX(設定!N$9:N$108,$A104,1)=0,"",ROUND(INDEX(設定!N$9:N$108,$A104,1),1))</f>
        <v/>
      </c>
      <c r="J104" s="428" t="str">
        <f>IF(INDEX(設定!O$9:O$108,$A104,1)=0,"",ROUND(INDEX(設定!O$9:O$108,$A104,1),1))</f>
        <v/>
      </c>
      <c r="K104" s="428" t="str">
        <f>IF(INDEX(設定!P$9:P$108,$A104,1)=0,"",ROUND(INDEX(設定!P$9:P$108,$A104,1),1))</f>
        <v/>
      </c>
      <c r="L104" s="428" t="str">
        <f>IF(INDEX(設定!Q$9:Q$108,$A104,1)=0,"",ROUND(INDEX(設定!Q$9:Q$108,$A104,1),1))</f>
        <v/>
      </c>
      <c r="M104" s="429" t="str">
        <f>IF(INDEX(設定!R$9:R$108,$A104,1)=0,"",ROUND(INDEX(設定!R$9:R$108,$A104,1),1))</f>
        <v/>
      </c>
      <c r="N104" s="74"/>
      <c r="P104" s="14"/>
      <c r="Q104" s="14"/>
      <c r="S104" s="110" t="str">
        <f>IF(INDEX(設定!$F$9:$F$108,$A104,1)="","",VALUE(LEFT(INDEX(設定!$F$9:$F$108,$A104,1),1)))</f>
        <v/>
      </c>
      <c r="T104" s="219" t="str">
        <f t="shared" si="162"/>
        <v/>
      </c>
      <c r="U104" s="188" t="str">
        <f t="shared" si="163"/>
        <v/>
      </c>
      <c r="V104" s="309" t="str">
        <f t="shared" si="164"/>
        <v/>
      </c>
      <c r="W104" s="434">
        <f t="shared" si="145"/>
        <v>0</v>
      </c>
      <c r="X104" s="435" t="str">
        <f t="shared" si="146"/>
        <v/>
      </c>
      <c r="Y104" s="435">
        <f t="shared" si="147"/>
        <v>0</v>
      </c>
      <c r="Z104" s="435" t="str">
        <f t="shared" si="148"/>
        <v/>
      </c>
    </row>
    <row r="105" spans="1:26" ht="30" customHeight="1" x14ac:dyDescent="0.2">
      <c r="A105" s="145">
        <v>29</v>
      </c>
      <c r="B105" s="29"/>
      <c r="C105" s="106" t="str">
        <f>IF(INDEX(設定!$C$9:$C$108,$A105,1)="","",INDEX(設定!$C$9:$C$108,$A105,1))</f>
        <v/>
      </c>
      <c r="D105" s="107" t="str">
        <f>IF(INDEX(設定!$D$9:$D$108,$A105,1)="","",INDEX(設定!$D$9:$D$108,$A105,1))</f>
        <v/>
      </c>
      <c r="E105" s="108" t="str">
        <f>IF(INDEX(設定!$E$9:$E$108,$A105,1)="","",INDEX(設定!$E$9:$E$108,$A105,1))</f>
        <v/>
      </c>
      <c r="F105" s="109" t="str">
        <f t="shared" si="149"/>
        <v/>
      </c>
      <c r="G105" s="428" t="str">
        <f>IF(INDEX(設定!L$9:L$108,$A105,1)=0,"",ROUND(INDEX(設定!L$9:L$108,$A105,1),1))</f>
        <v/>
      </c>
      <c r="H105" s="428" t="str">
        <f>IF(INDEX(設定!M$9:M$108,$A105,1)=0,"",ROUND(INDEX(設定!M$9:M$108,$A105,1),1))</f>
        <v/>
      </c>
      <c r="I105" s="428" t="str">
        <f>IF(INDEX(設定!N$9:N$108,$A105,1)=0,"",ROUND(INDEX(設定!N$9:N$108,$A105,1),1))</f>
        <v/>
      </c>
      <c r="J105" s="428" t="str">
        <f>IF(INDEX(設定!O$9:O$108,$A105,1)=0,"",ROUND(INDEX(設定!O$9:O$108,$A105,1),1))</f>
        <v/>
      </c>
      <c r="K105" s="428" t="str">
        <f>IF(INDEX(設定!P$9:P$108,$A105,1)=0,"",ROUND(INDEX(設定!P$9:P$108,$A105,1),1))</f>
        <v/>
      </c>
      <c r="L105" s="428" t="str">
        <f>IF(INDEX(設定!Q$9:Q$108,$A105,1)=0,"",ROUND(INDEX(設定!Q$9:Q$108,$A105,1),1))</f>
        <v/>
      </c>
      <c r="M105" s="429" t="str">
        <f>IF(INDEX(設定!R$9:R$108,$A105,1)=0,"",ROUND(INDEX(設定!R$9:R$108,$A105,1),1))</f>
        <v/>
      </c>
      <c r="N105" s="74"/>
      <c r="P105" s="14"/>
      <c r="Q105" s="14"/>
      <c r="S105" s="110" t="str">
        <f>IF(INDEX(設定!$F$9:$F$108,$A105,1)="","",VALUE(LEFT(INDEX(設定!$F$9:$F$108,$A105,1),1)))</f>
        <v/>
      </c>
      <c r="T105" s="219" t="str">
        <f t="shared" si="162"/>
        <v/>
      </c>
      <c r="U105" s="188" t="str">
        <f t="shared" si="163"/>
        <v/>
      </c>
      <c r="V105" s="309" t="str">
        <f t="shared" si="164"/>
        <v/>
      </c>
      <c r="W105" s="434">
        <f t="shared" si="145"/>
        <v>0</v>
      </c>
      <c r="X105" s="435" t="str">
        <f t="shared" si="146"/>
        <v/>
      </c>
      <c r="Y105" s="435">
        <f t="shared" si="147"/>
        <v>0</v>
      </c>
      <c r="Z105" s="435" t="str">
        <f t="shared" si="148"/>
        <v/>
      </c>
    </row>
    <row r="106" spans="1:26" ht="30" customHeight="1" thickBot="1" x14ac:dyDescent="0.25">
      <c r="A106" s="145">
        <v>30</v>
      </c>
      <c r="B106" s="29"/>
      <c r="C106" s="111" t="str">
        <f>IF(INDEX(設定!$C$9:$C$108,$A106,1)="","",INDEX(設定!$C$9:$C$108,$A106,1))</f>
        <v/>
      </c>
      <c r="D106" s="163" t="str">
        <f>IF(INDEX(設定!$D$9:$D$108,$A106,1)="","",INDEX(設定!$D$9:$D$108,$A106,1))</f>
        <v/>
      </c>
      <c r="E106" s="164" t="str">
        <f>IF(INDEX(設定!$E$9:$E$108,$A106,1)="","",INDEX(設定!$E$9:$E$108,$A106,1))</f>
        <v/>
      </c>
      <c r="F106" s="165" t="str">
        <f t="shared" si="149"/>
        <v/>
      </c>
      <c r="G106" s="430" t="str">
        <f>IF(INDEX(設定!L$9:L$108,$A106,1)=0,"",ROUND(INDEX(設定!L$9:L$108,$A106,1),1))</f>
        <v/>
      </c>
      <c r="H106" s="430" t="str">
        <f>IF(INDEX(設定!M$9:M$108,$A106,1)=0,"",ROUND(INDEX(設定!M$9:M$108,$A106,1),1))</f>
        <v/>
      </c>
      <c r="I106" s="430" t="str">
        <f>IF(INDEX(設定!N$9:N$108,$A106,1)=0,"",ROUND(INDEX(設定!N$9:N$108,$A106,1),1))</f>
        <v/>
      </c>
      <c r="J106" s="430" t="str">
        <f>IF(INDEX(設定!O$9:O$108,$A106,1)=0,"",ROUND(INDEX(設定!O$9:O$108,$A106,1),1))</f>
        <v/>
      </c>
      <c r="K106" s="430" t="str">
        <f>IF(INDEX(設定!P$9:P$108,$A106,1)=0,"",ROUND(INDEX(設定!P$9:P$108,$A106,1),1))</f>
        <v/>
      </c>
      <c r="L106" s="430" t="str">
        <f>IF(INDEX(設定!Q$9:Q$108,$A106,1)=0,"",ROUND(INDEX(設定!Q$9:Q$108,$A106,1),1))</f>
        <v/>
      </c>
      <c r="M106" s="431" t="str">
        <f>IF(INDEX(設定!R$9:R$108,$A106,1)=0,"",ROUND(INDEX(設定!R$9:R$108,$A106,1),1))</f>
        <v/>
      </c>
      <c r="N106" s="74"/>
      <c r="P106" s="14"/>
      <c r="Q106" s="14"/>
      <c r="S106" s="162" t="str">
        <f>IF(INDEX(設定!$F$9:$F$108,$A106,1)="","",VALUE(LEFT(INDEX(設定!$F$9:$F$108,$A106,1),1)))</f>
        <v/>
      </c>
      <c r="T106" s="204" t="str">
        <f t="shared" si="162"/>
        <v/>
      </c>
      <c r="U106" s="187" t="str">
        <f t="shared" si="163"/>
        <v/>
      </c>
      <c r="V106" s="311" t="str">
        <f t="shared" si="164"/>
        <v/>
      </c>
      <c r="W106" s="434">
        <f t="shared" si="145"/>
        <v>0</v>
      </c>
      <c r="X106" s="435" t="str">
        <f t="shared" si="146"/>
        <v/>
      </c>
      <c r="Y106" s="435">
        <f t="shared" si="147"/>
        <v>0</v>
      </c>
      <c r="Z106" s="435" t="str">
        <f t="shared" si="148"/>
        <v/>
      </c>
    </row>
    <row r="107" spans="1:26" ht="30" customHeight="1" x14ac:dyDescent="0.15">
      <c r="P107" s="14"/>
      <c r="Q107" s="14"/>
      <c r="T107" s="238"/>
      <c r="U107" s="238"/>
      <c r="V107" s="238"/>
      <c r="W107" s="238"/>
      <c r="X107" s="238"/>
      <c r="Y107" s="238"/>
      <c r="Z107" s="238"/>
    </row>
    <row r="108" spans="1:26" ht="30" customHeight="1" x14ac:dyDescent="0.15">
      <c r="C108"/>
      <c r="D108"/>
      <c r="E108"/>
      <c r="F108"/>
      <c r="G108" s="318"/>
      <c r="H108" s="318"/>
      <c r="I108" s="318"/>
      <c r="J108" s="318"/>
      <c r="K108" s="318"/>
      <c r="L108" s="318"/>
      <c r="M108" s="318"/>
      <c r="N108" s="318"/>
      <c r="O108" s="238"/>
      <c r="T108" s="238"/>
      <c r="U108" s="238"/>
      <c r="V108" s="238"/>
      <c r="W108" s="238"/>
      <c r="X108" s="238"/>
      <c r="Y108" s="238"/>
      <c r="Z108" s="238"/>
    </row>
    <row r="109" spans="1:26" ht="30" customHeight="1" thickBot="1" x14ac:dyDescent="0.2">
      <c r="C109" s="319" t="s">
        <v>142</v>
      </c>
      <c r="D109" s="318"/>
      <c r="E109" s="318"/>
      <c r="F109" s="318"/>
      <c r="G109" s="318"/>
      <c r="H109" s="318"/>
      <c r="I109" s="318"/>
      <c r="J109" s="318"/>
      <c r="K109" s="318"/>
      <c r="L109" s="318"/>
      <c r="M109" s="320"/>
      <c r="N109" s="318"/>
      <c r="O109" s="238"/>
      <c r="S109" s="238" t="s">
        <v>147</v>
      </c>
      <c r="T109" s="238"/>
      <c r="U109" s="238"/>
      <c r="V109" s="238"/>
      <c r="W109" s="238"/>
      <c r="X109" s="238"/>
      <c r="Y109" s="238"/>
      <c r="Z109" s="238"/>
    </row>
    <row r="110" spans="1:26" ht="30" customHeight="1" x14ac:dyDescent="0.15">
      <c r="C110" s="565" t="s">
        <v>143</v>
      </c>
      <c r="D110" s="567" t="s">
        <v>144</v>
      </c>
      <c r="E110" s="569" t="s">
        <v>145</v>
      </c>
      <c r="F110" s="570"/>
      <c r="G110" s="321"/>
      <c r="H110" s="238"/>
      <c r="I110" s="238"/>
      <c r="J110" s="318"/>
      <c r="K110" s="318"/>
      <c r="L110" s="318"/>
      <c r="M110" s="318"/>
      <c r="N110" s="318"/>
      <c r="O110" s="238"/>
      <c r="S110" s="571" t="s">
        <v>143</v>
      </c>
      <c r="T110" s="573" t="s">
        <v>139</v>
      </c>
      <c r="U110" s="574"/>
      <c r="V110"/>
      <c r="W110"/>
      <c r="X110" s="238"/>
      <c r="Y110" s="238"/>
      <c r="Z110" s="238"/>
    </row>
    <row r="111" spans="1:26" ht="30" customHeight="1" thickBot="1" x14ac:dyDescent="0.2">
      <c r="C111" s="566"/>
      <c r="D111" s="568"/>
      <c r="E111" s="322" t="s">
        <v>146</v>
      </c>
      <c r="F111" s="323" t="s">
        <v>141</v>
      </c>
      <c r="G111" s="324"/>
      <c r="H111" s="238"/>
      <c r="I111" s="238"/>
      <c r="J111" s="318"/>
      <c r="K111" s="318"/>
      <c r="L111" s="318"/>
      <c r="M111" s="318"/>
      <c r="N111" s="318"/>
      <c r="O111" s="238"/>
      <c r="S111" s="572"/>
      <c r="T111" s="312" t="s">
        <v>140</v>
      </c>
      <c r="U111" s="313" t="s">
        <v>141</v>
      </c>
      <c r="V111"/>
      <c r="W111"/>
      <c r="X111" s="238"/>
      <c r="Y111" s="238"/>
      <c r="Z111" s="238"/>
    </row>
    <row r="112" spans="1:26" ht="30" customHeight="1" thickTop="1" x14ac:dyDescent="0.15">
      <c r="C112" s="325" t="s">
        <v>121</v>
      </c>
      <c r="D112" s="326"/>
      <c r="E112" s="327"/>
      <c r="F112" s="328"/>
      <c r="G112" s="329"/>
      <c r="H112" s="238"/>
      <c r="I112" s="238"/>
      <c r="J112" s="318"/>
      <c r="K112" s="318"/>
      <c r="L112" s="318"/>
      <c r="M112" s="318"/>
      <c r="N112" s="318"/>
      <c r="O112" s="238"/>
      <c r="S112" s="334" t="s">
        <v>121</v>
      </c>
      <c r="T112" s="314" t="str">
        <f>IF(E112="","",ROUND(D112*E112%,0))</f>
        <v/>
      </c>
      <c r="U112" s="315" t="str">
        <f>IF(F112="","",ROUND(D112*(F112%),0))</f>
        <v/>
      </c>
      <c r="V112"/>
      <c r="W112"/>
      <c r="X112" s="238"/>
      <c r="Y112" s="238"/>
      <c r="Z112" s="238"/>
    </row>
    <row r="113" spans="3:26" ht="30" customHeight="1" thickBot="1" x14ac:dyDescent="0.2">
      <c r="C113" s="330" t="s">
        <v>122</v>
      </c>
      <c r="D113" s="331"/>
      <c r="E113" s="332"/>
      <c r="F113" s="333"/>
      <c r="G113" s="329"/>
      <c r="H113" s="238"/>
      <c r="I113" s="238"/>
      <c r="J113" s="318"/>
      <c r="K113" s="318"/>
      <c r="L113" s="318"/>
      <c r="M113" s="318"/>
      <c r="N113" s="318"/>
      <c r="O113" s="238"/>
      <c r="S113" s="335" t="s">
        <v>122</v>
      </c>
      <c r="T113" s="316" t="str">
        <f>IF(E113="","",ROUND(D113*E113%,0))</f>
        <v/>
      </c>
      <c r="U113" s="317" t="str">
        <f>IF(F113="","",ROUND(D113*(F113%),0))</f>
        <v/>
      </c>
      <c r="V113"/>
      <c r="W113"/>
      <c r="X113" s="238"/>
      <c r="Y113" s="238"/>
      <c r="Z113" s="238"/>
    </row>
  </sheetData>
  <sheetProtection formatCells="0" formatColumns="0" formatRows="0" insertColumns="0" insertRows="0" insertHyperlinks="0" deleteColumns="0" deleteRows="0" selectLockedCells="1" sort="0"/>
  <mergeCells count="94">
    <mergeCell ref="C110:C111"/>
    <mergeCell ref="D110:D111"/>
    <mergeCell ref="E110:F110"/>
    <mergeCell ref="S110:S111"/>
    <mergeCell ref="T110:U110"/>
    <mergeCell ref="X74:Y74"/>
    <mergeCell ref="Z74:Z76"/>
    <mergeCell ref="C75:C76"/>
    <mergeCell ref="D75:D76"/>
    <mergeCell ref="E75:E76"/>
    <mergeCell ref="F75:F76"/>
    <mergeCell ref="G75:G76"/>
    <mergeCell ref="H75:H76"/>
    <mergeCell ref="I75:I76"/>
    <mergeCell ref="J75:J76"/>
    <mergeCell ref="K75:K76"/>
    <mergeCell ref="L75:L76"/>
    <mergeCell ref="M75:M76"/>
    <mergeCell ref="X75:X76"/>
    <mergeCell ref="Y75:Y76"/>
    <mergeCell ref="S74:S76"/>
    <mergeCell ref="T74:T76"/>
    <mergeCell ref="U74:U76"/>
    <mergeCell ref="V74:V76"/>
    <mergeCell ref="W74:W76"/>
    <mergeCell ref="I8:J10"/>
    <mergeCell ref="K8:L10"/>
    <mergeCell ref="M8:N10"/>
    <mergeCell ref="S8:S10"/>
    <mergeCell ref="T8:T10"/>
    <mergeCell ref="U8:U10"/>
    <mergeCell ref="V8:V10"/>
    <mergeCell ref="W8:W10"/>
    <mergeCell ref="C8:C10"/>
    <mergeCell ref="D8:D10"/>
    <mergeCell ref="E8:E10"/>
    <mergeCell ref="F8:F10"/>
    <mergeCell ref="G8:H10"/>
    <mergeCell ref="BC9:BD9"/>
    <mergeCell ref="BE9:BF9"/>
    <mergeCell ref="AC11:AE11"/>
    <mergeCell ref="AV11:AX11"/>
    <mergeCell ref="X8:X10"/>
    <mergeCell ref="Y8:Y10"/>
    <mergeCell ref="Z8:Z10"/>
    <mergeCell ref="AC8:AE10"/>
    <mergeCell ref="AF8:AK8"/>
    <mergeCell ref="AD12:AE12"/>
    <mergeCell ref="AW12:AX12"/>
    <mergeCell ref="AV8:AX10"/>
    <mergeCell ref="AY8:AZ9"/>
    <mergeCell ref="BA8:BB9"/>
    <mergeCell ref="AF9:AG9"/>
    <mergeCell ref="AH9:AI9"/>
    <mergeCell ref="AJ9:AK9"/>
    <mergeCell ref="AL9:AM9"/>
    <mergeCell ref="AN9:AO9"/>
    <mergeCell ref="AP9:AQ9"/>
    <mergeCell ref="AR9:AS9"/>
    <mergeCell ref="AL8:AS8"/>
    <mergeCell ref="AD13:AE13"/>
    <mergeCell ref="AW13:AX13"/>
    <mergeCell ref="AD14:AE14"/>
    <mergeCell ref="AW14:AX14"/>
    <mergeCell ref="AD15:AE15"/>
    <mergeCell ref="AW15:AX15"/>
    <mergeCell ref="AD16:AE16"/>
    <mergeCell ref="AD21:AE21"/>
    <mergeCell ref="AW21:AX21"/>
    <mergeCell ref="AD26:AE26"/>
    <mergeCell ref="AW26:AX26"/>
    <mergeCell ref="AD31:AE31"/>
    <mergeCell ref="AD36:AE36"/>
    <mergeCell ref="AW36:AX36"/>
    <mergeCell ref="AC41:AE41"/>
    <mergeCell ref="AV41:AX41"/>
    <mergeCell ref="AD42:AE42"/>
    <mergeCell ref="AW42:AX42"/>
    <mergeCell ref="AD43:AE43"/>
    <mergeCell ref="AW43:AX43"/>
    <mergeCell ref="AD44:AE44"/>
    <mergeCell ref="AW44:AX44"/>
    <mergeCell ref="AD45:AE45"/>
    <mergeCell ref="AW45:AX45"/>
    <mergeCell ref="AD46:AE46"/>
    <mergeCell ref="AW46:AX46"/>
    <mergeCell ref="AD51:AE51"/>
    <mergeCell ref="AW51:AX51"/>
    <mergeCell ref="AC61:AE61"/>
    <mergeCell ref="AC56:AE56"/>
    <mergeCell ref="AD57:AE57"/>
    <mergeCell ref="AD58:AE58"/>
    <mergeCell ref="AD59:AE59"/>
    <mergeCell ref="AD60:AE60"/>
  </mergeCells>
  <phoneticPr fontId="2"/>
  <conditionalFormatting sqref="D11:D12">
    <cfRule type="expression" dxfId="71" priority="81">
      <formula>AND(C11&lt;&gt;"",D11="")</formula>
    </cfRule>
  </conditionalFormatting>
  <conditionalFormatting sqref="F11:F12">
    <cfRule type="expression" dxfId="70" priority="80">
      <formula>AND(C11&lt;&gt;"",C11&lt;&gt;"手伝い・共同作業受け",C11&lt;&gt;"ゆい・手間替え受け",C11&lt;&gt;"同居人",F11="")</formula>
    </cfRule>
  </conditionalFormatting>
  <conditionalFormatting sqref="D25:D26">
    <cfRule type="expression" dxfId="69" priority="51">
      <formula>AND(C25&lt;&gt;"",D25="")</formula>
    </cfRule>
  </conditionalFormatting>
  <conditionalFormatting sqref="F25:F26">
    <cfRule type="expression" dxfId="68" priority="50">
      <formula>AND(C25&lt;&gt;"",C25&lt;&gt;"手伝い・共同作業受け",C25&lt;&gt;"ゆい・手間替え受け",C25&lt;&gt;"同居人",F25="")</formula>
    </cfRule>
  </conditionalFormatting>
  <conditionalFormatting sqref="D15:D24">
    <cfRule type="expression" dxfId="67" priority="54">
      <formula>AND(C15&lt;&gt;"",D15="")</formula>
    </cfRule>
  </conditionalFormatting>
  <conditionalFormatting sqref="D27:D36">
    <cfRule type="expression" dxfId="66" priority="48">
      <formula>AND(C27&lt;&gt;"",D27="")</formula>
    </cfRule>
  </conditionalFormatting>
  <conditionalFormatting sqref="F27:F36">
    <cfRule type="expression" dxfId="65" priority="47">
      <formula>AND(C27&lt;&gt;"",C27&lt;&gt;"手伝い・共同作業受け",C27&lt;&gt;"ゆい・手間替え受け",C27&lt;&gt;"同居人",F27="")</formula>
    </cfRule>
  </conditionalFormatting>
  <conditionalFormatting sqref="D13:D14">
    <cfRule type="expression" dxfId="64" priority="57">
      <formula>AND(C13&lt;&gt;"",D13="")</formula>
    </cfRule>
  </conditionalFormatting>
  <conditionalFormatting sqref="F13:F14">
    <cfRule type="expression" dxfId="63" priority="56">
      <formula>AND(C13&lt;&gt;"",C13&lt;&gt;"手伝い・共同作業受け",C13&lt;&gt;"ゆい・手間替え受け",C13&lt;&gt;"同居人",F13="")</formula>
    </cfRule>
  </conditionalFormatting>
  <conditionalFormatting sqref="F15:F24">
    <cfRule type="expression" dxfId="62" priority="53">
      <formula>AND(C15&lt;&gt;"",C15&lt;&gt;"手伝い・共同作業受け",C15&lt;&gt;"ゆい・手間替え受け",C15&lt;&gt;"同居人",F15="")</formula>
    </cfRule>
  </conditionalFormatting>
  <conditionalFormatting sqref="D39:D48">
    <cfRule type="expression" dxfId="61" priority="39">
      <formula>AND(C39&lt;&gt;"",D39="")</formula>
    </cfRule>
  </conditionalFormatting>
  <conditionalFormatting sqref="F39:F48">
    <cfRule type="expression" dxfId="60" priority="38">
      <formula>AND(C39&lt;&gt;"",C39&lt;&gt;"手伝い・共同作業受け",C39&lt;&gt;"ゆい・手間替え受け",C39&lt;&gt;"同居人",F39="")</formula>
    </cfRule>
  </conditionalFormatting>
  <conditionalFormatting sqref="D37:D38">
    <cfRule type="expression" dxfId="59" priority="42">
      <formula>AND(C37&lt;&gt;"",D37="")</formula>
    </cfRule>
  </conditionalFormatting>
  <conditionalFormatting sqref="F37:F38">
    <cfRule type="expression" dxfId="58" priority="41">
      <formula>AND(C37&lt;&gt;"",C37&lt;&gt;"手伝い・共同作業受け",C37&lt;&gt;"ゆい・手間替え受け",C37&lt;&gt;"同居人",F37="")</formula>
    </cfRule>
  </conditionalFormatting>
  <conditionalFormatting sqref="D49:D50">
    <cfRule type="expression" dxfId="57" priority="36">
      <formula>AND(C49&lt;&gt;"",D49="")</formula>
    </cfRule>
  </conditionalFormatting>
  <conditionalFormatting sqref="F49:F50">
    <cfRule type="expression" dxfId="56" priority="35">
      <formula>AND(C49&lt;&gt;"",C49&lt;&gt;"手伝い・共同作業受け",C49&lt;&gt;"ゆい・手間替え受け",C49&lt;&gt;"同居人",F49="")</formula>
    </cfRule>
  </conditionalFormatting>
  <conditionalFormatting sqref="D51:D60">
    <cfRule type="expression" dxfId="55" priority="33">
      <formula>AND(C51&lt;&gt;"",D51="")</formula>
    </cfRule>
  </conditionalFormatting>
  <conditionalFormatting sqref="F51:F60">
    <cfRule type="expression" dxfId="54" priority="32">
      <formula>AND(C51&lt;&gt;"",C51&lt;&gt;"手伝い・共同作業受け",C51&lt;&gt;"ゆい・手間替え受け",C51&lt;&gt;"同居人",F51="")</formula>
    </cfRule>
  </conditionalFormatting>
  <conditionalFormatting sqref="D61:D68">
    <cfRule type="expression" dxfId="53" priority="30">
      <formula>AND(C61&lt;&gt;"",D61="")</formula>
    </cfRule>
  </conditionalFormatting>
  <conditionalFormatting sqref="F61:F68">
    <cfRule type="expression" dxfId="52" priority="29">
      <formula>AND(C61&lt;&gt;"",C61&lt;&gt;"手伝い・共同作業受け",C61&lt;&gt;"ゆい・手間替え受け",C61&lt;&gt;"同居人",F61="")</formula>
    </cfRule>
  </conditionalFormatting>
  <conditionalFormatting sqref="D69:D70">
    <cfRule type="expression" dxfId="51" priority="27">
      <formula>AND(C69&lt;&gt;"",D69="")</formula>
    </cfRule>
  </conditionalFormatting>
  <conditionalFormatting sqref="F69:F70">
    <cfRule type="expression" dxfId="50" priority="26">
      <formula>AND(C69&lt;&gt;"",C69&lt;&gt;"手伝い・共同作業受け",C69&lt;&gt;"ゆい・手間替え受け",C69&lt;&gt;"同居人",F69="")</formula>
    </cfRule>
  </conditionalFormatting>
  <conditionalFormatting sqref="C2">
    <cfRule type="containsText" dxfId="49" priority="13" operator="containsText" text="※">
      <formula>NOT(ISERROR(SEARCH("※",C2)))</formula>
    </cfRule>
  </conditionalFormatting>
  <conditionalFormatting sqref="D77:D78 D103:D106">
    <cfRule type="expression" dxfId="48" priority="11">
      <formula>AND(C77&lt;&gt;"",D77="")</formula>
    </cfRule>
  </conditionalFormatting>
  <conditionalFormatting sqref="F77:F78 F103:F106">
    <cfRule type="expression" dxfId="47" priority="10">
      <formula>AND(C77&lt;&gt;"",C77&lt;&gt;"手伝い・共同作業受け",C77&lt;&gt;"ゆい・手間替え受け",C77&lt;&gt;"同居人",F77="")</formula>
    </cfRule>
  </conditionalFormatting>
  <conditionalFormatting sqref="E77:E78 E103:E106">
    <cfRule type="expression" dxfId="46" priority="12">
      <formula>AND(OR(F77="1：家族",C77="同居人"),E77="")</formula>
    </cfRule>
  </conditionalFormatting>
  <conditionalFormatting sqref="D79:D93">
    <cfRule type="expression" dxfId="45" priority="8">
      <formula>AND(C79&lt;&gt;"",D79="")</formula>
    </cfRule>
  </conditionalFormatting>
  <conditionalFormatting sqref="F79:F93">
    <cfRule type="expression" dxfId="44" priority="7">
      <formula>AND(C79&lt;&gt;"",C79&lt;&gt;"手伝い・共同作業受け",C79&lt;&gt;"ゆい・手間替え受け",C79&lt;&gt;"同居人",F79="")</formula>
    </cfRule>
  </conditionalFormatting>
  <conditionalFormatting sqref="E79:E93">
    <cfRule type="expression" dxfId="43" priority="9">
      <formula>AND(OR(F79="1：家族",C79="同居人"),E79="")</formula>
    </cfRule>
  </conditionalFormatting>
  <conditionalFormatting sqref="D94:D98">
    <cfRule type="expression" dxfId="42" priority="5">
      <formula>AND(C94&lt;&gt;"",D94="")</formula>
    </cfRule>
  </conditionalFormatting>
  <conditionalFormatting sqref="F94:F98">
    <cfRule type="expression" dxfId="41" priority="4">
      <formula>AND(C94&lt;&gt;"",C94&lt;&gt;"手伝い・共同作業受け",C94&lt;&gt;"ゆい・手間替え受け",C94&lt;&gt;"同居人",F94="")</formula>
    </cfRule>
  </conditionalFormatting>
  <conditionalFormatting sqref="E94:E98">
    <cfRule type="expression" dxfId="40" priority="6">
      <formula>AND(OR(F94="1：家族",C94="同居人"),E94="")</formula>
    </cfRule>
  </conditionalFormatting>
  <conditionalFormatting sqref="D99:D102">
    <cfRule type="expression" dxfId="39" priority="2">
      <formula>AND(C99&lt;&gt;"",D99="")</formula>
    </cfRule>
  </conditionalFormatting>
  <conditionalFormatting sqref="F99:F102">
    <cfRule type="expression" dxfId="38" priority="1">
      <formula>AND(C99&lt;&gt;"",C99&lt;&gt;"手伝い・共同作業受け",C99&lt;&gt;"ゆい・手間替え受け",C99&lt;&gt;"同居人",F99="")</formula>
    </cfRule>
  </conditionalFormatting>
  <conditionalFormatting sqref="E99:E102">
    <cfRule type="expression" dxfId="37" priority="3">
      <formula>AND(OR(F99="1：家族",C99="同居人"),E99="")</formula>
    </cfRule>
  </conditionalFormatting>
  <dataValidations count="2">
    <dataValidation type="whole" operator="greaterThan" allowBlank="1" showInputMessage="1" showErrorMessage="1" error="整数を入力してください。" sqref="D112:D113 T4" xr:uid="{72E12AE3-81A4-48E6-A7D2-8833E7E1654C}">
      <formula1>0</formula1>
    </dataValidation>
    <dataValidation type="whole" allowBlank="1" showInputMessage="1" showErrorMessage="1" error="0～100の値を入力してください。" sqref="E112:F113" xr:uid="{0649E08C-456A-4322-BC2F-D13F4536C33C}">
      <formula1>0</formula1>
      <formula2>100</formula2>
    </dataValidation>
  </dataValidations>
  <pageMargins left="0.59055118110236227" right="0.59055118110236227" top="0.59055118110236227" bottom="0.59055118110236227" header="0" footer="0.19685039370078741"/>
  <pageSetup paperSize="9" scale="30" fitToHeight="0" orientation="landscape" cellComments="asDisplayed" r:id="rId1"/>
  <colBreaks count="1" manualBreakCount="1">
    <brk id="27" max="1048575" man="1"/>
  </colBreaks>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459F7-5267-414C-A818-7B021F9DDDFF}">
  <sheetPr transitionEvaluation="1">
    <pageSetUpPr fitToPage="1"/>
  </sheetPr>
  <dimension ref="A1:BF113"/>
  <sheetViews>
    <sheetView showGridLines="0" zoomScale="70" zoomScaleNormal="70" zoomScaleSheetLayoutView="70" workbookViewId="0"/>
  </sheetViews>
  <sheetFormatPr defaultColWidth="2.75" defaultRowHeight="14.25" customHeight="1" x14ac:dyDescent="0.15"/>
  <cols>
    <col min="1" max="1" width="3.5" style="142" bestFit="1" customWidth="1"/>
    <col min="2" max="2" width="2.75" style="32" customWidth="1"/>
    <col min="3" max="3" width="19.25" style="32" customWidth="1"/>
    <col min="4" max="4" width="19" style="32" customWidth="1"/>
    <col min="5" max="12" width="11.25" style="32" customWidth="1"/>
    <col min="13" max="13" width="13.375" style="32" customWidth="1"/>
    <col min="14" max="14" width="2.75" style="30" hidden="1" customWidth="1"/>
    <col min="15" max="16" width="0" style="30" hidden="1" customWidth="1"/>
    <col min="17" max="17" width="2.75" style="30" hidden="1" customWidth="1"/>
    <col min="18" max="18" width="2.75" style="30"/>
    <col min="19" max="19" width="17.625" style="21" customWidth="1"/>
    <col min="20" max="20" width="19.375" style="94" customWidth="1"/>
    <col min="21" max="22" width="17.5" style="94" customWidth="1"/>
    <col min="23" max="26" width="12.5" style="94" customWidth="1"/>
    <col min="27" max="28" width="2.75" style="94" customWidth="1"/>
    <col min="29" max="30" width="2.75" style="98" customWidth="1"/>
    <col min="31" max="45" width="13.625" style="98" customWidth="1"/>
    <col min="46" max="49" width="2.75" style="94" customWidth="1"/>
    <col min="50" max="54" width="13.625" style="94" customWidth="1"/>
    <col min="55" max="58" width="13.625" style="98" customWidth="1"/>
    <col min="59" max="16384" width="2.75" style="21"/>
  </cols>
  <sheetData>
    <row r="1" spans="1:58" ht="18" customHeight="1" x14ac:dyDescent="0.2">
      <c r="C1" s="178"/>
      <c r="D1" s="169"/>
      <c r="E1" s="169"/>
      <c r="F1" s="169"/>
      <c r="G1" s="169"/>
      <c r="H1" s="169"/>
      <c r="I1" s="169"/>
      <c r="J1" s="169"/>
      <c r="K1" s="169"/>
      <c r="L1" s="169"/>
      <c r="M1" s="169"/>
      <c r="N1" s="169"/>
      <c r="O1" s="169"/>
      <c r="P1" s="14"/>
      <c r="Q1" s="14"/>
      <c r="R1" s="70"/>
    </row>
    <row r="2" spans="1:58" ht="30" customHeight="1" x14ac:dyDescent="0.2">
      <c r="B2" s="184" t="s">
        <v>108</v>
      </c>
      <c r="C2" s="175"/>
      <c r="D2" s="169"/>
      <c r="E2" s="169"/>
      <c r="F2" s="169"/>
      <c r="G2" s="169"/>
      <c r="H2" s="169"/>
      <c r="I2" s="169"/>
      <c r="J2" s="169"/>
      <c r="K2" s="169"/>
      <c r="L2" s="169"/>
      <c r="M2" s="169"/>
      <c r="N2" s="169"/>
      <c r="O2" s="169"/>
      <c r="P2" s="14"/>
      <c r="Q2" s="14"/>
      <c r="S2" s="71"/>
    </row>
    <row r="3" spans="1:58" ht="12.75" customHeight="1" thickBot="1" x14ac:dyDescent="0.2">
      <c r="B3" s="169"/>
      <c r="C3" s="169"/>
      <c r="D3" s="169"/>
      <c r="E3" s="169"/>
      <c r="F3" s="169"/>
      <c r="G3" s="169"/>
      <c r="H3" s="22"/>
      <c r="I3" s="22"/>
      <c r="J3" s="16"/>
      <c r="K3" s="22"/>
      <c r="L3" s="23"/>
      <c r="M3" s="16"/>
      <c r="N3" s="24"/>
      <c r="O3" s="25"/>
      <c r="P3" s="14"/>
      <c r="Q3" s="14"/>
      <c r="AC3" s="154"/>
      <c r="AV3" s="155"/>
    </row>
    <row r="4" spans="1:58" ht="25.15" customHeight="1" thickTop="1" thickBot="1" x14ac:dyDescent="0.25">
      <c r="B4" s="169"/>
      <c r="C4" s="174"/>
      <c r="D4" s="169"/>
      <c r="E4" s="169"/>
      <c r="F4" s="169"/>
      <c r="G4" s="169"/>
      <c r="H4" s="22"/>
      <c r="I4" s="22"/>
      <c r="J4" s="16"/>
      <c r="K4" s="22"/>
      <c r="L4" s="23"/>
      <c r="M4" s="16"/>
      <c r="N4" s="24"/>
      <c r="O4" s="25"/>
      <c r="P4" s="14"/>
      <c r="Q4" s="14"/>
      <c r="R4" s="25"/>
      <c r="S4" s="338" t="s">
        <v>149</v>
      </c>
      <c r="T4" s="339"/>
      <c r="AC4" s="154"/>
      <c r="AV4" s="155"/>
    </row>
    <row r="5" spans="1:58" ht="25.15" hidden="1" customHeight="1" thickTop="1" x14ac:dyDescent="0.2">
      <c r="B5" s="26"/>
      <c r="C5" s="174"/>
      <c r="D5" s="16"/>
      <c r="E5" s="16"/>
      <c r="F5" s="16"/>
      <c r="G5" s="22"/>
      <c r="H5" s="22"/>
      <c r="I5" s="22"/>
      <c r="J5" s="16"/>
      <c r="K5" s="22"/>
      <c r="L5" s="23"/>
      <c r="M5" s="16"/>
      <c r="N5" s="24"/>
      <c r="O5" s="25"/>
      <c r="P5" s="14"/>
      <c r="Q5" s="14"/>
      <c r="R5" s="25"/>
    </row>
    <row r="6" spans="1:58" hidden="1" x14ac:dyDescent="0.15">
      <c r="B6" s="26"/>
      <c r="C6" s="27"/>
      <c r="D6" s="16"/>
      <c r="E6" s="16"/>
      <c r="F6" s="16"/>
      <c r="G6" s="22"/>
      <c r="H6" s="22"/>
      <c r="I6" s="22"/>
      <c r="J6" s="16"/>
      <c r="K6" s="22"/>
      <c r="L6" s="23"/>
      <c r="M6" s="16"/>
      <c r="N6" s="24"/>
      <c r="O6" s="25"/>
      <c r="P6" s="14"/>
      <c r="Q6" s="14"/>
      <c r="R6" s="25"/>
      <c r="S6" s="73"/>
    </row>
    <row r="7" spans="1:58" ht="15.75" thickTop="1" thickBot="1" x14ac:dyDescent="0.2">
      <c r="B7" s="29"/>
      <c r="C7" s="29"/>
      <c r="D7" s="29"/>
      <c r="E7" s="29"/>
      <c r="F7" s="29"/>
      <c r="G7" s="29"/>
      <c r="H7" s="29"/>
      <c r="I7" s="29"/>
      <c r="J7" s="29"/>
      <c r="K7" s="29"/>
      <c r="L7" s="29"/>
      <c r="M7" s="29"/>
      <c r="N7" s="15"/>
      <c r="P7" s="14"/>
      <c r="Q7" s="14"/>
      <c r="AT7" s="153"/>
      <c r="AU7" s="153"/>
    </row>
    <row r="8" spans="1:58" ht="23.25" customHeight="1" x14ac:dyDescent="0.15">
      <c r="B8" s="29"/>
      <c r="C8" s="517" t="s">
        <v>6</v>
      </c>
      <c r="D8" s="520" t="s">
        <v>7</v>
      </c>
      <c r="E8" s="523" t="s">
        <v>8</v>
      </c>
      <c r="F8" s="526" t="s">
        <v>9</v>
      </c>
      <c r="G8" s="529" t="s">
        <v>10</v>
      </c>
      <c r="H8" s="530"/>
      <c r="I8" s="529" t="s">
        <v>11</v>
      </c>
      <c r="J8" s="530"/>
      <c r="K8" s="529" t="s">
        <v>13</v>
      </c>
      <c r="L8" s="541"/>
      <c r="M8" s="577"/>
      <c r="N8" s="577"/>
      <c r="P8" s="14"/>
      <c r="Q8" s="14"/>
      <c r="S8" s="544" t="s">
        <v>32</v>
      </c>
      <c r="T8" s="535" t="s">
        <v>6</v>
      </c>
      <c r="U8" s="547" t="s">
        <v>109</v>
      </c>
      <c r="V8" s="535" t="s">
        <v>8</v>
      </c>
      <c r="W8" s="495" t="s">
        <v>110</v>
      </c>
      <c r="X8" s="514" t="s">
        <v>11</v>
      </c>
      <c r="Y8" s="514" t="s">
        <v>150</v>
      </c>
      <c r="Z8" s="185"/>
      <c r="AA8" s="304"/>
      <c r="AB8" s="304"/>
      <c r="AC8" s="493"/>
      <c r="AD8" s="494"/>
      <c r="AE8" s="495"/>
      <c r="AF8" s="508" t="s">
        <v>112</v>
      </c>
      <c r="AG8" s="511"/>
      <c r="AH8" s="511"/>
      <c r="AI8" s="511"/>
      <c r="AJ8" s="511"/>
      <c r="AK8" s="509"/>
      <c r="AL8" s="508" t="s">
        <v>113</v>
      </c>
      <c r="AM8" s="511"/>
      <c r="AN8" s="511"/>
      <c r="AO8" s="511"/>
      <c r="AP8" s="511"/>
      <c r="AQ8" s="511"/>
      <c r="AR8" s="511"/>
      <c r="AS8" s="509"/>
      <c r="AT8"/>
      <c r="AU8"/>
      <c r="AV8" s="493"/>
      <c r="AW8" s="494"/>
      <c r="AX8" s="495"/>
      <c r="AY8" s="502" t="s">
        <v>112</v>
      </c>
      <c r="AZ8" s="503"/>
      <c r="BA8" s="506" t="s">
        <v>113</v>
      </c>
      <c r="BB8" s="506"/>
      <c r="BC8" s="189"/>
      <c r="BD8" s="189"/>
      <c r="BE8" s="189"/>
      <c r="BF8" s="190"/>
    </row>
    <row r="9" spans="1:58" ht="23.25" customHeight="1" x14ac:dyDescent="0.15">
      <c r="B9" s="29"/>
      <c r="C9" s="518"/>
      <c r="D9" s="521"/>
      <c r="E9" s="524"/>
      <c r="F9" s="527"/>
      <c r="G9" s="531"/>
      <c r="H9" s="532"/>
      <c r="I9" s="531"/>
      <c r="J9" s="532"/>
      <c r="K9" s="531"/>
      <c r="L9" s="542"/>
      <c r="M9" s="577"/>
      <c r="N9" s="577"/>
      <c r="P9" s="14"/>
      <c r="Q9" s="14"/>
      <c r="S9" s="545"/>
      <c r="T9" s="536"/>
      <c r="U9" s="548"/>
      <c r="V9" s="536"/>
      <c r="W9" s="498"/>
      <c r="X9" s="515"/>
      <c r="Y9" s="515"/>
      <c r="Z9" s="185"/>
      <c r="AA9" s="304"/>
      <c r="AB9" s="304"/>
      <c r="AC9" s="496"/>
      <c r="AD9" s="497"/>
      <c r="AE9" s="498"/>
      <c r="AF9" s="508" t="s">
        <v>114</v>
      </c>
      <c r="AG9" s="509"/>
      <c r="AH9" s="508" t="s">
        <v>115</v>
      </c>
      <c r="AI9" s="509"/>
      <c r="AJ9" s="508" t="s">
        <v>116</v>
      </c>
      <c r="AK9" s="509"/>
      <c r="AL9" s="508" t="s">
        <v>114</v>
      </c>
      <c r="AM9" s="509"/>
      <c r="AN9" s="508" t="s">
        <v>117</v>
      </c>
      <c r="AO9" s="509"/>
      <c r="AP9" s="510" t="s">
        <v>118</v>
      </c>
      <c r="AQ9" s="509"/>
      <c r="AR9" s="510" t="s">
        <v>119</v>
      </c>
      <c r="AS9" s="509"/>
      <c r="AT9"/>
      <c r="AU9"/>
      <c r="AV9" s="496"/>
      <c r="AW9" s="497"/>
      <c r="AX9" s="498"/>
      <c r="AY9" s="504"/>
      <c r="AZ9" s="505"/>
      <c r="BA9" s="507"/>
      <c r="BB9" s="507"/>
      <c r="BC9" s="508" t="s">
        <v>117</v>
      </c>
      <c r="BD9" s="509"/>
      <c r="BE9" s="510" t="s">
        <v>120</v>
      </c>
      <c r="BF9" s="509"/>
    </row>
    <row r="10" spans="1:58" ht="23.25" customHeight="1" thickBot="1" x14ac:dyDescent="0.2">
      <c r="B10" s="29"/>
      <c r="C10" s="519"/>
      <c r="D10" s="522"/>
      <c r="E10" s="525"/>
      <c r="F10" s="528"/>
      <c r="G10" s="533"/>
      <c r="H10" s="534"/>
      <c r="I10" s="533"/>
      <c r="J10" s="534"/>
      <c r="K10" s="533"/>
      <c r="L10" s="543"/>
      <c r="M10" s="577"/>
      <c r="N10" s="577"/>
      <c r="P10" s="14"/>
      <c r="Q10" s="14"/>
      <c r="S10" s="546"/>
      <c r="T10" s="537"/>
      <c r="U10" s="549"/>
      <c r="V10" s="537"/>
      <c r="W10" s="501"/>
      <c r="X10" s="516"/>
      <c r="Y10" s="516"/>
      <c r="Z10" s="185"/>
      <c r="AA10" s="304"/>
      <c r="AB10" s="304"/>
      <c r="AC10" s="499"/>
      <c r="AD10" s="500"/>
      <c r="AE10" s="501"/>
      <c r="AF10" s="191" t="s">
        <v>121</v>
      </c>
      <c r="AG10" s="191" t="s">
        <v>122</v>
      </c>
      <c r="AH10" s="191" t="s">
        <v>121</v>
      </c>
      <c r="AI10" s="191" t="s">
        <v>122</v>
      </c>
      <c r="AJ10" s="191" t="s">
        <v>121</v>
      </c>
      <c r="AK10" s="191" t="s">
        <v>122</v>
      </c>
      <c r="AL10" s="192" t="s">
        <v>121</v>
      </c>
      <c r="AM10" s="192" t="s">
        <v>122</v>
      </c>
      <c r="AN10" s="192" t="s">
        <v>121</v>
      </c>
      <c r="AO10" s="192" t="s">
        <v>122</v>
      </c>
      <c r="AP10" s="192" t="s">
        <v>121</v>
      </c>
      <c r="AQ10" s="192" t="s">
        <v>122</v>
      </c>
      <c r="AR10" s="192" t="s">
        <v>121</v>
      </c>
      <c r="AS10" s="192" t="s">
        <v>122</v>
      </c>
      <c r="AT10"/>
      <c r="AU10"/>
      <c r="AV10" s="499"/>
      <c r="AW10" s="500"/>
      <c r="AX10" s="501"/>
      <c r="AY10" s="191" t="s">
        <v>121</v>
      </c>
      <c r="AZ10" s="191" t="s">
        <v>122</v>
      </c>
      <c r="BA10" s="305" t="s">
        <v>121</v>
      </c>
      <c r="BB10" s="191" t="s">
        <v>122</v>
      </c>
      <c r="BC10" s="192" t="s">
        <v>121</v>
      </c>
      <c r="BD10" s="192" t="s">
        <v>122</v>
      </c>
      <c r="BE10" s="192" t="s">
        <v>121</v>
      </c>
      <c r="BF10" s="192" t="s">
        <v>122</v>
      </c>
    </row>
    <row r="11" spans="1:58" ht="29.25" customHeight="1" thickTop="1" thickBot="1" x14ac:dyDescent="0.25">
      <c r="A11" s="143">
        <f>ROUND((ROW()-10)/2,0)</f>
        <v>1</v>
      </c>
      <c r="B11" s="21"/>
      <c r="C11" s="75" t="str">
        <f>IF(INDEX(設定!$C$9:$C$108,$A11,1)="","",INDEX(設定!$C$9:$C$108,$A11,1))</f>
        <v/>
      </c>
      <c r="D11" s="76" t="str">
        <f>IF(INDEX(設定!$D$9:$D$108,$A11,1)="","",INDEX(設定!$D$9:$D$108,$A11,1))</f>
        <v/>
      </c>
      <c r="E11" s="77" t="str">
        <f>IF(INDEX(設定!$E$9:$E$108,$A11,1)="","",INDEX(設定!$E$9:$E$108,$A11,1))</f>
        <v/>
      </c>
      <c r="F11" s="78" t="str">
        <f>IF(S11="","",IF(S11=1,"1：家族",IF(AND(S11&gt;=2,S11&lt;=5),"2：雇用","")))</f>
        <v/>
      </c>
      <c r="G11" s="141">
        <f>INT(INDEX(設定!$H$9:H$108,$A11,1))</f>
        <v>0</v>
      </c>
      <c r="H11" s="79" t="str">
        <f>IF(INDEX(設定!$H$9:$H$108,$A11,1)=0,"",ROUND(MOD(INDEX(設定!$H$9:$H$108,$A11,1),1)*60,0))</f>
        <v/>
      </c>
      <c r="I11" s="141">
        <f>INT(INDEX(設定!$I$9:$I$108,$A11,1))</f>
        <v>0</v>
      </c>
      <c r="J11" s="79" t="str">
        <f>IF(INDEX(設定!$I$9:$I$108,$A11,1)=0,"",ROUND(MOD(INDEX(設定!$I$9:$I$108,$A11,1),1)*60,0))</f>
        <v/>
      </c>
      <c r="K11" s="141">
        <f>INT(INDEX(設定!$J$9:$J$108,$A11,1))</f>
        <v>0</v>
      </c>
      <c r="L11" s="80" t="str">
        <f>IF(INDEX(設定!$J$9:$J$108,$A11,1)=0,"",ROUND(MOD(INDEX(設定!$J$9:$J$108,$A11,1),1)*60,0))</f>
        <v/>
      </c>
      <c r="M11" s="167"/>
      <c r="N11" s="166"/>
      <c r="P11" s="14"/>
      <c r="Q11" s="14"/>
      <c r="S11" s="81" t="str">
        <f>IF(INDEX(設定!$F$9:$F$108,$A11,1)="","",VALUE(LEFT(INDEX(設定!$F$9:$F$108,$A11,1),1)))</f>
        <v/>
      </c>
      <c r="T11" s="194" t="str">
        <f>IF(C11="","",C11)</f>
        <v/>
      </c>
      <c r="U11" s="195" t="str">
        <f>IF(D11="","",IF(D11="1：男",1,IF(D11="2：女",2)))</f>
        <v/>
      </c>
      <c r="V11" s="196" t="str">
        <f>IF(E11="","",E11)</f>
        <v/>
      </c>
      <c r="W11" s="200" t="str">
        <f>IF(AND(G11="",H11="",G12=""),"",ROUND(SUM(G11,H11/60)*G12,1))</f>
        <v/>
      </c>
      <c r="X11" s="340" t="str">
        <f>IF(AND(I11="",J11="",I12=""),"",ROUND(SUM(I11,J11/60)*I12,1))</f>
        <v/>
      </c>
      <c r="Y11" s="341" t="str">
        <f>IF(AND(K11="",L11="",K12=""),"",ROUND(SUM(K11,L11/60)*K12,1))</f>
        <v/>
      </c>
      <c r="Z11" s="200"/>
      <c r="AA11" s="201"/>
      <c r="AB11" s="201"/>
      <c r="AC11" s="484" t="s">
        <v>123</v>
      </c>
      <c r="AD11" s="489"/>
      <c r="AE11" s="489"/>
      <c r="AF11" s="259">
        <f>SUM(AF12:AF15)</f>
        <v>0</v>
      </c>
      <c r="AG11" s="259">
        <f>SUM(AG12:AG15)</f>
        <v>0</v>
      </c>
      <c r="AH11" s="203"/>
      <c r="AI11" s="203"/>
      <c r="AJ11" s="203"/>
      <c r="AK11" s="203"/>
      <c r="AL11" s="259">
        <f>SUM(AL16,AL21,AL26)</f>
        <v>0</v>
      </c>
      <c r="AM11" s="259">
        <f>SUM(AM16,AM21,AM26)</f>
        <v>0</v>
      </c>
      <c r="AN11" s="259">
        <f>SUM(AN16,AN21,AN26)</f>
        <v>0</v>
      </c>
      <c r="AO11" s="259">
        <f>SUM(AO16,AO21,AO26)</f>
        <v>0</v>
      </c>
      <c r="AP11" s="259">
        <f>AP12</f>
        <v>0</v>
      </c>
      <c r="AQ11" s="259">
        <f>AQ12</f>
        <v>0</v>
      </c>
      <c r="AR11" s="259">
        <f>SUM(AR12:AR15)</f>
        <v>0</v>
      </c>
      <c r="AS11" s="259">
        <f>SUM(AS12:AS15)</f>
        <v>0</v>
      </c>
      <c r="AT11"/>
      <c r="AU11"/>
      <c r="AV11" s="484" t="s">
        <v>124</v>
      </c>
      <c r="AW11" s="489"/>
      <c r="AX11" s="489"/>
      <c r="AY11" s="342">
        <f>SUM(AY12:AY15)</f>
        <v>0</v>
      </c>
      <c r="AZ11" s="342">
        <f>SUM(AZ12:AZ15)</f>
        <v>0</v>
      </c>
      <c r="BA11" s="342">
        <f>ROUND(SUM(BC11,BE11),0)</f>
        <v>0</v>
      </c>
      <c r="BB11" s="342">
        <f>ROUND(SUM(BD11,BF11),0)</f>
        <v>0</v>
      </c>
      <c r="BC11" s="343">
        <f>IFERROR($T$112*($AN11/$AN$36),0)</f>
        <v>0</v>
      </c>
      <c r="BD11" s="344">
        <f>IFERROR($T$113*($AO11/$AO$36),0)</f>
        <v>0</v>
      </c>
      <c r="BE11" s="344">
        <f>SUM(BE12:BE15)</f>
        <v>0</v>
      </c>
      <c r="BF11" s="344">
        <f>SUM(BF12:BF15)</f>
        <v>0</v>
      </c>
    </row>
    <row r="12" spans="1:58" ht="29.25" customHeight="1" thickTop="1" thickBot="1" x14ac:dyDescent="0.25">
      <c r="A12" s="143"/>
      <c r="B12" s="21"/>
      <c r="C12" s="82"/>
      <c r="D12" s="83"/>
      <c r="E12" s="84"/>
      <c r="F12" s="85"/>
      <c r="G12" s="86" t="str">
        <f>IF(SUM(G11:H11)&gt;0,1,"")</f>
        <v/>
      </c>
      <c r="H12" s="87"/>
      <c r="I12" s="86" t="str">
        <f>IF(SUM(I11:J11)&gt;0,1,"")</f>
        <v/>
      </c>
      <c r="J12" s="87"/>
      <c r="K12" s="86" t="str">
        <f>IF(SUM(K11:L11)&gt;0,1,"")</f>
        <v/>
      </c>
      <c r="L12" s="88"/>
      <c r="M12" s="168"/>
      <c r="N12" s="97"/>
      <c r="P12" s="14"/>
      <c r="Q12" s="14"/>
      <c r="S12" s="89"/>
      <c r="T12" s="194"/>
      <c r="U12" s="195"/>
      <c r="V12" s="196"/>
      <c r="W12" s="200"/>
      <c r="X12" s="340"/>
      <c r="Y12" s="341"/>
      <c r="Z12" s="200"/>
      <c r="AA12" s="201"/>
      <c r="AB12" s="201"/>
      <c r="AC12" s="209"/>
      <c r="AD12" s="473" t="s">
        <v>14</v>
      </c>
      <c r="AE12" s="486"/>
      <c r="AF12" s="345">
        <f t="shared" ref="AF12:AK15" si="0">SUM(AF17,AF22,AF27)</f>
        <v>0</v>
      </c>
      <c r="AG12" s="345">
        <f t="shared" si="0"/>
        <v>0</v>
      </c>
      <c r="AH12" s="262">
        <f t="shared" si="0"/>
        <v>0</v>
      </c>
      <c r="AI12" s="262">
        <f t="shared" si="0"/>
        <v>0</v>
      </c>
      <c r="AJ12" s="262">
        <f t="shared" si="0"/>
        <v>0</v>
      </c>
      <c r="AK12" s="262">
        <f t="shared" si="0"/>
        <v>0</v>
      </c>
      <c r="AL12" s="212"/>
      <c r="AM12" s="213"/>
      <c r="AN12" s="214"/>
      <c r="AO12" s="214"/>
      <c r="AP12" s="262">
        <f t="shared" ref="AP12:AS15" si="1">SUM(AP17,AP22,AP27)</f>
        <v>0</v>
      </c>
      <c r="AQ12" s="262">
        <f t="shared" si="1"/>
        <v>0</v>
      </c>
      <c r="AR12" s="262">
        <f t="shared" si="1"/>
        <v>0</v>
      </c>
      <c r="AS12" s="262">
        <f t="shared" si="1"/>
        <v>0</v>
      </c>
      <c r="AT12"/>
      <c r="AU12"/>
      <c r="AV12" s="215"/>
      <c r="AW12" s="473" t="s">
        <v>14</v>
      </c>
      <c r="AX12" s="486"/>
      <c r="AY12" s="346">
        <f>ROUND(AF12*$T$4,0)</f>
        <v>0</v>
      </c>
      <c r="AZ12" s="346">
        <f>ROUND(AG12*$T$4,0)</f>
        <v>0</v>
      </c>
      <c r="BA12" s="347"/>
      <c r="BB12" s="348"/>
      <c r="BC12" s="347"/>
      <c r="BD12" s="347"/>
      <c r="BE12" s="346">
        <f>(AP12+AR12)*$T$4</f>
        <v>0</v>
      </c>
      <c r="BF12" s="346">
        <f>(AQ12+AS12)*$T$4</f>
        <v>0</v>
      </c>
    </row>
    <row r="13" spans="1:58" ht="29.25" customHeight="1" thickTop="1" x14ac:dyDescent="0.2">
      <c r="A13" s="143">
        <f>ROUND((ROW()-10)/2,0)</f>
        <v>2</v>
      </c>
      <c r="B13" s="21"/>
      <c r="C13" s="90" t="str">
        <f>IF(INDEX(設定!$C$9:$C$108,$A13,1)="","",INDEX(設定!$C$9:$C$108,$A13,1))</f>
        <v/>
      </c>
      <c r="D13" s="76" t="str">
        <f>IF(INDEX(設定!$D$9:$D$108,$A13,1)="","",INDEX(設定!$D$9:$D$108,$A13,1))</f>
        <v/>
      </c>
      <c r="E13" s="77" t="str">
        <f>IF(INDEX(設定!$E$9:$E$108,$A13,1)="","",INDEX(設定!$E$9:$E$108,$A13,1))</f>
        <v/>
      </c>
      <c r="F13" s="78" t="str">
        <f>IF(S13="","",IF(S13=1,"1：家族",IF(AND(S13&gt;=2,S13&lt;=5),"2：雇用","")))</f>
        <v/>
      </c>
      <c r="G13" s="141">
        <f>INT(INDEX(設定!$H$9:H$108,$A13,1))</f>
        <v>0</v>
      </c>
      <c r="H13" s="79" t="str">
        <f>IF(INDEX(設定!$H$9:$H$108,$A13,1)=0,"",ROUND(MOD(INDEX(設定!$H$9:$H$108,$A13,1),1)*60,0))</f>
        <v/>
      </c>
      <c r="I13" s="141">
        <f>INT(INDEX(設定!$I$9:$I$108,$A13,1))</f>
        <v>0</v>
      </c>
      <c r="J13" s="79" t="str">
        <f>IF(INDEX(設定!$I$9:$I$108,$A13,1)=0,"",ROUND(MOD(INDEX(設定!$I$9:$I$108,$A13,1),1)*60,0))</f>
        <v/>
      </c>
      <c r="K13" s="141">
        <f>INT(INDEX(設定!$J$9:$J$108,$A13,1))</f>
        <v>0</v>
      </c>
      <c r="L13" s="80" t="str">
        <f>IF(INDEX(設定!$J$9:$J$108,$A13,1)=0,"",ROUND(MOD(INDEX(設定!$J$9:$J$108,$A13,1),1)*60,0))</f>
        <v/>
      </c>
      <c r="M13" s="167"/>
      <c r="N13" s="166"/>
      <c r="P13" s="14"/>
      <c r="Q13" s="14"/>
      <c r="S13" s="91" t="str">
        <f>IF(INDEX(設定!$F$9:$F$108,$A13,1)="","",VALUE(LEFT(INDEX(設定!$F$9:$F$108,$A13,1),1)))</f>
        <v/>
      </c>
      <c r="T13" s="219" t="str">
        <f>IF(C13="","",C13)</f>
        <v/>
      </c>
      <c r="U13" s="220" t="str">
        <f>IF(D13="","",IF(D13="1：男",1,IF(D13="2：女",2)))</f>
        <v/>
      </c>
      <c r="V13" s="221" t="str">
        <f>IF(E13="","",E13)</f>
        <v/>
      </c>
      <c r="W13" s="349" t="str">
        <f>IF(AND(G13="",H13="",G14=""),"",ROUND(SUM(G13,H13/60)*G14,1))</f>
        <v/>
      </c>
      <c r="X13" s="350" t="str">
        <f>IF(AND(I13="",J13="",I14=""),"",ROUND(SUM(I13,J13/60)*I14,1))</f>
        <v/>
      </c>
      <c r="Y13" s="351" t="str">
        <f>IF(AND(K13="",L13="",K14=""),"",ROUND(SUM(K13,L13/60)*K14,1))</f>
        <v/>
      </c>
      <c r="Z13" s="200"/>
      <c r="AA13" s="201"/>
      <c r="AB13" s="201"/>
      <c r="AC13" s="209"/>
      <c r="AD13" s="475" t="s">
        <v>125</v>
      </c>
      <c r="AE13" s="487"/>
      <c r="AF13" s="253">
        <f t="shared" si="0"/>
        <v>0</v>
      </c>
      <c r="AG13" s="253">
        <f>SUM(AG18,AG23,AG28)</f>
        <v>0</v>
      </c>
      <c r="AH13" s="253">
        <f t="shared" si="0"/>
        <v>0</v>
      </c>
      <c r="AI13" s="253">
        <f t="shared" si="0"/>
        <v>0</v>
      </c>
      <c r="AJ13" s="223"/>
      <c r="AK13" s="223"/>
      <c r="AL13" s="212"/>
      <c r="AM13" s="213"/>
      <c r="AN13" s="213"/>
      <c r="AO13" s="213"/>
      <c r="AP13" s="223"/>
      <c r="AQ13" s="223"/>
      <c r="AR13" s="253">
        <f t="shared" si="1"/>
        <v>0</v>
      </c>
      <c r="AS13" s="253">
        <f t="shared" si="1"/>
        <v>0</v>
      </c>
      <c r="AT13"/>
      <c r="AU13"/>
      <c r="AV13" s="215"/>
      <c r="AW13" s="475" t="s">
        <v>125</v>
      </c>
      <c r="AX13" s="487"/>
      <c r="AY13" s="352">
        <f>ROUND(AF13*$T$4*0.9,0)</f>
        <v>0</v>
      </c>
      <c r="AZ13" s="352">
        <f>ROUND(AG13*$T$4*0.9,0)</f>
        <v>0</v>
      </c>
      <c r="BA13" s="347"/>
      <c r="BB13" s="348"/>
      <c r="BC13" s="347"/>
      <c r="BD13" s="347"/>
      <c r="BE13" s="352">
        <f>(AP13+AR13)*$T$4*0.9</f>
        <v>0</v>
      </c>
      <c r="BF13" s="352">
        <f>(AQ13+AS13)*$T$4*0.9</f>
        <v>0</v>
      </c>
    </row>
    <row r="14" spans="1:58" ht="29.25" customHeight="1" thickBot="1" x14ac:dyDescent="0.25">
      <c r="A14" s="143"/>
      <c r="B14" s="21"/>
      <c r="C14" s="82"/>
      <c r="D14" s="83"/>
      <c r="E14" s="84"/>
      <c r="F14" s="85"/>
      <c r="G14" s="86" t="str">
        <f>IF(SUM(G13:H13)&gt;0,1,"")</f>
        <v/>
      </c>
      <c r="H14" s="87"/>
      <c r="I14" s="86" t="str">
        <f>IF(SUM(I13:J13)&gt;0,1,"")</f>
        <v/>
      </c>
      <c r="J14" s="87"/>
      <c r="K14" s="86" t="str">
        <f>IF(SUM(K13:L13)&gt;0,1,"")</f>
        <v/>
      </c>
      <c r="L14" s="88"/>
      <c r="M14" s="168"/>
      <c r="N14" s="97"/>
      <c r="P14" s="14"/>
      <c r="Q14" s="14"/>
      <c r="S14" s="89"/>
      <c r="T14" s="194"/>
      <c r="U14" s="195"/>
      <c r="V14" s="196"/>
      <c r="W14" s="200"/>
      <c r="X14" s="340"/>
      <c r="Y14" s="341"/>
      <c r="Z14" s="200"/>
      <c r="AA14" s="201"/>
      <c r="AB14" s="201"/>
      <c r="AC14" s="209"/>
      <c r="AD14" s="475" t="s">
        <v>126</v>
      </c>
      <c r="AE14" s="487"/>
      <c r="AF14" s="253">
        <f t="shared" si="0"/>
        <v>0</v>
      </c>
      <c r="AG14" s="253">
        <f t="shared" si="0"/>
        <v>0</v>
      </c>
      <c r="AH14" s="253">
        <f t="shared" si="0"/>
        <v>0</v>
      </c>
      <c r="AI14" s="253">
        <f t="shared" si="0"/>
        <v>0</v>
      </c>
      <c r="AJ14" s="223"/>
      <c r="AK14" s="223"/>
      <c r="AL14" s="212"/>
      <c r="AM14" s="213"/>
      <c r="AN14" s="213"/>
      <c r="AO14" s="213"/>
      <c r="AP14" s="223"/>
      <c r="AQ14" s="223"/>
      <c r="AR14" s="253">
        <f t="shared" si="1"/>
        <v>0</v>
      </c>
      <c r="AS14" s="253">
        <f t="shared" si="1"/>
        <v>0</v>
      </c>
      <c r="AT14"/>
      <c r="AU14"/>
      <c r="AV14" s="215"/>
      <c r="AW14" s="475" t="s">
        <v>126</v>
      </c>
      <c r="AX14" s="487"/>
      <c r="AY14" s="352">
        <f>ROUND(AF14*$T$4*0.8,0)</f>
        <v>0</v>
      </c>
      <c r="AZ14" s="352">
        <f>ROUND(AG14*$T$4*0.8,0)</f>
        <v>0</v>
      </c>
      <c r="BA14" s="347"/>
      <c r="BB14" s="348"/>
      <c r="BC14" s="347"/>
      <c r="BD14" s="347"/>
      <c r="BE14" s="352">
        <f>(AP14+AR14)*$T$4*0.8</f>
        <v>0</v>
      </c>
      <c r="BF14" s="352">
        <f>(AQ14+AS14)*$T$4*0.8</f>
        <v>0</v>
      </c>
    </row>
    <row r="15" spans="1:58" ht="29.25" customHeight="1" thickTop="1" thickBot="1" x14ac:dyDescent="0.25">
      <c r="A15" s="143">
        <f>ROUND((ROW()-10)/2,0)</f>
        <v>3</v>
      </c>
      <c r="B15" s="21"/>
      <c r="C15" s="90" t="str">
        <f>IF(INDEX(設定!$C$9:$C$108,$A15,1)="","",INDEX(設定!$C$9:$C$108,$A15,1))</f>
        <v/>
      </c>
      <c r="D15" s="76" t="str">
        <f>IF(INDEX(設定!$D$9:$D$108,$A15,1)="","",INDEX(設定!$D$9:$D$108,$A15,1))</f>
        <v/>
      </c>
      <c r="E15" s="77" t="str">
        <f>IF(INDEX(設定!$E$9:$E$108,$A15,1)="","",INDEX(設定!$E$9:$E$108,$A15,1))</f>
        <v/>
      </c>
      <c r="F15" s="78" t="str">
        <f>IF(S15="","",IF(S15=1,"1：家族",IF(AND(S15&gt;=2,S15&lt;=5),"2：雇用","")))</f>
        <v/>
      </c>
      <c r="G15" s="141">
        <f>INT(INDEX(設定!$H$9:H$108,$A15,1))</f>
        <v>0</v>
      </c>
      <c r="H15" s="79" t="str">
        <f>IF(INDEX(設定!$H$9:$H$108,$A15,1)=0,"",ROUND(MOD(INDEX(設定!$H$9:$H$108,$A15,1),1)*60,0))</f>
        <v/>
      </c>
      <c r="I15" s="141">
        <f>INT(INDEX(設定!$I$9:$I$108,$A15,1))</f>
        <v>0</v>
      </c>
      <c r="J15" s="79" t="str">
        <f>IF(INDEX(設定!$I$9:$I$108,$A15,1)=0,"",ROUND(MOD(INDEX(設定!$I$9:$I$108,$A15,1),1)*60,0))</f>
        <v/>
      </c>
      <c r="K15" s="141">
        <f>INT(INDEX(設定!$J$9:$J$108,$A15,1))</f>
        <v>0</v>
      </c>
      <c r="L15" s="80" t="str">
        <f>IF(INDEX(設定!$J$9:$J$108,$A15,1)=0,"",ROUND(MOD(INDEX(設定!$J$9:$J$108,$A15,1),1)*60,0))</f>
        <v/>
      </c>
      <c r="M15" s="167"/>
      <c r="N15" s="166"/>
      <c r="P15" s="14"/>
      <c r="Q15" s="14"/>
      <c r="S15" s="91" t="str">
        <f>IF(INDEX(設定!$F$9:$F$108,$A15,1)="","",VALUE(LEFT(INDEX(設定!$F$9:$F$108,$A15,1),1)))</f>
        <v/>
      </c>
      <c r="T15" s="219" t="str">
        <f>IF(C15="","",C15)</f>
        <v/>
      </c>
      <c r="U15" s="220" t="str">
        <f>IF(D15="","",IF(D15="1：男",1,IF(D15="2：女",2)))</f>
        <v/>
      </c>
      <c r="V15" s="221" t="str">
        <f>IF(E15="","",E15)</f>
        <v/>
      </c>
      <c r="W15" s="349" t="str">
        <f t="shared" ref="W15" si="2">IF(AND(G15="",H15="",G16=""),"",ROUND(SUM(G15,H15/60)*G16,1))</f>
        <v/>
      </c>
      <c r="X15" s="350" t="str">
        <f t="shared" ref="X15" si="3">IF(AND(I15="",J15="",I16=""),"",ROUND(SUM(I15,J15/60)*I16,1))</f>
        <v/>
      </c>
      <c r="Y15" s="351" t="str">
        <f t="shared" ref="Y15" si="4">IF(AND(K15="",L15="",K16=""),"",ROUND(SUM(K15,L15/60)*K16,1))</f>
        <v/>
      </c>
      <c r="Z15" s="200"/>
      <c r="AA15" s="201"/>
      <c r="AB15" s="201"/>
      <c r="AC15" s="209"/>
      <c r="AD15" s="479" t="s">
        <v>15</v>
      </c>
      <c r="AE15" s="480"/>
      <c r="AF15" s="295">
        <f t="shared" si="0"/>
        <v>0</v>
      </c>
      <c r="AG15" s="295">
        <f t="shared" si="0"/>
        <v>0</v>
      </c>
      <c r="AH15" s="256">
        <f t="shared" si="0"/>
        <v>0</v>
      </c>
      <c r="AI15" s="256">
        <f t="shared" si="0"/>
        <v>0</v>
      </c>
      <c r="AJ15" s="226"/>
      <c r="AK15" s="226"/>
      <c r="AL15" s="212"/>
      <c r="AM15" s="213"/>
      <c r="AN15" s="228"/>
      <c r="AO15" s="228"/>
      <c r="AP15" s="226"/>
      <c r="AQ15" s="226"/>
      <c r="AR15" s="256">
        <f t="shared" si="1"/>
        <v>0</v>
      </c>
      <c r="AS15" s="256">
        <f t="shared" si="1"/>
        <v>0</v>
      </c>
      <c r="AT15"/>
      <c r="AU15"/>
      <c r="AV15" s="215"/>
      <c r="AW15" s="479" t="s">
        <v>15</v>
      </c>
      <c r="AX15" s="480"/>
      <c r="AY15" s="353">
        <f>ROUND(AF15*$T$4*0.7,0)</f>
        <v>0</v>
      </c>
      <c r="AZ15" s="353">
        <f>ROUND(AG15*$T$4*0.7,0)</f>
        <v>0</v>
      </c>
      <c r="BA15" s="347"/>
      <c r="BB15" s="348"/>
      <c r="BC15" s="354"/>
      <c r="BD15" s="354"/>
      <c r="BE15" s="355">
        <f>(AP15+AR15)*$T$4*0.7</f>
        <v>0</v>
      </c>
      <c r="BF15" s="355">
        <f>(AQ15+AS15)*$T$4*0.7</f>
        <v>0</v>
      </c>
    </row>
    <row r="16" spans="1:58" s="30" customFormat="1" ht="29.25" customHeight="1" thickTop="1" thickBot="1" x14ac:dyDescent="0.25">
      <c r="A16" s="142"/>
      <c r="B16" s="29"/>
      <c r="C16" s="82"/>
      <c r="D16" s="83"/>
      <c r="E16" s="84"/>
      <c r="F16" s="85"/>
      <c r="G16" s="86" t="str">
        <f>IF(SUM(G15:H15)&gt;0,1,"")</f>
        <v/>
      </c>
      <c r="H16" s="87"/>
      <c r="I16" s="86" t="str">
        <f>IF(SUM(I15:J15)&gt;0,1,"")</f>
        <v/>
      </c>
      <c r="J16" s="87"/>
      <c r="K16" s="86" t="str">
        <f>IF(SUM(K15:L15)&gt;0,1,"")</f>
        <v/>
      </c>
      <c r="L16" s="88"/>
      <c r="M16" s="168"/>
      <c r="N16" s="97"/>
      <c r="P16" s="14"/>
      <c r="Q16" s="14"/>
      <c r="S16" s="89"/>
      <c r="T16" s="194"/>
      <c r="U16" s="195"/>
      <c r="V16" s="196"/>
      <c r="W16" s="200"/>
      <c r="X16" s="340"/>
      <c r="Y16" s="341"/>
      <c r="Z16" s="200"/>
      <c r="AA16" s="201"/>
      <c r="AB16" s="201"/>
      <c r="AC16" s="233"/>
      <c r="AD16" s="491" t="s">
        <v>10</v>
      </c>
      <c r="AE16" s="576"/>
      <c r="AF16" s="356">
        <f>SUM(AF17:AF20)</f>
        <v>0</v>
      </c>
      <c r="AG16" s="356">
        <f>SUM(AG17:AG20)</f>
        <v>0</v>
      </c>
      <c r="AH16" s="203"/>
      <c r="AI16" s="203"/>
      <c r="AJ16" s="203"/>
      <c r="AK16" s="203"/>
      <c r="AL16" s="356">
        <f>AN16+AP16+AR16</f>
        <v>0</v>
      </c>
      <c r="AM16" s="356">
        <f>AO16+AQ16+AS16</f>
        <v>0</v>
      </c>
      <c r="AN16" s="245">
        <f>SUMIFS($W$11:$W$70,$S$11:$S$70,2,$U$11:$U$70,1)</f>
        <v>0</v>
      </c>
      <c r="AO16" s="259">
        <f>SUMIFS($W$11:$W$70,$S$11:$S$70,2,$U$11:$U$70,2)</f>
        <v>0</v>
      </c>
      <c r="AP16" s="259">
        <f>AP17</f>
        <v>0</v>
      </c>
      <c r="AQ16" s="259">
        <f>AQ17</f>
        <v>0</v>
      </c>
      <c r="AR16" s="259">
        <f>SUM(AR17:AR20)</f>
        <v>0</v>
      </c>
      <c r="AS16" s="259">
        <f>SUM(AS17:AS20)</f>
        <v>0</v>
      </c>
      <c r="AT16"/>
      <c r="AU16"/>
      <c r="AV16" s="237"/>
      <c r="AW16" s="481" t="s">
        <v>127</v>
      </c>
      <c r="AX16" s="483"/>
      <c r="AY16" s="342">
        <f>SUM(AY17:AY20)</f>
        <v>0</v>
      </c>
      <c r="AZ16" s="342">
        <f>SUM(AZ17:AZ20)</f>
        <v>0</v>
      </c>
      <c r="BA16" s="342">
        <f>ROUND(BC16+BE16,0)</f>
        <v>0</v>
      </c>
      <c r="BB16" s="342">
        <f>ROUND(BD16+BF16,0)</f>
        <v>0</v>
      </c>
      <c r="BC16" s="343">
        <f>IFERROR($T$112*($AN21/$AN$36),0)</f>
        <v>0</v>
      </c>
      <c r="BD16" s="343">
        <f>IFERROR($T$113*($AO21/$AO$36),0)</f>
        <v>0</v>
      </c>
      <c r="BE16" s="344">
        <f>SUM(BE17:BE20)</f>
        <v>0</v>
      </c>
      <c r="BF16" s="344">
        <f>SUM(BF17:BF20)</f>
        <v>0</v>
      </c>
    </row>
    <row r="17" spans="1:58" s="30" customFormat="1" ht="29.25" customHeight="1" thickTop="1" x14ac:dyDescent="0.2">
      <c r="A17" s="142">
        <f>ROUND((ROW()-10)/2,0)</f>
        <v>4</v>
      </c>
      <c r="B17" s="29"/>
      <c r="C17" s="90" t="str">
        <f>IF(INDEX(設定!$C$9:$C$108,$A17,1)="","",INDEX(設定!$C$9:$C$108,$A17,1))</f>
        <v/>
      </c>
      <c r="D17" s="76" t="str">
        <f>IF(INDEX(設定!$D$9:$D$108,$A17,1)="","",INDEX(設定!$D$9:$D$108,$A17,1))</f>
        <v/>
      </c>
      <c r="E17" s="77" t="str">
        <f>IF(INDEX(設定!$E$9:$E$108,$A17,1)="","",INDEX(設定!$E$9:$E$108,$A17,1))</f>
        <v/>
      </c>
      <c r="F17" s="78" t="str">
        <f>IF(S17="","",IF(S17=1,"1：家族",IF(AND(S17&gt;=2,S17&lt;=5),"2：雇用","")))</f>
        <v/>
      </c>
      <c r="G17" s="141">
        <f>INT(INDEX(設定!$H$9:H$108,$A17,1))</f>
        <v>0</v>
      </c>
      <c r="H17" s="79" t="str">
        <f>IF(INDEX(設定!$H$9:$H$108,$A17,1)=0,"",ROUND(MOD(INDEX(設定!$H$9:$H$108,$A17,1),1)*60,0))</f>
        <v/>
      </c>
      <c r="I17" s="141">
        <f>INT(INDEX(設定!$I$9:$I$108,$A17,1))</f>
        <v>0</v>
      </c>
      <c r="J17" s="79" t="str">
        <f>IF(INDEX(設定!$I$9:$I$108,$A17,1)=0,"",ROUND(MOD(INDEX(設定!$I$9:$I$108,$A17,1),1)*60,0))</f>
        <v/>
      </c>
      <c r="K17" s="141">
        <f>INT(INDEX(設定!$J$9:$J$108,$A17,1))</f>
        <v>0</v>
      </c>
      <c r="L17" s="80" t="str">
        <f>IF(INDEX(設定!$J$9:$J$108,$A17,1)=0,"",ROUND(MOD(INDEX(設定!$J$9:$J$108,$A17,1),1)*60,0))</f>
        <v/>
      </c>
      <c r="M17" s="167"/>
      <c r="N17" s="166"/>
      <c r="P17" s="14"/>
      <c r="Q17" s="14"/>
      <c r="S17" s="91" t="str">
        <f>IF(INDEX(設定!$F$9:$F$108,$A17,1)="","",VALUE(LEFT(INDEX(設定!$F$9:$F$108,$A17,1),1)))</f>
        <v/>
      </c>
      <c r="T17" s="219" t="str">
        <f>IF(C17="","",C17)</f>
        <v/>
      </c>
      <c r="U17" s="220" t="str">
        <f>IF(D17="","",IF(D17="1：男",1,IF(D17="2：女",2)))</f>
        <v/>
      </c>
      <c r="V17" s="221" t="str">
        <f>IF(E17="","",E17)</f>
        <v/>
      </c>
      <c r="W17" s="349" t="str">
        <f t="shared" ref="W17" si="5">IF(AND(G17="",H17="",G18=""),"",ROUND(SUM(G17,H17/60)*G18,1))</f>
        <v/>
      </c>
      <c r="X17" s="350" t="str">
        <f t="shared" ref="X17" si="6">IF(AND(I17="",J17="",I18=""),"",ROUND(SUM(I17,J17/60)*I18,1))</f>
        <v/>
      </c>
      <c r="Y17" s="351" t="str">
        <f t="shared" ref="Y17" si="7">IF(AND(K17="",L17="",K18=""),"",ROUND(SUM(K17,L17/60)*K18,1))</f>
        <v/>
      </c>
      <c r="Z17" s="200"/>
      <c r="AA17" s="201"/>
      <c r="AB17" s="201"/>
      <c r="AC17" s="233"/>
      <c r="AD17" s="233"/>
      <c r="AE17" s="240" t="s">
        <v>14</v>
      </c>
      <c r="AF17" s="345">
        <f t="shared" ref="AF17:AG20" si="8">AH17+AJ17</f>
        <v>0</v>
      </c>
      <c r="AG17" s="345">
        <f t="shared" si="8"/>
        <v>0</v>
      </c>
      <c r="AH17" s="262">
        <f>SUMIFS($W$11:$W$70,$S$11:$S$70,1,$U$11:$U$70,1,$V$11:$V$70,"&lt;65")</f>
        <v>0</v>
      </c>
      <c r="AI17" s="262">
        <f>SUMIFS($W$11:$W$70,$S$11:$S$70,1,$U$11:$U$70,2,$V$11:$V$70,"&lt;65")</f>
        <v>0</v>
      </c>
      <c r="AJ17" s="262">
        <f>SUMIFS($W$11:$W$70,$S$11:$S$70,3,$U$11:$U$70,1)</f>
        <v>0</v>
      </c>
      <c r="AK17" s="262">
        <f>SUMIFS($W$11:$W$70,$S$11:$S$70,3,$U$11:$U$70,2)</f>
        <v>0</v>
      </c>
      <c r="AL17" s="212"/>
      <c r="AM17" s="213"/>
      <c r="AN17" s="214"/>
      <c r="AO17" s="214"/>
      <c r="AP17" s="262">
        <f>SUMIFS($W$11:$W$70,$S$11:$S$70,4,$U$11:$U$70,1)</f>
        <v>0</v>
      </c>
      <c r="AQ17" s="262">
        <f>SUMIFS($W$11:$W$70,$S$11:$S$70,4,$U$11:$U$70,2)</f>
        <v>0</v>
      </c>
      <c r="AR17" s="262">
        <f>SUMIFS($W$11:$W$70,$S$11:$S$70,5,$U$11:$U$70,1,$V$11:$V$70,"&lt;65")</f>
        <v>0</v>
      </c>
      <c r="AS17" s="262">
        <f>SUMIFS($W$11:$W$70,$S$11:$S$70,5,$U$11:$U$70,2,$V$11:$V$70,"&lt;65")</f>
        <v>0</v>
      </c>
      <c r="AT17"/>
      <c r="AU17"/>
      <c r="AV17" s="237"/>
      <c r="AW17" s="233"/>
      <c r="AX17" s="240" t="s">
        <v>14</v>
      </c>
      <c r="AY17" s="346">
        <f>ROUND(AF22*$T$4,0)</f>
        <v>0</v>
      </c>
      <c r="AZ17" s="346">
        <f>ROUND(AG22*$T$4,0)</f>
        <v>0</v>
      </c>
      <c r="BA17" s="347"/>
      <c r="BB17" s="348"/>
      <c r="BC17" s="357"/>
      <c r="BD17" s="357"/>
      <c r="BE17" s="358">
        <f>(AP22+AR22)*$T$4</f>
        <v>0</v>
      </c>
      <c r="BF17" s="358">
        <f>(AQ22+AS22)*$T$4</f>
        <v>0</v>
      </c>
    </row>
    <row r="18" spans="1:58" s="30" customFormat="1" ht="29.25" customHeight="1" thickBot="1" x14ac:dyDescent="0.25">
      <c r="A18" s="142"/>
      <c r="B18" s="29"/>
      <c r="C18" s="82"/>
      <c r="D18" s="83"/>
      <c r="E18" s="84"/>
      <c r="F18" s="85"/>
      <c r="G18" s="86" t="str">
        <f>IF(SUM(G17:H17)&gt;0,1,"")</f>
        <v/>
      </c>
      <c r="H18" s="87"/>
      <c r="I18" s="86" t="str">
        <f>IF(SUM(I17:J17)&gt;0,1,"")</f>
        <v/>
      </c>
      <c r="J18" s="87"/>
      <c r="K18" s="86" t="str">
        <f>IF(SUM(K17:L17)&gt;0,1,"")</f>
        <v/>
      </c>
      <c r="L18" s="88"/>
      <c r="M18" s="168"/>
      <c r="N18" s="97"/>
      <c r="P18" s="14"/>
      <c r="Q18" s="14"/>
      <c r="S18" s="89"/>
      <c r="T18" s="194"/>
      <c r="U18" s="195"/>
      <c r="V18" s="196"/>
      <c r="W18" s="200"/>
      <c r="X18" s="340"/>
      <c r="Y18" s="341"/>
      <c r="Z18" s="200"/>
      <c r="AA18" s="201"/>
      <c r="AB18" s="201"/>
      <c r="AC18" s="233"/>
      <c r="AD18" s="233"/>
      <c r="AE18" s="241" t="s">
        <v>125</v>
      </c>
      <c r="AF18" s="253">
        <f t="shared" si="8"/>
        <v>0</v>
      </c>
      <c r="AG18" s="253">
        <f t="shared" si="8"/>
        <v>0</v>
      </c>
      <c r="AH18" s="253">
        <f>SUMIFS($W$11:$W$70,$S$11:$S$70,1,$U$11:$U$70,1,$V$11:$V$70,"&gt;=65",$V$11:$V$70,"&lt;70")</f>
        <v>0</v>
      </c>
      <c r="AI18" s="253">
        <f>SUMIFS($W$11:$W$70,$S$11:$S$70,1,$U$11:$U$70,2,$V$11:$V$70,"&gt;=65",$V$11:$V$70,"&lt;70")</f>
        <v>0</v>
      </c>
      <c r="AJ18" s="223"/>
      <c r="AK18" s="223"/>
      <c r="AL18" s="212"/>
      <c r="AM18" s="213"/>
      <c r="AN18" s="213"/>
      <c r="AO18" s="213"/>
      <c r="AP18" s="223"/>
      <c r="AQ18" s="223"/>
      <c r="AR18" s="253">
        <f>SUMIFS($W$11:$W$70,$S$11:$S$70,5,$U$11:$U$70,1,$V$11:$V$70,"&gt;=65",$V$11:$V$70,"&lt;70")</f>
        <v>0</v>
      </c>
      <c r="AS18" s="253">
        <f>SUMIFS($W$11:$W$70,$S$11:$S$70,5,$U$11:$U$70,2,$V$11:$V$70,"&gt;=65",$V$11:$V$70,"&lt;70")</f>
        <v>0</v>
      </c>
      <c r="AT18"/>
      <c r="AU18"/>
      <c r="AV18" s="237"/>
      <c r="AW18" s="233"/>
      <c r="AX18" s="241" t="s">
        <v>125</v>
      </c>
      <c r="AY18" s="352">
        <f>ROUND(AF23*$T$4*0.9,0)</f>
        <v>0</v>
      </c>
      <c r="AZ18" s="352">
        <f>ROUND(AG23*$T$4*0.9,0)</f>
        <v>0</v>
      </c>
      <c r="BA18" s="347"/>
      <c r="BB18" s="348"/>
      <c r="BC18" s="347"/>
      <c r="BD18" s="347"/>
      <c r="BE18" s="352">
        <f>(AR23)*$T$4*0.9</f>
        <v>0</v>
      </c>
      <c r="BF18" s="352">
        <f>(AS23)*$T$4*0.9</f>
        <v>0</v>
      </c>
    </row>
    <row r="19" spans="1:58" s="30" customFormat="1" ht="29.25" customHeight="1" thickTop="1" x14ac:dyDescent="0.2">
      <c r="A19" s="142">
        <f>ROUND((ROW()-10)/2,0)</f>
        <v>5</v>
      </c>
      <c r="B19" s="29"/>
      <c r="C19" s="90" t="str">
        <f>IF(INDEX(設定!$C$9:$C$108,$A19,1)="","",INDEX(設定!$C$9:$C$108,$A19,1))</f>
        <v/>
      </c>
      <c r="D19" s="76" t="str">
        <f>IF(INDEX(設定!$D$9:$D$108,$A19,1)="","",INDEX(設定!$D$9:$D$108,$A19,1))</f>
        <v/>
      </c>
      <c r="E19" s="77" t="str">
        <f>IF(INDEX(設定!$E$9:$E$108,$A19,1)="","",INDEX(設定!$E$9:$E$108,$A19,1))</f>
        <v/>
      </c>
      <c r="F19" s="78" t="str">
        <f>IF(S19="","",IF(S19=1,"1：家族",IF(AND(S19&gt;=2,S19&lt;=5),"2：雇用","")))</f>
        <v/>
      </c>
      <c r="G19" s="141">
        <f>INT(INDEX(設定!$H$9:H$108,$A19,1))</f>
        <v>0</v>
      </c>
      <c r="H19" s="79" t="str">
        <f>IF(INDEX(設定!$H$9:$H$108,$A19,1)=0,"",ROUND(MOD(INDEX(設定!$H$9:$H$108,$A19,1),1)*60,0))</f>
        <v/>
      </c>
      <c r="I19" s="141">
        <f>INT(INDEX(設定!$I$9:$I$108,$A19,1))</f>
        <v>0</v>
      </c>
      <c r="J19" s="79" t="str">
        <f>IF(INDEX(設定!$I$9:$I$108,$A19,1)=0,"",ROUND(MOD(INDEX(設定!$I$9:$I$108,$A19,1),1)*60,0))</f>
        <v/>
      </c>
      <c r="K19" s="141">
        <f>INT(INDEX(設定!$J$9:$J$108,$A19,1))</f>
        <v>0</v>
      </c>
      <c r="L19" s="80" t="str">
        <f>IF(INDEX(設定!$J$9:$J$108,$A19,1)=0,"",ROUND(MOD(INDEX(設定!$J$9:$J$108,$A19,1),1)*60,0))</f>
        <v/>
      </c>
      <c r="M19" s="167"/>
      <c r="N19" s="166"/>
      <c r="P19" s="14"/>
      <c r="Q19" s="14"/>
      <c r="S19" s="91" t="str">
        <f>IF(INDEX(設定!$F$9:$F$108,$A19,1)="","",VALUE(LEFT(INDEX(設定!$F$9:$F$108,$A19,1),1)))</f>
        <v/>
      </c>
      <c r="T19" s="219" t="str">
        <f>IF(C19="","",C19)</f>
        <v/>
      </c>
      <c r="U19" s="220" t="str">
        <f>IF(D19="","",IF(D19="1：男",1,IF(D19="2：女",2)))</f>
        <v/>
      </c>
      <c r="V19" s="221" t="str">
        <f>IF(E19="","",E19)</f>
        <v/>
      </c>
      <c r="W19" s="349" t="str">
        <f t="shared" ref="W19" si="9">IF(AND(G19="",H19="",G20=""),"",ROUND(SUM(G19,H19/60)*G20,1))</f>
        <v/>
      </c>
      <c r="X19" s="350" t="str">
        <f t="shared" ref="X19" si="10">IF(AND(I19="",J19="",I20=""),"",ROUND(SUM(I19,J19/60)*I20,1))</f>
        <v/>
      </c>
      <c r="Y19" s="351" t="str">
        <f t="shared" ref="Y19" si="11">IF(AND(K19="",L19="",K20=""),"",ROUND(SUM(K19,L19/60)*K20,1))</f>
        <v/>
      </c>
      <c r="Z19" s="200"/>
      <c r="AA19" s="201"/>
      <c r="AB19" s="201"/>
      <c r="AC19" s="242"/>
      <c r="AD19" s="233"/>
      <c r="AE19" s="241" t="s">
        <v>126</v>
      </c>
      <c r="AF19" s="253">
        <f t="shared" si="8"/>
        <v>0</v>
      </c>
      <c r="AG19" s="253">
        <f t="shared" si="8"/>
        <v>0</v>
      </c>
      <c r="AH19" s="253">
        <f>SUMIFS($W$11:$W$70,$S$11:$S$70,1,$U$11:$U$70,1,$V$11:$V$70,"&gt;=70",$V$11:$V$70,"&lt;75")</f>
        <v>0</v>
      </c>
      <c r="AI19" s="253">
        <f>SUMIFS($W$11:$W$70,$S$11:$S$70,1,$U$11:$U$70,2,$V$11:$V$70,"&gt;=70",$V$11:$V$70,"&lt;75")</f>
        <v>0</v>
      </c>
      <c r="AJ19" s="223"/>
      <c r="AK19" s="223"/>
      <c r="AL19" s="212"/>
      <c r="AM19" s="213"/>
      <c r="AN19" s="213"/>
      <c r="AO19" s="213"/>
      <c r="AP19" s="223"/>
      <c r="AQ19" s="223"/>
      <c r="AR19" s="253">
        <f>SUMIFS($W$11:$W$70,$S$11:$S$70,5,$U$11:$U$70,1,$V$11:$V$70,"&gt;=70",$V$11:$V$70,"&lt;75")</f>
        <v>0</v>
      </c>
      <c r="AS19" s="253">
        <f>SUMIFS($W$11:$W$70,$S$11:$S$70,5,$U$11:$U$70,2,$V$11:$V$70,"&gt;=70",$V$11:$V$70,"&lt;75")</f>
        <v>0</v>
      </c>
      <c r="AT19"/>
      <c r="AU19"/>
      <c r="AV19" s="237"/>
      <c r="AW19" s="233"/>
      <c r="AX19" s="241" t="s">
        <v>126</v>
      </c>
      <c r="AY19" s="352">
        <f>ROUND(AF24*$T$4*0.8,0)</f>
        <v>0</v>
      </c>
      <c r="AZ19" s="352">
        <f>ROUND(AG24*$T$4*0.8,0)</f>
        <v>0</v>
      </c>
      <c r="BA19" s="347"/>
      <c r="BB19" s="348"/>
      <c r="BC19" s="347"/>
      <c r="BD19" s="347"/>
      <c r="BE19" s="352">
        <f>(AR24)*$T$4*0.8</f>
        <v>0</v>
      </c>
      <c r="BF19" s="352">
        <f>(AS24)*$T$4*0.8</f>
        <v>0</v>
      </c>
    </row>
    <row r="20" spans="1:58" s="30" customFormat="1" ht="29.25" customHeight="1" thickBot="1" x14ac:dyDescent="0.25">
      <c r="A20" s="142"/>
      <c r="B20" s="29"/>
      <c r="C20" s="82"/>
      <c r="D20" s="83"/>
      <c r="E20" s="84"/>
      <c r="F20" s="85"/>
      <c r="G20" s="86" t="str">
        <f>IF(SUM(G19:H19)&gt;0,1,"")</f>
        <v/>
      </c>
      <c r="H20" s="87"/>
      <c r="I20" s="86" t="str">
        <f>IF(SUM(I19:J19)&gt;0,1,"")</f>
        <v/>
      </c>
      <c r="J20" s="87"/>
      <c r="K20" s="86" t="str">
        <f>IF(SUM(K19:L19)&gt;0,1,"")</f>
        <v/>
      </c>
      <c r="L20" s="88"/>
      <c r="M20" s="168"/>
      <c r="N20" s="97"/>
      <c r="P20" s="14"/>
      <c r="Q20" s="14"/>
      <c r="S20" s="89"/>
      <c r="T20" s="194"/>
      <c r="U20" s="195"/>
      <c r="V20" s="196"/>
      <c r="W20" s="200"/>
      <c r="X20" s="340"/>
      <c r="Y20" s="341"/>
      <c r="Z20" s="200"/>
      <c r="AA20" s="201"/>
      <c r="AB20" s="201"/>
      <c r="AC20" s="242"/>
      <c r="AD20" s="243"/>
      <c r="AE20" s="244" t="s">
        <v>15</v>
      </c>
      <c r="AF20" s="295">
        <f t="shared" si="8"/>
        <v>0</v>
      </c>
      <c r="AG20" s="295">
        <f t="shared" si="8"/>
        <v>0</v>
      </c>
      <c r="AH20" s="256">
        <f>SUMIFS($W$11:$W$70,$S$11:$S$70,1,$U$11:$U$70,1,$V$11:$V$70,"&gt;=75")</f>
        <v>0</v>
      </c>
      <c r="AI20" s="256">
        <f>SUMIFS($W$11:$W$70,$S$11:$S$70,1,$U$11:$U$70,2,$V$11:$V$70,"&gt;=75")</f>
        <v>0</v>
      </c>
      <c r="AJ20" s="226"/>
      <c r="AK20" s="226"/>
      <c r="AL20" s="212"/>
      <c r="AM20" s="213"/>
      <c r="AN20" s="228"/>
      <c r="AO20" s="228"/>
      <c r="AP20" s="226"/>
      <c r="AQ20" s="226"/>
      <c r="AR20" s="256">
        <f>SUMIFS($W$11:$W$70,$S$11:$S$70,5,$U$11:$U$70,1,$V$11:$V$70,"&gt;=75")</f>
        <v>0</v>
      </c>
      <c r="AS20" s="256">
        <f>SUMIFS($W$11:$W$70,$S$11:$S$70,5,$U$11:$U$70,2,$V$11:$V$70,"&gt;=75")</f>
        <v>0</v>
      </c>
      <c r="AT20"/>
      <c r="AU20"/>
      <c r="AV20" s="237"/>
      <c r="AW20" s="243"/>
      <c r="AX20" s="244" t="s">
        <v>15</v>
      </c>
      <c r="AY20" s="355">
        <f>ROUND(AF25*$T$4*0.7,0)</f>
        <v>0</v>
      </c>
      <c r="AZ20" s="355">
        <f>ROUND(AG25*$T$4*0.7,0)</f>
        <v>0</v>
      </c>
      <c r="BA20" s="354"/>
      <c r="BB20" s="359"/>
      <c r="BC20" s="354"/>
      <c r="BD20" s="354"/>
      <c r="BE20" s="355">
        <f>(AR25)*$T$4*0.7</f>
        <v>0</v>
      </c>
      <c r="BF20" s="355">
        <f>(AS25)*$T$4*0.7</f>
        <v>0</v>
      </c>
    </row>
    <row r="21" spans="1:58" s="30" customFormat="1" ht="29.25" customHeight="1" thickTop="1" thickBot="1" x14ac:dyDescent="0.25">
      <c r="A21" s="142">
        <f>ROUND((ROW()-10)/2,0)</f>
        <v>6</v>
      </c>
      <c r="B21" s="29"/>
      <c r="C21" s="90" t="str">
        <f>IF(INDEX(設定!$C$9:$C$108,$A21,1)="","",INDEX(設定!$C$9:$C$108,$A21,1))</f>
        <v/>
      </c>
      <c r="D21" s="76" t="str">
        <f>IF(INDEX(設定!$D$9:$D$108,$A21,1)="","",INDEX(設定!$D$9:$D$108,$A21,1))</f>
        <v/>
      </c>
      <c r="E21" s="77" t="str">
        <f>IF(INDEX(設定!$E$9:$E$108,$A21,1)="","",INDEX(設定!$E$9:$E$108,$A21,1))</f>
        <v/>
      </c>
      <c r="F21" s="78" t="str">
        <f>IF(S21="","",IF(S21=1,"1：家族",IF(AND(S21&gt;=2,S21&lt;=5),"2：雇用","")))</f>
        <v/>
      </c>
      <c r="G21" s="141">
        <f>INT(INDEX(設定!$H$9:H$108,$A21,1))</f>
        <v>0</v>
      </c>
      <c r="H21" s="79" t="str">
        <f>IF(INDEX(設定!$H$9:$H$108,$A21,1)=0,"",ROUND(MOD(INDEX(設定!$H$9:$H$108,$A21,1),1)*60,0))</f>
        <v/>
      </c>
      <c r="I21" s="141">
        <f>INT(INDEX(設定!$I$9:$I$108,$A21,1))</f>
        <v>0</v>
      </c>
      <c r="J21" s="79" t="str">
        <f>IF(INDEX(設定!$I$9:$I$108,$A21,1)=0,"",ROUND(MOD(INDEX(設定!$I$9:$I$108,$A21,1),1)*60,0))</f>
        <v/>
      </c>
      <c r="K21" s="141">
        <f>INT(INDEX(設定!$J$9:$J$108,$A21,1))</f>
        <v>0</v>
      </c>
      <c r="L21" s="80" t="str">
        <f>IF(INDEX(設定!$J$9:$J$108,$A21,1)=0,"",ROUND(MOD(INDEX(設定!$J$9:$J$108,$A21,1),1)*60,0))</f>
        <v/>
      </c>
      <c r="M21" s="167"/>
      <c r="N21" s="166"/>
      <c r="P21" s="14"/>
      <c r="Q21" s="14"/>
      <c r="S21" s="91" t="str">
        <f>IF(INDEX(設定!$F$9:$F$108,$A21,1)="","",VALUE(LEFT(INDEX(設定!$F$9:$F$108,$A21,1),1)))</f>
        <v/>
      </c>
      <c r="T21" s="219" t="str">
        <f>IF(C21="","",C21)</f>
        <v/>
      </c>
      <c r="U21" s="220" t="str">
        <f>IF(D21="","",IF(D21="1：男",1,IF(D21="2：女",2)))</f>
        <v/>
      </c>
      <c r="V21" s="221" t="str">
        <f>IF(E21="","",E21)</f>
        <v/>
      </c>
      <c r="W21" s="349" t="str">
        <f t="shared" ref="W21" si="12">IF(AND(G21="",H21="",G22=""),"",ROUND(SUM(G21,H21/60)*G22,1))</f>
        <v/>
      </c>
      <c r="X21" s="350" t="str">
        <f t="shared" ref="X21" si="13">IF(AND(I21="",J21="",I22=""),"",ROUND(SUM(I21,J21/60)*I22,1))</f>
        <v/>
      </c>
      <c r="Y21" s="351" t="str">
        <f t="shared" ref="Y21" si="14">IF(AND(K21="",L21="",K22=""),"",ROUND(SUM(K21,L21/60)*K22,1))</f>
        <v/>
      </c>
      <c r="Z21" s="200"/>
      <c r="AA21" s="201"/>
      <c r="AB21" s="201"/>
      <c r="AC21" s="242"/>
      <c r="AD21" s="481" t="s">
        <v>127</v>
      </c>
      <c r="AE21" s="483"/>
      <c r="AF21" s="356">
        <f>SUM(AF22:AF25)</f>
        <v>0</v>
      </c>
      <c r="AG21" s="356">
        <f>SUM(AG22:AG25)</f>
        <v>0</v>
      </c>
      <c r="AH21" s="203"/>
      <c r="AI21" s="203"/>
      <c r="AJ21" s="203"/>
      <c r="AK21" s="203"/>
      <c r="AL21" s="356">
        <f>AN21+AP21+AR21</f>
        <v>0</v>
      </c>
      <c r="AM21" s="356">
        <f>AO21+AQ21+AS21</f>
        <v>0</v>
      </c>
      <c r="AN21" s="245">
        <f>SUMIFS($X$11:$X$70,$S$11:$S$70,2,$U$11:$U$70,1)</f>
        <v>0</v>
      </c>
      <c r="AO21" s="259">
        <f>SUMIFS($X$11:$X$70,$S$11:$S$70,2,$U$11:$U$70,2)</f>
        <v>0</v>
      </c>
      <c r="AP21" s="259">
        <f>AP22</f>
        <v>0</v>
      </c>
      <c r="AQ21" s="259">
        <f>AQ22</f>
        <v>0</v>
      </c>
      <c r="AR21" s="259">
        <f>SUM(AR22:AR25)</f>
        <v>0</v>
      </c>
      <c r="AS21" s="259">
        <f>SUM(AS22:AS25)</f>
        <v>0</v>
      </c>
      <c r="AT21"/>
      <c r="AU21"/>
      <c r="AV21" s="215"/>
      <c r="AW21" s="360"/>
      <c r="AX21" s="361"/>
      <c r="AY21" s="362"/>
      <c r="AZ21" s="362"/>
      <c r="BA21" s="363"/>
      <c r="BB21" s="363"/>
      <c r="BC21" s="363"/>
      <c r="BD21" s="363"/>
      <c r="BE21" s="363"/>
      <c r="BF21" s="364"/>
    </row>
    <row r="22" spans="1:58" s="30" customFormat="1" ht="29.25" customHeight="1" thickTop="1" thickBot="1" x14ac:dyDescent="0.25">
      <c r="A22" s="142"/>
      <c r="B22" s="29"/>
      <c r="C22" s="82"/>
      <c r="D22" s="83"/>
      <c r="E22" s="84"/>
      <c r="F22" s="85"/>
      <c r="G22" s="86" t="str">
        <f>IF(SUM(G21:H21)&gt;0,1,"")</f>
        <v/>
      </c>
      <c r="H22" s="87"/>
      <c r="I22" s="86" t="str">
        <f>IF(SUM(I21:J21)&gt;0,1,"")</f>
        <v/>
      </c>
      <c r="J22" s="87"/>
      <c r="K22" s="86" t="str">
        <f>IF(SUM(K21:L21)&gt;0,1,"")</f>
        <v/>
      </c>
      <c r="L22" s="88"/>
      <c r="M22" s="168"/>
      <c r="N22" s="97"/>
      <c r="P22" s="14"/>
      <c r="Q22" s="14"/>
      <c r="S22" s="89"/>
      <c r="T22" s="194"/>
      <c r="U22" s="195"/>
      <c r="V22" s="196"/>
      <c r="W22" s="200"/>
      <c r="X22" s="340"/>
      <c r="Y22" s="341"/>
      <c r="Z22" s="200"/>
      <c r="AA22" s="201"/>
      <c r="AB22" s="201"/>
      <c r="AC22" s="242"/>
      <c r="AD22" s="233"/>
      <c r="AE22" s="240" t="s">
        <v>14</v>
      </c>
      <c r="AF22" s="345">
        <f t="shared" ref="AF22:AG25" si="15">AH22+AJ22</f>
        <v>0</v>
      </c>
      <c r="AG22" s="345">
        <f t="shared" si="15"/>
        <v>0</v>
      </c>
      <c r="AH22" s="262">
        <f>SUMIFS($X$11:$X$70,$S$11:$S$70,1,$U$11:$U$70,1,$V$11:$V$70,"&lt;65")</f>
        <v>0</v>
      </c>
      <c r="AI22" s="262">
        <f>SUMIFS($X$11:$X$70,$S$11:$S$70,1,$U$11:$U$70,2,$V$11:$V$70,"&lt;65")</f>
        <v>0</v>
      </c>
      <c r="AJ22" s="262">
        <f>SUMIFS($X$11:$X$70,$S$11:$S$70,3,$U$11:$U$70,1)</f>
        <v>0</v>
      </c>
      <c r="AK22" s="262">
        <f>SUMIFS($X$11:$X$70,$S$11:$S$70,3,$U$11:$U$70,2)</f>
        <v>0</v>
      </c>
      <c r="AL22" s="212"/>
      <c r="AM22" s="213"/>
      <c r="AN22" s="214"/>
      <c r="AO22" s="214"/>
      <c r="AP22" s="262">
        <f>SUMIFS($X$11:$X$70,$S$11:$S$70,4,$U$11:$U$70,1)</f>
        <v>0</v>
      </c>
      <c r="AQ22" s="262">
        <f>SUMIFS($X$11:$X$70,$S$11:$S$70,4,$U$11:$U$70,2)</f>
        <v>0</v>
      </c>
      <c r="AR22" s="262">
        <f>SUMIFS($X$11:$X$70,$S$11:$S$70,5,$U$11:$U$70,1,$V$11:$V$70,"&lt;65")</f>
        <v>0</v>
      </c>
      <c r="AS22" s="262">
        <f>SUMIFS($X$11:$X$70,$S$11:$S$70,5,$U$11:$U$70,2,$V$11:$V$70,"&lt;65")</f>
        <v>0</v>
      </c>
      <c r="AT22"/>
      <c r="AU22"/>
      <c r="AV22" s="215"/>
      <c r="AW22" s="215"/>
      <c r="AX22" s="238"/>
      <c r="AY22" s="363"/>
      <c r="AZ22" s="363"/>
      <c r="BA22" s="363"/>
      <c r="BB22" s="363"/>
      <c r="BC22" s="363"/>
      <c r="BD22" s="363"/>
      <c r="BE22" s="363"/>
      <c r="BF22" s="364"/>
    </row>
    <row r="23" spans="1:58" s="30" customFormat="1" ht="29.25" customHeight="1" thickTop="1" x14ac:dyDescent="0.2">
      <c r="A23" s="142">
        <f>ROUND((ROW()-10)/2,0)</f>
        <v>7</v>
      </c>
      <c r="B23" s="29"/>
      <c r="C23" s="90" t="str">
        <f>IF(INDEX(設定!$C$9:$C$108,$A23,1)="","",INDEX(設定!$C$9:$C$108,$A23,1))</f>
        <v/>
      </c>
      <c r="D23" s="76" t="str">
        <f>IF(INDEX(設定!$D$9:$D$108,$A23,1)="","",INDEX(設定!$D$9:$D$108,$A23,1))</f>
        <v/>
      </c>
      <c r="E23" s="77" t="str">
        <f>IF(INDEX(設定!$E$9:$E$108,$A23,1)="","",INDEX(設定!$E$9:$E$108,$A23,1))</f>
        <v/>
      </c>
      <c r="F23" s="78" t="str">
        <f>IF(S23="","",IF(S23=1,"1：家族",IF(AND(S23&gt;=2,S23&lt;=5),"2：雇用","")))</f>
        <v/>
      </c>
      <c r="G23" s="141">
        <f>INT(INDEX(設定!$H$9:H$108,$A23,1))</f>
        <v>0</v>
      </c>
      <c r="H23" s="79" t="str">
        <f>IF(INDEX(設定!$H$9:$H$108,$A23,1)=0,"",ROUND(MOD(INDEX(設定!$H$9:$H$108,$A23,1),1)*60,0))</f>
        <v/>
      </c>
      <c r="I23" s="141">
        <f>INT(INDEX(設定!$I$9:$I$108,$A23,1))</f>
        <v>0</v>
      </c>
      <c r="J23" s="79" t="str">
        <f>IF(INDEX(設定!$I$9:$I$108,$A23,1)=0,"",ROUND(MOD(INDEX(設定!$I$9:$I$108,$A23,1),1)*60,0))</f>
        <v/>
      </c>
      <c r="K23" s="141">
        <f>INT(INDEX(設定!$J$9:$J$108,$A23,1))</f>
        <v>0</v>
      </c>
      <c r="L23" s="80" t="str">
        <f>IF(INDEX(設定!$J$9:$J$108,$A23,1)=0,"",ROUND(MOD(INDEX(設定!$J$9:$J$108,$A23,1),1)*60,0))</f>
        <v/>
      </c>
      <c r="M23" s="167"/>
      <c r="N23" s="166"/>
      <c r="P23" s="14"/>
      <c r="Q23" s="14"/>
      <c r="S23" s="91" t="str">
        <f>IF(INDEX(設定!$F$9:$F$108,$A23,1)="","",VALUE(LEFT(INDEX(設定!$F$9:$F$108,$A23,1),1)))</f>
        <v/>
      </c>
      <c r="T23" s="219" t="str">
        <f>IF(C23="","",C23)</f>
        <v/>
      </c>
      <c r="U23" s="220" t="str">
        <f>IF(D23="","",IF(D23="1：男",1,IF(D23="2：女",2)))</f>
        <v/>
      </c>
      <c r="V23" s="221" t="str">
        <f>IF(E23="","",E23)</f>
        <v/>
      </c>
      <c r="W23" s="349" t="str">
        <f t="shared" ref="W23" si="16">IF(AND(G23="",H23="",G24=""),"",ROUND(SUM(G23,H23/60)*G24,1))</f>
        <v/>
      </c>
      <c r="X23" s="350" t="str">
        <f t="shared" ref="X23" si="17">IF(AND(I23="",J23="",I24=""),"",ROUND(SUM(I23,J23/60)*I24,1))</f>
        <v/>
      </c>
      <c r="Y23" s="351" t="str">
        <f t="shared" ref="Y23" si="18">IF(AND(K23="",L23="",K24=""),"",ROUND(SUM(K23,L23/60)*K24,1))</f>
        <v/>
      </c>
      <c r="Z23" s="200"/>
      <c r="AA23" s="201"/>
      <c r="AB23" s="201"/>
      <c r="AC23" s="242"/>
      <c r="AD23" s="233"/>
      <c r="AE23" s="241" t="s">
        <v>125</v>
      </c>
      <c r="AF23" s="253">
        <f t="shared" si="15"/>
        <v>0</v>
      </c>
      <c r="AG23" s="253">
        <f t="shared" si="15"/>
        <v>0</v>
      </c>
      <c r="AH23" s="253">
        <f>SUMIFS($X$11:$X$70,$S$11:$S$70,1,$U$11:$U$70,1,$V$11:$V$70,"&gt;=65",$V$11:$V$70,"&lt;70")</f>
        <v>0</v>
      </c>
      <c r="AI23" s="253">
        <f>SUMIFS($X$11:$X$70,$S$11:$S$70,1,$U$11:$U$70,2,$V$11:$V$70,"&gt;=65",$V$11:$V$70,"&lt;70")</f>
        <v>0</v>
      </c>
      <c r="AJ23" s="223"/>
      <c r="AK23" s="223"/>
      <c r="AL23" s="212"/>
      <c r="AM23" s="213"/>
      <c r="AN23" s="213"/>
      <c r="AO23" s="213"/>
      <c r="AP23" s="223"/>
      <c r="AQ23" s="223"/>
      <c r="AR23" s="253">
        <f>SUMIFS($X$11:$X$70,$S$11:$S$70,5,$U$11:$U$70,1,$V$11:$V$70,"&gt;=65",$V$11:$V$70,"&lt;70")</f>
        <v>0</v>
      </c>
      <c r="AS23" s="253">
        <f>SUMIFS($X$11:$X$70,$S$11:$S$70,5,$U$11:$U$70,2,$V$11:$V$70,"&gt;=65",$V$11:$V$70,"&lt;70")</f>
        <v>0</v>
      </c>
      <c r="AT23"/>
      <c r="AU23"/>
      <c r="AV23" s="215"/>
      <c r="AW23" s="215"/>
      <c r="AX23" s="238"/>
      <c r="AY23" s="363"/>
      <c r="AZ23" s="363"/>
      <c r="BA23" s="363"/>
      <c r="BB23" s="363"/>
      <c r="BC23" s="363"/>
      <c r="BD23" s="363"/>
      <c r="BE23" s="363"/>
      <c r="BF23" s="364"/>
    </row>
    <row r="24" spans="1:58" s="30" customFormat="1" ht="29.25" customHeight="1" thickBot="1" x14ac:dyDescent="0.25">
      <c r="A24" s="142"/>
      <c r="B24" s="29"/>
      <c r="C24" s="82"/>
      <c r="D24" s="83"/>
      <c r="E24" s="84"/>
      <c r="F24" s="85"/>
      <c r="G24" s="86" t="str">
        <f>IF(SUM(G23:H23)&gt;0,1,"")</f>
        <v/>
      </c>
      <c r="H24" s="87"/>
      <c r="I24" s="86" t="str">
        <f>IF(SUM(I23:J23)&gt;0,1,"")</f>
        <v/>
      </c>
      <c r="J24" s="87"/>
      <c r="K24" s="86" t="str">
        <f>IF(SUM(K23:L23)&gt;0,1,"")</f>
        <v/>
      </c>
      <c r="L24" s="88"/>
      <c r="M24" s="168"/>
      <c r="N24" s="97"/>
      <c r="P24" s="14"/>
      <c r="Q24" s="14"/>
      <c r="S24" s="89"/>
      <c r="T24" s="194"/>
      <c r="U24" s="195"/>
      <c r="V24" s="196"/>
      <c r="W24" s="200"/>
      <c r="X24" s="340"/>
      <c r="Y24" s="341"/>
      <c r="Z24" s="200"/>
      <c r="AA24" s="201"/>
      <c r="AB24" s="201"/>
      <c r="AC24" s="242"/>
      <c r="AD24" s="233"/>
      <c r="AE24" s="241" t="s">
        <v>126</v>
      </c>
      <c r="AF24" s="253">
        <f t="shared" si="15"/>
        <v>0</v>
      </c>
      <c r="AG24" s="253">
        <f t="shared" si="15"/>
        <v>0</v>
      </c>
      <c r="AH24" s="253">
        <f>SUMIFS($X$11:$X$70,$S$11:$S$70,1,$U$11:$U$70,1,$V$11:$V$70,"&gt;=70",$V$11:$V$70,"&lt;75")</f>
        <v>0</v>
      </c>
      <c r="AI24" s="253">
        <f>SUMIFS($X$11:$X$70,$S$11:$S$70,1,$U$11:$U$70,2,$V$11:$V$70,"&gt;=70",$V$11:$V$70,"&lt;75")</f>
        <v>0</v>
      </c>
      <c r="AJ24" s="223"/>
      <c r="AK24" s="223"/>
      <c r="AL24" s="212"/>
      <c r="AM24" s="213"/>
      <c r="AN24" s="213"/>
      <c r="AO24" s="213"/>
      <c r="AP24" s="223"/>
      <c r="AQ24" s="223"/>
      <c r="AR24" s="253">
        <f>SUMIFS($X$11:$X$70,$S$11:$S$70,5,$U$11:$U$70,1,$V$11:$V$70,"&gt;=70",$V$11:$V$70,"&lt;75")</f>
        <v>0</v>
      </c>
      <c r="AS24" s="253">
        <f>SUMIFS($X$11:$X$70,$S$11:$S$70,5,$U$11:$U$70,2,$V$11:$V$70,"&gt;=70",$V$11:$V$70,"&lt;75")</f>
        <v>0</v>
      </c>
      <c r="AT24"/>
      <c r="AU24"/>
      <c r="AV24" s="215"/>
      <c r="AW24" s="215"/>
      <c r="AX24" s="238"/>
      <c r="AY24" s="363"/>
      <c r="AZ24" s="363"/>
      <c r="BA24" s="363"/>
      <c r="BB24" s="363"/>
      <c r="BC24" s="363"/>
      <c r="BD24" s="363"/>
      <c r="BE24" s="363"/>
      <c r="BF24" s="364"/>
    </row>
    <row r="25" spans="1:58" s="30" customFormat="1" ht="29.25" customHeight="1" thickTop="1" thickBot="1" x14ac:dyDescent="0.25">
      <c r="A25" s="143">
        <f>ROUND((ROW()-10)/2,0)</f>
        <v>8</v>
      </c>
      <c r="B25" s="21"/>
      <c r="C25" s="90" t="str">
        <f>IF(INDEX(設定!$C$9:$C$108,$A25,1)="","",INDEX(設定!$C$9:$C$108,$A25,1))</f>
        <v/>
      </c>
      <c r="D25" s="76" t="str">
        <f>IF(INDEX(設定!$D$9:$D$108,$A25,1)="","",INDEX(設定!$D$9:$D$108,$A25,1))</f>
        <v/>
      </c>
      <c r="E25" s="77" t="str">
        <f>IF(INDEX(設定!$E$9:$E$108,$A25,1)="","",INDEX(設定!$E$9:$E$108,$A25,1))</f>
        <v/>
      </c>
      <c r="F25" s="78" t="str">
        <f>IF(S25="","",IF(S25=1,"1：家族",IF(AND(S25&gt;=2,S25&lt;=5),"2：雇用","")))</f>
        <v/>
      </c>
      <c r="G25" s="141">
        <f>INT(INDEX(設定!$H$9:H$108,$A25,1))</f>
        <v>0</v>
      </c>
      <c r="H25" s="79" t="str">
        <f>IF(INDEX(設定!$H$9:$H$108,$A25,1)=0,"",ROUND(MOD(INDEX(設定!$H$9:$H$108,$A25,1),1)*60,0))</f>
        <v/>
      </c>
      <c r="I25" s="141">
        <f>INT(INDEX(設定!$I$9:$I$108,$A25,1))</f>
        <v>0</v>
      </c>
      <c r="J25" s="79" t="str">
        <f>IF(INDEX(設定!$I$9:$I$108,$A25,1)=0,"",ROUND(MOD(INDEX(設定!$I$9:$I$108,$A25,1),1)*60,0))</f>
        <v/>
      </c>
      <c r="K25" s="141">
        <f>INT(INDEX(設定!$J$9:$J$108,$A25,1))</f>
        <v>0</v>
      </c>
      <c r="L25" s="80" t="str">
        <f>IF(INDEX(設定!$J$9:$J$108,$A25,1)=0,"",ROUND(MOD(INDEX(設定!$J$9:$J$108,$A25,1),1)*60,0))</f>
        <v/>
      </c>
      <c r="M25" s="167"/>
      <c r="N25" s="166"/>
      <c r="P25" s="14"/>
      <c r="Q25" s="14"/>
      <c r="S25" s="91" t="str">
        <f>IF(INDEX(設定!$F$9:$F$108,$A25,1)="","",VALUE(LEFT(INDEX(設定!$F$9:$F$108,$A25,1),1)))</f>
        <v/>
      </c>
      <c r="T25" s="219" t="str">
        <f>IF(C25="","",C25)</f>
        <v/>
      </c>
      <c r="U25" s="220" t="str">
        <f>IF(D25="","",IF(D25="1：男",1,IF(D25="2：女",2)))</f>
        <v/>
      </c>
      <c r="V25" s="221" t="str">
        <f>IF(E25="","",E25)</f>
        <v/>
      </c>
      <c r="W25" s="349" t="str">
        <f t="shared" ref="W25" si="19">IF(AND(G25="",H25="",G26=""),"",ROUND(SUM(G25,H25/60)*G26,1))</f>
        <v/>
      </c>
      <c r="X25" s="350" t="str">
        <f t="shared" ref="X25" si="20">IF(AND(I25="",J25="",I26=""),"",ROUND(SUM(I25,J25/60)*I26,1))</f>
        <v/>
      </c>
      <c r="Y25" s="351" t="str">
        <f t="shared" ref="Y25" si="21">IF(AND(K25="",L25="",K26=""),"",ROUND(SUM(K25,L25/60)*K26,1))</f>
        <v/>
      </c>
      <c r="Z25" s="200"/>
      <c r="AA25" s="201"/>
      <c r="AB25" s="201"/>
      <c r="AC25" s="233"/>
      <c r="AD25" s="243"/>
      <c r="AE25" s="244" t="s">
        <v>15</v>
      </c>
      <c r="AF25" s="295">
        <f t="shared" si="15"/>
        <v>0</v>
      </c>
      <c r="AG25" s="295">
        <f t="shared" si="15"/>
        <v>0</v>
      </c>
      <c r="AH25" s="256">
        <f>SUMIFS($X$11:$X$70,$S$11:$S$70,1,$U$11:$U$70,1,$V$11:$V$70,"&gt;=75")</f>
        <v>0</v>
      </c>
      <c r="AI25" s="256">
        <f>SUMIFS($X$11:$X$70,$S$11:$S$70,1,$U$11:$U$70,2,$V$11:$V$70,"&gt;=75")</f>
        <v>0</v>
      </c>
      <c r="AJ25" s="226"/>
      <c r="AK25" s="226"/>
      <c r="AL25" s="212"/>
      <c r="AM25" s="213"/>
      <c r="AN25" s="228"/>
      <c r="AO25" s="228"/>
      <c r="AP25" s="226"/>
      <c r="AQ25" s="226"/>
      <c r="AR25" s="256">
        <f>SUMIFS($X$11:$X$70,$S$11:$S$70,5,$U$11:$U$70,1,$V$11:$V$70,"&gt;=75")</f>
        <v>0</v>
      </c>
      <c r="AS25" s="256">
        <f>SUMIFS($X$11:$X$70,$S$11:$S$70,5,$U$11:$U$70,2,$V$11:$V$70,"&gt;=75")</f>
        <v>0</v>
      </c>
      <c r="AT25"/>
      <c r="AU25"/>
      <c r="AV25" s="215"/>
      <c r="AW25" s="365"/>
      <c r="AX25" s="366"/>
      <c r="AY25" s="363"/>
      <c r="AZ25" s="363"/>
      <c r="BA25" s="363"/>
      <c r="BB25" s="363"/>
      <c r="BC25" s="363"/>
      <c r="BD25" s="363"/>
      <c r="BE25" s="363"/>
      <c r="BF25" s="364"/>
    </row>
    <row r="26" spans="1:58" s="30" customFormat="1" ht="29.25" customHeight="1" thickTop="1" thickBot="1" x14ac:dyDescent="0.25">
      <c r="A26" s="143"/>
      <c r="B26" s="21"/>
      <c r="C26" s="82"/>
      <c r="D26" s="83"/>
      <c r="E26" s="84"/>
      <c r="F26" s="85"/>
      <c r="G26" s="86" t="str">
        <f>IF(SUM(G25:H25)&gt;0,1,"")</f>
        <v/>
      </c>
      <c r="H26" s="87"/>
      <c r="I26" s="86" t="str">
        <f>IF(SUM(I25:J25)&gt;0,1,"")</f>
        <v/>
      </c>
      <c r="J26" s="87"/>
      <c r="K26" s="86" t="str">
        <f>IF(SUM(K25:L25)&gt;0,1,"")</f>
        <v/>
      </c>
      <c r="L26" s="88"/>
      <c r="M26" s="168"/>
      <c r="N26" s="97"/>
      <c r="P26" s="14"/>
      <c r="Q26" s="14"/>
      <c r="S26" s="89"/>
      <c r="T26" s="194"/>
      <c r="U26" s="195"/>
      <c r="V26" s="196"/>
      <c r="W26" s="200"/>
      <c r="X26" s="340"/>
      <c r="Y26" s="341"/>
      <c r="Z26" s="200"/>
      <c r="AA26" s="201"/>
      <c r="AB26" s="201"/>
      <c r="AC26" s="233"/>
      <c r="AD26" s="481" t="s">
        <v>13</v>
      </c>
      <c r="AE26" s="483"/>
      <c r="AF26" s="356">
        <f>SUM(AF27:AF30)</f>
        <v>0</v>
      </c>
      <c r="AG26" s="356">
        <f>SUM(AG27:AG30)</f>
        <v>0</v>
      </c>
      <c r="AH26" s="203"/>
      <c r="AI26" s="203"/>
      <c r="AJ26" s="203"/>
      <c r="AK26" s="203"/>
      <c r="AL26" s="356">
        <f>AN26+AP26+AR26</f>
        <v>0</v>
      </c>
      <c r="AM26" s="356">
        <f>AO26+AQ26+AS26</f>
        <v>0</v>
      </c>
      <c r="AN26" s="245">
        <f>SUMIFS($Y$11:$Y$70,$S$11:$S$70,2,$U$11:$U$70,1)</f>
        <v>0</v>
      </c>
      <c r="AO26" s="245">
        <f>SUMIFS($Y$11:$Y$70,$S$11:$S$70,2,$U$11:$U$70,2)</f>
        <v>0</v>
      </c>
      <c r="AP26" s="259">
        <f>AP27</f>
        <v>0</v>
      </c>
      <c r="AQ26" s="259">
        <f>AQ27</f>
        <v>0</v>
      </c>
      <c r="AR26" s="259">
        <f>SUM(AR27:AR30)</f>
        <v>0</v>
      </c>
      <c r="AS26" s="259">
        <f>SUM(AS27:AS30)</f>
        <v>0</v>
      </c>
      <c r="AT26"/>
      <c r="AU26"/>
      <c r="AV26" s="237"/>
      <c r="AW26" s="260"/>
      <c r="AX26" s="367"/>
      <c r="AY26" s="368"/>
      <c r="AZ26" s="368"/>
      <c r="BA26" s="368"/>
      <c r="BB26" s="368"/>
      <c r="BC26" s="368"/>
      <c r="BD26" s="368"/>
      <c r="BE26" s="368"/>
      <c r="BF26" s="369"/>
    </row>
    <row r="27" spans="1:58" s="30" customFormat="1" ht="29.25" customHeight="1" thickTop="1" x14ac:dyDescent="0.2">
      <c r="A27" s="143">
        <f>ROUND((ROW()-10)/2,0)</f>
        <v>9</v>
      </c>
      <c r="B27" s="21"/>
      <c r="C27" s="90" t="str">
        <f>IF(INDEX(設定!$C$9:$C$108,$A27,1)="","",INDEX(設定!$C$9:$C$108,$A27,1))</f>
        <v/>
      </c>
      <c r="D27" s="76" t="str">
        <f>IF(INDEX(設定!$D$9:$D$108,$A27,1)="","",INDEX(設定!$D$9:$D$108,$A27,1))</f>
        <v/>
      </c>
      <c r="E27" s="77" t="str">
        <f>IF(INDEX(設定!$E$9:$E$108,$A27,1)="","",INDEX(設定!$E$9:$E$108,$A27,1))</f>
        <v/>
      </c>
      <c r="F27" s="78" t="str">
        <f>IF(S27="","",IF(S27=1,"1：家族",IF(AND(S27&gt;=2,S27&lt;=5),"2：雇用","")))</f>
        <v/>
      </c>
      <c r="G27" s="141">
        <f>INT(INDEX(設定!$H$9:H$108,$A27,1))</f>
        <v>0</v>
      </c>
      <c r="H27" s="79" t="str">
        <f>IF(INDEX(設定!$H$9:$H$108,$A27,1)=0,"",ROUND(MOD(INDEX(設定!$H$9:$H$108,$A27,1),1)*60,0))</f>
        <v/>
      </c>
      <c r="I27" s="141">
        <f>INT(INDEX(設定!$I$9:$I$108,$A27,1))</f>
        <v>0</v>
      </c>
      <c r="J27" s="79" t="str">
        <f>IF(INDEX(設定!$I$9:$I$108,$A27,1)=0,"",ROUND(MOD(INDEX(設定!$I$9:$I$108,$A27,1),1)*60,0))</f>
        <v/>
      </c>
      <c r="K27" s="141">
        <f>INT(INDEX(設定!$J$9:$J$108,$A27,1))</f>
        <v>0</v>
      </c>
      <c r="L27" s="80" t="str">
        <f>IF(INDEX(設定!$J$9:$J$108,$A27,1)=0,"",ROUND(MOD(INDEX(設定!$J$9:$J$108,$A27,1),1)*60,0))</f>
        <v/>
      </c>
      <c r="M27" s="167"/>
      <c r="N27" s="166"/>
      <c r="P27" s="14"/>
      <c r="Q27" s="14"/>
      <c r="S27" s="91" t="str">
        <f>IF(INDEX(設定!$F$9:$F$108,$A27,1)="","",VALUE(LEFT(INDEX(設定!$F$9:$F$108,$A27,1),1)))</f>
        <v/>
      </c>
      <c r="T27" s="219" t="str">
        <f>IF(C27="","",C27)</f>
        <v/>
      </c>
      <c r="U27" s="220" t="str">
        <f>IF(D27="","",IF(D27="1：男",1,IF(D27="2：女",2)))</f>
        <v/>
      </c>
      <c r="V27" s="221" t="str">
        <f>IF(E27="","",E27)</f>
        <v/>
      </c>
      <c r="W27" s="350" t="str">
        <f>IF(AND(G27="",H27="",G28=""),"",ROUND(SUM(G27,H27/60)*G28,1))</f>
        <v/>
      </c>
      <c r="X27" s="350" t="str">
        <f>IF(AND(I27="",J27="",I28=""),"",ROUND(SUM(I27,J27/60)*I28,1))</f>
        <v/>
      </c>
      <c r="Y27" s="351" t="str">
        <f t="shared" ref="Y27" si="22">IF(AND(K27="",L27="",K28=""),"",ROUND(SUM(K27,L27/60)*K28,1))</f>
        <v/>
      </c>
      <c r="Z27" s="200"/>
      <c r="AA27" s="201"/>
      <c r="AB27" s="201"/>
      <c r="AC27" s="233"/>
      <c r="AD27" s="233"/>
      <c r="AE27" s="240" t="s">
        <v>14</v>
      </c>
      <c r="AF27" s="345">
        <f t="shared" ref="AF27:AG30" si="23">AH27+AJ27</f>
        <v>0</v>
      </c>
      <c r="AG27" s="345">
        <f t="shared" si="23"/>
        <v>0</v>
      </c>
      <c r="AH27" s="262">
        <f>SUMIFS($Y$11:$Y$70,$S$11:$S$70,1,$U$11:$U$70,1,$V$11:$V$70,"&lt;65")+SUMIFS($W$77:$W$106,$S$77:$S$106,1,$U$77:$U$106,1,$V$77:$V$106,"&lt;65")</f>
        <v>0</v>
      </c>
      <c r="AI27" s="262">
        <f>SUMIFS($Y$11:$Y$70,$S$11:$S$70,1,$U$11:$U$70,2,$V$11:$V$70,"&lt;65")+SUMIFS($W$77:$W$106,$S$77:$S$106,1,$U$77:$U$106,2,$V$77:$V$106,"&lt;65")</f>
        <v>0</v>
      </c>
      <c r="AJ27" s="262">
        <f>SUMIFS($Y$11:$Y$70,$S$11:$S$70,3,$U$11:$U$70,1)
+SUMIFS($Y$77:$Y$106,$S$77:$S$106,3,$U$77:$U$106,1)</f>
        <v>0</v>
      </c>
      <c r="AK27" s="262">
        <f>SUMIFS($Y$11:$Y$70,$S$11:$S$70,3,$U$11:$U$70,2)
+SUMIFS($Y$77:$Y$106,$S$77:$S$106,3,$U$77:$U$106,2)</f>
        <v>0</v>
      </c>
      <c r="AL27" s="212"/>
      <c r="AM27" s="213"/>
      <c r="AN27" s="214"/>
      <c r="AO27" s="214"/>
      <c r="AP27" s="262">
        <f>SUMIFS($Y$11:$Y$70,$S$11:$S$70,4,$U$11:$U$70,1)
+SUMIFS($Y$77:$Y$106,$S$77:$S$106,4,$U$77:$U$106,1)</f>
        <v>0</v>
      </c>
      <c r="AQ27" s="262">
        <f>SUMIFS($Y$11:$Y$70,$S$11:$S$70,4,$U$11:$U$70,2)
+SUMIFS($Y$77:$Y$106,$S$77:$S$106,4,$U$77:$U$106,2)</f>
        <v>0</v>
      </c>
      <c r="AR27" s="262">
        <f>SUMIFS($Y$11:$Y$70,$S$11:$S$70,5,$U$11:$U$70,1,$V$11:$V$70,"&lt;65")</f>
        <v>0</v>
      </c>
      <c r="AS27" s="262">
        <f>SUMIFS($Y$11:$Y$70,$S$11:$S$70,5,$U$11:$U$70,2,$V$11:$V$70,"&lt;65")</f>
        <v>0</v>
      </c>
      <c r="AT27"/>
      <c r="AU27"/>
      <c r="AV27" s="237"/>
      <c r="AW27" s="233"/>
      <c r="AX27" s="201"/>
      <c r="AY27" s="370"/>
      <c r="AZ27" s="370"/>
      <c r="BA27" s="370"/>
      <c r="BB27" s="370"/>
      <c r="BC27" s="370"/>
      <c r="BD27" s="370"/>
      <c r="BE27" s="370"/>
      <c r="BF27" s="371"/>
    </row>
    <row r="28" spans="1:58" s="30" customFormat="1" ht="29.25" customHeight="1" thickBot="1" x14ac:dyDescent="0.25">
      <c r="A28" s="142"/>
      <c r="B28" s="29"/>
      <c r="C28" s="82"/>
      <c r="D28" s="83"/>
      <c r="E28" s="84"/>
      <c r="F28" s="85"/>
      <c r="G28" s="86" t="str">
        <f>IF(SUM(G27:H27)&gt;0,1,"")</f>
        <v/>
      </c>
      <c r="H28" s="87"/>
      <c r="I28" s="86" t="str">
        <f>IF(SUM(I27:J27)&gt;0,1,"")</f>
        <v/>
      </c>
      <c r="J28" s="87"/>
      <c r="K28" s="86" t="str">
        <f>IF(SUM(K27:L27)&gt;0,1,"")</f>
        <v/>
      </c>
      <c r="L28" s="88"/>
      <c r="M28" s="168"/>
      <c r="N28" s="97"/>
      <c r="P28" s="14"/>
      <c r="Q28" s="14"/>
      <c r="S28" s="89"/>
      <c r="T28" s="250"/>
      <c r="U28" s="251"/>
      <c r="V28" s="252"/>
      <c r="W28" s="372"/>
      <c r="X28" s="372"/>
      <c r="Y28" s="373"/>
      <c r="Z28" s="200"/>
      <c r="AA28" s="201"/>
      <c r="AB28" s="201"/>
      <c r="AC28" s="233"/>
      <c r="AD28" s="233"/>
      <c r="AE28" s="241" t="s">
        <v>125</v>
      </c>
      <c r="AF28" s="253">
        <f t="shared" si="23"/>
        <v>0</v>
      </c>
      <c r="AG28" s="253">
        <f t="shared" si="23"/>
        <v>0</v>
      </c>
      <c r="AH28" s="253">
        <f>SUMIFS($Y$11:$Y$70,$S$11:$S$70,1,$U$11:$U$70,1,$V$11:$V$70,"&gt;=65",$V$11:$V$70,"&lt;70")+SUMIFS($W$77:$W$106,$S$77:$S$106,1,$U$77:$U$106,1,$V$77:$V$106,"&gt;=65",$V$77:$V$106,"&lt;70")</f>
        <v>0</v>
      </c>
      <c r="AI28" s="253">
        <f>SUMIFS($Y$11:$Y$70,$S$11:$S$70,1,$U$11:$U$70,2,$V$11:$V$70,"&gt;=65",$V$11:$V$70,"&lt;70")+SUMIFS($W$77:$W$106,$S$77:$S$106,1,$U$77:$U$106,2,$V$77:$V$106,"&gt;=65",$V$77:$V$106,"&lt;70")</f>
        <v>0</v>
      </c>
      <c r="AJ28" s="223"/>
      <c r="AK28" s="223"/>
      <c r="AL28" s="212"/>
      <c r="AM28" s="213"/>
      <c r="AN28" s="213"/>
      <c r="AO28" s="213"/>
      <c r="AP28" s="223"/>
      <c r="AQ28" s="223"/>
      <c r="AR28" s="253">
        <f>SUMIFS($Y$11:$Y$70,$S$11:$S$70,5,$U$11:$U$70,1,$V$11:$V$70,"&gt;=65",$V$11:$V$70,"&lt;70")</f>
        <v>0</v>
      </c>
      <c r="AS28" s="253">
        <f>SUMIFS($Y$11:$Y$70,$S$11:$S$70,5,$U$11:$U$70,2,$V$11:$V$70,"&gt;=65",$V$11:$V$70,"&lt;70")</f>
        <v>0</v>
      </c>
      <c r="AT28" s="238"/>
      <c r="AU28" s="238"/>
      <c r="AV28" s="237"/>
      <c r="AW28" s="233"/>
      <c r="AX28" s="201"/>
      <c r="AY28" s="370"/>
      <c r="AZ28" s="370"/>
      <c r="BA28" s="370"/>
      <c r="BB28" s="370"/>
      <c r="BC28" s="370"/>
      <c r="BD28" s="370"/>
      <c r="BE28" s="370"/>
      <c r="BF28" s="371"/>
    </row>
    <row r="29" spans="1:58" ht="29.25" customHeight="1" thickTop="1" x14ac:dyDescent="0.2">
      <c r="A29" s="142">
        <f>ROUND((ROW()-10)/2,0)</f>
        <v>10</v>
      </c>
      <c r="B29" s="29"/>
      <c r="C29" s="90" t="str">
        <f>IF(INDEX(設定!$C$9:$C$108,$A29,1)="","",INDEX(設定!$C$9:$C$108,$A29,1))</f>
        <v/>
      </c>
      <c r="D29" s="76" t="str">
        <f>IF(INDEX(設定!$D$9:$D$108,$A29,1)="","",INDEX(設定!$D$9:$D$108,$A29,1))</f>
        <v/>
      </c>
      <c r="E29" s="77" t="str">
        <f>IF(INDEX(設定!$E$9:$E$108,$A29,1)="","",INDEX(設定!$E$9:$E$108,$A29,1))</f>
        <v/>
      </c>
      <c r="F29" s="78" t="str">
        <f>IF(S29="","",IF(S29=1,"1：家族",IF(AND(S29&gt;=2,S29&lt;=5),"2：雇用","")))</f>
        <v/>
      </c>
      <c r="G29" s="141">
        <f>INT(INDEX(設定!$H$9:H$108,$A29,1))</f>
        <v>0</v>
      </c>
      <c r="H29" s="79" t="str">
        <f>IF(INDEX(設定!$H$9:$H$108,$A29,1)=0,"",ROUND(MOD(INDEX(設定!$H$9:$H$108,$A29,1),1)*60,0))</f>
        <v/>
      </c>
      <c r="I29" s="141">
        <f>INT(INDEX(設定!$I$9:$I$108,$A29,1))</f>
        <v>0</v>
      </c>
      <c r="J29" s="79" t="str">
        <f>IF(INDEX(設定!$I$9:$I$108,$A29,1)=0,"",ROUND(MOD(INDEX(設定!$I$9:$I$108,$A29,1),1)*60,0))</f>
        <v/>
      </c>
      <c r="K29" s="141">
        <f>INT(INDEX(設定!$J$9:$J$108,$A29,1))</f>
        <v>0</v>
      </c>
      <c r="L29" s="80" t="str">
        <f>IF(INDEX(設定!$J$9:$J$108,$A29,1)=0,"",ROUND(MOD(INDEX(設定!$J$9:$J$108,$A29,1),1)*60,0))</f>
        <v/>
      </c>
      <c r="M29" s="167"/>
      <c r="N29" s="166"/>
      <c r="P29" s="14"/>
      <c r="Q29" s="14"/>
      <c r="S29" s="91" t="str">
        <f>IF(INDEX(設定!$F$9:$F$108,$A29,1)="","",VALUE(LEFT(INDEX(設定!$F$9:$F$108,$A29,1),1)))</f>
        <v/>
      </c>
      <c r="T29" s="219" t="str">
        <f>IF(C29="","",C29)</f>
        <v/>
      </c>
      <c r="U29" s="220" t="str">
        <f>IF(D29="","",IF(D29="1：男",1,IF(D29="2：女",2)))</f>
        <v/>
      </c>
      <c r="V29" s="221" t="str">
        <f>IF(E29="","",E29)</f>
        <v/>
      </c>
      <c r="W29" s="349" t="str">
        <f t="shared" ref="W29" si="24">IF(AND(G29="",H29="",G30=""),"",ROUND(SUM(G29,H29/60)*G30,1))</f>
        <v/>
      </c>
      <c r="X29" s="350" t="str">
        <f t="shared" ref="X29" si="25">IF(AND(I29="",J29="",I30=""),"",ROUND(SUM(I29,J29/60)*I30,1))</f>
        <v/>
      </c>
      <c r="Y29" s="351" t="str">
        <f t="shared" ref="Y29" si="26">IF(AND(K29="",L29="",K30=""),"",ROUND(SUM(K29,L29/60)*K30,1))</f>
        <v/>
      </c>
      <c r="Z29" s="200"/>
      <c r="AA29" s="201"/>
      <c r="AB29" s="201"/>
      <c r="AC29" s="264"/>
      <c r="AD29" s="233"/>
      <c r="AE29" s="241" t="s">
        <v>126</v>
      </c>
      <c r="AF29" s="253">
        <f t="shared" si="23"/>
        <v>0</v>
      </c>
      <c r="AG29" s="253">
        <f t="shared" si="23"/>
        <v>0</v>
      </c>
      <c r="AH29" s="253">
        <f>SUMIFS($Y$11:$Y$70,$S$11:$S$70,1,$U$11:$U$70,1,$V$11:$V$70,"&gt;=70",$V$11:$V$70,"&lt;75")+SUMIFS($W$77:$W$106,$S$77:$S$106,1,$U$77:$U$106,1,$V$77:$V$106,"&gt;=70",$V$77:$V$106,"&lt;75")</f>
        <v>0</v>
      </c>
      <c r="AI29" s="253">
        <f>SUMIFS($Y$11:$Y$70,$S$11:$S$70,1,$U$11:$U$70,2,$V$11:$V$70,"&gt;=70",$V$11:$V$70,"&lt;75")+SUMIFS($W$77:$W$106,$S$77:$S$106,1,$U$77:$U$106,2,$V$77:$V$106,"&gt;=70",$V$77:$V$106,"&lt;75")</f>
        <v>0</v>
      </c>
      <c r="AJ29" s="223"/>
      <c r="AK29" s="223"/>
      <c r="AL29" s="212"/>
      <c r="AM29" s="213"/>
      <c r="AN29" s="213"/>
      <c r="AO29" s="213"/>
      <c r="AP29" s="223"/>
      <c r="AQ29" s="223"/>
      <c r="AR29" s="253">
        <f>SUMIFS($Y$11:$Y$70,$S$11:$S$70,5,$U$11:$U$70,1,$V$11:$V$70,"&gt;=70",$V$11:$V$70,"&lt;75")</f>
        <v>0</v>
      </c>
      <c r="AS29" s="253">
        <f>SUMIFS($Y$11:$Y$70,$S$11:$S$70,5,$U$11:$U$70,2,$V$11:$V$70,"&gt;=70",$V$11:$V$70,"&lt;75")</f>
        <v>0</v>
      </c>
      <c r="AT29" s="238"/>
      <c r="AU29" s="238"/>
      <c r="AV29" s="237"/>
      <c r="AW29" s="233"/>
      <c r="AX29" s="201"/>
      <c r="AY29" s="370"/>
      <c r="AZ29" s="370"/>
      <c r="BA29" s="370"/>
      <c r="BB29" s="370"/>
      <c r="BC29" s="370"/>
      <c r="BD29" s="370"/>
      <c r="BE29" s="370"/>
      <c r="BF29" s="371"/>
    </row>
    <row r="30" spans="1:58" ht="29.25" customHeight="1" thickBot="1" x14ac:dyDescent="0.25">
      <c r="B30" s="29"/>
      <c r="C30" s="82"/>
      <c r="D30" s="83"/>
      <c r="E30" s="84"/>
      <c r="F30" s="85"/>
      <c r="G30" s="86" t="str">
        <f>IF(SUM(G29:H29)&gt;0,1,"")</f>
        <v/>
      </c>
      <c r="H30" s="87"/>
      <c r="I30" s="86" t="str">
        <f>IF(SUM(I29:J29)&gt;0,1,"")</f>
        <v/>
      </c>
      <c r="J30" s="87"/>
      <c r="K30" s="86" t="str">
        <f>IF(SUM(K29:L29)&gt;0,1,"")</f>
        <v/>
      </c>
      <c r="L30" s="88"/>
      <c r="M30" s="168"/>
      <c r="N30" s="97"/>
      <c r="P30" s="14"/>
      <c r="Q30" s="14"/>
      <c r="S30" s="89"/>
      <c r="T30" s="194"/>
      <c r="U30" s="195"/>
      <c r="V30" s="196"/>
      <c r="W30" s="200"/>
      <c r="X30" s="340"/>
      <c r="Y30" s="341"/>
      <c r="Z30" s="200"/>
      <c r="AA30" s="201"/>
      <c r="AB30" s="238"/>
      <c r="AC30" s="264"/>
      <c r="AD30" s="243"/>
      <c r="AE30" s="244" t="s">
        <v>15</v>
      </c>
      <c r="AF30" s="295">
        <f t="shared" si="23"/>
        <v>0</v>
      </c>
      <c r="AG30" s="295">
        <f t="shared" si="23"/>
        <v>0</v>
      </c>
      <c r="AH30" s="256">
        <f>SUMIFS($Y$11:$Y$70,$S$11:$S$70,1,$U$11:$U$70,1,$V$11:$V$70,"&gt;=75")+SUMIFS($W$77:$W$106,$S$77:$S$106,1,$U$77:$U$106,1,$V$77:$V$106,"&gt;=75")</f>
        <v>0</v>
      </c>
      <c r="AI30" s="256">
        <f>SUMIFS($Y$11:$Y$70,$S$11:$S$70,1,$U$11:$U$70,2,$V$11:$V$70,"&gt;=75")+SUMIFS($W$77:$W$106,$S$77:$S$106,1,$U$77:$U$106,2,$V$77:$V$106,"&gt;=75")</f>
        <v>0</v>
      </c>
      <c r="AJ30" s="226"/>
      <c r="AK30" s="226"/>
      <c r="AL30" s="212"/>
      <c r="AM30" s="213"/>
      <c r="AN30" s="228"/>
      <c r="AO30" s="228"/>
      <c r="AP30" s="226"/>
      <c r="AQ30" s="226"/>
      <c r="AR30" s="256">
        <f>SUMIFS($Y$11:$Y$70,$S$11:$S$70,5,$U$11:$U$70,1,$V$11:$V$70,"&gt;=75")</f>
        <v>0</v>
      </c>
      <c r="AS30" s="256">
        <f>SUMIFS($Y$11:$Y$70,$S$11:$S$70,5,$U$11:$U$70,2,$V$11:$V$70,"&gt;=75")</f>
        <v>0</v>
      </c>
      <c r="AT30" s="238"/>
      <c r="AU30" s="238"/>
      <c r="AV30" s="237"/>
      <c r="AW30" s="243"/>
      <c r="AX30" s="374"/>
      <c r="AY30" s="375"/>
      <c r="AZ30" s="375"/>
      <c r="BA30" s="370"/>
      <c r="BB30" s="370"/>
      <c r="BC30" s="370"/>
      <c r="BD30" s="370"/>
      <c r="BE30" s="370"/>
      <c r="BF30" s="371"/>
    </row>
    <row r="31" spans="1:58" ht="29.25" customHeight="1" thickTop="1" thickBot="1" x14ac:dyDescent="0.25">
      <c r="A31" s="142">
        <f>ROUND((ROW()-10)/2,0)</f>
        <v>11</v>
      </c>
      <c r="B31" s="29"/>
      <c r="C31" s="90" t="str">
        <f>IF(INDEX(設定!$C$9:$C$108,$A31,1)="","",INDEX(設定!$C$9:$C$108,$A31,1))</f>
        <v/>
      </c>
      <c r="D31" s="76" t="str">
        <f>IF(INDEX(設定!$D$9:$D$108,$A31,1)="","",INDEX(設定!$D$9:$D$108,$A31,1))</f>
        <v/>
      </c>
      <c r="E31" s="77" t="str">
        <f>IF(INDEX(設定!$E$9:$E$108,$A31,1)="","",INDEX(設定!$E$9:$E$108,$A31,1))</f>
        <v/>
      </c>
      <c r="F31" s="78" t="str">
        <f>IF(S31="","",IF(S31=1,"1：家族",IF(AND(S31&gt;=2,S31&lt;=5),"2：雇用","")))</f>
        <v/>
      </c>
      <c r="G31" s="141">
        <f>INT(INDEX(設定!$H$9:H$108,$A31,1))</f>
        <v>0</v>
      </c>
      <c r="H31" s="79" t="str">
        <f>IF(INDEX(設定!$H$9:$H$108,$A31,1)=0,"",ROUND(MOD(INDEX(設定!$H$9:$H$108,$A31,1),1)*60,0))</f>
        <v/>
      </c>
      <c r="I31" s="141">
        <f>INT(INDEX(設定!$I$9:$I$108,$A31,1))</f>
        <v>0</v>
      </c>
      <c r="J31" s="79" t="str">
        <f>IF(INDEX(設定!$I$9:$I$108,$A31,1)=0,"",ROUND(MOD(INDEX(設定!$I$9:$I$108,$A31,1),1)*60,0))</f>
        <v/>
      </c>
      <c r="K31" s="141">
        <f>INT(INDEX(設定!$J$9:$J$108,$A31,1))</f>
        <v>0</v>
      </c>
      <c r="L31" s="80" t="str">
        <f>IF(INDEX(設定!$J$9:$J$108,$A31,1)=0,"",ROUND(MOD(INDEX(設定!$J$9:$J$108,$A31,1),1)*60,0))</f>
        <v/>
      </c>
      <c r="M31" s="167"/>
      <c r="N31" s="166"/>
      <c r="P31" s="14"/>
      <c r="Q31" s="14"/>
      <c r="S31" s="91" t="str">
        <f>IF(INDEX(設定!$F$9:$F$108,$A31,1)="","",VALUE(LEFT(INDEX(設定!$F$9:$F$108,$A31,1),1)))</f>
        <v/>
      </c>
      <c r="T31" s="219" t="str">
        <f>IF(C31="","",C31)</f>
        <v/>
      </c>
      <c r="U31" s="220" t="str">
        <f>IF(D31="","",IF(D31="1：男",1,IF(D31="2：女",2)))</f>
        <v/>
      </c>
      <c r="V31" s="221" t="str">
        <f>IF(E31="","",E31)</f>
        <v/>
      </c>
      <c r="W31" s="349" t="str">
        <f t="shared" ref="W31" si="27">IF(AND(G31="",H31="",G32=""),"",ROUND(SUM(G31,H31/60)*G32,1))</f>
        <v/>
      </c>
      <c r="X31" s="350" t="str">
        <f t="shared" ref="X31" si="28">IF(AND(I31="",J31="",I32=""),"",ROUND(SUM(I31,J31/60)*I32,1))</f>
        <v/>
      </c>
      <c r="Y31" s="351" t="str">
        <f t="shared" ref="Y31" si="29">IF(AND(K31="",L31="",K32=""),"",ROUND(SUM(K31,L31/60)*K32,1))</f>
        <v/>
      </c>
      <c r="Z31" s="200"/>
      <c r="AA31" s="201"/>
      <c r="AB31" s="238"/>
      <c r="AC31" s="484" t="s">
        <v>129</v>
      </c>
      <c r="AD31" s="489"/>
      <c r="AE31" s="489"/>
      <c r="AF31" s="356">
        <f>SUM(AF32:AF35)</f>
        <v>0</v>
      </c>
      <c r="AG31" s="356">
        <f>SUM(AG32:AG35)</f>
        <v>0</v>
      </c>
      <c r="AH31" s="203"/>
      <c r="AI31" s="203"/>
      <c r="AJ31" s="203"/>
      <c r="AK31" s="203"/>
      <c r="AL31" s="356">
        <f>AN31+AP31+AR31</f>
        <v>0</v>
      </c>
      <c r="AM31" s="356">
        <f>AO31+AQ31+AS31</f>
        <v>0</v>
      </c>
      <c r="AN31" s="292">
        <f>SUMIFS($X$77:$X$106,$S$77:$S$106,2,$U$77:$U$106,1)+SUMIFS($Y$77:$Y$106,$S$77:$S$106,2,$U$77:$U$106,1)</f>
        <v>0</v>
      </c>
      <c r="AO31" s="262">
        <f>SUMIFS($X$77:$X$106,$S$77:$S$106,2,$U$77:$U$106,2)+SUMIFS($Y$77:$Y$106,$S$77:$S$106,2,$U$77:$U$106,2)</f>
        <v>0</v>
      </c>
      <c r="AP31" s="259">
        <f>AP32</f>
        <v>0</v>
      </c>
      <c r="AQ31" s="259">
        <f>AQ32</f>
        <v>0</v>
      </c>
      <c r="AR31" s="259">
        <f>SUM(AR32:AR35)</f>
        <v>0</v>
      </c>
      <c r="AS31" s="259">
        <f>SUM(AS32:AS35)</f>
        <v>0</v>
      </c>
      <c r="AT31" s="238"/>
      <c r="AU31" s="238"/>
      <c r="AV31" s="484" t="s">
        <v>130</v>
      </c>
      <c r="AW31" s="489"/>
      <c r="AX31" s="489"/>
      <c r="AY31" s="376">
        <f>SUM(AY32:AY35)</f>
        <v>0</v>
      </c>
      <c r="AZ31" s="376">
        <f>SUM(AZ32:AZ35)</f>
        <v>0</v>
      </c>
      <c r="BA31" s="342">
        <f>ROUND(BC31+BE31,0)</f>
        <v>0</v>
      </c>
      <c r="BB31" s="342">
        <f>ROUND(BD31+BF31,0)</f>
        <v>0</v>
      </c>
      <c r="BC31" s="377">
        <f>IFERROR($T$112*($AN31/$AN$36),0)</f>
        <v>0</v>
      </c>
      <c r="BD31" s="378">
        <f>IFERROR($T$113*($AO31/$AO$36),0)</f>
        <v>0</v>
      </c>
      <c r="BE31" s="379">
        <f>SUM(BE32:BE35)</f>
        <v>0</v>
      </c>
      <c r="BF31" s="379">
        <f>SUM(BF32:BF35)</f>
        <v>0</v>
      </c>
    </row>
    <row r="32" spans="1:58" ht="29.25" customHeight="1" thickTop="1" thickBot="1" x14ac:dyDescent="0.25">
      <c r="B32" s="29"/>
      <c r="C32" s="82"/>
      <c r="D32" s="83"/>
      <c r="E32" s="84"/>
      <c r="F32" s="85"/>
      <c r="G32" s="86" t="str">
        <f>IF(SUM(G31:H31)&gt;0,1,"")</f>
        <v/>
      </c>
      <c r="H32" s="87"/>
      <c r="I32" s="86" t="str">
        <f>IF(SUM(I31:J31)&gt;0,1,"")</f>
        <v/>
      </c>
      <c r="J32" s="87"/>
      <c r="K32" s="86" t="str">
        <f>IF(SUM(K31:L31)&gt;0,1,"")</f>
        <v/>
      </c>
      <c r="L32" s="88"/>
      <c r="M32" s="168"/>
      <c r="N32" s="97"/>
      <c r="P32" s="14"/>
      <c r="Q32" s="14"/>
      <c r="S32" s="89"/>
      <c r="T32" s="194"/>
      <c r="U32" s="195"/>
      <c r="V32" s="196"/>
      <c r="W32" s="200"/>
      <c r="X32" s="340"/>
      <c r="Y32" s="341"/>
      <c r="Z32" s="200"/>
      <c r="AA32" s="201"/>
      <c r="AB32" s="238"/>
      <c r="AC32" s="209"/>
      <c r="AD32" s="473" t="s">
        <v>14</v>
      </c>
      <c r="AE32" s="486"/>
      <c r="AF32" s="345">
        <f t="shared" ref="AF32:AG35" si="30">AH32+AJ32</f>
        <v>0</v>
      </c>
      <c r="AG32" s="345">
        <f t="shared" si="30"/>
        <v>0</v>
      </c>
      <c r="AH32" s="380">
        <f>SUMIFS($X$77:$X$106,$S$77:$S$106,1,$U$77:$U$106,1,$V$77:$V$106,"&lt;65")+SUMIFS($Y$77:$Y$106,$S$77:$S$106,1,$U$77:$U$106,1,$V$77:$V$106,"&lt;65")</f>
        <v>0</v>
      </c>
      <c r="AI32" s="262">
        <f>SUMIFS($X$77:$X$106,$S$77:$S$106,1,$U$77:$U$106,2,$V$77:$V$106,"&lt;65")+SUMIFS($Y$77:$Y$106,$S$77:$S$106,1,$U$77:$U$106,2,$V$77:$V$106,"&lt;65")</f>
        <v>0</v>
      </c>
      <c r="AJ32" s="262">
        <f>SUMIFS($X$77:$X$106,$S$77:$S$106,3,$U$77:$U$106,1)</f>
        <v>0</v>
      </c>
      <c r="AK32" s="262">
        <f>SUMIFS($X$77:$X$106,$S$77:$S$106,3,$U$77:$U$106,2)</f>
        <v>0</v>
      </c>
      <c r="AL32" s="212"/>
      <c r="AM32" s="213"/>
      <c r="AN32" s="214"/>
      <c r="AO32" s="214"/>
      <c r="AP32" s="262">
        <f>SUMIFS($X$77:$X$106,$S$77:$S$106,4,$U$77:$U$106,1)</f>
        <v>0</v>
      </c>
      <c r="AQ32" s="262">
        <f>SUMIFS($X$77:$X$106,$S$77:$S$106,4,$U$77:$U$106,2)</f>
        <v>0</v>
      </c>
      <c r="AR32" s="262">
        <f>SUMIFS($X$77:$X$106,$S$77:$S$106,5,$U$77:$U$106,1,$V$77:$V$106,"&lt;65")+SUMIFS($Y$77:$Y$106,$S$77:$S$106,5,$U$77:$U$106,1,$V$77:$V$106,"&lt;65")</f>
        <v>0</v>
      </c>
      <c r="AS32" s="262">
        <f>SUMIFS($X$77:$X$106,$S$77:$S$106,5,$U$77:$U$106,2,$V$77:$V$106,"&lt;65")+SUMIFS($Y$77:$Y$106,$S$77:$S$106,5,$U$77:$U$106,2,$V$77:$V$106,"&lt;65")</f>
        <v>0</v>
      </c>
      <c r="AT32" s="238"/>
      <c r="AU32" s="238"/>
      <c r="AV32" s="215"/>
      <c r="AW32" s="473" t="s">
        <v>14</v>
      </c>
      <c r="AX32" s="486"/>
      <c r="AY32" s="381">
        <f>ROUND(AF32*$T$4,0)</f>
        <v>0</v>
      </c>
      <c r="AZ32" s="381">
        <f>ROUND(AG32*$T$4,0)</f>
        <v>0</v>
      </c>
      <c r="BA32" s="382"/>
      <c r="BB32" s="383"/>
      <c r="BC32" s="382"/>
      <c r="BD32" s="382"/>
      <c r="BE32" s="381">
        <f>(AP32+AR32)*$T$4</f>
        <v>0</v>
      </c>
      <c r="BF32" s="381">
        <f>(AQ32+AS32)*$T$4</f>
        <v>0</v>
      </c>
    </row>
    <row r="33" spans="1:58" ht="29.25" customHeight="1" thickTop="1" x14ac:dyDescent="0.2">
      <c r="A33" s="142">
        <f>ROUND((ROW()-10)/2,0)</f>
        <v>12</v>
      </c>
      <c r="B33" s="29"/>
      <c r="C33" s="90" t="str">
        <f>IF(INDEX(設定!$C$9:$C$108,$A33,1)="","",INDEX(設定!$C$9:$C$108,$A33,1))</f>
        <v/>
      </c>
      <c r="D33" s="76" t="str">
        <f>IF(INDEX(設定!$D$9:$D$108,$A33,1)="","",INDEX(設定!$D$9:$D$108,$A33,1))</f>
        <v/>
      </c>
      <c r="E33" s="77" t="str">
        <f>IF(INDEX(設定!$E$9:$E$108,$A33,1)="","",INDEX(設定!$E$9:$E$108,$A33,1))</f>
        <v/>
      </c>
      <c r="F33" s="78" t="str">
        <f>IF(S33="","",IF(S33=1,"1：家族",IF(AND(S33&gt;=2,S33&lt;=5),"2：雇用","")))</f>
        <v/>
      </c>
      <c r="G33" s="141">
        <f>INT(INDEX(設定!$H$9:H$108,$A33,1))</f>
        <v>0</v>
      </c>
      <c r="H33" s="79" t="str">
        <f>IF(INDEX(設定!$H$9:$H$108,$A33,1)=0,"",ROUND(MOD(INDEX(設定!$H$9:$H$108,$A33,1),1)*60,0))</f>
        <v/>
      </c>
      <c r="I33" s="141">
        <f>INT(INDEX(設定!$I$9:$I$108,$A33,1))</f>
        <v>0</v>
      </c>
      <c r="J33" s="79" t="str">
        <f>IF(INDEX(設定!$I$9:$I$108,$A33,1)=0,"",ROUND(MOD(INDEX(設定!$I$9:$I$108,$A33,1),1)*60,0))</f>
        <v/>
      </c>
      <c r="K33" s="141">
        <f>INT(INDEX(設定!$J$9:$J$108,$A33,1))</f>
        <v>0</v>
      </c>
      <c r="L33" s="80" t="str">
        <f>IF(INDEX(設定!$J$9:$J$108,$A33,1)=0,"",ROUND(MOD(INDEX(設定!$J$9:$J$108,$A33,1),1)*60,0))</f>
        <v/>
      </c>
      <c r="M33" s="167"/>
      <c r="N33" s="166"/>
      <c r="P33" s="14"/>
      <c r="Q33" s="14"/>
      <c r="S33" s="91" t="str">
        <f>IF(INDEX(設定!$F$9:$F$108,$A33,1)="","",VALUE(LEFT(INDEX(設定!$F$9:$F$108,$A33,1),1)))</f>
        <v/>
      </c>
      <c r="T33" s="219" t="str">
        <f>IF(C33="","",C33)</f>
        <v/>
      </c>
      <c r="U33" s="220" t="str">
        <f>IF(D33="","",IF(D33="1：男",1,IF(D33="2：女",2)))</f>
        <v/>
      </c>
      <c r="V33" s="221" t="str">
        <f>IF(E33="","",E33)</f>
        <v/>
      </c>
      <c r="W33" s="349" t="str">
        <f t="shared" ref="W33" si="31">IF(AND(G33="",H33="",G34=""),"",ROUND(SUM(G33,H33/60)*G34,1))</f>
        <v/>
      </c>
      <c r="X33" s="350" t="str">
        <f t="shared" ref="X33" si="32">IF(AND(I33="",J33="",I34=""),"",ROUND(SUM(I33,J33/60)*I34,1))</f>
        <v/>
      </c>
      <c r="Y33" s="351" t="str">
        <f t="shared" ref="Y33" si="33">IF(AND(K33="",L33="",K34=""),"",ROUND(SUM(K33,L33/60)*K34,1))</f>
        <v/>
      </c>
      <c r="Z33" s="200"/>
      <c r="AA33" s="201"/>
      <c r="AB33" s="304"/>
      <c r="AC33" s="209"/>
      <c r="AD33" s="475" t="s">
        <v>125</v>
      </c>
      <c r="AE33" s="487"/>
      <c r="AF33" s="253">
        <f t="shared" si="30"/>
        <v>0</v>
      </c>
      <c r="AG33" s="253">
        <f t="shared" si="30"/>
        <v>0</v>
      </c>
      <c r="AH33" s="253">
        <f>SUMIFS($X$77:$X$106,$S$77:$S$106,1,$U$77:$U$106,1,$V$77:$V$106,"&gt;=65",$V$77:$V$106,"&lt;70")+SUMIFS($Y$77:$Y$106,$S$77:$S$106,1,$U$77:$U$106,1,$V$77:$V$106,"&gt;=65",$V$77:$V$106,"&lt;70")</f>
        <v>0</v>
      </c>
      <c r="AI33" s="253">
        <f>SUMIFS($X$77:$X$106,$S$77:$S$106,1,$U$77:$U$106,2,$V$77:$V$106,"&gt;=65",$V$77:$V$106,"&lt;70")+SUMIFS($Y$77:$Y$106,$S$77:$S$106,1,$U$77:$U$106,2,$V$77:$V$106,"&gt;=65",$V$77:$V$106,"&lt;70")</f>
        <v>0</v>
      </c>
      <c r="AJ33" s="223"/>
      <c r="AK33" s="223"/>
      <c r="AL33" s="212"/>
      <c r="AM33" s="213"/>
      <c r="AN33" s="213"/>
      <c r="AO33" s="213"/>
      <c r="AP33" s="223"/>
      <c r="AQ33" s="223"/>
      <c r="AR33" s="253">
        <f>SUMIFS($X$77:$X$106,$S$77:$S$106,5,$U$77:$U$106,1,$V$77:$V$106,"&gt;=65",$V$77:$V$106,"&lt;70")+SUMIFS($Y$77:$Y$106,$S$77:$S$106,5,$U$77:$U$106,1,$V$77:$V$106,"&gt;=65",$V$77:$V$106,"&lt;70")</f>
        <v>0</v>
      </c>
      <c r="AS33" s="253">
        <f>SUMIFS($X$77:$X$106,$S$77:$S$106,5,$U$77:$U$106,2,$V$77:$V$106,"&gt;=65",$V$77:$V$106,"&lt;70")+SUMIFS($Y$77:$Y$106,$S$77:$S$106,5,$U$77:$U$106,2,$V$77:$V$106,"&gt;=65",$V$77:$V$106,"&lt;70")</f>
        <v>0</v>
      </c>
      <c r="AT33" s="238"/>
      <c r="AU33" s="238"/>
      <c r="AV33" s="215"/>
      <c r="AW33" s="475" t="s">
        <v>125</v>
      </c>
      <c r="AX33" s="487"/>
      <c r="AY33" s="384">
        <f>ROUND(AF33*$T$4*0.9,0)</f>
        <v>0</v>
      </c>
      <c r="AZ33" s="384">
        <f>ROUND(AG33*$T$4*0.9,0)</f>
        <v>0</v>
      </c>
      <c r="BA33" s="382"/>
      <c r="BB33" s="383"/>
      <c r="BC33" s="382"/>
      <c r="BD33" s="382"/>
      <c r="BE33" s="384">
        <f>AR33*$T$4*0.9</f>
        <v>0</v>
      </c>
      <c r="BF33" s="384">
        <f>AS33*$T$4*0.9</f>
        <v>0</v>
      </c>
    </row>
    <row r="34" spans="1:58" s="30" customFormat="1" ht="29.25" customHeight="1" thickBot="1" x14ac:dyDescent="0.25">
      <c r="A34" s="142"/>
      <c r="B34" s="29"/>
      <c r="C34" s="82"/>
      <c r="D34" s="83"/>
      <c r="E34" s="84"/>
      <c r="F34" s="85"/>
      <c r="G34" s="86" t="str">
        <f>IF(SUM(G33:H33)&gt;0,1,"")</f>
        <v/>
      </c>
      <c r="H34" s="87"/>
      <c r="I34" s="86" t="str">
        <f>IF(SUM(I33:J33)&gt;0,1,"")</f>
        <v/>
      </c>
      <c r="J34" s="87"/>
      <c r="K34" s="86" t="str">
        <f>IF(SUM(K33:L33)&gt;0,1,"")</f>
        <v/>
      </c>
      <c r="L34" s="88"/>
      <c r="M34" s="168"/>
      <c r="N34" s="97"/>
      <c r="P34" s="14"/>
      <c r="Q34" s="14"/>
      <c r="S34" s="89"/>
      <c r="T34" s="194"/>
      <c r="U34" s="195"/>
      <c r="V34" s="196"/>
      <c r="W34" s="200"/>
      <c r="X34" s="340"/>
      <c r="Y34" s="341"/>
      <c r="Z34" s="200"/>
      <c r="AA34" s="201"/>
      <c r="AB34" s="304"/>
      <c r="AC34" s="209"/>
      <c r="AD34" s="475" t="s">
        <v>126</v>
      </c>
      <c r="AE34" s="487"/>
      <c r="AF34" s="253">
        <f t="shared" si="30"/>
        <v>0</v>
      </c>
      <c r="AG34" s="253">
        <f t="shared" si="30"/>
        <v>0</v>
      </c>
      <c r="AH34" s="253">
        <f>SUMIFS($X$77:$X$106,$S$77:$S$106,1,$U$77:$U$106,1,$V$77:$V$106,"&gt;=70",$V$77:$V$106,"&lt;75")+SUMIFS($Y$77:$Y$106,$S$77:$S$106,1,$U$77:$U$106,1,$V$77:$V$106,"&gt;=70",$V$77:$V$106,"&lt;75")</f>
        <v>0</v>
      </c>
      <c r="AI34" s="253">
        <f>SUMIFS($X$77:$X$106,$S$77:$S$106,1,$U$77:$U$106,2,$V$77:$V$106,"&gt;=70",$V$77:$V$106,"&lt;75")+SUMIFS($Y$77:$Y$106,$S$77:$S$106,1,$U$77:$U$106,2,$V$77:$V$106,"&gt;=70",$V$77:$V$106,"&lt;75")</f>
        <v>0</v>
      </c>
      <c r="AJ34" s="223"/>
      <c r="AK34" s="223"/>
      <c r="AL34" s="212"/>
      <c r="AM34" s="213"/>
      <c r="AN34" s="213"/>
      <c r="AO34" s="213"/>
      <c r="AP34" s="223"/>
      <c r="AQ34" s="223"/>
      <c r="AR34" s="253">
        <f>SUMIFS($X$77:$X$106,$S$77:$S$106,5,$U$77:$U$106,1,$V$77:$V$106,"&gt;=70",$V$77:$V$106,"&lt;75")+SUMIFS($Y$77:$Y$106,$S$77:$S$106,5,$U$77:$U$106,1,$V$77:$V$106,"&gt;=70",$V$77:$V$106,"&lt;75")</f>
        <v>0</v>
      </c>
      <c r="AS34" s="253">
        <f>SUMIFS($X$77:$X$106,$S$77:$S$106,5,$U$77:$U$106,2,$V$77:$V$106,"&gt;=70",$V$77:$V$106,"&lt;75")+SUMIFS($Y$77:$Y$106,$S$77:$S$106,5,$U$77:$U$106,2,$V$77:$V$106,"&gt;=70",$V$77:$V$106,"&lt;75")</f>
        <v>0</v>
      </c>
      <c r="AT34" s="238"/>
      <c r="AU34" s="238"/>
      <c r="AV34" s="215"/>
      <c r="AW34" s="475" t="s">
        <v>126</v>
      </c>
      <c r="AX34" s="487"/>
      <c r="AY34" s="384">
        <f>ROUND(AF34*$T$4*0.8,0)</f>
        <v>0</v>
      </c>
      <c r="AZ34" s="384">
        <f>ROUND(AG34*$T$4*0.8,0)</f>
        <v>0</v>
      </c>
      <c r="BA34" s="382"/>
      <c r="BB34" s="383"/>
      <c r="BC34" s="382"/>
      <c r="BD34" s="382"/>
      <c r="BE34" s="384">
        <f>AR34*$T$4*0.8</f>
        <v>0</v>
      </c>
      <c r="BF34" s="384">
        <f>AS34*$T$4*0.8</f>
        <v>0</v>
      </c>
    </row>
    <row r="35" spans="1:58" s="30" customFormat="1" ht="29.25" customHeight="1" thickTop="1" thickBot="1" x14ac:dyDescent="0.25">
      <c r="A35" s="142">
        <f>ROUND((ROW()-10)/2,0)</f>
        <v>13</v>
      </c>
      <c r="B35" s="29"/>
      <c r="C35" s="90" t="str">
        <f>IF(INDEX(設定!$C$9:$C$108,$A35,1)="","",INDEX(設定!$C$9:$C$108,$A35,1))</f>
        <v/>
      </c>
      <c r="D35" s="76" t="str">
        <f>IF(INDEX(設定!$D$9:$D$108,$A35,1)="","",INDEX(設定!$D$9:$D$108,$A35,1))</f>
        <v/>
      </c>
      <c r="E35" s="77" t="str">
        <f>IF(INDEX(設定!$E$9:$E$108,$A35,1)="","",INDEX(設定!$E$9:$E$108,$A35,1))</f>
        <v/>
      </c>
      <c r="F35" s="78" t="str">
        <f>IF(S35="","",IF(S35=1,"1：家族",IF(AND(S35&gt;=2,S35&lt;=5),"2：雇用","")))</f>
        <v/>
      </c>
      <c r="G35" s="141">
        <f>INT(INDEX(設定!$H$9:H$108,$A35,1))</f>
        <v>0</v>
      </c>
      <c r="H35" s="79" t="str">
        <f>IF(INDEX(設定!$H$9:$H$108,$A35,1)=0,"",ROUND(MOD(INDEX(設定!$H$9:$H$108,$A35,1),1)*60,0))</f>
        <v/>
      </c>
      <c r="I35" s="141">
        <f>INT(INDEX(設定!$I$9:$I$108,$A35,1))</f>
        <v>0</v>
      </c>
      <c r="J35" s="79" t="str">
        <f>IF(INDEX(設定!$I$9:$I$108,$A35,1)=0,"",ROUND(MOD(INDEX(設定!$I$9:$I$108,$A35,1),1)*60,0))</f>
        <v/>
      </c>
      <c r="K35" s="141">
        <f>INT(INDEX(設定!$J$9:$J$108,$A35,1))</f>
        <v>0</v>
      </c>
      <c r="L35" s="80" t="str">
        <f>IF(INDEX(設定!$J$9:$J$108,$A35,1)=0,"",ROUND(MOD(INDEX(設定!$J$9:$J$108,$A35,1),1)*60,0))</f>
        <v/>
      </c>
      <c r="M35" s="167"/>
      <c r="N35" s="166"/>
      <c r="P35" s="14"/>
      <c r="Q35" s="14"/>
      <c r="S35" s="91" t="str">
        <f>IF(INDEX(設定!$F$9:$F$108,$A35,1)="","",VALUE(LEFT(INDEX(設定!$F$9:$F$108,$A35,1),1)))</f>
        <v/>
      </c>
      <c r="T35" s="219" t="str">
        <f>IF(C35="","",C35)</f>
        <v/>
      </c>
      <c r="U35" s="220" t="str">
        <f>IF(D35="","",IF(D35="1：男",1,IF(D35="2：女",2)))</f>
        <v/>
      </c>
      <c r="V35" s="221" t="str">
        <f>IF(E35="","",E35)</f>
        <v/>
      </c>
      <c r="W35" s="349" t="str">
        <f t="shared" ref="W35" si="34">IF(AND(G35="",H35="",G36=""),"",ROUND(SUM(G35,H35/60)*G36,1))</f>
        <v/>
      </c>
      <c r="X35" s="350" t="str">
        <f t="shared" ref="X35" si="35">IF(AND(I35="",J35="",I36=""),"",ROUND(SUM(I35,J35/60)*I36,1))</f>
        <v/>
      </c>
      <c r="Y35" s="351" t="str">
        <f t="shared" ref="Y35" si="36">IF(AND(K35="",L35="",K36=""),"",ROUND(SUM(K35,L35/60)*K36,1))</f>
        <v/>
      </c>
      <c r="Z35" s="200"/>
      <c r="AA35" s="201"/>
      <c r="AB35" s="201"/>
      <c r="AC35" s="209"/>
      <c r="AD35" s="479" t="s">
        <v>15</v>
      </c>
      <c r="AE35" s="480"/>
      <c r="AF35" s="256">
        <f t="shared" si="30"/>
        <v>0</v>
      </c>
      <c r="AG35" s="256">
        <f t="shared" si="30"/>
        <v>0</v>
      </c>
      <c r="AH35" s="256">
        <f>SUMIFS($X$77:$X$106,$S$77:$S$106,1,$U$77:$U$106,1,$V$77:$V$106,"&gt;=75")+SUMIFS($Y$77:$Y$106,$S$77:$S$106,1,$U$77:$U$106,1,$V$77:$V$106,"&gt;=75")</f>
        <v>0</v>
      </c>
      <c r="AI35" s="256">
        <f>SUMIFS($X$77:$X$106,$S$77:$S$106,1,$U$77:$U$106,2,$V$77:$V$106,"&gt;=75")+SUMIFS($Y$77:$Y$106,$S$77:$S$106,1,$U$77:$U$106,2,$V$77:$V$106,"&gt;=75")</f>
        <v>0</v>
      </c>
      <c r="AJ35" s="226"/>
      <c r="AK35" s="226"/>
      <c r="AL35" s="227"/>
      <c r="AM35" s="228"/>
      <c r="AN35" s="228"/>
      <c r="AO35" s="228"/>
      <c r="AP35" s="226"/>
      <c r="AQ35" s="226"/>
      <c r="AR35" s="256">
        <f>SUMIFS($X$77:$X$106,$S$77:$S$106,5,$U$77:$U$106,1,$V$77:$V$106,"&gt;=75")+SUMIFS($Y$77:$Y$106,$S$77:$S$106,5,$U$77:$U$106,1,$V$77:$V$106,"&gt;=75")</f>
        <v>0</v>
      </c>
      <c r="AS35" s="256">
        <f>SUMIFS($X$77:$X$106,$S$77:$S$106,5,$U$77:$U$106,2,$V$77:$V$106,"&gt;=75")+SUMIFS($Y$77:$Y$106,$S$77:$S$106,5,$U$77:$U$106,2,$V$77:$V$106,"&gt;=75")</f>
        <v>0</v>
      </c>
      <c r="AT35" s="238"/>
      <c r="AU35" s="238"/>
      <c r="AV35" s="365"/>
      <c r="AW35" s="479" t="s">
        <v>15</v>
      </c>
      <c r="AX35" s="480"/>
      <c r="AY35" s="385">
        <f>ROUND(AF35*$T$4*0.7,0)</f>
        <v>0</v>
      </c>
      <c r="AZ35" s="385">
        <f>ROUND(AG35*$T$4*0.7,0)</f>
        <v>0</v>
      </c>
      <c r="BA35" s="382"/>
      <c r="BB35" s="383"/>
      <c r="BC35" s="386"/>
      <c r="BD35" s="386"/>
      <c r="BE35" s="387">
        <f>AR35*$T$4*0.7</f>
        <v>0</v>
      </c>
      <c r="BF35" s="387">
        <f>AS35*$T$4*0.7</f>
        <v>0</v>
      </c>
    </row>
    <row r="36" spans="1:58" s="30" customFormat="1" ht="29.25" customHeight="1" thickTop="1" thickBot="1" x14ac:dyDescent="0.25">
      <c r="A36" s="142"/>
      <c r="B36" s="29"/>
      <c r="C36" s="82"/>
      <c r="D36" s="83"/>
      <c r="E36" s="84"/>
      <c r="F36" s="85"/>
      <c r="G36" s="86" t="str">
        <f>IF(SUM(G35:H35)&gt;0,1,"")</f>
        <v/>
      </c>
      <c r="H36" s="87"/>
      <c r="I36" s="86" t="str">
        <f>IF(SUM(I35:J35)&gt;0,1,"")</f>
        <v/>
      </c>
      <c r="J36" s="87"/>
      <c r="K36" s="86" t="str">
        <f>IF(SUM(K35:L35)&gt;0,1,"")</f>
        <v/>
      </c>
      <c r="L36" s="88"/>
      <c r="M36" s="168"/>
      <c r="N36" s="97"/>
      <c r="P36" s="14"/>
      <c r="Q36" s="14"/>
      <c r="S36" s="89"/>
      <c r="T36" s="194"/>
      <c r="U36" s="195"/>
      <c r="V36" s="196"/>
      <c r="W36" s="200"/>
      <c r="X36" s="340"/>
      <c r="Y36" s="341"/>
      <c r="Z36" s="200"/>
      <c r="AA36" s="201"/>
      <c r="AB36" s="201"/>
      <c r="AC36" s="470" t="s">
        <v>133</v>
      </c>
      <c r="AD36" s="471"/>
      <c r="AE36" s="472"/>
      <c r="AF36" s="287">
        <f>SUM(AF37:AF40)</f>
        <v>0</v>
      </c>
      <c r="AG36" s="287">
        <f>SUM(AG37:AG40)</f>
        <v>0</v>
      </c>
      <c r="AH36" s="288"/>
      <c r="AI36" s="289"/>
      <c r="AJ36" s="289"/>
      <c r="AK36" s="290"/>
      <c r="AL36" s="291">
        <f t="shared" ref="AL36:AS36" si="37">AL11+AL31</f>
        <v>0</v>
      </c>
      <c r="AM36" s="291">
        <f t="shared" si="37"/>
        <v>0</v>
      </c>
      <c r="AN36" s="291">
        <f t="shared" si="37"/>
        <v>0</v>
      </c>
      <c r="AO36" s="291">
        <f t="shared" si="37"/>
        <v>0</v>
      </c>
      <c r="AP36" s="291">
        <f t="shared" si="37"/>
        <v>0</v>
      </c>
      <c r="AQ36" s="291">
        <f t="shared" si="37"/>
        <v>0</v>
      </c>
      <c r="AR36" s="291">
        <f t="shared" si="37"/>
        <v>0</v>
      </c>
      <c r="AS36" s="291">
        <f t="shared" si="37"/>
        <v>0</v>
      </c>
      <c r="AT36" s="238"/>
      <c r="AU36" s="238"/>
      <c r="AV36" s="484" t="s">
        <v>151</v>
      </c>
      <c r="AW36" s="489"/>
      <c r="AX36" s="489"/>
      <c r="AY36" s="388">
        <f>SUM(AY37:AY40)</f>
        <v>0</v>
      </c>
      <c r="AZ36" s="388">
        <f>SUM(AZ37:AZ40)</f>
        <v>0</v>
      </c>
      <c r="BA36" s="344">
        <f>SUM(BA11,BA31)</f>
        <v>0</v>
      </c>
      <c r="BB36" s="344">
        <f t="shared" ref="BB36:BD36" si="38">SUM(BB11,BB31)</f>
        <v>0</v>
      </c>
      <c r="BC36" s="389">
        <f t="shared" si="38"/>
        <v>0</v>
      </c>
      <c r="BD36" s="378">
        <f t="shared" si="38"/>
        <v>0</v>
      </c>
      <c r="BE36" s="379">
        <f t="shared" ref="BE36:BF36" si="39">SUM(BE37:BE40)</f>
        <v>0</v>
      </c>
      <c r="BF36" s="379">
        <f t="shared" si="39"/>
        <v>0</v>
      </c>
    </row>
    <row r="37" spans="1:58" s="30" customFormat="1" ht="29.25" customHeight="1" thickTop="1" thickBot="1" x14ac:dyDescent="0.25">
      <c r="A37" s="143">
        <f>ROUND((ROW()-10)/2,0)</f>
        <v>14</v>
      </c>
      <c r="B37" s="21"/>
      <c r="C37" s="90" t="str">
        <f>IF(INDEX(設定!$C$9:$C$108,$A37,1)="","",INDEX(設定!$C$9:$C$108,$A37,1))</f>
        <v/>
      </c>
      <c r="D37" s="76" t="str">
        <f>IF(INDEX(設定!$D$9:$D$108,$A37,1)="","",INDEX(設定!$D$9:$D$108,$A37,1))</f>
        <v/>
      </c>
      <c r="E37" s="77" t="str">
        <f>IF(INDEX(設定!$E$9:$E$108,$A37,1)="","",INDEX(設定!$E$9:$E$108,$A37,1))</f>
        <v/>
      </c>
      <c r="F37" s="78" t="str">
        <f>IF(S37="","",IF(S37=1,"1：家族",IF(AND(S37&gt;=2,S37&lt;=5),"2：雇用","")))</f>
        <v/>
      </c>
      <c r="G37" s="141">
        <f>INT(INDEX(設定!$H$9:H$108,$A37,1))</f>
        <v>0</v>
      </c>
      <c r="H37" s="79" t="str">
        <f>IF(INDEX(設定!$H$9:$H$108,$A37,1)=0,"",ROUND(MOD(INDEX(設定!$H$9:$H$108,$A37,1),1)*60,0))</f>
        <v/>
      </c>
      <c r="I37" s="141">
        <f>INT(INDEX(設定!$I$9:$I$108,$A37,1))</f>
        <v>0</v>
      </c>
      <c r="J37" s="79" t="str">
        <f>IF(INDEX(設定!$I$9:$I$108,$A37,1)=0,"",ROUND(MOD(INDEX(設定!$I$9:$I$108,$A37,1),1)*60,0))</f>
        <v/>
      </c>
      <c r="K37" s="141">
        <f>INT(INDEX(設定!$J$9:$J$108,$A37,1))</f>
        <v>0</v>
      </c>
      <c r="L37" s="80" t="str">
        <f>IF(INDEX(設定!$J$9:$J$108,$A37,1)=0,"",ROUND(MOD(INDEX(設定!$J$9:$J$108,$A37,1),1)*60,0))</f>
        <v/>
      </c>
      <c r="M37" s="167"/>
      <c r="N37" s="166"/>
      <c r="P37" s="14"/>
      <c r="Q37" s="14"/>
      <c r="S37" s="91" t="str">
        <f>IF(INDEX(設定!$F$9:$F$108,$A37,1)="","",VALUE(LEFT(INDEX(設定!$F$9:$F$108,$A37,1),1)))</f>
        <v/>
      </c>
      <c r="T37" s="219" t="str">
        <f>IF(C37="","",C37)</f>
        <v/>
      </c>
      <c r="U37" s="220" t="str">
        <f>IF(D37="","",IF(D37="1：男",1,IF(D37="2：女",2)))</f>
        <v/>
      </c>
      <c r="V37" s="221" t="str">
        <f>IF(E37="","",E37)</f>
        <v/>
      </c>
      <c r="W37" s="349" t="str">
        <f t="shared" ref="W37" si="40">IF(AND(G37="",H37="",G38=""),"",ROUND(SUM(G37,H37/60)*G38,1))</f>
        <v/>
      </c>
      <c r="X37" s="350" t="str">
        <f t="shared" ref="X37" si="41">IF(AND(I37="",J37="",I38=""),"",ROUND(SUM(I37,J37/60)*I38,1))</f>
        <v/>
      </c>
      <c r="Y37" s="351" t="str">
        <f t="shared" ref="Y37" si="42">IF(AND(K37="",L37="",K38=""),"",ROUND(SUM(K37,L37/60)*K38,1))</f>
        <v/>
      </c>
      <c r="Z37" s="200"/>
      <c r="AA37" s="201"/>
      <c r="AB37" s="201"/>
      <c r="AC37" s="233"/>
      <c r="AD37" s="473" t="s">
        <v>14</v>
      </c>
      <c r="AE37" s="474"/>
      <c r="AF37" s="356">
        <f t="shared" ref="AF37:AK40" si="43">AF12+AF32</f>
        <v>0</v>
      </c>
      <c r="AG37" s="356">
        <f t="shared" si="43"/>
        <v>0</v>
      </c>
      <c r="AH37" s="292">
        <f t="shared" si="43"/>
        <v>0</v>
      </c>
      <c r="AI37" s="262">
        <f t="shared" si="43"/>
        <v>0</v>
      </c>
      <c r="AJ37" s="262">
        <f t="shared" si="43"/>
        <v>0</v>
      </c>
      <c r="AK37" s="262">
        <f t="shared" si="43"/>
        <v>0</v>
      </c>
      <c r="AL37" s="248"/>
      <c r="AM37" s="214"/>
      <c r="AN37" s="214"/>
      <c r="AO37" s="214"/>
      <c r="AP37" s="262">
        <f>AP12+AP32</f>
        <v>0</v>
      </c>
      <c r="AQ37" s="262">
        <f>AQ12+AQ32</f>
        <v>0</v>
      </c>
      <c r="AR37" s="262">
        <f>AR12+AR32</f>
        <v>0</v>
      </c>
      <c r="AS37" s="262">
        <f>AS12+AS32</f>
        <v>0</v>
      </c>
      <c r="AT37" s="238"/>
      <c r="AU37" s="238"/>
      <c r="AV37" s="215"/>
      <c r="AW37" s="473" t="s">
        <v>14</v>
      </c>
      <c r="AX37" s="474"/>
      <c r="AY37" s="376">
        <f t="shared" ref="AY37:AZ40" si="44">SUM(AY12,AY32)</f>
        <v>0</v>
      </c>
      <c r="AZ37" s="376">
        <f t="shared" si="44"/>
        <v>0</v>
      </c>
      <c r="BA37" s="382"/>
      <c r="BB37" s="383"/>
      <c r="BC37" s="382"/>
      <c r="BD37" s="382"/>
      <c r="BE37" s="381">
        <f>SUM(BE12,BE32)</f>
        <v>0</v>
      </c>
      <c r="BF37" s="381">
        <f t="shared" ref="BF37" si="45">SUM(BF12,BF32)</f>
        <v>0</v>
      </c>
    </row>
    <row r="38" spans="1:58" s="30" customFormat="1" ht="29.25" customHeight="1" thickTop="1" thickBot="1" x14ac:dyDescent="0.25">
      <c r="A38" s="143"/>
      <c r="B38" s="21"/>
      <c r="C38" s="82"/>
      <c r="D38" s="83"/>
      <c r="E38" s="84"/>
      <c r="F38" s="85"/>
      <c r="G38" s="86" t="str">
        <f>IF(SUM(G37:H37)&gt;0,1,"")</f>
        <v/>
      </c>
      <c r="H38" s="87"/>
      <c r="I38" s="86" t="str">
        <f>IF(SUM(I37:J37)&gt;0,1,"")</f>
        <v/>
      </c>
      <c r="J38" s="87"/>
      <c r="K38" s="86" t="str">
        <f>IF(SUM(K37:L37)&gt;0,1,"")</f>
        <v/>
      </c>
      <c r="L38" s="88"/>
      <c r="M38" s="168"/>
      <c r="N38" s="97"/>
      <c r="P38" s="14"/>
      <c r="Q38" s="14"/>
      <c r="S38" s="89"/>
      <c r="T38" s="194"/>
      <c r="U38" s="195"/>
      <c r="V38" s="196"/>
      <c r="W38" s="200"/>
      <c r="X38" s="340"/>
      <c r="Y38" s="341"/>
      <c r="Z38" s="200"/>
      <c r="AA38" s="201"/>
      <c r="AB38" s="201"/>
      <c r="AC38" s="233"/>
      <c r="AD38" s="475" t="s">
        <v>125</v>
      </c>
      <c r="AE38" s="476"/>
      <c r="AF38" s="356">
        <f t="shared" si="43"/>
        <v>0</v>
      </c>
      <c r="AG38" s="356">
        <f t="shared" si="43"/>
        <v>0</v>
      </c>
      <c r="AH38" s="293">
        <f t="shared" si="43"/>
        <v>0</v>
      </c>
      <c r="AI38" s="253">
        <f t="shared" si="43"/>
        <v>0</v>
      </c>
      <c r="AJ38" s="223"/>
      <c r="AK38" s="223"/>
      <c r="AL38" s="212"/>
      <c r="AM38" s="213"/>
      <c r="AN38" s="213"/>
      <c r="AO38" s="213"/>
      <c r="AP38" s="223"/>
      <c r="AQ38" s="223"/>
      <c r="AR38" s="253">
        <f t="shared" ref="AR38:AS40" si="46">AR13+AR33</f>
        <v>0</v>
      </c>
      <c r="AS38" s="253">
        <f t="shared" si="46"/>
        <v>0</v>
      </c>
      <c r="AT38" s="238"/>
      <c r="AU38" s="238"/>
      <c r="AV38" s="215"/>
      <c r="AW38" s="475" t="s">
        <v>125</v>
      </c>
      <c r="AX38" s="476"/>
      <c r="AY38" s="376">
        <f t="shared" si="44"/>
        <v>0</v>
      </c>
      <c r="AZ38" s="376">
        <f t="shared" si="44"/>
        <v>0</v>
      </c>
      <c r="BA38" s="382"/>
      <c r="BB38" s="383"/>
      <c r="BC38" s="382"/>
      <c r="BD38" s="382"/>
      <c r="BE38" s="384">
        <f>SUM(BE13,BE33)</f>
        <v>0</v>
      </c>
      <c r="BF38" s="384">
        <f>SUM(BF13,BF33)</f>
        <v>0</v>
      </c>
    </row>
    <row r="39" spans="1:58" s="30" customFormat="1" ht="29.25" customHeight="1" thickTop="1" thickBot="1" x14ac:dyDescent="0.25">
      <c r="A39" s="143">
        <f>ROUND((ROW()-10)/2,0)</f>
        <v>15</v>
      </c>
      <c r="B39" s="21"/>
      <c r="C39" s="90" t="str">
        <f>IF(INDEX(設定!$C$9:$C$108,$A39,1)="","",INDEX(設定!$C$9:$C$108,$A39,1))</f>
        <v/>
      </c>
      <c r="D39" s="76" t="str">
        <f>IF(INDEX(設定!$D$9:$D$108,$A39,1)="","",INDEX(設定!$D$9:$D$108,$A39,1))</f>
        <v/>
      </c>
      <c r="E39" s="77" t="str">
        <f>IF(INDEX(設定!$E$9:$E$108,$A39,1)="","",INDEX(設定!$E$9:$E$108,$A39,1))</f>
        <v/>
      </c>
      <c r="F39" s="78" t="str">
        <f>IF(S39="","",IF(S39=1,"1：家族",IF(AND(S39&gt;=2,S39&lt;=5),"2：雇用","")))</f>
        <v/>
      </c>
      <c r="G39" s="141">
        <f>INT(INDEX(設定!$H$9:H$108,$A39,1))</f>
        <v>0</v>
      </c>
      <c r="H39" s="79" t="str">
        <f>IF(INDEX(設定!$H$9:$H$108,$A39,1)=0,"",ROUND(MOD(INDEX(設定!$H$9:$H$108,$A39,1),1)*60,0))</f>
        <v/>
      </c>
      <c r="I39" s="141">
        <f>INT(INDEX(設定!$I$9:$I$108,$A39,1))</f>
        <v>0</v>
      </c>
      <c r="J39" s="79" t="str">
        <f>IF(INDEX(設定!$I$9:$I$108,$A39,1)=0,"",ROUND(MOD(INDEX(設定!$I$9:$I$108,$A39,1),1)*60,0))</f>
        <v/>
      </c>
      <c r="K39" s="141">
        <f>INT(INDEX(設定!$J$9:$J$108,$A39,1))</f>
        <v>0</v>
      </c>
      <c r="L39" s="80" t="str">
        <f>IF(INDEX(設定!$J$9:$J$108,$A39,1)=0,"",ROUND(MOD(INDEX(設定!$J$9:$J$108,$A39,1),1)*60,0))</f>
        <v/>
      </c>
      <c r="M39" s="167"/>
      <c r="N39" s="166"/>
      <c r="P39" s="14"/>
      <c r="Q39" s="14"/>
      <c r="S39" s="91" t="str">
        <f>IF(INDEX(設定!$F$9:$F$108,$A39,1)="","",VALUE(LEFT(INDEX(設定!$F$9:$F$108,$A39,1),1)))</f>
        <v/>
      </c>
      <c r="T39" s="219" t="str">
        <f>IF(C39="","",C39)</f>
        <v/>
      </c>
      <c r="U39" s="220" t="str">
        <f>IF(D39="","",IF(D39="1：男",1,IF(D39="2：女",2)))</f>
        <v/>
      </c>
      <c r="V39" s="221" t="str">
        <f>IF(E39="","",E39)</f>
        <v/>
      </c>
      <c r="W39" s="349" t="str">
        <f t="shared" ref="W39" si="47">IF(AND(G39="",H39="",G40=""),"",ROUND(SUM(G39,H39/60)*G40,1))</f>
        <v/>
      </c>
      <c r="X39" s="350" t="str">
        <f t="shared" ref="X39" si="48">IF(AND(I39="",J39="",I40=""),"",ROUND(SUM(I39,J39/60)*I40,1))</f>
        <v/>
      </c>
      <c r="Y39" s="351" t="str">
        <f t="shared" ref="Y39" si="49">IF(AND(K39="",L39="",K40=""),"",ROUND(SUM(K39,L39/60)*K40,1))</f>
        <v/>
      </c>
      <c r="Z39" s="200"/>
      <c r="AA39" s="201"/>
      <c r="AB39" s="201"/>
      <c r="AC39" s="233"/>
      <c r="AD39" s="475" t="s">
        <v>126</v>
      </c>
      <c r="AE39" s="476"/>
      <c r="AF39" s="356">
        <f t="shared" si="43"/>
        <v>0</v>
      </c>
      <c r="AG39" s="356">
        <f t="shared" si="43"/>
        <v>0</v>
      </c>
      <c r="AH39" s="293">
        <f t="shared" si="43"/>
        <v>0</v>
      </c>
      <c r="AI39" s="253">
        <f t="shared" si="43"/>
        <v>0</v>
      </c>
      <c r="AJ39" s="223"/>
      <c r="AK39" s="223"/>
      <c r="AL39" s="212"/>
      <c r="AM39" s="213"/>
      <c r="AN39" s="213"/>
      <c r="AO39" s="213"/>
      <c r="AP39" s="223"/>
      <c r="AQ39" s="223"/>
      <c r="AR39" s="253">
        <f t="shared" si="46"/>
        <v>0</v>
      </c>
      <c r="AS39" s="253">
        <f t="shared" si="46"/>
        <v>0</v>
      </c>
      <c r="AT39" s="238"/>
      <c r="AU39" s="238"/>
      <c r="AV39" s="215"/>
      <c r="AW39" s="475" t="s">
        <v>126</v>
      </c>
      <c r="AX39" s="476"/>
      <c r="AY39" s="376">
        <f t="shared" si="44"/>
        <v>0</v>
      </c>
      <c r="AZ39" s="376">
        <f t="shared" si="44"/>
        <v>0</v>
      </c>
      <c r="BA39" s="382"/>
      <c r="BB39" s="383"/>
      <c r="BC39" s="382"/>
      <c r="BD39" s="382"/>
      <c r="BE39" s="384">
        <f>SUM(BE14,BE34)</f>
        <v>0</v>
      </c>
      <c r="BF39" s="384">
        <f>SUM(BF14,BF34)</f>
        <v>0</v>
      </c>
    </row>
    <row r="40" spans="1:58" s="30" customFormat="1" ht="29.25" customHeight="1" thickTop="1" thickBot="1" x14ac:dyDescent="0.25">
      <c r="A40" s="142"/>
      <c r="B40" s="29"/>
      <c r="C40" s="82"/>
      <c r="D40" s="83"/>
      <c r="E40" s="84"/>
      <c r="F40" s="85"/>
      <c r="G40" s="86" t="str">
        <f>IF(SUM(G39:H39)&gt;0,1,"")</f>
        <v/>
      </c>
      <c r="H40" s="87"/>
      <c r="I40" s="86" t="str">
        <f>IF(SUM(I39:J39)&gt;0,1,"")</f>
        <v/>
      </c>
      <c r="J40" s="87"/>
      <c r="K40" s="86" t="str">
        <f>IF(SUM(K39:L39)&gt;0,1,"")</f>
        <v/>
      </c>
      <c r="L40" s="88"/>
      <c r="M40" s="168"/>
      <c r="N40" s="97"/>
      <c r="P40" s="14"/>
      <c r="Q40" s="14"/>
      <c r="S40" s="89"/>
      <c r="T40" s="194"/>
      <c r="U40" s="195"/>
      <c r="V40" s="196"/>
      <c r="W40" s="200"/>
      <c r="X40" s="340"/>
      <c r="Y40" s="341"/>
      <c r="Z40" s="200"/>
      <c r="AA40" s="201"/>
      <c r="AB40" s="201"/>
      <c r="AC40" s="294"/>
      <c r="AD40" s="477" t="s">
        <v>15</v>
      </c>
      <c r="AE40" s="478"/>
      <c r="AF40" s="356">
        <f t="shared" si="43"/>
        <v>0</v>
      </c>
      <c r="AG40" s="356">
        <f t="shared" si="43"/>
        <v>0</v>
      </c>
      <c r="AH40" s="296">
        <f t="shared" si="43"/>
        <v>0</v>
      </c>
      <c r="AI40" s="297">
        <f t="shared" si="43"/>
        <v>0</v>
      </c>
      <c r="AJ40" s="298"/>
      <c r="AK40" s="298"/>
      <c r="AL40" s="299"/>
      <c r="AM40" s="300"/>
      <c r="AN40" s="300"/>
      <c r="AO40" s="300"/>
      <c r="AP40" s="298"/>
      <c r="AQ40" s="298"/>
      <c r="AR40" s="297">
        <f t="shared" si="46"/>
        <v>0</v>
      </c>
      <c r="AS40" s="297">
        <f t="shared" si="46"/>
        <v>0</v>
      </c>
      <c r="AT40" s="238"/>
      <c r="AU40" s="238"/>
      <c r="AV40" s="365"/>
      <c r="AW40" s="479" t="s">
        <v>15</v>
      </c>
      <c r="AX40" s="575"/>
      <c r="AY40" s="376">
        <f t="shared" si="44"/>
        <v>0</v>
      </c>
      <c r="AZ40" s="376">
        <f t="shared" si="44"/>
        <v>0</v>
      </c>
      <c r="BA40" s="386"/>
      <c r="BB40" s="390"/>
      <c r="BC40" s="386"/>
      <c r="BD40" s="386"/>
      <c r="BE40" s="387">
        <f>SUM(BE15,BE35)</f>
        <v>0</v>
      </c>
      <c r="BF40" s="387">
        <f>SUM(BF15,BF35)</f>
        <v>0</v>
      </c>
    </row>
    <row r="41" spans="1:58" s="30" customFormat="1" ht="29.25" customHeight="1" thickTop="1" thickBot="1" x14ac:dyDescent="0.25">
      <c r="A41" s="142">
        <f>ROUND((ROW()-10)/2,0)</f>
        <v>16</v>
      </c>
      <c r="B41" s="29"/>
      <c r="C41" s="90" t="str">
        <f>IF(INDEX(設定!$C$9:$C$108,$A41,1)="","",INDEX(設定!$C$9:$C$108,$A41,1))</f>
        <v/>
      </c>
      <c r="D41" s="76" t="str">
        <f>IF(INDEX(設定!$D$9:$D$108,$A41,1)="","",INDEX(設定!$D$9:$D$108,$A41,1))</f>
        <v/>
      </c>
      <c r="E41" s="77" t="str">
        <f>IF(INDEX(設定!$E$9:$E$108,$A41,1)="","",INDEX(設定!$E$9:$E$108,$A41,1))</f>
        <v/>
      </c>
      <c r="F41" s="78" t="str">
        <f>IF(S41="","",IF(S41=1,"1：家族",IF(AND(S41&gt;=2,S41&lt;=5),"2：雇用","")))</f>
        <v/>
      </c>
      <c r="G41" s="141">
        <f>INT(INDEX(設定!$H$9:H$108,$A41,1))</f>
        <v>0</v>
      </c>
      <c r="H41" s="79" t="str">
        <f>IF(INDEX(設定!$H$9:$H$108,$A41,1)=0,"",ROUND(MOD(INDEX(設定!$H$9:$H$108,$A41,1),1)*60,0))</f>
        <v/>
      </c>
      <c r="I41" s="141">
        <f>INT(INDEX(設定!$I$9:$I$108,$A41,1))</f>
        <v>0</v>
      </c>
      <c r="J41" s="79" t="str">
        <f>IF(INDEX(設定!$I$9:$I$108,$A41,1)=0,"",ROUND(MOD(INDEX(設定!$I$9:$I$108,$A41,1),1)*60,0))</f>
        <v/>
      </c>
      <c r="K41" s="141">
        <f>INT(INDEX(設定!$J$9:$J$108,$A41,1))</f>
        <v>0</v>
      </c>
      <c r="L41" s="80" t="str">
        <f>IF(INDEX(設定!$J$9:$J$108,$A41,1)=0,"",ROUND(MOD(INDEX(設定!$J$9:$J$108,$A41,1),1)*60,0))</f>
        <v/>
      </c>
      <c r="M41" s="167"/>
      <c r="N41" s="166"/>
      <c r="P41" s="14"/>
      <c r="Q41" s="14"/>
      <c r="S41" s="91" t="str">
        <f>IF(INDEX(設定!$F$9:$F$108,$A41,1)="","",VALUE(LEFT(INDEX(設定!$F$9:$F$108,$A41,1),1)))</f>
        <v/>
      </c>
      <c r="T41" s="219" t="str">
        <f>IF(C41="","",C41)</f>
        <v/>
      </c>
      <c r="U41" s="220" t="str">
        <f>IF(D41="","",IF(D41="1：男",1,IF(D41="2：女",2)))</f>
        <v/>
      </c>
      <c r="V41" s="221" t="str">
        <f>IF(E41="","",E41)</f>
        <v/>
      </c>
      <c r="W41" s="349" t="str">
        <f t="shared" ref="W41" si="50">IF(AND(G41="",H41="",G42=""),"",ROUND(SUM(G41,H41/60)*G42,1))</f>
        <v/>
      </c>
      <c r="X41" s="350" t="str">
        <f t="shared" ref="X41" si="51">IF(AND(I41="",J41="",I42=""),"",ROUND(SUM(I41,J41/60)*I42,1))</f>
        <v/>
      </c>
      <c r="Y41" s="351" t="str">
        <f t="shared" ref="Y41" si="52">IF(AND(K41="",L41="",K42=""),"",ROUND(SUM(K41,L41/60)*K42,1))</f>
        <v/>
      </c>
      <c r="Z41" s="200"/>
      <c r="AA41" s="201"/>
      <c r="AB41" s="201"/>
      <c r="AC41" s="467" t="s">
        <v>134</v>
      </c>
      <c r="AD41" s="468"/>
      <c r="AE41" s="468"/>
      <c r="AF41" s="356">
        <f>SUMIFS($Z$77:$Z$106,$S$77:$S$106,1,$U$77:$U$106,1)</f>
        <v>0</v>
      </c>
      <c r="AG41" s="356">
        <f>SUMIFS($Z$77:$Z$106,$S$77:$S$106,1,$U$77:$U$106,2)</f>
        <v>0</v>
      </c>
      <c r="AH41" s="302"/>
      <c r="AI41" s="302"/>
      <c r="AJ41" s="302"/>
      <c r="AK41" s="302"/>
      <c r="AL41" s="303"/>
      <c r="AM41" s="303"/>
      <c r="AN41" s="303"/>
      <c r="AO41" s="303"/>
      <c r="AP41" s="303"/>
      <c r="AQ41" s="303"/>
      <c r="AR41" s="303"/>
      <c r="AS41" s="303"/>
      <c r="AT41" s="238"/>
      <c r="AU41" s="238"/>
      <c r="AV41"/>
      <c r="AW41"/>
      <c r="AX41"/>
      <c r="AY41"/>
      <c r="AZ41"/>
      <c r="BA41"/>
      <c r="BB41"/>
      <c r="BC41" s="217"/>
      <c r="BD41" s="217"/>
      <c r="BE41" s="217"/>
      <c r="BF41" s="217"/>
    </row>
    <row r="42" spans="1:58" s="30" customFormat="1" ht="29.25" customHeight="1" thickTop="1" thickBot="1" x14ac:dyDescent="0.25">
      <c r="A42" s="142"/>
      <c r="B42" s="29"/>
      <c r="C42" s="82"/>
      <c r="D42" s="83"/>
      <c r="E42" s="84"/>
      <c r="F42" s="85"/>
      <c r="G42" s="86" t="str">
        <f>IF(SUM(G41:H41)&gt;0,1,"")</f>
        <v/>
      </c>
      <c r="H42" s="87"/>
      <c r="I42" s="86" t="str">
        <f>IF(SUM(I41:J41)&gt;0,1,"")</f>
        <v/>
      </c>
      <c r="J42" s="87"/>
      <c r="K42" s="86" t="str">
        <f>IF(SUM(K41:L41)&gt;0,1,"")</f>
        <v/>
      </c>
      <c r="L42" s="88"/>
      <c r="M42" s="168"/>
      <c r="N42" s="97"/>
      <c r="P42" s="14"/>
      <c r="Q42" s="14"/>
      <c r="S42" s="89"/>
      <c r="T42" s="194"/>
      <c r="U42" s="195"/>
      <c r="V42" s="196"/>
      <c r="W42" s="200"/>
      <c r="X42" s="340"/>
      <c r="Y42" s="341"/>
      <c r="Z42" s="200"/>
      <c r="AA42" s="201"/>
      <c r="AB42" s="201"/>
      <c r="AC42" s="217"/>
      <c r="AD42" s="217"/>
      <c r="AE42" s="217"/>
      <c r="AF42" s="217"/>
      <c r="AG42" s="217"/>
      <c r="AH42" s="217"/>
      <c r="AI42" s="217"/>
      <c r="AJ42" s="217"/>
      <c r="AK42" s="217"/>
      <c r="AL42" s="217"/>
      <c r="AM42" s="217"/>
      <c r="AN42" s="217"/>
      <c r="AO42" s="217"/>
      <c r="AP42" s="217"/>
      <c r="AQ42" s="217"/>
      <c r="AR42" s="217"/>
      <c r="AS42" s="217"/>
      <c r="AT42" s="238"/>
      <c r="AU42" s="238"/>
      <c r="AV42" s="238"/>
      <c r="AW42" s="238"/>
      <c r="AX42" s="238"/>
      <c r="AY42" s="238"/>
      <c r="AZ42" s="238"/>
      <c r="BA42" s="238"/>
      <c r="BB42" s="238"/>
      <c r="BC42" s="217"/>
      <c r="BD42" s="217"/>
      <c r="BE42" s="217"/>
      <c r="BF42" s="217"/>
    </row>
    <row r="43" spans="1:58" s="30" customFormat="1" ht="29.25" customHeight="1" thickTop="1" x14ac:dyDescent="0.2">
      <c r="A43" s="142">
        <f>ROUND((ROW()-10)/2,0)</f>
        <v>17</v>
      </c>
      <c r="B43" s="29"/>
      <c r="C43" s="90" t="str">
        <f>IF(INDEX(設定!$C$9:$C$108,$A43,1)="","",INDEX(設定!$C$9:$C$108,$A43,1))</f>
        <v/>
      </c>
      <c r="D43" s="76" t="str">
        <f>IF(INDEX(設定!$D$9:$D$108,$A43,1)="","",INDEX(設定!$D$9:$D$108,$A43,1))</f>
        <v/>
      </c>
      <c r="E43" s="77" t="str">
        <f>IF(INDEX(設定!$E$9:$E$108,$A43,1)="","",INDEX(設定!$E$9:$E$108,$A43,1))</f>
        <v/>
      </c>
      <c r="F43" s="78" t="str">
        <f>IF(S43="","",IF(S43=1,"1：家族",IF(AND(S43&gt;=2,S43&lt;=5),"2：雇用","")))</f>
        <v/>
      </c>
      <c r="G43" s="141">
        <f>INT(INDEX(設定!$H$9:H$108,$A43,1))</f>
        <v>0</v>
      </c>
      <c r="H43" s="79" t="str">
        <f>IF(INDEX(設定!$H$9:$H$108,$A43,1)=0,"",ROUND(MOD(INDEX(設定!$H$9:$H$108,$A43,1),1)*60,0))</f>
        <v/>
      </c>
      <c r="I43" s="141">
        <f>INT(INDEX(設定!$I$9:$I$108,$A43,1))</f>
        <v>0</v>
      </c>
      <c r="J43" s="79" t="str">
        <f>IF(INDEX(設定!$I$9:$I$108,$A43,1)=0,"",ROUND(MOD(INDEX(設定!$I$9:$I$108,$A43,1),1)*60,0))</f>
        <v/>
      </c>
      <c r="K43" s="141">
        <f>INT(INDEX(設定!$J$9:$J$108,$A43,1))</f>
        <v>0</v>
      </c>
      <c r="L43" s="80" t="str">
        <f>IF(INDEX(設定!$J$9:$J$108,$A43,1)=0,"",ROUND(MOD(INDEX(設定!$J$9:$J$108,$A43,1),1)*60,0))</f>
        <v/>
      </c>
      <c r="M43" s="167"/>
      <c r="N43" s="166"/>
      <c r="P43" s="14"/>
      <c r="Q43" s="14"/>
      <c r="S43" s="91" t="str">
        <f>IF(INDEX(設定!$F$9:$F$108,$A43,1)="","",VALUE(LEFT(INDEX(設定!$F$9:$F$108,$A43,1),1)))</f>
        <v/>
      </c>
      <c r="T43" s="219" t="str">
        <f>IF(C43="","",C43)</f>
        <v/>
      </c>
      <c r="U43" s="220" t="str">
        <f>IF(D43="","",IF(D43="1：男",1,IF(D43="2：女",2)))</f>
        <v/>
      </c>
      <c r="V43" s="221" t="str">
        <f>IF(E43="","",E43)</f>
        <v/>
      </c>
      <c r="W43" s="349" t="str">
        <f t="shared" ref="W43" si="53">IF(AND(G43="",H43="",G44=""),"",ROUND(SUM(G43,H43/60)*G44,1))</f>
        <v/>
      </c>
      <c r="X43" s="350" t="str">
        <f t="shared" ref="X43" si="54">IF(AND(I43="",J43="",I44=""),"",ROUND(SUM(I43,J43/60)*I44,1))</f>
        <v/>
      </c>
      <c r="Y43" s="351" t="str">
        <f t="shared" ref="Y43" si="55">IF(AND(K43="",L43="",K44=""),"",ROUND(SUM(K43,L43/60)*K44,1))</f>
        <v/>
      </c>
      <c r="Z43" s="200"/>
      <c r="AA43" s="201"/>
      <c r="AB43" s="238"/>
      <c r="AC43" s="217"/>
      <c r="AD43" s="217"/>
      <c r="AE43" s="217"/>
      <c r="AF43" s="217"/>
      <c r="AG43" s="217"/>
      <c r="AH43" s="217"/>
      <c r="AI43" s="217"/>
      <c r="AJ43" s="217"/>
      <c r="AK43" s="217"/>
      <c r="AL43" s="217"/>
      <c r="AM43" s="217"/>
      <c r="AN43" s="217"/>
      <c r="AO43" s="217"/>
      <c r="AP43" s="217"/>
      <c r="AQ43" s="217"/>
      <c r="AR43" s="217"/>
      <c r="AS43" s="217"/>
      <c r="AT43" s="238"/>
      <c r="AU43" s="238"/>
      <c r="AV43" s="238"/>
      <c r="AW43" s="238"/>
      <c r="AX43" s="238"/>
      <c r="AY43" s="238"/>
      <c r="AZ43" s="238"/>
      <c r="BA43" s="238"/>
      <c r="BB43" s="238"/>
      <c r="BC43" s="217"/>
      <c r="BD43" s="217"/>
      <c r="BE43" s="217"/>
      <c r="BF43" s="217"/>
    </row>
    <row r="44" spans="1:58" s="30" customFormat="1" ht="29.25" customHeight="1" thickBot="1" x14ac:dyDescent="0.25">
      <c r="A44" s="142"/>
      <c r="B44" s="29"/>
      <c r="C44" s="82"/>
      <c r="D44" s="83"/>
      <c r="E44" s="84"/>
      <c r="F44" s="85"/>
      <c r="G44" s="86" t="str">
        <f>IF(SUM(G43:H43)&gt;0,1,"")</f>
        <v/>
      </c>
      <c r="H44" s="87"/>
      <c r="I44" s="86" t="str">
        <f>IF(SUM(I43:J43)&gt;0,1,"")</f>
        <v/>
      </c>
      <c r="J44" s="87"/>
      <c r="K44" s="86" t="str">
        <f>IF(SUM(K43:L43)&gt;0,1,"")</f>
        <v/>
      </c>
      <c r="L44" s="88"/>
      <c r="M44" s="168"/>
      <c r="N44" s="97"/>
      <c r="P44" s="14"/>
      <c r="Q44" s="14"/>
      <c r="S44" s="89"/>
      <c r="T44" s="194"/>
      <c r="U44" s="195"/>
      <c r="V44" s="196"/>
      <c r="W44" s="200"/>
      <c r="X44" s="340"/>
      <c r="Y44" s="341"/>
      <c r="Z44" s="200"/>
      <c r="AA44" s="201"/>
      <c r="AB44" s="238"/>
      <c r="AC44" s="217"/>
      <c r="AD44" s="217"/>
      <c r="AE44" s="217"/>
      <c r="AF44" s="217"/>
      <c r="AG44" s="217"/>
      <c r="AH44" s="217"/>
      <c r="AI44" s="217"/>
      <c r="AJ44" s="217"/>
      <c r="AK44" s="217"/>
      <c r="AL44" s="217"/>
      <c r="AM44" s="217"/>
      <c r="AN44" s="217"/>
      <c r="AO44" s="217"/>
      <c r="AP44" s="217"/>
      <c r="AQ44" s="217"/>
      <c r="AR44" s="217"/>
      <c r="AS44" s="217"/>
      <c r="AT44" s="238"/>
      <c r="AU44" s="238"/>
      <c r="AV44" s="238"/>
      <c r="AW44" s="238"/>
      <c r="AX44" s="238"/>
      <c r="AY44" s="238"/>
      <c r="AZ44" s="238"/>
      <c r="BA44" s="238"/>
      <c r="BB44" s="238"/>
      <c r="BC44" s="217"/>
      <c r="BD44" s="217"/>
      <c r="BE44" s="217"/>
      <c r="BF44" s="217"/>
    </row>
    <row r="45" spans="1:58" s="30" customFormat="1" ht="29.25" customHeight="1" thickTop="1" x14ac:dyDescent="0.2">
      <c r="A45" s="142">
        <f>ROUND((ROW()-10)/2,0)</f>
        <v>18</v>
      </c>
      <c r="B45" s="29"/>
      <c r="C45" s="90" t="str">
        <f>IF(INDEX(設定!$C$9:$C$108,$A45,1)="","",INDEX(設定!$C$9:$C$108,$A45,1))</f>
        <v/>
      </c>
      <c r="D45" s="76" t="str">
        <f>IF(INDEX(設定!$D$9:$D$108,$A45,1)="","",INDEX(設定!$D$9:$D$108,$A45,1))</f>
        <v/>
      </c>
      <c r="E45" s="77" t="str">
        <f>IF(INDEX(設定!$E$9:$E$108,$A45,1)="","",INDEX(設定!$E$9:$E$108,$A45,1))</f>
        <v/>
      </c>
      <c r="F45" s="78" t="str">
        <f>IF(S45="","",IF(S45=1,"1：家族",IF(AND(S45&gt;=2,S45&lt;=5),"2：雇用","")))</f>
        <v/>
      </c>
      <c r="G45" s="141">
        <f>INT(INDEX(設定!$H$9:H$108,$A45,1))</f>
        <v>0</v>
      </c>
      <c r="H45" s="79" t="str">
        <f>IF(INDEX(設定!$H$9:$H$108,$A45,1)=0,"",ROUND(MOD(INDEX(設定!$H$9:$H$108,$A45,1),1)*60,0))</f>
        <v/>
      </c>
      <c r="I45" s="141">
        <f>INT(INDEX(設定!$I$9:$I$108,$A45,1))</f>
        <v>0</v>
      </c>
      <c r="J45" s="79" t="str">
        <f>IF(INDEX(設定!$I$9:$I$108,$A45,1)=0,"",ROUND(MOD(INDEX(設定!$I$9:$I$108,$A45,1),1)*60,0))</f>
        <v/>
      </c>
      <c r="K45" s="141">
        <f>INT(INDEX(設定!$J$9:$J$108,$A45,1))</f>
        <v>0</v>
      </c>
      <c r="L45" s="80" t="str">
        <f>IF(INDEX(設定!$J$9:$J$108,$A45,1)=0,"",ROUND(MOD(INDEX(設定!$J$9:$J$108,$A45,1),1)*60,0))</f>
        <v/>
      </c>
      <c r="M45" s="167"/>
      <c r="N45" s="166"/>
      <c r="P45" s="14"/>
      <c r="Q45" s="14"/>
      <c r="S45" s="91" t="str">
        <f>IF(INDEX(設定!$F$9:$F$108,$A45,1)="","",VALUE(LEFT(INDEX(設定!$F$9:$F$108,$A45,1),1)))</f>
        <v/>
      </c>
      <c r="T45" s="219" t="str">
        <f>IF(C45="","",C45)</f>
        <v/>
      </c>
      <c r="U45" s="220" t="str">
        <f>IF(D45="","",IF(D45="1：男",1,IF(D45="2：女",2)))</f>
        <v/>
      </c>
      <c r="V45" s="221" t="str">
        <f>IF(E45="","",E45)</f>
        <v/>
      </c>
      <c r="W45" s="349" t="str">
        <f t="shared" ref="W45" si="56">IF(AND(G45="",H45="",G46=""),"",ROUND(SUM(G45,H45/60)*G46,1))</f>
        <v/>
      </c>
      <c r="X45" s="350" t="str">
        <f t="shared" ref="X45" si="57">IF(AND(I45="",J45="",I46=""),"",ROUND(SUM(I45,J45/60)*I46,1))</f>
        <v/>
      </c>
      <c r="Y45" s="351" t="str">
        <f t="shared" ref="Y45" si="58">IF(AND(K45="",L45="",K46=""),"",ROUND(SUM(K45,L45/60)*K46,1))</f>
        <v/>
      </c>
      <c r="Z45" s="200"/>
      <c r="AA45" s="201"/>
      <c r="AB45" s="238"/>
      <c r="AC45" s="217"/>
      <c r="AD45" s="217"/>
      <c r="AE45" s="217"/>
      <c r="AF45" s="217"/>
      <c r="AG45" s="217"/>
      <c r="AH45" s="217"/>
      <c r="AI45" s="217"/>
      <c r="AJ45" s="217"/>
      <c r="AK45" s="217"/>
      <c r="AL45" s="217"/>
      <c r="AM45" s="217"/>
      <c r="AN45" s="217"/>
      <c r="AO45" s="217"/>
      <c r="AP45" s="217"/>
      <c r="AQ45" s="217"/>
      <c r="AR45" s="217"/>
      <c r="AS45" s="217"/>
      <c r="AT45" s="238"/>
      <c r="AU45" s="238"/>
      <c r="AV45" s="238"/>
      <c r="AW45" s="238"/>
      <c r="AX45" s="238"/>
      <c r="AY45" s="238"/>
      <c r="AZ45" s="238"/>
      <c r="BA45" s="238"/>
      <c r="BB45" s="238"/>
      <c r="BC45" s="217"/>
      <c r="BD45" s="217"/>
      <c r="BE45" s="217"/>
      <c r="BF45" s="217"/>
    </row>
    <row r="46" spans="1:58" s="30" customFormat="1" ht="28.9" customHeight="1" thickBot="1" x14ac:dyDescent="0.25">
      <c r="A46" s="142"/>
      <c r="B46" s="29"/>
      <c r="C46" s="82"/>
      <c r="D46" s="83"/>
      <c r="E46" s="84"/>
      <c r="F46" s="85"/>
      <c r="G46" s="86" t="str">
        <f>IF(SUM(G45:H45)&gt;0,1,"")</f>
        <v/>
      </c>
      <c r="H46" s="87"/>
      <c r="I46" s="86" t="str">
        <f>IF(SUM(I45:J45)&gt;0,1,"")</f>
        <v/>
      </c>
      <c r="J46" s="87"/>
      <c r="K46" s="86" t="str">
        <f>IF(SUM(K45:L45)&gt;0,1,"")</f>
        <v/>
      </c>
      <c r="L46" s="88"/>
      <c r="M46" s="168"/>
      <c r="N46" s="97"/>
      <c r="P46" s="14"/>
      <c r="Q46" s="14"/>
      <c r="S46" s="89"/>
      <c r="T46" s="194"/>
      <c r="U46" s="195"/>
      <c r="V46" s="196"/>
      <c r="W46" s="200"/>
      <c r="X46" s="340"/>
      <c r="Y46" s="341"/>
      <c r="Z46" s="200"/>
      <c r="AA46" s="201"/>
      <c r="AB46" s="238"/>
      <c r="AC46" s="217"/>
      <c r="AD46" s="217"/>
      <c r="AE46" s="217"/>
      <c r="AF46" s="217"/>
      <c r="AG46" s="217"/>
      <c r="AH46" s="217"/>
      <c r="AI46" s="217"/>
      <c r="AJ46" s="217"/>
      <c r="AK46" s="217"/>
      <c r="AL46" s="217"/>
      <c r="AM46" s="217"/>
      <c r="AN46" s="217"/>
      <c r="AO46" s="217"/>
      <c r="AP46" s="217"/>
      <c r="AQ46" s="217"/>
      <c r="AR46" s="217"/>
      <c r="AS46" s="217"/>
      <c r="AT46" s="238"/>
      <c r="AU46" s="238"/>
      <c r="AV46" s="238"/>
      <c r="AW46" s="238"/>
      <c r="AX46" s="238"/>
      <c r="AY46" s="238"/>
      <c r="AZ46" s="238"/>
      <c r="BA46" s="238"/>
      <c r="BB46" s="238"/>
      <c r="BC46" s="1"/>
      <c r="BD46" s="1"/>
      <c r="BE46" s="1"/>
      <c r="BF46" s="1"/>
    </row>
    <row r="47" spans="1:58" ht="29.25" customHeight="1" thickTop="1" x14ac:dyDescent="0.2">
      <c r="A47" s="142">
        <f>ROUND((ROW()-10)/2,0)</f>
        <v>19</v>
      </c>
      <c r="B47" s="29"/>
      <c r="C47" s="90" t="str">
        <f>IF(INDEX(設定!$C$9:$C$108,$A47,1)="","",INDEX(設定!$C$9:$C$108,$A47,1))</f>
        <v/>
      </c>
      <c r="D47" s="76" t="str">
        <f>IF(INDEX(設定!$D$9:$D$108,$A47,1)="","",INDEX(設定!$D$9:$D$108,$A47,1))</f>
        <v/>
      </c>
      <c r="E47" s="77" t="str">
        <f>IF(INDEX(設定!$E$9:$E$108,$A47,1)="","",INDEX(設定!$E$9:$E$108,$A47,1))</f>
        <v/>
      </c>
      <c r="F47" s="78" t="str">
        <f>IF(S47="","",IF(S47=1,"1：家族",IF(AND(S47&gt;=2,S47&lt;=5),"2：雇用","")))</f>
        <v/>
      </c>
      <c r="G47" s="141">
        <f>INT(INDEX(設定!$H$9:H$108,$A47,1))</f>
        <v>0</v>
      </c>
      <c r="H47" s="79" t="str">
        <f>IF(INDEX(設定!$H$9:$H$108,$A47,1)=0,"",ROUND(MOD(INDEX(設定!$H$9:$H$108,$A47,1),1)*60,0))</f>
        <v/>
      </c>
      <c r="I47" s="141">
        <f>INT(INDEX(設定!$I$9:$I$108,$A47,1))</f>
        <v>0</v>
      </c>
      <c r="J47" s="79" t="str">
        <f>IF(INDEX(設定!$I$9:$I$108,$A47,1)=0,"",ROUND(MOD(INDEX(設定!$I$9:$I$108,$A47,1),1)*60,0))</f>
        <v/>
      </c>
      <c r="K47" s="141">
        <f>INT(INDEX(設定!$J$9:$J$108,$A47,1))</f>
        <v>0</v>
      </c>
      <c r="L47" s="80" t="str">
        <f>IF(INDEX(設定!$J$9:$J$108,$A47,1)=0,"",ROUND(MOD(INDEX(設定!$J$9:$J$108,$A47,1),1)*60,0))</f>
        <v/>
      </c>
      <c r="M47" s="167"/>
      <c r="N47" s="166"/>
      <c r="P47" s="14"/>
      <c r="Q47" s="14"/>
      <c r="S47" s="91" t="str">
        <f>IF(INDEX(設定!$F$9:$F$108,$A47,1)="","",VALUE(LEFT(INDEX(設定!$F$9:$F$108,$A47,1),1)))</f>
        <v/>
      </c>
      <c r="T47" s="219" t="str">
        <f>IF(C47="","",C47)</f>
        <v/>
      </c>
      <c r="U47" s="220" t="str">
        <f>IF(D47="","",IF(D47="1：男",1,IF(D47="2：女",2)))</f>
        <v/>
      </c>
      <c r="V47" s="221" t="str">
        <f>IF(E47="","",E47)</f>
        <v/>
      </c>
      <c r="W47" s="349" t="str">
        <f t="shared" ref="W47" si="59">IF(AND(G47="",H47="",G48=""),"",ROUND(SUM(G47,H47/60)*G48,1))</f>
        <v/>
      </c>
      <c r="X47" s="350" t="str">
        <f t="shared" ref="X47" si="60">IF(AND(I47="",J47="",I48=""),"",ROUND(SUM(I47,J47/60)*I48,1))</f>
        <v/>
      </c>
      <c r="Y47" s="351" t="str">
        <f t="shared" ref="Y47" si="61">IF(AND(K47="",L47="",K48=""),"",ROUND(SUM(K47,L47/60)*K48,1))</f>
        <v/>
      </c>
      <c r="Z47" s="200"/>
      <c r="AA47" s="201"/>
      <c r="AB47" s="238"/>
      <c r="AC47" s="217"/>
      <c r="AD47" s="217"/>
      <c r="AE47" s="217"/>
      <c r="AF47" s="217"/>
      <c r="AG47" s="217"/>
      <c r="AH47" s="217"/>
      <c r="AI47" s="217"/>
      <c r="AJ47" s="217"/>
      <c r="AK47" s="217"/>
      <c r="AL47" s="217"/>
      <c r="AM47" s="217"/>
      <c r="AN47" s="217"/>
      <c r="AO47" s="217"/>
      <c r="AP47" s="217"/>
      <c r="AQ47" s="217"/>
      <c r="AR47" s="217"/>
      <c r="AS47" s="217"/>
      <c r="AT47" s="238"/>
      <c r="AU47" s="238"/>
      <c r="AV47" s="238"/>
      <c r="AW47" s="238"/>
      <c r="AX47" s="238"/>
      <c r="AY47" s="238"/>
      <c r="AZ47" s="238"/>
      <c r="BA47" s="238"/>
      <c r="BB47" s="238"/>
      <c r="BC47" s="217"/>
      <c r="BD47" s="217"/>
      <c r="BE47" s="217"/>
      <c r="BF47" s="217"/>
    </row>
    <row r="48" spans="1:58" ht="29.25" customHeight="1" thickBot="1" x14ac:dyDescent="0.25">
      <c r="B48" s="29"/>
      <c r="C48" s="82"/>
      <c r="D48" s="83"/>
      <c r="E48" s="84"/>
      <c r="F48" s="85"/>
      <c r="G48" s="86" t="str">
        <f>IF(SUM(G47:H47)&gt;0,1,"")</f>
        <v/>
      </c>
      <c r="H48" s="87"/>
      <c r="I48" s="86" t="str">
        <f>IF(SUM(I47:J47)&gt;0,1,"")</f>
        <v/>
      </c>
      <c r="J48" s="87"/>
      <c r="K48" s="86" t="str">
        <f>IF(SUM(K47:L47)&gt;0,1,"")</f>
        <v/>
      </c>
      <c r="L48" s="88"/>
      <c r="M48" s="168"/>
      <c r="N48" s="97"/>
      <c r="P48" s="14"/>
      <c r="Q48" s="14"/>
      <c r="S48" s="89"/>
      <c r="T48" s="194"/>
      <c r="U48" s="195"/>
      <c r="V48" s="196"/>
      <c r="W48" s="200"/>
      <c r="X48" s="340"/>
      <c r="Y48" s="341"/>
      <c r="Z48" s="200"/>
      <c r="AA48" s="201"/>
      <c r="AB48" s="238"/>
      <c r="AC48" s="217"/>
      <c r="AD48" s="217"/>
      <c r="AE48" s="217"/>
      <c r="AF48" s="217"/>
      <c r="AG48" s="217"/>
      <c r="AH48" s="217"/>
      <c r="AI48" s="217"/>
      <c r="AJ48" s="217"/>
      <c r="AK48" s="217"/>
      <c r="AL48" s="217"/>
      <c r="AM48" s="217"/>
      <c r="AN48" s="217"/>
      <c r="AO48" s="217"/>
      <c r="AP48" s="217"/>
      <c r="AQ48" s="217"/>
      <c r="AR48" s="217"/>
      <c r="AS48" s="217"/>
      <c r="AT48" s="238"/>
      <c r="AU48" s="238"/>
      <c r="AV48" s="238"/>
      <c r="AW48" s="238"/>
      <c r="AX48" s="238"/>
      <c r="AY48" s="238"/>
      <c r="AZ48" s="238"/>
      <c r="BA48" s="238"/>
      <c r="BB48" s="238"/>
      <c r="BC48" s="217"/>
      <c r="BD48" s="217"/>
      <c r="BE48" s="217"/>
      <c r="BF48" s="217"/>
    </row>
    <row r="49" spans="1:58" ht="29.25" customHeight="1" thickTop="1" x14ac:dyDescent="0.2">
      <c r="A49" s="143">
        <f>ROUND((ROW()-10)/2,0)</f>
        <v>20</v>
      </c>
      <c r="B49" s="21"/>
      <c r="C49" s="90" t="str">
        <f>IF(INDEX(設定!$C$9:$C$108,$A49,1)="","",INDEX(設定!$C$9:$C$108,$A49,1))</f>
        <v/>
      </c>
      <c r="D49" s="76" t="str">
        <f>IF(INDEX(設定!$D$9:$D$108,$A49,1)="","",INDEX(設定!$D$9:$D$108,$A49,1))</f>
        <v/>
      </c>
      <c r="E49" s="77" t="str">
        <f>IF(INDEX(設定!$E$9:$E$108,$A49,1)="","",INDEX(設定!$E$9:$E$108,$A49,1))</f>
        <v/>
      </c>
      <c r="F49" s="78" t="str">
        <f>IF(S49="","",IF(S49=1,"1：家族",IF(AND(S49&gt;=2,S49&lt;=5),"2：雇用","")))</f>
        <v/>
      </c>
      <c r="G49" s="141">
        <f>INT(INDEX(設定!$H$9:H$108,$A49,1))</f>
        <v>0</v>
      </c>
      <c r="H49" s="79" t="str">
        <f>IF(INDEX(設定!$H$9:$H$108,$A49,1)=0,"",ROUND(MOD(INDEX(設定!$H$9:$H$108,$A49,1),1)*60,0))</f>
        <v/>
      </c>
      <c r="I49" s="141">
        <f>INT(INDEX(設定!$I$9:$I$108,$A49,1))</f>
        <v>0</v>
      </c>
      <c r="J49" s="79" t="str">
        <f>IF(INDEX(設定!$I$9:$I$108,$A49,1)=0,"",ROUND(MOD(INDEX(設定!$I$9:$I$108,$A49,1),1)*60,0))</f>
        <v/>
      </c>
      <c r="K49" s="141">
        <f>INT(INDEX(設定!$J$9:$J$108,$A49,1))</f>
        <v>0</v>
      </c>
      <c r="L49" s="80" t="str">
        <f>IF(INDEX(設定!$J$9:$J$108,$A49,1)=0,"",ROUND(MOD(INDEX(設定!$J$9:$J$108,$A49,1),1)*60,0))</f>
        <v/>
      </c>
      <c r="M49" s="167"/>
      <c r="N49" s="166"/>
      <c r="P49" s="14"/>
      <c r="Q49" s="14"/>
      <c r="S49" s="91" t="str">
        <f>IF(INDEX(設定!$F$9:$F$108,$A49,1)="","",VALUE(LEFT(INDEX(設定!$F$9:$F$108,$A49,1),1)))</f>
        <v/>
      </c>
      <c r="T49" s="219" t="str">
        <f>IF(C49="","",C49)</f>
        <v/>
      </c>
      <c r="U49" s="220" t="str">
        <f>IF(D49="","",IF(D49="1：男",1,IF(D49="2：女",2)))</f>
        <v/>
      </c>
      <c r="V49" s="221" t="str">
        <f>IF(E49="","",E49)</f>
        <v/>
      </c>
      <c r="W49" s="349" t="str">
        <f t="shared" ref="W49" si="62">IF(AND(G49="",H49="",G50=""),"",ROUND(SUM(G49,H49/60)*G50,1))</f>
        <v/>
      </c>
      <c r="X49" s="350" t="str">
        <f t="shared" ref="X49" si="63">IF(AND(I49="",J49="",I50=""),"",ROUND(SUM(I49,J49/60)*I50,1))</f>
        <v/>
      </c>
      <c r="Y49" s="351" t="str">
        <f t="shared" ref="Y49" si="64">IF(AND(K49="",L49="",K50=""),"",ROUND(SUM(K49,L49/60)*K50,1))</f>
        <v/>
      </c>
      <c r="Z49" s="200"/>
      <c r="AA49" s="201"/>
      <c r="AB49" s="238"/>
      <c r="AC49" s="217"/>
      <c r="AD49" s="217"/>
      <c r="AE49" s="217"/>
      <c r="AF49" s="217"/>
      <c r="AG49" s="217"/>
      <c r="AH49" s="217"/>
      <c r="AI49" s="217"/>
      <c r="AJ49" s="217"/>
      <c r="AK49" s="217"/>
      <c r="AL49" s="217"/>
      <c r="AM49" s="217"/>
      <c r="AN49" s="217"/>
      <c r="AO49" s="217"/>
      <c r="AP49" s="217"/>
      <c r="AQ49" s="217"/>
      <c r="AR49" s="217"/>
      <c r="AS49" s="217"/>
      <c r="AT49" s="238"/>
      <c r="AU49" s="238"/>
      <c r="AV49" s="238"/>
      <c r="AW49" s="238"/>
      <c r="AX49" s="238"/>
      <c r="AY49" s="238"/>
      <c r="AZ49" s="238"/>
      <c r="BA49" s="238"/>
      <c r="BB49" s="238"/>
      <c r="BC49" s="217"/>
      <c r="BD49" s="217"/>
      <c r="BE49" s="217"/>
      <c r="BF49" s="217"/>
    </row>
    <row r="50" spans="1:58" s="30" customFormat="1" ht="29.25" customHeight="1" thickBot="1" x14ac:dyDescent="0.25">
      <c r="A50" s="143"/>
      <c r="B50" s="21"/>
      <c r="C50" s="82"/>
      <c r="D50" s="83"/>
      <c r="E50" s="84"/>
      <c r="F50" s="85"/>
      <c r="G50" s="86" t="str">
        <f>IF(SUM(G49:H49)&gt;0,1,"")</f>
        <v/>
      </c>
      <c r="H50" s="87"/>
      <c r="I50" s="86" t="str">
        <f>IF(SUM(I49:J49)&gt;0,1,"")</f>
        <v/>
      </c>
      <c r="J50" s="87"/>
      <c r="K50" s="86" t="str">
        <f>IF(SUM(K49:L49)&gt;0,1,"")</f>
        <v/>
      </c>
      <c r="L50" s="88"/>
      <c r="M50" s="168"/>
      <c r="N50" s="97"/>
      <c r="P50" s="14"/>
      <c r="Q50" s="14"/>
      <c r="S50" s="89"/>
      <c r="T50" s="194"/>
      <c r="U50" s="195"/>
      <c r="V50" s="196"/>
      <c r="W50" s="200"/>
      <c r="X50" s="340"/>
      <c r="Y50" s="341"/>
      <c r="Z50" s="200"/>
      <c r="AA50" s="201"/>
      <c r="AB50" s="238"/>
      <c r="AC50" s="217"/>
      <c r="AD50" s="217"/>
      <c r="AE50" s="217"/>
      <c r="AF50" s="217"/>
      <c r="AG50" s="217"/>
      <c r="AH50" s="217"/>
      <c r="AI50" s="217"/>
      <c r="AJ50" s="217"/>
      <c r="AK50" s="217"/>
      <c r="AL50" s="217"/>
      <c r="AM50" s="217"/>
      <c r="AN50" s="217"/>
      <c r="AO50" s="217"/>
      <c r="AP50" s="217"/>
      <c r="AQ50" s="217"/>
      <c r="AR50" s="217"/>
      <c r="AS50" s="217"/>
      <c r="AT50" s="238"/>
      <c r="AU50" s="238"/>
      <c r="AV50" s="238"/>
      <c r="AW50" s="238"/>
      <c r="AX50" s="238"/>
      <c r="AY50" s="238"/>
      <c r="AZ50" s="238"/>
      <c r="BA50" s="238"/>
      <c r="BB50" s="238"/>
      <c r="BC50" s="217"/>
      <c r="BD50" s="217"/>
      <c r="BE50" s="217"/>
      <c r="BF50" s="217"/>
    </row>
    <row r="51" spans="1:58" s="30" customFormat="1" ht="29.25" customHeight="1" thickTop="1" x14ac:dyDescent="0.2">
      <c r="A51" s="143">
        <f>ROUND((ROW()-10)/2,0)</f>
        <v>21</v>
      </c>
      <c r="B51" s="21"/>
      <c r="C51" s="90" t="str">
        <f>IF(INDEX(設定!$C$9:$C$108,$A51,1)="","",INDEX(設定!$C$9:$C$108,$A51,1))</f>
        <v/>
      </c>
      <c r="D51" s="76" t="str">
        <f>IF(INDEX(設定!$D$9:$D$108,$A51,1)="","",INDEX(設定!$D$9:$D$108,$A51,1))</f>
        <v/>
      </c>
      <c r="E51" s="77" t="str">
        <f>IF(INDEX(設定!$E$9:$E$108,$A51,1)="","",INDEX(設定!$E$9:$E$108,$A51,1))</f>
        <v/>
      </c>
      <c r="F51" s="78" t="str">
        <f>IF(S51="","",IF(S51=1,"1：家族",IF(AND(S51&gt;=2,S51&lt;=5),"2：雇用","")))</f>
        <v/>
      </c>
      <c r="G51" s="141">
        <f>INT(INDEX(設定!$H$9:H$108,$A51,1))</f>
        <v>0</v>
      </c>
      <c r="H51" s="79" t="str">
        <f>IF(INDEX(設定!$H$9:$H$108,$A51,1)=0,"",ROUND(MOD(INDEX(設定!$H$9:$H$108,$A51,1),1)*60,0))</f>
        <v/>
      </c>
      <c r="I51" s="141">
        <f>INT(INDEX(設定!$I$9:$I$108,$A51,1))</f>
        <v>0</v>
      </c>
      <c r="J51" s="79" t="str">
        <f>IF(INDEX(設定!$I$9:$I$108,$A51,1)=0,"",ROUND(MOD(INDEX(設定!$I$9:$I$108,$A51,1),1)*60,0))</f>
        <v/>
      </c>
      <c r="K51" s="141">
        <f>INT(INDEX(設定!$J$9:$J$108,$A51,1))</f>
        <v>0</v>
      </c>
      <c r="L51" s="80" t="str">
        <f>IF(INDEX(設定!$J$9:$J$108,$A51,1)=0,"",ROUND(MOD(INDEX(設定!$J$9:$J$108,$A51,1),1)*60,0))</f>
        <v/>
      </c>
      <c r="M51" s="167"/>
      <c r="N51" s="166"/>
      <c r="P51" s="14"/>
      <c r="Q51" s="14"/>
      <c r="S51" s="91" t="str">
        <f>IF(INDEX(設定!$F$9:$F$108,$A51,1)="","",VALUE(LEFT(INDEX(設定!$F$9:$F$108,$A51,1),1)))</f>
        <v/>
      </c>
      <c r="T51" s="219" t="str">
        <f>IF(C51="","",C51)</f>
        <v/>
      </c>
      <c r="U51" s="220" t="str">
        <f>IF(D51="","",IF(D51="1：男",1,IF(D51="2：女",2)))</f>
        <v/>
      </c>
      <c r="V51" s="221" t="str">
        <f>IF(E51="","",E51)</f>
        <v/>
      </c>
      <c r="W51" s="349" t="str">
        <f t="shared" ref="W51" si="65">IF(AND(G51="",H51="",G52=""),"",ROUND(SUM(G51,H51/60)*G52,1))</f>
        <v/>
      </c>
      <c r="X51" s="350" t="str">
        <f t="shared" ref="X51" si="66">IF(AND(I51="",J51="",I52=""),"",ROUND(SUM(I51,J51/60)*I52,1))</f>
        <v/>
      </c>
      <c r="Y51" s="351" t="str">
        <f t="shared" ref="Y51" si="67">IF(AND(K51="",L51="",K52=""),"",ROUND(SUM(K51,L51/60)*K52,1))</f>
        <v/>
      </c>
      <c r="Z51" s="200"/>
      <c r="AA51" s="201"/>
      <c r="AB51" s="238"/>
      <c r="AC51" s="217"/>
      <c r="AD51" s="217"/>
      <c r="AE51" s="217"/>
      <c r="AF51" s="217"/>
      <c r="AG51" s="217"/>
      <c r="AH51" s="217"/>
      <c r="AI51" s="217"/>
      <c r="AJ51" s="217"/>
      <c r="AK51" s="217"/>
      <c r="AL51" s="217"/>
      <c r="AM51" s="217"/>
      <c r="AN51" s="217"/>
      <c r="AO51" s="217"/>
      <c r="AP51" s="217"/>
      <c r="AQ51" s="217"/>
      <c r="AR51" s="217"/>
      <c r="AS51" s="217"/>
      <c r="AT51" s="238"/>
      <c r="AU51" s="238"/>
      <c r="AV51" s="238"/>
      <c r="AW51" s="238"/>
      <c r="AX51" s="238"/>
      <c r="AY51" s="238"/>
      <c r="AZ51" s="238"/>
      <c r="BA51" s="238"/>
      <c r="BB51" s="238"/>
      <c r="BC51" s="217"/>
      <c r="BD51" s="217"/>
      <c r="BE51" s="217"/>
      <c r="BF51" s="217"/>
    </row>
    <row r="52" spans="1:58" s="30" customFormat="1" ht="29.25" customHeight="1" thickBot="1" x14ac:dyDescent="0.25">
      <c r="A52" s="142"/>
      <c r="B52" s="29"/>
      <c r="C52" s="82"/>
      <c r="D52" s="83"/>
      <c r="E52" s="84"/>
      <c r="F52" s="85"/>
      <c r="G52" s="86" t="str">
        <f>IF(SUM(G51:H51)&gt;0,1,"")</f>
        <v/>
      </c>
      <c r="H52" s="87"/>
      <c r="I52" s="86" t="str">
        <f>IF(SUM(I51:J51)&gt;0,1,"")</f>
        <v/>
      </c>
      <c r="J52" s="87"/>
      <c r="K52" s="86" t="str">
        <f>IF(SUM(K51:L51)&gt;0,1,"")</f>
        <v/>
      </c>
      <c r="L52" s="88"/>
      <c r="M52" s="168"/>
      <c r="N52" s="97"/>
      <c r="P52" s="14"/>
      <c r="Q52" s="14"/>
      <c r="S52" s="89"/>
      <c r="T52" s="194"/>
      <c r="U52" s="195"/>
      <c r="V52" s="196"/>
      <c r="W52" s="200"/>
      <c r="X52" s="340"/>
      <c r="Y52" s="341"/>
      <c r="Z52" s="200"/>
      <c r="AA52" s="201"/>
      <c r="AB52" s="238"/>
      <c r="AC52" s="217"/>
      <c r="AD52" s="217"/>
      <c r="AE52" s="217"/>
      <c r="AF52" s="217"/>
      <c r="AG52" s="217"/>
      <c r="AH52" s="217"/>
      <c r="AI52" s="217"/>
      <c r="AJ52" s="217"/>
      <c r="AK52" s="217"/>
      <c r="AL52" s="217"/>
      <c r="AM52" s="217"/>
      <c r="AN52" s="217"/>
      <c r="AO52" s="217"/>
      <c r="AP52" s="217"/>
      <c r="AQ52" s="217"/>
      <c r="AR52" s="217"/>
      <c r="AS52" s="217"/>
      <c r="AT52" s="238"/>
      <c r="AU52" s="238"/>
      <c r="AV52" s="238"/>
      <c r="AW52" s="238"/>
      <c r="AX52" s="238"/>
      <c r="AY52" s="238"/>
      <c r="AZ52" s="238"/>
      <c r="BA52" s="238"/>
      <c r="BB52" s="238"/>
      <c r="BC52" s="217"/>
      <c r="BD52" s="217"/>
      <c r="BE52" s="217"/>
      <c r="BF52" s="217"/>
    </row>
    <row r="53" spans="1:58" s="30" customFormat="1" ht="29.25" customHeight="1" thickTop="1" x14ac:dyDescent="0.2">
      <c r="A53" s="142">
        <f>ROUND((ROW()-10)/2,0)</f>
        <v>22</v>
      </c>
      <c r="B53" s="29"/>
      <c r="C53" s="90" t="str">
        <f>IF(INDEX(設定!$C$9:$C$108,$A53,1)="","",INDEX(設定!$C$9:$C$108,$A53,1))</f>
        <v/>
      </c>
      <c r="D53" s="76" t="str">
        <f>IF(INDEX(設定!$D$9:$D$108,$A53,1)="","",INDEX(設定!$D$9:$D$108,$A53,1))</f>
        <v/>
      </c>
      <c r="E53" s="77" t="str">
        <f>IF(INDEX(設定!$E$9:$E$108,$A53,1)="","",INDEX(設定!$E$9:$E$108,$A53,1))</f>
        <v/>
      </c>
      <c r="F53" s="78" t="str">
        <f>IF(S53="","",IF(S53=1,"1：家族",IF(AND(S53&gt;=2,S53&lt;=5),"2：雇用","")))</f>
        <v/>
      </c>
      <c r="G53" s="141">
        <f>INT(INDEX(設定!$H$9:H$108,$A53,1))</f>
        <v>0</v>
      </c>
      <c r="H53" s="79" t="str">
        <f>IF(INDEX(設定!$H$9:$H$108,$A53,1)=0,"",ROUND(MOD(INDEX(設定!$H$9:$H$108,$A53,1),1)*60,0))</f>
        <v/>
      </c>
      <c r="I53" s="141">
        <f>INT(INDEX(設定!$I$9:$I$108,$A53,1))</f>
        <v>0</v>
      </c>
      <c r="J53" s="79" t="str">
        <f>IF(INDEX(設定!$I$9:$I$108,$A53,1)=0,"",ROUND(MOD(INDEX(設定!$I$9:$I$108,$A53,1),1)*60,0))</f>
        <v/>
      </c>
      <c r="K53" s="141">
        <f>INT(INDEX(設定!$J$9:$J$108,$A53,1))</f>
        <v>0</v>
      </c>
      <c r="L53" s="80" t="str">
        <f>IF(INDEX(設定!$J$9:$J$108,$A53,1)=0,"",ROUND(MOD(INDEX(設定!$J$9:$J$108,$A53,1),1)*60,0))</f>
        <v/>
      </c>
      <c r="M53" s="167"/>
      <c r="N53" s="166"/>
      <c r="P53" s="14"/>
      <c r="Q53" s="14"/>
      <c r="S53" s="91" t="str">
        <f>IF(INDEX(設定!$F$9:$F$108,$A53,1)="","",VALUE(LEFT(INDEX(設定!$F$9:$F$108,$A53,1),1)))</f>
        <v/>
      </c>
      <c r="T53" s="219" t="str">
        <f>IF(C53="","",C53)</f>
        <v/>
      </c>
      <c r="U53" s="220" t="str">
        <f>IF(D53="","",IF(D53="1：男",1,IF(D53="2：女",2)))</f>
        <v/>
      </c>
      <c r="V53" s="221" t="str">
        <f>IF(E53="","",E53)</f>
        <v/>
      </c>
      <c r="W53" s="349" t="str">
        <f t="shared" ref="W53" si="68">IF(AND(G53="",H53="",G54=""),"",ROUND(SUM(G53,H53/60)*G54,1))</f>
        <v/>
      </c>
      <c r="X53" s="350" t="str">
        <f t="shared" ref="X53" si="69">IF(AND(I53="",J53="",I54=""),"",ROUND(SUM(I53,J53/60)*I54,1))</f>
        <v/>
      </c>
      <c r="Y53" s="351" t="str">
        <f t="shared" ref="Y53" si="70">IF(AND(K53="",L53="",K54=""),"",ROUND(SUM(K53,L53/60)*K54,1))</f>
        <v/>
      </c>
      <c r="Z53" s="200"/>
      <c r="AA53" s="201"/>
      <c r="AB53" s="238"/>
      <c r="AC53" s="217"/>
      <c r="AD53" s="217"/>
      <c r="AE53" s="217"/>
      <c r="AF53" s="217"/>
      <c r="AG53" s="217"/>
      <c r="AH53" s="217"/>
      <c r="AI53" s="217"/>
      <c r="AJ53" s="217"/>
      <c r="AK53" s="217"/>
      <c r="AL53" s="217"/>
      <c r="AM53" s="217"/>
      <c r="AN53" s="217"/>
      <c r="AO53" s="217"/>
      <c r="AP53" s="217"/>
      <c r="AQ53" s="217"/>
      <c r="AR53" s="217"/>
      <c r="AS53" s="217"/>
      <c r="AT53" s="238"/>
      <c r="AU53" s="238"/>
      <c r="AV53" s="238"/>
      <c r="AW53" s="238"/>
      <c r="AX53" s="238"/>
      <c r="AY53" s="238"/>
      <c r="AZ53" s="238"/>
      <c r="BA53" s="238"/>
      <c r="BB53" s="238"/>
      <c r="BC53" s="217"/>
      <c r="BD53" s="217"/>
      <c r="BE53" s="217"/>
      <c r="BF53" s="217"/>
    </row>
    <row r="54" spans="1:58" s="30" customFormat="1" ht="29.25" customHeight="1" thickBot="1" x14ac:dyDescent="0.25">
      <c r="A54" s="142"/>
      <c r="B54" s="29"/>
      <c r="C54" s="82"/>
      <c r="D54" s="83"/>
      <c r="E54" s="84"/>
      <c r="F54" s="85"/>
      <c r="G54" s="86" t="str">
        <f>IF(SUM(G53:H53)&gt;0,1,"")</f>
        <v/>
      </c>
      <c r="H54" s="87"/>
      <c r="I54" s="86" t="str">
        <f>IF(SUM(I53:J53)&gt;0,1,"")</f>
        <v/>
      </c>
      <c r="J54" s="87"/>
      <c r="K54" s="86" t="str">
        <f>IF(SUM(K53:L53)&gt;0,1,"")</f>
        <v/>
      </c>
      <c r="L54" s="88"/>
      <c r="M54" s="168"/>
      <c r="N54" s="97"/>
      <c r="P54" s="14"/>
      <c r="Q54" s="14"/>
      <c r="S54" s="89"/>
      <c r="T54" s="194"/>
      <c r="U54" s="195"/>
      <c r="V54" s="196"/>
      <c r="W54" s="200"/>
      <c r="X54" s="340"/>
      <c r="Y54" s="341"/>
      <c r="Z54" s="200"/>
      <c r="AA54" s="201"/>
      <c r="AB54" s="238"/>
      <c r="AC54" s="217"/>
      <c r="AD54" s="217"/>
      <c r="AE54" s="217"/>
      <c r="AF54" s="217"/>
      <c r="AG54" s="217"/>
      <c r="AH54" s="217"/>
      <c r="AI54" s="217"/>
      <c r="AJ54" s="217"/>
      <c r="AK54" s="217"/>
      <c r="AL54" s="217"/>
      <c r="AM54" s="217"/>
      <c r="AN54" s="217"/>
      <c r="AO54" s="217"/>
      <c r="AP54" s="217"/>
      <c r="AQ54" s="217"/>
      <c r="AR54" s="217"/>
      <c r="AS54" s="217"/>
      <c r="AT54" s="238"/>
      <c r="AU54" s="238"/>
      <c r="AV54" s="238"/>
      <c r="AW54" s="238"/>
      <c r="AX54" s="238"/>
      <c r="AY54" s="238"/>
      <c r="AZ54" s="238"/>
      <c r="BA54" s="238"/>
      <c r="BB54" s="238"/>
      <c r="BC54" s="217"/>
      <c r="BD54" s="217"/>
      <c r="BE54" s="217"/>
      <c r="BF54" s="217"/>
    </row>
    <row r="55" spans="1:58" s="30" customFormat="1" ht="29.25" customHeight="1" thickTop="1" x14ac:dyDescent="0.2">
      <c r="A55" s="142">
        <f>ROUND((ROW()-10)/2,0)</f>
        <v>23</v>
      </c>
      <c r="B55" s="29"/>
      <c r="C55" s="90" t="str">
        <f>IF(INDEX(設定!$C$9:$C$108,$A55,1)="","",INDEX(設定!$C$9:$C$108,$A55,1))</f>
        <v/>
      </c>
      <c r="D55" s="76" t="str">
        <f>IF(INDEX(設定!$D$9:$D$108,$A55,1)="","",INDEX(設定!$D$9:$D$108,$A55,1))</f>
        <v/>
      </c>
      <c r="E55" s="77" t="str">
        <f>IF(INDEX(設定!$E$9:$E$108,$A55,1)="","",INDEX(設定!$E$9:$E$108,$A55,1))</f>
        <v/>
      </c>
      <c r="F55" s="78" t="str">
        <f>IF(S55="","",IF(S55=1,"1：家族",IF(AND(S55&gt;=2,S55&lt;=5),"2：雇用","")))</f>
        <v/>
      </c>
      <c r="G55" s="141">
        <f>INT(INDEX(設定!$H$9:H$108,$A55,1))</f>
        <v>0</v>
      </c>
      <c r="H55" s="79" t="str">
        <f>IF(INDEX(設定!$H$9:$H$108,$A55,1)=0,"",ROUND(MOD(INDEX(設定!$H$9:$H$108,$A55,1),1)*60,0))</f>
        <v/>
      </c>
      <c r="I55" s="141">
        <f>INT(INDEX(設定!$I$9:$I$108,$A55,1))</f>
        <v>0</v>
      </c>
      <c r="J55" s="79" t="str">
        <f>IF(INDEX(設定!$I$9:$I$108,$A55,1)=0,"",ROUND(MOD(INDEX(設定!$I$9:$I$108,$A55,1),1)*60,0))</f>
        <v/>
      </c>
      <c r="K55" s="141">
        <f>INT(INDEX(設定!$J$9:$J$108,$A55,1))</f>
        <v>0</v>
      </c>
      <c r="L55" s="80" t="str">
        <f>IF(INDEX(設定!$J$9:$J$108,$A55,1)=0,"",ROUND(MOD(INDEX(設定!$J$9:$J$108,$A55,1),1)*60,0))</f>
        <v/>
      </c>
      <c r="M55" s="167"/>
      <c r="N55" s="166"/>
      <c r="P55" s="14"/>
      <c r="Q55" s="14"/>
      <c r="S55" s="91" t="str">
        <f>IF(INDEX(設定!$F$9:$F$108,$A55,1)="","",VALUE(LEFT(INDEX(設定!$F$9:$F$108,$A55,1),1)))</f>
        <v/>
      </c>
      <c r="T55" s="219" t="str">
        <f>IF(C55="","",C55)</f>
        <v/>
      </c>
      <c r="U55" s="220" t="str">
        <f>IF(D55="","",IF(D55="1：男",1,IF(D55="2：女",2)))</f>
        <v/>
      </c>
      <c r="V55" s="221" t="str">
        <f>IF(E55="","",E55)</f>
        <v/>
      </c>
      <c r="W55" s="349" t="str">
        <f t="shared" ref="W55" si="71">IF(AND(G55="",H55="",G56=""),"",ROUND(SUM(G55,H55/60)*G56,1))</f>
        <v/>
      </c>
      <c r="X55" s="350" t="str">
        <f t="shared" ref="X55" si="72">IF(AND(I55="",J55="",I56=""),"",ROUND(SUM(I55,J55/60)*I56,1))</f>
        <v/>
      </c>
      <c r="Y55" s="351" t="str">
        <f t="shared" ref="Y55" si="73">IF(AND(K55="",L55="",K56=""),"",ROUND(SUM(K55,L55/60)*K56,1))</f>
        <v/>
      </c>
      <c r="Z55" s="200"/>
      <c r="AA55" s="201"/>
      <c r="AB55" s="238"/>
      <c r="AC55" s="217"/>
      <c r="AD55" s="217"/>
      <c r="AE55" s="217"/>
      <c r="AF55" s="217"/>
      <c r="AG55" s="217"/>
      <c r="AH55" s="217"/>
      <c r="AI55" s="217"/>
      <c r="AJ55" s="217"/>
      <c r="AK55" s="217"/>
      <c r="AL55" s="217"/>
      <c r="AM55" s="217"/>
      <c r="AN55" s="217"/>
      <c r="AO55" s="217"/>
      <c r="AP55" s="217"/>
      <c r="AQ55" s="217"/>
      <c r="AR55" s="217"/>
      <c r="AS55" s="217"/>
      <c r="AT55" s="238"/>
      <c r="AU55" s="238"/>
      <c r="AV55" s="238"/>
      <c r="AW55" s="238"/>
      <c r="AX55" s="238"/>
      <c r="AY55" s="238"/>
      <c r="AZ55" s="238"/>
      <c r="BA55" s="238"/>
      <c r="BB55" s="238"/>
      <c r="BC55" s="217"/>
      <c r="BD55" s="217"/>
      <c r="BE55" s="217"/>
      <c r="BF55" s="217"/>
    </row>
    <row r="56" spans="1:58" s="30" customFormat="1" ht="29.25" customHeight="1" thickBot="1" x14ac:dyDescent="0.25">
      <c r="A56" s="142"/>
      <c r="B56" s="29"/>
      <c r="C56" s="82"/>
      <c r="D56" s="83"/>
      <c r="E56" s="84"/>
      <c r="F56" s="85"/>
      <c r="G56" s="86" t="str">
        <f>IF(SUM(G55:H55)&gt;0,1,"")</f>
        <v/>
      </c>
      <c r="H56" s="87"/>
      <c r="I56" s="86" t="str">
        <f>IF(SUM(I55:J55)&gt;0,1,"")</f>
        <v/>
      </c>
      <c r="J56" s="87"/>
      <c r="K56" s="86" t="str">
        <f>IF(SUM(K55:L55)&gt;0,1,"")</f>
        <v/>
      </c>
      <c r="L56" s="88"/>
      <c r="M56" s="168"/>
      <c r="N56" s="97"/>
      <c r="P56" s="14"/>
      <c r="Q56" s="14"/>
      <c r="S56" s="89"/>
      <c r="T56" s="194"/>
      <c r="U56" s="195"/>
      <c r="V56" s="196"/>
      <c r="W56" s="200"/>
      <c r="X56" s="340"/>
      <c r="Y56" s="341"/>
      <c r="Z56" s="200"/>
      <c r="AA56" s="201"/>
      <c r="AB56" s="238"/>
      <c r="AC56" s="217"/>
      <c r="AD56" s="217"/>
      <c r="AE56" s="217"/>
      <c r="AF56" s="217"/>
      <c r="AG56" s="217"/>
      <c r="AH56" s="217"/>
      <c r="AI56" s="217"/>
      <c r="AJ56" s="217"/>
      <c r="AK56" s="217"/>
      <c r="AL56" s="217"/>
      <c r="AM56" s="217"/>
      <c r="AN56" s="217"/>
      <c r="AO56" s="217"/>
      <c r="AP56" s="217"/>
      <c r="AQ56" s="217"/>
      <c r="AR56" s="217"/>
      <c r="AS56" s="217"/>
      <c r="AT56" s="238"/>
      <c r="AU56" s="238"/>
      <c r="AV56" s="238"/>
      <c r="AW56" s="238"/>
      <c r="AX56" s="238"/>
      <c r="AY56" s="238"/>
      <c r="AZ56" s="238"/>
      <c r="BA56" s="238"/>
      <c r="BB56" s="238"/>
      <c r="BC56" s="217"/>
      <c r="BD56" s="217"/>
      <c r="BE56" s="217"/>
      <c r="BF56" s="217"/>
    </row>
    <row r="57" spans="1:58" s="30" customFormat="1" ht="29.25" customHeight="1" thickTop="1" x14ac:dyDescent="0.2">
      <c r="A57" s="142">
        <f>ROUND((ROW()-10)/2,0)</f>
        <v>24</v>
      </c>
      <c r="B57" s="29"/>
      <c r="C57" s="90" t="str">
        <f>IF(INDEX(設定!$C$9:$C$108,$A57,1)="","",INDEX(設定!$C$9:$C$108,$A57,1))</f>
        <v/>
      </c>
      <c r="D57" s="76" t="str">
        <f>IF(INDEX(設定!$D$9:$D$108,$A57,1)="","",INDEX(設定!$D$9:$D$108,$A57,1))</f>
        <v/>
      </c>
      <c r="E57" s="77" t="str">
        <f>IF(INDEX(設定!$E$9:$E$108,$A57,1)="","",INDEX(設定!$E$9:$E$108,$A57,1))</f>
        <v/>
      </c>
      <c r="F57" s="78" t="str">
        <f>IF(S57="","",IF(S57=1,"1：家族",IF(AND(S57&gt;=2,S57&lt;=5),"2：雇用","")))</f>
        <v/>
      </c>
      <c r="G57" s="141">
        <f>INT(INDEX(設定!$H$9:H$108,$A57,1))</f>
        <v>0</v>
      </c>
      <c r="H57" s="79" t="str">
        <f>IF(INDEX(設定!$H$9:$H$108,$A57,1)=0,"",ROUND(MOD(INDEX(設定!$H$9:$H$108,$A57,1),1)*60,0))</f>
        <v/>
      </c>
      <c r="I57" s="141">
        <f>INT(INDEX(設定!$I$9:$I$108,$A57,1))</f>
        <v>0</v>
      </c>
      <c r="J57" s="79" t="str">
        <f>IF(INDEX(設定!$I$9:$I$108,$A57,1)=0,"",ROUND(MOD(INDEX(設定!$I$9:$I$108,$A57,1),1)*60,0))</f>
        <v/>
      </c>
      <c r="K57" s="141">
        <f>INT(INDEX(設定!$J$9:$J$108,$A57,1))</f>
        <v>0</v>
      </c>
      <c r="L57" s="80" t="str">
        <f>IF(INDEX(設定!$J$9:$J$108,$A57,1)=0,"",ROUND(MOD(INDEX(設定!$J$9:$J$108,$A57,1),1)*60,0))</f>
        <v/>
      </c>
      <c r="M57" s="167"/>
      <c r="N57" s="166"/>
      <c r="P57" s="14"/>
      <c r="Q57" s="14"/>
      <c r="S57" s="91" t="str">
        <f>IF(INDEX(設定!$F$9:$F$108,$A57,1)="","",VALUE(LEFT(INDEX(設定!$F$9:$F$108,$A57,1),1)))</f>
        <v/>
      </c>
      <c r="T57" s="219" t="str">
        <f>IF(C57="","",C57)</f>
        <v/>
      </c>
      <c r="U57" s="220" t="str">
        <f>IF(D57="","",IF(D57="1：男",1,IF(D57="2：女",2)))</f>
        <v/>
      </c>
      <c r="V57" s="221" t="str">
        <f>IF(E57="","",E57)</f>
        <v/>
      </c>
      <c r="W57" s="349" t="str">
        <f t="shared" ref="W57" si="74">IF(AND(G57="",H57="",G58=""),"",ROUND(SUM(G57,H57/60)*G58,1))</f>
        <v/>
      </c>
      <c r="X57" s="350" t="str">
        <f t="shared" ref="X57" si="75">IF(AND(I57="",J57="",I58=""),"",ROUND(SUM(I57,J57/60)*I58,1))</f>
        <v/>
      </c>
      <c r="Y57" s="351" t="str">
        <f t="shared" ref="Y57" si="76">IF(AND(K57="",L57="",K58=""),"",ROUND(SUM(K57,L57/60)*K58,1))</f>
        <v/>
      </c>
      <c r="Z57" s="200"/>
      <c r="AA57" s="201"/>
      <c r="AB57" s="238"/>
      <c r="AC57" s="217"/>
      <c r="AD57" s="217"/>
      <c r="AE57" s="217"/>
      <c r="AF57" s="217"/>
      <c r="AG57" s="217"/>
      <c r="AH57" s="217"/>
      <c r="AI57" s="217"/>
      <c r="AJ57" s="217"/>
      <c r="AK57" s="217"/>
      <c r="AL57" s="217"/>
      <c r="AM57" s="217"/>
      <c r="AN57" s="217"/>
      <c r="AO57" s="217"/>
      <c r="AP57" s="217"/>
      <c r="AQ57" s="217"/>
      <c r="AR57" s="217"/>
      <c r="AS57" s="217"/>
      <c r="AT57" s="238"/>
      <c r="AU57" s="238"/>
      <c r="AV57" s="238"/>
      <c r="AW57" s="238"/>
      <c r="AX57" s="238"/>
      <c r="AY57" s="238"/>
      <c r="AZ57" s="238"/>
      <c r="BA57" s="238"/>
      <c r="BB57" s="238"/>
      <c r="BC57" s="217"/>
      <c r="BD57" s="217"/>
      <c r="BE57" s="217"/>
      <c r="BF57" s="217"/>
    </row>
    <row r="58" spans="1:58" s="30" customFormat="1" ht="29.25" customHeight="1" thickBot="1" x14ac:dyDescent="0.25">
      <c r="A58" s="142"/>
      <c r="B58" s="29"/>
      <c r="C58" s="82"/>
      <c r="D58" s="83"/>
      <c r="E58" s="84"/>
      <c r="F58" s="85"/>
      <c r="G58" s="86" t="str">
        <f>IF(SUM(G57:H57)&gt;0,1,"")</f>
        <v/>
      </c>
      <c r="H58" s="87"/>
      <c r="I58" s="86" t="str">
        <f>IF(SUM(I57:J57)&gt;0,1,"")</f>
        <v/>
      </c>
      <c r="J58" s="87"/>
      <c r="K58" s="86" t="str">
        <f>IF(SUM(K57:L57)&gt;0,1,"")</f>
        <v/>
      </c>
      <c r="L58" s="88"/>
      <c r="M58" s="168"/>
      <c r="N58" s="97"/>
      <c r="P58" s="14"/>
      <c r="Q58" s="14"/>
      <c r="S58" s="89"/>
      <c r="T58" s="194"/>
      <c r="U58" s="195"/>
      <c r="V58" s="196"/>
      <c r="W58" s="200"/>
      <c r="X58" s="340"/>
      <c r="Y58" s="341"/>
      <c r="Z58" s="200"/>
      <c r="AA58" s="201"/>
      <c r="AB58" s="238"/>
      <c r="AC58" s="217"/>
      <c r="AD58" s="217"/>
      <c r="AE58" s="217"/>
      <c r="AF58" s="217"/>
      <c r="AG58" s="217"/>
      <c r="AH58" s="217"/>
      <c r="AI58" s="217"/>
      <c r="AJ58" s="217"/>
      <c r="AK58" s="217"/>
      <c r="AL58" s="217"/>
      <c r="AM58" s="217"/>
      <c r="AN58" s="217"/>
      <c r="AO58" s="217"/>
      <c r="AP58" s="217"/>
      <c r="AQ58" s="217"/>
      <c r="AR58" s="217"/>
      <c r="AS58" s="217"/>
      <c r="AT58" s="238"/>
      <c r="AU58" s="238"/>
      <c r="AV58" s="238"/>
      <c r="AW58" s="238"/>
      <c r="AX58" s="238"/>
      <c r="AY58" s="238"/>
      <c r="AZ58" s="238"/>
      <c r="BA58" s="238"/>
      <c r="BB58" s="238"/>
      <c r="BC58" s="217"/>
      <c r="BD58" s="217"/>
      <c r="BE58" s="217"/>
      <c r="BF58" s="217"/>
    </row>
    <row r="59" spans="1:58" s="30" customFormat="1" ht="29.25" customHeight="1" thickTop="1" x14ac:dyDescent="0.2">
      <c r="A59" s="142">
        <f>ROUND((ROW()-10)/2,0)</f>
        <v>25</v>
      </c>
      <c r="B59" s="29"/>
      <c r="C59" s="90" t="str">
        <f>IF(INDEX(設定!$C$9:$C$108,$A59,1)="","",INDEX(設定!$C$9:$C$108,$A59,1))</f>
        <v/>
      </c>
      <c r="D59" s="76" t="str">
        <f>IF(INDEX(設定!$D$9:$D$108,$A59,1)="","",INDEX(設定!$D$9:$D$108,$A59,1))</f>
        <v/>
      </c>
      <c r="E59" s="77" t="str">
        <f>IF(INDEX(設定!$E$9:$E$108,$A59,1)="","",INDEX(設定!$E$9:$E$108,$A59,1))</f>
        <v/>
      </c>
      <c r="F59" s="78" t="str">
        <f>IF(S59="","",IF(S59=1,"1：家族",IF(AND(S59&gt;=2,S59&lt;=5),"2：雇用","")))</f>
        <v/>
      </c>
      <c r="G59" s="141">
        <f>INT(INDEX(設定!$H$9:H$108,$A59,1))</f>
        <v>0</v>
      </c>
      <c r="H59" s="79" t="str">
        <f>IF(INDEX(設定!$H$9:$H$108,$A59,1)=0,"",ROUND(MOD(INDEX(設定!$H$9:$H$108,$A59,1),1)*60,0))</f>
        <v/>
      </c>
      <c r="I59" s="141">
        <f>INT(INDEX(設定!$I$9:$I$108,$A59,1))</f>
        <v>0</v>
      </c>
      <c r="J59" s="79" t="str">
        <f>IF(INDEX(設定!$I$9:$I$108,$A59,1)=0,"",ROUND(MOD(INDEX(設定!$I$9:$I$108,$A59,1),1)*60,0))</f>
        <v/>
      </c>
      <c r="K59" s="141">
        <f>INT(INDEX(設定!$J$9:$J$108,$A59,1))</f>
        <v>0</v>
      </c>
      <c r="L59" s="80" t="str">
        <f>IF(INDEX(設定!$J$9:$J$108,$A59,1)=0,"",ROUND(MOD(INDEX(設定!$J$9:$J$108,$A59,1),1)*60,0))</f>
        <v/>
      </c>
      <c r="M59" s="167"/>
      <c r="N59" s="166"/>
      <c r="P59" s="14"/>
      <c r="Q59" s="14"/>
      <c r="S59" s="91" t="str">
        <f>IF(INDEX(設定!$F$9:$F$108,$A59,1)="","",VALUE(LEFT(INDEX(設定!$F$9:$F$108,$A59,1),1)))</f>
        <v/>
      </c>
      <c r="T59" s="219" t="str">
        <f>IF(C59="","",C59)</f>
        <v/>
      </c>
      <c r="U59" s="220" t="str">
        <f>IF(D59="","",IF(D59="1：男",1,IF(D59="2：女",2)))</f>
        <v/>
      </c>
      <c r="V59" s="221" t="str">
        <f>IF(E59="","",E59)</f>
        <v/>
      </c>
      <c r="W59" s="349" t="str">
        <f t="shared" ref="W59" si="77">IF(AND(G59="",H59="",G60=""),"",ROUND(SUM(G59,H59/60)*G60,1))</f>
        <v/>
      </c>
      <c r="X59" s="350" t="str">
        <f t="shared" ref="X59" si="78">IF(AND(I59="",J59="",I60=""),"",ROUND(SUM(I59,J59/60)*I60,1))</f>
        <v/>
      </c>
      <c r="Y59" s="351" t="str">
        <f t="shared" ref="Y59" si="79">IF(AND(K59="",L59="",K60=""),"",ROUND(SUM(K59,L59/60)*K60,1))</f>
        <v/>
      </c>
      <c r="Z59" s="200"/>
      <c r="AA59" s="201"/>
      <c r="AB59" s="238"/>
      <c r="AC59" s="217"/>
      <c r="AD59" s="217"/>
      <c r="AE59" s="217"/>
      <c r="AF59" s="217"/>
      <c r="AG59" s="217"/>
      <c r="AH59" s="217"/>
      <c r="AI59" s="217"/>
      <c r="AJ59" s="217"/>
      <c r="AK59" s="217"/>
      <c r="AL59" s="217"/>
      <c r="AM59" s="217"/>
      <c r="AN59" s="217"/>
      <c r="AO59" s="217"/>
      <c r="AP59" s="217"/>
      <c r="AQ59" s="217"/>
      <c r="AR59" s="217"/>
      <c r="AS59" s="217"/>
      <c r="AT59" s="238"/>
      <c r="AU59" s="238"/>
      <c r="AV59" s="238"/>
      <c r="AW59" s="238"/>
      <c r="AX59" s="238"/>
      <c r="AY59" s="238"/>
      <c r="AZ59" s="238"/>
      <c r="BA59" s="238"/>
      <c r="BB59" s="238"/>
      <c r="BC59" s="217"/>
      <c r="BD59" s="217"/>
      <c r="BE59" s="217"/>
      <c r="BF59" s="217"/>
    </row>
    <row r="60" spans="1:58" s="30" customFormat="1" ht="29.25" customHeight="1" thickBot="1" x14ac:dyDescent="0.25">
      <c r="A60" s="142"/>
      <c r="B60" s="29"/>
      <c r="C60" s="82"/>
      <c r="D60" s="83"/>
      <c r="E60" s="84"/>
      <c r="F60" s="85"/>
      <c r="G60" s="86" t="str">
        <f>IF(SUM(G59:H59)&gt;0,1,"")</f>
        <v/>
      </c>
      <c r="H60" s="87"/>
      <c r="I60" s="86" t="str">
        <f>IF(SUM(I59:J59)&gt;0,1,"")</f>
        <v/>
      </c>
      <c r="J60" s="87"/>
      <c r="K60" s="86" t="str">
        <f>IF(SUM(K59:L59)&gt;0,1,"")</f>
        <v/>
      </c>
      <c r="L60" s="88"/>
      <c r="M60" s="168"/>
      <c r="N60" s="97"/>
      <c r="P60" s="14"/>
      <c r="Q60" s="14"/>
      <c r="S60" s="89"/>
      <c r="T60" s="194"/>
      <c r="U60" s="195"/>
      <c r="V60" s="196"/>
      <c r="W60" s="200"/>
      <c r="X60" s="340"/>
      <c r="Y60" s="341"/>
      <c r="Z60" s="200"/>
      <c r="AA60" s="201"/>
      <c r="AB60" s="238"/>
      <c r="AC60" s="217"/>
      <c r="AD60" s="217"/>
      <c r="AE60" s="217"/>
      <c r="AF60" s="217"/>
      <c r="AG60" s="217"/>
      <c r="AH60" s="217"/>
      <c r="AI60" s="217"/>
      <c r="AJ60" s="217"/>
      <c r="AK60" s="217"/>
      <c r="AL60" s="217"/>
      <c r="AM60" s="217"/>
      <c r="AN60" s="217"/>
      <c r="AO60" s="217"/>
      <c r="AP60" s="217"/>
      <c r="AQ60" s="217"/>
      <c r="AR60" s="217"/>
      <c r="AS60" s="217"/>
      <c r="AT60" s="238"/>
      <c r="AU60" s="238"/>
      <c r="AV60" s="238"/>
      <c r="AW60" s="238"/>
      <c r="AX60" s="238"/>
      <c r="AY60" s="238"/>
      <c r="AZ60" s="238"/>
      <c r="BA60" s="238"/>
      <c r="BB60" s="238"/>
      <c r="BC60" s="217"/>
      <c r="BD60" s="217"/>
      <c r="BE60" s="217"/>
      <c r="BF60" s="217"/>
    </row>
    <row r="61" spans="1:58" s="30" customFormat="1" ht="29.25" customHeight="1" thickTop="1" x14ac:dyDescent="0.2">
      <c r="A61" s="142">
        <f>ROUND((ROW()-10)/2,0)</f>
        <v>26</v>
      </c>
      <c r="B61" s="29"/>
      <c r="C61" s="90" t="str">
        <f>IF(INDEX(設定!$C$9:$C$108,$A61,1)="","",INDEX(設定!$C$9:$C$108,$A61,1))</f>
        <v/>
      </c>
      <c r="D61" s="76" t="str">
        <f>IF(INDEX(設定!$D$9:$D$108,$A61,1)="","",INDEX(設定!$D$9:$D$108,$A61,1))</f>
        <v/>
      </c>
      <c r="E61" s="77" t="str">
        <f>IF(INDEX(設定!$E$9:$E$108,$A61,1)="","",INDEX(設定!$E$9:$E$108,$A61,1))</f>
        <v/>
      </c>
      <c r="F61" s="78" t="str">
        <f>IF(S61="","",IF(S61=1,"1：家族",IF(AND(S61&gt;=2,S61&lt;=5),"2：雇用","")))</f>
        <v/>
      </c>
      <c r="G61" s="141">
        <f>INT(INDEX(設定!$H$9:H$108,$A61,1))</f>
        <v>0</v>
      </c>
      <c r="H61" s="79" t="str">
        <f>IF(INDEX(設定!$H$9:$H$108,$A61,1)=0,"",ROUND(MOD(INDEX(設定!$H$9:$H$108,$A61,1),1)*60,0))</f>
        <v/>
      </c>
      <c r="I61" s="141">
        <f>INT(INDEX(設定!$I$9:$I$108,$A61,1))</f>
        <v>0</v>
      </c>
      <c r="J61" s="79" t="str">
        <f>IF(INDEX(設定!$I$9:$I$108,$A61,1)=0,"",ROUND(MOD(INDEX(設定!$I$9:$I$108,$A61,1),1)*60,0))</f>
        <v/>
      </c>
      <c r="K61" s="141">
        <f>INT(INDEX(設定!$J$9:$J$108,$A61,1))</f>
        <v>0</v>
      </c>
      <c r="L61" s="80" t="str">
        <f>IF(INDEX(設定!$J$9:$J$108,$A61,1)=0,"",ROUND(MOD(INDEX(設定!$J$9:$J$108,$A61,1),1)*60,0))</f>
        <v/>
      </c>
      <c r="M61" s="167"/>
      <c r="N61" s="166"/>
      <c r="P61" s="14"/>
      <c r="Q61" s="14"/>
      <c r="S61" s="91" t="str">
        <f>IF(INDEX(設定!$F$9:$F$108,$A61,1)="","",VALUE(LEFT(INDEX(設定!$F$9:$F$108,$A61,1),1)))</f>
        <v/>
      </c>
      <c r="T61" s="219" t="str">
        <f>IF(C61="","",C61)</f>
        <v/>
      </c>
      <c r="U61" s="220" t="str">
        <f>IF(D61="","",IF(D61="1：男",1,IF(D61="2：女",2)))</f>
        <v/>
      </c>
      <c r="V61" s="221" t="str">
        <f>IF(E61="","",E61)</f>
        <v/>
      </c>
      <c r="W61" s="349" t="str">
        <f t="shared" ref="W61" si="80">IF(AND(G61="",H61="",G62=""),"",ROUND(SUM(G61,H61/60)*G62,1))</f>
        <v/>
      </c>
      <c r="X61" s="350" t="str">
        <f t="shared" ref="X61" si="81">IF(AND(I61="",J61="",I62=""),"",ROUND(SUM(I61,J61/60)*I62,1))</f>
        <v/>
      </c>
      <c r="Y61" s="351" t="str">
        <f t="shared" ref="Y61" si="82">IF(AND(K61="",L61="",K62=""),"",ROUND(SUM(K61,L61/60)*K62,1))</f>
        <v/>
      </c>
      <c r="Z61" s="200"/>
      <c r="AA61" s="201"/>
      <c r="AB61" s="238"/>
      <c r="AC61" s="217"/>
      <c r="AD61" s="217"/>
      <c r="AE61" s="217"/>
      <c r="AF61" s="217"/>
      <c r="AG61" s="217"/>
      <c r="AH61" s="217"/>
      <c r="AI61" s="217"/>
      <c r="AJ61" s="217"/>
      <c r="AK61" s="217"/>
      <c r="AL61" s="217"/>
      <c r="AM61" s="217"/>
      <c r="AN61" s="217"/>
      <c r="AO61" s="217"/>
      <c r="AP61" s="217"/>
      <c r="AQ61" s="217"/>
      <c r="AR61" s="217"/>
      <c r="AS61" s="217"/>
      <c r="AT61" s="238"/>
      <c r="AU61" s="238"/>
      <c r="AV61" s="238"/>
      <c r="AW61" s="238"/>
      <c r="AX61" s="238"/>
      <c r="AY61" s="238"/>
      <c r="AZ61" s="238"/>
      <c r="BA61" s="238"/>
      <c r="BB61" s="238"/>
      <c r="BC61" s="217"/>
      <c r="BD61" s="217"/>
      <c r="BE61" s="217"/>
      <c r="BF61" s="217"/>
    </row>
    <row r="62" spans="1:58" s="30" customFormat="1" ht="29.25" customHeight="1" thickBot="1" x14ac:dyDescent="0.25">
      <c r="A62" s="142"/>
      <c r="B62" s="29"/>
      <c r="C62" s="82"/>
      <c r="D62" s="83"/>
      <c r="E62" s="84"/>
      <c r="F62" s="85"/>
      <c r="G62" s="86" t="str">
        <f>IF(SUM(G61:H61)&gt;0,1,"")</f>
        <v/>
      </c>
      <c r="H62" s="87"/>
      <c r="I62" s="86" t="str">
        <f>IF(SUM(I61:J61)&gt;0,1,"")</f>
        <v/>
      </c>
      <c r="J62" s="87"/>
      <c r="K62" s="86" t="str">
        <f>IF(SUM(K61:L61)&gt;0,1,"")</f>
        <v/>
      </c>
      <c r="L62" s="88"/>
      <c r="M62" s="168"/>
      <c r="N62" s="97"/>
      <c r="P62" s="14"/>
      <c r="Q62" s="14"/>
      <c r="S62" s="89"/>
      <c r="T62" s="194"/>
      <c r="U62" s="195"/>
      <c r="V62" s="196"/>
      <c r="W62" s="200"/>
      <c r="X62" s="340"/>
      <c r="Y62" s="341"/>
      <c r="Z62" s="200"/>
      <c r="AA62" s="201"/>
      <c r="AB62" s="238"/>
      <c r="AC62" s="217"/>
      <c r="AD62" s="217"/>
      <c r="AE62" s="217"/>
      <c r="AF62" s="217"/>
      <c r="AG62" s="217"/>
      <c r="AH62" s="217"/>
      <c r="AI62" s="217"/>
      <c r="AJ62" s="217"/>
      <c r="AK62" s="217"/>
      <c r="AL62" s="217"/>
      <c r="AM62" s="217"/>
      <c r="AN62" s="217"/>
      <c r="AO62" s="217"/>
      <c r="AP62" s="217"/>
      <c r="AQ62" s="217"/>
      <c r="AR62" s="217"/>
      <c r="AS62" s="217"/>
      <c r="AT62" s="238"/>
      <c r="AU62" s="238"/>
      <c r="AV62" s="238"/>
      <c r="AW62" s="238"/>
      <c r="AX62" s="238"/>
      <c r="AY62" s="238"/>
      <c r="AZ62" s="238"/>
      <c r="BA62" s="238"/>
      <c r="BB62" s="238"/>
      <c r="BC62" s="217"/>
      <c r="BD62" s="217"/>
      <c r="BE62" s="217"/>
      <c r="BF62" s="217"/>
    </row>
    <row r="63" spans="1:58" ht="29.25" customHeight="1" thickTop="1" x14ac:dyDescent="0.2">
      <c r="A63" s="142">
        <f>ROUND((ROW()-10)/2,0)</f>
        <v>27</v>
      </c>
      <c r="B63" s="29"/>
      <c r="C63" s="90" t="str">
        <f>IF(INDEX(設定!$C$9:$C$108,$A63,1)="","",INDEX(設定!$C$9:$C$108,$A63,1))</f>
        <v/>
      </c>
      <c r="D63" s="76" t="str">
        <f>IF(INDEX(設定!$D$9:$D$108,$A63,1)="","",INDEX(設定!$D$9:$D$108,$A63,1))</f>
        <v/>
      </c>
      <c r="E63" s="77" t="str">
        <f>IF(INDEX(設定!$E$9:$E$108,$A63,1)="","",INDEX(設定!$E$9:$E$108,$A63,1))</f>
        <v/>
      </c>
      <c r="F63" s="78" t="str">
        <f>IF(S63="","",IF(S63=1,"1：家族",IF(AND(S63&gt;=2,S63&lt;=5),"2：雇用","")))</f>
        <v/>
      </c>
      <c r="G63" s="141">
        <f>INT(INDEX(設定!$H$9:H$108,$A63,1))</f>
        <v>0</v>
      </c>
      <c r="H63" s="79" t="str">
        <f>IF(INDEX(設定!$H$9:$H$108,$A63,1)=0,"",ROUND(MOD(INDEX(設定!$H$9:$H$108,$A63,1),1)*60,0))</f>
        <v/>
      </c>
      <c r="I63" s="141">
        <f>INT(INDEX(設定!$I$9:$I$108,$A63,1))</f>
        <v>0</v>
      </c>
      <c r="J63" s="79" t="str">
        <f>IF(INDEX(設定!$I$9:$I$108,$A63,1)=0,"",ROUND(MOD(INDEX(設定!$I$9:$I$108,$A63,1),1)*60,0))</f>
        <v/>
      </c>
      <c r="K63" s="141">
        <f>INT(INDEX(設定!$J$9:$J$108,$A63,1))</f>
        <v>0</v>
      </c>
      <c r="L63" s="80" t="str">
        <f>IF(INDEX(設定!$J$9:$J$108,$A63,1)=0,"",ROUND(MOD(INDEX(設定!$J$9:$J$108,$A63,1),1)*60,0))</f>
        <v/>
      </c>
      <c r="M63" s="167"/>
      <c r="N63" s="166"/>
      <c r="P63" s="14"/>
      <c r="Q63" s="14"/>
      <c r="S63" s="91" t="str">
        <f>IF(INDEX(設定!$F$9:$F$108,$A63,1)="","",VALUE(LEFT(INDEX(設定!$F$9:$F$108,$A63,1),1)))</f>
        <v/>
      </c>
      <c r="T63" s="219" t="str">
        <f>IF(C63="","",C63)</f>
        <v/>
      </c>
      <c r="U63" s="220" t="str">
        <f>IF(D63="","",IF(D63="1：男",1,IF(D63="2：女",2)))</f>
        <v/>
      </c>
      <c r="V63" s="221" t="str">
        <f>IF(E63="","",E63)</f>
        <v/>
      </c>
      <c r="W63" s="349" t="str">
        <f t="shared" ref="W63" si="83">IF(AND(G63="",H63="",G64=""),"",ROUND(SUM(G63,H63/60)*G64,1))</f>
        <v/>
      </c>
      <c r="X63" s="350" t="str">
        <f t="shared" ref="X63" si="84">IF(AND(I63="",J63="",I64=""),"",ROUND(SUM(I63,J63/60)*I64,1))</f>
        <v/>
      </c>
      <c r="Y63" s="351" t="str">
        <f t="shared" ref="Y63" si="85">IF(AND(K63="",L63="",K64=""),"",ROUND(SUM(K63,L63/60)*K64,1))</f>
        <v/>
      </c>
      <c r="Z63" s="200"/>
      <c r="AA63" s="201"/>
      <c r="AB63" s="238"/>
      <c r="AC63" s="217"/>
      <c r="AD63" s="217"/>
      <c r="AE63" s="217"/>
      <c r="AF63" s="217"/>
      <c r="AG63" s="217"/>
      <c r="AH63" s="217"/>
      <c r="AI63" s="217"/>
      <c r="AJ63" s="217"/>
      <c r="AK63" s="217"/>
      <c r="AL63" s="217"/>
      <c r="AM63" s="217"/>
      <c r="AN63" s="217"/>
      <c r="AO63" s="217"/>
      <c r="AP63" s="217"/>
      <c r="AQ63" s="217"/>
      <c r="AR63" s="217"/>
      <c r="AS63" s="217"/>
      <c r="AT63" s="238"/>
      <c r="AU63" s="238"/>
      <c r="AV63" s="238"/>
      <c r="AW63" s="238"/>
      <c r="AX63" s="238"/>
      <c r="AY63" s="238"/>
      <c r="AZ63" s="238"/>
      <c r="BA63" s="238"/>
      <c r="BB63" s="238"/>
      <c r="BC63" s="217"/>
      <c r="BD63" s="217"/>
      <c r="BE63" s="217"/>
      <c r="BF63" s="217"/>
    </row>
    <row r="64" spans="1:58" ht="29.25" customHeight="1" thickBot="1" x14ac:dyDescent="0.25">
      <c r="B64" s="29"/>
      <c r="C64" s="82"/>
      <c r="D64" s="83"/>
      <c r="E64" s="84"/>
      <c r="F64" s="85"/>
      <c r="G64" s="86" t="str">
        <f>IF(SUM(G63:H63)&gt;0,1,"")</f>
        <v/>
      </c>
      <c r="H64" s="87"/>
      <c r="I64" s="86" t="str">
        <f>IF(SUM(I63:J63)&gt;0,1,"")</f>
        <v/>
      </c>
      <c r="J64" s="87"/>
      <c r="K64" s="86" t="str">
        <f>IF(SUM(K63:L63)&gt;0,1,"")</f>
        <v/>
      </c>
      <c r="L64" s="88"/>
      <c r="M64" s="168"/>
      <c r="N64" s="97"/>
      <c r="P64" s="14"/>
      <c r="Q64" s="14"/>
      <c r="S64" s="89"/>
      <c r="T64" s="194"/>
      <c r="U64" s="195"/>
      <c r="V64" s="196"/>
      <c r="W64" s="200"/>
      <c r="X64" s="340"/>
      <c r="Y64" s="341"/>
      <c r="Z64" s="200"/>
      <c r="AA64" s="201"/>
      <c r="AB64" s="238"/>
      <c r="AC64" s="217"/>
      <c r="AD64" s="217"/>
      <c r="AE64" s="217"/>
      <c r="AF64" s="217"/>
      <c r="AG64" s="217"/>
      <c r="AH64" s="217"/>
      <c r="AI64" s="217"/>
      <c r="AJ64" s="217"/>
      <c r="AK64" s="217"/>
      <c r="AL64" s="217"/>
      <c r="AM64" s="217"/>
      <c r="AN64" s="217"/>
      <c r="AO64" s="217"/>
      <c r="AP64" s="217"/>
      <c r="AQ64" s="217"/>
      <c r="AR64" s="217"/>
      <c r="AS64" s="217"/>
      <c r="AT64" s="238"/>
      <c r="AU64" s="238"/>
      <c r="AV64" s="238"/>
      <c r="AW64" s="238"/>
      <c r="AX64" s="238"/>
      <c r="AY64" s="238"/>
      <c r="AZ64" s="238"/>
      <c r="BA64" s="238"/>
      <c r="BB64" s="238"/>
      <c r="BC64" s="217"/>
      <c r="BD64" s="217"/>
      <c r="BE64" s="217"/>
      <c r="BF64" s="217"/>
    </row>
    <row r="65" spans="1:58" ht="29.25" customHeight="1" thickTop="1" x14ac:dyDescent="0.2">
      <c r="A65" s="142">
        <f>ROUND((ROW()-10)/2,0)</f>
        <v>28</v>
      </c>
      <c r="B65" s="29"/>
      <c r="C65" s="90" t="str">
        <f>IF(INDEX(設定!$C$9:$C$108,$A65,1)="","",INDEX(設定!$C$9:$C$108,$A65,1))</f>
        <v/>
      </c>
      <c r="D65" s="76" t="str">
        <f>IF(INDEX(設定!$D$9:$D$108,$A65,1)="","",INDEX(設定!$D$9:$D$108,$A65,1))</f>
        <v/>
      </c>
      <c r="E65" s="77" t="str">
        <f>IF(INDEX(設定!$E$9:$E$108,$A65,1)="","",INDEX(設定!$E$9:$E$108,$A65,1))</f>
        <v/>
      </c>
      <c r="F65" s="78" t="str">
        <f>IF(S65="","",IF(S65=1,"1：家族",IF(AND(S65&gt;=2,S65&lt;=5),"2：雇用","")))</f>
        <v/>
      </c>
      <c r="G65" s="141">
        <f>INT(INDEX(設定!$H$9:H$108,$A65,1))</f>
        <v>0</v>
      </c>
      <c r="H65" s="79" t="str">
        <f>IF(INDEX(設定!$H$9:$H$108,$A65,1)=0,"",ROUND(MOD(INDEX(設定!$H$9:$H$108,$A65,1),1)*60,0))</f>
        <v/>
      </c>
      <c r="I65" s="141">
        <f>INT(INDEX(設定!$I$9:$I$108,$A65,1))</f>
        <v>0</v>
      </c>
      <c r="J65" s="79" t="str">
        <f>IF(INDEX(設定!$I$9:$I$108,$A65,1)=0,"",ROUND(MOD(INDEX(設定!$I$9:$I$108,$A65,1),1)*60,0))</f>
        <v/>
      </c>
      <c r="K65" s="141">
        <f>INT(INDEX(設定!$J$9:$J$108,$A65,1))</f>
        <v>0</v>
      </c>
      <c r="L65" s="80" t="str">
        <f>IF(INDEX(設定!$J$9:$J$108,$A65,1)=0,"",ROUND(MOD(INDEX(設定!$J$9:$J$108,$A65,1),1)*60,0))</f>
        <v/>
      </c>
      <c r="M65" s="167"/>
      <c r="N65" s="166"/>
      <c r="P65" s="14"/>
      <c r="Q65" s="14"/>
      <c r="S65" s="91" t="str">
        <f>IF(INDEX(設定!$F$9:$F$108,$A65,1)="","",VALUE(LEFT(INDEX(設定!$F$9:$F$108,$A65,1),1)))</f>
        <v/>
      </c>
      <c r="T65" s="219" t="str">
        <f>IF(C65="","",C65)</f>
        <v/>
      </c>
      <c r="U65" s="220" t="str">
        <f>IF(D65="","",IF(D65="1：男",1,IF(D65="2：女",2)))</f>
        <v/>
      </c>
      <c r="V65" s="221" t="str">
        <f>IF(E65="","",E65)</f>
        <v/>
      </c>
      <c r="W65" s="349" t="str">
        <f t="shared" ref="W65" si="86">IF(AND(G65="",H65="",G66=""),"",ROUND(SUM(G65,H65/60)*G66,1))</f>
        <v/>
      </c>
      <c r="X65" s="350" t="str">
        <f t="shared" ref="X65" si="87">IF(AND(I65="",J65="",I66=""),"",ROUND(SUM(I65,J65/60)*I66,1))</f>
        <v/>
      </c>
      <c r="Y65" s="351" t="str">
        <f t="shared" ref="Y65" si="88">IF(AND(K65="",L65="",K66=""),"",ROUND(SUM(K65,L65/60)*K66,1))</f>
        <v/>
      </c>
      <c r="Z65" s="200"/>
      <c r="AA65" s="201"/>
      <c r="AB65" s="238"/>
      <c r="AC65" s="217"/>
      <c r="AD65" s="217"/>
      <c r="AE65" s="217"/>
      <c r="AF65" s="217"/>
      <c r="AG65" s="217"/>
      <c r="AH65" s="217"/>
      <c r="AI65" s="217"/>
      <c r="AJ65" s="217"/>
      <c r="AK65" s="217"/>
      <c r="AL65" s="217"/>
      <c r="AM65" s="217"/>
      <c r="AN65" s="217"/>
      <c r="AO65" s="217"/>
      <c r="AP65" s="217"/>
      <c r="AQ65" s="217"/>
      <c r="AR65" s="217"/>
      <c r="AS65" s="217"/>
      <c r="AT65" s="238"/>
      <c r="AU65" s="238"/>
      <c r="AV65" s="238"/>
      <c r="AW65" s="238"/>
      <c r="AX65" s="238"/>
      <c r="AY65" s="238"/>
      <c r="AZ65" s="238"/>
      <c r="BA65" s="238"/>
      <c r="BB65" s="238"/>
      <c r="BC65" s="217"/>
      <c r="BD65" s="217"/>
      <c r="BE65" s="217"/>
      <c r="BF65" s="217"/>
    </row>
    <row r="66" spans="1:58" ht="29.25" customHeight="1" thickBot="1" x14ac:dyDescent="0.25">
      <c r="B66" s="29"/>
      <c r="C66" s="82"/>
      <c r="D66" s="83"/>
      <c r="E66" s="84"/>
      <c r="F66" s="85"/>
      <c r="G66" s="86" t="str">
        <f>IF(SUM(G65:H65)&gt;0,1,"")</f>
        <v/>
      </c>
      <c r="H66" s="87"/>
      <c r="I66" s="86" t="str">
        <f>IF(SUM(I65:J65)&gt;0,1,"")</f>
        <v/>
      </c>
      <c r="J66" s="87"/>
      <c r="K66" s="86" t="str">
        <f>IF(SUM(K65:L65)&gt;0,1,"")</f>
        <v/>
      </c>
      <c r="L66" s="88"/>
      <c r="M66" s="168"/>
      <c r="N66" s="97"/>
      <c r="P66" s="14"/>
      <c r="Q66" s="14"/>
      <c r="S66" s="89"/>
      <c r="T66" s="194"/>
      <c r="U66" s="195"/>
      <c r="V66" s="196"/>
      <c r="W66" s="200"/>
      <c r="X66" s="340"/>
      <c r="Y66" s="341"/>
      <c r="Z66" s="200"/>
      <c r="AA66" s="201"/>
      <c r="AB66" s="238"/>
      <c r="AC66" s="217"/>
      <c r="AD66" s="217"/>
      <c r="AE66" s="217"/>
      <c r="AF66" s="217"/>
      <c r="AG66" s="217"/>
      <c r="AH66" s="217"/>
      <c r="AI66" s="217"/>
      <c r="AJ66" s="217"/>
      <c r="AK66" s="217"/>
      <c r="AL66" s="217"/>
      <c r="AM66" s="217"/>
      <c r="AN66" s="217"/>
      <c r="AO66" s="217"/>
      <c r="AP66" s="217"/>
      <c r="AQ66" s="217"/>
      <c r="AR66" s="217"/>
      <c r="AS66" s="217"/>
      <c r="AT66" s="238"/>
      <c r="AU66" s="238"/>
      <c r="AV66" s="238"/>
      <c r="AW66" s="238"/>
      <c r="AX66" s="238"/>
      <c r="AY66" s="238"/>
      <c r="AZ66" s="238"/>
      <c r="BA66" s="238"/>
      <c r="BB66" s="238"/>
      <c r="BC66" s="217"/>
      <c r="BD66" s="217"/>
      <c r="BE66" s="217"/>
      <c r="BF66" s="217"/>
    </row>
    <row r="67" spans="1:58" ht="29.25" customHeight="1" thickTop="1" x14ac:dyDescent="0.2">
      <c r="A67" s="142">
        <f>ROUND((ROW()-10)/2,0)</f>
        <v>29</v>
      </c>
      <c r="B67" s="29"/>
      <c r="C67" s="90" t="str">
        <f>IF(INDEX(設定!$C$9:$C$108,$A67,1)="","",INDEX(設定!$C$9:$C$108,$A67,1))</f>
        <v/>
      </c>
      <c r="D67" s="76" t="str">
        <f>IF(INDEX(設定!$D$9:$D$108,$A67,1)="","",INDEX(設定!$D$9:$D$108,$A67,1))</f>
        <v/>
      </c>
      <c r="E67" s="77" t="str">
        <f>IF(INDEX(設定!$E$9:$E$108,$A67,1)="","",INDEX(設定!$E$9:$E$108,$A67,1))</f>
        <v/>
      </c>
      <c r="F67" s="78" t="str">
        <f>IF(S67="","",IF(S67=1,"1：家族",IF(AND(S67&gt;=2,S67&lt;=5),"2：雇用","")))</f>
        <v/>
      </c>
      <c r="G67" s="141">
        <f>INT(INDEX(設定!$H$9:H$108,$A67,1))</f>
        <v>0</v>
      </c>
      <c r="H67" s="79" t="str">
        <f>IF(INDEX(設定!$H$9:$H$108,$A67,1)=0,"",ROUND(MOD(INDEX(設定!$H$9:$H$108,$A67,1),1)*60,0))</f>
        <v/>
      </c>
      <c r="I67" s="141">
        <f>INT(INDEX(設定!$I$9:$I$108,$A67,1))</f>
        <v>0</v>
      </c>
      <c r="J67" s="79" t="str">
        <f>IF(INDEX(設定!$I$9:$I$108,$A67,1)=0,"",ROUND(MOD(INDEX(設定!$I$9:$I$108,$A67,1),1)*60,0))</f>
        <v/>
      </c>
      <c r="K67" s="141">
        <f>INT(INDEX(設定!$J$9:$J$108,$A67,1))</f>
        <v>0</v>
      </c>
      <c r="L67" s="80" t="str">
        <f>IF(INDEX(設定!$J$9:$J$108,$A67,1)=0,"",ROUND(MOD(INDEX(設定!$J$9:$J$108,$A67,1),1)*60,0))</f>
        <v/>
      </c>
      <c r="M67" s="167"/>
      <c r="N67" s="166"/>
      <c r="P67" s="14"/>
      <c r="Q67" s="14"/>
      <c r="S67" s="91" t="str">
        <f>IF(INDEX(設定!$F$9:$F$108,$A67,1)="","",VALUE(LEFT(INDEX(設定!$F$9:$F$108,$A67,1),1)))</f>
        <v/>
      </c>
      <c r="T67" s="219" t="str">
        <f>IF(C67="","",C67)</f>
        <v/>
      </c>
      <c r="U67" s="220" t="str">
        <f>IF(D67="","",IF(D67="1：男",1,IF(D67="2：女",2)))</f>
        <v/>
      </c>
      <c r="V67" s="221" t="str">
        <f>IF(E67="","",E67)</f>
        <v/>
      </c>
      <c r="W67" s="349" t="str">
        <f t="shared" ref="W67" si="89">IF(AND(G67="",H67="",G68=""),"",ROUND(SUM(G67,H67/60)*G68,1))</f>
        <v/>
      </c>
      <c r="X67" s="350" t="str">
        <f t="shared" ref="X67" si="90">IF(AND(I67="",J67="",I68=""),"",ROUND(SUM(I67,J67/60)*I68,1))</f>
        <v/>
      </c>
      <c r="Y67" s="351" t="str">
        <f t="shared" ref="Y67" si="91">IF(AND(K67="",L67="",K68=""),"",ROUND(SUM(K67,L67/60)*K68,1))</f>
        <v/>
      </c>
      <c r="Z67" s="200"/>
      <c r="AA67" s="201"/>
      <c r="AB67" s="238"/>
      <c r="AC67" s="217"/>
      <c r="AD67" s="217"/>
      <c r="AE67" s="217"/>
      <c r="AF67" s="217"/>
      <c r="AG67" s="217"/>
      <c r="AH67" s="217"/>
      <c r="AI67" s="217"/>
      <c r="AJ67" s="217"/>
      <c r="AK67" s="217"/>
      <c r="AL67" s="217"/>
      <c r="AM67" s="217"/>
      <c r="AN67" s="217"/>
      <c r="AO67" s="217"/>
      <c r="AP67" s="217"/>
      <c r="AQ67" s="217"/>
      <c r="AR67" s="217"/>
      <c r="AS67" s="217"/>
      <c r="AT67" s="238"/>
      <c r="AU67" s="238"/>
      <c r="AV67" s="238"/>
      <c r="AW67" s="238"/>
      <c r="AX67" s="238"/>
      <c r="AY67" s="238"/>
      <c r="AZ67" s="238"/>
      <c r="BA67" s="238"/>
      <c r="BB67" s="238"/>
      <c r="BC67" s="217"/>
      <c r="BD67" s="217"/>
      <c r="BE67" s="217"/>
      <c r="BF67" s="217"/>
    </row>
    <row r="68" spans="1:58" ht="29.25" customHeight="1" thickBot="1" x14ac:dyDescent="0.25">
      <c r="B68" s="29"/>
      <c r="C68" s="82"/>
      <c r="D68" s="83"/>
      <c r="E68" s="84"/>
      <c r="F68" s="85"/>
      <c r="G68" s="86" t="str">
        <f>IF(SUM(G67:H67)&gt;0,1,"")</f>
        <v/>
      </c>
      <c r="H68" s="87"/>
      <c r="I68" s="86" t="str">
        <f>IF(SUM(I67:J67)&gt;0,1,"")</f>
        <v/>
      </c>
      <c r="J68" s="87"/>
      <c r="K68" s="86" t="str">
        <f>IF(SUM(K67:L67)&gt;0,1,"")</f>
        <v/>
      </c>
      <c r="L68" s="88"/>
      <c r="M68" s="168"/>
      <c r="N68" s="97"/>
      <c r="P68" s="14"/>
      <c r="Q68" s="14"/>
      <c r="S68" s="89"/>
      <c r="T68" s="194"/>
      <c r="U68" s="195"/>
      <c r="V68" s="196"/>
      <c r="W68" s="200"/>
      <c r="X68" s="340"/>
      <c r="Y68" s="341"/>
      <c r="Z68" s="200"/>
      <c r="AA68" s="201"/>
      <c r="AB68" s="238"/>
      <c r="AC68" s="217"/>
      <c r="AD68" s="217"/>
      <c r="AE68" s="217"/>
      <c r="AF68" s="217"/>
      <c r="AG68" s="217"/>
      <c r="AH68" s="217"/>
      <c r="AI68" s="217"/>
      <c r="AJ68" s="217"/>
      <c r="AK68" s="217"/>
      <c r="AL68" s="217"/>
      <c r="AM68" s="217"/>
      <c r="AN68" s="217"/>
      <c r="AO68" s="217"/>
      <c r="AP68" s="217"/>
      <c r="AQ68" s="217"/>
      <c r="AR68" s="217"/>
      <c r="AS68" s="217"/>
      <c r="AT68" s="238"/>
      <c r="AU68" s="238"/>
      <c r="AV68" s="238"/>
      <c r="AW68" s="238"/>
      <c r="AX68" s="238"/>
      <c r="AY68" s="238"/>
      <c r="AZ68" s="238"/>
      <c r="BA68" s="238"/>
      <c r="BB68" s="238"/>
      <c r="BC68" s="217"/>
      <c r="BD68" s="217"/>
      <c r="BE68" s="217"/>
      <c r="BF68" s="217"/>
    </row>
    <row r="69" spans="1:58" ht="29.25" customHeight="1" thickTop="1" x14ac:dyDescent="0.2">
      <c r="A69" s="142">
        <f>ROUND((ROW()-10)/2,0)</f>
        <v>30</v>
      </c>
      <c r="B69" s="29"/>
      <c r="C69" s="90" t="str">
        <f>IF(INDEX(設定!$C$9:$C$108,$A69,1)="","",INDEX(設定!$C$9:$C$108,$A69,1))</f>
        <v/>
      </c>
      <c r="D69" s="146" t="str">
        <f>IF(INDEX(設定!$D$9:$D$108,$A69,1)="","",INDEX(設定!$D$9:$D$108,$A69,1))</f>
        <v/>
      </c>
      <c r="E69" s="77" t="str">
        <f>IF(INDEX(設定!$E$9:$E$108,$A69,1)="","",INDEX(設定!$E$9:$E$108,$A69,1))</f>
        <v/>
      </c>
      <c r="F69" s="78" t="str">
        <f>IF(S69="","",IF(S69=1,"1：家族",IF(AND(S69&gt;=2,S69&lt;=5),"2：雇用","")))</f>
        <v/>
      </c>
      <c r="G69" s="141">
        <f>INT(INDEX(設定!$H$9:H$108,$A69,1))</f>
        <v>0</v>
      </c>
      <c r="H69" s="79" t="str">
        <f>IF(INDEX(設定!$H$9:$H$108,$A69,1)=0,"",ROUND(MOD(INDEX(設定!$H$9:$H$108,$A69,1),1)*60,0))</f>
        <v/>
      </c>
      <c r="I69" s="141">
        <f>INT(INDEX(設定!$I$9:$I$108,$A69,1))</f>
        <v>0</v>
      </c>
      <c r="J69" s="79" t="str">
        <f>IF(INDEX(設定!$I$9:$I$108,$A69,1)=0,"",ROUND(MOD(INDEX(設定!$I$9:$I$108,$A69,1),1)*60,0))</f>
        <v/>
      </c>
      <c r="K69" s="141">
        <f>INT(INDEX(設定!$J$9:$J$108,$A69,1))</f>
        <v>0</v>
      </c>
      <c r="L69" s="80" t="str">
        <f>IF(INDEX(設定!$J$9:$J$108,$A69,1)=0,"",ROUND(MOD(INDEX(設定!$J$9:$J$108,$A69,1),1)*60,0))</f>
        <v/>
      </c>
      <c r="M69" s="167"/>
      <c r="N69" s="166"/>
      <c r="P69" s="14"/>
      <c r="Q69" s="14"/>
      <c r="S69" s="91" t="str">
        <f>IF(INDEX(設定!$F$9:$F$108,$A69,1)="","",VALUE(LEFT(INDEX(設定!$F$9:$F$108,$A69,1),1)))</f>
        <v/>
      </c>
      <c r="T69" s="219" t="str">
        <f>IF(C69="","",C69)</f>
        <v/>
      </c>
      <c r="U69" s="220" t="str">
        <f>IF(D69="","",IF(D69="1：男",1,IF(D69="2：女",2)))</f>
        <v/>
      </c>
      <c r="V69" s="221" t="str">
        <f>IF(E69="","",E69)</f>
        <v/>
      </c>
      <c r="W69" s="350" t="str">
        <f>IF(AND(G69="",H69="",G70=""),"",ROUND(SUM(G69,H69/60)*G70,1))</f>
        <v/>
      </c>
      <c r="X69" s="350" t="str">
        <f t="shared" ref="X69" si="92">IF(AND(I69="",J69="",I70=""),"",ROUND(SUM(I69,J69/60)*I70,1))</f>
        <v/>
      </c>
      <c r="Y69" s="351" t="str">
        <f t="shared" ref="Y69" si="93">IF(AND(K69="",L69="",K70=""),"",ROUND(SUM(K69,L69/60)*K70,1))</f>
        <v/>
      </c>
      <c r="Z69" s="200"/>
      <c r="AA69" s="201"/>
      <c r="AB69" s="238"/>
      <c r="AC69" s="217"/>
      <c r="AD69" s="217"/>
      <c r="AE69" s="217"/>
      <c r="AF69" s="217"/>
      <c r="AG69" s="217"/>
      <c r="AH69" s="217"/>
      <c r="AI69" s="217"/>
      <c r="AJ69" s="217"/>
      <c r="AK69" s="217"/>
      <c r="AL69" s="217"/>
      <c r="AM69" s="217"/>
      <c r="AN69" s="217"/>
      <c r="AO69" s="217"/>
      <c r="AP69" s="217"/>
      <c r="AQ69" s="217"/>
      <c r="AR69" s="217"/>
      <c r="AS69" s="217"/>
      <c r="AT69" s="238"/>
      <c r="AU69" s="238"/>
      <c r="AV69" s="238"/>
      <c r="AW69" s="238"/>
      <c r="AX69" s="238"/>
      <c r="AY69" s="238"/>
      <c r="AZ69" s="238"/>
      <c r="BA69" s="238"/>
      <c r="BB69" s="238"/>
      <c r="BC69" s="217"/>
      <c r="BD69" s="217"/>
      <c r="BE69" s="217"/>
      <c r="BF69" s="217"/>
    </row>
    <row r="70" spans="1:58" s="30" customFormat="1" ht="29.25" customHeight="1" thickBot="1" x14ac:dyDescent="0.25">
      <c r="A70" s="142"/>
      <c r="B70" s="29"/>
      <c r="C70" s="92"/>
      <c r="D70" s="147"/>
      <c r="E70" s="148"/>
      <c r="F70" s="149"/>
      <c r="G70" s="150" t="str">
        <f>IF(SUM(G69:H69)&gt;0,1,"")</f>
        <v/>
      </c>
      <c r="H70" s="151"/>
      <c r="I70" s="150" t="str">
        <f>IF(SUM(I69:J69)&gt;0,1,"")</f>
        <v/>
      </c>
      <c r="J70" s="151"/>
      <c r="K70" s="150" t="str">
        <f>IF(SUM(K69:L69)&gt;0,1,"")</f>
        <v/>
      </c>
      <c r="L70" s="152"/>
      <c r="M70" s="168"/>
      <c r="N70" s="97"/>
      <c r="P70" s="14"/>
      <c r="Q70" s="14"/>
      <c r="S70" s="93"/>
      <c r="T70" s="250"/>
      <c r="U70" s="251"/>
      <c r="V70" s="252"/>
      <c r="W70" s="372"/>
      <c r="X70" s="372"/>
      <c r="Y70" s="373"/>
      <c r="Z70" s="200"/>
      <c r="AA70" s="201"/>
      <c r="AB70" s="238"/>
      <c r="AC70" s="217"/>
      <c r="AD70" s="217"/>
      <c r="AE70" s="217"/>
      <c r="AF70" s="217"/>
      <c r="AG70" s="217"/>
      <c r="AH70" s="217"/>
      <c r="AI70" s="217"/>
      <c r="AJ70" s="217"/>
      <c r="AK70" s="217"/>
      <c r="AL70" s="217"/>
      <c r="AM70" s="217"/>
      <c r="AN70" s="217"/>
      <c r="AO70" s="217"/>
      <c r="AP70" s="217"/>
      <c r="AQ70" s="217"/>
      <c r="AR70" s="217"/>
      <c r="AS70" s="217"/>
      <c r="AT70" s="238"/>
      <c r="AU70" s="238"/>
      <c r="AV70" s="238"/>
      <c r="AW70" s="238"/>
      <c r="AX70" s="238"/>
      <c r="AY70" s="238"/>
      <c r="AZ70" s="238"/>
      <c r="BA70" s="238"/>
      <c r="BB70" s="238"/>
      <c r="BC70" s="217"/>
      <c r="BD70" s="217"/>
      <c r="BE70" s="217"/>
      <c r="BF70" s="217"/>
    </row>
    <row r="71" spans="1:58" s="25" customFormat="1" ht="27" customHeight="1" x14ac:dyDescent="0.2">
      <c r="A71" s="144"/>
      <c r="B71" s="95"/>
      <c r="C71" s="74"/>
      <c r="D71" s="74"/>
      <c r="E71" s="96"/>
      <c r="F71" s="74"/>
      <c r="G71" s="97"/>
      <c r="H71" s="97"/>
      <c r="I71" s="97"/>
      <c r="J71" s="97"/>
      <c r="K71" s="97"/>
      <c r="L71" s="97"/>
      <c r="M71" s="97"/>
      <c r="N71" s="97"/>
      <c r="P71" s="14"/>
      <c r="Q71" s="14"/>
      <c r="S71" s="98"/>
      <c r="T71" s="68"/>
      <c r="U71" s="98"/>
      <c r="V71" s="98"/>
      <c r="W71" s="99"/>
      <c r="X71" s="99"/>
      <c r="Y71" s="99"/>
      <c r="Z71" s="99"/>
      <c r="AA71" s="99"/>
      <c r="AB71" s="99"/>
      <c r="AC71" s="99"/>
      <c r="AD71" s="99"/>
      <c r="AE71" s="158"/>
      <c r="AF71" s="156"/>
      <c r="AG71" s="156"/>
      <c r="AH71" s="156"/>
      <c r="AI71" s="156"/>
      <c r="AJ71" s="156"/>
      <c r="AK71" s="156"/>
      <c r="AL71" s="156"/>
      <c r="AM71" s="156"/>
      <c r="AN71" s="156"/>
      <c r="AO71" s="156"/>
      <c r="AP71" s="156"/>
      <c r="AQ71" s="156"/>
      <c r="AR71" s="156"/>
      <c r="AS71" s="156"/>
      <c r="AT71" s="153"/>
      <c r="AU71" s="153"/>
      <c r="AV71" s="153"/>
      <c r="AW71" s="99"/>
      <c r="AX71" s="158"/>
      <c r="AY71" s="157"/>
      <c r="AZ71" s="157"/>
      <c r="BA71" s="157"/>
      <c r="BB71" s="157"/>
      <c r="BC71" s="157"/>
      <c r="BD71" s="157"/>
      <c r="BE71" s="157"/>
      <c r="BF71" s="157"/>
    </row>
    <row r="72" spans="1:58" ht="27" customHeight="1" x14ac:dyDescent="0.15">
      <c r="B72" s="337" t="s">
        <v>154</v>
      </c>
      <c r="C72" s="336"/>
      <c r="P72" s="14"/>
      <c r="Q72" s="14"/>
    </row>
    <row r="73" spans="1:58" ht="27" customHeight="1" x14ac:dyDescent="0.15"/>
    <row r="74" spans="1:58" ht="27" customHeight="1" thickBot="1" x14ac:dyDescent="0.2">
      <c r="C74" s="100"/>
      <c r="D74" s="15"/>
      <c r="E74" s="15"/>
      <c r="F74" s="15"/>
      <c r="G74" s="15"/>
      <c r="H74" s="15"/>
      <c r="I74" s="15"/>
      <c r="J74" s="15"/>
      <c r="K74" s="15"/>
      <c r="L74" s="15"/>
      <c r="M74" s="15"/>
      <c r="N74" s="15"/>
      <c r="P74" s="14"/>
      <c r="Q74" s="14"/>
      <c r="S74" s="563" t="s">
        <v>32</v>
      </c>
      <c r="T74" s="535" t="s">
        <v>6</v>
      </c>
      <c r="U74" s="514" t="s">
        <v>109</v>
      </c>
      <c r="V74" s="538" t="s">
        <v>8</v>
      </c>
      <c r="W74" s="495" t="s">
        <v>135</v>
      </c>
      <c r="X74" s="550" t="s">
        <v>129</v>
      </c>
      <c r="Y74" s="550"/>
      <c r="Z74" s="514" t="s">
        <v>136</v>
      </c>
    </row>
    <row r="75" spans="1:58" ht="27" customHeight="1" x14ac:dyDescent="0.15">
      <c r="C75" s="551" t="s">
        <v>6</v>
      </c>
      <c r="D75" s="553" t="s">
        <v>7</v>
      </c>
      <c r="E75" s="523" t="s">
        <v>8</v>
      </c>
      <c r="F75" s="555" t="s">
        <v>9</v>
      </c>
      <c r="G75" s="557" t="s">
        <v>33</v>
      </c>
      <c r="H75" s="559" t="s">
        <v>34</v>
      </c>
      <c r="I75" s="559" t="s">
        <v>35</v>
      </c>
      <c r="J75" s="559" t="s">
        <v>36</v>
      </c>
      <c r="K75" s="559" t="s">
        <v>37</v>
      </c>
      <c r="L75" s="559" t="s">
        <v>38</v>
      </c>
      <c r="M75" s="561" t="s">
        <v>39</v>
      </c>
      <c r="N75" s="74"/>
      <c r="P75" s="14"/>
      <c r="Q75" s="14"/>
      <c r="S75" s="564"/>
      <c r="T75" s="536"/>
      <c r="U75" s="515"/>
      <c r="V75" s="539"/>
      <c r="W75" s="498"/>
      <c r="X75" s="514" t="s">
        <v>137</v>
      </c>
      <c r="Y75" s="547" t="s">
        <v>138</v>
      </c>
      <c r="Z75" s="515"/>
      <c r="BC75" s="160"/>
      <c r="BD75" s="160"/>
      <c r="BE75" s="160"/>
      <c r="BF75" s="160"/>
    </row>
    <row r="76" spans="1:58" ht="27" customHeight="1" thickBot="1" x14ac:dyDescent="0.2">
      <c r="C76" s="552"/>
      <c r="D76" s="554"/>
      <c r="E76" s="524"/>
      <c r="F76" s="556"/>
      <c r="G76" s="558"/>
      <c r="H76" s="560"/>
      <c r="I76" s="560"/>
      <c r="J76" s="560"/>
      <c r="K76" s="560"/>
      <c r="L76" s="560"/>
      <c r="M76" s="562"/>
      <c r="N76" s="74"/>
      <c r="P76" s="14"/>
      <c r="Q76" s="14"/>
      <c r="S76" s="564"/>
      <c r="T76" s="537"/>
      <c r="U76" s="516"/>
      <c r="V76" s="540"/>
      <c r="W76" s="501"/>
      <c r="X76" s="516"/>
      <c r="Y76" s="549"/>
      <c r="Z76" s="516"/>
    </row>
    <row r="77" spans="1:58" ht="30" customHeight="1" thickTop="1" x14ac:dyDescent="0.2">
      <c r="A77" s="145">
        <v>1</v>
      </c>
      <c r="C77" s="101" t="str">
        <f>IF(INDEX(設定!$C$9:$C$108,$A77,1)="","",INDEX(設定!$C$9:$C$108,$A77,1))</f>
        <v/>
      </c>
      <c r="D77" s="102" t="str">
        <f>IF(INDEX(設定!$D$9:$D$108,$A77,1)="","",INDEX(設定!$D$9:$D$108,$A77,1))</f>
        <v/>
      </c>
      <c r="E77" s="103" t="str">
        <f>IF(INDEX(設定!$E$9:$E$108,$A77,1)="","",INDEX(設定!$E$9:$E$108,$A77,1))</f>
        <v/>
      </c>
      <c r="F77" s="104" t="str">
        <f>IF(S77="","",IF(S77=1,"1：家族",IF(AND(S77&gt;=2,S77&lt;=5),"2：雇用","")))</f>
        <v/>
      </c>
      <c r="G77" s="426" t="str">
        <f>IF(INDEX(設定!L$9:L$108,$A77,1)=0,"",ROUND(INDEX(設定!L$9:L$108,$A77,1),1))</f>
        <v/>
      </c>
      <c r="H77" s="426" t="str">
        <f>IF(INDEX(設定!M$9:M$108,$A77,1)=0,"",ROUND(INDEX(設定!M$9:M$108,$A77,1),1))</f>
        <v/>
      </c>
      <c r="I77" s="426" t="str">
        <f>IF(INDEX(設定!N$9:N$108,$A77,1)=0,"",ROUND(INDEX(設定!N$9:N$108,$A77,1),1))</f>
        <v/>
      </c>
      <c r="J77" s="426" t="str">
        <f>IF(INDEX(設定!O$9:O$108,$A77,1)=0,"",ROUND(INDEX(設定!O$9:O$108,$A77,1),1))</f>
        <v/>
      </c>
      <c r="K77" s="426" t="str">
        <f>IF(INDEX(設定!P$9:P$108,$A77,1)=0,"",ROUND(INDEX(設定!P$9:P$108,$A77,1),1))</f>
        <v/>
      </c>
      <c r="L77" s="426" t="str">
        <f>IF(INDEX(設定!Q$9:Q$108,$A77,1)=0,"",ROUND(INDEX(設定!Q$9:Q$108,$A77,1),1))</f>
        <v/>
      </c>
      <c r="M77" s="427" t="str">
        <f>IF(INDEX(設定!R$9:R$108,$A77,1)=0,"",ROUND(INDEX(設定!R$9:R$108,$A77,1),1))</f>
        <v/>
      </c>
      <c r="N77" s="74"/>
      <c r="P77" s="14"/>
      <c r="Q77" s="14"/>
      <c r="S77" s="105" t="str">
        <f>IF(INDEX(設定!$F$9:$F$108,$A77,1)="","",VALUE(LEFT(INDEX(設定!$F$9:$F$108,$A77,1),1)))</f>
        <v/>
      </c>
      <c r="T77" s="194" t="str">
        <f>IF(C77="","",C77)</f>
        <v/>
      </c>
      <c r="U77" s="308" t="str">
        <f>IF(D77="","",IF(D77="1：男",1,IF(D77="2：女",2)))</f>
        <v/>
      </c>
      <c r="V77" s="264" t="str">
        <f>IF(E77="","",E77)</f>
        <v/>
      </c>
      <c r="W77" s="432">
        <f>SUM(J77:L77)</f>
        <v>0</v>
      </c>
      <c r="X77" s="433" t="str">
        <f>G77</f>
        <v/>
      </c>
      <c r="Y77" s="433">
        <f>SUM(H77:I77)</f>
        <v>0</v>
      </c>
      <c r="Z77" s="433" t="str">
        <f>M77</f>
        <v/>
      </c>
    </row>
    <row r="78" spans="1:58" ht="30" customHeight="1" x14ac:dyDescent="0.2">
      <c r="A78" s="145">
        <v>2</v>
      </c>
      <c r="C78" s="106" t="str">
        <f>IF(INDEX(設定!$C$9:$C$108,$A78,1)="","",INDEX(設定!$C$9:$C$108,$A78,1))</f>
        <v/>
      </c>
      <c r="D78" s="107" t="str">
        <f>IF(INDEX(設定!$D$9:$D$108,$A78,1)="","",INDEX(設定!$D$9:$D$108,$A78,1))</f>
        <v/>
      </c>
      <c r="E78" s="108" t="str">
        <f>IF(INDEX(設定!$E$9:$E$108,$A78,1)="","",INDEX(設定!$E$9:$E$108,$A78,1))</f>
        <v/>
      </c>
      <c r="F78" s="109" t="str">
        <f>IF(S78="","",IF(S78=1,"1：家族",IF(AND(S78&gt;=2,S78&lt;=5),"2：雇用","")))</f>
        <v/>
      </c>
      <c r="G78" s="428" t="str">
        <f>IF(INDEX(設定!L$9:L$108,$A78,1)=0,"",ROUND(INDEX(設定!L$9:L$108,$A78,1),1))</f>
        <v/>
      </c>
      <c r="H78" s="428" t="str">
        <f>IF(INDEX(設定!M$9:M$108,$A78,1)=0,"",ROUND(INDEX(設定!M$9:M$108,$A78,1),1))</f>
        <v/>
      </c>
      <c r="I78" s="428" t="str">
        <f>IF(INDEX(設定!N$9:N$108,$A78,1)=0,"",ROUND(INDEX(設定!N$9:N$108,$A78,1),1))</f>
        <v/>
      </c>
      <c r="J78" s="428" t="str">
        <f>IF(INDEX(設定!O$9:O$108,$A78,1)=0,"",ROUND(INDEX(設定!O$9:O$108,$A78,1),1))</f>
        <v/>
      </c>
      <c r="K78" s="428" t="str">
        <f>IF(INDEX(設定!P$9:P$108,$A78,1)=0,"",ROUND(INDEX(設定!P$9:P$108,$A78,1),1))</f>
        <v/>
      </c>
      <c r="L78" s="428" t="str">
        <f>IF(INDEX(設定!Q$9:Q$108,$A78,1)=0,"",ROUND(INDEX(設定!Q$9:Q$108,$A78,1),1))</f>
        <v/>
      </c>
      <c r="M78" s="429" t="str">
        <f>IF(INDEX(設定!R$9:R$108,$A78,1)=0,"",ROUND(INDEX(設定!R$9:R$108,$A78,1),1))</f>
        <v/>
      </c>
      <c r="N78" s="74"/>
      <c r="P78" s="14"/>
      <c r="Q78" s="14"/>
      <c r="S78" s="110" t="str">
        <f>IF(INDEX(設定!$F$9:$F$108,$A78,1)="","",VALUE(LEFT(INDEX(設定!$F$9:$F$108,$A78,1),1)))</f>
        <v/>
      </c>
      <c r="T78" s="219" t="str">
        <f>IF(C78="","",C78)</f>
        <v/>
      </c>
      <c r="U78" s="306" t="str">
        <f>IF(D78="","",IF(D78="1：男",1,IF(D78="2：女",2)))</f>
        <v/>
      </c>
      <c r="V78" s="309" t="str">
        <f>IF(E78="","",E78)</f>
        <v/>
      </c>
      <c r="W78" s="432">
        <f t="shared" ref="W78:W106" si="94">SUM(J78:L78)</f>
        <v>0</v>
      </c>
      <c r="X78" s="433" t="str">
        <f t="shared" ref="X78:X106" si="95">G78</f>
        <v/>
      </c>
      <c r="Y78" s="433">
        <f t="shared" ref="Y78:Y106" si="96">SUM(H78:I78)</f>
        <v>0</v>
      </c>
      <c r="Z78" s="433" t="str">
        <f t="shared" ref="Z78:Z106" si="97">M78</f>
        <v/>
      </c>
    </row>
    <row r="79" spans="1:58" ht="30" customHeight="1" x14ac:dyDescent="0.2">
      <c r="A79" s="145">
        <v>3</v>
      </c>
      <c r="C79" s="106" t="str">
        <f>IF(INDEX(設定!$C$9:$C$108,$A79,1)="","",INDEX(設定!$C$9:$C$108,$A79,1))</f>
        <v/>
      </c>
      <c r="D79" s="107" t="str">
        <f>IF(INDEX(設定!$D$9:$D$108,$A79,1)="","",INDEX(設定!$D$9:$D$108,$A79,1))</f>
        <v/>
      </c>
      <c r="E79" s="108" t="str">
        <f>IF(INDEX(設定!$E$9:$E$108,$A79,1)="","",INDEX(設定!$E$9:$E$108,$A79,1))</f>
        <v/>
      </c>
      <c r="F79" s="109" t="str">
        <f t="shared" ref="F79:F106" si="98">IF(S79="","",IF(S79=1,"1：家族",IF(AND(S79&gt;=2,S79&lt;=5),"2：雇用","")))</f>
        <v/>
      </c>
      <c r="G79" s="428" t="str">
        <f>IF(INDEX(設定!L$9:L$108,$A79,1)=0,"",ROUND(INDEX(設定!L$9:L$108,$A79,1),1))</f>
        <v/>
      </c>
      <c r="H79" s="428" t="str">
        <f>IF(INDEX(設定!M$9:M$108,$A79,1)=0,"",ROUND(INDEX(設定!M$9:M$108,$A79,1),1))</f>
        <v/>
      </c>
      <c r="I79" s="428" t="str">
        <f>IF(INDEX(設定!N$9:N$108,$A79,1)=0,"",ROUND(INDEX(設定!N$9:N$108,$A79,1),1))</f>
        <v/>
      </c>
      <c r="J79" s="428" t="str">
        <f>IF(INDEX(設定!O$9:O$108,$A79,1)=0,"",ROUND(INDEX(設定!O$9:O$108,$A79,1),1))</f>
        <v/>
      </c>
      <c r="K79" s="428" t="str">
        <f>IF(INDEX(設定!P$9:P$108,$A79,1)=0,"",ROUND(INDEX(設定!P$9:P$108,$A79,1),1))</f>
        <v/>
      </c>
      <c r="L79" s="428" t="str">
        <f>IF(INDEX(設定!Q$9:Q$108,$A79,1)=0,"",ROUND(INDEX(設定!Q$9:Q$108,$A79,1),1))</f>
        <v/>
      </c>
      <c r="M79" s="429" t="str">
        <f>IF(INDEX(設定!R$9:R$108,$A79,1)=0,"",ROUND(INDEX(設定!R$9:R$108,$A79,1),1))</f>
        <v/>
      </c>
      <c r="N79" s="74"/>
      <c r="P79" s="14"/>
      <c r="Q79" s="14"/>
      <c r="S79" s="110" t="str">
        <f>IF(INDEX(設定!$F$9:$F$108,$A79,1)="","",VALUE(LEFT(INDEX(設定!$F$9:$F$108,$A79,1),1)))</f>
        <v/>
      </c>
      <c r="T79" s="219" t="str">
        <f>IF(C79="","",C79)</f>
        <v/>
      </c>
      <c r="U79" s="306" t="str">
        <f>IF(D79="","",IF(D79="1：男",1,IF(D79="2：女",2)))</f>
        <v/>
      </c>
      <c r="V79" s="309" t="str">
        <f>IF(E79="","",E79)</f>
        <v/>
      </c>
      <c r="W79" s="432">
        <f t="shared" si="94"/>
        <v>0</v>
      </c>
      <c r="X79" s="433" t="str">
        <f t="shared" si="95"/>
        <v/>
      </c>
      <c r="Y79" s="433">
        <f t="shared" si="96"/>
        <v>0</v>
      </c>
      <c r="Z79" s="433" t="str">
        <f t="shared" si="97"/>
        <v/>
      </c>
    </row>
    <row r="80" spans="1:58" ht="30" customHeight="1" x14ac:dyDescent="0.2">
      <c r="A80" s="145">
        <v>4</v>
      </c>
      <c r="C80" s="106" t="str">
        <f>IF(INDEX(設定!$C$9:$C$108,$A80,1)="","",INDEX(設定!$C$9:$C$108,$A80,1))</f>
        <v/>
      </c>
      <c r="D80" s="107" t="str">
        <f>IF(INDEX(設定!$D$9:$D$108,$A80,1)="","",INDEX(設定!$D$9:$D$108,$A80,1))</f>
        <v/>
      </c>
      <c r="E80" s="108" t="str">
        <f>IF(INDEX(設定!$E$9:$E$108,$A80,1)="","",INDEX(設定!$E$9:$E$108,$A80,1))</f>
        <v/>
      </c>
      <c r="F80" s="109" t="str">
        <f t="shared" si="98"/>
        <v/>
      </c>
      <c r="G80" s="428" t="str">
        <f>IF(INDEX(設定!L$9:L$108,$A80,1)=0,"",ROUND(INDEX(設定!L$9:L$108,$A80,1),1))</f>
        <v/>
      </c>
      <c r="H80" s="428" t="str">
        <f>IF(INDEX(設定!M$9:M$108,$A80,1)=0,"",ROUND(INDEX(設定!M$9:M$108,$A80,1),1))</f>
        <v/>
      </c>
      <c r="I80" s="428" t="str">
        <f>IF(INDEX(設定!N$9:N$108,$A80,1)=0,"",ROUND(INDEX(設定!N$9:N$108,$A80,1),1))</f>
        <v/>
      </c>
      <c r="J80" s="428" t="str">
        <f>IF(INDEX(設定!O$9:O$108,$A80,1)=0,"",ROUND(INDEX(設定!O$9:O$108,$A80,1),1))</f>
        <v/>
      </c>
      <c r="K80" s="428" t="str">
        <f>IF(INDEX(設定!P$9:P$108,$A80,1)=0,"",ROUND(INDEX(設定!P$9:P$108,$A80,1),1))</f>
        <v/>
      </c>
      <c r="L80" s="428" t="str">
        <f>IF(INDEX(設定!Q$9:Q$108,$A80,1)=0,"",ROUND(INDEX(設定!Q$9:Q$108,$A80,1),1))</f>
        <v/>
      </c>
      <c r="M80" s="429" t="str">
        <f>IF(INDEX(設定!R$9:R$108,$A80,1)=0,"",ROUND(INDEX(設定!R$9:R$108,$A80,1),1))</f>
        <v/>
      </c>
      <c r="N80" s="74"/>
      <c r="P80" s="14"/>
      <c r="Q80" s="14"/>
      <c r="S80" s="110" t="str">
        <f>IF(INDEX(設定!$F$9:$F$108,$A80,1)="","",VALUE(LEFT(INDEX(設定!$F$9:$F$108,$A80,1),1)))</f>
        <v/>
      </c>
      <c r="T80" s="219" t="str">
        <f t="shared" ref="T80:T83" si="99">IF(C80="","",C80)</f>
        <v/>
      </c>
      <c r="U80" s="306" t="str">
        <f t="shared" ref="U80:U83" si="100">IF(D80="","",IF(D80="1：男",1,IF(D80="2：女",2)))</f>
        <v/>
      </c>
      <c r="V80" s="309" t="str">
        <f t="shared" ref="V80:V83" si="101">IF(E80="","",E80)</f>
        <v/>
      </c>
      <c r="W80" s="432">
        <f t="shared" si="94"/>
        <v>0</v>
      </c>
      <c r="X80" s="433" t="str">
        <f t="shared" si="95"/>
        <v/>
      </c>
      <c r="Y80" s="433">
        <f t="shared" si="96"/>
        <v>0</v>
      </c>
      <c r="Z80" s="433" t="str">
        <f t="shared" si="97"/>
        <v/>
      </c>
    </row>
    <row r="81" spans="1:26" ht="30" customHeight="1" x14ac:dyDescent="0.2">
      <c r="A81" s="145">
        <v>5</v>
      </c>
      <c r="C81" s="106" t="str">
        <f>IF(INDEX(設定!$C$9:$C$108,$A81,1)="","",INDEX(設定!$C$9:$C$108,$A81,1))</f>
        <v/>
      </c>
      <c r="D81" s="107" t="str">
        <f>IF(INDEX(設定!$D$9:$D$108,$A81,1)="","",INDEX(設定!$D$9:$D$108,$A81,1))</f>
        <v/>
      </c>
      <c r="E81" s="108" t="str">
        <f>IF(INDEX(設定!$E$9:$E$108,$A81,1)="","",INDEX(設定!$E$9:$E$108,$A81,1))</f>
        <v/>
      </c>
      <c r="F81" s="109" t="str">
        <f t="shared" si="98"/>
        <v/>
      </c>
      <c r="G81" s="428" t="str">
        <f>IF(INDEX(設定!L$9:L$108,$A81,1)=0,"",ROUND(INDEX(設定!L$9:L$108,$A81,1),1))</f>
        <v/>
      </c>
      <c r="H81" s="428" t="str">
        <f>IF(INDEX(設定!M$9:M$108,$A81,1)=0,"",ROUND(INDEX(設定!M$9:M$108,$A81,1),1))</f>
        <v/>
      </c>
      <c r="I81" s="428" t="str">
        <f>IF(INDEX(設定!N$9:N$108,$A81,1)=0,"",ROUND(INDEX(設定!N$9:N$108,$A81,1),1))</f>
        <v/>
      </c>
      <c r="J81" s="428" t="str">
        <f>IF(INDEX(設定!O$9:O$108,$A81,1)=0,"",ROUND(INDEX(設定!O$9:O$108,$A81,1),1))</f>
        <v/>
      </c>
      <c r="K81" s="428" t="str">
        <f>IF(INDEX(設定!P$9:P$108,$A81,1)=0,"",ROUND(INDEX(設定!P$9:P$108,$A81,1),1))</f>
        <v/>
      </c>
      <c r="L81" s="428" t="str">
        <f>IF(INDEX(設定!Q$9:Q$108,$A81,1)=0,"",ROUND(INDEX(設定!Q$9:Q$108,$A81,1),1))</f>
        <v/>
      </c>
      <c r="M81" s="429" t="str">
        <f>IF(INDEX(設定!R$9:R$108,$A81,1)=0,"",ROUND(INDEX(設定!R$9:R$108,$A81,1),1))</f>
        <v/>
      </c>
      <c r="N81" s="74"/>
      <c r="P81" s="14"/>
      <c r="Q81" s="14"/>
      <c r="S81" s="110" t="str">
        <f>IF(INDEX(設定!$F$9:$F$108,$A81,1)="","",VALUE(LEFT(INDEX(設定!$F$9:$F$108,$A81,1),1)))</f>
        <v/>
      </c>
      <c r="T81" s="219" t="str">
        <f t="shared" si="99"/>
        <v/>
      </c>
      <c r="U81" s="306" t="str">
        <f t="shared" si="100"/>
        <v/>
      </c>
      <c r="V81" s="309" t="str">
        <f t="shared" si="101"/>
        <v/>
      </c>
      <c r="W81" s="432">
        <f t="shared" si="94"/>
        <v>0</v>
      </c>
      <c r="X81" s="433" t="str">
        <f t="shared" si="95"/>
        <v/>
      </c>
      <c r="Y81" s="433">
        <f t="shared" si="96"/>
        <v>0</v>
      </c>
      <c r="Z81" s="433" t="str">
        <f t="shared" si="97"/>
        <v/>
      </c>
    </row>
    <row r="82" spans="1:26" ht="30" customHeight="1" x14ac:dyDescent="0.2">
      <c r="A82" s="145">
        <v>6</v>
      </c>
      <c r="C82" s="106" t="str">
        <f>IF(INDEX(設定!$C$9:$C$108,$A82,1)="","",INDEX(設定!$C$9:$C$108,$A82,1))</f>
        <v/>
      </c>
      <c r="D82" s="107" t="str">
        <f>IF(INDEX(設定!$D$9:$D$108,$A82,1)="","",INDEX(設定!$D$9:$D$108,$A82,1))</f>
        <v/>
      </c>
      <c r="E82" s="108" t="str">
        <f>IF(INDEX(設定!$E$9:$E$108,$A82,1)="","",INDEX(設定!$E$9:$E$108,$A82,1))</f>
        <v/>
      </c>
      <c r="F82" s="109" t="str">
        <f t="shared" si="98"/>
        <v/>
      </c>
      <c r="G82" s="428" t="str">
        <f>IF(INDEX(設定!L$9:L$108,$A82,1)=0,"",ROUND(INDEX(設定!L$9:L$108,$A82,1),1))</f>
        <v/>
      </c>
      <c r="H82" s="428" t="str">
        <f>IF(INDEX(設定!M$9:M$108,$A82,1)=0,"",ROUND(INDEX(設定!M$9:M$108,$A82,1),1))</f>
        <v/>
      </c>
      <c r="I82" s="428" t="str">
        <f>IF(INDEX(設定!N$9:N$108,$A82,1)=0,"",ROUND(INDEX(設定!N$9:N$108,$A82,1),1))</f>
        <v/>
      </c>
      <c r="J82" s="428" t="str">
        <f>IF(INDEX(設定!O$9:O$108,$A82,1)=0,"",ROUND(INDEX(設定!O$9:O$108,$A82,1),1))</f>
        <v/>
      </c>
      <c r="K82" s="428" t="str">
        <f>IF(INDEX(設定!P$9:P$108,$A82,1)=0,"",ROUND(INDEX(設定!P$9:P$108,$A82,1),1))</f>
        <v/>
      </c>
      <c r="L82" s="428" t="str">
        <f>IF(INDEX(設定!Q$9:Q$108,$A82,1)=0,"",ROUND(INDEX(設定!Q$9:Q$108,$A82,1),1))</f>
        <v/>
      </c>
      <c r="M82" s="429" t="str">
        <f>IF(INDEX(設定!R$9:R$108,$A82,1)=0,"",ROUND(INDEX(設定!R$9:R$108,$A82,1),1))</f>
        <v/>
      </c>
      <c r="N82" s="74"/>
      <c r="P82" s="14"/>
      <c r="Q82" s="14"/>
      <c r="S82" s="110" t="str">
        <f>IF(INDEX(設定!$F$9:$F$108,$A82,1)="","",VALUE(LEFT(INDEX(設定!$F$9:$F$108,$A82,1),1)))</f>
        <v/>
      </c>
      <c r="T82" s="219" t="str">
        <f t="shared" si="99"/>
        <v/>
      </c>
      <c r="U82" s="306" t="str">
        <f t="shared" si="100"/>
        <v/>
      </c>
      <c r="V82" s="309" t="str">
        <f t="shared" si="101"/>
        <v/>
      </c>
      <c r="W82" s="432">
        <f t="shared" si="94"/>
        <v>0</v>
      </c>
      <c r="X82" s="433" t="str">
        <f t="shared" si="95"/>
        <v/>
      </c>
      <c r="Y82" s="433">
        <f t="shared" si="96"/>
        <v>0</v>
      </c>
      <c r="Z82" s="433" t="str">
        <f t="shared" si="97"/>
        <v/>
      </c>
    </row>
    <row r="83" spans="1:26" ht="30" customHeight="1" x14ac:dyDescent="0.2">
      <c r="A83" s="145">
        <v>7</v>
      </c>
      <c r="C83" s="106" t="str">
        <f>IF(INDEX(設定!$C$9:$C$108,$A83,1)="","",INDEX(設定!$C$9:$C$108,$A83,1))</f>
        <v/>
      </c>
      <c r="D83" s="107" t="str">
        <f>IF(INDEX(設定!$D$9:$D$108,$A83,1)="","",INDEX(設定!$D$9:$D$108,$A83,1))</f>
        <v/>
      </c>
      <c r="E83" s="108" t="str">
        <f>IF(INDEX(設定!$E$9:$E$108,$A83,1)="","",INDEX(設定!$E$9:$E$108,$A83,1))</f>
        <v/>
      </c>
      <c r="F83" s="109" t="str">
        <f t="shared" si="98"/>
        <v/>
      </c>
      <c r="G83" s="428" t="str">
        <f>IF(INDEX(設定!L$9:L$108,$A83,1)=0,"",ROUND(INDEX(設定!L$9:L$108,$A83,1),1))</f>
        <v/>
      </c>
      <c r="H83" s="428" t="str">
        <f>IF(INDEX(設定!M$9:M$108,$A83,1)=0,"",ROUND(INDEX(設定!M$9:M$108,$A83,1),1))</f>
        <v/>
      </c>
      <c r="I83" s="428" t="str">
        <f>IF(INDEX(設定!N$9:N$108,$A83,1)=0,"",ROUND(INDEX(設定!N$9:N$108,$A83,1),1))</f>
        <v/>
      </c>
      <c r="J83" s="428" t="str">
        <f>IF(INDEX(設定!O$9:O$108,$A83,1)=0,"",ROUND(INDEX(設定!O$9:O$108,$A83,1),1))</f>
        <v/>
      </c>
      <c r="K83" s="428" t="str">
        <f>IF(INDEX(設定!P$9:P$108,$A83,1)=0,"",ROUND(INDEX(設定!P$9:P$108,$A83,1),1))</f>
        <v/>
      </c>
      <c r="L83" s="428" t="str">
        <f>IF(INDEX(設定!Q$9:Q$108,$A83,1)=0,"",ROUND(INDEX(設定!Q$9:Q$108,$A83,1),1))</f>
        <v/>
      </c>
      <c r="M83" s="429" t="str">
        <f>IF(INDEX(設定!R$9:R$108,$A83,1)=0,"",ROUND(INDEX(設定!R$9:R$108,$A83,1),1))</f>
        <v/>
      </c>
      <c r="N83" s="74"/>
      <c r="P83" s="14"/>
      <c r="Q83" s="14"/>
      <c r="S83" s="110" t="str">
        <f>IF(INDEX(設定!$F$9:$F$108,$A83,1)="","",VALUE(LEFT(INDEX(設定!$F$9:$F$108,$A83,1),1)))</f>
        <v/>
      </c>
      <c r="T83" s="219" t="str">
        <f t="shared" si="99"/>
        <v/>
      </c>
      <c r="U83" s="306" t="str">
        <f t="shared" si="100"/>
        <v/>
      </c>
      <c r="V83" s="309" t="str">
        <f t="shared" si="101"/>
        <v/>
      </c>
      <c r="W83" s="432">
        <f t="shared" si="94"/>
        <v>0</v>
      </c>
      <c r="X83" s="433" t="str">
        <f t="shared" si="95"/>
        <v/>
      </c>
      <c r="Y83" s="433">
        <f t="shared" si="96"/>
        <v>0</v>
      </c>
      <c r="Z83" s="433" t="str">
        <f t="shared" si="97"/>
        <v/>
      </c>
    </row>
    <row r="84" spans="1:26" ht="30" customHeight="1" x14ac:dyDescent="0.2">
      <c r="A84" s="145">
        <v>8</v>
      </c>
      <c r="C84" s="106" t="str">
        <f>IF(INDEX(設定!$C$9:$C$108,$A84,1)="","",INDEX(設定!$C$9:$C$108,$A84,1))</f>
        <v/>
      </c>
      <c r="D84" s="107" t="str">
        <f>IF(INDEX(設定!$D$9:$D$108,$A84,1)="","",INDEX(設定!$D$9:$D$108,$A84,1))</f>
        <v/>
      </c>
      <c r="E84" s="108" t="str">
        <f>IF(INDEX(設定!$E$9:$E$108,$A84,1)="","",INDEX(設定!$E$9:$E$108,$A84,1))</f>
        <v/>
      </c>
      <c r="F84" s="109" t="str">
        <f t="shared" si="98"/>
        <v/>
      </c>
      <c r="G84" s="428" t="str">
        <f>IF(INDEX(設定!L$9:L$108,$A84,1)=0,"",ROUND(INDEX(設定!L$9:L$108,$A84,1),1))</f>
        <v/>
      </c>
      <c r="H84" s="428" t="str">
        <f>IF(INDEX(設定!M$9:M$108,$A84,1)=0,"",ROUND(INDEX(設定!M$9:M$108,$A84,1),1))</f>
        <v/>
      </c>
      <c r="I84" s="428" t="str">
        <f>IF(INDEX(設定!N$9:N$108,$A84,1)=0,"",ROUND(INDEX(設定!N$9:N$108,$A84,1),1))</f>
        <v/>
      </c>
      <c r="J84" s="428" t="str">
        <f>IF(INDEX(設定!O$9:O$108,$A84,1)=0,"",ROUND(INDEX(設定!O$9:O$108,$A84,1),1))</f>
        <v/>
      </c>
      <c r="K84" s="428" t="str">
        <f>IF(INDEX(設定!P$9:P$108,$A84,1)=0,"",ROUND(INDEX(設定!P$9:P$108,$A84,1),1))</f>
        <v/>
      </c>
      <c r="L84" s="428" t="str">
        <f>IF(INDEX(設定!Q$9:Q$108,$A84,1)=0,"",ROUND(INDEX(設定!Q$9:Q$108,$A84,1),1))</f>
        <v/>
      </c>
      <c r="M84" s="429" t="str">
        <f>IF(INDEX(設定!R$9:R$108,$A84,1)=0,"",ROUND(INDEX(設定!R$9:R$108,$A84,1),1))</f>
        <v/>
      </c>
      <c r="N84" s="74"/>
      <c r="P84" s="14"/>
      <c r="Q84" s="14"/>
      <c r="S84" s="110" t="str">
        <f>IF(INDEX(設定!$F$9:$F$108,$A84,1)="","",VALUE(LEFT(INDEX(設定!$F$9:$F$108,$A84,1),1)))</f>
        <v/>
      </c>
      <c r="T84" s="204" t="str">
        <f>IF(C84="","",C84)</f>
        <v/>
      </c>
      <c r="U84" s="307" t="str">
        <f>IF(D84="","",IF(D84="1：男",1,IF(D84="2：女",2)))</f>
        <v/>
      </c>
      <c r="V84" s="310" t="str">
        <f>IF(E84="","",E84)</f>
        <v/>
      </c>
      <c r="W84" s="432">
        <f t="shared" si="94"/>
        <v>0</v>
      </c>
      <c r="X84" s="433" t="str">
        <f t="shared" si="95"/>
        <v/>
      </c>
      <c r="Y84" s="433">
        <f t="shared" si="96"/>
        <v>0</v>
      </c>
      <c r="Z84" s="433" t="str">
        <f t="shared" si="97"/>
        <v/>
      </c>
    </row>
    <row r="85" spans="1:26" ht="30" customHeight="1" x14ac:dyDescent="0.2">
      <c r="A85" s="145">
        <v>9</v>
      </c>
      <c r="C85" s="106" t="str">
        <f>IF(INDEX(設定!$C$9:$C$108,$A85,1)="","",INDEX(設定!$C$9:$C$108,$A85,1))</f>
        <v/>
      </c>
      <c r="D85" s="107" t="str">
        <f>IF(INDEX(設定!$D$9:$D$108,$A85,1)="","",INDEX(設定!$D$9:$D$108,$A85,1))</f>
        <v/>
      </c>
      <c r="E85" s="108" t="str">
        <f>IF(INDEX(設定!$E$9:$E$108,$A85,1)="","",INDEX(設定!$E$9:$E$108,$A85,1))</f>
        <v/>
      </c>
      <c r="F85" s="109" t="str">
        <f t="shared" si="98"/>
        <v/>
      </c>
      <c r="G85" s="428" t="str">
        <f>IF(INDEX(設定!L$9:L$108,$A85,1)=0,"",ROUND(INDEX(設定!L$9:L$108,$A85,1),1))</f>
        <v/>
      </c>
      <c r="H85" s="428" t="str">
        <f>IF(INDEX(設定!M$9:M$108,$A85,1)=0,"",ROUND(INDEX(設定!M$9:M$108,$A85,1),1))</f>
        <v/>
      </c>
      <c r="I85" s="428" t="str">
        <f>IF(INDEX(設定!N$9:N$108,$A85,1)=0,"",ROUND(INDEX(設定!N$9:N$108,$A85,1),1))</f>
        <v/>
      </c>
      <c r="J85" s="428" t="str">
        <f>IF(INDEX(設定!O$9:O$108,$A85,1)=0,"",ROUND(INDEX(設定!O$9:O$108,$A85,1),1))</f>
        <v/>
      </c>
      <c r="K85" s="428" t="str">
        <f>IF(INDEX(設定!P$9:P$108,$A85,1)=0,"",ROUND(INDEX(設定!P$9:P$108,$A85,1),1))</f>
        <v/>
      </c>
      <c r="L85" s="428" t="str">
        <f>IF(INDEX(設定!Q$9:Q$108,$A85,1)=0,"",ROUND(INDEX(設定!Q$9:Q$108,$A85,1),1))</f>
        <v/>
      </c>
      <c r="M85" s="429" t="str">
        <f>IF(INDEX(設定!R$9:R$108,$A85,1)=0,"",ROUND(INDEX(設定!R$9:R$108,$A85,1),1))</f>
        <v/>
      </c>
      <c r="N85" s="74"/>
      <c r="P85" s="14"/>
      <c r="Q85" s="14"/>
      <c r="S85" s="110" t="str">
        <f>IF(INDEX(設定!$F$9:$F$108,$A85,1)="","",VALUE(LEFT(INDEX(設定!$F$9:$F$108,$A85,1),1)))</f>
        <v/>
      </c>
      <c r="T85" s="219" t="str">
        <f>IF(C85="","",C85)</f>
        <v/>
      </c>
      <c r="U85" s="306" t="str">
        <f>IF(D85="","",IF(D85="1：男",1,IF(D85="2：女",2)))</f>
        <v/>
      </c>
      <c r="V85" s="309" t="str">
        <f>IF(E85="","",E85)</f>
        <v/>
      </c>
      <c r="W85" s="434">
        <f t="shared" si="94"/>
        <v>0</v>
      </c>
      <c r="X85" s="435" t="str">
        <f t="shared" si="95"/>
        <v/>
      </c>
      <c r="Y85" s="435">
        <f t="shared" si="96"/>
        <v>0</v>
      </c>
      <c r="Z85" s="435" t="str">
        <f t="shared" si="97"/>
        <v/>
      </c>
    </row>
    <row r="86" spans="1:26" ht="30" customHeight="1" x14ac:dyDescent="0.2">
      <c r="A86" s="145">
        <v>10</v>
      </c>
      <c r="C86" s="106" t="str">
        <f>IF(INDEX(設定!$C$9:$C$108,$A86,1)="","",INDEX(設定!$C$9:$C$108,$A86,1))</f>
        <v/>
      </c>
      <c r="D86" s="107" t="str">
        <f>IF(INDEX(設定!$D$9:$D$108,$A86,1)="","",INDEX(設定!$D$9:$D$108,$A86,1))</f>
        <v/>
      </c>
      <c r="E86" s="108" t="str">
        <f>IF(INDEX(設定!$E$9:$E$108,$A86,1)="","",INDEX(設定!$E$9:$E$108,$A86,1))</f>
        <v/>
      </c>
      <c r="F86" s="109" t="str">
        <f t="shared" si="98"/>
        <v/>
      </c>
      <c r="G86" s="428" t="str">
        <f>IF(INDEX(設定!L$9:L$108,$A86,1)=0,"",ROUND(INDEX(設定!L$9:L$108,$A86,1),1))</f>
        <v/>
      </c>
      <c r="H86" s="428" t="str">
        <f>IF(INDEX(設定!M$9:M$108,$A86,1)=0,"",ROUND(INDEX(設定!M$9:M$108,$A86,1),1))</f>
        <v/>
      </c>
      <c r="I86" s="428" t="str">
        <f>IF(INDEX(設定!N$9:N$108,$A86,1)=0,"",ROUND(INDEX(設定!N$9:N$108,$A86,1),1))</f>
        <v/>
      </c>
      <c r="J86" s="428" t="str">
        <f>IF(INDEX(設定!O$9:O$108,$A86,1)=0,"",ROUND(INDEX(設定!O$9:O$108,$A86,1),1))</f>
        <v/>
      </c>
      <c r="K86" s="428" t="str">
        <f>IF(INDEX(設定!P$9:P$108,$A86,1)=0,"",ROUND(INDEX(設定!P$9:P$108,$A86,1),1))</f>
        <v/>
      </c>
      <c r="L86" s="428" t="str">
        <f>IF(INDEX(設定!Q$9:Q$108,$A86,1)=0,"",ROUND(INDEX(設定!Q$9:Q$108,$A86,1),1))</f>
        <v/>
      </c>
      <c r="M86" s="429" t="str">
        <f>IF(INDEX(設定!R$9:R$108,$A86,1)=0,"",ROUND(INDEX(設定!R$9:R$108,$A86,1),1))</f>
        <v/>
      </c>
      <c r="N86" s="74"/>
      <c r="P86" s="14"/>
      <c r="Q86" s="14"/>
      <c r="S86" s="110" t="str">
        <f>IF(INDEX(設定!$F$9:$F$108,$A86,1)="","",VALUE(LEFT(INDEX(設定!$F$9:$F$108,$A86,1),1)))</f>
        <v/>
      </c>
      <c r="T86" s="219" t="str">
        <f t="shared" ref="T86:T89" si="102">IF(C86="","",C86)</f>
        <v/>
      </c>
      <c r="U86" s="306" t="str">
        <f t="shared" ref="U86:U89" si="103">IF(D86="","",IF(D86="1：男",1,IF(D86="2：女",2)))</f>
        <v/>
      </c>
      <c r="V86" s="309" t="str">
        <f t="shared" ref="V86:V89" si="104">IF(E86="","",E86)</f>
        <v/>
      </c>
      <c r="W86" s="434">
        <f t="shared" si="94"/>
        <v>0</v>
      </c>
      <c r="X86" s="435" t="str">
        <f t="shared" si="95"/>
        <v/>
      </c>
      <c r="Y86" s="435">
        <f t="shared" si="96"/>
        <v>0</v>
      </c>
      <c r="Z86" s="435" t="str">
        <f t="shared" si="97"/>
        <v/>
      </c>
    </row>
    <row r="87" spans="1:26" ht="30" customHeight="1" x14ac:dyDescent="0.2">
      <c r="A87" s="145">
        <v>11</v>
      </c>
      <c r="C87" s="106" t="str">
        <f>IF(INDEX(設定!$C$9:$C$108,$A87,1)="","",INDEX(設定!$C$9:$C$108,$A87,1))</f>
        <v/>
      </c>
      <c r="D87" s="107" t="str">
        <f>IF(INDEX(設定!$D$9:$D$108,$A87,1)="","",INDEX(設定!$D$9:$D$108,$A87,1))</f>
        <v/>
      </c>
      <c r="E87" s="108" t="str">
        <f>IF(INDEX(設定!$E$9:$E$108,$A87,1)="","",INDEX(設定!$E$9:$E$108,$A87,1))</f>
        <v/>
      </c>
      <c r="F87" s="109" t="str">
        <f t="shared" si="98"/>
        <v/>
      </c>
      <c r="G87" s="428" t="str">
        <f>IF(INDEX(設定!L$9:L$108,$A87,1)=0,"",ROUND(INDEX(設定!L$9:L$108,$A87,1),1))</f>
        <v/>
      </c>
      <c r="H87" s="428" t="str">
        <f>IF(INDEX(設定!M$9:M$108,$A87,1)=0,"",ROUND(INDEX(設定!M$9:M$108,$A87,1),1))</f>
        <v/>
      </c>
      <c r="I87" s="428" t="str">
        <f>IF(INDEX(設定!N$9:N$108,$A87,1)=0,"",ROUND(INDEX(設定!N$9:N$108,$A87,1),1))</f>
        <v/>
      </c>
      <c r="J87" s="428" t="str">
        <f>IF(INDEX(設定!O$9:O$108,$A87,1)=0,"",ROUND(INDEX(設定!O$9:O$108,$A87,1),1))</f>
        <v/>
      </c>
      <c r="K87" s="428" t="str">
        <f>IF(INDEX(設定!P$9:P$108,$A87,1)=0,"",ROUND(INDEX(設定!P$9:P$108,$A87,1),1))</f>
        <v/>
      </c>
      <c r="L87" s="428" t="str">
        <f>IF(INDEX(設定!Q$9:Q$108,$A87,1)=0,"",ROUND(INDEX(設定!Q$9:Q$108,$A87,1),1))</f>
        <v/>
      </c>
      <c r="M87" s="429" t="str">
        <f>IF(INDEX(設定!R$9:R$108,$A87,1)=0,"",ROUND(INDEX(設定!R$9:R$108,$A87,1),1))</f>
        <v/>
      </c>
      <c r="N87" s="74"/>
      <c r="P87" s="14"/>
      <c r="Q87" s="14"/>
      <c r="S87" s="110" t="str">
        <f>IF(INDEX(設定!$F$9:$F$108,$A87,1)="","",VALUE(LEFT(INDEX(設定!$F$9:$F$108,$A87,1),1)))</f>
        <v/>
      </c>
      <c r="T87" s="219" t="str">
        <f t="shared" si="102"/>
        <v/>
      </c>
      <c r="U87" s="306" t="str">
        <f t="shared" si="103"/>
        <v/>
      </c>
      <c r="V87" s="309" t="str">
        <f t="shared" si="104"/>
        <v/>
      </c>
      <c r="W87" s="434">
        <f t="shared" si="94"/>
        <v>0</v>
      </c>
      <c r="X87" s="435" t="str">
        <f t="shared" si="95"/>
        <v/>
      </c>
      <c r="Y87" s="435">
        <f t="shared" si="96"/>
        <v>0</v>
      </c>
      <c r="Z87" s="435" t="str">
        <f t="shared" si="97"/>
        <v/>
      </c>
    </row>
    <row r="88" spans="1:26" ht="30" customHeight="1" x14ac:dyDescent="0.2">
      <c r="A88" s="145">
        <v>12</v>
      </c>
      <c r="C88" s="106" t="str">
        <f>IF(INDEX(設定!$C$9:$C$108,$A88,1)="","",INDEX(設定!$C$9:$C$108,$A88,1))</f>
        <v/>
      </c>
      <c r="D88" s="107" t="str">
        <f>IF(INDEX(設定!$D$9:$D$108,$A88,1)="","",INDEX(設定!$D$9:$D$108,$A88,1))</f>
        <v/>
      </c>
      <c r="E88" s="108" t="str">
        <f>IF(INDEX(設定!$E$9:$E$108,$A88,1)="","",INDEX(設定!$E$9:$E$108,$A88,1))</f>
        <v/>
      </c>
      <c r="F88" s="109" t="str">
        <f t="shared" si="98"/>
        <v/>
      </c>
      <c r="G88" s="428" t="str">
        <f>IF(INDEX(設定!L$9:L$108,$A88,1)=0,"",ROUND(INDEX(設定!L$9:L$108,$A88,1),1))</f>
        <v/>
      </c>
      <c r="H88" s="428" t="str">
        <f>IF(INDEX(設定!M$9:M$108,$A88,1)=0,"",ROUND(INDEX(設定!M$9:M$108,$A88,1),1))</f>
        <v/>
      </c>
      <c r="I88" s="428" t="str">
        <f>IF(INDEX(設定!N$9:N$108,$A88,1)=0,"",ROUND(INDEX(設定!N$9:N$108,$A88,1),1))</f>
        <v/>
      </c>
      <c r="J88" s="428" t="str">
        <f>IF(INDEX(設定!O$9:O$108,$A88,1)=0,"",ROUND(INDEX(設定!O$9:O$108,$A88,1),1))</f>
        <v/>
      </c>
      <c r="K88" s="428" t="str">
        <f>IF(INDEX(設定!P$9:P$108,$A88,1)=0,"",ROUND(INDEX(設定!P$9:P$108,$A88,1),1))</f>
        <v/>
      </c>
      <c r="L88" s="428" t="str">
        <f>IF(INDEX(設定!Q$9:Q$108,$A88,1)=0,"",ROUND(INDEX(設定!Q$9:Q$108,$A88,1),1))</f>
        <v/>
      </c>
      <c r="M88" s="429" t="str">
        <f>IF(INDEX(設定!R$9:R$108,$A88,1)=0,"",ROUND(INDEX(設定!R$9:R$108,$A88,1),1))</f>
        <v/>
      </c>
      <c r="N88" s="74"/>
      <c r="P88" s="14"/>
      <c r="Q88" s="14"/>
      <c r="S88" s="110" t="str">
        <f>IF(INDEX(設定!$F$9:$F$108,$A88,1)="","",VALUE(LEFT(INDEX(設定!$F$9:$F$108,$A88,1),1)))</f>
        <v/>
      </c>
      <c r="T88" s="219" t="str">
        <f t="shared" si="102"/>
        <v/>
      </c>
      <c r="U88" s="306" t="str">
        <f t="shared" si="103"/>
        <v/>
      </c>
      <c r="V88" s="309" t="str">
        <f t="shared" si="104"/>
        <v/>
      </c>
      <c r="W88" s="434">
        <f t="shared" si="94"/>
        <v>0</v>
      </c>
      <c r="X88" s="435" t="str">
        <f t="shared" si="95"/>
        <v/>
      </c>
      <c r="Y88" s="435">
        <f t="shared" si="96"/>
        <v>0</v>
      </c>
      <c r="Z88" s="435" t="str">
        <f t="shared" si="97"/>
        <v/>
      </c>
    </row>
    <row r="89" spans="1:26" ht="30" customHeight="1" x14ac:dyDescent="0.2">
      <c r="A89" s="145">
        <v>13</v>
      </c>
      <c r="C89" s="106" t="str">
        <f>IF(INDEX(設定!$C$9:$C$108,$A89,1)="","",INDEX(設定!$C$9:$C$108,$A89,1))</f>
        <v/>
      </c>
      <c r="D89" s="107" t="str">
        <f>IF(INDEX(設定!$D$9:$D$108,$A89,1)="","",INDEX(設定!$D$9:$D$108,$A89,1))</f>
        <v/>
      </c>
      <c r="E89" s="108" t="str">
        <f>IF(INDEX(設定!$E$9:$E$108,$A89,1)="","",INDEX(設定!$E$9:$E$108,$A89,1))</f>
        <v/>
      </c>
      <c r="F89" s="109" t="str">
        <f t="shared" si="98"/>
        <v/>
      </c>
      <c r="G89" s="428" t="str">
        <f>IF(INDEX(設定!L$9:L$108,$A89,1)=0,"",ROUND(INDEX(設定!L$9:L$108,$A89,1),1))</f>
        <v/>
      </c>
      <c r="H89" s="428" t="str">
        <f>IF(INDEX(設定!M$9:M$108,$A89,1)=0,"",ROUND(INDEX(設定!M$9:M$108,$A89,1),1))</f>
        <v/>
      </c>
      <c r="I89" s="428" t="str">
        <f>IF(INDEX(設定!N$9:N$108,$A89,1)=0,"",ROUND(INDEX(設定!N$9:N$108,$A89,1),1))</f>
        <v/>
      </c>
      <c r="J89" s="428" t="str">
        <f>IF(INDEX(設定!O$9:O$108,$A89,1)=0,"",ROUND(INDEX(設定!O$9:O$108,$A89,1),1))</f>
        <v/>
      </c>
      <c r="K89" s="428" t="str">
        <f>IF(INDEX(設定!P$9:P$108,$A89,1)=0,"",ROUND(INDEX(設定!P$9:P$108,$A89,1),1))</f>
        <v/>
      </c>
      <c r="L89" s="428" t="str">
        <f>IF(INDEX(設定!Q$9:Q$108,$A89,1)=0,"",ROUND(INDEX(設定!Q$9:Q$108,$A89,1),1))</f>
        <v/>
      </c>
      <c r="M89" s="429" t="str">
        <f>IF(INDEX(設定!R$9:R$108,$A89,1)=0,"",ROUND(INDEX(設定!R$9:R$108,$A89,1),1))</f>
        <v/>
      </c>
      <c r="N89" s="74"/>
      <c r="P89" s="14"/>
      <c r="Q89" s="14"/>
      <c r="S89" s="110" t="str">
        <f>IF(INDEX(設定!$F$9:$F$108,$A89,1)="","",VALUE(LEFT(INDEX(設定!$F$9:$F$108,$A89,1),1)))</f>
        <v/>
      </c>
      <c r="T89" s="219" t="str">
        <f t="shared" si="102"/>
        <v/>
      </c>
      <c r="U89" s="306" t="str">
        <f t="shared" si="103"/>
        <v/>
      </c>
      <c r="V89" s="309" t="str">
        <f t="shared" si="104"/>
        <v/>
      </c>
      <c r="W89" s="434">
        <f t="shared" si="94"/>
        <v>0</v>
      </c>
      <c r="X89" s="435" t="str">
        <f t="shared" si="95"/>
        <v/>
      </c>
      <c r="Y89" s="435">
        <f t="shared" si="96"/>
        <v>0</v>
      </c>
      <c r="Z89" s="435" t="str">
        <f t="shared" si="97"/>
        <v/>
      </c>
    </row>
    <row r="90" spans="1:26" ht="30" customHeight="1" x14ac:dyDescent="0.2">
      <c r="A90" s="145">
        <v>14</v>
      </c>
      <c r="C90" s="106" t="str">
        <f>IF(INDEX(設定!$C$9:$C$108,$A90,1)="","",INDEX(設定!$C$9:$C$108,$A90,1))</f>
        <v/>
      </c>
      <c r="D90" s="107" t="str">
        <f>IF(INDEX(設定!$D$9:$D$108,$A90,1)="","",INDEX(設定!$D$9:$D$108,$A90,1))</f>
        <v/>
      </c>
      <c r="E90" s="108" t="str">
        <f>IF(INDEX(設定!$E$9:$E$108,$A90,1)="","",INDEX(設定!$E$9:$E$108,$A90,1))</f>
        <v/>
      </c>
      <c r="F90" s="109" t="str">
        <f t="shared" si="98"/>
        <v/>
      </c>
      <c r="G90" s="428" t="str">
        <f>IF(INDEX(設定!L$9:L$108,$A90,1)=0,"",ROUND(INDEX(設定!L$9:L$108,$A90,1),1))</f>
        <v/>
      </c>
      <c r="H90" s="428" t="str">
        <f>IF(INDEX(設定!M$9:M$108,$A90,1)=0,"",ROUND(INDEX(設定!M$9:M$108,$A90,1),1))</f>
        <v/>
      </c>
      <c r="I90" s="428" t="str">
        <f>IF(INDEX(設定!N$9:N$108,$A90,1)=0,"",ROUND(INDEX(設定!N$9:N$108,$A90,1),1))</f>
        <v/>
      </c>
      <c r="J90" s="428" t="str">
        <f>IF(INDEX(設定!O$9:O$108,$A90,1)=0,"",ROUND(INDEX(設定!O$9:O$108,$A90,1),1))</f>
        <v/>
      </c>
      <c r="K90" s="428" t="str">
        <f>IF(INDEX(設定!P$9:P$108,$A90,1)=0,"",ROUND(INDEX(設定!P$9:P$108,$A90,1),1))</f>
        <v/>
      </c>
      <c r="L90" s="428" t="str">
        <f>IF(INDEX(設定!Q$9:Q$108,$A90,1)=0,"",ROUND(INDEX(設定!Q$9:Q$108,$A90,1),1))</f>
        <v/>
      </c>
      <c r="M90" s="429" t="str">
        <f>IF(INDEX(設定!R$9:R$108,$A90,1)=0,"",ROUND(INDEX(設定!R$9:R$108,$A90,1),1))</f>
        <v/>
      </c>
      <c r="N90" s="74"/>
      <c r="P90" s="14"/>
      <c r="Q90" s="14"/>
      <c r="S90" s="110" t="str">
        <f>IF(INDEX(設定!$F$9:$F$108,$A90,1)="","",VALUE(LEFT(INDEX(設定!$F$9:$F$108,$A90,1),1)))</f>
        <v/>
      </c>
      <c r="T90" s="219" t="str">
        <f>IF(C90="","",C90)</f>
        <v/>
      </c>
      <c r="U90" s="306" t="str">
        <f>IF(D90="","",IF(D90="1：男",1,IF(D90="2：女",2)))</f>
        <v/>
      </c>
      <c r="V90" s="309" t="str">
        <f>IF(E90="","",E90)</f>
        <v/>
      </c>
      <c r="W90" s="434">
        <f t="shared" si="94"/>
        <v>0</v>
      </c>
      <c r="X90" s="435" t="str">
        <f t="shared" si="95"/>
        <v/>
      </c>
      <c r="Y90" s="435">
        <f t="shared" si="96"/>
        <v>0</v>
      </c>
      <c r="Z90" s="435" t="str">
        <f t="shared" si="97"/>
        <v/>
      </c>
    </row>
    <row r="91" spans="1:26" ht="30" customHeight="1" x14ac:dyDescent="0.2">
      <c r="A91" s="145">
        <v>15</v>
      </c>
      <c r="C91" s="106" t="str">
        <f>IF(INDEX(設定!$C$9:$C$108,$A91,1)="","",INDEX(設定!$C$9:$C$108,$A91,1))</f>
        <v/>
      </c>
      <c r="D91" s="107" t="str">
        <f>IF(INDEX(設定!$D$9:$D$108,$A91,1)="","",INDEX(設定!$D$9:$D$108,$A91,1))</f>
        <v/>
      </c>
      <c r="E91" s="108" t="str">
        <f>IF(INDEX(設定!$E$9:$E$108,$A91,1)="","",INDEX(設定!$E$9:$E$108,$A91,1))</f>
        <v/>
      </c>
      <c r="F91" s="109" t="str">
        <f t="shared" si="98"/>
        <v/>
      </c>
      <c r="G91" s="428" t="str">
        <f>IF(INDEX(設定!L$9:L$108,$A91,1)=0,"",ROUND(INDEX(設定!L$9:L$108,$A91,1),1))</f>
        <v/>
      </c>
      <c r="H91" s="428" t="str">
        <f>IF(INDEX(設定!M$9:M$108,$A91,1)=0,"",ROUND(INDEX(設定!M$9:M$108,$A91,1),1))</f>
        <v/>
      </c>
      <c r="I91" s="428" t="str">
        <f>IF(INDEX(設定!N$9:N$108,$A91,1)=0,"",ROUND(INDEX(設定!N$9:N$108,$A91,1),1))</f>
        <v/>
      </c>
      <c r="J91" s="428" t="str">
        <f>IF(INDEX(設定!O$9:O$108,$A91,1)=0,"",ROUND(INDEX(設定!O$9:O$108,$A91,1),1))</f>
        <v/>
      </c>
      <c r="K91" s="428" t="str">
        <f>IF(INDEX(設定!P$9:P$108,$A91,1)=0,"",ROUND(INDEX(設定!P$9:P$108,$A91,1),1))</f>
        <v/>
      </c>
      <c r="L91" s="428" t="str">
        <f>IF(INDEX(設定!Q$9:Q$108,$A91,1)=0,"",ROUND(INDEX(設定!Q$9:Q$108,$A91,1),1))</f>
        <v/>
      </c>
      <c r="M91" s="429" t="str">
        <f>IF(INDEX(設定!R$9:R$108,$A91,1)=0,"",ROUND(INDEX(設定!R$9:R$108,$A91,1),1))</f>
        <v/>
      </c>
      <c r="N91" s="74"/>
      <c r="P91" s="14"/>
      <c r="Q91" s="14"/>
      <c r="S91" s="110" t="str">
        <f>IF(INDEX(設定!$F$9:$F$108,$A91,1)="","",VALUE(LEFT(INDEX(設定!$F$9:$F$108,$A91,1),1)))</f>
        <v/>
      </c>
      <c r="T91" s="219" t="str">
        <f>IF(C91="","",C91)</f>
        <v/>
      </c>
      <c r="U91" s="306" t="str">
        <f>IF(D91="","",IF(D91="1：男",1,IF(D91="2：女",2)))</f>
        <v/>
      </c>
      <c r="V91" s="309" t="str">
        <f>IF(E91="","",E91)</f>
        <v/>
      </c>
      <c r="W91" s="434">
        <f t="shared" si="94"/>
        <v>0</v>
      </c>
      <c r="X91" s="435" t="str">
        <f t="shared" si="95"/>
        <v/>
      </c>
      <c r="Y91" s="435">
        <f t="shared" si="96"/>
        <v>0</v>
      </c>
      <c r="Z91" s="435" t="str">
        <f t="shared" si="97"/>
        <v/>
      </c>
    </row>
    <row r="92" spans="1:26" ht="30" customHeight="1" x14ac:dyDescent="0.2">
      <c r="A92" s="145">
        <v>16</v>
      </c>
      <c r="C92" s="106" t="str">
        <f>IF(INDEX(設定!$C$9:$C$108,$A92,1)="","",INDEX(設定!$C$9:$C$108,$A92,1))</f>
        <v/>
      </c>
      <c r="D92" s="107" t="str">
        <f>IF(INDEX(設定!$D$9:$D$108,$A92,1)="","",INDEX(設定!$D$9:$D$108,$A92,1))</f>
        <v/>
      </c>
      <c r="E92" s="108" t="str">
        <f>IF(INDEX(設定!$E$9:$E$108,$A92,1)="","",INDEX(設定!$E$9:$E$108,$A92,1))</f>
        <v/>
      </c>
      <c r="F92" s="109" t="str">
        <f t="shared" si="98"/>
        <v/>
      </c>
      <c r="G92" s="428" t="str">
        <f>IF(INDEX(設定!L$9:L$108,$A92,1)=0,"",ROUND(INDEX(設定!L$9:L$108,$A92,1),1))</f>
        <v/>
      </c>
      <c r="H92" s="428" t="str">
        <f>IF(INDEX(設定!M$9:M$108,$A92,1)=0,"",ROUND(INDEX(設定!M$9:M$108,$A92,1),1))</f>
        <v/>
      </c>
      <c r="I92" s="428" t="str">
        <f>IF(INDEX(設定!N$9:N$108,$A92,1)=0,"",ROUND(INDEX(設定!N$9:N$108,$A92,1),1))</f>
        <v/>
      </c>
      <c r="J92" s="428" t="str">
        <f>IF(INDEX(設定!O$9:O$108,$A92,1)=0,"",ROUND(INDEX(設定!O$9:O$108,$A92,1),1))</f>
        <v/>
      </c>
      <c r="K92" s="428" t="str">
        <f>IF(INDEX(設定!P$9:P$108,$A92,1)=0,"",ROUND(INDEX(設定!P$9:P$108,$A92,1),1))</f>
        <v/>
      </c>
      <c r="L92" s="428" t="str">
        <f>IF(INDEX(設定!Q$9:Q$108,$A92,1)=0,"",ROUND(INDEX(設定!Q$9:Q$108,$A92,1),1))</f>
        <v/>
      </c>
      <c r="M92" s="429" t="str">
        <f>IF(INDEX(設定!R$9:R$108,$A92,1)=0,"",ROUND(INDEX(設定!R$9:R$108,$A92,1),1))</f>
        <v/>
      </c>
      <c r="N92" s="74"/>
      <c r="P92" s="14"/>
      <c r="Q92" s="14"/>
      <c r="S92" s="110" t="str">
        <f>IF(INDEX(設定!$F$9:$F$108,$A92,1)="","",VALUE(LEFT(INDEX(設定!$F$9:$F$108,$A92,1),1)))</f>
        <v/>
      </c>
      <c r="T92" s="219" t="str">
        <f t="shared" ref="T92:T95" si="105">IF(C92="","",C92)</f>
        <v/>
      </c>
      <c r="U92" s="306" t="str">
        <f t="shared" ref="U92:U95" si="106">IF(D92="","",IF(D92="1：男",1,IF(D92="2：女",2)))</f>
        <v/>
      </c>
      <c r="V92" s="309" t="str">
        <f t="shared" ref="V92:V95" si="107">IF(E92="","",E92)</f>
        <v/>
      </c>
      <c r="W92" s="434">
        <f t="shared" si="94"/>
        <v>0</v>
      </c>
      <c r="X92" s="435" t="str">
        <f t="shared" si="95"/>
        <v/>
      </c>
      <c r="Y92" s="435">
        <f t="shared" si="96"/>
        <v>0</v>
      </c>
      <c r="Z92" s="435" t="str">
        <f t="shared" si="97"/>
        <v/>
      </c>
    </row>
    <row r="93" spans="1:26" ht="30" customHeight="1" x14ac:dyDescent="0.2">
      <c r="A93" s="145">
        <v>17</v>
      </c>
      <c r="C93" s="106" t="str">
        <f>IF(INDEX(設定!$C$9:$C$108,$A93,1)="","",INDEX(設定!$C$9:$C$108,$A93,1))</f>
        <v/>
      </c>
      <c r="D93" s="107" t="str">
        <f>IF(INDEX(設定!$D$9:$D$108,$A93,1)="","",INDEX(設定!$D$9:$D$108,$A93,1))</f>
        <v/>
      </c>
      <c r="E93" s="108" t="str">
        <f>IF(INDEX(設定!$E$9:$E$108,$A93,1)="","",INDEX(設定!$E$9:$E$108,$A93,1))</f>
        <v/>
      </c>
      <c r="F93" s="109" t="str">
        <f t="shared" si="98"/>
        <v/>
      </c>
      <c r="G93" s="428" t="str">
        <f>IF(INDEX(設定!L$9:L$108,$A93,1)=0,"",ROUND(INDEX(設定!L$9:L$108,$A93,1),1))</f>
        <v/>
      </c>
      <c r="H93" s="428" t="str">
        <f>IF(INDEX(設定!M$9:M$108,$A93,1)=0,"",ROUND(INDEX(設定!M$9:M$108,$A93,1),1))</f>
        <v/>
      </c>
      <c r="I93" s="428" t="str">
        <f>IF(INDEX(設定!N$9:N$108,$A93,1)=0,"",ROUND(INDEX(設定!N$9:N$108,$A93,1),1))</f>
        <v/>
      </c>
      <c r="J93" s="428" t="str">
        <f>IF(INDEX(設定!O$9:O$108,$A93,1)=0,"",ROUND(INDEX(設定!O$9:O$108,$A93,1),1))</f>
        <v/>
      </c>
      <c r="K93" s="428" t="str">
        <f>IF(INDEX(設定!P$9:P$108,$A93,1)=0,"",ROUND(INDEX(設定!P$9:P$108,$A93,1),1))</f>
        <v/>
      </c>
      <c r="L93" s="428" t="str">
        <f>IF(INDEX(設定!Q$9:Q$108,$A93,1)=0,"",ROUND(INDEX(設定!Q$9:Q$108,$A93,1),1))</f>
        <v/>
      </c>
      <c r="M93" s="429" t="str">
        <f>IF(INDEX(設定!R$9:R$108,$A93,1)=0,"",ROUND(INDEX(設定!R$9:R$108,$A93,1),1))</f>
        <v/>
      </c>
      <c r="N93" s="74"/>
      <c r="P93" s="14"/>
      <c r="Q93" s="14"/>
      <c r="S93" s="110" t="str">
        <f>IF(INDEX(設定!$F$9:$F$108,$A93,1)="","",VALUE(LEFT(INDEX(設定!$F$9:$F$108,$A93,1),1)))</f>
        <v/>
      </c>
      <c r="T93" s="219" t="str">
        <f t="shared" si="105"/>
        <v/>
      </c>
      <c r="U93" s="306" t="str">
        <f t="shared" si="106"/>
        <v/>
      </c>
      <c r="V93" s="309" t="str">
        <f t="shared" si="107"/>
        <v/>
      </c>
      <c r="W93" s="434">
        <f t="shared" si="94"/>
        <v>0</v>
      </c>
      <c r="X93" s="435" t="str">
        <f t="shared" si="95"/>
        <v/>
      </c>
      <c r="Y93" s="435">
        <f t="shared" si="96"/>
        <v>0</v>
      </c>
      <c r="Z93" s="435" t="str">
        <f t="shared" si="97"/>
        <v/>
      </c>
    </row>
    <row r="94" spans="1:26" ht="30" customHeight="1" x14ac:dyDescent="0.2">
      <c r="A94" s="145">
        <v>18</v>
      </c>
      <c r="C94" s="106" t="str">
        <f>IF(INDEX(設定!$C$9:$C$108,$A94,1)="","",INDEX(設定!$C$9:$C$108,$A94,1))</f>
        <v/>
      </c>
      <c r="D94" s="107" t="str">
        <f>IF(INDEX(設定!$D$9:$D$108,$A94,1)="","",INDEX(設定!$D$9:$D$108,$A94,1))</f>
        <v/>
      </c>
      <c r="E94" s="108" t="str">
        <f>IF(INDEX(設定!$E$9:$E$108,$A94,1)="","",INDEX(設定!$E$9:$E$108,$A94,1))</f>
        <v/>
      </c>
      <c r="F94" s="109" t="str">
        <f t="shared" si="98"/>
        <v/>
      </c>
      <c r="G94" s="428" t="str">
        <f>IF(INDEX(設定!L$9:L$108,$A94,1)=0,"",ROUND(INDEX(設定!L$9:L$108,$A94,1),1))</f>
        <v/>
      </c>
      <c r="H94" s="428" t="str">
        <f>IF(INDEX(設定!M$9:M$108,$A94,1)=0,"",ROUND(INDEX(設定!M$9:M$108,$A94,1),1))</f>
        <v/>
      </c>
      <c r="I94" s="428" t="str">
        <f>IF(INDEX(設定!N$9:N$108,$A94,1)=0,"",ROUND(INDEX(設定!N$9:N$108,$A94,1),1))</f>
        <v/>
      </c>
      <c r="J94" s="428" t="str">
        <f>IF(INDEX(設定!O$9:O$108,$A94,1)=0,"",ROUND(INDEX(設定!O$9:O$108,$A94,1),1))</f>
        <v/>
      </c>
      <c r="K94" s="428" t="str">
        <f>IF(INDEX(設定!P$9:P$108,$A94,1)=0,"",ROUND(INDEX(設定!P$9:P$108,$A94,1),1))</f>
        <v/>
      </c>
      <c r="L94" s="428" t="str">
        <f>IF(INDEX(設定!Q$9:Q$108,$A94,1)=0,"",ROUND(INDEX(設定!Q$9:Q$108,$A94,1),1))</f>
        <v/>
      </c>
      <c r="M94" s="429" t="str">
        <f>IF(INDEX(設定!R$9:R$108,$A94,1)=0,"",ROUND(INDEX(設定!R$9:R$108,$A94,1),1))</f>
        <v/>
      </c>
      <c r="N94" s="74"/>
      <c r="P94" s="14"/>
      <c r="Q94" s="14"/>
      <c r="S94" s="110" t="str">
        <f>IF(INDEX(設定!$F$9:$F$108,$A94,1)="","",VALUE(LEFT(INDEX(設定!$F$9:$F$108,$A94,1),1)))</f>
        <v/>
      </c>
      <c r="T94" s="219" t="str">
        <f t="shared" si="105"/>
        <v/>
      </c>
      <c r="U94" s="306" t="str">
        <f t="shared" si="106"/>
        <v/>
      </c>
      <c r="V94" s="309" t="str">
        <f t="shared" si="107"/>
        <v/>
      </c>
      <c r="W94" s="434">
        <f t="shared" si="94"/>
        <v>0</v>
      </c>
      <c r="X94" s="435" t="str">
        <f t="shared" si="95"/>
        <v/>
      </c>
      <c r="Y94" s="435">
        <f t="shared" si="96"/>
        <v>0</v>
      </c>
      <c r="Z94" s="435" t="str">
        <f t="shared" si="97"/>
        <v/>
      </c>
    </row>
    <row r="95" spans="1:26" ht="30" customHeight="1" x14ac:dyDescent="0.2">
      <c r="A95" s="145">
        <v>19</v>
      </c>
      <c r="C95" s="106" t="str">
        <f>IF(INDEX(設定!$C$9:$C$108,$A95,1)="","",INDEX(設定!$C$9:$C$108,$A95,1))</f>
        <v/>
      </c>
      <c r="D95" s="107" t="str">
        <f>IF(INDEX(設定!$D$9:$D$108,$A95,1)="","",INDEX(設定!$D$9:$D$108,$A95,1))</f>
        <v/>
      </c>
      <c r="E95" s="108" t="str">
        <f>IF(INDEX(設定!$E$9:$E$108,$A95,1)="","",INDEX(設定!$E$9:$E$108,$A95,1))</f>
        <v/>
      </c>
      <c r="F95" s="109" t="str">
        <f t="shared" si="98"/>
        <v/>
      </c>
      <c r="G95" s="428" t="str">
        <f>IF(INDEX(設定!L$9:L$108,$A95,1)=0,"",ROUND(INDEX(設定!L$9:L$108,$A95,1),1))</f>
        <v/>
      </c>
      <c r="H95" s="428" t="str">
        <f>IF(INDEX(設定!M$9:M$108,$A95,1)=0,"",ROUND(INDEX(設定!M$9:M$108,$A95,1),1))</f>
        <v/>
      </c>
      <c r="I95" s="428" t="str">
        <f>IF(INDEX(設定!N$9:N$108,$A95,1)=0,"",ROUND(INDEX(設定!N$9:N$108,$A95,1),1))</f>
        <v/>
      </c>
      <c r="J95" s="428" t="str">
        <f>IF(INDEX(設定!O$9:O$108,$A95,1)=0,"",ROUND(INDEX(設定!O$9:O$108,$A95,1),1))</f>
        <v/>
      </c>
      <c r="K95" s="428" t="str">
        <f>IF(INDEX(設定!P$9:P$108,$A95,1)=0,"",ROUND(INDEX(設定!P$9:P$108,$A95,1),1))</f>
        <v/>
      </c>
      <c r="L95" s="428" t="str">
        <f>IF(INDEX(設定!Q$9:Q$108,$A95,1)=0,"",ROUND(INDEX(設定!Q$9:Q$108,$A95,1),1))</f>
        <v/>
      </c>
      <c r="M95" s="429" t="str">
        <f>IF(INDEX(設定!R$9:R$108,$A95,1)=0,"",ROUND(INDEX(設定!R$9:R$108,$A95,1),1))</f>
        <v/>
      </c>
      <c r="N95" s="74"/>
      <c r="P95" s="14"/>
      <c r="Q95" s="14"/>
      <c r="S95" s="110" t="str">
        <f>IF(INDEX(設定!$F$9:$F$108,$A95,1)="","",VALUE(LEFT(INDEX(設定!$F$9:$F$108,$A95,1),1)))</f>
        <v/>
      </c>
      <c r="T95" s="219" t="str">
        <f t="shared" si="105"/>
        <v/>
      </c>
      <c r="U95" s="306" t="str">
        <f t="shared" si="106"/>
        <v/>
      </c>
      <c r="V95" s="309" t="str">
        <f t="shared" si="107"/>
        <v/>
      </c>
      <c r="W95" s="434">
        <f t="shared" si="94"/>
        <v>0</v>
      </c>
      <c r="X95" s="435" t="str">
        <f t="shared" si="95"/>
        <v/>
      </c>
      <c r="Y95" s="435">
        <f t="shared" si="96"/>
        <v>0</v>
      </c>
      <c r="Z95" s="435" t="str">
        <f t="shared" si="97"/>
        <v/>
      </c>
    </row>
    <row r="96" spans="1:26" ht="30" customHeight="1" x14ac:dyDescent="0.2">
      <c r="A96" s="145">
        <v>20</v>
      </c>
      <c r="C96" s="106" t="str">
        <f>IF(INDEX(設定!$C$9:$C$108,$A96,1)="","",INDEX(設定!$C$9:$C$108,$A96,1))</f>
        <v/>
      </c>
      <c r="D96" s="107" t="str">
        <f>IF(INDEX(設定!$D$9:$D$108,$A96,1)="","",INDEX(設定!$D$9:$D$108,$A96,1))</f>
        <v/>
      </c>
      <c r="E96" s="108" t="str">
        <f>IF(INDEX(設定!$E$9:$E$108,$A96,1)="","",INDEX(設定!$E$9:$E$108,$A96,1))</f>
        <v/>
      </c>
      <c r="F96" s="109" t="str">
        <f t="shared" si="98"/>
        <v/>
      </c>
      <c r="G96" s="428" t="str">
        <f>IF(INDEX(設定!L$9:L$108,$A96,1)=0,"",ROUND(INDEX(設定!L$9:L$108,$A96,1),1))</f>
        <v/>
      </c>
      <c r="H96" s="428" t="str">
        <f>IF(INDEX(設定!M$9:M$108,$A96,1)=0,"",ROUND(INDEX(設定!M$9:M$108,$A96,1),1))</f>
        <v/>
      </c>
      <c r="I96" s="428" t="str">
        <f>IF(INDEX(設定!N$9:N$108,$A96,1)=0,"",ROUND(INDEX(設定!N$9:N$108,$A96,1),1))</f>
        <v/>
      </c>
      <c r="J96" s="428" t="str">
        <f>IF(INDEX(設定!O$9:O$108,$A96,1)=0,"",ROUND(INDEX(設定!O$9:O$108,$A96,1),1))</f>
        <v/>
      </c>
      <c r="K96" s="428" t="str">
        <f>IF(INDEX(設定!P$9:P$108,$A96,1)=0,"",ROUND(INDEX(設定!P$9:P$108,$A96,1),1))</f>
        <v/>
      </c>
      <c r="L96" s="428" t="str">
        <f>IF(INDEX(設定!Q$9:Q$108,$A96,1)=0,"",ROUND(INDEX(設定!Q$9:Q$108,$A96,1),1))</f>
        <v/>
      </c>
      <c r="M96" s="429" t="str">
        <f>IF(INDEX(設定!R$9:R$108,$A96,1)=0,"",ROUND(INDEX(設定!R$9:R$108,$A96,1),1))</f>
        <v/>
      </c>
      <c r="N96" s="74"/>
      <c r="P96" s="14"/>
      <c r="Q96" s="14"/>
      <c r="S96" s="110" t="str">
        <f>IF(INDEX(設定!$F$9:$F$108,$A96,1)="","",VALUE(LEFT(INDEX(設定!$F$9:$F$108,$A96,1),1)))</f>
        <v/>
      </c>
      <c r="T96" s="219" t="str">
        <f>IF(C96="","",C96)</f>
        <v/>
      </c>
      <c r="U96" s="306" t="str">
        <f>IF(D96="","",IF(D96="1：男",1,IF(D96="2：女",2)))</f>
        <v/>
      </c>
      <c r="V96" s="309" t="str">
        <f>IF(E96="","",E96)</f>
        <v/>
      </c>
      <c r="W96" s="434">
        <f t="shared" si="94"/>
        <v>0</v>
      </c>
      <c r="X96" s="435" t="str">
        <f t="shared" si="95"/>
        <v/>
      </c>
      <c r="Y96" s="435">
        <f t="shared" si="96"/>
        <v>0</v>
      </c>
      <c r="Z96" s="435" t="str">
        <f t="shared" si="97"/>
        <v/>
      </c>
    </row>
    <row r="97" spans="1:26" ht="30" customHeight="1" x14ac:dyDescent="0.2">
      <c r="A97" s="145">
        <v>21</v>
      </c>
      <c r="C97" s="106" t="str">
        <f>IF(INDEX(設定!$C$9:$C$108,$A97,1)="","",INDEX(設定!$C$9:$C$108,$A97,1))</f>
        <v/>
      </c>
      <c r="D97" s="107" t="str">
        <f>IF(INDEX(設定!$D$9:$D$108,$A97,1)="","",INDEX(設定!$D$9:$D$108,$A97,1))</f>
        <v/>
      </c>
      <c r="E97" s="108" t="str">
        <f>IF(INDEX(設定!$E$9:$E$108,$A97,1)="","",INDEX(設定!$E$9:$E$108,$A97,1))</f>
        <v/>
      </c>
      <c r="F97" s="109" t="str">
        <f t="shared" si="98"/>
        <v/>
      </c>
      <c r="G97" s="428" t="str">
        <f>IF(INDEX(設定!L$9:L$108,$A97,1)=0,"",ROUND(INDEX(設定!L$9:L$108,$A97,1),1))</f>
        <v/>
      </c>
      <c r="H97" s="428" t="str">
        <f>IF(INDEX(設定!M$9:M$108,$A97,1)=0,"",ROUND(INDEX(設定!M$9:M$108,$A97,1),1))</f>
        <v/>
      </c>
      <c r="I97" s="428" t="str">
        <f>IF(INDEX(設定!N$9:N$108,$A97,1)=0,"",ROUND(INDEX(設定!N$9:N$108,$A97,1),1))</f>
        <v/>
      </c>
      <c r="J97" s="428" t="str">
        <f>IF(INDEX(設定!O$9:O$108,$A97,1)=0,"",ROUND(INDEX(設定!O$9:O$108,$A97,1),1))</f>
        <v/>
      </c>
      <c r="K97" s="428" t="str">
        <f>IF(INDEX(設定!P$9:P$108,$A97,1)=0,"",ROUND(INDEX(設定!P$9:P$108,$A97,1),1))</f>
        <v/>
      </c>
      <c r="L97" s="428" t="str">
        <f>IF(INDEX(設定!Q$9:Q$108,$A97,1)=0,"",ROUND(INDEX(設定!Q$9:Q$108,$A97,1),1))</f>
        <v/>
      </c>
      <c r="M97" s="429" t="str">
        <f>IF(INDEX(設定!R$9:R$108,$A97,1)=0,"",ROUND(INDEX(設定!R$9:R$108,$A97,1),1))</f>
        <v/>
      </c>
      <c r="N97" s="74"/>
      <c r="P97" s="14"/>
      <c r="Q97" s="14"/>
      <c r="S97" s="110" t="str">
        <f>IF(INDEX(設定!$F$9:$F$108,$A97,1)="","",VALUE(LEFT(INDEX(設定!$F$9:$F$108,$A97,1),1)))</f>
        <v/>
      </c>
      <c r="T97" s="219" t="str">
        <f>IF(C97="","",C97)</f>
        <v/>
      </c>
      <c r="U97" s="306" t="str">
        <f>IF(D97="","",IF(D97="1：男",1,IF(D97="2：女",2)))</f>
        <v/>
      </c>
      <c r="V97" s="309" t="str">
        <f>IF(E97="","",E97)</f>
        <v/>
      </c>
      <c r="W97" s="434">
        <f t="shared" si="94"/>
        <v>0</v>
      </c>
      <c r="X97" s="435" t="str">
        <f t="shared" si="95"/>
        <v/>
      </c>
      <c r="Y97" s="435">
        <f t="shared" si="96"/>
        <v>0</v>
      </c>
      <c r="Z97" s="435" t="str">
        <f t="shared" si="97"/>
        <v/>
      </c>
    </row>
    <row r="98" spans="1:26" ht="30" customHeight="1" x14ac:dyDescent="0.2">
      <c r="A98" s="145">
        <v>22</v>
      </c>
      <c r="C98" s="106" t="str">
        <f>IF(INDEX(設定!$C$9:$C$108,$A98,1)="","",INDEX(設定!$C$9:$C$108,$A98,1))</f>
        <v/>
      </c>
      <c r="D98" s="107" t="str">
        <f>IF(INDEX(設定!$D$9:$D$108,$A98,1)="","",INDEX(設定!$D$9:$D$108,$A98,1))</f>
        <v/>
      </c>
      <c r="E98" s="108" t="str">
        <f>IF(INDEX(設定!$E$9:$E$108,$A98,1)="","",INDEX(設定!$E$9:$E$108,$A98,1))</f>
        <v/>
      </c>
      <c r="F98" s="109" t="str">
        <f t="shared" si="98"/>
        <v/>
      </c>
      <c r="G98" s="428" t="str">
        <f>IF(INDEX(設定!L$9:L$108,$A98,1)=0,"",ROUND(INDEX(設定!L$9:L$108,$A98,1),1))</f>
        <v/>
      </c>
      <c r="H98" s="428" t="str">
        <f>IF(INDEX(設定!M$9:M$108,$A98,1)=0,"",ROUND(INDEX(設定!M$9:M$108,$A98,1),1))</f>
        <v/>
      </c>
      <c r="I98" s="428" t="str">
        <f>IF(INDEX(設定!N$9:N$108,$A98,1)=0,"",ROUND(INDEX(設定!N$9:N$108,$A98,1),1))</f>
        <v/>
      </c>
      <c r="J98" s="428" t="str">
        <f>IF(INDEX(設定!O$9:O$108,$A98,1)=0,"",ROUND(INDEX(設定!O$9:O$108,$A98,1),1))</f>
        <v/>
      </c>
      <c r="K98" s="428" t="str">
        <f>IF(INDEX(設定!P$9:P$108,$A98,1)=0,"",ROUND(INDEX(設定!P$9:P$108,$A98,1),1))</f>
        <v/>
      </c>
      <c r="L98" s="428" t="str">
        <f>IF(INDEX(設定!Q$9:Q$108,$A98,1)=0,"",ROUND(INDEX(設定!Q$9:Q$108,$A98,1),1))</f>
        <v/>
      </c>
      <c r="M98" s="429" t="str">
        <f>IF(INDEX(設定!R$9:R$108,$A98,1)=0,"",ROUND(INDEX(設定!R$9:R$108,$A98,1),1))</f>
        <v/>
      </c>
      <c r="N98" s="74"/>
      <c r="P98" s="14"/>
      <c r="Q98" s="14"/>
      <c r="S98" s="110" t="str">
        <f>IF(INDEX(設定!$F$9:$F$108,$A98,1)="","",VALUE(LEFT(INDEX(設定!$F$9:$F$108,$A98,1),1)))</f>
        <v/>
      </c>
      <c r="T98" s="219" t="str">
        <f t="shared" ref="T98:T99" si="108">IF(C98="","",C98)</f>
        <v/>
      </c>
      <c r="U98" s="306" t="str">
        <f t="shared" ref="U98:U99" si="109">IF(D98="","",IF(D98="1：男",1,IF(D98="2：女",2)))</f>
        <v/>
      </c>
      <c r="V98" s="309" t="str">
        <f t="shared" ref="V98:V99" si="110">IF(E98="","",E98)</f>
        <v/>
      </c>
      <c r="W98" s="434">
        <f t="shared" si="94"/>
        <v>0</v>
      </c>
      <c r="X98" s="435" t="str">
        <f t="shared" si="95"/>
        <v/>
      </c>
      <c r="Y98" s="435">
        <f t="shared" si="96"/>
        <v>0</v>
      </c>
      <c r="Z98" s="435" t="str">
        <f t="shared" si="97"/>
        <v/>
      </c>
    </row>
    <row r="99" spans="1:26" ht="30" customHeight="1" x14ac:dyDescent="0.2">
      <c r="A99" s="145">
        <v>23</v>
      </c>
      <c r="C99" s="106" t="str">
        <f>IF(INDEX(設定!$C$9:$C$108,$A99,1)="","",INDEX(設定!$C$9:$C$108,$A99,1))</f>
        <v/>
      </c>
      <c r="D99" s="107" t="str">
        <f>IF(INDEX(設定!$D$9:$D$108,$A99,1)="","",INDEX(設定!$D$9:$D$108,$A99,1))</f>
        <v/>
      </c>
      <c r="E99" s="108" t="str">
        <f>IF(INDEX(設定!$E$9:$E$108,$A99,1)="","",INDEX(設定!$E$9:$E$108,$A99,1))</f>
        <v/>
      </c>
      <c r="F99" s="109" t="str">
        <f t="shared" si="98"/>
        <v/>
      </c>
      <c r="G99" s="428" t="str">
        <f>IF(INDEX(設定!L$9:L$108,$A99,1)=0,"",ROUND(INDEX(設定!L$9:L$108,$A99,1),1))</f>
        <v/>
      </c>
      <c r="H99" s="428" t="str">
        <f>IF(INDEX(設定!M$9:M$108,$A99,1)=0,"",ROUND(INDEX(設定!M$9:M$108,$A99,1),1))</f>
        <v/>
      </c>
      <c r="I99" s="428" t="str">
        <f>IF(INDEX(設定!N$9:N$108,$A99,1)=0,"",ROUND(INDEX(設定!N$9:N$108,$A99,1),1))</f>
        <v/>
      </c>
      <c r="J99" s="428" t="str">
        <f>IF(INDEX(設定!O$9:O$108,$A99,1)=0,"",ROUND(INDEX(設定!O$9:O$108,$A99,1),1))</f>
        <v/>
      </c>
      <c r="K99" s="428" t="str">
        <f>IF(INDEX(設定!P$9:P$108,$A99,1)=0,"",ROUND(INDEX(設定!P$9:P$108,$A99,1),1))</f>
        <v/>
      </c>
      <c r="L99" s="428" t="str">
        <f>IF(INDEX(設定!Q$9:Q$108,$A99,1)=0,"",ROUND(INDEX(設定!Q$9:Q$108,$A99,1),1))</f>
        <v/>
      </c>
      <c r="M99" s="429" t="str">
        <f>IF(INDEX(設定!R$9:R$108,$A99,1)=0,"",ROUND(INDEX(設定!R$9:R$108,$A99,1),1))</f>
        <v/>
      </c>
      <c r="N99" s="74"/>
      <c r="P99" s="14"/>
      <c r="Q99" s="14"/>
      <c r="S99" s="110" t="str">
        <f>IF(INDEX(設定!$F$9:$F$108,$A99,1)="","",VALUE(LEFT(INDEX(設定!$F$9:$F$108,$A99,1),1)))</f>
        <v/>
      </c>
      <c r="T99" s="219" t="str">
        <f t="shared" si="108"/>
        <v/>
      </c>
      <c r="U99" s="306" t="str">
        <f t="shared" si="109"/>
        <v/>
      </c>
      <c r="V99" s="309" t="str">
        <f t="shared" si="110"/>
        <v/>
      </c>
      <c r="W99" s="434">
        <f t="shared" si="94"/>
        <v>0</v>
      </c>
      <c r="X99" s="435" t="str">
        <f t="shared" si="95"/>
        <v/>
      </c>
      <c r="Y99" s="435">
        <f t="shared" si="96"/>
        <v>0</v>
      </c>
      <c r="Z99" s="435" t="str">
        <f t="shared" si="97"/>
        <v/>
      </c>
    </row>
    <row r="100" spans="1:26" ht="30" customHeight="1" x14ac:dyDescent="0.2">
      <c r="A100" s="145">
        <v>24</v>
      </c>
      <c r="C100" s="106" t="str">
        <f>IF(INDEX(設定!$C$9:$C$108,$A100,1)="","",INDEX(設定!$C$9:$C$108,$A100,1))</f>
        <v/>
      </c>
      <c r="D100" s="107" t="str">
        <f>IF(INDEX(設定!$D$9:$D$108,$A100,1)="","",INDEX(設定!$D$9:$D$108,$A100,1))</f>
        <v/>
      </c>
      <c r="E100" s="108" t="str">
        <f>IF(INDEX(設定!$E$9:$E$108,$A100,1)="","",INDEX(設定!$E$9:$E$108,$A100,1))</f>
        <v/>
      </c>
      <c r="F100" s="109" t="str">
        <f t="shared" si="98"/>
        <v/>
      </c>
      <c r="G100" s="428" t="str">
        <f>IF(INDEX(設定!L$9:L$108,$A100,1)=0,"",ROUND(INDEX(設定!L$9:L$108,$A100,1),1))</f>
        <v/>
      </c>
      <c r="H100" s="428" t="str">
        <f>IF(INDEX(設定!M$9:M$108,$A100,1)=0,"",ROUND(INDEX(設定!M$9:M$108,$A100,1),1))</f>
        <v/>
      </c>
      <c r="I100" s="428" t="str">
        <f>IF(INDEX(設定!N$9:N$108,$A100,1)=0,"",ROUND(INDEX(設定!N$9:N$108,$A100,1),1))</f>
        <v/>
      </c>
      <c r="J100" s="428" t="str">
        <f>IF(INDEX(設定!O$9:O$108,$A100,1)=0,"",ROUND(INDEX(設定!O$9:O$108,$A100,1),1))</f>
        <v/>
      </c>
      <c r="K100" s="428" t="str">
        <f>IF(INDEX(設定!P$9:P$108,$A100,1)=0,"",ROUND(INDEX(設定!P$9:P$108,$A100,1),1))</f>
        <v/>
      </c>
      <c r="L100" s="428" t="str">
        <f>IF(INDEX(設定!Q$9:Q$108,$A100,1)=0,"",ROUND(INDEX(設定!Q$9:Q$108,$A100,1),1))</f>
        <v/>
      </c>
      <c r="M100" s="429" t="str">
        <f>IF(INDEX(設定!R$9:R$108,$A100,1)=0,"",ROUND(INDEX(設定!R$9:R$108,$A100,1),1))</f>
        <v/>
      </c>
      <c r="N100" s="74"/>
      <c r="P100" s="14"/>
      <c r="Q100" s="14"/>
      <c r="S100" s="110" t="str">
        <f>IF(INDEX(設定!$F$9:$F$108,$A100,1)="","",VALUE(LEFT(INDEX(設定!$F$9:$F$108,$A100,1),1)))</f>
        <v/>
      </c>
      <c r="T100" s="219" t="str">
        <f>IF(C100="","",C100)</f>
        <v/>
      </c>
      <c r="U100" s="306" t="str">
        <f>IF(D100="","",IF(D100="1：男",1,IF(D100="2：女",2)))</f>
        <v/>
      </c>
      <c r="V100" s="309" t="str">
        <f>IF(E100="","",E100)</f>
        <v/>
      </c>
      <c r="W100" s="434">
        <f t="shared" si="94"/>
        <v>0</v>
      </c>
      <c r="X100" s="435" t="str">
        <f t="shared" si="95"/>
        <v/>
      </c>
      <c r="Y100" s="435">
        <f t="shared" si="96"/>
        <v>0</v>
      </c>
      <c r="Z100" s="435" t="str">
        <f t="shared" si="97"/>
        <v/>
      </c>
    </row>
    <row r="101" spans="1:26" ht="30" customHeight="1" x14ac:dyDescent="0.2">
      <c r="A101" s="145">
        <v>25</v>
      </c>
      <c r="C101" s="106" t="str">
        <f>IF(INDEX(設定!$C$9:$C$108,$A101,1)="","",INDEX(設定!$C$9:$C$108,$A101,1))</f>
        <v/>
      </c>
      <c r="D101" s="107" t="str">
        <f>IF(INDEX(設定!$D$9:$D$108,$A101,1)="","",INDEX(設定!$D$9:$D$108,$A101,1))</f>
        <v/>
      </c>
      <c r="E101" s="108" t="str">
        <f>IF(INDEX(設定!$E$9:$E$108,$A101,1)="","",INDEX(設定!$E$9:$E$108,$A101,1))</f>
        <v/>
      </c>
      <c r="F101" s="109" t="str">
        <f t="shared" si="98"/>
        <v/>
      </c>
      <c r="G101" s="428" t="str">
        <f>IF(INDEX(設定!L$9:L$108,$A101,1)=0,"",ROUND(INDEX(設定!L$9:L$108,$A101,1),1))</f>
        <v/>
      </c>
      <c r="H101" s="428" t="str">
        <f>IF(INDEX(設定!M$9:M$108,$A101,1)=0,"",ROUND(INDEX(設定!M$9:M$108,$A101,1),1))</f>
        <v/>
      </c>
      <c r="I101" s="428" t="str">
        <f>IF(INDEX(設定!N$9:N$108,$A101,1)=0,"",ROUND(INDEX(設定!N$9:N$108,$A101,1),1))</f>
        <v/>
      </c>
      <c r="J101" s="428" t="str">
        <f>IF(INDEX(設定!O$9:O$108,$A101,1)=0,"",ROUND(INDEX(設定!O$9:O$108,$A101,1),1))</f>
        <v/>
      </c>
      <c r="K101" s="428" t="str">
        <f>IF(INDEX(設定!P$9:P$108,$A101,1)=0,"",ROUND(INDEX(設定!P$9:P$108,$A101,1),1))</f>
        <v/>
      </c>
      <c r="L101" s="428" t="str">
        <f>IF(INDEX(設定!Q$9:Q$108,$A101,1)=0,"",ROUND(INDEX(設定!Q$9:Q$108,$A101,1),1))</f>
        <v/>
      </c>
      <c r="M101" s="429" t="str">
        <f>IF(INDEX(設定!R$9:R$108,$A101,1)=0,"",ROUND(INDEX(設定!R$9:R$108,$A101,1),1))</f>
        <v/>
      </c>
      <c r="N101" s="74"/>
      <c r="P101" s="14"/>
      <c r="Q101" s="14"/>
      <c r="S101" s="110" t="str">
        <f>IF(INDEX(設定!$F$9:$F$108,$A101,1)="","",VALUE(LEFT(INDEX(設定!$F$9:$F$108,$A101,1),1)))</f>
        <v/>
      </c>
      <c r="T101" s="219" t="str">
        <f>IF(C101="","",C101)</f>
        <v/>
      </c>
      <c r="U101" s="306" t="str">
        <f>IF(D101="","",IF(D101="1：男",1,IF(D101="2：女",2)))</f>
        <v/>
      </c>
      <c r="V101" s="309" t="str">
        <f>IF(E101="","",E101)</f>
        <v/>
      </c>
      <c r="W101" s="434">
        <f t="shared" si="94"/>
        <v>0</v>
      </c>
      <c r="X101" s="435" t="str">
        <f t="shared" si="95"/>
        <v/>
      </c>
      <c r="Y101" s="435">
        <f t="shared" si="96"/>
        <v>0</v>
      </c>
      <c r="Z101" s="435" t="str">
        <f t="shared" si="97"/>
        <v/>
      </c>
    </row>
    <row r="102" spans="1:26" ht="30" customHeight="1" x14ac:dyDescent="0.2">
      <c r="A102" s="145">
        <v>26</v>
      </c>
      <c r="C102" s="106" t="str">
        <f>IF(INDEX(設定!$C$9:$C$108,$A102,1)="","",INDEX(設定!$C$9:$C$108,$A102,1))</f>
        <v/>
      </c>
      <c r="D102" s="107" t="str">
        <f>IF(INDEX(設定!$D$9:$D$108,$A102,1)="","",INDEX(設定!$D$9:$D$108,$A102,1))</f>
        <v/>
      </c>
      <c r="E102" s="108" t="str">
        <f>IF(INDEX(設定!$E$9:$E$108,$A102,1)="","",INDEX(設定!$E$9:$E$108,$A102,1))</f>
        <v/>
      </c>
      <c r="F102" s="109" t="str">
        <f t="shared" si="98"/>
        <v/>
      </c>
      <c r="G102" s="428" t="str">
        <f>IF(INDEX(設定!L$9:L$108,$A102,1)=0,"",ROUND(INDEX(設定!L$9:L$108,$A102,1),1))</f>
        <v/>
      </c>
      <c r="H102" s="428" t="str">
        <f>IF(INDEX(設定!M$9:M$108,$A102,1)=0,"",ROUND(INDEX(設定!M$9:M$108,$A102,1),1))</f>
        <v/>
      </c>
      <c r="I102" s="428" t="str">
        <f>IF(INDEX(設定!N$9:N$108,$A102,1)=0,"",ROUND(INDEX(設定!N$9:N$108,$A102,1),1))</f>
        <v/>
      </c>
      <c r="J102" s="428" t="str">
        <f>IF(INDEX(設定!O$9:O$108,$A102,1)=0,"",ROUND(INDEX(設定!O$9:O$108,$A102,1),1))</f>
        <v/>
      </c>
      <c r="K102" s="428" t="str">
        <f>IF(INDEX(設定!P$9:P$108,$A102,1)=0,"",ROUND(INDEX(設定!P$9:P$108,$A102,1),1))</f>
        <v/>
      </c>
      <c r="L102" s="428" t="str">
        <f>IF(INDEX(設定!Q$9:Q$108,$A102,1)=0,"",ROUND(INDEX(設定!Q$9:Q$108,$A102,1),1))</f>
        <v/>
      </c>
      <c r="M102" s="429" t="str">
        <f>IF(INDEX(設定!R$9:R$108,$A102,1)=0,"",ROUND(INDEX(設定!R$9:R$108,$A102,1),1))</f>
        <v/>
      </c>
      <c r="N102" s="74"/>
      <c r="P102" s="14"/>
      <c r="Q102" s="14"/>
      <c r="S102" s="110" t="str">
        <f>IF(INDEX(設定!$F$9:$F$108,$A102,1)="","",VALUE(LEFT(INDEX(設定!$F$9:$F$108,$A102,1),1)))</f>
        <v/>
      </c>
      <c r="T102" s="219" t="str">
        <f t="shared" ref="T102:T106" si="111">IF(C102="","",C102)</f>
        <v/>
      </c>
      <c r="U102" s="306" t="str">
        <f t="shared" ref="U102:U106" si="112">IF(D102="","",IF(D102="1：男",1,IF(D102="2：女",2)))</f>
        <v/>
      </c>
      <c r="V102" s="309" t="str">
        <f t="shared" ref="V102:V106" si="113">IF(E102="","",E102)</f>
        <v/>
      </c>
      <c r="W102" s="434">
        <f t="shared" si="94"/>
        <v>0</v>
      </c>
      <c r="X102" s="435" t="str">
        <f t="shared" si="95"/>
        <v/>
      </c>
      <c r="Y102" s="435">
        <f t="shared" si="96"/>
        <v>0</v>
      </c>
      <c r="Z102" s="435" t="str">
        <f t="shared" si="97"/>
        <v/>
      </c>
    </row>
    <row r="103" spans="1:26" ht="30" customHeight="1" x14ac:dyDescent="0.2">
      <c r="A103" s="145">
        <v>27</v>
      </c>
      <c r="C103" s="106" t="str">
        <f>IF(INDEX(設定!$C$9:$C$108,$A103,1)="","",INDEX(設定!$C$9:$C$108,$A103,1))</f>
        <v/>
      </c>
      <c r="D103" s="107" t="str">
        <f>IF(INDEX(設定!$D$9:$D$108,$A103,1)="","",INDEX(設定!$D$9:$D$108,$A103,1))</f>
        <v/>
      </c>
      <c r="E103" s="108" t="str">
        <f>IF(INDEX(設定!$E$9:$E$108,$A103,1)="","",INDEX(設定!$E$9:$E$108,$A103,1))</f>
        <v/>
      </c>
      <c r="F103" s="109" t="str">
        <f t="shared" si="98"/>
        <v/>
      </c>
      <c r="G103" s="428" t="str">
        <f>IF(INDEX(設定!L$9:L$108,$A103,1)=0,"",ROUND(INDEX(設定!L$9:L$108,$A103,1),1))</f>
        <v/>
      </c>
      <c r="H103" s="428" t="str">
        <f>IF(INDEX(設定!M$9:M$108,$A103,1)=0,"",ROUND(INDEX(設定!M$9:M$108,$A103,1),1))</f>
        <v/>
      </c>
      <c r="I103" s="428" t="str">
        <f>IF(INDEX(設定!N$9:N$108,$A103,1)=0,"",ROUND(INDEX(設定!N$9:N$108,$A103,1),1))</f>
        <v/>
      </c>
      <c r="J103" s="428" t="str">
        <f>IF(INDEX(設定!O$9:O$108,$A103,1)=0,"",ROUND(INDEX(設定!O$9:O$108,$A103,1),1))</f>
        <v/>
      </c>
      <c r="K103" s="428" t="str">
        <f>IF(INDEX(設定!P$9:P$108,$A103,1)=0,"",ROUND(INDEX(設定!P$9:P$108,$A103,1),1))</f>
        <v/>
      </c>
      <c r="L103" s="428" t="str">
        <f>IF(INDEX(設定!Q$9:Q$108,$A103,1)=0,"",ROUND(INDEX(設定!Q$9:Q$108,$A103,1),1))</f>
        <v/>
      </c>
      <c r="M103" s="429" t="str">
        <f>IF(INDEX(設定!R$9:R$108,$A103,1)=0,"",ROUND(INDEX(設定!R$9:R$108,$A103,1),1))</f>
        <v/>
      </c>
      <c r="N103" s="74"/>
      <c r="P103" s="14"/>
      <c r="Q103" s="14"/>
      <c r="S103" s="110" t="str">
        <f>IF(INDEX(設定!$F$9:$F$108,$A103,1)="","",VALUE(LEFT(INDEX(設定!$F$9:$F$108,$A103,1),1)))</f>
        <v/>
      </c>
      <c r="T103" s="219" t="str">
        <f t="shared" si="111"/>
        <v/>
      </c>
      <c r="U103" s="306" t="str">
        <f t="shared" si="112"/>
        <v/>
      </c>
      <c r="V103" s="309" t="str">
        <f t="shared" si="113"/>
        <v/>
      </c>
      <c r="W103" s="434">
        <f t="shared" si="94"/>
        <v>0</v>
      </c>
      <c r="X103" s="435" t="str">
        <f t="shared" si="95"/>
        <v/>
      </c>
      <c r="Y103" s="435">
        <f t="shared" si="96"/>
        <v>0</v>
      </c>
      <c r="Z103" s="435" t="str">
        <f t="shared" si="97"/>
        <v/>
      </c>
    </row>
    <row r="104" spans="1:26" ht="30" customHeight="1" x14ac:dyDescent="0.2">
      <c r="A104" s="145">
        <v>28</v>
      </c>
      <c r="C104" s="106" t="str">
        <f>IF(INDEX(設定!$C$9:$C$108,$A104,1)="","",INDEX(設定!$C$9:$C$108,$A104,1))</f>
        <v/>
      </c>
      <c r="D104" s="107" t="str">
        <f>IF(INDEX(設定!$D$9:$D$108,$A104,1)="","",INDEX(設定!$D$9:$D$108,$A104,1))</f>
        <v/>
      </c>
      <c r="E104" s="108" t="str">
        <f>IF(INDEX(設定!$E$9:$E$108,$A104,1)="","",INDEX(設定!$E$9:$E$108,$A104,1))</f>
        <v/>
      </c>
      <c r="F104" s="109" t="str">
        <f t="shared" si="98"/>
        <v/>
      </c>
      <c r="G104" s="428" t="str">
        <f>IF(INDEX(設定!L$9:L$108,$A104,1)=0,"",ROUND(INDEX(設定!L$9:L$108,$A104,1),1))</f>
        <v/>
      </c>
      <c r="H104" s="428" t="str">
        <f>IF(INDEX(設定!M$9:M$108,$A104,1)=0,"",ROUND(INDEX(設定!M$9:M$108,$A104,1),1))</f>
        <v/>
      </c>
      <c r="I104" s="428" t="str">
        <f>IF(INDEX(設定!N$9:N$108,$A104,1)=0,"",ROUND(INDEX(設定!N$9:N$108,$A104,1),1))</f>
        <v/>
      </c>
      <c r="J104" s="428" t="str">
        <f>IF(INDEX(設定!O$9:O$108,$A104,1)=0,"",ROUND(INDEX(設定!O$9:O$108,$A104,1),1))</f>
        <v/>
      </c>
      <c r="K104" s="428" t="str">
        <f>IF(INDEX(設定!P$9:P$108,$A104,1)=0,"",ROUND(INDEX(設定!P$9:P$108,$A104,1),1))</f>
        <v/>
      </c>
      <c r="L104" s="428" t="str">
        <f>IF(INDEX(設定!Q$9:Q$108,$A104,1)=0,"",ROUND(INDEX(設定!Q$9:Q$108,$A104,1),1))</f>
        <v/>
      </c>
      <c r="M104" s="429" t="str">
        <f>IF(INDEX(設定!R$9:R$108,$A104,1)=0,"",ROUND(INDEX(設定!R$9:R$108,$A104,1),1))</f>
        <v/>
      </c>
      <c r="N104" s="74"/>
      <c r="P104" s="14"/>
      <c r="Q104" s="14"/>
      <c r="S104" s="110" t="str">
        <f>IF(INDEX(設定!$F$9:$F$108,$A104,1)="","",VALUE(LEFT(INDEX(設定!$F$9:$F$108,$A104,1),1)))</f>
        <v/>
      </c>
      <c r="T104" s="219" t="str">
        <f t="shared" si="111"/>
        <v/>
      </c>
      <c r="U104" s="306" t="str">
        <f t="shared" si="112"/>
        <v/>
      </c>
      <c r="V104" s="309" t="str">
        <f t="shared" si="113"/>
        <v/>
      </c>
      <c r="W104" s="434">
        <f t="shared" si="94"/>
        <v>0</v>
      </c>
      <c r="X104" s="435" t="str">
        <f t="shared" si="95"/>
        <v/>
      </c>
      <c r="Y104" s="435">
        <f t="shared" si="96"/>
        <v>0</v>
      </c>
      <c r="Z104" s="435" t="str">
        <f t="shared" si="97"/>
        <v/>
      </c>
    </row>
    <row r="105" spans="1:26" ht="30" customHeight="1" x14ac:dyDescent="0.2">
      <c r="A105" s="145">
        <v>29</v>
      </c>
      <c r="C105" s="106" t="str">
        <f>IF(INDEX(設定!$C$9:$C$108,$A105,1)="","",INDEX(設定!$C$9:$C$108,$A105,1))</f>
        <v/>
      </c>
      <c r="D105" s="107" t="str">
        <f>IF(INDEX(設定!$D$9:$D$108,$A105,1)="","",INDEX(設定!$D$9:$D$108,$A105,1))</f>
        <v/>
      </c>
      <c r="E105" s="108" t="str">
        <f>IF(INDEX(設定!$E$9:$E$108,$A105,1)="","",INDEX(設定!$E$9:$E$108,$A105,1))</f>
        <v/>
      </c>
      <c r="F105" s="109" t="str">
        <f t="shared" si="98"/>
        <v/>
      </c>
      <c r="G105" s="428" t="str">
        <f>IF(INDEX(設定!L$9:L$108,$A105,1)=0,"",ROUND(INDEX(設定!L$9:L$108,$A105,1),1))</f>
        <v/>
      </c>
      <c r="H105" s="428" t="str">
        <f>IF(INDEX(設定!M$9:M$108,$A105,1)=0,"",ROUND(INDEX(設定!M$9:M$108,$A105,1),1))</f>
        <v/>
      </c>
      <c r="I105" s="428" t="str">
        <f>IF(INDEX(設定!N$9:N$108,$A105,1)=0,"",ROUND(INDEX(設定!N$9:N$108,$A105,1),1))</f>
        <v/>
      </c>
      <c r="J105" s="428" t="str">
        <f>IF(INDEX(設定!O$9:O$108,$A105,1)=0,"",ROUND(INDEX(設定!O$9:O$108,$A105,1),1))</f>
        <v/>
      </c>
      <c r="K105" s="428" t="str">
        <f>IF(INDEX(設定!P$9:P$108,$A105,1)=0,"",ROUND(INDEX(設定!P$9:P$108,$A105,1),1))</f>
        <v/>
      </c>
      <c r="L105" s="428" t="str">
        <f>IF(INDEX(設定!Q$9:Q$108,$A105,1)=0,"",ROUND(INDEX(設定!Q$9:Q$108,$A105,1),1))</f>
        <v/>
      </c>
      <c r="M105" s="429" t="str">
        <f>IF(INDEX(設定!R$9:R$108,$A105,1)=0,"",ROUND(INDEX(設定!R$9:R$108,$A105,1),1))</f>
        <v/>
      </c>
      <c r="N105" s="74"/>
      <c r="P105" s="14"/>
      <c r="Q105" s="14"/>
      <c r="S105" s="110" t="str">
        <f>IF(INDEX(設定!$F$9:$F$108,$A105,1)="","",VALUE(LEFT(INDEX(設定!$F$9:$F$108,$A105,1),1)))</f>
        <v/>
      </c>
      <c r="T105" s="219" t="str">
        <f t="shared" si="111"/>
        <v/>
      </c>
      <c r="U105" s="306" t="str">
        <f t="shared" si="112"/>
        <v/>
      </c>
      <c r="V105" s="309" t="str">
        <f t="shared" si="113"/>
        <v/>
      </c>
      <c r="W105" s="434">
        <f t="shared" si="94"/>
        <v>0</v>
      </c>
      <c r="X105" s="435" t="str">
        <f t="shared" si="95"/>
        <v/>
      </c>
      <c r="Y105" s="435">
        <f t="shared" si="96"/>
        <v>0</v>
      </c>
      <c r="Z105" s="435" t="str">
        <f t="shared" si="97"/>
        <v/>
      </c>
    </row>
    <row r="106" spans="1:26" ht="30" customHeight="1" thickBot="1" x14ac:dyDescent="0.25">
      <c r="A106" s="145">
        <v>30</v>
      </c>
      <c r="C106" s="111" t="str">
        <f>IF(INDEX(設定!$C$9:$C$108,$A106,1)="","",INDEX(設定!$C$9:$C$108,$A106,1))</f>
        <v/>
      </c>
      <c r="D106" s="163" t="str">
        <f>IF(INDEX(設定!$D$9:$D$108,$A106,1)="","",INDEX(設定!$D$9:$D$108,$A106,1))</f>
        <v/>
      </c>
      <c r="E106" s="164" t="str">
        <f>IF(INDEX(設定!$E$9:$E$108,$A106,1)="","",INDEX(設定!$E$9:$E$108,$A106,1))</f>
        <v/>
      </c>
      <c r="F106" s="165" t="str">
        <f t="shared" si="98"/>
        <v/>
      </c>
      <c r="G106" s="430" t="str">
        <f>IF(INDEX(設定!L$9:L$108,$A106,1)=0,"",ROUND(INDEX(設定!L$9:L$108,$A106,1),1))</f>
        <v/>
      </c>
      <c r="H106" s="430" t="str">
        <f>IF(INDEX(設定!M$9:M$108,$A106,1)=0,"",ROUND(INDEX(設定!M$9:M$108,$A106,1),1))</f>
        <v/>
      </c>
      <c r="I106" s="430" t="str">
        <f>IF(INDEX(設定!N$9:N$108,$A106,1)=0,"",ROUND(INDEX(設定!N$9:N$108,$A106,1),1))</f>
        <v/>
      </c>
      <c r="J106" s="430" t="str">
        <f>IF(INDEX(設定!O$9:O$108,$A106,1)=0,"",ROUND(INDEX(設定!O$9:O$108,$A106,1),1))</f>
        <v/>
      </c>
      <c r="K106" s="430" t="str">
        <f>IF(INDEX(設定!P$9:P$108,$A106,1)=0,"",ROUND(INDEX(設定!P$9:P$108,$A106,1),1))</f>
        <v/>
      </c>
      <c r="L106" s="430" t="str">
        <f>IF(INDEX(設定!Q$9:Q$108,$A106,1)=0,"",ROUND(INDEX(設定!Q$9:Q$108,$A106,1),1))</f>
        <v/>
      </c>
      <c r="M106" s="431" t="str">
        <f>IF(INDEX(設定!R$9:R$108,$A106,1)=0,"",ROUND(INDEX(設定!R$9:R$108,$A106,1),1))</f>
        <v/>
      </c>
      <c r="N106" s="74"/>
      <c r="P106" s="14"/>
      <c r="Q106" s="14"/>
      <c r="S106" s="162" t="str">
        <f>IF(INDEX(設定!$F$9:$F$108,$A106,1)="","",VALUE(LEFT(INDEX(設定!$F$9:$F$108,$A106,1),1)))</f>
        <v/>
      </c>
      <c r="T106" s="204" t="str">
        <f t="shared" si="111"/>
        <v/>
      </c>
      <c r="U106" s="307" t="str">
        <f t="shared" si="112"/>
        <v/>
      </c>
      <c r="V106" s="311" t="str">
        <f t="shared" si="113"/>
        <v/>
      </c>
      <c r="W106" s="434">
        <f t="shared" si="94"/>
        <v>0</v>
      </c>
      <c r="X106" s="435" t="str">
        <f t="shared" si="95"/>
        <v/>
      </c>
      <c r="Y106" s="435">
        <f t="shared" si="96"/>
        <v>0</v>
      </c>
      <c r="Z106" s="435" t="str">
        <f t="shared" si="97"/>
        <v/>
      </c>
    </row>
    <row r="107" spans="1:26" ht="30" customHeight="1" x14ac:dyDescent="0.15">
      <c r="P107" s="14"/>
      <c r="Q107" s="14"/>
      <c r="T107" s="238"/>
      <c r="U107" s="238"/>
      <c r="V107" s="238"/>
      <c r="W107" s="238"/>
      <c r="X107" s="238"/>
      <c r="Y107" s="238"/>
      <c r="Z107" s="238"/>
    </row>
    <row r="108" spans="1:26" ht="30" customHeight="1" x14ac:dyDescent="0.15">
      <c r="C108"/>
      <c r="D108"/>
      <c r="E108"/>
      <c r="F108"/>
      <c r="G108" s="318"/>
      <c r="H108" s="318"/>
      <c r="I108" s="318"/>
      <c r="J108" s="318"/>
      <c r="K108" s="318"/>
      <c r="L108" s="318"/>
      <c r="M108" s="318"/>
      <c r="N108" s="318"/>
      <c r="O108" s="238"/>
      <c r="T108" s="238"/>
      <c r="U108" s="238"/>
      <c r="V108" s="238"/>
      <c r="W108" s="238"/>
      <c r="X108" s="238"/>
      <c r="Y108" s="238"/>
      <c r="Z108" s="238"/>
    </row>
    <row r="109" spans="1:26" ht="30" customHeight="1" thickBot="1" x14ac:dyDescent="0.2">
      <c r="C109" s="319" t="s">
        <v>142</v>
      </c>
      <c r="D109" s="318"/>
      <c r="E109" s="318"/>
      <c r="F109" s="318"/>
      <c r="G109" s="318"/>
      <c r="H109" s="318"/>
      <c r="I109" s="318"/>
      <c r="J109" s="318"/>
      <c r="K109" s="318"/>
      <c r="L109" s="318"/>
      <c r="M109" s="320"/>
      <c r="N109" s="318"/>
      <c r="O109" s="238"/>
      <c r="S109" s="238" t="s">
        <v>147</v>
      </c>
      <c r="T109" s="238"/>
      <c r="U109" s="238"/>
      <c r="V109" s="238"/>
      <c r="W109" s="238"/>
      <c r="X109" s="238"/>
      <c r="Y109" s="238"/>
      <c r="Z109" s="238"/>
    </row>
    <row r="110" spans="1:26" ht="30" customHeight="1" x14ac:dyDescent="0.15">
      <c r="C110" s="565" t="s">
        <v>143</v>
      </c>
      <c r="D110" s="567" t="s">
        <v>144</v>
      </c>
      <c r="E110" s="569" t="s">
        <v>145</v>
      </c>
      <c r="F110" s="570"/>
      <c r="G110" s="321"/>
      <c r="H110" s="238"/>
      <c r="I110" s="238"/>
      <c r="J110" s="318"/>
      <c r="K110" s="318"/>
      <c r="L110" s="318"/>
      <c r="M110" s="318"/>
      <c r="N110" s="318"/>
      <c r="O110" s="238"/>
      <c r="S110" s="571" t="s">
        <v>143</v>
      </c>
      <c r="T110" s="573" t="s">
        <v>139</v>
      </c>
      <c r="U110" s="574"/>
      <c r="V110"/>
      <c r="W110"/>
      <c r="X110" s="238"/>
      <c r="Y110" s="238"/>
      <c r="Z110" s="238"/>
    </row>
    <row r="111" spans="1:26" ht="30" customHeight="1" thickBot="1" x14ac:dyDescent="0.2">
      <c r="C111" s="566"/>
      <c r="D111" s="568"/>
      <c r="E111" s="322" t="s">
        <v>146</v>
      </c>
      <c r="F111" s="323" t="s">
        <v>141</v>
      </c>
      <c r="G111" s="324"/>
      <c r="H111" s="238"/>
      <c r="I111" s="238"/>
      <c r="J111" s="318"/>
      <c r="K111" s="318"/>
      <c r="L111" s="318"/>
      <c r="M111" s="318"/>
      <c r="N111" s="318"/>
      <c r="O111" s="238"/>
      <c r="S111" s="572"/>
      <c r="T111" s="312" t="s">
        <v>140</v>
      </c>
      <c r="U111" s="313" t="s">
        <v>141</v>
      </c>
      <c r="V111"/>
      <c r="W111"/>
      <c r="X111" s="238"/>
      <c r="Y111" s="238"/>
      <c r="Z111" s="238"/>
    </row>
    <row r="112" spans="1:26" ht="30" customHeight="1" thickTop="1" x14ac:dyDescent="0.15">
      <c r="C112" s="325" t="s">
        <v>121</v>
      </c>
      <c r="D112" s="326"/>
      <c r="E112" s="327"/>
      <c r="F112" s="328"/>
      <c r="G112" s="329"/>
      <c r="H112" s="238"/>
      <c r="I112" s="238"/>
      <c r="J112" s="318"/>
      <c r="K112" s="318"/>
      <c r="L112" s="318"/>
      <c r="M112" s="318"/>
      <c r="N112" s="318"/>
      <c r="O112" s="238"/>
      <c r="S112" s="334" t="s">
        <v>121</v>
      </c>
      <c r="T112" s="314" t="str">
        <f>IF(E112="","",ROUND(D112*E112%,0))</f>
        <v/>
      </c>
      <c r="U112" s="315" t="str">
        <f>IF(F112="","",ROUND(D112*(F112%),0))</f>
        <v/>
      </c>
      <c r="V112"/>
      <c r="W112"/>
      <c r="X112" s="238"/>
      <c r="Y112" s="238"/>
      <c r="Z112" s="238"/>
    </row>
    <row r="113" spans="3:26" ht="30" customHeight="1" thickBot="1" x14ac:dyDescent="0.2">
      <c r="C113" s="330" t="s">
        <v>122</v>
      </c>
      <c r="D113" s="331"/>
      <c r="E113" s="332"/>
      <c r="F113" s="333"/>
      <c r="G113" s="329"/>
      <c r="H113" s="238"/>
      <c r="I113" s="238"/>
      <c r="J113" s="318"/>
      <c r="K113" s="318"/>
      <c r="L113" s="318"/>
      <c r="M113" s="318"/>
      <c r="N113" s="318"/>
      <c r="O113" s="238"/>
      <c r="S113" s="335" t="s">
        <v>122</v>
      </c>
      <c r="T113" s="316" t="str">
        <f>IF(E113="","",ROUND(D113*E113%,0))</f>
        <v/>
      </c>
      <c r="U113" s="317" t="str">
        <f>IF(F113="","",ROUND(D113*(F113%),0))</f>
        <v/>
      </c>
      <c r="V113"/>
      <c r="W113"/>
      <c r="X113" s="238"/>
      <c r="Y113" s="238"/>
      <c r="Z113" s="238"/>
    </row>
  </sheetData>
  <sheetProtection formatCells="0" formatColumns="0" formatRows="0" insertColumns="0" insertRows="0" insertHyperlinks="0" deleteColumns="0" deleteRows="0" selectLockedCells="1" sort="0"/>
  <mergeCells count="90">
    <mergeCell ref="K8:L10"/>
    <mergeCell ref="M8:N10"/>
    <mergeCell ref="S8:S10"/>
    <mergeCell ref="C8:C10"/>
    <mergeCell ref="D8:D10"/>
    <mergeCell ref="E8:E10"/>
    <mergeCell ref="F8:F10"/>
    <mergeCell ref="G8:H10"/>
    <mergeCell ref="I8:J10"/>
    <mergeCell ref="T8:T10"/>
    <mergeCell ref="U8:U10"/>
    <mergeCell ref="V8:V10"/>
    <mergeCell ref="W8:W10"/>
    <mergeCell ref="X8:X10"/>
    <mergeCell ref="Y8:Y10"/>
    <mergeCell ref="AC8:AE10"/>
    <mergeCell ref="AF8:AK8"/>
    <mergeCell ref="AL8:AS8"/>
    <mergeCell ref="AV8:AX10"/>
    <mergeCell ref="BC9:BD9"/>
    <mergeCell ref="BE9:BF9"/>
    <mergeCell ref="AC11:AE11"/>
    <mergeCell ref="AV11:AX11"/>
    <mergeCell ref="AD12:AE12"/>
    <mergeCell ref="AW12:AX12"/>
    <mergeCell ref="AY8:AZ9"/>
    <mergeCell ref="BA8:BB9"/>
    <mergeCell ref="AF9:AG9"/>
    <mergeCell ref="AH9:AI9"/>
    <mergeCell ref="AJ9:AK9"/>
    <mergeCell ref="AL9:AM9"/>
    <mergeCell ref="AN9:AO9"/>
    <mergeCell ref="AP9:AQ9"/>
    <mergeCell ref="AR9:AS9"/>
    <mergeCell ref="AD13:AE13"/>
    <mergeCell ref="AW13:AX13"/>
    <mergeCell ref="AD14:AE14"/>
    <mergeCell ref="AW14:AX14"/>
    <mergeCell ref="AD15:AE15"/>
    <mergeCell ref="AW15:AX15"/>
    <mergeCell ref="AD16:AE16"/>
    <mergeCell ref="AW16:AX16"/>
    <mergeCell ref="AD21:AE21"/>
    <mergeCell ref="AD26:AE26"/>
    <mergeCell ref="AC31:AE31"/>
    <mergeCell ref="AV31:AX31"/>
    <mergeCell ref="AD32:AE32"/>
    <mergeCell ref="AW32:AX32"/>
    <mergeCell ref="AD33:AE33"/>
    <mergeCell ref="AW33:AX33"/>
    <mergeCell ref="AD34:AE34"/>
    <mergeCell ref="AW34:AX34"/>
    <mergeCell ref="AD35:AE35"/>
    <mergeCell ref="AW35:AX35"/>
    <mergeCell ref="AC36:AE36"/>
    <mergeCell ref="AV36:AX36"/>
    <mergeCell ref="AD37:AE37"/>
    <mergeCell ref="AW37:AX37"/>
    <mergeCell ref="AD38:AE38"/>
    <mergeCell ref="AW38:AX38"/>
    <mergeCell ref="AD39:AE39"/>
    <mergeCell ref="AW39:AX39"/>
    <mergeCell ref="AD40:AE40"/>
    <mergeCell ref="AW40:AX40"/>
    <mergeCell ref="M75:M76"/>
    <mergeCell ref="X75:X76"/>
    <mergeCell ref="Y75:Y76"/>
    <mergeCell ref="H75:H76"/>
    <mergeCell ref="I75:I76"/>
    <mergeCell ref="J75:J76"/>
    <mergeCell ref="K75:K76"/>
    <mergeCell ref="L75:L76"/>
    <mergeCell ref="AC41:AE41"/>
    <mergeCell ref="S74:S76"/>
    <mergeCell ref="T74:T76"/>
    <mergeCell ref="U74:U76"/>
    <mergeCell ref="V74:V76"/>
    <mergeCell ref="W74:W76"/>
    <mergeCell ref="X74:Y74"/>
    <mergeCell ref="Z74:Z76"/>
    <mergeCell ref="C110:C111"/>
    <mergeCell ref="D110:D111"/>
    <mergeCell ref="E110:F110"/>
    <mergeCell ref="S110:S111"/>
    <mergeCell ref="T110:U110"/>
    <mergeCell ref="C75:C76"/>
    <mergeCell ref="D75:D76"/>
    <mergeCell ref="E75:E76"/>
    <mergeCell ref="F75:F76"/>
    <mergeCell ref="G75:G76"/>
  </mergeCells>
  <phoneticPr fontId="2"/>
  <conditionalFormatting sqref="D11:D12">
    <cfRule type="expression" dxfId="36" priority="55">
      <formula>AND(C11&lt;&gt;"",D11="")</formula>
    </cfRule>
  </conditionalFormatting>
  <conditionalFormatting sqref="F11:F12">
    <cfRule type="expression" dxfId="35" priority="54">
      <formula>AND(C11&lt;&gt;"",C11&lt;&gt;"手伝い・共同作業受け",C11&lt;&gt;"ゆい・手間替え受け",C11&lt;&gt;"同居人",F11="")</formula>
    </cfRule>
  </conditionalFormatting>
  <conditionalFormatting sqref="D25:D26">
    <cfRule type="expression" dxfId="34" priority="46">
      <formula>AND(C25&lt;&gt;"",D25="")</formula>
    </cfRule>
  </conditionalFormatting>
  <conditionalFormatting sqref="F25:F26">
    <cfRule type="expression" dxfId="33" priority="45">
      <formula>AND(C25&lt;&gt;"",C25&lt;&gt;"手伝い・共同作業受け",C25&lt;&gt;"ゆい・手間替え受け",C25&lt;&gt;"同居人",F25="")</formula>
    </cfRule>
  </conditionalFormatting>
  <conditionalFormatting sqref="D15:D24">
    <cfRule type="expression" dxfId="32" priority="49">
      <formula>AND(C15&lt;&gt;"",D15="")</formula>
    </cfRule>
  </conditionalFormatting>
  <conditionalFormatting sqref="D27:D36">
    <cfRule type="expression" dxfId="31" priority="43">
      <formula>AND(C27&lt;&gt;"",D27="")</formula>
    </cfRule>
  </conditionalFormatting>
  <conditionalFormatting sqref="F27:F36">
    <cfRule type="expression" dxfId="30" priority="42">
      <formula>AND(C27&lt;&gt;"",C27&lt;&gt;"手伝い・共同作業受け",C27&lt;&gt;"ゆい・手間替え受け",C27&lt;&gt;"同居人",F27="")</formula>
    </cfRule>
  </conditionalFormatting>
  <conditionalFormatting sqref="D13:D14">
    <cfRule type="expression" dxfId="29" priority="52">
      <formula>AND(C13&lt;&gt;"",D13="")</formula>
    </cfRule>
  </conditionalFormatting>
  <conditionalFormatting sqref="F13:F14">
    <cfRule type="expression" dxfId="28" priority="51">
      <formula>AND(C13&lt;&gt;"",C13&lt;&gt;"手伝い・共同作業受け",C13&lt;&gt;"ゆい・手間替え受け",C13&lt;&gt;"同居人",F13="")</formula>
    </cfRule>
  </conditionalFormatting>
  <conditionalFormatting sqref="F15:F24">
    <cfRule type="expression" dxfId="27" priority="48">
      <formula>AND(C15&lt;&gt;"",C15&lt;&gt;"手伝い・共同作業受け",C15&lt;&gt;"ゆい・手間替え受け",C15&lt;&gt;"同居人",F15="")</formula>
    </cfRule>
  </conditionalFormatting>
  <conditionalFormatting sqref="D39:D48">
    <cfRule type="expression" dxfId="26" priority="37">
      <formula>AND(C39&lt;&gt;"",D39="")</formula>
    </cfRule>
  </conditionalFormatting>
  <conditionalFormatting sqref="F39:F48">
    <cfRule type="expression" dxfId="25" priority="36">
      <formula>AND(C39&lt;&gt;"",C39&lt;&gt;"手伝い・共同作業受け",C39&lt;&gt;"ゆい・手間替え受け",C39&lt;&gt;"同居人",F39="")</formula>
    </cfRule>
  </conditionalFormatting>
  <conditionalFormatting sqref="D37:D38">
    <cfRule type="expression" dxfId="24" priority="40">
      <formula>AND(C37&lt;&gt;"",D37="")</formula>
    </cfRule>
  </conditionalFormatting>
  <conditionalFormatting sqref="F37:F38">
    <cfRule type="expression" dxfId="23" priority="39">
      <formula>AND(C37&lt;&gt;"",C37&lt;&gt;"手伝い・共同作業受け",C37&lt;&gt;"ゆい・手間替え受け",C37&lt;&gt;"同居人",F37="")</formula>
    </cfRule>
  </conditionalFormatting>
  <conditionalFormatting sqref="D49:D50">
    <cfRule type="expression" dxfId="22" priority="34">
      <formula>AND(C49&lt;&gt;"",D49="")</formula>
    </cfRule>
  </conditionalFormatting>
  <conditionalFormatting sqref="F49:F50">
    <cfRule type="expression" dxfId="21" priority="33">
      <formula>AND(C49&lt;&gt;"",C49&lt;&gt;"手伝い・共同作業受け",C49&lt;&gt;"ゆい・手間替え受け",C49&lt;&gt;"同居人",F49="")</formula>
    </cfRule>
  </conditionalFormatting>
  <conditionalFormatting sqref="D51:D60">
    <cfRule type="expression" dxfId="20" priority="31">
      <formula>AND(C51&lt;&gt;"",D51="")</formula>
    </cfRule>
  </conditionalFormatting>
  <conditionalFormatting sqref="F51:F60">
    <cfRule type="expression" dxfId="19" priority="30">
      <formula>AND(C51&lt;&gt;"",C51&lt;&gt;"手伝い・共同作業受け",C51&lt;&gt;"ゆい・手間替え受け",C51&lt;&gt;"同居人",F51="")</formula>
    </cfRule>
  </conditionalFormatting>
  <conditionalFormatting sqref="D61:D68">
    <cfRule type="expression" dxfId="18" priority="28">
      <formula>AND(C61&lt;&gt;"",D61="")</formula>
    </cfRule>
  </conditionalFormatting>
  <conditionalFormatting sqref="F61:F68">
    <cfRule type="expression" dxfId="17" priority="27">
      <formula>AND(C61&lt;&gt;"",C61&lt;&gt;"手伝い・共同作業受け",C61&lt;&gt;"ゆい・手間替え受け",C61&lt;&gt;"同居人",F61="")</formula>
    </cfRule>
  </conditionalFormatting>
  <conditionalFormatting sqref="D69:D70">
    <cfRule type="expression" dxfId="16" priority="25">
      <formula>AND(C69&lt;&gt;"",D69="")</formula>
    </cfRule>
  </conditionalFormatting>
  <conditionalFormatting sqref="F69:F70">
    <cfRule type="expression" dxfId="15" priority="24">
      <formula>AND(C69&lt;&gt;"",C69&lt;&gt;"手伝い・共同作業受け",C69&lt;&gt;"ゆい・手間替え受け",C69&lt;&gt;"同居人",F69="")</formula>
    </cfRule>
  </conditionalFormatting>
  <conditionalFormatting sqref="C2">
    <cfRule type="containsText" dxfId="14" priority="13" operator="containsText" text="※">
      <formula>NOT(ISERROR(SEARCH("※",C2)))</formula>
    </cfRule>
  </conditionalFormatting>
  <conditionalFormatting sqref="D77:D78 D103:D106">
    <cfRule type="expression" dxfId="13" priority="11">
      <formula>AND(C77&lt;&gt;"",D77="")</formula>
    </cfRule>
  </conditionalFormatting>
  <conditionalFormatting sqref="F77:F78 F103:F106">
    <cfRule type="expression" dxfId="12" priority="10">
      <formula>AND(C77&lt;&gt;"",C77&lt;&gt;"手伝い・共同作業受け",C77&lt;&gt;"ゆい・手間替え受け",C77&lt;&gt;"同居人",F77="")</formula>
    </cfRule>
  </conditionalFormatting>
  <conditionalFormatting sqref="E77:E78 E103:E106">
    <cfRule type="expression" dxfId="11" priority="12">
      <formula>AND(OR(F77="1：家族",C77="同居人"),E77="")</formula>
    </cfRule>
  </conditionalFormatting>
  <conditionalFormatting sqref="D79:D93">
    <cfRule type="expression" dxfId="10" priority="8">
      <formula>AND(C79&lt;&gt;"",D79="")</formula>
    </cfRule>
  </conditionalFormatting>
  <conditionalFormatting sqref="F79:F93">
    <cfRule type="expression" dxfId="9" priority="7">
      <formula>AND(C79&lt;&gt;"",C79&lt;&gt;"手伝い・共同作業受け",C79&lt;&gt;"ゆい・手間替え受け",C79&lt;&gt;"同居人",F79="")</formula>
    </cfRule>
  </conditionalFormatting>
  <conditionalFormatting sqref="E79:E93">
    <cfRule type="expression" dxfId="8" priority="9">
      <formula>AND(OR(F79="1：家族",C79="同居人"),E79="")</formula>
    </cfRule>
  </conditionalFormatting>
  <conditionalFormatting sqref="D94:D98">
    <cfRule type="expression" dxfId="7" priority="5">
      <formula>AND(C94&lt;&gt;"",D94="")</formula>
    </cfRule>
  </conditionalFormatting>
  <conditionalFormatting sqref="F94:F98">
    <cfRule type="expression" dxfId="6" priority="4">
      <formula>AND(C94&lt;&gt;"",C94&lt;&gt;"手伝い・共同作業受け",C94&lt;&gt;"ゆい・手間替え受け",C94&lt;&gt;"同居人",F94="")</formula>
    </cfRule>
  </conditionalFormatting>
  <conditionalFormatting sqref="E94:E98">
    <cfRule type="expression" dxfId="5" priority="6">
      <formula>AND(OR(F94="1：家族",C94="同居人"),E94="")</formula>
    </cfRule>
  </conditionalFormatting>
  <conditionalFormatting sqref="D99:D102">
    <cfRule type="expression" dxfId="4" priority="2">
      <formula>AND(C99&lt;&gt;"",D99="")</formula>
    </cfRule>
  </conditionalFormatting>
  <conditionalFormatting sqref="F99:F102">
    <cfRule type="expression" dxfId="3" priority="1">
      <formula>AND(C99&lt;&gt;"",C99&lt;&gt;"手伝い・共同作業受け",C99&lt;&gt;"ゆい・手間替え受け",C99&lt;&gt;"同居人",F99="")</formula>
    </cfRule>
  </conditionalFormatting>
  <conditionalFormatting sqref="E99:E102">
    <cfRule type="expression" dxfId="2" priority="3">
      <formula>AND(OR(F99="1：家族",C99="同居人"),E99="")</formula>
    </cfRule>
  </conditionalFormatting>
  <dataValidations count="2">
    <dataValidation type="whole" allowBlank="1" showInputMessage="1" showErrorMessage="1" error="0～100の値を入力してください。" sqref="E112:F113" xr:uid="{F7114E44-8632-4B0D-91B5-C5273BA19400}">
      <formula1>0</formula1>
      <formula2>100</formula2>
    </dataValidation>
    <dataValidation type="whole" operator="greaterThan" allowBlank="1" showInputMessage="1" showErrorMessage="1" error="整数を入力してください。" sqref="D112:D113 T4" xr:uid="{FFC1B514-B7E8-492C-A0F5-5EDB16416FF7}">
      <formula1>0</formula1>
    </dataValidation>
  </dataValidations>
  <pageMargins left="0.59055118110236227" right="0.59055118110236227" top="0.59055118110236227" bottom="0.59055118110236227" header="0" footer="0.19685039370078741"/>
  <pageSetup paperSize="9" scale="21" fitToHeight="0" orientation="landscape" cellComments="asDisplayed" r:id="rId1"/>
  <colBreaks count="1" manualBreakCount="1">
    <brk id="27" max="1048575" man="1"/>
  </colBreaks>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01356-C0BA-495C-9363-57C8F41AF70D}">
  <sheetPr>
    <pageSetUpPr fitToPage="1"/>
  </sheetPr>
  <dimension ref="A1:BF74"/>
  <sheetViews>
    <sheetView showGridLines="0" view="pageBreakPreview" zoomScaleNormal="90" zoomScaleSheetLayoutView="100" workbookViewId="0"/>
  </sheetViews>
  <sheetFormatPr defaultColWidth="2.75" defaultRowHeight="14.25" customHeight="1" x14ac:dyDescent="0.15"/>
  <cols>
    <col min="1" max="2" width="2.75" style="14"/>
    <col min="3" max="3" width="31.25" style="14" customWidth="1"/>
    <col min="4" max="5" width="8.625" style="14" customWidth="1"/>
    <col min="6" max="15" width="2.75" style="14"/>
    <col min="16" max="20" width="2.75" style="15"/>
    <col min="21" max="23" width="2.75" style="29"/>
    <col min="24" max="26" width="17" style="29" customWidth="1"/>
    <col min="27" max="27" width="16.875" style="29" customWidth="1"/>
    <col min="28" max="28" width="2.75" style="29"/>
    <col min="29" max="29" width="2.75" style="29" customWidth="1"/>
    <col min="30" max="31" width="2.75" style="29"/>
    <col min="32" max="32" width="2.75" style="29" customWidth="1"/>
    <col min="33" max="36" width="2.75" style="15"/>
    <col min="37" max="16384" width="2.75" style="14"/>
  </cols>
  <sheetData>
    <row r="1" spans="1:58" s="21" customFormat="1" ht="18" customHeight="1" x14ac:dyDescent="0.2">
      <c r="A1" s="142"/>
      <c r="B1" s="32"/>
      <c r="C1" s="178" t="s">
        <v>106</v>
      </c>
      <c r="D1" s="169"/>
      <c r="E1" s="169"/>
      <c r="F1" s="169"/>
      <c r="G1" s="169"/>
      <c r="H1" s="169"/>
      <c r="I1" s="169"/>
      <c r="J1" s="169"/>
      <c r="K1" s="169"/>
      <c r="L1" s="169"/>
      <c r="M1" s="169"/>
      <c r="N1" s="169"/>
      <c r="O1" s="169"/>
      <c r="P1" s="14"/>
      <c r="Q1" s="14"/>
      <c r="R1" s="70"/>
      <c r="T1" s="94"/>
      <c r="U1" s="94"/>
      <c r="V1" s="94"/>
      <c r="W1" s="94"/>
      <c r="X1" s="94"/>
      <c r="Y1" s="94"/>
      <c r="Z1" s="94"/>
      <c r="AA1" s="94"/>
      <c r="AB1" s="94"/>
      <c r="AC1" s="98"/>
      <c r="AD1" s="98"/>
      <c r="AE1" s="98"/>
      <c r="AF1" s="98"/>
      <c r="AG1" s="98"/>
      <c r="AH1" s="98"/>
      <c r="AI1" s="98"/>
      <c r="AJ1" s="98"/>
      <c r="AK1" s="98"/>
      <c r="AL1" s="98"/>
      <c r="AM1" s="98"/>
      <c r="AN1" s="98"/>
      <c r="AO1" s="98"/>
      <c r="AP1" s="98"/>
      <c r="AQ1" s="98"/>
      <c r="AR1" s="98"/>
      <c r="AS1" s="98"/>
      <c r="AT1" s="94"/>
      <c r="AU1" s="94"/>
      <c r="AV1" s="94"/>
      <c r="AW1" s="94"/>
      <c r="AX1" s="94"/>
      <c r="AY1" s="94"/>
      <c r="AZ1" s="94"/>
      <c r="BA1" s="94"/>
      <c r="BB1" s="94"/>
      <c r="BC1" s="98"/>
      <c r="BD1" s="98"/>
      <c r="BE1" s="98"/>
      <c r="BF1" s="98"/>
    </row>
    <row r="2" spans="1:58" s="21" customFormat="1" ht="30" hidden="1" customHeight="1" x14ac:dyDescent="0.2">
      <c r="A2" s="142"/>
      <c r="B2" s="169"/>
      <c r="C2" s="175"/>
      <c r="D2" s="169"/>
      <c r="E2" s="169"/>
      <c r="F2" s="169"/>
      <c r="G2" s="169"/>
      <c r="H2" s="169"/>
      <c r="I2" s="169"/>
      <c r="J2" s="169"/>
      <c r="K2" s="169"/>
      <c r="L2" s="169"/>
      <c r="M2" s="169"/>
      <c r="N2" s="169"/>
      <c r="O2" s="169"/>
      <c r="P2" s="14"/>
      <c r="Q2" s="14"/>
      <c r="R2" s="30"/>
      <c r="S2" s="71"/>
      <c r="T2" s="94"/>
      <c r="U2" s="94"/>
      <c r="V2" s="94"/>
      <c r="W2" s="94"/>
      <c r="X2" s="94"/>
      <c r="Y2" s="94"/>
      <c r="Z2" s="94"/>
      <c r="AA2" s="94"/>
      <c r="AB2" s="94"/>
      <c r="AC2" s="98"/>
      <c r="AD2" s="98"/>
      <c r="AE2" s="98"/>
      <c r="AF2" s="98"/>
      <c r="AG2" s="98"/>
      <c r="AH2" s="98"/>
      <c r="AI2" s="98"/>
      <c r="AJ2" s="98"/>
      <c r="AK2" s="98"/>
      <c r="AL2" s="98"/>
      <c r="AM2" s="98"/>
      <c r="AN2" s="98"/>
      <c r="AO2" s="98"/>
      <c r="AP2" s="98"/>
      <c r="AQ2" s="98"/>
      <c r="AR2" s="98"/>
      <c r="AS2" s="98"/>
      <c r="AT2" s="94"/>
      <c r="AU2" s="94"/>
      <c r="AV2" s="94"/>
      <c r="AW2" s="94"/>
      <c r="AX2" s="94"/>
      <c r="AY2" s="94"/>
      <c r="AZ2" s="94"/>
      <c r="BA2" s="94"/>
      <c r="BB2" s="94"/>
      <c r="BC2" s="98"/>
      <c r="BD2" s="98"/>
      <c r="BE2" s="98"/>
      <c r="BF2" s="98"/>
    </row>
    <row r="3" spans="1:58" s="21" customFormat="1" ht="12.75" hidden="1" customHeight="1" x14ac:dyDescent="0.15">
      <c r="A3" s="142"/>
      <c r="B3" s="169"/>
      <c r="C3" s="169"/>
      <c r="D3" s="169"/>
      <c r="E3" s="169"/>
      <c r="F3" s="169"/>
      <c r="G3" s="169"/>
      <c r="H3" s="22"/>
      <c r="I3" s="22"/>
      <c r="J3" s="16"/>
      <c r="K3" s="22"/>
      <c r="L3" s="23"/>
      <c r="M3" s="16"/>
      <c r="N3" s="24"/>
      <c r="O3" s="25"/>
      <c r="P3" s="14"/>
      <c r="Q3" s="14"/>
      <c r="R3" s="30"/>
      <c r="T3" s="94"/>
      <c r="U3" s="94"/>
      <c r="V3" s="94"/>
      <c r="W3" s="94"/>
      <c r="X3" s="94"/>
      <c r="Y3" s="94"/>
      <c r="Z3" s="94"/>
      <c r="AA3" s="94"/>
      <c r="AB3" s="94"/>
      <c r="AC3" s="154"/>
      <c r="AD3" s="98"/>
      <c r="AE3" s="98"/>
      <c r="AF3" s="98"/>
      <c r="AG3" s="98"/>
      <c r="AH3" s="98"/>
      <c r="AI3" s="98"/>
      <c r="AJ3" s="98"/>
      <c r="AK3" s="98"/>
      <c r="AL3" s="98"/>
      <c r="AM3" s="98"/>
      <c r="AN3" s="98"/>
      <c r="AO3" s="98"/>
      <c r="AP3" s="98"/>
      <c r="AQ3" s="98"/>
      <c r="AR3" s="98"/>
      <c r="AS3" s="98"/>
      <c r="AT3" s="94"/>
      <c r="AU3" s="94"/>
      <c r="AV3" s="155"/>
      <c r="AW3" s="94"/>
      <c r="AX3" s="94"/>
      <c r="AY3" s="94"/>
      <c r="AZ3" s="94"/>
      <c r="BA3" s="94"/>
      <c r="BB3" s="94"/>
      <c r="BC3" s="98"/>
      <c r="BD3" s="98"/>
      <c r="BE3" s="98"/>
      <c r="BF3" s="98"/>
    </row>
    <row r="4" spans="1:58" s="21" customFormat="1" ht="25.15" hidden="1" customHeight="1" x14ac:dyDescent="0.2">
      <c r="A4" s="142"/>
      <c r="B4" s="169"/>
      <c r="C4" s="174"/>
      <c r="D4" s="169"/>
      <c r="E4" s="169"/>
      <c r="F4" s="169"/>
      <c r="G4" s="169"/>
      <c r="H4" s="22"/>
      <c r="I4" s="22"/>
      <c r="J4" s="16"/>
      <c r="K4" s="22"/>
      <c r="L4" s="23"/>
      <c r="M4" s="16"/>
      <c r="N4" s="24"/>
      <c r="O4" s="25"/>
      <c r="P4" s="14"/>
      <c r="Q4" s="14"/>
      <c r="R4" s="25"/>
      <c r="S4" s="72"/>
      <c r="T4" s="161"/>
      <c r="U4" s="94"/>
      <c r="V4" s="94"/>
      <c r="W4" s="94"/>
      <c r="X4" s="94"/>
      <c r="Y4" s="94"/>
      <c r="Z4" s="94"/>
      <c r="AA4" s="94"/>
      <c r="AB4" s="94"/>
      <c r="AC4" s="154"/>
      <c r="AD4" s="98"/>
      <c r="AE4" s="98"/>
      <c r="AF4" s="98"/>
      <c r="AG4" s="98"/>
      <c r="AH4" s="98"/>
      <c r="AI4" s="98"/>
      <c r="AJ4" s="98"/>
      <c r="AK4" s="98"/>
      <c r="AL4" s="98"/>
      <c r="AM4" s="98"/>
      <c r="AN4" s="98"/>
      <c r="AO4" s="98"/>
      <c r="AP4" s="98"/>
      <c r="AQ4" s="98"/>
      <c r="AR4" s="98"/>
      <c r="AS4" s="98"/>
      <c r="AT4" s="94"/>
      <c r="AU4" s="94"/>
      <c r="AV4" s="155"/>
      <c r="AW4" s="94"/>
      <c r="AX4" s="94"/>
      <c r="AY4" s="94"/>
      <c r="AZ4" s="94"/>
      <c r="BA4" s="94"/>
      <c r="BB4" s="94"/>
      <c r="BC4" s="98"/>
      <c r="BD4" s="98"/>
      <c r="BE4" s="98"/>
      <c r="BF4" s="98"/>
    </row>
    <row r="5" spans="1:58" s="21" customFormat="1" ht="25.15" hidden="1" customHeight="1" x14ac:dyDescent="0.2">
      <c r="A5" s="142"/>
      <c r="B5" s="26"/>
      <c r="C5" s="174"/>
      <c r="D5" s="16"/>
      <c r="E5" s="16"/>
      <c r="F5" s="16"/>
      <c r="G5" s="22"/>
      <c r="H5" s="22"/>
      <c r="I5" s="22"/>
      <c r="J5" s="16"/>
      <c r="K5" s="22"/>
      <c r="L5" s="23"/>
      <c r="M5" s="16"/>
      <c r="N5" s="24"/>
      <c r="O5" s="25"/>
      <c r="P5" s="14"/>
      <c r="Q5" s="14"/>
      <c r="R5" s="25"/>
      <c r="T5" s="94"/>
      <c r="U5" s="94"/>
      <c r="V5" s="94"/>
      <c r="W5" s="94"/>
      <c r="X5" s="94"/>
      <c r="Y5" s="94"/>
      <c r="Z5" s="94"/>
      <c r="AA5" s="94"/>
      <c r="AB5" s="94"/>
      <c r="AC5" s="98"/>
      <c r="AD5" s="98"/>
      <c r="AE5" s="98"/>
      <c r="AF5" s="98"/>
      <c r="AG5" s="98"/>
      <c r="AH5" s="98"/>
      <c r="AI5" s="98"/>
      <c r="AJ5" s="98"/>
      <c r="AK5" s="98"/>
      <c r="AL5" s="98"/>
      <c r="AM5" s="98"/>
      <c r="AN5" s="98"/>
      <c r="AO5" s="98"/>
      <c r="AP5" s="98"/>
      <c r="AQ5" s="98"/>
      <c r="AR5" s="98"/>
      <c r="AS5" s="98"/>
      <c r="AT5" s="94"/>
      <c r="AU5" s="94"/>
      <c r="AV5" s="94"/>
      <c r="AW5" s="94"/>
      <c r="AX5" s="94"/>
      <c r="AY5" s="94"/>
      <c r="AZ5" s="94"/>
      <c r="BA5" s="94"/>
      <c r="BB5" s="94"/>
      <c r="BC5" s="98"/>
      <c r="BD5" s="98"/>
      <c r="BE5" s="98"/>
      <c r="BF5" s="98"/>
    </row>
    <row r="6" spans="1:58" ht="14.25" hidden="1" customHeight="1" x14ac:dyDescent="0.15">
      <c r="A6" s="29"/>
      <c r="D6" s="29"/>
      <c r="E6" s="29"/>
      <c r="F6" s="22"/>
      <c r="G6" s="16"/>
      <c r="H6" s="16"/>
      <c r="I6" s="16"/>
      <c r="J6" s="22"/>
      <c r="K6" s="22"/>
      <c r="L6" s="16"/>
      <c r="M6" s="16"/>
      <c r="N6" s="23"/>
      <c r="O6" s="23"/>
      <c r="P6" s="16"/>
      <c r="Q6" s="16"/>
      <c r="R6" s="16"/>
      <c r="S6" s="24"/>
      <c r="T6" s="24"/>
      <c r="Z6" s="22"/>
      <c r="AA6" s="16"/>
      <c r="AB6" s="23"/>
      <c r="AC6" s="23"/>
      <c r="AD6" s="16"/>
      <c r="AE6" s="16"/>
      <c r="AF6" s="16"/>
      <c r="AG6" s="24"/>
      <c r="AH6" s="24"/>
      <c r="AI6" s="24"/>
      <c r="AJ6" s="24"/>
    </row>
    <row r="7" spans="1:58" ht="14.25" customHeight="1" x14ac:dyDescent="0.15">
      <c r="C7" s="29"/>
      <c r="D7" s="169"/>
      <c r="E7" s="169"/>
      <c r="F7" s="169"/>
      <c r="G7" s="29"/>
      <c r="H7" s="29"/>
      <c r="I7" s="29"/>
      <c r="J7" s="29"/>
      <c r="K7" s="29"/>
      <c r="L7" s="29"/>
      <c r="M7" s="29"/>
      <c r="N7" s="29"/>
      <c r="O7" s="29"/>
      <c r="P7" s="29"/>
      <c r="Q7" s="29"/>
      <c r="R7" s="29"/>
    </row>
    <row r="8" spans="1:58" ht="30" customHeight="1" x14ac:dyDescent="0.2">
      <c r="A8" s="169"/>
      <c r="C8" s="177" t="s">
        <v>102</v>
      </c>
      <c r="D8" s="169"/>
      <c r="E8" s="169"/>
      <c r="F8" s="169"/>
      <c r="G8" s="29"/>
      <c r="H8" s="29"/>
      <c r="I8" s="29"/>
      <c r="J8" s="29"/>
      <c r="K8" s="29"/>
      <c r="L8" s="29"/>
      <c r="M8" s="29"/>
      <c r="N8" s="29"/>
      <c r="O8" s="29"/>
      <c r="P8" s="29"/>
      <c r="Q8" s="29"/>
      <c r="R8" s="29"/>
      <c r="U8" s="169"/>
      <c r="V8" s="169"/>
      <c r="W8" s="169"/>
      <c r="X8" s="169"/>
      <c r="Y8" s="169"/>
      <c r="Z8" s="169"/>
    </row>
    <row r="9" spans="1:58" ht="14.25" customHeight="1" thickBot="1" x14ac:dyDescent="0.2">
      <c r="A9" s="29"/>
    </row>
    <row r="10" spans="1:58" ht="22.9" customHeight="1" x14ac:dyDescent="0.15">
      <c r="A10" s="29"/>
      <c r="B10" s="29"/>
      <c r="C10" s="551" t="s">
        <v>40</v>
      </c>
      <c r="D10" s="517" t="s">
        <v>41</v>
      </c>
      <c r="E10" s="586"/>
      <c r="F10" s="586"/>
      <c r="G10" s="586"/>
      <c r="H10" s="586"/>
      <c r="I10" s="586"/>
      <c r="J10" s="586"/>
      <c r="K10" s="586"/>
      <c r="L10" s="586"/>
      <c r="M10" s="586"/>
      <c r="N10" s="586"/>
      <c r="O10" s="586"/>
      <c r="P10" s="586"/>
      <c r="Q10" s="586"/>
      <c r="R10" s="586"/>
      <c r="S10" s="586"/>
      <c r="T10" s="586"/>
      <c r="U10" s="586"/>
      <c r="V10" s="586"/>
      <c r="W10" s="587"/>
      <c r="X10" s="590" t="s">
        <v>42</v>
      </c>
      <c r="Y10" s="591"/>
      <c r="Z10" s="591"/>
      <c r="AA10" s="592"/>
      <c r="AB10" s="113"/>
      <c r="AC10" s="113"/>
      <c r="AD10" s="113"/>
      <c r="AE10" s="113"/>
      <c r="AF10" s="113"/>
      <c r="AG10" s="113"/>
    </row>
    <row r="11" spans="1:58" ht="22.9" customHeight="1" thickBot="1" x14ac:dyDescent="0.2">
      <c r="A11" s="29"/>
      <c r="B11" s="114"/>
      <c r="C11" s="552"/>
      <c r="D11" s="518"/>
      <c r="E11" s="588"/>
      <c r="F11" s="588"/>
      <c r="G11" s="588"/>
      <c r="H11" s="588"/>
      <c r="I11" s="588"/>
      <c r="J11" s="588"/>
      <c r="K11" s="588"/>
      <c r="L11" s="588"/>
      <c r="M11" s="588"/>
      <c r="N11" s="588"/>
      <c r="O11" s="588"/>
      <c r="P11" s="588"/>
      <c r="Q11" s="588"/>
      <c r="R11" s="588"/>
      <c r="S11" s="588"/>
      <c r="T11" s="588"/>
      <c r="U11" s="588"/>
      <c r="V11" s="588"/>
      <c r="W11" s="589"/>
      <c r="X11" s="179" t="s">
        <v>14</v>
      </c>
      <c r="Y11" s="180" t="s">
        <v>43</v>
      </c>
      <c r="Z11" s="180" t="s">
        <v>44</v>
      </c>
      <c r="AA11" s="181" t="s">
        <v>15</v>
      </c>
      <c r="AB11" s="113"/>
      <c r="AC11" s="113"/>
      <c r="AD11" s="113"/>
      <c r="AE11" s="113"/>
      <c r="AF11" s="113"/>
      <c r="AG11" s="113"/>
      <c r="AH11" s="115"/>
    </row>
    <row r="12" spans="1:58" ht="27" customHeight="1" thickTop="1" x14ac:dyDescent="0.15">
      <c r="A12" s="24"/>
      <c r="B12" s="28"/>
      <c r="C12" s="116" t="s">
        <v>45</v>
      </c>
      <c r="D12" s="593" t="s">
        <v>46</v>
      </c>
      <c r="E12" s="594"/>
      <c r="F12" s="594"/>
      <c r="G12" s="594"/>
      <c r="H12" s="594"/>
      <c r="I12" s="594"/>
      <c r="J12" s="594"/>
      <c r="K12" s="594"/>
      <c r="L12" s="594"/>
      <c r="M12" s="594"/>
      <c r="N12" s="594"/>
      <c r="O12" s="594"/>
      <c r="P12" s="594"/>
      <c r="Q12" s="594"/>
      <c r="R12" s="594"/>
      <c r="S12" s="594"/>
      <c r="T12" s="594"/>
      <c r="U12" s="594"/>
      <c r="V12" s="594"/>
      <c r="W12" s="595"/>
      <c r="X12" s="393">
        <f>ROUND(SUMIFS(設定!$H$9:$H$108,設定!$E$9:$E$108,"&lt;65",設定!$F$9:$F$108,"=1：構成員"),1)</f>
        <v>0</v>
      </c>
      <c r="Y12" s="394">
        <f>ROUND(SUMIFS(設定!$H$9:$H$108,設定!$E$9:$E$108,"&gt;=65",設定!$E$9:$E$108,"&lt;70",設定!$F$9:$F$108,"=1：構成員"),1)</f>
        <v>0</v>
      </c>
      <c r="Z12" s="394">
        <f>ROUND(SUMIFS(設定!$H$9:$H$108,設定!$E$9:$E$108,"&gt;=70",設定!$E$9:$E$108,"&lt;75",設定!$F$9:$F$108,"=1：構成員"),1)</f>
        <v>0</v>
      </c>
      <c r="AA12" s="395">
        <f>ROUND(SUMIFS(設定!$H$9:$H$108,設定!$E$9:$E$108,"&gt;=75",設定!$F$9:$F$108,"=1：構成員"),1)</f>
        <v>0</v>
      </c>
      <c r="AB12" s="117"/>
      <c r="AC12" s="117"/>
      <c r="AD12" s="117"/>
      <c r="AE12" s="118"/>
      <c r="AF12" s="117"/>
      <c r="AG12" s="118"/>
      <c r="AH12" s="115"/>
    </row>
    <row r="13" spans="1:58" ht="27" customHeight="1" x14ac:dyDescent="0.15">
      <c r="A13" s="24"/>
      <c r="B13" s="119"/>
      <c r="C13" s="120" t="s">
        <v>47</v>
      </c>
      <c r="D13" s="596" t="s">
        <v>48</v>
      </c>
      <c r="E13" s="597"/>
      <c r="F13" s="597"/>
      <c r="G13" s="597"/>
      <c r="H13" s="597"/>
      <c r="I13" s="597"/>
      <c r="J13" s="597"/>
      <c r="K13" s="597"/>
      <c r="L13" s="597"/>
      <c r="M13" s="597"/>
      <c r="N13" s="597"/>
      <c r="O13" s="597"/>
      <c r="P13" s="597"/>
      <c r="Q13" s="597"/>
      <c r="R13" s="597"/>
      <c r="S13" s="597"/>
      <c r="T13" s="597"/>
      <c r="U13" s="597"/>
      <c r="V13" s="597"/>
      <c r="W13" s="598"/>
      <c r="X13" s="396">
        <f>ROUND(SUMIFS(設定!$I$9:$I$108,設定!$E$9:$E$108,"&lt;65",設定!$F$9:$F$108,"=1：構成員"),1)</f>
        <v>0</v>
      </c>
      <c r="Y13" s="397">
        <f>ROUND(SUMIFS(設定!$I$9:$I$108,設定!$E$9:$E$108,"&gt;=65",設定!$E$9:$E$108,"&lt;70",設定!$F$9:$F$108,"=1：構成員"),1)</f>
        <v>0</v>
      </c>
      <c r="Z13" s="397">
        <f>ROUND(SUMIFS(設定!$I$9:$I$108,設定!$E$9:$E$108,"&gt;=70",設定!$E$9:$E$108,"&lt;75",設定!$F$9:$F$108,"=1：構成員"),1)</f>
        <v>0</v>
      </c>
      <c r="AA13" s="398">
        <f>ROUND(SUMIFS(設定!$I$9:$I$108,設定!$E$9:$E$108,"&gt;=75",設定!$F$9:$F$108,"=1：構成員"),1)</f>
        <v>0</v>
      </c>
      <c r="AB13" s="28"/>
      <c r="AC13" s="28"/>
      <c r="AD13" s="28"/>
      <c r="AE13" s="28"/>
      <c r="AF13" s="117"/>
      <c r="AG13" s="117"/>
      <c r="AH13" s="121"/>
      <c r="AI13" s="14"/>
      <c r="AJ13" s="14"/>
    </row>
    <row r="14" spans="1:58" ht="27" customHeight="1" x14ac:dyDescent="0.15">
      <c r="A14" s="24"/>
      <c r="B14" s="28"/>
      <c r="C14" s="120" t="s">
        <v>49</v>
      </c>
      <c r="D14" s="599" t="s">
        <v>50</v>
      </c>
      <c r="E14" s="600"/>
      <c r="F14" s="600"/>
      <c r="G14" s="600"/>
      <c r="H14" s="600"/>
      <c r="I14" s="600"/>
      <c r="J14" s="600"/>
      <c r="K14" s="600"/>
      <c r="L14" s="600"/>
      <c r="M14" s="600"/>
      <c r="N14" s="600"/>
      <c r="O14" s="600"/>
      <c r="P14" s="600"/>
      <c r="Q14" s="600"/>
      <c r="R14" s="600"/>
      <c r="S14" s="600"/>
      <c r="T14" s="600"/>
      <c r="U14" s="600"/>
      <c r="V14" s="600"/>
      <c r="W14" s="601"/>
      <c r="X14" s="399">
        <f>ROUND(SUMIFS(設定!$J$9:$J$108,設定!$E$9:$E$108,"&lt;65",設定!$F$9:$F$108,"=1：構成員"),1)</f>
        <v>0</v>
      </c>
      <c r="Y14" s="400">
        <f>ROUND(SUMIFS(設定!$J$9:$J$108,設定!$E$9:$E$108,"&gt;=65",設定!$E$9:$E$108,"&lt;70",設定!$F$9:$F$108,"=1：構成員"),1)</f>
        <v>0</v>
      </c>
      <c r="Z14" s="400">
        <f>ROUND(SUMIFS(設定!$J$9:$J$108,設定!$E$9:$E$108,"&gt;=70",設定!$E$9:$E$108,"&lt;75",設定!$F$9:$F$108,"=1：構成員"),1)</f>
        <v>0</v>
      </c>
      <c r="AA14" s="401">
        <f>ROUND(SUMIFS(設定!$J$9:$J$108,設定!$E$9:$E$108,"&gt;=75",設定!$F$9:$F$108,"=1：構成員"),1)</f>
        <v>0</v>
      </c>
      <c r="AB14" s="28"/>
      <c r="AC14" s="28"/>
      <c r="AD14" s="28"/>
      <c r="AE14" s="28"/>
      <c r="AF14" s="28"/>
      <c r="AG14" s="28"/>
      <c r="AH14" s="121"/>
      <c r="AI14" s="14"/>
      <c r="AJ14" s="14"/>
    </row>
    <row r="15" spans="1:58" ht="27" customHeight="1" x14ac:dyDescent="0.15">
      <c r="A15" s="24"/>
      <c r="B15" s="115"/>
      <c r="C15" s="120" t="s">
        <v>51</v>
      </c>
      <c r="D15" s="596" t="s">
        <v>52</v>
      </c>
      <c r="E15" s="597"/>
      <c r="F15" s="597"/>
      <c r="G15" s="597"/>
      <c r="H15" s="597"/>
      <c r="I15" s="597"/>
      <c r="J15" s="597"/>
      <c r="K15" s="597"/>
      <c r="L15" s="597"/>
      <c r="M15" s="597"/>
      <c r="N15" s="597"/>
      <c r="O15" s="597"/>
      <c r="P15" s="597"/>
      <c r="Q15" s="597"/>
      <c r="R15" s="597"/>
      <c r="S15" s="597"/>
      <c r="T15" s="597"/>
      <c r="U15" s="597"/>
      <c r="V15" s="597"/>
      <c r="W15" s="598"/>
      <c r="X15" s="399">
        <f>ROUND(SUMIFS(設定!$K$9:$K$108,設定!$E$9:$E$108,"&lt;65",設定!$F$9:$F$108,"=1：構成員"),1)</f>
        <v>0</v>
      </c>
      <c r="Y15" s="400">
        <f>ROUND(SUMIFS(設定!$K$9:$K$108,設定!$E$9:$E$108,"&gt;=65",設定!$E$9:$E$108,"&lt;70",設定!$F$9:$F$108,"=1：構成員"),1)</f>
        <v>0</v>
      </c>
      <c r="Z15" s="400">
        <f>ROUND(SUMIFS(設定!$K$9:$K$108,設定!$E$9:$E$108,"&gt;=70",設定!$E$9:$E$108,"&lt;75",設定!$F$9:$F$108,"=1：構成員"),1)</f>
        <v>0</v>
      </c>
      <c r="AA15" s="401">
        <f>ROUND(SUMIFS(設定!$K$9:$K$108,設定!$E$9:$E$108,"&gt;=75",設定!$F$9:$F$108,"=1：構成員"),1)</f>
        <v>0</v>
      </c>
      <c r="AB15" s="28"/>
      <c r="AC15" s="28"/>
      <c r="AD15" s="28"/>
      <c r="AE15" s="28"/>
      <c r="AF15" s="28"/>
      <c r="AG15" s="28"/>
      <c r="AH15" s="118"/>
      <c r="AI15" s="14"/>
      <c r="AJ15" s="14"/>
    </row>
    <row r="16" spans="1:58" ht="27" customHeight="1" x14ac:dyDescent="0.15">
      <c r="A16" s="24"/>
      <c r="B16" s="122"/>
      <c r="C16" s="120" t="s">
        <v>53</v>
      </c>
      <c r="D16" s="580" t="s">
        <v>54</v>
      </c>
      <c r="E16" s="581"/>
      <c r="F16" s="581"/>
      <c r="G16" s="581"/>
      <c r="H16" s="581"/>
      <c r="I16" s="581"/>
      <c r="J16" s="581"/>
      <c r="K16" s="581"/>
      <c r="L16" s="581"/>
      <c r="M16" s="581"/>
      <c r="N16" s="581"/>
      <c r="O16" s="581"/>
      <c r="P16" s="581"/>
      <c r="Q16" s="581"/>
      <c r="R16" s="581"/>
      <c r="S16" s="581"/>
      <c r="T16" s="581"/>
      <c r="U16" s="581"/>
      <c r="V16" s="581"/>
      <c r="W16" s="582"/>
      <c r="X16" s="402">
        <f>ROUND(SUM(SUMIFS(設定!$O$9:$O$108,設定!$E$9:$E$108,"&lt;65",設定!$F$9:$F$108,"=1：構成員"),SUMIFS(設定!$P$9:$P$108,設定!$E$9:$E$108,"&lt;65",設定!$F$9:$F$108,"=1：構成員"),SUMIFS(設定!$Q$9:$Q$108,設定!$E$9:$E$108,"&lt;65",設定!$F$9:$F$108,"=1：構成員")),1)</f>
        <v>0</v>
      </c>
      <c r="Y16" s="403">
        <f>ROUND(SUM(SUMIFS(設定!$O$9:$O$108,設定!$E$9:$E$108,"&gt;=65",設定!$E$9:$E$108,"&lt;70",設定!$F$9:$F$108,"=1：構成員"),SUMIFS(設定!$P$9:$P$108,設定!$E$9:$E$108,"&gt;=65",設定!$E$9:$E$108,"&lt;70",設定!$F$9:$F$108,"=1：構成員"),SUMIFS(設定!$Q$9:$Q$108,設定!$E$9:$E$108,"&gt;=65",設定!$E$9:$E$108,"&lt;70",設定!$F$9:$F$108,"=1：構成員")),1)</f>
        <v>0</v>
      </c>
      <c r="Z16" s="403">
        <f>ROUND(SUM(SUMIFS(設定!$O$9:$O$108,設定!$E$9:$E$108,"&gt;=70",設定!$E$9:$E$108,"&lt;75",設定!$F$9:$F$108,"=1：構成員"),SUMIFS(設定!$P$9:$P$108,設定!$E$9:$E$108,"&gt;=70",設定!$E$9:$E$108,"&lt;75",設定!$F$9:$F$108,"=1：構成員"),SUMIFS(設定!$Q$9:$Q$108,設定!$E$9:$E$108,"&gt;=70",設定!$E$9:$E$108,"&lt;75",設定!$F$9:$F$108,"=1：構成員")),1)</f>
        <v>0</v>
      </c>
      <c r="AA16" s="404">
        <f>ROUND(SUM(SUMIFS(設定!$O$9:$O$108,設定!$E$9:$E$108,"&gt;=75",設定!$F$9:$F$108,"=1：構成員"),SUMIFS(設定!$P$9:$P$108,設定!$E$9:$E$108,"&gt;=75",設定!$F$9:$F$108,"=1：構成員"),SUMIFS(設定!$Q$9:$Q$108,設定!$E$9:$E$108,"&gt;=75",設定!$F$9:$F$108,"=1：構成員")),1)</f>
        <v>0</v>
      </c>
      <c r="AB16" s="28"/>
      <c r="AC16" s="28"/>
      <c r="AD16" s="28"/>
      <c r="AE16" s="28"/>
      <c r="AF16" s="28"/>
      <c r="AG16" s="28"/>
      <c r="AH16" s="28"/>
      <c r="AI16" s="14"/>
      <c r="AJ16" s="14"/>
    </row>
    <row r="17" spans="1:35" s="15" customFormat="1" ht="27" customHeight="1" thickBot="1" x14ac:dyDescent="0.2">
      <c r="A17" s="24"/>
      <c r="B17" s="122"/>
      <c r="C17" s="120" t="s">
        <v>55</v>
      </c>
      <c r="D17" s="580" t="s">
        <v>56</v>
      </c>
      <c r="E17" s="581"/>
      <c r="F17" s="581"/>
      <c r="G17" s="581"/>
      <c r="H17" s="581"/>
      <c r="I17" s="581"/>
      <c r="J17" s="581"/>
      <c r="K17" s="581"/>
      <c r="L17" s="581"/>
      <c r="M17" s="581"/>
      <c r="N17" s="581"/>
      <c r="O17" s="581"/>
      <c r="P17" s="581"/>
      <c r="Q17" s="581"/>
      <c r="R17" s="581"/>
      <c r="S17" s="581"/>
      <c r="T17" s="581"/>
      <c r="U17" s="581"/>
      <c r="V17" s="581"/>
      <c r="W17" s="582"/>
      <c r="X17" s="405">
        <f>ROUND(SUMIFS(設定!$L$9:$L$108,設定!$E$9:$E$108,"&lt;65",設定!$F$9:$F$108,"=1：構成員"),1)</f>
        <v>0</v>
      </c>
      <c r="Y17" s="406">
        <f>ROUND(SUMIFS(設定!$L$9:$L$108,設定!$E$9:$E$108,"&gt;=65",設定!$E$9:$E$108,"&lt;70",設定!$F$9:$F$108,"=1：構成員"),1)</f>
        <v>0</v>
      </c>
      <c r="Z17" s="406">
        <f>ROUND(SUMIFS(設定!$L$9:$L$108,設定!$E$9:$E$108,"&gt;=70",設定!$E$9:$E$108,"&lt;75",設定!$F$9:$F$108,"=1：構成員"),1)</f>
        <v>0</v>
      </c>
      <c r="AA17" s="407">
        <f>ROUND(SUMIFS(設定!$L$9:$L$108,設定!$E$9:$E$108,"&gt;=75",設定!$F$9:$F$108,"=1：構成員"),1)</f>
        <v>0</v>
      </c>
      <c r="AB17" s="28"/>
      <c r="AC17" s="28"/>
      <c r="AD17" s="28"/>
      <c r="AE17" s="28"/>
      <c r="AF17" s="28"/>
      <c r="AG17" s="28"/>
      <c r="AH17" s="28"/>
    </row>
    <row r="18" spans="1:35" s="15" customFormat="1" ht="27" customHeight="1" thickTop="1" thickBot="1" x14ac:dyDescent="0.2">
      <c r="A18" s="24"/>
      <c r="B18" s="122"/>
      <c r="C18" s="123" t="s">
        <v>57</v>
      </c>
      <c r="D18" s="583" t="s">
        <v>58</v>
      </c>
      <c r="E18" s="584"/>
      <c r="F18" s="584"/>
      <c r="G18" s="584"/>
      <c r="H18" s="584"/>
      <c r="I18" s="584"/>
      <c r="J18" s="584"/>
      <c r="K18" s="584"/>
      <c r="L18" s="584"/>
      <c r="M18" s="584"/>
      <c r="N18" s="584"/>
      <c r="O18" s="584"/>
      <c r="P18" s="584"/>
      <c r="Q18" s="584"/>
      <c r="R18" s="584"/>
      <c r="S18" s="584"/>
      <c r="T18" s="584"/>
      <c r="U18" s="584"/>
      <c r="V18" s="584"/>
      <c r="W18" s="585"/>
      <c r="X18" s="408">
        <f>ROUND(SUM(SUMIFS(設定!$M$9:$M$108,設定!$E$9:$E$108,"&lt;65",設定!$F$9:$F$108,"=1：構成員"),SUMIFS(設定!$N$9:$N$108,設定!$E$9:$E$108,"&lt;65",設定!$F$9:$F$108,"=1：構成員")),1)</f>
        <v>0</v>
      </c>
      <c r="Y18" s="409">
        <f>ROUND(SUM(SUMIFS(設定!$M$9:$M$108,設定!$E$9:$E$108,"&gt;=65",設定!$E$9:$E$108,"&lt;70",設定!$F$9:$F$108,"=1：構成員"),SUMIFS(設定!$N$9:$N$108,設定!$E$9:$E$108,"&gt;=65",設定!$E$9:$E$108,"&lt;70",設定!$F$9:$F$108,"=1：構成員")),1)</f>
        <v>0</v>
      </c>
      <c r="Z18" s="409">
        <f>ROUND(SUM(SUMIFS(設定!$M$9:$M$108,設定!$E$9:$E$108,"&gt;=70",設定!$E$9:$E$108,"&lt;75",設定!$F$9:$F$108,"=1：構成員"),SUMIFS(設定!$N$9:$N$108,設定!$E$9:$E$108,"&gt;=70",設定!$E$9:$E$108,"&lt;75",設定!$F$9:$F$108,"=1：構成員")),1)</f>
        <v>0</v>
      </c>
      <c r="AA18" s="410">
        <f>ROUND(SUM(SUMIFS(設定!$M$9:$M$108,設定!$E$9:$E$108,"&gt;=75",設定!$F$9:$F$108,"=1：構成員"),SUMIFS(設定!$N$9:$N$108,設定!$E$9:$E$108,"&gt;=75",設定!$F$9:$F$108,"=1：構成員")),1)</f>
        <v>0</v>
      </c>
      <c r="AB18" s="28"/>
      <c r="AC18" s="28"/>
      <c r="AD18" s="28"/>
      <c r="AE18" s="28"/>
      <c r="AF18" s="28"/>
      <c r="AG18" s="28"/>
      <c r="AH18" s="28"/>
    </row>
    <row r="19" spans="1:35" s="15" customFormat="1" ht="14.25" customHeight="1" x14ac:dyDescent="0.15">
      <c r="A19" s="24"/>
      <c r="B19" s="122"/>
      <c r="AH19" s="28"/>
    </row>
    <row r="20" spans="1:35" s="15" customFormat="1" ht="14.25" customHeight="1" x14ac:dyDescent="0.15">
      <c r="A20" s="24"/>
      <c r="B20" s="122"/>
      <c r="AH20" s="28"/>
    </row>
    <row r="21" spans="1:35" s="15" customFormat="1" ht="14.25" customHeight="1" x14ac:dyDescent="0.15">
      <c r="A21" s="24"/>
      <c r="B21" s="170"/>
      <c r="C21" s="170"/>
      <c r="D21" s="170"/>
      <c r="E21" s="170"/>
    </row>
    <row r="22" spans="1:35" s="15" customFormat="1" ht="30" customHeight="1" x14ac:dyDescent="0.2">
      <c r="A22" s="31"/>
      <c r="B22" s="170"/>
      <c r="C22" s="177" t="s">
        <v>103</v>
      </c>
      <c r="D22" s="13"/>
      <c r="U22" s="28"/>
      <c r="V22" s="124"/>
      <c r="W22" s="124"/>
      <c r="X22" s="124"/>
      <c r="Y22" s="124"/>
      <c r="AC22" s="28"/>
      <c r="AD22" s="28"/>
      <c r="AE22" s="28"/>
      <c r="AF22" s="28"/>
      <c r="AG22" s="28"/>
      <c r="AH22" s="28"/>
    </row>
    <row r="23" spans="1:35" s="15" customFormat="1" ht="14.25" customHeight="1" thickBot="1" x14ac:dyDescent="0.2">
      <c r="A23" s="13"/>
      <c r="D23" s="14"/>
      <c r="U23" s="28"/>
      <c r="V23" s="124"/>
      <c r="W23" s="124"/>
      <c r="X23" s="124"/>
      <c r="Y23" s="124"/>
      <c r="AC23" s="28"/>
      <c r="AD23" s="28"/>
      <c r="AE23" s="28"/>
      <c r="AF23" s="28"/>
      <c r="AG23" s="28"/>
      <c r="AH23" s="28"/>
    </row>
    <row r="24" spans="1:35" s="15" customFormat="1" ht="22.9" customHeight="1" x14ac:dyDescent="0.15">
      <c r="A24" s="13"/>
      <c r="B24" s="14"/>
      <c r="C24" s="517" t="s">
        <v>40</v>
      </c>
      <c r="D24" s="517" t="s">
        <v>41</v>
      </c>
      <c r="E24" s="586"/>
      <c r="F24" s="586"/>
      <c r="G24" s="586"/>
      <c r="H24" s="586"/>
      <c r="I24" s="586"/>
      <c r="J24" s="586"/>
      <c r="K24" s="586"/>
      <c r="L24" s="586"/>
      <c r="M24" s="586"/>
      <c r="N24" s="586"/>
      <c r="O24" s="586"/>
      <c r="P24" s="586"/>
      <c r="Q24" s="586"/>
      <c r="R24" s="586"/>
      <c r="S24" s="586"/>
      <c r="T24" s="586"/>
      <c r="U24" s="586"/>
      <c r="V24" s="586"/>
      <c r="W24" s="587"/>
      <c r="X24" s="578" t="s">
        <v>31</v>
      </c>
      <c r="AB24" s="28"/>
      <c r="AC24" s="28"/>
      <c r="AD24" s="28"/>
      <c r="AE24" s="28"/>
      <c r="AF24" s="28"/>
      <c r="AG24" s="28"/>
      <c r="AH24" s="28"/>
    </row>
    <row r="25" spans="1:35" s="15" customFormat="1" ht="22.9" customHeight="1" thickBot="1" x14ac:dyDescent="0.2">
      <c r="A25" s="29"/>
      <c r="C25" s="519"/>
      <c r="D25" s="519"/>
      <c r="E25" s="602"/>
      <c r="F25" s="602"/>
      <c r="G25" s="602"/>
      <c r="H25" s="602"/>
      <c r="I25" s="602"/>
      <c r="J25" s="602"/>
      <c r="K25" s="602"/>
      <c r="L25" s="602"/>
      <c r="M25" s="602"/>
      <c r="N25" s="602"/>
      <c r="O25" s="602"/>
      <c r="P25" s="602"/>
      <c r="Q25" s="602"/>
      <c r="R25" s="602"/>
      <c r="S25" s="602"/>
      <c r="T25" s="602"/>
      <c r="U25" s="602"/>
      <c r="V25" s="602"/>
      <c r="W25" s="603"/>
      <c r="X25" s="579"/>
      <c r="AB25" s="28"/>
      <c r="AC25" s="28"/>
      <c r="AD25" s="28"/>
      <c r="AE25" s="28"/>
      <c r="AF25" s="28"/>
      <c r="AG25" s="28"/>
      <c r="AH25" s="28"/>
    </row>
    <row r="26" spans="1:35" s="15" customFormat="1" ht="27" customHeight="1" thickTop="1" x14ac:dyDescent="0.15">
      <c r="A26" s="29"/>
      <c r="C26" s="116" t="s">
        <v>59</v>
      </c>
      <c r="D26" s="593" t="s">
        <v>46</v>
      </c>
      <c r="E26" s="594"/>
      <c r="F26" s="594"/>
      <c r="G26" s="594"/>
      <c r="H26" s="594"/>
      <c r="I26" s="594"/>
      <c r="J26" s="594"/>
      <c r="K26" s="594"/>
      <c r="L26" s="594"/>
      <c r="M26" s="594"/>
      <c r="N26" s="594"/>
      <c r="O26" s="594"/>
      <c r="P26" s="594"/>
      <c r="Q26" s="594"/>
      <c r="R26" s="594"/>
      <c r="S26" s="594"/>
      <c r="T26" s="594"/>
      <c r="U26" s="594"/>
      <c r="V26" s="594"/>
      <c r="W26" s="595"/>
      <c r="X26" s="411">
        <f>ROUND(SUMIFS(設定!$H$9:$H$108,設定!$F$9:$F$108,"=2：雇用"),1)</f>
        <v>0</v>
      </c>
      <c r="AB26" s="28"/>
      <c r="AC26" s="28"/>
      <c r="AD26" s="28"/>
      <c r="AE26" s="28"/>
      <c r="AF26" s="28"/>
      <c r="AG26" s="28"/>
      <c r="AH26" s="28"/>
    </row>
    <row r="27" spans="1:35" s="15" customFormat="1" ht="27" customHeight="1" x14ac:dyDescent="0.15">
      <c r="A27" s="14"/>
      <c r="B27" s="69"/>
      <c r="C27" s="120" t="s">
        <v>47</v>
      </c>
      <c r="D27" s="596" t="s">
        <v>48</v>
      </c>
      <c r="E27" s="597"/>
      <c r="F27" s="597"/>
      <c r="G27" s="597"/>
      <c r="H27" s="597"/>
      <c r="I27" s="597"/>
      <c r="J27" s="597"/>
      <c r="K27" s="597"/>
      <c r="L27" s="597"/>
      <c r="M27" s="597"/>
      <c r="N27" s="597"/>
      <c r="O27" s="597"/>
      <c r="P27" s="597"/>
      <c r="Q27" s="597"/>
      <c r="R27" s="597"/>
      <c r="S27" s="597"/>
      <c r="T27" s="597"/>
      <c r="U27" s="597"/>
      <c r="V27" s="597"/>
      <c r="W27" s="598"/>
      <c r="X27" s="396">
        <f>ROUND(SUMIFS(設定!$I$9:$I$108,設定!$F$9:$F$108,"=2：雇用"),1)</f>
        <v>0</v>
      </c>
      <c r="Y27" s="125"/>
      <c r="AC27" s="28"/>
      <c r="AD27" s="28"/>
      <c r="AE27" s="28"/>
      <c r="AF27" s="28"/>
      <c r="AG27" s="28"/>
      <c r="AH27" s="28"/>
    </row>
    <row r="28" spans="1:35" s="15" customFormat="1" ht="27" customHeight="1" x14ac:dyDescent="0.15">
      <c r="A28" s="14"/>
      <c r="C28" s="120" t="s">
        <v>49</v>
      </c>
      <c r="D28" s="599" t="s">
        <v>50</v>
      </c>
      <c r="E28" s="600"/>
      <c r="F28" s="600"/>
      <c r="G28" s="600"/>
      <c r="H28" s="600"/>
      <c r="I28" s="600"/>
      <c r="J28" s="600"/>
      <c r="K28" s="600"/>
      <c r="L28" s="600"/>
      <c r="M28" s="600"/>
      <c r="N28" s="600"/>
      <c r="O28" s="600"/>
      <c r="P28" s="600"/>
      <c r="Q28" s="600"/>
      <c r="R28" s="600"/>
      <c r="S28" s="600"/>
      <c r="T28" s="600"/>
      <c r="U28" s="600"/>
      <c r="V28" s="600"/>
      <c r="W28" s="601"/>
      <c r="X28" s="412">
        <f>ROUND(SUMIFS(設定!$J$9:$J$108,設定!$F$9:$F$108,"=2：雇用"),1)</f>
        <v>0</v>
      </c>
      <c r="Y28" s="125"/>
      <c r="AC28" s="14"/>
      <c r="AD28" s="14"/>
      <c r="AE28" s="14"/>
      <c r="AF28" s="14"/>
      <c r="AG28" s="14"/>
      <c r="AH28" s="14"/>
    </row>
    <row r="29" spans="1:35" s="15" customFormat="1" ht="27" customHeight="1" x14ac:dyDescent="0.15">
      <c r="A29" s="14"/>
      <c r="B29" s="28"/>
      <c r="C29" s="120" t="s">
        <v>51</v>
      </c>
      <c r="D29" s="596" t="s">
        <v>52</v>
      </c>
      <c r="E29" s="597"/>
      <c r="F29" s="597"/>
      <c r="G29" s="597"/>
      <c r="H29" s="597"/>
      <c r="I29" s="597"/>
      <c r="J29" s="597"/>
      <c r="K29" s="597"/>
      <c r="L29" s="597"/>
      <c r="M29" s="597"/>
      <c r="N29" s="597"/>
      <c r="O29" s="597"/>
      <c r="P29" s="597"/>
      <c r="Q29" s="597"/>
      <c r="R29" s="597"/>
      <c r="S29" s="597"/>
      <c r="T29" s="597"/>
      <c r="U29" s="597"/>
      <c r="V29" s="597"/>
      <c r="W29" s="598"/>
      <c r="X29" s="396">
        <f>ROUND(SUMIFS(設定!$K$9:$K$108,設定!$F$9:$F$108,"=2：雇用"),1)</f>
        <v>0</v>
      </c>
      <c r="Y29" s="125"/>
      <c r="AC29" s="28"/>
      <c r="AD29" s="28"/>
      <c r="AE29" s="28"/>
      <c r="AF29" s="28"/>
      <c r="AG29" s="28"/>
      <c r="AH29" s="28"/>
      <c r="AI29" s="24"/>
    </row>
    <row r="30" spans="1:35" s="15" customFormat="1" ht="27" customHeight="1" thickBot="1" x14ac:dyDescent="0.2">
      <c r="A30" s="14"/>
      <c r="B30" s="114"/>
      <c r="C30" s="120" t="s">
        <v>60</v>
      </c>
      <c r="D30" s="580" t="s">
        <v>56</v>
      </c>
      <c r="E30" s="581"/>
      <c r="F30" s="581"/>
      <c r="G30" s="581"/>
      <c r="H30" s="581"/>
      <c r="I30" s="581"/>
      <c r="J30" s="581"/>
      <c r="K30" s="581"/>
      <c r="L30" s="581"/>
      <c r="M30" s="581"/>
      <c r="N30" s="581"/>
      <c r="O30" s="581"/>
      <c r="P30" s="581"/>
      <c r="Q30" s="581"/>
      <c r="R30" s="581"/>
      <c r="S30" s="581"/>
      <c r="T30" s="581"/>
      <c r="U30" s="581"/>
      <c r="V30" s="581"/>
      <c r="W30" s="582"/>
      <c r="X30" s="413">
        <f>ROUND(SUMIFS(設定!$L$9:$L$108,設定!$F$9:$F$108,"=2：雇用"),1)</f>
        <v>0</v>
      </c>
      <c r="Y30" s="125"/>
      <c r="AC30" s="115"/>
      <c r="AD30" s="115"/>
      <c r="AE30" s="115"/>
      <c r="AF30" s="115"/>
      <c r="AG30" s="115"/>
      <c r="AH30" s="115"/>
      <c r="AI30" s="28"/>
    </row>
    <row r="31" spans="1:35" s="15" customFormat="1" ht="27" customHeight="1" thickTop="1" thickBot="1" x14ac:dyDescent="0.2">
      <c r="A31" s="14"/>
      <c r="B31" s="126"/>
      <c r="C31" s="123" t="s">
        <v>61</v>
      </c>
      <c r="D31" s="583" t="s">
        <v>58</v>
      </c>
      <c r="E31" s="584"/>
      <c r="F31" s="584"/>
      <c r="G31" s="584"/>
      <c r="H31" s="584"/>
      <c r="I31" s="584"/>
      <c r="J31" s="584"/>
      <c r="K31" s="584"/>
      <c r="L31" s="584"/>
      <c r="M31" s="584"/>
      <c r="N31" s="584"/>
      <c r="O31" s="584"/>
      <c r="P31" s="584"/>
      <c r="Q31" s="584"/>
      <c r="R31" s="584"/>
      <c r="S31" s="584"/>
      <c r="T31" s="584"/>
      <c r="U31" s="584"/>
      <c r="V31" s="584"/>
      <c r="W31" s="585"/>
      <c r="X31" s="414">
        <f>ROUND(SUM(SUMIFS(設定!$M$9:$M$108,設定!$F$9:$F$108,"=2：雇用"),SUMIFS(設定!$N$9:$N$108,設定!$F$9:$F$108,"=2：雇用")),1)</f>
        <v>0</v>
      </c>
      <c r="Y31" s="125"/>
      <c r="Z31" s="127"/>
      <c r="AA31" s="127"/>
      <c r="AB31" s="28"/>
      <c r="AC31" s="128"/>
      <c r="AD31" s="128"/>
      <c r="AE31" s="128"/>
      <c r="AF31" s="128"/>
      <c r="AG31" s="128"/>
      <c r="AH31" s="128"/>
      <c r="AI31" s="28"/>
    </row>
    <row r="32" spans="1:35" s="15" customFormat="1" ht="13.9" customHeight="1" x14ac:dyDescent="0.15">
      <c r="A32" s="14"/>
      <c r="B32" s="28"/>
      <c r="Y32" s="127"/>
      <c r="Z32" s="127"/>
      <c r="AA32" s="127"/>
      <c r="AB32" s="115"/>
      <c r="AC32" s="129"/>
      <c r="AD32" s="129"/>
      <c r="AE32" s="130"/>
      <c r="AF32" s="129"/>
      <c r="AG32" s="129"/>
      <c r="AH32" s="130"/>
      <c r="AI32" s="131"/>
    </row>
    <row r="33" s="14" customFormat="1" ht="14.25" customHeight="1" x14ac:dyDescent="0.15"/>
    <row r="34" s="14" customFormat="1" ht="14.25" customHeight="1" x14ac:dyDescent="0.15"/>
    <row r="35" s="14" customFormat="1" ht="14.25" customHeight="1" x14ac:dyDescent="0.15"/>
    <row r="36" s="14" customFormat="1" ht="14.25" customHeight="1" x14ac:dyDescent="0.15"/>
    <row r="37" s="14" customFormat="1" ht="14.25" customHeight="1" x14ac:dyDescent="0.15"/>
    <row r="38" s="14" customFormat="1" ht="14.25" customHeight="1" x14ac:dyDescent="0.15"/>
    <row r="39" s="14" customFormat="1" ht="14.25" customHeight="1" x14ac:dyDescent="0.15"/>
    <row r="40" s="14" customFormat="1" ht="14.25" customHeight="1" x14ac:dyDescent="0.15"/>
    <row r="41" s="14" customFormat="1" ht="14.25" customHeight="1" x14ac:dyDescent="0.15"/>
    <row r="42" s="14" customFormat="1" ht="14.25" customHeight="1" x14ac:dyDescent="0.15"/>
    <row r="43" s="14" customFormat="1" ht="14.25" customHeight="1" x14ac:dyDescent="0.15"/>
    <row r="44" s="14" customFormat="1" ht="14.25" customHeight="1" x14ac:dyDescent="0.15"/>
    <row r="45" s="14" customFormat="1" ht="14.25" customHeight="1" x14ac:dyDescent="0.15"/>
    <row r="46" s="14" customFormat="1" ht="14.25" customHeight="1" x14ac:dyDescent="0.15"/>
    <row r="47" s="14" customFormat="1" ht="14.25" customHeight="1" x14ac:dyDescent="0.15"/>
    <row r="48" s="14" customFormat="1" ht="14.25" customHeight="1" x14ac:dyDescent="0.15"/>
    <row r="49" s="14" customFormat="1" ht="14.25" customHeight="1" x14ac:dyDescent="0.15"/>
    <row r="50" s="14" customFormat="1" ht="14.25" customHeight="1" x14ac:dyDescent="0.15"/>
    <row r="51" s="14" customFormat="1" ht="14.25" customHeight="1" x14ac:dyDescent="0.15"/>
    <row r="52" s="14" customFormat="1" ht="14.25" customHeight="1" x14ac:dyDescent="0.15"/>
    <row r="53" s="14" customFormat="1" ht="14.25" customHeight="1" x14ac:dyDescent="0.15"/>
    <row r="54" s="14" customFormat="1" ht="14.25" customHeight="1" x14ac:dyDescent="0.15"/>
    <row r="55" s="14" customFormat="1" ht="14.25" customHeight="1" x14ac:dyDescent="0.15"/>
    <row r="56" s="14" customFormat="1" ht="14.25" customHeight="1" x14ac:dyDescent="0.15"/>
    <row r="57" s="14" customFormat="1" ht="14.25" customHeight="1" x14ac:dyDescent="0.15"/>
    <row r="58" s="14" customFormat="1" ht="14.25" customHeight="1" x14ac:dyDescent="0.15"/>
    <row r="59" s="14" customFormat="1" ht="14.25" customHeight="1" x14ac:dyDescent="0.15"/>
    <row r="60" s="14" customFormat="1" ht="14.25" customHeight="1" x14ac:dyDescent="0.15"/>
    <row r="61" s="14" customFormat="1" ht="14.25" customHeight="1" x14ac:dyDescent="0.15"/>
    <row r="62" s="14" customFormat="1" ht="14.25" customHeight="1" x14ac:dyDescent="0.15"/>
    <row r="63" s="14" customFormat="1" ht="14.25" customHeight="1" x14ac:dyDescent="0.15"/>
    <row r="64" s="14" customFormat="1" ht="14.25" customHeight="1" x14ac:dyDescent="0.15"/>
    <row r="65" s="14" customFormat="1" ht="14.25" customHeight="1" x14ac:dyDescent="0.15"/>
    <row r="66" s="14" customFormat="1" ht="14.25" customHeight="1" x14ac:dyDescent="0.15"/>
    <row r="67" s="14" customFormat="1" ht="14.25" customHeight="1" x14ac:dyDescent="0.15"/>
    <row r="68" s="14" customFormat="1" ht="14.25" customHeight="1" x14ac:dyDescent="0.15"/>
    <row r="69" s="14" customFormat="1" ht="14.25" customHeight="1" x14ac:dyDescent="0.15"/>
    <row r="70" s="14" customFormat="1" ht="14.25" customHeight="1" x14ac:dyDescent="0.15"/>
    <row r="71" s="14" customFormat="1" ht="14.25" customHeight="1" x14ac:dyDescent="0.15"/>
    <row r="72" s="14" customFormat="1" ht="14.25" customHeight="1" x14ac:dyDescent="0.15"/>
    <row r="73" s="14" customFormat="1" ht="14.25" customHeight="1" x14ac:dyDescent="0.15"/>
    <row r="74" s="14" customFormat="1" ht="14.25" customHeight="1" x14ac:dyDescent="0.15"/>
  </sheetData>
  <sheetProtection formatCells="0" formatColumns="0" formatRows="0" insertColumns="0" insertRows="0" insertHyperlinks="0" deleteColumns="0" deleteRows="0" selectLockedCells="1" sort="0"/>
  <mergeCells count="19">
    <mergeCell ref="D30:W30"/>
    <mergeCell ref="D31:W31"/>
    <mergeCell ref="C24:C25"/>
    <mergeCell ref="D24:W25"/>
    <mergeCell ref="D27:W27"/>
    <mergeCell ref="D28:W28"/>
    <mergeCell ref="D29:W29"/>
    <mergeCell ref="D26:W26"/>
    <mergeCell ref="X24:X25"/>
    <mergeCell ref="D17:W17"/>
    <mergeCell ref="D18:W18"/>
    <mergeCell ref="C10:C11"/>
    <mergeCell ref="D10:W11"/>
    <mergeCell ref="X10:AA10"/>
    <mergeCell ref="D12:W12"/>
    <mergeCell ref="D13:W13"/>
    <mergeCell ref="D14:W14"/>
    <mergeCell ref="D15:W15"/>
    <mergeCell ref="D16:W16"/>
  </mergeCells>
  <phoneticPr fontId="2"/>
  <conditionalFormatting sqref="C2">
    <cfRule type="containsText" dxfId="1" priority="1" operator="containsText" text="※">
      <formula>NOT(ISERROR(SEARCH("※",C2)))</formula>
    </cfRule>
  </conditionalFormatting>
  <printOptions horizontalCentered="1"/>
  <pageMargins left="0.39370078740157483" right="0.39370078740157483" top="0.59055118110236227" bottom="0.59055118110236227" header="0.19685039370078741" footer="0.19685039370078741"/>
  <pageSetup paperSize="8" orientation="landscape" r:id="rId1"/>
  <headerFooter scaleWithDoc="0"/>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3D8CC-B17D-473B-AAF0-E0CA3932A464}">
  <sheetPr>
    <pageSetUpPr fitToPage="1"/>
  </sheetPr>
  <dimension ref="A1:BF71"/>
  <sheetViews>
    <sheetView showGridLines="0" view="pageBreakPreview" zoomScaleNormal="90" zoomScaleSheetLayoutView="100" workbookViewId="0"/>
  </sheetViews>
  <sheetFormatPr defaultColWidth="2.75" defaultRowHeight="14.25" customHeight="1" x14ac:dyDescent="0.15"/>
  <cols>
    <col min="1" max="2" width="2.75" style="14"/>
    <col min="3" max="3" width="31.25" style="14" customWidth="1"/>
    <col min="4" max="5" width="8.625" style="14" customWidth="1"/>
    <col min="6" max="15" width="2.75" style="14"/>
    <col min="16" max="20" width="2.75" style="15"/>
    <col min="21" max="23" width="2.75" style="29"/>
    <col min="24" max="26" width="17" style="29" customWidth="1"/>
    <col min="27" max="27" width="16.875" style="29" customWidth="1"/>
    <col min="28" max="28" width="2.75" style="29"/>
    <col min="29" max="29" width="2.75" style="29" customWidth="1"/>
    <col min="30" max="31" width="2.75" style="29"/>
    <col min="32" max="32" width="2.75" style="29" customWidth="1"/>
    <col min="33" max="36" width="2.75" style="15"/>
    <col min="37" max="16384" width="2.75" style="14"/>
  </cols>
  <sheetData>
    <row r="1" spans="1:58" s="21" customFormat="1" ht="18" customHeight="1" x14ac:dyDescent="0.2">
      <c r="A1" s="142"/>
      <c r="B1" s="32"/>
      <c r="C1" s="178" t="s">
        <v>106</v>
      </c>
      <c r="D1" s="169"/>
      <c r="E1" s="169"/>
      <c r="F1" s="169"/>
      <c r="G1" s="169"/>
      <c r="H1" s="169"/>
      <c r="I1" s="169"/>
      <c r="J1" s="169"/>
      <c r="K1" s="169"/>
      <c r="L1" s="169"/>
      <c r="M1" s="169"/>
      <c r="N1" s="169"/>
      <c r="O1" s="169"/>
      <c r="P1" s="14"/>
      <c r="Q1" s="14"/>
      <c r="R1" s="70"/>
      <c r="T1" s="94"/>
      <c r="U1" s="94"/>
      <c r="V1" s="94"/>
      <c r="W1" s="94"/>
      <c r="X1" s="94"/>
      <c r="Y1" s="94"/>
      <c r="Z1" s="94"/>
      <c r="AA1" s="94"/>
      <c r="AB1" s="94"/>
      <c r="AC1" s="98"/>
      <c r="AD1" s="98"/>
      <c r="AE1" s="98"/>
      <c r="AF1" s="98"/>
      <c r="AG1" s="98"/>
      <c r="AH1" s="98"/>
      <c r="AI1" s="98"/>
      <c r="AJ1" s="98"/>
      <c r="AK1" s="98"/>
      <c r="AL1" s="98"/>
      <c r="AM1" s="98"/>
      <c r="AN1" s="98"/>
      <c r="AO1" s="98"/>
      <c r="AP1" s="98"/>
      <c r="AQ1" s="98"/>
      <c r="AR1" s="98"/>
      <c r="AS1" s="98"/>
      <c r="AT1" s="94"/>
      <c r="AU1" s="94"/>
      <c r="AV1" s="94"/>
      <c r="AW1" s="94"/>
      <c r="AX1" s="94"/>
      <c r="AY1" s="94"/>
      <c r="AZ1" s="94"/>
      <c r="BA1" s="94"/>
      <c r="BB1" s="94"/>
      <c r="BC1" s="98"/>
      <c r="BD1" s="98"/>
      <c r="BE1" s="98"/>
      <c r="BF1" s="98"/>
    </row>
    <row r="2" spans="1:58" s="21" customFormat="1" ht="30" hidden="1" customHeight="1" x14ac:dyDescent="0.2">
      <c r="A2" s="142"/>
      <c r="B2" s="169"/>
      <c r="C2" s="175"/>
      <c r="D2" s="169"/>
      <c r="E2" s="169"/>
      <c r="F2" s="169"/>
      <c r="G2" s="169"/>
      <c r="H2" s="169"/>
      <c r="I2" s="169"/>
      <c r="J2" s="169"/>
      <c r="K2" s="169"/>
      <c r="L2" s="169"/>
      <c r="M2" s="169"/>
      <c r="N2" s="169"/>
      <c r="O2" s="169"/>
      <c r="P2" s="14"/>
      <c r="Q2" s="14"/>
      <c r="R2" s="30"/>
      <c r="S2" s="71"/>
      <c r="T2" s="94"/>
      <c r="U2" s="94"/>
      <c r="V2" s="94"/>
      <c r="W2" s="94"/>
      <c r="X2" s="94"/>
      <c r="Y2" s="94"/>
      <c r="Z2" s="94"/>
      <c r="AA2" s="94"/>
      <c r="AB2" s="94"/>
      <c r="AC2" s="98"/>
      <c r="AD2" s="98"/>
      <c r="AE2" s="98"/>
      <c r="AF2" s="98"/>
      <c r="AG2" s="98"/>
      <c r="AH2" s="98"/>
      <c r="AI2" s="98"/>
      <c r="AJ2" s="98"/>
      <c r="AK2" s="98"/>
      <c r="AL2" s="98"/>
      <c r="AM2" s="98"/>
      <c r="AN2" s="98"/>
      <c r="AO2" s="98"/>
      <c r="AP2" s="98"/>
      <c r="AQ2" s="98"/>
      <c r="AR2" s="98"/>
      <c r="AS2" s="98"/>
      <c r="AT2" s="94"/>
      <c r="AU2" s="94"/>
      <c r="AV2" s="94"/>
      <c r="AW2" s="94"/>
      <c r="AX2" s="94"/>
      <c r="AY2" s="94"/>
      <c r="AZ2" s="94"/>
      <c r="BA2" s="94"/>
      <c r="BB2" s="94"/>
      <c r="BC2" s="98"/>
      <c r="BD2" s="98"/>
      <c r="BE2" s="98"/>
      <c r="BF2" s="98"/>
    </row>
    <row r="3" spans="1:58" s="21" customFormat="1" ht="12.75" hidden="1" customHeight="1" x14ac:dyDescent="0.15">
      <c r="A3" s="142"/>
      <c r="B3" s="169"/>
      <c r="C3" s="169"/>
      <c r="D3" s="169"/>
      <c r="E3" s="169"/>
      <c r="F3" s="169"/>
      <c r="G3" s="169"/>
      <c r="H3" s="22"/>
      <c r="I3" s="22"/>
      <c r="J3" s="16"/>
      <c r="K3" s="22"/>
      <c r="L3" s="23"/>
      <c r="M3" s="16"/>
      <c r="N3" s="24"/>
      <c r="O3" s="25"/>
      <c r="P3" s="14"/>
      <c r="Q3" s="14"/>
      <c r="R3" s="30"/>
      <c r="T3" s="94"/>
      <c r="U3" s="94"/>
      <c r="V3" s="94"/>
      <c r="W3" s="94"/>
      <c r="X3" s="94"/>
      <c r="Y3" s="94"/>
      <c r="Z3" s="94"/>
      <c r="AA3" s="94"/>
      <c r="AB3" s="94"/>
      <c r="AC3" s="154"/>
      <c r="AD3" s="98"/>
      <c r="AE3" s="98"/>
      <c r="AF3" s="98"/>
      <c r="AG3" s="98"/>
      <c r="AH3" s="98"/>
      <c r="AI3" s="98"/>
      <c r="AJ3" s="98"/>
      <c r="AK3" s="98"/>
      <c r="AL3" s="98"/>
      <c r="AM3" s="98"/>
      <c r="AN3" s="98"/>
      <c r="AO3" s="98"/>
      <c r="AP3" s="98"/>
      <c r="AQ3" s="98"/>
      <c r="AR3" s="98"/>
      <c r="AS3" s="98"/>
      <c r="AT3" s="94"/>
      <c r="AU3" s="94"/>
      <c r="AV3" s="155"/>
      <c r="AW3" s="94"/>
      <c r="AX3" s="94"/>
      <c r="AY3" s="94"/>
      <c r="AZ3" s="94"/>
      <c r="BA3" s="94"/>
      <c r="BB3" s="94"/>
      <c r="BC3" s="98"/>
      <c r="BD3" s="98"/>
      <c r="BE3" s="98"/>
      <c r="BF3" s="98"/>
    </row>
    <row r="4" spans="1:58" s="21" customFormat="1" ht="25.15" hidden="1" customHeight="1" x14ac:dyDescent="0.2">
      <c r="A4" s="142"/>
      <c r="B4" s="169"/>
      <c r="C4" s="174"/>
      <c r="D4" s="169"/>
      <c r="E4" s="169"/>
      <c r="F4" s="169"/>
      <c r="G4" s="169"/>
      <c r="H4" s="22"/>
      <c r="I4" s="22"/>
      <c r="J4" s="16"/>
      <c r="K4" s="22"/>
      <c r="L4" s="23"/>
      <c r="M4" s="16"/>
      <c r="N4" s="24"/>
      <c r="O4" s="25"/>
      <c r="P4" s="14"/>
      <c r="Q4" s="14"/>
      <c r="R4" s="25"/>
      <c r="S4" s="72"/>
      <c r="T4" s="161"/>
      <c r="U4" s="94"/>
      <c r="V4" s="94"/>
      <c r="W4" s="94"/>
      <c r="X4" s="94"/>
      <c r="Y4" s="94"/>
      <c r="Z4" s="94"/>
      <c r="AA4" s="94"/>
      <c r="AB4" s="94"/>
      <c r="AC4" s="154"/>
      <c r="AD4" s="98"/>
      <c r="AE4" s="98"/>
      <c r="AF4" s="98"/>
      <c r="AG4" s="98"/>
      <c r="AH4" s="98"/>
      <c r="AI4" s="98"/>
      <c r="AJ4" s="98"/>
      <c r="AK4" s="98"/>
      <c r="AL4" s="98"/>
      <c r="AM4" s="98"/>
      <c r="AN4" s="98"/>
      <c r="AO4" s="98"/>
      <c r="AP4" s="98"/>
      <c r="AQ4" s="98"/>
      <c r="AR4" s="98"/>
      <c r="AS4" s="98"/>
      <c r="AT4" s="94"/>
      <c r="AU4" s="94"/>
      <c r="AV4" s="155"/>
      <c r="AW4" s="94"/>
      <c r="AX4" s="94"/>
      <c r="AY4" s="94"/>
      <c r="AZ4" s="94"/>
      <c r="BA4" s="94"/>
      <c r="BB4" s="94"/>
      <c r="BC4" s="98"/>
      <c r="BD4" s="98"/>
      <c r="BE4" s="98"/>
      <c r="BF4" s="98"/>
    </row>
    <row r="5" spans="1:58" s="21" customFormat="1" ht="25.15" hidden="1" customHeight="1" x14ac:dyDescent="0.2">
      <c r="A5" s="142"/>
      <c r="B5" s="26"/>
      <c r="C5" s="174"/>
      <c r="D5" s="16"/>
      <c r="E5" s="16"/>
      <c r="F5" s="16"/>
      <c r="G5" s="22"/>
      <c r="H5" s="22"/>
      <c r="I5" s="22"/>
      <c r="J5" s="16"/>
      <c r="K5" s="22"/>
      <c r="L5" s="23"/>
      <c r="M5" s="16"/>
      <c r="N5" s="24"/>
      <c r="O5" s="25"/>
      <c r="P5" s="14"/>
      <c r="Q5" s="14"/>
      <c r="R5" s="25"/>
      <c r="T5" s="94"/>
      <c r="U5" s="94"/>
      <c r="V5" s="94"/>
      <c r="W5" s="94"/>
      <c r="X5" s="94"/>
      <c r="Y5" s="94"/>
      <c r="Z5" s="94"/>
      <c r="AA5" s="94"/>
      <c r="AB5" s="94"/>
      <c r="AC5" s="98"/>
      <c r="AD5" s="98"/>
      <c r="AE5" s="98"/>
      <c r="AF5" s="98"/>
      <c r="AG5" s="98"/>
      <c r="AH5" s="98"/>
      <c r="AI5" s="98"/>
      <c r="AJ5" s="98"/>
      <c r="AK5" s="98"/>
      <c r="AL5" s="98"/>
      <c r="AM5" s="98"/>
      <c r="AN5" s="98"/>
      <c r="AO5" s="98"/>
      <c r="AP5" s="98"/>
      <c r="AQ5" s="98"/>
      <c r="AR5" s="98"/>
      <c r="AS5" s="98"/>
      <c r="AT5" s="94"/>
      <c r="AU5" s="94"/>
      <c r="AV5" s="94"/>
      <c r="AW5" s="94"/>
      <c r="AX5" s="94"/>
      <c r="AY5" s="94"/>
      <c r="AZ5" s="94"/>
      <c r="BA5" s="94"/>
      <c r="BB5" s="94"/>
      <c r="BC5" s="98"/>
      <c r="BD5" s="98"/>
      <c r="BE5" s="98"/>
      <c r="BF5" s="98"/>
    </row>
    <row r="6" spans="1:58" ht="14.25" hidden="1" customHeight="1" x14ac:dyDescent="0.15">
      <c r="A6" s="29"/>
      <c r="D6" s="29"/>
      <c r="E6" s="29"/>
      <c r="F6" s="22"/>
      <c r="G6" s="16"/>
      <c r="H6" s="16"/>
      <c r="I6" s="16"/>
      <c r="J6" s="22"/>
      <c r="K6" s="22"/>
      <c r="L6" s="16"/>
      <c r="M6" s="16"/>
      <c r="N6" s="23"/>
      <c r="O6" s="23"/>
      <c r="P6" s="16"/>
      <c r="Q6" s="16"/>
      <c r="R6" s="16"/>
      <c r="S6" s="24"/>
      <c r="T6" s="24"/>
      <c r="Z6" s="22"/>
      <c r="AA6" s="16"/>
      <c r="AB6" s="23"/>
      <c r="AC6" s="23"/>
      <c r="AD6" s="16"/>
      <c r="AE6" s="16"/>
      <c r="AF6" s="16"/>
      <c r="AG6" s="24"/>
      <c r="AH6" s="24"/>
      <c r="AI6" s="24"/>
      <c r="AJ6" s="24"/>
    </row>
    <row r="7" spans="1:58" ht="14.25" customHeight="1" x14ac:dyDescent="0.15">
      <c r="C7" s="29"/>
      <c r="D7" s="169"/>
      <c r="E7" s="169"/>
      <c r="F7" s="169"/>
      <c r="G7" s="29"/>
      <c r="H7" s="29"/>
      <c r="I7" s="29"/>
      <c r="J7" s="29"/>
      <c r="K7" s="29"/>
      <c r="L7" s="29"/>
      <c r="M7" s="29"/>
      <c r="N7" s="29"/>
      <c r="O7" s="29"/>
      <c r="P7" s="29"/>
      <c r="Q7" s="29"/>
      <c r="R7" s="29"/>
    </row>
    <row r="8" spans="1:58" ht="30" customHeight="1" x14ac:dyDescent="0.2">
      <c r="A8" s="169"/>
      <c r="C8" s="177" t="s">
        <v>102</v>
      </c>
      <c r="D8" s="169"/>
      <c r="E8" s="169"/>
      <c r="F8" s="169"/>
      <c r="G8" s="29"/>
      <c r="H8" s="29"/>
      <c r="I8" s="29"/>
      <c r="J8" s="29"/>
      <c r="K8" s="29"/>
      <c r="L8" s="29"/>
      <c r="M8" s="29"/>
      <c r="N8" s="29"/>
      <c r="O8" s="29"/>
      <c r="P8" s="29"/>
      <c r="Q8" s="29"/>
      <c r="R8" s="29"/>
      <c r="U8" s="169"/>
      <c r="V8" s="169"/>
      <c r="W8" s="169"/>
      <c r="X8" s="169"/>
      <c r="Y8" s="169"/>
      <c r="Z8" s="169"/>
    </row>
    <row r="9" spans="1:58" ht="14.25" customHeight="1" thickBot="1" x14ac:dyDescent="0.2">
      <c r="A9" s="29"/>
    </row>
    <row r="10" spans="1:58" ht="22.9" customHeight="1" x14ac:dyDescent="0.15">
      <c r="A10" s="29"/>
      <c r="B10" s="29"/>
      <c r="C10" s="551" t="s">
        <v>40</v>
      </c>
      <c r="D10" s="517" t="s">
        <v>41</v>
      </c>
      <c r="E10" s="586"/>
      <c r="F10" s="586"/>
      <c r="G10" s="586"/>
      <c r="H10" s="586"/>
      <c r="I10" s="586"/>
      <c r="J10" s="586"/>
      <c r="K10" s="586"/>
      <c r="L10" s="586"/>
      <c r="M10" s="586"/>
      <c r="N10" s="586"/>
      <c r="O10" s="586"/>
      <c r="P10" s="586"/>
      <c r="Q10" s="586"/>
      <c r="R10" s="586"/>
      <c r="S10" s="586"/>
      <c r="T10" s="586"/>
      <c r="U10" s="586"/>
      <c r="V10" s="586"/>
      <c r="W10" s="587"/>
      <c r="X10" s="590" t="s">
        <v>42</v>
      </c>
      <c r="Y10" s="591"/>
      <c r="Z10" s="591"/>
      <c r="AA10" s="592"/>
      <c r="AB10" s="113"/>
      <c r="AC10" s="113"/>
      <c r="AD10" s="113"/>
      <c r="AE10" s="113"/>
      <c r="AF10" s="113"/>
      <c r="AG10" s="113"/>
    </row>
    <row r="11" spans="1:58" ht="22.9" customHeight="1" thickBot="1" x14ac:dyDescent="0.2">
      <c r="A11" s="29"/>
      <c r="B11" s="114"/>
      <c r="C11" s="552"/>
      <c r="D11" s="518"/>
      <c r="E11" s="588"/>
      <c r="F11" s="588"/>
      <c r="G11" s="588"/>
      <c r="H11" s="588"/>
      <c r="I11" s="588"/>
      <c r="J11" s="588"/>
      <c r="K11" s="588"/>
      <c r="L11" s="588"/>
      <c r="M11" s="588"/>
      <c r="N11" s="588"/>
      <c r="O11" s="588"/>
      <c r="P11" s="588"/>
      <c r="Q11" s="588"/>
      <c r="R11" s="588"/>
      <c r="S11" s="588"/>
      <c r="T11" s="588"/>
      <c r="U11" s="588"/>
      <c r="V11" s="588"/>
      <c r="W11" s="589"/>
      <c r="X11" s="179" t="s">
        <v>14</v>
      </c>
      <c r="Y11" s="180" t="s">
        <v>43</v>
      </c>
      <c r="Z11" s="180" t="s">
        <v>44</v>
      </c>
      <c r="AA11" s="181" t="s">
        <v>15</v>
      </c>
      <c r="AB11" s="113"/>
      <c r="AC11" s="113"/>
      <c r="AD11" s="113"/>
      <c r="AE11" s="113"/>
      <c r="AF11" s="113"/>
      <c r="AG11" s="113"/>
      <c r="AH11" s="115"/>
    </row>
    <row r="12" spans="1:58" ht="27" customHeight="1" thickTop="1" x14ac:dyDescent="0.15">
      <c r="A12" s="24"/>
      <c r="B12" s="28"/>
      <c r="C12" s="116" t="s">
        <v>45</v>
      </c>
      <c r="D12" s="593" t="s">
        <v>46</v>
      </c>
      <c r="E12" s="594"/>
      <c r="F12" s="594"/>
      <c r="G12" s="594"/>
      <c r="H12" s="594"/>
      <c r="I12" s="594"/>
      <c r="J12" s="594"/>
      <c r="K12" s="594"/>
      <c r="L12" s="594"/>
      <c r="M12" s="594"/>
      <c r="N12" s="594"/>
      <c r="O12" s="594"/>
      <c r="P12" s="594"/>
      <c r="Q12" s="594"/>
      <c r="R12" s="594"/>
      <c r="S12" s="594"/>
      <c r="T12" s="594"/>
      <c r="U12" s="594"/>
      <c r="V12" s="594"/>
      <c r="W12" s="595"/>
      <c r="X12" s="393">
        <f>ROUND(SUMIFS(設定!$H$9:$H$108,設定!$E$9:$E$108,"&lt;65",設定!$F$9:$F$108,"=1：構成員"),1)</f>
        <v>0</v>
      </c>
      <c r="Y12" s="394">
        <f>ROUND(SUMIFS(設定!$H$9:$H$108,設定!$E$9:$E$108,"&gt;=65",設定!$E$9:$E$108,"&lt;70",設定!$F$9:$F$108,"=1：構成員"),1)</f>
        <v>0</v>
      </c>
      <c r="Z12" s="394">
        <f>ROUND(SUMIFS(設定!$H$9:$H$108,設定!$E$9:$E$108,"&gt;=70",設定!$E$9:$E$108,"&lt;75",設定!$F$9:$F$108,"=1：構成員"),1)</f>
        <v>0</v>
      </c>
      <c r="AA12" s="395">
        <f>ROUND(SUMIFS(設定!$H$9:$H$108,設定!$E$9:$E$108,"&gt;=75",設定!$F$9:$F$108,"=1：構成員"),1)</f>
        <v>0</v>
      </c>
      <c r="AB12" s="117"/>
      <c r="AC12" s="117"/>
      <c r="AD12" s="117"/>
      <c r="AE12" s="118"/>
      <c r="AF12" s="117"/>
      <c r="AG12" s="118"/>
      <c r="AH12" s="115"/>
    </row>
    <row r="13" spans="1:58" ht="27" customHeight="1" x14ac:dyDescent="0.15">
      <c r="A13" s="24"/>
      <c r="B13" s="119"/>
      <c r="C13" s="120" t="s">
        <v>47</v>
      </c>
      <c r="D13" s="596" t="s">
        <v>48</v>
      </c>
      <c r="E13" s="597"/>
      <c r="F13" s="597"/>
      <c r="G13" s="597"/>
      <c r="H13" s="597"/>
      <c r="I13" s="597"/>
      <c r="J13" s="597"/>
      <c r="K13" s="597"/>
      <c r="L13" s="597"/>
      <c r="M13" s="597"/>
      <c r="N13" s="597"/>
      <c r="O13" s="597"/>
      <c r="P13" s="597"/>
      <c r="Q13" s="597"/>
      <c r="R13" s="597"/>
      <c r="S13" s="597"/>
      <c r="T13" s="597"/>
      <c r="U13" s="597"/>
      <c r="V13" s="597"/>
      <c r="W13" s="598"/>
      <c r="X13" s="396">
        <f>ROUND(SUMIFS(設定!$I$9:$I$108,設定!$E$9:$E$108,"&lt;65",設定!$F$9:$F$108,"=1：構成員"),1)</f>
        <v>0</v>
      </c>
      <c r="Y13" s="397">
        <f>ROUND(SUMIFS(設定!$I$9:$I$108,設定!$E$9:$E$108,"&gt;=65",設定!$E$9:$E$108,"&lt;70",設定!$F$9:$F$108,"=1：構成員"),1)</f>
        <v>0</v>
      </c>
      <c r="Z13" s="397">
        <f>ROUND(SUMIFS(設定!$I$9:$I$108,設定!$E$9:$E$108,"&gt;=70",設定!$E$9:$E$108,"&lt;75",設定!$F$9:$F$108,"=1：構成員"),1)</f>
        <v>0</v>
      </c>
      <c r="AA13" s="398">
        <f>ROUND(SUMIFS(設定!$I$9:$I$108,設定!$E$9:$E$108,"&gt;=75",設定!$F$9:$F$108,"=1：構成員"),1)</f>
        <v>0</v>
      </c>
      <c r="AB13" s="28"/>
      <c r="AC13" s="28"/>
      <c r="AD13" s="28"/>
      <c r="AE13" s="28"/>
      <c r="AF13" s="117"/>
      <c r="AG13" s="117"/>
      <c r="AH13" s="121"/>
      <c r="AI13" s="14"/>
      <c r="AJ13" s="14"/>
    </row>
    <row r="14" spans="1:58" ht="27" customHeight="1" x14ac:dyDescent="0.15">
      <c r="A14" s="24"/>
      <c r="B14" s="28"/>
      <c r="C14" s="120" t="s">
        <v>51</v>
      </c>
      <c r="D14" s="596" t="s">
        <v>52</v>
      </c>
      <c r="E14" s="597"/>
      <c r="F14" s="597"/>
      <c r="G14" s="597"/>
      <c r="H14" s="597"/>
      <c r="I14" s="597"/>
      <c r="J14" s="597"/>
      <c r="K14" s="597"/>
      <c r="L14" s="597"/>
      <c r="M14" s="597"/>
      <c r="N14" s="597"/>
      <c r="O14" s="597"/>
      <c r="P14" s="597"/>
      <c r="Q14" s="597"/>
      <c r="R14" s="597"/>
      <c r="S14" s="597"/>
      <c r="T14" s="597"/>
      <c r="U14" s="597"/>
      <c r="V14" s="597"/>
      <c r="W14" s="598"/>
      <c r="X14" s="399">
        <f>ROUND(SUMIFS(設定!$J$9:$J$108,設定!$E$9:$E$108,"&lt;65",設定!$F$9:$F$108,"=1：構成員"),1)</f>
        <v>0</v>
      </c>
      <c r="Y14" s="400">
        <f>ROUND(SUMIFS(設定!$J$9:$J$108,設定!$E$9:$E$108,"&gt;=65",設定!$E$9:$E$108,"&lt;70",設定!$F$9:$F$108,"=1：構成員"),1)</f>
        <v>0</v>
      </c>
      <c r="Z14" s="400">
        <f>ROUND(SUMIFS(設定!$J$9:$J$108,設定!$E$9:$E$108,"&gt;=70",設定!$E$9:$E$108,"&lt;75",設定!$F$9:$F$108,"=1：構成員"),1)</f>
        <v>0</v>
      </c>
      <c r="AA14" s="401">
        <f>ROUND(SUMIFS(設定!$J$9:$J$108,設定!$E$9:$E$108,"&gt;=75",設定!$F$9:$F$108,"=1：構成員"),1)</f>
        <v>0</v>
      </c>
      <c r="AB14" s="28"/>
      <c r="AC14" s="28"/>
      <c r="AD14" s="28"/>
      <c r="AE14" s="28"/>
      <c r="AF14" s="28"/>
      <c r="AG14" s="28"/>
      <c r="AH14" s="121"/>
      <c r="AI14" s="14"/>
      <c r="AJ14" s="14"/>
    </row>
    <row r="15" spans="1:58" ht="27" customHeight="1" x14ac:dyDescent="0.15">
      <c r="A15" s="24"/>
      <c r="B15" s="122"/>
      <c r="C15" s="120" t="s">
        <v>53</v>
      </c>
      <c r="D15" s="580" t="s">
        <v>54</v>
      </c>
      <c r="E15" s="581"/>
      <c r="F15" s="581"/>
      <c r="G15" s="581"/>
      <c r="H15" s="581"/>
      <c r="I15" s="581"/>
      <c r="J15" s="581"/>
      <c r="K15" s="581"/>
      <c r="L15" s="581"/>
      <c r="M15" s="581"/>
      <c r="N15" s="581"/>
      <c r="O15" s="581"/>
      <c r="P15" s="581"/>
      <c r="Q15" s="581"/>
      <c r="R15" s="581"/>
      <c r="S15" s="581"/>
      <c r="T15" s="581"/>
      <c r="U15" s="581"/>
      <c r="V15" s="581"/>
      <c r="W15" s="582"/>
      <c r="X15" s="402">
        <f>ROUND(SUM(SUMIFS(設定!$O$9:$O$108,設定!$E$9:$E$108,"&lt;65",設定!$F$9:$F$108,"=1：構成員"),SUMIFS(設定!$P$9:$P$108,設定!$E$9:$E$108,"&lt;65",設定!$F$9:$F$108,"=1：構成員"),SUMIFS(設定!$Q$9:$Q$108,設定!$E$9:$E$108,"&lt;65",設定!$F$9:$F$108,"=1：構成員")),1)</f>
        <v>0</v>
      </c>
      <c r="Y15" s="403">
        <f>ROUND(SUM(SUMIFS(設定!$O$9:$O$108,設定!$E$9:$E$108,"&gt;=65",設定!$E$9:$E$108,"&lt;70",設定!$F$9:$F$108,"=1：構成員"),SUMIFS(設定!$P$9:$P$108,設定!$E$9:$E$108,"&gt;=65",設定!$E$9:$E$108,"&lt;70",設定!$F$9:$F$108,"=1：構成員"),SUMIFS(設定!$Q$9:$Q$108,設定!$E$9:$E$108,"&gt;=65",設定!$E$9:$E$108,"&lt;70",設定!$F$9:$F$108,"=1：構成員")),1)</f>
        <v>0</v>
      </c>
      <c r="Z15" s="403">
        <f>ROUND(SUM(SUMIFS(設定!$O$9:$O$108,設定!$E$9:$E$108,"&gt;=70",設定!$E$9:$E$108,"&lt;75",設定!$F$9:$F$108,"=1：構成員"),SUMIFS(設定!$P$9:$P$108,設定!$E$9:$E$108,"&gt;=70",設定!$E$9:$E$108,"&lt;75",設定!$F$9:$F$108,"=1：構成員"),SUMIFS(設定!$Q$9:$Q$108,設定!$E$9:$E$108,"&gt;=70",設定!$E$9:$E$108,"&lt;75",設定!$F$9:$F$108,"=1：構成員")),1)</f>
        <v>0</v>
      </c>
      <c r="AA15" s="404">
        <f>ROUND(SUM(SUMIFS(設定!$O$9:$O$108,設定!$E$9:$E$108,"&gt;=75",設定!$F$9:$F$108,"=1：構成員"),SUMIFS(設定!$P$9:$P$108,設定!$E$9:$E$108,"&gt;=75",設定!$F$9:$F$108,"=1：構成員"),SUMIFS(設定!$Q$9:$Q$108,設定!$E$9:$E$108,"&gt;=75",設定!$F$9:$F$108,"=1：構成員")),1)</f>
        <v>0</v>
      </c>
      <c r="AB15" s="28"/>
      <c r="AC15" s="28"/>
      <c r="AD15" s="28"/>
      <c r="AE15" s="28"/>
      <c r="AF15" s="28"/>
      <c r="AG15" s="28"/>
      <c r="AH15" s="28"/>
      <c r="AI15" s="14"/>
      <c r="AJ15" s="14"/>
    </row>
    <row r="16" spans="1:58" s="15" customFormat="1" ht="27" customHeight="1" thickBot="1" x14ac:dyDescent="0.2">
      <c r="A16" s="24"/>
      <c r="B16" s="122"/>
      <c r="C16" s="120" t="s">
        <v>55</v>
      </c>
      <c r="D16" s="580" t="s">
        <v>56</v>
      </c>
      <c r="E16" s="581"/>
      <c r="F16" s="581"/>
      <c r="G16" s="581"/>
      <c r="H16" s="581"/>
      <c r="I16" s="581"/>
      <c r="J16" s="581"/>
      <c r="K16" s="581"/>
      <c r="L16" s="581"/>
      <c r="M16" s="581"/>
      <c r="N16" s="581"/>
      <c r="O16" s="581"/>
      <c r="P16" s="581"/>
      <c r="Q16" s="581"/>
      <c r="R16" s="581"/>
      <c r="S16" s="581"/>
      <c r="T16" s="581"/>
      <c r="U16" s="581"/>
      <c r="V16" s="581"/>
      <c r="W16" s="582"/>
      <c r="X16" s="405">
        <f>ROUND(SUMIFS(設定!$L$9:$L$108,設定!$E$9:$E$108,"&lt;65",設定!$F$9:$F$108,"=1：構成員"),1)</f>
        <v>0</v>
      </c>
      <c r="Y16" s="406">
        <f>ROUND(SUMIFS(設定!$L$9:$L$108,設定!$E$9:$E$108,"&gt;=65",設定!$E$9:$E$108,"&lt;70",設定!$F$9:$F$108,"=1：構成員"),1)</f>
        <v>0</v>
      </c>
      <c r="Z16" s="406">
        <f>ROUND(SUMIFS(設定!$L$9:$L$108,設定!$E$9:$E$108,"&gt;=70",設定!$E$9:$E$108,"&lt;75",設定!$F$9:$F$108,"=1：構成員"),1)</f>
        <v>0</v>
      </c>
      <c r="AA16" s="407">
        <f>ROUND(SUMIFS(設定!$L$9:$L$108,設定!$E$9:$E$108,"&gt;=75",設定!$F$9:$F$108,"=1：構成員"),1)</f>
        <v>0</v>
      </c>
      <c r="AB16" s="28"/>
      <c r="AC16" s="28"/>
      <c r="AD16" s="28"/>
      <c r="AE16" s="28"/>
      <c r="AF16" s="28"/>
      <c r="AG16" s="28"/>
      <c r="AH16" s="28"/>
    </row>
    <row r="17" spans="1:36" s="15" customFormat="1" ht="27" customHeight="1" thickTop="1" thickBot="1" x14ac:dyDescent="0.2">
      <c r="A17" s="24"/>
      <c r="B17" s="122"/>
      <c r="C17" s="123" t="s">
        <v>57</v>
      </c>
      <c r="D17" s="583" t="s">
        <v>58</v>
      </c>
      <c r="E17" s="584"/>
      <c r="F17" s="584"/>
      <c r="G17" s="584"/>
      <c r="H17" s="584"/>
      <c r="I17" s="584"/>
      <c r="J17" s="584"/>
      <c r="K17" s="584"/>
      <c r="L17" s="584"/>
      <c r="M17" s="584"/>
      <c r="N17" s="584"/>
      <c r="O17" s="584"/>
      <c r="P17" s="584"/>
      <c r="Q17" s="584"/>
      <c r="R17" s="584"/>
      <c r="S17" s="584"/>
      <c r="T17" s="584"/>
      <c r="U17" s="584"/>
      <c r="V17" s="584"/>
      <c r="W17" s="585"/>
      <c r="X17" s="408">
        <f>ROUND(SUM(SUMIFS(設定!$M$9:$M$108,設定!$E$9:$E$108,"&lt;65",設定!$F$9:$F$108,"=1：構成員"),SUMIFS(設定!$N$9:$N$108,設定!$E$9:$E$108,"&lt;65",設定!$F$9:$F$108,"=1：構成員")),1)</f>
        <v>0</v>
      </c>
      <c r="Y17" s="409">
        <f>ROUND(SUM(SUMIFS(設定!$M$9:$M$108,設定!$E$9:$E$108,"&gt;=65",設定!$E$9:$E$108,"&lt;70",設定!$F$9:$F$108,"=1：構成員"),SUMIFS(設定!$N$9:$N$108,設定!$E$9:$E$108,"&gt;=65",設定!$E$9:$E$108,"&lt;70",設定!$F$9:$F$108,"=1：構成員")),1)</f>
        <v>0</v>
      </c>
      <c r="Z17" s="409">
        <f>ROUND(SUM(SUMIFS(設定!$M$9:$M$108,設定!$E$9:$E$108,"&gt;=70",設定!$E$9:$E$108,"&lt;75",設定!$F$9:$F$108,"=1：構成員"),SUMIFS(設定!$N$9:$N$108,設定!$E$9:$E$108,"&gt;=70",設定!$E$9:$E$108,"&lt;75",設定!$F$9:$F$108,"=1：構成員")),1)</f>
        <v>0</v>
      </c>
      <c r="AA17" s="410">
        <f>ROUND(SUM(SUMIFS(設定!$M$9:$M$108,設定!$E$9:$E$108,"&gt;=75",設定!$F$9:$F$108,"=1：構成員"),SUMIFS(設定!$N$9:$N$108,設定!$E$9:$E$108,"&gt;=75",設定!$F$9:$F$108,"=1：構成員")),1)</f>
        <v>0</v>
      </c>
      <c r="AB17" s="28"/>
      <c r="AC17" s="28"/>
      <c r="AD17" s="28"/>
      <c r="AE17" s="28"/>
      <c r="AF17" s="28"/>
      <c r="AG17" s="28"/>
      <c r="AH17" s="28"/>
    </row>
    <row r="18" spans="1:36" s="15" customFormat="1" ht="14.25" customHeight="1" x14ac:dyDescent="0.15">
      <c r="A18" s="24"/>
      <c r="B18" s="122"/>
      <c r="AH18" s="28"/>
    </row>
    <row r="19" spans="1:36" s="15" customFormat="1" ht="14.25" customHeight="1" x14ac:dyDescent="0.15">
      <c r="A19" s="24"/>
      <c r="B19" s="122"/>
      <c r="AH19" s="28"/>
    </row>
    <row r="20" spans="1:36" s="15" customFormat="1" ht="14.25" customHeight="1" x14ac:dyDescent="0.15">
      <c r="A20" s="24"/>
      <c r="B20" s="170"/>
      <c r="C20" s="170"/>
      <c r="D20" s="170"/>
      <c r="E20" s="170"/>
    </row>
    <row r="21" spans="1:36" s="15" customFormat="1" ht="30" customHeight="1" x14ac:dyDescent="0.2">
      <c r="A21" s="31"/>
      <c r="B21" s="170"/>
      <c r="C21" s="177" t="s">
        <v>103</v>
      </c>
      <c r="D21" s="13"/>
      <c r="U21" s="28"/>
      <c r="V21" s="124"/>
      <c r="W21" s="124"/>
      <c r="X21" s="124"/>
      <c r="Y21" s="124"/>
      <c r="AC21" s="28"/>
      <c r="AD21" s="28"/>
      <c r="AE21" s="28"/>
      <c r="AF21" s="28"/>
      <c r="AG21" s="28"/>
      <c r="AH21" s="28"/>
    </row>
    <row r="22" spans="1:36" s="15" customFormat="1" ht="14.25" customHeight="1" thickBot="1" x14ac:dyDescent="0.2">
      <c r="A22" s="13"/>
      <c r="D22" s="14"/>
      <c r="U22" s="28"/>
      <c r="V22" s="124"/>
      <c r="W22" s="124"/>
      <c r="X22" s="124"/>
      <c r="Y22" s="124"/>
      <c r="AC22" s="28"/>
      <c r="AD22" s="28"/>
      <c r="AE22" s="28"/>
      <c r="AF22" s="28"/>
      <c r="AG22" s="28"/>
      <c r="AH22" s="28"/>
    </row>
    <row r="23" spans="1:36" s="15" customFormat="1" ht="22.9" customHeight="1" thickBot="1" x14ac:dyDescent="0.2">
      <c r="A23" s="13"/>
      <c r="B23" s="14"/>
      <c r="C23" s="183" t="s">
        <v>40</v>
      </c>
      <c r="D23" s="517" t="s">
        <v>41</v>
      </c>
      <c r="E23" s="586"/>
      <c r="F23" s="586"/>
      <c r="G23" s="586"/>
      <c r="H23" s="586"/>
      <c r="I23" s="586"/>
      <c r="J23" s="586"/>
      <c r="K23" s="586"/>
      <c r="L23" s="586"/>
      <c r="M23" s="586"/>
      <c r="N23" s="586"/>
      <c r="O23" s="586"/>
      <c r="P23" s="586"/>
      <c r="Q23" s="586"/>
      <c r="R23" s="586"/>
      <c r="S23" s="586"/>
      <c r="T23" s="586"/>
      <c r="U23" s="586"/>
      <c r="V23" s="586"/>
      <c r="W23" s="587"/>
      <c r="X23" s="182" t="s">
        <v>107</v>
      </c>
      <c r="AB23" s="28"/>
      <c r="AC23" s="28"/>
      <c r="AD23" s="28"/>
      <c r="AE23" s="28"/>
      <c r="AF23" s="28"/>
      <c r="AG23" s="28"/>
      <c r="AH23" s="28"/>
    </row>
    <row r="24" spans="1:36" s="15" customFormat="1" ht="27" customHeight="1" thickTop="1" x14ac:dyDescent="0.15">
      <c r="A24" s="29"/>
      <c r="C24" s="116" t="s">
        <v>59</v>
      </c>
      <c r="D24" s="593" t="s">
        <v>46</v>
      </c>
      <c r="E24" s="594"/>
      <c r="F24" s="594"/>
      <c r="G24" s="594"/>
      <c r="H24" s="594"/>
      <c r="I24" s="594"/>
      <c r="J24" s="594"/>
      <c r="K24" s="594"/>
      <c r="L24" s="594"/>
      <c r="M24" s="594"/>
      <c r="N24" s="594"/>
      <c r="O24" s="594"/>
      <c r="P24" s="594"/>
      <c r="Q24" s="594"/>
      <c r="R24" s="594"/>
      <c r="S24" s="594"/>
      <c r="T24" s="594"/>
      <c r="U24" s="594"/>
      <c r="V24" s="594"/>
      <c r="W24" s="595"/>
      <c r="X24" s="411">
        <f>ROUND(SUMIFS(設定!$H$9:$H$108,設定!$F$9:$F$108,"=2：雇用"),1)</f>
        <v>0</v>
      </c>
      <c r="AB24" s="28"/>
      <c r="AC24" s="28"/>
      <c r="AD24" s="28"/>
      <c r="AE24" s="28"/>
      <c r="AF24" s="28"/>
      <c r="AG24" s="28"/>
      <c r="AH24" s="28"/>
    </row>
    <row r="25" spans="1:36" s="15" customFormat="1" ht="27" customHeight="1" x14ac:dyDescent="0.15">
      <c r="A25" s="14"/>
      <c r="B25" s="112"/>
      <c r="C25" s="120" t="s">
        <v>47</v>
      </c>
      <c r="D25" s="596" t="s">
        <v>48</v>
      </c>
      <c r="E25" s="597"/>
      <c r="F25" s="597"/>
      <c r="G25" s="597"/>
      <c r="H25" s="597"/>
      <c r="I25" s="597"/>
      <c r="J25" s="597"/>
      <c r="K25" s="597"/>
      <c r="L25" s="597"/>
      <c r="M25" s="597"/>
      <c r="N25" s="597"/>
      <c r="O25" s="597"/>
      <c r="P25" s="597"/>
      <c r="Q25" s="597"/>
      <c r="R25" s="597"/>
      <c r="S25" s="597"/>
      <c r="T25" s="597"/>
      <c r="U25" s="597"/>
      <c r="V25" s="597"/>
      <c r="W25" s="598"/>
      <c r="X25" s="396">
        <f>ROUND(SUMIFS(設定!$I$9:$I$108,設定!$F$9:$F$108,"=2：雇用"),1)</f>
        <v>0</v>
      </c>
      <c r="Y25" s="125"/>
      <c r="AC25" s="28"/>
      <c r="AD25" s="28"/>
      <c r="AE25" s="28"/>
      <c r="AF25" s="28"/>
      <c r="AG25" s="28"/>
      <c r="AH25" s="28"/>
    </row>
    <row r="26" spans="1:36" s="15" customFormat="1" ht="27" customHeight="1" x14ac:dyDescent="0.15">
      <c r="A26" s="14"/>
      <c r="C26" s="120" t="s">
        <v>51</v>
      </c>
      <c r="D26" s="596" t="s">
        <v>52</v>
      </c>
      <c r="E26" s="597"/>
      <c r="F26" s="597"/>
      <c r="G26" s="597"/>
      <c r="H26" s="597"/>
      <c r="I26" s="597"/>
      <c r="J26" s="597"/>
      <c r="K26" s="597"/>
      <c r="L26" s="597"/>
      <c r="M26" s="597"/>
      <c r="N26" s="597"/>
      <c r="O26" s="597"/>
      <c r="P26" s="597"/>
      <c r="Q26" s="597"/>
      <c r="R26" s="597"/>
      <c r="S26" s="597"/>
      <c r="T26" s="597"/>
      <c r="U26" s="597"/>
      <c r="V26" s="597"/>
      <c r="W26" s="598"/>
      <c r="X26" s="412">
        <f>ROUND(SUMIFS(設定!$J$9:$J$108,設定!$F$9:$F$108,"=2：雇用"),1)</f>
        <v>0</v>
      </c>
      <c r="Y26" s="125"/>
      <c r="AC26" s="14"/>
      <c r="AD26" s="14"/>
      <c r="AE26" s="14"/>
      <c r="AF26" s="14"/>
      <c r="AG26" s="14"/>
      <c r="AH26" s="14"/>
    </row>
    <row r="27" spans="1:36" s="15" customFormat="1" ht="27" customHeight="1" thickBot="1" x14ac:dyDescent="0.2">
      <c r="A27" s="14"/>
      <c r="B27" s="114"/>
      <c r="C27" s="120" t="s">
        <v>60</v>
      </c>
      <c r="D27" s="580" t="s">
        <v>56</v>
      </c>
      <c r="E27" s="581"/>
      <c r="F27" s="581"/>
      <c r="G27" s="581"/>
      <c r="H27" s="581"/>
      <c r="I27" s="581"/>
      <c r="J27" s="581"/>
      <c r="K27" s="581"/>
      <c r="L27" s="581"/>
      <c r="M27" s="581"/>
      <c r="N27" s="581"/>
      <c r="O27" s="581"/>
      <c r="P27" s="581"/>
      <c r="Q27" s="581"/>
      <c r="R27" s="581"/>
      <c r="S27" s="581"/>
      <c r="T27" s="581"/>
      <c r="U27" s="581"/>
      <c r="V27" s="581"/>
      <c r="W27" s="582"/>
      <c r="X27" s="413">
        <f>ROUND(SUMIFS(設定!$L$9:$L$108,設定!$F$9:$F$108,"=2：雇用"),1)</f>
        <v>0</v>
      </c>
      <c r="Y27" s="125"/>
      <c r="AC27" s="115"/>
      <c r="AD27" s="115"/>
      <c r="AE27" s="115"/>
      <c r="AF27" s="115"/>
      <c r="AG27" s="115"/>
      <c r="AH27" s="115"/>
      <c r="AI27" s="28"/>
    </row>
    <row r="28" spans="1:36" s="15" customFormat="1" ht="27" customHeight="1" thickTop="1" thickBot="1" x14ac:dyDescent="0.2">
      <c r="A28" s="14"/>
      <c r="B28" s="126"/>
      <c r="C28" s="123" t="s">
        <v>61</v>
      </c>
      <c r="D28" s="583" t="s">
        <v>58</v>
      </c>
      <c r="E28" s="584"/>
      <c r="F28" s="584"/>
      <c r="G28" s="584"/>
      <c r="H28" s="584"/>
      <c r="I28" s="584"/>
      <c r="J28" s="584"/>
      <c r="K28" s="584"/>
      <c r="L28" s="584"/>
      <c r="M28" s="584"/>
      <c r="N28" s="584"/>
      <c r="O28" s="584"/>
      <c r="P28" s="584"/>
      <c r="Q28" s="584"/>
      <c r="R28" s="584"/>
      <c r="S28" s="584"/>
      <c r="T28" s="584"/>
      <c r="U28" s="584"/>
      <c r="V28" s="584"/>
      <c r="W28" s="585"/>
      <c r="X28" s="414">
        <f>ROUND(SUM(SUMIFS(設定!$M$9:$M$108,設定!$F$9:$F$108,"=2：雇用"),SUMIFS(設定!$N$9:$N$108,設定!$F$9:$F$108,"=2：雇用")),1)</f>
        <v>0</v>
      </c>
      <c r="Y28" s="125"/>
      <c r="Z28" s="127"/>
      <c r="AA28" s="127"/>
      <c r="AB28" s="28"/>
      <c r="AC28" s="128"/>
      <c r="AD28" s="128"/>
      <c r="AE28" s="128"/>
      <c r="AF28" s="128"/>
      <c r="AG28" s="128"/>
      <c r="AH28" s="128"/>
      <c r="AI28" s="28"/>
    </row>
    <row r="29" spans="1:36" s="15" customFormat="1" ht="13.9" customHeight="1" x14ac:dyDescent="0.15">
      <c r="A29" s="14"/>
      <c r="B29" s="28"/>
      <c r="Y29" s="127"/>
      <c r="Z29" s="127"/>
      <c r="AA29" s="127"/>
      <c r="AB29" s="115"/>
      <c r="AC29" s="129"/>
      <c r="AD29" s="129"/>
      <c r="AE29" s="130"/>
      <c r="AF29" s="129"/>
      <c r="AG29" s="129"/>
      <c r="AH29" s="130"/>
      <c r="AI29" s="131"/>
    </row>
    <row r="30" spans="1:36" ht="14.25" customHeight="1" x14ac:dyDescent="0.15">
      <c r="P30" s="14"/>
      <c r="Q30" s="14"/>
      <c r="R30" s="14"/>
      <c r="S30" s="14"/>
      <c r="T30" s="14"/>
      <c r="U30" s="14"/>
      <c r="V30" s="14"/>
      <c r="W30" s="14"/>
      <c r="X30" s="14"/>
      <c r="Y30" s="14"/>
      <c r="Z30" s="14"/>
      <c r="AA30" s="14"/>
      <c r="AB30" s="14"/>
      <c r="AC30" s="14"/>
      <c r="AD30" s="14"/>
      <c r="AE30" s="14"/>
      <c r="AF30" s="14"/>
      <c r="AG30" s="14"/>
      <c r="AH30" s="14"/>
      <c r="AI30" s="14"/>
      <c r="AJ30" s="14"/>
    </row>
    <row r="31" spans="1:36" ht="14.25" customHeight="1" x14ac:dyDescent="0.15">
      <c r="P31" s="14"/>
      <c r="Q31" s="14"/>
      <c r="R31" s="14"/>
      <c r="S31" s="14"/>
      <c r="T31" s="14"/>
      <c r="U31" s="14"/>
      <c r="V31" s="14"/>
      <c r="W31" s="14"/>
      <c r="X31" s="14"/>
      <c r="Y31" s="14"/>
      <c r="Z31" s="14"/>
      <c r="AA31" s="14"/>
      <c r="AB31" s="14"/>
      <c r="AC31" s="14"/>
      <c r="AD31" s="14"/>
      <c r="AE31" s="14"/>
      <c r="AF31" s="14"/>
      <c r="AG31" s="14"/>
      <c r="AH31" s="14"/>
      <c r="AI31" s="14"/>
      <c r="AJ31" s="14"/>
    </row>
    <row r="32" spans="1:36" ht="14.25" customHeight="1" x14ac:dyDescent="0.15">
      <c r="P32" s="14"/>
      <c r="Q32" s="14"/>
      <c r="R32" s="14"/>
      <c r="S32" s="14"/>
      <c r="T32" s="14"/>
      <c r="U32" s="14"/>
      <c r="V32" s="14"/>
      <c r="W32" s="14"/>
      <c r="X32" s="14"/>
      <c r="Y32" s="14"/>
      <c r="Z32" s="14"/>
      <c r="AA32" s="14"/>
      <c r="AB32" s="14"/>
      <c r="AC32" s="14"/>
      <c r="AD32" s="14"/>
      <c r="AE32" s="14"/>
      <c r="AF32" s="14"/>
      <c r="AG32" s="14"/>
      <c r="AH32" s="14"/>
      <c r="AI32" s="14"/>
      <c r="AJ32" s="14"/>
    </row>
    <row r="33" s="14" customFormat="1" ht="14.25" customHeight="1" x14ac:dyDescent="0.15"/>
    <row r="34" s="14" customFormat="1" ht="14.25" customHeight="1" x14ac:dyDescent="0.15"/>
    <row r="35" s="14" customFormat="1" ht="14.25" customHeight="1" x14ac:dyDescent="0.15"/>
    <row r="36" s="14" customFormat="1" ht="14.25" customHeight="1" x14ac:dyDescent="0.15"/>
    <row r="37" s="14" customFormat="1" ht="14.25" customHeight="1" x14ac:dyDescent="0.15"/>
    <row r="38" s="14" customFormat="1" ht="14.25" customHeight="1" x14ac:dyDescent="0.15"/>
    <row r="39" s="14" customFormat="1" ht="14.25" customHeight="1" x14ac:dyDescent="0.15"/>
    <row r="40" s="14" customFormat="1" ht="14.25" customHeight="1" x14ac:dyDescent="0.15"/>
    <row r="41" s="14" customFormat="1" ht="14.25" customHeight="1" x14ac:dyDescent="0.15"/>
    <row r="42" s="14" customFormat="1" ht="14.25" customHeight="1" x14ac:dyDescent="0.15"/>
    <row r="43" s="14" customFormat="1" ht="14.25" customHeight="1" x14ac:dyDescent="0.15"/>
    <row r="44" s="14" customFormat="1" ht="14.25" customHeight="1" x14ac:dyDescent="0.15"/>
    <row r="45" s="14" customFormat="1" ht="14.25" customHeight="1" x14ac:dyDescent="0.15"/>
    <row r="46" s="14" customFormat="1" ht="14.25" customHeight="1" x14ac:dyDescent="0.15"/>
    <row r="47" s="14" customFormat="1" ht="14.25" customHeight="1" x14ac:dyDescent="0.15"/>
    <row r="48" s="14" customFormat="1" ht="14.25" customHeight="1" x14ac:dyDescent="0.15"/>
    <row r="49" s="14" customFormat="1" ht="14.25" customHeight="1" x14ac:dyDescent="0.15"/>
    <row r="50" s="14" customFormat="1" ht="14.25" customHeight="1" x14ac:dyDescent="0.15"/>
    <row r="51" s="14" customFormat="1" ht="14.25" customHeight="1" x14ac:dyDescent="0.15"/>
    <row r="52" s="14" customFormat="1" ht="14.25" customHeight="1" x14ac:dyDescent="0.15"/>
    <row r="53" s="14" customFormat="1" ht="14.25" customHeight="1" x14ac:dyDescent="0.15"/>
    <row r="54" s="14" customFormat="1" ht="14.25" customHeight="1" x14ac:dyDescent="0.15"/>
    <row r="55" s="14" customFormat="1" ht="14.25" customHeight="1" x14ac:dyDescent="0.15"/>
    <row r="56" s="14" customFormat="1" ht="14.25" customHeight="1" x14ac:dyDescent="0.15"/>
    <row r="57" s="14" customFormat="1" ht="14.25" customHeight="1" x14ac:dyDescent="0.15"/>
    <row r="58" s="14" customFormat="1" ht="14.25" customHeight="1" x14ac:dyDescent="0.15"/>
    <row r="59" s="14" customFormat="1" ht="14.25" customHeight="1" x14ac:dyDescent="0.15"/>
    <row r="60" s="14" customFormat="1" ht="14.25" customHeight="1" x14ac:dyDescent="0.15"/>
    <row r="61" s="14" customFormat="1" ht="14.25" customHeight="1" x14ac:dyDescent="0.15"/>
    <row r="62" s="14" customFormat="1" ht="14.25" customHeight="1" x14ac:dyDescent="0.15"/>
    <row r="63" s="14" customFormat="1" ht="14.25" customHeight="1" x14ac:dyDescent="0.15"/>
    <row r="64" s="14" customFormat="1" ht="14.25" customHeight="1" x14ac:dyDescent="0.15"/>
    <row r="65" s="14" customFormat="1" ht="14.25" customHeight="1" x14ac:dyDescent="0.15"/>
    <row r="66" s="14" customFormat="1" ht="14.25" customHeight="1" x14ac:dyDescent="0.15"/>
    <row r="67" s="14" customFormat="1" ht="14.25" customHeight="1" x14ac:dyDescent="0.15"/>
    <row r="68" s="14" customFormat="1" ht="14.25" customHeight="1" x14ac:dyDescent="0.15"/>
    <row r="69" s="14" customFormat="1" ht="14.25" customHeight="1" x14ac:dyDescent="0.15"/>
    <row r="70" s="14" customFormat="1" ht="14.25" customHeight="1" x14ac:dyDescent="0.15"/>
    <row r="71" s="14" customFormat="1" ht="14.25" customHeight="1" x14ac:dyDescent="0.15"/>
  </sheetData>
  <sheetProtection formatCells="0" formatColumns="0" formatRows="0" insertColumns="0" insertRows="0" insertHyperlinks="0" deleteColumns="0" deleteRows="0" selectLockedCells="1" sort="0"/>
  <mergeCells count="15">
    <mergeCell ref="C10:C11"/>
    <mergeCell ref="D10:W11"/>
    <mergeCell ref="X10:AA10"/>
    <mergeCell ref="D12:W12"/>
    <mergeCell ref="D13:W13"/>
    <mergeCell ref="D14:W14"/>
    <mergeCell ref="D15:W15"/>
    <mergeCell ref="D16:W16"/>
    <mergeCell ref="D25:W25"/>
    <mergeCell ref="D26:W26"/>
    <mergeCell ref="D27:W27"/>
    <mergeCell ref="D28:W28"/>
    <mergeCell ref="D17:W17"/>
    <mergeCell ref="D23:W23"/>
    <mergeCell ref="D24:W24"/>
  </mergeCells>
  <phoneticPr fontId="2"/>
  <conditionalFormatting sqref="C2">
    <cfRule type="containsText" dxfId="0" priority="1" operator="containsText" text="※">
      <formula>NOT(ISERROR(SEARCH("※",C2)))</formula>
    </cfRule>
  </conditionalFormatting>
  <printOptions horizontalCentered="1"/>
  <pageMargins left="0.39370078740157483" right="0.39370078740157483" top="0.59055118110236227" bottom="0.59055118110236227" header="0.19685039370078741" footer="0.19685039370078741"/>
  <pageSetup paperSize="8" orientation="landscape" r:id="rId1"/>
  <headerFooter scaleWithDoc="0"/>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AE36D-6601-4DE8-B4D9-32CFA2074AE2}">
  <sheetPr>
    <tabColor rgb="FFFFFF00"/>
  </sheetPr>
  <dimension ref="A1:J31"/>
  <sheetViews>
    <sheetView workbookViewId="0">
      <selection activeCell="I38" sqref="I38"/>
    </sheetView>
  </sheetViews>
  <sheetFormatPr defaultRowHeight="13.5" x14ac:dyDescent="0.15"/>
  <cols>
    <col min="1" max="3" width="12.75"/>
    <col min="4" max="9" width="12.75" customWidth="1"/>
    <col min="10" max="10" width="15.5" customWidth="1"/>
  </cols>
  <sheetData>
    <row r="1" spans="1:10" x14ac:dyDescent="0.15">
      <c r="A1" s="138" t="s">
        <v>63</v>
      </c>
      <c r="B1" s="138" t="s">
        <v>67</v>
      </c>
      <c r="C1" s="138" t="s">
        <v>76</v>
      </c>
      <c r="D1" s="138" t="s">
        <v>79</v>
      </c>
      <c r="E1" s="138" t="s">
        <v>80</v>
      </c>
      <c r="F1" s="138" t="s">
        <v>93</v>
      </c>
      <c r="G1" s="138" t="s">
        <v>86</v>
      </c>
      <c r="H1" s="140" t="str">
        <f>IF(設定!F3="","作業_Blank",IF(設定!F3="牛乳",F1,G1))</f>
        <v>作業_Blank</v>
      </c>
      <c r="I1" s="176" t="str">
        <f>IF(OR(設定!$D$3="",設定!$F$3=""),"",
IF(AND(設定!$D$3="個別経営体",設定!$F$3="牛乳"),"【12】労働時間（個別・定型・牛乳）",
IF(AND(設定!$D$3="個別経営体",設定!$F$3&lt;&gt;"牛乳"),"【12】労働時間（個別・定型・牛乳以外）",
IF(AND(設定!$D$3="組織法人経営体",設定!$F$3="牛乳"),"【12】労働時間（経営分析・牛乳）",
IF(AND(設定!$D$3="組織法人経営体",設定!$F$3&lt;&gt;"牛乳"),"【12】労働時間（経営分析・牛乳以外）","")))))</f>
        <v/>
      </c>
      <c r="J1" s="176" t="str">
        <f>IF(OR(設定!$D$3="",設定!$F$3=""),"",
IF(AND(設定!$D$3="個別経営体",設定!$F$3="牛乳"),"【12】労働時間（個別・定型・牛乳）」と「【12】労働時間（個別・定型以外）",
IF(AND(設定!$D$3="個別経営体",設定!$F$3&lt;&gt;"牛乳"),"【12】労働時間（個別・定型・牛乳以外）」と「【12】労働時間（個別・定型以外）",
IF(AND(設定!$D$3="組織法人経営体",設定!$F$3="牛乳"),"【12】労働時間（経営分析・牛乳）",
IF(AND(設定!$D$3="組織法人経営体",設定!$F$3&lt;&gt;"牛乳"),"【12】労働時間（経営分析・牛乳以外）","")))))</f>
        <v/>
      </c>
    </row>
    <row r="2" spans="1:10" x14ac:dyDescent="0.15">
      <c r="A2" s="139" t="s">
        <v>65</v>
      </c>
      <c r="B2" s="139" t="s">
        <v>68</v>
      </c>
      <c r="C2" s="139" t="s">
        <v>77</v>
      </c>
      <c r="D2" s="139" t="s">
        <v>81</v>
      </c>
      <c r="E2" s="139" t="s">
        <v>85</v>
      </c>
      <c r="F2" s="139" t="s">
        <v>94</v>
      </c>
      <c r="G2" s="139" t="s">
        <v>94</v>
      </c>
    </row>
    <row r="3" spans="1:10" x14ac:dyDescent="0.15">
      <c r="A3" s="139" t="s">
        <v>66</v>
      </c>
      <c r="B3" s="139" t="s">
        <v>69</v>
      </c>
      <c r="C3" s="139" t="s">
        <v>78</v>
      </c>
      <c r="D3" s="139" t="s">
        <v>82</v>
      </c>
      <c r="E3" s="139" t="s">
        <v>82</v>
      </c>
      <c r="F3" s="139" t="s">
        <v>5</v>
      </c>
      <c r="G3" s="139" t="s">
        <v>5</v>
      </c>
    </row>
    <row r="4" spans="1:10" x14ac:dyDescent="0.15">
      <c r="A4" s="139"/>
      <c r="B4" s="139" t="s">
        <v>70</v>
      </c>
      <c r="C4" s="139"/>
      <c r="D4" s="139" t="s">
        <v>83</v>
      </c>
      <c r="E4" s="139"/>
      <c r="F4" s="139" t="s">
        <v>95</v>
      </c>
      <c r="G4" s="139" t="s">
        <v>96</v>
      </c>
    </row>
    <row r="5" spans="1:10" x14ac:dyDescent="0.15">
      <c r="A5" s="139"/>
      <c r="B5" s="139" t="s">
        <v>71</v>
      </c>
      <c r="C5" s="139"/>
      <c r="D5" s="139" t="s">
        <v>84</v>
      </c>
      <c r="E5" s="139"/>
      <c r="F5" s="139" t="s">
        <v>96</v>
      </c>
      <c r="G5" s="173" t="str">
        <f>IF(設定!$D$3="個別経営体","自給飼料の生産",IF(設定!$D$3="組織法人経営体","内給飼料の生産",""))</f>
        <v/>
      </c>
    </row>
    <row r="6" spans="1:10" x14ac:dyDescent="0.15">
      <c r="A6" s="139"/>
      <c r="B6" s="139" t="s">
        <v>72</v>
      </c>
      <c r="C6" s="139"/>
      <c r="D6" s="139" t="s">
        <v>98</v>
      </c>
      <c r="E6" s="139"/>
      <c r="F6" s="173" t="str">
        <f>IF(設定!$D$3="個別経営体","自給飼料の生産",IF(設定!$D$3="組織法人経営体","内給飼料の生産",""))</f>
        <v/>
      </c>
      <c r="G6" s="139" t="s">
        <v>87</v>
      </c>
    </row>
    <row r="7" spans="1:10" x14ac:dyDescent="0.15">
      <c r="A7" s="139"/>
      <c r="B7" s="139" t="s">
        <v>73</v>
      </c>
      <c r="C7" s="139"/>
      <c r="D7" s="139"/>
      <c r="E7" s="139"/>
      <c r="F7" s="139" t="s">
        <v>87</v>
      </c>
      <c r="G7" s="139" t="s">
        <v>88</v>
      </c>
    </row>
    <row r="8" spans="1:10" x14ac:dyDescent="0.15">
      <c r="A8" s="139"/>
      <c r="B8" s="139" t="s">
        <v>74</v>
      </c>
      <c r="C8" s="139"/>
      <c r="D8" s="139"/>
      <c r="E8" s="139"/>
      <c r="F8" s="139" t="s">
        <v>88</v>
      </c>
      <c r="G8" s="139" t="s">
        <v>89</v>
      </c>
    </row>
    <row r="9" spans="1:10" x14ac:dyDescent="0.15">
      <c r="A9" s="139"/>
      <c r="B9" s="139" t="s">
        <v>75</v>
      </c>
      <c r="C9" s="139"/>
      <c r="D9" s="139"/>
      <c r="E9" s="139"/>
      <c r="F9" s="139" t="s">
        <v>89</v>
      </c>
      <c r="G9" s="139" t="s">
        <v>90</v>
      </c>
    </row>
    <row r="10" spans="1:10" x14ac:dyDescent="0.15">
      <c r="A10" s="139"/>
      <c r="B10" s="139"/>
      <c r="C10" s="139"/>
      <c r="D10" s="139"/>
      <c r="E10" s="139"/>
      <c r="F10" s="139" t="s">
        <v>90</v>
      </c>
      <c r="G10" s="139" t="s">
        <v>91</v>
      </c>
    </row>
    <row r="11" spans="1:10" x14ac:dyDescent="0.15">
      <c r="A11" s="139"/>
      <c r="B11" s="139"/>
      <c r="C11" s="139"/>
      <c r="D11" s="139"/>
      <c r="E11" s="139"/>
      <c r="F11" s="139" t="s">
        <v>91</v>
      </c>
      <c r="G11" s="139" t="s">
        <v>92</v>
      </c>
    </row>
    <row r="12" spans="1:10" x14ac:dyDescent="0.15">
      <c r="A12" s="139"/>
      <c r="B12" s="139"/>
      <c r="C12" s="139"/>
      <c r="D12" s="139"/>
      <c r="E12" s="139"/>
      <c r="F12" s="139" t="s">
        <v>92</v>
      </c>
      <c r="G12" s="139"/>
    </row>
    <row r="13" spans="1:10" x14ac:dyDescent="0.15">
      <c r="A13" s="139"/>
      <c r="B13" s="139"/>
      <c r="C13" s="139"/>
      <c r="D13" s="139"/>
      <c r="E13" s="139"/>
      <c r="F13" s="139"/>
      <c r="G13" s="139"/>
    </row>
    <row r="14" spans="1:10" x14ac:dyDescent="0.15">
      <c r="A14" s="139"/>
      <c r="B14" s="139"/>
      <c r="C14" s="139"/>
      <c r="D14" s="139"/>
      <c r="E14" s="139"/>
      <c r="F14" s="139"/>
      <c r="G14" s="139"/>
    </row>
    <row r="15" spans="1:10" x14ac:dyDescent="0.15">
      <c r="A15" s="139"/>
      <c r="B15" s="139"/>
      <c r="C15" s="139"/>
      <c r="D15" s="139"/>
      <c r="E15" s="139"/>
      <c r="F15" s="139"/>
      <c r="G15" s="139"/>
    </row>
    <row r="16" spans="1:10" x14ac:dyDescent="0.15">
      <c r="A16" s="139"/>
      <c r="B16" s="139"/>
      <c r="C16" s="139"/>
      <c r="D16" s="139"/>
      <c r="E16" s="139"/>
      <c r="F16" s="139"/>
      <c r="G16" s="139"/>
    </row>
    <row r="17" spans="1:7" x14ac:dyDescent="0.15">
      <c r="A17" s="139"/>
      <c r="B17" s="139"/>
      <c r="C17" s="139"/>
      <c r="D17" s="139"/>
      <c r="E17" s="139"/>
      <c r="F17" s="139"/>
      <c r="G17" s="139"/>
    </row>
    <row r="18" spans="1:7" x14ac:dyDescent="0.15">
      <c r="A18" s="139"/>
      <c r="B18" s="139"/>
      <c r="C18" s="139"/>
      <c r="D18" s="139"/>
      <c r="E18" s="139"/>
      <c r="F18" s="139"/>
      <c r="G18" s="139"/>
    </row>
    <row r="19" spans="1:7" x14ac:dyDescent="0.15">
      <c r="A19" s="139"/>
      <c r="B19" s="139"/>
      <c r="C19" s="139"/>
      <c r="D19" s="139"/>
      <c r="E19" s="139"/>
      <c r="F19" s="139"/>
      <c r="G19" s="139"/>
    </row>
    <row r="20" spans="1:7" x14ac:dyDescent="0.15">
      <c r="A20" s="139"/>
      <c r="B20" s="139"/>
      <c r="C20" s="139"/>
      <c r="D20" s="139"/>
      <c r="E20" s="139"/>
      <c r="F20" s="139"/>
      <c r="G20" s="139"/>
    </row>
    <row r="21" spans="1:7" x14ac:dyDescent="0.15">
      <c r="A21" s="139"/>
      <c r="B21" s="139"/>
      <c r="C21" s="139"/>
      <c r="D21" s="139"/>
      <c r="E21" s="139"/>
      <c r="F21" s="139"/>
      <c r="G21" s="139"/>
    </row>
    <row r="22" spans="1:7" x14ac:dyDescent="0.15">
      <c r="A22" s="139"/>
      <c r="B22" s="139"/>
      <c r="C22" s="139"/>
      <c r="D22" s="139"/>
      <c r="E22" s="139"/>
      <c r="F22" s="139"/>
      <c r="G22" s="139"/>
    </row>
    <row r="23" spans="1:7" x14ac:dyDescent="0.15">
      <c r="A23" s="139"/>
      <c r="B23" s="139"/>
      <c r="C23" s="139"/>
      <c r="D23" s="139"/>
      <c r="E23" s="139"/>
      <c r="F23" s="139"/>
      <c r="G23" s="139"/>
    </row>
    <row r="24" spans="1:7" x14ac:dyDescent="0.15">
      <c r="A24" s="139"/>
      <c r="B24" s="139"/>
      <c r="C24" s="139"/>
      <c r="D24" s="139"/>
      <c r="E24" s="139"/>
      <c r="F24" s="139"/>
      <c r="G24" s="139"/>
    </row>
    <row r="25" spans="1:7" x14ac:dyDescent="0.15">
      <c r="A25" s="139"/>
      <c r="B25" s="139"/>
      <c r="C25" s="139"/>
      <c r="D25" s="139"/>
      <c r="E25" s="139"/>
      <c r="F25" s="139"/>
      <c r="G25" s="139"/>
    </row>
    <row r="26" spans="1:7" x14ac:dyDescent="0.15">
      <c r="A26" s="139"/>
      <c r="B26" s="139"/>
      <c r="C26" s="139"/>
      <c r="D26" s="139"/>
      <c r="E26" s="139"/>
      <c r="F26" s="139"/>
      <c r="G26" s="139"/>
    </row>
    <row r="27" spans="1:7" x14ac:dyDescent="0.15">
      <c r="A27" s="139"/>
      <c r="B27" s="139"/>
      <c r="C27" s="139"/>
      <c r="D27" s="139"/>
      <c r="E27" s="139"/>
      <c r="F27" s="139"/>
      <c r="G27" s="139"/>
    </row>
    <row r="28" spans="1:7" x14ac:dyDescent="0.15">
      <c r="A28" s="139"/>
      <c r="B28" s="139"/>
      <c r="C28" s="139"/>
      <c r="D28" s="139"/>
      <c r="E28" s="139"/>
      <c r="F28" s="139"/>
      <c r="G28" s="139"/>
    </row>
    <row r="29" spans="1:7" x14ac:dyDescent="0.15">
      <c r="A29" s="139"/>
      <c r="B29" s="139"/>
      <c r="C29" s="139"/>
      <c r="D29" s="139"/>
      <c r="E29" s="139"/>
      <c r="F29" s="139"/>
      <c r="G29" s="139"/>
    </row>
    <row r="30" spans="1:7" x14ac:dyDescent="0.15">
      <c r="A30" s="139"/>
      <c r="B30" s="139"/>
      <c r="C30" s="139"/>
      <c r="D30" s="139"/>
      <c r="E30" s="139"/>
      <c r="F30" s="139"/>
      <c r="G30" s="139"/>
    </row>
    <row r="31" spans="1:7" x14ac:dyDescent="0.15">
      <c r="A31" s="139"/>
      <c r="B31" s="139"/>
      <c r="C31" s="139"/>
      <c r="D31" s="139"/>
      <c r="E31" s="139"/>
      <c r="F31" s="139"/>
      <c r="G31" s="139"/>
    </row>
  </sheetData>
  <phoneticPr fontId="2"/>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11</vt:i4>
      </vt:variant>
    </vt:vector>
  </HeadingPairs>
  <TitlesOfParts>
    <vt:vector size="18" baseType="lpstr">
      <vt:lpstr>設定</vt:lpstr>
      <vt:lpstr>月別入力</vt:lpstr>
      <vt:lpstr>【12】労働時間（個別・牛乳）</vt:lpstr>
      <vt:lpstr>【12】労働時間（個別・牛乳以外）</vt:lpstr>
      <vt:lpstr>【12】労働時間（経営分析・牛乳）</vt:lpstr>
      <vt:lpstr>【12】労働時間（経営分析・牛乳以外）</vt:lpstr>
      <vt:lpstr>リスト </vt:lpstr>
      <vt:lpstr>'【12】労働時間（経営分析・牛乳）'!Print_Area</vt:lpstr>
      <vt:lpstr>'【12】労働時間（経営分析・牛乳以外）'!Print_Area</vt:lpstr>
      <vt:lpstr>'【12】労働時間（個別・牛乳）'!Print_Area</vt:lpstr>
      <vt:lpstr>'【12】労働時間（個別・牛乳以外）'!Print_Area</vt:lpstr>
      <vt:lpstr>月別入力!Print_Titles</vt:lpstr>
      <vt:lpstr>設定!Print_Titles</vt:lpstr>
      <vt:lpstr>個別経営体</vt:lpstr>
      <vt:lpstr>作業_Blank</vt:lpstr>
      <vt:lpstr>作業_牛乳</vt:lpstr>
      <vt:lpstr>作業_牛乳以外</vt:lpstr>
      <vt:lpstr>組織法人経営体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2022-03-09T01:58:48Z</dcterms:modified>
</cp:coreProperties>
</file>